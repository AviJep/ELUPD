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0349D58-C85E-4FBA-B7E0-8F42E5D28AAC}" xr6:coauthVersionLast="47" xr6:coauthVersionMax="47" xr10:uidLastSave="{00000000-0000-0000-0000-000000000000}"/>
  <bookViews>
    <workbookView xWindow="-108" yWindow="-108" windowWidth="23256" windowHeight="13896" firstSheet="33" activeTab="34" xr2:uid="{83B00B35-4079-4816-BFC8-D68002B56CFD}"/>
  </bookViews>
  <sheets>
    <sheet name="LGU2" sheetId="5" state="hidden" r:id="rId1"/>
    <sheet name="Regions" sheetId="4" state="hidden" r:id="rId2"/>
    <sheet name="Home" sheetId="9" r:id="rId3"/>
    <sheet name="LGU_Masterlist" sheetId="8" state="hidden" r:id="rId4"/>
    <sheet name="Accomplishment 2026" sheetId="10" r:id="rId5"/>
    <sheet name="Annex 1.1. Outcome_CLUP" sheetId="11" r:id="rId6"/>
    <sheet name="Annex 1.1.1 Outcome_CommPlan" sheetId="12" r:id="rId7"/>
    <sheet name="Annex 1.1.2 Outcome_Housing" sheetId="13" r:id="rId8"/>
    <sheet name="Annex 1.2. Outcome_PDPFP" sheetId="14" r:id="rId9"/>
    <sheet name="Annex 2.1. Outcome_UrbanDev" sheetId="18" r:id="rId10"/>
    <sheet name="Annex 3.1_CLUP Status" sheetId="16" r:id="rId11"/>
    <sheet name="PSGC" sheetId="52" state="hidden" r:id="rId12"/>
    <sheet name="Annex 3.2_PDPFP Status" sheetId="17" r:id="rId13"/>
    <sheet name="Annex 4.1 TA_CLUP" sheetId="15" r:id="rId14"/>
    <sheet name="Annex 4.2 TA_PDPFP" sheetId="19" r:id="rId15"/>
    <sheet name="Annex 4.3 TA_HouSub" sheetId="20" r:id="rId16"/>
    <sheet name="Annex 4.4 TA_RA" sheetId="21" r:id="rId17"/>
    <sheet name="Annex 4.5 TA_Imp" sheetId="22" r:id="rId18"/>
    <sheet name="Annex 4.6 TA_UD" sheetId="44" r:id="rId19"/>
    <sheet name="Annex 4.7 TA_Others" sheetId="23" r:id="rId20"/>
    <sheet name="Annex 5.1 TR_CLUP-ZO" sheetId="24" r:id="rId21"/>
    <sheet name="Annex 5.2 TR_GIS" sheetId="25" r:id="rId22"/>
    <sheet name="Annex 5.3 TR_CDRA" sheetId="26" r:id="rId23"/>
    <sheet name="Annex 5.4 TR_Imp" sheetId="27" r:id="rId24"/>
    <sheet name="Annex 5.5 TR_HouSub" sheetId="28" r:id="rId25"/>
    <sheet name="Annex 5.6 TR_UD" sheetId="48" r:id="rId26"/>
    <sheet name="Annex 5.7 TR_Others" sheetId="29" r:id="rId27"/>
    <sheet name="Annex 6.1 UD_FormReview" sheetId="47" r:id="rId28"/>
    <sheet name="Annex 7.1 Review_CChk" sheetId="30" r:id="rId29"/>
    <sheet name="Annex 7.2 Review_CLUP-PDPFP" sheetId="31" r:id="rId30"/>
    <sheet name="Annex 7.3 Review_Reports" sheetId="32" r:id="rId31"/>
    <sheet name="Annex 7.4 Review_Sessions" sheetId="33" r:id="rId32"/>
    <sheet name="Annex 8 Plan Monitoring" sheetId="34" r:id="rId33"/>
    <sheet name="Annex 9.1. Inventory" sheetId="35" r:id="rId34"/>
    <sheet name="Annex 9.2. Budget" sheetId="37" r:id="rId35"/>
    <sheet name="Annex 10.1 Link - Membership" sheetId="38" r:id="rId36"/>
    <sheet name="Annex 10.2 Meetings-Papers" sheetId="39" r:id="rId37"/>
    <sheet name="Annex 10.3 Link - Partnerships" sheetId="50" r:id="rId38"/>
    <sheet name="Annex 11 Certifications" sheetId="40" r:id="rId39"/>
    <sheet name="Annex 12 Other Assignments" sheetId="41" r:id="rId40"/>
    <sheet name="Annex 13 Issues-BestPractices" sheetId="51" r:id="rId41"/>
    <sheet name="Definition_Status" sheetId="42" r:id="rId42"/>
    <sheet name="Definition_UDProjects" sheetId="43" r:id="rId43"/>
    <sheet name="Picklists" sheetId="3" state="hidden" r:id="rId44"/>
    <sheet name="LGU_Table" sheetId="1" state="hidden" r:id="rId45"/>
  </sheets>
  <definedNames>
    <definedName name="_xlnm._FilterDatabase" localSheetId="9" hidden="1">'Annex 2.1. Outcome_UrbanDev'!$A$13:$S$13</definedName>
    <definedName name="_xlnm._FilterDatabase" localSheetId="10" hidden="1">'Annex 3.1_CLUP Status'!$A$7:$AI$7</definedName>
    <definedName name="_xlnm._FilterDatabase" localSheetId="13" hidden="1">'Annex 4.1 TA_CLUP'!$A$17:$J$1005</definedName>
    <definedName name="_xlnm._FilterDatabase" localSheetId="19" hidden="1">'Annex 4.7 TA_Others'!$B$17:$J$1007</definedName>
    <definedName name="_xlnm._FilterDatabase" localSheetId="20" hidden="1">'Annex 5.1 TR_CLUP-ZO'!$A$17:$N$17</definedName>
    <definedName name="_xlnm._FilterDatabase" localSheetId="32" hidden="1">'Annex 8 Plan Monitoring'!$A$20:$K$90</definedName>
    <definedName name="_R01">LGU_Masterlist!$E$3:$E$9</definedName>
    <definedName name="_R02">LGU_Masterlist!$F$3:$F$9</definedName>
    <definedName name="_R03">LGU_Masterlist!$G$3:$G$9</definedName>
    <definedName name="_R04_A">LGU_Masterlist!$H$4:$H$9</definedName>
    <definedName name="_R04_B">LGU_Masterlist!$I$3:$I$9</definedName>
    <definedName name="_R05">LGU_Masterlist!$J$3:$J$9</definedName>
    <definedName name="_R06">LGU_Masterlist!$K$3:$K$9</definedName>
    <definedName name="_R07">LGU_Masterlist!$M$3:$M$9</definedName>
    <definedName name="_R08">LGU_Masterlist!$N$3:$N$9</definedName>
    <definedName name="_R09">LGU_Masterlist!$O$3:$O$9</definedName>
    <definedName name="_R10">LGU_Masterlist!$P$3:$P$9</definedName>
    <definedName name="_R11">LGU_Masterlist!$Q$3:$Q$9</definedName>
    <definedName name="_R12">LGU_Masterlist!$R$3:$R$9</definedName>
    <definedName name="_R13">LGU_Masterlist!$S$3:$S$9</definedName>
    <definedName name="Abra">LGU_Masterlist!$C$12:$C$38</definedName>
    <definedName name="Agusan_del_Norte">LGU_Masterlist!$BW$12:$BW$23</definedName>
    <definedName name="Agusan_del_Sur">LGU_Masterlist!$BX$12:$BX$25</definedName>
    <definedName name="Aklan">LGU_Masterlist!$AO$12:$AO$28</definedName>
    <definedName name="Albay">LGU_Masterlist!$AI$12:$AI$29</definedName>
    <definedName name="Antique">LGU_Masterlist!$AP$12:$AP$30</definedName>
    <definedName name="Apayao">LGU_Masterlist!$D$12:$D$18</definedName>
    <definedName name="Aurora">LGU_Masterlist!$X$12:$X$19</definedName>
    <definedName name="BARMM">LGU_Masterlist!$B$3:$B$7</definedName>
    <definedName name="Basilan">LGU_Masterlist!$BH$12</definedName>
    <definedName name="Bataan">LGU_Masterlist!$R$12:$R$23</definedName>
    <definedName name="Batanes">LGU_Masterlist!$M$12:$M$17</definedName>
    <definedName name="Batangas">LGU_Masterlist!$Y$12:$Y$45</definedName>
    <definedName name="Benguet">LGU_Masterlist!$E$12:$E$25</definedName>
    <definedName name="Biliran">LGU_Masterlist!$BD$12:$BD$19</definedName>
    <definedName name="Bohol">LGU_Masterlist!$AW$12:$AW$59</definedName>
    <definedName name="Bukidnon">LGU_Masterlist!$BI$12:$BI$33</definedName>
    <definedName name="Bulacan">LGU_Masterlist!$S$12:$S$35</definedName>
    <definedName name="Cagayan">LGU_Masterlist!$N$12:$N$40</definedName>
    <definedName name="Camarines_Norte">LGU_Masterlist!$AJ$12:$AJ$23</definedName>
    <definedName name="Camarines_Sur">LGU_Masterlist!$AK$12:$AK$48</definedName>
    <definedName name="Camiguin">LGU_Masterlist!$BJ$12:$BJ$16</definedName>
    <definedName name="Capiz">LGU_Masterlist!$AQ$12:$AQ$28</definedName>
    <definedName name="CAR">LGU_Masterlist!$E$3:$E$8</definedName>
    <definedName name="Catanduanes">LGU_Masterlist!$AL$12:$AL$22</definedName>
    <definedName name="Cavite">LGU_Masterlist!$Z$12:$Z$34</definedName>
    <definedName name="Cebu">LGU_Masterlist!$AX$12:$AX$64</definedName>
    <definedName name="cit_mun">LGU_Table!$C$2:$C$1635</definedName>
    <definedName name="cm_class">LGU_Table!$G$2:$G$1635</definedName>
    <definedName name="Cordilla_Administrative_Region">LGU_Masterlist!$D$3:$D$8</definedName>
    <definedName name="Cotabato">LGU_Masterlist!$BS$12:$BS$29</definedName>
    <definedName name="Davao_de_Oro">LGU_Masterlist!$BQ$12:$BQ$22</definedName>
    <definedName name="Davao_del_Norte">LGU_Masterlist!$BN$12:$BN$22</definedName>
    <definedName name="Davao_del_Sur">LGU_Masterlist!$BO$12:$BO$22</definedName>
    <definedName name="Davao_Occidental">LGU_Masterlist!$BR$12:$BR$16</definedName>
    <definedName name="Davao_Oriental">LGU_Masterlist!$BP$12:$BP$22</definedName>
    <definedName name="Dinagat_Islands">LGU_Masterlist!$CA$12:$CA$18</definedName>
    <definedName name="Eastern_Samar">LGU_Masterlist!$AY$12:$AY$34</definedName>
    <definedName name="Guimaras">LGU_Masterlist!$AS$12:$AS$16</definedName>
    <definedName name="h_sett">LGU_Table!$F$2:$F$1635</definedName>
    <definedName name="Ifugao">LGU_Masterlist!$F$12:$F$22</definedName>
    <definedName name="Ilocos_Norte">LGU_Masterlist!$I$12:$I$34</definedName>
    <definedName name="Ilocos_Sur">LGU_Masterlist!$J$12:$J$45</definedName>
    <definedName name="Iloilo">LGU_Masterlist!$AR$12:$AR$55</definedName>
    <definedName name="inc_class">LGU_Table!$H$2:$H$1635</definedName>
    <definedName name="Isabela">LGU_Masterlist!$O$12:$O$48</definedName>
    <definedName name="Kalinga">LGU_Masterlist!$G$12:$G$19</definedName>
    <definedName name="La_Union">LGU_Masterlist!$K$12:$K$31</definedName>
    <definedName name="Laguna">LGU_Masterlist!$AA$12:$AA$41</definedName>
    <definedName name="Lanao_del_Norte">LGU_Masterlist!$BK$12:$BK$34</definedName>
    <definedName name="Leyte">LGU_Masterlist!$AZ$12:$AZ$54</definedName>
    <definedName name="Marinduque">LGU_Masterlist!$AD$12:$AD$17</definedName>
    <definedName name="Masbate">LGU_Masterlist!$AM$12:$AM$32</definedName>
    <definedName name="Metro_Manila">LGU_Masterlist!$B$12:$B$28</definedName>
    <definedName name="Misamis_Occidental">LGU_Masterlist!$BL$12:$BL$28</definedName>
    <definedName name="Misamis_Oriental">LGU_Masterlist!$BM$12:$BM$37</definedName>
    <definedName name="Mountain_Province">LGU_Masterlist!$H$12:$H$21</definedName>
    <definedName name="National_Capital_Region">LGU_Masterlist!$C$4:$C$8</definedName>
    <definedName name="NCR">LGU_Masterlist!$D$3</definedName>
    <definedName name="Negros_Island_Region__NIR">LGU_Masterlist!$L$3:$L$8</definedName>
    <definedName name="Negros_Occidental">LGU_Masterlist!$AT$12:$AT$43</definedName>
    <definedName name="Negros_Oriental">LGU_Masterlist!$AU$12:$AU$36</definedName>
    <definedName name="NIR">LGU_Masterlist!$M$3:$M$5</definedName>
    <definedName name="Northern_Samar">LGU_Masterlist!$BA$12:$BA$35</definedName>
    <definedName name="Nueva_Ecija">LGU_Masterlist!$T$12:$T$43</definedName>
    <definedName name="Nueva_Vizcaya">LGU_Masterlist!$P$12:$P$26</definedName>
    <definedName name="Occidental_Mindoro">LGU_Masterlist!$AE$12:$AE$22</definedName>
    <definedName name="Oriental_Mindoro">LGU_Masterlist!$AF$12:$AF$26</definedName>
    <definedName name="Palawan">LGU_Masterlist!$AG$12:$AG$35</definedName>
    <definedName name="Pampanga">LGU_Masterlist!$U$12:$U$33</definedName>
    <definedName name="Pangasinan">LGU_Masterlist!$L$12:$L$59</definedName>
    <definedName name="PLGU">LGU_Masterlist!$C$3</definedName>
    <definedName name="prov">LGU_Table!$D$2:$D$1635</definedName>
    <definedName name="Province">LGU_Masterlist!$B$2:$B$7</definedName>
    <definedName name="Province_PLGU">LGU_Masterlist!$A$12:$A$89</definedName>
    <definedName name="psgc">LGU_Table!$A$2:$A$1635</definedName>
    <definedName name="Quezon">LGU_Masterlist!$AB$12:$AB$52</definedName>
    <definedName name="Quirino">LGU_Masterlist!$Q$12:$Q$17</definedName>
    <definedName name="R_10">LGU_Masterlist!$Q$3:$Q$7</definedName>
    <definedName name="R_11">LGU_Masterlist!$R$3:$R$7</definedName>
    <definedName name="R_12">LGU_Masterlist!$S$3:$S$6</definedName>
    <definedName name="R_13">LGU_Masterlist!$T$3:$T$7</definedName>
    <definedName name="Region" localSheetId="3">LGU_Masterlist!#REF!</definedName>
    <definedName name="region">LGU_Table!$E$2:$E$1635</definedName>
    <definedName name="Region_01__Ilocos_Region">LGU_Masterlist!$E$3:$E$8</definedName>
    <definedName name="Region_02__Cagayan_Valley">LGU_Masterlist!$F$3:$F$8</definedName>
    <definedName name="Region_03__Central_Luzon">LGU_Masterlist!$G$3:$G$8</definedName>
    <definedName name="Region_04_A__CALABARZON">LGU_Masterlist!$H$4:$H$8</definedName>
    <definedName name="Region_04_B__MIMAROPA">LGU_Masterlist!$I$3:$I$8</definedName>
    <definedName name="Region_05__Bicol_Region">LGU_Masterlist!$J$3:$J$8</definedName>
    <definedName name="Region_06__Western_Visayas">LGU_Masterlist!$K$3:$K$8</definedName>
    <definedName name="Region_07__Central_Visayas_Region">LGU_Masterlist!$M$3:$M$8</definedName>
    <definedName name="Region_08__Eastern_Visayas">LGU_Masterlist!$N$3:$N$8</definedName>
    <definedName name="Region_09__Zamboanga_Peninsula">LGU_Masterlist!$O$3:$O$8</definedName>
    <definedName name="Region_10__Northern_Mindanao">LGU_Masterlist!$P$3:$P$8</definedName>
    <definedName name="Region_11__Davao_Region">LGU_Masterlist!$Q$3:$Q$8</definedName>
    <definedName name="Region_12__SOCCSKSARGEN">LGU_Masterlist!$R$3:$R$8</definedName>
    <definedName name="Region_13__Caraga_Region">LGU_Masterlist!$S$3:$S$8</definedName>
    <definedName name="Regions_">LGU_Masterlist!#REF!</definedName>
    <definedName name="Rizal">LGU_Masterlist!$AC$12:$AC$25</definedName>
    <definedName name="RO_1">LGU_Masterlist!$F$3:$F$6</definedName>
    <definedName name="RO_2">LGU_Masterlist!$G$3:$G$7</definedName>
    <definedName name="RO_3">LGU_Masterlist!$H$3:$H$9</definedName>
    <definedName name="RO_4A">LGU_Masterlist!$I$3:$I$7</definedName>
    <definedName name="RO_4B">LGU_Masterlist!$J$3:$J$7</definedName>
    <definedName name="RO_5">LGU_Masterlist!$K$3:$K$8</definedName>
    <definedName name="RO_6">LGU_Masterlist!$L$3:$L$7</definedName>
    <definedName name="RO_7">LGU_Masterlist!$N$3:$N$4</definedName>
    <definedName name="RO_8">LGU_Masterlist!$O$3:$O$8</definedName>
    <definedName name="RO_9">LGU_Masterlist!$P$3:$P$7</definedName>
    <definedName name="RO4_A">LGU_Masterlist!$I$3:$I$7</definedName>
    <definedName name="RO4_B">LGU_Masterlist!$J$3:$J$7</definedName>
    <definedName name="Romblon">LGU_Masterlist!$AH$12:$AH$28</definedName>
    <definedName name="Samar">LGU_Masterlist!$BB$12:$BB$37</definedName>
    <definedName name="Sarangani">LGU_Masterlist!$BV$12:$BV$18</definedName>
    <definedName name="Siquijor">LGU_Masterlist!$AV$12:$AV$17</definedName>
    <definedName name="Sorsogon">LGU_Masterlist!$AN$12:$AN$26</definedName>
    <definedName name="South_Cotabato">LGU_Masterlist!$BT$12:$BT$23</definedName>
    <definedName name="Southern_Leyte">LGU_Masterlist!$BC$12:$BC$30</definedName>
    <definedName name="Sultan_Kudarat">LGU_Masterlist!$BU$12:$BU$23</definedName>
    <definedName name="Sulu">LGU_Masterlist!$CB$12:$CB$30</definedName>
    <definedName name="Surigao_del_Norte">LGU_Masterlist!$BY$12:$BY$32</definedName>
    <definedName name="Surigao_del_Sur">LGU_Masterlist!$BZ$12:$BZ$30</definedName>
    <definedName name="Tarlac">LGU_Masterlist!$V$12:$V$29</definedName>
    <definedName name="Zambales">LGU_Masterlist!$W$12:$W$25</definedName>
    <definedName name="Zamboanga_del_Norte">LGU_Masterlist!$BE$12:$BE$38</definedName>
    <definedName name="Zamboanga_del_Sur">LGU_Masterlist!$BF$12:$BF$39</definedName>
    <definedName name="Zamboanga_Sibugay">LGU_Masterlist!$BG$12:$BG$27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 i="37" l="1"/>
  <c r="C11" i="37"/>
  <c r="M6" i="17"/>
  <c r="M7" i="17"/>
  <c r="L5" i="17"/>
  <c r="K8" i="16"/>
  <c r="L8" i="16"/>
  <c r="M8" i="16"/>
  <c r="O8" i="16"/>
  <c r="V8" i="16"/>
  <c r="AD8" i="16"/>
  <c r="K9" i="16"/>
  <c r="L9" i="16"/>
  <c r="M9" i="16"/>
  <c r="O9" i="16"/>
  <c r="V9" i="16"/>
  <c r="AD9" i="16"/>
  <c r="K10" i="16"/>
  <c r="L10" i="16"/>
  <c r="M10" i="16"/>
  <c r="O10" i="16"/>
  <c r="V10" i="16"/>
  <c r="AD10" i="16"/>
  <c r="K11" i="16"/>
  <c r="L11" i="16"/>
  <c r="M11" i="16"/>
  <c r="O11" i="16"/>
  <c r="V11" i="16"/>
  <c r="AD11" i="16"/>
  <c r="K12" i="16"/>
  <c r="L12" i="16"/>
  <c r="M12" i="16"/>
  <c r="O12" i="16"/>
  <c r="V12" i="16"/>
  <c r="AD12" i="16"/>
  <c r="K13" i="16"/>
  <c r="L13" i="16"/>
  <c r="M13" i="16"/>
  <c r="O13" i="16"/>
  <c r="V13" i="16"/>
  <c r="AD13" i="16"/>
  <c r="K14" i="16"/>
  <c r="L14" i="16"/>
  <c r="M14" i="16"/>
  <c r="O14" i="16"/>
  <c r="V14" i="16"/>
  <c r="AD14" i="16"/>
  <c r="K15" i="16"/>
  <c r="L15" i="16"/>
  <c r="M15" i="16"/>
  <c r="O15" i="16"/>
  <c r="V15" i="16"/>
  <c r="AD15" i="16"/>
  <c r="K16" i="16"/>
  <c r="L16" i="16"/>
  <c r="M16" i="16"/>
  <c r="O16" i="16"/>
  <c r="V16" i="16"/>
  <c r="AD16" i="16"/>
  <c r="K17" i="16"/>
  <c r="L17" i="16"/>
  <c r="M17" i="16"/>
  <c r="O17" i="16"/>
  <c r="V17" i="16"/>
  <c r="AD17" i="16"/>
  <c r="K18" i="16"/>
  <c r="L18" i="16"/>
  <c r="M18" i="16"/>
  <c r="O18" i="16"/>
  <c r="V18" i="16"/>
  <c r="AD18" i="16"/>
  <c r="K19" i="16"/>
  <c r="L19" i="16"/>
  <c r="M19" i="16"/>
  <c r="O19" i="16"/>
  <c r="V19" i="16"/>
  <c r="AD19" i="16"/>
  <c r="K20" i="16"/>
  <c r="L20" i="16"/>
  <c r="M20" i="16"/>
  <c r="O20" i="16"/>
  <c r="V20" i="16"/>
  <c r="AD20" i="16"/>
  <c r="K21" i="16"/>
  <c r="L21" i="16"/>
  <c r="M21" i="16"/>
  <c r="O21" i="16"/>
  <c r="V21" i="16"/>
  <c r="AD21" i="16"/>
  <c r="K22" i="16"/>
  <c r="L22" i="16"/>
  <c r="M22" i="16"/>
  <c r="O22" i="16"/>
  <c r="V22" i="16"/>
  <c r="AD22" i="16"/>
  <c r="O23" i="16"/>
  <c r="V23" i="16"/>
  <c r="AD23" i="16"/>
  <c r="K24" i="16"/>
  <c r="L24" i="16"/>
  <c r="M24" i="16"/>
  <c r="O24" i="16"/>
  <c r="V24" i="16"/>
  <c r="AD24" i="16"/>
  <c r="K25" i="16"/>
  <c r="L25" i="16"/>
  <c r="M25" i="16"/>
  <c r="O25" i="16"/>
  <c r="V25" i="16"/>
  <c r="AD25" i="16"/>
  <c r="K26" i="16"/>
  <c r="L26" i="16"/>
  <c r="M26" i="16"/>
  <c r="O26" i="16"/>
  <c r="V26" i="16"/>
  <c r="AD26" i="16"/>
  <c r="K27" i="16"/>
  <c r="L27" i="16"/>
  <c r="M27" i="16"/>
  <c r="O27" i="16"/>
  <c r="V27" i="16"/>
  <c r="AD27" i="16"/>
  <c r="K28" i="16"/>
  <c r="L28" i="16"/>
  <c r="M28" i="16"/>
  <c r="O28" i="16"/>
  <c r="V28" i="16"/>
  <c r="AD28" i="16"/>
  <c r="K29" i="16"/>
  <c r="L29" i="16"/>
  <c r="M29" i="16"/>
  <c r="O29" i="16"/>
  <c r="V29" i="16"/>
  <c r="AD29" i="16"/>
  <c r="K30" i="16"/>
  <c r="L30" i="16"/>
  <c r="M30" i="16"/>
  <c r="O30" i="16"/>
  <c r="V30" i="16"/>
  <c r="AD30" i="16"/>
  <c r="K31" i="16"/>
  <c r="L31" i="16"/>
  <c r="M31" i="16"/>
  <c r="O31" i="16"/>
  <c r="V31" i="16"/>
  <c r="AD31" i="16"/>
  <c r="K32" i="16"/>
  <c r="L32" i="16"/>
  <c r="M32" i="16"/>
  <c r="O32" i="16"/>
  <c r="V32" i="16"/>
  <c r="AD32" i="16"/>
  <c r="K33" i="16"/>
  <c r="L33" i="16"/>
  <c r="M33" i="16"/>
  <c r="O33" i="16"/>
  <c r="V33" i="16"/>
  <c r="AD33" i="16"/>
  <c r="K34" i="16"/>
  <c r="L34" i="16"/>
  <c r="M34" i="16"/>
  <c r="O34" i="16"/>
  <c r="V34" i="16"/>
  <c r="AD34" i="16"/>
  <c r="K35" i="16"/>
  <c r="L35" i="16"/>
  <c r="M35" i="16"/>
  <c r="O35" i="16"/>
  <c r="V35" i="16"/>
  <c r="AD35" i="16"/>
  <c r="K36" i="16"/>
  <c r="L36" i="16"/>
  <c r="M36" i="16"/>
  <c r="O36" i="16"/>
  <c r="V36" i="16"/>
  <c r="AD36" i="16"/>
  <c r="K37" i="16"/>
  <c r="L37" i="16"/>
  <c r="M37" i="16"/>
  <c r="O37" i="16"/>
  <c r="V37" i="16"/>
  <c r="AD37" i="16"/>
  <c r="K38" i="16"/>
  <c r="L38" i="16"/>
  <c r="M38" i="16"/>
  <c r="O38" i="16"/>
  <c r="V38" i="16"/>
  <c r="AD38" i="16"/>
  <c r="K39" i="16"/>
  <c r="L39" i="16"/>
  <c r="M39" i="16"/>
  <c r="O39" i="16"/>
  <c r="V39" i="16"/>
  <c r="AD39" i="16"/>
  <c r="K40" i="16"/>
  <c r="L40" i="16"/>
  <c r="M40" i="16"/>
  <c r="O40" i="16"/>
  <c r="V40" i="16"/>
  <c r="AD40" i="16"/>
  <c r="K41" i="16"/>
  <c r="L41" i="16"/>
  <c r="M41" i="16"/>
  <c r="O41" i="16"/>
  <c r="V41" i="16"/>
  <c r="AD41" i="16"/>
  <c r="K42" i="16"/>
  <c r="L42" i="16"/>
  <c r="M42" i="16"/>
  <c r="O42" i="16"/>
  <c r="V42" i="16"/>
  <c r="AD42" i="16"/>
  <c r="K43" i="16"/>
  <c r="L43" i="16"/>
  <c r="M43" i="16"/>
  <c r="O43" i="16"/>
  <c r="V43" i="16"/>
  <c r="AD43" i="16"/>
  <c r="K44" i="16"/>
  <c r="L44" i="16"/>
  <c r="M44" i="16"/>
  <c r="O44" i="16"/>
  <c r="V44" i="16"/>
  <c r="AD44" i="16"/>
  <c r="K45" i="16"/>
  <c r="L45" i="16"/>
  <c r="M45" i="16"/>
  <c r="O45" i="16"/>
  <c r="V45" i="16"/>
  <c r="AD45" i="16"/>
  <c r="K46" i="16"/>
  <c r="L46" i="16"/>
  <c r="M46" i="16"/>
  <c r="O46" i="16"/>
  <c r="V46" i="16"/>
  <c r="AD46" i="16"/>
  <c r="K47" i="16"/>
  <c r="L47" i="16"/>
  <c r="M47" i="16"/>
  <c r="O47" i="16"/>
  <c r="V47" i="16"/>
  <c r="AD47" i="16"/>
  <c r="K48" i="16"/>
  <c r="L48" i="16"/>
  <c r="M48" i="16"/>
  <c r="O48" i="16"/>
  <c r="V48" i="16"/>
  <c r="AD48" i="16"/>
  <c r="K49" i="16"/>
  <c r="L49" i="16"/>
  <c r="M49" i="16"/>
  <c r="O49" i="16"/>
  <c r="V49" i="16"/>
  <c r="AD49" i="16"/>
  <c r="K50" i="16"/>
  <c r="L50" i="16"/>
  <c r="M50" i="16"/>
  <c r="O50" i="16"/>
  <c r="V50" i="16"/>
  <c r="AD50" i="16"/>
  <c r="K51" i="16"/>
  <c r="L51" i="16"/>
  <c r="M51" i="16"/>
  <c r="O51" i="16"/>
  <c r="V51" i="16"/>
  <c r="AD51" i="16"/>
  <c r="K52" i="16"/>
  <c r="L52" i="16"/>
  <c r="M52" i="16"/>
  <c r="O52" i="16"/>
  <c r="V52" i="16"/>
  <c r="AD52" i="16"/>
  <c r="K53" i="16"/>
  <c r="L53" i="16"/>
  <c r="M53" i="16"/>
  <c r="O53" i="16"/>
  <c r="V53" i="16"/>
  <c r="AD53" i="16"/>
  <c r="K54" i="16"/>
  <c r="L54" i="16"/>
  <c r="M54" i="16"/>
  <c r="O54" i="16"/>
  <c r="V54" i="16"/>
  <c r="AD54" i="16"/>
  <c r="K55" i="16"/>
  <c r="L55" i="16"/>
  <c r="M55" i="16"/>
  <c r="O55" i="16"/>
  <c r="V55" i="16"/>
  <c r="AD55" i="16"/>
  <c r="K56" i="16"/>
  <c r="L56" i="16"/>
  <c r="M56" i="16"/>
  <c r="O56" i="16"/>
  <c r="V56" i="16"/>
  <c r="AD56" i="16"/>
  <c r="K57" i="16"/>
  <c r="L57" i="16"/>
  <c r="M57" i="16"/>
  <c r="O57" i="16"/>
  <c r="V57" i="16"/>
  <c r="AD57" i="16"/>
  <c r="K58" i="16"/>
  <c r="L58" i="16"/>
  <c r="M58" i="16"/>
  <c r="O58" i="16"/>
  <c r="V58" i="16"/>
  <c r="AD58" i="16"/>
  <c r="K59" i="16"/>
  <c r="L59" i="16"/>
  <c r="M59" i="16"/>
  <c r="O59" i="16"/>
  <c r="V59" i="16"/>
  <c r="AD59" i="16"/>
  <c r="K60" i="16"/>
  <c r="L60" i="16"/>
  <c r="M60" i="16"/>
  <c r="O60" i="16"/>
  <c r="V60" i="16"/>
  <c r="AD60" i="16"/>
  <c r="K61" i="16"/>
  <c r="L61" i="16"/>
  <c r="M61" i="16"/>
  <c r="O61" i="16"/>
  <c r="V61" i="16"/>
  <c r="AD61" i="16"/>
  <c r="K62" i="16"/>
  <c r="L62" i="16"/>
  <c r="M62" i="16"/>
  <c r="O62" i="16"/>
  <c r="V62" i="16"/>
  <c r="AD62" i="16"/>
  <c r="K63" i="16"/>
  <c r="L63" i="16"/>
  <c r="M63" i="16"/>
  <c r="O63" i="16"/>
  <c r="V63" i="16"/>
  <c r="AD63" i="16"/>
  <c r="K64" i="16"/>
  <c r="L64" i="16"/>
  <c r="M64" i="16"/>
  <c r="O64" i="16"/>
  <c r="V64" i="16"/>
  <c r="AD64" i="16"/>
  <c r="K65" i="16"/>
  <c r="L65" i="16"/>
  <c r="M65" i="16"/>
  <c r="O65" i="16"/>
  <c r="V65" i="16"/>
  <c r="AD65" i="16"/>
  <c r="K66" i="16"/>
  <c r="L66" i="16"/>
  <c r="M66" i="16"/>
  <c r="O66" i="16"/>
  <c r="V66" i="16"/>
  <c r="AD66" i="16"/>
  <c r="K67" i="16"/>
  <c r="L67" i="16"/>
  <c r="M67" i="16"/>
  <c r="O67" i="16"/>
  <c r="V67" i="16"/>
  <c r="AD67" i="16"/>
  <c r="K68" i="16"/>
  <c r="L68" i="16"/>
  <c r="M68" i="16"/>
  <c r="O68" i="16"/>
  <c r="V68" i="16"/>
  <c r="AD68" i="16"/>
  <c r="K69" i="16"/>
  <c r="L69" i="16"/>
  <c r="M69" i="16"/>
  <c r="O69" i="16"/>
  <c r="V69" i="16"/>
  <c r="AD69" i="16"/>
  <c r="K70" i="16"/>
  <c r="L70" i="16"/>
  <c r="M70" i="16"/>
  <c r="O70" i="16"/>
  <c r="V70" i="16"/>
  <c r="AD70" i="16"/>
  <c r="K96" i="34"/>
  <c r="K97" i="34"/>
  <c r="K98" i="34"/>
  <c r="K99" i="34"/>
  <c r="K100" i="34"/>
  <c r="K101" i="34"/>
  <c r="K102" i="34"/>
  <c r="K103" i="34"/>
  <c r="K104" i="34"/>
  <c r="K105" i="34"/>
  <c r="K106" i="34"/>
  <c r="K107" i="34"/>
  <c r="K108" i="34"/>
  <c r="K109" i="34"/>
  <c r="K110" i="34"/>
  <c r="K111" i="34"/>
  <c r="K112" i="34"/>
  <c r="K113" i="34"/>
  <c r="K114" i="34"/>
  <c r="K115" i="34"/>
  <c r="K116" i="34"/>
  <c r="K117" i="34"/>
  <c r="K118" i="34"/>
  <c r="K119" i="34"/>
  <c r="K120" i="34"/>
  <c r="K121" i="34"/>
  <c r="K122" i="34"/>
  <c r="K123" i="34"/>
  <c r="K124" i="34"/>
  <c r="K125" i="34"/>
  <c r="K126" i="34"/>
  <c r="K127" i="34"/>
  <c r="K128" i="34"/>
  <c r="K129" i="34"/>
  <c r="K130" i="34"/>
  <c r="K131" i="34"/>
  <c r="K132" i="34"/>
  <c r="K133" i="34"/>
  <c r="K134" i="34"/>
  <c r="K135" i="34"/>
  <c r="K136" i="34"/>
  <c r="K137" i="34"/>
  <c r="K138" i="34"/>
  <c r="K139" i="34"/>
  <c r="K140" i="34"/>
  <c r="K141" i="34"/>
  <c r="K142" i="34"/>
  <c r="K143" i="34"/>
  <c r="K144" i="34"/>
  <c r="K145" i="34"/>
  <c r="K146" i="34"/>
  <c r="K147" i="34"/>
  <c r="K148" i="34"/>
  <c r="K149" i="34"/>
  <c r="K150" i="34"/>
  <c r="K151" i="34"/>
  <c r="K152" i="34"/>
  <c r="K153" i="34"/>
  <c r="K154" i="34"/>
  <c r="K155" i="34"/>
  <c r="K156" i="34"/>
  <c r="K157" i="34"/>
  <c r="K158" i="34"/>
  <c r="K159" i="34"/>
  <c r="K160" i="34"/>
  <c r="K161" i="34"/>
  <c r="K162" i="34"/>
  <c r="K163" i="34"/>
  <c r="K164" i="34"/>
  <c r="K165" i="34"/>
  <c r="K166" i="34"/>
  <c r="K167" i="34"/>
  <c r="K168" i="34"/>
  <c r="K169" i="34"/>
  <c r="K170" i="34"/>
  <c r="K171" i="34"/>
  <c r="K172" i="34"/>
  <c r="K173" i="34"/>
  <c r="K174" i="34"/>
  <c r="K175" i="34"/>
  <c r="K176" i="34"/>
  <c r="K177" i="34"/>
  <c r="K178" i="34"/>
  <c r="K179" i="34"/>
  <c r="K180" i="34"/>
  <c r="K181" i="34"/>
  <c r="K182" i="34"/>
  <c r="K183" i="34"/>
  <c r="K184" i="34"/>
  <c r="K185" i="34"/>
  <c r="K186" i="34"/>
  <c r="K187" i="34"/>
  <c r="K188" i="34"/>
  <c r="K189" i="34"/>
  <c r="K190" i="34"/>
  <c r="K191" i="34"/>
  <c r="K192" i="34"/>
  <c r="K193" i="34"/>
  <c r="K194" i="34"/>
  <c r="K195" i="34"/>
  <c r="K196" i="34"/>
  <c r="K197" i="34"/>
  <c r="K198" i="34"/>
  <c r="K199" i="34"/>
  <c r="K200" i="34"/>
  <c r="K201" i="34"/>
  <c r="K202" i="34"/>
  <c r="K203" i="34"/>
  <c r="K204" i="34"/>
  <c r="K205" i="34"/>
  <c r="K206" i="34"/>
  <c r="K207" i="34"/>
  <c r="K208" i="34"/>
  <c r="K209" i="34"/>
  <c r="K210" i="34"/>
  <c r="K211" i="34"/>
  <c r="K212" i="34"/>
  <c r="K213" i="34"/>
  <c r="K214" i="34"/>
  <c r="K215" i="34"/>
  <c r="K216" i="34"/>
  <c r="K217" i="34"/>
  <c r="K218" i="34"/>
  <c r="K219" i="34"/>
  <c r="K220" i="34"/>
  <c r="K221" i="34"/>
  <c r="K222" i="34"/>
  <c r="K223" i="34"/>
  <c r="K224" i="34"/>
  <c r="K225" i="34"/>
  <c r="K226" i="34"/>
  <c r="K227" i="34"/>
  <c r="K228" i="34"/>
  <c r="K229" i="34"/>
  <c r="K230" i="34"/>
  <c r="K231" i="34"/>
  <c r="K232" i="34"/>
  <c r="K233" i="34"/>
  <c r="K234" i="34"/>
  <c r="K235" i="34"/>
  <c r="K236" i="34"/>
  <c r="K237" i="34"/>
  <c r="K238" i="34"/>
  <c r="K239" i="34"/>
  <c r="K240" i="34"/>
  <c r="K241" i="34"/>
  <c r="K242" i="34"/>
  <c r="K243" i="34"/>
  <c r="K244" i="34"/>
  <c r="K245" i="34"/>
  <c r="K246" i="34"/>
  <c r="K247" i="34"/>
  <c r="K248" i="34"/>
  <c r="K249" i="34"/>
  <c r="K250" i="34"/>
  <c r="K251" i="34"/>
  <c r="K252" i="34"/>
  <c r="K253" i="34"/>
  <c r="K254" i="34"/>
  <c r="K255" i="34"/>
  <c r="K256" i="34"/>
  <c r="K257" i="34"/>
  <c r="K258" i="34"/>
  <c r="K259" i="34"/>
  <c r="K260" i="34"/>
  <c r="K261" i="34"/>
  <c r="K262" i="34"/>
  <c r="K263" i="34"/>
  <c r="K264" i="34"/>
  <c r="K265" i="34"/>
  <c r="K266" i="34"/>
  <c r="K267" i="34"/>
  <c r="K268" i="34"/>
  <c r="K269" i="34"/>
  <c r="K270" i="34"/>
  <c r="K271" i="34"/>
  <c r="K272" i="34"/>
  <c r="K273" i="34"/>
  <c r="K274" i="34"/>
  <c r="K275" i="34"/>
  <c r="K276" i="34"/>
  <c r="K277" i="34"/>
  <c r="K278" i="34"/>
  <c r="K279" i="34"/>
  <c r="K280" i="34"/>
  <c r="K281" i="34"/>
  <c r="K282" i="34"/>
  <c r="K283" i="34"/>
  <c r="K284" i="34"/>
  <c r="K285" i="34"/>
  <c r="K286" i="34"/>
  <c r="K287" i="34"/>
  <c r="K288" i="34"/>
  <c r="K289" i="34"/>
  <c r="K290" i="34"/>
  <c r="K291" i="34"/>
  <c r="K292" i="34"/>
  <c r="K293" i="34"/>
  <c r="K294" i="34"/>
  <c r="K295" i="34"/>
  <c r="K296" i="34"/>
  <c r="K297" i="34"/>
  <c r="K298" i="34"/>
  <c r="K299" i="34"/>
  <c r="K300" i="34"/>
  <c r="K301" i="34"/>
  <c r="K302" i="34"/>
  <c r="K303" i="34"/>
  <c r="K304" i="34"/>
  <c r="K305" i="34"/>
  <c r="K306" i="34"/>
  <c r="K307" i="34"/>
  <c r="K308" i="34"/>
  <c r="K309" i="34"/>
  <c r="K310" i="34"/>
  <c r="K311" i="34"/>
  <c r="K312" i="34"/>
  <c r="K313" i="34"/>
  <c r="K314" i="34"/>
  <c r="K315" i="34"/>
  <c r="K316" i="34"/>
  <c r="K317" i="34"/>
  <c r="K318" i="34"/>
  <c r="K319" i="34"/>
  <c r="K320" i="34"/>
  <c r="K321" i="34"/>
  <c r="K322" i="34"/>
  <c r="K323" i="34"/>
  <c r="K324" i="34"/>
  <c r="K325" i="34"/>
  <c r="K326" i="34"/>
  <c r="K327" i="34"/>
  <c r="K328" i="34"/>
  <c r="K329" i="34"/>
  <c r="K330" i="34"/>
  <c r="K331" i="34"/>
  <c r="K332" i="34"/>
  <c r="K333" i="34"/>
  <c r="K334" i="34"/>
  <c r="K335" i="34"/>
  <c r="K336" i="34"/>
  <c r="K337" i="34"/>
  <c r="K338" i="34"/>
  <c r="K339" i="34"/>
  <c r="K340" i="34"/>
  <c r="K341" i="34"/>
  <c r="K342" i="34"/>
  <c r="K343" i="34"/>
  <c r="K344" i="34"/>
  <c r="K345" i="34"/>
  <c r="K346" i="34"/>
  <c r="K347" i="34"/>
  <c r="K348" i="34"/>
  <c r="K349" i="34"/>
  <c r="K350" i="34"/>
  <c r="K351" i="34"/>
  <c r="K352" i="34"/>
  <c r="K353" i="34"/>
  <c r="K354" i="34"/>
  <c r="K355" i="34"/>
  <c r="K356" i="34"/>
  <c r="K357" i="34"/>
  <c r="K358" i="34"/>
  <c r="K359" i="34"/>
  <c r="K360" i="34"/>
  <c r="K361" i="34"/>
  <c r="K362" i="34"/>
  <c r="K363" i="34"/>
  <c r="K364" i="34"/>
  <c r="K365" i="34"/>
  <c r="K366" i="34"/>
  <c r="K367" i="34"/>
  <c r="K368" i="34"/>
  <c r="K369" i="34"/>
  <c r="K370" i="34"/>
  <c r="K371" i="34"/>
  <c r="K372" i="34"/>
  <c r="K373" i="34"/>
  <c r="K374" i="34"/>
  <c r="K375" i="34"/>
  <c r="K376" i="34"/>
  <c r="K377" i="34"/>
  <c r="K378" i="34"/>
  <c r="K379" i="34"/>
  <c r="K380" i="34"/>
  <c r="K381" i="34"/>
  <c r="K382" i="34"/>
  <c r="K383" i="34"/>
  <c r="K384" i="34"/>
  <c r="K385" i="34"/>
  <c r="K386" i="34"/>
  <c r="K387" i="34"/>
  <c r="K388" i="34"/>
  <c r="K389" i="34"/>
  <c r="K390" i="34"/>
  <c r="K391" i="34"/>
  <c r="K392" i="34"/>
  <c r="K393" i="34"/>
  <c r="K394" i="34"/>
  <c r="K395" i="34"/>
  <c r="K396" i="34"/>
  <c r="K397" i="34"/>
  <c r="K398" i="34"/>
  <c r="K399" i="34"/>
  <c r="K400" i="34"/>
  <c r="K401" i="34"/>
  <c r="K402" i="34"/>
  <c r="K403" i="34"/>
  <c r="K404" i="34"/>
  <c r="K405" i="34"/>
  <c r="K406" i="34"/>
  <c r="K407" i="34"/>
  <c r="K408" i="34"/>
  <c r="K409" i="34"/>
  <c r="K410" i="34"/>
  <c r="K411" i="34"/>
  <c r="K412" i="34"/>
  <c r="K413" i="34"/>
  <c r="K414" i="34"/>
  <c r="K415" i="34"/>
  <c r="K416" i="34"/>
  <c r="K417" i="34"/>
  <c r="K418" i="34"/>
  <c r="K419" i="34"/>
  <c r="K420" i="34"/>
  <c r="K421" i="34"/>
  <c r="K422" i="34"/>
  <c r="K423" i="34"/>
  <c r="K424" i="34"/>
  <c r="K425" i="34"/>
  <c r="K426" i="34"/>
  <c r="K427" i="34"/>
  <c r="K428" i="34"/>
  <c r="K429" i="34"/>
  <c r="K430" i="34"/>
  <c r="K431" i="34"/>
  <c r="K432" i="34"/>
  <c r="K433" i="34"/>
  <c r="K434" i="34"/>
  <c r="K435" i="34"/>
  <c r="K436" i="34"/>
  <c r="K437" i="34"/>
  <c r="K438" i="34"/>
  <c r="K439" i="34"/>
  <c r="K440" i="34"/>
  <c r="K441" i="34"/>
  <c r="K442" i="34"/>
  <c r="K443" i="34"/>
  <c r="K444" i="34"/>
  <c r="K445" i="34"/>
  <c r="K446" i="34"/>
  <c r="K447" i="34"/>
  <c r="K448" i="34"/>
  <c r="K449" i="34"/>
  <c r="K450" i="34"/>
  <c r="K451" i="34"/>
  <c r="K452" i="34"/>
  <c r="K453" i="34"/>
  <c r="K454" i="34"/>
  <c r="K455" i="34"/>
  <c r="K456" i="34"/>
  <c r="K457" i="34"/>
  <c r="K458" i="34"/>
  <c r="K459" i="34"/>
  <c r="K460" i="34"/>
  <c r="K461" i="34"/>
  <c r="K462" i="34"/>
  <c r="K463" i="34"/>
  <c r="K464" i="34"/>
  <c r="K465" i="34"/>
  <c r="K466" i="34"/>
  <c r="K467" i="34"/>
  <c r="K468" i="34"/>
  <c r="K469" i="34"/>
  <c r="K470" i="34"/>
  <c r="K471" i="34"/>
  <c r="K472" i="34"/>
  <c r="K473" i="34"/>
  <c r="K474" i="34"/>
  <c r="K475" i="34"/>
  <c r="K476" i="34"/>
  <c r="K477" i="34"/>
  <c r="K478" i="34"/>
  <c r="K479" i="34"/>
  <c r="K480" i="34"/>
  <c r="K481" i="34"/>
  <c r="K482" i="34"/>
  <c r="K483" i="34"/>
  <c r="K484" i="34"/>
  <c r="K485" i="34"/>
  <c r="K486" i="34"/>
  <c r="K487" i="34"/>
  <c r="K488" i="34"/>
  <c r="K489" i="34"/>
  <c r="K490" i="34"/>
  <c r="K491" i="34"/>
  <c r="K492" i="34"/>
  <c r="K493" i="34"/>
  <c r="K494" i="34"/>
  <c r="K495" i="34"/>
  <c r="K496" i="34"/>
  <c r="K497" i="34"/>
  <c r="K498" i="34"/>
  <c r="K499" i="34"/>
  <c r="K500" i="34"/>
  <c r="K501" i="34"/>
  <c r="K502" i="34"/>
  <c r="K503" i="34"/>
  <c r="K504" i="34"/>
  <c r="K505" i="34"/>
  <c r="K506" i="34"/>
  <c r="K507" i="34"/>
  <c r="K508" i="34"/>
  <c r="K509" i="34"/>
  <c r="K510" i="34"/>
  <c r="K511" i="34"/>
  <c r="K512" i="34"/>
  <c r="K513" i="34"/>
  <c r="K514" i="34"/>
  <c r="K515" i="34"/>
  <c r="K516" i="34"/>
  <c r="K517" i="34"/>
  <c r="K518" i="34"/>
  <c r="K519" i="34"/>
  <c r="K520" i="34"/>
  <c r="K521" i="34"/>
  <c r="K522" i="34"/>
  <c r="K523" i="34"/>
  <c r="K524" i="34"/>
  <c r="K525" i="34"/>
  <c r="K526" i="34"/>
  <c r="K527" i="34"/>
  <c r="K528" i="34"/>
  <c r="K529" i="34"/>
  <c r="K530" i="34"/>
  <c r="K531" i="34"/>
  <c r="K532" i="34"/>
  <c r="K533" i="34"/>
  <c r="K534" i="34"/>
  <c r="K535" i="34"/>
  <c r="K536" i="34"/>
  <c r="K537" i="34"/>
  <c r="K538" i="34"/>
  <c r="K539" i="34"/>
  <c r="K540" i="34"/>
  <c r="K541" i="34"/>
  <c r="K542" i="34"/>
  <c r="K543" i="34"/>
  <c r="K544" i="34"/>
  <c r="K545" i="34"/>
  <c r="K546" i="34"/>
  <c r="K547" i="34"/>
  <c r="K548" i="34"/>
  <c r="K549" i="34"/>
  <c r="K550" i="34"/>
  <c r="K551" i="34"/>
  <c r="K552" i="34"/>
  <c r="K553" i="34"/>
  <c r="K554" i="34"/>
  <c r="K555" i="34"/>
  <c r="K556" i="34"/>
  <c r="K557" i="34"/>
  <c r="K558" i="34"/>
  <c r="K559" i="34"/>
  <c r="K560" i="34"/>
  <c r="K561" i="34"/>
  <c r="K562" i="34"/>
  <c r="K563" i="34"/>
  <c r="K564" i="34"/>
  <c r="K565" i="34"/>
  <c r="K566" i="34"/>
  <c r="K567" i="34"/>
  <c r="K568" i="34"/>
  <c r="K569" i="34"/>
  <c r="K570" i="34"/>
  <c r="K571" i="34"/>
  <c r="K572" i="34"/>
  <c r="K573" i="34"/>
  <c r="K574" i="34"/>
  <c r="K575" i="34"/>
  <c r="K576" i="34"/>
  <c r="K577" i="34"/>
  <c r="K578" i="34"/>
  <c r="K579" i="34"/>
  <c r="K580" i="34"/>
  <c r="K581" i="34"/>
  <c r="K582" i="34"/>
  <c r="K583" i="34"/>
  <c r="K584" i="34"/>
  <c r="K585" i="34"/>
  <c r="K586" i="34"/>
  <c r="K587" i="34"/>
  <c r="K588" i="34"/>
  <c r="K589" i="34"/>
  <c r="K590" i="34"/>
  <c r="K591" i="34"/>
  <c r="K592" i="34"/>
  <c r="K593" i="34"/>
  <c r="K594" i="34"/>
  <c r="K595" i="34"/>
  <c r="K596" i="34"/>
  <c r="K597" i="34"/>
  <c r="K598" i="34"/>
  <c r="K599" i="34"/>
  <c r="K600" i="34"/>
  <c r="K601" i="34"/>
  <c r="K602" i="34"/>
  <c r="K603" i="34"/>
  <c r="K604" i="34"/>
  <c r="K605" i="34"/>
  <c r="K606" i="34"/>
  <c r="K607" i="34"/>
  <c r="K608" i="34"/>
  <c r="K609" i="34"/>
  <c r="K610" i="34"/>
  <c r="K611" i="34"/>
  <c r="K612" i="34"/>
  <c r="K613" i="34"/>
  <c r="K614" i="34"/>
  <c r="K615" i="34"/>
  <c r="K616" i="34"/>
  <c r="K617" i="34"/>
  <c r="K618" i="34"/>
  <c r="K619" i="34"/>
  <c r="K620" i="34"/>
  <c r="K621" i="34"/>
  <c r="K622" i="34"/>
  <c r="K623" i="34"/>
  <c r="K624" i="34"/>
  <c r="K625" i="34"/>
  <c r="K626" i="34"/>
  <c r="K627" i="34"/>
  <c r="K628" i="34"/>
  <c r="K629" i="34"/>
  <c r="K630" i="34"/>
  <c r="K631" i="34"/>
  <c r="K632" i="34"/>
  <c r="K633" i="34"/>
  <c r="K634" i="34"/>
  <c r="K635" i="34"/>
  <c r="K636" i="34"/>
  <c r="K637" i="34"/>
  <c r="K638" i="34"/>
  <c r="K639" i="34"/>
  <c r="K640" i="34"/>
  <c r="K641" i="34"/>
  <c r="K642" i="34"/>
  <c r="K643" i="34"/>
  <c r="K644" i="34"/>
  <c r="K645" i="34"/>
  <c r="K646" i="34"/>
  <c r="K647" i="34"/>
  <c r="K648" i="34"/>
  <c r="K649" i="34"/>
  <c r="K650" i="34"/>
  <c r="K651" i="34"/>
  <c r="K652" i="34"/>
  <c r="K653" i="34"/>
  <c r="K654" i="34"/>
  <c r="K655" i="34"/>
  <c r="K656" i="34"/>
  <c r="K657" i="34"/>
  <c r="K658" i="34"/>
  <c r="K659" i="34"/>
  <c r="K660" i="34"/>
  <c r="K661" i="34"/>
  <c r="K662" i="34"/>
  <c r="K663" i="34"/>
  <c r="K664" i="34"/>
  <c r="K665" i="34"/>
  <c r="K666" i="34"/>
  <c r="K667" i="34"/>
  <c r="K668" i="34"/>
  <c r="K669" i="34"/>
  <c r="K670" i="34"/>
  <c r="K671" i="34"/>
  <c r="K672" i="34"/>
  <c r="K673" i="34"/>
  <c r="K674" i="34"/>
  <c r="K675" i="34"/>
  <c r="K676" i="34"/>
  <c r="K677" i="34"/>
  <c r="K678" i="34"/>
  <c r="K679" i="34"/>
  <c r="K680" i="34"/>
  <c r="K681" i="34"/>
  <c r="K682" i="34"/>
  <c r="K683" i="34"/>
  <c r="K684" i="34"/>
  <c r="K685" i="34"/>
  <c r="K686" i="34"/>
  <c r="K687" i="34"/>
  <c r="K688" i="34"/>
  <c r="K689" i="34"/>
  <c r="K690" i="34"/>
  <c r="K691" i="34"/>
  <c r="K692" i="34"/>
  <c r="K693" i="34"/>
  <c r="K694" i="34"/>
  <c r="K695" i="34"/>
  <c r="K696" i="34"/>
  <c r="K697" i="34"/>
  <c r="K698" i="34"/>
  <c r="K699" i="34"/>
  <c r="K700" i="34"/>
  <c r="K701" i="34"/>
  <c r="K702" i="34"/>
  <c r="K703" i="34"/>
  <c r="K704" i="34"/>
  <c r="K705" i="34"/>
  <c r="K706" i="34"/>
  <c r="K707" i="34"/>
  <c r="K708" i="34"/>
  <c r="K709" i="34"/>
  <c r="K710" i="34"/>
  <c r="K711" i="34"/>
  <c r="K712" i="34"/>
  <c r="K713" i="34"/>
  <c r="K714" i="34"/>
  <c r="K715" i="34"/>
  <c r="K716" i="34"/>
  <c r="K717" i="34"/>
  <c r="K718" i="34"/>
  <c r="K719" i="34"/>
  <c r="K720" i="34"/>
  <c r="K721" i="34"/>
  <c r="K722" i="34"/>
  <c r="K723" i="34"/>
  <c r="K724" i="34"/>
  <c r="K725" i="34"/>
  <c r="K726" i="34"/>
  <c r="K727" i="34"/>
  <c r="K728" i="34"/>
  <c r="K729" i="34"/>
  <c r="K730" i="34"/>
  <c r="K731" i="34"/>
  <c r="K732" i="34"/>
  <c r="K733" i="34"/>
  <c r="K734" i="34"/>
  <c r="K735" i="34"/>
  <c r="K736" i="34"/>
  <c r="K737" i="34"/>
  <c r="K738" i="34"/>
  <c r="K739" i="34"/>
  <c r="K740" i="34"/>
  <c r="K741" i="34"/>
  <c r="K742" i="34"/>
  <c r="K743" i="34"/>
  <c r="K744" i="34"/>
  <c r="K745" i="34"/>
  <c r="K746" i="34"/>
  <c r="K747" i="34"/>
  <c r="K748" i="34"/>
  <c r="K749" i="34"/>
  <c r="K750" i="34"/>
  <c r="K751" i="34"/>
  <c r="K752" i="34"/>
  <c r="K753" i="34"/>
  <c r="K754" i="34"/>
  <c r="K755" i="34"/>
  <c r="K756" i="34"/>
  <c r="K757" i="34"/>
  <c r="K758" i="34"/>
  <c r="K759" i="34"/>
  <c r="K760" i="34"/>
  <c r="K761" i="34"/>
  <c r="K762" i="34"/>
  <c r="K763" i="34"/>
  <c r="K764" i="34"/>
  <c r="K765" i="34"/>
  <c r="K766" i="34"/>
  <c r="K767" i="34"/>
  <c r="K768" i="34"/>
  <c r="K769" i="34"/>
  <c r="K770" i="34"/>
  <c r="K771" i="34"/>
  <c r="K772" i="34"/>
  <c r="K773" i="34"/>
  <c r="K774" i="34"/>
  <c r="K775" i="34"/>
  <c r="K776" i="34"/>
  <c r="K777" i="34"/>
  <c r="K778" i="34"/>
  <c r="K779" i="34"/>
  <c r="K780" i="34"/>
  <c r="K781" i="34"/>
  <c r="K782" i="34"/>
  <c r="K783" i="34"/>
  <c r="K784" i="34"/>
  <c r="K785" i="34"/>
  <c r="K786" i="34"/>
  <c r="K787" i="34"/>
  <c r="K788" i="34"/>
  <c r="K789" i="34"/>
  <c r="K790" i="34"/>
  <c r="K791" i="34"/>
  <c r="K792" i="34"/>
  <c r="K793" i="34"/>
  <c r="K794" i="34"/>
  <c r="K795" i="34"/>
  <c r="K796" i="34"/>
  <c r="K797" i="34"/>
  <c r="K798" i="34"/>
  <c r="K799" i="34"/>
  <c r="K800" i="34"/>
  <c r="K801" i="34"/>
  <c r="K802" i="34"/>
  <c r="K803" i="34"/>
  <c r="K804" i="34"/>
  <c r="K805" i="34"/>
  <c r="K806" i="34"/>
  <c r="K807" i="34"/>
  <c r="K808" i="34"/>
  <c r="K809" i="34"/>
  <c r="K810" i="34"/>
  <c r="K811" i="34"/>
  <c r="K812" i="34"/>
  <c r="K813" i="34"/>
  <c r="K814" i="34"/>
  <c r="K815" i="34"/>
  <c r="K816" i="34"/>
  <c r="K817" i="34"/>
  <c r="K818" i="34"/>
  <c r="K819" i="34"/>
  <c r="K820" i="34"/>
  <c r="K821" i="34"/>
  <c r="K822" i="34"/>
  <c r="K823" i="34"/>
  <c r="K824" i="34"/>
  <c r="K825" i="34"/>
  <c r="K826" i="34"/>
  <c r="K827" i="34"/>
  <c r="K828" i="34"/>
  <c r="K829" i="34"/>
  <c r="K830" i="34"/>
  <c r="K831" i="34"/>
  <c r="K832" i="34"/>
  <c r="K833" i="34"/>
  <c r="K834" i="34"/>
  <c r="K835" i="34"/>
  <c r="K836" i="34"/>
  <c r="K837" i="34"/>
  <c r="K838" i="34"/>
  <c r="K839" i="34"/>
  <c r="K840" i="34"/>
  <c r="K841" i="34"/>
  <c r="K842" i="34"/>
  <c r="K843" i="34"/>
  <c r="K844" i="34"/>
  <c r="K845" i="34"/>
  <c r="K846" i="34"/>
  <c r="K847" i="34"/>
  <c r="K848" i="34"/>
  <c r="K849" i="34"/>
  <c r="K850" i="34"/>
  <c r="K851" i="34"/>
  <c r="K852" i="34"/>
  <c r="K853" i="34"/>
  <c r="K854" i="34"/>
  <c r="K855" i="34"/>
  <c r="K856" i="34"/>
  <c r="K857" i="34"/>
  <c r="K858" i="34"/>
  <c r="K859" i="34"/>
  <c r="K860" i="34"/>
  <c r="K861" i="34"/>
  <c r="K862" i="34"/>
  <c r="K863" i="34"/>
  <c r="K864" i="34"/>
  <c r="K865" i="34"/>
  <c r="K866" i="34"/>
  <c r="K867" i="34"/>
  <c r="K868" i="34"/>
  <c r="K869" i="34"/>
  <c r="K870" i="34"/>
  <c r="K871" i="34"/>
  <c r="K872" i="34"/>
  <c r="K873" i="34"/>
  <c r="K874" i="34"/>
  <c r="K875" i="34"/>
  <c r="K876" i="34"/>
  <c r="K877" i="34"/>
  <c r="K878" i="34"/>
  <c r="K879" i="34"/>
  <c r="K880" i="34"/>
  <c r="K881" i="34"/>
  <c r="K882" i="34"/>
  <c r="K883" i="34"/>
  <c r="K884" i="34"/>
  <c r="K885" i="34"/>
  <c r="K886" i="34"/>
  <c r="K887" i="34"/>
  <c r="K888" i="34"/>
  <c r="K889" i="34"/>
  <c r="K890" i="34"/>
  <c r="K891" i="34"/>
  <c r="K892" i="34"/>
  <c r="K893" i="34"/>
  <c r="K894" i="34"/>
  <c r="K895" i="34"/>
  <c r="K896" i="34"/>
  <c r="K897" i="34"/>
  <c r="K898" i="34"/>
  <c r="K899" i="34"/>
  <c r="K900" i="34"/>
  <c r="K901" i="34"/>
  <c r="K902" i="34"/>
  <c r="K903" i="34"/>
  <c r="K904" i="34"/>
  <c r="K905" i="34"/>
  <c r="K906" i="34"/>
  <c r="K907" i="34"/>
  <c r="K908" i="34"/>
  <c r="K909" i="34"/>
  <c r="K910" i="34"/>
  <c r="K911" i="34"/>
  <c r="K912" i="34"/>
  <c r="K913" i="34"/>
  <c r="K914" i="34"/>
  <c r="K915" i="34"/>
  <c r="K916" i="34"/>
  <c r="K917" i="34"/>
  <c r="K918" i="34"/>
  <c r="K919" i="34"/>
  <c r="K920" i="34"/>
  <c r="K921" i="34"/>
  <c r="K922" i="34"/>
  <c r="K923" i="34"/>
  <c r="K924" i="34"/>
  <c r="K925" i="34"/>
  <c r="K926" i="34"/>
  <c r="K927" i="34"/>
  <c r="K928" i="34"/>
  <c r="K929" i="34"/>
  <c r="K930" i="34"/>
  <c r="K931" i="34"/>
  <c r="K932" i="34"/>
  <c r="K933" i="34"/>
  <c r="K934" i="34"/>
  <c r="K935" i="34"/>
  <c r="K936" i="34"/>
  <c r="K937" i="34"/>
  <c r="K938" i="34"/>
  <c r="K939" i="34"/>
  <c r="K940" i="34"/>
  <c r="K941" i="34"/>
  <c r="K942" i="34"/>
  <c r="K943" i="34"/>
  <c r="K944" i="34"/>
  <c r="K945" i="34"/>
  <c r="K946" i="34"/>
  <c r="K947" i="34"/>
  <c r="K948" i="34"/>
  <c r="K949" i="34"/>
  <c r="K950" i="34"/>
  <c r="K951" i="34"/>
  <c r="K952" i="34"/>
  <c r="K953" i="34"/>
  <c r="K954" i="34"/>
  <c r="K955" i="34"/>
  <c r="K956" i="34"/>
  <c r="K957" i="34"/>
  <c r="K958" i="34"/>
  <c r="K959" i="34"/>
  <c r="K960" i="34"/>
  <c r="K961" i="34"/>
  <c r="K962" i="34"/>
  <c r="K963" i="34"/>
  <c r="K964" i="34"/>
  <c r="K965" i="34"/>
  <c r="K966" i="34"/>
  <c r="K967" i="34"/>
  <c r="K968" i="34"/>
  <c r="K969" i="34"/>
  <c r="K970" i="34"/>
  <c r="K971" i="34"/>
  <c r="K972" i="34"/>
  <c r="K973" i="34"/>
  <c r="K974" i="34"/>
  <c r="K975" i="34"/>
  <c r="K976" i="34"/>
  <c r="K977" i="34"/>
  <c r="K978" i="34"/>
  <c r="K979" i="34"/>
  <c r="K980" i="34"/>
  <c r="K981" i="34"/>
  <c r="K982" i="34"/>
  <c r="K983" i="34"/>
  <c r="K984" i="34"/>
  <c r="K985" i="34"/>
  <c r="K986" i="34"/>
  <c r="K987" i="34"/>
  <c r="K988" i="34"/>
  <c r="K989" i="34"/>
  <c r="K990" i="34"/>
  <c r="K991" i="34"/>
  <c r="K992" i="34"/>
  <c r="K993" i="34"/>
  <c r="K994" i="34"/>
  <c r="K995" i="34"/>
  <c r="K996" i="34"/>
  <c r="K997" i="34"/>
  <c r="K998" i="34"/>
  <c r="K999" i="34"/>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9" i="48"/>
  <c r="H20" i="48"/>
  <c r="H21" i="48"/>
  <c r="H22" i="48"/>
  <c r="H23" i="48"/>
  <c r="H24" i="48"/>
  <c r="H25" i="48"/>
  <c r="H26" i="48"/>
  <c r="H27" i="48"/>
  <c r="H28" i="48"/>
  <c r="H29" i="48"/>
  <c r="H30" i="48"/>
  <c r="H31" i="48"/>
  <c r="H32" i="48"/>
  <c r="H33" i="48"/>
  <c r="H34" i="48"/>
  <c r="H35" i="48"/>
  <c r="H36" i="48"/>
  <c r="H37" i="48"/>
  <c r="H38" i="48"/>
  <c r="H39" i="48"/>
  <c r="H40" i="48"/>
  <c r="H41" i="48"/>
  <c r="H42" i="48"/>
  <c r="H43" i="48"/>
  <c r="H44" i="48"/>
  <c r="H45" i="48"/>
  <c r="H46" i="48"/>
  <c r="H47" i="48"/>
  <c r="H48" i="48"/>
  <c r="H49" i="48"/>
  <c r="H50" i="48"/>
  <c r="H51" i="48"/>
  <c r="H18" i="28"/>
  <c r="H19" i="28"/>
  <c r="H20" i="28"/>
  <c r="H21" i="28"/>
  <c r="H22" i="28"/>
  <c r="H23" i="28"/>
  <c r="H24" i="28"/>
  <c r="H25" i="28"/>
  <c r="H26" i="28"/>
  <c r="H27" i="28"/>
  <c r="H28" i="28"/>
  <c r="H18" i="27"/>
  <c r="H19" i="27"/>
  <c r="H20" i="27"/>
  <c r="H21" i="27"/>
  <c r="H22" i="27"/>
  <c r="H23" i="27"/>
  <c r="H24" i="27"/>
  <c r="H25" i="27"/>
  <c r="H26" i="27"/>
  <c r="H27" i="27"/>
  <c r="H28" i="27"/>
  <c r="H29" i="27"/>
  <c r="H30" i="27"/>
  <c r="H31" i="27"/>
  <c r="H32" i="27"/>
  <c r="H33" i="27"/>
  <c r="H34" i="27"/>
  <c r="H35" i="27"/>
  <c r="H36" i="27"/>
  <c r="H18" i="26"/>
  <c r="H19" i="26"/>
  <c r="H20" i="26"/>
  <c r="H21" i="26"/>
  <c r="H22" i="26"/>
  <c r="H23" i="26"/>
  <c r="H24" i="26"/>
  <c r="H25" i="26"/>
  <c r="H26" i="26"/>
  <c r="H27" i="26"/>
  <c r="H28" i="26"/>
  <c r="H18" i="25"/>
  <c r="H19" i="25"/>
  <c r="H20" i="25"/>
  <c r="H21" i="25"/>
  <c r="H22" i="25"/>
  <c r="H23" i="25"/>
  <c r="H24" i="25"/>
  <c r="H25" i="25"/>
  <c r="H26" i="25"/>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H54" i="24"/>
  <c r="H55" i="24"/>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8" i="15"/>
  <c r="D9" i="11"/>
  <c r="K92" i="34"/>
  <c r="K93" i="34"/>
  <c r="K94" i="34"/>
  <c r="K95" i="34"/>
  <c r="K91" i="34"/>
  <c r="L33" i="30"/>
  <c r="N116" i="29"/>
  <c r="N115" i="29"/>
  <c r="N114" i="29"/>
  <c r="N113" i="29"/>
  <c r="N112" i="29"/>
  <c r="N111" i="29"/>
  <c r="N110" i="29"/>
  <c r="N109" i="29"/>
  <c r="N108" i="29"/>
  <c r="N107" i="29"/>
  <c r="N106" i="29"/>
  <c r="N105" i="29"/>
  <c r="N104" i="29"/>
  <c r="N103" i="29"/>
  <c r="N102" i="29"/>
  <c r="N101" i="29"/>
  <c r="N100" i="29"/>
  <c r="N99" i="29"/>
  <c r="N98" i="29"/>
  <c r="N97" i="29"/>
  <c r="N96" i="29"/>
  <c r="N95" i="29"/>
  <c r="N94" i="29"/>
  <c r="N93" i="29"/>
  <c r="N92" i="29"/>
  <c r="N91" i="29"/>
  <c r="N90" i="29"/>
  <c r="N89" i="29"/>
  <c r="N88" i="29"/>
  <c r="N87" i="29"/>
  <c r="N86" i="29"/>
  <c r="N85" i="29"/>
  <c r="N84" i="29"/>
  <c r="F11" i="23"/>
  <c r="J22" i="23"/>
  <c r="J23" i="23"/>
  <c r="J24" i="23"/>
  <c r="J25" i="23"/>
  <c r="J26" i="23"/>
  <c r="J27" i="23"/>
  <c r="J28" i="23"/>
  <c r="AD77" i="16"/>
  <c r="AD78" i="16"/>
  <c r="AD79" i="16"/>
  <c r="AD80" i="16"/>
  <c r="AD81" i="16"/>
  <c r="AD82" i="16"/>
  <c r="I18" i="19"/>
  <c r="V81" i="16"/>
  <c r="L18" i="21"/>
  <c r="L19" i="21"/>
  <c r="F13" i="24"/>
  <c r="N18" i="25"/>
  <c r="N18" i="26"/>
  <c r="N26" i="25"/>
  <c r="N27" i="25"/>
  <c r="N20" i="24"/>
  <c r="G40" i="10"/>
  <c r="H40" i="10"/>
  <c r="I40" i="10"/>
  <c r="J40" i="10"/>
  <c r="K40" i="10"/>
  <c r="L40" i="10"/>
  <c r="M40" i="10"/>
  <c r="N40" i="10"/>
  <c r="O40" i="10"/>
  <c r="P40" i="10"/>
  <c r="Q40" i="10"/>
  <c r="F40" i="10"/>
  <c r="F103" i="10"/>
  <c r="C9" i="14"/>
  <c r="I124" i="10"/>
  <c r="J124" i="10"/>
  <c r="K124" i="10"/>
  <c r="M124" i="10"/>
  <c r="O124" i="10"/>
  <c r="P124" i="10"/>
  <c r="Q124" i="10"/>
  <c r="C19" i="35"/>
  <c r="K22" i="34"/>
  <c r="K23" i="34"/>
  <c r="K24" i="34"/>
  <c r="K25" i="34"/>
  <c r="K26" i="34"/>
  <c r="K27" i="34"/>
  <c r="K28" i="34"/>
  <c r="K29" i="34"/>
  <c r="K30" i="34"/>
  <c r="K31" i="34"/>
  <c r="K32" i="34"/>
  <c r="K33" i="34"/>
  <c r="K34" i="34"/>
  <c r="K35" i="34"/>
  <c r="K60" i="34"/>
  <c r="K61" i="34"/>
  <c r="K62" i="34"/>
  <c r="K63" i="34"/>
  <c r="K64" i="34"/>
  <c r="K65" i="34"/>
  <c r="K66" i="34"/>
  <c r="K67" i="34"/>
  <c r="K68" i="34"/>
  <c r="K69" i="34"/>
  <c r="K70" i="34"/>
  <c r="K71" i="34"/>
  <c r="K72" i="34"/>
  <c r="K73" i="34"/>
  <c r="K74" i="34"/>
  <c r="K75" i="34"/>
  <c r="K76" i="34"/>
  <c r="K77" i="34"/>
  <c r="K78" i="34"/>
  <c r="K79" i="34"/>
  <c r="K80" i="34"/>
  <c r="K81" i="34"/>
  <c r="K82" i="34"/>
  <c r="K83" i="34"/>
  <c r="K84" i="34"/>
  <c r="K85" i="34"/>
  <c r="K86" i="34"/>
  <c r="K87" i="34"/>
  <c r="K88" i="34"/>
  <c r="K89" i="34"/>
  <c r="K90" i="34"/>
  <c r="C10" i="39"/>
  <c r="G117" i="10"/>
  <c r="H117" i="10"/>
  <c r="I117" i="10"/>
  <c r="J117" i="10"/>
  <c r="K117" i="10"/>
  <c r="L117" i="10"/>
  <c r="M117" i="10"/>
  <c r="N117" i="10"/>
  <c r="O117" i="10"/>
  <c r="P117" i="10"/>
  <c r="Q117" i="10"/>
  <c r="F117" i="10"/>
  <c r="L22" i="30"/>
  <c r="L23" i="30"/>
  <c r="L24" i="30"/>
  <c r="L25" i="30"/>
  <c r="L26" i="30"/>
  <c r="L27" i="30"/>
  <c r="L28" i="30"/>
  <c r="L29" i="30"/>
  <c r="L30" i="30"/>
  <c r="L31" i="30"/>
  <c r="L32" i="30"/>
  <c r="L34" i="30"/>
  <c r="L35" i="30"/>
  <c r="L36" i="30"/>
  <c r="L37" i="30"/>
  <c r="L38" i="30"/>
  <c r="L39" i="30"/>
  <c r="L40" i="30"/>
  <c r="L41" i="30"/>
  <c r="L42" i="30"/>
  <c r="L43" i="30"/>
  <c r="L44" i="30"/>
  <c r="L45" i="30"/>
  <c r="L46" i="30"/>
  <c r="L47" i="30"/>
  <c r="L48" i="30"/>
  <c r="L49" i="30"/>
  <c r="L50" i="30"/>
  <c r="L51" i="30"/>
  <c r="L52" i="30"/>
  <c r="L53" i="30"/>
  <c r="L54" i="30"/>
  <c r="L55" i="30"/>
  <c r="L56" i="30"/>
  <c r="L57" i="30"/>
  <c r="L58" i="30"/>
  <c r="L59" i="30"/>
  <c r="L60" i="30"/>
  <c r="L61" i="30"/>
  <c r="L62" i="30"/>
  <c r="L63" i="30"/>
  <c r="L64" i="30"/>
  <c r="L65" i="30"/>
  <c r="L66" i="30"/>
  <c r="L67" i="30"/>
  <c r="L68" i="30"/>
  <c r="L69" i="30"/>
  <c r="L70" i="30"/>
  <c r="L71" i="30"/>
  <c r="L72" i="30"/>
  <c r="L73" i="30"/>
  <c r="L74" i="30"/>
  <c r="L75" i="30"/>
  <c r="L76" i="30"/>
  <c r="L77" i="30"/>
  <c r="L78" i="30"/>
  <c r="L79" i="30"/>
  <c r="L80" i="30"/>
  <c r="L81" i="30"/>
  <c r="L82" i="30"/>
  <c r="L83" i="30"/>
  <c r="L84" i="30"/>
  <c r="L85" i="30"/>
  <c r="L86" i="30"/>
  <c r="L87" i="30"/>
  <c r="L88" i="30"/>
  <c r="L89" i="30"/>
  <c r="L90" i="30"/>
  <c r="L91" i="30"/>
  <c r="L92" i="30"/>
  <c r="L93" i="30"/>
  <c r="L94" i="30"/>
  <c r="L95" i="30"/>
  <c r="L96" i="30"/>
  <c r="L97" i="30"/>
  <c r="L98" i="30"/>
  <c r="L99" i="30"/>
  <c r="L100" i="30"/>
  <c r="L101" i="30"/>
  <c r="L102" i="30"/>
  <c r="L103" i="30"/>
  <c r="L104" i="30"/>
  <c r="L105" i="30"/>
  <c r="L106" i="30"/>
  <c r="L107" i="30"/>
  <c r="L108" i="30"/>
  <c r="L109" i="30"/>
  <c r="L110" i="30"/>
  <c r="L111" i="30"/>
  <c r="L112" i="30"/>
  <c r="L113" i="30"/>
  <c r="L114" i="30"/>
  <c r="L115" i="30"/>
  <c r="L116" i="30"/>
  <c r="L117" i="30"/>
  <c r="L118" i="30"/>
  <c r="L119" i="30"/>
  <c r="L120" i="30"/>
  <c r="L121" i="30"/>
  <c r="L122" i="30"/>
  <c r="L123" i="30"/>
  <c r="L124" i="30"/>
  <c r="L125" i="30"/>
  <c r="L126" i="30"/>
  <c r="L127" i="30"/>
  <c r="L128" i="30"/>
  <c r="L129" i="30"/>
  <c r="L130" i="30"/>
  <c r="L131" i="30"/>
  <c r="L132" i="30"/>
  <c r="L133" i="30"/>
  <c r="L134" i="30"/>
  <c r="L135" i="30"/>
  <c r="L136" i="30"/>
  <c r="L137" i="30"/>
  <c r="L138" i="30"/>
  <c r="L139" i="30"/>
  <c r="L140" i="30"/>
  <c r="L141" i="30"/>
  <c r="L142" i="30"/>
  <c r="L143" i="30"/>
  <c r="L144" i="30"/>
  <c r="L145" i="30"/>
  <c r="L146" i="30"/>
  <c r="L147" i="30"/>
  <c r="L148" i="30"/>
  <c r="L149" i="30"/>
  <c r="L150" i="30"/>
  <c r="L151" i="30"/>
  <c r="L152" i="30"/>
  <c r="L153" i="30"/>
  <c r="L154" i="30"/>
  <c r="L155" i="30"/>
  <c r="L156" i="30"/>
  <c r="L157" i="30"/>
  <c r="L158" i="30"/>
  <c r="L159" i="30"/>
  <c r="L160" i="30"/>
  <c r="L161" i="30"/>
  <c r="L162" i="30"/>
  <c r="L163" i="30"/>
  <c r="L164" i="30"/>
  <c r="L165" i="30"/>
  <c r="L166" i="30"/>
  <c r="L167" i="30"/>
  <c r="L168" i="30"/>
  <c r="L169" i="30"/>
  <c r="L170" i="30"/>
  <c r="L171" i="30"/>
  <c r="L172" i="30"/>
  <c r="L173" i="30"/>
  <c r="L174" i="30"/>
  <c r="L175" i="30"/>
  <c r="L176" i="30"/>
  <c r="L177" i="30"/>
  <c r="L178" i="30"/>
  <c r="L179" i="30"/>
  <c r="L180" i="30"/>
  <c r="L181" i="30"/>
  <c r="L182" i="30"/>
  <c r="L183" i="30"/>
  <c r="L184" i="30"/>
  <c r="L185" i="30"/>
  <c r="L186" i="30"/>
  <c r="L187" i="30"/>
  <c r="L188" i="30"/>
  <c r="L189" i="30"/>
  <c r="L190" i="30"/>
  <c r="L191" i="30"/>
  <c r="L192" i="30"/>
  <c r="L193" i="30"/>
  <c r="L194" i="30"/>
  <c r="L195" i="30"/>
  <c r="L196" i="30"/>
  <c r="L197" i="30"/>
  <c r="L198" i="30"/>
  <c r="L199" i="30"/>
  <c r="L200" i="30"/>
  <c r="L201" i="30"/>
  <c r="L202" i="30"/>
  <c r="L203" i="30"/>
  <c r="L204" i="30"/>
  <c r="L205" i="30"/>
  <c r="L206" i="30"/>
  <c r="L207" i="30"/>
  <c r="L208" i="30"/>
  <c r="L209" i="30"/>
  <c r="L210" i="30"/>
  <c r="L211" i="30"/>
  <c r="L212" i="30"/>
  <c r="L213" i="30"/>
  <c r="L214" i="30"/>
  <c r="L215" i="30"/>
  <c r="L216" i="30"/>
  <c r="L217" i="30"/>
  <c r="L218" i="30"/>
  <c r="L219" i="30"/>
  <c r="L220" i="30"/>
  <c r="L221" i="30"/>
  <c r="L222" i="30"/>
  <c r="L223" i="30"/>
  <c r="L224" i="30"/>
  <c r="L225" i="30"/>
  <c r="L226" i="30"/>
  <c r="L227" i="30"/>
  <c r="L228" i="30"/>
  <c r="L229" i="30"/>
  <c r="L230" i="30"/>
  <c r="L231" i="30"/>
  <c r="L232" i="30"/>
  <c r="L233" i="30"/>
  <c r="L234" i="30"/>
  <c r="L235" i="30"/>
  <c r="L236" i="30"/>
  <c r="L237" i="30"/>
  <c r="L238" i="30"/>
  <c r="L239" i="30"/>
  <c r="L240" i="30"/>
  <c r="L241" i="30"/>
  <c r="L242" i="30"/>
  <c r="L243" i="30"/>
  <c r="L244" i="30"/>
  <c r="L245" i="30"/>
  <c r="L246" i="30"/>
  <c r="L247" i="30"/>
  <c r="L248" i="30"/>
  <c r="L249" i="30"/>
  <c r="L250" i="30"/>
  <c r="L251" i="30"/>
  <c r="L252" i="30"/>
  <c r="L253" i="30"/>
  <c r="L254" i="30"/>
  <c r="L255" i="30"/>
  <c r="L256" i="30"/>
  <c r="L257" i="30"/>
  <c r="L258" i="30"/>
  <c r="L259" i="30"/>
  <c r="L260" i="30"/>
  <c r="L261" i="30"/>
  <c r="L262" i="30"/>
  <c r="L263" i="30"/>
  <c r="L264" i="30"/>
  <c r="L265" i="30"/>
  <c r="L266" i="30"/>
  <c r="L267" i="30"/>
  <c r="L268" i="30"/>
  <c r="L269" i="30"/>
  <c r="L270" i="30"/>
  <c r="L271" i="30"/>
  <c r="L272" i="30"/>
  <c r="L273" i="30"/>
  <c r="L274" i="30"/>
  <c r="L275" i="30"/>
  <c r="L276" i="30"/>
  <c r="L277" i="30"/>
  <c r="L278" i="30"/>
  <c r="L279" i="30"/>
  <c r="L280" i="30"/>
  <c r="L281" i="30"/>
  <c r="L282" i="30"/>
  <c r="L283" i="30"/>
  <c r="L284" i="30"/>
  <c r="L285" i="30"/>
  <c r="L286" i="30"/>
  <c r="L287" i="30"/>
  <c r="L288" i="30"/>
  <c r="L289" i="30"/>
  <c r="L290" i="30"/>
  <c r="L291" i="30"/>
  <c r="L292" i="30"/>
  <c r="L293" i="30"/>
  <c r="L294" i="30"/>
  <c r="L295" i="30"/>
  <c r="L296" i="30"/>
  <c r="L297" i="30"/>
  <c r="L298" i="30"/>
  <c r="L299" i="30"/>
  <c r="L300" i="30"/>
  <c r="L301" i="30"/>
  <c r="L302" i="30"/>
  <c r="L303" i="30"/>
  <c r="L304" i="30"/>
  <c r="L305" i="30"/>
  <c r="L306" i="30"/>
  <c r="L307" i="30"/>
  <c r="L308" i="30"/>
  <c r="L309" i="30"/>
  <c r="L310" i="30"/>
  <c r="L311" i="30"/>
  <c r="L312" i="30"/>
  <c r="L313" i="30"/>
  <c r="L314" i="30"/>
  <c r="L315" i="30"/>
  <c r="L316" i="30"/>
  <c r="L317" i="30"/>
  <c r="L318" i="30"/>
  <c r="L319" i="30"/>
  <c r="L320" i="30"/>
  <c r="L321" i="30"/>
  <c r="L322" i="30"/>
  <c r="L323" i="30"/>
  <c r="L324" i="30"/>
  <c r="L325" i="30"/>
  <c r="L326" i="30"/>
  <c r="L327" i="30"/>
  <c r="L328" i="30"/>
  <c r="L329" i="30"/>
  <c r="L330" i="30"/>
  <c r="L331" i="30"/>
  <c r="L332" i="30"/>
  <c r="L333" i="30"/>
  <c r="L334" i="30"/>
  <c r="L335" i="30"/>
  <c r="L336" i="30"/>
  <c r="L337" i="30"/>
  <c r="L338" i="30"/>
  <c r="L339" i="30"/>
  <c r="L340" i="30"/>
  <c r="L341" i="30"/>
  <c r="L342" i="30"/>
  <c r="L343" i="30"/>
  <c r="L344" i="30"/>
  <c r="L345" i="30"/>
  <c r="L346" i="30"/>
  <c r="L347" i="30"/>
  <c r="L348" i="30"/>
  <c r="L349" i="30"/>
  <c r="L350" i="30"/>
  <c r="L351" i="30"/>
  <c r="L352" i="30"/>
  <c r="L353" i="30"/>
  <c r="L354" i="30"/>
  <c r="L355" i="30"/>
  <c r="L356" i="30"/>
  <c r="L357" i="30"/>
  <c r="L358" i="30"/>
  <c r="L359" i="30"/>
  <c r="L360" i="30"/>
  <c r="L361" i="30"/>
  <c r="L362" i="30"/>
  <c r="L363" i="30"/>
  <c r="L364" i="30"/>
  <c r="L365" i="30"/>
  <c r="L366" i="30"/>
  <c r="L367" i="30"/>
  <c r="L368" i="30"/>
  <c r="L369" i="30"/>
  <c r="L370" i="30"/>
  <c r="L371" i="30"/>
  <c r="L372" i="30"/>
  <c r="L373" i="30"/>
  <c r="L374" i="30"/>
  <c r="L375" i="30"/>
  <c r="L376" i="30"/>
  <c r="L377" i="30"/>
  <c r="L378" i="30"/>
  <c r="L379" i="30"/>
  <c r="L380" i="30"/>
  <c r="L381" i="30"/>
  <c r="L382" i="30"/>
  <c r="L383" i="30"/>
  <c r="L384" i="30"/>
  <c r="L385" i="30"/>
  <c r="L386" i="30"/>
  <c r="L387" i="30"/>
  <c r="L388" i="30"/>
  <c r="L389" i="30"/>
  <c r="L390" i="30"/>
  <c r="L391" i="30"/>
  <c r="L392" i="30"/>
  <c r="L393" i="30"/>
  <c r="L394" i="30"/>
  <c r="L395" i="30"/>
  <c r="L396" i="30"/>
  <c r="L397" i="30"/>
  <c r="L398" i="30"/>
  <c r="L399" i="30"/>
  <c r="L400" i="30"/>
  <c r="L401" i="30"/>
  <c r="L402" i="30"/>
  <c r="L403" i="30"/>
  <c r="L404" i="30"/>
  <c r="L405" i="30"/>
  <c r="L406" i="30"/>
  <c r="L407" i="30"/>
  <c r="L408" i="30"/>
  <c r="L409" i="30"/>
  <c r="L410" i="30"/>
  <c r="L411" i="30"/>
  <c r="L412" i="30"/>
  <c r="L413" i="30"/>
  <c r="L414" i="30"/>
  <c r="L415" i="30"/>
  <c r="L416" i="30"/>
  <c r="L417" i="30"/>
  <c r="L418" i="30"/>
  <c r="L419" i="30"/>
  <c r="L420" i="30"/>
  <c r="L421" i="30"/>
  <c r="L422" i="30"/>
  <c r="L423" i="30"/>
  <c r="L424" i="30"/>
  <c r="L425" i="30"/>
  <c r="L426" i="30"/>
  <c r="L427" i="30"/>
  <c r="L428" i="30"/>
  <c r="L429" i="30"/>
  <c r="L430" i="30"/>
  <c r="L431" i="30"/>
  <c r="L432" i="30"/>
  <c r="L433" i="30"/>
  <c r="L434" i="30"/>
  <c r="L435" i="30"/>
  <c r="L436" i="30"/>
  <c r="L437" i="30"/>
  <c r="L438" i="30"/>
  <c r="L439" i="30"/>
  <c r="L440" i="30"/>
  <c r="L441" i="30"/>
  <c r="L442" i="30"/>
  <c r="L443" i="30"/>
  <c r="L444" i="30"/>
  <c r="L445" i="30"/>
  <c r="L446" i="30"/>
  <c r="L447" i="30"/>
  <c r="L448" i="30"/>
  <c r="L449" i="30"/>
  <c r="L450" i="30"/>
  <c r="L451" i="30"/>
  <c r="L452" i="30"/>
  <c r="L453" i="30"/>
  <c r="L454" i="30"/>
  <c r="L455" i="30"/>
  <c r="L456" i="30"/>
  <c r="L457" i="30"/>
  <c r="L458" i="30"/>
  <c r="L459" i="30"/>
  <c r="L460" i="30"/>
  <c r="L461" i="30"/>
  <c r="L462" i="30"/>
  <c r="L463" i="30"/>
  <c r="L464" i="30"/>
  <c r="L465" i="30"/>
  <c r="L466" i="30"/>
  <c r="L467" i="30"/>
  <c r="L468" i="30"/>
  <c r="L469" i="30"/>
  <c r="L470" i="30"/>
  <c r="L471" i="30"/>
  <c r="L472" i="30"/>
  <c r="L473" i="30"/>
  <c r="L474" i="30"/>
  <c r="L475" i="30"/>
  <c r="L476" i="30"/>
  <c r="L477" i="30"/>
  <c r="L478" i="30"/>
  <c r="L479" i="30"/>
  <c r="L480" i="30"/>
  <c r="L481" i="30"/>
  <c r="L482" i="30"/>
  <c r="L483" i="30"/>
  <c r="L484" i="30"/>
  <c r="L485" i="30"/>
  <c r="L486" i="30"/>
  <c r="L487" i="30"/>
  <c r="L488" i="30"/>
  <c r="L489" i="30"/>
  <c r="L490" i="30"/>
  <c r="L491" i="30"/>
  <c r="L492" i="30"/>
  <c r="L493" i="30"/>
  <c r="L494" i="30"/>
  <c r="L495" i="30"/>
  <c r="L496" i="30"/>
  <c r="L497" i="30"/>
  <c r="L498" i="30"/>
  <c r="L499" i="30"/>
  <c r="L500" i="30"/>
  <c r="L501" i="30"/>
  <c r="L502" i="30"/>
  <c r="L503" i="30"/>
  <c r="L504" i="30"/>
  <c r="L505" i="30"/>
  <c r="L506" i="30"/>
  <c r="L507" i="30"/>
  <c r="L508" i="30"/>
  <c r="L509" i="30"/>
  <c r="L510" i="30"/>
  <c r="L511" i="30"/>
  <c r="L512" i="30"/>
  <c r="L513" i="30"/>
  <c r="L514" i="30"/>
  <c r="L515" i="30"/>
  <c r="L516" i="30"/>
  <c r="L517" i="30"/>
  <c r="L518" i="30"/>
  <c r="L519" i="30"/>
  <c r="L520" i="30"/>
  <c r="L521" i="30"/>
  <c r="L522" i="30"/>
  <c r="L523" i="30"/>
  <c r="L524" i="30"/>
  <c r="L525" i="30"/>
  <c r="L526" i="30"/>
  <c r="L527" i="30"/>
  <c r="L528" i="30"/>
  <c r="L529" i="30"/>
  <c r="L530" i="30"/>
  <c r="L531" i="30"/>
  <c r="L532" i="30"/>
  <c r="L533" i="30"/>
  <c r="L534" i="30"/>
  <c r="L535" i="30"/>
  <c r="L536" i="30"/>
  <c r="L537" i="30"/>
  <c r="L538" i="30"/>
  <c r="L539" i="30"/>
  <c r="L540" i="30"/>
  <c r="L541" i="30"/>
  <c r="L542" i="30"/>
  <c r="L543" i="30"/>
  <c r="L544" i="30"/>
  <c r="L545" i="30"/>
  <c r="L546" i="30"/>
  <c r="L547" i="30"/>
  <c r="L548" i="30"/>
  <c r="L549" i="30"/>
  <c r="L550" i="30"/>
  <c r="L551" i="30"/>
  <c r="L552" i="30"/>
  <c r="L553" i="30"/>
  <c r="L554" i="30"/>
  <c r="L555" i="30"/>
  <c r="L556" i="30"/>
  <c r="L557" i="30"/>
  <c r="L558" i="30"/>
  <c r="L559" i="30"/>
  <c r="L560" i="30"/>
  <c r="L561" i="30"/>
  <c r="L562" i="30"/>
  <c r="L563" i="30"/>
  <c r="L564" i="30"/>
  <c r="L565" i="30"/>
  <c r="L566" i="30"/>
  <c r="L567" i="30"/>
  <c r="L568" i="30"/>
  <c r="L569" i="30"/>
  <c r="L570" i="30"/>
  <c r="L571" i="30"/>
  <c r="L572" i="30"/>
  <c r="L573" i="30"/>
  <c r="L574" i="30"/>
  <c r="L575" i="30"/>
  <c r="L576" i="30"/>
  <c r="L577" i="30"/>
  <c r="L578" i="30"/>
  <c r="L579" i="30"/>
  <c r="L580" i="30"/>
  <c r="L581" i="30"/>
  <c r="L582" i="30"/>
  <c r="L583" i="30"/>
  <c r="L584" i="30"/>
  <c r="L585" i="30"/>
  <c r="L586" i="30"/>
  <c r="L587" i="30"/>
  <c r="L588" i="30"/>
  <c r="L589" i="30"/>
  <c r="L590" i="30"/>
  <c r="L591" i="30"/>
  <c r="L592" i="30"/>
  <c r="L593" i="30"/>
  <c r="L594" i="30"/>
  <c r="L595" i="30"/>
  <c r="L596" i="30"/>
  <c r="L597" i="30"/>
  <c r="L598" i="30"/>
  <c r="L599" i="30"/>
  <c r="L600" i="30"/>
  <c r="L601" i="30"/>
  <c r="L602" i="30"/>
  <c r="L603" i="30"/>
  <c r="L604" i="30"/>
  <c r="L605" i="30"/>
  <c r="L606" i="30"/>
  <c r="L607" i="30"/>
  <c r="L608" i="30"/>
  <c r="L609" i="30"/>
  <c r="L610" i="30"/>
  <c r="L611" i="30"/>
  <c r="L612" i="30"/>
  <c r="L613" i="30"/>
  <c r="L614" i="30"/>
  <c r="L615" i="30"/>
  <c r="L616" i="30"/>
  <c r="L617" i="30"/>
  <c r="L618" i="30"/>
  <c r="L619" i="30"/>
  <c r="L620" i="30"/>
  <c r="L621" i="30"/>
  <c r="L622" i="30"/>
  <c r="L623" i="30"/>
  <c r="L624" i="30"/>
  <c r="L625" i="30"/>
  <c r="L626" i="30"/>
  <c r="L627" i="30"/>
  <c r="L628" i="30"/>
  <c r="L629" i="30"/>
  <c r="L630" i="30"/>
  <c r="L631" i="30"/>
  <c r="L632" i="30"/>
  <c r="L633" i="30"/>
  <c r="L634" i="30"/>
  <c r="L635" i="30"/>
  <c r="L636" i="30"/>
  <c r="L637" i="30"/>
  <c r="L638" i="30"/>
  <c r="L639" i="30"/>
  <c r="L640" i="30"/>
  <c r="L641" i="30"/>
  <c r="L642" i="30"/>
  <c r="L643" i="30"/>
  <c r="L644" i="30"/>
  <c r="L645" i="30"/>
  <c r="L646" i="30"/>
  <c r="L647" i="30"/>
  <c r="L648" i="30"/>
  <c r="L649" i="30"/>
  <c r="L650" i="30"/>
  <c r="L651" i="30"/>
  <c r="L652" i="30"/>
  <c r="L653" i="30"/>
  <c r="L654" i="30"/>
  <c r="L655" i="30"/>
  <c r="L656" i="30"/>
  <c r="L657" i="30"/>
  <c r="L658" i="30"/>
  <c r="L659" i="30"/>
  <c r="L660" i="30"/>
  <c r="L661" i="30"/>
  <c r="L662" i="30"/>
  <c r="L663" i="30"/>
  <c r="L664" i="30"/>
  <c r="L665" i="30"/>
  <c r="L666" i="30"/>
  <c r="L667" i="30"/>
  <c r="L668" i="30"/>
  <c r="L669" i="30"/>
  <c r="L670" i="30"/>
  <c r="L671" i="30"/>
  <c r="L672" i="30"/>
  <c r="L673" i="30"/>
  <c r="L674" i="30"/>
  <c r="L675" i="30"/>
  <c r="L676" i="30"/>
  <c r="L677" i="30"/>
  <c r="L678" i="30"/>
  <c r="L679" i="30"/>
  <c r="L680" i="30"/>
  <c r="L681" i="30"/>
  <c r="L682" i="30"/>
  <c r="L683" i="30"/>
  <c r="L684" i="30"/>
  <c r="L685" i="30"/>
  <c r="L686" i="30"/>
  <c r="L687" i="30"/>
  <c r="L688" i="30"/>
  <c r="L689" i="30"/>
  <c r="L690" i="30"/>
  <c r="L691" i="30"/>
  <c r="L692" i="30"/>
  <c r="L693" i="30"/>
  <c r="L694" i="30"/>
  <c r="L695" i="30"/>
  <c r="L696" i="30"/>
  <c r="L697" i="30"/>
  <c r="L698" i="30"/>
  <c r="L699" i="30"/>
  <c r="L700" i="30"/>
  <c r="L701" i="30"/>
  <c r="L702" i="30"/>
  <c r="L703" i="30"/>
  <c r="L704" i="30"/>
  <c r="L705" i="30"/>
  <c r="L706" i="30"/>
  <c r="L707" i="30"/>
  <c r="L708" i="30"/>
  <c r="L709" i="30"/>
  <c r="L710" i="30"/>
  <c r="L711" i="30"/>
  <c r="L712" i="30"/>
  <c r="L713" i="30"/>
  <c r="L714" i="30"/>
  <c r="L715" i="30"/>
  <c r="L716" i="30"/>
  <c r="L717" i="30"/>
  <c r="L718" i="30"/>
  <c r="L719" i="30"/>
  <c r="L720" i="30"/>
  <c r="L721" i="30"/>
  <c r="L722" i="30"/>
  <c r="L723" i="30"/>
  <c r="L724" i="30"/>
  <c r="L725" i="30"/>
  <c r="L726" i="30"/>
  <c r="L727" i="30"/>
  <c r="L728" i="30"/>
  <c r="L729" i="30"/>
  <c r="L730" i="30"/>
  <c r="L731" i="30"/>
  <c r="L732" i="30"/>
  <c r="L733" i="30"/>
  <c r="L734" i="30"/>
  <c r="L735" i="30"/>
  <c r="L736" i="30"/>
  <c r="L737" i="30"/>
  <c r="L738" i="30"/>
  <c r="L739" i="30"/>
  <c r="L740" i="30"/>
  <c r="L741" i="30"/>
  <c r="L742" i="30"/>
  <c r="L743" i="30"/>
  <c r="L744" i="30"/>
  <c r="L745" i="30"/>
  <c r="L746" i="30"/>
  <c r="L747" i="30"/>
  <c r="L748" i="30"/>
  <c r="L749" i="30"/>
  <c r="L750" i="30"/>
  <c r="L751" i="30"/>
  <c r="L752" i="30"/>
  <c r="L753" i="30"/>
  <c r="L754" i="30"/>
  <c r="L755" i="30"/>
  <c r="L756" i="30"/>
  <c r="L757" i="30"/>
  <c r="L758" i="30"/>
  <c r="L759" i="30"/>
  <c r="L760" i="30"/>
  <c r="L761" i="30"/>
  <c r="L762" i="30"/>
  <c r="L763" i="30"/>
  <c r="L764" i="30"/>
  <c r="L765" i="30"/>
  <c r="L766" i="30"/>
  <c r="L767" i="30"/>
  <c r="L768" i="30"/>
  <c r="L769" i="30"/>
  <c r="L770" i="30"/>
  <c r="L771" i="30"/>
  <c r="L772" i="30"/>
  <c r="L773" i="30"/>
  <c r="L774" i="30"/>
  <c r="L775" i="30"/>
  <c r="L776" i="30"/>
  <c r="L777" i="30"/>
  <c r="L778" i="30"/>
  <c r="L779" i="30"/>
  <c r="L780" i="30"/>
  <c r="L781" i="30"/>
  <c r="L782" i="30"/>
  <c r="L783" i="30"/>
  <c r="L784" i="30"/>
  <c r="L785" i="30"/>
  <c r="L786" i="30"/>
  <c r="L787" i="30"/>
  <c r="L788" i="30"/>
  <c r="L789" i="30"/>
  <c r="L790" i="30"/>
  <c r="L791" i="30"/>
  <c r="L792" i="30"/>
  <c r="L793" i="30"/>
  <c r="L794" i="30"/>
  <c r="L795" i="30"/>
  <c r="L796" i="30"/>
  <c r="L797" i="30"/>
  <c r="L798" i="30"/>
  <c r="L799" i="30"/>
  <c r="L800" i="30"/>
  <c r="L801" i="30"/>
  <c r="L802" i="30"/>
  <c r="L803" i="30"/>
  <c r="L804" i="30"/>
  <c r="L805" i="30"/>
  <c r="L806" i="30"/>
  <c r="L807" i="30"/>
  <c r="L808" i="30"/>
  <c r="L809" i="30"/>
  <c r="L810" i="30"/>
  <c r="L811" i="30"/>
  <c r="L812" i="30"/>
  <c r="L813" i="30"/>
  <c r="L814" i="30"/>
  <c r="L815" i="30"/>
  <c r="L816" i="30"/>
  <c r="L817" i="30"/>
  <c r="L818" i="30"/>
  <c r="L819" i="30"/>
  <c r="L820" i="30"/>
  <c r="L821" i="30"/>
  <c r="L822" i="30"/>
  <c r="L823" i="30"/>
  <c r="L824" i="30"/>
  <c r="L825" i="30"/>
  <c r="L826" i="30"/>
  <c r="L827" i="30"/>
  <c r="L828" i="30"/>
  <c r="L829" i="30"/>
  <c r="L830" i="30"/>
  <c r="L831" i="30"/>
  <c r="L832" i="30"/>
  <c r="L833" i="30"/>
  <c r="L834" i="30"/>
  <c r="L835" i="30"/>
  <c r="L836" i="30"/>
  <c r="L837" i="30"/>
  <c r="L838" i="30"/>
  <c r="L839" i="30"/>
  <c r="L840" i="30"/>
  <c r="L841" i="30"/>
  <c r="L842" i="30"/>
  <c r="L843" i="30"/>
  <c r="L844" i="30"/>
  <c r="L845" i="30"/>
  <c r="L846" i="30"/>
  <c r="L847" i="30"/>
  <c r="L848" i="30"/>
  <c r="L849" i="30"/>
  <c r="L850" i="30"/>
  <c r="L851" i="30"/>
  <c r="L852" i="30"/>
  <c r="L853" i="30"/>
  <c r="L854" i="30"/>
  <c r="L855" i="30"/>
  <c r="L856" i="30"/>
  <c r="L857" i="30"/>
  <c r="L858" i="30"/>
  <c r="L859" i="30"/>
  <c r="L860" i="30"/>
  <c r="L861" i="30"/>
  <c r="L862" i="30"/>
  <c r="L863" i="30"/>
  <c r="L864" i="30"/>
  <c r="L865" i="30"/>
  <c r="L866" i="30"/>
  <c r="L867" i="30"/>
  <c r="L868" i="30"/>
  <c r="L869" i="30"/>
  <c r="L870" i="30"/>
  <c r="L871" i="30"/>
  <c r="L872" i="30"/>
  <c r="L873" i="30"/>
  <c r="L874" i="30"/>
  <c r="L875" i="30"/>
  <c r="L876" i="30"/>
  <c r="L877" i="30"/>
  <c r="L878" i="30"/>
  <c r="L879" i="30"/>
  <c r="L880" i="30"/>
  <c r="L881" i="30"/>
  <c r="L882" i="30"/>
  <c r="L883" i="30"/>
  <c r="L884" i="30"/>
  <c r="L885" i="30"/>
  <c r="L886" i="30"/>
  <c r="L887" i="30"/>
  <c r="L888" i="30"/>
  <c r="L889" i="30"/>
  <c r="L890" i="30"/>
  <c r="L891" i="30"/>
  <c r="L892" i="30"/>
  <c r="L893" i="30"/>
  <c r="L894" i="30"/>
  <c r="L895" i="30"/>
  <c r="L896" i="30"/>
  <c r="L897" i="30"/>
  <c r="L898" i="30"/>
  <c r="L899" i="30"/>
  <c r="L900" i="30"/>
  <c r="L901" i="30"/>
  <c r="L902" i="30"/>
  <c r="L903" i="30"/>
  <c r="L904" i="30"/>
  <c r="L905" i="30"/>
  <c r="L906" i="30"/>
  <c r="L907" i="30"/>
  <c r="L908" i="30"/>
  <c r="L909" i="30"/>
  <c r="L910" i="30"/>
  <c r="L911" i="30"/>
  <c r="L912" i="30"/>
  <c r="L913" i="30"/>
  <c r="L914" i="30"/>
  <c r="L915" i="30"/>
  <c r="L916" i="30"/>
  <c r="L917" i="30"/>
  <c r="L918" i="30"/>
  <c r="L919" i="30"/>
  <c r="L920" i="30"/>
  <c r="L921" i="30"/>
  <c r="L922" i="30"/>
  <c r="L923" i="30"/>
  <c r="L924" i="30"/>
  <c r="L925" i="30"/>
  <c r="L926" i="30"/>
  <c r="L927" i="30"/>
  <c r="L928" i="30"/>
  <c r="L929" i="30"/>
  <c r="L930" i="30"/>
  <c r="L931" i="30"/>
  <c r="L932" i="30"/>
  <c r="L933" i="30"/>
  <c r="L934" i="30"/>
  <c r="L935" i="30"/>
  <c r="L936" i="30"/>
  <c r="L937" i="30"/>
  <c r="L938" i="30"/>
  <c r="L939" i="30"/>
  <c r="L940" i="30"/>
  <c r="L941" i="30"/>
  <c r="L942" i="30"/>
  <c r="L943" i="30"/>
  <c r="L944" i="30"/>
  <c r="L945" i="30"/>
  <c r="L946" i="30"/>
  <c r="L947" i="30"/>
  <c r="L948" i="30"/>
  <c r="L949" i="30"/>
  <c r="L950" i="30"/>
  <c r="L951" i="30"/>
  <c r="L952" i="30"/>
  <c r="L953" i="30"/>
  <c r="L954" i="30"/>
  <c r="L955" i="30"/>
  <c r="L956" i="30"/>
  <c r="L957" i="30"/>
  <c r="L958" i="30"/>
  <c r="L959" i="30"/>
  <c r="L960" i="30"/>
  <c r="L961" i="30"/>
  <c r="L962" i="30"/>
  <c r="L963" i="30"/>
  <c r="L964" i="30"/>
  <c r="L965" i="30"/>
  <c r="L966" i="30"/>
  <c r="L967" i="30"/>
  <c r="L968" i="30"/>
  <c r="L969" i="30"/>
  <c r="L970" i="30"/>
  <c r="L971" i="30"/>
  <c r="L972" i="30"/>
  <c r="L973" i="30"/>
  <c r="L974" i="30"/>
  <c r="L975" i="30"/>
  <c r="L976" i="30"/>
  <c r="L977" i="30"/>
  <c r="L978" i="30"/>
  <c r="L979" i="30"/>
  <c r="L980" i="30"/>
  <c r="L981" i="30"/>
  <c r="L982" i="30"/>
  <c r="L983" i="30"/>
  <c r="L984" i="30"/>
  <c r="L985" i="30"/>
  <c r="L986" i="30"/>
  <c r="L987" i="30"/>
  <c r="L988" i="30"/>
  <c r="L989" i="30"/>
  <c r="L990" i="30"/>
  <c r="L991" i="30"/>
  <c r="L992" i="30"/>
  <c r="L993" i="30"/>
  <c r="L994" i="30"/>
  <c r="L995" i="30"/>
  <c r="L996" i="30"/>
  <c r="L997" i="30"/>
  <c r="L998" i="30"/>
  <c r="L999" i="30"/>
  <c r="L1000" i="30"/>
  <c r="L1001" i="30"/>
  <c r="L1002" i="30"/>
  <c r="L1003" i="30"/>
  <c r="L1004"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8" i="30"/>
  <c r="D169" i="30"/>
  <c r="D170" i="30"/>
  <c r="D171" i="30"/>
  <c r="D172" i="30"/>
  <c r="D173" i="30"/>
  <c r="D174" i="30"/>
  <c r="D175" i="30"/>
  <c r="D176" i="30"/>
  <c r="D177" i="30"/>
  <c r="D178" i="30"/>
  <c r="D179" i="30"/>
  <c r="D180" i="30"/>
  <c r="D181" i="30"/>
  <c r="D182" i="30"/>
  <c r="D183" i="30"/>
  <c r="D184" i="30"/>
  <c r="D185" i="30"/>
  <c r="D186" i="30"/>
  <c r="D187" i="30"/>
  <c r="D188" i="30"/>
  <c r="D189" i="30"/>
  <c r="D190" i="30"/>
  <c r="D191" i="30"/>
  <c r="D192" i="30"/>
  <c r="D193" i="30"/>
  <c r="D194" i="30"/>
  <c r="D195" i="30"/>
  <c r="D196" i="30"/>
  <c r="D197" i="30"/>
  <c r="D198" i="30"/>
  <c r="D199" i="30"/>
  <c r="D200" i="30"/>
  <c r="D201" i="30"/>
  <c r="D202" i="30"/>
  <c r="D203" i="30"/>
  <c r="D204" i="30"/>
  <c r="D205" i="30"/>
  <c r="D206" i="30"/>
  <c r="D207" i="30"/>
  <c r="D208" i="30"/>
  <c r="D209" i="30"/>
  <c r="D210" i="30"/>
  <c r="D211" i="30"/>
  <c r="D212" i="30"/>
  <c r="D213" i="30"/>
  <c r="D214" i="30"/>
  <c r="D215" i="30"/>
  <c r="D216" i="30"/>
  <c r="D217" i="30"/>
  <c r="D218" i="30"/>
  <c r="D219" i="30"/>
  <c r="D220" i="30"/>
  <c r="D221" i="30"/>
  <c r="D222" i="30"/>
  <c r="D223" i="30"/>
  <c r="D224" i="30"/>
  <c r="D225" i="30"/>
  <c r="D226" i="30"/>
  <c r="D227" i="30"/>
  <c r="D228" i="30"/>
  <c r="D229" i="30"/>
  <c r="D230" i="30"/>
  <c r="D231" i="30"/>
  <c r="D232" i="30"/>
  <c r="D233" i="30"/>
  <c r="D234" i="30"/>
  <c r="D235" i="30"/>
  <c r="D236" i="30"/>
  <c r="D237" i="30"/>
  <c r="D238" i="30"/>
  <c r="D239" i="30"/>
  <c r="D240" i="30"/>
  <c r="D241" i="30"/>
  <c r="D242" i="30"/>
  <c r="D243" i="30"/>
  <c r="D244" i="30"/>
  <c r="D245" i="30"/>
  <c r="D246" i="30"/>
  <c r="D247" i="30"/>
  <c r="D248" i="30"/>
  <c r="D249" i="30"/>
  <c r="D250" i="30"/>
  <c r="D251" i="30"/>
  <c r="D252" i="30"/>
  <c r="D253" i="30"/>
  <c r="D254" i="30"/>
  <c r="D255" i="30"/>
  <c r="D256" i="30"/>
  <c r="D257" i="30"/>
  <c r="D258" i="30"/>
  <c r="D259" i="30"/>
  <c r="D260" i="30"/>
  <c r="D261" i="30"/>
  <c r="D262" i="30"/>
  <c r="D263" i="30"/>
  <c r="D264" i="30"/>
  <c r="D265" i="30"/>
  <c r="D266" i="30"/>
  <c r="D267" i="30"/>
  <c r="D268" i="30"/>
  <c r="D269" i="30"/>
  <c r="D270" i="30"/>
  <c r="D271" i="30"/>
  <c r="D272" i="30"/>
  <c r="D273" i="30"/>
  <c r="D274" i="30"/>
  <c r="D275" i="30"/>
  <c r="D276" i="30"/>
  <c r="D277" i="30"/>
  <c r="D278" i="30"/>
  <c r="D279" i="30"/>
  <c r="D280" i="30"/>
  <c r="D281" i="30"/>
  <c r="D282" i="30"/>
  <c r="D283" i="30"/>
  <c r="D284" i="30"/>
  <c r="D285" i="30"/>
  <c r="D286" i="30"/>
  <c r="D287" i="30"/>
  <c r="D288" i="30"/>
  <c r="D289" i="30"/>
  <c r="D290" i="30"/>
  <c r="D291" i="30"/>
  <c r="D292" i="30"/>
  <c r="D293" i="30"/>
  <c r="D294" i="30"/>
  <c r="D295" i="30"/>
  <c r="D296" i="30"/>
  <c r="D297" i="30"/>
  <c r="D298" i="30"/>
  <c r="D299" i="30"/>
  <c r="D300" i="30"/>
  <c r="D301" i="30"/>
  <c r="D302" i="30"/>
  <c r="D303" i="30"/>
  <c r="D304" i="30"/>
  <c r="D305" i="30"/>
  <c r="D306" i="30"/>
  <c r="D307" i="30"/>
  <c r="D308" i="30"/>
  <c r="D309" i="30"/>
  <c r="D310" i="30"/>
  <c r="D311" i="30"/>
  <c r="D312" i="30"/>
  <c r="D313" i="30"/>
  <c r="D314" i="30"/>
  <c r="D315" i="30"/>
  <c r="D316" i="30"/>
  <c r="D317" i="30"/>
  <c r="D318" i="30"/>
  <c r="D319" i="30"/>
  <c r="D320" i="30"/>
  <c r="D321" i="30"/>
  <c r="D322" i="30"/>
  <c r="D323" i="30"/>
  <c r="D324" i="30"/>
  <c r="D325" i="30"/>
  <c r="D326" i="30"/>
  <c r="D327" i="30"/>
  <c r="D328" i="30"/>
  <c r="D329" i="30"/>
  <c r="D330" i="30"/>
  <c r="D331" i="30"/>
  <c r="D332" i="30"/>
  <c r="D333" i="30"/>
  <c r="D334" i="30"/>
  <c r="D335" i="30"/>
  <c r="D336" i="30"/>
  <c r="D337" i="30"/>
  <c r="D338" i="30"/>
  <c r="D339" i="30"/>
  <c r="D340" i="30"/>
  <c r="D341" i="30"/>
  <c r="D342" i="30"/>
  <c r="D343" i="30"/>
  <c r="D344" i="30"/>
  <c r="D345" i="30"/>
  <c r="D346" i="30"/>
  <c r="D347" i="30"/>
  <c r="D348" i="30"/>
  <c r="D349" i="30"/>
  <c r="D350" i="30"/>
  <c r="D351" i="30"/>
  <c r="D352" i="30"/>
  <c r="D353" i="30"/>
  <c r="D354" i="30"/>
  <c r="D355" i="30"/>
  <c r="D356" i="30"/>
  <c r="D357" i="30"/>
  <c r="D358" i="30"/>
  <c r="D359" i="30"/>
  <c r="D360" i="30"/>
  <c r="D361" i="30"/>
  <c r="D362" i="30"/>
  <c r="D363" i="30"/>
  <c r="D364" i="30"/>
  <c r="D365" i="30"/>
  <c r="D366" i="30"/>
  <c r="D367" i="30"/>
  <c r="D368" i="30"/>
  <c r="D369" i="30"/>
  <c r="D370" i="30"/>
  <c r="D371" i="30"/>
  <c r="D372" i="30"/>
  <c r="D373" i="30"/>
  <c r="D374" i="30"/>
  <c r="D375" i="30"/>
  <c r="D376" i="30"/>
  <c r="D377" i="30"/>
  <c r="D378" i="30"/>
  <c r="D379" i="30"/>
  <c r="D380" i="30"/>
  <c r="D381" i="30"/>
  <c r="D382" i="30"/>
  <c r="D383" i="30"/>
  <c r="D384" i="30"/>
  <c r="D385" i="30"/>
  <c r="D386" i="30"/>
  <c r="D387" i="30"/>
  <c r="D388" i="30"/>
  <c r="D389" i="30"/>
  <c r="D390" i="30"/>
  <c r="D391" i="30"/>
  <c r="D392" i="30"/>
  <c r="D393" i="30"/>
  <c r="D394" i="30"/>
  <c r="D395" i="30"/>
  <c r="D396" i="30"/>
  <c r="D397" i="30"/>
  <c r="D398" i="30"/>
  <c r="D399" i="30"/>
  <c r="D400" i="30"/>
  <c r="D401" i="30"/>
  <c r="D402" i="30"/>
  <c r="D403" i="30"/>
  <c r="D404" i="30"/>
  <c r="D405" i="30"/>
  <c r="D406" i="30"/>
  <c r="D407" i="30"/>
  <c r="D408" i="30"/>
  <c r="D409" i="30"/>
  <c r="D410" i="30"/>
  <c r="D411" i="30"/>
  <c r="D412" i="30"/>
  <c r="D413" i="30"/>
  <c r="D414" i="30"/>
  <c r="D415" i="30"/>
  <c r="D416" i="30"/>
  <c r="D417" i="30"/>
  <c r="D418" i="30"/>
  <c r="D419" i="30"/>
  <c r="D420" i="30"/>
  <c r="D421" i="30"/>
  <c r="D422" i="30"/>
  <c r="D423" i="30"/>
  <c r="D424" i="30"/>
  <c r="D425" i="30"/>
  <c r="D426" i="30"/>
  <c r="D427" i="30"/>
  <c r="D428" i="30"/>
  <c r="D429" i="30"/>
  <c r="D430" i="30"/>
  <c r="D431" i="30"/>
  <c r="D432" i="30"/>
  <c r="D433" i="30"/>
  <c r="D434" i="30"/>
  <c r="D435" i="30"/>
  <c r="D436" i="30"/>
  <c r="D437" i="30"/>
  <c r="D438" i="30"/>
  <c r="D439" i="30"/>
  <c r="D440" i="30"/>
  <c r="D441" i="30"/>
  <c r="D442" i="30"/>
  <c r="D443" i="30"/>
  <c r="D444" i="30"/>
  <c r="D445" i="30"/>
  <c r="D446" i="30"/>
  <c r="D447" i="30"/>
  <c r="D448" i="30"/>
  <c r="D449" i="30"/>
  <c r="D450" i="30"/>
  <c r="D451" i="30"/>
  <c r="D452" i="30"/>
  <c r="D453" i="30"/>
  <c r="D454" i="30"/>
  <c r="D455" i="30"/>
  <c r="D456" i="30"/>
  <c r="D457" i="30"/>
  <c r="D458" i="30"/>
  <c r="D459" i="30"/>
  <c r="D460" i="30"/>
  <c r="D461" i="30"/>
  <c r="D462" i="30"/>
  <c r="D463" i="30"/>
  <c r="D464" i="30"/>
  <c r="D465" i="30"/>
  <c r="D466" i="30"/>
  <c r="D467" i="30"/>
  <c r="D468" i="30"/>
  <c r="D469" i="30"/>
  <c r="D470" i="30"/>
  <c r="D471" i="30"/>
  <c r="D472" i="30"/>
  <c r="D473" i="30"/>
  <c r="D474" i="30"/>
  <c r="D475" i="30"/>
  <c r="D476" i="30"/>
  <c r="D477" i="30"/>
  <c r="D478" i="30"/>
  <c r="D479" i="30"/>
  <c r="D480" i="30"/>
  <c r="D481" i="30"/>
  <c r="D482" i="30"/>
  <c r="D483" i="30"/>
  <c r="D484" i="30"/>
  <c r="D485" i="30"/>
  <c r="D486" i="30"/>
  <c r="D487" i="30"/>
  <c r="D488" i="30"/>
  <c r="D489" i="30"/>
  <c r="D490" i="30"/>
  <c r="D491" i="30"/>
  <c r="D492" i="30"/>
  <c r="D493" i="30"/>
  <c r="D494" i="30"/>
  <c r="D495" i="30"/>
  <c r="D496" i="30"/>
  <c r="D497" i="30"/>
  <c r="D498" i="30"/>
  <c r="D499" i="30"/>
  <c r="D500" i="30"/>
  <c r="D501" i="30"/>
  <c r="D502" i="30"/>
  <c r="D503" i="30"/>
  <c r="D504" i="30"/>
  <c r="D505" i="30"/>
  <c r="D506" i="30"/>
  <c r="D507" i="30"/>
  <c r="D508" i="30"/>
  <c r="D509" i="30"/>
  <c r="D510" i="30"/>
  <c r="D511" i="30"/>
  <c r="D512" i="30"/>
  <c r="D513" i="30"/>
  <c r="D514" i="30"/>
  <c r="D515" i="30"/>
  <c r="D516" i="30"/>
  <c r="D517" i="30"/>
  <c r="D518" i="30"/>
  <c r="D519" i="30"/>
  <c r="D520" i="30"/>
  <c r="D521" i="30"/>
  <c r="D522" i="30"/>
  <c r="D523" i="30"/>
  <c r="D524" i="30"/>
  <c r="D525" i="30"/>
  <c r="D526" i="30"/>
  <c r="D527" i="30"/>
  <c r="D528" i="30"/>
  <c r="D529" i="30"/>
  <c r="D530" i="30"/>
  <c r="D531" i="30"/>
  <c r="D532" i="30"/>
  <c r="D533" i="30"/>
  <c r="D534" i="30"/>
  <c r="D535" i="30"/>
  <c r="D536" i="30"/>
  <c r="D537" i="30"/>
  <c r="D538" i="30"/>
  <c r="D539" i="30"/>
  <c r="D540" i="30"/>
  <c r="D541" i="30"/>
  <c r="D542" i="30"/>
  <c r="D543" i="30"/>
  <c r="D544" i="30"/>
  <c r="D545" i="30"/>
  <c r="D546" i="30"/>
  <c r="D547" i="30"/>
  <c r="D548" i="30"/>
  <c r="D549" i="30"/>
  <c r="D550" i="30"/>
  <c r="D551" i="30"/>
  <c r="D552" i="30"/>
  <c r="D553" i="30"/>
  <c r="D554" i="30"/>
  <c r="D555" i="30"/>
  <c r="D556" i="30"/>
  <c r="D557" i="30"/>
  <c r="D558" i="30"/>
  <c r="D559" i="30"/>
  <c r="D560" i="30"/>
  <c r="D561" i="30"/>
  <c r="D562" i="30"/>
  <c r="D563" i="30"/>
  <c r="D564" i="30"/>
  <c r="D565" i="30"/>
  <c r="D566" i="30"/>
  <c r="D567" i="30"/>
  <c r="D568" i="30"/>
  <c r="D569" i="30"/>
  <c r="D570" i="30"/>
  <c r="D571" i="30"/>
  <c r="D572" i="30"/>
  <c r="D573" i="30"/>
  <c r="D574" i="30"/>
  <c r="D575" i="30"/>
  <c r="D576" i="30"/>
  <c r="D577" i="30"/>
  <c r="D578" i="30"/>
  <c r="D579" i="30"/>
  <c r="D580" i="30"/>
  <c r="D581" i="30"/>
  <c r="D582" i="30"/>
  <c r="D583" i="30"/>
  <c r="D584" i="30"/>
  <c r="D585" i="30"/>
  <c r="D586" i="30"/>
  <c r="D587" i="30"/>
  <c r="D588" i="30"/>
  <c r="D589" i="30"/>
  <c r="D590" i="30"/>
  <c r="D591" i="30"/>
  <c r="D592" i="30"/>
  <c r="D593" i="30"/>
  <c r="D594" i="30"/>
  <c r="D595" i="30"/>
  <c r="D596" i="30"/>
  <c r="D597" i="30"/>
  <c r="D598" i="30"/>
  <c r="D599" i="30"/>
  <c r="D600" i="30"/>
  <c r="D601" i="30"/>
  <c r="D602" i="30"/>
  <c r="D603" i="30"/>
  <c r="D604" i="30"/>
  <c r="D605" i="30"/>
  <c r="D606" i="30"/>
  <c r="D607" i="30"/>
  <c r="D608" i="30"/>
  <c r="D609" i="30"/>
  <c r="D610" i="30"/>
  <c r="D611" i="30"/>
  <c r="D612" i="30"/>
  <c r="D613" i="30"/>
  <c r="D614" i="30"/>
  <c r="D615" i="30"/>
  <c r="D616" i="30"/>
  <c r="D617" i="30"/>
  <c r="D618" i="30"/>
  <c r="D619" i="30"/>
  <c r="D620" i="30"/>
  <c r="D621" i="30"/>
  <c r="D622" i="30"/>
  <c r="D623" i="30"/>
  <c r="D624" i="30"/>
  <c r="D625" i="30"/>
  <c r="D626" i="30"/>
  <c r="D627" i="30"/>
  <c r="D628" i="30"/>
  <c r="D629" i="30"/>
  <c r="D630" i="30"/>
  <c r="D631" i="30"/>
  <c r="D632" i="30"/>
  <c r="D633" i="30"/>
  <c r="D634" i="30"/>
  <c r="D635" i="30"/>
  <c r="D636" i="30"/>
  <c r="D637" i="30"/>
  <c r="D638" i="30"/>
  <c r="D639" i="30"/>
  <c r="D640" i="30"/>
  <c r="D641" i="30"/>
  <c r="D642" i="30"/>
  <c r="D643" i="30"/>
  <c r="D644" i="30"/>
  <c r="D645" i="30"/>
  <c r="D646" i="30"/>
  <c r="D647" i="30"/>
  <c r="D648" i="30"/>
  <c r="D649" i="30"/>
  <c r="D650" i="30"/>
  <c r="D651" i="30"/>
  <c r="D652" i="30"/>
  <c r="D653" i="30"/>
  <c r="D654" i="30"/>
  <c r="D655" i="30"/>
  <c r="D656" i="30"/>
  <c r="D657" i="30"/>
  <c r="D658" i="30"/>
  <c r="D659" i="30"/>
  <c r="D660" i="30"/>
  <c r="D661" i="30"/>
  <c r="D662" i="30"/>
  <c r="D663" i="30"/>
  <c r="D664" i="30"/>
  <c r="D665" i="30"/>
  <c r="D666" i="30"/>
  <c r="D667" i="30"/>
  <c r="D668" i="30"/>
  <c r="D669" i="30"/>
  <c r="D670" i="30"/>
  <c r="D671" i="30"/>
  <c r="D672" i="30"/>
  <c r="D673" i="30"/>
  <c r="D674" i="30"/>
  <c r="D675" i="30"/>
  <c r="D676" i="30"/>
  <c r="D677" i="30"/>
  <c r="D678" i="30"/>
  <c r="D679" i="30"/>
  <c r="D680" i="30"/>
  <c r="D681" i="30"/>
  <c r="D682" i="30"/>
  <c r="D683" i="30"/>
  <c r="D684" i="30"/>
  <c r="D685" i="30"/>
  <c r="D686" i="30"/>
  <c r="D687" i="30"/>
  <c r="D688" i="30"/>
  <c r="D689" i="30"/>
  <c r="D690" i="30"/>
  <c r="D691" i="30"/>
  <c r="D692" i="30"/>
  <c r="D693" i="30"/>
  <c r="D694" i="30"/>
  <c r="D695" i="30"/>
  <c r="D696" i="30"/>
  <c r="D697" i="30"/>
  <c r="D698" i="30"/>
  <c r="D699" i="30"/>
  <c r="D700" i="30"/>
  <c r="D701" i="30"/>
  <c r="D702" i="30"/>
  <c r="D703" i="30"/>
  <c r="D704" i="30"/>
  <c r="D705" i="30"/>
  <c r="D706" i="30"/>
  <c r="D707" i="30"/>
  <c r="D708" i="30"/>
  <c r="D709" i="30"/>
  <c r="D710" i="30"/>
  <c r="D711" i="30"/>
  <c r="D712" i="30"/>
  <c r="D713" i="30"/>
  <c r="D714" i="30"/>
  <c r="D715" i="30"/>
  <c r="D716" i="30"/>
  <c r="D717" i="30"/>
  <c r="D718" i="30"/>
  <c r="D719" i="30"/>
  <c r="D720" i="30"/>
  <c r="D721" i="30"/>
  <c r="D722" i="30"/>
  <c r="D723" i="30"/>
  <c r="D724" i="30"/>
  <c r="D725" i="30"/>
  <c r="D726" i="30"/>
  <c r="D727" i="30"/>
  <c r="D728" i="30"/>
  <c r="D729" i="30"/>
  <c r="D730" i="30"/>
  <c r="D731" i="30"/>
  <c r="D732" i="30"/>
  <c r="D733" i="30"/>
  <c r="D734" i="30"/>
  <c r="D735" i="30"/>
  <c r="D736" i="30"/>
  <c r="D737" i="30"/>
  <c r="D738" i="30"/>
  <c r="D739" i="30"/>
  <c r="D740" i="30"/>
  <c r="D741" i="30"/>
  <c r="D742" i="30"/>
  <c r="D743" i="30"/>
  <c r="D744" i="30"/>
  <c r="D745" i="30"/>
  <c r="D746" i="30"/>
  <c r="D747" i="30"/>
  <c r="D748" i="30"/>
  <c r="D749" i="30"/>
  <c r="D750" i="30"/>
  <c r="D751" i="30"/>
  <c r="D752" i="30"/>
  <c r="D753" i="30"/>
  <c r="D754" i="30"/>
  <c r="D755" i="30"/>
  <c r="D756" i="30"/>
  <c r="D757" i="30"/>
  <c r="D758" i="30"/>
  <c r="D759" i="30"/>
  <c r="D760" i="30"/>
  <c r="D761" i="30"/>
  <c r="D762" i="30"/>
  <c r="D763" i="30"/>
  <c r="D764" i="30"/>
  <c r="D765" i="30"/>
  <c r="D766" i="30"/>
  <c r="D767" i="30"/>
  <c r="D768" i="30"/>
  <c r="D769" i="30"/>
  <c r="D770" i="30"/>
  <c r="D771" i="30"/>
  <c r="D772" i="30"/>
  <c r="D773" i="30"/>
  <c r="D774" i="30"/>
  <c r="D775" i="30"/>
  <c r="D776" i="30"/>
  <c r="D777" i="30"/>
  <c r="D778" i="30"/>
  <c r="D779" i="30"/>
  <c r="D780" i="30"/>
  <c r="D781" i="30"/>
  <c r="D782" i="30"/>
  <c r="D783" i="30"/>
  <c r="D784" i="30"/>
  <c r="D785" i="30"/>
  <c r="D786" i="30"/>
  <c r="D787" i="30"/>
  <c r="D788" i="30"/>
  <c r="D789" i="30"/>
  <c r="D790" i="30"/>
  <c r="D791" i="30"/>
  <c r="D792" i="30"/>
  <c r="D793" i="30"/>
  <c r="D794" i="30"/>
  <c r="D795" i="30"/>
  <c r="D796" i="30"/>
  <c r="D797" i="30"/>
  <c r="D798" i="30"/>
  <c r="D799" i="30"/>
  <c r="D800" i="30"/>
  <c r="D801" i="30"/>
  <c r="D802" i="30"/>
  <c r="D803" i="30"/>
  <c r="D804" i="30"/>
  <c r="D805" i="30"/>
  <c r="D806" i="30"/>
  <c r="D807" i="30"/>
  <c r="D808" i="30"/>
  <c r="D809" i="30"/>
  <c r="D810" i="30"/>
  <c r="D811" i="30"/>
  <c r="D812" i="30"/>
  <c r="D813" i="30"/>
  <c r="D814" i="30"/>
  <c r="D815" i="30"/>
  <c r="D816" i="30"/>
  <c r="D817" i="30"/>
  <c r="D818" i="30"/>
  <c r="D819" i="30"/>
  <c r="D820" i="30"/>
  <c r="D821" i="30"/>
  <c r="D822" i="30"/>
  <c r="D823" i="30"/>
  <c r="D824" i="30"/>
  <c r="D825" i="30"/>
  <c r="D826" i="30"/>
  <c r="D827" i="30"/>
  <c r="D828" i="30"/>
  <c r="D829" i="30"/>
  <c r="D830" i="30"/>
  <c r="D831" i="30"/>
  <c r="D832" i="30"/>
  <c r="D833" i="30"/>
  <c r="D834" i="30"/>
  <c r="D835" i="30"/>
  <c r="D836" i="30"/>
  <c r="D837" i="30"/>
  <c r="D838" i="30"/>
  <c r="D839" i="30"/>
  <c r="D840" i="30"/>
  <c r="D841" i="30"/>
  <c r="D842" i="30"/>
  <c r="D843" i="30"/>
  <c r="D844" i="30"/>
  <c r="D845" i="30"/>
  <c r="D846" i="30"/>
  <c r="D847" i="30"/>
  <c r="D848" i="30"/>
  <c r="D849" i="30"/>
  <c r="D850" i="30"/>
  <c r="D851" i="30"/>
  <c r="D852" i="30"/>
  <c r="D853" i="30"/>
  <c r="D854" i="30"/>
  <c r="D855" i="30"/>
  <c r="D856" i="30"/>
  <c r="D857" i="30"/>
  <c r="D858" i="30"/>
  <c r="D859" i="30"/>
  <c r="D860" i="30"/>
  <c r="D861" i="30"/>
  <c r="D862" i="30"/>
  <c r="D863" i="30"/>
  <c r="D864" i="30"/>
  <c r="D865" i="30"/>
  <c r="D866" i="30"/>
  <c r="D867" i="30"/>
  <c r="D868" i="30"/>
  <c r="D869" i="30"/>
  <c r="D870" i="30"/>
  <c r="D871" i="30"/>
  <c r="D872" i="30"/>
  <c r="D873" i="30"/>
  <c r="D874" i="30"/>
  <c r="D875" i="30"/>
  <c r="D876" i="30"/>
  <c r="D877" i="30"/>
  <c r="D878" i="30"/>
  <c r="D879" i="30"/>
  <c r="D880" i="30"/>
  <c r="D881" i="30"/>
  <c r="D882" i="30"/>
  <c r="D883" i="30"/>
  <c r="D884" i="30"/>
  <c r="D885" i="30"/>
  <c r="D886" i="30"/>
  <c r="D887" i="30"/>
  <c r="D888" i="30"/>
  <c r="D889" i="30"/>
  <c r="D890" i="30"/>
  <c r="D891" i="30"/>
  <c r="D892" i="30"/>
  <c r="D893" i="30"/>
  <c r="D894" i="30"/>
  <c r="D895" i="30"/>
  <c r="D896" i="30"/>
  <c r="D897" i="30"/>
  <c r="D898" i="30"/>
  <c r="D899" i="30"/>
  <c r="D900" i="30"/>
  <c r="D901" i="30"/>
  <c r="D902" i="30"/>
  <c r="D903" i="30"/>
  <c r="D904" i="30"/>
  <c r="D905" i="30"/>
  <c r="D906" i="30"/>
  <c r="D907" i="30"/>
  <c r="D908" i="30"/>
  <c r="D909" i="30"/>
  <c r="D910" i="30"/>
  <c r="D911" i="30"/>
  <c r="D912" i="30"/>
  <c r="D913" i="30"/>
  <c r="D914" i="30"/>
  <c r="D915" i="30"/>
  <c r="D916" i="30"/>
  <c r="D917" i="30"/>
  <c r="D918" i="30"/>
  <c r="D919" i="30"/>
  <c r="D920" i="30"/>
  <c r="D921" i="30"/>
  <c r="D922" i="30"/>
  <c r="D923" i="30"/>
  <c r="D924" i="30"/>
  <c r="D925" i="30"/>
  <c r="D926" i="30"/>
  <c r="D927" i="30"/>
  <c r="D928" i="30"/>
  <c r="D929" i="30"/>
  <c r="D930" i="30"/>
  <c r="D931" i="30"/>
  <c r="D932" i="30"/>
  <c r="D933" i="30"/>
  <c r="D934" i="30"/>
  <c r="D935" i="30"/>
  <c r="D936" i="30"/>
  <c r="D937" i="30"/>
  <c r="D938" i="30"/>
  <c r="D939" i="30"/>
  <c r="D940" i="30"/>
  <c r="D941" i="30"/>
  <c r="D942" i="30"/>
  <c r="D943" i="30"/>
  <c r="D944" i="30"/>
  <c r="D945" i="30"/>
  <c r="D946" i="30"/>
  <c r="D947" i="30"/>
  <c r="D948" i="30"/>
  <c r="D949" i="30"/>
  <c r="D950" i="30"/>
  <c r="D951" i="30"/>
  <c r="D952" i="30"/>
  <c r="D953" i="30"/>
  <c r="D954" i="30"/>
  <c r="D955" i="30"/>
  <c r="D956" i="30"/>
  <c r="D957" i="30"/>
  <c r="D958" i="30"/>
  <c r="D959" i="30"/>
  <c r="D960" i="30"/>
  <c r="D961" i="30"/>
  <c r="D962" i="30"/>
  <c r="D963" i="30"/>
  <c r="D964" i="30"/>
  <c r="D965" i="30"/>
  <c r="D966" i="30"/>
  <c r="D967" i="30"/>
  <c r="D968" i="30"/>
  <c r="D969" i="30"/>
  <c r="D970" i="30"/>
  <c r="D971" i="30"/>
  <c r="D972" i="30"/>
  <c r="D973" i="30"/>
  <c r="D974" i="30"/>
  <c r="D975" i="30"/>
  <c r="D976" i="30"/>
  <c r="D977" i="30"/>
  <c r="D978" i="30"/>
  <c r="D979" i="30"/>
  <c r="D980" i="30"/>
  <c r="D981" i="30"/>
  <c r="D982" i="30"/>
  <c r="D983" i="30"/>
  <c r="D984" i="30"/>
  <c r="D985" i="30"/>
  <c r="D986" i="30"/>
  <c r="D987" i="30"/>
  <c r="D988" i="30"/>
  <c r="D989" i="30"/>
  <c r="D990" i="30"/>
  <c r="D991" i="30"/>
  <c r="D992" i="30"/>
  <c r="D993" i="30"/>
  <c r="D994" i="30"/>
  <c r="D995" i="30"/>
  <c r="D996" i="30"/>
  <c r="D997" i="30"/>
  <c r="D998" i="30"/>
  <c r="D999" i="30"/>
  <c r="D1000" i="30"/>
  <c r="D1001" i="30"/>
  <c r="D1002" i="30"/>
  <c r="D1003" i="30"/>
  <c r="D1004" i="30"/>
  <c r="J24" i="31"/>
  <c r="J25" i="31"/>
  <c r="J26" i="31"/>
  <c r="J27" i="31"/>
  <c r="J28" i="31"/>
  <c r="J29" i="31"/>
  <c r="J30" i="31"/>
  <c r="J31" i="31"/>
  <c r="J32" i="31"/>
  <c r="J33" i="31"/>
  <c r="J34" i="31"/>
  <c r="J35" i="31"/>
  <c r="J36" i="31"/>
  <c r="J37" i="31"/>
  <c r="J38" i="31"/>
  <c r="J39" i="31"/>
  <c r="J40" i="31"/>
  <c r="J41" i="31"/>
  <c r="J42" i="31"/>
  <c r="J43" i="31"/>
  <c r="J44" i="31"/>
  <c r="J45" i="31"/>
  <c r="J46" i="31"/>
  <c r="J47" i="31"/>
  <c r="J48" i="31"/>
  <c r="J49" i="31"/>
  <c r="J50" i="31"/>
  <c r="J51" i="31"/>
  <c r="J52" i="31"/>
  <c r="J53" i="31"/>
  <c r="J54" i="31"/>
  <c r="J55" i="31"/>
  <c r="J56" i="31"/>
  <c r="J57" i="31"/>
  <c r="J58" i="31"/>
  <c r="J59" i="31"/>
  <c r="J60" i="31"/>
  <c r="J61" i="31"/>
  <c r="J62" i="31"/>
  <c r="J63" i="31"/>
  <c r="J64" i="31"/>
  <c r="J65" i="31"/>
  <c r="J66" i="31"/>
  <c r="J67" i="31"/>
  <c r="J68" i="31"/>
  <c r="J69" i="31"/>
  <c r="J70" i="31"/>
  <c r="J71" i="31"/>
  <c r="J72" i="31"/>
  <c r="J73" i="31"/>
  <c r="J74" i="31"/>
  <c r="J75" i="31"/>
  <c r="J76" i="31"/>
  <c r="J77" i="31"/>
  <c r="J78" i="31"/>
  <c r="J79" i="31"/>
  <c r="J80" i="31"/>
  <c r="J81" i="31"/>
  <c r="J82" i="31"/>
  <c r="J83" i="31"/>
  <c r="J84" i="31"/>
  <c r="J85" i="31"/>
  <c r="J86" i="31"/>
  <c r="J87" i="31"/>
  <c r="J88" i="31"/>
  <c r="J89" i="31"/>
  <c r="J90" i="31"/>
  <c r="J91" i="31"/>
  <c r="J92" i="31"/>
  <c r="J93" i="31"/>
  <c r="J94" i="31"/>
  <c r="J95" i="31"/>
  <c r="J96" i="31"/>
  <c r="J97" i="31"/>
  <c r="J98" i="31"/>
  <c r="J99" i="31"/>
  <c r="J100" i="31"/>
  <c r="J101" i="31"/>
  <c r="J102" i="31"/>
  <c r="J103" i="31"/>
  <c r="J104" i="31"/>
  <c r="J105" i="31"/>
  <c r="J106" i="31"/>
  <c r="J107" i="31"/>
  <c r="J108" i="31"/>
  <c r="J109" i="31"/>
  <c r="J110" i="31"/>
  <c r="J111" i="31"/>
  <c r="J112" i="31"/>
  <c r="J113" i="31"/>
  <c r="J114" i="31"/>
  <c r="J115" i="31"/>
  <c r="J116" i="31"/>
  <c r="J117" i="31"/>
  <c r="J118" i="31"/>
  <c r="J119" i="31"/>
  <c r="J120" i="31"/>
  <c r="J121" i="31"/>
  <c r="J122" i="31"/>
  <c r="J123" i="31"/>
  <c r="J124" i="31"/>
  <c r="J125" i="31"/>
  <c r="J126" i="31"/>
  <c r="J127" i="31"/>
  <c r="J128" i="31"/>
  <c r="J129" i="31"/>
  <c r="J130" i="31"/>
  <c r="J131" i="31"/>
  <c r="J132" i="31"/>
  <c r="J133" i="31"/>
  <c r="J134" i="31"/>
  <c r="J135" i="31"/>
  <c r="J136" i="31"/>
  <c r="J137" i="31"/>
  <c r="J138" i="31"/>
  <c r="J139" i="31"/>
  <c r="J140" i="31"/>
  <c r="J141" i="31"/>
  <c r="J142" i="31"/>
  <c r="J143" i="31"/>
  <c r="J144" i="31"/>
  <c r="J145" i="31"/>
  <c r="J146" i="31"/>
  <c r="J147" i="31"/>
  <c r="J148" i="31"/>
  <c r="J149" i="31"/>
  <c r="J150" i="31"/>
  <c r="J151" i="31"/>
  <c r="J152" i="31"/>
  <c r="J153" i="31"/>
  <c r="J154" i="31"/>
  <c r="J155" i="31"/>
  <c r="J156" i="31"/>
  <c r="J157" i="31"/>
  <c r="J158" i="31"/>
  <c r="J159" i="31"/>
  <c r="J160" i="31"/>
  <c r="J161" i="31"/>
  <c r="J162" i="31"/>
  <c r="J163" i="31"/>
  <c r="J164" i="31"/>
  <c r="J165" i="31"/>
  <c r="J166" i="31"/>
  <c r="J167" i="31"/>
  <c r="J168" i="31"/>
  <c r="J169" i="31"/>
  <c r="J170" i="31"/>
  <c r="J171" i="31"/>
  <c r="J172" i="31"/>
  <c r="J173" i="31"/>
  <c r="J174" i="31"/>
  <c r="J175" i="31"/>
  <c r="J176" i="31"/>
  <c r="J177" i="31"/>
  <c r="J178" i="31"/>
  <c r="J179" i="31"/>
  <c r="J180" i="31"/>
  <c r="J181" i="31"/>
  <c r="J182" i="31"/>
  <c r="J183" i="31"/>
  <c r="J184" i="31"/>
  <c r="J185" i="31"/>
  <c r="J186" i="31"/>
  <c r="J187" i="31"/>
  <c r="J188" i="31"/>
  <c r="J189" i="31"/>
  <c r="J190" i="31"/>
  <c r="J191" i="31"/>
  <c r="J192" i="31"/>
  <c r="J193" i="31"/>
  <c r="J194" i="31"/>
  <c r="J195" i="31"/>
  <c r="J196" i="31"/>
  <c r="J197" i="31"/>
  <c r="J198" i="31"/>
  <c r="J199" i="31"/>
  <c r="J200" i="31"/>
  <c r="J201" i="31"/>
  <c r="J202" i="31"/>
  <c r="J203" i="31"/>
  <c r="J204" i="31"/>
  <c r="J205" i="31"/>
  <c r="J206" i="31"/>
  <c r="J207" i="31"/>
  <c r="J208" i="31"/>
  <c r="J209" i="31"/>
  <c r="J210" i="31"/>
  <c r="J211" i="31"/>
  <c r="J212" i="31"/>
  <c r="J213" i="31"/>
  <c r="J214" i="31"/>
  <c r="J215" i="31"/>
  <c r="J216" i="31"/>
  <c r="J217" i="31"/>
  <c r="J218" i="31"/>
  <c r="J219" i="31"/>
  <c r="J220" i="31"/>
  <c r="J221" i="31"/>
  <c r="J222" i="31"/>
  <c r="J223" i="31"/>
  <c r="J224" i="31"/>
  <c r="J225" i="31"/>
  <c r="J226" i="31"/>
  <c r="J227" i="31"/>
  <c r="J228" i="31"/>
  <c r="J229" i="31"/>
  <c r="J230" i="31"/>
  <c r="J231" i="31"/>
  <c r="J232" i="31"/>
  <c r="J233" i="31"/>
  <c r="J234" i="31"/>
  <c r="J235" i="31"/>
  <c r="J236" i="31"/>
  <c r="J237" i="31"/>
  <c r="J238" i="31"/>
  <c r="J239" i="31"/>
  <c r="J240" i="31"/>
  <c r="J241" i="31"/>
  <c r="J242" i="31"/>
  <c r="J243" i="31"/>
  <c r="J244" i="31"/>
  <c r="J245" i="31"/>
  <c r="J246" i="31"/>
  <c r="J247" i="31"/>
  <c r="J248" i="31"/>
  <c r="J249" i="31"/>
  <c r="J250" i="31"/>
  <c r="J251" i="31"/>
  <c r="J252" i="31"/>
  <c r="J253" i="31"/>
  <c r="J254" i="31"/>
  <c r="J255" i="31"/>
  <c r="J256" i="31"/>
  <c r="J257" i="31"/>
  <c r="J258" i="31"/>
  <c r="J259" i="31"/>
  <c r="J260" i="31"/>
  <c r="J261" i="31"/>
  <c r="J262" i="31"/>
  <c r="J263" i="31"/>
  <c r="J264" i="31"/>
  <c r="J265" i="31"/>
  <c r="J266" i="31"/>
  <c r="J267" i="31"/>
  <c r="J268" i="31"/>
  <c r="J269" i="31"/>
  <c r="J270" i="31"/>
  <c r="J271" i="31"/>
  <c r="J272" i="31"/>
  <c r="J273" i="31"/>
  <c r="J274" i="31"/>
  <c r="J275" i="31"/>
  <c r="J276" i="31"/>
  <c r="J277" i="31"/>
  <c r="J278" i="31"/>
  <c r="J279" i="31"/>
  <c r="J280" i="31"/>
  <c r="J281" i="31"/>
  <c r="J282" i="31"/>
  <c r="J283" i="31"/>
  <c r="J284" i="31"/>
  <c r="J285" i="31"/>
  <c r="J286" i="31"/>
  <c r="J287" i="31"/>
  <c r="J288" i="31"/>
  <c r="J289" i="31"/>
  <c r="J290" i="31"/>
  <c r="J291" i="31"/>
  <c r="J292" i="31"/>
  <c r="J293" i="31"/>
  <c r="J294" i="31"/>
  <c r="J295" i="31"/>
  <c r="J296" i="31"/>
  <c r="J297" i="31"/>
  <c r="J298" i="31"/>
  <c r="J299" i="31"/>
  <c r="J300" i="31"/>
  <c r="J301" i="31"/>
  <c r="J302" i="31"/>
  <c r="J303" i="31"/>
  <c r="J304" i="31"/>
  <c r="J305" i="31"/>
  <c r="J306" i="31"/>
  <c r="J307" i="31"/>
  <c r="J308" i="31"/>
  <c r="J309" i="31"/>
  <c r="J310" i="31"/>
  <c r="J311" i="31"/>
  <c r="J312" i="31"/>
  <c r="J313" i="31"/>
  <c r="J314" i="31"/>
  <c r="J315" i="31"/>
  <c r="J316" i="31"/>
  <c r="J317" i="31"/>
  <c r="J318" i="31"/>
  <c r="J319" i="31"/>
  <c r="J320" i="31"/>
  <c r="J321" i="31"/>
  <c r="J322" i="31"/>
  <c r="J323" i="31"/>
  <c r="J324" i="31"/>
  <c r="J325" i="31"/>
  <c r="J326" i="31"/>
  <c r="J327" i="31"/>
  <c r="J328" i="31"/>
  <c r="J329" i="31"/>
  <c r="J330" i="31"/>
  <c r="J331" i="31"/>
  <c r="J332" i="31"/>
  <c r="J333" i="31"/>
  <c r="J334" i="31"/>
  <c r="J335" i="31"/>
  <c r="J336" i="31"/>
  <c r="J337" i="31"/>
  <c r="J338" i="31"/>
  <c r="J339" i="31"/>
  <c r="J340" i="31"/>
  <c r="J341" i="31"/>
  <c r="J342" i="31"/>
  <c r="J343" i="31"/>
  <c r="J344" i="31"/>
  <c r="J345" i="31"/>
  <c r="J346" i="31"/>
  <c r="J347" i="31"/>
  <c r="J348" i="31"/>
  <c r="J349" i="31"/>
  <c r="J350" i="31"/>
  <c r="J351" i="31"/>
  <c r="J352" i="31"/>
  <c r="J353" i="31"/>
  <c r="J354" i="31"/>
  <c r="J355" i="31"/>
  <c r="J356" i="31"/>
  <c r="J357" i="31"/>
  <c r="J358" i="31"/>
  <c r="J359" i="31"/>
  <c r="J360" i="31"/>
  <c r="J361" i="31"/>
  <c r="J362" i="31"/>
  <c r="J363" i="31"/>
  <c r="J364" i="31"/>
  <c r="J365" i="31"/>
  <c r="J366" i="31"/>
  <c r="J367" i="31"/>
  <c r="J368" i="31"/>
  <c r="J369" i="31"/>
  <c r="J370" i="31"/>
  <c r="J371" i="31"/>
  <c r="J372" i="31"/>
  <c r="J373" i="31"/>
  <c r="J374" i="31"/>
  <c r="J375" i="31"/>
  <c r="J376" i="31"/>
  <c r="J377" i="31"/>
  <c r="J378" i="31"/>
  <c r="J379" i="31"/>
  <c r="J380" i="31"/>
  <c r="J381" i="31"/>
  <c r="J382" i="31"/>
  <c r="J383" i="31"/>
  <c r="J384" i="31"/>
  <c r="J385" i="31"/>
  <c r="J386" i="31"/>
  <c r="J387" i="31"/>
  <c r="J388" i="31"/>
  <c r="J389" i="31"/>
  <c r="J390" i="31"/>
  <c r="J391" i="31"/>
  <c r="J392" i="31"/>
  <c r="J393" i="31"/>
  <c r="J394" i="31"/>
  <c r="J395" i="31"/>
  <c r="J396" i="31"/>
  <c r="J397" i="31"/>
  <c r="J398" i="31"/>
  <c r="J399" i="31"/>
  <c r="J400" i="31"/>
  <c r="J401" i="31"/>
  <c r="J402" i="31"/>
  <c r="J403" i="31"/>
  <c r="J404" i="31"/>
  <c r="J405" i="31"/>
  <c r="J406" i="31"/>
  <c r="J407" i="31"/>
  <c r="J408" i="31"/>
  <c r="J409" i="31"/>
  <c r="J410" i="31"/>
  <c r="J411" i="31"/>
  <c r="J412" i="31"/>
  <c r="J413" i="31"/>
  <c r="J414" i="31"/>
  <c r="J415" i="31"/>
  <c r="J416" i="31"/>
  <c r="J417" i="31"/>
  <c r="J418" i="31"/>
  <c r="J419" i="31"/>
  <c r="J420" i="31"/>
  <c r="J421" i="31"/>
  <c r="J422" i="31"/>
  <c r="J423" i="31"/>
  <c r="J424" i="31"/>
  <c r="J425" i="31"/>
  <c r="J426" i="31"/>
  <c r="J427" i="31"/>
  <c r="J428" i="31"/>
  <c r="J429" i="31"/>
  <c r="J430" i="31"/>
  <c r="J431" i="31"/>
  <c r="J432" i="31"/>
  <c r="J433" i="31"/>
  <c r="J434" i="31"/>
  <c r="J435" i="31"/>
  <c r="J436" i="31"/>
  <c r="J437" i="31"/>
  <c r="J438" i="31"/>
  <c r="J439" i="31"/>
  <c r="J440" i="31"/>
  <c r="J441" i="31"/>
  <c r="J442" i="31"/>
  <c r="J443" i="31"/>
  <c r="J444" i="31"/>
  <c r="J445" i="31"/>
  <c r="J446" i="31"/>
  <c r="J447" i="31"/>
  <c r="J448" i="31"/>
  <c r="J449" i="31"/>
  <c r="J450" i="31"/>
  <c r="J451" i="31"/>
  <c r="J452" i="31"/>
  <c r="J453" i="31"/>
  <c r="J454" i="31"/>
  <c r="J455" i="31"/>
  <c r="J456" i="31"/>
  <c r="J457" i="31"/>
  <c r="J458" i="31"/>
  <c r="J459" i="31"/>
  <c r="J460" i="31"/>
  <c r="J461" i="31"/>
  <c r="J462" i="31"/>
  <c r="J463" i="31"/>
  <c r="J464" i="31"/>
  <c r="J465" i="31"/>
  <c r="J466" i="31"/>
  <c r="J467" i="31"/>
  <c r="J468" i="31"/>
  <c r="J469" i="31"/>
  <c r="J470" i="31"/>
  <c r="J471" i="31"/>
  <c r="J472" i="31"/>
  <c r="J473" i="31"/>
  <c r="J474" i="31"/>
  <c r="J475" i="31"/>
  <c r="J476" i="31"/>
  <c r="J477" i="31"/>
  <c r="J478" i="31"/>
  <c r="J479" i="31"/>
  <c r="J480" i="31"/>
  <c r="J481" i="31"/>
  <c r="J482" i="31"/>
  <c r="J483" i="31"/>
  <c r="J484" i="31"/>
  <c r="J485" i="31"/>
  <c r="J486" i="31"/>
  <c r="J487" i="31"/>
  <c r="J488" i="31"/>
  <c r="J489" i="31"/>
  <c r="J490" i="31"/>
  <c r="J491" i="31"/>
  <c r="J492" i="31"/>
  <c r="J493" i="31"/>
  <c r="J494" i="31"/>
  <c r="J495" i="31"/>
  <c r="J496" i="31"/>
  <c r="J497" i="31"/>
  <c r="J498" i="31"/>
  <c r="J499" i="31"/>
  <c r="J500" i="31"/>
  <c r="J501" i="31"/>
  <c r="J502" i="31"/>
  <c r="J503" i="31"/>
  <c r="J504" i="31"/>
  <c r="J505" i="31"/>
  <c r="J506" i="31"/>
  <c r="J507" i="31"/>
  <c r="J508" i="31"/>
  <c r="J509" i="31"/>
  <c r="J510" i="31"/>
  <c r="J511" i="31"/>
  <c r="J512" i="31"/>
  <c r="J513" i="31"/>
  <c r="J514" i="31"/>
  <c r="J515" i="31"/>
  <c r="J516" i="31"/>
  <c r="J517" i="31"/>
  <c r="J518" i="31"/>
  <c r="J519" i="31"/>
  <c r="J520" i="31"/>
  <c r="J521" i="31"/>
  <c r="J522" i="31"/>
  <c r="J523" i="31"/>
  <c r="J524" i="31"/>
  <c r="J525" i="31"/>
  <c r="J526" i="31"/>
  <c r="J527" i="31"/>
  <c r="J528" i="31"/>
  <c r="J529" i="31"/>
  <c r="J530" i="31"/>
  <c r="J531" i="31"/>
  <c r="J532" i="31"/>
  <c r="J533" i="31"/>
  <c r="J534" i="31"/>
  <c r="J535" i="31"/>
  <c r="J536" i="31"/>
  <c r="J537" i="31"/>
  <c r="J538" i="31"/>
  <c r="J539" i="31"/>
  <c r="J540" i="31"/>
  <c r="J541" i="31"/>
  <c r="J542" i="31"/>
  <c r="J543" i="31"/>
  <c r="J544" i="31"/>
  <c r="J545" i="31"/>
  <c r="J546" i="31"/>
  <c r="J547" i="31"/>
  <c r="J548" i="31"/>
  <c r="J549" i="31"/>
  <c r="J550" i="31"/>
  <c r="J551" i="31"/>
  <c r="J552" i="31"/>
  <c r="J553" i="31"/>
  <c r="J554" i="31"/>
  <c r="J555" i="31"/>
  <c r="J556" i="31"/>
  <c r="J557" i="31"/>
  <c r="J558" i="31"/>
  <c r="J559" i="31"/>
  <c r="J560" i="31"/>
  <c r="J561" i="31"/>
  <c r="J562" i="31"/>
  <c r="J563" i="31"/>
  <c r="J564" i="31"/>
  <c r="J565" i="31"/>
  <c r="J566" i="31"/>
  <c r="J567" i="31"/>
  <c r="J568" i="31"/>
  <c r="J569" i="31"/>
  <c r="J570" i="31"/>
  <c r="J571" i="31"/>
  <c r="J572" i="31"/>
  <c r="J573" i="31"/>
  <c r="J574" i="31"/>
  <c r="J575" i="31"/>
  <c r="J576" i="31"/>
  <c r="J577" i="31"/>
  <c r="J578" i="31"/>
  <c r="J579" i="31"/>
  <c r="J580" i="31"/>
  <c r="J581" i="31"/>
  <c r="J582" i="31"/>
  <c r="J583" i="31"/>
  <c r="J584" i="31"/>
  <c r="J585" i="31"/>
  <c r="J586" i="31"/>
  <c r="J587" i="31"/>
  <c r="J588" i="31"/>
  <c r="J589" i="31"/>
  <c r="J590" i="31"/>
  <c r="J591" i="31"/>
  <c r="J592" i="31"/>
  <c r="J593" i="31"/>
  <c r="J594" i="31"/>
  <c r="J595" i="31"/>
  <c r="J596" i="31"/>
  <c r="J597" i="31"/>
  <c r="J598" i="31"/>
  <c r="J599" i="31"/>
  <c r="J600" i="31"/>
  <c r="J601" i="31"/>
  <c r="J602" i="31"/>
  <c r="J603" i="31"/>
  <c r="J604" i="31"/>
  <c r="J605" i="31"/>
  <c r="J606" i="31"/>
  <c r="J607" i="31"/>
  <c r="J608" i="31"/>
  <c r="J609" i="31"/>
  <c r="J610" i="31"/>
  <c r="J611" i="31"/>
  <c r="J612" i="31"/>
  <c r="J613" i="31"/>
  <c r="J614" i="31"/>
  <c r="J615" i="31"/>
  <c r="J616" i="31"/>
  <c r="J617" i="31"/>
  <c r="J618" i="31"/>
  <c r="J619" i="31"/>
  <c r="J620" i="31"/>
  <c r="J621" i="31"/>
  <c r="J622" i="31"/>
  <c r="J623" i="31"/>
  <c r="J624" i="31"/>
  <c r="J625" i="31"/>
  <c r="J626" i="31"/>
  <c r="J627" i="31"/>
  <c r="J628" i="31"/>
  <c r="J629" i="31"/>
  <c r="J630" i="31"/>
  <c r="J631" i="31"/>
  <c r="J632" i="31"/>
  <c r="J633" i="31"/>
  <c r="J634" i="31"/>
  <c r="J635" i="31"/>
  <c r="J636" i="31"/>
  <c r="J637" i="31"/>
  <c r="J638" i="31"/>
  <c r="J639" i="31"/>
  <c r="J640" i="31"/>
  <c r="J641" i="31"/>
  <c r="J642" i="31"/>
  <c r="J643" i="31"/>
  <c r="J644" i="31"/>
  <c r="J645" i="31"/>
  <c r="J646" i="31"/>
  <c r="J647" i="31"/>
  <c r="J648" i="31"/>
  <c r="J649" i="31"/>
  <c r="J650" i="31"/>
  <c r="J651" i="31"/>
  <c r="J652" i="31"/>
  <c r="J653" i="31"/>
  <c r="J654" i="31"/>
  <c r="J655" i="31"/>
  <c r="J656" i="31"/>
  <c r="J657" i="31"/>
  <c r="J658" i="31"/>
  <c r="J659" i="31"/>
  <c r="J660" i="31"/>
  <c r="J661" i="31"/>
  <c r="J662" i="31"/>
  <c r="J663" i="31"/>
  <c r="J664" i="31"/>
  <c r="J665" i="31"/>
  <c r="J666" i="31"/>
  <c r="J667" i="31"/>
  <c r="J668" i="31"/>
  <c r="J669" i="31"/>
  <c r="J670" i="31"/>
  <c r="J671" i="31"/>
  <c r="J672" i="31"/>
  <c r="J673" i="31"/>
  <c r="J674" i="31"/>
  <c r="J675" i="31"/>
  <c r="J676" i="31"/>
  <c r="J677" i="31"/>
  <c r="J678" i="31"/>
  <c r="J679" i="31"/>
  <c r="J680" i="31"/>
  <c r="J681" i="31"/>
  <c r="J682" i="31"/>
  <c r="J683" i="31"/>
  <c r="J684" i="31"/>
  <c r="J685" i="31"/>
  <c r="J686" i="31"/>
  <c r="J687" i="31"/>
  <c r="J688" i="31"/>
  <c r="J689" i="31"/>
  <c r="J690" i="31"/>
  <c r="J691" i="31"/>
  <c r="J692" i="31"/>
  <c r="J693" i="31"/>
  <c r="J694" i="31"/>
  <c r="J695" i="31"/>
  <c r="J696" i="31"/>
  <c r="J697" i="31"/>
  <c r="J698" i="31"/>
  <c r="J699" i="31"/>
  <c r="J700" i="31"/>
  <c r="J701" i="31"/>
  <c r="J702" i="31"/>
  <c r="J703" i="31"/>
  <c r="J704" i="31"/>
  <c r="J705" i="31"/>
  <c r="J706" i="31"/>
  <c r="J707" i="31"/>
  <c r="J708" i="31"/>
  <c r="J709" i="31"/>
  <c r="J710" i="31"/>
  <c r="J711" i="31"/>
  <c r="J712" i="31"/>
  <c r="J713" i="31"/>
  <c r="J714" i="31"/>
  <c r="J715" i="31"/>
  <c r="J716" i="31"/>
  <c r="J717" i="31"/>
  <c r="J718" i="31"/>
  <c r="J719" i="31"/>
  <c r="J720" i="31"/>
  <c r="J721" i="31"/>
  <c r="J722" i="31"/>
  <c r="J723" i="31"/>
  <c r="J724" i="31"/>
  <c r="J725" i="31"/>
  <c r="J726" i="31"/>
  <c r="J727" i="31"/>
  <c r="J728" i="31"/>
  <c r="J729" i="31"/>
  <c r="J730" i="31"/>
  <c r="J731" i="31"/>
  <c r="J732" i="31"/>
  <c r="J733" i="31"/>
  <c r="J734" i="31"/>
  <c r="J735" i="31"/>
  <c r="J736" i="31"/>
  <c r="J737" i="31"/>
  <c r="J738" i="31"/>
  <c r="J739" i="31"/>
  <c r="J740" i="31"/>
  <c r="J741" i="31"/>
  <c r="J742" i="31"/>
  <c r="J743" i="31"/>
  <c r="J744" i="31"/>
  <c r="J745" i="31"/>
  <c r="J746" i="31"/>
  <c r="J747" i="31"/>
  <c r="J748" i="31"/>
  <c r="J749" i="31"/>
  <c r="J750" i="31"/>
  <c r="J751" i="31"/>
  <c r="J752" i="31"/>
  <c r="J753" i="31"/>
  <c r="J754" i="31"/>
  <c r="J755" i="31"/>
  <c r="J756" i="31"/>
  <c r="J757" i="31"/>
  <c r="J758" i="31"/>
  <c r="J759" i="31"/>
  <c r="J760" i="31"/>
  <c r="J761" i="31"/>
  <c r="J762" i="31"/>
  <c r="J763" i="31"/>
  <c r="J764" i="31"/>
  <c r="J765" i="31"/>
  <c r="J766" i="31"/>
  <c r="J767" i="31"/>
  <c r="J768" i="31"/>
  <c r="J769" i="31"/>
  <c r="J770" i="31"/>
  <c r="J771" i="31"/>
  <c r="J772" i="31"/>
  <c r="J773" i="31"/>
  <c r="J774" i="31"/>
  <c r="J775" i="31"/>
  <c r="J776" i="31"/>
  <c r="J777" i="31"/>
  <c r="J778" i="31"/>
  <c r="J779" i="31"/>
  <c r="J780" i="31"/>
  <c r="J781" i="31"/>
  <c r="J782" i="31"/>
  <c r="J783" i="31"/>
  <c r="J784" i="31"/>
  <c r="J785" i="31"/>
  <c r="J786" i="31"/>
  <c r="J787" i="31"/>
  <c r="J788" i="31"/>
  <c r="J789" i="31"/>
  <c r="J790" i="31"/>
  <c r="J791" i="31"/>
  <c r="J792" i="31"/>
  <c r="J793" i="31"/>
  <c r="J794" i="31"/>
  <c r="J795" i="31"/>
  <c r="J796" i="31"/>
  <c r="J797" i="31"/>
  <c r="J798" i="31"/>
  <c r="J799" i="31"/>
  <c r="J800" i="31"/>
  <c r="J801" i="31"/>
  <c r="J802" i="31"/>
  <c r="J803" i="31"/>
  <c r="J804" i="31"/>
  <c r="J805" i="31"/>
  <c r="J806" i="31"/>
  <c r="J807" i="31"/>
  <c r="J808" i="31"/>
  <c r="J809" i="31"/>
  <c r="J810" i="31"/>
  <c r="J811" i="31"/>
  <c r="J812" i="31"/>
  <c r="J813" i="31"/>
  <c r="J814" i="31"/>
  <c r="J815" i="31"/>
  <c r="J816" i="31"/>
  <c r="J817" i="31"/>
  <c r="J818" i="31"/>
  <c r="J819" i="31"/>
  <c r="J820" i="31"/>
  <c r="J821" i="31"/>
  <c r="J822" i="31"/>
  <c r="J823" i="31"/>
  <c r="J824" i="31"/>
  <c r="J825" i="31"/>
  <c r="J826" i="31"/>
  <c r="J827" i="31"/>
  <c r="J828" i="31"/>
  <c r="J829" i="31"/>
  <c r="J830" i="31"/>
  <c r="J831" i="31"/>
  <c r="J832" i="31"/>
  <c r="J833" i="31"/>
  <c r="J834" i="31"/>
  <c r="J835" i="31"/>
  <c r="J836" i="31"/>
  <c r="J837" i="31"/>
  <c r="J838" i="31"/>
  <c r="J839" i="31"/>
  <c r="J840" i="31"/>
  <c r="J841" i="31"/>
  <c r="J842" i="31"/>
  <c r="J843" i="31"/>
  <c r="J844" i="31"/>
  <c r="J845" i="31"/>
  <c r="J846" i="31"/>
  <c r="J847" i="31"/>
  <c r="J848" i="31"/>
  <c r="J849" i="31"/>
  <c r="J850" i="31"/>
  <c r="J851" i="31"/>
  <c r="J852" i="31"/>
  <c r="J853" i="31"/>
  <c r="J854" i="31"/>
  <c r="J855" i="31"/>
  <c r="J856" i="31"/>
  <c r="J857" i="31"/>
  <c r="J858" i="31"/>
  <c r="J859" i="31"/>
  <c r="J860" i="31"/>
  <c r="J861" i="31"/>
  <c r="J862" i="31"/>
  <c r="J863" i="31"/>
  <c r="J864" i="31"/>
  <c r="J865" i="31"/>
  <c r="J866" i="31"/>
  <c r="J867" i="31"/>
  <c r="J868" i="31"/>
  <c r="J869" i="31"/>
  <c r="J870" i="31"/>
  <c r="J871" i="31"/>
  <c r="J872" i="31"/>
  <c r="J873" i="31"/>
  <c r="J874" i="31"/>
  <c r="J875" i="31"/>
  <c r="J876" i="31"/>
  <c r="J877" i="31"/>
  <c r="J878" i="31"/>
  <c r="J879" i="31"/>
  <c r="J880" i="31"/>
  <c r="J881" i="31"/>
  <c r="J882" i="31"/>
  <c r="J883" i="31"/>
  <c r="J884" i="31"/>
  <c r="J885" i="31"/>
  <c r="J886" i="31"/>
  <c r="J887" i="31"/>
  <c r="J888" i="31"/>
  <c r="J889" i="31"/>
  <c r="J890" i="31"/>
  <c r="J891" i="31"/>
  <c r="J892" i="31"/>
  <c r="J893" i="31"/>
  <c r="J894" i="31"/>
  <c r="J895" i="31"/>
  <c r="J896" i="31"/>
  <c r="J897" i="31"/>
  <c r="J898" i="31"/>
  <c r="J899" i="31"/>
  <c r="J900" i="31"/>
  <c r="J901" i="31"/>
  <c r="J902" i="31"/>
  <c r="J903" i="31"/>
  <c r="J904" i="31"/>
  <c r="J905" i="31"/>
  <c r="J906" i="31"/>
  <c r="J907" i="31"/>
  <c r="J908" i="31"/>
  <c r="J909" i="31"/>
  <c r="J910" i="31"/>
  <c r="J911" i="31"/>
  <c r="J912" i="31"/>
  <c r="J913" i="31"/>
  <c r="J914" i="31"/>
  <c r="J915" i="31"/>
  <c r="J916" i="31"/>
  <c r="J917" i="31"/>
  <c r="J918" i="31"/>
  <c r="J919" i="31"/>
  <c r="J920" i="31"/>
  <c r="J921" i="31"/>
  <c r="J922" i="31"/>
  <c r="J923" i="31"/>
  <c r="J924" i="31"/>
  <c r="J925" i="31"/>
  <c r="J926" i="31"/>
  <c r="J927" i="31"/>
  <c r="J928" i="31"/>
  <c r="J929" i="31"/>
  <c r="J930" i="31"/>
  <c r="J931" i="31"/>
  <c r="J932" i="31"/>
  <c r="J933" i="31"/>
  <c r="J934" i="31"/>
  <c r="J935" i="31"/>
  <c r="J936" i="31"/>
  <c r="J937" i="31"/>
  <c r="J938" i="31"/>
  <c r="J939" i="31"/>
  <c r="J940" i="31"/>
  <c r="J941" i="31"/>
  <c r="J942" i="31"/>
  <c r="J943" i="31"/>
  <c r="J944" i="31"/>
  <c r="J945" i="31"/>
  <c r="J946" i="31"/>
  <c r="J947" i="31"/>
  <c r="J948" i="31"/>
  <c r="J949" i="31"/>
  <c r="J950" i="31"/>
  <c r="J951" i="31"/>
  <c r="J952" i="31"/>
  <c r="J953" i="31"/>
  <c r="J954" i="31"/>
  <c r="J955" i="31"/>
  <c r="J956" i="31"/>
  <c r="J957" i="31"/>
  <c r="J958" i="31"/>
  <c r="J959" i="31"/>
  <c r="J960" i="31"/>
  <c r="J961" i="31"/>
  <c r="J962" i="31"/>
  <c r="J963" i="31"/>
  <c r="J964" i="31"/>
  <c r="J965" i="31"/>
  <c r="J966" i="31"/>
  <c r="J967" i="31"/>
  <c r="J968" i="31"/>
  <c r="J969" i="31"/>
  <c r="J970" i="31"/>
  <c r="J971" i="31"/>
  <c r="J972" i="31"/>
  <c r="J973" i="31"/>
  <c r="J974" i="31"/>
  <c r="J975" i="31"/>
  <c r="J976" i="31"/>
  <c r="J977" i="31"/>
  <c r="J978" i="31"/>
  <c r="J979" i="31"/>
  <c r="J980" i="31"/>
  <c r="J981" i="31"/>
  <c r="J982" i="31"/>
  <c r="J983" i="31"/>
  <c r="J984" i="31"/>
  <c r="J985" i="31"/>
  <c r="J986" i="31"/>
  <c r="J987" i="31"/>
  <c r="J988" i="31"/>
  <c r="J989" i="31"/>
  <c r="J990" i="31"/>
  <c r="J991" i="31"/>
  <c r="J992" i="31"/>
  <c r="J993" i="31"/>
  <c r="J994" i="31"/>
  <c r="J995" i="31"/>
  <c r="J996" i="31"/>
  <c r="J997" i="31"/>
  <c r="J998" i="31"/>
  <c r="J999" i="31"/>
  <c r="J1000" i="31"/>
  <c r="J1001" i="31"/>
  <c r="J1002" i="31"/>
  <c r="J1003" i="31"/>
  <c r="J1004" i="31"/>
  <c r="J1005"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7" i="31"/>
  <c r="D78" i="31"/>
  <c r="D79" i="31"/>
  <c r="D80" i="31"/>
  <c r="D81" i="31"/>
  <c r="D82" i="31"/>
  <c r="D83" i="31"/>
  <c r="D84" i="31"/>
  <c r="D85" i="31"/>
  <c r="D86" i="31"/>
  <c r="D87" i="31"/>
  <c r="D88" i="31"/>
  <c r="D89" i="31"/>
  <c r="D90" i="31"/>
  <c r="D91" i="31"/>
  <c r="D92" i="31"/>
  <c r="D93" i="31"/>
  <c r="D94" i="31"/>
  <c r="D95" i="31"/>
  <c r="D96" i="31"/>
  <c r="D97" i="31"/>
  <c r="D98" i="31"/>
  <c r="D99" i="31"/>
  <c r="D100" i="31"/>
  <c r="D101" i="31"/>
  <c r="D102" i="31"/>
  <c r="D103" i="31"/>
  <c r="D104" i="31"/>
  <c r="D105" i="31"/>
  <c r="D106" i="31"/>
  <c r="D107" i="31"/>
  <c r="D108" i="31"/>
  <c r="D109" i="31"/>
  <c r="D110" i="31"/>
  <c r="D111" i="31"/>
  <c r="D112" i="31"/>
  <c r="D113" i="31"/>
  <c r="D114" i="31"/>
  <c r="D115" i="31"/>
  <c r="D116" i="31"/>
  <c r="D117" i="31"/>
  <c r="D118" i="31"/>
  <c r="D119" i="31"/>
  <c r="D120" i="31"/>
  <c r="D121" i="31"/>
  <c r="D122" i="31"/>
  <c r="D123" i="31"/>
  <c r="D124" i="31"/>
  <c r="D125" i="31"/>
  <c r="D126" i="31"/>
  <c r="D127" i="31"/>
  <c r="D128" i="31"/>
  <c r="D129" i="31"/>
  <c r="D130" i="31"/>
  <c r="D131" i="31"/>
  <c r="D132" i="31"/>
  <c r="D133" i="31"/>
  <c r="D134" i="31"/>
  <c r="D135" i="31"/>
  <c r="D136" i="31"/>
  <c r="D137" i="31"/>
  <c r="D138" i="31"/>
  <c r="D139" i="31"/>
  <c r="D140" i="31"/>
  <c r="D141" i="31"/>
  <c r="D142" i="31"/>
  <c r="D143" i="31"/>
  <c r="D144" i="31"/>
  <c r="D145" i="31"/>
  <c r="D146" i="31"/>
  <c r="D147" i="31"/>
  <c r="D148" i="31"/>
  <c r="D149" i="31"/>
  <c r="D150" i="31"/>
  <c r="D151" i="31"/>
  <c r="D152" i="31"/>
  <c r="D153" i="31"/>
  <c r="D154" i="31"/>
  <c r="D155" i="31"/>
  <c r="D156" i="31"/>
  <c r="D157" i="31"/>
  <c r="D158" i="31"/>
  <c r="D159" i="31"/>
  <c r="D160" i="31"/>
  <c r="D161" i="31"/>
  <c r="D162" i="31"/>
  <c r="D163" i="31"/>
  <c r="D164" i="31"/>
  <c r="D165" i="31"/>
  <c r="D166" i="31"/>
  <c r="D167" i="31"/>
  <c r="D168" i="31"/>
  <c r="D169" i="31"/>
  <c r="D170" i="31"/>
  <c r="D171" i="31"/>
  <c r="D172" i="31"/>
  <c r="D173" i="31"/>
  <c r="D174" i="31"/>
  <c r="D175" i="31"/>
  <c r="D176" i="31"/>
  <c r="D177" i="31"/>
  <c r="D178" i="31"/>
  <c r="D179" i="31"/>
  <c r="D180" i="31"/>
  <c r="D181" i="31"/>
  <c r="D182" i="31"/>
  <c r="D183" i="31"/>
  <c r="D184" i="31"/>
  <c r="D185" i="31"/>
  <c r="D186" i="31"/>
  <c r="D187" i="31"/>
  <c r="D188" i="31"/>
  <c r="D189" i="31"/>
  <c r="D190" i="31"/>
  <c r="D191" i="31"/>
  <c r="D192" i="31"/>
  <c r="D193" i="31"/>
  <c r="D194" i="31"/>
  <c r="D195" i="31"/>
  <c r="D196" i="31"/>
  <c r="D197" i="31"/>
  <c r="D198" i="31"/>
  <c r="D199" i="31"/>
  <c r="D200" i="31"/>
  <c r="D201" i="31"/>
  <c r="D202" i="31"/>
  <c r="D203" i="31"/>
  <c r="D204" i="31"/>
  <c r="D205" i="31"/>
  <c r="D206" i="31"/>
  <c r="D207" i="31"/>
  <c r="D208" i="31"/>
  <c r="D209" i="31"/>
  <c r="D210" i="31"/>
  <c r="D211" i="31"/>
  <c r="D212" i="31"/>
  <c r="D213" i="31"/>
  <c r="D214" i="31"/>
  <c r="D215" i="31"/>
  <c r="D216" i="31"/>
  <c r="D217" i="31"/>
  <c r="D218" i="31"/>
  <c r="D219" i="31"/>
  <c r="D220" i="31"/>
  <c r="D221" i="31"/>
  <c r="D222" i="31"/>
  <c r="D223" i="31"/>
  <c r="D224" i="31"/>
  <c r="D225" i="31"/>
  <c r="D226" i="31"/>
  <c r="D227" i="31"/>
  <c r="D228" i="31"/>
  <c r="D229" i="31"/>
  <c r="D230" i="31"/>
  <c r="D231" i="31"/>
  <c r="D232" i="31"/>
  <c r="D233" i="31"/>
  <c r="D234" i="31"/>
  <c r="D235" i="31"/>
  <c r="D236" i="31"/>
  <c r="D237" i="31"/>
  <c r="D238" i="31"/>
  <c r="D239" i="31"/>
  <c r="D240" i="31"/>
  <c r="D241" i="31"/>
  <c r="D242" i="31"/>
  <c r="D243" i="31"/>
  <c r="D244" i="31"/>
  <c r="D245" i="31"/>
  <c r="D246" i="31"/>
  <c r="D247" i="31"/>
  <c r="D248" i="31"/>
  <c r="D249" i="31"/>
  <c r="D250" i="31"/>
  <c r="D251" i="31"/>
  <c r="D252" i="31"/>
  <c r="D253" i="31"/>
  <c r="D254" i="31"/>
  <c r="D255" i="31"/>
  <c r="D256" i="31"/>
  <c r="D257" i="31"/>
  <c r="D258" i="31"/>
  <c r="D259" i="31"/>
  <c r="D260" i="31"/>
  <c r="D261" i="31"/>
  <c r="D262" i="31"/>
  <c r="D263" i="31"/>
  <c r="D264" i="31"/>
  <c r="D265" i="31"/>
  <c r="D266" i="31"/>
  <c r="D267" i="31"/>
  <c r="D268" i="31"/>
  <c r="D269" i="31"/>
  <c r="D270" i="31"/>
  <c r="D271" i="31"/>
  <c r="D272" i="31"/>
  <c r="D273" i="31"/>
  <c r="D274" i="31"/>
  <c r="D275" i="31"/>
  <c r="D276" i="31"/>
  <c r="D277" i="31"/>
  <c r="D278" i="31"/>
  <c r="D279" i="31"/>
  <c r="D280" i="31"/>
  <c r="D281" i="31"/>
  <c r="D282" i="31"/>
  <c r="D283" i="31"/>
  <c r="D284" i="31"/>
  <c r="D285" i="31"/>
  <c r="D286" i="31"/>
  <c r="D287" i="31"/>
  <c r="D288" i="31"/>
  <c r="D289" i="31"/>
  <c r="D290" i="31"/>
  <c r="D291" i="31"/>
  <c r="D292" i="31"/>
  <c r="D293" i="31"/>
  <c r="D294" i="31"/>
  <c r="D295" i="31"/>
  <c r="D296" i="31"/>
  <c r="D297" i="31"/>
  <c r="D298" i="31"/>
  <c r="D299" i="31"/>
  <c r="D300" i="31"/>
  <c r="D301" i="31"/>
  <c r="D302" i="31"/>
  <c r="D303" i="31"/>
  <c r="D304" i="31"/>
  <c r="D305" i="31"/>
  <c r="D306" i="31"/>
  <c r="D307" i="31"/>
  <c r="D308" i="31"/>
  <c r="D309" i="31"/>
  <c r="D310" i="31"/>
  <c r="D311" i="31"/>
  <c r="D312" i="31"/>
  <c r="D313" i="31"/>
  <c r="D314" i="31"/>
  <c r="D315" i="31"/>
  <c r="D316" i="31"/>
  <c r="D317" i="31"/>
  <c r="D318" i="31"/>
  <c r="D319" i="31"/>
  <c r="D320" i="31"/>
  <c r="D321" i="31"/>
  <c r="D322" i="31"/>
  <c r="D323" i="31"/>
  <c r="D324" i="31"/>
  <c r="D325" i="31"/>
  <c r="D326" i="31"/>
  <c r="D327" i="31"/>
  <c r="D328" i="31"/>
  <c r="D329" i="31"/>
  <c r="D330" i="31"/>
  <c r="D331" i="31"/>
  <c r="D332" i="31"/>
  <c r="D333" i="31"/>
  <c r="D334" i="31"/>
  <c r="D335" i="31"/>
  <c r="D336" i="31"/>
  <c r="D337" i="31"/>
  <c r="D338" i="31"/>
  <c r="D339" i="31"/>
  <c r="D340" i="31"/>
  <c r="D341" i="31"/>
  <c r="D342" i="31"/>
  <c r="D343" i="31"/>
  <c r="D344" i="31"/>
  <c r="D345" i="31"/>
  <c r="D346" i="31"/>
  <c r="D347" i="31"/>
  <c r="D348" i="31"/>
  <c r="D349" i="31"/>
  <c r="D350" i="31"/>
  <c r="D351" i="31"/>
  <c r="D352" i="31"/>
  <c r="D353" i="31"/>
  <c r="D354" i="31"/>
  <c r="D355" i="31"/>
  <c r="D356" i="31"/>
  <c r="D357" i="31"/>
  <c r="D358" i="31"/>
  <c r="D359" i="31"/>
  <c r="D360" i="31"/>
  <c r="D361" i="31"/>
  <c r="D362" i="31"/>
  <c r="D363" i="31"/>
  <c r="D364" i="31"/>
  <c r="D365" i="31"/>
  <c r="D366" i="31"/>
  <c r="D367" i="31"/>
  <c r="D368" i="31"/>
  <c r="D369" i="31"/>
  <c r="D370" i="31"/>
  <c r="D371" i="31"/>
  <c r="D372" i="31"/>
  <c r="D373" i="31"/>
  <c r="D374" i="31"/>
  <c r="D375" i="31"/>
  <c r="D376" i="31"/>
  <c r="D377" i="31"/>
  <c r="D378" i="31"/>
  <c r="D379" i="31"/>
  <c r="D380" i="31"/>
  <c r="D381" i="31"/>
  <c r="D382" i="31"/>
  <c r="D383" i="31"/>
  <c r="D384" i="31"/>
  <c r="D385" i="31"/>
  <c r="D386" i="31"/>
  <c r="D387" i="31"/>
  <c r="D388" i="31"/>
  <c r="D389" i="31"/>
  <c r="D390" i="31"/>
  <c r="D391" i="31"/>
  <c r="D392" i="31"/>
  <c r="D393" i="31"/>
  <c r="D394" i="31"/>
  <c r="D395" i="31"/>
  <c r="D396" i="31"/>
  <c r="D397" i="31"/>
  <c r="D398" i="31"/>
  <c r="D399" i="31"/>
  <c r="D400" i="31"/>
  <c r="D401" i="31"/>
  <c r="D402" i="31"/>
  <c r="D403" i="31"/>
  <c r="D404" i="31"/>
  <c r="D405" i="31"/>
  <c r="D406" i="31"/>
  <c r="D407" i="31"/>
  <c r="D408" i="31"/>
  <c r="D409" i="31"/>
  <c r="D410" i="31"/>
  <c r="D411" i="31"/>
  <c r="D412" i="31"/>
  <c r="D413" i="31"/>
  <c r="D414" i="31"/>
  <c r="D415" i="31"/>
  <c r="D416" i="31"/>
  <c r="D417" i="31"/>
  <c r="D418" i="31"/>
  <c r="D419" i="31"/>
  <c r="D420" i="31"/>
  <c r="D421" i="31"/>
  <c r="D422" i="31"/>
  <c r="D423" i="31"/>
  <c r="D424" i="31"/>
  <c r="D425" i="31"/>
  <c r="D426" i="31"/>
  <c r="D427" i="31"/>
  <c r="D428" i="31"/>
  <c r="D429" i="31"/>
  <c r="D430" i="31"/>
  <c r="D431" i="31"/>
  <c r="D432" i="31"/>
  <c r="D433" i="31"/>
  <c r="D434" i="31"/>
  <c r="D435" i="31"/>
  <c r="D436" i="31"/>
  <c r="D437" i="31"/>
  <c r="D438" i="31"/>
  <c r="D439" i="31"/>
  <c r="D440" i="31"/>
  <c r="D441" i="31"/>
  <c r="D442" i="31"/>
  <c r="D443" i="31"/>
  <c r="D444" i="31"/>
  <c r="D445" i="31"/>
  <c r="D446" i="31"/>
  <c r="D447" i="31"/>
  <c r="D448" i="31"/>
  <c r="D449" i="31"/>
  <c r="D450" i="31"/>
  <c r="D451" i="31"/>
  <c r="D452" i="31"/>
  <c r="D453" i="31"/>
  <c r="D454" i="31"/>
  <c r="D455" i="31"/>
  <c r="D456" i="31"/>
  <c r="D457" i="31"/>
  <c r="D458" i="31"/>
  <c r="D459" i="31"/>
  <c r="D460" i="31"/>
  <c r="D461" i="31"/>
  <c r="D462" i="31"/>
  <c r="D463" i="31"/>
  <c r="D464" i="31"/>
  <c r="D465" i="31"/>
  <c r="D466" i="31"/>
  <c r="D467" i="31"/>
  <c r="D468" i="31"/>
  <c r="D469" i="31"/>
  <c r="D470" i="31"/>
  <c r="D471" i="31"/>
  <c r="D472" i="31"/>
  <c r="D473" i="31"/>
  <c r="D474" i="31"/>
  <c r="D475" i="31"/>
  <c r="D476" i="31"/>
  <c r="D477" i="31"/>
  <c r="D478" i="31"/>
  <c r="D479" i="31"/>
  <c r="D480" i="31"/>
  <c r="D481" i="31"/>
  <c r="D482" i="31"/>
  <c r="D483" i="31"/>
  <c r="D484" i="31"/>
  <c r="D485" i="31"/>
  <c r="D486" i="31"/>
  <c r="D487" i="31"/>
  <c r="D488" i="31"/>
  <c r="D489" i="31"/>
  <c r="D490" i="31"/>
  <c r="D491" i="31"/>
  <c r="D492" i="31"/>
  <c r="D493" i="31"/>
  <c r="D494" i="31"/>
  <c r="D495" i="31"/>
  <c r="D496" i="31"/>
  <c r="D497" i="31"/>
  <c r="D498" i="31"/>
  <c r="D499" i="31"/>
  <c r="D500" i="31"/>
  <c r="D501" i="31"/>
  <c r="D502" i="31"/>
  <c r="D503" i="31"/>
  <c r="D504" i="31"/>
  <c r="D505" i="31"/>
  <c r="D506" i="31"/>
  <c r="D507" i="31"/>
  <c r="D508" i="31"/>
  <c r="D509" i="31"/>
  <c r="D510" i="31"/>
  <c r="D511" i="31"/>
  <c r="D512" i="31"/>
  <c r="D513" i="31"/>
  <c r="D514" i="31"/>
  <c r="D515" i="31"/>
  <c r="D516" i="31"/>
  <c r="D517" i="31"/>
  <c r="D518" i="31"/>
  <c r="D519" i="31"/>
  <c r="D520" i="31"/>
  <c r="D521" i="31"/>
  <c r="D522" i="31"/>
  <c r="D523" i="31"/>
  <c r="D524" i="31"/>
  <c r="D525" i="31"/>
  <c r="D526" i="31"/>
  <c r="D527" i="31"/>
  <c r="D528" i="31"/>
  <c r="D529" i="31"/>
  <c r="D530" i="31"/>
  <c r="D531" i="31"/>
  <c r="D532" i="31"/>
  <c r="D533" i="31"/>
  <c r="D534" i="31"/>
  <c r="D535" i="31"/>
  <c r="D536" i="31"/>
  <c r="D537" i="31"/>
  <c r="D538" i="31"/>
  <c r="D539" i="31"/>
  <c r="D540" i="31"/>
  <c r="D541" i="31"/>
  <c r="D542" i="31"/>
  <c r="D543" i="31"/>
  <c r="D544" i="31"/>
  <c r="D545" i="31"/>
  <c r="D546" i="31"/>
  <c r="D547" i="31"/>
  <c r="D548" i="31"/>
  <c r="D549" i="31"/>
  <c r="D550" i="31"/>
  <c r="D551" i="31"/>
  <c r="D552" i="31"/>
  <c r="D553" i="31"/>
  <c r="D554" i="31"/>
  <c r="D555" i="31"/>
  <c r="D556" i="31"/>
  <c r="D557" i="31"/>
  <c r="D558" i="31"/>
  <c r="D559" i="31"/>
  <c r="D560" i="31"/>
  <c r="D561" i="31"/>
  <c r="D562" i="31"/>
  <c r="D563" i="31"/>
  <c r="D564" i="31"/>
  <c r="D565" i="31"/>
  <c r="D566" i="31"/>
  <c r="D567" i="31"/>
  <c r="D568" i="31"/>
  <c r="D569" i="31"/>
  <c r="D570" i="31"/>
  <c r="D571" i="31"/>
  <c r="D572" i="31"/>
  <c r="D573" i="31"/>
  <c r="D574" i="31"/>
  <c r="D575" i="31"/>
  <c r="D576" i="31"/>
  <c r="D577" i="31"/>
  <c r="D578" i="31"/>
  <c r="D579" i="31"/>
  <c r="D580" i="31"/>
  <c r="D581" i="31"/>
  <c r="D582" i="31"/>
  <c r="D583" i="31"/>
  <c r="D584" i="31"/>
  <c r="D585" i="31"/>
  <c r="D586" i="31"/>
  <c r="D587" i="31"/>
  <c r="D588" i="31"/>
  <c r="D589" i="31"/>
  <c r="D590" i="31"/>
  <c r="D591" i="31"/>
  <c r="D592" i="31"/>
  <c r="D593" i="31"/>
  <c r="D594" i="31"/>
  <c r="D595" i="31"/>
  <c r="D596" i="31"/>
  <c r="D597" i="31"/>
  <c r="D598" i="31"/>
  <c r="D599" i="31"/>
  <c r="D600" i="31"/>
  <c r="D601" i="31"/>
  <c r="D602" i="31"/>
  <c r="D603" i="31"/>
  <c r="D604" i="31"/>
  <c r="D605" i="31"/>
  <c r="D606" i="31"/>
  <c r="D607" i="31"/>
  <c r="D608" i="31"/>
  <c r="D609" i="31"/>
  <c r="D610" i="31"/>
  <c r="D611" i="31"/>
  <c r="D612" i="31"/>
  <c r="D613" i="31"/>
  <c r="D614" i="31"/>
  <c r="D615" i="31"/>
  <c r="D616" i="31"/>
  <c r="D617" i="31"/>
  <c r="D618" i="31"/>
  <c r="D619" i="31"/>
  <c r="D620" i="31"/>
  <c r="D621" i="31"/>
  <c r="D622" i="31"/>
  <c r="D623" i="31"/>
  <c r="D624" i="31"/>
  <c r="D625" i="31"/>
  <c r="D626" i="31"/>
  <c r="D627" i="31"/>
  <c r="D628" i="31"/>
  <c r="D629" i="31"/>
  <c r="D630" i="31"/>
  <c r="D631" i="31"/>
  <c r="D632" i="31"/>
  <c r="D633" i="31"/>
  <c r="D634" i="31"/>
  <c r="D635" i="31"/>
  <c r="D636" i="31"/>
  <c r="D637" i="31"/>
  <c r="D638" i="31"/>
  <c r="D639" i="31"/>
  <c r="D640" i="31"/>
  <c r="D641" i="31"/>
  <c r="D642" i="31"/>
  <c r="D643" i="31"/>
  <c r="D644" i="31"/>
  <c r="D645" i="31"/>
  <c r="D646" i="31"/>
  <c r="D647" i="31"/>
  <c r="D648" i="31"/>
  <c r="D649" i="31"/>
  <c r="D650" i="31"/>
  <c r="D651" i="31"/>
  <c r="D652" i="31"/>
  <c r="D653" i="31"/>
  <c r="D654" i="31"/>
  <c r="D655" i="31"/>
  <c r="D656" i="31"/>
  <c r="D657" i="31"/>
  <c r="D658" i="31"/>
  <c r="D659" i="31"/>
  <c r="D660" i="31"/>
  <c r="D661" i="31"/>
  <c r="D662" i="31"/>
  <c r="D663" i="31"/>
  <c r="D664" i="31"/>
  <c r="D665" i="31"/>
  <c r="D666" i="31"/>
  <c r="D667" i="31"/>
  <c r="D668" i="31"/>
  <c r="D669" i="31"/>
  <c r="D670" i="31"/>
  <c r="D671" i="31"/>
  <c r="D672" i="31"/>
  <c r="D673" i="31"/>
  <c r="D674" i="31"/>
  <c r="D675" i="31"/>
  <c r="D676" i="31"/>
  <c r="D677" i="31"/>
  <c r="D678" i="31"/>
  <c r="D679" i="31"/>
  <c r="D680" i="31"/>
  <c r="D681" i="31"/>
  <c r="D682" i="31"/>
  <c r="D683" i="31"/>
  <c r="D684" i="31"/>
  <c r="D685" i="31"/>
  <c r="D686" i="31"/>
  <c r="D687" i="31"/>
  <c r="D688" i="31"/>
  <c r="D689" i="31"/>
  <c r="D690" i="31"/>
  <c r="D691" i="31"/>
  <c r="D692" i="31"/>
  <c r="D693" i="31"/>
  <c r="D694" i="31"/>
  <c r="D695" i="31"/>
  <c r="D696" i="31"/>
  <c r="D697" i="31"/>
  <c r="D698" i="31"/>
  <c r="D699" i="31"/>
  <c r="D700" i="31"/>
  <c r="D701" i="31"/>
  <c r="D702" i="31"/>
  <c r="D703" i="31"/>
  <c r="D704" i="31"/>
  <c r="D705" i="31"/>
  <c r="D706" i="31"/>
  <c r="D707" i="31"/>
  <c r="D708" i="31"/>
  <c r="D709" i="31"/>
  <c r="D710" i="31"/>
  <c r="D711" i="31"/>
  <c r="D712" i="31"/>
  <c r="D713" i="31"/>
  <c r="D714" i="31"/>
  <c r="D715" i="31"/>
  <c r="D716" i="31"/>
  <c r="D717" i="31"/>
  <c r="D718" i="31"/>
  <c r="D719" i="31"/>
  <c r="D720" i="31"/>
  <c r="D721" i="31"/>
  <c r="D722" i="31"/>
  <c r="D723" i="31"/>
  <c r="D724" i="31"/>
  <c r="D725" i="31"/>
  <c r="D726" i="31"/>
  <c r="D727" i="31"/>
  <c r="D728" i="31"/>
  <c r="D729" i="31"/>
  <c r="D730" i="31"/>
  <c r="D731" i="31"/>
  <c r="D732" i="31"/>
  <c r="D733" i="31"/>
  <c r="D734" i="31"/>
  <c r="D735" i="31"/>
  <c r="D736" i="31"/>
  <c r="D737" i="31"/>
  <c r="D738" i="31"/>
  <c r="D739" i="31"/>
  <c r="D740" i="31"/>
  <c r="D741" i="31"/>
  <c r="D742" i="31"/>
  <c r="D743" i="31"/>
  <c r="D744" i="31"/>
  <c r="D745" i="31"/>
  <c r="D746" i="31"/>
  <c r="D747" i="31"/>
  <c r="D748" i="31"/>
  <c r="D749" i="31"/>
  <c r="D750" i="31"/>
  <c r="D751" i="31"/>
  <c r="D752" i="31"/>
  <c r="D753" i="31"/>
  <c r="D754" i="31"/>
  <c r="D755" i="31"/>
  <c r="D756" i="31"/>
  <c r="D757" i="31"/>
  <c r="D758" i="31"/>
  <c r="D759" i="31"/>
  <c r="D760" i="31"/>
  <c r="D761" i="31"/>
  <c r="D762" i="31"/>
  <c r="D763" i="31"/>
  <c r="D764" i="31"/>
  <c r="D765" i="31"/>
  <c r="D766" i="31"/>
  <c r="D767" i="31"/>
  <c r="D768" i="31"/>
  <c r="D769" i="31"/>
  <c r="D770" i="31"/>
  <c r="D771" i="31"/>
  <c r="D772" i="31"/>
  <c r="D773" i="31"/>
  <c r="D774" i="31"/>
  <c r="D775" i="31"/>
  <c r="D776" i="31"/>
  <c r="D777" i="31"/>
  <c r="D778" i="31"/>
  <c r="D779" i="31"/>
  <c r="D780" i="31"/>
  <c r="D781" i="31"/>
  <c r="D782" i="31"/>
  <c r="D783" i="31"/>
  <c r="D784" i="31"/>
  <c r="D785" i="31"/>
  <c r="D786" i="31"/>
  <c r="D787" i="31"/>
  <c r="D788" i="31"/>
  <c r="D789" i="31"/>
  <c r="D790" i="31"/>
  <c r="D791" i="31"/>
  <c r="D792" i="31"/>
  <c r="D793" i="31"/>
  <c r="D794" i="31"/>
  <c r="D795" i="31"/>
  <c r="D796" i="31"/>
  <c r="D797" i="31"/>
  <c r="D798" i="31"/>
  <c r="D799" i="31"/>
  <c r="D800" i="31"/>
  <c r="D801" i="31"/>
  <c r="D802" i="31"/>
  <c r="D803" i="31"/>
  <c r="D804" i="31"/>
  <c r="D805" i="31"/>
  <c r="D806" i="31"/>
  <c r="D807" i="31"/>
  <c r="D808" i="31"/>
  <c r="D809" i="31"/>
  <c r="D810" i="31"/>
  <c r="D811" i="31"/>
  <c r="D812" i="31"/>
  <c r="D813" i="31"/>
  <c r="D814" i="31"/>
  <c r="D815" i="31"/>
  <c r="D816" i="31"/>
  <c r="D817" i="31"/>
  <c r="D818" i="31"/>
  <c r="D819" i="31"/>
  <c r="D820" i="31"/>
  <c r="D821" i="31"/>
  <c r="D822" i="31"/>
  <c r="D823" i="31"/>
  <c r="D824" i="31"/>
  <c r="D825" i="31"/>
  <c r="D826" i="31"/>
  <c r="D827" i="31"/>
  <c r="D828" i="31"/>
  <c r="D829" i="31"/>
  <c r="D830" i="31"/>
  <c r="D831" i="31"/>
  <c r="D832" i="31"/>
  <c r="D833" i="31"/>
  <c r="D834" i="31"/>
  <c r="D835" i="31"/>
  <c r="D836" i="31"/>
  <c r="D837" i="31"/>
  <c r="D838" i="31"/>
  <c r="D839" i="31"/>
  <c r="D840" i="31"/>
  <c r="D841" i="31"/>
  <c r="D842" i="31"/>
  <c r="D843" i="31"/>
  <c r="D844" i="31"/>
  <c r="D845" i="31"/>
  <c r="D846" i="31"/>
  <c r="D847" i="31"/>
  <c r="D848" i="31"/>
  <c r="D849" i="31"/>
  <c r="D850" i="31"/>
  <c r="D851" i="31"/>
  <c r="D852" i="31"/>
  <c r="D853" i="31"/>
  <c r="D854" i="31"/>
  <c r="D855" i="31"/>
  <c r="D856" i="31"/>
  <c r="D857" i="31"/>
  <c r="D858" i="31"/>
  <c r="D859" i="31"/>
  <c r="D860" i="31"/>
  <c r="D861" i="31"/>
  <c r="D862" i="31"/>
  <c r="D863" i="31"/>
  <c r="D864" i="31"/>
  <c r="D865" i="31"/>
  <c r="D866" i="31"/>
  <c r="D867" i="31"/>
  <c r="D868" i="31"/>
  <c r="D869" i="31"/>
  <c r="D870" i="31"/>
  <c r="D871" i="31"/>
  <c r="D872" i="31"/>
  <c r="D873" i="31"/>
  <c r="D874" i="31"/>
  <c r="D875" i="31"/>
  <c r="D876" i="31"/>
  <c r="D877" i="31"/>
  <c r="D878" i="31"/>
  <c r="D879" i="31"/>
  <c r="D880" i="31"/>
  <c r="D881" i="31"/>
  <c r="D882" i="31"/>
  <c r="D883" i="31"/>
  <c r="D884" i="31"/>
  <c r="D885" i="31"/>
  <c r="D886" i="31"/>
  <c r="D887" i="31"/>
  <c r="D888" i="31"/>
  <c r="D889" i="31"/>
  <c r="D890" i="31"/>
  <c r="D891" i="31"/>
  <c r="D892" i="31"/>
  <c r="D893" i="31"/>
  <c r="D894" i="31"/>
  <c r="D895" i="31"/>
  <c r="D896" i="31"/>
  <c r="D897" i="31"/>
  <c r="D898" i="31"/>
  <c r="D899" i="31"/>
  <c r="D900" i="31"/>
  <c r="D901" i="31"/>
  <c r="D902" i="31"/>
  <c r="D903" i="31"/>
  <c r="D904" i="31"/>
  <c r="D905" i="31"/>
  <c r="D906" i="31"/>
  <c r="D907" i="31"/>
  <c r="D908" i="31"/>
  <c r="D909" i="31"/>
  <c r="D910" i="31"/>
  <c r="D911" i="31"/>
  <c r="D912" i="31"/>
  <c r="D913" i="31"/>
  <c r="D914" i="31"/>
  <c r="D915" i="31"/>
  <c r="D916" i="31"/>
  <c r="D917" i="31"/>
  <c r="D918" i="31"/>
  <c r="D919" i="31"/>
  <c r="D920" i="31"/>
  <c r="D921" i="31"/>
  <c r="D922" i="31"/>
  <c r="D923" i="31"/>
  <c r="D924" i="31"/>
  <c r="D925" i="31"/>
  <c r="D926" i="31"/>
  <c r="D927" i="31"/>
  <c r="D928" i="31"/>
  <c r="D929" i="31"/>
  <c r="D930" i="31"/>
  <c r="D931" i="31"/>
  <c r="D932" i="31"/>
  <c r="D933" i="31"/>
  <c r="D934" i="31"/>
  <c r="D935" i="31"/>
  <c r="D936" i="31"/>
  <c r="D937" i="31"/>
  <c r="D938" i="31"/>
  <c r="D939" i="31"/>
  <c r="D940" i="31"/>
  <c r="D941" i="31"/>
  <c r="D942" i="31"/>
  <c r="D943" i="31"/>
  <c r="D944" i="31"/>
  <c r="D945" i="31"/>
  <c r="D946" i="31"/>
  <c r="D947" i="31"/>
  <c r="D948" i="31"/>
  <c r="D949" i="31"/>
  <c r="D950" i="31"/>
  <c r="D951" i="31"/>
  <c r="D952" i="31"/>
  <c r="D953" i="31"/>
  <c r="D954" i="31"/>
  <c r="D955" i="31"/>
  <c r="D956" i="31"/>
  <c r="D957" i="31"/>
  <c r="D958" i="31"/>
  <c r="D959" i="31"/>
  <c r="D960" i="31"/>
  <c r="D961" i="31"/>
  <c r="D962" i="31"/>
  <c r="D963" i="31"/>
  <c r="D964" i="31"/>
  <c r="D965" i="31"/>
  <c r="D966" i="31"/>
  <c r="D967" i="31"/>
  <c r="D968" i="31"/>
  <c r="D969" i="31"/>
  <c r="D970" i="31"/>
  <c r="D971" i="31"/>
  <c r="D972" i="31"/>
  <c r="D973" i="31"/>
  <c r="D974" i="31"/>
  <c r="D975" i="31"/>
  <c r="D976" i="31"/>
  <c r="D977" i="31"/>
  <c r="D978" i="31"/>
  <c r="D979" i="31"/>
  <c r="D980" i="31"/>
  <c r="D981" i="31"/>
  <c r="D982" i="31"/>
  <c r="D983" i="31"/>
  <c r="D984" i="31"/>
  <c r="D985" i="31"/>
  <c r="D986" i="31"/>
  <c r="D987" i="31"/>
  <c r="D988" i="31"/>
  <c r="D989" i="31"/>
  <c r="D990" i="31"/>
  <c r="D991" i="31"/>
  <c r="D992" i="31"/>
  <c r="D993" i="31"/>
  <c r="D994" i="31"/>
  <c r="D995" i="31"/>
  <c r="D996" i="31"/>
  <c r="D997" i="31"/>
  <c r="D998" i="31"/>
  <c r="D999" i="31"/>
  <c r="D1000" i="31"/>
  <c r="D1001" i="31"/>
  <c r="D1002" i="31"/>
  <c r="D1003" i="31"/>
  <c r="D1004" i="31"/>
  <c r="D1005" i="31"/>
  <c r="J23"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64" i="32"/>
  <c r="J65" i="32"/>
  <c r="J66" i="32"/>
  <c r="J67" i="32"/>
  <c r="J68" i="32"/>
  <c r="J69" i="32"/>
  <c r="J70" i="32"/>
  <c r="J71" i="32"/>
  <c r="J72" i="32"/>
  <c r="J73" i="32"/>
  <c r="J74" i="32"/>
  <c r="J75" i="32"/>
  <c r="J76" i="32"/>
  <c r="J77" i="32"/>
  <c r="J78" i="32"/>
  <c r="J79" i="32"/>
  <c r="J80" i="32"/>
  <c r="J81" i="32"/>
  <c r="J82" i="32"/>
  <c r="J83" i="32"/>
  <c r="J84" i="32"/>
  <c r="J85" i="32"/>
  <c r="J86" i="32"/>
  <c r="J87" i="32"/>
  <c r="J88" i="32"/>
  <c r="J89" i="32"/>
  <c r="J90" i="32"/>
  <c r="J91" i="32"/>
  <c r="J92" i="32"/>
  <c r="J93" i="32"/>
  <c r="J94" i="32"/>
  <c r="J95" i="32"/>
  <c r="J96" i="32"/>
  <c r="J97" i="32"/>
  <c r="J98" i="32"/>
  <c r="J99" i="32"/>
  <c r="J100" i="32"/>
  <c r="J101" i="32"/>
  <c r="J102" i="32"/>
  <c r="J103" i="32"/>
  <c r="J104" i="32"/>
  <c r="J105" i="32"/>
  <c r="J106" i="32"/>
  <c r="J107" i="32"/>
  <c r="J108" i="32"/>
  <c r="J109" i="32"/>
  <c r="J110" i="32"/>
  <c r="J111" i="32"/>
  <c r="J112" i="32"/>
  <c r="J113" i="32"/>
  <c r="J114" i="32"/>
  <c r="J115" i="32"/>
  <c r="J116" i="32"/>
  <c r="J117" i="32"/>
  <c r="J118" i="32"/>
  <c r="J119" i="32"/>
  <c r="J120" i="32"/>
  <c r="J121" i="32"/>
  <c r="J122" i="32"/>
  <c r="J123" i="32"/>
  <c r="J124" i="32"/>
  <c r="J125" i="32"/>
  <c r="J126" i="32"/>
  <c r="J127" i="32"/>
  <c r="J128" i="32"/>
  <c r="J129" i="32"/>
  <c r="J130" i="32"/>
  <c r="J131" i="32"/>
  <c r="J132" i="32"/>
  <c r="J133" i="32"/>
  <c r="J134" i="32"/>
  <c r="J135" i="32"/>
  <c r="J136" i="32"/>
  <c r="J137" i="32"/>
  <c r="J138" i="32"/>
  <c r="J139" i="32"/>
  <c r="J140" i="32"/>
  <c r="J141" i="32"/>
  <c r="J142" i="32"/>
  <c r="J143" i="32"/>
  <c r="J144" i="32"/>
  <c r="J145" i="32"/>
  <c r="J146" i="32"/>
  <c r="J147" i="32"/>
  <c r="J148" i="32"/>
  <c r="J149" i="32"/>
  <c r="J150" i="32"/>
  <c r="J151" i="32"/>
  <c r="J152" i="32"/>
  <c r="J153" i="32"/>
  <c r="J154" i="32"/>
  <c r="J155" i="32"/>
  <c r="J156" i="32"/>
  <c r="J157" i="32"/>
  <c r="J158" i="32"/>
  <c r="J159" i="32"/>
  <c r="J160" i="32"/>
  <c r="J161" i="32"/>
  <c r="J162" i="32"/>
  <c r="J163" i="32"/>
  <c r="J164" i="32"/>
  <c r="J165" i="32"/>
  <c r="J166" i="32"/>
  <c r="J167" i="32"/>
  <c r="J168" i="32"/>
  <c r="J169" i="32"/>
  <c r="J170" i="32"/>
  <c r="J171" i="32"/>
  <c r="J172" i="32"/>
  <c r="J173" i="32"/>
  <c r="J174" i="32"/>
  <c r="J175" i="32"/>
  <c r="J176" i="32"/>
  <c r="J177" i="32"/>
  <c r="J178" i="32"/>
  <c r="J179" i="32"/>
  <c r="J180" i="32"/>
  <c r="J181" i="32"/>
  <c r="J182" i="32"/>
  <c r="J183" i="32"/>
  <c r="J184" i="32"/>
  <c r="J185" i="32"/>
  <c r="J186" i="32"/>
  <c r="J187" i="32"/>
  <c r="J188" i="32"/>
  <c r="J189" i="32"/>
  <c r="J190" i="32"/>
  <c r="J191" i="32"/>
  <c r="J192" i="32"/>
  <c r="J193" i="32"/>
  <c r="J194" i="32"/>
  <c r="J195" i="32"/>
  <c r="J196" i="32"/>
  <c r="J197" i="32"/>
  <c r="J198" i="32"/>
  <c r="J199" i="32"/>
  <c r="J200" i="32"/>
  <c r="J201" i="32"/>
  <c r="J202" i="32"/>
  <c r="J203" i="32"/>
  <c r="J204" i="32"/>
  <c r="J205" i="32"/>
  <c r="J206" i="32"/>
  <c r="J207" i="32"/>
  <c r="J208" i="32"/>
  <c r="J209" i="32"/>
  <c r="J210" i="32"/>
  <c r="J211" i="32"/>
  <c r="J212" i="32"/>
  <c r="J213" i="32"/>
  <c r="J214" i="32"/>
  <c r="J215" i="32"/>
  <c r="J216" i="32"/>
  <c r="J217" i="32"/>
  <c r="J218" i="32"/>
  <c r="J219" i="32"/>
  <c r="J220" i="32"/>
  <c r="J221" i="32"/>
  <c r="J222" i="32"/>
  <c r="J223" i="32"/>
  <c r="J224" i="32"/>
  <c r="J225" i="32"/>
  <c r="J226" i="32"/>
  <c r="J227" i="32"/>
  <c r="J228" i="32"/>
  <c r="J229" i="32"/>
  <c r="J230" i="32"/>
  <c r="J231" i="32"/>
  <c r="J232" i="32"/>
  <c r="J233" i="32"/>
  <c r="J234" i="32"/>
  <c r="J235" i="32"/>
  <c r="J236" i="32"/>
  <c r="J237" i="32"/>
  <c r="J238" i="32"/>
  <c r="J239" i="32"/>
  <c r="J240" i="32"/>
  <c r="J241" i="32"/>
  <c r="J242" i="32"/>
  <c r="J243" i="32"/>
  <c r="J244" i="32"/>
  <c r="J245" i="32"/>
  <c r="J246" i="32"/>
  <c r="J247" i="32"/>
  <c r="J248" i="32"/>
  <c r="J249" i="32"/>
  <c r="J250" i="32"/>
  <c r="J251" i="32"/>
  <c r="J252" i="32"/>
  <c r="J253" i="32"/>
  <c r="J254" i="32"/>
  <c r="J255" i="32"/>
  <c r="J256" i="32"/>
  <c r="J257" i="32"/>
  <c r="J258" i="32"/>
  <c r="J259" i="32"/>
  <c r="J260" i="32"/>
  <c r="J261" i="32"/>
  <c r="J262" i="32"/>
  <c r="J263" i="32"/>
  <c r="J264" i="32"/>
  <c r="J265" i="32"/>
  <c r="J266" i="32"/>
  <c r="J267" i="32"/>
  <c r="J268" i="32"/>
  <c r="J269" i="32"/>
  <c r="J270" i="32"/>
  <c r="J271" i="32"/>
  <c r="J272" i="32"/>
  <c r="J273" i="32"/>
  <c r="J274" i="32"/>
  <c r="J275" i="32"/>
  <c r="J276" i="32"/>
  <c r="J277" i="32"/>
  <c r="J278" i="32"/>
  <c r="J279" i="32"/>
  <c r="J280" i="32"/>
  <c r="J281" i="32"/>
  <c r="J282" i="32"/>
  <c r="J283" i="32"/>
  <c r="J284" i="32"/>
  <c r="J285" i="32"/>
  <c r="J286" i="32"/>
  <c r="J287" i="32"/>
  <c r="J288" i="32"/>
  <c r="J289" i="32"/>
  <c r="J290" i="32"/>
  <c r="J291" i="32"/>
  <c r="J292" i="32"/>
  <c r="J293" i="32"/>
  <c r="J294" i="32"/>
  <c r="J295" i="32"/>
  <c r="J296" i="32"/>
  <c r="J297" i="32"/>
  <c r="J298" i="32"/>
  <c r="J299" i="32"/>
  <c r="J300" i="32"/>
  <c r="J301" i="32"/>
  <c r="J302" i="32"/>
  <c r="J303" i="32"/>
  <c r="J304" i="32"/>
  <c r="J305" i="32"/>
  <c r="J306" i="32"/>
  <c r="J307" i="32"/>
  <c r="J308" i="32"/>
  <c r="J309" i="32"/>
  <c r="J310" i="32"/>
  <c r="J311" i="32"/>
  <c r="J312" i="32"/>
  <c r="J313" i="32"/>
  <c r="J314" i="32"/>
  <c r="J315" i="32"/>
  <c r="J316" i="32"/>
  <c r="J317" i="32"/>
  <c r="J318" i="32"/>
  <c r="J319" i="32"/>
  <c r="J320" i="32"/>
  <c r="J321" i="32"/>
  <c r="J322" i="32"/>
  <c r="J323" i="32"/>
  <c r="J324" i="32"/>
  <c r="J325" i="32"/>
  <c r="J326" i="32"/>
  <c r="J327" i="32"/>
  <c r="J328" i="32"/>
  <c r="J329" i="32"/>
  <c r="J330" i="32"/>
  <c r="J331" i="32"/>
  <c r="J332" i="32"/>
  <c r="J333" i="32"/>
  <c r="J334" i="32"/>
  <c r="J335" i="32"/>
  <c r="J336" i="32"/>
  <c r="J337" i="32"/>
  <c r="J338" i="32"/>
  <c r="J339" i="32"/>
  <c r="J340" i="32"/>
  <c r="J341" i="32"/>
  <c r="J342" i="32"/>
  <c r="J343" i="32"/>
  <c r="J344" i="32"/>
  <c r="J345" i="32"/>
  <c r="J346" i="32"/>
  <c r="J347" i="32"/>
  <c r="J348" i="32"/>
  <c r="J349" i="32"/>
  <c r="J350" i="32"/>
  <c r="J351" i="32"/>
  <c r="J352" i="32"/>
  <c r="J353" i="32"/>
  <c r="J354" i="32"/>
  <c r="J355" i="32"/>
  <c r="J356" i="32"/>
  <c r="J357" i="32"/>
  <c r="J358" i="32"/>
  <c r="J359" i="32"/>
  <c r="J360" i="32"/>
  <c r="J361" i="32"/>
  <c r="J362" i="32"/>
  <c r="J363" i="32"/>
  <c r="J364" i="32"/>
  <c r="J365" i="32"/>
  <c r="J366" i="32"/>
  <c r="J367" i="32"/>
  <c r="J368" i="32"/>
  <c r="J369" i="32"/>
  <c r="J370" i="32"/>
  <c r="J371" i="32"/>
  <c r="J372" i="32"/>
  <c r="J373" i="32"/>
  <c r="J374" i="32"/>
  <c r="J375" i="32"/>
  <c r="J376" i="32"/>
  <c r="J377" i="32"/>
  <c r="J378" i="32"/>
  <c r="J379" i="32"/>
  <c r="J380" i="32"/>
  <c r="J381" i="32"/>
  <c r="J382" i="32"/>
  <c r="J383" i="32"/>
  <c r="J384" i="32"/>
  <c r="J385" i="32"/>
  <c r="J386" i="32"/>
  <c r="J387" i="32"/>
  <c r="J388" i="32"/>
  <c r="J389" i="32"/>
  <c r="J390" i="32"/>
  <c r="J391" i="32"/>
  <c r="J392" i="32"/>
  <c r="J393" i="32"/>
  <c r="J394" i="32"/>
  <c r="J395" i="32"/>
  <c r="J396" i="32"/>
  <c r="J397" i="32"/>
  <c r="J398" i="32"/>
  <c r="J399" i="32"/>
  <c r="J400" i="32"/>
  <c r="J401" i="32"/>
  <c r="J402" i="32"/>
  <c r="J403" i="32"/>
  <c r="J404" i="32"/>
  <c r="J405" i="32"/>
  <c r="J406" i="32"/>
  <c r="J407" i="32"/>
  <c r="J408" i="32"/>
  <c r="J409" i="32"/>
  <c r="J410" i="32"/>
  <c r="J411" i="32"/>
  <c r="J412" i="32"/>
  <c r="J413" i="32"/>
  <c r="J414" i="32"/>
  <c r="J415" i="32"/>
  <c r="J416" i="32"/>
  <c r="J417" i="32"/>
  <c r="J418" i="32"/>
  <c r="J419" i="32"/>
  <c r="J420" i="32"/>
  <c r="J421" i="32"/>
  <c r="J422" i="32"/>
  <c r="J423" i="32"/>
  <c r="J424" i="32"/>
  <c r="J425" i="32"/>
  <c r="J426" i="32"/>
  <c r="J427" i="32"/>
  <c r="J428" i="32"/>
  <c r="J429" i="32"/>
  <c r="J430" i="32"/>
  <c r="J431" i="32"/>
  <c r="J432" i="32"/>
  <c r="J433" i="32"/>
  <c r="J434" i="32"/>
  <c r="J435" i="32"/>
  <c r="J436" i="32"/>
  <c r="J437" i="32"/>
  <c r="J438" i="32"/>
  <c r="J439" i="32"/>
  <c r="J440" i="32"/>
  <c r="J441" i="32"/>
  <c r="J442" i="32"/>
  <c r="J443" i="32"/>
  <c r="J444" i="32"/>
  <c r="J445" i="32"/>
  <c r="J446" i="32"/>
  <c r="J447" i="32"/>
  <c r="J448" i="32"/>
  <c r="J449" i="32"/>
  <c r="J450" i="32"/>
  <c r="J451" i="32"/>
  <c r="J452" i="32"/>
  <c r="J453" i="32"/>
  <c r="J454" i="32"/>
  <c r="J455" i="32"/>
  <c r="J456" i="32"/>
  <c r="J457" i="32"/>
  <c r="J458" i="32"/>
  <c r="J459" i="32"/>
  <c r="J460" i="32"/>
  <c r="J461" i="32"/>
  <c r="J462" i="32"/>
  <c r="J463" i="32"/>
  <c r="J464" i="32"/>
  <c r="J465" i="32"/>
  <c r="J466" i="32"/>
  <c r="J467" i="32"/>
  <c r="J468" i="32"/>
  <c r="J469" i="32"/>
  <c r="J470" i="32"/>
  <c r="J471" i="32"/>
  <c r="J472" i="32"/>
  <c r="J473" i="32"/>
  <c r="J474" i="32"/>
  <c r="J475" i="32"/>
  <c r="J476" i="32"/>
  <c r="J477" i="32"/>
  <c r="J478" i="32"/>
  <c r="J479" i="32"/>
  <c r="J480" i="32"/>
  <c r="J481" i="32"/>
  <c r="J482" i="32"/>
  <c r="J483" i="32"/>
  <c r="J484" i="32"/>
  <c r="J485" i="32"/>
  <c r="J486" i="32"/>
  <c r="J487" i="32"/>
  <c r="J488" i="32"/>
  <c r="J489" i="32"/>
  <c r="J490" i="32"/>
  <c r="J491" i="32"/>
  <c r="J492" i="32"/>
  <c r="J493" i="32"/>
  <c r="J494" i="32"/>
  <c r="J495" i="32"/>
  <c r="J496" i="32"/>
  <c r="J497" i="32"/>
  <c r="J498" i="32"/>
  <c r="J499" i="32"/>
  <c r="J500" i="32"/>
  <c r="J501" i="32"/>
  <c r="J502" i="32"/>
  <c r="J503" i="32"/>
  <c r="J504" i="32"/>
  <c r="J505" i="32"/>
  <c r="J506" i="32"/>
  <c r="J507" i="32"/>
  <c r="J508" i="32"/>
  <c r="J509" i="32"/>
  <c r="J510" i="32"/>
  <c r="J511" i="32"/>
  <c r="J512" i="32"/>
  <c r="J513" i="32"/>
  <c r="J514" i="32"/>
  <c r="J515" i="32"/>
  <c r="J516" i="32"/>
  <c r="J517" i="32"/>
  <c r="J518" i="32"/>
  <c r="J519" i="32"/>
  <c r="J520" i="32"/>
  <c r="J521" i="32"/>
  <c r="J522" i="32"/>
  <c r="J523" i="32"/>
  <c r="J524" i="32"/>
  <c r="J525" i="32"/>
  <c r="J526" i="32"/>
  <c r="J527" i="32"/>
  <c r="J528" i="32"/>
  <c r="J529" i="32"/>
  <c r="J530" i="32"/>
  <c r="J531" i="32"/>
  <c r="J532" i="32"/>
  <c r="J533" i="32"/>
  <c r="J534" i="32"/>
  <c r="J535" i="32"/>
  <c r="J536" i="32"/>
  <c r="J537" i="32"/>
  <c r="J538" i="32"/>
  <c r="J539" i="32"/>
  <c r="J540" i="32"/>
  <c r="J541" i="32"/>
  <c r="J542" i="32"/>
  <c r="J543" i="32"/>
  <c r="J544" i="32"/>
  <c r="J545" i="32"/>
  <c r="J546" i="32"/>
  <c r="J547" i="32"/>
  <c r="J548" i="32"/>
  <c r="J549" i="32"/>
  <c r="J550" i="32"/>
  <c r="J551" i="32"/>
  <c r="J552" i="32"/>
  <c r="J553" i="32"/>
  <c r="J554" i="32"/>
  <c r="J555" i="32"/>
  <c r="J556" i="32"/>
  <c r="J557" i="32"/>
  <c r="J558" i="32"/>
  <c r="J559" i="32"/>
  <c r="J560" i="32"/>
  <c r="J561" i="32"/>
  <c r="J562" i="32"/>
  <c r="J563" i="32"/>
  <c r="J564" i="32"/>
  <c r="J565" i="32"/>
  <c r="J566" i="32"/>
  <c r="J567" i="32"/>
  <c r="J568" i="32"/>
  <c r="J569" i="32"/>
  <c r="J570" i="32"/>
  <c r="J571" i="32"/>
  <c r="J572" i="32"/>
  <c r="J573" i="32"/>
  <c r="J574" i="32"/>
  <c r="J575" i="32"/>
  <c r="J576" i="32"/>
  <c r="J577" i="32"/>
  <c r="J578" i="32"/>
  <c r="J579" i="32"/>
  <c r="J580" i="32"/>
  <c r="J581" i="32"/>
  <c r="J582" i="32"/>
  <c r="J583" i="32"/>
  <c r="J584" i="32"/>
  <c r="J585" i="32"/>
  <c r="J586" i="32"/>
  <c r="J587" i="32"/>
  <c r="J588" i="32"/>
  <c r="J589" i="32"/>
  <c r="J590" i="32"/>
  <c r="J591" i="32"/>
  <c r="J592" i="32"/>
  <c r="J593" i="32"/>
  <c r="J594" i="32"/>
  <c r="J595" i="32"/>
  <c r="J596" i="32"/>
  <c r="J597" i="32"/>
  <c r="J598" i="32"/>
  <c r="J599" i="32"/>
  <c r="J600" i="32"/>
  <c r="J601" i="32"/>
  <c r="J602" i="32"/>
  <c r="J603" i="32"/>
  <c r="J604" i="32"/>
  <c r="J605" i="32"/>
  <c r="J606" i="32"/>
  <c r="J607" i="32"/>
  <c r="J608" i="32"/>
  <c r="J609" i="32"/>
  <c r="J610" i="32"/>
  <c r="J611" i="32"/>
  <c r="J612" i="32"/>
  <c r="J613" i="32"/>
  <c r="J614" i="32"/>
  <c r="J615" i="32"/>
  <c r="J616" i="32"/>
  <c r="J617" i="32"/>
  <c r="J618" i="32"/>
  <c r="J619" i="32"/>
  <c r="J620" i="32"/>
  <c r="J621" i="32"/>
  <c r="J622" i="32"/>
  <c r="J623" i="32"/>
  <c r="J624" i="32"/>
  <c r="J625" i="32"/>
  <c r="J626" i="32"/>
  <c r="J627" i="32"/>
  <c r="J628" i="32"/>
  <c r="J629" i="32"/>
  <c r="J630" i="32"/>
  <c r="J631" i="32"/>
  <c r="J632" i="32"/>
  <c r="J633" i="32"/>
  <c r="J634" i="32"/>
  <c r="J635" i="32"/>
  <c r="J636" i="32"/>
  <c r="J637" i="32"/>
  <c r="J638" i="32"/>
  <c r="J639" i="32"/>
  <c r="J640" i="32"/>
  <c r="J641" i="32"/>
  <c r="J642" i="32"/>
  <c r="J643" i="32"/>
  <c r="J644" i="32"/>
  <c r="J645" i="32"/>
  <c r="J646" i="32"/>
  <c r="J647" i="32"/>
  <c r="J648" i="32"/>
  <c r="J649" i="32"/>
  <c r="J650" i="32"/>
  <c r="J651" i="32"/>
  <c r="J652" i="32"/>
  <c r="J653" i="32"/>
  <c r="J654" i="32"/>
  <c r="J655" i="32"/>
  <c r="J656" i="32"/>
  <c r="J657" i="32"/>
  <c r="J658" i="32"/>
  <c r="J659" i="32"/>
  <c r="J660" i="32"/>
  <c r="J661" i="32"/>
  <c r="J662" i="32"/>
  <c r="J663" i="32"/>
  <c r="J664" i="32"/>
  <c r="J665" i="32"/>
  <c r="J666" i="32"/>
  <c r="J667" i="32"/>
  <c r="J668" i="32"/>
  <c r="J669" i="32"/>
  <c r="J670" i="32"/>
  <c r="J671" i="32"/>
  <c r="J672" i="32"/>
  <c r="J673" i="32"/>
  <c r="J674" i="32"/>
  <c r="J675" i="32"/>
  <c r="J676" i="32"/>
  <c r="J677" i="32"/>
  <c r="J678" i="32"/>
  <c r="J679" i="32"/>
  <c r="J680" i="32"/>
  <c r="J681" i="32"/>
  <c r="J682" i="32"/>
  <c r="J683" i="32"/>
  <c r="J684" i="32"/>
  <c r="J685" i="32"/>
  <c r="J686" i="32"/>
  <c r="J687" i="32"/>
  <c r="J688" i="32"/>
  <c r="J689" i="32"/>
  <c r="J690" i="32"/>
  <c r="J691" i="32"/>
  <c r="J692" i="32"/>
  <c r="J693" i="32"/>
  <c r="J694" i="32"/>
  <c r="J695" i="32"/>
  <c r="J696" i="32"/>
  <c r="J697" i="32"/>
  <c r="J698" i="32"/>
  <c r="J699" i="32"/>
  <c r="J700" i="32"/>
  <c r="J701" i="32"/>
  <c r="J702" i="32"/>
  <c r="J703" i="32"/>
  <c r="J704" i="32"/>
  <c r="J705" i="32"/>
  <c r="J706" i="32"/>
  <c r="J707" i="32"/>
  <c r="J708" i="32"/>
  <c r="J709" i="32"/>
  <c r="J710" i="32"/>
  <c r="J711" i="32"/>
  <c r="J712" i="32"/>
  <c r="J713" i="32"/>
  <c r="J714" i="32"/>
  <c r="J715" i="32"/>
  <c r="J716" i="32"/>
  <c r="J717" i="32"/>
  <c r="J718" i="32"/>
  <c r="J719" i="32"/>
  <c r="J720" i="32"/>
  <c r="J721" i="32"/>
  <c r="J722" i="32"/>
  <c r="J723" i="32"/>
  <c r="J724" i="32"/>
  <c r="J725" i="32"/>
  <c r="J726" i="32"/>
  <c r="J727" i="32"/>
  <c r="J728" i="32"/>
  <c r="J729" i="32"/>
  <c r="J730" i="32"/>
  <c r="J731" i="32"/>
  <c r="J732" i="32"/>
  <c r="J733" i="32"/>
  <c r="J734" i="32"/>
  <c r="J735" i="32"/>
  <c r="J736" i="32"/>
  <c r="J737" i="32"/>
  <c r="J738" i="32"/>
  <c r="J739" i="32"/>
  <c r="J740" i="32"/>
  <c r="J741" i="32"/>
  <c r="J742" i="32"/>
  <c r="J743" i="32"/>
  <c r="J744" i="32"/>
  <c r="J745" i="32"/>
  <c r="J746" i="32"/>
  <c r="J747" i="32"/>
  <c r="J748" i="32"/>
  <c r="J749" i="32"/>
  <c r="J750" i="32"/>
  <c r="J751" i="32"/>
  <c r="J752" i="32"/>
  <c r="J753" i="32"/>
  <c r="J754" i="32"/>
  <c r="J755" i="32"/>
  <c r="J756" i="32"/>
  <c r="J757" i="32"/>
  <c r="J758" i="32"/>
  <c r="J759" i="32"/>
  <c r="J760" i="32"/>
  <c r="J761" i="32"/>
  <c r="J762" i="32"/>
  <c r="J763" i="32"/>
  <c r="J764" i="32"/>
  <c r="J765" i="32"/>
  <c r="J766" i="32"/>
  <c r="J767" i="32"/>
  <c r="J768" i="32"/>
  <c r="J769" i="32"/>
  <c r="J770" i="32"/>
  <c r="J771" i="32"/>
  <c r="J772" i="32"/>
  <c r="J773" i="32"/>
  <c r="J774" i="32"/>
  <c r="J775" i="32"/>
  <c r="J776" i="32"/>
  <c r="J777" i="32"/>
  <c r="J778" i="32"/>
  <c r="J779" i="32"/>
  <c r="J780" i="32"/>
  <c r="J781" i="32"/>
  <c r="J782" i="32"/>
  <c r="J783" i="32"/>
  <c r="J784" i="32"/>
  <c r="J785" i="32"/>
  <c r="J786" i="32"/>
  <c r="J787" i="32"/>
  <c r="J788" i="32"/>
  <c r="J789" i="32"/>
  <c r="J790" i="32"/>
  <c r="J791" i="32"/>
  <c r="J792" i="32"/>
  <c r="J793" i="32"/>
  <c r="J794" i="32"/>
  <c r="J795" i="32"/>
  <c r="J796" i="32"/>
  <c r="J797" i="32"/>
  <c r="J798" i="32"/>
  <c r="J799" i="32"/>
  <c r="J800" i="32"/>
  <c r="J801" i="32"/>
  <c r="J802" i="32"/>
  <c r="J803" i="32"/>
  <c r="J804" i="32"/>
  <c r="J805" i="32"/>
  <c r="J806" i="32"/>
  <c r="J807" i="32"/>
  <c r="J808" i="32"/>
  <c r="J809" i="32"/>
  <c r="J810" i="32"/>
  <c r="J811" i="32"/>
  <c r="J812" i="32"/>
  <c r="J813" i="32"/>
  <c r="J814" i="32"/>
  <c r="J815" i="32"/>
  <c r="J816" i="32"/>
  <c r="J817" i="32"/>
  <c r="J818" i="32"/>
  <c r="J819" i="32"/>
  <c r="J820" i="32"/>
  <c r="J821" i="32"/>
  <c r="J822" i="32"/>
  <c r="J823" i="32"/>
  <c r="J824" i="32"/>
  <c r="J825" i="32"/>
  <c r="J826" i="32"/>
  <c r="J827" i="32"/>
  <c r="J828" i="32"/>
  <c r="J829" i="32"/>
  <c r="J830" i="32"/>
  <c r="J831" i="32"/>
  <c r="J832" i="32"/>
  <c r="J833" i="32"/>
  <c r="J834" i="32"/>
  <c r="J835" i="32"/>
  <c r="J836" i="32"/>
  <c r="J837" i="32"/>
  <c r="J838" i="32"/>
  <c r="J839" i="32"/>
  <c r="J840" i="32"/>
  <c r="J841" i="32"/>
  <c r="J842" i="32"/>
  <c r="J843" i="32"/>
  <c r="J844" i="32"/>
  <c r="J845" i="32"/>
  <c r="J846" i="32"/>
  <c r="J847" i="32"/>
  <c r="J848" i="32"/>
  <c r="J849" i="32"/>
  <c r="J850" i="32"/>
  <c r="J851" i="32"/>
  <c r="J852" i="32"/>
  <c r="J853" i="32"/>
  <c r="J854" i="32"/>
  <c r="J855" i="32"/>
  <c r="J856" i="32"/>
  <c r="J857" i="32"/>
  <c r="J858" i="32"/>
  <c r="J859" i="32"/>
  <c r="J860" i="32"/>
  <c r="J861" i="32"/>
  <c r="J862" i="32"/>
  <c r="J863" i="32"/>
  <c r="J864" i="32"/>
  <c r="J865" i="32"/>
  <c r="J866" i="32"/>
  <c r="J867" i="32"/>
  <c r="J868" i="32"/>
  <c r="J869" i="32"/>
  <c r="J870" i="32"/>
  <c r="J871" i="32"/>
  <c r="J872" i="32"/>
  <c r="J873" i="32"/>
  <c r="J874" i="32"/>
  <c r="J875" i="32"/>
  <c r="J876" i="32"/>
  <c r="J877" i="32"/>
  <c r="J878" i="32"/>
  <c r="J879" i="32"/>
  <c r="J880" i="32"/>
  <c r="J881" i="32"/>
  <c r="J882" i="32"/>
  <c r="J883" i="32"/>
  <c r="J884" i="32"/>
  <c r="J885" i="32"/>
  <c r="J886" i="32"/>
  <c r="J887" i="32"/>
  <c r="J888" i="32"/>
  <c r="J889" i="32"/>
  <c r="J890" i="32"/>
  <c r="J891" i="32"/>
  <c r="J892" i="32"/>
  <c r="J893" i="32"/>
  <c r="J894" i="32"/>
  <c r="J895" i="32"/>
  <c r="J896" i="32"/>
  <c r="J897" i="32"/>
  <c r="J898" i="32"/>
  <c r="J899" i="32"/>
  <c r="J900" i="32"/>
  <c r="J901" i="32"/>
  <c r="J902" i="32"/>
  <c r="J903" i="32"/>
  <c r="J904" i="32"/>
  <c r="J905" i="32"/>
  <c r="J906" i="32"/>
  <c r="J907" i="32"/>
  <c r="J908" i="32"/>
  <c r="J909" i="32"/>
  <c r="J910" i="32"/>
  <c r="J911" i="32"/>
  <c r="J912" i="32"/>
  <c r="J913" i="32"/>
  <c r="J914" i="32"/>
  <c r="J915" i="32"/>
  <c r="J916" i="32"/>
  <c r="J917" i="32"/>
  <c r="J918" i="32"/>
  <c r="J919" i="32"/>
  <c r="J920" i="32"/>
  <c r="J921" i="32"/>
  <c r="J922" i="32"/>
  <c r="J923" i="32"/>
  <c r="J924" i="32"/>
  <c r="J925" i="32"/>
  <c r="J926" i="32"/>
  <c r="J927" i="32"/>
  <c r="J928" i="32"/>
  <c r="J929" i="32"/>
  <c r="J930" i="32"/>
  <c r="J931" i="32"/>
  <c r="J932" i="32"/>
  <c r="J933" i="32"/>
  <c r="J934" i="32"/>
  <c r="J935" i="32"/>
  <c r="J936" i="32"/>
  <c r="J937" i="32"/>
  <c r="J938" i="32"/>
  <c r="J939" i="32"/>
  <c r="J940" i="32"/>
  <c r="J941" i="32"/>
  <c r="J942" i="32"/>
  <c r="J943" i="32"/>
  <c r="J944" i="32"/>
  <c r="J945" i="32"/>
  <c r="J946" i="32"/>
  <c r="J947" i="32"/>
  <c r="J948" i="32"/>
  <c r="J949" i="32"/>
  <c r="J950" i="32"/>
  <c r="J951" i="32"/>
  <c r="J952" i="32"/>
  <c r="J953" i="32"/>
  <c r="J954" i="32"/>
  <c r="J955" i="32"/>
  <c r="J956" i="32"/>
  <c r="J957" i="32"/>
  <c r="J958" i="32"/>
  <c r="J959" i="32"/>
  <c r="J960" i="32"/>
  <c r="J961" i="32"/>
  <c r="J962" i="32"/>
  <c r="J963" i="32"/>
  <c r="J964" i="32"/>
  <c r="J965" i="32"/>
  <c r="J966" i="32"/>
  <c r="J967" i="32"/>
  <c r="J968" i="32"/>
  <c r="J969" i="32"/>
  <c r="J970" i="32"/>
  <c r="J971" i="32"/>
  <c r="J972" i="32"/>
  <c r="J973" i="32"/>
  <c r="J974" i="32"/>
  <c r="J975" i="32"/>
  <c r="J976" i="32"/>
  <c r="J977" i="32"/>
  <c r="J978" i="32"/>
  <c r="J979" i="32"/>
  <c r="J980" i="32"/>
  <c r="J981" i="32"/>
  <c r="J982" i="32"/>
  <c r="J983" i="32"/>
  <c r="J984" i="32"/>
  <c r="J985" i="32"/>
  <c r="J986" i="32"/>
  <c r="J987" i="32"/>
  <c r="J988" i="32"/>
  <c r="J989" i="32"/>
  <c r="J990" i="32"/>
  <c r="J991" i="32"/>
  <c r="J992" i="32"/>
  <c r="J993" i="32"/>
  <c r="J994" i="32"/>
  <c r="J995" i="32"/>
  <c r="J996" i="32"/>
  <c r="J997" i="32"/>
  <c r="J998" i="32"/>
  <c r="J999" i="32"/>
  <c r="J1000" i="32"/>
  <c r="J1001" i="32"/>
  <c r="J1002" i="32"/>
  <c r="J1003" i="32"/>
  <c r="J1004" i="32"/>
  <c r="J1005"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171" i="32"/>
  <c r="D172" i="32"/>
  <c r="D173" i="32"/>
  <c r="D174" i="32"/>
  <c r="D175" i="32"/>
  <c r="D176" i="32"/>
  <c r="D177" i="32"/>
  <c r="D178" i="32"/>
  <c r="D179" i="32"/>
  <c r="D180" i="32"/>
  <c r="D181" i="32"/>
  <c r="D182" i="32"/>
  <c r="D183" i="32"/>
  <c r="D184" i="32"/>
  <c r="D185" i="32"/>
  <c r="D186" i="32"/>
  <c r="D187" i="32"/>
  <c r="D188" i="32"/>
  <c r="D189" i="32"/>
  <c r="D190" i="32"/>
  <c r="D191" i="32"/>
  <c r="D192" i="32"/>
  <c r="D193" i="32"/>
  <c r="D194" i="32"/>
  <c r="D195" i="32"/>
  <c r="D196" i="32"/>
  <c r="D197" i="32"/>
  <c r="D198" i="32"/>
  <c r="D199" i="32"/>
  <c r="D200" i="32"/>
  <c r="D201" i="32"/>
  <c r="D202" i="32"/>
  <c r="D203" i="32"/>
  <c r="D204" i="32"/>
  <c r="D205" i="32"/>
  <c r="D206" i="32"/>
  <c r="D207" i="32"/>
  <c r="D208" i="32"/>
  <c r="D209" i="32"/>
  <c r="D210" i="32"/>
  <c r="D211" i="32"/>
  <c r="D212" i="32"/>
  <c r="D213" i="32"/>
  <c r="D214" i="32"/>
  <c r="D215" i="32"/>
  <c r="D216" i="32"/>
  <c r="D217" i="32"/>
  <c r="D218" i="32"/>
  <c r="D219" i="32"/>
  <c r="D220" i="32"/>
  <c r="D221" i="32"/>
  <c r="D222" i="32"/>
  <c r="D223" i="32"/>
  <c r="D224" i="32"/>
  <c r="D225" i="32"/>
  <c r="D226" i="32"/>
  <c r="D227" i="32"/>
  <c r="D228" i="32"/>
  <c r="D229" i="32"/>
  <c r="D230" i="32"/>
  <c r="D231" i="32"/>
  <c r="D232" i="32"/>
  <c r="D233" i="32"/>
  <c r="D234" i="32"/>
  <c r="D235" i="32"/>
  <c r="D236" i="32"/>
  <c r="D237" i="32"/>
  <c r="D238" i="32"/>
  <c r="D239" i="32"/>
  <c r="D240" i="32"/>
  <c r="D241" i="32"/>
  <c r="D242" i="32"/>
  <c r="D243" i="32"/>
  <c r="D244" i="32"/>
  <c r="D245" i="32"/>
  <c r="D246" i="32"/>
  <c r="D247" i="32"/>
  <c r="D248" i="32"/>
  <c r="D249" i="32"/>
  <c r="D250" i="32"/>
  <c r="D251" i="32"/>
  <c r="D252" i="32"/>
  <c r="D253" i="32"/>
  <c r="D254" i="32"/>
  <c r="D255" i="32"/>
  <c r="D256" i="32"/>
  <c r="D257" i="32"/>
  <c r="D258" i="32"/>
  <c r="D259" i="32"/>
  <c r="D260" i="32"/>
  <c r="D261" i="32"/>
  <c r="D262" i="32"/>
  <c r="D263" i="32"/>
  <c r="D264" i="32"/>
  <c r="D265" i="32"/>
  <c r="D266" i="32"/>
  <c r="D267" i="32"/>
  <c r="D268" i="32"/>
  <c r="D269" i="32"/>
  <c r="D270" i="32"/>
  <c r="D271" i="32"/>
  <c r="D272" i="32"/>
  <c r="D273" i="32"/>
  <c r="D274" i="32"/>
  <c r="D275" i="32"/>
  <c r="D276" i="32"/>
  <c r="D277" i="32"/>
  <c r="D278" i="32"/>
  <c r="D279" i="32"/>
  <c r="D280" i="32"/>
  <c r="D281" i="32"/>
  <c r="D282" i="32"/>
  <c r="D283" i="32"/>
  <c r="D284" i="32"/>
  <c r="D285" i="32"/>
  <c r="D286" i="32"/>
  <c r="D287" i="32"/>
  <c r="D288" i="32"/>
  <c r="D289" i="32"/>
  <c r="D290" i="32"/>
  <c r="D291" i="32"/>
  <c r="D292" i="32"/>
  <c r="D293" i="32"/>
  <c r="D294" i="32"/>
  <c r="D295" i="32"/>
  <c r="D296" i="32"/>
  <c r="D297" i="32"/>
  <c r="D298" i="32"/>
  <c r="D299" i="32"/>
  <c r="D300" i="32"/>
  <c r="D301" i="32"/>
  <c r="D302" i="32"/>
  <c r="D303" i="32"/>
  <c r="D304" i="32"/>
  <c r="D305" i="32"/>
  <c r="D306" i="32"/>
  <c r="D307" i="32"/>
  <c r="D308" i="32"/>
  <c r="D309" i="32"/>
  <c r="D310" i="32"/>
  <c r="D311" i="32"/>
  <c r="D312" i="32"/>
  <c r="D313" i="32"/>
  <c r="D314" i="32"/>
  <c r="D315" i="32"/>
  <c r="D316" i="32"/>
  <c r="D317" i="32"/>
  <c r="D318" i="32"/>
  <c r="D319" i="32"/>
  <c r="D320" i="32"/>
  <c r="D321" i="32"/>
  <c r="D322" i="32"/>
  <c r="D323" i="32"/>
  <c r="D324" i="32"/>
  <c r="D325" i="32"/>
  <c r="D326" i="32"/>
  <c r="D327" i="32"/>
  <c r="D328" i="32"/>
  <c r="D329" i="32"/>
  <c r="D330" i="32"/>
  <c r="D331" i="32"/>
  <c r="D332" i="32"/>
  <c r="D333" i="32"/>
  <c r="D334" i="32"/>
  <c r="D335" i="32"/>
  <c r="D336" i="32"/>
  <c r="D337" i="32"/>
  <c r="D338" i="32"/>
  <c r="D339" i="32"/>
  <c r="D340" i="32"/>
  <c r="D341" i="32"/>
  <c r="D342" i="32"/>
  <c r="D343" i="32"/>
  <c r="D344" i="32"/>
  <c r="D345" i="32"/>
  <c r="D346" i="32"/>
  <c r="D347" i="32"/>
  <c r="D348" i="32"/>
  <c r="D349" i="32"/>
  <c r="D350" i="32"/>
  <c r="D351" i="32"/>
  <c r="D352" i="32"/>
  <c r="D353" i="32"/>
  <c r="D354" i="32"/>
  <c r="D355" i="32"/>
  <c r="D356" i="32"/>
  <c r="D357" i="32"/>
  <c r="D358" i="32"/>
  <c r="D359" i="32"/>
  <c r="D360" i="32"/>
  <c r="D361" i="32"/>
  <c r="D362" i="32"/>
  <c r="D363" i="32"/>
  <c r="D364" i="32"/>
  <c r="D365" i="32"/>
  <c r="D366" i="32"/>
  <c r="D367" i="32"/>
  <c r="D368" i="32"/>
  <c r="D369" i="32"/>
  <c r="D370" i="32"/>
  <c r="D371" i="32"/>
  <c r="D372" i="32"/>
  <c r="D373" i="32"/>
  <c r="D374" i="32"/>
  <c r="D375" i="32"/>
  <c r="D376" i="32"/>
  <c r="D377" i="32"/>
  <c r="D378" i="32"/>
  <c r="D379" i="32"/>
  <c r="D380" i="32"/>
  <c r="D381" i="32"/>
  <c r="D382" i="32"/>
  <c r="D383" i="32"/>
  <c r="D384" i="32"/>
  <c r="D385" i="32"/>
  <c r="D386" i="32"/>
  <c r="D387" i="32"/>
  <c r="D388" i="32"/>
  <c r="D389" i="32"/>
  <c r="D390" i="32"/>
  <c r="D391" i="32"/>
  <c r="D392" i="32"/>
  <c r="D393" i="32"/>
  <c r="D394" i="32"/>
  <c r="D395" i="32"/>
  <c r="D396" i="32"/>
  <c r="D397" i="32"/>
  <c r="D398" i="32"/>
  <c r="D399" i="32"/>
  <c r="D400" i="32"/>
  <c r="D401" i="32"/>
  <c r="D402" i="32"/>
  <c r="D403" i="32"/>
  <c r="D404" i="32"/>
  <c r="D405" i="32"/>
  <c r="D406" i="32"/>
  <c r="D407" i="32"/>
  <c r="D408" i="32"/>
  <c r="D409" i="32"/>
  <c r="D410" i="32"/>
  <c r="D411" i="32"/>
  <c r="D412" i="32"/>
  <c r="D413" i="32"/>
  <c r="D414" i="32"/>
  <c r="D415" i="32"/>
  <c r="D416" i="32"/>
  <c r="D417" i="32"/>
  <c r="D418" i="32"/>
  <c r="D419" i="32"/>
  <c r="D420" i="32"/>
  <c r="D421" i="32"/>
  <c r="D422" i="32"/>
  <c r="D423" i="32"/>
  <c r="D424" i="32"/>
  <c r="D425" i="32"/>
  <c r="D426" i="32"/>
  <c r="D427" i="32"/>
  <c r="D428" i="32"/>
  <c r="D429" i="32"/>
  <c r="D430" i="32"/>
  <c r="D431" i="32"/>
  <c r="D432" i="32"/>
  <c r="D433" i="32"/>
  <c r="D434" i="32"/>
  <c r="D435" i="32"/>
  <c r="D436" i="32"/>
  <c r="D437" i="32"/>
  <c r="D438" i="32"/>
  <c r="D439" i="32"/>
  <c r="D440" i="32"/>
  <c r="D441" i="32"/>
  <c r="D442" i="32"/>
  <c r="D443" i="32"/>
  <c r="D444" i="32"/>
  <c r="D445" i="32"/>
  <c r="D446" i="32"/>
  <c r="D447" i="32"/>
  <c r="D448" i="32"/>
  <c r="D449" i="32"/>
  <c r="D450" i="32"/>
  <c r="D451" i="32"/>
  <c r="D452" i="32"/>
  <c r="D453" i="32"/>
  <c r="D454" i="32"/>
  <c r="D455" i="32"/>
  <c r="D456" i="32"/>
  <c r="D457" i="32"/>
  <c r="D458" i="32"/>
  <c r="D459" i="32"/>
  <c r="D460" i="32"/>
  <c r="D461" i="32"/>
  <c r="D462" i="32"/>
  <c r="D463" i="32"/>
  <c r="D464" i="32"/>
  <c r="D465" i="32"/>
  <c r="D466" i="32"/>
  <c r="D467" i="32"/>
  <c r="D468" i="32"/>
  <c r="D469" i="32"/>
  <c r="D470" i="32"/>
  <c r="D471" i="32"/>
  <c r="D472" i="32"/>
  <c r="D473" i="32"/>
  <c r="D474" i="32"/>
  <c r="D475" i="32"/>
  <c r="D476" i="32"/>
  <c r="D477" i="32"/>
  <c r="D478" i="32"/>
  <c r="D479" i="32"/>
  <c r="D480" i="32"/>
  <c r="D481" i="32"/>
  <c r="D482" i="32"/>
  <c r="D483" i="32"/>
  <c r="D484" i="32"/>
  <c r="D485" i="32"/>
  <c r="D486" i="32"/>
  <c r="D487" i="32"/>
  <c r="D488" i="32"/>
  <c r="D489" i="32"/>
  <c r="D490" i="32"/>
  <c r="D491" i="32"/>
  <c r="D492" i="32"/>
  <c r="D493" i="32"/>
  <c r="D494" i="32"/>
  <c r="D495" i="32"/>
  <c r="D496" i="32"/>
  <c r="D497" i="32"/>
  <c r="D498" i="32"/>
  <c r="D499" i="32"/>
  <c r="D500" i="32"/>
  <c r="D501" i="32"/>
  <c r="D502" i="32"/>
  <c r="D503" i="32"/>
  <c r="D504" i="32"/>
  <c r="D505" i="32"/>
  <c r="D506" i="32"/>
  <c r="D507" i="32"/>
  <c r="D508" i="32"/>
  <c r="D509" i="32"/>
  <c r="D510" i="32"/>
  <c r="D511" i="32"/>
  <c r="D512" i="32"/>
  <c r="D513" i="32"/>
  <c r="D514" i="32"/>
  <c r="D515" i="32"/>
  <c r="D516" i="32"/>
  <c r="D517" i="32"/>
  <c r="D518" i="32"/>
  <c r="D519" i="32"/>
  <c r="D520" i="32"/>
  <c r="D521" i="32"/>
  <c r="D522" i="32"/>
  <c r="D523" i="32"/>
  <c r="D524" i="32"/>
  <c r="D525" i="32"/>
  <c r="D526" i="32"/>
  <c r="D527" i="32"/>
  <c r="D528" i="32"/>
  <c r="D529" i="32"/>
  <c r="D530" i="32"/>
  <c r="D531" i="32"/>
  <c r="D532" i="32"/>
  <c r="D533" i="32"/>
  <c r="D534" i="32"/>
  <c r="D535" i="32"/>
  <c r="D536" i="32"/>
  <c r="D537" i="32"/>
  <c r="D538" i="32"/>
  <c r="D539" i="32"/>
  <c r="D540" i="32"/>
  <c r="D541" i="32"/>
  <c r="D542" i="32"/>
  <c r="D543" i="32"/>
  <c r="D544" i="32"/>
  <c r="D545" i="32"/>
  <c r="D546" i="32"/>
  <c r="D547" i="32"/>
  <c r="D548" i="32"/>
  <c r="D549" i="32"/>
  <c r="D550" i="32"/>
  <c r="D551" i="32"/>
  <c r="D552" i="32"/>
  <c r="D553" i="32"/>
  <c r="D554" i="32"/>
  <c r="D555" i="32"/>
  <c r="D556" i="32"/>
  <c r="D557" i="32"/>
  <c r="D558" i="32"/>
  <c r="D559" i="32"/>
  <c r="D560" i="32"/>
  <c r="D561" i="32"/>
  <c r="D562" i="32"/>
  <c r="D563" i="32"/>
  <c r="D564" i="32"/>
  <c r="D565" i="32"/>
  <c r="D566" i="32"/>
  <c r="D567" i="32"/>
  <c r="D568" i="32"/>
  <c r="D569" i="32"/>
  <c r="D570" i="32"/>
  <c r="D571" i="32"/>
  <c r="D572" i="32"/>
  <c r="D573" i="32"/>
  <c r="D574" i="32"/>
  <c r="D575" i="32"/>
  <c r="D576" i="32"/>
  <c r="D577" i="32"/>
  <c r="D578" i="32"/>
  <c r="D579" i="32"/>
  <c r="D580" i="32"/>
  <c r="D581" i="32"/>
  <c r="D582" i="32"/>
  <c r="D583" i="32"/>
  <c r="D584" i="32"/>
  <c r="D585" i="32"/>
  <c r="D586" i="32"/>
  <c r="D587" i="32"/>
  <c r="D588" i="32"/>
  <c r="D589" i="32"/>
  <c r="D590" i="32"/>
  <c r="D591" i="32"/>
  <c r="D592" i="32"/>
  <c r="D593" i="32"/>
  <c r="D594" i="32"/>
  <c r="D595" i="32"/>
  <c r="D596" i="32"/>
  <c r="D597" i="32"/>
  <c r="D598" i="32"/>
  <c r="D599" i="32"/>
  <c r="D600" i="32"/>
  <c r="D601" i="32"/>
  <c r="D602" i="32"/>
  <c r="D603" i="32"/>
  <c r="D604" i="32"/>
  <c r="D605" i="32"/>
  <c r="D606" i="32"/>
  <c r="D607" i="32"/>
  <c r="D608" i="32"/>
  <c r="D609" i="32"/>
  <c r="D610" i="32"/>
  <c r="D611" i="32"/>
  <c r="D612" i="32"/>
  <c r="D613" i="32"/>
  <c r="D614" i="32"/>
  <c r="D615" i="32"/>
  <c r="D616" i="32"/>
  <c r="D617" i="32"/>
  <c r="D618" i="32"/>
  <c r="D619" i="32"/>
  <c r="D620" i="32"/>
  <c r="D621" i="32"/>
  <c r="D622" i="32"/>
  <c r="D623" i="32"/>
  <c r="D624" i="32"/>
  <c r="D625" i="32"/>
  <c r="D626" i="32"/>
  <c r="D627" i="32"/>
  <c r="D628" i="32"/>
  <c r="D629" i="32"/>
  <c r="D630" i="32"/>
  <c r="D631" i="32"/>
  <c r="D632" i="32"/>
  <c r="D633" i="32"/>
  <c r="D634" i="32"/>
  <c r="D635" i="32"/>
  <c r="D636" i="32"/>
  <c r="D637" i="32"/>
  <c r="D638" i="32"/>
  <c r="D639" i="32"/>
  <c r="D640" i="32"/>
  <c r="D641" i="32"/>
  <c r="D642" i="32"/>
  <c r="D643" i="32"/>
  <c r="D644" i="32"/>
  <c r="D645" i="32"/>
  <c r="D646" i="32"/>
  <c r="D647" i="32"/>
  <c r="D648" i="32"/>
  <c r="D649" i="32"/>
  <c r="D650" i="32"/>
  <c r="D651" i="32"/>
  <c r="D652" i="32"/>
  <c r="D653" i="32"/>
  <c r="D654" i="32"/>
  <c r="D655" i="32"/>
  <c r="D656" i="32"/>
  <c r="D657" i="32"/>
  <c r="D658" i="32"/>
  <c r="D659" i="32"/>
  <c r="D660" i="32"/>
  <c r="D661" i="32"/>
  <c r="D662" i="32"/>
  <c r="D663" i="32"/>
  <c r="D664" i="32"/>
  <c r="D665" i="32"/>
  <c r="D666" i="32"/>
  <c r="D667" i="32"/>
  <c r="D668" i="32"/>
  <c r="D669" i="32"/>
  <c r="D670" i="32"/>
  <c r="D671" i="32"/>
  <c r="D672" i="32"/>
  <c r="D673" i="32"/>
  <c r="D674" i="32"/>
  <c r="D675" i="32"/>
  <c r="D676" i="32"/>
  <c r="D677" i="32"/>
  <c r="D678" i="32"/>
  <c r="D679" i="32"/>
  <c r="D680" i="32"/>
  <c r="D681" i="32"/>
  <c r="D682" i="32"/>
  <c r="D683" i="32"/>
  <c r="D684" i="32"/>
  <c r="D685" i="32"/>
  <c r="D686" i="32"/>
  <c r="D687" i="32"/>
  <c r="D688" i="32"/>
  <c r="D689" i="32"/>
  <c r="D690" i="32"/>
  <c r="D691" i="32"/>
  <c r="D692" i="32"/>
  <c r="D693" i="32"/>
  <c r="D694" i="32"/>
  <c r="D695" i="32"/>
  <c r="D696" i="32"/>
  <c r="D697" i="32"/>
  <c r="D698" i="32"/>
  <c r="D699" i="32"/>
  <c r="D700" i="32"/>
  <c r="D701" i="32"/>
  <c r="D702" i="32"/>
  <c r="D703" i="32"/>
  <c r="D704" i="32"/>
  <c r="D705" i="32"/>
  <c r="D706" i="32"/>
  <c r="D707" i="32"/>
  <c r="D708" i="32"/>
  <c r="D709" i="32"/>
  <c r="D710" i="32"/>
  <c r="D711" i="32"/>
  <c r="D712" i="32"/>
  <c r="D713" i="32"/>
  <c r="D714" i="32"/>
  <c r="D715" i="32"/>
  <c r="D716" i="32"/>
  <c r="D717" i="32"/>
  <c r="D718" i="32"/>
  <c r="D719" i="32"/>
  <c r="D720" i="32"/>
  <c r="D721" i="32"/>
  <c r="D722" i="32"/>
  <c r="D723" i="32"/>
  <c r="D724" i="32"/>
  <c r="D725" i="32"/>
  <c r="D726" i="32"/>
  <c r="D727" i="32"/>
  <c r="D728" i="32"/>
  <c r="D729" i="32"/>
  <c r="D730" i="32"/>
  <c r="D731" i="32"/>
  <c r="D732" i="32"/>
  <c r="D733" i="32"/>
  <c r="D734" i="32"/>
  <c r="D735" i="32"/>
  <c r="D736" i="32"/>
  <c r="D737" i="32"/>
  <c r="D738" i="32"/>
  <c r="D739" i="32"/>
  <c r="D740" i="32"/>
  <c r="D741" i="32"/>
  <c r="D742" i="32"/>
  <c r="D743" i="32"/>
  <c r="D744" i="32"/>
  <c r="D745" i="32"/>
  <c r="D746" i="32"/>
  <c r="D747" i="32"/>
  <c r="D748" i="32"/>
  <c r="D749" i="32"/>
  <c r="D750" i="32"/>
  <c r="D751" i="32"/>
  <c r="D752" i="32"/>
  <c r="D753" i="32"/>
  <c r="D754" i="32"/>
  <c r="D755" i="32"/>
  <c r="D756" i="32"/>
  <c r="D757" i="32"/>
  <c r="D758" i="32"/>
  <c r="D759" i="32"/>
  <c r="D760" i="32"/>
  <c r="D761" i="32"/>
  <c r="D762" i="32"/>
  <c r="D763" i="32"/>
  <c r="D764" i="32"/>
  <c r="D765" i="32"/>
  <c r="D766" i="32"/>
  <c r="D767" i="32"/>
  <c r="D768" i="32"/>
  <c r="D769" i="32"/>
  <c r="D770" i="32"/>
  <c r="D771" i="32"/>
  <c r="D772" i="32"/>
  <c r="D773" i="32"/>
  <c r="D774" i="32"/>
  <c r="D775" i="32"/>
  <c r="D776" i="32"/>
  <c r="D777" i="32"/>
  <c r="D778" i="32"/>
  <c r="D779" i="32"/>
  <c r="D780" i="32"/>
  <c r="D781" i="32"/>
  <c r="D782" i="32"/>
  <c r="D783" i="32"/>
  <c r="D784" i="32"/>
  <c r="D785" i="32"/>
  <c r="D786" i="32"/>
  <c r="D787" i="32"/>
  <c r="D788" i="32"/>
  <c r="D789" i="32"/>
  <c r="D790" i="32"/>
  <c r="D791" i="32"/>
  <c r="D792" i="32"/>
  <c r="D793" i="32"/>
  <c r="D794" i="32"/>
  <c r="D795" i="32"/>
  <c r="D796" i="32"/>
  <c r="D797" i="32"/>
  <c r="D798" i="32"/>
  <c r="D799" i="32"/>
  <c r="D800" i="32"/>
  <c r="D801" i="32"/>
  <c r="D802" i="32"/>
  <c r="D803" i="32"/>
  <c r="D804" i="32"/>
  <c r="D805" i="32"/>
  <c r="D806" i="32"/>
  <c r="D807" i="32"/>
  <c r="D808" i="32"/>
  <c r="D809" i="32"/>
  <c r="D810" i="32"/>
  <c r="D811" i="32"/>
  <c r="D812" i="32"/>
  <c r="D813" i="32"/>
  <c r="D814" i="32"/>
  <c r="D815" i="32"/>
  <c r="D816" i="32"/>
  <c r="D817" i="32"/>
  <c r="D818" i="32"/>
  <c r="D819" i="32"/>
  <c r="D820" i="32"/>
  <c r="D821" i="32"/>
  <c r="D822" i="32"/>
  <c r="D823" i="32"/>
  <c r="D824" i="32"/>
  <c r="D825" i="32"/>
  <c r="D826" i="32"/>
  <c r="D827" i="32"/>
  <c r="D828" i="32"/>
  <c r="D829" i="32"/>
  <c r="D830" i="32"/>
  <c r="D831" i="32"/>
  <c r="D832" i="32"/>
  <c r="D833" i="32"/>
  <c r="D834" i="32"/>
  <c r="D835" i="32"/>
  <c r="D836" i="32"/>
  <c r="D837" i="32"/>
  <c r="D838" i="32"/>
  <c r="D839" i="32"/>
  <c r="D840" i="32"/>
  <c r="D841" i="32"/>
  <c r="D842" i="32"/>
  <c r="D843" i="32"/>
  <c r="D844" i="32"/>
  <c r="D845" i="32"/>
  <c r="D846" i="32"/>
  <c r="D847" i="32"/>
  <c r="D848" i="32"/>
  <c r="D849" i="32"/>
  <c r="D850" i="32"/>
  <c r="D851" i="32"/>
  <c r="D852" i="32"/>
  <c r="D853" i="32"/>
  <c r="D854" i="32"/>
  <c r="D855" i="32"/>
  <c r="D856" i="32"/>
  <c r="D857" i="32"/>
  <c r="D858" i="32"/>
  <c r="D859" i="32"/>
  <c r="D860" i="32"/>
  <c r="D861" i="32"/>
  <c r="D862" i="32"/>
  <c r="D863" i="32"/>
  <c r="D864" i="32"/>
  <c r="D865" i="32"/>
  <c r="D866" i="32"/>
  <c r="D867" i="32"/>
  <c r="D868" i="32"/>
  <c r="D869" i="32"/>
  <c r="D870" i="32"/>
  <c r="D871" i="32"/>
  <c r="D872" i="32"/>
  <c r="D873" i="32"/>
  <c r="D874" i="32"/>
  <c r="D875" i="32"/>
  <c r="D876" i="32"/>
  <c r="D877" i="32"/>
  <c r="D878" i="32"/>
  <c r="D879" i="32"/>
  <c r="D880" i="32"/>
  <c r="D881" i="32"/>
  <c r="D882" i="32"/>
  <c r="D883" i="32"/>
  <c r="D884" i="32"/>
  <c r="D885" i="32"/>
  <c r="D886" i="32"/>
  <c r="D887" i="32"/>
  <c r="D888" i="32"/>
  <c r="D889" i="32"/>
  <c r="D890" i="32"/>
  <c r="D891" i="32"/>
  <c r="D892" i="32"/>
  <c r="D893" i="32"/>
  <c r="D894" i="32"/>
  <c r="D895" i="32"/>
  <c r="D896" i="32"/>
  <c r="D897" i="32"/>
  <c r="D898" i="32"/>
  <c r="D899" i="32"/>
  <c r="D900" i="32"/>
  <c r="D901" i="32"/>
  <c r="D902" i="32"/>
  <c r="D903" i="32"/>
  <c r="D904" i="32"/>
  <c r="D905" i="32"/>
  <c r="D906" i="32"/>
  <c r="D907" i="32"/>
  <c r="D908" i="32"/>
  <c r="D909" i="32"/>
  <c r="D910" i="32"/>
  <c r="D911" i="32"/>
  <c r="D912" i="32"/>
  <c r="D913" i="32"/>
  <c r="D914" i="32"/>
  <c r="D915" i="32"/>
  <c r="D916" i="32"/>
  <c r="D917" i="32"/>
  <c r="D918" i="32"/>
  <c r="D919" i="32"/>
  <c r="D920" i="32"/>
  <c r="D921" i="32"/>
  <c r="D922" i="32"/>
  <c r="D923" i="32"/>
  <c r="D924" i="32"/>
  <c r="D925" i="32"/>
  <c r="D926" i="32"/>
  <c r="D927" i="32"/>
  <c r="D928" i="32"/>
  <c r="D929" i="32"/>
  <c r="D930" i="32"/>
  <c r="D931" i="32"/>
  <c r="D932" i="32"/>
  <c r="D933" i="32"/>
  <c r="D934" i="32"/>
  <c r="D935" i="32"/>
  <c r="D936" i="32"/>
  <c r="D937" i="32"/>
  <c r="D938" i="32"/>
  <c r="D939" i="32"/>
  <c r="D940" i="32"/>
  <c r="D941" i="32"/>
  <c r="D942" i="32"/>
  <c r="D943" i="32"/>
  <c r="D944" i="32"/>
  <c r="D945" i="32"/>
  <c r="D946" i="32"/>
  <c r="D947" i="32"/>
  <c r="D948" i="32"/>
  <c r="D949" i="32"/>
  <c r="D950" i="32"/>
  <c r="D951" i="32"/>
  <c r="D952" i="32"/>
  <c r="D953" i="32"/>
  <c r="D954" i="32"/>
  <c r="D955" i="32"/>
  <c r="D956" i="32"/>
  <c r="D957" i="32"/>
  <c r="D958" i="32"/>
  <c r="D959" i="32"/>
  <c r="D960" i="32"/>
  <c r="D961" i="32"/>
  <c r="D962" i="32"/>
  <c r="D963" i="32"/>
  <c r="D964" i="32"/>
  <c r="D965" i="32"/>
  <c r="D966" i="32"/>
  <c r="D967" i="32"/>
  <c r="D968" i="32"/>
  <c r="D969" i="32"/>
  <c r="D970" i="32"/>
  <c r="D971" i="32"/>
  <c r="D972" i="32"/>
  <c r="D973" i="32"/>
  <c r="D974" i="32"/>
  <c r="D975" i="32"/>
  <c r="D976" i="32"/>
  <c r="D977" i="32"/>
  <c r="D978" i="32"/>
  <c r="D979" i="32"/>
  <c r="D980" i="32"/>
  <c r="D981" i="32"/>
  <c r="D982" i="32"/>
  <c r="D983" i="32"/>
  <c r="D984" i="32"/>
  <c r="D985" i="32"/>
  <c r="D986" i="32"/>
  <c r="D987" i="32"/>
  <c r="D988" i="32"/>
  <c r="D989" i="32"/>
  <c r="D990" i="32"/>
  <c r="D991" i="32"/>
  <c r="D992" i="32"/>
  <c r="D993" i="32"/>
  <c r="D994" i="32"/>
  <c r="D995" i="32"/>
  <c r="D996" i="32"/>
  <c r="D997" i="32"/>
  <c r="D998" i="32"/>
  <c r="D999" i="32"/>
  <c r="D1000" i="32"/>
  <c r="D1001" i="32"/>
  <c r="D1002" i="32"/>
  <c r="D1003" i="32"/>
  <c r="D1004" i="32"/>
  <c r="D1005" i="32"/>
  <c r="D999" i="33"/>
  <c r="D1000" i="33"/>
  <c r="D1001" i="33"/>
  <c r="D1002" i="33"/>
  <c r="D1003" i="33"/>
  <c r="D1004" i="33"/>
  <c r="D1005"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D135" i="33"/>
  <c r="D136" i="33"/>
  <c r="D137" i="33"/>
  <c r="D138" i="33"/>
  <c r="D139" i="33"/>
  <c r="D140" i="33"/>
  <c r="D141" i="33"/>
  <c r="D142" i="33"/>
  <c r="D143" i="33"/>
  <c r="D144" i="33"/>
  <c r="D145" i="33"/>
  <c r="D146" i="33"/>
  <c r="D147" i="33"/>
  <c r="D148" i="33"/>
  <c r="D149" i="33"/>
  <c r="D150" i="33"/>
  <c r="D151" i="33"/>
  <c r="D152" i="33"/>
  <c r="D153" i="33"/>
  <c r="D154" i="33"/>
  <c r="D155" i="33"/>
  <c r="D156" i="33"/>
  <c r="D157" i="33"/>
  <c r="D158" i="33"/>
  <c r="D159" i="33"/>
  <c r="D160" i="33"/>
  <c r="D161" i="33"/>
  <c r="D162" i="33"/>
  <c r="D163" i="33"/>
  <c r="D164" i="33"/>
  <c r="D165" i="33"/>
  <c r="D166" i="33"/>
  <c r="D167" i="33"/>
  <c r="D168" i="33"/>
  <c r="D169" i="33"/>
  <c r="D170" i="33"/>
  <c r="D171" i="33"/>
  <c r="D172" i="33"/>
  <c r="D173" i="33"/>
  <c r="D174" i="33"/>
  <c r="D175" i="33"/>
  <c r="D176" i="33"/>
  <c r="D177" i="33"/>
  <c r="D178" i="33"/>
  <c r="D179" i="33"/>
  <c r="D180" i="33"/>
  <c r="D181" i="33"/>
  <c r="D182" i="33"/>
  <c r="D183" i="33"/>
  <c r="D184" i="33"/>
  <c r="D185" i="33"/>
  <c r="D186" i="33"/>
  <c r="D187" i="33"/>
  <c r="D188" i="33"/>
  <c r="D189" i="33"/>
  <c r="D190" i="33"/>
  <c r="D191" i="33"/>
  <c r="D192" i="33"/>
  <c r="D193" i="33"/>
  <c r="D194" i="33"/>
  <c r="D195" i="33"/>
  <c r="D196" i="33"/>
  <c r="D197" i="33"/>
  <c r="D198" i="33"/>
  <c r="D199" i="33"/>
  <c r="D200" i="33"/>
  <c r="D201" i="33"/>
  <c r="D202" i="33"/>
  <c r="D203" i="33"/>
  <c r="D204" i="33"/>
  <c r="D205" i="33"/>
  <c r="D206" i="33"/>
  <c r="D207" i="33"/>
  <c r="D208" i="33"/>
  <c r="D209" i="33"/>
  <c r="D210" i="33"/>
  <c r="D211" i="33"/>
  <c r="D212" i="33"/>
  <c r="D213" i="33"/>
  <c r="D214" i="33"/>
  <c r="D215" i="33"/>
  <c r="D216" i="33"/>
  <c r="D217" i="33"/>
  <c r="D218" i="33"/>
  <c r="D219" i="33"/>
  <c r="D220" i="33"/>
  <c r="D221" i="33"/>
  <c r="D222" i="33"/>
  <c r="D223" i="33"/>
  <c r="D224" i="33"/>
  <c r="D225" i="33"/>
  <c r="D226" i="33"/>
  <c r="D227" i="33"/>
  <c r="D228" i="33"/>
  <c r="D229" i="33"/>
  <c r="D230" i="33"/>
  <c r="D231" i="33"/>
  <c r="D232" i="33"/>
  <c r="D233" i="33"/>
  <c r="D234" i="33"/>
  <c r="D235" i="33"/>
  <c r="D236" i="33"/>
  <c r="D237" i="33"/>
  <c r="D238" i="33"/>
  <c r="D239" i="33"/>
  <c r="D240" i="33"/>
  <c r="D241" i="33"/>
  <c r="D242" i="33"/>
  <c r="D243" i="33"/>
  <c r="D244" i="33"/>
  <c r="D245" i="33"/>
  <c r="D246" i="33"/>
  <c r="D247" i="33"/>
  <c r="D248" i="33"/>
  <c r="D249" i="33"/>
  <c r="D250" i="33"/>
  <c r="D251" i="33"/>
  <c r="D252" i="33"/>
  <c r="D253" i="33"/>
  <c r="D254" i="33"/>
  <c r="D255" i="33"/>
  <c r="D256" i="33"/>
  <c r="D257" i="33"/>
  <c r="D258" i="33"/>
  <c r="D259" i="33"/>
  <c r="D260" i="33"/>
  <c r="D261" i="33"/>
  <c r="D262" i="33"/>
  <c r="D263" i="33"/>
  <c r="D264" i="33"/>
  <c r="D265" i="33"/>
  <c r="D266" i="33"/>
  <c r="D267" i="33"/>
  <c r="D268" i="33"/>
  <c r="D269" i="33"/>
  <c r="D270" i="33"/>
  <c r="D271" i="33"/>
  <c r="D272" i="33"/>
  <c r="D273" i="33"/>
  <c r="D274" i="33"/>
  <c r="D275" i="33"/>
  <c r="D276" i="33"/>
  <c r="D277" i="33"/>
  <c r="D278" i="33"/>
  <c r="D279" i="33"/>
  <c r="D280" i="33"/>
  <c r="D281" i="33"/>
  <c r="D282" i="33"/>
  <c r="D283" i="33"/>
  <c r="D284" i="33"/>
  <c r="D285" i="33"/>
  <c r="D286" i="33"/>
  <c r="D287" i="33"/>
  <c r="D288" i="33"/>
  <c r="D289" i="33"/>
  <c r="D290" i="33"/>
  <c r="D291" i="33"/>
  <c r="D292" i="33"/>
  <c r="D293" i="33"/>
  <c r="D294" i="33"/>
  <c r="D295" i="33"/>
  <c r="D296" i="33"/>
  <c r="D297" i="33"/>
  <c r="D298" i="33"/>
  <c r="D299" i="33"/>
  <c r="D300" i="33"/>
  <c r="D301" i="33"/>
  <c r="D302" i="33"/>
  <c r="D303" i="33"/>
  <c r="D304" i="33"/>
  <c r="D305" i="33"/>
  <c r="D306" i="33"/>
  <c r="D307" i="33"/>
  <c r="D308" i="33"/>
  <c r="D309" i="33"/>
  <c r="D310" i="33"/>
  <c r="D311" i="33"/>
  <c r="D312" i="33"/>
  <c r="D313" i="33"/>
  <c r="D314" i="33"/>
  <c r="D315" i="33"/>
  <c r="D316" i="33"/>
  <c r="D317" i="33"/>
  <c r="D318" i="33"/>
  <c r="D319" i="33"/>
  <c r="D320" i="33"/>
  <c r="D321" i="33"/>
  <c r="D322" i="33"/>
  <c r="D323" i="33"/>
  <c r="D324" i="33"/>
  <c r="D325" i="33"/>
  <c r="D326" i="33"/>
  <c r="D327" i="33"/>
  <c r="D328" i="33"/>
  <c r="D329" i="33"/>
  <c r="D330" i="33"/>
  <c r="D331" i="33"/>
  <c r="D332" i="33"/>
  <c r="D333" i="33"/>
  <c r="D334" i="33"/>
  <c r="D335" i="33"/>
  <c r="D336" i="33"/>
  <c r="D337" i="33"/>
  <c r="D338" i="33"/>
  <c r="D339" i="33"/>
  <c r="D340" i="33"/>
  <c r="D341" i="33"/>
  <c r="D342" i="33"/>
  <c r="D343" i="33"/>
  <c r="D344" i="33"/>
  <c r="D345" i="33"/>
  <c r="D346" i="33"/>
  <c r="D347" i="33"/>
  <c r="D348" i="33"/>
  <c r="D349" i="33"/>
  <c r="D350" i="33"/>
  <c r="D351" i="33"/>
  <c r="D352" i="33"/>
  <c r="D353" i="33"/>
  <c r="D354" i="33"/>
  <c r="D355" i="33"/>
  <c r="D356" i="33"/>
  <c r="D357" i="33"/>
  <c r="D358" i="33"/>
  <c r="D359" i="33"/>
  <c r="D360" i="33"/>
  <c r="D361" i="33"/>
  <c r="D362" i="33"/>
  <c r="D363" i="33"/>
  <c r="D364" i="33"/>
  <c r="D365" i="33"/>
  <c r="D366" i="33"/>
  <c r="D367" i="33"/>
  <c r="D368" i="33"/>
  <c r="D369" i="33"/>
  <c r="D370" i="33"/>
  <c r="D371" i="33"/>
  <c r="D372" i="33"/>
  <c r="D373" i="33"/>
  <c r="D374" i="33"/>
  <c r="D375" i="33"/>
  <c r="D376" i="33"/>
  <c r="D377" i="33"/>
  <c r="D378" i="33"/>
  <c r="D379" i="33"/>
  <c r="D380" i="33"/>
  <c r="D381" i="33"/>
  <c r="D382" i="33"/>
  <c r="D383" i="33"/>
  <c r="D384" i="33"/>
  <c r="D385" i="33"/>
  <c r="D386" i="33"/>
  <c r="D387" i="33"/>
  <c r="D388" i="33"/>
  <c r="D389" i="33"/>
  <c r="D390" i="33"/>
  <c r="D391" i="33"/>
  <c r="D392" i="33"/>
  <c r="D393" i="33"/>
  <c r="D394" i="33"/>
  <c r="D395" i="33"/>
  <c r="D396" i="33"/>
  <c r="D397" i="33"/>
  <c r="D398" i="33"/>
  <c r="D399" i="33"/>
  <c r="D400" i="33"/>
  <c r="D401" i="33"/>
  <c r="D402" i="33"/>
  <c r="D403" i="33"/>
  <c r="D404" i="33"/>
  <c r="D405" i="33"/>
  <c r="D406" i="33"/>
  <c r="D407" i="33"/>
  <c r="D408" i="33"/>
  <c r="D409" i="33"/>
  <c r="D410" i="33"/>
  <c r="D411" i="33"/>
  <c r="D412" i="33"/>
  <c r="D413" i="33"/>
  <c r="D414" i="33"/>
  <c r="D415" i="33"/>
  <c r="D416" i="33"/>
  <c r="D417" i="33"/>
  <c r="D418" i="33"/>
  <c r="D419" i="33"/>
  <c r="D420" i="33"/>
  <c r="D421" i="33"/>
  <c r="D422" i="33"/>
  <c r="D423" i="33"/>
  <c r="D424" i="33"/>
  <c r="D425" i="33"/>
  <c r="D426" i="33"/>
  <c r="D427" i="33"/>
  <c r="D428" i="33"/>
  <c r="D429" i="33"/>
  <c r="D430" i="33"/>
  <c r="D431" i="33"/>
  <c r="D432" i="33"/>
  <c r="D433" i="33"/>
  <c r="D434" i="33"/>
  <c r="D435" i="33"/>
  <c r="D436" i="33"/>
  <c r="D437" i="33"/>
  <c r="D438" i="33"/>
  <c r="D439" i="33"/>
  <c r="D440" i="33"/>
  <c r="D441" i="33"/>
  <c r="D442" i="33"/>
  <c r="D443" i="33"/>
  <c r="D444" i="33"/>
  <c r="D445" i="33"/>
  <c r="D446" i="33"/>
  <c r="D447" i="33"/>
  <c r="D448" i="33"/>
  <c r="D449" i="33"/>
  <c r="D450" i="33"/>
  <c r="D451" i="33"/>
  <c r="D452" i="33"/>
  <c r="D453" i="33"/>
  <c r="D454" i="33"/>
  <c r="D455" i="33"/>
  <c r="D456" i="33"/>
  <c r="D457" i="33"/>
  <c r="D458" i="33"/>
  <c r="D459" i="33"/>
  <c r="D460" i="33"/>
  <c r="D461" i="33"/>
  <c r="D462" i="33"/>
  <c r="D463" i="33"/>
  <c r="D464" i="33"/>
  <c r="D465" i="33"/>
  <c r="D466" i="33"/>
  <c r="D467" i="33"/>
  <c r="D468" i="33"/>
  <c r="D469" i="33"/>
  <c r="D470" i="33"/>
  <c r="D471" i="33"/>
  <c r="D472" i="33"/>
  <c r="D473" i="33"/>
  <c r="D474" i="33"/>
  <c r="D475" i="33"/>
  <c r="D476" i="33"/>
  <c r="D477" i="33"/>
  <c r="D478" i="33"/>
  <c r="D479" i="33"/>
  <c r="D480" i="33"/>
  <c r="D481" i="33"/>
  <c r="D482" i="33"/>
  <c r="D483" i="33"/>
  <c r="D484" i="33"/>
  <c r="D485" i="33"/>
  <c r="D486" i="33"/>
  <c r="D487" i="33"/>
  <c r="D488" i="33"/>
  <c r="D489" i="33"/>
  <c r="D490" i="33"/>
  <c r="D491" i="33"/>
  <c r="D492" i="33"/>
  <c r="D493" i="33"/>
  <c r="D494" i="33"/>
  <c r="D495" i="33"/>
  <c r="D496" i="33"/>
  <c r="D497" i="33"/>
  <c r="D498" i="33"/>
  <c r="D499" i="33"/>
  <c r="D500" i="33"/>
  <c r="D501" i="33"/>
  <c r="D502" i="33"/>
  <c r="D503" i="33"/>
  <c r="D504" i="33"/>
  <c r="D505" i="33"/>
  <c r="D506" i="33"/>
  <c r="D507" i="33"/>
  <c r="D508" i="33"/>
  <c r="D509" i="33"/>
  <c r="D510" i="33"/>
  <c r="D511" i="33"/>
  <c r="D512" i="33"/>
  <c r="D513" i="33"/>
  <c r="D514" i="33"/>
  <c r="D515" i="33"/>
  <c r="D516" i="33"/>
  <c r="D517" i="33"/>
  <c r="D518" i="33"/>
  <c r="D519" i="33"/>
  <c r="D520" i="33"/>
  <c r="D521" i="33"/>
  <c r="D522" i="33"/>
  <c r="D523" i="33"/>
  <c r="D524" i="33"/>
  <c r="D525" i="33"/>
  <c r="D526" i="33"/>
  <c r="D527" i="33"/>
  <c r="D528" i="33"/>
  <c r="D529" i="33"/>
  <c r="D530" i="33"/>
  <c r="D531" i="33"/>
  <c r="D532" i="33"/>
  <c r="D533" i="33"/>
  <c r="D534" i="33"/>
  <c r="D535" i="33"/>
  <c r="D536" i="33"/>
  <c r="D537" i="33"/>
  <c r="D538" i="33"/>
  <c r="D539" i="33"/>
  <c r="D540" i="33"/>
  <c r="D541" i="33"/>
  <c r="D542" i="33"/>
  <c r="D543" i="33"/>
  <c r="D544" i="33"/>
  <c r="D545" i="33"/>
  <c r="D546" i="33"/>
  <c r="D547" i="33"/>
  <c r="D548" i="33"/>
  <c r="D549" i="33"/>
  <c r="D550" i="33"/>
  <c r="D551" i="33"/>
  <c r="D552" i="33"/>
  <c r="D553" i="33"/>
  <c r="D554" i="33"/>
  <c r="D555" i="33"/>
  <c r="D556" i="33"/>
  <c r="D557" i="33"/>
  <c r="D558" i="33"/>
  <c r="D559" i="33"/>
  <c r="D560" i="33"/>
  <c r="D561" i="33"/>
  <c r="D562" i="33"/>
  <c r="D563" i="33"/>
  <c r="D564" i="33"/>
  <c r="D565" i="33"/>
  <c r="D566" i="33"/>
  <c r="D567" i="33"/>
  <c r="D568" i="33"/>
  <c r="D569" i="33"/>
  <c r="D570" i="33"/>
  <c r="D571" i="33"/>
  <c r="D572" i="33"/>
  <c r="D573" i="33"/>
  <c r="D574" i="33"/>
  <c r="D575" i="33"/>
  <c r="D576" i="33"/>
  <c r="D577" i="33"/>
  <c r="D578" i="33"/>
  <c r="D579" i="33"/>
  <c r="D580" i="33"/>
  <c r="D581" i="33"/>
  <c r="D582" i="33"/>
  <c r="D583" i="33"/>
  <c r="D584" i="33"/>
  <c r="D585" i="33"/>
  <c r="D586" i="33"/>
  <c r="D587" i="33"/>
  <c r="D588" i="33"/>
  <c r="D589" i="33"/>
  <c r="D590" i="33"/>
  <c r="D591" i="33"/>
  <c r="D592" i="33"/>
  <c r="D593" i="33"/>
  <c r="D594" i="33"/>
  <c r="D595" i="33"/>
  <c r="D596" i="33"/>
  <c r="D597" i="33"/>
  <c r="D598" i="33"/>
  <c r="D599" i="33"/>
  <c r="D600" i="33"/>
  <c r="D601" i="33"/>
  <c r="D602" i="33"/>
  <c r="D603" i="33"/>
  <c r="D604" i="33"/>
  <c r="D605" i="33"/>
  <c r="D606" i="33"/>
  <c r="D607" i="33"/>
  <c r="D608" i="33"/>
  <c r="D609" i="33"/>
  <c r="D610" i="33"/>
  <c r="D611" i="33"/>
  <c r="D612" i="33"/>
  <c r="D613" i="33"/>
  <c r="D614" i="33"/>
  <c r="D615" i="33"/>
  <c r="D616" i="33"/>
  <c r="D617" i="33"/>
  <c r="D618" i="33"/>
  <c r="D619" i="33"/>
  <c r="D620" i="33"/>
  <c r="D621" i="33"/>
  <c r="D622" i="33"/>
  <c r="D623" i="33"/>
  <c r="D624" i="33"/>
  <c r="D625" i="33"/>
  <c r="D626" i="33"/>
  <c r="D627" i="33"/>
  <c r="D628" i="33"/>
  <c r="D629" i="33"/>
  <c r="D630" i="33"/>
  <c r="D631" i="33"/>
  <c r="D632" i="33"/>
  <c r="D633" i="33"/>
  <c r="D634" i="33"/>
  <c r="D635" i="33"/>
  <c r="D636" i="33"/>
  <c r="D637" i="33"/>
  <c r="D638" i="33"/>
  <c r="D639" i="33"/>
  <c r="D640" i="33"/>
  <c r="D641" i="33"/>
  <c r="D642" i="33"/>
  <c r="D643" i="33"/>
  <c r="D644" i="33"/>
  <c r="D645" i="33"/>
  <c r="D646" i="33"/>
  <c r="D647" i="33"/>
  <c r="D648" i="33"/>
  <c r="D649" i="33"/>
  <c r="D650" i="33"/>
  <c r="D651" i="33"/>
  <c r="D652" i="33"/>
  <c r="D653" i="33"/>
  <c r="D654" i="33"/>
  <c r="D655" i="33"/>
  <c r="D656" i="33"/>
  <c r="D657" i="33"/>
  <c r="D658" i="33"/>
  <c r="D659" i="33"/>
  <c r="D660" i="33"/>
  <c r="D661" i="33"/>
  <c r="D662" i="33"/>
  <c r="D663" i="33"/>
  <c r="D664" i="33"/>
  <c r="D665" i="33"/>
  <c r="D666" i="33"/>
  <c r="D667" i="33"/>
  <c r="D668" i="33"/>
  <c r="D669" i="33"/>
  <c r="D670" i="33"/>
  <c r="D671" i="33"/>
  <c r="D672" i="33"/>
  <c r="D673" i="33"/>
  <c r="D674" i="33"/>
  <c r="D675" i="33"/>
  <c r="D676" i="33"/>
  <c r="D677" i="33"/>
  <c r="D678" i="33"/>
  <c r="D679" i="33"/>
  <c r="D680" i="33"/>
  <c r="D681" i="33"/>
  <c r="D682" i="33"/>
  <c r="D683" i="33"/>
  <c r="D684" i="33"/>
  <c r="D685" i="33"/>
  <c r="D686" i="33"/>
  <c r="D687" i="33"/>
  <c r="D688" i="33"/>
  <c r="D689" i="33"/>
  <c r="D690" i="33"/>
  <c r="D691" i="33"/>
  <c r="D692" i="33"/>
  <c r="D693" i="33"/>
  <c r="D694" i="33"/>
  <c r="D695" i="33"/>
  <c r="D696" i="33"/>
  <c r="D697" i="33"/>
  <c r="D698" i="33"/>
  <c r="D699" i="33"/>
  <c r="D700" i="33"/>
  <c r="D701" i="33"/>
  <c r="D702" i="33"/>
  <c r="D703" i="33"/>
  <c r="D704" i="33"/>
  <c r="D705" i="33"/>
  <c r="D706" i="33"/>
  <c r="D707" i="33"/>
  <c r="D708" i="33"/>
  <c r="D709" i="33"/>
  <c r="D710" i="33"/>
  <c r="D711" i="33"/>
  <c r="D712" i="33"/>
  <c r="D713" i="33"/>
  <c r="D714" i="33"/>
  <c r="D715" i="33"/>
  <c r="D716" i="33"/>
  <c r="D717" i="33"/>
  <c r="D718" i="33"/>
  <c r="D719" i="33"/>
  <c r="D720" i="33"/>
  <c r="D721" i="33"/>
  <c r="D722" i="33"/>
  <c r="D723" i="33"/>
  <c r="D724" i="33"/>
  <c r="D725" i="33"/>
  <c r="D726" i="33"/>
  <c r="D727" i="33"/>
  <c r="D728" i="33"/>
  <c r="D729" i="33"/>
  <c r="D730" i="33"/>
  <c r="D731" i="33"/>
  <c r="D732" i="33"/>
  <c r="D733" i="33"/>
  <c r="D734" i="33"/>
  <c r="D735" i="33"/>
  <c r="D736" i="33"/>
  <c r="D737" i="33"/>
  <c r="D738" i="33"/>
  <c r="D739" i="33"/>
  <c r="D740" i="33"/>
  <c r="D741" i="33"/>
  <c r="D742" i="33"/>
  <c r="D743" i="33"/>
  <c r="D744" i="33"/>
  <c r="D745" i="33"/>
  <c r="D746" i="33"/>
  <c r="D747" i="33"/>
  <c r="D748" i="33"/>
  <c r="D749" i="33"/>
  <c r="D750" i="33"/>
  <c r="D751" i="33"/>
  <c r="D752" i="33"/>
  <c r="D753" i="33"/>
  <c r="D754" i="33"/>
  <c r="D755" i="33"/>
  <c r="D756" i="33"/>
  <c r="D757" i="33"/>
  <c r="D758" i="33"/>
  <c r="D759" i="33"/>
  <c r="D760" i="33"/>
  <c r="D761" i="33"/>
  <c r="D762" i="33"/>
  <c r="D763" i="33"/>
  <c r="D764" i="33"/>
  <c r="D765" i="33"/>
  <c r="D766" i="33"/>
  <c r="D767" i="33"/>
  <c r="D768" i="33"/>
  <c r="D769" i="33"/>
  <c r="D770" i="33"/>
  <c r="D771" i="33"/>
  <c r="D772" i="33"/>
  <c r="D773" i="33"/>
  <c r="D774" i="33"/>
  <c r="D775" i="33"/>
  <c r="D776" i="33"/>
  <c r="D777" i="33"/>
  <c r="D778" i="33"/>
  <c r="D779" i="33"/>
  <c r="D780" i="33"/>
  <c r="D781" i="33"/>
  <c r="D782" i="33"/>
  <c r="D783" i="33"/>
  <c r="D784" i="33"/>
  <c r="D785" i="33"/>
  <c r="D786" i="33"/>
  <c r="D787" i="33"/>
  <c r="D788" i="33"/>
  <c r="D789" i="33"/>
  <c r="D790" i="33"/>
  <c r="D791" i="33"/>
  <c r="D792" i="33"/>
  <c r="D793" i="33"/>
  <c r="D794" i="33"/>
  <c r="D795" i="33"/>
  <c r="D796" i="33"/>
  <c r="D797" i="33"/>
  <c r="D798" i="33"/>
  <c r="D799" i="33"/>
  <c r="D800" i="33"/>
  <c r="D801" i="33"/>
  <c r="D802" i="33"/>
  <c r="D803" i="33"/>
  <c r="D804" i="33"/>
  <c r="D805" i="33"/>
  <c r="D806" i="33"/>
  <c r="D807" i="33"/>
  <c r="D808" i="33"/>
  <c r="D809" i="33"/>
  <c r="D810" i="33"/>
  <c r="D811" i="33"/>
  <c r="D812" i="33"/>
  <c r="D813" i="33"/>
  <c r="D814" i="33"/>
  <c r="D815" i="33"/>
  <c r="D816" i="33"/>
  <c r="D817" i="33"/>
  <c r="D818" i="33"/>
  <c r="D819" i="33"/>
  <c r="D820" i="33"/>
  <c r="D821" i="33"/>
  <c r="D822" i="33"/>
  <c r="D823" i="33"/>
  <c r="D824" i="33"/>
  <c r="D825" i="33"/>
  <c r="D826" i="33"/>
  <c r="D827" i="33"/>
  <c r="D828" i="33"/>
  <c r="D829" i="33"/>
  <c r="D830" i="33"/>
  <c r="D831" i="33"/>
  <c r="D832" i="33"/>
  <c r="D833" i="33"/>
  <c r="D834" i="33"/>
  <c r="D835" i="33"/>
  <c r="D836" i="33"/>
  <c r="D837" i="33"/>
  <c r="D838" i="33"/>
  <c r="D839" i="33"/>
  <c r="D840" i="33"/>
  <c r="D841" i="33"/>
  <c r="D842" i="33"/>
  <c r="D843" i="33"/>
  <c r="D844" i="33"/>
  <c r="D845" i="33"/>
  <c r="D846" i="33"/>
  <c r="D847" i="33"/>
  <c r="D848" i="33"/>
  <c r="D849" i="33"/>
  <c r="D850" i="33"/>
  <c r="D851" i="33"/>
  <c r="D852" i="33"/>
  <c r="D853" i="33"/>
  <c r="D854" i="33"/>
  <c r="D855" i="33"/>
  <c r="D856" i="33"/>
  <c r="D857" i="33"/>
  <c r="D858" i="33"/>
  <c r="D859" i="33"/>
  <c r="D860" i="33"/>
  <c r="D861" i="33"/>
  <c r="D862" i="33"/>
  <c r="D863" i="33"/>
  <c r="D864" i="33"/>
  <c r="D865" i="33"/>
  <c r="D866" i="33"/>
  <c r="D867" i="33"/>
  <c r="D868" i="33"/>
  <c r="D869" i="33"/>
  <c r="D870" i="33"/>
  <c r="D871" i="33"/>
  <c r="D872" i="33"/>
  <c r="D873" i="33"/>
  <c r="D874" i="33"/>
  <c r="D875" i="33"/>
  <c r="D876" i="33"/>
  <c r="D877" i="33"/>
  <c r="D878" i="33"/>
  <c r="D879" i="33"/>
  <c r="D880" i="33"/>
  <c r="D881" i="33"/>
  <c r="D882" i="33"/>
  <c r="D883" i="33"/>
  <c r="D884" i="33"/>
  <c r="D885" i="33"/>
  <c r="D886" i="33"/>
  <c r="D887" i="33"/>
  <c r="D888" i="33"/>
  <c r="D889" i="33"/>
  <c r="D890" i="33"/>
  <c r="D891" i="33"/>
  <c r="D892" i="33"/>
  <c r="D893" i="33"/>
  <c r="D894" i="33"/>
  <c r="D895" i="33"/>
  <c r="D896" i="33"/>
  <c r="D897" i="33"/>
  <c r="D898" i="33"/>
  <c r="D899" i="33"/>
  <c r="D900" i="33"/>
  <c r="D901" i="33"/>
  <c r="D902" i="33"/>
  <c r="D903" i="33"/>
  <c r="D904" i="33"/>
  <c r="D905" i="33"/>
  <c r="D906" i="33"/>
  <c r="D907" i="33"/>
  <c r="D908" i="33"/>
  <c r="D909" i="33"/>
  <c r="D910" i="33"/>
  <c r="D911" i="33"/>
  <c r="D912" i="33"/>
  <c r="D913" i="33"/>
  <c r="D914" i="33"/>
  <c r="D915" i="33"/>
  <c r="D916" i="33"/>
  <c r="D917" i="33"/>
  <c r="D918" i="33"/>
  <c r="D919" i="33"/>
  <c r="D920" i="33"/>
  <c r="D921" i="33"/>
  <c r="D922" i="33"/>
  <c r="D923" i="33"/>
  <c r="D924" i="33"/>
  <c r="D925" i="33"/>
  <c r="D926" i="33"/>
  <c r="D927" i="33"/>
  <c r="D928" i="33"/>
  <c r="D929" i="33"/>
  <c r="D930" i="33"/>
  <c r="D931" i="33"/>
  <c r="D932" i="33"/>
  <c r="D933" i="33"/>
  <c r="D934" i="33"/>
  <c r="D935" i="33"/>
  <c r="D936" i="33"/>
  <c r="D937" i="33"/>
  <c r="D938" i="33"/>
  <c r="D939" i="33"/>
  <c r="D940" i="33"/>
  <c r="D941" i="33"/>
  <c r="D942" i="33"/>
  <c r="D943" i="33"/>
  <c r="D944" i="33"/>
  <c r="D945" i="33"/>
  <c r="D946" i="33"/>
  <c r="D947" i="33"/>
  <c r="D948" i="33"/>
  <c r="D949" i="33"/>
  <c r="D950" i="33"/>
  <c r="D951" i="33"/>
  <c r="D952" i="33"/>
  <c r="D953" i="33"/>
  <c r="D954" i="33"/>
  <c r="D955" i="33"/>
  <c r="D956" i="33"/>
  <c r="D957" i="33"/>
  <c r="D958" i="33"/>
  <c r="D959" i="33"/>
  <c r="D960" i="33"/>
  <c r="D961" i="33"/>
  <c r="D962" i="33"/>
  <c r="D963" i="33"/>
  <c r="D964" i="33"/>
  <c r="D965" i="33"/>
  <c r="D966" i="33"/>
  <c r="D967" i="33"/>
  <c r="D968" i="33"/>
  <c r="D969" i="33"/>
  <c r="D970" i="33"/>
  <c r="D971" i="33"/>
  <c r="D972" i="33"/>
  <c r="D973" i="33"/>
  <c r="D974" i="33"/>
  <c r="D975" i="33"/>
  <c r="D976" i="33"/>
  <c r="D977" i="33"/>
  <c r="D978" i="33"/>
  <c r="D979" i="33"/>
  <c r="D980" i="33"/>
  <c r="D981" i="33"/>
  <c r="D982" i="33"/>
  <c r="D983" i="33"/>
  <c r="D984" i="33"/>
  <c r="D985" i="33"/>
  <c r="D986" i="33"/>
  <c r="D987" i="33"/>
  <c r="D988" i="33"/>
  <c r="D989" i="33"/>
  <c r="D990" i="33"/>
  <c r="D991" i="33"/>
  <c r="D992" i="33"/>
  <c r="D993" i="33"/>
  <c r="D994" i="33"/>
  <c r="D995" i="33"/>
  <c r="D996" i="33"/>
  <c r="D997" i="33"/>
  <c r="D998" i="33"/>
  <c r="G124" i="10"/>
  <c r="K23" i="40"/>
  <c r="L23" i="40" s="1"/>
  <c r="H124" i="10" s="1"/>
  <c r="K24" i="40"/>
  <c r="L24" i="40"/>
  <c r="L124" i="10" s="1"/>
  <c r="K25" i="40"/>
  <c r="L25" i="40" s="1"/>
  <c r="K26" i="40"/>
  <c r="L26" i="40"/>
  <c r="K27" i="40"/>
  <c r="L27" i="40"/>
  <c r="K28" i="40"/>
  <c r="L28" i="40" s="1"/>
  <c r="K29" i="40"/>
  <c r="L29" i="40"/>
  <c r="K30" i="40"/>
  <c r="L30" i="40"/>
  <c r="K31" i="40"/>
  <c r="L31" i="40"/>
  <c r="K32" i="40"/>
  <c r="L32" i="40"/>
  <c r="K33" i="40"/>
  <c r="L33" i="40"/>
  <c r="K34" i="40"/>
  <c r="L34" i="40"/>
  <c r="K35" i="40"/>
  <c r="L35" i="40"/>
  <c r="K36" i="40"/>
  <c r="L36" i="40"/>
  <c r="K37" i="40"/>
  <c r="L37" i="40"/>
  <c r="K38" i="40"/>
  <c r="L38" i="40"/>
  <c r="K39" i="40"/>
  <c r="L39" i="40"/>
  <c r="K40" i="40"/>
  <c r="L40" i="40"/>
  <c r="K41" i="40"/>
  <c r="L41" i="40"/>
  <c r="K42" i="40"/>
  <c r="L42" i="40"/>
  <c r="K43" i="40"/>
  <c r="L43" i="40"/>
  <c r="K44" i="40"/>
  <c r="L44" i="40"/>
  <c r="K45" i="40"/>
  <c r="L45" i="40"/>
  <c r="K46" i="40"/>
  <c r="L46" i="40"/>
  <c r="K47" i="40"/>
  <c r="L47" i="40"/>
  <c r="K48" i="40"/>
  <c r="L48" i="40"/>
  <c r="K49" i="40"/>
  <c r="L49" i="40"/>
  <c r="K50" i="40"/>
  <c r="L50" i="40"/>
  <c r="K51" i="40"/>
  <c r="L51" i="40"/>
  <c r="K52" i="40"/>
  <c r="L52" i="40"/>
  <c r="K53" i="40"/>
  <c r="L53" i="40"/>
  <c r="K54" i="40"/>
  <c r="L54" i="40"/>
  <c r="K55" i="40"/>
  <c r="L55" i="40"/>
  <c r="K56" i="40"/>
  <c r="L56" i="40"/>
  <c r="K57" i="40"/>
  <c r="L57" i="40"/>
  <c r="K58" i="40"/>
  <c r="L58" i="40"/>
  <c r="K59" i="40"/>
  <c r="L59" i="40"/>
  <c r="K60" i="40"/>
  <c r="L60" i="40"/>
  <c r="K61" i="40"/>
  <c r="L61" i="40"/>
  <c r="K62" i="40"/>
  <c r="L62" i="40"/>
  <c r="K63" i="40"/>
  <c r="L63" i="40"/>
  <c r="K64" i="40"/>
  <c r="L64" i="40"/>
  <c r="K65" i="40"/>
  <c r="L65" i="40"/>
  <c r="K66" i="40"/>
  <c r="L66" i="40"/>
  <c r="K67" i="40"/>
  <c r="L67" i="40"/>
  <c r="K68" i="40"/>
  <c r="L68" i="40"/>
  <c r="K69" i="40"/>
  <c r="L69" i="40"/>
  <c r="K70" i="40"/>
  <c r="L70" i="40"/>
  <c r="K71" i="40"/>
  <c r="L71" i="40"/>
  <c r="K72" i="40"/>
  <c r="L72" i="40"/>
  <c r="K73" i="40"/>
  <c r="L73" i="40"/>
  <c r="K74" i="40"/>
  <c r="L74" i="40"/>
  <c r="K75" i="40"/>
  <c r="L75" i="40"/>
  <c r="K76" i="40"/>
  <c r="L76" i="40"/>
  <c r="K77" i="40"/>
  <c r="L77" i="40"/>
  <c r="K78" i="40"/>
  <c r="L78" i="40"/>
  <c r="K79" i="40"/>
  <c r="L79" i="40"/>
  <c r="K80" i="40"/>
  <c r="L80" i="40"/>
  <c r="K81" i="40"/>
  <c r="L81" i="40"/>
  <c r="K82" i="40"/>
  <c r="L82" i="40"/>
  <c r="K83" i="40"/>
  <c r="L83" i="40"/>
  <c r="K84" i="40"/>
  <c r="L84" i="40"/>
  <c r="K85" i="40"/>
  <c r="L85" i="40"/>
  <c r="K86" i="40"/>
  <c r="L86" i="40"/>
  <c r="K87" i="40"/>
  <c r="L87" i="40"/>
  <c r="K88" i="40"/>
  <c r="L88" i="40"/>
  <c r="K89" i="40"/>
  <c r="L89" i="40"/>
  <c r="K90" i="40"/>
  <c r="L90" i="40"/>
  <c r="K91" i="40"/>
  <c r="L91" i="40"/>
  <c r="K92" i="40"/>
  <c r="L92" i="40"/>
  <c r="K93" i="40"/>
  <c r="L93" i="40"/>
  <c r="K94" i="40"/>
  <c r="L94" i="40"/>
  <c r="K95" i="40"/>
  <c r="L95" i="40"/>
  <c r="K96" i="40"/>
  <c r="L96" i="40"/>
  <c r="K97" i="40"/>
  <c r="L97" i="40"/>
  <c r="K98" i="40"/>
  <c r="L98" i="40"/>
  <c r="K99" i="40"/>
  <c r="L99" i="40"/>
  <c r="K100" i="40"/>
  <c r="L100" i="40"/>
  <c r="K101" i="40"/>
  <c r="L101" i="40"/>
  <c r="K102" i="40"/>
  <c r="L102" i="40"/>
  <c r="K103" i="40"/>
  <c r="L103" i="40"/>
  <c r="K104" i="40"/>
  <c r="L104" i="40"/>
  <c r="K105" i="40"/>
  <c r="L105" i="40"/>
  <c r="K106" i="40"/>
  <c r="L106" i="40"/>
  <c r="K107" i="40"/>
  <c r="L107" i="40"/>
  <c r="K108" i="40"/>
  <c r="L108" i="40"/>
  <c r="K109" i="40"/>
  <c r="L109" i="40"/>
  <c r="K110" i="40"/>
  <c r="L110" i="40"/>
  <c r="K111" i="40"/>
  <c r="L111" i="40"/>
  <c r="K112" i="40"/>
  <c r="L112" i="40"/>
  <c r="K113" i="40"/>
  <c r="L113" i="40"/>
  <c r="K114" i="40"/>
  <c r="L114" i="40"/>
  <c r="K115" i="40"/>
  <c r="L115" i="40"/>
  <c r="K116" i="40"/>
  <c r="L116" i="40"/>
  <c r="K117" i="40"/>
  <c r="L117" i="40"/>
  <c r="K118" i="40"/>
  <c r="L118" i="40"/>
  <c r="K119" i="40"/>
  <c r="L119" i="40"/>
  <c r="K120" i="40"/>
  <c r="L120" i="40"/>
  <c r="K121" i="40"/>
  <c r="L121" i="40"/>
  <c r="K122" i="40"/>
  <c r="L122" i="40"/>
  <c r="K123" i="40"/>
  <c r="L123" i="40"/>
  <c r="K124" i="40"/>
  <c r="L124" i="40"/>
  <c r="K125" i="40"/>
  <c r="L125" i="40"/>
  <c r="K126" i="40"/>
  <c r="L126" i="40"/>
  <c r="K127" i="40"/>
  <c r="L127" i="40"/>
  <c r="K128" i="40"/>
  <c r="L128" i="40"/>
  <c r="K129" i="40"/>
  <c r="L129" i="40"/>
  <c r="K130" i="40"/>
  <c r="L130" i="40"/>
  <c r="K131" i="40"/>
  <c r="L131" i="40"/>
  <c r="K132" i="40"/>
  <c r="L132" i="40"/>
  <c r="K133" i="40"/>
  <c r="L133" i="40"/>
  <c r="K134" i="40"/>
  <c r="L134" i="40"/>
  <c r="K135" i="40"/>
  <c r="L135" i="40"/>
  <c r="K136" i="40"/>
  <c r="L136" i="40"/>
  <c r="K137" i="40"/>
  <c r="L137" i="40"/>
  <c r="K138" i="40"/>
  <c r="L138" i="40"/>
  <c r="K139" i="40"/>
  <c r="L139" i="40"/>
  <c r="K140" i="40"/>
  <c r="L140" i="40"/>
  <c r="K141" i="40"/>
  <c r="L141" i="40"/>
  <c r="K142" i="40"/>
  <c r="L142" i="40"/>
  <c r="K143" i="40"/>
  <c r="L143" i="40"/>
  <c r="K144" i="40"/>
  <c r="L144" i="40"/>
  <c r="K145" i="40"/>
  <c r="L145" i="40"/>
  <c r="K146" i="40"/>
  <c r="L146" i="40"/>
  <c r="K147" i="40"/>
  <c r="L147" i="40"/>
  <c r="K148" i="40"/>
  <c r="L148" i="40"/>
  <c r="K149" i="40"/>
  <c r="L149" i="40"/>
  <c r="K150" i="40"/>
  <c r="L150" i="40"/>
  <c r="K151" i="40"/>
  <c r="L151" i="40"/>
  <c r="K152" i="40"/>
  <c r="L152" i="40"/>
  <c r="K153" i="40"/>
  <c r="L153" i="40"/>
  <c r="K154" i="40"/>
  <c r="L154" i="40"/>
  <c r="K155" i="40"/>
  <c r="L155" i="40"/>
  <c r="K156" i="40"/>
  <c r="L156" i="40"/>
  <c r="K157" i="40"/>
  <c r="L157" i="40"/>
  <c r="K158" i="40"/>
  <c r="L158" i="40"/>
  <c r="K159" i="40"/>
  <c r="L159" i="40"/>
  <c r="K160" i="40"/>
  <c r="L160" i="40"/>
  <c r="K161" i="40"/>
  <c r="L161" i="40"/>
  <c r="K162" i="40"/>
  <c r="L162" i="40"/>
  <c r="K163" i="40"/>
  <c r="L163" i="40"/>
  <c r="K164" i="40"/>
  <c r="L164" i="40"/>
  <c r="K165" i="40"/>
  <c r="L165" i="40"/>
  <c r="K166" i="40"/>
  <c r="L166" i="40"/>
  <c r="K167" i="40"/>
  <c r="L167" i="40"/>
  <c r="K168" i="40"/>
  <c r="L168" i="40"/>
  <c r="K169" i="40"/>
  <c r="L169" i="40"/>
  <c r="K170" i="40"/>
  <c r="L170" i="40"/>
  <c r="K171" i="40"/>
  <c r="L171" i="40"/>
  <c r="K172" i="40"/>
  <c r="L172" i="40"/>
  <c r="K173" i="40"/>
  <c r="L173" i="40"/>
  <c r="K174" i="40"/>
  <c r="L174" i="40"/>
  <c r="K175" i="40"/>
  <c r="L175" i="40"/>
  <c r="K176" i="40"/>
  <c r="L176" i="40"/>
  <c r="K177" i="40"/>
  <c r="L177" i="40"/>
  <c r="K178" i="40"/>
  <c r="L178" i="40"/>
  <c r="K179" i="40"/>
  <c r="L179" i="40"/>
  <c r="K180" i="40"/>
  <c r="L180" i="40"/>
  <c r="K181" i="40"/>
  <c r="L181" i="40"/>
  <c r="K182" i="40"/>
  <c r="L182" i="40"/>
  <c r="K183" i="40"/>
  <c r="L183" i="40"/>
  <c r="K184" i="40"/>
  <c r="L184" i="40"/>
  <c r="K185" i="40"/>
  <c r="L185" i="40"/>
  <c r="K186" i="40"/>
  <c r="L186" i="40"/>
  <c r="K187" i="40"/>
  <c r="L187" i="40"/>
  <c r="K188" i="40"/>
  <c r="L188" i="40"/>
  <c r="K189" i="40"/>
  <c r="L189" i="40"/>
  <c r="K190" i="40"/>
  <c r="L190" i="40"/>
  <c r="K191" i="40"/>
  <c r="L191" i="40"/>
  <c r="K192" i="40"/>
  <c r="L192" i="40"/>
  <c r="K193" i="40"/>
  <c r="L193" i="40"/>
  <c r="K194" i="40"/>
  <c r="L194" i="40"/>
  <c r="K195" i="40"/>
  <c r="L195" i="40"/>
  <c r="K196" i="40"/>
  <c r="L196" i="40"/>
  <c r="K197" i="40"/>
  <c r="L197" i="40"/>
  <c r="K198" i="40"/>
  <c r="L198" i="40"/>
  <c r="K199" i="40"/>
  <c r="L199" i="40"/>
  <c r="K200" i="40"/>
  <c r="L200" i="40"/>
  <c r="K201" i="40"/>
  <c r="L201" i="40"/>
  <c r="K202" i="40"/>
  <c r="L202" i="40"/>
  <c r="K203" i="40"/>
  <c r="L203" i="40"/>
  <c r="K204" i="40"/>
  <c r="L204" i="40"/>
  <c r="K205" i="40"/>
  <c r="L205" i="40"/>
  <c r="K206" i="40"/>
  <c r="L206" i="40"/>
  <c r="K207" i="40"/>
  <c r="L207" i="40"/>
  <c r="K208" i="40"/>
  <c r="L208" i="40"/>
  <c r="K209" i="40"/>
  <c r="L209" i="40"/>
  <c r="K210" i="40"/>
  <c r="L210" i="40"/>
  <c r="K211" i="40"/>
  <c r="L211" i="40"/>
  <c r="K212" i="40"/>
  <c r="L212" i="40"/>
  <c r="K213" i="40"/>
  <c r="L213" i="40"/>
  <c r="K214" i="40"/>
  <c r="L214" i="40"/>
  <c r="K215" i="40"/>
  <c r="L215" i="40"/>
  <c r="K216" i="40"/>
  <c r="L216" i="40"/>
  <c r="K217" i="40"/>
  <c r="L217" i="40"/>
  <c r="K218" i="40"/>
  <c r="L218" i="40"/>
  <c r="K219" i="40"/>
  <c r="L219" i="40"/>
  <c r="K220" i="40"/>
  <c r="L220" i="40"/>
  <c r="K221" i="40"/>
  <c r="L221" i="40"/>
  <c r="K222" i="40"/>
  <c r="L222" i="40"/>
  <c r="K223" i="40"/>
  <c r="L223" i="40"/>
  <c r="K224" i="40"/>
  <c r="L224" i="40"/>
  <c r="K225" i="40"/>
  <c r="L225" i="40"/>
  <c r="K226" i="40"/>
  <c r="L226" i="40"/>
  <c r="K227" i="40"/>
  <c r="L227" i="40"/>
  <c r="K228" i="40"/>
  <c r="L228" i="40"/>
  <c r="K229" i="40"/>
  <c r="L229" i="40"/>
  <c r="K230" i="40"/>
  <c r="L230" i="40"/>
  <c r="K231" i="40"/>
  <c r="L231" i="40"/>
  <c r="K232" i="40"/>
  <c r="L232" i="40"/>
  <c r="K233" i="40"/>
  <c r="L233" i="40"/>
  <c r="K234" i="40"/>
  <c r="L234" i="40"/>
  <c r="K235" i="40"/>
  <c r="L235" i="40"/>
  <c r="K236" i="40"/>
  <c r="L236" i="40"/>
  <c r="K237" i="40"/>
  <c r="L237" i="40"/>
  <c r="K238" i="40"/>
  <c r="L238" i="40"/>
  <c r="K239" i="40"/>
  <c r="L239" i="40"/>
  <c r="K240" i="40"/>
  <c r="L240" i="40"/>
  <c r="K241" i="40"/>
  <c r="L241" i="40"/>
  <c r="K242" i="40"/>
  <c r="L242" i="40"/>
  <c r="K243" i="40"/>
  <c r="L243" i="40"/>
  <c r="K244" i="40"/>
  <c r="L244" i="40"/>
  <c r="K245" i="40"/>
  <c r="L245" i="40"/>
  <c r="K246" i="40"/>
  <c r="L246" i="40"/>
  <c r="K247" i="40"/>
  <c r="L247" i="40"/>
  <c r="K248" i="40"/>
  <c r="L248" i="40"/>
  <c r="K249" i="40"/>
  <c r="L249" i="40"/>
  <c r="K250" i="40"/>
  <c r="L250" i="40"/>
  <c r="K251" i="40"/>
  <c r="L251" i="40"/>
  <c r="K252" i="40"/>
  <c r="L252" i="40"/>
  <c r="K253" i="40"/>
  <c r="L253" i="40"/>
  <c r="K254" i="40"/>
  <c r="L254" i="40"/>
  <c r="K255" i="40"/>
  <c r="L255" i="40"/>
  <c r="K256" i="40"/>
  <c r="L256" i="40"/>
  <c r="K257" i="40"/>
  <c r="L257" i="40"/>
  <c r="K258" i="40"/>
  <c r="L258" i="40"/>
  <c r="K259" i="40"/>
  <c r="L259" i="40"/>
  <c r="K260" i="40"/>
  <c r="L260" i="40"/>
  <c r="K261" i="40"/>
  <c r="L261" i="40"/>
  <c r="K262" i="40"/>
  <c r="L262" i="40"/>
  <c r="K263" i="40"/>
  <c r="L263" i="40"/>
  <c r="K264" i="40"/>
  <c r="L264" i="40"/>
  <c r="K265" i="40"/>
  <c r="L265" i="40"/>
  <c r="K266" i="40"/>
  <c r="L266" i="40"/>
  <c r="K267" i="40"/>
  <c r="L267" i="40"/>
  <c r="K268" i="40"/>
  <c r="L268" i="40"/>
  <c r="K269" i="40"/>
  <c r="L269" i="40"/>
  <c r="K270" i="40"/>
  <c r="L270" i="40"/>
  <c r="K271" i="40"/>
  <c r="L271" i="40"/>
  <c r="K272" i="40"/>
  <c r="L272" i="40"/>
  <c r="K273" i="40"/>
  <c r="L273" i="40"/>
  <c r="K274" i="40"/>
  <c r="L274" i="40"/>
  <c r="K275" i="40"/>
  <c r="L275" i="40"/>
  <c r="K276" i="40"/>
  <c r="L276" i="40"/>
  <c r="K277" i="40"/>
  <c r="L277" i="40"/>
  <c r="K278" i="40"/>
  <c r="L278" i="40"/>
  <c r="K279" i="40"/>
  <c r="L279" i="40"/>
  <c r="K280" i="40"/>
  <c r="L280" i="40"/>
  <c r="K281" i="40"/>
  <c r="L281" i="40"/>
  <c r="K282" i="40"/>
  <c r="L282" i="40"/>
  <c r="K283" i="40"/>
  <c r="L283" i="40"/>
  <c r="K284" i="40"/>
  <c r="L284" i="40"/>
  <c r="K285" i="40"/>
  <c r="L285" i="40"/>
  <c r="K286" i="40"/>
  <c r="L286" i="40"/>
  <c r="K287" i="40"/>
  <c r="L287" i="40"/>
  <c r="K288" i="40"/>
  <c r="L288" i="40"/>
  <c r="K289" i="40"/>
  <c r="L289" i="40"/>
  <c r="K290" i="40"/>
  <c r="L290" i="40"/>
  <c r="K291" i="40"/>
  <c r="L291" i="40"/>
  <c r="K292" i="40"/>
  <c r="L292" i="40"/>
  <c r="K293" i="40"/>
  <c r="L293" i="40"/>
  <c r="K294" i="40"/>
  <c r="L294" i="40"/>
  <c r="K295" i="40"/>
  <c r="L295" i="40"/>
  <c r="K296" i="40"/>
  <c r="L296" i="40"/>
  <c r="K297" i="40"/>
  <c r="L297" i="40"/>
  <c r="K298" i="40"/>
  <c r="L298" i="40"/>
  <c r="K299" i="40"/>
  <c r="L299" i="40"/>
  <c r="K300" i="40"/>
  <c r="L300" i="40"/>
  <c r="K301" i="40"/>
  <c r="L301" i="40"/>
  <c r="K302" i="40"/>
  <c r="L302" i="40"/>
  <c r="K303" i="40"/>
  <c r="L303" i="40"/>
  <c r="K304" i="40"/>
  <c r="L304" i="40"/>
  <c r="K305" i="40"/>
  <c r="L305" i="40"/>
  <c r="K306" i="40"/>
  <c r="L306" i="40"/>
  <c r="K307" i="40"/>
  <c r="L307" i="40"/>
  <c r="K308" i="40"/>
  <c r="L308" i="40"/>
  <c r="K309" i="40"/>
  <c r="L309" i="40"/>
  <c r="K310" i="40"/>
  <c r="L310" i="40"/>
  <c r="K311" i="40"/>
  <c r="L311" i="40"/>
  <c r="K312" i="40"/>
  <c r="L312" i="40"/>
  <c r="K313" i="40"/>
  <c r="L313" i="40"/>
  <c r="K314" i="40"/>
  <c r="L314" i="40"/>
  <c r="K315" i="40"/>
  <c r="L315" i="40"/>
  <c r="K316" i="40"/>
  <c r="L316" i="40"/>
  <c r="K317" i="40"/>
  <c r="L317" i="40"/>
  <c r="K318" i="40"/>
  <c r="L318" i="40"/>
  <c r="K319" i="40"/>
  <c r="L319" i="40"/>
  <c r="K320" i="40"/>
  <c r="L320" i="40"/>
  <c r="K321" i="40"/>
  <c r="L321" i="40"/>
  <c r="K322" i="40"/>
  <c r="L322" i="40"/>
  <c r="K323" i="40"/>
  <c r="L323" i="40"/>
  <c r="K324" i="40"/>
  <c r="L324" i="40"/>
  <c r="K325" i="40"/>
  <c r="L325" i="40"/>
  <c r="K326" i="40"/>
  <c r="L326" i="40"/>
  <c r="K327" i="40"/>
  <c r="L327" i="40"/>
  <c r="K328" i="40"/>
  <c r="L328" i="40"/>
  <c r="K329" i="40"/>
  <c r="L329" i="40"/>
  <c r="K330" i="40"/>
  <c r="L330" i="40"/>
  <c r="K331" i="40"/>
  <c r="L331" i="40"/>
  <c r="K332" i="40"/>
  <c r="L332" i="40"/>
  <c r="K333" i="40"/>
  <c r="L333" i="40"/>
  <c r="K334" i="40"/>
  <c r="L334" i="40"/>
  <c r="K335" i="40"/>
  <c r="L335" i="40"/>
  <c r="K336" i="40"/>
  <c r="L336" i="40"/>
  <c r="K337" i="40"/>
  <c r="L337" i="40"/>
  <c r="K338" i="40"/>
  <c r="L338" i="40"/>
  <c r="K339" i="40"/>
  <c r="L339" i="40"/>
  <c r="K340" i="40"/>
  <c r="L340" i="40"/>
  <c r="K341" i="40"/>
  <c r="L341" i="40"/>
  <c r="K342" i="40"/>
  <c r="L342" i="40"/>
  <c r="K343" i="40"/>
  <c r="L343" i="40"/>
  <c r="K344" i="40"/>
  <c r="L344" i="40"/>
  <c r="K345" i="40"/>
  <c r="L345" i="40"/>
  <c r="K346" i="40"/>
  <c r="L346" i="40"/>
  <c r="K347" i="40"/>
  <c r="L347" i="40"/>
  <c r="K348" i="40"/>
  <c r="L348" i="40"/>
  <c r="K349" i="40"/>
  <c r="L349" i="40"/>
  <c r="K350" i="40"/>
  <c r="L350" i="40"/>
  <c r="K351" i="40"/>
  <c r="L351" i="40"/>
  <c r="K352" i="40"/>
  <c r="L352" i="40"/>
  <c r="K353" i="40"/>
  <c r="L353" i="40"/>
  <c r="K354" i="40"/>
  <c r="L354" i="40"/>
  <c r="K355" i="40"/>
  <c r="L355" i="40"/>
  <c r="K356" i="40"/>
  <c r="L356" i="40"/>
  <c r="K357" i="40"/>
  <c r="L357" i="40"/>
  <c r="K358" i="40"/>
  <c r="L358" i="40"/>
  <c r="K359" i="40"/>
  <c r="L359" i="40"/>
  <c r="K360" i="40"/>
  <c r="L360" i="40"/>
  <c r="K361" i="40"/>
  <c r="L361" i="40"/>
  <c r="K362" i="40"/>
  <c r="L362" i="40"/>
  <c r="K363" i="40"/>
  <c r="L363" i="40"/>
  <c r="K364" i="40"/>
  <c r="L364" i="40"/>
  <c r="K365" i="40"/>
  <c r="L365" i="40"/>
  <c r="K366" i="40"/>
  <c r="L366" i="40"/>
  <c r="K367" i="40"/>
  <c r="L367" i="40"/>
  <c r="K368" i="40"/>
  <c r="L368" i="40"/>
  <c r="K369" i="40"/>
  <c r="L369" i="40"/>
  <c r="K370" i="40"/>
  <c r="L370" i="40"/>
  <c r="K371" i="40"/>
  <c r="L371" i="40"/>
  <c r="K372" i="40"/>
  <c r="L372" i="40"/>
  <c r="K373" i="40"/>
  <c r="L373" i="40"/>
  <c r="K374" i="40"/>
  <c r="L374" i="40"/>
  <c r="K375" i="40"/>
  <c r="L375" i="40"/>
  <c r="K376" i="40"/>
  <c r="L376" i="40"/>
  <c r="K377" i="40"/>
  <c r="L377" i="40"/>
  <c r="K378" i="40"/>
  <c r="L378" i="40"/>
  <c r="K379" i="40"/>
  <c r="L379" i="40"/>
  <c r="K380" i="40"/>
  <c r="L380" i="40"/>
  <c r="K381" i="40"/>
  <c r="L381" i="40"/>
  <c r="K382" i="40"/>
  <c r="L382" i="40"/>
  <c r="K383" i="40"/>
  <c r="L383" i="40"/>
  <c r="K384" i="40"/>
  <c r="L384" i="40"/>
  <c r="K385" i="40"/>
  <c r="L385" i="40"/>
  <c r="K386" i="40"/>
  <c r="L386" i="40"/>
  <c r="K387" i="40"/>
  <c r="L387" i="40"/>
  <c r="K388" i="40"/>
  <c r="L388" i="40"/>
  <c r="K389" i="40"/>
  <c r="L389" i="40"/>
  <c r="K390" i="40"/>
  <c r="L390" i="40"/>
  <c r="K391" i="40"/>
  <c r="L391" i="40"/>
  <c r="K392" i="40"/>
  <c r="L392" i="40"/>
  <c r="K393" i="40"/>
  <c r="L393" i="40"/>
  <c r="K394" i="40"/>
  <c r="L394" i="40"/>
  <c r="K395" i="40"/>
  <c r="L395" i="40"/>
  <c r="K396" i="40"/>
  <c r="L396" i="40"/>
  <c r="K397" i="40"/>
  <c r="L397" i="40"/>
  <c r="K398" i="40"/>
  <c r="L398" i="40"/>
  <c r="K399" i="40"/>
  <c r="L399" i="40"/>
  <c r="K400" i="40"/>
  <c r="L400" i="40"/>
  <c r="K401" i="40"/>
  <c r="L401" i="40"/>
  <c r="K402" i="40"/>
  <c r="L402" i="40"/>
  <c r="K403" i="40"/>
  <c r="L403" i="40"/>
  <c r="K404" i="40"/>
  <c r="L404" i="40"/>
  <c r="K405" i="40"/>
  <c r="L405" i="40"/>
  <c r="K406" i="40"/>
  <c r="L406" i="40"/>
  <c r="K407" i="40"/>
  <c r="L407" i="40"/>
  <c r="K408" i="40"/>
  <c r="L408" i="40"/>
  <c r="K409" i="40"/>
  <c r="L409" i="40"/>
  <c r="K410" i="40"/>
  <c r="L410" i="40"/>
  <c r="K411" i="40"/>
  <c r="L411" i="40"/>
  <c r="K412" i="40"/>
  <c r="L412" i="40"/>
  <c r="K413" i="40"/>
  <c r="L413" i="40"/>
  <c r="K414" i="40"/>
  <c r="L414" i="40"/>
  <c r="K415" i="40"/>
  <c r="L415" i="40"/>
  <c r="K416" i="40"/>
  <c r="L416" i="40"/>
  <c r="K417" i="40"/>
  <c r="L417" i="40"/>
  <c r="K418" i="40"/>
  <c r="L418" i="40"/>
  <c r="K419" i="40"/>
  <c r="L419" i="40"/>
  <c r="K420" i="40"/>
  <c r="L420" i="40"/>
  <c r="K421" i="40"/>
  <c r="L421" i="40"/>
  <c r="K422" i="40"/>
  <c r="L422" i="40"/>
  <c r="K423" i="40"/>
  <c r="L423" i="40"/>
  <c r="K424" i="40"/>
  <c r="L424" i="40"/>
  <c r="K425" i="40"/>
  <c r="L425" i="40"/>
  <c r="K426" i="40"/>
  <c r="L426" i="40"/>
  <c r="K427" i="40"/>
  <c r="L427" i="40"/>
  <c r="K428" i="40"/>
  <c r="L428" i="40"/>
  <c r="K429" i="40"/>
  <c r="L429" i="40"/>
  <c r="K430" i="40"/>
  <c r="L430" i="40"/>
  <c r="K431" i="40"/>
  <c r="L431" i="40"/>
  <c r="K432" i="40"/>
  <c r="L432" i="40"/>
  <c r="K433" i="40"/>
  <c r="L433" i="40"/>
  <c r="K434" i="40"/>
  <c r="L434" i="40"/>
  <c r="K435" i="40"/>
  <c r="L435" i="40"/>
  <c r="K436" i="40"/>
  <c r="L436" i="40"/>
  <c r="K437" i="40"/>
  <c r="L437" i="40"/>
  <c r="K438" i="40"/>
  <c r="L438" i="40"/>
  <c r="K439" i="40"/>
  <c r="L439" i="40"/>
  <c r="K440" i="40"/>
  <c r="L440" i="40"/>
  <c r="K441" i="40"/>
  <c r="L441" i="40"/>
  <c r="K442" i="40"/>
  <c r="L442" i="40"/>
  <c r="K443" i="40"/>
  <c r="L443" i="40"/>
  <c r="K444" i="40"/>
  <c r="L444" i="40"/>
  <c r="K445" i="40"/>
  <c r="L445" i="40"/>
  <c r="K446" i="40"/>
  <c r="L446" i="40"/>
  <c r="K447" i="40"/>
  <c r="L447" i="40"/>
  <c r="K448" i="40"/>
  <c r="L448" i="40"/>
  <c r="K449" i="40"/>
  <c r="L449" i="40"/>
  <c r="K450" i="40"/>
  <c r="L450" i="40"/>
  <c r="K451" i="40"/>
  <c r="L451" i="40"/>
  <c r="K452" i="40"/>
  <c r="L452" i="40"/>
  <c r="K453" i="40"/>
  <c r="L453" i="40"/>
  <c r="K454" i="40"/>
  <c r="L454" i="40"/>
  <c r="K455" i="40"/>
  <c r="L455" i="40"/>
  <c r="K456" i="40"/>
  <c r="L456" i="40"/>
  <c r="K457" i="40"/>
  <c r="L457" i="40"/>
  <c r="K458" i="40"/>
  <c r="L458" i="40"/>
  <c r="K459" i="40"/>
  <c r="L459" i="40"/>
  <c r="K460" i="40"/>
  <c r="L460" i="40"/>
  <c r="K461" i="40"/>
  <c r="L461" i="40"/>
  <c r="K462" i="40"/>
  <c r="L462" i="40"/>
  <c r="K463" i="40"/>
  <c r="L463" i="40"/>
  <c r="K464" i="40"/>
  <c r="L464" i="40"/>
  <c r="K465" i="40"/>
  <c r="L465" i="40"/>
  <c r="K466" i="40"/>
  <c r="L466" i="40"/>
  <c r="K467" i="40"/>
  <c r="L467" i="40"/>
  <c r="K468" i="40"/>
  <c r="L468" i="40"/>
  <c r="K469" i="40"/>
  <c r="L469" i="40"/>
  <c r="K470" i="40"/>
  <c r="L470" i="40"/>
  <c r="K471" i="40"/>
  <c r="L471" i="40"/>
  <c r="K472" i="40"/>
  <c r="L472" i="40"/>
  <c r="K473" i="40"/>
  <c r="L473" i="40"/>
  <c r="K474" i="40"/>
  <c r="L474" i="40"/>
  <c r="K475" i="40"/>
  <c r="L475" i="40"/>
  <c r="K476" i="40"/>
  <c r="L476" i="40"/>
  <c r="K477" i="40"/>
  <c r="L477" i="40"/>
  <c r="K478" i="40"/>
  <c r="L478" i="40"/>
  <c r="K479" i="40"/>
  <c r="L479" i="40"/>
  <c r="K480" i="40"/>
  <c r="L480" i="40"/>
  <c r="K481" i="40"/>
  <c r="L481" i="40"/>
  <c r="K482" i="40"/>
  <c r="L482" i="40"/>
  <c r="K483" i="40"/>
  <c r="L483" i="40"/>
  <c r="K484" i="40"/>
  <c r="L484" i="40"/>
  <c r="K485" i="40"/>
  <c r="L485" i="40"/>
  <c r="K486" i="40"/>
  <c r="L486" i="40"/>
  <c r="K487" i="40"/>
  <c r="L487" i="40"/>
  <c r="K488" i="40"/>
  <c r="L488" i="40"/>
  <c r="K489" i="40"/>
  <c r="L489" i="40"/>
  <c r="K490" i="40"/>
  <c r="L490" i="40"/>
  <c r="K491" i="40"/>
  <c r="L491" i="40"/>
  <c r="K492" i="40"/>
  <c r="L492" i="40"/>
  <c r="K493" i="40"/>
  <c r="L493" i="40"/>
  <c r="K494" i="40"/>
  <c r="L494" i="40"/>
  <c r="K495" i="40"/>
  <c r="L495" i="40"/>
  <c r="K496" i="40"/>
  <c r="L496" i="40"/>
  <c r="K497" i="40"/>
  <c r="L497" i="40"/>
  <c r="K498" i="40"/>
  <c r="L498" i="40"/>
  <c r="K499" i="40"/>
  <c r="L499" i="40"/>
  <c r="K500" i="40"/>
  <c r="L500" i="40"/>
  <c r="K501" i="40"/>
  <c r="L501" i="40"/>
  <c r="K502" i="40"/>
  <c r="L502" i="40"/>
  <c r="K503" i="40"/>
  <c r="L503" i="40"/>
  <c r="K504" i="40"/>
  <c r="L504" i="40"/>
  <c r="K505" i="40"/>
  <c r="L505" i="40"/>
  <c r="K506" i="40"/>
  <c r="L506" i="40"/>
  <c r="K507" i="40"/>
  <c r="L507" i="40"/>
  <c r="K508" i="40"/>
  <c r="L508" i="40"/>
  <c r="K509" i="40"/>
  <c r="L509" i="40"/>
  <c r="K510" i="40"/>
  <c r="L510" i="40"/>
  <c r="K511" i="40"/>
  <c r="L511" i="40"/>
  <c r="K512" i="40"/>
  <c r="L512" i="40"/>
  <c r="K513" i="40"/>
  <c r="L513" i="40"/>
  <c r="K514" i="40"/>
  <c r="L514" i="40"/>
  <c r="K515" i="40"/>
  <c r="L515" i="40"/>
  <c r="K516" i="40"/>
  <c r="L516" i="40"/>
  <c r="K517" i="40"/>
  <c r="L517" i="40"/>
  <c r="K518" i="40"/>
  <c r="L518" i="40"/>
  <c r="K519" i="40"/>
  <c r="L519" i="40"/>
  <c r="K520" i="40"/>
  <c r="L520" i="40"/>
  <c r="K521" i="40"/>
  <c r="L521" i="40"/>
  <c r="K522" i="40"/>
  <c r="L522" i="40"/>
  <c r="K523" i="40"/>
  <c r="L523" i="40"/>
  <c r="K524" i="40"/>
  <c r="L524" i="40"/>
  <c r="K525" i="40"/>
  <c r="L525" i="40"/>
  <c r="K526" i="40"/>
  <c r="L526" i="40"/>
  <c r="K527" i="40"/>
  <c r="L527" i="40"/>
  <c r="K528" i="40"/>
  <c r="L528" i="40"/>
  <c r="K529" i="40"/>
  <c r="L529" i="40"/>
  <c r="K530" i="40"/>
  <c r="L530" i="40"/>
  <c r="K531" i="40"/>
  <c r="L531" i="40"/>
  <c r="K532" i="40"/>
  <c r="L532" i="40"/>
  <c r="K533" i="40"/>
  <c r="L533" i="40"/>
  <c r="K534" i="40"/>
  <c r="L534" i="40"/>
  <c r="K535" i="40"/>
  <c r="L535" i="40"/>
  <c r="K536" i="40"/>
  <c r="L536" i="40"/>
  <c r="K537" i="40"/>
  <c r="L537" i="40"/>
  <c r="K538" i="40"/>
  <c r="L538" i="40"/>
  <c r="K539" i="40"/>
  <c r="L539" i="40"/>
  <c r="K540" i="40"/>
  <c r="L540" i="40"/>
  <c r="K541" i="40"/>
  <c r="L541" i="40"/>
  <c r="K542" i="40"/>
  <c r="L542" i="40"/>
  <c r="K543" i="40"/>
  <c r="L543" i="40"/>
  <c r="K544" i="40"/>
  <c r="L544" i="40"/>
  <c r="K545" i="40"/>
  <c r="L545" i="40"/>
  <c r="K546" i="40"/>
  <c r="L546" i="40"/>
  <c r="K547" i="40"/>
  <c r="L547" i="40"/>
  <c r="K548" i="40"/>
  <c r="L548" i="40"/>
  <c r="K549" i="40"/>
  <c r="L549" i="40"/>
  <c r="K550" i="40"/>
  <c r="L550" i="40"/>
  <c r="K551" i="40"/>
  <c r="L551" i="40"/>
  <c r="K552" i="40"/>
  <c r="L552" i="40"/>
  <c r="K553" i="40"/>
  <c r="L553" i="40"/>
  <c r="K554" i="40"/>
  <c r="L554" i="40"/>
  <c r="K555" i="40"/>
  <c r="L555" i="40"/>
  <c r="K556" i="40"/>
  <c r="L556" i="40"/>
  <c r="K557" i="40"/>
  <c r="L557" i="40"/>
  <c r="K558" i="40"/>
  <c r="L558" i="40"/>
  <c r="K559" i="40"/>
  <c r="L559" i="40"/>
  <c r="K560" i="40"/>
  <c r="L560" i="40"/>
  <c r="K561" i="40"/>
  <c r="L561" i="40"/>
  <c r="K562" i="40"/>
  <c r="L562" i="40"/>
  <c r="K563" i="40"/>
  <c r="L563" i="40"/>
  <c r="K564" i="40"/>
  <c r="L564" i="40"/>
  <c r="K565" i="40"/>
  <c r="L565" i="40"/>
  <c r="K566" i="40"/>
  <c r="L566" i="40"/>
  <c r="K567" i="40"/>
  <c r="L567" i="40"/>
  <c r="K568" i="40"/>
  <c r="L568" i="40"/>
  <c r="K569" i="40"/>
  <c r="L569" i="40"/>
  <c r="K570" i="40"/>
  <c r="L570" i="40"/>
  <c r="K571" i="40"/>
  <c r="L571" i="40"/>
  <c r="K572" i="40"/>
  <c r="L572" i="40"/>
  <c r="K573" i="40"/>
  <c r="L573" i="40"/>
  <c r="K574" i="40"/>
  <c r="L574" i="40"/>
  <c r="K575" i="40"/>
  <c r="L575" i="40"/>
  <c r="K576" i="40"/>
  <c r="L576" i="40"/>
  <c r="K577" i="40"/>
  <c r="L577" i="40"/>
  <c r="K578" i="40"/>
  <c r="L578" i="40"/>
  <c r="K579" i="40"/>
  <c r="L579" i="40"/>
  <c r="K580" i="40"/>
  <c r="L580" i="40"/>
  <c r="K581" i="40"/>
  <c r="L581" i="40"/>
  <c r="K582" i="40"/>
  <c r="L582" i="40"/>
  <c r="K583" i="40"/>
  <c r="L583" i="40"/>
  <c r="K584" i="40"/>
  <c r="L584" i="40"/>
  <c r="K585" i="40"/>
  <c r="L585" i="40"/>
  <c r="K586" i="40"/>
  <c r="L586" i="40"/>
  <c r="K587" i="40"/>
  <c r="L587" i="40"/>
  <c r="K588" i="40"/>
  <c r="L588" i="40"/>
  <c r="K589" i="40"/>
  <c r="L589" i="40"/>
  <c r="K590" i="40"/>
  <c r="L590" i="40"/>
  <c r="K591" i="40"/>
  <c r="L591" i="40"/>
  <c r="K592" i="40"/>
  <c r="L592" i="40"/>
  <c r="K593" i="40"/>
  <c r="L593" i="40"/>
  <c r="K594" i="40"/>
  <c r="L594" i="40"/>
  <c r="K595" i="40"/>
  <c r="L595" i="40"/>
  <c r="K596" i="40"/>
  <c r="L596" i="40"/>
  <c r="K597" i="40"/>
  <c r="L597" i="40"/>
  <c r="K598" i="40"/>
  <c r="L598" i="40"/>
  <c r="K599" i="40"/>
  <c r="L599" i="40"/>
  <c r="K600" i="40"/>
  <c r="L600" i="40"/>
  <c r="K601" i="40"/>
  <c r="L601" i="40"/>
  <c r="K602" i="40"/>
  <c r="L602" i="40"/>
  <c r="K603" i="40"/>
  <c r="L603" i="40"/>
  <c r="K604" i="40"/>
  <c r="L604" i="40"/>
  <c r="K605" i="40"/>
  <c r="L605" i="40"/>
  <c r="K606" i="40"/>
  <c r="L606" i="40"/>
  <c r="K607" i="40"/>
  <c r="L607" i="40"/>
  <c r="K608" i="40"/>
  <c r="L608" i="40"/>
  <c r="K609" i="40"/>
  <c r="L609" i="40"/>
  <c r="K610" i="40"/>
  <c r="L610" i="40"/>
  <c r="K611" i="40"/>
  <c r="L611" i="40"/>
  <c r="K612" i="40"/>
  <c r="L612" i="40"/>
  <c r="K613" i="40"/>
  <c r="L613" i="40"/>
  <c r="K614" i="40"/>
  <c r="L614" i="40"/>
  <c r="K615" i="40"/>
  <c r="L615" i="40"/>
  <c r="K616" i="40"/>
  <c r="L616" i="40"/>
  <c r="K617" i="40"/>
  <c r="L617" i="40"/>
  <c r="K618" i="40"/>
  <c r="L618" i="40"/>
  <c r="K619" i="40"/>
  <c r="L619" i="40"/>
  <c r="K620" i="40"/>
  <c r="L620" i="40"/>
  <c r="K621" i="40"/>
  <c r="L621" i="40"/>
  <c r="K622" i="40"/>
  <c r="L622" i="40"/>
  <c r="K623" i="40"/>
  <c r="L623" i="40"/>
  <c r="K624" i="40"/>
  <c r="L624" i="40"/>
  <c r="K625" i="40"/>
  <c r="L625" i="40"/>
  <c r="K626" i="40"/>
  <c r="L626" i="40"/>
  <c r="K627" i="40"/>
  <c r="L627" i="40"/>
  <c r="K628" i="40"/>
  <c r="L628" i="40"/>
  <c r="K629" i="40"/>
  <c r="L629" i="40"/>
  <c r="K630" i="40"/>
  <c r="L630" i="40"/>
  <c r="K631" i="40"/>
  <c r="L631" i="40"/>
  <c r="K632" i="40"/>
  <c r="L632" i="40"/>
  <c r="K633" i="40"/>
  <c r="L633" i="40"/>
  <c r="K634" i="40"/>
  <c r="L634" i="40"/>
  <c r="K635" i="40"/>
  <c r="L635" i="40"/>
  <c r="K636" i="40"/>
  <c r="L636" i="40"/>
  <c r="K637" i="40"/>
  <c r="L637" i="40"/>
  <c r="K638" i="40"/>
  <c r="L638" i="40"/>
  <c r="K639" i="40"/>
  <c r="L639" i="40"/>
  <c r="K640" i="40"/>
  <c r="L640" i="40"/>
  <c r="K641" i="40"/>
  <c r="L641" i="40"/>
  <c r="K642" i="40"/>
  <c r="L642" i="40"/>
  <c r="K643" i="40"/>
  <c r="L643" i="40"/>
  <c r="K644" i="40"/>
  <c r="L644" i="40"/>
  <c r="K645" i="40"/>
  <c r="L645" i="40"/>
  <c r="K646" i="40"/>
  <c r="L646" i="40"/>
  <c r="K647" i="40"/>
  <c r="L647" i="40"/>
  <c r="K648" i="40"/>
  <c r="L648" i="40"/>
  <c r="K649" i="40"/>
  <c r="L649" i="40"/>
  <c r="K650" i="40"/>
  <c r="L650" i="40"/>
  <c r="K651" i="40"/>
  <c r="L651" i="40"/>
  <c r="K652" i="40"/>
  <c r="L652" i="40"/>
  <c r="K653" i="40"/>
  <c r="L653" i="40"/>
  <c r="K654" i="40"/>
  <c r="L654" i="40"/>
  <c r="K655" i="40"/>
  <c r="L655" i="40"/>
  <c r="K656" i="40"/>
  <c r="L656" i="40"/>
  <c r="K657" i="40"/>
  <c r="L657" i="40"/>
  <c r="K658" i="40"/>
  <c r="L658" i="40"/>
  <c r="K659" i="40"/>
  <c r="L659" i="40"/>
  <c r="K660" i="40"/>
  <c r="L660" i="40"/>
  <c r="K661" i="40"/>
  <c r="L661" i="40"/>
  <c r="K662" i="40"/>
  <c r="L662" i="40"/>
  <c r="K663" i="40"/>
  <c r="L663" i="40"/>
  <c r="K664" i="40"/>
  <c r="L664" i="40"/>
  <c r="K665" i="40"/>
  <c r="L665" i="40"/>
  <c r="K666" i="40"/>
  <c r="L666" i="40"/>
  <c r="K667" i="40"/>
  <c r="L667" i="40"/>
  <c r="K668" i="40"/>
  <c r="L668" i="40"/>
  <c r="K669" i="40"/>
  <c r="L669" i="40"/>
  <c r="K670" i="40"/>
  <c r="L670" i="40"/>
  <c r="K671" i="40"/>
  <c r="L671" i="40"/>
  <c r="K672" i="40"/>
  <c r="L672" i="40"/>
  <c r="K673" i="40"/>
  <c r="L673" i="40"/>
  <c r="K674" i="40"/>
  <c r="L674" i="40"/>
  <c r="K675" i="40"/>
  <c r="L675" i="40"/>
  <c r="K676" i="40"/>
  <c r="L676" i="40"/>
  <c r="K677" i="40"/>
  <c r="L677" i="40"/>
  <c r="K678" i="40"/>
  <c r="L678" i="40"/>
  <c r="K679" i="40"/>
  <c r="L679" i="40"/>
  <c r="K680" i="40"/>
  <c r="L680" i="40"/>
  <c r="K681" i="40"/>
  <c r="L681" i="40"/>
  <c r="K682" i="40"/>
  <c r="L682" i="40"/>
  <c r="K683" i="40"/>
  <c r="L683" i="40"/>
  <c r="K684" i="40"/>
  <c r="L684" i="40"/>
  <c r="K685" i="40"/>
  <c r="L685" i="40"/>
  <c r="K686" i="40"/>
  <c r="L686" i="40"/>
  <c r="K687" i="40"/>
  <c r="L687" i="40"/>
  <c r="K688" i="40"/>
  <c r="L688" i="40"/>
  <c r="K689" i="40"/>
  <c r="L689" i="40"/>
  <c r="K690" i="40"/>
  <c r="L690" i="40"/>
  <c r="K691" i="40"/>
  <c r="L691" i="40"/>
  <c r="K692" i="40"/>
  <c r="L692" i="40"/>
  <c r="K693" i="40"/>
  <c r="L693" i="40"/>
  <c r="K694" i="40"/>
  <c r="L694" i="40"/>
  <c r="K695" i="40"/>
  <c r="L695" i="40"/>
  <c r="K696" i="40"/>
  <c r="L696" i="40"/>
  <c r="K697" i="40"/>
  <c r="L697" i="40"/>
  <c r="K698" i="40"/>
  <c r="L698" i="40"/>
  <c r="K699" i="40"/>
  <c r="L699" i="40"/>
  <c r="K700" i="40"/>
  <c r="L700" i="40"/>
  <c r="K701" i="40"/>
  <c r="L701" i="40"/>
  <c r="K702" i="40"/>
  <c r="L702" i="40"/>
  <c r="K703" i="40"/>
  <c r="L703" i="40"/>
  <c r="K704" i="40"/>
  <c r="L704" i="40"/>
  <c r="K705" i="40"/>
  <c r="L705" i="40"/>
  <c r="K706" i="40"/>
  <c r="L706" i="40"/>
  <c r="K707" i="40"/>
  <c r="L707" i="40"/>
  <c r="K708" i="40"/>
  <c r="L708" i="40"/>
  <c r="K709" i="40"/>
  <c r="L709" i="40"/>
  <c r="K710" i="40"/>
  <c r="L710" i="40"/>
  <c r="K711" i="40"/>
  <c r="L711" i="40"/>
  <c r="K712" i="40"/>
  <c r="L712" i="40"/>
  <c r="K713" i="40"/>
  <c r="L713" i="40"/>
  <c r="K714" i="40"/>
  <c r="L714" i="40"/>
  <c r="K715" i="40"/>
  <c r="L715" i="40"/>
  <c r="K716" i="40"/>
  <c r="L716" i="40"/>
  <c r="K717" i="40"/>
  <c r="L717" i="40"/>
  <c r="K718" i="40"/>
  <c r="L718" i="40"/>
  <c r="K719" i="40"/>
  <c r="L719" i="40"/>
  <c r="K720" i="40"/>
  <c r="L720" i="40"/>
  <c r="K721" i="40"/>
  <c r="L721" i="40"/>
  <c r="K722" i="40"/>
  <c r="L722" i="40"/>
  <c r="K723" i="40"/>
  <c r="L723" i="40"/>
  <c r="K724" i="40"/>
  <c r="L724" i="40"/>
  <c r="K725" i="40"/>
  <c r="L725" i="40"/>
  <c r="K726" i="40"/>
  <c r="L726" i="40"/>
  <c r="K727" i="40"/>
  <c r="L727" i="40"/>
  <c r="K728" i="40"/>
  <c r="L728" i="40"/>
  <c r="K729" i="40"/>
  <c r="L729" i="40"/>
  <c r="K730" i="40"/>
  <c r="L730" i="40"/>
  <c r="K731" i="40"/>
  <c r="L731" i="40"/>
  <c r="K732" i="40"/>
  <c r="L732" i="40"/>
  <c r="K733" i="40"/>
  <c r="L733" i="40"/>
  <c r="K734" i="40"/>
  <c r="L734" i="40"/>
  <c r="K735" i="40"/>
  <c r="L735" i="40"/>
  <c r="K736" i="40"/>
  <c r="L736" i="40"/>
  <c r="K737" i="40"/>
  <c r="L737" i="40"/>
  <c r="K738" i="40"/>
  <c r="L738" i="40"/>
  <c r="K739" i="40"/>
  <c r="L739" i="40"/>
  <c r="K740" i="40"/>
  <c r="L740" i="40"/>
  <c r="K741" i="40"/>
  <c r="L741" i="40"/>
  <c r="K742" i="40"/>
  <c r="L742" i="40"/>
  <c r="K743" i="40"/>
  <c r="L743" i="40"/>
  <c r="K744" i="40"/>
  <c r="L744" i="40"/>
  <c r="K745" i="40"/>
  <c r="L745" i="40"/>
  <c r="K746" i="40"/>
  <c r="L746" i="40"/>
  <c r="K747" i="40"/>
  <c r="L747" i="40"/>
  <c r="K748" i="40"/>
  <c r="L748" i="40"/>
  <c r="K749" i="40"/>
  <c r="L749" i="40"/>
  <c r="K750" i="40"/>
  <c r="L750" i="40"/>
  <c r="K751" i="40"/>
  <c r="L751" i="40"/>
  <c r="K752" i="40"/>
  <c r="L752" i="40"/>
  <c r="K753" i="40"/>
  <c r="L753" i="40"/>
  <c r="K754" i="40"/>
  <c r="L754" i="40"/>
  <c r="K755" i="40"/>
  <c r="L755" i="40"/>
  <c r="K756" i="40"/>
  <c r="L756" i="40"/>
  <c r="K757" i="40"/>
  <c r="L757" i="40"/>
  <c r="K758" i="40"/>
  <c r="L758" i="40"/>
  <c r="K759" i="40"/>
  <c r="L759" i="40"/>
  <c r="K760" i="40"/>
  <c r="L760" i="40"/>
  <c r="K761" i="40"/>
  <c r="L761" i="40"/>
  <c r="K762" i="40"/>
  <c r="L762" i="40"/>
  <c r="K763" i="40"/>
  <c r="L763" i="40"/>
  <c r="K764" i="40"/>
  <c r="L764" i="40"/>
  <c r="K765" i="40"/>
  <c r="L765" i="40"/>
  <c r="K766" i="40"/>
  <c r="L766" i="40"/>
  <c r="K767" i="40"/>
  <c r="L767" i="40"/>
  <c r="K768" i="40"/>
  <c r="L768" i="40"/>
  <c r="K769" i="40"/>
  <c r="L769" i="40"/>
  <c r="K770" i="40"/>
  <c r="L770" i="40"/>
  <c r="K771" i="40"/>
  <c r="L771" i="40"/>
  <c r="K772" i="40"/>
  <c r="L772" i="40"/>
  <c r="K773" i="40"/>
  <c r="L773" i="40"/>
  <c r="K774" i="40"/>
  <c r="L774" i="40"/>
  <c r="K775" i="40"/>
  <c r="L775" i="40"/>
  <c r="K776" i="40"/>
  <c r="L776" i="40"/>
  <c r="K777" i="40"/>
  <c r="L777" i="40"/>
  <c r="K778" i="40"/>
  <c r="L778" i="40"/>
  <c r="K779" i="40"/>
  <c r="L779" i="40"/>
  <c r="K780" i="40"/>
  <c r="L780" i="40"/>
  <c r="K781" i="40"/>
  <c r="L781" i="40"/>
  <c r="K782" i="40"/>
  <c r="L782" i="40"/>
  <c r="K783" i="40"/>
  <c r="L783" i="40"/>
  <c r="K784" i="40"/>
  <c r="L784" i="40"/>
  <c r="K785" i="40"/>
  <c r="L785" i="40"/>
  <c r="K786" i="40"/>
  <c r="L786" i="40"/>
  <c r="K787" i="40"/>
  <c r="L787" i="40"/>
  <c r="K788" i="40"/>
  <c r="L788" i="40"/>
  <c r="K789" i="40"/>
  <c r="L789" i="40"/>
  <c r="K790" i="40"/>
  <c r="L790" i="40"/>
  <c r="K791" i="40"/>
  <c r="L791" i="40"/>
  <c r="K792" i="40"/>
  <c r="L792" i="40"/>
  <c r="K793" i="40"/>
  <c r="L793" i="40"/>
  <c r="K794" i="40"/>
  <c r="L794" i="40"/>
  <c r="K795" i="40"/>
  <c r="L795" i="40"/>
  <c r="K796" i="40"/>
  <c r="L796" i="40"/>
  <c r="K797" i="40"/>
  <c r="L797" i="40"/>
  <c r="K798" i="40"/>
  <c r="L798" i="40"/>
  <c r="K799" i="40"/>
  <c r="L799" i="40"/>
  <c r="K800" i="40"/>
  <c r="L800" i="40"/>
  <c r="K801" i="40"/>
  <c r="L801" i="40"/>
  <c r="K802" i="40"/>
  <c r="L802" i="40"/>
  <c r="K803" i="40"/>
  <c r="L803" i="40"/>
  <c r="K804" i="40"/>
  <c r="L804" i="40"/>
  <c r="K805" i="40"/>
  <c r="L805" i="40"/>
  <c r="K806" i="40"/>
  <c r="L806" i="40"/>
  <c r="K807" i="40"/>
  <c r="L807" i="40"/>
  <c r="K808" i="40"/>
  <c r="L808" i="40"/>
  <c r="K809" i="40"/>
  <c r="L809" i="40"/>
  <c r="K810" i="40"/>
  <c r="L810" i="40"/>
  <c r="K811" i="40"/>
  <c r="L811" i="40"/>
  <c r="K812" i="40"/>
  <c r="L812" i="40"/>
  <c r="K813" i="40"/>
  <c r="L813" i="40"/>
  <c r="K814" i="40"/>
  <c r="L814" i="40"/>
  <c r="K815" i="40"/>
  <c r="L815" i="40"/>
  <c r="K816" i="40"/>
  <c r="L816" i="40"/>
  <c r="K817" i="40"/>
  <c r="L817" i="40"/>
  <c r="K818" i="40"/>
  <c r="L818" i="40"/>
  <c r="K819" i="40"/>
  <c r="L819" i="40"/>
  <c r="K820" i="40"/>
  <c r="L820" i="40"/>
  <c r="K821" i="40"/>
  <c r="L821" i="40"/>
  <c r="K822" i="40"/>
  <c r="L822" i="40"/>
  <c r="K823" i="40"/>
  <c r="L823" i="40"/>
  <c r="K824" i="40"/>
  <c r="L824" i="40"/>
  <c r="K825" i="40"/>
  <c r="L825" i="40"/>
  <c r="K826" i="40"/>
  <c r="L826" i="40"/>
  <c r="K827" i="40"/>
  <c r="L827" i="40"/>
  <c r="K828" i="40"/>
  <c r="L828" i="40"/>
  <c r="K829" i="40"/>
  <c r="L829" i="40"/>
  <c r="K830" i="40"/>
  <c r="L830" i="40"/>
  <c r="K831" i="40"/>
  <c r="L831" i="40"/>
  <c r="K832" i="40"/>
  <c r="L832" i="40"/>
  <c r="K833" i="40"/>
  <c r="L833" i="40"/>
  <c r="K834" i="40"/>
  <c r="L834" i="40"/>
  <c r="K835" i="40"/>
  <c r="L835" i="40"/>
  <c r="K836" i="40"/>
  <c r="L836" i="40"/>
  <c r="K837" i="40"/>
  <c r="L837" i="40"/>
  <c r="K838" i="40"/>
  <c r="L838" i="40"/>
  <c r="K839" i="40"/>
  <c r="L839" i="40"/>
  <c r="K840" i="40"/>
  <c r="L840" i="40"/>
  <c r="K841" i="40"/>
  <c r="L841" i="40"/>
  <c r="K842" i="40"/>
  <c r="L842" i="40"/>
  <c r="K843" i="40"/>
  <c r="L843" i="40"/>
  <c r="K844" i="40"/>
  <c r="L844" i="40"/>
  <c r="K845" i="40"/>
  <c r="L845" i="40"/>
  <c r="K846" i="40"/>
  <c r="L846" i="40"/>
  <c r="K847" i="40"/>
  <c r="L847" i="40"/>
  <c r="K848" i="40"/>
  <c r="L848" i="40"/>
  <c r="K849" i="40"/>
  <c r="L849" i="40"/>
  <c r="K850" i="40"/>
  <c r="L850" i="40"/>
  <c r="K851" i="40"/>
  <c r="L851" i="40"/>
  <c r="K852" i="40"/>
  <c r="L852" i="40"/>
  <c r="K853" i="40"/>
  <c r="L853" i="40"/>
  <c r="K854" i="40"/>
  <c r="L854" i="40"/>
  <c r="K855" i="40"/>
  <c r="L855" i="40"/>
  <c r="K856" i="40"/>
  <c r="L856" i="40"/>
  <c r="K857" i="40"/>
  <c r="L857" i="40"/>
  <c r="K858" i="40"/>
  <c r="L858" i="40"/>
  <c r="K859" i="40"/>
  <c r="L859" i="40"/>
  <c r="K860" i="40"/>
  <c r="L860" i="40"/>
  <c r="K861" i="40"/>
  <c r="L861" i="40"/>
  <c r="K862" i="40"/>
  <c r="L862" i="40"/>
  <c r="K863" i="40"/>
  <c r="L863" i="40"/>
  <c r="K864" i="40"/>
  <c r="L864" i="40"/>
  <c r="K865" i="40"/>
  <c r="L865" i="40"/>
  <c r="K866" i="40"/>
  <c r="L866" i="40"/>
  <c r="K867" i="40"/>
  <c r="L867" i="40"/>
  <c r="K868" i="40"/>
  <c r="L868" i="40"/>
  <c r="K869" i="40"/>
  <c r="L869" i="40"/>
  <c r="K870" i="40"/>
  <c r="L870" i="40"/>
  <c r="K871" i="40"/>
  <c r="L871" i="40"/>
  <c r="K872" i="40"/>
  <c r="L872" i="40"/>
  <c r="K873" i="40"/>
  <c r="L873" i="40"/>
  <c r="K874" i="40"/>
  <c r="L874" i="40"/>
  <c r="K875" i="40"/>
  <c r="L875" i="40"/>
  <c r="K876" i="40"/>
  <c r="L876" i="40"/>
  <c r="K877" i="40"/>
  <c r="L877" i="40"/>
  <c r="K878" i="40"/>
  <c r="L878" i="40"/>
  <c r="K879" i="40"/>
  <c r="L879" i="40"/>
  <c r="K880" i="40"/>
  <c r="L880" i="40"/>
  <c r="K881" i="40"/>
  <c r="L881" i="40"/>
  <c r="K882" i="40"/>
  <c r="L882" i="40"/>
  <c r="K883" i="40"/>
  <c r="L883" i="40"/>
  <c r="K884" i="40"/>
  <c r="L884" i="40"/>
  <c r="K885" i="40"/>
  <c r="L885" i="40"/>
  <c r="K886" i="40"/>
  <c r="L886" i="40"/>
  <c r="K887" i="40"/>
  <c r="L887" i="40"/>
  <c r="K888" i="40"/>
  <c r="L888" i="40"/>
  <c r="K889" i="40"/>
  <c r="L889" i="40"/>
  <c r="K890" i="40"/>
  <c r="L890" i="40"/>
  <c r="K891" i="40"/>
  <c r="L891" i="40"/>
  <c r="K892" i="40"/>
  <c r="L892" i="40"/>
  <c r="K893" i="40"/>
  <c r="L893" i="40"/>
  <c r="K894" i="40"/>
  <c r="L894" i="40"/>
  <c r="K895" i="40"/>
  <c r="L895" i="40"/>
  <c r="K896" i="40"/>
  <c r="L896" i="40"/>
  <c r="K897" i="40"/>
  <c r="L897" i="40"/>
  <c r="K898" i="40"/>
  <c r="L898" i="40"/>
  <c r="K899" i="40"/>
  <c r="L899" i="40"/>
  <c r="K900" i="40"/>
  <c r="L900" i="40"/>
  <c r="K901" i="40"/>
  <c r="L901" i="40"/>
  <c r="K902" i="40"/>
  <c r="L902" i="40"/>
  <c r="K903" i="40"/>
  <c r="L903" i="40"/>
  <c r="K904" i="40"/>
  <c r="L904" i="40"/>
  <c r="K905" i="40"/>
  <c r="L905" i="40"/>
  <c r="K906" i="40"/>
  <c r="L906" i="40"/>
  <c r="K907" i="40"/>
  <c r="L907" i="40"/>
  <c r="K908" i="40"/>
  <c r="L908" i="40"/>
  <c r="K909" i="40"/>
  <c r="L909" i="40"/>
  <c r="K910" i="40"/>
  <c r="L910" i="40"/>
  <c r="K911" i="40"/>
  <c r="L911" i="40"/>
  <c r="K912" i="40"/>
  <c r="L912" i="40"/>
  <c r="K913" i="40"/>
  <c r="L913" i="40"/>
  <c r="K914" i="40"/>
  <c r="L914" i="40"/>
  <c r="K915" i="40"/>
  <c r="L915" i="40"/>
  <c r="K916" i="40"/>
  <c r="L916" i="40"/>
  <c r="K917" i="40"/>
  <c r="L917" i="40"/>
  <c r="K918" i="40"/>
  <c r="L918" i="40"/>
  <c r="K919" i="40"/>
  <c r="L919" i="40"/>
  <c r="K920" i="40"/>
  <c r="L920" i="40"/>
  <c r="K921" i="40"/>
  <c r="L921" i="40"/>
  <c r="K922" i="40"/>
  <c r="L922" i="40"/>
  <c r="K923" i="40"/>
  <c r="L923" i="40"/>
  <c r="K924" i="40"/>
  <c r="L924" i="40"/>
  <c r="K925" i="40"/>
  <c r="L925" i="40"/>
  <c r="K926" i="40"/>
  <c r="L926" i="40"/>
  <c r="K927" i="40"/>
  <c r="L927" i="40"/>
  <c r="K928" i="40"/>
  <c r="L928" i="40"/>
  <c r="K929" i="40"/>
  <c r="L929" i="40"/>
  <c r="K930" i="40"/>
  <c r="L930" i="40"/>
  <c r="K931" i="40"/>
  <c r="L931" i="40"/>
  <c r="K932" i="40"/>
  <c r="L932" i="40"/>
  <c r="K933" i="40"/>
  <c r="L933" i="40"/>
  <c r="K934" i="40"/>
  <c r="L934" i="40"/>
  <c r="K935" i="40"/>
  <c r="L935" i="40"/>
  <c r="K936" i="40"/>
  <c r="L936" i="40"/>
  <c r="K937" i="40"/>
  <c r="L937" i="40"/>
  <c r="K938" i="40"/>
  <c r="L938" i="40"/>
  <c r="K939" i="40"/>
  <c r="L939" i="40"/>
  <c r="K940" i="40"/>
  <c r="L940" i="40"/>
  <c r="K941" i="40"/>
  <c r="L941" i="40"/>
  <c r="K942" i="40"/>
  <c r="L942" i="40"/>
  <c r="K943" i="40"/>
  <c r="L943" i="40"/>
  <c r="K944" i="40"/>
  <c r="L944" i="40"/>
  <c r="K945" i="40"/>
  <c r="L945" i="40"/>
  <c r="K946" i="40"/>
  <c r="L946" i="40"/>
  <c r="K947" i="40"/>
  <c r="L947" i="40"/>
  <c r="K948" i="40"/>
  <c r="L948" i="40"/>
  <c r="K949" i="40"/>
  <c r="L949" i="40"/>
  <c r="K950" i="40"/>
  <c r="L950" i="40"/>
  <c r="K951" i="40"/>
  <c r="L951" i="40"/>
  <c r="K952" i="40"/>
  <c r="L952" i="40"/>
  <c r="K953" i="40"/>
  <c r="L953" i="40"/>
  <c r="K954" i="40"/>
  <c r="L954" i="40"/>
  <c r="K955" i="40"/>
  <c r="L955" i="40"/>
  <c r="K956" i="40"/>
  <c r="L956" i="40"/>
  <c r="K957" i="40"/>
  <c r="L957" i="40"/>
  <c r="K958" i="40"/>
  <c r="L958" i="40"/>
  <c r="K959" i="40"/>
  <c r="L959" i="40"/>
  <c r="K960" i="40"/>
  <c r="L960" i="40"/>
  <c r="K961" i="40"/>
  <c r="L961" i="40"/>
  <c r="K962" i="40"/>
  <c r="L962" i="40"/>
  <c r="K963" i="40"/>
  <c r="L963" i="40"/>
  <c r="K964" i="40"/>
  <c r="L964" i="40"/>
  <c r="K965" i="40"/>
  <c r="L965" i="40"/>
  <c r="K966" i="40"/>
  <c r="L966" i="40"/>
  <c r="K967" i="40"/>
  <c r="L967" i="40"/>
  <c r="K968" i="40"/>
  <c r="L968" i="40"/>
  <c r="K969" i="40"/>
  <c r="L969" i="40"/>
  <c r="K970" i="40"/>
  <c r="L970" i="40"/>
  <c r="K971" i="40"/>
  <c r="L971" i="40"/>
  <c r="K972" i="40"/>
  <c r="L972" i="40"/>
  <c r="K973" i="40"/>
  <c r="L973" i="40"/>
  <c r="K974" i="40"/>
  <c r="L974" i="40"/>
  <c r="K975" i="40"/>
  <c r="L975" i="40"/>
  <c r="K976" i="40"/>
  <c r="L976" i="40"/>
  <c r="K977" i="40"/>
  <c r="L977" i="40"/>
  <c r="K978" i="40"/>
  <c r="L978" i="40"/>
  <c r="K979" i="40"/>
  <c r="L979" i="40"/>
  <c r="K980" i="40"/>
  <c r="L980" i="40"/>
  <c r="K981" i="40"/>
  <c r="L981" i="40"/>
  <c r="K982" i="40"/>
  <c r="L982" i="40"/>
  <c r="K983" i="40"/>
  <c r="L983" i="40"/>
  <c r="K984" i="40"/>
  <c r="L984" i="40"/>
  <c r="K985" i="40"/>
  <c r="L985" i="40"/>
  <c r="K986" i="40"/>
  <c r="L986" i="40"/>
  <c r="K987" i="40"/>
  <c r="L987" i="40"/>
  <c r="K988" i="40"/>
  <c r="L988" i="40"/>
  <c r="K989" i="40"/>
  <c r="L989" i="40"/>
  <c r="K990" i="40"/>
  <c r="L990" i="40"/>
  <c r="K991" i="40"/>
  <c r="L991" i="40"/>
  <c r="K992" i="40"/>
  <c r="L992" i="40"/>
  <c r="K993" i="40"/>
  <c r="L993" i="40"/>
  <c r="K994" i="40"/>
  <c r="L994" i="40"/>
  <c r="K995" i="40"/>
  <c r="L995" i="40"/>
  <c r="K996" i="40"/>
  <c r="L996" i="40"/>
  <c r="K997" i="40"/>
  <c r="L997" i="40"/>
  <c r="K998" i="40"/>
  <c r="L998" i="40"/>
  <c r="K999" i="40"/>
  <c r="L999" i="40"/>
  <c r="K1000" i="40"/>
  <c r="L1000" i="40"/>
  <c r="J24" i="33"/>
  <c r="J25" i="33"/>
  <c r="J26" i="33"/>
  <c r="J27" i="33"/>
  <c r="J28" i="33"/>
  <c r="J29" i="33"/>
  <c r="J30" i="33"/>
  <c r="J31" i="33"/>
  <c r="J32" i="33"/>
  <c r="J33" i="33"/>
  <c r="J34" i="33"/>
  <c r="J35" i="33"/>
  <c r="J36" i="33"/>
  <c r="J37" i="33"/>
  <c r="J38" i="33"/>
  <c r="J39" i="33"/>
  <c r="J40" i="33"/>
  <c r="J41" i="33"/>
  <c r="J42" i="33"/>
  <c r="J43" i="33"/>
  <c r="J44" i="33"/>
  <c r="J45" i="33"/>
  <c r="J46" i="33"/>
  <c r="J47" i="33"/>
  <c r="J48" i="33"/>
  <c r="J49" i="33"/>
  <c r="J50" i="33"/>
  <c r="J51" i="33"/>
  <c r="J52" i="33"/>
  <c r="J53" i="33"/>
  <c r="J54" i="33"/>
  <c r="J55" i="33"/>
  <c r="J56" i="33"/>
  <c r="J57" i="33"/>
  <c r="J58" i="33"/>
  <c r="J59" i="33"/>
  <c r="J60" i="33"/>
  <c r="J61" i="33"/>
  <c r="J62" i="33"/>
  <c r="J63" i="33"/>
  <c r="J64" i="33"/>
  <c r="J65" i="33"/>
  <c r="J66" i="33"/>
  <c r="J67" i="33"/>
  <c r="J68" i="33"/>
  <c r="J69" i="33"/>
  <c r="J70" i="33"/>
  <c r="J71" i="33"/>
  <c r="J72" i="33"/>
  <c r="J73" i="33"/>
  <c r="J74" i="33"/>
  <c r="J75" i="33"/>
  <c r="J76" i="33"/>
  <c r="J77" i="33"/>
  <c r="J78" i="33"/>
  <c r="J79" i="33"/>
  <c r="J80" i="33"/>
  <c r="J81" i="33"/>
  <c r="J82" i="33"/>
  <c r="J83" i="33"/>
  <c r="J84" i="33"/>
  <c r="J85" i="33"/>
  <c r="J86" i="33"/>
  <c r="J87" i="33"/>
  <c r="J88" i="33"/>
  <c r="J89" i="33"/>
  <c r="J90" i="33"/>
  <c r="J91" i="33"/>
  <c r="J92" i="33"/>
  <c r="J93" i="33"/>
  <c r="J94" i="33"/>
  <c r="J95" i="33"/>
  <c r="J96" i="33"/>
  <c r="J97" i="33"/>
  <c r="J98" i="33"/>
  <c r="J99" i="33"/>
  <c r="J100" i="33"/>
  <c r="J101" i="33"/>
  <c r="J102" i="33"/>
  <c r="J103" i="33"/>
  <c r="J104" i="33"/>
  <c r="J105" i="33"/>
  <c r="J106" i="33"/>
  <c r="J107" i="33"/>
  <c r="J108" i="33"/>
  <c r="J109" i="33"/>
  <c r="J110" i="33"/>
  <c r="J111" i="33"/>
  <c r="J112" i="33"/>
  <c r="J113" i="33"/>
  <c r="J114" i="33"/>
  <c r="J115" i="33"/>
  <c r="J116" i="33"/>
  <c r="J117" i="33"/>
  <c r="J118" i="33"/>
  <c r="J119" i="33"/>
  <c r="J120" i="33"/>
  <c r="J121" i="33"/>
  <c r="J122" i="33"/>
  <c r="J123" i="33"/>
  <c r="J124" i="33"/>
  <c r="J125" i="33"/>
  <c r="J126" i="33"/>
  <c r="J127" i="33"/>
  <c r="J128" i="33"/>
  <c r="J129" i="33"/>
  <c r="J130" i="33"/>
  <c r="J131" i="33"/>
  <c r="J132" i="33"/>
  <c r="J133" i="33"/>
  <c r="J134" i="33"/>
  <c r="J135" i="33"/>
  <c r="J136" i="33"/>
  <c r="J137" i="33"/>
  <c r="J138" i="33"/>
  <c r="J139" i="33"/>
  <c r="J140" i="33"/>
  <c r="J141" i="33"/>
  <c r="J142" i="33"/>
  <c r="J143" i="33"/>
  <c r="J144" i="33"/>
  <c r="J145" i="33"/>
  <c r="J146" i="33"/>
  <c r="J147" i="33"/>
  <c r="J148" i="33"/>
  <c r="J149" i="33"/>
  <c r="J150" i="33"/>
  <c r="J151" i="33"/>
  <c r="J152" i="33"/>
  <c r="J153" i="33"/>
  <c r="J154" i="33"/>
  <c r="J155" i="33"/>
  <c r="J156" i="33"/>
  <c r="J157" i="33"/>
  <c r="J158" i="33"/>
  <c r="J159" i="33"/>
  <c r="J160" i="33"/>
  <c r="J161" i="33"/>
  <c r="J162" i="33"/>
  <c r="J163" i="33"/>
  <c r="J164" i="33"/>
  <c r="J165" i="33"/>
  <c r="J166" i="33"/>
  <c r="J167" i="33"/>
  <c r="J168" i="33"/>
  <c r="J169" i="33"/>
  <c r="J170" i="33"/>
  <c r="J171" i="33"/>
  <c r="J172" i="33"/>
  <c r="J173" i="33"/>
  <c r="J174" i="33"/>
  <c r="J175" i="33"/>
  <c r="J176" i="33"/>
  <c r="J177" i="33"/>
  <c r="J178" i="33"/>
  <c r="J179" i="33"/>
  <c r="J180" i="33"/>
  <c r="J181" i="33"/>
  <c r="J182" i="33"/>
  <c r="J183" i="33"/>
  <c r="J184" i="33"/>
  <c r="J185" i="33"/>
  <c r="J186" i="33"/>
  <c r="J187" i="33"/>
  <c r="J188" i="33"/>
  <c r="J189" i="33"/>
  <c r="J190" i="33"/>
  <c r="J191" i="33"/>
  <c r="J192" i="33"/>
  <c r="J193" i="33"/>
  <c r="J194" i="33"/>
  <c r="J195" i="33"/>
  <c r="J196" i="33"/>
  <c r="J197" i="33"/>
  <c r="J198" i="33"/>
  <c r="J199" i="33"/>
  <c r="J200" i="33"/>
  <c r="J201" i="33"/>
  <c r="J202" i="33"/>
  <c r="J203" i="33"/>
  <c r="J204" i="33"/>
  <c r="J205" i="33"/>
  <c r="J206" i="33"/>
  <c r="J207" i="33"/>
  <c r="J208" i="33"/>
  <c r="J209" i="33"/>
  <c r="J210" i="33"/>
  <c r="J211" i="33"/>
  <c r="J212" i="33"/>
  <c r="J213" i="33"/>
  <c r="J214" i="33"/>
  <c r="J215" i="33"/>
  <c r="J216" i="33"/>
  <c r="J217" i="33"/>
  <c r="J218" i="33"/>
  <c r="J219" i="33"/>
  <c r="J220" i="33"/>
  <c r="J221" i="33"/>
  <c r="J222" i="33"/>
  <c r="J223" i="33"/>
  <c r="J224" i="33"/>
  <c r="J225" i="33"/>
  <c r="J226" i="33"/>
  <c r="J227" i="33"/>
  <c r="J228" i="33"/>
  <c r="J229" i="33"/>
  <c r="J230" i="33"/>
  <c r="J231" i="33"/>
  <c r="J232" i="33"/>
  <c r="J233" i="33"/>
  <c r="J234" i="33"/>
  <c r="J235" i="33"/>
  <c r="J236" i="33"/>
  <c r="J237" i="33"/>
  <c r="J238" i="33"/>
  <c r="J239" i="33"/>
  <c r="J240" i="33"/>
  <c r="J241" i="33"/>
  <c r="J242" i="33"/>
  <c r="J243" i="33"/>
  <c r="J244" i="33"/>
  <c r="J245" i="33"/>
  <c r="J246" i="33"/>
  <c r="J247" i="33"/>
  <c r="J248" i="33"/>
  <c r="J249" i="33"/>
  <c r="J250" i="33"/>
  <c r="J251" i="33"/>
  <c r="J252" i="33"/>
  <c r="J253" i="33"/>
  <c r="J254" i="33"/>
  <c r="J255" i="33"/>
  <c r="J256" i="33"/>
  <c r="J257" i="33"/>
  <c r="J258" i="33"/>
  <c r="J259" i="33"/>
  <c r="J260" i="33"/>
  <c r="J261" i="33"/>
  <c r="J262" i="33"/>
  <c r="J263" i="33"/>
  <c r="J264" i="33"/>
  <c r="J265" i="33"/>
  <c r="J266" i="33"/>
  <c r="J267" i="33"/>
  <c r="J268" i="33"/>
  <c r="J269" i="33"/>
  <c r="J270" i="33"/>
  <c r="J271" i="33"/>
  <c r="J272" i="33"/>
  <c r="J273" i="33"/>
  <c r="J274" i="33"/>
  <c r="J275" i="33"/>
  <c r="J276" i="33"/>
  <c r="J277" i="33"/>
  <c r="J278" i="33"/>
  <c r="J279" i="33"/>
  <c r="J280" i="33"/>
  <c r="J281" i="33"/>
  <c r="J282" i="33"/>
  <c r="J283" i="33"/>
  <c r="J284" i="33"/>
  <c r="J285" i="33"/>
  <c r="J286" i="33"/>
  <c r="J287" i="33"/>
  <c r="J288" i="33"/>
  <c r="J289" i="33"/>
  <c r="J290" i="33"/>
  <c r="J291" i="33"/>
  <c r="J292" i="33"/>
  <c r="J293" i="33"/>
  <c r="J294" i="33"/>
  <c r="J295" i="33"/>
  <c r="J296" i="33"/>
  <c r="J297" i="33"/>
  <c r="J298" i="33"/>
  <c r="J299" i="33"/>
  <c r="J300" i="33"/>
  <c r="J301" i="33"/>
  <c r="J302" i="33"/>
  <c r="J303" i="33"/>
  <c r="J304" i="33"/>
  <c r="J305" i="33"/>
  <c r="J306" i="33"/>
  <c r="J307" i="33"/>
  <c r="J308" i="33"/>
  <c r="J309" i="33"/>
  <c r="J310" i="33"/>
  <c r="J311" i="33"/>
  <c r="J312" i="33"/>
  <c r="J313" i="33"/>
  <c r="J314" i="33"/>
  <c r="J315" i="33"/>
  <c r="J316" i="33"/>
  <c r="J317" i="33"/>
  <c r="J318" i="33"/>
  <c r="J319" i="33"/>
  <c r="J320" i="33"/>
  <c r="J321" i="33"/>
  <c r="J322" i="33"/>
  <c r="J323" i="33"/>
  <c r="J324" i="33"/>
  <c r="J325" i="33"/>
  <c r="J326" i="33"/>
  <c r="J327" i="33"/>
  <c r="J328" i="33"/>
  <c r="J329" i="33"/>
  <c r="J330" i="33"/>
  <c r="J331" i="33"/>
  <c r="J332" i="33"/>
  <c r="J333" i="33"/>
  <c r="J334" i="33"/>
  <c r="J335" i="33"/>
  <c r="J336" i="33"/>
  <c r="J337" i="33"/>
  <c r="J338" i="33"/>
  <c r="J339" i="33"/>
  <c r="J340" i="33"/>
  <c r="J341" i="33"/>
  <c r="J342" i="33"/>
  <c r="J343" i="33"/>
  <c r="J344" i="33"/>
  <c r="J345" i="33"/>
  <c r="J346" i="33"/>
  <c r="J347" i="33"/>
  <c r="J348" i="33"/>
  <c r="J349" i="33"/>
  <c r="J350" i="33"/>
  <c r="J351" i="33"/>
  <c r="J352" i="33"/>
  <c r="J353" i="33"/>
  <c r="J354" i="33"/>
  <c r="J355" i="33"/>
  <c r="J356" i="33"/>
  <c r="J357" i="33"/>
  <c r="J358" i="33"/>
  <c r="J359" i="33"/>
  <c r="J360" i="33"/>
  <c r="J361" i="33"/>
  <c r="J362" i="33"/>
  <c r="J363" i="33"/>
  <c r="J364" i="33"/>
  <c r="J365" i="33"/>
  <c r="J366" i="33"/>
  <c r="J367" i="33"/>
  <c r="J368" i="33"/>
  <c r="J369" i="33"/>
  <c r="J370" i="33"/>
  <c r="J371" i="33"/>
  <c r="J372" i="33"/>
  <c r="J373" i="33"/>
  <c r="J374" i="33"/>
  <c r="J375" i="33"/>
  <c r="J376" i="33"/>
  <c r="J377" i="33"/>
  <c r="J378" i="33"/>
  <c r="J379" i="33"/>
  <c r="J380" i="33"/>
  <c r="J381" i="33"/>
  <c r="J382" i="33"/>
  <c r="J383" i="33"/>
  <c r="J384" i="33"/>
  <c r="J385" i="33"/>
  <c r="J386" i="33"/>
  <c r="J387" i="33"/>
  <c r="J388" i="33"/>
  <c r="J389" i="33"/>
  <c r="J390" i="33"/>
  <c r="J391" i="33"/>
  <c r="J392" i="33"/>
  <c r="J393" i="33"/>
  <c r="J394" i="33"/>
  <c r="J395" i="33"/>
  <c r="J396" i="33"/>
  <c r="J397" i="33"/>
  <c r="J398" i="33"/>
  <c r="J399" i="33"/>
  <c r="J400" i="33"/>
  <c r="J401" i="33"/>
  <c r="J402" i="33"/>
  <c r="J403" i="33"/>
  <c r="J404" i="33"/>
  <c r="J405" i="33"/>
  <c r="J406" i="33"/>
  <c r="J407" i="33"/>
  <c r="J408" i="33"/>
  <c r="J409" i="33"/>
  <c r="J410" i="33"/>
  <c r="J411" i="33"/>
  <c r="J412" i="33"/>
  <c r="J413" i="33"/>
  <c r="J414" i="33"/>
  <c r="J415" i="33"/>
  <c r="J416" i="33"/>
  <c r="J417" i="33"/>
  <c r="J418" i="33"/>
  <c r="J419" i="33"/>
  <c r="J420" i="33"/>
  <c r="J421" i="33"/>
  <c r="J422" i="33"/>
  <c r="J423" i="33"/>
  <c r="J424" i="33"/>
  <c r="J425" i="33"/>
  <c r="J426" i="33"/>
  <c r="J427" i="33"/>
  <c r="J428" i="33"/>
  <c r="J429" i="33"/>
  <c r="J430" i="33"/>
  <c r="J431" i="33"/>
  <c r="J432" i="33"/>
  <c r="J433" i="33"/>
  <c r="J434" i="33"/>
  <c r="J435" i="33"/>
  <c r="J436" i="33"/>
  <c r="J437" i="33"/>
  <c r="J438" i="33"/>
  <c r="J439" i="33"/>
  <c r="J440" i="33"/>
  <c r="J441" i="33"/>
  <c r="J442" i="33"/>
  <c r="J443" i="33"/>
  <c r="J444" i="33"/>
  <c r="J445" i="33"/>
  <c r="J446" i="33"/>
  <c r="J447" i="33"/>
  <c r="J448" i="33"/>
  <c r="J449" i="33"/>
  <c r="J450" i="33"/>
  <c r="J451" i="33"/>
  <c r="J452" i="33"/>
  <c r="J453" i="33"/>
  <c r="J454" i="33"/>
  <c r="J455" i="33"/>
  <c r="J456" i="33"/>
  <c r="J457" i="33"/>
  <c r="J458" i="33"/>
  <c r="J459" i="33"/>
  <c r="J460" i="33"/>
  <c r="J461" i="33"/>
  <c r="J462" i="33"/>
  <c r="J463" i="33"/>
  <c r="J464" i="33"/>
  <c r="J465" i="33"/>
  <c r="J466" i="33"/>
  <c r="J467" i="33"/>
  <c r="J468" i="33"/>
  <c r="J469" i="33"/>
  <c r="J470" i="33"/>
  <c r="J471" i="33"/>
  <c r="J472" i="33"/>
  <c r="J473" i="33"/>
  <c r="J474" i="33"/>
  <c r="J475" i="33"/>
  <c r="J476" i="33"/>
  <c r="J477" i="33"/>
  <c r="J478" i="33"/>
  <c r="J479" i="33"/>
  <c r="J480" i="33"/>
  <c r="J481" i="33"/>
  <c r="J482" i="33"/>
  <c r="J483" i="33"/>
  <c r="J484" i="33"/>
  <c r="J485" i="33"/>
  <c r="J486" i="33"/>
  <c r="J487" i="33"/>
  <c r="J488" i="33"/>
  <c r="J489" i="33"/>
  <c r="J490" i="33"/>
  <c r="J491" i="33"/>
  <c r="J492" i="33"/>
  <c r="J493" i="33"/>
  <c r="J494" i="33"/>
  <c r="J495" i="33"/>
  <c r="J496" i="33"/>
  <c r="J497" i="33"/>
  <c r="J498" i="33"/>
  <c r="J499" i="33"/>
  <c r="J500" i="33"/>
  <c r="J501" i="33"/>
  <c r="J502" i="33"/>
  <c r="J503" i="33"/>
  <c r="J504" i="33"/>
  <c r="J505" i="33"/>
  <c r="J506" i="33"/>
  <c r="J507" i="33"/>
  <c r="J508" i="33"/>
  <c r="J509" i="33"/>
  <c r="J510" i="33"/>
  <c r="J511" i="33"/>
  <c r="J512" i="33"/>
  <c r="J513" i="33"/>
  <c r="J514" i="33"/>
  <c r="J515" i="33"/>
  <c r="J516" i="33"/>
  <c r="J517" i="33"/>
  <c r="J518" i="33"/>
  <c r="J519" i="33"/>
  <c r="J520" i="33"/>
  <c r="J521" i="33"/>
  <c r="J522" i="33"/>
  <c r="J523" i="33"/>
  <c r="J524" i="33"/>
  <c r="J525" i="33"/>
  <c r="J526" i="33"/>
  <c r="J527" i="33"/>
  <c r="J528" i="33"/>
  <c r="J529" i="33"/>
  <c r="J530" i="33"/>
  <c r="J531" i="33"/>
  <c r="J532" i="33"/>
  <c r="J533" i="33"/>
  <c r="J534" i="33"/>
  <c r="J535" i="33"/>
  <c r="J536" i="33"/>
  <c r="J537" i="33"/>
  <c r="J538" i="33"/>
  <c r="J539" i="33"/>
  <c r="J540" i="33"/>
  <c r="J541" i="33"/>
  <c r="J542" i="33"/>
  <c r="J543" i="33"/>
  <c r="J544" i="33"/>
  <c r="J545" i="33"/>
  <c r="J546" i="33"/>
  <c r="J547" i="33"/>
  <c r="J548" i="33"/>
  <c r="J549" i="33"/>
  <c r="J550" i="33"/>
  <c r="J551" i="33"/>
  <c r="J552" i="33"/>
  <c r="J553" i="33"/>
  <c r="J554" i="33"/>
  <c r="J555" i="33"/>
  <c r="J556" i="33"/>
  <c r="J557" i="33"/>
  <c r="J558" i="33"/>
  <c r="J559" i="33"/>
  <c r="J560" i="33"/>
  <c r="J561" i="33"/>
  <c r="J562" i="33"/>
  <c r="J563" i="33"/>
  <c r="J564" i="33"/>
  <c r="J565" i="33"/>
  <c r="J566" i="33"/>
  <c r="J567" i="33"/>
  <c r="J568" i="33"/>
  <c r="J569" i="33"/>
  <c r="J570" i="33"/>
  <c r="J571" i="33"/>
  <c r="J572" i="33"/>
  <c r="J573" i="33"/>
  <c r="J574" i="33"/>
  <c r="J575" i="33"/>
  <c r="J576" i="33"/>
  <c r="J577" i="33"/>
  <c r="J578" i="33"/>
  <c r="J579" i="33"/>
  <c r="J580" i="33"/>
  <c r="J581" i="33"/>
  <c r="J582" i="33"/>
  <c r="J583" i="33"/>
  <c r="J584" i="33"/>
  <c r="J585" i="33"/>
  <c r="J586" i="33"/>
  <c r="J587" i="33"/>
  <c r="J588" i="33"/>
  <c r="J589" i="33"/>
  <c r="J590" i="33"/>
  <c r="J591" i="33"/>
  <c r="J592" i="33"/>
  <c r="J593" i="33"/>
  <c r="J594" i="33"/>
  <c r="J595" i="33"/>
  <c r="J596" i="33"/>
  <c r="J597" i="33"/>
  <c r="J598" i="33"/>
  <c r="J599" i="33"/>
  <c r="J600" i="33"/>
  <c r="J601" i="33"/>
  <c r="J602" i="33"/>
  <c r="J603" i="33"/>
  <c r="J604" i="33"/>
  <c r="J605" i="33"/>
  <c r="J606" i="33"/>
  <c r="J607" i="33"/>
  <c r="J608" i="33"/>
  <c r="J609" i="33"/>
  <c r="J610" i="33"/>
  <c r="J611" i="33"/>
  <c r="J612" i="33"/>
  <c r="J613" i="33"/>
  <c r="J614" i="33"/>
  <c r="J615" i="33"/>
  <c r="J616" i="33"/>
  <c r="J617" i="33"/>
  <c r="J618" i="33"/>
  <c r="J619" i="33"/>
  <c r="J620" i="33"/>
  <c r="J621" i="33"/>
  <c r="J622" i="33"/>
  <c r="J623" i="33"/>
  <c r="J624" i="33"/>
  <c r="J625" i="33"/>
  <c r="J626" i="33"/>
  <c r="J627" i="33"/>
  <c r="J628" i="33"/>
  <c r="J629" i="33"/>
  <c r="J630" i="33"/>
  <c r="J631" i="33"/>
  <c r="J632" i="33"/>
  <c r="J633" i="33"/>
  <c r="J634" i="33"/>
  <c r="J635" i="33"/>
  <c r="J636" i="33"/>
  <c r="J637" i="33"/>
  <c r="J638" i="33"/>
  <c r="J639" i="33"/>
  <c r="J640" i="33"/>
  <c r="J641" i="33"/>
  <c r="J642" i="33"/>
  <c r="J643" i="33"/>
  <c r="J644" i="33"/>
  <c r="J645" i="33"/>
  <c r="J646" i="33"/>
  <c r="J647" i="33"/>
  <c r="J648" i="33"/>
  <c r="J649" i="33"/>
  <c r="J650" i="33"/>
  <c r="J651" i="33"/>
  <c r="J652" i="33"/>
  <c r="J653" i="33"/>
  <c r="J654" i="33"/>
  <c r="J655" i="33"/>
  <c r="J656" i="33"/>
  <c r="J657" i="33"/>
  <c r="J658" i="33"/>
  <c r="J659" i="33"/>
  <c r="J660" i="33"/>
  <c r="J661" i="33"/>
  <c r="J662" i="33"/>
  <c r="J663" i="33"/>
  <c r="J664" i="33"/>
  <c r="J665" i="33"/>
  <c r="J666" i="33"/>
  <c r="J667" i="33"/>
  <c r="J668" i="33"/>
  <c r="J669" i="33"/>
  <c r="J670" i="33"/>
  <c r="J671" i="33"/>
  <c r="J672" i="33"/>
  <c r="J673" i="33"/>
  <c r="J674" i="33"/>
  <c r="J675" i="33"/>
  <c r="J676" i="33"/>
  <c r="J677" i="33"/>
  <c r="J678" i="33"/>
  <c r="J679" i="33"/>
  <c r="J680" i="33"/>
  <c r="J681" i="33"/>
  <c r="J682" i="33"/>
  <c r="J683" i="33"/>
  <c r="J684" i="33"/>
  <c r="J685" i="33"/>
  <c r="J686" i="33"/>
  <c r="J687" i="33"/>
  <c r="J688" i="33"/>
  <c r="J689" i="33"/>
  <c r="J690" i="33"/>
  <c r="J691" i="33"/>
  <c r="J692" i="33"/>
  <c r="J693" i="33"/>
  <c r="J694" i="33"/>
  <c r="J695" i="33"/>
  <c r="J696" i="33"/>
  <c r="J697" i="33"/>
  <c r="J698" i="33"/>
  <c r="J699" i="33"/>
  <c r="J700" i="33"/>
  <c r="J701" i="33"/>
  <c r="J702" i="33"/>
  <c r="J703" i="33"/>
  <c r="J704" i="33"/>
  <c r="J705" i="33"/>
  <c r="J706" i="33"/>
  <c r="J707" i="33"/>
  <c r="J708" i="33"/>
  <c r="J709" i="33"/>
  <c r="J710" i="33"/>
  <c r="J711" i="33"/>
  <c r="J712" i="33"/>
  <c r="J713" i="33"/>
  <c r="J714" i="33"/>
  <c r="J715" i="33"/>
  <c r="J716" i="33"/>
  <c r="J717" i="33"/>
  <c r="J718" i="33"/>
  <c r="J719" i="33"/>
  <c r="J720" i="33"/>
  <c r="J721" i="33"/>
  <c r="J722" i="33"/>
  <c r="J723" i="33"/>
  <c r="J724" i="33"/>
  <c r="J725" i="33"/>
  <c r="J726" i="33"/>
  <c r="J727" i="33"/>
  <c r="J728" i="33"/>
  <c r="J729" i="33"/>
  <c r="J730" i="33"/>
  <c r="J731" i="33"/>
  <c r="J732" i="33"/>
  <c r="J733" i="33"/>
  <c r="J734" i="33"/>
  <c r="J735" i="33"/>
  <c r="J736" i="33"/>
  <c r="J737" i="33"/>
  <c r="J738" i="33"/>
  <c r="J739" i="33"/>
  <c r="J740" i="33"/>
  <c r="J741" i="33"/>
  <c r="J742" i="33"/>
  <c r="J743" i="33"/>
  <c r="J744" i="33"/>
  <c r="J745" i="33"/>
  <c r="J746" i="33"/>
  <c r="J747" i="33"/>
  <c r="J748" i="33"/>
  <c r="J749" i="33"/>
  <c r="J750" i="33"/>
  <c r="J751" i="33"/>
  <c r="J752" i="33"/>
  <c r="J753" i="33"/>
  <c r="J754" i="33"/>
  <c r="J755" i="33"/>
  <c r="J756" i="33"/>
  <c r="J757" i="33"/>
  <c r="J758" i="33"/>
  <c r="J759" i="33"/>
  <c r="J760" i="33"/>
  <c r="J761" i="33"/>
  <c r="J762" i="33"/>
  <c r="J763" i="33"/>
  <c r="J764" i="33"/>
  <c r="J765" i="33"/>
  <c r="J766" i="33"/>
  <c r="J767" i="33"/>
  <c r="J768" i="33"/>
  <c r="J769" i="33"/>
  <c r="J770" i="33"/>
  <c r="J771" i="33"/>
  <c r="J772" i="33"/>
  <c r="J773" i="33"/>
  <c r="J774" i="33"/>
  <c r="J775" i="33"/>
  <c r="J776" i="33"/>
  <c r="J777" i="33"/>
  <c r="J778" i="33"/>
  <c r="J779" i="33"/>
  <c r="J780" i="33"/>
  <c r="J781" i="33"/>
  <c r="J782" i="33"/>
  <c r="J783" i="33"/>
  <c r="J784" i="33"/>
  <c r="J785" i="33"/>
  <c r="J786" i="33"/>
  <c r="J787" i="33"/>
  <c r="J788" i="33"/>
  <c r="J789" i="33"/>
  <c r="J790" i="33"/>
  <c r="J791" i="33"/>
  <c r="J792" i="33"/>
  <c r="J793" i="33"/>
  <c r="J794" i="33"/>
  <c r="J795" i="33"/>
  <c r="J796" i="33"/>
  <c r="J797" i="33"/>
  <c r="J798" i="33"/>
  <c r="J799" i="33"/>
  <c r="J800" i="33"/>
  <c r="J801" i="33"/>
  <c r="J802" i="33"/>
  <c r="J803" i="33"/>
  <c r="J804" i="33"/>
  <c r="J805" i="33"/>
  <c r="J806" i="33"/>
  <c r="J807" i="33"/>
  <c r="J808" i="33"/>
  <c r="J809" i="33"/>
  <c r="J810" i="33"/>
  <c r="J811" i="33"/>
  <c r="J812" i="33"/>
  <c r="J813" i="33"/>
  <c r="J814" i="33"/>
  <c r="J815" i="33"/>
  <c r="J816" i="33"/>
  <c r="J817" i="33"/>
  <c r="J818" i="33"/>
  <c r="J819" i="33"/>
  <c r="J820" i="33"/>
  <c r="J821" i="33"/>
  <c r="J822" i="33"/>
  <c r="J823" i="33"/>
  <c r="J824" i="33"/>
  <c r="J825" i="33"/>
  <c r="J826" i="33"/>
  <c r="J827" i="33"/>
  <c r="J828" i="33"/>
  <c r="J829" i="33"/>
  <c r="J830" i="33"/>
  <c r="J831" i="33"/>
  <c r="J832" i="33"/>
  <c r="J833" i="33"/>
  <c r="J834" i="33"/>
  <c r="J835" i="33"/>
  <c r="J836" i="33"/>
  <c r="J837" i="33"/>
  <c r="J838" i="33"/>
  <c r="J839" i="33"/>
  <c r="J840" i="33"/>
  <c r="J841" i="33"/>
  <c r="J842" i="33"/>
  <c r="J843" i="33"/>
  <c r="J844" i="33"/>
  <c r="J845" i="33"/>
  <c r="J846" i="33"/>
  <c r="J847" i="33"/>
  <c r="J848" i="33"/>
  <c r="J849" i="33"/>
  <c r="J850" i="33"/>
  <c r="J851" i="33"/>
  <c r="J852" i="33"/>
  <c r="J853" i="33"/>
  <c r="J854" i="33"/>
  <c r="J855" i="33"/>
  <c r="J856" i="33"/>
  <c r="J857" i="33"/>
  <c r="J858" i="33"/>
  <c r="J859" i="33"/>
  <c r="J860" i="33"/>
  <c r="J861" i="33"/>
  <c r="J862" i="33"/>
  <c r="J863" i="33"/>
  <c r="J864" i="33"/>
  <c r="J865" i="33"/>
  <c r="J866" i="33"/>
  <c r="J867" i="33"/>
  <c r="J868" i="33"/>
  <c r="J869" i="33"/>
  <c r="J870" i="33"/>
  <c r="J871" i="33"/>
  <c r="J872" i="33"/>
  <c r="J873" i="33"/>
  <c r="J874" i="33"/>
  <c r="J875" i="33"/>
  <c r="J876" i="33"/>
  <c r="J877" i="33"/>
  <c r="J878" i="33"/>
  <c r="J879" i="33"/>
  <c r="J880" i="33"/>
  <c r="J881" i="33"/>
  <c r="J882" i="33"/>
  <c r="J883" i="33"/>
  <c r="J884" i="33"/>
  <c r="J885" i="33"/>
  <c r="J886" i="33"/>
  <c r="J887" i="33"/>
  <c r="J888" i="33"/>
  <c r="J889" i="33"/>
  <c r="J890" i="33"/>
  <c r="J891" i="33"/>
  <c r="J892" i="33"/>
  <c r="J893" i="33"/>
  <c r="J894" i="33"/>
  <c r="J895" i="33"/>
  <c r="J896" i="33"/>
  <c r="J897" i="33"/>
  <c r="J898" i="33"/>
  <c r="J899" i="33"/>
  <c r="J900" i="33"/>
  <c r="J901" i="33"/>
  <c r="J902" i="33"/>
  <c r="J903" i="33"/>
  <c r="J904" i="33"/>
  <c r="J905" i="33"/>
  <c r="J906" i="33"/>
  <c r="J907" i="33"/>
  <c r="J908" i="33"/>
  <c r="J909" i="33"/>
  <c r="J910" i="33"/>
  <c r="J911" i="33"/>
  <c r="J912" i="33"/>
  <c r="J913" i="33"/>
  <c r="J914" i="33"/>
  <c r="J915" i="33"/>
  <c r="J916" i="33"/>
  <c r="J917" i="33"/>
  <c r="J918" i="33"/>
  <c r="J919" i="33"/>
  <c r="J920" i="33"/>
  <c r="J921" i="33"/>
  <c r="J922" i="33"/>
  <c r="J923" i="33"/>
  <c r="J924" i="33"/>
  <c r="J925" i="33"/>
  <c r="J926" i="33"/>
  <c r="J927" i="33"/>
  <c r="J928" i="33"/>
  <c r="J929" i="33"/>
  <c r="J930" i="33"/>
  <c r="J931" i="33"/>
  <c r="J932" i="33"/>
  <c r="J933" i="33"/>
  <c r="J934" i="33"/>
  <c r="J935" i="33"/>
  <c r="J936" i="33"/>
  <c r="J937" i="33"/>
  <c r="J938" i="33"/>
  <c r="J939" i="33"/>
  <c r="J940" i="33"/>
  <c r="J941" i="33"/>
  <c r="J942" i="33"/>
  <c r="J943" i="33"/>
  <c r="J944" i="33"/>
  <c r="J945" i="33"/>
  <c r="J946" i="33"/>
  <c r="J947" i="33"/>
  <c r="J948" i="33"/>
  <c r="J949" i="33"/>
  <c r="J950" i="33"/>
  <c r="J951" i="33"/>
  <c r="J952" i="33"/>
  <c r="J953" i="33"/>
  <c r="J954" i="33"/>
  <c r="J955" i="33"/>
  <c r="J956" i="33"/>
  <c r="J957" i="33"/>
  <c r="J958" i="33"/>
  <c r="J959" i="33"/>
  <c r="J960" i="33"/>
  <c r="J961" i="33"/>
  <c r="J962" i="33"/>
  <c r="J963" i="33"/>
  <c r="J964" i="33"/>
  <c r="J965" i="33"/>
  <c r="J966" i="33"/>
  <c r="J967" i="33"/>
  <c r="J968" i="33"/>
  <c r="J969" i="33"/>
  <c r="J970" i="33"/>
  <c r="J971" i="33"/>
  <c r="J972" i="33"/>
  <c r="J973" i="33"/>
  <c r="J974" i="33"/>
  <c r="J975" i="33"/>
  <c r="J976" i="33"/>
  <c r="J977" i="33"/>
  <c r="J978" i="33"/>
  <c r="J979" i="33"/>
  <c r="J980" i="33"/>
  <c r="J981" i="33"/>
  <c r="J982" i="33"/>
  <c r="J983" i="33"/>
  <c r="J984" i="33"/>
  <c r="J985" i="33"/>
  <c r="J986" i="33"/>
  <c r="J987" i="33"/>
  <c r="J988" i="33"/>
  <c r="J989" i="33"/>
  <c r="J990" i="33"/>
  <c r="J991" i="33"/>
  <c r="J992" i="33"/>
  <c r="J993" i="33"/>
  <c r="J994" i="33"/>
  <c r="J995" i="33"/>
  <c r="J996" i="33"/>
  <c r="J997" i="33"/>
  <c r="J998" i="33"/>
  <c r="J999" i="33"/>
  <c r="J1001" i="33"/>
  <c r="J1002" i="33"/>
  <c r="J1003" i="33"/>
  <c r="J1004" i="33"/>
  <c r="J1005" i="33"/>
  <c r="J1006" i="3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385" i="23"/>
  <c r="J386" i="23"/>
  <c r="J387" i="23"/>
  <c r="J388" i="23"/>
  <c r="J389" i="23"/>
  <c r="J390" i="23"/>
  <c r="J391" i="23"/>
  <c r="J392" i="23"/>
  <c r="J393" i="23"/>
  <c r="J394" i="23"/>
  <c r="J395" i="23"/>
  <c r="J396" i="23"/>
  <c r="J397" i="23"/>
  <c r="J398" i="23"/>
  <c r="J399" i="23"/>
  <c r="J400" i="23"/>
  <c r="J401" i="23"/>
  <c r="J402" i="23"/>
  <c r="J403" i="23"/>
  <c r="J404" i="23"/>
  <c r="J405" i="23"/>
  <c r="J406" i="23"/>
  <c r="J407" i="23"/>
  <c r="J408" i="23"/>
  <c r="J409" i="23"/>
  <c r="J410" i="23"/>
  <c r="J411" i="23"/>
  <c r="J412" i="23"/>
  <c r="J413" i="23"/>
  <c r="J414" i="23"/>
  <c r="J415" i="23"/>
  <c r="J416" i="23"/>
  <c r="J417" i="23"/>
  <c r="J418" i="23"/>
  <c r="J419" i="23"/>
  <c r="J420" i="23"/>
  <c r="J421" i="23"/>
  <c r="J422" i="23"/>
  <c r="J423" i="23"/>
  <c r="J424" i="23"/>
  <c r="J425" i="23"/>
  <c r="J426" i="23"/>
  <c r="J427" i="23"/>
  <c r="J428" i="23"/>
  <c r="J429" i="23"/>
  <c r="J430" i="23"/>
  <c r="J431" i="23"/>
  <c r="J432" i="23"/>
  <c r="J433" i="23"/>
  <c r="J434" i="23"/>
  <c r="J435" i="23"/>
  <c r="J436" i="23"/>
  <c r="J437" i="23"/>
  <c r="J438" i="23"/>
  <c r="J439" i="23"/>
  <c r="J440" i="23"/>
  <c r="J441" i="23"/>
  <c r="J442" i="23"/>
  <c r="J443" i="23"/>
  <c r="J444" i="23"/>
  <c r="J445" i="23"/>
  <c r="J446" i="23"/>
  <c r="J447" i="23"/>
  <c r="J448" i="23"/>
  <c r="J449" i="23"/>
  <c r="J450" i="23"/>
  <c r="J451" i="23"/>
  <c r="J452" i="23"/>
  <c r="J453" i="23"/>
  <c r="J454" i="23"/>
  <c r="J455" i="23"/>
  <c r="J456" i="23"/>
  <c r="J457" i="23"/>
  <c r="J458" i="23"/>
  <c r="J459" i="23"/>
  <c r="J460" i="23"/>
  <c r="J461" i="23"/>
  <c r="J462" i="23"/>
  <c r="J463" i="23"/>
  <c r="J464" i="23"/>
  <c r="J465" i="23"/>
  <c r="J466" i="23"/>
  <c r="J467" i="23"/>
  <c r="J468" i="23"/>
  <c r="J469" i="23"/>
  <c r="J470" i="23"/>
  <c r="J471" i="23"/>
  <c r="J472" i="23"/>
  <c r="J473" i="23"/>
  <c r="J474" i="23"/>
  <c r="J475" i="23"/>
  <c r="J476" i="23"/>
  <c r="J477" i="23"/>
  <c r="J478" i="23"/>
  <c r="J479" i="23"/>
  <c r="J480" i="23"/>
  <c r="J481" i="23"/>
  <c r="J482" i="23"/>
  <c r="J483" i="23"/>
  <c r="J484" i="23"/>
  <c r="J485" i="23"/>
  <c r="J486" i="23"/>
  <c r="J487" i="23"/>
  <c r="J488" i="23"/>
  <c r="J489" i="23"/>
  <c r="J490" i="23"/>
  <c r="J491" i="23"/>
  <c r="J492" i="23"/>
  <c r="J493" i="23"/>
  <c r="J494" i="23"/>
  <c r="J495" i="23"/>
  <c r="J496" i="23"/>
  <c r="J497" i="23"/>
  <c r="J498" i="23"/>
  <c r="J499" i="23"/>
  <c r="J500" i="23"/>
  <c r="J501" i="23"/>
  <c r="J502" i="23"/>
  <c r="J503" i="23"/>
  <c r="J504" i="23"/>
  <c r="J505" i="23"/>
  <c r="J506" i="23"/>
  <c r="J507" i="23"/>
  <c r="J508" i="23"/>
  <c r="J509" i="23"/>
  <c r="J510" i="23"/>
  <c r="J511" i="23"/>
  <c r="J512" i="23"/>
  <c r="J513" i="23"/>
  <c r="J514" i="23"/>
  <c r="J515" i="23"/>
  <c r="J516" i="23"/>
  <c r="J517" i="23"/>
  <c r="J518" i="23"/>
  <c r="J519" i="23"/>
  <c r="J520" i="23"/>
  <c r="J521" i="23"/>
  <c r="J522" i="23"/>
  <c r="J523" i="23"/>
  <c r="J524" i="23"/>
  <c r="J525" i="23"/>
  <c r="J526" i="23"/>
  <c r="J527" i="23"/>
  <c r="J528" i="23"/>
  <c r="J529" i="23"/>
  <c r="J530" i="23"/>
  <c r="J531" i="23"/>
  <c r="J532" i="23"/>
  <c r="J533" i="23"/>
  <c r="J534" i="23"/>
  <c r="J535" i="23"/>
  <c r="J536" i="23"/>
  <c r="J537" i="23"/>
  <c r="J538" i="23"/>
  <c r="J539" i="23"/>
  <c r="J540" i="23"/>
  <c r="J541" i="23"/>
  <c r="J542" i="23"/>
  <c r="J543" i="23"/>
  <c r="J544" i="23"/>
  <c r="J545" i="23"/>
  <c r="J546" i="23"/>
  <c r="J547" i="23"/>
  <c r="J548" i="23"/>
  <c r="J549" i="23"/>
  <c r="J550" i="23"/>
  <c r="J551" i="23"/>
  <c r="J552" i="23"/>
  <c r="J553" i="23"/>
  <c r="J554" i="23"/>
  <c r="J555" i="23"/>
  <c r="J556" i="23"/>
  <c r="J557" i="23"/>
  <c r="J558" i="23"/>
  <c r="J559" i="23"/>
  <c r="J560" i="23"/>
  <c r="J561" i="23"/>
  <c r="J562" i="23"/>
  <c r="J563" i="23"/>
  <c r="J564" i="23"/>
  <c r="J565" i="23"/>
  <c r="J566" i="23"/>
  <c r="J567" i="23"/>
  <c r="J568" i="23"/>
  <c r="J569" i="23"/>
  <c r="J570" i="23"/>
  <c r="J571" i="23"/>
  <c r="J572" i="23"/>
  <c r="J573" i="23"/>
  <c r="J574" i="23"/>
  <c r="J575" i="23"/>
  <c r="J576" i="23"/>
  <c r="J577" i="23"/>
  <c r="J578" i="23"/>
  <c r="J579" i="23"/>
  <c r="J580" i="23"/>
  <c r="J581" i="23"/>
  <c r="J582" i="23"/>
  <c r="J583" i="23"/>
  <c r="J584" i="23"/>
  <c r="J585" i="23"/>
  <c r="J586" i="23"/>
  <c r="J587" i="23"/>
  <c r="J588" i="23"/>
  <c r="J589" i="23"/>
  <c r="J590" i="23"/>
  <c r="J591" i="23"/>
  <c r="J592" i="23"/>
  <c r="J593" i="23"/>
  <c r="J594" i="23"/>
  <c r="J595" i="23"/>
  <c r="J596" i="23"/>
  <c r="J597" i="23"/>
  <c r="J598" i="23"/>
  <c r="J599" i="23"/>
  <c r="J600" i="23"/>
  <c r="J601" i="23"/>
  <c r="J602" i="23"/>
  <c r="J603" i="23"/>
  <c r="J604" i="23"/>
  <c r="J605" i="23"/>
  <c r="J606" i="23"/>
  <c r="J607" i="23"/>
  <c r="J608" i="23"/>
  <c r="J609" i="23"/>
  <c r="J610" i="23"/>
  <c r="J611" i="23"/>
  <c r="J612" i="23"/>
  <c r="J613" i="23"/>
  <c r="J614" i="23"/>
  <c r="J615" i="23"/>
  <c r="J616" i="23"/>
  <c r="J617" i="23"/>
  <c r="J618" i="23"/>
  <c r="J619" i="23"/>
  <c r="J620" i="23"/>
  <c r="J621" i="23"/>
  <c r="J622" i="23"/>
  <c r="J623" i="23"/>
  <c r="J624" i="23"/>
  <c r="J625" i="23"/>
  <c r="J626" i="23"/>
  <c r="J627" i="23"/>
  <c r="J628" i="23"/>
  <c r="J629" i="23"/>
  <c r="J630" i="23"/>
  <c r="J631" i="23"/>
  <c r="J632" i="23"/>
  <c r="J633" i="23"/>
  <c r="J634" i="23"/>
  <c r="J635" i="23"/>
  <c r="J636" i="23"/>
  <c r="J637" i="23"/>
  <c r="J638" i="23"/>
  <c r="J639" i="23"/>
  <c r="J640" i="23"/>
  <c r="J641" i="23"/>
  <c r="J642" i="23"/>
  <c r="J643" i="23"/>
  <c r="J644" i="23"/>
  <c r="J645" i="23"/>
  <c r="J646" i="23"/>
  <c r="J647" i="23"/>
  <c r="J648" i="23"/>
  <c r="J649" i="23"/>
  <c r="J650" i="23"/>
  <c r="J651" i="23"/>
  <c r="J652" i="23"/>
  <c r="J653" i="23"/>
  <c r="J654" i="23"/>
  <c r="J655" i="23"/>
  <c r="J656" i="23"/>
  <c r="J657" i="23"/>
  <c r="J658" i="23"/>
  <c r="J659" i="23"/>
  <c r="J660" i="23"/>
  <c r="J661" i="23"/>
  <c r="J662" i="23"/>
  <c r="J663" i="23"/>
  <c r="J664" i="23"/>
  <c r="J665" i="23"/>
  <c r="J666" i="23"/>
  <c r="J667" i="23"/>
  <c r="J668" i="23"/>
  <c r="J669" i="23"/>
  <c r="J670" i="23"/>
  <c r="J671" i="23"/>
  <c r="J672" i="23"/>
  <c r="J673" i="23"/>
  <c r="J674" i="23"/>
  <c r="J675" i="23"/>
  <c r="J676" i="23"/>
  <c r="J677" i="23"/>
  <c r="J678" i="23"/>
  <c r="J679" i="23"/>
  <c r="J680" i="23"/>
  <c r="J681" i="23"/>
  <c r="J682" i="23"/>
  <c r="J683" i="23"/>
  <c r="J684" i="23"/>
  <c r="J685" i="23"/>
  <c r="J686" i="23"/>
  <c r="J687" i="23"/>
  <c r="J688" i="23"/>
  <c r="J689" i="23"/>
  <c r="J690" i="23"/>
  <c r="J691" i="23"/>
  <c r="J692" i="23"/>
  <c r="J693" i="23"/>
  <c r="J694" i="23"/>
  <c r="J695" i="23"/>
  <c r="J696" i="23"/>
  <c r="J697" i="23"/>
  <c r="J698" i="23"/>
  <c r="J699" i="23"/>
  <c r="J700" i="23"/>
  <c r="J701" i="23"/>
  <c r="J702" i="23"/>
  <c r="J703" i="23"/>
  <c r="J704" i="23"/>
  <c r="J705" i="23"/>
  <c r="J706" i="23"/>
  <c r="J707" i="23"/>
  <c r="J708" i="23"/>
  <c r="J709" i="23"/>
  <c r="J710" i="23"/>
  <c r="J711" i="23"/>
  <c r="J712" i="23"/>
  <c r="J713" i="23"/>
  <c r="J714" i="23"/>
  <c r="J715" i="23"/>
  <c r="J716" i="23"/>
  <c r="J717" i="23"/>
  <c r="J718" i="23"/>
  <c r="J719" i="23"/>
  <c r="J720" i="23"/>
  <c r="J721" i="23"/>
  <c r="J722" i="23"/>
  <c r="J723" i="23"/>
  <c r="J724" i="23"/>
  <c r="J725" i="23"/>
  <c r="J726" i="23"/>
  <c r="J727" i="23"/>
  <c r="J728" i="23"/>
  <c r="J729" i="23"/>
  <c r="J730" i="23"/>
  <c r="J731" i="23"/>
  <c r="J732" i="23"/>
  <c r="J733" i="23"/>
  <c r="J734" i="23"/>
  <c r="J735" i="23"/>
  <c r="J736" i="23"/>
  <c r="J737" i="23"/>
  <c r="J738" i="23"/>
  <c r="J739" i="23"/>
  <c r="J740" i="23"/>
  <c r="J741" i="23"/>
  <c r="J742" i="23"/>
  <c r="J743" i="23"/>
  <c r="J744" i="23"/>
  <c r="J745" i="23"/>
  <c r="J746" i="23"/>
  <c r="J747" i="23"/>
  <c r="J748" i="23"/>
  <c r="J749" i="23"/>
  <c r="J750" i="23"/>
  <c r="J751" i="23"/>
  <c r="J752" i="23"/>
  <c r="J753" i="23"/>
  <c r="J754" i="23"/>
  <c r="J755" i="23"/>
  <c r="J756" i="23"/>
  <c r="J757" i="23"/>
  <c r="J758" i="23"/>
  <c r="J759" i="23"/>
  <c r="J760" i="23"/>
  <c r="J761" i="23"/>
  <c r="J762" i="23"/>
  <c r="J763" i="23"/>
  <c r="J764" i="23"/>
  <c r="J765" i="23"/>
  <c r="J766" i="23"/>
  <c r="J767" i="23"/>
  <c r="J768" i="23"/>
  <c r="J769" i="23"/>
  <c r="J770" i="23"/>
  <c r="J771" i="23"/>
  <c r="J772" i="23"/>
  <c r="J773" i="23"/>
  <c r="J774" i="23"/>
  <c r="J775" i="23"/>
  <c r="J776" i="23"/>
  <c r="J777" i="23"/>
  <c r="J778" i="23"/>
  <c r="J779" i="23"/>
  <c r="J780" i="23"/>
  <c r="J781" i="23"/>
  <c r="J782" i="23"/>
  <c r="J783" i="23"/>
  <c r="J784" i="23"/>
  <c r="J785" i="23"/>
  <c r="J786" i="23"/>
  <c r="J787" i="23"/>
  <c r="J788" i="23"/>
  <c r="J789" i="23"/>
  <c r="J790" i="23"/>
  <c r="J791" i="23"/>
  <c r="J792" i="23"/>
  <c r="J793" i="23"/>
  <c r="J794" i="23"/>
  <c r="J795" i="23"/>
  <c r="J796" i="23"/>
  <c r="J797" i="23"/>
  <c r="J798" i="23"/>
  <c r="J799" i="23"/>
  <c r="J800" i="23"/>
  <c r="J801" i="23"/>
  <c r="J802" i="23"/>
  <c r="J803" i="23"/>
  <c r="J804" i="23"/>
  <c r="J805" i="23"/>
  <c r="J806" i="23"/>
  <c r="J807" i="23"/>
  <c r="J808" i="23"/>
  <c r="J809" i="23"/>
  <c r="J810" i="23"/>
  <c r="J811" i="23"/>
  <c r="J812" i="23"/>
  <c r="J813" i="23"/>
  <c r="J814" i="23"/>
  <c r="J815" i="23"/>
  <c r="J816" i="23"/>
  <c r="J817" i="23"/>
  <c r="J818" i="23"/>
  <c r="J819" i="23"/>
  <c r="J820" i="23"/>
  <c r="J821" i="23"/>
  <c r="J822" i="23"/>
  <c r="J823" i="23"/>
  <c r="J824" i="23"/>
  <c r="J825" i="23"/>
  <c r="J826" i="23"/>
  <c r="J827" i="23"/>
  <c r="J828" i="23"/>
  <c r="J829" i="23"/>
  <c r="J830" i="23"/>
  <c r="J831" i="23"/>
  <c r="J832" i="23"/>
  <c r="J833" i="23"/>
  <c r="J834" i="23"/>
  <c r="J835" i="23"/>
  <c r="J836" i="23"/>
  <c r="J837" i="23"/>
  <c r="J838" i="23"/>
  <c r="J839" i="23"/>
  <c r="J840" i="23"/>
  <c r="J841" i="23"/>
  <c r="J842" i="23"/>
  <c r="J843" i="23"/>
  <c r="J844" i="23"/>
  <c r="J845" i="23"/>
  <c r="J846" i="23"/>
  <c r="J847" i="23"/>
  <c r="J848" i="23"/>
  <c r="J849" i="23"/>
  <c r="J850" i="23"/>
  <c r="J851" i="23"/>
  <c r="J852" i="23"/>
  <c r="J853" i="23"/>
  <c r="J854" i="23"/>
  <c r="J855" i="23"/>
  <c r="J856" i="23"/>
  <c r="J857" i="23"/>
  <c r="J858" i="23"/>
  <c r="J859" i="23"/>
  <c r="J860" i="23"/>
  <c r="J861" i="23"/>
  <c r="J862" i="23"/>
  <c r="J863" i="23"/>
  <c r="J864" i="23"/>
  <c r="J865" i="23"/>
  <c r="J866" i="23"/>
  <c r="J867" i="23"/>
  <c r="J868" i="23"/>
  <c r="J869" i="23"/>
  <c r="J870" i="23"/>
  <c r="J871" i="23"/>
  <c r="J872" i="23"/>
  <c r="J873" i="23"/>
  <c r="J874" i="23"/>
  <c r="J875" i="23"/>
  <c r="J876" i="23"/>
  <c r="J877" i="23"/>
  <c r="J878" i="23"/>
  <c r="J879" i="23"/>
  <c r="J880" i="23"/>
  <c r="J881" i="23"/>
  <c r="J882" i="23"/>
  <c r="J883" i="23"/>
  <c r="J884" i="23"/>
  <c r="J885" i="23"/>
  <c r="J886" i="23"/>
  <c r="J887" i="23"/>
  <c r="J888" i="23"/>
  <c r="J889" i="23"/>
  <c r="J890" i="23"/>
  <c r="J891" i="23"/>
  <c r="J892" i="23"/>
  <c r="J893" i="23"/>
  <c r="J894" i="23"/>
  <c r="J895" i="23"/>
  <c r="J896" i="23"/>
  <c r="J897" i="23"/>
  <c r="J898" i="23"/>
  <c r="J899" i="23"/>
  <c r="J900" i="23"/>
  <c r="J901" i="23"/>
  <c r="J902" i="23"/>
  <c r="J903" i="23"/>
  <c r="J904" i="23"/>
  <c r="J905" i="23"/>
  <c r="J906" i="23"/>
  <c r="J907" i="23"/>
  <c r="J908" i="23"/>
  <c r="J909" i="23"/>
  <c r="J910" i="23"/>
  <c r="J911" i="23"/>
  <c r="J912" i="23"/>
  <c r="J913" i="23"/>
  <c r="J914" i="23"/>
  <c r="J915" i="23"/>
  <c r="J916" i="23"/>
  <c r="J917" i="23"/>
  <c r="J918" i="23"/>
  <c r="J919" i="23"/>
  <c r="J920" i="23"/>
  <c r="J921" i="23"/>
  <c r="J922" i="23"/>
  <c r="J923" i="23"/>
  <c r="J924" i="23"/>
  <c r="J925" i="23"/>
  <c r="J926" i="23"/>
  <c r="J927" i="23"/>
  <c r="J928" i="23"/>
  <c r="J929" i="23"/>
  <c r="J930" i="23"/>
  <c r="J931" i="23"/>
  <c r="J932" i="23"/>
  <c r="J933" i="23"/>
  <c r="J934" i="23"/>
  <c r="J935" i="23"/>
  <c r="J936" i="23"/>
  <c r="J937" i="23"/>
  <c r="J938" i="23"/>
  <c r="J939" i="23"/>
  <c r="J940" i="23"/>
  <c r="J941" i="23"/>
  <c r="J942" i="23"/>
  <c r="J943" i="23"/>
  <c r="J944" i="23"/>
  <c r="J945" i="23"/>
  <c r="J946" i="23"/>
  <c r="J947" i="23"/>
  <c r="J948" i="23"/>
  <c r="J949" i="23"/>
  <c r="J950" i="23"/>
  <c r="J951" i="23"/>
  <c r="J952" i="23"/>
  <c r="J953" i="23"/>
  <c r="J954" i="23"/>
  <c r="J955" i="23"/>
  <c r="J956" i="23"/>
  <c r="J957" i="23"/>
  <c r="J958" i="23"/>
  <c r="J959" i="23"/>
  <c r="J960" i="23"/>
  <c r="J961" i="23"/>
  <c r="J962" i="23"/>
  <c r="J963" i="23"/>
  <c r="J964" i="23"/>
  <c r="J965" i="23"/>
  <c r="J966" i="23"/>
  <c r="J967" i="23"/>
  <c r="J968" i="23"/>
  <c r="J969" i="23"/>
  <c r="J970" i="23"/>
  <c r="J971" i="23"/>
  <c r="J972" i="23"/>
  <c r="J973" i="23"/>
  <c r="J974" i="23"/>
  <c r="J975" i="23"/>
  <c r="J976" i="23"/>
  <c r="J977" i="23"/>
  <c r="J978" i="23"/>
  <c r="J979" i="23"/>
  <c r="J980" i="23"/>
  <c r="J981" i="23"/>
  <c r="J982" i="23"/>
  <c r="J983" i="23"/>
  <c r="J984" i="23"/>
  <c r="J985" i="23"/>
  <c r="J986" i="23"/>
  <c r="J987" i="23"/>
  <c r="J988" i="23"/>
  <c r="J989" i="23"/>
  <c r="J990" i="23"/>
  <c r="J991" i="23"/>
  <c r="J992" i="23"/>
  <c r="J993" i="23"/>
  <c r="J994" i="23"/>
  <c r="J995" i="23"/>
  <c r="J996" i="23"/>
  <c r="J997" i="23"/>
  <c r="J998" i="23"/>
  <c r="J999" i="23"/>
  <c r="J1000" i="23"/>
  <c r="J1001" i="23"/>
  <c r="J1002" i="23"/>
  <c r="J1003" i="23"/>
  <c r="J1004" i="23"/>
  <c r="J1005" i="23"/>
  <c r="J1006" i="23"/>
  <c r="J1007" i="23"/>
  <c r="F124" i="10"/>
  <c r="L1001" i="40"/>
  <c r="N19" i="29"/>
  <c r="N20" i="29"/>
  <c r="N21" i="29"/>
  <c r="N22" i="29"/>
  <c r="N23" i="29"/>
  <c r="N24" i="29"/>
  <c r="N25" i="29"/>
  <c r="N26" i="29"/>
  <c r="N27" i="29"/>
  <c r="N28" i="29"/>
  <c r="N29" i="29"/>
  <c r="N30" i="29"/>
  <c r="N31" i="29"/>
  <c r="N32" i="29"/>
  <c r="N33" i="29"/>
  <c r="N34" i="29"/>
  <c r="N35" i="29"/>
  <c r="N36" i="29"/>
  <c r="N37" i="29"/>
  <c r="N38" i="29"/>
  <c r="N39" i="29"/>
  <c r="N40" i="29"/>
  <c r="N41" i="29"/>
  <c r="N42" i="29"/>
  <c r="N43" i="29"/>
  <c r="N44" i="29"/>
  <c r="N45" i="29"/>
  <c r="N46" i="29"/>
  <c r="N47" i="29"/>
  <c r="N48" i="29"/>
  <c r="N49" i="29"/>
  <c r="N50" i="29"/>
  <c r="N51" i="29"/>
  <c r="N52" i="29"/>
  <c r="N53" i="29"/>
  <c r="N54" i="29"/>
  <c r="N55" i="29"/>
  <c r="N56" i="29"/>
  <c r="N57" i="29"/>
  <c r="N58" i="29"/>
  <c r="N59" i="29"/>
  <c r="N60" i="29"/>
  <c r="N61" i="29"/>
  <c r="N62" i="29"/>
  <c r="N63" i="29"/>
  <c r="N64" i="29"/>
  <c r="N65" i="29"/>
  <c r="N66" i="29"/>
  <c r="N67" i="29"/>
  <c r="N68" i="29"/>
  <c r="N69" i="29"/>
  <c r="N70" i="29"/>
  <c r="N71" i="29"/>
  <c r="N72" i="29"/>
  <c r="N73" i="29"/>
  <c r="N74" i="29"/>
  <c r="N75" i="29"/>
  <c r="N76" i="29"/>
  <c r="N77" i="29"/>
  <c r="N78" i="29"/>
  <c r="N79" i="29"/>
  <c r="N80" i="29"/>
  <c r="N81" i="29"/>
  <c r="N82" i="29"/>
  <c r="N83" i="29"/>
  <c r="N117" i="29"/>
  <c r="N118" i="29"/>
  <c r="N119" i="29"/>
  <c r="N120" i="29"/>
  <c r="N121" i="29"/>
  <c r="N122" i="29"/>
  <c r="N123" i="29"/>
  <c r="N124" i="29"/>
  <c r="N125" i="29"/>
  <c r="N126" i="29"/>
  <c r="N127" i="29"/>
  <c r="N128" i="29"/>
  <c r="N129" i="29"/>
  <c r="N130" i="29"/>
  <c r="N131" i="29"/>
  <c r="N132" i="29"/>
  <c r="N133" i="29"/>
  <c r="N134" i="29"/>
  <c r="N135" i="29"/>
  <c r="N136" i="29"/>
  <c r="N137" i="29"/>
  <c r="N138" i="29"/>
  <c r="N139" i="29"/>
  <c r="N140" i="29"/>
  <c r="N141" i="29"/>
  <c r="N142" i="29"/>
  <c r="N143" i="29"/>
  <c r="N144" i="29"/>
  <c r="N145" i="29"/>
  <c r="N146" i="29"/>
  <c r="N147" i="29"/>
  <c r="N148" i="29"/>
  <c r="N149" i="29"/>
  <c r="N150" i="29"/>
  <c r="N151" i="29"/>
  <c r="N152" i="29"/>
  <c r="N153" i="29"/>
  <c r="N154" i="29"/>
  <c r="N155" i="29"/>
  <c r="N156" i="29"/>
  <c r="N157" i="29"/>
  <c r="N158" i="29"/>
  <c r="N159" i="29"/>
  <c r="N160" i="29"/>
  <c r="N161" i="29"/>
  <c r="N162" i="29"/>
  <c r="N163" i="29"/>
  <c r="N164" i="29"/>
  <c r="N165" i="29"/>
  <c r="N166" i="29"/>
  <c r="N167" i="29"/>
  <c r="N168" i="29"/>
  <c r="N169" i="29"/>
  <c r="N170" i="29"/>
  <c r="N171" i="29"/>
  <c r="N172" i="29"/>
  <c r="N173" i="29"/>
  <c r="N174" i="29"/>
  <c r="N175" i="29"/>
  <c r="N176" i="29"/>
  <c r="N177" i="29"/>
  <c r="N178" i="29"/>
  <c r="N179" i="29"/>
  <c r="N180" i="29"/>
  <c r="N181" i="29"/>
  <c r="N182" i="29"/>
  <c r="N183" i="29"/>
  <c r="N184" i="29"/>
  <c r="N185" i="29"/>
  <c r="N186" i="29"/>
  <c r="N187" i="29"/>
  <c r="N188" i="29"/>
  <c r="N189" i="29"/>
  <c r="N190" i="29"/>
  <c r="N191" i="29"/>
  <c r="N192" i="29"/>
  <c r="N193" i="29"/>
  <c r="N194" i="29"/>
  <c r="N195" i="29"/>
  <c r="N196" i="29"/>
  <c r="N197" i="29"/>
  <c r="N198" i="29"/>
  <c r="N199" i="29"/>
  <c r="N200" i="29"/>
  <c r="N201" i="29"/>
  <c r="N202" i="29"/>
  <c r="N203" i="29"/>
  <c r="N204" i="29"/>
  <c r="N205" i="29"/>
  <c r="N206" i="29"/>
  <c r="N207" i="29"/>
  <c r="N208" i="29"/>
  <c r="N209" i="29"/>
  <c r="N210" i="29"/>
  <c r="N211" i="29"/>
  <c r="N212" i="29"/>
  <c r="N213" i="29"/>
  <c r="N214" i="29"/>
  <c r="N215" i="29"/>
  <c r="N216" i="29"/>
  <c r="N217" i="29"/>
  <c r="N218" i="29"/>
  <c r="N219" i="29"/>
  <c r="N220" i="29"/>
  <c r="N221" i="29"/>
  <c r="N222" i="29"/>
  <c r="N223" i="29"/>
  <c r="N224" i="29"/>
  <c r="N225" i="29"/>
  <c r="N226" i="29"/>
  <c r="N227" i="29"/>
  <c r="N228" i="29"/>
  <c r="N229" i="29"/>
  <c r="N230" i="29"/>
  <c r="N231" i="29"/>
  <c r="N232" i="29"/>
  <c r="N233" i="29"/>
  <c r="N234" i="29"/>
  <c r="N235" i="29"/>
  <c r="N236" i="29"/>
  <c r="N237" i="29"/>
  <c r="N238" i="29"/>
  <c r="N239" i="29"/>
  <c r="N240" i="29"/>
  <c r="N241" i="29"/>
  <c r="N242" i="29"/>
  <c r="N243" i="29"/>
  <c r="N244" i="29"/>
  <c r="N245" i="29"/>
  <c r="N246" i="29"/>
  <c r="N247" i="29"/>
  <c r="N248" i="29"/>
  <c r="N249" i="29"/>
  <c r="N250" i="29"/>
  <c r="N251" i="29"/>
  <c r="N252" i="29"/>
  <c r="N253" i="29"/>
  <c r="N254" i="29"/>
  <c r="N255" i="29"/>
  <c r="N256" i="29"/>
  <c r="N257" i="29"/>
  <c r="N258" i="29"/>
  <c r="N259" i="29"/>
  <c r="N260" i="29"/>
  <c r="N261" i="29"/>
  <c r="N262" i="29"/>
  <c r="N263" i="29"/>
  <c r="N264" i="29"/>
  <c r="N265" i="29"/>
  <c r="N266" i="29"/>
  <c r="N267" i="29"/>
  <c r="N268" i="29"/>
  <c r="N269" i="29"/>
  <c r="N270" i="29"/>
  <c r="N271" i="29"/>
  <c r="N272" i="29"/>
  <c r="N273" i="29"/>
  <c r="N274" i="29"/>
  <c r="N275" i="29"/>
  <c r="N276" i="29"/>
  <c r="N277" i="29"/>
  <c r="N278" i="29"/>
  <c r="N279" i="29"/>
  <c r="N280" i="29"/>
  <c r="N281" i="29"/>
  <c r="N282" i="29"/>
  <c r="N283" i="29"/>
  <c r="N284" i="29"/>
  <c r="N285" i="29"/>
  <c r="N286" i="29"/>
  <c r="N287" i="29"/>
  <c r="N288" i="29"/>
  <c r="N289" i="29"/>
  <c r="N290" i="29"/>
  <c r="N291" i="29"/>
  <c r="N292" i="29"/>
  <c r="N293" i="29"/>
  <c r="N294" i="29"/>
  <c r="N295" i="29"/>
  <c r="N296" i="29"/>
  <c r="N297" i="29"/>
  <c r="N298" i="29"/>
  <c r="N299" i="29"/>
  <c r="N300" i="29"/>
  <c r="N301" i="29"/>
  <c r="N302" i="29"/>
  <c r="N303" i="29"/>
  <c r="N304" i="29"/>
  <c r="N305" i="29"/>
  <c r="N306" i="29"/>
  <c r="N307" i="29"/>
  <c r="N308" i="29"/>
  <c r="N309" i="29"/>
  <c r="N310" i="29"/>
  <c r="N311" i="29"/>
  <c r="N312" i="29"/>
  <c r="N313" i="29"/>
  <c r="N314" i="29"/>
  <c r="N315" i="29"/>
  <c r="N316" i="29"/>
  <c r="N317" i="29"/>
  <c r="N318" i="29"/>
  <c r="N319" i="29"/>
  <c r="N320" i="29"/>
  <c r="N321" i="29"/>
  <c r="N322" i="29"/>
  <c r="N323" i="29"/>
  <c r="N324" i="29"/>
  <c r="N325" i="29"/>
  <c r="N326" i="29"/>
  <c r="N327" i="29"/>
  <c r="N328" i="29"/>
  <c r="N329" i="29"/>
  <c r="N330" i="29"/>
  <c r="N331" i="29"/>
  <c r="N332" i="29"/>
  <c r="N333" i="29"/>
  <c r="N334" i="29"/>
  <c r="N335" i="29"/>
  <c r="N336" i="29"/>
  <c r="N337" i="29"/>
  <c r="N338" i="29"/>
  <c r="N339" i="29"/>
  <c r="N340" i="29"/>
  <c r="N341" i="29"/>
  <c r="N342" i="29"/>
  <c r="N343" i="29"/>
  <c r="N344" i="29"/>
  <c r="N345" i="29"/>
  <c r="N346" i="29"/>
  <c r="N347" i="29"/>
  <c r="N348" i="29"/>
  <c r="N349" i="29"/>
  <c r="N350" i="29"/>
  <c r="N351" i="29"/>
  <c r="N352" i="29"/>
  <c r="N353" i="29"/>
  <c r="N354" i="29"/>
  <c r="N355" i="29"/>
  <c r="N356" i="29"/>
  <c r="N357" i="29"/>
  <c r="N358" i="29"/>
  <c r="N359" i="29"/>
  <c r="N360" i="29"/>
  <c r="N361" i="29"/>
  <c r="N362" i="29"/>
  <c r="N363" i="29"/>
  <c r="N364" i="29"/>
  <c r="N365" i="29"/>
  <c r="N366" i="29"/>
  <c r="N367" i="29"/>
  <c r="N368" i="29"/>
  <c r="N369" i="29"/>
  <c r="N370" i="29"/>
  <c r="N371" i="29"/>
  <c r="N372" i="29"/>
  <c r="N373" i="29"/>
  <c r="N374" i="29"/>
  <c r="N375" i="29"/>
  <c r="N376" i="29"/>
  <c r="N377" i="29"/>
  <c r="N378" i="29"/>
  <c r="N379" i="29"/>
  <c r="N380" i="29"/>
  <c r="N381" i="29"/>
  <c r="N382" i="29"/>
  <c r="N383" i="29"/>
  <c r="N384" i="29"/>
  <c r="N385" i="29"/>
  <c r="N386" i="29"/>
  <c r="N387" i="29"/>
  <c r="N388" i="29"/>
  <c r="N389" i="29"/>
  <c r="N390" i="29"/>
  <c r="N391" i="29"/>
  <c r="N392" i="29"/>
  <c r="N393" i="29"/>
  <c r="N394" i="29"/>
  <c r="N395" i="29"/>
  <c r="N396" i="29"/>
  <c r="N397" i="29"/>
  <c r="N398" i="29"/>
  <c r="N399" i="29"/>
  <c r="N400" i="29"/>
  <c r="N401" i="29"/>
  <c r="N402" i="29"/>
  <c r="N403" i="29"/>
  <c r="N404" i="29"/>
  <c r="N405" i="29"/>
  <c r="N406" i="29"/>
  <c r="N407" i="29"/>
  <c r="N408" i="29"/>
  <c r="N409" i="29"/>
  <c r="N410" i="29"/>
  <c r="N411" i="29"/>
  <c r="N412" i="29"/>
  <c r="N413" i="29"/>
  <c r="N414" i="29"/>
  <c r="N415" i="29"/>
  <c r="N416" i="29"/>
  <c r="N417" i="29"/>
  <c r="N418" i="29"/>
  <c r="N419" i="29"/>
  <c r="N420" i="29"/>
  <c r="N421" i="29"/>
  <c r="N422" i="29"/>
  <c r="N423" i="29"/>
  <c r="N424" i="29"/>
  <c r="N425" i="29"/>
  <c r="N426" i="29"/>
  <c r="N427" i="29"/>
  <c r="N428" i="29"/>
  <c r="N429" i="29"/>
  <c r="N430" i="29"/>
  <c r="N431" i="29"/>
  <c r="N432" i="29"/>
  <c r="N433" i="29"/>
  <c r="N434" i="29"/>
  <c r="N435" i="29"/>
  <c r="N436" i="29"/>
  <c r="N437" i="29"/>
  <c r="N438" i="29"/>
  <c r="N439" i="29"/>
  <c r="N440" i="29"/>
  <c r="N441" i="29"/>
  <c r="N442" i="29"/>
  <c r="N443" i="29"/>
  <c r="N444" i="29"/>
  <c r="N445" i="29"/>
  <c r="N446" i="29"/>
  <c r="N447" i="29"/>
  <c r="N448" i="29"/>
  <c r="N449" i="29"/>
  <c r="N450" i="29"/>
  <c r="N451" i="29"/>
  <c r="N452" i="29"/>
  <c r="N453" i="29"/>
  <c r="N454" i="29"/>
  <c r="N455" i="29"/>
  <c r="N456" i="29"/>
  <c r="N457" i="29"/>
  <c r="N458" i="29"/>
  <c r="N459" i="29"/>
  <c r="N460" i="29"/>
  <c r="N461" i="29"/>
  <c r="N462" i="29"/>
  <c r="N463" i="29"/>
  <c r="N464" i="29"/>
  <c r="N465" i="29"/>
  <c r="N466" i="29"/>
  <c r="N467" i="29"/>
  <c r="N468" i="29"/>
  <c r="N469" i="29"/>
  <c r="N470" i="29"/>
  <c r="N471" i="29"/>
  <c r="N472" i="29"/>
  <c r="N473" i="29"/>
  <c r="N474" i="29"/>
  <c r="N475" i="29"/>
  <c r="N476" i="29"/>
  <c r="N477" i="29"/>
  <c r="N478" i="29"/>
  <c r="N479" i="29"/>
  <c r="N480" i="29"/>
  <c r="N481" i="29"/>
  <c r="N482" i="29"/>
  <c r="N483" i="29"/>
  <c r="N484" i="29"/>
  <c r="N485" i="29"/>
  <c r="N486" i="29"/>
  <c r="N487" i="29"/>
  <c r="N488" i="29"/>
  <c r="N489" i="29"/>
  <c r="N490" i="29"/>
  <c r="N491" i="29"/>
  <c r="N492" i="29"/>
  <c r="N493" i="29"/>
  <c r="N494" i="29"/>
  <c r="N495" i="29"/>
  <c r="N496" i="29"/>
  <c r="N497" i="29"/>
  <c r="N498" i="29"/>
  <c r="N499" i="29"/>
  <c r="N500" i="29"/>
  <c r="N501" i="29"/>
  <c r="N502" i="29"/>
  <c r="N503" i="29"/>
  <c r="N504" i="29"/>
  <c r="N505" i="29"/>
  <c r="N506" i="29"/>
  <c r="N507" i="29"/>
  <c r="N508" i="29"/>
  <c r="N509" i="29"/>
  <c r="N510" i="29"/>
  <c r="N511" i="29"/>
  <c r="N512" i="29"/>
  <c r="N513" i="29"/>
  <c r="N514" i="29"/>
  <c r="N515" i="29"/>
  <c r="N516" i="29"/>
  <c r="N517" i="29"/>
  <c r="N518" i="29"/>
  <c r="N519" i="29"/>
  <c r="N520" i="29"/>
  <c r="N521" i="29"/>
  <c r="N522" i="29"/>
  <c r="N523" i="29"/>
  <c r="N524" i="29"/>
  <c r="N525" i="29"/>
  <c r="N526" i="29"/>
  <c r="N527" i="29"/>
  <c r="N528" i="29"/>
  <c r="N529" i="29"/>
  <c r="N530" i="29"/>
  <c r="N531" i="29"/>
  <c r="N532" i="29"/>
  <c r="N533" i="29"/>
  <c r="N534" i="29"/>
  <c r="N535" i="29"/>
  <c r="N536" i="29"/>
  <c r="N537" i="29"/>
  <c r="N538" i="29"/>
  <c r="N539" i="29"/>
  <c r="N540" i="29"/>
  <c r="N541" i="29"/>
  <c r="N542" i="29"/>
  <c r="N543" i="29"/>
  <c r="N544" i="29"/>
  <c r="N545" i="29"/>
  <c r="N546" i="29"/>
  <c r="N547" i="29"/>
  <c r="N548" i="29"/>
  <c r="N549" i="29"/>
  <c r="N550" i="29"/>
  <c r="N551" i="29"/>
  <c r="N552" i="29"/>
  <c r="N553" i="29"/>
  <c r="N554" i="29"/>
  <c r="N555" i="29"/>
  <c r="N556" i="29"/>
  <c r="N557" i="29"/>
  <c r="N558" i="29"/>
  <c r="N559" i="29"/>
  <c r="N560" i="29"/>
  <c r="N561" i="29"/>
  <c r="N562" i="29"/>
  <c r="N563" i="29"/>
  <c r="N564" i="29"/>
  <c r="N565" i="29"/>
  <c r="N566" i="29"/>
  <c r="N567" i="29"/>
  <c r="N568" i="29"/>
  <c r="N569" i="29"/>
  <c r="N570" i="29"/>
  <c r="N571" i="29"/>
  <c r="N572" i="29"/>
  <c r="N573" i="29"/>
  <c r="N574" i="29"/>
  <c r="N575" i="29"/>
  <c r="N576" i="29"/>
  <c r="N577" i="29"/>
  <c r="N578" i="29"/>
  <c r="N579" i="29"/>
  <c r="N580" i="29"/>
  <c r="N581" i="29"/>
  <c r="N582" i="29"/>
  <c r="N583" i="29"/>
  <c r="N584" i="29"/>
  <c r="N585" i="29"/>
  <c r="N586" i="29"/>
  <c r="N587" i="29"/>
  <c r="N588" i="29"/>
  <c r="N589" i="29"/>
  <c r="N590" i="29"/>
  <c r="N591" i="29"/>
  <c r="N592" i="29"/>
  <c r="N593" i="29"/>
  <c r="N594" i="29"/>
  <c r="N595" i="29"/>
  <c r="N596" i="29"/>
  <c r="N597" i="29"/>
  <c r="N598" i="29"/>
  <c r="N599" i="29"/>
  <c r="N600" i="29"/>
  <c r="N601" i="29"/>
  <c r="N602" i="29"/>
  <c r="N603" i="29"/>
  <c r="N604" i="29"/>
  <c r="N605" i="29"/>
  <c r="N606" i="29"/>
  <c r="N607" i="29"/>
  <c r="N608" i="29"/>
  <c r="N609" i="29"/>
  <c r="N610" i="29"/>
  <c r="N611" i="29"/>
  <c r="N612" i="29"/>
  <c r="N613" i="29"/>
  <c r="N614" i="29"/>
  <c r="N615" i="29"/>
  <c r="N616" i="29"/>
  <c r="N617" i="29"/>
  <c r="N618" i="29"/>
  <c r="N619" i="29"/>
  <c r="N620" i="29"/>
  <c r="N621" i="29"/>
  <c r="N622" i="29"/>
  <c r="N623" i="29"/>
  <c r="N624" i="29"/>
  <c r="N625" i="29"/>
  <c r="N626" i="29"/>
  <c r="N627" i="29"/>
  <c r="N628" i="29"/>
  <c r="N629" i="29"/>
  <c r="N630" i="29"/>
  <c r="N631" i="29"/>
  <c r="N632" i="29"/>
  <c r="N633" i="29"/>
  <c r="N634" i="29"/>
  <c r="N635" i="29"/>
  <c r="N636" i="29"/>
  <c r="N637" i="29"/>
  <c r="N638" i="29"/>
  <c r="N639" i="29"/>
  <c r="N640" i="29"/>
  <c r="N641" i="29"/>
  <c r="N642" i="29"/>
  <c r="N643" i="29"/>
  <c r="N644" i="29"/>
  <c r="N645" i="29"/>
  <c r="N646" i="29"/>
  <c r="N647" i="29"/>
  <c r="N648" i="29"/>
  <c r="N649" i="29"/>
  <c r="N650" i="29"/>
  <c r="N651" i="29"/>
  <c r="N652" i="29"/>
  <c r="N653" i="29"/>
  <c r="N654" i="29"/>
  <c r="N655" i="29"/>
  <c r="N656" i="29"/>
  <c r="N657" i="29"/>
  <c r="N658" i="29"/>
  <c r="N659" i="29"/>
  <c r="N660" i="29"/>
  <c r="N661" i="29"/>
  <c r="N662" i="29"/>
  <c r="N663" i="29"/>
  <c r="N664" i="29"/>
  <c r="N665" i="29"/>
  <c r="N666" i="29"/>
  <c r="N667" i="29"/>
  <c r="N668" i="29"/>
  <c r="N669" i="29"/>
  <c r="N670" i="29"/>
  <c r="N671" i="29"/>
  <c r="N672" i="29"/>
  <c r="N673" i="29"/>
  <c r="N674" i="29"/>
  <c r="N675" i="29"/>
  <c r="N676" i="29"/>
  <c r="N677" i="29"/>
  <c r="N678" i="29"/>
  <c r="N679" i="29"/>
  <c r="N680" i="29"/>
  <c r="N681" i="29"/>
  <c r="N682" i="29"/>
  <c r="N683" i="29"/>
  <c r="N684" i="29"/>
  <c r="N685" i="29"/>
  <c r="N686" i="29"/>
  <c r="N687" i="29"/>
  <c r="N688" i="29"/>
  <c r="N689" i="29"/>
  <c r="N690" i="29"/>
  <c r="N691" i="29"/>
  <c r="N692" i="29"/>
  <c r="N693" i="29"/>
  <c r="N694" i="29"/>
  <c r="N695" i="29"/>
  <c r="N696" i="29"/>
  <c r="N697" i="29"/>
  <c r="N698" i="29"/>
  <c r="N699" i="29"/>
  <c r="N700" i="29"/>
  <c r="N701" i="29"/>
  <c r="N702" i="29"/>
  <c r="N703" i="29"/>
  <c r="N704" i="29"/>
  <c r="N705" i="29"/>
  <c r="N706" i="29"/>
  <c r="N707" i="29"/>
  <c r="N708" i="29"/>
  <c r="N709" i="29"/>
  <c r="N710" i="29"/>
  <c r="N711" i="29"/>
  <c r="N712" i="29"/>
  <c r="N713" i="29"/>
  <c r="N714" i="29"/>
  <c r="N715" i="29"/>
  <c r="N716" i="29"/>
  <c r="N717" i="29"/>
  <c r="N718" i="29"/>
  <c r="N719" i="29"/>
  <c r="N720" i="29"/>
  <c r="N721" i="29"/>
  <c r="N722" i="29"/>
  <c r="N723" i="29"/>
  <c r="N724" i="29"/>
  <c r="N725" i="29"/>
  <c r="N726" i="29"/>
  <c r="N727" i="29"/>
  <c r="N728" i="29"/>
  <c r="N729" i="29"/>
  <c r="N730" i="29"/>
  <c r="N731" i="29"/>
  <c r="N732" i="29"/>
  <c r="N733" i="29"/>
  <c r="N734" i="29"/>
  <c r="N735" i="29"/>
  <c r="N736" i="29"/>
  <c r="N737" i="29"/>
  <c r="N738" i="29"/>
  <c r="N739" i="29"/>
  <c r="N740" i="29"/>
  <c r="N741" i="29"/>
  <c r="N742" i="29"/>
  <c r="N743" i="29"/>
  <c r="N744" i="29"/>
  <c r="N745" i="29"/>
  <c r="N746" i="29"/>
  <c r="N747" i="29"/>
  <c r="N748" i="29"/>
  <c r="N749" i="29"/>
  <c r="N750" i="29"/>
  <c r="N751" i="29"/>
  <c r="N752" i="29"/>
  <c r="N753" i="29"/>
  <c r="N754" i="29"/>
  <c r="N755" i="29"/>
  <c r="N756" i="29"/>
  <c r="N757" i="29"/>
  <c r="N758" i="29"/>
  <c r="N759" i="29"/>
  <c r="N760" i="29"/>
  <c r="N761" i="29"/>
  <c r="N762" i="29"/>
  <c r="N763" i="29"/>
  <c r="N764" i="29"/>
  <c r="N765" i="29"/>
  <c r="N766" i="29"/>
  <c r="N767" i="29"/>
  <c r="N768" i="29"/>
  <c r="N769" i="29"/>
  <c r="N770" i="29"/>
  <c r="N771" i="29"/>
  <c r="N772" i="29"/>
  <c r="N773" i="29"/>
  <c r="N774" i="29"/>
  <c r="N775" i="29"/>
  <c r="N776" i="29"/>
  <c r="N777" i="29"/>
  <c r="N778" i="29"/>
  <c r="N779" i="29"/>
  <c r="N780" i="29"/>
  <c r="N781" i="29"/>
  <c r="N782" i="29"/>
  <c r="N783" i="29"/>
  <c r="N784" i="29"/>
  <c r="N785" i="29"/>
  <c r="N786" i="29"/>
  <c r="N787" i="29"/>
  <c r="N788" i="29"/>
  <c r="N789" i="29"/>
  <c r="N790" i="29"/>
  <c r="N791" i="29"/>
  <c r="N792" i="29"/>
  <c r="N793" i="29"/>
  <c r="N794" i="29"/>
  <c r="N795" i="29"/>
  <c r="N796" i="29"/>
  <c r="N797" i="29"/>
  <c r="N798" i="29"/>
  <c r="N799" i="29"/>
  <c r="N800" i="29"/>
  <c r="N801" i="29"/>
  <c r="N802" i="29"/>
  <c r="N803" i="29"/>
  <c r="N804" i="29"/>
  <c r="N805" i="29"/>
  <c r="N806" i="29"/>
  <c r="N807" i="29"/>
  <c r="N808" i="29"/>
  <c r="N809" i="29"/>
  <c r="N810" i="29"/>
  <c r="N811" i="29"/>
  <c r="N812" i="29"/>
  <c r="N813" i="29"/>
  <c r="N814" i="29"/>
  <c r="N815" i="29"/>
  <c r="N816" i="29"/>
  <c r="N817" i="29"/>
  <c r="N818" i="29"/>
  <c r="N819" i="29"/>
  <c r="N820" i="29"/>
  <c r="N821" i="29"/>
  <c r="N822" i="29"/>
  <c r="N823" i="29"/>
  <c r="N824" i="29"/>
  <c r="N825" i="29"/>
  <c r="N826" i="29"/>
  <c r="N827" i="29"/>
  <c r="N828" i="29"/>
  <c r="N829" i="29"/>
  <c r="N830" i="29"/>
  <c r="N831" i="29"/>
  <c r="N832" i="29"/>
  <c r="N833" i="29"/>
  <c r="N834" i="29"/>
  <c r="N835" i="29"/>
  <c r="N836" i="29"/>
  <c r="N837" i="29"/>
  <c r="N838" i="29"/>
  <c r="N839" i="29"/>
  <c r="N840" i="29"/>
  <c r="N841" i="29"/>
  <c r="N842" i="29"/>
  <c r="N843" i="29"/>
  <c r="N844" i="29"/>
  <c r="N845" i="29"/>
  <c r="N846" i="29"/>
  <c r="N847" i="29"/>
  <c r="N848" i="29"/>
  <c r="N849" i="29"/>
  <c r="N850" i="29"/>
  <c r="N851" i="29"/>
  <c r="N852" i="29"/>
  <c r="N853" i="29"/>
  <c r="N854" i="29"/>
  <c r="N855" i="29"/>
  <c r="N856" i="29"/>
  <c r="N857" i="29"/>
  <c r="N858" i="29"/>
  <c r="N859" i="29"/>
  <c r="N860" i="29"/>
  <c r="N861" i="29"/>
  <c r="N862" i="29"/>
  <c r="N863" i="29"/>
  <c r="N864" i="29"/>
  <c r="N865" i="29"/>
  <c r="N866" i="29"/>
  <c r="N867" i="29"/>
  <c r="N868" i="29"/>
  <c r="N869" i="29"/>
  <c r="N870" i="29"/>
  <c r="N871" i="29"/>
  <c r="N872" i="29"/>
  <c r="N873" i="29"/>
  <c r="N874" i="29"/>
  <c r="N875" i="29"/>
  <c r="N876" i="29"/>
  <c r="N877" i="29"/>
  <c r="N878" i="29"/>
  <c r="N879" i="29"/>
  <c r="N880" i="29"/>
  <c r="N881" i="29"/>
  <c r="N882" i="29"/>
  <c r="N883" i="29"/>
  <c r="N884" i="29"/>
  <c r="N885" i="29"/>
  <c r="N886" i="29"/>
  <c r="N887" i="29"/>
  <c r="N888" i="29"/>
  <c r="N889" i="29"/>
  <c r="N890" i="29"/>
  <c r="N891" i="29"/>
  <c r="N892" i="29"/>
  <c r="N893" i="29"/>
  <c r="N894" i="29"/>
  <c r="N895" i="29"/>
  <c r="N896" i="29"/>
  <c r="N897" i="29"/>
  <c r="N898" i="29"/>
  <c r="N899" i="29"/>
  <c r="N900" i="29"/>
  <c r="N901" i="29"/>
  <c r="N902" i="29"/>
  <c r="N903" i="29"/>
  <c r="N904" i="29"/>
  <c r="N905" i="29"/>
  <c r="N906" i="29"/>
  <c r="N907" i="29"/>
  <c r="N908" i="29"/>
  <c r="N909" i="29"/>
  <c r="N910" i="29"/>
  <c r="N911" i="29"/>
  <c r="N912" i="29"/>
  <c r="N913" i="29"/>
  <c r="N914" i="29"/>
  <c r="N915" i="29"/>
  <c r="N916" i="29"/>
  <c r="N917" i="29"/>
  <c r="N918" i="29"/>
  <c r="N919" i="29"/>
  <c r="N920" i="29"/>
  <c r="N921" i="29"/>
  <c r="N922" i="29"/>
  <c r="N923" i="29"/>
  <c r="N924" i="29"/>
  <c r="N925" i="29"/>
  <c r="N926" i="29"/>
  <c r="N927" i="29"/>
  <c r="N928" i="29"/>
  <c r="N929" i="29"/>
  <c r="N930" i="29"/>
  <c r="N931" i="29"/>
  <c r="N932" i="29"/>
  <c r="N933" i="29"/>
  <c r="N934" i="29"/>
  <c r="N935" i="29"/>
  <c r="N936" i="29"/>
  <c r="N937" i="29"/>
  <c r="N938" i="29"/>
  <c r="N939" i="29"/>
  <c r="N940" i="29"/>
  <c r="N941" i="29"/>
  <c r="N942" i="29"/>
  <c r="N943" i="29"/>
  <c r="N944" i="29"/>
  <c r="N945" i="29"/>
  <c r="N946" i="29"/>
  <c r="N947" i="29"/>
  <c r="N948" i="29"/>
  <c r="N949" i="29"/>
  <c r="N950" i="29"/>
  <c r="N951" i="29"/>
  <c r="N952" i="29"/>
  <c r="N953" i="29"/>
  <c r="N954" i="29"/>
  <c r="N955" i="29"/>
  <c r="N956" i="29"/>
  <c r="N957" i="29"/>
  <c r="N958" i="29"/>
  <c r="N959" i="29"/>
  <c r="N960" i="29"/>
  <c r="N961" i="29"/>
  <c r="N962" i="29"/>
  <c r="N963" i="29"/>
  <c r="N964" i="29"/>
  <c r="N965" i="29"/>
  <c r="N966" i="29"/>
  <c r="N967" i="29"/>
  <c r="N968" i="29"/>
  <c r="N969" i="29"/>
  <c r="N970" i="29"/>
  <c r="N971" i="29"/>
  <c r="N972" i="29"/>
  <c r="N973" i="29"/>
  <c r="N974" i="29"/>
  <c r="N975" i="29"/>
  <c r="N976" i="29"/>
  <c r="N977" i="29"/>
  <c r="N978" i="29"/>
  <c r="N979" i="29"/>
  <c r="N980" i="29"/>
  <c r="N981" i="29"/>
  <c r="N982" i="29"/>
  <c r="N983" i="29"/>
  <c r="N984" i="29"/>
  <c r="N985" i="29"/>
  <c r="N986" i="29"/>
  <c r="N987" i="29"/>
  <c r="N988" i="29"/>
  <c r="N989" i="29"/>
  <c r="N990" i="29"/>
  <c r="N991" i="29"/>
  <c r="N992" i="29"/>
  <c r="N993" i="29"/>
  <c r="N994" i="29"/>
  <c r="N995" i="29"/>
  <c r="N996" i="29"/>
  <c r="N997" i="29"/>
  <c r="N998" i="29"/>
  <c r="N999" i="29"/>
  <c r="N1000" i="29"/>
  <c r="N20" i="48"/>
  <c r="N21" i="48"/>
  <c r="N22" i="48"/>
  <c r="N23" i="48"/>
  <c r="N24" i="48"/>
  <c r="N25" i="48"/>
  <c r="N26" i="48"/>
  <c r="N27" i="48"/>
  <c r="N28" i="48"/>
  <c r="N29" i="48"/>
  <c r="N30" i="48"/>
  <c r="N31" i="48"/>
  <c r="N32" i="48"/>
  <c r="N33" i="48"/>
  <c r="N34" i="48"/>
  <c r="N35" i="48"/>
  <c r="N36" i="48"/>
  <c r="N37" i="48"/>
  <c r="N38" i="48"/>
  <c r="N39" i="48"/>
  <c r="N40" i="48"/>
  <c r="N41" i="48"/>
  <c r="N42" i="48"/>
  <c r="N43" i="48"/>
  <c r="N44" i="48"/>
  <c r="N45" i="48"/>
  <c r="N46" i="48"/>
  <c r="N47" i="48"/>
  <c r="N48" i="48"/>
  <c r="N49" i="48"/>
  <c r="N50" i="48"/>
  <c r="N51" i="48"/>
  <c r="N52" i="48"/>
  <c r="N53" i="48"/>
  <c r="N54" i="48"/>
  <c r="N55" i="48"/>
  <c r="N56" i="48"/>
  <c r="N57" i="48"/>
  <c r="N58" i="48"/>
  <c r="N59" i="48"/>
  <c r="N60" i="48"/>
  <c r="N61" i="48"/>
  <c r="N62" i="48"/>
  <c r="N63" i="48"/>
  <c r="N64" i="48"/>
  <c r="N65" i="48"/>
  <c r="N66" i="48"/>
  <c r="N67" i="48"/>
  <c r="N68" i="48"/>
  <c r="N69" i="48"/>
  <c r="N70" i="48"/>
  <c r="N71" i="48"/>
  <c r="N72" i="48"/>
  <c r="N73" i="48"/>
  <c r="N74" i="48"/>
  <c r="N75" i="48"/>
  <c r="N76" i="48"/>
  <c r="N77" i="48"/>
  <c r="N78" i="48"/>
  <c r="N79" i="48"/>
  <c r="N80" i="48"/>
  <c r="N81" i="48"/>
  <c r="N82" i="48"/>
  <c r="N83" i="48"/>
  <c r="N84" i="48"/>
  <c r="N85" i="48"/>
  <c r="N86" i="48"/>
  <c r="N87" i="48"/>
  <c r="N88" i="48"/>
  <c r="N89" i="48"/>
  <c r="N90" i="48"/>
  <c r="N91" i="48"/>
  <c r="N92" i="48"/>
  <c r="N93" i="48"/>
  <c r="N94" i="48"/>
  <c r="N95" i="48"/>
  <c r="N96" i="48"/>
  <c r="N97" i="48"/>
  <c r="N98" i="48"/>
  <c r="N99" i="48"/>
  <c r="N100" i="48"/>
  <c r="N101" i="48"/>
  <c r="N102" i="48"/>
  <c r="N103" i="48"/>
  <c r="N104" i="48"/>
  <c r="N105" i="48"/>
  <c r="N106" i="48"/>
  <c r="N107" i="48"/>
  <c r="N108" i="48"/>
  <c r="N109" i="48"/>
  <c r="N110" i="48"/>
  <c r="N111" i="48"/>
  <c r="N112" i="48"/>
  <c r="N113" i="48"/>
  <c r="N114" i="48"/>
  <c r="N115" i="48"/>
  <c r="N116" i="48"/>
  <c r="N117" i="48"/>
  <c r="N118" i="48"/>
  <c r="N119" i="48"/>
  <c r="N120" i="48"/>
  <c r="N121" i="48"/>
  <c r="N122" i="48"/>
  <c r="N123" i="48"/>
  <c r="N124" i="48"/>
  <c r="N125" i="48"/>
  <c r="N126" i="48"/>
  <c r="N127" i="48"/>
  <c r="N128" i="48"/>
  <c r="N129" i="48"/>
  <c r="N130" i="48"/>
  <c r="N131" i="48"/>
  <c r="N132" i="48"/>
  <c r="N133" i="48"/>
  <c r="N134" i="48"/>
  <c r="N135" i="48"/>
  <c r="N136" i="48"/>
  <c r="N137" i="48"/>
  <c r="N138" i="48"/>
  <c r="N139" i="48"/>
  <c r="N140" i="48"/>
  <c r="N141" i="48"/>
  <c r="N142" i="48"/>
  <c r="N143" i="48"/>
  <c r="N144" i="48"/>
  <c r="N145" i="48"/>
  <c r="N146" i="48"/>
  <c r="N147" i="48"/>
  <c r="N148" i="48"/>
  <c r="N149" i="48"/>
  <c r="N150" i="48"/>
  <c r="N151" i="48"/>
  <c r="N152" i="48"/>
  <c r="N153" i="48"/>
  <c r="N154" i="48"/>
  <c r="N155" i="48"/>
  <c r="N156" i="48"/>
  <c r="N157" i="48"/>
  <c r="N158" i="48"/>
  <c r="N159" i="48"/>
  <c r="N160" i="48"/>
  <c r="N161" i="48"/>
  <c r="N162" i="48"/>
  <c r="N163" i="48"/>
  <c r="N164" i="48"/>
  <c r="N165" i="48"/>
  <c r="N166" i="48"/>
  <c r="N167" i="48"/>
  <c r="N168" i="48"/>
  <c r="N169" i="48"/>
  <c r="N170" i="48"/>
  <c r="N171" i="48"/>
  <c r="N172" i="48"/>
  <c r="N173" i="48"/>
  <c r="N174" i="48"/>
  <c r="N175" i="48"/>
  <c r="N176" i="48"/>
  <c r="N177" i="48"/>
  <c r="N178" i="48"/>
  <c r="N179" i="48"/>
  <c r="N180" i="48"/>
  <c r="N181" i="48"/>
  <c r="N182" i="48"/>
  <c r="N183" i="48"/>
  <c r="N184" i="48"/>
  <c r="N185" i="48"/>
  <c r="N186" i="48"/>
  <c r="N187" i="48"/>
  <c r="N188" i="48"/>
  <c r="N189" i="48"/>
  <c r="N190" i="48"/>
  <c r="N191" i="48"/>
  <c r="N192" i="48"/>
  <c r="N193" i="48"/>
  <c r="N194" i="48"/>
  <c r="N195" i="48"/>
  <c r="N196" i="48"/>
  <c r="N197" i="48"/>
  <c r="N198" i="48"/>
  <c r="N199" i="48"/>
  <c r="N200" i="48"/>
  <c r="N201" i="48"/>
  <c r="N202" i="48"/>
  <c r="N203" i="48"/>
  <c r="N204" i="48"/>
  <c r="N205" i="48"/>
  <c r="N206" i="48"/>
  <c r="N207" i="48"/>
  <c r="N208" i="48"/>
  <c r="N209" i="48"/>
  <c r="N210" i="48"/>
  <c r="N211" i="48"/>
  <c r="N212" i="48"/>
  <c r="N213" i="48"/>
  <c r="N214" i="48"/>
  <c r="N215" i="48"/>
  <c r="N216" i="48"/>
  <c r="N217" i="48"/>
  <c r="N218" i="48"/>
  <c r="N219" i="48"/>
  <c r="N220" i="48"/>
  <c r="N221" i="48"/>
  <c r="N222" i="48"/>
  <c r="N223" i="48"/>
  <c r="N224" i="48"/>
  <c r="N225" i="48"/>
  <c r="N226" i="48"/>
  <c r="N227" i="48"/>
  <c r="N228" i="48"/>
  <c r="N229" i="48"/>
  <c r="N230" i="48"/>
  <c r="N231" i="48"/>
  <c r="N232" i="48"/>
  <c r="N233" i="48"/>
  <c r="N234" i="48"/>
  <c r="N235" i="48"/>
  <c r="N236" i="48"/>
  <c r="N237" i="48"/>
  <c r="N238" i="48"/>
  <c r="N239" i="48"/>
  <c r="N240" i="48"/>
  <c r="N241" i="48"/>
  <c r="N242" i="48"/>
  <c r="N243" i="48"/>
  <c r="N244" i="48"/>
  <c r="N245" i="48"/>
  <c r="N246" i="48"/>
  <c r="N247" i="48"/>
  <c r="N248" i="48"/>
  <c r="N249" i="48"/>
  <c r="N250" i="48"/>
  <c r="N251" i="48"/>
  <c r="N252" i="48"/>
  <c r="N253" i="48"/>
  <c r="N254" i="48"/>
  <c r="N255" i="48"/>
  <c r="N256" i="48"/>
  <c r="N257" i="48"/>
  <c r="N258" i="48"/>
  <c r="N259" i="48"/>
  <c r="N260" i="48"/>
  <c r="N261" i="48"/>
  <c r="N262" i="48"/>
  <c r="N263" i="48"/>
  <c r="N264" i="48"/>
  <c r="N265" i="48"/>
  <c r="N266" i="48"/>
  <c r="N267" i="48"/>
  <c r="N268" i="48"/>
  <c r="N269" i="48"/>
  <c r="N270" i="48"/>
  <c r="N271" i="48"/>
  <c r="N272" i="48"/>
  <c r="N273" i="48"/>
  <c r="N274" i="48"/>
  <c r="N275" i="48"/>
  <c r="N276" i="48"/>
  <c r="N277" i="48"/>
  <c r="N278" i="48"/>
  <c r="N279" i="48"/>
  <c r="N280" i="48"/>
  <c r="N281" i="48"/>
  <c r="N282" i="48"/>
  <c r="N283" i="48"/>
  <c r="N284" i="48"/>
  <c r="N285" i="48"/>
  <c r="N286" i="48"/>
  <c r="N287" i="48"/>
  <c r="N288" i="48"/>
  <c r="N289" i="48"/>
  <c r="N290" i="48"/>
  <c r="N291" i="48"/>
  <c r="N292" i="48"/>
  <c r="N293" i="48"/>
  <c r="N294" i="48"/>
  <c r="N295" i="48"/>
  <c r="N296" i="48"/>
  <c r="N297" i="48"/>
  <c r="N298" i="48"/>
  <c r="N299" i="48"/>
  <c r="N300" i="48"/>
  <c r="N301" i="48"/>
  <c r="N302" i="48"/>
  <c r="N303" i="48"/>
  <c r="N304" i="48"/>
  <c r="N305" i="48"/>
  <c r="N306" i="48"/>
  <c r="N307" i="48"/>
  <c r="N308" i="48"/>
  <c r="N309" i="48"/>
  <c r="N310" i="48"/>
  <c r="N311" i="48"/>
  <c r="N312" i="48"/>
  <c r="N313" i="48"/>
  <c r="N314" i="48"/>
  <c r="N315" i="48"/>
  <c r="N316" i="48"/>
  <c r="N317" i="48"/>
  <c r="N318" i="48"/>
  <c r="N319" i="48"/>
  <c r="N320" i="48"/>
  <c r="N321" i="48"/>
  <c r="N322" i="48"/>
  <c r="N323" i="48"/>
  <c r="N324" i="48"/>
  <c r="N325" i="48"/>
  <c r="N326" i="48"/>
  <c r="N327" i="48"/>
  <c r="N328" i="48"/>
  <c r="N329" i="48"/>
  <c r="N330" i="48"/>
  <c r="N331" i="48"/>
  <c r="N332" i="48"/>
  <c r="N333" i="48"/>
  <c r="N334" i="48"/>
  <c r="N335" i="48"/>
  <c r="N336" i="48"/>
  <c r="N337" i="48"/>
  <c r="N338" i="48"/>
  <c r="N339" i="48"/>
  <c r="N340" i="48"/>
  <c r="N341" i="48"/>
  <c r="N342" i="48"/>
  <c r="N343" i="48"/>
  <c r="N344" i="48"/>
  <c r="N345" i="48"/>
  <c r="N346" i="48"/>
  <c r="N347" i="48"/>
  <c r="N348" i="48"/>
  <c r="N349" i="48"/>
  <c r="N350" i="48"/>
  <c r="N351" i="48"/>
  <c r="N352" i="48"/>
  <c r="N353" i="48"/>
  <c r="N354" i="48"/>
  <c r="N355" i="48"/>
  <c r="N356" i="48"/>
  <c r="N357" i="48"/>
  <c r="N358" i="48"/>
  <c r="N359" i="48"/>
  <c r="N360" i="48"/>
  <c r="N361" i="48"/>
  <c r="N362" i="48"/>
  <c r="N363" i="48"/>
  <c r="N364" i="48"/>
  <c r="N365" i="48"/>
  <c r="N366" i="48"/>
  <c r="N367" i="48"/>
  <c r="N368" i="48"/>
  <c r="N369" i="48"/>
  <c r="N370" i="48"/>
  <c r="N371" i="48"/>
  <c r="N372" i="48"/>
  <c r="N373" i="48"/>
  <c r="N374" i="48"/>
  <c r="N375" i="48"/>
  <c r="N376" i="48"/>
  <c r="N377" i="48"/>
  <c r="N378" i="48"/>
  <c r="N379" i="48"/>
  <c r="N380" i="48"/>
  <c r="N381" i="48"/>
  <c r="N382" i="48"/>
  <c r="N383" i="48"/>
  <c r="N384" i="48"/>
  <c r="N385" i="48"/>
  <c r="N386" i="48"/>
  <c r="N387" i="48"/>
  <c r="N388" i="48"/>
  <c r="N389" i="48"/>
  <c r="N390" i="48"/>
  <c r="N391" i="48"/>
  <c r="N392" i="48"/>
  <c r="N393" i="48"/>
  <c r="N394" i="48"/>
  <c r="N395" i="48"/>
  <c r="N396" i="48"/>
  <c r="N397" i="48"/>
  <c r="N398" i="48"/>
  <c r="N399" i="48"/>
  <c r="N400" i="48"/>
  <c r="N401" i="48"/>
  <c r="N402" i="48"/>
  <c r="N403" i="48"/>
  <c r="N404" i="48"/>
  <c r="N405" i="48"/>
  <c r="N406" i="48"/>
  <c r="N407" i="48"/>
  <c r="N408" i="48"/>
  <c r="N409" i="48"/>
  <c r="N410" i="48"/>
  <c r="N411" i="48"/>
  <c r="N412" i="48"/>
  <c r="N413" i="48"/>
  <c r="N414" i="48"/>
  <c r="N415" i="48"/>
  <c r="N416" i="48"/>
  <c r="N417" i="48"/>
  <c r="N418" i="48"/>
  <c r="N419" i="48"/>
  <c r="N420" i="48"/>
  <c r="N421" i="48"/>
  <c r="N422" i="48"/>
  <c r="N423" i="48"/>
  <c r="N424" i="48"/>
  <c r="N425" i="48"/>
  <c r="N426" i="48"/>
  <c r="N427" i="48"/>
  <c r="N428" i="48"/>
  <c r="N429" i="48"/>
  <c r="N430" i="48"/>
  <c r="N431" i="48"/>
  <c r="N432" i="48"/>
  <c r="N433" i="48"/>
  <c r="N434" i="48"/>
  <c r="N435" i="48"/>
  <c r="N436" i="48"/>
  <c r="N437" i="48"/>
  <c r="N438" i="48"/>
  <c r="N439" i="48"/>
  <c r="N440" i="48"/>
  <c r="N441" i="48"/>
  <c r="N442" i="48"/>
  <c r="N443" i="48"/>
  <c r="N444" i="48"/>
  <c r="N445" i="48"/>
  <c r="N446" i="48"/>
  <c r="N447" i="48"/>
  <c r="N448" i="48"/>
  <c r="N449" i="48"/>
  <c r="N450" i="48"/>
  <c r="N451" i="48"/>
  <c r="N452" i="48"/>
  <c r="N453" i="48"/>
  <c r="N454" i="48"/>
  <c r="N455" i="48"/>
  <c r="N456" i="48"/>
  <c r="N457" i="48"/>
  <c r="N458" i="48"/>
  <c r="N459" i="48"/>
  <c r="N460" i="48"/>
  <c r="N461" i="48"/>
  <c r="N462" i="48"/>
  <c r="N463" i="48"/>
  <c r="N464" i="48"/>
  <c r="N465" i="48"/>
  <c r="N466" i="48"/>
  <c r="N467" i="48"/>
  <c r="N468" i="48"/>
  <c r="N469" i="48"/>
  <c r="N470" i="48"/>
  <c r="N471" i="48"/>
  <c r="N472" i="48"/>
  <c r="N473" i="48"/>
  <c r="N474" i="48"/>
  <c r="N475" i="48"/>
  <c r="N476" i="48"/>
  <c r="N477" i="48"/>
  <c r="N478" i="48"/>
  <c r="N479" i="48"/>
  <c r="N480" i="48"/>
  <c r="N481" i="48"/>
  <c r="N482" i="48"/>
  <c r="N483" i="48"/>
  <c r="N484" i="48"/>
  <c r="N485" i="48"/>
  <c r="N486" i="48"/>
  <c r="N487" i="48"/>
  <c r="N488" i="48"/>
  <c r="N489" i="48"/>
  <c r="N490" i="48"/>
  <c r="N491" i="48"/>
  <c r="N492" i="48"/>
  <c r="N493" i="48"/>
  <c r="N494" i="48"/>
  <c r="N495" i="48"/>
  <c r="N496" i="48"/>
  <c r="N497" i="48"/>
  <c r="N498" i="48"/>
  <c r="N499" i="48"/>
  <c r="N500" i="48"/>
  <c r="N501" i="48"/>
  <c r="N502" i="48"/>
  <c r="N503" i="48"/>
  <c r="N504" i="48"/>
  <c r="N505" i="48"/>
  <c r="N506" i="48"/>
  <c r="N507" i="48"/>
  <c r="N508" i="48"/>
  <c r="N509" i="48"/>
  <c r="N510" i="48"/>
  <c r="N511" i="48"/>
  <c r="N512" i="48"/>
  <c r="N513" i="48"/>
  <c r="N514" i="48"/>
  <c r="N515" i="48"/>
  <c r="N516" i="48"/>
  <c r="N517" i="48"/>
  <c r="N518" i="48"/>
  <c r="N519" i="48"/>
  <c r="N520" i="48"/>
  <c r="N521" i="48"/>
  <c r="N522" i="48"/>
  <c r="N523" i="48"/>
  <c r="N524" i="48"/>
  <c r="N525" i="48"/>
  <c r="N526" i="48"/>
  <c r="N527" i="48"/>
  <c r="N528" i="48"/>
  <c r="N529" i="48"/>
  <c r="N530" i="48"/>
  <c r="N531" i="48"/>
  <c r="N532" i="48"/>
  <c r="N533" i="48"/>
  <c r="N534" i="48"/>
  <c r="N535" i="48"/>
  <c r="N536" i="48"/>
  <c r="N537" i="48"/>
  <c r="N538" i="48"/>
  <c r="N539" i="48"/>
  <c r="N540" i="48"/>
  <c r="N541" i="48"/>
  <c r="N542" i="48"/>
  <c r="N543" i="48"/>
  <c r="N544" i="48"/>
  <c r="N545" i="48"/>
  <c r="N546" i="48"/>
  <c r="N547" i="48"/>
  <c r="N548" i="48"/>
  <c r="N549" i="48"/>
  <c r="N550" i="48"/>
  <c r="N551" i="48"/>
  <c r="N552" i="48"/>
  <c r="N553" i="48"/>
  <c r="N554" i="48"/>
  <c r="N555" i="48"/>
  <c r="N556" i="48"/>
  <c r="N557" i="48"/>
  <c r="N558" i="48"/>
  <c r="N559" i="48"/>
  <c r="N560" i="48"/>
  <c r="N561" i="48"/>
  <c r="N562" i="48"/>
  <c r="N563" i="48"/>
  <c r="N564" i="48"/>
  <c r="N565" i="48"/>
  <c r="N566" i="48"/>
  <c r="N567" i="48"/>
  <c r="N568" i="48"/>
  <c r="N569" i="48"/>
  <c r="N570" i="48"/>
  <c r="N571" i="48"/>
  <c r="N572" i="48"/>
  <c r="N573" i="48"/>
  <c r="N574" i="48"/>
  <c r="N575" i="48"/>
  <c r="N576" i="48"/>
  <c r="N577" i="48"/>
  <c r="N578" i="48"/>
  <c r="N579" i="48"/>
  <c r="N580" i="48"/>
  <c r="N581" i="48"/>
  <c r="N582" i="48"/>
  <c r="N583" i="48"/>
  <c r="N584" i="48"/>
  <c r="N585" i="48"/>
  <c r="N586" i="48"/>
  <c r="N587" i="48"/>
  <c r="N588" i="48"/>
  <c r="N589" i="48"/>
  <c r="N590" i="48"/>
  <c r="N591" i="48"/>
  <c r="N592" i="48"/>
  <c r="N593" i="48"/>
  <c r="N594" i="48"/>
  <c r="N595" i="48"/>
  <c r="N596" i="48"/>
  <c r="N597" i="48"/>
  <c r="N598" i="48"/>
  <c r="N599" i="48"/>
  <c r="N600" i="48"/>
  <c r="N601" i="48"/>
  <c r="N602" i="48"/>
  <c r="N603" i="48"/>
  <c r="N604" i="48"/>
  <c r="N605" i="48"/>
  <c r="N606" i="48"/>
  <c r="N607" i="48"/>
  <c r="N608" i="48"/>
  <c r="N609" i="48"/>
  <c r="N610" i="48"/>
  <c r="N611" i="48"/>
  <c r="N612" i="48"/>
  <c r="N613" i="48"/>
  <c r="N614" i="48"/>
  <c r="N615" i="48"/>
  <c r="N616" i="48"/>
  <c r="N617" i="48"/>
  <c r="N618" i="48"/>
  <c r="N619" i="48"/>
  <c r="N620" i="48"/>
  <c r="N621" i="48"/>
  <c r="N622" i="48"/>
  <c r="N623" i="48"/>
  <c r="N624" i="48"/>
  <c r="N625" i="48"/>
  <c r="N626" i="48"/>
  <c r="N627" i="48"/>
  <c r="N628" i="48"/>
  <c r="N629" i="48"/>
  <c r="N630" i="48"/>
  <c r="N631" i="48"/>
  <c r="N632" i="48"/>
  <c r="N633" i="48"/>
  <c r="N634" i="48"/>
  <c r="N635" i="48"/>
  <c r="N636" i="48"/>
  <c r="N637" i="48"/>
  <c r="N638" i="48"/>
  <c r="N639" i="48"/>
  <c r="N640" i="48"/>
  <c r="N641" i="48"/>
  <c r="N642" i="48"/>
  <c r="N643" i="48"/>
  <c r="N644" i="48"/>
  <c r="N645" i="48"/>
  <c r="N646" i="48"/>
  <c r="N647" i="48"/>
  <c r="N648" i="48"/>
  <c r="N649" i="48"/>
  <c r="N650" i="48"/>
  <c r="N651" i="48"/>
  <c r="N652" i="48"/>
  <c r="N653" i="48"/>
  <c r="N654" i="48"/>
  <c r="N655" i="48"/>
  <c r="N656" i="48"/>
  <c r="N657" i="48"/>
  <c r="N658" i="48"/>
  <c r="N659" i="48"/>
  <c r="N660" i="48"/>
  <c r="N661" i="48"/>
  <c r="N662" i="48"/>
  <c r="N663" i="48"/>
  <c r="N664" i="48"/>
  <c r="N665" i="48"/>
  <c r="N666" i="48"/>
  <c r="N667" i="48"/>
  <c r="N668" i="48"/>
  <c r="N669" i="48"/>
  <c r="N670" i="48"/>
  <c r="N671" i="48"/>
  <c r="N672" i="48"/>
  <c r="N673" i="48"/>
  <c r="N674" i="48"/>
  <c r="N675" i="48"/>
  <c r="N676" i="48"/>
  <c r="N677" i="48"/>
  <c r="N678" i="48"/>
  <c r="N679" i="48"/>
  <c r="N680" i="48"/>
  <c r="N681" i="48"/>
  <c r="N682" i="48"/>
  <c r="N683" i="48"/>
  <c r="N684" i="48"/>
  <c r="N685" i="48"/>
  <c r="N686" i="48"/>
  <c r="N687" i="48"/>
  <c r="N688" i="48"/>
  <c r="N689" i="48"/>
  <c r="N690" i="48"/>
  <c r="N691" i="48"/>
  <c r="N692" i="48"/>
  <c r="N693" i="48"/>
  <c r="N694" i="48"/>
  <c r="N695" i="48"/>
  <c r="N696" i="48"/>
  <c r="N697" i="48"/>
  <c r="N698" i="48"/>
  <c r="N699" i="48"/>
  <c r="N700" i="48"/>
  <c r="N701" i="48"/>
  <c r="N702" i="48"/>
  <c r="N703" i="48"/>
  <c r="N704" i="48"/>
  <c r="N705" i="48"/>
  <c r="N706" i="48"/>
  <c r="N707" i="48"/>
  <c r="N708" i="48"/>
  <c r="N709" i="48"/>
  <c r="N710" i="48"/>
  <c r="N711" i="48"/>
  <c r="N712" i="48"/>
  <c r="N713" i="48"/>
  <c r="N714" i="48"/>
  <c r="N715" i="48"/>
  <c r="N716" i="48"/>
  <c r="N717" i="48"/>
  <c r="N718" i="48"/>
  <c r="N719" i="48"/>
  <c r="N720" i="48"/>
  <c r="N721" i="48"/>
  <c r="N722" i="48"/>
  <c r="N723" i="48"/>
  <c r="N724" i="48"/>
  <c r="N725" i="48"/>
  <c r="N726" i="48"/>
  <c r="N727" i="48"/>
  <c r="N728" i="48"/>
  <c r="N729" i="48"/>
  <c r="N730" i="48"/>
  <c r="N731" i="48"/>
  <c r="N732" i="48"/>
  <c r="N733" i="48"/>
  <c r="N734" i="48"/>
  <c r="N735" i="48"/>
  <c r="N736" i="48"/>
  <c r="N737" i="48"/>
  <c r="N738" i="48"/>
  <c r="N739" i="48"/>
  <c r="N740" i="48"/>
  <c r="N741" i="48"/>
  <c r="N742" i="48"/>
  <c r="N743" i="48"/>
  <c r="N744" i="48"/>
  <c r="N745" i="48"/>
  <c r="N746" i="48"/>
  <c r="N747" i="48"/>
  <c r="N748" i="48"/>
  <c r="N749" i="48"/>
  <c r="N750" i="48"/>
  <c r="N751" i="48"/>
  <c r="N752" i="48"/>
  <c r="N753" i="48"/>
  <c r="N754" i="48"/>
  <c r="N755" i="48"/>
  <c r="N756" i="48"/>
  <c r="N757" i="48"/>
  <c r="N758" i="48"/>
  <c r="N759" i="48"/>
  <c r="N760" i="48"/>
  <c r="N761" i="48"/>
  <c r="N762" i="48"/>
  <c r="N763" i="48"/>
  <c r="N764" i="48"/>
  <c r="N765" i="48"/>
  <c r="N766" i="48"/>
  <c r="N767" i="48"/>
  <c r="N768" i="48"/>
  <c r="N769" i="48"/>
  <c r="N770" i="48"/>
  <c r="N771" i="48"/>
  <c r="N772" i="48"/>
  <c r="N773" i="48"/>
  <c r="N774" i="48"/>
  <c r="N775" i="48"/>
  <c r="N776" i="48"/>
  <c r="N777" i="48"/>
  <c r="N778" i="48"/>
  <c r="N779" i="48"/>
  <c r="N780" i="48"/>
  <c r="N781" i="48"/>
  <c r="N782" i="48"/>
  <c r="N783" i="48"/>
  <c r="N784" i="48"/>
  <c r="N785" i="48"/>
  <c r="N786" i="48"/>
  <c r="N787" i="48"/>
  <c r="N788" i="48"/>
  <c r="N789" i="48"/>
  <c r="N790" i="48"/>
  <c r="N791" i="48"/>
  <c r="N792" i="48"/>
  <c r="N793" i="48"/>
  <c r="N794" i="48"/>
  <c r="N795" i="48"/>
  <c r="N796" i="48"/>
  <c r="N797" i="48"/>
  <c r="N798" i="48"/>
  <c r="N799" i="48"/>
  <c r="N800" i="48"/>
  <c r="N801" i="48"/>
  <c r="N802" i="48"/>
  <c r="N803" i="48"/>
  <c r="N804" i="48"/>
  <c r="N805" i="48"/>
  <c r="N806" i="48"/>
  <c r="N807" i="48"/>
  <c r="N808" i="48"/>
  <c r="N809" i="48"/>
  <c r="N810" i="48"/>
  <c r="N811" i="48"/>
  <c r="N812" i="48"/>
  <c r="N813" i="48"/>
  <c r="N814" i="48"/>
  <c r="N815" i="48"/>
  <c r="N816" i="48"/>
  <c r="N817" i="48"/>
  <c r="N818" i="48"/>
  <c r="N819" i="48"/>
  <c r="N820" i="48"/>
  <c r="N821" i="48"/>
  <c r="N822" i="48"/>
  <c r="N823" i="48"/>
  <c r="N824" i="48"/>
  <c r="N825" i="48"/>
  <c r="N826" i="48"/>
  <c r="N827" i="48"/>
  <c r="N828" i="48"/>
  <c r="N829" i="48"/>
  <c r="N830" i="48"/>
  <c r="N831" i="48"/>
  <c r="N832" i="48"/>
  <c r="N833" i="48"/>
  <c r="N834" i="48"/>
  <c r="N835" i="48"/>
  <c r="N836" i="48"/>
  <c r="N837" i="48"/>
  <c r="N838" i="48"/>
  <c r="N839" i="48"/>
  <c r="N840" i="48"/>
  <c r="N841" i="48"/>
  <c r="N842" i="48"/>
  <c r="N843" i="48"/>
  <c r="N844" i="48"/>
  <c r="N845" i="48"/>
  <c r="N846" i="48"/>
  <c r="N847" i="48"/>
  <c r="N848" i="48"/>
  <c r="N849" i="48"/>
  <c r="N850" i="48"/>
  <c r="N851" i="48"/>
  <c r="N852" i="48"/>
  <c r="N853" i="48"/>
  <c r="N854" i="48"/>
  <c r="N855" i="48"/>
  <c r="N856" i="48"/>
  <c r="N857" i="48"/>
  <c r="N858" i="48"/>
  <c r="N859" i="48"/>
  <c r="N860" i="48"/>
  <c r="N861" i="48"/>
  <c r="N862" i="48"/>
  <c r="N863" i="48"/>
  <c r="N864" i="48"/>
  <c r="N865" i="48"/>
  <c r="N866" i="48"/>
  <c r="N867" i="48"/>
  <c r="N868" i="48"/>
  <c r="N869" i="48"/>
  <c r="N870" i="48"/>
  <c r="N871" i="48"/>
  <c r="N872" i="48"/>
  <c r="N873" i="48"/>
  <c r="N874" i="48"/>
  <c r="N875" i="48"/>
  <c r="N876" i="48"/>
  <c r="N877" i="48"/>
  <c r="N878" i="48"/>
  <c r="N879" i="48"/>
  <c r="N880" i="48"/>
  <c r="N881" i="48"/>
  <c r="N882" i="48"/>
  <c r="N883" i="48"/>
  <c r="N884" i="48"/>
  <c r="N885" i="48"/>
  <c r="N886" i="48"/>
  <c r="N887" i="48"/>
  <c r="N888" i="48"/>
  <c r="N889" i="48"/>
  <c r="N890" i="48"/>
  <c r="N891" i="48"/>
  <c r="N892" i="48"/>
  <c r="N893" i="48"/>
  <c r="N894" i="48"/>
  <c r="N895" i="48"/>
  <c r="N896" i="48"/>
  <c r="N897" i="48"/>
  <c r="N898" i="48"/>
  <c r="N899" i="48"/>
  <c r="N900" i="48"/>
  <c r="N901" i="48"/>
  <c r="N902" i="48"/>
  <c r="N903" i="48"/>
  <c r="N904" i="48"/>
  <c r="N905" i="48"/>
  <c r="N906" i="48"/>
  <c r="N907" i="48"/>
  <c r="N908" i="48"/>
  <c r="N909" i="48"/>
  <c r="N910" i="48"/>
  <c r="N911" i="48"/>
  <c r="N912" i="48"/>
  <c r="N913" i="48"/>
  <c r="N914" i="48"/>
  <c r="N915" i="48"/>
  <c r="N916" i="48"/>
  <c r="N917" i="48"/>
  <c r="N918" i="48"/>
  <c r="N919" i="48"/>
  <c r="N920" i="48"/>
  <c r="N921" i="48"/>
  <c r="N922" i="48"/>
  <c r="N923" i="48"/>
  <c r="N924" i="48"/>
  <c r="N925" i="48"/>
  <c r="N926" i="48"/>
  <c r="N927" i="48"/>
  <c r="N928" i="48"/>
  <c r="N929" i="48"/>
  <c r="N930" i="48"/>
  <c r="N931" i="48"/>
  <c r="N932" i="48"/>
  <c r="N933" i="48"/>
  <c r="N934" i="48"/>
  <c r="N935" i="48"/>
  <c r="N936" i="48"/>
  <c r="N937" i="48"/>
  <c r="N938" i="48"/>
  <c r="N939" i="48"/>
  <c r="N940" i="48"/>
  <c r="N941" i="48"/>
  <c r="N942" i="48"/>
  <c r="N943" i="48"/>
  <c r="N944" i="48"/>
  <c r="N945" i="48"/>
  <c r="N946" i="48"/>
  <c r="N947" i="48"/>
  <c r="N948" i="48"/>
  <c r="N949" i="48"/>
  <c r="N950" i="48"/>
  <c r="N951" i="48"/>
  <c r="N952" i="48"/>
  <c r="N953" i="48"/>
  <c r="N954" i="48"/>
  <c r="N955" i="48"/>
  <c r="N956" i="48"/>
  <c r="N957" i="48"/>
  <c r="N958" i="48"/>
  <c r="N959" i="48"/>
  <c r="N960" i="48"/>
  <c r="N961" i="48"/>
  <c r="N962" i="48"/>
  <c r="N963" i="48"/>
  <c r="N964" i="48"/>
  <c r="N965" i="48"/>
  <c r="N966" i="48"/>
  <c r="N967" i="48"/>
  <c r="N968" i="48"/>
  <c r="N969" i="48"/>
  <c r="N970" i="48"/>
  <c r="N971" i="48"/>
  <c r="N972" i="48"/>
  <c r="N973" i="48"/>
  <c r="N974" i="48"/>
  <c r="N975" i="48"/>
  <c r="N976" i="48"/>
  <c r="N977" i="48"/>
  <c r="N978" i="48"/>
  <c r="N979" i="48"/>
  <c r="N980" i="48"/>
  <c r="N981" i="48"/>
  <c r="N982" i="48"/>
  <c r="N983" i="48"/>
  <c r="N984" i="48"/>
  <c r="N985" i="48"/>
  <c r="N986" i="48"/>
  <c r="N987" i="48"/>
  <c r="N988" i="48"/>
  <c r="N989" i="48"/>
  <c r="N990" i="48"/>
  <c r="N991" i="48"/>
  <c r="N992" i="48"/>
  <c r="N993" i="48"/>
  <c r="N994" i="48"/>
  <c r="N995" i="48"/>
  <c r="N996" i="48"/>
  <c r="N997" i="48"/>
  <c r="N998" i="48"/>
  <c r="N999" i="48"/>
  <c r="N1000" i="48"/>
  <c r="N1001" i="48"/>
  <c r="N18" i="28"/>
  <c r="N19" i="28"/>
  <c r="N20" i="28"/>
  <c r="N21" i="28"/>
  <c r="N22" i="28"/>
  <c r="N23" i="28"/>
  <c r="N24" i="28"/>
  <c r="N25" i="28"/>
  <c r="N26" i="28"/>
  <c r="N27" i="28"/>
  <c r="N28" i="28"/>
  <c r="N29" i="28"/>
  <c r="N30" i="28"/>
  <c r="N31" i="28"/>
  <c r="N32" i="28"/>
  <c r="N33" i="28"/>
  <c r="N34" i="28"/>
  <c r="N35" i="28"/>
  <c r="N36" i="28"/>
  <c r="N37" i="28"/>
  <c r="N38" i="28"/>
  <c r="N39" i="28"/>
  <c r="N40" i="28"/>
  <c r="N41" i="28"/>
  <c r="N42" i="28"/>
  <c r="N43" i="28"/>
  <c r="N44" i="28"/>
  <c r="N45" i="28"/>
  <c r="N46" i="28"/>
  <c r="N47" i="28"/>
  <c r="N48" i="28"/>
  <c r="N49" i="28"/>
  <c r="N50" i="28"/>
  <c r="N51" i="28"/>
  <c r="N52" i="28"/>
  <c r="N53" i="28"/>
  <c r="N54" i="28"/>
  <c r="N55" i="28"/>
  <c r="N56" i="28"/>
  <c r="N57" i="28"/>
  <c r="N58" i="28"/>
  <c r="N59" i="28"/>
  <c r="N60" i="28"/>
  <c r="N61" i="28"/>
  <c r="N62" i="28"/>
  <c r="N63" i="28"/>
  <c r="N64" i="28"/>
  <c r="N65" i="28"/>
  <c r="N66" i="28"/>
  <c r="N67" i="28"/>
  <c r="N68" i="28"/>
  <c r="N69" i="28"/>
  <c r="N70" i="28"/>
  <c r="N71" i="28"/>
  <c r="N72" i="28"/>
  <c r="N73" i="28"/>
  <c r="N74" i="28"/>
  <c r="N75" i="28"/>
  <c r="N76" i="28"/>
  <c r="N77" i="28"/>
  <c r="N78" i="28"/>
  <c r="N79" i="28"/>
  <c r="N80" i="28"/>
  <c r="N81" i="28"/>
  <c r="N82" i="28"/>
  <c r="N83" i="28"/>
  <c r="N84" i="28"/>
  <c r="N85" i="28"/>
  <c r="N86" i="28"/>
  <c r="N87" i="28"/>
  <c r="N88" i="28"/>
  <c r="N89" i="28"/>
  <c r="N90" i="28"/>
  <c r="N91" i="28"/>
  <c r="N92" i="28"/>
  <c r="N93" i="28"/>
  <c r="N94" i="28"/>
  <c r="N95" i="28"/>
  <c r="N96" i="28"/>
  <c r="N97" i="28"/>
  <c r="N98" i="28"/>
  <c r="N99" i="28"/>
  <c r="N100" i="28"/>
  <c r="N101" i="28"/>
  <c r="N102" i="28"/>
  <c r="N103" i="28"/>
  <c r="N104" i="28"/>
  <c r="N105" i="28"/>
  <c r="N106" i="28"/>
  <c r="N107" i="28"/>
  <c r="N108" i="28"/>
  <c r="N109" i="28"/>
  <c r="N110" i="28"/>
  <c r="N111" i="28"/>
  <c r="N112" i="28"/>
  <c r="N113" i="28"/>
  <c r="N114" i="28"/>
  <c r="N115" i="28"/>
  <c r="N116" i="28"/>
  <c r="N117" i="28"/>
  <c r="N118" i="28"/>
  <c r="N119" i="28"/>
  <c r="N120" i="28"/>
  <c r="N121" i="28"/>
  <c r="N122" i="28"/>
  <c r="N123" i="28"/>
  <c r="N124" i="28"/>
  <c r="N125" i="28"/>
  <c r="N126" i="28"/>
  <c r="N127" i="28"/>
  <c r="N128" i="28"/>
  <c r="N129" i="28"/>
  <c r="N130" i="28"/>
  <c r="N131" i="28"/>
  <c r="N132" i="28"/>
  <c r="N133" i="28"/>
  <c r="N134" i="28"/>
  <c r="N135" i="28"/>
  <c r="N136" i="28"/>
  <c r="N137" i="28"/>
  <c r="N138" i="28"/>
  <c r="N139" i="28"/>
  <c r="N140" i="28"/>
  <c r="N141" i="28"/>
  <c r="N142" i="28"/>
  <c r="N143" i="28"/>
  <c r="N144" i="28"/>
  <c r="N145" i="28"/>
  <c r="N146" i="28"/>
  <c r="N147" i="28"/>
  <c r="N148" i="28"/>
  <c r="N149" i="28"/>
  <c r="N150" i="28"/>
  <c r="N151" i="28"/>
  <c r="N152" i="28"/>
  <c r="N153" i="28"/>
  <c r="N154" i="28"/>
  <c r="N155" i="28"/>
  <c r="N156" i="28"/>
  <c r="N157" i="28"/>
  <c r="N158" i="28"/>
  <c r="N159" i="28"/>
  <c r="N160" i="28"/>
  <c r="N161" i="28"/>
  <c r="N162" i="28"/>
  <c r="N163" i="28"/>
  <c r="N164" i="28"/>
  <c r="N165" i="28"/>
  <c r="N166" i="28"/>
  <c r="N167" i="28"/>
  <c r="N168" i="28"/>
  <c r="N169" i="28"/>
  <c r="N170" i="28"/>
  <c r="N171" i="28"/>
  <c r="N172" i="28"/>
  <c r="N173" i="28"/>
  <c r="N174" i="28"/>
  <c r="N175" i="28"/>
  <c r="N176" i="28"/>
  <c r="N177" i="28"/>
  <c r="N178" i="28"/>
  <c r="N179" i="28"/>
  <c r="N180" i="28"/>
  <c r="N181" i="28"/>
  <c r="N182" i="28"/>
  <c r="N183" i="28"/>
  <c r="N184" i="28"/>
  <c r="N185" i="28"/>
  <c r="N186" i="28"/>
  <c r="N187" i="28"/>
  <c r="N188" i="28"/>
  <c r="N189" i="28"/>
  <c r="N190" i="28"/>
  <c r="N191" i="28"/>
  <c r="N192" i="28"/>
  <c r="N193" i="28"/>
  <c r="N194" i="28"/>
  <c r="N195" i="28"/>
  <c r="N196" i="28"/>
  <c r="N197" i="28"/>
  <c r="N198" i="28"/>
  <c r="N199" i="28"/>
  <c r="N200" i="28"/>
  <c r="N201" i="28"/>
  <c r="N202" i="28"/>
  <c r="N203" i="28"/>
  <c r="N204" i="28"/>
  <c r="N205" i="28"/>
  <c r="N206" i="28"/>
  <c r="N207" i="28"/>
  <c r="N208" i="28"/>
  <c r="N209" i="28"/>
  <c r="N210" i="28"/>
  <c r="N211" i="28"/>
  <c r="N212" i="28"/>
  <c r="N213" i="28"/>
  <c r="N214" i="28"/>
  <c r="N215" i="28"/>
  <c r="N216" i="28"/>
  <c r="N217" i="28"/>
  <c r="N218" i="28"/>
  <c r="N219" i="28"/>
  <c r="N220" i="28"/>
  <c r="N221" i="28"/>
  <c r="N222" i="28"/>
  <c r="N223" i="28"/>
  <c r="N224" i="28"/>
  <c r="N225" i="28"/>
  <c r="N226" i="28"/>
  <c r="N227" i="28"/>
  <c r="N228" i="28"/>
  <c r="N229" i="28"/>
  <c r="N230" i="28"/>
  <c r="N231" i="28"/>
  <c r="N232" i="28"/>
  <c r="N233" i="28"/>
  <c r="N234" i="28"/>
  <c r="N235" i="28"/>
  <c r="N236" i="28"/>
  <c r="N237" i="28"/>
  <c r="N238" i="28"/>
  <c r="N239" i="28"/>
  <c r="N240" i="28"/>
  <c r="N241" i="28"/>
  <c r="N242" i="28"/>
  <c r="N243" i="28"/>
  <c r="N244" i="28"/>
  <c r="N245" i="28"/>
  <c r="N246" i="28"/>
  <c r="N247" i="28"/>
  <c r="N248" i="28"/>
  <c r="N249" i="28"/>
  <c r="N250" i="28"/>
  <c r="N251" i="28"/>
  <c r="N252" i="28"/>
  <c r="N253" i="28"/>
  <c r="N254" i="28"/>
  <c r="N255" i="28"/>
  <c r="N256" i="28"/>
  <c r="N257" i="28"/>
  <c r="N258" i="28"/>
  <c r="N259" i="28"/>
  <c r="N260" i="28"/>
  <c r="N261" i="28"/>
  <c r="N262" i="28"/>
  <c r="N263" i="28"/>
  <c r="N264" i="28"/>
  <c r="N265" i="28"/>
  <c r="N266" i="28"/>
  <c r="N267" i="28"/>
  <c r="N268" i="28"/>
  <c r="N269" i="28"/>
  <c r="N270" i="28"/>
  <c r="N271" i="28"/>
  <c r="N272" i="28"/>
  <c r="N273" i="28"/>
  <c r="N274" i="28"/>
  <c r="N275" i="28"/>
  <c r="N276" i="28"/>
  <c r="N277" i="28"/>
  <c r="N278" i="28"/>
  <c r="N279" i="28"/>
  <c r="N280" i="28"/>
  <c r="N281" i="28"/>
  <c r="N282" i="28"/>
  <c r="N283" i="28"/>
  <c r="N284" i="28"/>
  <c r="N285" i="28"/>
  <c r="N286" i="28"/>
  <c r="N287" i="28"/>
  <c r="N288" i="28"/>
  <c r="N289" i="28"/>
  <c r="N290" i="28"/>
  <c r="N291" i="28"/>
  <c r="N292" i="28"/>
  <c r="N293" i="28"/>
  <c r="N294" i="28"/>
  <c r="N295" i="28"/>
  <c r="N296" i="28"/>
  <c r="N297" i="28"/>
  <c r="N298" i="28"/>
  <c r="N299" i="28"/>
  <c r="N300" i="28"/>
  <c r="N301" i="28"/>
  <c r="N302" i="28"/>
  <c r="N303" i="28"/>
  <c r="N304" i="28"/>
  <c r="N305" i="28"/>
  <c r="N306" i="28"/>
  <c r="N307" i="28"/>
  <c r="N308" i="28"/>
  <c r="N309" i="28"/>
  <c r="N310" i="28"/>
  <c r="N311" i="28"/>
  <c r="N312" i="28"/>
  <c r="N313" i="28"/>
  <c r="N314" i="28"/>
  <c r="N315" i="28"/>
  <c r="N316" i="28"/>
  <c r="N317" i="28"/>
  <c r="N318" i="28"/>
  <c r="N319" i="28"/>
  <c r="N320" i="28"/>
  <c r="N321" i="28"/>
  <c r="N322" i="28"/>
  <c r="N323" i="28"/>
  <c r="N324" i="28"/>
  <c r="N325" i="28"/>
  <c r="N326" i="28"/>
  <c r="N327" i="28"/>
  <c r="N328" i="28"/>
  <c r="N329" i="28"/>
  <c r="N330" i="28"/>
  <c r="N331" i="28"/>
  <c r="N332" i="28"/>
  <c r="N333" i="28"/>
  <c r="N334" i="28"/>
  <c r="N335" i="28"/>
  <c r="N336" i="28"/>
  <c r="N337" i="28"/>
  <c r="N338" i="28"/>
  <c r="N339" i="28"/>
  <c r="N340" i="28"/>
  <c r="N341" i="28"/>
  <c r="N342" i="28"/>
  <c r="N343" i="28"/>
  <c r="N344" i="28"/>
  <c r="N345" i="28"/>
  <c r="N346" i="28"/>
  <c r="N347" i="28"/>
  <c r="N348" i="28"/>
  <c r="N349" i="28"/>
  <c r="N350" i="28"/>
  <c r="N351" i="28"/>
  <c r="N352" i="28"/>
  <c r="N353" i="28"/>
  <c r="N354" i="28"/>
  <c r="N355" i="28"/>
  <c r="N356" i="28"/>
  <c r="N357" i="28"/>
  <c r="N358" i="28"/>
  <c r="N359" i="28"/>
  <c r="N360" i="28"/>
  <c r="N361" i="28"/>
  <c r="N362" i="28"/>
  <c r="N363" i="28"/>
  <c r="N364" i="28"/>
  <c r="N365" i="28"/>
  <c r="N366" i="28"/>
  <c r="N367" i="28"/>
  <c r="N368" i="28"/>
  <c r="N369" i="28"/>
  <c r="N370" i="28"/>
  <c r="N371" i="28"/>
  <c r="N372" i="28"/>
  <c r="N373" i="28"/>
  <c r="N374" i="28"/>
  <c r="N375" i="28"/>
  <c r="N376" i="28"/>
  <c r="N377" i="28"/>
  <c r="N378" i="28"/>
  <c r="N379" i="28"/>
  <c r="N380" i="28"/>
  <c r="N381" i="28"/>
  <c r="N382" i="28"/>
  <c r="N383" i="28"/>
  <c r="N384" i="28"/>
  <c r="N385" i="28"/>
  <c r="N386" i="28"/>
  <c r="N387" i="28"/>
  <c r="N388" i="28"/>
  <c r="N389" i="28"/>
  <c r="N390" i="28"/>
  <c r="N391" i="28"/>
  <c r="N392" i="28"/>
  <c r="N393" i="28"/>
  <c r="N394" i="28"/>
  <c r="N395" i="28"/>
  <c r="N396" i="28"/>
  <c r="N397" i="28"/>
  <c r="N398" i="28"/>
  <c r="N399" i="28"/>
  <c r="N400" i="28"/>
  <c r="N401" i="28"/>
  <c r="N402" i="28"/>
  <c r="N403" i="28"/>
  <c r="N404" i="28"/>
  <c r="N405" i="28"/>
  <c r="N406" i="28"/>
  <c r="N407" i="28"/>
  <c r="N408" i="28"/>
  <c r="N409" i="28"/>
  <c r="N410" i="28"/>
  <c r="N411" i="28"/>
  <c r="N412" i="28"/>
  <c r="N413" i="28"/>
  <c r="N414" i="28"/>
  <c r="N415" i="28"/>
  <c r="N416" i="28"/>
  <c r="N417" i="28"/>
  <c r="N418" i="28"/>
  <c r="N419" i="28"/>
  <c r="N420" i="28"/>
  <c r="N421" i="28"/>
  <c r="N422" i="28"/>
  <c r="N423" i="28"/>
  <c r="N424" i="28"/>
  <c r="N425" i="28"/>
  <c r="N426" i="28"/>
  <c r="N427" i="28"/>
  <c r="N428" i="28"/>
  <c r="N429" i="28"/>
  <c r="N430" i="28"/>
  <c r="N431" i="28"/>
  <c r="N432" i="28"/>
  <c r="N433" i="28"/>
  <c r="N434" i="28"/>
  <c r="N435" i="28"/>
  <c r="N436" i="28"/>
  <c r="N437" i="28"/>
  <c r="N438" i="28"/>
  <c r="N439" i="28"/>
  <c r="N440" i="28"/>
  <c r="N441" i="28"/>
  <c r="N442" i="28"/>
  <c r="N443" i="28"/>
  <c r="N444" i="28"/>
  <c r="N445" i="28"/>
  <c r="N446" i="28"/>
  <c r="N447" i="28"/>
  <c r="N448" i="28"/>
  <c r="N449" i="28"/>
  <c r="N450" i="28"/>
  <c r="N451" i="28"/>
  <c r="N452" i="28"/>
  <c r="N453" i="28"/>
  <c r="N454" i="28"/>
  <c r="N455" i="28"/>
  <c r="N456" i="28"/>
  <c r="N457" i="28"/>
  <c r="N458" i="28"/>
  <c r="N459" i="28"/>
  <c r="N460" i="28"/>
  <c r="N461" i="28"/>
  <c r="N462" i="28"/>
  <c r="N463" i="28"/>
  <c r="N464" i="28"/>
  <c r="N465" i="28"/>
  <c r="N466" i="28"/>
  <c r="N467" i="28"/>
  <c r="N468" i="28"/>
  <c r="N469" i="28"/>
  <c r="N470" i="28"/>
  <c r="N471" i="28"/>
  <c r="N472" i="28"/>
  <c r="N473" i="28"/>
  <c r="N474" i="28"/>
  <c r="N475" i="28"/>
  <c r="N476" i="28"/>
  <c r="N477" i="28"/>
  <c r="N478" i="28"/>
  <c r="N479" i="28"/>
  <c r="N480" i="28"/>
  <c r="N481" i="28"/>
  <c r="N482" i="28"/>
  <c r="N483" i="28"/>
  <c r="N484" i="28"/>
  <c r="N485" i="28"/>
  <c r="N486" i="28"/>
  <c r="N487" i="28"/>
  <c r="N488" i="28"/>
  <c r="N489" i="28"/>
  <c r="N490" i="28"/>
  <c r="N491" i="28"/>
  <c r="N492" i="28"/>
  <c r="N493" i="28"/>
  <c r="N494" i="28"/>
  <c r="N495" i="28"/>
  <c r="N496" i="28"/>
  <c r="N497" i="28"/>
  <c r="N498" i="28"/>
  <c r="N499" i="28"/>
  <c r="N500" i="28"/>
  <c r="N501" i="28"/>
  <c r="N502" i="28"/>
  <c r="N503" i="28"/>
  <c r="N504" i="28"/>
  <c r="N505" i="28"/>
  <c r="N506" i="28"/>
  <c r="N507" i="28"/>
  <c r="N508" i="28"/>
  <c r="N509" i="28"/>
  <c r="N510" i="28"/>
  <c r="N511" i="28"/>
  <c r="N512" i="28"/>
  <c r="N513" i="28"/>
  <c r="N514" i="28"/>
  <c r="N515" i="28"/>
  <c r="N516" i="28"/>
  <c r="N517" i="28"/>
  <c r="N518" i="28"/>
  <c r="N519" i="28"/>
  <c r="N520" i="28"/>
  <c r="N521" i="28"/>
  <c r="N522" i="28"/>
  <c r="N523" i="28"/>
  <c r="N524" i="28"/>
  <c r="N525" i="28"/>
  <c r="N526" i="28"/>
  <c r="N527" i="28"/>
  <c r="N528" i="28"/>
  <c r="N529" i="28"/>
  <c r="N530" i="28"/>
  <c r="N531" i="28"/>
  <c r="N532" i="28"/>
  <c r="N533" i="28"/>
  <c r="N534" i="28"/>
  <c r="N535" i="28"/>
  <c r="N536" i="28"/>
  <c r="N537" i="28"/>
  <c r="N538" i="28"/>
  <c r="N539" i="28"/>
  <c r="N540" i="28"/>
  <c r="N541" i="28"/>
  <c r="N542" i="28"/>
  <c r="N543" i="28"/>
  <c r="N544" i="28"/>
  <c r="N545" i="28"/>
  <c r="N546" i="28"/>
  <c r="N547" i="28"/>
  <c r="N548" i="28"/>
  <c r="N549" i="28"/>
  <c r="N550" i="28"/>
  <c r="N551" i="28"/>
  <c r="N552" i="28"/>
  <c r="N553" i="28"/>
  <c r="N554" i="28"/>
  <c r="N555" i="28"/>
  <c r="N556" i="28"/>
  <c r="N557" i="28"/>
  <c r="N558" i="28"/>
  <c r="N559" i="28"/>
  <c r="N560" i="28"/>
  <c r="N561" i="28"/>
  <c r="N562" i="28"/>
  <c r="N563" i="28"/>
  <c r="N564" i="28"/>
  <c r="N565" i="28"/>
  <c r="N566" i="28"/>
  <c r="N567" i="28"/>
  <c r="N568" i="28"/>
  <c r="N569" i="28"/>
  <c r="N570" i="28"/>
  <c r="N571" i="28"/>
  <c r="N572" i="28"/>
  <c r="N573" i="28"/>
  <c r="N574" i="28"/>
  <c r="N575" i="28"/>
  <c r="N576" i="28"/>
  <c r="N577" i="28"/>
  <c r="N578" i="28"/>
  <c r="N579" i="28"/>
  <c r="N580" i="28"/>
  <c r="N581" i="28"/>
  <c r="N582" i="28"/>
  <c r="N583" i="28"/>
  <c r="N584" i="28"/>
  <c r="N585" i="28"/>
  <c r="N586" i="28"/>
  <c r="N587" i="28"/>
  <c r="N588" i="28"/>
  <c r="N589" i="28"/>
  <c r="N590" i="28"/>
  <c r="N591" i="28"/>
  <c r="N592" i="28"/>
  <c r="N593" i="28"/>
  <c r="N594" i="28"/>
  <c r="N595" i="28"/>
  <c r="N596" i="28"/>
  <c r="N597" i="28"/>
  <c r="N598" i="28"/>
  <c r="N599" i="28"/>
  <c r="N600" i="28"/>
  <c r="N601" i="28"/>
  <c r="N602" i="28"/>
  <c r="N603" i="28"/>
  <c r="N604" i="28"/>
  <c r="N605" i="28"/>
  <c r="N606" i="28"/>
  <c r="N607" i="28"/>
  <c r="N608" i="28"/>
  <c r="N609" i="28"/>
  <c r="N610" i="28"/>
  <c r="N611" i="28"/>
  <c r="N612" i="28"/>
  <c r="N613" i="28"/>
  <c r="N614" i="28"/>
  <c r="N615" i="28"/>
  <c r="N616" i="28"/>
  <c r="N617" i="28"/>
  <c r="N618" i="28"/>
  <c r="N619" i="28"/>
  <c r="N620" i="28"/>
  <c r="N621" i="28"/>
  <c r="N622" i="28"/>
  <c r="N623" i="28"/>
  <c r="N624" i="28"/>
  <c r="N625" i="28"/>
  <c r="N626" i="28"/>
  <c r="N627" i="28"/>
  <c r="N628" i="28"/>
  <c r="N629" i="28"/>
  <c r="N630" i="28"/>
  <c r="N631" i="28"/>
  <c r="N632" i="28"/>
  <c r="N633" i="28"/>
  <c r="N634" i="28"/>
  <c r="N635" i="28"/>
  <c r="N636" i="28"/>
  <c r="N637" i="28"/>
  <c r="N638" i="28"/>
  <c r="N639" i="28"/>
  <c r="N640" i="28"/>
  <c r="N641" i="28"/>
  <c r="N642" i="28"/>
  <c r="N643" i="28"/>
  <c r="N644" i="28"/>
  <c r="N645" i="28"/>
  <c r="N646" i="28"/>
  <c r="N647" i="28"/>
  <c r="N648" i="28"/>
  <c r="N649" i="28"/>
  <c r="N650" i="28"/>
  <c r="N651" i="28"/>
  <c r="N652" i="28"/>
  <c r="N653" i="28"/>
  <c r="N654" i="28"/>
  <c r="N655" i="28"/>
  <c r="N656" i="28"/>
  <c r="N657" i="28"/>
  <c r="N658" i="28"/>
  <c r="N659" i="28"/>
  <c r="N660" i="28"/>
  <c r="N661" i="28"/>
  <c r="N662" i="28"/>
  <c r="N663" i="28"/>
  <c r="N664" i="28"/>
  <c r="N665" i="28"/>
  <c r="N666" i="28"/>
  <c r="N667" i="28"/>
  <c r="N668" i="28"/>
  <c r="N669" i="28"/>
  <c r="N670" i="28"/>
  <c r="N671" i="28"/>
  <c r="N672" i="28"/>
  <c r="N673" i="28"/>
  <c r="N674" i="28"/>
  <c r="N675" i="28"/>
  <c r="N676" i="28"/>
  <c r="N677" i="28"/>
  <c r="N678" i="28"/>
  <c r="N679" i="28"/>
  <c r="N680" i="28"/>
  <c r="N681" i="28"/>
  <c r="N682" i="28"/>
  <c r="N683" i="28"/>
  <c r="N684" i="28"/>
  <c r="N685" i="28"/>
  <c r="N686" i="28"/>
  <c r="N687" i="28"/>
  <c r="N688" i="28"/>
  <c r="N689" i="28"/>
  <c r="N690" i="28"/>
  <c r="N691" i="28"/>
  <c r="N692" i="28"/>
  <c r="N693" i="28"/>
  <c r="N694" i="28"/>
  <c r="N695" i="28"/>
  <c r="N696" i="28"/>
  <c r="N697" i="28"/>
  <c r="N698" i="28"/>
  <c r="N699" i="28"/>
  <c r="N700" i="28"/>
  <c r="N701" i="28"/>
  <c r="N702" i="28"/>
  <c r="N703" i="28"/>
  <c r="N704" i="28"/>
  <c r="N705" i="28"/>
  <c r="N706" i="28"/>
  <c r="N707" i="28"/>
  <c r="N708" i="28"/>
  <c r="N709" i="28"/>
  <c r="N710" i="28"/>
  <c r="N711" i="28"/>
  <c r="N712" i="28"/>
  <c r="N713" i="28"/>
  <c r="N714" i="28"/>
  <c r="N715" i="28"/>
  <c r="N716" i="28"/>
  <c r="N717" i="28"/>
  <c r="N718" i="28"/>
  <c r="N719" i="28"/>
  <c r="N720" i="28"/>
  <c r="N721" i="28"/>
  <c r="N722" i="28"/>
  <c r="N723" i="28"/>
  <c r="N724" i="28"/>
  <c r="N725" i="28"/>
  <c r="N726" i="28"/>
  <c r="N727" i="28"/>
  <c r="N728" i="28"/>
  <c r="N729" i="28"/>
  <c r="N730" i="28"/>
  <c r="N731" i="28"/>
  <c r="N732" i="28"/>
  <c r="N733" i="28"/>
  <c r="N734" i="28"/>
  <c r="N735" i="28"/>
  <c r="N736" i="28"/>
  <c r="N737" i="28"/>
  <c r="N738" i="28"/>
  <c r="N739" i="28"/>
  <c r="N740" i="28"/>
  <c r="N741" i="28"/>
  <c r="N742" i="28"/>
  <c r="N743" i="28"/>
  <c r="N744" i="28"/>
  <c r="N745" i="28"/>
  <c r="N746" i="28"/>
  <c r="N747" i="28"/>
  <c r="N748" i="28"/>
  <c r="N749" i="28"/>
  <c r="N750" i="28"/>
  <c r="N751" i="28"/>
  <c r="N752" i="28"/>
  <c r="N753" i="28"/>
  <c r="N754" i="28"/>
  <c r="N755" i="28"/>
  <c r="N756" i="28"/>
  <c r="N757" i="28"/>
  <c r="N758" i="28"/>
  <c r="N759" i="28"/>
  <c r="N760" i="28"/>
  <c r="N761" i="28"/>
  <c r="N762" i="28"/>
  <c r="N763" i="28"/>
  <c r="N764" i="28"/>
  <c r="N765" i="28"/>
  <c r="N766" i="28"/>
  <c r="N767" i="28"/>
  <c r="N768" i="28"/>
  <c r="N769" i="28"/>
  <c r="N770" i="28"/>
  <c r="N771" i="28"/>
  <c r="N772" i="28"/>
  <c r="N773" i="28"/>
  <c r="N774" i="28"/>
  <c r="N775" i="28"/>
  <c r="N776" i="28"/>
  <c r="N777" i="28"/>
  <c r="N778" i="28"/>
  <c r="N779" i="28"/>
  <c r="N780" i="28"/>
  <c r="N781" i="28"/>
  <c r="N782" i="28"/>
  <c r="N783" i="28"/>
  <c r="N784" i="28"/>
  <c r="N785" i="28"/>
  <c r="N786" i="28"/>
  <c r="N787" i="28"/>
  <c r="N788" i="28"/>
  <c r="N789" i="28"/>
  <c r="N790" i="28"/>
  <c r="N791" i="28"/>
  <c r="N792" i="28"/>
  <c r="N793" i="28"/>
  <c r="N794" i="28"/>
  <c r="N795" i="28"/>
  <c r="N796" i="28"/>
  <c r="N797" i="28"/>
  <c r="N798" i="28"/>
  <c r="N799" i="28"/>
  <c r="N800" i="28"/>
  <c r="N801" i="28"/>
  <c r="N802" i="28"/>
  <c r="N803" i="28"/>
  <c r="N804" i="28"/>
  <c r="N805" i="28"/>
  <c r="N806" i="28"/>
  <c r="N807" i="28"/>
  <c r="N808" i="28"/>
  <c r="N809" i="28"/>
  <c r="N810" i="28"/>
  <c r="N811" i="28"/>
  <c r="N812" i="28"/>
  <c r="N813" i="28"/>
  <c r="N814" i="28"/>
  <c r="N815" i="28"/>
  <c r="N816" i="28"/>
  <c r="N817" i="28"/>
  <c r="N818" i="28"/>
  <c r="N819" i="28"/>
  <c r="N820" i="28"/>
  <c r="N821" i="28"/>
  <c r="N822" i="28"/>
  <c r="N823" i="28"/>
  <c r="N824" i="28"/>
  <c r="N825" i="28"/>
  <c r="N826" i="28"/>
  <c r="N827" i="28"/>
  <c r="N828" i="28"/>
  <c r="N829" i="28"/>
  <c r="N830" i="28"/>
  <c r="N831" i="28"/>
  <c r="N832" i="28"/>
  <c r="N833" i="28"/>
  <c r="N834" i="28"/>
  <c r="N835" i="28"/>
  <c r="N836" i="28"/>
  <c r="N837" i="28"/>
  <c r="N838" i="28"/>
  <c r="N839" i="28"/>
  <c r="N840" i="28"/>
  <c r="N841" i="28"/>
  <c r="N842" i="28"/>
  <c r="N843" i="28"/>
  <c r="N844" i="28"/>
  <c r="N845" i="28"/>
  <c r="N846" i="28"/>
  <c r="N847" i="28"/>
  <c r="N848" i="28"/>
  <c r="N849" i="28"/>
  <c r="N850" i="28"/>
  <c r="N851" i="28"/>
  <c r="N852" i="28"/>
  <c r="N853" i="28"/>
  <c r="N854" i="28"/>
  <c r="N855" i="28"/>
  <c r="N856" i="28"/>
  <c r="N857" i="28"/>
  <c r="N858" i="28"/>
  <c r="N859" i="28"/>
  <c r="N860" i="28"/>
  <c r="N861" i="28"/>
  <c r="N862" i="28"/>
  <c r="N863" i="28"/>
  <c r="N864" i="28"/>
  <c r="N865" i="28"/>
  <c r="N866" i="28"/>
  <c r="N867" i="28"/>
  <c r="N868" i="28"/>
  <c r="N869" i="28"/>
  <c r="N870" i="28"/>
  <c r="N871" i="28"/>
  <c r="N872" i="28"/>
  <c r="N873" i="28"/>
  <c r="N874" i="28"/>
  <c r="N875" i="28"/>
  <c r="N876" i="28"/>
  <c r="N877" i="28"/>
  <c r="N878" i="28"/>
  <c r="N879" i="28"/>
  <c r="N880" i="28"/>
  <c r="N881" i="28"/>
  <c r="N882" i="28"/>
  <c r="N883" i="28"/>
  <c r="N884" i="28"/>
  <c r="N885" i="28"/>
  <c r="N886" i="28"/>
  <c r="N887" i="28"/>
  <c r="N888" i="28"/>
  <c r="N889" i="28"/>
  <c r="N890" i="28"/>
  <c r="N891" i="28"/>
  <c r="N892" i="28"/>
  <c r="N893" i="28"/>
  <c r="N894" i="28"/>
  <c r="N895" i="28"/>
  <c r="N896" i="28"/>
  <c r="N897" i="28"/>
  <c r="N898" i="28"/>
  <c r="N899" i="28"/>
  <c r="N900" i="28"/>
  <c r="N901" i="28"/>
  <c r="N902" i="28"/>
  <c r="N903" i="28"/>
  <c r="N904" i="28"/>
  <c r="N905" i="28"/>
  <c r="N906" i="28"/>
  <c r="N907" i="28"/>
  <c r="N908" i="28"/>
  <c r="N909" i="28"/>
  <c r="N910" i="28"/>
  <c r="N911" i="28"/>
  <c r="N912" i="28"/>
  <c r="N913" i="28"/>
  <c r="N914" i="28"/>
  <c r="N915" i="28"/>
  <c r="N916" i="28"/>
  <c r="N917" i="28"/>
  <c r="N918" i="28"/>
  <c r="N919" i="28"/>
  <c r="N920" i="28"/>
  <c r="N921" i="28"/>
  <c r="N922" i="28"/>
  <c r="N923" i="28"/>
  <c r="N924" i="28"/>
  <c r="N925" i="28"/>
  <c r="N926" i="28"/>
  <c r="N927" i="28"/>
  <c r="N928" i="28"/>
  <c r="N929" i="28"/>
  <c r="N930" i="28"/>
  <c r="N931" i="28"/>
  <c r="N932" i="28"/>
  <c r="N933" i="28"/>
  <c r="N934" i="28"/>
  <c r="N935" i="28"/>
  <c r="N936" i="28"/>
  <c r="N937" i="28"/>
  <c r="N938" i="28"/>
  <c r="N939" i="28"/>
  <c r="N940" i="28"/>
  <c r="N941" i="28"/>
  <c r="N942" i="28"/>
  <c r="N943" i="28"/>
  <c r="N944" i="28"/>
  <c r="N945" i="28"/>
  <c r="N946" i="28"/>
  <c r="N947" i="28"/>
  <c r="N948" i="28"/>
  <c r="N949" i="28"/>
  <c r="N950" i="28"/>
  <c r="N951" i="28"/>
  <c r="N952" i="28"/>
  <c r="N953" i="28"/>
  <c r="N954" i="28"/>
  <c r="N955" i="28"/>
  <c r="N956" i="28"/>
  <c r="N957" i="28"/>
  <c r="N958" i="28"/>
  <c r="N959" i="28"/>
  <c r="N960" i="28"/>
  <c r="N961" i="28"/>
  <c r="N962" i="28"/>
  <c r="N963" i="28"/>
  <c r="N964" i="28"/>
  <c r="N965" i="28"/>
  <c r="N966" i="28"/>
  <c r="N967" i="28"/>
  <c r="N968" i="28"/>
  <c r="N969" i="28"/>
  <c r="N970" i="28"/>
  <c r="N971" i="28"/>
  <c r="N972" i="28"/>
  <c r="N973" i="28"/>
  <c r="N974" i="28"/>
  <c r="N975" i="28"/>
  <c r="N976" i="28"/>
  <c r="N977" i="28"/>
  <c r="N978" i="28"/>
  <c r="N979" i="28"/>
  <c r="N980" i="28"/>
  <c r="N981" i="28"/>
  <c r="N982" i="28"/>
  <c r="N983" i="28"/>
  <c r="N984" i="28"/>
  <c r="N985" i="28"/>
  <c r="N986" i="28"/>
  <c r="N987" i="28"/>
  <c r="N988" i="28"/>
  <c r="N989" i="28"/>
  <c r="N990" i="28"/>
  <c r="N991" i="28"/>
  <c r="N992" i="28"/>
  <c r="N993" i="28"/>
  <c r="N994" i="28"/>
  <c r="N995" i="28"/>
  <c r="N996" i="28"/>
  <c r="N997" i="28"/>
  <c r="N998" i="28"/>
  <c r="N999" i="28"/>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100" i="27"/>
  <c r="N101" i="27"/>
  <c r="N102" i="27"/>
  <c r="N103" i="27"/>
  <c r="N104" i="27"/>
  <c r="N105" i="27"/>
  <c r="N106" i="27"/>
  <c r="N107" i="27"/>
  <c r="N108" i="27"/>
  <c r="N109" i="27"/>
  <c r="N110" i="27"/>
  <c r="N111" i="27"/>
  <c r="N112" i="27"/>
  <c r="N113" i="27"/>
  <c r="N114" i="27"/>
  <c r="N115" i="27"/>
  <c r="N116" i="27"/>
  <c r="N117" i="27"/>
  <c r="N118" i="27"/>
  <c r="N119" i="27"/>
  <c r="N120" i="27"/>
  <c r="N121" i="27"/>
  <c r="N122" i="27"/>
  <c r="N123" i="27"/>
  <c r="N124" i="27"/>
  <c r="N125" i="27"/>
  <c r="N126" i="27"/>
  <c r="N127" i="27"/>
  <c r="N128" i="27"/>
  <c r="N129" i="27"/>
  <c r="N130" i="27"/>
  <c r="N131" i="27"/>
  <c r="N132" i="27"/>
  <c r="N133" i="27"/>
  <c r="N134" i="27"/>
  <c r="N135" i="27"/>
  <c r="N136" i="27"/>
  <c r="N137" i="27"/>
  <c r="N138" i="27"/>
  <c r="N139" i="27"/>
  <c r="N140" i="27"/>
  <c r="N141" i="27"/>
  <c r="N142" i="27"/>
  <c r="N143" i="27"/>
  <c r="N144" i="27"/>
  <c r="N145" i="27"/>
  <c r="N146" i="27"/>
  <c r="N147" i="27"/>
  <c r="N148" i="27"/>
  <c r="N149" i="27"/>
  <c r="N150" i="27"/>
  <c r="N151" i="27"/>
  <c r="N152" i="27"/>
  <c r="N153" i="27"/>
  <c r="N154" i="27"/>
  <c r="N155" i="27"/>
  <c r="N156" i="27"/>
  <c r="N157" i="27"/>
  <c r="N158" i="27"/>
  <c r="N159" i="27"/>
  <c r="N160" i="27"/>
  <c r="N161" i="27"/>
  <c r="N162" i="27"/>
  <c r="N163" i="27"/>
  <c r="N164" i="27"/>
  <c r="N165" i="27"/>
  <c r="N166" i="27"/>
  <c r="N167" i="27"/>
  <c r="N168" i="27"/>
  <c r="N169" i="27"/>
  <c r="N170" i="27"/>
  <c r="N171" i="27"/>
  <c r="N172" i="27"/>
  <c r="N173" i="27"/>
  <c r="N174" i="27"/>
  <c r="N175" i="27"/>
  <c r="N176" i="27"/>
  <c r="N177" i="27"/>
  <c r="N178" i="27"/>
  <c r="N179" i="27"/>
  <c r="N180" i="27"/>
  <c r="N181" i="27"/>
  <c r="N182" i="27"/>
  <c r="N183" i="27"/>
  <c r="N184" i="27"/>
  <c r="N185" i="27"/>
  <c r="N186" i="27"/>
  <c r="N187" i="27"/>
  <c r="N188" i="27"/>
  <c r="N189" i="27"/>
  <c r="N190" i="27"/>
  <c r="N191" i="27"/>
  <c r="N192" i="27"/>
  <c r="N193" i="27"/>
  <c r="N194" i="27"/>
  <c r="N195" i="27"/>
  <c r="N196" i="27"/>
  <c r="N197" i="27"/>
  <c r="N198" i="27"/>
  <c r="N199" i="27"/>
  <c r="N200" i="27"/>
  <c r="N201" i="27"/>
  <c r="N202" i="27"/>
  <c r="N203" i="27"/>
  <c r="N204" i="27"/>
  <c r="N205" i="27"/>
  <c r="N206" i="27"/>
  <c r="N207" i="27"/>
  <c r="N208" i="27"/>
  <c r="N209" i="27"/>
  <c r="N210" i="27"/>
  <c r="N211" i="27"/>
  <c r="N212" i="27"/>
  <c r="N213" i="27"/>
  <c r="N214" i="27"/>
  <c r="N215" i="27"/>
  <c r="N216" i="27"/>
  <c r="N217" i="27"/>
  <c r="N218" i="27"/>
  <c r="N219" i="27"/>
  <c r="N220" i="27"/>
  <c r="N221" i="27"/>
  <c r="N222" i="27"/>
  <c r="N223" i="27"/>
  <c r="N224" i="27"/>
  <c r="N225" i="27"/>
  <c r="N226" i="27"/>
  <c r="N227" i="27"/>
  <c r="N228" i="27"/>
  <c r="N229" i="27"/>
  <c r="N230" i="27"/>
  <c r="N231" i="27"/>
  <c r="N232" i="27"/>
  <c r="N233" i="27"/>
  <c r="N234" i="27"/>
  <c r="N235" i="27"/>
  <c r="N236" i="27"/>
  <c r="N237" i="27"/>
  <c r="N238" i="27"/>
  <c r="N239" i="27"/>
  <c r="N240" i="27"/>
  <c r="N241" i="27"/>
  <c r="N242" i="27"/>
  <c r="N243" i="27"/>
  <c r="N244" i="27"/>
  <c r="N245" i="27"/>
  <c r="N246" i="27"/>
  <c r="N247" i="27"/>
  <c r="N248" i="27"/>
  <c r="N249" i="27"/>
  <c r="N250" i="27"/>
  <c r="N251" i="27"/>
  <c r="N252" i="27"/>
  <c r="N253" i="27"/>
  <c r="N254" i="27"/>
  <c r="N255" i="27"/>
  <c r="N256" i="27"/>
  <c r="N257" i="27"/>
  <c r="N258" i="27"/>
  <c r="N259" i="27"/>
  <c r="N260" i="27"/>
  <c r="N261" i="27"/>
  <c r="N262" i="27"/>
  <c r="N263" i="27"/>
  <c r="N264" i="27"/>
  <c r="N265" i="27"/>
  <c r="N266" i="27"/>
  <c r="N267" i="27"/>
  <c r="N268" i="27"/>
  <c r="N269" i="27"/>
  <c r="N270" i="27"/>
  <c r="N271" i="27"/>
  <c r="N272" i="27"/>
  <c r="N273" i="27"/>
  <c r="N274" i="27"/>
  <c r="N275" i="27"/>
  <c r="N276" i="27"/>
  <c r="N277" i="27"/>
  <c r="N278" i="27"/>
  <c r="N279" i="27"/>
  <c r="N280" i="27"/>
  <c r="N281" i="27"/>
  <c r="N282" i="27"/>
  <c r="N283" i="27"/>
  <c r="N284" i="27"/>
  <c r="N285" i="27"/>
  <c r="N286" i="27"/>
  <c r="N287" i="27"/>
  <c r="N288" i="27"/>
  <c r="N289" i="27"/>
  <c r="N290" i="27"/>
  <c r="N291" i="27"/>
  <c r="N292" i="27"/>
  <c r="N293" i="27"/>
  <c r="N294" i="27"/>
  <c r="N295" i="27"/>
  <c r="N296" i="27"/>
  <c r="N297" i="27"/>
  <c r="N298" i="27"/>
  <c r="N299" i="27"/>
  <c r="N300" i="27"/>
  <c r="N301" i="27"/>
  <c r="N302" i="27"/>
  <c r="N303" i="27"/>
  <c r="N304" i="27"/>
  <c r="N305" i="27"/>
  <c r="N306" i="27"/>
  <c r="N307" i="27"/>
  <c r="N308" i="27"/>
  <c r="N309" i="27"/>
  <c r="N310" i="27"/>
  <c r="N311" i="27"/>
  <c r="N312" i="27"/>
  <c r="N313" i="27"/>
  <c r="N314" i="27"/>
  <c r="N315" i="27"/>
  <c r="N316" i="27"/>
  <c r="N317" i="27"/>
  <c r="N318" i="27"/>
  <c r="N319" i="27"/>
  <c r="N320" i="27"/>
  <c r="N321" i="27"/>
  <c r="N322" i="27"/>
  <c r="N323" i="27"/>
  <c r="N324" i="27"/>
  <c r="N325" i="27"/>
  <c r="N326" i="27"/>
  <c r="N327" i="27"/>
  <c r="N328" i="27"/>
  <c r="N329" i="27"/>
  <c r="N330" i="27"/>
  <c r="N331" i="27"/>
  <c r="N332" i="27"/>
  <c r="N333" i="27"/>
  <c r="N334" i="27"/>
  <c r="N335" i="27"/>
  <c r="N336" i="27"/>
  <c r="N337" i="27"/>
  <c r="N338" i="27"/>
  <c r="N339" i="27"/>
  <c r="N340" i="27"/>
  <c r="N341" i="27"/>
  <c r="N342" i="27"/>
  <c r="N343" i="27"/>
  <c r="N344" i="27"/>
  <c r="N345" i="27"/>
  <c r="N346" i="27"/>
  <c r="N347" i="27"/>
  <c r="N348" i="27"/>
  <c r="N349" i="27"/>
  <c r="N350" i="27"/>
  <c r="N351" i="27"/>
  <c r="N352" i="27"/>
  <c r="N353" i="27"/>
  <c r="N354" i="27"/>
  <c r="N355" i="27"/>
  <c r="N356" i="27"/>
  <c r="N357" i="27"/>
  <c r="N358" i="27"/>
  <c r="N359" i="27"/>
  <c r="N360" i="27"/>
  <c r="N361" i="27"/>
  <c r="N362" i="27"/>
  <c r="N363" i="27"/>
  <c r="N364" i="27"/>
  <c r="N365" i="27"/>
  <c r="N366" i="27"/>
  <c r="N367" i="27"/>
  <c r="N368" i="27"/>
  <c r="N369" i="27"/>
  <c r="N370" i="27"/>
  <c r="N371" i="27"/>
  <c r="N372" i="27"/>
  <c r="N373" i="27"/>
  <c r="N374" i="27"/>
  <c r="N375" i="27"/>
  <c r="N376" i="27"/>
  <c r="N377" i="27"/>
  <c r="N378" i="27"/>
  <c r="N379" i="27"/>
  <c r="N380" i="27"/>
  <c r="N381" i="27"/>
  <c r="N382" i="27"/>
  <c r="N383" i="27"/>
  <c r="N384" i="27"/>
  <c r="N385" i="27"/>
  <c r="N386" i="27"/>
  <c r="N387" i="27"/>
  <c r="N388" i="27"/>
  <c r="N389" i="27"/>
  <c r="N390" i="27"/>
  <c r="N391" i="27"/>
  <c r="N392" i="27"/>
  <c r="N393" i="27"/>
  <c r="N394" i="27"/>
  <c r="N395" i="27"/>
  <c r="N396" i="27"/>
  <c r="N397" i="27"/>
  <c r="N398" i="27"/>
  <c r="N399" i="27"/>
  <c r="N400" i="27"/>
  <c r="N401" i="27"/>
  <c r="N402" i="27"/>
  <c r="N403" i="27"/>
  <c r="N404" i="27"/>
  <c r="N405" i="27"/>
  <c r="N406" i="27"/>
  <c r="N407" i="27"/>
  <c r="N408" i="27"/>
  <c r="N409" i="27"/>
  <c r="N410" i="27"/>
  <c r="N411" i="27"/>
  <c r="N412" i="27"/>
  <c r="N413" i="27"/>
  <c r="N414" i="27"/>
  <c r="N415" i="27"/>
  <c r="N416" i="27"/>
  <c r="N417" i="27"/>
  <c r="N418" i="27"/>
  <c r="N419" i="27"/>
  <c r="N420" i="27"/>
  <c r="N421" i="27"/>
  <c r="N422" i="27"/>
  <c r="N423" i="27"/>
  <c r="N424" i="27"/>
  <c r="N425" i="27"/>
  <c r="N426" i="27"/>
  <c r="N427" i="27"/>
  <c r="N428" i="27"/>
  <c r="N429" i="27"/>
  <c r="N430" i="27"/>
  <c r="N431" i="27"/>
  <c r="N432" i="27"/>
  <c r="N433" i="27"/>
  <c r="N434" i="27"/>
  <c r="N435" i="27"/>
  <c r="N436" i="27"/>
  <c r="N437" i="27"/>
  <c r="N438" i="27"/>
  <c r="N439" i="27"/>
  <c r="N440" i="27"/>
  <c r="N441" i="27"/>
  <c r="N442" i="27"/>
  <c r="N443" i="27"/>
  <c r="N444" i="27"/>
  <c r="N445" i="27"/>
  <c r="N446" i="27"/>
  <c r="N447" i="27"/>
  <c r="N448" i="27"/>
  <c r="N449" i="27"/>
  <c r="N450" i="27"/>
  <c r="N451" i="27"/>
  <c r="N452" i="27"/>
  <c r="N453" i="27"/>
  <c r="N454" i="27"/>
  <c r="N455" i="27"/>
  <c r="N456" i="27"/>
  <c r="N457" i="27"/>
  <c r="N458" i="27"/>
  <c r="N459" i="27"/>
  <c r="N460" i="27"/>
  <c r="N461" i="27"/>
  <c r="N462" i="27"/>
  <c r="N463" i="27"/>
  <c r="N464" i="27"/>
  <c r="N465" i="27"/>
  <c r="N466" i="27"/>
  <c r="N467" i="27"/>
  <c r="N468" i="27"/>
  <c r="N469" i="27"/>
  <c r="N470" i="27"/>
  <c r="N471" i="27"/>
  <c r="N472" i="27"/>
  <c r="N473" i="27"/>
  <c r="N474" i="27"/>
  <c r="N475" i="27"/>
  <c r="N476" i="27"/>
  <c r="N477" i="27"/>
  <c r="N478" i="27"/>
  <c r="N479" i="27"/>
  <c r="N480" i="27"/>
  <c r="N481" i="27"/>
  <c r="N482" i="27"/>
  <c r="N483" i="27"/>
  <c r="N484" i="27"/>
  <c r="N485" i="27"/>
  <c r="N486" i="27"/>
  <c r="N487" i="27"/>
  <c r="N488" i="27"/>
  <c r="N489" i="27"/>
  <c r="N490" i="27"/>
  <c r="N491" i="27"/>
  <c r="N492" i="27"/>
  <c r="N493" i="27"/>
  <c r="N494" i="27"/>
  <c r="N495" i="27"/>
  <c r="N496" i="27"/>
  <c r="N497" i="27"/>
  <c r="N498" i="27"/>
  <c r="N499" i="27"/>
  <c r="N500" i="27"/>
  <c r="N501" i="27"/>
  <c r="N502" i="27"/>
  <c r="N503" i="27"/>
  <c r="N504" i="27"/>
  <c r="N505" i="27"/>
  <c r="N506" i="27"/>
  <c r="N507" i="27"/>
  <c r="N508" i="27"/>
  <c r="N509" i="27"/>
  <c r="N510" i="27"/>
  <c r="N511" i="27"/>
  <c r="N512" i="27"/>
  <c r="N513" i="27"/>
  <c r="N514" i="27"/>
  <c r="N515" i="27"/>
  <c r="N516" i="27"/>
  <c r="N517" i="27"/>
  <c r="N518" i="27"/>
  <c r="N519" i="27"/>
  <c r="N520" i="27"/>
  <c r="N521" i="27"/>
  <c r="N522" i="27"/>
  <c r="N523" i="27"/>
  <c r="N524" i="27"/>
  <c r="N525" i="27"/>
  <c r="N526" i="27"/>
  <c r="N527" i="27"/>
  <c r="N528" i="27"/>
  <c r="N529" i="27"/>
  <c r="N530" i="27"/>
  <c r="N531" i="27"/>
  <c r="N532" i="27"/>
  <c r="N533" i="27"/>
  <c r="N534" i="27"/>
  <c r="N535" i="27"/>
  <c r="N536" i="27"/>
  <c r="N537" i="27"/>
  <c r="N538" i="27"/>
  <c r="N539" i="27"/>
  <c r="N540" i="27"/>
  <c r="N541" i="27"/>
  <c r="N542" i="27"/>
  <c r="N543" i="27"/>
  <c r="N544" i="27"/>
  <c r="N545" i="27"/>
  <c r="N546" i="27"/>
  <c r="N547" i="27"/>
  <c r="N548" i="27"/>
  <c r="N549" i="27"/>
  <c r="N550" i="27"/>
  <c r="N551" i="27"/>
  <c r="N552" i="27"/>
  <c r="N553" i="27"/>
  <c r="N554" i="27"/>
  <c r="N555" i="27"/>
  <c r="N556" i="27"/>
  <c r="N557" i="27"/>
  <c r="N558" i="27"/>
  <c r="N559" i="27"/>
  <c r="N560" i="27"/>
  <c r="N561" i="27"/>
  <c r="N562" i="27"/>
  <c r="N563" i="27"/>
  <c r="N564" i="27"/>
  <c r="N565" i="27"/>
  <c r="N566" i="27"/>
  <c r="N567" i="27"/>
  <c r="N568" i="27"/>
  <c r="N569" i="27"/>
  <c r="N570" i="27"/>
  <c r="N571" i="27"/>
  <c r="N572" i="27"/>
  <c r="N573" i="27"/>
  <c r="N574" i="27"/>
  <c r="N575" i="27"/>
  <c r="N576" i="27"/>
  <c r="N577" i="27"/>
  <c r="N578" i="27"/>
  <c r="N579" i="27"/>
  <c r="N580" i="27"/>
  <c r="N581" i="27"/>
  <c r="N582" i="27"/>
  <c r="N583" i="27"/>
  <c r="N584" i="27"/>
  <c r="N585" i="27"/>
  <c r="N586" i="27"/>
  <c r="N587" i="27"/>
  <c r="N588" i="27"/>
  <c r="N589" i="27"/>
  <c r="N590" i="27"/>
  <c r="N591" i="27"/>
  <c r="N592" i="27"/>
  <c r="N593" i="27"/>
  <c r="N594" i="27"/>
  <c r="N595" i="27"/>
  <c r="N596" i="27"/>
  <c r="N597" i="27"/>
  <c r="N598" i="27"/>
  <c r="N599" i="27"/>
  <c r="N600" i="27"/>
  <c r="N601" i="27"/>
  <c r="N602" i="27"/>
  <c r="N603" i="27"/>
  <c r="N604" i="27"/>
  <c r="N605" i="27"/>
  <c r="N606" i="27"/>
  <c r="N607" i="27"/>
  <c r="N608" i="27"/>
  <c r="N609" i="27"/>
  <c r="N610" i="27"/>
  <c r="N611" i="27"/>
  <c r="N612" i="27"/>
  <c r="N613" i="27"/>
  <c r="N614" i="27"/>
  <c r="N615" i="27"/>
  <c r="N616" i="27"/>
  <c r="N617" i="27"/>
  <c r="N618" i="27"/>
  <c r="N619" i="27"/>
  <c r="N620" i="27"/>
  <c r="N621" i="27"/>
  <c r="N622" i="27"/>
  <c r="N623" i="27"/>
  <c r="N624" i="27"/>
  <c r="N625" i="27"/>
  <c r="N626" i="27"/>
  <c r="N627" i="27"/>
  <c r="N628" i="27"/>
  <c r="N629" i="27"/>
  <c r="N630" i="27"/>
  <c r="N631" i="27"/>
  <c r="N632" i="27"/>
  <c r="N633" i="27"/>
  <c r="N634" i="27"/>
  <c r="N635" i="27"/>
  <c r="N636" i="27"/>
  <c r="N637" i="27"/>
  <c r="N638" i="27"/>
  <c r="N639" i="27"/>
  <c r="N640" i="27"/>
  <c r="N641" i="27"/>
  <c r="N642" i="27"/>
  <c r="N643" i="27"/>
  <c r="N644" i="27"/>
  <c r="N645" i="27"/>
  <c r="N646" i="27"/>
  <c r="N647" i="27"/>
  <c r="N648" i="27"/>
  <c r="N649" i="27"/>
  <c r="N650" i="27"/>
  <c r="N651" i="27"/>
  <c r="N652" i="27"/>
  <c r="N653" i="27"/>
  <c r="N654" i="27"/>
  <c r="N655" i="27"/>
  <c r="N656" i="27"/>
  <c r="N657" i="27"/>
  <c r="N658" i="27"/>
  <c r="N659" i="27"/>
  <c r="N660" i="27"/>
  <c r="N661" i="27"/>
  <c r="N662" i="27"/>
  <c r="N663" i="27"/>
  <c r="N664" i="27"/>
  <c r="N665" i="27"/>
  <c r="N666" i="27"/>
  <c r="N667" i="27"/>
  <c r="N668" i="27"/>
  <c r="N669" i="27"/>
  <c r="N670" i="27"/>
  <c r="N671" i="27"/>
  <c r="N672" i="27"/>
  <c r="N673" i="27"/>
  <c r="N674" i="27"/>
  <c r="N675" i="27"/>
  <c r="N676" i="27"/>
  <c r="N677" i="27"/>
  <c r="N678" i="27"/>
  <c r="N679" i="27"/>
  <c r="N680" i="27"/>
  <c r="N681" i="27"/>
  <c r="N682" i="27"/>
  <c r="N683" i="27"/>
  <c r="N684" i="27"/>
  <c r="N685" i="27"/>
  <c r="N686" i="27"/>
  <c r="N687" i="27"/>
  <c r="N688" i="27"/>
  <c r="N689" i="27"/>
  <c r="N690" i="27"/>
  <c r="N691" i="27"/>
  <c r="N692" i="27"/>
  <c r="N693" i="27"/>
  <c r="N694" i="27"/>
  <c r="N695" i="27"/>
  <c r="N696" i="27"/>
  <c r="N697" i="27"/>
  <c r="N698" i="27"/>
  <c r="N699" i="27"/>
  <c r="N700" i="27"/>
  <c r="N701" i="27"/>
  <c r="N702" i="27"/>
  <c r="N703" i="27"/>
  <c r="N704" i="27"/>
  <c r="N705" i="27"/>
  <c r="N706" i="27"/>
  <c r="N707" i="27"/>
  <c r="N708" i="27"/>
  <c r="N709" i="27"/>
  <c r="N710" i="27"/>
  <c r="N711" i="27"/>
  <c r="N712" i="27"/>
  <c r="N713" i="27"/>
  <c r="N714" i="27"/>
  <c r="N715" i="27"/>
  <c r="N716" i="27"/>
  <c r="N717" i="27"/>
  <c r="N718" i="27"/>
  <c r="N719" i="27"/>
  <c r="N720" i="27"/>
  <c r="N721" i="27"/>
  <c r="N722" i="27"/>
  <c r="N723" i="27"/>
  <c r="N724" i="27"/>
  <c r="N725" i="27"/>
  <c r="N726" i="27"/>
  <c r="N727" i="27"/>
  <c r="N728" i="27"/>
  <c r="N729" i="27"/>
  <c r="N730" i="27"/>
  <c r="N731" i="27"/>
  <c r="N732" i="27"/>
  <c r="N733" i="27"/>
  <c r="N734" i="27"/>
  <c r="N735" i="27"/>
  <c r="N736" i="27"/>
  <c r="N737" i="27"/>
  <c r="N738" i="27"/>
  <c r="N739" i="27"/>
  <c r="N740" i="27"/>
  <c r="N741" i="27"/>
  <c r="N742" i="27"/>
  <c r="N743" i="27"/>
  <c r="N744" i="27"/>
  <c r="N745" i="27"/>
  <c r="N746" i="27"/>
  <c r="N747" i="27"/>
  <c r="N748" i="27"/>
  <c r="N749" i="27"/>
  <c r="N750" i="27"/>
  <c r="N751" i="27"/>
  <c r="N752" i="27"/>
  <c r="N753" i="27"/>
  <c r="N754" i="27"/>
  <c r="N755" i="27"/>
  <c r="N756" i="27"/>
  <c r="N757" i="27"/>
  <c r="N758" i="27"/>
  <c r="N759" i="27"/>
  <c r="N760" i="27"/>
  <c r="N761" i="27"/>
  <c r="N762" i="27"/>
  <c r="N763" i="27"/>
  <c r="N764" i="27"/>
  <c r="N765" i="27"/>
  <c r="N766" i="27"/>
  <c r="N767" i="27"/>
  <c r="N768" i="27"/>
  <c r="N769" i="27"/>
  <c r="N770" i="27"/>
  <c r="N771" i="27"/>
  <c r="N772" i="27"/>
  <c r="N773" i="27"/>
  <c r="N774" i="27"/>
  <c r="N775" i="27"/>
  <c r="N776" i="27"/>
  <c r="N777" i="27"/>
  <c r="N778" i="27"/>
  <c r="N779" i="27"/>
  <c r="N780" i="27"/>
  <c r="N781" i="27"/>
  <c r="N782" i="27"/>
  <c r="N783" i="27"/>
  <c r="N784" i="27"/>
  <c r="N785" i="27"/>
  <c r="N786" i="27"/>
  <c r="N787" i="27"/>
  <c r="N788" i="27"/>
  <c r="N789" i="27"/>
  <c r="N790" i="27"/>
  <c r="N791" i="27"/>
  <c r="N792" i="27"/>
  <c r="N793" i="27"/>
  <c r="N794" i="27"/>
  <c r="N795" i="27"/>
  <c r="N796" i="27"/>
  <c r="N797" i="27"/>
  <c r="N798" i="27"/>
  <c r="N799" i="27"/>
  <c r="N800" i="27"/>
  <c r="N801" i="27"/>
  <c r="N802" i="27"/>
  <c r="N803" i="27"/>
  <c r="N804" i="27"/>
  <c r="N805" i="27"/>
  <c r="N806" i="27"/>
  <c r="N807" i="27"/>
  <c r="N808" i="27"/>
  <c r="N809" i="27"/>
  <c r="N810" i="27"/>
  <c r="N811" i="27"/>
  <c r="N812" i="27"/>
  <c r="N813" i="27"/>
  <c r="N814" i="27"/>
  <c r="N815" i="27"/>
  <c r="N816" i="27"/>
  <c r="N817" i="27"/>
  <c r="N818" i="27"/>
  <c r="N819" i="27"/>
  <c r="N820" i="27"/>
  <c r="N821" i="27"/>
  <c r="N822" i="27"/>
  <c r="N823" i="27"/>
  <c r="N824" i="27"/>
  <c r="N825" i="27"/>
  <c r="N826" i="27"/>
  <c r="N827" i="27"/>
  <c r="N828" i="27"/>
  <c r="N829" i="27"/>
  <c r="N830" i="27"/>
  <c r="N831" i="27"/>
  <c r="N832" i="27"/>
  <c r="N833" i="27"/>
  <c r="N834" i="27"/>
  <c r="N835" i="27"/>
  <c r="N836" i="27"/>
  <c r="N837" i="27"/>
  <c r="N838" i="27"/>
  <c r="N839" i="27"/>
  <c r="N840" i="27"/>
  <c r="N841" i="27"/>
  <c r="N842" i="27"/>
  <c r="N843" i="27"/>
  <c r="N844" i="27"/>
  <c r="N845" i="27"/>
  <c r="N846" i="27"/>
  <c r="N847" i="27"/>
  <c r="N848" i="27"/>
  <c r="N849" i="27"/>
  <c r="N850" i="27"/>
  <c r="N851" i="27"/>
  <c r="N852" i="27"/>
  <c r="N853" i="27"/>
  <c r="N854" i="27"/>
  <c r="N855" i="27"/>
  <c r="N856" i="27"/>
  <c r="N857" i="27"/>
  <c r="N858" i="27"/>
  <c r="N859" i="27"/>
  <c r="N860" i="27"/>
  <c r="N861" i="27"/>
  <c r="N862" i="27"/>
  <c r="N863" i="27"/>
  <c r="N864" i="27"/>
  <c r="N865" i="27"/>
  <c r="N866" i="27"/>
  <c r="N867" i="27"/>
  <c r="N868" i="27"/>
  <c r="N869" i="27"/>
  <c r="N870" i="27"/>
  <c r="N871" i="27"/>
  <c r="N872" i="27"/>
  <c r="N873" i="27"/>
  <c r="N874" i="27"/>
  <c r="N875" i="27"/>
  <c r="N876" i="27"/>
  <c r="N877" i="27"/>
  <c r="N878" i="27"/>
  <c r="N879" i="27"/>
  <c r="N880" i="27"/>
  <c r="N881" i="27"/>
  <c r="N882" i="27"/>
  <c r="N883" i="27"/>
  <c r="N884" i="27"/>
  <c r="N885" i="27"/>
  <c r="N886" i="27"/>
  <c r="N887" i="27"/>
  <c r="N888" i="27"/>
  <c r="N889" i="27"/>
  <c r="N890" i="27"/>
  <c r="N891" i="27"/>
  <c r="N892" i="27"/>
  <c r="N893" i="27"/>
  <c r="N894" i="27"/>
  <c r="N895" i="27"/>
  <c r="N896" i="27"/>
  <c r="N897" i="27"/>
  <c r="N898" i="27"/>
  <c r="N899" i="27"/>
  <c r="N900" i="27"/>
  <c r="N901" i="27"/>
  <c r="N902" i="27"/>
  <c r="N903" i="27"/>
  <c r="N904" i="27"/>
  <c r="N905" i="27"/>
  <c r="N906" i="27"/>
  <c r="N907" i="27"/>
  <c r="N908" i="27"/>
  <c r="N909" i="27"/>
  <c r="N910" i="27"/>
  <c r="N911" i="27"/>
  <c r="N912" i="27"/>
  <c r="N913" i="27"/>
  <c r="N914" i="27"/>
  <c r="N915" i="27"/>
  <c r="N916" i="27"/>
  <c r="N917" i="27"/>
  <c r="N918" i="27"/>
  <c r="N919" i="27"/>
  <c r="N920" i="27"/>
  <c r="N921" i="27"/>
  <c r="N922" i="27"/>
  <c r="N923" i="27"/>
  <c r="N924" i="27"/>
  <c r="N925" i="27"/>
  <c r="N926" i="27"/>
  <c r="N927" i="27"/>
  <c r="N928" i="27"/>
  <c r="N929" i="27"/>
  <c r="N930" i="27"/>
  <c r="N931" i="27"/>
  <c r="N932" i="27"/>
  <c r="N933" i="27"/>
  <c r="N934" i="27"/>
  <c r="N935" i="27"/>
  <c r="N936" i="27"/>
  <c r="N937" i="27"/>
  <c r="N938" i="27"/>
  <c r="N939" i="27"/>
  <c r="N940" i="27"/>
  <c r="N941" i="27"/>
  <c r="N942" i="27"/>
  <c r="N943" i="27"/>
  <c r="N944" i="27"/>
  <c r="N945" i="27"/>
  <c r="N946" i="27"/>
  <c r="N947" i="27"/>
  <c r="N948" i="27"/>
  <c r="N949" i="27"/>
  <c r="N950" i="27"/>
  <c r="N951" i="27"/>
  <c r="N952" i="27"/>
  <c r="N953" i="27"/>
  <c r="N954" i="27"/>
  <c r="N955" i="27"/>
  <c r="N956" i="27"/>
  <c r="N957" i="27"/>
  <c r="N958" i="27"/>
  <c r="N959" i="27"/>
  <c r="N960" i="27"/>
  <c r="N961" i="27"/>
  <c r="N962" i="27"/>
  <c r="N963" i="27"/>
  <c r="N964" i="27"/>
  <c r="N965" i="27"/>
  <c r="N966" i="27"/>
  <c r="N967" i="27"/>
  <c r="N968" i="27"/>
  <c r="N969" i="27"/>
  <c r="N970" i="27"/>
  <c r="N971" i="27"/>
  <c r="N972" i="27"/>
  <c r="N973" i="27"/>
  <c r="N974" i="27"/>
  <c r="N975" i="27"/>
  <c r="N976" i="27"/>
  <c r="N977" i="27"/>
  <c r="N978" i="27"/>
  <c r="N979" i="27"/>
  <c r="N980" i="27"/>
  <c r="N981" i="27"/>
  <c r="N982" i="27"/>
  <c r="N983" i="27"/>
  <c r="N984" i="27"/>
  <c r="N985" i="27"/>
  <c r="N986" i="27"/>
  <c r="N987" i="27"/>
  <c r="N988" i="27"/>
  <c r="N989" i="27"/>
  <c r="N990" i="27"/>
  <c r="N991" i="27"/>
  <c r="N992" i="27"/>
  <c r="N993" i="27"/>
  <c r="N994" i="27"/>
  <c r="N995" i="27"/>
  <c r="N996" i="27"/>
  <c r="N997" i="27"/>
  <c r="N998" i="27"/>
  <c r="N999" i="27"/>
  <c r="N1000" i="27"/>
  <c r="N19" i="26"/>
  <c r="N20" i="26"/>
  <c r="N21" i="26"/>
  <c r="N22" i="26"/>
  <c r="N23" i="26"/>
  <c r="N24" i="26"/>
  <c r="N25" i="26"/>
  <c r="N26" i="26"/>
  <c r="N27" i="26"/>
  <c r="N28" i="26"/>
  <c r="N29" i="26"/>
  <c r="N30" i="26"/>
  <c r="N31" i="26"/>
  <c r="N32" i="26"/>
  <c r="N33" i="26"/>
  <c r="N34" i="26"/>
  <c r="N35" i="26"/>
  <c r="N36" i="26"/>
  <c r="N37" i="26"/>
  <c r="N38" i="26"/>
  <c r="N39" i="26"/>
  <c r="N40" i="26"/>
  <c r="N41" i="26"/>
  <c r="N42" i="26"/>
  <c r="N43" i="26"/>
  <c r="N44" i="26"/>
  <c r="N45" i="26"/>
  <c r="N46" i="26"/>
  <c r="N47" i="26"/>
  <c r="N48" i="26"/>
  <c r="N49" i="26"/>
  <c r="N50" i="26"/>
  <c r="N51" i="26"/>
  <c r="N52" i="26"/>
  <c r="N53" i="26"/>
  <c r="N54" i="26"/>
  <c r="N55" i="26"/>
  <c r="N56" i="26"/>
  <c r="N57" i="26"/>
  <c r="N58" i="26"/>
  <c r="N59" i="26"/>
  <c r="N60" i="26"/>
  <c r="N61" i="26"/>
  <c r="N62" i="26"/>
  <c r="N63" i="26"/>
  <c r="N64" i="26"/>
  <c r="N65" i="26"/>
  <c r="N66" i="26"/>
  <c r="N67" i="26"/>
  <c r="N68" i="26"/>
  <c r="N69" i="26"/>
  <c r="N70" i="26"/>
  <c r="N71" i="26"/>
  <c r="N72" i="26"/>
  <c r="N73" i="26"/>
  <c r="N74" i="26"/>
  <c r="N75" i="26"/>
  <c r="N76" i="26"/>
  <c r="N77" i="26"/>
  <c r="N78" i="26"/>
  <c r="N79" i="26"/>
  <c r="N80" i="26"/>
  <c r="N81" i="26"/>
  <c r="N82" i="26"/>
  <c r="N83" i="26"/>
  <c r="N84" i="26"/>
  <c r="N85" i="26"/>
  <c r="N86" i="26"/>
  <c r="N87" i="26"/>
  <c r="N88" i="26"/>
  <c r="N89" i="26"/>
  <c r="N90" i="26"/>
  <c r="N91" i="26"/>
  <c r="N92" i="26"/>
  <c r="N93" i="26"/>
  <c r="N94" i="26"/>
  <c r="N95" i="26"/>
  <c r="N96" i="26"/>
  <c r="N97" i="26"/>
  <c r="N98" i="26"/>
  <c r="N99" i="26"/>
  <c r="N100" i="26"/>
  <c r="N101" i="26"/>
  <c r="N102" i="26"/>
  <c r="N103" i="26"/>
  <c r="N104" i="26"/>
  <c r="N105" i="26"/>
  <c r="N106" i="26"/>
  <c r="N107" i="26"/>
  <c r="N108" i="26"/>
  <c r="N109" i="26"/>
  <c r="N110" i="26"/>
  <c r="N111" i="26"/>
  <c r="N112" i="26"/>
  <c r="N113" i="26"/>
  <c r="N114" i="26"/>
  <c r="N115" i="26"/>
  <c r="N116" i="26"/>
  <c r="N117" i="26"/>
  <c r="N118" i="26"/>
  <c r="N119" i="26"/>
  <c r="N120" i="26"/>
  <c r="N121" i="26"/>
  <c r="N122" i="26"/>
  <c r="N123" i="26"/>
  <c r="N124" i="26"/>
  <c r="N125" i="26"/>
  <c r="N126" i="26"/>
  <c r="N127" i="26"/>
  <c r="N128" i="26"/>
  <c r="N129" i="26"/>
  <c r="N130" i="26"/>
  <c r="N131" i="26"/>
  <c r="N132" i="26"/>
  <c r="N133" i="26"/>
  <c r="N134" i="26"/>
  <c r="N135" i="26"/>
  <c r="N136" i="26"/>
  <c r="N137" i="26"/>
  <c r="N138" i="26"/>
  <c r="N139" i="26"/>
  <c r="N140" i="26"/>
  <c r="N141" i="26"/>
  <c r="N142" i="26"/>
  <c r="N143" i="26"/>
  <c r="N144" i="26"/>
  <c r="N145" i="26"/>
  <c r="N146" i="26"/>
  <c r="N147" i="26"/>
  <c r="N148" i="26"/>
  <c r="N149" i="26"/>
  <c r="N150" i="26"/>
  <c r="N151" i="26"/>
  <c r="N152" i="26"/>
  <c r="N153" i="26"/>
  <c r="N154" i="26"/>
  <c r="N155" i="26"/>
  <c r="N156" i="26"/>
  <c r="N157" i="26"/>
  <c r="N158" i="26"/>
  <c r="N159" i="26"/>
  <c r="N160" i="26"/>
  <c r="N161" i="26"/>
  <c r="N162" i="26"/>
  <c r="N163" i="26"/>
  <c r="N164" i="26"/>
  <c r="N165" i="26"/>
  <c r="N166" i="26"/>
  <c r="N167" i="26"/>
  <c r="N168" i="26"/>
  <c r="N169" i="26"/>
  <c r="N170" i="26"/>
  <c r="N171" i="26"/>
  <c r="N172" i="26"/>
  <c r="N173" i="26"/>
  <c r="N174" i="26"/>
  <c r="N175" i="26"/>
  <c r="N176" i="26"/>
  <c r="N177" i="26"/>
  <c r="N178" i="26"/>
  <c r="N179" i="26"/>
  <c r="N180" i="26"/>
  <c r="N181" i="26"/>
  <c r="N182" i="26"/>
  <c r="N183" i="26"/>
  <c r="N184" i="26"/>
  <c r="N185" i="26"/>
  <c r="N186" i="26"/>
  <c r="N187" i="26"/>
  <c r="N188" i="26"/>
  <c r="N189" i="26"/>
  <c r="N190" i="26"/>
  <c r="N191" i="26"/>
  <c r="N192" i="26"/>
  <c r="N193" i="26"/>
  <c r="N194" i="26"/>
  <c r="N195" i="26"/>
  <c r="N196" i="26"/>
  <c r="N197" i="26"/>
  <c r="N198" i="26"/>
  <c r="N199" i="26"/>
  <c r="N200" i="26"/>
  <c r="N201" i="26"/>
  <c r="N202" i="26"/>
  <c r="N203" i="26"/>
  <c r="N204" i="26"/>
  <c r="N205" i="26"/>
  <c r="N206" i="26"/>
  <c r="N207" i="26"/>
  <c r="N208" i="26"/>
  <c r="N209" i="26"/>
  <c r="N210" i="26"/>
  <c r="N211" i="26"/>
  <c r="N212" i="26"/>
  <c r="N213" i="26"/>
  <c r="N214" i="26"/>
  <c r="N215" i="26"/>
  <c r="N216" i="26"/>
  <c r="N217" i="26"/>
  <c r="N218" i="26"/>
  <c r="N219" i="26"/>
  <c r="N220" i="26"/>
  <c r="N221" i="26"/>
  <c r="N222" i="26"/>
  <c r="N223" i="26"/>
  <c r="N224" i="26"/>
  <c r="N225" i="26"/>
  <c r="N226" i="26"/>
  <c r="N227" i="26"/>
  <c r="N228" i="26"/>
  <c r="N229" i="26"/>
  <c r="N230" i="26"/>
  <c r="N231" i="26"/>
  <c r="N232" i="26"/>
  <c r="N233" i="26"/>
  <c r="N234" i="26"/>
  <c r="N235" i="26"/>
  <c r="N236" i="26"/>
  <c r="N237" i="26"/>
  <c r="N238" i="26"/>
  <c r="N239" i="26"/>
  <c r="N240" i="26"/>
  <c r="N241" i="26"/>
  <c r="N242" i="26"/>
  <c r="N243" i="26"/>
  <c r="N244" i="26"/>
  <c r="N245" i="26"/>
  <c r="N246" i="26"/>
  <c r="N247" i="26"/>
  <c r="N248" i="26"/>
  <c r="N249" i="26"/>
  <c r="N250" i="26"/>
  <c r="N251" i="26"/>
  <c r="N252" i="26"/>
  <c r="N253" i="26"/>
  <c r="N254" i="26"/>
  <c r="N255" i="26"/>
  <c r="N256" i="26"/>
  <c r="N257" i="26"/>
  <c r="N258" i="26"/>
  <c r="N259" i="26"/>
  <c r="N260" i="26"/>
  <c r="N261" i="26"/>
  <c r="N262" i="26"/>
  <c r="N263" i="26"/>
  <c r="N264" i="26"/>
  <c r="N265" i="26"/>
  <c r="N266" i="26"/>
  <c r="N267" i="26"/>
  <c r="N268" i="26"/>
  <c r="N269" i="26"/>
  <c r="N270" i="26"/>
  <c r="N271" i="26"/>
  <c r="N272" i="26"/>
  <c r="N273" i="26"/>
  <c r="N274" i="26"/>
  <c r="N275" i="26"/>
  <c r="N276" i="26"/>
  <c r="N277" i="26"/>
  <c r="N278" i="26"/>
  <c r="N279" i="26"/>
  <c r="N280" i="26"/>
  <c r="N281" i="26"/>
  <c r="N282" i="26"/>
  <c r="N283" i="26"/>
  <c r="N284" i="26"/>
  <c r="N285" i="26"/>
  <c r="N286" i="26"/>
  <c r="N287" i="26"/>
  <c r="N288" i="26"/>
  <c r="N289" i="26"/>
  <c r="N290" i="26"/>
  <c r="N291" i="26"/>
  <c r="N292" i="26"/>
  <c r="N293" i="26"/>
  <c r="N294" i="26"/>
  <c r="N295" i="26"/>
  <c r="N296" i="26"/>
  <c r="N297" i="26"/>
  <c r="N298" i="26"/>
  <c r="N299" i="26"/>
  <c r="N300" i="26"/>
  <c r="N301" i="26"/>
  <c r="N302" i="26"/>
  <c r="N303" i="26"/>
  <c r="N304" i="26"/>
  <c r="N305" i="26"/>
  <c r="N306" i="26"/>
  <c r="N307" i="26"/>
  <c r="N308" i="26"/>
  <c r="N309" i="26"/>
  <c r="N310" i="26"/>
  <c r="N311" i="26"/>
  <c r="N312" i="26"/>
  <c r="N313" i="26"/>
  <c r="N314" i="26"/>
  <c r="N315" i="26"/>
  <c r="N316" i="26"/>
  <c r="N317" i="26"/>
  <c r="N318" i="26"/>
  <c r="N319" i="26"/>
  <c r="N320" i="26"/>
  <c r="N321" i="26"/>
  <c r="N322" i="26"/>
  <c r="N323" i="26"/>
  <c r="N324" i="26"/>
  <c r="N325" i="26"/>
  <c r="N326" i="26"/>
  <c r="N327" i="26"/>
  <c r="N328" i="26"/>
  <c r="N329" i="26"/>
  <c r="N330" i="26"/>
  <c r="N331" i="26"/>
  <c r="N332" i="26"/>
  <c r="N333" i="26"/>
  <c r="N334" i="26"/>
  <c r="N335" i="26"/>
  <c r="N336" i="26"/>
  <c r="N337" i="26"/>
  <c r="N338" i="26"/>
  <c r="N339" i="26"/>
  <c r="N340" i="26"/>
  <c r="N341" i="26"/>
  <c r="N342" i="26"/>
  <c r="N343" i="26"/>
  <c r="N344" i="26"/>
  <c r="N345" i="26"/>
  <c r="N346" i="26"/>
  <c r="N347" i="26"/>
  <c r="N348" i="26"/>
  <c r="N349" i="26"/>
  <c r="N350" i="26"/>
  <c r="N351" i="26"/>
  <c r="N352" i="26"/>
  <c r="N353" i="26"/>
  <c r="N354" i="26"/>
  <c r="N355" i="26"/>
  <c r="N356" i="26"/>
  <c r="N357" i="26"/>
  <c r="N358" i="26"/>
  <c r="N359" i="26"/>
  <c r="N360" i="26"/>
  <c r="N361" i="26"/>
  <c r="N362" i="26"/>
  <c r="N363" i="26"/>
  <c r="N364" i="26"/>
  <c r="N365" i="26"/>
  <c r="N366" i="26"/>
  <c r="N367" i="26"/>
  <c r="N368" i="26"/>
  <c r="N369" i="26"/>
  <c r="N370" i="26"/>
  <c r="N371" i="26"/>
  <c r="N372" i="26"/>
  <c r="N373" i="26"/>
  <c r="N374" i="26"/>
  <c r="N375" i="26"/>
  <c r="N376" i="26"/>
  <c r="N377" i="26"/>
  <c r="N378" i="26"/>
  <c r="N379" i="26"/>
  <c r="N380" i="26"/>
  <c r="N381" i="26"/>
  <c r="N382" i="26"/>
  <c r="N383" i="26"/>
  <c r="N384" i="26"/>
  <c r="N385" i="26"/>
  <c r="N386" i="26"/>
  <c r="N387" i="26"/>
  <c r="N388" i="26"/>
  <c r="N389" i="26"/>
  <c r="N390" i="26"/>
  <c r="N391" i="26"/>
  <c r="N392" i="26"/>
  <c r="N393" i="26"/>
  <c r="N394" i="26"/>
  <c r="N395" i="26"/>
  <c r="N396" i="26"/>
  <c r="N397" i="26"/>
  <c r="N398" i="26"/>
  <c r="N399" i="26"/>
  <c r="N400" i="26"/>
  <c r="N401" i="26"/>
  <c r="N402" i="26"/>
  <c r="N403" i="26"/>
  <c r="N404" i="26"/>
  <c r="N405" i="26"/>
  <c r="N406" i="26"/>
  <c r="N407" i="26"/>
  <c r="N408" i="26"/>
  <c r="N409" i="26"/>
  <c r="N410" i="26"/>
  <c r="N411" i="26"/>
  <c r="N412" i="26"/>
  <c r="N413" i="26"/>
  <c r="N414" i="26"/>
  <c r="N415" i="26"/>
  <c r="N416" i="26"/>
  <c r="N417" i="26"/>
  <c r="N418" i="26"/>
  <c r="N419" i="26"/>
  <c r="N420" i="26"/>
  <c r="N421" i="26"/>
  <c r="N422" i="26"/>
  <c r="N423" i="26"/>
  <c r="N424" i="26"/>
  <c r="N425" i="26"/>
  <c r="N426" i="26"/>
  <c r="N427" i="26"/>
  <c r="N428" i="26"/>
  <c r="N429" i="26"/>
  <c r="N430" i="26"/>
  <c r="N431" i="26"/>
  <c r="N432" i="26"/>
  <c r="N433" i="26"/>
  <c r="N434" i="26"/>
  <c r="N435" i="26"/>
  <c r="N436" i="26"/>
  <c r="N437" i="26"/>
  <c r="N438" i="26"/>
  <c r="N439" i="26"/>
  <c r="N440" i="26"/>
  <c r="N441" i="26"/>
  <c r="N442" i="26"/>
  <c r="N443" i="26"/>
  <c r="N444" i="26"/>
  <c r="N445" i="26"/>
  <c r="N446" i="26"/>
  <c r="N447" i="26"/>
  <c r="N448" i="26"/>
  <c r="N449" i="26"/>
  <c r="N450" i="26"/>
  <c r="N451" i="26"/>
  <c r="N452" i="26"/>
  <c r="N453" i="26"/>
  <c r="N454" i="26"/>
  <c r="N455" i="26"/>
  <c r="N456" i="26"/>
  <c r="N457" i="26"/>
  <c r="N458" i="26"/>
  <c r="N459" i="26"/>
  <c r="N460" i="26"/>
  <c r="N461" i="26"/>
  <c r="N462" i="26"/>
  <c r="N463" i="26"/>
  <c r="N464" i="26"/>
  <c r="N465" i="26"/>
  <c r="N466" i="26"/>
  <c r="N467" i="26"/>
  <c r="N468" i="26"/>
  <c r="N469" i="26"/>
  <c r="N470" i="26"/>
  <c r="N471" i="26"/>
  <c r="N472" i="26"/>
  <c r="N473" i="26"/>
  <c r="N474" i="26"/>
  <c r="N475" i="26"/>
  <c r="N476" i="26"/>
  <c r="N477" i="26"/>
  <c r="N478" i="26"/>
  <c r="N479" i="26"/>
  <c r="N480" i="26"/>
  <c r="N481" i="26"/>
  <c r="N482" i="26"/>
  <c r="N483" i="26"/>
  <c r="N484" i="26"/>
  <c r="N485" i="26"/>
  <c r="N486" i="26"/>
  <c r="N487" i="26"/>
  <c r="N488" i="26"/>
  <c r="N489" i="26"/>
  <c r="N490" i="26"/>
  <c r="N491" i="26"/>
  <c r="N492" i="26"/>
  <c r="N493" i="26"/>
  <c r="N494" i="26"/>
  <c r="N495" i="26"/>
  <c r="N496" i="26"/>
  <c r="N497" i="26"/>
  <c r="N498" i="26"/>
  <c r="N499" i="26"/>
  <c r="N500" i="26"/>
  <c r="N501" i="26"/>
  <c r="N502" i="26"/>
  <c r="N503" i="26"/>
  <c r="N504" i="26"/>
  <c r="N505" i="26"/>
  <c r="N506" i="26"/>
  <c r="N507" i="26"/>
  <c r="N508" i="26"/>
  <c r="N509" i="26"/>
  <c r="N510" i="26"/>
  <c r="N511" i="26"/>
  <c r="N512" i="26"/>
  <c r="N513" i="26"/>
  <c r="N514" i="26"/>
  <c r="N515" i="26"/>
  <c r="N516" i="26"/>
  <c r="N517" i="26"/>
  <c r="N518" i="26"/>
  <c r="N519" i="26"/>
  <c r="N520" i="26"/>
  <c r="N521" i="26"/>
  <c r="N522" i="26"/>
  <c r="N523" i="26"/>
  <c r="N524" i="26"/>
  <c r="N525" i="26"/>
  <c r="N526" i="26"/>
  <c r="N527" i="26"/>
  <c r="N528" i="26"/>
  <c r="N529" i="26"/>
  <c r="N530" i="26"/>
  <c r="N531" i="26"/>
  <c r="N532" i="26"/>
  <c r="N533" i="26"/>
  <c r="N534" i="26"/>
  <c r="N535" i="26"/>
  <c r="N536" i="26"/>
  <c r="N537" i="26"/>
  <c r="N538" i="26"/>
  <c r="N539" i="26"/>
  <c r="N540" i="26"/>
  <c r="N541" i="26"/>
  <c r="N542" i="26"/>
  <c r="N543" i="26"/>
  <c r="N544" i="26"/>
  <c r="N545" i="26"/>
  <c r="N546" i="26"/>
  <c r="N547" i="26"/>
  <c r="N548" i="26"/>
  <c r="N549" i="26"/>
  <c r="N550" i="26"/>
  <c r="N551" i="26"/>
  <c r="N552" i="26"/>
  <c r="N553" i="26"/>
  <c r="N554" i="26"/>
  <c r="N555" i="26"/>
  <c r="N556" i="26"/>
  <c r="N557" i="26"/>
  <c r="N558" i="26"/>
  <c r="N559" i="26"/>
  <c r="N560" i="26"/>
  <c r="N561" i="26"/>
  <c r="N562" i="26"/>
  <c r="N563" i="26"/>
  <c r="N564" i="26"/>
  <c r="N565" i="26"/>
  <c r="N566" i="26"/>
  <c r="N567" i="26"/>
  <c r="N568" i="26"/>
  <c r="N569" i="26"/>
  <c r="N570" i="26"/>
  <c r="N571" i="26"/>
  <c r="N572" i="26"/>
  <c r="N573" i="26"/>
  <c r="N574" i="26"/>
  <c r="N575" i="26"/>
  <c r="N576" i="26"/>
  <c r="N577" i="26"/>
  <c r="N578" i="26"/>
  <c r="N579" i="26"/>
  <c r="N580" i="26"/>
  <c r="N581" i="26"/>
  <c r="N582" i="26"/>
  <c r="N583" i="26"/>
  <c r="N584" i="26"/>
  <c r="N585" i="26"/>
  <c r="N586" i="26"/>
  <c r="N587" i="26"/>
  <c r="N588" i="26"/>
  <c r="N589" i="26"/>
  <c r="N590" i="26"/>
  <c r="N591" i="26"/>
  <c r="N592" i="26"/>
  <c r="N593" i="26"/>
  <c r="N594" i="26"/>
  <c r="N595" i="26"/>
  <c r="N596" i="26"/>
  <c r="N597" i="26"/>
  <c r="N598" i="26"/>
  <c r="N599" i="26"/>
  <c r="N600" i="26"/>
  <c r="N601" i="26"/>
  <c r="N602" i="26"/>
  <c r="N603" i="26"/>
  <c r="N604" i="26"/>
  <c r="N605" i="26"/>
  <c r="N606" i="26"/>
  <c r="N607" i="26"/>
  <c r="N608" i="26"/>
  <c r="N609" i="26"/>
  <c r="N610" i="26"/>
  <c r="N611" i="26"/>
  <c r="N612" i="26"/>
  <c r="N613" i="26"/>
  <c r="N614" i="26"/>
  <c r="N615" i="26"/>
  <c r="N616" i="26"/>
  <c r="N617" i="26"/>
  <c r="N618" i="26"/>
  <c r="N619" i="26"/>
  <c r="N620" i="26"/>
  <c r="N621" i="26"/>
  <c r="N622" i="26"/>
  <c r="N623" i="26"/>
  <c r="N624" i="26"/>
  <c r="N625" i="26"/>
  <c r="N626" i="26"/>
  <c r="N627" i="26"/>
  <c r="N628" i="26"/>
  <c r="N629" i="26"/>
  <c r="N630" i="26"/>
  <c r="N631" i="26"/>
  <c r="N632" i="26"/>
  <c r="N633" i="26"/>
  <c r="N634" i="26"/>
  <c r="N635" i="26"/>
  <c r="N636" i="26"/>
  <c r="N637" i="26"/>
  <c r="N638" i="26"/>
  <c r="N639" i="26"/>
  <c r="N640" i="26"/>
  <c r="N641" i="26"/>
  <c r="N642" i="26"/>
  <c r="N643" i="26"/>
  <c r="N644" i="26"/>
  <c r="N645" i="26"/>
  <c r="N646" i="26"/>
  <c r="N647" i="26"/>
  <c r="N648" i="26"/>
  <c r="N649" i="26"/>
  <c r="N650" i="26"/>
  <c r="N651" i="26"/>
  <c r="N652" i="26"/>
  <c r="N653" i="26"/>
  <c r="N654" i="26"/>
  <c r="N655" i="26"/>
  <c r="N656" i="26"/>
  <c r="N657" i="26"/>
  <c r="N658" i="26"/>
  <c r="N659" i="26"/>
  <c r="N660" i="26"/>
  <c r="N661" i="26"/>
  <c r="N662" i="26"/>
  <c r="N663" i="26"/>
  <c r="N664" i="26"/>
  <c r="N665" i="26"/>
  <c r="N666" i="26"/>
  <c r="N667" i="26"/>
  <c r="N668" i="26"/>
  <c r="N669" i="26"/>
  <c r="N670" i="26"/>
  <c r="N671" i="26"/>
  <c r="N672" i="26"/>
  <c r="N673" i="26"/>
  <c r="N674" i="26"/>
  <c r="N675" i="26"/>
  <c r="N676" i="26"/>
  <c r="N677" i="26"/>
  <c r="N678" i="26"/>
  <c r="N679" i="26"/>
  <c r="N680" i="26"/>
  <c r="N681" i="26"/>
  <c r="N682" i="26"/>
  <c r="N683" i="26"/>
  <c r="N684" i="26"/>
  <c r="N685" i="26"/>
  <c r="N686" i="26"/>
  <c r="N687" i="26"/>
  <c r="N688" i="26"/>
  <c r="N689" i="26"/>
  <c r="N690" i="26"/>
  <c r="N691" i="26"/>
  <c r="N692" i="26"/>
  <c r="N693" i="26"/>
  <c r="N694" i="26"/>
  <c r="N695" i="26"/>
  <c r="N696" i="26"/>
  <c r="N697" i="26"/>
  <c r="N698" i="26"/>
  <c r="N699" i="26"/>
  <c r="N700" i="26"/>
  <c r="N701" i="26"/>
  <c r="N702" i="26"/>
  <c r="N703" i="26"/>
  <c r="N704" i="26"/>
  <c r="N705" i="26"/>
  <c r="N706" i="26"/>
  <c r="N707" i="26"/>
  <c r="N708" i="26"/>
  <c r="N709" i="26"/>
  <c r="N710" i="26"/>
  <c r="N711" i="26"/>
  <c r="N712" i="26"/>
  <c r="N713" i="26"/>
  <c r="N714" i="26"/>
  <c r="N715" i="26"/>
  <c r="N716" i="26"/>
  <c r="N717" i="26"/>
  <c r="N718" i="26"/>
  <c r="N719" i="26"/>
  <c r="N720" i="26"/>
  <c r="N721" i="26"/>
  <c r="N722" i="26"/>
  <c r="N723" i="26"/>
  <c r="N724" i="26"/>
  <c r="N725" i="26"/>
  <c r="N726" i="26"/>
  <c r="N727" i="26"/>
  <c r="N728" i="26"/>
  <c r="N729" i="26"/>
  <c r="N730" i="26"/>
  <c r="N731" i="26"/>
  <c r="N732" i="26"/>
  <c r="N733" i="26"/>
  <c r="N734" i="26"/>
  <c r="N735" i="26"/>
  <c r="N736" i="26"/>
  <c r="N737" i="26"/>
  <c r="N738" i="26"/>
  <c r="N739" i="26"/>
  <c r="N740" i="26"/>
  <c r="N741" i="26"/>
  <c r="N742" i="26"/>
  <c r="N743" i="26"/>
  <c r="N744" i="26"/>
  <c r="N745" i="26"/>
  <c r="N746" i="26"/>
  <c r="N747" i="26"/>
  <c r="N748" i="26"/>
  <c r="N749" i="26"/>
  <c r="N750" i="26"/>
  <c r="N751" i="26"/>
  <c r="N752" i="26"/>
  <c r="N753" i="26"/>
  <c r="N754" i="26"/>
  <c r="N755" i="26"/>
  <c r="N756" i="26"/>
  <c r="N757" i="26"/>
  <c r="N758" i="26"/>
  <c r="N759" i="26"/>
  <c r="N760" i="26"/>
  <c r="N761" i="26"/>
  <c r="N762" i="26"/>
  <c r="N763" i="26"/>
  <c r="N764" i="26"/>
  <c r="N765" i="26"/>
  <c r="N766" i="26"/>
  <c r="N767" i="26"/>
  <c r="N768" i="26"/>
  <c r="N769" i="26"/>
  <c r="N770" i="26"/>
  <c r="N771" i="26"/>
  <c r="N772" i="26"/>
  <c r="N773" i="26"/>
  <c r="N774" i="26"/>
  <c r="N775" i="26"/>
  <c r="N776" i="26"/>
  <c r="N777" i="26"/>
  <c r="N778" i="26"/>
  <c r="N779" i="26"/>
  <c r="N780" i="26"/>
  <c r="N781" i="26"/>
  <c r="N782" i="26"/>
  <c r="N783" i="26"/>
  <c r="N784" i="26"/>
  <c r="N785" i="26"/>
  <c r="N786" i="26"/>
  <c r="N787" i="26"/>
  <c r="N788" i="26"/>
  <c r="N789" i="26"/>
  <c r="N790" i="26"/>
  <c r="N791" i="26"/>
  <c r="N792" i="26"/>
  <c r="N793" i="26"/>
  <c r="N794" i="26"/>
  <c r="N795" i="26"/>
  <c r="N796" i="26"/>
  <c r="N797" i="26"/>
  <c r="N798" i="26"/>
  <c r="N799" i="26"/>
  <c r="N800" i="26"/>
  <c r="N801" i="26"/>
  <c r="N802" i="26"/>
  <c r="N803" i="26"/>
  <c r="N804" i="26"/>
  <c r="N805" i="26"/>
  <c r="N806" i="26"/>
  <c r="N807" i="26"/>
  <c r="N808" i="26"/>
  <c r="N809" i="26"/>
  <c r="N810" i="26"/>
  <c r="N811" i="26"/>
  <c r="N812" i="26"/>
  <c r="N813" i="26"/>
  <c r="N814" i="26"/>
  <c r="N815" i="26"/>
  <c r="N816" i="26"/>
  <c r="N817" i="26"/>
  <c r="N818" i="26"/>
  <c r="N819" i="26"/>
  <c r="N820" i="26"/>
  <c r="N821" i="26"/>
  <c r="N822" i="26"/>
  <c r="N823" i="26"/>
  <c r="N824" i="26"/>
  <c r="N825" i="26"/>
  <c r="N826" i="26"/>
  <c r="N827" i="26"/>
  <c r="N828" i="26"/>
  <c r="N829" i="26"/>
  <c r="N830" i="26"/>
  <c r="N831" i="26"/>
  <c r="N832" i="26"/>
  <c r="N833" i="26"/>
  <c r="N834" i="26"/>
  <c r="N835" i="26"/>
  <c r="N836" i="26"/>
  <c r="N837" i="26"/>
  <c r="N838" i="26"/>
  <c r="N839" i="26"/>
  <c r="N840" i="26"/>
  <c r="N841" i="26"/>
  <c r="N842" i="26"/>
  <c r="N843" i="26"/>
  <c r="N844" i="26"/>
  <c r="N845" i="26"/>
  <c r="N846" i="26"/>
  <c r="N847" i="26"/>
  <c r="N848" i="26"/>
  <c r="N849" i="26"/>
  <c r="N850" i="26"/>
  <c r="N851" i="26"/>
  <c r="N852" i="26"/>
  <c r="N853" i="26"/>
  <c r="N854" i="26"/>
  <c r="N855" i="26"/>
  <c r="N856" i="26"/>
  <c r="N857" i="26"/>
  <c r="N858" i="26"/>
  <c r="N859" i="26"/>
  <c r="N860" i="26"/>
  <c r="N861" i="26"/>
  <c r="N862" i="26"/>
  <c r="N863" i="26"/>
  <c r="N864" i="26"/>
  <c r="N865" i="26"/>
  <c r="N866" i="26"/>
  <c r="N867" i="26"/>
  <c r="N868" i="26"/>
  <c r="N869" i="26"/>
  <c r="N870" i="26"/>
  <c r="N871" i="26"/>
  <c r="N872" i="26"/>
  <c r="N873" i="26"/>
  <c r="N874" i="26"/>
  <c r="N875" i="26"/>
  <c r="N876" i="26"/>
  <c r="N877" i="26"/>
  <c r="N878" i="26"/>
  <c r="N879" i="26"/>
  <c r="N880" i="26"/>
  <c r="N881" i="26"/>
  <c r="N882" i="26"/>
  <c r="N883" i="26"/>
  <c r="N884" i="26"/>
  <c r="N885" i="26"/>
  <c r="N886" i="26"/>
  <c r="N887" i="26"/>
  <c r="N888" i="26"/>
  <c r="N889" i="26"/>
  <c r="N890" i="26"/>
  <c r="N891" i="26"/>
  <c r="N892" i="26"/>
  <c r="N893" i="26"/>
  <c r="N894" i="26"/>
  <c r="N895" i="26"/>
  <c r="N896" i="26"/>
  <c r="N897" i="26"/>
  <c r="N898" i="26"/>
  <c r="N899" i="26"/>
  <c r="N900" i="26"/>
  <c r="N901" i="26"/>
  <c r="N902" i="26"/>
  <c r="N903" i="26"/>
  <c r="N904" i="26"/>
  <c r="N905" i="26"/>
  <c r="N906" i="26"/>
  <c r="N907" i="26"/>
  <c r="N908" i="26"/>
  <c r="N909" i="26"/>
  <c r="N910" i="26"/>
  <c r="N911" i="26"/>
  <c r="N912" i="26"/>
  <c r="N913" i="26"/>
  <c r="N914" i="26"/>
  <c r="N915" i="26"/>
  <c r="N916" i="26"/>
  <c r="N917" i="26"/>
  <c r="N918" i="26"/>
  <c r="N919" i="26"/>
  <c r="N920" i="26"/>
  <c r="N921" i="26"/>
  <c r="N922" i="26"/>
  <c r="N923" i="26"/>
  <c r="N924" i="26"/>
  <c r="N925" i="26"/>
  <c r="N926" i="26"/>
  <c r="N927" i="26"/>
  <c r="N928" i="26"/>
  <c r="N929" i="26"/>
  <c r="N930" i="26"/>
  <c r="N931" i="26"/>
  <c r="N932" i="26"/>
  <c r="N933" i="26"/>
  <c r="N934" i="26"/>
  <c r="N935" i="26"/>
  <c r="N936" i="26"/>
  <c r="N937" i="26"/>
  <c r="N938" i="26"/>
  <c r="N939" i="26"/>
  <c r="N940" i="26"/>
  <c r="N941" i="26"/>
  <c r="N942" i="26"/>
  <c r="N943" i="26"/>
  <c r="N944" i="26"/>
  <c r="N945" i="26"/>
  <c r="N946" i="26"/>
  <c r="N947" i="26"/>
  <c r="N948" i="26"/>
  <c r="N949" i="26"/>
  <c r="N950" i="26"/>
  <c r="N951" i="26"/>
  <c r="N952" i="26"/>
  <c r="N953" i="26"/>
  <c r="N954" i="26"/>
  <c r="N955" i="26"/>
  <c r="N956" i="26"/>
  <c r="N957" i="26"/>
  <c r="N958" i="26"/>
  <c r="N959" i="26"/>
  <c r="N960" i="26"/>
  <c r="N961" i="26"/>
  <c r="N962" i="26"/>
  <c r="N963" i="26"/>
  <c r="N964" i="26"/>
  <c r="N965" i="26"/>
  <c r="N966" i="26"/>
  <c r="N967" i="26"/>
  <c r="N968" i="26"/>
  <c r="N969" i="26"/>
  <c r="N970" i="26"/>
  <c r="N971" i="26"/>
  <c r="N972" i="26"/>
  <c r="N973" i="26"/>
  <c r="N974" i="26"/>
  <c r="N975" i="26"/>
  <c r="N976" i="26"/>
  <c r="N977" i="26"/>
  <c r="N978" i="26"/>
  <c r="N979" i="26"/>
  <c r="N980" i="26"/>
  <c r="N981" i="26"/>
  <c r="N982" i="26"/>
  <c r="N983" i="26"/>
  <c r="N984" i="26"/>
  <c r="N985" i="26"/>
  <c r="N986" i="26"/>
  <c r="N987" i="26"/>
  <c r="N988" i="26"/>
  <c r="N989" i="26"/>
  <c r="N990" i="26"/>
  <c r="N991" i="26"/>
  <c r="N992" i="26"/>
  <c r="N993" i="26"/>
  <c r="N994" i="26"/>
  <c r="N995" i="26"/>
  <c r="N996" i="26"/>
  <c r="N997" i="26"/>
  <c r="N998" i="26"/>
  <c r="N19" i="25"/>
  <c r="N20" i="25"/>
  <c r="N21" i="25"/>
  <c r="N22" i="25"/>
  <c r="N23" i="25"/>
  <c r="N24" i="25"/>
  <c r="N25" i="25"/>
  <c r="N28" i="25"/>
  <c r="N29" i="25"/>
  <c r="N30" i="25"/>
  <c r="N31" i="25"/>
  <c r="N32" i="25"/>
  <c r="N33" i="25"/>
  <c r="N34" i="25"/>
  <c r="N35" i="25"/>
  <c r="N36" i="25"/>
  <c r="N37" i="25"/>
  <c r="N38" i="25"/>
  <c r="N39" i="25"/>
  <c r="N40" i="25"/>
  <c r="N41" i="25"/>
  <c r="N42" i="25"/>
  <c r="N43" i="25"/>
  <c r="N44" i="25"/>
  <c r="N45" i="25"/>
  <c r="N46" i="25"/>
  <c r="N47" i="25"/>
  <c r="N48" i="25"/>
  <c r="N49" i="25"/>
  <c r="N50" i="25"/>
  <c r="N51" i="25"/>
  <c r="N52" i="25"/>
  <c r="N53" i="25"/>
  <c r="N54" i="25"/>
  <c r="N55" i="25"/>
  <c r="N56" i="25"/>
  <c r="N57" i="25"/>
  <c r="N58" i="25"/>
  <c r="N59" i="25"/>
  <c r="N60" i="25"/>
  <c r="N61" i="25"/>
  <c r="N62" i="25"/>
  <c r="N63" i="25"/>
  <c r="N64" i="25"/>
  <c r="N65" i="25"/>
  <c r="N66" i="25"/>
  <c r="N67" i="25"/>
  <c r="N68" i="25"/>
  <c r="N69" i="25"/>
  <c r="N70" i="25"/>
  <c r="N71" i="25"/>
  <c r="N72" i="25"/>
  <c r="N73" i="25"/>
  <c r="N74" i="25"/>
  <c r="N75" i="25"/>
  <c r="N76" i="25"/>
  <c r="N77" i="25"/>
  <c r="N78" i="25"/>
  <c r="N79" i="25"/>
  <c r="N80" i="25"/>
  <c r="N81" i="25"/>
  <c r="N82" i="25"/>
  <c r="N83" i="25"/>
  <c r="N84" i="25"/>
  <c r="N85" i="25"/>
  <c r="N86" i="25"/>
  <c r="N87" i="25"/>
  <c r="N88" i="25"/>
  <c r="N89" i="25"/>
  <c r="N90" i="25"/>
  <c r="N91" i="25"/>
  <c r="N92" i="25"/>
  <c r="N93" i="25"/>
  <c r="N94" i="25"/>
  <c r="N95" i="25"/>
  <c r="N96" i="25"/>
  <c r="N97" i="25"/>
  <c r="N98" i="25"/>
  <c r="N99" i="25"/>
  <c r="N100" i="25"/>
  <c r="N101" i="25"/>
  <c r="N102" i="25"/>
  <c r="N103" i="25"/>
  <c r="N104" i="25"/>
  <c r="N105" i="25"/>
  <c r="N106" i="25"/>
  <c r="N107" i="25"/>
  <c r="N108" i="25"/>
  <c r="N109" i="25"/>
  <c r="N110" i="25"/>
  <c r="N111" i="25"/>
  <c r="N112" i="25"/>
  <c r="N113" i="25"/>
  <c r="N114" i="25"/>
  <c r="N115" i="25"/>
  <c r="N116" i="25"/>
  <c r="N117" i="25"/>
  <c r="N118" i="25"/>
  <c r="N119" i="25"/>
  <c r="N120" i="25"/>
  <c r="N121" i="25"/>
  <c r="N122" i="25"/>
  <c r="N123" i="25"/>
  <c r="N124" i="25"/>
  <c r="N125" i="25"/>
  <c r="N126" i="25"/>
  <c r="N127" i="25"/>
  <c r="N128" i="25"/>
  <c r="N129" i="25"/>
  <c r="N130" i="25"/>
  <c r="N131" i="25"/>
  <c r="N132" i="25"/>
  <c r="N133" i="25"/>
  <c r="N134" i="25"/>
  <c r="N135" i="25"/>
  <c r="N136" i="25"/>
  <c r="N137" i="25"/>
  <c r="N138" i="25"/>
  <c r="N139" i="25"/>
  <c r="N140" i="25"/>
  <c r="N141" i="25"/>
  <c r="N142" i="25"/>
  <c r="N143" i="25"/>
  <c r="N144" i="25"/>
  <c r="N145" i="25"/>
  <c r="N146" i="25"/>
  <c r="N147" i="25"/>
  <c r="N148" i="25"/>
  <c r="N149" i="25"/>
  <c r="N150" i="25"/>
  <c r="N151" i="25"/>
  <c r="N152" i="25"/>
  <c r="N153" i="25"/>
  <c r="N154" i="25"/>
  <c r="N155" i="25"/>
  <c r="N156" i="25"/>
  <c r="N157" i="25"/>
  <c r="N158" i="25"/>
  <c r="N159" i="25"/>
  <c r="N160" i="25"/>
  <c r="N161" i="25"/>
  <c r="N162" i="25"/>
  <c r="N163" i="25"/>
  <c r="N164" i="25"/>
  <c r="N165" i="25"/>
  <c r="N166" i="25"/>
  <c r="N167" i="25"/>
  <c r="N168" i="25"/>
  <c r="N169" i="25"/>
  <c r="N170" i="25"/>
  <c r="N171" i="25"/>
  <c r="N172" i="25"/>
  <c r="N173" i="25"/>
  <c r="N174" i="25"/>
  <c r="N175" i="25"/>
  <c r="N176" i="25"/>
  <c r="N177" i="25"/>
  <c r="N178" i="25"/>
  <c r="N179" i="25"/>
  <c r="N180" i="25"/>
  <c r="N181" i="25"/>
  <c r="N182" i="25"/>
  <c r="N183" i="25"/>
  <c r="N184" i="25"/>
  <c r="N185" i="25"/>
  <c r="N186" i="25"/>
  <c r="N187" i="25"/>
  <c r="N188" i="25"/>
  <c r="N189" i="25"/>
  <c r="N190" i="25"/>
  <c r="N191" i="25"/>
  <c r="N192" i="25"/>
  <c r="N193" i="25"/>
  <c r="N194" i="25"/>
  <c r="N195" i="25"/>
  <c r="N196" i="25"/>
  <c r="N197" i="25"/>
  <c r="N198" i="25"/>
  <c r="N199" i="25"/>
  <c r="N200" i="25"/>
  <c r="N201" i="25"/>
  <c r="N202" i="25"/>
  <c r="N203" i="25"/>
  <c r="N204" i="25"/>
  <c r="N205" i="25"/>
  <c r="N206" i="25"/>
  <c r="N207" i="25"/>
  <c r="N208" i="25"/>
  <c r="N209" i="25"/>
  <c r="N210" i="25"/>
  <c r="N211" i="25"/>
  <c r="N212" i="25"/>
  <c r="N213" i="25"/>
  <c r="N214" i="25"/>
  <c r="N215" i="25"/>
  <c r="N216" i="25"/>
  <c r="N217" i="25"/>
  <c r="N218" i="25"/>
  <c r="N219" i="25"/>
  <c r="N220" i="25"/>
  <c r="N221" i="25"/>
  <c r="N222" i="25"/>
  <c r="N223" i="25"/>
  <c r="N224" i="25"/>
  <c r="N225" i="25"/>
  <c r="N226" i="25"/>
  <c r="N227" i="25"/>
  <c r="N228" i="25"/>
  <c r="N229" i="25"/>
  <c r="N230" i="25"/>
  <c r="N231" i="25"/>
  <c r="N232" i="25"/>
  <c r="N233" i="25"/>
  <c r="N234" i="25"/>
  <c r="N235" i="25"/>
  <c r="N236" i="25"/>
  <c r="N237" i="25"/>
  <c r="N238" i="25"/>
  <c r="N239" i="25"/>
  <c r="N240" i="25"/>
  <c r="N241" i="25"/>
  <c r="N242" i="25"/>
  <c r="N243" i="25"/>
  <c r="N244" i="25"/>
  <c r="N245" i="25"/>
  <c r="N246" i="25"/>
  <c r="N247" i="25"/>
  <c r="N248" i="25"/>
  <c r="N249" i="25"/>
  <c r="N250" i="25"/>
  <c r="N251" i="25"/>
  <c r="N252" i="25"/>
  <c r="N253" i="25"/>
  <c r="N254" i="25"/>
  <c r="N255" i="25"/>
  <c r="N256" i="25"/>
  <c r="N257" i="25"/>
  <c r="N258" i="25"/>
  <c r="N259" i="25"/>
  <c r="N260" i="25"/>
  <c r="N261" i="25"/>
  <c r="N262" i="25"/>
  <c r="N263" i="25"/>
  <c r="N264" i="25"/>
  <c r="N265" i="25"/>
  <c r="N266" i="25"/>
  <c r="N267" i="25"/>
  <c r="N268" i="25"/>
  <c r="N269" i="25"/>
  <c r="N270" i="25"/>
  <c r="N271" i="25"/>
  <c r="N272" i="25"/>
  <c r="N273" i="25"/>
  <c r="N274" i="25"/>
  <c r="N275" i="25"/>
  <c r="N276" i="25"/>
  <c r="N277" i="25"/>
  <c r="N278" i="25"/>
  <c r="N279" i="25"/>
  <c r="N280" i="25"/>
  <c r="N281" i="25"/>
  <c r="N282" i="25"/>
  <c r="N283" i="25"/>
  <c r="N284" i="25"/>
  <c r="N285" i="25"/>
  <c r="N286" i="25"/>
  <c r="N287" i="25"/>
  <c r="N288" i="25"/>
  <c r="N289" i="25"/>
  <c r="N290" i="25"/>
  <c r="N291" i="25"/>
  <c r="N292" i="25"/>
  <c r="N293" i="25"/>
  <c r="N294" i="25"/>
  <c r="N295" i="25"/>
  <c r="N296" i="25"/>
  <c r="N297" i="25"/>
  <c r="N298" i="25"/>
  <c r="N299" i="25"/>
  <c r="N300" i="25"/>
  <c r="N301" i="25"/>
  <c r="N302" i="25"/>
  <c r="N303" i="25"/>
  <c r="N304" i="25"/>
  <c r="N305" i="25"/>
  <c r="N306" i="25"/>
  <c r="N307" i="25"/>
  <c r="N308" i="25"/>
  <c r="N309" i="25"/>
  <c r="N310" i="25"/>
  <c r="N311" i="25"/>
  <c r="N312" i="25"/>
  <c r="N313" i="25"/>
  <c r="N314" i="25"/>
  <c r="N315" i="25"/>
  <c r="N316" i="25"/>
  <c r="N317" i="25"/>
  <c r="N318" i="25"/>
  <c r="N319" i="25"/>
  <c r="N320" i="25"/>
  <c r="N321" i="25"/>
  <c r="N322" i="25"/>
  <c r="N323" i="25"/>
  <c r="N324" i="25"/>
  <c r="N325" i="25"/>
  <c r="N326" i="25"/>
  <c r="N327" i="25"/>
  <c r="N328" i="25"/>
  <c r="N329" i="25"/>
  <c r="N330" i="25"/>
  <c r="N331" i="25"/>
  <c r="N332" i="25"/>
  <c r="N333" i="25"/>
  <c r="N334" i="25"/>
  <c r="N335" i="25"/>
  <c r="N336" i="25"/>
  <c r="N337" i="25"/>
  <c r="N338" i="25"/>
  <c r="N339" i="25"/>
  <c r="N340" i="25"/>
  <c r="N341" i="25"/>
  <c r="N342" i="25"/>
  <c r="N343" i="25"/>
  <c r="N344" i="25"/>
  <c r="N345" i="25"/>
  <c r="N346" i="25"/>
  <c r="N347" i="25"/>
  <c r="N348" i="25"/>
  <c r="N349" i="25"/>
  <c r="N350" i="25"/>
  <c r="N351" i="25"/>
  <c r="N352" i="25"/>
  <c r="N353" i="25"/>
  <c r="N354" i="25"/>
  <c r="N355" i="25"/>
  <c r="N356" i="25"/>
  <c r="N357" i="25"/>
  <c r="N358" i="25"/>
  <c r="N359" i="25"/>
  <c r="N360" i="25"/>
  <c r="N361" i="25"/>
  <c r="N362" i="25"/>
  <c r="N363" i="25"/>
  <c r="N364" i="25"/>
  <c r="N365" i="25"/>
  <c r="N366" i="25"/>
  <c r="N367" i="25"/>
  <c r="N368" i="25"/>
  <c r="N369" i="25"/>
  <c r="N370" i="25"/>
  <c r="N371" i="25"/>
  <c r="N372" i="25"/>
  <c r="N373" i="25"/>
  <c r="N374" i="25"/>
  <c r="N375" i="25"/>
  <c r="N376" i="25"/>
  <c r="N377" i="25"/>
  <c r="N378" i="25"/>
  <c r="N379" i="25"/>
  <c r="N380" i="25"/>
  <c r="N381" i="25"/>
  <c r="N382" i="25"/>
  <c r="N383" i="25"/>
  <c r="N384" i="25"/>
  <c r="N385" i="25"/>
  <c r="N386" i="25"/>
  <c r="N387" i="25"/>
  <c r="N388" i="25"/>
  <c r="N389" i="25"/>
  <c r="N390" i="25"/>
  <c r="N391" i="25"/>
  <c r="N392" i="25"/>
  <c r="N393" i="25"/>
  <c r="N394" i="25"/>
  <c r="N395" i="25"/>
  <c r="N396" i="25"/>
  <c r="N397" i="25"/>
  <c r="N398" i="25"/>
  <c r="N399" i="25"/>
  <c r="N400" i="25"/>
  <c r="N401" i="25"/>
  <c r="N402" i="25"/>
  <c r="N403" i="25"/>
  <c r="N404" i="25"/>
  <c r="N405" i="25"/>
  <c r="N406" i="25"/>
  <c r="N407" i="25"/>
  <c r="N408" i="25"/>
  <c r="N409" i="25"/>
  <c r="N410" i="25"/>
  <c r="N411" i="25"/>
  <c r="N412" i="25"/>
  <c r="N413" i="25"/>
  <c r="N414" i="25"/>
  <c r="N415" i="25"/>
  <c r="N416" i="25"/>
  <c r="N417" i="25"/>
  <c r="N418" i="25"/>
  <c r="N419" i="25"/>
  <c r="N420" i="25"/>
  <c r="N421" i="25"/>
  <c r="N422" i="25"/>
  <c r="N423" i="25"/>
  <c r="N424" i="25"/>
  <c r="N425" i="25"/>
  <c r="N426" i="25"/>
  <c r="N427" i="25"/>
  <c r="N428" i="25"/>
  <c r="N429" i="25"/>
  <c r="N430" i="25"/>
  <c r="N431" i="25"/>
  <c r="N432" i="25"/>
  <c r="N433" i="25"/>
  <c r="N434" i="25"/>
  <c r="N435" i="25"/>
  <c r="N436" i="25"/>
  <c r="N437" i="25"/>
  <c r="N438" i="25"/>
  <c r="N439" i="25"/>
  <c r="N440" i="25"/>
  <c r="N441" i="25"/>
  <c r="N442" i="25"/>
  <c r="N443" i="25"/>
  <c r="N444" i="25"/>
  <c r="N445" i="25"/>
  <c r="N446" i="25"/>
  <c r="N447" i="25"/>
  <c r="N448" i="25"/>
  <c r="N449" i="25"/>
  <c r="N450" i="25"/>
  <c r="N451" i="25"/>
  <c r="N452" i="25"/>
  <c r="N453" i="25"/>
  <c r="N454" i="25"/>
  <c r="N455" i="25"/>
  <c r="N456" i="25"/>
  <c r="N457" i="25"/>
  <c r="N458" i="25"/>
  <c r="N459" i="25"/>
  <c r="N460" i="25"/>
  <c r="N461" i="25"/>
  <c r="N462" i="25"/>
  <c r="N463" i="25"/>
  <c r="N464" i="25"/>
  <c r="N465" i="25"/>
  <c r="N466" i="25"/>
  <c r="N467" i="25"/>
  <c r="N468" i="25"/>
  <c r="N469" i="25"/>
  <c r="N470" i="25"/>
  <c r="N471" i="25"/>
  <c r="N472" i="25"/>
  <c r="N473" i="25"/>
  <c r="N474" i="25"/>
  <c r="N475" i="25"/>
  <c r="N476" i="25"/>
  <c r="N477" i="25"/>
  <c r="N478" i="25"/>
  <c r="N479" i="25"/>
  <c r="N480" i="25"/>
  <c r="N481" i="25"/>
  <c r="N482" i="25"/>
  <c r="N483" i="25"/>
  <c r="N484" i="25"/>
  <c r="N485" i="25"/>
  <c r="N486" i="25"/>
  <c r="N487" i="25"/>
  <c r="N488" i="25"/>
  <c r="N489" i="25"/>
  <c r="N490" i="25"/>
  <c r="N491" i="25"/>
  <c r="N492" i="25"/>
  <c r="N493" i="25"/>
  <c r="N494" i="25"/>
  <c r="N495" i="25"/>
  <c r="N496" i="25"/>
  <c r="N497" i="25"/>
  <c r="N498" i="25"/>
  <c r="N499" i="25"/>
  <c r="N500" i="25"/>
  <c r="N501" i="25"/>
  <c r="N502" i="25"/>
  <c r="N503" i="25"/>
  <c r="N504" i="25"/>
  <c r="N505" i="25"/>
  <c r="N506" i="25"/>
  <c r="N507" i="25"/>
  <c r="N508" i="25"/>
  <c r="N509" i="25"/>
  <c r="N510" i="25"/>
  <c r="N511" i="25"/>
  <c r="N512" i="25"/>
  <c r="N513" i="25"/>
  <c r="N514" i="25"/>
  <c r="N515" i="25"/>
  <c r="N516" i="25"/>
  <c r="N517" i="25"/>
  <c r="N518" i="25"/>
  <c r="N519" i="25"/>
  <c r="N520" i="25"/>
  <c r="N521" i="25"/>
  <c r="N522" i="25"/>
  <c r="N523" i="25"/>
  <c r="N524" i="25"/>
  <c r="N525" i="25"/>
  <c r="N526" i="25"/>
  <c r="N527" i="25"/>
  <c r="N528" i="25"/>
  <c r="N529" i="25"/>
  <c r="N530" i="25"/>
  <c r="N531" i="25"/>
  <c r="N532" i="25"/>
  <c r="N533" i="25"/>
  <c r="N534" i="25"/>
  <c r="N535" i="25"/>
  <c r="N536" i="25"/>
  <c r="N537" i="25"/>
  <c r="N538" i="25"/>
  <c r="N539" i="25"/>
  <c r="N540" i="25"/>
  <c r="N541" i="25"/>
  <c r="N542" i="25"/>
  <c r="N543" i="25"/>
  <c r="N544" i="25"/>
  <c r="N545" i="25"/>
  <c r="N546" i="25"/>
  <c r="N547" i="25"/>
  <c r="N548" i="25"/>
  <c r="N549" i="25"/>
  <c r="N550" i="25"/>
  <c r="N551" i="25"/>
  <c r="N552" i="25"/>
  <c r="N553" i="25"/>
  <c r="N554" i="25"/>
  <c r="N555" i="25"/>
  <c r="N556" i="25"/>
  <c r="N557" i="25"/>
  <c r="N558" i="25"/>
  <c r="N559" i="25"/>
  <c r="N560" i="25"/>
  <c r="N561" i="25"/>
  <c r="N562" i="25"/>
  <c r="N563" i="25"/>
  <c r="N564" i="25"/>
  <c r="N565" i="25"/>
  <c r="N566" i="25"/>
  <c r="N567" i="25"/>
  <c r="N568" i="25"/>
  <c r="N569" i="25"/>
  <c r="N570" i="25"/>
  <c r="N571" i="25"/>
  <c r="N572" i="25"/>
  <c r="N573" i="25"/>
  <c r="N574" i="25"/>
  <c r="N575" i="25"/>
  <c r="N576" i="25"/>
  <c r="N577" i="25"/>
  <c r="N578" i="25"/>
  <c r="N579" i="25"/>
  <c r="N580" i="25"/>
  <c r="N581" i="25"/>
  <c r="N582" i="25"/>
  <c r="N583" i="25"/>
  <c r="N584" i="25"/>
  <c r="N585" i="25"/>
  <c r="N586" i="25"/>
  <c r="N587" i="25"/>
  <c r="N588" i="25"/>
  <c r="N589" i="25"/>
  <c r="N590" i="25"/>
  <c r="N591" i="25"/>
  <c r="N592" i="25"/>
  <c r="N593" i="25"/>
  <c r="N594" i="25"/>
  <c r="N595" i="25"/>
  <c r="N596" i="25"/>
  <c r="N597" i="25"/>
  <c r="N598" i="25"/>
  <c r="N599" i="25"/>
  <c r="N600" i="25"/>
  <c r="N601" i="25"/>
  <c r="N602" i="25"/>
  <c r="N603" i="25"/>
  <c r="N604" i="25"/>
  <c r="N605" i="25"/>
  <c r="N606" i="25"/>
  <c r="N607" i="25"/>
  <c r="N608" i="25"/>
  <c r="N609" i="25"/>
  <c r="N610" i="25"/>
  <c r="N611" i="25"/>
  <c r="N612" i="25"/>
  <c r="N613" i="25"/>
  <c r="N614" i="25"/>
  <c r="N615" i="25"/>
  <c r="N616" i="25"/>
  <c r="N617" i="25"/>
  <c r="N618" i="25"/>
  <c r="N619" i="25"/>
  <c r="N620" i="25"/>
  <c r="N621" i="25"/>
  <c r="N622" i="25"/>
  <c r="N623" i="25"/>
  <c r="N624" i="25"/>
  <c r="N625" i="25"/>
  <c r="N626" i="25"/>
  <c r="N627" i="25"/>
  <c r="N628" i="25"/>
  <c r="N629" i="25"/>
  <c r="N630" i="25"/>
  <c r="N631" i="25"/>
  <c r="N632" i="25"/>
  <c r="N633" i="25"/>
  <c r="N634" i="25"/>
  <c r="N635" i="25"/>
  <c r="N636" i="25"/>
  <c r="N637" i="25"/>
  <c r="N638" i="25"/>
  <c r="N639" i="25"/>
  <c r="N640" i="25"/>
  <c r="N641" i="25"/>
  <c r="N642" i="25"/>
  <c r="N643" i="25"/>
  <c r="N644" i="25"/>
  <c r="N645" i="25"/>
  <c r="N646" i="25"/>
  <c r="N647" i="25"/>
  <c r="N648" i="25"/>
  <c r="N649" i="25"/>
  <c r="N650" i="25"/>
  <c r="N651" i="25"/>
  <c r="N652" i="25"/>
  <c r="N653" i="25"/>
  <c r="N654" i="25"/>
  <c r="N655" i="25"/>
  <c r="N656" i="25"/>
  <c r="N657" i="25"/>
  <c r="N658" i="25"/>
  <c r="N659" i="25"/>
  <c r="N660" i="25"/>
  <c r="N661" i="25"/>
  <c r="N662" i="25"/>
  <c r="N663" i="25"/>
  <c r="N664" i="25"/>
  <c r="N665" i="25"/>
  <c r="N666" i="25"/>
  <c r="N667" i="25"/>
  <c r="N668" i="25"/>
  <c r="N669" i="25"/>
  <c r="N670" i="25"/>
  <c r="N671" i="25"/>
  <c r="N672" i="25"/>
  <c r="N673" i="25"/>
  <c r="N674" i="25"/>
  <c r="N675" i="25"/>
  <c r="N676" i="25"/>
  <c r="N677" i="25"/>
  <c r="N678" i="25"/>
  <c r="N679" i="25"/>
  <c r="N680" i="25"/>
  <c r="N681" i="25"/>
  <c r="N682" i="25"/>
  <c r="N683" i="25"/>
  <c r="N684" i="25"/>
  <c r="N685" i="25"/>
  <c r="N686" i="25"/>
  <c r="N687" i="25"/>
  <c r="N688" i="25"/>
  <c r="N689" i="25"/>
  <c r="N690" i="25"/>
  <c r="N691" i="25"/>
  <c r="N692" i="25"/>
  <c r="N693" i="25"/>
  <c r="N694" i="25"/>
  <c r="N695" i="25"/>
  <c r="N696" i="25"/>
  <c r="N697" i="25"/>
  <c r="N698" i="25"/>
  <c r="N699" i="25"/>
  <c r="N700" i="25"/>
  <c r="N701" i="25"/>
  <c r="N702" i="25"/>
  <c r="N703" i="25"/>
  <c r="N704" i="25"/>
  <c r="N705" i="25"/>
  <c r="N706" i="25"/>
  <c r="N707" i="25"/>
  <c r="N708" i="25"/>
  <c r="N709" i="25"/>
  <c r="N710" i="25"/>
  <c r="N711" i="25"/>
  <c r="N712" i="25"/>
  <c r="N713" i="25"/>
  <c r="N714" i="25"/>
  <c r="N715" i="25"/>
  <c r="N716" i="25"/>
  <c r="N717" i="25"/>
  <c r="N718" i="25"/>
  <c r="N719" i="25"/>
  <c r="N720" i="25"/>
  <c r="N721" i="25"/>
  <c r="N722" i="25"/>
  <c r="N723" i="25"/>
  <c r="N724" i="25"/>
  <c r="N725" i="25"/>
  <c r="N726" i="25"/>
  <c r="N727" i="25"/>
  <c r="N728" i="25"/>
  <c r="N729" i="25"/>
  <c r="N730" i="25"/>
  <c r="N731" i="25"/>
  <c r="N732" i="25"/>
  <c r="N733" i="25"/>
  <c r="N734" i="25"/>
  <c r="N735" i="25"/>
  <c r="N736" i="25"/>
  <c r="N737" i="25"/>
  <c r="N738" i="25"/>
  <c r="N739" i="25"/>
  <c r="N740" i="25"/>
  <c r="N741" i="25"/>
  <c r="N742" i="25"/>
  <c r="N743" i="25"/>
  <c r="N744" i="25"/>
  <c r="N745" i="25"/>
  <c r="N746" i="25"/>
  <c r="N747" i="25"/>
  <c r="N748" i="25"/>
  <c r="N749" i="25"/>
  <c r="N750" i="25"/>
  <c r="N751" i="25"/>
  <c r="N752" i="25"/>
  <c r="N753" i="25"/>
  <c r="N754" i="25"/>
  <c r="N755" i="25"/>
  <c r="N756" i="25"/>
  <c r="N757" i="25"/>
  <c r="N758" i="25"/>
  <c r="N759" i="25"/>
  <c r="N760" i="25"/>
  <c r="N761" i="25"/>
  <c r="N762" i="25"/>
  <c r="N763" i="25"/>
  <c r="N764" i="25"/>
  <c r="N765" i="25"/>
  <c r="N766" i="25"/>
  <c r="N767" i="25"/>
  <c r="N768" i="25"/>
  <c r="N769" i="25"/>
  <c r="N770" i="25"/>
  <c r="N771" i="25"/>
  <c r="N772" i="25"/>
  <c r="N773" i="25"/>
  <c r="N774" i="25"/>
  <c r="N775" i="25"/>
  <c r="N776" i="25"/>
  <c r="N777" i="25"/>
  <c r="N778" i="25"/>
  <c r="N779" i="25"/>
  <c r="N780" i="25"/>
  <c r="N781" i="25"/>
  <c r="N782" i="25"/>
  <c r="N783" i="25"/>
  <c r="N784" i="25"/>
  <c r="N785" i="25"/>
  <c r="N786" i="25"/>
  <c r="N787" i="25"/>
  <c r="N788" i="25"/>
  <c r="N789" i="25"/>
  <c r="N790" i="25"/>
  <c r="N791" i="25"/>
  <c r="N792" i="25"/>
  <c r="N793" i="25"/>
  <c r="N794" i="25"/>
  <c r="N795" i="25"/>
  <c r="N796" i="25"/>
  <c r="N797" i="25"/>
  <c r="N798" i="25"/>
  <c r="N799" i="25"/>
  <c r="N800" i="25"/>
  <c r="N801" i="25"/>
  <c r="N802" i="25"/>
  <c r="N803" i="25"/>
  <c r="N804" i="25"/>
  <c r="N805" i="25"/>
  <c r="N806" i="25"/>
  <c r="N807" i="25"/>
  <c r="N808" i="25"/>
  <c r="N809" i="25"/>
  <c r="N810" i="25"/>
  <c r="N811" i="25"/>
  <c r="N812" i="25"/>
  <c r="N813" i="25"/>
  <c r="N814" i="25"/>
  <c r="N815" i="25"/>
  <c r="N816" i="25"/>
  <c r="N817" i="25"/>
  <c r="N818" i="25"/>
  <c r="N819" i="25"/>
  <c r="N820" i="25"/>
  <c r="N821" i="25"/>
  <c r="N822" i="25"/>
  <c r="N823" i="25"/>
  <c r="N824" i="25"/>
  <c r="N825" i="25"/>
  <c r="N826" i="25"/>
  <c r="N827" i="25"/>
  <c r="N828" i="25"/>
  <c r="N829" i="25"/>
  <c r="N830" i="25"/>
  <c r="N831" i="25"/>
  <c r="N832" i="25"/>
  <c r="N833" i="25"/>
  <c r="N834" i="25"/>
  <c r="N835" i="25"/>
  <c r="N836" i="25"/>
  <c r="N837" i="25"/>
  <c r="N838" i="25"/>
  <c r="N839" i="25"/>
  <c r="N840" i="25"/>
  <c r="N841" i="25"/>
  <c r="N842" i="25"/>
  <c r="N843" i="25"/>
  <c r="N844" i="25"/>
  <c r="N845" i="25"/>
  <c r="N846" i="25"/>
  <c r="N847" i="25"/>
  <c r="N848" i="25"/>
  <c r="N849" i="25"/>
  <c r="N850" i="25"/>
  <c r="N851" i="25"/>
  <c r="N852" i="25"/>
  <c r="N853" i="25"/>
  <c r="N854" i="25"/>
  <c r="N855" i="25"/>
  <c r="N856" i="25"/>
  <c r="N857" i="25"/>
  <c r="N858" i="25"/>
  <c r="N859" i="25"/>
  <c r="N860" i="25"/>
  <c r="N861" i="25"/>
  <c r="N862" i="25"/>
  <c r="N863" i="25"/>
  <c r="N864" i="25"/>
  <c r="N865" i="25"/>
  <c r="N866" i="25"/>
  <c r="N867" i="25"/>
  <c r="N868" i="25"/>
  <c r="N869" i="25"/>
  <c r="N870" i="25"/>
  <c r="N871" i="25"/>
  <c r="N872" i="25"/>
  <c r="N873" i="25"/>
  <c r="N874" i="25"/>
  <c r="N875" i="25"/>
  <c r="N876" i="25"/>
  <c r="N877" i="25"/>
  <c r="N878" i="25"/>
  <c r="N879" i="25"/>
  <c r="N880" i="25"/>
  <c r="N881" i="25"/>
  <c r="N882" i="25"/>
  <c r="N883" i="25"/>
  <c r="N884" i="25"/>
  <c r="N885" i="25"/>
  <c r="N886" i="25"/>
  <c r="N887" i="25"/>
  <c r="N888" i="25"/>
  <c r="N889" i="25"/>
  <c r="N890" i="25"/>
  <c r="N891" i="25"/>
  <c r="N892" i="25"/>
  <c r="N893" i="25"/>
  <c r="N894" i="25"/>
  <c r="N895" i="25"/>
  <c r="N896" i="25"/>
  <c r="N897" i="25"/>
  <c r="N898" i="25"/>
  <c r="N899" i="25"/>
  <c r="N900" i="25"/>
  <c r="N901" i="25"/>
  <c r="N902" i="25"/>
  <c r="N903" i="25"/>
  <c r="N904" i="25"/>
  <c r="N905" i="25"/>
  <c r="N906" i="25"/>
  <c r="N907" i="25"/>
  <c r="N908" i="25"/>
  <c r="N909" i="25"/>
  <c r="N910" i="25"/>
  <c r="N911" i="25"/>
  <c r="N912" i="25"/>
  <c r="N913" i="25"/>
  <c r="N914" i="25"/>
  <c r="N915" i="25"/>
  <c r="N916" i="25"/>
  <c r="N917" i="25"/>
  <c r="N918" i="25"/>
  <c r="N919" i="25"/>
  <c r="N920" i="25"/>
  <c r="N921" i="25"/>
  <c r="N922" i="25"/>
  <c r="N923" i="25"/>
  <c r="N924" i="25"/>
  <c r="N925" i="25"/>
  <c r="N926" i="25"/>
  <c r="N927" i="25"/>
  <c r="N928" i="25"/>
  <c r="N929" i="25"/>
  <c r="N930" i="25"/>
  <c r="N931" i="25"/>
  <c r="N932" i="25"/>
  <c r="N933" i="25"/>
  <c r="N934" i="25"/>
  <c r="N935" i="25"/>
  <c r="N936" i="25"/>
  <c r="N937" i="25"/>
  <c r="N938" i="25"/>
  <c r="N939" i="25"/>
  <c r="N940" i="25"/>
  <c r="N941" i="25"/>
  <c r="N942" i="25"/>
  <c r="N943" i="25"/>
  <c r="N944" i="25"/>
  <c r="N945" i="25"/>
  <c r="N946" i="25"/>
  <c r="N947" i="25"/>
  <c r="N948" i="25"/>
  <c r="N949" i="25"/>
  <c r="N950" i="25"/>
  <c r="N951" i="25"/>
  <c r="N952" i="25"/>
  <c r="N953" i="25"/>
  <c r="N954" i="25"/>
  <c r="N955" i="25"/>
  <c r="N956" i="25"/>
  <c r="N957" i="25"/>
  <c r="N958" i="25"/>
  <c r="N959" i="25"/>
  <c r="N960" i="25"/>
  <c r="N961" i="25"/>
  <c r="N962" i="25"/>
  <c r="N963" i="25"/>
  <c r="N964" i="25"/>
  <c r="N965" i="25"/>
  <c r="N966" i="25"/>
  <c r="N967" i="25"/>
  <c r="N968" i="25"/>
  <c r="N969" i="25"/>
  <c r="N970" i="25"/>
  <c r="N971" i="25"/>
  <c r="N972" i="25"/>
  <c r="N973" i="25"/>
  <c r="N974" i="25"/>
  <c r="N975" i="25"/>
  <c r="N976" i="25"/>
  <c r="N977" i="25"/>
  <c r="N978" i="25"/>
  <c r="N979" i="25"/>
  <c r="N980" i="25"/>
  <c r="N981" i="25"/>
  <c r="N982" i="25"/>
  <c r="N983" i="25"/>
  <c r="N984" i="25"/>
  <c r="N985" i="25"/>
  <c r="N986" i="25"/>
  <c r="N987" i="25"/>
  <c r="N988" i="25"/>
  <c r="N989" i="25"/>
  <c r="N990" i="25"/>
  <c r="N991" i="25"/>
  <c r="N992" i="25"/>
  <c r="N993" i="25"/>
  <c r="N994" i="25"/>
  <c r="N995" i="25"/>
  <c r="N996" i="25"/>
  <c r="N21" i="24"/>
  <c r="N22" i="24"/>
  <c r="N23" i="24"/>
  <c r="N24" i="24"/>
  <c r="N25" i="24"/>
  <c r="N26" i="24"/>
  <c r="N27" i="24"/>
  <c r="N28" i="24"/>
  <c r="N29" i="24"/>
  <c r="N30" i="24"/>
  <c r="N31" i="24"/>
  <c r="N32" i="24"/>
  <c r="N33" i="24"/>
  <c r="N34" i="24"/>
  <c r="N35" i="24"/>
  <c r="N36" i="24"/>
  <c r="N37" i="24"/>
  <c r="N38" i="24"/>
  <c r="N39" i="24"/>
  <c r="N40" i="24"/>
  <c r="N41" i="24"/>
  <c r="N42" i="24"/>
  <c r="N43" i="24"/>
  <c r="N44" i="24"/>
  <c r="N45" i="24"/>
  <c r="N46" i="24"/>
  <c r="N47" i="24"/>
  <c r="N48" i="24"/>
  <c r="N49" i="24"/>
  <c r="N50" i="24"/>
  <c r="N51" i="24"/>
  <c r="N52" i="24"/>
  <c r="N53" i="24"/>
  <c r="N54" i="24"/>
  <c r="N55" i="24"/>
  <c r="N56" i="24"/>
  <c r="N57" i="24"/>
  <c r="N58" i="24"/>
  <c r="N59" i="24"/>
  <c r="N60" i="24"/>
  <c r="N61" i="24"/>
  <c r="N62" i="24"/>
  <c r="N63" i="24"/>
  <c r="N64" i="24"/>
  <c r="N65" i="24"/>
  <c r="N66" i="24"/>
  <c r="N67" i="24"/>
  <c r="N68" i="24"/>
  <c r="N69" i="24"/>
  <c r="N70" i="24"/>
  <c r="N71" i="24"/>
  <c r="N72" i="24"/>
  <c r="N73" i="24"/>
  <c r="N74" i="24"/>
  <c r="N75" i="24"/>
  <c r="N76" i="24"/>
  <c r="N77" i="24"/>
  <c r="N78" i="24"/>
  <c r="N79" i="24"/>
  <c r="N80" i="24"/>
  <c r="N81" i="24"/>
  <c r="N82" i="24"/>
  <c r="N83" i="24"/>
  <c r="N84" i="24"/>
  <c r="N85" i="24"/>
  <c r="N86" i="24"/>
  <c r="N87" i="24"/>
  <c r="N88" i="24"/>
  <c r="N89" i="24"/>
  <c r="N90" i="24"/>
  <c r="N91" i="24"/>
  <c r="N92" i="24"/>
  <c r="N93" i="24"/>
  <c r="N94" i="24"/>
  <c r="N95" i="24"/>
  <c r="N96" i="24"/>
  <c r="N97" i="24"/>
  <c r="N98" i="24"/>
  <c r="N99" i="24"/>
  <c r="N100" i="24"/>
  <c r="N101" i="24"/>
  <c r="N102" i="24"/>
  <c r="N103" i="24"/>
  <c r="N104" i="24"/>
  <c r="N105" i="24"/>
  <c r="N106" i="24"/>
  <c r="N107" i="24"/>
  <c r="N108" i="24"/>
  <c r="N109" i="24"/>
  <c r="N110" i="24"/>
  <c r="N111" i="24"/>
  <c r="N112" i="24"/>
  <c r="N113" i="24"/>
  <c r="N114" i="24"/>
  <c r="N115" i="24"/>
  <c r="N116" i="24"/>
  <c r="N117" i="24"/>
  <c r="N118" i="24"/>
  <c r="N119" i="24"/>
  <c r="N120" i="24"/>
  <c r="N121" i="24"/>
  <c r="N122" i="24"/>
  <c r="N123" i="24"/>
  <c r="N124" i="24"/>
  <c r="N125" i="24"/>
  <c r="N126" i="24"/>
  <c r="N127" i="24"/>
  <c r="N128" i="24"/>
  <c r="N129" i="24"/>
  <c r="N130" i="24"/>
  <c r="N131" i="24"/>
  <c r="N132" i="24"/>
  <c r="N133" i="24"/>
  <c r="N134" i="24"/>
  <c r="N135" i="24"/>
  <c r="N136" i="24"/>
  <c r="N137" i="24"/>
  <c r="N138" i="24"/>
  <c r="N139" i="24"/>
  <c r="N140" i="24"/>
  <c r="N141" i="24"/>
  <c r="N142" i="24"/>
  <c r="N143" i="24"/>
  <c r="N144" i="24"/>
  <c r="N145" i="24"/>
  <c r="N146" i="24"/>
  <c r="N147" i="24"/>
  <c r="N148" i="24"/>
  <c r="N149" i="24"/>
  <c r="N150" i="24"/>
  <c r="N151" i="24"/>
  <c r="N152" i="24"/>
  <c r="N153" i="24"/>
  <c r="N154" i="24"/>
  <c r="N155" i="24"/>
  <c r="N156" i="24"/>
  <c r="N157" i="24"/>
  <c r="N158" i="24"/>
  <c r="N159" i="24"/>
  <c r="N160" i="24"/>
  <c r="N161" i="24"/>
  <c r="N162" i="24"/>
  <c r="N163" i="24"/>
  <c r="N164" i="24"/>
  <c r="N165" i="24"/>
  <c r="N166" i="24"/>
  <c r="N167" i="24"/>
  <c r="N168" i="24"/>
  <c r="N169" i="24"/>
  <c r="N170" i="24"/>
  <c r="N171" i="24"/>
  <c r="N172" i="24"/>
  <c r="N173" i="24"/>
  <c r="N174" i="24"/>
  <c r="N175" i="24"/>
  <c r="N176" i="24"/>
  <c r="N177" i="24"/>
  <c r="N178" i="24"/>
  <c r="N179" i="24"/>
  <c r="N180" i="24"/>
  <c r="N181" i="24"/>
  <c r="N182" i="24"/>
  <c r="N183" i="24"/>
  <c r="N184" i="24"/>
  <c r="N185" i="24"/>
  <c r="N186" i="24"/>
  <c r="N187" i="24"/>
  <c r="N188" i="24"/>
  <c r="N189" i="24"/>
  <c r="N190" i="24"/>
  <c r="N191" i="24"/>
  <c r="N192" i="24"/>
  <c r="N193" i="24"/>
  <c r="N194" i="24"/>
  <c r="N195" i="24"/>
  <c r="N196" i="24"/>
  <c r="N197" i="24"/>
  <c r="N198" i="24"/>
  <c r="N199" i="24"/>
  <c r="N200" i="24"/>
  <c r="N201" i="24"/>
  <c r="N202" i="24"/>
  <c r="N203" i="24"/>
  <c r="N204" i="24"/>
  <c r="N205" i="24"/>
  <c r="N206" i="24"/>
  <c r="N207" i="24"/>
  <c r="N208" i="24"/>
  <c r="N209" i="24"/>
  <c r="N210" i="24"/>
  <c r="N211" i="24"/>
  <c r="N212" i="24"/>
  <c r="N213" i="24"/>
  <c r="N214" i="24"/>
  <c r="N215" i="24"/>
  <c r="N216" i="24"/>
  <c r="N217" i="24"/>
  <c r="N218" i="24"/>
  <c r="N219" i="24"/>
  <c r="N220" i="24"/>
  <c r="N221" i="24"/>
  <c r="N222" i="24"/>
  <c r="N223" i="24"/>
  <c r="N224" i="24"/>
  <c r="N225" i="24"/>
  <c r="N226" i="24"/>
  <c r="N227" i="24"/>
  <c r="N228" i="24"/>
  <c r="N229" i="24"/>
  <c r="N230" i="24"/>
  <c r="N231" i="24"/>
  <c r="N232" i="24"/>
  <c r="N233" i="24"/>
  <c r="N234" i="24"/>
  <c r="N235" i="24"/>
  <c r="N236" i="24"/>
  <c r="N237" i="24"/>
  <c r="N238" i="24"/>
  <c r="N239" i="24"/>
  <c r="N240" i="24"/>
  <c r="N241" i="24"/>
  <c r="N242" i="24"/>
  <c r="N243" i="24"/>
  <c r="N244" i="24"/>
  <c r="N245" i="24"/>
  <c r="N246" i="24"/>
  <c r="N247" i="24"/>
  <c r="N248" i="24"/>
  <c r="N249" i="24"/>
  <c r="N250" i="24"/>
  <c r="N251" i="24"/>
  <c r="N252" i="24"/>
  <c r="N253" i="24"/>
  <c r="N254" i="24"/>
  <c r="N255" i="24"/>
  <c r="N256" i="24"/>
  <c r="N257" i="24"/>
  <c r="N258" i="24"/>
  <c r="N259" i="24"/>
  <c r="N260" i="24"/>
  <c r="N261" i="24"/>
  <c r="N262" i="24"/>
  <c r="N263" i="24"/>
  <c r="N264" i="24"/>
  <c r="N265" i="24"/>
  <c r="N266" i="24"/>
  <c r="N267" i="24"/>
  <c r="N268" i="24"/>
  <c r="N269" i="24"/>
  <c r="N270" i="24"/>
  <c r="N271" i="24"/>
  <c r="N272" i="24"/>
  <c r="N273" i="24"/>
  <c r="N274" i="24"/>
  <c r="N275" i="24"/>
  <c r="N276" i="24"/>
  <c r="N277" i="24"/>
  <c r="N278" i="24"/>
  <c r="N279" i="24"/>
  <c r="N280" i="24"/>
  <c r="N281" i="24"/>
  <c r="N282" i="24"/>
  <c r="N283" i="24"/>
  <c r="N284" i="24"/>
  <c r="N285" i="24"/>
  <c r="N286" i="24"/>
  <c r="N287" i="24"/>
  <c r="N288" i="24"/>
  <c r="N289" i="24"/>
  <c r="N290" i="24"/>
  <c r="N291" i="24"/>
  <c r="N292" i="24"/>
  <c r="N293" i="24"/>
  <c r="N294" i="24"/>
  <c r="N295" i="24"/>
  <c r="N296" i="24"/>
  <c r="N297" i="24"/>
  <c r="N298" i="24"/>
  <c r="N299" i="24"/>
  <c r="N300" i="24"/>
  <c r="N301" i="24"/>
  <c r="N302" i="24"/>
  <c r="N303" i="24"/>
  <c r="N304" i="24"/>
  <c r="N305" i="24"/>
  <c r="N306" i="24"/>
  <c r="N307" i="24"/>
  <c r="N308" i="24"/>
  <c r="N309" i="24"/>
  <c r="N310" i="24"/>
  <c r="N311" i="24"/>
  <c r="N312" i="24"/>
  <c r="N313" i="24"/>
  <c r="N314" i="24"/>
  <c r="N315" i="24"/>
  <c r="N316" i="24"/>
  <c r="N317" i="24"/>
  <c r="N318" i="24"/>
  <c r="N319" i="24"/>
  <c r="N320" i="24"/>
  <c r="N321" i="24"/>
  <c r="N322" i="24"/>
  <c r="N323" i="24"/>
  <c r="N324" i="24"/>
  <c r="N325" i="24"/>
  <c r="N326" i="24"/>
  <c r="N327" i="24"/>
  <c r="N328" i="24"/>
  <c r="N329" i="24"/>
  <c r="N330" i="24"/>
  <c r="N331" i="24"/>
  <c r="N332" i="24"/>
  <c r="N333" i="24"/>
  <c r="N334" i="24"/>
  <c r="N335" i="24"/>
  <c r="N336" i="24"/>
  <c r="N337" i="24"/>
  <c r="N338" i="24"/>
  <c r="N339" i="24"/>
  <c r="N340" i="24"/>
  <c r="N341" i="24"/>
  <c r="N342" i="24"/>
  <c r="N343" i="24"/>
  <c r="N344" i="24"/>
  <c r="N345" i="24"/>
  <c r="N346" i="24"/>
  <c r="N347" i="24"/>
  <c r="N348" i="24"/>
  <c r="N349" i="24"/>
  <c r="N350" i="24"/>
  <c r="N351" i="24"/>
  <c r="N352" i="24"/>
  <c r="N353" i="24"/>
  <c r="N354" i="24"/>
  <c r="N355" i="24"/>
  <c r="N356" i="24"/>
  <c r="N357" i="24"/>
  <c r="N358" i="24"/>
  <c r="N359" i="24"/>
  <c r="N360" i="24"/>
  <c r="N361" i="24"/>
  <c r="N362" i="24"/>
  <c r="N363" i="24"/>
  <c r="N364" i="24"/>
  <c r="N365" i="24"/>
  <c r="N366" i="24"/>
  <c r="N367" i="24"/>
  <c r="N368" i="24"/>
  <c r="N369" i="24"/>
  <c r="N370" i="24"/>
  <c r="N371" i="24"/>
  <c r="N372" i="24"/>
  <c r="N373" i="24"/>
  <c r="N374" i="24"/>
  <c r="N375" i="24"/>
  <c r="N376" i="24"/>
  <c r="N377" i="24"/>
  <c r="N378" i="24"/>
  <c r="N379" i="24"/>
  <c r="N380" i="24"/>
  <c r="N381" i="24"/>
  <c r="N382" i="24"/>
  <c r="N383" i="24"/>
  <c r="N384" i="24"/>
  <c r="N385" i="24"/>
  <c r="N386" i="24"/>
  <c r="N387" i="24"/>
  <c r="N388" i="24"/>
  <c r="N389" i="24"/>
  <c r="N390" i="24"/>
  <c r="N391" i="24"/>
  <c r="N392" i="24"/>
  <c r="N393" i="24"/>
  <c r="N394" i="24"/>
  <c r="N395" i="24"/>
  <c r="N396" i="24"/>
  <c r="N397" i="24"/>
  <c r="N398" i="24"/>
  <c r="N399" i="24"/>
  <c r="N400" i="24"/>
  <c r="N401" i="24"/>
  <c r="N402" i="24"/>
  <c r="N403" i="24"/>
  <c r="N404" i="24"/>
  <c r="N405" i="24"/>
  <c r="N406" i="24"/>
  <c r="N407" i="24"/>
  <c r="N408" i="24"/>
  <c r="N409" i="24"/>
  <c r="N410" i="24"/>
  <c r="N411" i="24"/>
  <c r="N412" i="24"/>
  <c r="N413" i="24"/>
  <c r="N414" i="24"/>
  <c r="N415" i="24"/>
  <c r="N416" i="24"/>
  <c r="N417" i="24"/>
  <c r="N418" i="24"/>
  <c r="N419" i="24"/>
  <c r="N420" i="24"/>
  <c r="N421" i="24"/>
  <c r="N422" i="24"/>
  <c r="N423" i="24"/>
  <c r="N424" i="24"/>
  <c r="N425" i="24"/>
  <c r="N426" i="24"/>
  <c r="N427" i="24"/>
  <c r="N428" i="24"/>
  <c r="N429" i="24"/>
  <c r="N430" i="24"/>
  <c r="N431" i="24"/>
  <c r="N432" i="24"/>
  <c r="N433" i="24"/>
  <c r="N434" i="24"/>
  <c r="N435" i="24"/>
  <c r="N436" i="24"/>
  <c r="N437" i="24"/>
  <c r="N438" i="24"/>
  <c r="N439" i="24"/>
  <c r="N440" i="24"/>
  <c r="N441" i="24"/>
  <c r="N442" i="24"/>
  <c r="N443" i="24"/>
  <c r="N444" i="24"/>
  <c r="N445" i="24"/>
  <c r="N446" i="24"/>
  <c r="N447" i="24"/>
  <c r="N448" i="24"/>
  <c r="N449" i="24"/>
  <c r="N450" i="24"/>
  <c r="N451" i="24"/>
  <c r="N452" i="24"/>
  <c r="N453" i="24"/>
  <c r="N454" i="24"/>
  <c r="N455" i="24"/>
  <c r="N456" i="24"/>
  <c r="N457" i="24"/>
  <c r="N458" i="24"/>
  <c r="N459" i="24"/>
  <c r="N460" i="24"/>
  <c r="N461" i="24"/>
  <c r="N462" i="24"/>
  <c r="N463" i="24"/>
  <c r="N464" i="24"/>
  <c r="N465" i="24"/>
  <c r="N466" i="24"/>
  <c r="N467" i="24"/>
  <c r="N468" i="24"/>
  <c r="N469" i="24"/>
  <c r="N470" i="24"/>
  <c r="N471" i="24"/>
  <c r="N472" i="24"/>
  <c r="N473" i="24"/>
  <c r="N474" i="24"/>
  <c r="N475" i="24"/>
  <c r="N476" i="24"/>
  <c r="N477" i="24"/>
  <c r="N478" i="24"/>
  <c r="N479" i="24"/>
  <c r="N480" i="24"/>
  <c r="N481" i="24"/>
  <c r="N482" i="24"/>
  <c r="N483" i="24"/>
  <c r="N484" i="24"/>
  <c r="N485" i="24"/>
  <c r="N486" i="24"/>
  <c r="N487" i="24"/>
  <c r="N488" i="24"/>
  <c r="N489" i="24"/>
  <c r="N490" i="24"/>
  <c r="N491" i="24"/>
  <c r="N492" i="24"/>
  <c r="N493" i="24"/>
  <c r="N494" i="24"/>
  <c r="N495" i="24"/>
  <c r="N496" i="24"/>
  <c r="N497" i="24"/>
  <c r="N498" i="24"/>
  <c r="N499" i="24"/>
  <c r="N500" i="24"/>
  <c r="N501" i="24"/>
  <c r="N502" i="24"/>
  <c r="N503" i="24"/>
  <c r="N504" i="24"/>
  <c r="N505" i="24"/>
  <c r="N506" i="24"/>
  <c r="N507" i="24"/>
  <c r="N508" i="24"/>
  <c r="N509" i="24"/>
  <c r="N510" i="24"/>
  <c r="N511" i="24"/>
  <c r="N512" i="24"/>
  <c r="N513" i="24"/>
  <c r="N514" i="24"/>
  <c r="N515" i="24"/>
  <c r="N516" i="24"/>
  <c r="N517" i="24"/>
  <c r="N518" i="24"/>
  <c r="N519" i="24"/>
  <c r="N520" i="24"/>
  <c r="N521" i="24"/>
  <c r="N522" i="24"/>
  <c r="N523" i="24"/>
  <c r="N524" i="24"/>
  <c r="N525" i="24"/>
  <c r="N526" i="24"/>
  <c r="N527" i="24"/>
  <c r="N528" i="24"/>
  <c r="N529" i="24"/>
  <c r="N530" i="24"/>
  <c r="N531" i="24"/>
  <c r="N532" i="24"/>
  <c r="N533" i="24"/>
  <c r="N534" i="24"/>
  <c r="N535" i="24"/>
  <c r="N536" i="24"/>
  <c r="N537" i="24"/>
  <c r="N538" i="24"/>
  <c r="N539" i="24"/>
  <c r="N540" i="24"/>
  <c r="N541" i="24"/>
  <c r="N542" i="24"/>
  <c r="N543" i="24"/>
  <c r="N544" i="24"/>
  <c r="N545" i="24"/>
  <c r="N546" i="24"/>
  <c r="N547" i="24"/>
  <c r="N548" i="24"/>
  <c r="N549" i="24"/>
  <c r="N550" i="24"/>
  <c r="N551" i="24"/>
  <c r="N552" i="24"/>
  <c r="N553" i="24"/>
  <c r="N554" i="24"/>
  <c r="N555" i="24"/>
  <c r="N556" i="24"/>
  <c r="N557" i="24"/>
  <c r="N558" i="24"/>
  <c r="N559" i="24"/>
  <c r="N560" i="24"/>
  <c r="N561" i="24"/>
  <c r="N562" i="24"/>
  <c r="N563" i="24"/>
  <c r="N564" i="24"/>
  <c r="N565" i="24"/>
  <c r="N566" i="24"/>
  <c r="N567" i="24"/>
  <c r="N568" i="24"/>
  <c r="N569" i="24"/>
  <c r="N570" i="24"/>
  <c r="N571" i="24"/>
  <c r="N572" i="24"/>
  <c r="N573" i="24"/>
  <c r="N574" i="24"/>
  <c r="N575" i="24"/>
  <c r="N576" i="24"/>
  <c r="N577" i="24"/>
  <c r="N578" i="24"/>
  <c r="N579" i="24"/>
  <c r="N580" i="24"/>
  <c r="N581" i="24"/>
  <c r="N582" i="24"/>
  <c r="N583" i="24"/>
  <c r="N584" i="24"/>
  <c r="N585" i="24"/>
  <c r="N586" i="24"/>
  <c r="N587" i="24"/>
  <c r="N588" i="24"/>
  <c r="N589" i="24"/>
  <c r="N590" i="24"/>
  <c r="N591" i="24"/>
  <c r="N592" i="24"/>
  <c r="N593" i="24"/>
  <c r="N594" i="24"/>
  <c r="N595" i="24"/>
  <c r="N596" i="24"/>
  <c r="N597" i="24"/>
  <c r="N598" i="24"/>
  <c r="N599" i="24"/>
  <c r="N600" i="24"/>
  <c r="N601" i="24"/>
  <c r="N602" i="24"/>
  <c r="N603" i="24"/>
  <c r="N604" i="24"/>
  <c r="N605" i="24"/>
  <c r="N606" i="24"/>
  <c r="N607" i="24"/>
  <c r="N608" i="24"/>
  <c r="N609" i="24"/>
  <c r="N610" i="24"/>
  <c r="N611" i="24"/>
  <c r="N612" i="24"/>
  <c r="N613" i="24"/>
  <c r="N614" i="24"/>
  <c r="N615" i="24"/>
  <c r="N616" i="24"/>
  <c r="N617" i="24"/>
  <c r="N618" i="24"/>
  <c r="N619" i="24"/>
  <c r="N620" i="24"/>
  <c r="N621" i="24"/>
  <c r="N622" i="24"/>
  <c r="N623" i="24"/>
  <c r="N624" i="24"/>
  <c r="N625" i="24"/>
  <c r="N626" i="24"/>
  <c r="N627" i="24"/>
  <c r="N628" i="24"/>
  <c r="N629" i="24"/>
  <c r="N630" i="24"/>
  <c r="N631" i="24"/>
  <c r="N632" i="24"/>
  <c r="N633" i="24"/>
  <c r="N634" i="24"/>
  <c r="N635" i="24"/>
  <c r="N636" i="24"/>
  <c r="N637" i="24"/>
  <c r="N638" i="24"/>
  <c r="N639" i="24"/>
  <c r="N640" i="24"/>
  <c r="N641" i="24"/>
  <c r="N642" i="24"/>
  <c r="N643" i="24"/>
  <c r="N644" i="24"/>
  <c r="N645" i="24"/>
  <c r="N646" i="24"/>
  <c r="N647" i="24"/>
  <c r="N648" i="24"/>
  <c r="N649" i="24"/>
  <c r="N650" i="24"/>
  <c r="N651" i="24"/>
  <c r="N652" i="24"/>
  <c r="N653" i="24"/>
  <c r="N654" i="24"/>
  <c r="N655" i="24"/>
  <c r="N656" i="24"/>
  <c r="N657" i="24"/>
  <c r="N658" i="24"/>
  <c r="N659" i="24"/>
  <c r="N660" i="24"/>
  <c r="N661" i="24"/>
  <c r="N662" i="24"/>
  <c r="N663" i="24"/>
  <c r="N664" i="24"/>
  <c r="N665" i="24"/>
  <c r="N666" i="24"/>
  <c r="N667" i="24"/>
  <c r="N668" i="24"/>
  <c r="N669" i="24"/>
  <c r="N670" i="24"/>
  <c r="N671" i="24"/>
  <c r="N672" i="24"/>
  <c r="N673" i="24"/>
  <c r="N674" i="24"/>
  <c r="N675" i="24"/>
  <c r="N676" i="24"/>
  <c r="N677" i="24"/>
  <c r="N678" i="24"/>
  <c r="N679" i="24"/>
  <c r="N680" i="24"/>
  <c r="N681" i="24"/>
  <c r="N682" i="24"/>
  <c r="N683" i="24"/>
  <c r="N684" i="24"/>
  <c r="N685" i="24"/>
  <c r="N686" i="24"/>
  <c r="N687" i="24"/>
  <c r="N688" i="24"/>
  <c r="N689" i="24"/>
  <c r="N690" i="24"/>
  <c r="N691" i="24"/>
  <c r="N692" i="24"/>
  <c r="N693" i="24"/>
  <c r="N694" i="24"/>
  <c r="N695" i="24"/>
  <c r="N696" i="24"/>
  <c r="N697" i="24"/>
  <c r="N698" i="24"/>
  <c r="N699" i="24"/>
  <c r="N700" i="24"/>
  <c r="N701" i="24"/>
  <c r="N702" i="24"/>
  <c r="N703" i="24"/>
  <c r="N704" i="24"/>
  <c r="N705" i="24"/>
  <c r="N706" i="24"/>
  <c r="N707" i="24"/>
  <c r="N708" i="24"/>
  <c r="N709" i="24"/>
  <c r="N710" i="24"/>
  <c r="N711" i="24"/>
  <c r="N712" i="24"/>
  <c r="N713" i="24"/>
  <c r="N714" i="24"/>
  <c r="N715" i="24"/>
  <c r="N716" i="24"/>
  <c r="N717" i="24"/>
  <c r="N718" i="24"/>
  <c r="N719" i="24"/>
  <c r="N720" i="24"/>
  <c r="N721" i="24"/>
  <c r="N722" i="24"/>
  <c r="N723" i="24"/>
  <c r="N724" i="24"/>
  <c r="N725" i="24"/>
  <c r="N726" i="24"/>
  <c r="N727" i="24"/>
  <c r="N728" i="24"/>
  <c r="N729" i="24"/>
  <c r="N730" i="24"/>
  <c r="N731" i="24"/>
  <c r="N732" i="24"/>
  <c r="N733" i="24"/>
  <c r="N734" i="24"/>
  <c r="N735" i="24"/>
  <c r="N736" i="24"/>
  <c r="N737" i="24"/>
  <c r="N738" i="24"/>
  <c r="N739" i="24"/>
  <c r="N740" i="24"/>
  <c r="N741" i="24"/>
  <c r="N742" i="24"/>
  <c r="N743" i="24"/>
  <c r="N744" i="24"/>
  <c r="N745" i="24"/>
  <c r="N746" i="24"/>
  <c r="N747" i="24"/>
  <c r="N748" i="24"/>
  <c r="N749" i="24"/>
  <c r="N750" i="24"/>
  <c r="N751" i="24"/>
  <c r="N752" i="24"/>
  <c r="N753" i="24"/>
  <c r="N754" i="24"/>
  <c r="N755" i="24"/>
  <c r="N756" i="24"/>
  <c r="N757" i="24"/>
  <c r="N758" i="24"/>
  <c r="N759" i="24"/>
  <c r="N760" i="24"/>
  <c r="N761" i="24"/>
  <c r="N762" i="24"/>
  <c r="N763" i="24"/>
  <c r="N764" i="24"/>
  <c r="N765" i="24"/>
  <c r="N766" i="24"/>
  <c r="N767" i="24"/>
  <c r="N768" i="24"/>
  <c r="N769" i="24"/>
  <c r="N770" i="24"/>
  <c r="N771" i="24"/>
  <c r="N772" i="24"/>
  <c r="N773" i="24"/>
  <c r="N774" i="24"/>
  <c r="N775" i="24"/>
  <c r="N776" i="24"/>
  <c r="N777" i="24"/>
  <c r="N778" i="24"/>
  <c r="N779" i="24"/>
  <c r="N780" i="24"/>
  <c r="N781" i="24"/>
  <c r="N782" i="24"/>
  <c r="N783" i="24"/>
  <c r="N784" i="24"/>
  <c r="N785" i="24"/>
  <c r="N786" i="24"/>
  <c r="N787" i="24"/>
  <c r="N788" i="24"/>
  <c r="N789" i="24"/>
  <c r="N790" i="24"/>
  <c r="N791" i="24"/>
  <c r="N792" i="24"/>
  <c r="N793" i="24"/>
  <c r="N794" i="24"/>
  <c r="N795" i="24"/>
  <c r="N796" i="24"/>
  <c r="N797" i="24"/>
  <c r="N798" i="24"/>
  <c r="N799" i="24"/>
  <c r="N800" i="24"/>
  <c r="N801" i="24"/>
  <c r="N802" i="24"/>
  <c r="N803" i="24"/>
  <c r="N804" i="24"/>
  <c r="N805" i="24"/>
  <c r="N806" i="24"/>
  <c r="N807" i="24"/>
  <c r="N808" i="24"/>
  <c r="N809" i="24"/>
  <c r="N810" i="24"/>
  <c r="N811" i="24"/>
  <c r="N812" i="24"/>
  <c r="N813" i="24"/>
  <c r="N814" i="24"/>
  <c r="N815" i="24"/>
  <c r="N816" i="24"/>
  <c r="N817" i="24"/>
  <c r="N818" i="24"/>
  <c r="N819" i="24"/>
  <c r="N820" i="24"/>
  <c r="N821" i="24"/>
  <c r="N822" i="24"/>
  <c r="N823" i="24"/>
  <c r="N824" i="24"/>
  <c r="N825" i="24"/>
  <c r="N826" i="24"/>
  <c r="N827" i="24"/>
  <c r="N828" i="24"/>
  <c r="N829" i="24"/>
  <c r="N830" i="24"/>
  <c r="N831" i="24"/>
  <c r="N832" i="24"/>
  <c r="N833" i="24"/>
  <c r="N834" i="24"/>
  <c r="N835" i="24"/>
  <c r="N836" i="24"/>
  <c r="N837" i="24"/>
  <c r="N838" i="24"/>
  <c r="N839" i="24"/>
  <c r="N840" i="24"/>
  <c r="N841" i="24"/>
  <c r="N842" i="24"/>
  <c r="N843" i="24"/>
  <c r="N844" i="24"/>
  <c r="N845" i="24"/>
  <c r="N846" i="24"/>
  <c r="N847" i="24"/>
  <c r="N848" i="24"/>
  <c r="N849" i="24"/>
  <c r="N850" i="24"/>
  <c r="N851" i="24"/>
  <c r="N852" i="24"/>
  <c r="N853" i="24"/>
  <c r="N854" i="24"/>
  <c r="N855" i="24"/>
  <c r="N856" i="24"/>
  <c r="N857" i="24"/>
  <c r="N858" i="24"/>
  <c r="N859" i="24"/>
  <c r="N860" i="24"/>
  <c r="N861" i="24"/>
  <c r="N862" i="24"/>
  <c r="N863" i="24"/>
  <c r="N864" i="24"/>
  <c r="N865" i="24"/>
  <c r="N866" i="24"/>
  <c r="N867" i="24"/>
  <c r="N868" i="24"/>
  <c r="N869" i="24"/>
  <c r="N870" i="24"/>
  <c r="N871" i="24"/>
  <c r="N872" i="24"/>
  <c r="N873" i="24"/>
  <c r="N874" i="24"/>
  <c r="N875" i="24"/>
  <c r="N876" i="24"/>
  <c r="N877" i="24"/>
  <c r="N878" i="24"/>
  <c r="N879" i="24"/>
  <c r="N880" i="24"/>
  <c r="N881" i="24"/>
  <c r="N882" i="24"/>
  <c r="N883" i="24"/>
  <c r="N884" i="24"/>
  <c r="N885" i="24"/>
  <c r="N886" i="24"/>
  <c r="N887" i="24"/>
  <c r="N888" i="24"/>
  <c r="N889" i="24"/>
  <c r="N890" i="24"/>
  <c r="N891" i="24"/>
  <c r="N892" i="24"/>
  <c r="N893" i="24"/>
  <c r="N894" i="24"/>
  <c r="N895" i="24"/>
  <c r="N896" i="24"/>
  <c r="N897" i="24"/>
  <c r="N898" i="24"/>
  <c r="N899" i="24"/>
  <c r="N900" i="24"/>
  <c r="N901" i="24"/>
  <c r="N902" i="24"/>
  <c r="N903" i="24"/>
  <c r="N904" i="24"/>
  <c r="N905" i="24"/>
  <c r="N906" i="24"/>
  <c r="N907" i="24"/>
  <c r="N908" i="24"/>
  <c r="N909" i="24"/>
  <c r="N910" i="24"/>
  <c r="N911" i="24"/>
  <c r="N912" i="24"/>
  <c r="N913" i="24"/>
  <c r="N914" i="24"/>
  <c r="N915" i="24"/>
  <c r="N916" i="24"/>
  <c r="N917" i="24"/>
  <c r="N918" i="24"/>
  <c r="N919" i="24"/>
  <c r="N920" i="24"/>
  <c r="N921" i="24"/>
  <c r="N922" i="24"/>
  <c r="N923" i="24"/>
  <c r="N924" i="24"/>
  <c r="N925" i="24"/>
  <c r="N926" i="24"/>
  <c r="N927" i="24"/>
  <c r="N928" i="24"/>
  <c r="N929" i="24"/>
  <c r="N930" i="24"/>
  <c r="N931" i="24"/>
  <c r="N932" i="24"/>
  <c r="N933" i="24"/>
  <c r="N934" i="24"/>
  <c r="N935" i="24"/>
  <c r="N936" i="24"/>
  <c r="N937" i="24"/>
  <c r="N938" i="24"/>
  <c r="N939" i="24"/>
  <c r="N940" i="24"/>
  <c r="N941" i="24"/>
  <c r="N942" i="24"/>
  <c r="N943" i="24"/>
  <c r="N944" i="24"/>
  <c r="N945" i="24"/>
  <c r="N946" i="24"/>
  <c r="N947" i="24"/>
  <c r="N948" i="24"/>
  <c r="N949" i="24"/>
  <c r="N950" i="24"/>
  <c r="N951" i="24"/>
  <c r="N952" i="24"/>
  <c r="N953" i="24"/>
  <c r="N954" i="24"/>
  <c r="N955" i="24"/>
  <c r="N956" i="24"/>
  <c r="N957" i="24"/>
  <c r="N958" i="24"/>
  <c r="N959" i="24"/>
  <c r="N960" i="24"/>
  <c r="N961" i="24"/>
  <c r="N962" i="24"/>
  <c r="N963" i="24"/>
  <c r="N964" i="24"/>
  <c r="N965" i="24"/>
  <c r="N966" i="24"/>
  <c r="N967" i="24"/>
  <c r="N968" i="24"/>
  <c r="N969" i="24"/>
  <c r="N970" i="24"/>
  <c r="N971" i="24"/>
  <c r="N972" i="24"/>
  <c r="N973" i="24"/>
  <c r="N974" i="24"/>
  <c r="N975" i="24"/>
  <c r="N976" i="24"/>
  <c r="N977" i="24"/>
  <c r="N978" i="24"/>
  <c r="N979" i="24"/>
  <c r="N980" i="24"/>
  <c r="N981" i="24"/>
  <c r="N982" i="24"/>
  <c r="N983" i="24"/>
  <c r="N984" i="24"/>
  <c r="N985" i="24"/>
  <c r="N986" i="24"/>
  <c r="N987" i="24"/>
  <c r="N988" i="24"/>
  <c r="N989" i="24"/>
  <c r="N990" i="24"/>
  <c r="N991" i="24"/>
  <c r="N992" i="24"/>
  <c r="N993" i="24"/>
  <c r="N994" i="24"/>
  <c r="N995" i="24"/>
  <c r="N996" i="24"/>
  <c r="N997" i="24"/>
  <c r="N998" i="24"/>
  <c r="N999" i="24"/>
  <c r="N1000" i="24"/>
  <c r="L20" i="44"/>
  <c r="L21" i="44"/>
  <c r="L24" i="44"/>
  <c r="L25" i="44"/>
  <c r="L26" i="44"/>
  <c r="L27" i="44"/>
  <c r="L28" i="44"/>
  <c r="L29" i="44"/>
  <c r="L30" i="44"/>
  <c r="L31" i="44"/>
  <c r="L32" i="44"/>
  <c r="L33" i="44"/>
  <c r="L34" i="44"/>
  <c r="L35" i="44"/>
  <c r="L36" i="44"/>
  <c r="L37" i="44"/>
  <c r="L38" i="44"/>
  <c r="L39" i="44"/>
  <c r="L40" i="44"/>
  <c r="L41" i="44"/>
  <c r="L42" i="44"/>
  <c r="L43" i="44"/>
  <c r="L44" i="44"/>
  <c r="L45" i="44"/>
  <c r="L46" i="44"/>
  <c r="L47" i="44"/>
  <c r="L48" i="44"/>
  <c r="L49" i="44"/>
  <c r="L50" i="44"/>
  <c r="L51" i="44"/>
  <c r="L52" i="44"/>
  <c r="L53" i="44"/>
  <c r="L54" i="44"/>
  <c r="L55" i="44"/>
  <c r="L56" i="44"/>
  <c r="L57" i="44"/>
  <c r="L58" i="44"/>
  <c r="L59" i="44"/>
  <c r="L60" i="44"/>
  <c r="L61" i="44"/>
  <c r="L62" i="44"/>
  <c r="L63" i="44"/>
  <c r="L64" i="44"/>
  <c r="L65" i="44"/>
  <c r="L66" i="44"/>
  <c r="L67" i="44"/>
  <c r="L68" i="44"/>
  <c r="L69" i="44"/>
  <c r="L70" i="44"/>
  <c r="L71" i="44"/>
  <c r="L72" i="44"/>
  <c r="L73" i="44"/>
  <c r="L74" i="44"/>
  <c r="L75" i="44"/>
  <c r="L76" i="44"/>
  <c r="L77" i="44"/>
  <c r="L78" i="44"/>
  <c r="L79" i="44"/>
  <c r="L80" i="44"/>
  <c r="L81" i="44"/>
  <c r="L82" i="44"/>
  <c r="L83" i="44"/>
  <c r="L84" i="44"/>
  <c r="L85" i="44"/>
  <c r="L86" i="44"/>
  <c r="L87" i="44"/>
  <c r="L88" i="44"/>
  <c r="L89" i="44"/>
  <c r="L90" i="44"/>
  <c r="L91" i="44"/>
  <c r="L92" i="44"/>
  <c r="L93" i="44"/>
  <c r="L94" i="44"/>
  <c r="L95" i="44"/>
  <c r="L96" i="44"/>
  <c r="L97" i="44"/>
  <c r="L98" i="44"/>
  <c r="L99" i="44"/>
  <c r="L100" i="44"/>
  <c r="L101" i="44"/>
  <c r="L102" i="44"/>
  <c r="L103" i="44"/>
  <c r="L104" i="44"/>
  <c r="L105" i="44"/>
  <c r="L106" i="44"/>
  <c r="L107" i="44"/>
  <c r="L108" i="44"/>
  <c r="L109" i="44"/>
  <c r="L110" i="44"/>
  <c r="L111" i="44"/>
  <c r="L112" i="44"/>
  <c r="L113" i="44"/>
  <c r="L114" i="44"/>
  <c r="L115" i="44"/>
  <c r="L116" i="44"/>
  <c r="L117" i="44"/>
  <c r="L118" i="44"/>
  <c r="L119" i="44"/>
  <c r="L120" i="44"/>
  <c r="L121" i="44"/>
  <c r="L122" i="44"/>
  <c r="L123" i="44"/>
  <c r="L124" i="44"/>
  <c r="L125" i="44"/>
  <c r="L126" i="44"/>
  <c r="L127" i="44"/>
  <c r="L128" i="44"/>
  <c r="L129" i="44"/>
  <c r="L130" i="44"/>
  <c r="L131" i="44"/>
  <c r="L132" i="44"/>
  <c r="L133" i="44"/>
  <c r="L134" i="44"/>
  <c r="L135" i="44"/>
  <c r="L136" i="44"/>
  <c r="L137" i="44"/>
  <c r="L138" i="44"/>
  <c r="L139" i="44"/>
  <c r="L140" i="44"/>
  <c r="L141" i="44"/>
  <c r="L142" i="44"/>
  <c r="L143" i="44"/>
  <c r="L144" i="44"/>
  <c r="L145" i="44"/>
  <c r="L146" i="44"/>
  <c r="L147" i="44"/>
  <c r="L148" i="44"/>
  <c r="L149" i="44"/>
  <c r="L150" i="44"/>
  <c r="L151" i="44"/>
  <c r="L152" i="44"/>
  <c r="L153" i="44"/>
  <c r="L154" i="44"/>
  <c r="L155" i="44"/>
  <c r="L156" i="44"/>
  <c r="L157" i="44"/>
  <c r="L158" i="44"/>
  <c r="L159" i="44"/>
  <c r="L160" i="44"/>
  <c r="L161" i="44"/>
  <c r="L162" i="44"/>
  <c r="L163" i="44"/>
  <c r="L164" i="44"/>
  <c r="L165" i="44"/>
  <c r="L166" i="44"/>
  <c r="L167" i="44"/>
  <c r="L168" i="44"/>
  <c r="L169" i="44"/>
  <c r="L170" i="44"/>
  <c r="L171" i="44"/>
  <c r="L172" i="44"/>
  <c r="L173" i="44"/>
  <c r="L174" i="44"/>
  <c r="L175" i="44"/>
  <c r="L176" i="44"/>
  <c r="L177" i="44"/>
  <c r="L178" i="44"/>
  <c r="L179" i="44"/>
  <c r="L180" i="44"/>
  <c r="L181" i="44"/>
  <c r="L182" i="44"/>
  <c r="L183" i="44"/>
  <c r="L184" i="44"/>
  <c r="L185" i="44"/>
  <c r="L186" i="44"/>
  <c r="L187" i="44"/>
  <c r="L188" i="44"/>
  <c r="L189" i="44"/>
  <c r="L190" i="44"/>
  <c r="L191" i="44"/>
  <c r="L192" i="44"/>
  <c r="L193" i="44"/>
  <c r="L194" i="44"/>
  <c r="L195" i="44"/>
  <c r="L196" i="44"/>
  <c r="L197" i="44"/>
  <c r="L198" i="44"/>
  <c r="L199" i="44"/>
  <c r="L200" i="44"/>
  <c r="L201" i="44"/>
  <c r="L202" i="44"/>
  <c r="L203" i="44"/>
  <c r="L204" i="44"/>
  <c r="L205" i="44"/>
  <c r="L206" i="44"/>
  <c r="L207" i="44"/>
  <c r="L208" i="44"/>
  <c r="L209" i="44"/>
  <c r="L210" i="44"/>
  <c r="L211" i="44"/>
  <c r="L212" i="44"/>
  <c r="L213" i="44"/>
  <c r="L214" i="44"/>
  <c r="L215" i="44"/>
  <c r="L216" i="44"/>
  <c r="L217" i="44"/>
  <c r="L218" i="44"/>
  <c r="L219" i="44"/>
  <c r="L220" i="44"/>
  <c r="L221" i="44"/>
  <c r="L222" i="44"/>
  <c r="L223" i="44"/>
  <c r="L224" i="44"/>
  <c r="L225" i="44"/>
  <c r="L226" i="44"/>
  <c r="L227" i="44"/>
  <c r="L228" i="44"/>
  <c r="L229" i="44"/>
  <c r="L230" i="44"/>
  <c r="L231" i="44"/>
  <c r="L232" i="44"/>
  <c r="L233" i="44"/>
  <c r="L234" i="44"/>
  <c r="L235" i="44"/>
  <c r="L236" i="44"/>
  <c r="L237" i="44"/>
  <c r="L238" i="44"/>
  <c r="L239" i="44"/>
  <c r="L240" i="44"/>
  <c r="L241" i="44"/>
  <c r="L242" i="44"/>
  <c r="L243" i="44"/>
  <c r="L244" i="44"/>
  <c r="L245" i="44"/>
  <c r="L246" i="44"/>
  <c r="L247" i="44"/>
  <c r="L248" i="44"/>
  <c r="L249" i="44"/>
  <c r="L250" i="44"/>
  <c r="L251" i="44"/>
  <c r="L252" i="44"/>
  <c r="L253" i="44"/>
  <c r="L254" i="44"/>
  <c r="L255" i="44"/>
  <c r="L256" i="44"/>
  <c r="L257" i="44"/>
  <c r="L258" i="44"/>
  <c r="L259" i="44"/>
  <c r="L260" i="44"/>
  <c r="L261" i="44"/>
  <c r="L262" i="44"/>
  <c r="L263" i="44"/>
  <c r="L264" i="44"/>
  <c r="L265" i="44"/>
  <c r="L266" i="44"/>
  <c r="L267" i="44"/>
  <c r="L268" i="44"/>
  <c r="L269" i="44"/>
  <c r="L270" i="44"/>
  <c r="L271" i="44"/>
  <c r="L272" i="44"/>
  <c r="L273" i="44"/>
  <c r="L274" i="44"/>
  <c r="L275" i="44"/>
  <c r="L276" i="44"/>
  <c r="L277" i="44"/>
  <c r="L278" i="44"/>
  <c r="L279" i="44"/>
  <c r="L280" i="44"/>
  <c r="L281" i="44"/>
  <c r="L282" i="44"/>
  <c r="L283" i="44"/>
  <c r="L284" i="44"/>
  <c r="L285" i="44"/>
  <c r="L286" i="44"/>
  <c r="L287" i="44"/>
  <c r="L288" i="44"/>
  <c r="L289" i="44"/>
  <c r="L290" i="44"/>
  <c r="L291" i="44"/>
  <c r="L292" i="44"/>
  <c r="L293" i="44"/>
  <c r="L294" i="44"/>
  <c r="L295" i="44"/>
  <c r="L296" i="44"/>
  <c r="L297" i="44"/>
  <c r="L298" i="44"/>
  <c r="L299" i="44"/>
  <c r="L300" i="44"/>
  <c r="L301" i="44"/>
  <c r="L302" i="44"/>
  <c r="L303" i="44"/>
  <c r="L304" i="44"/>
  <c r="L305" i="44"/>
  <c r="L306" i="44"/>
  <c r="L307" i="44"/>
  <c r="L308" i="44"/>
  <c r="L309" i="44"/>
  <c r="L310" i="44"/>
  <c r="L311" i="44"/>
  <c r="L312" i="44"/>
  <c r="L313" i="44"/>
  <c r="L314" i="44"/>
  <c r="L315" i="44"/>
  <c r="L316" i="44"/>
  <c r="L317" i="44"/>
  <c r="L318" i="44"/>
  <c r="L319" i="44"/>
  <c r="L320" i="44"/>
  <c r="L321" i="44"/>
  <c r="L322" i="44"/>
  <c r="L323" i="44"/>
  <c r="L324" i="44"/>
  <c r="L325" i="44"/>
  <c r="L326" i="44"/>
  <c r="L327" i="44"/>
  <c r="L328" i="44"/>
  <c r="L329" i="44"/>
  <c r="L330" i="44"/>
  <c r="L331" i="44"/>
  <c r="L332" i="44"/>
  <c r="L333" i="44"/>
  <c r="L334" i="44"/>
  <c r="L335" i="44"/>
  <c r="L336" i="44"/>
  <c r="L337" i="44"/>
  <c r="L338" i="44"/>
  <c r="L339" i="44"/>
  <c r="L340" i="44"/>
  <c r="L341" i="44"/>
  <c r="L342" i="44"/>
  <c r="L343" i="44"/>
  <c r="L344" i="44"/>
  <c r="L345" i="44"/>
  <c r="L346" i="44"/>
  <c r="L347" i="44"/>
  <c r="L348" i="44"/>
  <c r="L349" i="44"/>
  <c r="L350" i="44"/>
  <c r="L351" i="44"/>
  <c r="L352" i="44"/>
  <c r="L353" i="44"/>
  <c r="L354" i="44"/>
  <c r="L355" i="44"/>
  <c r="L356" i="44"/>
  <c r="L357" i="44"/>
  <c r="L358" i="44"/>
  <c r="L359" i="44"/>
  <c r="L360" i="44"/>
  <c r="L361" i="44"/>
  <c r="L362" i="44"/>
  <c r="L363" i="44"/>
  <c r="L364" i="44"/>
  <c r="L365" i="44"/>
  <c r="L366" i="44"/>
  <c r="L367" i="44"/>
  <c r="L368" i="44"/>
  <c r="L369" i="44"/>
  <c r="L370" i="44"/>
  <c r="L371" i="44"/>
  <c r="L372" i="44"/>
  <c r="L373" i="44"/>
  <c r="L374" i="44"/>
  <c r="L375" i="44"/>
  <c r="L376" i="44"/>
  <c r="L377" i="44"/>
  <c r="L378" i="44"/>
  <c r="L379" i="44"/>
  <c r="L380" i="44"/>
  <c r="L381" i="44"/>
  <c r="L382" i="44"/>
  <c r="L383" i="44"/>
  <c r="L384" i="44"/>
  <c r="L385" i="44"/>
  <c r="L386" i="44"/>
  <c r="L387" i="44"/>
  <c r="L388" i="44"/>
  <c r="L389" i="44"/>
  <c r="L390" i="44"/>
  <c r="L391" i="44"/>
  <c r="L392" i="44"/>
  <c r="L393" i="44"/>
  <c r="L394" i="44"/>
  <c r="L395" i="44"/>
  <c r="L396" i="44"/>
  <c r="L397" i="44"/>
  <c r="L398" i="44"/>
  <c r="L399" i="44"/>
  <c r="L400" i="44"/>
  <c r="L401" i="44"/>
  <c r="L402" i="44"/>
  <c r="L403" i="44"/>
  <c r="L404" i="44"/>
  <c r="L405" i="44"/>
  <c r="L406" i="44"/>
  <c r="L407" i="44"/>
  <c r="L408" i="44"/>
  <c r="L409" i="44"/>
  <c r="L410" i="44"/>
  <c r="L411" i="44"/>
  <c r="L412" i="44"/>
  <c r="L413" i="44"/>
  <c r="L414" i="44"/>
  <c r="L415" i="44"/>
  <c r="L416" i="44"/>
  <c r="L417" i="44"/>
  <c r="L418" i="44"/>
  <c r="L419" i="44"/>
  <c r="L420" i="44"/>
  <c r="L421" i="44"/>
  <c r="L422" i="44"/>
  <c r="L423" i="44"/>
  <c r="L424" i="44"/>
  <c r="L425" i="44"/>
  <c r="L426" i="44"/>
  <c r="L427" i="44"/>
  <c r="L428" i="44"/>
  <c r="L429" i="44"/>
  <c r="L430" i="44"/>
  <c r="L431" i="44"/>
  <c r="L432" i="44"/>
  <c r="L433" i="44"/>
  <c r="L434" i="44"/>
  <c r="L435" i="44"/>
  <c r="L436" i="44"/>
  <c r="L437" i="44"/>
  <c r="L438" i="44"/>
  <c r="L439" i="44"/>
  <c r="L440" i="44"/>
  <c r="L441" i="44"/>
  <c r="L442" i="44"/>
  <c r="L443" i="44"/>
  <c r="L444" i="44"/>
  <c r="L445" i="44"/>
  <c r="L446" i="44"/>
  <c r="L447" i="44"/>
  <c r="L448" i="44"/>
  <c r="L449" i="44"/>
  <c r="L450" i="44"/>
  <c r="L451" i="44"/>
  <c r="L452" i="44"/>
  <c r="L453" i="44"/>
  <c r="L454" i="44"/>
  <c r="L455" i="44"/>
  <c r="L456" i="44"/>
  <c r="L457" i="44"/>
  <c r="L458" i="44"/>
  <c r="L459" i="44"/>
  <c r="L460" i="44"/>
  <c r="L461" i="44"/>
  <c r="L462" i="44"/>
  <c r="L463" i="44"/>
  <c r="L464" i="44"/>
  <c r="L465" i="44"/>
  <c r="L466" i="44"/>
  <c r="L467" i="44"/>
  <c r="L468" i="44"/>
  <c r="L469" i="44"/>
  <c r="L470" i="44"/>
  <c r="L471" i="44"/>
  <c r="L472" i="44"/>
  <c r="L473" i="44"/>
  <c r="L474" i="44"/>
  <c r="L475" i="44"/>
  <c r="L476" i="44"/>
  <c r="L477" i="44"/>
  <c r="L478" i="44"/>
  <c r="L479" i="44"/>
  <c r="L480" i="44"/>
  <c r="L481" i="44"/>
  <c r="L482" i="44"/>
  <c r="L483" i="44"/>
  <c r="L484" i="44"/>
  <c r="L485" i="44"/>
  <c r="L486" i="44"/>
  <c r="L487" i="44"/>
  <c r="L488" i="44"/>
  <c r="L489" i="44"/>
  <c r="L490" i="44"/>
  <c r="L491" i="44"/>
  <c r="L492" i="44"/>
  <c r="L493" i="44"/>
  <c r="L494" i="44"/>
  <c r="L495" i="44"/>
  <c r="L496" i="44"/>
  <c r="L497" i="44"/>
  <c r="L498" i="44"/>
  <c r="L499" i="44"/>
  <c r="L500" i="44"/>
  <c r="L501" i="44"/>
  <c r="L502" i="44"/>
  <c r="L503" i="44"/>
  <c r="L504" i="44"/>
  <c r="L505" i="44"/>
  <c r="L506" i="44"/>
  <c r="L507" i="44"/>
  <c r="L508" i="44"/>
  <c r="L509" i="44"/>
  <c r="L510" i="44"/>
  <c r="L511" i="44"/>
  <c r="L512" i="44"/>
  <c r="L513" i="44"/>
  <c r="L514" i="44"/>
  <c r="L515" i="44"/>
  <c r="L516" i="44"/>
  <c r="L517" i="44"/>
  <c r="L518" i="44"/>
  <c r="L519" i="44"/>
  <c r="L520" i="44"/>
  <c r="L521" i="44"/>
  <c r="L522" i="44"/>
  <c r="L523" i="44"/>
  <c r="L524" i="44"/>
  <c r="L525" i="44"/>
  <c r="L526" i="44"/>
  <c r="L527" i="44"/>
  <c r="L528" i="44"/>
  <c r="L529" i="44"/>
  <c r="L530" i="44"/>
  <c r="L531" i="44"/>
  <c r="L532" i="44"/>
  <c r="L533" i="44"/>
  <c r="L534" i="44"/>
  <c r="L535" i="44"/>
  <c r="L536" i="44"/>
  <c r="L537" i="44"/>
  <c r="L538" i="44"/>
  <c r="L539" i="44"/>
  <c r="L540" i="44"/>
  <c r="L541" i="44"/>
  <c r="L542" i="44"/>
  <c r="L543" i="44"/>
  <c r="L544" i="44"/>
  <c r="L545" i="44"/>
  <c r="L546" i="44"/>
  <c r="L547" i="44"/>
  <c r="L548" i="44"/>
  <c r="L549" i="44"/>
  <c r="L550" i="44"/>
  <c r="L551" i="44"/>
  <c r="L552" i="44"/>
  <c r="L553" i="44"/>
  <c r="L554" i="44"/>
  <c r="L555" i="44"/>
  <c r="L556" i="44"/>
  <c r="L557" i="44"/>
  <c r="L558" i="44"/>
  <c r="L559" i="44"/>
  <c r="L560" i="44"/>
  <c r="L561" i="44"/>
  <c r="L562" i="44"/>
  <c r="L563" i="44"/>
  <c r="L564" i="44"/>
  <c r="L565" i="44"/>
  <c r="L566" i="44"/>
  <c r="L567" i="44"/>
  <c r="L568" i="44"/>
  <c r="L569" i="44"/>
  <c r="L570" i="44"/>
  <c r="L571" i="44"/>
  <c r="L572" i="44"/>
  <c r="L573" i="44"/>
  <c r="L574" i="44"/>
  <c r="L575" i="44"/>
  <c r="L576" i="44"/>
  <c r="L577" i="44"/>
  <c r="L578" i="44"/>
  <c r="L579" i="44"/>
  <c r="L580" i="44"/>
  <c r="L581" i="44"/>
  <c r="L582" i="44"/>
  <c r="L583" i="44"/>
  <c r="L584" i="44"/>
  <c r="L585" i="44"/>
  <c r="L586" i="44"/>
  <c r="L587" i="44"/>
  <c r="L588" i="44"/>
  <c r="L589" i="44"/>
  <c r="L590" i="44"/>
  <c r="L591" i="44"/>
  <c r="L592" i="44"/>
  <c r="L593" i="44"/>
  <c r="L594" i="44"/>
  <c r="L595" i="44"/>
  <c r="L596" i="44"/>
  <c r="L597" i="44"/>
  <c r="L598" i="44"/>
  <c r="L599" i="44"/>
  <c r="L600" i="44"/>
  <c r="L601" i="44"/>
  <c r="L602" i="44"/>
  <c r="L603" i="44"/>
  <c r="L604" i="44"/>
  <c r="L605" i="44"/>
  <c r="L606" i="44"/>
  <c r="L607" i="44"/>
  <c r="L608" i="44"/>
  <c r="L609" i="44"/>
  <c r="L610" i="44"/>
  <c r="L611" i="44"/>
  <c r="L612" i="44"/>
  <c r="L613" i="44"/>
  <c r="L614" i="44"/>
  <c r="L615" i="44"/>
  <c r="L616" i="44"/>
  <c r="L617" i="44"/>
  <c r="L618" i="44"/>
  <c r="L619" i="44"/>
  <c r="L620" i="44"/>
  <c r="L621" i="44"/>
  <c r="L622" i="44"/>
  <c r="L623" i="44"/>
  <c r="L624" i="44"/>
  <c r="L625" i="44"/>
  <c r="L626" i="44"/>
  <c r="L627" i="44"/>
  <c r="L628" i="44"/>
  <c r="L629" i="44"/>
  <c r="L630" i="44"/>
  <c r="L631" i="44"/>
  <c r="L632" i="44"/>
  <c r="L633" i="44"/>
  <c r="L634" i="44"/>
  <c r="L635" i="44"/>
  <c r="L636" i="44"/>
  <c r="L637" i="44"/>
  <c r="L638" i="44"/>
  <c r="L639" i="44"/>
  <c r="L640" i="44"/>
  <c r="L641" i="44"/>
  <c r="L642" i="44"/>
  <c r="L643" i="44"/>
  <c r="L644" i="44"/>
  <c r="L645" i="44"/>
  <c r="L646" i="44"/>
  <c r="L647" i="44"/>
  <c r="L648" i="44"/>
  <c r="L649" i="44"/>
  <c r="L650" i="44"/>
  <c r="L651" i="44"/>
  <c r="L652" i="44"/>
  <c r="L653" i="44"/>
  <c r="L654" i="44"/>
  <c r="L655" i="44"/>
  <c r="L656" i="44"/>
  <c r="L657" i="44"/>
  <c r="L658" i="44"/>
  <c r="L659" i="44"/>
  <c r="L660" i="44"/>
  <c r="L661" i="44"/>
  <c r="L662" i="44"/>
  <c r="L663" i="44"/>
  <c r="L664" i="44"/>
  <c r="L665" i="44"/>
  <c r="L666" i="44"/>
  <c r="L667" i="44"/>
  <c r="L668" i="44"/>
  <c r="L669" i="44"/>
  <c r="L670" i="44"/>
  <c r="L671" i="44"/>
  <c r="L672" i="44"/>
  <c r="L673" i="44"/>
  <c r="L674" i="44"/>
  <c r="L675" i="44"/>
  <c r="L676" i="44"/>
  <c r="L677" i="44"/>
  <c r="L678" i="44"/>
  <c r="L679" i="44"/>
  <c r="L680" i="44"/>
  <c r="L681" i="44"/>
  <c r="L682" i="44"/>
  <c r="L683" i="44"/>
  <c r="L684" i="44"/>
  <c r="L685" i="44"/>
  <c r="L686" i="44"/>
  <c r="L687" i="44"/>
  <c r="L688" i="44"/>
  <c r="L689" i="44"/>
  <c r="L690" i="44"/>
  <c r="L691" i="44"/>
  <c r="L692" i="44"/>
  <c r="L693" i="44"/>
  <c r="L694" i="44"/>
  <c r="L695" i="44"/>
  <c r="L696" i="44"/>
  <c r="L697" i="44"/>
  <c r="L698" i="44"/>
  <c r="L699" i="44"/>
  <c r="L700" i="44"/>
  <c r="L701" i="44"/>
  <c r="L702" i="44"/>
  <c r="L703" i="44"/>
  <c r="L704" i="44"/>
  <c r="L705" i="44"/>
  <c r="L706" i="44"/>
  <c r="L707" i="44"/>
  <c r="L708" i="44"/>
  <c r="L709" i="44"/>
  <c r="L710" i="44"/>
  <c r="L711" i="44"/>
  <c r="L712" i="44"/>
  <c r="L713" i="44"/>
  <c r="L714" i="44"/>
  <c r="L715" i="44"/>
  <c r="L716" i="44"/>
  <c r="L717" i="44"/>
  <c r="L718" i="44"/>
  <c r="L719" i="44"/>
  <c r="L720" i="44"/>
  <c r="L721" i="44"/>
  <c r="L722" i="44"/>
  <c r="L723" i="44"/>
  <c r="L724" i="44"/>
  <c r="L725" i="44"/>
  <c r="L726" i="44"/>
  <c r="L727" i="44"/>
  <c r="L728" i="44"/>
  <c r="L729" i="44"/>
  <c r="L730" i="44"/>
  <c r="L731" i="44"/>
  <c r="L732" i="44"/>
  <c r="L733" i="44"/>
  <c r="L734" i="44"/>
  <c r="L735" i="44"/>
  <c r="L736" i="44"/>
  <c r="L737" i="44"/>
  <c r="L738" i="44"/>
  <c r="L739" i="44"/>
  <c r="L740" i="44"/>
  <c r="L741" i="44"/>
  <c r="L742" i="44"/>
  <c r="L743" i="44"/>
  <c r="L744" i="44"/>
  <c r="L745" i="44"/>
  <c r="L746" i="44"/>
  <c r="L747" i="44"/>
  <c r="L748" i="44"/>
  <c r="L749" i="44"/>
  <c r="L750" i="44"/>
  <c r="L751" i="44"/>
  <c r="L752" i="44"/>
  <c r="L753" i="44"/>
  <c r="L754" i="44"/>
  <c r="L755" i="44"/>
  <c r="L756" i="44"/>
  <c r="L757" i="44"/>
  <c r="L758" i="44"/>
  <c r="L759" i="44"/>
  <c r="L760" i="44"/>
  <c r="L761" i="44"/>
  <c r="L762" i="44"/>
  <c r="L763" i="44"/>
  <c r="L764" i="44"/>
  <c r="L765" i="44"/>
  <c r="L766" i="44"/>
  <c r="L767" i="44"/>
  <c r="L768" i="44"/>
  <c r="L769" i="44"/>
  <c r="L770" i="44"/>
  <c r="L771" i="44"/>
  <c r="L772" i="44"/>
  <c r="L773" i="44"/>
  <c r="L774" i="44"/>
  <c r="L775" i="44"/>
  <c r="L776" i="44"/>
  <c r="L777" i="44"/>
  <c r="L778" i="44"/>
  <c r="L779" i="44"/>
  <c r="L780" i="44"/>
  <c r="L781" i="44"/>
  <c r="L782" i="44"/>
  <c r="L783" i="44"/>
  <c r="L784" i="44"/>
  <c r="L785" i="44"/>
  <c r="L786" i="44"/>
  <c r="L787" i="44"/>
  <c r="L788" i="44"/>
  <c r="L789" i="44"/>
  <c r="L790" i="44"/>
  <c r="L791" i="44"/>
  <c r="L792" i="44"/>
  <c r="L793" i="44"/>
  <c r="L794" i="44"/>
  <c r="L795" i="44"/>
  <c r="L796" i="44"/>
  <c r="L797" i="44"/>
  <c r="L798" i="44"/>
  <c r="L799" i="44"/>
  <c r="L800" i="44"/>
  <c r="L801" i="44"/>
  <c r="L802" i="44"/>
  <c r="L803" i="44"/>
  <c r="L804" i="44"/>
  <c r="L805" i="44"/>
  <c r="L806" i="44"/>
  <c r="L807" i="44"/>
  <c r="L808" i="44"/>
  <c r="L809" i="44"/>
  <c r="L810" i="44"/>
  <c r="L811" i="44"/>
  <c r="L812" i="44"/>
  <c r="L813" i="44"/>
  <c r="L814" i="44"/>
  <c r="L815" i="44"/>
  <c r="L816" i="44"/>
  <c r="L817" i="44"/>
  <c r="L818" i="44"/>
  <c r="L819" i="44"/>
  <c r="L820" i="44"/>
  <c r="L821" i="44"/>
  <c r="L822" i="44"/>
  <c r="L823" i="44"/>
  <c r="L824" i="44"/>
  <c r="L825" i="44"/>
  <c r="L826" i="44"/>
  <c r="L827" i="44"/>
  <c r="L828" i="44"/>
  <c r="L829" i="44"/>
  <c r="L830" i="44"/>
  <c r="L831" i="44"/>
  <c r="L832" i="44"/>
  <c r="L833" i="44"/>
  <c r="L834" i="44"/>
  <c r="L835" i="44"/>
  <c r="L836" i="44"/>
  <c r="L837" i="44"/>
  <c r="L838" i="44"/>
  <c r="L839" i="44"/>
  <c r="L840" i="44"/>
  <c r="L841" i="44"/>
  <c r="L842" i="44"/>
  <c r="L843" i="44"/>
  <c r="L844" i="44"/>
  <c r="L845" i="44"/>
  <c r="L846" i="44"/>
  <c r="L847" i="44"/>
  <c r="L848" i="44"/>
  <c r="L849" i="44"/>
  <c r="L850" i="44"/>
  <c r="L851" i="44"/>
  <c r="L852" i="44"/>
  <c r="L853" i="44"/>
  <c r="L854" i="44"/>
  <c r="L855" i="44"/>
  <c r="L856" i="44"/>
  <c r="L857" i="44"/>
  <c r="L858" i="44"/>
  <c r="L859" i="44"/>
  <c r="L860" i="44"/>
  <c r="L861" i="44"/>
  <c r="L862" i="44"/>
  <c r="L863" i="44"/>
  <c r="L864" i="44"/>
  <c r="L865" i="44"/>
  <c r="L866" i="44"/>
  <c r="L867" i="44"/>
  <c r="L868" i="44"/>
  <c r="L869" i="44"/>
  <c r="L870" i="44"/>
  <c r="L871" i="44"/>
  <c r="L872" i="44"/>
  <c r="L873" i="44"/>
  <c r="L874" i="44"/>
  <c r="L875" i="44"/>
  <c r="L876" i="44"/>
  <c r="L877" i="44"/>
  <c r="L878" i="44"/>
  <c r="L879" i="44"/>
  <c r="L880" i="44"/>
  <c r="L881" i="44"/>
  <c r="L882" i="44"/>
  <c r="L883" i="44"/>
  <c r="L884" i="44"/>
  <c r="L885" i="44"/>
  <c r="L886" i="44"/>
  <c r="L887" i="44"/>
  <c r="L888" i="44"/>
  <c r="L889" i="44"/>
  <c r="L890" i="44"/>
  <c r="L891" i="44"/>
  <c r="L892" i="44"/>
  <c r="L893" i="44"/>
  <c r="L894" i="44"/>
  <c r="L895" i="44"/>
  <c r="L896" i="44"/>
  <c r="L897" i="44"/>
  <c r="L898" i="44"/>
  <c r="L899" i="44"/>
  <c r="L900" i="44"/>
  <c r="L901" i="44"/>
  <c r="L902" i="44"/>
  <c r="L903" i="44"/>
  <c r="L904" i="44"/>
  <c r="L905" i="44"/>
  <c r="L906" i="44"/>
  <c r="L907" i="44"/>
  <c r="L908" i="44"/>
  <c r="L909" i="44"/>
  <c r="L910" i="44"/>
  <c r="L911" i="44"/>
  <c r="L912" i="44"/>
  <c r="L913" i="44"/>
  <c r="L914" i="44"/>
  <c r="L915" i="44"/>
  <c r="L916" i="44"/>
  <c r="L917" i="44"/>
  <c r="L918" i="44"/>
  <c r="L919" i="44"/>
  <c r="L920" i="44"/>
  <c r="L921" i="44"/>
  <c r="L922" i="44"/>
  <c r="L923" i="44"/>
  <c r="L924" i="44"/>
  <c r="L925" i="44"/>
  <c r="L926" i="44"/>
  <c r="L927" i="44"/>
  <c r="L928" i="44"/>
  <c r="L929" i="44"/>
  <c r="L930" i="44"/>
  <c r="L931" i="44"/>
  <c r="L932" i="44"/>
  <c r="L933" i="44"/>
  <c r="L934" i="44"/>
  <c r="L935" i="44"/>
  <c r="L936" i="44"/>
  <c r="L937" i="44"/>
  <c r="L938" i="44"/>
  <c r="L939" i="44"/>
  <c r="L940" i="44"/>
  <c r="L941" i="44"/>
  <c r="L942" i="44"/>
  <c r="L943" i="44"/>
  <c r="L944" i="44"/>
  <c r="L945" i="44"/>
  <c r="L946" i="44"/>
  <c r="L947" i="44"/>
  <c r="L948" i="44"/>
  <c r="L949" i="44"/>
  <c r="L950" i="44"/>
  <c r="L951" i="44"/>
  <c r="L952" i="44"/>
  <c r="L953" i="44"/>
  <c r="L954" i="44"/>
  <c r="L955" i="44"/>
  <c r="L956" i="44"/>
  <c r="L957" i="44"/>
  <c r="L958" i="44"/>
  <c r="L959" i="44"/>
  <c r="L960" i="44"/>
  <c r="L961" i="44"/>
  <c r="L962" i="44"/>
  <c r="L963" i="44"/>
  <c r="L964" i="44"/>
  <c r="L965" i="44"/>
  <c r="L966" i="44"/>
  <c r="L967" i="44"/>
  <c r="L968" i="44"/>
  <c r="L969" i="44"/>
  <c r="L970" i="44"/>
  <c r="L971" i="44"/>
  <c r="L972" i="44"/>
  <c r="L973" i="44"/>
  <c r="L974" i="44"/>
  <c r="L975" i="44"/>
  <c r="L976" i="44"/>
  <c r="L977" i="44"/>
  <c r="L978" i="44"/>
  <c r="L979" i="44"/>
  <c r="L980" i="44"/>
  <c r="L981" i="44"/>
  <c r="L982" i="44"/>
  <c r="L983" i="44"/>
  <c r="L984" i="44"/>
  <c r="L985" i="44"/>
  <c r="L986" i="44"/>
  <c r="L987" i="44"/>
  <c r="L988" i="44"/>
  <c r="L989" i="44"/>
  <c r="L990" i="44"/>
  <c r="L991" i="44"/>
  <c r="L992" i="44"/>
  <c r="L993" i="44"/>
  <c r="L994" i="44"/>
  <c r="L995" i="44"/>
  <c r="L996" i="44"/>
  <c r="L997" i="44"/>
  <c r="L998" i="44"/>
  <c r="L999" i="44"/>
  <c r="L1000" i="44"/>
  <c r="L1001" i="44"/>
  <c r="L19" i="22"/>
  <c r="L20" i="22"/>
  <c r="L21"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65" i="22"/>
  <c r="L66" i="22"/>
  <c r="L67" i="22"/>
  <c r="L68" i="22"/>
  <c r="L69" i="22"/>
  <c r="L70" i="22"/>
  <c r="L71" i="22"/>
  <c r="L72" i="22"/>
  <c r="L73" i="22"/>
  <c r="L74" i="22"/>
  <c r="L75" i="22"/>
  <c r="L76" i="22"/>
  <c r="L77" i="22"/>
  <c r="L78" i="22"/>
  <c r="L79" i="22"/>
  <c r="L80" i="22"/>
  <c r="L81" i="22"/>
  <c r="L82" i="22"/>
  <c r="L83" i="22"/>
  <c r="L84" i="22"/>
  <c r="L85" i="22"/>
  <c r="L86" i="22"/>
  <c r="L87" i="22"/>
  <c r="L88" i="22"/>
  <c r="L89" i="22"/>
  <c r="L90" i="22"/>
  <c r="L91" i="22"/>
  <c r="L92" i="22"/>
  <c r="L93" i="22"/>
  <c r="L94" i="22"/>
  <c r="L95" i="22"/>
  <c r="L96" i="22"/>
  <c r="L97" i="22"/>
  <c r="L98" i="22"/>
  <c r="L99" i="22"/>
  <c r="L100" i="22"/>
  <c r="L101" i="22"/>
  <c r="L102" i="22"/>
  <c r="L103" i="22"/>
  <c r="L104" i="22"/>
  <c r="L105" i="22"/>
  <c r="L106" i="22"/>
  <c r="L107" i="22"/>
  <c r="L108" i="22"/>
  <c r="L109" i="22"/>
  <c r="L110" i="22"/>
  <c r="L111" i="22"/>
  <c r="L112" i="22"/>
  <c r="L113" i="22"/>
  <c r="L114" i="22"/>
  <c r="L115" i="22"/>
  <c r="L116" i="22"/>
  <c r="L117" i="22"/>
  <c r="L118" i="22"/>
  <c r="L119" i="22"/>
  <c r="L120" i="22"/>
  <c r="L121" i="22"/>
  <c r="L122" i="22"/>
  <c r="L123" i="22"/>
  <c r="L124" i="22"/>
  <c r="L125" i="22"/>
  <c r="L126" i="22"/>
  <c r="L127" i="22"/>
  <c r="L128" i="22"/>
  <c r="L129" i="22"/>
  <c r="L130" i="22"/>
  <c r="L131" i="22"/>
  <c r="L132" i="22"/>
  <c r="L133" i="22"/>
  <c r="L134" i="22"/>
  <c r="L135" i="22"/>
  <c r="L136" i="22"/>
  <c r="L137" i="22"/>
  <c r="L138" i="22"/>
  <c r="L139" i="22"/>
  <c r="L140" i="22"/>
  <c r="L141" i="22"/>
  <c r="L142" i="22"/>
  <c r="L143" i="22"/>
  <c r="L144" i="22"/>
  <c r="L145" i="22"/>
  <c r="L146" i="22"/>
  <c r="L147" i="22"/>
  <c r="L148" i="22"/>
  <c r="L149" i="22"/>
  <c r="L150" i="22"/>
  <c r="L151" i="22"/>
  <c r="L152" i="22"/>
  <c r="L153" i="22"/>
  <c r="L154" i="22"/>
  <c r="L155" i="22"/>
  <c r="L156" i="22"/>
  <c r="L157" i="22"/>
  <c r="L158" i="22"/>
  <c r="L159" i="22"/>
  <c r="L160" i="22"/>
  <c r="L161" i="22"/>
  <c r="L162" i="22"/>
  <c r="L163" i="22"/>
  <c r="L164" i="22"/>
  <c r="L165" i="22"/>
  <c r="L166" i="22"/>
  <c r="L167" i="22"/>
  <c r="L168" i="22"/>
  <c r="L169" i="22"/>
  <c r="L170" i="22"/>
  <c r="L171" i="22"/>
  <c r="L172" i="22"/>
  <c r="L173" i="22"/>
  <c r="L174" i="22"/>
  <c r="L175" i="22"/>
  <c r="L176" i="22"/>
  <c r="L177" i="22"/>
  <c r="L178" i="22"/>
  <c r="L179" i="22"/>
  <c r="L180" i="22"/>
  <c r="L181" i="22"/>
  <c r="L182" i="22"/>
  <c r="L183" i="22"/>
  <c r="L184" i="22"/>
  <c r="L185" i="22"/>
  <c r="L186" i="22"/>
  <c r="L187" i="22"/>
  <c r="L188" i="22"/>
  <c r="L189" i="22"/>
  <c r="L190" i="22"/>
  <c r="L191" i="22"/>
  <c r="L192" i="22"/>
  <c r="L193" i="22"/>
  <c r="L194" i="22"/>
  <c r="L195" i="22"/>
  <c r="L196" i="22"/>
  <c r="L197" i="22"/>
  <c r="L198" i="22"/>
  <c r="L199" i="22"/>
  <c r="L200" i="22"/>
  <c r="L201" i="22"/>
  <c r="L202" i="22"/>
  <c r="L203" i="22"/>
  <c r="L204" i="22"/>
  <c r="L205" i="22"/>
  <c r="L206" i="22"/>
  <c r="L207" i="22"/>
  <c r="L208" i="22"/>
  <c r="L209" i="22"/>
  <c r="L210" i="22"/>
  <c r="L211" i="22"/>
  <c r="L212" i="22"/>
  <c r="L213" i="22"/>
  <c r="L214" i="22"/>
  <c r="L215" i="22"/>
  <c r="L216" i="22"/>
  <c r="L217" i="22"/>
  <c r="L218" i="22"/>
  <c r="L219" i="22"/>
  <c r="L220" i="22"/>
  <c r="L221" i="22"/>
  <c r="L222" i="22"/>
  <c r="L223" i="22"/>
  <c r="L224" i="22"/>
  <c r="L225" i="22"/>
  <c r="L226" i="22"/>
  <c r="L227" i="22"/>
  <c r="L228" i="22"/>
  <c r="L229" i="22"/>
  <c r="L230" i="22"/>
  <c r="L231" i="22"/>
  <c r="L232" i="22"/>
  <c r="L233" i="22"/>
  <c r="L234" i="22"/>
  <c r="L235" i="22"/>
  <c r="L236" i="22"/>
  <c r="L237" i="22"/>
  <c r="L238" i="22"/>
  <c r="L239" i="22"/>
  <c r="L240" i="22"/>
  <c r="L241" i="22"/>
  <c r="L242" i="22"/>
  <c r="L243" i="22"/>
  <c r="L244" i="22"/>
  <c r="L245" i="22"/>
  <c r="L246" i="22"/>
  <c r="L247" i="22"/>
  <c r="L248" i="22"/>
  <c r="L249" i="22"/>
  <c r="L250" i="22"/>
  <c r="L251" i="22"/>
  <c r="L252" i="22"/>
  <c r="L253" i="22"/>
  <c r="L254" i="22"/>
  <c r="L255" i="22"/>
  <c r="L256" i="22"/>
  <c r="L257" i="22"/>
  <c r="L258" i="22"/>
  <c r="L259" i="22"/>
  <c r="L260" i="22"/>
  <c r="L261" i="22"/>
  <c r="L262" i="22"/>
  <c r="L263" i="22"/>
  <c r="L264" i="22"/>
  <c r="L265" i="22"/>
  <c r="L266" i="22"/>
  <c r="L267" i="22"/>
  <c r="L268" i="22"/>
  <c r="L269" i="22"/>
  <c r="L270" i="22"/>
  <c r="L271" i="22"/>
  <c r="L272" i="22"/>
  <c r="L273" i="22"/>
  <c r="L274" i="22"/>
  <c r="L275" i="22"/>
  <c r="L276" i="22"/>
  <c r="L277" i="22"/>
  <c r="L278" i="22"/>
  <c r="L279" i="22"/>
  <c r="L280" i="22"/>
  <c r="L281" i="22"/>
  <c r="L282" i="22"/>
  <c r="L283" i="22"/>
  <c r="L284" i="22"/>
  <c r="L285" i="22"/>
  <c r="L286" i="22"/>
  <c r="L287" i="22"/>
  <c r="L288" i="22"/>
  <c r="L289" i="22"/>
  <c r="L290" i="22"/>
  <c r="L291" i="22"/>
  <c r="L292" i="22"/>
  <c r="L293" i="22"/>
  <c r="L294" i="22"/>
  <c r="L295" i="22"/>
  <c r="L296" i="22"/>
  <c r="L297" i="22"/>
  <c r="L298" i="22"/>
  <c r="L299" i="22"/>
  <c r="L300" i="22"/>
  <c r="L301" i="22"/>
  <c r="L302" i="22"/>
  <c r="L303" i="22"/>
  <c r="L304" i="22"/>
  <c r="L305" i="22"/>
  <c r="L306" i="22"/>
  <c r="L307" i="22"/>
  <c r="L308" i="22"/>
  <c r="L309" i="22"/>
  <c r="L310" i="22"/>
  <c r="L311" i="22"/>
  <c r="L312" i="22"/>
  <c r="L313" i="22"/>
  <c r="L314" i="22"/>
  <c r="L315" i="22"/>
  <c r="L316" i="22"/>
  <c r="L317" i="22"/>
  <c r="L318" i="22"/>
  <c r="L319" i="22"/>
  <c r="L320" i="22"/>
  <c r="L321" i="22"/>
  <c r="L322" i="22"/>
  <c r="L323" i="22"/>
  <c r="L324" i="22"/>
  <c r="L325" i="22"/>
  <c r="L326" i="22"/>
  <c r="L327" i="22"/>
  <c r="L328" i="22"/>
  <c r="L329" i="22"/>
  <c r="L330" i="22"/>
  <c r="L331" i="22"/>
  <c r="L332" i="22"/>
  <c r="L333" i="22"/>
  <c r="L334" i="22"/>
  <c r="L335" i="22"/>
  <c r="L336" i="22"/>
  <c r="L337" i="22"/>
  <c r="L338" i="22"/>
  <c r="L339" i="22"/>
  <c r="L340" i="22"/>
  <c r="L341" i="22"/>
  <c r="L342" i="22"/>
  <c r="L343" i="22"/>
  <c r="L344" i="22"/>
  <c r="L345" i="22"/>
  <c r="L346" i="22"/>
  <c r="L347" i="22"/>
  <c r="L348" i="22"/>
  <c r="L349" i="22"/>
  <c r="L350" i="22"/>
  <c r="L351" i="22"/>
  <c r="L352" i="22"/>
  <c r="L353" i="22"/>
  <c r="L354" i="22"/>
  <c r="L355" i="22"/>
  <c r="L356" i="22"/>
  <c r="L357" i="22"/>
  <c r="L358" i="22"/>
  <c r="L359" i="22"/>
  <c r="L360" i="22"/>
  <c r="L361" i="22"/>
  <c r="L362" i="22"/>
  <c r="L363" i="22"/>
  <c r="L364" i="22"/>
  <c r="L365" i="22"/>
  <c r="L366" i="22"/>
  <c r="L367" i="22"/>
  <c r="L368" i="22"/>
  <c r="L369" i="22"/>
  <c r="L370" i="22"/>
  <c r="L371" i="22"/>
  <c r="L372" i="22"/>
  <c r="L373" i="22"/>
  <c r="L374" i="22"/>
  <c r="L375" i="22"/>
  <c r="L376" i="22"/>
  <c r="L377" i="22"/>
  <c r="L378" i="22"/>
  <c r="L379" i="22"/>
  <c r="L380" i="22"/>
  <c r="L381" i="22"/>
  <c r="L382" i="22"/>
  <c r="L383" i="22"/>
  <c r="L384" i="22"/>
  <c r="L385" i="22"/>
  <c r="L386" i="22"/>
  <c r="L387" i="22"/>
  <c r="L388" i="22"/>
  <c r="L389" i="22"/>
  <c r="L390" i="22"/>
  <c r="L391" i="22"/>
  <c r="L392" i="22"/>
  <c r="L393" i="22"/>
  <c r="L394" i="22"/>
  <c r="L395" i="22"/>
  <c r="L396" i="22"/>
  <c r="L397" i="22"/>
  <c r="L398" i="22"/>
  <c r="L399" i="22"/>
  <c r="L400" i="22"/>
  <c r="L401" i="22"/>
  <c r="L402" i="22"/>
  <c r="L403" i="22"/>
  <c r="L404" i="22"/>
  <c r="L405" i="22"/>
  <c r="L406" i="22"/>
  <c r="L407" i="22"/>
  <c r="L408" i="22"/>
  <c r="L409" i="22"/>
  <c r="L410" i="22"/>
  <c r="L411" i="22"/>
  <c r="L412" i="22"/>
  <c r="L413" i="22"/>
  <c r="L414" i="22"/>
  <c r="L415" i="22"/>
  <c r="L416" i="22"/>
  <c r="L417" i="22"/>
  <c r="L418" i="22"/>
  <c r="L419" i="22"/>
  <c r="L420" i="22"/>
  <c r="L421" i="22"/>
  <c r="L422" i="22"/>
  <c r="L423" i="22"/>
  <c r="L424" i="22"/>
  <c r="L425" i="22"/>
  <c r="L426" i="22"/>
  <c r="L427" i="22"/>
  <c r="L428" i="22"/>
  <c r="L429" i="22"/>
  <c r="L430" i="22"/>
  <c r="L431" i="22"/>
  <c r="L432" i="22"/>
  <c r="L433" i="22"/>
  <c r="L434" i="22"/>
  <c r="L435" i="22"/>
  <c r="L436" i="22"/>
  <c r="L437" i="22"/>
  <c r="L438" i="22"/>
  <c r="L439" i="22"/>
  <c r="L440" i="22"/>
  <c r="L441" i="22"/>
  <c r="L442" i="22"/>
  <c r="L443" i="22"/>
  <c r="L444" i="22"/>
  <c r="L445" i="22"/>
  <c r="L446" i="22"/>
  <c r="L447" i="22"/>
  <c r="L448" i="22"/>
  <c r="L449" i="22"/>
  <c r="L450" i="22"/>
  <c r="L451" i="22"/>
  <c r="L452" i="22"/>
  <c r="L453" i="22"/>
  <c r="L454" i="22"/>
  <c r="L455" i="22"/>
  <c r="L456" i="22"/>
  <c r="L457" i="22"/>
  <c r="L458" i="22"/>
  <c r="L459" i="22"/>
  <c r="L460" i="22"/>
  <c r="L461" i="22"/>
  <c r="L462" i="22"/>
  <c r="L463" i="22"/>
  <c r="L464" i="22"/>
  <c r="L465" i="22"/>
  <c r="L466" i="22"/>
  <c r="L467" i="22"/>
  <c r="L468" i="22"/>
  <c r="L469" i="22"/>
  <c r="L470" i="22"/>
  <c r="L471" i="22"/>
  <c r="L472" i="22"/>
  <c r="L473" i="22"/>
  <c r="L474" i="22"/>
  <c r="L475" i="22"/>
  <c r="L476" i="22"/>
  <c r="L477" i="22"/>
  <c r="L478" i="22"/>
  <c r="L479" i="22"/>
  <c r="L480" i="22"/>
  <c r="L481" i="22"/>
  <c r="L482" i="22"/>
  <c r="L483" i="22"/>
  <c r="L484" i="22"/>
  <c r="L485" i="22"/>
  <c r="L486" i="22"/>
  <c r="L487" i="22"/>
  <c r="L488" i="22"/>
  <c r="L489" i="22"/>
  <c r="L490" i="22"/>
  <c r="L491" i="22"/>
  <c r="L492" i="22"/>
  <c r="L493" i="22"/>
  <c r="L494" i="22"/>
  <c r="L495" i="22"/>
  <c r="L496" i="22"/>
  <c r="L497" i="22"/>
  <c r="L498" i="22"/>
  <c r="L499" i="22"/>
  <c r="L500" i="22"/>
  <c r="L501" i="22"/>
  <c r="L502" i="22"/>
  <c r="L503" i="22"/>
  <c r="L504" i="22"/>
  <c r="L505" i="22"/>
  <c r="L506" i="22"/>
  <c r="L507" i="22"/>
  <c r="L508" i="22"/>
  <c r="L509" i="22"/>
  <c r="L510" i="22"/>
  <c r="L511" i="22"/>
  <c r="L512" i="22"/>
  <c r="L513" i="22"/>
  <c r="L514" i="22"/>
  <c r="L515" i="22"/>
  <c r="L516" i="22"/>
  <c r="L517" i="22"/>
  <c r="L518" i="22"/>
  <c r="L519" i="22"/>
  <c r="L520" i="22"/>
  <c r="L521" i="22"/>
  <c r="L522" i="22"/>
  <c r="L523" i="22"/>
  <c r="L524" i="22"/>
  <c r="L525" i="22"/>
  <c r="L526" i="22"/>
  <c r="L527" i="22"/>
  <c r="L528" i="22"/>
  <c r="L529" i="22"/>
  <c r="L530" i="22"/>
  <c r="L531" i="22"/>
  <c r="L532" i="22"/>
  <c r="L533" i="22"/>
  <c r="L534" i="22"/>
  <c r="L535" i="22"/>
  <c r="L536" i="22"/>
  <c r="L537" i="22"/>
  <c r="L538" i="22"/>
  <c r="L539" i="22"/>
  <c r="L540" i="22"/>
  <c r="L541" i="22"/>
  <c r="L542" i="22"/>
  <c r="L543" i="22"/>
  <c r="L544" i="22"/>
  <c r="L545" i="22"/>
  <c r="L546" i="22"/>
  <c r="L547" i="22"/>
  <c r="L548" i="22"/>
  <c r="L549" i="22"/>
  <c r="L550" i="22"/>
  <c r="L551" i="22"/>
  <c r="L552" i="22"/>
  <c r="L553" i="22"/>
  <c r="L554" i="22"/>
  <c r="L555" i="22"/>
  <c r="L556" i="22"/>
  <c r="L557" i="22"/>
  <c r="L558" i="22"/>
  <c r="L559" i="22"/>
  <c r="L560" i="22"/>
  <c r="L561" i="22"/>
  <c r="L562" i="22"/>
  <c r="L563" i="22"/>
  <c r="L564" i="22"/>
  <c r="L565" i="22"/>
  <c r="L566" i="22"/>
  <c r="L567" i="22"/>
  <c r="L568" i="22"/>
  <c r="L569" i="22"/>
  <c r="L570" i="22"/>
  <c r="L571" i="22"/>
  <c r="L572" i="22"/>
  <c r="L573" i="22"/>
  <c r="L574" i="22"/>
  <c r="L575" i="22"/>
  <c r="L576" i="22"/>
  <c r="L577" i="22"/>
  <c r="L578" i="22"/>
  <c r="L579" i="22"/>
  <c r="L580" i="22"/>
  <c r="L581" i="22"/>
  <c r="L582" i="22"/>
  <c r="L583" i="22"/>
  <c r="L584" i="22"/>
  <c r="L585" i="22"/>
  <c r="L586" i="22"/>
  <c r="L587" i="22"/>
  <c r="L588" i="22"/>
  <c r="L589" i="22"/>
  <c r="L590" i="22"/>
  <c r="L591" i="22"/>
  <c r="L592" i="22"/>
  <c r="L593" i="22"/>
  <c r="L594" i="22"/>
  <c r="L595" i="22"/>
  <c r="L596" i="22"/>
  <c r="L597" i="22"/>
  <c r="L598" i="22"/>
  <c r="L599" i="22"/>
  <c r="L600" i="22"/>
  <c r="L601" i="22"/>
  <c r="L602" i="22"/>
  <c r="L603" i="22"/>
  <c r="L604" i="22"/>
  <c r="L605" i="22"/>
  <c r="L606" i="22"/>
  <c r="L607" i="22"/>
  <c r="L608" i="22"/>
  <c r="L609" i="22"/>
  <c r="L610" i="22"/>
  <c r="L611" i="22"/>
  <c r="L612" i="22"/>
  <c r="L613" i="22"/>
  <c r="L614" i="22"/>
  <c r="L615" i="22"/>
  <c r="L616" i="22"/>
  <c r="L617" i="22"/>
  <c r="L618" i="22"/>
  <c r="L619" i="22"/>
  <c r="L620" i="22"/>
  <c r="L621" i="22"/>
  <c r="L622" i="22"/>
  <c r="L623" i="22"/>
  <c r="L624" i="22"/>
  <c r="L625" i="22"/>
  <c r="L626" i="22"/>
  <c r="L627" i="22"/>
  <c r="L628" i="22"/>
  <c r="L629" i="22"/>
  <c r="L630" i="22"/>
  <c r="L631" i="22"/>
  <c r="L632" i="22"/>
  <c r="L633" i="22"/>
  <c r="L634" i="22"/>
  <c r="L635" i="22"/>
  <c r="L636" i="22"/>
  <c r="L637" i="22"/>
  <c r="L638" i="22"/>
  <c r="L639" i="22"/>
  <c r="L640" i="22"/>
  <c r="L641" i="22"/>
  <c r="L642" i="22"/>
  <c r="L643" i="22"/>
  <c r="L644" i="22"/>
  <c r="L645" i="22"/>
  <c r="L646" i="22"/>
  <c r="L647" i="22"/>
  <c r="L648" i="22"/>
  <c r="L649" i="22"/>
  <c r="L650" i="22"/>
  <c r="L651" i="22"/>
  <c r="L652" i="22"/>
  <c r="L653" i="22"/>
  <c r="L654" i="22"/>
  <c r="L655" i="22"/>
  <c r="L656" i="22"/>
  <c r="L657" i="22"/>
  <c r="L658" i="22"/>
  <c r="L659" i="22"/>
  <c r="L660" i="22"/>
  <c r="L661" i="22"/>
  <c r="L662" i="22"/>
  <c r="L663" i="22"/>
  <c r="L664" i="22"/>
  <c r="L665" i="22"/>
  <c r="L666" i="22"/>
  <c r="L667" i="22"/>
  <c r="L668" i="22"/>
  <c r="L669" i="22"/>
  <c r="L670" i="22"/>
  <c r="L671" i="22"/>
  <c r="L672" i="22"/>
  <c r="L673" i="22"/>
  <c r="L674" i="22"/>
  <c r="L675" i="22"/>
  <c r="L676" i="22"/>
  <c r="L677" i="22"/>
  <c r="L678" i="22"/>
  <c r="L679" i="22"/>
  <c r="L680" i="22"/>
  <c r="L681" i="22"/>
  <c r="L682" i="22"/>
  <c r="L683" i="22"/>
  <c r="L684" i="22"/>
  <c r="L685" i="22"/>
  <c r="L686" i="22"/>
  <c r="L687" i="22"/>
  <c r="L688" i="22"/>
  <c r="L689" i="22"/>
  <c r="L690" i="22"/>
  <c r="L691" i="22"/>
  <c r="L692" i="22"/>
  <c r="L693" i="22"/>
  <c r="L694" i="22"/>
  <c r="L695" i="22"/>
  <c r="L696" i="22"/>
  <c r="L697" i="22"/>
  <c r="L698" i="22"/>
  <c r="L699" i="22"/>
  <c r="L700" i="22"/>
  <c r="L701" i="22"/>
  <c r="L702" i="22"/>
  <c r="L703" i="22"/>
  <c r="L704" i="22"/>
  <c r="L705" i="22"/>
  <c r="L706" i="22"/>
  <c r="L707" i="22"/>
  <c r="L708" i="22"/>
  <c r="L709" i="22"/>
  <c r="L710" i="22"/>
  <c r="L711" i="22"/>
  <c r="L712" i="22"/>
  <c r="L713" i="22"/>
  <c r="L714" i="22"/>
  <c r="L715" i="22"/>
  <c r="L716" i="22"/>
  <c r="L717" i="22"/>
  <c r="L718" i="22"/>
  <c r="L719" i="22"/>
  <c r="L720" i="22"/>
  <c r="L721" i="22"/>
  <c r="L722" i="22"/>
  <c r="L723" i="22"/>
  <c r="L724" i="22"/>
  <c r="L725" i="22"/>
  <c r="L726" i="22"/>
  <c r="L727" i="22"/>
  <c r="L728" i="22"/>
  <c r="L729" i="22"/>
  <c r="L730" i="22"/>
  <c r="L731" i="22"/>
  <c r="L732" i="22"/>
  <c r="L733" i="22"/>
  <c r="L734" i="22"/>
  <c r="L735" i="22"/>
  <c r="L736" i="22"/>
  <c r="L737" i="22"/>
  <c r="L738" i="22"/>
  <c r="L739" i="22"/>
  <c r="L740" i="22"/>
  <c r="L741" i="22"/>
  <c r="L742" i="22"/>
  <c r="L743" i="22"/>
  <c r="L744" i="22"/>
  <c r="L745" i="22"/>
  <c r="L746" i="22"/>
  <c r="L747" i="22"/>
  <c r="L748" i="22"/>
  <c r="L749" i="22"/>
  <c r="L750" i="22"/>
  <c r="L751" i="22"/>
  <c r="L752" i="22"/>
  <c r="L753" i="22"/>
  <c r="L754" i="22"/>
  <c r="L755" i="22"/>
  <c r="L756" i="22"/>
  <c r="L757" i="22"/>
  <c r="L758" i="22"/>
  <c r="L759" i="22"/>
  <c r="L760" i="22"/>
  <c r="L761" i="22"/>
  <c r="L762" i="22"/>
  <c r="L763" i="22"/>
  <c r="L764" i="22"/>
  <c r="L765" i="22"/>
  <c r="L766" i="22"/>
  <c r="L767" i="22"/>
  <c r="L768" i="22"/>
  <c r="L769" i="22"/>
  <c r="L770" i="22"/>
  <c r="L771" i="22"/>
  <c r="L772" i="22"/>
  <c r="L773" i="22"/>
  <c r="L774" i="22"/>
  <c r="L775" i="22"/>
  <c r="L776" i="22"/>
  <c r="L777" i="22"/>
  <c r="L778" i="22"/>
  <c r="L779" i="22"/>
  <c r="L780" i="22"/>
  <c r="L781" i="22"/>
  <c r="L782" i="22"/>
  <c r="L783" i="22"/>
  <c r="L784" i="22"/>
  <c r="L785" i="22"/>
  <c r="L786" i="22"/>
  <c r="L787" i="22"/>
  <c r="L788" i="22"/>
  <c r="L789" i="22"/>
  <c r="L790" i="22"/>
  <c r="L791" i="22"/>
  <c r="L792" i="22"/>
  <c r="L793" i="22"/>
  <c r="L794" i="22"/>
  <c r="L795" i="22"/>
  <c r="L796" i="22"/>
  <c r="L797" i="22"/>
  <c r="L798" i="22"/>
  <c r="L799" i="22"/>
  <c r="L800" i="22"/>
  <c r="L801" i="22"/>
  <c r="L802" i="22"/>
  <c r="L803" i="22"/>
  <c r="L804" i="22"/>
  <c r="L805" i="22"/>
  <c r="L806" i="22"/>
  <c r="L807" i="22"/>
  <c r="L808" i="22"/>
  <c r="L809" i="22"/>
  <c r="L810" i="22"/>
  <c r="L811" i="22"/>
  <c r="L812" i="22"/>
  <c r="L813" i="22"/>
  <c r="L814" i="22"/>
  <c r="L815" i="22"/>
  <c r="L816" i="22"/>
  <c r="L817" i="22"/>
  <c r="L818" i="22"/>
  <c r="L819" i="22"/>
  <c r="L820" i="22"/>
  <c r="L821" i="22"/>
  <c r="L822" i="22"/>
  <c r="L823" i="22"/>
  <c r="L824" i="22"/>
  <c r="L825" i="22"/>
  <c r="L826" i="22"/>
  <c r="L827" i="22"/>
  <c r="L828" i="22"/>
  <c r="L829" i="22"/>
  <c r="L830" i="22"/>
  <c r="L831" i="22"/>
  <c r="L832" i="22"/>
  <c r="L833" i="22"/>
  <c r="L834" i="22"/>
  <c r="L835" i="22"/>
  <c r="L836" i="22"/>
  <c r="L837" i="22"/>
  <c r="L838" i="22"/>
  <c r="L839" i="22"/>
  <c r="L840" i="22"/>
  <c r="L841" i="22"/>
  <c r="L842" i="22"/>
  <c r="L843" i="22"/>
  <c r="L844" i="22"/>
  <c r="L845" i="22"/>
  <c r="L846" i="22"/>
  <c r="L847" i="22"/>
  <c r="L848" i="22"/>
  <c r="L849" i="22"/>
  <c r="L850" i="22"/>
  <c r="L851" i="22"/>
  <c r="L852" i="22"/>
  <c r="L853" i="22"/>
  <c r="L854" i="22"/>
  <c r="L855" i="22"/>
  <c r="L856" i="22"/>
  <c r="L857" i="22"/>
  <c r="L858" i="22"/>
  <c r="L859" i="22"/>
  <c r="L860" i="22"/>
  <c r="L861" i="22"/>
  <c r="L862" i="22"/>
  <c r="L863" i="22"/>
  <c r="L864" i="22"/>
  <c r="L865" i="22"/>
  <c r="L866" i="22"/>
  <c r="L867" i="22"/>
  <c r="L868" i="22"/>
  <c r="L869" i="22"/>
  <c r="L870" i="22"/>
  <c r="L871" i="22"/>
  <c r="L872" i="22"/>
  <c r="L873" i="22"/>
  <c r="L874" i="22"/>
  <c r="L875" i="22"/>
  <c r="L876" i="22"/>
  <c r="L877" i="22"/>
  <c r="L878" i="22"/>
  <c r="L879" i="22"/>
  <c r="L880" i="22"/>
  <c r="L881" i="22"/>
  <c r="L882" i="22"/>
  <c r="L883" i="22"/>
  <c r="L884" i="22"/>
  <c r="L885" i="22"/>
  <c r="L886" i="22"/>
  <c r="L887" i="22"/>
  <c r="L888" i="22"/>
  <c r="L889" i="22"/>
  <c r="L890" i="22"/>
  <c r="L891" i="22"/>
  <c r="L892" i="22"/>
  <c r="L893" i="22"/>
  <c r="L894" i="22"/>
  <c r="L895" i="22"/>
  <c r="L896" i="22"/>
  <c r="L897" i="22"/>
  <c r="L898" i="22"/>
  <c r="L899" i="22"/>
  <c r="L900" i="22"/>
  <c r="L901" i="22"/>
  <c r="L902" i="22"/>
  <c r="L903" i="22"/>
  <c r="L904" i="22"/>
  <c r="L905" i="22"/>
  <c r="L906" i="22"/>
  <c r="L907" i="22"/>
  <c r="L908" i="22"/>
  <c r="L909" i="22"/>
  <c r="L910" i="22"/>
  <c r="L911" i="22"/>
  <c r="L912" i="22"/>
  <c r="L913" i="22"/>
  <c r="L914" i="22"/>
  <c r="L915" i="22"/>
  <c r="L916" i="22"/>
  <c r="L917" i="22"/>
  <c r="L918" i="22"/>
  <c r="L919" i="22"/>
  <c r="L920" i="22"/>
  <c r="L921" i="22"/>
  <c r="L922" i="22"/>
  <c r="L923" i="22"/>
  <c r="L924" i="22"/>
  <c r="L925" i="22"/>
  <c r="L926" i="22"/>
  <c r="L927" i="22"/>
  <c r="L928" i="22"/>
  <c r="L929" i="22"/>
  <c r="L930" i="22"/>
  <c r="L931" i="22"/>
  <c r="L932" i="22"/>
  <c r="L933" i="22"/>
  <c r="L934" i="22"/>
  <c r="L935" i="22"/>
  <c r="L936" i="22"/>
  <c r="L937" i="22"/>
  <c r="L938" i="22"/>
  <c r="L939" i="22"/>
  <c r="L940" i="22"/>
  <c r="L941" i="22"/>
  <c r="L942" i="22"/>
  <c r="L943" i="22"/>
  <c r="L944" i="22"/>
  <c r="L945" i="22"/>
  <c r="L946" i="22"/>
  <c r="L947" i="22"/>
  <c r="L948" i="22"/>
  <c r="L949" i="22"/>
  <c r="L950" i="22"/>
  <c r="L951" i="22"/>
  <c r="L952" i="22"/>
  <c r="L953" i="22"/>
  <c r="L954" i="22"/>
  <c r="L955" i="22"/>
  <c r="L956" i="22"/>
  <c r="L957" i="22"/>
  <c r="L958" i="22"/>
  <c r="L959" i="22"/>
  <c r="L960" i="22"/>
  <c r="L961" i="22"/>
  <c r="L962" i="22"/>
  <c r="L963" i="22"/>
  <c r="L964" i="22"/>
  <c r="L965" i="22"/>
  <c r="L966" i="22"/>
  <c r="L967" i="22"/>
  <c r="L968" i="22"/>
  <c r="L969" i="22"/>
  <c r="L970" i="22"/>
  <c r="L971" i="22"/>
  <c r="L972" i="22"/>
  <c r="L973" i="22"/>
  <c r="L974" i="22"/>
  <c r="L975" i="22"/>
  <c r="L976" i="22"/>
  <c r="L977" i="22"/>
  <c r="L978" i="22"/>
  <c r="L979" i="22"/>
  <c r="L980" i="22"/>
  <c r="L981" i="22"/>
  <c r="L982" i="22"/>
  <c r="L983" i="22"/>
  <c r="L984" i="22"/>
  <c r="L985" i="22"/>
  <c r="L986" i="22"/>
  <c r="L987" i="22"/>
  <c r="L988" i="22"/>
  <c r="L989" i="22"/>
  <c r="L990" i="22"/>
  <c r="L991" i="22"/>
  <c r="L992" i="22"/>
  <c r="L993" i="22"/>
  <c r="L994" i="22"/>
  <c r="L995" i="22"/>
  <c r="L996" i="22"/>
  <c r="L997" i="22"/>
  <c r="L998" i="22"/>
  <c r="L999" i="22"/>
  <c r="L1000" i="22"/>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49" i="21"/>
  <c r="L50" i="21"/>
  <c r="L51" i="21"/>
  <c r="L52" i="21"/>
  <c r="L53" i="21"/>
  <c r="L54" i="21"/>
  <c r="L55" i="21"/>
  <c r="L56" i="21"/>
  <c r="L57" i="21"/>
  <c r="L58" i="21"/>
  <c r="L59" i="21"/>
  <c r="L60" i="21"/>
  <c r="L61" i="21"/>
  <c r="L62" i="21"/>
  <c r="L63" i="21"/>
  <c r="L64" i="21"/>
  <c r="L65" i="21"/>
  <c r="L66" i="21"/>
  <c r="L67" i="21"/>
  <c r="L68" i="21"/>
  <c r="L69" i="21"/>
  <c r="L70" i="21"/>
  <c r="L71" i="21"/>
  <c r="L72" i="21"/>
  <c r="L73" i="21"/>
  <c r="L74" i="21"/>
  <c r="L75" i="21"/>
  <c r="L76" i="21"/>
  <c r="L77" i="21"/>
  <c r="L78" i="21"/>
  <c r="L79" i="21"/>
  <c r="L80" i="21"/>
  <c r="L81" i="21"/>
  <c r="L82" i="21"/>
  <c r="L83" i="21"/>
  <c r="L84" i="21"/>
  <c r="L85" i="21"/>
  <c r="L86" i="21"/>
  <c r="L87" i="21"/>
  <c r="L88" i="21"/>
  <c r="L89" i="21"/>
  <c r="L90" i="21"/>
  <c r="L91" i="21"/>
  <c r="L92" i="21"/>
  <c r="L93" i="21"/>
  <c r="L94" i="21"/>
  <c r="L95" i="21"/>
  <c r="L96" i="21"/>
  <c r="L97" i="21"/>
  <c r="L98" i="21"/>
  <c r="L99" i="21"/>
  <c r="L100" i="21"/>
  <c r="L101" i="21"/>
  <c r="L102" i="21"/>
  <c r="L103" i="21"/>
  <c r="L104" i="21"/>
  <c r="L105" i="21"/>
  <c r="L106" i="21"/>
  <c r="L107" i="21"/>
  <c r="L108" i="21"/>
  <c r="L109" i="21"/>
  <c r="L110" i="21"/>
  <c r="L111" i="21"/>
  <c r="L112" i="21"/>
  <c r="L113" i="21"/>
  <c r="L114" i="21"/>
  <c r="L115" i="21"/>
  <c r="L116" i="21"/>
  <c r="L117" i="21"/>
  <c r="L118" i="21"/>
  <c r="L119" i="21"/>
  <c r="L120" i="21"/>
  <c r="L121" i="21"/>
  <c r="L122" i="21"/>
  <c r="L123" i="21"/>
  <c r="L124" i="21"/>
  <c r="L125" i="21"/>
  <c r="L126" i="21"/>
  <c r="L127" i="21"/>
  <c r="L128" i="21"/>
  <c r="L129" i="21"/>
  <c r="L130" i="21"/>
  <c r="L131" i="21"/>
  <c r="L132" i="21"/>
  <c r="L133" i="21"/>
  <c r="L134" i="21"/>
  <c r="L135" i="21"/>
  <c r="L136" i="21"/>
  <c r="L137" i="21"/>
  <c r="L138" i="21"/>
  <c r="L139" i="21"/>
  <c r="L140" i="21"/>
  <c r="L141" i="21"/>
  <c r="L142" i="21"/>
  <c r="L143" i="21"/>
  <c r="L144" i="21"/>
  <c r="L145" i="21"/>
  <c r="L146" i="21"/>
  <c r="L147" i="21"/>
  <c r="L148" i="21"/>
  <c r="L149" i="21"/>
  <c r="L150" i="21"/>
  <c r="L151" i="21"/>
  <c r="L152" i="21"/>
  <c r="L153" i="21"/>
  <c r="L154" i="21"/>
  <c r="L155" i="21"/>
  <c r="L156" i="21"/>
  <c r="L157" i="21"/>
  <c r="L158" i="21"/>
  <c r="L159" i="21"/>
  <c r="L160" i="21"/>
  <c r="L161" i="21"/>
  <c r="L162" i="21"/>
  <c r="L163" i="21"/>
  <c r="L164" i="21"/>
  <c r="L165" i="21"/>
  <c r="L166" i="21"/>
  <c r="L167" i="21"/>
  <c r="L168" i="21"/>
  <c r="L169" i="21"/>
  <c r="L170" i="21"/>
  <c r="L171" i="21"/>
  <c r="L172" i="21"/>
  <c r="L173" i="21"/>
  <c r="L174" i="21"/>
  <c r="L175" i="21"/>
  <c r="L176" i="21"/>
  <c r="L177" i="21"/>
  <c r="L178" i="21"/>
  <c r="L179" i="21"/>
  <c r="L180" i="21"/>
  <c r="L181" i="21"/>
  <c r="L182" i="21"/>
  <c r="L183" i="21"/>
  <c r="L184" i="21"/>
  <c r="L185" i="21"/>
  <c r="L186" i="21"/>
  <c r="L187" i="21"/>
  <c r="L188" i="21"/>
  <c r="L189" i="21"/>
  <c r="L190" i="21"/>
  <c r="L191" i="21"/>
  <c r="L192" i="21"/>
  <c r="L193" i="21"/>
  <c r="L194" i="21"/>
  <c r="L195" i="21"/>
  <c r="L196" i="21"/>
  <c r="L197" i="21"/>
  <c r="L198" i="21"/>
  <c r="L199" i="21"/>
  <c r="L200" i="21"/>
  <c r="L201" i="21"/>
  <c r="L202" i="21"/>
  <c r="L203" i="21"/>
  <c r="L204" i="21"/>
  <c r="L205" i="21"/>
  <c r="L206" i="21"/>
  <c r="L207" i="21"/>
  <c r="L208" i="21"/>
  <c r="L209" i="21"/>
  <c r="L210" i="21"/>
  <c r="L211" i="21"/>
  <c r="L212" i="21"/>
  <c r="L213" i="21"/>
  <c r="L214" i="21"/>
  <c r="L215" i="21"/>
  <c r="L216" i="21"/>
  <c r="L217" i="21"/>
  <c r="L218" i="21"/>
  <c r="L219" i="21"/>
  <c r="L220" i="21"/>
  <c r="L221" i="21"/>
  <c r="L222" i="21"/>
  <c r="L223" i="21"/>
  <c r="L224" i="21"/>
  <c r="L225" i="21"/>
  <c r="L226" i="21"/>
  <c r="L227" i="21"/>
  <c r="L228" i="21"/>
  <c r="L229" i="21"/>
  <c r="L230" i="21"/>
  <c r="L231" i="21"/>
  <c r="L232" i="21"/>
  <c r="L233" i="21"/>
  <c r="L234" i="21"/>
  <c r="L235" i="21"/>
  <c r="L236" i="21"/>
  <c r="L237" i="21"/>
  <c r="L238" i="21"/>
  <c r="L239" i="21"/>
  <c r="L240" i="21"/>
  <c r="L241" i="21"/>
  <c r="L242" i="21"/>
  <c r="L243" i="21"/>
  <c r="L244" i="21"/>
  <c r="L245" i="21"/>
  <c r="L246" i="21"/>
  <c r="L247" i="21"/>
  <c r="L248" i="21"/>
  <c r="L249" i="21"/>
  <c r="L250" i="21"/>
  <c r="L251" i="21"/>
  <c r="L252" i="21"/>
  <c r="L253" i="21"/>
  <c r="L254" i="21"/>
  <c r="L255" i="21"/>
  <c r="L256" i="21"/>
  <c r="L257" i="21"/>
  <c r="L258" i="21"/>
  <c r="L259" i="21"/>
  <c r="L260" i="21"/>
  <c r="L261" i="21"/>
  <c r="L262" i="21"/>
  <c r="L263" i="21"/>
  <c r="L264" i="21"/>
  <c r="L265" i="21"/>
  <c r="L266" i="21"/>
  <c r="L267" i="21"/>
  <c r="L268" i="21"/>
  <c r="L269" i="21"/>
  <c r="L270" i="21"/>
  <c r="L271" i="21"/>
  <c r="L272" i="21"/>
  <c r="L273" i="21"/>
  <c r="L274" i="21"/>
  <c r="L275" i="21"/>
  <c r="L276" i="21"/>
  <c r="L277" i="21"/>
  <c r="L278" i="21"/>
  <c r="L279" i="21"/>
  <c r="L280" i="21"/>
  <c r="L281" i="21"/>
  <c r="L282" i="21"/>
  <c r="L283" i="21"/>
  <c r="L284" i="21"/>
  <c r="L285" i="21"/>
  <c r="L286" i="21"/>
  <c r="L287" i="21"/>
  <c r="L288" i="21"/>
  <c r="L289" i="21"/>
  <c r="L290" i="21"/>
  <c r="L291" i="21"/>
  <c r="L292" i="21"/>
  <c r="L293" i="21"/>
  <c r="L294" i="21"/>
  <c r="L295" i="21"/>
  <c r="L296" i="21"/>
  <c r="L297" i="21"/>
  <c r="L298" i="21"/>
  <c r="L299" i="21"/>
  <c r="L300" i="21"/>
  <c r="L301" i="21"/>
  <c r="L302" i="21"/>
  <c r="L303" i="21"/>
  <c r="L304" i="21"/>
  <c r="L305" i="21"/>
  <c r="L306" i="21"/>
  <c r="L307" i="21"/>
  <c r="L308" i="21"/>
  <c r="L309" i="21"/>
  <c r="L310" i="21"/>
  <c r="L311" i="21"/>
  <c r="L312" i="21"/>
  <c r="L313" i="21"/>
  <c r="L314" i="21"/>
  <c r="L315" i="21"/>
  <c r="L316" i="21"/>
  <c r="L317" i="21"/>
  <c r="L318" i="21"/>
  <c r="L319" i="21"/>
  <c r="L320" i="21"/>
  <c r="L321" i="21"/>
  <c r="L322" i="21"/>
  <c r="L323" i="21"/>
  <c r="L324" i="21"/>
  <c r="L325" i="21"/>
  <c r="L326" i="21"/>
  <c r="L327" i="21"/>
  <c r="L328" i="21"/>
  <c r="L329" i="21"/>
  <c r="L330" i="21"/>
  <c r="L331" i="21"/>
  <c r="L332" i="21"/>
  <c r="L333" i="21"/>
  <c r="L334" i="21"/>
  <c r="L335" i="21"/>
  <c r="L336" i="21"/>
  <c r="L337" i="21"/>
  <c r="L338" i="21"/>
  <c r="L339" i="21"/>
  <c r="L340" i="21"/>
  <c r="L341" i="21"/>
  <c r="L342" i="21"/>
  <c r="L343" i="21"/>
  <c r="L344" i="21"/>
  <c r="L345" i="21"/>
  <c r="L346" i="21"/>
  <c r="L347" i="21"/>
  <c r="L348" i="21"/>
  <c r="L349" i="21"/>
  <c r="L350" i="21"/>
  <c r="L351" i="21"/>
  <c r="L352" i="21"/>
  <c r="L353" i="21"/>
  <c r="L354" i="21"/>
  <c r="L355" i="21"/>
  <c r="L356" i="21"/>
  <c r="L357" i="21"/>
  <c r="L358" i="21"/>
  <c r="L359" i="21"/>
  <c r="L360" i="21"/>
  <c r="L361" i="21"/>
  <c r="L362" i="21"/>
  <c r="L363" i="21"/>
  <c r="L364" i="21"/>
  <c r="L365" i="21"/>
  <c r="L366" i="21"/>
  <c r="L367" i="21"/>
  <c r="L368" i="21"/>
  <c r="L369" i="21"/>
  <c r="L370" i="21"/>
  <c r="L371" i="21"/>
  <c r="L372" i="21"/>
  <c r="L373" i="21"/>
  <c r="L374" i="21"/>
  <c r="L375" i="21"/>
  <c r="L376" i="21"/>
  <c r="L377" i="21"/>
  <c r="L378" i="21"/>
  <c r="L379" i="21"/>
  <c r="L380" i="21"/>
  <c r="L381" i="21"/>
  <c r="L382" i="21"/>
  <c r="L383" i="21"/>
  <c r="L384" i="21"/>
  <c r="L385" i="21"/>
  <c r="L386" i="21"/>
  <c r="L387" i="21"/>
  <c r="L388" i="21"/>
  <c r="L389" i="21"/>
  <c r="L390" i="21"/>
  <c r="L391" i="21"/>
  <c r="L392" i="21"/>
  <c r="L393" i="21"/>
  <c r="L394" i="21"/>
  <c r="L395" i="21"/>
  <c r="L396" i="21"/>
  <c r="L397" i="21"/>
  <c r="L398" i="21"/>
  <c r="L399" i="21"/>
  <c r="L400" i="21"/>
  <c r="L401" i="21"/>
  <c r="L402" i="21"/>
  <c r="L403" i="21"/>
  <c r="L404" i="21"/>
  <c r="L405" i="21"/>
  <c r="L406" i="21"/>
  <c r="L407" i="21"/>
  <c r="L408" i="21"/>
  <c r="L409" i="21"/>
  <c r="L410" i="21"/>
  <c r="L411" i="21"/>
  <c r="L412" i="21"/>
  <c r="L413" i="21"/>
  <c r="L414" i="21"/>
  <c r="L415" i="21"/>
  <c r="L416" i="21"/>
  <c r="L417" i="21"/>
  <c r="L418" i="21"/>
  <c r="L419" i="21"/>
  <c r="L420" i="21"/>
  <c r="L421" i="21"/>
  <c r="L422" i="21"/>
  <c r="L423" i="21"/>
  <c r="L424" i="21"/>
  <c r="L425" i="21"/>
  <c r="L426" i="21"/>
  <c r="L427" i="21"/>
  <c r="L428" i="21"/>
  <c r="L429" i="21"/>
  <c r="L430" i="21"/>
  <c r="L431" i="21"/>
  <c r="L432" i="21"/>
  <c r="L433" i="21"/>
  <c r="L434" i="21"/>
  <c r="L435" i="21"/>
  <c r="L436" i="21"/>
  <c r="L437" i="21"/>
  <c r="L438" i="21"/>
  <c r="L439" i="21"/>
  <c r="L440" i="21"/>
  <c r="L441" i="21"/>
  <c r="L442" i="21"/>
  <c r="L443" i="21"/>
  <c r="L444" i="21"/>
  <c r="L445" i="21"/>
  <c r="L446" i="21"/>
  <c r="L447" i="21"/>
  <c r="L448" i="21"/>
  <c r="L449" i="21"/>
  <c r="L450" i="21"/>
  <c r="L451" i="21"/>
  <c r="L452" i="21"/>
  <c r="L453" i="21"/>
  <c r="L454" i="21"/>
  <c r="L455" i="21"/>
  <c r="L456" i="21"/>
  <c r="L457" i="21"/>
  <c r="L458" i="21"/>
  <c r="L459" i="21"/>
  <c r="L460" i="21"/>
  <c r="L461" i="21"/>
  <c r="L462" i="21"/>
  <c r="L463" i="21"/>
  <c r="L464" i="21"/>
  <c r="L465" i="21"/>
  <c r="L466" i="21"/>
  <c r="L467" i="21"/>
  <c r="L468" i="21"/>
  <c r="L469" i="21"/>
  <c r="L470" i="21"/>
  <c r="L471" i="21"/>
  <c r="L472" i="21"/>
  <c r="L473" i="21"/>
  <c r="L474" i="21"/>
  <c r="L475" i="21"/>
  <c r="L476" i="21"/>
  <c r="L477" i="21"/>
  <c r="L478" i="21"/>
  <c r="L479" i="21"/>
  <c r="L480" i="21"/>
  <c r="L481" i="21"/>
  <c r="L482" i="21"/>
  <c r="L483" i="21"/>
  <c r="L484" i="21"/>
  <c r="L485" i="21"/>
  <c r="L486" i="21"/>
  <c r="L487" i="21"/>
  <c r="L488" i="21"/>
  <c r="L489" i="21"/>
  <c r="L490" i="21"/>
  <c r="L491" i="21"/>
  <c r="L492" i="21"/>
  <c r="L493" i="21"/>
  <c r="L494" i="21"/>
  <c r="L495" i="21"/>
  <c r="L496" i="21"/>
  <c r="L497" i="21"/>
  <c r="L498" i="21"/>
  <c r="L499" i="21"/>
  <c r="L500" i="21"/>
  <c r="L501" i="21"/>
  <c r="L502" i="21"/>
  <c r="L503" i="21"/>
  <c r="L504" i="21"/>
  <c r="L505" i="21"/>
  <c r="L506" i="21"/>
  <c r="L507" i="21"/>
  <c r="L508" i="21"/>
  <c r="L509" i="21"/>
  <c r="L510" i="21"/>
  <c r="L511" i="21"/>
  <c r="L512" i="21"/>
  <c r="L513" i="21"/>
  <c r="L514" i="21"/>
  <c r="L515" i="21"/>
  <c r="L516" i="21"/>
  <c r="L517" i="21"/>
  <c r="L518" i="21"/>
  <c r="L519" i="21"/>
  <c r="L520" i="21"/>
  <c r="L521" i="21"/>
  <c r="L522" i="21"/>
  <c r="L523" i="21"/>
  <c r="L524" i="21"/>
  <c r="L525" i="21"/>
  <c r="L526" i="21"/>
  <c r="L527" i="21"/>
  <c r="L528" i="21"/>
  <c r="L529" i="21"/>
  <c r="L530" i="21"/>
  <c r="L531" i="21"/>
  <c r="L532" i="21"/>
  <c r="L533" i="21"/>
  <c r="L534" i="21"/>
  <c r="L535" i="21"/>
  <c r="L536" i="21"/>
  <c r="L537" i="21"/>
  <c r="L538" i="21"/>
  <c r="L539" i="21"/>
  <c r="L540" i="21"/>
  <c r="L541" i="21"/>
  <c r="L542" i="21"/>
  <c r="L543" i="21"/>
  <c r="L544" i="21"/>
  <c r="L545" i="21"/>
  <c r="L546" i="21"/>
  <c r="L547" i="21"/>
  <c r="L548" i="21"/>
  <c r="L549" i="21"/>
  <c r="L550" i="21"/>
  <c r="L551" i="21"/>
  <c r="L552" i="21"/>
  <c r="L553" i="21"/>
  <c r="L554" i="21"/>
  <c r="L555" i="21"/>
  <c r="L556" i="21"/>
  <c r="L557" i="21"/>
  <c r="L558" i="21"/>
  <c r="L559" i="21"/>
  <c r="L560" i="21"/>
  <c r="L561" i="21"/>
  <c r="L562" i="21"/>
  <c r="L563" i="21"/>
  <c r="L564" i="21"/>
  <c r="L565" i="21"/>
  <c r="L566" i="21"/>
  <c r="L567" i="21"/>
  <c r="L568" i="21"/>
  <c r="L569" i="21"/>
  <c r="L570" i="21"/>
  <c r="L571" i="21"/>
  <c r="L572" i="21"/>
  <c r="L573" i="21"/>
  <c r="L574" i="21"/>
  <c r="L575" i="21"/>
  <c r="L576" i="21"/>
  <c r="L577" i="21"/>
  <c r="L578" i="21"/>
  <c r="L579" i="21"/>
  <c r="L580" i="21"/>
  <c r="L581" i="21"/>
  <c r="L582" i="21"/>
  <c r="L583" i="21"/>
  <c r="L584" i="21"/>
  <c r="L585" i="21"/>
  <c r="L586" i="21"/>
  <c r="L587" i="21"/>
  <c r="L588" i="21"/>
  <c r="L589" i="21"/>
  <c r="L590" i="21"/>
  <c r="L591" i="21"/>
  <c r="L592" i="21"/>
  <c r="L593" i="21"/>
  <c r="L594" i="21"/>
  <c r="L595" i="21"/>
  <c r="L596" i="21"/>
  <c r="L597" i="21"/>
  <c r="L598" i="21"/>
  <c r="L599" i="21"/>
  <c r="L600" i="21"/>
  <c r="L601" i="21"/>
  <c r="L602" i="21"/>
  <c r="L603" i="21"/>
  <c r="L604" i="21"/>
  <c r="L605" i="21"/>
  <c r="L606" i="21"/>
  <c r="L607" i="21"/>
  <c r="L608" i="21"/>
  <c r="L609" i="21"/>
  <c r="L610" i="21"/>
  <c r="L611" i="21"/>
  <c r="L612" i="21"/>
  <c r="L613" i="21"/>
  <c r="L614" i="21"/>
  <c r="L615" i="21"/>
  <c r="L616" i="21"/>
  <c r="L617" i="21"/>
  <c r="L618" i="21"/>
  <c r="L619" i="21"/>
  <c r="L620" i="21"/>
  <c r="L621" i="21"/>
  <c r="L622" i="21"/>
  <c r="L623" i="21"/>
  <c r="L624" i="21"/>
  <c r="L625" i="21"/>
  <c r="L626" i="21"/>
  <c r="L627" i="21"/>
  <c r="L628" i="21"/>
  <c r="L629" i="21"/>
  <c r="L630" i="21"/>
  <c r="L631" i="21"/>
  <c r="L632" i="21"/>
  <c r="L633" i="21"/>
  <c r="L634" i="21"/>
  <c r="L635" i="21"/>
  <c r="L636" i="21"/>
  <c r="L637" i="21"/>
  <c r="L638" i="21"/>
  <c r="L639" i="21"/>
  <c r="L640" i="21"/>
  <c r="L641" i="21"/>
  <c r="L642" i="21"/>
  <c r="L643" i="21"/>
  <c r="L644" i="21"/>
  <c r="L645" i="21"/>
  <c r="L646" i="21"/>
  <c r="L647" i="21"/>
  <c r="L648" i="21"/>
  <c r="L649" i="21"/>
  <c r="L650" i="21"/>
  <c r="L651" i="21"/>
  <c r="L652" i="21"/>
  <c r="L653" i="21"/>
  <c r="L654" i="21"/>
  <c r="L655" i="21"/>
  <c r="L656" i="21"/>
  <c r="L657" i="21"/>
  <c r="L658" i="21"/>
  <c r="L659" i="21"/>
  <c r="L660" i="21"/>
  <c r="L661" i="21"/>
  <c r="L662" i="21"/>
  <c r="L663" i="21"/>
  <c r="L664" i="21"/>
  <c r="L665" i="21"/>
  <c r="L666" i="21"/>
  <c r="L667" i="21"/>
  <c r="L668" i="21"/>
  <c r="L669" i="21"/>
  <c r="L670" i="21"/>
  <c r="L671" i="21"/>
  <c r="L672" i="21"/>
  <c r="L673" i="21"/>
  <c r="L674" i="21"/>
  <c r="L675" i="21"/>
  <c r="L676" i="21"/>
  <c r="L677" i="21"/>
  <c r="L678" i="21"/>
  <c r="L679" i="21"/>
  <c r="L680" i="21"/>
  <c r="L681" i="21"/>
  <c r="L682" i="21"/>
  <c r="L683" i="21"/>
  <c r="L684" i="21"/>
  <c r="L685" i="21"/>
  <c r="L686" i="21"/>
  <c r="L687" i="21"/>
  <c r="L688" i="21"/>
  <c r="L689" i="21"/>
  <c r="L690" i="21"/>
  <c r="L691" i="21"/>
  <c r="L692" i="21"/>
  <c r="L693" i="21"/>
  <c r="L694" i="21"/>
  <c r="L695" i="21"/>
  <c r="L696" i="21"/>
  <c r="L697" i="21"/>
  <c r="L698" i="21"/>
  <c r="L699" i="21"/>
  <c r="L700" i="21"/>
  <c r="L701" i="21"/>
  <c r="L702" i="21"/>
  <c r="L703" i="21"/>
  <c r="L704" i="21"/>
  <c r="L705" i="21"/>
  <c r="L706" i="21"/>
  <c r="L707" i="21"/>
  <c r="L708" i="21"/>
  <c r="L709" i="21"/>
  <c r="L710" i="21"/>
  <c r="L711" i="21"/>
  <c r="L712" i="21"/>
  <c r="L713" i="21"/>
  <c r="L714" i="21"/>
  <c r="L715" i="21"/>
  <c r="L716" i="21"/>
  <c r="L717" i="21"/>
  <c r="L718" i="21"/>
  <c r="L719" i="21"/>
  <c r="L720" i="21"/>
  <c r="L721" i="21"/>
  <c r="L722" i="21"/>
  <c r="L723" i="21"/>
  <c r="L724" i="21"/>
  <c r="L725" i="21"/>
  <c r="L726" i="21"/>
  <c r="L727" i="21"/>
  <c r="L728" i="21"/>
  <c r="L729" i="21"/>
  <c r="L730" i="21"/>
  <c r="L731" i="21"/>
  <c r="L732" i="21"/>
  <c r="L733" i="21"/>
  <c r="L734" i="21"/>
  <c r="L735" i="21"/>
  <c r="L736" i="21"/>
  <c r="L737" i="21"/>
  <c r="L738" i="21"/>
  <c r="L739" i="21"/>
  <c r="L740" i="21"/>
  <c r="L741" i="21"/>
  <c r="L742" i="21"/>
  <c r="L743" i="21"/>
  <c r="L744" i="21"/>
  <c r="L745" i="21"/>
  <c r="L746" i="21"/>
  <c r="L747" i="21"/>
  <c r="L748" i="21"/>
  <c r="L749" i="21"/>
  <c r="L750" i="21"/>
  <c r="L751" i="21"/>
  <c r="L752" i="21"/>
  <c r="L753" i="21"/>
  <c r="L754" i="21"/>
  <c r="L755" i="21"/>
  <c r="L756" i="21"/>
  <c r="L757" i="21"/>
  <c r="L758" i="21"/>
  <c r="L759" i="21"/>
  <c r="L760" i="21"/>
  <c r="L761" i="21"/>
  <c r="L762" i="21"/>
  <c r="L763" i="21"/>
  <c r="L764" i="21"/>
  <c r="L765" i="21"/>
  <c r="L766" i="21"/>
  <c r="L767" i="21"/>
  <c r="L768" i="21"/>
  <c r="L769" i="21"/>
  <c r="L770" i="21"/>
  <c r="L771" i="21"/>
  <c r="L772" i="21"/>
  <c r="L773" i="21"/>
  <c r="L774" i="21"/>
  <c r="L775" i="21"/>
  <c r="L776" i="21"/>
  <c r="L777" i="21"/>
  <c r="L778" i="21"/>
  <c r="L779" i="21"/>
  <c r="L780" i="21"/>
  <c r="L781" i="21"/>
  <c r="L782" i="21"/>
  <c r="L783" i="21"/>
  <c r="L784" i="21"/>
  <c r="L785" i="21"/>
  <c r="L786" i="21"/>
  <c r="L787" i="21"/>
  <c r="L788" i="21"/>
  <c r="L789" i="21"/>
  <c r="L790" i="21"/>
  <c r="L791" i="21"/>
  <c r="L792" i="21"/>
  <c r="L793" i="21"/>
  <c r="L794" i="21"/>
  <c r="L795" i="21"/>
  <c r="L796" i="21"/>
  <c r="L797" i="21"/>
  <c r="L798" i="21"/>
  <c r="L799" i="21"/>
  <c r="L800" i="21"/>
  <c r="L801" i="21"/>
  <c r="L802" i="21"/>
  <c r="L803" i="21"/>
  <c r="L804" i="21"/>
  <c r="L805" i="21"/>
  <c r="L806" i="21"/>
  <c r="L807" i="21"/>
  <c r="L808" i="21"/>
  <c r="L809" i="21"/>
  <c r="L810" i="21"/>
  <c r="L811" i="21"/>
  <c r="L812" i="21"/>
  <c r="L813" i="21"/>
  <c r="L814" i="21"/>
  <c r="L815" i="21"/>
  <c r="L816" i="21"/>
  <c r="L817" i="21"/>
  <c r="L818" i="21"/>
  <c r="L819" i="21"/>
  <c r="L820" i="21"/>
  <c r="L821" i="21"/>
  <c r="L822" i="21"/>
  <c r="L823" i="21"/>
  <c r="L824" i="21"/>
  <c r="L825" i="21"/>
  <c r="L826" i="21"/>
  <c r="L827" i="21"/>
  <c r="L828" i="21"/>
  <c r="L829" i="21"/>
  <c r="L830" i="21"/>
  <c r="L831" i="21"/>
  <c r="L832" i="21"/>
  <c r="L833" i="21"/>
  <c r="L834" i="21"/>
  <c r="L835" i="21"/>
  <c r="L836" i="21"/>
  <c r="L837" i="21"/>
  <c r="L838" i="21"/>
  <c r="L839" i="21"/>
  <c r="L840" i="21"/>
  <c r="L841" i="21"/>
  <c r="L842" i="21"/>
  <c r="L843" i="21"/>
  <c r="L844" i="21"/>
  <c r="L845" i="21"/>
  <c r="L846" i="21"/>
  <c r="L847" i="21"/>
  <c r="L848" i="21"/>
  <c r="L849" i="21"/>
  <c r="L850" i="21"/>
  <c r="L851" i="21"/>
  <c r="L852" i="21"/>
  <c r="L853" i="21"/>
  <c r="L854" i="21"/>
  <c r="L855" i="21"/>
  <c r="L856" i="21"/>
  <c r="L857" i="21"/>
  <c r="L858" i="21"/>
  <c r="L859" i="21"/>
  <c r="L860" i="21"/>
  <c r="L861" i="21"/>
  <c r="L862" i="21"/>
  <c r="L863" i="21"/>
  <c r="L864" i="21"/>
  <c r="L865" i="21"/>
  <c r="L866" i="21"/>
  <c r="L867" i="21"/>
  <c r="L868" i="21"/>
  <c r="L869" i="21"/>
  <c r="L870" i="21"/>
  <c r="L871" i="21"/>
  <c r="L872" i="21"/>
  <c r="L873" i="21"/>
  <c r="L874" i="21"/>
  <c r="L875" i="21"/>
  <c r="L876" i="21"/>
  <c r="L877" i="21"/>
  <c r="L878" i="21"/>
  <c r="L879" i="21"/>
  <c r="L880" i="21"/>
  <c r="L881" i="21"/>
  <c r="L882" i="21"/>
  <c r="L883" i="21"/>
  <c r="L884" i="21"/>
  <c r="L885" i="21"/>
  <c r="L886" i="21"/>
  <c r="L887" i="21"/>
  <c r="L888" i="21"/>
  <c r="L889" i="21"/>
  <c r="L890" i="21"/>
  <c r="L891" i="21"/>
  <c r="L892" i="21"/>
  <c r="L893" i="21"/>
  <c r="L894" i="21"/>
  <c r="L895" i="21"/>
  <c r="L896" i="21"/>
  <c r="L897" i="21"/>
  <c r="L898" i="21"/>
  <c r="L899" i="21"/>
  <c r="L900" i="21"/>
  <c r="L901" i="21"/>
  <c r="L902" i="21"/>
  <c r="L903" i="21"/>
  <c r="L904" i="21"/>
  <c r="L905" i="21"/>
  <c r="L906" i="21"/>
  <c r="L907" i="21"/>
  <c r="L908" i="21"/>
  <c r="L909" i="21"/>
  <c r="L910" i="21"/>
  <c r="L911" i="21"/>
  <c r="L912" i="21"/>
  <c r="L913" i="21"/>
  <c r="L914" i="21"/>
  <c r="L915" i="21"/>
  <c r="L916" i="21"/>
  <c r="L917" i="21"/>
  <c r="L918" i="21"/>
  <c r="L919" i="21"/>
  <c r="L920" i="21"/>
  <c r="L921" i="21"/>
  <c r="L922" i="21"/>
  <c r="L923" i="21"/>
  <c r="L924" i="21"/>
  <c r="L925" i="21"/>
  <c r="L926" i="21"/>
  <c r="L927" i="21"/>
  <c r="L928" i="21"/>
  <c r="L929" i="21"/>
  <c r="L930" i="21"/>
  <c r="L931" i="21"/>
  <c r="L932" i="21"/>
  <c r="L933" i="21"/>
  <c r="L934" i="21"/>
  <c r="L935" i="21"/>
  <c r="L936" i="21"/>
  <c r="L937" i="21"/>
  <c r="L938" i="21"/>
  <c r="L939" i="21"/>
  <c r="L940" i="21"/>
  <c r="L941" i="21"/>
  <c r="L942" i="21"/>
  <c r="L943" i="21"/>
  <c r="L944" i="21"/>
  <c r="L945" i="21"/>
  <c r="L946" i="21"/>
  <c r="L947" i="21"/>
  <c r="L948" i="21"/>
  <c r="L949" i="21"/>
  <c r="L950" i="21"/>
  <c r="L951" i="21"/>
  <c r="L952" i="21"/>
  <c r="L953" i="21"/>
  <c r="L954" i="21"/>
  <c r="L955" i="21"/>
  <c r="L956" i="21"/>
  <c r="L957" i="21"/>
  <c r="L958" i="21"/>
  <c r="L959" i="21"/>
  <c r="L960" i="21"/>
  <c r="L961" i="21"/>
  <c r="L962" i="21"/>
  <c r="L963" i="21"/>
  <c r="L964" i="21"/>
  <c r="L965" i="21"/>
  <c r="L966" i="21"/>
  <c r="L967" i="21"/>
  <c r="L968" i="21"/>
  <c r="L969" i="21"/>
  <c r="L970" i="21"/>
  <c r="L971" i="21"/>
  <c r="L972" i="21"/>
  <c r="L973" i="21"/>
  <c r="L974" i="21"/>
  <c r="L975" i="21"/>
  <c r="L976" i="21"/>
  <c r="L977" i="21"/>
  <c r="L978" i="21"/>
  <c r="L979" i="21"/>
  <c r="L980" i="21"/>
  <c r="L981" i="21"/>
  <c r="L982" i="21"/>
  <c r="L983" i="21"/>
  <c r="L984" i="21"/>
  <c r="L985" i="21"/>
  <c r="L986" i="21"/>
  <c r="L987" i="21"/>
  <c r="L988" i="21"/>
  <c r="L989" i="21"/>
  <c r="L990" i="21"/>
  <c r="L991" i="21"/>
  <c r="L992" i="21"/>
  <c r="L993" i="21"/>
  <c r="L994" i="21"/>
  <c r="L995" i="21"/>
  <c r="L996" i="21"/>
  <c r="L997" i="21"/>
  <c r="L998" i="21"/>
  <c r="L999" i="21"/>
  <c r="L1000" i="21"/>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3" i="20"/>
  <c r="J584" i="20"/>
  <c r="J585"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5" i="20"/>
  <c r="J616"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799" i="20"/>
  <c r="J800" i="20"/>
  <c r="J801" i="20"/>
  <c r="J802" i="20"/>
  <c r="J803" i="20"/>
  <c r="J804" i="20"/>
  <c r="J805" i="20"/>
  <c r="J806" i="20"/>
  <c r="J807" i="20"/>
  <c r="J808" i="20"/>
  <c r="J809" i="20"/>
  <c r="J810" i="20"/>
  <c r="J811" i="20"/>
  <c r="J812" i="20"/>
  <c r="J813" i="20"/>
  <c r="J814" i="20"/>
  <c r="J815" i="20"/>
  <c r="J816" i="20"/>
  <c r="J817" i="20"/>
  <c r="J818" i="20"/>
  <c r="J819" i="20"/>
  <c r="J820" i="20"/>
  <c r="J821" i="20"/>
  <c r="J822" i="20"/>
  <c r="J823" i="20"/>
  <c r="J824" i="20"/>
  <c r="J825" i="20"/>
  <c r="J826" i="20"/>
  <c r="J827" i="20"/>
  <c r="J828" i="20"/>
  <c r="J829" i="20"/>
  <c r="J830" i="20"/>
  <c r="J831" i="20"/>
  <c r="J832" i="20"/>
  <c r="J833" i="20"/>
  <c r="J834" i="20"/>
  <c r="J835" i="20"/>
  <c r="J836" i="20"/>
  <c r="J837" i="20"/>
  <c r="J838" i="20"/>
  <c r="J839" i="20"/>
  <c r="J840" i="20"/>
  <c r="J841" i="20"/>
  <c r="J842" i="20"/>
  <c r="J843" i="20"/>
  <c r="J844" i="20"/>
  <c r="J845" i="20"/>
  <c r="J846" i="20"/>
  <c r="J847" i="20"/>
  <c r="J848" i="20"/>
  <c r="J849" i="20"/>
  <c r="J850" i="20"/>
  <c r="J851" i="20"/>
  <c r="J852" i="20"/>
  <c r="J853" i="20"/>
  <c r="J854" i="20"/>
  <c r="J855" i="20"/>
  <c r="J856" i="20"/>
  <c r="J857" i="20"/>
  <c r="J858" i="20"/>
  <c r="J859" i="20"/>
  <c r="J860" i="20"/>
  <c r="J861" i="20"/>
  <c r="J862" i="20"/>
  <c r="J863" i="20"/>
  <c r="J864" i="20"/>
  <c r="J865" i="20"/>
  <c r="J866" i="20"/>
  <c r="J867" i="20"/>
  <c r="J868" i="20"/>
  <c r="J869" i="20"/>
  <c r="J870" i="20"/>
  <c r="J871" i="20"/>
  <c r="J872" i="20"/>
  <c r="J873" i="20"/>
  <c r="J874" i="20"/>
  <c r="J875" i="20"/>
  <c r="J876" i="20"/>
  <c r="J877" i="20"/>
  <c r="J878" i="20"/>
  <c r="J879" i="20"/>
  <c r="J880" i="20"/>
  <c r="J881" i="20"/>
  <c r="J882" i="20"/>
  <c r="J883" i="20"/>
  <c r="J884" i="20"/>
  <c r="J885" i="20"/>
  <c r="J886" i="20"/>
  <c r="J887" i="20"/>
  <c r="J888" i="20"/>
  <c r="J889" i="20"/>
  <c r="J890" i="20"/>
  <c r="J891" i="20"/>
  <c r="J892" i="20"/>
  <c r="J893" i="20"/>
  <c r="J894" i="20"/>
  <c r="J895" i="20"/>
  <c r="J896" i="20"/>
  <c r="J897" i="20"/>
  <c r="J898" i="20"/>
  <c r="J899" i="20"/>
  <c r="J900" i="20"/>
  <c r="J901" i="20"/>
  <c r="J902" i="20"/>
  <c r="J903" i="20"/>
  <c r="J904" i="20"/>
  <c r="J905" i="20"/>
  <c r="J906" i="20"/>
  <c r="J907" i="20"/>
  <c r="J908" i="20"/>
  <c r="J909" i="20"/>
  <c r="J910" i="20"/>
  <c r="J911" i="20"/>
  <c r="J912" i="20"/>
  <c r="J913" i="20"/>
  <c r="J914" i="20"/>
  <c r="J915" i="20"/>
  <c r="J916" i="20"/>
  <c r="J917" i="20"/>
  <c r="J918" i="20"/>
  <c r="J919" i="20"/>
  <c r="J920" i="20"/>
  <c r="J921" i="20"/>
  <c r="J922" i="20"/>
  <c r="J923" i="20"/>
  <c r="J924" i="20"/>
  <c r="J925" i="20"/>
  <c r="J926" i="20"/>
  <c r="J927" i="20"/>
  <c r="J928" i="20"/>
  <c r="J929" i="20"/>
  <c r="J930" i="20"/>
  <c r="J931" i="20"/>
  <c r="J932" i="20"/>
  <c r="J933" i="20"/>
  <c r="J934" i="20"/>
  <c r="J935" i="20"/>
  <c r="J936" i="20"/>
  <c r="J937" i="20"/>
  <c r="J938" i="20"/>
  <c r="J939" i="20"/>
  <c r="J940" i="20"/>
  <c r="J941" i="20"/>
  <c r="J942" i="20"/>
  <c r="J943" i="20"/>
  <c r="J944" i="20"/>
  <c r="J945" i="20"/>
  <c r="J946" i="20"/>
  <c r="J947" i="20"/>
  <c r="J948" i="20"/>
  <c r="J949" i="20"/>
  <c r="J950" i="20"/>
  <c r="J951" i="20"/>
  <c r="J952" i="20"/>
  <c r="J953" i="20"/>
  <c r="J954" i="20"/>
  <c r="J955" i="20"/>
  <c r="J956" i="20"/>
  <c r="J957" i="20"/>
  <c r="J958" i="20"/>
  <c r="J959" i="20"/>
  <c r="J960" i="20"/>
  <c r="J961" i="20"/>
  <c r="J962" i="20"/>
  <c r="J963" i="20"/>
  <c r="J964" i="20"/>
  <c r="J965" i="20"/>
  <c r="J966" i="20"/>
  <c r="J967" i="20"/>
  <c r="J968" i="20"/>
  <c r="J969" i="20"/>
  <c r="J970" i="20"/>
  <c r="J971" i="20"/>
  <c r="J972" i="20"/>
  <c r="J973" i="20"/>
  <c r="J974" i="20"/>
  <c r="J975" i="20"/>
  <c r="J976" i="20"/>
  <c r="J977" i="20"/>
  <c r="J978" i="20"/>
  <c r="J979" i="20"/>
  <c r="J980" i="20"/>
  <c r="J981" i="20"/>
  <c r="J982" i="20"/>
  <c r="J983" i="20"/>
  <c r="J984" i="20"/>
  <c r="J985" i="20"/>
  <c r="J986" i="20"/>
  <c r="J987" i="20"/>
  <c r="J988" i="20"/>
  <c r="J989" i="20"/>
  <c r="J990" i="20"/>
  <c r="J991" i="20"/>
  <c r="J992" i="20"/>
  <c r="J993" i="20"/>
  <c r="J994" i="20"/>
  <c r="J995" i="20"/>
  <c r="J996" i="20"/>
  <c r="J997" i="20"/>
  <c r="J998" i="20"/>
  <c r="J999" i="20"/>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111" i="19"/>
  <c r="I112" i="19"/>
  <c r="I113" i="19"/>
  <c r="I114" i="19"/>
  <c r="I115" i="19"/>
  <c r="I116" i="19"/>
  <c r="I117" i="19"/>
  <c r="I118" i="19"/>
  <c r="I119" i="19"/>
  <c r="I120" i="19"/>
  <c r="I121" i="19"/>
  <c r="I122" i="19"/>
  <c r="I123" i="19"/>
  <c r="I124" i="19"/>
  <c r="I125" i="19"/>
  <c r="I126" i="19"/>
  <c r="I127" i="19"/>
  <c r="I128" i="19"/>
  <c r="I129" i="19"/>
  <c r="I130" i="19"/>
  <c r="I131" i="19"/>
  <c r="I132" i="19"/>
  <c r="I133" i="19"/>
  <c r="I134" i="19"/>
  <c r="I135" i="19"/>
  <c r="I136" i="19"/>
  <c r="I137" i="19"/>
  <c r="I138" i="19"/>
  <c r="I139" i="19"/>
  <c r="I140" i="19"/>
  <c r="I141" i="19"/>
  <c r="I142" i="19"/>
  <c r="I143" i="19"/>
  <c r="I144" i="19"/>
  <c r="I145" i="19"/>
  <c r="I146" i="19"/>
  <c r="I147" i="19"/>
  <c r="I148" i="19"/>
  <c r="I149" i="19"/>
  <c r="I150" i="19"/>
  <c r="I151" i="19"/>
  <c r="I152" i="19"/>
  <c r="I153" i="19"/>
  <c r="I154" i="19"/>
  <c r="I155" i="19"/>
  <c r="I156" i="19"/>
  <c r="I157" i="19"/>
  <c r="I158" i="19"/>
  <c r="I159" i="19"/>
  <c r="I160" i="19"/>
  <c r="I161" i="19"/>
  <c r="I162" i="19"/>
  <c r="I163" i="19"/>
  <c r="I164" i="19"/>
  <c r="I165" i="19"/>
  <c r="I166" i="19"/>
  <c r="I167" i="19"/>
  <c r="I168" i="19"/>
  <c r="I169" i="19"/>
  <c r="I170" i="19"/>
  <c r="I171" i="19"/>
  <c r="I172" i="19"/>
  <c r="I173" i="19"/>
  <c r="I174" i="19"/>
  <c r="I175" i="19"/>
  <c r="I176" i="19"/>
  <c r="I177" i="19"/>
  <c r="I178" i="19"/>
  <c r="I179" i="19"/>
  <c r="I180" i="19"/>
  <c r="I181" i="19"/>
  <c r="I182" i="19"/>
  <c r="I183" i="19"/>
  <c r="I184" i="19"/>
  <c r="I185" i="19"/>
  <c r="I186" i="19"/>
  <c r="I187" i="19"/>
  <c r="I188" i="19"/>
  <c r="I189" i="19"/>
  <c r="I190" i="19"/>
  <c r="I191" i="19"/>
  <c r="I192" i="19"/>
  <c r="I193" i="19"/>
  <c r="I194" i="19"/>
  <c r="I195" i="19"/>
  <c r="I196" i="19"/>
  <c r="I197" i="19"/>
  <c r="I198" i="19"/>
  <c r="I199" i="19"/>
  <c r="I200" i="19"/>
  <c r="I201" i="19"/>
  <c r="I202" i="19"/>
  <c r="I203" i="19"/>
  <c r="I204" i="19"/>
  <c r="I205" i="19"/>
  <c r="I206" i="19"/>
  <c r="I207" i="19"/>
  <c r="I208" i="19"/>
  <c r="I209" i="19"/>
  <c r="I210" i="19"/>
  <c r="I211" i="19"/>
  <c r="I212" i="19"/>
  <c r="I213" i="19"/>
  <c r="I214" i="19"/>
  <c r="I215" i="19"/>
  <c r="I216" i="19"/>
  <c r="I217" i="19"/>
  <c r="I218" i="19"/>
  <c r="I219" i="19"/>
  <c r="I220" i="19"/>
  <c r="I221" i="19"/>
  <c r="I222" i="19"/>
  <c r="I223" i="19"/>
  <c r="I224" i="19"/>
  <c r="I225" i="19"/>
  <c r="I226" i="19"/>
  <c r="I227" i="19"/>
  <c r="I228" i="19"/>
  <c r="I229" i="19"/>
  <c r="I230" i="19"/>
  <c r="I231" i="19"/>
  <c r="I232" i="19"/>
  <c r="I233" i="19"/>
  <c r="I234" i="19"/>
  <c r="I235" i="19"/>
  <c r="I236" i="19"/>
  <c r="I237" i="19"/>
  <c r="I238" i="19"/>
  <c r="I239" i="19"/>
  <c r="I240" i="19"/>
  <c r="I241" i="19"/>
  <c r="I242" i="19"/>
  <c r="I243" i="19"/>
  <c r="I244" i="19"/>
  <c r="I245" i="19"/>
  <c r="I246" i="19"/>
  <c r="I247" i="19"/>
  <c r="I248" i="19"/>
  <c r="I249" i="19"/>
  <c r="I250" i="19"/>
  <c r="I251" i="19"/>
  <c r="I252" i="19"/>
  <c r="I253" i="19"/>
  <c r="I254" i="19"/>
  <c r="I255" i="19"/>
  <c r="I256" i="19"/>
  <c r="I257" i="19"/>
  <c r="I258" i="19"/>
  <c r="I259" i="19"/>
  <c r="I260" i="19"/>
  <c r="I261" i="19"/>
  <c r="I262" i="19"/>
  <c r="I263" i="19"/>
  <c r="I264" i="19"/>
  <c r="I265" i="19"/>
  <c r="I266" i="19"/>
  <c r="I267" i="19"/>
  <c r="I268" i="19"/>
  <c r="I269" i="19"/>
  <c r="I270" i="19"/>
  <c r="I271" i="19"/>
  <c r="I272" i="19"/>
  <c r="I273" i="19"/>
  <c r="I274" i="19"/>
  <c r="I275" i="19"/>
  <c r="I276" i="19"/>
  <c r="I277" i="19"/>
  <c r="I278" i="19"/>
  <c r="I279" i="19"/>
  <c r="I280" i="19"/>
  <c r="I281" i="19"/>
  <c r="I282" i="19"/>
  <c r="I283" i="19"/>
  <c r="I284" i="19"/>
  <c r="I285" i="19"/>
  <c r="I286" i="19"/>
  <c r="I287" i="19"/>
  <c r="I288" i="19"/>
  <c r="I289" i="19"/>
  <c r="I290" i="19"/>
  <c r="I291" i="19"/>
  <c r="I292" i="19"/>
  <c r="I293" i="19"/>
  <c r="I294" i="19"/>
  <c r="I295" i="19"/>
  <c r="I296" i="19"/>
  <c r="I297" i="19"/>
  <c r="I298" i="19"/>
  <c r="I299" i="19"/>
  <c r="I300" i="19"/>
  <c r="I301" i="19"/>
  <c r="I302" i="19"/>
  <c r="I303" i="19"/>
  <c r="I304" i="19"/>
  <c r="I305" i="19"/>
  <c r="I306" i="19"/>
  <c r="I307" i="19"/>
  <c r="I308" i="19"/>
  <c r="I309" i="19"/>
  <c r="I310" i="19"/>
  <c r="I311" i="19"/>
  <c r="I312" i="19"/>
  <c r="I313" i="19"/>
  <c r="I314" i="19"/>
  <c r="I315" i="19"/>
  <c r="I316" i="19"/>
  <c r="I317" i="19"/>
  <c r="I318" i="19"/>
  <c r="I319" i="19"/>
  <c r="I320" i="19"/>
  <c r="I321" i="19"/>
  <c r="I322" i="19"/>
  <c r="I323" i="19"/>
  <c r="I324" i="19"/>
  <c r="I325" i="19"/>
  <c r="I326" i="19"/>
  <c r="I327" i="19"/>
  <c r="I328" i="19"/>
  <c r="I329" i="19"/>
  <c r="I330" i="19"/>
  <c r="I331" i="19"/>
  <c r="I332" i="19"/>
  <c r="I333" i="19"/>
  <c r="I334" i="19"/>
  <c r="I335" i="19"/>
  <c r="I336" i="19"/>
  <c r="I337" i="19"/>
  <c r="I338" i="19"/>
  <c r="I339" i="19"/>
  <c r="I340" i="19"/>
  <c r="I341" i="19"/>
  <c r="I342" i="19"/>
  <c r="I343" i="19"/>
  <c r="I344" i="19"/>
  <c r="I345" i="19"/>
  <c r="I346" i="19"/>
  <c r="I347" i="19"/>
  <c r="I348" i="19"/>
  <c r="I349" i="19"/>
  <c r="I350" i="19"/>
  <c r="I351" i="19"/>
  <c r="I352" i="19"/>
  <c r="I353" i="19"/>
  <c r="I354" i="19"/>
  <c r="I355" i="19"/>
  <c r="I356" i="19"/>
  <c r="I357" i="19"/>
  <c r="I358" i="19"/>
  <c r="I359" i="19"/>
  <c r="I360" i="19"/>
  <c r="I361" i="19"/>
  <c r="I362" i="19"/>
  <c r="I363" i="19"/>
  <c r="I364" i="19"/>
  <c r="I365" i="19"/>
  <c r="I366" i="19"/>
  <c r="I367" i="19"/>
  <c r="I368" i="19"/>
  <c r="I369" i="19"/>
  <c r="I370" i="19"/>
  <c r="I371" i="19"/>
  <c r="I372" i="19"/>
  <c r="I373" i="19"/>
  <c r="I374" i="19"/>
  <c r="I375" i="19"/>
  <c r="I376" i="19"/>
  <c r="I377" i="19"/>
  <c r="I378" i="19"/>
  <c r="I379" i="19"/>
  <c r="I380" i="19"/>
  <c r="I381" i="19"/>
  <c r="I382" i="19"/>
  <c r="I383" i="19"/>
  <c r="I384" i="19"/>
  <c r="I385" i="19"/>
  <c r="I386" i="19"/>
  <c r="I387" i="19"/>
  <c r="I388" i="19"/>
  <c r="I389" i="19"/>
  <c r="I390" i="19"/>
  <c r="I391" i="19"/>
  <c r="I392" i="19"/>
  <c r="I393" i="19"/>
  <c r="I394" i="19"/>
  <c r="I395" i="19"/>
  <c r="I396" i="19"/>
  <c r="I397" i="19"/>
  <c r="I398" i="19"/>
  <c r="I399" i="19"/>
  <c r="I400" i="19"/>
  <c r="I401" i="19"/>
  <c r="I402" i="19"/>
  <c r="I403" i="19"/>
  <c r="I404" i="19"/>
  <c r="I405" i="19"/>
  <c r="I406" i="19"/>
  <c r="I407" i="19"/>
  <c r="I408" i="19"/>
  <c r="I409" i="19"/>
  <c r="I410" i="19"/>
  <c r="I411" i="19"/>
  <c r="I412" i="19"/>
  <c r="I413" i="19"/>
  <c r="I414" i="19"/>
  <c r="I415" i="19"/>
  <c r="I416" i="19"/>
  <c r="I417" i="19"/>
  <c r="I418" i="19"/>
  <c r="I419" i="19"/>
  <c r="I420" i="19"/>
  <c r="I421" i="19"/>
  <c r="I422" i="19"/>
  <c r="I423" i="19"/>
  <c r="I424" i="19"/>
  <c r="I425" i="19"/>
  <c r="I426" i="19"/>
  <c r="I427" i="19"/>
  <c r="I428" i="19"/>
  <c r="I429" i="19"/>
  <c r="I430" i="19"/>
  <c r="I431" i="19"/>
  <c r="I432" i="19"/>
  <c r="I433" i="19"/>
  <c r="I434" i="19"/>
  <c r="I435" i="19"/>
  <c r="I436" i="19"/>
  <c r="I437" i="19"/>
  <c r="I438" i="19"/>
  <c r="I439" i="19"/>
  <c r="I440" i="19"/>
  <c r="I441" i="19"/>
  <c r="I442" i="19"/>
  <c r="I443" i="19"/>
  <c r="I444" i="19"/>
  <c r="I445" i="19"/>
  <c r="I446" i="19"/>
  <c r="I447" i="19"/>
  <c r="I448" i="19"/>
  <c r="I449" i="19"/>
  <c r="I450" i="19"/>
  <c r="I451" i="19"/>
  <c r="I452" i="19"/>
  <c r="I453" i="19"/>
  <c r="I454" i="19"/>
  <c r="I455" i="19"/>
  <c r="I456" i="19"/>
  <c r="I457" i="19"/>
  <c r="I458" i="19"/>
  <c r="I459" i="19"/>
  <c r="I460" i="19"/>
  <c r="I461" i="19"/>
  <c r="I462" i="19"/>
  <c r="I463" i="19"/>
  <c r="I464" i="19"/>
  <c r="I465" i="19"/>
  <c r="I466" i="19"/>
  <c r="I467" i="19"/>
  <c r="I468" i="19"/>
  <c r="I469" i="19"/>
  <c r="I470" i="19"/>
  <c r="I471" i="19"/>
  <c r="I472" i="19"/>
  <c r="I473" i="19"/>
  <c r="I474" i="19"/>
  <c r="I475" i="19"/>
  <c r="I476" i="19"/>
  <c r="I477" i="19"/>
  <c r="I478" i="19"/>
  <c r="I479" i="19"/>
  <c r="I480" i="19"/>
  <c r="I481" i="19"/>
  <c r="I482" i="19"/>
  <c r="I483" i="19"/>
  <c r="I484" i="19"/>
  <c r="I485" i="19"/>
  <c r="I486" i="19"/>
  <c r="I487" i="19"/>
  <c r="I488" i="19"/>
  <c r="I489" i="19"/>
  <c r="I490" i="19"/>
  <c r="I491" i="19"/>
  <c r="I492" i="19"/>
  <c r="I493" i="19"/>
  <c r="I494" i="19"/>
  <c r="I495" i="19"/>
  <c r="I496" i="19"/>
  <c r="I497" i="19"/>
  <c r="I498" i="19"/>
  <c r="I499" i="19"/>
  <c r="I500" i="19"/>
  <c r="I501" i="19"/>
  <c r="I502" i="19"/>
  <c r="I503" i="19"/>
  <c r="I504" i="19"/>
  <c r="I505" i="19"/>
  <c r="I506" i="19"/>
  <c r="I507" i="19"/>
  <c r="I508" i="19"/>
  <c r="I509" i="19"/>
  <c r="I510" i="19"/>
  <c r="I511" i="19"/>
  <c r="I512" i="19"/>
  <c r="I513" i="19"/>
  <c r="I514" i="19"/>
  <c r="I515" i="19"/>
  <c r="I516" i="19"/>
  <c r="I517" i="19"/>
  <c r="I518" i="19"/>
  <c r="I519" i="19"/>
  <c r="I520" i="19"/>
  <c r="I521" i="19"/>
  <c r="I522" i="19"/>
  <c r="I523" i="19"/>
  <c r="I524" i="19"/>
  <c r="I525" i="19"/>
  <c r="I526" i="19"/>
  <c r="I527" i="19"/>
  <c r="I528" i="19"/>
  <c r="I529" i="19"/>
  <c r="I530" i="19"/>
  <c r="I531" i="19"/>
  <c r="I532" i="19"/>
  <c r="I533" i="19"/>
  <c r="I534" i="19"/>
  <c r="I535" i="19"/>
  <c r="I536" i="19"/>
  <c r="I537" i="19"/>
  <c r="I538" i="19"/>
  <c r="I539" i="19"/>
  <c r="I540" i="19"/>
  <c r="I541" i="19"/>
  <c r="I542" i="19"/>
  <c r="I543" i="19"/>
  <c r="I544" i="19"/>
  <c r="I545" i="19"/>
  <c r="I546" i="19"/>
  <c r="I547" i="19"/>
  <c r="I548" i="19"/>
  <c r="I549" i="19"/>
  <c r="I550" i="19"/>
  <c r="I551" i="19"/>
  <c r="I552" i="19"/>
  <c r="I553" i="19"/>
  <c r="I554" i="19"/>
  <c r="I555" i="19"/>
  <c r="I556" i="19"/>
  <c r="I557" i="19"/>
  <c r="I558" i="19"/>
  <c r="I559" i="19"/>
  <c r="I560" i="19"/>
  <c r="I561" i="19"/>
  <c r="I562" i="19"/>
  <c r="I563" i="19"/>
  <c r="I564" i="19"/>
  <c r="I565" i="19"/>
  <c r="I566" i="19"/>
  <c r="I567" i="19"/>
  <c r="I568" i="19"/>
  <c r="I569" i="19"/>
  <c r="I570" i="19"/>
  <c r="I571" i="19"/>
  <c r="I572" i="19"/>
  <c r="I573" i="19"/>
  <c r="I574" i="19"/>
  <c r="I575" i="19"/>
  <c r="I576" i="19"/>
  <c r="I577" i="19"/>
  <c r="I578" i="19"/>
  <c r="I579" i="19"/>
  <c r="I580" i="19"/>
  <c r="I581" i="19"/>
  <c r="I582" i="19"/>
  <c r="I583" i="19"/>
  <c r="I584" i="19"/>
  <c r="I585" i="19"/>
  <c r="I586" i="19"/>
  <c r="I587" i="19"/>
  <c r="I588" i="19"/>
  <c r="I589" i="19"/>
  <c r="I590" i="19"/>
  <c r="I591" i="19"/>
  <c r="I592" i="19"/>
  <c r="I593" i="19"/>
  <c r="I594" i="19"/>
  <c r="I595" i="19"/>
  <c r="I596" i="19"/>
  <c r="I597" i="19"/>
  <c r="I598" i="19"/>
  <c r="I599" i="19"/>
  <c r="I600" i="19"/>
  <c r="I601" i="19"/>
  <c r="I602" i="19"/>
  <c r="I603" i="19"/>
  <c r="I604" i="19"/>
  <c r="I605" i="19"/>
  <c r="I606" i="19"/>
  <c r="I607" i="19"/>
  <c r="I608" i="19"/>
  <c r="I609" i="19"/>
  <c r="I610" i="19"/>
  <c r="I611" i="19"/>
  <c r="I612" i="19"/>
  <c r="I613" i="19"/>
  <c r="I614" i="19"/>
  <c r="I615" i="19"/>
  <c r="I616" i="19"/>
  <c r="I617" i="19"/>
  <c r="I618" i="19"/>
  <c r="I619" i="19"/>
  <c r="I620" i="19"/>
  <c r="I621" i="19"/>
  <c r="I622" i="19"/>
  <c r="I623" i="19"/>
  <c r="I624" i="19"/>
  <c r="I625" i="19"/>
  <c r="I626" i="19"/>
  <c r="I627" i="19"/>
  <c r="I628" i="19"/>
  <c r="I629" i="19"/>
  <c r="I630" i="19"/>
  <c r="I631" i="19"/>
  <c r="I632" i="19"/>
  <c r="I633" i="19"/>
  <c r="I634" i="19"/>
  <c r="I635" i="19"/>
  <c r="I636" i="19"/>
  <c r="I637" i="19"/>
  <c r="I638" i="19"/>
  <c r="I639" i="19"/>
  <c r="I640" i="19"/>
  <c r="I641" i="19"/>
  <c r="I642" i="19"/>
  <c r="I643" i="19"/>
  <c r="I644" i="19"/>
  <c r="I645" i="19"/>
  <c r="I646" i="19"/>
  <c r="I647" i="19"/>
  <c r="I648" i="19"/>
  <c r="I649" i="19"/>
  <c r="I650" i="19"/>
  <c r="I651" i="19"/>
  <c r="I652" i="19"/>
  <c r="I653" i="19"/>
  <c r="I654" i="19"/>
  <c r="I655" i="19"/>
  <c r="I656" i="19"/>
  <c r="I657" i="19"/>
  <c r="I658" i="19"/>
  <c r="I659" i="19"/>
  <c r="I660" i="19"/>
  <c r="I661" i="19"/>
  <c r="I662" i="19"/>
  <c r="I663" i="19"/>
  <c r="I664" i="19"/>
  <c r="I665" i="19"/>
  <c r="I666" i="19"/>
  <c r="I667" i="19"/>
  <c r="I668" i="19"/>
  <c r="I669" i="19"/>
  <c r="I670" i="19"/>
  <c r="I671" i="19"/>
  <c r="I672" i="19"/>
  <c r="I673" i="19"/>
  <c r="I674" i="19"/>
  <c r="I675" i="19"/>
  <c r="I676" i="19"/>
  <c r="I677" i="19"/>
  <c r="I678" i="19"/>
  <c r="I679" i="19"/>
  <c r="I680" i="19"/>
  <c r="I681" i="19"/>
  <c r="I682" i="19"/>
  <c r="I683" i="19"/>
  <c r="I684" i="19"/>
  <c r="I685" i="19"/>
  <c r="I686" i="19"/>
  <c r="I687" i="19"/>
  <c r="I688" i="19"/>
  <c r="I689" i="19"/>
  <c r="I690" i="19"/>
  <c r="I691" i="19"/>
  <c r="I692" i="19"/>
  <c r="I693" i="19"/>
  <c r="I694" i="19"/>
  <c r="I695" i="19"/>
  <c r="I696" i="19"/>
  <c r="I697" i="19"/>
  <c r="I698" i="19"/>
  <c r="I699" i="19"/>
  <c r="I700" i="19"/>
  <c r="I701" i="19"/>
  <c r="I702" i="19"/>
  <c r="I703" i="19"/>
  <c r="I704" i="19"/>
  <c r="I705" i="19"/>
  <c r="I706" i="19"/>
  <c r="I707" i="19"/>
  <c r="I708" i="19"/>
  <c r="I709" i="19"/>
  <c r="I710" i="19"/>
  <c r="I711" i="19"/>
  <c r="I712" i="19"/>
  <c r="I713" i="19"/>
  <c r="I714" i="19"/>
  <c r="I715" i="19"/>
  <c r="I716" i="19"/>
  <c r="I717" i="19"/>
  <c r="I718" i="19"/>
  <c r="I719" i="19"/>
  <c r="I720" i="19"/>
  <c r="I721" i="19"/>
  <c r="I722" i="19"/>
  <c r="I723" i="19"/>
  <c r="I724" i="19"/>
  <c r="I725" i="19"/>
  <c r="I726" i="19"/>
  <c r="I727" i="19"/>
  <c r="I728" i="19"/>
  <c r="I729" i="19"/>
  <c r="I730" i="19"/>
  <c r="I731" i="19"/>
  <c r="I732" i="19"/>
  <c r="I733" i="19"/>
  <c r="I734" i="19"/>
  <c r="I735" i="19"/>
  <c r="I736" i="19"/>
  <c r="I737" i="19"/>
  <c r="I738" i="19"/>
  <c r="I739" i="19"/>
  <c r="I740" i="19"/>
  <c r="I741" i="19"/>
  <c r="I742" i="19"/>
  <c r="I743" i="19"/>
  <c r="I744" i="19"/>
  <c r="I745" i="19"/>
  <c r="I746" i="19"/>
  <c r="I747" i="19"/>
  <c r="I748" i="19"/>
  <c r="I749" i="19"/>
  <c r="I750" i="19"/>
  <c r="I751" i="19"/>
  <c r="I752" i="19"/>
  <c r="I753" i="19"/>
  <c r="I754" i="19"/>
  <c r="I755" i="19"/>
  <c r="I756" i="19"/>
  <c r="I757" i="19"/>
  <c r="I758" i="19"/>
  <c r="I759" i="19"/>
  <c r="I760" i="19"/>
  <c r="I761" i="19"/>
  <c r="I762" i="19"/>
  <c r="I763" i="19"/>
  <c r="I764" i="19"/>
  <c r="I765" i="19"/>
  <c r="I766" i="19"/>
  <c r="I767" i="19"/>
  <c r="I768" i="19"/>
  <c r="I769" i="19"/>
  <c r="I770" i="19"/>
  <c r="I771" i="19"/>
  <c r="I772" i="19"/>
  <c r="I773" i="19"/>
  <c r="I774" i="19"/>
  <c r="I775" i="19"/>
  <c r="I776" i="19"/>
  <c r="I777" i="19"/>
  <c r="I778" i="19"/>
  <c r="I779" i="19"/>
  <c r="I780" i="19"/>
  <c r="I781" i="19"/>
  <c r="I782" i="19"/>
  <c r="I783" i="19"/>
  <c r="I784" i="19"/>
  <c r="I785" i="19"/>
  <c r="I786" i="19"/>
  <c r="I787" i="19"/>
  <c r="I788" i="19"/>
  <c r="I789" i="19"/>
  <c r="I790" i="19"/>
  <c r="I791" i="19"/>
  <c r="I792" i="19"/>
  <c r="I793" i="19"/>
  <c r="I794" i="19"/>
  <c r="I795" i="19"/>
  <c r="I796" i="19"/>
  <c r="I797" i="19"/>
  <c r="I798" i="19"/>
  <c r="I799" i="19"/>
  <c r="I800" i="19"/>
  <c r="I801" i="19"/>
  <c r="I802" i="19"/>
  <c r="I803" i="19"/>
  <c r="I804" i="19"/>
  <c r="I805" i="19"/>
  <c r="I806" i="19"/>
  <c r="I807" i="19"/>
  <c r="I808" i="19"/>
  <c r="I809" i="19"/>
  <c r="I810" i="19"/>
  <c r="I811" i="19"/>
  <c r="I812" i="19"/>
  <c r="I813" i="19"/>
  <c r="I814" i="19"/>
  <c r="I815" i="19"/>
  <c r="I816" i="19"/>
  <c r="I817" i="19"/>
  <c r="I818" i="19"/>
  <c r="I819" i="19"/>
  <c r="I820" i="19"/>
  <c r="I821" i="19"/>
  <c r="I822" i="19"/>
  <c r="I823" i="19"/>
  <c r="I824" i="19"/>
  <c r="I825" i="19"/>
  <c r="I826" i="19"/>
  <c r="I827" i="19"/>
  <c r="I828" i="19"/>
  <c r="I829" i="19"/>
  <c r="I830" i="19"/>
  <c r="I831" i="19"/>
  <c r="I832" i="19"/>
  <c r="I833" i="19"/>
  <c r="I834" i="19"/>
  <c r="I835" i="19"/>
  <c r="I836" i="19"/>
  <c r="I837" i="19"/>
  <c r="I838" i="19"/>
  <c r="I839" i="19"/>
  <c r="I840" i="19"/>
  <c r="I841" i="19"/>
  <c r="I842" i="19"/>
  <c r="I843" i="19"/>
  <c r="I844" i="19"/>
  <c r="I845" i="19"/>
  <c r="I846" i="19"/>
  <c r="I847" i="19"/>
  <c r="I848" i="19"/>
  <c r="I849" i="19"/>
  <c r="I850" i="19"/>
  <c r="I851" i="19"/>
  <c r="I852" i="19"/>
  <c r="I853" i="19"/>
  <c r="I854" i="19"/>
  <c r="I855" i="19"/>
  <c r="I856" i="19"/>
  <c r="I857" i="19"/>
  <c r="I858" i="19"/>
  <c r="I859" i="19"/>
  <c r="I860" i="19"/>
  <c r="I861" i="19"/>
  <c r="I862" i="19"/>
  <c r="I863" i="19"/>
  <c r="I864" i="19"/>
  <c r="I865" i="19"/>
  <c r="I866" i="19"/>
  <c r="I867" i="19"/>
  <c r="I868" i="19"/>
  <c r="I869" i="19"/>
  <c r="I870" i="19"/>
  <c r="I871" i="19"/>
  <c r="I872" i="19"/>
  <c r="I873" i="19"/>
  <c r="I874" i="19"/>
  <c r="I875" i="19"/>
  <c r="I876" i="19"/>
  <c r="I877" i="19"/>
  <c r="I878" i="19"/>
  <c r="I879" i="19"/>
  <c r="I880" i="19"/>
  <c r="I881" i="19"/>
  <c r="I882" i="19"/>
  <c r="I883" i="19"/>
  <c r="I884" i="19"/>
  <c r="I885" i="19"/>
  <c r="I886" i="19"/>
  <c r="I887" i="19"/>
  <c r="I888" i="19"/>
  <c r="I889" i="19"/>
  <c r="I890" i="19"/>
  <c r="I891" i="19"/>
  <c r="I892" i="19"/>
  <c r="I893" i="19"/>
  <c r="I894" i="19"/>
  <c r="I895" i="19"/>
  <c r="I896" i="19"/>
  <c r="I897" i="19"/>
  <c r="I898" i="19"/>
  <c r="I899" i="19"/>
  <c r="I900" i="19"/>
  <c r="I901" i="19"/>
  <c r="I902" i="19"/>
  <c r="I903" i="19"/>
  <c r="I904" i="19"/>
  <c r="I905" i="19"/>
  <c r="I906" i="19"/>
  <c r="I907" i="19"/>
  <c r="I908" i="19"/>
  <c r="I909" i="19"/>
  <c r="I910" i="19"/>
  <c r="I911" i="19"/>
  <c r="I912" i="19"/>
  <c r="I913" i="19"/>
  <c r="I914" i="19"/>
  <c r="I915" i="19"/>
  <c r="I916" i="19"/>
  <c r="I917" i="19"/>
  <c r="I918" i="19"/>
  <c r="I919" i="19"/>
  <c r="I920" i="19"/>
  <c r="I921" i="19"/>
  <c r="I922" i="19"/>
  <c r="I923" i="19"/>
  <c r="I924" i="19"/>
  <c r="I925" i="19"/>
  <c r="I926" i="19"/>
  <c r="I927" i="19"/>
  <c r="I928" i="19"/>
  <c r="I929" i="19"/>
  <c r="I930" i="19"/>
  <c r="I931" i="19"/>
  <c r="I932" i="19"/>
  <c r="I933" i="19"/>
  <c r="I934" i="19"/>
  <c r="I935" i="19"/>
  <c r="I936" i="19"/>
  <c r="I937" i="19"/>
  <c r="I938" i="19"/>
  <c r="I939" i="19"/>
  <c r="I940" i="19"/>
  <c r="I941" i="19"/>
  <c r="I942" i="19"/>
  <c r="I943" i="19"/>
  <c r="I944" i="19"/>
  <c r="I945" i="19"/>
  <c r="I946" i="19"/>
  <c r="I947" i="19"/>
  <c r="I948" i="19"/>
  <c r="I949" i="19"/>
  <c r="I950" i="19"/>
  <c r="I951" i="19"/>
  <c r="I952" i="19"/>
  <c r="I953" i="19"/>
  <c r="I954" i="19"/>
  <c r="I955" i="19"/>
  <c r="I956" i="19"/>
  <c r="I957" i="19"/>
  <c r="I958" i="19"/>
  <c r="I959" i="19"/>
  <c r="I960" i="19"/>
  <c r="I961" i="19"/>
  <c r="I962" i="19"/>
  <c r="I963" i="19"/>
  <c r="I964" i="19"/>
  <c r="I965" i="19"/>
  <c r="I966" i="19"/>
  <c r="I967" i="19"/>
  <c r="I968" i="19"/>
  <c r="I969" i="19"/>
  <c r="I970" i="19"/>
  <c r="I971" i="19"/>
  <c r="I972" i="19"/>
  <c r="I973" i="19"/>
  <c r="I974" i="19"/>
  <c r="I975" i="19"/>
  <c r="I976" i="19"/>
  <c r="I977" i="19"/>
  <c r="I978" i="19"/>
  <c r="I979" i="19"/>
  <c r="I980" i="19"/>
  <c r="I981" i="19"/>
  <c r="I982" i="19"/>
  <c r="I983" i="19"/>
  <c r="I984" i="19"/>
  <c r="I985" i="19"/>
  <c r="I986" i="19"/>
  <c r="I987" i="19"/>
  <c r="I988" i="19"/>
  <c r="I989" i="19"/>
  <c r="I990" i="19"/>
  <c r="I991" i="19"/>
  <c r="I992" i="19"/>
  <c r="I993" i="19"/>
  <c r="I994" i="19"/>
  <c r="I995" i="19"/>
  <c r="I996" i="19"/>
  <c r="I997" i="19"/>
  <c r="I998" i="19"/>
  <c r="I999" i="19"/>
  <c r="I1000" i="19"/>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4" i="18"/>
  <c r="AD84" i="16"/>
  <c r="AD71" i="16"/>
  <c r="AD72" i="16"/>
  <c r="AD73" i="16"/>
  <c r="AD74" i="16"/>
  <c r="AD75" i="16"/>
  <c r="AD76" i="16"/>
  <c r="AD83" i="16"/>
  <c r="V84" i="16"/>
  <c r="V71" i="16"/>
  <c r="V72" i="16"/>
  <c r="V73" i="16"/>
  <c r="V74" i="16"/>
  <c r="V75" i="16"/>
  <c r="V76" i="16"/>
  <c r="V77" i="16"/>
  <c r="V78" i="16"/>
  <c r="V79" i="16"/>
  <c r="V80" i="16"/>
  <c r="V82" i="16"/>
  <c r="V83" i="16"/>
  <c r="O84" i="16"/>
  <c r="O71" i="16"/>
  <c r="O72" i="16"/>
  <c r="O73" i="16"/>
  <c r="O74" i="16"/>
  <c r="O75" i="16"/>
  <c r="O76" i="16"/>
  <c r="O77" i="16"/>
  <c r="O78" i="16"/>
  <c r="O79" i="16"/>
  <c r="O80" i="16"/>
  <c r="O81" i="16"/>
  <c r="O82" i="16"/>
  <c r="O83" i="16"/>
  <c r="K84" i="16"/>
  <c r="L84" i="16"/>
  <c r="M84" i="16"/>
  <c r="K71" i="16"/>
  <c r="L71" i="16"/>
  <c r="M71" i="16"/>
  <c r="K72" i="16"/>
  <c r="L72" i="16"/>
  <c r="M72" i="16"/>
  <c r="K73" i="16"/>
  <c r="L73" i="16"/>
  <c r="M73" i="16"/>
  <c r="K74" i="16"/>
  <c r="L74" i="16"/>
  <c r="M74" i="16"/>
  <c r="K75" i="16"/>
  <c r="L75" i="16"/>
  <c r="M75" i="16"/>
  <c r="K76" i="16"/>
  <c r="L76" i="16"/>
  <c r="M76" i="16"/>
  <c r="K77" i="16"/>
  <c r="L77" i="16"/>
  <c r="M77" i="16"/>
  <c r="K78" i="16"/>
  <c r="L78" i="16"/>
  <c r="M78" i="16"/>
  <c r="K79" i="16"/>
  <c r="L79" i="16"/>
  <c r="M79" i="16"/>
  <c r="K80" i="16"/>
  <c r="L80" i="16"/>
  <c r="M80" i="16"/>
  <c r="K81" i="16"/>
  <c r="L81" i="16"/>
  <c r="M81" i="16"/>
  <c r="K82" i="16"/>
  <c r="L82" i="16"/>
  <c r="M82" i="16"/>
  <c r="K83" i="16"/>
  <c r="L83" i="16"/>
  <c r="M83" i="16"/>
  <c r="H56" i="24"/>
  <c r="H57" i="24"/>
  <c r="H58" i="24"/>
  <c r="H59" i="24"/>
  <c r="H60" i="24"/>
  <c r="H61" i="24"/>
  <c r="H62" i="24"/>
  <c r="H63" i="24"/>
  <c r="H64" i="24"/>
  <c r="H65" i="24"/>
  <c r="H66" i="24"/>
  <c r="H67" i="24"/>
  <c r="H68" i="24"/>
  <c r="H69" i="24"/>
  <c r="H70" i="24"/>
  <c r="H71" i="24"/>
  <c r="H72" i="24"/>
  <c r="H73" i="24"/>
  <c r="H74" i="24"/>
  <c r="H75" i="24"/>
  <c r="H76" i="24"/>
  <c r="H77" i="24"/>
  <c r="H78" i="24"/>
  <c r="H79" i="24"/>
  <c r="H80" i="24"/>
  <c r="H81" i="24"/>
  <c r="H82" i="24"/>
  <c r="H83" i="24"/>
  <c r="H84" i="24"/>
  <c r="H85" i="24"/>
  <c r="H86" i="24"/>
  <c r="H87" i="24"/>
  <c r="H88" i="24"/>
  <c r="H89" i="24"/>
  <c r="H90" i="24"/>
  <c r="H91" i="24"/>
  <c r="H9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1" i="24"/>
  <c r="H122"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H148" i="24"/>
  <c r="H149" i="24"/>
  <c r="H150" i="24"/>
  <c r="H151" i="24"/>
  <c r="H152" i="24"/>
  <c r="H153" i="24"/>
  <c r="H154" i="24"/>
  <c r="H155" i="24"/>
  <c r="H156" i="24"/>
  <c r="H157" i="24"/>
  <c r="H158" i="24"/>
  <c r="H159" i="24"/>
  <c r="H160" i="24"/>
  <c r="H161" i="24"/>
  <c r="H162" i="24"/>
  <c r="H163" i="24"/>
  <c r="H164" i="24"/>
  <c r="H165" i="24"/>
  <c r="H166" i="24"/>
  <c r="H167" i="24"/>
  <c r="H168" i="24"/>
  <c r="H169" i="24"/>
  <c r="H170" i="24"/>
  <c r="H171" i="24"/>
  <c r="H172" i="24"/>
  <c r="H173" i="24"/>
  <c r="H174" i="24"/>
  <c r="H175" i="24"/>
  <c r="H176" i="24"/>
  <c r="H177" i="24"/>
  <c r="H178" i="24"/>
  <c r="H179" i="24"/>
  <c r="H180" i="24"/>
  <c r="H181" i="24"/>
  <c r="H182" i="24"/>
  <c r="H183" i="24"/>
  <c r="H184" i="24"/>
  <c r="H185" i="24"/>
  <c r="H186" i="24"/>
  <c r="H187" i="24"/>
  <c r="H188" i="24"/>
  <c r="H189" i="24"/>
  <c r="H190" i="24"/>
  <c r="H191" i="24"/>
  <c r="H192" i="24"/>
  <c r="H193" i="24"/>
  <c r="H194" i="24"/>
  <c r="H195" i="24"/>
  <c r="H196" i="24"/>
  <c r="H197" i="24"/>
  <c r="H198" i="24"/>
  <c r="H199" i="24"/>
  <c r="H200" i="24"/>
  <c r="H201" i="24"/>
  <c r="H202" i="24"/>
  <c r="H203" i="24"/>
  <c r="H204" i="24"/>
  <c r="H205" i="24"/>
  <c r="H206" i="24"/>
  <c r="H207" i="24"/>
  <c r="H208" i="24"/>
  <c r="H209" i="24"/>
  <c r="H210" i="24"/>
  <c r="H211" i="24"/>
  <c r="H212" i="24"/>
  <c r="H213" i="24"/>
  <c r="H214" i="24"/>
  <c r="H215" i="24"/>
  <c r="H216" i="24"/>
  <c r="H217" i="24"/>
  <c r="H218" i="24"/>
  <c r="H219" i="24"/>
  <c r="H220" i="24"/>
  <c r="H221" i="24"/>
  <c r="H222" i="24"/>
  <c r="H223" i="24"/>
  <c r="G76" i="10"/>
  <c r="H76" i="10"/>
  <c r="I76" i="10"/>
  <c r="J76" i="10"/>
  <c r="K76" i="10"/>
  <c r="L76" i="10"/>
  <c r="M76" i="10"/>
  <c r="N76" i="10"/>
  <c r="O76" i="10"/>
  <c r="P76" i="10"/>
  <c r="Q76" i="10"/>
  <c r="F76" i="10"/>
  <c r="F77" i="10"/>
  <c r="J23" i="33"/>
  <c r="J24" i="32"/>
  <c r="J23" i="31"/>
  <c r="N18" i="29"/>
  <c r="N19" i="48"/>
  <c r="N18" i="27"/>
  <c r="H29" i="26"/>
  <c r="H30" i="26"/>
  <c r="J18" i="23"/>
  <c r="F10" i="23" s="1"/>
  <c r="L18" i="22"/>
  <c r="L19" i="44"/>
  <c r="U130" i="10" a="1"/>
  <c r="U130" i="10" s="1"/>
  <c r="T130" i="10" a="1"/>
  <c r="T130" i="10" s="1"/>
  <c r="S130" i="10" a="1"/>
  <c r="S130" i="10" s="1"/>
  <c r="R130" i="10" a="1"/>
  <c r="R130" i="10" s="1"/>
  <c r="U131" i="10"/>
  <c r="T131" i="10"/>
  <c r="S131" i="10"/>
  <c r="R131" i="10"/>
  <c r="U110" i="10"/>
  <c r="T110" i="10"/>
  <c r="S110" i="10"/>
  <c r="R110" i="10"/>
  <c r="U109" i="10"/>
  <c r="T109" i="10"/>
  <c r="S109" i="10"/>
  <c r="R109" i="10"/>
  <c r="V110" i="10"/>
  <c r="V109" i="10"/>
  <c r="S108" i="10" a="1"/>
  <c r="S108" i="10" s="1"/>
  <c r="T108" i="10" a="1"/>
  <c r="T108" i="10" s="1"/>
  <c r="U108" i="10" a="1"/>
  <c r="U108" i="10" s="1"/>
  <c r="R108" i="10" a="1"/>
  <c r="R108" i="10" s="1"/>
  <c r="U107" i="10" a="1"/>
  <c r="U107" i="10" s="1"/>
  <c r="T107" i="10" a="1"/>
  <c r="T107" i="10" s="1"/>
  <c r="S107" i="10" a="1"/>
  <c r="S107" i="10" s="1"/>
  <c r="R107" i="10" a="1"/>
  <c r="R107" i="10" s="1"/>
  <c r="V107" i="10" a="1"/>
  <c r="V107" i="10" s="1"/>
  <c r="G48" i="10"/>
  <c r="H48" i="10"/>
  <c r="I48" i="10"/>
  <c r="J48" i="10"/>
  <c r="K48" i="10"/>
  <c r="L48" i="10"/>
  <c r="M48" i="10"/>
  <c r="N48" i="10"/>
  <c r="O48" i="10"/>
  <c r="P48" i="10"/>
  <c r="Q48" i="10"/>
  <c r="F48" i="10"/>
  <c r="S124" i="10" l="1"/>
  <c r="U124" i="10"/>
  <c r="R124" i="10"/>
  <c r="R76" i="10"/>
  <c r="F10" i="29"/>
  <c r="G112" i="10"/>
  <c r="F112" i="10"/>
  <c r="N124" i="10"/>
  <c r="T124" i="10" s="1"/>
  <c r="C18" i="40"/>
  <c r="F10" i="27"/>
  <c r="H23" i="10"/>
  <c r="U76" i="10"/>
  <c r="T76" i="10"/>
  <c r="S76" i="10"/>
  <c r="U48" i="10"/>
  <c r="T48" i="10"/>
  <c r="S48" i="10"/>
  <c r="R48" i="10"/>
  <c r="V48" i="10"/>
  <c r="F49" i="10"/>
  <c r="G120" i="10"/>
  <c r="H120" i="10"/>
  <c r="I120" i="10"/>
  <c r="J120" i="10"/>
  <c r="K120" i="10"/>
  <c r="L120" i="10"/>
  <c r="M120" i="10"/>
  <c r="N120" i="10"/>
  <c r="O120" i="10"/>
  <c r="P120" i="10"/>
  <c r="Q120" i="10"/>
  <c r="F120" i="10"/>
  <c r="R120" i="10" s="1"/>
  <c r="C11" i="50"/>
  <c r="G49" i="10"/>
  <c r="H49" i="10"/>
  <c r="I49" i="10"/>
  <c r="J49" i="10"/>
  <c r="K49" i="10"/>
  <c r="L49" i="10"/>
  <c r="M49" i="10"/>
  <c r="N49" i="10"/>
  <c r="O49" i="10"/>
  <c r="P49" i="10"/>
  <c r="Q49" i="10"/>
  <c r="G77" i="10"/>
  <c r="H77" i="10"/>
  <c r="I77" i="10"/>
  <c r="J77" i="10"/>
  <c r="K77" i="10"/>
  <c r="L77" i="10"/>
  <c r="M77" i="10"/>
  <c r="N77" i="10"/>
  <c r="O77" i="10"/>
  <c r="P77" i="10"/>
  <c r="Q77" i="10"/>
  <c r="G78" i="10"/>
  <c r="H78" i="10"/>
  <c r="I78" i="10"/>
  <c r="J78" i="10"/>
  <c r="K78" i="10"/>
  <c r="L78" i="10"/>
  <c r="M78" i="10"/>
  <c r="N78" i="10"/>
  <c r="O78" i="10"/>
  <c r="P78" i="10"/>
  <c r="Q78" i="10"/>
  <c r="F78" i="10"/>
  <c r="R78" i="10" s="1"/>
  <c r="F11" i="28"/>
  <c r="G87" i="10"/>
  <c r="H87" i="10"/>
  <c r="I87" i="10"/>
  <c r="J87" i="10"/>
  <c r="K87" i="10"/>
  <c r="L87" i="10"/>
  <c r="M87" i="10"/>
  <c r="N87" i="10"/>
  <c r="O87" i="10"/>
  <c r="P87" i="10"/>
  <c r="Q87" i="10"/>
  <c r="F87" i="10"/>
  <c r="F86" i="10"/>
  <c r="G86" i="10"/>
  <c r="H86" i="10"/>
  <c r="I86" i="10"/>
  <c r="J86" i="10"/>
  <c r="K86" i="10"/>
  <c r="L86" i="10"/>
  <c r="M86" i="10"/>
  <c r="N86" i="10"/>
  <c r="O86" i="10"/>
  <c r="P86" i="10"/>
  <c r="Q86" i="10"/>
  <c r="F85" i="10"/>
  <c r="G85" i="10"/>
  <c r="H85" i="10"/>
  <c r="I85" i="10"/>
  <c r="J85" i="10"/>
  <c r="K85" i="10"/>
  <c r="L85" i="10"/>
  <c r="T85" i="10" s="1"/>
  <c r="M85" i="10"/>
  <c r="N85" i="10"/>
  <c r="O85" i="10"/>
  <c r="P85" i="10"/>
  <c r="Q85" i="10"/>
  <c r="H1001" i="48"/>
  <c r="H1000" i="48"/>
  <c r="H999" i="48"/>
  <c r="H998" i="48"/>
  <c r="H997" i="48"/>
  <c r="H996" i="48"/>
  <c r="H995" i="48"/>
  <c r="H994" i="48"/>
  <c r="H993" i="48"/>
  <c r="H992" i="48"/>
  <c r="H991" i="48"/>
  <c r="H990" i="48"/>
  <c r="H989" i="48"/>
  <c r="H988" i="48"/>
  <c r="H987" i="48"/>
  <c r="H986" i="48"/>
  <c r="H985" i="48"/>
  <c r="H984" i="48"/>
  <c r="H983" i="48"/>
  <c r="H982" i="48"/>
  <c r="H981" i="48"/>
  <c r="H980" i="48"/>
  <c r="H979" i="48"/>
  <c r="H978" i="48"/>
  <c r="H977" i="48"/>
  <c r="H976" i="48"/>
  <c r="H975" i="48"/>
  <c r="H974" i="48"/>
  <c r="H973" i="48"/>
  <c r="H972" i="48"/>
  <c r="H971" i="48"/>
  <c r="H970" i="48"/>
  <c r="H969" i="48"/>
  <c r="H968" i="48"/>
  <c r="H967" i="48"/>
  <c r="H966" i="48"/>
  <c r="H965" i="48"/>
  <c r="H964" i="48"/>
  <c r="H963" i="48"/>
  <c r="H962" i="48"/>
  <c r="H961" i="48"/>
  <c r="H960" i="48"/>
  <c r="H959" i="48"/>
  <c r="H958" i="48"/>
  <c r="H957" i="48"/>
  <c r="H956" i="48"/>
  <c r="H955" i="48"/>
  <c r="H954" i="48"/>
  <c r="H953" i="48"/>
  <c r="H952" i="48"/>
  <c r="H951" i="48"/>
  <c r="H950" i="48"/>
  <c r="H949" i="48"/>
  <c r="H948" i="48"/>
  <c r="H947" i="48"/>
  <c r="H946" i="48"/>
  <c r="H945" i="48"/>
  <c r="H944" i="48"/>
  <c r="H943" i="48"/>
  <c r="H942" i="48"/>
  <c r="H941" i="48"/>
  <c r="H940" i="48"/>
  <c r="H939" i="48"/>
  <c r="H938" i="48"/>
  <c r="H937" i="48"/>
  <c r="H936" i="48"/>
  <c r="H935" i="48"/>
  <c r="H934" i="48"/>
  <c r="H933" i="48"/>
  <c r="H932" i="48"/>
  <c r="H931" i="48"/>
  <c r="H930" i="48"/>
  <c r="H929" i="48"/>
  <c r="H928" i="48"/>
  <c r="H927" i="48"/>
  <c r="H926" i="48"/>
  <c r="H925" i="48"/>
  <c r="H924" i="48"/>
  <c r="H923" i="48"/>
  <c r="H922" i="48"/>
  <c r="H921" i="48"/>
  <c r="H920" i="48"/>
  <c r="H919" i="48"/>
  <c r="H918" i="48"/>
  <c r="H917" i="48"/>
  <c r="H916" i="48"/>
  <c r="H915" i="48"/>
  <c r="H914" i="48"/>
  <c r="H913" i="48"/>
  <c r="H912" i="48"/>
  <c r="H911" i="48"/>
  <c r="H910" i="48"/>
  <c r="H909" i="48"/>
  <c r="H908" i="48"/>
  <c r="H907" i="48"/>
  <c r="H906" i="48"/>
  <c r="H905" i="48"/>
  <c r="H904" i="48"/>
  <c r="H903" i="48"/>
  <c r="H902" i="48"/>
  <c r="H901" i="48"/>
  <c r="H900" i="48"/>
  <c r="H899" i="48"/>
  <c r="H898" i="48"/>
  <c r="H897" i="48"/>
  <c r="H896" i="48"/>
  <c r="H895" i="48"/>
  <c r="H894" i="48"/>
  <c r="H893" i="48"/>
  <c r="H892" i="48"/>
  <c r="H891" i="48"/>
  <c r="H890" i="48"/>
  <c r="H889" i="48"/>
  <c r="H888" i="48"/>
  <c r="H887" i="48"/>
  <c r="H886" i="48"/>
  <c r="H885" i="48"/>
  <c r="H884" i="48"/>
  <c r="H883" i="48"/>
  <c r="H882" i="48"/>
  <c r="H881" i="48"/>
  <c r="H880" i="48"/>
  <c r="H879" i="48"/>
  <c r="H878" i="48"/>
  <c r="H877" i="48"/>
  <c r="H876" i="48"/>
  <c r="H875" i="48"/>
  <c r="H874" i="48"/>
  <c r="H873" i="48"/>
  <c r="H872" i="48"/>
  <c r="H871" i="48"/>
  <c r="H870" i="48"/>
  <c r="H869" i="48"/>
  <c r="H868" i="48"/>
  <c r="H867" i="48"/>
  <c r="H866" i="48"/>
  <c r="H865" i="48"/>
  <c r="H864" i="48"/>
  <c r="H863" i="48"/>
  <c r="H862" i="48"/>
  <c r="H861" i="48"/>
  <c r="H860" i="48"/>
  <c r="H859" i="48"/>
  <c r="H858" i="48"/>
  <c r="H857" i="48"/>
  <c r="H856" i="48"/>
  <c r="H855" i="48"/>
  <c r="H854" i="48"/>
  <c r="H853" i="48"/>
  <c r="H852" i="48"/>
  <c r="H851" i="48"/>
  <c r="H850" i="48"/>
  <c r="H849" i="48"/>
  <c r="H848" i="48"/>
  <c r="H847" i="48"/>
  <c r="H846" i="48"/>
  <c r="H845" i="48"/>
  <c r="H844" i="48"/>
  <c r="H843" i="48"/>
  <c r="H842" i="48"/>
  <c r="H841" i="48"/>
  <c r="H840" i="48"/>
  <c r="H839" i="48"/>
  <c r="H838" i="48"/>
  <c r="H837" i="48"/>
  <c r="H836" i="48"/>
  <c r="H835" i="48"/>
  <c r="H834" i="48"/>
  <c r="H833" i="48"/>
  <c r="H832" i="48"/>
  <c r="H831" i="48"/>
  <c r="H830" i="48"/>
  <c r="H829" i="48"/>
  <c r="H828" i="48"/>
  <c r="H827" i="48"/>
  <c r="H826" i="48"/>
  <c r="H825" i="48"/>
  <c r="H824" i="48"/>
  <c r="H823" i="48"/>
  <c r="H822" i="48"/>
  <c r="H821" i="48"/>
  <c r="H820" i="48"/>
  <c r="H819" i="48"/>
  <c r="H818" i="48"/>
  <c r="H817" i="48"/>
  <c r="H816" i="48"/>
  <c r="H815" i="48"/>
  <c r="H814" i="48"/>
  <c r="H813" i="48"/>
  <c r="H812" i="48"/>
  <c r="H811" i="48"/>
  <c r="H810" i="48"/>
  <c r="H809" i="48"/>
  <c r="H808" i="48"/>
  <c r="H807" i="48"/>
  <c r="H806" i="48"/>
  <c r="H805" i="48"/>
  <c r="H804" i="48"/>
  <c r="H803" i="48"/>
  <c r="H802" i="48"/>
  <c r="H801" i="48"/>
  <c r="H800" i="48"/>
  <c r="H799" i="48"/>
  <c r="H798" i="48"/>
  <c r="H797" i="48"/>
  <c r="H796" i="48"/>
  <c r="H795" i="48"/>
  <c r="H794" i="48"/>
  <c r="H793" i="48"/>
  <c r="H792" i="48"/>
  <c r="H791" i="48"/>
  <c r="H790" i="48"/>
  <c r="H789" i="48"/>
  <c r="H788" i="48"/>
  <c r="H787" i="48"/>
  <c r="H786" i="48"/>
  <c r="H785" i="48"/>
  <c r="H784" i="48"/>
  <c r="H783" i="48"/>
  <c r="H782" i="48"/>
  <c r="H781" i="48"/>
  <c r="H780" i="48"/>
  <c r="H779" i="48"/>
  <c r="H778" i="48"/>
  <c r="H777" i="48"/>
  <c r="H776" i="48"/>
  <c r="H775" i="48"/>
  <c r="H774" i="48"/>
  <c r="H773" i="48"/>
  <c r="H772" i="48"/>
  <c r="H771" i="48"/>
  <c r="H770" i="48"/>
  <c r="H769" i="48"/>
  <c r="H768" i="48"/>
  <c r="H767" i="48"/>
  <c r="H766" i="48"/>
  <c r="H765" i="48"/>
  <c r="H764" i="48"/>
  <c r="H763" i="48"/>
  <c r="H762" i="48"/>
  <c r="H761" i="48"/>
  <c r="H760" i="48"/>
  <c r="H759" i="48"/>
  <c r="H758" i="48"/>
  <c r="H757" i="48"/>
  <c r="H756" i="48"/>
  <c r="H755" i="48"/>
  <c r="H754" i="48"/>
  <c r="H753" i="48"/>
  <c r="H752" i="48"/>
  <c r="H751" i="48"/>
  <c r="H750" i="48"/>
  <c r="H749" i="48"/>
  <c r="H748" i="48"/>
  <c r="H747" i="48"/>
  <c r="H746" i="48"/>
  <c r="H745" i="48"/>
  <c r="H744" i="48"/>
  <c r="H743" i="48"/>
  <c r="H742" i="48"/>
  <c r="H741" i="48"/>
  <c r="H740" i="48"/>
  <c r="H739" i="48"/>
  <c r="H738" i="48"/>
  <c r="H737" i="48"/>
  <c r="H736" i="48"/>
  <c r="H735" i="48"/>
  <c r="H734" i="48"/>
  <c r="H733" i="48"/>
  <c r="H732" i="48"/>
  <c r="H731" i="48"/>
  <c r="H730" i="48"/>
  <c r="H729" i="48"/>
  <c r="H728" i="48"/>
  <c r="H727" i="48"/>
  <c r="H726" i="48"/>
  <c r="H725" i="48"/>
  <c r="H724" i="48"/>
  <c r="H723" i="48"/>
  <c r="H722" i="48"/>
  <c r="H721" i="48"/>
  <c r="H720" i="48"/>
  <c r="H719" i="48"/>
  <c r="H718" i="48"/>
  <c r="H717" i="48"/>
  <c r="H716" i="48"/>
  <c r="H715" i="48"/>
  <c r="H714" i="48"/>
  <c r="H713" i="48"/>
  <c r="H712" i="48"/>
  <c r="H711" i="48"/>
  <c r="H710" i="48"/>
  <c r="H709" i="48"/>
  <c r="H708" i="48"/>
  <c r="H707" i="48"/>
  <c r="H706" i="48"/>
  <c r="H705" i="48"/>
  <c r="H704" i="48"/>
  <c r="H703" i="48"/>
  <c r="H702" i="48"/>
  <c r="H701" i="48"/>
  <c r="H700" i="48"/>
  <c r="H699" i="48"/>
  <c r="H698" i="48"/>
  <c r="H697" i="48"/>
  <c r="H696" i="48"/>
  <c r="H695" i="48"/>
  <c r="H694" i="48"/>
  <c r="H693" i="48"/>
  <c r="H692" i="48"/>
  <c r="H691" i="48"/>
  <c r="H690" i="48"/>
  <c r="H689" i="48"/>
  <c r="H688" i="48"/>
  <c r="H687" i="48"/>
  <c r="H686" i="48"/>
  <c r="H685" i="48"/>
  <c r="H684" i="48"/>
  <c r="H683" i="48"/>
  <c r="H682" i="48"/>
  <c r="H681" i="48"/>
  <c r="H680" i="48"/>
  <c r="H679" i="48"/>
  <c r="H678" i="48"/>
  <c r="H677" i="48"/>
  <c r="H676" i="48"/>
  <c r="H675" i="48"/>
  <c r="H674" i="48"/>
  <c r="H673" i="48"/>
  <c r="H672" i="48"/>
  <c r="H671" i="48"/>
  <c r="H670" i="48"/>
  <c r="H669" i="48"/>
  <c r="H668" i="48"/>
  <c r="H667" i="48"/>
  <c r="H666" i="48"/>
  <c r="H665" i="48"/>
  <c r="H664" i="48"/>
  <c r="H663" i="48"/>
  <c r="H662" i="48"/>
  <c r="H661" i="48"/>
  <c r="H660" i="48"/>
  <c r="H659" i="48"/>
  <c r="H658" i="48"/>
  <c r="H657" i="48"/>
  <c r="H656" i="48"/>
  <c r="H655" i="48"/>
  <c r="H654" i="48"/>
  <c r="H653" i="48"/>
  <c r="H652" i="48"/>
  <c r="H651" i="48"/>
  <c r="H650" i="48"/>
  <c r="H649" i="48"/>
  <c r="H648" i="48"/>
  <c r="H647" i="48"/>
  <c r="H646" i="48"/>
  <c r="H645" i="48"/>
  <c r="H644" i="48"/>
  <c r="H643" i="48"/>
  <c r="H642" i="48"/>
  <c r="H641" i="48"/>
  <c r="H640" i="48"/>
  <c r="H639" i="48"/>
  <c r="H638" i="48"/>
  <c r="H637" i="48"/>
  <c r="H636" i="48"/>
  <c r="H635" i="48"/>
  <c r="H634" i="48"/>
  <c r="H633" i="48"/>
  <c r="H632" i="48"/>
  <c r="H631" i="48"/>
  <c r="H630" i="48"/>
  <c r="H629" i="48"/>
  <c r="H628" i="48"/>
  <c r="H627" i="48"/>
  <c r="H626" i="48"/>
  <c r="H625" i="48"/>
  <c r="H624" i="48"/>
  <c r="H623" i="48"/>
  <c r="H622" i="48"/>
  <c r="H621" i="48"/>
  <c r="H620" i="48"/>
  <c r="H619" i="48"/>
  <c r="H618" i="48"/>
  <c r="H617" i="48"/>
  <c r="H616" i="48"/>
  <c r="H615" i="48"/>
  <c r="H614" i="48"/>
  <c r="H613" i="48"/>
  <c r="H612" i="48"/>
  <c r="H611" i="48"/>
  <c r="H610" i="48"/>
  <c r="H609" i="48"/>
  <c r="H608" i="48"/>
  <c r="H607" i="48"/>
  <c r="H606" i="48"/>
  <c r="H605" i="48"/>
  <c r="H604" i="48"/>
  <c r="H603" i="48"/>
  <c r="H602" i="48"/>
  <c r="H601" i="48"/>
  <c r="H600" i="48"/>
  <c r="H599" i="48"/>
  <c r="H598" i="48"/>
  <c r="H597" i="48"/>
  <c r="H596" i="48"/>
  <c r="H595" i="48"/>
  <c r="H594" i="48"/>
  <c r="H593" i="48"/>
  <c r="H592" i="48"/>
  <c r="H591" i="48"/>
  <c r="H590" i="48"/>
  <c r="H589" i="48"/>
  <c r="H588" i="48"/>
  <c r="H587" i="48"/>
  <c r="H586" i="48"/>
  <c r="H585" i="48"/>
  <c r="H584" i="48"/>
  <c r="H583" i="48"/>
  <c r="H582" i="48"/>
  <c r="H581" i="48"/>
  <c r="H580" i="48"/>
  <c r="H579" i="48"/>
  <c r="H578" i="48"/>
  <c r="H577" i="48"/>
  <c r="H576" i="48"/>
  <c r="H575" i="48"/>
  <c r="H574" i="48"/>
  <c r="H573" i="48"/>
  <c r="H572" i="48"/>
  <c r="H571" i="48"/>
  <c r="H570" i="48"/>
  <c r="H569" i="48"/>
  <c r="H568" i="48"/>
  <c r="H567" i="48"/>
  <c r="H566" i="48"/>
  <c r="H565" i="48"/>
  <c r="H564" i="48"/>
  <c r="H563" i="48"/>
  <c r="H562" i="48"/>
  <c r="H561" i="48"/>
  <c r="H560" i="48"/>
  <c r="H559" i="48"/>
  <c r="H558" i="48"/>
  <c r="H557" i="48"/>
  <c r="H556" i="48"/>
  <c r="H555" i="48"/>
  <c r="H554" i="48"/>
  <c r="H553" i="48"/>
  <c r="H552" i="48"/>
  <c r="H551" i="48"/>
  <c r="H550" i="48"/>
  <c r="H549" i="48"/>
  <c r="H548" i="48"/>
  <c r="H547" i="48"/>
  <c r="H546" i="48"/>
  <c r="H545" i="48"/>
  <c r="H544" i="48"/>
  <c r="H543" i="48"/>
  <c r="H542" i="48"/>
  <c r="H541" i="48"/>
  <c r="H540" i="48"/>
  <c r="H539" i="48"/>
  <c r="H538" i="48"/>
  <c r="H537" i="48"/>
  <c r="H536" i="48"/>
  <c r="H535" i="48"/>
  <c r="H534" i="48"/>
  <c r="H533" i="48"/>
  <c r="H532" i="48"/>
  <c r="H531" i="48"/>
  <c r="H530" i="48"/>
  <c r="H529" i="48"/>
  <c r="H528" i="48"/>
  <c r="H527" i="48"/>
  <c r="H526" i="48"/>
  <c r="H525" i="48"/>
  <c r="H524" i="48"/>
  <c r="H523" i="48"/>
  <c r="H522" i="48"/>
  <c r="H521" i="48"/>
  <c r="H520" i="48"/>
  <c r="H519" i="48"/>
  <c r="H518" i="48"/>
  <c r="H517" i="48"/>
  <c r="H516" i="48"/>
  <c r="H515" i="48"/>
  <c r="H514" i="48"/>
  <c r="H513" i="48"/>
  <c r="H512" i="48"/>
  <c r="H511" i="48"/>
  <c r="H510" i="48"/>
  <c r="H509" i="48"/>
  <c r="H508" i="48"/>
  <c r="H507" i="48"/>
  <c r="H506" i="48"/>
  <c r="H505" i="48"/>
  <c r="H504" i="48"/>
  <c r="H503" i="48"/>
  <c r="H502" i="48"/>
  <c r="H501" i="48"/>
  <c r="H500" i="48"/>
  <c r="H499" i="48"/>
  <c r="H498" i="48"/>
  <c r="H497" i="48"/>
  <c r="H496" i="48"/>
  <c r="H495" i="48"/>
  <c r="H494" i="48"/>
  <c r="H493" i="48"/>
  <c r="H492" i="48"/>
  <c r="H491" i="48"/>
  <c r="H490" i="48"/>
  <c r="H489" i="48"/>
  <c r="H488" i="48"/>
  <c r="H487" i="48"/>
  <c r="H486" i="48"/>
  <c r="H485" i="48"/>
  <c r="H484" i="48"/>
  <c r="H483" i="48"/>
  <c r="H482" i="48"/>
  <c r="H481" i="48"/>
  <c r="H480" i="48"/>
  <c r="H479" i="48"/>
  <c r="H478" i="48"/>
  <c r="H477" i="48"/>
  <c r="H476" i="48"/>
  <c r="H475" i="48"/>
  <c r="H474" i="48"/>
  <c r="H473" i="48"/>
  <c r="H472" i="48"/>
  <c r="H471" i="48"/>
  <c r="H470" i="48"/>
  <c r="H469" i="48"/>
  <c r="H468" i="48"/>
  <c r="H467" i="48"/>
  <c r="H466" i="48"/>
  <c r="H465" i="48"/>
  <c r="H464" i="48"/>
  <c r="H463" i="48"/>
  <c r="H462" i="48"/>
  <c r="H461" i="48"/>
  <c r="H460" i="48"/>
  <c r="H459" i="48"/>
  <c r="H458" i="48"/>
  <c r="H457" i="48"/>
  <c r="H456" i="48"/>
  <c r="H455" i="48"/>
  <c r="H454" i="48"/>
  <c r="H453" i="48"/>
  <c r="H452" i="48"/>
  <c r="H451" i="48"/>
  <c r="H450" i="48"/>
  <c r="H449" i="48"/>
  <c r="H448" i="48"/>
  <c r="H447" i="48"/>
  <c r="H446" i="48"/>
  <c r="H445" i="48"/>
  <c r="H444" i="48"/>
  <c r="H443" i="48"/>
  <c r="H442" i="48"/>
  <c r="H441" i="48"/>
  <c r="H440" i="48"/>
  <c r="H439" i="48"/>
  <c r="H438" i="48"/>
  <c r="H437" i="48"/>
  <c r="H436" i="48"/>
  <c r="H435" i="48"/>
  <c r="H434" i="48"/>
  <c r="H433" i="48"/>
  <c r="H432" i="48"/>
  <c r="H431" i="48"/>
  <c r="H430" i="48"/>
  <c r="H429" i="48"/>
  <c r="H428" i="48"/>
  <c r="H427" i="48"/>
  <c r="H426" i="48"/>
  <c r="H425" i="48"/>
  <c r="H424" i="48"/>
  <c r="H423" i="48"/>
  <c r="H422" i="48"/>
  <c r="H421" i="48"/>
  <c r="H420" i="48"/>
  <c r="H419" i="48"/>
  <c r="H418" i="48"/>
  <c r="H417" i="48"/>
  <c r="H416" i="48"/>
  <c r="H415" i="48"/>
  <c r="H414" i="48"/>
  <c r="H413" i="48"/>
  <c r="H412" i="48"/>
  <c r="H411" i="48"/>
  <c r="H410" i="48"/>
  <c r="H409" i="48"/>
  <c r="H408" i="48"/>
  <c r="H407" i="48"/>
  <c r="H406" i="48"/>
  <c r="H405" i="48"/>
  <c r="H404" i="48"/>
  <c r="H403" i="48"/>
  <c r="H402" i="48"/>
  <c r="H401" i="48"/>
  <c r="H400" i="48"/>
  <c r="H399" i="48"/>
  <c r="H398" i="48"/>
  <c r="H397" i="48"/>
  <c r="H396" i="48"/>
  <c r="H395" i="48"/>
  <c r="H394" i="48"/>
  <c r="H393" i="48"/>
  <c r="H392" i="48"/>
  <c r="H391" i="48"/>
  <c r="H390" i="48"/>
  <c r="H389" i="48"/>
  <c r="H388" i="48"/>
  <c r="H387" i="48"/>
  <c r="H386" i="48"/>
  <c r="H385" i="48"/>
  <c r="H384" i="48"/>
  <c r="H383" i="48"/>
  <c r="H382" i="48"/>
  <c r="H381" i="48"/>
  <c r="H380" i="48"/>
  <c r="H379" i="48"/>
  <c r="H378" i="48"/>
  <c r="H377" i="48"/>
  <c r="H376" i="48"/>
  <c r="H375" i="48"/>
  <c r="H374" i="48"/>
  <c r="H373" i="48"/>
  <c r="H372" i="48"/>
  <c r="H371" i="48"/>
  <c r="H370" i="48"/>
  <c r="H369" i="48"/>
  <c r="H368" i="48"/>
  <c r="H367" i="48"/>
  <c r="H366" i="48"/>
  <c r="H365" i="48"/>
  <c r="H364" i="48"/>
  <c r="H363" i="48"/>
  <c r="H362" i="48"/>
  <c r="H361" i="48"/>
  <c r="H360" i="48"/>
  <c r="H359" i="48"/>
  <c r="H358" i="48"/>
  <c r="H357" i="48"/>
  <c r="H356" i="48"/>
  <c r="H355" i="48"/>
  <c r="H354" i="48"/>
  <c r="H353" i="48"/>
  <c r="H352" i="48"/>
  <c r="H351" i="48"/>
  <c r="H350" i="48"/>
  <c r="H349" i="48"/>
  <c r="H348" i="48"/>
  <c r="H347" i="48"/>
  <c r="H346" i="48"/>
  <c r="H345" i="48"/>
  <c r="H344" i="48"/>
  <c r="H343" i="48"/>
  <c r="H342" i="48"/>
  <c r="H341" i="48"/>
  <c r="H340" i="48"/>
  <c r="H339" i="48"/>
  <c r="H338" i="48"/>
  <c r="H337" i="48"/>
  <c r="H336" i="48"/>
  <c r="H335" i="48"/>
  <c r="H334" i="48"/>
  <c r="H333" i="48"/>
  <c r="H332" i="48"/>
  <c r="H331" i="48"/>
  <c r="H330" i="48"/>
  <c r="H329" i="48"/>
  <c r="H328" i="48"/>
  <c r="H327" i="48"/>
  <c r="H326" i="48"/>
  <c r="H325" i="48"/>
  <c r="H324" i="48"/>
  <c r="H323" i="48"/>
  <c r="H322" i="48"/>
  <c r="H321" i="48"/>
  <c r="H320" i="48"/>
  <c r="H319" i="48"/>
  <c r="H318" i="48"/>
  <c r="H317" i="48"/>
  <c r="H316" i="48"/>
  <c r="H315" i="48"/>
  <c r="H314" i="48"/>
  <c r="H313" i="48"/>
  <c r="H312" i="48"/>
  <c r="H311" i="48"/>
  <c r="H310" i="48"/>
  <c r="H309" i="48"/>
  <c r="H308" i="48"/>
  <c r="H307" i="48"/>
  <c r="H306" i="48"/>
  <c r="H305" i="48"/>
  <c r="H304" i="48"/>
  <c r="H303" i="48"/>
  <c r="H302" i="48"/>
  <c r="H301" i="48"/>
  <c r="H300" i="48"/>
  <c r="H299" i="48"/>
  <c r="H298" i="48"/>
  <c r="H297" i="48"/>
  <c r="H296" i="48"/>
  <c r="H295" i="48"/>
  <c r="H294" i="48"/>
  <c r="H293" i="48"/>
  <c r="H292" i="48"/>
  <c r="H291" i="48"/>
  <c r="H290" i="48"/>
  <c r="H289" i="48"/>
  <c r="H288" i="48"/>
  <c r="H287" i="48"/>
  <c r="H286" i="48"/>
  <c r="H285" i="48"/>
  <c r="H284" i="48"/>
  <c r="H283" i="48"/>
  <c r="H282" i="48"/>
  <c r="H281" i="48"/>
  <c r="H280" i="48"/>
  <c r="H279" i="48"/>
  <c r="H278" i="48"/>
  <c r="H277" i="48"/>
  <c r="H276" i="48"/>
  <c r="H275" i="48"/>
  <c r="H274" i="48"/>
  <c r="H273" i="48"/>
  <c r="H272" i="48"/>
  <c r="H271" i="48"/>
  <c r="H270" i="48"/>
  <c r="H269" i="48"/>
  <c r="H268" i="48"/>
  <c r="H267" i="48"/>
  <c r="H266" i="48"/>
  <c r="H265" i="48"/>
  <c r="H264" i="48"/>
  <c r="H263" i="48"/>
  <c r="H262" i="48"/>
  <c r="H261" i="48"/>
  <c r="H260" i="48"/>
  <c r="H259" i="48"/>
  <c r="H258" i="48"/>
  <c r="H257" i="48"/>
  <c r="H256" i="48"/>
  <c r="H255" i="48"/>
  <c r="H254" i="48"/>
  <c r="H253" i="48"/>
  <c r="H252" i="48"/>
  <c r="H251" i="48"/>
  <c r="H250" i="48"/>
  <c r="H249" i="48"/>
  <c r="H248" i="48"/>
  <c r="H247" i="48"/>
  <c r="H246" i="48"/>
  <c r="H245" i="48"/>
  <c r="H244" i="48"/>
  <c r="H243" i="48"/>
  <c r="H242" i="48"/>
  <c r="H241" i="48"/>
  <c r="H240" i="48"/>
  <c r="H239" i="48"/>
  <c r="H238" i="48"/>
  <c r="H237" i="48"/>
  <c r="H236" i="48"/>
  <c r="H235" i="48"/>
  <c r="H234" i="48"/>
  <c r="H233" i="48"/>
  <c r="H232" i="48"/>
  <c r="H231" i="48"/>
  <c r="H230" i="48"/>
  <c r="H229" i="48"/>
  <c r="H228" i="48"/>
  <c r="H227" i="48"/>
  <c r="H226" i="48"/>
  <c r="H225" i="48"/>
  <c r="H224" i="48"/>
  <c r="H223" i="48"/>
  <c r="H222" i="48"/>
  <c r="H221" i="48"/>
  <c r="H220" i="48"/>
  <c r="H219" i="48"/>
  <c r="H218" i="48"/>
  <c r="H217" i="48"/>
  <c r="H216" i="48"/>
  <c r="H215" i="48"/>
  <c r="H214" i="48"/>
  <c r="H213" i="48"/>
  <c r="H212" i="48"/>
  <c r="H211" i="48"/>
  <c r="H210" i="48"/>
  <c r="H209" i="48"/>
  <c r="H208" i="48"/>
  <c r="H207" i="48"/>
  <c r="H206" i="48"/>
  <c r="H205" i="48"/>
  <c r="H204" i="48"/>
  <c r="H203" i="48"/>
  <c r="H202" i="48"/>
  <c r="H201" i="48"/>
  <c r="H200" i="48"/>
  <c r="H199" i="48"/>
  <c r="H198" i="48"/>
  <c r="H197" i="48"/>
  <c r="H196" i="48"/>
  <c r="H195" i="48"/>
  <c r="H194" i="48"/>
  <c r="H193" i="48"/>
  <c r="H192" i="48"/>
  <c r="H191" i="48"/>
  <c r="H190" i="48"/>
  <c r="H189" i="48"/>
  <c r="H188" i="48"/>
  <c r="H187" i="48"/>
  <c r="H186" i="48"/>
  <c r="H185" i="48"/>
  <c r="H184" i="48"/>
  <c r="H183" i="48"/>
  <c r="H182" i="48"/>
  <c r="H181" i="48"/>
  <c r="H180" i="48"/>
  <c r="H179" i="48"/>
  <c r="H178" i="48"/>
  <c r="H177" i="48"/>
  <c r="H176" i="48"/>
  <c r="H175" i="48"/>
  <c r="H174" i="48"/>
  <c r="H173" i="48"/>
  <c r="H172" i="48"/>
  <c r="H171" i="48"/>
  <c r="H170" i="48"/>
  <c r="H169" i="48"/>
  <c r="H168" i="48"/>
  <c r="H167" i="48"/>
  <c r="H166" i="48"/>
  <c r="H165" i="48"/>
  <c r="H164" i="48"/>
  <c r="H163" i="48"/>
  <c r="H162" i="48"/>
  <c r="H161" i="48"/>
  <c r="H160" i="48"/>
  <c r="H159" i="48"/>
  <c r="H158" i="48"/>
  <c r="H157" i="48"/>
  <c r="H156" i="48"/>
  <c r="H155" i="48"/>
  <c r="H154" i="48"/>
  <c r="H153" i="48"/>
  <c r="H152" i="48"/>
  <c r="H151" i="48"/>
  <c r="H150" i="48"/>
  <c r="H149" i="48"/>
  <c r="H148" i="48"/>
  <c r="H147" i="48"/>
  <c r="H146" i="48"/>
  <c r="H145" i="48"/>
  <c r="H144" i="48"/>
  <c r="H143" i="48"/>
  <c r="H142" i="48"/>
  <c r="H141" i="48"/>
  <c r="H140" i="48"/>
  <c r="H139" i="48"/>
  <c r="H138" i="48"/>
  <c r="H137" i="48"/>
  <c r="H136" i="48"/>
  <c r="H135" i="48"/>
  <c r="H134" i="48"/>
  <c r="H133" i="48"/>
  <c r="H132" i="48"/>
  <c r="H131" i="48"/>
  <c r="H130" i="48"/>
  <c r="H129" i="48"/>
  <c r="H128" i="48"/>
  <c r="H127" i="48"/>
  <c r="H126" i="48"/>
  <c r="H125" i="48"/>
  <c r="H124" i="48"/>
  <c r="H123" i="48"/>
  <c r="H122" i="48"/>
  <c r="H121" i="48"/>
  <c r="H120" i="48"/>
  <c r="H119" i="48"/>
  <c r="H118" i="48"/>
  <c r="H117" i="48"/>
  <c r="H116" i="48"/>
  <c r="H115" i="48"/>
  <c r="H114" i="48"/>
  <c r="H113" i="48"/>
  <c r="H112" i="48"/>
  <c r="H111" i="48"/>
  <c r="H110" i="48"/>
  <c r="H109" i="48"/>
  <c r="H108" i="48"/>
  <c r="H107" i="48"/>
  <c r="H106" i="48"/>
  <c r="H105" i="48"/>
  <c r="H104" i="48"/>
  <c r="H103" i="48"/>
  <c r="H102" i="48"/>
  <c r="H101" i="48"/>
  <c r="H100" i="48"/>
  <c r="H99" i="48"/>
  <c r="H98" i="48"/>
  <c r="H97" i="48"/>
  <c r="H96" i="48"/>
  <c r="H95" i="48"/>
  <c r="H94" i="48"/>
  <c r="H93" i="48"/>
  <c r="H92" i="48"/>
  <c r="H91" i="48"/>
  <c r="H90" i="48"/>
  <c r="H89" i="48"/>
  <c r="H88" i="48"/>
  <c r="H87" i="48"/>
  <c r="H86" i="48"/>
  <c r="H85" i="48"/>
  <c r="H84" i="48"/>
  <c r="H83" i="48"/>
  <c r="H82" i="48"/>
  <c r="H81" i="48"/>
  <c r="H80" i="48"/>
  <c r="H79" i="48"/>
  <c r="H78" i="48"/>
  <c r="H77" i="48"/>
  <c r="H76" i="48"/>
  <c r="H75" i="48"/>
  <c r="H74" i="48"/>
  <c r="H73" i="48"/>
  <c r="H72" i="48"/>
  <c r="H71" i="48"/>
  <c r="H70" i="48"/>
  <c r="H69" i="48"/>
  <c r="H68" i="48"/>
  <c r="H67" i="48"/>
  <c r="H66" i="48"/>
  <c r="H65" i="48"/>
  <c r="H64" i="48"/>
  <c r="H63" i="48"/>
  <c r="H62" i="48"/>
  <c r="H61" i="48"/>
  <c r="H60" i="48"/>
  <c r="H59" i="48"/>
  <c r="H58" i="48"/>
  <c r="H57" i="48"/>
  <c r="H56" i="48"/>
  <c r="H55" i="48"/>
  <c r="H54" i="48"/>
  <c r="H53" i="48"/>
  <c r="H52" i="48"/>
  <c r="F14" i="48"/>
  <c r="F12" i="48"/>
  <c r="H12" i="44"/>
  <c r="G52" i="10"/>
  <c r="H52" i="10"/>
  <c r="I52" i="10"/>
  <c r="J52" i="10"/>
  <c r="K52" i="10"/>
  <c r="L52" i="10"/>
  <c r="M52" i="10"/>
  <c r="N52" i="10"/>
  <c r="O52" i="10"/>
  <c r="P52" i="10"/>
  <c r="Q52" i="10"/>
  <c r="F52" i="10"/>
  <c r="F51" i="10"/>
  <c r="G51" i="10"/>
  <c r="H51" i="10"/>
  <c r="I51" i="10"/>
  <c r="J51" i="10"/>
  <c r="K51" i="10"/>
  <c r="L51" i="10"/>
  <c r="M51" i="10"/>
  <c r="N51" i="10"/>
  <c r="O51" i="10"/>
  <c r="P51" i="10"/>
  <c r="Q51" i="10"/>
  <c r="G50" i="10"/>
  <c r="H50" i="10"/>
  <c r="I50" i="10"/>
  <c r="J50" i="10"/>
  <c r="K50" i="10"/>
  <c r="L50" i="10"/>
  <c r="M50" i="10"/>
  <c r="N50" i="10"/>
  <c r="O50" i="10"/>
  <c r="P50" i="10"/>
  <c r="Q50" i="10"/>
  <c r="F50" i="10"/>
  <c r="V108" i="10" a="1"/>
  <c r="V108" i="10" s="1"/>
  <c r="H19" i="10"/>
  <c r="I19" i="10"/>
  <c r="L19" i="10"/>
  <c r="N19" i="10"/>
  <c r="P19" i="10"/>
  <c r="Q19" i="10"/>
  <c r="G19" i="10"/>
  <c r="S19" i="10" s="1"/>
  <c r="F19" i="10"/>
  <c r="G97" i="10"/>
  <c r="H97" i="10"/>
  <c r="I97" i="10"/>
  <c r="J97" i="10"/>
  <c r="K97" i="10"/>
  <c r="L97" i="10"/>
  <c r="M97" i="10"/>
  <c r="N97" i="10"/>
  <c r="O97" i="10"/>
  <c r="P97" i="10"/>
  <c r="Q97" i="10"/>
  <c r="F97" i="10"/>
  <c r="R97" i="10" s="1"/>
  <c r="U52" i="10" l="1"/>
  <c r="V124" i="10"/>
  <c r="U77" i="10"/>
  <c r="T77" i="10"/>
  <c r="S77" i="10"/>
  <c r="V77" i="10"/>
  <c r="R77" i="10"/>
  <c r="R86" i="10"/>
  <c r="T87" i="10"/>
  <c r="S87" i="10"/>
  <c r="T51" i="10"/>
  <c r="S50" i="10"/>
  <c r="T52" i="10"/>
  <c r="R50" i="10"/>
  <c r="S51" i="10"/>
  <c r="S52" i="10"/>
  <c r="S78" i="10"/>
  <c r="U86" i="10"/>
  <c r="S86" i="10"/>
  <c r="U78" i="10"/>
  <c r="T86" i="10"/>
  <c r="U50" i="10"/>
  <c r="R51" i="10"/>
  <c r="R52" i="10"/>
  <c r="U85" i="10"/>
  <c r="U87" i="10"/>
  <c r="U51" i="10"/>
  <c r="T78" i="10"/>
  <c r="S85" i="10"/>
  <c r="R85" i="10"/>
  <c r="V85" i="10"/>
  <c r="R19" i="10"/>
  <c r="T50" i="10"/>
  <c r="R87" i="10"/>
  <c r="T97" i="10"/>
  <c r="U49" i="10"/>
  <c r="T49" i="10"/>
  <c r="S49" i="10"/>
  <c r="R49" i="10"/>
  <c r="U97" i="10"/>
  <c r="S97" i="10"/>
  <c r="T120" i="10"/>
  <c r="U120" i="10"/>
  <c r="S120" i="10"/>
  <c r="V50" i="10"/>
  <c r="V51" i="10"/>
  <c r="V49" i="10"/>
  <c r="V120" i="10"/>
  <c r="F11" i="48"/>
  <c r="F10" i="48"/>
  <c r="H10" i="44"/>
  <c r="H11" i="44"/>
  <c r="O19" i="10"/>
  <c r="M19" i="10"/>
  <c r="K19" i="10"/>
  <c r="J19" i="10"/>
  <c r="U19" i="10" s="1"/>
  <c r="V86" i="10"/>
  <c r="F13" i="48"/>
  <c r="V78" i="10"/>
  <c r="C10" i="18"/>
  <c r="V87" i="10"/>
  <c r="V52" i="10"/>
  <c r="C11" i="41"/>
  <c r="V131" i="10" a="1"/>
  <c r="V131" i="10" s="1"/>
  <c r="V130" i="10" a="1"/>
  <c r="V130" i="10" s="1"/>
  <c r="F11" i="25"/>
  <c r="H224" i="24"/>
  <c r="H225" i="24"/>
  <c r="H226" i="24"/>
  <c r="H227" i="24"/>
  <c r="H228" i="24"/>
  <c r="H229" i="24"/>
  <c r="H230" i="24"/>
  <c r="H231" i="24"/>
  <c r="H232" i="24"/>
  <c r="H233" i="24"/>
  <c r="H234" i="24"/>
  <c r="H235" i="24"/>
  <c r="H236" i="24"/>
  <c r="H237" i="24"/>
  <c r="H238" i="24"/>
  <c r="H239" i="24"/>
  <c r="H240" i="24"/>
  <c r="H241" i="24"/>
  <c r="H242" i="24"/>
  <c r="H243" i="24"/>
  <c r="H244" i="24"/>
  <c r="H245" i="24"/>
  <c r="H246" i="24"/>
  <c r="H247" i="24"/>
  <c r="H248" i="24"/>
  <c r="H249" i="24"/>
  <c r="H250" i="24"/>
  <c r="H251" i="24"/>
  <c r="H252" i="24"/>
  <c r="H253" i="24"/>
  <c r="H254" i="24"/>
  <c r="H255" i="24"/>
  <c r="H256" i="24"/>
  <c r="H257" i="24"/>
  <c r="H258" i="24"/>
  <c r="H259" i="24"/>
  <c r="H260" i="24"/>
  <c r="H261" i="24"/>
  <c r="H262" i="24"/>
  <c r="H263" i="24"/>
  <c r="H264" i="24"/>
  <c r="H265" i="24"/>
  <c r="H266" i="24"/>
  <c r="H267" i="24"/>
  <c r="H268" i="24"/>
  <c r="H269" i="24"/>
  <c r="H270" i="24"/>
  <c r="H271" i="24"/>
  <c r="H272" i="24"/>
  <c r="H273" i="24"/>
  <c r="H274" i="24"/>
  <c r="H275" i="24"/>
  <c r="H276" i="24"/>
  <c r="H277" i="24"/>
  <c r="H278" i="24"/>
  <c r="H279" i="24"/>
  <c r="H280" i="24"/>
  <c r="H281" i="24"/>
  <c r="H282" i="24"/>
  <c r="H283" i="24"/>
  <c r="H284" i="24"/>
  <c r="H285" i="24"/>
  <c r="H286" i="24"/>
  <c r="H287" i="24"/>
  <c r="H288" i="24"/>
  <c r="H289" i="24"/>
  <c r="H290" i="24"/>
  <c r="H291" i="24"/>
  <c r="H292" i="24"/>
  <c r="H293" i="24"/>
  <c r="H294" i="24"/>
  <c r="H295" i="24"/>
  <c r="H296" i="24"/>
  <c r="H297" i="24"/>
  <c r="H298" i="24"/>
  <c r="H299" i="24"/>
  <c r="H300" i="24"/>
  <c r="H301" i="24"/>
  <c r="H302" i="24"/>
  <c r="H303" i="24"/>
  <c r="H304" i="24"/>
  <c r="H305" i="24"/>
  <c r="H306" i="24"/>
  <c r="H307" i="24"/>
  <c r="H308" i="24"/>
  <c r="H309" i="24"/>
  <c r="H310" i="24"/>
  <c r="H311" i="24"/>
  <c r="H312" i="24"/>
  <c r="H313" i="24"/>
  <c r="H314" i="24"/>
  <c r="H315" i="24"/>
  <c r="H316" i="24"/>
  <c r="H317" i="24"/>
  <c r="H318" i="24"/>
  <c r="H319" i="24"/>
  <c r="H320" i="24"/>
  <c r="H321" i="24"/>
  <c r="H322" i="24"/>
  <c r="H323" i="24"/>
  <c r="H324" i="24"/>
  <c r="H325" i="24"/>
  <c r="H326" i="24"/>
  <c r="H327" i="24"/>
  <c r="H328" i="24"/>
  <c r="H329" i="24"/>
  <c r="H330" i="24"/>
  <c r="H331" i="24"/>
  <c r="H332" i="24"/>
  <c r="H333" i="24"/>
  <c r="H334" i="24"/>
  <c r="H335" i="24"/>
  <c r="H336" i="24"/>
  <c r="H337" i="24"/>
  <c r="H338" i="24"/>
  <c r="H339" i="24"/>
  <c r="H340" i="24"/>
  <c r="H341" i="24"/>
  <c r="H342" i="24"/>
  <c r="H343" i="24"/>
  <c r="H344" i="24"/>
  <c r="H345" i="24"/>
  <c r="H346" i="24"/>
  <c r="H347" i="24"/>
  <c r="H348" i="24"/>
  <c r="H349" i="24"/>
  <c r="H350" i="24"/>
  <c r="H351" i="24"/>
  <c r="H352" i="24"/>
  <c r="H353" i="24"/>
  <c r="H354" i="24"/>
  <c r="H355" i="24"/>
  <c r="H356" i="24"/>
  <c r="H357" i="24"/>
  <c r="H358" i="24"/>
  <c r="H359" i="24"/>
  <c r="H360" i="24"/>
  <c r="H361" i="24"/>
  <c r="H362" i="24"/>
  <c r="H363" i="24"/>
  <c r="H364" i="24"/>
  <c r="H365" i="24"/>
  <c r="H366" i="24"/>
  <c r="H367" i="24"/>
  <c r="H368" i="24"/>
  <c r="H369" i="24"/>
  <c r="H370" i="24"/>
  <c r="H371" i="24"/>
  <c r="H372" i="24"/>
  <c r="H373" i="24"/>
  <c r="H374" i="24"/>
  <c r="H375" i="24"/>
  <c r="H376" i="24"/>
  <c r="H377" i="24"/>
  <c r="H378" i="24"/>
  <c r="H379" i="24"/>
  <c r="H380" i="24"/>
  <c r="H381" i="24"/>
  <c r="H382" i="24"/>
  <c r="H383" i="24"/>
  <c r="H384" i="24"/>
  <c r="H385" i="24"/>
  <c r="H386" i="24"/>
  <c r="H387" i="24"/>
  <c r="H388" i="24"/>
  <c r="H389" i="24"/>
  <c r="H390" i="24"/>
  <c r="H391" i="24"/>
  <c r="H392" i="24"/>
  <c r="H393" i="24"/>
  <c r="H394" i="24"/>
  <c r="H395" i="24"/>
  <c r="H396" i="24"/>
  <c r="H397" i="24"/>
  <c r="H398" i="24"/>
  <c r="H399" i="24"/>
  <c r="H400" i="24"/>
  <c r="H401" i="24"/>
  <c r="H402" i="24"/>
  <c r="H403" i="24"/>
  <c r="H404" i="24"/>
  <c r="H405" i="24"/>
  <c r="H406" i="24"/>
  <c r="H407" i="24"/>
  <c r="H408" i="24"/>
  <c r="H409" i="24"/>
  <c r="H410" i="24"/>
  <c r="H411" i="24"/>
  <c r="H412" i="24"/>
  <c r="H413" i="24"/>
  <c r="H414" i="24"/>
  <c r="H415" i="24"/>
  <c r="H416" i="24"/>
  <c r="H417" i="24"/>
  <c r="H418" i="24"/>
  <c r="H419" i="24"/>
  <c r="H420" i="24"/>
  <c r="H421" i="24"/>
  <c r="H422" i="24"/>
  <c r="H423" i="24"/>
  <c r="H424" i="24"/>
  <c r="H425" i="24"/>
  <c r="H426" i="24"/>
  <c r="H427" i="24"/>
  <c r="H428" i="24"/>
  <c r="H429" i="24"/>
  <c r="H430" i="24"/>
  <c r="H431" i="24"/>
  <c r="H432" i="24"/>
  <c r="H433" i="24"/>
  <c r="H434" i="24"/>
  <c r="H435" i="24"/>
  <c r="H436" i="24"/>
  <c r="H437" i="24"/>
  <c r="H438" i="24"/>
  <c r="H439" i="24"/>
  <c r="H440" i="24"/>
  <c r="H441" i="24"/>
  <c r="H442" i="24"/>
  <c r="H443" i="24"/>
  <c r="H444" i="24"/>
  <c r="H445" i="24"/>
  <c r="H446" i="24"/>
  <c r="H447" i="24"/>
  <c r="H448" i="24"/>
  <c r="H449" i="24"/>
  <c r="H450" i="24"/>
  <c r="H451" i="24"/>
  <c r="H452" i="24"/>
  <c r="H453" i="24"/>
  <c r="H454" i="24"/>
  <c r="H455" i="24"/>
  <c r="H456" i="24"/>
  <c r="H457" i="24"/>
  <c r="H458" i="24"/>
  <c r="H459" i="24"/>
  <c r="H460" i="24"/>
  <c r="H461" i="24"/>
  <c r="H462" i="24"/>
  <c r="H463" i="24"/>
  <c r="H464" i="24"/>
  <c r="H465" i="24"/>
  <c r="H466" i="24"/>
  <c r="H467" i="24"/>
  <c r="H468" i="24"/>
  <c r="H469" i="24"/>
  <c r="H470" i="24"/>
  <c r="H471" i="24"/>
  <c r="H472" i="24"/>
  <c r="H473" i="24"/>
  <c r="H474" i="24"/>
  <c r="H475" i="24"/>
  <c r="H476" i="24"/>
  <c r="H477" i="24"/>
  <c r="H478" i="24"/>
  <c r="H479" i="24"/>
  <c r="H480" i="24"/>
  <c r="H481" i="24"/>
  <c r="H482" i="24"/>
  <c r="H483" i="24"/>
  <c r="H484" i="24"/>
  <c r="H485" i="24"/>
  <c r="H486" i="24"/>
  <c r="H487" i="24"/>
  <c r="H488" i="24"/>
  <c r="H489" i="24"/>
  <c r="H490" i="24"/>
  <c r="H491" i="24"/>
  <c r="H492" i="24"/>
  <c r="H493" i="24"/>
  <c r="H494" i="24"/>
  <c r="H495" i="24"/>
  <c r="H496" i="24"/>
  <c r="H497" i="24"/>
  <c r="H498" i="24"/>
  <c r="H499" i="24"/>
  <c r="H500" i="24"/>
  <c r="H501" i="24"/>
  <c r="H502" i="24"/>
  <c r="H503" i="24"/>
  <c r="H504" i="24"/>
  <c r="H505" i="24"/>
  <c r="H506" i="24"/>
  <c r="H507" i="24"/>
  <c r="H508" i="24"/>
  <c r="H509" i="24"/>
  <c r="H510" i="24"/>
  <c r="H511" i="24"/>
  <c r="H512" i="24"/>
  <c r="H513" i="24"/>
  <c r="H514" i="24"/>
  <c r="H515" i="24"/>
  <c r="H516" i="24"/>
  <c r="H517" i="24"/>
  <c r="H518" i="24"/>
  <c r="H519" i="24"/>
  <c r="H520" i="24"/>
  <c r="H521" i="24"/>
  <c r="H522" i="24"/>
  <c r="H523" i="24"/>
  <c r="H524" i="24"/>
  <c r="H525" i="24"/>
  <c r="H526" i="24"/>
  <c r="H527" i="24"/>
  <c r="H528" i="24"/>
  <c r="H529" i="24"/>
  <c r="H530" i="24"/>
  <c r="H531" i="24"/>
  <c r="H532" i="24"/>
  <c r="H533" i="24"/>
  <c r="H534" i="24"/>
  <c r="H535" i="24"/>
  <c r="H536" i="24"/>
  <c r="H537" i="24"/>
  <c r="H538" i="24"/>
  <c r="H539" i="24"/>
  <c r="H540" i="24"/>
  <c r="H541" i="24"/>
  <c r="H542" i="24"/>
  <c r="H543" i="24"/>
  <c r="H544" i="24"/>
  <c r="H545" i="24"/>
  <c r="H546" i="24"/>
  <c r="H547" i="24"/>
  <c r="H548" i="24"/>
  <c r="H549" i="24"/>
  <c r="H550" i="24"/>
  <c r="H551" i="24"/>
  <c r="H552" i="24"/>
  <c r="H553" i="24"/>
  <c r="H554" i="24"/>
  <c r="H555" i="24"/>
  <c r="H556" i="24"/>
  <c r="H557" i="24"/>
  <c r="H558" i="24"/>
  <c r="H559" i="24"/>
  <c r="H560" i="24"/>
  <c r="H561" i="24"/>
  <c r="H562" i="24"/>
  <c r="H563" i="24"/>
  <c r="H564" i="24"/>
  <c r="H565" i="24"/>
  <c r="H566" i="24"/>
  <c r="H567" i="24"/>
  <c r="H568" i="24"/>
  <c r="H569" i="24"/>
  <c r="H570" i="24"/>
  <c r="H571" i="24"/>
  <c r="H572" i="24"/>
  <c r="H573" i="24"/>
  <c r="H574" i="24"/>
  <c r="H575" i="24"/>
  <c r="H576" i="24"/>
  <c r="H577" i="24"/>
  <c r="H578" i="24"/>
  <c r="H579" i="24"/>
  <c r="H580" i="24"/>
  <c r="H581" i="24"/>
  <c r="H582" i="24"/>
  <c r="H583" i="24"/>
  <c r="H584" i="24"/>
  <c r="H585" i="24"/>
  <c r="H586" i="24"/>
  <c r="H587" i="24"/>
  <c r="H588" i="24"/>
  <c r="H589" i="24"/>
  <c r="H590" i="24"/>
  <c r="H591" i="24"/>
  <c r="H592" i="24"/>
  <c r="H593" i="24"/>
  <c r="H594" i="24"/>
  <c r="H595" i="24"/>
  <c r="H596" i="24"/>
  <c r="H597" i="24"/>
  <c r="H598" i="24"/>
  <c r="H599" i="24"/>
  <c r="H600" i="24"/>
  <c r="H601" i="24"/>
  <c r="H602" i="24"/>
  <c r="H603" i="24"/>
  <c r="H604" i="24"/>
  <c r="H605" i="24"/>
  <c r="H606" i="24"/>
  <c r="H607" i="24"/>
  <c r="H608" i="24"/>
  <c r="H609" i="24"/>
  <c r="H610" i="24"/>
  <c r="H611" i="24"/>
  <c r="H612" i="24"/>
  <c r="H613" i="24"/>
  <c r="H614" i="24"/>
  <c r="H615" i="24"/>
  <c r="H616" i="24"/>
  <c r="H617" i="24"/>
  <c r="H618" i="24"/>
  <c r="H619" i="24"/>
  <c r="H620" i="24"/>
  <c r="H621" i="24"/>
  <c r="H622" i="24"/>
  <c r="H623" i="24"/>
  <c r="H624" i="24"/>
  <c r="H625" i="24"/>
  <c r="H626" i="24"/>
  <c r="H627" i="24"/>
  <c r="H628" i="24"/>
  <c r="H629" i="24"/>
  <c r="H630" i="24"/>
  <c r="H631" i="24"/>
  <c r="H632" i="24"/>
  <c r="H633" i="24"/>
  <c r="H634" i="24"/>
  <c r="H635" i="24"/>
  <c r="H636" i="24"/>
  <c r="H637" i="24"/>
  <c r="H638" i="24"/>
  <c r="H639" i="24"/>
  <c r="H640" i="24"/>
  <c r="H641" i="24"/>
  <c r="H642" i="24"/>
  <c r="H643" i="24"/>
  <c r="H644" i="24"/>
  <c r="H645" i="24"/>
  <c r="H646" i="24"/>
  <c r="H647" i="24"/>
  <c r="H648" i="24"/>
  <c r="H649" i="24"/>
  <c r="H650" i="24"/>
  <c r="H651" i="24"/>
  <c r="H652" i="24"/>
  <c r="H653" i="24"/>
  <c r="H654" i="24"/>
  <c r="H655" i="24"/>
  <c r="H656" i="24"/>
  <c r="H657" i="24"/>
  <c r="H658" i="24"/>
  <c r="H659" i="24"/>
  <c r="H660" i="24"/>
  <c r="H661" i="24"/>
  <c r="H662" i="24"/>
  <c r="H663" i="24"/>
  <c r="H664" i="24"/>
  <c r="H665" i="24"/>
  <c r="H666" i="24"/>
  <c r="H667" i="24"/>
  <c r="H668" i="24"/>
  <c r="H669" i="24"/>
  <c r="H670" i="24"/>
  <c r="H671" i="24"/>
  <c r="H672" i="24"/>
  <c r="H673" i="24"/>
  <c r="H674" i="24"/>
  <c r="H675" i="24"/>
  <c r="H676" i="24"/>
  <c r="H677" i="24"/>
  <c r="H678" i="24"/>
  <c r="H679" i="24"/>
  <c r="H680" i="24"/>
  <c r="H681" i="24"/>
  <c r="H682" i="24"/>
  <c r="H683" i="24"/>
  <c r="H684" i="24"/>
  <c r="H685" i="24"/>
  <c r="H686" i="24"/>
  <c r="H687" i="24"/>
  <c r="H688" i="24"/>
  <c r="H689" i="24"/>
  <c r="H690" i="24"/>
  <c r="H691" i="24"/>
  <c r="H692" i="24"/>
  <c r="H693" i="24"/>
  <c r="H694" i="24"/>
  <c r="H695" i="24"/>
  <c r="H696" i="24"/>
  <c r="H697" i="24"/>
  <c r="H698" i="24"/>
  <c r="H699" i="24"/>
  <c r="H700" i="24"/>
  <c r="H701" i="24"/>
  <c r="H702" i="24"/>
  <c r="H703" i="24"/>
  <c r="H704" i="24"/>
  <c r="H705" i="24"/>
  <c r="H706" i="24"/>
  <c r="H707" i="24"/>
  <c r="H708" i="24"/>
  <c r="H709" i="24"/>
  <c r="H710" i="24"/>
  <c r="H711" i="24"/>
  <c r="H712" i="24"/>
  <c r="H713" i="24"/>
  <c r="H714" i="24"/>
  <c r="H715" i="24"/>
  <c r="H716" i="24"/>
  <c r="H717" i="24"/>
  <c r="H718" i="24"/>
  <c r="H719" i="24"/>
  <c r="H720" i="24"/>
  <c r="H721" i="24"/>
  <c r="H722" i="24"/>
  <c r="H723" i="24"/>
  <c r="H724" i="24"/>
  <c r="H725" i="24"/>
  <c r="H726" i="24"/>
  <c r="H727" i="24"/>
  <c r="H728" i="24"/>
  <c r="H729" i="24"/>
  <c r="H730" i="24"/>
  <c r="H731" i="24"/>
  <c r="H732" i="24"/>
  <c r="H733" i="24"/>
  <c r="H734" i="24"/>
  <c r="H735" i="24"/>
  <c r="H736" i="24"/>
  <c r="H737" i="24"/>
  <c r="H738" i="24"/>
  <c r="H739" i="24"/>
  <c r="H740" i="24"/>
  <c r="H741" i="24"/>
  <c r="H742" i="24"/>
  <c r="H743" i="24"/>
  <c r="H744" i="24"/>
  <c r="H745" i="24"/>
  <c r="H746" i="24"/>
  <c r="H747" i="24"/>
  <c r="H748" i="24"/>
  <c r="H749" i="24"/>
  <c r="H750" i="24"/>
  <c r="H751" i="24"/>
  <c r="H752" i="24"/>
  <c r="H753" i="24"/>
  <c r="H754" i="24"/>
  <c r="H755" i="24"/>
  <c r="H756" i="24"/>
  <c r="H757" i="24"/>
  <c r="H758" i="24"/>
  <c r="H759" i="24"/>
  <c r="H760" i="24"/>
  <c r="H761" i="24"/>
  <c r="H762" i="24"/>
  <c r="H763" i="24"/>
  <c r="H764" i="24"/>
  <c r="H765" i="24"/>
  <c r="H766" i="24"/>
  <c r="H767" i="24"/>
  <c r="H768" i="24"/>
  <c r="H769" i="24"/>
  <c r="H770" i="24"/>
  <c r="H771" i="24"/>
  <c r="H772" i="24"/>
  <c r="H773" i="24"/>
  <c r="H774" i="24"/>
  <c r="H775" i="24"/>
  <c r="H776" i="24"/>
  <c r="H777" i="24"/>
  <c r="H778" i="24"/>
  <c r="H779" i="24"/>
  <c r="H780" i="24"/>
  <c r="H781" i="24"/>
  <c r="H782" i="24"/>
  <c r="H783" i="24"/>
  <c r="H784" i="24"/>
  <c r="H785" i="24"/>
  <c r="H786" i="24"/>
  <c r="H787" i="24"/>
  <c r="H788" i="24"/>
  <c r="H789" i="24"/>
  <c r="H790" i="24"/>
  <c r="H791" i="24"/>
  <c r="H792" i="24"/>
  <c r="H793" i="24"/>
  <c r="H794" i="24"/>
  <c r="H795" i="24"/>
  <c r="H796" i="24"/>
  <c r="H797" i="24"/>
  <c r="H798" i="24"/>
  <c r="H799" i="24"/>
  <c r="H800" i="24"/>
  <c r="H801" i="24"/>
  <c r="H802" i="24"/>
  <c r="H803" i="24"/>
  <c r="H804" i="24"/>
  <c r="H805" i="24"/>
  <c r="H806" i="24"/>
  <c r="H807" i="24"/>
  <c r="H808" i="24"/>
  <c r="H809" i="24"/>
  <c r="H810" i="24"/>
  <c r="H811" i="24"/>
  <c r="H812" i="24"/>
  <c r="H813" i="24"/>
  <c r="H814" i="24"/>
  <c r="H815" i="24"/>
  <c r="H816" i="24"/>
  <c r="H817" i="24"/>
  <c r="H818" i="24"/>
  <c r="H819" i="24"/>
  <c r="H820" i="24"/>
  <c r="H821" i="24"/>
  <c r="H822" i="24"/>
  <c r="H823" i="24"/>
  <c r="H824" i="24"/>
  <c r="H825" i="24"/>
  <c r="H826" i="24"/>
  <c r="H827" i="24"/>
  <c r="H828" i="24"/>
  <c r="H829" i="24"/>
  <c r="H830" i="24"/>
  <c r="H831" i="24"/>
  <c r="H832" i="24"/>
  <c r="H833" i="24"/>
  <c r="H834" i="24"/>
  <c r="H835" i="24"/>
  <c r="H836" i="24"/>
  <c r="H837" i="24"/>
  <c r="H838" i="24"/>
  <c r="H839" i="24"/>
  <c r="H840" i="24"/>
  <c r="H841" i="24"/>
  <c r="H842" i="24"/>
  <c r="H843" i="24"/>
  <c r="H844" i="24"/>
  <c r="H845" i="24"/>
  <c r="H846" i="24"/>
  <c r="H847" i="24"/>
  <c r="H848" i="24"/>
  <c r="H849" i="24"/>
  <c r="H850" i="24"/>
  <c r="H851" i="24"/>
  <c r="H852" i="24"/>
  <c r="H853" i="24"/>
  <c r="H854" i="24"/>
  <c r="H855" i="24"/>
  <c r="H856" i="24"/>
  <c r="H857" i="24"/>
  <c r="H858" i="24"/>
  <c r="H859" i="24"/>
  <c r="H860" i="24"/>
  <c r="H861" i="24"/>
  <c r="H862" i="24"/>
  <c r="H863" i="24"/>
  <c r="H864" i="24"/>
  <c r="H865" i="24"/>
  <c r="H866" i="24"/>
  <c r="H867" i="24"/>
  <c r="H868" i="24"/>
  <c r="H869" i="24"/>
  <c r="H870" i="24"/>
  <c r="H871" i="24"/>
  <c r="H872" i="24"/>
  <c r="H873" i="24"/>
  <c r="H874" i="24"/>
  <c r="H875" i="24"/>
  <c r="H876" i="24"/>
  <c r="H877" i="24"/>
  <c r="H878" i="24"/>
  <c r="H879" i="24"/>
  <c r="H880" i="24"/>
  <c r="H881" i="24"/>
  <c r="H882" i="24"/>
  <c r="H883" i="24"/>
  <c r="H884" i="24"/>
  <c r="H885" i="24"/>
  <c r="H886" i="24"/>
  <c r="H887" i="24"/>
  <c r="H888" i="24"/>
  <c r="H889" i="24"/>
  <c r="H890" i="24"/>
  <c r="H891" i="24"/>
  <c r="H892" i="24"/>
  <c r="H893" i="24"/>
  <c r="H894" i="24"/>
  <c r="H895" i="24"/>
  <c r="H896" i="24"/>
  <c r="H897" i="24"/>
  <c r="H898" i="24"/>
  <c r="H899" i="24"/>
  <c r="H900" i="24"/>
  <c r="H901" i="24"/>
  <c r="H902" i="24"/>
  <c r="H903" i="24"/>
  <c r="H904" i="24"/>
  <c r="H905" i="24"/>
  <c r="H906" i="24"/>
  <c r="H907" i="24"/>
  <c r="H908" i="24"/>
  <c r="H909" i="24"/>
  <c r="H910" i="24"/>
  <c r="H911" i="24"/>
  <c r="H912" i="24"/>
  <c r="H913" i="24"/>
  <c r="H914" i="24"/>
  <c r="H915" i="24"/>
  <c r="H916" i="24"/>
  <c r="H917" i="24"/>
  <c r="H918" i="24"/>
  <c r="H919" i="24"/>
  <c r="H920" i="24"/>
  <c r="H921" i="24"/>
  <c r="H922" i="24"/>
  <c r="H923" i="24"/>
  <c r="H924" i="24"/>
  <c r="H925" i="24"/>
  <c r="H926" i="24"/>
  <c r="H927" i="24"/>
  <c r="H928" i="24"/>
  <c r="H929" i="24"/>
  <c r="H930" i="24"/>
  <c r="H931" i="24"/>
  <c r="H932" i="24"/>
  <c r="H933" i="24"/>
  <c r="H934" i="24"/>
  <c r="H935" i="24"/>
  <c r="H936" i="24"/>
  <c r="H937" i="24"/>
  <c r="H938" i="24"/>
  <c r="H939" i="24"/>
  <c r="H940" i="24"/>
  <c r="H941" i="24"/>
  <c r="H942" i="24"/>
  <c r="H943" i="24"/>
  <c r="H944" i="24"/>
  <c r="H945" i="24"/>
  <c r="H946" i="24"/>
  <c r="H947" i="24"/>
  <c r="H948" i="24"/>
  <c r="H949" i="24"/>
  <c r="H950" i="24"/>
  <c r="H951" i="24"/>
  <c r="H952" i="24"/>
  <c r="H953" i="24"/>
  <c r="H954" i="24"/>
  <c r="H955" i="24"/>
  <c r="H956" i="24"/>
  <c r="H957" i="24"/>
  <c r="H958" i="24"/>
  <c r="H959" i="24"/>
  <c r="H960" i="24"/>
  <c r="H961" i="24"/>
  <c r="H962" i="24"/>
  <c r="H963" i="24"/>
  <c r="H964" i="24"/>
  <c r="H965" i="24"/>
  <c r="H966" i="24"/>
  <c r="H967" i="24"/>
  <c r="H968" i="24"/>
  <c r="H969" i="24"/>
  <c r="H970" i="24"/>
  <c r="H971" i="24"/>
  <c r="H972" i="24"/>
  <c r="H973" i="24"/>
  <c r="H974" i="24"/>
  <c r="H975" i="24"/>
  <c r="H976" i="24"/>
  <c r="H977" i="24"/>
  <c r="H978" i="24"/>
  <c r="H979" i="24"/>
  <c r="H980" i="24"/>
  <c r="H981" i="24"/>
  <c r="H982" i="24"/>
  <c r="H983" i="24"/>
  <c r="H984" i="24"/>
  <c r="H985" i="24"/>
  <c r="H986" i="24"/>
  <c r="H987" i="24"/>
  <c r="H988" i="24"/>
  <c r="H989" i="24"/>
  <c r="H990" i="24"/>
  <c r="H991" i="24"/>
  <c r="H992" i="24"/>
  <c r="H993" i="24"/>
  <c r="H994" i="24"/>
  <c r="H995" i="24"/>
  <c r="H996" i="24"/>
  <c r="H997" i="24"/>
  <c r="H998" i="24"/>
  <c r="H999" i="24"/>
  <c r="H1000" i="24"/>
  <c r="G44" i="10"/>
  <c r="H44" i="10"/>
  <c r="I44" i="10"/>
  <c r="J44" i="10"/>
  <c r="K44" i="10"/>
  <c r="L44" i="10"/>
  <c r="M44" i="10"/>
  <c r="N44" i="10"/>
  <c r="O44" i="10"/>
  <c r="P44" i="10"/>
  <c r="Q44" i="10"/>
  <c r="F44" i="10"/>
  <c r="G34" i="10"/>
  <c r="H34" i="10"/>
  <c r="I34" i="10"/>
  <c r="J34" i="10"/>
  <c r="K34" i="10"/>
  <c r="L34" i="10"/>
  <c r="M34" i="10"/>
  <c r="N34" i="10"/>
  <c r="O34" i="10"/>
  <c r="P34" i="10"/>
  <c r="Q34" i="10"/>
  <c r="G35" i="10"/>
  <c r="H35" i="10"/>
  <c r="I35" i="10"/>
  <c r="J35" i="10"/>
  <c r="K35" i="10"/>
  <c r="L35" i="10"/>
  <c r="M35" i="10"/>
  <c r="N35" i="10"/>
  <c r="O35" i="10"/>
  <c r="P35" i="10"/>
  <c r="Q35" i="10"/>
  <c r="F34" i="10"/>
  <c r="R34" i="10" s="1"/>
  <c r="H104" i="10"/>
  <c r="I104" i="10"/>
  <c r="J104" i="10"/>
  <c r="K104" i="10"/>
  <c r="L104" i="10"/>
  <c r="M104" i="10"/>
  <c r="N104" i="10"/>
  <c r="O104" i="10"/>
  <c r="P104" i="10"/>
  <c r="Q104" i="10"/>
  <c r="F104" i="10"/>
  <c r="G104" i="10"/>
  <c r="G128" i="10"/>
  <c r="H128" i="10"/>
  <c r="I128" i="10"/>
  <c r="J128" i="10"/>
  <c r="K128" i="10"/>
  <c r="L128" i="10"/>
  <c r="M128" i="10"/>
  <c r="N128" i="10"/>
  <c r="O128" i="10"/>
  <c r="P128" i="10"/>
  <c r="Q128" i="10"/>
  <c r="F128" i="10"/>
  <c r="H112" i="10"/>
  <c r="I112" i="10"/>
  <c r="J112" i="10"/>
  <c r="K112" i="10"/>
  <c r="L112" i="10"/>
  <c r="M112" i="10"/>
  <c r="N112" i="10"/>
  <c r="O112" i="10"/>
  <c r="P112" i="10"/>
  <c r="Q112" i="10"/>
  <c r="G123" i="10"/>
  <c r="H123" i="10"/>
  <c r="I123" i="10"/>
  <c r="J123" i="10"/>
  <c r="K123" i="10"/>
  <c r="L123" i="10"/>
  <c r="M123" i="10"/>
  <c r="N123" i="10"/>
  <c r="O123" i="10"/>
  <c r="P123" i="10"/>
  <c r="Q123" i="10"/>
  <c r="F123" i="10"/>
  <c r="G118" i="10"/>
  <c r="H118" i="10"/>
  <c r="I118" i="10"/>
  <c r="J118" i="10"/>
  <c r="K118" i="10"/>
  <c r="L118" i="10"/>
  <c r="M118" i="10"/>
  <c r="N118" i="10"/>
  <c r="O118" i="10"/>
  <c r="P118" i="10"/>
  <c r="Q118" i="10"/>
  <c r="F118" i="10"/>
  <c r="R118" i="10" s="1"/>
  <c r="G115" i="10"/>
  <c r="H115" i="10"/>
  <c r="I115" i="10"/>
  <c r="J115" i="10"/>
  <c r="K115" i="10"/>
  <c r="L115" i="10"/>
  <c r="M115" i="10"/>
  <c r="N115" i="10"/>
  <c r="O115" i="10"/>
  <c r="P115" i="10"/>
  <c r="Q115" i="10"/>
  <c r="F115" i="10"/>
  <c r="C10" i="38"/>
  <c r="G105" i="10"/>
  <c r="H105" i="10"/>
  <c r="I105" i="10"/>
  <c r="J105" i="10"/>
  <c r="K105" i="10"/>
  <c r="L105" i="10"/>
  <c r="M105" i="10"/>
  <c r="N105" i="10"/>
  <c r="O105" i="10"/>
  <c r="P105" i="10"/>
  <c r="Q105" i="10"/>
  <c r="K21" i="34"/>
  <c r="F105" i="10" s="1"/>
  <c r="G103" i="10"/>
  <c r="H103" i="10"/>
  <c r="I103" i="10"/>
  <c r="J103" i="10"/>
  <c r="K103" i="10"/>
  <c r="L103" i="10"/>
  <c r="M103" i="10"/>
  <c r="N103" i="10"/>
  <c r="O103" i="10"/>
  <c r="P103" i="10"/>
  <c r="Q103" i="10"/>
  <c r="G102" i="10"/>
  <c r="H102" i="10"/>
  <c r="I102" i="10"/>
  <c r="J102" i="10"/>
  <c r="K102" i="10"/>
  <c r="L102" i="10"/>
  <c r="M102" i="10"/>
  <c r="N102" i="10"/>
  <c r="O102" i="10"/>
  <c r="P102" i="10"/>
  <c r="Q102" i="10"/>
  <c r="F102" i="10"/>
  <c r="G99" i="10"/>
  <c r="H99" i="10"/>
  <c r="I99" i="10"/>
  <c r="J99" i="10"/>
  <c r="K99" i="10"/>
  <c r="L99" i="10"/>
  <c r="M99" i="10"/>
  <c r="N99" i="10"/>
  <c r="O99" i="10"/>
  <c r="P99" i="10"/>
  <c r="Q99" i="10"/>
  <c r="F99" i="10"/>
  <c r="F95" i="10"/>
  <c r="G95" i="10"/>
  <c r="H95" i="10"/>
  <c r="I95" i="10"/>
  <c r="J95" i="10"/>
  <c r="K95" i="10"/>
  <c r="L95" i="10"/>
  <c r="M95" i="10"/>
  <c r="N95" i="10"/>
  <c r="O95" i="10"/>
  <c r="P95" i="10"/>
  <c r="Q95" i="10"/>
  <c r="G98" i="10"/>
  <c r="H98" i="10"/>
  <c r="I98" i="10"/>
  <c r="J98" i="10"/>
  <c r="K98" i="10"/>
  <c r="L98" i="10"/>
  <c r="O98" i="10"/>
  <c r="P98" i="10"/>
  <c r="G94" i="10"/>
  <c r="I94" i="10"/>
  <c r="J94" i="10"/>
  <c r="K94" i="10"/>
  <c r="N94" i="10"/>
  <c r="O94" i="10"/>
  <c r="P94" i="10"/>
  <c r="Q94" i="10"/>
  <c r="G93" i="10"/>
  <c r="H93" i="10"/>
  <c r="I93" i="10"/>
  <c r="J93" i="10"/>
  <c r="K93" i="10"/>
  <c r="L93" i="10"/>
  <c r="M93" i="10"/>
  <c r="N93" i="10"/>
  <c r="O93" i="10"/>
  <c r="P93" i="10"/>
  <c r="Q93" i="10"/>
  <c r="F93" i="10"/>
  <c r="G91" i="10"/>
  <c r="H91" i="10"/>
  <c r="I91" i="10"/>
  <c r="J91" i="10"/>
  <c r="K91" i="10"/>
  <c r="L91" i="10"/>
  <c r="M91" i="10"/>
  <c r="N91" i="10"/>
  <c r="O91" i="10"/>
  <c r="P91" i="10"/>
  <c r="Q91" i="10"/>
  <c r="F91" i="10"/>
  <c r="F90" i="10"/>
  <c r="G90" i="10"/>
  <c r="H90" i="10"/>
  <c r="I90" i="10"/>
  <c r="J90" i="10"/>
  <c r="K90" i="10"/>
  <c r="L90" i="10"/>
  <c r="M90" i="10"/>
  <c r="N90" i="10"/>
  <c r="O90" i="10"/>
  <c r="P90" i="10"/>
  <c r="Q90" i="10"/>
  <c r="G84" i="10"/>
  <c r="H84" i="10"/>
  <c r="I84" i="10"/>
  <c r="J84" i="10"/>
  <c r="K84" i="10"/>
  <c r="L84" i="10"/>
  <c r="M84" i="10"/>
  <c r="N84" i="10"/>
  <c r="O84" i="10"/>
  <c r="P84" i="10"/>
  <c r="Q84" i="10"/>
  <c r="F84" i="10"/>
  <c r="G74" i="10"/>
  <c r="H74" i="10"/>
  <c r="I74" i="10"/>
  <c r="J74" i="10"/>
  <c r="K74" i="10"/>
  <c r="L74" i="10"/>
  <c r="M74" i="10"/>
  <c r="N74" i="10"/>
  <c r="O74" i="10"/>
  <c r="P74" i="10"/>
  <c r="Q74" i="10"/>
  <c r="F74" i="10"/>
  <c r="H73" i="10"/>
  <c r="M73" i="10"/>
  <c r="O73" i="10"/>
  <c r="P73" i="10"/>
  <c r="Q73" i="10"/>
  <c r="G81" i="10"/>
  <c r="H81" i="10"/>
  <c r="I81" i="10"/>
  <c r="J81" i="10"/>
  <c r="K81" i="10"/>
  <c r="L81" i="10"/>
  <c r="M81" i="10"/>
  <c r="N81" i="10"/>
  <c r="O81" i="10"/>
  <c r="P81" i="10"/>
  <c r="Q81" i="10"/>
  <c r="F81" i="10"/>
  <c r="R81" i="10" s="1"/>
  <c r="G80" i="10"/>
  <c r="H80" i="10"/>
  <c r="I80" i="10"/>
  <c r="J80" i="10"/>
  <c r="K80" i="10"/>
  <c r="L80" i="10"/>
  <c r="M80" i="10"/>
  <c r="N80" i="10"/>
  <c r="O80" i="10"/>
  <c r="P80" i="10"/>
  <c r="Q80" i="10"/>
  <c r="F80" i="10"/>
  <c r="G71" i="10"/>
  <c r="H71" i="10"/>
  <c r="I71" i="10"/>
  <c r="J71" i="10"/>
  <c r="K71" i="10"/>
  <c r="L71" i="10"/>
  <c r="M71" i="10"/>
  <c r="N71" i="10"/>
  <c r="O71" i="10"/>
  <c r="P71" i="10"/>
  <c r="Q71" i="10"/>
  <c r="F71" i="10"/>
  <c r="G70" i="10"/>
  <c r="H70" i="10"/>
  <c r="I70" i="10"/>
  <c r="J70" i="10"/>
  <c r="K70" i="10"/>
  <c r="L70" i="10"/>
  <c r="M70" i="10"/>
  <c r="N70" i="10"/>
  <c r="O70" i="10"/>
  <c r="P70" i="10"/>
  <c r="Q70" i="10"/>
  <c r="G68" i="10"/>
  <c r="H68" i="10"/>
  <c r="I68" i="10"/>
  <c r="J68" i="10"/>
  <c r="K68" i="10"/>
  <c r="L68" i="10"/>
  <c r="M68" i="10"/>
  <c r="N68" i="10"/>
  <c r="O68" i="10"/>
  <c r="P68" i="10"/>
  <c r="Q68" i="10"/>
  <c r="F68" i="10"/>
  <c r="G67" i="10"/>
  <c r="I67" i="10"/>
  <c r="J67" i="10"/>
  <c r="K67" i="10"/>
  <c r="L67" i="10"/>
  <c r="N67" i="10"/>
  <c r="O67" i="10"/>
  <c r="P67" i="10"/>
  <c r="Q67" i="10"/>
  <c r="F67" i="10"/>
  <c r="G65" i="10"/>
  <c r="H65" i="10"/>
  <c r="I65" i="10"/>
  <c r="J65" i="10"/>
  <c r="K65" i="10"/>
  <c r="L65" i="10"/>
  <c r="M65" i="10"/>
  <c r="N65" i="10"/>
  <c r="O65" i="10"/>
  <c r="P65" i="10"/>
  <c r="Q65" i="10"/>
  <c r="F65" i="10"/>
  <c r="G64" i="10"/>
  <c r="H64" i="10"/>
  <c r="I64" i="10"/>
  <c r="J64" i="10"/>
  <c r="K64" i="10"/>
  <c r="L64" i="10"/>
  <c r="M64" i="10"/>
  <c r="N64" i="10"/>
  <c r="O64" i="10"/>
  <c r="P64" i="10"/>
  <c r="Q64" i="10"/>
  <c r="F64" i="10"/>
  <c r="G62" i="10"/>
  <c r="H62" i="10"/>
  <c r="I62" i="10"/>
  <c r="J62" i="10"/>
  <c r="K62" i="10"/>
  <c r="L62" i="10"/>
  <c r="M62" i="10"/>
  <c r="N62" i="10"/>
  <c r="O62" i="10"/>
  <c r="P62" i="10"/>
  <c r="Q62" i="10"/>
  <c r="F62" i="10"/>
  <c r="M61" i="10"/>
  <c r="G57" i="10"/>
  <c r="H57" i="10"/>
  <c r="I57" i="10"/>
  <c r="J57" i="10"/>
  <c r="K57" i="10"/>
  <c r="L57" i="10"/>
  <c r="M57" i="10"/>
  <c r="N57" i="10"/>
  <c r="O57" i="10"/>
  <c r="P57" i="10"/>
  <c r="Q57" i="10"/>
  <c r="F57" i="10"/>
  <c r="F56" i="10"/>
  <c r="G56" i="10"/>
  <c r="H56" i="10"/>
  <c r="I56" i="10"/>
  <c r="J56" i="10"/>
  <c r="K56" i="10"/>
  <c r="L56" i="10"/>
  <c r="M56" i="10"/>
  <c r="N56" i="10"/>
  <c r="O56" i="10"/>
  <c r="P56" i="10"/>
  <c r="Q56" i="10"/>
  <c r="G55" i="10"/>
  <c r="H55" i="10"/>
  <c r="I55" i="10"/>
  <c r="J55" i="10"/>
  <c r="K55" i="10"/>
  <c r="L55" i="10"/>
  <c r="M55" i="10"/>
  <c r="N55" i="10"/>
  <c r="O55" i="10"/>
  <c r="P55" i="10"/>
  <c r="Q55" i="10"/>
  <c r="F55" i="10"/>
  <c r="G54" i="10"/>
  <c r="H54" i="10"/>
  <c r="J54" i="10"/>
  <c r="K54" i="10"/>
  <c r="L54" i="10"/>
  <c r="M54" i="10"/>
  <c r="N54" i="10"/>
  <c r="O54" i="10"/>
  <c r="P54" i="10"/>
  <c r="Q54" i="10"/>
  <c r="F54" i="10"/>
  <c r="G45" i="10"/>
  <c r="H45" i="10"/>
  <c r="I45" i="10"/>
  <c r="J45" i="10"/>
  <c r="K45" i="10"/>
  <c r="L45" i="10"/>
  <c r="M45" i="10"/>
  <c r="N45" i="10"/>
  <c r="O45" i="10"/>
  <c r="P45" i="10"/>
  <c r="Q45" i="10"/>
  <c r="G46" i="10"/>
  <c r="H46" i="10"/>
  <c r="I46" i="10"/>
  <c r="J46" i="10"/>
  <c r="K46" i="10"/>
  <c r="L46" i="10"/>
  <c r="M46" i="10"/>
  <c r="N46" i="10"/>
  <c r="O46" i="10"/>
  <c r="P46" i="10"/>
  <c r="Q46" i="10"/>
  <c r="F46" i="10"/>
  <c r="F45" i="10"/>
  <c r="G36" i="10"/>
  <c r="H36" i="10"/>
  <c r="I36" i="10"/>
  <c r="J36" i="10"/>
  <c r="K36" i="10"/>
  <c r="L36" i="10"/>
  <c r="M36" i="10"/>
  <c r="N36" i="10"/>
  <c r="O36" i="10"/>
  <c r="P36" i="10"/>
  <c r="Q36" i="10"/>
  <c r="G33" i="10"/>
  <c r="I33" i="10"/>
  <c r="J33" i="10"/>
  <c r="K33" i="10"/>
  <c r="M33" i="10"/>
  <c r="N33" i="10"/>
  <c r="O33" i="10"/>
  <c r="P33" i="10"/>
  <c r="Q33" i="10"/>
  <c r="G31" i="10"/>
  <c r="H31" i="10"/>
  <c r="I31" i="10"/>
  <c r="J31" i="10"/>
  <c r="K31" i="10"/>
  <c r="L31" i="10"/>
  <c r="M31" i="10"/>
  <c r="N31" i="10"/>
  <c r="O31" i="10"/>
  <c r="P31" i="10"/>
  <c r="Q31" i="10"/>
  <c r="F31" i="10"/>
  <c r="G41" i="10"/>
  <c r="H41" i="10"/>
  <c r="I41" i="10"/>
  <c r="J41" i="10"/>
  <c r="K41" i="10"/>
  <c r="L41" i="10"/>
  <c r="M41" i="10"/>
  <c r="N41" i="10"/>
  <c r="O41" i="10"/>
  <c r="P41" i="10"/>
  <c r="Q41" i="10"/>
  <c r="F41" i="10"/>
  <c r="G39" i="10"/>
  <c r="H39" i="10"/>
  <c r="I39" i="10"/>
  <c r="J39" i="10"/>
  <c r="K39" i="10"/>
  <c r="L39" i="10"/>
  <c r="M39" i="10"/>
  <c r="N39" i="10"/>
  <c r="O39" i="10"/>
  <c r="P39" i="10"/>
  <c r="Q39" i="10"/>
  <c r="F39" i="10"/>
  <c r="J38" i="10"/>
  <c r="L38" i="10"/>
  <c r="O38" i="10"/>
  <c r="P38" i="10"/>
  <c r="Q38" i="10"/>
  <c r="F36" i="10"/>
  <c r="R36" i="10" s="1"/>
  <c r="F35" i="10"/>
  <c r="R35" i="10" s="1"/>
  <c r="F33" i="10"/>
  <c r="G30" i="10"/>
  <c r="H30" i="10"/>
  <c r="I30" i="10"/>
  <c r="J30" i="10"/>
  <c r="K30" i="10"/>
  <c r="L30" i="10"/>
  <c r="M30" i="10"/>
  <c r="N30" i="10"/>
  <c r="O30" i="10"/>
  <c r="P30" i="10"/>
  <c r="Q30" i="10"/>
  <c r="F30" i="10"/>
  <c r="G29" i="10"/>
  <c r="H29" i="10"/>
  <c r="I29" i="10"/>
  <c r="J29" i="10"/>
  <c r="K29" i="10"/>
  <c r="L29" i="10"/>
  <c r="M29" i="10"/>
  <c r="N29" i="10"/>
  <c r="O29" i="10"/>
  <c r="P29" i="10"/>
  <c r="Q29" i="10"/>
  <c r="F29" i="10"/>
  <c r="F24" i="10"/>
  <c r="H28" i="10"/>
  <c r="I28" i="10"/>
  <c r="J28" i="10"/>
  <c r="K28" i="10"/>
  <c r="L28" i="10"/>
  <c r="M28" i="10"/>
  <c r="N28" i="10"/>
  <c r="O28" i="10"/>
  <c r="P28" i="10"/>
  <c r="Q28" i="10"/>
  <c r="F28" i="10"/>
  <c r="G26" i="10"/>
  <c r="H26" i="10"/>
  <c r="I26" i="10"/>
  <c r="J26" i="10"/>
  <c r="K26" i="10"/>
  <c r="L26" i="10"/>
  <c r="M26" i="10"/>
  <c r="N26" i="10"/>
  <c r="O26" i="10"/>
  <c r="P26" i="10"/>
  <c r="Q26" i="10"/>
  <c r="F26" i="10"/>
  <c r="G25" i="10"/>
  <c r="F25" i="10"/>
  <c r="P25" i="10"/>
  <c r="Q25" i="10"/>
  <c r="O25" i="10"/>
  <c r="N25" i="10"/>
  <c r="M25" i="10"/>
  <c r="L25" i="10"/>
  <c r="K25" i="10"/>
  <c r="J25" i="10"/>
  <c r="I25" i="10"/>
  <c r="H25" i="10"/>
  <c r="Q24" i="10"/>
  <c r="P24" i="10"/>
  <c r="O24" i="10"/>
  <c r="N24" i="10"/>
  <c r="M24" i="10"/>
  <c r="L24" i="10"/>
  <c r="K24" i="10"/>
  <c r="J24" i="10"/>
  <c r="I24" i="10"/>
  <c r="H24" i="10"/>
  <c r="G24" i="10"/>
  <c r="R105" i="10" l="1"/>
  <c r="R99" i="10"/>
  <c r="R74" i="10"/>
  <c r="R44" i="10"/>
  <c r="R31" i="10"/>
  <c r="T25" i="10"/>
  <c r="S25" i="10"/>
  <c r="U25" i="10"/>
  <c r="S24" i="10"/>
  <c r="T31" i="10"/>
  <c r="R112" i="10"/>
  <c r="V112" i="10"/>
  <c r="S81" i="10"/>
  <c r="T41" i="10"/>
  <c r="S118" i="10"/>
  <c r="U112" i="10"/>
  <c r="T112" i="10"/>
  <c r="S112" i="10"/>
  <c r="U57" i="10"/>
  <c r="T36" i="10"/>
  <c r="T26" i="10"/>
  <c r="T84" i="10"/>
  <c r="U74" i="10"/>
  <c r="S74" i="10"/>
  <c r="T118" i="10"/>
  <c r="R30" i="10"/>
  <c r="R39" i="10"/>
  <c r="S40" i="10"/>
  <c r="T56" i="10"/>
  <c r="R62" i="10"/>
  <c r="T35" i="10"/>
  <c r="U44" i="10"/>
  <c r="T65" i="10"/>
  <c r="U71" i="10"/>
  <c r="U38" i="10"/>
  <c r="U35" i="10"/>
  <c r="U31" i="10"/>
  <c r="U36" i="10"/>
  <c r="T81" i="10"/>
  <c r="R80" i="10"/>
  <c r="U115" i="10"/>
  <c r="T57" i="10"/>
  <c r="S57" i="10"/>
  <c r="U39" i="10"/>
  <c r="S56" i="10"/>
  <c r="S35" i="10"/>
  <c r="T44" i="10"/>
  <c r="S55" i="10"/>
  <c r="S41" i="10"/>
  <c r="T46" i="10"/>
  <c r="S68" i="10"/>
  <c r="T74" i="10"/>
  <c r="T40" i="10"/>
  <c r="R40" i="10"/>
  <c r="R41" i="10"/>
  <c r="R65" i="10"/>
  <c r="U84" i="10"/>
  <c r="T19" i="10"/>
  <c r="U29" i="10"/>
  <c r="S103" i="10"/>
  <c r="T68" i="10"/>
  <c r="S26" i="10"/>
  <c r="S65" i="10"/>
  <c r="U40" i="10"/>
  <c r="U81" i="10"/>
  <c r="U118" i="10"/>
  <c r="S29" i="10"/>
  <c r="U56" i="10"/>
  <c r="S46" i="10"/>
  <c r="S71" i="10"/>
  <c r="R84" i="10"/>
  <c r="V84" i="10"/>
  <c r="U62" i="10"/>
  <c r="R26" i="10"/>
  <c r="S31" i="10"/>
  <c r="S36" i="10"/>
  <c r="T24" i="10"/>
  <c r="T30" i="10"/>
  <c r="T39" i="10"/>
  <c r="T45" i="10"/>
  <c r="U55" i="10"/>
  <c r="R56" i="10"/>
  <c r="T62" i="10"/>
  <c r="R68" i="10"/>
  <c r="S44" i="10"/>
  <c r="S84" i="10"/>
  <c r="U94" i="10"/>
  <c r="S34" i="10"/>
  <c r="U30" i="10"/>
  <c r="R55" i="10"/>
  <c r="U26" i="10"/>
  <c r="R24" i="10"/>
  <c r="U41" i="10"/>
  <c r="R57" i="10"/>
  <c r="U65" i="10"/>
  <c r="U34" i="10"/>
  <c r="T34" i="10"/>
  <c r="U46" i="10"/>
  <c r="S104" i="10"/>
  <c r="T29" i="10"/>
  <c r="T71" i="10"/>
  <c r="R25" i="10"/>
  <c r="U45" i="10"/>
  <c r="R29" i="10"/>
  <c r="R45" i="10"/>
  <c r="U24" i="10"/>
  <c r="S30" i="10"/>
  <c r="S39" i="10"/>
  <c r="R46" i="10"/>
  <c r="S45" i="10"/>
  <c r="T55" i="10"/>
  <c r="S62" i="10"/>
  <c r="U68" i="10"/>
  <c r="R71" i="10"/>
  <c r="R128" i="10"/>
  <c r="V128" i="10"/>
  <c r="U123" i="10"/>
  <c r="R93" i="10"/>
  <c r="S80" i="10"/>
  <c r="U80" i="10"/>
  <c r="T80" i="10"/>
  <c r="U73" i="10"/>
  <c r="T70" i="10"/>
  <c r="S70" i="10"/>
  <c r="U70" i="10"/>
  <c r="S67" i="10"/>
  <c r="U67" i="10"/>
  <c r="U64" i="10"/>
  <c r="R64" i="10"/>
  <c r="T64" i="10"/>
  <c r="S64" i="10"/>
  <c r="U54" i="10"/>
  <c r="T54" i="10"/>
  <c r="R54" i="10"/>
  <c r="T28" i="10"/>
  <c r="S28" i="10"/>
  <c r="U28" i="10"/>
  <c r="U33" i="10"/>
  <c r="S33" i="10"/>
  <c r="U90" i="10"/>
  <c r="R90" i="10"/>
  <c r="R91" i="10"/>
  <c r="T90" i="10"/>
  <c r="U91" i="10"/>
  <c r="S91" i="10"/>
  <c r="S90" i="10"/>
  <c r="T91" i="10"/>
  <c r="S93" i="10"/>
  <c r="U93" i="10"/>
  <c r="T93" i="10"/>
  <c r="S98" i="10"/>
  <c r="S94" i="10"/>
  <c r="U99" i="10"/>
  <c r="T99" i="10"/>
  <c r="S95" i="10"/>
  <c r="R95" i="10"/>
  <c r="S99" i="10"/>
  <c r="U95" i="10"/>
  <c r="T95" i="10"/>
  <c r="U102" i="10"/>
  <c r="T102" i="10"/>
  <c r="S102" i="10"/>
  <c r="U105" i="10"/>
  <c r="R103" i="10"/>
  <c r="T105" i="10"/>
  <c r="R104" i="10"/>
  <c r="U103" i="10"/>
  <c r="S105" i="10"/>
  <c r="U104" i="10"/>
  <c r="T103" i="10"/>
  <c r="T104" i="10"/>
  <c r="R102" i="10"/>
  <c r="R115" i="10"/>
  <c r="T115" i="10"/>
  <c r="S115" i="10"/>
  <c r="R117" i="10"/>
  <c r="T117" i="10"/>
  <c r="S117" i="10"/>
  <c r="U117" i="10"/>
  <c r="T123" i="10"/>
  <c r="S123" i="10"/>
  <c r="R123" i="10"/>
  <c r="U128" i="10"/>
  <c r="T128" i="10"/>
  <c r="S128" i="10"/>
  <c r="V41" i="10"/>
  <c r="E17" i="34"/>
  <c r="V76" i="10"/>
  <c r="V46" i="10"/>
  <c r="V56" i="10"/>
  <c r="V57" i="10"/>
  <c r="V62" i="10"/>
  <c r="F11" i="15"/>
  <c r="F17" i="10"/>
  <c r="F9" i="47"/>
  <c r="H14" i="44"/>
  <c r="H13" i="44"/>
  <c r="C17" i="40"/>
  <c r="C62" i="39"/>
  <c r="E16" i="34" l="1"/>
  <c r="E15" i="34"/>
  <c r="F11" i="29"/>
  <c r="H1000" i="29"/>
  <c r="H999" i="29"/>
  <c r="H998" i="29"/>
  <c r="H997" i="29"/>
  <c r="H996" i="29"/>
  <c r="H995" i="29"/>
  <c r="H994" i="29"/>
  <c r="H993" i="29"/>
  <c r="H992" i="29"/>
  <c r="H991" i="29"/>
  <c r="H990" i="29"/>
  <c r="H989" i="29"/>
  <c r="H988" i="29"/>
  <c r="H987" i="29"/>
  <c r="H986" i="29"/>
  <c r="H985" i="29"/>
  <c r="H984" i="29"/>
  <c r="H983" i="29"/>
  <c r="H982" i="29"/>
  <c r="H981" i="29"/>
  <c r="H980" i="29"/>
  <c r="H979" i="29"/>
  <c r="H978" i="29"/>
  <c r="H977" i="29"/>
  <c r="H976" i="29"/>
  <c r="H975" i="29"/>
  <c r="H974" i="29"/>
  <c r="H973" i="29"/>
  <c r="H972" i="29"/>
  <c r="H971" i="29"/>
  <c r="H970" i="29"/>
  <c r="H969" i="29"/>
  <c r="H968" i="29"/>
  <c r="H967" i="29"/>
  <c r="H966" i="29"/>
  <c r="H965" i="29"/>
  <c r="H964" i="29"/>
  <c r="H963" i="29"/>
  <c r="H962" i="29"/>
  <c r="H961" i="29"/>
  <c r="H960" i="29"/>
  <c r="H959" i="29"/>
  <c r="H958" i="29"/>
  <c r="H957" i="29"/>
  <c r="H956" i="29"/>
  <c r="H955" i="29"/>
  <c r="H954" i="29"/>
  <c r="H953" i="29"/>
  <c r="H952" i="29"/>
  <c r="H951" i="29"/>
  <c r="H950" i="29"/>
  <c r="H949" i="29"/>
  <c r="H948" i="29"/>
  <c r="H947" i="29"/>
  <c r="H946" i="29"/>
  <c r="H945" i="29"/>
  <c r="H944" i="29"/>
  <c r="H943" i="29"/>
  <c r="H942" i="29"/>
  <c r="H941" i="29"/>
  <c r="H940" i="29"/>
  <c r="H939" i="29"/>
  <c r="H938" i="29"/>
  <c r="H937" i="29"/>
  <c r="H936" i="29"/>
  <c r="H935" i="29"/>
  <c r="H934" i="29"/>
  <c r="H933" i="29"/>
  <c r="H932" i="29"/>
  <c r="H931" i="29"/>
  <c r="H930" i="29"/>
  <c r="H929" i="29"/>
  <c r="H928" i="29"/>
  <c r="H927" i="29"/>
  <c r="H926" i="29"/>
  <c r="H925" i="29"/>
  <c r="H924" i="29"/>
  <c r="H923" i="29"/>
  <c r="H922" i="29"/>
  <c r="H921" i="29"/>
  <c r="H920" i="29"/>
  <c r="H919" i="29"/>
  <c r="H918" i="29"/>
  <c r="H917" i="29"/>
  <c r="H916" i="29"/>
  <c r="H915" i="29"/>
  <c r="H914" i="29"/>
  <c r="H913" i="29"/>
  <c r="H912" i="29"/>
  <c r="H911" i="29"/>
  <c r="H910" i="29"/>
  <c r="H909" i="29"/>
  <c r="H908" i="29"/>
  <c r="H907" i="29"/>
  <c r="H906" i="29"/>
  <c r="H905" i="29"/>
  <c r="H904" i="29"/>
  <c r="H903" i="29"/>
  <c r="H902" i="29"/>
  <c r="H901" i="29"/>
  <c r="H900" i="29"/>
  <c r="H899" i="29"/>
  <c r="H898" i="29"/>
  <c r="H897" i="29"/>
  <c r="H896" i="29"/>
  <c r="H895" i="29"/>
  <c r="H894" i="29"/>
  <c r="H893" i="29"/>
  <c r="H892" i="29"/>
  <c r="H891" i="29"/>
  <c r="H890" i="29"/>
  <c r="H889" i="29"/>
  <c r="H888" i="29"/>
  <c r="H887" i="29"/>
  <c r="H886" i="29"/>
  <c r="H885" i="29"/>
  <c r="H884" i="29"/>
  <c r="H883" i="29"/>
  <c r="H882" i="29"/>
  <c r="H881" i="29"/>
  <c r="H880" i="29"/>
  <c r="H879" i="29"/>
  <c r="H878" i="29"/>
  <c r="H877" i="29"/>
  <c r="H876" i="29"/>
  <c r="H875" i="29"/>
  <c r="H874" i="29"/>
  <c r="H873" i="29"/>
  <c r="H872" i="29"/>
  <c r="H871" i="29"/>
  <c r="H870" i="29"/>
  <c r="H869" i="29"/>
  <c r="H868" i="29"/>
  <c r="H867" i="29"/>
  <c r="H866" i="29"/>
  <c r="H865" i="29"/>
  <c r="H864" i="29"/>
  <c r="H863" i="29"/>
  <c r="H862" i="29"/>
  <c r="H861" i="29"/>
  <c r="H860" i="29"/>
  <c r="H859" i="29"/>
  <c r="H858" i="29"/>
  <c r="H857" i="29"/>
  <c r="H856" i="29"/>
  <c r="H855" i="29"/>
  <c r="H854" i="29"/>
  <c r="H853" i="29"/>
  <c r="H852" i="29"/>
  <c r="H851" i="29"/>
  <c r="H850" i="29"/>
  <c r="H849" i="29"/>
  <c r="H848" i="29"/>
  <c r="H847" i="29"/>
  <c r="H846" i="29"/>
  <c r="H845" i="29"/>
  <c r="H844" i="29"/>
  <c r="H843" i="29"/>
  <c r="H842" i="29"/>
  <c r="H841" i="29"/>
  <c r="H840" i="29"/>
  <c r="H839" i="29"/>
  <c r="H838" i="29"/>
  <c r="H837" i="29"/>
  <c r="H836" i="29"/>
  <c r="H835" i="29"/>
  <c r="H834" i="29"/>
  <c r="H833" i="29"/>
  <c r="H832" i="29"/>
  <c r="H831" i="29"/>
  <c r="H830" i="29"/>
  <c r="H829" i="29"/>
  <c r="H828" i="29"/>
  <c r="H827" i="29"/>
  <c r="H826" i="29"/>
  <c r="H825" i="29"/>
  <c r="H824" i="29"/>
  <c r="H823" i="29"/>
  <c r="H822" i="29"/>
  <c r="H821" i="29"/>
  <c r="H820" i="29"/>
  <c r="H819" i="29"/>
  <c r="H818" i="29"/>
  <c r="H817" i="29"/>
  <c r="H816" i="29"/>
  <c r="H815" i="29"/>
  <c r="H814" i="29"/>
  <c r="H813" i="29"/>
  <c r="H812" i="29"/>
  <c r="H811" i="29"/>
  <c r="H810" i="29"/>
  <c r="H809" i="29"/>
  <c r="H808" i="29"/>
  <c r="H807" i="29"/>
  <c r="H806" i="29"/>
  <c r="H805" i="29"/>
  <c r="H804" i="29"/>
  <c r="H803" i="29"/>
  <c r="H802" i="29"/>
  <c r="H801" i="29"/>
  <c r="H800" i="29"/>
  <c r="H799" i="29"/>
  <c r="H798" i="29"/>
  <c r="H797" i="29"/>
  <c r="H796" i="29"/>
  <c r="H795" i="29"/>
  <c r="H794" i="29"/>
  <c r="H793" i="29"/>
  <c r="H792" i="29"/>
  <c r="H791" i="29"/>
  <c r="H790" i="29"/>
  <c r="H789" i="29"/>
  <c r="H788" i="29"/>
  <c r="H787" i="29"/>
  <c r="H786" i="29"/>
  <c r="H785" i="29"/>
  <c r="H784" i="29"/>
  <c r="H783" i="29"/>
  <c r="H782" i="29"/>
  <c r="H781" i="29"/>
  <c r="H780" i="29"/>
  <c r="H779" i="29"/>
  <c r="H778" i="29"/>
  <c r="H777" i="29"/>
  <c r="H776" i="29"/>
  <c r="H775" i="29"/>
  <c r="H774" i="29"/>
  <c r="H773" i="29"/>
  <c r="H772" i="29"/>
  <c r="H771" i="29"/>
  <c r="H770" i="29"/>
  <c r="H769" i="29"/>
  <c r="H768" i="29"/>
  <c r="H767" i="29"/>
  <c r="H766" i="29"/>
  <c r="H765" i="29"/>
  <c r="H764" i="29"/>
  <c r="H763" i="29"/>
  <c r="H762" i="29"/>
  <c r="H761" i="29"/>
  <c r="H760" i="29"/>
  <c r="H759" i="29"/>
  <c r="H758" i="29"/>
  <c r="H757" i="29"/>
  <c r="H756" i="29"/>
  <c r="H755" i="29"/>
  <c r="H754" i="29"/>
  <c r="H753" i="29"/>
  <c r="H752" i="29"/>
  <c r="H751" i="29"/>
  <c r="H750" i="29"/>
  <c r="H749" i="29"/>
  <c r="H748" i="29"/>
  <c r="H747" i="29"/>
  <c r="H746" i="29"/>
  <c r="H745" i="29"/>
  <c r="H744" i="29"/>
  <c r="H743" i="29"/>
  <c r="H742" i="29"/>
  <c r="H741" i="29"/>
  <c r="H740" i="29"/>
  <c r="H739" i="29"/>
  <c r="H738" i="29"/>
  <c r="H737" i="29"/>
  <c r="H736" i="29"/>
  <c r="H735" i="29"/>
  <c r="H734" i="29"/>
  <c r="H733" i="29"/>
  <c r="H732" i="29"/>
  <c r="H731" i="29"/>
  <c r="H730" i="29"/>
  <c r="H729" i="29"/>
  <c r="H728" i="29"/>
  <c r="H727" i="29"/>
  <c r="H726" i="29"/>
  <c r="H725" i="29"/>
  <c r="H724" i="29"/>
  <c r="H723" i="29"/>
  <c r="H722" i="29"/>
  <c r="H721" i="29"/>
  <c r="H720" i="29"/>
  <c r="H719" i="29"/>
  <c r="H718" i="29"/>
  <c r="H717" i="29"/>
  <c r="H716" i="29"/>
  <c r="H715" i="29"/>
  <c r="H714" i="29"/>
  <c r="H713" i="29"/>
  <c r="H712" i="29"/>
  <c r="H711" i="29"/>
  <c r="H710" i="29"/>
  <c r="H709" i="29"/>
  <c r="H708" i="29"/>
  <c r="H707" i="29"/>
  <c r="H706" i="29"/>
  <c r="H705" i="29"/>
  <c r="H704" i="29"/>
  <c r="H703" i="29"/>
  <c r="H702" i="29"/>
  <c r="H701" i="29"/>
  <c r="H700" i="29"/>
  <c r="H699" i="29"/>
  <c r="H698" i="29"/>
  <c r="H697" i="29"/>
  <c r="H696" i="29"/>
  <c r="H695" i="29"/>
  <c r="H694" i="29"/>
  <c r="H693" i="29"/>
  <c r="H692" i="29"/>
  <c r="H691" i="29"/>
  <c r="H690" i="29"/>
  <c r="H689" i="29"/>
  <c r="H688" i="29"/>
  <c r="H687" i="29"/>
  <c r="H686" i="29"/>
  <c r="H685" i="29"/>
  <c r="H684" i="29"/>
  <c r="H683" i="29"/>
  <c r="H682" i="29"/>
  <c r="H681" i="29"/>
  <c r="H680" i="29"/>
  <c r="H679" i="29"/>
  <c r="H678" i="29"/>
  <c r="H677" i="29"/>
  <c r="H676" i="29"/>
  <c r="H675" i="29"/>
  <c r="H674" i="29"/>
  <c r="H673" i="29"/>
  <c r="H672" i="29"/>
  <c r="H671" i="29"/>
  <c r="H670" i="29"/>
  <c r="H669" i="29"/>
  <c r="H668" i="29"/>
  <c r="H667" i="29"/>
  <c r="H666" i="29"/>
  <c r="H665" i="29"/>
  <c r="H664" i="29"/>
  <c r="H663" i="29"/>
  <c r="H662" i="29"/>
  <c r="H661" i="29"/>
  <c r="H660" i="29"/>
  <c r="H659" i="29"/>
  <c r="H658" i="29"/>
  <c r="H657" i="29"/>
  <c r="H656" i="29"/>
  <c r="H655" i="29"/>
  <c r="H654" i="29"/>
  <c r="H653" i="29"/>
  <c r="H652" i="29"/>
  <c r="H651" i="29"/>
  <c r="H650" i="29"/>
  <c r="H649" i="29"/>
  <c r="H648" i="29"/>
  <c r="H647" i="29"/>
  <c r="H646" i="29"/>
  <c r="H645" i="29"/>
  <c r="H644" i="29"/>
  <c r="H643" i="29"/>
  <c r="H642" i="29"/>
  <c r="H641" i="29"/>
  <c r="H640" i="29"/>
  <c r="H639" i="29"/>
  <c r="H638" i="29"/>
  <c r="H637" i="29"/>
  <c r="H636" i="29"/>
  <c r="H635" i="29"/>
  <c r="H634" i="29"/>
  <c r="H633" i="29"/>
  <c r="H632" i="29"/>
  <c r="H631" i="29"/>
  <c r="H630" i="29"/>
  <c r="H629" i="29"/>
  <c r="H628" i="29"/>
  <c r="H627" i="29"/>
  <c r="H626" i="29"/>
  <c r="H625" i="29"/>
  <c r="H624" i="29"/>
  <c r="H623" i="29"/>
  <c r="H622" i="29"/>
  <c r="H621" i="29"/>
  <c r="H620" i="29"/>
  <c r="H619" i="29"/>
  <c r="H618" i="29"/>
  <c r="H617" i="29"/>
  <c r="H616" i="29"/>
  <c r="H615" i="29"/>
  <c r="H614" i="29"/>
  <c r="H613" i="29"/>
  <c r="H612" i="29"/>
  <c r="H611" i="29"/>
  <c r="H610" i="29"/>
  <c r="H609" i="29"/>
  <c r="H608" i="29"/>
  <c r="H607" i="29"/>
  <c r="H606" i="29"/>
  <c r="H605" i="29"/>
  <c r="H604" i="29"/>
  <c r="H603" i="29"/>
  <c r="H602" i="29"/>
  <c r="H601" i="29"/>
  <c r="H600" i="29"/>
  <c r="H599" i="29"/>
  <c r="H598" i="29"/>
  <c r="H597" i="29"/>
  <c r="H596" i="29"/>
  <c r="H595" i="29"/>
  <c r="H594" i="29"/>
  <c r="H593" i="29"/>
  <c r="H592" i="29"/>
  <c r="H591" i="29"/>
  <c r="H590" i="29"/>
  <c r="H589" i="29"/>
  <c r="H588" i="29"/>
  <c r="H587" i="29"/>
  <c r="H586" i="29"/>
  <c r="H585" i="29"/>
  <c r="H584" i="29"/>
  <c r="H583" i="29"/>
  <c r="H582" i="29"/>
  <c r="H581" i="29"/>
  <c r="H580" i="29"/>
  <c r="H579" i="29"/>
  <c r="H578" i="29"/>
  <c r="H577" i="29"/>
  <c r="H576" i="29"/>
  <c r="H575" i="29"/>
  <c r="H574" i="29"/>
  <c r="H573" i="29"/>
  <c r="H572" i="29"/>
  <c r="H571" i="29"/>
  <c r="H570" i="29"/>
  <c r="H569" i="29"/>
  <c r="H568" i="29"/>
  <c r="H567" i="29"/>
  <c r="H566" i="29"/>
  <c r="H565" i="29"/>
  <c r="H564" i="29"/>
  <c r="H563" i="29"/>
  <c r="H562" i="29"/>
  <c r="H561" i="29"/>
  <c r="H560" i="29"/>
  <c r="H559" i="29"/>
  <c r="H558" i="29"/>
  <c r="H557" i="29"/>
  <c r="H556" i="29"/>
  <c r="H555" i="29"/>
  <c r="H554" i="29"/>
  <c r="H553" i="29"/>
  <c r="H552" i="29"/>
  <c r="H551" i="29"/>
  <c r="H550" i="29"/>
  <c r="H549" i="29"/>
  <c r="H548" i="29"/>
  <c r="H547" i="29"/>
  <c r="H546" i="29"/>
  <c r="H545" i="29"/>
  <c r="H544" i="29"/>
  <c r="H543" i="29"/>
  <c r="H542" i="29"/>
  <c r="H541" i="29"/>
  <c r="H540" i="29"/>
  <c r="H539" i="29"/>
  <c r="H538" i="29"/>
  <c r="H537" i="29"/>
  <c r="H536" i="29"/>
  <c r="H535" i="29"/>
  <c r="H534" i="29"/>
  <c r="H533" i="29"/>
  <c r="H532" i="29"/>
  <c r="H531" i="29"/>
  <c r="H530" i="29"/>
  <c r="H529" i="29"/>
  <c r="H528" i="29"/>
  <c r="H527" i="29"/>
  <c r="H526" i="29"/>
  <c r="H525" i="29"/>
  <c r="H524" i="29"/>
  <c r="H523" i="29"/>
  <c r="H522" i="29"/>
  <c r="H521" i="29"/>
  <c r="H520" i="29"/>
  <c r="H519" i="29"/>
  <c r="H518" i="29"/>
  <c r="H517" i="29"/>
  <c r="H516" i="29"/>
  <c r="H515" i="29"/>
  <c r="H514" i="29"/>
  <c r="H513" i="29"/>
  <c r="H512" i="29"/>
  <c r="H511" i="29"/>
  <c r="H510" i="29"/>
  <c r="H509" i="29"/>
  <c r="H508" i="29"/>
  <c r="H507" i="29"/>
  <c r="H506" i="29"/>
  <c r="H505" i="29"/>
  <c r="H504" i="29"/>
  <c r="H503" i="29"/>
  <c r="H502" i="29"/>
  <c r="H501" i="29"/>
  <c r="H500" i="29"/>
  <c r="H499" i="29"/>
  <c r="H498" i="29"/>
  <c r="H497" i="29"/>
  <c r="H496" i="29"/>
  <c r="H495" i="29"/>
  <c r="H494" i="29"/>
  <c r="H493" i="29"/>
  <c r="H492" i="29"/>
  <c r="H491" i="29"/>
  <c r="H490" i="29"/>
  <c r="H489" i="29"/>
  <c r="H488" i="29"/>
  <c r="H487" i="29"/>
  <c r="H486" i="29"/>
  <c r="H485" i="29"/>
  <c r="H484" i="29"/>
  <c r="H483" i="29"/>
  <c r="H482" i="29"/>
  <c r="H481" i="29"/>
  <c r="H480" i="29"/>
  <c r="H479" i="29"/>
  <c r="H478" i="29"/>
  <c r="H477" i="29"/>
  <c r="H476" i="29"/>
  <c r="H475" i="29"/>
  <c r="H474" i="29"/>
  <c r="H473" i="29"/>
  <c r="H472" i="29"/>
  <c r="H471" i="29"/>
  <c r="H470" i="29"/>
  <c r="H469" i="29"/>
  <c r="H468" i="29"/>
  <c r="H467" i="29"/>
  <c r="H466" i="29"/>
  <c r="H465" i="29"/>
  <c r="H464" i="29"/>
  <c r="H463" i="29"/>
  <c r="H462" i="29"/>
  <c r="H461" i="29"/>
  <c r="H460" i="29"/>
  <c r="H459" i="29"/>
  <c r="H458" i="29"/>
  <c r="H457" i="29"/>
  <c r="H456" i="29"/>
  <c r="H455" i="29"/>
  <c r="H454" i="29"/>
  <c r="H453" i="29"/>
  <c r="H452" i="29"/>
  <c r="H451" i="29"/>
  <c r="H450" i="29"/>
  <c r="H449" i="29"/>
  <c r="H448" i="29"/>
  <c r="H447" i="29"/>
  <c r="H446" i="29"/>
  <c r="H445" i="29"/>
  <c r="H444" i="29"/>
  <c r="H443" i="29"/>
  <c r="H442" i="29"/>
  <c r="H441" i="29"/>
  <c r="H440" i="29"/>
  <c r="H439" i="29"/>
  <c r="H438" i="29"/>
  <c r="H437" i="29"/>
  <c r="H436" i="29"/>
  <c r="H435" i="29"/>
  <c r="H434" i="29"/>
  <c r="H433" i="29"/>
  <c r="H432" i="29"/>
  <c r="H431" i="29"/>
  <c r="H430" i="29"/>
  <c r="H429" i="29"/>
  <c r="H428" i="29"/>
  <c r="H427" i="29"/>
  <c r="H426" i="29"/>
  <c r="H425" i="29"/>
  <c r="H424" i="29"/>
  <c r="H423" i="29"/>
  <c r="H422" i="29"/>
  <c r="H421" i="29"/>
  <c r="H420" i="29"/>
  <c r="H419" i="29"/>
  <c r="H418" i="29"/>
  <c r="H417" i="29"/>
  <c r="H416" i="29"/>
  <c r="H415" i="29"/>
  <c r="H414" i="29"/>
  <c r="H413" i="29"/>
  <c r="H412" i="29"/>
  <c r="H411" i="29"/>
  <c r="H410" i="29"/>
  <c r="H409" i="29"/>
  <c r="H408" i="29"/>
  <c r="H407" i="29"/>
  <c r="H406" i="29"/>
  <c r="H405" i="29"/>
  <c r="H404" i="29"/>
  <c r="H403" i="29"/>
  <c r="H402" i="29"/>
  <c r="H401" i="29"/>
  <c r="H400" i="29"/>
  <c r="H399" i="29"/>
  <c r="H398" i="29"/>
  <c r="H397" i="29"/>
  <c r="H396" i="29"/>
  <c r="H395" i="29"/>
  <c r="H394" i="29"/>
  <c r="H393" i="29"/>
  <c r="H392" i="29"/>
  <c r="H391" i="29"/>
  <c r="H390" i="29"/>
  <c r="H389" i="29"/>
  <c r="H388" i="29"/>
  <c r="H387" i="29"/>
  <c r="H386" i="29"/>
  <c r="H385" i="29"/>
  <c r="H384" i="29"/>
  <c r="H383" i="29"/>
  <c r="H382" i="29"/>
  <c r="H381" i="29"/>
  <c r="H380" i="29"/>
  <c r="H379" i="29"/>
  <c r="H378" i="29"/>
  <c r="H377" i="29"/>
  <c r="H376" i="29"/>
  <c r="H375" i="29"/>
  <c r="H374" i="29"/>
  <c r="H373" i="29"/>
  <c r="H372" i="29"/>
  <c r="H371" i="29"/>
  <c r="H370" i="29"/>
  <c r="H369" i="29"/>
  <c r="H368" i="29"/>
  <c r="H367" i="29"/>
  <c r="H366" i="29"/>
  <c r="H365" i="29"/>
  <c r="H364" i="29"/>
  <c r="H363" i="29"/>
  <c r="H362" i="29"/>
  <c r="H361" i="29"/>
  <c r="H360" i="29"/>
  <c r="H359" i="29"/>
  <c r="H358" i="29"/>
  <c r="H357" i="29"/>
  <c r="H356" i="29"/>
  <c r="H355" i="29"/>
  <c r="H354" i="29"/>
  <c r="H353" i="29"/>
  <c r="H352" i="29"/>
  <c r="H351" i="29"/>
  <c r="H350" i="29"/>
  <c r="H349" i="29"/>
  <c r="H348" i="29"/>
  <c r="H347" i="29"/>
  <c r="H346" i="29"/>
  <c r="H345" i="29"/>
  <c r="H344" i="29"/>
  <c r="H343" i="29"/>
  <c r="H342" i="29"/>
  <c r="H341" i="29"/>
  <c r="H340" i="29"/>
  <c r="H339" i="29"/>
  <c r="H338" i="29"/>
  <c r="H337" i="29"/>
  <c r="H336" i="29"/>
  <c r="H335" i="29"/>
  <c r="H334" i="29"/>
  <c r="H333" i="29"/>
  <c r="H332" i="29"/>
  <c r="H331" i="29"/>
  <c r="H330" i="29"/>
  <c r="H329" i="29"/>
  <c r="H328" i="29"/>
  <c r="H327" i="29"/>
  <c r="H326" i="29"/>
  <c r="H325" i="29"/>
  <c r="H324" i="29"/>
  <c r="H323" i="29"/>
  <c r="H322" i="29"/>
  <c r="H321" i="29"/>
  <c r="H320" i="29"/>
  <c r="H319" i="29"/>
  <c r="H318" i="29"/>
  <c r="H317" i="29"/>
  <c r="H316" i="29"/>
  <c r="H315" i="29"/>
  <c r="H314" i="29"/>
  <c r="H313" i="29"/>
  <c r="H312" i="29"/>
  <c r="H311" i="29"/>
  <c r="H310" i="29"/>
  <c r="H309" i="29"/>
  <c r="H308" i="29"/>
  <c r="H307" i="29"/>
  <c r="H306" i="29"/>
  <c r="H305" i="29"/>
  <c r="H304" i="29"/>
  <c r="H303" i="29"/>
  <c r="H302" i="29"/>
  <c r="H301" i="29"/>
  <c r="H300" i="29"/>
  <c r="H299" i="29"/>
  <c r="H298" i="29"/>
  <c r="H297" i="29"/>
  <c r="H296" i="29"/>
  <c r="H295" i="29"/>
  <c r="H294" i="29"/>
  <c r="H293" i="29"/>
  <c r="H292" i="29"/>
  <c r="H291" i="29"/>
  <c r="H290" i="29"/>
  <c r="H289" i="29"/>
  <c r="H288" i="29"/>
  <c r="H287" i="29"/>
  <c r="H286" i="29"/>
  <c r="H285" i="29"/>
  <c r="H284" i="29"/>
  <c r="H283" i="29"/>
  <c r="H282" i="29"/>
  <c r="H281" i="29"/>
  <c r="H280" i="29"/>
  <c r="H279" i="29"/>
  <c r="H278" i="29"/>
  <c r="H277" i="29"/>
  <c r="H276" i="29"/>
  <c r="H275" i="29"/>
  <c r="H274" i="29"/>
  <c r="H273" i="29"/>
  <c r="H272" i="29"/>
  <c r="H271" i="29"/>
  <c r="H270" i="29"/>
  <c r="H269" i="29"/>
  <c r="H268" i="29"/>
  <c r="H267" i="29"/>
  <c r="H266" i="29"/>
  <c r="H265" i="29"/>
  <c r="H264" i="29"/>
  <c r="H263" i="29"/>
  <c r="H262" i="29"/>
  <c r="H261" i="29"/>
  <c r="H260" i="29"/>
  <c r="H259" i="29"/>
  <c r="H258" i="29"/>
  <c r="H257" i="29"/>
  <c r="H256" i="29"/>
  <c r="H255" i="29"/>
  <c r="H254" i="29"/>
  <c r="H253" i="29"/>
  <c r="H252" i="29"/>
  <c r="H251" i="29"/>
  <c r="H250" i="29"/>
  <c r="H249" i="29"/>
  <c r="H248" i="29"/>
  <c r="H247" i="29"/>
  <c r="H246" i="29"/>
  <c r="H245" i="29"/>
  <c r="H244" i="29"/>
  <c r="H243" i="29"/>
  <c r="H242" i="29"/>
  <c r="H241" i="29"/>
  <c r="H240" i="29"/>
  <c r="H239" i="29"/>
  <c r="H238" i="29"/>
  <c r="H237" i="29"/>
  <c r="H236" i="29"/>
  <c r="H235" i="29"/>
  <c r="H234" i="29"/>
  <c r="H233" i="29"/>
  <c r="H232" i="29"/>
  <c r="H231" i="29"/>
  <c r="H230" i="29"/>
  <c r="H229" i="29"/>
  <c r="H228" i="29"/>
  <c r="H227" i="29"/>
  <c r="H226" i="29"/>
  <c r="H225" i="29"/>
  <c r="H224" i="29"/>
  <c r="H223" i="29"/>
  <c r="H222" i="29"/>
  <c r="H221" i="29"/>
  <c r="H220" i="29"/>
  <c r="H219" i="29"/>
  <c r="H218" i="29"/>
  <c r="H217" i="29"/>
  <c r="H216" i="29"/>
  <c r="H215" i="29"/>
  <c r="H214" i="29"/>
  <c r="H213" i="29"/>
  <c r="H212" i="29"/>
  <c r="H211" i="29"/>
  <c r="H210" i="29"/>
  <c r="H209" i="29"/>
  <c r="H208" i="29"/>
  <c r="H207" i="29"/>
  <c r="H206" i="29"/>
  <c r="H205" i="29"/>
  <c r="H204" i="29"/>
  <c r="H203" i="29"/>
  <c r="H202" i="29"/>
  <c r="H201" i="29"/>
  <c r="H200" i="29"/>
  <c r="H199" i="29"/>
  <c r="H198" i="29"/>
  <c r="H197" i="29"/>
  <c r="H196" i="29"/>
  <c r="H195" i="29"/>
  <c r="H194" i="29"/>
  <c r="H193" i="29"/>
  <c r="H192" i="29"/>
  <c r="H191" i="29"/>
  <c r="H190" i="29"/>
  <c r="H189" i="29"/>
  <c r="H188" i="29"/>
  <c r="H187" i="29"/>
  <c r="H186" i="29"/>
  <c r="H185" i="29"/>
  <c r="H184" i="29"/>
  <c r="H183" i="29"/>
  <c r="H182" i="29"/>
  <c r="H181" i="29"/>
  <c r="H180" i="29"/>
  <c r="H179" i="29"/>
  <c r="H178" i="29"/>
  <c r="H177" i="29"/>
  <c r="H176" i="29"/>
  <c r="H175" i="29"/>
  <c r="H174" i="29"/>
  <c r="H173" i="29"/>
  <c r="H172" i="29"/>
  <c r="H171" i="29"/>
  <c r="H170" i="29"/>
  <c r="H169" i="29"/>
  <c r="H168" i="29"/>
  <c r="H167" i="29"/>
  <c r="H166" i="29"/>
  <c r="H165" i="29"/>
  <c r="H164" i="29"/>
  <c r="H163" i="29"/>
  <c r="H162" i="29"/>
  <c r="H161" i="29"/>
  <c r="H160" i="29"/>
  <c r="H159" i="29"/>
  <c r="H158" i="29"/>
  <c r="H157" i="29"/>
  <c r="H156" i="29"/>
  <c r="H155" i="29"/>
  <c r="H154" i="29"/>
  <c r="H153" i="29"/>
  <c r="H152" i="29"/>
  <c r="H151" i="29"/>
  <c r="H150" i="29"/>
  <c r="H149" i="29"/>
  <c r="H148" i="29"/>
  <c r="H147" i="29"/>
  <c r="H146" i="29"/>
  <c r="H145" i="29"/>
  <c r="H144" i="29"/>
  <c r="H143" i="29"/>
  <c r="H142" i="29"/>
  <c r="H141" i="29"/>
  <c r="H140" i="29"/>
  <c r="H139" i="29"/>
  <c r="H138" i="29"/>
  <c r="H137" i="29"/>
  <c r="H136" i="29"/>
  <c r="H135" i="29"/>
  <c r="H134" i="29"/>
  <c r="H133" i="29"/>
  <c r="H132" i="29"/>
  <c r="H131" i="29"/>
  <c r="H130" i="29"/>
  <c r="H129" i="29"/>
  <c r="H128" i="29"/>
  <c r="H127" i="29"/>
  <c r="H126" i="29"/>
  <c r="H125" i="29"/>
  <c r="H124" i="29"/>
  <c r="H123" i="29"/>
  <c r="H122" i="29"/>
  <c r="H121" i="29"/>
  <c r="H120" i="29"/>
  <c r="H119" i="29"/>
  <c r="H118" i="29"/>
  <c r="F12" i="29"/>
  <c r="F13" i="29"/>
  <c r="H999" i="28"/>
  <c r="H998" i="28"/>
  <c r="H997" i="28"/>
  <c r="H996" i="28"/>
  <c r="H995" i="28"/>
  <c r="H994" i="28"/>
  <c r="H993" i="28"/>
  <c r="H992" i="28"/>
  <c r="H991" i="28"/>
  <c r="H990" i="28"/>
  <c r="H989" i="28"/>
  <c r="H988" i="28"/>
  <c r="H987" i="28"/>
  <c r="H986" i="28"/>
  <c r="H985" i="28"/>
  <c r="H984" i="28"/>
  <c r="H983" i="28"/>
  <c r="H982" i="28"/>
  <c r="H981" i="28"/>
  <c r="H980" i="28"/>
  <c r="H979" i="28"/>
  <c r="H978" i="28"/>
  <c r="H977" i="28"/>
  <c r="H976" i="28"/>
  <c r="H975" i="28"/>
  <c r="H974" i="28"/>
  <c r="H973" i="28"/>
  <c r="H972" i="28"/>
  <c r="H971" i="28"/>
  <c r="H970" i="28"/>
  <c r="H969" i="28"/>
  <c r="H968" i="28"/>
  <c r="H967" i="28"/>
  <c r="H966" i="28"/>
  <c r="H965" i="28"/>
  <c r="H964" i="28"/>
  <c r="H963" i="28"/>
  <c r="H962" i="28"/>
  <c r="H961" i="28"/>
  <c r="H960" i="28"/>
  <c r="H959" i="28"/>
  <c r="H958" i="28"/>
  <c r="H957" i="28"/>
  <c r="H956" i="28"/>
  <c r="H955" i="28"/>
  <c r="H954" i="28"/>
  <c r="H953" i="28"/>
  <c r="H952" i="28"/>
  <c r="H951" i="28"/>
  <c r="H950" i="28"/>
  <c r="H949" i="28"/>
  <c r="H948" i="28"/>
  <c r="H947" i="28"/>
  <c r="H946" i="28"/>
  <c r="H945" i="28"/>
  <c r="H944" i="28"/>
  <c r="H943" i="28"/>
  <c r="H942" i="28"/>
  <c r="H941" i="28"/>
  <c r="H940" i="28"/>
  <c r="H939" i="28"/>
  <c r="H938" i="28"/>
  <c r="H937" i="28"/>
  <c r="H936" i="28"/>
  <c r="H935" i="28"/>
  <c r="H934" i="28"/>
  <c r="H933" i="28"/>
  <c r="H932" i="28"/>
  <c r="H931" i="28"/>
  <c r="H930" i="28"/>
  <c r="H929" i="28"/>
  <c r="H928" i="28"/>
  <c r="H927" i="28"/>
  <c r="H926" i="28"/>
  <c r="H925" i="28"/>
  <c r="H924" i="28"/>
  <c r="H923" i="28"/>
  <c r="H922" i="28"/>
  <c r="H921" i="28"/>
  <c r="H920" i="28"/>
  <c r="H919" i="28"/>
  <c r="H918" i="28"/>
  <c r="H917" i="28"/>
  <c r="H916" i="28"/>
  <c r="H915" i="28"/>
  <c r="H914" i="28"/>
  <c r="H913" i="28"/>
  <c r="H912" i="28"/>
  <c r="H911" i="28"/>
  <c r="H910" i="28"/>
  <c r="H909" i="28"/>
  <c r="H908" i="28"/>
  <c r="H907" i="28"/>
  <c r="H906" i="28"/>
  <c r="H905" i="28"/>
  <c r="H904" i="28"/>
  <c r="H903" i="28"/>
  <c r="H902" i="28"/>
  <c r="H901" i="28"/>
  <c r="H900" i="28"/>
  <c r="H899" i="28"/>
  <c r="H898" i="28"/>
  <c r="H897" i="28"/>
  <c r="H896" i="28"/>
  <c r="H895" i="28"/>
  <c r="H894" i="28"/>
  <c r="H893" i="28"/>
  <c r="H892" i="28"/>
  <c r="H891" i="28"/>
  <c r="H890" i="28"/>
  <c r="H889" i="28"/>
  <c r="H888" i="28"/>
  <c r="H887" i="28"/>
  <c r="H886" i="28"/>
  <c r="H885" i="28"/>
  <c r="H884" i="28"/>
  <c r="H883" i="28"/>
  <c r="H882" i="28"/>
  <c r="H881" i="28"/>
  <c r="H880" i="28"/>
  <c r="H879" i="28"/>
  <c r="H878" i="28"/>
  <c r="H877" i="28"/>
  <c r="H876" i="28"/>
  <c r="H875" i="28"/>
  <c r="H874" i="28"/>
  <c r="H873" i="28"/>
  <c r="H872" i="28"/>
  <c r="H871" i="28"/>
  <c r="H870" i="28"/>
  <c r="H869" i="28"/>
  <c r="H868" i="28"/>
  <c r="H867" i="28"/>
  <c r="H866" i="28"/>
  <c r="H865" i="28"/>
  <c r="H864" i="28"/>
  <c r="H863" i="28"/>
  <c r="H862" i="28"/>
  <c r="H861" i="28"/>
  <c r="H860" i="28"/>
  <c r="H859" i="28"/>
  <c r="H858" i="28"/>
  <c r="H857" i="28"/>
  <c r="H856" i="28"/>
  <c r="H855" i="28"/>
  <c r="H854" i="28"/>
  <c r="H853" i="28"/>
  <c r="H852" i="28"/>
  <c r="H851" i="28"/>
  <c r="H850" i="28"/>
  <c r="H849" i="28"/>
  <c r="H848" i="28"/>
  <c r="H847" i="28"/>
  <c r="H846" i="28"/>
  <c r="H845" i="28"/>
  <c r="H844" i="28"/>
  <c r="H843" i="28"/>
  <c r="H842" i="28"/>
  <c r="H841" i="28"/>
  <c r="H840" i="28"/>
  <c r="H839" i="28"/>
  <c r="H838" i="28"/>
  <c r="H837" i="28"/>
  <c r="H836" i="28"/>
  <c r="H835" i="28"/>
  <c r="H834" i="28"/>
  <c r="H833" i="28"/>
  <c r="H832" i="28"/>
  <c r="H831" i="28"/>
  <c r="H830" i="28"/>
  <c r="H829" i="28"/>
  <c r="H828" i="28"/>
  <c r="H827" i="28"/>
  <c r="H826" i="28"/>
  <c r="H825" i="28"/>
  <c r="H824" i="28"/>
  <c r="H823" i="28"/>
  <c r="H822" i="28"/>
  <c r="H821" i="28"/>
  <c r="H820" i="28"/>
  <c r="H819" i="28"/>
  <c r="H818" i="28"/>
  <c r="H817" i="28"/>
  <c r="H816" i="28"/>
  <c r="H815" i="28"/>
  <c r="H814" i="28"/>
  <c r="H813" i="28"/>
  <c r="H812" i="28"/>
  <c r="H811" i="28"/>
  <c r="H810" i="28"/>
  <c r="H809" i="28"/>
  <c r="H808" i="28"/>
  <c r="H807" i="28"/>
  <c r="H806" i="28"/>
  <c r="H805" i="28"/>
  <c r="H804" i="28"/>
  <c r="H803" i="28"/>
  <c r="H802" i="28"/>
  <c r="H801" i="28"/>
  <c r="H800" i="28"/>
  <c r="H799" i="28"/>
  <c r="H798" i="28"/>
  <c r="H797" i="28"/>
  <c r="H796" i="28"/>
  <c r="H795" i="28"/>
  <c r="H794" i="28"/>
  <c r="H793" i="28"/>
  <c r="H792" i="28"/>
  <c r="H791" i="28"/>
  <c r="H790" i="28"/>
  <c r="H789" i="28"/>
  <c r="H788" i="28"/>
  <c r="H787" i="28"/>
  <c r="H786" i="28"/>
  <c r="H785" i="28"/>
  <c r="H784" i="28"/>
  <c r="H783" i="28"/>
  <c r="H782" i="28"/>
  <c r="H781" i="28"/>
  <c r="H780" i="28"/>
  <c r="H779" i="28"/>
  <c r="H778" i="28"/>
  <c r="H777" i="28"/>
  <c r="H776" i="28"/>
  <c r="H775" i="28"/>
  <c r="H774" i="28"/>
  <c r="H773" i="28"/>
  <c r="H772" i="28"/>
  <c r="H771" i="28"/>
  <c r="H770" i="28"/>
  <c r="H769" i="28"/>
  <c r="H768" i="28"/>
  <c r="H767" i="28"/>
  <c r="H766" i="28"/>
  <c r="H765" i="28"/>
  <c r="H764" i="28"/>
  <c r="H763" i="28"/>
  <c r="H762" i="28"/>
  <c r="H761" i="28"/>
  <c r="H760" i="28"/>
  <c r="H759" i="28"/>
  <c r="H758" i="28"/>
  <c r="H757" i="28"/>
  <c r="H756" i="28"/>
  <c r="H755" i="28"/>
  <c r="H754" i="28"/>
  <c r="H753" i="28"/>
  <c r="H752" i="28"/>
  <c r="H751" i="28"/>
  <c r="H750" i="28"/>
  <c r="H749" i="28"/>
  <c r="H748" i="28"/>
  <c r="H747" i="28"/>
  <c r="H746" i="28"/>
  <c r="H745" i="28"/>
  <c r="H744" i="28"/>
  <c r="H743" i="28"/>
  <c r="H742" i="28"/>
  <c r="H741" i="28"/>
  <c r="H740" i="28"/>
  <c r="H739" i="28"/>
  <c r="H738" i="28"/>
  <c r="H737" i="28"/>
  <c r="H736" i="28"/>
  <c r="H735" i="28"/>
  <c r="H734" i="28"/>
  <c r="H733" i="28"/>
  <c r="H732" i="28"/>
  <c r="H731" i="28"/>
  <c r="H730" i="28"/>
  <c r="H729" i="28"/>
  <c r="H728" i="28"/>
  <c r="H727" i="28"/>
  <c r="H726" i="28"/>
  <c r="H725" i="28"/>
  <c r="H724" i="28"/>
  <c r="H723" i="28"/>
  <c r="H722" i="28"/>
  <c r="H721" i="28"/>
  <c r="H720" i="28"/>
  <c r="H719" i="28"/>
  <c r="H718" i="28"/>
  <c r="H717" i="28"/>
  <c r="H716" i="28"/>
  <c r="H715" i="28"/>
  <c r="H714" i="28"/>
  <c r="H713" i="28"/>
  <c r="H712" i="28"/>
  <c r="H711" i="28"/>
  <c r="H710" i="28"/>
  <c r="H709" i="28"/>
  <c r="H708" i="28"/>
  <c r="H707" i="28"/>
  <c r="H706" i="28"/>
  <c r="H705" i="28"/>
  <c r="H704" i="28"/>
  <c r="H703" i="28"/>
  <c r="H702" i="28"/>
  <c r="H701" i="28"/>
  <c r="H700" i="28"/>
  <c r="H699" i="28"/>
  <c r="H698" i="28"/>
  <c r="H697" i="28"/>
  <c r="H696" i="28"/>
  <c r="H695" i="28"/>
  <c r="H694" i="28"/>
  <c r="H693" i="28"/>
  <c r="H692" i="28"/>
  <c r="H691" i="28"/>
  <c r="H690" i="28"/>
  <c r="H689" i="28"/>
  <c r="H688" i="28"/>
  <c r="H687" i="28"/>
  <c r="H686" i="28"/>
  <c r="H685" i="28"/>
  <c r="H684" i="28"/>
  <c r="H683" i="28"/>
  <c r="H682" i="28"/>
  <c r="H681" i="28"/>
  <c r="H680" i="28"/>
  <c r="H679" i="28"/>
  <c r="H678" i="28"/>
  <c r="H677" i="28"/>
  <c r="H676" i="28"/>
  <c r="H675" i="28"/>
  <c r="H674" i="28"/>
  <c r="H673" i="28"/>
  <c r="H672" i="28"/>
  <c r="H671" i="28"/>
  <c r="H670" i="28"/>
  <c r="H669" i="28"/>
  <c r="H668" i="28"/>
  <c r="H667" i="28"/>
  <c r="H666" i="28"/>
  <c r="H665" i="28"/>
  <c r="H664" i="28"/>
  <c r="H663" i="28"/>
  <c r="H662" i="28"/>
  <c r="H661" i="28"/>
  <c r="H660" i="28"/>
  <c r="H659" i="28"/>
  <c r="H658" i="28"/>
  <c r="H657" i="28"/>
  <c r="H656" i="28"/>
  <c r="H655" i="28"/>
  <c r="H654" i="28"/>
  <c r="H653" i="28"/>
  <c r="H652" i="28"/>
  <c r="H651" i="28"/>
  <c r="H650" i="28"/>
  <c r="H649" i="28"/>
  <c r="H648" i="28"/>
  <c r="H647" i="28"/>
  <c r="H646" i="28"/>
  <c r="H645" i="28"/>
  <c r="H644" i="28"/>
  <c r="H643" i="28"/>
  <c r="H642" i="28"/>
  <c r="H641" i="28"/>
  <c r="H640" i="28"/>
  <c r="H639" i="28"/>
  <c r="H638" i="28"/>
  <c r="H637" i="28"/>
  <c r="H636" i="28"/>
  <c r="H635" i="28"/>
  <c r="H634" i="28"/>
  <c r="H633" i="28"/>
  <c r="H632" i="28"/>
  <c r="H631" i="28"/>
  <c r="H630" i="28"/>
  <c r="H629" i="28"/>
  <c r="H628" i="28"/>
  <c r="H627" i="28"/>
  <c r="H626" i="28"/>
  <c r="H625" i="28"/>
  <c r="H624" i="28"/>
  <c r="H623" i="28"/>
  <c r="H622" i="28"/>
  <c r="H621" i="28"/>
  <c r="H620" i="28"/>
  <c r="H619" i="28"/>
  <c r="H618" i="28"/>
  <c r="H617" i="28"/>
  <c r="H616" i="28"/>
  <c r="H615" i="28"/>
  <c r="H614" i="28"/>
  <c r="H613" i="28"/>
  <c r="H612" i="28"/>
  <c r="H611" i="28"/>
  <c r="H610" i="28"/>
  <c r="H609" i="28"/>
  <c r="H608" i="28"/>
  <c r="H607" i="28"/>
  <c r="H606" i="28"/>
  <c r="H605" i="28"/>
  <c r="H604" i="28"/>
  <c r="H603" i="28"/>
  <c r="H602" i="28"/>
  <c r="H601" i="28"/>
  <c r="H600" i="28"/>
  <c r="H599" i="28"/>
  <c r="H598" i="28"/>
  <c r="H597" i="28"/>
  <c r="H596" i="28"/>
  <c r="H595" i="28"/>
  <c r="H594" i="28"/>
  <c r="H593" i="28"/>
  <c r="H592" i="28"/>
  <c r="H591" i="28"/>
  <c r="H590" i="28"/>
  <c r="H589" i="28"/>
  <c r="H588" i="28"/>
  <c r="H587" i="28"/>
  <c r="H586" i="28"/>
  <c r="H585" i="28"/>
  <c r="H584" i="28"/>
  <c r="H583" i="28"/>
  <c r="H582" i="28"/>
  <c r="H581" i="28"/>
  <c r="H580" i="28"/>
  <c r="H579" i="28"/>
  <c r="H578" i="28"/>
  <c r="H577" i="28"/>
  <c r="H576" i="28"/>
  <c r="H575" i="28"/>
  <c r="H574" i="28"/>
  <c r="H573" i="28"/>
  <c r="H572" i="28"/>
  <c r="H571" i="28"/>
  <c r="H570" i="28"/>
  <c r="H569" i="28"/>
  <c r="H568" i="28"/>
  <c r="H567" i="28"/>
  <c r="H566" i="28"/>
  <c r="H565" i="28"/>
  <c r="H564" i="28"/>
  <c r="H563" i="28"/>
  <c r="H562" i="28"/>
  <c r="H561" i="28"/>
  <c r="H560" i="28"/>
  <c r="H559" i="28"/>
  <c r="H558" i="28"/>
  <c r="H557" i="28"/>
  <c r="H556" i="28"/>
  <c r="H555" i="28"/>
  <c r="H554" i="28"/>
  <c r="H553" i="28"/>
  <c r="H552" i="28"/>
  <c r="H551" i="28"/>
  <c r="H550" i="28"/>
  <c r="H549" i="28"/>
  <c r="H548" i="28"/>
  <c r="H547" i="28"/>
  <c r="H546" i="28"/>
  <c r="H545" i="28"/>
  <c r="H544" i="28"/>
  <c r="H543" i="28"/>
  <c r="H542" i="28"/>
  <c r="H541" i="28"/>
  <c r="H540" i="28"/>
  <c r="H539" i="28"/>
  <c r="H538" i="28"/>
  <c r="H537" i="28"/>
  <c r="H536" i="28"/>
  <c r="H535" i="28"/>
  <c r="H534" i="28"/>
  <c r="H533" i="28"/>
  <c r="H532" i="28"/>
  <c r="H531" i="28"/>
  <c r="H530" i="28"/>
  <c r="H529" i="28"/>
  <c r="H528" i="28"/>
  <c r="H527" i="28"/>
  <c r="H526" i="28"/>
  <c r="H525" i="28"/>
  <c r="H524" i="28"/>
  <c r="H523" i="28"/>
  <c r="H522" i="28"/>
  <c r="H521" i="28"/>
  <c r="H520" i="28"/>
  <c r="H519" i="28"/>
  <c r="H518" i="28"/>
  <c r="H517" i="28"/>
  <c r="H516" i="28"/>
  <c r="H515" i="28"/>
  <c r="H514" i="28"/>
  <c r="H513" i="28"/>
  <c r="H512" i="28"/>
  <c r="H511" i="28"/>
  <c r="H510" i="28"/>
  <c r="H509" i="28"/>
  <c r="H508" i="28"/>
  <c r="H507" i="28"/>
  <c r="H506" i="28"/>
  <c r="H505" i="28"/>
  <c r="H504" i="28"/>
  <c r="H503" i="28"/>
  <c r="H502" i="28"/>
  <c r="H501" i="28"/>
  <c r="H500" i="28"/>
  <c r="H499" i="28"/>
  <c r="H498" i="28"/>
  <c r="H497" i="28"/>
  <c r="H496" i="28"/>
  <c r="H495" i="28"/>
  <c r="H494" i="28"/>
  <c r="H493" i="28"/>
  <c r="H492" i="28"/>
  <c r="H491" i="28"/>
  <c r="H490" i="28"/>
  <c r="H489" i="28"/>
  <c r="H488" i="28"/>
  <c r="H487" i="28"/>
  <c r="H486" i="28"/>
  <c r="H485" i="28"/>
  <c r="H484" i="28"/>
  <c r="H483" i="28"/>
  <c r="H482" i="28"/>
  <c r="H481" i="28"/>
  <c r="H480" i="28"/>
  <c r="H479" i="28"/>
  <c r="H478" i="28"/>
  <c r="H477" i="28"/>
  <c r="H476" i="28"/>
  <c r="H475" i="28"/>
  <c r="H474" i="28"/>
  <c r="H473" i="28"/>
  <c r="H472" i="28"/>
  <c r="H471" i="28"/>
  <c r="H470" i="28"/>
  <c r="H469" i="28"/>
  <c r="H468" i="28"/>
  <c r="H467" i="28"/>
  <c r="H466" i="28"/>
  <c r="H465" i="28"/>
  <c r="H464" i="28"/>
  <c r="H463" i="28"/>
  <c r="H462" i="28"/>
  <c r="H461" i="28"/>
  <c r="H460" i="28"/>
  <c r="H459" i="28"/>
  <c r="H458" i="28"/>
  <c r="H457" i="28"/>
  <c r="H456" i="28"/>
  <c r="H455" i="28"/>
  <c r="H454" i="28"/>
  <c r="H453" i="28"/>
  <c r="H452" i="28"/>
  <c r="H451" i="28"/>
  <c r="H450" i="28"/>
  <c r="H449" i="28"/>
  <c r="H448" i="28"/>
  <c r="H447" i="28"/>
  <c r="H446" i="28"/>
  <c r="H445" i="28"/>
  <c r="H444" i="28"/>
  <c r="H443" i="28"/>
  <c r="H442" i="28"/>
  <c r="H441" i="28"/>
  <c r="H440" i="28"/>
  <c r="H439" i="28"/>
  <c r="H438" i="28"/>
  <c r="H437" i="28"/>
  <c r="H436" i="28"/>
  <c r="H435" i="28"/>
  <c r="H434" i="28"/>
  <c r="H433" i="28"/>
  <c r="H432" i="28"/>
  <c r="H431" i="28"/>
  <c r="H430" i="28"/>
  <c r="H429" i="28"/>
  <c r="H428" i="28"/>
  <c r="H427" i="28"/>
  <c r="H426" i="28"/>
  <c r="H425" i="28"/>
  <c r="H424" i="28"/>
  <c r="H423" i="28"/>
  <c r="H422" i="28"/>
  <c r="H421" i="28"/>
  <c r="H420" i="28"/>
  <c r="H419" i="28"/>
  <c r="H418" i="28"/>
  <c r="H417" i="28"/>
  <c r="H416" i="28"/>
  <c r="H415" i="28"/>
  <c r="H414" i="28"/>
  <c r="H413" i="28"/>
  <c r="H412" i="28"/>
  <c r="H411" i="28"/>
  <c r="H410" i="28"/>
  <c r="H409" i="28"/>
  <c r="H408" i="28"/>
  <c r="H407" i="28"/>
  <c r="H406" i="28"/>
  <c r="H405" i="28"/>
  <c r="H404" i="28"/>
  <c r="H403" i="28"/>
  <c r="H402" i="28"/>
  <c r="H401" i="28"/>
  <c r="H400" i="28"/>
  <c r="H399" i="28"/>
  <c r="H398" i="28"/>
  <c r="H397" i="28"/>
  <c r="H396" i="28"/>
  <c r="H395" i="28"/>
  <c r="H394" i="28"/>
  <c r="H393" i="28"/>
  <c r="H392" i="28"/>
  <c r="H391" i="28"/>
  <c r="H390" i="28"/>
  <c r="H389" i="28"/>
  <c r="H388" i="28"/>
  <c r="H387" i="28"/>
  <c r="H386" i="28"/>
  <c r="H385" i="28"/>
  <c r="H384" i="28"/>
  <c r="H383" i="28"/>
  <c r="H382" i="28"/>
  <c r="H381" i="28"/>
  <c r="H380" i="28"/>
  <c r="H379" i="28"/>
  <c r="H378" i="28"/>
  <c r="H377" i="28"/>
  <c r="H376" i="28"/>
  <c r="H375" i="28"/>
  <c r="H374" i="28"/>
  <c r="H373" i="28"/>
  <c r="H372" i="28"/>
  <c r="H371" i="28"/>
  <c r="H370" i="28"/>
  <c r="H369" i="28"/>
  <c r="H368" i="28"/>
  <c r="H367" i="28"/>
  <c r="H366" i="28"/>
  <c r="H365" i="28"/>
  <c r="H364" i="28"/>
  <c r="H363" i="28"/>
  <c r="H362" i="28"/>
  <c r="H361" i="28"/>
  <c r="H360" i="28"/>
  <c r="H359" i="28"/>
  <c r="H358" i="28"/>
  <c r="H357" i="28"/>
  <c r="H356" i="28"/>
  <c r="H355" i="28"/>
  <c r="H354" i="28"/>
  <c r="H353" i="28"/>
  <c r="H352" i="28"/>
  <c r="H351" i="28"/>
  <c r="H350" i="28"/>
  <c r="H349" i="28"/>
  <c r="H348" i="28"/>
  <c r="H347" i="28"/>
  <c r="H346" i="28"/>
  <c r="H345" i="28"/>
  <c r="H344" i="28"/>
  <c r="H343" i="28"/>
  <c r="H342" i="28"/>
  <c r="H341" i="28"/>
  <c r="H340" i="28"/>
  <c r="H339" i="28"/>
  <c r="H338" i="28"/>
  <c r="H337" i="28"/>
  <c r="H336" i="28"/>
  <c r="H335" i="28"/>
  <c r="H334" i="28"/>
  <c r="H333" i="28"/>
  <c r="H332" i="28"/>
  <c r="H331" i="28"/>
  <c r="H330" i="28"/>
  <c r="H329" i="28"/>
  <c r="H328" i="28"/>
  <c r="H327" i="28"/>
  <c r="H326" i="28"/>
  <c r="H325" i="28"/>
  <c r="H324" i="28"/>
  <c r="H323" i="28"/>
  <c r="H322" i="28"/>
  <c r="H321" i="28"/>
  <c r="H320" i="28"/>
  <c r="H319" i="28"/>
  <c r="H318" i="28"/>
  <c r="H317" i="28"/>
  <c r="H316" i="28"/>
  <c r="H315" i="28"/>
  <c r="H314" i="28"/>
  <c r="H313" i="28"/>
  <c r="H312" i="28"/>
  <c r="H311" i="28"/>
  <c r="H310" i="28"/>
  <c r="H309" i="28"/>
  <c r="H308" i="28"/>
  <c r="H307" i="28"/>
  <c r="H306" i="28"/>
  <c r="H305" i="28"/>
  <c r="H304" i="28"/>
  <c r="H303" i="28"/>
  <c r="H302" i="28"/>
  <c r="H301" i="28"/>
  <c r="H300" i="28"/>
  <c r="H299" i="28"/>
  <c r="H298" i="28"/>
  <c r="H297" i="28"/>
  <c r="H296" i="28"/>
  <c r="H295" i="28"/>
  <c r="H294" i="28"/>
  <c r="H293" i="28"/>
  <c r="H292" i="28"/>
  <c r="H291" i="28"/>
  <c r="H290" i="28"/>
  <c r="H289" i="28"/>
  <c r="H288" i="28"/>
  <c r="H287" i="28"/>
  <c r="H286" i="28"/>
  <c r="H285" i="28"/>
  <c r="H284" i="28"/>
  <c r="H283" i="28"/>
  <c r="H282" i="28"/>
  <c r="H281" i="28"/>
  <c r="H280" i="28"/>
  <c r="H279" i="28"/>
  <c r="H278" i="28"/>
  <c r="H277" i="28"/>
  <c r="H276" i="28"/>
  <c r="H275" i="28"/>
  <c r="H274" i="28"/>
  <c r="H273" i="28"/>
  <c r="H272" i="28"/>
  <c r="H271" i="28"/>
  <c r="H270" i="28"/>
  <c r="H269" i="28"/>
  <c r="H268" i="28"/>
  <c r="H267" i="28"/>
  <c r="H266" i="28"/>
  <c r="H265" i="28"/>
  <c r="H264" i="28"/>
  <c r="H263" i="28"/>
  <c r="H262" i="28"/>
  <c r="H261" i="28"/>
  <c r="H260" i="28"/>
  <c r="H259" i="28"/>
  <c r="H258" i="28"/>
  <c r="H257" i="28"/>
  <c r="H256" i="28"/>
  <c r="H255" i="28"/>
  <c r="H254" i="28"/>
  <c r="H253" i="28"/>
  <c r="H252" i="28"/>
  <c r="H251" i="28"/>
  <c r="H250" i="28"/>
  <c r="H249" i="28"/>
  <c r="H248" i="28"/>
  <c r="H247" i="28"/>
  <c r="H246" i="28"/>
  <c r="H245" i="28"/>
  <c r="H244" i="28"/>
  <c r="H243" i="28"/>
  <c r="H242" i="28"/>
  <c r="H241" i="28"/>
  <c r="H240" i="28"/>
  <c r="H239" i="28"/>
  <c r="H238" i="28"/>
  <c r="H237" i="28"/>
  <c r="H236" i="28"/>
  <c r="H235" i="28"/>
  <c r="H234" i="28"/>
  <c r="H233" i="28"/>
  <c r="H232" i="28"/>
  <c r="H231" i="28"/>
  <c r="H230" i="28"/>
  <c r="H229" i="28"/>
  <c r="H228" i="28"/>
  <c r="H227" i="28"/>
  <c r="H226" i="28"/>
  <c r="H225" i="28"/>
  <c r="H224" i="28"/>
  <c r="H223" i="28"/>
  <c r="H222" i="28"/>
  <c r="H221" i="28"/>
  <c r="H220" i="28"/>
  <c r="H219" i="28"/>
  <c r="H218" i="28"/>
  <c r="H217" i="28"/>
  <c r="H216" i="28"/>
  <c r="H215" i="28"/>
  <c r="H214" i="28"/>
  <c r="H213" i="28"/>
  <c r="H212" i="28"/>
  <c r="H211" i="28"/>
  <c r="H210" i="28"/>
  <c r="H209" i="28"/>
  <c r="H208" i="28"/>
  <c r="H207" i="28"/>
  <c r="H206" i="28"/>
  <c r="H205" i="28"/>
  <c r="H204" i="28"/>
  <c r="H203" i="28"/>
  <c r="H202" i="28"/>
  <c r="H201" i="28"/>
  <c r="H200" i="28"/>
  <c r="H199" i="28"/>
  <c r="H198" i="28"/>
  <c r="H197" i="28"/>
  <c r="H196" i="28"/>
  <c r="H195" i="28"/>
  <c r="H194" i="28"/>
  <c r="H193" i="28"/>
  <c r="H192" i="28"/>
  <c r="H191" i="28"/>
  <c r="H190" i="28"/>
  <c r="H189" i="28"/>
  <c r="H188" i="28"/>
  <c r="H187" i="28"/>
  <c r="H186" i="28"/>
  <c r="H185" i="28"/>
  <c r="H184" i="28"/>
  <c r="H183" i="28"/>
  <c r="H182" i="28"/>
  <c r="H181" i="28"/>
  <c r="H180" i="28"/>
  <c r="H179" i="28"/>
  <c r="H178" i="28"/>
  <c r="H177" i="28"/>
  <c r="H176" i="28"/>
  <c r="H175" i="28"/>
  <c r="H174" i="28"/>
  <c r="H173" i="28"/>
  <c r="H172" i="28"/>
  <c r="H171" i="28"/>
  <c r="H170" i="28"/>
  <c r="H169" i="28"/>
  <c r="H168" i="28"/>
  <c r="H167" i="28"/>
  <c r="H166" i="28"/>
  <c r="H165" i="28"/>
  <c r="H164" i="28"/>
  <c r="H163" i="28"/>
  <c r="H162" i="28"/>
  <c r="H161" i="28"/>
  <c r="H160" i="28"/>
  <c r="H159" i="28"/>
  <c r="H158" i="28"/>
  <c r="H157" i="28"/>
  <c r="H156" i="28"/>
  <c r="H155" i="28"/>
  <c r="H154" i="28"/>
  <c r="H153" i="28"/>
  <c r="H152" i="28"/>
  <c r="H151" i="28"/>
  <c r="H150" i="28"/>
  <c r="H149" i="28"/>
  <c r="H148" i="28"/>
  <c r="H147" i="28"/>
  <c r="H146" i="28"/>
  <c r="H145" i="28"/>
  <c r="H144" i="28"/>
  <c r="H143" i="28"/>
  <c r="H142" i="28"/>
  <c r="H141" i="28"/>
  <c r="H140" i="28"/>
  <c r="H139" i="28"/>
  <c r="H138" i="28"/>
  <c r="H137" i="28"/>
  <c r="H136" i="28"/>
  <c r="H135" i="28"/>
  <c r="H134" i="28"/>
  <c r="H133" i="28"/>
  <c r="H132" i="28"/>
  <c r="H131" i="28"/>
  <c r="H130" i="28"/>
  <c r="H129" i="28"/>
  <c r="H128" i="28"/>
  <c r="H127" i="28"/>
  <c r="H126" i="28"/>
  <c r="H125" i="28"/>
  <c r="H124" i="28"/>
  <c r="H123" i="28"/>
  <c r="H122" i="28"/>
  <c r="H121" i="28"/>
  <c r="H120" i="28"/>
  <c r="H119" i="28"/>
  <c r="H118" i="28"/>
  <c r="H117" i="28"/>
  <c r="H116" i="28"/>
  <c r="H115" i="28"/>
  <c r="H114" i="28"/>
  <c r="H113" i="28"/>
  <c r="H112" i="28"/>
  <c r="H111" i="28"/>
  <c r="H110" i="28"/>
  <c r="H109" i="28"/>
  <c r="H108" i="28"/>
  <c r="H107" i="28"/>
  <c r="H106" i="28"/>
  <c r="H105" i="28"/>
  <c r="H104" i="28"/>
  <c r="H103" i="28"/>
  <c r="H102" i="28"/>
  <c r="H101" i="28"/>
  <c r="H100" i="28"/>
  <c r="H99" i="28"/>
  <c r="H98" i="28"/>
  <c r="H97" i="28"/>
  <c r="H96" i="28"/>
  <c r="H95" i="28"/>
  <c r="H94" i="28"/>
  <c r="H93" i="28"/>
  <c r="H92" i="28"/>
  <c r="H91" i="28"/>
  <c r="H90" i="28"/>
  <c r="H89" i="28"/>
  <c r="H88" i="28"/>
  <c r="H87" i="28"/>
  <c r="H86" i="28"/>
  <c r="H85" i="28"/>
  <c r="H84" i="28"/>
  <c r="H83" i="28"/>
  <c r="H82" i="28"/>
  <c r="H81" i="28"/>
  <c r="H80" i="28"/>
  <c r="H79" i="28"/>
  <c r="H78" i="28"/>
  <c r="H77" i="28"/>
  <c r="H76" i="28"/>
  <c r="H75" i="28"/>
  <c r="H74" i="28"/>
  <c r="H73" i="28"/>
  <c r="H72" i="28"/>
  <c r="H71" i="28"/>
  <c r="H70" i="28"/>
  <c r="H69" i="28"/>
  <c r="H68" i="28"/>
  <c r="H67" i="28"/>
  <c r="H66" i="28"/>
  <c r="H65" i="28"/>
  <c r="H64" i="28"/>
  <c r="H63" i="28"/>
  <c r="H62" i="28"/>
  <c r="H61" i="28"/>
  <c r="H60" i="28"/>
  <c r="H59" i="28"/>
  <c r="H58" i="28"/>
  <c r="H57" i="28"/>
  <c r="H56" i="28"/>
  <c r="H55" i="28"/>
  <c r="H54" i="28"/>
  <c r="H53" i="28"/>
  <c r="H52" i="28"/>
  <c r="H51" i="28"/>
  <c r="H50" i="28"/>
  <c r="H49" i="28"/>
  <c r="H48" i="28"/>
  <c r="H47" i="28"/>
  <c r="H46" i="28"/>
  <c r="H45" i="28"/>
  <c r="H44" i="28"/>
  <c r="H43" i="28"/>
  <c r="H42" i="28"/>
  <c r="H41" i="28"/>
  <c r="H40" i="28"/>
  <c r="H39" i="28"/>
  <c r="H38" i="28"/>
  <c r="H37" i="28"/>
  <c r="H36" i="28"/>
  <c r="H35" i="28"/>
  <c r="H34" i="28"/>
  <c r="H33" i="28"/>
  <c r="H32" i="28"/>
  <c r="H31" i="28"/>
  <c r="H30" i="28"/>
  <c r="H29" i="28"/>
  <c r="F13" i="28"/>
  <c r="H1000" i="27"/>
  <c r="H999" i="27"/>
  <c r="H998" i="27"/>
  <c r="H997" i="27"/>
  <c r="H996" i="27"/>
  <c r="H995" i="27"/>
  <c r="H994" i="27"/>
  <c r="H993" i="27"/>
  <c r="H992" i="27"/>
  <c r="H991" i="27"/>
  <c r="H990" i="27"/>
  <c r="H989" i="27"/>
  <c r="H988" i="27"/>
  <c r="H987" i="27"/>
  <c r="H986" i="27"/>
  <c r="H985" i="27"/>
  <c r="H984" i="27"/>
  <c r="H983" i="27"/>
  <c r="H982" i="27"/>
  <c r="H981" i="27"/>
  <c r="H980" i="27"/>
  <c r="H979" i="27"/>
  <c r="H978" i="27"/>
  <c r="H977" i="27"/>
  <c r="H976" i="27"/>
  <c r="H975" i="27"/>
  <c r="H974" i="27"/>
  <c r="H973" i="27"/>
  <c r="H972" i="27"/>
  <c r="H971" i="27"/>
  <c r="H970" i="27"/>
  <c r="H969" i="27"/>
  <c r="H968" i="27"/>
  <c r="H967" i="27"/>
  <c r="H966" i="27"/>
  <c r="H965" i="27"/>
  <c r="H964" i="27"/>
  <c r="H963" i="27"/>
  <c r="H962" i="27"/>
  <c r="H961" i="27"/>
  <c r="H960" i="27"/>
  <c r="H959" i="27"/>
  <c r="H958" i="27"/>
  <c r="H957" i="27"/>
  <c r="H956" i="27"/>
  <c r="H955" i="27"/>
  <c r="H954" i="27"/>
  <c r="H953" i="27"/>
  <c r="H952" i="27"/>
  <c r="H951" i="27"/>
  <c r="H950" i="27"/>
  <c r="H949" i="27"/>
  <c r="H948" i="27"/>
  <c r="H947" i="27"/>
  <c r="H946" i="27"/>
  <c r="H945" i="27"/>
  <c r="H944" i="27"/>
  <c r="H943" i="27"/>
  <c r="H942" i="27"/>
  <c r="H941" i="27"/>
  <c r="H940" i="27"/>
  <c r="H939" i="27"/>
  <c r="H938" i="27"/>
  <c r="H937" i="27"/>
  <c r="H936" i="27"/>
  <c r="H935" i="27"/>
  <c r="H934" i="27"/>
  <c r="H933" i="27"/>
  <c r="H932" i="27"/>
  <c r="H931" i="27"/>
  <c r="H930" i="27"/>
  <c r="H929" i="27"/>
  <c r="H928" i="27"/>
  <c r="H927" i="27"/>
  <c r="H926" i="27"/>
  <c r="H925" i="27"/>
  <c r="H924" i="27"/>
  <c r="H923" i="27"/>
  <c r="H922" i="27"/>
  <c r="H921" i="27"/>
  <c r="H920" i="27"/>
  <c r="H919" i="27"/>
  <c r="H918" i="27"/>
  <c r="H917" i="27"/>
  <c r="H916" i="27"/>
  <c r="H915" i="27"/>
  <c r="H914" i="27"/>
  <c r="H913" i="27"/>
  <c r="H912" i="27"/>
  <c r="H911" i="27"/>
  <c r="H910" i="27"/>
  <c r="H909" i="27"/>
  <c r="H908" i="27"/>
  <c r="H907" i="27"/>
  <c r="H906" i="27"/>
  <c r="H905" i="27"/>
  <c r="H904" i="27"/>
  <c r="H903" i="27"/>
  <c r="H902" i="27"/>
  <c r="H901" i="27"/>
  <c r="H900" i="27"/>
  <c r="H899" i="27"/>
  <c r="H898" i="27"/>
  <c r="H897" i="27"/>
  <c r="H896" i="27"/>
  <c r="H895" i="27"/>
  <c r="H894" i="27"/>
  <c r="H893" i="27"/>
  <c r="H892" i="27"/>
  <c r="H891" i="27"/>
  <c r="H890" i="27"/>
  <c r="H889" i="27"/>
  <c r="H888" i="27"/>
  <c r="H887" i="27"/>
  <c r="H886" i="27"/>
  <c r="H885" i="27"/>
  <c r="H884" i="27"/>
  <c r="H883" i="27"/>
  <c r="H882" i="27"/>
  <c r="H881" i="27"/>
  <c r="H880" i="27"/>
  <c r="H879" i="27"/>
  <c r="H878" i="27"/>
  <c r="H877" i="27"/>
  <c r="H876" i="27"/>
  <c r="H875" i="27"/>
  <c r="H874" i="27"/>
  <c r="H873" i="27"/>
  <c r="H872" i="27"/>
  <c r="H871" i="27"/>
  <c r="H870" i="27"/>
  <c r="H869" i="27"/>
  <c r="H868" i="27"/>
  <c r="H867" i="27"/>
  <c r="H866" i="27"/>
  <c r="H865" i="27"/>
  <c r="H864" i="27"/>
  <c r="H863" i="27"/>
  <c r="H862" i="27"/>
  <c r="H861" i="27"/>
  <c r="H860" i="27"/>
  <c r="H859" i="27"/>
  <c r="H858" i="27"/>
  <c r="H857" i="27"/>
  <c r="H856" i="27"/>
  <c r="H855" i="27"/>
  <c r="H854" i="27"/>
  <c r="H853" i="27"/>
  <c r="H852" i="27"/>
  <c r="H851" i="27"/>
  <c r="H850" i="27"/>
  <c r="H849" i="27"/>
  <c r="H848" i="27"/>
  <c r="H847" i="27"/>
  <c r="H846" i="27"/>
  <c r="H845" i="27"/>
  <c r="H844" i="27"/>
  <c r="H843" i="27"/>
  <c r="H842" i="27"/>
  <c r="H841" i="27"/>
  <c r="H840" i="27"/>
  <c r="H839" i="27"/>
  <c r="H838" i="27"/>
  <c r="H837" i="27"/>
  <c r="H836" i="27"/>
  <c r="H835" i="27"/>
  <c r="H834" i="27"/>
  <c r="H833" i="27"/>
  <c r="H832" i="27"/>
  <c r="H831" i="27"/>
  <c r="H830" i="27"/>
  <c r="H829" i="27"/>
  <c r="H828" i="27"/>
  <c r="H827" i="27"/>
  <c r="H826" i="27"/>
  <c r="H825" i="27"/>
  <c r="H824" i="27"/>
  <c r="H823" i="27"/>
  <c r="H822" i="27"/>
  <c r="H821" i="27"/>
  <c r="H820" i="27"/>
  <c r="H819" i="27"/>
  <c r="H818" i="27"/>
  <c r="H817" i="27"/>
  <c r="H816" i="27"/>
  <c r="H815" i="27"/>
  <c r="H814" i="27"/>
  <c r="H813" i="27"/>
  <c r="H812" i="27"/>
  <c r="H811" i="27"/>
  <c r="H810" i="27"/>
  <c r="H809" i="27"/>
  <c r="H808" i="27"/>
  <c r="H807" i="27"/>
  <c r="H806" i="27"/>
  <c r="H805" i="27"/>
  <c r="H804" i="27"/>
  <c r="H803" i="27"/>
  <c r="H802" i="27"/>
  <c r="H801" i="27"/>
  <c r="H800" i="27"/>
  <c r="H799" i="27"/>
  <c r="H798" i="27"/>
  <c r="H797" i="27"/>
  <c r="H796" i="27"/>
  <c r="H795" i="27"/>
  <c r="H794" i="27"/>
  <c r="H793" i="27"/>
  <c r="H792" i="27"/>
  <c r="H791" i="27"/>
  <c r="H790" i="27"/>
  <c r="H789" i="27"/>
  <c r="H788" i="27"/>
  <c r="H787" i="27"/>
  <c r="H786" i="27"/>
  <c r="H785" i="27"/>
  <c r="H784" i="27"/>
  <c r="H783" i="27"/>
  <c r="H782" i="27"/>
  <c r="H781" i="27"/>
  <c r="H780" i="27"/>
  <c r="H779" i="27"/>
  <c r="H778" i="27"/>
  <c r="H777" i="27"/>
  <c r="H776" i="27"/>
  <c r="H775" i="27"/>
  <c r="H774" i="27"/>
  <c r="H773" i="27"/>
  <c r="H772" i="27"/>
  <c r="H771" i="27"/>
  <c r="H770" i="27"/>
  <c r="H769" i="27"/>
  <c r="H768" i="27"/>
  <c r="H767" i="27"/>
  <c r="H766" i="27"/>
  <c r="H765" i="27"/>
  <c r="H764" i="27"/>
  <c r="H763" i="27"/>
  <c r="H762" i="27"/>
  <c r="H761" i="27"/>
  <c r="H760" i="27"/>
  <c r="H759" i="27"/>
  <c r="H758" i="27"/>
  <c r="H757" i="27"/>
  <c r="H756" i="27"/>
  <c r="H755" i="27"/>
  <c r="H754" i="27"/>
  <c r="H753" i="27"/>
  <c r="H752" i="27"/>
  <c r="H751" i="27"/>
  <c r="H750" i="27"/>
  <c r="H749" i="27"/>
  <c r="H748" i="27"/>
  <c r="H747" i="27"/>
  <c r="H746" i="27"/>
  <c r="H745" i="27"/>
  <c r="H744" i="27"/>
  <c r="H743" i="27"/>
  <c r="H742" i="27"/>
  <c r="H741" i="27"/>
  <c r="H740" i="27"/>
  <c r="H739" i="27"/>
  <c r="H738" i="27"/>
  <c r="H737" i="27"/>
  <c r="H736" i="27"/>
  <c r="H735" i="27"/>
  <c r="H734" i="27"/>
  <c r="H733" i="27"/>
  <c r="H732" i="27"/>
  <c r="H731" i="27"/>
  <c r="H730" i="27"/>
  <c r="H729" i="27"/>
  <c r="H728" i="27"/>
  <c r="H727" i="27"/>
  <c r="H726" i="27"/>
  <c r="H725" i="27"/>
  <c r="H724" i="27"/>
  <c r="H723" i="27"/>
  <c r="H722" i="27"/>
  <c r="H721" i="27"/>
  <c r="H720" i="27"/>
  <c r="H719" i="27"/>
  <c r="H718" i="27"/>
  <c r="H717" i="27"/>
  <c r="H716" i="27"/>
  <c r="H715" i="27"/>
  <c r="H714" i="27"/>
  <c r="H713" i="27"/>
  <c r="H712" i="27"/>
  <c r="H711" i="27"/>
  <c r="H710" i="27"/>
  <c r="H709" i="27"/>
  <c r="H708" i="27"/>
  <c r="H707" i="27"/>
  <c r="H706" i="27"/>
  <c r="H705" i="27"/>
  <c r="H704" i="27"/>
  <c r="H703" i="27"/>
  <c r="H702" i="27"/>
  <c r="H701" i="27"/>
  <c r="H700" i="27"/>
  <c r="H699" i="27"/>
  <c r="H698" i="27"/>
  <c r="H697" i="27"/>
  <c r="H696" i="27"/>
  <c r="H695" i="27"/>
  <c r="H694" i="27"/>
  <c r="H693" i="27"/>
  <c r="H692" i="27"/>
  <c r="H691" i="27"/>
  <c r="H690" i="27"/>
  <c r="H689" i="27"/>
  <c r="H688" i="27"/>
  <c r="H687" i="27"/>
  <c r="H686" i="27"/>
  <c r="H685" i="27"/>
  <c r="H684" i="27"/>
  <c r="H683" i="27"/>
  <c r="H682" i="27"/>
  <c r="H681" i="27"/>
  <c r="H680" i="27"/>
  <c r="H679" i="27"/>
  <c r="H678" i="27"/>
  <c r="H677" i="27"/>
  <c r="H676" i="27"/>
  <c r="H675" i="27"/>
  <c r="H674" i="27"/>
  <c r="H673" i="27"/>
  <c r="H672" i="27"/>
  <c r="H671" i="27"/>
  <c r="H670" i="27"/>
  <c r="H669" i="27"/>
  <c r="H668" i="27"/>
  <c r="H667" i="27"/>
  <c r="H666" i="27"/>
  <c r="H665" i="27"/>
  <c r="H664" i="27"/>
  <c r="H663" i="27"/>
  <c r="H662" i="27"/>
  <c r="H661" i="27"/>
  <c r="H660" i="27"/>
  <c r="H659" i="27"/>
  <c r="H658" i="27"/>
  <c r="H657" i="27"/>
  <c r="H656" i="27"/>
  <c r="H655" i="27"/>
  <c r="H654" i="27"/>
  <c r="H653" i="27"/>
  <c r="H652" i="27"/>
  <c r="H651" i="27"/>
  <c r="H650" i="27"/>
  <c r="H649" i="27"/>
  <c r="H648" i="27"/>
  <c r="H647" i="27"/>
  <c r="H646" i="27"/>
  <c r="H645" i="27"/>
  <c r="H644" i="27"/>
  <c r="H643" i="27"/>
  <c r="H642" i="27"/>
  <c r="H641" i="27"/>
  <c r="H640" i="27"/>
  <c r="H639" i="27"/>
  <c r="H638" i="27"/>
  <c r="H637" i="27"/>
  <c r="H636" i="27"/>
  <c r="H635" i="27"/>
  <c r="H634" i="27"/>
  <c r="H633" i="27"/>
  <c r="H632" i="27"/>
  <c r="H631" i="27"/>
  <c r="H630" i="27"/>
  <c r="H629" i="27"/>
  <c r="H628" i="27"/>
  <c r="H627" i="27"/>
  <c r="H626" i="27"/>
  <c r="H625" i="27"/>
  <c r="H624" i="27"/>
  <c r="H623" i="27"/>
  <c r="H622" i="27"/>
  <c r="H621" i="27"/>
  <c r="H620" i="27"/>
  <c r="H619" i="27"/>
  <c r="H618" i="27"/>
  <c r="H617" i="27"/>
  <c r="H616" i="27"/>
  <c r="H615" i="27"/>
  <c r="H614" i="27"/>
  <c r="H613" i="27"/>
  <c r="H612" i="27"/>
  <c r="H611" i="27"/>
  <c r="H610" i="27"/>
  <c r="H609" i="27"/>
  <c r="H608" i="27"/>
  <c r="H607" i="27"/>
  <c r="H606" i="27"/>
  <c r="H605" i="27"/>
  <c r="H604" i="27"/>
  <c r="H603" i="27"/>
  <c r="H602" i="27"/>
  <c r="H601" i="27"/>
  <c r="H600" i="27"/>
  <c r="H599" i="27"/>
  <c r="H598" i="27"/>
  <c r="H597" i="27"/>
  <c r="H596" i="27"/>
  <c r="H595" i="27"/>
  <c r="H594" i="27"/>
  <c r="H593" i="27"/>
  <c r="H592" i="27"/>
  <c r="H591" i="27"/>
  <c r="H590" i="27"/>
  <c r="H589" i="27"/>
  <c r="H588" i="27"/>
  <c r="H587" i="27"/>
  <c r="H586" i="27"/>
  <c r="H585" i="27"/>
  <c r="H584" i="27"/>
  <c r="H583" i="27"/>
  <c r="H582" i="27"/>
  <c r="H581" i="27"/>
  <c r="H580" i="27"/>
  <c r="H579" i="27"/>
  <c r="H578" i="27"/>
  <c r="H577" i="27"/>
  <c r="H576" i="27"/>
  <c r="H575" i="27"/>
  <c r="H574" i="27"/>
  <c r="H573" i="27"/>
  <c r="H572" i="27"/>
  <c r="H571" i="27"/>
  <c r="H570" i="27"/>
  <c r="H569" i="27"/>
  <c r="H568" i="27"/>
  <c r="H567" i="27"/>
  <c r="H566" i="27"/>
  <c r="H565" i="27"/>
  <c r="H564" i="27"/>
  <c r="H563" i="27"/>
  <c r="H562" i="27"/>
  <c r="H561" i="27"/>
  <c r="H560" i="27"/>
  <c r="H559" i="27"/>
  <c r="H558" i="27"/>
  <c r="H557" i="27"/>
  <c r="H556" i="27"/>
  <c r="H555" i="27"/>
  <c r="H554" i="27"/>
  <c r="H553" i="27"/>
  <c r="H552" i="27"/>
  <c r="H551" i="27"/>
  <c r="H550" i="27"/>
  <c r="H549" i="27"/>
  <c r="H548" i="27"/>
  <c r="H547" i="27"/>
  <c r="H546" i="27"/>
  <c r="H545" i="27"/>
  <c r="H544" i="27"/>
  <c r="H543" i="27"/>
  <c r="H542" i="27"/>
  <c r="H541" i="27"/>
  <c r="H540" i="27"/>
  <c r="H539" i="27"/>
  <c r="H538" i="27"/>
  <c r="H537" i="27"/>
  <c r="H536" i="27"/>
  <c r="H535" i="27"/>
  <c r="H534" i="27"/>
  <c r="H533" i="27"/>
  <c r="H532" i="27"/>
  <c r="H531" i="27"/>
  <c r="H530" i="27"/>
  <c r="H529" i="27"/>
  <c r="H528" i="27"/>
  <c r="H527" i="27"/>
  <c r="H526" i="27"/>
  <c r="H525" i="27"/>
  <c r="H524" i="27"/>
  <c r="H523" i="27"/>
  <c r="H522" i="27"/>
  <c r="H521" i="27"/>
  <c r="H520" i="27"/>
  <c r="H519" i="27"/>
  <c r="H518" i="27"/>
  <c r="H517" i="27"/>
  <c r="H516" i="27"/>
  <c r="H515" i="27"/>
  <c r="H514" i="27"/>
  <c r="H513" i="27"/>
  <c r="H512" i="27"/>
  <c r="H511" i="27"/>
  <c r="H510" i="27"/>
  <c r="H509" i="27"/>
  <c r="H508" i="27"/>
  <c r="H507" i="27"/>
  <c r="H506" i="27"/>
  <c r="H505" i="27"/>
  <c r="H504" i="27"/>
  <c r="H503" i="27"/>
  <c r="H502" i="27"/>
  <c r="H501" i="27"/>
  <c r="H500" i="27"/>
  <c r="H499" i="27"/>
  <c r="H498" i="27"/>
  <c r="H497" i="27"/>
  <c r="H496" i="27"/>
  <c r="H495" i="27"/>
  <c r="H494" i="27"/>
  <c r="H493" i="27"/>
  <c r="H492" i="27"/>
  <c r="H491" i="27"/>
  <c r="H490" i="27"/>
  <c r="H489" i="27"/>
  <c r="H488" i="27"/>
  <c r="H487" i="27"/>
  <c r="H486" i="27"/>
  <c r="H485" i="27"/>
  <c r="H484" i="27"/>
  <c r="H483" i="27"/>
  <c r="H482" i="27"/>
  <c r="H481" i="27"/>
  <c r="H480" i="27"/>
  <c r="H479" i="27"/>
  <c r="H478" i="27"/>
  <c r="H477" i="27"/>
  <c r="H476" i="27"/>
  <c r="H475" i="27"/>
  <c r="H474" i="27"/>
  <c r="H473" i="27"/>
  <c r="H472" i="27"/>
  <c r="H471" i="27"/>
  <c r="H470" i="27"/>
  <c r="H469" i="27"/>
  <c r="H468" i="27"/>
  <c r="H467" i="27"/>
  <c r="H466" i="27"/>
  <c r="H465" i="27"/>
  <c r="H464" i="27"/>
  <c r="H463" i="27"/>
  <c r="H462" i="27"/>
  <c r="H461" i="27"/>
  <c r="H460" i="27"/>
  <c r="H459" i="27"/>
  <c r="H458" i="27"/>
  <c r="H457" i="27"/>
  <c r="H456" i="27"/>
  <c r="H455" i="27"/>
  <c r="H454" i="27"/>
  <c r="H453" i="27"/>
  <c r="H452" i="27"/>
  <c r="H451" i="27"/>
  <c r="H450" i="27"/>
  <c r="H449" i="27"/>
  <c r="H448" i="27"/>
  <c r="H447" i="27"/>
  <c r="H446" i="27"/>
  <c r="H445" i="27"/>
  <c r="H444" i="27"/>
  <c r="H443" i="27"/>
  <c r="H442" i="27"/>
  <c r="H441" i="27"/>
  <c r="H440" i="27"/>
  <c r="H439" i="27"/>
  <c r="H438" i="27"/>
  <c r="H437" i="27"/>
  <c r="H436" i="27"/>
  <c r="H435" i="27"/>
  <c r="H434" i="27"/>
  <c r="H433" i="27"/>
  <c r="H432" i="27"/>
  <c r="H431" i="27"/>
  <c r="H430" i="27"/>
  <c r="H429" i="27"/>
  <c r="H428" i="27"/>
  <c r="H427" i="27"/>
  <c r="H426" i="27"/>
  <c r="H425" i="27"/>
  <c r="H424" i="27"/>
  <c r="H423" i="27"/>
  <c r="H422" i="27"/>
  <c r="H421" i="27"/>
  <c r="H420" i="27"/>
  <c r="H419" i="27"/>
  <c r="H418" i="27"/>
  <c r="H417" i="27"/>
  <c r="H416" i="27"/>
  <c r="H415" i="27"/>
  <c r="H414" i="27"/>
  <c r="H413" i="27"/>
  <c r="H412" i="27"/>
  <c r="H411" i="27"/>
  <c r="H410" i="27"/>
  <c r="H409" i="27"/>
  <c r="H408" i="27"/>
  <c r="H407" i="27"/>
  <c r="H406" i="27"/>
  <c r="H405" i="27"/>
  <c r="H404" i="27"/>
  <c r="H403" i="27"/>
  <c r="H402" i="27"/>
  <c r="H401" i="27"/>
  <c r="H400" i="27"/>
  <c r="H399" i="27"/>
  <c r="H398" i="27"/>
  <c r="H397" i="27"/>
  <c r="H396" i="27"/>
  <c r="H395" i="27"/>
  <c r="H394" i="27"/>
  <c r="H393" i="27"/>
  <c r="H392" i="27"/>
  <c r="H391" i="27"/>
  <c r="H390" i="27"/>
  <c r="H389" i="27"/>
  <c r="H388" i="27"/>
  <c r="H387" i="27"/>
  <c r="H386" i="27"/>
  <c r="H385" i="27"/>
  <c r="H384" i="27"/>
  <c r="H383" i="27"/>
  <c r="H382" i="27"/>
  <c r="H381" i="27"/>
  <c r="H380" i="27"/>
  <c r="H379" i="27"/>
  <c r="H378" i="27"/>
  <c r="H377" i="27"/>
  <c r="H376" i="27"/>
  <c r="H375" i="27"/>
  <c r="H374" i="27"/>
  <c r="H373" i="27"/>
  <c r="H372" i="27"/>
  <c r="H371" i="27"/>
  <c r="H370" i="27"/>
  <c r="H369" i="27"/>
  <c r="H368" i="27"/>
  <c r="H367" i="27"/>
  <c r="H366" i="27"/>
  <c r="H365" i="27"/>
  <c r="H364" i="27"/>
  <c r="H363" i="27"/>
  <c r="H362" i="27"/>
  <c r="H361" i="27"/>
  <c r="H360" i="27"/>
  <c r="H359" i="27"/>
  <c r="H358" i="27"/>
  <c r="H357" i="27"/>
  <c r="H356" i="27"/>
  <c r="H355" i="27"/>
  <c r="H354" i="27"/>
  <c r="H353" i="27"/>
  <c r="H352" i="27"/>
  <c r="H351" i="27"/>
  <c r="H350" i="27"/>
  <c r="H349" i="27"/>
  <c r="H348" i="27"/>
  <c r="H347" i="27"/>
  <c r="H346" i="27"/>
  <c r="H345" i="27"/>
  <c r="H344" i="27"/>
  <c r="H343" i="27"/>
  <c r="H342" i="27"/>
  <c r="H341" i="27"/>
  <c r="H340" i="27"/>
  <c r="H339" i="27"/>
  <c r="H338" i="27"/>
  <c r="H337" i="27"/>
  <c r="H336" i="27"/>
  <c r="H335" i="27"/>
  <c r="H334" i="27"/>
  <c r="H333" i="27"/>
  <c r="H332" i="27"/>
  <c r="H331" i="27"/>
  <c r="H330" i="27"/>
  <c r="H329" i="27"/>
  <c r="H328" i="27"/>
  <c r="H327" i="27"/>
  <c r="H326" i="27"/>
  <c r="H325" i="27"/>
  <c r="H324" i="27"/>
  <c r="H323" i="27"/>
  <c r="H322" i="27"/>
  <c r="H321" i="27"/>
  <c r="H320" i="27"/>
  <c r="H319" i="27"/>
  <c r="H318" i="27"/>
  <c r="H317" i="27"/>
  <c r="H316" i="27"/>
  <c r="H315" i="27"/>
  <c r="H314" i="27"/>
  <c r="H313" i="27"/>
  <c r="H312" i="27"/>
  <c r="H311" i="27"/>
  <c r="H310" i="27"/>
  <c r="H309" i="27"/>
  <c r="H308" i="27"/>
  <c r="H307" i="27"/>
  <c r="H306" i="27"/>
  <c r="H305" i="27"/>
  <c r="H304" i="27"/>
  <c r="H303" i="27"/>
  <c r="H302" i="27"/>
  <c r="H301" i="27"/>
  <c r="H300" i="27"/>
  <c r="H299" i="27"/>
  <c r="H298" i="27"/>
  <c r="H297" i="27"/>
  <c r="H296" i="27"/>
  <c r="H295" i="27"/>
  <c r="H294" i="27"/>
  <c r="H293" i="27"/>
  <c r="H292" i="27"/>
  <c r="H291" i="27"/>
  <c r="H290" i="27"/>
  <c r="H289" i="27"/>
  <c r="H288" i="27"/>
  <c r="H287" i="27"/>
  <c r="H286" i="27"/>
  <c r="H285" i="27"/>
  <c r="H284" i="27"/>
  <c r="H283" i="27"/>
  <c r="H282" i="27"/>
  <c r="H281" i="27"/>
  <c r="H280" i="27"/>
  <c r="H279" i="27"/>
  <c r="H278" i="27"/>
  <c r="H277" i="27"/>
  <c r="H276" i="27"/>
  <c r="H275" i="27"/>
  <c r="H274" i="27"/>
  <c r="H273" i="27"/>
  <c r="H272" i="27"/>
  <c r="H271" i="27"/>
  <c r="H270" i="27"/>
  <c r="H269" i="27"/>
  <c r="H268" i="27"/>
  <c r="H267" i="27"/>
  <c r="H266" i="27"/>
  <c r="H265" i="27"/>
  <c r="H264" i="27"/>
  <c r="H263" i="27"/>
  <c r="H262" i="27"/>
  <c r="H261" i="27"/>
  <c r="H260" i="27"/>
  <c r="H259" i="27"/>
  <c r="H258" i="27"/>
  <c r="H257" i="27"/>
  <c r="H256" i="27"/>
  <c r="H255" i="27"/>
  <c r="H254" i="27"/>
  <c r="H253" i="27"/>
  <c r="H252" i="27"/>
  <c r="H251" i="27"/>
  <c r="H250" i="27"/>
  <c r="H249" i="27"/>
  <c r="H248" i="27"/>
  <c r="H247" i="27"/>
  <c r="H246" i="27"/>
  <c r="H245" i="27"/>
  <c r="H244" i="27"/>
  <c r="H243" i="27"/>
  <c r="H242" i="27"/>
  <c r="H241" i="27"/>
  <c r="H240" i="27"/>
  <c r="H239" i="27"/>
  <c r="H238" i="27"/>
  <c r="H237" i="27"/>
  <c r="H236" i="27"/>
  <c r="H235" i="27"/>
  <c r="H234" i="27"/>
  <c r="H233" i="27"/>
  <c r="H232" i="27"/>
  <c r="H231" i="27"/>
  <c r="H230" i="27"/>
  <c r="H229" i="27"/>
  <c r="H228" i="27"/>
  <c r="H227" i="27"/>
  <c r="H226" i="27"/>
  <c r="H225" i="27"/>
  <c r="H224" i="27"/>
  <c r="H223" i="27"/>
  <c r="H222" i="27"/>
  <c r="H221" i="27"/>
  <c r="H220" i="27"/>
  <c r="H219" i="27"/>
  <c r="H218" i="27"/>
  <c r="H217" i="27"/>
  <c r="H216" i="27"/>
  <c r="H215" i="27"/>
  <c r="H214" i="27"/>
  <c r="H213" i="27"/>
  <c r="H212" i="27"/>
  <c r="H211" i="27"/>
  <c r="H210" i="27"/>
  <c r="H209" i="27"/>
  <c r="H208" i="27"/>
  <c r="H207" i="27"/>
  <c r="H206" i="27"/>
  <c r="H205" i="27"/>
  <c r="H204" i="27"/>
  <c r="H203" i="27"/>
  <c r="H202" i="27"/>
  <c r="H201" i="27"/>
  <c r="H200" i="27"/>
  <c r="H199" i="27"/>
  <c r="H198" i="27"/>
  <c r="H197" i="27"/>
  <c r="H196" i="27"/>
  <c r="H195" i="27"/>
  <c r="H194" i="27"/>
  <c r="H193" i="27"/>
  <c r="H192" i="27"/>
  <c r="H191" i="27"/>
  <c r="H190" i="27"/>
  <c r="H189" i="27"/>
  <c r="H188" i="27"/>
  <c r="H187" i="27"/>
  <c r="H186" i="27"/>
  <c r="H185" i="27"/>
  <c r="H184" i="27"/>
  <c r="H183" i="27"/>
  <c r="H182" i="27"/>
  <c r="H181" i="27"/>
  <c r="H180" i="27"/>
  <c r="H179" i="27"/>
  <c r="H178" i="27"/>
  <c r="H177" i="27"/>
  <c r="H176" i="27"/>
  <c r="H175" i="27"/>
  <c r="H174" i="27"/>
  <c r="H173" i="27"/>
  <c r="H172" i="27"/>
  <c r="H171" i="27"/>
  <c r="H170" i="27"/>
  <c r="H169" i="27"/>
  <c r="H168" i="27"/>
  <c r="H167" i="27"/>
  <c r="H166" i="27"/>
  <c r="H165" i="27"/>
  <c r="H164" i="27"/>
  <c r="H163" i="27"/>
  <c r="H162" i="27"/>
  <c r="H161" i="27"/>
  <c r="H160" i="27"/>
  <c r="H159" i="27"/>
  <c r="H158" i="27"/>
  <c r="H157" i="27"/>
  <c r="H156" i="27"/>
  <c r="H155" i="27"/>
  <c r="H154" i="27"/>
  <c r="H153" i="27"/>
  <c r="H152" i="27"/>
  <c r="H151" i="27"/>
  <c r="H150" i="27"/>
  <c r="H149" i="27"/>
  <c r="H148" i="27"/>
  <c r="H147" i="27"/>
  <c r="H146" i="27"/>
  <c r="H145" i="27"/>
  <c r="H144" i="27"/>
  <c r="H143" i="27"/>
  <c r="H142" i="27"/>
  <c r="H141" i="27"/>
  <c r="H140" i="27"/>
  <c r="H139" i="27"/>
  <c r="H138" i="27"/>
  <c r="H137" i="27"/>
  <c r="H136" i="27"/>
  <c r="H135" i="27"/>
  <c r="H134" i="27"/>
  <c r="H133" i="27"/>
  <c r="H132" i="27"/>
  <c r="H131" i="27"/>
  <c r="H130" i="27"/>
  <c r="H129" i="27"/>
  <c r="H128" i="27"/>
  <c r="H127" i="27"/>
  <c r="H126" i="27"/>
  <c r="H125" i="27"/>
  <c r="H124" i="27"/>
  <c r="H123" i="27"/>
  <c r="H122" i="27"/>
  <c r="H121" i="27"/>
  <c r="H120" i="27"/>
  <c r="H119" i="27"/>
  <c r="H118" i="27"/>
  <c r="H117" i="27"/>
  <c r="H116" i="27"/>
  <c r="H115" i="27"/>
  <c r="H114" i="27"/>
  <c r="H113" i="27"/>
  <c r="H112" i="27"/>
  <c r="H111" i="27"/>
  <c r="H110" i="27"/>
  <c r="H109" i="27"/>
  <c r="H108" i="27"/>
  <c r="H107" i="27"/>
  <c r="H106" i="27"/>
  <c r="H105" i="27"/>
  <c r="H104" i="27"/>
  <c r="H103" i="27"/>
  <c r="H102" i="27"/>
  <c r="H101" i="27"/>
  <c r="H100" i="27"/>
  <c r="H99" i="27"/>
  <c r="H98" i="27"/>
  <c r="H97" i="27"/>
  <c r="H96" i="27"/>
  <c r="H95" i="27"/>
  <c r="H94" i="27"/>
  <c r="H93" i="27"/>
  <c r="H92" i="27"/>
  <c r="H91" i="27"/>
  <c r="H90" i="27"/>
  <c r="H89" i="27"/>
  <c r="H88" i="27"/>
  <c r="H87" i="27"/>
  <c r="H86" i="27"/>
  <c r="H85" i="27"/>
  <c r="H84" i="27"/>
  <c r="H83" i="27"/>
  <c r="H82" i="27"/>
  <c r="H81" i="27"/>
  <c r="H80" i="27"/>
  <c r="H79" i="27"/>
  <c r="H78" i="27"/>
  <c r="H77" i="27"/>
  <c r="H76" i="27"/>
  <c r="H75" i="27"/>
  <c r="H74" i="27"/>
  <c r="H73" i="27"/>
  <c r="H72" i="27"/>
  <c r="H71" i="27"/>
  <c r="H70" i="27"/>
  <c r="H69" i="27"/>
  <c r="H68" i="27"/>
  <c r="H67" i="27"/>
  <c r="H66" i="27"/>
  <c r="H65" i="27"/>
  <c r="H64" i="27"/>
  <c r="H63" i="27"/>
  <c r="H62" i="27"/>
  <c r="H61" i="27"/>
  <c r="H60" i="27"/>
  <c r="H59" i="27"/>
  <c r="H58" i="27"/>
  <c r="H57" i="27"/>
  <c r="H56" i="27"/>
  <c r="H55" i="27"/>
  <c r="H54" i="27"/>
  <c r="H53" i="27"/>
  <c r="H52" i="27"/>
  <c r="H51" i="27"/>
  <c r="H50" i="27"/>
  <c r="H49" i="27"/>
  <c r="H48" i="27"/>
  <c r="H47" i="27"/>
  <c r="H46" i="27"/>
  <c r="H45" i="27"/>
  <c r="H44" i="27"/>
  <c r="H43" i="27"/>
  <c r="H42" i="27"/>
  <c r="H41" i="27"/>
  <c r="H40" i="27"/>
  <c r="H39" i="27"/>
  <c r="H38" i="27"/>
  <c r="H37" i="27"/>
  <c r="F70" i="10"/>
  <c r="R70" i="10" s="1"/>
  <c r="F13" i="27"/>
  <c r="F11" i="27"/>
  <c r="H998" i="26"/>
  <c r="H997" i="26"/>
  <c r="H996" i="26"/>
  <c r="H995" i="26"/>
  <c r="H994" i="26"/>
  <c r="H993" i="26"/>
  <c r="H992" i="26"/>
  <c r="H991" i="26"/>
  <c r="H990" i="26"/>
  <c r="H989" i="26"/>
  <c r="H988" i="26"/>
  <c r="H987" i="26"/>
  <c r="H986" i="26"/>
  <c r="H985" i="26"/>
  <c r="H984" i="26"/>
  <c r="H983" i="26"/>
  <c r="H982" i="26"/>
  <c r="H981" i="26"/>
  <c r="H980" i="26"/>
  <c r="H979" i="26"/>
  <c r="H978" i="26"/>
  <c r="H977" i="26"/>
  <c r="H976" i="26"/>
  <c r="H975" i="26"/>
  <c r="H974" i="26"/>
  <c r="H973" i="26"/>
  <c r="H972" i="26"/>
  <c r="H971" i="26"/>
  <c r="H970" i="26"/>
  <c r="H969" i="26"/>
  <c r="H968" i="26"/>
  <c r="H967" i="26"/>
  <c r="H966" i="26"/>
  <c r="H965" i="26"/>
  <c r="H964" i="26"/>
  <c r="H963" i="26"/>
  <c r="H962" i="26"/>
  <c r="H961" i="26"/>
  <c r="H960" i="26"/>
  <c r="H959" i="26"/>
  <c r="H958" i="26"/>
  <c r="H957" i="26"/>
  <c r="H956" i="26"/>
  <c r="H955" i="26"/>
  <c r="H954" i="26"/>
  <c r="H953" i="26"/>
  <c r="H952" i="26"/>
  <c r="H951" i="26"/>
  <c r="H950" i="26"/>
  <c r="H949" i="26"/>
  <c r="H948" i="26"/>
  <c r="H947" i="26"/>
  <c r="H946" i="26"/>
  <c r="H945" i="26"/>
  <c r="H944" i="26"/>
  <c r="H943" i="26"/>
  <c r="H942" i="26"/>
  <c r="H941" i="26"/>
  <c r="H940" i="26"/>
  <c r="H939" i="26"/>
  <c r="H938" i="26"/>
  <c r="H937" i="26"/>
  <c r="H936" i="26"/>
  <c r="H935" i="26"/>
  <c r="H934" i="26"/>
  <c r="H933" i="26"/>
  <c r="H932" i="26"/>
  <c r="H931" i="26"/>
  <c r="H930" i="26"/>
  <c r="H929" i="26"/>
  <c r="H928" i="26"/>
  <c r="H927" i="26"/>
  <c r="H926" i="26"/>
  <c r="H925" i="26"/>
  <c r="H924" i="26"/>
  <c r="H923" i="26"/>
  <c r="H922" i="26"/>
  <c r="H921" i="26"/>
  <c r="H920" i="26"/>
  <c r="H919" i="26"/>
  <c r="H918" i="26"/>
  <c r="H917" i="26"/>
  <c r="H916" i="26"/>
  <c r="H915" i="26"/>
  <c r="H914" i="26"/>
  <c r="H913" i="26"/>
  <c r="H912" i="26"/>
  <c r="H911" i="26"/>
  <c r="H910" i="26"/>
  <c r="H909" i="26"/>
  <c r="H908" i="26"/>
  <c r="H907" i="26"/>
  <c r="H906" i="26"/>
  <c r="H905" i="26"/>
  <c r="H904" i="26"/>
  <c r="H903" i="26"/>
  <c r="H902" i="26"/>
  <c r="H901" i="26"/>
  <c r="H900" i="26"/>
  <c r="H899" i="26"/>
  <c r="H898" i="26"/>
  <c r="H897" i="26"/>
  <c r="H896" i="26"/>
  <c r="H895" i="26"/>
  <c r="H894" i="26"/>
  <c r="H893" i="26"/>
  <c r="H892" i="26"/>
  <c r="H891" i="26"/>
  <c r="H890" i="26"/>
  <c r="H889" i="26"/>
  <c r="H888" i="26"/>
  <c r="H887" i="26"/>
  <c r="H886" i="26"/>
  <c r="H885" i="26"/>
  <c r="H884" i="26"/>
  <c r="H883" i="26"/>
  <c r="H882" i="26"/>
  <c r="H881" i="26"/>
  <c r="H880" i="26"/>
  <c r="H879" i="26"/>
  <c r="H878" i="26"/>
  <c r="H877" i="26"/>
  <c r="H876" i="26"/>
  <c r="H875" i="26"/>
  <c r="H874" i="26"/>
  <c r="H873" i="26"/>
  <c r="H872" i="26"/>
  <c r="H871" i="26"/>
  <c r="H870" i="26"/>
  <c r="H869" i="26"/>
  <c r="H868" i="26"/>
  <c r="H867" i="26"/>
  <c r="H866" i="26"/>
  <c r="H865" i="26"/>
  <c r="H864" i="26"/>
  <c r="H863" i="26"/>
  <c r="H862" i="26"/>
  <c r="H861" i="26"/>
  <c r="H860" i="26"/>
  <c r="H859" i="26"/>
  <c r="H858" i="26"/>
  <c r="H857" i="26"/>
  <c r="H856" i="26"/>
  <c r="H855" i="26"/>
  <c r="H854" i="26"/>
  <c r="H853" i="26"/>
  <c r="H852" i="26"/>
  <c r="H851" i="26"/>
  <c r="H850" i="26"/>
  <c r="H849" i="26"/>
  <c r="H848" i="26"/>
  <c r="H847" i="26"/>
  <c r="H846" i="26"/>
  <c r="H845" i="26"/>
  <c r="H844" i="26"/>
  <c r="H843" i="26"/>
  <c r="H842" i="26"/>
  <c r="H841" i="26"/>
  <c r="H840" i="26"/>
  <c r="H839" i="26"/>
  <c r="H838" i="26"/>
  <c r="H837" i="26"/>
  <c r="H836" i="26"/>
  <c r="H835" i="26"/>
  <c r="H834" i="26"/>
  <c r="H833" i="26"/>
  <c r="H832" i="26"/>
  <c r="H831" i="26"/>
  <c r="H830" i="26"/>
  <c r="H829" i="26"/>
  <c r="H828" i="26"/>
  <c r="H827" i="26"/>
  <c r="H826" i="26"/>
  <c r="H825" i="26"/>
  <c r="H824" i="26"/>
  <c r="H823" i="26"/>
  <c r="H822" i="26"/>
  <c r="H821" i="26"/>
  <c r="H820" i="26"/>
  <c r="H819" i="26"/>
  <c r="H818" i="26"/>
  <c r="H817" i="26"/>
  <c r="H816" i="26"/>
  <c r="H815" i="26"/>
  <c r="H814" i="26"/>
  <c r="H813" i="26"/>
  <c r="H812" i="26"/>
  <c r="H811" i="26"/>
  <c r="H810" i="26"/>
  <c r="H809" i="26"/>
  <c r="H808" i="26"/>
  <c r="H807" i="26"/>
  <c r="H806" i="26"/>
  <c r="H805" i="26"/>
  <c r="H804" i="26"/>
  <c r="H803" i="26"/>
  <c r="H802" i="26"/>
  <c r="H801" i="26"/>
  <c r="H800" i="26"/>
  <c r="H799" i="26"/>
  <c r="H798" i="26"/>
  <c r="H797" i="26"/>
  <c r="H796" i="26"/>
  <c r="H795" i="26"/>
  <c r="H794" i="26"/>
  <c r="H793" i="26"/>
  <c r="H792" i="26"/>
  <c r="H791" i="26"/>
  <c r="H790" i="26"/>
  <c r="H789" i="26"/>
  <c r="H788" i="26"/>
  <c r="H787" i="26"/>
  <c r="H786" i="26"/>
  <c r="H785" i="26"/>
  <c r="H784" i="26"/>
  <c r="H783" i="26"/>
  <c r="H782" i="26"/>
  <c r="H781" i="26"/>
  <c r="H780" i="26"/>
  <c r="H779" i="26"/>
  <c r="H778" i="26"/>
  <c r="H777" i="26"/>
  <c r="H776" i="26"/>
  <c r="H775" i="26"/>
  <c r="H774" i="26"/>
  <c r="H773" i="26"/>
  <c r="H772" i="26"/>
  <c r="H771" i="26"/>
  <c r="H770" i="26"/>
  <c r="H769" i="26"/>
  <c r="H768" i="26"/>
  <c r="H767" i="26"/>
  <c r="H766" i="26"/>
  <c r="H765" i="26"/>
  <c r="H764" i="26"/>
  <c r="H763" i="26"/>
  <c r="H762" i="26"/>
  <c r="H761" i="26"/>
  <c r="H760" i="26"/>
  <c r="H759" i="26"/>
  <c r="H758" i="26"/>
  <c r="H757" i="26"/>
  <c r="H756" i="26"/>
  <c r="H755" i="26"/>
  <c r="H754" i="26"/>
  <c r="H753" i="26"/>
  <c r="H752" i="26"/>
  <c r="H751" i="26"/>
  <c r="H750" i="26"/>
  <c r="H749" i="26"/>
  <c r="H748" i="26"/>
  <c r="H747" i="26"/>
  <c r="H746" i="26"/>
  <c r="H745" i="26"/>
  <c r="H744" i="26"/>
  <c r="H743" i="26"/>
  <c r="H742" i="26"/>
  <c r="H741" i="26"/>
  <c r="H740" i="26"/>
  <c r="H739" i="26"/>
  <c r="H738" i="26"/>
  <c r="H737" i="26"/>
  <c r="H736" i="26"/>
  <c r="H735" i="26"/>
  <c r="H734" i="26"/>
  <c r="H733" i="26"/>
  <c r="H732" i="26"/>
  <c r="H731" i="26"/>
  <c r="H730" i="26"/>
  <c r="H729" i="26"/>
  <c r="H728" i="26"/>
  <c r="H727" i="26"/>
  <c r="H726" i="26"/>
  <c r="H725" i="26"/>
  <c r="H724" i="26"/>
  <c r="H723" i="26"/>
  <c r="H722" i="26"/>
  <c r="H721" i="26"/>
  <c r="H720" i="26"/>
  <c r="H719" i="26"/>
  <c r="H718" i="26"/>
  <c r="H717" i="26"/>
  <c r="H716" i="26"/>
  <c r="H715" i="26"/>
  <c r="H714" i="26"/>
  <c r="H713" i="26"/>
  <c r="H712" i="26"/>
  <c r="H711" i="26"/>
  <c r="H710" i="26"/>
  <c r="H709" i="26"/>
  <c r="H708" i="26"/>
  <c r="H707" i="26"/>
  <c r="H706" i="26"/>
  <c r="H705" i="26"/>
  <c r="H704" i="26"/>
  <c r="H703" i="26"/>
  <c r="H702" i="26"/>
  <c r="H701" i="26"/>
  <c r="H700" i="26"/>
  <c r="H699" i="26"/>
  <c r="H698" i="26"/>
  <c r="H697" i="26"/>
  <c r="H696" i="26"/>
  <c r="H695" i="26"/>
  <c r="H694" i="26"/>
  <c r="H693" i="26"/>
  <c r="H692" i="26"/>
  <c r="H691" i="26"/>
  <c r="H690" i="26"/>
  <c r="H689" i="26"/>
  <c r="H688" i="26"/>
  <c r="H687" i="26"/>
  <c r="H686" i="26"/>
  <c r="H685" i="26"/>
  <c r="H684" i="26"/>
  <c r="H683" i="26"/>
  <c r="H682" i="26"/>
  <c r="H681" i="26"/>
  <c r="H680" i="26"/>
  <c r="H679" i="26"/>
  <c r="H678" i="26"/>
  <c r="H677" i="26"/>
  <c r="H676" i="26"/>
  <c r="H675" i="26"/>
  <c r="H674" i="26"/>
  <c r="H673" i="26"/>
  <c r="H672" i="26"/>
  <c r="H671" i="26"/>
  <c r="H670" i="26"/>
  <c r="H669" i="26"/>
  <c r="H668" i="26"/>
  <c r="H667" i="26"/>
  <c r="H666" i="26"/>
  <c r="H665" i="26"/>
  <c r="H664" i="26"/>
  <c r="H663" i="26"/>
  <c r="H662" i="26"/>
  <c r="H661" i="26"/>
  <c r="H660" i="26"/>
  <c r="H659" i="26"/>
  <c r="H658" i="26"/>
  <c r="H657" i="26"/>
  <c r="H656" i="26"/>
  <c r="H655" i="26"/>
  <c r="H654" i="26"/>
  <c r="H653" i="26"/>
  <c r="H652" i="26"/>
  <c r="H651" i="26"/>
  <c r="H650" i="26"/>
  <c r="H649" i="26"/>
  <c r="H648" i="26"/>
  <c r="H647" i="26"/>
  <c r="H646" i="26"/>
  <c r="H645" i="26"/>
  <c r="H644" i="26"/>
  <c r="H643" i="26"/>
  <c r="H642" i="26"/>
  <c r="H641" i="26"/>
  <c r="H640" i="26"/>
  <c r="H639" i="26"/>
  <c r="H638" i="26"/>
  <c r="H637" i="26"/>
  <c r="H636" i="26"/>
  <c r="H635" i="26"/>
  <c r="H634" i="26"/>
  <c r="H633" i="26"/>
  <c r="H632" i="26"/>
  <c r="H631" i="26"/>
  <c r="H630" i="26"/>
  <c r="H629" i="26"/>
  <c r="H628" i="26"/>
  <c r="H627" i="26"/>
  <c r="H626" i="26"/>
  <c r="H625" i="26"/>
  <c r="H624" i="26"/>
  <c r="H623" i="26"/>
  <c r="H622" i="26"/>
  <c r="H621" i="26"/>
  <c r="H620" i="26"/>
  <c r="H619" i="26"/>
  <c r="H618" i="26"/>
  <c r="H617" i="26"/>
  <c r="H616" i="26"/>
  <c r="H615" i="26"/>
  <c r="H614" i="26"/>
  <c r="H613" i="26"/>
  <c r="H612" i="26"/>
  <c r="H611" i="26"/>
  <c r="H610" i="26"/>
  <c r="H609" i="26"/>
  <c r="H608" i="26"/>
  <c r="H607" i="26"/>
  <c r="H606" i="26"/>
  <c r="H605" i="26"/>
  <c r="H604" i="26"/>
  <c r="H603" i="26"/>
  <c r="H602" i="26"/>
  <c r="H601" i="26"/>
  <c r="H600" i="26"/>
  <c r="H599" i="26"/>
  <c r="H598" i="26"/>
  <c r="H597" i="26"/>
  <c r="H596" i="26"/>
  <c r="H595" i="26"/>
  <c r="H594" i="26"/>
  <c r="H593" i="26"/>
  <c r="H592" i="26"/>
  <c r="H591" i="26"/>
  <c r="H590" i="26"/>
  <c r="H589" i="26"/>
  <c r="H588" i="26"/>
  <c r="H587" i="26"/>
  <c r="H586" i="26"/>
  <c r="H585" i="26"/>
  <c r="H584" i="26"/>
  <c r="H583" i="26"/>
  <c r="H582" i="26"/>
  <c r="H581" i="26"/>
  <c r="H580" i="26"/>
  <c r="H579" i="26"/>
  <c r="H578" i="26"/>
  <c r="H577" i="26"/>
  <c r="H576" i="26"/>
  <c r="H575" i="26"/>
  <c r="H574" i="26"/>
  <c r="H573" i="26"/>
  <c r="H572" i="26"/>
  <c r="H571" i="26"/>
  <c r="H570" i="26"/>
  <c r="H569" i="26"/>
  <c r="H568" i="26"/>
  <c r="H567" i="26"/>
  <c r="H566" i="26"/>
  <c r="H565" i="26"/>
  <c r="H564" i="26"/>
  <c r="H563" i="26"/>
  <c r="H562" i="26"/>
  <c r="H561" i="26"/>
  <c r="H560" i="26"/>
  <c r="H559" i="26"/>
  <c r="H558" i="26"/>
  <c r="H557" i="26"/>
  <c r="H556" i="26"/>
  <c r="H555" i="26"/>
  <c r="H554" i="26"/>
  <c r="H553" i="26"/>
  <c r="H552" i="26"/>
  <c r="H551" i="26"/>
  <c r="H550" i="26"/>
  <c r="H549" i="26"/>
  <c r="H548" i="26"/>
  <c r="H547" i="26"/>
  <c r="H546" i="26"/>
  <c r="H545" i="26"/>
  <c r="H544" i="26"/>
  <c r="H543" i="26"/>
  <c r="H542" i="26"/>
  <c r="H541" i="26"/>
  <c r="H540" i="26"/>
  <c r="H539" i="26"/>
  <c r="H538" i="26"/>
  <c r="H537" i="26"/>
  <c r="H536" i="26"/>
  <c r="H535" i="26"/>
  <c r="H534" i="26"/>
  <c r="H533" i="26"/>
  <c r="H532" i="26"/>
  <c r="H531" i="26"/>
  <c r="H530" i="26"/>
  <c r="H529" i="26"/>
  <c r="H528" i="26"/>
  <c r="H527" i="26"/>
  <c r="H526" i="26"/>
  <c r="H525" i="26"/>
  <c r="H524" i="26"/>
  <c r="H523" i="26"/>
  <c r="H522" i="26"/>
  <c r="H521" i="26"/>
  <c r="H520" i="26"/>
  <c r="H519" i="26"/>
  <c r="H518" i="26"/>
  <c r="H517" i="26"/>
  <c r="H516" i="26"/>
  <c r="H515" i="26"/>
  <c r="H514" i="26"/>
  <c r="H513" i="26"/>
  <c r="H512" i="26"/>
  <c r="H511" i="26"/>
  <c r="H510" i="26"/>
  <c r="H509" i="26"/>
  <c r="H508" i="26"/>
  <c r="H507" i="26"/>
  <c r="H506" i="26"/>
  <c r="H505" i="26"/>
  <c r="H504" i="26"/>
  <c r="H503" i="26"/>
  <c r="H502" i="26"/>
  <c r="H501" i="26"/>
  <c r="H500" i="26"/>
  <c r="H499" i="26"/>
  <c r="H498" i="26"/>
  <c r="H497" i="26"/>
  <c r="H496" i="26"/>
  <c r="H495" i="26"/>
  <c r="H494" i="26"/>
  <c r="H493" i="26"/>
  <c r="H492" i="26"/>
  <c r="H491" i="26"/>
  <c r="H490" i="26"/>
  <c r="H489" i="26"/>
  <c r="H488" i="26"/>
  <c r="H487" i="26"/>
  <c r="H486" i="26"/>
  <c r="H485" i="26"/>
  <c r="H484" i="26"/>
  <c r="H483" i="26"/>
  <c r="H482" i="26"/>
  <c r="H481" i="26"/>
  <c r="H480" i="26"/>
  <c r="H479" i="26"/>
  <c r="H478" i="26"/>
  <c r="H477" i="26"/>
  <c r="H476" i="26"/>
  <c r="H475" i="26"/>
  <c r="H474" i="26"/>
  <c r="H473" i="26"/>
  <c r="H472" i="26"/>
  <c r="H471" i="26"/>
  <c r="H470" i="26"/>
  <c r="H469" i="26"/>
  <c r="H468" i="26"/>
  <c r="H467" i="26"/>
  <c r="H466" i="26"/>
  <c r="H465" i="26"/>
  <c r="H464" i="26"/>
  <c r="H463" i="26"/>
  <c r="H462" i="26"/>
  <c r="H461" i="26"/>
  <c r="H460" i="26"/>
  <c r="H459" i="26"/>
  <c r="H458" i="26"/>
  <c r="H457" i="26"/>
  <c r="H456" i="26"/>
  <c r="H455" i="26"/>
  <c r="H454" i="26"/>
  <c r="H453" i="26"/>
  <c r="H452" i="26"/>
  <c r="H451" i="26"/>
  <c r="H450" i="26"/>
  <c r="H449" i="26"/>
  <c r="H448" i="26"/>
  <c r="H447" i="26"/>
  <c r="H446" i="26"/>
  <c r="H445" i="26"/>
  <c r="H444" i="26"/>
  <c r="H443" i="26"/>
  <c r="H442" i="26"/>
  <c r="H441" i="26"/>
  <c r="H440" i="26"/>
  <c r="H439" i="26"/>
  <c r="H438" i="26"/>
  <c r="H437" i="26"/>
  <c r="H436" i="26"/>
  <c r="H435" i="26"/>
  <c r="H434" i="26"/>
  <c r="H433" i="26"/>
  <c r="H432" i="26"/>
  <c r="H431" i="26"/>
  <c r="H430" i="26"/>
  <c r="H429" i="26"/>
  <c r="H428" i="26"/>
  <c r="H427" i="26"/>
  <c r="H426" i="26"/>
  <c r="H425" i="26"/>
  <c r="H424" i="26"/>
  <c r="H423" i="26"/>
  <c r="H422" i="26"/>
  <c r="H421" i="26"/>
  <c r="H420" i="26"/>
  <c r="H419" i="26"/>
  <c r="H418" i="26"/>
  <c r="H417" i="26"/>
  <c r="H416" i="26"/>
  <c r="H415" i="26"/>
  <c r="H414" i="26"/>
  <c r="H413" i="26"/>
  <c r="H412" i="26"/>
  <c r="H411" i="26"/>
  <c r="H410" i="26"/>
  <c r="H409" i="26"/>
  <c r="H408" i="26"/>
  <c r="H407" i="26"/>
  <c r="H406" i="26"/>
  <c r="H405" i="26"/>
  <c r="H404" i="26"/>
  <c r="H403" i="26"/>
  <c r="H402" i="26"/>
  <c r="H401" i="26"/>
  <c r="H400" i="26"/>
  <c r="H399" i="26"/>
  <c r="H398" i="26"/>
  <c r="H397" i="26"/>
  <c r="H396" i="26"/>
  <c r="H395" i="26"/>
  <c r="H394" i="26"/>
  <c r="H393" i="26"/>
  <c r="H392" i="26"/>
  <c r="H391" i="26"/>
  <c r="H390" i="26"/>
  <c r="H389" i="26"/>
  <c r="H388" i="26"/>
  <c r="H387" i="26"/>
  <c r="H386" i="26"/>
  <c r="H385" i="26"/>
  <c r="H384" i="26"/>
  <c r="H383" i="26"/>
  <c r="H382" i="26"/>
  <c r="H381" i="26"/>
  <c r="H380" i="26"/>
  <c r="H379" i="26"/>
  <c r="H378" i="26"/>
  <c r="H377" i="26"/>
  <c r="H376" i="26"/>
  <c r="H375" i="26"/>
  <c r="H374" i="26"/>
  <c r="H373" i="26"/>
  <c r="H372" i="26"/>
  <c r="H371" i="26"/>
  <c r="H370" i="26"/>
  <c r="H369" i="26"/>
  <c r="H368" i="26"/>
  <c r="H367" i="26"/>
  <c r="H366" i="26"/>
  <c r="H365" i="26"/>
  <c r="H364" i="26"/>
  <c r="H363" i="26"/>
  <c r="H362" i="26"/>
  <c r="H361" i="26"/>
  <c r="H360" i="26"/>
  <c r="H359" i="26"/>
  <c r="H358" i="26"/>
  <c r="H357" i="26"/>
  <c r="H356" i="26"/>
  <c r="H355" i="26"/>
  <c r="H354" i="26"/>
  <c r="H353" i="26"/>
  <c r="H352" i="26"/>
  <c r="H351" i="26"/>
  <c r="H350" i="26"/>
  <c r="H349" i="26"/>
  <c r="H348" i="26"/>
  <c r="H347" i="26"/>
  <c r="H346" i="26"/>
  <c r="H345" i="26"/>
  <c r="H344" i="26"/>
  <c r="H343" i="26"/>
  <c r="H342" i="26"/>
  <c r="H341" i="26"/>
  <c r="H340" i="26"/>
  <c r="H339" i="26"/>
  <c r="H338" i="26"/>
  <c r="H337" i="26"/>
  <c r="H336" i="26"/>
  <c r="H335" i="26"/>
  <c r="H334" i="26"/>
  <c r="H333" i="26"/>
  <c r="H332" i="26"/>
  <c r="H331" i="26"/>
  <c r="H330" i="26"/>
  <c r="H329" i="26"/>
  <c r="H328" i="26"/>
  <c r="H327" i="26"/>
  <c r="H326" i="26"/>
  <c r="H325" i="26"/>
  <c r="H324" i="26"/>
  <c r="H323" i="26"/>
  <c r="H322" i="26"/>
  <c r="H321" i="26"/>
  <c r="H320" i="26"/>
  <c r="H319" i="26"/>
  <c r="H318" i="26"/>
  <c r="H317" i="26"/>
  <c r="H316" i="26"/>
  <c r="H315" i="26"/>
  <c r="H314" i="26"/>
  <c r="H313" i="26"/>
  <c r="H312" i="26"/>
  <c r="H311" i="26"/>
  <c r="H310" i="26"/>
  <c r="H309" i="26"/>
  <c r="H308" i="26"/>
  <c r="H307" i="26"/>
  <c r="H306" i="26"/>
  <c r="H305" i="26"/>
  <c r="H304" i="26"/>
  <c r="H303" i="26"/>
  <c r="H302" i="26"/>
  <c r="H301" i="26"/>
  <c r="H300" i="26"/>
  <c r="H299" i="26"/>
  <c r="H298" i="26"/>
  <c r="H297" i="26"/>
  <c r="H296" i="26"/>
  <c r="H295" i="26"/>
  <c r="H294" i="26"/>
  <c r="H293" i="26"/>
  <c r="H292" i="26"/>
  <c r="H291" i="26"/>
  <c r="H290" i="26"/>
  <c r="H289" i="26"/>
  <c r="H288" i="26"/>
  <c r="H287" i="26"/>
  <c r="H286" i="26"/>
  <c r="H285" i="26"/>
  <c r="H284" i="26"/>
  <c r="H283" i="26"/>
  <c r="H282" i="26"/>
  <c r="H281" i="26"/>
  <c r="H280" i="26"/>
  <c r="H279" i="26"/>
  <c r="H278" i="26"/>
  <c r="H277" i="26"/>
  <c r="H276" i="26"/>
  <c r="H275" i="26"/>
  <c r="H274" i="26"/>
  <c r="H273" i="26"/>
  <c r="H272" i="26"/>
  <c r="H271" i="26"/>
  <c r="H270" i="26"/>
  <c r="H269" i="26"/>
  <c r="H268" i="26"/>
  <c r="H267" i="26"/>
  <c r="H266" i="26"/>
  <c r="H265" i="26"/>
  <c r="H264" i="26"/>
  <c r="H263" i="26"/>
  <c r="H262" i="26"/>
  <c r="H261" i="26"/>
  <c r="H260" i="26"/>
  <c r="H259" i="26"/>
  <c r="H258" i="26"/>
  <c r="H257" i="26"/>
  <c r="H256" i="26"/>
  <c r="H255" i="26"/>
  <c r="H254" i="26"/>
  <c r="H253" i="26"/>
  <c r="H252" i="26"/>
  <c r="H251" i="26"/>
  <c r="H250" i="26"/>
  <c r="H249" i="26"/>
  <c r="H248" i="26"/>
  <c r="H247" i="26"/>
  <c r="H246" i="26"/>
  <c r="H245" i="26"/>
  <c r="H244" i="26"/>
  <c r="H243" i="26"/>
  <c r="H242" i="26"/>
  <c r="H241" i="26"/>
  <c r="H240" i="26"/>
  <c r="H239" i="26"/>
  <c r="H238" i="26"/>
  <c r="H237" i="26"/>
  <c r="H236" i="26"/>
  <c r="H235" i="26"/>
  <c r="H234" i="26"/>
  <c r="H233" i="26"/>
  <c r="H232" i="26"/>
  <c r="H231" i="26"/>
  <c r="H230" i="26"/>
  <c r="H229" i="26"/>
  <c r="H228" i="26"/>
  <c r="H227" i="26"/>
  <c r="H226" i="26"/>
  <c r="H225" i="26"/>
  <c r="H224" i="26"/>
  <c r="H223" i="26"/>
  <c r="H222" i="26"/>
  <c r="H221" i="26"/>
  <c r="H220" i="26"/>
  <c r="H219" i="26"/>
  <c r="H218" i="26"/>
  <c r="H217" i="26"/>
  <c r="H216" i="26"/>
  <c r="H215" i="26"/>
  <c r="H214" i="26"/>
  <c r="H213" i="26"/>
  <c r="H212" i="26"/>
  <c r="H211" i="26"/>
  <c r="H210" i="26"/>
  <c r="H209" i="26"/>
  <c r="H208" i="26"/>
  <c r="H207" i="26"/>
  <c r="H206" i="26"/>
  <c r="H205" i="26"/>
  <c r="H204" i="26"/>
  <c r="H203" i="26"/>
  <c r="H202" i="26"/>
  <c r="H201" i="26"/>
  <c r="H200" i="26"/>
  <c r="H199" i="26"/>
  <c r="H198" i="26"/>
  <c r="H197" i="26"/>
  <c r="H196" i="26"/>
  <c r="H195" i="26"/>
  <c r="H194" i="26"/>
  <c r="H193" i="26"/>
  <c r="H192" i="26"/>
  <c r="H191" i="26"/>
  <c r="H190" i="26"/>
  <c r="H189" i="26"/>
  <c r="H188" i="26"/>
  <c r="H187" i="26"/>
  <c r="H186" i="26"/>
  <c r="H185" i="26"/>
  <c r="H184" i="26"/>
  <c r="H183" i="26"/>
  <c r="H182" i="26"/>
  <c r="H181" i="26"/>
  <c r="H180" i="26"/>
  <c r="H179" i="26"/>
  <c r="H178" i="26"/>
  <c r="H177" i="26"/>
  <c r="H176" i="26"/>
  <c r="H175" i="26"/>
  <c r="H174" i="26"/>
  <c r="H173" i="26"/>
  <c r="H172" i="26"/>
  <c r="H171" i="26"/>
  <c r="H170" i="26"/>
  <c r="H169" i="26"/>
  <c r="H168" i="26"/>
  <c r="H167" i="26"/>
  <c r="H166" i="26"/>
  <c r="H165" i="26"/>
  <c r="H164" i="26"/>
  <c r="H163" i="26"/>
  <c r="H162" i="26"/>
  <c r="H161" i="26"/>
  <c r="H160" i="26"/>
  <c r="H159" i="26"/>
  <c r="H158" i="26"/>
  <c r="H157" i="26"/>
  <c r="H156" i="26"/>
  <c r="H155" i="26"/>
  <c r="H154" i="26"/>
  <c r="H153" i="26"/>
  <c r="H152" i="26"/>
  <c r="H151" i="26"/>
  <c r="H150" i="26"/>
  <c r="H149" i="26"/>
  <c r="H148" i="26"/>
  <c r="H147" i="26"/>
  <c r="H146" i="26"/>
  <c r="H145" i="26"/>
  <c r="H144" i="26"/>
  <c r="H143" i="26"/>
  <c r="H142" i="26"/>
  <c r="H141" i="26"/>
  <c r="H140" i="26"/>
  <c r="H139" i="26"/>
  <c r="H138" i="26"/>
  <c r="H137" i="26"/>
  <c r="H136" i="26"/>
  <c r="H135" i="26"/>
  <c r="H134" i="26"/>
  <c r="H133" i="26"/>
  <c r="H132" i="26"/>
  <c r="H131" i="26"/>
  <c r="H130" i="26"/>
  <c r="H129" i="26"/>
  <c r="H128" i="26"/>
  <c r="H127" i="26"/>
  <c r="H126" i="26"/>
  <c r="H125" i="26"/>
  <c r="H124" i="26"/>
  <c r="H123" i="26"/>
  <c r="H122" i="26"/>
  <c r="H121" i="26"/>
  <c r="H120" i="26"/>
  <c r="H119" i="26"/>
  <c r="H118" i="26"/>
  <c r="H117" i="26"/>
  <c r="H116" i="26"/>
  <c r="H115" i="26"/>
  <c r="H114" i="26"/>
  <c r="H113" i="26"/>
  <c r="H112" i="26"/>
  <c r="H111" i="26"/>
  <c r="H110" i="26"/>
  <c r="H109" i="26"/>
  <c r="H108" i="26"/>
  <c r="H107" i="26"/>
  <c r="H106" i="26"/>
  <c r="H105" i="26"/>
  <c r="H104" i="26"/>
  <c r="H103" i="26"/>
  <c r="H102" i="26"/>
  <c r="H101" i="26"/>
  <c r="H100" i="26"/>
  <c r="H99" i="26"/>
  <c r="H98" i="26"/>
  <c r="H97" i="26"/>
  <c r="H96" i="26"/>
  <c r="H95" i="26"/>
  <c r="H94" i="26"/>
  <c r="H93" i="26"/>
  <c r="H92" i="26"/>
  <c r="H91" i="26"/>
  <c r="H90" i="26"/>
  <c r="H89" i="26"/>
  <c r="H88" i="26"/>
  <c r="H87" i="26"/>
  <c r="H86" i="26"/>
  <c r="H85" i="26"/>
  <c r="H84" i="26"/>
  <c r="H83" i="26"/>
  <c r="H82" i="26"/>
  <c r="H81" i="26"/>
  <c r="H80" i="26"/>
  <c r="H79" i="26"/>
  <c r="H78" i="26"/>
  <c r="H77" i="26"/>
  <c r="H76" i="26"/>
  <c r="H75" i="26"/>
  <c r="H74" i="26"/>
  <c r="H73" i="26"/>
  <c r="H72" i="26"/>
  <c r="H71" i="26"/>
  <c r="H70" i="26"/>
  <c r="H69" i="26"/>
  <c r="H68" i="26"/>
  <c r="H67" i="26"/>
  <c r="H66" i="26"/>
  <c r="H65" i="26"/>
  <c r="H64" i="26"/>
  <c r="H63" i="26"/>
  <c r="H62" i="26"/>
  <c r="H61" i="26"/>
  <c r="H60"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F12" i="26"/>
  <c r="F13" i="26"/>
  <c r="F11" i="26"/>
  <c r="I61" i="10"/>
  <c r="G28" i="10"/>
  <c r="R28" i="10" s="1"/>
  <c r="N38" i="10"/>
  <c r="H996" i="25"/>
  <c r="H995" i="25"/>
  <c r="H994" i="25"/>
  <c r="H993" i="25"/>
  <c r="H992" i="25"/>
  <c r="H991" i="25"/>
  <c r="H990" i="25"/>
  <c r="H989" i="25"/>
  <c r="H988" i="25"/>
  <c r="H987" i="25"/>
  <c r="H986" i="25"/>
  <c r="H985" i="25"/>
  <c r="H984" i="25"/>
  <c r="H983" i="25"/>
  <c r="H982" i="25"/>
  <c r="H981" i="25"/>
  <c r="H980" i="25"/>
  <c r="H979" i="25"/>
  <c r="H978" i="25"/>
  <c r="H977" i="25"/>
  <c r="H976" i="25"/>
  <c r="H975" i="25"/>
  <c r="H974" i="25"/>
  <c r="H973" i="25"/>
  <c r="H972" i="25"/>
  <c r="H971" i="25"/>
  <c r="H970" i="25"/>
  <c r="H969" i="25"/>
  <c r="H968" i="25"/>
  <c r="H967" i="25"/>
  <c r="H966" i="25"/>
  <c r="H965" i="25"/>
  <c r="H964" i="25"/>
  <c r="H963" i="25"/>
  <c r="H962" i="25"/>
  <c r="H961" i="25"/>
  <c r="H960" i="25"/>
  <c r="H959" i="25"/>
  <c r="H958" i="25"/>
  <c r="H957" i="25"/>
  <c r="H956" i="25"/>
  <c r="H955" i="25"/>
  <c r="H954" i="25"/>
  <c r="H953" i="25"/>
  <c r="H952" i="25"/>
  <c r="H951" i="25"/>
  <c r="H950" i="25"/>
  <c r="H949" i="25"/>
  <c r="H948" i="25"/>
  <c r="H947" i="25"/>
  <c r="H946" i="25"/>
  <c r="H945" i="25"/>
  <c r="H944" i="25"/>
  <c r="H943" i="25"/>
  <c r="H942" i="25"/>
  <c r="H941" i="25"/>
  <c r="H940" i="25"/>
  <c r="H939" i="25"/>
  <c r="H938" i="25"/>
  <c r="H937" i="25"/>
  <c r="H936" i="25"/>
  <c r="H935" i="25"/>
  <c r="H934" i="25"/>
  <c r="H933" i="25"/>
  <c r="H932" i="25"/>
  <c r="H931" i="25"/>
  <c r="H930" i="25"/>
  <c r="H929" i="25"/>
  <c r="H928" i="25"/>
  <c r="H927" i="25"/>
  <c r="H926" i="25"/>
  <c r="H925" i="25"/>
  <c r="H924" i="25"/>
  <c r="H923" i="25"/>
  <c r="H922" i="25"/>
  <c r="H921" i="25"/>
  <c r="H920" i="25"/>
  <c r="H919" i="25"/>
  <c r="H918" i="25"/>
  <c r="H917" i="25"/>
  <c r="H916" i="25"/>
  <c r="H915" i="25"/>
  <c r="H914" i="25"/>
  <c r="H913" i="25"/>
  <c r="H912" i="25"/>
  <c r="H911" i="25"/>
  <c r="H910" i="25"/>
  <c r="H909" i="25"/>
  <c r="H908" i="25"/>
  <c r="H907" i="25"/>
  <c r="H906" i="25"/>
  <c r="H905" i="25"/>
  <c r="H904" i="25"/>
  <c r="H903" i="25"/>
  <c r="H902" i="25"/>
  <c r="H901" i="25"/>
  <c r="H900" i="25"/>
  <c r="H899" i="25"/>
  <c r="H898" i="25"/>
  <c r="H897" i="25"/>
  <c r="H896" i="25"/>
  <c r="H895" i="25"/>
  <c r="H894" i="25"/>
  <c r="H893" i="25"/>
  <c r="H892" i="25"/>
  <c r="H891" i="25"/>
  <c r="H890" i="25"/>
  <c r="H889" i="25"/>
  <c r="H888" i="25"/>
  <c r="H887" i="25"/>
  <c r="H886" i="25"/>
  <c r="H885" i="25"/>
  <c r="H884" i="25"/>
  <c r="H883" i="25"/>
  <c r="H882" i="25"/>
  <c r="H881" i="25"/>
  <c r="H880" i="25"/>
  <c r="H879" i="25"/>
  <c r="H878" i="25"/>
  <c r="H877" i="25"/>
  <c r="H876" i="25"/>
  <c r="H875" i="25"/>
  <c r="H874" i="25"/>
  <c r="H873" i="25"/>
  <c r="H872" i="25"/>
  <c r="H871" i="25"/>
  <c r="H870" i="25"/>
  <c r="H869" i="25"/>
  <c r="H868" i="25"/>
  <c r="H867" i="25"/>
  <c r="H866" i="25"/>
  <c r="H865" i="25"/>
  <c r="H864" i="25"/>
  <c r="H863" i="25"/>
  <c r="H862" i="25"/>
  <c r="H861" i="25"/>
  <c r="H860" i="25"/>
  <c r="H859" i="25"/>
  <c r="H858" i="25"/>
  <c r="H857" i="25"/>
  <c r="H856" i="25"/>
  <c r="H855" i="25"/>
  <c r="H854" i="25"/>
  <c r="H853" i="25"/>
  <c r="H852" i="25"/>
  <c r="H851" i="25"/>
  <c r="H850" i="25"/>
  <c r="H849" i="25"/>
  <c r="H848" i="25"/>
  <c r="H847" i="25"/>
  <c r="H846" i="25"/>
  <c r="H845" i="25"/>
  <c r="H844" i="25"/>
  <c r="H843" i="25"/>
  <c r="H842" i="25"/>
  <c r="H841" i="25"/>
  <c r="H840" i="25"/>
  <c r="H839" i="25"/>
  <c r="H838" i="25"/>
  <c r="H837" i="25"/>
  <c r="H836" i="25"/>
  <c r="H835" i="25"/>
  <c r="H834" i="25"/>
  <c r="H833" i="25"/>
  <c r="H832" i="25"/>
  <c r="H831" i="25"/>
  <c r="H830" i="25"/>
  <c r="H829" i="25"/>
  <c r="H828" i="25"/>
  <c r="H827" i="25"/>
  <c r="H826" i="25"/>
  <c r="H825" i="25"/>
  <c r="H824" i="25"/>
  <c r="H823" i="25"/>
  <c r="H822" i="25"/>
  <c r="H821" i="25"/>
  <c r="H820" i="25"/>
  <c r="H819" i="25"/>
  <c r="H818" i="25"/>
  <c r="H817" i="25"/>
  <c r="H816" i="25"/>
  <c r="H815" i="25"/>
  <c r="H814" i="25"/>
  <c r="H813" i="25"/>
  <c r="H812" i="25"/>
  <c r="H811" i="25"/>
  <c r="H810" i="25"/>
  <c r="H809" i="25"/>
  <c r="H808" i="25"/>
  <c r="H807" i="25"/>
  <c r="H806" i="25"/>
  <c r="H805" i="25"/>
  <c r="H804" i="25"/>
  <c r="H803" i="25"/>
  <c r="H802" i="25"/>
  <c r="H801" i="25"/>
  <c r="H800" i="25"/>
  <c r="H799" i="25"/>
  <c r="H798" i="25"/>
  <c r="H797" i="25"/>
  <c r="H796" i="25"/>
  <c r="H795" i="25"/>
  <c r="H794" i="25"/>
  <c r="H793" i="25"/>
  <c r="H792" i="25"/>
  <c r="H791" i="25"/>
  <c r="H790" i="25"/>
  <c r="H789" i="25"/>
  <c r="H788" i="25"/>
  <c r="H787" i="25"/>
  <c r="H786" i="25"/>
  <c r="H785" i="25"/>
  <c r="H784" i="25"/>
  <c r="H783" i="25"/>
  <c r="H782" i="25"/>
  <c r="H781" i="25"/>
  <c r="H780" i="25"/>
  <c r="H779" i="25"/>
  <c r="H778" i="25"/>
  <c r="H777" i="25"/>
  <c r="H776" i="25"/>
  <c r="H775" i="25"/>
  <c r="H774" i="25"/>
  <c r="H773" i="25"/>
  <c r="H772" i="25"/>
  <c r="H771" i="25"/>
  <c r="H770" i="25"/>
  <c r="H769" i="25"/>
  <c r="H768" i="25"/>
  <c r="H767" i="25"/>
  <c r="H766" i="25"/>
  <c r="H765" i="25"/>
  <c r="H764" i="25"/>
  <c r="H763" i="25"/>
  <c r="H762" i="25"/>
  <c r="H761" i="25"/>
  <c r="H760" i="25"/>
  <c r="H759" i="25"/>
  <c r="H758" i="25"/>
  <c r="H757" i="25"/>
  <c r="H756" i="25"/>
  <c r="H755" i="25"/>
  <c r="H754" i="25"/>
  <c r="H753" i="25"/>
  <c r="H752" i="25"/>
  <c r="H751" i="25"/>
  <c r="H750" i="25"/>
  <c r="H749" i="25"/>
  <c r="H748" i="25"/>
  <c r="H747" i="25"/>
  <c r="H746" i="25"/>
  <c r="H745" i="25"/>
  <c r="H744" i="25"/>
  <c r="H743" i="25"/>
  <c r="H742" i="25"/>
  <c r="H741" i="25"/>
  <c r="H740" i="25"/>
  <c r="H739" i="25"/>
  <c r="H738" i="25"/>
  <c r="H737" i="25"/>
  <c r="H736" i="25"/>
  <c r="H735" i="25"/>
  <c r="H734" i="25"/>
  <c r="H733" i="25"/>
  <c r="H732" i="25"/>
  <c r="H731" i="25"/>
  <c r="H730" i="25"/>
  <c r="H729" i="25"/>
  <c r="H728" i="25"/>
  <c r="H727" i="25"/>
  <c r="H726" i="25"/>
  <c r="H725" i="25"/>
  <c r="H724" i="25"/>
  <c r="H723" i="25"/>
  <c r="H722" i="25"/>
  <c r="H721" i="25"/>
  <c r="H720" i="25"/>
  <c r="H719" i="25"/>
  <c r="H718" i="25"/>
  <c r="H717" i="25"/>
  <c r="H716" i="25"/>
  <c r="H715" i="25"/>
  <c r="H714" i="25"/>
  <c r="H713" i="25"/>
  <c r="H712" i="25"/>
  <c r="H711" i="25"/>
  <c r="H710" i="25"/>
  <c r="H709" i="25"/>
  <c r="H708" i="25"/>
  <c r="H707" i="25"/>
  <c r="H706" i="25"/>
  <c r="H705" i="25"/>
  <c r="H704" i="25"/>
  <c r="H703" i="25"/>
  <c r="H702" i="25"/>
  <c r="H701" i="25"/>
  <c r="H700" i="25"/>
  <c r="H699" i="25"/>
  <c r="H698" i="25"/>
  <c r="H697" i="25"/>
  <c r="H696" i="25"/>
  <c r="H695" i="25"/>
  <c r="H694" i="25"/>
  <c r="H693" i="25"/>
  <c r="H692" i="25"/>
  <c r="H691" i="25"/>
  <c r="H690" i="25"/>
  <c r="H689" i="25"/>
  <c r="H688" i="25"/>
  <c r="H687" i="25"/>
  <c r="H686" i="25"/>
  <c r="H685" i="25"/>
  <c r="H684" i="25"/>
  <c r="H683" i="25"/>
  <c r="H682" i="25"/>
  <c r="H681" i="25"/>
  <c r="H680" i="25"/>
  <c r="H679" i="25"/>
  <c r="H678" i="25"/>
  <c r="H677" i="25"/>
  <c r="H676" i="25"/>
  <c r="H675" i="25"/>
  <c r="H674" i="25"/>
  <c r="H673" i="25"/>
  <c r="H672" i="25"/>
  <c r="H671" i="25"/>
  <c r="H670" i="25"/>
  <c r="H669" i="25"/>
  <c r="H668" i="25"/>
  <c r="H667" i="25"/>
  <c r="H666" i="25"/>
  <c r="H665" i="25"/>
  <c r="H664" i="25"/>
  <c r="H663" i="25"/>
  <c r="H662" i="25"/>
  <c r="H661" i="25"/>
  <c r="H660" i="25"/>
  <c r="H659" i="25"/>
  <c r="H658" i="25"/>
  <c r="H657" i="25"/>
  <c r="H656" i="25"/>
  <c r="H655" i="25"/>
  <c r="H654" i="25"/>
  <c r="H653" i="25"/>
  <c r="H652" i="25"/>
  <c r="H651" i="25"/>
  <c r="H650" i="25"/>
  <c r="H649" i="25"/>
  <c r="H648" i="25"/>
  <c r="H647" i="25"/>
  <c r="H646" i="25"/>
  <c r="H645" i="25"/>
  <c r="H644" i="25"/>
  <c r="H643" i="25"/>
  <c r="H642" i="25"/>
  <c r="H641" i="25"/>
  <c r="H640" i="25"/>
  <c r="H639" i="25"/>
  <c r="H638" i="25"/>
  <c r="H637" i="25"/>
  <c r="H636" i="25"/>
  <c r="H635" i="25"/>
  <c r="H634" i="25"/>
  <c r="H633" i="25"/>
  <c r="H632" i="25"/>
  <c r="H631" i="25"/>
  <c r="H630" i="25"/>
  <c r="H629" i="25"/>
  <c r="H628" i="25"/>
  <c r="H627" i="25"/>
  <c r="H626" i="25"/>
  <c r="H625" i="25"/>
  <c r="H624" i="25"/>
  <c r="H623" i="25"/>
  <c r="H622" i="25"/>
  <c r="H621" i="25"/>
  <c r="H620" i="25"/>
  <c r="H619" i="25"/>
  <c r="H618" i="25"/>
  <c r="H617" i="25"/>
  <c r="H616" i="25"/>
  <c r="H615" i="25"/>
  <c r="H614" i="25"/>
  <c r="H613" i="25"/>
  <c r="H612" i="25"/>
  <c r="H611" i="25"/>
  <c r="H610" i="25"/>
  <c r="H609" i="25"/>
  <c r="H608" i="25"/>
  <c r="H607" i="25"/>
  <c r="H606" i="25"/>
  <c r="H605" i="25"/>
  <c r="H604" i="25"/>
  <c r="H603" i="25"/>
  <c r="H602" i="25"/>
  <c r="H601" i="25"/>
  <c r="H600" i="25"/>
  <c r="H599" i="25"/>
  <c r="H598" i="25"/>
  <c r="H597" i="25"/>
  <c r="H596" i="25"/>
  <c r="H595" i="25"/>
  <c r="H594" i="25"/>
  <c r="H593" i="25"/>
  <c r="H592" i="25"/>
  <c r="H591" i="25"/>
  <c r="H590" i="25"/>
  <c r="H589" i="25"/>
  <c r="H588" i="25"/>
  <c r="H587" i="25"/>
  <c r="H586" i="25"/>
  <c r="H585" i="25"/>
  <c r="H584" i="25"/>
  <c r="H583" i="25"/>
  <c r="H582" i="25"/>
  <c r="H581" i="25"/>
  <c r="H580" i="25"/>
  <c r="H579" i="25"/>
  <c r="H578" i="25"/>
  <c r="H577" i="25"/>
  <c r="H576" i="25"/>
  <c r="H575" i="25"/>
  <c r="H574" i="25"/>
  <c r="H573" i="25"/>
  <c r="H572" i="25"/>
  <c r="H571" i="25"/>
  <c r="H570" i="25"/>
  <c r="H569" i="25"/>
  <c r="H568" i="25"/>
  <c r="H567" i="25"/>
  <c r="H566" i="25"/>
  <c r="H565" i="25"/>
  <c r="H564" i="25"/>
  <c r="H563" i="25"/>
  <c r="H562" i="25"/>
  <c r="H561" i="25"/>
  <c r="H560" i="25"/>
  <c r="H559" i="25"/>
  <c r="H558" i="25"/>
  <c r="H557" i="25"/>
  <c r="H556" i="25"/>
  <c r="H555" i="25"/>
  <c r="H554" i="25"/>
  <c r="H553" i="25"/>
  <c r="H552" i="25"/>
  <c r="H551" i="25"/>
  <c r="H550" i="25"/>
  <c r="H549" i="25"/>
  <c r="H548" i="25"/>
  <c r="H547" i="25"/>
  <c r="H546" i="25"/>
  <c r="H545" i="25"/>
  <c r="H544" i="25"/>
  <c r="H543" i="25"/>
  <c r="H542" i="25"/>
  <c r="H541" i="25"/>
  <c r="H540" i="25"/>
  <c r="H539" i="25"/>
  <c r="H538" i="25"/>
  <c r="H537" i="25"/>
  <c r="H536" i="25"/>
  <c r="H535" i="25"/>
  <c r="H534" i="25"/>
  <c r="H533" i="25"/>
  <c r="H532" i="25"/>
  <c r="H531" i="25"/>
  <c r="H530" i="25"/>
  <c r="H529" i="25"/>
  <c r="H528" i="25"/>
  <c r="H527" i="25"/>
  <c r="H526" i="25"/>
  <c r="H525" i="25"/>
  <c r="H524" i="25"/>
  <c r="H523" i="25"/>
  <c r="H522" i="25"/>
  <c r="H521" i="25"/>
  <c r="H520" i="25"/>
  <c r="H519" i="25"/>
  <c r="H518" i="25"/>
  <c r="H517" i="25"/>
  <c r="H516" i="25"/>
  <c r="H515" i="25"/>
  <c r="H514" i="25"/>
  <c r="H513" i="25"/>
  <c r="H512" i="25"/>
  <c r="H511" i="25"/>
  <c r="H510" i="25"/>
  <c r="H509" i="25"/>
  <c r="H508" i="25"/>
  <c r="H507" i="25"/>
  <c r="H506" i="25"/>
  <c r="H505" i="25"/>
  <c r="H504" i="25"/>
  <c r="H503" i="25"/>
  <c r="H502" i="25"/>
  <c r="H501" i="25"/>
  <c r="H500" i="25"/>
  <c r="H499" i="25"/>
  <c r="H498" i="25"/>
  <c r="H497" i="25"/>
  <c r="H496" i="25"/>
  <c r="H495" i="25"/>
  <c r="H494" i="25"/>
  <c r="H493" i="25"/>
  <c r="H492" i="25"/>
  <c r="H491" i="25"/>
  <c r="H490" i="25"/>
  <c r="H489" i="25"/>
  <c r="H488" i="25"/>
  <c r="H487" i="25"/>
  <c r="H486" i="25"/>
  <c r="H485" i="25"/>
  <c r="H484" i="25"/>
  <c r="H483" i="25"/>
  <c r="H482" i="25"/>
  <c r="H481" i="25"/>
  <c r="H480" i="25"/>
  <c r="H479" i="25"/>
  <c r="H478" i="25"/>
  <c r="H477" i="25"/>
  <c r="H476" i="25"/>
  <c r="H475" i="25"/>
  <c r="H474" i="25"/>
  <c r="H473" i="25"/>
  <c r="H472" i="25"/>
  <c r="H471" i="25"/>
  <c r="H470" i="25"/>
  <c r="H469" i="25"/>
  <c r="H468" i="25"/>
  <c r="H467" i="25"/>
  <c r="H466" i="25"/>
  <c r="H465" i="25"/>
  <c r="H464" i="25"/>
  <c r="H463" i="25"/>
  <c r="H462" i="25"/>
  <c r="H461" i="25"/>
  <c r="H460" i="25"/>
  <c r="H459" i="25"/>
  <c r="H458" i="25"/>
  <c r="H457" i="25"/>
  <c r="H456" i="25"/>
  <c r="H455" i="25"/>
  <c r="H454" i="25"/>
  <c r="H453" i="25"/>
  <c r="H452" i="25"/>
  <c r="H451" i="25"/>
  <c r="H450" i="25"/>
  <c r="H449" i="25"/>
  <c r="H448" i="25"/>
  <c r="H447" i="25"/>
  <c r="H446" i="25"/>
  <c r="H445" i="25"/>
  <c r="H444" i="25"/>
  <c r="H443" i="25"/>
  <c r="H442" i="25"/>
  <c r="H441" i="25"/>
  <c r="H440" i="25"/>
  <c r="H439" i="25"/>
  <c r="H438" i="25"/>
  <c r="H437" i="25"/>
  <c r="H436" i="25"/>
  <c r="H435" i="25"/>
  <c r="H434" i="25"/>
  <c r="H433" i="25"/>
  <c r="H432" i="25"/>
  <c r="H431" i="25"/>
  <c r="H430" i="25"/>
  <c r="H429" i="25"/>
  <c r="H428" i="25"/>
  <c r="H427" i="25"/>
  <c r="H426" i="25"/>
  <c r="H425" i="25"/>
  <c r="H424" i="25"/>
  <c r="H423" i="25"/>
  <c r="H422" i="25"/>
  <c r="H421" i="25"/>
  <c r="H420" i="25"/>
  <c r="H419" i="25"/>
  <c r="H418" i="25"/>
  <c r="H417" i="25"/>
  <c r="H416" i="25"/>
  <c r="H415" i="25"/>
  <c r="H414" i="25"/>
  <c r="H413" i="25"/>
  <c r="H412" i="25"/>
  <c r="H411" i="25"/>
  <c r="H410" i="25"/>
  <c r="H409" i="25"/>
  <c r="H408" i="25"/>
  <c r="H407" i="25"/>
  <c r="H406" i="25"/>
  <c r="H405" i="25"/>
  <c r="H404" i="25"/>
  <c r="H403" i="25"/>
  <c r="H402" i="25"/>
  <c r="H401" i="25"/>
  <c r="H400" i="25"/>
  <c r="H399" i="25"/>
  <c r="H398" i="25"/>
  <c r="H397" i="25"/>
  <c r="H396" i="25"/>
  <c r="H395" i="25"/>
  <c r="H394" i="25"/>
  <c r="H393" i="25"/>
  <c r="H392" i="25"/>
  <c r="H391" i="25"/>
  <c r="H390" i="25"/>
  <c r="H389" i="25"/>
  <c r="H388" i="25"/>
  <c r="H387" i="25"/>
  <c r="H386" i="25"/>
  <c r="H385" i="25"/>
  <c r="H384" i="25"/>
  <c r="H383" i="25"/>
  <c r="H382" i="25"/>
  <c r="H381" i="25"/>
  <c r="H380" i="25"/>
  <c r="H379" i="25"/>
  <c r="H378" i="25"/>
  <c r="H377" i="25"/>
  <c r="H376" i="25"/>
  <c r="H375" i="25"/>
  <c r="H374" i="25"/>
  <c r="H373" i="25"/>
  <c r="H372" i="25"/>
  <c r="H371" i="25"/>
  <c r="H370" i="25"/>
  <c r="H369" i="25"/>
  <c r="H368" i="25"/>
  <c r="H367" i="25"/>
  <c r="H366" i="25"/>
  <c r="H365" i="25"/>
  <c r="H364" i="25"/>
  <c r="H363" i="25"/>
  <c r="H362" i="25"/>
  <c r="H361" i="25"/>
  <c r="H360" i="25"/>
  <c r="H359" i="25"/>
  <c r="H358" i="25"/>
  <c r="H357" i="25"/>
  <c r="H356" i="25"/>
  <c r="H355" i="25"/>
  <c r="H354" i="25"/>
  <c r="H353" i="25"/>
  <c r="H352" i="25"/>
  <c r="H351" i="25"/>
  <c r="H350" i="25"/>
  <c r="H349" i="25"/>
  <c r="H348" i="25"/>
  <c r="H347" i="25"/>
  <c r="H346" i="25"/>
  <c r="H345" i="25"/>
  <c r="H344" i="25"/>
  <c r="H343" i="25"/>
  <c r="H342" i="25"/>
  <c r="H341" i="25"/>
  <c r="H340" i="25"/>
  <c r="H339" i="25"/>
  <c r="H338" i="25"/>
  <c r="H337" i="25"/>
  <c r="H336" i="25"/>
  <c r="H335" i="25"/>
  <c r="H334" i="25"/>
  <c r="H333" i="25"/>
  <c r="H332" i="25"/>
  <c r="H331" i="25"/>
  <c r="H330" i="25"/>
  <c r="H329" i="25"/>
  <c r="H328" i="25"/>
  <c r="H327" i="25"/>
  <c r="H326" i="25"/>
  <c r="H325" i="25"/>
  <c r="H324" i="25"/>
  <c r="H323" i="25"/>
  <c r="H322" i="25"/>
  <c r="H321" i="25"/>
  <c r="H320" i="25"/>
  <c r="H319" i="25"/>
  <c r="H318" i="25"/>
  <c r="H317" i="25"/>
  <c r="H316" i="25"/>
  <c r="H315" i="25"/>
  <c r="H314" i="25"/>
  <c r="H313" i="25"/>
  <c r="H312" i="25"/>
  <c r="H311" i="25"/>
  <c r="H310" i="25"/>
  <c r="H309" i="25"/>
  <c r="H308" i="25"/>
  <c r="H307" i="25"/>
  <c r="H306" i="25"/>
  <c r="H305" i="25"/>
  <c r="H304" i="25"/>
  <c r="H303" i="25"/>
  <c r="H302" i="25"/>
  <c r="H301" i="25"/>
  <c r="H300" i="25"/>
  <c r="H299" i="25"/>
  <c r="H298" i="25"/>
  <c r="H297" i="25"/>
  <c r="H296" i="25"/>
  <c r="H295" i="25"/>
  <c r="H294" i="25"/>
  <c r="H293" i="25"/>
  <c r="H292" i="25"/>
  <c r="H291" i="25"/>
  <c r="H290" i="25"/>
  <c r="H289" i="25"/>
  <c r="H288" i="25"/>
  <c r="H287" i="25"/>
  <c r="H286" i="25"/>
  <c r="H285" i="25"/>
  <c r="H284" i="25"/>
  <c r="H283" i="25"/>
  <c r="H282" i="25"/>
  <c r="H281" i="25"/>
  <c r="H280" i="25"/>
  <c r="H279" i="25"/>
  <c r="H278" i="25"/>
  <c r="H277" i="25"/>
  <c r="H276" i="25"/>
  <c r="H275" i="25"/>
  <c r="H274" i="25"/>
  <c r="H273" i="25"/>
  <c r="H272" i="25"/>
  <c r="H271" i="25"/>
  <c r="H270" i="25"/>
  <c r="H269" i="25"/>
  <c r="H268" i="25"/>
  <c r="H267" i="25"/>
  <c r="H266" i="25"/>
  <c r="H265" i="25"/>
  <c r="H264" i="25"/>
  <c r="H263" i="25"/>
  <c r="H262" i="25"/>
  <c r="H261" i="25"/>
  <c r="H260" i="25"/>
  <c r="H259" i="25"/>
  <c r="H258" i="25"/>
  <c r="H257" i="25"/>
  <c r="H256" i="25"/>
  <c r="H255" i="25"/>
  <c r="H254" i="25"/>
  <c r="H253" i="25"/>
  <c r="H252" i="25"/>
  <c r="H251" i="25"/>
  <c r="H250" i="25"/>
  <c r="H249" i="25"/>
  <c r="H248" i="25"/>
  <c r="H247" i="25"/>
  <c r="H246" i="25"/>
  <c r="H245" i="25"/>
  <c r="H244" i="25"/>
  <c r="H243" i="25"/>
  <c r="H242" i="25"/>
  <c r="H241" i="25"/>
  <c r="H240" i="25"/>
  <c r="H239" i="25"/>
  <c r="H238" i="25"/>
  <c r="H237" i="25"/>
  <c r="H236" i="25"/>
  <c r="H235" i="25"/>
  <c r="H234" i="25"/>
  <c r="H233" i="25"/>
  <c r="H232" i="25"/>
  <c r="H231" i="25"/>
  <c r="H230" i="25"/>
  <c r="H229" i="25"/>
  <c r="H228" i="25"/>
  <c r="H227" i="25"/>
  <c r="H226" i="25"/>
  <c r="H225" i="25"/>
  <c r="H224" i="25"/>
  <c r="H223" i="25"/>
  <c r="H222" i="25"/>
  <c r="H221" i="25"/>
  <c r="H220" i="25"/>
  <c r="H219" i="25"/>
  <c r="H218" i="25"/>
  <c r="H217" i="25"/>
  <c r="H216" i="25"/>
  <c r="H215" i="25"/>
  <c r="H214" i="25"/>
  <c r="H213" i="25"/>
  <c r="H212" i="25"/>
  <c r="H211" i="25"/>
  <c r="H210" i="25"/>
  <c r="H209" i="25"/>
  <c r="H208" i="25"/>
  <c r="H207" i="25"/>
  <c r="H206" i="25"/>
  <c r="H205" i="25"/>
  <c r="H204" i="25"/>
  <c r="H203" i="25"/>
  <c r="H202" i="25"/>
  <c r="H201" i="25"/>
  <c r="H200" i="25"/>
  <c r="H199" i="25"/>
  <c r="H198" i="25"/>
  <c r="H197" i="25"/>
  <c r="H196" i="25"/>
  <c r="H195" i="25"/>
  <c r="H194" i="25"/>
  <c r="H193" i="25"/>
  <c r="H192" i="25"/>
  <c r="H191" i="25"/>
  <c r="H190" i="25"/>
  <c r="H189" i="25"/>
  <c r="H188" i="25"/>
  <c r="H187" i="25"/>
  <c r="H186" i="25"/>
  <c r="H185" i="25"/>
  <c r="H184" i="25"/>
  <c r="H183" i="25"/>
  <c r="H182" i="25"/>
  <c r="H181" i="25"/>
  <c r="H180" i="25"/>
  <c r="H179" i="25"/>
  <c r="H178" i="25"/>
  <c r="H177" i="25"/>
  <c r="H176" i="25"/>
  <c r="H175" i="25"/>
  <c r="H174" i="25"/>
  <c r="H173" i="25"/>
  <c r="H172" i="25"/>
  <c r="H171" i="25"/>
  <c r="H170" i="25"/>
  <c r="H169" i="25"/>
  <c r="H168" i="25"/>
  <c r="H167" i="25"/>
  <c r="H166" i="25"/>
  <c r="H165" i="25"/>
  <c r="H164" i="25"/>
  <c r="H163" i="25"/>
  <c r="H162" i="25"/>
  <c r="H161" i="25"/>
  <c r="H160" i="25"/>
  <c r="H159" i="25"/>
  <c r="H158" i="25"/>
  <c r="H157" i="25"/>
  <c r="H156" i="25"/>
  <c r="H155" i="25"/>
  <c r="H154" i="25"/>
  <c r="H153" i="25"/>
  <c r="H152" i="25"/>
  <c r="H151" i="25"/>
  <c r="H150" i="25"/>
  <c r="H149" i="25"/>
  <c r="H148" i="25"/>
  <c r="H147" i="25"/>
  <c r="H146" i="25"/>
  <c r="H145" i="25"/>
  <c r="H144" i="25"/>
  <c r="H143" i="25"/>
  <c r="H142" i="25"/>
  <c r="H141" i="25"/>
  <c r="H140" i="25"/>
  <c r="H139" i="25"/>
  <c r="H138" i="25"/>
  <c r="H137" i="25"/>
  <c r="H136" i="25"/>
  <c r="H135" i="25"/>
  <c r="H134" i="25"/>
  <c r="H133" i="25"/>
  <c r="H132" i="25"/>
  <c r="H131" i="25"/>
  <c r="H130" i="25"/>
  <c r="H129" i="25"/>
  <c r="H128" i="25"/>
  <c r="H127" i="25"/>
  <c r="H126" i="25"/>
  <c r="H125" i="25"/>
  <c r="H124" i="25"/>
  <c r="H123" i="25"/>
  <c r="H122" i="25"/>
  <c r="H121" i="25"/>
  <c r="H120" i="25"/>
  <c r="H119" i="25"/>
  <c r="H118" i="25"/>
  <c r="H117" i="25"/>
  <c r="H116" i="25"/>
  <c r="H115" i="25"/>
  <c r="H114" i="25"/>
  <c r="H113" i="25"/>
  <c r="H112" i="25"/>
  <c r="H111" i="25"/>
  <c r="H110" i="25"/>
  <c r="H109" i="25"/>
  <c r="H108" i="25"/>
  <c r="H107" i="25"/>
  <c r="H106" i="25"/>
  <c r="H105" i="25"/>
  <c r="H104" i="25"/>
  <c r="H103" i="25"/>
  <c r="H102" i="25"/>
  <c r="H101" i="25"/>
  <c r="H100" i="25"/>
  <c r="H99" i="25"/>
  <c r="H98" i="25"/>
  <c r="H97" i="25"/>
  <c r="H96" i="25"/>
  <c r="H95" i="25"/>
  <c r="H94" i="25"/>
  <c r="H93" i="25"/>
  <c r="H92" i="25"/>
  <c r="H91" i="25"/>
  <c r="H90" i="25"/>
  <c r="H89" i="25"/>
  <c r="H88" i="25"/>
  <c r="H87" i="25"/>
  <c r="H86" i="25"/>
  <c r="H85" i="25"/>
  <c r="H84" i="25"/>
  <c r="H83" i="25"/>
  <c r="H82" i="25"/>
  <c r="H81" i="25"/>
  <c r="H80" i="25"/>
  <c r="H79" i="25"/>
  <c r="H78" i="25"/>
  <c r="H77" i="25"/>
  <c r="H76" i="25"/>
  <c r="H75" i="25"/>
  <c r="H74" i="25"/>
  <c r="H73" i="25"/>
  <c r="H72" i="25"/>
  <c r="H71" i="25"/>
  <c r="H70" i="25"/>
  <c r="H69" i="25"/>
  <c r="H68" i="25"/>
  <c r="H67" i="25"/>
  <c r="H66" i="25"/>
  <c r="H65" i="25"/>
  <c r="H64" i="25"/>
  <c r="H63" i="25"/>
  <c r="H62" i="25"/>
  <c r="H61" i="25"/>
  <c r="H60" i="25"/>
  <c r="H59" i="25"/>
  <c r="H58" i="25"/>
  <c r="H57" i="25"/>
  <c r="H56" i="25"/>
  <c r="H55" i="25"/>
  <c r="H54" i="25"/>
  <c r="H53" i="25"/>
  <c r="H52" i="25"/>
  <c r="H51" i="25"/>
  <c r="H50" i="25"/>
  <c r="H49" i="25"/>
  <c r="H48" i="25"/>
  <c r="H47" i="25"/>
  <c r="H46" i="25"/>
  <c r="H45" i="25"/>
  <c r="H44" i="25"/>
  <c r="H43" i="25"/>
  <c r="H42" i="25"/>
  <c r="H41" i="25"/>
  <c r="H40" i="25"/>
  <c r="H39" i="25"/>
  <c r="H38" i="25"/>
  <c r="H37" i="25"/>
  <c r="H36" i="25"/>
  <c r="H35" i="25"/>
  <c r="H34" i="25"/>
  <c r="H33" i="25"/>
  <c r="H32" i="25"/>
  <c r="H31" i="25"/>
  <c r="H30" i="25"/>
  <c r="H29" i="25"/>
  <c r="H28" i="25"/>
  <c r="H27" i="25"/>
  <c r="F12" i="25"/>
  <c r="F13" i="25"/>
  <c r="F11" i="24"/>
  <c r="F13" i="23"/>
  <c r="F12" i="23"/>
  <c r="H13" i="22"/>
  <c r="H12" i="22"/>
  <c r="H11" i="22"/>
  <c r="H13" i="21"/>
  <c r="H12" i="21"/>
  <c r="H11" i="21"/>
  <c r="F11" i="20"/>
  <c r="F12" i="20"/>
  <c r="F13" i="20"/>
  <c r="E13" i="19"/>
  <c r="E12" i="19"/>
  <c r="E11" i="19"/>
  <c r="E10" i="19" a="1"/>
  <c r="E10" i="19" s="1"/>
  <c r="F12" i="15"/>
  <c r="F13" i="15"/>
  <c r="Q16" i="10"/>
  <c r="P16" i="10"/>
  <c r="O16" i="10"/>
  <c r="N16" i="10"/>
  <c r="M16" i="10"/>
  <c r="L16" i="10"/>
  <c r="T16" i="10" s="1"/>
  <c r="K16" i="10"/>
  <c r="J16" i="10"/>
  <c r="I16" i="10"/>
  <c r="S16" i="10" s="1"/>
  <c r="H16" i="10"/>
  <c r="G16" i="10"/>
  <c r="F16" i="10"/>
  <c r="R16" i="10" s="1"/>
  <c r="M21" i="17"/>
  <c r="L21" i="17"/>
  <c r="J21" i="17"/>
  <c r="M20" i="17"/>
  <c r="L20" i="17"/>
  <c r="J20" i="17"/>
  <c r="M19" i="17"/>
  <c r="L19" i="17"/>
  <c r="J19" i="17"/>
  <c r="M18" i="17"/>
  <c r="L18" i="17"/>
  <c r="J18" i="17"/>
  <c r="M17" i="17"/>
  <c r="L17" i="17"/>
  <c r="J17" i="17"/>
  <c r="M16" i="17"/>
  <c r="L16" i="17"/>
  <c r="J16" i="17"/>
  <c r="M15" i="17"/>
  <c r="L15" i="17"/>
  <c r="J15" i="17"/>
  <c r="M14" i="17"/>
  <c r="L14" i="17"/>
  <c r="J14" i="17"/>
  <c r="M13" i="17"/>
  <c r="L13" i="17"/>
  <c r="J13" i="17"/>
  <c r="M12" i="17"/>
  <c r="L12" i="17"/>
  <c r="J12" i="17"/>
  <c r="M11" i="17"/>
  <c r="L11" i="17"/>
  <c r="J11" i="17"/>
  <c r="M10" i="17"/>
  <c r="L10" i="17"/>
  <c r="J10" i="17"/>
  <c r="M9" i="17"/>
  <c r="L9" i="17"/>
  <c r="J9" i="17"/>
  <c r="M8" i="17"/>
  <c r="L8" i="17"/>
  <c r="J8" i="17"/>
  <c r="L7" i="17"/>
  <c r="J7" i="17"/>
  <c r="L6" i="17"/>
  <c r="J6" i="17"/>
  <c r="M5" i="17"/>
  <c r="J5" i="17"/>
  <c r="F16" i="30" l="1"/>
  <c r="F15" i="30"/>
  <c r="U16" i="10"/>
  <c r="E17" i="32"/>
  <c r="Q98" i="10"/>
  <c r="U98" i="10" s="1"/>
  <c r="M98" i="10"/>
  <c r="F98" i="10"/>
  <c r="R98" i="10" s="1"/>
  <c r="F94" i="10"/>
  <c r="H94" i="10"/>
  <c r="L94" i="10"/>
  <c r="M94" i="10"/>
  <c r="N98" i="10"/>
  <c r="I73" i="10"/>
  <c r="K73" i="10"/>
  <c r="G73" i="10"/>
  <c r="F73" i="10"/>
  <c r="J73" i="10"/>
  <c r="L73" i="10"/>
  <c r="N73" i="10"/>
  <c r="H67" i="10"/>
  <c r="R67" i="10" s="1"/>
  <c r="M67" i="10"/>
  <c r="T67" i="10" s="1"/>
  <c r="J61" i="10"/>
  <c r="P61" i="10"/>
  <c r="Q61" i="10"/>
  <c r="F61" i="10"/>
  <c r="N61" i="10"/>
  <c r="O61" i="10"/>
  <c r="K61" i="10"/>
  <c r="L61" i="10"/>
  <c r="G61" i="10"/>
  <c r="H61" i="10"/>
  <c r="I54" i="10"/>
  <c r="P43" i="10"/>
  <c r="N43" i="10"/>
  <c r="H43" i="10"/>
  <c r="O43" i="10"/>
  <c r="Q43" i="10"/>
  <c r="F43" i="10"/>
  <c r="J43" i="10"/>
  <c r="I43" i="10"/>
  <c r="K43" i="10"/>
  <c r="L43" i="10"/>
  <c r="M43" i="10"/>
  <c r="G43" i="10"/>
  <c r="H33" i="10"/>
  <c r="R33" i="10" s="1"/>
  <c r="L33" i="10"/>
  <c r="N23" i="10"/>
  <c r="K23" i="10"/>
  <c r="J23" i="10"/>
  <c r="F23" i="10"/>
  <c r="F12" i="28"/>
  <c r="H10" i="22"/>
  <c r="M23" i="10"/>
  <c r="O23" i="10"/>
  <c r="L23" i="10"/>
  <c r="P23" i="10"/>
  <c r="Q23" i="10"/>
  <c r="I23" i="10"/>
  <c r="E18" i="33"/>
  <c r="F12" i="27"/>
  <c r="F10" i="25"/>
  <c r="F10" i="26"/>
  <c r="F10" i="28"/>
  <c r="K38" i="10"/>
  <c r="M38" i="10"/>
  <c r="T38" i="10" s="1"/>
  <c r="E17" i="33"/>
  <c r="F10" i="24"/>
  <c r="F38" i="10"/>
  <c r="G38" i="10"/>
  <c r="H38" i="10"/>
  <c r="I38" i="10"/>
  <c r="G23" i="10"/>
  <c r="F10" i="15"/>
  <c r="E14" i="34"/>
  <c r="E18" i="32"/>
  <c r="E18" i="31"/>
  <c r="E17" i="31"/>
  <c r="F10" i="20"/>
  <c r="H10" i="21"/>
  <c r="F12" i="24"/>
  <c r="G17" i="10"/>
  <c r="H17" i="10"/>
  <c r="I17" i="10"/>
  <c r="J17" i="10"/>
  <c r="Q17" i="10"/>
  <c r="P17" i="10"/>
  <c r="O17" i="10"/>
  <c r="U17" i="10" s="1"/>
  <c r="N17" i="10"/>
  <c r="M17" i="10"/>
  <c r="L17" i="10"/>
  <c r="T17" i="10" s="1"/>
  <c r="K17" i="10"/>
  <c r="D9" i="13"/>
  <c r="Q15" i="10"/>
  <c r="P15" i="10"/>
  <c r="O15" i="10"/>
  <c r="N15" i="10"/>
  <c r="M15" i="10"/>
  <c r="J15" i="10"/>
  <c r="K15" i="10"/>
  <c r="L15" i="10"/>
  <c r="I15" i="10"/>
  <c r="H15" i="10"/>
  <c r="G15" i="10"/>
  <c r="F15" i="10"/>
  <c r="D9" i="12"/>
  <c r="Q14" i="10"/>
  <c r="P14" i="10"/>
  <c r="O14" i="10"/>
  <c r="U14" i="10" s="1"/>
  <c r="N14" i="10"/>
  <c r="M14" i="10"/>
  <c r="L14" i="10"/>
  <c r="T14" i="10" s="1"/>
  <c r="K14" i="10"/>
  <c r="J14" i="10"/>
  <c r="I14" i="10"/>
  <c r="S14" i="10" s="1"/>
  <c r="H14" i="10"/>
  <c r="G14" i="10"/>
  <c r="F14" i="10"/>
  <c r="V80" i="10"/>
  <c r="V55" i="10"/>
  <c r="V45" i="10"/>
  <c r="V39" i="10"/>
  <c r="V40" i="10"/>
  <c r="V35" i="10"/>
  <c r="V36" i="10"/>
  <c r="V30" i="10"/>
  <c r="V31" i="10"/>
  <c r="V25" i="10"/>
  <c r="V26" i="10"/>
  <c r="V24" i="10"/>
  <c r="V123" i="10"/>
  <c r="V118" i="10"/>
  <c r="V117" i="10"/>
  <c r="V115" i="10"/>
  <c r="V105" i="10"/>
  <c r="V104" i="10"/>
  <c r="V103" i="10"/>
  <c r="V102" i="10"/>
  <c r="V99" i="10"/>
  <c r="V95" i="10"/>
  <c r="V93" i="10"/>
  <c r="V91" i="10"/>
  <c r="V90" i="10"/>
  <c r="V81" i="10"/>
  <c r="V74" i="10"/>
  <c r="V71" i="10"/>
  <c r="V70" i="10"/>
  <c r="V68" i="10"/>
  <c r="V65" i="10"/>
  <c r="V64" i="10"/>
  <c r="V44" i="10"/>
  <c r="V34" i="10"/>
  <c r="V29" i="10"/>
  <c r="V28" i="10"/>
  <c r="S61" i="10" l="1"/>
  <c r="R94" i="10"/>
  <c r="T61" i="10"/>
  <c r="T73" i="10"/>
  <c r="S17" i="10"/>
  <c r="S15" i="10"/>
  <c r="T15" i="10"/>
  <c r="R17" i="10"/>
  <c r="R14" i="10"/>
  <c r="V14" i="10"/>
  <c r="U15" i="10"/>
  <c r="V15" i="10"/>
  <c r="R15" i="10"/>
  <c r="S73" i="10"/>
  <c r="R73" i="10"/>
  <c r="U61" i="10"/>
  <c r="R61" i="10"/>
  <c r="V54" i="10"/>
  <c r="S54" i="10"/>
  <c r="R23" i="10"/>
  <c r="T23" i="10"/>
  <c r="S23" i="10"/>
  <c r="U23" i="10"/>
  <c r="V33" i="10"/>
  <c r="T33" i="10"/>
  <c r="S38" i="10"/>
  <c r="R38" i="10"/>
  <c r="R43" i="10"/>
  <c r="S43" i="10"/>
  <c r="T43" i="10"/>
  <c r="U43" i="10"/>
  <c r="T98" i="10"/>
  <c r="T94" i="10"/>
  <c r="V98" i="10"/>
  <c r="V94" i="10"/>
  <c r="V73" i="10"/>
  <c r="V67" i="10"/>
  <c r="V61" i="10"/>
  <c r="V43" i="10"/>
  <c r="V23" i="10"/>
  <c r="V97" i="10"/>
  <c r="V38" i="10"/>
  <c r="V19" i="10"/>
  <c r="V17" i="10"/>
  <c r="V16" i="10"/>
  <c r="AG108" i="10"/>
  <c r="AF108" i="10"/>
  <c r="AE108" i="10"/>
  <c r="AD108" i="10"/>
  <c r="AC108" i="10"/>
  <c r="AB108" i="10"/>
  <c r="AA108" i="10"/>
  <c r="Z108" i="10"/>
  <c r="Y108" i="10"/>
  <c r="X108" i="10"/>
  <c r="W10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ELUP User</author>
  </authors>
  <commentList>
    <comment ref="K7" authorId="0" shapeId="0" xr:uid="{2721C40C-EACB-41D8-8461-00DBC303E09F}">
      <text>
        <r>
          <rPr>
            <b/>
            <sz val="9"/>
            <color indexed="81"/>
            <rFont val="Tahoma"/>
            <family val="2"/>
          </rPr>
          <t>ELUP User:</t>
        </r>
        <r>
          <rPr>
            <sz val="9"/>
            <color indexed="81"/>
            <rFont val="Tahoma"/>
            <family val="2"/>
          </rPr>
          <t xml:space="preserve">
Do not change the formula</t>
        </r>
      </text>
    </comment>
    <comment ref="L7" authorId="0" shapeId="0" xr:uid="{4FB7ABC0-ED0C-4A3B-96A5-0A411E3F8F44}">
      <text>
        <r>
          <rPr>
            <b/>
            <sz val="9"/>
            <color indexed="81"/>
            <rFont val="Tahoma"/>
            <family val="2"/>
          </rPr>
          <t>ELUP User:</t>
        </r>
        <r>
          <rPr>
            <sz val="9"/>
            <color indexed="81"/>
            <rFont val="Tahoma"/>
            <family val="2"/>
          </rPr>
          <t xml:space="preserve">
Do not change the formula </t>
        </r>
      </text>
    </comment>
    <comment ref="M7" authorId="0" shapeId="0" xr:uid="{A27FD4D0-2693-4198-A410-2C545ECC81B3}">
      <text>
        <r>
          <rPr>
            <b/>
            <sz val="9"/>
            <color indexed="81"/>
            <rFont val="Tahoma"/>
            <family val="2"/>
          </rPr>
          <t>ELUP User:</t>
        </r>
        <r>
          <rPr>
            <sz val="9"/>
            <color indexed="81"/>
            <rFont val="Tahoma"/>
            <family val="2"/>
          </rPr>
          <t xml:space="preserve">
Do not change the formula</t>
        </r>
      </text>
    </comment>
    <comment ref="O7" authorId="0" shapeId="0" xr:uid="{E305DA16-C2AA-463A-8B5C-AD76FFA42C62}">
      <text>
        <r>
          <rPr>
            <b/>
            <sz val="9"/>
            <color indexed="81"/>
            <rFont val="Tahoma"/>
            <family val="2"/>
          </rPr>
          <t>ELUP User:</t>
        </r>
        <r>
          <rPr>
            <sz val="9"/>
            <color indexed="81"/>
            <rFont val="Tahoma"/>
            <family val="2"/>
          </rPr>
          <t xml:space="preserve">
Do not change the formula</t>
        </r>
      </text>
    </comment>
    <comment ref="V7" authorId="0" shapeId="0" xr:uid="{3FC8554B-E33E-4D8F-A7EC-8F036A0C7A85}">
      <text>
        <r>
          <rPr>
            <b/>
            <sz val="9"/>
            <color indexed="81"/>
            <rFont val="Tahoma"/>
            <family val="2"/>
          </rPr>
          <t>ELUP User:</t>
        </r>
        <r>
          <rPr>
            <sz val="9"/>
            <color indexed="81"/>
            <rFont val="Tahoma"/>
            <family val="2"/>
          </rPr>
          <t xml:space="preserve">
Do not change the formula</t>
        </r>
      </text>
    </comment>
    <comment ref="AD7" authorId="0" shapeId="0" xr:uid="{3BAA9CC4-208A-4385-A37A-03073C1B1EA5}">
      <text>
        <r>
          <rPr>
            <b/>
            <sz val="9"/>
            <color indexed="81"/>
            <rFont val="Tahoma"/>
            <family val="2"/>
          </rPr>
          <t>ELUP User:</t>
        </r>
        <r>
          <rPr>
            <sz val="9"/>
            <color indexed="81"/>
            <rFont val="Tahoma"/>
            <family val="2"/>
          </rPr>
          <t xml:space="preserve">
Do not change the formula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ELUP User</author>
  </authors>
  <commentList>
    <comment ref="J4" authorId="0" shapeId="0" xr:uid="{B104FE7D-B062-4210-A952-3DD632EC2A76}">
      <text>
        <r>
          <rPr>
            <b/>
            <sz val="9"/>
            <color indexed="81"/>
            <rFont val="Tahoma"/>
            <family val="2"/>
          </rPr>
          <t>ELUP User:</t>
        </r>
        <r>
          <rPr>
            <sz val="9"/>
            <color indexed="81"/>
            <rFont val="Tahoma"/>
            <family val="2"/>
          </rPr>
          <t xml:space="preserve">
Do not delete the formula</t>
        </r>
      </text>
    </comment>
    <comment ref="L4" authorId="0" shapeId="0" xr:uid="{8BDE5EDD-0C10-47F0-A0E3-82809E312FE6}">
      <text>
        <r>
          <rPr>
            <b/>
            <sz val="9"/>
            <color indexed="81"/>
            <rFont val="Tahoma"/>
            <family val="2"/>
          </rPr>
          <t>ELUP User:</t>
        </r>
        <r>
          <rPr>
            <sz val="9"/>
            <color indexed="81"/>
            <rFont val="Tahoma"/>
            <family val="2"/>
          </rPr>
          <t xml:space="preserve">
Do not delete the formula</t>
        </r>
      </text>
    </comment>
    <comment ref="M4" authorId="0" shapeId="0" xr:uid="{03B41E55-2115-4118-814B-CBBB21337B59}">
      <text>
        <r>
          <rPr>
            <b/>
            <sz val="9"/>
            <color indexed="81"/>
            <rFont val="Tahoma"/>
            <family val="2"/>
          </rPr>
          <t>ELUP User:</t>
        </r>
        <r>
          <rPr>
            <sz val="9"/>
            <color indexed="81"/>
            <rFont val="Tahoma"/>
            <family val="2"/>
          </rPr>
          <t xml:space="preserve">
Do not delete the formula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ELUP User</author>
  </authors>
  <commentList>
    <comment ref="G1293" authorId="0" shapeId="0" xr:uid="{3CBDE898-9E38-4DA2-B527-64D6E2521947}">
      <text>
        <r>
          <rPr>
            <b/>
            <sz val="9"/>
            <color indexed="81"/>
            <rFont val="Tahoma"/>
            <family val="2"/>
          </rPr>
          <t xml:space="preserve">ELUP User:
M - original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<sst xmlns="http://schemas.openxmlformats.org/spreadsheetml/2006/main" count="28999" uniqueCount="7625">
  <si>
    <t>regions</t>
  </si>
  <si>
    <t>BARMM</t>
  </si>
  <si>
    <t>Cordillera Administrative Region</t>
  </si>
  <si>
    <t>National Capital Region</t>
  </si>
  <si>
    <t>Region 01 (Ilocos Region)</t>
  </si>
  <si>
    <t>Region 02 (Cagayan Valley)</t>
  </si>
  <si>
    <t>Region 03 (Central Luzon)</t>
  </si>
  <si>
    <t>Region 04-A (CALABARZON)</t>
  </si>
  <si>
    <t>Region 04-B (MIMAROPA)</t>
  </si>
  <si>
    <t>Region 05 (Bicol Region)</t>
  </si>
  <si>
    <t>Region 06 (Western Visayas)</t>
  </si>
  <si>
    <t>Region 07 (Central Visayas Region)</t>
  </si>
  <si>
    <t>Region 08 (Eastern Visayas)</t>
  </si>
  <si>
    <t>Region 09 (Zamboanga Peninsula)</t>
  </si>
  <si>
    <t>Region 10 (Northern Mindanao)</t>
  </si>
  <si>
    <t>Region 11 (Davao Region)</t>
  </si>
  <si>
    <t>Region 12 (SOCCSKSARGEN)</t>
  </si>
  <si>
    <t>Region 13 (Caraga Region)</t>
  </si>
  <si>
    <t>MONTHLY ACCOMPLISHMENT COLLECTION AND REPORTING MANUAL</t>
  </si>
  <si>
    <t xml:space="preserve">ENVIRONMENTAL, LAND USE AND URBAN PLANNING AND DEVELOPMENT DIVISION (ELUPDD) </t>
  </si>
  <si>
    <t>OVERVIEW AND RATIONALE</t>
  </si>
  <si>
    <t xml:space="preserve">               The Monthly Accomplishment Collection and Reporting Manual was primarily developed to serve as a reference guide for the Monitoring and Evaluation Focal Persons of the DHSUD Regional Offices (ROs) - Environmental, Land Use, and Urban Planning and Development Division (ELUPDD) in the data collection and reporting of their accomplishments pursuant to ELUPDD’s functions and DHSUD’s mandates and programs. This tool consolidates the accomplishment indicators and targets to be collected and reported in ELUPDD's accomplishment report  as agreed with the Central Office.
         Moreover, this tool was developed to monitor and report process, activities, and functions of ELUPDD pursuant to DHSUD’s Operations Manual and Quality Management System (QMS).</t>
  </si>
  <si>
    <t>ACCOMPLISHMENT REPORTING PROCESS</t>
  </si>
  <si>
    <t xml:space="preserve">            The Accomplishment reports submitted by the ELUPDD are consolidated, processed, and reported by ELUPDB. The processed reports are submitted by ELUPDB internally to the DHSUD Planning Service (PS) and/or DHSUD Executive Offices (Office of Assistant Secretary, Office of Undersecretary, Office of Secretary) and externally, to National Government Agencies, Legislature (Congress and Senate), Executive Offices including the Office of the President, International Funding Agencies, and other stakeholders. The accomplishment reports serve as a measure of success in attaining the tasks and functions mandated to the DHSUD specifically to ELUPDD. Furthermore, the accomplishment report shall be a basis for additional support (mainly financial) from the National Government and/or International Funding Agencies to DHSUD and ELUPDD.</t>
  </si>
  <si>
    <t>`</t>
  </si>
  <si>
    <t>UPDATING, AND SCOPE AND LIMITATIONS</t>
  </si>
  <si>
    <t xml:space="preserve">             Mid-year and end-of-year assessment and updating activities will be held among ELUPDB’s Monitoring and Evaluation Division and ELUPDD’s Monitoring and Evaluation Focal Persons. These activities shall ensure that the tool and the manual is updated and adaptive to the most important programs to solve societal issues. If in need of updating, the new version of the tool and manual shall be released a month after the Mid-year and/or the End-of-Year assessment and updating activity. The data and indicators included in this manual shall only cover ELUPDD and ELUPDB accomplishments of functions as mandated by law or programs required by the direction of the DHSUD Secretary. </t>
  </si>
  <si>
    <t>Regional ELUPDD Functions as Mandated by Law</t>
  </si>
  <si>
    <t>GENERAL FUNCTIONS OF REGIONAL OFFICES AS PER IRR OF RA 11201</t>
  </si>
  <si>
    <t>Implement laws, and the Department's policies, plans, programs, projects, rules and regulations;</t>
  </si>
  <si>
    <t>Coordinate and maintain linkage with NGAs, LGUs, private entities, NGOs, CSOs, academe, and other stakeholders;</t>
  </si>
  <si>
    <t>Act on applications for the issuance of various permits, licenses, clearances and certifications;</t>
  </si>
  <si>
    <t>Conduct conciliation proceedings on issues and disputes relating to the implementation of the Department's mandates, including the regulation of real estate development and HOAs; and</t>
  </si>
  <si>
    <t>Perform such other functions that are implied, necessary or incidental in carryi out the above or as may be assigned by the Secretary</t>
  </si>
  <si>
    <t>CORE FUNCTIONS AS PER IRR OF RA 11201</t>
  </si>
  <si>
    <t>Environmental, Land Use and Urban Planning and Development Functions</t>
  </si>
  <si>
    <t>25.1.1</t>
  </si>
  <si>
    <t>Provide technical assistance to provinces, cities and municipalities in the preparation and updating of CLUPs, ZOs, and PCLUPs/PPFPs;</t>
  </si>
  <si>
    <t>25.1.2</t>
  </si>
  <si>
    <t xml:space="preserve">Conduct technology transfer and capability building programs for LGUs in the implementation of CLUP and ZO enforcement and development control; </t>
  </si>
  <si>
    <t>25.1.3</t>
  </si>
  <si>
    <t>Conduct training and mentoring in addressing urban development, management and governance concerns such as housing, establishment of government centers, new towns, settlements, and planned unit development, urban renewal, open spaces, traffic concerns, sewerage, waste management, and energy efficiency, among others;</t>
  </si>
  <si>
    <t xml:space="preserve">25.1.4 </t>
  </si>
  <si>
    <t>Undertake review of PPFPs, CLUPs and ZOs of provinces, cities and municipalities as a member of the Provincial Land Use Committee or Regional Land Use Committee;</t>
  </si>
  <si>
    <t xml:space="preserve">25.1.5 </t>
  </si>
  <si>
    <t xml:space="preserve">Extend technical assistance to and conduct technology transfer and capability building of cities and municipalities in the formulation, legitimization and implementation of LSPs, which shall include plans and strategies for the utilization of the socialized housing tax as provided under Section 43 of RA 7279 and other sources of funds for housing and urban development; </t>
  </si>
  <si>
    <t xml:space="preserve">25.1.6 </t>
  </si>
  <si>
    <t>Monitor land use changes, particularly the reclassification of agricultural lands into other uses and implementation of ZOs of cities and municipalities;</t>
  </si>
  <si>
    <t xml:space="preserve">25.1.7 </t>
  </si>
  <si>
    <t>Update an inventory of idle lands, existing CLUPs, ZOs, PCLUPs/PPFPs, and LSPs, inventory of housing stock and listing of government-housing program beneficiaries;</t>
  </si>
  <si>
    <t xml:space="preserve">25.1.8 </t>
  </si>
  <si>
    <t xml:space="preserve">Maintain a  geographic information system for monitoring of land use and zoning particularly on but not limited to: </t>
  </si>
  <si>
    <t>(a) Compliance of LGUs to guidelines set by the Department in preparing and updating their respective CLUPs and ZOs; and</t>
  </si>
  <si>
    <t>(b) Implementation of CLUPs and ZOs through monitoring of land use changes and reclassification; and</t>
  </si>
  <si>
    <t xml:space="preserve">25.1.9 </t>
  </si>
  <si>
    <t xml:space="preserve">Perform such other functions that are implied, necessary or incide tal in carrying out the above or as may be assigned by the Regional Directors. </t>
  </si>
  <si>
    <t>PROVINCES</t>
  </si>
  <si>
    <t>PLGU</t>
  </si>
  <si>
    <t>NCR</t>
  </si>
  <si>
    <t>CAR</t>
  </si>
  <si>
    <t>RO_1</t>
  </si>
  <si>
    <t>RO_2</t>
  </si>
  <si>
    <t>RO_3</t>
  </si>
  <si>
    <t>RO_4A</t>
  </si>
  <si>
    <t>RO_4B</t>
  </si>
  <si>
    <t>RO_5</t>
  </si>
  <si>
    <t>RO_6</t>
  </si>
  <si>
    <t>NIR</t>
  </si>
  <si>
    <t>RO_7</t>
  </si>
  <si>
    <t>RO_8</t>
  </si>
  <si>
    <t>RO_9</t>
  </si>
  <si>
    <t>R_10</t>
  </si>
  <si>
    <t>R_11</t>
  </si>
  <si>
    <t>R_12</t>
  </si>
  <si>
    <t>R_13</t>
  </si>
  <si>
    <t>Basilan</t>
  </si>
  <si>
    <t>Province_PLGU</t>
  </si>
  <si>
    <t>Metro_Manila</t>
  </si>
  <si>
    <t>Abra</t>
  </si>
  <si>
    <t>Ilocos_Norte</t>
  </si>
  <si>
    <t>Batanes</t>
  </si>
  <si>
    <t>Aurora</t>
  </si>
  <si>
    <t>Batangas</t>
  </si>
  <si>
    <t>Marinduque</t>
  </si>
  <si>
    <t>Albay</t>
  </si>
  <si>
    <t>Aklan</t>
  </si>
  <si>
    <t>Negros_Occidental</t>
  </si>
  <si>
    <t>Bohol</t>
  </si>
  <si>
    <t>Biliran</t>
  </si>
  <si>
    <t>Zamboanga_del_Norte</t>
  </si>
  <si>
    <t>Bukidnon</t>
  </si>
  <si>
    <t>Davao_del_Norte</t>
  </si>
  <si>
    <t>Cotabato</t>
  </si>
  <si>
    <t>Agusan_del_Norte</t>
  </si>
  <si>
    <t>Lanao_del_Sur</t>
  </si>
  <si>
    <t>Apayao</t>
  </si>
  <si>
    <t>Ilocos_Sur</t>
  </si>
  <si>
    <t>Cagayan</t>
  </si>
  <si>
    <t>Bataan</t>
  </si>
  <si>
    <t>Cavite</t>
  </si>
  <si>
    <t>Occidental_Mindoro</t>
  </si>
  <si>
    <t>Camarines_Norte</t>
  </si>
  <si>
    <t>Antique</t>
  </si>
  <si>
    <t>Negros_Oriental</t>
  </si>
  <si>
    <t>Cebu</t>
  </si>
  <si>
    <t>Eastern_Samar</t>
  </si>
  <si>
    <t>Zamboanga_del_Sur</t>
  </si>
  <si>
    <t>Camiguin</t>
  </si>
  <si>
    <t>Davao_del_Sur</t>
  </si>
  <si>
    <t>South_Cotabato</t>
  </si>
  <si>
    <t>Agusan_del_Sur</t>
  </si>
  <si>
    <t>Tawi-Tawi</t>
  </si>
  <si>
    <t>Benguet</t>
  </si>
  <si>
    <t>La_Union</t>
  </si>
  <si>
    <t>Isabela</t>
  </si>
  <si>
    <t>Bulacan</t>
  </si>
  <si>
    <t>Laguna</t>
  </si>
  <si>
    <t>Oriental_Mindoro</t>
  </si>
  <si>
    <t>Camarines_Sur</t>
  </si>
  <si>
    <t>Capiz</t>
  </si>
  <si>
    <t>Siquijor</t>
  </si>
  <si>
    <t>Leyte</t>
  </si>
  <si>
    <t>Zamboanga_Sibugay</t>
  </si>
  <si>
    <t>Lanao_del_Norte</t>
  </si>
  <si>
    <t>Davao_Oriental</t>
  </si>
  <si>
    <t>Sultan_Kudarat</t>
  </si>
  <si>
    <t>Surigao_del_Norte</t>
  </si>
  <si>
    <t>Maguindanao_del_Norte</t>
  </si>
  <si>
    <t>Ifugao</t>
  </si>
  <si>
    <t>Pangasinan</t>
  </si>
  <si>
    <t>Nueva_Vizcaya</t>
  </si>
  <si>
    <t>Nueva_Ecija</t>
  </si>
  <si>
    <t>Quezon</t>
  </si>
  <si>
    <t>Palawan</t>
  </si>
  <si>
    <t>Catanduanes</t>
  </si>
  <si>
    <t>Iloilo</t>
  </si>
  <si>
    <t>Northern_Samar</t>
  </si>
  <si>
    <t>Misamis_Occidental</t>
  </si>
  <si>
    <t>Davao_de_Oro</t>
  </si>
  <si>
    <t>Sarangani</t>
  </si>
  <si>
    <t>Surigao_del_Sur</t>
  </si>
  <si>
    <t>Maguindanao_del_Sur</t>
  </si>
  <si>
    <t>Kalinga</t>
  </si>
  <si>
    <t>Quirino</t>
  </si>
  <si>
    <t>Pampanga</t>
  </si>
  <si>
    <t>Rizal</t>
  </si>
  <si>
    <t>Romblon</t>
  </si>
  <si>
    <t>Masbate</t>
  </si>
  <si>
    <t>Guimaras</t>
  </si>
  <si>
    <t>Samar</t>
  </si>
  <si>
    <t>Sulu</t>
  </si>
  <si>
    <t>Misamis_Oriental</t>
  </si>
  <si>
    <t>Davao_Occidental</t>
  </si>
  <si>
    <t>Dinagat_Islands</t>
  </si>
  <si>
    <t>Mountain_Province</t>
  </si>
  <si>
    <t>Tarlac</t>
  </si>
  <si>
    <t>Sorsogon</t>
  </si>
  <si>
    <t>Southern_Leyte</t>
  </si>
  <si>
    <t>Zambales</t>
  </si>
  <si>
    <t>City_of_Caloocan</t>
  </si>
  <si>
    <t>Bangued</t>
  </si>
  <si>
    <t>Calanasan</t>
  </si>
  <si>
    <t>Atok</t>
  </si>
  <si>
    <t>Aguinaldo</t>
  </si>
  <si>
    <t>Balbalan</t>
  </si>
  <si>
    <t>Barlig</t>
  </si>
  <si>
    <t>Adams</t>
  </si>
  <si>
    <t>Alilem</t>
  </si>
  <si>
    <t>Agoo</t>
  </si>
  <si>
    <t>Agno</t>
  </si>
  <si>
    <t>Basco</t>
  </si>
  <si>
    <t>Abulug</t>
  </si>
  <si>
    <t>Alicia</t>
  </si>
  <si>
    <t>Alfonso_Castañeda</t>
  </si>
  <si>
    <t>Aglipay</t>
  </si>
  <si>
    <t>Abucay</t>
  </si>
  <si>
    <t>Angat</t>
  </si>
  <si>
    <t>Aliaga</t>
  </si>
  <si>
    <t>Apalit</t>
  </si>
  <si>
    <t>Anao</t>
  </si>
  <si>
    <t>Botolan</t>
  </si>
  <si>
    <t>Baler</t>
  </si>
  <si>
    <t>Agoncillo</t>
  </si>
  <si>
    <t>Alfonso</t>
  </si>
  <si>
    <t>Alaminos</t>
  </si>
  <si>
    <t>Agdangan</t>
  </si>
  <si>
    <t>Angono</t>
  </si>
  <si>
    <t>Boac</t>
  </si>
  <si>
    <t>Abra_De_Ilog</t>
  </si>
  <si>
    <t>Baco</t>
  </si>
  <si>
    <t>Aborlan</t>
  </si>
  <si>
    <t>Alcantara</t>
  </si>
  <si>
    <t>Bacacay</t>
  </si>
  <si>
    <t>Basud</t>
  </si>
  <si>
    <t>Baao</t>
  </si>
  <si>
    <t>Bagamanoc</t>
  </si>
  <si>
    <t>Aroroy</t>
  </si>
  <si>
    <t>Barcelona</t>
  </si>
  <si>
    <t>Altavas</t>
  </si>
  <si>
    <t>Anini-Y</t>
  </si>
  <si>
    <t>City_of_Roxas</t>
  </si>
  <si>
    <t>Ajuy</t>
  </si>
  <si>
    <t>Buenavista</t>
  </si>
  <si>
    <t>Binalbagan</t>
  </si>
  <si>
    <t>Amlan</t>
  </si>
  <si>
    <t>Enrique_Villanueva</t>
  </si>
  <si>
    <t>Alburquerque</t>
  </si>
  <si>
    <t>Arteche</t>
  </si>
  <si>
    <t>Abuyog</t>
  </si>
  <si>
    <t>Allen</t>
  </si>
  <si>
    <t>Almagro</t>
  </si>
  <si>
    <t>Anahawan</t>
  </si>
  <si>
    <t>Almeria</t>
  </si>
  <si>
    <t>Baliguian</t>
  </si>
  <si>
    <t>City_of_Isabela</t>
  </si>
  <si>
    <t>Baungon</t>
  </si>
  <si>
    <t>Catarman</t>
  </si>
  <si>
    <t>Bacolod</t>
  </si>
  <si>
    <t>Aloran</t>
  </si>
  <si>
    <t>Alubijid</t>
  </si>
  <si>
    <t>Asuncion</t>
  </si>
  <si>
    <t>Bansalan</t>
  </si>
  <si>
    <t>Baganga</t>
  </si>
  <si>
    <t>Compostela</t>
  </si>
  <si>
    <t>Don_Marcelino</t>
  </si>
  <si>
    <t>Alamada</t>
  </si>
  <si>
    <t>Banga</t>
  </si>
  <si>
    <t>Bagumbayan</t>
  </si>
  <si>
    <t>Alabel</t>
  </si>
  <si>
    <t>Bunawan</t>
  </si>
  <si>
    <t>Alegria</t>
  </si>
  <si>
    <t>Barobo</t>
  </si>
  <si>
    <t>Basilisa</t>
  </si>
  <si>
    <t>Hadji Panglima Tahil</t>
  </si>
  <si>
    <t>City_of_Las_Piñas</t>
  </si>
  <si>
    <t>Boliney</t>
  </si>
  <si>
    <t>Conner</t>
  </si>
  <si>
    <t>Bakun</t>
  </si>
  <si>
    <t>Alfonso_Lista</t>
  </si>
  <si>
    <t>City_of_Tabuk</t>
  </si>
  <si>
    <t>Bauko</t>
  </si>
  <si>
    <t>Bacarra</t>
  </si>
  <si>
    <t>Banayoyo</t>
  </si>
  <si>
    <t>Aringay</t>
  </si>
  <si>
    <t>Aguilar</t>
  </si>
  <si>
    <t>Itbayat</t>
  </si>
  <si>
    <t>Alcala</t>
  </si>
  <si>
    <t>Angadanan</t>
  </si>
  <si>
    <t>Ambaguio</t>
  </si>
  <si>
    <t>Cabarroguis</t>
  </si>
  <si>
    <t>Bagac</t>
  </si>
  <si>
    <t>Balagtas</t>
  </si>
  <si>
    <t>Bongabon</t>
  </si>
  <si>
    <t>Arayat</t>
  </si>
  <si>
    <t>Bamban</t>
  </si>
  <si>
    <t>Cabangan</t>
  </si>
  <si>
    <t>Casiguran</t>
  </si>
  <si>
    <t>Alitagtag</t>
  </si>
  <si>
    <t>Amadeo</t>
  </si>
  <si>
    <t>Bay</t>
  </si>
  <si>
    <t>Alabat</t>
  </si>
  <si>
    <t>Baras</t>
  </si>
  <si>
    <t>Calintaan</t>
  </si>
  <si>
    <t>Bansud</t>
  </si>
  <si>
    <t>Agutaya</t>
  </si>
  <si>
    <t>Banton</t>
  </si>
  <si>
    <t>Camalig</t>
  </si>
  <si>
    <t>Capalonga</t>
  </si>
  <si>
    <t>Balatan</t>
  </si>
  <si>
    <t>Baleno</t>
  </si>
  <si>
    <t>Bulan</t>
  </si>
  <si>
    <t>Balete</t>
  </si>
  <si>
    <t>Cuartero</t>
  </si>
  <si>
    <t>Alimodian</t>
  </si>
  <si>
    <t>Jordan</t>
  </si>
  <si>
    <t>Calatrava</t>
  </si>
  <si>
    <t>Ayungon</t>
  </si>
  <si>
    <t>Larena</t>
  </si>
  <si>
    <t>Alcoy</t>
  </si>
  <si>
    <t>Balangiga</t>
  </si>
  <si>
    <t>Alangalang</t>
  </si>
  <si>
    <t>Biri</t>
  </si>
  <si>
    <t>Basey</t>
  </si>
  <si>
    <t>Bontoc</t>
  </si>
  <si>
    <t>City_of_Dapitan</t>
  </si>
  <si>
    <t>Bayog</t>
  </si>
  <si>
    <t>Buug</t>
  </si>
  <si>
    <t>Cabanglasan</t>
  </si>
  <si>
    <t>Guinsiliban</t>
  </si>
  <si>
    <t>Baloi</t>
  </si>
  <si>
    <t>Baliangao</t>
  </si>
  <si>
    <t>Balingasag</t>
  </si>
  <si>
    <t>Braulio_E_Dujali</t>
  </si>
  <si>
    <t>City_of_Davao</t>
  </si>
  <si>
    <t>Banaybanay</t>
  </si>
  <si>
    <t>Laak</t>
  </si>
  <si>
    <t>Jose_Abad_Santos</t>
  </si>
  <si>
    <t>Aleosan</t>
  </si>
  <si>
    <t>City_of_General_Santos</t>
  </si>
  <si>
    <t>City_of_Tacurong</t>
  </si>
  <si>
    <t>Glan</t>
  </si>
  <si>
    <t>Carmen_ADN</t>
  </si>
  <si>
    <t>City_of_Bayugan</t>
  </si>
  <si>
    <t>Bacuag</t>
  </si>
  <si>
    <t>Bayabas</t>
  </si>
  <si>
    <t>Cagdianao</t>
  </si>
  <si>
    <t>Indanan</t>
  </si>
  <si>
    <t>City_of_Makati</t>
  </si>
  <si>
    <t>Bucay</t>
  </si>
  <si>
    <t>Flora</t>
  </si>
  <si>
    <t>Bokod</t>
  </si>
  <si>
    <t>Asipulo</t>
  </si>
  <si>
    <t>Lubuagan</t>
  </si>
  <si>
    <t>Besao</t>
  </si>
  <si>
    <t>Badoc</t>
  </si>
  <si>
    <t>Bantay</t>
  </si>
  <si>
    <t>Bacnotan</t>
  </si>
  <si>
    <t>Ivana</t>
  </si>
  <si>
    <t>Allacapan</t>
  </si>
  <si>
    <t>Aritao</t>
  </si>
  <si>
    <t>Diffun</t>
  </si>
  <si>
    <t>City_of_Balanga</t>
  </si>
  <si>
    <t>Bocaue</t>
  </si>
  <si>
    <t>Cabiao</t>
  </si>
  <si>
    <t>Bacolor</t>
  </si>
  <si>
    <t>Camiling</t>
  </si>
  <si>
    <t>Candelaria</t>
  </si>
  <si>
    <t>Dilasag</t>
  </si>
  <si>
    <t>Balayan</t>
  </si>
  <si>
    <t>City_of_Bacoor</t>
  </si>
  <si>
    <t>Calauan</t>
  </si>
  <si>
    <t>Atimonan</t>
  </si>
  <si>
    <t>Binangonan</t>
  </si>
  <si>
    <t>Gasan</t>
  </si>
  <si>
    <t>Looc</t>
  </si>
  <si>
    <t>Bongabong</t>
  </si>
  <si>
    <t>Araceli</t>
  </si>
  <si>
    <t>Cajidiocan</t>
  </si>
  <si>
    <t>City_of_Legazpi</t>
  </si>
  <si>
    <t>Daet</t>
  </si>
  <si>
    <t>Bato</t>
  </si>
  <si>
    <t>Bato_Catanduanes</t>
  </si>
  <si>
    <t>Balud</t>
  </si>
  <si>
    <t>Bulusan</t>
  </si>
  <si>
    <t>Barbaza</t>
  </si>
  <si>
    <t>Dao</t>
  </si>
  <si>
    <t>Anilao</t>
  </si>
  <si>
    <t>Nueva_Valencia</t>
  </si>
  <si>
    <t>Candoni</t>
  </si>
  <si>
    <t>Bacong</t>
  </si>
  <si>
    <t>Lazi</t>
  </si>
  <si>
    <t>Anda</t>
  </si>
  <si>
    <t>Balangkayan</t>
  </si>
  <si>
    <t>Albuera</t>
  </si>
  <si>
    <t>Bobon</t>
  </si>
  <si>
    <t>Calbiga</t>
  </si>
  <si>
    <t>City_of_Maasin</t>
  </si>
  <si>
    <t>Cabucgayan</t>
  </si>
  <si>
    <t>City_of_Dipolog</t>
  </si>
  <si>
    <t>City_of_Pagadian</t>
  </si>
  <si>
    <t>Diplahan</t>
  </si>
  <si>
    <t>City_of_Malaybalay</t>
  </si>
  <si>
    <t>Mahinog</t>
  </si>
  <si>
    <t>Baroy</t>
  </si>
  <si>
    <t>Bonifacio</t>
  </si>
  <si>
    <t>Balingoan</t>
  </si>
  <si>
    <t>Carmen</t>
  </si>
  <si>
    <t>City_of_Digos</t>
  </si>
  <si>
    <t>Boston</t>
  </si>
  <si>
    <t>Mabini</t>
  </si>
  <si>
    <t>Malita_</t>
  </si>
  <si>
    <t>Antipas</t>
  </si>
  <si>
    <t>City_of_Koronadal</t>
  </si>
  <si>
    <t>Columbio</t>
  </si>
  <si>
    <t>Kiamba</t>
  </si>
  <si>
    <t>City_of_Butuan</t>
  </si>
  <si>
    <t>Esperanza</t>
  </si>
  <si>
    <t>Burgos</t>
  </si>
  <si>
    <t>Cagwait</t>
  </si>
  <si>
    <t>Dinagat</t>
  </si>
  <si>
    <t>Jolo</t>
  </si>
  <si>
    <t>City_of_Malabon</t>
  </si>
  <si>
    <t>Bucloc</t>
  </si>
  <si>
    <t>Kabugao</t>
  </si>
  <si>
    <t>Buguias</t>
  </si>
  <si>
    <t>Banaue</t>
  </si>
  <si>
    <t>Pasil</t>
  </si>
  <si>
    <t>Bangui</t>
  </si>
  <si>
    <t>Burgos_Ilocos-Sur</t>
  </si>
  <si>
    <t>Bagulin</t>
  </si>
  <si>
    <t>Mahatao</t>
  </si>
  <si>
    <t>Amulung</t>
  </si>
  <si>
    <t>Benito_Soliven</t>
  </si>
  <si>
    <t>Bagabag</t>
  </si>
  <si>
    <t>Maddela</t>
  </si>
  <si>
    <t>Dinalupihan</t>
  </si>
  <si>
    <t>Carranglan</t>
  </si>
  <si>
    <t>Candaba</t>
  </si>
  <si>
    <t>Capas</t>
  </si>
  <si>
    <t>Castillejos</t>
  </si>
  <si>
    <t>Dinalungan</t>
  </si>
  <si>
    <t>City_of_Carmona</t>
  </si>
  <si>
    <t>Cavinti</t>
  </si>
  <si>
    <t>Cainta</t>
  </si>
  <si>
    <t>Mogpog</t>
  </si>
  <si>
    <t>Lubang</t>
  </si>
  <si>
    <t>Bulalacao</t>
  </si>
  <si>
    <t>Balabac</t>
  </si>
  <si>
    <t>City_of_Ligao</t>
  </si>
  <si>
    <t>Jose_Panganiban</t>
  </si>
  <si>
    <t>Bombon</t>
  </si>
  <si>
    <t>Caramoran</t>
  </si>
  <si>
    <t>Batuan</t>
  </si>
  <si>
    <t>Batan</t>
  </si>
  <si>
    <t>Belison</t>
  </si>
  <si>
    <t>Dumalag</t>
  </si>
  <si>
    <t>Badiangan</t>
  </si>
  <si>
    <t>San_Lorenzo</t>
  </si>
  <si>
    <t>Cauayan</t>
  </si>
  <si>
    <t>Basay</t>
  </si>
  <si>
    <t>Maria</t>
  </si>
  <si>
    <t>Antequera</t>
  </si>
  <si>
    <t>Aloguinsan</t>
  </si>
  <si>
    <t>Can-Avid</t>
  </si>
  <si>
    <t>Babatngon</t>
  </si>
  <si>
    <t>Capul</t>
  </si>
  <si>
    <t>City_of_Calbayog</t>
  </si>
  <si>
    <t>Hinunangan</t>
  </si>
  <si>
    <t>Caibiran</t>
  </si>
  <si>
    <t>Godod</t>
  </si>
  <si>
    <t>City_of_Zamboanga</t>
  </si>
  <si>
    <t>Imelda</t>
  </si>
  <si>
    <t>City_of_Valencia</t>
  </si>
  <si>
    <t>Mambajao</t>
  </si>
  <si>
    <t>City_of_Iligan</t>
  </si>
  <si>
    <t>Calamba</t>
  </si>
  <si>
    <t>Binuangan</t>
  </si>
  <si>
    <t>City_of_Panabo</t>
  </si>
  <si>
    <t>Hagonoy</t>
  </si>
  <si>
    <t>Caraga</t>
  </si>
  <si>
    <t>Maco</t>
  </si>
  <si>
    <t>Santa_Maria</t>
  </si>
  <si>
    <t>Arakan</t>
  </si>
  <si>
    <t>Lake_Sebu</t>
  </si>
  <si>
    <t>Maasim</t>
  </si>
  <si>
    <t>City_of_Cabadbaran</t>
  </si>
  <si>
    <t>La_Paz</t>
  </si>
  <si>
    <t>City_of_Surigao</t>
  </si>
  <si>
    <t>Cantilan</t>
  </si>
  <si>
    <t>Libjo</t>
  </si>
  <si>
    <t>Kalingalan Caluang</t>
  </si>
  <si>
    <t>City_of_Mandaluyong</t>
  </si>
  <si>
    <t>Daguioman</t>
  </si>
  <si>
    <t>Luna</t>
  </si>
  <si>
    <t>City_of_Baguio</t>
  </si>
  <si>
    <t>Hingyon</t>
  </si>
  <si>
    <t>Pinukpuk</t>
  </si>
  <si>
    <t>Natonin</t>
  </si>
  <si>
    <t>Banna</t>
  </si>
  <si>
    <t>Cabugao</t>
  </si>
  <si>
    <t>Balaoan</t>
  </si>
  <si>
    <t>Asingan</t>
  </si>
  <si>
    <t>Sabtang</t>
  </si>
  <si>
    <t>Aparri</t>
  </si>
  <si>
    <t>Bambang</t>
  </si>
  <si>
    <t>Nagtipunan</t>
  </si>
  <si>
    <t>Hermosa</t>
  </si>
  <si>
    <t>Bustos</t>
  </si>
  <si>
    <t>City_of_Cabanatuan</t>
  </si>
  <si>
    <t>City_of_Angeles</t>
  </si>
  <si>
    <t>City_of_Tarlac</t>
  </si>
  <si>
    <t>City_of_Olongapo</t>
  </si>
  <si>
    <t>Dingalan</t>
  </si>
  <si>
    <t>Batangas_City</t>
  </si>
  <si>
    <t>City_of_Cavite</t>
  </si>
  <si>
    <t>City_of_Biñan</t>
  </si>
  <si>
    <t>Burdeos</t>
  </si>
  <si>
    <t>Cardona</t>
  </si>
  <si>
    <t>Santa_Cruz</t>
  </si>
  <si>
    <t>Magsaysay</t>
  </si>
  <si>
    <t>City_of_Calapan</t>
  </si>
  <si>
    <t>Bataraza</t>
  </si>
  <si>
    <t>Concepcion</t>
  </si>
  <si>
    <t>City_of_Tabaco</t>
  </si>
  <si>
    <t>Labo</t>
  </si>
  <si>
    <t>Buhi</t>
  </si>
  <si>
    <t>Gigmoto</t>
  </si>
  <si>
    <t>Cataingan</t>
  </si>
  <si>
    <t>Castilla</t>
  </si>
  <si>
    <t>Buruanga</t>
  </si>
  <si>
    <t>Bugasong</t>
  </si>
  <si>
    <t>Dumarao</t>
  </si>
  <si>
    <t>Balasan</t>
  </si>
  <si>
    <t>Sibunag</t>
  </si>
  <si>
    <t xml:space="preserve">City of </t>
  </si>
  <si>
    <t>Bindoy</t>
  </si>
  <si>
    <t>San_Juan</t>
  </si>
  <si>
    <t>Baclayon</t>
  </si>
  <si>
    <t>Argao</t>
  </si>
  <si>
    <t>City_of_Borongan</t>
  </si>
  <si>
    <t>Barugo</t>
  </si>
  <si>
    <t>City_of_Catbalogan</t>
  </si>
  <si>
    <t>Hinundayan</t>
  </si>
  <si>
    <t>Culaba</t>
  </si>
  <si>
    <t>Gutalac</t>
  </si>
  <si>
    <t>Dimataling</t>
  </si>
  <si>
    <t>Ipil</t>
  </si>
  <si>
    <t>Damulog</t>
  </si>
  <si>
    <t>Sagay</t>
  </si>
  <si>
    <t>Kapatagan</t>
  </si>
  <si>
    <t>City_of_Oroquieta</t>
  </si>
  <si>
    <t>City_of_Cagayan_De_Oro</t>
  </si>
  <si>
    <t>City_of_Tagum</t>
  </si>
  <si>
    <t>Kiblawan</t>
  </si>
  <si>
    <t>Cateel</t>
  </si>
  <si>
    <t>Maragusan</t>
  </si>
  <si>
    <t>Banisilan</t>
  </si>
  <si>
    <t>Norala</t>
  </si>
  <si>
    <t>Isulan</t>
  </si>
  <si>
    <t>Maitum</t>
  </si>
  <si>
    <t>Jabonga</t>
  </si>
  <si>
    <t>Loreto_ADS</t>
  </si>
  <si>
    <t>Claver</t>
  </si>
  <si>
    <t>Loreto</t>
  </si>
  <si>
    <t>Lugus</t>
  </si>
  <si>
    <t>City_of_Manila</t>
  </si>
  <si>
    <t>Danglas</t>
  </si>
  <si>
    <t>Pudtol</t>
  </si>
  <si>
    <t>Itogon</t>
  </si>
  <si>
    <t>Hungduan</t>
  </si>
  <si>
    <t>Paracelis</t>
  </si>
  <si>
    <t>Caoayan</t>
  </si>
  <si>
    <t>Bangar</t>
  </si>
  <si>
    <t>Balungao</t>
  </si>
  <si>
    <t>Uyugan</t>
  </si>
  <si>
    <t>Baggao</t>
  </si>
  <si>
    <t>Cabagan</t>
  </si>
  <si>
    <t>Bayombong</t>
  </si>
  <si>
    <t>Saguday</t>
  </si>
  <si>
    <t>Limay</t>
  </si>
  <si>
    <t>Calumpit</t>
  </si>
  <si>
    <t>City_of_Gapan</t>
  </si>
  <si>
    <t>City_of_San_Fernando</t>
  </si>
  <si>
    <t>Iba</t>
  </si>
  <si>
    <t>Dipaculao</t>
  </si>
  <si>
    <t>Bauan</t>
  </si>
  <si>
    <t>City_of_Dasmariñas</t>
  </si>
  <si>
    <t>City_of_Cabuyao</t>
  </si>
  <si>
    <t>Calauag</t>
  </si>
  <si>
    <t>City_of_Antipolo</t>
  </si>
  <si>
    <t>Torrijos</t>
  </si>
  <si>
    <t>Mamburao</t>
  </si>
  <si>
    <t>Gloria</t>
  </si>
  <si>
    <t>Brooke's_Point</t>
  </si>
  <si>
    <t>Corcuera</t>
  </si>
  <si>
    <t>Daraga</t>
  </si>
  <si>
    <t>Mercedes</t>
  </si>
  <si>
    <t>Bula</t>
  </si>
  <si>
    <t>Pandan</t>
  </si>
  <si>
    <t>Cawayan</t>
  </si>
  <si>
    <t>City_of_Sorsogon</t>
  </si>
  <si>
    <t>Ibajay</t>
  </si>
  <si>
    <t>Caluya</t>
  </si>
  <si>
    <t>Ivisan</t>
  </si>
  <si>
    <t>Banate</t>
  </si>
  <si>
    <t>City_of_Bacolod</t>
  </si>
  <si>
    <t>City_of_Bais</t>
  </si>
  <si>
    <t>Balilihan</t>
  </si>
  <si>
    <t>Asturias</t>
  </si>
  <si>
    <t>Dolores</t>
  </si>
  <si>
    <t>Catubig</t>
  </si>
  <si>
    <t>Daram</t>
  </si>
  <si>
    <t>Libagon</t>
  </si>
  <si>
    <t>Kawayan</t>
  </si>
  <si>
    <t>Jose_Dalman</t>
  </si>
  <si>
    <t>Dinas</t>
  </si>
  <si>
    <t>Kabasalan</t>
  </si>
  <si>
    <t>Dangcagan</t>
  </si>
  <si>
    <t>Kauswagan</t>
  </si>
  <si>
    <t>City_of_Ozamiz</t>
  </si>
  <si>
    <t>City_of_El_Salvador</t>
  </si>
  <si>
    <t>Island_Garden_City_of_Samal</t>
  </si>
  <si>
    <t>City_of_Mati</t>
  </si>
  <si>
    <t>Mawab</t>
  </si>
  <si>
    <t>Polomolok</t>
  </si>
  <si>
    <t>Kalamansig</t>
  </si>
  <si>
    <t>Malapatan</t>
  </si>
  <si>
    <t>Kitcharao</t>
  </si>
  <si>
    <t>Prosperidad</t>
  </si>
  <si>
    <t>Dapa</t>
  </si>
  <si>
    <t>Carrascal</t>
  </si>
  <si>
    <t>San_Jose</t>
  </si>
  <si>
    <t>Luuk</t>
  </si>
  <si>
    <t>City_of_Marikina</t>
  </si>
  <si>
    <t>Santa_Marcela</t>
  </si>
  <si>
    <t>Kabayan</t>
  </si>
  <si>
    <t>Kiangan</t>
  </si>
  <si>
    <t>Tanudan</t>
  </si>
  <si>
    <t>Sabangan</t>
  </si>
  <si>
    <t>Carasi</t>
  </si>
  <si>
    <t>Cervantes</t>
  </si>
  <si>
    <t>Bauang</t>
  </si>
  <si>
    <t>Bani</t>
  </si>
  <si>
    <t>Ballesteros</t>
  </si>
  <si>
    <t>Cabatuan</t>
  </si>
  <si>
    <t>Diadi</t>
  </si>
  <si>
    <t>Mariveles</t>
  </si>
  <si>
    <t>City_of_Baliwag</t>
  </si>
  <si>
    <t>City_of_Palayan</t>
  </si>
  <si>
    <t>Floridablanca</t>
  </si>
  <si>
    <t>Gerona</t>
  </si>
  <si>
    <t>Masinloc</t>
  </si>
  <si>
    <t>Maria_Aurora</t>
  </si>
  <si>
    <t>Calatagan</t>
  </si>
  <si>
    <t>City_of_General_Trias</t>
  </si>
  <si>
    <t>City_of_Calamba</t>
  </si>
  <si>
    <t>Jala-Jala</t>
  </si>
  <si>
    <t>Paluan</t>
  </si>
  <si>
    <t>Mansalay</t>
  </si>
  <si>
    <t>Busuanga</t>
  </si>
  <si>
    <t>Ferrol</t>
  </si>
  <si>
    <t>Guinobatan</t>
  </si>
  <si>
    <t>Paracale</t>
  </si>
  <si>
    <t>Cabusao</t>
  </si>
  <si>
    <t>Panganiban</t>
  </si>
  <si>
    <t>City_of_Masbate</t>
  </si>
  <si>
    <t>Donsol</t>
  </si>
  <si>
    <t>Kalibo</t>
  </si>
  <si>
    <t>Culasi</t>
  </si>
  <si>
    <t>Jamindan</t>
  </si>
  <si>
    <t>Barotac_Nuevo</t>
  </si>
  <si>
    <t>City_of_Bago</t>
  </si>
  <si>
    <t>City_of_Bayawan</t>
  </si>
  <si>
    <t>Badian</t>
  </si>
  <si>
    <t>General_Macarthur</t>
  </si>
  <si>
    <t>Burauen</t>
  </si>
  <si>
    <t>Gamay</t>
  </si>
  <si>
    <t>Gandara</t>
  </si>
  <si>
    <t>Liloan</t>
  </si>
  <si>
    <t>Maripipi</t>
  </si>
  <si>
    <t>Kalawit</t>
  </si>
  <si>
    <t>Dumalinao</t>
  </si>
  <si>
    <t>Mabuhay</t>
  </si>
  <si>
    <t>Don_Carlos</t>
  </si>
  <si>
    <t>Kolambugan</t>
  </si>
  <si>
    <t>City_of_Tangub</t>
  </si>
  <si>
    <t>City_of_Gingoog</t>
  </si>
  <si>
    <t>Kapalong</t>
  </si>
  <si>
    <t>Malalag</t>
  </si>
  <si>
    <t>Governor_Generoso</t>
  </si>
  <si>
    <t>Monkayo</t>
  </si>
  <si>
    <t>City_of_Kidapawan</t>
  </si>
  <si>
    <t>Santo_Niño</t>
  </si>
  <si>
    <t>Lambayong</t>
  </si>
  <si>
    <t>Malungon</t>
  </si>
  <si>
    <t>Las_Nieves</t>
  </si>
  <si>
    <t>Rosario</t>
  </si>
  <si>
    <t>Del_Carmen</t>
  </si>
  <si>
    <t>City_of_Bislig</t>
  </si>
  <si>
    <t>Tubajon</t>
  </si>
  <si>
    <t>Maimbung</t>
  </si>
  <si>
    <t>City_of_Muntinlupa</t>
  </si>
  <si>
    <t>Kapangan</t>
  </si>
  <si>
    <t>Lagawe</t>
  </si>
  <si>
    <t>Tinglayan</t>
  </si>
  <si>
    <t>Sadanga</t>
  </si>
  <si>
    <t>City_of_Batac</t>
  </si>
  <si>
    <t>City_of_Candon</t>
  </si>
  <si>
    <t>Burgos_La-Union</t>
  </si>
  <si>
    <t>Basista</t>
  </si>
  <si>
    <t>Buguey</t>
  </si>
  <si>
    <t>City_of_Cauayan</t>
  </si>
  <si>
    <t>Dupax_del_Norte</t>
  </si>
  <si>
    <t>Morong</t>
  </si>
  <si>
    <t>City_of_Malolos</t>
  </si>
  <si>
    <t>Cuyapo</t>
  </si>
  <si>
    <t>Guagua</t>
  </si>
  <si>
    <t>Palauig</t>
  </si>
  <si>
    <t>San_Luis</t>
  </si>
  <si>
    <t>City_of_Calaca</t>
  </si>
  <si>
    <t>City_of_Imus</t>
  </si>
  <si>
    <t>City_of_San_Pablo</t>
  </si>
  <si>
    <t>Catanauan</t>
  </si>
  <si>
    <t>Naujan</t>
  </si>
  <si>
    <t>Cagayancillo</t>
  </si>
  <si>
    <t>Looc_Romblon</t>
  </si>
  <si>
    <t>Jovellar</t>
  </si>
  <si>
    <t>San_Lorenzo_Ruiz</t>
  </si>
  <si>
    <t>Calabanga</t>
  </si>
  <si>
    <t>San_Andres</t>
  </si>
  <si>
    <t>Claveria</t>
  </si>
  <si>
    <t>Gubat</t>
  </si>
  <si>
    <t>Lezo</t>
  </si>
  <si>
    <t>Hamtic</t>
  </si>
  <si>
    <t>Ma-Ayon</t>
  </si>
  <si>
    <t>Barotac_Viejo</t>
  </si>
  <si>
    <t>City_of_Cadiz</t>
  </si>
  <si>
    <t>City_of_Canlaon</t>
  </si>
  <si>
    <t>Bien_Unido</t>
  </si>
  <si>
    <t>Balamban</t>
  </si>
  <si>
    <t>Giporlos</t>
  </si>
  <si>
    <t>Calubian</t>
  </si>
  <si>
    <t>Laoang</t>
  </si>
  <si>
    <t>Hinabangan</t>
  </si>
  <si>
    <t>Limasawa</t>
  </si>
  <si>
    <t>Naval</t>
  </si>
  <si>
    <t>Katipunan</t>
  </si>
  <si>
    <t>Dumingag</t>
  </si>
  <si>
    <t>Malangas</t>
  </si>
  <si>
    <t>Impasug-ong</t>
  </si>
  <si>
    <t>Lala</t>
  </si>
  <si>
    <t>Clarin</t>
  </si>
  <si>
    <t>New_Corella</t>
  </si>
  <si>
    <t>Matanao</t>
  </si>
  <si>
    <t>Lupon</t>
  </si>
  <si>
    <t>Montevista</t>
  </si>
  <si>
    <t>Kabacan</t>
  </si>
  <si>
    <t>Surallah</t>
  </si>
  <si>
    <t>Lebak</t>
  </si>
  <si>
    <t>Magallanes</t>
  </si>
  <si>
    <t>San_Francisco</t>
  </si>
  <si>
    <t>General_Luna</t>
  </si>
  <si>
    <t>City_of_Tandag</t>
  </si>
  <si>
    <t>Old Panamao</t>
  </si>
  <si>
    <t>City_of_Navotas</t>
  </si>
  <si>
    <t>Lacub</t>
  </si>
  <si>
    <t>Kibungan</t>
  </si>
  <si>
    <t>Lamut</t>
  </si>
  <si>
    <t>Sagada</t>
  </si>
  <si>
    <t>City_of_Laoag</t>
  </si>
  <si>
    <t>City_of_Vigan</t>
  </si>
  <si>
    <t>Caba</t>
  </si>
  <si>
    <t>Bautista</t>
  </si>
  <si>
    <t>Calayan</t>
  </si>
  <si>
    <t>City_of_Ilagan</t>
  </si>
  <si>
    <t>Dupax_del_Sur</t>
  </si>
  <si>
    <t>Orani</t>
  </si>
  <si>
    <t>City_of_Meycauayan</t>
  </si>
  <si>
    <t>Gabaldon</t>
  </si>
  <si>
    <t>Lubao</t>
  </si>
  <si>
    <t>Mayantoc</t>
  </si>
  <si>
    <t>San_Antonio</t>
  </si>
  <si>
    <t>City_of_Lipa</t>
  </si>
  <si>
    <t>City_of_Tagaytay</t>
  </si>
  <si>
    <t>City_of_San_Pedro</t>
  </si>
  <si>
    <t>City_of_Lucena</t>
  </si>
  <si>
    <t>Pililla</t>
  </si>
  <si>
    <t>Sablayan</t>
  </si>
  <si>
    <t>Pinamalayan</t>
  </si>
  <si>
    <t>City_of_Puerto_Princesa</t>
  </si>
  <si>
    <t>Magdiwang</t>
  </si>
  <si>
    <t>Libon</t>
  </si>
  <si>
    <t>San_Vicente</t>
  </si>
  <si>
    <t>Camaligan</t>
  </si>
  <si>
    <t>San_Miguel</t>
  </si>
  <si>
    <t>Dimasalang</t>
  </si>
  <si>
    <t>Irosin</t>
  </si>
  <si>
    <t>Libacao</t>
  </si>
  <si>
    <t>Laua-An</t>
  </si>
  <si>
    <t>Mambusao</t>
  </si>
  <si>
    <t>Batad</t>
  </si>
  <si>
    <t>City_of_Escalante</t>
  </si>
  <si>
    <t>City_of_Dumaguete</t>
  </si>
  <si>
    <t>Bilar</t>
  </si>
  <si>
    <t>Bantayan</t>
  </si>
  <si>
    <t>Guiuan</t>
  </si>
  <si>
    <t>Capoocan</t>
  </si>
  <si>
    <t>Lapinig</t>
  </si>
  <si>
    <t>Jiabong</t>
  </si>
  <si>
    <t>Macrohon</t>
  </si>
  <si>
    <t>La_Libertad</t>
  </si>
  <si>
    <t>Guipos</t>
  </si>
  <si>
    <t>Naga</t>
  </si>
  <si>
    <t>Kadingilan</t>
  </si>
  <si>
    <t>Linamon</t>
  </si>
  <si>
    <t>Gitagum</t>
  </si>
  <si>
    <t>San_Isidro_DDN</t>
  </si>
  <si>
    <t>Padada</t>
  </si>
  <si>
    <t>Manay</t>
  </si>
  <si>
    <t>Nabunturan</t>
  </si>
  <si>
    <t>Libungan</t>
  </si>
  <si>
    <t>Tampakan</t>
  </si>
  <si>
    <t>Lutayan</t>
  </si>
  <si>
    <t>Nasipit</t>
  </si>
  <si>
    <t>Gigaquit</t>
  </si>
  <si>
    <t>Cortes</t>
  </si>
  <si>
    <t>Omar</t>
  </si>
  <si>
    <t>City_of_Parañaque</t>
  </si>
  <si>
    <t>Lagangilang</t>
  </si>
  <si>
    <t>La_Trinidad</t>
  </si>
  <si>
    <t>Mayoyao</t>
  </si>
  <si>
    <t>Tadian</t>
  </si>
  <si>
    <t>Currimao</t>
  </si>
  <si>
    <t>Galimuyod</t>
  </si>
  <si>
    <t>Bayambang</t>
  </si>
  <si>
    <t>Camalaniugan</t>
  </si>
  <si>
    <t>City_of_Santiago</t>
  </si>
  <si>
    <t>Kasibu</t>
  </si>
  <si>
    <t>Orion</t>
  </si>
  <si>
    <t>City_of_San_Jose_Del_Monte</t>
  </si>
  <si>
    <t>General_Mamerto_Natividad</t>
  </si>
  <si>
    <t>Mabalacat_City</t>
  </si>
  <si>
    <t>Moncada</t>
  </si>
  <si>
    <t>San_Felipe</t>
  </si>
  <si>
    <t>City_of_Sto_Tomas</t>
  </si>
  <si>
    <t>City_of_Trece_Martires</t>
  </si>
  <si>
    <t>City_of_Santa_Rosa</t>
  </si>
  <si>
    <t>City_of_Tayabas</t>
  </si>
  <si>
    <t>Rodriguez</t>
  </si>
  <si>
    <t>Pola</t>
  </si>
  <si>
    <t>Coron</t>
  </si>
  <si>
    <t>Odiongan</t>
  </si>
  <si>
    <t>Malilipot</t>
  </si>
  <si>
    <t>Santa_Elena</t>
  </si>
  <si>
    <t>Canaman</t>
  </si>
  <si>
    <t>Viga</t>
  </si>
  <si>
    <t>Juban</t>
  </si>
  <si>
    <t>Madalag</t>
  </si>
  <si>
    <t>Libertad</t>
  </si>
  <si>
    <t>Panay</t>
  </si>
  <si>
    <t>Bingawan</t>
  </si>
  <si>
    <t>City_of_Himamaylan</t>
  </si>
  <si>
    <t>City_of_Guihulngan</t>
  </si>
  <si>
    <t>Barili</t>
  </si>
  <si>
    <t>Hernani</t>
  </si>
  <si>
    <t>Carigara</t>
  </si>
  <si>
    <t>Las_Navas</t>
  </si>
  <si>
    <t>Marabut</t>
  </si>
  <si>
    <t>Malitbog</t>
  </si>
  <si>
    <t>Labason</t>
  </si>
  <si>
    <t>Josefina</t>
  </si>
  <si>
    <t>Olutanga</t>
  </si>
  <si>
    <t>Kalilangan</t>
  </si>
  <si>
    <t>Don_Victoriano_Chiongbian</t>
  </si>
  <si>
    <t>Initao</t>
  </si>
  <si>
    <t>Santo_Tomas</t>
  </si>
  <si>
    <t>San_Isidro</t>
  </si>
  <si>
    <t>New_Bataan</t>
  </si>
  <si>
    <t>Magpet</t>
  </si>
  <si>
    <t>Tantangan</t>
  </si>
  <si>
    <t>Palimbang</t>
  </si>
  <si>
    <t>Remedios_T_Romualdez</t>
  </si>
  <si>
    <t>Santa_Josefa</t>
  </si>
  <si>
    <t>Mainit</t>
  </si>
  <si>
    <t>Hinatuan</t>
  </si>
  <si>
    <t>Pandami</t>
  </si>
  <si>
    <t>Pasay_City</t>
  </si>
  <si>
    <t>Lagayan</t>
  </si>
  <si>
    <t>Mankayan</t>
  </si>
  <si>
    <t>Tinoc</t>
  </si>
  <si>
    <t>Dingras</t>
  </si>
  <si>
    <t>Gregorio_del_Pilar</t>
  </si>
  <si>
    <t>Binalonan</t>
  </si>
  <si>
    <t>Cordon</t>
  </si>
  <si>
    <t>Kayapa</t>
  </si>
  <si>
    <t>Pilar</t>
  </si>
  <si>
    <t>Doña_Remedios_Trinidad</t>
  </si>
  <si>
    <t>General_Tinio</t>
  </si>
  <si>
    <t>Macabebe</t>
  </si>
  <si>
    <t>Paniqui</t>
  </si>
  <si>
    <t>San_Marcelino</t>
  </si>
  <si>
    <t>City_of_Tanauan</t>
  </si>
  <si>
    <t>Gen._Mariano_Alvarez</t>
  </si>
  <si>
    <t>Famy</t>
  </si>
  <si>
    <t>San_Mateo</t>
  </si>
  <si>
    <t>Puerto_Galera</t>
  </si>
  <si>
    <t>Culion</t>
  </si>
  <si>
    <t>Malinao</t>
  </si>
  <si>
    <t>Talisay</t>
  </si>
  <si>
    <t>Caramoan</t>
  </si>
  <si>
    <t>Virac</t>
  </si>
  <si>
    <t>Mandaon</t>
  </si>
  <si>
    <t>Makato</t>
  </si>
  <si>
    <t>Panitan</t>
  </si>
  <si>
    <t>City_of_Kabankalan</t>
  </si>
  <si>
    <t>City_of_Tanjay</t>
  </si>
  <si>
    <t>Calape</t>
  </si>
  <si>
    <t>Boljoon</t>
  </si>
  <si>
    <t>Jipapad</t>
  </si>
  <si>
    <t>City_of_Baybay</t>
  </si>
  <si>
    <t>Lavezares</t>
  </si>
  <si>
    <t>Matuguinao</t>
  </si>
  <si>
    <t>Padre_Burgos</t>
  </si>
  <si>
    <t>Leon_T_Postigo</t>
  </si>
  <si>
    <t>Kumalarang</t>
  </si>
  <si>
    <t>Payao</t>
  </si>
  <si>
    <t>Kibawe</t>
  </si>
  <si>
    <t>Maigo</t>
  </si>
  <si>
    <t>Jimenez</t>
  </si>
  <si>
    <t>Jasaan</t>
  </si>
  <si>
    <t>Talaingod</t>
  </si>
  <si>
    <t>Sulop</t>
  </si>
  <si>
    <t>Tarragona</t>
  </si>
  <si>
    <t>Pantukan</t>
  </si>
  <si>
    <t>Makilala</t>
  </si>
  <si>
    <t>T'Boli</t>
  </si>
  <si>
    <t>President_Quirino</t>
  </si>
  <si>
    <t>Santiago</t>
  </si>
  <si>
    <t>Sibagat</t>
  </si>
  <si>
    <t>Malimono</t>
  </si>
  <si>
    <t>Lanuza</t>
  </si>
  <si>
    <t>Panglima Estino (New Panamao)</t>
  </si>
  <si>
    <t>City_of_Pasig</t>
  </si>
  <si>
    <t>Langiden</t>
  </si>
  <si>
    <t>Sablan</t>
  </si>
  <si>
    <t>Dumalneg</t>
  </si>
  <si>
    <t>Lidlidda</t>
  </si>
  <si>
    <t>Naguilian</t>
  </si>
  <si>
    <t>Binmaley</t>
  </si>
  <si>
    <t>Enrile</t>
  </si>
  <si>
    <t>Delfin_Albano</t>
  </si>
  <si>
    <t>Samal</t>
  </si>
  <si>
    <t>Guiguinto</t>
  </si>
  <si>
    <t>Guimba</t>
  </si>
  <si>
    <t>Magalang</t>
  </si>
  <si>
    <t>Pura</t>
  </si>
  <si>
    <t>San_Narciso</t>
  </si>
  <si>
    <t>Cuenca</t>
  </si>
  <si>
    <t>General_Emilio_Aguinaldo</t>
  </si>
  <si>
    <t>Kalayaan</t>
  </si>
  <si>
    <t>Tanay</t>
  </si>
  <si>
    <t>Roxas</t>
  </si>
  <si>
    <t>Cuyo</t>
  </si>
  <si>
    <t>San_Agustin</t>
  </si>
  <si>
    <t>Manito</t>
  </si>
  <si>
    <t>Vinzons</t>
  </si>
  <si>
    <t>City_of_Iriga</t>
  </si>
  <si>
    <t>Milagros</t>
  </si>
  <si>
    <t>Matnog</t>
  </si>
  <si>
    <t>Malay</t>
  </si>
  <si>
    <t>Patnongon</t>
  </si>
  <si>
    <t>Calinog</t>
  </si>
  <si>
    <t>City_of_La_Carlota</t>
  </si>
  <si>
    <t>Dauin</t>
  </si>
  <si>
    <t>Candijay</t>
  </si>
  <si>
    <t>Borbon</t>
  </si>
  <si>
    <t>Lawaan</t>
  </si>
  <si>
    <t>City_of_Tacloban</t>
  </si>
  <si>
    <t>Lope_De_Vega</t>
  </si>
  <si>
    <t>Motiong</t>
  </si>
  <si>
    <t>Pintuyan</t>
  </si>
  <si>
    <t>Liloy</t>
  </si>
  <si>
    <t>Labangan</t>
  </si>
  <si>
    <t>Roseller_Lim</t>
  </si>
  <si>
    <t>Kitaotao</t>
  </si>
  <si>
    <t>Matungao</t>
  </si>
  <si>
    <t>Lopez_Jaena</t>
  </si>
  <si>
    <t>Kinoguitan</t>
  </si>
  <si>
    <t>Matalam</t>
  </si>
  <si>
    <t>Tupi</t>
  </si>
  <si>
    <t>Sen_Ninoy_Aquino</t>
  </si>
  <si>
    <t>Tubay</t>
  </si>
  <si>
    <t>Talacogon</t>
  </si>
  <si>
    <t>Lianga</t>
  </si>
  <si>
    <t>Pangutaran</t>
  </si>
  <si>
    <t>Quezon_City</t>
  </si>
  <si>
    <t>Licuan-Baay</t>
  </si>
  <si>
    <t>Tuba</t>
  </si>
  <si>
    <t>Marcos</t>
  </si>
  <si>
    <t>Magsingal</t>
  </si>
  <si>
    <t>Pugo</t>
  </si>
  <si>
    <t>Bolinao</t>
  </si>
  <si>
    <t>Gattaran</t>
  </si>
  <si>
    <t>Dinapigue</t>
  </si>
  <si>
    <t>Santa_Fe</t>
  </si>
  <si>
    <t>Jaen</t>
  </si>
  <si>
    <t>Masantol</t>
  </si>
  <si>
    <t>Ramos</t>
  </si>
  <si>
    <t>Ibaan</t>
  </si>
  <si>
    <t>Indang</t>
  </si>
  <si>
    <t>Liliw</t>
  </si>
  <si>
    <t>General_Nakar</t>
  </si>
  <si>
    <t>Taytay</t>
  </si>
  <si>
    <t>San _Teodoro</t>
  </si>
  <si>
    <t>Dumaran</t>
  </si>
  <si>
    <t>Oas</t>
  </si>
  <si>
    <t>City_of_Naga</t>
  </si>
  <si>
    <t>Mobo</t>
  </si>
  <si>
    <t>Pontevedra</t>
  </si>
  <si>
    <t>Carles</t>
  </si>
  <si>
    <t>City_of_San_Carlos</t>
  </si>
  <si>
    <t>Jimalalud</t>
  </si>
  <si>
    <t>Carmen_Cebu</t>
  </si>
  <si>
    <t>Llorente</t>
  </si>
  <si>
    <t>Dagami</t>
  </si>
  <si>
    <t>Mapanas</t>
  </si>
  <si>
    <t>Pagsanghan</t>
  </si>
  <si>
    <t>Saint_Bernard</t>
  </si>
  <si>
    <t>Manukan</t>
  </si>
  <si>
    <t>Lakewood</t>
  </si>
  <si>
    <t>Siay</t>
  </si>
  <si>
    <t>Lantapan</t>
  </si>
  <si>
    <t>Munai</t>
  </si>
  <si>
    <t>Panaon</t>
  </si>
  <si>
    <t>Lagonglong</t>
  </si>
  <si>
    <t>Midsayap</t>
  </si>
  <si>
    <t>Trento</t>
  </si>
  <si>
    <t>Placer</t>
  </si>
  <si>
    <t>Lingig</t>
  </si>
  <si>
    <t>Parang</t>
  </si>
  <si>
    <t>City_of_San_Juan</t>
  </si>
  <si>
    <t>Luba</t>
  </si>
  <si>
    <t>Tublay</t>
  </si>
  <si>
    <t>Nueva_Era</t>
  </si>
  <si>
    <t>Nagbukel</t>
  </si>
  <si>
    <t>Bugallon</t>
  </si>
  <si>
    <t>Gonzaga</t>
  </si>
  <si>
    <t>Divilacan</t>
  </si>
  <si>
    <t>Solano</t>
  </si>
  <si>
    <t>Marilao</t>
  </si>
  <si>
    <t>Laur</t>
  </si>
  <si>
    <t>Mexico</t>
  </si>
  <si>
    <t>San_Clemente</t>
  </si>
  <si>
    <t>Subic</t>
  </si>
  <si>
    <t>Laurel</t>
  </si>
  <si>
    <t>Kawit</t>
  </si>
  <si>
    <t>Los_Baños</t>
  </si>
  <si>
    <t>Guinayangan</t>
  </si>
  <si>
    <t>Teresa</t>
  </si>
  <si>
    <t>Socorro</t>
  </si>
  <si>
    <t>El_Nido</t>
  </si>
  <si>
    <t>San_Fernando</t>
  </si>
  <si>
    <t>Pio_Duran</t>
  </si>
  <si>
    <t>Del_Gallego</t>
  </si>
  <si>
    <t>Monreal</t>
  </si>
  <si>
    <t>Prieto_Diaz</t>
  </si>
  <si>
    <t>Nabas</t>
  </si>
  <si>
    <t>San_Remigio</t>
  </si>
  <si>
    <t>President_Roxas</t>
  </si>
  <si>
    <t>City_of_Iloilo</t>
  </si>
  <si>
    <t>City_of_Silay</t>
  </si>
  <si>
    <t>Catigbian</t>
  </si>
  <si>
    <t>Catmon</t>
  </si>
  <si>
    <t>Maslog</t>
  </si>
  <si>
    <t>Dulag</t>
  </si>
  <si>
    <t>Mondragon</t>
  </si>
  <si>
    <t>Paranas</t>
  </si>
  <si>
    <t>Mutia</t>
  </si>
  <si>
    <t>Lapuyan</t>
  </si>
  <si>
    <t>Talusan</t>
  </si>
  <si>
    <t>Libona</t>
  </si>
  <si>
    <t>Nunungan</t>
  </si>
  <si>
    <t>Plaridel</t>
  </si>
  <si>
    <t>Laguindingan</t>
  </si>
  <si>
    <t>M'Lang</t>
  </si>
  <si>
    <t>Veruela</t>
  </si>
  <si>
    <t>San_Benito</t>
  </si>
  <si>
    <t>Madrid</t>
  </si>
  <si>
    <t>Pata</t>
  </si>
  <si>
    <t>City_of_Taguig</t>
  </si>
  <si>
    <t>Malibcong</t>
  </si>
  <si>
    <t>Pagudpud</t>
  </si>
  <si>
    <t>Narvacan</t>
  </si>
  <si>
    <t>San_Gabriel</t>
  </si>
  <si>
    <t>Burgos_Pangasinan</t>
  </si>
  <si>
    <t>Iguig</t>
  </si>
  <si>
    <t>Echague</t>
  </si>
  <si>
    <t>Villaverde</t>
  </si>
  <si>
    <t>Norzagaray</t>
  </si>
  <si>
    <t>Licab</t>
  </si>
  <si>
    <t>Minalin</t>
  </si>
  <si>
    <t>Lemery</t>
  </si>
  <si>
    <t>Luisiana</t>
  </si>
  <si>
    <t>Gumaca</t>
  </si>
  <si>
    <t>Victoria</t>
  </si>
  <si>
    <t>Polangui</t>
  </si>
  <si>
    <t>Gainza</t>
  </si>
  <si>
    <t>Palanas</t>
  </si>
  <si>
    <t>Santa_Magdalena</t>
  </si>
  <si>
    <t>New_Washington</t>
  </si>
  <si>
    <t>Sebaste</t>
  </si>
  <si>
    <t>Sapi-An</t>
  </si>
  <si>
    <t>City_of_Passi</t>
  </si>
  <si>
    <t>City_of_Sipalay</t>
  </si>
  <si>
    <t>Mabinay</t>
  </si>
  <si>
    <t>City_of_Tagbilaran</t>
  </si>
  <si>
    <t>City_of_Bogo</t>
  </si>
  <si>
    <t>Maydolong</t>
  </si>
  <si>
    <t>Hilongos</t>
  </si>
  <si>
    <t>Palapag</t>
  </si>
  <si>
    <t>Pinabacdao</t>
  </si>
  <si>
    <t>Piñan</t>
  </si>
  <si>
    <t>Mahayag</t>
  </si>
  <si>
    <t>Titay</t>
  </si>
  <si>
    <t>Pantao_Ragat</t>
  </si>
  <si>
    <t>Sapang_Dalaga</t>
  </si>
  <si>
    <t>Pigkawayan</t>
  </si>
  <si>
    <t>Marihatag</t>
  </si>
  <si>
    <t>Patikul</t>
  </si>
  <si>
    <t>City_of_Valenzuela</t>
  </si>
  <si>
    <t>Manabo</t>
  </si>
  <si>
    <t>Paoay</t>
  </si>
  <si>
    <t>Calasiao</t>
  </si>
  <si>
    <t>Lal-Lo</t>
  </si>
  <si>
    <t>Gamu</t>
  </si>
  <si>
    <t>Obando</t>
  </si>
  <si>
    <t>Llanera</t>
  </si>
  <si>
    <t>Porac</t>
  </si>
  <si>
    <t>San_Manuel</t>
  </si>
  <si>
    <t>Lian</t>
  </si>
  <si>
    <t>Maragondon</t>
  </si>
  <si>
    <t>Lumban</t>
  </si>
  <si>
    <t>Infanta</t>
  </si>
  <si>
    <t>Linapacan</t>
  </si>
  <si>
    <t>Rapu-Rapu</t>
  </si>
  <si>
    <t>Garchitorena</t>
  </si>
  <si>
    <t>Pio_V_Corpus</t>
  </si>
  <si>
    <t>Numancia</t>
  </si>
  <si>
    <t>Sibalom</t>
  </si>
  <si>
    <t>Sigma</t>
  </si>
  <si>
    <t>City_of_Talisay</t>
  </si>
  <si>
    <t>Manjuyod</t>
  </si>
  <si>
    <t>City_of_Carcar</t>
  </si>
  <si>
    <t>Hindang</t>
  </si>
  <si>
    <t>Pambujan</t>
  </si>
  <si>
    <t>San_Jorge</t>
  </si>
  <si>
    <t>San_Ricardo</t>
  </si>
  <si>
    <t>Polanco</t>
  </si>
  <si>
    <t>Margosatubig</t>
  </si>
  <si>
    <t>Tungawan</t>
  </si>
  <si>
    <t>Manolo_Fortich</t>
  </si>
  <si>
    <t>Pantar</t>
  </si>
  <si>
    <t>Sinacaban</t>
  </si>
  <si>
    <t>Lugait</t>
  </si>
  <si>
    <t>Pikit</t>
  </si>
  <si>
    <t>Siasi</t>
  </si>
  <si>
    <t>Pateros</t>
  </si>
  <si>
    <t>Peñarrubia</t>
  </si>
  <si>
    <t>Pasuquin</t>
  </si>
  <si>
    <t>Salcedo</t>
  </si>
  <si>
    <t>City_of_Alaminos</t>
  </si>
  <si>
    <t>Lasam</t>
  </si>
  <si>
    <t>Jones</t>
  </si>
  <si>
    <t>Pandi</t>
  </si>
  <si>
    <t>Lupao</t>
  </si>
  <si>
    <t>Santa_Ignacia</t>
  </si>
  <si>
    <t>Lobo</t>
  </si>
  <si>
    <t>Mendez</t>
  </si>
  <si>
    <t>Mabitac</t>
  </si>
  <si>
    <t>Jomalig</t>
  </si>
  <si>
    <t>Santo_Domingo</t>
  </si>
  <si>
    <t>Goa</t>
  </si>
  <si>
    <t>Tangalan</t>
  </si>
  <si>
    <t>Tibiao</t>
  </si>
  <si>
    <t>Tapaz</t>
  </si>
  <si>
    <t>Dingle</t>
  </si>
  <si>
    <t>City_of_Victorias</t>
  </si>
  <si>
    <t>Pamplona</t>
  </si>
  <si>
    <t>Corella</t>
  </si>
  <si>
    <t>City_of_Cebu</t>
  </si>
  <si>
    <t>Oras</t>
  </si>
  <si>
    <t>Inopacan</t>
  </si>
  <si>
    <t>San_Jose_De_Buan</t>
  </si>
  <si>
    <t>Silago</t>
  </si>
  <si>
    <t>Pres_Manuel_A_Roxas</t>
  </si>
  <si>
    <t>Midsalip</t>
  </si>
  <si>
    <t>Maramag</t>
  </si>
  <si>
    <t>Poona_Piagapo</t>
  </si>
  <si>
    <t>Tudela</t>
  </si>
  <si>
    <t>Santa_Monica</t>
  </si>
  <si>
    <t>Talipao</t>
  </si>
  <si>
    <t>Pidigan</t>
  </si>
  <si>
    <t>Piddig</t>
  </si>
  <si>
    <t>San_Emilio</t>
  </si>
  <si>
    <t>Santol</t>
  </si>
  <si>
    <t>City_of_Dagupan</t>
  </si>
  <si>
    <t>Paombong</t>
  </si>
  <si>
    <t>Nampicuan</t>
  </si>
  <si>
    <t>San_Simon</t>
  </si>
  <si>
    <t>Naic</t>
  </si>
  <si>
    <t>Magdalena</t>
  </si>
  <si>
    <t>Lopez</t>
  </si>
  <si>
    <t>Narra</t>
  </si>
  <si>
    <t>Tiwi</t>
  </si>
  <si>
    <t>Lagonoy</t>
  </si>
  <si>
    <t>San_Fernando_Masbate</t>
  </si>
  <si>
    <t>Tobias_Fornier</t>
  </si>
  <si>
    <t>Dueñas</t>
  </si>
  <si>
    <t>Enrique_B_Magalona</t>
  </si>
  <si>
    <t>City_of_Lapu-Lapu</t>
  </si>
  <si>
    <t>Quinapondan</t>
  </si>
  <si>
    <t>Isabel</t>
  </si>
  <si>
    <t>San_Sebastian</t>
  </si>
  <si>
    <t>Sogod</t>
  </si>
  <si>
    <t>Molave</t>
  </si>
  <si>
    <t>Pangantucan</t>
  </si>
  <si>
    <t>Salvador</t>
  </si>
  <si>
    <t>Manticao</t>
  </si>
  <si>
    <t>Tulunan</t>
  </si>
  <si>
    <t>Sison</t>
  </si>
  <si>
    <t>Tagbina</t>
  </si>
  <si>
    <t>Tapul</t>
  </si>
  <si>
    <t>Pinili</t>
  </si>
  <si>
    <t>San_Esteban</t>
  </si>
  <si>
    <t>Sudipen</t>
  </si>
  <si>
    <t>Peñablanca</t>
  </si>
  <si>
    <t>Maconacon</t>
  </si>
  <si>
    <t>Pantabangan</t>
  </si>
  <si>
    <t>Santa_Ana</t>
  </si>
  <si>
    <t>Malvar</t>
  </si>
  <si>
    <t>Noveleta</t>
  </si>
  <si>
    <t>Majayjay</t>
  </si>
  <si>
    <t>Lucban</t>
  </si>
  <si>
    <t>Libmanan</t>
  </si>
  <si>
    <t>San_Jacinto</t>
  </si>
  <si>
    <t>Valderrama</t>
  </si>
  <si>
    <t>Dumangas</t>
  </si>
  <si>
    <t>Hinigaran</t>
  </si>
  <si>
    <t>Santa_Catalina</t>
  </si>
  <si>
    <t>Dagohoy</t>
  </si>
  <si>
    <t>City_of_Mandaue</t>
  </si>
  <si>
    <t>Jaro</t>
  </si>
  <si>
    <t>Santa_Margarita</t>
  </si>
  <si>
    <t>Tomas_Oppus</t>
  </si>
  <si>
    <t>Salug</t>
  </si>
  <si>
    <t>Pitogo</t>
  </si>
  <si>
    <t>Sapad</t>
  </si>
  <si>
    <t>Medina</t>
  </si>
  <si>
    <t>Tago</t>
  </si>
  <si>
    <t>Tungkil (Banguingui)</t>
  </si>
  <si>
    <t>Sallapadan</t>
  </si>
  <si>
    <t>San_Nicolas</t>
  </si>
  <si>
    <t>San_Ildefonso</t>
  </si>
  <si>
    <t>Tubao</t>
  </si>
  <si>
    <t>City_of_Urdaneta</t>
  </si>
  <si>
    <t>Piat</t>
  </si>
  <si>
    <t>Mallig</t>
  </si>
  <si>
    <t>Pulilan</t>
  </si>
  <si>
    <t>Peñaranda</t>
  </si>
  <si>
    <t>Santa_Rita</t>
  </si>
  <si>
    <t>Mataas_na_Kahoy</t>
  </si>
  <si>
    <t>Nagcarlan</t>
  </si>
  <si>
    <t>Macalelon</t>
  </si>
  <si>
    <t>Lupi</t>
  </si>
  <si>
    <t>San_Pascual</t>
  </si>
  <si>
    <t>Estancia</t>
  </si>
  <si>
    <t>Hinoba-an</t>
  </si>
  <si>
    <t>Siaton</t>
  </si>
  <si>
    <t>Danao</t>
  </si>
  <si>
    <t>San_Julian</t>
  </si>
  <si>
    <t>Javier</t>
  </si>
  <si>
    <t>Sergio_Osmeña_Sr.</t>
  </si>
  <si>
    <t>Ramon_Magsaysay</t>
  </si>
  <si>
    <t>Sultan_Naga_Dimaporo</t>
  </si>
  <si>
    <t>Naawan</t>
  </si>
  <si>
    <t>Tagana-An</t>
  </si>
  <si>
    <t>Sarrat</t>
  </si>
  <si>
    <t>Dasol</t>
  </si>
  <si>
    <t>Sasmuan</t>
  </si>
  <si>
    <t>Nasugbu</t>
  </si>
  <si>
    <t>Silang</t>
  </si>
  <si>
    <t>Paete</t>
  </si>
  <si>
    <t>Mauban</t>
  </si>
  <si>
    <t>Magarao</t>
  </si>
  <si>
    <t>Uson</t>
  </si>
  <si>
    <t>Guimbal</t>
  </si>
  <si>
    <t>Ilog</t>
  </si>
  <si>
    <t>Sibulan</t>
  </si>
  <si>
    <t>Dauis</t>
  </si>
  <si>
    <t>San_Policarpo</t>
  </si>
  <si>
    <t>Julita</t>
  </si>
  <si>
    <t>San_Roque</t>
  </si>
  <si>
    <t>Siayan</t>
  </si>
  <si>
    <t>Sumilao</t>
  </si>
  <si>
    <t>Tagoloan_LDN</t>
  </si>
  <si>
    <t>Opol</t>
  </si>
  <si>
    <t>Tubod</t>
  </si>
  <si>
    <t>Solsona</t>
  </si>
  <si>
    <t>Sanchez-Mira</t>
  </si>
  <si>
    <t>Palanan</t>
  </si>
  <si>
    <t>Sto._Tomas</t>
  </si>
  <si>
    <t>Padre_Garcia</t>
  </si>
  <si>
    <t>Tanza</t>
  </si>
  <si>
    <t>Pagsanjan</t>
  </si>
  <si>
    <t>Mulanay</t>
  </si>
  <si>
    <t>Milaor</t>
  </si>
  <si>
    <t>Igbaras</t>
  </si>
  <si>
    <t>Tayasan</t>
  </si>
  <si>
    <t>Dimiao</t>
  </si>
  <si>
    <t>City_of_Toledo</t>
  </si>
  <si>
    <t>Sulat</t>
  </si>
  <si>
    <t>Kananga</t>
  </si>
  <si>
    <t>Tagapul-An</t>
  </si>
  <si>
    <t>Sibuco</t>
  </si>
  <si>
    <t>San_Pablo</t>
  </si>
  <si>
    <t>Talakag</t>
  </si>
  <si>
    <t>Tangcal</t>
  </si>
  <si>
    <t>Salay</t>
  </si>
  <si>
    <t>San_Quintin</t>
  </si>
  <si>
    <t>Vintar</t>
  </si>
  <si>
    <t>Santa</t>
  </si>
  <si>
    <t>Labrador</t>
  </si>
  <si>
    <t>San_Rafael</t>
  </si>
  <si>
    <t>Ternate</t>
  </si>
  <si>
    <t>Pakil</t>
  </si>
  <si>
    <t>Sofronio_Española</t>
  </si>
  <si>
    <t>Minalabac</t>
  </si>
  <si>
    <t>Janiuay</t>
  </si>
  <si>
    <t>La_Castellana</t>
  </si>
  <si>
    <t>Valencia</t>
  </si>
  <si>
    <t>Duero</t>
  </si>
  <si>
    <t>Taft</t>
  </si>
  <si>
    <t>Silvino_Lobos</t>
  </si>
  <si>
    <t>Talalora</t>
  </si>
  <si>
    <t>Sibutad</t>
  </si>
  <si>
    <t>Sominot</t>
  </si>
  <si>
    <t>Sugbongcogon</t>
  </si>
  <si>
    <t>Tayum</t>
  </si>
  <si>
    <t>Laoac</t>
  </si>
  <si>
    <t>Santa_Praxedes</t>
  </si>
  <si>
    <t>Pangil</t>
  </si>
  <si>
    <t>Pagbilao</t>
  </si>
  <si>
    <t>Nabua</t>
  </si>
  <si>
    <t>Lambunao</t>
  </si>
  <si>
    <t>Manapla</t>
  </si>
  <si>
    <t>Vallehermoso</t>
  </si>
  <si>
    <t>Garcia_Hernandez</t>
  </si>
  <si>
    <t>Consolacion</t>
  </si>
  <si>
    <t>Tarangnan</t>
  </si>
  <si>
    <t>Sindangan</t>
  </si>
  <si>
    <t>Tabina</t>
  </si>
  <si>
    <t>Tagoloan</t>
  </si>
  <si>
    <t>Tineg</t>
  </si>
  <si>
    <t>Lingayen</t>
  </si>
  <si>
    <t>Santa_Teresita</t>
  </si>
  <si>
    <t>Ramon</t>
  </si>
  <si>
    <t>San_Jose_City</t>
  </si>
  <si>
    <t>Pila</t>
  </si>
  <si>
    <t>Panukulan</t>
  </si>
  <si>
    <t>Ocampo</t>
  </si>
  <si>
    <t>Leganes</t>
  </si>
  <si>
    <t>Moises_Padilla</t>
  </si>
  <si>
    <t>Zamboanguita</t>
  </si>
  <si>
    <t>Getafe</t>
  </si>
  <si>
    <t>Cordova</t>
  </si>
  <si>
    <t>Macarthur</t>
  </si>
  <si>
    <t>Villareal</t>
  </si>
  <si>
    <t>Siocon</t>
  </si>
  <si>
    <t>Tambulig</t>
  </si>
  <si>
    <t>Talisayan</t>
  </si>
  <si>
    <t>Tubo</t>
  </si>
  <si>
    <t>Santa_Lucia</t>
  </si>
  <si>
    <t>Reina_Mercedes</t>
  </si>
  <si>
    <t>San_Leonardo</t>
  </si>
  <si>
    <t>Patnanungan</t>
  </si>
  <si>
    <t>Murcia</t>
  </si>
  <si>
    <t>Guindulman</t>
  </si>
  <si>
    <t>Daanbantayan</t>
  </si>
  <si>
    <t>Mahaplag</t>
  </si>
  <si>
    <t>Zumarraga</t>
  </si>
  <si>
    <t>Sirawai</t>
  </si>
  <si>
    <t>Tigbao</t>
  </si>
  <si>
    <t>Villanueva</t>
  </si>
  <si>
    <t>Villaviciosa</t>
  </si>
  <si>
    <t>Malasiqui</t>
  </si>
  <si>
    <t>Solana</t>
  </si>
  <si>
    <t>Santa_Rosa</t>
  </si>
  <si>
    <t>Perez</t>
  </si>
  <si>
    <t>Pasacao</t>
  </si>
  <si>
    <t>Leon</t>
  </si>
  <si>
    <t>Inabanga</t>
  </si>
  <si>
    <t>Dalaguete</t>
  </si>
  <si>
    <t>Matag-Ob</t>
  </si>
  <si>
    <t>Tampilisan</t>
  </si>
  <si>
    <t>Tukuran</t>
  </si>
  <si>
    <t>Manaoag</t>
  </si>
  <si>
    <t>Tuao</t>
  </si>
  <si>
    <t>Pili</t>
  </si>
  <si>
    <t>Maasin</t>
  </si>
  <si>
    <t>Pulupandan</t>
  </si>
  <si>
    <t>Jagna</t>
  </si>
  <si>
    <t>Danao_City</t>
  </si>
  <si>
    <t>Matalom</t>
  </si>
  <si>
    <t>Vincenzo_A_Sagun</t>
  </si>
  <si>
    <t>Mangaldan</t>
  </si>
  <si>
    <t>Tuguegarao_City</t>
  </si>
  <si>
    <t>San_Guillermo</t>
  </si>
  <si>
    <t>Science_City_of_Muñoz</t>
  </si>
  <si>
    <t>Siniloan</t>
  </si>
  <si>
    <t>Presentacion</t>
  </si>
  <si>
    <t>Miagao</t>
  </si>
  <si>
    <t>Salvador_Benedicto</t>
  </si>
  <si>
    <t>Lila</t>
  </si>
  <si>
    <t>Dumanjug</t>
  </si>
  <si>
    <t>Mayorga</t>
  </si>
  <si>
    <t>Sigay</t>
  </si>
  <si>
    <t>Mangatarem</t>
  </si>
  <si>
    <t>Talavera</t>
  </si>
  <si>
    <t>Taal</t>
  </si>
  <si>
    <t>Polillo</t>
  </si>
  <si>
    <t>Ragay</t>
  </si>
  <si>
    <t>Mina</t>
  </si>
  <si>
    <t>San_Enrique_NegOcc</t>
  </si>
  <si>
    <t>Loay</t>
  </si>
  <si>
    <t>Ginatilan</t>
  </si>
  <si>
    <t>Merida</t>
  </si>
  <si>
    <t>Sinait</t>
  </si>
  <si>
    <t>Mapandan</t>
  </si>
  <si>
    <t>Talugtug</t>
  </si>
  <si>
    <t>Sagñay</t>
  </si>
  <si>
    <t>New_Lucena</t>
  </si>
  <si>
    <t>Toboso</t>
  </si>
  <si>
    <t>Loboc</t>
  </si>
  <si>
    <t>Ormoc_City</t>
  </si>
  <si>
    <t>Sugpon</t>
  </si>
  <si>
    <t>Natividad</t>
  </si>
  <si>
    <t>San_Mariano</t>
  </si>
  <si>
    <t>Zaragoza</t>
  </si>
  <si>
    <t>Taysan</t>
  </si>
  <si>
    <t>Real</t>
  </si>
  <si>
    <t>Oton</t>
  </si>
  <si>
    <t>Valladolid</t>
  </si>
  <si>
    <t>Loon</t>
  </si>
  <si>
    <t>Madridejos</t>
  </si>
  <si>
    <t>Palo</t>
  </si>
  <si>
    <t>Suyo</t>
  </si>
  <si>
    <t>Pozorrubio</t>
  </si>
  <si>
    <t>Tingloy</t>
  </si>
  <si>
    <t>Sampaloc</t>
  </si>
  <si>
    <t>Pavia</t>
  </si>
  <si>
    <t>Malabuyoc</t>
  </si>
  <si>
    <t>Palompon</t>
  </si>
  <si>
    <t>Tagudin</t>
  </si>
  <si>
    <t>Rosales</t>
  </si>
  <si>
    <t>Tuy</t>
  </si>
  <si>
    <t>Sipocot</t>
  </si>
  <si>
    <t>Pototan</t>
  </si>
  <si>
    <t>Maribojoc</t>
  </si>
  <si>
    <t>Medellin</t>
  </si>
  <si>
    <t>Pastrana</t>
  </si>
  <si>
    <t>San_Fabian</t>
  </si>
  <si>
    <t>Siruma</t>
  </si>
  <si>
    <t>San_Dionisio</t>
  </si>
  <si>
    <t>Panglao</t>
  </si>
  <si>
    <t>Minglanilla</t>
  </si>
  <si>
    <t>San_Isidro_Leyte</t>
  </si>
  <si>
    <t>Tigaon</t>
  </si>
  <si>
    <t>San_Enrique</t>
  </si>
  <si>
    <t>Pilar_Cebu</t>
  </si>
  <si>
    <t>Moalboal</t>
  </si>
  <si>
    <t>Tumauini</t>
  </si>
  <si>
    <t>Tinambac</t>
  </si>
  <si>
    <t>San_Joaquin</t>
  </si>
  <si>
    <t>President_Carlos_P_Garcia</t>
  </si>
  <si>
    <t>Oslob</t>
  </si>
  <si>
    <t>Sariaya</t>
  </si>
  <si>
    <t>Sagbayan</t>
  </si>
  <si>
    <t>Tabango</t>
  </si>
  <si>
    <t>Tagkawayan</t>
  </si>
  <si>
    <t>Pinamungajan</t>
  </si>
  <si>
    <t>Tabontabon</t>
  </si>
  <si>
    <t>Santa_Barbara</t>
  </si>
  <si>
    <t>Tiaong</t>
  </si>
  <si>
    <t>Poro</t>
  </si>
  <si>
    <t>Tanauan</t>
  </si>
  <si>
    <t>Unisan</t>
  </si>
  <si>
    <t>Sara</t>
  </si>
  <si>
    <t>Sevilla</t>
  </si>
  <si>
    <t>Ronda</t>
  </si>
  <si>
    <t>Tolosa</t>
  </si>
  <si>
    <t>Tigbauan</t>
  </si>
  <si>
    <t>Sierra_Bullones</t>
  </si>
  <si>
    <t>Samboan</t>
  </si>
  <si>
    <t>Tunga</t>
  </si>
  <si>
    <t>Tubungan</t>
  </si>
  <si>
    <t>Sikatuna</t>
  </si>
  <si>
    <t>Villaba</t>
  </si>
  <si>
    <t>Sual</t>
  </si>
  <si>
    <t>Zarraga</t>
  </si>
  <si>
    <t>Talibon</t>
  </si>
  <si>
    <t>Tayug</t>
  </si>
  <si>
    <t>Trinidad</t>
  </si>
  <si>
    <t>Umingan</t>
  </si>
  <si>
    <t>Tubigon</t>
  </si>
  <si>
    <t>Urbiztondo</t>
  </si>
  <si>
    <t>Ubay</t>
  </si>
  <si>
    <t>Santander</t>
  </si>
  <si>
    <t>Villasis</t>
  </si>
  <si>
    <t>Valencia_Bohol</t>
  </si>
  <si>
    <t>Sibonga</t>
  </si>
  <si>
    <t>Tabogon</t>
  </si>
  <si>
    <t>Tabuelan</t>
  </si>
  <si>
    <t>Tuburan</t>
  </si>
  <si>
    <t>Republic of the Philippines</t>
  </si>
  <si>
    <t>DEPARTMENT OF HUMAN SETTLEMENTS AND URBAN DEVELOPMENT</t>
  </si>
  <si>
    <r>
      <rPr>
        <b/>
        <sz val="12"/>
        <color rgb="FF000000"/>
        <rFont val="Arial"/>
      </rPr>
      <t xml:space="preserve">DHSUD REGIONAL OFFICE </t>
    </r>
    <r>
      <rPr>
        <b/>
        <u/>
        <sz val="12"/>
        <color rgb="FFFF0000"/>
        <rFont val="Arial"/>
      </rPr>
      <t xml:space="preserve"> NEGROS ISALAND REGION</t>
    </r>
  </si>
  <si>
    <t>ENVIRONMENTAL, LAND USE AND URBAN PLANNING AND DEVELOPMENT DIVISION</t>
  </si>
  <si>
    <r>
      <rPr>
        <b/>
        <sz val="12"/>
        <color rgb="FFFF0000"/>
        <rFont val="Arial"/>
      </rPr>
      <t xml:space="preserve">2026 ACCOMPLISHMENT REPORT </t>
    </r>
    <r>
      <rPr>
        <b/>
        <i/>
        <sz val="12"/>
        <color rgb="FFFF0000"/>
        <rFont val="Arial"/>
      </rPr>
      <t>(As of FEBRUARY)</t>
    </r>
  </si>
  <si>
    <t>INDICATORS</t>
  </si>
  <si>
    <t>TOTAL TARGETS (YEAR)</t>
  </si>
  <si>
    <t>MONTHLY ACCOMPLISHMENT</t>
  </si>
  <si>
    <t>1Q</t>
  </si>
  <si>
    <t>2Q</t>
  </si>
  <si>
    <t>3Q</t>
  </si>
  <si>
    <t>4Q</t>
  </si>
  <si>
    <t>TOTAL ACCOMP. (YEAR)</t>
  </si>
  <si>
    <t>REMARKS</t>
  </si>
  <si>
    <t>LINK TO ANNEX</t>
  </si>
  <si>
    <t>January</t>
  </si>
  <si>
    <t>February</t>
  </si>
  <si>
    <t>March</t>
  </si>
  <si>
    <t>April</t>
  </si>
  <si>
    <t>May</t>
  </si>
  <si>
    <t>June</t>
  </si>
  <si>
    <t>July</t>
  </si>
  <si>
    <t>August</t>
  </si>
  <si>
    <t>September</t>
  </si>
  <si>
    <t>October</t>
  </si>
  <si>
    <t>November</t>
  </si>
  <si>
    <t>December</t>
  </si>
  <si>
    <t>OUTCOME INDICATORS</t>
  </si>
  <si>
    <t>Formulation of sustainable and resilient human settlements plans</t>
  </si>
  <si>
    <t> </t>
  </si>
  <si>
    <t>1.1. Number of LGUs with approved CLUPs within the year</t>
  </si>
  <si>
    <t>Annex 1.1. Outcome_CLUP</t>
  </si>
  <si>
    <t xml:space="preserve">     1.1.1 Number of LGUs with CLUPs within the year with integrated or separately prepared CLUP Communications Plan</t>
  </si>
  <si>
    <t xml:space="preserve"> </t>
  </si>
  <si>
    <t>Annex 1.1.1 Outcome_CommPlan'!A1</t>
  </si>
  <si>
    <t xml:space="preserve">     1.1.2 Number of LGUs with approved Comprehensive Land Use Plans (CLUPs) within the year with integrated enhanced housing sub-sector (LSP)</t>
  </si>
  <si>
    <t>Annex 1.1.2 Outcome_Housing'!A1</t>
  </si>
  <si>
    <t>1.2. Number of provinces with approved PDPFPs/PPFPs within the year</t>
  </si>
  <si>
    <t>Annex 1.2. Outcome_PDPFP'!A1</t>
  </si>
  <si>
    <t>Implementation of inclusive, safe, resilient, and sustainable urban development programs</t>
  </si>
  <si>
    <t>2.1. Number of LGUs and stakeholders with approved proposals and/or budgeted programs/projects for inclusive, safe, resilient, and sustainable urban development, demonstrating adherence to DHSUD policies, standards, and guidelines</t>
  </si>
  <si>
    <t>Annex 2.1. Outcome_UrbanDev'!A1</t>
  </si>
  <si>
    <t>OUTPUT INDICATORS</t>
  </si>
  <si>
    <t>Technical Assistance</t>
  </si>
  <si>
    <t>Technical assistance on the preparation of CLUPs and ZOs</t>
  </si>
  <si>
    <r>
      <t xml:space="preserve">1.1. No. of LGUs assisted on the preparation of CLUPs and ZOs </t>
    </r>
    <r>
      <rPr>
        <b/>
        <sz val="10"/>
        <color rgb="FFFF0000"/>
        <rFont val="Arial"/>
        <family val="2"/>
      </rPr>
      <t>(single counting)</t>
    </r>
  </si>
  <si>
    <t>Annex 4.1 TA_CLUP'!A1</t>
  </si>
  <si>
    <t>1.2. No. of assistance provided:</t>
  </si>
  <si>
    <t>1.2.1. No. of planned assistance</t>
  </si>
  <si>
    <t>1.2.2. No. of requested (by demand) assistance</t>
  </si>
  <si>
    <t>Technical assistance on the preparation of PDPFPs/PPFPs</t>
  </si>
  <si>
    <r>
      <t xml:space="preserve">2.1. No. of LGUs assisted on the preparation of PDPFPs/PPFPs </t>
    </r>
    <r>
      <rPr>
        <b/>
        <sz val="10"/>
        <color rgb="FFFF0000"/>
        <rFont val="Arial"/>
        <family val="2"/>
      </rPr>
      <t>(single counting)</t>
    </r>
  </si>
  <si>
    <t>Annex 4.2 TA_PDPFP'!A1</t>
  </si>
  <si>
    <t>2.2. No. of assistance provided:</t>
  </si>
  <si>
    <t>2.2.1. No. of planned assistance</t>
  </si>
  <si>
    <t>2.2.2. No. of requested (by demand) assistance</t>
  </si>
  <si>
    <t>Technical assistance on the preparation of enhanced housing sub-sector (LSP)</t>
  </si>
  <si>
    <r>
      <t xml:space="preserve">3.1. No. of LGUs assisted on preparation of enhanced housing sub-sector in preparation for integration to CLUP </t>
    </r>
    <r>
      <rPr>
        <b/>
        <sz val="10"/>
        <color rgb="FFFF0000"/>
        <rFont val="Arial"/>
        <family val="2"/>
      </rPr>
      <t>(single counting)</t>
    </r>
  </si>
  <si>
    <t>Annex 4.3 TA_HouSub'!A1</t>
  </si>
  <si>
    <t>3.2. No. of assistance provided:</t>
  </si>
  <si>
    <t>3.2.1. No. of planned assistance</t>
  </si>
  <si>
    <t>3.2.2. No. of requested (by demand) assistance</t>
  </si>
  <si>
    <t>Technical assistance on the review and approval process of CLUPs/ZOs</t>
  </si>
  <si>
    <r>
      <t xml:space="preserve">4.1. Number of LGUs assisted/facilitated for review and approval of CLUPs/ZOs </t>
    </r>
    <r>
      <rPr>
        <b/>
        <sz val="10"/>
        <color rgb="FFFF0000"/>
        <rFont val="Arial"/>
        <family val="2"/>
      </rPr>
      <t>(single counting)</t>
    </r>
  </si>
  <si>
    <t>Annex 4.4 TA_RA'!A1</t>
  </si>
  <si>
    <t>4.2. No. of assistance provided:</t>
  </si>
  <si>
    <t>4.2.1. No. of planned assistance</t>
  </si>
  <si>
    <t>4.2.2. No. of requested (by demand) assistance</t>
  </si>
  <si>
    <t>Technical assistance on the implementation of CLUPs/ZOs</t>
  </si>
  <si>
    <t>5.1. No. of LGUs assisted on the implementation of CLUPs/ZOs</t>
  </si>
  <si>
    <t>Annex 4.5 TA_Imp'!A1</t>
  </si>
  <si>
    <t>5.2. No. of assistance provided:</t>
  </si>
  <si>
    <t>5.2.1. No. of planned assistance</t>
  </si>
  <si>
    <t>5.2.2. No. of requested (by demand) assistance</t>
  </si>
  <si>
    <t>Technical assistance on the formulation of urban development plans, frameworks, strategies, and projects</t>
  </si>
  <si>
    <t>6.1. No. of LGUs and stakeholders assisted in the formulation of urban development plans/frameworks/strategies/projects (single counting)</t>
  </si>
  <si>
    <t>Annex 4.6 TA_UD'!A1</t>
  </si>
  <si>
    <r>
      <t xml:space="preserve">6.1.1. No. of LGUs assisted </t>
    </r>
    <r>
      <rPr>
        <b/>
        <sz val="10"/>
        <color rgb="FFFF0000"/>
        <rFont val="Arial"/>
        <family val="2"/>
      </rPr>
      <t>(single counting)</t>
    </r>
    <r>
      <rPr>
        <sz val="10"/>
        <color theme="1"/>
        <rFont val="Arial"/>
        <family val="2"/>
      </rPr>
      <t>:</t>
    </r>
  </si>
  <si>
    <t>6.2.  No. of assistance provided:</t>
  </si>
  <si>
    <t>6.2.1. No. of planned assistance</t>
  </si>
  <si>
    <t>6.2.2. No. of requested (by demand) assistance</t>
  </si>
  <si>
    <t xml:space="preserve">Technical assistance on other topics related to environmental, land use and urban planning and development (e.g. EO34, LUDIP, post-disaster activities, etc.) </t>
  </si>
  <si>
    <r>
      <t xml:space="preserve">7.1. No. of LGUs/NGAs/NGOs/Academe assisted </t>
    </r>
    <r>
      <rPr>
        <b/>
        <sz val="10"/>
        <color rgb="FFFF0000"/>
        <rFont val="Arial"/>
        <family val="2"/>
      </rPr>
      <t>(single counting)</t>
    </r>
  </si>
  <si>
    <t>Annex 4.7 TA_Others'!A1</t>
  </si>
  <si>
    <t>7.2.  No. of assistance provided:</t>
  </si>
  <si>
    <t>7.2.1. No. of planned assistance</t>
  </si>
  <si>
    <t>7.2.2. No. of requested (by demand) assistance</t>
  </si>
  <si>
    <t>Training and Capability Programs</t>
  </si>
  <si>
    <t>Training on the preparation of CLUP and ZO</t>
  </si>
  <si>
    <t>(orientation, ecosystem analysis, sectoral studies, special area studies, CLUP 12-steps)</t>
  </si>
  <si>
    <r>
      <t>7.1. No. of LGUs trained on the preparation of CLUPs and ZOs</t>
    </r>
    <r>
      <rPr>
        <b/>
        <sz val="10"/>
        <color rgb="FFFF0000"/>
        <rFont val="Arial"/>
        <family val="2"/>
      </rPr>
      <t xml:space="preserve"> (single counting)</t>
    </r>
  </si>
  <si>
    <t>Annex 5.1 TR_CLUP-ZO'!A1</t>
  </si>
  <si>
    <t>7.2. No. of trainings on preparation of CLUPs and ZOs conducted</t>
  </si>
  <si>
    <t>Training on GIS</t>
  </si>
  <si>
    <r>
      <t xml:space="preserve">9.1. No. of LGUs trained on GIS </t>
    </r>
    <r>
      <rPr>
        <b/>
        <sz val="10"/>
        <color rgb="FFFF0000"/>
        <rFont val="Arial"/>
        <family val="2"/>
      </rPr>
      <t>(single counting)</t>
    </r>
  </si>
  <si>
    <t>Annex 5.2 TR_GIS'!A1</t>
  </si>
  <si>
    <t>9.2. No. of trainings on GIS conducted</t>
  </si>
  <si>
    <t>Training on CDRA</t>
  </si>
  <si>
    <r>
      <t>10.1. No. of LGUs trained on CDRA</t>
    </r>
    <r>
      <rPr>
        <b/>
        <sz val="10"/>
        <color rgb="FFFF0000"/>
        <rFont val="Arial"/>
        <family val="2"/>
      </rPr>
      <t xml:space="preserve"> (single counting)</t>
    </r>
  </si>
  <si>
    <t>Annex 5.3 TR_CDRA'!A1</t>
  </si>
  <si>
    <t>10.2. No. of trainings on CDRA conducted</t>
  </si>
  <si>
    <t>Training on CLUP Implementation, Zoning Enforcement and Monitoring</t>
  </si>
  <si>
    <r>
      <t>11.1. No. of LGUs trained on CLUP Implementation, Zoning Enforcement and Monitoring (</t>
    </r>
    <r>
      <rPr>
        <b/>
        <sz val="10"/>
        <color rgb="FFFF0000"/>
        <rFont val="Arial"/>
        <family val="2"/>
      </rPr>
      <t>single counting)</t>
    </r>
  </si>
  <si>
    <t>Annex 5.4 TR_Imp'!A1</t>
  </si>
  <si>
    <t>11.2. No. of trainings on CLUP Implementation, Zoning Enforcement and Monitoring conducted</t>
  </si>
  <si>
    <t>Training on CLUP Housing Sub-sector preparation</t>
  </si>
  <si>
    <r>
      <t xml:space="preserve">11.1. No. of LGUs trained on CLUP Housing Sub-Sector (LSP) in preparation for integration to CLUP </t>
    </r>
    <r>
      <rPr>
        <b/>
        <sz val="10"/>
        <color rgb="FFFF0000"/>
        <rFont val="Arial"/>
        <family val="2"/>
      </rPr>
      <t>(single counting)</t>
    </r>
  </si>
  <si>
    <t>Annex 5.5 TR_HouSub'!A1</t>
  </si>
  <si>
    <t>11.2. No. of trainings on CLUP housing sub-sector preparation conducted</t>
  </si>
  <si>
    <t>Training on the formulation of urban development plans, frameworks, strategies, and projects</t>
  </si>
  <si>
    <r>
      <t xml:space="preserve">13.1. No. of LGUs and other stakeholders trained in the formulation of urban development plans/frameworks/strategies/projects </t>
    </r>
    <r>
      <rPr>
        <b/>
        <sz val="10"/>
        <color rgb="FFFF0000"/>
        <rFont val="Arial"/>
        <family val="2"/>
      </rPr>
      <t>(single counting)</t>
    </r>
  </si>
  <si>
    <t>Annex 5.6 TR_UD'!A1</t>
  </si>
  <si>
    <r>
      <t xml:space="preserve">13.1.1. No. of LGUs trained </t>
    </r>
    <r>
      <rPr>
        <b/>
        <sz val="10"/>
        <color rgb="FFFF0000"/>
        <rFont val="Arial"/>
        <family val="2"/>
      </rPr>
      <t>(single counting)</t>
    </r>
    <r>
      <rPr>
        <sz val="10"/>
        <color theme="1"/>
        <rFont val="Arial"/>
        <family val="2"/>
      </rPr>
      <t>:</t>
    </r>
  </si>
  <si>
    <t>13.2. No. of trainings on the formulation of urban development plans/frameworks/strategies/projects conducted</t>
  </si>
  <si>
    <t>Other trainings (e.g. P/RLUC Review and Approval, PDPFP/PPFP Preparation, LUDIP, etc.)</t>
  </si>
  <si>
    <r>
      <t>14.1. No. of LGUs/NGAs/NGOs/Academe trained</t>
    </r>
    <r>
      <rPr>
        <b/>
        <sz val="10"/>
        <color rgb="FFFF0000"/>
        <rFont val="Arial"/>
        <family val="2"/>
      </rPr>
      <t xml:space="preserve"> (single counting)</t>
    </r>
  </si>
  <si>
    <t>Annex 5.7 TR_Others'!A1</t>
  </si>
  <si>
    <t>14.2. No. of  other trainings conducted</t>
  </si>
  <si>
    <t>Prototyping of Urban Development Programs</t>
  </si>
  <si>
    <t>Urban Development Programs proposal</t>
  </si>
  <si>
    <t>15.1. No. of LGU and stakeholder plans for urban development, strategies, and prototypes formulated/reviewed/facilitated (through MOU/MOA)</t>
  </si>
  <si>
    <t>Annex 6.3 UD_FormReview'!A1</t>
  </si>
  <si>
    <t>15.1.1. Number of LGU and stakeholder plans facilitated (MOU/MOA)</t>
  </si>
  <si>
    <t>15.1.2. Number of LGU and stakeholder plans reviewed/assessed</t>
  </si>
  <si>
    <t>15.1.3. Number of LGU and stakeholder plans formulated</t>
  </si>
  <si>
    <t>Review of CLUP &amp; ZO/PPFP</t>
  </si>
  <si>
    <t>Completeness checking</t>
  </si>
  <si>
    <t>Annex 7.1 Review_CChk'!A1</t>
  </si>
  <si>
    <t>16.1. No. of CLUPs checked in compliance to the documentary requirements per land-use planning standards and guidelines</t>
  </si>
  <si>
    <t>16.2. No. of PDPFPs checked in compliance to the documentary requirements per land-use planning standards and guidelines</t>
  </si>
  <si>
    <t>Review of CLUP and ZO</t>
  </si>
  <si>
    <r>
      <rPr>
        <sz val="10"/>
        <color rgb="FF000000"/>
        <rFont val="Arial"/>
        <family val="2"/>
      </rPr>
      <t xml:space="preserve">17.1. No. of CLUPs reviewed as compliant to land use planning standards and guidelines </t>
    </r>
    <r>
      <rPr>
        <b/>
        <sz val="10"/>
        <color rgb="FFFF0000"/>
        <rFont val="Arial"/>
        <family val="2"/>
      </rPr>
      <t>(single counting)</t>
    </r>
  </si>
  <si>
    <t>Annex 7.2 Review_CLUP-PDPFP'!A1</t>
  </si>
  <si>
    <r>
      <rPr>
        <sz val="10"/>
        <color rgb="FF000000"/>
        <rFont val="Arial"/>
        <family val="2"/>
      </rPr>
      <t xml:space="preserve">17.2. No. of review reports prepared for the review of CLUP/ZO </t>
    </r>
    <r>
      <rPr>
        <b/>
        <sz val="10"/>
        <color rgb="FFFF0000"/>
        <rFont val="Arial"/>
        <family val="2"/>
      </rPr>
      <t>(double counting)</t>
    </r>
  </si>
  <si>
    <t>Annex 7.3 Review_Reports'!A1</t>
  </si>
  <si>
    <r>
      <rPr>
        <sz val="10"/>
        <color rgb="FF000000"/>
        <rFont val="Arial"/>
        <family val="2"/>
      </rPr>
      <t>17.3. No. of CLUP/ZO review meetings or sessions attended as a member of the reviewing body</t>
    </r>
    <r>
      <rPr>
        <b/>
        <sz val="10"/>
        <color rgb="FFFF0000"/>
        <rFont val="Arial"/>
        <family val="2"/>
      </rPr>
      <t xml:space="preserve"> (double counting)</t>
    </r>
  </si>
  <si>
    <t>VARIABLE</t>
  </si>
  <si>
    <t>Annex 7.4 Review_Sessions'!A1</t>
  </si>
  <si>
    <t>Review of PDPFPs/PPFPs</t>
  </si>
  <si>
    <r>
      <rPr>
        <sz val="10"/>
        <color rgb="FF000000"/>
        <rFont val="Arial"/>
        <family val="2"/>
      </rPr>
      <t xml:space="preserve">18.1. No. of PDPFPs/PPFPs reviewed as compliant to land use planning standards and guidelines </t>
    </r>
    <r>
      <rPr>
        <b/>
        <sz val="10"/>
        <color rgb="FFFF0000"/>
        <rFont val="Arial"/>
        <family val="2"/>
      </rPr>
      <t>(single counting)</t>
    </r>
  </si>
  <si>
    <r>
      <rPr>
        <sz val="10"/>
        <color rgb="FF000000"/>
        <rFont val="Arial"/>
        <family val="2"/>
      </rPr>
      <t xml:space="preserve">18.2. No.of review reports prepared for the review of PDPFP </t>
    </r>
    <r>
      <rPr>
        <b/>
        <sz val="10"/>
        <color rgb="FFFF0000"/>
        <rFont val="Arial"/>
        <family val="2"/>
      </rPr>
      <t>(double counting)</t>
    </r>
  </si>
  <si>
    <r>
      <rPr>
        <sz val="10"/>
        <color rgb="FF000000"/>
        <rFont val="Arial"/>
        <family val="2"/>
      </rPr>
      <t xml:space="preserve">18.3. Number of PDPFP review meetings or sessions attended as a member of the reviewing body </t>
    </r>
    <r>
      <rPr>
        <b/>
        <sz val="10"/>
        <color rgb="FFFF0000"/>
        <rFont val="Arial"/>
        <family val="2"/>
      </rPr>
      <t>(double counting)</t>
    </r>
  </si>
  <si>
    <t>Monitoring Activities</t>
  </si>
  <si>
    <t>CLUP &amp; ZO/PDPFP/PPFP/LSP Preparation Status Monitoring</t>
  </si>
  <si>
    <t>19.1. No. of LGUs monitored</t>
  </si>
  <si>
    <t>Annex 8 Plan Monitoring'!A1</t>
  </si>
  <si>
    <t>19.1.1. No. of table monitoring conducted</t>
  </si>
  <si>
    <t>19.1.2. No. of field monitoring conducted</t>
  </si>
  <si>
    <t>19.2. No. of plan preparation status changes detected</t>
  </si>
  <si>
    <t>Database and Information System Maintenance and Development</t>
  </si>
  <si>
    <t>Annex 9.1. Inventory'!A1</t>
  </si>
  <si>
    <t>20.1. Percentage of inventory of government lands submitted by LGUs collected and consolidated</t>
  </si>
  <si>
    <t>20.2.Percentage of sites assessed for suitability for housing, human settlements, and urban development</t>
  </si>
  <si>
    <t>20.3.No. of assessed sites recommended/endorsed to the ELUPDB for acquisition and development for housing, human settlements, and urban development</t>
  </si>
  <si>
    <r>
      <t>20.4.No. of database/s on CLUP/PDPFP and otherELUPD-related database developed/maintained</t>
    </r>
    <r>
      <rPr>
        <sz val="10"/>
        <color rgb="FFFF0000"/>
        <rFont val="Arial"/>
        <family val="2"/>
      </rPr>
      <t xml:space="preserve"> </t>
    </r>
    <r>
      <rPr>
        <i/>
        <sz val="10"/>
        <color rgb="FFFF0000"/>
        <rFont val="Arial"/>
        <family val="2"/>
      </rPr>
      <t>(add link to database/repository at the remarks column)</t>
    </r>
  </si>
  <si>
    <t>Budget Utilization (PLANADO Program)</t>
  </si>
  <si>
    <t>Annex 9.2. Budget'!A1</t>
  </si>
  <si>
    <t>21.1 Percentage of PLANADO sub-allocated budget utilized for the implementation of ELUPDD Activities</t>
  </si>
  <si>
    <t>Maintain linkages with NGAs, LGUs, NGOs, Leagues, private entities and other entities in environmental,  land use and urban planning and development</t>
  </si>
  <si>
    <t>Membership to task force, inter-agency committee and TWG</t>
  </si>
  <si>
    <t>22.1. No. of memberships to task force, inter-agency committee and TWG</t>
  </si>
  <si>
    <t>Attendance in inter-agency, CSO, and NGO meetings</t>
  </si>
  <si>
    <t>Annex 10.1 Link - Membership'!A1</t>
  </si>
  <si>
    <t>23.1. No. of meetings attended</t>
  </si>
  <si>
    <t>Annex 10.2 Meetings-Papers'!A1</t>
  </si>
  <si>
    <t>23.2. No. of position paper comments, inputs and submitted to task force, inter-agency committee and TWG</t>
  </si>
  <si>
    <t>Partnerships Established for Land Use, Human Settlements, and Urban Development (Planners' Network)</t>
  </si>
  <si>
    <t>24.1. No. of partnernships established</t>
  </si>
  <si>
    <t>Annex 10.3 Link - Partnerships'!A1</t>
  </si>
  <si>
    <t>Certifications</t>
  </si>
  <si>
    <t>Zoning Certification, Locational Clearance, CLUP &amp; ZO Approval/Status Certification and other certifications</t>
  </si>
  <si>
    <t>25.1. No. of certifications issued</t>
  </si>
  <si>
    <t>Annex 11 Certifications'!A1</t>
  </si>
  <si>
    <t>25.2. Percentage of application of certifications/clearances processed within the prescribed period</t>
  </si>
  <si>
    <t>Assigned/Intervening Functions</t>
  </si>
  <si>
    <t>Functions assigned by the Secretary/Intervening functions</t>
  </si>
  <si>
    <t>Annex 12 Other Assignments'!A1</t>
  </si>
  <si>
    <t>26.1. CLUP post-disaster assessment</t>
  </si>
  <si>
    <t>26.1.1. No. of CLUP Post-Disaster Assessment Reports generated within 90 days after the occurrence of disaster</t>
  </si>
  <si>
    <t>26.2. AutoCAM Project</t>
  </si>
  <si>
    <t>26.2.1. Percentage of database / reports as requested by ELUPDB prepared within the prescribed period</t>
  </si>
  <si>
    <t>26.2.2. No. of baseline study / documentation reports prepared for pilot city</t>
  </si>
  <si>
    <t>Add target accomplishments/outputs (to reflect in the annexes)</t>
  </si>
  <si>
    <t>variable</t>
  </si>
  <si>
    <t>*Indicate target numbers (#) or percentages (%) in colored cells</t>
  </si>
  <si>
    <t>Color Code:</t>
  </si>
  <si>
    <t>Optional fields depending on regional office priorities or as recommended by the Bureau</t>
  </si>
  <si>
    <t>Required / mandatory fields</t>
  </si>
  <si>
    <t>To fill-out manually</t>
  </si>
  <si>
    <t xml:space="preserve">OUTCOME INDICATORS </t>
  </si>
  <si>
    <t>Back to Summary of Accomplishments 2025</t>
  </si>
  <si>
    <r>
      <rPr>
        <b/>
        <sz val="11"/>
        <color rgb="FF000000"/>
        <rFont val="Arial"/>
        <family val="2"/>
      </rPr>
      <t>Description:</t>
    </r>
    <r>
      <rPr>
        <sz val="11"/>
        <color rgb="FF000000"/>
        <rFont val="Arial"/>
        <family val="2"/>
      </rPr>
      <t xml:space="preserve"> Number of LGUs with Comprehensive Land Use Plans (CLUPs) officially approved by the Sangguniang Panlalawigan (SP) or DHSUD.
</t>
    </r>
    <r>
      <rPr>
        <i/>
        <sz val="11"/>
        <color rgb="FF000000"/>
        <rFont val="Arial"/>
        <family val="2"/>
      </rPr>
      <t>Note: Only CLUPs approved</t>
    </r>
    <r>
      <rPr>
        <i/>
        <sz val="11"/>
        <color theme="8" tint="-0.249977111117893"/>
        <rFont val="Arial"/>
        <family val="2"/>
      </rPr>
      <t xml:space="preserve"> </t>
    </r>
    <r>
      <rPr>
        <b/>
        <i/>
        <sz val="11"/>
        <color theme="8" tint="-0.249977111117893"/>
        <rFont val="Arial"/>
        <family val="2"/>
      </rPr>
      <t>within the year</t>
    </r>
    <r>
      <rPr>
        <b/>
        <i/>
        <sz val="11"/>
        <color rgb="FF000000"/>
        <rFont val="Arial"/>
        <family val="2"/>
      </rPr>
      <t>-</t>
    </r>
    <r>
      <rPr>
        <i/>
        <sz val="11"/>
        <color rgb="FF000000"/>
        <rFont val="Arial"/>
        <family val="2"/>
      </rPr>
      <t xml:space="preserve">-through an SP Resolution or DHSUD Department Circular, or any other documented proof of approval as specified in the Means of Verification (MOV)--will be counted for this indicator.
</t>
    </r>
    <r>
      <rPr>
        <sz val="11"/>
        <color rgb="FF000000"/>
        <rFont val="Arial"/>
        <family val="2"/>
      </rPr>
      <t xml:space="preserve">
For CLUPs that were considered as deemed approved, resolution approving the plan will be the SB resolution endorsing/approving their CLUP and ZO. Indicate whether it is deemed approved in the remarks. Deemed approved plans should have proper documentation and justification on its status.</t>
    </r>
  </si>
  <si>
    <r>
      <t xml:space="preserve">MOVs: 
</t>
    </r>
    <r>
      <rPr>
        <sz val="11"/>
        <color rgb="FF000000"/>
        <rFont val="Arial"/>
        <family val="2"/>
      </rPr>
      <t>HUCs and ICCs - Department Circular as issued by the DHSUD
CCMs - SP Resolution approving the plan or any documents (i.e., letter informing about the approval of plan from the SP, minutes of the meeting) indicating that the plan is already approved and indicating the planning period and approval date of plan</t>
    </r>
  </si>
  <si>
    <r>
      <t xml:space="preserve">Measure: </t>
    </r>
    <r>
      <rPr>
        <sz val="11"/>
        <color theme="1"/>
        <rFont val="Arial"/>
        <family val="2"/>
      </rPr>
      <t>Total number of LGUs with approved CLUPs within the year</t>
    </r>
  </si>
  <si>
    <t xml:space="preserve">Total No. of Approved CLUPs: </t>
  </si>
  <si>
    <t>Region</t>
  </si>
  <si>
    <t>Province</t>
  </si>
  <si>
    <t>City/Municipality</t>
  </si>
  <si>
    <t>Planning Period 
(Start Year)</t>
  </si>
  <si>
    <t>Planning Period 
(End Year)</t>
  </si>
  <si>
    <t>Resolution Approving the Plan</t>
  </si>
  <si>
    <t>Date of Approval
(MM/DD/YYYY)</t>
  </si>
  <si>
    <t>Reporting Month</t>
  </si>
  <si>
    <t>Remarks</t>
  </si>
  <si>
    <t>1.1.1 Number of LGUs with Comprehensive Land Use Plans (CLUPs) officially approved by the Sangguniang Panlalawigan (SP) or DHSUD, with an integrated or separately prepared CLUP Communications Plan</t>
  </si>
  <si>
    <r>
      <rPr>
        <b/>
        <sz val="11"/>
        <color rgb="FF000000"/>
        <rFont val="Arial"/>
        <family val="2"/>
      </rPr>
      <t>Description:</t>
    </r>
    <r>
      <rPr>
        <sz val="11"/>
        <color rgb="FF000000"/>
        <rFont val="Arial"/>
        <family val="2"/>
      </rPr>
      <t xml:space="preserve"> Number of LGUs with Comprehensive Land Use Plans (CLUPs) officially approved by the Sangguniang Panlalawigan (SP) or DHSUD, with an integrated or separately prepared CLUP Communications Plan</t>
    </r>
  </si>
  <si>
    <r>
      <t xml:space="preserve">MOVs: </t>
    </r>
    <r>
      <rPr>
        <sz val="11"/>
        <color theme="1"/>
        <rFont val="Arial"/>
        <family val="2"/>
      </rPr>
      <t>Resolution/issuance approving the plan, together with the additional section to or integrated into the approved CLUP or a separate document dedicated to the CLUP Communications Plan, ensuring the inclusion of all necessary elements, information, and content as prescribed in DHSUD D.O. No. 2022-004</t>
    </r>
  </si>
  <si>
    <r>
      <t xml:space="preserve">Measure: </t>
    </r>
    <r>
      <rPr>
        <sz val="11"/>
        <color theme="1"/>
        <rFont val="Arial"/>
        <family val="2"/>
      </rPr>
      <t>Total number of LGUs with approved CLUPs within the year that include an integrated, additional section, or a separate document for the CLUP Communications Plan</t>
    </r>
  </si>
  <si>
    <t xml:space="preserve">Total No. of LGUs with Communications Plan: </t>
  </si>
  <si>
    <t>1.1.2 Number of LGUs with approved Comprehensive Land Use Plans (CLUPs) within the year with integrated enhanced housing sub-sector (LSP)</t>
  </si>
  <si>
    <r>
      <rPr>
        <b/>
        <sz val="11"/>
        <color rgb="FF000000"/>
        <rFont val="Arial"/>
        <family val="2"/>
      </rPr>
      <t>Description:</t>
    </r>
    <r>
      <rPr>
        <sz val="11"/>
        <color rgb="FF000000"/>
        <rFont val="Arial"/>
        <family val="2"/>
      </rPr>
      <t xml:space="preserve"> Number of LGUs with enhanced housing sub-sector (LSP) integrated in their approved CLUPs within the year</t>
    </r>
  </si>
  <si>
    <r>
      <t xml:space="preserve">MOVs: </t>
    </r>
    <r>
      <rPr>
        <sz val="11"/>
        <color theme="1"/>
        <rFont val="Arial"/>
        <family val="2"/>
      </rPr>
      <t>Resolution or issuance approving the plan, with an enhanced housing sub-sector section with complete content based on the prescribed revised outline in Section 4 of DHSUD D.O. No. 2022-005, along with other required data and elements as stipulated in DHSUD D.C. No. 2024-011</t>
    </r>
  </si>
  <si>
    <r>
      <t xml:space="preserve">Measure: </t>
    </r>
    <r>
      <rPr>
        <sz val="11"/>
        <color theme="1"/>
        <rFont val="Arial"/>
        <family val="2"/>
      </rPr>
      <t>Total number of LGUs with approved CLUPs within the year with enhanced housing sub-sector or integrated LSP</t>
    </r>
  </si>
  <si>
    <t>Total No. of LGUs with Enhanced Housing Sub-sector:</t>
  </si>
  <si>
    <t>1.2. Number of provinces with approved PDPFPs within the year</t>
  </si>
  <si>
    <r>
      <rPr>
        <b/>
        <sz val="11"/>
        <color rgb="FF000000"/>
        <rFont val="Arial"/>
        <family val="2"/>
      </rPr>
      <t>Description:</t>
    </r>
    <r>
      <rPr>
        <sz val="11"/>
        <color rgb="FF000000"/>
        <rFont val="Arial"/>
        <family val="2"/>
      </rPr>
      <t xml:space="preserve"> Number of provinces with Provincial Development and Physical Framework Plan (PDPFPs) officially approved by the DHSUD. 
Note: Only PDPFPs approved </t>
    </r>
    <r>
      <rPr>
        <b/>
        <sz val="11"/>
        <color theme="8" tint="-0.249977111117893"/>
        <rFont val="Arial"/>
        <family val="2"/>
      </rPr>
      <t>within the year</t>
    </r>
    <r>
      <rPr>
        <b/>
        <sz val="11"/>
        <color rgb="FF000000"/>
        <rFont val="Arial"/>
        <family val="2"/>
      </rPr>
      <t xml:space="preserve"> </t>
    </r>
    <r>
      <rPr>
        <sz val="11"/>
        <color rgb="FF000000"/>
        <rFont val="Arial"/>
        <family val="2"/>
      </rPr>
      <t>through the DHSUD Department Circular</t>
    </r>
  </si>
  <si>
    <r>
      <t xml:space="preserve">MOVs: </t>
    </r>
    <r>
      <rPr>
        <sz val="11"/>
        <color theme="1"/>
        <rFont val="Arial"/>
        <family val="2"/>
      </rPr>
      <t>DHSUD Department Circular approving the PDPFP</t>
    </r>
  </si>
  <si>
    <r>
      <t xml:space="preserve">Measure: </t>
    </r>
    <r>
      <rPr>
        <sz val="11"/>
        <color theme="1"/>
        <rFont val="Arial"/>
        <family val="2"/>
      </rPr>
      <t>Total number of provinces with approved PDPFPs within the year</t>
    </r>
  </si>
  <si>
    <t xml:space="preserve">Total No. of Approved PDPFPs: </t>
  </si>
  <si>
    <t>2.1 Number of LGUs and stakeholders with approved proposals and/or budgeted programs/projects for inclusive, safe, resilient, and sustainable urban development, demonstrating adherence to DHSUD policies, standards, and guidelines</t>
  </si>
  <si>
    <r>
      <rPr>
        <b/>
        <sz val="11"/>
        <color rgb="FF000000"/>
        <rFont val="Arial"/>
        <family val="2"/>
      </rPr>
      <t xml:space="preserve">Description: </t>
    </r>
    <r>
      <rPr>
        <sz val="11"/>
        <color rgb="FF000000"/>
        <rFont val="Arial"/>
        <family val="2"/>
      </rPr>
      <t>Number of LGUs and stakeholders with approved proposals and/or budgeted programs/projects for inclusive, safe, resilient, and sustainable urban development. This may also include EO 34 sites that has already been programmed for acquisition and/or development and those that were approved under the</t>
    </r>
    <r>
      <rPr>
        <i/>
        <sz val="11"/>
        <color rgb="FF000000"/>
        <rFont val="Arial"/>
        <family val="2"/>
      </rPr>
      <t xml:space="preserve"> Green, Green, Green </t>
    </r>
    <r>
      <rPr>
        <sz val="11"/>
        <color rgb="FF000000"/>
        <rFont val="Arial"/>
        <family val="2"/>
      </rPr>
      <t>program of DBM.</t>
    </r>
  </si>
  <si>
    <r>
      <t xml:space="preserve">MOVs: 
</t>
    </r>
    <r>
      <rPr>
        <sz val="11"/>
        <color theme="1"/>
        <rFont val="Arial"/>
        <family val="2"/>
      </rPr>
      <t xml:space="preserve">- Issuance, resolutions, or any official documents approving the urban development program or proposals, accompanied by the corresponding proposal document.
- PIP/ LDIP /AIP/annual budget of LGU indicating the budgeted urban development-related programs/projects as priority programs/project
- project progress/status reports/inspection report
- For EO 34 sites: MOA with LGU, groundbreaking, joint venture agreements, endorsement for presidential proclamation, documents submitted for transfer of ownership.
</t>
    </r>
    <r>
      <rPr>
        <sz val="11"/>
        <color rgb="FFFF0000"/>
        <rFont val="Arial"/>
        <family val="2"/>
      </rPr>
      <t>- Status of 4PH projects</t>
    </r>
    <r>
      <rPr>
        <b/>
        <sz val="11"/>
        <color theme="1"/>
        <rFont val="Arial"/>
        <family val="2"/>
      </rPr>
      <t xml:space="preserve"> </t>
    </r>
    <r>
      <rPr>
        <sz val="11"/>
        <color theme="1"/>
        <rFont val="Arial"/>
        <family val="2"/>
      </rPr>
      <t>involvement of ELUPDD: suitability of sites only</t>
    </r>
    <r>
      <rPr>
        <b/>
        <sz val="11"/>
        <color theme="1"/>
        <rFont val="Arial"/>
        <family val="2"/>
      </rPr>
      <t xml:space="preserve">; </t>
    </r>
    <r>
      <rPr>
        <sz val="11"/>
        <color theme="1"/>
        <rFont val="Arial"/>
        <family val="2"/>
      </rPr>
      <t>sites are already pre-determined (not included)</t>
    </r>
    <r>
      <rPr>
        <b/>
        <sz val="11"/>
        <color theme="1"/>
        <rFont val="Arial"/>
        <family val="2"/>
      </rPr>
      <t xml:space="preserve">
- </t>
    </r>
    <r>
      <rPr>
        <sz val="11"/>
        <color theme="1"/>
        <rFont val="Arial"/>
        <family val="2"/>
      </rPr>
      <t>Universe: LGUs assisted in the formulation of urban development projects/plans</t>
    </r>
  </si>
  <si>
    <r>
      <t xml:space="preserve">Measure: </t>
    </r>
    <r>
      <rPr>
        <sz val="11"/>
        <color theme="1"/>
        <rFont val="Arial"/>
        <family val="2"/>
      </rPr>
      <t>Total number of LGUs with urban development programs or projects officially approved and allocated a budget within the year for implementation</t>
    </r>
  </si>
  <si>
    <r>
      <rPr>
        <b/>
        <sz val="11"/>
        <color theme="1"/>
        <rFont val="Arial"/>
        <family val="2"/>
      </rPr>
      <t xml:space="preserve">Note: </t>
    </r>
    <r>
      <rPr>
        <sz val="11"/>
        <color theme="1"/>
        <rFont val="Arial"/>
        <family val="2"/>
      </rPr>
      <t xml:space="preserve">Kindly </t>
    </r>
    <r>
      <rPr>
        <b/>
        <sz val="11"/>
        <color rgb="FFC00000"/>
        <rFont val="Arial"/>
        <family val="2"/>
      </rPr>
      <t>merge the cells under</t>
    </r>
    <r>
      <rPr>
        <b/>
        <u/>
        <sz val="11"/>
        <color rgb="FFC00000"/>
        <rFont val="Arial"/>
        <family val="2"/>
      </rPr>
      <t xml:space="preserve"> "Program/Project Title", "Proponents, "Program Term","Approving Issuance", "Date of Approval", "Funding Agency" </t>
    </r>
    <r>
      <rPr>
        <sz val="11"/>
        <color theme="1"/>
        <rFont val="Arial"/>
        <family val="2"/>
      </rPr>
      <t xml:space="preserve">for </t>
    </r>
    <r>
      <rPr>
        <b/>
        <sz val="11"/>
        <color theme="1"/>
        <rFont val="Arial"/>
        <family val="2"/>
      </rPr>
      <t>LGUs under one (1) project/program.</t>
    </r>
  </si>
  <si>
    <t>Total No. of LGUs and Stakeholders with Urban Development Programs/Projects:</t>
  </si>
  <si>
    <r>
      <t xml:space="preserve">LGU /Stakeholder
</t>
    </r>
    <r>
      <rPr>
        <b/>
        <i/>
        <sz val="10"/>
        <color theme="1"/>
        <rFont val="Arial"/>
        <family val="2"/>
      </rPr>
      <t>(Format for LGU: Province_LGU-Name / Province of [LGU])</t>
    </r>
  </si>
  <si>
    <t>Program/Project Title</t>
  </si>
  <si>
    <t>Proponents</t>
  </si>
  <si>
    <t>Program Term (Timeline)</t>
  </si>
  <si>
    <t>Approving Issuance</t>
  </si>
  <si>
    <t>Funding Agency</t>
  </si>
  <si>
    <r>
      <t xml:space="preserve">LGU Occurrence
</t>
    </r>
    <r>
      <rPr>
        <b/>
        <i/>
        <sz val="11"/>
        <color rgb="FFFF0000"/>
        <rFont val="Arial"/>
        <family val="2"/>
      </rPr>
      <t>(do not edit)</t>
    </r>
  </si>
  <si>
    <t>CLUP Status</t>
  </si>
  <si>
    <t xml:space="preserve">Instructions:   </t>
  </si>
  <si>
    <t xml:space="preserve">  Do not edit the formula in this column</t>
  </si>
  <si>
    <t>Note: Please highlight LGUs with status changes for the month.</t>
  </si>
  <si>
    <t xml:space="preserve">  Editable Column</t>
  </si>
  <si>
    <t>Planning Period of the Latest Approved Plan</t>
  </si>
  <si>
    <r>
      <rPr>
        <b/>
        <sz val="11"/>
        <color rgb="FF000000"/>
        <rFont val="Arial"/>
        <family val="2"/>
      </rPr>
      <t xml:space="preserve">Preparation/Updating Status
</t>
    </r>
    <r>
      <rPr>
        <i/>
        <sz val="10"/>
        <color rgb="FF000000"/>
        <rFont val="Arial"/>
        <family val="2"/>
      </rPr>
      <t>please put 1</t>
    </r>
  </si>
  <si>
    <r>
      <t xml:space="preserve">Review and Approval Status
</t>
    </r>
    <r>
      <rPr>
        <i/>
        <sz val="10"/>
        <color theme="1"/>
        <rFont val="Arial"/>
        <family val="2"/>
      </rPr>
      <t>please put 1</t>
    </r>
  </si>
  <si>
    <t>PSGC</t>
  </si>
  <si>
    <t>Hierarchy of Settlements</t>
  </si>
  <si>
    <t>City/Municipality Class</t>
  </si>
  <si>
    <t>Income Classification</t>
  </si>
  <si>
    <t>Start Year</t>
  </si>
  <si>
    <t>End Year</t>
  </si>
  <si>
    <t>Resolution Number of the Latest Plan</t>
  </si>
  <si>
    <t>Day</t>
  </si>
  <si>
    <t>Month</t>
  </si>
  <si>
    <t>Year</t>
  </si>
  <si>
    <t xml:space="preserve"> Approval date of the Latest plan
MM/DD/YYYY)</t>
  </si>
  <si>
    <r>
      <rPr>
        <b/>
        <sz val="12"/>
        <color rgb="FF000000"/>
        <rFont val="Arial"/>
        <family val="2"/>
      </rPr>
      <t xml:space="preserve">
CLUP Status</t>
    </r>
    <r>
      <rPr>
        <b/>
        <sz val="11"/>
        <color rgb="FF000000"/>
        <rFont val="Arial"/>
        <family val="2"/>
      </rPr>
      <t xml:space="preserve"> 
</t>
    </r>
    <r>
      <rPr>
        <b/>
        <sz val="8"/>
        <color rgb="FF000000"/>
        <rFont val="Arial"/>
        <family val="2"/>
      </rPr>
      <t>(do not edit the formula)</t>
    </r>
  </si>
  <si>
    <t>Pre-phase</t>
  </si>
  <si>
    <t>Phase 1</t>
  </si>
  <si>
    <t>Phase 2</t>
  </si>
  <si>
    <t>Phase 3</t>
  </si>
  <si>
    <t>Phase 4</t>
  </si>
  <si>
    <t>Phase 5</t>
  </si>
  <si>
    <t xml:space="preserve">Preparation Status
</t>
  </si>
  <si>
    <t>RA 1</t>
  </si>
  <si>
    <t>RA 2</t>
  </si>
  <si>
    <t>RA 3</t>
  </si>
  <si>
    <t>RA 4</t>
  </si>
  <si>
    <t>RA 5</t>
  </si>
  <si>
    <t>RA 6</t>
  </si>
  <si>
    <t>RA 7</t>
  </si>
  <si>
    <t>Review and Approval Status</t>
  </si>
  <si>
    <r>
      <rPr>
        <b/>
        <sz val="11"/>
        <color theme="1"/>
        <rFont val="Arial"/>
        <family val="2"/>
      </rPr>
      <t>Technical Assistance Provided</t>
    </r>
    <r>
      <rPr>
        <b/>
        <sz val="10"/>
        <color theme="1"/>
        <rFont val="Arial"/>
        <family val="2"/>
      </rPr>
      <t xml:space="preserve">
</t>
    </r>
    <r>
      <rPr>
        <i/>
        <sz val="8"/>
        <color theme="1"/>
        <rFont val="Arial"/>
        <family val="2"/>
      </rPr>
      <t>please</t>
    </r>
    <r>
      <rPr>
        <b/>
        <sz val="8"/>
        <color theme="1"/>
        <rFont val="Arial"/>
        <family val="2"/>
      </rPr>
      <t xml:space="preserve"> </t>
    </r>
    <r>
      <rPr>
        <i/>
        <sz val="8"/>
        <color theme="1"/>
        <rFont val="Arial"/>
        <family val="2"/>
      </rPr>
      <t>select from drop-down list</t>
    </r>
  </si>
  <si>
    <r>
      <t>Support from Other Institutions</t>
    </r>
    <r>
      <rPr>
        <b/>
        <sz val="9"/>
        <color theme="1"/>
        <rFont val="Arial"/>
        <family val="2"/>
      </rPr>
      <t xml:space="preserve">
</t>
    </r>
    <r>
      <rPr>
        <i/>
        <sz val="8"/>
        <color theme="1"/>
        <rFont val="Arial"/>
        <family val="2"/>
      </rPr>
      <t>please</t>
    </r>
    <r>
      <rPr>
        <b/>
        <sz val="8"/>
        <color theme="1"/>
        <rFont val="Arial"/>
        <family val="2"/>
      </rPr>
      <t xml:space="preserve"> </t>
    </r>
    <r>
      <rPr>
        <i/>
        <sz val="8"/>
        <color theme="1"/>
        <rFont val="Arial"/>
        <family val="2"/>
      </rPr>
      <t>select from drop-down list</t>
    </r>
  </si>
  <si>
    <r>
      <t xml:space="preserve">LGU with Local Shelter Plan
</t>
    </r>
    <r>
      <rPr>
        <i/>
        <sz val="8"/>
        <color theme="1"/>
        <rFont val="Arial"/>
        <family val="2"/>
      </rPr>
      <t>please select from drop-down list</t>
    </r>
  </si>
  <si>
    <t>If with Support from other institutions, Name/s of Institutions</t>
  </si>
  <si>
    <t>City of Bago</t>
  </si>
  <si>
    <t>Negros Occidental</t>
  </si>
  <si>
    <t>SP R-0623 s 2014</t>
  </si>
  <si>
    <t>Trained and assisted</t>
  </si>
  <si>
    <t>SP R-0045 s 2015</t>
  </si>
  <si>
    <t>City of Cadiz</t>
  </si>
  <si>
    <t>SP R-0740 s. 2024</t>
  </si>
  <si>
    <t>SP R-452</t>
  </si>
  <si>
    <t>SP R-799</t>
  </si>
  <si>
    <t>SP R-455</t>
  </si>
  <si>
    <t>Enrique B. Magalona</t>
  </si>
  <si>
    <t>SP R-458</t>
  </si>
  <si>
    <t>City of Escalante</t>
  </si>
  <si>
    <t>SP R-912</t>
  </si>
  <si>
    <t>City of Himamaylan</t>
  </si>
  <si>
    <t>SP R-0681 s. 2024</t>
  </si>
  <si>
    <t>Assisted</t>
  </si>
  <si>
    <t>SP R-823</t>
  </si>
  <si>
    <t>SP R-0149</t>
  </si>
  <si>
    <t>SP R-104</t>
  </si>
  <si>
    <t>SP R-0946</t>
  </si>
  <si>
    <t>City of Kabankalan</t>
  </si>
  <si>
    <t>SP R-1065</t>
  </si>
  <si>
    <t>City of La Carlota</t>
  </si>
  <si>
    <t>SP R-0391 s 2013</t>
  </si>
  <si>
    <t>La Castellana</t>
  </si>
  <si>
    <t>SP R-822</t>
  </si>
  <si>
    <t>SP R-0718 s 2014</t>
  </si>
  <si>
    <t>Moises Padilla</t>
  </si>
  <si>
    <t>SP R-960</t>
  </si>
  <si>
    <t>SP R-671</t>
  </si>
  <si>
    <t>SP R-918</t>
  </si>
  <si>
    <t>SP R-75</t>
  </si>
  <si>
    <t>City of Sagay</t>
  </si>
  <si>
    <t>SP R-1081 s 2022</t>
  </si>
  <si>
    <t>City of San Carlos</t>
  </si>
  <si>
    <t>SP R-0737 s 2015</t>
  </si>
  <si>
    <t>San Enrique</t>
  </si>
  <si>
    <t>SP R-0859 s 2015</t>
  </si>
  <si>
    <t>City of Silay</t>
  </si>
  <si>
    <t>SP R-0092</t>
  </si>
  <si>
    <t>City of Sipalay</t>
  </si>
  <si>
    <t>SP R-300</t>
  </si>
  <si>
    <t>City of Talisay</t>
  </si>
  <si>
    <t>SP R-1382 s 2023</t>
  </si>
  <si>
    <t>SP R-0378 s 2018</t>
  </si>
  <si>
    <t>SP R-534</t>
  </si>
  <si>
    <t>City of Victorias</t>
  </si>
  <si>
    <t>SP R-0674</t>
  </si>
  <si>
    <t>Salvador Benedicto</t>
  </si>
  <si>
    <t>SP R-21</t>
  </si>
  <si>
    <t>City of Bacolod</t>
  </si>
  <si>
    <t>DHSUD DC No. 2023-004</t>
  </si>
  <si>
    <t>Negros Oriental</t>
  </si>
  <si>
    <t>SP 771</t>
  </si>
  <si>
    <t>SP 716</t>
  </si>
  <si>
    <t>Res. No. 25</t>
  </si>
  <si>
    <t>City of Bais</t>
  </si>
  <si>
    <t>SP 91 s.96</t>
  </si>
  <si>
    <t>HSRC Res. No. R-38-2 s.1980</t>
  </si>
  <si>
    <t>City of Bayawan</t>
  </si>
  <si>
    <t>SP 367 s. 2003</t>
  </si>
  <si>
    <t>SP Res. No. 1261 s2024</t>
  </si>
  <si>
    <t>City of Canlaon</t>
  </si>
  <si>
    <t>SP 67 s. 2001</t>
  </si>
  <si>
    <t>SP Resolution No. 755</t>
  </si>
  <si>
    <t>City of Dumaguete</t>
  </si>
  <si>
    <t>SP 703 s.2015</t>
  </si>
  <si>
    <t>City of Guihulngan</t>
  </si>
  <si>
    <t>SP Res. No. 1099-2023</t>
  </si>
  <si>
    <t>La Libertad</t>
  </si>
  <si>
    <t>SP. Resolution No. 354</t>
  </si>
  <si>
    <t>R 214 s. 1984</t>
  </si>
  <si>
    <t>SP 319</t>
  </si>
  <si>
    <t>San Jose</t>
  </si>
  <si>
    <t>SP Resolution No. 547, Series of 2022</t>
  </si>
  <si>
    <t>Santa Catalina</t>
  </si>
  <si>
    <t>SP 559</t>
  </si>
  <si>
    <t>Resolution No. R11 s. 1981</t>
  </si>
  <si>
    <t>SP Resolution No. 111</t>
  </si>
  <si>
    <t>City of Tanjay</t>
  </si>
  <si>
    <t>SP 312</t>
  </si>
  <si>
    <t>R38-2 s.1980</t>
  </si>
  <si>
    <t>SP Res. 1009-2025</t>
  </si>
  <si>
    <t>SP Res. No 35</t>
  </si>
  <si>
    <t>SP 394</t>
  </si>
  <si>
    <t>Enrique Villanueva</t>
  </si>
  <si>
    <t>SP 092</t>
  </si>
  <si>
    <t>San Juan</t>
  </si>
  <si>
    <t>SP 034</t>
  </si>
  <si>
    <t>10-digit PSGC</t>
  </si>
  <si>
    <t>Correspondence Code</t>
  </si>
  <si>
    <t>Geographic Level</t>
  </si>
  <si>
    <t>Old names</t>
  </si>
  <si>
    <t>City Class</t>
  </si>
  <si>
    <t>Income
Classification</t>
  </si>
  <si>
    <t>1380100000</t>
  </si>
  <si>
    <t>Metro Manila</t>
  </si>
  <si>
    <t>City of Caloocan</t>
  </si>
  <si>
    <t>137501000</t>
  </si>
  <si>
    <t>City</t>
  </si>
  <si>
    <t>HUC</t>
  </si>
  <si>
    <t>1st</t>
  </si>
  <si>
    <t>1380200000</t>
  </si>
  <si>
    <t>City of Las Piñas</t>
  </si>
  <si>
    <t>1380300000</t>
  </si>
  <si>
    <t>City of Makati</t>
  </si>
  <si>
    <t>1380400000</t>
  </si>
  <si>
    <t>City of Malabon</t>
  </si>
  <si>
    <t>1380500000</t>
  </si>
  <si>
    <t>City of Mandaluyong</t>
  </si>
  <si>
    <t>1380600000</t>
  </si>
  <si>
    <t>City of Manila</t>
  </si>
  <si>
    <t>Special</t>
  </si>
  <si>
    <t>1380700000</t>
  </si>
  <si>
    <t>City of Marikina</t>
  </si>
  <si>
    <t>1380800000</t>
  </si>
  <si>
    <t>City of Muntinlupa</t>
  </si>
  <si>
    <t>1380900000</t>
  </si>
  <si>
    <t>City of Navotas</t>
  </si>
  <si>
    <t>2nd</t>
  </si>
  <si>
    <t>1381000000</t>
  </si>
  <si>
    <t>City of Parañaque</t>
  </si>
  <si>
    <t>1381100000</t>
  </si>
  <si>
    <t>Pasay City</t>
  </si>
  <si>
    <t>1381200000</t>
  </si>
  <si>
    <t>City of Pasig</t>
  </si>
  <si>
    <t>1381300000</t>
  </si>
  <si>
    <t>Quezon City</t>
  </si>
  <si>
    <t>1381400000</t>
  </si>
  <si>
    <t>City of San Juan</t>
  </si>
  <si>
    <t>1381500000</t>
  </si>
  <si>
    <t>City of Taguig</t>
  </si>
  <si>
    <t>1381600000</t>
  </si>
  <si>
    <t>City of Valenzuela</t>
  </si>
  <si>
    <t>1381701000</t>
  </si>
  <si>
    <t>Mun</t>
  </si>
  <si>
    <t>1400101000</t>
  </si>
  <si>
    <t>1400102000</t>
  </si>
  <si>
    <t>5th</t>
  </si>
  <si>
    <t>1400103000</t>
  </si>
  <si>
    <t>1400104000</t>
  </si>
  <si>
    <t>6th</t>
  </si>
  <si>
    <t>1400105000</t>
  </si>
  <si>
    <t>1400106000</t>
  </si>
  <si>
    <t>1400107000</t>
  </si>
  <si>
    <t>1400108000</t>
  </si>
  <si>
    <t>La Paz</t>
  </si>
  <si>
    <t>1400109000</t>
  </si>
  <si>
    <t>1400110000</t>
  </si>
  <si>
    <t>1400111000</t>
  </si>
  <si>
    <t>1400112000</t>
  </si>
  <si>
    <t>1400113000</t>
  </si>
  <si>
    <t>Licuan</t>
  </si>
  <si>
    <t>1400114000</t>
  </si>
  <si>
    <t>1400115000</t>
  </si>
  <si>
    <t>1400116000</t>
  </si>
  <si>
    <t>1400117000</t>
  </si>
  <si>
    <t>1400118000</t>
  </si>
  <si>
    <t>1400119000</t>
  </si>
  <si>
    <t>1400120000</t>
  </si>
  <si>
    <t>1400121000</t>
  </si>
  <si>
    <t>San Isidro</t>
  </si>
  <si>
    <t>1400122000</t>
  </si>
  <si>
    <t>1400123000</t>
  </si>
  <si>
    <t>San Quintin</t>
  </si>
  <si>
    <t>1400124000</t>
  </si>
  <si>
    <t>1400125000</t>
  </si>
  <si>
    <t>1400126000</t>
  </si>
  <si>
    <t>4th</t>
  </si>
  <si>
    <t>1400127000</t>
  </si>
  <si>
    <t>1401101000</t>
  </si>
  <si>
    <t>1401103000</t>
  </si>
  <si>
    <t>3rd</t>
  </si>
  <si>
    <t>1401104000</t>
  </si>
  <si>
    <t>1401105000</t>
  </si>
  <si>
    <t>1401106000</t>
  </si>
  <si>
    <t>1401107000</t>
  </si>
  <si>
    <t>1401108000</t>
  </si>
  <si>
    <t>1401109000</t>
  </si>
  <si>
    <t>1401110000</t>
  </si>
  <si>
    <t>La Trinidad</t>
  </si>
  <si>
    <t>1401111000</t>
  </si>
  <si>
    <t>1401112000</t>
  </si>
  <si>
    <t>1401113000</t>
  </si>
  <si>
    <t>1401114000</t>
  </si>
  <si>
    <t>1402701000</t>
  </si>
  <si>
    <t>1402702000</t>
  </si>
  <si>
    <t>1402703000</t>
  </si>
  <si>
    <t>1402704000</t>
  </si>
  <si>
    <t>1402705000</t>
  </si>
  <si>
    <t>1402706000</t>
  </si>
  <si>
    <t>1402707000</t>
  </si>
  <si>
    <t>Alfonso Lista</t>
  </si>
  <si>
    <t>Potia</t>
  </si>
  <si>
    <t>1402708000</t>
  </si>
  <si>
    <t>1402709000</t>
  </si>
  <si>
    <t>1402710000</t>
  </si>
  <si>
    <t>1402711000</t>
  </si>
  <si>
    <t>1403201000</t>
  </si>
  <si>
    <t>1403206000</t>
  </si>
  <si>
    <t>1403208000</t>
  </si>
  <si>
    <t>1403209000</t>
  </si>
  <si>
    <t>1403211000</t>
  </si>
  <si>
    <t>Liwan</t>
  </si>
  <si>
    <t>1403213000</t>
  </si>
  <si>
    <t>City of Tabuk</t>
  </si>
  <si>
    <t>CC</t>
  </si>
  <si>
    <t>1403214000</t>
  </si>
  <si>
    <t>1403215000</t>
  </si>
  <si>
    <t>1404401000</t>
  </si>
  <si>
    <t>Mountain Province</t>
  </si>
  <si>
    <t>1404402000</t>
  </si>
  <si>
    <t>1404403000</t>
  </si>
  <si>
    <t>1404404000</t>
  </si>
  <si>
    <t>1404405000</t>
  </si>
  <si>
    <t>1404406000</t>
  </si>
  <si>
    <t>1404407000</t>
  </si>
  <si>
    <t>1404408000</t>
  </si>
  <si>
    <t>1404409000</t>
  </si>
  <si>
    <t>1404410000</t>
  </si>
  <si>
    <t>1408101000</t>
  </si>
  <si>
    <t>Bayag</t>
  </si>
  <si>
    <t>1408102000</t>
  </si>
  <si>
    <t>1408103000</t>
  </si>
  <si>
    <t>1408104000</t>
  </si>
  <si>
    <t>1408105000</t>
  </si>
  <si>
    <t>1408106000</t>
  </si>
  <si>
    <t>1408107000</t>
  </si>
  <si>
    <t>Santa Marcela</t>
  </si>
  <si>
    <t>1430300000</t>
  </si>
  <si>
    <t>City of Baguio</t>
  </si>
  <si>
    <t>0102801000</t>
  </si>
  <si>
    <t>Region 01</t>
  </si>
  <si>
    <t>Ilocos Norte</t>
  </si>
  <si>
    <t>012801000</t>
  </si>
  <si>
    <t>0102802000</t>
  </si>
  <si>
    <t>012802000</t>
  </si>
  <si>
    <t>0102803000</t>
  </si>
  <si>
    <t>012803000</t>
  </si>
  <si>
    <t>0102804000</t>
  </si>
  <si>
    <t>012804000</t>
  </si>
  <si>
    <t>0102805000</t>
  </si>
  <si>
    <t>City of Batac</t>
  </si>
  <si>
    <t>012805000</t>
  </si>
  <si>
    <t>0102806000</t>
  </si>
  <si>
    <t>012806000</t>
  </si>
  <si>
    <t>0102807000</t>
  </si>
  <si>
    <t>012807000</t>
  </si>
  <si>
    <t>0102808000</t>
  </si>
  <si>
    <t>012808000</t>
  </si>
  <si>
    <t>0102809000</t>
  </si>
  <si>
    <t>012809000</t>
  </si>
  <si>
    <t>0102810000</t>
  </si>
  <si>
    <t>012810000</t>
  </si>
  <si>
    <t>0102811000</t>
  </si>
  <si>
    <t>012811000</t>
  </si>
  <si>
    <t>Espiritu</t>
  </si>
  <si>
    <t>0102812000</t>
  </si>
  <si>
    <t>City of Laoag</t>
  </si>
  <si>
    <t>012812000</t>
  </si>
  <si>
    <t>0102813000</t>
  </si>
  <si>
    <t>012813000</t>
  </si>
  <si>
    <t>0102814000</t>
  </si>
  <si>
    <t>Nueva Era</t>
  </si>
  <si>
    <t>012814000</t>
  </si>
  <si>
    <t>0102815000</t>
  </si>
  <si>
    <t>012815000</t>
  </si>
  <si>
    <t>0102816000</t>
  </si>
  <si>
    <t>012816000</t>
  </si>
  <si>
    <t>0102817000</t>
  </si>
  <si>
    <t>012817000</t>
  </si>
  <si>
    <t>0102818000</t>
  </si>
  <si>
    <t>012818000</t>
  </si>
  <si>
    <t>0102819000</t>
  </si>
  <si>
    <t>012819000</t>
  </si>
  <si>
    <t>0102820000</t>
  </si>
  <si>
    <t>San Nicolas</t>
  </si>
  <si>
    <t>012820000</t>
  </si>
  <si>
    <t>0102821000</t>
  </si>
  <si>
    <t>012821000</t>
  </si>
  <si>
    <t>0102822000</t>
  </si>
  <si>
    <t>012822000</t>
  </si>
  <si>
    <t>0102823000</t>
  </si>
  <si>
    <t>012823000</t>
  </si>
  <si>
    <t>0102901000</t>
  </si>
  <si>
    <t>Ilocos Sur</t>
  </si>
  <si>
    <t>012901000</t>
  </si>
  <si>
    <t>0102902000</t>
  </si>
  <si>
    <t>012902000</t>
  </si>
  <si>
    <t>0102903000</t>
  </si>
  <si>
    <t>012903000</t>
  </si>
  <si>
    <t>0102904000</t>
  </si>
  <si>
    <t>012904000</t>
  </si>
  <si>
    <t>0102905000</t>
  </si>
  <si>
    <t>012905000</t>
  </si>
  <si>
    <t>0102906000</t>
  </si>
  <si>
    <t>City of Candon</t>
  </si>
  <si>
    <t>012906000</t>
  </si>
  <si>
    <t>0102907000</t>
  </si>
  <si>
    <t>012907000</t>
  </si>
  <si>
    <t>0102908000</t>
  </si>
  <si>
    <t>012908000</t>
  </si>
  <si>
    <t>0102909000</t>
  </si>
  <si>
    <t>012909000</t>
  </si>
  <si>
    <t>0102910000</t>
  </si>
  <si>
    <t>Gregorio del Pilar</t>
  </si>
  <si>
    <t>012910000</t>
  </si>
  <si>
    <t>0102911000</t>
  </si>
  <si>
    <t>012911000</t>
  </si>
  <si>
    <t>0102912000</t>
  </si>
  <si>
    <t>012912000</t>
  </si>
  <si>
    <t>0102913000</t>
  </si>
  <si>
    <t>012913000</t>
  </si>
  <si>
    <t>0102914000</t>
  </si>
  <si>
    <t>012914000</t>
  </si>
  <si>
    <t>0102915000</t>
  </si>
  <si>
    <t>012915000</t>
  </si>
  <si>
    <t>Angkaki</t>
  </si>
  <si>
    <t>0102916000</t>
  </si>
  <si>
    <t>012916000</t>
  </si>
  <si>
    <t>Baugen</t>
  </si>
  <si>
    <t>0102917000</t>
  </si>
  <si>
    <t>San Emilio</t>
  </si>
  <si>
    <t>012917000</t>
  </si>
  <si>
    <t>0102918000</t>
  </si>
  <si>
    <t>San Esteban</t>
  </si>
  <si>
    <t>012918000</t>
  </si>
  <si>
    <t>0102919000</t>
  </si>
  <si>
    <t>San Ildefonso</t>
  </si>
  <si>
    <t>012919000</t>
  </si>
  <si>
    <t>0102920000</t>
  </si>
  <si>
    <t>012920000</t>
  </si>
  <si>
    <t>Lapog</t>
  </si>
  <si>
    <t>0102921000</t>
  </si>
  <si>
    <t>San Vicente</t>
  </si>
  <si>
    <t>012921000</t>
  </si>
  <si>
    <t>0102922000</t>
  </si>
  <si>
    <t>012922000</t>
  </si>
  <si>
    <t>0102923000</t>
  </si>
  <si>
    <t>012923000</t>
  </si>
  <si>
    <t>0102924000</t>
  </si>
  <si>
    <t>Santa Cruz</t>
  </si>
  <si>
    <t>012924000</t>
  </si>
  <si>
    <t>0102925000</t>
  </si>
  <si>
    <t>Santa Lucia</t>
  </si>
  <si>
    <t>012925000</t>
  </si>
  <si>
    <t>0102926000</t>
  </si>
  <si>
    <t>Santa Maria</t>
  </si>
  <si>
    <t>012926000</t>
  </si>
  <si>
    <t>0102927000</t>
  </si>
  <si>
    <t>012927000</t>
  </si>
  <si>
    <t>0102928000</t>
  </si>
  <si>
    <t>Santo Domingo</t>
  </si>
  <si>
    <t>012928000</t>
  </si>
  <si>
    <t>0102929000</t>
  </si>
  <si>
    <t>012929000</t>
  </si>
  <si>
    <t>0102930000</t>
  </si>
  <si>
    <t>012930000</t>
  </si>
  <si>
    <t>0102931000</t>
  </si>
  <si>
    <t>012931000</t>
  </si>
  <si>
    <t>0102932000</t>
  </si>
  <si>
    <t>012932000</t>
  </si>
  <si>
    <t>0102933000</t>
  </si>
  <si>
    <t>012933000</t>
  </si>
  <si>
    <t>0102934000</t>
  </si>
  <si>
    <t>City of Vigan</t>
  </si>
  <si>
    <t>012934000</t>
  </si>
  <si>
    <t>0103301000</t>
  </si>
  <si>
    <t>La Union</t>
  </si>
  <si>
    <t>013301000</t>
  </si>
  <si>
    <t>0103302000</t>
  </si>
  <si>
    <t>013302000</t>
  </si>
  <si>
    <t>0103303000</t>
  </si>
  <si>
    <t>013303000</t>
  </si>
  <si>
    <t>0103304000</t>
  </si>
  <si>
    <t>013304000</t>
  </si>
  <si>
    <t>0103305000</t>
  </si>
  <si>
    <t>013305000</t>
  </si>
  <si>
    <t>0103306000</t>
  </si>
  <si>
    <t>013306000</t>
  </si>
  <si>
    <t>0103307000</t>
  </si>
  <si>
    <t>013307000</t>
  </si>
  <si>
    <t>0103308000</t>
  </si>
  <si>
    <t>013308000</t>
  </si>
  <si>
    <t>0103309000</t>
  </si>
  <si>
    <t>013309000</t>
  </si>
  <si>
    <t>0103310000</t>
  </si>
  <si>
    <t>013310000</t>
  </si>
  <si>
    <t>0103311000</t>
  </si>
  <si>
    <t>013311000</t>
  </si>
  <si>
    <t>0103312000</t>
  </si>
  <si>
    <t>013312000</t>
  </si>
  <si>
    <t>0103313000</t>
  </si>
  <si>
    <t>013313000</t>
  </si>
  <si>
    <t>0103314000</t>
  </si>
  <si>
    <t>City of San Fernando</t>
  </si>
  <si>
    <t>013314000</t>
  </si>
  <si>
    <t>0103315000</t>
  </si>
  <si>
    <t>San Gabriel</t>
  </si>
  <si>
    <t>013315000</t>
  </si>
  <si>
    <t>0103316000</t>
  </si>
  <si>
    <t>013316000</t>
  </si>
  <si>
    <t>0103317000</t>
  </si>
  <si>
    <t>Santo Tomas</t>
  </si>
  <si>
    <t>013317000</t>
  </si>
  <si>
    <t>0103318000</t>
  </si>
  <si>
    <t>013318000</t>
  </si>
  <si>
    <t>0103319000</t>
  </si>
  <si>
    <t>013319000</t>
  </si>
  <si>
    <t>0103320000</t>
  </si>
  <si>
    <t>013320000</t>
  </si>
  <si>
    <t>0105501000</t>
  </si>
  <si>
    <t>015501000</t>
  </si>
  <si>
    <t>0105502000</t>
  </si>
  <si>
    <t>015502000</t>
  </si>
  <si>
    <t>0105503000</t>
  </si>
  <si>
    <t>City of Alaminos</t>
  </si>
  <si>
    <t>015503000</t>
  </si>
  <si>
    <t>0105504000</t>
  </si>
  <si>
    <t>015504000</t>
  </si>
  <si>
    <t>0105505000</t>
  </si>
  <si>
    <t>015505000</t>
  </si>
  <si>
    <t>0105506000</t>
  </si>
  <si>
    <t>015506000</t>
  </si>
  <si>
    <t>0105507000</t>
  </si>
  <si>
    <t>015507000</t>
  </si>
  <si>
    <t>0105508000</t>
  </si>
  <si>
    <t>015508000</t>
  </si>
  <si>
    <t>0105509000</t>
  </si>
  <si>
    <t>015509000</t>
  </si>
  <si>
    <t>0105510000</t>
  </si>
  <si>
    <t>015510000</t>
  </si>
  <si>
    <t>0105511000</t>
  </si>
  <si>
    <t>015511000</t>
  </si>
  <si>
    <t>0105512000</t>
  </si>
  <si>
    <t>015512000</t>
  </si>
  <si>
    <t>0105513000</t>
  </si>
  <si>
    <t>015513000</t>
  </si>
  <si>
    <t>0105514000</t>
  </si>
  <si>
    <t>015514000</t>
  </si>
  <si>
    <t>0105515000</t>
  </si>
  <si>
    <t>015515000</t>
  </si>
  <si>
    <t>0105516000</t>
  </si>
  <si>
    <t>015516000</t>
  </si>
  <si>
    <t>0105517000</t>
  </si>
  <si>
    <t>015517000</t>
  </si>
  <si>
    <t>0105518000</t>
  </si>
  <si>
    <t>City of Dagupan</t>
  </si>
  <si>
    <t>015518000</t>
  </si>
  <si>
    <t>ICC</t>
  </si>
  <si>
    <t>0105519000</t>
  </si>
  <si>
    <t>015519000</t>
  </si>
  <si>
    <t>0105520000</t>
  </si>
  <si>
    <t>015520000</t>
  </si>
  <si>
    <t>0105521000</t>
  </si>
  <si>
    <t>015521000</t>
  </si>
  <si>
    <t>0105522000</t>
  </si>
  <si>
    <t>015522000</t>
  </si>
  <si>
    <t>0105523000</t>
  </si>
  <si>
    <t>015523000</t>
  </si>
  <si>
    <t>0105524000</t>
  </si>
  <si>
    <t>015524000</t>
  </si>
  <si>
    <t>0105525000</t>
  </si>
  <si>
    <t>015525000</t>
  </si>
  <si>
    <t>0105526000</t>
  </si>
  <si>
    <t>015526000</t>
  </si>
  <si>
    <t>0105527000</t>
  </si>
  <si>
    <t>015527000</t>
  </si>
  <si>
    <t>0105528000</t>
  </si>
  <si>
    <t>015528000</t>
  </si>
  <si>
    <t>0105529000</t>
  </si>
  <si>
    <t>015529000</t>
  </si>
  <si>
    <t>0105530000</t>
  </si>
  <si>
    <t>015530000</t>
  </si>
  <si>
    <t>0105531000</t>
  </si>
  <si>
    <t>015531000</t>
  </si>
  <si>
    <t>0105532000</t>
  </si>
  <si>
    <t>015532000</t>
  </si>
  <si>
    <t>0105533000</t>
  </si>
  <si>
    <t>San Fabian</t>
  </si>
  <si>
    <t>015533000</t>
  </si>
  <si>
    <t>0105534000</t>
  </si>
  <si>
    <t>San Jacinto</t>
  </si>
  <si>
    <t>015534000</t>
  </si>
  <si>
    <t>0105535000</t>
  </si>
  <si>
    <t>San Manuel</t>
  </si>
  <si>
    <t>015535000</t>
  </si>
  <si>
    <t>0105536000</t>
  </si>
  <si>
    <t>015536000</t>
  </si>
  <si>
    <t>0105537000</t>
  </si>
  <si>
    <t>015537000</t>
  </si>
  <si>
    <t>0105538000</t>
  </si>
  <si>
    <t>Santa Barbara</t>
  </si>
  <si>
    <t>015538000</t>
  </si>
  <si>
    <t>0105539000</t>
  </si>
  <si>
    <t>015539000</t>
  </si>
  <si>
    <t>0105540000</t>
  </si>
  <si>
    <t>015540000</t>
  </si>
  <si>
    <t>0105541000</t>
  </si>
  <si>
    <t>015541000</t>
  </si>
  <si>
    <t>0105542000</t>
  </si>
  <si>
    <t>015542000</t>
  </si>
  <si>
    <t>0105543000</t>
  </si>
  <si>
    <t>015543000</t>
  </si>
  <si>
    <t>0105544000</t>
  </si>
  <si>
    <t>015544000</t>
  </si>
  <si>
    <t>0105545000</t>
  </si>
  <si>
    <t>015545000</t>
  </si>
  <si>
    <t>0105546000</t>
  </si>
  <si>
    <t>City of Urdaneta</t>
  </si>
  <si>
    <t>015546000</t>
  </si>
  <si>
    <t>0105547000</t>
  </si>
  <si>
    <t>015547000</t>
  </si>
  <si>
    <t>0105548000</t>
  </si>
  <si>
    <t>015548000</t>
  </si>
  <si>
    <t>0200901000</t>
  </si>
  <si>
    <t>Region 02</t>
  </si>
  <si>
    <t>020901000</t>
  </si>
  <si>
    <t>0200902000</t>
  </si>
  <si>
    <t>020902000</t>
  </si>
  <si>
    <t>0200903000</t>
  </si>
  <si>
    <t>020903000</t>
  </si>
  <si>
    <t>0200904000</t>
  </si>
  <si>
    <t>020904000</t>
  </si>
  <si>
    <t>0200905000</t>
  </si>
  <si>
    <t>020905000</t>
  </si>
  <si>
    <t>0200906000</t>
  </si>
  <si>
    <t>020906000</t>
  </si>
  <si>
    <t>0201501000</t>
  </si>
  <si>
    <t>021501000</t>
  </si>
  <si>
    <t>0201502000</t>
  </si>
  <si>
    <t>021502000</t>
  </si>
  <si>
    <t>0201503000</t>
  </si>
  <si>
    <t>021503000</t>
  </si>
  <si>
    <t>0201504000</t>
  </si>
  <si>
    <t>021504000</t>
  </si>
  <si>
    <t>0201505000</t>
  </si>
  <si>
    <t>021505000</t>
  </si>
  <si>
    <t>0201506000</t>
  </si>
  <si>
    <t>021506000</t>
  </si>
  <si>
    <t>0201507000</t>
  </si>
  <si>
    <t>021507000</t>
  </si>
  <si>
    <t>0201508000</t>
  </si>
  <si>
    <t>021508000</t>
  </si>
  <si>
    <t>0201509000</t>
  </si>
  <si>
    <t>021509000</t>
  </si>
  <si>
    <t>0201510000</t>
  </si>
  <si>
    <t>021510000</t>
  </si>
  <si>
    <t>0201511000</t>
  </si>
  <si>
    <t>021511000</t>
  </si>
  <si>
    <t>0201512000</t>
  </si>
  <si>
    <t>021512000</t>
  </si>
  <si>
    <t>0201513000</t>
  </si>
  <si>
    <t>021513000</t>
  </si>
  <si>
    <t>0201514000</t>
  </si>
  <si>
    <t>021514000</t>
  </si>
  <si>
    <t>0201515000</t>
  </si>
  <si>
    <t>021515000</t>
  </si>
  <si>
    <t>0201516000</t>
  </si>
  <si>
    <t>021516000</t>
  </si>
  <si>
    <t>0201517000</t>
  </si>
  <si>
    <t>021517000</t>
  </si>
  <si>
    <t>0201518000</t>
  </si>
  <si>
    <t>021518000</t>
  </si>
  <si>
    <t>0201519000</t>
  </si>
  <si>
    <t>021519000</t>
  </si>
  <si>
    <t>0201520000</t>
  </si>
  <si>
    <t>021520000</t>
  </si>
  <si>
    <t>0201521000</t>
  </si>
  <si>
    <t>021521000</t>
  </si>
  <si>
    <t>0201522000</t>
  </si>
  <si>
    <t>021522000</t>
  </si>
  <si>
    <t>0201523000</t>
  </si>
  <si>
    <t>Santa Ana</t>
  </si>
  <si>
    <t>021523000</t>
  </si>
  <si>
    <t>0201524000</t>
  </si>
  <si>
    <t>Santa Praxedes</t>
  </si>
  <si>
    <t>021524000</t>
  </si>
  <si>
    <t>0201525000</t>
  </si>
  <si>
    <t>Santa Teresita</t>
  </si>
  <si>
    <t>021525000</t>
  </si>
  <si>
    <t>0201526000</t>
  </si>
  <si>
    <t>Santo Niño</t>
  </si>
  <si>
    <t>021526000</t>
  </si>
  <si>
    <t>Faire</t>
  </si>
  <si>
    <t>0201527000</t>
  </si>
  <si>
    <t>021527000</t>
  </si>
  <si>
    <t>0201528000</t>
  </si>
  <si>
    <t>021528000</t>
  </si>
  <si>
    <t>0201529000</t>
  </si>
  <si>
    <t>Tuguegarao City</t>
  </si>
  <si>
    <t>021529000</t>
  </si>
  <si>
    <t>0203101000</t>
  </si>
  <si>
    <t>023101000</t>
  </si>
  <si>
    <t>0203102000</t>
  </si>
  <si>
    <t>023102000</t>
  </si>
  <si>
    <t>0203103000</t>
  </si>
  <si>
    <t>023103000</t>
  </si>
  <si>
    <t>0203104000</t>
  </si>
  <si>
    <t>Benito Soliven</t>
  </si>
  <si>
    <t>023104000</t>
  </si>
  <si>
    <t>0203105000</t>
  </si>
  <si>
    <t>023105000</t>
  </si>
  <si>
    <t>0203106000</t>
  </si>
  <si>
    <t>023106000</t>
  </si>
  <si>
    <t>0203107000</t>
  </si>
  <si>
    <t>023107000</t>
  </si>
  <si>
    <t>0203108000</t>
  </si>
  <si>
    <t>City of Cauayan</t>
  </si>
  <si>
    <t>023108000</t>
  </si>
  <si>
    <t>0203109000</t>
  </si>
  <si>
    <t>023109000</t>
  </si>
  <si>
    <t>0203110000</t>
  </si>
  <si>
    <t>023110000</t>
  </si>
  <si>
    <t>0203111000</t>
  </si>
  <si>
    <t>023111000</t>
  </si>
  <si>
    <t>0203112000</t>
  </si>
  <si>
    <t>023112000</t>
  </si>
  <si>
    <t>0203113000</t>
  </si>
  <si>
    <t>023113000</t>
  </si>
  <si>
    <t>0203114000</t>
  </si>
  <si>
    <t>City of Ilagan</t>
  </si>
  <si>
    <t>023114000</t>
  </si>
  <si>
    <t>1st (as Mun)</t>
  </si>
  <si>
    <t>0203115000</t>
  </si>
  <si>
    <t>023115000</t>
  </si>
  <si>
    <t>0203116000</t>
  </si>
  <si>
    <t>023116000</t>
  </si>
  <si>
    <t>0203117000</t>
  </si>
  <si>
    <t>023117000</t>
  </si>
  <si>
    <t>0203118000</t>
  </si>
  <si>
    <t>Delfin Albano</t>
  </si>
  <si>
    <t>023118000</t>
  </si>
  <si>
    <t>0203119000</t>
  </si>
  <si>
    <t>023119000</t>
  </si>
  <si>
    <t>0203120000</t>
  </si>
  <si>
    <t>023120000</t>
  </si>
  <si>
    <t>0203121000</t>
  </si>
  <si>
    <t>023121000</t>
  </si>
  <si>
    <t>0203122000</t>
  </si>
  <si>
    <t>023122000</t>
  </si>
  <si>
    <t>0203123000</t>
  </si>
  <si>
    <t>023123000</t>
  </si>
  <si>
    <t>0203124000</t>
  </si>
  <si>
    <t>023124000</t>
  </si>
  <si>
    <t>0203125000</t>
  </si>
  <si>
    <t>Reina Mercedes</t>
  </si>
  <si>
    <t>023125000</t>
  </si>
  <si>
    <t>0203126000</t>
  </si>
  <si>
    <t>023126000</t>
  </si>
  <si>
    <t>0203127000</t>
  </si>
  <si>
    <t>San Agustin</t>
  </si>
  <si>
    <t>023127000</t>
  </si>
  <si>
    <t>0203128000</t>
  </si>
  <si>
    <t>San Guillermo</t>
  </si>
  <si>
    <t>023128000</t>
  </si>
  <si>
    <t>0203129000</t>
  </si>
  <si>
    <t>023129000</t>
  </si>
  <si>
    <t>0203130000</t>
  </si>
  <si>
    <t>023130000</t>
  </si>
  <si>
    <t>0203131000</t>
  </si>
  <si>
    <t>San Mariano</t>
  </si>
  <si>
    <t>023131000</t>
  </si>
  <si>
    <t>0203132000</t>
  </si>
  <si>
    <t>San Mateo</t>
  </si>
  <si>
    <t>023132000</t>
  </si>
  <si>
    <t>0203133000</t>
  </si>
  <si>
    <t>San Pablo</t>
  </si>
  <si>
    <t>023133000</t>
  </si>
  <si>
    <t>0203134000</t>
  </si>
  <si>
    <t>023134000</t>
  </si>
  <si>
    <t>0203135000</t>
  </si>
  <si>
    <t>City of Santiago</t>
  </si>
  <si>
    <t>023135000</t>
  </si>
  <si>
    <t>0203136000</t>
  </si>
  <si>
    <t>023136000</t>
  </si>
  <si>
    <t>0203137000</t>
  </si>
  <si>
    <t>023137000</t>
  </si>
  <si>
    <t>0205001000</t>
  </si>
  <si>
    <t>Nueva Vizcaya</t>
  </si>
  <si>
    <t>025001000</t>
  </si>
  <si>
    <t>0205002000</t>
  </si>
  <si>
    <t>025002000</t>
  </si>
  <si>
    <t>0205003000</t>
  </si>
  <si>
    <t>025003000</t>
  </si>
  <si>
    <t>0205004000</t>
  </si>
  <si>
    <t>025004000</t>
  </si>
  <si>
    <t>0205005000</t>
  </si>
  <si>
    <t>025005000</t>
  </si>
  <si>
    <t>0205006000</t>
  </si>
  <si>
    <t>025006000</t>
  </si>
  <si>
    <t>0205007000</t>
  </si>
  <si>
    <t>Dupax del Norte</t>
  </si>
  <si>
    <t>025007000</t>
  </si>
  <si>
    <t>0205008000</t>
  </si>
  <si>
    <t>Dupax del Sur</t>
  </si>
  <si>
    <t>025008000</t>
  </si>
  <si>
    <t>0205009000</t>
  </si>
  <si>
    <t>025009000</t>
  </si>
  <si>
    <t>0205010000</t>
  </si>
  <si>
    <t>025010000</t>
  </si>
  <si>
    <t>0205011000</t>
  </si>
  <si>
    <t>025011000</t>
  </si>
  <si>
    <t>0205012000</t>
  </si>
  <si>
    <t>Santa Fe</t>
  </si>
  <si>
    <t>025012000</t>
  </si>
  <si>
    <t>0205013000</t>
  </si>
  <si>
    <t>025013000</t>
  </si>
  <si>
    <t>0205014000</t>
  </si>
  <si>
    <t>025014000</t>
  </si>
  <si>
    <t>0205015000</t>
  </si>
  <si>
    <t>Alfonso Castaneda</t>
  </si>
  <si>
    <t>025015000</t>
  </si>
  <si>
    <t>0205701000</t>
  </si>
  <si>
    <t>025701000</t>
  </si>
  <si>
    <t>0205702000</t>
  </si>
  <si>
    <t>025702000</t>
  </si>
  <si>
    <t>0205703000</t>
  </si>
  <si>
    <t>025703000</t>
  </si>
  <si>
    <t>0205704000</t>
  </si>
  <si>
    <t>025704000</t>
  </si>
  <si>
    <t>0205705000</t>
  </si>
  <si>
    <t>025705000</t>
  </si>
  <si>
    <t>0205706000</t>
  </si>
  <si>
    <t>025706000</t>
  </si>
  <si>
    <t>0300801000</t>
  </si>
  <si>
    <t>Region 03</t>
  </si>
  <si>
    <t>030801000</t>
  </si>
  <si>
    <t>0300802000</t>
  </si>
  <si>
    <t>030802000</t>
  </si>
  <si>
    <t>0300803000</t>
  </si>
  <si>
    <t>City of Balanga</t>
  </si>
  <si>
    <t>030803000</t>
  </si>
  <si>
    <t>0300804000</t>
  </si>
  <si>
    <t>030804000</t>
  </si>
  <si>
    <t>0300805000</t>
  </si>
  <si>
    <t>030805000</t>
  </si>
  <si>
    <t>0300806000</t>
  </si>
  <si>
    <t>030806000</t>
  </si>
  <si>
    <t>0300807000</t>
  </si>
  <si>
    <t>030807000</t>
  </si>
  <si>
    <t>0300808000</t>
  </si>
  <si>
    <t>030808000</t>
  </si>
  <si>
    <t>0300809000</t>
  </si>
  <si>
    <t>030809000</t>
  </si>
  <si>
    <t>0300810000</t>
  </si>
  <si>
    <t>030810000</t>
  </si>
  <si>
    <t>0300811000</t>
  </si>
  <si>
    <t>030811000</t>
  </si>
  <si>
    <t>0300812000</t>
  </si>
  <si>
    <t>030812000</t>
  </si>
  <si>
    <t>0301401000</t>
  </si>
  <si>
    <t>031401000</t>
  </si>
  <si>
    <t>0301402000</t>
  </si>
  <si>
    <t>031402000</t>
  </si>
  <si>
    <t>Bigaa</t>
  </si>
  <si>
    <t>0301403000</t>
  </si>
  <si>
    <t>City of Baliwag</t>
  </si>
  <si>
    <t>031403000</t>
  </si>
  <si>
    <t>0301404000</t>
  </si>
  <si>
    <t>031404000</t>
  </si>
  <si>
    <t>0301405000</t>
  </si>
  <si>
    <t>031405000</t>
  </si>
  <si>
    <t>0301406000</t>
  </si>
  <si>
    <t>031406000</t>
  </si>
  <si>
    <t>0301407000</t>
  </si>
  <si>
    <t>031407000</t>
  </si>
  <si>
    <t>0301408000</t>
  </si>
  <si>
    <t>031408000</t>
  </si>
  <si>
    <t>0301409000</t>
  </si>
  <si>
    <t>031409000</t>
  </si>
  <si>
    <t>0301410000</t>
  </si>
  <si>
    <t>City of Malolos</t>
  </si>
  <si>
    <t>031410000</t>
  </si>
  <si>
    <t>0301411000</t>
  </si>
  <si>
    <t>031411000</t>
  </si>
  <si>
    <t>0301412000</t>
  </si>
  <si>
    <t>City of Meycauayan</t>
  </si>
  <si>
    <t>031412000</t>
  </si>
  <si>
    <t>0301413000</t>
  </si>
  <si>
    <t>031413000</t>
  </si>
  <si>
    <t>0301414000</t>
  </si>
  <si>
    <t>031414000</t>
  </si>
  <si>
    <t>0301415000</t>
  </si>
  <si>
    <t>031415000</t>
  </si>
  <si>
    <t>0301416000</t>
  </si>
  <si>
    <t>031416000</t>
  </si>
  <si>
    <t>0301417000</t>
  </si>
  <si>
    <t>031417000</t>
  </si>
  <si>
    <t>0301418000</t>
  </si>
  <si>
    <t>031418000</t>
  </si>
  <si>
    <t>0301419000</t>
  </si>
  <si>
    <t>031419000</t>
  </si>
  <si>
    <t>0301420000</t>
  </si>
  <si>
    <t>City of San Jose Del Monte</t>
  </si>
  <si>
    <t>031420000</t>
  </si>
  <si>
    <t>0301421000</t>
  </si>
  <si>
    <t>San Miguel</t>
  </si>
  <si>
    <t>031421000</t>
  </si>
  <si>
    <t>0301422000</t>
  </si>
  <si>
    <t>San Rafael</t>
  </si>
  <si>
    <t>031422000</t>
  </si>
  <si>
    <t>0301423000</t>
  </si>
  <si>
    <t>031423000</t>
  </si>
  <si>
    <t>0301424000</t>
  </si>
  <si>
    <t>Doña Remedios Trinidad</t>
  </si>
  <si>
    <t>031424000</t>
  </si>
  <si>
    <t>0304901000</t>
  </si>
  <si>
    <t>Nueva Ecija</t>
  </si>
  <si>
    <t>034901000</t>
  </si>
  <si>
    <t>0304902000</t>
  </si>
  <si>
    <t>034902000</t>
  </si>
  <si>
    <t>0304903000</t>
  </si>
  <si>
    <t>City of Cabanatuan</t>
  </si>
  <si>
    <t>034903000</t>
  </si>
  <si>
    <t>0304904000</t>
  </si>
  <si>
    <t>034904000</t>
  </si>
  <si>
    <t>0304905000</t>
  </si>
  <si>
    <t>034905000</t>
  </si>
  <si>
    <t>0304906000</t>
  </si>
  <si>
    <t>034906000</t>
  </si>
  <si>
    <t>0304907000</t>
  </si>
  <si>
    <t>034907000</t>
  </si>
  <si>
    <t>Bitulok &amp; Sabani</t>
  </si>
  <si>
    <t>0304908000</t>
  </si>
  <si>
    <t>City of Gapan</t>
  </si>
  <si>
    <t>034908000</t>
  </si>
  <si>
    <t>0304909000</t>
  </si>
  <si>
    <t>General Mamerto Natividad</t>
  </si>
  <si>
    <t>034909000</t>
  </si>
  <si>
    <t>0304910000</t>
  </si>
  <si>
    <t>General Tinio</t>
  </si>
  <si>
    <t>034910000</t>
  </si>
  <si>
    <t>Papaya</t>
  </si>
  <si>
    <t>0304911000</t>
  </si>
  <si>
    <t>034911000</t>
  </si>
  <si>
    <t>0304912000</t>
  </si>
  <si>
    <t>034912000</t>
  </si>
  <si>
    <t>0304913000</t>
  </si>
  <si>
    <t>034913000</t>
  </si>
  <si>
    <t>0304914000</t>
  </si>
  <si>
    <t>034914000</t>
  </si>
  <si>
    <t>0304915000</t>
  </si>
  <si>
    <t>034915000</t>
  </si>
  <si>
    <t>0304916000</t>
  </si>
  <si>
    <t>034916000</t>
  </si>
  <si>
    <t>0304917000</t>
  </si>
  <si>
    <t>Science City of Muñoz</t>
  </si>
  <si>
    <t>034917000</t>
  </si>
  <si>
    <t>0304918000</t>
  </si>
  <si>
    <t>034918000</t>
  </si>
  <si>
    <t>0304919000</t>
  </si>
  <si>
    <t>City of Palayan</t>
  </si>
  <si>
    <t>034919000</t>
  </si>
  <si>
    <t>0304920000</t>
  </si>
  <si>
    <t>034920000</t>
  </si>
  <si>
    <t>0304921000</t>
  </si>
  <si>
    <t>034921000</t>
  </si>
  <si>
    <t>0304922000</t>
  </si>
  <si>
    <t>034922000</t>
  </si>
  <si>
    <t>0304923000</t>
  </si>
  <si>
    <t>034923000</t>
  </si>
  <si>
    <t>0304924000</t>
  </si>
  <si>
    <t>San Antonio</t>
  </si>
  <si>
    <t>034924000</t>
  </si>
  <si>
    <t>0304925000</t>
  </si>
  <si>
    <t>034925000</t>
  </si>
  <si>
    <t>0304926000</t>
  </si>
  <si>
    <t>San Jose City</t>
  </si>
  <si>
    <t>034926000</t>
  </si>
  <si>
    <t>0304927000</t>
  </si>
  <si>
    <t>San Leonardo</t>
  </si>
  <si>
    <t>034927000</t>
  </si>
  <si>
    <t>0304928000</t>
  </si>
  <si>
    <t>Santa Rosa</t>
  </si>
  <si>
    <t>034928000</t>
  </si>
  <si>
    <t>0304929000</t>
  </si>
  <si>
    <t>034929000</t>
  </si>
  <si>
    <t>0304930000</t>
  </si>
  <si>
    <t>034930000</t>
  </si>
  <si>
    <t>0304931000</t>
  </si>
  <si>
    <t>034931000</t>
  </si>
  <si>
    <t>0304932000</t>
  </si>
  <si>
    <t>034932000</t>
  </si>
  <si>
    <t>0305402000</t>
  </si>
  <si>
    <t>035402000</t>
  </si>
  <si>
    <t>0305403000</t>
  </si>
  <si>
    <t>035403000</t>
  </si>
  <si>
    <t>0305404000</t>
  </si>
  <si>
    <t>035404000</t>
  </si>
  <si>
    <t>0305405000</t>
  </si>
  <si>
    <t>035405000</t>
  </si>
  <si>
    <t>0305406000</t>
  </si>
  <si>
    <t>035406000</t>
  </si>
  <si>
    <t>0305407000</t>
  </si>
  <si>
    <t>035407000</t>
  </si>
  <si>
    <t>0305408000</t>
  </si>
  <si>
    <t>035408000</t>
  </si>
  <si>
    <t>0305409000</t>
  </si>
  <si>
    <t>Mabalacat City</t>
  </si>
  <si>
    <t>035409000</t>
  </si>
  <si>
    <t>0305410000</t>
  </si>
  <si>
    <t>035410000</t>
  </si>
  <si>
    <t>0305411000</t>
  </si>
  <si>
    <t>035411000</t>
  </si>
  <si>
    <t>0305412000</t>
  </si>
  <si>
    <t>035412000</t>
  </si>
  <si>
    <t>0305413000</t>
  </si>
  <si>
    <t>035413000</t>
  </si>
  <si>
    <t>0305414000</t>
  </si>
  <si>
    <t>035414000</t>
  </si>
  <si>
    <t>0305415000</t>
  </si>
  <si>
    <t>035415000</t>
  </si>
  <si>
    <t>0305416000</t>
  </si>
  <si>
    <t>035416000</t>
  </si>
  <si>
    <t>0305417000</t>
  </si>
  <si>
    <t>San Luis</t>
  </si>
  <si>
    <t>035417000</t>
  </si>
  <si>
    <t>0305418000</t>
  </si>
  <si>
    <t>San Simon</t>
  </si>
  <si>
    <t>035418000</t>
  </si>
  <si>
    <t>3rd*</t>
  </si>
  <si>
    <t>0305419000</t>
  </si>
  <si>
    <t>035419000</t>
  </si>
  <si>
    <t>0305420000</t>
  </si>
  <si>
    <t>Santa Rita</t>
  </si>
  <si>
    <t>035420000</t>
  </si>
  <si>
    <t>0305421000</t>
  </si>
  <si>
    <t>Sto. Tomas</t>
  </si>
  <si>
    <t>035421000</t>
  </si>
  <si>
    <t>0305422000</t>
  </si>
  <si>
    <t>035422000</t>
  </si>
  <si>
    <t>Sexmoan</t>
  </si>
  <si>
    <t>0306901000</t>
  </si>
  <si>
    <t>036901000</t>
  </si>
  <si>
    <t>0306902000</t>
  </si>
  <si>
    <t>036902000</t>
  </si>
  <si>
    <t>0306903000</t>
  </si>
  <si>
    <t>036903000</t>
  </si>
  <si>
    <t>0306904000</t>
  </si>
  <si>
    <t>036904000</t>
  </si>
  <si>
    <t>0306905000</t>
  </si>
  <si>
    <t>036905000</t>
  </si>
  <si>
    <t>0306906000</t>
  </si>
  <si>
    <t>036906000</t>
  </si>
  <si>
    <t>0306907000</t>
  </si>
  <si>
    <t>036907000</t>
  </si>
  <si>
    <t>0306908000</t>
  </si>
  <si>
    <t>036908000</t>
  </si>
  <si>
    <t>0306909000</t>
  </si>
  <si>
    <t>036909000</t>
  </si>
  <si>
    <t>0306910000</t>
  </si>
  <si>
    <t>036910000</t>
  </si>
  <si>
    <t>0306911000</t>
  </si>
  <si>
    <t>036911000</t>
  </si>
  <si>
    <t>0306912000</t>
  </si>
  <si>
    <t>036912000</t>
  </si>
  <si>
    <t>0306913000</t>
  </si>
  <si>
    <t>San Clemente</t>
  </si>
  <si>
    <t>036913000</t>
  </si>
  <si>
    <t>0306914000</t>
  </si>
  <si>
    <t>036914000</t>
  </si>
  <si>
    <t>0306915000</t>
  </si>
  <si>
    <t>Santa Ignacia</t>
  </si>
  <si>
    <t>036915000</t>
  </si>
  <si>
    <t>0306916000</t>
  </si>
  <si>
    <t>City of Tarlac</t>
  </si>
  <si>
    <t>036916000</t>
  </si>
  <si>
    <t>0306917000</t>
  </si>
  <si>
    <t>036917000</t>
  </si>
  <si>
    <t>0306918000</t>
  </si>
  <si>
    <t>036918000</t>
  </si>
  <si>
    <t>0307101000</t>
  </si>
  <si>
    <t>037101000</t>
  </si>
  <si>
    <t>0307102000</t>
  </si>
  <si>
    <t>037102000</t>
  </si>
  <si>
    <t>0307103000</t>
  </si>
  <si>
    <t>037103000</t>
  </si>
  <si>
    <t>0307104000</t>
  </si>
  <si>
    <t>037104000</t>
  </si>
  <si>
    <t>0307105000</t>
  </si>
  <si>
    <t>037105000</t>
  </si>
  <si>
    <t>0307106000</t>
  </si>
  <si>
    <t>037106000</t>
  </si>
  <si>
    <t>0307108000</t>
  </si>
  <si>
    <t>037108000</t>
  </si>
  <si>
    <t>0307109000</t>
  </si>
  <si>
    <t>037109000</t>
  </si>
  <si>
    <t>0307110000</t>
  </si>
  <si>
    <t>San Felipe</t>
  </si>
  <si>
    <t>037110000</t>
  </si>
  <si>
    <t>0307111000</t>
  </si>
  <si>
    <t>San Marcelino</t>
  </si>
  <si>
    <t>037111000</t>
  </si>
  <si>
    <t>0307112000</t>
  </si>
  <si>
    <t>San Narciso</t>
  </si>
  <si>
    <t>037112000</t>
  </si>
  <si>
    <t>0307113000</t>
  </si>
  <si>
    <t>037113000</t>
  </si>
  <si>
    <t>0307114000</t>
  </si>
  <si>
    <t>037114000</t>
  </si>
  <si>
    <t>0307701000</t>
  </si>
  <si>
    <t>037701000</t>
  </si>
  <si>
    <t>0307702000</t>
  </si>
  <si>
    <t>037702000</t>
  </si>
  <si>
    <t>0307703000</t>
  </si>
  <si>
    <t>037703000</t>
  </si>
  <si>
    <t>0307704000</t>
  </si>
  <si>
    <t>037704000</t>
  </si>
  <si>
    <t>0307705000</t>
  </si>
  <si>
    <t>037705000</t>
  </si>
  <si>
    <t>0307706000</t>
  </si>
  <si>
    <t>037706000</t>
  </si>
  <si>
    <t>0307707000</t>
  </si>
  <si>
    <t>Maria Aurora</t>
  </si>
  <si>
    <t>037707000</t>
  </si>
  <si>
    <t>0307708000</t>
  </si>
  <si>
    <t>037708000</t>
  </si>
  <si>
    <t>0330100000</t>
  </si>
  <si>
    <t>City of Angeles</t>
  </si>
  <si>
    <t>035401000</t>
  </si>
  <si>
    <t>0331400000</t>
  </si>
  <si>
    <t>City of Olongapo</t>
  </si>
  <si>
    <t>037107000</t>
  </si>
  <si>
    <t>0401001000</t>
  </si>
  <si>
    <t>Region 4A</t>
  </si>
  <si>
    <t>041001000</t>
  </si>
  <si>
    <t>0401002000</t>
  </si>
  <si>
    <t>041002000</t>
  </si>
  <si>
    <t>0401003000</t>
  </si>
  <si>
    <t>041003000</t>
  </si>
  <si>
    <t>0401004000</t>
  </si>
  <si>
    <t>041004000</t>
  </si>
  <si>
    <t>0401005000</t>
  </si>
  <si>
    <t>Batangas City</t>
  </si>
  <si>
    <t>041005000</t>
  </si>
  <si>
    <t>0401006000</t>
  </si>
  <si>
    <t>041006000</t>
  </si>
  <si>
    <t>0401007000</t>
  </si>
  <si>
    <t>City of Calaca</t>
  </si>
  <si>
    <t>041007000</t>
  </si>
  <si>
    <t>0401008000</t>
  </si>
  <si>
    <t>041008000</t>
  </si>
  <si>
    <t>0401009000</t>
  </si>
  <si>
    <t>041009000</t>
  </si>
  <si>
    <t>0401010000</t>
  </si>
  <si>
    <t>041010000</t>
  </si>
  <si>
    <t>0401011000</t>
  </si>
  <si>
    <t>041011000</t>
  </si>
  <si>
    <t>0401012000</t>
  </si>
  <si>
    <t>041012000</t>
  </si>
  <si>
    <t>0401013000</t>
  </si>
  <si>
    <t>041013000</t>
  </si>
  <si>
    <t>0401014000</t>
  </si>
  <si>
    <t>City of Lipa</t>
  </si>
  <si>
    <t>041014000</t>
  </si>
  <si>
    <t>0401015000</t>
  </si>
  <si>
    <t>041015000</t>
  </si>
  <si>
    <t>0401016000</t>
  </si>
  <si>
    <t>041016000</t>
  </si>
  <si>
    <t>0401017000</t>
  </si>
  <si>
    <t>041017000</t>
  </si>
  <si>
    <t>0401018000</t>
  </si>
  <si>
    <t>Mataasnakahoy</t>
  </si>
  <si>
    <t>041018000</t>
  </si>
  <si>
    <t>0401019000</t>
  </si>
  <si>
    <t>041019000</t>
  </si>
  <si>
    <t>0401020000</t>
  </si>
  <si>
    <t>Padre Garcia</t>
  </si>
  <si>
    <t>041020000</t>
  </si>
  <si>
    <t>0401021000</t>
  </si>
  <si>
    <t>041021000</t>
  </si>
  <si>
    <t>0401022000</t>
  </si>
  <si>
    <t>041022000</t>
  </si>
  <si>
    <t>0401023000</t>
  </si>
  <si>
    <t>041023000</t>
  </si>
  <si>
    <t>0401024000</t>
  </si>
  <si>
    <t>041024000</t>
  </si>
  <si>
    <t>0401025000</t>
  </si>
  <si>
    <t>041025000</t>
  </si>
  <si>
    <t>0401026000</t>
  </si>
  <si>
    <t>San Pascual</t>
  </si>
  <si>
    <t>041026000</t>
  </si>
  <si>
    <t>0401027000</t>
  </si>
  <si>
    <t>041027000</t>
  </si>
  <si>
    <t>0401028000</t>
  </si>
  <si>
    <t>City of Sto. Tomas</t>
  </si>
  <si>
    <t>041028000</t>
  </si>
  <si>
    <t>0401029000</t>
  </si>
  <si>
    <t>041029000</t>
  </si>
  <si>
    <t>0401030000</t>
  </si>
  <si>
    <t>041030000</t>
  </si>
  <si>
    <t>0401031000</t>
  </si>
  <si>
    <t>City of Tanauan</t>
  </si>
  <si>
    <t>041031000</t>
  </si>
  <si>
    <t>0401032000</t>
  </si>
  <si>
    <t>041032000</t>
  </si>
  <si>
    <t>0401033000</t>
  </si>
  <si>
    <t>041033000</t>
  </si>
  <si>
    <t>0401034000</t>
  </si>
  <si>
    <t>041034000</t>
  </si>
  <si>
    <t>0402101000</t>
  </si>
  <si>
    <t>042101000</t>
  </si>
  <si>
    <t>0402102000</t>
  </si>
  <si>
    <t>042102000</t>
  </si>
  <si>
    <t>0402103000</t>
  </si>
  <si>
    <t>City of Bacoor</t>
  </si>
  <si>
    <t>042103000</t>
  </si>
  <si>
    <t>0402104000</t>
  </si>
  <si>
    <t>City of Carmona</t>
  </si>
  <si>
    <t>042104000</t>
  </si>
  <si>
    <t>0402105000</t>
  </si>
  <si>
    <t>City of Cavite</t>
  </si>
  <si>
    <t>042105000</t>
  </si>
  <si>
    <t>0402106000</t>
  </si>
  <si>
    <t>City of Dasmariñas</t>
  </si>
  <si>
    <t>042106000</t>
  </si>
  <si>
    <t>0402107000</t>
  </si>
  <si>
    <t>General Emilio Aguinaldo</t>
  </si>
  <si>
    <t>042107000</t>
  </si>
  <si>
    <t>0402108000</t>
  </si>
  <si>
    <t>City of General Trias</t>
  </si>
  <si>
    <t>042108000</t>
  </si>
  <si>
    <t>0402109000</t>
  </si>
  <si>
    <t>City of Imus</t>
  </si>
  <si>
    <t>042109000</t>
  </si>
  <si>
    <t>0402110000</t>
  </si>
  <si>
    <t>042110000</t>
  </si>
  <si>
    <t>0402111000</t>
  </si>
  <si>
    <t>042111000</t>
  </si>
  <si>
    <t>0402112000</t>
  </si>
  <si>
    <t>042112000</t>
  </si>
  <si>
    <t>0402113000</t>
  </si>
  <si>
    <t>042113000</t>
  </si>
  <si>
    <t>0402114000</t>
  </si>
  <si>
    <t>042114000</t>
  </si>
  <si>
    <t>Mendez-Nuñez</t>
  </si>
  <si>
    <t>0402115000</t>
  </si>
  <si>
    <t>042115000</t>
  </si>
  <si>
    <t>0402116000</t>
  </si>
  <si>
    <t>042116000</t>
  </si>
  <si>
    <t>0402117000</t>
  </si>
  <si>
    <t>042117000</t>
  </si>
  <si>
    <t>0402118000</t>
  </si>
  <si>
    <t>042118000</t>
  </si>
  <si>
    <t>0402119000</t>
  </si>
  <si>
    <t>City of Tagaytay</t>
  </si>
  <si>
    <t>042119000</t>
  </si>
  <si>
    <t>0402120000</t>
  </si>
  <si>
    <t>042120000</t>
  </si>
  <si>
    <t>0402121000</t>
  </si>
  <si>
    <t>042121000</t>
  </si>
  <si>
    <t>0402122000</t>
  </si>
  <si>
    <t>City of Trece Martires</t>
  </si>
  <si>
    <t>042122000</t>
  </si>
  <si>
    <t>0402123000</t>
  </si>
  <si>
    <t>Gen. Mariano Alvarez</t>
  </si>
  <si>
    <t>042123000</t>
  </si>
  <si>
    <t>0403401000</t>
  </si>
  <si>
    <t>043401000</t>
  </si>
  <si>
    <t>0403402000</t>
  </si>
  <si>
    <t>043402000</t>
  </si>
  <si>
    <t>0403403000</t>
  </si>
  <si>
    <t>City of Biñan</t>
  </si>
  <si>
    <t>043403000</t>
  </si>
  <si>
    <t>0403404000</t>
  </si>
  <si>
    <t>City of Cabuyao</t>
  </si>
  <si>
    <t>043404000</t>
  </si>
  <si>
    <t>0403405000</t>
  </si>
  <si>
    <t>City of Calamba</t>
  </si>
  <si>
    <t>043405000</t>
  </si>
  <si>
    <t>0403406000</t>
  </si>
  <si>
    <t>043406000</t>
  </si>
  <si>
    <t>0403407000</t>
  </si>
  <si>
    <t>043407000</t>
  </si>
  <si>
    <t>0403408000</t>
  </si>
  <si>
    <t>043408000</t>
  </si>
  <si>
    <t>0403409000</t>
  </si>
  <si>
    <t>043409000</t>
  </si>
  <si>
    <t>0403410000</t>
  </si>
  <si>
    <t>043410000</t>
  </si>
  <si>
    <t>0403411000</t>
  </si>
  <si>
    <t>Los Baños</t>
  </si>
  <si>
    <t>043411000</t>
  </si>
  <si>
    <t>0403412000</t>
  </si>
  <si>
    <t>043412000</t>
  </si>
  <si>
    <t>0403413000</t>
  </si>
  <si>
    <t>043413000</t>
  </si>
  <si>
    <t>0403414000</t>
  </si>
  <si>
    <t>043414000</t>
  </si>
  <si>
    <t>0403415000</t>
  </si>
  <si>
    <t>043415000</t>
  </si>
  <si>
    <t>0403416000</t>
  </si>
  <si>
    <t>043416000</t>
  </si>
  <si>
    <t>0403417000</t>
  </si>
  <si>
    <t>043417000</t>
  </si>
  <si>
    <t>0403418000</t>
  </si>
  <si>
    <t>043418000</t>
  </si>
  <si>
    <t>0403419000</t>
  </si>
  <si>
    <t>043419000</t>
  </si>
  <si>
    <t>0403420000</t>
  </si>
  <si>
    <t>043420000</t>
  </si>
  <si>
    <t>0403421000</t>
  </si>
  <si>
    <t>043421000</t>
  </si>
  <si>
    <t>0403422000</t>
  </si>
  <si>
    <t>043422000</t>
  </si>
  <si>
    <t>0403423000</t>
  </si>
  <si>
    <t>043423000</t>
  </si>
  <si>
    <t>0403424000</t>
  </si>
  <si>
    <t>City of San Pablo</t>
  </si>
  <si>
    <t>043424000</t>
  </si>
  <si>
    <t>0403425000</t>
  </si>
  <si>
    <t>City of San Pedro</t>
  </si>
  <si>
    <t>043425000</t>
  </si>
  <si>
    <t>0403426000</t>
  </si>
  <si>
    <t>043426000</t>
  </si>
  <si>
    <t>0403427000</t>
  </si>
  <si>
    <t>043427000</t>
  </si>
  <si>
    <t>0403428000</t>
  </si>
  <si>
    <t>City of Santa Rosa</t>
  </si>
  <si>
    <t>043428000</t>
  </si>
  <si>
    <t>0403429000</t>
  </si>
  <si>
    <t>043429000</t>
  </si>
  <si>
    <t>0403430000</t>
  </si>
  <si>
    <t>043430000</t>
  </si>
  <si>
    <t>0405601000</t>
  </si>
  <si>
    <t>045601000</t>
  </si>
  <si>
    <t>0405602000</t>
  </si>
  <si>
    <t>045602000</t>
  </si>
  <si>
    <t>0405603000</t>
  </si>
  <si>
    <t>045603000</t>
  </si>
  <si>
    <t>0405605000</t>
  </si>
  <si>
    <t>045605000</t>
  </si>
  <si>
    <t>0405606000</t>
  </si>
  <si>
    <t>045606000</t>
  </si>
  <si>
    <t>0405607000</t>
  </si>
  <si>
    <t>045607000</t>
  </si>
  <si>
    <t>0405608000</t>
  </si>
  <si>
    <t>045608000</t>
  </si>
  <si>
    <t>0405610000</t>
  </si>
  <si>
    <t>045610000</t>
  </si>
  <si>
    <t>0405615000</t>
  </si>
  <si>
    <t>045615000</t>
  </si>
  <si>
    <t>0405616000</t>
  </si>
  <si>
    <t>General Luna</t>
  </si>
  <si>
    <t>045616000</t>
  </si>
  <si>
    <t>0405617000</t>
  </si>
  <si>
    <t>General Nakar</t>
  </si>
  <si>
    <t>045617000</t>
  </si>
  <si>
    <t>0405618000</t>
  </si>
  <si>
    <t>045618000</t>
  </si>
  <si>
    <t>0405619000</t>
  </si>
  <si>
    <t>045619000</t>
  </si>
  <si>
    <t>0405620000</t>
  </si>
  <si>
    <t>045620000</t>
  </si>
  <si>
    <t>0405621000</t>
  </si>
  <si>
    <t>045621000</t>
  </si>
  <si>
    <t>0405622000</t>
  </si>
  <si>
    <t>045622000</t>
  </si>
  <si>
    <t>0405623000</t>
  </si>
  <si>
    <t>045623000</t>
  </si>
  <si>
    <t>0405625000</t>
  </si>
  <si>
    <t>045625000</t>
  </si>
  <si>
    <t>0405627000</t>
  </si>
  <si>
    <t>045627000</t>
  </si>
  <si>
    <t>0405628000</t>
  </si>
  <si>
    <t>045628000</t>
  </si>
  <si>
    <t>0405629000</t>
  </si>
  <si>
    <t>Padre Burgos</t>
  </si>
  <si>
    <t>045629000</t>
  </si>
  <si>
    <t>0405630000</t>
  </si>
  <si>
    <t>045630000</t>
  </si>
  <si>
    <t>0405631000</t>
  </si>
  <si>
    <t>045631000</t>
  </si>
  <si>
    <t>0405632000</t>
  </si>
  <si>
    <t>045632000</t>
  </si>
  <si>
    <t>0405633000</t>
  </si>
  <si>
    <t>045633000</t>
  </si>
  <si>
    <t>0405634000</t>
  </si>
  <si>
    <t>045634000</t>
  </si>
  <si>
    <t>0405635000</t>
  </si>
  <si>
    <t>045635000</t>
  </si>
  <si>
    <t>0405636000</t>
  </si>
  <si>
    <t>045636000</t>
  </si>
  <si>
    <t>0405637000</t>
  </si>
  <si>
    <t>045637000</t>
  </si>
  <si>
    <t>0405638000</t>
  </si>
  <si>
    <t>045638000</t>
  </si>
  <si>
    <t>0405639000</t>
  </si>
  <si>
    <t>045639000</t>
  </si>
  <si>
    <t>0405640000</t>
  </si>
  <si>
    <t>San Andres</t>
  </si>
  <si>
    <t>045640000</t>
  </si>
  <si>
    <t>0405641000</t>
  </si>
  <si>
    <t>045641000</t>
  </si>
  <si>
    <t>0405642000</t>
  </si>
  <si>
    <t>San Francisco</t>
  </si>
  <si>
    <t>045642000</t>
  </si>
  <si>
    <t>0405644000</t>
  </si>
  <si>
    <t>045644000</t>
  </si>
  <si>
    <t>0405645000</t>
  </si>
  <si>
    <t>045645000</t>
  </si>
  <si>
    <t>0405646000</t>
  </si>
  <si>
    <t>045646000</t>
  </si>
  <si>
    <t>0405647000</t>
  </si>
  <si>
    <t>City of Tayabas</t>
  </si>
  <si>
    <t>045647000</t>
  </si>
  <si>
    <t>0405648000</t>
  </si>
  <si>
    <t>045648000</t>
  </si>
  <si>
    <t>0405649000</t>
  </si>
  <si>
    <t>045649000</t>
  </si>
  <si>
    <t>0405801000</t>
  </si>
  <si>
    <t>045801000</t>
  </si>
  <si>
    <t>0405802000</t>
  </si>
  <si>
    <t>City of Antipolo</t>
  </si>
  <si>
    <t>045802000</t>
  </si>
  <si>
    <t>0405803000</t>
  </si>
  <si>
    <t>045803000</t>
  </si>
  <si>
    <t>0405804000</t>
  </si>
  <si>
    <t>045804000</t>
  </si>
  <si>
    <t>0405805000</t>
  </si>
  <si>
    <t>045805000</t>
  </si>
  <si>
    <t>0405806000</t>
  </si>
  <si>
    <t>045806000</t>
  </si>
  <si>
    <t>0405807000</t>
  </si>
  <si>
    <t>045807000</t>
  </si>
  <si>
    <t>0405808000</t>
  </si>
  <si>
    <t>045808000</t>
  </si>
  <si>
    <t>Montalban</t>
  </si>
  <si>
    <t>0405809000</t>
  </si>
  <si>
    <t>045809000</t>
  </si>
  <si>
    <t>0405810000</t>
  </si>
  <si>
    <t>045810000</t>
  </si>
  <si>
    <t>0405811000</t>
  </si>
  <si>
    <t>045811000</t>
  </si>
  <si>
    <t>0405812000</t>
  </si>
  <si>
    <t>045812000</t>
  </si>
  <si>
    <t>0405813000</t>
  </si>
  <si>
    <t>045813000</t>
  </si>
  <si>
    <t>0405814000</t>
  </si>
  <si>
    <t>045814000</t>
  </si>
  <si>
    <t>0431200000</t>
  </si>
  <si>
    <t>City of Lucena</t>
  </si>
  <si>
    <t>045624000</t>
  </si>
  <si>
    <t>1704001000</t>
  </si>
  <si>
    <t>Region 4B</t>
  </si>
  <si>
    <t>1704002000</t>
  </si>
  <si>
    <t>1704003000</t>
  </si>
  <si>
    <t>1704004000</t>
  </si>
  <si>
    <t>1704005000</t>
  </si>
  <si>
    <t>1704006000</t>
  </si>
  <si>
    <t>1705101000</t>
  </si>
  <si>
    <t>Occidental Mindoro</t>
  </si>
  <si>
    <t>Abra De Ilog</t>
  </si>
  <si>
    <t>1705102000</t>
  </si>
  <si>
    <t>1705103000</t>
  </si>
  <si>
    <t>1705104000</t>
  </si>
  <si>
    <t>1705105000</t>
  </si>
  <si>
    <t>1705106000</t>
  </si>
  <si>
    <t>1705107000</t>
  </si>
  <si>
    <t>1705108000</t>
  </si>
  <si>
    <t>1705109000</t>
  </si>
  <si>
    <t>1705110000</t>
  </si>
  <si>
    <t>1705111000</t>
  </si>
  <si>
    <t>1705201000</t>
  </si>
  <si>
    <t>Oriental Mindoro</t>
  </si>
  <si>
    <t>1705202000</t>
  </si>
  <si>
    <t>1705203000</t>
  </si>
  <si>
    <t>1705204000</t>
  </si>
  <si>
    <t>San Pedro</t>
  </si>
  <si>
    <t>1705205000</t>
  </si>
  <si>
    <t>City of Calapan</t>
  </si>
  <si>
    <t>1705206000</t>
  </si>
  <si>
    <t>1705207000</t>
  </si>
  <si>
    <t>1705208000</t>
  </si>
  <si>
    <t>1705209000</t>
  </si>
  <si>
    <t>1705210000</t>
  </si>
  <si>
    <t>1705211000</t>
  </si>
  <si>
    <t>Puerto Galera</t>
  </si>
  <si>
    <t>1705212000</t>
  </si>
  <si>
    <t>1705213000</t>
  </si>
  <si>
    <t>San Teodoro</t>
  </si>
  <si>
    <t>1705214000</t>
  </si>
  <si>
    <t>1705215000</t>
  </si>
  <si>
    <t>1705301000</t>
  </si>
  <si>
    <t>1705302000</t>
  </si>
  <si>
    <t>1705303000</t>
  </si>
  <si>
    <t>1705304000</t>
  </si>
  <si>
    <t>1705305000</t>
  </si>
  <si>
    <t>1705306000</t>
  </si>
  <si>
    <t>Brooke's Point</t>
  </si>
  <si>
    <t>1705307000</t>
  </si>
  <si>
    <t>1705308000</t>
  </si>
  <si>
    <t>1705309000</t>
  </si>
  <si>
    <t>1705310000</t>
  </si>
  <si>
    <t>1705311000</t>
  </si>
  <si>
    <t>1705312000</t>
  </si>
  <si>
    <t>El Nido</t>
  </si>
  <si>
    <t>Bacuit</t>
  </si>
  <si>
    <t>1705313000</t>
  </si>
  <si>
    <t>1705314000</t>
  </si>
  <si>
    <t>1705315000</t>
  </si>
  <si>
    <t>1705317000</t>
  </si>
  <si>
    <t>1705318000</t>
  </si>
  <si>
    <t>1705319000</t>
  </si>
  <si>
    <t>1705320000</t>
  </si>
  <si>
    <t>1705321000</t>
  </si>
  <si>
    <t>1705322000</t>
  </si>
  <si>
    <t>1705323000</t>
  </si>
  <si>
    <t>Dr. Jose P. Rizal</t>
  </si>
  <si>
    <t>1705324000</t>
  </si>
  <si>
    <t>Sofronio Española</t>
  </si>
  <si>
    <t>1705901000</t>
  </si>
  <si>
    <t>1705902000</t>
  </si>
  <si>
    <t>1705903000</t>
  </si>
  <si>
    <t>1705904000</t>
  </si>
  <si>
    <t>1705905000</t>
  </si>
  <si>
    <t>1705906000</t>
  </si>
  <si>
    <t>1705907000</t>
  </si>
  <si>
    <t>1705908000</t>
  </si>
  <si>
    <t>1705909000</t>
  </si>
  <si>
    <t>1705910000</t>
  </si>
  <si>
    <t>1705911000</t>
  </si>
  <si>
    <t>1705912000</t>
  </si>
  <si>
    <t>1705913000</t>
  </si>
  <si>
    <t>San Fernando</t>
  </si>
  <si>
    <t>1705914000</t>
  </si>
  <si>
    <t>1705915000</t>
  </si>
  <si>
    <t>1705916000</t>
  </si>
  <si>
    <t>1705917000</t>
  </si>
  <si>
    <t>City of Puerto Princesa</t>
  </si>
  <si>
    <t>0500501000</t>
  </si>
  <si>
    <t>Region 05</t>
  </si>
  <si>
    <t>050501000</t>
  </si>
  <si>
    <t>0500502000</t>
  </si>
  <si>
    <t>050502000</t>
  </si>
  <si>
    <t>0500503000</t>
  </si>
  <si>
    <t>050503000</t>
  </si>
  <si>
    <t>Locsin</t>
  </si>
  <si>
    <t>0500504000</t>
  </si>
  <si>
    <t>050504000</t>
  </si>
  <si>
    <t>0500505000</t>
  </si>
  <si>
    <t>050505000</t>
  </si>
  <si>
    <t>0500506000</t>
  </si>
  <si>
    <t>City of Legazpi</t>
  </si>
  <si>
    <t>050506000</t>
  </si>
  <si>
    <t>0500507000</t>
  </si>
  <si>
    <t>050507000</t>
  </si>
  <si>
    <t>0500508000</t>
  </si>
  <si>
    <t>City of Ligao</t>
  </si>
  <si>
    <t>050508000</t>
  </si>
  <si>
    <t>0500509000</t>
  </si>
  <si>
    <t>050509000</t>
  </si>
  <si>
    <t>0500510000</t>
  </si>
  <si>
    <t>050510000</t>
  </si>
  <si>
    <t>0500511000</t>
  </si>
  <si>
    <t>050511000</t>
  </si>
  <si>
    <t>0500512000</t>
  </si>
  <si>
    <t>050512000</t>
  </si>
  <si>
    <t>0500513000</t>
  </si>
  <si>
    <t>Pio Duran</t>
  </si>
  <si>
    <t>050513000</t>
  </si>
  <si>
    <t>0500514000</t>
  </si>
  <si>
    <t>050514000</t>
  </si>
  <si>
    <t>0500515000</t>
  </si>
  <si>
    <t>050515000</t>
  </si>
  <si>
    <t>0500516000</t>
  </si>
  <si>
    <t>050516000</t>
  </si>
  <si>
    <t>Libog</t>
  </si>
  <si>
    <t>0500517000</t>
  </si>
  <si>
    <t>City of Tabaco</t>
  </si>
  <si>
    <t>050517000</t>
  </si>
  <si>
    <t>0500518000</t>
  </si>
  <si>
    <t>050518000</t>
  </si>
  <si>
    <t>0501601000</t>
  </si>
  <si>
    <t>Camarines Norte</t>
  </si>
  <si>
    <t>051601000</t>
  </si>
  <si>
    <t>0501602000</t>
  </si>
  <si>
    <t>051602000</t>
  </si>
  <si>
    <t>0501603000</t>
  </si>
  <si>
    <t>051603000</t>
  </si>
  <si>
    <t>0501604000</t>
  </si>
  <si>
    <t>San Lorenzo Ruiz</t>
  </si>
  <si>
    <t>051604000</t>
  </si>
  <si>
    <t>0501605000</t>
  </si>
  <si>
    <t>Jose Panganiban</t>
  </si>
  <si>
    <t>051605000</t>
  </si>
  <si>
    <t>0501606000</t>
  </si>
  <si>
    <t>051606000</t>
  </si>
  <si>
    <t>0501607000</t>
  </si>
  <si>
    <t>051607000</t>
  </si>
  <si>
    <t>0501608000</t>
  </si>
  <si>
    <t>051608000</t>
  </si>
  <si>
    <t>0501609000</t>
  </si>
  <si>
    <t>051609000</t>
  </si>
  <si>
    <t>0501610000</t>
  </si>
  <si>
    <t>Santa Elena</t>
  </si>
  <si>
    <t>051610000</t>
  </si>
  <si>
    <t>0501611000</t>
  </si>
  <si>
    <t>051611000</t>
  </si>
  <si>
    <t>0501612000</t>
  </si>
  <si>
    <t>051612000</t>
  </si>
  <si>
    <t>0501701000</t>
  </si>
  <si>
    <t>Camarines Sur</t>
  </si>
  <si>
    <t>051701000</t>
  </si>
  <si>
    <t>0501702000</t>
  </si>
  <si>
    <t>051702000</t>
  </si>
  <si>
    <t>0501703000</t>
  </si>
  <si>
    <t>051703000</t>
  </si>
  <si>
    <t>0501704000</t>
  </si>
  <si>
    <t>051704000</t>
  </si>
  <si>
    <t>0501705000</t>
  </si>
  <si>
    <t>051705000</t>
  </si>
  <si>
    <t>0501706000</t>
  </si>
  <si>
    <t>051706000</t>
  </si>
  <si>
    <t>0501707000</t>
  </si>
  <si>
    <t>051707000</t>
  </si>
  <si>
    <t>0501708000</t>
  </si>
  <si>
    <t>051708000</t>
  </si>
  <si>
    <t>0501709000</t>
  </si>
  <si>
    <t>051709000</t>
  </si>
  <si>
    <t>0501710000</t>
  </si>
  <si>
    <t>051710000</t>
  </si>
  <si>
    <t>0501711000</t>
  </si>
  <si>
    <t>051711000</t>
  </si>
  <si>
    <t>0501712000</t>
  </si>
  <si>
    <t>Del Gallego</t>
  </si>
  <si>
    <t>051712000</t>
  </si>
  <si>
    <t>0501713000</t>
  </si>
  <si>
    <t>051713000</t>
  </si>
  <si>
    <t>0501714000</t>
  </si>
  <si>
    <t>051714000</t>
  </si>
  <si>
    <t>0501715000</t>
  </si>
  <si>
    <t>051715000</t>
  </si>
  <si>
    <t>0501716000</t>
  </si>
  <si>
    <t>City of Iriga</t>
  </si>
  <si>
    <t>051716000</t>
  </si>
  <si>
    <t>0501717000</t>
  </si>
  <si>
    <t>051717000</t>
  </si>
  <si>
    <t>0501718000</t>
  </si>
  <si>
    <t>051718000</t>
  </si>
  <si>
    <t>0501719000</t>
  </si>
  <si>
    <t>051719000</t>
  </si>
  <si>
    <t>0501720000</t>
  </si>
  <si>
    <t>051720000</t>
  </si>
  <si>
    <t>0501721000</t>
  </si>
  <si>
    <t>051721000</t>
  </si>
  <si>
    <t>0501722000</t>
  </si>
  <si>
    <t>051722000</t>
  </si>
  <si>
    <t>0501723000</t>
  </si>
  <si>
    <t>051723000</t>
  </si>
  <si>
    <t>0501724000</t>
  </si>
  <si>
    <t>City of Naga</t>
  </si>
  <si>
    <t>051724000</t>
  </si>
  <si>
    <t>0501725000</t>
  </si>
  <si>
    <t>051725000</t>
  </si>
  <si>
    <t>0501726000</t>
  </si>
  <si>
    <t>051726000</t>
  </si>
  <si>
    <t>0501727000</t>
  </si>
  <si>
    <t>051727000</t>
  </si>
  <si>
    <t>0501728000</t>
  </si>
  <si>
    <t>051728000</t>
  </si>
  <si>
    <t>0501729000</t>
  </si>
  <si>
    <t>051729000</t>
  </si>
  <si>
    <t>Parubcan</t>
  </si>
  <si>
    <t>0501730000</t>
  </si>
  <si>
    <t>051730000</t>
  </si>
  <si>
    <t>0501731000</t>
  </si>
  <si>
    <t>051731000</t>
  </si>
  <si>
    <t>0501732000</t>
  </si>
  <si>
    <t>051732000</t>
  </si>
  <si>
    <t>0501733000</t>
  </si>
  <si>
    <t>051733000</t>
  </si>
  <si>
    <t>0501734000</t>
  </si>
  <si>
    <t>051734000</t>
  </si>
  <si>
    <t>0501735000</t>
  </si>
  <si>
    <t>051735000</t>
  </si>
  <si>
    <t>0501736000</t>
  </si>
  <si>
    <t>051736000</t>
  </si>
  <si>
    <t>0501737000</t>
  </si>
  <si>
    <t>051737000</t>
  </si>
  <si>
    <t>0502001000</t>
  </si>
  <si>
    <t>052001000</t>
  </si>
  <si>
    <t>0502002000</t>
  </si>
  <si>
    <t>052002000</t>
  </si>
  <si>
    <t>0502003000</t>
  </si>
  <si>
    <t>052003000</t>
  </si>
  <si>
    <t>0502004000</t>
  </si>
  <si>
    <t>052004000</t>
  </si>
  <si>
    <t>0502005000</t>
  </si>
  <si>
    <t>052005000</t>
  </si>
  <si>
    <t>0502006000</t>
  </si>
  <si>
    <t>052006000</t>
  </si>
  <si>
    <t>0502007000</t>
  </si>
  <si>
    <t>052007000</t>
  </si>
  <si>
    <t>Payo</t>
  </si>
  <si>
    <t>0502008000</t>
  </si>
  <si>
    <t>052008000</t>
  </si>
  <si>
    <t>Calolbon</t>
  </si>
  <si>
    <t>0502009000</t>
  </si>
  <si>
    <t>052009000</t>
  </si>
  <si>
    <t>0502010000</t>
  </si>
  <si>
    <t>052010000</t>
  </si>
  <si>
    <t>0502011000</t>
  </si>
  <si>
    <t>052011000</t>
  </si>
  <si>
    <t>0504101000</t>
  </si>
  <si>
    <t>054101000</t>
  </si>
  <si>
    <t>0504102000</t>
  </si>
  <si>
    <t>054102000</t>
  </si>
  <si>
    <t>0504103000</t>
  </si>
  <si>
    <t>054103000</t>
  </si>
  <si>
    <t>4th*</t>
  </si>
  <si>
    <t>0504104000</t>
  </si>
  <si>
    <t>054104000</t>
  </si>
  <si>
    <t>0504105000</t>
  </si>
  <si>
    <t>054105000</t>
  </si>
  <si>
    <t>0504106000</t>
  </si>
  <si>
    <t>054106000</t>
  </si>
  <si>
    <t>0504107000</t>
  </si>
  <si>
    <t>054107000</t>
  </si>
  <si>
    <t>0504108000</t>
  </si>
  <si>
    <t>054108000</t>
  </si>
  <si>
    <t>0504109000</t>
  </si>
  <si>
    <t>054109000</t>
  </si>
  <si>
    <t>0504110000</t>
  </si>
  <si>
    <t>054110000</t>
  </si>
  <si>
    <t>0504111000</t>
  </si>
  <si>
    <t>City of Masbate</t>
  </si>
  <si>
    <t>054111000</t>
  </si>
  <si>
    <t>0504112000</t>
  </si>
  <si>
    <t>054112000</t>
  </si>
  <si>
    <t>0504113000</t>
  </si>
  <si>
    <t>054113000</t>
  </si>
  <si>
    <t>0504114000</t>
  </si>
  <si>
    <t>054114000</t>
  </si>
  <si>
    <t>0504115000</t>
  </si>
  <si>
    <t>054115000</t>
  </si>
  <si>
    <t>0504116000</t>
  </si>
  <si>
    <t>Pio V. Corpus</t>
  </si>
  <si>
    <t>054116000</t>
  </si>
  <si>
    <t>Limbuhan</t>
  </si>
  <si>
    <t>0504117000</t>
  </si>
  <si>
    <t>054117000</t>
  </si>
  <si>
    <t>0504118000</t>
  </si>
  <si>
    <t>054118000</t>
  </si>
  <si>
    <t>5th*</t>
  </si>
  <si>
    <t>0504119000</t>
  </si>
  <si>
    <t>054119000</t>
  </si>
  <si>
    <t>0504120000</t>
  </si>
  <si>
    <t>054120000</t>
  </si>
  <si>
    <t>0504121000</t>
  </si>
  <si>
    <t>054121000</t>
  </si>
  <si>
    <t>0506202000</t>
  </si>
  <si>
    <t>056202000</t>
  </si>
  <si>
    <t>0506203000</t>
  </si>
  <si>
    <t>056203000</t>
  </si>
  <si>
    <t>0506204000</t>
  </si>
  <si>
    <t>056204000</t>
  </si>
  <si>
    <t>0506205000</t>
  </si>
  <si>
    <t>056205000</t>
  </si>
  <si>
    <t>0506206000</t>
  </si>
  <si>
    <t>056206000</t>
  </si>
  <si>
    <t>0506207000</t>
  </si>
  <si>
    <t>056207000</t>
  </si>
  <si>
    <t>0506208000</t>
  </si>
  <si>
    <t>056208000</t>
  </si>
  <si>
    <t>0506209000</t>
  </si>
  <si>
    <t>056209000</t>
  </si>
  <si>
    <t>0506210000</t>
  </si>
  <si>
    <t>056210000</t>
  </si>
  <si>
    <t>0506211000</t>
  </si>
  <si>
    <t>056211000</t>
  </si>
  <si>
    <t>0506212000</t>
  </si>
  <si>
    <t>056212000</t>
  </si>
  <si>
    <t>0506213000</t>
  </si>
  <si>
    <t>056213000</t>
  </si>
  <si>
    <t>0506214000</t>
  </si>
  <si>
    <t>Prieto Diaz</t>
  </si>
  <si>
    <t>056214000</t>
  </si>
  <si>
    <t>0506215000</t>
  </si>
  <si>
    <t>Santa Magdalena</t>
  </si>
  <si>
    <t>056215000</t>
  </si>
  <si>
    <t>0506216000</t>
  </si>
  <si>
    <t>City of Sorsogon</t>
  </si>
  <si>
    <t>056216000</t>
  </si>
  <si>
    <t>0600401000</t>
  </si>
  <si>
    <t>Region 06</t>
  </si>
  <si>
    <t>060401000</t>
  </si>
  <si>
    <t>0600402000</t>
  </si>
  <si>
    <t>060402000</t>
  </si>
  <si>
    <t>0600403000</t>
  </si>
  <si>
    <t>060403000</t>
  </si>
  <si>
    <t>0600404000</t>
  </si>
  <si>
    <t>060404000</t>
  </si>
  <si>
    <t>0600405000</t>
  </si>
  <si>
    <t>060405000</t>
  </si>
  <si>
    <t>0600406000</t>
  </si>
  <si>
    <t>060406000</t>
  </si>
  <si>
    <t>0600407000</t>
  </si>
  <si>
    <t>060407000</t>
  </si>
  <si>
    <t>0600408000</t>
  </si>
  <si>
    <t>060408000</t>
  </si>
  <si>
    <t>0600409000</t>
  </si>
  <si>
    <t>060409000</t>
  </si>
  <si>
    <t>0600410000</t>
  </si>
  <si>
    <t>060410000</t>
  </si>
  <si>
    <t>0600411000</t>
  </si>
  <si>
    <t>060411000</t>
  </si>
  <si>
    <t>0600412000</t>
  </si>
  <si>
    <t>060412000</t>
  </si>
  <si>
    <t>0600413000</t>
  </si>
  <si>
    <t>060413000</t>
  </si>
  <si>
    <t>0600414000</t>
  </si>
  <si>
    <t>060414000</t>
  </si>
  <si>
    <t>0600415000</t>
  </si>
  <si>
    <t>New Washington</t>
  </si>
  <si>
    <t>060415000</t>
  </si>
  <si>
    <t>0600416000</t>
  </si>
  <si>
    <t>060416000</t>
  </si>
  <si>
    <t>0600417000</t>
  </si>
  <si>
    <t>060417000</t>
  </si>
  <si>
    <t>0600601000</t>
  </si>
  <si>
    <t>060601000</t>
  </si>
  <si>
    <t>0600602000</t>
  </si>
  <si>
    <t>060602000</t>
  </si>
  <si>
    <t>0600603000</t>
  </si>
  <si>
    <t>060603000</t>
  </si>
  <si>
    <t>0600604000</t>
  </si>
  <si>
    <t>060604000</t>
  </si>
  <si>
    <t>0600605000</t>
  </si>
  <si>
    <t>060605000</t>
  </si>
  <si>
    <t>0600606000</t>
  </si>
  <si>
    <t>060606000</t>
  </si>
  <si>
    <t>0600607000</t>
  </si>
  <si>
    <t>Tobias Fornier</t>
  </si>
  <si>
    <t>060607000</t>
  </si>
  <si>
    <t>0600608000</t>
  </si>
  <si>
    <t>060608000</t>
  </si>
  <si>
    <t>0600609000</t>
  </si>
  <si>
    <t>060609000</t>
  </si>
  <si>
    <t>0600610000</t>
  </si>
  <si>
    <t>060610000</t>
  </si>
  <si>
    <t>0600611000</t>
  </si>
  <si>
    <t>060611000</t>
  </si>
  <si>
    <t>0600612000</t>
  </si>
  <si>
    <t>060612000</t>
  </si>
  <si>
    <t>0600613000</t>
  </si>
  <si>
    <t>060613000</t>
  </si>
  <si>
    <t>0600614000</t>
  </si>
  <si>
    <t>San Remigio</t>
  </si>
  <si>
    <t>060614000</t>
  </si>
  <si>
    <t>0600615000</t>
  </si>
  <si>
    <t>060615000</t>
  </si>
  <si>
    <t>0600616000</t>
  </si>
  <si>
    <t>060616000</t>
  </si>
  <si>
    <t>0600617000</t>
  </si>
  <si>
    <t>060617000</t>
  </si>
  <si>
    <t>0600618000</t>
  </si>
  <si>
    <t>060618000</t>
  </si>
  <si>
    <t>0601901000</t>
  </si>
  <si>
    <t>061901000</t>
  </si>
  <si>
    <t>0601902000</t>
  </si>
  <si>
    <t>061902000</t>
  </si>
  <si>
    <t>0601903000</t>
  </si>
  <si>
    <t>061903000</t>
  </si>
  <si>
    <t>0601904000</t>
  </si>
  <si>
    <t>061904000</t>
  </si>
  <si>
    <t>0601905000</t>
  </si>
  <si>
    <t>061905000</t>
  </si>
  <si>
    <t>0601906000</t>
  </si>
  <si>
    <t>061906000</t>
  </si>
  <si>
    <t>0601907000</t>
  </si>
  <si>
    <t>061907000</t>
  </si>
  <si>
    <t>0601908000</t>
  </si>
  <si>
    <t>061908000</t>
  </si>
  <si>
    <t>0601909000</t>
  </si>
  <si>
    <t>061909000</t>
  </si>
  <si>
    <t>0601910000</t>
  </si>
  <si>
    <t>061910000</t>
  </si>
  <si>
    <t>0601911000</t>
  </si>
  <si>
    <t>061911000</t>
  </si>
  <si>
    <t>0601912000</t>
  </si>
  <si>
    <t>061912000</t>
  </si>
  <si>
    <t>0601913000</t>
  </si>
  <si>
    <t>President Roxas</t>
  </si>
  <si>
    <t>061913000</t>
  </si>
  <si>
    <t>0601914000</t>
  </si>
  <si>
    <t>City of Roxas</t>
  </si>
  <si>
    <t>061914000</t>
  </si>
  <si>
    <t>0601915000</t>
  </si>
  <si>
    <t>061915000</t>
  </si>
  <si>
    <t>0601916000</t>
  </si>
  <si>
    <t>061916000</t>
  </si>
  <si>
    <t>0601917000</t>
  </si>
  <si>
    <t>061917000</t>
  </si>
  <si>
    <t>0603001000</t>
  </si>
  <si>
    <t>063001000</t>
  </si>
  <si>
    <t>0603002000</t>
  </si>
  <si>
    <t>063002000</t>
  </si>
  <si>
    <t>0603003000</t>
  </si>
  <si>
    <t>063003000</t>
  </si>
  <si>
    <t>0603004000</t>
  </si>
  <si>
    <t>063004000</t>
  </si>
  <si>
    <t>0603005000</t>
  </si>
  <si>
    <t>063005000</t>
  </si>
  <si>
    <t>0603006000</t>
  </si>
  <si>
    <t>063006000</t>
  </si>
  <si>
    <t>0603007000</t>
  </si>
  <si>
    <t>Barotac Nuevo</t>
  </si>
  <si>
    <t>063007000</t>
  </si>
  <si>
    <t>0603008000</t>
  </si>
  <si>
    <t>Barotac Viejo</t>
  </si>
  <si>
    <t>063008000</t>
  </si>
  <si>
    <t>0603009000</t>
  </si>
  <si>
    <t>063009000</t>
  </si>
  <si>
    <t>0603010000</t>
  </si>
  <si>
    <t>063010000</t>
  </si>
  <si>
    <t>0603012000</t>
  </si>
  <si>
    <t>063012000</t>
  </si>
  <si>
    <t>0603013000</t>
  </si>
  <si>
    <t>063013000</t>
  </si>
  <si>
    <t>0603014000</t>
  </si>
  <si>
    <t>063014000</t>
  </si>
  <si>
    <t>0603015000</t>
  </si>
  <si>
    <t>063015000</t>
  </si>
  <si>
    <t>0603016000</t>
  </si>
  <si>
    <t>063016000</t>
  </si>
  <si>
    <t>0603017000</t>
  </si>
  <si>
    <t>063017000</t>
  </si>
  <si>
    <t>0603018000</t>
  </si>
  <si>
    <t>063018000</t>
  </si>
  <si>
    <t>0603019000</t>
  </si>
  <si>
    <t>063019000</t>
  </si>
  <si>
    <t>0603020000</t>
  </si>
  <si>
    <t>063020000</t>
  </si>
  <si>
    <t>0603021000</t>
  </si>
  <si>
    <t>063021000</t>
  </si>
  <si>
    <t>0603023000</t>
  </si>
  <si>
    <t>063023000</t>
  </si>
  <si>
    <t>0603025000</t>
  </si>
  <si>
    <t>063025000</t>
  </si>
  <si>
    <t>0603026000</t>
  </si>
  <si>
    <t>063026000</t>
  </si>
  <si>
    <t>0603027000</t>
  </si>
  <si>
    <t>063027000</t>
  </si>
  <si>
    <t>0603028000</t>
  </si>
  <si>
    <t>063028000</t>
  </si>
  <si>
    <t>0603029000</t>
  </si>
  <si>
    <t>063029000</t>
  </si>
  <si>
    <t>0603030000</t>
  </si>
  <si>
    <t>063030000</t>
  </si>
  <si>
    <t>0603031000</t>
  </si>
  <si>
    <t>063031000</t>
  </si>
  <si>
    <t>0603032000</t>
  </si>
  <si>
    <t>New Lucena</t>
  </si>
  <si>
    <t>063032000</t>
  </si>
  <si>
    <t>0603034000</t>
  </si>
  <si>
    <t>063034000</t>
  </si>
  <si>
    <t>0603035000</t>
  </si>
  <si>
    <t>City of Passi</t>
  </si>
  <si>
    <t>063035000</t>
  </si>
  <si>
    <t>0603036000</t>
  </si>
  <si>
    <t>063036000</t>
  </si>
  <si>
    <t>0603037000</t>
  </si>
  <si>
    <t>063037000</t>
  </si>
  <si>
    <t>0603038000</t>
  </si>
  <si>
    <t>San Dionisio</t>
  </si>
  <si>
    <t>063038000</t>
  </si>
  <si>
    <t>0603039000</t>
  </si>
  <si>
    <t>063039000</t>
  </si>
  <si>
    <t>0603040000</t>
  </si>
  <si>
    <t>San Joaquin</t>
  </si>
  <si>
    <t>063040000</t>
  </si>
  <si>
    <t>0603041000</t>
  </si>
  <si>
    <t>063041000</t>
  </si>
  <si>
    <t>0603042000</t>
  </si>
  <si>
    <t>063042000</t>
  </si>
  <si>
    <t>0603043000</t>
  </si>
  <si>
    <t>063043000</t>
  </si>
  <si>
    <t>0603044000</t>
  </si>
  <si>
    <t>063044000</t>
  </si>
  <si>
    <t>0603045000</t>
  </si>
  <si>
    <t>063045000</t>
  </si>
  <si>
    <t>0603046000</t>
  </si>
  <si>
    <t>063046000</t>
  </si>
  <si>
    <t>0603047000</t>
  </si>
  <si>
    <t>063047000</t>
  </si>
  <si>
    <t>0607901000</t>
  </si>
  <si>
    <t>067901000</t>
  </si>
  <si>
    <t>0607902000</t>
  </si>
  <si>
    <t>067902000</t>
  </si>
  <si>
    <t>0607903000</t>
  </si>
  <si>
    <t>Nueva Valencia</t>
  </si>
  <si>
    <t>067903000</t>
  </si>
  <si>
    <t>0607904000</t>
  </si>
  <si>
    <t>San Lorenzo</t>
  </si>
  <si>
    <t>067904000</t>
  </si>
  <si>
    <t>0607905000</t>
  </si>
  <si>
    <t>067905000</t>
  </si>
  <si>
    <t>0631000000</t>
  </si>
  <si>
    <t>City of Iloilo</t>
  </si>
  <si>
    <t>063022000</t>
  </si>
  <si>
    <t>1804502000</t>
  </si>
  <si>
    <t>064502000</t>
  </si>
  <si>
    <t>1804503000</t>
  </si>
  <si>
    <t>064503000</t>
  </si>
  <si>
    <t>1804504000</t>
  </si>
  <si>
    <t>064504000</t>
  </si>
  <si>
    <t>1804505000</t>
  </si>
  <si>
    <t>064505000</t>
  </si>
  <si>
    <t>1804506000</t>
  </si>
  <si>
    <t>064506000</t>
  </si>
  <si>
    <t>1804507000</t>
  </si>
  <si>
    <t>064507000</t>
  </si>
  <si>
    <t>1804508000</t>
  </si>
  <si>
    <t>064508000</t>
  </si>
  <si>
    <t>Saravia</t>
  </si>
  <si>
    <t>1804509000</t>
  </si>
  <si>
    <t>064509000</t>
  </si>
  <si>
    <t>1804510000</t>
  </si>
  <si>
    <t>064510000</t>
  </si>
  <si>
    <t>1804511000</t>
  </si>
  <si>
    <t>064511000</t>
  </si>
  <si>
    <t>1804512000</t>
  </si>
  <si>
    <t>064512000</t>
  </si>
  <si>
    <t>Asia</t>
  </si>
  <si>
    <t>1804513000</t>
  </si>
  <si>
    <t>064513000</t>
  </si>
  <si>
    <t>1804514000</t>
  </si>
  <si>
    <t>064514000</t>
  </si>
  <si>
    <t>1804515000</t>
  </si>
  <si>
    <t>064515000</t>
  </si>
  <si>
    <t>1804516000</t>
  </si>
  <si>
    <t>064516000</t>
  </si>
  <si>
    <t>1804517000</t>
  </si>
  <si>
    <t>064517000</t>
  </si>
  <si>
    <t>1804518000</t>
  </si>
  <si>
    <t>064518000</t>
  </si>
  <si>
    <t>1804519000</t>
  </si>
  <si>
    <t>064519000</t>
  </si>
  <si>
    <t>Magallon</t>
  </si>
  <si>
    <t>1804520000</t>
  </si>
  <si>
    <t>064520000</t>
  </si>
  <si>
    <t>1804521000</t>
  </si>
  <si>
    <t>064521000</t>
  </si>
  <si>
    <t>1804522000</t>
  </si>
  <si>
    <t>064522000</t>
  </si>
  <si>
    <t>1804523000</t>
  </si>
  <si>
    <t>064523000</t>
  </si>
  <si>
    <t>1804524000</t>
  </si>
  <si>
    <t>064524000</t>
  </si>
  <si>
    <t>1804525000</t>
  </si>
  <si>
    <t>064525000</t>
  </si>
  <si>
    <t>1804526000</t>
  </si>
  <si>
    <t>064526000</t>
  </si>
  <si>
    <t>1804527000</t>
  </si>
  <si>
    <t>064527000</t>
  </si>
  <si>
    <t>1804528000</t>
  </si>
  <si>
    <t>064528000</t>
  </si>
  <si>
    <t>1804529000</t>
  </si>
  <si>
    <t>064529000</t>
  </si>
  <si>
    <t>1804530000</t>
  </si>
  <si>
    <t>064530000</t>
  </si>
  <si>
    <t>1804531000</t>
  </si>
  <si>
    <t>064531000</t>
  </si>
  <si>
    <t>1804532000</t>
  </si>
  <si>
    <t>064532000</t>
  </si>
  <si>
    <t>1804601000</t>
  </si>
  <si>
    <t>074601000</t>
  </si>
  <si>
    <t>Ayuquitan</t>
  </si>
  <si>
    <t>1804602000</t>
  </si>
  <si>
    <t>074602000</t>
  </si>
  <si>
    <t>1804603000</t>
  </si>
  <si>
    <t>074603000</t>
  </si>
  <si>
    <t>1804604000</t>
  </si>
  <si>
    <t>074604000</t>
  </si>
  <si>
    <t>1804605000</t>
  </si>
  <si>
    <t>074605000</t>
  </si>
  <si>
    <t>1804606000</t>
  </si>
  <si>
    <t>074606000</t>
  </si>
  <si>
    <t>Tulong</t>
  </si>
  <si>
    <t>1804607000</t>
  </si>
  <si>
    <t>074607000</t>
  </si>
  <si>
    <t>Payabon</t>
  </si>
  <si>
    <t>1804608000</t>
  </si>
  <si>
    <t>074608000</t>
  </si>
  <si>
    <t>1804609000</t>
  </si>
  <si>
    <t>074609000</t>
  </si>
  <si>
    <t>1804610000</t>
  </si>
  <si>
    <t>074610000</t>
  </si>
  <si>
    <t>1804611000</t>
  </si>
  <si>
    <t>074611000</t>
  </si>
  <si>
    <t>1804612000</t>
  </si>
  <si>
    <t>074612000</t>
  </si>
  <si>
    <t>1804613000</t>
  </si>
  <si>
    <t>074613000</t>
  </si>
  <si>
    <t>1804614000</t>
  </si>
  <si>
    <t>074614000</t>
  </si>
  <si>
    <t>1804615000</t>
  </si>
  <si>
    <t>074615000</t>
  </si>
  <si>
    <t>1804616000</t>
  </si>
  <si>
    <t>074616000</t>
  </si>
  <si>
    <t>1804617000</t>
  </si>
  <si>
    <t>074617000</t>
  </si>
  <si>
    <t>1804618000</t>
  </si>
  <si>
    <t>074618000</t>
  </si>
  <si>
    <t>1804619000</t>
  </si>
  <si>
    <t>074619000</t>
  </si>
  <si>
    <t>1804620000</t>
  </si>
  <si>
    <t>074620000</t>
  </si>
  <si>
    <t>1804621000</t>
  </si>
  <si>
    <t>074621000</t>
  </si>
  <si>
    <t>1804622000</t>
  </si>
  <si>
    <t>074622000</t>
  </si>
  <si>
    <t>1804623000</t>
  </si>
  <si>
    <t>074623000</t>
  </si>
  <si>
    <t>Luzurriaga</t>
  </si>
  <si>
    <t>1804624000</t>
  </si>
  <si>
    <t>074624000</t>
  </si>
  <si>
    <t>1804625000</t>
  </si>
  <si>
    <t>074625000</t>
  </si>
  <si>
    <t>1806101000</t>
  </si>
  <si>
    <t>076101000</t>
  </si>
  <si>
    <t>1806102000</t>
  </si>
  <si>
    <t>076102000</t>
  </si>
  <si>
    <t>1806103000</t>
  </si>
  <si>
    <t>076103000</t>
  </si>
  <si>
    <t>1806104000</t>
  </si>
  <si>
    <t>076104000</t>
  </si>
  <si>
    <t>1806105000</t>
  </si>
  <si>
    <t>076105000</t>
  </si>
  <si>
    <t>1806106000</t>
  </si>
  <si>
    <t>076106000</t>
  </si>
  <si>
    <t>1830200000</t>
  </si>
  <si>
    <t>064501000</t>
  </si>
  <si>
    <t>0701201000</t>
  </si>
  <si>
    <t>Region 07</t>
  </si>
  <si>
    <t>071201000</t>
  </si>
  <si>
    <t>0701202000</t>
  </si>
  <si>
    <t>071202000</t>
  </si>
  <si>
    <t>0701203000</t>
  </si>
  <si>
    <t>071203000</t>
  </si>
  <si>
    <t>0701204000</t>
  </si>
  <si>
    <t>071204000</t>
  </si>
  <si>
    <t>0701205000</t>
  </si>
  <si>
    <t>071205000</t>
  </si>
  <si>
    <t>0701206000</t>
  </si>
  <si>
    <t>071206000</t>
  </si>
  <si>
    <t>0701207000</t>
  </si>
  <si>
    <t>071207000</t>
  </si>
  <si>
    <t>0701208000</t>
  </si>
  <si>
    <t>071208000</t>
  </si>
  <si>
    <t>0701209000</t>
  </si>
  <si>
    <t>071209000</t>
  </si>
  <si>
    <t>0701210000</t>
  </si>
  <si>
    <t>071210000</t>
  </si>
  <si>
    <t>0701211000</t>
  </si>
  <si>
    <t>071211000</t>
  </si>
  <si>
    <t>0701212000</t>
  </si>
  <si>
    <t>071212000</t>
  </si>
  <si>
    <t>0701213000</t>
  </si>
  <si>
    <t>071213000</t>
  </si>
  <si>
    <t>0701214000</t>
  </si>
  <si>
    <t>071214000</t>
  </si>
  <si>
    <t>0701215000</t>
  </si>
  <si>
    <t>071215000</t>
  </si>
  <si>
    <t>0701216000</t>
  </si>
  <si>
    <t>071216000</t>
  </si>
  <si>
    <t>0701217000</t>
  </si>
  <si>
    <t>071217000</t>
  </si>
  <si>
    <t>0701218000</t>
  </si>
  <si>
    <t>071218000</t>
  </si>
  <si>
    <t>0701219000</t>
  </si>
  <si>
    <t>071219000</t>
  </si>
  <si>
    <t>0701220000</t>
  </si>
  <si>
    <t>071220000</t>
  </si>
  <si>
    <t>0701221000</t>
  </si>
  <si>
    <t>071221000</t>
  </si>
  <si>
    <t>0701222000</t>
  </si>
  <si>
    <t>Garcia Hernandez</t>
  </si>
  <si>
    <t>071222000</t>
  </si>
  <si>
    <t>0701223000</t>
  </si>
  <si>
    <t>071223000</t>
  </si>
  <si>
    <t>0701224000</t>
  </si>
  <si>
    <t>071224000</t>
  </si>
  <si>
    <t>0701225000</t>
  </si>
  <si>
    <t>071225000</t>
  </si>
  <si>
    <t>0701226000</t>
  </si>
  <si>
    <t>071226000</t>
  </si>
  <si>
    <t>0701227000</t>
  </si>
  <si>
    <t>071227000</t>
  </si>
  <si>
    <t>0701228000</t>
  </si>
  <si>
    <t>071228000</t>
  </si>
  <si>
    <t>0701229000</t>
  </si>
  <si>
    <t>071229000</t>
  </si>
  <si>
    <t>0701230000</t>
  </si>
  <si>
    <t>071230000</t>
  </si>
  <si>
    <t>0701231000</t>
  </si>
  <si>
    <t>071231000</t>
  </si>
  <si>
    <t>0701232000</t>
  </si>
  <si>
    <t>071232000</t>
  </si>
  <si>
    <t>0701233000</t>
  </si>
  <si>
    <t>071233000</t>
  </si>
  <si>
    <t>0701234000</t>
  </si>
  <si>
    <t>071234000</t>
  </si>
  <si>
    <t>0701235000</t>
  </si>
  <si>
    <t>President Carlos P. Garcia</t>
  </si>
  <si>
    <t>071235000</t>
  </si>
  <si>
    <t>0701236000</t>
  </si>
  <si>
    <t>071236000</t>
  </si>
  <si>
    <t>Borja</t>
  </si>
  <si>
    <t>0701237000</t>
  </si>
  <si>
    <t>071237000</t>
  </si>
  <si>
    <t>0701238000</t>
  </si>
  <si>
    <t>071238000</t>
  </si>
  <si>
    <t>0701239000</t>
  </si>
  <si>
    <t>071239000</t>
  </si>
  <si>
    <t>0701240000</t>
  </si>
  <si>
    <t>Sierra Bullones</t>
  </si>
  <si>
    <t>071240000</t>
  </si>
  <si>
    <t>0701241000</t>
  </si>
  <si>
    <t>071241000</t>
  </si>
  <si>
    <t>0701242000</t>
  </si>
  <si>
    <t>City of Tagbilaran</t>
  </si>
  <si>
    <t>071242000</t>
  </si>
  <si>
    <t>0701243000</t>
  </si>
  <si>
    <t>071243000</t>
  </si>
  <si>
    <t>0701244000</t>
  </si>
  <si>
    <t>071244000</t>
  </si>
  <si>
    <t>0701245000</t>
  </si>
  <si>
    <t>071245000</t>
  </si>
  <si>
    <t>0701246000</t>
  </si>
  <si>
    <t>071246000</t>
  </si>
  <si>
    <t>0701247000</t>
  </si>
  <si>
    <t>071247000</t>
  </si>
  <si>
    <t>0701248000</t>
  </si>
  <si>
    <t>Bien Unido</t>
  </si>
  <si>
    <t>071248000</t>
  </si>
  <si>
    <t>0702201000</t>
  </si>
  <si>
    <t>072201000</t>
  </si>
  <si>
    <t>0702202000</t>
  </si>
  <si>
    <t>072202000</t>
  </si>
  <si>
    <t>0702203000</t>
  </si>
  <si>
    <t>072203000</t>
  </si>
  <si>
    <t>0702204000</t>
  </si>
  <si>
    <t>072204000</t>
  </si>
  <si>
    <t>0702205000</t>
  </si>
  <si>
    <t>072205000</t>
  </si>
  <si>
    <t>0702206000</t>
  </si>
  <si>
    <t>072206000</t>
  </si>
  <si>
    <t>0702207000</t>
  </si>
  <si>
    <t>072207000</t>
  </si>
  <si>
    <t>0702208000</t>
  </si>
  <si>
    <t>072208000</t>
  </si>
  <si>
    <t>0702209000</t>
  </si>
  <si>
    <t>072209000</t>
  </si>
  <si>
    <t>0702210000</t>
  </si>
  <si>
    <t>072210000</t>
  </si>
  <si>
    <t>0702211000</t>
  </si>
  <si>
    <t>City of Bogo</t>
  </si>
  <si>
    <t>072211000</t>
  </si>
  <si>
    <t>0702212000</t>
  </si>
  <si>
    <t>072212000</t>
  </si>
  <si>
    <t>0702213000</t>
  </si>
  <si>
    <t>072213000</t>
  </si>
  <si>
    <t>0702214000</t>
  </si>
  <si>
    <t>City of Carcar</t>
  </si>
  <si>
    <t>072214000</t>
  </si>
  <si>
    <t>0702215000</t>
  </si>
  <si>
    <t>072215000</t>
  </si>
  <si>
    <t>0702216000</t>
  </si>
  <si>
    <t>072216000</t>
  </si>
  <si>
    <t>0702218000</t>
  </si>
  <si>
    <t>072218000</t>
  </si>
  <si>
    <t>0702219000</t>
  </si>
  <si>
    <t>072219000</t>
  </si>
  <si>
    <t>0702220000</t>
  </si>
  <si>
    <t>072220000</t>
  </si>
  <si>
    <t>0702221000</t>
  </si>
  <si>
    <t>072221000</t>
  </si>
  <si>
    <t>0702222000</t>
  </si>
  <si>
    <t>072222000</t>
  </si>
  <si>
    <t>0702223000</t>
  </si>
  <si>
    <t>Danao City</t>
  </si>
  <si>
    <t>072223000</t>
  </si>
  <si>
    <t>0702224000</t>
  </si>
  <si>
    <t>072224000</t>
  </si>
  <si>
    <t>0702225000</t>
  </si>
  <si>
    <t>072225000</t>
  </si>
  <si>
    <t>0702227000</t>
  </si>
  <si>
    <t>072227000</t>
  </si>
  <si>
    <t>0702228000</t>
  </si>
  <si>
    <t>072228000</t>
  </si>
  <si>
    <t>0702229000</t>
  </si>
  <si>
    <t>072229000</t>
  </si>
  <si>
    <t>0702231000</t>
  </si>
  <si>
    <t>072231000</t>
  </si>
  <si>
    <t>0702232000</t>
  </si>
  <si>
    <t>072232000</t>
  </si>
  <si>
    <t>0702233000</t>
  </si>
  <si>
    <t>072233000</t>
  </si>
  <si>
    <t>0702234000</t>
  </si>
  <si>
    <t>072234000</t>
  </si>
  <si>
    <t>0702235000</t>
  </si>
  <si>
    <t>072235000</t>
  </si>
  <si>
    <t>0702236000</t>
  </si>
  <si>
    <t>072236000</t>
  </si>
  <si>
    <t>0702237000</t>
  </si>
  <si>
    <t>072237000</t>
  </si>
  <si>
    <t>0702238000</t>
  </si>
  <si>
    <t>072238000</t>
  </si>
  <si>
    <t>0702239000</t>
  </si>
  <si>
    <t>072239000</t>
  </si>
  <si>
    <t>0702240000</t>
  </si>
  <si>
    <t>072240000</t>
  </si>
  <si>
    <t>0702241000</t>
  </si>
  <si>
    <t>072241000</t>
  </si>
  <si>
    <t>0702242000</t>
  </si>
  <si>
    <t>072242000</t>
  </si>
  <si>
    <t>0702243000</t>
  </si>
  <si>
    <t>072243000</t>
  </si>
  <si>
    <t>0702244000</t>
  </si>
  <si>
    <t>072244000</t>
  </si>
  <si>
    <t>0702245000</t>
  </si>
  <si>
    <t>072245000</t>
  </si>
  <si>
    <t>0702246000</t>
  </si>
  <si>
    <t>072246000</t>
  </si>
  <si>
    <t>0702247000</t>
  </si>
  <si>
    <t>072247000</t>
  </si>
  <si>
    <t>0702248000</t>
  </si>
  <si>
    <t>072248000</t>
  </si>
  <si>
    <t>0702249000</t>
  </si>
  <si>
    <t>072249000</t>
  </si>
  <si>
    <t>0702250000</t>
  </si>
  <si>
    <t>072250000</t>
  </si>
  <si>
    <t>0702251000</t>
  </si>
  <si>
    <t>City of Toledo</t>
  </si>
  <si>
    <t>072251000</t>
  </si>
  <si>
    <t>0702252000</t>
  </si>
  <si>
    <t>072252000</t>
  </si>
  <si>
    <t>0702253000</t>
  </si>
  <si>
    <t>072253000</t>
  </si>
  <si>
    <t>0730600000</t>
  </si>
  <si>
    <t>City of Cebu</t>
  </si>
  <si>
    <t>072217000</t>
  </si>
  <si>
    <t>0731100000</t>
  </si>
  <si>
    <t>City of Lapu-Lapu</t>
  </si>
  <si>
    <t>072226000</t>
  </si>
  <si>
    <t>Opon</t>
  </si>
  <si>
    <t>0731300000</t>
  </si>
  <si>
    <t>City of Mandaue</t>
  </si>
  <si>
    <t>072230000</t>
  </si>
  <si>
    <t>0802601000</t>
  </si>
  <si>
    <t>Region 08</t>
  </si>
  <si>
    <t>Eastern Samar</t>
  </si>
  <si>
    <t>082601000</t>
  </si>
  <si>
    <t>0802602000</t>
  </si>
  <si>
    <t>082602000</t>
  </si>
  <si>
    <t>0802603000</t>
  </si>
  <si>
    <t>082603000</t>
  </si>
  <si>
    <t>0802604000</t>
  </si>
  <si>
    <t>City of Borongan</t>
  </si>
  <si>
    <t>082604000</t>
  </si>
  <si>
    <t>0802605000</t>
  </si>
  <si>
    <t>082605000</t>
  </si>
  <si>
    <t>0802606000</t>
  </si>
  <si>
    <t>082606000</t>
  </si>
  <si>
    <t>0802607000</t>
  </si>
  <si>
    <t>General Macarthur</t>
  </si>
  <si>
    <t>082607000</t>
  </si>
  <si>
    <t>0802608000</t>
  </si>
  <si>
    <t>082608000</t>
  </si>
  <si>
    <t>0802609000</t>
  </si>
  <si>
    <t>082609000</t>
  </si>
  <si>
    <t>0802610000</t>
  </si>
  <si>
    <t>082610000</t>
  </si>
  <si>
    <t>0802611000</t>
  </si>
  <si>
    <t>082611000</t>
  </si>
  <si>
    <t>0802612000</t>
  </si>
  <si>
    <t>082612000</t>
  </si>
  <si>
    <t>0802613000</t>
  </si>
  <si>
    <t>082613000</t>
  </si>
  <si>
    <t>0802614000</t>
  </si>
  <si>
    <t>082614000</t>
  </si>
  <si>
    <t>0802615000</t>
  </si>
  <si>
    <t>082615000</t>
  </si>
  <si>
    <t>0802616000</t>
  </si>
  <si>
    <t>082616000</t>
  </si>
  <si>
    <t>0802617000</t>
  </si>
  <si>
    <t>082617000</t>
  </si>
  <si>
    <t>0802618000</t>
  </si>
  <si>
    <t>082618000</t>
  </si>
  <si>
    <t>0802619000</t>
  </si>
  <si>
    <t>082619000</t>
  </si>
  <si>
    <t>0802620000</t>
  </si>
  <si>
    <t>San Julian</t>
  </si>
  <si>
    <t>082620000</t>
  </si>
  <si>
    <t>0802621000</t>
  </si>
  <si>
    <t>San Policarpo</t>
  </si>
  <si>
    <t>082621000</t>
  </si>
  <si>
    <t>0802622000</t>
  </si>
  <si>
    <t>082622000</t>
  </si>
  <si>
    <t>0802623000</t>
  </si>
  <si>
    <t>082623000</t>
  </si>
  <si>
    <t>0803701000</t>
  </si>
  <si>
    <t>083701000</t>
  </si>
  <si>
    <t>1st*</t>
  </si>
  <si>
    <t>0803702000</t>
  </si>
  <si>
    <t>083702000</t>
  </si>
  <si>
    <t>0803703000</t>
  </si>
  <si>
    <t>083703000</t>
  </si>
  <si>
    <t>0803705000</t>
  </si>
  <si>
    <t>083705000</t>
  </si>
  <si>
    <t>0803706000</t>
  </si>
  <si>
    <t>083706000</t>
  </si>
  <si>
    <t>0803707000</t>
  </si>
  <si>
    <t>083707000</t>
  </si>
  <si>
    <t>0803708000</t>
  </si>
  <si>
    <t>City of Baybay</t>
  </si>
  <si>
    <t>083708000</t>
  </si>
  <si>
    <t>0803710000</t>
  </si>
  <si>
    <t>083710000</t>
  </si>
  <si>
    <t>0803713000</t>
  </si>
  <si>
    <t>083713000</t>
  </si>
  <si>
    <t>0803714000</t>
  </si>
  <si>
    <t>083714000</t>
  </si>
  <si>
    <t>0803715000</t>
  </si>
  <si>
    <t>083715000</t>
  </si>
  <si>
    <t>0803717000</t>
  </si>
  <si>
    <t>083717000</t>
  </si>
  <si>
    <t>0803718000</t>
  </si>
  <si>
    <t>083718000</t>
  </si>
  <si>
    <t>0803719000</t>
  </si>
  <si>
    <t>083719000</t>
  </si>
  <si>
    <t>0803720000</t>
  </si>
  <si>
    <t>083720000</t>
  </si>
  <si>
    <t>0803721000</t>
  </si>
  <si>
    <t>083721000</t>
  </si>
  <si>
    <t>0803722000</t>
  </si>
  <si>
    <t>083722000</t>
  </si>
  <si>
    <t>0803723000</t>
  </si>
  <si>
    <t>083723000</t>
  </si>
  <si>
    <t>0803724000</t>
  </si>
  <si>
    <t>083724000</t>
  </si>
  <si>
    <t>Bugho</t>
  </si>
  <si>
    <t>0803725000</t>
  </si>
  <si>
    <t>083725000</t>
  </si>
  <si>
    <t>0803726000</t>
  </si>
  <si>
    <t>083726000</t>
  </si>
  <si>
    <t>0803728000</t>
  </si>
  <si>
    <t>083728000</t>
  </si>
  <si>
    <t>0803729000</t>
  </si>
  <si>
    <t>083729000</t>
  </si>
  <si>
    <t>0803730000</t>
  </si>
  <si>
    <t>083730000</t>
  </si>
  <si>
    <t>0803731000</t>
  </si>
  <si>
    <t>083731000</t>
  </si>
  <si>
    <t>0803733000</t>
  </si>
  <si>
    <t>083733000</t>
  </si>
  <si>
    <t>0803734000</t>
  </si>
  <si>
    <t>083734000</t>
  </si>
  <si>
    <t>0803735000</t>
  </si>
  <si>
    <t>083735000</t>
  </si>
  <si>
    <t>0803736000</t>
  </si>
  <si>
    <t>083736000</t>
  </si>
  <si>
    <t>0803738000</t>
  </si>
  <si>
    <t>Ormoc City</t>
  </si>
  <si>
    <t>083738000</t>
  </si>
  <si>
    <t>0803739000</t>
  </si>
  <si>
    <t>083739000</t>
  </si>
  <si>
    <t>0803740000</t>
  </si>
  <si>
    <t>083740000</t>
  </si>
  <si>
    <t>2nd*</t>
  </si>
  <si>
    <t>0803741000</t>
  </si>
  <si>
    <t>083741000</t>
  </si>
  <si>
    <t>0803742000</t>
  </si>
  <si>
    <t>083742000</t>
  </si>
  <si>
    <t>0803743000</t>
  </si>
  <si>
    <t>083743000</t>
  </si>
  <si>
    <t>0803744000</t>
  </si>
  <si>
    <t>083744000</t>
  </si>
  <si>
    <t>0803745000</t>
  </si>
  <si>
    <t>083745000</t>
  </si>
  <si>
    <t>0803746000</t>
  </si>
  <si>
    <t>083746000</t>
  </si>
  <si>
    <t>0803748000</t>
  </si>
  <si>
    <t>083748000</t>
  </si>
  <si>
    <t>0803749000</t>
  </si>
  <si>
    <t>083749000</t>
  </si>
  <si>
    <t>0803750000</t>
  </si>
  <si>
    <t>083750000</t>
  </si>
  <si>
    <t>6th*</t>
  </si>
  <si>
    <t>0803751000</t>
  </si>
  <si>
    <t>083751000</t>
  </si>
  <si>
    <t>0804801000</t>
  </si>
  <si>
    <t>Northern Samar</t>
  </si>
  <si>
    <t>084801000</t>
  </si>
  <si>
    <t>0804802000</t>
  </si>
  <si>
    <t>084802000</t>
  </si>
  <si>
    <t>0804803000</t>
  </si>
  <si>
    <t>084803000</t>
  </si>
  <si>
    <t>0804804000</t>
  </si>
  <si>
    <t>084804000</t>
  </si>
  <si>
    <t>0804805000</t>
  </si>
  <si>
    <t>084805000</t>
  </si>
  <si>
    <t>0804806000</t>
  </si>
  <si>
    <t>084806000</t>
  </si>
  <si>
    <t>0804807000</t>
  </si>
  <si>
    <t>084807000</t>
  </si>
  <si>
    <t>0804808000</t>
  </si>
  <si>
    <t>084808000</t>
  </si>
  <si>
    <t>0804809000</t>
  </si>
  <si>
    <t>084809000</t>
  </si>
  <si>
    <t>0804810000</t>
  </si>
  <si>
    <t>Las Navas</t>
  </si>
  <si>
    <t>084810000</t>
  </si>
  <si>
    <t>0804811000</t>
  </si>
  <si>
    <t>084811000</t>
  </si>
  <si>
    <t>0804812000</t>
  </si>
  <si>
    <t>084812000</t>
  </si>
  <si>
    <t>0804813000</t>
  </si>
  <si>
    <t>084813000</t>
  </si>
  <si>
    <t>0804814000</t>
  </si>
  <si>
    <t>084814000</t>
  </si>
  <si>
    <t>0804815000</t>
  </si>
  <si>
    <t>084815000</t>
  </si>
  <si>
    <t>0804816000</t>
  </si>
  <si>
    <t>084816000</t>
  </si>
  <si>
    <t>0804817000</t>
  </si>
  <si>
    <t>084817000</t>
  </si>
  <si>
    <t>0804818000</t>
  </si>
  <si>
    <t>084818000</t>
  </si>
  <si>
    <t>0804819000</t>
  </si>
  <si>
    <t>084819000</t>
  </si>
  <si>
    <t>0804820000</t>
  </si>
  <si>
    <t>San Roque</t>
  </si>
  <si>
    <t>084820000</t>
  </si>
  <si>
    <t>0804821000</t>
  </si>
  <si>
    <t>084821000</t>
  </si>
  <si>
    <t>0804822000</t>
  </si>
  <si>
    <t>Silvino Lobos</t>
  </si>
  <si>
    <t>084822000</t>
  </si>
  <si>
    <t>0804823000</t>
  </si>
  <si>
    <t>084823000</t>
  </si>
  <si>
    <t>0804824000</t>
  </si>
  <si>
    <t>Lope De Vega</t>
  </si>
  <si>
    <t>084824000</t>
  </si>
  <si>
    <t>0806001000</t>
  </si>
  <si>
    <t>086001000</t>
  </si>
  <si>
    <t>0806002000</t>
  </si>
  <si>
    <t>086002000</t>
  </si>
  <si>
    <t>0806003000</t>
  </si>
  <si>
    <t>City of Calbayog</t>
  </si>
  <si>
    <t>086003000</t>
  </si>
  <si>
    <t>0806004000</t>
  </si>
  <si>
    <t>086004000</t>
  </si>
  <si>
    <t>0806005000</t>
  </si>
  <si>
    <t>City of Catbalogan</t>
  </si>
  <si>
    <t>086005000</t>
  </si>
  <si>
    <t>0806006000</t>
  </si>
  <si>
    <t>086006000</t>
  </si>
  <si>
    <t>0806007000</t>
  </si>
  <si>
    <t>086007000</t>
  </si>
  <si>
    <t>0806008000</t>
  </si>
  <si>
    <t>086008000</t>
  </si>
  <si>
    <t>0806009000</t>
  </si>
  <si>
    <t>086009000</t>
  </si>
  <si>
    <t>0806010000</t>
  </si>
  <si>
    <t>086010000</t>
  </si>
  <si>
    <t>0806011000</t>
  </si>
  <si>
    <t>086011000</t>
  </si>
  <si>
    <t>0806012000</t>
  </si>
  <si>
    <t>086012000</t>
  </si>
  <si>
    <t>0806013000</t>
  </si>
  <si>
    <t>086013000</t>
  </si>
  <si>
    <t>0806014000</t>
  </si>
  <si>
    <t>San Jose De Buan</t>
  </si>
  <si>
    <t>086014000</t>
  </si>
  <si>
    <t>0806015000</t>
  </si>
  <si>
    <t>San Sebastian</t>
  </si>
  <si>
    <t>086015000</t>
  </si>
  <si>
    <t>0806016000</t>
  </si>
  <si>
    <t>Santa Margarita</t>
  </si>
  <si>
    <t>086016000</t>
  </si>
  <si>
    <t>0806017000</t>
  </si>
  <si>
    <t>086017000</t>
  </si>
  <si>
    <t>0806018000</t>
  </si>
  <si>
    <t>086018000</t>
  </si>
  <si>
    <t>0806019000</t>
  </si>
  <si>
    <t>086019000</t>
  </si>
  <si>
    <t>0806020000</t>
  </si>
  <si>
    <t>086020000</t>
  </si>
  <si>
    <t>0806021000</t>
  </si>
  <si>
    <t>086021000</t>
  </si>
  <si>
    <t>0806022000</t>
  </si>
  <si>
    <t>086022000</t>
  </si>
  <si>
    <t>Wright</t>
  </si>
  <si>
    <t>0806023000</t>
  </si>
  <si>
    <t>086023000</t>
  </si>
  <si>
    <t>0806024000</t>
  </si>
  <si>
    <t>086024000</t>
  </si>
  <si>
    <t>0806025000</t>
  </si>
  <si>
    <t>San Jorge</t>
  </si>
  <si>
    <t>086025000</t>
  </si>
  <si>
    <t>0806026000</t>
  </si>
  <si>
    <t>086026000</t>
  </si>
  <si>
    <t>0806401000</t>
  </si>
  <si>
    <t>Southern Leyte</t>
  </si>
  <si>
    <t>086401000</t>
  </si>
  <si>
    <t>0806402000</t>
  </si>
  <si>
    <t>086402000</t>
  </si>
  <si>
    <t>0806403000</t>
  </si>
  <si>
    <t>086403000</t>
  </si>
  <si>
    <t>0806404000</t>
  </si>
  <si>
    <t>086404000</t>
  </si>
  <si>
    <t>0806405000</t>
  </si>
  <si>
    <t>086405000</t>
  </si>
  <si>
    <t>0806406000</t>
  </si>
  <si>
    <t>086406000</t>
  </si>
  <si>
    <t>0806407000</t>
  </si>
  <si>
    <t>City of Maasin</t>
  </si>
  <si>
    <t>086407000</t>
  </si>
  <si>
    <t>0806408000</t>
  </si>
  <si>
    <t>086408000</t>
  </si>
  <si>
    <t>0806409000</t>
  </si>
  <si>
    <t>086409000</t>
  </si>
  <si>
    <t>0806410000</t>
  </si>
  <si>
    <t>086410000</t>
  </si>
  <si>
    <t>0806411000</t>
  </si>
  <si>
    <t>086411000</t>
  </si>
  <si>
    <t>0806412000</t>
  </si>
  <si>
    <t>Saint Bernard</t>
  </si>
  <si>
    <t>086412000</t>
  </si>
  <si>
    <t>0806413000</t>
  </si>
  <si>
    <t>086413000</t>
  </si>
  <si>
    <t>0806414000</t>
  </si>
  <si>
    <t>086414000</t>
  </si>
  <si>
    <t>Cabalian</t>
  </si>
  <si>
    <t>0806415000</t>
  </si>
  <si>
    <t>San Ricardo</t>
  </si>
  <si>
    <t>086415000</t>
  </si>
  <si>
    <t>0806416000</t>
  </si>
  <si>
    <t>086416000</t>
  </si>
  <si>
    <t>0806417000</t>
  </si>
  <si>
    <t>086417000</t>
  </si>
  <si>
    <t>0806418000</t>
  </si>
  <si>
    <t>Tomas Oppus</t>
  </si>
  <si>
    <t>086418000</t>
  </si>
  <si>
    <t>0806419000</t>
  </si>
  <si>
    <t>086419000</t>
  </si>
  <si>
    <t>0807801000</t>
  </si>
  <si>
    <t>087801000</t>
  </si>
  <si>
    <t>0807802000</t>
  </si>
  <si>
    <t>087802000</t>
  </si>
  <si>
    <t>0807803000</t>
  </si>
  <si>
    <t>087803000</t>
  </si>
  <si>
    <t>0807804000</t>
  </si>
  <si>
    <t>087804000</t>
  </si>
  <si>
    <t>0807805000</t>
  </si>
  <si>
    <t>087805000</t>
  </si>
  <si>
    <t>0807806000</t>
  </si>
  <si>
    <t>087806000</t>
  </si>
  <si>
    <t>0807807000</t>
  </si>
  <si>
    <t>087807000</t>
  </si>
  <si>
    <t>0807808000</t>
  </si>
  <si>
    <t>087808000</t>
  </si>
  <si>
    <t>0831600000</t>
  </si>
  <si>
    <t>City of Tacloban</t>
  </si>
  <si>
    <t>083747000</t>
  </si>
  <si>
    <t>0907201000</t>
  </si>
  <si>
    <t>Region 09</t>
  </si>
  <si>
    <t>Zamboanga del Norte</t>
  </si>
  <si>
    <t>City of Dapitan</t>
  </si>
  <si>
    <t>097201000</t>
  </si>
  <si>
    <t>0907202000</t>
  </si>
  <si>
    <t>City of Dipolog</t>
  </si>
  <si>
    <t>097202000</t>
  </si>
  <si>
    <t>0907203000</t>
  </si>
  <si>
    <t>097203000</t>
  </si>
  <si>
    <t>0907204000</t>
  </si>
  <si>
    <t>097204000</t>
  </si>
  <si>
    <t>0907205000</t>
  </si>
  <si>
    <t>097205000</t>
  </si>
  <si>
    <t>0907206000</t>
  </si>
  <si>
    <t>097206000</t>
  </si>
  <si>
    <t>0907207000</t>
  </si>
  <si>
    <t>097207000</t>
  </si>
  <si>
    <t>0907208000</t>
  </si>
  <si>
    <t>097208000</t>
  </si>
  <si>
    <t>0907209000</t>
  </si>
  <si>
    <t>097209000</t>
  </si>
  <si>
    <t>New Piñan</t>
  </si>
  <si>
    <t>0907210000</t>
  </si>
  <si>
    <t>097210000</t>
  </si>
  <si>
    <t>0907211000</t>
  </si>
  <si>
    <t>Pres. Manuel A. Roxas</t>
  </si>
  <si>
    <t>097211000</t>
  </si>
  <si>
    <t>0907212000</t>
  </si>
  <si>
    <t>097212000</t>
  </si>
  <si>
    <t>0907213000</t>
  </si>
  <si>
    <t>097213000</t>
  </si>
  <si>
    <t>0907214000</t>
  </si>
  <si>
    <t>Sergio Osmeña Sr.</t>
  </si>
  <si>
    <t>097214000</t>
  </si>
  <si>
    <t>0907215000</t>
  </si>
  <si>
    <t>097215000</t>
  </si>
  <si>
    <t>0907216000</t>
  </si>
  <si>
    <t>097216000</t>
  </si>
  <si>
    <t>0907217000</t>
  </si>
  <si>
    <t>097217000</t>
  </si>
  <si>
    <t>0907218000</t>
  </si>
  <si>
    <t>097218000</t>
  </si>
  <si>
    <t>0907219000</t>
  </si>
  <si>
    <t>097219000</t>
  </si>
  <si>
    <t>0907220000</t>
  </si>
  <si>
    <t>097220000</t>
  </si>
  <si>
    <t>0907221000</t>
  </si>
  <si>
    <t>097221000</t>
  </si>
  <si>
    <t>0907222000</t>
  </si>
  <si>
    <t>Jose Dalman</t>
  </si>
  <si>
    <t>097222000</t>
  </si>
  <si>
    <t>Ponot</t>
  </si>
  <si>
    <t>0907223000</t>
  </si>
  <si>
    <t>097223000</t>
  </si>
  <si>
    <t>0907224000</t>
  </si>
  <si>
    <t>097224000</t>
  </si>
  <si>
    <t>0907225000</t>
  </si>
  <si>
    <t>097225000</t>
  </si>
  <si>
    <t>0907226000</t>
  </si>
  <si>
    <t>Leon T. Postigo</t>
  </si>
  <si>
    <t>097226000</t>
  </si>
  <si>
    <t>Bacungan</t>
  </si>
  <si>
    <t>0907227000</t>
  </si>
  <si>
    <t>097227000</t>
  </si>
  <si>
    <t>0907302000</t>
  </si>
  <si>
    <t>Zamboanga del Sur</t>
  </si>
  <si>
    <t>097302000</t>
  </si>
  <si>
    <t>0907303000</t>
  </si>
  <si>
    <t>097303000</t>
  </si>
  <si>
    <t>0907305000</t>
  </si>
  <si>
    <t>097305000</t>
  </si>
  <si>
    <t>0907306000</t>
  </si>
  <si>
    <t>097306000</t>
  </si>
  <si>
    <t>0907307000</t>
  </si>
  <si>
    <t>097307000</t>
  </si>
  <si>
    <t>0907308000</t>
  </si>
  <si>
    <t>097308000</t>
  </si>
  <si>
    <t>0907311000</t>
  </si>
  <si>
    <t>097311000</t>
  </si>
  <si>
    <t>0907312000</t>
  </si>
  <si>
    <t>097312000</t>
  </si>
  <si>
    <t>0907313000</t>
  </si>
  <si>
    <t>097313000</t>
  </si>
  <si>
    <t>0907315000</t>
  </si>
  <si>
    <t>097315000</t>
  </si>
  <si>
    <t>0907317000</t>
  </si>
  <si>
    <t>097317000</t>
  </si>
  <si>
    <t>0907318000</t>
  </si>
  <si>
    <t>097318000</t>
  </si>
  <si>
    <t>0907319000</t>
  </si>
  <si>
    <t>097319000</t>
  </si>
  <si>
    <t>0907322000</t>
  </si>
  <si>
    <t>City of Pagadian</t>
  </si>
  <si>
    <t>097322000</t>
  </si>
  <si>
    <t>0907323000</t>
  </si>
  <si>
    <t>Ramon Magsaysay</t>
  </si>
  <si>
    <t>097323000</t>
  </si>
  <si>
    <t>Liargo</t>
  </si>
  <si>
    <t>0907324000</t>
  </si>
  <si>
    <t>097324000</t>
  </si>
  <si>
    <t>0907325000</t>
  </si>
  <si>
    <t>097325000</t>
  </si>
  <si>
    <t>0907327000</t>
  </si>
  <si>
    <t>097327000</t>
  </si>
  <si>
    <t>0907328000</t>
  </si>
  <si>
    <t>097328000</t>
  </si>
  <si>
    <t>0907330000</t>
  </si>
  <si>
    <t>097330000</t>
  </si>
  <si>
    <t>0907333000</t>
  </si>
  <si>
    <t>097333000</t>
  </si>
  <si>
    <t>0907337000</t>
  </si>
  <si>
    <t>097337000</t>
  </si>
  <si>
    <t>0907338000</t>
  </si>
  <si>
    <t>097338000</t>
  </si>
  <si>
    <t>0907340000</t>
  </si>
  <si>
    <t>097340000</t>
  </si>
  <si>
    <t>Don Mariano Marcos</t>
  </si>
  <si>
    <t>0907341000</t>
  </si>
  <si>
    <t>Vincenzo A. Sagun</t>
  </si>
  <si>
    <t>097341000</t>
  </si>
  <si>
    <t>0907343000</t>
  </si>
  <si>
    <t>097343000</t>
  </si>
  <si>
    <t>0907344000</t>
  </si>
  <si>
    <t>097344000</t>
  </si>
  <si>
    <t>0908301000</t>
  </si>
  <si>
    <t>Zamboanga Sibugay</t>
  </si>
  <si>
    <t>098301000</t>
  </si>
  <si>
    <t>0908302000</t>
  </si>
  <si>
    <t>098302000</t>
  </si>
  <si>
    <t>0908303000</t>
  </si>
  <si>
    <t>098303000</t>
  </si>
  <si>
    <t>0908304000</t>
  </si>
  <si>
    <t>098304000</t>
  </si>
  <si>
    <t>0908305000</t>
  </si>
  <si>
    <t>098305000</t>
  </si>
  <si>
    <t>0908306000</t>
  </si>
  <si>
    <t>098306000</t>
  </si>
  <si>
    <t>0908307000</t>
  </si>
  <si>
    <t>098307000</t>
  </si>
  <si>
    <t>0908308000</t>
  </si>
  <si>
    <t>098308000</t>
  </si>
  <si>
    <t>0908309000</t>
  </si>
  <si>
    <t>098309000</t>
  </si>
  <si>
    <t>0908310000</t>
  </si>
  <si>
    <t>098310000</t>
  </si>
  <si>
    <t>0908311000</t>
  </si>
  <si>
    <t>098311000</t>
  </si>
  <si>
    <t>0908312000</t>
  </si>
  <si>
    <t>Roseller Lim</t>
  </si>
  <si>
    <t>098312000</t>
  </si>
  <si>
    <t>0908313000</t>
  </si>
  <si>
    <t>098313000</t>
  </si>
  <si>
    <t>0908314000</t>
  </si>
  <si>
    <t>098314000</t>
  </si>
  <si>
    <t>0908315000</t>
  </si>
  <si>
    <t>098315000</t>
  </si>
  <si>
    <t>0908316000</t>
  </si>
  <si>
    <t>098316000</t>
  </si>
  <si>
    <t>0990101000</t>
  </si>
  <si>
    <t>City of Isabela</t>
  </si>
  <si>
    <t>099701000</t>
  </si>
  <si>
    <t>0931700000</t>
  </si>
  <si>
    <t>City of Zamboanga</t>
  </si>
  <si>
    <t>097332000</t>
  </si>
  <si>
    <t>1001301000</t>
  </si>
  <si>
    <t>Region 10</t>
  </si>
  <si>
    <t>1001302000</t>
  </si>
  <si>
    <t>1001303000</t>
  </si>
  <si>
    <t>1001304000</t>
  </si>
  <si>
    <t>Don Carlos</t>
  </si>
  <si>
    <t>1001305000</t>
  </si>
  <si>
    <t>1001306000</t>
  </si>
  <si>
    <t>1001307000</t>
  </si>
  <si>
    <t>1001308000</t>
  </si>
  <si>
    <t>1001309000</t>
  </si>
  <si>
    <t>1001310000</t>
  </si>
  <si>
    <t>1001311000</t>
  </si>
  <si>
    <t>1001312000</t>
  </si>
  <si>
    <t>City of Malaybalay</t>
  </si>
  <si>
    <t>1001313000</t>
  </si>
  <si>
    <t>1001314000</t>
  </si>
  <si>
    <t>Manolo Fortich</t>
  </si>
  <si>
    <t>1001315000</t>
  </si>
  <si>
    <t>1001316000</t>
  </si>
  <si>
    <t>1001317000</t>
  </si>
  <si>
    <t>1001318000</t>
  </si>
  <si>
    <t>1001319000</t>
  </si>
  <si>
    <t>1001320000</t>
  </si>
  <si>
    <t>1001321000</t>
  </si>
  <si>
    <t>City of Valencia</t>
  </si>
  <si>
    <t>1001322000</t>
  </si>
  <si>
    <t>1001801000</t>
  </si>
  <si>
    <t>1001802000</t>
  </si>
  <si>
    <t>1001803000</t>
  </si>
  <si>
    <t>1001804000</t>
  </si>
  <si>
    <t>1001805000</t>
  </si>
  <si>
    <t>1003501000</t>
  </si>
  <si>
    <t>Lanao del Norte</t>
  </si>
  <si>
    <t>1003502000</t>
  </si>
  <si>
    <t>1003503000</t>
  </si>
  <si>
    <t>1003505000</t>
  </si>
  <si>
    <t>1003506000</t>
  </si>
  <si>
    <t>Sultan Naga Dimaporo</t>
  </si>
  <si>
    <t>Karomatan</t>
  </si>
  <si>
    <t>1003507000</t>
  </si>
  <si>
    <t>1003508000</t>
  </si>
  <si>
    <t>1003509000</t>
  </si>
  <si>
    <t>1003510000</t>
  </si>
  <si>
    <t>1003511000</t>
  </si>
  <si>
    <t>1003512000</t>
  </si>
  <si>
    <t>1003513000</t>
  </si>
  <si>
    <t>1003514000</t>
  </si>
  <si>
    <t>1003515000</t>
  </si>
  <si>
    <t>1003516000</t>
  </si>
  <si>
    <t>Pantao Ragat</t>
  </si>
  <si>
    <t>1003517000</t>
  </si>
  <si>
    <t>Poona Piagapo</t>
  </si>
  <si>
    <t>1003518000</t>
  </si>
  <si>
    <t>1003519000</t>
  </si>
  <si>
    <t>1003520000</t>
  </si>
  <si>
    <t>1003521000</t>
  </si>
  <si>
    <t>1003522000</t>
  </si>
  <si>
    <t>1003523000</t>
  </si>
  <si>
    <t>1004201000</t>
  </si>
  <si>
    <t>Misamis Occidental</t>
  </si>
  <si>
    <t>1004202000</t>
  </si>
  <si>
    <t>1004203000</t>
  </si>
  <si>
    <t>1004204000</t>
  </si>
  <si>
    <t>1004205000</t>
  </si>
  <si>
    <t>1004206000</t>
  </si>
  <si>
    <t>1004207000</t>
  </si>
  <si>
    <t>1004208000</t>
  </si>
  <si>
    <t>Lopez Jaena</t>
  </si>
  <si>
    <t>1004209000</t>
  </si>
  <si>
    <t>City of Oroquieta</t>
  </si>
  <si>
    <t>1004210000</t>
  </si>
  <si>
    <t>City of Ozamiz</t>
  </si>
  <si>
    <t>1004211000</t>
  </si>
  <si>
    <t>1004212000</t>
  </si>
  <si>
    <t>1004213000</t>
  </si>
  <si>
    <t>Sapang Dalaga</t>
  </si>
  <si>
    <t>1004214000</t>
  </si>
  <si>
    <t>1004215000</t>
  </si>
  <si>
    <t>City of Tangub</t>
  </si>
  <si>
    <t>1004216000</t>
  </si>
  <si>
    <t>1004217000</t>
  </si>
  <si>
    <t>Don Victoriano Chiongbian</t>
  </si>
  <si>
    <t>1004301000</t>
  </si>
  <si>
    <t>Misamis Oriental</t>
  </si>
  <si>
    <t>1004302000</t>
  </si>
  <si>
    <t>1004303000</t>
  </si>
  <si>
    <t>1004304000</t>
  </si>
  <si>
    <t>1004306000</t>
  </si>
  <si>
    <t>1004307000</t>
  </si>
  <si>
    <t>City of El Salvador</t>
  </si>
  <si>
    <t>1004308000</t>
  </si>
  <si>
    <t>City of Gingoog</t>
  </si>
  <si>
    <t>1004309000</t>
  </si>
  <si>
    <t>1004310000</t>
  </si>
  <si>
    <t>1004311000</t>
  </si>
  <si>
    <t>1004312000</t>
  </si>
  <si>
    <t>1004313000</t>
  </si>
  <si>
    <t>1004314000</t>
  </si>
  <si>
    <t>1004315000</t>
  </si>
  <si>
    <t>1004316000</t>
  </si>
  <si>
    <t>1004317000</t>
  </si>
  <si>
    <t>Linugos</t>
  </si>
  <si>
    <t>1004318000</t>
  </si>
  <si>
    <t>1004319000</t>
  </si>
  <si>
    <t>1004320000</t>
  </si>
  <si>
    <t>1004321000</t>
  </si>
  <si>
    <t>1004322000</t>
  </si>
  <si>
    <t>1004323000</t>
  </si>
  <si>
    <t>1004324000</t>
  </si>
  <si>
    <t>1004325000</t>
  </si>
  <si>
    <t>1004326000</t>
  </si>
  <si>
    <t>1030500000</t>
  </si>
  <si>
    <t>City of Cagayan De Oro</t>
  </si>
  <si>
    <t>1030900000</t>
  </si>
  <si>
    <t>City of Iligan</t>
  </si>
  <si>
    <t>1st* (reclass 2005)</t>
  </si>
  <si>
    <t>1102301000</t>
  </si>
  <si>
    <t>Region 11</t>
  </si>
  <si>
    <t>Davao del Norte</t>
  </si>
  <si>
    <t>Saug</t>
  </si>
  <si>
    <t>1102303000</t>
  </si>
  <si>
    <t>1102305000</t>
  </si>
  <si>
    <t>1102314000</t>
  </si>
  <si>
    <t>New Corella</t>
  </si>
  <si>
    <t>1102315000</t>
  </si>
  <si>
    <t>City of Panabo</t>
  </si>
  <si>
    <t>1102317000</t>
  </si>
  <si>
    <t>Island Garden City of Samal</t>
  </si>
  <si>
    <t>1102318000</t>
  </si>
  <si>
    <t>1102319000</t>
  </si>
  <si>
    <t>City of Tagum</t>
  </si>
  <si>
    <t>1102322000</t>
  </si>
  <si>
    <t>1102323000</t>
  </si>
  <si>
    <t>Braulio E. Dujali</t>
  </si>
  <si>
    <t>1102324000</t>
  </si>
  <si>
    <t>1102401000</t>
  </si>
  <si>
    <t>Davao del Sur</t>
  </si>
  <si>
    <t>1102403000</t>
  </si>
  <si>
    <t>City of Digos</t>
  </si>
  <si>
    <t>1102404000</t>
  </si>
  <si>
    <t>1102406000</t>
  </si>
  <si>
    <t>1102407000</t>
  </si>
  <si>
    <t>1102408000</t>
  </si>
  <si>
    <t>1102410000</t>
  </si>
  <si>
    <t>1102411000</t>
  </si>
  <si>
    <t>1102412000</t>
  </si>
  <si>
    <t>1102414000</t>
  </si>
  <si>
    <t>1102501000</t>
  </si>
  <si>
    <t>Davao Oriental</t>
  </si>
  <si>
    <t>1102502000</t>
  </si>
  <si>
    <t>1102503000</t>
  </si>
  <si>
    <t>1102504000</t>
  </si>
  <si>
    <t>1102505000</t>
  </si>
  <si>
    <t>1102506000</t>
  </si>
  <si>
    <t>Governor Generoso</t>
  </si>
  <si>
    <t>1102507000</t>
  </si>
  <si>
    <t>1102508000</t>
  </si>
  <si>
    <t>1102509000</t>
  </si>
  <si>
    <t>City of Mati</t>
  </si>
  <si>
    <t>1102510000</t>
  </si>
  <si>
    <t>1102511000</t>
  </si>
  <si>
    <t>1108201000</t>
  </si>
  <si>
    <t>Davao de Oro</t>
  </si>
  <si>
    <t>1108202000</t>
  </si>
  <si>
    <t>1108203000</t>
  </si>
  <si>
    <t>Doña Alicia</t>
  </si>
  <si>
    <t>1108204000</t>
  </si>
  <si>
    <t>1108205000</t>
  </si>
  <si>
    <t>1108206000</t>
  </si>
  <si>
    <t>1108207000</t>
  </si>
  <si>
    <t>1108208000</t>
  </si>
  <si>
    <t>1108209000</t>
  </si>
  <si>
    <t>1108210000</t>
  </si>
  <si>
    <t>New Bataan</t>
  </si>
  <si>
    <t>1108211000</t>
  </si>
  <si>
    <t>1108601000</t>
  </si>
  <si>
    <t>Davao Occidental</t>
  </si>
  <si>
    <t>Don Marcelino</t>
  </si>
  <si>
    <t>1108602000</t>
  </si>
  <si>
    <t>Jose Abad Santos</t>
  </si>
  <si>
    <t>1108603000</t>
  </si>
  <si>
    <t>Malita</t>
  </si>
  <si>
    <t>1108604000</t>
  </si>
  <si>
    <t>1108605000</t>
  </si>
  <si>
    <t>1130700000</t>
  </si>
  <si>
    <t>City of Davao</t>
  </si>
  <si>
    <t>1204701000</t>
  </si>
  <si>
    <t>Region 12</t>
  </si>
  <si>
    <t>1204702000</t>
  </si>
  <si>
    <t>1204703000</t>
  </si>
  <si>
    <t>1204704000</t>
  </si>
  <si>
    <t>City of Kidapawan</t>
  </si>
  <si>
    <t>1204705000</t>
  </si>
  <si>
    <t>1204706000</t>
  </si>
  <si>
    <t>1204707000</t>
  </si>
  <si>
    <t>1204708000</t>
  </si>
  <si>
    <t>1204709000</t>
  </si>
  <si>
    <t>1204710000</t>
  </si>
  <si>
    <t>1204711000</t>
  </si>
  <si>
    <t>1204712000</t>
  </si>
  <si>
    <t>1204713000</t>
  </si>
  <si>
    <t>1204714000</t>
  </si>
  <si>
    <t>1204715000</t>
  </si>
  <si>
    <t>1204716000</t>
  </si>
  <si>
    <t>1204717000</t>
  </si>
  <si>
    <t>1204718000</t>
  </si>
  <si>
    <t>1206302000</t>
  </si>
  <si>
    <t>South Cotabato</t>
  </si>
  <si>
    <t>1206306000</t>
  </si>
  <si>
    <t>City of Koronadal</t>
  </si>
  <si>
    <t>1206311000</t>
  </si>
  <si>
    <t>1206312000</t>
  </si>
  <si>
    <t>1206313000</t>
  </si>
  <si>
    <t>1206314000</t>
  </si>
  <si>
    <t>1206315000</t>
  </si>
  <si>
    <t>1206316000</t>
  </si>
  <si>
    <t>1206317000</t>
  </si>
  <si>
    <t>1206318000</t>
  </si>
  <si>
    <t>1206319000</t>
  </si>
  <si>
    <t>Lake Sebu</t>
  </si>
  <si>
    <t>1206501000</t>
  </si>
  <si>
    <t>Sultan Kudarat</t>
  </si>
  <si>
    <t>1206502000</t>
  </si>
  <si>
    <t>1206503000</t>
  </si>
  <si>
    <t>1206504000</t>
  </si>
  <si>
    <t>1206505000</t>
  </si>
  <si>
    <t>1206506000</t>
  </si>
  <si>
    <t>1206507000</t>
  </si>
  <si>
    <t>1206508000</t>
  </si>
  <si>
    <t>Mariano Marcos</t>
  </si>
  <si>
    <t>1206509000</t>
  </si>
  <si>
    <t>1206510000</t>
  </si>
  <si>
    <t>President Quirino</t>
  </si>
  <si>
    <t>1206511000</t>
  </si>
  <si>
    <t>City of Tacurong</t>
  </si>
  <si>
    <t>1206512000</t>
  </si>
  <si>
    <t>Sen. Ninoy Aquino</t>
  </si>
  <si>
    <t>1208001000</t>
  </si>
  <si>
    <t>1208002000</t>
  </si>
  <si>
    <t>1208003000</t>
  </si>
  <si>
    <t>1208004000</t>
  </si>
  <si>
    <t>1208005000</t>
  </si>
  <si>
    <t>1208006000</t>
  </si>
  <si>
    <t>1208007000</t>
  </si>
  <si>
    <t>1230800000</t>
  </si>
  <si>
    <t>City of General Santos</t>
  </si>
  <si>
    <t>Dadiangas</t>
  </si>
  <si>
    <t>1600201000</t>
  </si>
  <si>
    <t>Region 13</t>
  </si>
  <si>
    <t>Agusan del Norte</t>
  </si>
  <si>
    <t>1600203000</t>
  </si>
  <si>
    <t>City of Cabadbaran</t>
  </si>
  <si>
    <t>1600204000</t>
  </si>
  <si>
    <t>1600205000</t>
  </si>
  <si>
    <t>1600206000</t>
  </si>
  <si>
    <t>1600207000</t>
  </si>
  <si>
    <t>Las Nieves</t>
  </si>
  <si>
    <t>1600208000</t>
  </si>
  <si>
    <t>1600209000</t>
  </si>
  <si>
    <t>1600210000</t>
  </si>
  <si>
    <t>1600211000</t>
  </si>
  <si>
    <t>1600212000</t>
  </si>
  <si>
    <t>Remedios T. Romualdez</t>
  </si>
  <si>
    <t>1600301000</t>
  </si>
  <si>
    <t>Agusan del Sur</t>
  </si>
  <si>
    <t>City of Bayugan</t>
  </si>
  <si>
    <t>1600302000</t>
  </si>
  <si>
    <t>1600303000</t>
  </si>
  <si>
    <t>1600304000</t>
  </si>
  <si>
    <t>1600305000</t>
  </si>
  <si>
    <t>1600306000</t>
  </si>
  <si>
    <t>1600307000</t>
  </si>
  <si>
    <t>1600308000</t>
  </si>
  <si>
    <t>1600309000</t>
  </si>
  <si>
    <t>1600310000</t>
  </si>
  <si>
    <t>Santa Josefa</t>
  </si>
  <si>
    <t>1600311000</t>
  </si>
  <si>
    <t>1600312000</t>
  </si>
  <si>
    <t>1600313000</t>
  </si>
  <si>
    <t>1600314000</t>
  </si>
  <si>
    <t>1606701000</t>
  </si>
  <si>
    <t>Surigao del Norte</t>
  </si>
  <si>
    <t>1606702000</t>
  </si>
  <si>
    <t>1606704000</t>
  </si>
  <si>
    <t>1606706000</t>
  </si>
  <si>
    <t>1606707000</t>
  </si>
  <si>
    <t>1606708000</t>
  </si>
  <si>
    <t>Del Carmen</t>
  </si>
  <si>
    <t>1606710000</t>
  </si>
  <si>
    <t>1606711000</t>
  </si>
  <si>
    <t>1606714000</t>
  </si>
  <si>
    <t>1606715000</t>
  </si>
  <si>
    <t>1606716000</t>
  </si>
  <si>
    <t>1606717000</t>
  </si>
  <si>
    <t>1606718000</t>
  </si>
  <si>
    <t>San Benito</t>
  </si>
  <si>
    <t>1606719000</t>
  </si>
  <si>
    <t>Anao-aon</t>
  </si>
  <si>
    <t>1606720000</t>
  </si>
  <si>
    <t>1606721000</t>
  </si>
  <si>
    <t>Santa Monica</t>
  </si>
  <si>
    <t>Sapao</t>
  </si>
  <si>
    <t>1606722000</t>
  </si>
  <si>
    <t>1606723000</t>
  </si>
  <si>
    <t>1606724000</t>
  </si>
  <si>
    <t>City of Surigao</t>
  </si>
  <si>
    <t>1606725000</t>
  </si>
  <si>
    <t>1606727000</t>
  </si>
  <si>
    <t>1606801000</t>
  </si>
  <si>
    <t>Surigao del Sur</t>
  </si>
  <si>
    <t>1606802000</t>
  </si>
  <si>
    <t>1606803000</t>
  </si>
  <si>
    <t>City of Bislig</t>
  </si>
  <si>
    <t>1606804000</t>
  </si>
  <si>
    <t>1606805000</t>
  </si>
  <si>
    <t>1606806000</t>
  </si>
  <si>
    <t>1606807000</t>
  </si>
  <si>
    <t>1606808000</t>
  </si>
  <si>
    <t>1606809000</t>
  </si>
  <si>
    <t>1606810000</t>
  </si>
  <si>
    <t>1606811000</t>
  </si>
  <si>
    <t>1606812000</t>
  </si>
  <si>
    <t>1606813000</t>
  </si>
  <si>
    <t>1606814000</t>
  </si>
  <si>
    <t>1606815000</t>
  </si>
  <si>
    <t>1606816000</t>
  </si>
  <si>
    <t>1606817000</t>
  </si>
  <si>
    <t>1606818000</t>
  </si>
  <si>
    <t>1606819000</t>
  </si>
  <si>
    <t>City of Tandag</t>
  </si>
  <si>
    <t>1608501000</t>
  </si>
  <si>
    <t>Dinagat Islands</t>
  </si>
  <si>
    <t>1608502000</t>
  </si>
  <si>
    <t>1608503000</t>
  </si>
  <si>
    <t>1608504000</t>
  </si>
  <si>
    <t>Albor</t>
  </si>
  <si>
    <t>1608505000</t>
  </si>
  <si>
    <t>1608506000</t>
  </si>
  <si>
    <t>1608507000</t>
  </si>
  <si>
    <t>1630400000</t>
  </si>
  <si>
    <t>City of Butuan</t>
  </si>
  <si>
    <t>1900702000</t>
  </si>
  <si>
    <t>City of Lamitan</t>
  </si>
  <si>
    <t>1900703000</t>
  </si>
  <si>
    <t>Lantawan</t>
  </si>
  <si>
    <t>1900704000</t>
  </si>
  <si>
    <t>Maluso</t>
  </si>
  <si>
    <t>1900705000</t>
  </si>
  <si>
    <t>Sumisip</t>
  </si>
  <si>
    <t>1900706000</t>
  </si>
  <si>
    <t>Tipo-Tipo</t>
  </si>
  <si>
    <t>1900707000</t>
  </si>
  <si>
    <t>1900708000</t>
  </si>
  <si>
    <t>Akbar</t>
  </si>
  <si>
    <t>-</t>
  </si>
  <si>
    <t>1900709000</t>
  </si>
  <si>
    <t>Al-Barka</t>
  </si>
  <si>
    <t>1900710000</t>
  </si>
  <si>
    <t>Hadji Mohammad Ajul</t>
  </si>
  <si>
    <t>1900711000</t>
  </si>
  <si>
    <t>Ungkaya Pukan</t>
  </si>
  <si>
    <t>1900712000</t>
  </si>
  <si>
    <t>Hadji Muhtamad</t>
  </si>
  <si>
    <t>1900713000</t>
  </si>
  <si>
    <t>Tabuan-Lasa</t>
  </si>
  <si>
    <t>1903601000</t>
  </si>
  <si>
    <t>Lanao del Sur</t>
  </si>
  <si>
    <t>Bacolod-Kalawi</t>
  </si>
  <si>
    <t>Bacolod Grande</t>
  </si>
  <si>
    <t>1903602000</t>
  </si>
  <si>
    <t>Balabagan</t>
  </si>
  <si>
    <t>1903603000</t>
  </si>
  <si>
    <t>Balindong</t>
  </si>
  <si>
    <t>Watu</t>
  </si>
  <si>
    <t>1903604000</t>
  </si>
  <si>
    <t>Bayang</t>
  </si>
  <si>
    <t>1903605000</t>
  </si>
  <si>
    <t>Binidayan</t>
  </si>
  <si>
    <t>1903606000</t>
  </si>
  <si>
    <t>Bubong</t>
  </si>
  <si>
    <t>1903607000</t>
  </si>
  <si>
    <t>Butig</t>
  </si>
  <si>
    <t>1903609000</t>
  </si>
  <si>
    <t>Ganassi</t>
  </si>
  <si>
    <t>1903610000</t>
  </si>
  <si>
    <t>Kapai</t>
  </si>
  <si>
    <t>1903611000</t>
  </si>
  <si>
    <t>Lumba-Bayabao</t>
  </si>
  <si>
    <t>Maguing</t>
  </si>
  <si>
    <t>1903612000</t>
  </si>
  <si>
    <t>Lumbatan</t>
  </si>
  <si>
    <t>1903613000</t>
  </si>
  <si>
    <t>Madalum</t>
  </si>
  <si>
    <t>1903614000</t>
  </si>
  <si>
    <t>Madamba</t>
  </si>
  <si>
    <t>1903615000</t>
  </si>
  <si>
    <t>Malabang</t>
  </si>
  <si>
    <t>1903616000</t>
  </si>
  <si>
    <t>Marantao</t>
  </si>
  <si>
    <t>1903617000</t>
  </si>
  <si>
    <t>City of Marawi</t>
  </si>
  <si>
    <t>1903618000</t>
  </si>
  <si>
    <t>Masiu</t>
  </si>
  <si>
    <t>1903619000</t>
  </si>
  <si>
    <t>Mulondo</t>
  </si>
  <si>
    <t>1903620000</t>
  </si>
  <si>
    <t>Pagayawan</t>
  </si>
  <si>
    <t>Tatarikan</t>
  </si>
  <si>
    <t>1903621000</t>
  </si>
  <si>
    <t>Piagapo</t>
  </si>
  <si>
    <t>1903622000</t>
  </si>
  <si>
    <t>Poona Bayabao</t>
  </si>
  <si>
    <t>Gata</t>
  </si>
  <si>
    <t>1903623000</t>
  </si>
  <si>
    <t>Pualas</t>
  </si>
  <si>
    <t>1903624000</t>
  </si>
  <si>
    <t>Ditsaan-Ramain</t>
  </si>
  <si>
    <t>1903625000</t>
  </si>
  <si>
    <t>Saguiaran</t>
  </si>
  <si>
    <t>1903626000</t>
  </si>
  <si>
    <t>Tamparan</t>
  </si>
  <si>
    <t>1903627000</t>
  </si>
  <si>
    <t>Taraka</t>
  </si>
  <si>
    <t>1903628000</t>
  </si>
  <si>
    <t>Tubaran</t>
  </si>
  <si>
    <t>1903629000</t>
  </si>
  <si>
    <t>Tugaya</t>
  </si>
  <si>
    <t>1903630000</t>
  </si>
  <si>
    <t>Wao</t>
  </si>
  <si>
    <t>1903631000</t>
  </si>
  <si>
    <t>Marogong</t>
  </si>
  <si>
    <t>1903632000</t>
  </si>
  <si>
    <t>Calanogas</t>
  </si>
  <si>
    <t>1903633000</t>
  </si>
  <si>
    <t>Buadiposo-Buntong</t>
  </si>
  <si>
    <t>1903634000</t>
  </si>
  <si>
    <t>1903635000</t>
  </si>
  <si>
    <t>Picong</t>
  </si>
  <si>
    <t>Sultan Gumander</t>
  </si>
  <si>
    <t>1903636000</t>
  </si>
  <si>
    <t>Lumbayanague</t>
  </si>
  <si>
    <t>1903637000</t>
  </si>
  <si>
    <t>Amai Manabilang</t>
  </si>
  <si>
    <t>Bumbaran</t>
  </si>
  <si>
    <t>1903638000</t>
  </si>
  <si>
    <t>Tagoloan Ii</t>
  </si>
  <si>
    <t>1903639000</t>
  </si>
  <si>
    <t>1903640000</t>
  </si>
  <si>
    <t>Sultan Dumalondong</t>
  </si>
  <si>
    <t>1903641000</t>
  </si>
  <si>
    <t>Lumbaca-Unayan</t>
  </si>
  <si>
    <t>1906601000</t>
  </si>
  <si>
    <t>1906602000</t>
  </si>
  <si>
    <t>1906603000</t>
  </si>
  <si>
    <t>1906604000</t>
  </si>
  <si>
    <t>1906605000</t>
  </si>
  <si>
    <t>1906606000</t>
  </si>
  <si>
    <t>Marunggas</t>
  </si>
  <si>
    <t>1906607000</t>
  </si>
  <si>
    <t>1906608000</t>
  </si>
  <si>
    <t>1906609000</t>
  </si>
  <si>
    <t>1906610000</t>
  </si>
  <si>
    <t>1906611000</t>
  </si>
  <si>
    <t>1906612000</t>
  </si>
  <si>
    <t>1906613000</t>
  </si>
  <si>
    <t>1906614000</t>
  </si>
  <si>
    <t>1906615000</t>
  </si>
  <si>
    <t>Tongkil</t>
  </si>
  <si>
    <t>1906616000</t>
  </si>
  <si>
    <t>Panglima Estino</t>
  </si>
  <si>
    <t>New Panamao</t>
  </si>
  <si>
    <t>1906617000</t>
  </si>
  <si>
    <t>1906618000</t>
  </si>
  <si>
    <t>1906619000</t>
  </si>
  <si>
    <t>1907001000</t>
  </si>
  <si>
    <t>Panglima Sugala</t>
  </si>
  <si>
    <t>Balimbing</t>
  </si>
  <si>
    <t>1907002000</t>
  </si>
  <si>
    <t>Bongao</t>
  </si>
  <si>
    <t>1907003000</t>
  </si>
  <si>
    <t>Mapun</t>
  </si>
  <si>
    <t>Cagayan de Tawi-Tawi</t>
  </si>
  <si>
    <t>1907004000</t>
  </si>
  <si>
    <t>Simunul</t>
  </si>
  <si>
    <t>1907005000</t>
  </si>
  <si>
    <t>Sitangkai</t>
  </si>
  <si>
    <t>1907006000</t>
  </si>
  <si>
    <t>South Ubian</t>
  </si>
  <si>
    <t>1907007000</t>
  </si>
  <si>
    <t>Tandubas</t>
  </si>
  <si>
    <t>1907008000</t>
  </si>
  <si>
    <t>Turtle Islands</t>
  </si>
  <si>
    <t>1907009000</t>
  </si>
  <si>
    <t>Languyan</t>
  </si>
  <si>
    <t>1907010000</t>
  </si>
  <si>
    <t>Sapa-Sapa</t>
  </si>
  <si>
    <t>1907011000</t>
  </si>
  <si>
    <t>Sibutu</t>
  </si>
  <si>
    <t>1908701000</t>
  </si>
  <si>
    <t>Maguindanao del Norte</t>
  </si>
  <si>
    <t>Barira</t>
  </si>
  <si>
    <t>1908702000</t>
  </si>
  <si>
    <t>Buldon</t>
  </si>
  <si>
    <t>1908703000</t>
  </si>
  <si>
    <t>City of Cotabato</t>
  </si>
  <si>
    <t>1908704000</t>
  </si>
  <si>
    <t>Datu Blah T. Sinsuat</t>
  </si>
  <si>
    <t>1908705000</t>
  </si>
  <si>
    <t>Datu Odin Sinsuat</t>
  </si>
  <si>
    <t>Dinaig</t>
  </si>
  <si>
    <t>1908706000</t>
  </si>
  <si>
    <t>Kabuntalan</t>
  </si>
  <si>
    <t>Tumbao</t>
  </si>
  <si>
    <t>1908707000</t>
  </si>
  <si>
    <t>Matanog</t>
  </si>
  <si>
    <t>1908708000</t>
  </si>
  <si>
    <t>Northern Kabuntalan</t>
  </si>
  <si>
    <t>1908709000</t>
  </si>
  <si>
    <t>1908710000</t>
  </si>
  <si>
    <t>Nuling</t>
  </si>
  <si>
    <t>1908711000</t>
  </si>
  <si>
    <t>Sultan Mastura</t>
  </si>
  <si>
    <t>1908712000</t>
  </si>
  <si>
    <t>Talitay</t>
  </si>
  <si>
    <t>1908713000</t>
  </si>
  <si>
    <t>Upi</t>
  </si>
  <si>
    <t>1908801000</t>
  </si>
  <si>
    <t>Maguindanao del Sur</t>
  </si>
  <si>
    <t>Ampatuan</t>
  </si>
  <si>
    <t>1908802000</t>
  </si>
  <si>
    <t>Buluan</t>
  </si>
  <si>
    <t>1908803000</t>
  </si>
  <si>
    <t>Datu Abdullah Sangki</t>
  </si>
  <si>
    <t>1908804000</t>
  </si>
  <si>
    <t>Datu Anggal Midtimbang</t>
  </si>
  <si>
    <t>1908805000</t>
  </si>
  <si>
    <t>Datu Hoffer Ampatuan</t>
  </si>
  <si>
    <t>1908806000</t>
  </si>
  <si>
    <t>Datu Paglas</t>
  </si>
  <si>
    <t>1908807000</t>
  </si>
  <si>
    <t>Datu Piang</t>
  </si>
  <si>
    <t>1908808000</t>
  </si>
  <si>
    <t>Datu Salibo</t>
  </si>
  <si>
    <t>1908809000</t>
  </si>
  <si>
    <t>Datu Saudi Ampatuan</t>
  </si>
  <si>
    <t>1908810000</t>
  </si>
  <si>
    <t>Datu Unsay</t>
  </si>
  <si>
    <t>1908811000</t>
  </si>
  <si>
    <t>Gen. S.K. Pendatun</t>
  </si>
  <si>
    <t>1908812000</t>
  </si>
  <si>
    <t>Guindulungan</t>
  </si>
  <si>
    <t>1908813000</t>
  </si>
  <si>
    <t>Mamasapano</t>
  </si>
  <si>
    <t>1908814000</t>
  </si>
  <si>
    <t>Mangudadatu</t>
  </si>
  <si>
    <t>1908815000</t>
  </si>
  <si>
    <t>Pagagawan</t>
  </si>
  <si>
    <t>1908816000</t>
  </si>
  <si>
    <t>Pagalungan</t>
  </si>
  <si>
    <t>1908817000</t>
  </si>
  <si>
    <t>Paglat</t>
  </si>
  <si>
    <t>1908818000</t>
  </si>
  <si>
    <t>Pandag</t>
  </si>
  <si>
    <t>1908819000</t>
  </si>
  <si>
    <t>Rajah Buayan</t>
  </si>
  <si>
    <t>1908820000</t>
  </si>
  <si>
    <t>Shariff Aguak</t>
  </si>
  <si>
    <t>Maganoy</t>
  </si>
  <si>
    <t>1908821000</t>
  </si>
  <si>
    <t>Shariff Saydona Mustapha</t>
  </si>
  <si>
    <t>1908822000</t>
  </si>
  <si>
    <t>South Upi</t>
  </si>
  <si>
    <t>1908823000</t>
  </si>
  <si>
    <t>Sultan Sa Barongis</t>
  </si>
  <si>
    <t>1908824000</t>
  </si>
  <si>
    <t>Talayan</t>
  </si>
  <si>
    <t>Kapalawan</t>
  </si>
  <si>
    <t>Old Kaabakan</t>
  </si>
  <si>
    <t>Kadayangan</t>
  </si>
  <si>
    <t>Nabalawag</t>
  </si>
  <si>
    <t>Pahamuddin</t>
  </si>
  <si>
    <t>Malidegao</t>
  </si>
  <si>
    <t>Ligawasan</t>
  </si>
  <si>
    <t>Tugunan</t>
  </si>
  <si>
    <t xml:space="preserve">Instruction:   </t>
  </si>
  <si>
    <t>Do not edit the formula in this column</t>
  </si>
  <si>
    <t>Editable Column</t>
  </si>
  <si>
    <t>Planning Period</t>
  </si>
  <si>
    <t>Version of PPFP</t>
  </si>
  <si>
    <t>Start Year
(YYYY)</t>
  </si>
  <si>
    <t>End Year
(YYYY)</t>
  </si>
  <si>
    <t>Resolution Approving Plan</t>
  </si>
  <si>
    <t>Date of  Approval (DD/MM/YYYY)</t>
  </si>
  <si>
    <t>Year Approved</t>
  </si>
  <si>
    <t>Date of Adoption (MM/DD/YYYY)</t>
  </si>
  <si>
    <t>Year Adopted</t>
  </si>
  <si>
    <t>PDPFP/PPFP Status</t>
  </si>
  <si>
    <t>Negros Island Region</t>
  </si>
  <si>
    <t>DHSUD DC No. 2024-014 s. 2024</t>
  </si>
  <si>
    <t>DHSUD DC No. 2024-021 s. 2024</t>
  </si>
  <si>
    <t xml:space="preserve">OUTPUT INDICATORS </t>
  </si>
  <si>
    <t>1.1. No. of LGUs assisted on the preparation of CLUPs and ZOs  (Single counting)</t>
  </si>
  <si>
    <r>
      <rPr>
        <b/>
        <sz val="11"/>
        <color rgb="FF000000"/>
        <rFont val="Arial"/>
        <family val="2"/>
      </rPr>
      <t>Description:</t>
    </r>
    <r>
      <rPr>
        <sz val="11"/>
        <color rgb="FF000000"/>
        <rFont val="Arial"/>
        <family val="2"/>
      </rPr>
      <t xml:space="preserve"> Number of LGUs provided with assistance in preparing their CLUPs/ZOs, specifically on topics and outputs aligned with the TPAP Formulation/Updating Phases (Pre-Phase to Phase 5). The targeted LGUs are selected based on their existing status and progress concerning the specified topics and are further prioritized based on their commitment to completing the necessary documentation related to the assistance provided.
</t>
    </r>
    <r>
      <rPr>
        <i/>
        <sz val="11"/>
        <color rgb="FFFF0000"/>
        <rFont val="Arial"/>
        <family val="2"/>
      </rPr>
      <t xml:space="preserve">
Note: Each city or municipality </t>
    </r>
    <r>
      <rPr>
        <b/>
        <i/>
        <sz val="11"/>
        <color rgb="FFFF0000"/>
        <rFont val="Arial"/>
        <family val="2"/>
      </rPr>
      <t>shall be counted only once</t>
    </r>
    <r>
      <rPr>
        <i/>
        <sz val="11"/>
        <color rgb="FFFF0000"/>
        <rFont val="Arial"/>
        <family val="2"/>
      </rPr>
      <t xml:space="preserve"> (i.e., single counting). Once an LGU has been counted in a given month, it will not be included in the count for subsequent months in this indicator. However, the total instances of assistance provided to that LGU shall still be recorded under Output Indicator 1.2.</t>
    </r>
  </si>
  <si>
    <r>
      <t xml:space="preserve">MOVs: 
</t>
    </r>
    <r>
      <rPr>
        <sz val="11"/>
        <color theme="1"/>
        <rFont val="Arial"/>
        <family val="2"/>
      </rPr>
      <t>External contact reports/ post-activity reports (for planned technical assistance-related activities) / logbook of technical assistance provided (i.e., for walk-ins- indicating the name of requestor, technical assistance requested, purpose, contact information and other necessary information) /  correspondence documents / online forms or trackers for telephone/email correspondence, approved activity proposal with program (for orientations and briefings)</t>
    </r>
  </si>
  <si>
    <r>
      <t xml:space="preserve">Measure: </t>
    </r>
    <r>
      <rPr>
        <sz val="11"/>
        <color theme="1"/>
        <rFont val="Arial"/>
        <family val="2"/>
      </rPr>
      <t>Total number of LGUs (single counting) provided with technical assistance in the preparation of CLUPs/ZOs</t>
    </r>
  </si>
  <si>
    <r>
      <rPr>
        <b/>
        <sz val="11"/>
        <color theme="1"/>
        <rFont val="Arial"/>
        <family val="2"/>
      </rPr>
      <t xml:space="preserve">Note: </t>
    </r>
    <r>
      <rPr>
        <sz val="11"/>
        <color theme="1"/>
        <rFont val="Arial"/>
        <family val="2"/>
      </rPr>
      <t xml:space="preserve">Kindly </t>
    </r>
    <r>
      <rPr>
        <b/>
        <sz val="11"/>
        <color rgb="FFC00000"/>
        <rFont val="Arial"/>
        <family val="2"/>
      </rPr>
      <t>merge the cells under</t>
    </r>
    <r>
      <rPr>
        <b/>
        <u/>
        <sz val="11"/>
        <color rgb="FFC00000"/>
        <rFont val="Arial"/>
        <family val="2"/>
      </rPr>
      <t xml:space="preserve"> "Type of Assistance Provided", "Query/TA Requested", and "Date Conducted</t>
    </r>
    <r>
      <rPr>
        <b/>
        <sz val="11"/>
        <color theme="1"/>
        <rFont val="Arial"/>
        <family val="2"/>
      </rPr>
      <t xml:space="preserve"> </t>
    </r>
    <r>
      <rPr>
        <sz val="11"/>
        <color theme="1"/>
        <rFont val="Arial"/>
        <family val="2"/>
      </rPr>
      <t xml:space="preserve">for </t>
    </r>
    <r>
      <rPr>
        <b/>
        <sz val="11"/>
        <color theme="1"/>
        <rFont val="Arial"/>
        <family val="2"/>
      </rPr>
      <t xml:space="preserve">LGUs simultaneously assisted under one (1) or the </t>
    </r>
    <r>
      <rPr>
        <b/>
        <u/>
        <sz val="11"/>
        <color theme="1"/>
        <rFont val="Arial"/>
        <family val="2"/>
      </rPr>
      <t>same technical assistance conducted at the same time, date, and venue.</t>
    </r>
  </si>
  <si>
    <t>Total No. of LGUs assisted on the preparation of CLUPs and ZOs:</t>
  </si>
  <si>
    <t xml:space="preserve">Total No. of Technical Assistance Provided on CLUP/ZO: </t>
  </si>
  <si>
    <t>Total No. of Planned Technical Assistance:</t>
  </si>
  <si>
    <t>Total No. of Requested (by demand) Technical Assistance:</t>
  </si>
  <si>
    <t>City / Municipality</t>
  </si>
  <si>
    <t>Type of Assistance Provided</t>
  </si>
  <si>
    <t>Query/TA Requested</t>
  </si>
  <si>
    <t>Planned / Requested</t>
  </si>
  <si>
    <t>Date Conducted
(MM/DD/YYYY)</t>
  </si>
  <si>
    <t>Assistance through online platform, telephone, and letter queries</t>
  </si>
  <si>
    <t xml:space="preserve">Technical assistance on the Open Spaces, Urban Design and Development and mainstreaming of CDRA to CLUP and ZO; Also difference of critical point facilities and lifeline utilities </t>
  </si>
  <si>
    <t>Requested</t>
  </si>
  <si>
    <t>N/A</t>
  </si>
  <si>
    <t>Technical assistance on the Open Spaces Development Technical Working Group</t>
  </si>
  <si>
    <t>Assistance through on-field mentoring and coaching</t>
  </si>
  <si>
    <t>Technical assistance on Heritage Overlay Zone</t>
  </si>
  <si>
    <t>Technical assistance on the draft CLUP Vol 1 write ups and maps</t>
  </si>
  <si>
    <t>Technical Assistance on the Discrepancy in Municipal Land Area for CLUP Formulation</t>
  </si>
  <si>
    <t>Technical Assistance on CDRA tables and Sectoral Studies</t>
  </si>
  <si>
    <t>Technical assistance on the preparation of PDPFPs</t>
  </si>
  <si>
    <t>2.1. No. of LGUs assisted on the preparation of PDPFPs (Single counting)</t>
  </si>
  <si>
    <r>
      <rPr>
        <b/>
        <sz val="11"/>
        <color rgb="FF000000"/>
        <rFont val="Arial"/>
        <family val="2"/>
      </rPr>
      <t>Description:</t>
    </r>
    <r>
      <rPr>
        <sz val="11"/>
        <color rgb="FF000000"/>
        <rFont val="Arial"/>
        <family val="2"/>
      </rPr>
      <t xml:space="preserve"> Number of provinces provided with assistance in preparing their PDPFPs in accordance with the guidelines for the preparation of the PDPFP as stipulated in the Provincial / Local Planning and Expenditure Management, Volume 2 (2007), as guided by the DHSUD-NEDA-DILG JMC No. 2023-001: Interim Guidelines on the Formulation of Provincial Development and Physical Framweork Plan. Targeted provincial LGUs are those selected based on their existing status and progress regarding the specified topic, and further prioritized for their commitment to completing the requisite documentation associated with the provided assistance. 
</t>
    </r>
    <r>
      <rPr>
        <i/>
        <sz val="11"/>
        <color rgb="FFFF0000"/>
        <rFont val="Arial"/>
        <family val="2"/>
      </rPr>
      <t xml:space="preserve">Note: Each province </t>
    </r>
    <r>
      <rPr>
        <b/>
        <i/>
        <sz val="11"/>
        <color rgb="FFFF0000"/>
        <rFont val="Arial"/>
        <family val="2"/>
      </rPr>
      <t>shall be counted only once</t>
    </r>
    <r>
      <rPr>
        <i/>
        <sz val="11"/>
        <color rgb="FFFF0000"/>
        <rFont val="Arial"/>
        <family val="2"/>
      </rPr>
      <t xml:space="preserve"> (i.e., single counting). Once a province has been counted in a given month, it will not be included in the count for subsequent months in this indicator. However, the total instances of assistance provided to that LGU shall still be recorded under Output Indicator 2.2.</t>
    </r>
  </si>
  <si>
    <r>
      <t xml:space="preserve">Measure: </t>
    </r>
    <r>
      <rPr>
        <sz val="11"/>
        <color theme="1"/>
        <rFont val="Arial"/>
        <family val="2"/>
      </rPr>
      <t>Total number of provincial LGUs (single counting) provided with technical assistance in the preparation of PDPFPs</t>
    </r>
  </si>
  <si>
    <t>Total No. of LGUs assisted on the preparation of PDPFPs:</t>
  </si>
  <si>
    <t xml:space="preserve">Total No. of Technical Assistance Provided on the preparation of PDPFPs: </t>
  </si>
  <si>
    <t>Technical assistance on the preparation of Enhanced Housing Sub-sector</t>
  </si>
  <si>
    <t>3.1 No.of LGUs assisted on the CLUP Housing Sub-sector (LSP) preparation for integration to CLUP</t>
  </si>
  <si>
    <r>
      <rPr>
        <b/>
        <sz val="11"/>
        <color rgb="FF000000"/>
        <rFont val="Arial"/>
        <family val="2"/>
      </rPr>
      <t>Description:</t>
    </r>
    <r>
      <rPr>
        <sz val="11"/>
        <color rgb="FF000000"/>
        <rFont val="Arial"/>
        <family val="2"/>
      </rPr>
      <t xml:space="preserve"> Number of LGUs provided with assistance in the preparation of enhanced housing sub-sector (LSP) to be integrated into the CLUP, specifically on topics and outputs aligned with the DHSUD D.O. No. 2022-005 and DHSUD D.O. No. 2024-011. The targeted LGUs are selected based on their existing status and progress concerning the specified topics and are further prioritized based on their commitment to completing the necessary documentation related to the assistance provided.
</t>
    </r>
    <r>
      <rPr>
        <i/>
        <sz val="11"/>
        <color rgb="FFFF0000"/>
        <rFont val="Arial"/>
        <family val="2"/>
      </rPr>
      <t xml:space="preserve">Note: Each city or municipality </t>
    </r>
    <r>
      <rPr>
        <b/>
        <i/>
        <sz val="11"/>
        <color rgb="FFFF0000"/>
        <rFont val="Arial"/>
        <family val="2"/>
      </rPr>
      <t>shall be counted only once</t>
    </r>
    <r>
      <rPr>
        <i/>
        <sz val="11"/>
        <color rgb="FFFF0000"/>
        <rFont val="Arial"/>
        <family val="2"/>
      </rPr>
      <t xml:space="preserve"> (i.e., single counting). Once an LGU has been counted in a given month, it will not be included in the count for subsequent months in this indicator. However, the total instances of assistance provided to that LGU shall still be recorded under Output Indicator 3.2.</t>
    </r>
  </si>
  <si>
    <r>
      <t xml:space="preserve">Measure: </t>
    </r>
    <r>
      <rPr>
        <sz val="11"/>
        <color theme="1"/>
        <rFont val="Arial"/>
        <family val="2"/>
      </rPr>
      <t>Total number of LGUs (single counting) provided with technical assistance in the preparation of enhanced housing sub-sector to be integrated to the CLUP</t>
    </r>
  </si>
  <si>
    <r>
      <rPr>
        <b/>
        <sz val="11"/>
        <color theme="1"/>
        <rFont val="Arial"/>
        <family val="2"/>
      </rPr>
      <t xml:space="preserve">Note: </t>
    </r>
    <r>
      <rPr>
        <sz val="11"/>
        <color theme="1"/>
        <rFont val="Arial"/>
        <family val="2"/>
      </rPr>
      <t xml:space="preserve">Kindly </t>
    </r>
    <r>
      <rPr>
        <b/>
        <sz val="11"/>
        <color rgb="FFC00000"/>
        <rFont val="Arial"/>
        <family val="2"/>
      </rPr>
      <t>merge the cells under</t>
    </r>
    <r>
      <rPr>
        <b/>
        <u/>
        <sz val="11"/>
        <color rgb="FFC00000"/>
        <rFont val="Arial"/>
        <family val="2"/>
      </rPr>
      <t xml:space="preserve"> "Type of Assistance Provided", "Query/TA Requested",  and "Date Conducted</t>
    </r>
    <r>
      <rPr>
        <b/>
        <sz val="11"/>
        <color theme="1"/>
        <rFont val="Arial"/>
        <family val="2"/>
      </rPr>
      <t xml:space="preserve"> </t>
    </r>
    <r>
      <rPr>
        <sz val="11"/>
        <color theme="1"/>
        <rFont val="Arial"/>
        <family val="2"/>
      </rPr>
      <t xml:space="preserve">for </t>
    </r>
    <r>
      <rPr>
        <b/>
        <sz val="11"/>
        <color theme="1"/>
        <rFont val="Arial"/>
        <family val="2"/>
      </rPr>
      <t xml:space="preserve">LGUs simultaneously assisted under one (1) or the </t>
    </r>
    <r>
      <rPr>
        <b/>
        <u/>
        <sz val="11"/>
        <color theme="1"/>
        <rFont val="Arial"/>
        <family val="2"/>
      </rPr>
      <t>same technical assistance conducted at the same time, date, and venue.</t>
    </r>
  </si>
  <si>
    <t>Total No. of LGUs assisted on the preparation of enhanced housing sub-sector:</t>
  </si>
  <si>
    <t>Total No. of Technical Assistance Provided on the preparation of enhanced housing sub-sector:</t>
  </si>
  <si>
    <r>
      <t xml:space="preserve">Region
</t>
    </r>
    <r>
      <rPr>
        <b/>
        <i/>
        <sz val="9"/>
        <color rgb="FFFF0000"/>
        <rFont val="Arial"/>
        <family val="2"/>
      </rPr>
      <t>(for TA to PLGU, select "PLGU")</t>
    </r>
  </si>
  <si>
    <r>
      <rPr>
        <b/>
        <sz val="11"/>
        <rFont val="Arial"/>
        <family val="2"/>
      </rPr>
      <t>Province</t>
    </r>
    <r>
      <rPr>
        <b/>
        <sz val="11"/>
        <color rgb="FFFF0000"/>
        <rFont val="Arial"/>
        <family val="2"/>
      </rPr>
      <t xml:space="preserve">
</t>
    </r>
    <r>
      <rPr>
        <b/>
        <i/>
        <sz val="8"/>
        <color rgb="FFFF0000"/>
        <rFont val="Arial"/>
        <family val="2"/>
      </rPr>
      <t xml:space="preserve">(for TA to PLGU, select "Province_PLGU" then select the Province under the "LGU" Column) </t>
    </r>
  </si>
  <si>
    <t>LGU</t>
  </si>
  <si>
    <t>City_of_Sagay</t>
  </si>
  <si>
    <t>Technical Assistance on the LSP/Housing Data Collection Excel file</t>
  </si>
  <si>
    <t>Technical Assistance on the LSP/Enhanced Housing Sub-sector</t>
  </si>
  <si>
    <t>Technical assistance on the review and approval process of CLUPs&amp;ZOs/PDPFPs</t>
  </si>
  <si>
    <t>4.1 No. of LGUs assisted/facilitated for  review and approval of CLUPs/ZOs/PDPFPs</t>
  </si>
  <si>
    <r>
      <rPr>
        <b/>
        <sz val="11"/>
        <color rgb="FF000000"/>
        <rFont val="Arial"/>
        <family val="2"/>
      </rPr>
      <t>Description:</t>
    </r>
    <r>
      <rPr>
        <sz val="11"/>
        <color rgb="FF000000"/>
        <rFont val="Arial"/>
        <family val="2"/>
      </rPr>
      <t xml:space="preserve"> Number of LGUs provided with assistance or facilitation in relation to processes related to the CLUP/ZO/PDPFP review and approval as stipulated in DHSUD M.C. No. 2021-005 and DHSUD M. C. No 2021-009.  The targeted cities/municipalities/provinces are those that are already under the review and approval stages.
</t>
    </r>
    <r>
      <rPr>
        <i/>
        <sz val="11"/>
        <color rgb="FFFF0000"/>
        <rFont val="Arial"/>
        <family val="2"/>
      </rPr>
      <t>Note: Each city/municipality/province</t>
    </r>
    <r>
      <rPr>
        <b/>
        <i/>
        <sz val="11"/>
        <color rgb="FFFF0000"/>
        <rFont val="Arial"/>
        <family val="2"/>
      </rPr>
      <t xml:space="preserve"> shall be counted only once </t>
    </r>
    <r>
      <rPr>
        <i/>
        <sz val="11"/>
        <color rgb="FFFF0000"/>
        <rFont val="Arial"/>
        <family val="2"/>
      </rPr>
      <t>(i.e., single counting). Once a city/municipality/province has been counted in a given month, it will not be included in the count for subsequent months in this indicator. However, the total instances of assistance provided to that LGU shall still be recorded under Output Indicator 4.2.</t>
    </r>
  </si>
  <si>
    <r>
      <t xml:space="preserve">MOVs: </t>
    </r>
    <r>
      <rPr>
        <sz val="11"/>
        <color theme="1"/>
        <rFont val="Arial"/>
        <family val="2"/>
      </rPr>
      <t>External contact reports/ post-activity reports (for planned technical assistance-related activities) / logbook of technical assistance provided (i.e., for walk-ins- indicating the name of requestor, technical assistance requested, purpose, contact information and other necessary information) /  correspondence documents / online forms or trackers for telephone/email correspondence, approved activity proposal with program (for orientations and briefings), reply letter on queries related to review and approval process, reply letter along with comment sheets for integration of comments, review reports</t>
    </r>
  </si>
  <si>
    <r>
      <t xml:space="preserve">Measure: </t>
    </r>
    <r>
      <rPr>
        <sz val="11"/>
        <color theme="1"/>
        <rFont val="Arial"/>
        <family val="2"/>
      </rPr>
      <t>Total number of LGUs provided with technical assistance or facilitated in the review and approval processes of CLUP/ZO and PDPFP</t>
    </r>
  </si>
  <si>
    <t>Total No. of LGUs assisted on the review and approval process of CLUP/ZO/PDPFP:</t>
  </si>
  <si>
    <t>Total No. of Technical Assistance Provided on the review and approval process of CLUP/ZO/PDPFP:</t>
  </si>
  <si>
    <r>
      <t xml:space="preserve">Region
</t>
    </r>
    <r>
      <rPr>
        <b/>
        <i/>
        <sz val="8"/>
        <color rgb="FFFF0000"/>
        <rFont val="Arial"/>
        <family val="2"/>
      </rPr>
      <t>(for TA to PLGU, select "PLGU")</t>
    </r>
  </si>
  <si>
    <t>Planning Period
(Start Year)</t>
  </si>
  <si>
    <t>Planning Period
(End Year)</t>
  </si>
  <si>
    <t>Technical assistance on the documentary checklist for CLUP and ZO Review</t>
  </si>
  <si>
    <t>Assistance to walk-in/by-appointment consultations</t>
  </si>
  <si>
    <t>Technical assistance on the integration of DHSUD comments in their proposed rezoning</t>
  </si>
  <si>
    <t>Technical assistance on the reclassification process for their draft CLUP and ZO and the revised review and approval process</t>
  </si>
  <si>
    <t>Technical assistance on the revised review and approval process and provided checklist of documentary requirement for review</t>
  </si>
  <si>
    <t>Technical assistance on the implementation of CLUPs&amp;Zos</t>
  </si>
  <si>
    <t>5.1 No. of LGUs assisted on the implementation of CLUP/ZO</t>
  </si>
  <si>
    <r>
      <rPr>
        <b/>
        <sz val="11"/>
        <color rgb="FF000000"/>
        <rFont val="Arial"/>
        <family val="2"/>
      </rPr>
      <t>Description:</t>
    </r>
    <r>
      <rPr>
        <sz val="11"/>
        <color rgb="FF000000"/>
        <rFont val="Arial"/>
        <family val="2"/>
      </rPr>
      <t xml:space="preserve"> Number of LGUs provided with assistance in the implementation of CLUPs/ZOs, particularly on processes related to the conduct of compliance monitoring, issuance of locational clearances and zoning certifications, decision mapping, CLUP/ZO evaluation, and other CLUP/ZO implementation-related activities. The targeted LGUs shall exclude those that don't have CLUPs/ZOs yet.
</t>
    </r>
    <r>
      <rPr>
        <i/>
        <sz val="11"/>
        <color rgb="FFFF0000"/>
        <rFont val="Arial"/>
        <family val="2"/>
      </rPr>
      <t xml:space="preserve">Note: Each city or municipality </t>
    </r>
    <r>
      <rPr>
        <b/>
        <i/>
        <sz val="11"/>
        <color rgb="FFFF0000"/>
        <rFont val="Arial"/>
        <family val="2"/>
      </rPr>
      <t xml:space="preserve">shall be counted only once </t>
    </r>
    <r>
      <rPr>
        <i/>
        <sz val="11"/>
        <color rgb="FFFF0000"/>
        <rFont val="Arial"/>
        <family val="2"/>
      </rPr>
      <t>(i.e., single counting). Once an LGU has been counted in a given month, it will not be included in the count for subsequent months in this indicator. However, the total instances of assistance provided to that LGU shall still be recorded under Output Indicator 5.2.</t>
    </r>
  </si>
  <si>
    <r>
      <t xml:space="preserve">MOVs:
</t>
    </r>
    <r>
      <rPr>
        <sz val="11"/>
        <color theme="1"/>
        <rFont val="Arial"/>
        <family val="2"/>
      </rPr>
      <t>External contact reports/ post-activity reports (for planned technical assistance-related activities) / logbook of technical assistance provided (i.e., for walk-ins- indicating the name of requestor, technical assistance requested, purpose, contact information and other necessary information) /  correspondence documents / online forms or trackers for telephone/email correspondence, approved activity proposal with program (for orientations and briefings)</t>
    </r>
  </si>
  <si>
    <r>
      <rPr>
        <b/>
        <sz val="11"/>
        <color rgb="FF000000"/>
        <rFont val="Arial"/>
        <family val="2"/>
      </rPr>
      <t xml:space="preserve">Measure: </t>
    </r>
    <r>
      <rPr>
        <sz val="11"/>
        <color rgb="FF000000"/>
        <rFont val="Arial"/>
        <family val="2"/>
      </rPr>
      <t>Total number of LGUs (single counting) provided with technical assistance in relation to the implementation of CLUPs/ZOs to the CLUP</t>
    </r>
  </si>
  <si>
    <r>
      <rPr>
        <b/>
        <sz val="11"/>
        <color theme="1"/>
        <rFont val="Arial"/>
        <family val="2"/>
      </rPr>
      <t xml:space="preserve">Note: </t>
    </r>
    <r>
      <rPr>
        <sz val="11"/>
        <color theme="1"/>
        <rFont val="Arial"/>
        <family val="2"/>
      </rPr>
      <t xml:space="preserve">Kindly </t>
    </r>
    <r>
      <rPr>
        <b/>
        <sz val="11"/>
        <color rgb="FFC00000"/>
        <rFont val="Arial"/>
        <family val="2"/>
      </rPr>
      <t>merge the cells under</t>
    </r>
    <r>
      <rPr>
        <b/>
        <u/>
        <sz val="11"/>
        <color rgb="FFC00000"/>
        <rFont val="Arial"/>
        <family val="2"/>
      </rPr>
      <t xml:space="preserve"> "Type of Assistance Provided", "Query/TA Requested", and "Date Conducted </t>
    </r>
    <r>
      <rPr>
        <sz val="11"/>
        <color theme="1"/>
        <rFont val="Arial"/>
        <family val="2"/>
      </rPr>
      <t xml:space="preserve">for </t>
    </r>
    <r>
      <rPr>
        <b/>
        <sz val="11"/>
        <color theme="1"/>
        <rFont val="Arial"/>
        <family val="2"/>
      </rPr>
      <t xml:space="preserve">LGUs simultaneously assisted under one (1) or the </t>
    </r>
    <r>
      <rPr>
        <b/>
        <u/>
        <sz val="11"/>
        <color theme="1"/>
        <rFont val="Arial"/>
        <family val="2"/>
      </rPr>
      <t>same technical assistance conducted at the same time, date, and venue.</t>
    </r>
  </si>
  <si>
    <t>Total No. of LGUs assisted on the implementation of CLUP/ZO:</t>
  </si>
  <si>
    <t>Technical assistance on zoning enforcement of 2 storey building with mixed use of residential and commercial</t>
  </si>
  <si>
    <t>Technical assistance on zoning enforcement. Water facility establishment requirements</t>
  </si>
  <si>
    <t>Technical assistance on zoning enforcement on a proposed solid waste treatment facility at Brgy. Kapitan Ramon, Silay City</t>
  </si>
  <si>
    <t>Technical assistance on zoning enforcement. Locational clearance on wind energy feasibility study</t>
  </si>
  <si>
    <t xml:space="preserve">Technical Assistance on zoning enforcement. Query on Lending Business and Dental Clinic on Residential Area </t>
  </si>
  <si>
    <t>Assistance by serving as a resource speaker (i.e., tapped as or requested as an RP) to other capability development activities conducted by other bodies (i.e., other DHSUD offices, external bodies such as NGAs, NGOs, Academe, etc.)</t>
  </si>
  <si>
    <t>Technical Assistance on the ordinance regulating the construction and operation of liquid fuel retail outlets in the City.</t>
  </si>
  <si>
    <t>6.1.No. of LGUs assisted in the formulation of their urban development plans/frameworks/strategies/projects</t>
  </si>
  <si>
    <r>
      <rPr>
        <b/>
        <sz val="11"/>
        <color rgb="FF000000"/>
        <rFont val="Arial"/>
        <family val="2"/>
      </rPr>
      <t>Description:</t>
    </r>
    <r>
      <rPr>
        <sz val="11"/>
        <color rgb="FF000000"/>
        <rFont val="Arial"/>
        <family val="2"/>
      </rPr>
      <t xml:space="preserve"> Number of LGUs assisted in the formulation of urban development project proposal. This may include assistance on topics related to RUDD/GOSD/PUD/PCE, urban infrastructure development financing schemes, conduct of investment forum, and other related topics in crafting urban development project proposals and development of plans/programs/frameworks/strategies.
</t>
    </r>
    <r>
      <rPr>
        <i/>
        <sz val="11"/>
        <color rgb="FFFF0000"/>
        <rFont val="Arial"/>
        <family val="2"/>
      </rPr>
      <t>Note: Each LGU</t>
    </r>
    <r>
      <rPr>
        <b/>
        <i/>
        <sz val="11"/>
        <color rgb="FFFF0000"/>
        <rFont val="Arial"/>
        <family val="2"/>
      </rPr>
      <t xml:space="preserve"> shall be counted only once</t>
    </r>
    <r>
      <rPr>
        <i/>
        <sz val="11"/>
        <color rgb="FFFF0000"/>
        <rFont val="Arial"/>
        <family val="2"/>
      </rPr>
      <t xml:space="preserve"> (i.e., single counting). Once an LGU has been counted in a given month, it will not be included in the count for subsequent months in this indicator. However, the total instances of assistance provided to that LGU shall still be recorded under Output Indicator 6.2.</t>
    </r>
  </si>
  <si>
    <r>
      <t xml:space="preserve">MOVs:
</t>
    </r>
    <r>
      <rPr>
        <sz val="11"/>
        <color theme="1"/>
        <rFont val="Arial"/>
        <family val="2"/>
      </rPr>
      <t>DHSUD: External contact reports/ post-activity reports (for planned technical assistance-related activities) / logbook of technical assistance provided (i.e., for walk-ins- indicating the name of requestor, technical assistance requested, purpose, contact information and other necessary information) /  correspondence documents / online forms or trackers for telephone/email correspondence, approved activity proposal with program (for orientations and briefings)
LGU Outputs: Draft/initial urban development project proposals (including project brief, Site Development Plan, budget estimates,  Rapid Feasibility Study or policy instruments such as but not limited to/ AIP/ ELA/ Ordinances or any other instruments) and/or other corresponding workshop outputs</t>
    </r>
  </si>
  <si>
    <r>
      <rPr>
        <b/>
        <sz val="11"/>
        <color rgb="FF000000"/>
        <rFont val="Arial"/>
        <family val="2"/>
      </rPr>
      <t xml:space="preserve">Measure: </t>
    </r>
    <r>
      <rPr>
        <sz val="11"/>
        <color rgb="FF000000"/>
        <rFont val="Arial"/>
        <family val="2"/>
      </rPr>
      <t>Total number of LGUs trained/provided with capability development/building programs/assistance related to the formulation of their urban development project proposal</t>
    </r>
  </si>
  <si>
    <r>
      <rPr>
        <b/>
        <sz val="11"/>
        <color theme="1"/>
        <rFont val="Arial"/>
        <family val="2"/>
      </rPr>
      <t xml:space="preserve">Note: </t>
    </r>
    <r>
      <rPr>
        <sz val="11"/>
        <color theme="1"/>
        <rFont val="Arial"/>
        <family val="2"/>
      </rPr>
      <t xml:space="preserve">Kindly </t>
    </r>
    <r>
      <rPr>
        <b/>
        <sz val="11"/>
        <color rgb="FFC00000"/>
        <rFont val="Arial"/>
        <family val="2"/>
      </rPr>
      <t>merge the cells under</t>
    </r>
    <r>
      <rPr>
        <b/>
        <u/>
        <sz val="11"/>
        <color rgb="FFC00000"/>
        <rFont val="Arial"/>
        <family val="2"/>
      </rPr>
      <t xml:space="preserve"> "Plan/Proposal/Framework/Strategy","Type of Assistance Provided", "Query/TA Requested", and "Date Conducted" </t>
    </r>
    <r>
      <rPr>
        <sz val="11"/>
        <color theme="1"/>
        <rFont val="Arial"/>
        <family val="2"/>
      </rPr>
      <t xml:space="preserve">for </t>
    </r>
    <r>
      <rPr>
        <b/>
        <sz val="11"/>
        <color theme="1"/>
        <rFont val="Arial"/>
        <family val="2"/>
      </rPr>
      <t xml:space="preserve">LGUs simultaneously assisted under one (1) or the </t>
    </r>
    <r>
      <rPr>
        <b/>
        <u/>
        <sz val="11"/>
        <color theme="1"/>
        <rFont val="Arial"/>
        <family val="2"/>
      </rPr>
      <t>same technical assistance conducted at the same time, date, and venue.</t>
    </r>
  </si>
  <si>
    <t>Total No. of LGUs assisted on the formulation of UD plans/frameworks/strategies:</t>
  </si>
  <si>
    <t>Total No. of LGUs and stakeholders assisted:</t>
  </si>
  <si>
    <t>Total No. of Technical Assistance Provided :</t>
  </si>
  <si>
    <r>
      <t xml:space="preserve">LGU / NGA / NGO / Academe
</t>
    </r>
    <r>
      <rPr>
        <b/>
        <i/>
        <sz val="8"/>
        <color theme="1"/>
        <rFont val="Arial"/>
        <family val="2"/>
      </rPr>
      <t>(For LGU: Province of [LGU-Name]/Province_[LGU])</t>
    </r>
  </si>
  <si>
    <t>Type</t>
  </si>
  <si>
    <t>Plan/Proposal/Framework/Strategy</t>
  </si>
  <si>
    <t>Type of Urban Development Program</t>
  </si>
  <si>
    <t>Province of Negros Oriental</t>
  </si>
  <si>
    <t>Technical assistance on the DBM Local Budget Circular for 3GP Program</t>
  </si>
  <si>
    <t>Negros Occidental_Pulupandan</t>
  </si>
  <si>
    <t>C2 - Active Mobility, Bike lanes, Walkways (Inclusive)</t>
  </si>
  <si>
    <t>Technical assistance on change of area coverage of their proposed project site</t>
  </si>
  <si>
    <t>Follow up on the 3GP project of Province of Negros Oriental</t>
  </si>
  <si>
    <t>Planned</t>
  </si>
  <si>
    <t>Technical Assistance on the FY 2025 Process Flowchart and checklist of requirements of 3GP</t>
  </si>
  <si>
    <t>Province of Siquijor</t>
  </si>
  <si>
    <t>Technical assistance on other topics related to environmental, land use and urban planning and development (e.g.  LUDIP, post-disaster activities, etc.)</t>
  </si>
  <si>
    <t>7.1 No. of LGUs/NGAs/NGOs/Academe assisted on other ELUPD-related topics (Single counting)</t>
  </si>
  <si>
    <r>
      <rPr>
        <b/>
        <sz val="11"/>
        <color rgb="FF000000"/>
        <rFont val="Arial"/>
        <family val="2"/>
      </rPr>
      <t>Description:</t>
    </r>
    <r>
      <rPr>
        <sz val="11"/>
        <color rgb="FF000000"/>
        <rFont val="Arial"/>
        <family val="2"/>
      </rPr>
      <t xml:space="preserve"> Number of LGUs/NGAs/NGOs/Academe provided with assistance on other ELUPD-related topics that are not covered under the previous technical assistance indicators including assistance related to government land inventory (EO 34), LUDIP, post-disaster activities, PlanSmart, AutoCAM, and other ELUPD-related topics.
</t>
    </r>
    <r>
      <rPr>
        <i/>
        <sz val="11"/>
        <color rgb="FFFF0000"/>
        <rFont val="Arial"/>
        <family val="2"/>
      </rPr>
      <t xml:space="preserve">Note: Each LGU/NGA/NGO/Academe </t>
    </r>
    <r>
      <rPr>
        <b/>
        <i/>
        <sz val="11"/>
        <color rgb="FFFF0000"/>
        <rFont val="Arial"/>
        <family val="2"/>
      </rPr>
      <t>shall be counted only once</t>
    </r>
    <r>
      <rPr>
        <i/>
        <sz val="11"/>
        <color rgb="FFFF0000"/>
        <rFont val="Arial"/>
        <family val="2"/>
      </rPr>
      <t xml:space="preserve"> (i.e., single counting). Once it has been counted in a given month, it will not be included in the count for subsequent months in this indicator. However, the total instances of trainings provided to that LGU shall still be recorded under Output Indicator 7.2.</t>
    </r>
  </si>
  <si>
    <r>
      <t xml:space="preserve">Measure: </t>
    </r>
    <r>
      <rPr>
        <sz val="11"/>
        <color theme="1"/>
        <rFont val="Arial"/>
        <family val="2"/>
      </rPr>
      <t>Total number of LGUs/NGAs/NGOs/Academe provided with technical assistance on other topics related to environmental, land use, and urban planning and development</t>
    </r>
  </si>
  <si>
    <t>Total No. of LGUs assisted on other ELUPD-related topics:</t>
  </si>
  <si>
    <t>Total No. of Technical Assistance Provided on other ELUPD-related topics:</t>
  </si>
  <si>
    <r>
      <rPr>
        <b/>
        <sz val="11"/>
        <color rgb="FF000000"/>
        <rFont val="Arial"/>
        <family val="2"/>
      </rPr>
      <t xml:space="preserve">LGU / NGA / NGO / Academe
</t>
    </r>
    <r>
      <rPr>
        <b/>
        <i/>
        <sz val="8"/>
        <color rgb="FF000000"/>
        <rFont val="Arial"/>
        <family val="2"/>
      </rPr>
      <t>(For LGU: Province of [LGU-Name]/Province_[LGU])</t>
    </r>
  </si>
  <si>
    <r>
      <t xml:space="preserve">LGU Occurence
</t>
    </r>
    <r>
      <rPr>
        <b/>
        <i/>
        <sz val="11"/>
        <color rgb="FFFF0000"/>
        <rFont val="Arial"/>
        <family val="2"/>
      </rPr>
      <t>(do not edit)</t>
    </r>
  </si>
  <si>
    <t>Province of Negros Occidental</t>
  </si>
  <si>
    <t>Process of reclassification of the resettlement housing on the lot acquired by the province at La Castellana, Negros Occidental</t>
  </si>
  <si>
    <t>Client from La Carlota</t>
  </si>
  <si>
    <t>Others (specify in the remarks)</t>
  </si>
  <si>
    <t>Technical Assistance on the ongoing Zoning Application of Gasoline Station near school in La Carlota City</t>
  </si>
  <si>
    <t>Client from San Carlos City</t>
  </si>
  <si>
    <t>Technical Assistance on the Zoning Application</t>
  </si>
  <si>
    <t>Client from Cadiz City</t>
  </si>
  <si>
    <t>Technical Assistance on the Land Conversion</t>
  </si>
  <si>
    <t>8.1. No. of LGUs trained on the preparation of CLUPs and ZOs (single counting)</t>
  </si>
  <si>
    <r>
      <rPr>
        <b/>
        <sz val="11"/>
        <color rgb="FF000000"/>
        <rFont val="Arial"/>
        <family val="2"/>
      </rPr>
      <t>Description:</t>
    </r>
    <r>
      <rPr>
        <sz val="11"/>
        <color rgb="FF000000"/>
        <rFont val="Arial"/>
        <family val="2"/>
      </rPr>
      <t xml:space="preserve"> Number of LGUs that have undergone training on the formulation and updating of CLUP/ZO. Specifically, it includes LGUs that have been guided through essential preparatory steps, such as organizing technical working groups, conducting stakeholder analysis, collecting and analyzing data, performing ecosystem analysis, undertaking special area or sectoral studies. Additionally, this may also include discussion in the steps on preparing the land use plan and zoning ordinances. This indicator, however, accounts only for activities not covered under separate training and capability-building program indicators such as GIS, CDRA, CLUP/ZO implementation, and enhanced housing sub-sector (LSP).
</t>
    </r>
    <r>
      <rPr>
        <i/>
        <sz val="11"/>
        <color rgb="FFFF0000"/>
        <rFont val="Arial"/>
        <family val="2"/>
      </rPr>
      <t xml:space="preserve">Note: Each city or municipality </t>
    </r>
    <r>
      <rPr>
        <b/>
        <i/>
        <sz val="11"/>
        <color rgb="FFFF0000"/>
        <rFont val="Arial"/>
        <family val="2"/>
      </rPr>
      <t>shall be counted only once</t>
    </r>
    <r>
      <rPr>
        <i/>
        <sz val="11"/>
        <color rgb="FFFF0000"/>
        <rFont val="Arial"/>
        <family val="2"/>
      </rPr>
      <t xml:space="preserve"> (i.e., single counting). Once an LGU has been counted in a given month, it will not be included in the count for subsequent months in this indicator. However, the total instances of trainings provided to that LGU shall still be recorded under Output Indicator 8.2. Additionally, this indicator shall only include </t>
    </r>
    <r>
      <rPr>
        <b/>
        <i/>
        <sz val="11"/>
        <color rgb="FFFF0000"/>
        <rFont val="Arial"/>
        <family val="2"/>
      </rPr>
      <t>DHSUD-led/organized trainings/capability development activities, including joint activities with other partners</t>
    </r>
    <r>
      <rPr>
        <i/>
        <sz val="11"/>
        <color rgb="FFFF0000"/>
        <rFont val="Arial"/>
        <family val="2"/>
      </rPr>
      <t xml:space="preserve"> (i.e., development partners, LGUs, NGAs, NGOs, academe). </t>
    </r>
  </si>
  <si>
    <r>
      <t xml:space="preserve">MOVs:
</t>
    </r>
    <r>
      <rPr>
        <sz val="11"/>
        <color theme="1"/>
        <rFont val="Arial"/>
        <family val="2"/>
      </rPr>
      <t>- DHSUD Outputs: Approved training proposal along with training program, post-activity reports/ terminal reports, attendance sheet
- LGU outputs: MOA between DHSUD and LCE (for those who are under the TPAP), issuance of the members of the planning team/TWG, list of stakeholders participating in various stages of data generation, draft ecosystems analysis/special area studies/sectoral studies along with necessary maps, VGOs, development thrust, spatial strategies (i.e., structure map), draft land use plan/ZO, and other outputs as stated in the corresponding TPAP phases</t>
    </r>
  </si>
  <si>
    <r>
      <rPr>
        <b/>
        <sz val="11"/>
        <color rgb="FF000000"/>
        <rFont val="Arial"/>
        <family val="2"/>
      </rPr>
      <t xml:space="preserve">Measure: </t>
    </r>
    <r>
      <rPr>
        <sz val="11"/>
        <color rgb="FF000000"/>
        <rFont val="Arial"/>
        <family val="2"/>
      </rPr>
      <t>Total number of LGUs (single counting) provided with training in relation to the preparation of CLUPs/ZOs</t>
    </r>
  </si>
  <si>
    <r>
      <rPr>
        <b/>
        <i/>
        <sz val="11"/>
        <color theme="1"/>
        <rFont val="Arial"/>
        <family val="2"/>
      </rPr>
      <t xml:space="preserve">Note: </t>
    </r>
    <r>
      <rPr>
        <i/>
        <sz val="11"/>
        <color theme="1"/>
        <rFont val="Arial"/>
        <family val="2"/>
      </rPr>
      <t xml:space="preserve">Kindly </t>
    </r>
    <r>
      <rPr>
        <b/>
        <i/>
        <sz val="11"/>
        <color rgb="FFC00000"/>
        <rFont val="Arial"/>
        <family val="2"/>
      </rPr>
      <t>merge the cells under</t>
    </r>
    <r>
      <rPr>
        <b/>
        <i/>
        <u/>
        <sz val="11"/>
        <color rgb="FFC00000"/>
        <rFont val="Arial"/>
        <family val="2"/>
      </rPr>
      <t xml:space="preserve"> "Training Title", "Training Topics", "Start/End Date of Training Conducted, "No. of Participants", "Training Days"  "Budget/Funding Source", "Partner Agency/Organization", and "Remarks"</t>
    </r>
    <r>
      <rPr>
        <b/>
        <i/>
        <sz val="11"/>
        <color theme="1"/>
        <rFont val="Arial"/>
        <family val="2"/>
      </rPr>
      <t xml:space="preserve"> </t>
    </r>
    <r>
      <rPr>
        <i/>
        <sz val="11"/>
        <color theme="1"/>
        <rFont val="Arial"/>
        <family val="2"/>
      </rPr>
      <t xml:space="preserve">for </t>
    </r>
    <r>
      <rPr>
        <b/>
        <i/>
        <sz val="11"/>
        <color theme="1"/>
        <rFont val="Arial"/>
        <family val="2"/>
      </rPr>
      <t xml:space="preserve">LGUs simultaneously trained under one (1) or the </t>
    </r>
    <r>
      <rPr>
        <b/>
        <i/>
        <u/>
        <sz val="11"/>
        <color theme="1"/>
        <rFont val="Arial"/>
        <family val="2"/>
      </rPr>
      <t xml:space="preserve">same training conducted at the same time, date, and venue. 
</t>
    </r>
    <r>
      <rPr>
        <i/>
        <sz val="11"/>
        <color theme="1"/>
        <rFont val="Arial"/>
        <family val="2"/>
      </rPr>
      <t xml:space="preserve">
To avoid  errors in values of total number of training days, kindly </t>
    </r>
    <r>
      <rPr>
        <b/>
        <i/>
        <sz val="11"/>
        <color rgb="FFC00000"/>
        <rFont val="Arial"/>
        <family val="2"/>
      </rPr>
      <t>ensure that the dates encoded follow your system's date format or the prescribed format.</t>
    </r>
  </si>
  <si>
    <t>Total No. of LGUs trained on the preparation of CLUP/ZO:</t>
  </si>
  <si>
    <t>Total No. of Trainings Conducted on the preparation of CLUP/ZO:</t>
  </si>
  <si>
    <t>Total No. of Training Days:</t>
  </si>
  <si>
    <t>Total No. of  Participants:</t>
  </si>
  <si>
    <t>Training Title</t>
  </si>
  <si>
    <t>Training Topics</t>
  </si>
  <si>
    <t>Start Date of Training Conducted
(MM/DD/YYYY)</t>
  </si>
  <si>
    <t>End Date of Training Conducted
(MM/DD/YYYY)</t>
  </si>
  <si>
    <r>
      <t xml:space="preserve">Training Days
</t>
    </r>
    <r>
      <rPr>
        <b/>
        <i/>
        <sz val="11"/>
        <color rgb="FFFF0000"/>
        <rFont val="Arial"/>
        <family val="2"/>
      </rPr>
      <t>(do not edit)</t>
    </r>
  </si>
  <si>
    <t>No, of Participants</t>
  </si>
  <si>
    <t>Budget / Funding Source</t>
  </si>
  <si>
    <r>
      <t xml:space="preserve">Partner Agency / Organization
</t>
    </r>
    <r>
      <rPr>
        <b/>
        <i/>
        <sz val="9"/>
        <color theme="1"/>
        <rFont val="Arial"/>
        <family val="2"/>
      </rPr>
      <t>("N/A" if Not Applicable)</t>
    </r>
  </si>
  <si>
    <r>
      <t xml:space="preserve">Remarks
</t>
    </r>
    <r>
      <rPr>
        <b/>
        <i/>
        <sz val="8"/>
        <color rgb="FFC00000"/>
        <rFont val="Arial"/>
        <family val="2"/>
      </rPr>
      <t>(indicate"Venue" of training here)</t>
    </r>
  </si>
  <si>
    <t>Presentation of La Carlota City CLUP 2023-2032</t>
  </si>
  <si>
    <t>Revised Review and Approval Process and Communication Plan</t>
  </si>
  <si>
    <t>LGU La Carlota</t>
  </si>
  <si>
    <t>Orientation on CLUP Stakeholders</t>
  </si>
  <si>
    <t>Overview of CLUP 12 Step Process
Organize
Identify Stakeholders</t>
  </si>
  <si>
    <t>LGU La Castellana</t>
  </si>
  <si>
    <t>9.1. No. of LGUs trained on GIS (single counting)</t>
  </si>
  <si>
    <r>
      <rPr>
        <b/>
        <sz val="11"/>
        <color rgb="FF000000"/>
        <rFont val="Arial"/>
        <family val="2"/>
      </rPr>
      <t>Description:</t>
    </r>
    <r>
      <rPr>
        <sz val="11"/>
        <color rgb="FF000000"/>
        <rFont val="Arial"/>
        <family val="2"/>
      </rPr>
      <t xml:space="preserve"> Number of LGUs that have undergone training on Geographic Information System (GIS). This may include trainings on basic and/or advanced GIS in the context of CLUP/ZO/PDPFP preparation, CDRA, site identification (i.e., for EO 34 , 4PH, urban development, ISF mapping, or other related projects), and other planning contexts.
</t>
    </r>
    <r>
      <rPr>
        <i/>
        <sz val="11"/>
        <color rgb="FFFF0000"/>
        <rFont val="Arial"/>
        <family val="2"/>
      </rPr>
      <t>Note: Each city or municipality s</t>
    </r>
    <r>
      <rPr>
        <b/>
        <i/>
        <sz val="11"/>
        <color rgb="FFFF0000"/>
        <rFont val="Arial"/>
        <family val="2"/>
      </rPr>
      <t>hall be counted only once (</t>
    </r>
    <r>
      <rPr>
        <i/>
        <sz val="11"/>
        <color rgb="FFFF0000"/>
        <rFont val="Arial"/>
        <family val="2"/>
      </rPr>
      <t>i.e., single counting). Once an LGU has been counted in a given month, it will not be included in the count for subsequent months in this indicator. However, the total instances of trainings provided to that LGU shall still be recorded under Output Indicator 9.2. Additionally, this indicator shall only include D</t>
    </r>
    <r>
      <rPr>
        <b/>
        <i/>
        <sz val="11"/>
        <color rgb="FFFF0000"/>
        <rFont val="Arial"/>
        <family val="2"/>
      </rPr>
      <t xml:space="preserve">HSUD-led/organized trainings/capability development activities, including joint activities with other partners </t>
    </r>
    <r>
      <rPr>
        <i/>
        <sz val="11"/>
        <color rgb="FFFF0000"/>
        <rFont val="Arial"/>
        <family val="2"/>
      </rPr>
      <t xml:space="preserve">(i.e., development partners, LGUs, NGAs, NGOs, academe). </t>
    </r>
  </si>
  <si>
    <r>
      <t xml:space="preserve">MOVs:
</t>
    </r>
    <r>
      <rPr>
        <sz val="11"/>
        <color theme="1"/>
        <rFont val="Arial"/>
        <family val="2"/>
      </rPr>
      <t>'- DHSUD Outputs: Approved training proposal along with training program, post-activity reports/ terminal reports, attendance sheet
- LGU outputs: CLUP thematic maps, idle government lands maps, hazard maps, land use/zoning maps, etc.</t>
    </r>
  </si>
  <si>
    <r>
      <t xml:space="preserve">Measure: </t>
    </r>
    <r>
      <rPr>
        <sz val="11"/>
        <color theme="1"/>
        <rFont val="Arial"/>
        <family val="2"/>
      </rPr>
      <t>Number of LGUs that have undergone training on basic/advanced GIS in various local planning contexts</t>
    </r>
  </si>
  <si>
    <t>Total No. of LGUs trained on GIS:</t>
  </si>
  <si>
    <t>Total No. of Trainings Conducted on GIS:</t>
  </si>
  <si>
    <t xml:space="preserve">Total No. of Training Days: </t>
  </si>
  <si>
    <t>Total No. of  Participants</t>
  </si>
  <si>
    <r>
      <t xml:space="preserve">Region
</t>
    </r>
    <r>
      <rPr>
        <b/>
        <i/>
        <sz val="8"/>
        <color rgb="FFFF0000"/>
        <rFont val="Arial"/>
        <family val="2"/>
      </rPr>
      <t>(for training to PLGU, select "PLGU")</t>
    </r>
  </si>
  <si>
    <r>
      <rPr>
        <b/>
        <sz val="11"/>
        <rFont val="Arial"/>
        <family val="2"/>
      </rPr>
      <t>Province</t>
    </r>
    <r>
      <rPr>
        <b/>
        <sz val="11"/>
        <color rgb="FFFF0000"/>
        <rFont val="Arial"/>
        <family val="2"/>
      </rPr>
      <t xml:space="preserve">
</t>
    </r>
    <r>
      <rPr>
        <b/>
        <i/>
        <sz val="8"/>
        <color rgb="FFFF0000"/>
        <rFont val="Arial"/>
        <family val="2"/>
      </rPr>
      <t xml:space="preserve">(for training to PLGU, select "Province_PLGU" then select the Province under the "LGU" Column) </t>
    </r>
  </si>
  <si>
    <t>10.1. No. of LGUs trained on CDRA (single counting)</t>
  </si>
  <si>
    <r>
      <rPr>
        <b/>
        <sz val="11"/>
        <color rgb="FF000000"/>
        <rFont val="Arial"/>
        <family val="2"/>
      </rPr>
      <t>Description:</t>
    </r>
    <r>
      <rPr>
        <sz val="11"/>
        <color rgb="FF000000"/>
        <rFont val="Arial"/>
        <family val="2"/>
      </rPr>
      <t xml:space="preserve"> Number of LGUs that have undergone training on Climate and Disaster Risk Assessment based from the steps indicated from the CDRA CHM Module version 2.0. (i.e., Introduction to CDRA, Modules A, B, C).
</t>
    </r>
    <r>
      <rPr>
        <i/>
        <sz val="11"/>
        <color rgb="FFFF0000"/>
        <rFont val="Arial"/>
        <family val="2"/>
      </rPr>
      <t>Note: Each city or municipality s</t>
    </r>
    <r>
      <rPr>
        <b/>
        <i/>
        <sz val="11"/>
        <color rgb="FFFF0000"/>
        <rFont val="Arial"/>
        <family val="2"/>
      </rPr>
      <t xml:space="preserve">hall be counted only once </t>
    </r>
    <r>
      <rPr>
        <i/>
        <sz val="11"/>
        <color rgb="FFFF0000"/>
        <rFont val="Arial"/>
        <family val="2"/>
      </rPr>
      <t xml:space="preserve">(i.e., single counting). Once an LGU has been counted in a given month, it will not be included in the count for subsequent months in this indicator. However, the total instances of trainings provided to that LGU shall still be recorded under Output Indicator 10.2. Additionally, this indicator shall only include </t>
    </r>
    <r>
      <rPr>
        <b/>
        <i/>
        <sz val="11"/>
        <color rgb="FFFF0000"/>
        <rFont val="Arial"/>
        <family val="2"/>
      </rPr>
      <t xml:space="preserve">DHSUD-led/organized trainings/capability development activities, including joint activities with other partners </t>
    </r>
    <r>
      <rPr>
        <i/>
        <sz val="11"/>
        <color rgb="FFFF0000"/>
        <rFont val="Arial"/>
        <family val="2"/>
      </rPr>
      <t xml:space="preserve">(i.e., development partners, LGUs, NGAs, NGOs, academe). </t>
    </r>
  </si>
  <si>
    <r>
      <t xml:space="preserve">MOVs:
</t>
    </r>
    <r>
      <rPr>
        <sz val="11"/>
        <color theme="1"/>
        <rFont val="Arial"/>
        <family val="2"/>
      </rPr>
      <t>- DHSUD Outputs: Approved training proposal along with training program, post-activity reports/ terminal reports, attendance sheet
- LGU outputs: CDRA maps, CDRA report</t>
    </r>
  </si>
  <si>
    <r>
      <t xml:space="preserve">Measure: </t>
    </r>
    <r>
      <rPr>
        <sz val="11"/>
        <color theme="1"/>
        <rFont val="Arial"/>
        <family val="2"/>
      </rPr>
      <t>Total number of LGUs that have undergone training on CDRA in various local planning contexts</t>
    </r>
  </si>
  <si>
    <t>Total No. of LGUs trained on  CDRA:</t>
  </si>
  <si>
    <t>Total No. of Trainings Conducted on CDRA:</t>
  </si>
  <si>
    <t>11.1. No. of LGUs trained on CLUP Implementation, Zoning Enforcement and Monitoring (single counting)</t>
  </si>
  <si>
    <r>
      <rPr>
        <b/>
        <sz val="11"/>
        <color rgb="FF000000"/>
        <rFont val="Arial"/>
        <family val="2"/>
      </rPr>
      <t>Description:</t>
    </r>
    <r>
      <rPr>
        <sz val="11"/>
        <color rgb="FF000000"/>
        <rFont val="Arial"/>
        <family val="2"/>
      </rPr>
      <t xml:space="preserve"> Number of LGUs that have undergone training on CLUP implementation, zoning enforcement, and monitoring. Topics under this training include CLUP monitoring and evaluation and tools used based from the CLUP Guidebook - Step 12 (i.e., discussion of monitoring matrices, report cards performance indicators, etc.), compliance monitoring, decision mapping, locational guidelines, processes on the issuance of locational clearances and zoning certifications, CLUP/ZO evaluation, and other related topics on CLUP/ZO implementation and monitoring.
</t>
    </r>
    <r>
      <rPr>
        <i/>
        <sz val="11"/>
        <color rgb="FFFF0000"/>
        <rFont val="Arial"/>
        <family val="2"/>
      </rPr>
      <t xml:space="preserve">Note: Each city or municipality </t>
    </r>
    <r>
      <rPr>
        <b/>
        <i/>
        <sz val="11"/>
        <color rgb="FFFF0000"/>
        <rFont val="Arial"/>
        <family val="2"/>
      </rPr>
      <t>shall be counted only once</t>
    </r>
    <r>
      <rPr>
        <i/>
        <sz val="11"/>
        <color rgb="FFFF0000"/>
        <rFont val="Arial"/>
        <family val="2"/>
      </rPr>
      <t xml:space="preserve"> (i.e., single counting). Once an LGU has been counted in a given month, it will not be included in the count for subsequent months in this indicator. However, the total instances of trainings provided to that LGU shall still be recorded under Output Indicator 11.2. Additionally, this indicator shall only include </t>
    </r>
    <r>
      <rPr>
        <b/>
        <i/>
        <sz val="11"/>
        <color rgb="FFFF0000"/>
        <rFont val="Arial"/>
        <family val="2"/>
      </rPr>
      <t>DHSUD-led/organized trainings/capability development activities, including joint activities with other partners</t>
    </r>
    <r>
      <rPr>
        <i/>
        <sz val="11"/>
        <color rgb="FFFF0000"/>
        <rFont val="Arial"/>
        <family val="2"/>
      </rPr>
      <t xml:space="preserve"> (i.e., development partners, LGUs, NGAs, NGOs, academe). </t>
    </r>
  </si>
  <si>
    <r>
      <t xml:space="preserve">MOVs:
</t>
    </r>
    <r>
      <rPr>
        <sz val="11"/>
        <color theme="1"/>
        <rFont val="Arial"/>
        <family val="2"/>
      </rPr>
      <t>- DHSUD Outputs: Approved training proposal along with training program, post-activity reports/ terminal reports, attendance sheet
- LGU outputs: corresponding workshop outputs (i.e., filled-out report cards, M&amp;E matrices, compliance monitoring forms, decision maps, etc.)</t>
    </r>
  </si>
  <si>
    <r>
      <t xml:space="preserve">Measure: </t>
    </r>
    <r>
      <rPr>
        <sz val="11"/>
        <color theme="1"/>
        <rFont val="Arial"/>
        <family val="2"/>
      </rPr>
      <t>Total number of LGUs that have undergone training on CLUP implementation, zoning enforcement, and monitoring.</t>
    </r>
  </si>
  <si>
    <t>Total No. of LGUs trained on CLUP/ZO implementation:</t>
  </si>
  <si>
    <t>Total No. of Trainings Conducted on CLUP/ZO implementation:</t>
  </si>
  <si>
    <t>Training on Enhanced Housing Sub-sector Preparation</t>
  </si>
  <si>
    <t>12.1. No. of LGUs trained on LSP Preparation (single counting)</t>
  </si>
  <si>
    <r>
      <rPr>
        <b/>
        <sz val="11"/>
        <color rgb="FF000000"/>
        <rFont val="Arial"/>
        <family val="2"/>
      </rPr>
      <t>Description:</t>
    </r>
    <r>
      <rPr>
        <sz val="11"/>
        <color rgb="FF000000"/>
        <rFont val="Arial"/>
        <family val="2"/>
      </rPr>
      <t xml:space="preserve"> Number of LGUs trained in the preparation of enhanced housing sub-sector (LSP) to be integrated into the CLUP, specifically on topics and outputs aligned with the DHSUD D.O. No. 2022-005 and DHSUD D.C. No. 2024-011.
</t>
    </r>
    <r>
      <rPr>
        <i/>
        <sz val="11"/>
        <color rgb="FFFF0000"/>
        <rFont val="Arial"/>
        <family val="2"/>
      </rPr>
      <t xml:space="preserve">Note: Each city or municipality </t>
    </r>
    <r>
      <rPr>
        <b/>
        <i/>
        <sz val="11"/>
        <color rgb="FFFF0000"/>
        <rFont val="Arial"/>
        <family val="2"/>
      </rPr>
      <t xml:space="preserve">shall be counted only once </t>
    </r>
    <r>
      <rPr>
        <i/>
        <sz val="11"/>
        <color rgb="FFFF0000"/>
        <rFont val="Arial"/>
        <family val="2"/>
      </rPr>
      <t xml:space="preserve">(i.e., single counting). Once an LGU has been counted in a given month, it will not be included in the count for subsequent months in this indicator. However, the total instances of trainings provided to that LGU shall still be recorded under Output Indicator 12.2. Additionally, this indicator shall only include </t>
    </r>
    <r>
      <rPr>
        <b/>
        <i/>
        <sz val="11"/>
        <color rgb="FFFF0000"/>
        <rFont val="Arial"/>
        <family val="2"/>
      </rPr>
      <t>DHSUD-led/organized trainings/capability development activities, including joint activities with other partners</t>
    </r>
    <r>
      <rPr>
        <i/>
        <sz val="11"/>
        <color rgb="FFFF0000"/>
        <rFont val="Arial"/>
        <family val="2"/>
      </rPr>
      <t xml:space="preserve"> (i.e., development partners, LGUs, NGAs, NGOs, academe). </t>
    </r>
  </si>
  <si>
    <r>
      <t xml:space="preserve">MOVs:
</t>
    </r>
    <r>
      <rPr>
        <sz val="11"/>
        <color theme="1"/>
        <rFont val="Arial"/>
        <family val="2"/>
      </rPr>
      <t>- DHSUD Outputs: Approved training proposal along with training program, post-activity reports/ terminal reports, attendance sheet
- LGU outputs: enhanced housing sub-sector matrices/tables, zoning map with zones designated for socialized housing, resettlement, relocation, and other housing projects, and other outputs as stipulated in the Supplemental Guidebook on Enhancing the CLUP Housing Sub-sector</t>
    </r>
  </si>
  <si>
    <r>
      <t xml:space="preserve">Measure: </t>
    </r>
    <r>
      <rPr>
        <sz val="11"/>
        <color theme="1"/>
        <rFont val="Arial"/>
        <family val="2"/>
      </rPr>
      <t>Total number of LGUs that have undergone training in the preparation of enhanced housing sub-sector (LSP) to be integrated into the CLUP, specifically on topics and outputs aligned with the DHSUD D.O. No. 2022-005 and DHSUD D.C. No. 2024-011.</t>
    </r>
  </si>
  <si>
    <t>Total No. of LGUs trained on enhanced housing sub-sector preparation:</t>
  </si>
  <si>
    <t>Total No. of Trainings Conducted on enhanced housing sub-sector preparation:</t>
  </si>
  <si>
    <t>Training on the formulation of urban development plans/programs/strategies/frameworks/projects</t>
  </si>
  <si>
    <t xml:space="preserve">13.1. No. of LGUs trained on the preparation of </t>
  </si>
  <si>
    <r>
      <rPr>
        <b/>
        <sz val="11"/>
        <color rgb="FF000000"/>
        <rFont val="Arial"/>
        <family val="2"/>
      </rPr>
      <t>Description:</t>
    </r>
    <r>
      <rPr>
        <sz val="11"/>
        <color rgb="FF000000"/>
        <rFont val="Arial"/>
        <family val="2"/>
      </rPr>
      <t xml:space="preserve"> Number of LGUs trained in the formulation of urban development plans/programs/strategies/frameworks/projects. This may  include discussion of topics on RUDD/GOSD/PUD/PCE, urban infrastructure development financing schemes, conduct of investment forum, and other related topics in crafting urban development project proposals and development of plans/programs/frameworks/strategies.
</t>
    </r>
    <r>
      <rPr>
        <i/>
        <sz val="11"/>
        <color rgb="FFFF0000"/>
        <rFont val="Arial"/>
        <family val="2"/>
      </rPr>
      <t xml:space="preserve">Note: Each LGU </t>
    </r>
    <r>
      <rPr>
        <b/>
        <i/>
        <sz val="11"/>
        <color rgb="FFFF0000"/>
        <rFont val="Arial"/>
        <family val="2"/>
      </rPr>
      <t xml:space="preserve">shall be counted only once </t>
    </r>
    <r>
      <rPr>
        <i/>
        <sz val="11"/>
        <color rgb="FFFF0000"/>
        <rFont val="Arial"/>
        <family val="2"/>
      </rPr>
      <t xml:space="preserve">(i.e., single counting). Once an LGU has been counted in a given month, it will not be included in the count for subsequent months in this indicator. However, the total instances of trainings provided to that LGU shall still be recorded under Output Indicator 13.2. Additionally, this indicator shall only include </t>
    </r>
    <r>
      <rPr>
        <b/>
        <i/>
        <sz val="11"/>
        <color rgb="FFFF0000"/>
        <rFont val="Arial"/>
        <family val="2"/>
      </rPr>
      <t>DHSUD-led/organized trainings/capability development activities, including joint activities with other partners</t>
    </r>
    <r>
      <rPr>
        <i/>
        <sz val="11"/>
        <color rgb="FFFF0000"/>
        <rFont val="Arial"/>
        <family val="2"/>
      </rPr>
      <t xml:space="preserve"> (i.e., development partners, LGUs, NGAs, NGOs, academe). </t>
    </r>
  </si>
  <si>
    <r>
      <t xml:space="preserve">MOVs:
</t>
    </r>
    <r>
      <rPr>
        <sz val="11"/>
        <color theme="1"/>
        <rFont val="Arial"/>
        <family val="2"/>
      </rPr>
      <t>- DHSUD Outputs: Approved training proposal along with training program, post-activity reports/ terminal reports, attendance sheet
- LGU outputs: draft plans/programs/strategies/frameworks/projects or other workshop outputs</t>
    </r>
  </si>
  <si>
    <t>Total No. of LGUs trained on the formulation of urban development plans/[programs/strategies/frameworks/projects:</t>
  </si>
  <si>
    <t>Total No. of LGUs and stakeholders trained:</t>
  </si>
  <si>
    <t>Total No. of Trainings Conducted on the formulation of urban development plans/programs/strategies/frameworks/projects:</t>
  </si>
  <si>
    <t>Other trainings (e.g. LUZIS, P/RLUC Review and Approval, PDPFP/PPFP Preparation, UDD topics, LUDIP, AFP)</t>
  </si>
  <si>
    <t>14.1. No. of LGUs/NGAs/NGOs/Academe trained on ELUPD-related topics (single counting)</t>
  </si>
  <si>
    <r>
      <rPr>
        <b/>
        <sz val="11"/>
        <color rgb="FF000000"/>
        <rFont val="Arial"/>
        <family val="2"/>
      </rPr>
      <t>Description:</t>
    </r>
    <r>
      <rPr>
        <sz val="11"/>
        <color rgb="FF000000"/>
        <rFont val="Arial"/>
        <family val="2"/>
      </rPr>
      <t xml:space="preserve"> Number of LGUs/NGAs/NGOs/Academe trained on other ELUPD-related topics that are not covered under the previous training/capability building programs. This shall include topics on the review and approval process of land use committees, government land inventory (EO 34), AutoCAM, PlanSmart, PDPFP preparation, LUDIP, and other related topics.
</t>
    </r>
    <r>
      <rPr>
        <i/>
        <sz val="11"/>
        <color rgb="FFFF0000"/>
        <rFont val="Arial"/>
        <family val="2"/>
      </rPr>
      <t>Note: Each LGU/NGA/NGO/Academe s</t>
    </r>
    <r>
      <rPr>
        <b/>
        <i/>
        <sz val="11"/>
        <color rgb="FFFF0000"/>
        <rFont val="Arial"/>
        <family val="2"/>
      </rPr>
      <t xml:space="preserve">hall be counted only once </t>
    </r>
    <r>
      <rPr>
        <i/>
        <sz val="11"/>
        <color rgb="FFFF0000"/>
        <rFont val="Arial"/>
        <family val="2"/>
      </rPr>
      <t xml:space="preserve">(i.e., single counting). Once it has been counted in a given month, it will not be included in the count for subsequent months in this indicator. However, the total instances of trainings provided to that LGU shall still be recorded under Output Indicator 14.2. Additionally, this indicator shall only include </t>
    </r>
    <r>
      <rPr>
        <b/>
        <i/>
        <sz val="11"/>
        <color rgb="FFFF0000"/>
        <rFont val="Arial"/>
        <family val="2"/>
      </rPr>
      <t xml:space="preserve">DHSUD-led/organized trainings/capability development activities, including joint activities with other partners </t>
    </r>
    <r>
      <rPr>
        <i/>
        <sz val="11"/>
        <color rgb="FFFF0000"/>
        <rFont val="Arial"/>
        <family val="2"/>
      </rPr>
      <t xml:space="preserve">(i.e., development partners, LGUs, NGAs, NGOs, academe). </t>
    </r>
  </si>
  <si>
    <r>
      <t xml:space="preserve">MOVs:
</t>
    </r>
    <r>
      <rPr>
        <sz val="11"/>
        <color theme="1"/>
        <rFont val="Arial"/>
        <family val="2"/>
      </rPr>
      <t>'- DHSUD Outputs: Approved training proposal along with training program, post-activity reports/ terminal reports, attendance sheet
- LGU Outputs: Corresponding workshop outputs</t>
    </r>
  </si>
  <si>
    <t>Total No. of LGUs and stakeholders trained on other ELUPD topics:</t>
  </si>
  <si>
    <t>Total No. of Trainings Conducted on other ELUPD topics:</t>
  </si>
  <si>
    <t>Type of Participant</t>
  </si>
  <si>
    <t>Training Topics and Venue</t>
  </si>
  <si>
    <t>Urban Development Programs Frameworks, Strategies, and Plans</t>
  </si>
  <si>
    <t>15.1 No.of LGU and stakeholder plans for urban development, strategies, and prototypes formulated/reviewed</t>
  </si>
  <si>
    <r>
      <rPr>
        <b/>
        <sz val="11"/>
        <color rgb="FF000000"/>
        <rFont val="Arial"/>
        <family val="2"/>
      </rPr>
      <t>Description:</t>
    </r>
    <r>
      <rPr>
        <sz val="11"/>
        <color rgb="FF000000"/>
        <rFont val="Arial"/>
        <family val="2"/>
      </rPr>
      <t xml:space="preserve"> Number of formulated or reviewed LGU and stakeholder plans for urban development. This may include the review of urban development projects under the Green, Green, Green inititative, Planned City Extension (PCE) plans, Resilient Urban Development and Design (RUDD) plans, and Open Space Development (OSD) plans and formulation of urban development project proposals.</t>
    </r>
  </si>
  <si>
    <r>
      <t xml:space="preserve">MOVs: </t>
    </r>
    <r>
      <rPr>
        <sz val="11"/>
        <color theme="1"/>
        <rFont val="Arial"/>
        <family val="2"/>
      </rPr>
      <t>Urban development plan/project proposals reviewed/formulated, review/comment sheets and related correspondences</t>
    </r>
  </si>
  <si>
    <r>
      <rPr>
        <b/>
        <sz val="11"/>
        <color rgb="FF000000"/>
        <rFont val="Arial"/>
        <family val="2"/>
      </rPr>
      <t xml:space="preserve">Measure: </t>
    </r>
    <r>
      <rPr>
        <sz val="11"/>
        <color rgb="FF000000"/>
        <rFont val="Arial"/>
        <family val="2"/>
      </rPr>
      <t>Total number of LGU or stakeholder plans/project proposals reviewed/formulated for urban development</t>
    </r>
  </si>
  <si>
    <t>Total No. of formulated /reviewed /facilitated LGU /stakeholders' plans:</t>
  </si>
  <si>
    <t>Plan/Project Proposal</t>
  </si>
  <si>
    <t>Project Location</t>
  </si>
  <si>
    <t>Proponents / Partners</t>
  </si>
  <si>
    <t>Plan Review/Assessment
Plan Formulated</t>
  </si>
  <si>
    <t>Date of Review /
 Date of Plan or Project Proposal Approval
(MM-DD-YYYY)</t>
  </si>
  <si>
    <r>
      <rPr>
        <b/>
        <sz val="11"/>
        <color rgb="FF000000"/>
        <rFont val="Arial"/>
        <family val="2"/>
      </rPr>
      <t>Description:</t>
    </r>
    <r>
      <rPr>
        <sz val="11"/>
        <color rgb="FF000000"/>
        <rFont val="Arial"/>
        <family val="2"/>
      </rPr>
      <t xml:space="preserve"> Number of CLUPs checked/evaluated for compliance with the documentary requirements outlined in the prescribed checklist, as stipulated in DHSUD Memorandum Circular No. 2021-005 as a preliminary step prior to the actual review and approval process of the plan.
</t>
    </r>
    <r>
      <rPr>
        <i/>
        <sz val="11"/>
        <color rgb="FFFF0000"/>
        <rFont val="Arial"/>
        <family val="2"/>
      </rPr>
      <t>Note: The number of CLUPs shall be counted only once (i.e., single counting), as an evaluation is considered to have been conducted upon the LGU's initial submission of documents. Therefore, e</t>
    </r>
    <r>
      <rPr>
        <b/>
        <i/>
        <sz val="11"/>
        <color rgb="FFFF0000"/>
        <rFont val="Arial"/>
        <family val="2"/>
      </rPr>
      <t>ach submission represents a single instance of evaluation</t>
    </r>
    <r>
      <rPr>
        <i/>
        <sz val="11"/>
        <color rgb="FFFF0000"/>
        <rFont val="Arial"/>
        <family val="2"/>
      </rPr>
      <t>. However, resubmissions for the completion of documentary requirements may still be recorded for documentation purposes.</t>
    </r>
  </si>
  <si>
    <r>
      <t xml:space="preserve">MOVs: </t>
    </r>
    <r>
      <rPr>
        <sz val="11"/>
        <color theme="1"/>
        <rFont val="Arial"/>
        <family val="2"/>
      </rPr>
      <t>Annex 6: Checklist of Required Documents for Review and for Final Approval and Ratification (from DHSUD M.C. No. 2021-005)</t>
    </r>
  </si>
  <si>
    <r>
      <t xml:space="preserve">Measure: </t>
    </r>
    <r>
      <rPr>
        <sz val="11"/>
        <color theme="1"/>
        <rFont val="Arial"/>
        <family val="2"/>
      </rPr>
      <t>Total number of CLUPs checked/evaluated for compliance with the documentary requirements</t>
    </r>
  </si>
  <si>
    <r>
      <rPr>
        <b/>
        <sz val="11"/>
        <color rgb="FF000000"/>
        <rFont val="Arial"/>
        <family val="2"/>
      </rPr>
      <t>Description:</t>
    </r>
    <r>
      <rPr>
        <sz val="11"/>
        <color rgb="FF000000"/>
        <rFont val="Arial"/>
        <family val="2"/>
      </rPr>
      <t xml:space="preserve">Number of PDPFPs checked/evaluated for compliance with the documentary requirements outlined in the prescribed checklist, as stipulated in DHSUD Memorandum Circular No. 2021-009 as a preliminary step prior to the actual review and approval process of the plan.
</t>
    </r>
    <r>
      <rPr>
        <i/>
        <sz val="11"/>
        <color rgb="FFFF0000"/>
        <rFont val="Arial"/>
        <family val="2"/>
      </rPr>
      <t xml:space="preserve">Note: The number of PDPFPs </t>
    </r>
    <r>
      <rPr>
        <b/>
        <i/>
        <sz val="11"/>
        <color rgb="FFFF0000"/>
        <rFont val="Arial"/>
        <family val="2"/>
      </rPr>
      <t xml:space="preserve">shall be counted only once </t>
    </r>
    <r>
      <rPr>
        <i/>
        <sz val="11"/>
        <color rgb="FFFF0000"/>
        <rFont val="Arial"/>
        <family val="2"/>
      </rPr>
      <t xml:space="preserve">(i.e., single counting), as an evaluation is considered to have been conducted upon the provincial LGU's initial submission of documents. Therefore, </t>
    </r>
    <r>
      <rPr>
        <b/>
        <i/>
        <sz val="11"/>
        <color rgb="FFFF0000"/>
        <rFont val="Arial"/>
        <family val="2"/>
      </rPr>
      <t xml:space="preserve">each submission represents a single instance of evaluation. </t>
    </r>
    <r>
      <rPr>
        <i/>
        <sz val="11"/>
        <color rgb="FFFF0000"/>
        <rFont val="Arial"/>
        <family val="2"/>
      </rPr>
      <t>However, resubmissions for the completion of documentary requirements may still be recorded for documentation purposes.</t>
    </r>
  </si>
  <si>
    <r>
      <t xml:space="preserve">MOVs: </t>
    </r>
    <r>
      <rPr>
        <sz val="11"/>
        <color theme="1"/>
        <rFont val="Arial"/>
        <family val="2"/>
      </rPr>
      <t>'Annex 3: Checklist of Required Documents for Review and for Final Approval and Ratification (from DHSUD M.C. No. 2021-009)</t>
    </r>
  </si>
  <si>
    <r>
      <t xml:space="preserve">Measure: </t>
    </r>
    <r>
      <rPr>
        <sz val="11"/>
        <color theme="1"/>
        <rFont val="Arial"/>
        <family val="2"/>
      </rPr>
      <t>Total number of PDPFPs checked/evaluated for compliance with the documentary requirements</t>
    </r>
  </si>
  <si>
    <t>Total No. of  CLUPs Checked:</t>
  </si>
  <si>
    <t>Total No. of PDPFPs Checked:</t>
  </si>
  <si>
    <r>
      <t xml:space="preserve">Region
</t>
    </r>
    <r>
      <rPr>
        <b/>
        <i/>
        <sz val="11"/>
        <color rgb="FFFF0000"/>
        <rFont val="Arial"/>
        <family val="2"/>
      </rPr>
      <t>(</t>
    </r>
    <r>
      <rPr>
        <b/>
        <i/>
        <sz val="8"/>
        <color rgb="FFFF0000"/>
        <rFont val="Arial"/>
        <family val="2"/>
      </rPr>
      <t>for TA to PLGU, select "PLGU")</t>
    </r>
  </si>
  <si>
    <r>
      <rPr>
        <b/>
        <sz val="11"/>
        <rFont val="Arial"/>
        <family val="2"/>
      </rPr>
      <t>Province</t>
    </r>
    <r>
      <rPr>
        <b/>
        <sz val="11"/>
        <color rgb="FFFF0000"/>
        <rFont val="Arial"/>
        <family val="2"/>
      </rPr>
      <t xml:space="preserve">
</t>
    </r>
    <r>
      <rPr>
        <b/>
        <i/>
        <sz val="8"/>
        <color rgb="FFFF0000"/>
        <rFont val="Arial"/>
        <family val="2"/>
      </rPr>
      <t xml:space="preserve">(for PLGU, select "Province_PLGU" then select the Province under the "LGU" Column) </t>
    </r>
  </si>
  <si>
    <r>
      <t xml:space="preserve">Type of LGU
</t>
    </r>
    <r>
      <rPr>
        <b/>
        <i/>
        <sz val="11"/>
        <color rgb="FFFF0000"/>
        <rFont val="Arial"/>
        <family val="2"/>
      </rPr>
      <t>(do not edit)</t>
    </r>
  </si>
  <si>
    <t>Checklist
(Review/ Final Approval or Ratification)</t>
  </si>
  <si>
    <t>Date Checked/Evaluated
(MM/DD/YYYY)</t>
  </si>
  <si>
    <t>Compliant / Non-compliant</t>
  </si>
  <si>
    <t>Review</t>
  </si>
  <si>
    <t>Compliant</t>
  </si>
  <si>
    <t>17.1. No. of CLUPs/ZOs reviewed as compliant to land use planning standards and guidelines (single counting)</t>
  </si>
  <si>
    <r>
      <rPr>
        <b/>
        <sz val="11"/>
        <color rgb="FF000000"/>
        <rFont val="Arial"/>
        <family val="2"/>
      </rPr>
      <t>Description:</t>
    </r>
    <r>
      <rPr>
        <sz val="11"/>
        <color rgb="FF000000"/>
        <rFont val="Arial"/>
        <family val="2"/>
      </rPr>
      <t xml:space="preserve"> Number of CLUPs/ZOs that </t>
    </r>
    <r>
      <rPr>
        <b/>
        <sz val="11"/>
        <color rgb="FF000000"/>
        <rFont val="Arial"/>
        <family val="2"/>
      </rPr>
      <t>have fully addressed and integrated DHSUD comments into the plan</t>
    </r>
    <r>
      <rPr>
        <sz val="11"/>
        <color rgb="FF000000"/>
        <rFont val="Arial"/>
        <family val="2"/>
      </rPr>
      <t>, ensuring compliance with established planning standards and guidelines. Compliance is determined based on the review parameters outlined in Annexes 4 and 5 of DHSUD M.C. No. 2021-005, signifying that the plans meet the technical land use planning requirements.  The plan should be refined and revised in accordance with and consistent with the DHSUD's recommendations.</t>
    </r>
  </si>
  <si>
    <r>
      <t xml:space="preserve">MOVs: </t>
    </r>
    <r>
      <rPr>
        <sz val="11"/>
        <color theme="1"/>
        <rFont val="Arial"/>
        <family val="2"/>
      </rPr>
      <t>Review reports / comment sheets, transmittal of review reports/comments sheets to LGUs for integration of comments, minutes of the meeting, any document indicating that technical assistance for the integration of comments has been provided (i.e., may be based from accomplishments enumerated under output indicator no.4), signed review parameter matrix as proof of LGU's compliance with recommendations, or any letters/correspondences of DHSUD indicating that the plan has already complied with the set parameters</t>
    </r>
  </si>
  <si>
    <r>
      <rPr>
        <b/>
        <sz val="11"/>
        <color rgb="FF000000"/>
        <rFont val="Arial"/>
        <family val="2"/>
      </rPr>
      <t>Measure:</t>
    </r>
    <r>
      <rPr>
        <sz val="11"/>
        <color rgb="FF000000"/>
        <rFont val="Arial"/>
        <family val="2"/>
      </rPr>
      <t>Total number of CLUPs/ZOs that have successfully incorporated the comments and recommendations provided during the review process</t>
    </r>
  </si>
  <si>
    <t>Review of PDPFP</t>
  </si>
  <si>
    <t>18.1. No. of PDPFPs/PPFPs reviewed as compliant to land use planning standards and guidelines (single counting)</t>
  </si>
  <si>
    <r>
      <rPr>
        <b/>
        <sz val="11"/>
        <color rgb="FF000000"/>
        <rFont val="Arial"/>
        <family val="2"/>
      </rPr>
      <t xml:space="preserve">Description: </t>
    </r>
    <r>
      <rPr>
        <sz val="11"/>
        <color rgb="FF000000"/>
        <rFont val="Arial"/>
        <family val="2"/>
      </rPr>
      <t xml:space="preserve">Number of PDPFPs that </t>
    </r>
    <r>
      <rPr>
        <b/>
        <sz val="11"/>
        <color rgb="FF000000"/>
        <rFont val="Arial"/>
        <family val="2"/>
      </rPr>
      <t>have fully addressed and integrated DHSUD comments into the plan</t>
    </r>
    <r>
      <rPr>
        <sz val="11"/>
        <color rgb="FF000000"/>
        <rFont val="Arial"/>
        <family val="2"/>
      </rPr>
      <t>, ensuring compliance with established planning standards and guidelines. Compliance is determined based on the review parameters outlined in Annex  3 of DHSUD M.C. No. 2021-009, signifying that the plans meet the technical planning requirements.  The plan should be refined and revised in accordance with and consistent with the DHSUD's recommendations.</t>
    </r>
  </si>
  <si>
    <r>
      <t xml:space="preserve">MOVs: </t>
    </r>
    <r>
      <rPr>
        <sz val="11"/>
        <color theme="1"/>
        <rFont val="Arial"/>
        <family val="2"/>
      </rPr>
      <t>Review reports / comment sheets, transmittal of review reports/comments sheets to provincial LGUs for integration of comments, any document indicating that technical assistance for the integration of comments has been provided (i.e., may be based from accomplishments enumerated under output indicator no.4), signed review parameter matrix as proof of provinicial LGU's compliance with recommendations</t>
    </r>
  </si>
  <si>
    <r>
      <t xml:space="preserve">Measure: </t>
    </r>
    <r>
      <rPr>
        <sz val="11"/>
        <color theme="1"/>
        <rFont val="Arial"/>
        <family val="2"/>
      </rPr>
      <t>Total number of PDPFPs that have successfully incorporated the comments and recommendations provided during the review process</t>
    </r>
  </si>
  <si>
    <t>Total No. of  CLUPs Reviewed :</t>
  </si>
  <si>
    <t>Total No. of PDPFPs Reviewed:</t>
  </si>
  <si>
    <r>
      <t xml:space="preserve">Type of Plan
</t>
    </r>
    <r>
      <rPr>
        <b/>
        <i/>
        <sz val="11"/>
        <color rgb="FFFF0000"/>
        <rFont val="Arial"/>
        <family val="2"/>
      </rPr>
      <t>(do not edit)</t>
    </r>
  </si>
  <si>
    <t>Date of Submission of Revised Plan as Compliant to DHSUD Review Parameters
(MM/DD/YYYY)</t>
  </si>
  <si>
    <t>17.2 No. of review reports prepared for the review of CLUP/ZO</t>
  </si>
  <si>
    <r>
      <rPr>
        <b/>
        <sz val="11"/>
        <color rgb="FF000000"/>
        <rFont val="Arial"/>
        <family val="2"/>
      </rPr>
      <t>Description:</t>
    </r>
    <r>
      <rPr>
        <sz val="11"/>
        <color rgb="FF000000"/>
        <rFont val="Arial"/>
        <family val="2"/>
      </rPr>
      <t xml:space="preserve"> Number of CLUP/ZO review reports submitted for PLUC/RLUC/MMDA review.
</t>
    </r>
    <r>
      <rPr>
        <sz val="11"/>
        <color rgb="FFFF0000"/>
        <rFont val="Arial"/>
        <family val="2"/>
      </rPr>
      <t xml:space="preserve"> </t>
    </r>
    <r>
      <rPr>
        <i/>
        <sz val="11"/>
        <color rgb="FFFF0000"/>
        <rFont val="Arial"/>
        <family val="2"/>
      </rPr>
      <t>Note: The provision of r</t>
    </r>
    <r>
      <rPr>
        <b/>
        <i/>
        <sz val="11"/>
        <color rgb="FFFF0000"/>
        <rFont val="Arial"/>
        <family val="2"/>
      </rPr>
      <t>eview reports for CLUPs/ZOs may be counted multiple times</t>
    </r>
    <r>
      <rPr>
        <i/>
        <sz val="11"/>
        <color rgb="FFFF0000"/>
        <rFont val="Arial"/>
        <family val="2"/>
      </rPr>
      <t>, depending on the necessity to provide additional review comments or recommendations.</t>
    </r>
  </si>
  <si>
    <r>
      <t xml:space="preserve">MOVs: </t>
    </r>
    <r>
      <rPr>
        <sz val="11"/>
        <color theme="1"/>
        <rFont val="Arial"/>
        <family val="2"/>
      </rPr>
      <t>CLUP &amp; ZO review reports from DHSUD Regional Offices</t>
    </r>
  </si>
  <si>
    <r>
      <t xml:space="preserve">Measure: </t>
    </r>
    <r>
      <rPr>
        <sz val="11"/>
        <color theme="1"/>
        <rFont val="Arial"/>
        <family val="2"/>
      </rPr>
      <t>Total number of review reports submitted to PLUC/RLUC/MMDA</t>
    </r>
  </si>
  <si>
    <t>18.2. No. of review reports prepared for the review of PDPFP</t>
  </si>
  <si>
    <r>
      <rPr>
        <b/>
        <sz val="11"/>
        <color rgb="FF000000"/>
        <rFont val="Arial"/>
        <family val="2"/>
      </rPr>
      <t>Description:</t>
    </r>
    <r>
      <rPr>
        <sz val="11"/>
        <color rgb="FF000000"/>
        <rFont val="Arial"/>
        <family val="2"/>
      </rPr>
      <t xml:space="preserve">Number of PDPFP review reports submitted for RLUC review.
</t>
    </r>
    <r>
      <rPr>
        <i/>
        <sz val="11"/>
        <color rgb="FF000000"/>
        <rFont val="Arial"/>
        <family val="2"/>
      </rPr>
      <t xml:space="preserve"> </t>
    </r>
    <r>
      <rPr>
        <i/>
        <sz val="11"/>
        <color rgb="FFFF0000"/>
        <rFont val="Arial"/>
        <family val="2"/>
      </rPr>
      <t>Note: The provision of r</t>
    </r>
    <r>
      <rPr>
        <b/>
        <i/>
        <sz val="11"/>
        <color rgb="FFFF0000"/>
        <rFont val="Arial"/>
        <family val="2"/>
      </rPr>
      <t>eview reports for PDPFPs may be counted multiple times</t>
    </r>
    <r>
      <rPr>
        <i/>
        <sz val="11"/>
        <color rgb="FFFF0000"/>
        <rFont val="Arial"/>
        <family val="2"/>
      </rPr>
      <t>, depending on the necessity to provide additional review comments or recommendations.</t>
    </r>
  </si>
  <si>
    <r>
      <t xml:space="preserve">MOVs: </t>
    </r>
    <r>
      <rPr>
        <sz val="11"/>
        <color theme="1"/>
        <rFont val="Arial"/>
        <family val="2"/>
      </rPr>
      <t>PDPFP review reports from DHSUD Regional Offices</t>
    </r>
  </si>
  <si>
    <r>
      <t xml:space="preserve">Measure: </t>
    </r>
    <r>
      <rPr>
        <sz val="11"/>
        <color theme="1"/>
        <rFont val="Arial"/>
        <family val="2"/>
      </rPr>
      <t>Total number of review reports submitted to RLUC</t>
    </r>
  </si>
  <si>
    <t>Total No. of  CLUP Review Reports Prepared:</t>
  </si>
  <si>
    <t>Total No. of PDPFP Review Reports Prepared:</t>
  </si>
  <si>
    <t>Date of Review Report
(MM/DD/YYYY)</t>
  </si>
  <si>
    <t>17.3 No. of CLUP and ZO review meetings or sessions attended as a member of the reviewing body</t>
  </si>
  <si>
    <r>
      <rPr>
        <b/>
        <sz val="11"/>
        <color rgb="FF000000"/>
        <rFont val="Arial"/>
        <family val="2"/>
      </rPr>
      <t>Description:</t>
    </r>
    <r>
      <rPr>
        <sz val="11"/>
        <color rgb="FF000000"/>
        <rFont val="Arial"/>
        <family val="2"/>
      </rPr>
      <t xml:space="preserve"> Number of CLUPs/ZOs review meetings/sessions attended as member of the reviewing body, contributing to the assessment, evaluation, and provision of recommendations for the approval or enhancement of the plans.</t>
    </r>
  </si>
  <si>
    <r>
      <t xml:space="preserve">MOVs: </t>
    </r>
    <r>
      <rPr>
        <sz val="11"/>
        <color theme="1"/>
        <rFont val="Arial"/>
        <family val="2"/>
      </rPr>
      <t>Certificate of appearance/minutes of meeting/attendance sheet</t>
    </r>
  </si>
  <si>
    <r>
      <t>Measure:</t>
    </r>
    <r>
      <rPr>
        <sz val="11"/>
        <color theme="1"/>
        <rFont val="Arial"/>
        <family val="2"/>
      </rPr>
      <t xml:space="preserve"> Number of CLUPs/ZOs review meetings/sessions attended as member of the reviewing body, contributing to the assessment, evaluation, and provision of recommendations for the approval or enhancement of the plans.</t>
    </r>
  </si>
  <si>
    <t>18.3 No. of PDPFP review meetings or sessions attended as a member of the reviewing body</t>
  </si>
  <si>
    <r>
      <rPr>
        <b/>
        <sz val="11"/>
        <color rgb="FF000000"/>
        <rFont val="Arial"/>
        <family val="2"/>
      </rPr>
      <t>Description:</t>
    </r>
    <r>
      <rPr>
        <sz val="11"/>
        <color rgb="FF000000"/>
        <rFont val="Arial"/>
        <family val="2"/>
      </rPr>
      <t>Number of PDPFP review meetings/sessions attended as member of the reviewing body, contributing to the assessment, evaluation, and provision of recommendations for the approval or enhancement of the plans.</t>
    </r>
  </si>
  <si>
    <r>
      <t xml:space="preserve">Measure: </t>
    </r>
    <r>
      <rPr>
        <sz val="11"/>
        <color theme="1"/>
        <rFont val="Arial"/>
        <family val="2"/>
      </rPr>
      <t>Number of PDPFP review meetings/sessions attended as member of the reviewing body, contributing to the assessment, evaluation, and provision of recommendations for the approval or enhancement of the plans.</t>
    </r>
  </si>
  <si>
    <t>Total No. of Meetings / Review Sessions Attended for CLUP/ZO:</t>
  </si>
  <si>
    <t>Total No. of Meetings / Review Sessions Attended for PDPFP:</t>
  </si>
  <si>
    <t>Date of Meeting/Review Session
(MM/DD/YYYY)</t>
  </si>
  <si>
    <r>
      <rPr>
        <b/>
        <sz val="11"/>
        <color rgb="FF000000"/>
        <rFont val="Arial"/>
        <family val="2"/>
      </rPr>
      <t>Description:</t>
    </r>
    <r>
      <rPr>
        <sz val="11"/>
        <color rgb="FF000000"/>
        <rFont val="Arial"/>
        <family val="2"/>
      </rPr>
      <t xml:space="preserve"> Number of LGUs monitored by ELUPDD to determine and assess the status of the LGUs in the preparation of their plans (i.e., CLUP/ZO, PDPFP)
</t>
    </r>
    <r>
      <rPr>
        <i/>
        <sz val="11"/>
        <color rgb="FFFF0000"/>
        <rFont val="Arial"/>
        <family val="2"/>
      </rPr>
      <t>Note: For CLUPs,</t>
    </r>
    <r>
      <rPr>
        <b/>
        <i/>
        <sz val="11"/>
        <color rgb="FFFF0000"/>
        <rFont val="Arial"/>
        <family val="2"/>
      </rPr>
      <t xml:space="preserve"> all status changes detected shall also be reflected and highlighted in the Annex 3: CLUP Status.</t>
    </r>
  </si>
  <si>
    <r>
      <t xml:space="preserve">MOVs: </t>
    </r>
    <r>
      <rPr>
        <sz val="11"/>
        <color theme="1"/>
        <rFont val="Arial"/>
        <family val="2"/>
      </rPr>
      <t>External contact/monitoring reports; output/document proof of LGU plan preparation status (e.g. draft sectoral studies, ecosystem analysis, CDRA, etc.)</t>
    </r>
  </si>
  <si>
    <r>
      <t>Measure:</t>
    </r>
    <r>
      <rPr>
        <sz val="11"/>
        <color theme="1"/>
        <rFont val="Arial"/>
        <family val="2"/>
      </rPr>
      <t xml:space="preserve"> Total number of LGUs monitored on the status of preparation/formulation/updating of their CLUP/ZO</t>
    </r>
  </si>
  <si>
    <r>
      <rPr>
        <b/>
        <sz val="11"/>
        <color rgb="FF000000"/>
        <rFont val="Arial"/>
        <family val="2"/>
      </rPr>
      <t>Description:</t>
    </r>
    <r>
      <rPr>
        <sz val="11"/>
        <color rgb="FF000000"/>
        <rFont val="Arial"/>
        <family val="2"/>
      </rPr>
      <t xml:space="preserve"> Number of plan preparation status changes detected from the monitored LGUs (e.g. LGU has moved from Phase 1 to Phase 2 of CLUP preparation status); Please refer to the </t>
    </r>
    <r>
      <rPr>
        <b/>
        <i/>
        <sz val="11"/>
        <color rgb="FF000000"/>
        <rFont val="Arial"/>
        <family val="2"/>
      </rPr>
      <t xml:space="preserve">Definition_Status </t>
    </r>
    <r>
      <rPr>
        <sz val="11"/>
        <color rgb="FF000000"/>
        <rFont val="Arial"/>
        <family val="2"/>
      </rPr>
      <t xml:space="preserve">sheet as guide for the tagging of CLUP status.
</t>
    </r>
  </si>
  <si>
    <r>
      <t>Measure:</t>
    </r>
    <r>
      <rPr>
        <sz val="11"/>
        <color theme="1"/>
        <rFont val="Arial"/>
        <family val="2"/>
      </rPr>
      <t xml:space="preserve"> Total number of plans with detected status changes</t>
    </r>
  </si>
  <si>
    <t>Total No. of LGUs Monitored:</t>
  </si>
  <si>
    <t>Total No. of Table Monitoring Conducted:</t>
  </si>
  <si>
    <t>Total No. of Field Monitoring Conducted:</t>
  </si>
  <si>
    <t>Total No. of Plan Status Changes:</t>
  </si>
  <si>
    <r>
      <t xml:space="preserve">Region
</t>
    </r>
    <r>
      <rPr>
        <b/>
        <i/>
        <sz val="8"/>
        <color rgb="FFFF0000"/>
        <rFont val="Arial"/>
        <family val="2"/>
      </rPr>
      <t>(for PLGU monitored, select "PLGU")</t>
    </r>
  </si>
  <si>
    <t>Type of Monitoring</t>
  </si>
  <si>
    <r>
      <t xml:space="preserve">Initial Status
</t>
    </r>
    <r>
      <rPr>
        <b/>
        <i/>
        <sz val="8"/>
        <color theme="1"/>
        <rFont val="Arial"/>
        <family val="2"/>
      </rPr>
      <t>(Prephase to RA7 for CLUP/ZO; speficy for PDPFP)</t>
    </r>
  </si>
  <si>
    <r>
      <t xml:space="preserve">Updated Status
</t>
    </r>
    <r>
      <rPr>
        <b/>
        <i/>
        <sz val="8"/>
        <color rgb="FFC00000"/>
        <rFont val="Arial"/>
        <family val="2"/>
      </rPr>
      <t>(retain initial status if no change has been detected)</t>
    </r>
  </si>
  <si>
    <t>Date of Monitoring Conducted
(MM/DD/YYYY)</t>
  </si>
  <si>
    <r>
      <t xml:space="preserve">Count_PS Change
</t>
    </r>
    <r>
      <rPr>
        <b/>
        <i/>
        <sz val="11"/>
        <color rgb="FFFF0000"/>
        <rFont val="Arial"/>
        <family val="2"/>
      </rPr>
      <t>(do not edit)</t>
    </r>
  </si>
  <si>
    <t>Table</t>
  </si>
  <si>
    <t>Ongoing data gathering</t>
  </si>
  <si>
    <t>Updated</t>
  </si>
  <si>
    <t>Checked the preparation of CDRA</t>
  </si>
  <si>
    <t>Ongoing finalization of Draft CDRA</t>
  </si>
  <si>
    <t>Field</t>
  </si>
  <si>
    <t>Ongoing integration of comments; Ongoing finalization of Draft ZO and CDRA</t>
  </si>
  <si>
    <t>Ongoing integration of comments;</t>
  </si>
  <si>
    <t xml:space="preserve">The LGU has budget for CLUP formulation. </t>
  </si>
  <si>
    <t>The LGU has approved SP Reso from Province</t>
  </si>
  <si>
    <t>ongoing CLUP updating</t>
  </si>
  <si>
    <t>Preparing to submit their plan documents. The LGU requested for Checklist for documentary requirements</t>
  </si>
  <si>
    <t>The LGU is currently doing write ups for Volume 1 and finalizing maps.</t>
  </si>
  <si>
    <t>Ongoing data gathering; LGU prepares to update their CLUP</t>
  </si>
  <si>
    <t xml:space="preserve">No Gap and Challenges; Consultant: Qualis Consolio Consultancy, Inc. </t>
  </si>
  <si>
    <t>Discrepancy in Municipal Land Area</t>
  </si>
  <si>
    <t>Data gathering</t>
  </si>
  <si>
    <t>Challenges/Gap during CLUP updating/formulation: Manpower</t>
  </si>
  <si>
    <t>Challenges/Gap during CLUP updating/formulation: Manpower and time; No consultant</t>
  </si>
  <si>
    <t xml:space="preserve">Challenges/Gap during CLUP updating/formulation: Data, manpower </t>
  </si>
  <si>
    <t>CLUP for updating; without consultant</t>
  </si>
  <si>
    <t>No available data, need to do localized survey; No CDRA outdated CLUP/CDP</t>
  </si>
  <si>
    <t>CLUP for rectification based on the comments ng DHSUD; Consultant: Palafix Associates</t>
  </si>
  <si>
    <t>Updating CLUP; Data collection</t>
  </si>
  <si>
    <t>Data gathering; Challenges/Gap during CLUP updating/formulation: Manpower and resources</t>
  </si>
  <si>
    <t xml:space="preserve">Challenges/Gap during CLUP updating/formulation: data and manpower </t>
  </si>
  <si>
    <t xml:space="preserve">Updating CLUP; Challenges/Gap during CLUP updating/formulation: Manpower </t>
  </si>
  <si>
    <t>No technical writers; Consultant: Earlene Tayaban</t>
  </si>
  <si>
    <t>The LGU will draft CDRA this year</t>
  </si>
  <si>
    <t>The LGU conducted Stakeholder Orientation; Ongoing data gathering</t>
  </si>
  <si>
    <r>
      <t xml:space="preserve">Database and Information System Maintenance and Development - </t>
    </r>
    <r>
      <rPr>
        <b/>
        <sz val="11"/>
        <color rgb="FFC00000"/>
        <rFont val="Arial"/>
        <family val="2"/>
      </rPr>
      <t>ANNEX NOT REQUIRED TO FILL OUT AS THIS MAY BE BASED FROM THE RO-ELUPDD'S OWN DATABASE</t>
    </r>
  </si>
  <si>
    <r>
      <rPr>
        <sz val="11"/>
        <color rgb="FF000000"/>
        <rFont val="Arial"/>
        <family val="2"/>
      </rPr>
      <t>20.1 Percentage of inventory of government lands submitted by LGUs collected and consolidated</t>
    </r>
    <r>
      <rPr>
        <i/>
        <sz val="11"/>
        <color rgb="FFFF0000"/>
        <rFont val="Arial"/>
        <family val="2"/>
      </rPr>
      <t xml:space="preserve"> (to base data from DHSUD RO-ELUPDD's own site masterlist/database)</t>
    </r>
  </si>
  <si>
    <r>
      <rPr>
        <b/>
        <sz val="11"/>
        <color rgb="FF000000"/>
        <rFont val="Arial"/>
        <family val="2"/>
      </rPr>
      <t>Description:</t>
    </r>
    <r>
      <rPr>
        <sz val="11"/>
        <color rgb="FF000000"/>
        <rFont val="Arial"/>
        <family val="2"/>
      </rPr>
      <t xml:space="preserve"> Percentage of LGUs within the region's jurisdiction that have already</t>
    </r>
    <r>
      <rPr>
        <b/>
        <sz val="11"/>
        <color rgb="FF000000"/>
        <rFont val="Arial"/>
        <family val="2"/>
      </rPr>
      <t xml:space="preserve"> submitted their notarized forms, together with the prescribed matrix/excel sheet, at the least </t>
    </r>
    <r>
      <rPr>
        <sz val="11"/>
        <color rgb="FF000000"/>
        <rFont val="Arial"/>
        <family val="2"/>
      </rPr>
      <t xml:space="preserve">(per instructions under EO 34, s. 2023). Regardless if without idle lands, as long as the form's notarized, the submission shall be counted.
</t>
    </r>
    <r>
      <rPr>
        <i/>
        <sz val="11"/>
        <color rgb="FFFF0000"/>
        <rFont val="Arial"/>
        <family val="2"/>
      </rPr>
      <t xml:space="preserve">Note: Each city or municipality </t>
    </r>
    <r>
      <rPr>
        <b/>
        <i/>
        <sz val="11"/>
        <color rgb="FFFF0000"/>
        <rFont val="Arial"/>
        <family val="2"/>
      </rPr>
      <t xml:space="preserve">shall be counted only once </t>
    </r>
    <r>
      <rPr>
        <i/>
        <sz val="11"/>
        <color rgb="FFFF0000"/>
        <rFont val="Arial"/>
        <family val="2"/>
      </rPr>
      <t>(i.e., single counting). Once an LGU has been counted in a given month, it will not be included in the count for subsequent months in this indicator. The most updated/rectified submission shall be reflected in the consolidated database.</t>
    </r>
  </si>
  <si>
    <r>
      <t xml:space="preserve">MOVs: </t>
    </r>
    <r>
      <rPr>
        <sz val="11"/>
        <color theme="1"/>
        <rFont val="Arial"/>
        <family val="2"/>
      </rPr>
      <t xml:space="preserve">Documentary requirements to be collected as instructed per EO 34: land inventory form (notarized), land inventory matrix (Excel), maps, shapefiles, TCTs and other supporting documents </t>
    </r>
  </si>
  <si>
    <r>
      <rPr>
        <b/>
        <sz val="11"/>
        <color rgb="FF000000"/>
        <rFont val="Arial"/>
        <family val="2"/>
      </rPr>
      <t>Measure:</t>
    </r>
    <r>
      <rPr>
        <sz val="11"/>
        <color rgb="FF000000"/>
        <rFont val="Arial"/>
        <family val="2"/>
      </rPr>
      <t xml:space="preserve"> Total number of LGUs that have submitted their notarized forms and matrix/Excel sheet—regardless of the presence of idle lands, as long as the form is notarized—divided by  the total number of LGUs under the region's jurisdiction.</t>
    </r>
  </si>
  <si>
    <r>
      <t xml:space="preserve">20.2 Percentage of sites assessed for suitability for housing, human settlements, and urban development </t>
    </r>
    <r>
      <rPr>
        <i/>
        <sz val="11"/>
        <color rgb="FFFF0000"/>
        <rFont val="Arial"/>
        <family val="2"/>
      </rPr>
      <t>(to base data from DHSUD RO-ELUPDD's own site masterlist/database)</t>
    </r>
  </si>
  <si>
    <r>
      <rPr>
        <b/>
        <sz val="11"/>
        <color rgb="FF000000"/>
        <rFont val="Arial"/>
        <family val="2"/>
      </rPr>
      <t xml:space="preserve">Description: </t>
    </r>
    <r>
      <rPr>
        <sz val="11"/>
        <color rgb="FF000000"/>
        <rFont val="Arial"/>
        <family val="2"/>
      </rPr>
      <t xml:space="preserve">Percentage of LGUs within the region's jurisdiction, as well as NGAs, GOCCs, and KSAs that are prioritized for site assessment (from the master list as provided by ELUPDB), that have at least </t>
    </r>
    <r>
      <rPr>
        <b/>
        <u/>
        <sz val="11"/>
        <color rgb="FF000000"/>
        <rFont val="Arial"/>
        <family val="2"/>
      </rPr>
      <t>both</t>
    </r>
    <r>
      <rPr>
        <b/>
        <sz val="11"/>
        <color rgb="FF000000"/>
        <rFont val="Arial"/>
        <family val="2"/>
      </rPr>
      <t xml:space="preserve"> pre-field and field validation site profile forms.</t>
    </r>
  </si>
  <si>
    <r>
      <t xml:space="preserve">MOVs: </t>
    </r>
    <r>
      <rPr>
        <sz val="11"/>
        <color theme="1"/>
        <rFont val="Arial"/>
        <family val="2"/>
      </rPr>
      <t>Pre-field, field, and post-validated (if already available) site profile forms submitted to the Bureau (i.e., EO 34 team)</t>
    </r>
  </si>
  <si>
    <r>
      <rPr>
        <b/>
        <sz val="11"/>
        <color rgb="FF000000"/>
        <rFont val="Arial"/>
        <family val="2"/>
      </rPr>
      <t>Measure:</t>
    </r>
    <r>
      <rPr>
        <sz val="11"/>
        <color rgb="FF000000"/>
        <rFont val="Arial"/>
        <family val="2"/>
      </rPr>
      <t xml:space="preserve"> Total number of LGU, NGA, and GOCC sites that have undergone both pre-field and field validation, divided by the overall number of sites from the regional idle master list (provided by ELUPDB), which includes sites submitted by NGAs, GOCCs, LGUs, and KSAs.</t>
    </r>
  </si>
  <si>
    <r>
      <t xml:space="preserve">20.3 No. of assessed sites recommended/endorsed to the ELUPDB for acquisition and development for housing, human settlements, and urban development </t>
    </r>
    <r>
      <rPr>
        <i/>
        <sz val="11"/>
        <color rgb="FFFF0000"/>
        <rFont val="Arial"/>
        <family val="2"/>
      </rPr>
      <t>(to base data from DHSUD RO-ELUPDD's own site masterlist/database)</t>
    </r>
  </si>
  <si>
    <r>
      <rPr>
        <b/>
        <sz val="11"/>
        <color rgb="FF000000"/>
        <rFont val="Arial"/>
        <family val="2"/>
      </rPr>
      <t xml:space="preserve">Description: </t>
    </r>
    <r>
      <rPr>
        <sz val="11"/>
        <color rgb="FF000000"/>
        <rFont val="Arial"/>
        <family val="2"/>
      </rPr>
      <t xml:space="preserve">Number of sites that have </t>
    </r>
    <r>
      <rPr>
        <b/>
        <sz val="11"/>
        <color rgb="FF000000"/>
        <rFont val="Arial"/>
        <family val="2"/>
      </rPr>
      <t>undergone post-validation process</t>
    </r>
    <r>
      <rPr>
        <sz val="11"/>
        <color rgb="FF000000"/>
        <rFont val="Arial"/>
        <family val="2"/>
      </rPr>
      <t xml:space="preserve"> and are subsequently </t>
    </r>
    <r>
      <rPr>
        <b/>
        <sz val="11"/>
        <color rgb="FF000000"/>
        <rFont val="Arial"/>
        <family val="2"/>
      </rPr>
      <t>suggested or recommended for acquisition by the ELUPDB</t>
    </r>
  </si>
  <si>
    <r>
      <t xml:space="preserve">MOVs: </t>
    </r>
    <r>
      <rPr>
        <sz val="11"/>
        <color theme="1"/>
        <rFont val="Arial"/>
        <family val="2"/>
      </rPr>
      <t>Letter/correspondence endorsing the site, and copies of the post-validated site assessment forms (site should already be ground validated and land owners should have been consulted)</t>
    </r>
  </si>
  <si>
    <r>
      <t>Measure:</t>
    </r>
    <r>
      <rPr>
        <sz val="11"/>
        <color theme="1"/>
        <rFont val="Arial"/>
        <family val="2"/>
      </rPr>
      <t xml:space="preserve"> Total number of LGU, NGA, and GOCC sites that have been recommended/endorsed to ELUPDB for acquisition and development for housing, human settlements, and urban development</t>
    </r>
  </si>
  <si>
    <t>Percentage of LGU submissions:</t>
  </si>
  <si>
    <r>
      <t xml:space="preserve">LGU
</t>
    </r>
    <r>
      <rPr>
        <b/>
        <i/>
        <sz val="11"/>
        <color theme="1"/>
        <rFont val="Arial"/>
        <family val="2"/>
      </rPr>
      <t xml:space="preserve">(List </t>
    </r>
    <r>
      <rPr>
        <b/>
        <i/>
        <sz val="11"/>
        <color rgb="FFFF0000"/>
        <rFont val="Arial"/>
        <family val="2"/>
      </rPr>
      <t>ALL</t>
    </r>
    <r>
      <rPr>
        <b/>
        <i/>
        <sz val="11"/>
        <color theme="1"/>
        <rFont val="Arial"/>
        <family val="2"/>
      </rPr>
      <t xml:space="preserve"> provinces / cities / municipalities </t>
    </r>
    <r>
      <rPr>
        <b/>
        <i/>
        <sz val="11"/>
        <color rgb="FFFF0000"/>
        <rFont val="Arial"/>
        <family val="2"/>
      </rPr>
      <t>within your jurisdiction</t>
    </r>
    <r>
      <rPr>
        <b/>
        <i/>
        <sz val="11"/>
        <color theme="1"/>
        <rFont val="Arial"/>
        <family val="2"/>
      </rPr>
      <t>)</t>
    </r>
  </si>
  <si>
    <r>
      <t xml:space="preserve">Date of Inventory Submission
</t>
    </r>
    <r>
      <rPr>
        <b/>
        <i/>
        <sz val="11"/>
        <color rgb="FFFF0000"/>
        <rFont val="Arial"/>
        <family val="2"/>
      </rPr>
      <t>(leave as blank if no submission yet)</t>
    </r>
  </si>
  <si>
    <t>.</t>
  </si>
  <si>
    <r>
      <rPr>
        <b/>
        <sz val="11"/>
        <color rgb="FF000000"/>
        <rFont val="Arial"/>
        <family val="2"/>
      </rPr>
      <t>Description:</t>
    </r>
    <r>
      <rPr>
        <sz val="11"/>
        <color rgb="FF000000"/>
        <rFont val="Arial"/>
        <family val="2"/>
      </rPr>
      <t xml:space="preserve"> Percentage of sub-allocated PLANADO </t>
    </r>
    <r>
      <rPr>
        <b/>
        <sz val="11"/>
        <color rgb="FF000000"/>
        <rFont val="Arial"/>
        <family val="2"/>
      </rPr>
      <t>budget utilized</t>
    </r>
    <r>
      <rPr>
        <sz val="11"/>
        <color rgb="FF000000"/>
        <rFont val="Arial"/>
        <family val="2"/>
      </rPr>
      <t xml:space="preserve"> for implementing ELUPDD policies, activities, and programs (PAPs), as well as other ELUPDD-related activities, specifically those enumerated in the submitted PLANADO AWFP.</t>
    </r>
  </si>
  <si>
    <r>
      <t xml:space="preserve">MOVs: </t>
    </r>
    <r>
      <rPr>
        <sz val="11"/>
        <color theme="1"/>
        <rFont val="Arial"/>
        <family val="2"/>
      </rPr>
      <t xml:space="preserve">Terminal/post-activity reports, budget utilization reports or matrices </t>
    </r>
  </si>
  <si>
    <r>
      <t>Measure:</t>
    </r>
    <r>
      <rPr>
        <sz val="11"/>
        <color theme="1"/>
        <rFont val="Arial"/>
        <family val="2"/>
      </rPr>
      <t xml:space="preserve"> Total amount of PLANADO budget utilized divided by the total sub-allocated PLANADO budget in the region</t>
    </r>
  </si>
  <si>
    <t>Total PLANADO Budget sub-allocated:</t>
  </si>
  <si>
    <t>Please input total sub-allocated amount</t>
  </si>
  <si>
    <t xml:space="preserve">2026 Budget: </t>
  </si>
  <si>
    <t>Percentage of PLANADO Budget Utilized</t>
  </si>
  <si>
    <t xml:space="preserve">2025 Continuing: </t>
  </si>
  <si>
    <t>Activity</t>
  </si>
  <si>
    <t>Focus Area</t>
  </si>
  <si>
    <t>Amount Utilized</t>
  </si>
  <si>
    <t>Expenditure Item</t>
  </si>
  <si>
    <t>Month Utilized</t>
  </si>
  <si>
    <t xml:space="preserve"> Membership to task force, inter-agency committee and TWG</t>
  </si>
  <si>
    <t>22.1 No. of memberships to task force, inter-agency committee and TWG</t>
  </si>
  <si>
    <r>
      <rPr>
        <b/>
        <sz val="11"/>
        <color rgb="FF000000"/>
        <rFont val="Arial"/>
        <family val="2"/>
      </rPr>
      <t>Description:</t>
    </r>
    <r>
      <rPr>
        <sz val="11"/>
        <color rgb="FF000000"/>
        <rFont val="Arial"/>
        <family val="2"/>
      </rPr>
      <t xml:space="preserve"> Number of memberships in task forces, inter-agency committees, and technical working groups (TWGs), provided that the staff holds an official designation or appointment as a representative of the regional office/division. </t>
    </r>
  </si>
  <si>
    <r>
      <t xml:space="preserve">MOVs: </t>
    </r>
    <r>
      <rPr>
        <sz val="11"/>
        <color theme="1"/>
        <rFont val="Arial"/>
        <family val="2"/>
      </rPr>
      <t>Any issuance or document indicating designation/assignment to task force/IAC/TWG</t>
    </r>
  </si>
  <si>
    <r>
      <t>Measure:</t>
    </r>
    <r>
      <rPr>
        <sz val="11"/>
        <color theme="1"/>
        <rFont val="Arial"/>
        <family val="2"/>
      </rPr>
      <t xml:space="preserve"> Total number of designations/assignments</t>
    </r>
  </si>
  <si>
    <t>Total Number of Memberships to Task-force, TWG, IAC, etc.:</t>
  </si>
  <si>
    <t>Task Force / Committee / TWG</t>
  </si>
  <si>
    <t>Brief Description of TF/IAC/TWG</t>
  </si>
  <si>
    <t>Role / Designation</t>
  </si>
  <si>
    <t>Issuance</t>
  </si>
  <si>
    <t>Date of Designation/Assignment
(MM/DD/YYYY)</t>
  </si>
  <si>
    <t>Month Designated</t>
  </si>
  <si>
    <t>Regional Land Use Committee</t>
  </si>
  <si>
    <t>Provincial Land Use Committee - Negros Occidental</t>
  </si>
  <si>
    <t>Provincial Land Use Committee - Negros Oriental</t>
  </si>
  <si>
    <t>Provincial Land Use Committee - Siquijor</t>
  </si>
  <si>
    <t>BACOLOD FLOOD MITIGATION SUMMIT</t>
  </si>
  <si>
    <t>To develop a holistic, evidence-based, comprehensive, and stakeholder-engaged Flood Mitigation Masterpaln for the Cityopf Bacolod</t>
  </si>
  <si>
    <t>Kanlaon Redevelopment and Recovery Plan</t>
  </si>
  <si>
    <t>TWG</t>
  </si>
  <si>
    <t xml:space="preserve"> Attendance in inter-agency, CSO, and NGO meetings</t>
  </si>
  <si>
    <t>23.1 No. of meetings attended</t>
  </si>
  <si>
    <r>
      <rPr>
        <b/>
        <sz val="11"/>
        <color rgb="FF000000"/>
        <rFont val="Arial"/>
        <family val="2"/>
      </rPr>
      <t>Description:</t>
    </r>
    <r>
      <rPr>
        <sz val="11"/>
        <color rgb="FF000000"/>
        <rFont val="Arial"/>
        <family val="2"/>
      </rPr>
      <t xml:space="preserve"> Number of external-led (i.e., NGAs, CSO, NGOs, academe, etc.) meetings attended and participated</t>
    </r>
  </si>
  <si>
    <r>
      <t xml:space="preserve">MOVs: </t>
    </r>
    <r>
      <rPr>
        <sz val="11"/>
        <color theme="1"/>
        <rFont val="Arial"/>
        <family val="2"/>
      </rPr>
      <t>External contact reports and/or certificate of attendance</t>
    </r>
  </si>
  <si>
    <r>
      <t>Measure:</t>
    </r>
    <r>
      <rPr>
        <sz val="11"/>
        <color theme="1"/>
        <rFont val="Arial"/>
        <family val="2"/>
      </rPr>
      <t xml:space="preserve"> Total number of meetings/engagements attended</t>
    </r>
  </si>
  <si>
    <t>Total Number of Meetings/Engagements Attended:</t>
  </si>
  <si>
    <t>Meeting</t>
  </si>
  <si>
    <t>Agenda/Objectives</t>
  </si>
  <si>
    <t>Date of Meeting</t>
  </si>
  <si>
    <t>Report Month</t>
  </si>
  <si>
    <t>RDC NIR FY 2027 Budget Review</t>
  </si>
  <si>
    <t>DepDev NIR</t>
  </si>
  <si>
    <t>Mt. Kanlaon Recovery and Development Plan Governance Sector Meeting</t>
  </si>
  <si>
    <t>To draft KRDP Land Use Framework</t>
  </si>
  <si>
    <t>OCD NIR</t>
  </si>
  <si>
    <t>AUTOCAM Field Validation</t>
  </si>
  <si>
    <t>23-27-Feb-26</t>
  </si>
  <si>
    <t>ELUPDB</t>
  </si>
  <si>
    <t>RDC-SDC FY 2027 Budget Review</t>
  </si>
  <si>
    <t>23.2 No. of position paper, comments, inputs and submitted to task force, inter-agency committee and TWG</t>
  </si>
  <si>
    <r>
      <rPr>
        <b/>
        <sz val="11"/>
        <color rgb="FF000000"/>
        <rFont val="Arial"/>
        <family val="2"/>
      </rPr>
      <t>Description:</t>
    </r>
    <r>
      <rPr>
        <sz val="11"/>
        <color rgb="FF000000"/>
        <rFont val="Arial"/>
        <family val="2"/>
      </rPr>
      <t xml:space="preserve"> Number of position papers, inputs and comments submitted to task force, inter-agency committee, and TWG. </t>
    </r>
  </si>
  <si>
    <r>
      <t xml:space="preserve">MOVs: </t>
    </r>
    <r>
      <rPr>
        <sz val="11"/>
        <color theme="1"/>
        <rFont val="Arial"/>
        <family val="2"/>
      </rPr>
      <t>External contact reports/ position papers, comments, and inputs submitted to task force, inter-agency committee and TWG</t>
    </r>
  </si>
  <si>
    <r>
      <t>Measure:</t>
    </r>
    <r>
      <rPr>
        <sz val="11"/>
        <color theme="1"/>
        <rFont val="Arial"/>
        <family val="2"/>
      </rPr>
      <t xml:space="preserve"> Total number of position paper, comments, and inputs provided</t>
    </r>
  </si>
  <si>
    <t>Total Number of Provided Position Paper / Comments / Inputs:</t>
  </si>
  <si>
    <t>Position Paper / Comments / Inputs Submitted</t>
  </si>
  <si>
    <t>Date of Submission</t>
  </si>
  <si>
    <t>Partnernships Established for Land Use, Human Settlements, and Urban Development (Planners Network)</t>
  </si>
  <si>
    <t>24.1 No. of partnerships established</t>
  </si>
  <si>
    <r>
      <rPr>
        <b/>
        <sz val="11"/>
        <color rgb="FF000000"/>
        <rFont val="Arial"/>
        <family val="2"/>
      </rPr>
      <t>Description:</t>
    </r>
    <r>
      <rPr>
        <sz val="11"/>
        <color rgb="FF000000"/>
        <rFont val="Arial"/>
        <family val="2"/>
      </rPr>
      <t xml:space="preserve"> Number of established partnerships supporting land use planning, human settlements, and urban development initiatives.</t>
    </r>
  </si>
  <si>
    <r>
      <t xml:space="preserve">MOVs: </t>
    </r>
    <r>
      <rPr>
        <sz val="11"/>
        <color theme="1"/>
        <rFont val="Arial"/>
        <family val="2"/>
      </rPr>
      <t>MOU/MOA with LGU/NGA/NGO/Academe</t>
    </r>
    <r>
      <rPr>
        <b/>
        <sz val="11"/>
        <color theme="1"/>
        <rFont val="Arial"/>
        <family val="2"/>
      </rPr>
      <t xml:space="preserve"> </t>
    </r>
    <r>
      <rPr>
        <sz val="11"/>
        <color theme="1"/>
        <rFont val="Arial"/>
        <family val="2"/>
      </rPr>
      <t>or other partners/stakeholders</t>
    </r>
  </si>
  <si>
    <r>
      <rPr>
        <b/>
        <sz val="11"/>
        <color theme="1"/>
        <rFont val="Arial"/>
        <family val="2"/>
      </rPr>
      <t xml:space="preserve">Note: </t>
    </r>
    <r>
      <rPr>
        <sz val="11"/>
        <color theme="1"/>
        <rFont val="Arial"/>
        <family val="2"/>
      </rPr>
      <t xml:space="preserve">For multi-stakeholder partnerships, </t>
    </r>
    <r>
      <rPr>
        <sz val="11"/>
        <color rgb="FFFF0000"/>
        <rFont val="Arial"/>
        <family val="2"/>
      </rPr>
      <t xml:space="preserve">kindly </t>
    </r>
    <r>
      <rPr>
        <b/>
        <sz val="11"/>
        <color rgb="FFFF0000"/>
        <rFont val="Arial"/>
        <family val="2"/>
      </rPr>
      <t>enumerate all proponents/partners in one cell and choose "Multi-stakeholder"</t>
    </r>
    <r>
      <rPr>
        <sz val="11"/>
        <color theme="1"/>
        <rFont val="Arial"/>
        <family val="2"/>
      </rPr>
      <t xml:space="preserve"> under the "Type" field.</t>
    </r>
  </si>
  <si>
    <t>Total Number of Partnernships Established:</t>
  </si>
  <si>
    <r>
      <t xml:space="preserve">Proponents/Partners 
</t>
    </r>
    <r>
      <rPr>
        <b/>
        <i/>
        <sz val="8"/>
        <color rgb="FFFF0000"/>
        <rFont val="Arial"/>
        <family val="2"/>
      </rPr>
      <t>(For LGU: Province_LGU-Name / Province of [PLGU])</t>
    </r>
  </si>
  <si>
    <t>Brief Description of Partnership</t>
  </si>
  <si>
    <t>Issuance (MOU/MOA)</t>
  </si>
  <si>
    <t>Date of Issuance - MOU/MOA
(MM/DD/YYYY)</t>
  </si>
  <si>
    <t>Month Reported</t>
  </si>
  <si>
    <t>25.1 No. of certifications issued</t>
  </si>
  <si>
    <r>
      <rPr>
        <b/>
        <sz val="11"/>
        <color rgb="FF000000"/>
        <rFont val="Arial"/>
        <family val="2"/>
      </rPr>
      <t>Description:</t>
    </r>
    <r>
      <rPr>
        <sz val="11"/>
        <color rgb="FF000000"/>
        <rFont val="Arial"/>
        <family val="2"/>
      </rPr>
      <t xml:space="preserve"> Number of certifications (i.e., locational clearance and zoning certification) issued by the DHSUD RO-ELUPDD to its clients/stakeholders</t>
    </r>
  </si>
  <si>
    <r>
      <t xml:space="preserve">MOVs: </t>
    </r>
    <r>
      <rPr>
        <sz val="11"/>
        <color theme="1"/>
        <rFont val="Arial"/>
        <family val="2"/>
      </rPr>
      <t>Copy of certification issued and masterfile containing necessary attributes from the locational clearance/zoning certification application (i.e., requesting party, type of certification requested, location, proponent, no. of parcels, area, coordinates)</t>
    </r>
  </si>
  <si>
    <r>
      <t>Measure:</t>
    </r>
    <r>
      <rPr>
        <sz val="11"/>
        <color theme="1"/>
        <rFont val="Arial"/>
        <family val="2"/>
      </rPr>
      <t xml:space="preserve"> Total number of certifications issued by the DHSUD RO-ELUPDD</t>
    </r>
  </si>
  <si>
    <t>25.2 Percentage of application of certifications/clearances processed within the prescribed period</t>
  </si>
  <si>
    <r>
      <rPr>
        <b/>
        <sz val="11"/>
        <color rgb="FF000000"/>
        <rFont val="Arial"/>
        <family val="2"/>
      </rPr>
      <t>Description:</t>
    </r>
    <r>
      <rPr>
        <sz val="11"/>
        <color rgb="FF000000"/>
        <rFont val="Arial"/>
        <family val="2"/>
      </rPr>
      <t xml:space="preserve"> Percentage of certifications issued within the prescribed time period (i.e., per DHSUD's Citizens' Charter)
Zoning - Simple: 5 days
Zoning - DAR (simple - with complete data for processing): 7 days
Zoning - DAR (complex - with incomplete data for processing): 15 days 
Locational Clearance: 10 days
Reclass Indorsement: 30 days
Others (i.e., CLUP or SGLG-related certifications, etc.): 3 days</t>
    </r>
  </si>
  <si>
    <r>
      <t>Measure:</t>
    </r>
    <r>
      <rPr>
        <sz val="11"/>
        <color theme="1"/>
        <rFont val="Arial"/>
        <family val="2"/>
      </rPr>
      <t xml:space="preserve"> Total number of certifications issued within the prescribed time period per DHSUD Citizens' Charter divided by the total number or requested certifications</t>
    </r>
  </si>
  <si>
    <r>
      <rPr>
        <b/>
        <sz val="11"/>
        <color theme="1"/>
        <rFont val="Arial"/>
        <family val="2"/>
      </rPr>
      <t xml:space="preserve">Note: </t>
    </r>
    <r>
      <rPr>
        <sz val="11"/>
        <color theme="1"/>
        <rFont val="Arial"/>
        <family val="2"/>
      </rPr>
      <t>The counting of processing days shall begin</t>
    </r>
    <r>
      <rPr>
        <b/>
        <sz val="11"/>
        <color theme="1"/>
        <rFont val="Arial"/>
        <family val="2"/>
      </rPr>
      <t xml:space="preserve"> once the documents are received by the ELUPDD for processing.</t>
    </r>
    <r>
      <rPr>
        <sz val="11"/>
        <color theme="1"/>
        <rFont val="Arial"/>
        <family val="2"/>
      </rPr>
      <t xml:space="preserve"> However, the presence of an Official Receipt (OR) upon receipt of documents depends on the current process of the regional office. The counting of processing days shall be halted upon the issuance of a Notice of Deficiency and shall resume once the deficiencies have been addressed and complied with.</t>
    </r>
  </si>
  <si>
    <t>Total Number of Certifications Issued:</t>
  </si>
  <si>
    <t>Percentage of certifications processed within the prescribed period:</t>
  </si>
  <si>
    <r>
      <t xml:space="preserve">Control No. 
</t>
    </r>
    <r>
      <rPr>
        <b/>
        <sz val="9"/>
        <color theme="1"/>
        <rFont val="Arial"/>
        <family val="2"/>
      </rPr>
      <t>(if available)</t>
    </r>
  </si>
  <si>
    <t>Requesting Party</t>
  </si>
  <si>
    <t>Certification Issued</t>
  </si>
  <si>
    <t>Date Issued
(MM/DD/YYY)</t>
  </si>
  <si>
    <t>Owner / Proponents</t>
  </si>
  <si>
    <t>Location</t>
  </si>
  <si>
    <t>No. of Parcel/s</t>
  </si>
  <si>
    <t>Total Area (ha)</t>
  </si>
  <si>
    <t>No. of Days Processed</t>
  </si>
  <si>
    <r>
      <t xml:space="preserve">On Time / Delayed
</t>
    </r>
    <r>
      <rPr>
        <b/>
        <i/>
        <sz val="11"/>
        <color rgb="FFFF0000"/>
        <rFont val="Arial"/>
        <family val="2"/>
      </rPr>
      <t>(do not edit)</t>
    </r>
  </si>
  <si>
    <r>
      <t xml:space="preserve">Count_Timeliness
</t>
    </r>
    <r>
      <rPr>
        <b/>
        <i/>
        <sz val="11"/>
        <color rgb="FFFF0000"/>
        <rFont val="Arial"/>
        <family val="2"/>
      </rPr>
      <t>(do not edit)</t>
    </r>
  </si>
  <si>
    <t>Longitude (X)</t>
  </si>
  <si>
    <t>Latitude (Y)</t>
  </si>
  <si>
    <t>ZC-NIR26-001</t>
  </si>
  <si>
    <t xml:space="preserve">Ms. Jocelyn Alipara </t>
  </si>
  <si>
    <t>Zoning - Simple</t>
  </si>
  <si>
    <t>Rodolfo Limsiaco</t>
  </si>
  <si>
    <t xml:space="preserve">Brgy. Talaban, Himamaylan City </t>
  </si>
  <si>
    <t>On Time</t>
  </si>
  <si>
    <t>122°52'14.78"E</t>
  </si>
  <si>
    <t xml:space="preserve"> 10° 8'28.86"N</t>
  </si>
  <si>
    <t>The month of December is marked by several  holidays. Also, OIC RD Canete was on leave starting Dec. 19, 2025</t>
  </si>
  <si>
    <t>ZC-NIR26-002</t>
  </si>
  <si>
    <t xml:space="preserve">Mr. Benjie S. Fabroa, Jr. </t>
  </si>
  <si>
    <t>Royal Skylark Holding Corporation</t>
  </si>
  <si>
    <t>Brgy. Mansilingan, Bacolod City</t>
  </si>
  <si>
    <t>122°58'27.60"E</t>
  </si>
  <si>
    <t xml:space="preserve"> 10°36'36.71"N</t>
  </si>
  <si>
    <t>25.1  No. of CLUP Post-Disaster Assessment Reports generated</t>
  </si>
  <si>
    <r>
      <rPr>
        <b/>
        <sz val="11"/>
        <color rgb="FF000000"/>
        <rFont val="Arial"/>
        <family val="2"/>
      </rPr>
      <t>Description:</t>
    </r>
    <r>
      <rPr>
        <sz val="11"/>
        <color rgb="FF000000"/>
        <rFont val="Arial"/>
        <family val="2"/>
      </rPr>
      <t xml:space="preserve"> No. of CLUP Post-Disaster Assessment Reports generated within 90 days after the occurrence of a disasters</t>
    </r>
  </si>
  <si>
    <r>
      <t xml:space="preserve">MOVs: </t>
    </r>
    <r>
      <rPr>
        <sz val="11"/>
        <color theme="1"/>
        <rFont val="Arial"/>
        <family val="2"/>
      </rPr>
      <t>Post-disaster Assessment Form for CLUPs of LGUs adversely affected by disasters (signed)</t>
    </r>
  </si>
  <si>
    <r>
      <t>Measure:</t>
    </r>
    <r>
      <rPr>
        <sz val="11"/>
        <color theme="1"/>
        <rFont val="Arial"/>
        <family val="2"/>
      </rPr>
      <t xml:space="preserve"> Total number of CLUP Post-disaster Assessment Reports generated</t>
    </r>
  </si>
  <si>
    <r>
      <rPr>
        <b/>
        <sz val="11"/>
        <color theme="1"/>
        <rFont val="Arial"/>
        <family val="2"/>
      </rPr>
      <t xml:space="preserve">Note: </t>
    </r>
    <r>
      <rPr>
        <sz val="11"/>
        <color theme="1"/>
        <rFont val="Arial"/>
        <family val="2"/>
      </rPr>
      <t xml:space="preserve">Kindly </t>
    </r>
    <r>
      <rPr>
        <b/>
        <sz val="11"/>
        <color rgb="FFC00000"/>
        <rFont val="Arial"/>
        <family val="2"/>
      </rPr>
      <t>merge the cells under</t>
    </r>
    <r>
      <rPr>
        <b/>
        <u/>
        <sz val="11"/>
        <color rgb="FFC00000"/>
        <rFont val="Arial"/>
        <family val="2"/>
      </rPr>
      <t xml:space="preserve"> "Date of Report","Reporting Month", "Disaster", "Date of Onslaught</t>
    </r>
    <r>
      <rPr>
        <b/>
        <sz val="11"/>
        <color theme="1"/>
        <rFont val="Arial"/>
        <family val="2"/>
      </rPr>
      <t xml:space="preserve"> </t>
    </r>
    <r>
      <rPr>
        <sz val="11"/>
        <color theme="1"/>
        <rFont val="Arial"/>
        <family val="2"/>
      </rPr>
      <t xml:space="preserve">for </t>
    </r>
    <r>
      <rPr>
        <b/>
        <sz val="11"/>
        <color theme="1"/>
        <rFont val="Arial"/>
        <family val="2"/>
      </rPr>
      <t>LGUs affected under one (1) disaster.</t>
    </r>
  </si>
  <si>
    <t>Total Number of post-disaster assessment reports prepared:</t>
  </si>
  <si>
    <t>Date of Report
(MM/DD/YYY)</t>
  </si>
  <si>
    <t>Disaster</t>
  </si>
  <si>
    <t>Date/s of Onslaught</t>
  </si>
  <si>
    <t>ISSUES/CONCERNS, BEST PRACTICES, SUGGESTIONS/RECOMMENDATIONS</t>
  </si>
  <si>
    <t>DHSUD RO-ELUPDD ISSUES/CONCERNS</t>
  </si>
  <si>
    <t>DHSUD RO-ELUPDD BEST PRACTICES</t>
  </si>
  <si>
    <t>DHSUD RO-ELUPDD SUGGESTIONS</t>
  </si>
  <si>
    <t>Issues/Concerns</t>
  </si>
  <si>
    <t>Actions Done to Address Issues/Concerns</t>
  </si>
  <si>
    <t>Recommendations</t>
  </si>
  <si>
    <t>Best Practices/Innovations</t>
  </si>
  <si>
    <t>Problems/Issues Addressed</t>
  </si>
  <si>
    <t>Suggestions</t>
  </si>
  <si>
    <t>CLUP Definition</t>
  </si>
  <si>
    <t>Class</t>
  </si>
  <si>
    <t>Subclass</t>
  </si>
  <si>
    <t>Definition</t>
  </si>
  <si>
    <t>Means of Verification</t>
  </si>
  <si>
    <t>The CLUP is still within its planning period, or is still within 10 years since its approval.</t>
  </si>
  <si>
    <t>For updating</t>
  </si>
  <si>
    <t>The CLUP is outdated and is due for updating. An existing outdated CLUP is still implementable.</t>
  </si>
  <si>
    <t>No CLUP</t>
  </si>
  <si>
    <t>The LGU has no CLUPs formulated.</t>
  </si>
  <si>
    <t>Preparation/Updating Status / TPAP Phase</t>
  </si>
  <si>
    <t>Preparatory phase (Pre-phase)</t>
  </si>
  <si>
    <t>LGU created MOA and TWG, and conducted TNA.</t>
  </si>
  <si>
    <t>Baseline Situation Report (MOA, TNA, Resolution on Creation of TWG)</t>
  </si>
  <si>
    <t>LGU conducted data generation and analysis pertinent to topics discussed using the Participatory Rapid Rural Appraisal (PRA) techniques.</t>
  </si>
  <si>
    <t>Ecosystem Analysis, Special Area Studies, CLUP Excel Matrices and Initial Thematic Maps</t>
  </si>
  <si>
    <t>LGU  conducted situational analysis linking ouputs in Phase 1 and CCA/DRR.</t>
  </si>
  <si>
    <t>CDRA Report, CDRA Maps and Completed Sectoral Studies</t>
  </si>
  <si>
    <t>LGU prepared their vision statements, defined their goals and objectives, and determined their development thrusts and spatial strategies.</t>
  </si>
  <si>
    <t>Vision, Goals and Objectives, Structure/Concept Plan</t>
  </si>
  <si>
    <t>LGU prepared Land Use Plan.</t>
  </si>
  <si>
    <t>Draft CLUP and Proposed Land Use Maps</t>
  </si>
  <si>
    <t>LGU demonstrated competencies in the preparation of a zoning ordinance, detailing the investment programs and projects including mitigation and adaptation measures.</t>
  </si>
  <si>
    <t>Draft Zoning Ordinance and Zoning Maps</t>
  </si>
  <si>
    <t>LGU demonstrated competecies in the preparation of an M&amp;E Action Plan for CLUP implementation and documentation of publicc hearings.</t>
  </si>
  <si>
    <t xml:space="preserve">RA 1 </t>
  </si>
  <si>
    <t>Transmitted by LGU to SP/OAGMP/DHSUD-RFO for endorsement to Reviewing body for review</t>
  </si>
  <si>
    <t>Receiving Copy of Transmittal Letter/Transmittal Letter</t>
  </si>
  <si>
    <t xml:space="preserve">RA 2 </t>
  </si>
  <si>
    <t>Under review by PLUC/RLUC/Joint MMDA&amp;DHSUD</t>
  </si>
  <si>
    <t>Letter Requesting for Comments/Meeting on Review of CLUP</t>
  </si>
  <si>
    <t xml:space="preserve">RA 3 </t>
  </si>
  <si>
    <t>Under revision by LGU to include recommendations of PLUC/RLUC/Joint MMDA&amp;DHSUD</t>
  </si>
  <si>
    <t>Review Comments</t>
  </si>
  <si>
    <t xml:space="preserve">RA 4 </t>
  </si>
  <si>
    <t>Returned to PLUC/RLUC/DHSUD for final review</t>
  </si>
  <si>
    <t>Revised CLUP</t>
  </si>
  <si>
    <t xml:space="preserve">RA 5 </t>
  </si>
  <si>
    <t>Endorsed to LGU by PLUC/RLUC/DHSUD for adoption of CLUP and enactment of ZO</t>
  </si>
  <si>
    <t>Endorsement Letter/Resolution Endorsing CLUP for Adoption and ZO for Enactment</t>
  </si>
  <si>
    <t xml:space="preserve">RA 6 </t>
  </si>
  <si>
    <t>Draft adopted and enacted by LGU/MMC</t>
  </si>
  <si>
    <t>Resolution Adopting and Enacting the CLUP and ZO</t>
  </si>
  <si>
    <t xml:space="preserve">RA 7 </t>
  </si>
  <si>
    <t>For SP/MMDA/DHSUD approval</t>
  </si>
  <si>
    <t>DHSUD/SP Resolution Approving/Ratifying CLUP</t>
  </si>
  <si>
    <t>Technical Assistance Provided</t>
  </si>
  <si>
    <t>Trained</t>
  </si>
  <si>
    <t>No assistance</t>
  </si>
  <si>
    <t>Support from Other Institutions</t>
  </si>
  <si>
    <t>Consultant</t>
  </si>
  <si>
    <t>National Government Agency</t>
  </si>
  <si>
    <t>Academe</t>
  </si>
  <si>
    <t>Donor Agency</t>
  </si>
  <si>
    <t>Others</t>
  </si>
  <si>
    <t>None</t>
  </si>
  <si>
    <t>PDPFP/PPFP Definition</t>
  </si>
  <si>
    <t>Approved and updated</t>
  </si>
  <si>
    <t>The PDPFP/PPFP is still within its planning period, or is still within 10 years since its approval.</t>
  </si>
  <si>
    <t>For approval</t>
  </si>
  <si>
    <t>The PDPFP/PPFP has been endorsed by the SP and awaiting approval from DHSUD</t>
  </si>
  <si>
    <t>The PDPFP/PPFP is outdated and is due for updating. An existing outdated CLUP is still implementable.</t>
  </si>
  <si>
    <t>No PDPFP/PPFP</t>
  </si>
  <si>
    <t>The LGU has no PDPFP/PPFP formulated.</t>
  </si>
  <si>
    <t>PDPFP/PPFP Version</t>
  </si>
  <si>
    <t>Number of times the PDPFP/PPFP has been revised</t>
  </si>
  <si>
    <t>PDPFP/PPFP  Document</t>
  </si>
  <si>
    <t>Date of Approval</t>
  </si>
  <si>
    <t>Date when the PDPFP/PPFP was approved by DHSUD</t>
  </si>
  <si>
    <t>Certificate of approval from DHSUD</t>
  </si>
  <si>
    <t>Date of Adoption</t>
  </si>
  <si>
    <t>Date when the PDPFP/PPFP was adopted by the SP</t>
  </si>
  <si>
    <t>SP Resolution</t>
  </si>
  <si>
    <t>DHSUD Resolution approving the PDPFP/PPFP</t>
  </si>
  <si>
    <t>DHSUD Resolution/ Department Order</t>
  </si>
  <si>
    <t>Definition of indicators on urban development projects for monitoring</t>
  </si>
  <si>
    <t>Reference/ Source</t>
  </si>
  <si>
    <t>A. New Town Project</t>
  </si>
  <si>
    <t>A town deliberately planned and built which provides, in addition to houses, employment, shopping, education, recreation, culture and other services normally associated with a city or town.</t>
  </si>
  <si>
    <t>Housing and Land Use Regulatory Board Model Zoning Ordinance 4th Edition series of 1996</t>
  </si>
  <si>
    <t xml:space="preserve">A project involving new settlements in relatively undeveloped sites by grouping homes, hospitals, industries, recreation, culture, and commercial establishment to form an entirely new, relatively autonomous communities.  These are special category of master planned cities built from scratch with their own characteristics and specificities. </t>
  </si>
  <si>
    <t>Draft Zoning Handbook</t>
  </si>
  <si>
    <t>A good size for a New Town site should be a minimum of 5,000 hectares.</t>
  </si>
  <si>
    <t>A1 - 4PH projects</t>
  </si>
  <si>
    <t>A project of the Department in partnership with its Key Shelter Agencies (KSAs), National Government Agencies (NGAs), Local Government Units (LGUs), and the private sector involving  the development and transformation of informal settlements and blighted areas into better residential developments with reasonable open spaces for outdoor activities including the development of low, medium to high-rise housing projects accessible to and from their places of employment/livelihood.</t>
  </si>
  <si>
    <t>DHSUD 4PH Operations Manual</t>
  </si>
  <si>
    <t>B. Urban Redevelopment Projects</t>
  </si>
  <si>
    <r>
      <rPr>
        <b/>
        <sz val="10"/>
        <color theme="1"/>
        <rFont val="Arial"/>
        <family val="2"/>
      </rPr>
      <t xml:space="preserve">Urban Renewal – </t>
    </r>
    <r>
      <rPr>
        <sz val="10"/>
        <color theme="1"/>
        <rFont val="Arial"/>
        <family val="2"/>
      </rPr>
      <t>regeneration, modernization, revitalization, of an old, deteriorated or blighted portion of a town or city, with the objective of preparing the town or city for present and future demands of urban living. Urban renewal is also implemented to address urban problems or upgrade existing conditions that are no longer compatible with modern times, provided old buildings are adaptively reused.</t>
    </r>
  </si>
  <si>
    <t>CLUP Guidebook Vol 3. MZO. 2014</t>
  </si>
  <si>
    <t>B1 - 4PH projects</t>
  </si>
  <si>
    <t>A project of the Department in partnership with its Key Shelter Agencies (KSAs), National Government Agencies (NGAs), Local Government Units (LGUs), and the private sector involving  the development and transformation of informal settlements and blighted areas into better residential developments with reasonable open spaces for outdoor activities. The 4PH Program shall promote onsite or near-site in-city housing or resettlement through the development of low, medium to high-rise housing projects accessible to and from their places of employment/livelihood.</t>
  </si>
  <si>
    <t>B2 - Waterfront Development</t>
  </si>
  <si>
    <t>A project involving waterfront development for public use and shared by the locals and visitors. Urban waterfront developments connects the compatible land uses and activities will help activate and create unique experiences to the observer. Allowable occupancies or uses may include port operations, industries, parks and recreation, assemblies, commerce and trade, residences, and civic uses (e.g. esplanade, promenade, boulevard, parks, water-edge walkways, etc.).</t>
  </si>
  <si>
    <t>B3 - Sustainable Urban Drainage System (SUDS) Project</t>
  </si>
  <si>
    <t>A project involving a low impact system intended to drain surface water run-off through a series of collection, storage and cleaning stages before it is released back into the environments (e.g. stormwater management, detention and infiltration structures, bioretention, water efficient landscaping, etc.)</t>
  </si>
  <si>
    <t>B4 - Water Sensitive Urban Design (WSUD) Project</t>
  </si>
  <si>
    <t>A project involving water sensitive urban design as a component of nature-based solutions that use the natural environment (e.g., soil, water, plants) to respond to diverse environmental, economic, social, and climate challenges. Water sensitive urban design involves the integration of water cycle management with the built environment through urban planning and design. The WSUD integrates stormwater, groundwater water supply and wastewater management to maintain natural hydrologic behavior of catchments, protect the quality of surface and ground water, minimize demand on the potable water supply system, and minimize wastewater discharges to the natural environment.</t>
  </si>
  <si>
    <t>C. Transport and Mobility</t>
  </si>
  <si>
    <t>C1 - Major Transport Road, Rail, terminal, Air transport, Water transport</t>
  </si>
  <si>
    <t>A project involving transport and mobility identified in the Public Investment Program (PIP) and Regional Development Investment Program (RDIP) including projects such as but not limited to major internal and external linkages and similar infrastructure that aims to improve and provide equitable access to basic social services, facilities, and economic opportunities, and stimulate the desired physical growth and development of the LGU.</t>
  </si>
  <si>
    <t>CLUP Guidebook Vol 1. MZO. 2014</t>
  </si>
  <si>
    <t>C2.1 Pedestrianization Project</t>
  </si>
  <si>
    <t>A project involving better pedestrian access to commercial and residential areas and transit stops through compact development, mixed-use, traffic calming and pedestrian and transit orientation. Safe, convenient opportunities for walking and biking to school or work are emphasized over car-dependent development including - a) enhancement and maintenance of streetscapes; b) provision of street trees; c) optimization of street lighting; d) maximizing Pavement Life Cyle; and e) Heat Island Reduction.</t>
  </si>
  <si>
    <t xml:space="preserve">C3 - Transit-Oriented Development </t>
  </si>
  <si>
    <t xml:space="preserve">A project involving the development of areas around transit centers/stations in a city/municipality where commercial and residential growth are encouraged in order to maximize access to public transit. TOD can be defined as a development within 1 kilometer from a transit station that provides sufficient densities, mix of activities, and pedestrian links to support significant transit ridership. </t>
  </si>
  <si>
    <t>CLUP Guidebook Vol 3. MZO. 2014 and Transit-Oriented Development 
(TOD) Policy Framework of DHSUD</t>
  </si>
  <si>
    <t>D. Green Spaces Project</t>
  </si>
  <si>
    <t>D1 - Parks and Recreation Project</t>
  </si>
  <si>
    <t>A project involving area in a city/municipality designed for recreation and for the maintenance of ecological balance.</t>
  </si>
  <si>
    <t>D3 - Public Space and Green Areas</t>
  </si>
  <si>
    <t>A project involving the increase of quality and quantity of right-of-way public spaces, green spaces, street furniture, and parks within or adjacent to the public right-of-way. Where adequate space exists, encourage economic, cultural, and recreational activities to enhance streetscape vitality (New York City Department of Design and Construction, 2005).</t>
  </si>
  <si>
    <t>E. Smart Project</t>
  </si>
  <si>
    <r>
      <t xml:space="preserve">A smart city project involves the use of information and communications technology to enhance liveability, workability, and Sustainability. It includes project such as but not limited:
</t>
    </r>
    <r>
      <rPr>
        <b/>
        <sz val="10"/>
        <color theme="1"/>
        <rFont val="Arial"/>
        <family val="2"/>
      </rPr>
      <t>a. New Smart Township and Infrastructure</t>
    </r>
    <r>
      <rPr>
        <sz val="10"/>
        <color theme="1"/>
        <rFont val="Arial"/>
        <family val="2"/>
      </rPr>
      <t xml:space="preserve"> - focus is given on these large-scale and upcoming projects that are envisaged to be model smart cities in the Philippines (green infrastructure, green building, intelligent transport and mobility, smart grid, centralized control, etc.)
</t>
    </r>
    <r>
      <rPr>
        <b/>
        <sz val="10"/>
        <color theme="1"/>
        <rFont val="Arial"/>
        <family val="2"/>
      </rPr>
      <t>b. City-level Smart Projects</t>
    </r>
    <r>
      <rPr>
        <sz val="10"/>
        <color theme="1"/>
        <rFont val="Arial"/>
        <family val="2"/>
      </rPr>
      <t xml:space="preserve"> - emphasis on transformative urban digital projects (e.g. automated traffic control system, smart transport cards,city-wide command and control center, data management, broadband and 4G networks, E-transport platforms, smart groundwater monitoring station, etc.)
</t>
    </r>
    <r>
      <rPr>
        <b/>
        <sz val="10"/>
        <color theme="1"/>
        <rFont val="Arial"/>
        <family val="2"/>
      </rPr>
      <t xml:space="preserve">c. Emerging Smart Technology </t>
    </r>
    <r>
      <rPr>
        <sz val="10"/>
        <color theme="1"/>
        <rFont val="Arial"/>
        <family val="2"/>
      </rPr>
      <t>- smart initiatives are emerging specific to various development sectors and are sought to be deployed nationwide (e.g. smart energy management systems, smart retailing systems, agriculture monitoring systems, weather monitoring systems, digital payment collection system)</t>
    </r>
  </si>
  <si>
    <t>SMART CITY HANDBOOK THE PHILIPPINES: How technology and data 
are shaping the future of Philippine Cities. ARUP. Published July 2021 by British Embassy Manila: https://ukabc.org.uk/publication/handbook-philippines-smart-city/</t>
  </si>
  <si>
    <t>F. Cultural Heritage Projects</t>
  </si>
  <si>
    <t>A project involving historical, anthropological, archaeological and artistic geographical areas and settings that are culturally significant to the country, as declared by the National Museum and/or National Historical Commission of the Philippines, pursuant to Republic Act No. 10066 or the National Cultural Heritage Act.</t>
  </si>
  <si>
    <t>Section 3(q) of Republic Act No. 10066 “National Cultural Heritage Act of 2009”</t>
  </si>
  <si>
    <t>A project involving cultural heritage –shall refer to the totality of cultural property preserved and developed through time and passed on to posterity.</t>
  </si>
  <si>
    <t>A project involving Historic Center – 1) historic zone, district, core, precinct, town, legacy zone, heritage area, zone or town; 2) a designated area with historical and other special significance, consisting of buildings or group of buildings and their environs that collectively contribute to the area’s importance and character; 3) a place where a significant event in history occurred; 4) any town, district, or ancient settlement site with specific history and/or cultural significance. Historic centers are sometimes called living museums, outdoor museums, or museum preserves. Whether inhabited or un-inhabited, historic centers are preservation areas. (Heritage Act)</t>
  </si>
  <si>
    <t>G. Planned Unit Development (PUD)</t>
  </si>
  <si>
    <t>H1 - Planned Unit Development (PUD)</t>
  </si>
  <si>
    <t>A project involving PUD or a land development scheme wherein the project site is comprehensively planned as an entity via unitary site plan which permits flexibility in planning/design, building siting, complementarity of building types and land uses, usable open spaces and the preservation of significant natural land features.</t>
  </si>
  <si>
    <t>H2 - Planned City Extension (PCE)</t>
  </si>
  <si>
    <t xml:space="preserve">A project involving a well-planned supply of serviced buildable plots to accommodate population growth and economic developoment without the loss of affordability or the creation of informal settlements. A good size for a PCE site should be a minimum of 500 hectares based on the experience of ASUD pilot cities  in the Philippines. </t>
  </si>
  <si>
    <t>Planning City Extensions (PCE) for Sustainable Urban Development. UNH. 2016 Edition</t>
  </si>
  <si>
    <t>I. Other Urban Development Project</t>
  </si>
  <si>
    <t>O1 - Resilient Housing Projects</t>
  </si>
  <si>
    <t>“Resilient Housing” refers to housing that is equipped with an adequate capacity to resist, absorb and accommodate the effects of climate change and hazards and to return to normal conditions in a timely and effective manner without significant changes to its basic functions and structures.</t>
  </si>
  <si>
    <t xml:space="preserve"> Implementing Rules and Regulations of the 
DHSUD Act 2019 (IRR RA 11201)</t>
  </si>
  <si>
    <t>O1.1 - Socialized Housing Projects</t>
  </si>
  <si>
    <t>Housing programs and projects undertaken by the Government or by the private sector for the underprivileged and homeless citizens, following the standards of BP220 and other relevant laws, and price ceilings as determined by HUDCC and NEDA. This shall include sites and services development, basic services and community facilities, settlements upgrading, vertical housing development, long-term financing, liberalized terms on interest payments, and such other benefits in accordance with law.</t>
  </si>
  <si>
    <t>Proposed: Glossary of Housing Terminologies, Volume 1. National Housing and Urban Development Summit. December 2015</t>
  </si>
  <si>
    <t>Residential subdivision projects, and multi-level and medium rise housing projects, and condominium projects sold at the prevailing price ceiling for socialized housing undertaken by the Government or the private sector for the underprivileged and homeless citizens which shall comply with the standards under Batas Pambansa Blg. 220 and the prevailing price ceiling for socialized housing.</t>
  </si>
  <si>
    <t>Section 2(2.15) of the Housing and Land Use Regulatory Board Resolution No. 890 series of 2012</t>
  </si>
  <si>
    <t>Housing [programs and] projects covering houses and lots or home lots only undertaken by the Government or the private sector for the underprivileged and homeless citizens (UDHA).</t>
  </si>
  <si>
    <t>Residential subdivision projects and condominium projects undertaken by the government or the private sector which are sold at or below the prevailing price ceiling for socialized housing and compliant with the standards provided under BP 220 and its implementing rules and regulations.</t>
  </si>
  <si>
    <t>O1.2 - Resettlement Program/ Project</t>
  </si>
  <si>
    <t>The rehabilitation and development of blighted and slum areas and the resettlement of Program beneficiaries in accordance with the provisions of Republic Act No. 7279, otherwise known as “Urban Development and Housing Act of 1992”. On-site development shall be implemented whenever possible in order to ensure minimum resettlement of the beneficiaries of the Program from their existing places of occupancy shall be undertaken only when on-site development is not feasible and after compliance with the procedures laid down in Section 28 of Republic Act No. 7279.</t>
  </si>
  <si>
    <t>Section 26 of Republic Act No. 7279 “Urban Development and Housing Act of 1992”</t>
  </si>
  <si>
    <t>O1.2.1 - In-City Resettlement</t>
  </si>
  <si>
    <t>A project involving a relocation site within the jurisdiction of the local government unit where the informal settler families are living. This include On-site Developments involving the upgrading and rehabilitation of blighted slum urban areas with a view of minimizing displacement of dwellers in said areas, and with provisions for basic services as provided for in Section 21 of Republic Act No. 7279.</t>
  </si>
  <si>
    <t>O1.2.2 - Near-City Resettlement</t>
  </si>
  <si>
    <t>A project involving a relocation site within the jurisdiction of a local government unit adjacent to the local government unit having jurisdiction over the present settlements of the informal settler families.</t>
  </si>
  <si>
    <t>O1.2.3 - Off-City Resettlement</t>
  </si>
  <si>
    <t>A project involving a relocation site developed outside and not adjacent to the local government unit where the affected informal settler families have their settlements.</t>
  </si>
  <si>
    <t>O1.3 - 4PH projects</t>
  </si>
  <si>
    <t>O2 - Other Urban Development Projects not listed above</t>
  </si>
  <si>
    <t>Other Urban Development Projects where the Regional Offices provided support to its proponents such as the LGUs, NGAs, and other stakeholders. (Provide a details of the Urban Development Project)</t>
  </si>
  <si>
    <t>Indicators on urban development projects</t>
  </si>
  <si>
    <t>Months</t>
  </si>
  <si>
    <t>Late Reporting (previous year/s)</t>
  </si>
  <si>
    <t>Assistance through the provision of orientations/briefings</t>
  </si>
  <si>
    <t>Assistance through provision of inputs and recommendations for draft policies, guidelines, plans, framework, and other policy documents of DHSUD and other concerned agencies/institutions.</t>
  </si>
  <si>
    <t>Others (to specify in the remarks)</t>
  </si>
  <si>
    <t>TA- Planned or Requested</t>
  </si>
  <si>
    <t>TPAP Phases</t>
  </si>
  <si>
    <t>None Indicated</t>
  </si>
  <si>
    <t>LGU/NGA/NGO/Academe</t>
  </si>
  <si>
    <t>NGA</t>
  </si>
  <si>
    <t>NGO</t>
  </si>
  <si>
    <t>CSO</t>
  </si>
  <si>
    <t>Checklist</t>
  </si>
  <si>
    <t>Final Approval / Ratification</t>
  </si>
  <si>
    <t>Non-compliant</t>
  </si>
  <si>
    <t>Type - Inventory</t>
  </si>
  <si>
    <t>GOCC</t>
  </si>
  <si>
    <t>KSA</t>
  </si>
  <si>
    <t>Focus Areas (PLANADO)</t>
  </si>
  <si>
    <t>Zero Backlog</t>
  </si>
  <si>
    <t>Urban Development Projects</t>
  </si>
  <si>
    <t>Urban Development Projects - New Town Developments/PCE</t>
  </si>
  <si>
    <t>Urban Development Projects - Urban Design/Green and Open Spaces</t>
  </si>
  <si>
    <t>AutoCAM</t>
  </si>
  <si>
    <t>UNDP SHIELD-PDPFP Guidelines Updating</t>
  </si>
  <si>
    <t>Plansmart for Sustainable Human Settlements</t>
  </si>
  <si>
    <t>Land Identification (EO34)</t>
  </si>
  <si>
    <t>Others (Please specify in the remarks)</t>
  </si>
  <si>
    <t>Expenditure Items</t>
  </si>
  <si>
    <t>Travelling Expenses</t>
  </si>
  <si>
    <t>Training and Scholarship</t>
  </si>
  <si>
    <t>Supplies and Materials</t>
  </si>
  <si>
    <t>Semi-expendable Equipment</t>
  </si>
  <si>
    <t>Other Professional Services</t>
  </si>
  <si>
    <t>Representation</t>
  </si>
  <si>
    <t>Rent/Lease Expenses</t>
  </si>
  <si>
    <t>Other Maintenance and Operating Expenses</t>
  </si>
  <si>
    <t>Certification</t>
  </si>
  <si>
    <t>Zoning - DAR (Simple)</t>
  </si>
  <si>
    <t>Zoning - DAR (Complex)</t>
  </si>
  <si>
    <t>Reclass Indorsement</t>
  </si>
  <si>
    <t>Locational Clearance</t>
  </si>
  <si>
    <t>Locational Clearance - National Significance</t>
  </si>
  <si>
    <t>UDD Training/ TA Types</t>
  </si>
  <si>
    <t>Training</t>
  </si>
  <si>
    <t>UD Plan Review/Assessment/Formulated</t>
  </si>
  <si>
    <t>Facilitated (MOU/MOA)</t>
  </si>
  <si>
    <t>Plan Review/Assessment</t>
  </si>
  <si>
    <t>Plan Formulated</t>
  </si>
  <si>
    <t>Types of Partnerships</t>
  </si>
  <si>
    <t>Multi-stakeholder</t>
  </si>
  <si>
    <t>Others (please specify in the remarks)</t>
  </si>
  <si>
    <t>psgc</t>
  </si>
  <si>
    <t>psgc2</t>
  </si>
  <si>
    <t>cit_mun</t>
  </si>
  <si>
    <t>prov</t>
  </si>
  <si>
    <t>region</t>
  </si>
  <si>
    <t>h_sett</t>
  </si>
  <si>
    <t>cm_class</t>
  </si>
  <si>
    <t>inc_class</t>
  </si>
  <si>
    <t>PH012801000</t>
  </si>
  <si>
    <t>Local Center</t>
  </si>
  <si>
    <t>M</t>
  </si>
  <si>
    <t>PH012802000</t>
  </si>
  <si>
    <t>PH012803000</t>
  </si>
  <si>
    <t>PH012804000</t>
  </si>
  <si>
    <t>Provincial Center</t>
  </si>
  <si>
    <t>PH012805000</t>
  </si>
  <si>
    <t xml:space="preserve">City of Batac </t>
  </si>
  <si>
    <t>PH012806000</t>
  </si>
  <si>
    <t>PH012807000</t>
  </si>
  <si>
    <t>PH012808000</t>
  </si>
  <si>
    <t>PH012809000</t>
  </si>
  <si>
    <t>PH012810000</t>
  </si>
  <si>
    <t>local Center</t>
  </si>
  <si>
    <t>PH012811000</t>
  </si>
  <si>
    <t>Banna (Espiritu)</t>
  </si>
  <si>
    <t>PH012812000</t>
  </si>
  <si>
    <t>Laoag City (Capital)</t>
  </si>
  <si>
    <t>Regional Center</t>
  </si>
  <si>
    <t>PH012813000</t>
  </si>
  <si>
    <t>PH012814000</t>
  </si>
  <si>
    <t>PH012815000</t>
  </si>
  <si>
    <t>PH012816000</t>
  </si>
  <si>
    <t>PH012817000</t>
  </si>
  <si>
    <t>PH012818000</t>
  </si>
  <si>
    <t>PH012819000</t>
  </si>
  <si>
    <t>PH012820000</t>
  </si>
  <si>
    <t>PH012821000</t>
  </si>
  <si>
    <t>PH012822000</t>
  </si>
  <si>
    <t>PH012823000</t>
  </si>
  <si>
    <t>PH012901000</t>
  </si>
  <si>
    <t>PH012902000</t>
  </si>
  <si>
    <t>PH012903000</t>
  </si>
  <si>
    <t>PH012904000</t>
  </si>
  <si>
    <t>PH012905000</t>
  </si>
  <si>
    <t>PH012906000</t>
  </si>
  <si>
    <t>PH012907000</t>
  </si>
  <si>
    <t>PH012908000</t>
  </si>
  <si>
    <t>PH012909000</t>
  </si>
  <si>
    <t>PH012910000</t>
  </si>
  <si>
    <t>Gregorio del Pilar (Concepcion)</t>
  </si>
  <si>
    <t>PH012911000</t>
  </si>
  <si>
    <t>PH012912000</t>
  </si>
  <si>
    <t>PH012913000</t>
  </si>
  <si>
    <t>PH012914000</t>
  </si>
  <si>
    <t>PH012915000</t>
  </si>
  <si>
    <t>Quirino (Angkaki)</t>
  </si>
  <si>
    <t>PH012916000</t>
  </si>
  <si>
    <t>Salcedo (Baugen)</t>
  </si>
  <si>
    <t>PH012917000</t>
  </si>
  <si>
    <t>PH012918000</t>
  </si>
  <si>
    <t>PH012919000</t>
  </si>
  <si>
    <t>Sub-Regional Center</t>
  </si>
  <si>
    <t>PH012920000</t>
  </si>
  <si>
    <t>San Juan (Lapog)</t>
  </si>
  <si>
    <t>PH012921000</t>
  </si>
  <si>
    <t>PH012922000</t>
  </si>
  <si>
    <t xml:space="preserve">Santa  </t>
  </si>
  <si>
    <t>PH012923000</t>
  </si>
  <si>
    <t>PH012924000</t>
  </si>
  <si>
    <t>PH012925000</t>
  </si>
  <si>
    <t>PH012926000</t>
  </si>
  <si>
    <t xml:space="preserve">Santa Maria </t>
  </si>
  <si>
    <t>PH012927000</t>
  </si>
  <si>
    <t>PH012928000</t>
  </si>
  <si>
    <t>PH012929000</t>
  </si>
  <si>
    <t>PH012930000</t>
  </si>
  <si>
    <t>PH012931000</t>
  </si>
  <si>
    <t>PH012932000</t>
  </si>
  <si>
    <t>PH012933000</t>
  </si>
  <si>
    <t>PH012934000</t>
  </si>
  <si>
    <t>Vigan City (Capital)</t>
  </si>
  <si>
    <t>PH013301000</t>
  </si>
  <si>
    <t>PH013302000</t>
  </si>
  <si>
    <t>PH013303000</t>
  </si>
  <si>
    <t>PH013304000</t>
  </si>
  <si>
    <t>PH013305000</t>
  </si>
  <si>
    <t>PH013306000</t>
  </si>
  <si>
    <t>PH013307000</t>
  </si>
  <si>
    <t>PH013308000</t>
  </si>
  <si>
    <t>PH013309000</t>
  </si>
  <si>
    <t>PH013310000</t>
  </si>
  <si>
    <t>PH013311000</t>
  </si>
  <si>
    <t>PH013312000</t>
  </si>
  <si>
    <t>PH013313000</t>
  </si>
  <si>
    <t>PH013314000</t>
  </si>
  <si>
    <t>City of San Fernando (Capital)</t>
  </si>
  <si>
    <t>PH013315000</t>
  </si>
  <si>
    <t>PH013316000</t>
  </si>
  <si>
    <t>PH013317000</t>
  </si>
  <si>
    <t>PH013318000</t>
  </si>
  <si>
    <t>PH013319000</t>
  </si>
  <si>
    <t>PH013320000</t>
  </si>
  <si>
    <t>PH015501000</t>
  </si>
  <si>
    <t>PH015502000</t>
  </si>
  <si>
    <t>PH015503000</t>
  </si>
  <si>
    <t>PH015504000</t>
  </si>
  <si>
    <t>PH015505000</t>
  </si>
  <si>
    <t>PH015506000</t>
  </si>
  <si>
    <t>PH015507000</t>
  </si>
  <si>
    <t>PH015508000</t>
  </si>
  <si>
    <t>PH015509000</t>
  </si>
  <si>
    <t>PH015510000</t>
  </si>
  <si>
    <t>PH015511000</t>
  </si>
  <si>
    <t>PH015512000</t>
  </si>
  <si>
    <t>PH015513000</t>
  </si>
  <si>
    <t>PH015514000</t>
  </si>
  <si>
    <t>PH015515000</t>
  </si>
  <si>
    <t>PH015516000</t>
  </si>
  <si>
    <t>PH015517000</t>
  </si>
  <si>
    <t>PH015518000</t>
  </si>
  <si>
    <t>Dagupan City</t>
  </si>
  <si>
    <t>PH015519000</t>
  </si>
  <si>
    <t>PH015520000</t>
  </si>
  <si>
    <t>PH015521000</t>
  </si>
  <si>
    <t>PH015522000</t>
  </si>
  <si>
    <t>Lingayen (Capital)</t>
  </si>
  <si>
    <t>PH015523000</t>
  </si>
  <si>
    <t>PH015524000</t>
  </si>
  <si>
    <t>PH015525000</t>
  </si>
  <si>
    <t>PH015526000</t>
  </si>
  <si>
    <t>PH015527000</t>
  </si>
  <si>
    <t>PH015528000</t>
  </si>
  <si>
    <t>PH015529000</t>
  </si>
  <si>
    <t>PH015530000</t>
  </si>
  <si>
    <t>PH015531000</t>
  </si>
  <si>
    <t>PH015532000</t>
  </si>
  <si>
    <t>San Carlos City</t>
  </si>
  <si>
    <t>PH015533000</t>
  </si>
  <si>
    <t>PH015534000</t>
  </si>
  <si>
    <t xml:space="preserve">San Jacinto </t>
  </si>
  <si>
    <t>PH015535000</t>
  </si>
  <si>
    <t>PH015536000</t>
  </si>
  <si>
    <t>PH015537000</t>
  </si>
  <si>
    <t>PH015538000</t>
  </si>
  <si>
    <t>PH015539000</t>
  </si>
  <si>
    <t>PH015540000</t>
  </si>
  <si>
    <t>PH015541000</t>
  </si>
  <si>
    <t>PH015542000</t>
  </si>
  <si>
    <t>PH015543000</t>
  </si>
  <si>
    <t>PH015544000</t>
  </si>
  <si>
    <t>PH015545000</t>
  </si>
  <si>
    <t>PH015546000</t>
  </si>
  <si>
    <t>PH015547000</t>
  </si>
  <si>
    <t>PH015548000</t>
  </si>
  <si>
    <t>PH020901000</t>
  </si>
  <si>
    <t>Basco (Capital)</t>
  </si>
  <si>
    <t>PH020902000</t>
  </si>
  <si>
    <t>PH020903000</t>
  </si>
  <si>
    <t>PH020904000</t>
  </si>
  <si>
    <t>PH020905000</t>
  </si>
  <si>
    <t>PH020906000</t>
  </si>
  <si>
    <t>PH021501000</t>
  </si>
  <si>
    <t>PH021502000</t>
  </si>
  <si>
    <t>PH021503000</t>
  </si>
  <si>
    <t>PH021504000</t>
  </si>
  <si>
    <t>PH021505000</t>
  </si>
  <si>
    <t>PH021506000</t>
  </si>
  <si>
    <t>PH021507000</t>
  </si>
  <si>
    <t>PH021508000</t>
  </si>
  <si>
    <t>PH021509000</t>
  </si>
  <si>
    <t>PH021510000</t>
  </si>
  <si>
    <t>PH021511000</t>
  </si>
  <si>
    <t>PH021512000</t>
  </si>
  <si>
    <t>PH021513000</t>
  </si>
  <si>
    <t>PH021514000</t>
  </si>
  <si>
    <t>PH021515000</t>
  </si>
  <si>
    <t>PH021516000</t>
  </si>
  <si>
    <t>Lal-lo</t>
  </si>
  <si>
    <t>PH021517000</t>
  </si>
  <si>
    <t>PH021518000</t>
  </si>
  <si>
    <t>PH021519000</t>
  </si>
  <si>
    <t>Peña Blanca</t>
  </si>
  <si>
    <t>PH021520000</t>
  </si>
  <si>
    <t>PH021521000</t>
  </si>
  <si>
    <t xml:space="preserve">Rizal  </t>
  </si>
  <si>
    <t>PH021522000</t>
  </si>
  <si>
    <t>PH021523000</t>
  </si>
  <si>
    <t>PH021524000</t>
  </si>
  <si>
    <t>PH021525000</t>
  </si>
  <si>
    <t>PH021526000</t>
  </si>
  <si>
    <t>Santo Niño (Faire)</t>
  </si>
  <si>
    <t>PH021527000</t>
  </si>
  <si>
    <t>PH021528000</t>
  </si>
  <si>
    <t>PH021529000</t>
  </si>
  <si>
    <t>Tuguegarao City (Capital)</t>
  </si>
  <si>
    <t>PH023101000</t>
  </si>
  <si>
    <t>PH023102000</t>
  </si>
  <si>
    <t>PH023103000</t>
  </si>
  <si>
    <t>PH023104000</t>
  </si>
  <si>
    <t>PH023105000</t>
  </si>
  <si>
    <t>PH023106000</t>
  </si>
  <si>
    <t>PH023107000</t>
  </si>
  <si>
    <t>PH023108000</t>
  </si>
  <si>
    <t>PH023109000</t>
  </si>
  <si>
    <t>PH023110000</t>
  </si>
  <si>
    <t>PH023111000</t>
  </si>
  <si>
    <t>PH023112000</t>
  </si>
  <si>
    <t>PH023113000</t>
  </si>
  <si>
    <t>PH023114000</t>
  </si>
  <si>
    <t>Ilagan City (Capital)</t>
  </si>
  <si>
    <t>PH023115000</t>
  </si>
  <si>
    <t>PH023116000</t>
  </si>
  <si>
    <t>PH023117000</t>
  </si>
  <si>
    <t>PH023118000</t>
  </si>
  <si>
    <t>Delfin Albano (Magsaysay)</t>
  </si>
  <si>
    <t>PH023119000</t>
  </si>
  <si>
    <t>PH023120000</t>
  </si>
  <si>
    <t>PH023121000</t>
  </si>
  <si>
    <t>PH023122000</t>
  </si>
  <si>
    <t>PH023123000</t>
  </si>
  <si>
    <t xml:space="preserve">Quirino  </t>
  </si>
  <si>
    <t>PH023124000</t>
  </si>
  <si>
    <t>PH023125000</t>
  </si>
  <si>
    <t>PH023126000</t>
  </si>
  <si>
    <t>PH023127000</t>
  </si>
  <si>
    <t>PH023128000</t>
  </si>
  <si>
    <t>PH023129000</t>
  </si>
  <si>
    <t>PH023130000</t>
  </si>
  <si>
    <t>PH023131000</t>
  </si>
  <si>
    <t>PH023132000</t>
  </si>
  <si>
    <t>PH023133000</t>
  </si>
  <si>
    <t>PH023134000</t>
  </si>
  <si>
    <t>PH023135000</t>
  </si>
  <si>
    <t>PH023136000</t>
  </si>
  <si>
    <t>PH023137000</t>
  </si>
  <si>
    <t>PH025001000</t>
  </si>
  <si>
    <t>PH025002000</t>
  </si>
  <si>
    <t>PH025003000</t>
  </si>
  <si>
    <t>PH025004000</t>
  </si>
  <si>
    <t>PH025005000</t>
  </si>
  <si>
    <t>Bayombong (Capital)</t>
  </si>
  <si>
    <t>PH025006000</t>
  </si>
  <si>
    <t>PH025007000</t>
  </si>
  <si>
    <t>PH025008000</t>
  </si>
  <si>
    <t>PH025009000</t>
  </si>
  <si>
    <t>PH025010000</t>
  </si>
  <si>
    <t>PH025011000</t>
  </si>
  <si>
    <t>PH025012000</t>
  </si>
  <si>
    <t>PH025013000</t>
  </si>
  <si>
    <t>PH025014000</t>
  </si>
  <si>
    <t>PH025015000</t>
  </si>
  <si>
    <t>Alfonso Castañeda</t>
  </si>
  <si>
    <t>PH025701000</t>
  </si>
  <si>
    <t>PH025702000</t>
  </si>
  <si>
    <t>Cabarroguis (Capital)</t>
  </si>
  <si>
    <t>PH025703000</t>
  </si>
  <si>
    <t>PH025704000</t>
  </si>
  <si>
    <t>PH025705000</t>
  </si>
  <si>
    <t>PH025706000</t>
  </si>
  <si>
    <t>PH030801000</t>
  </si>
  <si>
    <t>PH030802000</t>
  </si>
  <si>
    <t>PH030803000</t>
  </si>
  <si>
    <t>City of Balanga (Capital)</t>
  </si>
  <si>
    <t>PH030804000</t>
  </si>
  <si>
    <t>PH030805000</t>
  </si>
  <si>
    <t>PH030806000</t>
  </si>
  <si>
    <t>PH030807000</t>
  </si>
  <si>
    <t>PH030808000</t>
  </si>
  <si>
    <t>PH030809000</t>
  </si>
  <si>
    <t>PH030810000</t>
  </si>
  <si>
    <t>PH030811000</t>
  </si>
  <si>
    <t>PH030812000</t>
  </si>
  <si>
    <t>PH031401000</t>
  </si>
  <si>
    <t>PH031402000</t>
  </si>
  <si>
    <t>Balagtas (Bigaa)</t>
  </si>
  <si>
    <t>PH031403000</t>
  </si>
  <si>
    <t>PH031404000</t>
  </si>
  <si>
    <t>PH031405000</t>
  </si>
  <si>
    <t>Bulakan</t>
  </si>
  <si>
    <t>PH031406000</t>
  </si>
  <si>
    <t>PH031407000</t>
  </si>
  <si>
    <t>PH031408000</t>
  </si>
  <si>
    <t>PH031409000</t>
  </si>
  <si>
    <t>PH031410000</t>
  </si>
  <si>
    <t>City of Malolos (Capital)</t>
  </si>
  <si>
    <t>PH031411000</t>
  </si>
  <si>
    <t>PH031412000</t>
  </si>
  <si>
    <t>PH031413000</t>
  </si>
  <si>
    <t>PH031414000</t>
  </si>
  <si>
    <t>PH031415000</t>
  </si>
  <si>
    <t>PH031416000</t>
  </si>
  <si>
    <t>PH031417000</t>
  </si>
  <si>
    <t>PH031418000</t>
  </si>
  <si>
    <t>PH031419000</t>
  </si>
  <si>
    <t>PH031420000</t>
  </si>
  <si>
    <t>PH031421000</t>
  </si>
  <si>
    <t>PH031422000</t>
  </si>
  <si>
    <t>PH031423000</t>
  </si>
  <si>
    <t>PH031424000</t>
  </si>
  <si>
    <t>PH034901000</t>
  </si>
  <si>
    <t>PH034902000</t>
  </si>
  <si>
    <t>PH034903000</t>
  </si>
  <si>
    <t>Cabanatuan City</t>
  </si>
  <si>
    <t>PH034904000</t>
  </si>
  <si>
    <t>PH034905000</t>
  </si>
  <si>
    <t>PH034906000</t>
  </si>
  <si>
    <t>PH034907000</t>
  </si>
  <si>
    <t>Gabaldon (Bitulok &amp; Sabani)</t>
  </si>
  <si>
    <t>PH034908000</t>
  </si>
  <si>
    <t>PH034909000</t>
  </si>
  <si>
    <t>PH034910000</t>
  </si>
  <si>
    <t>General Tinio (Papaya)</t>
  </si>
  <si>
    <t>PH034911000</t>
  </si>
  <si>
    <t>PH034912000</t>
  </si>
  <si>
    <t>PH034913000</t>
  </si>
  <si>
    <t>PH034914000</t>
  </si>
  <si>
    <t>PH034915000</t>
  </si>
  <si>
    <t>PH034916000</t>
  </si>
  <si>
    <t>PH034917000</t>
  </si>
  <si>
    <t>PH034918000</t>
  </si>
  <si>
    <t>PH034919000</t>
  </si>
  <si>
    <t xml:space="preserve">Palayan City (Capital) </t>
  </si>
  <si>
    <t>PH034920000</t>
  </si>
  <si>
    <t>PH034921000</t>
  </si>
  <si>
    <t>PH034922000</t>
  </si>
  <si>
    <t>PH034923000</t>
  </si>
  <si>
    <t>PH034924000</t>
  </si>
  <si>
    <t>PH034925000</t>
  </si>
  <si>
    <t>PH034926000</t>
  </si>
  <si>
    <t>PH034927000</t>
  </si>
  <si>
    <t>PH034928000</t>
  </si>
  <si>
    <t>PH034929000</t>
  </si>
  <si>
    <t>PH034930000</t>
  </si>
  <si>
    <t>PH034931000</t>
  </si>
  <si>
    <t>PH034932000</t>
  </si>
  <si>
    <t>PH035401000</t>
  </si>
  <si>
    <t>Angeles City</t>
  </si>
  <si>
    <t>PH035402000</t>
  </si>
  <si>
    <t>PH035403000</t>
  </si>
  <si>
    <t>PH035404000</t>
  </si>
  <si>
    <t>PH035405000</t>
  </si>
  <si>
    <t>PH035406000</t>
  </si>
  <si>
    <t>PH035407000</t>
  </si>
  <si>
    <t>PH035408000</t>
  </si>
  <si>
    <t>PH035409000</t>
  </si>
  <si>
    <t>PH035410000</t>
  </si>
  <si>
    <t>PH035411000</t>
  </si>
  <si>
    <t>PH035412000</t>
  </si>
  <si>
    <t>PH035413000</t>
  </si>
  <si>
    <t>PH035414000</t>
  </si>
  <si>
    <t>PH035415000</t>
  </si>
  <si>
    <t>PH035416000</t>
  </si>
  <si>
    <t>PH035417000</t>
  </si>
  <si>
    <t>PH035418000</t>
  </si>
  <si>
    <t>PH035419000</t>
  </si>
  <si>
    <t>PH035420000</t>
  </si>
  <si>
    <t>PH035421000</t>
  </si>
  <si>
    <t>PH035422000</t>
  </si>
  <si>
    <t>Sasmuan (Sexmoan)</t>
  </si>
  <si>
    <t>PH036901000</t>
  </si>
  <si>
    <t xml:space="preserve">Tarlac </t>
  </si>
  <si>
    <t>PH036902000</t>
  </si>
  <si>
    <t xml:space="preserve">Bamban </t>
  </si>
  <si>
    <t>PH036903000</t>
  </si>
  <si>
    <t>PH036904000</t>
  </si>
  <si>
    <t>PH036905000</t>
  </si>
  <si>
    <t>PH036906000</t>
  </si>
  <si>
    <t>PH036907000</t>
  </si>
  <si>
    <t>PH036908000</t>
  </si>
  <si>
    <t>PH036909000</t>
  </si>
  <si>
    <t>PH036910000</t>
  </si>
  <si>
    <t>PH036911000</t>
  </si>
  <si>
    <t>PH036912000</t>
  </si>
  <si>
    <t>PH036913000</t>
  </si>
  <si>
    <t>PH036914000</t>
  </si>
  <si>
    <t>PH036915000</t>
  </si>
  <si>
    <t>PH036916000</t>
  </si>
  <si>
    <t>City of Tarlac (Capital)</t>
  </si>
  <si>
    <t>PH036917000</t>
  </si>
  <si>
    <t>PH036918000</t>
  </si>
  <si>
    <t xml:space="preserve">San Jose  </t>
  </si>
  <si>
    <t>PH037101000</t>
  </si>
  <si>
    <t>PH037102000</t>
  </si>
  <si>
    <t xml:space="preserve">Cabangan </t>
  </si>
  <si>
    <t>PH037103000</t>
  </si>
  <si>
    <t>PH037104000</t>
  </si>
  <si>
    <t>PH037105000</t>
  </si>
  <si>
    <t>Iba (Capital)</t>
  </si>
  <si>
    <t>PH037106000</t>
  </si>
  <si>
    <t>PH037107000</t>
  </si>
  <si>
    <t>Olongapo City</t>
  </si>
  <si>
    <t>PH037108000</t>
  </si>
  <si>
    <t>PH037109000</t>
  </si>
  <si>
    <t>PH037110000</t>
  </si>
  <si>
    <t>PH037111000</t>
  </si>
  <si>
    <t>PH037112000</t>
  </si>
  <si>
    <t>PH037113000</t>
  </si>
  <si>
    <t>PH037114000</t>
  </si>
  <si>
    <t>PH037701000</t>
  </si>
  <si>
    <t>Baler (Capital)</t>
  </si>
  <si>
    <t>PH037702000</t>
  </si>
  <si>
    <t>PH037703000</t>
  </si>
  <si>
    <t>PH037704000</t>
  </si>
  <si>
    <t>PH037705000</t>
  </si>
  <si>
    <t>PH037706000</t>
  </si>
  <si>
    <t>PH037707000</t>
  </si>
  <si>
    <t>PH037708000</t>
  </si>
  <si>
    <t>PH041001000</t>
  </si>
  <si>
    <t>PH041002000</t>
  </si>
  <si>
    <t>PH041003000</t>
  </si>
  <si>
    <t>PH041004000</t>
  </si>
  <si>
    <t>PH041005000</t>
  </si>
  <si>
    <t>Batangas City (Capital)</t>
  </si>
  <si>
    <t>PH041006000</t>
  </si>
  <si>
    <t>PH041007000</t>
  </si>
  <si>
    <t>Calaca</t>
  </si>
  <si>
    <t>PH041008000</t>
  </si>
  <si>
    <t>PH041009000</t>
  </si>
  <si>
    <t>PH041010000</t>
  </si>
  <si>
    <t>PH041011000</t>
  </si>
  <si>
    <t>PH041012000</t>
  </si>
  <si>
    <t>PH041013000</t>
  </si>
  <si>
    <t>PH041014000</t>
  </si>
  <si>
    <t>Lipa City</t>
  </si>
  <si>
    <t>PH041015000</t>
  </si>
  <si>
    <t>PH041016000</t>
  </si>
  <si>
    <t>PH041017000</t>
  </si>
  <si>
    <t>PH041018000</t>
  </si>
  <si>
    <t>Mataas na Kahoy</t>
  </si>
  <si>
    <t>PH041019000</t>
  </si>
  <si>
    <t>PH041020000</t>
  </si>
  <si>
    <t>PH041021000</t>
  </si>
  <si>
    <t>PH041022000</t>
  </si>
  <si>
    <t>PH041023000</t>
  </si>
  <si>
    <t>PH041024000</t>
  </si>
  <si>
    <t>PH041025000</t>
  </si>
  <si>
    <t>PH041026000</t>
  </si>
  <si>
    <t>PH041027000</t>
  </si>
  <si>
    <t>PH041028000</t>
  </si>
  <si>
    <t>PH041029000</t>
  </si>
  <si>
    <t>PH041030000</t>
  </si>
  <si>
    <t>PH041031000</t>
  </si>
  <si>
    <t>PH041032000</t>
  </si>
  <si>
    <t>PH041033000</t>
  </si>
  <si>
    <t>PH041034000</t>
  </si>
  <si>
    <t>PH042101000</t>
  </si>
  <si>
    <t>PH042102000</t>
  </si>
  <si>
    <t>PH042103000</t>
  </si>
  <si>
    <t>Bacoor City</t>
  </si>
  <si>
    <t>PH042104000</t>
  </si>
  <si>
    <t>Carmona</t>
  </si>
  <si>
    <t>PH042105000</t>
  </si>
  <si>
    <t>Cavite City</t>
  </si>
  <si>
    <t>PH042106000</t>
  </si>
  <si>
    <t>PH042107000</t>
  </si>
  <si>
    <t>PH042108000</t>
  </si>
  <si>
    <t>General Trias</t>
  </si>
  <si>
    <t>PH042109000</t>
  </si>
  <si>
    <t>Imus City</t>
  </si>
  <si>
    <t>PH042110000</t>
  </si>
  <si>
    <t>PH042111000</t>
  </si>
  <si>
    <t>PH042112000</t>
  </si>
  <si>
    <t>PH042113000</t>
  </si>
  <si>
    <t>PH042114000</t>
  </si>
  <si>
    <t>Mendez (Mendez-Nuñez)</t>
  </si>
  <si>
    <t>PH042115000</t>
  </si>
  <si>
    <t>PH042116000</t>
  </si>
  <si>
    <t>PH042117000</t>
  </si>
  <si>
    <t>PH042118000</t>
  </si>
  <si>
    <t>PH042119000</t>
  </si>
  <si>
    <t>Tagaytay City</t>
  </si>
  <si>
    <t>PH042120000</t>
  </si>
  <si>
    <t>PH042121000</t>
  </si>
  <si>
    <t>PH042122000</t>
  </si>
  <si>
    <t>Trece Martires City (Capital)</t>
  </si>
  <si>
    <t>PH042123000</t>
  </si>
  <si>
    <t>General Mariano Alvarez</t>
  </si>
  <si>
    <t>PH043401000</t>
  </si>
  <si>
    <t>PH043402000</t>
  </si>
  <si>
    <t>PH043403000</t>
  </si>
  <si>
    <t>PH043404000</t>
  </si>
  <si>
    <t>Cabuyao City</t>
  </si>
  <si>
    <t>PH043405000</t>
  </si>
  <si>
    <t>PH043406000</t>
  </si>
  <si>
    <t>PH043407000</t>
  </si>
  <si>
    <t>PH043408000</t>
  </si>
  <si>
    <t>PH043409000</t>
  </si>
  <si>
    <t>PH043410000</t>
  </si>
  <si>
    <t>PH043411000</t>
  </si>
  <si>
    <t>PH043412000</t>
  </si>
  <si>
    <t>PH043413000</t>
  </si>
  <si>
    <t>PH043414000</t>
  </si>
  <si>
    <t>PH043415000</t>
  </si>
  <si>
    <t>PH043416000</t>
  </si>
  <si>
    <t>PH043417000</t>
  </si>
  <si>
    <t>PH043418000</t>
  </si>
  <si>
    <t>PH043419000</t>
  </si>
  <si>
    <t>PH043420000</t>
  </si>
  <si>
    <t>PH043421000</t>
  </si>
  <si>
    <t>PH043422000</t>
  </si>
  <si>
    <t>PH043423000</t>
  </si>
  <si>
    <t>PH043424000</t>
  </si>
  <si>
    <t>San Pablo City</t>
  </si>
  <si>
    <t>PH043425000</t>
  </si>
  <si>
    <t>PH043426000</t>
  </si>
  <si>
    <t>Santa Cruz (Capital)</t>
  </si>
  <si>
    <t>PH043427000</t>
  </si>
  <si>
    <t>PH043428000</t>
  </si>
  <si>
    <t>PH043429000</t>
  </si>
  <si>
    <t>PH043430000</t>
  </si>
  <si>
    <t>PH045601000</t>
  </si>
  <si>
    <t>PH045602000</t>
  </si>
  <si>
    <t>PH045603000</t>
  </si>
  <si>
    <t>PH045605000</t>
  </si>
  <si>
    <t>PH045606000</t>
  </si>
  <si>
    <t>PH045607000</t>
  </si>
  <si>
    <t>PH045608000</t>
  </si>
  <si>
    <t>PH045610000</t>
  </si>
  <si>
    <t>PH045615000</t>
  </si>
  <si>
    <t>PH045616000</t>
  </si>
  <si>
    <t>PH045617000</t>
  </si>
  <si>
    <t>PH045618000</t>
  </si>
  <si>
    <t>PH045619000</t>
  </si>
  <si>
    <t>PH045620000</t>
  </si>
  <si>
    <t>PH045621000</t>
  </si>
  <si>
    <t>PH045622000</t>
  </si>
  <si>
    <t>PH045623000</t>
  </si>
  <si>
    <t>PH045624000</t>
  </si>
  <si>
    <t>Lucena City (Capital)</t>
  </si>
  <si>
    <t>PH045625000</t>
  </si>
  <si>
    <t>PH045627000</t>
  </si>
  <si>
    <t>PH045628000</t>
  </si>
  <si>
    <t>PH045629000</t>
  </si>
  <si>
    <t>PH045630000</t>
  </si>
  <si>
    <t>PH045631000</t>
  </si>
  <si>
    <t>PH045632000</t>
  </si>
  <si>
    <t>PH045633000</t>
  </si>
  <si>
    <t>PH045634000</t>
  </si>
  <si>
    <t>PH045635000</t>
  </si>
  <si>
    <t>PH045636000</t>
  </si>
  <si>
    <t>PH045637000</t>
  </si>
  <si>
    <t>PH045638000</t>
  </si>
  <si>
    <t>PH045639000</t>
  </si>
  <si>
    <t>PH045640000</t>
  </si>
  <si>
    <t>PH045641000</t>
  </si>
  <si>
    <t>PH045642000</t>
  </si>
  <si>
    <t>San Francisco (Aurora)</t>
  </si>
  <si>
    <t>PH045644000</t>
  </si>
  <si>
    <t>PH045645000</t>
  </si>
  <si>
    <t>PH045646000</t>
  </si>
  <si>
    <t>PH045647000</t>
  </si>
  <si>
    <t>PH045648000</t>
  </si>
  <si>
    <t>PH045649000</t>
  </si>
  <si>
    <t>PH045801000</t>
  </si>
  <si>
    <t>PH045802000</t>
  </si>
  <si>
    <t>PH045803000</t>
  </si>
  <si>
    <t>PH045804000</t>
  </si>
  <si>
    <t>PH045805000</t>
  </si>
  <si>
    <t>PH045806000</t>
  </si>
  <si>
    <t>PH045807000</t>
  </si>
  <si>
    <t>PH045808000</t>
  </si>
  <si>
    <t>Rodriguez (Montalban)</t>
  </si>
  <si>
    <t>PH045809000</t>
  </si>
  <si>
    <t>PH045810000</t>
  </si>
  <si>
    <t>PH045811000</t>
  </si>
  <si>
    <t>PH045812000</t>
  </si>
  <si>
    <t>PH045813000</t>
  </si>
  <si>
    <t>PH045814000</t>
  </si>
  <si>
    <t>PH050501000</t>
  </si>
  <si>
    <t>PH050502000</t>
  </si>
  <si>
    <t>PH050503000</t>
  </si>
  <si>
    <t>Daraga (Locsin)</t>
  </si>
  <si>
    <t>PH050504000</t>
  </si>
  <si>
    <t>PH050505000</t>
  </si>
  <si>
    <t>PH050506000</t>
  </si>
  <si>
    <t>Legazpi City (Capital)</t>
  </si>
  <si>
    <t>PH050507000</t>
  </si>
  <si>
    <t>PH050508000</t>
  </si>
  <si>
    <t>PH050509000</t>
  </si>
  <si>
    <t>PH050510000</t>
  </si>
  <si>
    <t>PH050511000</t>
  </si>
  <si>
    <t>PH050512000</t>
  </si>
  <si>
    <t>PH050513000</t>
  </si>
  <si>
    <t>PH050514000</t>
  </si>
  <si>
    <t>PH050515000</t>
  </si>
  <si>
    <t>PH050516000</t>
  </si>
  <si>
    <t>Santo Domingo (Libog)</t>
  </si>
  <si>
    <t>PH050517000</t>
  </si>
  <si>
    <t>PH050518000</t>
  </si>
  <si>
    <t>PH051601000</t>
  </si>
  <si>
    <t>PH051602000</t>
  </si>
  <si>
    <t>PH051603000</t>
  </si>
  <si>
    <t>Daet (Capital)</t>
  </si>
  <si>
    <t>PH051604000</t>
  </si>
  <si>
    <t>San Lorenzo Ruiz (Imelda)</t>
  </si>
  <si>
    <t>PH051605000</t>
  </si>
  <si>
    <t>PH051606000</t>
  </si>
  <si>
    <t>PH051607000</t>
  </si>
  <si>
    <t>PH051608000</t>
  </si>
  <si>
    <t>PH051609000</t>
  </si>
  <si>
    <t>PH051610000</t>
  </si>
  <si>
    <t>PH051611000</t>
  </si>
  <si>
    <t>PH051612000</t>
  </si>
  <si>
    <t>PH051701000</t>
  </si>
  <si>
    <t>PH051702000</t>
  </si>
  <si>
    <t>PH051703000</t>
  </si>
  <si>
    <t>PH051704000</t>
  </si>
  <si>
    <t>PH051705000</t>
  </si>
  <si>
    <t>PH051706000</t>
  </si>
  <si>
    <t xml:space="preserve">Bula </t>
  </si>
  <si>
    <t>PH051707000</t>
  </si>
  <si>
    <t>PH051708000</t>
  </si>
  <si>
    <t>PH051709000</t>
  </si>
  <si>
    <t>PH051710000</t>
  </si>
  <si>
    <t>PH051711000</t>
  </si>
  <si>
    <t>PH051712000</t>
  </si>
  <si>
    <t>PH051713000</t>
  </si>
  <si>
    <t>PH051714000</t>
  </si>
  <si>
    <t>PH051715000</t>
  </si>
  <si>
    <t>PH051716000</t>
  </si>
  <si>
    <t>Iriga City</t>
  </si>
  <si>
    <t>PH051717000</t>
  </si>
  <si>
    <t>PH051718000</t>
  </si>
  <si>
    <t>PH051719000</t>
  </si>
  <si>
    <t>PH051720000</t>
  </si>
  <si>
    <t>PH051721000</t>
  </si>
  <si>
    <t>PH051722000</t>
  </si>
  <si>
    <t>PH051723000</t>
  </si>
  <si>
    <t>PH051724000</t>
  </si>
  <si>
    <t>Naga City</t>
  </si>
  <si>
    <t>PH051725000</t>
  </si>
  <si>
    <t>PH051726000</t>
  </si>
  <si>
    <t>PH051727000</t>
  </si>
  <si>
    <t>PH051728000</t>
  </si>
  <si>
    <t>Pili (Capital)</t>
  </si>
  <si>
    <t>PH051729000</t>
  </si>
  <si>
    <t>Presentacion (Parubcan)</t>
  </si>
  <si>
    <t>PH051730000</t>
  </si>
  <si>
    <t>PH051731000</t>
  </si>
  <si>
    <t>PH051732000</t>
  </si>
  <si>
    <t>PH051733000</t>
  </si>
  <si>
    <t>PH051734000</t>
  </si>
  <si>
    <t>PH051735000</t>
  </si>
  <si>
    <t>PH051736000</t>
  </si>
  <si>
    <t>PH051737000</t>
  </si>
  <si>
    <t>PH052001000</t>
  </si>
  <si>
    <t>PH052002000</t>
  </si>
  <si>
    <t>PH052003000</t>
  </si>
  <si>
    <t>PH052004000</t>
  </si>
  <si>
    <t>PH052005000</t>
  </si>
  <si>
    <t>PH052006000</t>
  </si>
  <si>
    <t>PH052007000</t>
  </si>
  <si>
    <t>Panganiban (Payo)</t>
  </si>
  <si>
    <t>PH052008000</t>
  </si>
  <si>
    <t>San Andres (Calolbon)</t>
  </si>
  <si>
    <t>PH052009000</t>
  </si>
  <si>
    <t>PH052010000</t>
  </si>
  <si>
    <t>PH052011000</t>
  </si>
  <si>
    <t>Virac (Capital)</t>
  </si>
  <si>
    <t>PH054101000</t>
  </si>
  <si>
    <t>PH054102000</t>
  </si>
  <si>
    <t>PH054103000</t>
  </si>
  <si>
    <t>PH054104000</t>
  </si>
  <si>
    <t>PH054105000</t>
  </si>
  <si>
    <t>PH054106000</t>
  </si>
  <si>
    <t>PH054107000</t>
  </si>
  <si>
    <t>PH054108000</t>
  </si>
  <si>
    <t>PH054109000</t>
  </si>
  <si>
    <t>PH054110000</t>
  </si>
  <si>
    <t>PH054111000</t>
  </si>
  <si>
    <t>City of Masbate (Capital)</t>
  </si>
  <si>
    <t>PH054112000</t>
  </si>
  <si>
    <t>PH054113000</t>
  </si>
  <si>
    <t>PH054114000</t>
  </si>
  <si>
    <t>PH054115000</t>
  </si>
  <si>
    <t>PH054116000</t>
  </si>
  <si>
    <t>Pio V. Corpuz (Limbuhan)</t>
  </si>
  <si>
    <t>PH054117000</t>
  </si>
  <si>
    <t>PH054118000</t>
  </si>
  <si>
    <t>PH054119000</t>
  </si>
  <si>
    <t>PH054120000</t>
  </si>
  <si>
    <t>PH054121000</t>
  </si>
  <si>
    <t>PH056202000</t>
  </si>
  <si>
    <t>PH056203000</t>
  </si>
  <si>
    <t>PH056204000</t>
  </si>
  <si>
    <t>PH056205000</t>
  </si>
  <si>
    <t>PH056206000</t>
  </si>
  <si>
    <t>PH056207000</t>
  </si>
  <si>
    <t>PH056208000</t>
  </si>
  <si>
    <t>PH056209000</t>
  </si>
  <si>
    <t>PH056210000</t>
  </si>
  <si>
    <t>PH056211000</t>
  </si>
  <si>
    <t>PH056212000</t>
  </si>
  <si>
    <t>PH056213000</t>
  </si>
  <si>
    <t>PH056214000</t>
  </si>
  <si>
    <t>PH056215000</t>
  </si>
  <si>
    <t>PH056216000</t>
  </si>
  <si>
    <t>City of Sorsogon (Capital)</t>
  </si>
  <si>
    <t>PH060401000</t>
  </si>
  <si>
    <t>PH060402000</t>
  </si>
  <si>
    <t>PH060403000</t>
  </si>
  <si>
    <t>PH060404000</t>
  </si>
  <si>
    <t xml:space="preserve">Batan </t>
  </si>
  <si>
    <t>PH060405000</t>
  </si>
  <si>
    <t>PH060406000</t>
  </si>
  <si>
    <t>PH060407000</t>
  </si>
  <si>
    <t>Kalibo (Capital)</t>
  </si>
  <si>
    <t>PH060408000</t>
  </si>
  <si>
    <t>PH060409000</t>
  </si>
  <si>
    <t>PH060410000</t>
  </si>
  <si>
    <t>PH060411000</t>
  </si>
  <si>
    <t>PH060412000</t>
  </si>
  <si>
    <t>PH060413000</t>
  </si>
  <si>
    <t>PH060414000</t>
  </si>
  <si>
    <t>PH060415000</t>
  </si>
  <si>
    <t>PH060416000</t>
  </si>
  <si>
    <t>PH060417000</t>
  </si>
  <si>
    <t>PH060601000</t>
  </si>
  <si>
    <t>PH060602000</t>
  </si>
  <si>
    <t>PH060603000</t>
  </si>
  <si>
    <t>PH060604000</t>
  </si>
  <si>
    <t>PH060605000</t>
  </si>
  <si>
    <t>PH060606000</t>
  </si>
  <si>
    <t>PH060607000</t>
  </si>
  <si>
    <t>Tobias Fornier (Dao)</t>
  </si>
  <si>
    <t>PH060608000</t>
  </si>
  <si>
    <t>PH060609000</t>
  </si>
  <si>
    <t>Laua-an</t>
  </si>
  <si>
    <t>PH060610000</t>
  </si>
  <si>
    <t>PH060611000</t>
  </si>
  <si>
    <t>PH060612000</t>
  </si>
  <si>
    <t>PH060613000</t>
  </si>
  <si>
    <t>San Jose (Capital)</t>
  </si>
  <si>
    <t>PH060614000</t>
  </si>
  <si>
    <t>PH060615000</t>
  </si>
  <si>
    <t>PH060616000</t>
  </si>
  <si>
    <t>PH060617000</t>
  </si>
  <si>
    <t>PH060618000</t>
  </si>
  <si>
    <t>PH061901000</t>
  </si>
  <si>
    <t>PH061902000</t>
  </si>
  <si>
    <t>PH061903000</t>
  </si>
  <si>
    <t>PH061904000</t>
  </si>
  <si>
    <t>PH061905000</t>
  </si>
  <si>
    <t>PH061906000</t>
  </si>
  <si>
    <t>PH061907000</t>
  </si>
  <si>
    <t>Ma-ayon</t>
  </si>
  <si>
    <t>PH061908000</t>
  </si>
  <si>
    <t>PH061909000</t>
  </si>
  <si>
    <t>PH061910000</t>
  </si>
  <si>
    <t>PH061911000</t>
  </si>
  <si>
    <t>PH061912000</t>
  </si>
  <si>
    <t>PH061913000</t>
  </si>
  <si>
    <t>PH061914000</t>
  </si>
  <si>
    <t>Roxas City (Capital)</t>
  </si>
  <si>
    <t>PH061915000</t>
  </si>
  <si>
    <t>Sapi-an</t>
  </si>
  <si>
    <t>PH061916000</t>
  </si>
  <si>
    <t>PH061917000</t>
  </si>
  <si>
    <t>PH063001000</t>
  </si>
  <si>
    <t>PH063002000</t>
  </si>
  <si>
    <t>PH063003000</t>
  </si>
  <si>
    <t>PH063004000</t>
  </si>
  <si>
    <t>PH063005000</t>
  </si>
  <si>
    <t>PH063006000</t>
  </si>
  <si>
    <t>PH063007000</t>
  </si>
  <si>
    <t>PH063008000</t>
  </si>
  <si>
    <t>PH063009000</t>
  </si>
  <si>
    <t>PH063010000</t>
  </si>
  <si>
    <t>PH063012000</t>
  </si>
  <si>
    <t>PH063013000</t>
  </si>
  <si>
    <t>PH063014000</t>
  </si>
  <si>
    <t>PH063015000</t>
  </si>
  <si>
    <t>PH063016000</t>
  </si>
  <si>
    <t>PH063017000</t>
  </si>
  <si>
    <t>PH063018000</t>
  </si>
  <si>
    <t>PH063019000</t>
  </si>
  <si>
    <t>PH063020000</t>
  </si>
  <si>
    <t>PH063021000</t>
  </si>
  <si>
    <t>PH063022000</t>
  </si>
  <si>
    <t>Iloilo City (Capital)</t>
  </si>
  <si>
    <t>PH063023000</t>
  </si>
  <si>
    <t>PH063025000</t>
  </si>
  <si>
    <t>PH063026000</t>
  </si>
  <si>
    <t>PH063027000</t>
  </si>
  <si>
    <t>PH063028000</t>
  </si>
  <si>
    <t>PH063029000</t>
  </si>
  <si>
    <t>PH063030000</t>
  </si>
  <si>
    <t>PH063031000</t>
  </si>
  <si>
    <t xml:space="preserve">Mina </t>
  </si>
  <si>
    <t>PH063032000</t>
  </si>
  <si>
    <t>PH063034000</t>
  </si>
  <si>
    <t>PH063035000</t>
  </si>
  <si>
    <t>PH063036000</t>
  </si>
  <si>
    <t>PH063037000</t>
  </si>
  <si>
    <t>PH063038000</t>
  </si>
  <si>
    <t>PH063039000</t>
  </si>
  <si>
    <t>PH063040000</t>
  </si>
  <si>
    <t>PH063041000</t>
  </si>
  <si>
    <t>PH063042000</t>
  </si>
  <si>
    <t>PH063043000</t>
  </si>
  <si>
    <t>PH063044000</t>
  </si>
  <si>
    <t>PH063045000</t>
  </si>
  <si>
    <t>PH063046000</t>
  </si>
  <si>
    <t>PH063047000</t>
  </si>
  <si>
    <t>PH064501000</t>
  </si>
  <si>
    <t>Bacolod City (Capital)</t>
  </si>
  <si>
    <t>PH064502000</t>
  </si>
  <si>
    <t>Bago City</t>
  </si>
  <si>
    <t>PH064503000</t>
  </si>
  <si>
    <t>PH064504000</t>
  </si>
  <si>
    <t>Cadiz City</t>
  </si>
  <si>
    <t>PH064505000</t>
  </si>
  <si>
    <t>PH064506000</t>
  </si>
  <si>
    <t>PH064507000</t>
  </si>
  <si>
    <t>PH064508000</t>
  </si>
  <si>
    <t>Enrique B. Magalona (Saravia)</t>
  </si>
  <si>
    <t>PH064509000</t>
  </si>
  <si>
    <t>PH064510000</t>
  </si>
  <si>
    <t>PH064511000</t>
  </si>
  <si>
    <t>PH064512000</t>
  </si>
  <si>
    <t>Hinoba-an (Asia)</t>
  </si>
  <si>
    <t>PH064513000</t>
  </si>
  <si>
    <t>PH064514000</t>
  </si>
  <si>
    <t>PH064515000</t>
  </si>
  <si>
    <t>PH064516000</t>
  </si>
  <si>
    <t>La Carlota City</t>
  </si>
  <si>
    <t>PH064517000</t>
  </si>
  <si>
    <t>PH064518000</t>
  </si>
  <si>
    <t>PH064519000</t>
  </si>
  <si>
    <t>Moises Padilla (Magallon)</t>
  </si>
  <si>
    <t>PH064520000</t>
  </si>
  <si>
    <t>PH064521000</t>
  </si>
  <si>
    <t>PH064522000</t>
  </si>
  <si>
    <t>PH064523000</t>
  </si>
  <si>
    <t>Sagay City</t>
  </si>
  <si>
    <t>PH064524000</t>
  </si>
  <si>
    <t>PH064525000</t>
  </si>
  <si>
    <t>PH064526000</t>
  </si>
  <si>
    <t>Silay City</t>
  </si>
  <si>
    <t>PH064527000</t>
  </si>
  <si>
    <t>PH064528000</t>
  </si>
  <si>
    <t>PH064529000</t>
  </si>
  <si>
    <t>PH064530000</t>
  </si>
  <si>
    <t>PH064531000</t>
  </si>
  <si>
    <t>PH064532000</t>
  </si>
  <si>
    <t>PH067901000</t>
  </si>
  <si>
    <t>PH067902000</t>
  </si>
  <si>
    <t>Jordan (Capital)</t>
  </si>
  <si>
    <t>PH067903000</t>
  </si>
  <si>
    <t>PH067904000</t>
  </si>
  <si>
    <t xml:space="preserve">San Lorenzo  </t>
  </si>
  <si>
    <t>PH067905000</t>
  </si>
  <si>
    <t>PH071201000</t>
  </si>
  <si>
    <t>Albuquerque</t>
  </si>
  <si>
    <t>PH071202000</t>
  </si>
  <si>
    <t>PH071203000</t>
  </si>
  <si>
    <t>PH071204000</t>
  </si>
  <si>
    <t>PH071205000</t>
  </si>
  <si>
    <t>PH071206000</t>
  </si>
  <si>
    <t>PH071207000</t>
  </si>
  <si>
    <t>PH071208000</t>
  </si>
  <si>
    <t>PH071209000</t>
  </si>
  <si>
    <t>PH071210000</t>
  </si>
  <si>
    <t>PH071211000</t>
  </si>
  <si>
    <t>PH071212000</t>
  </si>
  <si>
    <t>PH071213000</t>
  </si>
  <si>
    <t>PH071214000</t>
  </si>
  <si>
    <t>PH071215000</t>
  </si>
  <si>
    <t>PH071216000</t>
  </si>
  <si>
    <t>PH071217000</t>
  </si>
  <si>
    <t>PH071218000</t>
  </si>
  <si>
    <t>PH071219000</t>
  </si>
  <si>
    <t>PH071220000</t>
  </si>
  <si>
    <t>PH071221000</t>
  </si>
  <si>
    <t>PH071222000</t>
  </si>
  <si>
    <t>PH071223000</t>
  </si>
  <si>
    <t>PH071224000</t>
  </si>
  <si>
    <t>PH071225000</t>
  </si>
  <si>
    <t>PH071226000</t>
  </si>
  <si>
    <t>PH071227000</t>
  </si>
  <si>
    <t>PH071228000</t>
  </si>
  <si>
    <t>PH071229000</t>
  </si>
  <si>
    <t>PH071230000</t>
  </si>
  <si>
    <t>PH071231000</t>
  </si>
  <si>
    <t>PH071232000</t>
  </si>
  <si>
    <t>PH071233000</t>
  </si>
  <si>
    <t>PH071234000</t>
  </si>
  <si>
    <t>PH071235000</t>
  </si>
  <si>
    <t>Pres. Carlos P. Garcia (Pitogo)</t>
  </si>
  <si>
    <t>PH071236000</t>
  </si>
  <si>
    <t>Sagbayan (Borja)</t>
  </si>
  <si>
    <t>PH071237000</t>
  </si>
  <si>
    <t>PH071238000</t>
  </si>
  <si>
    <t>PH071239000</t>
  </si>
  <si>
    <t>PH071240000</t>
  </si>
  <si>
    <t>PH071241000</t>
  </si>
  <si>
    <t>PH071242000</t>
  </si>
  <si>
    <t>Tagbilaran City (Capital)</t>
  </si>
  <si>
    <t>PH071243000</t>
  </si>
  <si>
    <t>PH071244000</t>
  </si>
  <si>
    <t>PH071245000</t>
  </si>
  <si>
    <t>PH071246000</t>
  </si>
  <si>
    <t>PH071247000</t>
  </si>
  <si>
    <t>PH071248000</t>
  </si>
  <si>
    <t>PH072201000</t>
  </si>
  <si>
    <t>PH072202000</t>
  </si>
  <si>
    <t>PH072203000</t>
  </si>
  <si>
    <t>PH072204000</t>
  </si>
  <si>
    <t>PH072205000</t>
  </si>
  <si>
    <t>PH072206000</t>
  </si>
  <si>
    <t>PH072207000</t>
  </si>
  <si>
    <t xml:space="preserve">Badian </t>
  </si>
  <si>
    <t>PH072208000</t>
  </si>
  <si>
    <t>PH072209000</t>
  </si>
  <si>
    <t>PH072210000</t>
  </si>
  <si>
    <t>PH072211000</t>
  </si>
  <si>
    <t>PH072212000</t>
  </si>
  <si>
    <t>PH072213000</t>
  </si>
  <si>
    <t>PH072214000</t>
  </si>
  <si>
    <t>PH072215000</t>
  </si>
  <si>
    <t>PH072216000</t>
  </si>
  <si>
    <t>PH072217000</t>
  </si>
  <si>
    <t>Cebu City (Capital)</t>
  </si>
  <si>
    <t>Metropolitan Region</t>
  </si>
  <si>
    <t>PH072218000</t>
  </si>
  <si>
    <t>PH072219000</t>
  </si>
  <si>
    <t>PH072220000</t>
  </si>
  <si>
    <t>PH072221000</t>
  </si>
  <si>
    <t>PH072222000</t>
  </si>
  <si>
    <t>PH072223000</t>
  </si>
  <si>
    <t>PH072224000</t>
  </si>
  <si>
    <t>PH072225000</t>
  </si>
  <si>
    <t>PH072226000</t>
  </si>
  <si>
    <t>Lapu-Lapu City (Opon)</t>
  </si>
  <si>
    <t>PH072227000</t>
  </si>
  <si>
    <t>PH072228000</t>
  </si>
  <si>
    <t>PH072229000</t>
  </si>
  <si>
    <t>PH072230000</t>
  </si>
  <si>
    <t>Mandaue City</t>
  </si>
  <si>
    <t>PH072231000</t>
  </si>
  <si>
    <t>PH072232000</t>
  </si>
  <si>
    <t>PH072233000</t>
  </si>
  <si>
    <t>PH072234000</t>
  </si>
  <si>
    <t>PH072235000</t>
  </si>
  <si>
    <t>PH072236000</t>
  </si>
  <si>
    <t>PH072237000</t>
  </si>
  <si>
    <t>Pinamungahan</t>
  </si>
  <si>
    <t>PH072238000</t>
  </si>
  <si>
    <t>PH072239000</t>
  </si>
  <si>
    <t>PH072240000</t>
  </si>
  <si>
    <t>PH072241000</t>
  </si>
  <si>
    <t>PH072242000</t>
  </si>
  <si>
    <t xml:space="preserve">San Francisco  </t>
  </si>
  <si>
    <t>PH072243000</t>
  </si>
  <si>
    <t>PH072244000</t>
  </si>
  <si>
    <t>PH072245000</t>
  </si>
  <si>
    <t>PH072246000</t>
  </si>
  <si>
    <t>PH072247000</t>
  </si>
  <si>
    <t>PH072248000</t>
  </si>
  <si>
    <t>PH072249000</t>
  </si>
  <si>
    <t>PH072250000</t>
  </si>
  <si>
    <t>PH072251000</t>
  </si>
  <si>
    <t>Toledo City</t>
  </si>
  <si>
    <t>PH072252000</t>
  </si>
  <si>
    <t>PH072253000</t>
  </si>
  <si>
    <t>PH074601000</t>
  </si>
  <si>
    <t>Amlan (Ayuquitan)</t>
  </si>
  <si>
    <t>PH074602000</t>
  </si>
  <si>
    <t>PH074603000</t>
  </si>
  <si>
    <t>PH074604000</t>
  </si>
  <si>
    <t>Bais City</t>
  </si>
  <si>
    <t>PH074605000</t>
  </si>
  <si>
    <t>PH074606000</t>
  </si>
  <si>
    <t>City of Bayawan (Tulong)</t>
  </si>
  <si>
    <t>PH074607000</t>
  </si>
  <si>
    <t>Bindoy (Payabon)</t>
  </si>
  <si>
    <t>PH074608000</t>
  </si>
  <si>
    <t>Canlaon City</t>
  </si>
  <si>
    <t>PH074609000</t>
  </si>
  <si>
    <t>PH074610000</t>
  </si>
  <si>
    <t>Dumaguete City (Capital)</t>
  </si>
  <si>
    <t>PH074611000</t>
  </si>
  <si>
    <t>PH074612000</t>
  </si>
  <si>
    <t>PH074613000</t>
  </si>
  <si>
    <t>PH074614000</t>
  </si>
  <si>
    <t>PH074615000</t>
  </si>
  <si>
    <t>PH074616000</t>
  </si>
  <si>
    <t>PH074617000</t>
  </si>
  <si>
    <t>PH074618000</t>
  </si>
  <si>
    <t>PH074619000</t>
  </si>
  <si>
    <t>PH074620000</t>
  </si>
  <si>
    <t>PH074621000</t>
  </si>
  <si>
    <t>PH074622000</t>
  </si>
  <si>
    <t>PH074623000</t>
  </si>
  <si>
    <t>Valencia (Luzurriaga)</t>
  </si>
  <si>
    <t>PH074624000</t>
  </si>
  <si>
    <t>PH074625000</t>
  </si>
  <si>
    <t>PH076101000</t>
  </si>
  <si>
    <t>PH076102000</t>
  </si>
  <si>
    <t>PH076103000</t>
  </si>
  <si>
    <t>PH076104000</t>
  </si>
  <si>
    <t>PH076105000</t>
  </si>
  <si>
    <t>PH076106000</t>
  </si>
  <si>
    <t>Siquijor (Capital)</t>
  </si>
  <si>
    <t>PH082601000</t>
  </si>
  <si>
    <t>PH082602000</t>
  </si>
  <si>
    <t>PH082603000</t>
  </si>
  <si>
    <t>PH082604000</t>
  </si>
  <si>
    <t>City of Borongan (Capital)</t>
  </si>
  <si>
    <t>PH082605000</t>
  </si>
  <si>
    <t>Can-avid</t>
  </si>
  <si>
    <t>PH082606000</t>
  </si>
  <si>
    <t>PH082607000</t>
  </si>
  <si>
    <t>General Mac Arthur</t>
  </si>
  <si>
    <t>PH082608000</t>
  </si>
  <si>
    <t>PH082609000</t>
  </si>
  <si>
    <t>PH082610000</t>
  </si>
  <si>
    <t>PH082611000</t>
  </si>
  <si>
    <t>PH082612000</t>
  </si>
  <si>
    <t>PH082613000</t>
  </si>
  <si>
    <t>PH082614000</t>
  </si>
  <si>
    <t>PH082615000</t>
  </si>
  <si>
    <t>PH082616000</t>
  </si>
  <si>
    <t>PH082617000</t>
  </si>
  <si>
    <t>PH082618000</t>
  </si>
  <si>
    <t>PH082619000</t>
  </si>
  <si>
    <t>PH082620000</t>
  </si>
  <si>
    <t>PH082621000</t>
  </si>
  <si>
    <t>PH082622000</t>
  </si>
  <si>
    <t>PH082623000</t>
  </si>
  <si>
    <t>PH083701000</t>
  </si>
  <si>
    <t>PH083702000</t>
  </si>
  <si>
    <t>PH083703000</t>
  </si>
  <si>
    <t>PH083705000</t>
  </si>
  <si>
    <t>PH083706000</t>
  </si>
  <si>
    <t>PH083707000</t>
  </si>
  <si>
    <t>PH083708000</t>
  </si>
  <si>
    <t>PH083710000</t>
  </si>
  <si>
    <t>PH083713000</t>
  </si>
  <si>
    <t>PH083714000</t>
  </si>
  <si>
    <t>PH083715000</t>
  </si>
  <si>
    <t>PH083717000</t>
  </si>
  <si>
    <t>PH083718000</t>
  </si>
  <si>
    <t>PH083719000</t>
  </si>
  <si>
    <t>PH083720000</t>
  </si>
  <si>
    <t>PH083721000</t>
  </si>
  <si>
    <t>PH083722000</t>
  </si>
  <si>
    <t xml:space="preserve">Isabel </t>
  </si>
  <si>
    <t>PH083723000</t>
  </si>
  <si>
    <t>PH083724000</t>
  </si>
  <si>
    <t>Javier (Bugho)</t>
  </si>
  <si>
    <t>PH083725000</t>
  </si>
  <si>
    <t>PH083726000</t>
  </si>
  <si>
    <t>PH083728000</t>
  </si>
  <si>
    <t>PH083729000</t>
  </si>
  <si>
    <t>PH083730000</t>
  </si>
  <si>
    <t>MacArthur</t>
  </si>
  <si>
    <t>PH083731000</t>
  </si>
  <si>
    <t>PH083733000</t>
  </si>
  <si>
    <t>Matag-ob</t>
  </si>
  <si>
    <t>PH083734000</t>
  </si>
  <si>
    <t>PH083735000</t>
  </si>
  <si>
    <t>PH083736000</t>
  </si>
  <si>
    <t>PH083738000</t>
  </si>
  <si>
    <t>PH083739000</t>
  </si>
  <si>
    <t>PH083740000</t>
  </si>
  <si>
    <t>PH083741000</t>
  </si>
  <si>
    <t>PH083742000</t>
  </si>
  <si>
    <t>PH083743000</t>
  </si>
  <si>
    <t>PH083744000</t>
  </si>
  <si>
    <t>PH083745000</t>
  </si>
  <si>
    <t>PH083746000</t>
  </si>
  <si>
    <t>PH083747000</t>
  </si>
  <si>
    <t>Tacloban City (Capital)</t>
  </si>
  <si>
    <t>PH083748000</t>
  </si>
  <si>
    <t>PH083749000</t>
  </si>
  <si>
    <t>PH083750000</t>
  </si>
  <si>
    <t>PH083751000</t>
  </si>
  <si>
    <t>PH084801000</t>
  </si>
  <si>
    <t>PH084802000</t>
  </si>
  <si>
    <t>PH084803000</t>
  </si>
  <si>
    <t>PH084804000</t>
  </si>
  <si>
    <t>PH084805000</t>
  </si>
  <si>
    <t>Catarman (Capital)</t>
  </si>
  <si>
    <t>PH084806000</t>
  </si>
  <si>
    <t>PH084807000</t>
  </si>
  <si>
    <t>PH084808000</t>
  </si>
  <si>
    <t>PH084809000</t>
  </si>
  <si>
    <t>PH084810000</t>
  </si>
  <si>
    <t>PH084811000</t>
  </si>
  <si>
    <t>PH084812000</t>
  </si>
  <si>
    <t>PH084813000</t>
  </si>
  <si>
    <t>PH084814000</t>
  </si>
  <si>
    <t>PH084815000</t>
  </si>
  <si>
    <t>PH084816000</t>
  </si>
  <si>
    <t>PH084817000</t>
  </si>
  <si>
    <t>PH084818000</t>
  </si>
  <si>
    <t>PH084819000</t>
  </si>
  <si>
    <t>PH084820000</t>
  </si>
  <si>
    <t>PH084821000</t>
  </si>
  <si>
    <t>PH084822000</t>
  </si>
  <si>
    <t>PH084823000</t>
  </si>
  <si>
    <t>PH084824000</t>
  </si>
  <si>
    <t>Lope de Vega</t>
  </si>
  <si>
    <t>PH086001000</t>
  </si>
  <si>
    <t>Samar (Western Samar)</t>
  </si>
  <si>
    <t>PH086002000</t>
  </si>
  <si>
    <t>PH086003000</t>
  </si>
  <si>
    <t>Calbayog City</t>
  </si>
  <si>
    <t>PH086004000</t>
  </si>
  <si>
    <t>PH086005000</t>
  </si>
  <si>
    <t>City of Catbalogan (Capital)</t>
  </si>
  <si>
    <t>PH086006000</t>
  </si>
  <si>
    <t>PH086007000</t>
  </si>
  <si>
    <t>PH086008000</t>
  </si>
  <si>
    <t>PH086009000</t>
  </si>
  <si>
    <t>PH086010000</t>
  </si>
  <si>
    <t>PH086011000</t>
  </si>
  <si>
    <t>PH086012000</t>
  </si>
  <si>
    <t>PH086013000</t>
  </si>
  <si>
    <t>PH086014000</t>
  </si>
  <si>
    <t>San Jose de Buan</t>
  </si>
  <si>
    <t>PH086015000</t>
  </si>
  <si>
    <t>PH086016000</t>
  </si>
  <si>
    <t>PH086017000</t>
  </si>
  <si>
    <t>PH086018000</t>
  </si>
  <si>
    <t xml:space="preserve">Santo Niño </t>
  </si>
  <si>
    <t>PH086019000</t>
  </si>
  <si>
    <t>PH086020000</t>
  </si>
  <si>
    <t>PH086021000</t>
  </si>
  <si>
    <t>PH086022000</t>
  </si>
  <si>
    <t>Paranas (Wright)</t>
  </si>
  <si>
    <t>PH086023000</t>
  </si>
  <si>
    <t>PH086024000</t>
  </si>
  <si>
    <t>Tagapul-an</t>
  </si>
  <si>
    <t>PH086025000</t>
  </si>
  <si>
    <t>PH086026000</t>
  </si>
  <si>
    <t>PH086401000</t>
  </si>
  <si>
    <t>PH086402000</t>
  </si>
  <si>
    <t>PH086403000</t>
  </si>
  <si>
    <t>PH086404000</t>
  </si>
  <si>
    <t>PH086405000</t>
  </si>
  <si>
    <t>PH086406000</t>
  </si>
  <si>
    <t>PH086407000</t>
  </si>
  <si>
    <t>City of Maasin (Capital)</t>
  </si>
  <si>
    <t>PH086408000</t>
  </si>
  <si>
    <t>PH086409000</t>
  </si>
  <si>
    <t>PH086410000</t>
  </si>
  <si>
    <t>PH086411000</t>
  </si>
  <si>
    <t>PH086412000</t>
  </si>
  <si>
    <t>PH086413000</t>
  </si>
  <si>
    <t>PH086414000</t>
  </si>
  <si>
    <t>San Juan (Cabalian)</t>
  </si>
  <si>
    <t>PH086415000</t>
  </si>
  <si>
    <t>PH086416000</t>
  </si>
  <si>
    <t>PH086417000</t>
  </si>
  <si>
    <t>PH086418000</t>
  </si>
  <si>
    <t>PH086419000</t>
  </si>
  <si>
    <t>PH087801000</t>
  </si>
  <si>
    <t>PH087802000</t>
  </si>
  <si>
    <t>PH087803000</t>
  </si>
  <si>
    <t>PH087804000</t>
  </si>
  <si>
    <t>PH087805000</t>
  </si>
  <si>
    <t>PH087806000</t>
  </si>
  <si>
    <t>PH087807000</t>
  </si>
  <si>
    <t>PH087808000</t>
  </si>
  <si>
    <t>Naval (Capital)</t>
  </si>
  <si>
    <t>PH097201000</t>
  </si>
  <si>
    <t>Dapitan City</t>
  </si>
  <si>
    <t>PH097202000</t>
  </si>
  <si>
    <t>Dipolog City</t>
  </si>
  <si>
    <t>PH097203000</t>
  </si>
  <si>
    <t>PH097204000</t>
  </si>
  <si>
    <t>PH097205000</t>
  </si>
  <si>
    <t>PH097206000</t>
  </si>
  <si>
    <t>PH097207000</t>
  </si>
  <si>
    <t>PH097208000</t>
  </si>
  <si>
    <t>PH097209000</t>
  </si>
  <si>
    <t>PH097210000</t>
  </si>
  <si>
    <t>PH097211000</t>
  </si>
  <si>
    <t>Manuel Roxas</t>
  </si>
  <si>
    <t>PH097212000</t>
  </si>
  <si>
    <t>PH097213000</t>
  </si>
  <si>
    <t>PH097214000</t>
  </si>
  <si>
    <t>PH097215000</t>
  </si>
  <si>
    <t>PH097216000</t>
  </si>
  <si>
    <t>PH097217000</t>
  </si>
  <si>
    <t>PH097218000</t>
  </si>
  <si>
    <t>PH097219000</t>
  </si>
  <si>
    <t>PH097220000</t>
  </si>
  <si>
    <t>PH097221000</t>
  </si>
  <si>
    <t>PH097222000</t>
  </si>
  <si>
    <t>PH097223000</t>
  </si>
  <si>
    <t>PH097224000</t>
  </si>
  <si>
    <t>PH097225000</t>
  </si>
  <si>
    <t>PH097226000</t>
  </si>
  <si>
    <t>Leon B. Postigo</t>
  </si>
  <si>
    <t>PH097227000</t>
  </si>
  <si>
    <t>PH097302000</t>
  </si>
  <si>
    <t>PH097303000</t>
  </si>
  <si>
    <t>PH097305000</t>
  </si>
  <si>
    <t>PH097306000</t>
  </si>
  <si>
    <t>PH097307000</t>
  </si>
  <si>
    <t>PH097308000</t>
  </si>
  <si>
    <t>PH097311000</t>
  </si>
  <si>
    <t>PH097312000</t>
  </si>
  <si>
    <t>PH097313000</t>
  </si>
  <si>
    <t>PH097315000</t>
  </si>
  <si>
    <t>PH097317000</t>
  </si>
  <si>
    <t>PH097318000</t>
  </si>
  <si>
    <t>PH097319000</t>
  </si>
  <si>
    <t>PH097322000</t>
  </si>
  <si>
    <t>Pagadian City</t>
  </si>
  <si>
    <t>PH097323000</t>
  </si>
  <si>
    <t>PH097324000</t>
  </si>
  <si>
    <t>San Miguel(ZDS)</t>
  </si>
  <si>
    <t>PH097325000</t>
  </si>
  <si>
    <t>PH097327000</t>
  </si>
  <si>
    <t>PH097328000</t>
  </si>
  <si>
    <t>PH097330000</t>
  </si>
  <si>
    <t>PH097332000</t>
  </si>
  <si>
    <t>Zamboanga City</t>
  </si>
  <si>
    <t>PH097333000</t>
  </si>
  <si>
    <t>PH097337000</t>
  </si>
  <si>
    <t>PH097338000</t>
  </si>
  <si>
    <t>PH097340000</t>
  </si>
  <si>
    <t>PH097341000</t>
  </si>
  <si>
    <t>Vicenzo Sagun</t>
  </si>
  <si>
    <t>PH097343000</t>
  </si>
  <si>
    <t>PH097344000</t>
  </si>
  <si>
    <t>PH098301000</t>
  </si>
  <si>
    <t>PH098302000</t>
  </si>
  <si>
    <t>PH098303000</t>
  </si>
  <si>
    <t>PH098304000</t>
  </si>
  <si>
    <t>PH098305000</t>
  </si>
  <si>
    <t>PH098306000</t>
  </si>
  <si>
    <t>PH098307000</t>
  </si>
  <si>
    <t>PH098308000</t>
  </si>
  <si>
    <t>PH098309000</t>
  </si>
  <si>
    <t>PH098310000</t>
  </si>
  <si>
    <t>PH098311000</t>
  </si>
  <si>
    <t>PH098312000</t>
  </si>
  <si>
    <t>PH098313000</t>
  </si>
  <si>
    <t>PH098314000</t>
  </si>
  <si>
    <t>PH098315000</t>
  </si>
  <si>
    <t>PH098316000</t>
  </si>
  <si>
    <t>PH099701000</t>
  </si>
  <si>
    <t>Isabela City</t>
  </si>
  <si>
    <t>PH101301000</t>
  </si>
  <si>
    <t>PH101302000</t>
  </si>
  <si>
    <t>PH101303000</t>
  </si>
  <si>
    <t>PH101304000</t>
  </si>
  <si>
    <t>PH101305000</t>
  </si>
  <si>
    <t>PH101306000</t>
  </si>
  <si>
    <t>PH101307000</t>
  </si>
  <si>
    <t>PH101308000</t>
  </si>
  <si>
    <t>PH101309000</t>
  </si>
  <si>
    <t>PH101310000</t>
  </si>
  <si>
    <t>PH101311000</t>
  </si>
  <si>
    <t>PH101312000</t>
  </si>
  <si>
    <t>City of Malaybalay (Capital)</t>
  </si>
  <si>
    <t>PH101313000</t>
  </si>
  <si>
    <t>PH101314000</t>
  </si>
  <si>
    <t>PH101315000</t>
  </si>
  <si>
    <t>PH101316000</t>
  </si>
  <si>
    <t>PH101317000</t>
  </si>
  <si>
    <t>PH101318000</t>
  </si>
  <si>
    <t>PH101319000</t>
  </si>
  <si>
    <t>PH101320000</t>
  </si>
  <si>
    <t>PH101321000</t>
  </si>
  <si>
    <t>PH101322000</t>
  </si>
  <si>
    <t>PH101801000</t>
  </si>
  <si>
    <t xml:space="preserve">Catarman  </t>
  </si>
  <si>
    <t>PH101802000</t>
  </si>
  <si>
    <t>PH101803000</t>
  </si>
  <si>
    <t>PH101804000</t>
  </si>
  <si>
    <t>Mambajao (Capital)</t>
  </si>
  <si>
    <t>PH101805000</t>
  </si>
  <si>
    <t>PH103501000</t>
  </si>
  <si>
    <t xml:space="preserve">Bacolod  </t>
  </si>
  <si>
    <t>PH103502000</t>
  </si>
  <si>
    <t>PH103503000</t>
  </si>
  <si>
    <t>PH103504000</t>
  </si>
  <si>
    <t>Iligan City</t>
  </si>
  <si>
    <t>PH103505000</t>
  </si>
  <si>
    <t>PH103506000</t>
  </si>
  <si>
    <t>Sultan Naga Dimaporo (Karomatan)</t>
  </si>
  <si>
    <t>PH103507000</t>
  </si>
  <si>
    <t>PH103508000</t>
  </si>
  <si>
    <t>PH103509000</t>
  </si>
  <si>
    <t>PH103510000</t>
  </si>
  <si>
    <t>PH103511000</t>
  </si>
  <si>
    <t>PH103512000</t>
  </si>
  <si>
    <t>PH103513000</t>
  </si>
  <si>
    <t>PH103514000</t>
  </si>
  <si>
    <t>PH103515000</t>
  </si>
  <si>
    <t>PH103516000</t>
  </si>
  <si>
    <t>PH103517000</t>
  </si>
  <si>
    <t>PH103518000</t>
  </si>
  <si>
    <t xml:space="preserve">Salvador  </t>
  </si>
  <si>
    <t>PH103519000</t>
  </si>
  <si>
    <t>PH103520000</t>
  </si>
  <si>
    <t>PH103521000</t>
  </si>
  <si>
    <t>PH103522000</t>
  </si>
  <si>
    <t>Tubod (Capital)</t>
  </si>
  <si>
    <t>PH103523000</t>
  </si>
  <si>
    <t>PH104201000</t>
  </si>
  <si>
    <t>PH104202000</t>
  </si>
  <si>
    <t>PH104203000</t>
  </si>
  <si>
    <t>PH104204000</t>
  </si>
  <si>
    <t>PH104205000</t>
  </si>
  <si>
    <t>PH104206000</t>
  </si>
  <si>
    <t>PH104207000</t>
  </si>
  <si>
    <t>PH104208000</t>
  </si>
  <si>
    <t xml:space="preserve">Lopez Jaena </t>
  </si>
  <si>
    <t>PH104209000</t>
  </si>
  <si>
    <t>Oroquieta City (Capital)</t>
  </si>
  <si>
    <t>PH104210000</t>
  </si>
  <si>
    <t>Ozamis City</t>
  </si>
  <si>
    <t>PH104211000</t>
  </si>
  <si>
    <t>PH104212000</t>
  </si>
  <si>
    <t>PH104213000</t>
  </si>
  <si>
    <t>PH104214000</t>
  </si>
  <si>
    <t>PH104215000</t>
  </si>
  <si>
    <t>Tangub City</t>
  </si>
  <si>
    <t>PH104216000</t>
  </si>
  <si>
    <t>PH104217000</t>
  </si>
  <si>
    <t>Don Victoriano Chiongbian (Don Mariano Marcos)</t>
  </si>
  <si>
    <t>PH104301000</t>
  </si>
  <si>
    <t>PH104302000</t>
  </si>
  <si>
    <t>PH104303000</t>
  </si>
  <si>
    <t>PH104304000</t>
  </si>
  <si>
    <t>PH104305000</t>
  </si>
  <si>
    <t>Cagayan de Oro City (Capital)</t>
  </si>
  <si>
    <t>PH104306000</t>
  </si>
  <si>
    <t>PH104307000</t>
  </si>
  <si>
    <t>PH104308000</t>
  </si>
  <si>
    <t>Gingoog City</t>
  </si>
  <si>
    <t>PH104309000</t>
  </si>
  <si>
    <t>PH104310000</t>
  </si>
  <si>
    <t>PH104311000</t>
  </si>
  <si>
    <t>PH104312000</t>
  </si>
  <si>
    <t>PH104313000</t>
  </si>
  <si>
    <t>PH104314000</t>
  </si>
  <si>
    <t>PH104315000</t>
  </si>
  <si>
    <t>PH104316000</t>
  </si>
  <si>
    <t>PH104317000</t>
  </si>
  <si>
    <t>Magsaysay (Linugos)</t>
  </si>
  <si>
    <t>PH104318000</t>
  </si>
  <si>
    <t>PH104319000</t>
  </si>
  <si>
    <t>PH104320000</t>
  </si>
  <si>
    <t>PH104321000</t>
  </si>
  <si>
    <t>PH104322000</t>
  </si>
  <si>
    <t>PH104323000</t>
  </si>
  <si>
    <t>PH104324000</t>
  </si>
  <si>
    <t>PH104325000</t>
  </si>
  <si>
    <t>PH104326000</t>
  </si>
  <si>
    <t>PH112301000</t>
  </si>
  <si>
    <t>Asuncion (Saug)</t>
  </si>
  <si>
    <t>PH112303000</t>
  </si>
  <si>
    <t>PH112305000</t>
  </si>
  <si>
    <t>PH112314000</t>
  </si>
  <si>
    <t>PH112315000</t>
  </si>
  <si>
    <t>PH112317000</t>
  </si>
  <si>
    <t>PH112318000</t>
  </si>
  <si>
    <t>PH112319000</t>
  </si>
  <si>
    <t>City of Tagum (Capital)</t>
  </si>
  <si>
    <t>PH112322000</t>
  </si>
  <si>
    <t>PH112323000</t>
  </si>
  <si>
    <t>PH112324000</t>
  </si>
  <si>
    <t>PH112401000</t>
  </si>
  <si>
    <t>PH112402000</t>
  </si>
  <si>
    <t>Davao City</t>
  </si>
  <si>
    <t>PH112403000</t>
  </si>
  <si>
    <t>City of Digos (Capital)</t>
  </si>
  <si>
    <t>PH112404000</t>
  </si>
  <si>
    <t>PH112406000</t>
  </si>
  <si>
    <t>PH112407000</t>
  </si>
  <si>
    <t>PH112408000</t>
  </si>
  <si>
    <t>PH112410000</t>
  </si>
  <si>
    <t>PH112411000</t>
  </si>
  <si>
    <t>PH112412000</t>
  </si>
  <si>
    <t>PH112414000</t>
  </si>
  <si>
    <t>PH112501000</t>
  </si>
  <si>
    <t>PH112502000</t>
  </si>
  <si>
    <t>PH112503000</t>
  </si>
  <si>
    <t>PH112504000</t>
  </si>
  <si>
    <t>PH112505000</t>
  </si>
  <si>
    <t>PH112506000</t>
  </si>
  <si>
    <t>PH112507000</t>
  </si>
  <si>
    <t>PH112508000</t>
  </si>
  <si>
    <t>PH112509000</t>
  </si>
  <si>
    <t>City of Mati (Capital)</t>
  </si>
  <si>
    <t>PH112510000</t>
  </si>
  <si>
    <t>PH112511000</t>
  </si>
  <si>
    <t>PH118201000</t>
  </si>
  <si>
    <t>Davao De Oro</t>
  </si>
  <si>
    <t>PH118202000</t>
  </si>
  <si>
    <t>Laak (San Vicente)</t>
  </si>
  <si>
    <t>PH118203000</t>
  </si>
  <si>
    <t>Mabini (Doña Alicia)</t>
  </si>
  <si>
    <t>PH118204000</t>
  </si>
  <si>
    <t>PH118205000</t>
  </si>
  <si>
    <t>Maragusan (San Mariano)</t>
  </si>
  <si>
    <t>PH118206000</t>
  </si>
  <si>
    <t>PH118207000</t>
  </si>
  <si>
    <t>PH118208000</t>
  </si>
  <si>
    <t>PH118209000</t>
  </si>
  <si>
    <t>Nabunturan (Capital)</t>
  </si>
  <si>
    <t>PH118210000</t>
  </si>
  <si>
    <t xml:space="preserve">New Bataan </t>
  </si>
  <si>
    <t>PH118211000</t>
  </si>
  <si>
    <t>PH118601000</t>
  </si>
  <si>
    <t>PH118602000</t>
  </si>
  <si>
    <t>Jose Abad Santos (Trinidad)</t>
  </si>
  <si>
    <t>PH118603000</t>
  </si>
  <si>
    <t>PH118604000</t>
  </si>
  <si>
    <t>PH118605000</t>
  </si>
  <si>
    <t>PH124701000</t>
  </si>
  <si>
    <t>Cotabato (North Cotabato)</t>
  </si>
  <si>
    <t>PH124702000</t>
  </si>
  <si>
    <t>PH124703000</t>
  </si>
  <si>
    <t>PH124704000</t>
  </si>
  <si>
    <t>City of Kidapawan (Capital)</t>
  </si>
  <si>
    <t>PH124705000</t>
  </si>
  <si>
    <t>PH124706000</t>
  </si>
  <si>
    <t>PH124707000</t>
  </si>
  <si>
    <t>PH124708000</t>
  </si>
  <si>
    <t>PH124709000</t>
  </si>
  <si>
    <t>PH124710000</t>
  </si>
  <si>
    <t>M'lang</t>
  </si>
  <si>
    <t>PH124711000</t>
  </si>
  <si>
    <t>Pigcawayan</t>
  </si>
  <si>
    <t>PH124712000</t>
  </si>
  <si>
    <t>PH124713000</t>
  </si>
  <si>
    <t>PH124714000</t>
  </si>
  <si>
    <t>PH124715000</t>
  </si>
  <si>
    <t>PH124716000</t>
  </si>
  <si>
    <t>PH124717000</t>
  </si>
  <si>
    <t>PH124718000</t>
  </si>
  <si>
    <t>PH126302000</t>
  </si>
  <si>
    <t>PH126303000</t>
  </si>
  <si>
    <t>General Santos City (Dadiangas)</t>
  </si>
  <si>
    <t>PH126306000</t>
  </si>
  <si>
    <t>City of Koronadal (Capital)</t>
  </si>
  <si>
    <t>PH126311000</t>
  </si>
  <si>
    <t>PH126312000</t>
  </si>
  <si>
    <t>PH126313000</t>
  </si>
  <si>
    <t>PH126314000</t>
  </si>
  <si>
    <t>PH126315000</t>
  </si>
  <si>
    <t>PH126316000</t>
  </si>
  <si>
    <t>T'boli</t>
  </si>
  <si>
    <t>PH126317000</t>
  </si>
  <si>
    <t>PH126318000</t>
  </si>
  <si>
    <t>PH126319000</t>
  </si>
  <si>
    <t>PH126501000</t>
  </si>
  <si>
    <t>PH126502000</t>
  </si>
  <si>
    <t>PH126503000</t>
  </si>
  <si>
    <t>PH126504000</t>
  </si>
  <si>
    <t>Isulan (Capital)</t>
  </si>
  <si>
    <t>PH126505000</t>
  </si>
  <si>
    <t>PH126506000</t>
  </si>
  <si>
    <t>PH126507000</t>
  </si>
  <si>
    <t>PH126508000</t>
  </si>
  <si>
    <t>Lambayong (Mariano Marcos)</t>
  </si>
  <si>
    <t>PH126509000</t>
  </si>
  <si>
    <t>PH126510000</t>
  </si>
  <si>
    <t>PH126511000</t>
  </si>
  <si>
    <t>sub-Regional Center</t>
  </si>
  <si>
    <t>PH126512000</t>
  </si>
  <si>
    <t>PH128001000</t>
  </si>
  <si>
    <t>Alabel (Capital)</t>
  </si>
  <si>
    <t>PH128002000</t>
  </si>
  <si>
    <t>PH128003000</t>
  </si>
  <si>
    <t>PH128004000</t>
  </si>
  <si>
    <t>PH128005000</t>
  </si>
  <si>
    <t>PH128006000</t>
  </si>
  <si>
    <t>PH128007000</t>
  </si>
  <si>
    <t>PH129804000</t>
  </si>
  <si>
    <t xml:space="preserve">Cotabato City </t>
  </si>
  <si>
    <t>Maguindanao</t>
  </si>
  <si>
    <t>PH133900000</t>
  </si>
  <si>
    <t>PH137401000</t>
  </si>
  <si>
    <t>PH137402000</t>
  </si>
  <si>
    <t>PH137403000</t>
  </si>
  <si>
    <t xml:space="preserve">City of Pasig </t>
  </si>
  <si>
    <t>PH137404000</t>
  </si>
  <si>
    <t>PH137405000</t>
  </si>
  <si>
    <t>PH137501000</t>
  </si>
  <si>
    <t>Caloocan City</t>
  </si>
  <si>
    <t>PH137502000</t>
  </si>
  <si>
    <t>PH137503000</t>
  </si>
  <si>
    <t>PH137504000</t>
  </si>
  <si>
    <t>PH137601000</t>
  </si>
  <si>
    <t>PH137602000</t>
  </si>
  <si>
    <t>PH137603000</t>
  </si>
  <si>
    <t>PH137604000</t>
  </si>
  <si>
    <t>PH137605000</t>
  </si>
  <si>
    <t>PH137606000</t>
  </si>
  <si>
    <t>PH137607000</t>
  </si>
  <si>
    <t>Taguig City</t>
  </si>
  <si>
    <t>PH140101000</t>
  </si>
  <si>
    <t>Bangued (Capital)</t>
  </si>
  <si>
    <t>PH140102000</t>
  </si>
  <si>
    <t>PH140103000</t>
  </si>
  <si>
    <t>PH140104000</t>
  </si>
  <si>
    <t>PH140105000</t>
  </si>
  <si>
    <t>PH140106000</t>
  </si>
  <si>
    <t>PH140107000</t>
  </si>
  <si>
    <t>PH140108000</t>
  </si>
  <si>
    <t>PH140109000</t>
  </si>
  <si>
    <t>PH140110000</t>
  </si>
  <si>
    <t>PH140111000</t>
  </si>
  <si>
    <t>PH140112000</t>
  </si>
  <si>
    <t>PH140113000</t>
  </si>
  <si>
    <t>Licuan-Baay (Licuan)</t>
  </si>
  <si>
    <t>PH140114000</t>
  </si>
  <si>
    <t>PH140115000</t>
  </si>
  <si>
    <t>PH140116000</t>
  </si>
  <si>
    <t>PH140117000</t>
  </si>
  <si>
    <t>PH140118000</t>
  </si>
  <si>
    <t>PH140119000</t>
  </si>
  <si>
    <t>PH140120000</t>
  </si>
  <si>
    <t>PH140121000</t>
  </si>
  <si>
    <t>PH140122000</t>
  </si>
  <si>
    <t>PH140123000</t>
  </si>
  <si>
    <t>PH140124000</t>
  </si>
  <si>
    <t>PH140125000</t>
  </si>
  <si>
    <t>PH140126000</t>
  </si>
  <si>
    <t>PH140127000</t>
  </si>
  <si>
    <t>PH141101000</t>
  </si>
  <si>
    <t>PH141102000</t>
  </si>
  <si>
    <t>Baguio City</t>
  </si>
  <si>
    <t>PH141103000</t>
  </si>
  <si>
    <t>PH141104000</t>
  </si>
  <si>
    <t>PH141105000</t>
  </si>
  <si>
    <t>PH141106000</t>
  </si>
  <si>
    <t>PH141107000</t>
  </si>
  <si>
    <t>PH141108000</t>
  </si>
  <si>
    <t>PH141109000</t>
  </si>
  <si>
    <t>PH141110000</t>
  </si>
  <si>
    <t>La Trinidad (Capital)</t>
  </si>
  <si>
    <t>PH141111000</t>
  </si>
  <si>
    <t>PH141112000</t>
  </si>
  <si>
    <t>PH141113000</t>
  </si>
  <si>
    <t>PH141114000</t>
  </si>
  <si>
    <t>PH142701000</t>
  </si>
  <si>
    <t>PH142702000</t>
  </si>
  <si>
    <t>PH142703000</t>
  </si>
  <si>
    <t>PH142704000</t>
  </si>
  <si>
    <t>Lagawe (Capital)</t>
  </si>
  <si>
    <t>PH142705000</t>
  </si>
  <si>
    <t>PH142706000</t>
  </si>
  <si>
    <t>4rd</t>
  </si>
  <si>
    <t>PH142707000</t>
  </si>
  <si>
    <t>Alfonso Lista (Potia)</t>
  </si>
  <si>
    <t>PH142708000</t>
  </si>
  <si>
    <t>PH142709000</t>
  </si>
  <si>
    <t>PH142710000</t>
  </si>
  <si>
    <t>PH142711000</t>
  </si>
  <si>
    <t>PH143201000</t>
  </si>
  <si>
    <t>PH143206000</t>
  </si>
  <si>
    <t>PH143208000</t>
  </si>
  <si>
    <t>PH143209000</t>
  </si>
  <si>
    <t>PH143211000</t>
  </si>
  <si>
    <t>Rizal (Liwan)</t>
  </si>
  <si>
    <t>PH143213000</t>
  </si>
  <si>
    <t>City of Tabuk (Capital)</t>
  </si>
  <si>
    <t>PH143214000</t>
  </si>
  <si>
    <t>PH143215000</t>
  </si>
  <si>
    <t>PH144401000</t>
  </si>
  <si>
    <t>PH144402000</t>
  </si>
  <si>
    <t>PH144403000</t>
  </si>
  <si>
    <t>PH144404000</t>
  </si>
  <si>
    <t>Bontoc (Capital)</t>
  </si>
  <si>
    <t>PH144405000</t>
  </si>
  <si>
    <t>PH144406000</t>
  </si>
  <si>
    <t>PH144407000</t>
  </si>
  <si>
    <t>PH144408000</t>
  </si>
  <si>
    <t>PH144409000</t>
  </si>
  <si>
    <t>PH144410000</t>
  </si>
  <si>
    <t>PH148101000</t>
  </si>
  <si>
    <t>Calanasan (Bayag)</t>
  </si>
  <si>
    <t>PH148102000</t>
  </si>
  <si>
    <t>PH148103000</t>
  </si>
  <si>
    <t>PH148104000</t>
  </si>
  <si>
    <t>Kabugao (Capital)</t>
  </si>
  <si>
    <t>PH148105000</t>
  </si>
  <si>
    <t>PH148106000</t>
  </si>
  <si>
    <t>PH148107000</t>
  </si>
  <si>
    <t>PH150702000</t>
  </si>
  <si>
    <t>Lamitan City</t>
  </si>
  <si>
    <t>PH150703000</t>
  </si>
  <si>
    <t>PH150704000</t>
  </si>
  <si>
    <t>PH150705000</t>
  </si>
  <si>
    <t>PH150706000</t>
  </si>
  <si>
    <t>Tipo Tipo</t>
  </si>
  <si>
    <t>PH150707000</t>
  </si>
  <si>
    <t>PH150708000</t>
  </si>
  <si>
    <t>PH150709000</t>
  </si>
  <si>
    <t>Al Barka</t>
  </si>
  <si>
    <t>PH150710000</t>
  </si>
  <si>
    <t>PH150711000</t>
  </si>
  <si>
    <t>PH150712000</t>
  </si>
  <si>
    <t>PH150713000</t>
  </si>
  <si>
    <t>Tabuan Lasa</t>
  </si>
  <si>
    <t>PH153601000</t>
  </si>
  <si>
    <t>Bacolod Kalawi</t>
  </si>
  <si>
    <t>PH153602000</t>
  </si>
  <si>
    <t>PH153603000</t>
  </si>
  <si>
    <t>PH153604000</t>
  </si>
  <si>
    <t>PH153605000</t>
  </si>
  <si>
    <t>PH153606000</t>
  </si>
  <si>
    <t>PH153607000</t>
  </si>
  <si>
    <t>PH153609000</t>
  </si>
  <si>
    <t>PH153610000</t>
  </si>
  <si>
    <t>PH153611000</t>
  </si>
  <si>
    <t>PH153612000</t>
  </si>
  <si>
    <t>PH153613000</t>
  </si>
  <si>
    <t>PH153614000</t>
  </si>
  <si>
    <t>PH153615000</t>
  </si>
  <si>
    <t>PH153616000</t>
  </si>
  <si>
    <t>PH153617000</t>
  </si>
  <si>
    <t>Marawi City</t>
  </si>
  <si>
    <t>PH153618000</t>
  </si>
  <si>
    <t>PH153619000</t>
  </si>
  <si>
    <t>PH153620000</t>
  </si>
  <si>
    <t>PH153621000</t>
  </si>
  <si>
    <t>PH153622000</t>
  </si>
  <si>
    <t>PH153623000</t>
  </si>
  <si>
    <t>PH153624000</t>
  </si>
  <si>
    <t>Ditsaan Ramain</t>
  </si>
  <si>
    <t>PH153625000</t>
  </si>
  <si>
    <t>PH153626000</t>
  </si>
  <si>
    <t>PH153627000</t>
  </si>
  <si>
    <t>PH153628000</t>
  </si>
  <si>
    <t>PH153629000</t>
  </si>
  <si>
    <t>PH153630000</t>
  </si>
  <si>
    <t>WAO</t>
  </si>
  <si>
    <t>PH153631000</t>
  </si>
  <si>
    <t>PH153632000</t>
  </si>
  <si>
    <t>PH153633000</t>
  </si>
  <si>
    <t>Buadiposo Buntong</t>
  </si>
  <si>
    <t>PH153634000</t>
  </si>
  <si>
    <t>PH153635000</t>
  </si>
  <si>
    <t>PH153636000</t>
  </si>
  <si>
    <t>PH153637000</t>
  </si>
  <si>
    <t>PH153638000</t>
  </si>
  <si>
    <t>PH153639000</t>
  </si>
  <si>
    <t>PH153640000</t>
  </si>
  <si>
    <t>PH153641000</t>
  </si>
  <si>
    <t>Lumbaca Unayan</t>
  </si>
  <si>
    <t>PH153801000</t>
  </si>
  <si>
    <t>Maguindanao Del Sur</t>
  </si>
  <si>
    <t>PH153802000</t>
  </si>
  <si>
    <t>Maguindanao Del Norte</t>
  </si>
  <si>
    <t>PH153803000</t>
  </si>
  <si>
    <t>PH153805000</t>
  </si>
  <si>
    <t>PH153806000</t>
  </si>
  <si>
    <t>PH153807000</t>
  </si>
  <si>
    <t>PH153808000</t>
  </si>
  <si>
    <t>PH153809000</t>
  </si>
  <si>
    <t>PH153810000</t>
  </si>
  <si>
    <t>PH153811000</t>
  </si>
  <si>
    <t>PH153812000</t>
  </si>
  <si>
    <t>PH153813000</t>
  </si>
  <si>
    <t>Sultan sa Barongis</t>
  </si>
  <si>
    <t>PH153814000</t>
  </si>
  <si>
    <t>Kabuntalan (Tumbao)</t>
  </si>
  <si>
    <t>PH153815000</t>
  </si>
  <si>
    <t>North Upi</t>
  </si>
  <si>
    <t>PH153816000</t>
  </si>
  <si>
    <t>PH153817000</t>
  </si>
  <si>
    <t>PH153818000</t>
  </si>
  <si>
    <t>PH153819000</t>
  </si>
  <si>
    <t>General Salipada K. Pendatun</t>
  </si>
  <si>
    <t>PH153820000</t>
  </si>
  <si>
    <t>PH153821000</t>
  </si>
  <si>
    <t>PH153822000</t>
  </si>
  <si>
    <t>Datu Montawal</t>
  </si>
  <si>
    <t>PH153823000</t>
  </si>
  <si>
    <t>PH153824000</t>
  </si>
  <si>
    <t>PH153825000</t>
  </si>
  <si>
    <t>PH153826000</t>
  </si>
  <si>
    <t>PH153827000</t>
  </si>
  <si>
    <t>PH153828000</t>
  </si>
  <si>
    <t>PH153829000</t>
  </si>
  <si>
    <t>PH153830000</t>
  </si>
  <si>
    <t>Datu Blah Sinsuat</t>
  </si>
  <si>
    <t>PH153831000</t>
  </si>
  <si>
    <t>PH153832000</t>
  </si>
  <si>
    <t>PH153833000</t>
  </si>
  <si>
    <t>PH153834000</t>
  </si>
  <si>
    <t>PH153835000</t>
  </si>
  <si>
    <t>PH153836000</t>
  </si>
  <si>
    <t>PH153837000</t>
  </si>
  <si>
    <t>PH156601000</t>
  </si>
  <si>
    <t>PH156602000</t>
  </si>
  <si>
    <t>PH156603000</t>
  </si>
  <si>
    <t>PH156604000</t>
  </si>
  <si>
    <t>PH156605000</t>
  </si>
  <si>
    <t>PH156606000</t>
  </si>
  <si>
    <t>PH156607000</t>
  </si>
  <si>
    <t>PH156608000</t>
  </si>
  <si>
    <t>PH156609000</t>
  </si>
  <si>
    <t>PH156610000</t>
  </si>
  <si>
    <t>PH156611000</t>
  </si>
  <si>
    <t>PH156612000</t>
  </si>
  <si>
    <t>PH156613000</t>
  </si>
  <si>
    <t>PH156614000</t>
  </si>
  <si>
    <t>PH156615000</t>
  </si>
  <si>
    <t>PH156616000</t>
  </si>
  <si>
    <t>PH156617000</t>
  </si>
  <si>
    <t>PH156618000</t>
  </si>
  <si>
    <t>PH156619000</t>
  </si>
  <si>
    <t>PH157001000</t>
  </si>
  <si>
    <t>PH157002000</t>
  </si>
  <si>
    <t>PH157003000</t>
  </si>
  <si>
    <t>PH157004000</t>
  </si>
  <si>
    <t>Simunol</t>
  </si>
  <si>
    <t>PH157005000</t>
  </si>
  <si>
    <t>PH157006000</t>
  </si>
  <si>
    <t>PH157007000</t>
  </si>
  <si>
    <t>PH157008000</t>
  </si>
  <si>
    <t>Turtle Island</t>
  </si>
  <si>
    <t>PH157009000</t>
  </si>
  <si>
    <t>PH157010000</t>
  </si>
  <si>
    <t>Sapa Sapa</t>
  </si>
  <si>
    <t>PH157011000</t>
  </si>
  <si>
    <t>Sibuto</t>
  </si>
  <si>
    <t>PH160201000</t>
  </si>
  <si>
    <t>PH160202000</t>
  </si>
  <si>
    <t>Butuan City (Capital)</t>
  </si>
  <si>
    <t>PH160203000</t>
  </si>
  <si>
    <t>PH160204000</t>
  </si>
  <si>
    <t>PH160205000</t>
  </si>
  <si>
    <t>PH160206000</t>
  </si>
  <si>
    <t>PH160207000</t>
  </si>
  <si>
    <t>PH160208000</t>
  </si>
  <si>
    <t>PH160209000</t>
  </si>
  <si>
    <t>PH160210000</t>
  </si>
  <si>
    <t>PH160211000</t>
  </si>
  <si>
    <t>PH160212000</t>
  </si>
  <si>
    <t>PH160301000</t>
  </si>
  <si>
    <t>PH160302000</t>
  </si>
  <si>
    <t>PH160303000</t>
  </si>
  <si>
    <t>PH160304000</t>
  </si>
  <si>
    <t>PH160305000</t>
  </si>
  <si>
    <t>PH160306000</t>
  </si>
  <si>
    <t>Prosperidad (Capital)</t>
  </si>
  <si>
    <t>PH160307000</t>
  </si>
  <si>
    <t>PH160308000</t>
  </si>
  <si>
    <t>PH160309000</t>
  </si>
  <si>
    <t>PH160310000</t>
  </si>
  <si>
    <t>PH160311000</t>
  </si>
  <si>
    <t>PH160312000</t>
  </si>
  <si>
    <t>PH160313000</t>
  </si>
  <si>
    <t>PH160314000</t>
  </si>
  <si>
    <t>PH166701000</t>
  </si>
  <si>
    <t>PH166702000</t>
  </si>
  <si>
    <t>PH166704000</t>
  </si>
  <si>
    <t>PH166706000</t>
  </si>
  <si>
    <t>PH166707000</t>
  </si>
  <si>
    <t>PH166708000</t>
  </si>
  <si>
    <t>PH166710000</t>
  </si>
  <si>
    <t>PH166711000</t>
  </si>
  <si>
    <t>PH166714000</t>
  </si>
  <si>
    <t>PH166715000</t>
  </si>
  <si>
    <t>PH166716000</t>
  </si>
  <si>
    <t>PH166717000</t>
  </si>
  <si>
    <t>PH166718000</t>
  </si>
  <si>
    <t>PH166719000</t>
  </si>
  <si>
    <t>San Francisco (Anao-aon)</t>
  </si>
  <si>
    <t>PH166720000</t>
  </si>
  <si>
    <t>PH166721000</t>
  </si>
  <si>
    <t>Santa Monica (Sapao)</t>
  </si>
  <si>
    <t>PH166722000</t>
  </si>
  <si>
    <t>PH166723000</t>
  </si>
  <si>
    <t>PH166724000</t>
  </si>
  <si>
    <t>Surigao City (Capital)</t>
  </si>
  <si>
    <t>PH166725000</t>
  </si>
  <si>
    <t>Tagana-an</t>
  </si>
  <si>
    <t>PH166727000</t>
  </si>
  <si>
    <t xml:space="preserve">Tubod  </t>
  </si>
  <si>
    <t>PH166801000</t>
  </si>
  <si>
    <t>PH166802000</t>
  </si>
  <si>
    <t>PH166803000</t>
  </si>
  <si>
    <t>PH166804000</t>
  </si>
  <si>
    <t>PH166805000</t>
  </si>
  <si>
    <t>PH166806000</t>
  </si>
  <si>
    <t>PH166807000</t>
  </si>
  <si>
    <t>PH166808000</t>
  </si>
  <si>
    <t>PH166809000</t>
  </si>
  <si>
    <t>PH166810000</t>
  </si>
  <si>
    <t>PH166811000</t>
  </si>
  <si>
    <t>PH166812000</t>
  </si>
  <si>
    <t>PH166813000</t>
  </si>
  <si>
    <t>PH166814000</t>
  </si>
  <si>
    <t>PH166815000</t>
  </si>
  <si>
    <t>PH166816000</t>
  </si>
  <si>
    <t>PH166817000</t>
  </si>
  <si>
    <t>PH166818000</t>
  </si>
  <si>
    <t xml:space="preserve">Tago  </t>
  </si>
  <si>
    <t>PH166819000</t>
  </si>
  <si>
    <t>City of Tandag (Capital)</t>
  </si>
  <si>
    <t>PH168501000</t>
  </si>
  <si>
    <t>Basilisa (Rizal)</t>
  </si>
  <si>
    <t>PH168502000</t>
  </si>
  <si>
    <t>PH168503000</t>
  </si>
  <si>
    <t>PH168504000</t>
  </si>
  <si>
    <t>Libjo (Albor)</t>
  </si>
  <si>
    <t>PH168505000</t>
  </si>
  <si>
    <t>PH168506000</t>
  </si>
  <si>
    <t>PH168507000</t>
  </si>
  <si>
    <t>PH174001000</t>
  </si>
  <si>
    <t>Boac (Capital)</t>
  </si>
  <si>
    <t>PH174002000</t>
  </si>
  <si>
    <t>PH174003000</t>
  </si>
  <si>
    <t>PH174004000</t>
  </si>
  <si>
    <t>PH174005000</t>
  </si>
  <si>
    <t>PH174006000</t>
  </si>
  <si>
    <t>PH175101000</t>
  </si>
  <si>
    <t>Abra de Ilog</t>
  </si>
  <si>
    <t>PH175102000</t>
  </si>
  <si>
    <t>PH175103000</t>
  </si>
  <si>
    <t>PH175104000</t>
  </si>
  <si>
    <t>PH175105000</t>
  </si>
  <si>
    <t>PH175106000</t>
  </si>
  <si>
    <t>Mamburao (Capital)</t>
  </si>
  <si>
    <t>PH175107000</t>
  </si>
  <si>
    <t>PH175108000</t>
  </si>
  <si>
    <t>PH175109000</t>
  </si>
  <si>
    <t>PH175110000</t>
  </si>
  <si>
    <t>PH175111000</t>
  </si>
  <si>
    <t>PH175201000</t>
  </si>
  <si>
    <t>PH175202000</t>
  </si>
  <si>
    <t>PH175203000</t>
  </si>
  <si>
    <t>PH175204000</t>
  </si>
  <si>
    <t>Bulalacao (San Pedro)</t>
  </si>
  <si>
    <t>PH175205000</t>
  </si>
  <si>
    <t>City of Calapan (Capital)</t>
  </si>
  <si>
    <t>PH175206000</t>
  </si>
  <si>
    <t>PH175207000</t>
  </si>
  <si>
    <t>PH175208000</t>
  </si>
  <si>
    <t>PH175209000</t>
  </si>
  <si>
    <t>PH175210000</t>
  </si>
  <si>
    <t>PH175211000</t>
  </si>
  <si>
    <t>PH175212000</t>
  </si>
  <si>
    <t>PH175213000</t>
  </si>
  <si>
    <t>PH175214000</t>
  </si>
  <si>
    <t>PH175215000</t>
  </si>
  <si>
    <t>PH175301000</t>
  </si>
  <si>
    <t>PH175302000</t>
  </si>
  <si>
    <t>PH175303000</t>
  </si>
  <si>
    <t>PH175304000</t>
  </si>
  <si>
    <t>PH175305000</t>
  </si>
  <si>
    <t>PH175306000</t>
  </si>
  <si>
    <t>PH175307000</t>
  </si>
  <si>
    <t>PH175308000</t>
  </si>
  <si>
    <t>PH175309000</t>
  </si>
  <si>
    <t>PH175310000</t>
  </si>
  <si>
    <t>PH175311000</t>
  </si>
  <si>
    <t>PH175312000</t>
  </si>
  <si>
    <t>El Nido (Bacuit)</t>
  </si>
  <si>
    <t>PH175313000</t>
  </si>
  <si>
    <t>PH175314000</t>
  </si>
  <si>
    <t>PH175315000</t>
  </si>
  <si>
    <t>PH175316000</t>
  </si>
  <si>
    <t>Puerto Princesa City (Capital)</t>
  </si>
  <si>
    <t>PH175317000</t>
  </si>
  <si>
    <t>PH175318000</t>
  </si>
  <si>
    <t>PH175319000</t>
  </si>
  <si>
    <t>PH175320000</t>
  </si>
  <si>
    <t>PH175321000</t>
  </si>
  <si>
    <t>PH175322000</t>
  </si>
  <si>
    <t>PH175323000</t>
  </si>
  <si>
    <t>Rizal (Marcos)</t>
  </si>
  <si>
    <t>PH175324000</t>
  </si>
  <si>
    <t>PH175901000</t>
  </si>
  <si>
    <t>PH175902000</t>
  </si>
  <si>
    <t>PH175903000</t>
  </si>
  <si>
    <t>PH175904000</t>
  </si>
  <si>
    <t>PH175905000</t>
  </si>
  <si>
    <t>PH175906000</t>
  </si>
  <si>
    <t>PH175907000</t>
  </si>
  <si>
    <t>PH175908000</t>
  </si>
  <si>
    <t>PH175909000</t>
  </si>
  <si>
    <t>PH175910000</t>
  </si>
  <si>
    <t>Romblon (Capital)</t>
  </si>
  <si>
    <t>PH175911000</t>
  </si>
  <si>
    <t>PH175912000</t>
  </si>
  <si>
    <t>PH175913000</t>
  </si>
  <si>
    <t>PH175914000</t>
  </si>
  <si>
    <t>PH175915000</t>
  </si>
  <si>
    <t>PH175916000</t>
  </si>
  <si>
    <t>PH175917000</t>
  </si>
  <si>
    <t>Santa Maria (Imelda)</t>
  </si>
  <si>
    <t>Prepared by:</t>
  </si>
  <si>
    <t>BRECHELLE GRACE P. BENOTAPA, EnP</t>
  </si>
  <si>
    <t>Officer-in-Charge/Housing and Homesite Regulations Officer III</t>
  </si>
  <si>
    <t>ELUPDD, DHSUD Negros Island Region</t>
  </si>
  <si>
    <t>Noted by:</t>
  </si>
  <si>
    <t>ELENITA PAULINA R. CAÑETE</t>
  </si>
  <si>
    <t xml:space="preserve">OIC-Regional Director </t>
  </si>
  <si>
    <t>DHSUD 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</si>
</sst>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m/d/yyyy;@"/>
    <numFmt numFmtId="166" formatCode="yy/mm/dd;@"/>
    <numFmt numFmtId="167" formatCode="yyyy"/>
    <numFmt numFmtId="168" formatCode="&quot;₱&quot;#,##0.00"/>
  </numFmts>
  <fonts count="109" x14ac:knownFonts="1">
    <font>
      <sz val="11"/>
      <color theme="1"/>
      <name val="Calibri"/>
      <family val="2"/>
      <scheme val="minor"/>
    </font>
    <font>
      <b/>
      <sz val="11"/>
      <color theme="0"/>
      <name val="Calibri"/>
      <family val="2"/>
      <scheme val="minor"/>
    </font>
    <font>
      <sz val="11"/>
      <color theme="0"/>
      <name val="Calibri"/>
      <family val="2"/>
      <scheme val="minor"/>
    </font>
    <font>
      <sz val="11"/>
      <color rgb="FF000000"/>
      <name val="Calibri"/>
      <family val="2"/>
      <scheme val="minor"/>
    </font>
    <font>
      <b/>
      <sz val="9"/>
      <color indexed="81"/>
      <name val="Tahoma"/>
      <family val="2"/>
    </font>
    <font>
      <b/>
      <sz val="11"/>
      <color theme="1"/>
      <name val="Calibri"/>
      <family val="2"/>
      <scheme val="minor"/>
    </font>
    <font>
      <sz val="8"/>
      <name val="Calibri"/>
      <family val="2"/>
      <scheme val="minor"/>
    </font>
    <font>
      <sz val="10"/>
      <name val="Calibri"/>
      <family val="2"/>
      <scheme val="minor"/>
    </font>
    <font>
      <sz val="11"/>
      <name val="Calibri"/>
      <family val="2"/>
      <scheme val="minor"/>
    </font>
    <font>
      <b/>
      <sz val="10"/>
      <name val="Arial"/>
      <family val="2"/>
    </font>
    <font>
      <sz val="11"/>
      <color theme="1"/>
      <name val="Calibri"/>
      <family val="2"/>
      <scheme val="minor"/>
    </font>
    <font>
      <u/>
      <sz val="11"/>
      <color theme="10"/>
      <name val="Calibri"/>
      <family val="2"/>
      <scheme val="minor"/>
    </font>
    <font>
      <sz val="11"/>
      <color theme="1"/>
      <name val="Arial"/>
      <family val="2"/>
    </font>
    <font>
      <b/>
      <sz val="14"/>
      <color theme="1"/>
      <name val="Calibri"/>
      <family val="2"/>
      <scheme val="minor"/>
    </font>
    <font>
      <b/>
      <sz val="22"/>
      <color theme="1"/>
      <name val="Calibri"/>
      <family val="2"/>
      <scheme val="minor"/>
    </font>
    <font>
      <sz val="22"/>
      <color theme="1"/>
      <name val="Calibri"/>
      <family val="2"/>
      <scheme val="minor"/>
    </font>
    <font>
      <b/>
      <u/>
      <sz val="11"/>
      <color theme="10"/>
      <name val="Calibri"/>
      <family val="2"/>
      <scheme val="minor"/>
    </font>
    <font>
      <sz val="12"/>
      <color theme="1"/>
      <name val="Calibri"/>
      <family val="2"/>
      <scheme val="minor"/>
    </font>
    <font>
      <b/>
      <sz val="10"/>
      <color theme="1"/>
      <name val="Arial"/>
      <family val="2"/>
    </font>
    <font>
      <sz val="10"/>
      <color theme="1"/>
      <name val="Arial"/>
      <family val="2"/>
    </font>
    <font>
      <b/>
      <sz val="12"/>
      <color theme="1"/>
      <name val="Arial"/>
      <family val="2"/>
    </font>
    <font>
      <i/>
      <sz val="10"/>
      <color theme="1"/>
      <name val="Arial"/>
      <family val="2"/>
    </font>
    <font>
      <b/>
      <sz val="11"/>
      <color theme="1"/>
      <name val="Arial"/>
      <family val="2"/>
    </font>
    <font>
      <b/>
      <sz val="11"/>
      <name val="Arial"/>
      <family val="2"/>
    </font>
    <font>
      <sz val="11"/>
      <color rgb="FF000000"/>
      <name val="Arial"/>
      <family val="2"/>
    </font>
    <font>
      <b/>
      <sz val="11"/>
      <color rgb="FF000000"/>
      <name val="Arial"/>
      <family val="2"/>
    </font>
    <font>
      <b/>
      <sz val="14"/>
      <color rgb="FF0000FF"/>
      <name val="Arial"/>
      <family val="2"/>
    </font>
    <font>
      <b/>
      <sz val="12"/>
      <color rgb="FF000000"/>
      <name val="Arial"/>
      <family val="2"/>
    </font>
    <font>
      <b/>
      <sz val="12"/>
      <color rgb="FFFF0000"/>
      <name val="Arial"/>
      <family val="2"/>
    </font>
    <font>
      <sz val="10"/>
      <name val="Arial"/>
      <family val="2"/>
    </font>
    <font>
      <b/>
      <sz val="10"/>
      <color rgb="FFFF0000"/>
      <name val="Arial"/>
      <family val="2"/>
    </font>
    <font>
      <sz val="10"/>
      <color rgb="FFFF0000"/>
      <name val="Arial"/>
      <family val="2"/>
    </font>
    <font>
      <sz val="10"/>
      <color rgb="FF000000"/>
      <name val="Arial"/>
      <family val="2"/>
    </font>
    <font>
      <b/>
      <u/>
      <sz val="11"/>
      <color theme="10"/>
      <name val="Arial"/>
      <family val="2"/>
    </font>
    <font>
      <u/>
      <sz val="11"/>
      <color theme="10"/>
      <name val="Arial"/>
      <family val="2"/>
    </font>
    <font>
      <b/>
      <i/>
      <sz val="11"/>
      <color theme="0"/>
      <name val="Arial"/>
      <family val="2"/>
    </font>
    <font>
      <b/>
      <sz val="11"/>
      <color theme="0"/>
      <name val="Arial"/>
      <family val="2"/>
    </font>
    <font>
      <b/>
      <sz val="11"/>
      <color theme="8" tint="-0.249977111117893"/>
      <name val="Arial"/>
      <family val="2"/>
    </font>
    <font>
      <sz val="9"/>
      <color indexed="81"/>
      <name val="Tahoma"/>
      <family val="2"/>
    </font>
    <font>
      <b/>
      <sz val="24"/>
      <color theme="1"/>
      <name val="Arial"/>
      <family val="2"/>
    </font>
    <font>
      <b/>
      <sz val="9"/>
      <color theme="1"/>
      <name val="Arial"/>
      <family val="2"/>
    </font>
    <font>
      <b/>
      <sz val="8"/>
      <color rgb="FF000000"/>
      <name val="Arial"/>
      <family val="2"/>
    </font>
    <font>
      <i/>
      <sz val="8"/>
      <color theme="1"/>
      <name val="Arial"/>
      <family val="2"/>
    </font>
    <font>
      <b/>
      <sz val="8"/>
      <color theme="1"/>
      <name val="Arial"/>
      <family val="2"/>
    </font>
    <font>
      <sz val="11"/>
      <name val="Arial"/>
      <family val="2"/>
    </font>
    <font>
      <sz val="11"/>
      <color rgb="FF0A0101"/>
      <name val="Arial"/>
      <family val="2"/>
    </font>
    <font>
      <b/>
      <sz val="11"/>
      <color rgb="FFC00000"/>
      <name val="Arial"/>
      <family val="2"/>
    </font>
    <font>
      <b/>
      <u/>
      <sz val="11"/>
      <color rgb="FFC00000"/>
      <name val="Arial"/>
      <family val="2"/>
    </font>
    <font>
      <b/>
      <u/>
      <sz val="11"/>
      <color theme="1"/>
      <name val="Arial"/>
      <family val="2"/>
    </font>
    <font>
      <i/>
      <sz val="11"/>
      <color rgb="FFFF0000"/>
      <name val="Arial"/>
      <family val="2"/>
    </font>
    <font>
      <b/>
      <i/>
      <sz val="11"/>
      <color rgb="FFFF0000"/>
      <name val="Arial"/>
      <family val="2"/>
    </font>
    <font>
      <b/>
      <i/>
      <sz val="9"/>
      <color theme="1"/>
      <name val="Arial"/>
      <family val="2"/>
    </font>
    <font>
      <b/>
      <sz val="11"/>
      <color rgb="FFFF0000"/>
      <name val="Arial"/>
      <family val="2"/>
    </font>
    <font>
      <b/>
      <i/>
      <sz val="8"/>
      <color rgb="FFFF0000"/>
      <name val="Arial"/>
      <family val="2"/>
    </font>
    <font>
      <i/>
      <sz val="11"/>
      <color rgb="FF000000"/>
      <name val="Arial"/>
      <family val="2"/>
    </font>
    <font>
      <sz val="11"/>
      <color rgb="FFFF0000"/>
      <name val="Arial"/>
      <family val="2"/>
    </font>
    <font>
      <b/>
      <i/>
      <sz val="11"/>
      <color theme="1"/>
      <name val="Arial"/>
      <family val="2"/>
    </font>
    <font>
      <b/>
      <u/>
      <sz val="11"/>
      <color rgb="FF000000"/>
      <name val="Arial"/>
      <family val="2"/>
    </font>
    <font>
      <sz val="9"/>
      <color theme="1"/>
      <name val="Arial"/>
      <family val="2"/>
    </font>
    <font>
      <b/>
      <sz val="10"/>
      <color theme="0"/>
      <name val="Arial"/>
      <family val="2"/>
    </font>
    <font>
      <sz val="10"/>
      <color theme="0"/>
      <name val="Arial"/>
      <family val="2"/>
    </font>
    <font>
      <i/>
      <sz val="11"/>
      <color theme="8" tint="-0.249977111117893"/>
      <name val="Arial"/>
      <family val="2"/>
    </font>
    <font>
      <b/>
      <i/>
      <sz val="11"/>
      <color theme="8" tint="-0.249977111117893"/>
      <name val="Arial"/>
      <family val="2"/>
    </font>
    <font>
      <b/>
      <i/>
      <sz val="11"/>
      <color rgb="FF000000"/>
      <name val="Arial"/>
      <family val="2"/>
    </font>
    <font>
      <i/>
      <sz val="10"/>
      <color theme="4"/>
      <name val="Arial"/>
      <family val="2"/>
    </font>
    <font>
      <sz val="10"/>
      <color theme="4"/>
      <name val="Arial"/>
      <family val="2"/>
    </font>
    <font>
      <b/>
      <sz val="10"/>
      <color theme="4"/>
      <name val="Arial"/>
      <family val="2"/>
    </font>
    <font>
      <i/>
      <sz val="10"/>
      <color rgb="FFFF0000"/>
      <name val="Arial"/>
      <family val="2"/>
    </font>
    <font>
      <b/>
      <i/>
      <sz val="8"/>
      <color theme="1"/>
      <name val="Arial"/>
      <family val="2"/>
    </font>
    <font>
      <b/>
      <i/>
      <sz val="10"/>
      <color theme="1"/>
      <name val="Arial"/>
      <family val="2"/>
    </font>
    <font>
      <b/>
      <sz val="10"/>
      <name val="Calibri"/>
      <family val="2"/>
      <scheme val="minor"/>
    </font>
    <font>
      <b/>
      <i/>
      <sz val="9"/>
      <color rgb="FFFF0000"/>
      <name val="Arial"/>
      <family val="2"/>
    </font>
    <font>
      <b/>
      <i/>
      <sz val="11"/>
      <color rgb="FFC00000"/>
      <name val="Arial"/>
      <family val="2"/>
    </font>
    <font>
      <i/>
      <sz val="11"/>
      <color theme="1"/>
      <name val="Arial"/>
      <family val="2"/>
    </font>
    <font>
      <b/>
      <i/>
      <u/>
      <sz val="11"/>
      <color rgb="FFC00000"/>
      <name val="Arial"/>
      <family val="2"/>
    </font>
    <font>
      <b/>
      <i/>
      <u/>
      <sz val="11"/>
      <color theme="1"/>
      <name val="Arial"/>
      <family val="2"/>
    </font>
    <font>
      <b/>
      <i/>
      <sz val="8"/>
      <color rgb="FFC00000"/>
      <name val="Arial"/>
      <family val="2"/>
    </font>
    <font>
      <b/>
      <i/>
      <sz val="11"/>
      <color theme="5" tint="-0.249977111117893"/>
      <name val="Arial"/>
      <family val="2"/>
    </font>
    <font>
      <sz val="11"/>
      <color rgb="FF000000"/>
      <name val="Calibri"/>
      <family val="2"/>
    </font>
    <font>
      <b/>
      <i/>
      <sz val="8"/>
      <color rgb="FF000000"/>
      <name val="Arial"/>
      <family val="2"/>
    </font>
    <font>
      <sz val="10"/>
      <color theme="1"/>
      <name val="Calibri Light"/>
      <family val="2"/>
      <scheme val="major"/>
    </font>
    <font>
      <sz val="11"/>
      <color rgb="FF080809"/>
      <name val="Segoe UI Historic"/>
      <family val="2"/>
    </font>
    <font>
      <sz val="12"/>
      <color theme="1"/>
      <name val="Arial"/>
      <family val="2"/>
    </font>
    <font>
      <b/>
      <sz val="10"/>
      <color rgb="FF000000"/>
      <name val="Arial"/>
      <family val="2"/>
    </font>
    <font>
      <sz val="12"/>
      <color theme="0"/>
      <name val="Arial"/>
      <family val="2"/>
    </font>
    <font>
      <sz val="11.5"/>
      <color theme="0"/>
      <name val="Arial"/>
      <family val="2"/>
    </font>
    <font>
      <sz val="11"/>
      <name val="Calibri"/>
      <family val="2"/>
    </font>
    <font>
      <i/>
      <sz val="10"/>
      <color rgb="FF000000"/>
      <name val="Arial"/>
      <family val="2"/>
    </font>
    <font>
      <sz val="11"/>
      <color rgb="FF000000"/>
      <name val="Arial Narrow"/>
      <family val="2"/>
    </font>
    <font>
      <sz val="11"/>
      <color rgb="FF0A0101"/>
      <name val="Arial Narrow"/>
      <family val="2"/>
    </font>
    <font>
      <sz val="11"/>
      <name val="Arial Narrow"/>
      <family val="2"/>
    </font>
    <font>
      <sz val="10"/>
      <color theme="1"/>
      <name val="Arial Narrow"/>
    </font>
    <font>
      <sz val="12"/>
      <color rgb="FF000000"/>
      <name val="Arial Narrow"/>
    </font>
    <font>
      <sz val="11"/>
      <name val="Arial Narrow"/>
    </font>
    <font>
      <sz val="11"/>
      <color rgb="FF000000"/>
      <name val="Arial Narrow"/>
    </font>
    <font>
      <sz val="11"/>
      <color theme="1"/>
      <name val="Arial Narrow"/>
    </font>
    <font>
      <sz val="11"/>
      <color rgb="FF0A0101"/>
      <name val="Arial Narrow"/>
    </font>
    <font>
      <sz val="12"/>
      <name val="Arial Narrow"/>
    </font>
    <font>
      <sz val="11"/>
      <color rgb="FFFF0000"/>
      <name val="Arial Narrow"/>
    </font>
    <font>
      <sz val="10"/>
      <color rgb="FF000000"/>
      <name val="Arial Narrow"/>
    </font>
    <font>
      <sz val="10"/>
      <name val="Arial Narrow"/>
    </font>
    <font>
      <u/>
      <sz val="11"/>
      <color theme="10"/>
      <name val="Arial Narrow"/>
    </font>
    <font>
      <b/>
      <sz val="12"/>
      <color rgb="FF0D0D0D"/>
      <name val="Arial Narrow"/>
      <family val="2"/>
    </font>
    <font>
      <sz val="12"/>
      <color rgb="FF0D0D0D"/>
      <name val="Arial Narrow"/>
      <family val="2"/>
    </font>
    <font>
      <b/>
      <sz val="12"/>
      <color rgb="FF000000"/>
      <name val="Arial"/>
    </font>
    <font>
      <b/>
      <u/>
      <sz val="12"/>
      <color rgb="FFFF0000"/>
      <name val="Arial"/>
    </font>
    <font>
      <b/>
      <sz val="12"/>
      <color theme="1"/>
      <name val="Arial"/>
    </font>
    <font>
      <b/>
      <sz val="12"/>
      <color rgb="FFFF0000"/>
      <name val="Arial"/>
    </font>
    <font>
      <b/>
      <i/>
      <sz val="12"/>
      <color rgb="FFFF0000"/>
      <name val="Arial"/>
    </font>
  </fonts>
  <fills count="3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theme="8"/>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7030A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7"/>
        <bgColor indexed="64"/>
      </patternFill>
    </fill>
    <fill>
      <patternFill patternType="solid">
        <fgColor rgb="FF002060"/>
        <bgColor indexed="64"/>
      </patternFill>
    </fill>
    <fill>
      <patternFill patternType="solid">
        <fgColor rgb="FFC6E0B4"/>
        <bgColor rgb="FF000000"/>
      </patternFill>
    </fill>
    <fill>
      <patternFill patternType="solid">
        <fgColor rgb="FFDDEBF7"/>
        <bgColor rgb="FF000000"/>
      </patternFill>
    </fill>
    <fill>
      <patternFill patternType="solid">
        <fgColor rgb="FFFFFFFF"/>
        <bgColor rgb="FF000000"/>
      </patternFill>
    </fill>
    <fill>
      <patternFill patternType="solid">
        <fgColor rgb="FFD9E1F2"/>
        <bgColor rgb="FF000000"/>
      </patternFill>
    </fill>
    <fill>
      <patternFill patternType="solid">
        <fgColor rgb="FFE2EFDA"/>
        <bgColor rgb="FF000000"/>
      </patternFill>
    </fill>
    <fill>
      <patternFill patternType="solid">
        <fgColor rgb="FFA9D08E"/>
        <bgColor rgb="FF000000"/>
      </patternFill>
    </fill>
    <fill>
      <patternFill patternType="solid">
        <fgColor rgb="FFFFFF00"/>
        <bgColor rgb="FF000000"/>
      </patternFill>
    </fill>
  </fills>
  <borders count="21">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rgb="FF000000"/>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7">
    <xf numFmtId="0" fontId="0" fillId="0" borderId="0"/>
    <xf numFmtId="43" fontId="10" fillId="0" borderId="0" applyFont="0" applyFill="0" applyBorder="0" applyAlignment="0" applyProtection="0"/>
    <xf numFmtId="9" fontId="10" fillId="0" borderId="0" applyFont="0" applyFill="0" applyBorder="0" applyAlignment="0" applyProtection="0"/>
    <xf numFmtId="0" fontId="11" fillId="0" borderId="0" applyNumberFormat="0" applyFill="0" applyBorder="0" applyAlignment="0" applyProtection="0"/>
    <xf numFmtId="0" fontId="12" fillId="0" borderId="0"/>
    <xf numFmtId="0" fontId="12" fillId="0" borderId="0"/>
    <xf numFmtId="43" fontId="10" fillId="0" borderId="0" applyFont="0" applyFill="0" applyBorder="0" applyAlignment="0" applyProtection="0"/>
  </cellStyleXfs>
  <cellXfs count="637">
    <xf numFmtId="0" fontId="0" fillId="0" borderId="0" xfId="0"/>
    <xf numFmtId="0" fontId="0" fillId="0" borderId="0" xfId="0" applyAlignment="1">
      <alignment horizontal="center"/>
    </xf>
    <xf numFmtId="0" fontId="3" fillId="0" borderId="0" xfId="0" applyFont="1"/>
    <xf numFmtId="0" fontId="3" fillId="0" borderId="0" xfId="0" applyFont="1" applyAlignment="1">
      <alignment horizontal="center"/>
    </xf>
    <xf numFmtId="0" fontId="0" fillId="2" borderId="0" xfId="0" applyFill="1"/>
    <xf numFmtId="0" fontId="0" fillId="2" borderId="0" xfId="0" applyFill="1" applyAlignment="1">
      <alignment horizontal="center"/>
    </xf>
    <xf numFmtId="0" fontId="0" fillId="3" borderId="0" xfId="0" applyFill="1"/>
    <xf numFmtId="0" fontId="0" fillId="3" borderId="0" xfId="0" applyFill="1" applyAlignment="1">
      <alignment horizontal="center"/>
    </xf>
    <xf numFmtId="0" fontId="0" fillId="4" borderId="0" xfId="0" applyFill="1"/>
    <xf numFmtId="0" fontId="2" fillId="0" borderId="0" xfId="0" applyFont="1"/>
    <xf numFmtId="0" fontId="1" fillId="5" borderId="0" xfId="0" applyFont="1" applyFill="1" applyAlignment="1">
      <alignment horizontal="center" vertical="center" wrapText="1"/>
    </xf>
    <xf numFmtId="0" fontId="0" fillId="6" borderId="1" xfId="0" applyFill="1" applyBorder="1"/>
    <xf numFmtId="0" fontId="0" fillId="0" borderId="1" xfId="0" applyBorder="1"/>
    <xf numFmtId="0" fontId="5" fillId="0" borderId="0" xfId="0" applyFont="1"/>
    <xf numFmtId="17" fontId="0" fillId="0" borderId="0" xfId="0" applyNumberFormat="1"/>
    <xf numFmtId="0" fontId="0" fillId="6" borderId="0" xfId="0" applyFill="1"/>
    <xf numFmtId="0" fontId="0" fillId="0" borderId="2" xfId="0" applyBorder="1"/>
    <xf numFmtId="0" fontId="5" fillId="3" borderId="0" xfId="0" applyFont="1" applyFill="1"/>
    <xf numFmtId="49" fontId="7" fillId="0" borderId="0" xfId="0" applyNumberFormat="1" applyFont="1"/>
    <xf numFmtId="49" fontId="8" fillId="0" borderId="0" xfId="0" applyNumberFormat="1" applyFont="1"/>
    <xf numFmtId="49" fontId="0" fillId="0" borderId="0" xfId="0" applyNumberFormat="1"/>
    <xf numFmtId="0" fontId="0" fillId="0" borderId="0" xfId="0" applyAlignment="1">
      <alignment vertical="top" wrapText="1"/>
    </xf>
    <xf numFmtId="0" fontId="0" fillId="0" borderId="0" xfId="0" applyAlignment="1">
      <alignment vertical="center"/>
    </xf>
    <xf numFmtId="0" fontId="16" fillId="0" borderId="0" xfId="3" applyFont="1"/>
    <xf numFmtId="0" fontId="13" fillId="0" borderId="0" xfId="0" applyFont="1"/>
    <xf numFmtId="0" fontId="13" fillId="0" borderId="0" xfId="0" applyFont="1" applyAlignment="1">
      <alignment vertical="center"/>
    </xf>
    <xf numFmtId="0" fontId="15" fillId="0" borderId="0" xfId="0" applyFont="1" applyAlignment="1">
      <alignment horizontal="center"/>
    </xf>
    <xf numFmtId="0" fontId="0" fillId="0" borderId="0" xfId="0" applyAlignment="1">
      <alignment vertical="top"/>
    </xf>
    <xf numFmtId="0" fontId="0" fillId="0" borderId="0" xfId="0" applyAlignment="1">
      <alignment horizontal="right" vertical="top"/>
    </xf>
    <xf numFmtId="0" fontId="19" fillId="0" borderId="0" xfId="0" applyFont="1"/>
    <xf numFmtId="0" fontId="19" fillId="0" borderId="0" xfId="0" applyFont="1" applyAlignment="1">
      <alignment horizontal="left"/>
    </xf>
    <xf numFmtId="0" fontId="18" fillId="0" borderId="0" xfId="0" applyFont="1" applyAlignment="1">
      <alignment horizontal="left" vertical="center"/>
    </xf>
    <xf numFmtId="0" fontId="12" fillId="0" borderId="0" xfId="0" applyFont="1"/>
    <xf numFmtId="0" fontId="19" fillId="0" borderId="0" xfId="0" applyFont="1" applyAlignment="1">
      <alignment horizontal="left" vertical="center"/>
    </xf>
    <xf numFmtId="0" fontId="34" fillId="0" borderId="0" xfId="3" applyFont="1" applyBorder="1"/>
    <xf numFmtId="0" fontId="22" fillId="0" borderId="0" xfId="0" applyFont="1"/>
    <xf numFmtId="1" fontId="12" fillId="0" borderId="0" xfId="0" applyNumberFormat="1" applyFont="1"/>
    <xf numFmtId="165" fontId="12" fillId="0" borderId="0" xfId="0" applyNumberFormat="1" applyFont="1"/>
    <xf numFmtId="0" fontId="12" fillId="0" borderId="0" xfId="0" applyFont="1" applyAlignment="1">
      <alignment horizontal="center"/>
    </xf>
    <xf numFmtId="14" fontId="12" fillId="0" borderId="0" xfId="0" applyNumberFormat="1" applyFont="1"/>
    <xf numFmtId="0" fontId="33" fillId="0" borderId="0" xfId="3" applyFont="1" applyFill="1" applyAlignment="1">
      <alignment horizontal="center" vertical="center"/>
    </xf>
    <xf numFmtId="0" fontId="34" fillId="0" borderId="0" xfId="3" applyFont="1"/>
    <xf numFmtId="0" fontId="22" fillId="0" borderId="0" xfId="0" applyFont="1" applyAlignment="1">
      <alignment horizontal="right"/>
    </xf>
    <xf numFmtId="0" fontId="12" fillId="8" borderId="6" xfId="0" applyFont="1" applyFill="1" applyBorder="1" applyAlignment="1">
      <alignment vertical="center"/>
    </xf>
    <xf numFmtId="0" fontId="40" fillId="2" borderId="10" xfId="0" applyFont="1" applyFill="1" applyBorder="1" applyAlignment="1">
      <alignment vertical="center"/>
    </xf>
    <xf numFmtId="0" fontId="40" fillId="2" borderId="0" xfId="0" applyFont="1" applyFill="1" applyAlignment="1">
      <alignment wrapText="1"/>
    </xf>
    <xf numFmtId="0" fontId="40" fillId="2" borderId="6" xfId="0" applyFont="1" applyFill="1" applyBorder="1" applyAlignment="1">
      <alignment vertical="center" wrapText="1"/>
    </xf>
    <xf numFmtId="0" fontId="40" fillId="2" borderId="0" xfId="0" applyFont="1" applyFill="1" applyAlignment="1">
      <alignment vertical="center"/>
    </xf>
    <xf numFmtId="0" fontId="40" fillId="2" borderId="0" xfId="0" applyFont="1" applyFill="1" applyAlignment="1">
      <alignment vertical="center" wrapText="1"/>
    </xf>
    <xf numFmtId="0" fontId="40" fillId="2" borderId="0" xfId="0" applyFont="1" applyFill="1"/>
    <xf numFmtId="0" fontId="22" fillId="0" borderId="6" xfId="0" applyFont="1" applyBorder="1" applyAlignment="1">
      <alignment horizontal="center" vertical="center" wrapText="1"/>
    </xf>
    <xf numFmtId="0" fontId="22" fillId="8" borderId="6" xfId="0" applyFont="1" applyFill="1" applyBorder="1" applyAlignment="1">
      <alignment horizontal="center" vertical="center" wrapText="1"/>
    </xf>
    <xf numFmtId="0" fontId="22" fillId="13" borderId="6" xfId="0" applyFont="1" applyFill="1" applyBorder="1" applyAlignment="1">
      <alignment horizontal="center" vertical="center" wrapText="1"/>
    </xf>
    <xf numFmtId="0" fontId="22" fillId="14" borderId="6" xfId="0" applyFont="1" applyFill="1" applyBorder="1" applyAlignment="1">
      <alignment horizontal="center" vertical="center" wrapText="1"/>
    </xf>
    <xf numFmtId="0" fontId="18" fillId="7" borderId="6" xfId="0" applyFont="1" applyFill="1" applyBorder="1" applyAlignment="1">
      <alignment horizontal="center" vertical="center" wrapText="1"/>
    </xf>
    <xf numFmtId="0" fontId="22" fillId="7" borderId="6" xfId="0" applyFont="1" applyFill="1" applyBorder="1" applyAlignment="1">
      <alignment horizontal="center" vertical="center" wrapText="1"/>
    </xf>
    <xf numFmtId="0" fontId="44" fillId="8" borderId="6" xfId="0" applyFont="1" applyFill="1" applyBorder="1" applyAlignment="1">
      <alignment horizontal="left" vertical="top"/>
    </xf>
    <xf numFmtId="0" fontId="44" fillId="8" borderId="6" xfId="0" applyFont="1" applyFill="1" applyBorder="1" applyAlignment="1">
      <alignment horizontal="center" vertical="top"/>
    </xf>
    <xf numFmtId="0" fontId="12" fillId="0" borderId="6" xfId="0" applyFont="1" applyBorder="1" applyAlignment="1">
      <alignment horizontal="center"/>
    </xf>
    <xf numFmtId="0" fontId="12" fillId="0" borderId="6" xfId="0" applyFont="1" applyBorder="1"/>
    <xf numFmtId="0" fontId="12" fillId="0" borderId="6" xfId="0" applyFont="1" applyBorder="1" applyAlignment="1">
      <alignment horizontal="center" vertical="center"/>
    </xf>
    <xf numFmtId="0" fontId="45" fillId="14" borderId="6" xfId="0" applyFont="1" applyFill="1" applyBorder="1" applyProtection="1">
      <protection locked="0"/>
    </xf>
    <xf numFmtId="0" fontId="12" fillId="14" borderId="6" xfId="0" applyFont="1" applyFill="1" applyBorder="1"/>
    <xf numFmtId="0" fontId="33" fillId="0" borderId="0" xfId="3" applyFont="1" applyFill="1" applyAlignment="1">
      <alignment horizontal="center" vertical="center" wrapText="1"/>
    </xf>
    <xf numFmtId="166" fontId="22" fillId="0" borderId="0" xfId="0" applyNumberFormat="1" applyFont="1" applyAlignment="1">
      <alignment horizontal="right"/>
    </xf>
    <xf numFmtId="0" fontId="12" fillId="8" borderId="6" xfId="0" applyFont="1" applyFill="1" applyBorder="1"/>
    <xf numFmtId="0" fontId="40" fillId="2" borderId="10" xfId="0" applyFont="1" applyFill="1" applyBorder="1"/>
    <xf numFmtId="166" fontId="40" fillId="2" borderId="0" xfId="0" applyNumberFormat="1" applyFont="1" applyFill="1" applyAlignment="1">
      <alignment wrapText="1"/>
    </xf>
    <xf numFmtId="0" fontId="40" fillId="2" borderId="6" xfId="0" applyFont="1" applyFill="1" applyBorder="1" applyAlignment="1">
      <alignment wrapText="1"/>
    </xf>
    <xf numFmtId="0" fontId="40" fillId="2" borderId="0" xfId="0" applyFont="1" applyFill="1" applyAlignment="1">
      <alignment horizontal="left" wrapText="1"/>
    </xf>
    <xf numFmtId="167" fontId="22" fillId="0" borderId="6" xfId="0" applyNumberFormat="1" applyFont="1" applyBorder="1" applyAlignment="1">
      <alignment horizontal="center" vertical="center" wrapText="1"/>
    </xf>
    <xf numFmtId="166" fontId="22" fillId="0" borderId="6" xfId="0" applyNumberFormat="1" applyFont="1" applyBorder="1" applyAlignment="1">
      <alignment horizontal="center" vertical="center" wrapText="1"/>
    </xf>
    <xf numFmtId="0" fontId="12" fillId="8" borderId="6" xfId="0" applyFont="1" applyFill="1" applyBorder="1" applyAlignment="1">
      <alignment horizontal="center"/>
    </xf>
    <xf numFmtId="166" fontId="12" fillId="0" borderId="6" xfId="0" applyNumberFormat="1" applyFont="1" applyBorder="1" applyAlignment="1">
      <alignment horizontal="center"/>
    </xf>
    <xf numFmtId="0" fontId="12" fillId="8" borderId="6" xfId="0" applyFont="1" applyFill="1" applyBorder="1" applyAlignment="1">
      <alignment horizontal="center" vertical="center"/>
    </xf>
    <xf numFmtId="0" fontId="19" fillId="0" borderId="0" xfId="0" applyFont="1" applyAlignment="1">
      <alignment horizontal="left" vertical="center" wrapText="1"/>
    </xf>
    <xf numFmtId="0" fontId="14" fillId="3" borderId="0" xfId="0" applyFont="1" applyFill="1"/>
    <xf numFmtId="0" fontId="15" fillId="3" borderId="0" xfId="0" applyFont="1" applyFill="1"/>
    <xf numFmtId="0" fontId="5" fillId="20" borderId="0" xfId="0" applyFont="1" applyFill="1" applyAlignment="1">
      <alignment horizontal="center"/>
    </xf>
    <xf numFmtId="0" fontId="5" fillId="0" borderId="6" xfId="0" applyFont="1" applyBorder="1" applyAlignment="1">
      <alignment horizontal="left" vertical="center"/>
    </xf>
    <xf numFmtId="0" fontId="0" fillId="0" borderId="6" xfId="0" applyBorder="1"/>
    <xf numFmtId="0" fontId="0" fillId="0" borderId="6" xfId="0" applyBorder="1" applyAlignment="1">
      <alignment wrapText="1"/>
    </xf>
    <xf numFmtId="0" fontId="0" fillId="0" borderId="6" xfId="0" applyBorder="1" applyAlignment="1">
      <alignment vertical="top"/>
    </xf>
    <xf numFmtId="0" fontId="5" fillId="0" borderId="0" xfId="0" applyFont="1" applyAlignment="1">
      <alignment horizontal="left" vertical="center" wrapText="1"/>
    </xf>
    <xf numFmtId="0" fontId="0" fillId="0" borderId="0" xfId="0" applyAlignment="1">
      <alignment horizontal="left"/>
    </xf>
    <xf numFmtId="0" fontId="0" fillId="0" borderId="0" xfId="0" applyAlignment="1">
      <alignment wrapText="1"/>
    </xf>
    <xf numFmtId="0" fontId="0" fillId="0" borderId="6" xfId="0" applyBorder="1" applyAlignment="1">
      <alignment horizontal="left"/>
    </xf>
    <xf numFmtId="0" fontId="58" fillId="0" borderId="0" xfId="0" applyFont="1" applyAlignment="1" applyProtection="1">
      <alignment horizontal="left"/>
      <protection locked="0"/>
    </xf>
    <xf numFmtId="0" fontId="58" fillId="0" borderId="0" xfId="0" applyFont="1"/>
    <xf numFmtId="0" fontId="16" fillId="0" borderId="0" xfId="3" applyFont="1" applyAlignment="1">
      <alignment vertical="center"/>
    </xf>
    <xf numFmtId="0" fontId="5" fillId="0" borderId="0" xfId="0" applyFont="1" applyAlignment="1">
      <alignment horizontal="center"/>
    </xf>
    <xf numFmtId="0" fontId="5" fillId="0" borderId="0" xfId="0" applyFont="1" applyAlignment="1">
      <alignment horizontal="center" vertical="center"/>
    </xf>
    <xf numFmtId="0" fontId="20" fillId="10" borderId="0" xfId="0" applyFont="1" applyFill="1" applyAlignment="1">
      <alignment horizontal="center" vertical="center"/>
    </xf>
    <xf numFmtId="0" fontId="20" fillId="18" borderId="0" xfId="0" applyFont="1" applyFill="1" applyAlignment="1">
      <alignment horizontal="center" vertical="center"/>
    </xf>
    <xf numFmtId="0" fontId="19" fillId="2" borderId="0" xfId="0" applyFont="1" applyFill="1"/>
    <xf numFmtId="0" fontId="19" fillId="2" borderId="0" xfId="0" applyFont="1" applyFill="1" applyAlignment="1">
      <alignment horizontal="left"/>
    </xf>
    <xf numFmtId="0" fontId="59" fillId="21" borderId="0" xfId="0" quotePrefix="1" applyFont="1" applyFill="1" applyAlignment="1">
      <alignment horizontal="left" vertical="center"/>
    </xf>
    <xf numFmtId="0" fontId="60" fillId="21" borderId="0" xfId="0" applyFont="1" applyFill="1" applyAlignment="1">
      <alignment horizontal="justify"/>
    </xf>
    <xf numFmtId="0" fontId="60" fillId="21" borderId="0" xfId="0" applyFont="1" applyFill="1" applyAlignment="1">
      <alignment horizontal="left"/>
    </xf>
    <xf numFmtId="0" fontId="18" fillId="2" borderId="0" xfId="0" applyFont="1" applyFill="1" applyAlignment="1">
      <alignment horizontal="left" vertical="center"/>
    </xf>
    <xf numFmtId="0" fontId="19" fillId="0" borderId="0" xfId="0" applyFont="1" applyAlignment="1">
      <alignment horizontal="justify" vertical="top"/>
    </xf>
    <xf numFmtId="0" fontId="19" fillId="2" borderId="0" xfId="0" applyFont="1" applyFill="1" applyAlignment="1">
      <alignment horizontal="justify"/>
    </xf>
    <xf numFmtId="0" fontId="18" fillId="11" borderId="0" xfId="0" applyFont="1" applyFill="1" applyAlignment="1">
      <alignment horizontal="justify"/>
    </xf>
    <xf numFmtId="0" fontId="19" fillId="11" borderId="0" xfId="0" applyFont="1" applyFill="1" applyAlignment="1">
      <alignment horizontal="left"/>
    </xf>
    <xf numFmtId="0" fontId="19" fillId="0" borderId="0" xfId="0" applyFont="1" applyAlignment="1">
      <alignment horizontal="justify" vertical="center"/>
    </xf>
    <xf numFmtId="0" fontId="59" fillId="0" borderId="0" xfId="0" quotePrefix="1" applyFont="1" applyAlignment="1">
      <alignment horizontal="left" vertical="center"/>
    </xf>
    <xf numFmtId="0" fontId="60" fillId="0" borderId="0" xfId="0" applyFont="1" applyAlignment="1">
      <alignment horizontal="justify"/>
    </xf>
    <xf numFmtId="0" fontId="60" fillId="0" borderId="0" xfId="0" applyFont="1" applyAlignment="1">
      <alignment horizontal="left"/>
    </xf>
    <xf numFmtId="0" fontId="19" fillId="0" borderId="0" xfId="0" applyFont="1" applyAlignment="1">
      <alignment horizontal="justify" wrapText="1"/>
    </xf>
    <xf numFmtId="0" fontId="18" fillId="11" borderId="0" xfId="0" applyFont="1" applyFill="1" applyAlignment="1">
      <alignment horizontal="left"/>
    </xf>
    <xf numFmtId="0" fontId="19" fillId="0" borderId="0" xfId="0" applyFont="1" applyAlignment="1">
      <alignment horizontal="justify"/>
    </xf>
    <xf numFmtId="0" fontId="19" fillId="0" borderId="0" xfId="0" applyFont="1" applyAlignment="1">
      <alignment horizontal="justify" vertical="top" wrapText="1"/>
    </xf>
    <xf numFmtId="0" fontId="19" fillId="11" borderId="0" xfId="0" applyFont="1" applyFill="1" applyAlignment="1">
      <alignment horizontal="left" vertical="center" wrapText="1"/>
    </xf>
    <xf numFmtId="0" fontId="59" fillId="21" borderId="0" xfId="0" quotePrefix="1" applyFont="1" applyFill="1" applyAlignment="1">
      <alignment horizontal="left"/>
    </xf>
    <xf numFmtId="0" fontId="59" fillId="0" borderId="0" xfId="0" quotePrefix="1" applyFont="1" applyAlignment="1">
      <alignment horizontal="left"/>
    </xf>
    <xf numFmtId="0" fontId="19" fillId="2" borderId="0" xfId="0" quotePrefix="1" applyFont="1" applyFill="1" applyAlignment="1">
      <alignment horizontal="justify"/>
    </xf>
    <xf numFmtId="0" fontId="18" fillId="11" borderId="0" xfId="0" quotePrefix="1" applyFont="1" applyFill="1" applyAlignment="1">
      <alignment horizontal="justify"/>
    </xf>
    <xf numFmtId="0" fontId="19" fillId="0" borderId="0" xfId="0" quotePrefix="1" applyFont="1" applyAlignment="1">
      <alignment horizontal="justify"/>
    </xf>
    <xf numFmtId="0" fontId="18" fillId="0" borderId="0" xfId="0" quotePrefix="1" applyFont="1" applyAlignment="1">
      <alignment horizontal="justify"/>
    </xf>
    <xf numFmtId="0" fontId="18" fillId="14" borderId="0" xfId="0" quotePrefix="1" applyFont="1" applyFill="1" applyAlignment="1">
      <alignment horizontal="justify"/>
    </xf>
    <xf numFmtId="0" fontId="19" fillId="0" borderId="0" xfId="0" applyFont="1" applyAlignment="1">
      <alignment vertical="top" wrapText="1"/>
    </xf>
    <xf numFmtId="0" fontId="18" fillId="14" borderId="0" xfId="0" applyFont="1" applyFill="1" applyAlignment="1">
      <alignment vertical="top" wrapText="1"/>
    </xf>
    <xf numFmtId="0" fontId="18" fillId="2" borderId="0" xfId="0" quotePrefix="1" applyFont="1" applyFill="1" applyAlignment="1">
      <alignment horizontal="justify"/>
    </xf>
    <xf numFmtId="0" fontId="18" fillId="11" borderId="0" xfId="0" applyFont="1" applyFill="1" applyAlignment="1">
      <alignment horizontal="justify" wrapText="1"/>
    </xf>
    <xf numFmtId="0" fontId="9" fillId="0" borderId="0" xfId="0" quotePrefix="1" applyFont="1" applyAlignment="1">
      <alignment horizontal="justify"/>
    </xf>
    <xf numFmtId="0" fontId="19" fillId="0" borderId="0" xfId="0" applyFont="1" applyAlignment="1">
      <alignment vertical="center" wrapText="1"/>
    </xf>
    <xf numFmtId="0" fontId="19" fillId="0" borderId="0" xfId="0" applyFont="1" applyAlignment="1">
      <alignment wrapText="1"/>
    </xf>
    <xf numFmtId="0" fontId="18" fillId="0" borderId="0" xfId="0" applyFont="1" applyAlignment="1">
      <alignment horizontal="justify" wrapText="1"/>
    </xf>
    <xf numFmtId="0" fontId="19" fillId="2" borderId="0" xfId="0" applyFont="1" applyFill="1" applyAlignment="1">
      <alignment horizontal="justify" vertical="center" wrapText="1"/>
    </xf>
    <xf numFmtId="0" fontId="18" fillId="11" borderId="0" xfId="0" applyFont="1" applyFill="1" applyAlignment="1">
      <alignment horizontal="justify" vertical="center" wrapText="1"/>
    </xf>
    <xf numFmtId="0" fontId="19" fillId="0" borderId="0" xfId="0" applyFont="1" applyAlignment="1">
      <alignment horizontal="justify" vertical="center" wrapText="1"/>
    </xf>
    <xf numFmtId="0" fontId="18" fillId="0" borderId="0" xfId="0" applyFont="1" applyAlignment="1">
      <alignment horizontal="justify" vertical="center" wrapText="1"/>
    </xf>
    <xf numFmtId="0" fontId="18" fillId="14" borderId="0" xfId="0" applyFont="1" applyFill="1" applyAlignment="1">
      <alignment horizontal="justify"/>
    </xf>
    <xf numFmtId="0" fontId="19" fillId="0" borderId="0" xfId="0" applyFont="1" applyAlignment="1">
      <alignment horizontal="center" vertical="center" wrapText="1"/>
    </xf>
    <xf numFmtId="0" fontId="18" fillId="14" borderId="0" xfId="0" applyFont="1" applyFill="1" applyAlignment="1">
      <alignment horizontal="justify" vertical="center"/>
    </xf>
    <xf numFmtId="0" fontId="19" fillId="2" borderId="0" xfId="0" applyFont="1" applyFill="1" applyAlignment="1">
      <alignment horizontal="left" vertical="top" wrapText="1"/>
    </xf>
    <xf numFmtId="0" fontId="19" fillId="2" borderId="0" xfId="0" applyFont="1" applyFill="1" applyAlignment="1">
      <alignment horizontal="left" wrapText="1"/>
    </xf>
    <xf numFmtId="0" fontId="18" fillId="22" borderId="6" xfId="0" applyFont="1" applyFill="1" applyBorder="1" applyAlignment="1">
      <alignment horizontal="center"/>
    </xf>
    <xf numFmtId="0" fontId="19" fillId="2" borderId="6" xfId="0" applyFont="1" applyFill="1" applyBorder="1"/>
    <xf numFmtId="0" fontId="19" fillId="0" borderId="0" xfId="0" applyFont="1" applyProtection="1">
      <protection locked="0"/>
    </xf>
    <xf numFmtId="0" fontId="19" fillId="0" borderId="0" xfId="0" applyFont="1" applyAlignment="1" applyProtection="1">
      <alignment horizontal="center"/>
      <protection locked="0"/>
    </xf>
    <xf numFmtId="0" fontId="18" fillId="0" borderId="0" xfId="0" applyFont="1" applyAlignment="1" applyProtection="1">
      <alignment horizontal="center"/>
      <protection locked="0"/>
    </xf>
    <xf numFmtId="0" fontId="19" fillId="0" borderId="0" xfId="0" applyFont="1" applyAlignment="1" applyProtection="1">
      <alignment horizontal="center" vertical="center"/>
      <protection locked="0"/>
    </xf>
    <xf numFmtId="0" fontId="18" fillId="11" borderId="6" xfId="0" applyFont="1" applyFill="1" applyBorder="1" applyAlignment="1" applyProtection="1">
      <alignment horizontal="center"/>
      <protection locked="0"/>
    </xf>
    <xf numFmtId="0" fontId="18" fillId="0" borderId="6" xfId="0" applyFont="1" applyBorder="1" applyAlignment="1" applyProtection="1">
      <alignment horizontal="center"/>
      <protection locked="0"/>
    </xf>
    <xf numFmtId="0" fontId="19" fillId="0" borderId="3" xfId="0" applyFont="1" applyBorder="1" applyAlignment="1" applyProtection="1">
      <alignment horizontal="left" vertical="center"/>
      <protection locked="0"/>
    </xf>
    <xf numFmtId="0" fontId="19" fillId="0" borderId="6" xfId="0" applyFont="1" applyBorder="1" applyAlignment="1" applyProtection="1">
      <alignment horizontal="left" vertical="center"/>
      <protection locked="0"/>
    </xf>
    <xf numFmtId="0" fontId="19" fillId="0" borderId="4" xfId="0" applyFont="1" applyBorder="1" applyAlignment="1" applyProtection="1">
      <alignment horizontal="left"/>
      <protection locked="0"/>
    </xf>
    <xf numFmtId="0" fontId="19" fillId="0" borderId="3" xfId="0" applyFont="1" applyBorder="1" applyAlignment="1" applyProtection="1">
      <alignment horizontal="right"/>
      <protection locked="0"/>
    </xf>
    <xf numFmtId="0" fontId="19" fillId="0" borderId="3" xfId="0" applyFont="1" applyBorder="1" applyAlignment="1" applyProtection="1">
      <alignment horizontal="left"/>
      <protection locked="0"/>
    </xf>
    <xf numFmtId="0" fontId="19" fillId="0" borderId="5" xfId="0" applyFont="1" applyBorder="1" applyProtection="1">
      <protection locked="0"/>
    </xf>
    <xf numFmtId="0" fontId="18" fillId="3" borderId="6" xfId="0" applyFont="1" applyFill="1" applyBorder="1" applyAlignment="1" applyProtection="1">
      <alignment horizontal="center" vertical="center"/>
      <protection locked="0"/>
    </xf>
    <xf numFmtId="0" fontId="19" fillId="0" borderId="0" xfId="0" applyFont="1" applyAlignment="1" applyProtection="1">
      <alignment vertical="center"/>
      <protection locked="0"/>
    </xf>
    <xf numFmtId="9" fontId="18" fillId="3" borderId="6" xfId="0" applyNumberFormat="1" applyFont="1" applyFill="1" applyBorder="1" applyAlignment="1" applyProtection="1">
      <alignment horizontal="center"/>
      <protection locked="0"/>
    </xf>
    <xf numFmtId="9" fontId="19" fillId="13" borderId="6" xfId="2" applyFont="1" applyFill="1" applyBorder="1" applyAlignment="1" applyProtection="1">
      <alignment horizontal="center" vertical="center"/>
      <protection locked="0"/>
    </xf>
    <xf numFmtId="9" fontId="18" fillId="8" borderId="6" xfId="2" quotePrefix="1" applyFont="1" applyFill="1" applyBorder="1" applyAlignment="1" applyProtection="1">
      <alignment horizontal="center" vertical="center"/>
      <protection locked="0"/>
    </xf>
    <xf numFmtId="0" fontId="18" fillId="3" borderId="6" xfId="0" applyFont="1" applyFill="1" applyBorder="1" applyAlignment="1" applyProtection="1">
      <alignment horizontal="center"/>
      <protection locked="0"/>
    </xf>
    <xf numFmtId="9" fontId="18" fillId="8" borderId="6" xfId="0" quotePrefix="1" applyNumberFormat="1" applyFont="1" applyFill="1" applyBorder="1" applyAlignment="1" applyProtection="1">
      <alignment horizontal="center" vertical="center"/>
      <protection locked="0"/>
    </xf>
    <xf numFmtId="0" fontId="19" fillId="0" borderId="3" xfId="0" quotePrefix="1" applyFont="1" applyBorder="1" applyAlignment="1" applyProtection="1">
      <alignment horizontal="left" vertical="center"/>
      <protection locked="0"/>
    </xf>
    <xf numFmtId="0" fontId="19" fillId="13" borderId="6" xfId="0" applyFont="1" applyFill="1" applyBorder="1" applyAlignment="1" applyProtection="1">
      <alignment horizontal="center" vertical="center"/>
      <protection locked="0"/>
    </xf>
    <xf numFmtId="0" fontId="19" fillId="0" borderId="0" xfId="0" applyFont="1" applyAlignment="1" applyProtection="1">
      <alignment horizontal="left"/>
      <protection locked="0"/>
    </xf>
    <xf numFmtId="0" fontId="18" fillId="0" borderId="0" xfId="0" applyFont="1" applyProtection="1">
      <protection locked="0"/>
    </xf>
    <xf numFmtId="0" fontId="16" fillId="24" borderId="0" xfId="3" applyFont="1" applyFill="1" applyBorder="1" applyAlignment="1">
      <alignment horizontal="center"/>
    </xf>
    <xf numFmtId="0" fontId="22" fillId="0" borderId="0" xfId="0" applyFont="1" applyAlignment="1" applyProtection="1">
      <alignment horizontal="left"/>
      <protection locked="0"/>
    </xf>
    <xf numFmtId="0" fontId="12" fillId="0" borderId="0" xfId="0" applyFont="1" applyProtection="1">
      <protection locked="0"/>
    </xf>
    <xf numFmtId="0" fontId="18" fillId="0" borderId="0" xfId="0" applyFont="1" applyAlignment="1" applyProtection="1">
      <alignment horizontal="right" vertical="center"/>
      <protection locked="0"/>
    </xf>
    <xf numFmtId="0" fontId="18" fillId="0" borderId="0" xfId="0" applyFont="1" applyAlignment="1" applyProtection="1">
      <alignment horizontal="left" vertical="center"/>
      <protection locked="0"/>
    </xf>
    <xf numFmtId="0" fontId="12" fillId="0" borderId="0" xfId="0" applyFont="1" applyAlignment="1" applyProtection="1">
      <alignment horizontal="right"/>
      <protection locked="0"/>
    </xf>
    <xf numFmtId="0" fontId="35" fillId="12" borderId="0" xfId="0" applyFont="1" applyFill="1" applyAlignment="1" applyProtection="1">
      <alignment horizontal="left"/>
      <protection locked="0"/>
    </xf>
    <xf numFmtId="0" fontId="22" fillId="0" borderId="0" xfId="0" applyFont="1" applyAlignment="1" applyProtection="1">
      <alignment horizontal="center"/>
      <protection locked="0"/>
    </xf>
    <xf numFmtId="0" fontId="22" fillId="10" borderId="0" xfId="0" applyFont="1" applyFill="1" applyAlignment="1" applyProtection="1">
      <alignment horizontal="center" vertical="center" wrapText="1"/>
      <protection locked="0"/>
    </xf>
    <xf numFmtId="1" fontId="12" fillId="0" borderId="0" xfId="0" applyNumberFormat="1" applyFont="1" applyProtection="1">
      <protection locked="0"/>
    </xf>
    <xf numFmtId="165" fontId="12" fillId="0" borderId="0" xfId="0" applyNumberFormat="1" applyFont="1" applyProtection="1">
      <protection locked="0"/>
    </xf>
    <xf numFmtId="0" fontId="22" fillId="0" borderId="0" xfId="0" applyFont="1" applyAlignment="1">
      <alignment horizontal="left"/>
    </xf>
    <xf numFmtId="0" fontId="16" fillId="24" borderId="0" xfId="3" applyFont="1" applyFill="1" applyBorder="1" applyAlignment="1" applyProtection="1">
      <alignment horizontal="center"/>
    </xf>
    <xf numFmtId="0" fontId="34" fillId="0" borderId="0" xfId="3" applyFont="1" applyBorder="1" applyProtection="1"/>
    <xf numFmtId="0" fontId="22" fillId="0" borderId="0" xfId="0" quotePrefix="1" applyFont="1" applyAlignment="1">
      <alignment horizontal="right"/>
    </xf>
    <xf numFmtId="0" fontId="18" fillId="0" borderId="0" xfId="0" applyFont="1" applyAlignment="1">
      <alignment horizontal="right" vertical="center"/>
    </xf>
    <xf numFmtId="0" fontId="12" fillId="0" borderId="0" xfId="0" applyFont="1" applyAlignment="1">
      <alignment horizontal="right"/>
    </xf>
    <xf numFmtId="0" fontId="35" fillId="12" borderId="0" xfId="0" applyFont="1" applyFill="1" applyAlignment="1">
      <alignment horizontal="left"/>
    </xf>
    <xf numFmtId="0" fontId="36" fillId="12" borderId="0" xfId="0" applyFont="1" applyFill="1" applyAlignment="1">
      <alignment horizontal="left"/>
    </xf>
    <xf numFmtId="0" fontId="23" fillId="11" borderId="0" xfId="0" applyFont="1" applyFill="1" applyAlignment="1">
      <alignment horizontal="center"/>
    </xf>
    <xf numFmtId="0" fontId="22" fillId="0" borderId="0" xfId="0" applyFont="1" applyAlignment="1">
      <alignment horizontal="center"/>
    </xf>
    <xf numFmtId="0" fontId="22" fillId="10" borderId="0" xfId="0" applyFont="1" applyFill="1" applyAlignment="1">
      <alignment horizontal="center" vertical="center"/>
    </xf>
    <xf numFmtId="0" fontId="22" fillId="10" borderId="0" xfId="0" applyFont="1" applyFill="1" applyAlignment="1">
      <alignment horizontal="center" vertical="center" wrapText="1"/>
    </xf>
    <xf numFmtId="0" fontId="33" fillId="0" borderId="0" xfId="3" applyFont="1" applyBorder="1" applyProtection="1"/>
    <xf numFmtId="0" fontId="12" fillId="16" borderId="0" xfId="0" applyFont="1" applyFill="1"/>
    <xf numFmtId="0" fontId="22" fillId="5" borderId="0" xfId="0" applyFont="1" applyFill="1" applyAlignment="1">
      <alignment horizontal="center" vertical="center" wrapText="1"/>
    </xf>
    <xf numFmtId="0" fontId="22" fillId="0" borderId="0" xfId="0" applyFont="1" applyAlignment="1">
      <alignment vertical="top" wrapText="1"/>
    </xf>
    <xf numFmtId="0" fontId="24" fillId="0" borderId="0" xfId="0" applyFont="1" applyAlignment="1">
      <alignment vertical="top" wrapText="1"/>
    </xf>
    <xf numFmtId="0" fontId="12" fillId="0" borderId="0" xfId="0" applyFont="1" applyAlignment="1" applyProtection="1">
      <alignment wrapText="1"/>
      <protection locked="0"/>
    </xf>
    <xf numFmtId="0" fontId="12" fillId="0" borderId="0" xfId="0" applyFont="1" applyAlignment="1">
      <alignment wrapText="1"/>
    </xf>
    <xf numFmtId="0" fontId="22" fillId="0" borderId="0" xfId="0" applyFont="1" applyAlignment="1">
      <alignment wrapText="1"/>
    </xf>
    <xf numFmtId="0" fontId="22" fillId="0" borderId="0" xfId="0" applyFont="1" applyAlignment="1">
      <alignment horizontal="left" wrapText="1"/>
    </xf>
    <xf numFmtId="0" fontId="35" fillId="12" borderId="0" xfId="0" applyFont="1" applyFill="1" applyAlignment="1">
      <alignment horizontal="left" wrapText="1"/>
    </xf>
    <xf numFmtId="0" fontId="12" fillId="0" borderId="0" xfId="0" applyFont="1" applyAlignment="1">
      <alignment horizontal="left"/>
    </xf>
    <xf numFmtId="0" fontId="35" fillId="15" borderId="0" xfId="0" applyFont="1" applyFill="1" applyAlignment="1">
      <alignment horizontal="left"/>
    </xf>
    <xf numFmtId="0" fontId="35" fillId="15" borderId="0" xfId="0" applyFont="1" applyFill="1" applyAlignment="1">
      <alignment horizontal="left" wrapText="1"/>
    </xf>
    <xf numFmtId="0" fontId="23" fillId="8" borderId="0" xfId="0" applyFont="1" applyFill="1" applyAlignment="1">
      <alignment horizontal="center"/>
    </xf>
    <xf numFmtId="0" fontId="36" fillId="0" borderId="0" xfId="0" applyFont="1"/>
    <xf numFmtId="0" fontId="22" fillId="17" borderId="0" xfId="0" applyFont="1" applyFill="1" applyAlignment="1">
      <alignment horizontal="center" vertical="center" wrapText="1"/>
    </xf>
    <xf numFmtId="0" fontId="12" fillId="0" borderId="0" xfId="0" applyFont="1" applyAlignment="1" applyProtection="1">
      <alignment horizontal="center"/>
      <protection locked="0"/>
    </xf>
    <xf numFmtId="165" fontId="12" fillId="0" borderId="0" xfId="0" applyNumberFormat="1" applyFont="1" applyAlignment="1" applyProtection="1">
      <alignment horizontal="center"/>
      <protection locked="0"/>
    </xf>
    <xf numFmtId="0" fontId="35" fillId="0" borderId="0" xfId="0" applyFont="1" applyAlignment="1">
      <alignment horizontal="left"/>
    </xf>
    <xf numFmtId="0" fontId="12" fillId="0" borderId="0" xfId="0" applyFont="1" applyAlignment="1" applyProtection="1">
      <alignment horizontal="left" vertical="center"/>
      <protection locked="0"/>
    </xf>
    <xf numFmtId="2" fontId="12" fillId="0" borderId="0" xfId="0" applyNumberFormat="1" applyFont="1" applyProtection="1">
      <protection locked="0"/>
    </xf>
    <xf numFmtId="0" fontId="12" fillId="0" borderId="0" xfId="0" applyFont="1" applyAlignment="1">
      <alignment horizontal="left" vertical="center"/>
    </xf>
    <xf numFmtId="0" fontId="35" fillId="12" borderId="0" xfId="0" applyFont="1" applyFill="1" applyAlignment="1">
      <alignment horizontal="center"/>
    </xf>
    <xf numFmtId="9" fontId="23" fillId="11" borderId="0" xfId="2" applyFont="1" applyFill="1" applyAlignment="1" applyProtection="1">
      <alignment horizontal="center"/>
    </xf>
    <xf numFmtId="2" fontId="12" fillId="0" borderId="0" xfId="0" applyNumberFormat="1" applyFont="1"/>
    <xf numFmtId="168" fontId="23" fillId="11" borderId="0" xfId="2" applyNumberFormat="1" applyFont="1" applyFill="1" applyAlignment="1" applyProtection="1">
      <alignment horizontal="center"/>
      <protection locked="0"/>
    </xf>
    <xf numFmtId="0" fontId="23" fillId="10" borderId="0" xfId="0" applyFont="1" applyFill="1" applyAlignment="1" applyProtection="1">
      <alignment horizontal="center" vertical="center" wrapText="1"/>
      <protection locked="0"/>
    </xf>
    <xf numFmtId="168" fontId="12" fillId="0" borderId="0" xfId="0" applyNumberFormat="1" applyFont="1" applyProtection="1">
      <protection locked="0"/>
    </xf>
    <xf numFmtId="0" fontId="23" fillId="10" borderId="0" xfId="0" applyFont="1" applyFill="1" applyAlignment="1">
      <alignment horizontal="center" vertical="center" wrapText="1"/>
    </xf>
    <xf numFmtId="3" fontId="23" fillId="11" borderId="0" xfId="2" applyNumberFormat="1" applyFont="1" applyFill="1" applyAlignment="1" applyProtection="1">
      <alignment horizontal="center"/>
      <protection locked="0"/>
    </xf>
    <xf numFmtId="3" fontId="23" fillId="11" borderId="0" xfId="2" applyNumberFormat="1" applyFont="1" applyFill="1" applyAlignment="1" applyProtection="1">
      <alignment horizontal="center"/>
    </xf>
    <xf numFmtId="0" fontId="22" fillId="19" borderId="0" xfId="0" applyFont="1" applyFill="1" applyAlignment="1">
      <alignment horizontal="center" vertical="center"/>
    </xf>
    <xf numFmtId="0" fontId="12" fillId="13" borderId="0" xfId="0" applyFont="1" applyFill="1"/>
    <xf numFmtId="0" fontId="22" fillId="13" borderId="0" xfId="0" applyFont="1" applyFill="1" applyAlignment="1">
      <alignment horizontal="left"/>
    </xf>
    <xf numFmtId="0" fontId="18" fillId="11" borderId="6" xfId="0" applyFont="1" applyFill="1" applyBorder="1" applyAlignment="1" applyProtection="1">
      <alignment horizontal="center" wrapText="1"/>
      <protection locked="0"/>
    </xf>
    <xf numFmtId="0" fontId="18" fillId="7" borderId="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0" fontId="18" fillId="11" borderId="6" xfId="0" applyFont="1" applyFill="1" applyBorder="1" applyAlignment="1" applyProtection="1">
      <alignment horizontal="center" vertical="center"/>
      <protection locked="0"/>
    </xf>
    <xf numFmtId="0" fontId="18" fillId="10" borderId="6" xfId="0" applyFont="1" applyFill="1" applyBorder="1" applyProtection="1">
      <protection locked="0"/>
    </xf>
    <xf numFmtId="0" fontId="18" fillId="0" borderId="6" xfId="0" applyFont="1" applyBorder="1" applyAlignment="1" applyProtection="1">
      <alignment horizontal="center" vertical="center"/>
      <protection locked="0"/>
    </xf>
    <xf numFmtId="0" fontId="18" fillId="0" borderId="6" xfId="0" applyFont="1" applyBorder="1" applyProtection="1">
      <protection locked="0"/>
    </xf>
    <xf numFmtId="0" fontId="18" fillId="0" borderId="6" xfId="0" applyFont="1" applyBorder="1" applyAlignment="1" applyProtection="1">
      <alignment vertical="center"/>
      <protection locked="0"/>
    </xf>
    <xf numFmtId="0" fontId="18" fillId="10" borderId="6" xfId="0" applyFont="1" applyFill="1" applyBorder="1" applyAlignment="1" applyProtection="1">
      <alignment vertical="center"/>
      <protection locked="0"/>
    </xf>
    <xf numFmtId="0" fontId="9" fillId="3" borderId="6" xfId="0" applyFont="1" applyFill="1" applyBorder="1" applyAlignment="1" applyProtection="1">
      <alignment horizontal="center" vertical="center"/>
      <protection locked="0"/>
    </xf>
    <xf numFmtId="0" fontId="9" fillId="7" borderId="6" xfId="0" applyFont="1" applyFill="1" applyBorder="1" applyAlignment="1" applyProtection="1">
      <alignment horizontal="center" vertical="center"/>
      <protection locked="0"/>
    </xf>
    <xf numFmtId="0" fontId="18" fillId="2" borderId="6" xfId="0" applyFont="1" applyFill="1" applyBorder="1" applyAlignment="1" applyProtection="1">
      <alignment vertical="center"/>
      <protection locked="0"/>
    </xf>
    <xf numFmtId="0" fontId="18" fillId="0" borderId="7" xfId="0" applyFont="1" applyBorder="1" applyProtection="1">
      <protection locked="0"/>
    </xf>
    <xf numFmtId="0" fontId="18" fillId="10" borderId="6" xfId="0" applyFont="1" applyFill="1" applyBorder="1" applyAlignment="1" applyProtection="1">
      <alignment horizontal="center" vertical="center"/>
      <protection locked="0"/>
    </xf>
    <xf numFmtId="0" fontId="12" fillId="0" borderId="0" xfId="0" applyFont="1" applyProtection="1">
      <protection locked="0" hidden="1"/>
    </xf>
    <xf numFmtId="0" fontId="24" fillId="0" borderId="0" xfId="0" applyFont="1" applyAlignment="1" applyProtection="1">
      <alignment vertical="top" wrapText="1"/>
      <protection locked="0" hidden="1"/>
    </xf>
    <xf numFmtId="0" fontId="22" fillId="0" borderId="0" xfId="0" applyFont="1" applyAlignment="1" applyProtection="1">
      <alignment vertical="top" wrapText="1"/>
      <protection locked="0" hidden="1"/>
    </xf>
    <xf numFmtId="0" fontId="22" fillId="0" borderId="0" xfId="0" applyFont="1" applyProtection="1">
      <protection locked="0" hidden="1"/>
    </xf>
    <xf numFmtId="0" fontId="22" fillId="0" borderId="0" xfId="0" applyFont="1" applyAlignment="1" applyProtection="1">
      <alignment horizontal="left"/>
      <protection locked="0" hidden="1"/>
    </xf>
    <xf numFmtId="0" fontId="22" fillId="5" borderId="0" xfId="0" applyFont="1" applyFill="1" applyAlignment="1" applyProtection="1">
      <alignment horizontal="center" vertical="center" wrapText="1"/>
      <protection locked="0" hidden="1"/>
    </xf>
    <xf numFmtId="14" fontId="12" fillId="0" borderId="0" xfId="0" applyNumberFormat="1" applyFont="1" applyProtection="1">
      <protection locked="0"/>
    </xf>
    <xf numFmtId="0" fontId="22" fillId="16" borderId="0" xfId="0" applyFont="1" applyFill="1" applyAlignment="1">
      <alignment horizontal="left"/>
    </xf>
    <xf numFmtId="0" fontId="22" fillId="10" borderId="0" xfId="0" applyFont="1" applyFill="1" applyAlignment="1" applyProtection="1">
      <alignment horizontal="center" vertical="center" wrapText="1"/>
      <protection locked="0" hidden="1"/>
    </xf>
    <xf numFmtId="0" fontId="22" fillId="10" borderId="0" xfId="0" applyFont="1" applyFill="1" applyAlignment="1" applyProtection="1">
      <alignment horizontal="center" vertical="center"/>
      <protection locked="0" hidden="1"/>
    </xf>
    <xf numFmtId="0" fontId="22" fillId="17" borderId="0" xfId="0" applyFont="1" applyFill="1" applyAlignment="1" applyProtection="1">
      <alignment horizontal="center" vertical="center" wrapText="1"/>
      <protection locked="0" hidden="1"/>
    </xf>
    <xf numFmtId="0" fontId="22" fillId="0" borderId="0" xfId="0" applyFont="1" applyAlignment="1" applyProtection="1">
      <alignment horizontal="center"/>
      <protection locked="0" hidden="1"/>
    </xf>
    <xf numFmtId="0" fontId="12" fillId="0" borderId="0" xfId="0" applyFont="1" applyAlignment="1" applyProtection="1">
      <alignment horizontal="center"/>
      <protection locked="0" hidden="1"/>
    </xf>
    <xf numFmtId="165" fontId="12" fillId="0" borderId="0" xfId="0" applyNumberFormat="1" applyFont="1" applyProtection="1">
      <protection locked="0" hidden="1"/>
    </xf>
    <xf numFmtId="165" fontId="12" fillId="0" borderId="0" xfId="0" applyNumberFormat="1" applyFont="1" applyAlignment="1" applyProtection="1">
      <alignment horizontal="center"/>
      <protection locked="0" hidden="1"/>
    </xf>
    <xf numFmtId="0" fontId="22" fillId="0" borderId="0" xfId="0" applyFont="1" applyAlignment="1" applyProtection="1">
      <alignment horizontal="left"/>
      <protection hidden="1"/>
    </xf>
    <xf numFmtId="0" fontId="12" fillId="0" borderId="0" xfId="0" applyFont="1" applyProtection="1">
      <protection hidden="1"/>
    </xf>
    <xf numFmtId="0" fontId="16" fillId="24" borderId="0" xfId="3" applyFont="1" applyFill="1" applyBorder="1" applyAlignment="1" applyProtection="1">
      <alignment horizontal="center"/>
      <protection hidden="1"/>
    </xf>
    <xf numFmtId="0" fontId="22" fillId="0" borderId="0" xfId="0" quotePrefix="1" applyFont="1" applyAlignment="1" applyProtection="1">
      <alignment horizontal="right"/>
      <protection hidden="1"/>
    </xf>
    <xf numFmtId="0" fontId="22" fillId="0" borderId="0" xfId="0" applyFont="1" applyProtection="1">
      <protection hidden="1"/>
    </xf>
    <xf numFmtId="0" fontId="12" fillId="0" borderId="0" xfId="0" applyFont="1" applyAlignment="1" applyProtection="1">
      <alignment horizontal="right"/>
      <protection hidden="1"/>
    </xf>
    <xf numFmtId="0" fontId="35" fillId="12" borderId="0" xfId="0" applyFont="1" applyFill="1" applyAlignment="1" applyProtection="1">
      <alignment horizontal="left"/>
      <protection hidden="1"/>
    </xf>
    <xf numFmtId="0" fontId="23" fillId="11" borderId="0" xfId="0" applyFont="1" applyFill="1" applyAlignment="1" applyProtection="1">
      <alignment horizontal="center"/>
      <protection hidden="1"/>
    </xf>
    <xf numFmtId="0" fontId="12" fillId="0" borderId="0" xfId="0" applyFont="1" applyAlignment="1" applyProtection="1">
      <alignment horizontal="left"/>
      <protection hidden="1"/>
    </xf>
    <xf numFmtId="0" fontId="35" fillId="15" borderId="0" xfId="0" applyFont="1" applyFill="1" applyAlignment="1" applyProtection="1">
      <alignment horizontal="left"/>
      <protection hidden="1"/>
    </xf>
    <xf numFmtId="0" fontId="23" fillId="8" borderId="0" xfId="0" applyFont="1" applyFill="1" applyAlignment="1" applyProtection="1">
      <alignment horizontal="center"/>
      <protection hidden="1"/>
    </xf>
    <xf numFmtId="1" fontId="18" fillId="8" borderId="6" xfId="0" quotePrefix="1" applyNumberFormat="1" applyFont="1" applyFill="1" applyBorder="1" applyAlignment="1" applyProtection="1">
      <alignment horizontal="center" vertical="center"/>
      <protection locked="0"/>
    </xf>
    <xf numFmtId="0" fontId="12" fillId="16" borderId="0" xfId="0" applyFont="1" applyFill="1" applyAlignment="1">
      <alignment horizontal="left" wrapText="1"/>
    </xf>
    <xf numFmtId="0" fontId="16" fillId="0" borderId="0" xfId="3" applyFont="1" applyFill="1" applyBorder="1" applyAlignment="1" applyProtection="1">
      <alignment horizontal="center"/>
    </xf>
    <xf numFmtId="1" fontId="19" fillId="13" borderId="6" xfId="2" applyNumberFormat="1" applyFont="1" applyFill="1" applyBorder="1" applyAlignment="1" applyProtection="1">
      <alignment horizontal="center" vertical="center"/>
      <protection locked="0"/>
    </xf>
    <xf numFmtId="1" fontId="18" fillId="8" borderId="6" xfId="2" quotePrefix="1" applyNumberFormat="1" applyFont="1" applyFill="1" applyBorder="1" applyAlignment="1" applyProtection="1">
      <alignment horizontal="center" vertical="center"/>
      <protection locked="0"/>
    </xf>
    <xf numFmtId="0" fontId="66" fillId="0" borderId="6" xfId="0" applyFont="1" applyBorder="1" applyAlignment="1" applyProtection="1">
      <alignment horizontal="center"/>
      <protection locked="0"/>
    </xf>
    <xf numFmtId="0" fontId="65" fillId="0" borderId="6" xfId="0" applyFont="1" applyBorder="1" applyAlignment="1" applyProtection="1">
      <alignment horizontal="left" vertical="center"/>
      <protection locked="0"/>
    </xf>
    <xf numFmtId="0" fontId="12" fillId="0" borderId="0" xfId="0" applyFont="1" applyAlignment="1" applyProtection="1">
      <alignment horizontal="left" wrapText="1"/>
      <protection locked="0"/>
    </xf>
    <xf numFmtId="0" fontId="12" fillId="0" borderId="0" xfId="0" applyFont="1" applyAlignment="1">
      <alignment horizontal="left" wrapText="1"/>
    </xf>
    <xf numFmtId="0" fontId="12" fillId="16" borderId="0" xfId="0" applyFont="1" applyFill="1" applyAlignment="1">
      <alignment horizontal="left"/>
    </xf>
    <xf numFmtId="0" fontId="19" fillId="0" borderId="6" xfId="0" applyFont="1" applyBorder="1" applyProtection="1">
      <protection hidden="1"/>
    </xf>
    <xf numFmtId="0" fontId="11" fillId="0" borderId="6" xfId="3" applyBorder="1" applyProtection="1">
      <protection hidden="1"/>
    </xf>
    <xf numFmtId="0" fontId="11" fillId="0" borderId="6" xfId="3" quotePrefix="1" applyBorder="1" applyProtection="1">
      <protection hidden="1"/>
    </xf>
    <xf numFmtId="0" fontId="19" fillId="0" borderId="6" xfId="0" applyFont="1" applyBorder="1" applyAlignment="1" applyProtection="1">
      <alignment vertical="center"/>
      <protection hidden="1"/>
    </xf>
    <xf numFmtId="0" fontId="11" fillId="0" borderId="6" xfId="3" quotePrefix="1" applyBorder="1" applyAlignment="1" applyProtection="1">
      <alignment vertical="center"/>
      <protection hidden="1"/>
    </xf>
    <xf numFmtId="0" fontId="18" fillId="9" borderId="6" xfId="0" quotePrefix="1" applyFont="1" applyFill="1" applyBorder="1" applyAlignment="1" applyProtection="1">
      <alignment horizontal="center" vertical="center" wrapText="1"/>
      <protection hidden="1"/>
    </xf>
    <xf numFmtId="0" fontId="18" fillId="11" borderId="6" xfId="0" applyFont="1" applyFill="1" applyBorder="1" applyAlignment="1" applyProtection="1">
      <alignment horizontal="center" vertical="center" wrapText="1"/>
      <protection hidden="1"/>
    </xf>
    <xf numFmtId="0" fontId="18" fillId="11" borderId="6" xfId="0" applyFont="1" applyFill="1" applyBorder="1" applyAlignment="1" applyProtection="1">
      <alignment horizontal="center"/>
      <protection hidden="1"/>
    </xf>
    <xf numFmtId="0" fontId="18" fillId="0" borderId="6" xfId="0" applyFont="1" applyBorder="1" applyAlignment="1" applyProtection="1">
      <alignment horizontal="center" vertical="center"/>
      <protection hidden="1"/>
    </xf>
    <xf numFmtId="0" fontId="18" fillId="8" borderId="6" xfId="0" quotePrefix="1" applyFont="1" applyFill="1" applyBorder="1" applyAlignment="1" applyProtection="1">
      <alignment horizontal="center" vertical="center"/>
      <protection hidden="1"/>
    </xf>
    <xf numFmtId="0" fontId="19" fillId="0" borderId="6" xfId="0" applyFont="1" applyBorder="1" applyAlignment="1" applyProtection="1">
      <alignment horizontal="center" vertical="center"/>
      <protection hidden="1"/>
    </xf>
    <xf numFmtId="0" fontId="19" fillId="2" borderId="5" xfId="0" applyFont="1" applyFill="1" applyBorder="1" applyAlignment="1" applyProtection="1">
      <alignment horizontal="center" vertical="center"/>
      <protection hidden="1"/>
    </xf>
    <xf numFmtId="0" fontId="19" fillId="2" borderId="6" xfId="0" applyFont="1" applyFill="1" applyBorder="1" applyAlignment="1" applyProtection="1">
      <alignment horizontal="center" vertical="center"/>
      <protection hidden="1"/>
    </xf>
    <xf numFmtId="0" fontId="19" fillId="11" borderId="6" xfId="0" applyFont="1" applyFill="1" applyBorder="1" applyAlignment="1" applyProtection="1">
      <alignment horizontal="center" vertical="center"/>
      <protection hidden="1"/>
    </xf>
    <xf numFmtId="0" fontId="19" fillId="10" borderId="6" xfId="0" applyFont="1" applyFill="1" applyBorder="1" applyAlignment="1" applyProtection="1">
      <alignment vertical="center"/>
      <protection hidden="1"/>
    </xf>
    <xf numFmtId="0" fontId="19" fillId="10" borderId="6" xfId="0" applyFont="1" applyFill="1" applyBorder="1" applyProtection="1">
      <protection hidden="1"/>
    </xf>
    <xf numFmtId="0" fontId="18" fillId="0" borderId="6" xfId="0" quotePrefix="1" applyFont="1" applyBorder="1" applyAlignment="1" applyProtection="1">
      <alignment horizontal="center" vertical="center"/>
      <protection hidden="1"/>
    </xf>
    <xf numFmtId="0" fontId="19" fillId="10" borderId="6" xfId="0" applyFont="1" applyFill="1" applyBorder="1" applyAlignment="1" applyProtection="1">
      <alignment horizontal="center" vertical="center"/>
      <protection hidden="1"/>
    </xf>
    <xf numFmtId="0" fontId="18" fillId="10" borderId="6" xfId="0" quotePrefix="1" applyFont="1" applyFill="1" applyBorder="1" applyAlignment="1" applyProtection="1">
      <alignment horizontal="center" vertical="center"/>
      <protection hidden="1"/>
    </xf>
    <xf numFmtId="0" fontId="19" fillId="0" borderId="5" xfId="0" applyFont="1" applyBorder="1" applyAlignment="1" applyProtection="1">
      <alignment horizontal="center" vertical="center"/>
      <protection hidden="1"/>
    </xf>
    <xf numFmtId="0" fontId="19" fillId="10" borderId="6" xfId="1" applyNumberFormat="1" applyFont="1" applyFill="1" applyBorder="1" applyAlignment="1" applyProtection="1">
      <alignment horizontal="center"/>
      <protection hidden="1"/>
    </xf>
    <xf numFmtId="0" fontId="18" fillId="0" borderId="4" xfId="0" applyFont="1" applyBorder="1" applyAlignment="1" applyProtection="1">
      <alignment horizontal="left" vertical="center"/>
      <protection hidden="1"/>
    </xf>
    <xf numFmtId="0" fontId="18" fillId="0" borderId="3" xfId="0" applyFont="1" applyBorder="1" applyAlignment="1" applyProtection="1">
      <alignment horizontal="right" vertical="center"/>
      <protection hidden="1"/>
    </xf>
    <xf numFmtId="0" fontId="18" fillId="0" borderId="3" xfId="0" applyFont="1" applyBorder="1" applyAlignment="1" applyProtection="1">
      <alignment horizontal="left" vertical="center"/>
      <protection hidden="1"/>
    </xf>
    <xf numFmtId="0" fontId="18" fillId="0" borderId="5" xfId="0" applyFont="1" applyBorder="1" applyAlignment="1" applyProtection="1">
      <alignment horizontal="left" vertical="center"/>
      <protection hidden="1"/>
    </xf>
    <xf numFmtId="0" fontId="19" fillId="0" borderId="3" xfId="0" applyFont="1" applyBorder="1" applyAlignment="1" applyProtection="1">
      <alignment horizontal="right" vertical="center"/>
      <protection hidden="1"/>
    </xf>
    <xf numFmtId="0" fontId="19" fillId="0" borderId="3" xfId="0" applyFont="1" applyBorder="1" applyAlignment="1" applyProtection="1">
      <alignment horizontal="left" vertical="center"/>
      <protection hidden="1"/>
    </xf>
    <xf numFmtId="0" fontId="29" fillId="0" borderId="0" xfId="0" applyFont="1" applyProtection="1">
      <protection hidden="1"/>
    </xf>
    <xf numFmtId="0" fontId="29" fillId="0" borderId="3" xfId="0" applyFont="1" applyBorder="1" applyAlignment="1" applyProtection="1">
      <alignment vertical="center" wrapText="1"/>
      <protection hidden="1"/>
    </xf>
    <xf numFmtId="0" fontId="19" fillId="10" borderId="4" xfId="0" applyFont="1" applyFill="1" applyBorder="1" applyAlignment="1" applyProtection="1">
      <alignment horizontal="left"/>
      <protection hidden="1"/>
    </xf>
    <xf numFmtId="0" fontId="18" fillId="10" borderId="3" xfId="0" applyFont="1" applyFill="1" applyBorder="1" applyAlignment="1" applyProtection="1">
      <alignment horizontal="left"/>
      <protection hidden="1"/>
    </xf>
    <xf numFmtId="0" fontId="19" fillId="10" borderId="3" xfId="0" applyFont="1" applyFill="1" applyBorder="1" applyAlignment="1" applyProtection="1">
      <alignment horizontal="left"/>
      <protection hidden="1"/>
    </xf>
    <xf numFmtId="0" fontId="19" fillId="10" borderId="5" xfId="0" applyFont="1" applyFill="1" applyBorder="1" applyProtection="1">
      <protection hidden="1"/>
    </xf>
    <xf numFmtId="0" fontId="19" fillId="0" borderId="4" xfId="0" applyFont="1" applyBorder="1" applyAlignment="1" applyProtection="1">
      <alignment horizontal="left"/>
      <protection hidden="1"/>
    </xf>
    <xf numFmtId="0" fontId="18" fillId="0" borderId="3" xfId="0" applyFont="1" applyBorder="1" applyAlignment="1" applyProtection="1">
      <alignment horizontal="right"/>
      <protection hidden="1"/>
    </xf>
    <xf numFmtId="0" fontId="18" fillId="0" borderId="3" xfId="0" applyFont="1" applyBorder="1" applyAlignment="1" applyProtection="1">
      <alignment horizontal="left"/>
      <protection hidden="1"/>
    </xf>
    <xf numFmtId="0" fontId="18" fillId="0" borderId="5" xfId="0" applyFont="1" applyBorder="1" applyProtection="1">
      <protection hidden="1"/>
    </xf>
    <xf numFmtId="0" fontId="19" fillId="0" borderId="3" xfId="0" applyFont="1" applyBorder="1" applyAlignment="1" applyProtection="1">
      <alignment horizontal="right"/>
      <protection hidden="1"/>
    </xf>
    <xf numFmtId="0" fontId="19" fillId="0" borderId="3" xfId="0" applyFont="1" applyBorder="1" applyAlignment="1" applyProtection="1">
      <alignment horizontal="left"/>
      <protection hidden="1"/>
    </xf>
    <xf numFmtId="0" fontId="19" fillId="0" borderId="5" xfId="0" applyFont="1" applyBorder="1" applyProtection="1">
      <protection hidden="1"/>
    </xf>
    <xf numFmtId="0" fontId="18" fillId="0" borderId="3" xfId="0" applyFont="1" applyBorder="1" applyAlignment="1" applyProtection="1">
      <alignment horizontal="right" vertical="top"/>
      <protection hidden="1"/>
    </xf>
    <xf numFmtId="0" fontId="19" fillId="0" borderId="4" xfId="0" applyFont="1" applyBorder="1" applyAlignment="1" applyProtection="1">
      <alignment horizontal="left" vertical="center"/>
      <protection hidden="1"/>
    </xf>
    <xf numFmtId="0" fontId="19" fillId="10" borderId="4" xfId="0" applyFont="1" applyFill="1" applyBorder="1" applyAlignment="1" applyProtection="1">
      <alignment horizontal="left" vertical="center"/>
      <protection hidden="1"/>
    </xf>
    <xf numFmtId="0" fontId="18" fillId="10" borderId="3" xfId="0" applyFont="1" applyFill="1" applyBorder="1" applyAlignment="1" applyProtection="1">
      <alignment horizontal="left" vertical="center"/>
      <protection hidden="1"/>
    </xf>
    <xf numFmtId="0" fontId="19" fillId="10" borderId="3" xfId="0" applyFont="1" applyFill="1" applyBorder="1" applyAlignment="1" applyProtection="1">
      <alignment horizontal="left" vertical="center"/>
      <protection hidden="1"/>
    </xf>
    <xf numFmtId="0" fontId="19" fillId="10" borderId="5" xfId="0" applyFont="1" applyFill="1" applyBorder="1" applyAlignment="1" applyProtection="1">
      <alignment vertical="center"/>
      <protection hidden="1"/>
    </xf>
    <xf numFmtId="0" fontId="18" fillId="0" borderId="4" xfId="0" applyFont="1" applyBorder="1" applyAlignment="1" applyProtection="1">
      <alignment horizontal="left"/>
      <protection hidden="1"/>
    </xf>
    <xf numFmtId="0" fontId="19" fillId="0" borderId="3" xfId="0" quotePrefix="1" applyFont="1" applyBorder="1" applyAlignment="1" applyProtection="1">
      <alignment horizontal="left"/>
      <protection hidden="1"/>
    </xf>
    <xf numFmtId="0" fontId="19" fillId="0" borderId="5" xfId="0" quotePrefix="1" applyFont="1" applyBorder="1" applyProtection="1">
      <protection hidden="1"/>
    </xf>
    <xf numFmtId="0" fontId="19" fillId="10" borderId="4" xfId="0" applyFont="1" applyFill="1" applyBorder="1" applyAlignment="1" applyProtection="1">
      <alignment horizontal="right" vertical="center"/>
      <protection hidden="1"/>
    </xf>
    <xf numFmtId="0" fontId="18" fillId="0" borderId="3" xfId="0" applyFont="1" applyBorder="1" applyAlignment="1" applyProtection="1">
      <alignment vertical="center"/>
      <protection hidden="1"/>
    </xf>
    <xf numFmtId="0" fontId="18" fillId="0" borderId="5" xfId="0" applyFont="1" applyBorder="1" applyAlignment="1" applyProtection="1">
      <alignment vertical="center"/>
      <protection hidden="1"/>
    </xf>
    <xf numFmtId="0" fontId="19" fillId="0" borderId="3" xfId="0" applyFont="1" applyBorder="1" applyAlignment="1" applyProtection="1">
      <alignment vertical="center"/>
      <protection hidden="1"/>
    </xf>
    <xf numFmtId="0" fontId="18" fillId="0" borderId="3" xfId="0" applyFont="1" applyBorder="1" applyProtection="1">
      <protection hidden="1"/>
    </xf>
    <xf numFmtId="0" fontId="19" fillId="0" borderId="3" xfId="0" applyFont="1" applyBorder="1" applyProtection="1">
      <protection hidden="1"/>
    </xf>
    <xf numFmtId="0" fontId="19" fillId="0" borderId="3" xfId="0" applyFont="1" applyBorder="1" applyAlignment="1" applyProtection="1">
      <alignment wrapText="1"/>
      <protection hidden="1"/>
    </xf>
    <xf numFmtId="0" fontId="19" fillId="0" borderId="5" xfId="0" applyFont="1" applyBorder="1" applyAlignment="1" applyProtection="1">
      <alignment vertical="center"/>
      <protection hidden="1"/>
    </xf>
    <xf numFmtId="9" fontId="19" fillId="0" borderId="6" xfId="0" applyNumberFormat="1" applyFont="1" applyBorder="1" applyAlignment="1" applyProtection="1">
      <alignment horizontal="center" vertical="center"/>
      <protection hidden="1"/>
    </xf>
    <xf numFmtId="9" fontId="18" fillId="8" borderId="6" xfId="0" quotePrefix="1" applyNumberFormat="1" applyFont="1" applyFill="1" applyBorder="1" applyAlignment="1" applyProtection="1">
      <alignment horizontal="center" vertical="center"/>
      <protection hidden="1"/>
    </xf>
    <xf numFmtId="0" fontId="19" fillId="10" borderId="6" xfId="1" applyNumberFormat="1" applyFont="1" applyFill="1" applyBorder="1" applyAlignment="1" applyProtection="1">
      <alignment horizontal="center" vertical="center"/>
      <protection hidden="1"/>
    </xf>
    <xf numFmtId="0" fontId="19" fillId="10" borderId="6" xfId="0" applyFont="1" applyFill="1" applyBorder="1" applyAlignment="1" applyProtection="1">
      <alignment horizontal="center"/>
      <protection hidden="1"/>
    </xf>
    <xf numFmtId="9" fontId="19" fillId="0" borderId="6" xfId="2" applyFont="1" applyBorder="1" applyAlignment="1" applyProtection="1">
      <alignment horizontal="center" vertical="center"/>
      <protection hidden="1"/>
    </xf>
    <xf numFmtId="0" fontId="19" fillId="0" borderId="5" xfId="0" applyFont="1" applyBorder="1" applyAlignment="1" applyProtection="1">
      <alignment horizontal="left" vertical="center"/>
      <protection hidden="1"/>
    </xf>
    <xf numFmtId="0" fontId="19" fillId="10" borderId="3" xfId="0" applyFont="1" applyFill="1" applyBorder="1" applyProtection="1">
      <protection hidden="1"/>
    </xf>
    <xf numFmtId="0" fontId="19" fillId="10" borderId="5" xfId="0" applyFont="1" applyFill="1" applyBorder="1" applyAlignment="1" applyProtection="1">
      <alignment horizontal="left" vertical="center"/>
      <protection hidden="1"/>
    </xf>
    <xf numFmtId="0" fontId="19" fillId="0" borderId="3" xfId="0" quotePrefix="1" applyFont="1" applyBorder="1" applyAlignment="1" applyProtection="1">
      <alignment horizontal="left" vertical="center"/>
      <protection hidden="1"/>
    </xf>
    <xf numFmtId="0" fontId="19" fillId="0" borderId="5" xfId="0" quotePrefix="1" applyFont="1" applyBorder="1" applyAlignment="1" applyProtection="1">
      <alignment horizontal="left" vertical="center"/>
      <protection hidden="1"/>
    </xf>
    <xf numFmtId="0" fontId="19" fillId="0" borderId="5" xfId="0" quotePrefix="1" applyFont="1" applyBorder="1" applyAlignment="1" applyProtection="1">
      <alignment vertical="center" wrapText="1"/>
      <protection hidden="1"/>
    </xf>
    <xf numFmtId="0" fontId="65" fillId="0" borderId="6" xfId="0" applyFont="1" applyBorder="1" applyProtection="1">
      <protection hidden="1"/>
    </xf>
    <xf numFmtId="0" fontId="65" fillId="0" borderId="6" xfId="0" applyFont="1" applyBorder="1" applyAlignment="1" applyProtection="1">
      <alignment horizontal="center" vertical="center"/>
      <protection hidden="1"/>
    </xf>
    <xf numFmtId="0" fontId="66" fillId="0" borderId="6" xfId="0" quotePrefix="1" applyFont="1" applyBorder="1" applyAlignment="1" applyProtection="1">
      <alignment horizontal="center" vertical="center"/>
      <protection hidden="1"/>
    </xf>
    <xf numFmtId="0" fontId="65" fillId="0" borderId="4" xfId="0" applyFont="1" applyBorder="1" applyAlignment="1" applyProtection="1">
      <alignment horizontal="left"/>
      <protection hidden="1"/>
    </xf>
    <xf numFmtId="0" fontId="65" fillId="0" borderId="3" xfId="0" applyFont="1" applyBorder="1" applyAlignment="1" applyProtection="1">
      <alignment horizontal="left"/>
      <protection hidden="1"/>
    </xf>
    <xf numFmtId="0" fontId="64" fillId="0" borderId="3" xfId="0" applyFont="1" applyBorder="1" applyAlignment="1" applyProtection="1">
      <alignment horizontal="left" vertical="center"/>
      <protection hidden="1"/>
    </xf>
    <xf numFmtId="0" fontId="65" fillId="0" borderId="5" xfId="0" applyFont="1" applyBorder="1" applyAlignment="1" applyProtection="1">
      <alignment horizontal="left" vertical="center"/>
      <protection hidden="1"/>
    </xf>
    <xf numFmtId="0" fontId="19" fillId="0" borderId="0" xfId="0" applyFont="1" applyAlignment="1" applyProtection="1">
      <alignment horizontal="left"/>
      <protection hidden="1"/>
    </xf>
    <xf numFmtId="0" fontId="19" fillId="0" borderId="0" xfId="0" applyFont="1" applyProtection="1">
      <protection hidden="1"/>
    </xf>
    <xf numFmtId="0" fontId="19" fillId="0" borderId="0" xfId="0" applyFont="1" applyAlignment="1" applyProtection="1">
      <alignment vertical="center"/>
      <protection hidden="1"/>
    </xf>
    <xf numFmtId="0" fontId="18" fillId="0" borderId="0" xfId="0" applyFont="1" applyAlignment="1" applyProtection="1">
      <alignment horizontal="left"/>
      <protection hidden="1"/>
    </xf>
    <xf numFmtId="0" fontId="19" fillId="3" borderId="6" xfId="0" applyFont="1" applyFill="1" applyBorder="1" applyAlignment="1" applyProtection="1">
      <alignment horizontal="center" vertical="center"/>
      <protection hidden="1"/>
    </xf>
    <xf numFmtId="0" fontId="19" fillId="7" borderId="6" xfId="0" applyFont="1" applyFill="1" applyBorder="1" applyAlignment="1" applyProtection="1">
      <alignment horizontal="center" vertical="center"/>
      <protection hidden="1"/>
    </xf>
    <xf numFmtId="9" fontId="19" fillId="23" borderId="6" xfId="2" applyFont="1" applyFill="1" applyBorder="1" applyAlignment="1" applyProtection="1">
      <alignment horizontal="center" vertical="center"/>
      <protection hidden="1"/>
    </xf>
    <xf numFmtId="0" fontId="19" fillId="0" borderId="5" xfId="0" applyFont="1" applyBorder="1" applyAlignment="1" applyProtection="1">
      <alignment horizontal="left" vertical="center" wrapText="1"/>
      <protection hidden="1"/>
    </xf>
    <xf numFmtId="0" fontId="11" fillId="0" borderId="8" xfId="3" quotePrefix="1" applyBorder="1" applyAlignment="1" applyProtection="1">
      <alignment horizontal="left" vertical="center"/>
      <protection hidden="1"/>
    </xf>
    <xf numFmtId="0" fontId="22" fillId="0" borderId="0" xfId="0" applyFont="1" applyAlignment="1">
      <alignment horizontal="center" wrapText="1"/>
    </xf>
    <xf numFmtId="165" fontId="12" fillId="0" borderId="0" xfId="0" applyNumberFormat="1" applyFont="1" applyAlignment="1" applyProtection="1">
      <alignment wrapText="1"/>
      <protection locked="0"/>
    </xf>
    <xf numFmtId="165" fontId="22" fillId="8" borderId="0" xfId="0" applyNumberFormat="1" applyFont="1" applyFill="1" applyAlignment="1" applyProtection="1">
      <alignment horizontal="center" wrapText="1"/>
      <protection locked="0"/>
    </xf>
    <xf numFmtId="49" fontId="70" fillId="0" borderId="0" xfId="0" applyNumberFormat="1" applyFont="1"/>
    <xf numFmtId="0" fontId="19" fillId="18" borderId="6" xfId="0" applyFont="1" applyFill="1" applyBorder="1" applyAlignment="1" applyProtection="1">
      <alignment horizontal="center" vertical="center"/>
      <protection hidden="1"/>
    </xf>
    <xf numFmtId="0" fontId="19" fillId="11" borderId="6" xfId="0" applyFont="1" applyFill="1" applyBorder="1" applyAlignment="1" applyProtection="1">
      <alignment horizontal="left" vertical="center"/>
      <protection hidden="1"/>
    </xf>
    <xf numFmtId="0" fontId="19" fillId="10" borderId="6" xfId="0" applyFont="1" applyFill="1" applyBorder="1" applyAlignment="1" applyProtection="1">
      <alignment horizontal="left" vertical="center"/>
      <protection hidden="1"/>
    </xf>
    <xf numFmtId="0" fontId="19" fillId="0" borderId="6" xfId="0" applyFont="1" applyBorder="1" applyAlignment="1" applyProtection="1">
      <alignment horizontal="center"/>
      <protection hidden="1"/>
    </xf>
    <xf numFmtId="9" fontId="19" fillId="18" borderId="6" xfId="2" applyFont="1" applyFill="1" applyBorder="1" applyAlignment="1" applyProtection="1">
      <alignment horizontal="center" vertical="center"/>
      <protection hidden="1"/>
    </xf>
    <xf numFmtId="0" fontId="65" fillId="0" borderId="0" xfId="0" applyFont="1" applyProtection="1">
      <protection hidden="1"/>
    </xf>
    <xf numFmtId="0" fontId="22" fillId="0" borderId="0" xfId="0" applyFont="1" applyAlignment="1">
      <alignment horizontal="right" vertical="center"/>
    </xf>
    <xf numFmtId="0" fontId="22" fillId="0" borderId="0" xfId="0" applyFont="1" applyAlignment="1">
      <alignment horizontal="left" vertical="center"/>
    </xf>
    <xf numFmtId="0" fontId="22" fillId="0" borderId="0" xfId="0" applyFont="1" applyAlignment="1">
      <alignment horizontal="center" vertical="center"/>
    </xf>
    <xf numFmtId="0" fontId="12" fillId="0" borderId="0" xfId="0" applyFont="1" applyAlignment="1">
      <alignment horizontal="center" vertical="center"/>
    </xf>
    <xf numFmtId="0" fontId="22" fillId="0" borderId="0" xfId="0" applyFont="1" applyAlignment="1" applyProtection="1">
      <alignment horizontal="right" vertical="center"/>
      <protection hidden="1"/>
    </xf>
    <xf numFmtId="0" fontId="22" fillId="0" borderId="0" xfId="0" applyFont="1" applyAlignment="1" applyProtection="1">
      <alignment horizontal="left" vertical="center"/>
      <protection hidden="1"/>
    </xf>
    <xf numFmtId="0" fontId="12" fillId="0" borderId="0" xfId="0" applyFont="1" applyAlignment="1" applyProtection="1">
      <alignment horizontal="left" vertical="center"/>
      <protection hidden="1"/>
    </xf>
    <xf numFmtId="0" fontId="22" fillId="0" borderId="0" xfId="0" applyFont="1" applyAlignment="1">
      <alignment horizontal="left" vertical="center" wrapText="1"/>
    </xf>
    <xf numFmtId="0" fontId="12" fillId="0" borderId="0" xfId="0" applyFont="1" applyAlignment="1">
      <alignment horizontal="left" vertical="center" wrapText="1"/>
    </xf>
    <xf numFmtId="0" fontId="78" fillId="0" borderId="9" xfId="0" applyFont="1" applyBorder="1"/>
    <xf numFmtId="0" fontId="78" fillId="0" borderId="12" xfId="0" applyFont="1" applyBorder="1"/>
    <xf numFmtId="0" fontId="78" fillId="0" borderId="13" xfId="0" applyFont="1" applyBorder="1"/>
    <xf numFmtId="0" fontId="24" fillId="0" borderId="12" xfId="0" applyFont="1" applyBorder="1"/>
    <xf numFmtId="0" fontId="24" fillId="0" borderId="13" xfId="0" applyFont="1" applyBorder="1"/>
    <xf numFmtId="15" fontId="24" fillId="0" borderId="12" xfId="0" applyNumberFormat="1" applyFont="1" applyBorder="1"/>
    <xf numFmtId="0" fontId="12" fillId="0" borderId="0" xfId="0" applyFont="1" applyAlignment="1" applyProtection="1">
      <alignment horizontal="center" vertical="center"/>
      <protection locked="0"/>
    </xf>
    <xf numFmtId="9" fontId="18" fillId="8" borderId="6" xfId="0" applyNumberFormat="1" applyFont="1" applyFill="1" applyBorder="1" applyAlignment="1" applyProtection="1">
      <alignment horizontal="center" vertical="center"/>
      <protection hidden="1"/>
    </xf>
    <xf numFmtId="165" fontId="12" fillId="0" borderId="0" xfId="0" applyNumberFormat="1" applyFont="1" applyAlignment="1" applyProtection="1">
      <alignment horizontal="center" vertical="center"/>
      <protection locked="0"/>
    </xf>
    <xf numFmtId="0" fontId="12" fillId="0" borderId="0" xfId="0" applyFont="1" applyAlignment="1" applyProtection="1">
      <alignment horizontal="left" vertical="center" wrapText="1"/>
      <protection locked="0"/>
    </xf>
    <xf numFmtId="0" fontId="12" fillId="0" borderId="0" xfId="0" applyFont="1" applyAlignment="1" applyProtection="1">
      <alignment horizontal="left"/>
      <protection locked="0"/>
    </xf>
    <xf numFmtId="9" fontId="9" fillId="7" borderId="6" xfId="0" applyNumberFormat="1" applyFont="1" applyFill="1" applyBorder="1" applyAlignment="1" applyProtection="1">
      <alignment horizontal="center" vertical="center"/>
      <protection locked="0"/>
    </xf>
    <xf numFmtId="0" fontId="12" fillId="0" borderId="0" xfId="0" applyFont="1" applyAlignment="1" applyProtection="1">
      <alignment vertical="center"/>
      <protection locked="0"/>
    </xf>
    <xf numFmtId="15" fontId="78" fillId="0" borderId="0" xfId="0" applyNumberFormat="1" applyFont="1"/>
    <xf numFmtId="0" fontId="78" fillId="0" borderId="0" xfId="0" applyFont="1"/>
    <xf numFmtId="0" fontId="78" fillId="0" borderId="0" xfId="0" applyFont="1" applyAlignment="1">
      <alignment wrapText="1"/>
    </xf>
    <xf numFmtId="0" fontId="12" fillId="0" borderId="0" xfId="0" applyFont="1" applyAlignment="1" applyProtection="1">
      <alignment vertical="center" wrapText="1"/>
      <protection locked="0"/>
    </xf>
    <xf numFmtId="14" fontId="12" fillId="0" borderId="0" xfId="0" applyNumberFormat="1" applyFont="1" applyAlignment="1" applyProtection="1">
      <alignment vertical="center"/>
      <protection locked="0"/>
    </xf>
    <xf numFmtId="0" fontId="78" fillId="0" borderId="0" xfId="0" applyFont="1" applyAlignment="1">
      <alignment vertical="top" wrapText="1"/>
    </xf>
    <xf numFmtId="0" fontId="78" fillId="0" borderId="0" xfId="0" applyFont="1" applyAlignment="1">
      <alignment horizontal="right"/>
    </xf>
    <xf numFmtId="9" fontId="19" fillId="18" borderId="6" xfId="0" applyNumberFormat="1" applyFont="1" applyFill="1" applyBorder="1" applyAlignment="1" applyProtection="1">
      <alignment horizontal="center" vertical="center"/>
      <protection hidden="1"/>
    </xf>
    <xf numFmtId="9" fontId="19" fillId="18" borderId="9" xfId="0" applyNumberFormat="1" applyFont="1" applyFill="1" applyBorder="1" applyAlignment="1" applyProtection="1">
      <alignment horizontal="center" vertical="center"/>
      <protection hidden="1"/>
    </xf>
    <xf numFmtId="9" fontId="19" fillId="18" borderId="4" xfId="0" applyNumberFormat="1" applyFont="1" applyFill="1" applyBorder="1" applyAlignment="1" applyProtection="1">
      <alignment horizontal="center" vertical="center"/>
      <protection hidden="1"/>
    </xf>
    <xf numFmtId="9" fontId="19" fillId="18" borderId="5" xfId="0" applyNumberFormat="1" applyFont="1" applyFill="1" applyBorder="1" applyAlignment="1" applyProtection="1">
      <alignment horizontal="center" vertical="center"/>
      <protection hidden="1"/>
    </xf>
    <xf numFmtId="0" fontId="19" fillId="18" borderId="7" xfId="0" applyFont="1" applyFill="1" applyBorder="1" applyAlignment="1" applyProtection="1">
      <alignment horizontal="center" vertical="center"/>
      <protection hidden="1"/>
    </xf>
    <xf numFmtId="0" fontId="19" fillId="10" borderId="8" xfId="0" applyFont="1" applyFill="1" applyBorder="1" applyAlignment="1" applyProtection="1">
      <alignment horizontal="center" vertical="center"/>
      <protection hidden="1"/>
    </xf>
    <xf numFmtId="14" fontId="12" fillId="0" borderId="6" xfId="0" applyNumberFormat="1" applyFont="1" applyBorder="1" applyAlignment="1">
      <alignment horizontal="center"/>
    </xf>
    <xf numFmtId="14" fontId="12" fillId="0" borderId="0" xfId="0" applyNumberFormat="1" applyFont="1" applyAlignment="1" applyProtection="1">
      <alignment horizontal="right"/>
      <protection locked="0"/>
    </xf>
    <xf numFmtId="0" fontId="22" fillId="10" borderId="0" xfId="0" applyFont="1" applyFill="1" applyAlignment="1">
      <alignment horizontal="right" vertical="center" wrapText="1"/>
    </xf>
    <xf numFmtId="165" fontId="12" fillId="0" borderId="0" xfId="0" applyNumberFormat="1" applyFont="1" applyAlignment="1" applyProtection="1">
      <alignment horizontal="right"/>
      <protection locked="0"/>
    </xf>
    <xf numFmtId="0" fontId="12" fillId="0" borderId="0" xfId="0" applyFont="1" applyAlignment="1">
      <alignment vertical="center"/>
    </xf>
    <xf numFmtId="0" fontId="16" fillId="24" borderId="0" xfId="3" applyFont="1" applyFill="1" applyBorder="1" applyAlignment="1" applyProtection="1">
      <alignment horizontal="center" vertical="center"/>
    </xf>
    <xf numFmtId="0" fontId="22" fillId="0" borderId="0" xfId="0" quotePrefix="1" applyFont="1" applyAlignment="1">
      <alignment horizontal="right" vertical="center"/>
    </xf>
    <xf numFmtId="0" fontId="22" fillId="0" borderId="0" xfId="0" applyFont="1" applyAlignment="1">
      <alignment vertical="center"/>
    </xf>
    <xf numFmtId="0" fontId="12" fillId="0" borderId="0" xfId="0" applyFont="1" applyAlignment="1">
      <alignment horizontal="right" vertical="center"/>
    </xf>
    <xf numFmtId="0" fontId="35" fillId="12" borderId="0" xfId="0" applyFont="1" applyFill="1" applyAlignment="1">
      <alignment horizontal="left" vertical="center"/>
    </xf>
    <xf numFmtId="0" fontId="23" fillId="11" borderId="0" xfId="0" applyFont="1" applyFill="1" applyAlignment="1">
      <alignment horizontal="center" vertical="center"/>
    </xf>
    <xf numFmtId="0" fontId="35" fillId="15" borderId="0" xfId="0" applyFont="1" applyFill="1" applyAlignment="1">
      <alignment horizontal="left" vertical="center"/>
    </xf>
    <xf numFmtId="0" fontId="23" fillId="8" borderId="0" xfId="0" applyFont="1" applyFill="1" applyAlignment="1">
      <alignment horizontal="center" vertical="center"/>
    </xf>
    <xf numFmtId="0" fontId="77" fillId="0" borderId="0" xfId="0" applyFont="1" applyAlignment="1">
      <alignment horizontal="left" vertical="center" wrapText="1"/>
    </xf>
    <xf numFmtId="0" fontId="35" fillId="15" borderId="0" xfId="0" applyFont="1" applyFill="1" applyAlignment="1">
      <alignment horizontal="left" vertical="center" wrapText="1"/>
    </xf>
    <xf numFmtId="0" fontId="12" fillId="0" borderId="0" xfId="0" applyFont="1" applyAlignment="1" applyProtection="1">
      <alignment vertical="top"/>
      <protection locked="0" hidden="1"/>
    </xf>
    <xf numFmtId="0" fontId="12" fillId="0" borderId="0" xfId="0" applyFont="1" applyAlignment="1" applyProtection="1">
      <alignment vertical="top"/>
      <protection locked="0"/>
    </xf>
    <xf numFmtId="165" fontId="12" fillId="0" borderId="0" xfId="0" applyNumberFormat="1" applyFont="1" applyAlignment="1" applyProtection="1">
      <alignment vertical="center"/>
      <protection locked="0"/>
    </xf>
    <xf numFmtId="0" fontId="24" fillId="0" borderId="0" xfId="0" applyFont="1"/>
    <xf numFmtId="0" fontId="22" fillId="0" borderId="0" xfId="0" applyFont="1" applyAlignment="1" applyProtection="1">
      <alignment horizontal="right"/>
      <protection locked="0"/>
    </xf>
    <xf numFmtId="2" fontId="12" fillId="0" borderId="0" xfId="0" applyNumberFormat="1" applyFont="1" applyAlignment="1">
      <alignment horizontal="right"/>
    </xf>
    <xf numFmtId="164" fontId="22" fillId="0" borderId="0" xfId="0" applyNumberFormat="1" applyFont="1" applyAlignment="1" applyProtection="1">
      <alignment horizontal="left"/>
      <protection locked="0"/>
    </xf>
    <xf numFmtId="164" fontId="12" fillId="0" borderId="0" xfId="0" applyNumberFormat="1" applyFont="1"/>
    <xf numFmtId="0" fontId="22" fillId="0" borderId="0" xfId="0" quotePrefix="1" applyFont="1" applyAlignment="1">
      <alignment horizontal="right" wrapText="1"/>
    </xf>
    <xf numFmtId="0" fontId="35" fillId="12" borderId="0" xfId="0" applyFont="1" applyFill="1" applyAlignment="1" applyProtection="1">
      <alignment horizontal="left" wrapText="1"/>
      <protection locked="0"/>
    </xf>
    <xf numFmtId="0" fontId="12" fillId="16" borderId="0" xfId="0" applyFont="1" applyFill="1" applyAlignment="1">
      <alignment wrapText="1"/>
    </xf>
    <xf numFmtId="164" fontId="22" fillId="0" borderId="0" xfId="0" applyNumberFormat="1" applyFont="1" applyAlignment="1">
      <alignment horizontal="left"/>
    </xf>
    <xf numFmtId="164" fontId="49" fillId="0" borderId="0" xfId="0" applyNumberFormat="1" applyFont="1" applyAlignment="1" applyProtection="1">
      <alignment horizontal="left"/>
      <protection locked="0"/>
    </xf>
    <xf numFmtId="164" fontId="22" fillId="10" borderId="0" xfId="0" applyNumberFormat="1" applyFont="1" applyFill="1" applyAlignment="1">
      <alignment horizontal="center" vertical="center" wrapText="1"/>
    </xf>
    <xf numFmtId="164" fontId="12" fillId="0" borderId="0" xfId="0" applyNumberFormat="1" applyFont="1" applyProtection="1">
      <protection locked="0"/>
    </xf>
    <xf numFmtId="14" fontId="22" fillId="0" borderId="6" xfId="0" applyNumberFormat="1" applyFont="1" applyBorder="1" applyAlignment="1">
      <alignment horizontal="center" vertical="center" wrapText="1"/>
    </xf>
    <xf numFmtId="0" fontId="25" fillId="8" borderId="6" xfId="0" applyFont="1" applyFill="1" applyBorder="1" applyAlignment="1">
      <alignment horizontal="center" vertical="center" wrapText="1"/>
    </xf>
    <xf numFmtId="0" fontId="80" fillId="0" borderId="9" xfId="0" applyFont="1" applyBorder="1" applyAlignment="1">
      <alignment readingOrder="1"/>
    </xf>
    <xf numFmtId="0" fontId="82" fillId="0" borderId="0" xfId="0" applyFont="1"/>
    <xf numFmtId="0" fontId="32" fillId="0" borderId="8" xfId="0" applyFont="1" applyBorder="1" applyAlignment="1" applyProtection="1">
      <alignment horizontal="left" vertical="center"/>
      <protection locked="0"/>
    </xf>
    <xf numFmtId="0" fontId="32" fillId="26" borderId="8" xfId="0" applyFont="1" applyFill="1" applyBorder="1" applyAlignment="1" applyProtection="1">
      <alignment horizontal="left" vertical="center"/>
      <protection locked="0"/>
    </xf>
    <xf numFmtId="0" fontId="32" fillId="27" borderId="8" xfId="0" applyFont="1" applyFill="1" applyBorder="1" applyAlignment="1" applyProtection="1">
      <alignment horizontal="left" vertical="center"/>
      <protection locked="0"/>
    </xf>
    <xf numFmtId="0" fontId="83" fillId="0" borderId="6" xfId="0" applyFont="1" applyBorder="1" applyAlignment="1" applyProtection="1">
      <alignment horizontal="center"/>
      <protection locked="0"/>
    </xf>
    <xf numFmtId="49" fontId="84" fillId="0" borderId="5" xfId="0" applyNumberFormat="1" applyFont="1" applyBorder="1" applyAlignment="1">
      <alignment horizontal="center" vertical="center" wrapText="1"/>
    </xf>
    <xf numFmtId="49" fontId="84" fillId="0" borderId="0" xfId="0" applyNumberFormat="1" applyFont="1" applyAlignment="1">
      <alignment horizontal="center" vertical="center" wrapText="1"/>
    </xf>
    <xf numFmtId="49" fontId="84" fillId="0" borderId="14" xfId="0" applyNumberFormat="1" applyFont="1" applyBorder="1" applyAlignment="1">
      <alignment horizontal="left" vertical="center"/>
    </xf>
    <xf numFmtId="49" fontId="84" fillId="0" borderId="6" xfId="0" applyNumberFormat="1" applyFont="1" applyBorder="1" applyAlignment="1">
      <alignment horizontal="center" vertical="center" wrapText="1"/>
    </xf>
    <xf numFmtId="49" fontId="85" fillId="0" borderId="11" xfId="0" applyNumberFormat="1" applyFont="1" applyBorder="1" applyAlignment="1">
      <alignment horizontal="center" vertical="center" wrapText="1"/>
    </xf>
    <xf numFmtId="49" fontId="84" fillId="0" borderId="9" xfId="0" applyNumberFormat="1" applyFont="1" applyBorder="1" applyAlignment="1">
      <alignment horizontal="center" vertical="center" wrapText="1"/>
    </xf>
    <xf numFmtId="49" fontId="84" fillId="0" borderId="9" xfId="0" applyNumberFormat="1" applyFont="1" applyBorder="1" applyAlignment="1">
      <alignment horizontal="center" vertical="center"/>
    </xf>
    <xf numFmtId="49" fontId="29" fillId="0" borderId="5" xfId="0" applyNumberFormat="1" applyFont="1" applyBorder="1" applyAlignment="1">
      <alignment horizontal="center"/>
    </xf>
    <xf numFmtId="49" fontId="29" fillId="0" borderId="3" xfId="0" applyNumberFormat="1" applyFont="1" applyBorder="1"/>
    <xf numFmtId="49" fontId="29" fillId="0" borderId="3" xfId="0" applyNumberFormat="1" applyFont="1" applyBorder="1" applyAlignment="1">
      <alignment horizontal="center"/>
    </xf>
    <xf numFmtId="49" fontId="29" fillId="0" borderId="6" xfId="0" applyNumberFormat="1" applyFont="1" applyBorder="1" applyAlignment="1">
      <alignment horizontal="center" wrapText="1"/>
    </xf>
    <xf numFmtId="49" fontId="29" fillId="0" borderId="11" xfId="0" applyNumberFormat="1" applyFont="1" applyBorder="1" applyAlignment="1">
      <alignment horizontal="center" vertical="top" wrapText="1"/>
    </xf>
    <xf numFmtId="49" fontId="86" fillId="0" borderId="9" xfId="0" applyNumberFormat="1" applyFont="1" applyBorder="1" applyAlignment="1">
      <alignment horizontal="center" vertical="top" wrapText="1"/>
    </xf>
    <xf numFmtId="49" fontId="29" fillId="0" borderId="0" xfId="0" applyNumberFormat="1" applyFont="1"/>
    <xf numFmtId="49" fontId="29" fillId="0" borderId="5" xfId="0" quotePrefix="1" applyNumberFormat="1" applyFont="1" applyBorder="1" applyAlignment="1">
      <alignment horizontal="center"/>
    </xf>
    <xf numFmtId="49" fontId="86" fillId="0" borderId="9" xfId="0" applyNumberFormat="1" applyFont="1" applyBorder="1" applyAlignment="1">
      <alignment horizontal="left" vertical="top" wrapText="1"/>
    </xf>
    <xf numFmtId="49" fontId="29" fillId="0" borderId="3" xfId="0" quotePrefix="1" applyNumberFormat="1" applyFont="1" applyBorder="1" applyAlignment="1">
      <alignment horizontal="center"/>
    </xf>
    <xf numFmtId="49" fontId="29" fillId="0" borderId="6" xfId="0" quotePrefix="1" applyNumberFormat="1" applyFont="1" applyBorder="1" applyAlignment="1">
      <alignment horizontal="center" wrapText="1"/>
    </xf>
    <xf numFmtId="49" fontId="29" fillId="0" borderId="6" xfId="0" applyNumberFormat="1" applyFont="1" applyBorder="1" applyAlignment="1">
      <alignment horizontal="center" vertical="top"/>
    </xf>
    <xf numFmtId="49" fontId="29" fillId="0" borderId="11" xfId="0" applyNumberFormat="1" applyFont="1" applyBorder="1" applyAlignment="1">
      <alignment horizontal="center" vertical="top"/>
    </xf>
    <xf numFmtId="49" fontId="86" fillId="0" borderId="9" xfId="0" applyNumberFormat="1" applyFont="1" applyBorder="1" applyAlignment="1">
      <alignment horizontal="center" vertical="top"/>
    </xf>
    <xf numFmtId="49" fontId="86" fillId="0" borderId="9" xfId="0" quotePrefix="1" applyNumberFormat="1" applyFont="1" applyBorder="1" applyAlignment="1">
      <alignment horizontal="center" vertical="top" wrapText="1"/>
    </xf>
    <xf numFmtId="49" fontId="29" fillId="0" borderId="5" xfId="0" applyNumberFormat="1" applyFont="1" applyBorder="1" applyAlignment="1">
      <alignment horizontal="center" vertical="top"/>
    </xf>
    <xf numFmtId="49" fontId="29" fillId="0" borderId="3" xfId="0" applyNumberFormat="1" applyFont="1" applyBorder="1" applyAlignment="1">
      <alignment vertical="top"/>
    </xf>
    <xf numFmtId="49" fontId="29" fillId="0" borderId="6" xfId="0" applyNumberFormat="1" applyFont="1" applyBorder="1" applyAlignment="1">
      <alignment horizontal="center" vertical="top" wrapText="1"/>
    </xf>
    <xf numFmtId="49" fontId="29" fillId="0" borderId="6" xfId="0" applyNumberFormat="1" applyFont="1" applyBorder="1"/>
    <xf numFmtId="49" fontId="44" fillId="0" borderId="6" xfId="0" applyNumberFormat="1" applyFont="1" applyBorder="1"/>
    <xf numFmtId="49" fontId="29" fillId="0" borderId="6" xfId="0" applyNumberFormat="1" applyFont="1" applyBorder="1" applyAlignment="1">
      <alignment horizontal="center"/>
    </xf>
    <xf numFmtId="49" fontId="44" fillId="0" borderId="5" xfId="0" applyNumberFormat="1" applyFont="1" applyBorder="1"/>
    <xf numFmtId="49" fontId="86" fillId="0" borderId="12" xfId="0" applyNumberFormat="1" applyFont="1" applyBorder="1" applyAlignment="1">
      <alignment horizontal="center" vertical="top" wrapText="1"/>
    </xf>
    <xf numFmtId="49" fontId="44" fillId="0" borderId="4" xfId="0" applyNumberFormat="1" applyFont="1" applyBorder="1"/>
    <xf numFmtId="49" fontId="86" fillId="0" borderId="6" xfId="0" applyNumberFormat="1" applyFont="1" applyBorder="1" applyAlignment="1">
      <alignment horizontal="center" vertical="top" wrapText="1"/>
    </xf>
    <xf numFmtId="49" fontId="29" fillId="0" borderId="5" xfId="0" applyNumberFormat="1" applyFont="1" applyBorder="1"/>
    <xf numFmtId="49" fontId="86" fillId="0" borderId="13" xfId="0" applyNumberFormat="1" applyFont="1" applyBorder="1" applyAlignment="1">
      <alignment horizontal="center" vertical="top" wrapText="1"/>
    </xf>
    <xf numFmtId="49" fontId="86" fillId="0" borderId="15" xfId="0" applyNumberFormat="1" applyFont="1" applyBorder="1" applyAlignment="1">
      <alignment horizontal="center" vertical="top" wrapText="1"/>
    </xf>
    <xf numFmtId="49" fontId="86" fillId="0" borderId="16" xfId="0" applyNumberFormat="1" applyFont="1" applyBorder="1" applyAlignment="1">
      <alignment horizontal="center" vertical="top" wrapText="1"/>
    </xf>
    <xf numFmtId="0" fontId="12" fillId="14" borderId="4" xfId="0" applyFont="1" applyFill="1" applyBorder="1"/>
    <xf numFmtId="0" fontId="22" fillId="0" borderId="7" xfId="0" applyFont="1" applyBorder="1" applyAlignment="1">
      <alignment horizontal="center" vertical="center" wrapText="1"/>
    </xf>
    <xf numFmtId="0" fontId="78" fillId="0" borderId="6" xfId="0" applyFont="1" applyBorder="1"/>
    <xf numFmtId="0" fontId="78" fillId="0" borderId="8" xfId="0" applyFont="1" applyBorder="1"/>
    <xf numFmtId="0" fontId="12" fillId="0" borderId="6" xfId="0" quotePrefix="1" applyFont="1" applyBorder="1"/>
    <xf numFmtId="0" fontId="12" fillId="0" borderId="6" xfId="0" applyFont="1" applyBorder="1" applyAlignment="1">
      <alignment vertical="center" wrapText="1"/>
    </xf>
    <xf numFmtId="0" fontId="12" fillId="0" borderId="0" xfId="0" applyFont="1" applyAlignment="1" applyProtection="1">
      <alignment vertical="top" wrapText="1"/>
      <protection locked="0"/>
    </xf>
    <xf numFmtId="1" fontId="12" fillId="0" borderId="0" xfId="0" applyNumberFormat="1" applyFont="1" applyAlignment="1" applyProtection="1">
      <alignment vertical="top"/>
      <protection locked="0"/>
    </xf>
    <xf numFmtId="165" fontId="12" fillId="0" borderId="0" xfId="0" applyNumberFormat="1" applyFont="1" applyAlignment="1" applyProtection="1">
      <alignment vertical="top"/>
      <protection locked="0" hidden="1"/>
    </xf>
    <xf numFmtId="165" fontId="12" fillId="0" borderId="0" xfId="0" applyNumberFormat="1" applyFont="1" applyAlignment="1" applyProtection="1">
      <alignment vertical="top"/>
      <protection locked="0"/>
    </xf>
    <xf numFmtId="0" fontId="81" fillId="0" borderId="0" xfId="0" applyFont="1" applyAlignment="1">
      <alignment vertical="center" wrapText="1"/>
    </xf>
    <xf numFmtId="165" fontId="12" fillId="0" borderId="0" xfId="0" applyNumberFormat="1" applyFont="1" applyAlignment="1" applyProtection="1">
      <alignment vertical="center" wrapText="1"/>
      <protection locked="0"/>
    </xf>
    <xf numFmtId="10" fontId="19" fillId="18" borderId="6" xfId="2" applyNumberFormat="1" applyFont="1" applyFill="1" applyBorder="1" applyAlignment="1" applyProtection="1">
      <alignment horizontal="center" vertical="center"/>
      <protection hidden="1"/>
    </xf>
    <xf numFmtId="0" fontId="24" fillId="0" borderId="0" xfId="0" applyFont="1" applyAlignment="1">
      <alignment wrapText="1"/>
    </xf>
    <xf numFmtId="0" fontId="25" fillId="10" borderId="0" xfId="0" applyFont="1" applyFill="1" applyAlignment="1">
      <alignment horizontal="center" vertical="center" wrapText="1"/>
    </xf>
    <xf numFmtId="4" fontId="24" fillId="0" borderId="0" xfId="0" applyNumberFormat="1" applyFont="1"/>
    <xf numFmtId="0" fontId="78" fillId="0" borderId="0" xfId="0" applyFont="1" applyAlignment="1">
      <alignment horizontal="left" wrapText="1" indent="2"/>
    </xf>
    <xf numFmtId="15" fontId="88" fillId="0" borderId="0" xfId="0" applyNumberFormat="1" applyFont="1"/>
    <xf numFmtId="0" fontId="88" fillId="0" borderId="0" xfId="0" applyFont="1"/>
    <xf numFmtId="0" fontId="88" fillId="0" borderId="0" xfId="0" applyFont="1" applyAlignment="1">
      <alignment wrapText="1"/>
    </xf>
    <xf numFmtId="0" fontId="88" fillId="0" borderId="17" xfId="0" applyFont="1" applyBorder="1"/>
    <xf numFmtId="0" fontId="88" fillId="30" borderId="17" xfId="0" applyFont="1" applyFill="1" applyBorder="1"/>
    <xf numFmtId="0" fontId="89" fillId="30" borderId="17" xfId="0" applyFont="1" applyFill="1" applyBorder="1"/>
    <xf numFmtId="0" fontId="90" fillId="0" borderId="17" xfId="0" applyFont="1" applyBorder="1"/>
    <xf numFmtId="0" fontId="90" fillId="30" borderId="17" xfId="0" applyFont="1" applyFill="1" applyBorder="1"/>
    <xf numFmtId="0" fontId="91" fillId="0" borderId="9" xfId="0" applyFont="1" applyBorder="1" applyAlignment="1">
      <alignment readingOrder="1"/>
    </xf>
    <xf numFmtId="0" fontId="92" fillId="0" borderId="17" xfId="0" applyFont="1" applyBorder="1"/>
    <xf numFmtId="0" fontId="92" fillId="0" borderId="8" xfId="0" applyFont="1" applyBorder="1"/>
    <xf numFmtId="0" fontId="92" fillId="0" borderId="17" xfId="0" applyFont="1" applyBorder="1" applyAlignment="1">
      <alignment wrapText="1"/>
    </xf>
    <xf numFmtId="0" fontId="93" fillId="8" borderId="6" xfId="0" applyFont="1" applyFill="1" applyBorder="1" applyAlignment="1">
      <alignment horizontal="left" vertical="top"/>
    </xf>
    <xf numFmtId="0" fontId="93" fillId="8" borderId="6" xfId="0" applyFont="1" applyFill="1" applyBorder="1" applyAlignment="1">
      <alignment horizontal="center" vertical="top"/>
    </xf>
    <xf numFmtId="15" fontId="94" fillId="0" borderId="9" xfId="0" applyNumberFormat="1" applyFont="1" applyBorder="1"/>
    <xf numFmtId="0" fontId="95" fillId="0" borderId="6" xfId="0" applyFont="1" applyBorder="1" applyAlignment="1">
      <alignment horizontal="center"/>
    </xf>
    <xf numFmtId="0" fontId="95" fillId="0" borderId="6" xfId="0" applyFont="1" applyBorder="1" applyAlignment="1">
      <alignment horizontal="center" vertical="center"/>
    </xf>
    <xf numFmtId="0" fontId="96" fillId="14" borderId="6" xfId="0" applyFont="1" applyFill="1" applyBorder="1" applyProtection="1">
      <protection locked="0"/>
    </xf>
    <xf numFmtId="0" fontId="95" fillId="14" borderId="4" xfId="0" applyFont="1" applyFill="1" applyBorder="1"/>
    <xf numFmtId="0" fontId="95" fillId="0" borderId="6" xfId="0" applyFont="1" applyBorder="1"/>
    <xf numFmtId="0" fontId="95" fillId="0" borderId="0" xfId="0" applyFont="1"/>
    <xf numFmtId="0" fontId="97" fillId="0" borderId="17" xfId="0" applyFont="1" applyBorder="1"/>
    <xf numFmtId="0" fontId="97" fillId="0" borderId="8" xfId="0" applyFont="1" applyBorder="1"/>
    <xf numFmtId="0" fontId="97" fillId="0" borderId="17" xfId="0" applyFont="1" applyBorder="1" applyAlignment="1">
      <alignment wrapText="1"/>
    </xf>
    <xf numFmtId="0" fontId="94" fillId="0" borderId="12" xfId="0" applyFont="1" applyBorder="1"/>
    <xf numFmtId="15" fontId="94" fillId="0" borderId="12" xfId="0" applyNumberFormat="1" applyFont="1" applyBorder="1"/>
    <xf numFmtId="0" fontId="98" fillId="8" borderId="6" xfId="0" applyFont="1" applyFill="1" applyBorder="1" applyAlignment="1">
      <alignment horizontal="left" vertical="top"/>
    </xf>
    <xf numFmtId="0" fontId="94" fillId="8" borderId="6" xfId="0" applyFont="1" applyFill="1" applyBorder="1" applyAlignment="1">
      <alignment horizontal="center" vertical="top"/>
    </xf>
    <xf numFmtId="0" fontId="94" fillId="0" borderId="6" xfId="0" applyFont="1" applyBorder="1" applyAlignment="1">
      <alignment horizontal="center"/>
    </xf>
    <xf numFmtId="0" fontId="94" fillId="0" borderId="6" xfId="0" applyFont="1" applyBorder="1" applyAlignment="1">
      <alignment horizontal="center" vertical="center"/>
    </xf>
    <xf numFmtId="0" fontId="94" fillId="14" borderId="6" xfId="0" applyFont="1" applyFill="1" applyBorder="1" applyProtection="1">
      <protection locked="0"/>
    </xf>
    <xf numFmtId="0" fontId="94" fillId="14" borderId="4" xfId="0" applyFont="1" applyFill="1" applyBorder="1"/>
    <xf numFmtId="0" fontId="94" fillId="0" borderId="6" xfId="0" applyFont="1" applyBorder="1"/>
    <xf numFmtId="0" fontId="94" fillId="0" borderId="6" xfId="0" applyFont="1" applyBorder="1" applyAlignment="1">
      <alignment horizontal="left" vertical="center"/>
    </xf>
    <xf numFmtId="0" fontId="94" fillId="0" borderId="0" xfId="0" applyFont="1"/>
    <xf numFmtId="0" fontId="97" fillId="0" borderId="18" xfId="0" applyFont="1" applyBorder="1"/>
    <xf numFmtId="0" fontId="99" fillId="28" borderId="8" xfId="0" applyFont="1" applyFill="1" applyBorder="1" applyAlignment="1">
      <alignment wrapText="1"/>
    </xf>
    <xf numFmtId="0" fontId="93" fillId="0" borderId="8" xfId="0" applyFont="1" applyBorder="1"/>
    <xf numFmtId="0" fontId="94" fillId="28" borderId="12" xfId="0" applyFont="1" applyFill="1" applyBorder="1" applyAlignment="1">
      <alignment wrapText="1" readingOrder="1"/>
    </xf>
    <xf numFmtId="0" fontId="94" fillId="28" borderId="13" xfId="0" applyFont="1" applyFill="1" applyBorder="1" applyAlignment="1">
      <alignment wrapText="1" readingOrder="1"/>
    </xf>
    <xf numFmtId="0" fontId="100" fillId="28" borderId="8" xfId="0" applyFont="1" applyFill="1" applyBorder="1" applyAlignment="1">
      <alignment wrapText="1"/>
    </xf>
    <xf numFmtId="0" fontId="94" fillId="28" borderId="13" xfId="0" applyFont="1" applyFill="1" applyBorder="1" applyAlignment="1">
      <alignment wrapText="1"/>
    </xf>
    <xf numFmtId="0" fontId="99" fillId="28" borderId="13" xfId="0" applyFont="1" applyFill="1" applyBorder="1" applyAlignment="1">
      <alignment wrapText="1"/>
    </xf>
    <xf numFmtId="14" fontId="94" fillId="0" borderId="12" xfId="0" applyNumberFormat="1" applyFont="1" applyBorder="1"/>
    <xf numFmtId="0" fontId="99" fillId="28" borderId="13" xfId="0" applyFont="1" applyFill="1" applyBorder="1" applyAlignment="1">
      <alignment wrapText="1" readingOrder="1"/>
    </xf>
    <xf numFmtId="0" fontId="94" fillId="28" borderId="12" xfId="0" applyFont="1" applyFill="1" applyBorder="1" applyAlignment="1">
      <alignment wrapText="1"/>
    </xf>
    <xf numFmtId="0" fontId="101" fillId="28" borderId="13" xfId="3" applyFont="1" applyFill="1" applyBorder="1" applyAlignment="1">
      <alignment wrapText="1" readingOrder="1"/>
    </xf>
    <xf numFmtId="0" fontId="94" fillId="28" borderId="0" xfId="0" applyFont="1" applyFill="1"/>
    <xf numFmtId="0" fontId="101" fillId="28" borderId="11" xfId="3" applyFont="1" applyFill="1" applyBorder="1" applyAlignment="1">
      <alignment wrapText="1" readingOrder="1"/>
    </xf>
    <xf numFmtId="0" fontId="99" fillId="0" borderId="19" xfId="0" applyFont="1" applyBorder="1"/>
    <xf numFmtId="0" fontId="99" fillId="28" borderId="8" xfId="0" applyFont="1" applyFill="1" applyBorder="1"/>
    <xf numFmtId="0" fontId="99" fillId="0" borderId="8" xfId="0" applyFont="1" applyBorder="1"/>
    <xf numFmtId="0" fontId="99" fillId="0" borderId="20" xfId="0" applyFont="1" applyBorder="1"/>
    <xf numFmtId="0" fontId="88" fillId="0" borderId="8" xfId="0" applyFont="1" applyBorder="1"/>
    <xf numFmtId="0" fontId="89" fillId="30" borderId="8" xfId="0" applyFont="1" applyFill="1" applyBorder="1"/>
    <xf numFmtId="0" fontId="102" fillId="29" borderId="17" xfId="0" applyFont="1" applyFill="1" applyBorder="1"/>
    <xf numFmtId="0" fontId="102" fillId="0" borderId="17" xfId="0" applyFont="1" applyBorder="1"/>
    <xf numFmtId="0" fontId="24" fillId="0" borderId="17" xfId="0" applyFont="1" applyBorder="1"/>
    <xf numFmtId="0" fontId="102" fillId="0" borderId="17" xfId="0" applyFont="1" applyBorder="1" applyAlignment="1">
      <alignment wrapText="1"/>
    </xf>
    <xf numFmtId="0" fontId="24" fillId="0" borderId="8" xfId="0" applyFont="1" applyBorder="1"/>
    <xf numFmtId="0" fontId="25" fillId="0" borderId="17" xfId="0" applyFont="1" applyBorder="1"/>
    <xf numFmtId="0" fontId="103" fillId="29" borderId="17" xfId="0" applyFont="1" applyFill="1" applyBorder="1"/>
    <xf numFmtId="0" fontId="103" fillId="0" borderId="17" xfId="0" applyFont="1" applyBorder="1"/>
    <xf numFmtId="14" fontId="12" fillId="0" borderId="6" xfId="0" applyNumberFormat="1" applyFont="1" applyBorder="1"/>
    <xf numFmtId="0" fontId="90" fillId="0" borderId="0" xfId="0" applyFont="1" applyAlignment="1">
      <alignment wrapText="1"/>
    </xf>
    <xf numFmtId="15" fontId="24" fillId="0" borderId="0" xfId="0" applyNumberFormat="1" applyFont="1"/>
    <xf numFmtId="14" fontId="24" fillId="0" borderId="0" xfId="0" applyNumberFormat="1" applyFont="1"/>
    <xf numFmtId="15" fontId="88" fillId="0" borderId="0" xfId="0" applyNumberFormat="1" applyFont="1" applyAlignment="1">
      <alignment wrapText="1"/>
    </xf>
    <xf numFmtId="0" fontId="83" fillId="31" borderId="6" xfId="0" applyFont="1" applyFill="1" applyBorder="1" applyAlignment="1" applyProtection="1">
      <alignment horizontal="center" vertical="center"/>
      <protection locked="0"/>
    </xf>
    <xf numFmtId="0" fontId="83" fillId="31" borderId="8" xfId="0" applyFont="1" applyFill="1" applyBorder="1" applyAlignment="1" applyProtection="1">
      <alignment horizontal="center" vertical="center"/>
      <protection locked="0"/>
    </xf>
    <xf numFmtId="0" fontId="83" fillId="28" borderId="12" xfId="0" applyFont="1" applyFill="1" applyBorder="1" applyAlignment="1" applyProtection="1">
      <alignment horizontal="center" vertical="center"/>
      <protection locked="0"/>
    </xf>
    <xf numFmtId="0" fontId="83" fillId="32" borderId="8" xfId="0" applyFont="1" applyFill="1" applyBorder="1" applyAlignment="1" applyProtection="1">
      <alignment horizontal="center" vertical="center"/>
      <protection locked="0"/>
    </xf>
    <xf numFmtId="0" fontId="95" fillId="0" borderId="0" xfId="0" applyFont="1" applyProtection="1">
      <protection locked="0"/>
    </xf>
    <xf numFmtId="2" fontId="95" fillId="0" borderId="0" xfId="0" applyNumberFormat="1" applyFont="1" applyProtection="1">
      <protection locked="0"/>
    </xf>
    <xf numFmtId="15" fontId="94" fillId="0" borderId="0" xfId="0" applyNumberFormat="1" applyFont="1"/>
    <xf numFmtId="0" fontId="94" fillId="0" borderId="0" xfId="0" applyFont="1" applyAlignment="1">
      <alignment wrapText="1"/>
    </xf>
    <xf numFmtId="0" fontId="95" fillId="0" borderId="0" xfId="0" applyFont="1" applyAlignment="1" applyProtection="1">
      <alignment horizontal="center"/>
      <protection locked="0"/>
    </xf>
    <xf numFmtId="1" fontId="95" fillId="0" borderId="0" xfId="0" applyNumberFormat="1" applyFont="1" applyProtection="1">
      <protection locked="0"/>
    </xf>
    <xf numFmtId="0" fontId="0" fillId="0" borderId="0" xfId="0" applyAlignment="1">
      <alignment horizontal="justify" vertical="justify" wrapText="1"/>
    </xf>
    <xf numFmtId="0" fontId="14" fillId="0" borderId="0" xfId="0" applyFont="1" applyAlignment="1">
      <alignment horizontal="center"/>
    </xf>
    <xf numFmtId="0" fontId="17" fillId="0" borderId="0" xfId="0" applyFont="1" applyAlignment="1">
      <alignment horizontal="center"/>
    </xf>
    <xf numFmtId="0" fontId="11" fillId="0" borderId="7" xfId="3" quotePrefix="1" applyBorder="1" applyAlignment="1" applyProtection="1">
      <alignment horizontal="left" vertical="center"/>
      <protection hidden="1"/>
    </xf>
    <xf numFmtId="0" fontId="11" fillId="0" borderId="8" xfId="3" quotePrefix="1" applyBorder="1" applyAlignment="1" applyProtection="1">
      <alignment horizontal="left" vertical="center"/>
      <protection hidden="1"/>
    </xf>
    <xf numFmtId="0" fontId="11" fillId="0" borderId="8" xfId="3" applyBorder="1" applyAlignment="1" applyProtection="1">
      <alignment horizontal="left" vertical="center"/>
      <protection hidden="1"/>
    </xf>
    <xf numFmtId="0" fontId="19" fillId="0" borderId="3" xfId="0" applyFont="1" applyBorder="1" applyAlignment="1" applyProtection="1">
      <alignment horizontal="left" vertical="center" wrapText="1"/>
      <protection hidden="1"/>
    </xf>
    <xf numFmtId="0" fontId="19" fillId="0" borderId="5" xfId="0" applyFont="1" applyBorder="1" applyAlignment="1" applyProtection="1">
      <alignment horizontal="left" vertical="center" wrapText="1"/>
      <protection hidden="1"/>
    </xf>
    <xf numFmtId="0" fontId="18" fillId="10" borderId="3" xfId="0" applyFont="1" applyFill="1" applyBorder="1" applyAlignment="1" applyProtection="1">
      <alignment horizontal="left" vertical="center" wrapText="1"/>
      <protection hidden="1"/>
    </xf>
    <xf numFmtId="0" fontId="18" fillId="10" borderId="5" xfId="0" applyFont="1" applyFill="1" applyBorder="1" applyAlignment="1" applyProtection="1">
      <alignment horizontal="left" vertical="center" wrapText="1"/>
      <protection hidden="1"/>
    </xf>
    <xf numFmtId="0" fontId="18" fillId="11" borderId="4" xfId="0" applyFont="1" applyFill="1" applyBorder="1" applyAlignment="1" applyProtection="1">
      <alignment horizontal="left" vertical="center"/>
      <protection hidden="1"/>
    </xf>
    <xf numFmtId="0" fontId="18" fillId="11" borderId="3" xfId="0" applyFont="1" applyFill="1" applyBorder="1" applyAlignment="1" applyProtection="1">
      <alignment horizontal="left" vertical="center"/>
      <protection hidden="1"/>
    </xf>
    <xf numFmtId="0" fontId="18" fillId="11" borderId="5" xfId="0" applyFont="1" applyFill="1" applyBorder="1" applyAlignment="1" applyProtection="1">
      <alignment horizontal="left" vertical="center"/>
      <protection hidden="1"/>
    </xf>
    <xf numFmtId="0" fontId="18" fillId="0" borderId="3" xfId="0" applyFont="1" applyBorder="1" applyAlignment="1" applyProtection="1">
      <alignment horizontal="left" vertical="center" wrapText="1"/>
      <protection hidden="1"/>
    </xf>
    <xf numFmtId="0" fontId="18" fillId="0" borderId="5" xfId="0" applyFont="1" applyBorder="1" applyAlignment="1" applyProtection="1">
      <alignment horizontal="left" vertical="center" wrapText="1"/>
      <protection hidden="1"/>
    </xf>
    <xf numFmtId="0" fontId="19" fillId="0" borderId="3" xfId="0" applyFont="1" applyBorder="1" applyAlignment="1" applyProtection="1">
      <alignment horizontal="left" wrapText="1"/>
      <protection hidden="1"/>
    </xf>
    <xf numFmtId="0" fontId="19" fillId="0" borderId="5" xfId="0" applyFont="1" applyBorder="1" applyAlignment="1" applyProtection="1">
      <alignment horizontal="left" wrapText="1"/>
      <protection hidden="1"/>
    </xf>
    <xf numFmtId="0" fontId="18" fillId="9" borderId="6" xfId="0" applyFont="1" applyFill="1" applyBorder="1" applyAlignment="1" applyProtection="1">
      <alignment horizontal="center" vertical="center"/>
      <protection hidden="1"/>
    </xf>
    <xf numFmtId="0" fontId="107" fillId="0" borderId="0" xfId="0" applyFont="1" applyAlignment="1" applyProtection="1">
      <alignment horizontal="center"/>
      <protection locked="0"/>
    </xf>
    <xf numFmtId="0" fontId="28" fillId="0" borderId="0" xfId="0" applyFont="1" applyAlignment="1" applyProtection="1">
      <alignment horizontal="center"/>
      <protection locked="0"/>
    </xf>
    <xf numFmtId="0" fontId="12" fillId="0" borderId="0" xfId="0" applyFont="1" applyAlignment="1" applyProtection="1">
      <alignment horizontal="center" vertical="center"/>
      <protection locked="0"/>
    </xf>
    <xf numFmtId="0" fontId="26" fillId="0" borderId="0" xfId="0" applyFont="1" applyAlignment="1" applyProtection="1">
      <alignment horizontal="center" vertical="center"/>
      <protection locked="0"/>
    </xf>
    <xf numFmtId="0" fontId="18" fillId="0" borderId="0" xfId="0" applyFont="1" applyAlignment="1" applyProtection="1">
      <alignment horizontal="center" vertical="center"/>
      <protection locked="0"/>
    </xf>
    <xf numFmtId="0" fontId="106" fillId="0" borderId="0" xfId="0" applyFont="1" applyAlignment="1" applyProtection="1">
      <alignment horizontal="center" vertical="center"/>
      <protection locked="0"/>
    </xf>
    <xf numFmtId="0" fontId="20" fillId="0" borderId="0" xfId="0" applyFont="1" applyAlignment="1" applyProtection="1">
      <alignment horizontal="center" vertical="center"/>
      <protection locked="0"/>
    </xf>
    <xf numFmtId="0" fontId="20" fillId="0" borderId="0" xfId="0" applyFont="1" applyAlignment="1" applyProtection="1">
      <alignment horizontal="center"/>
      <protection locked="0"/>
    </xf>
    <xf numFmtId="0" fontId="18" fillId="9" borderId="6" xfId="0" applyFont="1" applyFill="1" applyBorder="1" applyAlignment="1" applyProtection="1">
      <alignment horizontal="center" vertical="center" wrapText="1"/>
      <protection locked="0"/>
    </xf>
    <xf numFmtId="0" fontId="18" fillId="9" borderId="6" xfId="0" quotePrefix="1" applyFont="1" applyFill="1" applyBorder="1" applyAlignment="1" applyProtection="1">
      <alignment horizontal="center" vertical="center" wrapText="1"/>
      <protection hidden="1"/>
    </xf>
    <xf numFmtId="0" fontId="18" fillId="9" borderId="6" xfId="0" applyFont="1" applyFill="1" applyBorder="1" applyAlignment="1" applyProtection="1">
      <alignment horizontal="center" vertical="center" wrapText="1"/>
      <protection hidden="1"/>
    </xf>
    <xf numFmtId="0" fontId="18" fillId="9" borderId="6" xfId="0" applyFont="1" applyFill="1" applyBorder="1" applyAlignment="1" applyProtection="1">
      <alignment horizontal="center" vertical="center"/>
      <protection locked="0"/>
    </xf>
    <xf numFmtId="0" fontId="18" fillId="16" borderId="7" xfId="0" quotePrefix="1" applyFont="1" applyFill="1" applyBorder="1" applyAlignment="1" applyProtection="1">
      <alignment horizontal="center" vertical="center" wrapText="1"/>
      <protection hidden="1"/>
    </xf>
    <xf numFmtId="0" fontId="18" fillId="16" borderId="8" xfId="0" quotePrefix="1" applyFont="1" applyFill="1" applyBorder="1" applyAlignment="1" applyProtection="1">
      <alignment horizontal="center" vertical="center" wrapText="1"/>
      <protection hidden="1"/>
    </xf>
    <xf numFmtId="0" fontId="24" fillId="0" borderId="0" xfId="0" applyFont="1" applyAlignment="1">
      <alignment horizontal="left" vertical="top" wrapText="1"/>
    </xf>
    <xf numFmtId="0" fontId="25" fillId="0" borderId="0" xfId="0" applyFont="1" applyAlignment="1">
      <alignment horizontal="left" vertical="top" wrapText="1"/>
    </xf>
    <xf numFmtId="0" fontId="22" fillId="0" borderId="0" xfId="0" applyFont="1" applyAlignment="1">
      <alignment horizontal="left" vertical="top" wrapText="1"/>
    </xf>
    <xf numFmtId="0" fontId="22" fillId="0" borderId="0" xfId="0" applyFont="1" applyAlignment="1">
      <alignment horizontal="left"/>
    </xf>
    <xf numFmtId="0" fontId="22" fillId="14" borderId="4" xfId="0" applyFont="1" applyFill="1" applyBorder="1" applyAlignment="1">
      <alignment horizontal="center" vertical="center" wrapText="1"/>
    </xf>
    <xf numFmtId="0" fontId="22" fillId="14" borderId="3" xfId="0" applyFont="1" applyFill="1" applyBorder="1" applyAlignment="1">
      <alignment horizontal="center" vertical="center" wrapText="1"/>
    </xf>
    <xf numFmtId="0" fontId="22" fillId="14" borderId="5" xfId="0" applyFont="1" applyFill="1" applyBorder="1" applyAlignment="1">
      <alignment horizontal="center" vertical="center" wrapText="1"/>
    </xf>
    <xf numFmtId="0" fontId="25" fillId="13" borderId="4" xfId="0" applyFont="1" applyFill="1" applyBorder="1" applyAlignment="1">
      <alignment horizontal="center" vertical="center" wrapText="1"/>
    </xf>
    <xf numFmtId="0" fontId="22" fillId="13" borderId="3" xfId="0" applyFont="1" applyFill="1" applyBorder="1" applyAlignment="1">
      <alignment horizontal="center" vertical="center" wrapText="1"/>
    </xf>
    <xf numFmtId="0" fontId="22" fillId="13" borderId="5" xfId="0" applyFont="1" applyFill="1" applyBorder="1" applyAlignment="1">
      <alignment horizontal="center" vertical="center" wrapText="1"/>
    </xf>
    <xf numFmtId="0" fontId="39" fillId="0" borderId="0" xfId="0" applyFont="1" applyAlignment="1">
      <alignment horizontal="left"/>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2" borderId="6" xfId="0" applyFont="1" applyFill="1" applyBorder="1" applyAlignment="1">
      <alignment horizontal="center" vertical="center" wrapText="1"/>
    </xf>
    <xf numFmtId="0" fontId="25" fillId="0" borderId="0" xfId="0" applyFont="1" applyAlignment="1">
      <alignment horizontal="left"/>
    </xf>
    <xf numFmtId="0" fontId="24" fillId="0" borderId="0" xfId="0" applyFont="1" applyAlignment="1">
      <alignment horizontal="left" vertical="center" wrapText="1"/>
    </xf>
    <xf numFmtId="0" fontId="22" fillId="0" borderId="0" xfId="0" applyFont="1" applyAlignment="1">
      <alignment horizontal="left" vertical="center" wrapText="1"/>
    </xf>
    <xf numFmtId="0" fontId="25" fillId="0" borderId="0" xfId="0" applyFont="1" applyAlignment="1">
      <alignment horizontal="left" vertical="center"/>
    </xf>
    <xf numFmtId="0" fontId="22" fillId="0" borderId="0" xfId="0" applyFont="1" applyAlignment="1">
      <alignment horizontal="left" vertical="center"/>
    </xf>
    <xf numFmtId="0" fontId="73" fillId="16" borderId="0" xfId="0" applyFont="1" applyFill="1" applyAlignment="1">
      <alignment horizontal="left" vertical="center" wrapText="1"/>
    </xf>
    <xf numFmtId="0" fontId="24" fillId="0" borderId="0" xfId="0" applyFont="1" applyAlignment="1" applyProtection="1">
      <alignment horizontal="left" vertical="top" wrapText="1"/>
      <protection hidden="1"/>
    </xf>
    <xf numFmtId="0" fontId="22" fillId="0" borderId="0" xfId="0" applyFont="1" applyAlignment="1" applyProtection="1">
      <alignment horizontal="left" vertical="top" wrapText="1"/>
      <protection hidden="1"/>
    </xf>
    <xf numFmtId="0" fontId="22" fillId="0" borderId="0" xfId="0" applyFont="1" applyAlignment="1" applyProtection="1">
      <alignment horizontal="left"/>
      <protection hidden="1"/>
    </xf>
    <xf numFmtId="0" fontId="73" fillId="16" borderId="0" xfId="0" applyFont="1" applyFill="1" applyAlignment="1">
      <alignment horizontal="left" vertical="top" wrapText="1"/>
    </xf>
    <xf numFmtId="0" fontId="22" fillId="0" borderId="0" xfId="0" applyFont="1" applyAlignment="1" applyProtection="1">
      <alignment horizontal="left"/>
      <protection locked="0"/>
    </xf>
    <xf numFmtId="0" fontId="24" fillId="0" borderId="0" xfId="0" applyFont="1" applyAlignment="1" applyProtection="1">
      <alignment horizontal="left" vertical="top" wrapText="1"/>
      <protection locked="0"/>
    </xf>
    <xf numFmtId="0" fontId="22" fillId="0" borderId="0" xfId="0" applyFont="1" applyAlignment="1" applyProtection="1">
      <alignment horizontal="left" vertical="top" wrapText="1"/>
      <protection locked="0"/>
    </xf>
    <xf numFmtId="0" fontId="12" fillId="16" borderId="0" xfId="0" applyFont="1" applyFill="1" applyAlignment="1">
      <alignment horizontal="left" wrapText="1"/>
    </xf>
    <xf numFmtId="0" fontId="22" fillId="0" borderId="0" xfId="0" applyFont="1" applyAlignment="1">
      <alignment horizontal="left" wrapText="1"/>
    </xf>
    <xf numFmtId="165" fontId="36" fillId="25" borderId="0" xfId="0" applyNumberFormat="1" applyFont="1" applyFill="1" applyAlignment="1" applyProtection="1">
      <alignment horizontal="center" wrapText="1"/>
      <protection locked="0"/>
    </xf>
    <xf numFmtId="0" fontId="5" fillId="0" borderId="6" xfId="0" applyFont="1" applyBorder="1" applyAlignment="1">
      <alignment horizontal="left" vertical="center"/>
    </xf>
    <xf numFmtId="0" fontId="5" fillId="0" borderId="6" xfId="0" applyFont="1" applyBorder="1" applyAlignment="1">
      <alignment horizontal="left" vertical="center" wrapText="1"/>
    </xf>
    <xf numFmtId="0" fontId="0" fillId="0" borderId="6" xfId="0" applyBorder="1" applyAlignment="1">
      <alignment horizontal="left" vertical="top"/>
    </xf>
    <xf numFmtId="0" fontId="0" fillId="0" borderId="6" xfId="0" applyBorder="1" applyAlignment="1">
      <alignment horizontal="left" wrapText="1"/>
    </xf>
    <xf numFmtId="0" fontId="20" fillId="10" borderId="0" xfId="0" applyFont="1" applyFill="1" applyAlignment="1">
      <alignment horizontal="center" vertical="center"/>
    </xf>
    <xf numFmtId="0" fontId="19" fillId="0" borderId="0" xfId="0" applyFont="1" applyAlignment="1">
      <alignment horizontal="left" vertical="center" wrapText="1"/>
    </xf>
    <xf numFmtId="0" fontId="19" fillId="0" borderId="0" xfId="0" applyFont="1" applyAlignment="1">
      <alignment horizontal="center" vertical="center" wrapText="1"/>
    </xf>
    <xf numFmtId="0" fontId="23" fillId="11" borderId="0" xfId="2" applyNumberFormat="1" applyFont="1" applyFill="1" applyAlignment="1" applyProtection="1">
      <alignment horizontal="center"/>
    </xf>
  </cellXfs>
  <cellStyles count="7">
    <cellStyle name="Comma" xfId="1" builtinId="3"/>
    <cellStyle name="Comma 2" xfId="6" xr:uid="{D1AC7FD4-1A8F-47C7-AC39-40BC8C2E352D}"/>
    <cellStyle name="Hyperlink" xfId="3" builtinId="8"/>
    <cellStyle name="Normal" xfId="0" builtinId="0"/>
    <cellStyle name="Normal 2" xfId="5" xr:uid="{35DB3152-0EA8-4B7C-8F23-3F2F31AD8FE5}"/>
    <cellStyle name="Normal 3" xfId="4" xr:uid="{94FF99CF-CC9F-4CB7-A3D1-7841674BB7B6}"/>
    <cellStyle name="Percent" xfId="2" builtinId="5"/>
  </cellStyles>
  <dxfs count="32">
    <dxf>
      <font>
        <color theme="5" tint="-0.499984740745262"/>
      </font>
      <fill>
        <patternFill>
          <bgColor theme="7" tint="0.79998168889431442"/>
        </patternFill>
      </fill>
    </dxf>
    <dxf>
      <font>
        <color theme="9" tint="-0.499984740745262"/>
      </font>
      <fill>
        <patternFill>
          <bgColor theme="9" tint="0.79998168889431442"/>
        </patternFill>
      </fill>
    </dxf>
    <dxf>
      <font>
        <color rgb="FFC00000"/>
      </font>
      <fill>
        <patternFill>
          <bgColor theme="5" tint="0.79998168889431442"/>
        </patternFill>
      </fill>
    </dxf>
    <dxf>
      <font>
        <color theme="4"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C00000"/>
      </font>
      <fill>
        <patternFill>
          <bgColor theme="5" tint="0.79998168889431442"/>
        </patternFill>
      </fill>
    </dxf>
    <dxf>
      <font>
        <color theme="5" tint="-0.499984740745262"/>
      </font>
      <fill>
        <patternFill>
          <bgColor theme="7" tint="0.79998168889431442"/>
        </patternFill>
      </fill>
    </dxf>
    <dxf>
      <font>
        <color theme="9" tint="-0.499984740745262"/>
      </font>
      <fill>
        <patternFill>
          <bgColor theme="9" tint="0.79998168889431442"/>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22" formatCode="mmm\-yy"/>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none"/>
      </font>
      <numFmt numFmtId="30" formatCode="@"/>
      <alignment horizontal="center" vertical="top"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font>
    </dxf>
    <dxf>
      <font>
        <b val="0"/>
      </font>
    </dxf>
    <dxf>
      <font>
        <b val="0"/>
        <i val="0"/>
        <strike val="0"/>
        <condense val="0"/>
        <extend val="0"/>
        <outline val="0"/>
        <shadow val="0"/>
        <u val="none"/>
        <vertAlign val="baseline"/>
        <sz val="10"/>
        <color auto="1"/>
        <name val="Arial"/>
        <family val="2"/>
        <scheme val="none"/>
      </font>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general" vertical="top"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center" vertical="bottom"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val="0"/>
      </font>
    </dxf>
    <dxf>
      <font>
        <b val="0"/>
        <color theme="0"/>
      </font>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CC66FF"/>
      <color rgb="FFFFCC66"/>
      <color rgb="FF87C468"/>
      <color rgb="FF96EAF8"/>
      <color rgb="FFFACC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06/relationships/rdRichValueTypes" Target="richData/rdRichValueTyp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microsoft.com/office/2017/06/relationships/rdRichValue" Target="richData/rdrichvalu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8236439</xdr:colOff>
      <xdr:row>1</xdr:row>
      <xdr:rowOff>61058</xdr:rowOff>
    </xdr:from>
    <xdr:to>
      <xdr:col>4</xdr:col>
      <xdr:colOff>21443</xdr:colOff>
      <xdr:row>7</xdr:row>
      <xdr:rowOff>170473</xdr:rowOff>
    </xdr:to>
    <xdr:pic>
      <xdr:nvPicPr>
        <xdr:cNvPr id="2" name="Picture 1">
          <a:extLst>
            <a:ext uri="{FF2B5EF4-FFF2-40B4-BE49-F238E27FC236}">
              <a16:creationId xmlns:a16="http://schemas.microsoft.com/office/drawing/2014/main" id="{6FE7E28E-B588-4935-B262-8B5C636BA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11139" y="226158"/>
          <a:ext cx="1208404" cy="12270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16</xdr:row>
      <xdr:rowOff>0</xdr:rowOff>
    </xdr:from>
    <xdr:ext cx="65" cy="172227"/>
    <xdr:sp macro="" textlink="">
      <xdr:nvSpPr>
        <xdr:cNvPr id="2" name="TextBox 1">
          <a:extLst>
            <a:ext uri="{FF2B5EF4-FFF2-40B4-BE49-F238E27FC236}">
              <a16:creationId xmlns:a16="http://schemas.microsoft.com/office/drawing/2014/main" id="{2060CC3A-4F7A-4F72-9925-EB02515E1D3D}"/>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3" name="TextBox 2">
          <a:extLst>
            <a:ext uri="{FF2B5EF4-FFF2-40B4-BE49-F238E27FC236}">
              <a16:creationId xmlns:a16="http://schemas.microsoft.com/office/drawing/2014/main" id="{4C519B1F-8A4F-40C3-9631-254C68FB40E4}"/>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4" name="TextBox 3">
          <a:extLst>
            <a:ext uri="{FF2B5EF4-FFF2-40B4-BE49-F238E27FC236}">
              <a16:creationId xmlns:a16="http://schemas.microsoft.com/office/drawing/2014/main" id="{7F0F0F94-51F2-402F-8861-2133F82D33CC}"/>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5" name="TextBox 4">
          <a:extLst>
            <a:ext uri="{FF2B5EF4-FFF2-40B4-BE49-F238E27FC236}">
              <a16:creationId xmlns:a16="http://schemas.microsoft.com/office/drawing/2014/main" id="{E86837BC-A07B-4622-BA1F-D704A33CBFFC}"/>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6" name="TextBox 5">
          <a:extLst>
            <a:ext uri="{FF2B5EF4-FFF2-40B4-BE49-F238E27FC236}">
              <a16:creationId xmlns:a16="http://schemas.microsoft.com/office/drawing/2014/main" id="{E4B9054D-9DDB-4163-80F0-F00A7055C15A}"/>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7" name="TextBox 6">
          <a:extLst>
            <a:ext uri="{FF2B5EF4-FFF2-40B4-BE49-F238E27FC236}">
              <a16:creationId xmlns:a16="http://schemas.microsoft.com/office/drawing/2014/main" id="{CA174159-1873-4EE7-A765-97CA842BF9FD}"/>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8" name="TextBox 7">
          <a:extLst>
            <a:ext uri="{FF2B5EF4-FFF2-40B4-BE49-F238E27FC236}">
              <a16:creationId xmlns:a16="http://schemas.microsoft.com/office/drawing/2014/main" id="{B53C4427-81E2-40BB-93A6-B13210161726}"/>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9" name="TextBox 8">
          <a:extLst>
            <a:ext uri="{FF2B5EF4-FFF2-40B4-BE49-F238E27FC236}">
              <a16:creationId xmlns:a16="http://schemas.microsoft.com/office/drawing/2014/main" id="{20713218-FD88-4F5F-96CB-DEC3C1C8BB33}"/>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10" name="TextBox 9">
          <a:extLst>
            <a:ext uri="{FF2B5EF4-FFF2-40B4-BE49-F238E27FC236}">
              <a16:creationId xmlns:a16="http://schemas.microsoft.com/office/drawing/2014/main" id="{F24CF261-5527-46DA-8AD4-96FB84E7FD65}"/>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16</xdr:row>
      <xdr:rowOff>0</xdr:rowOff>
    </xdr:from>
    <xdr:ext cx="65" cy="172227"/>
    <xdr:sp macro="" textlink="">
      <xdr:nvSpPr>
        <xdr:cNvPr id="11" name="TextBox 10">
          <a:extLst>
            <a:ext uri="{FF2B5EF4-FFF2-40B4-BE49-F238E27FC236}">
              <a16:creationId xmlns:a16="http://schemas.microsoft.com/office/drawing/2014/main" id="{0FD4946D-7581-4EA5-BC22-4E44A1CBDAA9}"/>
            </a:ext>
          </a:extLst>
        </xdr:cNvPr>
        <xdr:cNvSpPr txBox="1"/>
      </xdr:nvSpPr>
      <xdr:spPr>
        <a:xfrm>
          <a:off x="1470660" y="534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12" name="TextBox 11">
          <a:extLst>
            <a:ext uri="{FF2B5EF4-FFF2-40B4-BE49-F238E27FC236}">
              <a16:creationId xmlns:a16="http://schemas.microsoft.com/office/drawing/2014/main" id="{AEA90D54-8F33-49C0-9B23-A2EE9B002910}"/>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13" name="TextBox 12">
          <a:extLst>
            <a:ext uri="{FF2B5EF4-FFF2-40B4-BE49-F238E27FC236}">
              <a16:creationId xmlns:a16="http://schemas.microsoft.com/office/drawing/2014/main" id="{3B1D7103-0462-41D5-9F31-9008E12F41BF}"/>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14" name="TextBox 13">
          <a:extLst>
            <a:ext uri="{FF2B5EF4-FFF2-40B4-BE49-F238E27FC236}">
              <a16:creationId xmlns:a16="http://schemas.microsoft.com/office/drawing/2014/main" id="{5AE0A989-2044-4FDE-A348-90320B93C7B0}"/>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15" name="TextBox 14">
          <a:extLst>
            <a:ext uri="{FF2B5EF4-FFF2-40B4-BE49-F238E27FC236}">
              <a16:creationId xmlns:a16="http://schemas.microsoft.com/office/drawing/2014/main" id="{C3B8EF56-90DF-4E17-8BB2-273E531A750B}"/>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16" name="TextBox 15">
          <a:extLst>
            <a:ext uri="{FF2B5EF4-FFF2-40B4-BE49-F238E27FC236}">
              <a16:creationId xmlns:a16="http://schemas.microsoft.com/office/drawing/2014/main" id="{51B1E8C5-ABB7-4278-8441-0F4F8CA09EED}"/>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17" name="TextBox 16">
          <a:extLst>
            <a:ext uri="{FF2B5EF4-FFF2-40B4-BE49-F238E27FC236}">
              <a16:creationId xmlns:a16="http://schemas.microsoft.com/office/drawing/2014/main" id="{BDF6E0C9-69CA-4A0F-AB27-31E2CCF8E69D}"/>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18" name="TextBox 17">
          <a:extLst>
            <a:ext uri="{FF2B5EF4-FFF2-40B4-BE49-F238E27FC236}">
              <a16:creationId xmlns:a16="http://schemas.microsoft.com/office/drawing/2014/main" id="{A86E6836-7D56-4E0C-9742-8EA15356172B}"/>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19" name="TextBox 18">
          <a:extLst>
            <a:ext uri="{FF2B5EF4-FFF2-40B4-BE49-F238E27FC236}">
              <a16:creationId xmlns:a16="http://schemas.microsoft.com/office/drawing/2014/main" id="{9E1EE77A-4B05-4BE3-9287-D8D562CFE68F}"/>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20" name="TextBox 19">
          <a:extLst>
            <a:ext uri="{FF2B5EF4-FFF2-40B4-BE49-F238E27FC236}">
              <a16:creationId xmlns:a16="http://schemas.microsoft.com/office/drawing/2014/main" id="{24620252-9EE9-44F4-8900-C932FCC687FB}"/>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39</xdr:row>
      <xdr:rowOff>0</xdr:rowOff>
    </xdr:from>
    <xdr:ext cx="65" cy="172227"/>
    <xdr:sp macro="" textlink="">
      <xdr:nvSpPr>
        <xdr:cNvPr id="21" name="TextBox 20">
          <a:extLst>
            <a:ext uri="{FF2B5EF4-FFF2-40B4-BE49-F238E27FC236}">
              <a16:creationId xmlns:a16="http://schemas.microsoft.com/office/drawing/2014/main" id="{B8DB6AD2-9403-482B-9AD3-AE07A2D7A208}"/>
            </a:ext>
          </a:extLst>
        </xdr:cNvPr>
        <xdr:cNvSpPr txBox="1"/>
      </xdr:nvSpPr>
      <xdr:spPr>
        <a:xfrm>
          <a:off x="0" y="10088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0</xdr:rowOff>
    </xdr:from>
    <xdr:ext cx="65" cy="172227"/>
    <xdr:sp macro="" textlink="">
      <xdr:nvSpPr>
        <xdr:cNvPr id="2" name="TextBox 1">
          <a:extLst>
            <a:ext uri="{FF2B5EF4-FFF2-40B4-BE49-F238E27FC236}">
              <a16:creationId xmlns:a16="http://schemas.microsoft.com/office/drawing/2014/main" id="{72537BCE-CB6E-419C-ABD8-CEDADECAB4E2}"/>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3" name="TextBox 2">
          <a:extLst>
            <a:ext uri="{FF2B5EF4-FFF2-40B4-BE49-F238E27FC236}">
              <a16:creationId xmlns:a16="http://schemas.microsoft.com/office/drawing/2014/main" id="{2C5172B9-7038-45D3-AB1B-3B1A69018575}"/>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4" name="TextBox 3">
          <a:extLst>
            <a:ext uri="{FF2B5EF4-FFF2-40B4-BE49-F238E27FC236}">
              <a16:creationId xmlns:a16="http://schemas.microsoft.com/office/drawing/2014/main" id="{618233F4-E0C7-4160-AE34-852A426BC6AE}"/>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5" name="TextBox 4">
          <a:extLst>
            <a:ext uri="{FF2B5EF4-FFF2-40B4-BE49-F238E27FC236}">
              <a16:creationId xmlns:a16="http://schemas.microsoft.com/office/drawing/2014/main" id="{DD9DDAB1-80E2-481F-8B5B-ED4A45595DFD}"/>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6" name="TextBox 5">
          <a:extLst>
            <a:ext uri="{FF2B5EF4-FFF2-40B4-BE49-F238E27FC236}">
              <a16:creationId xmlns:a16="http://schemas.microsoft.com/office/drawing/2014/main" id="{7792423E-4960-4D51-91A8-D5136F47248C}"/>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7" name="TextBox 6">
          <a:extLst>
            <a:ext uri="{FF2B5EF4-FFF2-40B4-BE49-F238E27FC236}">
              <a16:creationId xmlns:a16="http://schemas.microsoft.com/office/drawing/2014/main" id="{498AA049-CDB1-491C-9AA2-2074FE811DC1}"/>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8" name="TextBox 7">
          <a:extLst>
            <a:ext uri="{FF2B5EF4-FFF2-40B4-BE49-F238E27FC236}">
              <a16:creationId xmlns:a16="http://schemas.microsoft.com/office/drawing/2014/main" id="{11D8927B-8EE1-4B5E-B530-B9DDD5D6D635}"/>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9" name="TextBox 8">
          <a:extLst>
            <a:ext uri="{FF2B5EF4-FFF2-40B4-BE49-F238E27FC236}">
              <a16:creationId xmlns:a16="http://schemas.microsoft.com/office/drawing/2014/main" id="{E117A169-0F0A-45E1-9B1F-9A15333FAB47}"/>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10" name="TextBox 9">
          <a:extLst>
            <a:ext uri="{FF2B5EF4-FFF2-40B4-BE49-F238E27FC236}">
              <a16:creationId xmlns:a16="http://schemas.microsoft.com/office/drawing/2014/main" id="{67C9CD5B-A421-49E7-8FB7-C1ED1ADAED38}"/>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1</xdr:col>
      <xdr:colOff>0</xdr:colOff>
      <xdr:row>0</xdr:row>
      <xdr:rowOff>0</xdr:rowOff>
    </xdr:from>
    <xdr:ext cx="65" cy="172227"/>
    <xdr:sp macro="" textlink="">
      <xdr:nvSpPr>
        <xdr:cNvPr id="11" name="TextBox 10">
          <a:extLst>
            <a:ext uri="{FF2B5EF4-FFF2-40B4-BE49-F238E27FC236}">
              <a16:creationId xmlns:a16="http://schemas.microsoft.com/office/drawing/2014/main" id="{8748D287-A9B8-417B-92FE-E1E9ABDDC9A2}"/>
            </a:ext>
          </a:extLst>
        </xdr:cNvPr>
        <xdr:cNvSpPr txBox="1"/>
      </xdr:nvSpPr>
      <xdr:spPr>
        <a:xfrm>
          <a:off x="1470660" y="548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12" name="TextBox 11">
          <a:extLst>
            <a:ext uri="{FF2B5EF4-FFF2-40B4-BE49-F238E27FC236}">
              <a16:creationId xmlns:a16="http://schemas.microsoft.com/office/drawing/2014/main" id="{C2D6C912-696D-42C3-B390-242B51A8CCEC}"/>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13" name="TextBox 12">
          <a:extLst>
            <a:ext uri="{FF2B5EF4-FFF2-40B4-BE49-F238E27FC236}">
              <a16:creationId xmlns:a16="http://schemas.microsoft.com/office/drawing/2014/main" id="{5CF62E60-329B-4FCA-A041-40A144BB0E90}"/>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14" name="TextBox 13">
          <a:extLst>
            <a:ext uri="{FF2B5EF4-FFF2-40B4-BE49-F238E27FC236}">
              <a16:creationId xmlns:a16="http://schemas.microsoft.com/office/drawing/2014/main" id="{31521752-5EED-4841-A2A9-858613ACDE34}"/>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15" name="TextBox 14">
          <a:extLst>
            <a:ext uri="{FF2B5EF4-FFF2-40B4-BE49-F238E27FC236}">
              <a16:creationId xmlns:a16="http://schemas.microsoft.com/office/drawing/2014/main" id="{2C414094-8D19-492A-A7C6-A61853531939}"/>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16" name="TextBox 15">
          <a:extLst>
            <a:ext uri="{FF2B5EF4-FFF2-40B4-BE49-F238E27FC236}">
              <a16:creationId xmlns:a16="http://schemas.microsoft.com/office/drawing/2014/main" id="{FEAC8870-8301-4B44-ADC2-1FD0A1EF2598}"/>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17" name="TextBox 16">
          <a:extLst>
            <a:ext uri="{FF2B5EF4-FFF2-40B4-BE49-F238E27FC236}">
              <a16:creationId xmlns:a16="http://schemas.microsoft.com/office/drawing/2014/main" id="{1B8223DD-0FBD-4BF2-B1E3-C0CC07DFF597}"/>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18" name="TextBox 17">
          <a:extLst>
            <a:ext uri="{FF2B5EF4-FFF2-40B4-BE49-F238E27FC236}">
              <a16:creationId xmlns:a16="http://schemas.microsoft.com/office/drawing/2014/main" id="{47309B83-302C-4F4D-AC01-7F906E98ADDA}"/>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19" name="TextBox 18">
          <a:extLst>
            <a:ext uri="{FF2B5EF4-FFF2-40B4-BE49-F238E27FC236}">
              <a16:creationId xmlns:a16="http://schemas.microsoft.com/office/drawing/2014/main" id="{829D78AE-39FE-4F7D-B084-2074019084F4}"/>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20" name="TextBox 19">
          <a:extLst>
            <a:ext uri="{FF2B5EF4-FFF2-40B4-BE49-F238E27FC236}">
              <a16:creationId xmlns:a16="http://schemas.microsoft.com/office/drawing/2014/main" id="{8F3BD014-7AE7-42FF-9D4E-0A3CB680DB19}"/>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0</xdr:col>
      <xdr:colOff>0</xdr:colOff>
      <xdr:row>0</xdr:row>
      <xdr:rowOff>0</xdr:rowOff>
    </xdr:from>
    <xdr:ext cx="65" cy="172227"/>
    <xdr:sp macro="" textlink="">
      <xdr:nvSpPr>
        <xdr:cNvPr id="21" name="TextBox 20">
          <a:extLst>
            <a:ext uri="{FF2B5EF4-FFF2-40B4-BE49-F238E27FC236}">
              <a16:creationId xmlns:a16="http://schemas.microsoft.com/office/drawing/2014/main" id="{D0C3F577-C37A-4D59-8B5C-23F3B7F9240E}"/>
            </a:ext>
          </a:extLst>
        </xdr:cNvPr>
        <xdr:cNvSpPr txBox="1"/>
      </xdr:nvSpPr>
      <xdr:spPr>
        <a:xfrm>
          <a:off x="0" y="1024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8</v>
    <v>0</v>
    <v>1</v>
  </rv>
  <rv s="0">
    <v>11</v>
    <v>8</v>
    <v>0</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7A3B0C-CD15-4D7B-AE0C-994E552E2AA0}" name="regions" displayName="regions" ref="A1:A18" totalsRowShown="0" dataDxfId="31" tableBorderDxfId="30">
  <autoFilter ref="A1:A18" xr:uid="{537A3B0C-CD15-4D7B-AE0C-994E552E2AA0}"/>
  <tableColumns count="1">
    <tableColumn id="1" xr3:uid="{BB292CCB-1889-41D4-805A-FBDDB9E9DC64}" name="regions"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8F2EA2-687C-44A5-B995-2C3838247BC5}" name="PSGC_Main" displayName="PSGC_Main" ref="A1:I1643" totalsRowShown="0" headerRowDxfId="28" dataDxfId="27" tableBorderDxfId="26">
  <autoFilter ref="A1:I1643" xr:uid="{348F2EA2-687C-44A5-B995-2C3838247BC5}"/>
  <tableColumns count="9">
    <tableColumn id="1" xr3:uid="{A74E3FFA-F526-42CA-9950-651D39BF58D7}" name="10-digit PSGC" dataDxfId="25"/>
    <tableColumn id="2" xr3:uid="{D1C823D3-3716-4223-AA11-05988688CBAF}" name="Region" dataDxfId="24"/>
    <tableColumn id="3" xr3:uid="{4E653069-D82D-44A6-8329-202679E45F00}" name="Province" dataDxfId="23"/>
    <tableColumn id="4" xr3:uid="{71440DD5-DBF2-4D49-84CA-D0C9C2F584F1}" name="City/Municipality" dataDxfId="22"/>
    <tableColumn id="5" xr3:uid="{71EFCB08-DDF2-4842-9E7B-F14B6BD41FED}" name="Correspondence Code" dataDxfId="21"/>
    <tableColumn id="6" xr3:uid="{15B79F1B-D8A0-4514-B832-C592545850B3}" name="Geographic Level" dataDxfId="20"/>
    <tableColumn id="7" xr3:uid="{06F24854-A8DF-4C7B-BFF3-C83DD86126BF}" name="Old names" dataDxfId="19"/>
    <tableColumn id="8" xr3:uid="{A0858519-400B-4BB7-8AF9-BFAD2D3F12F6}" name="City Class" dataDxfId="18"/>
    <tableColumn id="9" xr3:uid="{87E508EF-8C86-432F-B338-D969230F7F28}" name="Income_x000a_Classification"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78EC61-3BFC-411F-9519-D21256C59B44}" name="months" displayName="months" ref="A1:A14" totalsRowShown="0" headerRowDxfId="16">
  <autoFilter ref="A1:A14" xr:uid="{9E78EC61-3BFC-411F-9519-D21256C59B44}"/>
  <tableColumns count="1">
    <tableColumn id="1" xr3:uid="{74E6FF2E-C4A6-427D-B66E-A950809B1F86}" name="Months"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030B3F-5F27-4644-98FB-D566820023EA}" name="Table4" displayName="Table4" ref="A16:A23" totalsRowShown="0" headerRowDxfId="14">
  <autoFilter ref="A16:A23" xr:uid="{38030B3F-5F27-4644-98FB-D566820023EA}"/>
  <tableColumns count="1">
    <tableColumn id="1" xr3:uid="{2780B96D-F84C-4134-A8C8-2E1713220E01}" name="Technical Assistance Provid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BBC46B-7F9F-4526-83C9-504CF1713EFF}" name="Table5" displayName="Table5" ref="A29:A36" totalsRowShown="0" headerRowDxfId="13">
  <autoFilter ref="A29:A36" xr:uid="{BCBBC46B-7F9F-4526-83C9-504CF1713EFF}"/>
  <tableColumns count="1">
    <tableColumn id="1" xr3:uid="{F3387BA5-00F2-4F6D-96D0-637FE2B1DEEB}" name="TPAP Phas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021FDA-5451-4A37-A2D2-D5CA922A484C}" name="lgu" displayName="lgu" ref="A1:H1635" totalsRowShown="0" headerRowDxfId="12">
  <autoFilter ref="A1:H1635" xr:uid="{EE021FDA-5451-4A37-A2D2-D5CA922A484C}">
    <filterColumn colId="4">
      <filters>
        <filter val="BARMM"/>
      </filters>
    </filterColumn>
  </autoFilter>
  <tableColumns count="8">
    <tableColumn id="1" xr3:uid="{D01709AA-A5F2-46BD-9C65-03709650467A}" name="psgc"/>
    <tableColumn id="8" xr3:uid="{15E17199-1C07-4C10-9878-729914CD2342}" name="psgc2"/>
    <tableColumn id="2" xr3:uid="{92F766C7-4CE2-42FC-B4E6-1AA847E78620}" name="cit_mun"/>
    <tableColumn id="3" xr3:uid="{BD3C3DD9-6323-4C54-B64D-F8C266979B22}" name="prov"/>
    <tableColumn id="4" xr3:uid="{06876B0F-068B-4A5D-ADC4-351FFBEBDB8E}" name="region"/>
    <tableColumn id="5" xr3:uid="{EA0A64B2-2DD4-45AB-BCF9-54059B0EC55A}" name="h_sett"/>
    <tableColumn id="6" xr3:uid="{57867DF2-B9B8-43D7-B9C8-F9EF6A7FFA33}" name="cm_class" dataDxfId="11"/>
    <tableColumn id="7" xr3:uid="{A3412A78-9965-43F8-BE59-DED1D1536D3E}" name="inc_clas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hyperlink" Target="https://drive.google.com/file/d/1cpndfVJK5A6fD8slXMfPeCXQO3A_9AEI/view" TargetMode="External"/><Relationship Id="rId7" Type="http://schemas.openxmlformats.org/officeDocument/2006/relationships/comments" Target="../comments1.xml"/><Relationship Id="rId2" Type="http://schemas.openxmlformats.org/officeDocument/2006/relationships/hyperlink" Target="https://drive.google.com/drive/u/4/folders/1f2F5AEcCIiz4yspnbpcVYrFH1xOLGD0i" TargetMode="External"/><Relationship Id="rId1" Type="http://schemas.openxmlformats.org/officeDocument/2006/relationships/hyperlink" Target="https://drive.google.com/file/d/1cpndfVJK5A6fD8slXMfPeCXQO3A_9AEI/view" TargetMode="External"/><Relationship Id="rId6" Type="http://schemas.openxmlformats.org/officeDocument/2006/relationships/vmlDrawing" Target="../drawings/vmlDrawing1.vml"/><Relationship Id="rId5" Type="http://schemas.openxmlformats.org/officeDocument/2006/relationships/printerSettings" Target="../printerSettings/printerSettings3.bin"/><Relationship Id="rId4" Type="http://schemas.openxmlformats.org/officeDocument/2006/relationships/hyperlink" Target="https://drive.google.com/drive/u/4/folders/1f2F5AEcCIiz4yspnbpcVYrFH1xOLGD0i"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4.bin"/></Relationships>
</file>

<file path=xl/worksheets/_rels/sheet4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4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6.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E081-1471-4A40-ABAF-3FC7825F4A9D}">
  <sheetPr codeName="Sheet1"/>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865A-FF5B-4395-A134-8DD1D162AB89}">
  <sheetPr codeName="Sheet2"/>
  <dimension ref="A1:A19"/>
  <sheetViews>
    <sheetView workbookViewId="0">
      <selection activeCell="A6" sqref="A6"/>
    </sheetView>
  </sheetViews>
  <sheetFormatPr defaultRowHeight="14.4" x14ac:dyDescent="0.3"/>
  <cols>
    <col min="1" max="1" width="28.6640625" customWidth="1"/>
  </cols>
  <sheetData>
    <row r="1" spans="1:1" x14ac:dyDescent="0.3">
      <c r="A1" t="s">
        <v>0</v>
      </c>
    </row>
    <row r="2" spans="1:1" x14ac:dyDescent="0.3">
      <c r="A2" s="12" t="s">
        <v>1</v>
      </c>
    </row>
    <row r="3" spans="1:1" x14ac:dyDescent="0.3">
      <c r="A3" t="s">
        <v>2</v>
      </c>
    </row>
    <row r="4" spans="1:1" x14ac:dyDescent="0.3">
      <c r="A4" s="12" t="s">
        <v>3</v>
      </c>
    </row>
    <row r="5" spans="1:1" x14ac:dyDescent="0.3">
      <c r="A5" t="s">
        <v>4</v>
      </c>
    </row>
    <row r="6" spans="1:1" x14ac:dyDescent="0.3">
      <c r="A6" s="12" t="s">
        <v>5</v>
      </c>
    </row>
    <row r="7" spans="1:1" x14ac:dyDescent="0.3">
      <c r="A7" s="12" t="s">
        <v>6</v>
      </c>
    </row>
    <row r="8" spans="1:1" x14ac:dyDescent="0.3">
      <c r="A8" s="11" t="s">
        <v>7</v>
      </c>
    </row>
    <row r="9" spans="1:1" x14ac:dyDescent="0.3">
      <c r="A9" s="11" t="s">
        <v>8</v>
      </c>
    </row>
    <row r="10" spans="1:1" x14ac:dyDescent="0.3">
      <c r="A10" s="12" t="s">
        <v>9</v>
      </c>
    </row>
    <row r="11" spans="1:1" x14ac:dyDescent="0.3">
      <c r="A11" s="11" t="s">
        <v>10</v>
      </c>
    </row>
    <row r="12" spans="1:1" x14ac:dyDescent="0.3">
      <c r="A12" s="11" t="s">
        <v>11</v>
      </c>
    </row>
    <row r="13" spans="1:1" x14ac:dyDescent="0.3">
      <c r="A13" s="12" t="s">
        <v>12</v>
      </c>
    </row>
    <row r="14" spans="1:1" x14ac:dyDescent="0.3">
      <c r="A14" s="12" t="s">
        <v>13</v>
      </c>
    </row>
    <row r="15" spans="1:1" x14ac:dyDescent="0.3">
      <c r="A15" s="12" t="s">
        <v>14</v>
      </c>
    </row>
    <row r="16" spans="1:1" x14ac:dyDescent="0.3">
      <c r="A16" s="12" t="s">
        <v>15</v>
      </c>
    </row>
    <row r="17" spans="1:1" x14ac:dyDescent="0.3">
      <c r="A17" s="11" t="s">
        <v>16</v>
      </c>
    </row>
    <row r="18" spans="1:1" x14ac:dyDescent="0.3">
      <c r="A18" s="15" t="s">
        <v>17</v>
      </c>
    </row>
    <row r="19" spans="1:1" x14ac:dyDescent="0.3">
      <c r="A19" s="16"/>
    </row>
  </sheetData>
  <sortState xmlns:xlrd2="http://schemas.microsoft.com/office/spreadsheetml/2017/richdata2" ref="A2:A19">
    <sortCondition ref="A2:A19"/>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5DB4-34A0-472D-905A-DD68B19DBCEF}">
  <sheetPr codeName="Sheet3">
    <tabColor theme="9" tint="0.79998168889431442"/>
  </sheetPr>
  <dimension ref="A1:C44"/>
  <sheetViews>
    <sheetView showGridLines="0" zoomScale="70" zoomScaleNormal="70" workbookViewId="0">
      <selection activeCell="A10" sqref="A10:B10"/>
    </sheetView>
  </sheetViews>
  <sheetFormatPr defaultRowHeight="14.4" x14ac:dyDescent="0.3"/>
  <cols>
    <col min="1" max="1" width="11.88671875" customWidth="1"/>
    <col min="2" max="2" width="115.5546875" customWidth="1"/>
  </cols>
  <sheetData>
    <row r="1" spans="1:2" ht="28.8" x14ac:dyDescent="0.55000000000000004">
      <c r="A1" s="568" t="s">
        <v>18</v>
      </c>
      <c r="B1" s="568"/>
    </row>
    <row r="2" spans="1:2" ht="15.6" x14ac:dyDescent="0.3">
      <c r="A2" s="569" t="s">
        <v>19</v>
      </c>
      <c r="B2" s="569"/>
    </row>
    <row r="4" spans="1:2" ht="18" x14ac:dyDescent="0.35">
      <c r="A4" s="24" t="s">
        <v>20</v>
      </c>
    </row>
    <row r="5" spans="1:2" ht="18" x14ac:dyDescent="0.35">
      <c r="A5" s="24"/>
    </row>
    <row r="6" spans="1:2" ht="61.95" customHeight="1" x14ac:dyDescent="0.3">
      <c r="A6" s="567" t="s">
        <v>21</v>
      </c>
      <c r="B6" s="567"/>
    </row>
    <row r="8" spans="1:2" ht="18" x14ac:dyDescent="0.35">
      <c r="A8" s="24" t="s">
        <v>22</v>
      </c>
    </row>
    <row r="9" spans="1:2" ht="18" x14ac:dyDescent="0.35">
      <c r="A9" s="24"/>
    </row>
    <row r="10" spans="1:2" ht="58.2" customHeight="1" x14ac:dyDescent="0.3">
      <c r="A10" s="567" t="s">
        <v>23</v>
      </c>
      <c r="B10" s="567"/>
    </row>
    <row r="11" spans="1:2" x14ac:dyDescent="0.3">
      <c r="B11" t="s">
        <v>24</v>
      </c>
    </row>
    <row r="12" spans="1:2" ht="18" x14ac:dyDescent="0.35">
      <c r="A12" s="24" t="s">
        <v>25</v>
      </c>
    </row>
    <row r="13" spans="1:2" ht="18" x14ac:dyDescent="0.35">
      <c r="A13" s="24"/>
    </row>
    <row r="14" spans="1:2" ht="62.4" customHeight="1" x14ac:dyDescent="0.3">
      <c r="A14" s="567" t="s">
        <v>26</v>
      </c>
      <c r="B14" s="567"/>
    </row>
    <row r="17" spans="1:3" ht="28.8" x14ac:dyDescent="0.55000000000000004">
      <c r="B17" s="26" t="s">
        <v>27</v>
      </c>
    </row>
    <row r="18" spans="1:3" ht="18" x14ac:dyDescent="0.35">
      <c r="A18" s="24" t="s">
        <v>28</v>
      </c>
      <c r="B18" s="21"/>
      <c r="C18" s="23"/>
    </row>
    <row r="19" spans="1:3" x14ac:dyDescent="0.3">
      <c r="A19" s="22">
        <v>24.1</v>
      </c>
      <c r="B19" s="21" t="s">
        <v>29</v>
      </c>
    </row>
    <row r="20" spans="1:3" x14ac:dyDescent="0.3">
      <c r="A20" s="22">
        <v>24.2</v>
      </c>
      <c r="B20" s="21" t="s">
        <v>30</v>
      </c>
    </row>
    <row r="21" spans="1:3" x14ac:dyDescent="0.3">
      <c r="A21" s="22">
        <v>24.3</v>
      </c>
      <c r="B21" s="21" t="s">
        <v>31</v>
      </c>
    </row>
    <row r="22" spans="1:3" ht="28.8" x14ac:dyDescent="0.3">
      <c r="A22" s="22">
        <v>24.4</v>
      </c>
      <c r="B22" s="21" t="s">
        <v>32</v>
      </c>
    </row>
    <row r="23" spans="1:3" x14ac:dyDescent="0.3">
      <c r="A23" s="27">
        <v>24.5</v>
      </c>
      <c r="B23" s="21" t="s">
        <v>33</v>
      </c>
    </row>
    <row r="24" spans="1:3" x14ac:dyDescent="0.3">
      <c r="A24" s="22"/>
      <c r="B24" s="21"/>
    </row>
    <row r="25" spans="1:3" ht="18" x14ac:dyDescent="0.3">
      <c r="A25" s="25" t="s">
        <v>34</v>
      </c>
      <c r="B25" s="21"/>
    </row>
    <row r="26" spans="1:3" x14ac:dyDescent="0.3">
      <c r="A26" s="22" t="s">
        <v>35</v>
      </c>
      <c r="B26" s="21"/>
    </row>
    <row r="27" spans="1:3" x14ac:dyDescent="0.3">
      <c r="A27" s="28" t="s">
        <v>36</v>
      </c>
      <c r="B27" s="21" t="s">
        <v>37</v>
      </c>
    </row>
    <row r="28" spans="1:3" ht="28.8" x14ac:dyDescent="0.3">
      <c r="A28" s="28" t="s">
        <v>38</v>
      </c>
      <c r="B28" s="21" t="s">
        <v>39</v>
      </c>
    </row>
    <row r="29" spans="1:3" ht="43.2" x14ac:dyDescent="0.3">
      <c r="A29" s="28" t="s">
        <v>40</v>
      </c>
      <c r="B29" s="21" t="s">
        <v>41</v>
      </c>
    </row>
    <row r="30" spans="1:3" ht="28.8" x14ac:dyDescent="0.3">
      <c r="A30" s="28" t="s">
        <v>42</v>
      </c>
      <c r="B30" s="21" t="s">
        <v>43</v>
      </c>
    </row>
    <row r="31" spans="1:3" ht="43.2" x14ac:dyDescent="0.3">
      <c r="A31" s="28" t="s">
        <v>44</v>
      </c>
      <c r="B31" s="21" t="s">
        <v>45</v>
      </c>
    </row>
    <row r="32" spans="1:3" ht="28.8" x14ac:dyDescent="0.3">
      <c r="A32" s="28" t="s">
        <v>46</v>
      </c>
      <c r="B32" s="21" t="s">
        <v>47</v>
      </c>
    </row>
    <row r="33" spans="1:2" ht="28.8" x14ac:dyDescent="0.3">
      <c r="A33" s="28" t="s">
        <v>48</v>
      </c>
      <c r="B33" s="21" t="s">
        <v>49</v>
      </c>
    </row>
    <row r="34" spans="1:2" x14ac:dyDescent="0.3">
      <c r="A34" s="28" t="s">
        <v>50</v>
      </c>
      <c r="B34" s="21" t="s">
        <v>51</v>
      </c>
    </row>
    <row r="35" spans="1:2" x14ac:dyDescent="0.3">
      <c r="A35" s="28"/>
      <c r="B35" s="21" t="s">
        <v>52</v>
      </c>
    </row>
    <row r="36" spans="1:2" x14ac:dyDescent="0.3">
      <c r="A36" s="28"/>
      <c r="B36" s="21" t="s">
        <v>53</v>
      </c>
    </row>
    <row r="37" spans="1:2" ht="28.8" x14ac:dyDescent="0.3">
      <c r="A37" s="28" t="s">
        <v>54</v>
      </c>
      <c r="B37" s="21" t="s">
        <v>55</v>
      </c>
    </row>
    <row r="38" spans="1:2" x14ac:dyDescent="0.3">
      <c r="B38" s="21"/>
    </row>
    <row r="39" spans="1:2" x14ac:dyDescent="0.3">
      <c r="B39" s="21"/>
    </row>
    <row r="40" spans="1:2" x14ac:dyDescent="0.3">
      <c r="B40" s="21"/>
    </row>
    <row r="41" spans="1:2" x14ac:dyDescent="0.3">
      <c r="B41" s="21"/>
    </row>
    <row r="42" spans="1:2" x14ac:dyDescent="0.3">
      <c r="B42" s="21"/>
    </row>
    <row r="43" spans="1:2" x14ac:dyDescent="0.3">
      <c r="B43" s="21"/>
    </row>
    <row r="44" spans="1:2" x14ac:dyDescent="0.3">
      <c r="B44" s="21"/>
    </row>
  </sheetData>
  <sheetProtection algorithmName="SHA-512" hashValue="9hPp07uYky07z5WKxfLPePcfhLlJZxlpMxFeQczpn7CttBQGJXEOblE0cUy2vLIyNUfLF5UJOedaSDMZlWZozQ==" saltValue="JgAQCENj/kF9UGB4MB/iVA==" spinCount="100000" sheet="1" objects="1" scenarios="1"/>
  <mergeCells count="5">
    <mergeCell ref="A14:B14"/>
    <mergeCell ref="A6:B6"/>
    <mergeCell ref="A1:B1"/>
    <mergeCell ref="A2:B2"/>
    <mergeCell ref="A10:B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EB42-209F-4B2C-8D97-04C595BABCE7}">
  <sheetPr codeName="Sheet8">
    <tabColor theme="7" tint="0.79998168889431442"/>
  </sheetPr>
  <dimension ref="A1:CB89"/>
  <sheetViews>
    <sheetView zoomScale="60" zoomScaleNormal="60" workbookViewId="0">
      <selection activeCell="AU7" sqref="AU7"/>
    </sheetView>
  </sheetViews>
  <sheetFormatPr defaultRowHeight="14.4" x14ac:dyDescent="0.3"/>
  <cols>
    <col min="1" max="1" width="19.88671875" bestFit="1" customWidth="1"/>
    <col min="2" max="2" width="29.33203125" bestFit="1" customWidth="1"/>
    <col min="3" max="4" width="22.44140625" customWidth="1"/>
    <col min="5" max="5" width="28.109375" customWidth="1"/>
    <col min="6" max="6" width="24" customWidth="1"/>
    <col min="7" max="7" width="25.6640625" customWidth="1"/>
    <col min="8" max="8" width="24.33203125" customWidth="1"/>
    <col min="9" max="9" width="26.33203125" customWidth="1"/>
    <col min="10" max="10" width="24.6640625" customWidth="1"/>
    <col min="11" max="11" width="24.88671875" bestFit="1" customWidth="1"/>
    <col min="12" max="12" width="26.5546875" customWidth="1"/>
    <col min="13" max="13" width="30.44140625" bestFit="1" customWidth="1"/>
    <col min="14" max="14" width="31.6640625" customWidth="1"/>
    <col min="15" max="15" width="30.109375" bestFit="1" customWidth="1"/>
    <col min="16" max="16" width="31.44140625" customWidth="1"/>
    <col min="17" max="17" width="29.6640625" customWidth="1"/>
    <col min="18" max="18" width="24.88671875" bestFit="1" customWidth="1"/>
    <col min="19" max="19" width="45.33203125" customWidth="1"/>
    <col min="20" max="20" width="31.33203125" customWidth="1"/>
    <col min="21" max="21" width="24.88671875" bestFit="1" customWidth="1"/>
    <col min="22" max="22" width="16.44140625" bestFit="1" customWidth="1"/>
    <col min="23" max="23" width="15.88671875" bestFit="1" customWidth="1"/>
    <col min="24" max="24" width="18.6640625" bestFit="1" customWidth="1"/>
    <col min="25" max="25" width="30.109375" customWidth="1"/>
    <col min="26" max="26" width="29" customWidth="1"/>
    <col min="27" max="27" width="31.44140625" customWidth="1"/>
    <col min="28" max="28" width="24.33203125" customWidth="1"/>
    <col min="29" max="29" width="18.33203125" bestFit="1" customWidth="1"/>
    <col min="30" max="30" width="21" bestFit="1" customWidth="1"/>
    <col min="31" max="31" width="24.88671875" bestFit="1" customWidth="1"/>
    <col min="32" max="32" width="21.5546875" bestFit="1" customWidth="1"/>
    <col min="33" max="33" width="26.5546875" bestFit="1" customWidth="1"/>
    <col min="34" max="34" width="15.6640625" bestFit="1" customWidth="1"/>
    <col min="35" max="35" width="18.109375" bestFit="1" customWidth="1"/>
    <col min="36" max="36" width="21.33203125" bestFit="1" customWidth="1"/>
    <col min="37" max="37" width="19.33203125" bestFit="1" customWidth="1"/>
    <col min="38" max="38" width="23.5546875" customWidth="1"/>
    <col min="39" max="39" width="23.6640625" customWidth="1"/>
    <col min="40" max="40" width="19.6640625" bestFit="1" customWidth="1"/>
    <col min="41" max="41" width="18.44140625" bestFit="1" customWidth="1"/>
    <col min="42" max="42" width="16" bestFit="1" customWidth="1"/>
    <col min="43" max="43" width="17.6640625" bestFit="1" customWidth="1"/>
    <col min="44" max="44" width="15.88671875" bestFit="1" customWidth="1"/>
    <col min="45" max="45" width="17" bestFit="1" customWidth="1"/>
    <col min="46" max="46" width="23.44140625" bestFit="1" customWidth="1"/>
    <col min="47" max="47" width="21.5546875" bestFit="1" customWidth="1"/>
    <col min="48" max="48" width="20.6640625" bestFit="1" customWidth="1"/>
    <col min="49" max="49" width="29" bestFit="1" customWidth="1"/>
    <col min="50" max="51" width="20.109375" bestFit="1" customWidth="1"/>
    <col min="52" max="52" width="19.5546875" bestFit="1" customWidth="1"/>
    <col min="53" max="53" width="20.33203125" bestFit="1" customWidth="1"/>
    <col min="54" max="54" width="21.44140625" bestFit="1" customWidth="1"/>
    <col min="55" max="55" width="19.6640625" bestFit="1" customWidth="1"/>
    <col min="56" max="56" width="13.44140625" bestFit="1" customWidth="1"/>
    <col min="57" max="57" width="27.33203125" bestFit="1" customWidth="1"/>
    <col min="58" max="58" width="25.44140625" bestFit="1" customWidth="1"/>
    <col min="59" max="59" width="26" bestFit="1" customWidth="1"/>
    <col min="60" max="60" width="26" customWidth="1"/>
    <col min="61" max="61" width="19.6640625" bestFit="1" customWidth="1"/>
    <col min="62" max="62" width="12.5546875" bestFit="1" customWidth="1"/>
    <col min="63" max="63" width="24.5546875" bestFit="1" customWidth="1"/>
    <col min="64" max="64" width="29" bestFit="1" customWidth="1"/>
    <col min="65" max="65" width="27.5546875" bestFit="1" customWidth="1"/>
    <col min="66" max="66" width="31.33203125" bestFit="1" customWidth="1"/>
    <col min="67" max="67" width="18.6640625" bestFit="1" customWidth="1"/>
    <col min="68" max="68" width="20.88671875" bestFit="1" customWidth="1"/>
    <col min="69" max="69" width="18.109375" bestFit="1" customWidth="1"/>
    <col min="70" max="70" width="22.33203125" bestFit="1" customWidth="1"/>
    <col min="71" max="71" width="21.33203125" bestFit="1" customWidth="1"/>
    <col min="72" max="72" width="24.88671875" bestFit="1" customWidth="1"/>
    <col min="73" max="73" width="19.5546875" bestFit="1" customWidth="1"/>
    <col min="74" max="74" width="13.33203125" bestFit="1" customWidth="1"/>
    <col min="75" max="75" width="22.6640625" bestFit="1" customWidth="1"/>
    <col min="76" max="76" width="20.88671875" bestFit="1" customWidth="1"/>
    <col min="77" max="77" width="22.88671875" bestFit="1" customWidth="1"/>
    <col min="78" max="78" width="21" bestFit="1" customWidth="1"/>
    <col min="79" max="79" width="20.33203125" bestFit="1" customWidth="1"/>
    <col min="80" max="80" width="33.6640625" bestFit="1" customWidth="1"/>
  </cols>
  <sheetData>
    <row r="1" spans="1:80" x14ac:dyDescent="0.3">
      <c r="A1" s="17" t="s">
        <v>56</v>
      </c>
    </row>
    <row r="2" spans="1:80" s="13" customFormat="1" x14ac:dyDescent="0.3">
      <c r="B2" s="13" t="s">
        <v>1</v>
      </c>
      <c r="C2" s="13" t="s">
        <v>57</v>
      </c>
      <c r="D2" s="13" t="s">
        <v>58</v>
      </c>
      <c r="E2" s="13" t="s">
        <v>59</v>
      </c>
      <c r="F2" s="13" t="s">
        <v>60</v>
      </c>
      <c r="G2" s="13" t="s">
        <v>61</v>
      </c>
      <c r="H2" s="13" t="s">
        <v>62</v>
      </c>
      <c r="I2" s="13" t="s">
        <v>63</v>
      </c>
      <c r="J2" s="13" t="s">
        <v>64</v>
      </c>
      <c r="K2" s="13" t="s">
        <v>65</v>
      </c>
      <c r="L2" s="13" t="s">
        <v>66</v>
      </c>
      <c r="M2" s="13" t="s">
        <v>67</v>
      </c>
      <c r="N2" s="13" t="s">
        <v>68</v>
      </c>
      <c r="O2" s="13" t="s">
        <v>69</v>
      </c>
      <c r="P2" s="13" t="s">
        <v>70</v>
      </c>
      <c r="Q2" s="13" t="s">
        <v>71</v>
      </c>
      <c r="R2" s="13" t="s">
        <v>72</v>
      </c>
      <c r="S2" s="13" t="s">
        <v>73</v>
      </c>
      <c r="T2" s="13" t="s">
        <v>74</v>
      </c>
    </row>
    <row r="3" spans="1:80" x14ac:dyDescent="0.3">
      <c r="B3" t="s">
        <v>75</v>
      </c>
      <c r="C3" t="s">
        <v>76</v>
      </c>
      <c r="D3" t="s">
        <v>77</v>
      </c>
      <c r="E3" t="s">
        <v>78</v>
      </c>
      <c r="F3" t="s">
        <v>79</v>
      </c>
      <c r="G3" t="s">
        <v>80</v>
      </c>
      <c r="H3" t="s">
        <v>81</v>
      </c>
      <c r="I3" t="s">
        <v>82</v>
      </c>
      <c r="J3" t="s">
        <v>83</v>
      </c>
      <c r="K3" t="s">
        <v>84</v>
      </c>
      <c r="L3" t="s">
        <v>85</v>
      </c>
      <c r="M3" t="s">
        <v>86</v>
      </c>
      <c r="N3" t="s">
        <v>87</v>
      </c>
      <c r="O3" t="s">
        <v>88</v>
      </c>
      <c r="P3" t="s">
        <v>89</v>
      </c>
      <c r="Q3" t="s">
        <v>90</v>
      </c>
      <c r="R3" t="s">
        <v>91</v>
      </c>
      <c r="S3" t="s">
        <v>92</v>
      </c>
      <c r="T3" t="s">
        <v>93</v>
      </c>
    </row>
    <row r="4" spans="1:80" x14ac:dyDescent="0.3">
      <c r="B4" t="s">
        <v>94</v>
      </c>
      <c r="E4" t="s">
        <v>95</v>
      </c>
      <c r="F4" t="s">
        <v>96</v>
      </c>
      <c r="G4" t="s">
        <v>97</v>
      </c>
      <c r="H4" t="s">
        <v>98</v>
      </c>
      <c r="I4" t="s">
        <v>99</v>
      </c>
      <c r="J4" t="s">
        <v>100</v>
      </c>
      <c r="K4" t="s">
        <v>101</v>
      </c>
      <c r="L4" t="s">
        <v>102</v>
      </c>
      <c r="M4" t="s">
        <v>103</v>
      </c>
      <c r="N4" t="s">
        <v>104</v>
      </c>
      <c r="O4" t="s">
        <v>105</v>
      </c>
      <c r="P4" t="s">
        <v>106</v>
      </c>
      <c r="Q4" t="s">
        <v>107</v>
      </c>
      <c r="R4" t="s">
        <v>108</v>
      </c>
      <c r="S4" t="s">
        <v>109</v>
      </c>
      <c r="T4" t="s">
        <v>110</v>
      </c>
    </row>
    <row r="5" spans="1:80" x14ac:dyDescent="0.3">
      <c r="B5" t="s">
        <v>111</v>
      </c>
      <c r="E5" t="s">
        <v>112</v>
      </c>
      <c r="F5" t="s">
        <v>113</v>
      </c>
      <c r="G5" t="s">
        <v>114</v>
      </c>
      <c r="H5" t="s">
        <v>115</v>
      </c>
      <c r="I5" t="s">
        <v>116</v>
      </c>
      <c r="J5" t="s">
        <v>117</v>
      </c>
      <c r="K5" t="s">
        <v>118</v>
      </c>
      <c r="L5" t="s">
        <v>119</v>
      </c>
      <c r="M5" t="s">
        <v>120</v>
      </c>
      <c r="O5" t="s">
        <v>121</v>
      </c>
      <c r="P5" t="s">
        <v>122</v>
      </c>
      <c r="Q5" t="s">
        <v>123</v>
      </c>
      <c r="R5" t="s">
        <v>124</v>
      </c>
      <c r="S5" t="s">
        <v>125</v>
      </c>
      <c r="T5" t="s">
        <v>126</v>
      </c>
    </row>
    <row r="6" spans="1:80" x14ac:dyDescent="0.3">
      <c r="B6" t="s">
        <v>127</v>
      </c>
      <c r="E6" t="s">
        <v>128</v>
      </c>
      <c r="F6" t="s">
        <v>129</v>
      </c>
      <c r="G6" t="s">
        <v>130</v>
      </c>
      <c r="H6" t="s">
        <v>131</v>
      </c>
      <c r="I6" t="s">
        <v>132</v>
      </c>
      <c r="J6" t="s">
        <v>133</v>
      </c>
      <c r="K6" t="s">
        <v>134</v>
      </c>
      <c r="L6" t="s">
        <v>135</v>
      </c>
      <c r="O6" t="s">
        <v>136</v>
      </c>
      <c r="P6" t="s">
        <v>75</v>
      </c>
      <c r="Q6" t="s">
        <v>137</v>
      </c>
      <c r="R6" t="s">
        <v>138</v>
      </c>
      <c r="S6" t="s">
        <v>139</v>
      </c>
      <c r="T6" t="s">
        <v>140</v>
      </c>
    </row>
    <row r="7" spans="1:80" x14ac:dyDescent="0.3">
      <c r="B7" t="s">
        <v>141</v>
      </c>
      <c r="E7" t="s">
        <v>142</v>
      </c>
      <c r="G7" t="s">
        <v>143</v>
      </c>
      <c r="H7" t="s">
        <v>144</v>
      </c>
      <c r="I7" t="s">
        <v>145</v>
      </c>
      <c r="J7" t="s">
        <v>146</v>
      </c>
      <c r="K7" t="s">
        <v>147</v>
      </c>
      <c r="L7" t="s">
        <v>148</v>
      </c>
      <c r="O7" t="s">
        <v>149</v>
      </c>
      <c r="P7" t="s">
        <v>150</v>
      </c>
      <c r="Q7" t="s">
        <v>151</v>
      </c>
      <c r="R7" t="s">
        <v>152</v>
      </c>
      <c r="T7" t="s">
        <v>153</v>
      </c>
    </row>
    <row r="8" spans="1:80" x14ac:dyDescent="0.3">
      <c r="E8" t="s">
        <v>154</v>
      </c>
      <c r="H8" t="s">
        <v>155</v>
      </c>
      <c r="K8" t="s">
        <v>156</v>
      </c>
      <c r="N8" t="s">
        <v>88</v>
      </c>
      <c r="O8" t="s">
        <v>157</v>
      </c>
    </row>
    <row r="9" spans="1:80" x14ac:dyDescent="0.3">
      <c r="H9" t="s">
        <v>158</v>
      </c>
    </row>
    <row r="10" spans="1:80" x14ac:dyDescent="0.3">
      <c r="A10" s="17" t="s">
        <v>56</v>
      </c>
    </row>
    <row r="11" spans="1:80" s="13" customFormat="1" x14ac:dyDescent="0.3">
      <c r="A11" s="13" t="s">
        <v>76</v>
      </c>
      <c r="B11" s="13" t="s">
        <v>77</v>
      </c>
      <c r="C11" s="13" t="s">
        <v>78</v>
      </c>
      <c r="D11" s="356" t="s">
        <v>95</v>
      </c>
      <c r="E11" s="13" t="s">
        <v>112</v>
      </c>
      <c r="F11" s="13" t="s">
        <v>128</v>
      </c>
      <c r="G11" s="13" t="s">
        <v>142</v>
      </c>
      <c r="H11" s="13" t="s">
        <v>154</v>
      </c>
      <c r="I11" s="13" t="s">
        <v>79</v>
      </c>
      <c r="J11" s="13" t="s">
        <v>96</v>
      </c>
      <c r="K11" s="13" t="s">
        <v>113</v>
      </c>
      <c r="L11" s="13" t="s">
        <v>129</v>
      </c>
      <c r="M11" s="13" t="s">
        <v>80</v>
      </c>
      <c r="N11" s="13" t="s">
        <v>97</v>
      </c>
      <c r="O11" s="13" t="s">
        <v>114</v>
      </c>
      <c r="P11" s="13" t="s">
        <v>130</v>
      </c>
      <c r="Q11" s="13" t="s">
        <v>143</v>
      </c>
      <c r="R11" s="13" t="s">
        <v>98</v>
      </c>
      <c r="S11" s="13" t="s">
        <v>115</v>
      </c>
      <c r="T11" s="13" t="s">
        <v>131</v>
      </c>
      <c r="U11" s="13" t="s">
        <v>144</v>
      </c>
      <c r="V11" s="13" t="s">
        <v>155</v>
      </c>
      <c r="W11" s="13" t="s">
        <v>158</v>
      </c>
      <c r="X11" s="13" t="s">
        <v>81</v>
      </c>
      <c r="Y11" s="13" t="s">
        <v>82</v>
      </c>
      <c r="Z11" s="13" t="s">
        <v>99</v>
      </c>
      <c r="AA11" s="13" t="s">
        <v>116</v>
      </c>
      <c r="AB11" s="13" t="s">
        <v>132</v>
      </c>
      <c r="AC11" s="13" t="s">
        <v>145</v>
      </c>
      <c r="AD11" s="13" t="s">
        <v>83</v>
      </c>
      <c r="AE11" s="13" t="s">
        <v>100</v>
      </c>
      <c r="AF11" s="13" t="s">
        <v>117</v>
      </c>
      <c r="AG11" s="13" t="s">
        <v>133</v>
      </c>
      <c r="AH11" s="13" t="s">
        <v>146</v>
      </c>
      <c r="AI11" s="13" t="s">
        <v>84</v>
      </c>
      <c r="AJ11" s="13" t="s">
        <v>101</v>
      </c>
      <c r="AK11" s="13" t="s">
        <v>118</v>
      </c>
      <c r="AL11" s="13" t="s">
        <v>134</v>
      </c>
      <c r="AM11" s="13" t="s">
        <v>147</v>
      </c>
      <c r="AN11" s="13" t="s">
        <v>156</v>
      </c>
      <c r="AO11" s="13" t="s">
        <v>85</v>
      </c>
      <c r="AP11" s="13" t="s">
        <v>102</v>
      </c>
      <c r="AQ11" s="13" t="s">
        <v>119</v>
      </c>
      <c r="AR11" s="13" t="s">
        <v>135</v>
      </c>
      <c r="AS11" s="13" t="s">
        <v>148</v>
      </c>
      <c r="AT11" s="13" t="s">
        <v>86</v>
      </c>
      <c r="AU11" s="13" t="s">
        <v>103</v>
      </c>
      <c r="AV11" s="13" t="s">
        <v>120</v>
      </c>
      <c r="AW11" s="13" t="s">
        <v>87</v>
      </c>
      <c r="AX11" s="13" t="s">
        <v>104</v>
      </c>
      <c r="AY11" s="13" t="s">
        <v>105</v>
      </c>
      <c r="AZ11" s="13" t="s">
        <v>121</v>
      </c>
      <c r="BA11" s="13" t="s">
        <v>136</v>
      </c>
      <c r="BB11" s="13" t="s">
        <v>149</v>
      </c>
      <c r="BC11" s="13" t="s">
        <v>157</v>
      </c>
      <c r="BD11" s="13" t="s">
        <v>88</v>
      </c>
      <c r="BE11" s="13" t="s">
        <v>89</v>
      </c>
      <c r="BF11" s="13" t="s">
        <v>106</v>
      </c>
      <c r="BG11" s="13" t="s">
        <v>122</v>
      </c>
      <c r="BH11" s="13" t="s">
        <v>75</v>
      </c>
      <c r="BI11" s="13" t="s">
        <v>90</v>
      </c>
      <c r="BJ11" s="13" t="s">
        <v>107</v>
      </c>
      <c r="BK11" s="13" t="s">
        <v>123</v>
      </c>
      <c r="BL11" s="13" t="s">
        <v>137</v>
      </c>
      <c r="BM11" s="13" t="s">
        <v>151</v>
      </c>
      <c r="BN11" s="13" t="s">
        <v>91</v>
      </c>
      <c r="BO11" s="13" t="s">
        <v>108</v>
      </c>
      <c r="BP11" s="13" t="s">
        <v>124</v>
      </c>
      <c r="BQ11" s="13" t="s">
        <v>138</v>
      </c>
      <c r="BR11" s="13" t="s">
        <v>152</v>
      </c>
      <c r="BS11" s="13" t="s">
        <v>92</v>
      </c>
      <c r="BT11" s="13" t="s">
        <v>109</v>
      </c>
      <c r="BU11" s="13" t="s">
        <v>125</v>
      </c>
      <c r="BV11" s="13" t="s">
        <v>139</v>
      </c>
      <c r="BW11" s="13" t="s">
        <v>93</v>
      </c>
      <c r="BX11" s="13" t="s">
        <v>110</v>
      </c>
      <c r="BY11" s="13" t="s">
        <v>126</v>
      </c>
      <c r="BZ11" s="13" t="s">
        <v>140</v>
      </c>
      <c r="CA11" s="13" t="s">
        <v>153</v>
      </c>
      <c r="CB11" s="13" t="s">
        <v>150</v>
      </c>
    </row>
    <row r="12" spans="1:80" x14ac:dyDescent="0.3">
      <c r="A12" t="s">
        <v>78</v>
      </c>
      <c r="B12" t="s">
        <v>159</v>
      </c>
      <c r="C12" t="s">
        <v>160</v>
      </c>
      <c r="D12" s="18" t="s">
        <v>161</v>
      </c>
      <c r="E12" t="s">
        <v>162</v>
      </c>
      <c r="F12" t="s">
        <v>163</v>
      </c>
      <c r="G12" t="s">
        <v>164</v>
      </c>
      <c r="H12" s="18" t="s">
        <v>165</v>
      </c>
      <c r="I12" t="s">
        <v>166</v>
      </c>
      <c r="J12" t="s">
        <v>167</v>
      </c>
      <c r="K12" t="s">
        <v>168</v>
      </c>
      <c r="L12" t="s">
        <v>169</v>
      </c>
      <c r="M12" t="s">
        <v>170</v>
      </c>
      <c r="N12" t="s">
        <v>171</v>
      </c>
      <c r="O12" t="s">
        <v>172</v>
      </c>
      <c r="P12" t="s">
        <v>173</v>
      </c>
      <c r="Q12" t="s">
        <v>174</v>
      </c>
      <c r="R12" t="s">
        <v>175</v>
      </c>
      <c r="S12" t="s">
        <v>176</v>
      </c>
      <c r="T12" t="s">
        <v>177</v>
      </c>
      <c r="U12" t="s">
        <v>178</v>
      </c>
      <c r="V12" t="s">
        <v>179</v>
      </c>
      <c r="W12" t="s">
        <v>180</v>
      </c>
      <c r="X12" t="s">
        <v>181</v>
      </c>
      <c r="Y12" t="s">
        <v>182</v>
      </c>
      <c r="Z12" t="s">
        <v>183</v>
      </c>
      <c r="AA12" t="s">
        <v>184</v>
      </c>
      <c r="AB12" t="s">
        <v>185</v>
      </c>
      <c r="AC12" t="s">
        <v>186</v>
      </c>
      <c r="AD12" t="s">
        <v>187</v>
      </c>
      <c r="AE12" t="s">
        <v>188</v>
      </c>
      <c r="AF12" s="2" t="s">
        <v>189</v>
      </c>
      <c r="AG12" t="s">
        <v>190</v>
      </c>
      <c r="AH12" t="s">
        <v>191</v>
      </c>
      <c r="AI12" t="s">
        <v>192</v>
      </c>
      <c r="AJ12" t="s">
        <v>193</v>
      </c>
      <c r="AK12" t="s">
        <v>194</v>
      </c>
      <c r="AL12" t="s">
        <v>195</v>
      </c>
      <c r="AM12" t="s">
        <v>196</v>
      </c>
      <c r="AN12" t="s">
        <v>197</v>
      </c>
      <c r="AO12" t="s">
        <v>198</v>
      </c>
      <c r="AP12" t="s">
        <v>199</v>
      </c>
      <c r="AQ12" t="s">
        <v>200</v>
      </c>
      <c r="AR12" t="s">
        <v>201</v>
      </c>
      <c r="AS12" t="s">
        <v>202</v>
      </c>
      <c r="AT12" t="s">
        <v>203</v>
      </c>
      <c r="AU12" t="s">
        <v>204</v>
      </c>
      <c r="AV12" t="s">
        <v>205</v>
      </c>
      <c r="AW12" t="s">
        <v>206</v>
      </c>
      <c r="AX12" t="s">
        <v>191</v>
      </c>
      <c r="AY12" t="s">
        <v>207</v>
      </c>
      <c r="AZ12" t="s">
        <v>208</v>
      </c>
      <c r="BA12" t="s">
        <v>209</v>
      </c>
      <c r="BB12" t="s">
        <v>210</v>
      </c>
      <c r="BC12" t="s">
        <v>211</v>
      </c>
      <c r="BD12" t="s">
        <v>212</v>
      </c>
      <c r="BE12" t="s">
        <v>213</v>
      </c>
      <c r="BF12" t="s">
        <v>81</v>
      </c>
      <c r="BG12" t="s">
        <v>172</v>
      </c>
      <c r="BH12" t="s">
        <v>214</v>
      </c>
      <c r="BI12" t="s">
        <v>215</v>
      </c>
      <c r="BJ12" t="s">
        <v>216</v>
      </c>
      <c r="BK12" t="s">
        <v>217</v>
      </c>
      <c r="BL12" t="s">
        <v>218</v>
      </c>
      <c r="BM12" t="s">
        <v>219</v>
      </c>
      <c r="BN12" t="s">
        <v>220</v>
      </c>
      <c r="BO12" t="s">
        <v>221</v>
      </c>
      <c r="BP12" t="s">
        <v>222</v>
      </c>
      <c r="BQ12" t="s">
        <v>223</v>
      </c>
      <c r="BR12" s="20" t="s">
        <v>224</v>
      </c>
      <c r="BS12" t="s">
        <v>225</v>
      </c>
      <c r="BT12" s="20" t="s">
        <v>226</v>
      </c>
      <c r="BU12" t="s">
        <v>227</v>
      </c>
      <c r="BV12" t="s">
        <v>228</v>
      </c>
      <c r="BW12" t="s">
        <v>202</v>
      </c>
      <c r="BX12" t="s">
        <v>229</v>
      </c>
      <c r="BY12" t="s">
        <v>230</v>
      </c>
      <c r="BZ12" t="s">
        <v>231</v>
      </c>
      <c r="CA12" t="s">
        <v>232</v>
      </c>
      <c r="CB12" t="s">
        <v>233</v>
      </c>
    </row>
    <row r="13" spans="1:80" x14ac:dyDescent="0.3">
      <c r="A13" t="s">
        <v>93</v>
      </c>
      <c r="B13" t="s">
        <v>234</v>
      </c>
      <c r="C13" t="s">
        <v>235</v>
      </c>
      <c r="D13" s="18" t="s">
        <v>236</v>
      </c>
      <c r="E13" t="s">
        <v>237</v>
      </c>
      <c r="F13" t="s">
        <v>238</v>
      </c>
      <c r="G13" t="s">
        <v>239</v>
      </c>
      <c r="H13" s="18" t="s">
        <v>240</v>
      </c>
      <c r="I13" t="s">
        <v>241</v>
      </c>
      <c r="J13" t="s">
        <v>242</v>
      </c>
      <c r="K13" t="s">
        <v>243</v>
      </c>
      <c r="L13" t="s">
        <v>244</v>
      </c>
      <c r="M13" t="s">
        <v>245</v>
      </c>
      <c r="N13" t="s">
        <v>246</v>
      </c>
      <c r="O13" t="s">
        <v>247</v>
      </c>
      <c r="P13" t="s">
        <v>248</v>
      </c>
      <c r="Q13" t="s">
        <v>249</v>
      </c>
      <c r="R13" t="s">
        <v>250</v>
      </c>
      <c r="S13" t="s">
        <v>251</v>
      </c>
      <c r="T13" t="s">
        <v>252</v>
      </c>
      <c r="U13" t="s">
        <v>253</v>
      </c>
      <c r="V13" t="s">
        <v>254</v>
      </c>
      <c r="W13" t="s">
        <v>255</v>
      </c>
      <c r="X13" t="s">
        <v>256</v>
      </c>
      <c r="Y13" t="s">
        <v>257</v>
      </c>
      <c r="Z13" t="s">
        <v>258</v>
      </c>
      <c r="AA13" t="s">
        <v>259</v>
      </c>
      <c r="AB13" t="s">
        <v>260</v>
      </c>
      <c r="AC13" t="s">
        <v>261</v>
      </c>
      <c r="AD13" t="s">
        <v>202</v>
      </c>
      <c r="AE13" t="s">
        <v>262</v>
      </c>
      <c r="AF13" s="2" t="s">
        <v>263</v>
      </c>
      <c r="AG13" t="s">
        <v>264</v>
      </c>
      <c r="AH13" t="s">
        <v>265</v>
      </c>
      <c r="AI13" t="s">
        <v>266</v>
      </c>
      <c r="AJ13" t="s">
        <v>267</v>
      </c>
      <c r="AK13" t="s">
        <v>268</v>
      </c>
      <c r="AL13" t="s">
        <v>261</v>
      </c>
      <c r="AM13" t="s">
        <v>269</v>
      </c>
      <c r="AN13" t="s">
        <v>270</v>
      </c>
      <c r="AO13" t="s">
        <v>271</v>
      </c>
      <c r="AP13" t="s">
        <v>102</v>
      </c>
      <c r="AQ13" t="s">
        <v>272</v>
      </c>
      <c r="AR13" t="s">
        <v>273</v>
      </c>
      <c r="AS13" t="s">
        <v>274</v>
      </c>
      <c r="AT13" t="s">
        <v>275</v>
      </c>
      <c r="AU13" t="s">
        <v>276</v>
      </c>
      <c r="AV13" t="s">
        <v>277</v>
      </c>
      <c r="AW13" t="s">
        <v>172</v>
      </c>
      <c r="AX13" t="s">
        <v>278</v>
      </c>
      <c r="AY13" t="s">
        <v>279</v>
      </c>
      <c r="AZ13" t="s">
        <v>280</v>
      </c>
      <c r="BA13" t="s">
        <v>281</v>
      </c>
      <c r="BB13" t="s">
        <v>282</v>
      </c>
      <c r="BC13" t="s">
        <v>283</v>
      </c>
      <c r="BD13" t="s">
        <v>88</v>
      </c>
      <c r="BE13" t="s">
        <v>284</v>
      </c>
      <c r="BF13" t="s">
        <v>285</v>
      </c>
      <c r="BG13" t="s">
        <v>286</v>
      </c>
      <c r="BI13" t="s">
        <v>287</v>
      </c>
      <c r="BJ13" t="s">
        <v>288</v>
      </c>
      <c r="BK13" t="s">
        <v>289</v>
      </c>
      <c r="BL13" t="s">
        <v>290</v>
      </c>
      <c r="BM13" t="s">
        <v>291</v>
      </c>
      <c r="BN13" t="s">
        <v>292</v>
      </c>
      <c r="BO13" s="20" t="s">
        <v>293</v>
      </c>
      <c r="BP13" t="s">
        <v>294</v>
      </c>
      <c r="BQ13" t="s">
        <v>295</v>
      </c>
      <c r="BR13" s="20" t="s">
        <v>296</v>
      </c>
      <c r="BS13" t="s">
        <v>297</v>
      </c>
      <c r="BT13" s="20" t="s">
        <v>298</v>
      </c>
      <c r="BU13" t="s">
        <v>299</v>
      </c>
      <c r="BV13" t="s">
        <v>300</v>
      </c>
      <c r="BW13" t="s">
        <v>301</v>
      </c>
      <c r="BX13" t="s">
        <v>302</v>
      </c>
      <c r="BY13" t="s">
        <v>303</v>
      </c>
      <c r="BZ13" t="s">
        <v>304</v>
      </c>
      <c r="CA13" t="s">
        <v>305</v>
      </c>
      <c r="CB13" t="s">
        <v>306</v>
      </c>
    </row>
    <row r="14" spans="1:80" x14ac:dyDescent="0.3">
      <c r="A14" t="s">
        <v>110</v>
      </c>
      <c r="B14" t="s">
        <v>307</v>
      </c>
      <c r="C14" t="s">
        <v>308</v>
      </c>
      <c r="D14" s="18" t="s">
        <v>309</v>
      </c>
      <c r="E14" t="s">
        <v>310</v>
      </c>
      <c r="F14" t="s">
        <v>311</v>
      </c>
      <c r="G14" t="s">
        <v>312</v>
      </c>
      <c r="H14" s="18" t="s">
        <v>313</v>
      </c>
      <c r="I14" t="s">
        <v>314</v>
      </c>
      <c r="J14" t="s">
        <v>315</v>
      </c>
      <c r="K14" t="s">
        <v>316</v>
      </c>
      <c r="L14" t="s">
        <v>246</v>
      </c>
      <c r="M14" t="s">
        <v>317</v>
      </c>
      <c r="N14" t="s">
        <v>318</v>
      </c>
      <c r="O14" t="s">
        <v>81</v>
      </c>
      <c r="P14" t="s">
        <v>319</v>
      </c>
      <c r="Q14" t="s">
        <v>320</v>
      </c>
      <c r="R14" t="s">
        <v>321</v>
      </c>
      <c r="S14" t="s">
        <v>322</v>
      </c>
      <c r="T14" t="s">
        <v>323</v>
      </c>
      <c r="U14" t="s">
        <v>324</v>
      </c>
      <c r="V14" t="s">
        <v>325</v>
      </c>
      <c r="W14" t="s">
        <v>326</v>
      </c>
      <c r="X14" t="s">
        <v>327</v>
      </c>
      <c r="Y14" t="s">
        <v>328</v>
      </c>
      <c r="Z14" t="s">
        <v>329</v>
      </c>
      <c r="AA14" t="s">
        <v>330</v>
      </c>
      <c r="AB14" t="s">
        <v>331</v>
      </c>
      <c r="AC14" t="s">
        <v>332</v>
      </c>
      <c r="AD14" t="s">
        <v>333</v>
      </c>
      <c r="AE14" t="s">
        <v>334</v>
      </c>
      <c r="AF14" s="2" t="s">
        <v>335</v>
      </c>
      <c r="AG14" t="s">
        <v>336</v>
      </c>
      <c r="AH14" t="s">
        <v>337</v>
      </c>
      <c r="AI14" t="s">
        <v>338</v>
      </c>
      <c r="AJ14" t="s">
        <v>339</v>
      </c>
      <c r="AK14" t="s">
        <v>340</v>
      </c>
      <c r="AL14" t="s">
        <v>341</v>
      </c>
      <c r="AM14" t="s">
        <v>342</v>
      </c>
      <c r="AN14" t="s">
        <v>343</v>
      </c>
      <c r="AO14" t="s">
        <v>226</v>
      </c>
      <c r="AP14" t="s">
        <v>344</v>
      </c>
      <c r="AQ14" t="s">
        <v>345</v>
      </c>
      <c r="AR14" t="s">
        <v>346</v>
      </c>
      <c r="AS14" t="s">
        <v>347</v>
      </c>
      <c r="AT14" t="s">
        <v>348</v>
      </c>
      <c r="AU14" t="s">
        <v>349</v>
      </c>
      <c r="AV14" t="s">
        <v>350</v>
      </c>
      <c r="AW14" t="s">
        <v>351</v>
      </c>
      <c r="AX14" t="s">
        <v>230</v>
      </c>
      <c r="AY14" t="s">
        <v>352</v>
      </c>
      <c r="AZ14" t="s">
        <v>353</v>
      </c>
      <c r="BA14" t="s">
        <v>354</v>
      </c>
      <c r="BB14" t="s">
        <v>355</v>
      </c>
      <c r="BC14" t="s">
        <v>356</v>
      </c>
      <c r="BD14" s="19" t="s">
        <v>357</v>
      </c>
      <c r="BE14" t="s">
        <v>358</v>
      </c>
      <c r="BF14" t="s">
        <v>359</v>
      </c>
      <c r="BG14" t="s">
        <v>360</v>
      </c>
      <c r="BI14" t="s">
        <v>361</v>
      </c>
      <c r="BJ14" t="s">
        <v>362</v>
      </c>
      <c r="BK14" t="s">
        <v>363</v>
      </c>
      <c r="BL14" t="s">
        <v>364</v>
      </c>
      <c r="BM14" t="s">
        <v>365</v>
      </c>
      <c r="BN14" t="s">
        <v>366</v>
      </c>
      <c r="BO14" t="s">
        <v>367</v>
      </c>
      <c r="BP14" t="s">
        <v>368</v>
      </c>
      <c r="BQ14" t="s">
        <v>369</v>
      </c>
      <c r="BR14" s="20" t="s">
        <v>370</v>
      </c>
      <c r="BS14" t="s">
        <v>371</v>
      </c>
      <c r="BT14" s="20" t="s">
        <v>372</v>
      </c>
      <c r="BU14" t="s">
        <v>373</v>
      </c>
      <c r="BV14" t="s">
        <v>374</v>
      </c>
      <c r="BW14" t="s">
        <v>375</v>
      </c>
      <c r="BX14" t="s">
        <v>376</v>
      </c>
      <c r="BY14" t="s">
        <v>377</v>
      </c>
      <c r="BZ14" t="s">
        <v>378</v>
      </c>
      <c r="CA14" t="s">
        <v>379</v>
      </c>
      <c r="CB14" t="s">
        <v>380</v>
      </c>
    </row>
    <row r="15" spans="1:80" x14ac:dyDescent="0.3">
      <c r="A15" t="s">
        <v>85</v>
      </c>
      <c r="B15" t="s">
        <v>381</v>
      </c>
      <c r="C15" t="s">
        <v>382</v>
      </c>
      <c r="D15" s="18" t="s">
        <v>383</v>
      </c>
      <c r="E15" t="s">
        <v>384</v>
      </c>
      <c r="F15" t="s">
        <v>385</v>
      </c>
      <c r="G15" t="s">
        <v>386</v>
      </c>
      <c r="H15" s="18" t="s">
        <v>283</v>
      </c>
      <c r="I15" t="s">
        <v>387</v>
      </c>
      <c r="J15" t="s">
        <v>388</v>
      </c>
      <c r="K15" t="s">
        <v>389</v>
      </c>
      <c r="L15" t="s">
        <v>351</v>
      </c>
      <c r="M15" t="s">
        <v>390</v>
      </c>
      <c r="N15" t="s">
        <v>391</v>
      </c>
      <c r="O15" t="s">
        <v>392</v>
      </c>
      <c r="P15" t="s">
        <v>393</v>
      </c>
      <c r="Q15" t="s">
        <v>394</v>
      </c>
      <c r="R15" t="s">
        <v>395</v>
      </c>
      <c r="S15" t="s">
        <v>115</v>
      </c>
      <c r="T15" t="s">
        <v>396</v>
      </c>
      <c r="U15" t="s">
        <v>397</v>
      </c>
      <c r="V15" t="s">
        <v>398</v>
      </c>
      <c r="W15" t="s">
        <v>399</v>
      </c>
      <c r="X15" t="s">
        <v>400</v>
      </c>
      <c r="Y15" t="s">
        <v>271</v>
      </c>
      <c r="Z15" t="s">
        <v>401</v>
      </c>
      <c r="AA15" t="s">
        <v>402</v>
      </c>
      <c r="AB15" t="s">
        <v>202</v>
      </c>
      <c r="AC15" t="s">
        <v>403</v>
      </c>
      <c r="AD15" t="s">
        <v>404</v>
      </c>
      <c r="AE15" t="s">
        <v>405</v>
      </c>
      <c r="AF15" s="2" t="s">
        <v>406</v>
      </c>
      <c r="AG15" t="s">
        <v>407</v>
      </c>
      <c r="AH15" t="s">
        <v>275</v>
      </c>
      <c r="AI15" t="s">
        <v>408</v>
      </c>
      <c r="AJ15" t="s">
        <v>409</v>
      </c>
      <c r="AK15" t="s">
        <v>410</v>
      </c>
      <c r="AL15" t="s">
        <v>411</v>
      </c>
      <c r="AM15" t="s">
        <v>412</v>
      </c>
      <c r="AN15" t="s">
        <v>256</v>
      </c>
      <c r="AO15" t="s">
        <v>413</v>
      </c>
      <c r="AP15" t="s">
        <v>414</v>
      </c>
      <c r="AQ15" t="s">
        <v>415</v>
      </c>
      <c r="AR15" t="s">
        <v>416</v>
      </c>
      <c r="AS15" t="s">
        <v>417</v>
      </c>
      <c r="AT15" t="s">
        <v>418</v>
      </c>
      <c r="AU15" t="s">
        <v>419</v>
      </c>
      <c r="AV15" t="s">
        <v>420</v>
      </c>
      <c r="AW15" t="s">
        <v>421</v>
      </c>
      <c r="AX15" t="s">
        <v>422</v>
      </c>
      <c r="AY15" t="s">
        <v>423</v>
      </c>
      <c r="AZ15" t="s">
        <v>424</v>
      </c>
      <c r="BA15" t="s">
        <v>425</v>
      </c>
      <c r="BB15" t="s">
        <v>426</v>
      </c>
      <c r="BC15" t="s">
        <v>427</v>
      </c>
      <c r="BD15" s="19" t="s">
        <v>428</v>
      </c>
      <c r="BE15" t="s">
        <v>429</v>
      </c>
      <c r="BF15" t="s">
        <v>430</v>
      </c>
      <c r="BG15" t="s">
        <v>431</v>
      </c>
      <c r="BI15" t="s">
        <v>432</v>
      </c>
      <c r="BJ15" t="s">
        <v>433</v>
      </c>
      <c r="BK15" t="s">
        <v>434</v>
      </c>
      <c r="BL15" t="s">
        <v>435</v>
      </c>
      <c r="BM15" t="s">
        <v>436</v>
      </c>
      <c r="BN15" t="s">
        <v>437</v>
      </c>
      <c r="BO15" t="s">
        <v>438</v>
      </c>
      <c r="BP15" t="s">
        <v>439</v>
      </c>
      <c r="BQ15" t="s">
        <v>440</v>
      </c>
      <c r="BR15" s="20" t="s">
        <v>441</v>
      </c>
      <c r="BS15" t="s">
        <v>442</v>
      </c>
      <c r="BT15" s="20" t="s">
        <v>443</v>
      </c>
      <c r="BU15" t="s">
        <v>376</v>
      </c>
      <c r="BV15" t="s">
        <v>444</v>
      </c>
      <c r="BW15" t="s">
        <v>445</v>
      </c>
      <c r="BX15" t="s">
        <v>446</v>
      </c>
      <c r="BY15" t="s">
        <v>447</v>
      </c>
      <c r="BZ15" t="s">
        <v>448</v>
      </c>
      <c r="CA15" t="s">
        <v>449</v>
      </c>
      <c r="CB15" t="s">
        <v>450</v>
      </c>
    </row>
    <row r="16" spans="1:80" x14ac:dyDescent="0.3">
      <c r="A16" t="s">
        <v>84</v>
      </c>
      <c r="B16" t="s">
        <v>451</v>
      </c>
      <c r="C16" t="s">
        <v>452</v>
      </c>
      <c r="D16" s="18" t="s">
        <v>453</v>
      </c>
      <c r="E16" t="s">
        <v>454</v>
      </c>
      <c r="F16" t="s">
        <v>455</v>
      </c>
      <c r="G16" t="s">
        <v>456</v>
      </c>
      <c r="H16" s="18" t="s">
        <v>457</v>
      </c>
      <c r="I16" t="s">
        <v>458</v>
      </c>
      <c r="J16" t="s">
        <v>459</v>
      </c>
      <c r="K16" t="s">
        <v>460</v>
      </c>
      <c r="L16" t="s">
        <v>461</v>
      </c>
      <c r="M16" t="s">
        <v>462</v>
      </c>
      <c r="N16" t="s">
        <v>463</v>
      </c>
      <c r="O16" t="s">
        <v>377</v>
      </c>
      <c r="P16" t="s">
        <v>464</v>
      </c>
      <c r="Q16" t="s">
        <v>465</v>
      </c>
      <c r="R16" t="s">
        <v>466</v>
      </c>
      <c r="S16" t="s">
        <v>467</v>
      </c>
      <c r="T16" t="s">
        <v>468</v>
      </c>
      <c r="U16" t="s">
        <v>469</v>
      </c>
      <c r="V16" t="s">
        <v>470</v>
      </c>
      <c r="W16" t="s">
        <v>471</v>
      </c>
      <c r="X16" t="s">
        <v>472</v>
      </c>
      <c r="Y16" t="s">
        <v>473</v>
      </c>
      <c r="Z16" t="s">
        <v>474</v>
      </c>
      <c r="AA16" t="s">
        <v>475</v>
      </c>
      <c r="AB16" t="s">
        <v>476</v>
      </c>
      <c r="AC16" t="s">
        <v>477</v>
      </c>
      <c r="AD16" t="s">
        <v>478</v>
      </c>
      <c r="AE16" t="s">
        <v>479</v>
      </c>
      <c r="AF16" s="2" t="s">
        <v>480</v>
      </c>
      <c r="AG16" t="s">
        <v>481</v>
      </c>
      <c r="AH16" t="s">
        <v>482</v>
      </c>
      <c r="AI16" t="s">
        <v>483</v>
      </c>
      <c r="AJ16" t="s">
        <v>484</v>
      </c>
      <c r="AK16" t="s">
        <v>485</v>
      </c>
      <c r="AL16" t="s">
        <v>486</v>
      </c>
      <c r="AM16" t="s">
        <v>487</v>
      </c>
      <c r="AN16" t="s">
        <v>488</v>
      </c>
      <c r="AO16" t="s">
        <v>489</v>
      </c>
      <c r="AP16" t="s">
        <v>490</v>
      </c>
      <c r="AQ16" t="s">
        <v>491</v>
      </c>
      <c r="AR16" t="s">
        <v>492</v>
      </c>
      <c r="AS16" t="s">
        <v>493</v>
      </c>
      <c r="AT16" t="s">
        <v>494</v>
      </c>
      <c r="AU16" t="s">
        <v>495</v>
      </c>
      <c r="AV16" t="s">
        <v>496</v>
      </c>
      <c r="AW16" t="s">
        <v>497</v>
      </c>
      <c r="AX16" t="s">
        <v>498</v>
      </c>
      <c r="AY16" t="s">
        <v>499</v>
      </c>
      <c r="AZ16" t="s">
        <v>500</v>
      </c>
      <c r="BA16" t="s">
        <v>216</v>
      </c>
      <c r="BB16" t="s">
        <v>501</v>
      </c>
      <c r="BC16" t="s">
        <v>502</v>
      </c>
      <c r="BD16" s="19" t="s">
        <v>503</v>
      </c>
      <c r="BE16" t="s">
        <v>504</v>
      </c>
      <c r="BF16" t="s">
        <v>505</v>
      </c>
      <c r="BG16" t="s">
        <v>506</v>
      </c>
      <c r="BI16" t="s">
        <v>507</v>
      </c>
      <c r="BJ16" t="s">
        <v>508</v>
      </c>
      <c r="BK16" t="s">
        <v>509</v>
      </c>
      <c r="BL16" t="s">
        <v>510</v>
      </c>
      <c r="BM16" t="s">
        <v>511</v>
      </c>
      <c r="BN16" t="s">
        <v>512</v>
      </c>
      <c r="BO16" t="s">
        <v>513</v>
      </c>
      <c r="BP16" t="s">
        <v>514</v>
      </c>
      <c r="BQ16" t="s">
        <v>515</v>
      </c>
      <c r="BR16" s="20" t="s">
        <v>139</v>
      </c>
      <c r="BS16" t="s">
        <v>516</v>
      </c>
      <c r="BT16" s="20" t="s">
        <v>517</v>
      </c>
      <c r="BU16" t="s">
        <v>518</v>
      </c>
      <c r="BV16" t="s">
        <v>519</v>
      </c>
      <c r="BW16" t="s">
        <v>520</v>
      </c>
      <c r="BX16" t="s">
        <v>521</v>
      </c>
      <c r="BY16" t="s">
        <v>522</v>
      </c>
      <c r="BZ16" t="s">
        <v>366</v>
      </c>
      <c r="CA16" t="s">
        <v>523</v>
      </c>
      <c r="CB16" t="s">
        <v>524</v>
      </c>
    </row>
    <row r="17" spans="1:80" x14ac:dyDescent="0.3">
      <c r="A17" t="s">
        <v>102</v>
      </c>
      <c r="B17" t="s">
        <v>525</v>
      </c>
      <c r="C17" t="s">
        <v>526</v>
      </c>
      <c r="D17" s="18" t="s">
        <v>527</v>
      </c>
      <c r="E17" t="s">
        <v>528</v>
      </c>
      <c r="F17" t="s">
        <v>529</v>
      </c>
      <c r="G17" t="s">
        <v>145</v>
      </c>
      <c r="H17" s="18" t="s">
        <v>530</v>
      </c>
      <c r="I17" t="s">
        <v>377</v>
      </c>
      <c r="J17" t="s">
        <v>531</v>
      </c>
      <c r="K17" t="s">
        <v>532</v>
      </c>
      <c r="L17" t="s">
        <v>533</v>
      </c>
      <c r="M17" t="s">
        <v>534</v>
      </c>
      <c r="N17" t="s">
        <v>535</v>
      </c>
      <c r="O17" t="s">
        <v>536</v>
      </c>
      <c r="P17" t="s">
        <v>537</v>
      </c>
      <c r="Q17" t="s">
        <v>538</v>
      </c>
      <c r="R17" t="s">
        <v>539</v>
      </c>
      <c r="S17" t="s">
        <v>540</v>
      </c>
      <c r="T17" t="s">
        <v>541</v>
      </c>
      <c r="U17" t="s">
        <v>542</v>
      </c>
      <c r="V17" t="s">
        <v>482</v>
      </c>
      <c r="W17" t="s">
        <v>543</v>
      </c>
      <c r="X17" t="s">
        <v>544</v>
      </c>
      <c r="Y17" t="s">
        <v>545</v>
      </c>
      <c r="Z17" t="s">
        <v>546</v>
      </c>
      <c r="AA17" t="s">
        <v>547</v>
      </c>
      <c r="AB17" t="s">
        <v>548</v>
      </c>
      <c r="AC17" t="s">
        <v>549</v>
      </c>
      <c r="AD17" t="s">
        <v>550</v>
      </c>
      <c r="AE17" t="s">
        <v>551</v>
      </c>
      <c r="AF17" s="2" t="s">
        <v>552</v>
      </c>
      <c r="AG17" t="s">
        <v>553</v>
      </c>
      <c r="AH17" t="s">
        <v>554</v>
      </c>
      <c r="AI17" t="s">
        <v>555</v>
      </c>
      <c r="AJ17" t="s">
        <v>556</v>
      </c>
      <c r="AK17" t="s">
        <v>557</v>
      </c>
      <c r="AL17" t="s">
        <v>558</v>
      </c>
      <c r="AM17" t="s">
        <v>559</v>
      </c>
      <c r="AN17" t="s">
        <v>560</v>
      </c>
      <c r="AO17" t="s">
        <v>561</v>
      </c>
      <c r="AP17" t="s">
        <v>562</v>
      </c>
      <c r="AQ17" t="s">
        <v>563</v>
      </c>
      <c r="AR17" t="s">
        <v>564</v>
      </c>
      <c r="AT17" t="s">
        <v>565</v>
      </c>
      <c r="AU17" t="s">
        <v>566</v>
      </c>
      <c r="AV17" t="s">
        <v>120</v>
      </c>
      <c r="AW17" t="s">
        <v>567</v>
      </c>
      <c r="AX17" t="s">
        <v>568</v>
      </c>
      <c r="AY17" t="s">
        <v>569</v>
      </c>
      <c r="AZ17" t="s">
        <v>340</v>
      </c>
      <c r="BA17" t="s">
        <v>570</v>
      </c>
      <c r="BB17" t="s">
        <v>571</v>
      </c>
      <c r="BC17" t="s">
        <v>572</v>
      </c>
      <c r="BD17" s="19" t="s">
        <v>573</v>
      </c>
      <c r="BE17" t="s">
        <v>574</v>
      </c>
      <c r="BF17" t="s">
        <v>575</v>
      </c>
      <c r="BG17" t="s">
        <v>576</v>
      </c>
      <c r="BI17" t="s">
        <v>577</v>
      </c>
      <c r="BK17" t="s">
        <v>578</v>
      </c>
      <c r="BL17" t="s">
        <v>579</v>
      </c>
      <c r="BM17" t="s">
        <v>580</v>
      </c>
      <c r="BN17" t="s">
        <v>581</v>
      </c>
      <c r="BO17" t="s">
        <v>479</v>
      </c>
      <c r="BP17" t="s">
        <v>582</v>
      </c>
      <c r="BQ17" t="s">
        <v>583</v>
      </c>
      <c r="BS17" t="s">
        <v>366</v>
      </c>
      <c r="BT17" s="20" t="s">
        <v>584</v>
      </c>
      <c r="BU17" t="s">
        <v>585</v>
      </c>
      <c r="BV17" t="s">
        <v>586</v>
      </c>
      <c r="BW17" t="s">
        <v>587</v>
      </c>
      <c r="BX17" t="s">
        <v>588</v>
      </c>
      <c r="BY17" t="s">
        <v>589</v>
      </c>
      <c r="BZ17" t="s">
        <v>590</v>
      </c>
      <c r="CA17" t="s">
        <v>591</v>
      </c>
      <c r="CB17" t="s">
        <v>592</v>
      </c>
    </row>
    <row r="18" spans="1:80" x14ac:dyDescent="0.3">
      <c r="A18" t="s">
        <v>95</v>
      </c>
      <c r="B18" t="s">
        <v>593</v>
      </c>
      <c r="C18" t="s">
        <v>569</v>
      </c>
      <c r="D18" s="18" t="s">
        <v>594</v>
      </c>
      <c r="E18" t="s">
        <v>595</v>
      </c>
      <c r="F18" t="s">
        <v>596</v>
      </c>
      <c r="G18" t="s">
        <v>597</v>
      </c>
      <c r="H18" s="18" t="s">
        <v>598</v>
      </c>
      <c r="I18" t="s">
        <v>599</v>
      </c>
      <c r="J18" t="s">
        <v>600</v>
      </c>
      <c r="K18" t="s">
        <v>601</v>
      </c>
      <c r="L18" t="s">
        <v>602</v>
      </c>
      <c r="N18" t="s">
        <v>603</v>
      </c>
      <c r="O18" t="s">
        <v>604</v>
      </c>
      <c r="P18" t="s">
        <v>605</v>
      </c>
      <c r="R18" t="s">
        <v>606</v>
      </c>
      <c r="S18" t="s">
        <v>607</v>
      </c>
      <c r="T18" t="s">
        <v>608</v>
      </c>
      <c r="U18" t="s">
        <v>609</v>
      </c>
      <c r="V18" t="s">
        <v>610</v>
      </c>
      <c r="W18" t="s">
        <v>611</v>
      </c>
      <c r="X18" t="s">
        <v>612</v>
      </c>
      <c r="Y18" t="s">
        <v>613</v>
      </c>
      <c r="Z18" t="s">
        <v>614</v>
      </c>
      <c r="AA18" t="s">
        <v>615</v>
      </c>
      <c r="AB18" t="s">
        <v>326</v>
      </c>
      <c r="AC18" t="s">
        <v>616</v>
      </c>
      <c r="AE18" t="s">
        <v>617</v>
      </c>
      <c r="AF18" s="2" t="s">
        <v>618</v>
      </c>
      <c r="AG18" t="s">
        <v>619</v>
      </c>
      <c r="AH18" t="s">
        <v>620</v>
      </c>
      <c r="AI18" t="s">
        <v>621</v>
      </c>
      <c r="AJ18" t="s">
        <v>622</v>
      </c>
      <c r="AK18" t="s">
        <v>623</v>
      </c>
      <c r="AL18" t="s">
        <v>624</v>
      </c>
      <c r="AM18" t="s">
        <v>625</v>
      </c>
      <c r="AN18" t="s">
        <v>626</v>
      </c>
      <c r="AO18" t="s">
        <v>627</v>
      </c>
      <c r="AP18" t="s">
        <v>628</v>
      </c>
      <c r="AQ18" t="s">
        <v>629</v>
      </c>
      <c r="AR18" t="s">
        <v>630</v>
      </c>
      <c r="AT18" t="s">
        <v>631</v>
      </c>
      <c r="AU18" t="s">
        <v>632</v>
      </c>
      <c r="AW18" t="s">
        <v>412</v>
      </c>
      <c r="AX18" t="s">
        <v>633</v>
      </c>
      <c r="AY18" t="s">
        <v>634</v>
      </c>
      <c r="AZ18" t="s">
        <v>635</v>
      </c>
      <c r="BA18" t="s">
        <v>636</v>
      </c>
      <c r="BB18" t="s">
        <v>637</v>
      </c>
      <c r="BC18" t="s">
        <v>638</v>
      </c>
      <c r="BD18" s="19" t="s">
        <v>639</v>
      </c>
      <c r="BE18" t="s">
        <v>640</v>
      </c>
      <c r="BF18" t="s">
        <v>641</v>
      </c>
      <c r="BG18" t="s">
        <v>642</v>
      </c>
      <c r="BI18" t="s">
        <v>643</v>
      </c>
      <c r="BK18" t="s">
        <v>644</v>
      </c>
      <c r="BL18" t="s">
        <v>645</v>
      </c>
      <c r="BM18" t="s">
        <v>646</v>
      </c>
      <c r="BN18" t="s">
        <v>647</v>
      </c>
      <c r="BO18" t="s">
        <v>648</v>
      </c>
      <c r="BP18" t="s">
        <v>649</v>
      </c>
      <c r="BQ18" t="s">
        <v>650</v>
      </c>
      <c r="BS18" t="s">
        <v>651</v>
      </c>
      <c r="BT18" s="20" t="s">
        <v>652</v>
      </c>
      <c r="BU18" t="s">
        <v>653</v>
      </c>
      <c r="BV18" t="s">
        <v>654</v>
      </c>
      <c r="BW18" t="s">
        <v>655</v>
      </c>
      <c r="BX18" t="s">
        <v>656</v>
      </c>
      <c r="BY18" t="s">
        <v>657</v>
      </c>
      <c r="BZ18" t="s">
        <v>658</v>
      </c>
      <c r="CA18" t="s">
        <v>659</v>
      </c>
      <c r="CB18" t="s">
        <v>660</v>
      </c>
    </row>
    <row r="19" spans="1:80" x14ac:dyDescent="0.3">
      <c r="A19" t="s">
        <v>81</v>
      </c>
      <c r="B19" t="s">
        <v>661</v>
      </c>
      <c r="C19" t="s">
        <v>446</v>
      </c>
      <c r="E19" t="s">
        <v>662</v>
      </c>
      <c r="F19" t="s">
        <v>663</v>
      </c>
      <c r="G19" t="s">
        <v>664</v>
      </c>
      <c r="H19" s="18" t="s">
        <v>665</v>
      </c>
      <c r="I19" t="s">
        <v>666</v>
      </c>
      <c r="J19" t="s">
        <v>667</v>
      </c>
      <c r="K19" t="s">
        <v>668</v>
      </c>
      <c r="L19" t="s">
        <v>669</v>
      </c>
      <c r="N19" t="s">
        <v>670</v>
      </c>
      <c r="O19" t="s">
        <v>671</v>
      </c>
      <c r="P19" t="s">
        <v>672</v>
      </c>
      <c r="R19" t="s">
        <v>673</v>
      </c>
      <c r="S19" t="s">
        <v>674</v>
      </c>
      <c r="T19" t="s">
        <v>675</v>
      </c>
      <c r="U19" t="s">
        <v>676</v>
      </c>
      <c r="V19" t="s">
        <v>446</v>
      </c>
      <c r="W19" t="s">
        <v>677</v>
      </c>
      <c r="X19" t="s">
        <v>678</v>
      </c>
      <c r="Y19" t="s">
        <v>679</v>
      </c>
      <c r="Z19" t="s">
        <v>680</v>
      </c>
      <c r="AA19" t="s">
        <v>681</v>
      </c>
      <c r="AB19" t="s">
        <v>682</v>
      </c>
      <c r="AC19" t="s">
        <v>673</v>
      </c>
      <c r="AE19" t="s">
        <v>145</v>
      </c>
      <c r="AF19" s="2" t="s">
        <v>683</v>
      </c>
      <c r="AG19" t="s">
        <v>684</v>
      </c>
      <c r="AH19" t="s">
        <v>685</v>
      </c>
      <c r="AI19" t="s">
        <v>686</v>
      </c>
      <c r="AJ19" t="s">
        <v>687</v>
      </c>
      <c r="AK19" t="s">
        <v>688</v>
      </c>
      <c r="AL19" t="s">
        <v>689</v>
      </c>
      <c r="AM19" t="s">
        <v>690</v>
      </c>
      <c r="AN19" t="s">
        <v>691</v>
      </c>
      <c r="AO19" t="s">
        <v>692</v>
      </c>
      <c r="AP19" t="s">
        <v>693</v>
      </c>
      <c r="AQ19" t="s">
        <v>694</v>
      </c>
      <c r="AR19" t="s">
        <v>695</v>
      </c>
      <c r="AT19" t="s">
        <v>696</v>
      </c>
      <c r="AU19" t="s">
        <v>697</v>
      </c>
      <c r="AW19" t="s">
        <v>698</v>
      </c>
      <c r="AX19" t="s">
        <v>699</v>
      </c>
      <c r="AY19" t="s">
        <v>700</v>
      </c>
      <c r="AZ19" t="s">
        <v>701</v>
      </c>
      <c r="BA19" t="s">
        <v>702</v>
      </c>
      <c r="BB19" t="s">
        <v>703</v>
      </c>
      <c r="BC19" t="s">
        <v>704</v>
      </c>
      <c r="BD19" s="19" t="s">
        <v>705</v>
      </c>
      <c r="BE19" t="s">
        <v>706</v>
      </c>
      <c r="BF19" t="s">
        <v>707</v>
      </c>
      <c r="BG19" t="s">
        <v>708</v>
      </c>
      <c r="BI19" t="s">
        <v>709</v>
      </c>
      <c r="BK19" t="s">
        <v>710</v>
      </c>
      <c r="BL19" t="s">
        <v>711</v>
      </c>
      <c r="BM19" t="s">
        <v>690</v>
      </c>
      <c r="BN19" t="s">
        <v>712</v>
      </c>
      <c r="BO19" t="s">
        <v>713</v>
      </c>
      <c r="BP19" t="s">
        <v>714</v>
      </c>
      <c r="BQ19" t="s">
        <v>715</v>
      </c>
      <c r="BS19" t="s">
        <v>716</v>
      </c>
      <c r="BT19" s="20" t="s">
        <v>717</v>
      </c>
      <c r="BU19" t="s">
        <v>718</v>
      </c>
      <c r="BW19" t="s">
        <v>719</v>
      </c>
      <c r="BX19" t="s">
        <v>720</v>
      </c>
      <c r="BY19" t="s">
        <v>721</v>
      </c>
      <c r="BZ19" t="s">
        <v>722</v>
      </c>
      <c r="CB19" t="s">
        <v>723</v>
      </c>
    </row>
    <row r="20" spans="1:80" x14ac:dyDescent="0.3">
      <c r="A20" t="s">
        <v>75</v>
      </c>
      <c r="B20" t="s">
        <v>724</v>
      </c>
      <c r="C20" t="s">
        <v>725</v>
      </c>
      <c r="E20" t="s">
        <v>726</v>
      </c>
      <c r="F20" t="s">
        <v>727</v>
      </c>
      <c r="H20" s="18" t="s">
        <v>728</v>
      </c>
      <c r="I20" t="s">
        <v>729</v>
      </c>
      <c r="J20" t="s">
        <v>730</v>
      </c>
      <c r="K20" t="s">
        <v>731</v>
      </c>
      <c r="L20" t="s">
        <v>732</v>
      </c>
      <c r="N20" t="s">
        <v>733</v>
      </c>
      <c r="O20" t="s">
        <v>734</v>
      </c>
      <c r="P20" t="s">
        <v>735</v>
      </c>
      <c r="R20" t="s">
        <v>736</v>
      </c>
      <c r="S20" t="s">
        <v>737</v>
      </c>
      <c r="T20" t="s">
        <v>738</v>
      </c>
      <c r="U20" t="s">
        <v>739</v>
      </c>
      <c r="V20" t="s">
        <v>740</v>
      </c>
      <c r="W20" t="s">
        <v>741</v>
      </c>
      <c r="Y20" t="s">
        <v>742</v>
      </c>
      <c r="Z20" t="s">
        <v>743</v>
      </c>
      <c r="AA20" t="s">
        <v>744</v>
      </c>
      <c r="AB20" t="s">
        <v>745</v>
      </c>
      <c r="AC20" t="s">
        <v>746</v>
      </c>
      <c r="AE20" t="s">
        <v>747</v>
      </c>
      <c r="AF20" s="2" t="s">
        <v>748</v>
      </c>
      <c r="AG20" t="s">
        <v>749</v>
      </c>
      <c r="AH20" t="s">
        <v>750</v>
      </c>
      <c r="AI20" t="s">
        <v>751</v>
      </c>
      <c r="AJ20" t="s">
        <v>752</v>
      </c>
      <c r="AK20" t="s">
        <v>753</v>
      </c>
      <c r="AL20" t="s">
        <v>754</v>
      </c>
      <c r="AM20" t="s">
        <v>755</v>
      </c>
      <c r="AN20" t="s">
        <v>756</v>
      </c>
      <c r="AO20" t="s">
        <v>757</v>
      </c>
      <c r="AP20" t="s">
        <v>758</v>
      </c>
      <c r="AQ20" t="s">
        <v>759</v>
      </c>
      <c r="AR20" t="s">
        <v>760</v>
      </c>
      <c r="AT20" t="s">
        <v>761</v>
      </c>
      <c r="AU20" t="s">
        <v>762</v>
      </c>
      <c r="AW20" t="s">
        <v>763</v>
      </c>
      <c r="AX20" t="s">
        <v>764</v>
      </c>
      <c r="AY20" t="s">
        <v>765</v>
      </c>
      <c r="AZ20" t="s">
        <v>766</v>
      </c>
      <c r="BA20" t="s">
        <v>767</v>
      </c>
      <c r="BB20" t="s">
        <v>768</v>
      </c>
      <c r="BC20" t="s">
        <v>769</v>
      </c>
      <c r="BE20" t="s">
        <v>770</v>
      </c>
      <c r="BF20" t="s">
        <v>771</v>
      </c>
      <c r="BG20" t="s">
        <v>772</v>
      </c>
      <c r="BI20" t="s">
        <v>773</v>
      </c>
      <c r="BK20" t="s">
        <v>774</v>
      </c>
      <c r="BL20" t="s">
        <v>482</v>
      </c>
      <c r="BM20" t="s">
        <v>775</v>
      </c>
      <c r="BN20" t="s">
        <v>776</v>
      </c>
      <c r="BO20" t="s">
        <v>777</v>
      </c>
      <c r="BP20" t="s">
        <v>778</v>
      </c>
      <c r="BQ20" t="s">
        <v>779</v>
      </c>
      <c r="BS20" t="s">
        <v>780</v>
      </c>
      <c r="BT20" s="20" t="s">
        <v>781</v>
      </c>
      <c r="BU20" t="s">
        <v>782</v>
      </c>
      <c r="BW20" t="s">
        <v>783</v>
      </c>
      <c r="BX20" t="s">
        <v>678</v>
      </c>
      <c r="BY20" t="s">
        <v>784</v>
      </c>
      <c r="BZ20" t="s">
        <v>785</v>
      </c>
      <c r="CB20" t="s">
        <v>786</v>
      </c>
    </row>
    <row r="21" spans="1:80" x14ac:dyDescent="0.3">
      <c r="A21" t="s">
        <v>98</v>
      </c>
      <c r="B21" t="s">
        <v>787</v>
      </c>
      <c r="C21" t="s">
        <v>788</v>
      </c>
      <c r="E21" t="s">
        <v>789</v>
      </c>
      <c r="F21" t="s">
        <v>790</v>
      </c>
      <c r="H21" s="18" t="s">
        <v>791</v>
      </c>
      <c r="I21" t="s">
        <v>792</v>
      </c>
      <c r="J21" t="s">
        <v>793</v>
      </c>
      <c r="K21" t="s">
        <v>542</v>
      </c>
      <c r="L21" t="s">
        <v>794</v>
      </c>
      <c r="N21" t="s">
        <v>795</v>
      </c>
      <c r="O21" t="s">
        <v>796</v>
      </c>
      <c r="P21" t="s">
        <v>797</v>
      </c>
      <c r="R21" t="s">
        <v>798</v>
      </c>
      <c r="S21" t="s">
        <v>799</v>
      </c>
      <c r="T21" t="s">
        <v>800</v>
      </c>
      <c r="U21" t="s">
        <v>801</v>
      </c>
      <c r="V21" t="s">
        <v>802</v>
      </c>
      <c r="W21" t="s">
        <v>803</v>
      </c>
      <c r="Y21" t="s">
        <v>804</v>
      </c>
      <c r="Z21" t="s">
        <v>805</v>
      </c>
      <c r="AA21" t="s">
        <v>806</v>
      </c>
      <c r="AB21" t="s">
        <v>807</v>
      </c>
      <c r="AC21" t="s">
        <v>808</v>
      </c>
      <c r="AE21" t="s">
        <v>591</v>
      </c>
      <c r="AF21" s="2" t="s">
        <v>809</v>
      </c>
      <c r="AG21" t="s">
        <v>810</v>
      </c>
      <c r="AH21" t="s">
        <v>811</v>
      </c>
      <c r="AI21" t="s">
        <v>812</v>
      </c>
      <c r="AJ21" t="s">
        <v>813</v>
      </c>
      <c r="AK21" t="s">
        <v>814</v>
      </c>
      <c r="AL21" t="s">
        <v>815</v>
      </c>
      <c r="AM21" t="s">
        <v>376</v>
      </c>
      <c r="AN21" t="s">
        <v>816</v>
      </c>
      <c r="AO21" t="s">
        <v>817</v>
      </c>
      <c r="AP21" t="s">
        <v>818</v>
      </c>
      <c r="AQ21" t="s">
        <v>819</v>
      </c>
      <c r="AR21" t="s">
        <v>820</v>
      </c>
      <c r="AT21" t="s">
        <v>821</v>
      </c>
      <c r="AU21" t="s">
        <v>822</v>
      </c>
      <c r="AW21" t="s">
        <v>202</v>
      </c>
      <c r="AX21" t="s">
        <v>823</v>
      </c>
      <c r="AY21" t="s">
        <v>824</v>
      </c>
      <c r="AZ21" t="s">
        <v>825</v>
      </c>
      <c r="BA21" t="s">
        <v>826</v>
      </c>
      <c r="BB21" t="s">
        <v>827</v>
      </c>
      <c r="BC21" t="s">
        <v>828</v>
      </c>
      <c r="BE21" t="s">
        <v>829</v>
      </c>
      <c r="BF21" t="s">
        <v>830</v>
      </c>
      <c r="BG21" t="s">
        <v>831</v>
      </c>
      <c r="BI21" t="s">
        <v>832</v>
      </c>
      <c r="BK21" t="s">
        <v>479</v>
      </c>
      <c r="BL21" t="s">
        <v>833</v>
      </c>
      <c r="BM21" t="s">
        <v>834</v>
      </c>
      <c r="BN21" t="s">
        <v>835</v>
      </c>
      <c r="BO21" t="s">
        <v>478</v>
      </c>
      <c r="BP21" t="s">
        <v>836</v>
      </c>
      <c r="BQ21" t="s">
        <v>837</v>
      </c>
      <c r="BS21" t="s">
        <v>838</v>
      </c>
      <c r="BT21" s="20" t="s">
        <v>839</v>
      </c>
      <c r="BU21" t="s">
        <v>840</v>
      </c>
      <c r="BW21" t="s">
        <v>841</v>
      </c>
      <c r="BX21" t="s">
        <v>842</v>
      </c>
      <c r="BY21" t="s">
        <v>843</v>
      </c>
      <c r="BZ21" t="s">
        <v>844</v>
      </c>
      <c r="CB21" t="s">
        <v>845</v>
      </c>
    </row>
    <row r="22" spans="1:80" x14ac:dyDescent="0.3">
      <c r="A22" t="s">
        <v>80</v>
      </c>
      <c r="B22" t="s">
        <v>846</v>
      </c>
      <c r="C22" t="s">
        <v>847</v>
      </c>
      <c r="E22" t="s">
        <v>848</v>
      </c>
      <c r="F22" t="s">
        <v>849</v>
      </c>
      <c r="I22" t="s">
        <v>850</v>
      </c>
      <c r="J22" t="s">
        <v>851</v>
      </c>
      <c r="K22" t="s">
        <v>453</v>
      </c>
      <c r="L22" t="s">
        <v>852</v>
      </c>
      <c r="N22" t="s">
        <v>690</v>
      </c>
      <c r="O22" t="s">
        <v>853</v>
      </c>
      <c r="P22" t="s">
        <v>854</v>
      </c>
      <c r="R22" t="s">
        <v>855</v>
      </c>
      <c r="S22" t="s">
        <v>856</v>
      </c>
      <c r="T22" t="s">
        <v>857</v>
      </c>
      <c r="U22" t="s">
        <v>858</v>
      </c>
      <c r="V22" t="s">
        <v>859</v>
      </c>
      <c r="W22" t="s">
        <v>860</v>
      </c>
      <c r="Y22" t="s">
        <v>861</v>
      </c>
      <c r="Z22" t="s">
        <v>862</v>
      </c>
      <c r="AA22" t="s">
        <v>863</v>
      </c>
      <c r="AB22" t="s">
        <v>569</v>
      </c>
      <c r="AC22" t="s">
        <v>864</v>
      </c>
      <c r="AE22" t="s">
        <v>478</v>
      </c>
      <c r="AF22" s="2" t="s">
        <v>865</v>
      </c>
      <c r="AG22" t="s">
        <v>866</v>
      </c>
      <c r="AH22" t="s">
        <v>146</v>
      </c>
      <c r="AI22" t="s">
        <v>867</v>
      </c>
      <c r="AJ22" t="s">
        <v>868</v>
      </c>
      <c r="AK22" t="s">
        <v>869</v>
      </c>
      <c r="AL22" t="s">
        <v>870</v>
      </c>
      <c r="AM22" t="s">
        <v>871</v>
      </c>
      <c r="AN22" t="s">
        <v>719</v>
      </c>
      <c r="AO22" t="s">
        <v>872</v>
      </c>
      <c r="AP22" t="s">
        <v>558</v>
      </c>
      <c r="AQ22" t="s">
        <v>873</v>
      </c>
      <c r="AR22" t="s">
        <v>604</v>
      </c>
      <c r="AT22" t="s">
        <v>874</v>
      </c>
      <c r="AU22" t="s">
        <v>875</v>
      </c>
      <c r="AW22" t="s">
        <v>876</v>
      </c>
      <c r="AX22" t="s">
        <v>877</v>
      </c>
      <c r="AY22" t="s">
        <v>878</v>
      </c>
      <c r="AZ22" t="s">
        <v>879</v>
      </c>
      <c r="BA22" t="s">
        <v>880</v>
      </c>
      <c r="BB22" t="s">
        <v>881</v>
      </c>
      <c r="BC22" t="s">
        <v>882</v>
      </c>
      <c r="BE22" t="s">
        <v>883</v>
      </c>
      <c r="BF22" t="s">
        <v>884</v>
      </c>
      <c r="BG22" t="s">
        <v>885</v>
      </c>
      <c r="BI22" t="s">
        <v>886</v>
      </c>
      <c r="BK22" t="s">
        <v>887</v>
      </c>
      <c r="BL22" t="s">
        <v>888</v>
      </c>
      <c r="BM22" t="s">
        <v>889</v>
      </c>
      <c r="BN22" t="s">
        <v>890</v>
      </c>
      <c r="BO22" t="s">
        <v>891</v>
      </c>
      <c r="BP22" t="s">
        <v>892</v>
      </c>
      <c r="BQ22" t="s">
        <v>893</v>
      </c>
      <c r="BS22" t="s">
        <v>894</v>
      </c>
      <c r="BT22" s="20" t="s">
        <v>895</v>
      </c>
      <c r="BU22" t="s">
        <v>896</v>
      </c>
      <c r="BW22" t="s">
        <v>897</v>
      </c>
      <c r="BX22" t="s">
        <v>898</v>
      </c>
      <c r="BY22" t="s">
        <v>899</v>
      </c>
      <c r="BZ22" t="s">
        <v>900</v>
      </c>
      <c r="CB22" t="s">
        <v>901</v>
      </c>
    </row>
    <row r="23" spans="1:80" x14ac:dyDescent="0.3">
      <c r="A23" t="s">
        <v>82</v>
      </c>
      <c r="B23" t="s">
        <v>902</v>
      </c>
      <c r="C23" t="s">
        <v>903</v>
      </c>
      <c r="E23" t="s">
        <v>904</v>
      </c>
      <c r="I23" t="s">
        <v>905</v>
      </c>
      <c r="J23" t="s">
        <v>906</v>
      </c>
      <c r="K23" t="s">
        <v>907</v>
      </c>
      <c r="L23" t="s">
        <v>908</v>
      </c>
      <c r="N23" t="s">
        <v>909</v>
      </c>
      <c r="O23" t="s">
        <v>910</v>
      </c>
      <c r="P23" t="s">
        <v>132</v>
      </c>
      <c r="R23" t="s">
        <v>911</v>
      </c>
      <c r="S23" t="s">
        <v>912</v>
      </c>
      <c r="T23" t="s">
        <v>913</v>
      </c>
      <c r="U23" t="s">
        <v>914</v>
      </c>
      <c r="V23" t="s">
        <v>915</v>
      </c>
      <c r="W23" t="s">
        <v>916</v>
      </c>
      <c r="Y23" t="s">
        <v>917</v>
      </c>
      <c r="Z23" t="s">
        <v>918</v>
      </c>
      <c r="AA23" t="s">
        <v>919</v>
      </c>
      <c r="AB23" t="s">
        <v>721</v>
      </c>
      <c r="AC23" t="s">
        <v>920</v>
      </c>
      <c r="AF23" s="2" t="s">
        <v>921</v>
      </c>
      <c r="AG23" t="s">
        <v>922</v>
      </c>
      <c r="AH23" t="s">
        <v>923</v>
      </c>
      <c r="AI23" t="s">
        <v>924</v>
      </c>
      <c r="AJ23" t="s">
        <v>925</v>
      </c>
      <c r="AK23" t="s">
        <v>926</v>
      </c>
      <c r="AM23" t="s">
        <v>927</v>
      </c>
      <c r="AN23" t="s">
        <v>928</v>
      </c>
      <c r="AO23" t="s">
        <v>929</v>
      </c>
      <c r="AP23" t="s">
        <v>930</v>
      </c>
      <c r="AQ23" t="s">
        <v>855</v>
      </c>
      <c r="AR23" t="s">
        <v>931</v>
      </c>
      <c r="AT23" t="s">
        <v>932</v>
      </c>
      <c r="AU23" t="s">
        <v>933</v>
      </c>
      <c r="AW23" t="s">
        <v>934</v>
      </c>
      <c r="AX23" t="s">
        <v>935</v>
      </c>
      <c r="AY23" t="s">
        <v>936</v>
      </c>
      <c r="AZ23" t="s">
        <v>937</v>
      </c>
      <c r="BA23" t="s">
        <v>938</v>
      </c>
      <c r="BB23" t="s">
        <v>939</v>
      </c>
      <c r="BC23" t="s">
        <v>940</v>
      </c>
      <c r="BE23" t="s">
        <v>941</v>
      </c>
      <c r="BF23" t="s">
        <v>942</v>
      </c>
      <c r="BG23" t="s">
        <v>943</v>
      </c>
      <c r="BI23" t="s">
        <v>944</v>
      </c>
      <c r="BK23" t="s">
        <v>945</v>
      </c>
      <c r="BL23" t="s">
        <v>946</v>
      </c>
      <c r="BM23" t="s">
        <v>947</v>
      </c>
      <c r="BS23" t="s">
        <v>948</v>
      </c>
      <c r="BT23" s="20" t="s">
        <v>949</v>
      </c>
      <c r="BU23" t="s">
        <v>950</v>
      </c>
      <c r="BW23" t="s">
        <v>951</v>
      </c>
      <c r="BX23" t="s">
        <v>952</v>
      </c>
      <c r="BY23" t="s">
        <v>855</v>
      </c>
      <c r="BZ23" t="s">
        <v>953</v>
      </c>
      <c r="CB23" t="s">
        <v>954</v>
      </c>
    </row>
    <row r="24" spans="1:80" x14ac:dyDescent="0.3">
      <c r="A24" t="s">
        <v>112</v>
      </c>
      <c r="B24" t="s">
        <v>955</v>
      </c>
      <c r="C24" t="s">
        <v>956</v>
      </c>
      <c r="E24" t="s">
        <v>957</v>
      </c>
      <c r="I24" t="s">
        <v>958</v>
      </c>
      <c r="J24" t="s">
        <v>959</v>
      </c>
      <c r="K24" t="s">
        <v>960</v>
      </c>
      <c r="L24" t="s">
        <v>961</v>
      </c>
      <c r="N24" t="s">
        <v>962</v>
      </c>
      <c r="O24" t="s">
        <v>963</v>
      </c>
      <c r="P24" t="s">
        <v>964</v>
      </c>
      <c r="S24" t="s">
        <v>438</v>
      </c>
      <c r="T24" t="s">
        <v>965</v>
      </c>
      <c r="U24" t="s">
        <v>966</v>
      </c>
      <c r="V24" t="s">
        <v>967</v>
      </c>
      <c r="W24" t="s">
        <v>478</v>
      </c>
      <c r="Y24" t="s">
        <v>968</v>
      </c>
      <c r="Z24" t="s">
        <v>969</v>
      </c>
      <c r="AA24" t="s">
        <v>970</v>
      </c>
      <c r="AB24" t="s">
        <v>971</v>
      </c>
      <c r="AC24" t="s">
        <v>972</v>
      </c>
      <c r="AF24" s="2" t="s">
        <v>973</v>
      </c>
      <c r="AG24" t="s">
        <v>974</v>
      </c>
      <c r="AH24" t="s">
        <v>689</v>
      </c>
      <c r="AI24" t="s">
        <v>975</v>
      </c>
      <c r="AK24" t="s">
        <v>976</v>
      </c>
      <c r="AM24" t="s">
        <v>977</v>
      </c>
      <c r="AN24" t="s">
        <v>855</v>
      </c>
      <c r="AO24" t="s">
        <v>867</v>
      </c>
      <c r="AP24" t="s">
        <v>591</v>
      </c>
      <c r="AQ24" t="s">
        <v>978</v>
      </c>
      <c r="AR24" t="s">
        <v>979</v>
      </c>
      <c r="AT24" t="s">
        <v>980</v>
      </c>
      <c r="AU24" t="s">
        <v>981</v>
      </c>
      <c r="AW24" t="s">
        <v>366</v>
      </c>
      <c r="AX24" t="s">
        <v>982</v>
      </c>
      <c r="AY24" t="s">
        <v>983</v>
      </c>
      <c r="AZ24" t="s">
        <v>984</v>
      </c>
      <c r="BA24" t="s">
        <v>985</v>
      </c>
      <c r="BB24" t="s">
        <v>986</v>
      </c>
      <c r="BC24" t="s">
        <v>987</v>
      </c>
      <c r="BE24" t="s">
        <v>988</v>
      </c>
      <c r="BF24" t="s">
        <v>989</v>
      </c>
      <c r="BG24" t="s">
        <v>990</v>
      </c>
      <c r="BI24" t="s">
        <v>991</v>
      </c>
      <c r="BK24" t="s">
        <v>992</v>
      </c>
      <c r="BL24" t="s">
        <v>993</v>
      </c>
      <c r="BM24" t="s">
        <v>994</v>
      </c>
      <c r="BS24" t="s">
        <v>995</v>
      </c>
      <c r="BX24" t="s">
        <v>996</v>
      </c>
      <c r="BY24" t="s">
        <v>997</v>
      </c>
      <c r="BZ24" t="s">
        <v>998</v>
      </c>
      <c r="CB24" t="s">
        <v>999</v>
      </c>
    </row>
    <row r="25" spans="1:80" x14ac:dyDescent="0.3">
      <c r="A25" t="s">
        <v>88</v>
      </c>
      <c r="B25" t="s">
        <v>1000</v>
      </c>
      <c r="C25" t="s">
        <v>1001</v>
      </c>
      <c r="E25" t="s">
        <v>1002</v>
      </c>
      <c r="I25" t="s">
        <v>1003</v>
      </c>
      <c r="J25" t="s">
        <v>1004</v>
      </c>
      <c r="K25" t="s">
        <v>656</v>
      </c>
      <c r="L25" t="s">
        <v>1005</v>
      </c>
      <c r="N25" t="s">
        <v>1006</v>
      </c>
      <c r="O25" t="s">
        <v>1007</v>
      </c>
      <c r="P25" t="s">
        <v>1008</v>
      </c>
      <c r="S25" t="s">
        <v>1009</v>
      </c>
      <c r="T25" t="s">
        <v>1010</v>
      </c>
      <c r="U25" t="s">
        <v>1011</v>
      </c>
      <c r="V25" t="s">
        <v>1012</v>
      </c>
      <c r="W25" t="s">
        <v>1013</v>
      </c>
      <c r="Y25" t="s">
        <v>1014</v>
      </c>
      <c r="Z25" t="s">
        <v>1015</v>
      </c>
      <c r="AA25" t="s">
        <v>1016</v>
      </c>
      <c r="AB25" t="s">
        <v>1017</v>
      </c>
      <c r="AC25" t="s">
        <v>1018</v>
      </c>
      <c r="AF25" s="2" t="s">
        <v>1019</v>
      </c>
      <c r="AG25" t="s">
        <v>1020</v>
      </c>
      <c r="AH25" t="s">
        <v>1021</v>
      </c>
      <c r="AI25" t="s">
        <v>1022</v>
      </c>
      <c r="AK25" t="s">
        <v>1023</v>
      </c>
      <c r="AM25" t="s">
        <v>1024</v>
      </c>
      <c r="AN25" t="s">
        <v>1025</v>
      </c>
      <c r="AO25" t="s">
        <v>1026</v>
      </c>
      <c r="AP25" t="s">
        <v>1027</v>
      </c>
      <c r="AQ25" t="s">
        <v>1028</v>
      </c>
      <c r="AR25" t="s">
        <v>1029</v>
      </c>
      <c r="AT25" t="s">
        <v>1030</v>
      </c>
      <c r="AU25" t="s">
        <v>770</v>
      </c>
      <c r="AW25" t="s">
        <v>1031</v>
      </c>
      <c r="AX25" t="s">
        <v>1032</v>
      </c>
      <c r="AY25" t="s">
        <v>1033</v>
      </c>
      <c r="AZ25" t="s">
        <v>1034</v>
      </c>
      <c r="BA25" t="s">
        <v>1035</v>
      </c>
      <c r="BB25" t="s">
        <v>1036</v>
      </c>
      <c r="BC25" t="s">
        <v>720</v>
      </c>
      <c r="BE25" t="s">
        <v>1037</v>
      </c>
      <c r="BF25" t="s">
        <v>1038</v>
      </c>
      <c r="BG25" t="s">
        <v>1039</v>
      </c>
      <c r="BI25" t="s">
        <v>1040</v>
      </c>
      <c r="BK25" t="s">
        <v>1041</v>
      </c>
      <c r="BL25" t="s">
        <v>1042</v>
      </c>
      <c r="BM25" t="s">
        <v>1043</v>
      </c>
      <c r="BS25" t="s">
        <v>1044</v>
      </c>
      <c r="BX25" t="s">
        <v>1045</v>
      </c>
      <c r="BY25" t="s">
        <v>1046</v>
      </c>
      <c r="BZ25" t="s">
        <v>1047</v>
      </c>
      <c r="CB25" t="s">
        <v>1048</v>
      </c>
    </row>
    <row r="26" spans="1:80" x14ac:dyDescent="0.3">
      <c r="A26" t="s">
        <v>87</v>
      </c>
      <c r="B26" t="s">
        <v>1049</v>
      </c>
      <c r="C26" t="s">
        <v>1050</v>
      </c>
      <c r="I26" t="s">
        <v>1051</v>
      </c>
      <c r="J26" t="s">
        <v>1052</v>
      </c>
      <c r="K26" t="s">
        <v>1053</v>
      </c>
      <c r="L26" t="s">
        <v>1054</v>
      </c>
      <c r="N26" t="s">
        <v>1055</v>
      </c>
      <c r="O26" t="s">
        <v>1056</v>
      </c>
      <c r="P26" t="s">
        <v>1057</v>
      </c>
      <c r="S26" t="s">
        <v>1058</v>
      </c>
      <c r="T26" t="s">
        <v>1059</v>
      </c>
      <c r="U26" t="s">
        <v>1060</v>
      </c>
      <c r="V26" t="s">
        <v>591</v>
      </c>
      <c r="Y26" t="s">
        <v>1061</v>
      </c>
      <c r="Z26" t="s">
        <v>719</v>
      </c>
      <c r="AA26" t="s">
        <v>1062</v>
      </c>
      <c r="AB26" t="s">
        <v>1063</v>
      </c>
      <c r="AF26" s="2" t="s">
        <v>1064</v>
      </c>
      <c r="AG26" t="s">
        <v>919</v>
      </c>
      <c r="AH26" t="s">
        <v>591</v>
      </c>
      <c r="AI26" t="s">
        <v>1065</v>
      </c>
      <c r="AK26" t="s">
        <v>1066</v>
      </c>
      <c r="AM26" t="s">
        <v>1067</v>
      </c>
      <c r="AN26" t="s">
        <v>1068</v>
      </c>
      <c r="AO26" t="s">
        <v>1069</v>
      </c>
      <c r="AP26" t="s">
        <v>1070</v>
      </c>
      <c r="AQ26" t="s">
        <v>1071</v>
      </c>
      <c r="AR26" t="s">
        <v>1072</v>
      </c>
      <c r="AT26" t="s">
        <v>1073</v>
      </c>
      <c r="AU26" t="s">
        <v>1074</v>
      </c>
      <c r="AW26" t="s">
        <v>1075</v>
      </c>
      <c r="AX26" t="s">
        <v>1076</v>
      </c>
      <c r="AY26" t="s">
        <v>1077</v>
      </c>
      <c r="AZ26" t="s">
        <v>1078</v>
      </c>
      <c r="BA26" t="s">
        <v>1079</v>
      </c>
      <c r="BB26" t="s">
        <v>1080</v>
      </c>
      <c r="BC26" t="s">
        <v>496</v>
      </c>
      <c r="BE26" t="s">
        <v>1081</v>
      </c>
      <c r="BF26" t="s">
        <v>1082</v>
      </c>
      <c r="BG26" t="s">
        <v>1083</v>
      </c>
      <c r="BI26" t="s">
        <v>828</v>
      </c>
      <c r="BK26" t="s">
        <v>1084</v>
      </c>
      <c r="BL26" t="s">
        <v>1085</v>
      </c>
      <c r="BM26" t="s">
        <v>818</v>
      </c>
      <c r="BS26" t="s">
        <v>1086</v>
      </c>
      <c r="BY26" t="s">
        <v>720</v>
      </c>
      <c r="BZ26" t="s">
        <v>1087</v>
      </c>
      <c r="CB26" t="s">
        <v>1088</v>
      </c>
    </row>
    <row r="27" spans="1:80" x14ac:dyDescent="0.3">
      <c r="A27" t="s">
        <v>90</v>
      </c>
      <c r="B27" t="s">
        <v>1089</v>
      </c>
      <c r="C27" t="s">
        <v>1090</v>
      </c>
      <c r="I27" t="s">
        <v>1091</v>
      </c>
      <c r="J27" t="s">
        <v>143</v>
      </c>
      <c r="K27" t="s">
        <v>496</v>
      </c>
      <c r="L27" t="s">
        <v>1092</v>
      </c>
      <c r="N27" t="s">
        <v>1093</v>
      </c>
      <c r="O27" t="s">
        <v>1094</v>
      </c>
      <c r="S27" t="s">
        <v>1095</v>
      </c>
      <c r="T27" t="s">
        <v>1096</v>
      </c>
      <c r="U27" t="s">
        <v>1097</v>
      </c>
      <c r="V27" t="s">
        <v>1098</v>
      </c>
      <c r="Y27" t="s">
        <v>1099</v>
      </c>
      <c r="Z27" t="s">
        <v>1100</v>
      </c>
      <c r="AA27" t="s">
        <v>1101</v>
      </c>
      <c r="AB27" t="s">
        <v>1102</v>
      </c>
      <c r="AG27" t="s">
        <v>1103</v>
      </c>
      <c r="AH27" t="s">
        <v>964</v>
      </c>
      <c r="AI27" t="s">
        <v>1104</v>
      </c>
      <c r="AK27" t="s">
        <v>1105</v>
      </c>
      <c r="AM27" t="s">
        <v>1106</v>
      </c>
      <c r="AO27" t="s">
        <v>1107</v>
      </c>
      <c r="AP27" t="s">
        <v>1108</v>
      </c>
      <c r="AQ27" t="s">
        <v>1109</v>
      </c>
      <c r="AR27" t="s">
        <v>482</v>
      </c>
      <c r="AT27" t="s">
        <v>1110</v>
      </c>
      <c r="AU27" t="s">
        <v>1111</v>
      </c>
      <c r="AW27" t="s">
        <v>711</v>
      </c>
      <c r="AX27" t="s">
        <v>1112</v>
      </c>
      <c r="AY27" t="s">
        <v>556</v>
      </c>
      <c r="AZ27" t="s">
        <v>1113</v>
      </c>
      <c r="BA27" t="s">
        <v>1114</v>
      </c>
      <c r="BB27" t="s">
        <v>1115</v>
      </c>
      <c r="BC27" t="s">
        <v>1116</v>
      </c>
      <c r="BE27" t="s">
        <v>1117</v>
      </c>
      <c r="BF27" t="s">
        <v>1118</v>
      </c>
      <c r="BG27" t="s">
        <v>1119</v>
      </c>
      <c r="BI27" t="s">
        <v>1120</v>
      </c>
      <c r="BK27" t="s">
        <v>1121</v>
      </c>
      <c r="BL27" t="s">
        <v>1122</v>
      </c>
      <c r="BM27" t="s">
        <v>1123</v>
      </c>
      <c r="BS27" t="s">
        <v>1124</v>
      </c>
      <c r="BY27" t="s">
        <v>836</v>
      </c>
      <c r="BZ27" t="s">
        <v>923</v>
      </c>
      <c r="CB27" t="s">
        <v>1125</v>
      </c>
    </row>
    <row r="28" spans="1:80" x14ac:dyDescent="0.3">
      <c r="A28" t="s">
        <v>115</v>
      </c>
      <c r="B28" t="s">
        <v>1126</v>
      </c>
      <c r="C28" t="s">
        <v>1127</v>
      </c>
      <c r="I28" t="s">
        <v>1128</v>
      </c>
      <c r="J28" t="s">
        <v>1129</v>
      </c>
      <c r="K28" t="s">
        <v>835</v>
      </c>
      <c r="L28" t="s">
        <v>1130</v>
      </c>
      <c r="N28" t="s">
        <v>1131</v>
      </c>
      <c r="O28" t="s">
        <v>1132</v>
      </c>
      <c r="S28" t="s">
        <v>1133</v>
      </c>
      <c r="T28" t="s">
        <v>1134</v>
      </c>
      <c r="U28" t="s">
        <v>678</v>
      </c>
      <c r="V28" t="s">
        <v>1135</v>
      </c>
      <c r="Y28" t="s">
        <v>1136</v>
      </c>
      <c r="Z28" t="s">
        <v>1137</v>
      </c>
      <c r="AA28" t="s">
        <v>1138</v>
      </c>
      <c r="AB28" t="s">
        <v>1139</v>
      </c>
      <c r="AG28" t="s">
        <v>479</v>
      </c>
      <c r="AH28" t="s">
        <v>441</v>
      </c>
      <c r="AI28" t="s">
        <v>1140</v>
      </c>
      <c r="AK28" t="s">
        <v>1141</v>
      </c>
      <c r="AM28" t="s">
        <v>997</v>
      </c>
      <c r="AO28" t="s">
        <v>1142</v>
      </c>
      <c r="AP28" t="s">
        <v>1143</v>
      </c>
      <c r="AQ28" t="s">
        <v>1144</v>
      </c>
      <c r="AR28" t="s">
        <v>1145</v>
      </c>
      <c r="AT28" t="s">
        <v>1146</v>
      </c>
      <c r="AU28" t="s">
        <v>1147</v>
      </c>
      <c r="AW28" t="s">
        <v>1148</v>
      </c>
      <c r="AX28" t="s">
        <v>1149</v>
      </c>
      <c r="AY28" t="s">
        <v>1150</v>
      </c>
      <c r="AZ28" t="s">
        <v>1151</v>
      </c>
      <c r="BA28" t="s">
        <v>656</v>
      </c>
      <c r="BB28" t="s">
        <v>1152</v>
      </c>
      <c r="BC28" t="s">
        <v>1153</v>
      </c>
      <c r="BE28" t="s">
        <v>1154</v>
      </c>
      <c r="BF28" t="s">
        <v>1155</v>
      </c>
      <c r="BI28" t="s">
        <v>1156</v>
      </c>
      <c r="BK28" t="s">
        <v>1157</v>
      </c>
      <c r="BL28" t="s">
        <v>1158</v>
      </c>
      <c r="BM28" t="s">
        <v>479</v>
      </c>
      <c r="BS28" t="s">
        <v>1028</v>
      </c>
      <c r="BY28" t="s">
        <v>1159</v>
      </c>
      <c r="BZ28" t="s">
        <v>754</v>
      </c>
      <c r="CB28" t="s">
        <v>1160</v>
      </c>
    </row>
    <row r="29" spans="1:80" x14ac:dyDescent="0.3">
      <c r="A29" t="s">
        <v>97</v>
      </c>
      <c r="C29" t="s">
        <v>1161</v>
      </c>
      <c r="I29" t="s">
        <v>1162</v>
      </c>
      <c r="J29" t="s">
        <v>1163</v>
      </c>
      <c r="K29" t="s">
        <v>1164</v>
      </c>
      <c r="L29" t="s">
        <v>1165</v>
      </c>
      <c r="N29" t="s">
        <v>1147</v>
      </c>
      <c r="O29" t="s">
        <v>453</v>
      </c>
      <c r="S29" t="s">
        <v>1166</v>
      </c>
      <c r="T29" t="s">
        <v>1167</v>
      </c>
      <c r="U29" t="s">
        <v>1168</v>
      </c>
      <c r="V29" t="s">
        <v>1064</v>
      </c>
      <c r="Y29" t="s">
        <v>369</v>
      </c>
      <c r="Z29" t="s">
        <v>1169</v>
      </c>
      <c r="AA29" t="s">
        <v>1170</v>
      </c>
      <c r="AB29" t="s">
        <v>1171</v>
      </c>
      <c r="AG29" t="s">
        <v>1172</v>
      </c>
      <c r="AI29" t="s">
        <v>1173</v>
      </c>
      <c r="AK29" t="s">
        <v>1174</v>
      </c>
      <c r="AM29" t="s">
        <v>1175</v>
      </c>
      <c r="AP29" t="s">
        <v>1176</v>
      </c>
      <c r="AR29" t="s">
        <v>1177</v>
      </c>
      <c r="AT29" t="s">
        <v>1178</v>
      </c>
      <c r="AU29" t="s">
        <v>591</v>
      </c>
      <c r="AW29" t="s">
        <v>785</v>
      </c>
      <c r="AX29" t="s">
        <v>1179</v>
      </c>
      <c r="AY29" t="s">
        <v>1180</v>
      </c>
      <c r="AZ29" t="s">
        <v>1181</v>
      </c>
      <c r="BA29" t="s">
        <v>741</v>
      </c>
      <c r="BB29" t="s">
        <v>1182</v>
      </c>
      <c r="BC29" t="s">
        <v>1183</v>
      </c>
      <c r="BE29" t="s">
        <v>145</v>
      </c>
      <c r="BF29" t="s">
        <v>1184</v>
      </c>
      <c r="BI29" t="s">
        <v>1185</v>
      </c>
      <c r="BK29" t="s">
        <v>1186</v>
      </c>
      <c r="BM29" t="s">
        <v>1187</v>
      </c>
      <c r="BS29" t="s">
        <v>1188</v>
      </c>
      <c r="BY29" t="s">
        <v>1189</v>
      </c>
      <c r="BZ29" t="s">
        <v>1190</v>
      </c>
      <c r="CB29" t="s">
        <v>1191</v>
      </c>
    </row>
    <row r="30" spans="1:80" x14ac:dyDescent="0.3">
      <c r="A30" t="s">
        <v>101</v>
      </c>
      <c r="C30" t="s">
        <v>855</v>
      </c>
      <c r="I30" t="s">
        <v>1192</v>
      </c>
      <c r="J30" t="s">
        <v>1193</v>
      </c>
      <c r="K30" t="s">
        <v>1194</v>
      </c>
      <c r="L30" t="s">
        <v>980</v>
      </c>
      <c r="N30" t="s">
        <v>1195</v>
      </c>
      <c r="O30" t="s">
        <v>1196</v>
      </c>
      <c r="S30" t="s">
        <v>1042</v>
      </c>
      <c r="T30" t="s">
        <v>1197</v>
      </c>
      <c r="U30" t="s">
        <v>1198</v>
      </c>
      <c r="Y30" t="s">
        <v>1199</v>
      </c>
      <c r="Z30" t="s">
        <v>1200</v>
      </c>
      <c r="AA30" t="s">
        <v>1201</v>
      </c>
      <c r="AB30" t="s">
        <v>1202</v>
      </c>
      <c r="AG30" t="s">
        <v>132</v>
      </c>
      <c r="AK30" t="s">
        <v>1203</v>
      </c>
      <c r="AM30" t="s">
        <v>1204</v>
      </c>
      <c r="AP30" t="s">
        <v>1205</v>
      </c>
      <c r="AR30" t="s">
        <v>1206</v>
      </c>
      <c r="AT30" t="s">
        <v>1207</v>
      </c>
      <c r="AU30" t="s">
        <v>1208</v>
      </c>
      <c r="AW30" t="s">
        <v>1209</v>
      </c>
      <c r="AX30" t="s">
        <v>1210</v>
      </c>
      <c r="AY30" t="s">
        <v>1129</v>
      </c>
      <c r="AZ30" t="s">
        <v>1211</v>
      </c>
      <c r="BA30" t="s">
        <v>836</v>
      </c>
      <c r="BB30" t="s">
        <v>1212</v>
      </c>
      <c r="BC30" t="s">
        <v>1213</v>
      </c>
      <c r="BE30" t="s">
        <v>1214</v>
      </c>
      <c r="BF30" t="s">
        <v>1215</v>
      </c>
      <c r="BI30" t="s">
        <v>132</v>
      </c>
      <c r="BK30" t="s">
        <v>1216</v>
      </c>
      <c r="BM30" t="s">
        <v>1217</v>
      </c>
      <c r="BY30" t="s">
        <v>1019</v>
      </c>
      <c r="BZ30" t="s">
        <v>1218</v>
      </c>
      <c r="CB30" t="s">
        <v>1219</v>
      </c>
    </row>
    <row r="31" spans="1:80" x14ac:dyDescent="0.3">
      <c r="A31" t="s">
        <v>118</v>
      </c>
      <c r="C31" t="s">
        <v>1220</v>
      </c>
      <c r="I31" t="s">
        <v>1221</v>
      </c>
      <c r="J31" t="s">
        <v>1222</v>
      </c>
      <c r="K31" t="s">
        <v>1223</v>
      </c>
      <c r="L31" t="s">
        <v>1224</v>
      </c>
      <c r="N31" t="s">
        <v>1225</v>
      </c>
      <c r="O31" t="s">
        <v>1226</v>
      </c>
      <c r="S31" t="s">
        <v>1227</v>
      </c>
      <c r="T31" t="s">
        <v>1228</v>
      </c>
      <c r="U31" t="s">
        <v>1229</v>
      </c>
      <c r="Y31" t="s">
        <v>1230</v>
      </c>
      <c r="Z31" t="s">
        <v>656</v>
      </c>
      <c r="AA31" t="s">
        <v>1231</v>
      </c>
      <c r="AB31" t="s">
        <v>1232</v>
      </c>
      <c r="AG31" t="s">
        <v>145</v>
      </c>
      <c r="AK31" t="s">
        <v>1233</v>
      </c>
      <c r="AM31" t="s">
        <v>1234</v>
      </c>
      <c r="AR31" t="s">
        <v>1235</v>
      </c>
      <c r="AT31" t="s">
        <v>1236</v>
      </c>
      <c r="AU31" t="s">
        <v>1237</v>
      </c>
      <c r="AW31" t="s">
        <v>1238</v>
      </c>
      <c r="AX31" t="s">
        <v>976</v>
      </c>
      <c r="AY31" t="s">
        <v>1239</v>
      </c>
      <c r="AZ31" t="s">
        <v>1240</v>
      </c>
      <c r="BA31" t="s">
        <v>591</v>
      </c>
      <c r="BB31" t="s">
        <v>1229</v>
      </c>
      <c r="BE31" t="s">
        <v>1241</v>
      </c>
      <c r="BF31" t="s">
        <v>1242</v>
      </c>
      <c r="BI31" t="s">
        <v>1021</v>
      </c>
      <c r="BK31" t="s">
        <v>1243</v>
      </c>
      <c r="BM31" t="s">
        <v>1244</v>
      </c>
      <c r="BY31" t="s">
        <v>1245</v>
      </c>
    </row>
    <row r="32" spans="1:80" x14ac:dyDescent="0.3">
      <c r="A32" t="s">
        <v>107</v>
      </c>
      <c r="C32" t="s">
        <v>836</v>
      </c>
      <c r="I32" t="s">
        <v>1246</v>
      </c>
      <c r="J32" t="s">
        <v>496</v>
      </c>
      <c r="L32" t="s">
        <v>1247</v>
      </c>
      <c r="N32" t="s">
        <v>145</v>
      </c>
      <c r="O32" t="s">
        <v>907</v>
      </c>
      <c r="S32" t="s">
        <v>1222</v>
      </c>
      <c r="T32" t="s">
        <v>132</v>
      </c>
      <c r="U32" t="s">
        <v>1248</v>
      </c>
      <c r="Y32" t="s">
        <v>1249</v>
      </c>
      <c r="Z32" t="s">
        <v>1250</v>
      </c>
      <c r="AA32" t="s">
        <v>1251</v>
      </c>
      <c r="AB32" t="s">
        <v>1252</v>
      </c>
      <c r="AG32" t="s">
        <v>921</v>
      </c>
      <c r="AK32" t="s">
        <v>1253</v>
      </c>
      <c r="AM32" t="s">
        <v>1254</v>
      </c>
      <c r="AR32" t="s">
        <v>1255</v>
      </c>
      <c r="AT32" t="s">
        <v>1256</v>
      </c>
      <c r="AU32" t="s">
        <v>1257</v>
      </c>
      <c r="AW32" t="s">
        <v>1258</v>
      </c>
      <c r="AX32" t="s">
        <v>1110</v>
      </c>
      <c r="AY32" t="s">
        <v>1259</v>
      </c>
      <c r="AZ32" t="s">
        <v>1260</v>
      </c>
      <c r="BA32" t="s">
        <v>1261</v>
      </c>
      <c r="BB32" t="s">
        <v>652</v>
      </c>
      <c r="BE32" t="s">
        <v>1262</v>
      </c>
      <c r="BF32" t="s">
        <v>754</v>
      </c>
      <c r="BI32" t="s">
        <v>1263</v>
      </c>
      <c r="BK32" t="s">
        <v>1264</v>
      </c>
      <c r="BM32" t="s">
        <v>1265</v>
      </c>
      <c r="BY32" t="s">
        <v>1266</v>
      </c>
    </row>
    <row r="33" spans="1:65" x14ac:dyDescent="0.3">
      <c r="A33" t="s">
        <v>119</v>
      </c>
      <c r="C33" t="s">
        <v>496</v>
      </c>
      <c r="I33" t="s">
        <v>1267</v>
      </c>
      <c r="J33" t="s">
        <v>752</v>
      </c>
      <c r="L33" t="s">
        <v>1102</v>
      </c>
      <c r="N33" t="s">
        <v>1268</v>
      </c>
      <c r="O33" t="s">
        <v>1269</v>
      </c>
      <c r="S33" t="s">
        <v>754</v>
      </c>
      <c r="T33" t="s">
        <v>145</v>
      </c>
      <c r="U33" t="s">
        <v>1270</v>
      </c>
      <c r="Y33" t="s">
        <v>1271</v>
      </c>
      <c r="Z33" t="s">
        <v>1272</v>
      </c>
      <c r="AA33" t="s">
        <v>1273</v>
      </c>
      <c r="AB33" t="s">
        <v>1274</v>
      </c>
      <c r="AG33" t="s">
        <v>752</v>
      </c>
      <c r="AK33" t="s">
        <v>1275</v>
      </c>
      <c r="AR33" t="s">
        <v>1276</v>
      </c>
      <c r="AT33" t="s">
        <v>114</v>
      </c>
      <c r="AU33" t="s">
        <v>1277</v>
      </c>
      <c r="AW33" t="s">
        <v>1278</v>
      </c>
      <c r="AX33" t="s">
        <v>1279</v>
      </c>
      <c r="AY33" t="s">
        <v>1280</v>
      </c>
      <c r="AZ33" t="s">
        <v>1281</v>
      </c>
      <c r="BA33" t="s">
        <v>752</v>
      </c>
      <c r="BB33" t="s">
        <v>1282</v>
      </c>
      <c r="BE33" t="s">
        <v>1283</v>
      </c>
      <c r="BF33" t="s">
        <v>1284</v>
      </c>
      <c r="BI33" t="s">
        <v>1285</v>
      </c>
      <c r="BK33" t="s">
        <v>1286</v>
      </c>
      <c r="BM33" t="s">
        <v>1287</v>
      </c>
    </row>
    <row r="34" spans="1:65" x14ac:dyDescent="0.3">
      <c r="A34" t="s">
        <v>134</v>
      </c>
      <c r="C34" t="s">
        <v>1288</v>
      </c>
      <c r="I34" t="s">
        <v>1289</v>
      </c>
      <c r="J34" t="s">
        <v>1290</v>
      </c>
      <c r="L34" t="s">
        <v>1291</v>
      </c>
      <c r="N34" t="s">
        <v>1198</v>
      </c>
      <c r="O34" t="s">
        <v>132</v>
      </c>
      <c r="S34" t="s">
        <v>1292</v>
      </c>
      <c r="T34" t="s">
        <v>741</v>
      </c>
      <c r="Y34" t="s">
        <v>656</v>
      </c>
      <c r="Z34" t="s">
        <v>1293</v>
      </c>
      <c r="AA34" t="s">
        <v>1294</v>
      </c>
      <c r="AB34" t="s">
        <v>882</v>
      </c>
      <c r="AG34" t="s">
        <v>1295</v>
      </c>
      <c r="AK34" t="s">
        <v>1296</v>
      </c>
      <c r="AR34" t="s">
        <v>1297</v>
      </c>
      <c r="AT34" t="s">
        <v>1298</v>
      </c>
      <c r="AU34" t="s">
        <v>1299</v>
      </c>
      <c r="AW34" t="s">
        <v>1300</v>
      </c>
      <c r="AX34" t="s">
        <v>223</v>
      </c>
      <c r="AY34" t="s">
        <v>1301</v>
      </c>
      <c r="AZ34" t="s">
        <v>446</v>
      </c>
      <c r="BA34" t="s">
        <v>1302</v>
      </c>
      <c r="BB34" t="s">
        <v>1303</v>
      </c>
      <c r="BE34" t="s">
        <v>1304</v>
      </c>
      <c r="BF34" t="s">
        <v>1305</v>
      </c>
      <c r="BK34" t="s">
        <v>1266</v>
      </c>
      <c r="BM34" t="s">
        <v>1306</v>
      </c>
    </row>
    <row r="35" spans="1:65" x14ac:dyDescent="0.3">
      <c r="A35" t="s">
        <v>99</v>
      </c>
      <c r="C35" t="s">
        <v>1307</v>
      </c>
      <c r="J35" t="s">
        <v>1208</v>
      </c>
      <c r="L35" t="s">
        <v>1308</v>
      </c>
      <c r="N35" t="s">
        <v>1309</v>
      </c>
      <c r="O35" t="s">
        <v>143</v>
      </c>
      <c r="S35" t="s">
        <v>441</v>
      </c>
      <c r="T35" t="s">
        <v>836</v>
      </c>
      <c r="Y35" t="s">
        <v>591</v>
      </c>
      <c r="AA35" t="s">
        <v>1310</v>
      </c>
      <c r="AB35" t="s">
        <v>1311</v>
      </c>
      <c r="AG35" t="s">
        <v>972</v>
      </c>
      <c r="AK35" t="s">
        <v>1312</v>
      </c>
      <c r="AR35" t="s">
        <v>1313</v>
      </c>
      <c r="AT35" t="s">
        <v>1314</v>
      </c>
      <c r="AU35" t="s">
        <v>1315</v>
      </c>
      <c r="AW35" t="s">
        <v>1316</v>
      </c>
      <c r="AX35" t="s">
        <v>1317</v>
      </c>
      <c r="AZ35" t="s">
        <v>121</v>
      </c>
      <c r="BA35" t="s">
        <v>1064</v>
      </c>
      <c r="BB35" t="s">
        <v>1318</v>
      </c>
      <c r="BE35" t="s">
        <v>1319</v>
      </c>
      <c r="BF35" t="s">
        <v>1320</v>
      </c>
      <c r="BM35" t="s">
        <v>1321</v>
      </c>
    </row>
    <row r="36" spans="1:65" x14ac:dyDescent="0.3">
      <c r="A36" t="s">
        <v>104</v>
      </c>
      <c r="C36" t="s">
        <v>1322</v>
      </c>
      <c r="J36" t="s">
        <v>478</v>
      </c>
      <c r="L36" t="s">
        <v>1323</v>
      </c>
      <c r="N36" t="s">
        <v>1324</v>
      </c>
      <c r="O36" t="s">
        <v>1325</v>
      </c>
      <c r="T36" t="s">
        <v>1326</v>
      </c>
      <c r="Y36" t="s">
        <v>496</v>
      </c>
      <c r="AA36" t="s">
        <v>1327</v>
      </c>
      <c r="AB36" t="s">
        <v>1328</v>
      </c>
      <c r="AK36" t="s">
        <v>1329</v>
      </c>
      <c r="AR36" t="s">
        <v>1330</v>
      </c>
      <c r="AT36" t="s">
        <v>1331</v>
      </c>
      <c r="AU36" t="s">
        <v>1332</v>
      </c>
      <c r="AW36" t="s">
        <v>1333</v>
      </c>
      <c r="AX36" t="s">
        <v>1334</v>
      </c>
      <c r="AZ36" t="s">
        <v>1335</v>
      </c>
      <c r="BB36" t="s">
        <v>1336</v>
      </c>
      <c r="BE36" t="s">
        <v>1337</v>
      </c>
      <c r="BF36" t="s">
        <v>1338</v>
      </c>
      <c r="BM36" t="s">
        <v>1339</v>
      </c>
    </row>
    <row r="37" spans="1:65" x14ac:dyDescent="0.3">
      <c r="A37" t="s">
        <v>92</v>
      </c>
      <c r="C37" t="s">
        <v>1340</v>
      </c>
      <c r="J37" t="s">
        <v>1341</v>
      </c>
      <c r="L37" t="s">
        <v>369</v>
      </c>
      <c r="N37" t="s">
        <v>652</v>
      </c>
      <c r="O37" t="s">
        <v>1342</v>
      </c>
      <c r="T37" t="s">
        <v>1343</v>
      </c>
      <c r="Y37" t="s">
        <v>678</v>
      </c>
      <c r="AA37" t="s">
        <v>145</v>
      </c>
      <c r="AB37" t="s">
        <v>1344</v>
      </c>
      <c r="AK37" t="s">
        <v>1147</v>
      </c>
      <c r="AR37" t="s">
        <v>1061</v>
      </c>
      <c r="AT37" t="s">
        <v>1345</v>
      </c>
      <c r="AW37" t="s">
        <v>1346</v>
      </c>
      <c r="AX37" t="s">
        <v>1347</v>
      </c>
      <c r="AZ37" t="s">
        <v>1348</v>
      </c>
      <c r="BB37" t="s">
        <v>1349</v>
      </c>
      <c r="BE37" t="s">
        <v>1350</v>
      </c>
      <c r="BF37" t="s">
        <v>1351</v>
      </c>
      <c r="BM37" t="s">
        <v>1352</v>
      </c>
    </row>
    <row r="38" spans="1:65" x14ac:dyDescent="0.3">
      <c r="A38" t="s">
        <v>138</v>
      </c>
      <c r="C38" t="s">
        <v>1353</v>
      </c>
      <c r="J38" t="s">
        <v>441</v>
      </c>
      <c r="L38" t="s">
        <v>1354</v>
      </c>
      <c r="N38" t="s">
        <v>1355</v>
      </c>
      <c r="O38" t="s">
        <v>921</v>
      </c>
      <c r="T38" t="s">
        <v>1356</v>
      </c>
      <c r="Y38" t="s">
        <v>1221</v>
      </c>
      <c r="AA38" t="s">
        <v>478</v>
      </c>
      <c r="AB38" t="s">
        <v>1357</v>
      </c>
      <c r="AK38" t="s">
        <v>1358</v>
      </c>
      <c r="AR38" t="s">
        <v>1359</v>
      </c>
      <c r="AT38" t="s">
        <v>978</v>
      </c>
      <c r="AW38" t="s">
        <v>1360</v>
      </c>
      <c r="AX38" t="s">
        <v>1361</v>
      </c>
      <c r="AZ38" t="s">
        <v>1362</v>
      </c>
      <c r="BE38" t="s">
        <v>1363</v>
      </c>
      <c r="BF38" t="s">
        <v>1364</v>
      </c>
    </row>
    <row r="39" spans="1:65" x14ac:dyDescent="0.3">
      <c r="A39" t="s">
        <v>91</v>
      </c>
      <c r="J39" t="s">
        <v>897</v>
      </c>
      <c r="L39" t="s">
        <v>1365</v>
      </c>
      <c r="N39" t="s">
        <v>1366</v>
      </c>
      <c r="O39" t="s">
        <v>923</v>
      </c>
      <c r="T39" t="s">
        <v>1140</v>
      </c>
      <c r="Y39" t="s">
        <v>1234</v>
      </c>
      <c r="AA39" t="s">
        <v>441</v>
      </c>
      <c r="AB39" t="s">
        <v>1215</v>
      </c>
      <c r="AK39" t="s">
        <v>1367</v>
      </c>
      <c r="AR39" t="s">
        <v>1368</v>
      </c>
      <c r="AT39" t="s">
        <v>1369</v>
      </c>
      <c r="AW39" t="s">
        <v>1370</v>
      </c>
      <c r="AX39" t="s">
        <v>1371</v>
      </c>
      <c r="AZ39" t="s">
        <v>1372</v>
      </c>
      <c r="BF39" t="s">
        <v>1373</v>
      </c>
    </row>
    <row r="40" spans="1:65" x14ac:dyDescent="0.3">
      <c r="A40" t="s">
        <v>108</v>
      </c>
      <c r="J40" t="s">
        <v>1140</v>
      </c>
      <c r="L40" t="s">
        <v>1374</v>
      </c>
      <c r="N40" t="s">
        <v>1375</v>
      </c>
      <c r="O40" t="s">
        <v>1376</v>
      </c>
      <c r="T40" t="s">
        <v>1377</v>
      </c>
      <c r="Y40" t="s">
        <v>1324</v>
      </c>
      <c r="AA40" t="s">
        <v>1378</v>
      </c>
      <c r="AB40" t="s">
        <v>1042</v>
      </c>
      <c r="AK40" t="s">
        <v>1379</v>
      </c>
      <c r="AR40" t="s">
        <v>1380</v>
      </c>
      <c r="AT40" t="s">
        <v>1381</v>
      </c>
      <c r="AW40" t="s">
        <v>1382</v>
      </c>
      <c r="AX40" t="s">
        <v>1383</v>
      </c>
      <c r="AZ40" t="s">
        <v>1384</v>
      </c>
    </row>
    <row r="41" spans="1:65" x14ac:dyDescent="0.3">
      <c r="A41" t="s">
        <v>152</v>
      </c>
      <c r="J41" t="s">
        <v>1385</v>
      </c>
      <c r="L41" t="s">
        <v>1386</v>
      </c>
      <c r="O41" t="s">
        <v>836</v>
      </c>
      <c r="T41" t="s">
        <v>1387</v>
      </c>
      <c r="Y41" t="s">
        <v>1388</v>
      </c>
      <c r="AA41" t="s">
        <v>1064</v>
      </c>
      <c r="AB41" t="s">
        <v>1389</v>
      </c>
      <c r="AK41" t="s">
        <v>1390</v>
      </c>
      <c r="AR41" t="s">
        <v>1391</v>
      </c>
      <c r="AT41" t="s">
        <v>1392</v>
      </c>
      <c r="AW41" t="s">
        <v>1393</v>
      </c>
      <c r="AX41" t="s">
        <v>1394</v>
      </c>
      <c r="AZ41" t="s">
        <v>1395</v>
      </c>
    </row>
    <row r="42" spans="1:65" x14ac:dyDescent="0.3">
      <c r="A42" t="s">
        <v>124</v>
      </c>
      <c r="J42" t="s">
        <v>1396</v>
      </c>
      <c r="L42" t="s">
        <v>1397</v>
      </c>
      <c r="O42" t="s">
        <v>1098</v>
      </c>
      <c r="T42" t="s">
        <v>1398</v>
      </c>
      <c r="Y42" t="s">
        <v>868</v>
      </c>
      <c r="AB42" t="s">
        <v>132</v>
      </c>
      <c r="AK42" t="s">
        <v>1399</v>
      </c>
      <c r="AR42" t="s">
        <v>1400</v>
      </c>
      <c r="AT42" t="s">
        <v>1401</v>
      </c>
      <c r="AW42" t="s">
        <v>1402</v>
      </c>
      <c r="AX42" t="s">
        <v>638</v>
      </c>
      <c r="AZ42" t="s">
        <v>1403</v>
      </c>
      <c r="BE42" s="13"/>
    </row>
    <row r="43" spans="1:65" x14ac:dyDescent="0.3">
      <c r="A43" t="s">
        <v>153</v>
      </c>
      <c r="J43" t="s">
        <v>1404</v>
      </c>
      <c r="L43" t="s">
        <v>1405</v>
      </c>
      <c r="O43" t="s">
        <v>1406</v>
      </c>
      <c r="T43" t="s">
        <v>1407</v>
      </c>
      <c r="Y43" t="s">
        <v>1408</v>
      </c>
      <c r="AB43" t="s">
        <v>1409</v>
      </c>
      <c r="AK43" t="s">
        <v>1021</v>
      </c>
      <c r="AR43" t="s">
        <v>1410</v>
      </c>
      <c r="AT43" t="s">
        <v>1411</v>
      </c>
      <c r="AW43" t="s">
        <v>1412</v>
      </c>
      <c r="AX43" t="s">
        <v>1413</v>
      </c>
      <c r="AZ43" t="s">
        <v>1414</v>
      </c>
    </row>
    <row r="44" spans="1:65" x14ac:dyDescent="0.3">
      <c r="A44" t="s">
        <v>105</v>
      </c>
      <c r="J44" t="s">
        <v>1415</v>
      </c>
      <c r="L44" t="s">
        <v>1416</v>
      </c>
      <c r="O44" t="s">
        <v>864</v>
      </c>
      <c r="Y44" t="s">
        <v>1417</v>
      </c>
      <c r="AB44" t="s">
        <v>1418</v>
      </c>
      <c r="AK44" t="s">
        <v>591</v>
      </c>
      <c r="AR44" t="s">
        <v>1419</v>
      </c>
      <c r="AW44" t="s">
        <v>369</v>
      </c>
      <c r="AX44" t="s">
        <v>1420</v>
      </c>
      <c r="AZ44" t="s">
        <v>1421</v>
      </c>
    </row>
    <row r="45" spans="1:65" x14ac:dyDescent="0.3">
      <c r="A45" t="s">
        <v>148</v>
      </c>
      <c r="J45" t="s">
        <v>1422</v>
      </c>
      <c r="L45" t="s">
        <v>1423</v>
      </c>
      <c r="O45" t="s">
        <v>1284</v>
      </c>
      <c r="Y45" t="s">
        <v>1424</v>
      </c>
      <c r="AB45" t="s">
        <v>689</v>
      </c>
      <c r="AK45" t="s">
        <v>1425</v>
      </c>
      <c r="AR45" t="s">
        <v>1426</v>
      </c>
      <c r="AW45" t="s">
        <v>1427</v>
      </c>
      <c r="AX45" t="s">
        <v>1428</v>
      </c>
      <c r="AZ45" t="s">
        <v>1429</v>
      </c>
    </row>
    <row r="46" spans="1:65" x14ac:dyDescent="0.3">
      <c r="A46" t="s">
        <v>128</v>
      </c>
      <c r="L46" t="s">
        <v>1430</v>
      </c>
      <c r="O46" t="s">
        <v>441</v>
      </c>
      <c r="AB46" t="s">
        <v>741</v>
      </c>
      <c r="AK46" t="s">
        <v>1431</v>
      </c>
      <c r="AR46" t="s">
        <v>1432</v>
      </c>
      <c r="AW46" t="s">
        <v>1433</v>
      </c>
      <c r="AX46" t="s">
        <v>1434</v>
      </c>
      <c r="AZ46" t="s">
        <v>1435</v>
      </c>
    </row>
    <row r="47" spans="1:65" x14ac:dyDescent="0.3">
      <c r="A47" t="s">
        <v>79</v>
      </c>
      <c r="L47" t="s">
        <v>1204</v>
      </c>
      <c r="O47" t="s">
        <v>835</v>
      </c>
      <c r="AB47" t="s">
        <v>720</v>
      </c>
      <c r="AK47" t="s">
        <v>1436</v>
      </c>
      <c r="AR47" t="s">
        <v>1437</v>
      </c>
      <c r="AW47" t="s">
        <v>1438</v>
      </c>
      <c r="AX47" t="s">
        <v>1439</v>
      </c>
      <c r="AZ47" t="s">
        <v>754</v>
      </c>
    </row>
    <row r="48" spans="1:65" x14ac:dyDescent="0.3">
      <c r="A48" t="s">
        <v>96</v>
      </c>
      <c r="L48" t="s">
        <v>1098</v>
      </c>
      <c r="O48" t="s">
        <v>1440</v>
      </c>
      <c r="AB48" t="s">
        <v>916</v>
      </c>
      <c r="AK48" t="s">
        <v>1441</v>
      </c>
      <c r="AR48" t="s">
        <v>1442</v>
      </c>
      <c r="AW48" t="s">
        <v>1443</v>
      </c>
      <c r="AX48" t="s">
        <v>1444</v>
      </c>
      <c r="AZ48" t="s">
        <v>964</v>
      </c>
    </row>
    <row r="49" spans="1:52" x14ac:dyDescent="0.3">
      <c r="A49" t="s">
        <v>135</v>
      </c>
      <c r="L49" t="s">
        <v>1221</v>
      </c>
      <c r="AB49" t="s">
        <v>1445</v>
      </c>
      <c r="AR49" t="s">
        <v>754</v>
      </c>
      <c r="AW49" t="s">
        <v>1446</v>
      </c>
      <c r="AX49" t="s">
        <v>855</v>
      </c>
      <c r="AZ49" t="s">
        <v>1447</v>
      </c>
    </row>
    <row r="50" spans="1:52" x14ac:dyDescent="0.3">
      <c r="A50" t="s">
        <v>114</v>
      </c>
      <c r="L50" t="s">
        <v>1288</v>
      </c>
      <c r="AB50" t="s">
        <v>1448</v>
      </c>
      <c r="AR50" t="s">
        <v>1292</v>
      </c>
      <c r="AW50" t="s">
        <v>836</v>
      </c>
      <c r="AX50" t="s">
        <v>1449</v>
      </c>
      <c r="AZ50" t="s">
        <v>1450</v>
      </c>
    </row>
    <row r="51" spans="1:52" x14ac:dyDescent="0.3">
      <c r="A51" t="s">
        <v>142</v>
      </c>
      <c r="L51" t="s">
        <v>1451</v>
      </c>
      <c r="AB51" t="s">
        <v>1452</v>
      </c>
      <c r="AR51" t="s">
        <v>1451</v>
      </c>
      <c r="AW51" t="s">
        <v>754</v>
      </c>
      <c r="AX51" t="s">
        <v>1453</v>
      </c>
      <c r="AZ51" t="s">
        <v>1454</v>
      </c>
    </row>
    <row r="52" spans="1:52" x14ac:dyDescent="0.3">
      <c r="A52" t="s">
        <v>113</v>
      </c>
      <c r="L52" t="s">
        <v>441</v>
      </c>
      <c r="AB52" t="s">
        <v>1455</v>
      </c>
      <c r="AR52" t="s">
        <v>1456</v>
      </c>
      <c r="AW52" t="s">
        <v>1457</v>
      </c>
      <c r="AX52" t="s">
        <v>1458</v>
      </c>
      <c r="AZ52" t="s">
        <v>1459</v>
      </c>
    </row>
    <row r="53" spans="1:52" x14ac:dyDescent="0.3">
      <c r="A53" t="s">
        <v>116</v>
      </c>
      <c r="L53" t="s">
        <v>835</v>
      </c>
      <c r="AR53" t="s">
        <v>1460</v>
      </c>
      <c r="AW53" t="s">
        <v>1461</v>
      </c>
      <c r="AX53" t="s">
        <v>1462</v>
      </c>
      <c r="AZ53" t="s">
        <v>1463</v>
      </c>
    </row>
    <row r="54" spans="1:52" x14ac:dyDescent="0.3">
      <c r="A54" t="s">
        <v>123</v>
      </c>
      <c r="L54" t="s">
        <v>1189</v>
      </c>
      <c r="AR54" t="s">
        <v>1464</v>
      </c>
      <c r="AW54" t="s">
        <v>1465</v>
      </c>
      <c r="AX54" t="s">
        <v>1021</v>
      </c>
      <c r="AZ54" t="s">
        <v>1466</v>
      </c>
    </row>
    <row r="55" spans="1:52" x14ac:dyDescent="0.3">
      <c r="A55" t="s">
        <v>121</v>
      </c>
      <c r="L55" t="s">
        <v>1467</v>
      </c>
      <c r="AR55" t="s">
        <v>1468</v>
      </c>
      <c r="AW55" t="s">
        <v>1469</v>
      </c>
      <c r="AX55" t="s">
        <v>720</v>
      </c>
    </row>
    <row r="56" spans="1:52" x14ac:dyDescent="0.3">
      <c r="A56" t="s">
        <v>83</v>
      </c>
      <c r="L56" t="s">
        <v>1470</v>
      </c>
      <c r="AW56" t="s">
        <v>1471</v>
      </c>
      <c r="AX56" t="s">
        <v>1027</v>
      </c>
    </row>
    <row r="57" spans="1:52" x14ac:dyDescent="0.3">
      <c r="A57" t="s">
        <v>147</v>
      </c>
      <c r="L57" t="s">
        <v>1472</v>
      </c>
      <c r="AW57" t="s">
        <v>1473</v>
      </c>
      <c r="AX57" t="s">
        <v>964</v>
      </c>
    </row>
    <row r="58" spans="1:52" x14ac:dyDescent="0.3">
      <c r="A58" t="s">
        <v>77</v>
      </c>
      <c r="L58" t="s">
        <v>1474</v>
      </c>
      <c r="AW58" t="s">
        <v>1475</v>
      </c>
      <c r="AX58" t="s">
        <v>1476</v>
      </c>
    </row>
    <row r="59" spans="1:52" x14ac:dyDescent="0.3">
      <c r="A59" t="s">
        <v>137</v>
      </c>
      <c r="L59" t="s">
        <v>1477</v>
      </c>
      <c r="AW59" t="s">
        <v>1478</v>
      </c>
      <c r="AX59" t="s">
        <v>1479</v>
      </c>
    </row>
    <row r="60" spans="1:52" x14ac:dyDescent="0.3">
      <c r="A60" t="s">
        <v>151</v>
      </c>
      <c r="AX60" t="s">
        <v>1183</v>
      </c>
    </row>
    <row r="61" spans="1:52" x14ac:dyDescent="0.3">
      <c r="A61" t="s">
        <v>154</v>
      </c>
      <c r="AX61" t="s">
        <v>1480</v>
      </c>
    </row>
    <row r="62" spans="1:52" x14ac:dyDescent="0.3">
      <c r="A62" t="s">
        <v>86</v>
      </c>
      <c r="AX62" t="s">
        <v>1481</v>
      </c>
    </row>
    <row r="63" spans="1:52" x14ac:dyDescent="0.3">
      <c r="A63" t="s">
        <v>103</v>
      </c>
      <c r="AX63" t="s">
        <v>1482</v>
      </c>
    </row>
    <row r="64" spans="1:52" x14ac:dyDescent="0.3">
      <c r="A64" t="s">
        <v>136</v>
      </c>
      <c r="AX64" t="s">
        <v>1158</v>
      </c>
    </row>
    <row r="65" spans="1:1" x14ac:dyDescent="0.3">
      <c r="A65" t="s">
        <v>131</v>
      </c>
    </row>
    <row r="66" spans="1:1" x14ac:dyDescent="0.3">
      <c r="A66" t="s">
        <v>130</v>
      </c>
    </row>
    <row r="67" spans="1:1" x14ac:dyDescent="0.3">
      <c r="A67" t="s">
        <v>100</v>
      </c>
    </row>
    <row r="68" spans="1:1" x14ac:dyDescent="0.3">
      <c r="A68" t="s">
        <v>117</v>
      </c>
    </row>
    <row r="69" spans="1:1" x14ac:dyDescent="0.3">
      <c r="A69" t="s">
        <v>133</v>
      </c>
    </row>
    <row r="70" spans="1:1" x14ac:dyDescent="0.3">
      <c r="A70" t="s">
        <v>144</v>
      </c>
    </row>
    <row r="71" spans="1:1" x14ac:dyDescent="0.3">
      <c r="A71" t="s">
        <v>129</v>
      </c>
    </row>
    <row r="72" spans="1:1" x14ac:dyDescent="0.3">
      <c r="A72" t="s">
        <v>132</v>
      </c>
    </row>
    <row r="73" spans="1:1" x14ac:dyDescent="0.3">
      <c r="A73" t="s">
        <v>143</v>
      </c>
    </row>
    <row r="74" spans="1:1" x14ac:dyDescent="0.3">
      <c r="A74" t="s">
        <v>145</v>
      </c>
    </row>
    <row r="75" spans="1:1" x14ac:dyDescent="0.3">
      <c r="A75" t="s">
        <v>146</v>
      </c>
    </row>
    <row r="76" spans="1:1" x14ac:dyDescent="0.3">
      <c r="A76" t="s">
        <v>149</v>
      </c>
    </row>
    <row r="77" spans="1:1" x14ac:dyDescent="0.3">
      <c r="A77" t="s">
        <v>139</v>
      </c>
    </row>
    <row r="78" spans="1:1" x14ac:dyDescent="0.3">
      <c r="A78" t="s">
        <v>120</v>
      </c>
    </row>
    <row r="79" spans="1:1" x14ac:dyDescent="0.3">
      <c r="A79" t="s">
        <v>156</v>
      </c>
    </row>
    <row r="80" spans="1:1" x14ac:dyDescent="0.3">
      <c r="A80" t="s">
        <v>109</v>
      </c>
    </row>
    <row r="81" spans="1:1" x14ac:dyDescent="0.3">
      <c r="A81" t="s">
        <v>157</v>
      </c>
    </row>
    <row r="82" spans="1:1" x14ac:dyDescent="0.3">
      <c r="A82" t="s">
        <v>125</v>
      </c>
    </row>
    <row r="83" spans="1:1" x14ac:dyDescent="0.3">
      <c r="A83" t="s">
        <v>126</v>
      </c>
    </row>
    <row r="84" spans="1:1" x14ac:dyDescent="0.3">
      <c r="A84" t="s">
        <v>140</v>
      </c>
    </row>
    <row r="85" spans="1:1" x14ac:dyDescent="0.3">
      <c r="A85" t="s">
        <v>155</v>
      </c>
    </row>
    <row r="86" spans="1:1" x14ac:dyDescent="0.3">
      <c r="A86" t="s">
        <v>158</v>
      </c>
    </row>
    <row r="87" spans="1:1" x14ac:dyDescent="0.3">
      <c r="A87" t="s">
        <v>89</v>
      </c>
    </row>
    <row r="88" spans="1:1" x14ac:dyDescent="0.3">
      <c r="A88" t="s">
        <v>106</v>
      </c>
    </row>
    <row r="89" spans="1:1" x14ac:dyDescent="0.3">
      <c r="A89" t="s">
        <v>122</v>
      </c>
    </row>
  </sheetData>
  <sortState xmlns:xlrd2="http://schemas.microsoft.com/office/spreadsheetml/2017/richdata2" ref="CA12:CA18">
    <sortCondition ref="CA11:CA18"/>
  </sortState>
  <phoneticPr fontId="6" type="noConversion"/>
  <conditionalFormatting sqref="AB30:AS42 AB27:AN29 B19:T21 B34:Z42 B30:T33 B22:G29 I22:T29 B12:C18 E12:T18 D11:D18 AA12:AA41 U31:Z33 W12:Z30 V12:V29 U12:U30 AB12:AE26 AG12:AN26 AP12:AS29 AO12:AO28 AT12:CA41 B43:CA69 B89:CA1048576 C70:CA88 AT42:BD42 BF42:CA42">
    <cfRule type="duplicateValues" dxfId="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A544-36F3-43D2-B75F-0F346D311D0D}">
  <sheetPr codeName="Sheet4">
    <tabColor rgb="FF002060"/>
    <pageSetUpPr fitToPage="1"/>
  </sheetPr>
  <dimension ref="A3:AG158"/>
  <sheetViews>
    <sheetView zoomScale="70" zoomScaleNormal="70" workbookViewId="0">
      <pane ySplit="12" topLeftCell="A112" activePane="bottomLeft" state="frozen"/>
      <selection pane="bottomLeft" activeCell="F30" sqref="F30"/>
    </sheetView>
  </sheetViews>
  <sheetFormatPr defaultColWidth="9.109375" defaultRowHeight="13.2" x14ac:dyDescent="0.25"/>
  <cols>
    <col min="1" max="1" width="2.5546875" style="160" customWidth="1"/>
    <col min="2" max="2" width="6.33203125" style="160" customWidth="1"/>
    <col min="3" max="3" width="2.44140625" style="160" customWidth="1"/>
    <col min="4" max="4" width="137.33203125" style="139" customWidth="1"/>
    <col min="5" max="5" width="15.33203125" style="161" customWidth="1"/>
    <col min="6" max="6" width="14.88671875" style="152" customWidth="1"/>
    <col min="7" max="17" width="13.5546875" style="152" customWidth="1"/>
    <col min="18" max="18" width="6.44140625" style="152" customWidth="1"/>
    <col min="19" max="21" width="5.6640625" style="152" customWidth="1"/>
    <col min="22" max="22" width="13.44140625" style="139" customWidth="1"/>
    <col min="23" max="23" width="28.5546875" style="139" customWidth="1"/>
    <col min="24" max="24" width="38.44140625" style="139" customWidth="1"/>
    <col min="25" max="16384" width="9.109375" style="139"/>
  </cols>
  <sheetData>
    <row r="3" spans="1:24" ht="13.8" x14ac:dyDescent="0.25">
      <c r="A3" s="587" t="s">
        <v>1483</v>
      </c>
      <c r="B3" s="587"/>
      <c r="C3" s="587"/>
      <c r="D3" s="587"/>
      <c r="E3" s="587"/>
      <c r="F3" s="587"/>
      <c r="G3" s="587"/>
      <c r="H3" s="587"/>
      <c r="I3" s="587"/>
      <c r="J3" s="587"/>
      <c r="K3" s="587"/>
      <c r="L3" s="587"/>
      <c r="M3" s="587"/>
      <c r="N3" s="587"/>
      <c r="O3" s="587"/>
      <c r="P3" s="587"/>
      <c r="Q3" s="587"/>
      <c r="R3" s="587"/>
      <c r="S3" s="587"/>
      <c r="T3" s="587"/>
      <c r="U3" s="587"/>
      <c r="V3" s="587"/>
      <c r="W3" s="587"/>
    </row>
    <row r="4" spans="1:24" ht="17.399999999999999" x14ac:dyDescent="0.25">
      <c r="A4" s="588" t="s">
        <v>1484</v>
      </c>
      <c r="B4" s="588"/>
      <c r="C4" s="588"/>
      <c r="D4" s="588"/>
      <c r="E4" s="588"/>
      <c r="F4" s="588"/>
      <c r="G4" s="588"/>
      <c r="H4" s="588"/>
      <c r="I4" s="588"/>
      <c r="J4" s="588"/>
      <c r="K4" s="588"/>
      <c r="L4" s="588"/>
      <c r="M4" s="588"/>
      <c r="N4" s="588"/>
      <c r="O4" s="588"/>
      <c r="P4" s="588"/>
      <c r="Q4" s="588"/>
      <c r="R4" s="588"/>
      <c r="S4" s="588"/>
      <c r="T4" s="588"/>
      <c r="U4" s="588"/>
      <c r="V4" s="588"/>
      <c r="W4" s="588"/>
    </row>
    <row r="5" spans="1:24" x14ac:dyDescent="0.25">
      <c r="A5" s="589"/>
      <c r="B5" s="589"/>
      <c r="C5" s="589"/>
      <c r="D5" s="589"/>
      <c r="E5" s="589"/>
      <c r="F5" s="589"/>
      <c r="G5" s="589"/>
      <c r="H5" s="589"/>
      <c r="I5" s="589"/>
      <c r="J5" s="589"/>
      <c r="K5" s="589"/>
      <c r="L5" s="589"/>
      <c r="M5" s="589"/>
      <c r="N5" s="589"/>
      <c r="O5" s="589"/>
      <c r="P5" s="589"/>
      <c r="Q5" s="589"/>
      <c r="R5" s="589"/>
      <c r="S5" s="589"/>
      <c r="T5" s="589"/>
      <c r="U5" s="589"/>
      <c r="V5" s="589"/>
      <c r="W5" s="589"/>
    </row>
    <row r="6" spans="1:24" ht="15" customHeight="1" x14ac:dyDescent="0.25">
      <c r="A6" s="590" t="s">
        <v>1485</v>
      </c>
      <c r="B6" s="591"/>
      <c r="C6" s="591"/>
      <c r="D6" s="591"/>
      <c r="E6" s="591"/>
      <c r="F6" s="591"/>
      <c r="G6" s="591"/>
      <c r="H6" s="591"/>
      <c r="I6" s="591"/>
      <c r="J6" s="591"/>
      <c r="K6" s="591"/>
      <c r="L6" s="591"/>
      <c r="M6" s="591"/>
      <c r="N6" s="591"/>
      <c r="O6" s="591"/>
      <c r="P6" s="591"/>
      <c r="Q6" s="591"/>
      <c r="R6" s="591"/>
      <c r="S6" s="591"/>
      <c r="T6" s="591"/>
      <c r="U6" s="591"/>
      <c r="V6" s="591"/>
      <c r="W6" s="591"/>
    </row>
    <row r="7" spans="1:24" ht="15.6" x14ac:dyDescent="0.3">
      <c r="A7" s="592" t="s">
        <v>1486</v>
      </c>
      <c r="B7" s="592"/>
      <c r="C7" s="592"/>
      <c r="D7" s="592"/>
      <c r="E7" s="592"/>
      <c r="F7" s="592"/>
      <c r="G7" s="592"/>
      <c r="H7" s="592"/>
      <c r="I7" s="592"/>
      <c r="J7" s="592"/>
      <c r="K7" s="592"/>
      <c r="L7" s="592"/>
      <c r="M7" s="592"/>
      <c r="N7" s="592"/>
      <c r="O7" s="592"/>
      <c r="P7" s="592"/>
      <c r="Q7" s="592"/>
      <c r="R7" s="592"/>
      <c r="S7" s="592"/>
      <c r="T7" s="592"/>
      <c r="U7" s="592"/>
      <c r="V7" s="592"/>
      <c r="W7" s="592"/>
    </row>
    <row r="8" spans="1:24" ht="15.6" x14ac:dyDescent="0.3">
      <c r="A8" s="585" t="s">
        <v>1487</v>
      </c>
      <c r="B8" s="586"/>
      <c r="C8" s="586"/>
      <c r="D8" s="586"/>
      <c r="E8" s="586"/>
      <c r="F8" s="586"/>
      <c r="G8" s="586"/>
      <c r="H8" s="586"/>
      <c r="I8" s="586"/>
      <c r="J8" s="586"/>
      <c r="K8" s="586"/>
      <c r="L8" s="586"/>
      <c r="M8" s="586"/>
      <c r="N8" s="586"/>
      <c r="O8" s="586"/>
      <c r="P8" s="586"/>
      <c r="Q8" s="586"/>
      <c r="R8" s="586"/>
      <c r="S8" s="586"/>
      <c r="T8" s="586"/>
      <c r="U8" s="586"/>
      <c r="V8" s="586"/>
      <c r="W8" s="586"/>
    </row>
    <row r="9" spans="1:24" x14ac:dyDescent="0.25">
      <c r="A9" s="140"/>
      <c r="B9" s="140"/>
      <c r="C9" s="140"/>
      <c r="D9" s="140"/>
      <c r="E9" s="141"/>
      <c r="F9" s="142"/>
      <c r="G9" s="142"/>
      <c r="H9" s="142"/>
      <c r="I9" s="142"/>
      <c r="J9" s="142"/>
      <c r="K9" s="142"/>
      <c r="L9" s="142"/>
      <c r="M9" s="142"/>
      <c r="N9" s="142"/>
      <c r="O9" s="142"/>
      <c r="P9" s="142"/>
      <c r="Q9" s="142"/>
      <c r="R9" s="142"/>
      <c r="S9" s="142"/>
      <c r="T9" s="142"/>
      <c r="U9" s="142"/>
      <c r="V9" s="140"/>
      <c r="W9" s="140"/>
    </row>
    <row r="10" spans="1:24" s="345" customFormat="1" ht="28.5" customHeight="1" x14ac:dyDescent="0.25">
      <c r="A10" s="584" t="s">
        <v>1488</v>
      </c>
      <c r="B10" s="584"/>
      <c r="C10" s="584"/>
      <c r="D10" s="584"/>
      <c r="E10" s="593" t="s">
        <v>1489</v>
      </c>
      <c r="F10" s="594" t="s">
        <v>1490</v>
      </c>
      <c r="G10" s="594"/>
      <c r="H10" s="594"/>
      <c r="I10" s="594"/>
      <c r="J10" s="594"/>
      <c r="K10" s="594"/>
      <c r="L10" s="594"/>
      <c r="M10" s="594"/>
      <c r="N10" s="594"/>
      <c r="O10" s="594"/>
      <c r="P10" s="594"/>
      <c r="Q10" s="594"/>
      <c r="R10" s="597" t="s">
        <v>1491</v>
      </c>
      <c r="S10" s="597" t="s">
        <v>1492</v>
      </c>
      <c r="T10" s="597" t="s">
        <v>1493</v>
      </c>
      <c r="U10" s="597" t="s">
        <v>1494</v>
      </c>
      <c r="V10" s="595" t="s">
        <v>1495</v>
      </c>
      <c r="W10" s="596" t="s">
        <v>1496</v>
      </c>
      <c r="X10" s="584" t="s">
        <v>1497</v>
      </c>
    </row>
    <row r="11" spans="1:24" s="345" customFormat="1" ht="24" customHeight="1" x14ac:dyDescent="0.25">
      <c r="A11" s="584"/>
      <c r="B11" s="584"/>
      <c r="C11" s="584"/>
      <c r="D11" s="584"/>
      <c r="E11" s="593"/>
      <c r="F11" s="274" t="s">
        <v>1498</v>
      </c>
      <c r="G11" s="274" t="s">
        <v>1499</v>
      </c>
      <c r="H11" s="274" t="s">
        <v>1500</v>
      </c>
      <c r="I11" s="274" t="s">
        <v>1501</v>
      </c>
      <c r="J11" s="274" t="s">
        <v>1502</v>
      </c>
      <c r="K11" s="274" t="s">
        <v>1503</v>
      </c>
      <c r="L11" s="274" t="s">
        <v>1504</v>
      </c>
      <c r="M11" s="274" t="s">
        <v>1505</v>
      </c>
      <c r="N11" s="274" t="s">
        <v>1506</v>
      </c>
      <c r="O11" s="274" t="s">
        <v>1507</v>
      </c>
      <c r="P11" s="274" t="s">
        <v>1508</v>
      </c>
      <c r="Q11" s="274" t="s">
        <v>1509</v>
      </c>
      <c r="R11" s="598"/>
      <c r="S11" s="598"/>
      <c r="T11" s="598"/>
      <c r="U11" s="598"/>
      <c r="V11" s="595"/>
      <c r="W11" s="596"/>
      <c r="X11" s="584"/>
    </row>
    <row r="12" spans="1:24" s="345" customFormat="1" ht="15" customHeight="1" x14ac:dyDescent="0.25">
      <c r="A12" s="577" t="s">
        <v>1510</v>
      </c>
      <c r="B12" s="578"/>
      <c r="C12" s="578"/>
      <c r="D12" s="579"/>
      <c r="E12" s="219"/>
      <c r="F12" s="275"/>
      <c r="G12" s="275"/>
      <c r="H12" s="275"/>
      <c r="I12" s="275"/>
      <c r="J12" s="275"/>
      <c r="K12" s="275"/>
      <c r="L12" s="275"/>
      <c r="M12" s="275"/>
      <c r="N12" s="275"/>
      <c r="O12" s="275"/>
      <c r="P12" s="275"/>
      <c r="Q12" s="275"/>
      <c r="R12" s="275"/>
      <c r="S12" s="275"/>
      <c r="T12" s="275"/>
      <c r="U12" s="275"/>
      <c r="V12" s="276"/>
      <c r="W12" s="143"/>
      <c r="X12" s="276"/>
    </row>
    <row r="13" spans="1:24" s="345" customFormat="1" ht="15" customHeight="1" x14ac:dyDescent="0.25">
      <c r="A13" s="290"/>
      <c r="B13" s="291">
        <v>1</v>
      </c>
      <c r="C13" s="292" t="s">
        <v>1511</v>
      </c>
      <c r="D13" s="293"/>
      <c r="E13" s="144"/>
      <c r="F13" s="277"/>
      <c r="G13" s="277"/>
      <c r="H13" s="277"/>
      <c r="I13" s="277"/>
      <c r="J13" s="277"/>
      <c r="K13" s="277"/>
      <c r="L13" s="277"/>
      <c r="M13" s="277"/>
      <c r="N13" s="277"/>
      <c r="O13" s="277"/>
      <c r="P13" s="277"/>
      <c r="Q13" s="277"/>
      <c r="R13" s="277"/>
      <c r="S13" s="277"/>
      <c r="T13" s="277"/>
      <c r="U13" s="277"/>
      <c r="V13" s="278"/>
      <c r="W13" s="435" t="s">
        <v>1512</v>
      </c>
      <c r="X13" s="269"/>
    </row>
    <row r="14" spans="1:24" s="345" customFormat="1" ht="15.75" customHeight="1" x14ac:dyDescent="0.3">
      <c r="A14" s="290"/>
      <c r="B14" s="294"/>
      <c r="C14" s="295"/>
      <c r="D14" s="295" t="s">
        <v>1513</v>
      </c>
      <c r="E14" s="557">
        <v>5</v>
      </c>
      <c r="F14" s="279">
        <f>COUNTIF('Annex 1.1. Outcome_CLUP'!H14:H1048576,"January")</f>
        <v>0</v>
      </c>
      <c r="G14" s="279">
        <f>COUNTIF('Annex 1.1. Outcome_CLUP'!H14:H1048576,"February")</f>
        <v>0</v>
      </c>
      <c r="H14" s="279">
        <f>COUNTIF('Annex 1.1. Outcome_CLUP'!H14:H1048576,"March")</f>
        <v>0</v>
      </c>
      <c r="I14" s="279">
        <f>COUNTIF('Annex 1.1. Outcome_CLUP'!H14:H1048576,"April")</f>
        <v>0</v>
      </c>
      <c r="J14" s="279">
        <f>COUNTIF('Annex 1.1. Outcome_CLUP'!H14:H1048576,"May")</f>
        <v>0</v>
      </c>
      <c r="K14" s="279">
        <f>COUNTIF('Annex 1.1. Outcome_CLUP'!H14:H1048576,"June")</f>
        <v>0</v>
      </c>
      <c r="L14" s="279">
        <f>COUNTIF('Annex 1.1. Outcome_CLUP'!H14:H1048576,"July")</f>
        <v>0</v>
      </c>
      <c r="M14" s="279">
        <f>COUNTIF('Annex 1.1. Outcome_CLUP'!H14:H1048576,"August")</f>
        <v>0</v>
      </c>
      <c r="N14" s="279">
        <f>COUNTIF('Annex 1.1. Outcome_CLUP'!H14:H1048576,"September")</f>
        <v>0</v>
      </c>
      <c r="O14" s="279">
        <f>COUNTIF('Annex 1.1. Outcome_CLUP'!H14:H1048576,"October")</f>
        <v>0</v>
      </c>
      <c r="P14" s="279">
        <f>COUNTIF('Annex 1.1. Outcome_CLUP'!H14:H1048576,"November")</f>
        <v>0</v>
      </c>
      <c r="Q14" s="279">
        <f>COUNTIF('Annex 1.1. Outcome_CLUP'!H14:H1048576,"December")</f>
        <v>0</v>
      </c>
      <c r="R14" s="357">
        <f>SUM(F14:H14)</f>
        <v>0</v>
      </c>
      <c r="S14" s="357">
        <f>SUM(I14:K14)</f>
        <v>0</v>
      </c>
      <c r="T14" s="357">
        <f>SUM(L14:N14)</f>
        <v>0</v>
      </c>
      <c r="U14" s="357">
        <f>SUM(O14:Q14)</f>
        <v>0</v>
      </c>
      <c r="V14" s="278">
        <f>SUM(F14:Q14)</f>
        <v>0</v>
      </c>
      <c r="W14" s="432"/>
      <c r="X14" s="270" t="s">
        <v>1514</v>
      </c>
    </row>
    <row r="15" spans="1:24" s="345" customFormat="1" ht="15.75" customHeight="1" x14ac:dyDescent="0.3">
      <c r="A15" s="290"/>
      <c r="B15" s="294"/>
      <c r="C15" s="295"/>
      <c r="D15" s="295" t="s">
        <v>1515</v>
      </c>
      <c r="E15" s="558">
        <v>5</v>
      </c>
      <c r="F15" s="279">
        <f>COUNTIF('Annex 1.1.1 Outcome_CommPlan'!$H$14:$H$1048576,"January")</f>
        <v>0</v>
      </c>
      <c r="G15" s="279">
        <f>COUNTIF('Annex 1.1.1 Outcome_CommPlan'!$H$14:$H$1048576,"February")</f>
        <v>0</v>
      </c>
      <c r="H15" s="279">
        <f>COUNTIF('Annex 1.1.1 Outcome_CommPlan'!$H$14:$H$1048576,"March")</f>
        <v>0</v>
      </c>
      <c r="I15" s="279">
        <f>COUNTIF('Annex 1.1.1 Outcome_CommPlan'!$H$14:$H$1048576,"April")</f>
        <v>0</v>
      </c>
      <c r="J15" s="279">
        <f>COUNTIF('Annex 1.1.1 Outcome_CommPlan'!$H$14:$H$1048576,"May")</f>
        <v>0</v>
      </c>
      <c r="K15" s="279">
        <f>COUNTIF('Annex 1.1.1 Outcome_CommPlan'!$H$14:$H$1048576,"June")</f>
        <v>0</v>
      </c>
      <c r="L15" s="279">
        <f>COUNTIF('Annex 1.1.1 Outcome_CommPlan'!$H$14:$H$1048576,"July")</f>
        <v>0</v>
      </c>
      <c r="M15" s="279">
        <f>COUNTIF('Annex 1.1.1 Outcome_CommPlan'!$H$14:$H$1048576,"August")</f>
        <v>0</v>
      </c>
      <c r="N15" s="279">
        <f>COUNTIF('Annex 1.1.1 Outcome_CommPlan'!$H$14:$H$1048576,"September")</f>
        <v>0</v>
      </c>
      <c r="O15" s="279">
        <f>COUNTIF('Annex 1.1.1 Outcome_CommPlan'!$H$14:$H$1048576,"October")</f>
        <v>0</v>
      </c>
      <c r="P15" s="279">
        <f>COUNTIF('Annex 1.1.1 Outcome_CommPlan'!$H$14:$H$1048576,"November")</f>
        <v>0</v>
      </c>
      <c r="Q15" s="279">
        <f>COUNTIF('Annex 1.1.1 Outcome_CommPlan'!$H$14:$H$1048576,"December")</f>
        <v>0</v>
      </c>
      <c r="R15" s="357">
        <f t="shared" ref="R15:R17" si="0">SUM(F15:H15)</f>
        <v>0</v>
      </c>
      <c r="S15" s="357">
        <f t="shared" ref="S15:S17" si="1">SUM(I15:K15)</f>
        <v>0</v>
      </c>
      <c r="T15" s="357">
        <f t="shared" ref="T15:T17" si="2">SUM(L15:N15)</f>
        <v>0</v>
      </c>
      <c r="U15" s="357">
        <f t="shared" ref="U15:U17" si="3">SUM(O15:Q15)</f>
        <v>0</v>
      </c>
      <c r="V15" s="278">
        <f>SUM(F15:Q15)</f>
        <v>0</v>
      </c>
      <c r="W15" s="432" t="s">
        <v>1516</v>
      </c>
      <c r="X15" s="271" t="s">
        <v>1517</v>
      </c>
    </row>
    <row r="16" spans="1:24" s="345" customFormat="1" ht="15.75" customHeight="1" x14ac:dyDescent="0.3">
      <c r="A16" s="290"/>
      <c r="B16" s="294"/>
      <c r="C16" s="295"/>
      <c r="D16" s="295" t="s">
        <v>1518</v>
      </c>
      <c r="E16" s="558">
        <v>5</v>
      </c>
      <c r="F16" s="279">
        <f>COUNTIF('Annex 1.1.2 Outcome_Housing'!$H$14:$H$1048576, "January")</f>
        <v>0</v>
      </c>
      <c r="G16" s="279">
        <f>COUNTIF('Annex 1.1.2 Outcome_Housing'!$H$14:$H$1048576, "February")</f>
        <v>0</v>
      </c>
      <c r="H16" s="279">
        <f>COUNTIF('Annex 1.1.2 Outcome_Housing'!$H$14:$H$1048576, "March")</f>
        <v>0</v>
      </c>
      <c r="I16" s="279">
        <f>COUNTIF('Annex 1.1.2 Outcome_Housing'!$H$14:$H$1048576, "April")</f>
        <v>0</v>
      </c>
      <c r="J16" s="279">
        <f>COUNTIF('Annex 1.1.2 Outcome_Housing'!$H$14:$H$1048576, "May")</f>
        <v>0</v>
      </c>
      <c r="K16" s="279">
        <f>COUNTIF('Annex 1.1.2 Outcome_Housing'!$H$14:$H$1048576, "June")</f>
        <v>0</v>
      </c>
      <c r="L16" s="279">
        <f>COUNTIF('Annex 1.1.2 Outcome_Housing'!$H$14:$H$1048576, "July")</f>
        <v>0</v>
      </c>
      <c r="M16" s="279">
        <f>COUNTIF('Annex 1.1.2 Outcome_Housing'!$H$14:$H$1048576, "August")</f>
        <v>0</v>
      </c>
      <c r="N16" s="279">
        <f>COUNTIF('Annex 1.1.2 Outcome_Housing'!$H$14:$H$1048576, "September")</f>
        <v>0</v>
      </c>
      <c r="O16" s="279">
        <f>COUNTIF('Annex 1.1.2 Outcome_Housing'!$H$14:$H$1048576, "October")</f>
        <v>0</v>
      </c>
      <c r="P16" s="279">
        <f>COUNTIF('Annex 1.1.2 Outcome_Housing'!$H$14:$H$1048576, "November")</f>
        <v>0</v>
      </c>
      <c r="Q16" s="279">
        <f>COUNTIF('Annex 1.1.2 Outcome_Housing'!$H$14:$H$1048576, "December")</f>
        <v>0</v>
      </c>
      <c r="R16" s="357">
        <f t="shared" si="0"/>
        <v>0</v>
      </c>
      <c r="S16" s="357">
        <f t="shared" si="1"/>
        <v>0</v>
      </c>
      <c r="T16" s="357">
        <f t="shared" si="2"/>
        <v>0</v>
      </c>
      <c r="U16" s="357">
        <f t="shared" si="3"/>
        <v>0</v>
      </c>
      <c r="V16" s="278">
        <f>SUM(F16:Q16)</f>
        <v>0</v>
      </c>
      <c r="W16" s="432" t="s">
        <v>1512</v>
      </c>
      <c r="X16" s="271" t="s">
        <v>1519</v>
      </c>
    </row>
    <row r="17" spans="1:24" s="345" customFormat="1" ht="15.75" customHeight="1" x14ac:dyDescent="0.3">
      <c r="A17" s="290"/>
      <c r="B17" s="294"/>
      <c r="C17" s="295"/>
      <c r="D17" s="295" t="s">
        <v>1520</v>
      </c>
      <c r="E17" s="558">
        <v>1</v>
      </c>
      <c r="F17" s="279">
        <f>COUNTIF('Annex 1.2. Outcome_PDPFP'!$G$14:$G$1048576,"January")</f>
        <v>0</v>
      </c>
      <c r="G17" s="279">
        <f>COUNTIF('Annex 1.2. Outcome_PDPFP'!$G$14:$G$1048576,"February")</f>
        <v>0</v>
      </c>
      <c r="H17" s="279">
        <f>COUNTIF('Annex 1.2. Outcome_PDPFP'!$G$14:$G$1048576,"March")</f>
        <v>0</v>
      </c>
      <c r="I17" s="279">
        <f>COUNTIF('Annex 1.2. Outcome_PDPFP'!$G$14:$G$1048576,"April")</f>
        <v>0</v>
      </c>
      <c r="J17" s="279">
        <f>COUNTIF('Annex 1.2. Outcome_PDPFP'!$G$14:$G$1048576,"May")</f>
        <v>0</v>
      </c>
      <c r="K17" s="279">
        <f>COUNTIF('Annex 1.2. Outcome_PDPFP'!$G$14:$G$1048576,"June")</f>
        <v>0</v>
      </c>
      <c r="L17" s="279">
        <f>COUNTIF('Annex 1.2. Outcome_PDPFP'!$G$14:$G$1048576,"July")</f>
        <v>0</v>
      </c>
      <c r="M17" s="279">
        <f>COUNTIF('Annex 1.2. Outcome_PDPFP'!$G$14:$G$1048576,"August")</f>
        <v>0</v>
      </c>
      <c r="N17" s="279">
        <f>COUNTIF('Annex 1.2. Outcome_PDPFP'!$G$14:$G$1048576,"September")</f>
        <v>0</v>
      </c>
      <c r="O17" s="279">
        <f>COUNTIF('Annex 1.2. Outcome_PDPFP'!$G$14:$G$1048576,"October")</f>
        <v>0</v>
      </c>
      <c r="P17" s="279">
        <f>COUNTIF('Annex 1.2. Outcome_PDPFP'!$G$14:$G$1048576,"November")</f>
        <v>0</v>
      </c>
      <c r="Q17" s="279">
        <f>COUNTIF('Annex 1.2. Outcome_PDPFP'!$G$14:$G$1048576,"December")</f>
        <v>0</v>
      </c>
      <c r="R17" s="357">
        <f t="shared" si="0"/>
        <v>0</v>
      </c>
      <c r="S17" s="357">
        <f t="shared" si="1"/>
        <v>0</v>
      </c>
      <c r="T17" s="357">
        <f t="shared" si="2"/>
        <v>0</v>
      </c>
      <c r="U17" s="357">
        <f t="shared" si="3"/>
        <v>0</v>
      </c>
      <c r="V17" s="278">
        <f>SUM(F17:Q17)</f>
        <v>0</v>
      </c>
      <c r="W17" s="432" t="s">
        <v>1512</v>
      </c>
      <c r="X17" s="271" t="s">
        <v>1521</v>
      </c>
    </row>
    <row r="18" spans="1:24" s="345" customFormat="1" ht="15" customHeight="1" x14ac:dyDescent="0.25">
      <c r="A18" s="290"/>
      <c r="B18" s="291">
        <v>2</v>
      </c>
      <c r="C18" s="292" t="s">
        <v>1522</v>
      </c>
      <c r="D18" s="296"/>
      <c r="E18" s="559" t="s">
        <v>1512</v>
      </c>
      <c r="F18" s="280"/>
      <c r="G18" s="281"/>
      <c r="H18" s="281"/>
      <c r="I18" s="281"/>
      <c r="J18" s="281"/>
      <c r="K18" s="281"/>
      <c r="L18" s="281"/>
      <c r="M18" s="281"/>
      <c r="N18" s="281"/>
      <c r="O18" s="281"/>
      <c r="P18" s="281"/>
      <c r="Q18" s="281"/>
      <c r="R18" s="281"/>
      <c r="S18" s="281"/>
      <c r="T18" s="281"/>
      <c r="U18" s="281"/>
      <c r="V18" s="285"/>
      <c r="W18" s="432" t="s">
        <v>1512</v>
      </c>
      <c r="X18" s="269"/>
    </row>
    <row r="19" spans="1:24" s="345" customFormat="1" ht="26.4" x14ac:dyDescent="0.3">
      <c r="A19" s="290"/>
      <c r="B19" s="291"/>
      <c r="C19" s="292"/>
      <c r="D19" s="297" t="s">
        <v>1523</v>
      </c>
      <c r="E19" s="560">
        <v>1</v>
      </c>
      <c r="F19" s="281">
        <f>COUNTIFS('Annex 2.1. Outcome_UrbanDev'!$K$14:$K$1000,"1st",'Annex 2.1. Outcome_UrbanDev'!$I$14:$I$1000,F11)</f>
        <v>0</v>
      </c>
      <c r="G19" s="281">
        <f>COUNTIFS('Annex 2.1. Outcome_UrbanDev'!$K$14:$K$1000,"1st",'Annex 2.1. Outcome_UrbanDev'!$I$14:$I$1000,G11)</f>
        <v>0</v>
      </c>
      <c r="H19" s="281">
        <f>COUNTIFS('Annex 2.1. Outcome_UrbanDev'!$K$14:$K$1000,"1st",'Annex 2.1. Outcome_UrbanDev'!$I$14:$I$1000,H11)</f>
        <v>0</v>
      </c>
      <c r="I19" s="281">
        <f>COUNTIFS('Annex 2.1. Outcome_UrbanDev'!$K$14:$K$1000,"1st",'Annex 2.1. Outcome_UrbanDev'!$I$14:$I$1000,I11)</f>
        <v>0</v>
      </c>
      <c r="J19" s="281">
        <f>COUNTIFS('Annex 2.1. Outcome_UrbanDev'!$K$14:$K$1000,"1st",'Annex 2.1. Outcome_UrbanDev'!$I$14:$I$1000,J11)</f>
        <v>0</v>
      </c>
      <c r="K19" s="281">
        <f>COUNTIFS('Annex 2.1. Outcome_UrbanDev'!$K$14:$K$1000,"1st",'Annex 2.1. Outcome_UrbanDev'!$I$14:$I$1000,K11)</f>
        <v>0</v>
      </c>
      <c r="L19" s="281">
        <f>COUNTIFS('Annex 2.1. Outcome_UrbanDev'!$K$14:$K$1000,"1st",'Annex 2.1. Outcome_UrbanDev'!$I$14:$I$1000,L11)</f>
        <v>0</v>
      </c>
      <c r="M19" s="281">
        <f>COUNTIFS('Annex 2.1. Outcome_UrbanDev'!$K$14:$K$1000,"1st",'Annex 2.1. Outcome_UrbanDev'!$I$14:$I$1000,M11)</f>
        <v>0</v>
      </c>
      <c r="N19" s="281">
        <f>COUNTIFS('Annex 2.1. Outcome_UrbanDev'!$K$14:$K$1000,"1st",'Annex 2.1. Outcome_UrbanDev'!$I$14:$I$1000,N11)</f>
        <v>0</v>
      </c>
      <c r="O19" s="281">
        <f>COUNTIFS('Annex 2.1. Outcome_UrbanDev'!$K$14:$K$1000,"1st",'Annex 2.1. Outcome_UrbanDev'!$I$14:$I$1000,O11)</f>
        <v>0</v>
      </c>
      <c r="P19" s="281">
        <f>COUNTIFS('Annex 2.1. Outcome_UrbanDev'!$K$14:$K$1000,"1st",'Annex 2.1. Outcome_UrbanDev'!$I$14:$I$1000,P11)</f>
        <v>0</v>
      </c>
      <c r="Q19" s="281">
        <f>COUNTIFS('Annex 2.1. Outcome_UrbanDev'!$K$14:$K$1000,"1st",'Annex 2.1. Outcome_UrbanDev'!$I$14:$I$1000,Q11)</f>
        <v>0</v>
      </c>
      <c r="R19" s="357">
        <f>SUM(F19:H19)</f>
        <v>0</v>
      </c>
      <c r="S19" s="357">
        <f t="shared" ref="S19:U19" si="4">SUM(G19:I19)</f>
        <v>0</v>
      </c>
      <c r="T19" s="357">
        <f t="shared" si="4"/>
        <v>0</v>
      </c>
      <c r="U19" s="357">
        <f t="shared" si="4"/>
        <v>0</v>
      </c>
      <c r="V19" s="278">
        <f>SUM(F19:Q19)</f>
        <v>0</v>
      </c>
      <c r="W19" s="432" t="s">
        <v>1512</v>
      </c>
      <c r="X19" s="271" t="s">
        <v>1524</v>
      </c>
    </row>
    <row r="20" spans="1:24" s="345" customFormat="1" ht="15" customHeight="1" x14ac:dyDescent="0.25">
      <c r="A20" s="577" t="s">
        <v>1525</v>
      </c>
      <c r="B20" s="578"/>
      <c r="C20" s="578"/>
      <c r="D20" s="579"/>
      <c r="E20" s="222"/>
      <c r="F20" s="282"/>
      <c r="G20" s="282"/>
      <c r="H20" s="282"/>
      <c r="I20" s="282"/>
      <c r="J20" s="282"/>
      <c r="K20" s="282"/>
      <c r="L20" s="282"/>
      <c r="M20" s="282"/>
      <c r="N20" s="282"/>
      <c r="O20" s="282"/>
      <c r="P20" s="282"/>
      <c r="Q20" s="282"/>
      <c r="R20" s="282"/>
      <c r="S20" s="282"/>
      <c r="T20" s="282"/>
      <c r="U20" s="282"/>
      <c r="V20" s="276"/>
      <c r="W20" s="433" t="s">
        <v>1512</v>
      </c>
      <c r="X20" s="358"/>
    </row>
    <row r="21" spans="1:24" s="345" customFormat="1" ht="12.75" customHeight="1" x14ac:dyDescent="0.25">
      <c r="A21" s="298"/>
      <c r="B21" s="299" t="s">
        <v>1526</v>
      </c>
      <c r="C21" s="300"/>
      <c r="D21" s="301"/>
      <c r="E21" s="223"/>
      <c r="F21" s="283"/>
      <c r="G21" s="283"/>
      <c r="H21" s="283"/>
      <c r="I21" s="283"/>
      <c r="J21" s="283"/>
      <c r="K21" s="283"/>
      <c r="L21" s="283"/>
      <c r="M21" s="283"/>
      <c r="N21" s="283"/>
      <c r="O21" s="283"/>
      <c r="P21" s="283"/>
      <c r="Q21" s="283"/>
      <c r="R21" s="283"/>
      <c r="S21" s="283"/>
      <c r="T21" s="283"/>
      <c r="U21" s="283"/>
      <c r="V21" s="284"/>
      <c r="W21" s="434" t="s">
        <v>1512</v>
      </c>
      <c r="X21" s="359"/>
    </row>
    <row r="22" spans="1:24" s="345" customFormat="1" x14ac:dyDescent="0.25">
      <c r="A22" s="302"/>
      <c r="B22" s="303">
        <v>1</v>
      </c>
      <c r="C22" s="304" t="s">
        <v>1527</v>
      </c>
      <c r="D22" s="305"/>
      <c r="E22" s="224"/>
      <c r="F22" s="279"/>
      <c r="G22" s="279"/>
      <c r="H22" s="279"/>
      <c r="I22" s="279"/>
      <c r="J22" s="279"/>
      <c r="K22" s="279"/>
      <c r="L22" s="279"/>
      <c r="M22" s="279"/>
      <c r="N22" s="279"/>
      <c r="O22" s="279"/>
      <c r="P22" s="279"/>
      <c r="Q22" s="279"/>
      <c r="R22" s="279"/>
      <c r="S22" s="279"/>
      <c r="T22" s="279"/>
      <c r="U22" s="279"/>
      <c r="V22" s="285"/>
      <c r="W22" s="432" t="s">
        <v>1512</v>
      </c>
      <c r="X22" s="269"/>
    </row>
    <row r="23" spans="1:24" s="345" customFormat="1" ht="14.4" x14ac:dyDescent="0.3">
      <c r="A23" s="302"/>
      <c r="B23" s="306"/>
      <c r="C23" s="307" t="s">
        <v>1528</v>
      </c>
      <c r="D23" s="308"/>
      <c r="E23" s="220">
        <v>12</v>
      </c>
      <c r="F23" s="279">
        <f>COUNTIFS('Annex 4.1 TA_CLUP'!$J$18:$J$1005,"1st",'Annex 4.1 TA_CLUP'!$H$18:$H$1005,"January")</f>
        <v>1</v>
      </c>
      <c r="G23" s="279">
        <f>COUNTIFS('Annex 4.1 TA_CLUP'!$J$18:$J$1005,"1st",'Annex 4.1 TA_CLUP'!$H$18:$H$1005,"February")</f>
        <v>3</v>
      </c>
      <c r="H23" s="279">
        <f>COUNTIFS('Annex 4.1 TA_CLUP'!$J$18:$J$1005,"1st",'Annex 4.1 TA_CLUP'!$H$18:$H$1005,"March")</f>
        <v>0</v>
      </c>
      <c r="I23" s="279">
        <f>COUNTIFS('Annex 4.1 TA_CLUP'!$J$18:$J$1005,"1st",'Annex 4.1 TA_CLUP'!$H$18:$H$1005,"April")</f>
        <v>0</v>
      </c>
      <c r="J23" s="279">
        <f>COUNTIFS('Annex 4.1 TA_CLUP'!$J$18:$J$1005,"1st",'Annex 4.1 TA_CLUP'!$H$18:$H$1005,"May")</f>
        <v>0</v>
      </c>
      <c r="K23" s="279">
        <f>COUNTIFS('Annex 4.1 TA_CLUP'!$J$18:$J$1005,"1st",'Annex 4.1 TA_CLUP'!$H$18:$H$1005,"June")</f>
        <v>0</v>
      </c>
      <c r="L23" s="279">
        <f>COUNTIFS('Annex 4.1 TA_CLUP'!$J$18:$J$1005,"1st",'Annex 4.1 TA_CLUP'!$H$18:$H$1005,"July")</f>
        <v>0</v>
      </c>
      <c r="M23" s="279">
        <f>COUNTIFS('Annex 4.1 TA_CLUP'!$J$18:$J$1005,"1st",'Annex 4.1 TA_CLUP'!$H$18:$H$1005,"August")</f>
        <v>0</v>
      </c>
      <c r="N23" s="279">
        <f>COUNTIFS('Annex 4.1 TA_CLUP'!$J$18:$J$1005,"1st",'Annex 4.1 TA_CLUP'!$H$18:$H$1005,"September")</f>
        <v>0</v>
      </c>
      <c r="O23" s="279">
        <f>COUNTIFS('Annex 4.1 TA_CLUP'!$J$18:$J$1005,"1st",'Annex 4.1 TA_CLUP'!$H$18:$H$1005,"October")</f>
        <v>0</v>
      </c>
      <c r="P23" s="279">
        <f>COUNTIFS('Annex 4.1 TA_CLUP'!$J$18:$J$1005,"1st",'Annex 4.1 TA_CLUP'!$H$18:$H$1005,"November")</f>
        <v>0</v>
      </c>
      <c r="Q23" s="279">
        <f>COUNTIFS('Annex 4.1 TA_CLUP'!$J$18:$J$1005,"1st",'Annex 4.1 TA_CLUP'!$H$18:$H$1005,"December")</f>
        <v>0</v>
      </c>
      <c r="R23" s="357">
        <f>SUM(F23:H23)</f>
        <v>4</v>
      </c>
      <c r="S23" s="357">
        <f t="shared" ref="S23:S25" si="5">SUM(I23:K23)</f>
        <v>0</v>
      </c>
      <c r="T23" s="357">
        <f t="shared" ref="T23:T25" si="6">SUM(L23:N23)</f>
        <v>0</v>
      </c>
      <c r="U23" s="357">
        <f t="shared" ref="U23:U25" si="7">SUM(O23:Q23)</f>
        <v>0</v>
      </c>
      <c r="V23" s="278">
        <f t="shared" ref="V23:V87" si="8">SUM(F23:Q23)</f>
        <v>4</v>
      </c>
      <c r="W23" s="432" t="s">
        <v>1512</v>
      </c>
      <c r="X23" s="271" t="s">
        <v>1529</v>
      </c>
    </row>
    <row r="24" spans="1:24" s="345" customFormat="1" x14ac:dyDescent="0.25">
      <c r="A24" s="302"/>
      <c r="B24" s="306"/>
      <c r="C24" s="307" t="s">
        <v>1530</v>
      </c>
      <c r="D24" s="308"/>
      <c r="E24" s="151"/>
      <c r="F24" s="279">
        <f>COUNTIFS('Annex 4.1 TA_CLUP'!$D$18:$D$1005, "&lt;&gt;", 'Annex 4.1 TA_CLUP'!$H$18:$H$1005, "January")</f>
        <v>1</v>
      </c>
      <c r="G24" s="279">
        <f>COUNTIFS('Annex 4.1 TA_CLUP'!$D$18:$D$1005, "&lt;&gt;", 'Annex 4.1 TA_CLUP'!$H$18:$H$1005, "February")</f>
        <v>5</v>
      </c>
      <c r="H24" s="279">
        <f>COUNTIFS('Annex 4.1 TA_CLUP'!$D$18:$D$1005, "&lt;&gt;", 'Annex 4.1 TA_CLUP'!$H$18:$H$1005, "March")</f>
        <v>0</v>
      </c>
      <c r="I24" s="279">
        <f>COUNTIFS('Annex 4.1 TA_CLUP'!$D$18:$D$1005, "&lt;&gt;", 'Annex 4.1 TA_CLUP'!$H$18:$H$1005, "April")</f>
        <v>0</v>
      </c>
      <c r="J24" s="279">
        <f>COUNTIFS('Annex 4.1 TA_CLUP'!$D$18:$D$1005, "&lt;&gt;", 'Annex 4.1 TA_CLUP'!$H$18:$H$1005, "May")</f>
        <v>0</v>
      </c>
      <c r="K24" s="279">
        <f>COUNTIFS('Annex 4.1 TA_CLUP'!$D$18:$D$1005, "&lt;&gt;", 'Annex 4.1 TA_CLUP'!$H$18:$H$1005, "June")</f>
        <v>0</v>
      </c>
      <c r="L24" s="279">
        <f>COUNTIFS('Annex 4.1 TA_CLUP'!$D$18:$D$1005, "&lt;&gt;", 'Annex 4.1 TA_CLUP'!$H$18:$H$1005, "July")</f>
        <v>0</v>
      </c>
      <c r="M24" s="279">
        <f>COUNTIFS('Annex 4.1 TA_CLUP'!$D$18:$D$1005, "&lt;&gt;", 'Annex 4.1 TA_CLUP'!$H$18:$H$1005, "August")</f>
        <v>0</v>
      </c>
      <c r="N24" s="279">
        <f>COUNTIFS('Annex 4.1 TA_CLUP'!$D$18:$D$1005, "&lt;&gt;", 'Annex 4.1 TA_CLUP'!$H$18:$H$1005, "September")</f>
        <v>0</v>
      </c>
      <c r="O24" s="279">
        <f>COUNTIFS('Annex 4.1 TA_CLUP'!$D$18:$D$1005, "&lt;&gt;", 'Annex 4.1 TA_CLUP'!$H$18:$H$1005, "October")</f>
        <v>0</v>
      </c>
      <c r="P24" s="279">
        <f>COUNTIFS('Annex 4.1 TA_CLUP'!$D$18:$D$1005, "&lt;&gt;", 'Annex 4.1 TA_CLUP'!$H$18:$H$1005, "November")</f>
        <v>0</v>
      </c>
      <c r="Q24" s="279">
        <f>COUNTIFS('Annex 4.1 TA_CLUP'!$D$18:$D$1005, "&lt;&gt;", 'Annex 4.1 TA_CLUP'!$H$18:$H$1005, "December")</f>
        <v>0</v>
      </c>
      <c r="R24" s="357">
        <f>SUM(F24:H24)</f>
        <v>6</v>
      </c>
      <c r="S24" s="357">
        <f t="shared" si="5"/>
        <v>0</v>
      </c>
      <c r="T24" s="357">
        <f t="shared" si="6"/>
        <v>0</v>
      </c>
      <c r="U24" s="357">
        <f t="shared" si="7"/>
        <v>0</v>
      </c>
      <c r="V24" s="278">
        <f>SUM(F24:Q24)</f>
        <v>6</v>
      </c>
      <c r="W24" s="432"/>
      <c r="X24" s="269"/>
    </row>
    <row r="25" spans="1:24" s="345" customFormat="1" x14ac:dyDescent="0.25">
      <c r="A25" s="302"/>
      <c r="B25" s="306"/>
      <c r="C25" s="307"/>
      <c r="D25" s="308" t="s">
        <v>1531</v>
      </c>
      <c r="E25" s="151"/>
      <c r="F25" s="279">
        <f>COUNTIFS('Annex 4.1 TA_CLUP'!$F$18:$F$1005,"Planned",'Annex 4.1 TA_CLUP'!$H$18:$H$1005,"January")</f>
        <v>0</v>
      </c>
      <c r="G25" s="279">
        <f>COUNTIFS('Annex 4.1 TA_CLUP'!$F$18:$F$1005,"Planned",'Annex 4.1 TA_CLUP'!$H$18:$H$1005,"February")</f>
        <v>0</v>
      </c>
      <c r="H25" s="279">
        <f>COUNTIFS('Annex 4.1 TA_CLUP'!$F$18:$F$1005,"Planned",'Annex 4.1 TA_CLUP'!$H$18:$H$1005,"March")</f>
        <v>0</v>
      </c>
      <c r="I25" s="279">
        <f>COUNTIFS('Annex 4.1 TA_CLUP'!$F$18:$F$1005,"Planned",'Annex 4.1 TA_CLUP'!$H$18:$H$1005,"April")</f>
        <v>0</v>
      </c>
      <c r="J25" s="279">
        <f>COUNTIFS('Annex 4.1 TA_CLUP'!$F$18:$F$1005,"Planned",'Annex 4.1 TA_CLUP'!$H$18:$H$1005,"May")</f>
        <v>0</v>
      </c>
      <c r="K25" s="279">
        <f>COUNTIFS('Annex 4.1 TA_CLUP'!$F$18:$F$1005,"Planned",'Annex 4.1 TA_CLUP'!$H$18:$H$1005,"June")</f>
        <v>0</v>
      </c>
      <c r="L25" s="279">
        <f>COUNTIFS('Annex 4.1 TA_CLUP'!$F$18:$F$1005,"Planned",'Annex 4.1 TA_CLUP'!$H$18:$H$1005,"July")</f>
        <v>0</v>
      </c>
      <c r="M25" s="279">
        <f>COUNTIFS('Annex 4.1 TA_CLUP'!$F$18:$F$1005,"Planned",'Annex 4.1 TA_CLUP'!$H$18:$H$1005,"August")</f>
        <v>0</v>
      </c>
      <c r="N25" s="279">
        <f>COUNTIFS('Annex 4.1 TA_CLUP'!$F$18:$F$1005,"Planned",'Annex 4.1 TA_CLUP'!$H$18:$H$1005,"September")</f>
        <v>0</v>
      </c>
      <c r="O25" s="279">
        <f>COUNTIFS('Annex 4.1 TA_CLUP'!$F$18:$F$1005,"Planned",'Annex 4.1 TA_CLUP'!$H$18:$H$1005,"October")</f>
        <v>0</v>
      </c>
      <c r="P25" s="279">
        <f>COUNTIFS('Annex 4.1 TA_CLUP'!$F$18:$F$1005,"Planned",'Annex 4.1 TA_CLUP'!$H$18:$H$1005,"November")</f>
        <v>0</v>
      </c>
      <c r="Q25" s="279">
        <f>COUNTIFS('Annex 4.1 TA_CLUP'!$F$18:$F$1005,"Planned",'Annex 4.1 TA_CLUP'!$H$18:$H$1005,"December")</f>
        <v>0</v>
      </c>
      <c r="R25" s="357">
        <f t="shared" ref="R25:R26" si="9">SUM(F25:H25)</f>
        <v>0</v>
      </c>
      <c r="S25" s="357">
        <f t="shared" si="5"/>
        <v>0</v>
      </c>
      <c r="T25" s="357">
        <f t="shared" si="6"/>
        <v>0</v>
      </c>
      <c r="U25" s="357">
        <f t="shared" si="7"/>
        <v>0</v>
      </c>
      <c r="V25" s="278">
        <f t="shared" ref="V25:V26" si="10">SUM(F25:Q25)</f>
        <v>0</v>
      </c>
      <c r="W25" s="432" t="s">
        <v>1512</v>
      </c>
      <c r="X25" s="269"/>
    </row>
    <row r="26" spans="1:24" s="345" customFormat="1" x14ac:dyDescent="0.25">
      <c r="A26" s="302"/>
      <c r="B26" s="306"/>
      <c r="C26" s="307"/>
      <c r="D26" s="308" t="s">
        <v>1532</v>
      </c>
      <c r="E26" s="151"/>
      <c r="F26" s="279">
        <f>COUNTIFS('Annex 4.1 TA_CLUP'!$F$18:$F$1005,"Requested",'Annex 4.1 TA_CLUP'!$H$18:$H$1005,F11)</f>
        <v>1</v>
      </c>
      <c r="G26" s="279">
        <f>COUNTIFS('Annex 4.1 TA_CLUP'!$F$18:$F$1005,"Requested",'Annex 4.1 TA_CLUP'!$H$18:$H$1005,G11)</f>
        <v>5</v>
      </c>
      <c r="H26" s="279">
        <f>COUNTIFS('Annex 4.1 TA_CLUP'!$F$18:$F$1005,"Requested",'Annex 4.1 TA_CLUP'!$H$18:$H$1005,H11)</f>
        <v>0</v>
      </c>
      <c r="I26" s="279">
        <f>COUNTIFS('Annex 4.1 TA_CLUP'!$F$18:$F$1005,"Requested",'Annex 4.1 TA_CLUP'!$H$18:$H$1005,I11)</f>
        <v>0</v>
      </c>
      <c r="J26" s="279">
        <f>COUNTIFS('Annex 4.1 TA_CLUP'!$F$18:$F$1005,"Requested",'Annex 4.1 TA_CLUP'!$H$18:$H$1005,J11)</f>
        <v>0</v>
      </c>
      <c r="K26" s="279">
        <f>COUNTIFS('Annex 4.1 TA_CLUP'!$F$18:$F$1005,"Requested",'Annex 4.1 TA_CLUP'!$H$18:$H$1005,K11)</f>
        <v>0</v>
      </c>
      <c r="L26" s="279">
        <f>COUNTIFS('Annex 4.1 TA_CLUP'!$F$18:$F$1005,"Requested",'Annex 4.1 TA_CLUP'!$H$18:$H$1005,L11)</f>
        <v>0</v>
      </c>
      <c r="M26" s="279">
        <f>COUNTIFS('Annex 4.1 TA_CLUP'!$F$18:$F$1005,"Requested",'Annex 4.1 TA_CLUP'!$H$18:$H$1005,M11)</f>
        <v>0</v>
      </c>
      <c r="N26" s="279">
        <f>COUNTIFS('Annex 4.1 TA_CLUP'!$F$18:$F$1005,"Requested",'Annex 4.1 TA_CLUP'!$H$18:$H$1005,N11)</f>
        <v>0</v>
      </c>
      <c r="O26" s="279">
        <f>COUNTIFS('Annex 4.1 TA_CLUP'!$F$18:$F$1005,"Requested",'Annex 4.1 TA_CLUP'!$H$18:$H$1005,O11)</f>
        <v>0</v>
      </c>
      <c r="P26" s="279">
        <f>COUNTIFS('Annex 4.1 TA_CLUP'!$F$18:$F$1005,"Requested",'Annex 4.1 TA_CLUP'!$H$18:$H$1005,P11)</f>
        <v>0</v>
      </c>
      <c r="Q26" s="279">
        <f>COUNTIFS('Annex 4.1 TA_CLUP'!$F$18:$F$1005,"Requested",'Annex 4.1 TA_CLUP'!$H$18:$H$1005,Q11)</f>
        <v>0</v>
      </c>
      <c r="R26" s="357">
        <f t="shared" si="9"/>
        <v>6</v>
      </c>
      <c r="S26" s="357">
        <f>SUM(I26:K26)</f>
        <v>0</v>
      </c>
      <c r="T26" s="357">
        <f>SUM(L26:N26)</f>
        <v>0</v>
      </c>
      <c r="U26" s="357">
        <f>SUM(O26:Q26)</f>
        <v>0</v>
      </c>
      <c r="V26" s="278">
        <f t="shared" si="10"/>
        <v>6</v>
      </c>
      <c r="W26" s="432" t="s">
        <v>1512</v>
      </c>
      <c r="X26" s="269"/>
    </row>
    <row r="27" spans="1:24" s="345" customFormat="1" x14ac:dyDescent="0.25">
      <c r="A27" s="302"/>
      <c r="B27" s="303">
        <v>2</v>
      </c>
      <c r="C27" s="304" t="s">
        <v>1533</v>
      </c>
      <c r="D27" s="305"/>
      <c r="E27" s="225"/>
      <c r="F27" s="272"/>
      <c r="G27" s="272"/>
      <c r="H27" s="272"/>
      <c r="I27" s="272"/>
      <c r="J27" s="272"/>
      <c r="K27" s="272"/>
      <c r="L27" s="272"/>
      <c r="M27" s="272"/>
      <c r="N27" s="272"/>
      <c r="O27" s="272"/>
      <c r="P27" s="272"/>
      <c r="Q27" s="272"/>
      <c r="R27" s="272"/>
      <c r="S27" s="272"/>
      <c r="T27" s="272"/>
      <c r="U27" s="272"/>
      <c r="V27" s="285"/>
      <c r="W27" s="432" t="s">
        <v>1512</v>
      </c>
      <c r="X27" s="269"/>
    </row>
    <row r="28" spans="1:24" s="345" customFormat="1" ht="14.4" x14ac:dyDescent="0.3">
      <c r="A28" s="302"/>
      <c r="B28" s="306"/>
      <c r="C28" s="307" t="s">
        <v>1534</v>
      </c>
      <c r="D28" s="308"/>
      <c r="E28" s="220">
        <v>1</v>
      </c>
      <c r="F28" s="279">
        <f>COUNTIFS('Annex 4.2 TA_PDPFP'!$I$18:$I$1000,"1st",'Annex 4.2 TA_PDPFP'!$G$18:$G$1000,'Accomplishment 2026'!F11)</f>
        <v>0</v>
      </c>
      <c r="G28" s="279">
        <f>COUNTIFS('Annex 4.2 TA_PDPFP'!$I$18:$I$1000,"1st",'Annex 4.2 TA_PDPFP'!$G$18:$G$1000,'Accomplishment 2026'!G11)</f>
        <v>0</v>
      </c>
      <c r="H28" s="279">
        <f>COUNTIFS('Annex 4.2 TA_PDPFP'!$I$18:$I$1000,"1st",'Annex 4.2 TA_PDPFP'!$G$18:$G$1000,'Accomplishment 2026'!H11)</f>
        <v>0</v>
      </c>
      <c r="I28" s="279">
        <f>COUNTIFS('Annex 4.2 TA_PDPFP'!$I$18:$I$1000,"1st",'Annex 4.2 TA_PDPFP'!$G$18:$G$1000,'Accomplishment 2026'!I11)</f>
        <v>0</v>
      </c>
      <c r="J28" s="279">
        <f>COUNTIFS('Annex 4.2 TA_PDPFP'!$I$18:$I$1000,"1st",'Annex 4.2 TA_PDPFP'!$G$18:$G$1000,'Accomplishment 2026'!J11)</f>
        <v>0</v>
      </c>
      <c r="K28" s="279">
        <f>COUNTIFS('Annex 4.2 TA_PDPFP'!$I$18:$I$1000,"1st",'Annex 4.2 TA_PDPFP'!$G$18:$G$1000,'Accomplishment 2026'!K11)</f>
        <v>0</v>
      </c>
      <c r="L28" s="279">
        <f>COUNTIFS('Annex 4.2 TA_PDPFP'!$I$18:$I$1000,"1st",'Annex 4.2 TA_PDPFP'!$G$18:$G$1000,'Accomplishment 2026'!L11)</f>
        <v>0</v>
      </c>
      <c r="M28" s="279">
        <f>COUNTIFS('Annex 4.2 TA_PDPFP'!$I$18:$I$1000,"1st",'Annex 4.2 TA_PDPFP'!$G$18:$G$1000,'Accomplishment 2026'!M11)</f>
        <v>0</v>
      </c>
      <c r="N28" s="279">
        <f>COUNTIFS('Annex 4.2 TA_PDPFP'!$I$18:$I$1000,"1st",'Annex 4.2 TA_PDPFP'!$G$18:$G$1000,'Accomplishment 2026'!N11)</f>
        <v>0</v>
      </c>
      <c r="O28" s="279">
        <f>COUNTIFS('Annex 4.2 TA_PDPFP'!$I$18:$I$1000,"1st",'Annex 4.2 TA_PDPFP'!$G$18:$G$1000,'Accomplishment 2026'!O11)</f>
        <v>0</v>
      </c>
      <c r="P28" s="279">
        <f>COUNTIFS('Annex 4.2 TA_PDPFP'!$I$18:$I$1000,"1st",'Annex 4.2 TA_PDPFP'!$G$18:$G$1000,'Accomplishment 2026'!P11)</f>
        <v>0</v>
      </c>
      <c r="Q28" s="279">
        <f>COUNTIFS('Annex 4.2 TA_PDPFP'!$I$18:$I$1000,"1st",'Annex 4.2 TA_PDPFP'!$G$18:$G$1000,'Accomplishment 2026'!Q11)</f>
        <v>0</v>
      </c>
      <c r="R28" s="357">
        <f>SUM(F28:H28)</f>
        <v>0</v>
      </c>
      <c r="S28" s="357">
        <f t="shared" ref="S28:S30" si="11">SUM(I28:K28)</f>
        <v>0</v>
      </c>
      <c r="T28" s="357">
        <f t="shared" ref="T28:T30" si="12">SUM(L28:N28)</f>
        <v>0</v>
      </c>
      <c r="U28" s="357">
        <f t="shared" ref="U28:U30" si="13">SUM(O28:Q28)</f>
        <v>0</v>
      </c>
      <c r="V28" s="278">
        <f t="shared" si="8"/>
        <v>0</v>
      </c>
      <c r="W28" s="432" t="s">
        <v>1512</v>
      </c>
      <c r="X28" s="271" t="s">
        <v>1535</v>
      </c>
    </row>
    <row r="29" spans="1:24" s="345" customFormat="1" x14ac:dyDescent="0.25">
      <c r="A29" s="302"/>
      <c r="B29" s="306"/>
      <c r="C29" s="307" t="s">
        <v>1536</v>
      </c>
      <c r="D29" s="308"/>
      <c r="E29" s="151"/>
      <c r="F29" s="279">
        <f>COUNTIFS('Annex 4.2 TA_PDPFP'!$C$18:$C$1000,"&lt;&gt;",'Annex 4.2 TA_PDPFP'!$G$18:$G$1000,'Accomplishment 2026'!F11)</f>
        <v>0</v>
      </c>
      <c r="G29" s="279">
        <f>COUNTIFS('Annex 4.2 TA_PDPFP'!$C$18:$C$1000,"&lt;&gt;",'Annex 4.2 TA_PDPFP'!$G$18:$G$1000,'Accomplishment 2026'!G11)</f>
        <v>0</v>
      </c>
      <c r="H29" s="279">
        <f>COUNTIFS('Annex 4.2 TA_PDPFP'!$C$18:$C$1000,"&lt;&gt;",'Annex 4.2 TA_PDPFP'!$G$18:$G$1000,'Accomplishment 2026'!H11)</f>
        <v>0</v>
      </c>
      <c r="I29" s="279">
        <f>COUNTIFS('Annex 4.2 TA_PDPFP'!$C$18:$C$1000,"&lt;&gt;",'Annex 4.2 TA_PDPFP'!$G$18:$G$1000,'Accomplishment 2026'!I11)</f>
        <v>0</v>
      </c>
      <c r="J29" s="279">
        <f>COUNTIFS('Annex 4.2 TA_PDPFP'!$C$18:$C$1000,"&lt;&gt;",'Annex 4.2 TA_PDPFP'!$G$18:$G$1000,'Accomplishment 2026'!J11)</f>
        <v>0</v>
      </c>
      <c r="K29" s="279">
        <f>COUNTIFS('Annex 4.2 TA_PDPFP'!$C$18:$C$1000,"&lt;&gt;",'Annex 4.2 TA_PDPFP'!$G$18:$G$1000,'Accomplishment 2026'!K11)</f>
        <v>0</v>
      </c>
      <c r="L29" s="279">
        <f>COUNTIFS('Annex 4.2 TA_PDPFP'!$C$18:$C$1000,"&lt;&gt;",'Annex 4.2 TA_PDPFP'!$G$18:$G$1000,'Accomplishment 2026'!L11)</f>
        <v>0</v>
      </c>
      <c r="M29" s="279">
        <f>COUNTIFS('Annex 4.2 TA_PDPFP'!$C$18:$C$1000,"&lt;&gt;",'Annex 4.2 TA_PDPFP'!$G$18:$G$1000,'Accomplishment 2026'!M11)</f>
        <v>0</v>
      </c>
      <c r="N29" s="279">
        <f>COUNTIFS('Annex 4.2 TA_PDPFP'!$C$18:$C$1000,"&lt;&gt;",'Annex 4.2 TA_PDPFP'!$G$18:$G$1000,'Accomplishment 2026'!N11)</f>
        <v>0</v>
      </c>
      <c r="O29" s="279">
        <f>COUNTIFS('Annex 4.2 TA_PDPFP'!$C$18:$C$1000,"&lt;&gt;",'Annex 4.2 TA_PDPFP'!$G$18:$G$1000,'Accomplishment 2026'!O11)</f>
        <v>0</v>
      </c>
      <c r="P29" s="279">
        <f>COUNTIFS('Annex 4.2 TA_PDPFP'!$C$18:$C$1000,"&lt;&gt;",'Annex 4.2 TA_PDPFP'!$G$18:$G$1000,'Accomplishment 2026'!P11)</f>
        <v>0</v>
      </c>
      <c r="Q29" s="279">
        <f>COUNTIFS('Annex 4.2 TA_PDPFP'!$C$18:$C$1000,"&lt;&gt;",'Annex 4.2 TA_PDPFP'!$G$18:$G$1000,'Accomplishment 2026'!Q11)</f>
        <v>0</v>
      </c>
      <c r="R29" s="357">
        <f>SUM(F29:H29)</f>
        <v>0</v>
      </c>
      <c r="S29" s="357">
        <f t="shared" si="11"/>
        <v>0</v>
      </c>
      <c r="T29" s="357">
        <f t="shared" si="12"/>
        <v>0</v>
      </c>
      <c r="U29" s="357">
        <f t="shared" si="13"/>
        <v>0</v>
      </c>
      <c r="V29" s="278">
        <f t="shared" si="8"/>
        <v>0</v>
      </c>
      <c r="W29" s="432"/>
      <c r="X29" s="269"/>
    </row>
    <row r="30" spans="1:24" s="345" customFormat="1" x14ac:dyDescent="0.25">
      <c r="A30" s="302"/>
      <c r="B30" s="306"/>
      <c r="C30" s="307"/>
      <c r="D30" s="308" t="s">
        <v>1537</v>
      </c>
      <c r="E30" s="151"/>
      <c r="F30" s="279">
        <f>COUNTIFS('Annex 4.2 TA_PDPFP'!$E$18:$E$1000,"Planned",'Annex 4.2 TA_PDPFP'!$G$18:$G$1000,F11)</f>
        <v>0</v>
      </c>
      <c r="G30" s="279">
        <f>COUNTIFS('Annex 4.2 TA_PDPFP'!$E$18:$E$1000,"Planned",'Annex 4.2 TA_PDPFP'!$G$18:$G$1000,G11)</f>
        <v>0</v>
      </c>
      <c r="H30" s="279">
        <f>COUNTIFS('Annex 4.2 TA_PDPFP'!$E$18:$E$1000,"Planned",'Annex 4.2 TA_PDPFP'!$G$18:$G$1000,H11)</f>
        <v>0</v>
      </c>
      <c r="I30" s="279">
        <f>COUNTIFS('Annex 4.2 TA_PDPFP'!$E$18:$E$1000,"Planned",'Annex 4.2 TA_PDPFP'!$G$18:$G$1000,I11)</f>
        <v>0</v>
      </c>
      <c r="J30" s="279">
        <f>COUNTIFS('Annex 4.2 TA_PDPFP'!$E$18:$E$1000,"Planned",'Annex 4.2 TA_PDPFP'!$G$18:$G$1000,J11)</f>
        <v>0</v>
      </c>
      <c r="K30" s="279">
        <f>COUNTIFS('Annex 4.2 TA_PDPFP'!$E$18:$E$1000,"Planned",'Annex 4.2 TA_PDPFP'!$G$18:$G$1000,K11)</f>
        <v>0</v>
      </c>
      <c r="L30" s="279">
        <f>COUNTIFS('Annex 4.2 TA_PDPFP'!$E$18:$E$1000,"Planned",'Annex 4.2 TA_PDPFP'!$G$18:$G$1000,L11)</f>
        <v>0</v>
      </c>
      <c r="M30" s="279">
        <f>COUNTIFS('Annex 4.2 TA_PDPFP'!$E$18:$E$1000,"Planned",'Annex 4.2 TA_PDPFP'!$G$18:$G$1000,M11)</f>
        <v>0</v>
      </c>
      <c r="N30" s="279">
        <f>COUNTIFS('Annex 4.2 TA_PDPFP'!$E$18:$E$1000,"Planned",'Annex 4.2 TA_PDPFP'!$G$18:$G$1000,N11)</f>
        <v>0</v>
      </c>
      <c r="O30" s="279">
        <f>COUNTIFS('Annex 4.2 TA_PDPFP'!$E$18:$E$1000,"Planned",'Annex 4.2 TA_PDPFP'!$G$18:$G$1000,O11)</f>
        <v>0</v>
      </c>
      <c r="P30" s="279">
        <f>COUNTIFS('Annex 4.2 TA_PDPFP'!$E$18:$E$1000,"Planned",'Annex 4.2 TA_PDPFP'!$G$18:$G$1000,P11)</f>
        <v>0</v>
      </c>
      <c r="Q30" s="279">
        <f>COUNTIFS('Annex 4.2 TA_PDPFP'!$E$18:$E$1000,"Planned",'Annex 4.2 TA_PDPFP'!$G$18:$G$1000,Q11)</f>
        <v>0</v>
      </c>
      <c r="R30" s="357">
        <f t="shared" ref="R30:R31" si="14">SUM(F30:H30)</f>
        <v>0</v>
      </c>
      <c r="S30" s="357">
        <f t="shared" si="11"/>
        <v>0</v>
      </c>
      <c r="T30" s="357">
        <f t="shared" si="12"/>
        <v>0</v>
      </c>
      <c r="U30" s="357">
        <f t="shared" si="13"/>
        <v>0</v>
      </c>
      <c r="V30" s="278">
        <f t="shared" si="8"/>
        <v>0</v>
      </c>
      <c r="W30" s="432" t="s">
        <v>1512</v>
      </c>
      <c r="X30" s="269"/>
    </row>
    <row r="31" spans="1:24" s="345" customFormat="1" x14ac:dyDescent="0.25">
      <c r="A31" s="302"/>
      <c r="B31" s="306"/>
      <c r="C31" s="307"/>
      <c r="D31" s="308" t="s">
        <v>1538</v>
      </c>
      <c r="E31" s="151"/>
      <c r="F31" s="279">
        <f>COUNTIFS('Annex 4.2 TA_PDPFP'!$E$18:$E$1000,"Requested",'Annex 4.2 TA_PDPFP'!$G$18:$G$1000,F11)</f>
        <v>0</v>
      </c>
      <c r="G31" s="279">
        <f>COUNTIFS('Annex 4.2 TA_PDPFP'!$E$18:$E$1000,"Requested",'Annex 4.2 TA_PDPFP'!$G$18:$G$1000,G11)</f>
        <v>0</v>
      </c>
      <c r="H31" s="279">
        <f>COUNTIFS('Annex 4.2 TA_PDPFP'!$E$18:$E$1000,"Requested",'Annex 4.2 TA_PDPFP'!$G$18:$G$1000,H11)</f>
        <v>0</v>
      </c>
      <c r="I31" s="279">
        <f>COUNTIFS('Annex 4.2 TA_PDPFP'!$E$18:$E$1000,"Requested",'Annex 4.2 TA_PDPFP'!$G$18:$G$1000,I11)</f>
        <v>0</v>
      </c>
      <c r="J31" s="279">
        <f>COUNTIFS('Annex 4.2 TA_PDPFP'!$E$18:$E$1000,"Requested",'Annex 4.2 TA_PDPFP'!$G$18:$G$1000,J11)</f>
        <v>0</v>
      </c>
      <c r="K31" s="279">
        <f>COUNTIFS('Annex 4.2 TA_PDPFP'!$E$18:$E$1000,"Requested",'Annex 4.2 TA_PDPFP'!$G$18:$G$1000,K11)</f>
        <v>0</v>
      </c>
      <c r="L31" s="279">
        <f>COUNTIFS('Annex 4.2 TA_PDPFP'!$E$18:$E$1000,"Requested",'Annex 4.2 TA_PDPFP'!$G$18:$G$1000,L11)</f>
        <v>0</v>
      </c>
      <c r="M31" s="279">
        <f>COUNTIFS('Annex 4.2 TA_PDPFP'!$E$18:$E$1000,"Requested",'Annex 4.2 TA_PDPFP'!$G$18:$G$1000,M11)</f>
        <v>0</v>
      </c>
      <c r="N31" s="279">
        <f>COUNTIFS('Annex 4.2 TA_PDPFP'!$E$18:$E$1000,"Requested",'Annex 4.2 TA_PDPFP'!$G$18:$G$1000,N11)</f>
        <v>0</v>
      </c>
      <c r="O31" s="279">
        <f>COUNTIFS('Annex 4.2 TA_PDPFP'!$E$18:$E$1000,"Requested",'Annex 4.2 TA_PDPFP'!$G$18:$G$1000,O11)</f>
        <v>0</v>
      </c>
      <c r="P31" s="279">
        <f>COUNTIFS('Annex 4.2 TA_PDPFP'!$E$18:$E$1000,"Requested",'Annex 4.2 TA_PDPFP'!$G$18:$G$1000,P11)</f>
        <v>0</v>
      </c>
      <c r="Q31" s="279">
        <f>COUNTIFS('Annex 4.2 TA_PDPFP'!$E$18:$E$1000,"Requested",'Annex 4.2 TA_PDPFP'!$G$18:$G$1000,Q11)</f>
        <v>0</v>
      </c>
      <c r="R31" s="357">
        <f t="shared" si="14"/>
        <v>0</v>
      </c>
      <c r="S31" s="357">
        <f>SUM(I31:K31)</f>
        <v>0</v>
      </c>
      <c r="T31" s="357">
        <f>SUM(L31:N31)</f>
        <v>0</v>
      </c>
      <c r="U31" s="357">
        <f>SUM(O31:Q31)</f>
        <v>0</v>
      </c>
      <c r="V31" s="278">
        <f t="shared" si="8"/>
        <v>0</v>
      </c>
      <c r="W31" s="432" t="s">
        <v>1512</v>
      </c>
      <c r="X31" s="269"/>
    </row>
    <row r="32" spans="1:24" s="345" customFormat="1" x14ac:dyDescent="0.25">
      <c r="A32" s="302"/>
      <c r="B32" s="303">
        <v>3</v>
      </c>
      <c r="C32" s="304" t="s">
        <v>1539</v>
      </c>
      <c r="D32" s="305"/>
      <c r="E32" s="225"/>
      <c r="F32" s="279"/>
      <c r="G32" s="279"/>
      <c r="H32" s="279"/>
      <c r="I32" s="279"/>
      <c r="J32" s="279"/>
      <c r="K32" s="279"/>
      <c r="L32" s="279"/>
      <c r="M32" s="279"/>
      <c r="N32" s="279"/>
      <c r="O32" s="279"/>
      <c r="P32" s="279"/>
      <c r="Q32" s="279"/>
      <c r="R32" s="279"/>
      <c r="S32" s="279"/>
      <c r="T32" s="279"/>
      <c r="U32" s="279"/>
      <c r="V32" s="285"/>
      <c r="W32" s="432" t="s">
        <v>1512</v>
      </c>
      <c r="X32" s="269"/>
    </row>
    <row r="33" spans="1:24" s="345" customFormat="1" ht="14.4" x14ac:dyDescent="0.3">
      <c r="A33" s="302"/>
      <c r="B33" s="306"/>
      <c r="C33" s="307" t="s">
        <v>1540</v>
      </c>
      <c r="D33" s="308"/>
      <c r="E33" s="220">
        <v>3</v>
      </c>
      <c r="F33" s="279">
        <f>COUNTIFS('Annex 4.3 TA_HouSub'!$J$18:$J$999,"1st",'Annex 4.3 TA_HouSub'!$H$18:$H$999,F11)</f>
        <v>0</v>
      </c>
      <c r="G33" s="279">
        <f>COUNTIFS('Annex 4.3 TA_HouSub'!$J$18:$J$999,"1st",'Annex 4.3 TA_HouSub'!$H$18:$H$999,G11)</f>
        <v>2</v>
      </c>
      <c r="H33" s="279">
        <f>COUNTIFS('Annex 4.3 TA_HouSub'!$J$18:$J$999,"1st",'Annex 4.3 TA_HouSub'!$H$18:$H$999,H11)</f>
        <v>0</v>
      </c>
      <c r="I33" s="279">
        <f>COUNTIFS('Annex 4.3 TA_HouSub'!$J$18:$J$999,"1st",'Annex 4.3 TA_HouSub'!$H$18:$H$999,I11)</f>
        <v>0</v>
      </c>
      <c r="J33" s="279">
        <f>COUNTIFS('Annex 4.3 TA_HouSub'!$J$18:$J$999,"1st",'Annex 4.3 TA_HouSub'!$H$18:$H$999,J11)</f>
        <v>0</v>
      </c>
      <c r="K33" s="279">
        <f>COUNTIFS('Annex 4.3 TA_HouSub'!$J$18:$J$999,"1st",'Annex 4.3 TA_HouSub'!$H$18:$H$999,K11)</f>
        <v>0</v>
      </c>
      <c r="L33" s="279">
        <f>COUNTIFS('Annex 4.3 TA_HouSub'!$J$18:$J$999,"1st",'Annex 4.3 TA_HouSub'!$H$18:$H$999,L11)</f>
        <v>0</v>
      </c>
      <c r="M33" s="279">
        <f>COUNTIFS('Annex 4.3 TA_HouSub'!$J$18:$J$999,"1st",'Annex 4.3 TA_HouSub'!$H$18:$H$999,M11)</f>
        <v>0</v>
      </c>
      <c r="N33" s="279">
        <f>COUNTIFS('Annex 4.3 TA_HouSub'!$J$18:$J$999,"1st",'Annex 4.3 TA_HouSub'!$H$18:$H$999,N11)</f>
        <v>0</v>
      </c>
      <c r="O33" s="279">
        <f>COUNTIFS('Annex 4.3 TA_HouSub'!$J$18:$J$999,"1st",'Annex 4.3 TA_HouSub'!$H$18:$H$999,O11)</f>
        <v>0</v>
      </c>
      <c r="P33" s="279">
        <f>COUNTIFS('Annex 4.3 TA_HouSub'!$J$18:$J$999,"1st",'Annex 4.3 TA_HouSub'!$H$18:$H$999,P11)</f>
        <v>0</v>
      </c>
      <c r="Q33" s="279">
        <f>COUNTIFS('Annex 4.3 TA_HouSub'!$J$18:$J$999,"1st",'Annex 4.3 TA_HouSub'!$H$18:$H$999,Q11)</f>
        <v>0</v>
      </c>
      <c r="R33" s="357">
        <f>SUM(F33:H33)</f>
        <v>2</v>
      </c>
      <c r="S33" s="357">
        <f t="shared" ref="S33:S35" si="15">SUM(I33:K33)</f>
        <v>0</v>
      </c>
      <c r="T33" s="357">
        <f t="shared" ref="T33:T35" si="16">SUM(L33:N33)</f>
        <v>0</v>
      </c>
      <c r="U33" s="357">
        <f t="shared" ref="U33:U35" si="17">SUM(O33:Q33)</f>
        <v>0</v>
      </c>
      <c r="V33" s="278">
        <f t="shared" si="8"/>
        <v>2</v>
      </c>
      <c r="W33" s="432" t="s">
        <v>1512</v>
      </c>
      <c r="X33" s="271" t="s">
        <v>1541</v>
      </c>
    </row>
    <row r="34" spans="1:24" s="345" customFormat="1" x14ac:dyDescent="0.25">
      <c r="A34" s="302"/>
      <c r="B34" s="306"/>
      <c r="C34" s="307" t="s">
        <v>1542</v>
      </c>
      <c r="D34" s="308"/>
      <c r="E34" s="151"/>
      <c r="F34" s="279">
        <f>COUNTIFS('Annex 4.3 TA_HouSub'!$D$18:$D$999,"&lt;&gt;",'Annex 4.3 TA_HouSub'!$H$18:$H$999,F11)</f>
        <v>0</v>
      </c>
      <c r="G34" s="279">
        <f>COUNTIFS('Annex 4.3 TA_HouSub'!$D$18:$D$999,"&lt;&gt;",'Annex 4.3 TA_HouSub'!$H$18:$H$999,G11)</f>
        <v>2</v>
      </c>
      <c r="H34" s="279">
        <f>COUNTIFS('Annex 4.3 TA_HouSub'!$D$18:$D$999,"&lt;&gt;",'Annex 4.3 TA_HouSub'!$H$18:$H$999,H11)</f>
        <v>0</v>
      </c>
      <c r="I34" s="279">
        <f>COUNTIFS('Annex 4.3 TA_HouSub'!$D$18:$D$999,"&lt;&gt;",'Annex 4.3 TA_HouSub'!$H$18:$H$999,I11)</f>
        <v>0</v>
      </c>
      <c r="J34" s="279">
        <f>COUNTIFS('Annex 4.3 TA_HouSub'!$D$18:$D$999,"&lt;&gt;",'Annex 4.3 TA_HouSub'!$H$18:$H$999,J11)</f>
        <v>0</v>
      </c>
      <c r="K34" s="279">
        <f>COUNTIFS('Annex 4.3 TA_HouSub'!$D$18:$D$999,"&lt;&gt;",'Annex 4.3 TA_HouSub'!$H$18:$H$999,K11)</f>
        <v>0</v>
      </c>
      <c r="L34" s="279">
        <f>COUNTIFS('Annex 4.3 TA_HouSub'!$D$18:$D$999,"&lt;&gt;",'Annex 4.3 TA_HouSub'!$H$18:$H$999,L11)</f>
        <v>0</v>
      </c>
      <c r="M34" s="279">
        <f>COUNTIFS('Annex 4.3 TA_HouSub'!$D$18:$D$999,"&lt;&gt;",'Annex 4.3 TA_HouSub'!$H$18:$H$999,M11)</f>
        <v>0</v>
      </c>
      <c r="N34" s="279">
        <f>COUNTIFS('Annex 4.3 TA_HouSub'!$D$18:$D$999,"&lt;&gt;",'Annex 4.3 TA_HouSub'!$H$18:$H$999,N11)</f>
        <v>0</v>
      </c>
      <c r="O34" s="279">
        <f>COUNTIFS('Annex 4.3 TA_HouSub'!$D$18:$D$999,"&lt;&gt;",'Annex 4.3 TA_HouSub'!$H$18:$H$999,O11)</f>
        <v>0</v>
      </c>
      <c r="P34" s="279">
        <f>COUNTIFS('Annex 4.3 TA_HouSub'!$D$18:$D$999,"&lt;&gt;",'Annex 4.3 TA_HouSub'!$H$18:$H$999,P11)</f>
        <v>0</v>
      </c>
      <c r="Q34" s="279">
        <f>COUNTIFS('Annex 4.3 TA_HouSub'!$D$18:$D$999,"&lt;&gt;",'Annex 4.3 TA_HouSub'!$H$18:$H$999,Q11)</f>
        <v>0</v>
      </c>
      <c r="R34" s="357">
        <f>SUM(F34:H34)</f>
        <v>2</v>
      </c>
      <c r="S34" s="357">
        <f t="shared" si="15"/>
        <v>0</v>
      </c>
      <c r="T34" s="357">
        <f t="shared" si="16"/>
        <v>0</v>
      </c>
      <c r="U34" s="357">
        <f t="shared" si="17"/>
        <v>0</v>
      </c>
      <c r="V34" s="278">
        <f t="shared" si="8"/>
        <v>2</v>
      </c>
      <c r="W34" s="432" t="s">
        <v>1512</v>
      </c>
      <c r="X34" s="269"/>
    </row>
    <row r="35" spans="1:24" s="345" customFormat="1" x14ac:dyDescent="0.25">
      <c r="A35" s="302"/>
      <c r="B35" s="306"/>
      <c r="C35" s="307"/>
      <c r="D35" s="308" t="s">
        <v>1543</v>
      </c>
      <c r="E35" s="151"/>
      <c r="F35" s="279">
        <f>COUNTIFS('Annex 4.3 TA_HouSub'!$F$18:$F$999,"Planned",'Annex 4.3 TA_HouSub'!$H$18:$H$999,F11)</f>
        <v>0</v>
      </c>
      <c r="G35" s="279">
        <f>COUNTIFS('Annex 4.3 TA_HouSub'!$F$18:$F$999,"Planned",'Annex 4.3 TA_HouSub'!$H$18:$H$999,G11)</f>
        <v>0</v>
      </c>
      <c r="H35" s="279">
        <f>COUNTIFS('Annex 4.3 TA_HouSub'!$F$18:$F$999,"Planned",'Annex 4.3 TA_HouSub'!$H$18:$H$999,H11)</f>
        <v>0</v>
      </c>
      <c r="I35" s="279">
        <f>COUNTIFS('Annex 4.3 TA_HouSub'!$F$18:$F$999,"Planned",'Annex 4.3 TA_HouSub'!$H$18:$H$999,I11)</f>
        <v>0</v>
      </c>
      <c r="J35" s="279">
        <f>COUNTIFS('Annex 4.3 TA_HouSub'!$F$18:$F$999,"Planned",'Annex 4.3 TA_HouSub'!$H$18:$H$999,J11)</f>
        <v>0</v>
      </c>
      <c r="K35" s="279">
        <f>COUNTIFS('Annex 4.3 TA_HouSub'!$F$18:$F$999,"Planned",'Annex 4.3 TA_HouSub'!$H$18:$H$999,K11)</f>
        <v>0</v>
      </c>
      <c r="L35" s="279">
        <f>COUNTIFS('Annex 4.3 TA_HouSub'!$F$18:$F$999,"Planned",'Annex 4.3 TA_HouSub'!$H$18:$H$999,L11)</f>
        <v>0</v>
      </c>
      <c r="M35" s="279">
        <f>COUNTIFS('Annex 4.3 TA_HouSub'!$F$18:$F$999,"Planned",'Annex 4.3 TA_HouSub'!$H$18:$H$999,M11)</f>
        <v>0</v>
      </c>
      <c r="N35" s="279">
        <f>COUNTIFS('Annex 4.3 TA_HouSub'!$F$18:$F$999,"Planned",'Annex 4.3 TA_HouSub'!$H$18:$H$999,N11)</f>
        <v>0</v>
      </c>
      <c r="O35" s="279">
        <f>COUNTIFS('Annex 4.3 TA_HouSub'!$F$18:$F$999,"Planned",'Annex 4.3 TA_HouSub'!$H$18:$H$999,O11)</f>
        <v>0</v>
      </c>
      <c r="P35" s="279">
        <f>COUNTIFS('Annex 4.3 TA_HouSub'!$F$18:$F$999,"Planned",'Annex 4.3 TA_HouSub'!$H$18:$H$999,P11)</f>
        <v>0</v>
      </c>
      <c r="Q35" s="279">
        <f>COUNTIFS('Annex 4.3 TA_HouSub'!$F$18:$F$999,"Planned",'Annex 4.3 TA_HouSub'!$H$18:$H$999,Q11)</f>
        <v>0</v>
      </c>
      <c r="R35" s="357">
        <f t="shared" ref="R35:R36" si="18">SUM(F35:H35)</f>
        <v>0</v>
      </c>
      <c r="S35" s="357">
        <f t="shared" si="15"/>
        <v>0</v>
      </c>
      <c r="T35" s="357">
        <f t="shared" si="16"/>
        <v>0</v>
      </c>
      <c r="U35" s="357">
        <f t="shared" si="17"/>
        <v>0</v>
      </c>
      <c r="V35" s="278">
        <f t="shared" si="8"/>
        <v>0</v>
      </c>
      <c r="W35" s="432" t="s">
        <v>1512</v>
      </c>
      <c r="X35" s="269"/>
    </row>
    <row r="36" spans="1:24" s="345" customFormat="1" x14ac:dyDescent="0.25">
      <c r="A36" s="302"/>
      <c r="B36" s="306"/>
      <c r="C36" s="307"/>
      <c r="D36" s="308" t="s">
        <v>1544</v>
      </c>
      <c r="E36" s="151"/>
      <c r="F36" s="279">
        <f>COUNTIFS('Annex 4.3 TA_HouSub'!$F$18:$F$999,"Requested",'Annex 4.3 TA_HouSub'!$H$18:$H$999,F11)</f>
        <v>0</v>
      </c>
      <c r="G36" s="279">
        <f>COUNTIFS('Annex 4.3 TA_HouSub'!$F$18:$F$999,"Requested",'Annex 4.3 TA_HouSub'!$H$18:$H$999,G11)</f>
        <v>2</v>
      </c>
      <c r="H36" s="279">
        <f>COUNTIFS('Annex 4.3 TA_HouSub'!$F$18:$F$999,"Requested",'Annex 4.3 TA_HouSub'!$H$18:$H$999,H11)</f>
        <v>0</v>
      </c>
      <c r="I36" s="279">
        <f>COUNTIFS('Annex 4.3 TA_HouSub'!$F$18:$F$999,"Requested",'Annex 4.3 TA_HouSub'!$H$18:$H$999,I11)</f>
        <v>0</v>
      </c>
      <c r="J36" s="279">
        <f>COUNTIFS('Annex 4.3 TA_HouSub'!$F$18:$F$999,"Requested",'Annex 4.3 TA_HouSub'!$H$18:$H$999,J11)</f>
        <v>0</v>
      </c>
      <c r="K36" s="279">
        <f>COUNTIFS('Annex 4.3 TA_HouSub'!$F$18:$F$999,"Requested",'Annex 4.3 TA_HouSub'!$H$18:$H$999,K11)</f>
        <v>0</v>
      </c>
      <c r="L36" s="279">
        <f>COUNTIFS('Annex 4.3 TA_HouSub'!$F$18:$F$999,"Requested",'Annex 4.3 TA_HouSub'!$H$18:$H$999,L11)</f>
        <v>0</v>
      </c>
      <c r="M36" s="279">
        <f>COUNTIFS('Annex 4.3 TA_HouSub'!$F$18:$F$999,"Requested",'Annex 4.3 TA_HouSub'!$H$18:$H$999,M11)</f>
        <v>0</v>
      </c>
      <c r="N36" s="279">
        <f>COUNTIFS('Annex 4.3 TA_HouSub'!$F$18:$F$999,"Requested",'Annex 4.3 TA_HouSub'!$H$18:$H$999,N11)</f>
        <v>0</v>
      </c>
      <c r="O36" s="279">
        <f>COUNTIFS('Annex 4.3 TA_HouSub'!$F$18:$F$999,"Requested",'Annex 4.3 TA_HouSub'!$H$18:$H$999,O11)</f>
        <v>0</v>
      </c>
      <c r="P36" s="279">
        <f>COUNTIFS('Annex 4.3 TA_HouSub'!$F$18:$F$999,"Requested",'Annex 4.3 TA_HouSub'!$H$18:$H$999,P11)</f>
        <v>0</v>
      </c>
      <c r="Q36" s="279">
        <f>COUNTIFS('Annex 4.3 TA_HouSub'!$F$18:$F$999,"Requested",'Annex 4.3 TA_HouSub'!$H$18:$H$999,Q11)</f>
        <v>0</v>
      </c>
      <c r="R36" s="357">
        <f t="shared" si="18"/>
        <v>2</v>
      </c>
      <c r="S36" s="357">
        <f>SUM(I36:K36)</f>
        <v>0</v>
      </c>
      <c r="T36" s="357">
        <f>SUM(L36:N36)</f>
        <v>0</v>
      </c>
      <c r="U36" s="357">
        <f>SUM(O36:Q36)</f>
        <v>0</v>
      </c>
      <c r="V36" s="278">
        <f t="shared" si="8"/>
        <v>2</v>
      </c>
      <c r="W36" s="432" t="s">
        <v>1512</v>
      </c>
      <c r="X36" s="269"/>
    </row>
    <row r="37" spans="1:24" s="345" customFormat="1" x14ac:dyDescent="0.25">
      <c r="A37" s="302"/>
      <c r="B37" s="303">
        <v>4</v>
      </c>
      <c r="C37" s="304" t="s">
        <v>1545</v>
      </c>
      <c r="D37" s="305"/>
      <c r="E37" s="225"/>
      <c r="F37" s="279"/>
      <c r="G37" s="279"/>
      <c r="H37" s="279"/>
      <c r="I37" s="279"/>
      <c r="J37" s="279"/>
      <c r="K37" s="279"/>
      <c r="L37" s="279"/>
      <c r="M37" s="279"/>
      <c r="N37" s="279"/>
      <c r="O37" s="279"/>
      <c r="P37" s="279"/>
      <c r="Q37" s="279"/>
      <c r="R37" s="279"/>
      <c r="S37" s="279"/>
      <c r="T37" s="279"/>
      <c r="U37" s="279"/>
      <c r="V37" s="285"/>
      <c r="W37" s="432" t="s">
        <v>1512</v>
      </c>
      <c r="X37" s="269"/>
    </row>
    <row r="38" spans="1:24" s="345" customFormat="1" ht="14.4" x14ac:dyDescent="0.3">
      <c r="A38" s="302"/>
      <c r="B38" s="306"/>
      <c r="C38" s="307" t="s">
        <v>1546</v>
      </c>
      <c r="D38" s="308"/>
      <c r="E38" s="220">
        <v>3</v>
      </c>
      <c r="F38" s="279">
        <f>COUNTIFS('Annex 4.4 TA_RA'!$L$18:$L$1000,"1st",'Annex 4.4 TA_RA'!$J$18:$J$1000,F11)</f>
        <v>2</v>
      </c>
      <c r="G38" s="279">
        <f>COUNTIFS('Annex 4.4 TA_RA'!$L$18:$L$1000,"1st",'Annex 4.4 TA_RA'!$J$18:$J$1000,G11)</f>
        <v>3</v>
      </c>
      <c r="H38" s="279">
        <f>COUNTIFS('Annex 4.4 TA_RA'!$L$18:$L$1000,"1st",'Annex 4.4 TA_RA'!$J$18:$J$1000,H11)</f>
        <v>0</v>
      </c>
      <c r="I38" s="279">
        <f>COUNTIFS('Annex 4.4 TA_RA'!$L$18:$L$1000,"1st",'Annex 4.4 TA_RA'!$J$18:$J$1000,I11)</f>
        <v>0</v>
      </c>
      <c r="J38" s="279">
        <f>COUNTIFS('Annex 4.4 TA_RA'!$L$18:$L$1000,"1st",'Annex 4.4 TA_RA'!$J$18:$J$1000,J11)</f>
        <v>0</v>
      </c>
      <c r="K38" s="279">
        <f>COUNTIFS('Annex 4.4 TA_RA'!$L$18:$L$1000,"1st",'Annex 4.4 TA_RA'!$J$18:$J$1000,K11)</f>
        <v>0</v>
      </c>
      <c r="L38" s="279">
        <f>COUNTIFS('Annex 4.4 TA_RA'!$L$18:$L$1000,"1st",'Annex 4.4 TA_RA'!$J$18:$J$1000,L11)</f>
        <v>0</v>
      </c>
      <c r="M38" s="279">
        <f>COUNTIFS('Annex 4.4 TA_RA'!$L$18:$L$1000,"1st",'Annex 4.4 TA_RA'!$J$18:$J$1000,M11)</f>
        <v>0</v>
      </c>
      <c r="N38" s="279">
        <f>COUNTIFS('Annex 4.4 TA_RA'!$L$18:$L$1000,"1st",'Annex 4.4 TA_RA'!$J$18:$J$1000,N11)</f>
        <v>0</v>
      </c>
      <c r="O38" s="279">
        <f>COUNTIFS('Annex 4.4 TA_RA'!$L$18:$L$1000,"1st",'Annex 4.4 TA_RA'!$J$18:$J$1000,O11)</f>
        <v>0</v>
      </c>
      <c r="P38" s="279">
        <f>COUNTIFS('Annex 4.4 TA_RA'!$L$18:$L$1000,"1st",'Annex 4.4 TA_RA'!$J$18:$J$1000,P11)</f>
        <v>0</v>
      </c>
      <c r="Q38" s="279">
        <f>COUNTIFS('Annex 4.4 TA_RA'!$L$18:$L$1000,"1st",'Annex 4.4 TA_RA'!$J$18:$J$1000,Q11)</f>
        <v>0</v>
      </c>
      <c r="R38" s="357">
        <f>SUM(F38:H38)</f>
        <v>5</v>
      </c>
      <c r="S38" s="357">
        <f t="shared" ref="S38:S40" si="19">SUM(I38:K38)</f>
        <v>0</v>
      </c>
      <c r="T38" s="357">
        <f t="shared" ref="T38:T40" si="20">SUM(L38:N38)</f>
        <v>0</v>
      </c>
      <c r="U38" s="357">
        <f t="shared" ref="U38:U40" si="21">SUM(O38:Q38)</f>
        <v>0</v>
      </c>
      <c r="V38" s="278">
        <f t="shared" si="8"/>
        <v>5</v>
      </c>
      <c r="W38" s="432" t="s">
        <v>1512</v>
      </c>
      <c r="X38" s="271" t="s">
        <v>1547</v>
      </c>
    </row>
    <row r="39" spans="1:24" s="345" customFormat="1" x14ac:dyDescent="0.25">
      <c r="A39" s="302"/>
      <c r="B39" s="306"/>
      <c r="C39" s="307" t="s">
        <v>1548</v>
      </c>
      <c r="D39" s="308"/>
      <c r="E39" s="151"/>
      <c r="F39" s="279">
        <f>COUNTIFS('Annex 4.4 TA_RA'!$F$18:$F$1000,"&lt;&gt;",'Annex 4.4 TA_RA'!$J$18:$J$1000,F11)</f>
        <v>2</v>
      </c>
      <c r="G39" s="279">
        <f>COUNTIFS('Annex 4.4 TA_RA'!$F$18:$F$1000,"&lt;&gt;",'Annex 4.4 TA_RA'!$J$18:$J$1000,G11)</f>
        <v>3</v>
      </c>
      <c r="H39" s="279">
        <f>COUNTIFS('Annex 4.4 TA_RA'!$F$18:$F$1000,"&lt;&gt;",'Annex 4.4 TA_RA'!$J$18:$J$1000,H11)</f>
        <v>0</v>
      </c>
      <c r="I39" s="279">
        <f>COUNTIFS('Annex 4.4 TA_RA'!$F$18:$F$1000,"&lt;&gt;",'Annex 4.4 TA_RA'!$J$18:$J$1000,I11)</f>
        <v>0</v>
      </c>
      <c r="J39" s="279">
        <f>COUNTIFS('Annex 4.4 TA_RA'!$F$18:$F$1000,"&lt;&gt;",'Annex 4.4 TA_RA'!$J$18:$J$1000,J11)</f>
        <v>0</v>
      </c>
      <c r="K39" s="279">
        <f>COUNTIFS('Annex 4.4 TA_RA'!$F$18:$F$1000,"&lt;&gt;",'Annex 4.4 TA_RA'!$J$18:$J$1000,K11)</f>
        <v>0</v>
      </c>
      <c r="L39" s="279">
        <f>COUNTIFS('Annex 4.4 TA_RA'!$F$18:$F$1000,"&lt;&gt;",'Annex 4.4 TA_RA'!$J$18:$J$1000,L11)</f>
        <v>0</v>
      </c>
      <c r="M39" s="279">
        <f>COUNTIFS('Annex 4.4 TA_RA'!$F$18:$F$1000,"&lt;&gt;",'Annex 4.4 TA_RA'!$J$18:$J$1000,M11)</f>
        <v>0</v>
      </c>
      <c r="N39" s="279">
        <f>COUNTIFS('Annex 4.4 TA_RA'!$F$18:$F$1000,"&lt;&gt;",'Annex 4.4 TA_RA'!$J$18:$J$1000,N11)</f>
        <v>0</v>
      </c>
      <c r="O39" s="279">
        <f>COUNTIFS('Annex 4.4 TA_RA'!$F$18:$F$1000,"&lt;&gt;",'Annex 4.4 TA_RA'!$J$18:$J$1000,O11)</f>
        <v>0</v>
      </c>
      <c r="P39" s="279">
        <f>COUNTIFS('Annex 4.4 TA_RA'!$F$18:$F$1000,"&lt;&gt;",'Annex 4.4 TA_RA'!$J$18:$J$1000,P11)</f>
        <v>0</v>
      </c>
      <c r="Q39" s="279">
        <f>COUNTIFS('Annex 4.4 TA_RA'!$F$18:$F$1000,"&lt;&gt;",'Annex 4.4 TA_RA'!$J$18:$J$1000,Q11)</f>
        <v>0</v>
      </c>
      <c r="R39" s="357">
        <f>SUM(F39:H39)</f>
        <v>5</v>
      </c>
      <c r="S39" s="357">
        <f t="shared" si="19"/>
        <v>0</v>
      </c>
      <c r="T39" s="357">
        <f t="shared" si="20"/>
        <v>0</v>
      </c>
      <c r="U39" s="357">
        <f t="shared" si="21"/>
        <v>0</v>
      </c>
      <c r="V39" s="278">
        <f t="shared" si="8"/>
        <v>5</v>
      </c>
      <c r="W39" s="432" t="s">
        <v>1512</v>
      </c>
      <c r="X39" s="269"/>
    </row>
    <row r="40" spans="1:24" s="345" customFormat="1" x14ac:dyDescent="0.25">
      <c r="A40" s="302"/>
      <c r="B40" s="306"/>
      <c r="C40" s="307"/>
      <c r="D40" s="308" t="s">
        <v>1549</v>
      </c>
      <c r="E40" s="151"/>
      <c r="F40" s="279">
        <f>COUNTIFS('Annex 4.4 TA_RA'!$H$18:$H$1000,"Planned",'Annex 4.4 TA_RA'!$J$18:$J$1000,F11)</f>
        <v>0</v>
      </c>
      <c r="G40" s="279">
        <f>COUNTIFS('Annex 4.4 TA_RA'!$H$18:$H$1000,"Planned",'Annex 4.4 TA_RA'!$J$18:$J$1000,G11)</f>
        <v>0</v>
      </c>
      <c r="H40" s="279">
        <f>COUNTIFS('Annex 4.4 TA_RA'!$H$18:$H$1000,"Planned",'Annex 4.4 TA_RA'!$J$18:$J$1000,H11)</f>
        <v>0</v>
      </c>
      <c r="I40" s="279">
        <f>COUNTIFS('Annex 4.4 TA_RA'!$H$18:$H$1000,"Planned",'Annex 4.4 TA_RA'!$J$18:$J$1000,I11)</f>
        <v>0</v>
      </c>
      <c r="J40" s="279">
        <f>COUNTIFS('Annex 4.4 TA_RA'!$H$18:$H$1000,"Planned",'Annex 4.4 TA_RA'!$J$18:$J$1000,J11)</f>
        <v>0</v>
      </c>
      <c r="K40" s="279">
        <f>COUNTIFS('Annex 4.4 TA_RA'!$H$18:$H$1000,"Planned",'Annex 4.4 TA_RA'!$J$18:$J$1000,K11)</f>
        <v>0</v>
      </c>
      <c r="L40" s="279">
        <f>COUNTIFS('Annex 4.4 TA_RA'!$H$18:$H$1000,"Planned",'Annex 4.4 TA_RA'!$J$18:$J$1000,L11)</f>
        <v>0</v>
      </c>
      <c r="M40" s="279">
        <f>COUNTIFS('Annex 4.4 TA_RA'!$H$18:$H$1000,"Planned",'Annex 4.4 TA_RA'!$J$18:$J$1000,M11)</f>
        <v>0</v>
      </c>
      <c r="N40" s="279">
        <f>COUNTIFS('Annex 4.4 TA_RA'!$H$18:$H$1000,"Planned",'Annex 4.4 TA_RA'!$J$18:$J$1000,N11)</f>
        <v>0</v>
      </c>
      <c r="O40" s="279">
        <f>COUNTIFS('Annex 4.4 TA_RA'!$H$18:$H$1000,"Planned",'Annex 4.4 TA_RA'!$J$18:$J$1000,O11)</f>
        <v>0</v>
      </c>
      <c r="P40" s="279">
        <f>COUNTIFS('Annex 4.4 TA_RA'!$H$18:$H$1000,"Planned",'Annex 4.4 TA_RA'!$J$18:$J$1000,P11)</f>
        <v>0</v>
      </c>
      <c r="Q40" s="279">
        <f>COUNTIFS('Annex 4.4 TA_RA'!$H$18:$H$1000,"Planned",'Annex 4.4 TA_RA'!$J$18:$J$1000,Q11)</f>
        <v>0</v>
      </c>
      <c r="R40" s="357">
        <f t="shared" ref="R40:R41" si="22">SUM(F40:H40)</f>
        <v>0</v>
      </c>
      <c r="S40" s="357">
        <f t="shared" si="19"/>
        <v>0</v>
      </c>
      <c r="T40" s="357">
        <f t="shared" si="20"/>
        <v>0</v>
      </c>
      <c r="U40" s="357">
        <f t="shared" si="21"/>
        <v>0</v>
      </c>
      <c r="V40" s="278">
        <f t="shared" si="8"/>
        <v>0</v>
      </c>
      <c r="W40" s="432" t="s">
        <v>1512</v>
      </c>
      <c r="X40" s="269"/>
    </row>
    <row r="41" spans="1:24" s="345" customFormat="1" x14ac:dyDescent="0.25">
      <c r="A41" s="302"/>
      <c r="B41" s="306"/>
      <c r="C41" s="307"/>
      <c r="D41" s="308" t="s">
        <v>1550</v>
      </c>
      <c r="E41" s="151"/>
      <c r="F41" s="279">
        <f>COUNTIFS('Annex 4.4 TA_RA'!$H$18:$H$1000,"Requested",'Annex 4.4 TA_RA'!$J$18:$J$1000,F11)</f>
        <v>2</v>
      </c>
      <c r="G41" s="279">
        <f>COUNTIFS('Annex 4.4 TA_RA'!$H$18:$H$1000,"Requested",'Annex 4.4 TA_RA'!$J$18:$J$1000,G11)</f>
        <v>3</v>
      </c>
      <c r="H41" s="279">
        <f>COUNTIFS('Annex 4.4 TA_RA'!$H$18:$H$1000,"Requested",'Annex 4.4 TA_RA'!$J$18:$J$1000,H11)</f>
        <v>0</v>
      </c>
      <c r="I41" s="279">
        <f>COUNTIFS('Annex 4.4 TA_RA'!$H$18:$H$1000,"Requested",'Annex 4.4 TA_RA'!$J$18:$J$1000,I11)</f>
        <v>0</v>
      </c>
      <c r="J41" s="279">
        <f>COUNTIFS('Annex 4.4 TA_RA'!$H$18:$H$1000,"Requested",'Annex 4.4 TA_RA'!$J$18:$J$1000,J11)</f>
        <v>0</v>
      </c>
      <c r="K41" s="279">
        <f>COUNTIFS('Annex 4.4 TA_RA'!$H$18:$H$1000,"Requested",'Annex 4.4 TA_RA'!$J$18:$J$1000,K11)</f>
        <v>0</v>
      </c>
      <c r="L41" s="279">
        <f>COUNTIFS('Annex 4.4 TA_RA'!$H$18:$H$1000,"Requested",'Annex 4.4 TA_RA'!$J$18:$J$1000,L11)</f>
        <v>0</v>
      </c>
      <c r="M41" s="279">
        <f>COUNTIFS('Annex 4.4 TA_RA'!$H$18:$H$1000,"Requested",'Annex 4.4 TA_RA'!$J$18:$J$1000,M11)</f>
        <v>0</v>
      </c>
      <c r="N41" s="279">
        <f>COUNTIFS('Annex 4.4 TA_RA'!$H$18:$H$1000,"Requested",'Annex 4.4 TA_RA'!$J$18:$J$1000,N11)</f>
        <v>0</v>
      </c>
      <c r="O41" s="279">
        <f>COUNTIFS('Annex 4.4 TA_RA'!$H$18:$H$1000,"Requested",'Annex 4.4 TA_RA'!$J$18:$J$1000,O11)</f>
        <v>0</v>
      </c>
      <c r="P41" s="279">
        <f>COUNTIFS('Annex 4.4 TA_RA'!$H$18:$H$1000,"Requested",'Annex 4.4 TA_RA'!$J$18:$J$1000,P11)</f>
        <v>0</v>
      </c>
      <c r="Q41" s="279">
        <f>COUNTIFS('Annex 4.4 TA_RA'!$H$18:$H$1000,"Requested",'Annex 4.4 TA_RA'!$J$18:$J$1000,Q11)</f>
        <v>0</v>
      </c>
      <c r="R41" s="357">
        <f t="shared" si="22"/>
        <v>5</v>
      </c>
      <c r="S41" s="357">
        <f>SUM(I41:K41)</f>
        <v>0</v>
      </c>
      <c r="T41" s="357">
        <f>SUM(L41:N41)</f>
        <v>0</v>
      </c>
      <c r="U41" s="357">
        <f>SUM(O41:Q41)</f>
        <v>0</v>
      </c>
      <c r="V41" s="278">
        <f t="shared" si="8"/>
        <v>5</v>
      </c>
      <c r="W41" s="432" t="s">
        <v>1512</v>
      </c>
      <c r="X41" s="269"/>
    </row>
    <row r="42" spans="1:24" s="345" customFormat="1" x14ac:dyDescent="0.25">
      <c r="A42" s="302"/>
      <c r="B42" s="303">
        <v>5</v>
      </c>
      <c r="C42" s="304" t="s">
        <v>1551</v>
      </c>
      <c r="D42" s="305"/>
      <c r="E42" s="225"/>
      <c r="F42" s="279"/>
      <c r="G42" s="279"/>
      <c r="H42" s="279"/>
      <c r="I42" s="279"/>
      <c r="J42" s="279"/>
      <c r="K42" s="279"/>
      <c r="L42" s="279"/>
      <c r="M42" s="279"/>
      <c r="N42" s="279"/>
      <c r="O42" s="279"/>
      <c r="P42" s="279"/>
      <c r="Q42" s="279"/>
      <c r="R42" s="279"/>
      <c r="S42" s="279"/>
      <c r="T42" s="279"/>
      <c r="U42" s="279"/>
      <c r="V42" s="285"/>
      <c r="W42" s="432" t="s">
        <v>1512</v>
      </c>
      <c r="X42" s="269"/>
    </row>
    <row r="43" spans="1:24" s="345" customFormat="1" ht="14.4" x14ac:dyDescent="0.3">
      <c r="A43" s="302"/>
      <c r="B43" s="306"/>
      <c r="C43" s="307" t="s">
        <v>1552</v>
      </c>
      <c r="D43" s="308"/>
      <c r="E43" s="220">
        <v>10</v>
      </c>
      <c r="F43" s="279">
        <f>COUNTIFS('Annex 4.5 TA_Imp'!$L$18:$L$1000,"1st",'Annex 4.5 TA_Imp'!$J$18:$J$1000,F11)</f>
        <v>4</v>
      </c>
      <c r="G43" s="279">
        <f>COUNTIFS('Annex 4.5 TA_Imp'!$L$18:$L$1000,"1st",'Annex 4.5 TA_Imp'!$J$18:$J$1000,G11)</f>
        <v>1</v>
      </c>
      <c r="H43" s="279">
        <f>COUNTIFS('Annex 4.5 TA_Imp'!$L$18:$L$1000,"1st",'Annex 4.5 TA_Imp'!$J$18:$J$1000,H11)</f>
        <v>0</v>
      </c>
      <c r="I43" s="279">
        <f>COUNTIFS('Annex 4.5 TA_Imp'!$L$18:$L$1000,"1st",'Annex 4.5 TA_Imp'!$J$18:$J$1000,I11)</f>
        <v>0</v>
      </c>
      <c r="J43" s="279">
        <f>COUNTIFS('Annex 4.5 TA_Imp'!$L$18:$L$1000,"1st",'Annex 4.5 TA_Imp'!$J$18:$J$1000,J11)</f>
        <v>0</v>
      </c>
      <c r="K43" s="279">
        <f>COUNTIFS('Annex 4.5 TA_Imp'!$L$18:$L$1000,"1st",'Annex 4.5 TA_Imp'!$J$18:$J$1000,K11)</f>
        <v>0</v>
      </c>
      <c r="L43" s="279">
        <f>COUNTIFS('Annex 4.5 TA_Imp'!$L$18:$L$1000,"1st",'Annex 4.5 TA_Imp'!$J$18:$J$1000,L11)</f>
        <v>0</v>
      </c>
      <c r="M43" s="279">
        <f>COUNTIFS('Annex 4.5 TA_Imp'!$L$18:$L$1000,"1st",'Annex 4.5 TA_Imp'!$J$18:$J$1000,M11)</f>
        <v>0</v>
      </c>
      <c r="N43" s="279">
        <f>COUNTIFS('Annex 4.5 TA_Imp'!$L$18:$L$1000,"1st",'Annex 4.5 TA_Imp'!$J$18:$J$1000,N11)</f>
        <v>0</v>
      </c>
      <c r="O43" s="279">
        <f>COUNTIFS('Annex 4.5 TA_Imp'!$L$18:$L$1000,"1st",'Annex 4.5 TA_Imp'!$J$18:$J$1000,O11)</f>
        <v>0</v>
      </c>
      <c r="P43" s="279">
        <f>COUNTIFS('Annex 4.5 TA_Imp'!$L$18:$L$1000,"1st",'Annex 4.5 TA_Imp'!$J$18:$J$1000,P11)</f>
        <v>0</v>
      </c>
      <c r="Q43" s="279">
        <f>COUNTIFS('Annex 4.5 TA_Imp'!$L$18:$L$1000,"1st",'Annex 4.5 TA_Imp'!$J$18:$J$1000,Q11)</f>
        <v>0</v>
      </c>
      <c r="R43" s="357">
        <f>SUM(F43:H43)</f>
        <v>5</v>
      </c>
      <c r="S43" s="357">
        <f t="shared" ref="S43:S45" si="23">SUM(I43:K43)</f>
        <v>0</v>
      </c>
      <c r="T43" s="357">
        <f t="shared" ref="T43:T45" si="24">SUM(L43:N43)</f>
        <v>0</v>
      </c>
      <c r="U43" s="357">
        <f t="shared" ref="U43:U45" si="25">SUM(O43:Q43)</f>
        <v>0</v>
      </c>
      <c r="V43" s="278">
        <f t="shared" si="8"/>
        <v>5</v>
      </c>
      <c r="W43" s="432" t="s">
        <v>1512</v>
      </c>
      <c r="X43" s="271" t="s">
        <v>1553</v>
      </c>
    </row>
    <row r="44" spans="1:24" s="345" customFormat="1" x14ac:dyDescent="0.25">
      <c r="A44" s="302"/>
      <c r="B44" s="306"/>
      <c r="C44" s="307" t="s">
        <v>1554</v>
      </c>
      <c r="D44" s="308"/>
      <c r="E44" s="151"/>
      <c r="F44" s="279">
        <f>COUNTIFS('Annex 4.5 TA_Imp'!$F$18:$F$1000,"&lt;&gt;",'Annex 4.5 TA_Imp'!$J$18:$J$1000,F11)</f>
        <v>4</v>
      </c>
      <c r="G44" s="279">
        <f>COUNTIFS('Annex 4.5 TA_Imp'!$F$18:$F$1000,"&lt;&gt;",'Annex 4.5 TA_Imp'!$J$18:$J$1000,G11)</f>
        <v>2</v>
      </c>
      <c r="H44" s="279">
        <f>COUNTIFS('Annex 4.5 TA_Imp'!$F$18:$F$1000,"&lt;&gt;",'Annex 4.5 TA_Imp'!$J$18:$J$1000,H11)</f>
        <v>0</v>
      </c>
      <c r="I44" s="279">
        <f>COUNTIFS('Annex 4.5 TA_Imp'!$F$18:$F$1000,"&lt;&gt;",'Annex 4.5 TA_Imp'!$J$18:$J$1000,I11)</f>
        <v>0</v>
      </c>
      <c r="J44" s="279">
        <f>COUNTIFS('Annex 4.5 TA_Imp'!$F$18:$F$1000,"&lt;&gt;",'Annex 4.5 TA_Imp'!$J$18:$J$1000,J11)</f>
        <v>0</v>
      </c>
      <c r="K44" s="279">
        <f>COUNTIFS('Annex 4.5 TA_Imp'!$F$18:$F$1000,"&lt;&gt;",'Annex 4.5 TA_Imp'!$J$18:$J$1000,K11)</f>
        <v>0</v>
      </c>
      <c r="L44" s="279">
        <f>COUNTIFS('Annex 4.5 TA_Imp'!$F$18:$F$1000,"&lt;&gt;",'Annex 4.5 TA_Imp'!$J$18:$J$1000,L11)</f>
        <v>0</v>
      </c>
      <c r="M44" s="279">
        <f>COUNTIFS('Annex 4.5 TA_Imp'!$F$18:$F$1000,"&lt;&gt;",'Annex 4.5 TA_Imp'!$J$18:$J$1000,M11)</f>
        <v>0</v>
      </c>
      <c r="N44" s="279">
        <f>COUNTIFS('Annex 4.5 TA_Imp'!$F$18:$F$1000,"&lt;&gt;",'Annex 4.5 TA_Imp'!$J$18:$J$1000,N11)</f>
        <v>0</v>
      </c>
      <c r="O44" s="279">
        <f>COUNTIFS('Annex 4.5 TA_Imp'!$F$18:$F$1000,"&lt;&gt;",'Annex 4.5 TA_Imp'!$J$18:$J$1000,O11)</f>
        <v>0</v>
      </c>
      <c r="P44" s="279">
        <f>COUNTIFS('Annex 4.5 TA_Imp'!$F$18:$F$1000,"&lt;&gt;",'Annex 4.5 TA_Imp'!$J$18:$J$1000,P11)</f>
        <v>0</v>
      </c>
      <c r="Q44" s="279">
        <f>COUNTIFS('Annex 4.5 TA_Imp'!$F$18:$F$1000,"&lt;&gt;",'Annex 4.5 TA_Imp'!$J$18:$J$1000,Q11)</f>
        <v>0</v>
      </c>
      <c r="R44" s="357">
        <f>SUM(F44:H44)</f>
        <v>6</v>
      </c>
      <c r="S44" s="357">
        <f t="shared" si="23"/>
        <v>0</v>
      </c>
      <c r="T44" s="357">
        <f t="shared" si="24"/>
        <v>0</v>
      </c>
      <c r="U44" s="357">
        <f t="shared" si="25"/>
        <v>0</v>
      </c>
      <c r="V44" s="278">
        <f t="shared" si="8"/>
        <v>6</v>
      </c>
      <c r="W44" s="432" t="s">
        <v>1512</v>
      </c>
      <c r="X44" s="269"/>
    </row>
    <row r="45" spans="1:24" s="345" customFormat="1" x14ac:dyDescent="0.25">
      <c r="A45" s="302"/>
      <c r="B45" s="306"/>
      <c r="C45" s="307"/>
      <c r="D45" s="308" t="s">
        <v>1555</v>
      </c>
      <c r="E45" s="151"/>
      <c r="F45" s="279">
        <f>COUNTIFS('Annex 4.5 TA_Imp'!$H$18:$H$1000,"Planned",'Annex 4.5 TA_Imp'!$J$18:$J$1000,F11)</f>
        <v>0</v>
      </c>
      <c r="G45" s="279">
        <f>COUNTIFS('Annex 4.5 TA_Imp'!$H$18:$H$1000,"Planned",'Annex 4.5 TA_Imp'!$J$18:$J$1000,G11)</f>
        <v>0</v>
      </c>
      <c r="H45" s="279">
        <f>COUNTIFS('Annex 4.5 TA_Imp'!$H$18:$H$1000,"Planned",'Annex 4.5 TA_Imp'!$J$18:$J$1000,H11)</f>
        <v>0</v>
      </c>
      <c r="I45" s="279">
        <f>COUNTIFS('Annex 4.5 TA_Imp'!$H$18:$H$1000,"Planned",'Annex 4.5 TA_Imp'!$J$18:$J$1000,I11)</f>
        <v>0</v>
      </c>
      <c r="J45" s="279">
        <f>COUNTIFS('Annex 4.5 TA_Imp'!$H$18:$H$1000,"Planned",'Annex 4.5 TA_Imp'!$J$18:$J$1000,J11)</f>
        <v>0</v>
      </c>
      <c r="K45" s="279">
        <f>COUNTIFS('Annex 4.5 TA_Imp'!$H$18:$H$1000,"Planned",'Annex 4.5 TA_Imp'!$J$18:$J$1000,K11)</f>
        <v>0</v>
      </c>
      <c r="L45" s="279">
        <f>COUNTIFS('Annex 4.5 TA_Imp'!$H$18:$H$1000,"Planned",'Annex 4.5 TA_Imp'!$J$18:$J$1000,L11)</f>
        <v>0</v>
      </c>
      <c r="M45" s="279">
        <f>COUNTIFS('Annex 4.5 TA_Imp'!$H$18:$H$1000,"Planned",'Annex 4.5 TA_Imp'!$J$18:$J$1000,M11)</f>
        <v>0</v>
      </c>
      <c r="N45" s="279">
        <f>COUNTIFS('Annex 4.5 TA_Imp'!$H$18:$H$1000,"Planned",'Annex 4.5 TA_Imp'!$J$18:$J$1000,N11)</f>
        <v>0</v>
      </c>
      <c r="O45" s="279">
        <f>COUNTIFS('Annex 4.5 TA_Imp'!$H$18:$H$1000,"Planned",'Annex 4.5 TA_Imp'!$J$18:$J$1000,O11)</f>
        <v>0</v>
      </c>
      <c r="P45" s="279">
        <f>COUNTIFS('Annex 4.5 TA_Imp'!$H$18:$H$1000,"Planned",'Annex 4.5 TA_Imp'!$J$18:$J$1000,P11)</f>
        <v>0</v>
      </c>
      <c r="Q45" s="279">
        <f>COUNTIFS('Annex 4.5 TA_Imp'!$H$18:$H$1000,"Planned",'Annex 4.5 TA_Imp'!$J$18:$J$1000,Q11)</f>
        <v>0</v>
      </c>
      <c r="R45" s="357">
        <f t="shared" ref="R45:R46" si="26">SUM(F45:H45)</f>
        <v>0</v>
      </c>
      <c r="S45" s="357">
        <f t="shared" si="23"/>
        <v>0</v>
      </c>
      <c r="T45" s="357">
        <f t="shared" si="24"/>
        <v>0</v>
      </c>
      <c r="U45" s="357">
        <f t="shared" si="25"/>
        <v>0</v>
      </c>
      <c r="V45" s="278">
        <f t="shared" si="8"/>
        <v>0</v>
      </c>
      <c r="W45" s="432" t="s">
        <v>1512</v>
      </c>
      <c r="X45" s="269"/>
    </row>
    <row r="46" spans="1:24" s="345" customFormat="1" x14ac:dyDescent="0.25">
      <c r="A46" s="302"/>
      <c r="B46" s="306"/>
      <c r="C46" s="307"/>
      <c r="D46" s="308" t="s">
        <v>1556</v>
      </c>
      <c r="E46" s="151"/>
      <c r="F46" s="279">
        <f>COUNTIFS('Annex 4.5 TA_Imp'!$H$18:$H$1000,"Requested",'Annex 4.5 TA_Imp'!$J$18:$J$1000,F11)</f>
        <v>4</v>
      </c>
      <c r="G46" s="279">
        <f>COUNTIFS('Annex 4.5 TA_Imp'!$H$18:$H$1000,"Requested",'Annex 4.5 TA_Imp'!$J$18:$J$1000,G11)</f>
        <v>2</v>
      </c>
      <c r="H46" s="279">
        <f>COUNTIFS('Annex 4.5 TA_Imp'!$H$18:$H$1000,"Requested",'Annex 4.5 TA_Imp'!$J$18:$J$1000,H11)</f>
        <v>0</v>
      </c>
      <c r="I46" s="279">
        <f>COUNTIFS('Annex 4.5 TA_Imp'!$H$18:$H$1000,"Requested",'Annex 4.5 TA_Imp'!$J$18:$J$1000,I11)</f>
        <v>0</v>
      </c>
      <c r="J46" s="279">
        <f>COUNTIFS('Annex 4.5 TA_Imp'!$H$18:$H$1000,"Requested",'Annex 4.5 TA_Imp'!$J$18:$J$1000,J11)</f>
        <v>0</v>
      </c>
      <c r="K46" s="279">
        <f>COUNTIFS('Annex 4.5 TA_Imp'!$H$18:$H$1000,"Requested",'Annex 4.5 TA_Imp'!$J$18:$J$1000,K11)</f>
        <v>0</v>
      </c>
      <c r="L46" s="279">
        <f>COUNTIFS('Annex 4.5 TA_Imp'!$H$18:$H$1000,"Requested",'Annex 4.5 TA_Imp'!$J$18:$J$1000,L11)</f>
        <v>0</v>
      </c>
      <c r="M46" s="279">
        <f>COUNTIFS('Annex 4.5 TA_Imp'!$H$18:$H$1000,"Requested",'Annex 4.5 TA_Imp'!$J$18:$J$1000,M11)</f>
        <v>0</v>
      </c>
      <c r="N46" s="279">
        <f>COUNTIFS('Annex 4.5 TA_Imp'!$H$18:$H$1000,"Requested",'Annex 4.5 TA_Imp'!$J$18:$J$1000,N11)</f>
        <v>0</v>
      </c>
      <c r="O46" s="279">
        <f>COUNTIFS('Annex 4.5 TA_Imp'!$H$18:$H$1000,"Requested",'Annex 4.5 TA_Imp'!$J$18:$J$1000,O11)</f>
        <v>0</v>
      </c>
      <c r="P46" s="279">
        <f>COUNTIFS('Annex 4.5 TA_Imp'!$H$18:$H$1000,"Requested",'Annex 4.5 TA_Imp'!$J$18:$J$1000,P11)</f>
        <v>0</v>
      </c>
      <c r="Q46" s="279">
        <f>COUNTIFS('Annex 4.5 TA_Imp'!$H$18:$H$1000,"Requested",'Annex 4.5 TA_Imp'!$J$18:$J$1000,Q11)</f>
        <v>0</v>
      </c>
      <c r="R46" s="357">
        <f t="shared" si="26"/>
        <v>6</v>
      </c>
      <c r="S46" s="357">
        <f>SUM(I46:K46)</f>
        <v>0</v>
      </c>
      <c r="T46" s="357">
        <f>SUM(L46:N46)</f>
        <v>0</v>
      </c>
      <c r="U46" s="357">
        <f>SUM(O46:Q46)</f>
        <v>0</v>
      </c>
      <c r="V46" s="278">
        <f>SUM(F46:Q46)</f>
        <v>6</v>
      </c>
      <c r="W46" s="432" t="s">
        <v>1512</v>
      </c>
      <c r="X46" s="269"/>
    </row>
    <row r="47" spans="1:24" s="345" customFormat="1" x14ac:dyDescent="0.25">
      <c r="A47" s="302"/>
      <c r="B47" s="309">
        <v>6</v>
      </c>
      <c r="C47" s="580" t="s">
        <v>1557</v>
      </c>
      <c r="D47" s="581"/>
      <c r="E47" s="224"/>
      <c r="F47" s="279"/>
      <c r="G47" s="279"/>
      <c r="H47" s="279"/>
      <c r="I47" s="279"/>
      <c r="J47" s="279"/>
      <c r="K47" s="279"/>
      <c r="L47" s="279"/>
      <c r="M47" s="279"/>
      <c r="N47" s="279"/>
      <c r="O47" s="279"/>
      <c r="P47" s="279"/>
      <c r="Q47" s="279"/>
      <c r="R47" s="279"/>
      <c r="S47" s="279"/>
      <c r="T47" s="279"/>
      <c r="U47" s="279"/>
      <c r="V47" s="285"/>
      <c r="W47" s="432" t="s">
        <v>1512</v>
      </c>
      <c r="X47" s="269"/>
    </row>
    <row r="48" spans="1:24" s="345" customFormat="1" ht="14.4" x14ac:dyDescent="0.3">
      <c r="A48" s="302"/>
      <c r="B48" s="306"/>
      <c r="C48" s="307" t="s">
        <v>1558</v>
      </c>
      <c r="D48" s="308"/>
      <c r="E48" s="220">
        <v>1</v>
      </c>
      <c r="F48" s="360">
        <f>COUNTIFS('Annex 4.6 TA_UD'!$L$19:$L$1001,"1st",'Annex 4.6 TA_UD'!$J$19:$J$1001,F11)</f>
        <v>2</v>
      </c>
      <c r="G48" s="360">
        <f>COUNTIFS('Annex 4.6 TA_UD'!$L$19:$L$1001,"1st",'Annex 4.6 TA_UD'!$J$19:$J$1001,G11)</f>
        <v>1</v>
      </c>
      <c r="H48" s="360">
        <f>COUNTIFS('Annex 4.6 TA_UD'!$L$19:$L$1001,"1st",'Annex 4.6 TA_UD'!$J$19:$J$1001,H11)</f>
        <v>0</v>
      </c>
      <c r="I48" s="360">
        <f>COUNTIFS('Annex 4.6 TA_UD'!$L$19:$L$1001,"1st",'Annex 4.6 TA_UD'!$J$19:$J$1001,I11)</f>
        <v>0</v>
      </c>
      <c r="J48" s="360">
        <f>COUNTIFS('Annex 4.6 TA_UD'!$L$19:$L$1001,"1st",'Annex 4.6 TA_UD'!$J$19:$J$1001,J11)</f>
        <v>0</v>
      </c>
      <c r="K48" s="360">
        <f>COUNTIFS('Annex 4.6 TA_UD'!$L$19:$L$1001,"1st",'Annex 4.6 TA_UD'!$J$19:$J$1001,K11)</f>
        <v>0</v>
      </c>
      <c r="L48" s="360">
        <f>COUNTIFS('Annex 4.6 TA_UD'!$L$19:$L$1001,"1st",'Annex 4.6 TA_UD'!$J$19:$J$1001,L11)</f>
        <v>0</v>
      </c>
      <c r="M48" s="360">
        <f>COUNTIFS('Annex 4.6 TA_UD'!$L$19:$L$1001,"1st",'Annex 4.6 TA_UD'!$J$19:$J$1001,M11)</f>
        <v>0</v>
      </c>
      <c r="N48" s="360">
        <f>COUNTIFS('Annex 4.6 TA_UD'!$L$19:$L$1001,"1st",'Annex 4.6 TA_UD'!$J$19:$J$1001,N11)</f>
        <v>0</v>
      </c>
      <c r="O48" s="360">
        <f>COUNTIFS('Annex 4.6 TA_UD'!$L$19:$L$1001,"1st",'Annex 4.6 TA_UD'!$J$19:$J$1001,O11)</f>
        <v>0</v>
      </c>
      <c r="P48" s="360">
        <f>COUNTIFS('Annex 4.6 TA_UD'!$L$19:$L$1001,"1st",'Annex 4.6 TA_UD'!$J$19:$J$1001,P11)</f>
        <v>0</v>
      </c>
      <c r="Q48" s="360">
        <f>COUNTIFS('Annex 4.6 TA_UD'!$L$19:$L$1001,"1st",'Annex 4.6 TA_UD'!$J$19:$J$1001,Q11)</f>
        <v>0</v>
      </c>
      <c r="R48" s="357">
        <f>SUM(F48:H48)</f>
        <v>3</v>
      </c>
      <c r="S48" s="357">
        <f t="shared" ref="S48:S50" si="27">SUM(I48:K48)</f>
        <v>0</v>
      </c>
      <c r="T48" s="357">
        <f t="shared" ref="T48:T50" si="28">SUM(L48:N48)</f>
        <v>0</v>
      </c>
      <c r="U48" s="357">
        <f t="shared" ref="U48:U50" si="29">SUM(O48:Q48)</f>
        <v>0</v>
      </c>
      <c r="V48" s="278">
        <f>SUM(F48:Q48)</f>
        <v>3</v>
      </c>
      <c r="W48" s="432" t="s">
        <v>1512</v>
      </c>
      <c r="X48" s="271" t="s">
        <v>1559</v>
      </c>
    </row>
    <row r="49" spans="1:24" s="345" customFormat="1" ht="14.4" x14ac:dyDescent="0.3">
      <c r="A49" s="302"/>
      <c r="B49" s="306"/>
      <c r="C49" s="307"/>
      <c r="D49" s="308" t="s">
        <v>1560</v>
      </c>
      <c r="E49" s="220">
        <v>1</v>
      </c>
      <c r="F49" s="279">
        <f>COUNTIFS('Annex 4.6 TA_UD'!$L$19:$L$1001,"1st",'Annex 4.6 TA_UD'!$C$19:$C$1001,"LGU",'Annex 4.6 TA_UD'!$J$19:$J$1001,F11)</f>
        <v>2</v>
      </c>
      <c r="G49" s="279">
        <f>COUNTIFS('Annex 4.6 TA_UD'!$L$19:$L$1001,"1st",'Annex 4.6 TA_UD'!$C$19:$C$1001,"LGU",'Annex 4.6 TA_UD'!$J$19:$J$1001,G11)</f>
        <v>1</v>
      </c>
      <c r="H49" s="279">
        <f>COUNTIFS('Annex 4.6 TA_UD'!$L$19:$L$1001,"1st",'Annex 4.6 TA_UD'!$C$19:$C$1001,"LGU",'Annex 4.6 TA_UD'!$J$19:$J$1001,H11)</f>
        <v>0</v>
      </c>
      <c r="I49" s="279">
        <f>COUNTIFS('Annex 4.6 TA_UD'!$L$19:$L$1001,"1st",'Annex 4.6 TA_UD'!$C$19:$C$1001,"LGU",'Annex 4.6 TA_UD'!$J$19:$J$1001,I11)</f>
        <v>0</v>
      </c>
      <c r="J49" s="279">
        <f>COUNTIFS('Annex 4.6 TA_UD'!$L$19:$L$1001,"1st",'Annex 4.6 TA_UD'!$C$19:$C$1001,"LGU",'Annex 4.6 TA_UD'!$J$19:$J$1001,J11)</f>
        <v>0</v>
      </c>
      <c r="K49" s="279">
        <f>COUNTIFS('Annex 4.6 TA_UD'!$L$19:$L$1001,"1st",'Annex 4.6 TA_UD'!$C$19:$C$1001,"LGU",'Annex 4.6 TA_UD'!$J$19:$J$1001,K11)</f>
        <v>0</v>
      </c>
      <c r="L49" s="279">
        <f>COUNTIFS('Annex 4.6 TA_UD'!$L$19:$L$1001,"1st",'Annex 4.6 TA_UD'!$C$19:$C$1001,"LGU",'Annex 4.6 TA_UD'!$J$19:$J$1001,L11)</f>
        <v>0</v>
      </c>
      <c r="M49" s="279">
        <f>COUNTIFS('Annex 4.6 TA_UD'!$L$19:$L$1001,"1st",'Annex 4.6 TA_UD'!$C$19:$C$1001,"LGU",'Annex 4.6 TA_UD'!$J$19:$J$1001,M11)</f>
        <v>0</v>
      </c>
      <c r="N49" s="279">
        <f>COUNTIFS('Annex 4.6 TA_UD'!$L$19:$L$1001,"1st",'Annex 4.6 TA_UD'!$C$19:$C$1001,"LGU",'Annex 4.6 TA_UD'!$J$19:$J$1001,N11)</f>
        <v>0</v>
      </c>
      <c r="O49" s="279">
        <f>COUNTIFS('Annex 4.6 TA_UD'!$L$19:$L$1001,"1st",'Annex 4.6 TA_UD'!$C$19:$C$1001,"LGU",'Annex 4.6 TA_UD'!$J$19:$J$1001,O11)</f>
        <v>0</v>
      </c>
      <c r="P49" s="279">
        <f>COUNTIFS('Annex 4.6 TA_UD'!$L$19:$L$1001,"1st",'Annex 4.6 TA_UD'!$C$19:$C$1001,"LGU",'Annex 4.6 TA_UD'!$J$19:$J$1001,P11)</f>
        <v>0</v>
      </c>
      <c r="Q49" s="279">
        <f>COUNTIFS('Annex 4.6 TA_UD'!$L$19:$L$1001,"1st",'Annex 4.6 TA_UD'!$C$19:$C$1001,"LGU",'Annex 4.6 TA_UD'!$J$19:$J$1001,Q11)</f>
        <v>0</v>
      </c>
      <c r="R49" s="357">
        <f>SUM(F49:H49)</f>
        <v>3</v>
      </c>
      <c r="S49" s="357">
        <f t="shared" si="27"/>
        <v>0</v>
      </c>
      <c r="T49" s="357">
        <f t="shared" si="28"/>
        <v>0</v>
      </c>
      <c r="U49" s="357">
        <f t="shared" si="29"/>
        <v>0</v>
      </c>
      <c r="V49" s="278">
        <f>SUM(F49:Q49)</f>
        <v>3</v>
      </c>
      <c r="W49" s="432" t="s">
        <v>1512</v>
      </c>
      <c r="X49" s="271"/>
    </row>
    <row r="50" spans="1:24" s="345" customFormat="1" x14ac:dyDescent="0.25">
      <c r="A50" s="302"/>
      <c r="B50" s="306"/>
      <c r="C50" s="307" t="s">
        <v>1561</v>
      </c>
      <c r="D50" s="308"/>
      <c r="E50" s="151"/>
      <c r="F50" s="279">
        <f>COUNTIFS('Annex 4.6 TA_UD'!$F$19:$F$1001,"&lt;&gt;",'Annex 4.6 TA_UD'!$J$19:$J$1001, F11)</f>
        <v>3</v>
      </c>
      <c r="G50" s="279">
        <f>COUNTIFS('Annex 4.6 TA_UD'!$F$19:$F$1001,"&lt;&gt;",'Annex 4.6 TA_UD'!$J$19:$J$1001, G11)</f>
        <v>2</v>
      </c>
      <c r="H50" s="279">
        <f>COUNTIFS('Annex 4.6 TA_UD'!$F$19:$F$1001,"&lt;&gt;",'Annex 4.6 TA_UD'!$J$19:$J$1001, H11)</f>
        <v>0</v>
      </c>
      <c r="I50" s="279">
        <f>COUNTIFS('Annex 4.6 TA_UD'!$F$19:$F$1001,"&lt;&gt;",'Annex 4.6 TA_UD'!$J$19:$J$1001, I11)</f>
        <v>0</v>
      </c>
      <c r="J50" s="279">
        <f>COUNTIFS('Annex 4.6 TA_UD'!$F$19:$F$1001,"&lt;&gt;",'Annex 4.6 TA_UD'!$J$19:$J$1001, J11)</f>
        <v>0</v>
      </c>
      <c r="K50" s="279">
        <f>COUNTIFS('Annex 4.6 TA_UD'!$F$19:$F$1001,"&lt;&gt;",'Annex 4.6 TA_UD'!$J$19:$J$1001, K11)</f>
        <v>0</v>
      </c>
      <c r="L50" s="279">
        <f>COUNTIFS('Annex 4.6 TA_UD'!$F$19:$F$1001,"&lt;&gt;",'Annex 4.6 TA_UD'!$J$19:$J$1001, L11)</f>
        <v>0</v>
      </c>
      <c r="M50" s="279">
        <f>COUNTIFS('Annex 4.6 TA_UD'!$F$19:$F$1001,"&lt;&gt;",'Annex 4.6 TA_UD'!$J$19:$J$1001, M11)</f>
        <v>0</v>
      </c>
      <c r="N50" s="279">
        <f>COUNTIFS('Annex 4.6 TA_UD'!$F$19:$F$1001,"&lt;&gt;",'Annex 4.6 TA_UD'!$J$19:$J$1001, N11)</f>
        <v>0</v>
      </c>
      <c r="O50" s="279">
        <f>COUNTIFS('Annex 4.6 TA_UD'!$F$19:$F$1001,"&lt;&gt;",'Annex 4.6 TA_UD'!$J$19:$J$1001, O11)</f>
        <v>0</v>
      </c>
      <c r="P50" s="279">
        <f>COUNTIFS('Annex 4.6 TA_UD'!$F$19:$F$1001,"&lt;&gt;",'Annex 4.6 TA_UD'!$J$19:$J$1001, P11)</f>
        <v>0</v>
      </c>
      <c r="Q50" s="279">
        <f>COUNTIFS('Annex 4.6 TA_UD'!$F$19:$F$1001,"&lt;&gt;",'Annex 4.6 TA_UD'!$J$19:$J$1001, Q11)</f>
        <v>0</v>
      </c>
      <c r="R50" s="357">
        <f t="shared" ref="R50:R51" si="30">SUM(F50:H50)</f>
        <v>5</v>
      </c>
      <c r="S50" s="357">
        <f t="shared" si="27"/>
        <v>0</v>
      </c>
      <c r="T50" s="357">
        <f t="shared" si="28"/>
        <v>0</v>
      </c>
      <c r="U50" s="357">
        <f t="shared" si="29"/>
        <v>0</v>
      </c>
      <c r="V50" s="278">
        <f>SUM(F50:Q50)</f>
        <v>5</v>
      </c>
      <c r="W50" s="432" t="s">
        <v>1512</v>
      </c>
      <c r="X50" s="269"/>
    </row>
    <row r="51" spans="1:24" s="345" customFormat="1" x14ac:dyDescent="0.25">
      <c r="A51" s="302"/>
      <c r="B51" s="306"/>
      <c r="C51" s="307"/>
      <c r="D51" s="308" t="s">
        <v>1562</v>
      </c>
      <c r="E51" s="151"/>
      <c r="F51" s="279">
        <f>COUNTIFS('Annex 4.6 TA_UD'!$H$19:$H$1001,"Planned",'Annex 4.6 TA_UD'!$J$19:$J$1001,F11)</f>
        <v>1</v>
      </c>
      <c r="G51" s="279">
        <f>COUNTIFS('Annex 4.6 TA_UD'!$H$19:$H$1001,"Planned",'Annex 4.6 TA_UD'!$J$19:$J$1001,G11)</f>
        <v>2</v>
      </c>
      <c r="H51" s="279">
        <f>COUNTIFS('Annex 4.6 TA_UD'!$H$19:$H$1001,"Planned",'Annex 4.6 TA_UD'!$J$19:$J$1001,H11)</f>
        <v>0</v>
      </c>
      <c r="I51" s="279">
        <f>COUNTIFS('Annex 4.6 TA_UD'!$H$19:$H$1001,"Planned",'Annex 4.6 TA_UD'!$J$19:$J$1001,I11)</f>
        <v>0</v>
      </c>
      <c r="J51" s="279">
        <f>COUNTIFS('Annex 4.6 TA_UD'!$H$19:$H$1001,"Planned",'Annex 4.6 TA_UD'!$J$19:$J$1001,J11)</f>
        <v>0</v>
      </c>
      <c r="K51" s="279">
        <f>COUNTIFS('Annex 4.6 TA_UD'!$H$19:$H$1001,"Planned",'Annex 4.6 TA_UD'!$J$19:$J$1001,K11)</f>
        <v>0</v>
      </c>
      <c r="L51" s="279">
        <f>COUNTIFS('Annex 4.6 TA_UD'!$H$19:$H$1001,"Planned",'Annex 4.6 TA_UD'!$J$19:$J$1001,L11)</f>
        <v>0</v>
      </c>
      <c r="M51" s="279">
        <f>COUNTIFS('Annex 4.6 TA_UD'!$H$19:$H$1001,"Planned",'Annex 4.6 TA_UD'!$J$19:$J$1001,M11)</f>
        <v>0</v>
      </c>
      <c r="N51" s="279">
        <f>COUNTIFS('Annex 4.6 TA_UD'!$H$19:$H$1001,"Planned",'Annex 4.6 TA_UD'!$J$19:$J$1001,N11)</f>
        <v>0</v>
      </c>
      <c r="O51" s="279">
        <f>COUNTIFS('Annex 4.6 TA_UD'!$H$19:$H$1001,"Planned",'Annex 4.6 TA_UD'!$J$19:$J$1001,O11)</f>
        <v>0</v>
      </c>
      <c r="P51" s="279">
        <f>COUNTIFS('Annex 4.6 TA_UD'!$H$19:$H$1001,"Planned",'Annex 4.6 TA_UD'!$J$19:$J$1001,P11)</f>
        <v>0</v>
      </c>
      <c r="Q51" s="279">
        <f>COUNTIFS('Annex 4.6 TA_UD'!$H$19:$H$1001,"Planned",'Annex 4.6 TA_UD'!$J$19:$J$1001,Q11)</f>
        <v>0</v>
      </c>
      <c r="R51" s="357">
        <f t="shared" si="30"/>
        <v>3</v>
      </c>
      <c r="S51" s="357">
        <f>SUM(I51:K51)</f>
        <v>0</v>
      </c>
      <c r="T51" s="357">
        <f>SUM(L51:N51)</f>
        <v>0</v>
      </c>
      <c r="U51" s="357">
        <f>SUM(O51:Q51)</f>
        <v>0</v>
      </c>
      <c r="V51" s="278">
        <f>SUM(F51:Q51)</f>
        <v>3</v>
      </c>
      <c r="W51" s="432" t="s">
        <v>1512</v>
      </c>
      <c r="X51" s="269"/>
    </row>
    <row r="52" spans="1:24" s="345" customFormat="1" x14ac:dyDescent="0.25">
      <c r="A52" s="302"/>
      <c r="B52" s="306"/>
      <c r="C52" s="307"/>
      <c r="D52" s="308" t="s">
        <v>1563</v>
      </c>
      <c r="E52" s="151"/>
      <c r="F52" s="279">
        <f>COUNTIFS('Annex 4.6 TA_UD'!$H$19:$H$1001,"Requested",'Annex 4.6 TA_UD'!$J$19:$J$1001,F11)</f>
        <v>2</v>
      </c>
      <c r="G52" s="279">
        <f>COUNTIFS('Annex 4.6 TA_UD'!$H$19:$H$1001,"Requested",'Annex 4.6 TA_UD'!$J$19:$J$1001,G11)</f>
        <v>0</v>
      </c>
      <c r="H52" s="279">
        <f>COUNTIFS('Annex 4.6 TA_UD'!$H$19:$H$1001,"Requested",'Annex 4.6 TA_UD'!$J$19:$J$1001,H11)</f>
        <v>0</v>
      </c>
      <c r="I52" s="279">
        <f>COUNTIFS('Annex 4.6 TA_UD'!$H$19:$H$1001,"Requested",'Annex 4.6 TA_UD'!$J$19:$J$1001,I11)</f>
        <v>0</v>
      </c>
      <c r="J52" s="279">
        <f>COUNTIFS('Annex 4.6 TA_UD'!$H$19:$H$1001,"Requested",'Annex 4.6 TA_UD'!$J$19:$J$1001,J11)</f>
        <v>0</v>
      </c>
      <c r="K52" s="279">
        <f>COUNTIFS('Annex 4.6 TA_UD'!$H$19:$H$1001,"Requested",'Annex 4.6 TA_UD'!$J$19:$J$1001,K11)</f>
        <v>0</v>
      </c>
      <c r="L52" s="279">
        <f>COUNTIFS('Annex 4.6 TA_UD'!$H$19:$H$1001,"Requested",'Annex 4.6 TA_UD'!$J$19:$J$1001,L11)</f>
        <v>0</v>
      </c>
      <c r="M52" s="279">
        <f>COUNTIFS('Annex 4.6 TA_UD'!$H$19:$H$1001,"Requested",'Annex 4.6 TA_UD'!$J$19:$J$1001,M11)</f>
        <v>0</v>
      </c>
      <c r="N52" s="279">
        <f>COUNTIFS('Annex 4.6 TA_UD'!$H$19:$H$1001,"Requested",'Annex 4.6 TA_UD'!$J$19:$J$1001,N11)</f>
        <v>0</v>
      </c>
      <c r="O52" s="279">
        <f>COUNTIFS('Annex 4.6 TA_UD'!$H$19:$H$1001,"Requested",'Annex 4.6 TA_UD'!$J$19:$J$1001,O11)</f>
        <v>0</v>
      </c>
      <c r="P52" s="279">
        <f>COUNTIFS('Annex 4.6 TA_UD'!$H$19:$H$1001,"Requested",'Annex 4.6 TA_UD'!$J$19:$J$1001,P11)</f>
        <v>0</v>
      </c>
      <c r="Q52" s="279">
        <f>COUNTIFS('Annex 4.6 TA_UD'!$H$19:$H$1001,"Requested",'Annex 4.6 TA_UD'!$J$19:$J$1001,Q11)</f>
        <v>0</v>
      </c>
      <c r="R52" s="357">
        <f>SUM(F52:H52)</f>
        <v>2</v>
      </c>
      <c r="S52" s="357">
        <f>SUM(I52:K52)</f>
        <v>0</v>
      </c>
      <c r="T52" s="357">
        <f>SUM(L52:N52)</f>
        <v>0</v>
      </c>
      <c r="U52" s="357">
        <f>SUM(O52:Q52)</f>
        <v>0</v>
      </c>
      <c r="V52" s="278">
        <f t="shared" ref="V52" si="31">SUM(F52:Q52)</f>
        <v>2</v>
      </c>
      <c r="W52" s="432" t="s">
        <v>1512</v>
      </c>
      <c r="X52" s="269"/>
    </row>
    <row r="53" spans="1:24" s="346" customFormat="1" ht="30" customHeight="1" x14ac:dyDescent="0.3">
      <c r="A53" s="310"/>
      <c r="B53" s="309">
        <v>7</v>
      </c>
      <c r="C53" s="580" t="s">
        <v>1564</v>
      </c>
      <c r="D53" s="581"/>
      <c r="E53" s="226"/>
      <c r="F53" s="279"/>
      <c r="G53" s="279"/>
      <c r="H53" s="279"/>
      <c r="I53" s="279"/>
      <c r="J53" s="279"/>
      <c r="K53" s="279"/>
      <c r="L53" s="279"/>
      <c r="M53" s="279"/>
      <c r="N53" s="279"/>
      <c r="O53" s="279"/>
      <c r="P53" s="279"/>
      <c r="Q53" s="279"/>
      <c r="R53" s="279"/>
      <c r="S53" s="279"/>
      <c r="T53" s="279"/>
      <c r="U53" s="279"/>
      <c r="V53" s="285"/>
      <c r="W53" s="432" t="s">
        <v>1512</v>
      </c>
      <c r="X53" s="272"/>
    </row>
    <row r="54" spans="1:24" s="345" customFormat="1" ht="14.4" x14ac:dyDescent="0.3">
      <c r="A54" s="302"/>
      <c r="B54" s="306"/>
      <c r="C54" s="307" t="s">
        <v>1565</v>
      </c>
      <c r="D54" s="308"/>
      <c r="E54" s="220">
        <v>1</v>
      </c>
      <c r="F54" s="279">
        <f>COUNTIFS('Annex 4.7 TA_Others'!$J$18:$J$1007,"1st",'Annex 4.7 TA_Others'!$H$18:$H$1007,F11)</f>
        <v>1</v>
      </c>
      <c r="G54" s="279">
        <f>COUNTIFS('Annex 4.7 TA_Others'!$J$18:$J$1007,"1st",'Annex 4.7 TA_Others'!$H$18:$H$1007,G11)</f>
        <v>3</v>
      </c>
      <c r="H54" s="279">
        <f>COUNTIFS('Annex 4.7 TA_Others'!$J$18:$J$1007,"1st",'Annex 4.7 TA_Others'!$H$18:$H$1007,H11)</f>
        <v>0</v>
      </c>
      <c r="I54" s="279">
        <f>COUNTIFS('Annex 4.7 TA_Others'!$J$18:$J$1007,"1st",'Annex 4.7 TA_Others'!$H$18:$H$1007,I11)</f>
        <v>0</v>
      </c>
      <c r="J54" s="279">
        <f>COUNTIFS('Annex 4.7 TA_Others'!$J$18:$J$1007,"1st",'Annex 4.7 TA_Others'!$H$18:$H$1007,J11)</f>
        <v>0</v>
      </c>
      <c r="K54" s="279">
        <f>COUNTIFS('Annex 4.7 TA_Others'!$J$18:$J$1007,"1st",'Annex 4.7 TA_Others'!$H$18:$H$1007,K11)</f>
        <v>0</v>
      </c>
      <c r="L54" s="279">
        <f>COUNTIFS('Annex 4.7 TA_Others'!$J$18:$J$1007,"1st",'Annex 4.7 TA_Others'!$H$18:$H$1007,L11)</f>
        <v>0</v>
      </c>
      <c r="M54" s="279">
        <f>COUNTIFS('Annex 4.7 TA_Others'!$J$18:$J$1007,"1st",'Annex 4.7 TA_Others'!$H$18:$H$1007,M11)</f>
        <v>0</v>
      </c>
      <c r="N54" s="279">
        <f>COUNTIFS('Annex 4.7 TA_Others'!$J$18:$J$1007,"1st",'Annex 4.7 TA_Others'!$H$18:$H$1007,N11)</f>
        <v>0</v>
      </c>
      <c r="O54" s="279">
        <f>COUNTIFS('Annex 4.7 TA_Others'!$J$18:$J$1007,"1st",'Annex 4.7 TA_Others'!$H$18:$H$1007,O11)</f>
        <v>0</v>
      </c>
      <c r="P54" s="279">
        <f>COUNTIFS('Annex 4.7 TA_Others'!$J$18:$J$1007,"1st",'Annex 4.7 TA_Others'!$H$18:$H$1007,P11)</f>
        <v>0</v>
      </c>
      <c r="Q54" s="279">
        <f>COUNTIFS('Annex 4.7 TA_Others'!$J$18:$J$1007,"1st",'Annex 4.7 TA_Others'!$H$18:$H$1007,Q11)</f>
        <v>0</v>
      </c>
      <c r="R54" s="357">
        <f>SUM(F54:H54)</f>
        <v>4</v>
      </c>
      <c r="S54" s="357">
        <f t="shared" ref="S54:S56" si="32">SUM(I54:K54)</f>
        <v>0</v>
      </c>
      <c r="T54" s="357">
        <f t="shared" ref="T54:T56" si="33">SUM(L54:N54)</f>
        <v>0</v>
      </c>
      <c r="U54" s="357">
        <f t="shared" ref="U54:U56" si="34">SUM(O54:Q54)</f>
        <v>0</v>
      </c>
      <c r="V54" s="278">
        <f>SUM(F54:Q54)</f>
        <v>4</v>
      </c>
      <c r="W54" s="432"/>
      <c r="X54" s="271" t="s">
        <v>1566</v>
      </c>
    </row>
    <row r="55" spans="1:24" s="345" customFormat="1" x14ac:dyDescent="0.25">
      <c r="A55" s="302"/>
      <c r="B55" s="306"/>
      <c r="C55" s="307" t="s">
        <v>1567</v>
      </c>
      <c r="D55" s="308"/>
      <c r="E55" s="151"/>
      <c r="F55" s="279">
        <f>COUNTIFS('Annex 4.7 TA_Others'!$D$18:$D$1007,"&lt;&gt;",'Annex 4.7 TA_Others'!$H$18:$H$1007,F11)</f>
        <v>1</v>
      </c>
      <c r="G55" s="279">
        <f>COUNTIFS('Annex 4.7 TA_Others'!$D$18:$D$1007,"&lt;&gt;",'Annex 4.7 TA_Others'!$H$18:$H$1007,G11)</f>
        <v>3</v>
      </c>
      <c r="H55" s="279">
        <f>COUNTIFS('Annex 4.7 TA_Others'!$D$18:$D$1007,"&lt;&gt;",'Annex 4.7 TA_Others'!$H$18:$H$1007,H11)</f>
        <v>0</v>
      </c>
      <c r="I55" s="279">
        <f>COUNTIFS('Annex 4.7 TA_Others'!$D$18:$D$1007,"&lt;&gt;",'Annex 4.7 TA_Others'!$H$18:$H$1007,I11)</f>
        <v>0</v>
      </c>
      <c r="J55" s="279">
        <f>COUNTIFS('Annex 4.7 TA_Others'!$D$18:$D$1007,"&lt;&gt;",'Annex 4.7 TA_Others'!$H$18:$H$1007,J11)</f>
        <v>0</v>
      </c>
      <c r="K55" s="279">
        <f>COUNTIFS('Annex 4.7 TA_Others'!$D$18:$D$1007,"&lt;&gt;",'Annex 4.7 TA_Others'!$H$18:$H$1007,K11)</f>
        <v>0</v>
      </c>
      <c r="L55" s="279">
        <f>COUNTIFS('Annex 4.7 TA_Others'!$D$18:$D$1007,"&lt;&gt;",'Annex 4.7 TA_Others'!$H$18:$H$1007,L11)</f>
        <v>0</v>
      </c>
      <c r="M55" s="279">
        <f>COUNTIFS('Annex 4.7 TA_Others'!$D$18:$D$1007,"&lt;&gt;",'Annex 4.7 TA_Others'!$H$18:$H$1007,M11)</f>
        <v>0</v>
      </c>
      <c r="N55" s="279">
        <f>COUNTIFS('Annex 4.7 TA_Others'!$D$18:$D$1007,"&lt;&gt;",'Annex 4.7 TA_Others'!$H$18:$H$1007,N11)</f>
        <v>0</v>
      </c>
      <c r="O55" s="279">
        <f>COUNTIFS('Annex 4.7 TA_Others'!$D$18:$D$1007,"&lt;&gt;",'Annex 4.7 TA_Others'!$H$18:$H$1007,O11)</f>
        <v>0</v>
      </c>
      <c r="P55" s="279">
        <f>COUNTIFS('Annex 4.7 TA_Others'!$D$18:$D$1007,"&lt;&gt;",'Annex 4.7 TA_Others'!$H$18:$H$1007,P11)</f>
        <v>0</v>
      </c>
      <c r="Q55" s="279">
        <f>COUNTIFS('Annex 4.7 TA_Others'!$D$18:$D$1007,"&lt;&gt;",'Annex 4.7 TA_Others'!$H$18:$H$1007,Q11)</f>
        <v>0</v>
      </c>
      <c r="R55" s="357">
        <f>SUM(F55:H55)</f>
        <v>4</v>
      </c>
      <c r="S55" s="357">
        <f t="shared" si="32"/>
        <v>0</v>
      </c>
      <c r="T55" s="357">
        <f t="shared" si="33"/>
        <v>0</v>
      </c>
      <c r="U55" s="357">
        <f t="shared" si="34"/>
        <v>0</v>
      </c>
      <c r="V55" s="278">
        <f t="shared" si="8"/>
        <v>4</v>
      </c>
      <c r="W55" s="432"/>
      <c r="X55" s="269"/>
    </row>
    <row r="56" spans="1:24" s="345" customFormat="1" x14ac:dyDescent="0.25">
      <c r="A56" s="302"/>
      <c r="B56" s="306"/>
      <c r="C56" s="307"/>
      <c r="D56" s="308" t="s">
        <v>1568</v>
      </c>
      <c r="E56" s="151"/>
      <c r="F56" s="279">
        <f>COUNTIFS('Annex 4.7 TA_Others'!$F$18:$F$1007,"Planned",'Annex 4.7 TA_Others'!$H$18:$H$1007,F11)</f>
        <v>0</v>
      </c>
      <c r="G56" s="279">
        <f>COUNTIFS('Annex 4.7 TA_Others'!$F$18:$F$1007,"Planned",'Annex 4.7 TA_Others'!$H$18:$H$1007,G11)</f>
        <v>0</v>
      </c>
      <c r="H56" s="279">
        <f>COUNTIFS('Annex 4.7 TA_Others'!$F$18:$F$1007,"Planned",'Annex 4.7 TA_Others'!$H$18:$H$1007,H11)</f>
        <v>0</v>
      </c>
      <c r="I56" s="279">
        <f>COUNTIFS('Annex 4.7 TA_Others'!$F$18:$F$1007,"Planned",'Annex 4.7 TA_Others'!$H$18:$H$1007,I11)</f>
        <v>0</v>
      </c>
      <c r="J56" s="279">
        <f>COUNTIFS('Annex 4.7 TA_Others'!$F$18:$F$1007,"Planned",'Annex 4.7 TA_Others'!$H$18:$H$1007,J11)</f>
        <v>0</v>
      </c>
      <c r="K56" s="279">
        <f>COUNTIFS('Annex 4.7 TA_Others'!$F$18:$F$1007,"Planned",'Annex 4.7 TA_Others'!$H$18:$H$1007,K11)</f>
        <v>0</v>
      </c>
      <c r="L56" s="279">
        <f>COUNTIFS('Annex 4.7 TA_Others'!$F$18:$F$1007,"Planned",'Annex 4.7 TA_Others'!$H$18:$H$1007,L11)</f>
        <v>0</v>
      </c>
      <c r="M56" s="279">
        <f>COUNTIFS('Annex 4.7 TA_Others'!$F$18:$F$1007,"Planned",'Annex 4.7 TA_Others'!$H$18:$H$1007,M11)</f>
        <v>0</v>
      </c>
      <c r="N56" s="279">
        <f>COUNTIFS('Annex 4.7 TA_Others'!$F$18:$F$1007,"Planned",'Annex 4.7 TA_Others'!$H$18:$H$1007,N11)</f>
        <v>0</v>
      </c>
      <c r="O56" s="279">
        <f>COUNTIFS('Annex 4.7 TA_Others'!$F$18:$F$1007,"Planned",'Annex 4.7 TA_Others'!$H$18:$H$1007,O11)</f>
        <v>0</v>
      </c>
      <c r="P56" s="279">
        <f>COUNTIFS('Annex 4.7 TA_Others'!$F$18:$F$1007,"Planned",'Annex 4.7 TA_Others'!$H$18:$H$1007,P11)</f>
        <v>0</v>
      </c>
      <c r="Q56" s="279">
        <f>COUNTIFS('Annex 4.7 TA_Others'!$F$18:$F$1007,"Planned",'Annex 4.7 TA_Others'!$H$18:$H$1007,Q11)</f>
        <v>0</v>
      </c>
      <c r="R56" s="357">
        <f t="shared" ref="R56:R57" si="35">SUM(F56:H56)</f>
        <v>0</v>
      </c>
      <c r="S56" s="357">
        <f t="shared" si="32"/>
        <v>0</v>
      </c>
      <c r="T56" s="357">
        <f t="shared" si="33"/>
        <v>0</v>
      </c>
      <c r="U56" s="357">
        <f t="shared" si="34"/>
        <v>0</v>
      </c>
      <c r="V56" s="278">
        <f>SUM(F56:Q56)</f>
        <v>0</v>
      </c>
      <c r="W56" s="432"/>
      <c r="X56" s="269"/>
    </row>
    <row r="57" spans="1:24" s="345" customFormat="1" x14ac:dyDescent="0.25">
      <c r="A57" s="302"/>
      <c r="B57" s="306"/>
      <c r="C57" s="307"/>
      <c r="D57" s="308" t="s">
        <v>1569</v>
      </c>
      <c r="E57" s="151"/>
      <c r="F57" s="279">
        <f>COUNTIFS('Annex 4.7 TA_Others'!$F$18:$F$1007,"Requested",'Annex 4.7 TA_Others'!$H$18:$H$1007,F11)</f>
        <v>1</v>
      </c>
      <c r="G57" s="279">
        <f>COUNTIFS('Annex 4.7 TA_Others'!$F$18:$F$1007,"Requested",'Annex 4.7 TA_Others'!$H$18:$H$1007,G11)</f>
        <v>3</v>
      </c>
      <c r="H57" s="279">
        <f>COUNTIFS('Annex 4.7 TA_Others'!$F$18:$F$1007,"Requested",'Annex 4.7 TA_Others'!$H$18:$H$1007,H11)</f>
        <v>0</v>
      </c>
      <c r="I57" s="279">
        <f>COUNTIFS('Annex 4.7 TA_Others'!$F$18:$F$1007,"Requested",'Annex 4.7 TA_Others'!$H$18:$H$1007,I11)</f>
        <v>0</v>
      </c>
      <c r="J57" s="279">
        <f>COUNTIFS('Annex 4.7 TA_Others'!$F$18:$F$1007,"Requested",'Annex 4.7 TA_Others'!$H$18:$H$1007,J11)</f>
        <v>0</v>
      </c>
      <c r="K57" s="279">
        <f>COUNTIFS('Annex 4.7 TA_Others'!$F$18:$F$1007,"Requested",'Annex 4.7 TA_Others'!$H$18:$H$1007,K11)</f>
        <v>0</v>
      </c>
      <c r="L57" s="279">
        <f>COUNTIFS('Annex 4.7 TA_Others'!$F$18:$F$1007,"Requested",'Annex 4.7 TA_Others'!$H$18:$H$1007,L11)</f>
        <v>0</v>
      </c>
      <c r="M57" s="279">
        <f>COUNTIFS('Annex 4.7 TA_Others'!$F$18:$F$1007,"Requested",'Annex 4.7 TA_Others'!$H$18:$H$1007,M11)</f>
        <v>0</v>
      </c>
      <c r="N57" s="279">
        <f>COUNTIFS('Annex 4.7 TA_Others'!$F$18:$F$1007,"Requested",'Annex 4.7 TA_Others'!$H$18:$H$1007,N11)</f>
        <v>0</v>
      </c>
      <c r="O57" s="279">
        <f>COUNTIFS('Annex 4.7 TA_Others'!$F$18:$F$1007,"Requested",'Annex 4.7 TA_Others'!$H$18:$H$1007,O11)</f>
        <v>0</v>
      </c>
      <c r="P57" s="279">
        <f>COUNTIFS('Annex 4.7 TA_Others'!$F$18:$F$1007,"Requested",'Annex 4.7 TA_Others'!$H$18:$H$1007,P11)</f>
        <v>0</v>
      </c>
      <c r="Q57" s="279">
        <f>COUNTIFS('Annex 4.7 TA_Others'!$F$18:$F$1007,"Requested",'Annex 4.7 TA_Others'!$H$18:$H$1007,Q11)</f>
        <v>0</v>
      </c>
      <c r="R57" s="357">
        <f t="shared" si="35"/>
        <v>4</v>
      </c>
      <c r="S57" s="357">
        <f>SUM(I57:K57)</f>
        <v>0</v>
      </c>
      <c r="T57" s="357">
        <f>SUM(L57:N57)</f>
        <v>0</v>
      </c>
      <c r="U57" s="357">
        <f>SUM(O57:Q57)</f>
        <v>0</v>
      </c>
      <c r="V57" s="278">
        <f>SUM(F57:Q57)</f>
        <v>4</v>
      </c>
      <c r="W57" s="432"/>
      <c r="X57" s="269"/>
    </row>
    <row r="58" spans="1:24" s="345" customFormat="1" ht="12.75" customHeight="1" x14ac:dyDescent="0.25">
      <c r="A58" s="311"/>
      <c r="B58" s="312" t="s">
        <v>1570</v>
      </c>
      <c r="C58" s="313"/>
      <c r="D58" s="314"/>
      <c r="E58" s="227"/>
      <c r="F58" s="286"/>
      <c r="G58" s="286"/>
      <c r="H58" s="286"/>
      <c r="I58" s="286"/>
      <c r="J58" s="286"/>
      <c r="K58" s="286"/>
      <c r="L58" s="286"/>
      <c r="M58" s="286"/>
      <c r="N58" s="286"/>
      <c r="O58" s="286"/>
      <c r="P58" s="286"/>
      <c r="Q58" s="286"/>
      <c r="R58" s="286"/>
      <c r="S58" s="286"/>
      <c r="T58" s="286"/>
      <c r="U58" s="286"/>
      <c r="V58" s="286"/>
      <c r="W58" s="434"/>
      <c r="X58" s="359"/>
    </row>
    <row r="59" spans="1:24" s="345" customFormat="1" x14ac:dyDescent="0.25">
      <c r="A59" s="302"/>
      <c r="B59" s="303">
        <v>8</v>
      </c>
      <c r="C59" s="304" t="s">
        <v>1571</v>
      </c>
      <c r="D59" s="305"/>
      <c r="E59" s="225"/>
      <c r="F59" s="279"/>
      <c r="G59" s="279"/>
      <c r="H59" s="279"/>
      <c r="I59" s="279"/>
      <c r="J59" s="279"/>
      <c r="K59" s="279"/>
      <c r="L59" s="279"/>
      <c r="M59" s="279"/>
      <c r="N59" s="279"/>
      <c r="O59" s="279"/>
      <c r="P59" s="279"/>
      <c r="Q59" s="279"/>
      <c r="R59" s="279"/>
      <c r="S59" s="279"/>
      <c r="T59" s="279"/>
      <c r="U59" s="279"/>
      <c r="V59" s="285"/>
      <c r="W59" s="432"/>
      <c r="X59" s="269"/>
    </row>
    <row r="60" spans="1:24" s="345" customFormat="1" x14ac:dyDescent="0.25">
      <c r="A60" s="302"/>
      <c r="B60" s="306"/>
      <c r="C60" s="304" t="s">
        <v>1572</v>
      </c>
      <c r="D60" s="304"/>
      <c r="E60" s="225"/>
      <c r="F60" s="279"/>
      <c r="G60" s="279"/>
      <c r="H60" s="279"/>
      <c r="I60" s="279"/>
      <c r="J60" s="279"/>
      <c r="K60" s="279"/>
      <c r="L60" s="279"/>
      <c r="M60" s="279"/>
      <c r="N60" s="279"/>
      <c r="O60" s="279"/>
      <c r="P60" s="279"/>
      <c r="Q60" s="279"/>
      <c r="R60" s="279"/>
      <c r="S60" s="279"/>
      <c r="T60" s="279"/>
      <c r="U60" s="279"/>
      <c r="V60" s="285"/>
      <c r="W60" s="432"/>
      <c r="X60" s="269"/>
    </row>
    <row r="61" spans="1:24" s="345" customFormat="1" ht="14.4" x14ac:dyDescent="0.3">
      <c r="A61" s="302"/>
      <c r="B61" s="306"/>
      <c r="C61" s="307" t="s">
        <v>1573</v>
      </c>
      <c r="D61" s="308"/>
      <c r="E61" s="220">
        <v>10</v>
      </c>
      <c r="F61" s="279">
        <f>COUNTIFS('Annex 5.1 TR_CLUP-ZO'!$N$18:$N$1000,"1st",'Annex 5.1 TR_CLUP-ZO'!$L$18:$L$1000,F11)</f>
        <v>0</v>
      </c>
      <c r="G61" s="279">
        <f>COUNTIFS('Annex 5.1 TR_CLUP-ZO'!$N$18:$N$1000,"1st",'Annex 5.1 TR_CLUP-ZO'!$L$18:$L$1000,G11)</f>
        <v>2</v>
      </c>
      <c r="H61" s="279">
        <f>COUNTIFS('Annex 5.1 TR_CLUP-ZO'!$N$18:$N$1000,"1st",'Annex 5.1 TR_CLUP-ZO'!$L$18:$L$1000,H11)</f>
        <v>0</v>
      </c>
      <c r="I61" s="279">
        <f>COUNTIFS('Annex 5.1 TR_CLUP-ZO'!$N$18:$N$1000,"1st",'Annex 5.1 TR_CLUP-ZO'!$L$18:$L$1000,I11)</f>
        <v>0</v>
      </c>
      <c r="J61" s="279">
        <f>COUNTIFS('Annex 5.1 TR_CLUP-ZO'!$N$18:$N$1000,"1st",'Annex 5.1 TR_CLUP-ZO'!$L$18:$L$1000,J11)</f>
        <v>0</v>
      </c>
      <c r="K61" s="279">
        <f>COUNTIFS('Annex 5.1 TR_CLUP-ZO'!$N$18:$N$1000,"1st",'Annex 5.1 TR_CLUP-ZO'!$L$18:$L$1000,K11)</f>
        <v>0</v>
      </c>
      <c r="L61" s="279">
        <f>COUNTIFS('Annex 5.1 TR_CLUP-ZO'!$N$18:$N$1000,"1st",'Annex 5.1 TR_CLUP-ZO'!$L$18:$L$1000,L11)</f>
        <v>0</v>
      </c>
      <c r="M61" s="279">
        <f>COUNTIFS('Annex 5.1 TR_CLUP-ZO'!$N$18:$N$1000,"1st",'Annex 5.1 TR_CLUP-ZO'!$L$18:$L$1000,M11)</f>
        <v>0</v>
      </c>
      <c r="N61" s="279">
        <f>COUNTIFS('Annex 5.1 TR_CLUP-ZO'!$N$18:$N$1000,"1st",'Annex 5.1 TR_CLUP-ZO'!$L$18:$L$1000,N11)</f>
        <v>0</v>
      </c>
      <c r="O61" s="279">
        <f>COUNTIFS('Annex 5.1 TR_CLUP-ZO'!$N$18:$N$1000,"1st",'Annex 5.1 TR_CLUP-ZO'!$L$18:$L$1000,O11)</f>
        <v>0</v>
      </c>
      <c r="P61" s="279">
        <f>COUNTIFS('Annex 5.1 TR_CLUP-ZO'!$N$18:$N$1000,"1st",'Annex 5.1 TR_CLUP-ZO'!$L$18:$L$1000,P11)</f>
        <v>0</v>
      </c>
      <c r="Q61" s="279">
        <f>COUNTIFS('Annex 5.1 TR_CLUP-ZO'!$N$18:$N$1000,"1st",'Annex 5.1 TR_CLUP-ZO'!$L$18:$L$1000,Q11)</f>
        <v>0</v>
      </c>
      <c r="R61" s="357">
        <f>SUM(F61:H61)</f>
        <v>2</v>
      </c>
      <c r="S61" s="357">
        <f t="shared" ref="S61" si="36">SUM(I61:K61)</f>
        <v>0</v>
      </c>
      <c r="T61" s="357">
        <f t="shared" ref="T61" si="37">SUM(L61:N61)</f>
        <v>0</v>
      </c>
      <c r="U61" s="357">
        <f t="shared" ref="U61" si="38">SUM(O61:Q61)</f>
        <v>0</v>
      </c>
      <c r="V61" s="278">
        <f>SUM(F61:Q61)</f>
        <v>2</v>
      </c>
      <c r="W61" s="432"/>
      <c r="X61" s="271" t="s">
        <v>1574</v>
      </c>
    </row>
    <row r="62" spans="1:24" s="345" customFormat="1" x14ac:dyDescent="0.25">
      <c r="A62" s="302"/>
      <c r="B62" s="306"/>
      <c r="C62" s="307" t="s">
        <v>1575</v>
      </c>
      <c r="D62" s="308"/>
      <c r="E62" s="220">
        <v>5</v>
      </c>
      <c r="F62" s="279">
        <f>COUNTIFS('Annex 5.1 TR_CLUP-ZO'!$D$18:$D$1000,"&lt;&gt;",'Annex 5.1 TR_CLUP-ZO'!$L$18:$L$1000,F11)</f>
        <v>0</v>
      </c>
      <c r="G62" s="279">
        <f>COUNTIFS('Annex 5.1 TR_CLUP-ZO'!$D$18:$D$1000,"&lt;&gt;",'Annex 5.1 TR_CLUP-ZO'!$L$18:$L$1000,G11)</f>
        <v>2</v>
      </c>
      <c r="H62" s="279">
        <f>COUNTIFS('Annex 5.1 TR_CLUP-ZO'!$D$18:$D$1000,"&lt;&gt;",'Annex 5.1 TR_CLUP-ZO'!$L$18:$L$1000,H11)</f>
        <v>0</v>
      </c>
      <c r="I62" s="279">
        <f>COUNTIFS('Annex 5.1 TR_CLUP-ZO'!$D$18:$D$1000,"&lt;&gt;",'Annex 5.1 TR_CLUP-ZO'!$L$18:$L$1000,I11)</f>
        <v>0</v>
      </c>
      <c r="J62" s="279">
        <f>COUNTIFS('Annex 5.1 TR_CLUP-ZO'!$D$18:$D$1000,"&lt;&gt;",'Annex 5.1 TR_CLUP-ZO'!$L$18:$L$1000,J11)</f>
        <v>0</v>
      </c>
      <c r="K62" s="279">
        <f>COUNTIFS('Annex 5.1 TR_CLUP-ZO'!$D$18:$D$1000,"&lt;&gt;",'Annex 5.1 TR_CLUP-ZO'!$L$18:$L$1000,K11)</f>
        <v>0</v>
      </c>
      <c r="L62" s="279">
        <f>COUNTIFS('Annex 5.1 TR_CLUP-ZO'!$D$18:$D$1000,"&lt;&gt;",'Annex 5.1 TR_CLUP-ZO'!$L$18:$L$1000,L11)</f>
        <v>0</v>
      </c>
      <c r="M62" s="279">
        <f>COUNTIFS('Annex 5.1 TR_CLUP-ZO'!$D$18:$D$1000,"&lt;&gt;",'Annex 5.1 TR_CLUP-ZO'!$L$18:$L$1000,M11)</f>
        <v>0</v>
      </c>
      <c r="N62" s="279">
        <f>COUNTIFS('Annex 5.1 TR_CLUP-ZO'!$D$18:$D$1000,"&lt;&gt;",'Annex 5.1 TR_CLUP-ZO'!$L$18:$L$1000,N11)</f>
        <v>0</v>
      </c>
      <c r="O62" s="279">
        <f>COUNTIFS('Annex 5.1 TR_CLUP-ZO'!$D$18:$D$1000,"&lt;&gt;",'Annex 5.1 TR_CLUP-ZO'!$L$18:$L$1000,O11)</f>
        <v>0</v>
      </c>
      <c r="P62" s="279">
        <f>COUNTIFS('Annex 5.1 TR_CLUP-ZO'!$D$18:$D$1000,"&lt;&gt;",'Annex 5.1 TR_CLUP-ZO'!$L$18:$L$1000,P11)</f>
        <v>0</v>
      </c>
      <c r="Q62" s="279">
        <f>COUNTIFS('Annex 5.1 TR_CLUP-ZO'!$D$18:$D$1000,"&lt;&gt;",'Annex 5.1 TR_CLUP-ZO'!$L$18:$L$1000,Q11)</f>
        <v>0</v>
      </c>
      <c r="R62" s="357">
        <f>SUM(F62:H62)</f>
        <v>2</v>
      </c>
      <c r="S62" s="357">
        <f t="shared" ref="S62" si="39">SUM(I62:K62)</f>
        <v>0</v>
      </c>
      <c r="T62" s="357">
        <f t="shared" ref="T62" si="40">SUM(L62:N62)</f>
        <v>0</v>
      </c>
      <c r="U62" s="357">
        <f t="shared" ref="U62" si="41">SUM(O62:Q62)</f>
        <v>0</v>
      </c>
      <c r="V62" s="278">
        <f>SUM(F62:Q62)</f>
        <v>2</v>
      </c>
      <c r="W62" s="432" t="s">
        <v>1512</v>
      </c>
      <c r="X62" s="269"/>
    </row>
    <row r="63" spans="1:24" s="345" customFormat="1" x14ac:dyDescent="0.25">
      <c r="A63" s="302"/>
      <c r="B63" s="303">
        <v>9</v>
      </c>
      <c r="C63" s="304" t="s">
        <v>1576</v>
      </c>
      <c r="D63" s="305"/>
      <c r="E63" s="225"/>
      <c r="F63" s="279"/>
      <c r="G63" s="279"/>
      <c r="H63" s="279"/>
      <c r="I63" s="279"/>
      <c r="J63" s="279"/>
      <c r="K63" s="279"/>
      <c r="L63" s="279"/>
      <c r="M63" s="279"/>
      <c r="N63" s="279"/>
      <c r="O63" s="279"/>
      <c r="P63" s="279"/>
      <c r="Q63" s="279"/>
      <c r="R63" s="279"/>
      <c r="S63" s="279"/>
      <c r="T63" s="279"/>
      <c r="U63" s="279"/>
      <c r="V63" s="285"/>
      <c r="W63" s="432" t="s">
        <v>1512</v>
      </c>
      <c r="X63" s="269"/>
    </row>
    <row r="64" spans="1:24" s="345" customFormat="1" ht="14.4" x14ac:dyDescent="0.3">
      <c r="A64" s="302"/>
      <c r="B64" s="306"/>
      <c r="C64" s="307" t="s">
        <v>1577</v>
      </c>
      <c r="D64" s="308"/>
      <c r="E64" s="220">
        <v>5</v>
      </c>
      <c r="F64" s="279">
        <f>COUNTIFS('Annex 5.2 TR_GIS'!$N$18:$N$996,"1st",'Annex 5.2 TR_GIS'!$L$18:$L$996,F11)</f>
        <v>0</v>
      </c>
      <c r="G64" s="279">
        <f>COUNTIFS('Annex 5.2 TR_GIS'!$N$18:$N$996,"1st",'Annex 5.2 TR_GIS'!$L$18:$L$996,G11)</f>
        <v>0</v>
      </c>
      <c r="H64" s="279">
        <f>COUNTIFS('Annex 5.2 TR_GIS'!$N$18:$N$996,"1st",'Annex 5.2 TR_GIS'!$L$18:$L$996,H11)</f>
        <v>0</v>
      </c>
      <c r="I64" s="279">
        <f>COUNTIFS('Annex 5.2 TR_GIS'!$N$18:$N$996,"1st",'Annex 5.2 TR_GIS'!$L$18:$L$996,I11)</f>
        <v>0</v>
      </c>
      <c r="J64" s="279">
        <f>COUNTIFS('Annex 5.2 TR_GIS'!$N$18:$N$996,"1st",'Annex 5.2 TR_GIS'!$L$18:$L$996,J11)</f>
        <v>0</v>
      </c>
      <c r="K64" s="279">
        <f>COUNTIFS('Annex 5.2 TR_GIS'!$N$18:$N$996,"1st",'Annex 5.2 TR_GIS'!$L$18:$L$996,K11)</f>
        <v>0</v>
      </c>
      <c r="L64" s="279">
        <f>COUNTIFS('Annex 5.2 TR_GIS'!$N$18:$N$996,"1st",'Annex 5.2 TR_GIS'!$L$18:$L$996,L11)</f>
        <v>0</v>
      </c>
      <c r="M64" s="279">
        <f>COUNTIFS('Annex 5.2 TR_GIS'!$N$18:$N$996,"1st",'Annex 5.2 TR_GIS'!$L$18:$L$996,M11)</f>
        <v>0</v>
      </c>
      <c r="N64" s="279">
        <f>COUNTIFS('Annex 5.2 TR_GIS'!$N$18:$N$996,"1st",'Annex 5.2 TR_GIS'!$L$18:$L$996,N11)</f>
        <v>0</v>
      </c>
      <c r="O64" s="279">
        <f>COUNTIFS('Annex 5.2 TR_GIS'!$N$18:$N$996,"1st",'Annex 5.2 TR_GIS'!$L$18:$L$996,O11)</f>
        <v>0</v>
      </c>
      <c r="P64" s="279">
        <f>COUNTIFS('Annex 5.2 TR_GIS'!$N$18:$N$996,"1st",'Annex 5.2 TR_GIS'!$L$18:$L$996,P11)</f>
        <v>0</v>
      </c>
      <c r="Q64" s="279">
        <f>COUNTIFS('Annex 5.2 TR_GIS'!$N$18:$N$996,"1st",'Annex 5.2 TR_GIS'!$L$18:$L$996,Q11)</f>
        <v>0</v>
      </c>
      <c r="R64" s="357">
        <f>SUM(F64:H64)</f>
        <v>0</v>
      </c>
      <c r="S64" s="357">
        <f t="shared" ref="S64:S65" si="42">SUM(I64:K64)</f>
        <v>0</v>
      </c>
      <c r="T64" s="357">
        <f t="shared" ref="T64:T65" si="43">SUM(L64:N64)</f>
        <v>0</v>
      </c>
      <c r="U64" s="357">
        <f t="shared" ref="U64:U65" si="44">SUM(O64:Q64)</f>
        <v>0</v>
      </c>
      <c r="V64" s="278">
        <f t="shared" si="8"/>
        <v>0</v>
      </c>
      <c r="W64" s="432" t="s">
        <v>1512</v>
      </c>
      <c r="X64" s="271" t="s">
        <v>1578</v>
      </c>
    </row>
    <row r="65" spans="1:24" s="345" customFormat="1" x14ac:dyDescent="0.25">
      <c r="A65" s="302"/>
      <c r="B65" s="306"/>
      <c r="C65" s="307" t="s">
        <v>1579</v>
      </c>
      <c r="D65" s="308"/>
      <c r="E65" s="220">
        <v>1</v>
      </c>
      <c r="F65" s="279">
        <f>COUNTIFS('Annex 5.2 TR_GIS'!$D$18:$D$996,"&lt;&gt;",'Annex 5.2 TR_GIS'!$L$18:$L$996,F11)</f>
        <v>0</v>
      </c>
      <c r="G65" s="279">
        <f>COUNTIFS('Annex 5.2 TR_GIS'!$D$18:$D$996,"&lt;&gt;",'Annex 5.2 TR_GIS'!$L$18:$L$996,G11)</f>
        <v>0</v>
      </c>
      <c r="H65" s="279">
        <f>COUNTIFS('Annex 5.2 TR_GIS'!$D$18:$D$996,"&lt;&gt;",'Annex 5.2 TR_GIS'!$L$18:$L$996,H11)</f>
        <v>0</v>
      </c>
      <c r="I65" s="279">
        <f>COUNTIFS('Annex 5.2 TR_GIS'!$D$18:$D$996,"&lt;&gt;",'Annex 5.2 TR_GIS'!$L$18:$L$996,I11)</f>
        <v>0</v>
      </c>
      <c r="J65" s="279">
        <f>COUNTIFS('Annex 5.2 TR_GIS'!$D$18:$D$996,"&lt;&gt;",'Annex 5.2 TR_GIS'!$L$18:$L$996,J11)</f>
        <v>0</v>
      </c>
      <c r="K65" s="279">
        <f>COUNTIFS('Annex 5.2 TR_GIS'!$D$18:$D$996,"&lt;&gt;",'Annex 5.2 TR_GIS'!$L$18:$L$996,K11)</f>
        <v>0</v>
      </c>
      <c r="L65" s="279">
        <f>COUNTIFS('Annex 5.2 TR_GIS'!$D$18:$D$996,"&lt;&gt;",'Annex 5.2 TR_GIS'!$L$18:$L$996,L11)</f>
        <v>0</v>
      </c>
      <c r="M65" s="279">
        <f>COUNTIFS('Annex 5.2 TR_GIS'!$D$18:$D$996,"&lt;&gt;",'Annex 5.2 TR_GIS'!$L$18:$L$996,M11)</f>
        <v>0</v>
      </c>
      <c r="N65" s="279">
        <f>COUNTIFS('Annex 5.2 TR_GIS'!$D$18:$D$996,"&lt;&gt;",'Annex 5.2 TR_GIS'!$L$18:$L$996,N11)</f>
        <v>0</v>
      </c>
      <c r="O65" s="279">
        <f>COUNTIFS('Annex 5.2 TR_GIS'!$D$18:$D$996,"&lt;&gt;",'Annex 5.2 TR_GIS'!$L$18:$L$996,O11)</f>
        <v>0</v>
      </c>
      <c r="P65" s="279">
        <f>COUNTIFS('Annex 5.2 TR_GIS'!$D$18:$D$996,"&lt;&gt;",'Annex 5.2 TR_GIS'!$L$18:$L$996,P11)</f>
        <v>0</v>
      </c>
      <c r="Q65" s="279">
        <f>COUNTIFS('Annex 5.2 TR_GIS'!$D$18:$D$996,"&lt;&gt;",'Annex 5.2 TR_GIS'!$L$18:$L$996,Q11)</f>
        <v>0</v>
      </c>
      <c r="R65" s="357">
        <f>SUM(F65:H65)</f>
        <v>0</v>
      </c>
      <c r="S65" s="357">
        <f t="shared" si="42"/>
        <v>0</v>
      </c>
      <c r="T65" s="357">
        <f t="shared" si="43"/>
        <v>0</v>
      </c>
      <c r="U65" s="357">
        <f t="shared" si="44"/>
        <v>0</v>
      </c>
      <c r="V65" s="278">
        <f t="shared" si="8"/>
        <v>0</v>
      </c>
      <c r="W65" s="432" t="s">
        <v>1512</v>
      </c>
      <c r="X65" s="269"/>
    </row>
    <row r="66" spans="1:24" s="345" customFormat="1" x14ac:dyDescent="0.25">
      <c r="A66" s="315"/>
      <c r="B66" s="303">
        <v>10</v>
      </c>
      <c r="C66" s="304" t="s">
        <v>1580</v>
      </c>
      <c r="D66" s="305"/>
      <c r="E66" s="225"/>
      <c r="F66" s="279"/>
      <c r="G66" s="279"/>
      <c r="H66" s="279"/>
      <c r="I66" s="279"/>
      <c r="J66" s="279"/>
      <c r="K66" s="279"/>
      <c r="L66" s="279"/>
      <c r="M66" s="279"/>
      <c r="N66" s="279"/>
      <c r="O66" s="279"/>
      <c r="P66" s="279"/>
      <c r="Q66" s="279"/>
      <c r="R66" s="279"/>
      <c r="S66" s="279"/>
      <c r="T66" s="279"/>
      <c r="U66" s="279"/>
      <c r="V66" s="285"/>
      <c r="W66" s="432" t="s">
        <v>1512</v>
      </c>
      <c r="X66" s="269"/>
    </row>
    <row r="67" spans="1:24" s="345" customFormat="1" ht="14.4" x14ac:dyDescent="0.3">
      <c r="A67" s="302"/>
      <c r="B67" s="306"/>
      <c r="C67" s="307" t="s">
        <v>1581</v>
      </c>
      <c r="D67" s="308"/>
      <c r="E67" s="220">
        <v>5</v>
      </c>
      <c r="F67" s="279">
        <f>COUNTIFS('Annex 5.3 TR_CDRA'!$N$18:$N$998,"1st",'Annex 5.3 TR_CDRA'!$L$18:$L$998,F11)</f>
        <v>0</v>
      </c>
      <c r="G67" s="279">
        <f>COUNTIFS('Annex 5.3 TR_CDRA'!$N$18:$N$998,"1st",'Annex 5.3 TR_CDRA'!$L$18:$L$998,G11)</f>
        <v>0</v>
      </c>
      <c r="H67" s="279">
        <f>COUNTIFS('Annex 5.3 TR_CDRA'!$N$18:$N$998,"1st",'Annex 5.3 TR_CDRA'!$L$18:$L$998,H11)</f>
        <v>0</v>
      </c>
      <c r="I67" s="279">
        <f>COUNTIFS('Annex 5.3 TR_CDRA'!$N$18:$N$998,"1st",'Annex 5.3 TR_CDRA'!$L$18:$L$998,I11)</f>
        <v>0</v>
      </c>
      <c r="J67" s="279">
        <f>COUNTIFS('Annex 5.3 TR_CDRA'!$N$18:$N$998,"1st",'Annex 5.3 TR_CDRA'!$L$18:$L$998,J11)</f>
        <v>0</v>
      </c>
      <c r="K67" s="279">
        <f>COUNTIFS('Annex 5.3 TR_CDRA'!$N$18:$N$998,"1st",'Annex 5.3 TR_CDRA'!$L$18:$L$998,K11)</f>
        <v>0</v>
      </c>
      <c r="L67" s="279">
        <f>COUNTIFS('Annex 5.3 TR_CDRA'!$N$18:$N$998,"1st",'Annex 5.3 TR_CDRA'!$L$18:$L$998,L11)</f>
        <v>0</v>
      </c>
      <c r="M67" s="279">
        <f>COUNTIFS('Annex 5.3 TR_CDRA'!$N$18:$N$998,"1st",'Annex 5.3 TR_CDRA'!$L$18:$L$998,M11)</f>
        <v>0</v>
      </c>
      <c r="N67" s="279">
        <f>COUNTIFS('Annex 5.3 TR_CDRA'!$N$18:$N$998,"1st",'Annex 5.3 TR_CDRA'!$L$18:$L$998,N11)</f>
        <v>0</v>
      </c>
      <c r="O67" s="279">
        <f>COUNTIFS('Annex 5.3 TR_CDRA'!$N$18:$N$998,"1st",'Annex 5.3 TR_CDRA'!$L$18:$L$998,O11)</f>
        <v>0</v>
      </c>
      <c r="P67" s="279">
        <f>COUNTIFS('Annex 5.3 TR_CDRA'!$N$18:$N$998,"1st",'Annex 5.3 TR_CDRA'!$L$18:$L$998,P11)</f>
        <v>0</v>
      </c>
      <c r="Q67" s="279">
        <f>COUNTIFS('Annex 5.3 TR_CDRA'!$N$18:$N$998,"1st",'Annex 5.3 TR_CDRA'!$L$18:$L$998,Q11)</f>
        <v>0</v>
      </c>
      <c r="R67" s="357">
        <f>SUM(F67:H67)</f>
        <v>0</v>
      </c>
      <c r="S67" s="357">
        <f t="shared" ref="S67:S68" si="45">SUM(I67:K67)</f>
        <v>0</v>
      </c>
      <c r="T67" s="357">
        <f t="shared" ref="T67:T68" si="46">SUM(L67:N67)</f>
        <v>0</v>
      </c>
      <c r="U67" s="357">
        <f t="shared" ref="U67:U68" si="47">SUM(O67:Q67)</f>
        <v>0</v>
      </c>
      <c r="V67" s="278">
        <f t="shared" si="8"/>
        <v>0</v>
      </c>
      <c r="W67" s="432" t="s">
        <v>1512</v>
      </c>
      <c r="X67" s="271" t="s">
        <v>1582</v>
      </c>
    </row>
    <row r="68" spans="1:24" s="345" customFormat="1" x14ac:dyDescent="0.25">
      <c r="A68" s="302"/>
      <c r="B68" s="306"/>
      <c r="C68" s="307" t="s">
        <v>1583</v>
      </c>
      <c r="D68" s="308"/>
      <c r="E68" s="220">
        <v>1</v>
      </c>
      <c r="F68" s="279">
        <f>COUNTIFS('Annex 5.3 TR_CDRA'!$D$18:$D$998,"&lt;&gt;",'Annex 5.3 TR_CDRA'!$L$18:$L$998,F11)</f>
        <v>0</v>
      </c>
      <c r="G68" s="279">
        <f>COUNTIFS('Annex 5.3 TR_CDRA'!$D$18:$D$998,"&lt;&gt;",'Annex 5.3 TR_CDRA'!$L$18:$L$998,G11)</f>
        <v>0</v>
      </c>
      <c r="H68" s="279">
        <f>COUNTIFS('Annex 5.3 TR_CDRA'!$D$18:$D$998,"&lt;&gt;",'Annex 5.3 TR_CDRA'!$L$18:$L$998,H11)</f>
        <v>0</v>
      </c>
      <c r="I68" s="279">
        <f>COUNTIFS('Annex 5.3 TR_CDRA'!$D$18:$D$998,"&lt;&gt;",'Annex 5.3 TR_CDRA'!$L$18:$L$998,I11)</f>
        <v>0</v>
      </c>
      <c r="J68" s="279">
        <f>COUNTIFS('Annex 5.3 TR_CDRA'!$D$18:$D$998,"&lt;&gt;",'Annex 5.3 TR_CDRA'!$L$18:$L$998,J11)</f>
        <v>0</v>
      </c>
      <c r="K68" s="279">
        <f>COUNTIFS('Annex 5.3 TR_CDRA'!$D$18:$D$998,"&lt;&gt;",'Annex 5.3 TR_CDRA'!$L$18:$L$998,K11)</f>
        <v>0</v>
      </c>
      <c r="L68" s="279">
        <f>COUNTIFS('Annex 5.3 TR_CDRA'!$D$18:$D$998,"&lt;&gt;",'Annex 5.3 TR_CDRA'!$L$18:$L$998,L11)</f>
        <v>0</v>
      </c>
      <c r="M68" s="279">
        <f>COUNTIFS('Annex 5.3 TR_CDRA'!$D$18:$D$998,"&lt;&gt;",'Annex 5.3 TR_CDRA'!$L$18:$L$998,M11)</f>
        <v>0</v>
      </c>
      <c r="N68" s="279">
        <f>COUNTIFS('Annex 5.3 TR_CDRA'!$D$18:$D$998,"&lt;&gt;",'Annex 5.3 TR_CDRA'!$L$18:$L$998,N11)</f>
        <v>0</v>
      </c>
      <c r="O68" s="279">
        <f>COUNTIFS('Annex 5.3 TR_CDRA'!$D$18:$D$998,"&lt;&gt;",'Annex 5.3 TR_CDRA'!$L$18:$L$998,O11)</f>
        <v>0</v>
      </c>
      <c r="P68" s="279">
        <f>COUNTIFS('Annex 5.3 TR_CDRA'!$D$18:$D$998,"&lt;&gt;",'Annex 5.3 TR_CDRA'!$L$18:$L$998,P11)</f>
        <v>0</v>
      </c>
      <c r="Q68" s="279">
        <f>COUNTIFS('Annex 5.3 TR_CDRA'!$D$18:$D$998,"&lt;&gt;",'Annex 5.3 TR_CDRA'!$L$18:$L$998,Q11)</f>
        <v>0</v>
      </c>
      <c r="R68" s="357">
        <f>SUM(F68:H68)</f>
        <v>0</v>
      </c>
      <c r="S68" s="357">
        <f t="shared" si="45"/>
        <v>0</v>
      </c>
      <c r="T68" s="357">
        <f t="shared" si="46"/>
        <v>0</v>
      </c>
      <c r="U68" s="357">
        <f t="shared" si="47"/>
        <v>0</v>
      </c>
      <c r="V68" s="278">
        <f t="shared" si="8"/>
        <v>0</v>
      </c>
      <c r="W68" s="432" t="s">
        <v>1512</v>
      </c>
      <c r="X68" s="269"/>
    </row>
    <row r="69" spans="1:24" s="345" customFormat="1" x14ac:dyDescent="0.25">
      <c r="A69" s="302"/>
      <c r="B69" s="303">
        <v>11</v>
      </c>
      <c r="C69" s="304" t="s">
        <v>1584</v>
      </c>
      <c r="D69" s="305"/>
      <c r="E69" s="225"/>
      <c r="F69" s="279"/>
      <c r="G69" s="279"/>
      <c r="H69" s="279"/>
      <c r="I69" s="279"/>
      <c r="J69" s="279"/>
      <c r="K69" s="279"/>
      <c r="L69" s="279"/>
      <c r="M69" s="279"/>
      <c r="N69" s="279"/>
      <c r="O69" s="279"/>
      <c r="P69" s="279"/>
      <c r="Q69" s="279"/>
      <c r="R69" s="279"/>
      <c r="S69" s="279"/>
      <c r="T69" s="279"/>
      <c r="U69" s="279"/>
      <c r="V69" s="285"/>
      <c r="W69" s="432" t="s">
        <v>1512</v>
      </c>
      <c r="X69" s="269"/>
    </row>
    <row r="70" spans="1:24" s="345" customFormat="1" ht="14.4" x14ac:dyDescent="0.3">
      <c r="A70" s="302"/>
      <c r="B70" s="306"/>
      <c r="C70" s="307" t="s">
        <v>1585</v>
      </c>
      <c r="D70" s="308"/>
      <c r="E70" s="220">
        <v>10</v>
      </c>
      <c r="F70" s="279">
        <f>COUNTIFS('Annex 5.4 TR_Imp'!$N$18:$N$1000,"1st",'Annex 5.4 TR_Imp'!$L$18:$L$1000,F11)</f>
        <v>0</v>
      </c>
      <c r="G70" s="279">
        <f>COUNTIFS('Annex 5.4 TR_Imp'!$N$18:$N$1000,"1st",'Annex 5.4 TR_Imp'!$L$18:$L$1000,G11)</f>
        <v>0</v>
      </c>
      <c r="H70" s="279">
        <f>COUNTIFS('Annex 5.4 TR_Imp'!$N$18:$N$1000,"1st",'Annex 5.4 TR_Imp'!$L$18:$L$1000,H11)</f>
        <v>0</v>
      </c>
      <c r="I70" s="279">
        <f>COUNTIFS('Annex 5.4 TR_Imp'!$N$18:$N$1000,"1st",'Annex 5.4 TR_Imp'!$L$18:$L$1000,I11)</f>
        <v>0</v>
      </c>
      <c r="J70" s="279">
        <f>COUNTIFS('Annex 5.4 TR_Imp'!$N$18:$N$1000,"1st",'Annex 5.4 TR_Imp'!$L$18:$L$1000,J11)</f>
        <v>0</v>
      </c>
      <c r="K70" s="279">
        <f>COUNTIFS('Annex 5.4 TR_Imp'!$N$18:$N$1000,"1st",'Annex 5.4 TR_Imp'!$L$18:$L$1000,K11)</f>
        <v>0</v>
      </c>
      <c r="L70" s="279">
        <f>COUNTIFS('Annex 5.4 TR_Imp'!$N$18:$N$1000,"1st",'Annex 5.4 TR_Imp'!$L$18:$L$1000,L11)</f>
        <v>0</v>
      </c>
      <c r="M70" s="279">
        <f>COUNTIFS('Annex 5.4 TR_Imp'!$N$18:$N$1000,"1st",'Annex 5.4 TR_Imp'!$L$18:$L$1000,M11)</f>
        <v>0</v>
      </c>
      <c r="N70" s="279">
        <f>COUNTIFS('Annex 5.4 TR_Imp'!$N$18:$N$1000,"1st",'Annex 5.4 TR_Imp'!$L$18:$L$1000,N11)</f>
        <v>0</v>
      </c>
      <c r="O70" s="279">
        <f>COUNTIFS('Annex 5.4 TR_Imp'!$N$18:$N$1000,"1st",'Annex 5.4 TR_Imp'!$L$18:$L$1000,O11)</f>
        <v>0</v>
      </c>
      <c r="P70" s="279">
        <f>COUNTIFS('Annex 5.4 TR_Imp'!$N$18:$N$1000,"1st",'Annex 5.4 TR_Imp'!$L$18:$L$1000,P11)</f>
        <v>0</v>
      </c>
      <c r="Q70" s="279">
        <f>COUNTIFS('Annex 5.4 TR_Imp'!$N$18:$N$1000,"1st",'Annex 5.4 TR_Imp'!$L$18:$L$1000,Q11)</f>
        <v>0</v>
      </c>
      <c r="R70" s="357">
        <f>SUM(F70:H70)</f>
        <v>0</v>
      </c>
      <c r="S70" s="357">
        <f t="shared" ref="S70:S71" si="48">SUM(I70:K70)</f>
        <v>0</v>
      </c>
      <c r="T70" s="357">
        <f t="shared" ref="T70:T71" si="49">SUM(L70:N70)</f>
        <v>0</v>
      </c>
      <c r="U70" s="357">
        <f t="shared" ref="U70:U71" si="50">SUM(O70:Q70)</f>
        <v>0</v>
      </c>
      <c r="V70" s="278">
        <f t="shared" si="8"/>
        <v>0</v>
      </c>
      <c r="W70" s="432" t="s">
        <v>1512</v>
      </c>
      <c r="X70" s="271" t="s">
        <v>1586</v>
      </c>
    </row>
    <row r="71" spans="1:24" s="345" customFormat="1" x14ac:dyDescent="0.25">
      <c r="A71" s="302"/>
      <c r="B71" s="306"/>
      <c r="C71" s="307" t="s">
        <v>1587</v>
      </c>
      <c r="D71" s="308"/>
      <c r="E71" s="220">
        <v>1</v>
      </c>
      <c r="F71" s="279">
        <f>COUNTIFS('Annex 5.4 TR_Imp'!$D$18:$D$1000,"&lt;&gt;",'Annex 5.4 TR_Imp'!$L$18:$L$1000,F11)</f>
        <v>0</v>
      </c>
      <c r="G71" s="279">
        <f>COUNTIFS('Annex 5.4 TR_Imp'!$D$18:$D$1000,"&lt;&gt;",'Annex 5.4 TR_Imp'!$L$18:$L$1000,G11)</f>
        <v>0</v>
      </c>
      <c r="H71" s="279">
        <f>COUNTIFS('Annex 5.4 TR_Imp'!$D$18:$D$1000,"&lt;&gt;",'Annex 5.4 TR_Imp'!$L$18:$L$1000,H11)</f>
        <v>0</v>
      </c>
      <c r="I71" s="279">
        <f>COUNTIFS('Annex 5.4 TR_Imp'!$D$18:$D$1000,"&lt;&gt;",'Annex 5.4 TR_Imp'!$L$18:$L$1000,I11)</f>
        <v>0</v>
      </c>
      <c r="J71" s="279">
        <f>COUNTIFS('Annex 5.4 TR_Imp'!$D$18:$D$1000,"&lt;&gt;",'Annex 5.4 TR_Imp'!$L$18:$L$1000,J11)</f>
        <v>0</v>
      </c>
      <c r="K71" s="279">
        <f>COUNTIFS('Annex 5.4 TR_Imp'!$D$18:$D$1000,"&lt;&gt;",'Annex 5.4 TR_Imp'!$L$18:$L$1000,K11)</f>
        <v>0</v>
      </c>
      <c r="L71" s="279">
        <f>COUNTIFS('Annex 5.4 TR_Imp'!$D$18:$D$1000,"&lt;&gt;",'Annex 5.4 TR_Imp'!$L$18:$L$1000,L11)</f>
        <v>0</v>
      </c>
      <c r="M71" s="279">
        <f>COUNTIFS('Annex 5.4 TR_Imp'!$D$18:$D$1000,"&lt;&gt;",'Annex 5.4 TR_Imp'!$L$18:$L$1000,M11)</f>
        <v>0</v>
      </c>
      <c r="N71" s="279">
        <f>COUNTIFS('Annex 5.4 TR_Imp'!$D$18:$D$1000,"&lt;&gt;",'Annex 5.4 TR_Imp'!$L$18:$L$1000,N11)</f>
        <v>0</v>
      </c>
      <c r="O71" s="279">
        <f>COUNTIFS('Annex 5.4 TR_Imp'!$D$18:$D$1000,"&lt;&gt;",'Annex 5.4 TR_Imp'!$L$18:$L$1000,O11)</f>
        <v>0</v>
      </c>
      <c r="P71" s="279">
        <f>COUNTIFS('Annex 5.4 TR_Imp'!$D$18:$D$1000,"&lt;&gt;",'Annex 5.4 TR_Imp'!$L$18:$L$1000,P11)</f>
        <v>0</v>
      </c>
      <c r="Q71" s="279">
        <f>COUNTIFS('Annex 5.4 TR_Imp'!$D$18:$D$1000,"&lt;&gt;",'Annex 5.4 TR_Imp'!$L$18:$L$1000,Q11)</f>
        <v>0</v>
      </c>
      <c r="R71" s="357">
        <f>SUM(F71:H71)</f>
        <v>0</v>
      </c>
      <c r="S71" s="357">
        <f t="shared" si="48"/>
        <v>0</v>
      </c>
      <c r="T71" s="357">
        <f t="shared" si="49"/>
        <v>0</v>
      </c>
      <c r="U71" s="357">
        <f t="shared" si="50"/>
        <v>0</v>
      </c>
      <c r="V71" s="278">
        <f t="shared" si="8"/>
        <v>0</v>
      </c>
      <c r="W71" s="432" t="s">
        <v>1512</v>
      </c>
      <c r="X71" s="269"/>
    </row>
    <row r="72" spans="1:24" s="345" customFormat="1" x14ac:dyDescent="0.25">
      <c r="A72" s="302"/>
      <c r="B72" s="303">
        <v>12</v>
      </c>
      <c r="C72" s="304" t="s">
        <v>1588</v>
      </c>
      <c r="D72" s="305"/>
      <c r="E72" s="225"/>
      <c r="F72" s="279"/>
      <c r="G72" s="279"/>
      <c r="H72" s="279"/>
      <c r="I72" s="279"/>
      <c r="J72" s="279"/>
      <c r="K72" s="279"/>
      <c r="L72" s="279"/>
      <c r="M72" s="279"/>
      <c r="N72" s="279"/>
      <c r="O72" s="279"/>
      <c r="P72" s="279"/>
      <c r="Q72" s="279"/>
      <c r="R72" s="279"/>
      <c r="S72" s="279"/>
      <c r="T72" s="279"/>
      <c r="U72" s="279"/>
      <c r="V72" s="285"/>
      <c r="W72" s="432" t="s">
        <v>1512</v>
      </c>
      <c r="X72" s="269"/>
    </row>
    <row r="73" spans="1:24" s="345" customFormat="1" ht="14.4" x14ac:dyDescent="0.3">
      <c r="A73" s="302"/>
      <c r="B73" s="306"/>
      <c r="C73" s="582" t="s">
        <v>1589</v>
      </c>
      <c r="D73" s="583"/>
      <c r="E73" s="220">
        <v>3</v>
      </c>
      <c r="F73" s="279">
        <f>COUNTIFS('Annex 5.5 TR_HouSub'!$N$18:$N$999,"1st",'Annex 5.5 TR_HouSub'!$L$18:$L$999,F11)</f>
        <v>0</v>
      </c>
      <c r="G73" s="279">
        <f>COUNTIFS('Annex 5.5 TR_HouSub'!$N$18:$N$999,"1st",'Annex 5.5 TR_HouSub'!$L$18:$L$999,G11)</f>
        <v>0</v>
      </c>
      <c r="H73" s="279">
        <f>COUNTIFS('Annex 5.5 TR_HouSub'!$N$18:$N$999,"1st",'Annex 5.5 TR_HouSub'!$L$18:$L$999,H11)</f>
        <v>0</v>
      </c>
      <c r="I73" s="279">
        <f>COUNTIFS('Annex 5.5 TR_HouSub'!$N$18:$N$999,"1st",'Annex 5.5 TR_HouSub'!$L$18:$L$999,I11)</f>
        <v>0</v>
      </c>
      <c r="J73" s="279">
        <f>COUNTIFS('Annex 5.5 TR_HouSub'!$N$18:$N$999,"1st",'Annex 5.5 TR_HouSub'!$L$18:$L$999,J11)</f>
        <v>0</v>
      </c>
      <c r="K73" s="279">
        <f>COUNTIFS('Annex 5.5 TR_HouSub'!$N$18:$N$999,"1st",'Annex 5.5 TR_HouSub'!$L$18:$L$999,K11)</f>
        <v>0</v>
      </c>
      <c r="L73" s="279">
        <f>COUNTIFS('Annex 5.5 TR_HouSub'!$N$18:$N$999,"1st",'Annex 5.5 TR_HouSub'!$L$18:$L$999,L11)</f>
        <v>0</v>
      </c>
      <c r="M73" s="279">
        <f>COUNTIFS('Annex 5.5 TR_HouSub'!$N$18:$N$999,"1st",'Annex 5.5 TR_HouSub'!$L$18:$L$999,M11)</f>
        <v>0</v>
      </c>
      <c r="N73" s="279">
        <f>COUNTIFS('Annex 5.5 TR_HouSub'!$N$18:$N$999,"1st",'Annex 5.5 TR_HouSub'!$L$18:$L$999,N11)</f>
        <v>0</v>
      </c>
      <c r="O73" s="279">
        <f>COUNTIFS('Annex 5.5 TR_HouSub'!$N$18:$N$999,"1st",'Annex 5.5 TR_HouSub'!$L$18:$L$999,O11)</f>
        <v>0</v>
      </c>
      <c r="P73" s="279">
        <f>COUNTIFS('Annex 5.5 TR_HouSub'!$N$18:$N$999,"1st",'Annex 5.5 TR_HouSub'!$L$18:$L$999,P11)</f>
        <v>0</v>
      </c>
      <c r="Q73" s="279">
        <f>COUNTIFS('Annex 5.5 TR_HouSub'!$N$18:$N$999,"1st",'Annex 5.5 TR_HouSub'!$L$18:$L$999,Q11)</f>
        <v>0</v>
      </c>
      <c r="R73" s="357">
        <f>SUM(F73:H73)</f>
        <v>0</v>
      </c>
      <c r="S73" s="357">
        <f t="shared" ref="S73:S74" si="51">SUM(I73:K73)</f>
        <v>0</v>
      </c>
      <c r="T73" s="357">
        <f t="shared" ref="T73:T74" si="52">SUM(L73:N73)</f>
        <v>0</v>
      </c>
      <c r="U73" s="357">
        <f t="shared" ref="U73:U74" si="53">SUM(O73:Q73)</f>
        <v>0</v>
      </c>
      <c r="V73" s="278">
        <f t="shared" si="8"/>
        <v>0</v>
      </c>
      <c r="W73" s="432" t="s">
        <v>1512</v>
      </c>
      <c r="X73" s="271" t="s">
        <v>1590</v>
      </c>
    </row>
    <row r="74" spans="1:24" s="345" customFormat="1" x14ac:dyDescent="0.25">
      <c r="A74" s="302"/>
      <c r="B74" s="306"/>
      <c r="C74" s="307" t="s">
        <v>1591</v>
      </c>
      <c r="D74" s="308"/>
      <c r="E74" s="220">
        <v>1</v>
      </c>
      <c r="F74" s="279">
        <f>COUNTIFS('Annex 5.5 TR_HouSub'!$D$18:$D$999,"&lt;&gt;",'Annex 5.5 TR_HouSub'!$L$18:$L$999,F11)</f>
        <v>0</v>
      </c>
      <c r="G74" s="279">
        <f>COUNTIFS('Annex 5.5 TR_HouSub'!$D$18:$D$999,"&lt;&gt;",'Annex 5.5 TR_HouSub'!$L$18:$L$999,G11)</f>
        <v>0</v>
      </c>
      <c r="H74" s="279">
        <f>COUNTIFS('Annex 5.5 TR_HouSub'!$D$18:$D$999,"&lt;&gt;",'Annex 5.5 TR_HouSub'!$L$18:$L$999,H11)</f>
        <v>0</v>
      </c>
      <c r="I74" s="279">
        <f>COUNTIFS('Annex 5.5 TR_HouSub'!$D$18:$D$999,"&lt;&gt;",'Annex 5.5 TR_HouSub'!$L$18:$L$999,I11)</f>
        <v>0</v>
      </c>
      <c r="J74" s="279">
        <f>COUNTIFS('Annex 5.5 TR_HouSub'!$D$18:$D$999,"&lt;&gt;",'Annex 5.5 TR_HouSub'!$L$18:$L$999,J11)</f>
        <v>0</v>
      </c>
      <c r="K74" s="279">
        <f>COUNTIFS('Annex 5.5 TR_HouSub'!$D$18:$D$999,"&lt;&gt;",'Annex 5.5 TR_HouSub'!$L$18:$L$999,K11)</f>
        <v>0</v>
      </c>
      <c r="L74" s="279">
        <f>COUNTIFS('Annex 5.5 TR_HouSub'!$D$18:$D$999,"&lt;&gt;",'Annex 5.5 TR_HouSub'!$L$18:$L$999,L11)</f>
        <v>0</v>
      </c>
      <c r="M74" s="279">
        <f>COUNTIFS('Annex 5.5 TR_HouSub'!$D$18:$D$999,"&lt;&gt;",'Annex 5.5 TR_HouSub'!$L$18:$L$999,M11)</f>
        <v>0</v>
      </c>
      <c r="N74" s="279">
        <f>COUNTIFS('Annex 5.5 TR_HouSub'!$D$18:$D$999,"&lt;&gt;",'Annex 5.5 TR_HouSub'!$L$18:$L$999,N11)</f>
        <v>0</v>
      </c>
      <c r="O74" s="279">
        <f>COUNTIFS('Annex 5.5 TR_HouSub'!$D$18:$D$999,"&lt;&gt;",'Annex 5.5 TR_HouSub'!$L$18:$L$999,O11)</f>
        <v>0</v>
      </c>
      <c r="P74" s="279">
        <f>COUNTIFS('Annex 5.5 TR_HouSub'!$D$18:$D$999,"&lt;&gt;",'Annex 5.5 TR_HouSub'!$L$18:$L$999,P11)</f>
        <v>0</v>
      </c>
      <c r="Q74" s="279">
        <f>COUNTIFS('Annex 5.5 TR_HouSub'!$D$18:$D$999,"&lt;&gt;",'Annex 5.5 TR_HouSub'!$L$18:$L$999,Q11)</f>
        <v>0</v>
      </c>
      <c r="R74" s="357">
        <f>SUM(F74:H74)</f>
        <v>0</v>
      </c>
      <c r="S74" s="357">
        <f t="shared" si="51"/>
        <v>0</v>
      </c>
      <c r="T74" s="357">
        <f t="shared" si="52"/>
        <v>0</v>
      </c>
      <c r="U74" s="357">
        <f t="shared" si="53"/>
        <v>0</v>
      </c>
      <c r="V74" s="278">
        <f t="shared" si="8"/>
        <v>0</v>
      </c>
      <c r="W74" s="432" t="s">
        <v>1512</v>
      </c>
      <c r="X74" s="269"/>
    </row>
    <row r="75" spans="1:24" s="345" customFormat="1" x14ac:dyDescent="0.25">
      <c r="A75" s="302"/>
      <c r="B75" s="291">
        <v>13</v>
      </c>
      <c r="C75" s="580" t="s">
        <v>1592</v>
      </c>
      <c r="D75" s="581"/>
      <c r="E75" s="224"/>
      <c r="F75" s="279"/>
      <c r="G75" s="279"/>
      <c r="H75" s="279"/>
      <c r="I75" s="279"/>
      <c r="J75" s="279"/>
      <c r="K75" s="279"/>
      <c r="L75" s="279"/>
      <c r="M75" s="279"/>
      <c r="N75" s="279"/>
      <c r="O75" s="279"/>
      <c r="P75" s="279"/>
      <c r="Q75" s="279"/>
      <c r="R75" s="279"/>
      <c r="S75" s="279"/>
      <c r="T75" s="279"/>
      <c r="U75" s="279"/>
      <c r="V75" s="285"/>
      <c r="W75" s="432" t="s">
        <v>1512</v>
      </c>
      <c r="X75" s="269"/>
    </row>
    <row r="76" spans="1:24" s="345" customFormat="1" ht="14.4" x14ac:dyDescent="0.3">
      <c r="A76" s="302"/>
      <c r="B76" s="306"/>
      <c r="C76" s="307" t="s">
        <v>1593</v>
      </c>
      <c r="D76" s="308"/>
      <c r="E76" s="220">
        <v>1</v>
      </c>
      <c r="F76" s="360">
        <f>COUNTIFS('Annex 5.6 TR_UD'!$N$19:$N$1001,"1st",'Annex 5.6 TR_UD'!$L$19:$L$1001,F11)</f>
        <v>0</v>
      </c>
      <c r="G76" s="360">
        <f>COUNTIFS('Annex 5.6 TR_UD'!$N$19:$N$1001,"1st",'Annex 5.6 TR_UD'!$L$19:$L$1001,G11)</f>
        <v>0</v>
      </c>
      <c r="H76" s="360">
        <f>COUNTIFS('Annex 5.6 TR_UD'!$N$19:$N$1001,"1st",'Annex 5.6 TR_UD'!$L$19:$L$1001,H11)</f>
        <v>0</v>
      </c>
      <c r="I76" s="360">
        <f>COUNTIFS('Annex 5.6 TR_UD'!$N$19:$N$1001,"1st",'Annex 5.6 TR_UD'!$L$19:$L$1001,I11)</f>
        <v>0</v>
      </c>
      <c r="J76" s="360">
        <f>COUNTIFS('Annex 5.6 TR_UD'!$N$19:$N$1001,"1st",'Annex 5.6 TR_UD'!$L$19:$L$1001,J11)</f>
        <v>0</v>
      </c>
      <c r="K76" s="360">
        <f>COUNTIFS('Annex 5.6 TR_UD'!$N$19:$N$1001,"1st",'Annex 5.6 TR_UD'!$L$19:$L$1001,K11)</f>
        <v>0</v>
      </c>
      <c r="L76" s="360">
        <f>COUNTIFS('Annex 5.6 TR_UD'!$N$19:$N$1001,"1st",'Annex 5.6 TR_UD'!$L$19:$L$1001,L11)</f>
        <v>0</v>
      </c>
      <c r="M76" s="360">
        <f>COUNTIFS('Annex 5.6 TR_UD'!$N$19:$N$1001,"1st",'Annex 5.6 TR_UD'!$L$19:$L$1001,M11)</f>
        <v>0</v>
      </c>
      <c r="N76" s="360">
        <f>COUNTIFS('Annex 5.6 TR_UD'!$N$19:$N$1001,"1st",'Annex 5.6 TR_UD'!$L$19:$L$1001,N11)</f>
        <v>0</v>
      </c>
      <c r="O76" s="360">
        <f>COUNTIFS('Annex 5.6 TR_UD'!$N$19:$N$1001,"1st",'Annex 5.6 TR_UD'!$L$19:$L$1001,O11)</f>
        <v>0</v>
      </c>
      <c r="P76" s="360">
        <f>COUNTIFS('Annex 5.6 TR_UD'!$N$19:$N$1001,"1st",'Annex 5.6 TR_UD'!$L$19:$L$1001,P11)</f>
        <v>0</v>
      </c>
      <c r="Q76" s="360">
        <f>COUNTIFS('Annex 5.6 TR_UD'!$N$19:$N$1001,"1st",'Annex 5.6 TR_UD'!$L$19:$L$1001,Q11)</f>
        <v>0</v>
      </c>
      <c r="R76" s="357">
        <f t="shared" ref="R76:R77" si="54">SUM(F76:H76)</f>
        <v>0</v>
      </c>
      <c r="S76" s="357">
        <f t="shared" ref="S76:S77" si="55">SUM(I76:K76)</f>
        <v>0</v>
      </c>
      <c r="T76" s="357">
        <f t="shared" ref="T76:T77" si="56">SUM(L76:N76)</f>
        <v>0</v>
      </c>
      <c r="U76" s="357">
        <f t="shared" ref="U76:U77" si="57">SUM(O76:Q76)</f>
        <v>0</v>
      </c>
      <c r="V76" s="278">
        <f>SUM(F76:Q76)</f>
        <v>0</v>
      </c>
      <c r="W76" s="432" t="s">
        <v>1512</v>
      </c>
      <c r="X76" s="271" t="s">
        <v>1594</v>
      </c>
    </row>
    <row r="77" spans="1:24" s="345" customFormat="1" ht="14.4" x14ac:dyDescent="0.3">
      <c r="A77" s="302"/>
      <c r="B77" s="306"/>
      <c r="C77" s="307"/>
      <c r="D77" s="308" t="s">
        <v>1595</v>
      </c>
      <c r="E77" s="220">
        <v>1</v>
      </c>
      <c r="F77" s="279">
        <f>COUNTIFS('Annex 5.6 TR_UD'!$N$19:$N$1001,"1st",'Annex 5.6 TR_UD'!$C$19:$C$1001,"LGU",'Annex 5.6 TR_UD'!$L$19:$L$1001,F11)</f>
        <v>0</v>
      </c>
      <c r="G77" s="279">
        <f>COUNTIFS('Annex 5.6 TR_UD'!$N$19:$N$1001,"1st",'Annex 5.6 TR_UD'!$C$19:$C$1001,"LGU",'Annex 5.6 TR_UD'!$L$19:$L$1001,G11)</f>
        <v>0</v>
      </c>
      <c r="H77" s="279">
        <f>COUNTIFS('Annex 5.6 TR_UD'!$N$19:$N$1001,"1st",'Annex 5.6 TR_UD'!$C$19:$C$1001,"LGU",'Annex 5.6 TR_UD'!$L$19:$L$1001,H11)</f>
        <v>0</v>
      </c>
      <c r="I77" s="279">
        <f>COUNTIFS('Annex 5.6 TR_UD'!$N$19:$N$1001,"1st",'Annex 5.6 TR_UD'!$C$19:$C$1001,"LGU",'Annex 5.6 TR_UD'!$L$19:$L$1001,I11)</f>
        <v>0</v>
      </c>
      <c r="J77" s="279">
        <f>COUNTIFS('Annex 5.6 TR_UD'!$N$19:$N$1001,"1st",'Annex 5.6 TR_UD'!$C$19:$C$1001,"LGU",'Annex 5.6 TR_UD'!$L$19:$L$1001,J11)</f>
        <v>0</v>
      </c>
      <c r="K77" s="279">
        <f>COUNTIFS('Annex 5.6 TR_UD'!$N$19:$N$1001,"1st",'Annex 5.6 TR_UD'!$C$19:$C$1001,"LGU",'Annex 5.6 TR_UD'!$L$19:$L$1001,K11)</f>
        <v>0</v>
      </c>
      <c r="L77" s="279">
        <f>COUNTIFS('Annex 5.6 TR_UD'!$N$19:$N$1001,"1st",'Annex 5.6 TR_UD'!$C$19:$C$1001,"LGU",'Annex 5.6 TR_UD'!$L$19:$L$1001,L11)</f>
        <v>0</v>
      </c>
      <c r="M77" s="279">
        <f>COUNTIFS('Annex 5.6 TR_UD'!$N$19:$N$1001,"1st",'Annex 5.6 TR_UD'!$C$19:$C$1001,"LGU",'Annex 5.6 TR_UD'!$L$19:$L$1001,M11)</f>
        <v>0</v>
      </c>
      <c r="N77" s="279">
        <f>COUNTIFS('Annex 5.6 TR_UD'!$N$19:$N$1001,"1st",'Annex 5.6 TR_UD'!$C$19:$C$1001,"LGU",'Annex 5.6 TR_UD'!$L$19:$L$1001,N11)</f>
        <v>0</v>
      </c>
      <c r="O77" s="279">
        <f>COUNTIFS('Annex 5.6 TR_UD'!$N$19:$N$1001,"1st",'Annex 5.6 TR_UD'!$C$19:$C$1001,"LGU",'Annex 5.6 TR_UD'!$L$19:$L$1001,O11)</f>
        <v>0</v>
      </c>
      <c r="P77" s="279">
        <f>COUNTIFS('Annex 5.6 TR_UD'!$N$19:$N$1001,"1st",'Annex 5.6 TR_UD'!$C$19:$C$1001,"LGU",'Annex 5.6 TR_UD'!$L$19:$L$1001,P11)</f>
        <v>0</v>
      </c>
      <c r="Q77" s="279">
        <f>COUNTIFS('Annex 5.6 TR_UD'!$N$19:$N$1001,"1st",'Annex 5.6 TR_UD'!$C$19:$C$1001,"LGU",'Annex 5.6 TR_UD'!$L$19:$L$1001,Q11)</f>
        <v>0</v>
      </c>
      <c r="R77" s="357">
        <f t="shared" si="54"/>
        <v>0</v>
      </c>
      <c r="S77" s="357">
        <f t="shared" si="55"/>
        <v>0</v>
      </c>
      <c r="T77" s="357">
        <f t="shared" si="56"/>
        <v>0</v>
      </c>
      <c r="U77" s="357">
        <f t="shared" si="57"/>
        <v>0</v>
      </c>
      <c r="V77" s="278">
        <f>SUM(F77:Q77)</f>
        <v>0</v>
      </c>
      <c r="W77" s="432" t="s">
        <v>1512</v>
      </c>
      <c r="X77" s="271"/>
    </row>
    <row r="78" spans="1:24" s="345" customFormat="1" x14ac:dyDescent="0.25">
      <c r="A78" s="302"/>
      <c r="B78" s="306"/>
      <c r="C78" s="307" t="s">
        <v>1596</v>
      </c>
      <c r="D78" s="308"/>
      <c r="E78" s="220">
        <v>1</v>
      </c>
      <c r="F78" s="279">
        <f>COUNTIFS('Annex 5.6 TR_UD'!$D$19:$D$1001,"&lt;&gt;",'Annex 5.6 TR_UD'!$L$19:$L$1001,F11)</f>
        <v>0</v>
      </c>
      <c r="G78" s="279">
        <f>COUNTIFS('Annex 5.6 TR_UD'!$D$19:$D$1001,"&lt;&gt;",'Annex 5.6 TR_UD'!$L$19:$L$1001,G11)</f>
        <v>0</v>
      </c>
      <c r="H78" s="279">
        <f>COUNTIFS('Annex 5.6 TR_UD'!$D$19:$D$1001,"&lt;&gt;",'Annex 5.6 TR_UD'!$L$19:$L$1001,H11)</f>
        <v>0</v>
      </c>
      <c r="I78" s="279">
        <f>COUNTIFS('Annex 5.6 TR_UD'!$D$19:$D$1001,"&lt;&gt;",'Annex 5.6 TR_UD'!$L$19:$L$1001,I11)</f>
        <v>0</v>
      </c>
      <c r="J78" s="279">
        <f>COUNTIFS('Annex 5.6 TR_UD'!$D$19:$D$1001,"&lt;&gt;",'Annex 5.6 TR_UD'!$L$19:$L$1001,J11)</f>
        <v>0</v>
      </c>
      <c r="K78" s="279">
        <f>COUNTIFS('Annex 5.6 TR_UD'!$D$19:$D$1001,"&lt;&gt;",'Annex 5.6 TR_UD'!$L$19:$L$1001,K11)</f>
        <v>0</v>
      </c>
      <c r="L78" s="279">
        <f>COUNTIFS('Annex 5.6 TR_UD'!$D$19:$D$1001,"&lt;&gt;",'Annex 5.6 TR_UD'!$L$19:$L$1001,L11)</f>
        <v>0</v>
      </c>
      <c r="M78" s="279">
        <f>COUNTIFS('Annex 5.6 TR_UD'!$D$19:$D$1001,"&lt;&gt;",'Annex 5.6 TR_UD'!$L$19:$L$1001,M11)</f>
        <v>0</v>
      </c>
      <c r="N78" s="279">
        <f>COUNTIFS('Annex 5.6 TR_UD'!$D$19:$D$1001,"&lt;&gt;",'Annex 5.6 TR_UD'!$L$19:$L$1001,N11)</f>
        <v>0</v>
      </c>
      <c r="O78" s="279">
        <f>COUNTIFS('Annex 5.6 TR_UD'!$D$19:$D$1001,"&lt;&gt;",'Annex 5.6 TR_UD'!$L$19:$L$1001,O11)</f>
        <v>0</v>
      </c>
      <c r="P78" s="279">
        <f>COUNTIFS('Annex 5.6 TR_UD'!$D$19:$D$1001,"&lt;&gt;",'Annex 5.6 TR_UD'!$L$19:$L$1001,P11)</f>
        <v>0</v>
      </c>
      <c r="Q78" s="279">
        <f>COUNTIFS('Annex 5.6 TR_UD'!$D$19:$D$1001,"&lt;&gt;",'Annex 5.6 TR_UD'!$L$19:$L$1001,Q11)</f>
        <v>0</v>
      </c>
      <c r="R78" s="357">
        <f>SUM(F78:H78)</f>
        <v>0</v>
      </c>
      <c r="S78" s="357">
        <f t="shared" ref="S78" si="58">SUM(I78:K78)</f>
        <v>0</v>
      </c>
      <c r="T78" s="357">
        <f t="shared" ref="T78" si="59">SUM(L78:N78)</f>
        <v>0</v>
      </c>
      <c r="U78" s="357">
        <f t="shared" ref="U78" si="60">SUM(O78:Q78)</f>
        <v>0</v>
      </c>
      <c r="V78" s="278">
        <f>SUM(F78:Q78)</f>
        <v>0</v>
      </c>
      <c r="W78" s="432" t="s">
        <v>1512</v>
      </c>
      <c r="X78" s="269"/>
    </row>
    <row r="79" spans="1:24" s="345" customFormat="1" ht="13.5" customHeight="1" x14ac:dyDescent="0.25">
      <c r="A79" s="302"/>
      <c r="B79" s="291">
        <v>14</v>
      </c>
      <c r="C79" s="580" t="s">
        <v>1597</v>
      </c>
      <c r="D79" s="581"/>
      <c r="E79" s="225"/>
      <c r="F79" s="279"/>
      <c r="G79" s="279"/>
      <c r="H79" s="279"/>
      <c r="I79" s="279"/>
      <c r="J79" s="279"/>
      <c r="K79" s="279"/>
      <c r="L79" s="279"/>
      <c r="M79" s="279"/>
      <c r="N79" s="279"/>
      <c r="O79" s="279"/>
      <c r="P79" s="279"/>
      <c r="Q79" s="279"/>
      <c r="R79" s="279"/>
      <c r="S79" s="279"/>
      <c r="T79" s="279"/>
      <c r="U79" s="279"/>
      <c r="V79" s="285"/>
      <c r="W79" s="432" t="s">
        <v>1512</v>
      </c>
      <c r="X79" s="269"/>
    </row>
    <row r="80" spans="1:24" s="345" customFormat="1" ht="14.4" x14ac:dyDescent="0.3">
      <c r="A80" s="302"/>
      <c r="B80" s="306"/>
      <c r="C80" s="307" t="s">
        <v>1598</v>
      </c>
      <c r="D80" s="308"/>
      <c r="E80" s="220">
        <v>1</v>
      </c>
      <c r="F80" s="279">
        <f>COUNTIFS('Annex 5.7 TR_Others'!$N$18:$N$1000,"1st",'Annex 5.7 TR_Others'!$L$18:$L$1000,F11)</f>
        <v>0</v>
      </c>
      <c r="G80" s="279">
        <f>COUNTIFS('Annex 5.7 TR_Others'!$N$18:$N$1000,"1st",'Annex 5.7 TR_Others'!$L$18:$L$1000,G11)</f>
        <v>0</v>
      </c>
      <c r="H80" s="279">
        <f>COUNTIFS('Annex 5.7 TR_Others'!$N$18:$N$1000,"1st",'Annex 5.7 TR_Others'!$L$18:$L$1000,H11)</f>
        <v>0</v>
      </c>
      <c r="I80" s="279">
        <f>COUNTIFS('Annex 5.7 TR_Others'!$N$18:$N$1000,"1st",'Annex 5.7 TR_Others'!$L$18:$L$1000,I11)</f>
        <v>0</v>
      </c>
      <c r="J80" s="279">
        <f>COUNTIFS('Annex 5.7 TR_Others'!$N$18:$N$1000,"1st",'Annex 5.7 TR_Others'!$L$18:$L$1000,J11)</f>
        <v>0</v>
      </c>
      <c r="K80" s="279">
        <f>COUNTIFS('Annex 5.7 TR_Others'!$N$18:$N$1000,"1st",'Annex 5.7 TR_Others'!$L$18:$L$1000,K11)</f>
        <v>0</v>
      </c>
      <c r="L80" s="279">
        <f>COUNTIFS('Annex 5.7 TR_Others'!$N$18:$N$1000,"1st",'Annex 5.7 TR_Others'!$L$18:$L$1000,L11)</f>
        <v>0</v>
      </c>
      <c r="M80" s="279">
        <f>COUNTIFS('Annex 5.7 TR_Others'!$N$18:$N$1000,"1st",'Annex 5.7 TR_Others'!$L$18:$L$1000,M11)</f>
        <v>0</v>
      </c>
      <c r="N80" s="279">
        <f>COUNTIFS('Annex 5.7 TR_Others'!$N$18:$N$1000,"1st",'Annex 5.7 TR_Others'!$L$18:$L$1000,N11)</f>
        <v>0</v>
      </c>
      <c r="O80" s="279">
        <f>COUNTIFS('Annex 5.7 TR_Others'!$N$18:$N$1000,"1st",'Annex 5.7 TR_Others'!$L$18:$L$1000,O11)</f>
        <v>0</v>
      </c>
      <c r="P80" s="279">
        <f>COUNTIFS('Annex 5.7 TR_Others'!$N$18:$N$1000,"1st",'Annex 5.7 TR_Others'!$L$18:$L$1000,P11)</f>
        <v>0</v>
      </c>
      <c r="Q80" s="279">
        <f>COUNTIFS('Annex 5.7 TR_Others'!$N$18:$N$1000,"1st",'Annex 5.7 TR_Others'!$L$18:$L$1000,Q11)</f>
        <v>0</v>
      </c>
      <c r="R80" s="357">
        <f>SUM(F80:H80)</f>
        <v>0</v>
      </c>
      <c r="S80" s="357">
        <f t="shared" ref="S80:S81" si="61">SUM(I80:K80)</f>
        <v>0</v>
      </c>
      <c r="T80" s="357">
        <f t="shared" ref="T80:T81" si="62">SUM(L80:N80)</f>
        <v>0</v>
      </c>
      <c r="U80" s="357">
        <f t="shared" ref="U80:U81" si="63">SUM(O80:Q80)</f>
        <v>0</v>
      </c>
      <c r="V80" s="278">
        <f>SUM(F80:Q80)</f>
        <v>0</v>
      </c>
      <c r="W80" s="432" t="s">
        <v>1512</v>
      </c>
      <c r="X80" s="271" t="s">
        <v>1599</v>
      </c>
    </row>
    <row r="81" spans="1:24" s="345" customFormat="1" x14ac:dyDescent="0.25">
      <c r="A81" s="302"/>
      <c r="B81" s="306"/>
      <c r="C81" s="307" t="s">
        <v>1600</v>
      </c>
      <c r="D81" s="308"/>
      <c r="E81" s="220">
        <v>1</v>
      </c>
      <c r="F81" s="279">
        <f>COUNTIFS('Annex 5.7 TR_Others'!$D$18:$D$1000,"&lt;&gt;",'Annex 5.7 TR_Others'!$L$18:$L$1000,F11)</f>
        <v>0</v>
      </c>
      <c r="G81" s="279">
        <f>COUNTIFS('Annex 5.7 TR_Others'!$D$18:$D$1000,"&lt;&gt;",'Annex 5.7 TR_Others'!$L$18:$L$1000,G11)</f>
        <v>0</v>
      </c>
      <c r="H81" s="279">
        <f>COUNTIFS('Annex 5.7 TR_Others'!$D$18:$D$1000,"&lt;&gt;",'Annex 5.7 TR_Others'!$L$18:$L$1000,H11)</f>
        <v>0</v>
      </c>
      <c r="I81" s="279">
        <f>COUNTIFS('Annex 5.7 TR_Others'!$D$18:$D$1000,"&lt;&gt;",'Annex 5.7 TR_Others'!$L$18:$L$1000,I11)</f>
        <v>0</v>
      </c>
      <c r="J81" s="279">
        <f>COUNTIFS('Annex 5.7 TR_Others'!$D$18:$D$1000,"&lt;&gt;",'Annex 5.7 TR_Others'!$L$18:$L$1000,J11)</f>
        <v>0</v>
      </c>
      <c r="K81" s="279">
        <f>COUNTIFS('Annex 5.7 TR_Others'!$D$18:$D$1000,"&lt;&gt;",'Annex 5.7 TR_Others'!$L$18:$L$1000,K11)</f>
        <v>0</v>
      </c>
      <c r="L81" s="279">
        <f>COUNTIFS('Annex 5.7 TR_Others'!$D$18:$D$1000,"&lt;&gt;",'Annex 5.7 TR_Others'!$L$18:$L$1000,L11)</f>
        <v>0</v>
      </c>
      <c r="M81" s="279">
        <f>COUNTIFS('Annex 5.7 TR_Others'!$D$18:$D$1000,"&lt;&gt;",'Annex 5.7 TR_Others'!$L$18:$L$1000,M11)</f>
        <v>0</v>
      </c>
      <c r="N81" s="279">
        <f>COUNTIFS('Annex 5.7 TR_Others'!$D$18:$D$1000,"&lt;&gt;",'Annex 5.7 TR_Others'!$L$18:$L$1000,N11)</f>
        <v>0</v>
      </c>
      <c r="O81" s="279">
        <f>COUNTIFS('Annex 5.7 TR_Others'!$D$18:$D$1000,"&lt;&gt;",'Annex 5.7 TR_Others'!$L$18:$L$1000,O11)</f>
        <v>0</v>
      </c>
      <c r="P81" s="279">
        <f>COUNTIFS('Annex 5.7 TR_Others'!$D$18:$D$1000,"&lt;&gt;",'Annex 5.7 TR_Others'!$L$18:$L$1000,P11)</f>
        <v>0</v>
      </c>
      <c r="Q81" s="279">
        <f>COUNTIFS('Annex 5.7 TR_Others'!$D$18:$D$1000,"&lt;&gt;",'Annex 5.7 TR_Others'!$L$18:$L$1000,Q11)</f>
        <v>0</v>
      </c>
      <c r="R81" s="357">
        <f>SUM(F81:H81)</f>
        <v>0</v>
      </c>
      <c r="S81" s="357">
        <f t="shared" si="61"/>
        <v>0</v>
      </c>
      <c r="T81" s="357">
        <f t="shared" si="62"/>
        <v>0</v>
      </c>
      <c r="U81" s="357">
        <f t="shared" si="63"/>
        <v>0</v>
      </c>
      <c r="V81" s="278">
        <f t="shared" si="8"/>
        <v>0</v>
      </c>
      <c r="W81" s="432" t="s">
        <v>1512</v>
      </c>
      <c r="X81" s="269"/>
    </row>
    <row r="82" spans="1:24" s="345" customFormat="1" x14ac:dyDescent="0.25">
      <c r="A82" s="311"/>
      <c r="B82" s="312" t="s">
        <v>1601</v>
      </c>
      <c r="C82" s="313"/>
      <c r="D82" s="314"/>
      <c r="E82" s="227"/>
      <c r="F82" s="286"/>
      <c r="G82" s="286"/>
      <c r="H82" s="286"/>
      <c r="I82" s="286"/>
      <c r="J82" s="286"/>
      <c r="K82" s="286"/>
      <c r="L82" s="286"/>
      <c r="M82" s="286"/>
      <c r="N82" s="286"/>
      <c r="O82" s="286"/>
      <c r="P82" s="286"/>
      <c r="Q82" s="286"/>
      <c r="R82" s="286"/>
      <c r="S82" s="286"/>
      <c r="T82" s="286"/>
      <c r="U82" s="286"/>
      <c r="V82" s="287"/>
      <c r="W82" s="434" t="s">
        <v>1512</v>
      </c>
      <c r="X82" s="359"/>
    </row>
    <row r="83" spans="1:24" s="345" customFormat="1" x14ac:dyDescent="0.25">
      <c r="A83" s="302"/>
      <c r="B83" s="303">
        <v>15</v>
      </c>
      <c r="C83" s="304" t="s">
        <v>1602</v>
      </c>
      <c r="D83" s="305"/>
      <c r="E83" s="225"/>
      <c r="F83" s="279"/>
      <c r="G83" s="279"/>
      <c r="H83" s="279"/>
      <c r="I83" s="279"/>
      <c r="J83" s="279"/>
      <c r="K83" s="279"/>
      <c r="L83" s="279"/>
      <c r="M83" s="279"/>
      <c r="N83" s="279"/>
      <c r="O83" s="279"/>
      <c r="P83" s="279"/>
      <c r="Q83" s="279"/>
      <c r="R83" s="279"/>
      <c r="S83" s="279"/>
      <c r="T83" s="279"/>
      <c r="U83" s="279"/>
      <c r="V83" s="285"/>
      <c r="W83" s="432" t="s">
        <v>1512</v>
      </c>
      <c r="X83" s="269"/>
    </row>
    <row r="84" spans="1:24" s="345" customFormat="1" ht="14.4" x14ac:dyDescent="0.3">
      <c r="A84" s="302"/>
      <c r="B84" s="303"/>
      <c r="C84" s="316" t="s">
        <v>1603</v>
      </c>
      <c r="D84" s="308"/>
      <c r="E84" s="229">
        <v>1</v>
      </c>
      <c r="F84" s="279">
        <f>COUNTIFS('Annex 6.1 UD_FormReview'!$B$13:$B$1000,"&lt;&gt;",'Annex 6.1 UD_FormReview'!$G$13:$G$1000,F11)</f>
        <v>0</v>
      </c>
      <c r="G84" s="279">
        <f>COUNTIFS('Annex 6.1 UD_FormReview'!$B$13:$B$1000,"&lt;&gt;",'Annex 6.1 UD_FormReview'!$G$13:$G$1000,G11)</f>
        <v>0</v>
      </c>
      <c r="H84" s="279">
        <f>COUNTIFS('Annex 6.1 UD_FormReview'!$B$13:$B$1000,"&lt;&gt;",'Annex 6.1 UD_FormReview'!$G$13:$G$1000,H11)</f>
        <v>0</v>
      </c>
      <c r="I84" s="279">
        <f>COUNTIFS('Annex 6.1 UD_FormReview'!$B$13:$B$1000,"&lt;&gt;",'Annex 6.1 UD_FormReview'!$G$13:$G$1000,I11)</f>
        <v>0</v>
      </c>
      <c r="J84" s="279">
        <f>COUNTIFS('Annex 6.1 UD_FormReview'!$B$13:$B$1000,"&lt;&gt;",'Annex 6.1 UD_FormReview'!$G$13:$G$1000,J11)</f>
        <v>0</v>
      </c>
      <c r="K84" s="279">
        <f>COUNTIFS('Annex 6.1 UD_FormReview'!$B$13:$B$1000,"&lt;&gt;",'Annex 6.1 UD_FormReview'!$G$13:$G$1000,K11)</f>
        <v>0</v>
      </c>
      <c r="L84" s="279">
        <f>COUNTIFS('Annex 6.1 UD_FormReview'!$B$13:$B$1000,"&lt;&gt;",'Annex 6.1 UD_FormReview'!$G$13:$G$1000,L11)</f>
        <v>0</v>
      </c>
      <c r="M84" s="279">
        <f>COUNTIFS('Annex 6.1 UD_FormReview'!$B$13:$B$1000,"&lt;&gt;",'Annex 6.1 UD_FormReview'!$G$13:$G$1000,M11)</f>
        <v>0</v>
      </c>
      <c r="N84" s="279">
        <f>COUNTIFS('Annex 6.1 UD_FormReview'!$B$13:$B$1000,"&lt;&gt;",'Annex 6.1 UD_FormReview'!$G$13:$G$1000,N11)</f>
        <v>0</v>
      </c>
      <c r="O84" s="279">
        <f>COUNTIFS('Annex 6.1 UD_FormReview'!$B$13:$B$1000,"&lt;&gt;",'Annex 6.1 UD_FormReview'!$G$13:$G$1000,O11)</f>
        <v>0</v>
      </c>
      <c r="P84" s="279">
        <f>COUNTIFS('Annex 6.1 UD_FormReview'!$B$13:$B$1000,"&lt;&gt;",'Annex 6.1 UD_FormReview'!$G$13:$G$1000,P11)</f>
        <v>0</v>
      </c>
      <c r="Q84" s="279">
        <f>COUNTIFS('Annex 6.1 UD_FormReview'!$B$13:$B$1000,"&lt;&gt;",'Annex 6.1 UD_FormReview'!$G$13:$G$1000,Q11)</f>
        <v>0</v>
      </c>
      <c r="R84" s="357">
        <f>SUM(F84:H84)</f>
        <v>0</v>
      </c>
      <c r="S84" s="357">
        <f t="shared" ref="S84" si="64">SUM(I84:K84)</f>
        <v>0</v>
      </c>
      <c r="T84" s="357">
        <f t="shared" ref="T84" si="65">SUM(L84:N84)</f>
        <v>0</v>
      </c>
      <c r="U84" s="357">
        <f t="shared" ref="U84" si="66">SUM(O84:Q84)</f>
        <v>0</v>
      </c>
      <c r="V84" s="278">
        <f>SUM(F84:Q84)</f>
        <v>0</v>
      </c>
      <c r="W84" s="432" t="s">
        <v>1512</v>
      </c>
      <c r="X84" s="271" t="s">
        <v>1604</v>
      </c>
    </row>
    <row r="85" spans="1:24" s="345" customFormat="1" ht="14.4" x14ac:dyDescent="0.3">
      <c r="A85" s="302"/>
      <c r="B85" s="303"/>
      <c r="C85" s="316"/>
      <c r="D85" s="317" t="s">
        <v>1605</v>
      </c>
      <c r="E85" s="228">
        <v>1</v>
      </c>
      <c r="F85" s="279">
        <f>COUNTIFS('Annex 6.1 UD_FormReview'!$E$13:$E$1000,"Facilitated (MOU/MOA)", 'Annex 6.1 UD_FormReview'!$G$13:$G$1000, F11)</f>
        <v>0</v>
      </c>
      <c r="G85" s="279">
        <f>COUNTIFS('Annex 6.1 UD_FormReview'!$E$13:$E$1000,"Facilitated (MOU/MOA)", 'Annex 6.1 UD_FormReview'!$G$13:$G$1000, G11)</f>
        <v>0</v>
      </c>
      <c r="H85" s="279">
        <f>COUNTIFS('Annex 6.1 UD_FormReview'!$E$13:$E$1000,"Facilitated (MOU/MOA)", 'Annex 6.1 UD_FormReview'!$G$13:$G$1000, H11)</f>
        <v>0</v>
      </c>
      <c r="I85" s="279">
        <f>COUNTIFS('Annex 6.1 UD_FormReview'!$E$13:$E$1000,"Facilitated (MOU/MOA)", 'Annex 6.1 UD_FormReview'!$G$13:$G$1000, I11)</f>
        <v>0</v>
      </c>
      <c r="J85" s="279">
        <f>COUNTIFS('Annex 6.1 UD_FormReview'!$E$13:$E$1000,"Facilitated (MOU/MOA)", 'Annex 6.1 UD_FormReview'!$G$13:$G$1000, J11)</f>
        <v>0</v>
      </c>
      <c r="K85" s="279">
        <f>COUNTIFS('Annex 6.1 UD_FormReview'!$E$13:$E$1000,"Facilitated (MOU/MOA)", 'Annex 6.1 UD_FormReview'!$G$13:$G$1000, K11)</f>
        <v>0</v>
      </c>
      <c r="L85" s="279">
        <f>COUNTIFS('Annex 6.1 UD_FormReview'!$E$13:$E$1000,"Facilitated (MOU/MOA)", 'Annex 6.1 UD_FormReview'!$G$13:$G$1000, L11)</f>
        <v>0</v>
      </c>
      <c r="M85" s="279">
        <f>COUNTIFS('Annex 6.1 UD_FormReview'!$E$13:$E$1000,"Facilitated (MOU/MOA)", 'Annex 6.1 UD_FormReview'!$G$13:$G$1000, M11)</f>
        <v>0</v>
      </c>
      <c r="N85" s="279">
        <f>COUNTIFS('Annex 6.1 UD_FormReview'!$E$13:$E$1000,"Facilitated (MOU/MOA)", 'Annex 6.1 UD_FormReview'!$G$13:$G$1000, N11)</f>
        <v>0</v>
      </c>
      <c r="O85" s="279">
        <f>COUNTIFS('Annex 6.1 UD_FormReview'!$E$13:$E$1000,"Facilitated (MOU/MOA)", 'Annex 6.1 UD_FormReview'!$G$13:$G$1000, O11)</f>
        <v>0</v>
      </c>
      <c r="P85" s="279">
        <f>COUNTIFS('Annex 6.1 UD_FormReview'!$E$13:$E$1000,"Facilitated (MOU/MOA)", 'Annex 6.1 UD_FormReview'!$G$13:$G$1000, P11)</f>
        <v>0</v>
      </c>
      <c r="Q85" s="279">
        <f>COUNTIFS('Annex 6.1 UD_FormReview'!$E$13:$E$1000,"Facilitated (MOU/MOA)", 'Annex 6.1 UD_FormReview'!$G$13:$G$1000, Q11)</f>
        <v>0</v>
      </c>
      <c r="R85" s="357">
        <f t="shared" ref="R85:R87" si="67">SUM(F85:H85)</f>
        <v>0</v>
      </c>
      <c r="S85" s="357">
        <f t="shared" ref="S85:S87" si="68">SUM(I85:K85)</f>
        <v>0</v>
      </c>
      <c r="T85" s="357">
        <f t="shared" ref="T85:T87" si="69">SUM(L85:N85)</f>
        <v>0</v>
      </c>
      <c r="U85" s="357">
        <f t="shared" ref="U85:U87" si="70">SUM(O85:Q85)</f>
        <v>0</v>
      </c>
      <c r="V85" s="278">
        <f>SUM(F85:Q85)</f>
        <v>0</v>
      </c>
      <c r="W85" s="432" t="s">
        <v>1512</v>
      </c>
      <c r="X85" s="271"/>
    </row>
    <row r="86" spans="1:24" s="345" customFormat="1" ht="14.4" x14ac:dyDescent="0.3">
      <c r="A86" s="302"/>
      <c r="B86" s="303"/>
      <c r="C86" s="316"/>
      <c r="D86" s="317" t="s">
        <v>1606</v>
      </c>
      <c r="E86" s="228">
        <v>1</v>
      </c>
      <c r="F86" s="279">
        <f>COUNTIFS('Annex 6.1 UD_FormReview'!$E$13:$E$1000,"Plan Review/Assessment", 'Annex 6.1 UD_FormReview'!$G$13:$G$1000, F11)</f>
        <v>0</v>
      </c>
      <c r="G86" s="279">
        <f>COUNTIFS('Annex 6.1 UD_FormReview'!$E$13:$E$1000,"Plan Review/Assessment", 'Annex 6.1 UD_FormReview'!$G$13:$G$1000, G11)</f>
        <v>0</v>
      </c>
      <c r="H86" s="279">
        <f>COUNTIFS('Annex 6.1 UD_FormReview'!$E$13:$E$1000,"Plan Review/Assessment", 'Annex 6.1 UD_FormReview'!$G$13:$G$1000, H11)</f>
        <v>0</v>
      </c>
      <c r="I86" s="279">
        <f>COUNTIFS('Annex 6.1 UD_FormReview'!$E$13:$E$1000,"Plan Review/Assessment", 'Annex 6.1 UD_FormReview'!$G$13:$G$1000, I11)</f>
        <v>0</v>
      </c>
      <c r="J86" s="279">
        <f>COUNTIFS('Annex 6.1 UD_FormReview'!$E$13:$E$1000,"Plan Review/Assessment", 'Annex 6.1 UD_FormReview'!$G$13:$G$1000, J11)</f>
        <v>0</v>
      </c>
      <c r="K86" s="279">
        <f>COUNTIFS('Annex 6.1 UD_FormReview'!$E$13:$E$1000,"Plan Review/Assessment", 'Annex 6.1 UD_FormReview'!$G$13:$G$1000, K11)</f>
        <v>0</v>
      </c>
      <c r="L86" s="279">
        <f>COUNTIFS('Annex 6.1 UD_FormReview'!$E$13:$E$1000,"Plan Review/Assessment", 'Annex 6.1 UD_FormReview'!$G$13:$G$1000, L11)</f>
        <v>0</v>
      </c>
      <c r="M86" s="279">
        <f>COUNTIFS('Annex 6.1 UD_FormReview'!$E$13:$E$1000,"Plan Review/Assessment", 'Annex 6.1 UD_FormReview'!$G$13:$G$1000, M11)</f>
        <v>0</v>
      </c>
      <c r="N86" s="279">
        <f>COUNTIFS('Annex 6.1 UD_FormReview'!$E$13:$E$1000,"Plan Review/Assessment", 'Annex 6.1 UD_FormReview'!$G$13:$G$1000, N11)</f>
        <v>0</v>
      </c>
      <c r="O86" s="279">
        <f>COUNTIFS('Annex 6.1 UD_FormReview'!$E$13:$E$1000,"Plan Review/Assessment", 'Annex 6.1 UD_FormReview'!$G$13:$G$1000, O11)</f>
        <v>0</v>
      </c>
      <c r="P86" s="279">
        <f>COUNTIFS('Annex 6.1 UD_FormReview'!$E$13:$E$1000,"Plan Review/Assessment", 'Annex 6.1 UD_FormReview'!$G$13:$G$1000, P11)</f>
        <v>0</v>
      </c>
      <c r="Q86" s="279">
        <f>COUNTIFS('Annex 6.1 UD_FormReview'!$E$13:$E$1000,"Plan Review/Assessment", 'Annex 6.1 UD_FormReview'!$G$13:$G$1000, Q11)</f>
        <v>0</v>
      </c>
      <c r="R86" s="357">
        <f t="shared" si="67"/>
        <v>0</v>
      </c>
      <c r="S86" s="357">
        <f t="shared" si="68"/>
        <v>0</v>
      </c>
      <c r="T86" s="357">
        <f t="shared" si="69"/>
        <v>0</v>
      </c>
      <c r="U86" s="357">
        <f t="shared" si="70"/>
        <v>0</v>
      </c>
      <c r="V86" s="278">
        <f t="shared" si="8"/>
        <v>0</v>
      </c>
      <c r="W86" s="432" t="s">
        <v>1512</v>
      </c>
      <c r="X86" s="271"/>
    </row>
    <row r="87" spans="1:24" s="345" customFormat="1" ht="14.4" x14ac:dyDescent="0.3">
      <c r="A87" s="302"/>
      <c r="B87" s="303"/>
      <c r="C87" s="316"/>
      <c r="D87" s="317" t="s">
        <v>1607</v>
      </c>
      <c r="E87" s="228">
        <v>1</v>
      </c>
      <c r="F87" s="279">
        <f>COUNTIFS('Annex 6.1 UD_FormReview'!$E$13:$E$1000,"Plan Formulated", 'Annex 6.1 UD_FormReview'!$G$13:$G$1000, F11)</f>
        <v>0</v>
      </c>
      <c r="G87" s="279">
        <f>COUNTIFS('Annex 6.1 UD_FormReview'!$E$13:$E$1000,"Plan Formulated", 'Annex 6.1 UD_FormReview'!$G$13:$G$1000, G11)</f>
        <v>0</v>
      </c>
      <c r="H87" s="279">
        <f>COUNTIFS('Annex 6.1 UD_FormReview'!$E$13:$E$1000,"Plan Formulated", 'Annex 6.1 UD_FormReview'!$G$13:$G$1000, H11)</f>
        <v>0</v>
      </c>
      <c r="I87" s="279">
        <f>COUNTIFS('Annex 6.1 UD_FormReview'!$E$13:$E$1000,"Plan Formulated", 'Annex 6.1 UD_FormReview'!$G$13:$G$1000, I11)</f>
        <v>0</v>
      </c>
      <c r="J87" s="279">
        <f>COUNTIFS('Annex 6.1 UD_FormReview'!$E$13:$E$1000,"Plan Formulated", 'Annex 6.1 UD_FormReview'!$G$13:$G$1000, J11)</f>
        <v>0</v>
      </c>
      <c r="K87" s="279">
        <f>COUNTIFS('Annex 6.1 UD_FormReview'!$E$13:$E$1000,"Plan Formulated", 'Annex 6.1 UD_FormReview'!$G$13:$G$1000, K11)</f>
        <v>0</v>
      </c>
      <c r="L87" s="279">
        <f>COUNTIFS('Annex 6.1 UD_FormReview'!$E$13:$E$1000,"Plan Formulated", 'Annex 6.1 UD_FormReview'!$G$13:$G$1000, L11)</f>
        <v>0</v>
      </c>
      <c r="M87" s="279">
        <f>COUNTIFS('Annex 6.1 UD_FormReview'!$E$13:$E$1000,"Plan Formulated", 'Annex 6.1 UD_FormReview'!$G$13:$G$1000, M11)</f>
        <v>0</v>
      </c>
      <c r="N87" s="279">
        <f>COUNTIFS('Annex 6.1 UD_FormReview'!$E$13:$E$1000,"Plan Formulated", 'Annex 6.1 UD_FormReview'!$G$13:$G$1000, N11)</f>
        <v>0</v>
      </c>
      <c r="O87" s="279">
        <f>COUNTIFS('Annex 6.1 UD_FormReview'!$E$13:$E$1000,"Plan Formulated", 'Annex 6.1 UD_FormReview'!$G$13:$G$1000, O11)</f>
        <v>0</v>
      </c>
      <c r="P87" s="279">
        <f>COUNTIFS('Annex 6.1 UD_FormReview'!$E$13:$E$1000,"Plan Formulated", 'Annex 6.1 UD_FormReview'!$G$13:$G$1000, P11)</f>
        <v>0</v>
      </c>
      <c r="Q87" s="279">
        <f>COUNTIFS('Annex 6.1 UD_FormReview'!$E$13:$E$1000,"Plan Formulated", 'Annex 6.1 UD_FormReview'!$G$13:$G$1000, Q11)</f>
        <v>0</v>
      </c>
      <c r="R87" s="357">
        <f t="shared" si="67"/>
        <v>0</v>
      </c>
      <c r="S87" s="357">
        <f t="shared" si="68"/>
        <v>0</v>
      </c>
      <c r="T87" s="357">
        <f t="shared" si="69"/>
        <v>0</v>
      </c>
      <c r="U87" s="357">
        <f t="shared" si="70"/>
        <v>0</v>
      </c>
      <c r="V87" s="278">
        <f t="shared" si="8"/>
        <v>0</v>
      </c>
      <c r="W87" s="432" t="s">
        <v>1512</v>
      </c>
      <c r="X87" s="271"/>
    </row>
    <row r="88" spans="1:24" s="345" customFormat="1" x14ac:dyDescent="0.25">
      <c r="A88" s="318"/>
      <c r="B88" s="312" t="s">
        <v>1608</v>
      </c>
      <c r="C88" s="313"/>
      <c r="D88" s="314"/>
      <c r="E88" s="227"/>
      <c r="F88" s="286"/>
      <c r="G88" s="286"/>
      <c r="H88" s="286"/>
      <c r="I88" s="286"/>
      <c r="J88" s="286"/>
      <c r="K88" s="286"/>
      <c r="L88" s="286"/>
      <c r="M88" s="286"/>
      <c r="N88" s="286"/>
      <c r="O88" s="286"/>
      <c r="P88" s="286"/>
      <c r="Q88" s="286"/>
      <c r="R88" s="286"/>
      <c r="S88" s="286"/>
      <c r="T88" s="286"/>
      <c r="U88" s="286"/>
      <c r="V88" s="286"/>
      <c r="W88" s="434" t="s">
        <v>1512</v>
      </c>
      <c r="X88" s="359"/>
    </row>
    <row r="89" spans="1:24" s="346" customFormat="1" ht="14.4" customHeight="1" x14ac:dyDescent="0.3">
      <c r="A89" s="310"/>
      <c r="B89" s="319">
        <v>16</v>
      </c>
      <c r="C89" s="292" t="s">
        <v>1609</v>
      </c>
      <c r="D89" s="320"/>
      <c r="E89" s="230"/>
      <c r="F89" s="281"/>
      <c r="G89" s="281"/>
      <c r="H89" s="281"/>
      <c r="I89" s="281"/>
      <c r="J89" s="281"/>
      <c r="K89" s="281"/>
      <c r="L89" s="281"/>
      <c r="M89" s="281"/>
      <c r="N89" s="281"/>
      <c r="O89" s="281"/>
      <c r="P89" s="281"/>
      <c r="Q89" s="281"/>
      <c r="R89" s="281"/>
      <c r="S89" s="281"/>
      <c r="T89" s="281"/>
      <c r="U89" s="281"/>
      <c r="V89" s="285"/>
      <c r="W89" s="432" t="s">
        <v>1512</v>
      </c>
      <c r="X89" s="570" t="s">
        <v>1610</v>
      </c>
    </row>
    <row r="90" spans="1:24" s="345" customFormat="1" ht="14.4" customHeight="1" x14ac:dyDescent="0.25">
      <c r="A90" s="302"/>
      <c r="B90" s="321"/>
      <c r="C90" s="573" t="s">
        <v>1611</v>
      </c>
      <c r="D90" s="574"/>
      <c r="E90" s="228">
        <v>5</v>
      </c>
      <c r="F90" s="281">
        <f>COUNTIFS('Annex 7.1 Review_CChk'!$D$21:$D$1004,"City / Municipality",'Annex 7.1 Review_CChk'!$L$21:$L$1004,"1st",'Annex 7.1 Review_CChk'!$J$21:$J$1004,F11)</f>
        <v>0</v>
      </c>
      <c r="G90" s="281">
        <f>COUNTIFS('Annex 7.1 Review_CChk'!$D$21:$D$1004,"City / Municipality",'Annex 7.1 Review_CChk'!$L$21:$L$1004,"1st",'Annex 7.1 Review_CChk'!$J$21:$J$1004,G11)</f>
        <v>1</v>
      </c>
      <c r="H90" s="281">
        <f>COUNTIFS('Annex 7.1 Review_CChk'!$D$21:$D$1004,"City / Municipality",'Annex 7.1 Review_CChk'!$L$21:$L$1004,"1st",'Annex 7.1 Review_CChk'!$J$21:$J$1004,H11)</f>
        <v>0</v>
      </c>
      <c r="I90" s="281">
        <f>COUNTIFS('Annex 7.1 Review_CChk'!$D$21:$D$1004,"City / Municipality",'Annex 7.1 Review_CChk'!$L$21:$L$1004,"1st",'Annex 7.1 Review_CChk'!$J$21:$J$1004,I11)</f>
        <v>0</v>
      </c>
      <c r="J90" s="281">
        <f>COUNTIFS('Annex 7.1 Review_CChk'!$D$21:$D$1004,"City / Municipality",'Annex 7.1 Review_CChk'!$L$21:$L$1004,"1st",'Annex 7.1 Review_CChk'!$J$21:$J$1004,J11)</f>
        <v>0</v>
      </c>
      <c r="K90" s="281">
        <f>COUNTIFS('Annex 7.1 Review_CChk'!$D$21:$D$1004,"City / Municipality",'Annex 7.1 Review_CChk'!$L$21:$L$1004,"1st",'Annex 7.1 Review_CChk'!$J$21:$J$1004,K11)</f>
        <v>0</v>
      </c>
      <c r="L90" s="281">
        <f>COUNTIFS('Annex 7.1 Review_CChk'!$D$21:$D$1004,"City / Municipality",'Annex 7.1 Review_CChk'!$L$21:$L$1004,"1st",'Annex 7.1 Review_CChk'!$J$21:$J$1004,L11)</f>
        <v>0</v>
      </c>
      <c r="M90" s="281">
        <f>COUNTIFS('Annex 7.1 Review_CChk'!$D$21:$D$1004,"City / Municipality",'Annex 7.1 Review_CChk'!$L$21:$L$1004,"1st",'Annex 7.1 Review_CChk'!$J$21:$J$1004,M11)</f>
        <v>0</v>
      </c>
      <c r="N90" s="281">
        <f>COUNTIFS('Annex 7.1 Review_CChk'!$D$21:$D$1004,"City / Municipality",'Annex 7.1 Review_CChk'!$L$21:$L$1004,"1st",'Annex 7.1 Review_CChk'!$J$21:$J$1004,N11)</f>
        <v>0</v>
      </c>
      <c r="O90" s="281">
        <f>COUNTIFS('Annex 7.1 Review_CChk'!$D$21:$D$1004,"City / Municipality",'Annex 7.1 Review_CChk'!$L$21:$L$1004,"1st",'Annex 7.1 Review_CChk'!$J$21:$J$1004,O11)</f>
        <v>0</v>
      </c>
      <c r="P90" s="281">
        <f>COUNTIFS('Annex 7.1 Review_CChk'!$D$21:$D$1004,"City / Municipality",'Annex 7.1 Review_CChk'!$L$21:$L$1004,"1st",'Annex 7.1 Review_CChk'!$J$21:$J$1004,P11)</f>
        <v>0</v>
      </c>
      <c r="Q90" s="281">
        <f>COUNTIFS('Annex 7.1 Review_CChk'!$D$21:$D$1004,"City / Municipality",'Annex 7.1 Review_CChk'!$L$21:$L$1004,"1st",'Annex 7.1 Review_CChk'!$J$21:$J$1004,Q11)</f>
        <v>0</v>
      </c>
      <c r="R90" s="357">
        <f t="shared" ref="R90" si="71">SUM(F90:H90)</f>
        <v>1</v>
      </c>
      <c r="S90" s="357">
        <f t="shared" ref="S90" si="72">SUM(I90:K90)</f>
        <v>0</v>
      </c>
      <c r="T90" s="357">
        <f t="shared" ref="T90" si="73">SUM(L90:N90)</f>
        <v>0</v>
      </c>
      <c r="U90" s="357">
        <f t="shared" ref="U90" si="74">SUM(O90:Q90)</f>
        <v>0</v>
      </c>
      <c r="V90" s="278">
        <f t="shared" ref="V90:V99" si="75">SUM(F90:Q90)</f>
        <v>1</v>
      </c>
      <c r="W90" s="432" t="s">
        <v>1512</v>
      </c>
      <c r="X90" s="571"/>
    </row>
    <row r="91" spans="1:24" s="345" customFormat="1" ht="13.2" customHeight="1" x14ac:dyDescent="0.25">
      <c r="A91" s="302"/>
      <c r="B91" s="321"/>
      <c r="C91" s="573" t="s">
        <v>1612</v>
      </c>
      <c r="D91" s="574"/>
      <c r="E91" s="151">
        <v>1</v>
      </c>
      <c r="F91" s="281">
        <f>COUNTIFS('Annex 7.1 Review_CChk'!$D$21:$D$1004,"PLGU",'Annex 7.1 Review_CChk'!$L$21:$L$1004,"1st",'Annex 7.1 Review_CChk'!$J$21:$J$1004,F11)</f>
        <v>0</v>
      </c>
      <c r="G91" s="281">
        <f>COUNTIFS('Annex 7.1 Review_CChk'!$D$21:$D$1004,"PLGU",'Annex 7.1 Review_CChk'!$L$21:$L$1004,"1st",'Annex 7.1 Review_CChk'!$J$21:$J$1004,G11)</f>
        <v>0</v>
      </c>
      <c r="H91" s="281">
        <f>COUNTIFS('Annex 7.1 Review_CChk'!$D$21:$D$1004,"PLGU",'Annex 7.1 Review_CChk'!$L$21:$L$1004,"1st",'Annex 7.1 Review_CChk'!$J$21:$J$1004,H11)</f>
        <v>0</v>
      </c>
      <c r="I91" s="281">
        <f>COUNTIFS('Annex 7.1 Review_CChk'!$D$21:$D$1004,"PLGU",'Annex 7.1 Review_CChk'!$L$21:$L$1004,"1st",'Annex 7.1 Review_CChk'!$J$21:$J$1004,I11)</f>
        <v>0</v>
      </c>
      <c r="J91" s="281">
        <f>COUNTIFS('Annex 7.1 Review_CChk'!$D$21:$D$1004,"PLGU",'Annex 7.1 Review_CChk'!$L$21:$L$1004,"1st",'Annex 7.1 Review_CChk'!$J$21:$J$1004,J11)</f>
        <v>0</v>
      </c>
      <c r="K91" s="281">
        <f>COUNTIFS('Annex 7.1 Review_CChk'!$D$21:$D$1004,"PLGU",'Annex 7.1 Review_CChk'!$L$21:$L$1004,"1st",'Annex 7.1 Review_CChk'!$J$21:$J$1004,K11)</f>
        <v>0</v>
      </c>
      <c r="L91" s="281">
        <f>COUNTIFS('Annex 7.1 Review_CChk'!$D$21:$D$1004,"PLGU",'Annex 7.1 Review_CChk'!$L$21:$L$1004,"1st",'Annex 7.1 Review_CChk'!$J$21:$J$1004,L11)</f>
        <v>0</v>
      </c>
      <c r="M91" s="281">
        <f>COUNTIFS('Annex 7.1 Review_CChk'!$D$21:$D$1004,"PLGU",'Annex 7.1 Review_CChk'!$L$21:$L$1004,"1st",'Annex 7.1 Review_CChk'!$J$21:$J$1004,M11)</f>
        <v>0</v>
      </c>
      <c r="N91" s="281">
        <f>COUNTIFS('Annex 7.1 Review_CChk'!$D$21:$D$1004,"PLGU",'Annex 7.1 Review_CChk'!$L$21:$L$1004,"1st",'Annex 7.1 Review_CChk'!$J$21:$J$1004,N11)</f>
        <v>0</v>
      </c>
      <c r="O91" s="281">
        <f>COUNTIFS('Annex 7.1 Review_CChk'!$D$21:$D$1004,"PLGU",'Annex 7.1 Review_CChk'!$L$21:$L$1004,"1st",'Annex 7.1 Review_CChk'!$J$21:$J$1004,O11)</f>
        <v>0</v>
      </c>
      <c r="P91" s="281">
        <f>COUNTIFS('Annex 7.1 Review_CChk'!$D$21:$D$1004,"PLGU",'Annex 7.1 Review_CChk'!$L$21:$L$1004,"1st",'Annex 7.1 Review_CChk'!$J$21:$J$1004,P11)</f>
        <v>0</v>
      </c>
      <c r="Q91" s="281">
        <f>COUNTIFS('Annex 7.1 Review_CChk'!$D$21:$D$1004,"PLGU",'Annex 7.1 Review_CChk'!$L$21:$L$1004,"1st",'Annex 7.1 Review_CChk'!$J$21:$J$1004,Q11)</f>
        <v>0</v>
      </c>
      <c r="R91" s="357">
        <f t="shared" ref="R91" si="76">SUM(F91:H91)</f>
        <v>0</v>
      </c>
      <c r="S91" s="357">
        <f t="shared" ref="S91" si="77">SUM(I91:K91)</f>
        <v>0</v>
      </c>
      <c r="T91" s="357">
        <f t="shared" ref="T91" si="78">SUM(L91:N91)</f>
        <v>0</v>
      </c>
      <c r="U91" s="357">
        <f t="shared" ref="U91" si="79">SUM(O91:Q91)</f>
        <v>0</v>
      </c>
      <c r="V91" s="278">
        <f t="shared" si="75"/>
        <v>0</v>
      </c>
      <c r="W91" s="432" t="s">
        <v>1512</v>
      </c>
      <c r="X91" s="273"/>
    </row>
    <row r="92" spans="1:24" s="345" customFormat="1" x14ac:dyDescent="0.25">
      <c r="A92" s="302"/>
      <c r="B92" s="322">
        <v>17</v>
      </c>
      <c r="C92" s="304" t="s">
        <v>1613</v>
      </c>
      <c r="D92" s="305"/>
      <c r="E92" s="231"/>
      <c r="F92" s="279"/>
      <c r="G92" s="279"/>
      <c r="H92" s="279"/>
      <c r="I92" s="279"/>
      <c r="J92" s="279"/>
      <c r="K92" s="279"/>
      <c r="L92" s="279"/>
      <c r="M92" s="279"/>
      <c r="N92" s="279"/>
      <c r="O92" s="279"/>
      <c r="P92" s="279"/>
      <c r="Q92" s="279"/>
      <c r="R92" s="279"/>
      <c r="S92" s="279"/>
      <c r="T92" s="279"/>
      <c r="U92" s="279"/>
      <c r="V92" s="285"/>
      <c r="W92" s="432" t="s">
        <v>1512</v>
      </c>
      <c r="X92" s="269"/>
    </row>
    <row r="93" spans="1:24" s="345" customFormat="1" ht="14.4" x14ac:dyDescent="0.3">
      <c r="A93" s="302"/>
      <c r="B93" s="323"/>
      <c r="C93" s="307" t="s">
        <v>1614</v>
      </c>
      <c r="D93" s="323"/>
      <c r="E93" s="229">
        <v>5</v>
      </c>
      <c r="F93" s="288">
        <f>COUNTIFS('Annex 7.2 Review_CLUP-PDPFP'!$J$23:$J$1005,"1st",'Annex 7.2 Review_CLUP-PDPFP'!$D$23:$D$1005,"CLUP",'Annex 7.2 Review_CLUP-PDPFP'!$H$23:$H$1005,F11)</f>
        <v>0</v>
      </c>
      <c r="G93" s="288">
        <f>COUNTIFS('Annex 7.2 Review_CLUP-PDPFP'!$J$23:$J$1005,"1st",'Annex 7.2 Review_CLUP-PDPFP'!$D$23:$D$1005,"CLUP",'Annex 7.2 Review_CLUP-PDPFP'!$H$23:$H$1005,G11)</f>
        <v>0</v>
      </c>
      <c r="H93" s="288">
        <f>COUNTIFS('Annex 7.2 Review_CLUP-PDPFP'!$J$23:$J$1005,"1st",'Annex 7.2 Review_CLUP-PDPFP'!$D$23:$D$1005,"CLUP",'Annex 7.2 Review_CLUP-PDPFP'!$H$23:$H$1005,H11)</f>
        <v>0</v>
      </c>
      <c r="I93" s="288">
        <f>COUNTIFS('Annex 7.2 Review_CLUP-PDPFP'!$J$23:$J$1005,"1st",'Annex 7.2 Review_CLUP-PDPFP'!$D$23:$D$1005,"CLUP",'Annex 7.2 Review_CLUP-PDPFP'!$H$23:$H$1005,I11)</f>
        <v>0</v>
      </c>
      <c r="J93" s="288">
        <f>COUNTIFS('Annex 7.2 Review_CLUP-PDPFP'!$J$23:$J$1005,"1st",'Annex 7.2 Review_CLUP-PDPFP'!$D$23:$D$1005,"CLUP",'Annex 7.2 Review_CLUP-PDPFP'!$H$23:$H$1005,J11)</f>
        <v>0</v>
      </c>
      <c r="K93" s="288">
        <f>COUNTIFS('Annex 7.2 Review_CLUP-PDPFP'!$J$23:$J$1005,"1st",'Annex 7.2 Review_CLUP-PDPFP'!$D$23:$D$1005,"CLUP",'Annex 7.2 Review_CLUP-PDPFP'!$H$23:$H$1005,K11)</f>
        <v>0</v>
      </c>
      <c r="L93" s="288">
        <f>COUNTIFS('Annex 7.2 Review_CLUP-PDPFP'!$J$23:$J$1005,"1st",'Annex 7.2 Review_CLUP-PDPFP'!$D$23:$D$1005,"CLUP",'Annex 7.2 Review_CLUP-PDPFP'!$H$23:$H$1005,L11)</f>
        <v>0</v>
      </c>
      <c r="M93" s="288">
        <f>COUNTIFS('Annex 7.2 Review_CLUP-PDPFP'!$J$23:$J$1005,"1st",'Annex 7.2 Review_CLUP-PDPFP'!$D$23:$D$1005,"CLUP",'Annex 7.2 Review_CLUP-PDPFP'!$H$23:$H$1005,M11)</f>
        <v>0</v>
      </c>
      <c r="N93" s="288">
        <f>COUNTIFS('Annex 7.2 Review_CLUP-PDPFP'!$J$23:$J$1005,"1st",'Annex 7.2 Review_CLUP-PDPFP'!$D$23:$D$1005,"CLUP",'Annex 7.2 Review_CLUP-PDPFP'!$H$23:$H$1005,N11)</f>
        <v>0</v>
      </c>
      <c r="O93" s="288">
        <f>COUNTIFS('Annex 7.2 Review_CLUP-PDPFP'!$J$23:$J$1005,"1st",'Annex 7.2 Review_CLUP-PDPFP'!$D$23:$D$1005,"CLUP",'Annex 7.2 Review_CLUP-PDPFP'!$H$23:$H$1005,O11)</f>
        <v>0</v>
      </c>
      <c r="P93" s="288">
        <f>COUNTIFS('Annex 7.2 Review_CLUP-PDPFP'!$J$23:$J$1005,"1st",'Annex 7.2 Review_CLUP-PDPFP'!$D$23:$D$1005,"CLUP",'Annex 7.2 Review_CLUP-PDPFP'!$H$23:$H$1005,P11)</f>
        <v>0</v>
      </c>
      <c r="Q93" s="288">
        <f>COUNTIFS('Annex 7.2 Review_CLUP-PDPFP'!$J$23:$J$1005,"1st",'Annex 7.2 Review_CLUP-PDPFP'!$D$23:$D$1005,"CLUP",'Annex 7.2 Review_CLUP-PDPFP'!$H$23:$H$1005,Q11)</f>
        <v>0</v>
      </c>
      <c r="R93" s="357">
        <f t="shared" ref="R93:R94" si="80">SUM(F93:H93)</f>
        <v>0</v>
      </c>
      <c r="S93" s="357">
        <f t="shared" ref="S93:S94" si="81">SUM(I93:K93)</f>
        <v>0</v>
      </c>
      <c r="T93" s="357">
        <f t="shared" ref="T93:T94" si="82">SUM(L93:N93)</f>
        <v>0</v>
      </c>
      <c r="U93" s="357">
        <f t="shared" ref="U93:U94" si="83">SUM(O93:Q93)</f>
        <v>0</v>
      </c>
      <c r="V93" s="278">
        <f t="shared" si="75"/>
        <v>0</v>
      </c>
      <c r="W93" s="432" t="s">
        <v>1512</v>
      </c>
      <c r="X93" s="271" t="s">
        <v>1615</v>
      </c>
    </row>
    <row r="94" spans="1:24" s="345" customFormat="1" ht="14.4" x14ac:dyDescent="0.3">
      <c r="A94" s="302"/>
      <c r="B94" s="323"/>
      <c r="C94" s="307" t="s">
        <v>1616</v>
      </c>
      <c r="D94" s="308"/>
      <c r="E94" s="221">
        <v>5</v>
      </c>
      <c r="F94" s="279">
        <f>COUNTIFS('Annex 7.3 Review_Reports'!$D$23:$D$1005,"CLUP",'Annex 7.3 Review_Reports'!$H$23:$H$1005,F11)</f>
        <v>0</v>
      </c>
      <c r="G94" s="279">
        <f>COUNTIFS('Annex 7.3 Review_Reports'!$D$23:$D$1005,"CLUP",'Annex 7.3 Review_Reports'!$H$23:$H$1005,G11)</f>
        <v>0</v>
      </c>
      <c r="H94" s="279">
        <f>COUNTIFS('Annex 7.3 Review_Reports'!$D$23:$D$1005,"CLUP",'Annex 7.3 Review_Reports'!$H$23:$H$1005,H11)</f>
        <v>0</v>
      </c>
      <c r="I94" s="279">
        <f>COUNTIFS('Annex 7.3 Review_Reports'!$D$23:$D$1005,"CLUP",'Annex 7.3 Review_Reports'!$H$23:$H$1005,I11)</f>
        <v>0</v>
      </c>
      <c r="J94" s="279">
        <f>COUNTIFS('Annex 7.3 Review_Reports'!$D$23:$D$1005,"CLUP",'Annex 7.3 Review_Reports'!$H$23:$H$1005,J11)</f>
        <v>0</v>
      </c>
      <c r="K94" s="279">
        <f>COUNTIFS('Annex 7.3 Review_Reports'!$D$23:$D$1005,"CLUP",'Annex 7.3 Review_Reports'!$H$23:$H$1005,K11)</f>
        <v>0</v>
      </c>
      <c r="L94" s="279">
        <f>COUNTIFS('Annex 7.3 Review_Reports'!$D$23:$D$1005,"CLUP",'Annex 7.3 Review_Reports'!$H$23:$H$1005,L11)</f>
        <v>0</v>
      </c>
      <c r="M94" s="279">
        <f>COUNTIFS('Annex 7.3 Review_Reports'!$D$23:$D$1005,"CLUP",'Annex 7.3 Review_Reports'!$H$23:$H$1005,M11)</f>
        <v>0</v>
      </c>
      <c r="N94" s="279">
        <f>COUNTIFS('Annex 7.3 Review_Reports'!$D$23:$D$1005,"CLUP",'Annex 7.3 Review_Reports'!$H$23:$H$1005,N11)</f>
        <v>0</v>
      </c>
      <c r="O94" s="279">
        <f>COUNTIFS('Annex 7.3 Review_Reports'!$D$23:$D$1005,"CLUP",'Annex 7.3 Review_Reports'!$H$23:$H$1005,O11)</f>
        <v>0</v>
      </c>
      <c r="P94" s="279">
        <f>COUNTIFS('Annex 7.3 Review_Reports'!$D$23:$D$1005,"CLUP",'Annex 7.3 Review_Reports'!$H$23:$H$1005,P11)</f>
        <v>0</v>
      </c>
      <c r="Q94" s="279">
        <f>COUNTIFS('Annex 7.3 Review_Reports'!$D$23:$D$1005,"CLUP",'Annex 7.3 Review_Reports'!$H$23:$H$1005,Q11)</f>
        <v>0</v>
      </c>
      <c r="R94" s="357">
        <f t="shared" si="80"/>
        <v>0</v>
      </c>
      <c r="S94" s="357">
        <f t="shared" si="81"/>
        <v>0</v>
      </c>
      <c r="T94" s="357">
        <f t="shared" si="82"/>
        <v>0</v>
      </c>
      <c r="U94" s="357">
        <f t="shared" si="83"/>
        <v>0</v>
      </c>
      <c r="V94" s="278">
        <f t="shared" si="75"/>
        <v>0</v>
      </c>
      <c r="W94" s="432" t="s">
        <v>1512</v>
      </c>
      <c r="X94" s="271" t="s">
        <v>1617</v>
      </c>
    </row>
    <row r="95" spans="1:24" s="345" customFormat="1" ht="14.4" x14ac:dyDescent="0.3">
      <c r="A95" s="302"/>
      <c r="B95" s="323"/>
      <c r="C95" s="573" t="s">
        <v>1618</v>
      </c>
      <c r="D95" s="574"/>
      <c r="E95" s="151" t="s">
        <v>1619</v>
      </c>
      <c r="F95" s="279">
        <f>COUNTIFS('Annex 7.4 Review_Sessions'!$D$23:$D$1006,"CLUP",'Annex 7.4 Review_Sessions'!$H$23:$H$1006,F11)</f>
        <v>0</v>
      </c>
      <c r="G95" s="279">
        <f>COUNTIFS('Annex 7.4 Review_Sessions'!$D$23:$D$1006,"CLUP",'Annex 7.4 Review_Sessions'!$H$23:$H$1006,G11)</f>
        <v>0</v>
      </c>
      <c r="H95" s="279">
        <f>COUNTIFS('Annex 7.4 Review_Sessions'!$D$23:$D$1006,"CLUP",'Annex 7.4 Review_Sessions'!$H$23:$H$1006,H11)</f>
        <v>0</v>
      </c>
      <c r="I95" s="279">
        <f>COUNTIFS('Annex 7.4 Review_Sessions'!$D$23:$D$1006,"CLUP",'Annex 7.4 Review_Sessions'!$H$23:$H$1006,I11)</f>
        <v>0</v>
      </c>
      <c r="J95" s="279">
        <f>COUNTIFS('Annex 7.4 Review_Sessions'!$D$23:$D$1006,"CLUP",'Annex 7.4 Review_Sessions'!$H$23:$H$1006,J11)</f>
        <v>0</v>
      </c>
      <c r="K95" s="279">
        <f>COUNTIFS('Annex 7.4 Review_Sessions'!$D$23:$D$1006,"CLUP",'Annex 7.4 Review_Sessions'!$H$23:$H$1006,K11)</f>
        <v>0</v>
      </c>
      <c r="L95" s="279">
        <f>COUNTIFS('Annex 7.4 Review_Sessions'!$D$23:$D$1006,"CLUP",'Annex 7.4 Review_Sessions'!$H$23:$H$1006,L11)</f>
        <v>0</v>
      </c>
      <c r="M95" s="279">
        <f>COUNTIFS('Annex 7.4 Review_Sessions'!$D$23:$D$1006,"CLUP",'Annex 7.4 Review_Sessions'!$H$23:$H$1006,M11)</f>
        <v>0</v>
      </c>
      <c r="N95" s="279">
        <f>COUNTIFS('Annex 7.4 Review_Sessions'!$D$23:$D$1006,"CLUP",'Annex 7.4 Review_Sessions'!$H$23:$H$1006,N11)</f>
        <v>0</v>
      </c>
      <c r="O95" s="279">
        <f>COUNTIFS('Annex 7.4 Review_Sessions'!$D$23:$D$1006,"CLUP",'Annex 7.4 Review_Sessions'!$H$23:$H$1006,O11)</f>
        <v>0</v>
      </c>
      <c r="P95" s="279">
        <f>COUNTIFS('Annex 7.4 Review_Sessions'!$D$23:$D$1006,"CLUP",'Annex 7.4 Review_Sessions'!$H$23:$H$1006,P11)</f>
        <v>0</v>
      </c>
      <c r="Q95" s="279">
        <f>COUNTIFS('Annex 7.4 Review_Sessions'!$D$23:$D$1006,"CLUP",'Annex 7.4 Review_Sessions'!$H$23:$H$1006,Q11)</f>
        <v>0</v>
      </c>
      <c r="R95" s="357">
        <f t="shared" ref="R95" si="84">SUM(F95:H95)</f>
        <v>0</v>
      </c>
      <c r="S95" s="357">
        <f t="shared" ref="S95" si="85">SUM(I95:K95)</f>
        <v>0</v>
      </c>
      <c r="T95" s="357">
        <f t="shared" ref="T95" si="86">SUM(L95:N95)</f>
        <v>0</v>
      </c>
      <c r="U95" s="357">
        <f t="shared" ref="U95" si="87">SUM(O95:Q95)</f>
        <v>0</v>
      </c>
      <c r="V95" s="278">
        <f t="shared" si="75"/>
        <v>0</v>
      </c>
      <c r="W95" s="432" t="s">
        <v>1512</v>
      </c>
      <c r="X95" s="271" t="s">
        <v>1620</v>
      </c>
    </row>
    <row r="96" spans="1:24" s="345" customFormat="1" x14ac:dyDescent="0.25">
      <c r="A96" s="302"/>
      <c r="B96" s="322">
        <v>18</v>
      </c>
      <c r="C96" s="304" t="s">
        <v>1621</v>
      </c>
      <c r="D96" s="305"/>
      <c r="E96" s="231"/>
      <c r="F96" s="279"/>
      <c r="G96" s="279"/>
      <c r="H96" s="279"/>
      <c r="I96" s="279"/>
      <c r="J96" s="279"/>
      <c r="K96" s="279"/>
      <c r="L96" s="279"/>
      <c r="M96" s="279"/>
      <c r="N96" s="279"/>
      <c r="O96" s="279"/>
      <c r="P96" s="279"/>
      <c r="Q96" s="279"/>
      <c r="R96" s="279"/>
      <c r="S96" s="279"/>
      <c r="T96" s="279"/>
      <c r="U96" s="279"/>
      <c r="V96" s="285"/>
      <c r="W96" s="432" t="s">
        <v>1512</v>
      </c>
      <c r="X96" s="269"/>
    </row>
    <row r="97" spans="1:33" s="345" customFormat="1" ht="14.4" x14ac:dyDescent="0.3">
      <c r="A97" s="302"/>
      <c r="B97" s="322"/>
      <c r="C97" s="307" t="s">
        <v>1622</v>
      </c>
      <c r="D97" s="324"/>
      <c r="E97" s="229">
        <v>1</v>
      </c>
      <c r="F97" s="288">
        <f>COUNTIFS('Annex 7.2 Review_CLUP-PDPFP'!$J$23:$J$1005,"1st",'Annex 7.2 Review_CLUP-PDPFP'!$D$23:$D$1005,"PDPFP",'Annex 7.2 Review_CLUP-PDPFP'!$H$23:$H$1005,F11)</f>
        <v>0</v>
      </c>
      <c r="G97" s="288">
        <f>COUNTIFS('Annex 7.2 Review_CLUP-PDPFP'!$J$23:$J$1005,"1st",'Annex 7.2 Review_CLUP-PDPFP'!$D$23:$D$1005,"PDPFP",'Annex 7.2 Review_CLUP-PDPFP'!$H$23:$H$1005,G11)</f>
        <v>0</v>
      </c>
      <c r="H97" s="288">
        <f>COUNTIFS('Annex 7.2 Review_CLUP-PDPFP'!$J$23:$J$1005,"1st",'Annex 7.2 Review_CLUP-PDPFP'!$D$23:$D$1005,"PDPFP",'Annex 7.2 Review_CLUP-PDPFP'!$H$23:$H$1005,H11)</f>
        <v>0</v>
      </c>
      <c r="I97" s="288">
        <f>COUNTIFS('Annex 7.2 Review_CLUP-PDPFP'!$J$23:$J$1005,"1st",'Annex 7.2 Review_CLUP-PDPFP'!$D$23:$D$1005,"PDPFP",'Annex 7.2 Review_CLUP-PDPFP'!$H$23:$H$1005,I11)</f>
        <v>0</v>
      </c>
      <c r="J97" s="288">
        <f>COUNTIFS('Annex 7.2 Review_CLUP-PDPFP'!$J$23:$J$1005,"1st",'Annex 7.2 Review_CLUP-PDPFP'!$D$23:$D$1005,"PDPFP",'Annex 7.2 Review_CLUP-PDPFP'!$H$23:$H$1005,J11)</f>
        <v>0</v>
      </c>
      <c r="K97" s="288">
        <f>COUNTIFS('Annex 7.2 Review_CLUP-PDPFP'!$J$23:$J$1005,"1st",'Annex 7.2 Review_CLUP-PDPFP'!$D$23:$D$1005,"PDPFP",'Annex 7.2 Review_CLUP-PDPFP'!$H$23:$H$1005,K11)</f>
        <v>0</v>
      </c>
      <c r="L97" s="288">
        <f>COUNTIFS('Annex 7.2 Review_CLUP-PDPFP'!$J$23:$J$1005,"1st",'Annex 7.2 Review_CLUP-PDPFP'!$D$23:$D$1005,"PDPFP",'Annex 7.2 Review_CLUP-PDPFP'!$H$23:$H$1005,L11)</f>
        <v>0</v>
      </c>
      <c r="M97" s="288">
        <f>COUNTIFS('Annex 7.2 Review_CLUP-PDPFP'!$J$23:$J$1005,"1st",'Annex 7.2 Review_CLUP-PDPFP'!$D$23:$D$1005,"PDPFP",'Annex 7.2 Review_CLUP-PDPFP'!$H$23:$H$1005,M11)</f>
        <v>0</v>
      </c>
      <c r="N97" s="288">
        <f>COUNTIFS('Annex 7.2 Review_CLUP-PDPFP'!$J$23:$J$1005,"1st",'Annex 7.2 Review_CLUP-PDPFP'!$D$23:$D$1005,"PDPFP",'Annex 7.2 Review_CLUP-PDPFP'!$H$23:$H$1005,N11)</f>
        <v>0</v>
      </c>
      <c r="O97" s="288">
        <f>COUNTIFS('Annex 7.2 Review_CLUP-PDPFP'!$J$23:$J$1005,"1st",'Annex 7.2 Review_CLUP-PDPFP'!$D$23:$D$1005,"PDPFP",'Annex 7.2 Review_CLUP-PDPFP'!$H$23:$H$1005,O11)</f>
        <v>0</v>
      </c>
      <c r="P97" s="288">
        <f>COUNTIFS('Annex 7.2 Review_CLUP-PDPFP'!$J$23:$J$1005,"1st",'Annex 7.2 Review_CLUP-PDPFP'!$D$23:$D$1005,"PDPFP",'Annex 7.2 Review_CLUP-PDPFP'!$H$23:$H$1005,P11)</f>
        <v>0</v>
      </c>
      <c r="Q97" s="288">
        <f>COUNTIFS('Annex 7.2 Review_CLUP-PDPFP'!$J$23:$J$1005,"1st",'Annex 7.2 Review_CLUP-PDPFP'!$D$23:$D$1005,"PDPFP",'Annex 7.2 Review_CLUP-PDPFP'!$H$23:$H$1005,Q11)</f>
        <v>0</v>
      </c>
      <c r="R97" s="357">
        <f t="shared" ref="R97:R99" si="88">SUM(F97:H97)</f>
        <v>0</v>
      </c>
      <c r="S97" s="357">
        <f t="shared" ref="S97:S99" si="89">SUM(I97:K97)</f>
        <v>0</v>
      </c>
      <c r="T97" s="357">
        <f t="shared" ref="T97:T99" si="90">SUM(L97:N97)</f>
        <v>0</v>
      </c>
      <c r="U97" s="357">
        <f t="shared" ref="U97:U99" si="91">SUM(O97:Q97)</f>
        <v>0</v>
      </c>
      <c r="V97" s="278">
        <f t="shared" si="75"/>
        <v>0</v>
      </c>
      <c r="W97" s="432" t="s">
        <v>1512</v>
      </c>
      <c r="X97" s="271" t="s">
        <v>1615</v>
      </c>
    </row>
    <row r="98" spans="1:33" s="346" customFormat="1" ht="14.4" x14ac:dyDescent="0.3">
      <c r="A98" s="310"/>
      <c r="B98" s="321"/>
      <c r="C98" s="295" t="s">
        <v>1623</v>
      </c>
      <c r="D98" s="325"/>
      <c r="E98" s="221">
        <v>1</v>
      </c>
      <c r="F98" s="279">
        <f>COUNTIFS('Annex 7.3 Review_Reports'!$D$23:$D$1005,"PDPFP",'Annex 7.3 Review_Reports'!$H$23:$H$1005,F11)</f>
        <v>0</v>
      </c>
      <c r="G98" s="279">
        <f>COUNTIFS('Annex 7.3 Review_Reports'!$D$23:$D$1005,"PDPFP",'Annex 7.3 Review_Reports'!$H$23:$H$1005,G11)</f>
        <v>0</v>
      </c>
      <c r="H98" s="279">
        <f>COUNTIFS('Annex 7.3 Review_Reports'!$D$23:$D$1005,"PDPFP",'Annex 7.3 Review_Reports'!$H$23:$H$1005,H11)</f>
        <v>0</v>
      </c>
      <c r="I98" s="279">
        <f>COUNTIFS('Annex 7.3 Review_Reports'!$D$23:$D$1005,"PDPFP",'Annex 7.3 Review_Reports'!$H$23:$H$1005,I11)</f>
        <v>0</v>
      </c>
      <c r="J98" s="279">
        <f>COUNTIFS('Annex 7.3 Review_Reports'!$D$23:$D$1005,"PDPFP",'Annex 7.3 Review_Reports'!$H$23:$H$1005,J11)</f>
        <v>0</v>
      </c>
      <c r="K98" s="279">
        <f>COUNTIFS('Annex 7.3 Review_Reports'!$D$23:$D$1005,"PDPFP",'Annex 7.3 Review_Reports'!$H$23:$H$1005,K11)</f>
        <v>0</v>
      </c>
      <c r="L98" s="279">
        <f>COUNTIFS('Annex 7.3 Review_Reports'!$D$23:$D$1005,"PDPFP",'Annex 7.3 Review_Reports'!$H$23:$H$1005,L11)</f>
        <v>0</v>
      </c>
      <c r="M98" s="279">
        <f>COUNTIFS('Annex 7.3 Review_Reports'!$D$23:$D$1005,"PDPFP",'Annex 7.3 Review_Reports'!$H$23:$H$1005,M11)</f>
        <v>0</v>
      </c>
      <c r="N98" s="279">
        <f>COUNTIFS('Annex 7.3 Review_Reports'!$D$23:$D$1005,"PDPFP",'Annex 7.3 Review_Reports'!$H$23:$H$1005,N11)</f>
        <v>0</v>
      </c>
      <c r="O98" s="279">
        <f>COUNTIFS('Annex 7.3 Review_Reports'!$D$23:$D$1005,"PDPFP",'Annex 7.3 Review_Reports'!$H$23:$H$1005,O11)</f>
        <v>0</v>
      </c>
      <c r="P98" s="279">
        <f>COUNTIFS('Annex 7.3 Review_Reports'!$D$23:$D$1005,"PDPFP",'Annex 7.3 Review_Reports'!$H$23:$H$1005,P11)</f>
        <v>0</v>
      </c>
      <c r="Q98" s="279">
        <f>COUNTIFS('Annex 7.3 Review_Reports'!$D$23:$D$1005,"PDPFP",'Annex 7.3 Review_Reports'!$H$23:$H$1005,Q11)</f>
        <v>0</v>
      </c>
      <c r="R98" s="357">
        <f t="shared" si="88"/>
        <v>0</v>
      </c>
      <c r="S98" s="357">
        <f t="shared" si="89"/>
        <v>0</v>
      </c>
      <c r="T98" s="357">
        <f t="shared" si="90"/>
        <v>0</v>
      </c>
      <c r="U98" s="357">
        <f t="shared" si="91"/>
        <v>0</v>
      </c>
      <c r="V98" s="278">
        <f t="shared" si="75"/>
        <v>0</v>
      </c>
      <c r="W98" s="432" t="s">
        <v>1512</v>
      </c>
      <c r="X98" s="271" t="s">
        <v>1617</v>
      </c>
    </row>
    <row r="99" spans="1:33" s="346" customFormat="1" ht="14.4" x14ac:dyDescent="0.3">
      <c r="A99" s="310"/>
      <c r="B99" s="295"/>
      <c r="C99" s="573" t="s">
        <v>1624</v>
      </c>
      <c r="D99" s="574"/>
      <c r="E99" s="151">
        <v>1</v>
      </c>
      <c r="F99" s="279">
        <f>COUNTIFS('Annex 7.4 Review_Sessions'!$D$23:$D$1006,"PDPFP",'Annex 7.4 Review_Sessions'!$H$23:$H$1006,F11)</f>
        <v>0</v>
      </c>
      <c r="G99" s="279">
        <f>COUNTIFS('Annex 7.4 Review_Sessions'!$D$23:$D$1006,"PDPFP",'Annex 7.4 Review_Sessions'!$H$23:$H$1006,G11)</f>
        <v>0</v>
      </c>
      <c r="H99" s="279">
        <f>COUNTIFS('Annex 7.4 Review_Sessions'!$D$23:$D$1006,"PDPFP",'Annex 7.4 Review_Sessions'!$H$23:$H$1006,H11)</f>
        <v>0</v>
      </c>
      <c r="I99" s="279">
        <f>COUNTIFS('Annex 7.4 Review_Sessions'!$D$23:$D$1006,"PDPFP",'Annex 7.4 Review_Sessions'!$H$23:$H$1006,I11)</f>
        <v>0</v>
      </c>
      <c r="J99" s="279">
        <f>COUNTIFS('Annex 7.4 Review_Sessions'!$D$23:$D$1006,"PDPFP",'Annex 7.4 Review_Sessions'!$H$23:$H$1006,J11)</f>
        <v>0</v>
      </c>
      <c r="K99" s="279">
        <f>COUNTIFS('Annex 7.4 Review_Sessions'!$D$23:$D$1006,"PDPFP",'Annex 7.4 Review_Sessions'!$H$23:$H$1006,K11)</f>
        <v>0</v>
      </c>
      <c r="L99" s="279">
        <f>COUNTIFS('Annex 7.4 Review_Sessions'!$D$23:$D$1006,"PDPFP",'Annex 7.4 Review_Sessions'!$H$23:$H$1006,L11)</f>
        <v>0</v>
      </c>
      <c r="M99" s="279">
        <f>COUNTIFS('Annex 7.4 Review_Sessions'!$D$23:$D$1006,"PDPFP",'Annex 7.4 Review_Sessions'!$H$23:$H$1006,M11)</f>
        <v>0</v>
      </c>
      <c r="N99" s="279">
        <f>COUNTIFS('Annex 7.4 Review_Sessions'!$D$23:$D$1006,"PDPFP",'Annex 7.4 Review_Sessions'!$H$23:$H$1006,N11)</f>
        <v>0</v>
      </c>
      <c r="O99" s="279">
        <f>COUNTIFS('Annex 7.4 Review_Sessions'!$D$23:$D$1006,"PDPFP",'Annex 7.4 Review_Sessions'!$H$23:$H$1006,O11)</f>
        <v>0</v>
      </c>
      <c r="P99" s="279">
        <f>COUNTIFS('Annex 7.4 Review_Sessions'!$D$23:$D$1006,"PDPFP",'Annex 7.4 Review_Sessions'!$H$23:$H$1006,P11)</f>
        <v>0</v>
      </c>
      <c r="Q99" s="279">
        <f>COUNTIFS('Annex 7.4 Review_Sessions'!$D$23:$D$1006,"PDPFP",'Annex 7.4 Review_Sessions'!$H$23:$H$1006,Q11)</f>
        <v>0</v>
      </c>
      <c r="R99" s="357">
        <f t="shared" si="88"/>
        <v>0</v>
      </c>
      <c r="S99" s="357">
        <f t="shared" si="89"/>
        <v>0</v>
      </c>
      <c r="T99" s="357">
        <f t="shared" si="90"/>
        <v>0</v>
      </c>
      <c r="U99" s="357">
        <f t="shared" si="91"/>
        <v>0</v>
      </c>
      <c r="V99" s="278">
        <f t="shared" si="75"/>
        <v>0</v>
      </c>
      <c r="W99" s="432" t="s">
        <v>1512</v>
      </c>
      <c r="X99" s="271" t="s">
        <v>1620</v>
      </c>
    </row>
    <row r="100" spans="1:33" s="345" customFormat="1" x14ac:dyDescent="0.25">
      <c r="A100" s="298"/>
      <c r="B100" s="575" t="s">
        <v>1625</v>
      </c>
      <c r="C100" s="575"/>
      <c r="D100" s="576"/>
      <c r="E100" s="232"/>
      <c r="F100" s="286"/>
      <c r="G100" s="286"/>
      <c r="H100" s="286"/>
      <c r="I100" s="286"/>
      <c r="J100" s="286"/>
      <c r="K100" s="286"/>
      <c r="L100" s="286"/>
      <c r="M100" s="286"/>
      <c r="N100" s="286"/>
      <c r="O100" s="286"/>
      <c r="P100" s="286"/>
      <c r="Q100" s="286"/>
      <c r="R100" s="286"/>
      <c r="S100" s="286"/>
      <c r="T100" s="286"/>
      <c r="U100" s="286"/>
      <c r="V100" s="289"/>
      <c r="W100" s="434" t="s">
        <v>1512</v>
      </c>
      <c r="X100" s="359"/>
    </row>
    <row r="101" spans="1:33" s="345" customFormat="1" x14ac:dyDescent="0.25">
      <c r="A101" s="302"/>
      <c r="B101" s="303">
        <v>19</v>
      </c>
      <c r="C101" s="304" t="s">
        <v>1626</v>
      </c>
      <c r="D101" s="305"/>
      <c r="E101" s="225"/>
      <c r="F101" s="279"/>
      <c r="G101" s="279"/>
      <c r="H101" s="279"/>
      <c r="I101" s="279"/>
      <c r="J101" s="279"/>
      <c r="K101" s="279"/>
      <c r="L101" s="279"/>
      <c r="M101" s="279"/>
      <c r="N101" s="279"/>
      <c r="O101" s="279"/>
      <c r="P101" s="279"/>
      <c r="Q101" s="279"/>
      <c r="R101" s="279"/>
      <c r="S101" s="279"/>
      <c r="T101" s="279"/>
      <c r="U101" s="279"/>
      <c r="V101" s="285"/>
      <c r="W101" s="432" t="s">
        <v>1512</v>
      </c>
      <c r="X101" s="269"/>
    </row>
    <row r="102" spans="1:33" s="345" customFormat="1" ht="14.4" x14ac:dyDescent="0.3">
      <c r="A102" s="302"/>
      <c r="B102" s="306"/>
      <c r="C102" s="307" t="s">
        <v>1627</v>
      </c>
      <c r="D102" s="308"/>
      <c r="E102" s="151">
        <v>46</v>
      </c>
      <c r="F102" s="279">
        <f>COUNTIFS('Annex 8 Plan Monitoring'!$J$21:$J$90,"1st",'Annex 8 Plan Monitoring'!$H$21:$H$90,F11)</f>
        <v>0</v>
      </c>
      <c r="G102" s="279">
        <f>COUNTIFS('Annex 8 Plan Monitoring'!$J$21:$J$90,"1st",'Annex 8 Plan Monitoring'!$H$21:$H$90,G11)</f>
        <v>0</v>
      </c>
      <c r="H102" s="279">
        <f>COUNTIFS('Annex 8 Plan Monitoring'!$J$21:$J$90,"1st",'Annex 8 Plan Monitoring'!$H$21:$H$90,H11)</f>
        <v>0</v>
      </c>
      <c r="I102" s="279">
        <f>COUNTIFS('Annex 8 Plan Monitoring'!$J$21:$J$90,"1st",'Annex 8 Plan Monitoring'!$H$21:$H$90,I11)</f>
        <v>0</v>
      </c>
      <c r="J102" s="279">
        <f>COUNTIFS('Annex 8 Plan Monitoring'!$J$21:$J$90,"1st",'Annex 8 Plan Monitoring'!$H$21:$H$90,J11)</f>
        <v>0</v>
      </c>
      <c r="K102" s="279">
        <f>COUNTIFS('Annex 8 Plan Monitoring'!$J$21:$J$90,"1st",'Annex 8 Plan Monitoring'!$H$21:$H$90,K11)</f>
        <v>0</v>
      </c>
      <c r="L102" s="279">
        <f>COUNTIFS('Annex 8 Plan Monitoring'!$J$21:$J$90,"1st",'Annex 8 Plan Monitoring'!$H$21:$H$90,L11)</f>
        <v>0</v>
      </c>
      <c r="M102" s="279">
        <f>COUNTIFS('Annex 8 Plan Monitoring'!$J$21:$J$90,"1st",'Annex 8 Plan Monitoring'!$H$21:$H$90,M11)</f>
        <v>0</v>
      </c>
      <c r="N102" s="279">
        <f>COUNTIFS('Annex 8 Plan Monitoring'!$J$21:$J$90,"1st",'Annex 8 Plan Monitoring'!$H$21:$H$90,N11)</f>
        <v>0</v>
      </c>
      <c r="O102" s="279">
        <f>COUNTIFS('Annex 8 Plan Monitoring'!$J$21:$J$90,"1st",'Annex 8 Plan Monitoring'!$H$21:$H$90,O11)</f>
        <v>0</v>
      </c>
      <c r="P102" s="279">
        <f>COUNTIFS('Annex 8 Plan Monitoring'!$J$21:$J$90,"1st",'Annex 8 Plan Monitoring'!$H$21:$H$90,P11)</f>
        <v>0</v>
      </c>
      <c r="Q102" s="279">
        <f>COUNTIFS('Annex 8 Plan Monitoring'!$J$21:$J$90,"1st",'Annex 8 Plan Monitoring'!$H$21:$H$90,Q11)</f>
        <v>0</v>
      </c>
      <c r="R102" s="357">
        <f t="shared" ref="R102:R105" si="92">SUM(F102:H102)</f>
        <v>0</v>
      </c>
      <c r="S102" s="357">
        <f t="shared" ref="S102:S105" si="93">SUM(I102:K102)</f>
        <v>0</v>
      </c>
      <c r="T102" s="357">
        <f t="shared" ref="T102:T105" si="94">SUM(L102:N102)</f>
        <v>0</v>
      </c>
      <c r="U102" s="357">
        <f t="shared" ref="U102:U105" si="95">SUM(O102:Q102)</f>
        <v>0</v>
      </c>
      <c r="V102" s="278">
        <f t="shared" ref="V102:V123" si="96">SUM(F102:Q102)</f>
        <v>0</v>
      </c>
      <c r="W102" s="432" t="s">
        <v>1512</v>
      </c>
      <c r="X102" s="271" t="s">
        <v>1628</v>
      </c>
    </row>
    <row r="103" spans="1:33" s="345" customFormat="1" x14ac:dyDescent="0.25">
      <c r="A103" s="302"/>
      <c r="B103" s="306"/>
      <c r="C103" s="307"/>
      <c r="D103" s="317" t="s">
        <v>1629</v>
      </c>
      <c r="E103" s="225"/>
      <c r="F103" s="279">
        <f>COUNTIFS('Annex 8 Plan Monitoring'!$D$21:$D$90,"Table",'Annex 8 Plan Monitoring'!$H$21:$H$90,F11)</f>
        <v>14</v>
      </c>
      <c r="G103" s="279">
        <f>COUNTIFS('Annex 8 Plan Monitoring'!$D$21:$D$90,"Table",'Annex 8 Plan Monitoring'!$H$21:$H$90,G11)</f>
        <v>16</v>
      </c>
      <c r="H103" s="279">
        <f>COUNTIFS('Annex 8 Plan Monitoring'!$D$21:$D$90,"Table",'Annex 8 Plan Monitoring'!$H$21:$H$90,H11)</f>
        <v>0</v>
      </c>
      <c r="I103" s="279">
        <f>COUNTIFS('Annex 8 Plan Monitoring'!$D$21:$D$90,"Table",'Annex 8 Plan Monitoring'!$H$21:$H$90,I11)</f>
        <v>0</v>
      </c>
      <c r="J103" s="279">
        <f>COUNTIFS('Annex 8 Plan Monitoring'!$D$21:$D$90,"Table",'Annex 8 Plan Monitoring'!$H$21:$H$90,J11)</f>
        <v>0</v>
      </c>
      <c r="K103" s="279">
        <f>COUNTIFS('Annex 8 Plan Monitoring'!$D$21:$D$90,"Table",'Annex 8 Plan Monitoring'!$H$21:$H$90,K11)</f>
        <v>0</v>
      </c>
      <c r="L103" s="279">
        <f>COUNTIFS('Annex 8 Plan Monitoring'!$D$21:$D$90,"Table",'Annex 8 Plan Monitoring'!$H$21:$H$90,L11)</f>
        <v>0</v>
      </c>
      <c r="M103" s="279">
        <f>COUNTIFS('Annex 8 Plan Monitoring'!$D$21:$D$90,"Table",'Annex 8 Plan Monitoring'!$H$21:$H$90,M11)</f>
        <v>0</v>
      </c>
      <c r="N103" s="279">
        <f>COUNTIFS('Annex 8 Plan Monitoring'!$D$21:$D$90,"Table",'Annex 8 Plan Monitoring'!$H$21:$H$90,N11)</f>
        <v>0</v>
      </c>
      <c r="O103" s="279">
        <f>COUNTIFS('Annex 8 Plan Monitoring'!$D$21:$D$90,"Table",'Annex 8 Plan Monitoring'!$H$21:$H$90,O11)</f>
        <v>0</v>
      </c>
      <c r="P103" s="279">
        <f>COUNTIFS('Annex 8 Plan Monitoring'!$D$21:$D$90,"Table",'Annex 8 Plan Monitoring'!$H$21:$H$90,P11)</f>
        <v>0</v>
      </c>
      <c r="Q103" s="279">
        <f>COUNTIFS('Annex 8 Plan Monitoring'!$D$21:$D$90,"Table",'Annex 8 Plan Monitoring'!$H$21:$H$90,Q11)</f>
        <v>0</v>
      </c>
      <c r="R103" s="357">
        <f t="shared" si="92"/>
        <v>30</v>
      </c>
      <c r="S103" s="357">
        <f t="shared" si="93"/>
        <v>0</v>
      </c>
      <c r="T103" s="357">
        <f t="shared" si="94"/>
        <v>0</v>
      </c>
      <c r="U103" s="357">
        <f t="shared" si="95"/>
        <v>0</v>
      </c>
      <c r="V103" s="278">
        <f t="shared" si="96"/>
        <v>30</v>
      </c>
      <c r="W103" s="432" t="s">
        <v>1512</v>
      </c>
      <c r="X103" s="269"/>
    </row>
    <row r="104" spans="1:33" s="345" customFormat="1" x14ac:dyDescent="0.25">
      <c r="A104" s="302"/>
      <c r="B104" s="306"/>
      <c r="C104" s="307"/>
      <c r="D104" s="317" t="s">
        <v>1630</v>
      </c>
      <c r="E104" s="225"/>
      <c r="F104" s="279">
        <f>COUNTIFS('Annex 8 Plan Monitoring'!$D$21:$D$90,"Field",'Annex 8 Plan Monitoring'!$H$21:$H$90,F11)</f>
        <v>2</v>
      </c>
      <c r="G104" s="279">
        <f>COUNTIFS('Annex 8 Plan Monitoring'!$D$21:$D$90,"Field",'Annex 8 Plan Monitoring'!$H$21:$H$90,G11)</f>
        <v>7</v>
      </c>
      <c r="H104" s="279">
        <f>COUNTIFS('Annex 8 Plan Monitoring'!$D$21:$D$90,"Field",'Annex 8 Plan Monitoring'!$H$21:$H$90,H11)</f>
        <v>0</v>
      </c>
      <c r="I104" s="279">
        <f>COUNTIFS('Annex 8 Plan Monitoring'!$D$21:$D$90,"Field",'Annex 8 Plan Monitoring'!$H$21:$H$90,I11)</f>
        <v>0</v>
      </c>
      <c r="J104" s="279">
        <f>COUNTIFS('Annex 8 Plan Monitoring'!$D$21:$D$90,"Field",'Annex 8 Plan Monitoring'!$H$21:$H$90,J11)</f>
        <v>0</v>
      </c>
      <c r="K104" s="279">
        <f>COUNTIFS('Annex 8 Plan Monitoring'!$D$21:$D$90,"Field",'Annex 8 Plan Monitoring'!$H$21:$H$90,K11)</f>
        <v>0</v>
      </c>
      <c r="L104" s="279">
        <f>COUNTIFS('Annex 8 Plan Monitoring'!$D$21:$D$90,"Field",'Annex 8 Plan Monitoring'!$H$21:$H$90,L11)</f>
        <v>0</v>
      </c>
      <c r="M104" s="279">
        <f>COUNTIFS('Annex 8 Plan Monitoring'!$D$21:$D$90,"Field",'Annex 8 Plan Monitoring'!$H$21:$H$90,M11)</f>
        <v>0</v>
      </c>
      <c r="N104" s="279">
        <f>COUNTIFS('Annex 8 Plan Monitoring'!$D$21:$D$90,"Field",'Annex 8 Plan Monitoring'!$H$21:$H$90,N11)</f>
        <v>0</v>
      </c>
      <c r="O104" s="279">
        <f>COUNTIFS('Annex 8 Plan Monitoring'!$D$21:$D$90,"Field",'Annex 8 Plan Monitoring'!$H$21:$H$90,O11)</f>
        <v>0</v>
      </c>
      <c r="P104" s="279">
        <f>COUNTIFS('Annex 8 Plan Monitoring'!$D$21:$D$90,"Field",'Annex 8 Plan Monitoring'!$H$21:$H$90,P11)</f>
        <v>0</v>
      </c>
      <c r="Q104" s="279">
        <f>COUNTIFS('Annex 8 Plan Monitoring'!$D$21:$D$90,"Field",'Annex 8 Plan Monitoring'!$H$21:$H$90,Q11)</f>
        <v>0</v>
      </c>
      <c r="R104" s="357">
        <f t="shared" si="92"/>
        <v>9</v>
      </c>
      <c r="S104" s="357">
        <f t="shared" si="93"/>
        <v>0</v>
      </c>
      <c r="T104" s="357">
        <f t="shared" si="94"/>
        <v>0</v>
      </c>
      <c r="U104" s="357">
        <f t="shared" si="95"/>
        <v>0</v>
      </c>
      <c r="V104" s="278">
        <f t="shared" si="96"/>
        <v>9</v>
      </c>
      <c r="W104" s="432" t="s">
        <v>1512</v>
      </c>
      <c r="X104" s="269"/>
    </row>
    <row r="105" spans="1:33" s="345" customFormat="1" x14ac:dyDescent="0.25">
      <c r="A105" s="302"/>
      <c r="B105" s="306"/>
      <c r="C105" s="316" t="s">
        <v>1631</v>
      </c>
      <c r="D105" s="317"/>
      <c r="E105" s="151">
        <v>10</v>
      </c>
      <c r="F105" s="279">
        <f>SUMIFS('Annex 8 Plan Monitoring'!$K$21:$K$90,'Annex 8 Plan Monitoring'!$H$21:$H$90,F11)</f>
        <v>0</v>
      </c>
      <c r="G105" s="279">
        <f>SUMIFS('Annex 8 Plan Monitoring'!$K$21:$K$90,'Annex 8 Plan Monitoring'!$H$21:$H$90,G11)</f>
        <v>2</v>
      </c>
      <c r="H105" s="279">
        <f>SUMIFS('Annex 8 Plan Monitoring'!$K$21:$K$90,'Annex 8 Plan Monitoring'!$H$21:$H$90,H11)</f>
        <v>0</v>
      </c>
      <c r="I105" s="279">
        <f>SUMIFS('Annex 8 Plan Monitoring'!$K$21:$K$90,'Annex 8 Plan Monitoring'!$H$21:$H$90,I11)</f>
        <v>0</v>
      </c>
      <c r="J105" s="279">
        <f>SUMIFS('Annex 8 Plan Monitoring'!$K$21:$K$90,'Annex 8 Plan Monitoring'!$H$21:$H$90,J11)</f>
        <v>0</v>
      </c>
      <c r="K105" s="279">
        <f>SUMIFS('Annex 8 Plan Monitoring'!$K$21:$K$90,'Annex 8 Plan Monitoring'!$H$21:$H$90,K11)</f>
        <v>0</v>
      </c>
      <c r="L105" s="279">
        <f>SUMIFS('Annex 8 Plan Monitoring'!$K$21:$K$90,'Annex 8 Plan Monitoring'!$H$21:$H$90,L11)</f>
        <v>0</v>
      </c>
      <c r="M105" s="279">
        <f>SUMIFS('Annex 8 Plan Monitoring'!$K$21:$K$90,'Annex 8 Plan Monitoring'!$H$21:$H$90,M11)</f>
        <v>0</v>
      </c>
      <c r="N105" s="279">
        <f>SUMIFS('Annex 8 Plan Monitoring'!$K$21:$K$90,'Annex 8 Plan Monitoring'!$H$21:$H$90,N11)</f>
        <v>0</v>
      </c>
      <c r="O105" s="279">
        <f>SUMIFS('Annex 8 Plan Monitoring'!$K$21:$K$90,'Annex 8 Plan Monitoring'!$H$21:$H$90,O11)</f>
        <v>0</v>
      </c>
      <c r="P105" s="279">
        <f>SUMIFS('Annex 8 Plan Monitoring'!$K$21:$K$90,'Annex 8 Plan Monitoring'!$H$21:$H$90,P11)</f>
        <v>0</v>
      </c>
      <c r="Q105" s="279">
        <f>SUMIFS('Annex 8 Plan Monitoring'!$K$21:$K$90,'Annex 8 Plan Monitoring'!$H$21:$H$90,Q11)</f>
        <v>0</v>
      </c>
      <c r="R105" s="357">
        <f t="shared" si="92"/>
        <v>2</v>
      </c>
      <c r="S105" s="357">
        <f t="shared" si="93"/>
        <v>0</v>
      </c>
      <c r="T105" s="357">
        <f t="shared" si="94"/>
        <v>0</v>
      </c>
      <c r="U105" s="357">
        <f t="shared" si="95"/>
        <v>0</v>
      </c>
      <c r="V105" s="278">
        <f t="shared" si="96"/>
        <v>2</v>
      </c>
      <c r="W105" s="432" t="s">
        <v>1512</v>
      </c>
      <c r="X105" s="269"/>
    </row>
    <row r="106" spans="1:33" s="345" customFormat="1" ht="14.4" x14ac:dyDescent="0.3">
      <c r="A106" s="302"/>
      <c r="B106" s="303">
        <v>20</v>
      </c>
      <c r="C106" s="304" t="s">
        <v>1632</v>
      </c>
      <c r="D106" s="305"/>
      <c r="E106" s="225"/>
      <c r="F106" s="279"/>
      <c r="G106" s="279"/>
      <c r="H106" s="279"/>
      <c r="I106" s="279"/>
      <c r="J106" s="279"/>
      <c r="K106" s="279"/>
      <c r="L106" s="279"/>
      <c r="M106" s="279"/>
      <c r="N106" s="279"/>
      <c r="O106" s="279"/>
      <c r="P106" s="279"/>
      <c r="Q106" s="279"/>
      <c r="R106" s="279"/>
      <c r="S106" s="279"/>
      <c r="T106" s="279"/>
      <c r="U106" s="279"/>
      <c r="V106" s="285"/>
      <c r="W106" s="432" t="s">
        <v>1512</v>
      </c>
      <c r="X106" s="271" t="s">
        <v>1633</v>
      </c>
    </row>
    <row r="107" spans="1:33" hidden="1" x14ac:dyDescent="0.25">
      <c r="A107" s="147"/>
      <c r="B107" s="148"/>
      <c r="C107" s="149" t="s">
        <v>1634</v>
      </c>
      <c r="D107" s="150"/>
      <c r="E107" s="153"/>
      <c r="F107" s="154"/>
      <c r="G107" s="154"/>
      <c r="H107" s="154"/>
      <c r="I107" s="154"/>
      <c r="J107" s="154"/>
      <c r="K107" s="154"/>
      <c r="L107" s="154"/>
      <c r="M107" s="154"/>
      <c r="N107" s="154"/>
      <c r="O107" s="154"/>
      <c r="P107" s="154"/>
      <c r="Q107" s="154"/>
      <c r="R107" s="361" cm="1">
        <f t="array" ref="R107">INDEX(F107:H107, 1, MAX(IF((F107:H107&lt;&gt;"")*(F107:H107&lt;&gt;0), COLUMN(F107:H107)-COLUMN(F107)+1)))</f>
        <v>0</v>
      </c>
      <c r="S107" s="361" cm="1">
        <f t="array" ref="S107">INDEX(I107:K107, 1, MAX(IF((I107:K107&lt;&gt;"")*(I107:K107&lt;&gt;0), COLUMN(I107:K107)-COLUMN(I107)+1)))</f>
        <v>0</v>
      </c>
      <c r="T107" s="361" cm="1">
        <f t="array" ref="T107">INDEX(L107:N107, 1, MAX(IF((L107:N107&lt;&gt;"")*(L107:N107&lt;&gt;0), COLUMN(L107:N107)-COLUMN(L107)+1)))</f>
        <v>0</v>
      </c>
      <c r="U107" s="361" cm="1">
        <f t="array" ref="U107">INDEX(O107:Q107, 1, MAX(IF((O107:Q107&lt;&gt;"")*(O107:Q107&lt;&gt;0), COLUMN(O107:Q107)-COLUMN(O107)+1)))</f>
        <v>0</v>
      </c>
      <c r="V107" s="155" cm="1">
        <f t="array" ref="V107">INDEX(F107:Q107, 1, MAX(IF((F107:Q107&lt;&gt;"")*(F107:Q107&lt;&gt;0), COLUMN(F107:Q107)-COLUMN(F107)+1)))</f>
        <v>0</v>
      </c>
      <c r="W107" s="432" t="s">
        <v>1512</v>
      </c>
      <c r="X107" s="269"/>
    </row>
    <row r="108" spans="1:33" hidden="1" x14ac:dyDescent="0.25">
      <c r="A108" s="147"/>
      <c r="B108" s="148"/>
      <c r="C108" s="149" t="s">
        <v>1635</v>
      </c>
      <c r="D108" s="150"/>
      <c r="E108" s="156"/>
      <c r="F108" s="154"/>
      <c r="G108" s="154"/>
      <c r="H108" s="154"/>
      <c r="I108" s="154"/>
      <c r="J108" s="154"/>
      <c r="K108" s="154"/>
      <c r="L108" s="154"/>
      <c r="M108" s="154"/>
      <c r="N108" s="154"/>
      <c r="O108" s="154"/>
      <c r="P108" s="154"/>
      <c r="Q108" s="154"/>
      <c r="R108" s="361" cm="1">
        <f t="array" ref="R108">INDEX(F108:H108, 1, MAX(IF((F108:H108&lt;&gt;"")*(F108:H108&lt;&gt;0), COLUMN(F108:H108)-COLUMN(F108)+1)))</f>
        <v>0</v>
      </c>
      <c r="S108" s="361" cm="1">
        <f t="array" ref="S108">INDEX(I108:K108, 1, MAX(IF((I108:K108&lt;&gt;"")*(I108:K108&lt;&gt;0), COLUMN(I108:K108)-COLUMN(I108)+1)))</f>
        <v>0</v>
      </c>
      <c r="T108" s="361" cm="1">
        <f t="array" ref="T108">INDEX(L108:N108, 1, MAX(IF((L108:N108&lt;&gt;"")*(L108:N108&lt;&gt;0), COLUMN(L108:N108)-COLUMN(L108)+1)))</f>
        <v>0</v>
      </c>
      <c r="U108" s="361" cm="1">
        <f t="array" ref="U108">INDEX(O108:Q108, 1, MAX(IF((O108:Q108&lt;&gt;"")*(O108:Q108&lt;&gt;0), COLUMN(O108:Q108)-COLUMN(O108)+1)))</f>
        <v>0</v>
      </c>
      <c r="V108" s="155" cm="1">
        <f t="array" ref="V108:AG108">INDEX(F108:Q108, 1, MAX(IF((F108:Q108&lt;&gt;"")*(F108:Q108&lt;&gt;0), COLUMN(F108:Q108)-COLUMN(F108)+1)))</f>
        <v>0</v>
      </c>
      <c r="W108" s="432">
        <v>0</v>
      </c>
      <c r="X108" s="269">
        <v>0</v>
      </c>
      <c r="Y108" s="139">
        <v>0</v>
      </c>
      <c r="Z108" s="139">
        <v>0</v>
      </c>
      <c r="AA108" s="139">
        <v>0</v>
      </c>
      <c r="AB108" s="139">
        <v>0</v>
      </c>
      <c r="AC108" s="139">
        <v>0</v>
      </c>
      <c r="AD108" s="139">
        <v>0</v>
      </c>
      <c r="AE108" s="139">
        <v>0</v>
      </c>
      <c r="AF108" s="139">
        <v>0</v>
      </c>
      <c r="AG108" s="139">
        <v>0</v>
      </c>
    </row>
    <row r="109" spans="1:33" hidden="1" x14ac:dyDescent="0.25">
      <c r="A109" s="147"/>
      <c r="B109" s="148"/>
      <c r="C109" s="149" t="s">
        <v>1636</v>
      </c>
      <c r="D109" s="150"/>
      <c r="E109" s="156"/>
      <c r="F109" s="262"/>
      <c r="G109" s="262"/>
      <c r="H109" s="262"/>
      <c r="I109" s="262"/>
      <c r="J109" s="262"/>
      <c r="K109" s="262"/>
      <c r="L109" s="262"/>
      <c r="M109" s="262"/>
      <c r="N109" s="262"/>
      <c r="O109" s="262"/>
      <c r="P109" s="262"/>
      <c r="Q109" s="262"/>
      <c r="R109" s="357">
        <f t="shared" ref="R109:R110" si="97">SUM(F109:H109)</f>
        <v>0</v>
      </c>
      <c r="S109" s="357">
        <f t="shared" ref="S109:S110" si="98">SUM(I109:K109)</f>
        <v>0</v>
      </c>
      <c r="T109" s="357">
        <f t="shared" ref="T109:T110" si="99">SUM(L109:N109)</f>
        <v>0</v>
      </c>
      <c r="U109" s="357">
        <f t="shared" ref="U109:U110" si="100">SUM(O109:Q109)</f>
        <v>0</v>
      </c>
      <c r="V109" s="263">
        <f>SUM(F109:Q109)</f>
        <v>0</v>
      </c>
      <c r="W109" s="432" t="s">
        <v>1512</v>
      </c>
      <c r="X109" s="269"/>
    </row>
    <row r="110" spans="1:33" x14ac:dyDescent="0.25">
      <c r="A110" s="147"/>
      <c r="B110" s="148"/>
      <c r="C110" s="149" t="s">
        <v>1637</v>
      </c>
      <c r="D110" s="150"/>
      <c r="E110" s="156"/>
      <c r="F110" s="262"/>
      <c r="G110" s="262"/>
      <c r="H110" s="262"/>
      <c r="I110" s="262"/>
      <c r="J110" s="262"/>
      <c r="K110" s="262"/>
      <c r="L110" s="262"/>
      <c r="M110" s="262"/>
      <c r="N110" s="262"/>
      <c r="O110" s="262"/>
      <c r="P110" s="262"/>
      <c r="Q110" s="262"/>
      <c r="R110" s="357">
        <f t="shared" si="97"/>
        <v>0</v>
      </c>
      <c r="S110" s="357">
        <f t="shared" si="98"/>
        <v>0</v>
      </c>
      <c r="T110" s="357">
        <f t="shared" si="99"/>
        <v>0</v>
      </c>
      <c r="U110" s="357">
        <f t="shared" si="100"/>
        <v>0</v>
      </c>
      <c r="V110" s="263">
        <f>SUM(F110:Q110)</f>
        <v>0</v>
      </c>
      <c r="W110" s="432" t="s">
        <v>1512</v>
      </c>
      <c r="X110" s="269"/>
    </row>
    <row r="111" spans="1:33" s="345" customFormat="1" ht="14.4" x14ac:dyDescent="0.3">
      <c r="A111" s="302"/>
      <c r="B111" s="303">
        <v>21</v>
      </c>
      <c r="C111" s="304" t="s">
        <v>1638</v>
      </c>
      <c r="D111" s="305"/>
      <c r="E111" s="151"/>
      <c r="F111" s="279"/>
      <c r="G111" s="279"/>
      <c r="H111" s="279"/>
      <c r="I111" s="279"/>
      <c r="J111" s="279"/>
      <c r="K111" s="279"/>
      <c r="L111" s="279"/>
      <c r="M111" s="279"/>
      <c r="N111" s="279"/>
      <c r="O111" s="279"/>
      <c r="P111" s="279"/>
      <c r="Q111" s="279"/>
      <c r="R111" s="279"/>
      <c r="S111" s="279"/>
      <c r="T111" s="279"/>
      <c r="U111" s="279"/>
      <c r="V111" s="285"/>
      <c r="W111" s="432" t="s">
        <v>1512</v>
      </c>
      <c r="X111" s="271" t="s">
        <v>1639</v>
      </c>
    </row>
    <row r="112" spans="1:33" s="345" customFormat="1" x14ac:dyDescent="0.25">
      <c r="A112" s="302"/>
      <c r="B112" s="306"/>
      <c r="C112" s="307" t="s">
        <v>1640</v>
      </c>
      <c r="D112" s="308"/>
      <c r="E112" s="383">
        <v>1</v>
      </c>
      <c r="F112" s="326" t="e">
        <f>SUMIFS('Annex 9.2. Budget'!$D$15:$D$1000,'Annex 9.2. Budget'!$F$15:$F$1000,$F$11)/'Annex 9.2. Budget'!$C$10</f>
        <v>#DIV/0!</v>
      </c>
      <c r="G112" s="326" t="e">
        <f>SUMIFS('Annex 9.2. Budget'!$D$15:$D$1000,'Annex 9.2. Budget'!$F$15:$F$1000,G11)/'Annex 9.2. Budget'!$C$10</f>
        <v>#DIV/0!</v>
      </c>
      <c r="H112" s="326" t="e">
        <f>SUMIFS('Annex 9.2. Budget'!$D$15:$D$1000,'Annex 9.2. Budget'!$F$15:$F$1000,H11)/'Annex 9.2. Budget'!$C$10</f>
        <v>#DIV/0!</v>
      </c>
      <c r="I112" s="326" t="e">
        <f>SUMIFS('Annex 9.2. Budget'!$D$15:$D$1000,'Annex 9.2. Budget'!$F$15:$F$1000,I11)/'Annex 9.2. Budget'!$C$10</f>
        <v>#DIV/0!</v>
      </c>
      <c r="J112" s="326" t="e">
        <f>SUMIFS('Annex 9.2. Budget'!$D$15:$D$1000,'Annex 9.2. Budget'!$F$15:$F$1000,J11)/'Annex 9.2. Budget'!$C$10</f>
        <v>#DIV/0!</v>
      </c>
      <c r="K112" s="326" t="e">
        <f>SUMIFS('Annex 9.2. Budget'!$D$15:$D$1000,'Annex 9.2. Budget'!$F$15:$F$1000,K11)/'Annex 9.2. Budget'!$C$10</f>
        <v>#DIV/0!</v>
      </c>
      <c r="L112" s="326" t="e">
        <f>SUMIFS('Annex 9.2. Budget'!$D$15:$D$1000,'Annex 9.2. Budget'!$F$15:$F$1000,L11)/'Annex 9.2. Budget'!$C$10</f>
        <v>#DIV/0!</v>
      </c>
      <c r="M112" s="326" t="e">
        <f>SUMIFS('Annex 9.2. Budget'!$D$15:$D$1000,'Annex 9.2. Budget'!$F$15:$F$1000,M11)/'Annex 9.2. Budget'!$C$10</f>
        <v>#DIV/0!</v>
      </c>
      <c r="N112" s="326" t="e">
        <f>SUMIFS('Annex 9.2. Budget'!$D$15:$D$1000,'Annex 9.2. Budget'!$F$15:$F$1000,N11)/'Annex 9.2. Budget'!$C$10</f>
        <v>#DIV/0!</v>
      </c>
      <c r="O112" s="326" t="e">
        <f>SUMIFS('Annex 9.2. Budget'!$D$15:$D$1000,'Annex 9.2. Budget'!$F$15:$F$1000,O11)/'Annex 9.2. Budget'!$C$10</f>
        <v>#DIV/0!</v>
      </c>
      <c r="P112" s="326" t="e">
        <f>SUMIFS('Annex 9.2. Budget'!$D$15:$D$1000,'Annex 9.2. Budget'!$F$15:$F$1000,P11)/'Annex 9.2. Budget'!$C$10</f>
        <v>#DIV/0!</v>
      </c>
      <c r="Q112" s="326" t="e">
        <f>SUMIFS('Annex 9.2. Budget'!$D$15:$D$1000,'Annex 9.2. Budget'!$F$15:$F$1000,Q11)/'Annex 9.2. Budget'!$C$10</f>
        <v>#DIV/0!</v>
      </c>
      <c r="R112" s="484" t="e">
        <f>SUM(F112:H112)</f>
        <v>#DIV/0!</v>
      </c>
      <c r="S112" s="392" t="e">
        <f>SUM(I112:K112)</f>
        <v>#DIV/0!</v>
      </c>
      <c r="T112" s="392" t="e">
        <f>SUM(L112:N112)</f>
        <v>#DIV/0!</v>
      </c>
      <c r="U112" s="392" t="e">
        <f>SUM(O112:Q112)</f>
        <v>#DIV/0!</v>
      </c>
      <c r="V112" s="379" t="e">
        <f>SUM(F112:Q112)</f>
        <v>#DIV/0!</v>
      </c>
      <c r="W112" s="432"/>
      <c r="X112" s="269"/>
    </row>
    <row r="113" spans="1:24" s="346" customFormat="1" x14ac:dyDescent="0.3">
      <c r="A113" s="311"/>
      <c r="B113" s="575" t="s">
        <v>1641</v>
      </c>
      <c r="C113" s="575"/>
      <c r="D113" s="576"/>
      <c r="E113" s="232"/>
      <c r="F113" s="286"/>
      <c r="G113" s="286"/>
      <c r="H113" s="286"/>
      <c r="I113" s="286"/>
      <c r="J113" s="286"/>
      <c r="K113" s="286"/>
      <c r="L113" s="286"/>
      <c r="M113" s="286"/>
      <c r="N113" s="286"/>
      <c r="O113" s="286"/>
      <c r="P113" s="286"/>
      <c r="Q113" s="286"/>
      <c r="R113" s="286"/>
      <c r="S113" s="286"/>
      <c r="T113" s="286"/>
      <c r="U113" s="286"/>
      <c r="V113" s="328"/>
      <c r="W113" s="434" t="s">
        <v>1512</v>
      </c>
      <c r="X113" s="359"/>
    </row>
    <row r="114" spans="1:24" s="345" customFormat="1" x14ac:dyDescent="0.25">
      <c r="A114" s="302"/>
      <c r="B114" s="303">
        <v>22</v>
      </c>
      <c r="C114" s="292" t="s">
        <v>1642</v>
      </c>
      <c r="D114" s="331"/>
      <c r="E114" s="225"/>
      <c r="F114" s="279"/>
      <c r="G114" s="279"/>
      <c r="H114" s="279"/>
      <c r="I114" s="279"/>
      <c r="J114" s="279"/>
      <c r="K114" s="279"/>
      <c r="L114" s="279"/>
      <c r="M114" s="279"/>
      <c r="N114" s="279"/>
      <c r="O114" s="279"/>
      <c r="P114" s="279"/>
      <c r="Q114" s="279"/>
      <c r="R114" s="279"/>
      <c r="S114" s="279"/>
      <c r="T114" s="279"/>
      <c r="U114" s="279"/>
      <c r="V114" s="285"/>
      <c r="W114" s="432" t="s">
        <v>1512</v>
      </c>
      <c r="X114" s="269"/>
    </row>
    <row r="115" spans="1:24" s="345" customFormat="1" ht="14.4" x14ac:dyDescent="0.3">
      <c r="A115" s="302"/>
      <c r="B115" s="306"/>
      <c r="C115" s="295" t="s">
        <v>1643</v>
      </c>
      <c r="D115" s="331"/>
      <c r="E115" s="156" t="s">
        <v>1619</v>
      </c>
      <c r="F115" s="279">
        <f>COUNTIFS('Annex 10.1 Link - Membership'!$B$14:$B$100,"&lt;&gt;",'Annex 10.1 Link - Membership'!$G$14:$G$100,F11)</f>
        <v>0</v>
      </c>
      <c r="G115" s="279">
        <f>COUNTIFS('Annex 10.1 Link - Membership'!$B$14:$B$100,"&lt;&gt;",'Annex 10.1 Link - Membership'!$G$14:$G$100,G11)</f>
        <v>0</v>
      </c>
      <c r="H115" s="279">
        <f>COUNTIFS('Annex 10.1 Link - Membership'!$B$14:$B$100,"&lt;&gt;",'Annex 10.1 Link - Membership'!$G$14:$G$100,H11)</f>
        <v>0</v>
      </c>
      <c r="I115" s="279">
        <f>COUNTIFS('Annex 10.1 Link - Membership'!$B$14:$B$100,"&lt;&gt;",'Annex 10.1 Link - Membership'!$G$14:$G$100,I11)</f>
        <v>0</v>
      </c>
      <c r="J115" s="279">
        <f>COUNTIFS('Annex 10.1 Link - Membership'!$B$14:$B$100,"&lt;&gt;",'Annex 10.1 Link - Membership'!$G$14:$G$100,J11)</f>
        <v>0</v>
      </c>
      <c r="K115" s="279">
        <f>COUNTIFS('Annex 10.1 Link - Membership'!$B$14:$B$100,"&lt;&gt;",'Annex 10.1 Link - Membership'!$G$14:$G$100,K11)</f>
        <v>0</v>
      </c>
      <c r="L115" s="279">
        <f>COUNTIFS('Annex 10.1 Link - Membership'!$B$14:$B$100,"&lt;&gt;",'Annex 10.1 Link - Membership'!$G$14:$G$100,L11)</f>
        <v>0</v>
      </c>
      <c r="M115" s="279">
        <f>COUNTIFS('Annex 10.1 Link - Membership'!$B$14:$B$100,"&lt;&gt;",'Annex 10.1 Link - Membership'!$G$14:$G$100,M11)</f>
        <v>0</v>
      </c>
      <c r="N115" s="279">
        <f>COUNTIFS('Annex 10.1 Link - Membership'!$B$14:$B$100,"&lt;&gt;",'Annex 10.1 Link - Membership'!$G$14:$G$100,N11)</f>
        <v>0</v>
      </c>
      <c r="O115" s="279">
        <f>COUNTIFS('Annex 10.1 Link - Membership'!$B$14:$B$100,"&lt;&gt;",'Annex 10.1 Link - Membership'!$G$14:$G$100,O11)</f>
        <v>0</v>
      </c>
      <c r="P115" s="279">
        <f>COUNTIFS('Annex 10.1 Link - Membership'!$B$14:$B$100,"&lt;&gt;",'Annex 10.1 Link - Membership'!$G$14:$G$100,P11)</f>
        <v>0</v>
      </c>
      <c r="Q115" s="279">
        <f>COUNTIFS('Annex 10.1 Link - Membership'!$B$14:$B$100,"&lt;&gt;",'Annex 10.1 Link - Membership'!$G$14:$G$100,Q11)</f>
        <v>0</v>
      </c>
      <c r="R115" s="357">
        <f t="shared" ref="R115" si="101">SUM(F115:H115)</f>
        <v>0</v>
      </c>
      <c r="S115" s="357">
        <f t="shared" ref="S115" si="102">SUM(I115:K115)</f>
        <v>0</v>
      </c>
      <c r="T115" s="357">
        <f t="shared" ref="T115" si="103">SUM(L115:N115)</f>
        <v>0</v>
      </c>
      <c r="U115" s="357">
        <f t="shared" ref="U115" si="104">SUM(O115:Q115)</f>
        <v>0</v>
      </c>
      <c r="V115" s="278">
        <f t="shared" si="96"/>
        <v>0</v>
      </c>
      <c r="W115" s="432" t="s">
        <v>1512</v>
      </c>
      <c r="X115" s="271"/>
    </row>
    <row r="116" spans="1:24" s="345" customFormat="1" ht="14.4" x14ac:dyDescent="0.3">
      <c r="A116" s="302"/>
      <c r="B116" s="303">
        <v>23</v>
      </c>
      <c r="C116" s="292" t="s">
        <v>1644</v>
      </c>
      <c r="D116" s="331"/>
      <c r="E116" s="225"/>
      <c r="F116" s="279"/>
      <c r="G116" s="279"/>
      <c r="H116" s="279"/>
      <c r="I116" s="279"/>
      <c r="J116" s="279"/>
      <c r="K116" s="279"/>
      <c r="L116" s="279"/>
      <c r="M116" s="279"/>
      <c r="N116" s="279"/>
      <c r="O116" s="279"/>
      <c r="P116" s="279"/>
      <c r="Q116" s="279"/>
      <c r="R116" s="279"/>
      <c r="S116" s="279"/>
      <c r="T116" s="279"/>
      <c r="U116" s="279"/>
      <c r="V116" s="285"/>
      <c r="W116" s="432" t="s">
        <v>1512</v>
      </c>
      <c r="X116" s="271" t="s">
        <v>1645</v>
      </c>
    </row>
    <row r="117" spans="1:24" s="345" customFormat="1" ht="14.4" customHeight="1" x14ac:dyDescent="0.25">
      <c r="A117" s="302"/>
      <c r="B117" s="307"/>
      <c r="C117" s="295" t="s">
        <v>1646</v>
      </c>
      <c r="D117" s="331"/>
      <c r="E117" s="156" t="s">
        <v>1619</v>
      </c>
      <c r="F117" s="279">
        <f>COUNTIFS('Annex 10.2 Meetings-Papers'!$B$14:$B$53,"&lt;&gt;",'Annex 10.2 Meetings-Papers'!$F$14:$F$53,F11)</f>
        <v>0</v>
      </c>
      <c r="G117" s="279">
        <f>COUNTIFS('Annex 10.2 Meetings-Papers'!$B$14:$B$53,"&lt;&gt;",'Annex 10.2 Meetings-Papers'!$F$14:$F$53,G11)</f>
        <v>4</v>
      </c>
      <c r="H117" s="279">
        <f>COUNTIFS('Annex 10.2 Meetings-Papers'!$B$14:$B$53,"&lt;&gt;",'Annex 10.2 Meetings-Papers'!$F$14:$F$53,H11)</f>
        <v>0</v>
      </c>
      <c r="I117" s="279">
        <f>COUNTIFS('Annex 10.2 Meetings-Papers'!$B$14:$B$53,"&lt;&gt;",'Annex 10.2 Meetings-Papers'!$F$14:$F$53,I11)</f>
        <v>0</v>
      </c>
      <c r="J117" s="279">
        <f>COUNTIFS('Annex 10.2 Meetings-Papers'!$B$14:$B$53,"&lt;&gt;",'Annex 10.2 Meetings-Papers'!$F$14:$F$53,J11)</f>
        <v>0</v>
      </c>
      <c r="K117" s="279">
        <f>COUNTIFS('Annex 10.2 Meetings-Papers'!$B$14:$B$53,"&lt;&gt;",'Annex 10.2 Meetings-Papers'!$F$14:$F$53,K11)</f>
        <v>0</v>
      </c>
      <c r="L117" s="279">
        <f>COUNTIFS('Annex 10.2 Meetings-Papers'!$B$14:$B$53,"&lt;&gt;",'Annex 10.2 Meetings-Papers'!$F$14:$F$53,L11)</f>
        <v>0</v>
      </c>
      <c r="M117" s="279">
        <f>COUNTIFS('Annex 10.2 Meetings-Papers'!$B$14:$B$53,"&lt;&gt;",'Annex 10.2 Meetings-Papers'!$F$14:$F$53,M11)</f>
        <v>0</v>
      </c>
      <c r="N117" s="279">
        <f>COUNTIFS('Annex 10.2 Meetings-Papers'!$B$14:$B$53,"&lt;&gt;",'Annex 10.2 Meetings-Papers'!$F$14:$F$53,N11)</f>
        <v>0</v>
      </c>
      <c r="O117" s="279">
        <f>COUNTIFS('Annex 10.2 Meetings-Papers'!$B$14:$B$53,"&lt;&gt;",'Annex 10.2 Meetings-Papers'!$F$14:$F$53,O11)</f>
        <v>0</v>
      </c>
      <c r="P117" s="279">
        <f>COUNTIFS('Annex 10.2 Meetings-Papers'!$B$14:$B$53,"&lt;&gt;",'Annex 10.2 Meetings-Papers'!$F$14:$F$53,P11)</f>
        <v>0</v>
      </c>
      <c r="Q117" s="279">
        <f>COUNTIFS('Annex 10.2 Meetings-Papers'!$B$14:$B$53,"&lt;&gt;",'Annex 10.2 Meetings-Papers'!$F$14:$F$53,Q11)</f>
        <v>0</v>
      </c>
      <c r="R117" s="357">
        <f t="shared" ref="R117:R118" si="105">SUM(F117:H117)</f>
        <v>4</v>
      </c>
      <c r="S117" s="357">
        <f t="shared" ref="S117:S118" si="106">SUM(I117:K117)</f>
        <v>0</v>
      </c>
      <c r="T117" s="357">
        <f t="shared" ref="T117:T118" si="107">SUM(L117:N117)</f>
        <v>0</v>
      </c>
      <c r="U117" s="357">
        <f t="shared" ref="U117:U118" si="108">SUM(O117:Q117)</f>
        <v>0</v>
      </c>
      <c r="V117" s="278">
        <f t="shared" si="96"/>
        <v>4</v>
      </c>
      <c r="W117" s="432" t="s">
        <v>1512</v>
      </c>
      <c r="X117" s="570" t="s">
        <v>1647</v>
      </c>
    </row>
    <row r="118" spans="1:24" s="345" customFormat="1" x14ac:dyDescent="0.25">
      <c r="A118" s="302"/>
      <c r="B118" s="307"/>
      <c r="C118" s="573" t="s">
        <v>1648</v>
      </c>
      <c r="D118" s="574"/>
      <c r="E118" s="151" t="s">
        <v>1619</v>
      </c>
      <c r="F118" s="279">
        <f>COUNTIFS('Annex 10.2 Meetings-Papers'!$B$66:$B$108,"&lt;&gt;",'Annex 10.2 Meetings-Papers'!$D$66:$D$108,F11)</f>
        <v>0</v>
      </c>
      <c r="G118" s="279">
        <f>COUNTIFS('Annex 10.2 Meetings-Papers'!$B$66:$B$108,"&lt;&gt;",'Annex 10.2 Meetings-Papers'!$D$66:$D$108,G11)</f>
        <v>0</v>
      </c>
      <c r="H118" s="279">
        <f>COUNTIFS('Annex 10.2 Meetings-Papers'!$B$66:$B$108,"&lt;&gt;",'Annex 10.2 Meetings-Papers'!$D$66:$D$108,H11)</f>
        <v>0</v>
      </c>
      <c r="I118" s="279">
        <f>COUNTIFS('Annex 10.2 Meetings-Papers'!$B$66:$B$108,"&lt;&gt;",'Annex 10.2 Meetings-Papers'!$D$66:$D$108,I11)</f>
        <v>0</v>
      </c>
      <c r="J118" s="279">
        <f>COUNTIFS('Annex 10.2 Meetings-Papers'!$B$66:$B$108,"&lt;&gt;",'Annex 10.2 Meetings-Papers'!$D$66:$D$108,J11)</f>
        <v>0</v>
      </c>
      <c r="K118" s="279">
        <f>COUNTIFS('Annex 10.2 Meetings-Papers'!$B$66:$B$108,"&lt;&gt;",'Annex 10.2 Meetings-Papers'!$D$66:$D$108,K11)</f>
        <v>0</v>
      </c>
      <c r="L118" s="279">
        <f>COUNTIFS('Annex 10.2 Meetings-Papers'!$B$66:$B$108,"&lt;&gt;",'Annex 10.2 Meetings-Papers'!$D$66:$D$108,L11)</f>
        <v>0</v>
      </c>
      <c r="M118" s="279">
        <f>COUNTIFS('Annex 10.2 Meetings-Papers'!$B$66:$B$108,"&lt;&gt;",'Annex 10.2 Meetings-Papers'!$D$66:$D$108,M11)</f>
        <v>0</v>
      </c>
      <c r="N118" s="279">
        <f>COUNTIFS('Annex 10.2 Meetings-Papers'!$B$66:$B$108,"&lt;&gt;",'Annex 10.2 Meetings-Papers'!$D$66:$D$108,N11)</f>
        <v>0</v>
      </c>
      <c r="O118" s="279">
        <f>COUNTIFS('Annex 10.2 Meetings-Papers'!$B$66:$B$108,"&lt;&gt;",'Annex 10.2 Meetings-Papers'!$D$66:$D$108,O11)</f>
        <v>0</v>
      </c>
      <c r="P118" s="279">
        <f>COUNTIFS('Annex 10.2 Meetings-Papers'!$B$66:$B$108,"&lt;&gt;",'Annex 10.2 Meetings-Papers'!$D$66:$D$108,P11)</f>
        <v>0</v>
      </c>
      <c r="Q118" s="279">
        <f>COUNTIFS('Annex 10.2 Meetings-Papers'!$B$66:$B$108,"&lt;&gt;",'Annex 10.2 Meetings-Papers'!$D$66:$D$108,Q11)</f>
        <v>0</v>
      </c>
      <c r="R118" s="357">
        <f t="shared" si="105"/>
        <v>0</v>
      </c>
      <c r="S118" s="357">
        <f t="shared" si="106"/>
        <v>0</v>
      </c>
      <c r="T118" s="357">
        <f t="shared" si="107"/>
        <v>0</v>
      </c>
      <c r="U118" s="357">
        <f t="shared" si="108"/>
        <v>0</v>
      </c>
      <c r="V118" s="278">
        <f t="shared" si="96"/>
        <v>0</v>
      </c>
      <c r="W118" s="432" t="s">
        <v>1512</v>
      </c>
      <c r="X118" s="571"/>
    </row>
    <row r="119" spans="1:24" s="345" customFormat="1" ht="14.4" x14ac:dyDescent="0.25">
      <c r="A119" s="302"/>
      <c r="B119" s="303">
        <v>24</v>
      </c>
      <c r="C119" s="292" t="s">
        <v>1649</v>
      </c>
      <c r="D119" s="351"/>
      <c r="E119" s="151" t="s">
        <v>1619</v>
      </c>
      <c r="F119" s="279"/>
      <c r="G119" s="279"/>
      <c r="H119" s="279"/>
      <c r="I119" s="279"/>
      <c r="J119" s="279"/>
      <c r="K119" s="279"/>
      <c r="L119" s="279"/>
      <c r="M119" s="279"/>
      <c r="N119" s="279"/>
      <c r="O119" s="279"/>
      <c r="P119" s="279"/>
      <c r="Q119" s="279"/>
      <c r="R119" s="279"/>
      <c r="S119" s="279"/>
      <c r="T119" s="279"/>
      <c r="U119" s="279"/>
      <c r="V119" s="285"/>
      <c r="W119" s="432" t="s">
        <v>1512</v>
      </c>
      <c r="X119" s="352"/>
    </row>
    <row r="120" spans="1:24" s="345" customFormat="1" ht="14.4" x14ac:dyDescent="0.25">
      <c r="A120" s="302"/>
      <c r="B120" s="303"/>
      <c r="C120" s="295" t="s">
        <v>1650</v>
      </c>
      <c r="D120" s="351"/>
      <c r="E120" s="151" t="s">
        <v>1619</v>
      </c>
      <c r="F120" s="279">
        <f>COUNTIFS('Annex 10.3 Link - Partnerships'!$B$15:$B$1000,"&lt;&gt;",'Annex 10.3 Link - Partnerships'!$G$15:$G$1000,F11)</f>
        <v>0</v>
      </c>
      <c r="G120" s="279">
        <f>COUNTIFS('Annex 10.3 Link - Partnerships'!$B$15:$B$1000,"&lt;&gt;",'Annex 10.3 Link - Partnerships'!$G$15:$G$1000,G11)</f>
        <v>0</v>
      </c>
      <c r="H120" s="279">
        <f>COUNTIFS('Annex 10.3 Link - Partnerships'!$B$15:$B$1000,"&lt;&gt;",'Annex 10.3 Link - Partnerships'!$G$15:$G$1000,H11)</f>
        <v>0</v>
      </c>
      <c r="I120" s="279">
        <f>COUNTIFS('Annex 10.3 Link - Partnerships'!$B$15:$B$1000,"&lt;&gt;",'Annex 10.3 Link - Partnerships'!$G$15:$G$1000,I11)</f>
        <v>0</v>
      </c>
      <c r="J120" s="279">
        <f>COUNTIFS('Annex 10.3 Link - Partnerships'!$B$15:$B$1000,"&lt;&gt;",'Annex 10.3 Link - Partnerships'!$G$15:$G$1000,J11)</f>
        <v>0</v>
      </c>
      <c r="K120" s="279">
        <f>COUNTIFS('Annex 10.3 Link - Partnerships'!$B$15:$B$1000,"&lt;&gt;",'Annex 10.3 Link - Partnerships'!$G$15:$G$1000,K11)</f>
        <v>0</v>
      </c>
      <c r="L120" s="279">
        <f>COUNTIFS('Annex 10.3 Link - Partnerships'!$B$15:$B$1000,"&lt;&gt;",'Annex 10.3 Link - Partnerships'!$G$15:$G$1000,L11)</f>
        <v>0</v>
      </c>
      <c r="M120" s="279">
        <f>COUNTIFS('Annex 10.3 Link - Partnerships'!$B$15:$B$1000,"&lt;&gt;",'Annex 10.3 Link - Partnerships'!$G$15:$G$1000,M11)</f>
        <v>0</v>
      </c>
      <c r="N120" s="279">
        <f>COUNTIFS('Annex 10.3 Link - Partnerships'!$B$15:$B$1000,"&lt;&gt;",'Annex 10.3 Link - Partnerships'!$G$15:$G$1000,N11)</f>
        <v>0</v>
      </c>
      <c r="O120" s="279">
        <f>COUNTIFS('Annex 10.3 Link - Partnerships'!$B$15:$B$1000,"&lt;&gt;",'Annex 10.3 Link - Partnerships'!$G$15:$G$1000,O11)</f>
        <v>0</v>
      </c>
      <c r="P120" s="279">
        <f>COUNTIFS('Annex 10.3 Link - Partnerships'!$B$15:$B$1000,"&lt;&gt;",'Annex 10.3 Link - Partnerships'!$G$15:$G$1000,P11)</f>
        <v>0</v>
      </c>
      <c r="Q120" s="279">
        <f>COUNTIFS('Annex 10.3 Link - Partnerships'!$B$15:$B$1000,"&lt;&gt;",'Annex 10.3 Link - Partnerships'!$G$15:$G$1000,Q11)</f>
        <v>0</v>
      </c>
      <c r="R120" s="357">
        <f t="shared" ref="R120" si="109">SUM(F120:H120)</f>
        <v>0</v>
      </c>
      <c r="S120" s="357">
        <f t="shared" ref="S120" si="110">SUM(I120:K120)</f>
        <v>0</v>
      </c>
      <c r="T120" s="357">
        <f t="shared" ref="T120" si="111">SUM(L120:N120)</f>
        <v>0</v>
      </c>
      <c r="U120" s="357">
        <f t="shared" ref="U120" si="112">SUM(O120:Q120)</f>
        <v>0</v>
      </c>
      <c r="V120" s="278">
        <f t="shared" si="96"/>
        <v>0</v>
      </c>
      <c r="W120" s="432" t="s">
        <v>1512</v>
      </c>
      <c r="X120" s="352" t="s">
        <v>1651</v>
      </c>
    </row>
    <row r="121" spans="1:24" s="345" customFormat="1" x14ac:dyDescent="0.25">
      <c r="A121" s="298"/>
      <c r="B121" s="312" t="s">
        <v>1652</v>
      </c>
      <c r="C121" s="332"/>
      <c r="D121" s="333"/>
      <c r="E121" s="223"/>
      <c r="F121" s="286"/>
      <c r="G121" s="286"/>
      <c r="H121" s="286"/>
      <c r="I121" s="286"/>
      <c r="J121" s="286"/>
      <c r="K121" s="286"/>
      <c r="L121" s="286"/>
      <c r="M121" s="286"/>
      <c r="N121" s="286"/>
      <c r="O121" s="286"/>
      <c r="P121" s="286"/>
      <c r="Q121" s="286"/>
      <c r="R121" s="286"/>
      <c r="S121" s="286"/>
      <c r="T121" s="286"/>
      <c r="U121" s="286"/>
      <c r="V121" s="329"/>
      <c r="W121" s="434" t="s">
        <v>1512</v>
      </c>
      <c r="X121" s="359"/>
    </row>
    <row r="122" spans="1:24" s="345" customFormat="1" x14ac:dyDescent="0.25">
      <c r="A122" s="302"/>
      <c r="B122" s="303">
        <v>25</v>
      </c>
      <c r="C122" s="292" t="s">
        <v>1653</v>
      </c>
      <c r="D122" s="293"/>
      <c r="E122" s="144"/>
      <c r="F122" s="279"/>
      <c r="G122" s="279"/>
      <c r="H122" s="279"/>
      <c r="I122" s="279"/>
      <c r="J122" s="279"/>
      <c r="K122" s="279"/>
      <c r="L122" s="279"/>
      <c r="M122" s="279"/>
      <c r="N122" s="279"/>
      <c r="O122" s="279"/>
      <c r="P122" s="279"/>
      <c r="Q122" s="279"/>
      <c r="R122" s="279"/>
      <c r="S122" s="279"/>
      <c r="T122" s="279"/>
      <c r="U122" s="279"/>
      <c r="V122" s="285"/>
      <c r="W122" s="432" t="s">
        <v>1512</v>
      </c>
      <c r="X122" s="269"/>
    </row>
    <row r="123" spans="1:24" s="345" customFormat="1" x14ac:dyDescent="0.25">
      <c r="A123" s="302"/>
      <c r="B123" s="306"/>
      <c r="C123" s="334" t="s">
        <v>1654</v>
      </c>
      <c r="D123" s="331"/>
      <c r="E123" s="156" t="s">
        <v>1619</v>
      </c>
      <c r="F123" s="279">
        <f>COUNTIFS('Annex 11 Certifications'!$C$21:$C$1002,"&lt;&gt;",'Annex 11 Certifications'!$E$21:$E$1002,F11)</f>
        <v>2</v>
      </c>
      <c r="G123" s="279">
        <f>COUNTIFS('Annex 11 Certifications'!$C$21:$C$1002,"&lt;&gt;",'Annex 11 Certifications'!$E$21:$E$1002,G11)</f>
        <v>0</v>
      </c>
      <c r="H123" s="279">
        <f>COUNTIFS('Annex 11 Certifications'!$C$21:$C$1002,"&lt;&gt;",'Annex 11 Certifications'!$E$21:$E$1002,H11)</f>
        <v>0</v>
      </c>
      <c r="I123" s="279">
        <f>COUNTIFS('Annex 11 Certifications'!$C$21:$C$1002,"&lt;&gt;",'Annex 11 Certifications'!$E$21:$E$1002,I11)</f>
        <v>0</v>
      </c>
      <c r="J123" s="279">
        <f>COUNTIFS('Annex 11 Certifications'!$C$21:$C$1002,"&lt;&gt;",'Annex 11 Certifications'!$E$21:$E$1002,J11)</f>
        <v>0</v>
      </c>
      <c r="K123" s="279">
        <f>COUNTIFS('Annex 11 Certifications'!$C$21:$C$1002,"&lt;&gt;",'Annex 11 Certifications'!$E$21:$E$1002,K11)</f>
        <v>0</v>
      </c>
      <c r="L123" s="279">
        <f>COUNTIFS('Annex 11 Certifications'!$C$21:$C$1002,"&lt;&gt;",'Annex 11 Certifications'!$E$21:$E$1002,L11)</f>
        <v>0</v>
      </c>
      <c r="M123" s="279">
        <f>COUNTIFS('Annex 11 Certifications'!$C$21:$C$1002,"&lt;&gt;",'Annex 11 Certifications'!$E$21:$E$1002,M11)</f>
        <v>0</v>
      </c>
      <c r="N123" s="279">
        <f>COUNTIFS('Annex 11 Certifications'!$C$21:$C$1002,"&lt;&gt;",'Annex 11 Certifications'!$E$21:$E$1002,N11)</f>
        <v>0</v>
      </c>
      <c r="O123" s="279">
        <f>COUNTIFS('Annex 11 Certifications'!$C$21:$C$1002,"&lt;&gt;",'Annex 11 Certifications'!$E$21:$E$1002,O11)</f>
        <v>0</v>
      </c>
      <c r="P123" s="279">
        <f>COUNTIFS('Annex 11 Certifications'!$C$21:$C$1002,"&lt;&gt;",'Annex 11 Certifications'!$E$21:$E$1002,P11)</f>
        <v>0</v>
      </c>
      <c r="Q123" s="279">
        <f>COUNTIFS('Annex 11 Certifications'!$C$21:$C$1002,"&lt;&gt;",'Annex 11 Certifications'!$E$21:$E$1002,Q11)</f>
        <v>0</v>
      </c>
      <c r="R123" s="357">
        <f t="shared" ref="R123" si="113">SUM(F123:H123)</f>
        <v>2</v>
      </c>
      <c r="S123" s="396">
        <f t="shared" ref="S123" si="114">SUM(I123:K123)</f>
        <v>0</v>
      </c>
      <c r="T123" s="357">
        <f t="shared" ref="T123" si="115">SUM(L123:N123)</f>
        <v>0</v>
      </c>
      <c r="U123" s="357">
        <f t="shared" ref="U123" si="116">SUM(O123:Q123)</f>
        <v>0</v>
      </c>
      <c r="V123" s="278">
        <f t="shared" si="96"/>
        <v>2</v>
      </c>
      <c r="W123" s="432" t="s">
        <v>1512</v>
      </c>
      <c r="X123" s="570" t="s">
        <v>1655</v>
      </c>
    </row>
    <row r="124" spans="1:24" s="345" customFormat="1" x14ac:dyDescent="0.25">
      <c r="A124" s="302"/>
      <c r="B124" s="306"/>
      <c r="C124" s="334" t="s">
        <v>1656</v>
      </c>
      <c r="D124" s="331"/>
      <c r="E124" s="153">
        <v>1</v>
      </c>
      <c r="F124" s="330">
        <f>IFERROR(SUMIFS('Annex 11 Certifications'!$L$21:$L$1002,'Annex 11 Certifications'!$E$21:$E$1002,F11)/COUNTIF('Annex 11 Certifications'!$E$21:$E$1002,F11), 0)</f>
        <v>1</v>
      </c>
      <c r="G124" s="330">
        <f>IFERROR(SUMIFS('Annex 11 Certifications'!$L$21:$L$1002,'Annex 11 Certifications'!$E$21:$E$1002,G11)/COUNTIF('Annex 11 Certifications'!$E$21:$E$1002,G11), 0)</f>
        <v>0</v>
      </c>
      <c r="H124" s="330">
        <f>IFERROR(SUMIFS('Annex 11 Certifications'!$L$21:$L$1002,'Annex 11 Certifications'!$E$21:$E$1002,H11)/COUNTIF('Annex 11 Certifications'!$E$21:$E$1002,H11), 0)</f>
        <v>0</v>
      </c>
      <c r="I124" s="330">
        <f>IFERROR(SUMIFS('Annex 11 Certifications'!$L$21:$L$1002,'Annex 11 Certifications'!$E$21:$E$1002,I11)/COUNTIF('Annex 11 Certifications'!$E$21:$E$1002,I11), 0)</f>
        <v>0</v>
      </c>
      <c r="J124" s="330">
        <f>IFERROR(SUMIFS('Annex 11 Certifications'!$L$21:$L$1002,'Annex 11 Certifications'!$E$21:$E$1002,J11)/COUNTIF('Annex 11 Certifications'!$E$21:$E$1002,J11), 0)</f>
        <v>0</v>
      </c>
      <c r="K124" s="330">
        <f>IFERROR(SUMIFS('Annex 11 Certifications'!$L$21:$L$1002,'Annex 11 Certifications'!$E$21:$E$1002,K11)/COUNTIF('Annex 11 Certifications'!$E$21:$E$1002,K11), 0)</f>
        <v>0</v>
      </c>
      <c r="L124" s="330">
        <f>IFERROR(SUMIFS('Annex 11 Certifications'!$L$21:$L$1002,'Annex 11 Certifications'!$E$21:$E$1002,L11)/COUNTIF('Annex 11 Certifications'!$E$21:$E$1002,L11), 0)</f>
        <v>0</v>
      </c>
      <c r="M124" s="330">
        <f>IFERROR(SUMIFS('Annex 11 Certifications'!$L$21:$L$1002,'Annex 11 Certifications'!$E$21:$E$1002,M11)/COUNTIF('Annex 11 Certifications'!$E$21:$E$1002,M11), 0)</f>
        <v>0</v>
      </c>
      <c r="N124" s="330">
        <f>IFERROR(SUMIFS('Annex 11 Certifications'!$L$21:$L$1002,'Annex 11 Certifications'!$E$21:$E$1002,N11)/COUNTIF('Annex 11 Certifications'!$E$21:$E$1002,N11), 0)</f>
        <v>0</v>
      </c>
      <c r="O124" s="330">
        <f>IFERROR(SUMIFS('Annex 11 Certifications'!$L$21:$L$1002,'Annex 11 Certifications'!$E$21:$E$1002,O11)/COUNTIF('Annex 11 Certifications'!$E$21:$E$1002,O11), 0)</f>
        <v>0</v>
      </c>
      <c r="P124" s="330">
        <f>IFERROR(SUMIFS('Annex 11 Certifications'!$L$21:$L$1002,'Annex 11 Certifications'!$E$21:$E$1002,P11)/COUNTIF('Annex 11 Certifications'!$E$21:$E$1002,P11), 0)</f>
        <v>0</v>
      </c>
      <c r="Q124" s="330">
        <f>IFERROR(SUMIFS('Annex 11 Certifications'!$L$21:$L$1002,'Annex 11 Certifications'!$E$21:$E$1002,Q11)/COUNTIF('Annex 11 Certifications'!$E$21:$E$1002,Q11), 0)</f>
        <v>0</v>
      </c>
      <c r="R124" s="394">
        <f>IFERROR(AVERAGEIF(F124:H124,"&lt;&gt;0"),0)</f>
        <v>1</v>
      </c>
      <c r="S124" s="393">
        <f>IFERROR(AVERAGEIF(I124:K124,"&lt;&gt;0"),0)</f>
        <v>0</v>
      </c>
      <c r="T124" s="395">
        <f>IFERROR(AVERAGEIF(L124:N124,"&lt;&gt;0"),0)</f>
        <v>0</v>
      </c>
      <c r="U124" s="392">
        <f>IFERROR(AVERAGEIF(O124:Q124,"&lt;&gt;0"),0)</f>
        <v>0</v>
      </c>
      <c r="V124" s="327">
        <f>AVERAGEIF(R124:U124,"&lt;&gt;0")</f>
        <v>1</v>
      </c>
      <c r="W124" s="432" t="s">
        <v>1512</v>
      </c>
      <c r="X124" s="572"/>
    </row>
    <row r="125" spans="1:24" s="345" customFormat="1" x14ac:dyDescent="0.25">
      <c r="A125" s="298"/>
      <c r="B125" s="312" t="s">
        <v>1657</v>
      </c>
      <c r="C125" s="332"/>
      <c r="D125" s="333"/>
      <c r="E125" s="223"/>
      <c r="F125" s="286"/>
      <c r="G125" s="286"/>
      <c r="H125" s="286"/>
      <c r="I125" s="286"/>
      <c r="J125" s="286"/>
      <c r="K125" s="286"/>
      <c r="L125" s="286"/>
      <c r="M125" s="286"/>
      <c r="N125" s="286"/>
      <c r="O125" s="286"/>
      <c r="P125" s="286"/>
      <c r="Q125" s="286"/>
      <c r="R125" s="286"/>
      <c r="S125" s="397"/>
      <c r="T125" s="286"/>
      <c r="U125" s="286"/>
      <c r="V125" s="329"/>
      <c r="W125" s="434" t="s">
        <v>1512</v>
      </c>
      <c r="X125" s="359"/>
    </row>
    <row r="126" spans="1:24" s="345" customFormat="1" ht="14.4" x14ac:dyDescent="0.3">
      <c r="A126" s="302"/>
      <c r="B126" s="303">
        <v>26</v>
      </c>
      <c r="C126" s="292" t="s">
        <v>1658</v>
      </c>
      <c r="D126" s="293"/>
      <c r="E126" s="144"/>
      <c r="F126" s="279"/>
      <c r="G126" s="279"/>
      <c r="H126" s="279"/>
      <c r="I126" s="279"/>
      <c r="J126" s="279"/>
      <c r="K126" s="279"/>
      <c r="L126" s="279"/>
      <c r="M126" s="279"/>
      <c r="N126" s="279"/>
      <c r="O126" s="279"/>
      <c r="P126" s="279"/>
      <c r="Q126" s="279"/>
      <c r="R126" s="279"/>
      <c r="S126" s="279"/>
      <c r="T126" s="279"/>
      <c r="U126" s="279"/>
      <c r="V126" s="285"/>
      <c r="W126" s="432" t="s">
        <v>1512</v>
      </c>
      <c r="X126" s="271" t="s">
        <v>1659</v>
      </c>
    </row>
    <row r="127" spans="1:24" s="345" customFormat="1" x14ac:dyDescent="0.25">
      <c r="A127" s="302"/>
      <c r="B127" s="307"/>
      <c r="C127" s="295" t="s">
        <v>1660</v>
      </c>
      <c r="D127" s="335"/>
      <c r="E127" s="144"/>
      <c r="F127" s="279"/>
      <c r="G127" s="279"/>
      <c r="H127" s="279"/>
      <c r="I127" s="279"/>
      <c r="J127" s="279"/>
      <c r="K127" s="279"/>
      <c r="L127" s="279"/>
      <c r="M127" s="279"/>
      <c r="N127" s="279"/>
      <c r="O127" s="279"/>
      <c r="P127" s="279"/>
      <c r="Q127" s="279"/>
      <c r="R127" s="279"/>
      <c r="S127" s="279"/>
      <c r="T127" s="279"/>
      <c r="U127" s="279"/>
      <c r="V127" s="285"/>
      <c r="W127" s="432" t="s">
        <v>1512</v>
      </c>
      <c r="X127" s="269"/>
    </row>
    <row r="128" spans="1:24" s="345" customFormat="1" x14ac:dyDescent="0.25">
      <c r="A128" s="302"/>
      <c r="B128" s="307"/>
      <c r="C128" s="295"/>
      <c r="D128" s="336" t="s">
        <v>1661</v>
      </c>
      <c r="E128" s="151" t="s">
        <v>1619</v>
      </c>
      <c r="F128" s="279">
        <f>COUNTIFS('Annex 12 Other Assignments'!$D$14:$D$999,"&lt;&gt;",'Annex 12 Other Assignments'!$E$14:$E$999,F11)</f>
        <v>0</v>
      </c>
      <c r="G128" s="279">
        <f>COUNTIFS('Annex 12 Other Assignments'!$D$14:$D$999,"&lt;&gt;",'Annex 12 Other Assignments'!$E$14:$E$999,G11)</f>
        <v>0</v>
      </c>
      <c r="H128" s="279">
        <f>COUNTIFS('Annex 12 Other Assignments'!$D$14:$D$999,"&lt;&gt;",'Annex 12 Other Assignments'!$E$14:$E$999,H11)</f>
        <v>0</v>
      </c>
      <c r="I128" s="279">
        <f>COUNTIFS('Annex 12 Other Assignments'!$D$14:$D$999,"&lt;&gt;",'Annex 12 Other Assignments'!$E$14:$E$999,I11)</f>
        <v>0</v>
      </c>
      <c r="J128" s="279">
        <f>COUNTIFS('Annex 12 Other Assignments'!$D$14:$D$999,"&lt;&gt;",'Annex 12 Other Assignments'!$E$14:$E$999,J11)</f>
        <v>0</v>
      </c>
      <c r="K128" s="279">
        <f>COUNTIFS('Annex 12 Other Assignments'!$D$14:$D$999,"&lt;&gt;",'Annex 12 Other Assignments'!$E$14:$E$999,K11)</f>
        <v>0</v>
      </c>
      <c r="L128" s="279">
        <f>COUNTIFS('Annex 12 Other Assignments'!$D$14:$D$999,"&lt;&gt;",'Annex 12 Other Assignments'!$E$14:$E$999,L11)</f>
        <v>0</v>
      </c>
      <c r="M128" s="279">
        <f>COUNTIFS('Annex 12 Other Assignments'!$D$14:$D$999,"&lt;&gt;",'Annex 12 Other Assignments'!$E$14:$E$999,M11)</f>
        <v>0</v>
      </c>
      <c r="N128" s="279">
        <f>COUNTIFS('Annex 12 Other Assignments'!$D$14:$D$999,"&lt;&gt;",'Annex 12 Other Assignments'!$E$14:$E$999,N11)</f>
        <v>0</v>
      </c>
      <c r="O128" s="279">
        <f>COUNTIFS('Annex 12 Other Assignments'!$D$14:$D$999,"&lt;&gt;",'Annex 12 Other Assignments'!$E$14:$E$999,O11)</f>
        <v>0</v>
      </c>
      <c r="P128" s="279">
        <f>COUNTIFS('Annex 12 Other Assignments'!$D$14:$D$999,"&lt;&gt;",'Annex 12 Other Assignments'!$E$14:$E$999,P11)</f>
        <v>0</v>
      </c>
      <c r="Q128" s="279">
        <f>COUNTIFS('Annex 12 Other Assignments'!$D$14:$D$999,"&lt;&gt;",'Annex 12 Other Assignments'!$E$14:$E$999,Q11)</f>
        <v>0</v>
      </c>
      <c r="R128" s="357">
        <f t="shared" ref="R128" si="117">SUM(F128:H128)</f>
        <v>0</v>
      </c>
      <c r="S128" s="357">
        <f t="shared" ref="S128" si="118">SUM(I128:K128)</f>
        <v>0</v>
      </c>
      <c r="T128" s="357">
        <f t="shared" ref="T128" si="119">SUM(L128:N128)</f>
        <v>0</v>
      </c>
      <c r="U128" s="357">
        <f t="shared" ref="U128" si="120">SUM(O128:Q128)</f>
        <v>0</v>
      </c>
      <c r="V128" s="278">
        <f>SUM(F128:Q128)</f>
        <v>0</v>
      </c>
      <c r="W128" s="432" t="s">
        <v>1512</v>
      </c>
      <c r="X128" s="269"/>
    </row>
    <row r="129" spans="1:24" s="345" customFormat="1" x14ac:dyDescent="0.25">
      <c r="A129" s="302"/>
      <c r="B129" s="307"/>
      <c r="C129" s="334" t="s">
        <v>1662</v>
      </c>
      <c r="D129" s="336"/>
      <c r="E129" s="151"/>
      <c r="F129" s="279"/>
      <c r="G129" s="279"/>
      <c r="H129" s="279"/>
      <c r="I129" s="279"/>
      <c r="J129" s="279"/>
      <c r="K129" s="279"/>
      <c r="L129" s="279"/>
      <c r="M129" s="279"/>
      <c r="N129" s="279"/>
      <c r="O129" s="279"/>
      <c r="P129" s="279"/>
      <c r="Q129" s="279"/>
      <c r="R129" s="279"/>
      <c r="S129" s="279"/>
      <c r="T129" s="279"/>
      <c r="U129" s="279"/>
      <c r="V129" s="285"/>
      <c r="W129" s="432" t="s">
        <v>1512</v>
      </c>
      <c r="X129" s="269"/>
    </row>
    <row r="130" spans="1:24" x14ac:dyDescent="0.25">
      <c r="A130" s="147"/>
      <c r="B130" s="149"/>
      <c r="C130" s="145"/>
      <c r="D130" s="158" t="s">
        <v>1663</v>
      </c>
      <c r="E130" s="151"/>
      <c r="F130" s="154"/>
      <c r="G130" s="154"/>
      <c r="H130" s="154"/>
      <c r="I130" s="154"/>
      <c r="J130" s="154"/>
      <c r="K130" s="154"/>
      <c r="L130" s="154"/>
      <c r="M130" s="154"/>
      <c r="N130" s="154"/>
      <c r="O130" s="154"/>
      <c r="P130" s="154"/>
      <c r="Q130" s="154"/>
      <c r="R130" s="361" cm="1">
        <f t="array" ref="R130">INDEX(F130:H130, 1, MAX(IF((F130:H130&lt;&gt;"")*(F130:H130&lt;&gt;0), COLUMN(F130:H130)-COLUMN(F130)+1)))</f>
        <v>0</v>
      </c>
      <c r="S130" s="361" cm="1">
        <f t="array" ref="S130">INDEX(I130:K130, 1, MAX(IF((I130:K130&lt;&gt;"")*(I130:K130&lt;&gt;0), COLUMN(I130:K130)-COLUMN(I130)+1)))</f>
        <v>0</v>
      </c>
      <c r="T130" s="361" cm="1">
        <f t="array" ref="T130">INDEX(L130:N130, 1, MAX(IF((L130:N130&lt;&gt;"")*(L130:N130&lt;&gt;0), COLUMN(L130:N130)-COLUMN(L130)+1)))</f>
        <v>0</v>
      </c>
      <c r="U130" s="361" cm="1">
        <f t="array" ref="U130">INDEX(O130:Q130, 1, MAX(IF((O130:Q130&lt;&gt;"")*(O130:Q130&lt;&gt;0), COLUMN(O130:Q130)-COLUMN(O130)+1)))</f>
        <v>0</v>
      </c>
      <c r="V130" s="157" cm="1">
        <f t="array" ref="V130">INDEX(F130:Q130, 1, MAX(IF((F130:Q130&lt;&gt;"")*(F130:Q130&lt;&gt;0), COLUMN(F108:Q130)-COLUMN(F130)+1)))</f>
        <v>0</v>
      </c>
      <c r="W130" s="432">
        <v>0</v>
      </c>
      <c r="X130" s="269"/>
    </row>
    <row r="131" spans="1:24" x14ac:dyDescent="0.25">
      <c r="A131" s="147"/>
      <c r="B131" s="149"/>
      <c r="C131" s="145"/>
      <c r="D131" s="158" t="s">
        <v>1664</v>
      </c>
      <c r="E131" s="151"/>
      <c r="F131" s="159"/>
      <c r="G131" s="159"/>
      <c r="H131" s="159"/>
      <c r="I131" s="159"/>
      <c r="J131" s="159"/>
      <c r="K131" s="159"/>
      <c r="L131" s="159"/>
      <c r="M131" s="159"/>
      <c r="N131" s="159"/>
      <c r="O131" s="159"/>
      <c r="P131" s="159"/>
      <c r="Q131" s="159"/>
      <c r="R131" s="357">
        <f t="shared" ref="R131" si="121">SUM(F131:H131)</f>
        <v>0</v>
      </c>
      <c r="S131" s="357">
        <f t="shared" ref="S131" si="122">SUM(I131:K131)</f>
        <v>0</v>
      </c>
      <c r="T131" s="357">
        <f t="shared" ref="T131" si="123">SUM(L131:N131)</f>
        <v>0</v>
      </c>
      <c r="U131" s="357">
        <f t="shared" ref="U131" si="124">SUM(O131:Q131)</f>
        <v>0</v>
      </c>
      <c r="V131" s="259" cm="1">
        <f t="array" ref="V131">INDEX(F131:Q131, 1, MAX(IF((F131:Q131&lt;&gt;"")*(F131:Q131&lt;&gt;0), COLUMN(F111:Q131)-COLUMN(F131)+1)))</f>
        <v>0</v>
      </c>
      <c r="W131" s="432">
        <v>0</v>
      </c>
      <c r="X131" s="269"/>
    </row>
    <row r="132" spans="1:24" s="345" customFormat="1" x14ac:dyDescent="0.25">
      <c r="A132" s="302"/>
      <c r="B132" s="307"/>
      <c r="C132" s="295"/>
      <c r="D132" s="336"/>
      <c r="E132" s="151"/>
      <c r="F132" s="279"/>
      <c r="G132" s="279"/>
      <c r="H132" s="279"/>
      <c r="I132" s="279"/>
      <c r="J132" s="279"/>
      <c r="K132" s="279"/>
      <c r="L132" s="279"/>
      <c r="M132" s="279"/>
      <c r="N132" s="279"/>
      <c r="O132" s="279"/>
      <c r="P132" s="279"/>
      <c r="Q132" s="279"/>
      <c r="R132" s="279"/>
      <c r="S132" s="279"/>
      <c r="T132" s="279"/>
      <c r="U132" s="279"/>
      <c r="V132" s="285"/>
      <c r="W132" s="146"/>
      <c r="X132" s="269"/>
    </row>
    <row r="133" spans="1:24" s="362" customFormat="1" x14ac:dyDescent="0.25">
      <c r="A133" s="340"/>
      <c r="B133" s="341"/>
      <c r="C133" s="342" t="s">
        <v>1665</v>
      </c>
      <c r="D133" s="343"/>
      <c r="E133" s="264" t="s">
        <v>1666</v>
      </c>
      <c r="F133" s="338"/>
      <c r="G133" s="338"/>
      <c r="H133" s="338"/>
      <c r="I133" s="338"/>
      <c r="J133" s="338"/>
      <c r="K133" s="338"/>
      <c r="L133" s="338"/>
      <c r="M133" s="338"/>
      <c r="N133" s="338"/>
      <c r="O133" s="338"/>
      <c r="P133" s="338"/>
      <c r="Q133" s="338"/>
      <c r="R133" s="338"/>
      <c r="S133" s="338"/>
      <c r="T133" s="338"/>
      <c r="U133" s="338"/>
      <c r="V133" s="339"/>
      <c r="W133" s="265"/>
      <c r="X133" s="337"/>
    </row>
    <row r="134" spans="1:24" s="345" customFormat="1" x14ac:dyDescent="0.25">
      <c r="A134" s="344"/>
      <c r="B134" s="344"/>
      <c r="C134" s="344"/>
      <c r="E134" s="161"/>
      <c r="F134" s="346"/>
      <c r="G134" s="346"/>
      <c r="H134" s="346"/>
      <c r="I134" s="346"/>
      <c r="J134" s="346"/>
      <c r="K134" s="346"/>
      <c r="L134" s="346"/>
      <c r="M134" s="346"/>
      <c r="N134" s="346"/>
      <c r="O134" s="346"/>
      <c r="P134" s="346"/>
      <c r="Q134" s="346"/>
      <c r="R134" s="346"/>
      <c r="S134" s="346"/>
      <c r="T134" s="346"/>
      <c r="U134" s="346"/>
      <c r="W134" s="139"/>
    </row>
    <row r="135" spans="1:24" s="345" customFormat="1" x14ac:dyDescent="0.25">
      <c r="A135" s="344"/>
      <c r="B135" s="344"/>
      <c r="C135" s="345" t="s">
        <v>1667</v>
      </c>
      <c r="E135" s="161"/>
      <c r="F135" s="346"/>
      <c r="G135" s="346"/>
      <c r="H135" s="346"/>
      <c r="I135" s="346"/>
      <c r="J135" s="346"/>
      <c r="K135" s="346"/>
      <c r="L135" s="346"/>
      <c r="M135" s="346"/>
      <c r="N135" s="346"/>
      <c r="O135" s="346"/>
      <c r="P135" s="346"/>
      <c r="Q135" s="346"/>
      <c r="R135" s="346"/>
      <c r="S135" s="346"/>
      <c r="T135" s="346"/>
      <c r="U135" s="346"/>
      <c r="W135" s="139"/>
    </row>
    <row r="136" spans="1:24" s="345" customFormat="1" x14ac:dyDescent="0.25">
      <c r="A136" s="344"/>
      <c r="B136" s="344"/>
      <c r="C136" s="344"/>
      <c r="E136" s="161"/>
      <c r="F136" s="346"/>
      <c r="G136" s="346"/>
      <c r="H136" s="346"/>
      <c r="I136" s="346"/>
      <c r="J136" s="346"/>
      <c r="K136" s="346"/>
      <c r="L136" s="346"/>
      <c r="M136" s="346"/>
      <c r="N136" s="346"/>
      <c r="O136" s="346"/>
      <c r="P136" s="346"/>
      <c r="Q136" s="346"/>
      <c r="R136" s="346"/>
      <c r="S136" s="346"/>
      <c r="T136" s="346"/>
      <c r="U136" s="346"/>
      <c r="W136" s="139"/>
    </row>
    <row r="137" spans="1:24" s="345" customFormat="1" x14ac:dyDescent="0.25">
      <c r="A137" s="344"/>
      <c r="B137" s="347" t="s">
        <v>1668</v>
      </c>
      <c r="C137" s="347"/>
      <c r="E137" s="161"/>
      <c r="F137" s="346"/>
      <c r="G137" s="346"/>
      <c r="H137" s="346"/>
      <c r="I137" s="346"/>
      <c r="J137" s="346"/>
      <c r="K137" s="346"/>
      <c r="L137" s="346"/>
      <c r="M137" s="346"/>
      <c r="N137" s="346"/>
      <c r="O137" s="346"/>
      <c r="P137" s="346"/>
      <c r="Q137" s="346"/>
      <c r="R137" s="346"/>
      <c r="S137" s="346"/>
      <c r="T137" s="346"/>
      <c r="U137" s="346"/>
      <c r="W137" s="139"/>
    </row>
    <row r="138" spans="1:24" s="345" customFormat="1" x14ac:dyDescent="0.25">
      <c r="A138" s="344"/>
      <c r="B138" s="348"/>
      <c r="C138" s="344"/>
      <c r="D138" s="345" t="s">
        <v>1669</v>
      </c>
      <c r="E138" s="161"/>
      <c r="F138" s="346"/>
      <c r="G138" s="346"/>
      <c r="H138" s="346"/>
      <c r="I138" s="346"/>
      <c r="J138" s="346"/>
      <c r="K138" s="346"/>
      <c r="L138" s="346"/>
      <c r="M138" s="346"/>
      <c r="N138" s="346"/>
      <c r="O138" s="346"/>
      <c r="P138" s="346"/>
      <c r="Q138" s="346"/>
      <c r="R138" s="346"/>
      <c r="S138" s="346"/>
      <c r="T138" s="346"/>
      <c r="U138" s="346"/>
      <c r="W138" s="139"/>
    </row>
    <row r="139" spans="1:24" s="345" customFormat="1" x14ac:dyDescent="0.25">
      <c r="A139" s="344"/>
      <c r="B139" s="349"/>
      <c r="C139" s="344"/>
      <c r="D139" s="345" t="s">
        <v>1670</v>
      </c>
      <c r="E139" s="161"/>
      <c r="F139" s="346"/>
      <c r="G139" s="346"/>
      <c r="H139" s="346"/>
      <c r="I139" s="346"/>
      <c r="J139" s="346"/>
      <c r="K139" s="346"/>
      <c r="L139" s="346"/>
      <c r="M139" s="346"/>
      <c r="N139" s="346"/>
      <c r="O139" s="346"/>
      <c r="P139" s="346"/>
      <c r="Q139" s="346"/>
      <c r="R139" s="346"/>
      <c r="S139" s="346"/>
      <c r="T139" s="346"/>
      <c r="U139" s="346"/>
      <c r="W139" s="139"/>
    </row>
    <row r="140" spans="1:24" s="345" customFormat="1" x14ac:dyDescent="0.25">
      <c r="A140" s="344"/>
      <c r="B140" s="350"/>
      <c r="C140" s="344"/>
      <c r="D140" s="345" t="s">
        <v>1671</v>
      </c>
      <c r="E140" s="161"/>
      <c r="F140" s="346"/>
      <c r="G140" s="346"/>
      <c r="H140" s="346"/>
      <c r="I140" s="346"/>
      <c r="J140" s="346"/>
      <c r="K140" s="346"/>
      <c r="L140" s="346"/>
      <c r="M140" s="346"/>
      <c r="N140" s="346"/>
      <c r="O140" s="346"/>
      <c r="P140" s="346"/>
      <c r="Q140" s="346"/>
      <c r="R140" s="346"/>
      <c r="S140" s="346"/>
      <c r="T140" s="346"/>
      <c r="U140" s="346"/>
      <c r="W140" s="139"/>
    </row>
    <row r="144" spans="1:24" x14ac:dyDescent="0.25">
      <c r="D144" s="139" t="s">
        <v>7617</v>
      </c>
    </row>
    <row r="147" spans="4:4" x14ac:dyDescent="0.25">
      <c r="D147" s="139" t="s">
        <v>7618</v>
      </c>
    </row>
    <row r="148" spans="4:4" x14ac:dyDescent="0.25">
      <c r="D148" s="139" t="s">
        <v>7619</v>
      </c>
    </row>
    <row r="149" spans="4:4" x14ac:dyDescent="0.25">
      <c r="D149" s="139" t="s">
        <v>7620</v>
      </c>
    </row>
    <row r="153" spans="4:4" x14ac:dyDescent="0.25">
      <c r="D153" s="139" t="s">
        <v>7621</v>
      </c>
    </row>
    <row r="156" spans="4:4" x14ac:dyDescent="0.25">
      <c r="D156" s="139" t="s">
        <v>7622</v>
      </c>
    </row>
    <row r="157" spans="4:4" x14ac:dyDescent="0.25">
      <c r="D157" s="139" t="s">
        <v>7623</v>
      </c>
    </row>
    <row r="158" spans="4:4" x14ac:dyDescent="0.25">
      <c r="D158" s="139" t="s">
        <v>7624</v>
      </c>
    </row>
  </sheetData>
  <sheetProtection algorithmName="SHA-512" hashValue="MJusmRTTpwjpUi86OQTgt9UHHcSaGDH0fDzOcRtH97WpqGiPnZAtV3HlrSrXKiUvjn2rwo6ZbH6O5pg7vuNuVw==" saltValue="wDLpyLh4xQNluJhncmX5/g==" spinCount="100000" sheet="1" objects="1" scenarios="1"/>
  <mergeCells count="33">
    <mergeCell ref="X10:X11"/>
    <mergeCell ref="A8:W8"/>
    <mergeCell ref="A3:W3"/>
    <mergeCell ref="A4:W4"/>
    <mergeCell ref="A5:W5"/>
    <mergeCell ref="A6:W6"/>
    <mergeCell ref="A7:W7"/>
    <mergeCell ref="A10:D11"/>
    <mergeCell ref="E10:E11"/>
    <mergeCell ref="F10:Q10"/>
    <mergeCell ref="V10:V11"/>
    <mergeCell ref="W10:W11"/>
    <mergeCell ref="U10:U11"/>
    <mergeCell ref="T10:T11"/>
    <mergeCell ref="S10:S11"/>
    <mergeCell ref="R10:R11"/>
    <mergeCell ref="A12:D12"/>
    <mergeCell ref="A20:D20"/>
    <mergeCell ref="C53:D53"/>
    <mergeCell ref="C79:D79"/>
    <mergeCell ref="C90:D90"/>
    <mergeCell ref="C73:D73"/>
    <mergeCell ref="C47:D47"/>
    <mergeCell ref="C75:D75"/>
    <mergeCell ref="X117:X118"/>
    <mergeCell ref="X89:X90"/>
    <mergeCell ref="X123:X124"/>
    <mergeCell ref="C118:D118"/>
    <mergeCell ref="C91:D91"/>
    <mergeCell ref="C95:D95"/>
    <mergeCell ref="C99:D99"/>
    <mergeCell ref="B100:D100"/>
    <mergeCell ref="B113:D113"/>
  </mergeCells>
  <phoneticPr fontId="6" type="noConversion"/>
  <hyperlinks>
    <hyperlink ref="X14" location="'Annex 1.1. Outcome_CLUP'!A1" display="Annex 1.1. Outcome_CLUP" xr:uid="{D071A4C3-2357-4881-8469-9FCECE57951D}"/>
    <hyperlink ref="X15" location="'Annex 1.1.1 Outcome_CommPlan'!A1" display="'Annex 1.1.1 Outcome_CommPlan'!A1" xr:uid="{BD35EDAC-F5EF-45BA-AA43-45E9D95870A0}"/>
    <hyperlink ref="X16" location="'Annex 1.1.2 Outcome_Housing'!A1" display="'Annex 1.1.2 Outcome_Housing'!A1" xr:uid="{881CF507-C687-4993-9A43-AE32A728C219}"/>
    <hyperlink ref="X17" location="'Annex 1.2. Outcome_PDPFP'!A1" display="'Annex 1.2. Outcome_PDPFP'!A1" xr:uid="{A6A80851-0195-47C6-9DD6-12CDC7D8E13C}"/>
    <hyperlink ref="X19" location="'Annex 2.1. Outcome_UrbanDev'!A1" display="'Annex 2.1. Outcome_UrbanDev'!A1" xr:uid="{D80A76C4-0EA7-4775-880D-2F3EB6B11117}"/>
    <hyperlink ref="X23" location="'Annex 4.1 TA_CLUP'!A1" display="'Annex 4.1 TA_CLUP'!A1" xr:uid="{F8CA030A-D5C4-4390-9FF9-559059DB35BA}"/>
    <hyperlink ref="X28" location="'Annex 4.2 TA_PDPFP'!A1" display="'Annex 4.2 TA_PDPFP'!A1" xr:uid="{9FAF95FE-750E-40FA-95C0-412BFA3150F4}"/>
    <hyperlink ref="X33" location="'Annex 4.3 TA_HouSub'!A1" display="'Annex 4.3 TA_HouSub'!A1" xr:uid="{9C6E9721-DFFD-487E-B224-C1C76463238B}"/>
    <hyperlink ref="X38" location="'Annex 4.4 TA_RA'!A1" display="'Annex 4.4 TA_RA'!A1" xr:uid="{41AA246A-A810-4620-8FA2-679880B1F0DA}"/>
    <hyperlink ref="X43" location="'Annex 4.5 TA_Imp'!A1" display="'Annex 4.5 TA_Imp'!A1" xr:uid="{45623D07-3B96-4B2F-8C0F-6B1BDDE25A72}"/>
    <hyperlink ref="X61" location="'Annex 5.1 TR_CLUP-ZO'!A1" display="'Annex 5.1 TR_CLUP-ZO'!A1" xr:uid="{4489A647-9518-4BB9-8A27-921EC0B4A761}"/>
    <hyperlink ref="X64" location="'Annex 5.2 TR_GIS'!A1" display="'Annex 5.2 TR_GIS'!A1" xr:uid="{E046BE47-91D3-4CB6-9EED-68C584CDE784}"/>
    <hyperlink ref="X67" location="'Annex 5.3 TR_CDRA'!A1" display="'Annex 5.3 TR_CDRA'!A1" xr:uid="{01431216-C702-42A9-859F-B175E4584AAB}"/>
    <hyperlink ref="X70" location="'Annex 5.4 TR_Imp'!A1" display="'Annex 5.4 TR_Imp'!A1" xr:uid="{ADBB0107-7E3B-473C-AE2D-FADF6491BE5E}"/>
    <hyperlink ref="X73" location="'Annex 5.5 TR_HouSub'!A1" display="'Annex 5.5 TR_HouSub'!A1" xr:uid="{F13E849E-C403-4908-8127-A90CB48BFC30}"/>
    <hyperlink ref="X106" location="'Annex 9.1. Inventory'!A1" display="'Annex 9.1. Inventory'!A1" xr:uid="{3039B12B-83A4-4E2A-A8AB-B519F6633EE7}"/>
    <hyperlink ref="X111" location="'Annex 9.2. Budget'!A1" display="'Annex 9.2. Budget'!A1" xr:uid="{E620E55A-3BE9-40C7-957A-E86056F532FD}"/>
    <hyperlink ref="X84" location="'Annex 6.1 UD_FormReview'!A1" display="Annex 6.3 UD_FormReview'!A1" xr:uid="{59C2C8BC-1031-44B6-9F0D-DD58E215FC31}"/>
    <hyperlink ref="X89" location="'Annex 7.1 Review_CChk'!A1" display="'Annex 7.1 Review_CChk'!A1" xr:uid="{2CE68BE0-0021-40DD-8261-0A4C5594B2DC}"/>
    <hyperlink ref="X93" location="'Annex 7.2 Review_CLUP-PDPFP'!A1" display="'Annex 7.2 Review_CLUP-PDPFP'!A1" xr:uid="{F9A5D161-E1BB-4B4C-80AB-6887AD845EF4}"/>
    <hyperlink ref="X94" location="'Annex 7.3 Review_Reports'!A1" display="'Annex 7.3 Review_Reports'!A1" xr:uid="{657B06BE-1534-41BB-8F75-0C83F1B25217}"/>
    <hyperlink ref="X95" location="'Annex 7.4 Review_Sessions'!A1" display="'Annex 7.4 Review_Sessions'!A1" xr:uid="{F1BFC1B8-007E-4C5B-8CA6-1ADC62D0CE09}"/>
    <hyperlink ref="X97" location="'Annex 7.2 Review_CLUP-PDPFP'!A1" display="'Annex 7.2 Review_CLUP-PDPFP'!A1" xr:uid="{E9364C7A-CF0D-42A1-82D5-0D3D97C5F12C}"/>
    <hyperlink ref="X98" location="'Annex 7.3 Review_Reports'!A1" display="'Annex 7.3 Review_Reports'!A1" xr:uid="{140379EE-5C18-431A-B7CD-530796CAE2A1}"/>
    <hyperlink ref="X99" location="'Annex 7.4 Review_Sessions'!A1" display="'Annex 7.4 Review_Sessions'!A1" xr:uid="{DDC601AC-4152-4154-9E2A-F9CE689BBBF5}"/>
    <hyperlink ref="X123:X124" location="'Annex 11 Certifications'!A1" display="'Annex 11 Certifications'!A1" xr:uid="{61859DB8-D661-42BB-9F1D-54D808A5AEB4}"/>
    <hyperlink ref="X126" location="'Annex 12 Other Assignments'!A1" display="'Annex 12 Other Assignments'!A1" xr:uid="{E0494891-F49C-4774-88F8-6E359477650E}"/>
    <hyperlink ref="X54" location="'Annex 4.7 TA_Others'!A1" display="'Annex 4.7 TA_Others'!A1" xr:uid="{7F0F41A2-BC62-4C07-85BF-F01DC033CF1A}"/>
    <hyperlink ref="X48" location="'Annex 4.6 TA_UD'!A1" display="'Annex 4.6 TA_UD'!A1" xr:uid="{BC9B4D69-204D-4F28-B811-172B61808D1B}"/>
    <hyperlink ref="X80" location="'Annex 5.7 TR_Others'!A1" display="'Annex 5.7 TR_Others'!A1" xr:uid="{6B50ACC7-B58E-411E-BCAE-4D7F00809468}"/>
    <hyperlink ref="X76" location="'Annex 5.6 TR_UD'!A1" display="'Annex 5.6 TR_UD'!A1" xr:uid="{8C4CE810-C6C3-495B-81FD-975A220CCB36}"/>
    <hyperlink ref="X102" location="'Annex 8 Plan Monitoring'!A1" display="'Annex 8 Plan Monitoring'!A1" xr:uid="{8DF2B052-2312-457A-A603-9D28F9A74630}"/>
    <hyperlink ref="X116" location="'Annex 10.1 Link - Membership'!A1" display="'Annex 10.1 Link - Membership'!A1" xr:uid="{CE84C552-C807-43EB-8B93-7F4AACAF520B}"/>
    <hyperlink ref="X117:X118" location="'Annex 10.2 Meetings-Papers'!A1" display="'Annex 10.2 Meetings-Papers'!A1" xr:uid="{FE8D2909-BF6B-49FF-8148-AC0804B4BB17}"/>
    <hyperlink ref="X120" location="'Annex 10.3 Link - Partnerships'!A1" display="'Annex 10.3 Link - Partnerships'!A1" xr:uid="{48FE5F48-4744-4897-825C-EBE69D9BF39A}"/>
  </hyperlinks>
  <printOptions horizontalCentered="1"/>
  <pageMargins left="0.25" right="0.25" top="0.75" bottom="0.75" header="0.3" footer="0.3"/>
  <pageSetup paperSize="14" scale="36" fitToHeight="0" orientation="landscape" r:id="rId1"/>
  <rowBreaks count="1" manualBreakCount="1">
    <brk id="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CA962-8695-46C1-A669-162396496188}">
  <sheetPr codeName="Sheet5">
    <tabColor theme="8" tint="-0.249977111117893"/>
  </sheetPr>
  <dimension ref="A1:R13"/>
  <sheetViews>
    <sheetView topLeftCell="A7" zoomScale="70" zoomScaleNormal="70" workbookViewId="0">
      <selection activeCell="B14" sqref="B14"/>
    </sheetView>
  </sheetViews>
  <sheetFormatPr defaultColWidth="8.88671875" defaultRowHeight="13.8" x14ac:dyDescent="0.25"/>
  <cols>
    <col min="1" max="1" width="7.6640625" style="164" customWidth="1"/>
    <col min="2" max="2" width="21.33203125" style="164" customWidth="1"/>
    <col min="3" max="3" width="26.6640625" style="164" customWidth="1"/>
    <col min="4" max="4" width="46" style="171" customWidth="1"/>
    <col min="5" max="5" width="17.5546875" style="171" bestFit="1" customWidth="1"/>
    <col min="6" max="6" width="32.33203125" style="164" bestFit="1" customWidth="1"/>
    <col min="7" max="7" width="20.88671875" style="172" customWidth="1"/>
    <col min="8" max="8" width="20.88671875" style="164" customWidth="1"/>
    <col min="9" max="9" width="24.5546875" style="164" customWidth="1"/>
    <col min="10" max="16384" width="8.88671875" style="164"/>
  </cols>
  <sheetData>
    <row r="1" spans="1:18" ht="14.4" x14ac:dyDescent="0.3">
      <c r="A1" s="173" t="s">
        <v>1672</v>
      </c>
      <c r="B1" s="32"/>
      <c r="C1" s="32"/>
      <c r="D1" s="174" t="s">
        <v>1673</v>
      </c>
      <c r="E1" s="175"/>
      <c r="F1" s="32"/>
      <c r="G1" s="32"/>
      <c r="H1" s="32"/>
      <c r="I1" s="32"/>
      <c r="J1" s="32"/>
      <c r="K1" s="32"/>
      <c r="L1" s="32"/>
      <c r="M1" s="32"/>
      <c r="N1" s="32"/>
      <c r="O1" s="32"/>
      <c r="P1" s="32"/>
      <c r="Q1" s="32"/>
      <c r="R1" s="32"/>
    </row>
    <row r="2" spans="1:18" x14ac:dyDescent="0.25">
      <c r="A2" s="176"/>
      <c r="B2" s="35"/>
      <c r="C2" s="32"/>
      <c r="D2" s="32"/>
      <c r="E2" s="32"/>
      <c r="F2" s="32"/>
      <c r="G2" s="32"/>
      <c r="H2" s="32"/>
      <c r="I2" s="32"/>
      <c r="J2" s="32"/>
      <c r="K2" s="32"/>
      <c r="L2" s="32"/>
      <c r="M2" s="32"/>
      <c r="N2" s="32"/>
      <c r="O2" s="32"/>
      <c r="P2" s="32"/>
      <c r="Q2" s="32"/>
      <c r="R2" s="32"/>
    </row>
    <row r="3" spans="1:18" x14ac:dyDescent="0.25">
      <c r="A3" s="363">
        <v>1</v>
      </c>
      <c r="B3" s="364" t="s">
        <v>1511</v>
      </c>
      <c r="C3" s="364"/>
      <c r="D3" s="32"/>
      <c r="E3" s="32"/>
      <c r="F3" s="32"/>
      <c r="G3" s="32"/>
      <c r="H3" s="32"/>
      <c r="I3" s="32"/>
      <c r="J3" s="32"/>
      <c r="K3" s="32"/>
      <c r="L3" s="32"/>
      <c r="M3" s="32"/>
      <c r="N3" s="32"/>
      <c r="O3" s="32"/>
      <c r="P3" s="32"/>
      <c r="Q3" s="32"/>
      <c r="R3" s="32"/>
    </row>
    <row r="4" spans="1:18" x14ac:dyDescent="0.25">
      <c r="A4" s="178"/>
      <c r="B4" s="206" t="s">
        <v>1513</v>
      </c>
      <c r="C4" s="32"/>
      <c r="D4" s="32"/>
      <c r="E4" s="32"/>
      <c r="F4" s="32"/>
      <c r="G4" s="32"/>
      <c r="H4" s="32"/>
      <c r="I4" s="32"/>
      <c r="J4" s="32"/>
      <c r="K4" s="32"/>
      <c r="L4" s="32"/>
      <c r="M4" s="32"/>
      <c r="N4" s="32"/>
      <c r="O4" s="32"/>
      <c r="P4" s="32"/>
      <c r="Q4" s="32"/>
      <c r="R4" s="32"/>
    </row>
    <row r="5" spans="1:18" ht="62.4" customHeight="1" x14ac:dyDescent="0.25">
      <c r="A5" s="178"/>
      <c r="B5" s="599" t="s">
        <v>1674</v>
      </c>
      <c r="C5" s="599"/>
      <c r="D5" s="599"/>
      <c r="E5" s="599"/>
      <c r="F5" s="599"/>
      <c r="G5" s="599"/>
      <c r="H5" s="599"/>
      <c r="I5" s="599"/>
      <c r="J5" s="599"/>
      <c r="K5" s="599"/>
      <c r="L5" s="599"/>
      <c r="M5" s="599"/>
      <c r="N5" s="599"/>
      <c r="O5" s="599"/>
      <c r="P5" s="599"/>
      <c r="Q5" s="599"/>
      <c r="R5" s="599"/>
    </row>
    <row r="6" spans="1:18" ht="63" customHeight="1" x14ac:dyDescent="0.25">
      <c r="A6" s="178"/>
      <c r="B6" s="600" t="s">
        <v>1675</v>
      </c>
      <c r="C6" s="601"/>
      <c r="D6" s="601"/>
      <c r="E6" s="601"/>
      <c r="F6" s="601"/>
      <c r="G6" s="601"/>
      <c r="H6" s="601"/>
      <c r="I6" s="601"/>
      <c r="J6" s="601"/>
      <c r="K6" s="601"/>
      <c r="L6" s="601"/>
      <c r="M6" s="601"/>
      <c r="N6" s="601"/>
      <c r="O6" s="601"/>
      <c r="P6" s="601"/>
      <c r="Q6" s="601"/>
      <c r="R6" s="601"/>
    </row>
    <row r="7" spans="1:18" x14ac:dyDescent="0.25">
      <c r="A7" s="32"/>
      <c r="B7" s="602" t="s">
        <v>1676</v>
      </c>
      <c r="C7" s="602"/>
      <c r="D7" s="602"/>
      <c r="E7" s="602"/>
      <c r="F7" s="602"/>
      <c r="G7" s="602"/>
      <c r="H7" s="602"/>
      <c r="I7" s="602"/>
      <c r="J7" s="602"/>
      <c r="K7" s="602"/>
      <c r="L7" s="602"/>
      <c r="M7" s="602"/>
      <c r="N7" s="602"/>
      <c r="O7" s="602"/>
      <c r="P7" s="602"/>
      <c r="Q7" s="602"/>
      <c r="R7" s="602"/>
    </row>
    <row r="8" spans="1:18" x14ac:dyDescent="0.25">
      <c r="A8" s="32"/>
      <c r="B8" s="173"/>
      <c r="C8" s="173"/>
      <c r="D8" s="173"/>
      <c r="E8" s="173"/>
      <c r="F8" s="173"/>
      <c r="G8" s="173"/>
      <c r="H8" s="173"/>
      <c r="I8" s="173"/>
      <c r="J8" s="173"/>
      <c r="K8" s="173"/>
      <c r="L8" s="173"/>
      <c r="M8" s="173"/>
      <c r="N8" s="173"/>
      <c r="O8" s="173"/>
      <c r="P8" s="173"/>
      <c r="Q8" s="173"/>
      <c r="R8" s="173"/>
    </row>
    <row r="9" spans="1:18" x14ac:dyDescent="0.25">
      <c r="A9" s="32"/>
      <c r="B9" s="179" t="s">
        <v>1677</v>
      </c>
      <c r="C9" s="180"/>
      <c r="D9" s="181">
        <f>COUNTIFS(C14:C1048576,"&lt;&gt;",H14:H1048576,"&lt;&gt;Late Reporting (previous year/s)")</f>
        <v>0</v>
      </c>
      <c r="E9" s="173"/>
      <c r="F9" s="173"/>
      <c r="G9" s="173"/>
      <c r="H9" s="173"/>
      <c r="I9" s="173"/>
      <c r="J9" s="173"/>
      <c r="K9" s="173"/>
      <c r="L9" s="173"/>
      <c r="M9" s="173"/>
      <c r="N9" s="173"/>
      <c r="O9" s="173"/>
      <c r="P9" s="173"/>
      <c r="Q9" s="173"/>
      <c r="R9" s="173"/>
    </row>
    <row r="10" spans="1:18" x14ac:dyDescent="0.25">
      <c r="A10" s="32"/>
      <c r="B10" s="173"/>
      <c r="C10" s="173"/>
      <c r="D10" s="173"/>
      <c r="E10" s="173"/>
      <c r="F10" s="173"/>
      <c r="G10" s="173"/>
      <c r="H10" s="173"/>
      <c r="I10" s="173"/>
      <c r="J10" s="173"/>
      <c r="K10" s="173"/>
      <c r="L10" s="173"/>
      <c r="M10" s="173"/>
      <c r="N10" s="173"/>
      <c r="O10" s="173"/>
      <c r="P10" s="173"/>
      <c r="Q10" s="173"/>
      <c r="R10" s="173"/>
    </row>
    <row r="11" spans="1:18" x14ac:dyDescent="0.25">
      <c r="A11" s="32"/>
      <c r="B11" s="173"/>
      <c r="C11" s="173"/>
      <c r="D11" s="173"/>
      <c r="E11" s="173"/>
      <c r="F11" s="173"/>
      <c r="G11" s="173"/>
      <c r="H11" s="173"/>
      <c r="I11" s="173"/>
      <c r="J11" s="173"/>
      <c r="K11" s="173"/>
      <c r="L11" s="173"/>
      <c r="M11" s="173"/>
      <c r="N11" s="173"/>
      <c r="O11" s="173"/>
      <c r="P11" s="173"/>
      <c r="Q11" s="173"/>
      <c r="R11" s="173"/>
    </row>
    <row r="12" spans="1:18" x14ac:dyDescent="0.25">
      <c r="A12" s="32"/>
      <c r="B12" s="32"/>
      <c r="C12" s="32"/>
      <c r="D12" s="32"/>
      <c r="E12" s="32"/>
      <c r="F12" s="32"/>
      <c r="G12" s="32"/>
      <c r="H12" s="32"/>
      <c r="I12" s="32"/>
      <c r="J12" s="32"/>
      <c r="K12" s="32"/>
      <c r="L12" s="32"/>
      <c r="M12" s="32"/>
      <c r="N12" s="32"/>
      <c r="O12" s="32"/>
      <c r="P12" s="32"/>
      <c r="Q12" s="32"/>
      <c r="R12" s="32"/>
    </row>
    <row r="13" spans="1:18" s="169" customFormat="1" ht="27.6" x14ac:dyDescent="0.25">
      <c r="A13" s="183" t="s">
        <v>1678</v>
      </c>
      <c r="B13" s="183" t="s">
        <v>1679</v>
      </c>
      <c r="C13" s="183" t="s">
        <v>1680</v>
      </c>
      <c r="D13" s="184" t="s">
        <v>1681</v>
      </c>
      <c r="E13" s="184" t="s">
        <v>1682</v>
      </c>
      <c r="F13" s="183" t="s">
        <v>1683</v>
      </c>
      <c r="G13" s="184" t="s">
        <v>1684</v>
      </c>
      <c r="H13" s="184" t="s">
        <v>1685</v>
      </c>
      <c r="I13" s="183" t="s">
        <v>1686</v>
      </c>
      <c r="J13" s="182"/>
      <c r="K13" s="182"/>
      <c r="L13" s="182"/>
      <c r="M13" s="182"/>
      <c r="N13" s="182"/>
      <c r="O13" s="182"/>
      <c r="P13" s="182"/>
      <c r="Q13" s="182"/>
      <c r="R13" s="182"/>
    </row>
  </sheetData>
  <mergeCells count="3">
    <mergeCell ref="B5:R5"/>
    <mergeCell ref="B6:R6"/>
    <mergeCell ref="B7:R7"/>
  </mergeCells>
  <dataValidations count="1">
    <dataValidation type="list" allowBlank="1" showInputMessage="1" showErrorMessage="1" sqref="B14:C1048576" xr:uid="{5C3B0F3D-427B-4CF8-BC85-2B0263E3E628}">
      <formula1>INDIRECT(A14)</formula1>
    </dataValidation>
  </dataValidations>
  <hyperlinks>
    <hyperlink ref="D1" location="'Accomplishment 2025'!A1" display="Back to Summary of Accomplishments 2025" xr:uid="{7A7D61BA-94FD-4D9C-8CB6-419E7AA81D1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97C8DF9-F5FF-4870-876E-5689D98570EA}">
          <x14:formula1>
            <xm:f>Picklists!$A$2:$A$14</xm:f>
          </x14:formula1>
          <xm:sqref>H14:H1048576</xm:sqref>
        </x14:dataValidation>
        <x14:dataValidation type="list" allowBlank="1" showInputMessage="1" showErrorMessage="1" xr:uid="{ED9C1AA1-A41E-4437-9754-61A742D173CD}">
          <x14:formula1>
            <xm:f>LGU_Masterlist!$D$2:$T$2</xm:f>
          </x14:formula1>
          <xm:sqref>A14:A1048576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4A8E-B409-40E3-BD04-04F7570F8EAE}">
  <sheetPr codeName="Sheet6">
    <tabColor theme="8" tint="0.59999389629810485"/>
  </sheetPr>
  <dimension ref="A1:R13"/>
  <sheetViews>
    <sheetView zoomScale="70" zoomScaleNormal="70" workbookViewId="0">
      <selection activeCell="H25" sqref="H25"/>
    </sheetView>
  </sheetViews>
  <sheetFormatPr defaultColWidth="8.88671875" defaultRowHeight="13.8" x14ac:dyDescent="0.25"/>
  <cols>
    <col min="1" max="1" width="8.109375" style="164" customWidth="1"/>
    <col min="2" max="2" width="21.33203125" style="164" customWidth="1"/>
    <col min="3" max="3" width="26.6640625" style="164" customWidth="1"/>
    <col min="4" max="5" width="17.5546875" style="171" bestFit="1" customWidth="1"/>
    <col min="6" max="6" width="38.88671875" style="164" customWidth="1"/>
    <col min="7" max="7" width="20.88671875" style="172" customWidth="1"/>
    <col min="8" max="8" width="20.88671875" style="164" customWidth="1"/>
    <col min="9" max="9" width="24.5546875" style="164" customWidth="1"/>
    <col min="10" max="10" width="8.88671875" style="164"/>
    <col min="11" max="11" width="39.6640625" style="164" bestFit="1" customWidth="1"/>
    <col min="12" max="16384" width="8.88671875" style="164"/>
  </cols>
  <sheetData>
    <row r="1" spans="1:18" s="32" customFormat="1" ht="14.4" x14ac:dyDescent="0.3">
      <c r="A1" s="173" t="s">
        <v>1672</v>
      </c>
      <c r="D1" s="185"/>
      <c r="E1" s="175"/>
      <c r="F1" s="174" t="s">
        <v>1673</v>
      </c>
    </row>
    <row r="2" spans="1:18" s="32" customFormat="1" x14ac:dyDescent="0.25">
      <c r="A2" s="176"/>
      <c r="B2" s="35"/>
    </row>
    <row r="3" spans="1:18" s="32" customFormat="1" x14ac:dyDescent="0.25">
      <c r="A3" s="363">
        <v>1</v>
      </c>
      <c r="B3" s="364" t="s">
        <v>1511</v>
      </c>
      <c r="C3" s="364"/>
    </row>
    <row r="4" spans="1:18" s="32" customFormat="1" x14ac:dyDescent="0.25">
      <c r="A4" s="178"/>
      <c r="B4" s="206" t="s">
        <v>1687</v>
      </c>
    </row>
    <row r="5" spans="1:18" s="32" customFormat="1" x14ac:dyDescent="0.25">
      <c r="A5" s="178"/>
      <c r="B5" s="599" t="s">
        <v>1688</v>
      </c>
      <c r="C5" s="599"/>
      <c r="D5" s="599"/>
      <c r="E5" s="599"/>
      <c r="F5" s="599"/>
      <c r="G5" s="599"/>
      <c r="H5" s="599"/>
      <c r="I5" s="599"/>
      <c r="J5" s="599"/>
      <c r="K5" s="599"/>
      <c r="L5" s="599"/>
      <c r="M5" s="599"/>
      <c r="N5" s="599"/>
      <c r="O5" s="599"/>
      <c r="P5" s="599"/>
      <c r="Q5" s="599"/>
      <c r="R5" s="599"/>
    </row>
    <row r="6" spans="1:18" s="32" customFormat="1" ht="26.4" customHeight="1" x14ac:dyDescent="0.25">
      <c r="A6" s="178"/>
      <c r="B6" s="601" t="s">
        <v>1689</v>
      </c>
      <c r="C6" s="601"/>
      <c r="D6" s="601"/>
      <c r="E6" s="601"/>
      <c r="F6" s="601"/>
      <c r="G6" s="601"/>
      <c r="H6" s="601"/>
      <c r="I6" s="601"/>
      <c r="J6" s="601"/>
      <c r="K6" s="601"/>
      <c r="L6" s="601"/>
      <c r="M6" s="601"/>
      <c r="N6" s="601"/>
      <c r="O6" s="601"/>
      <c r="P6" s="601"/>
      <c r="Q6" s="601"/>
      <c r="R6" s="601"/>
    </row>
    <row r="7" spans="1:18" s="32" customFormat="1" x14ac:dyDescent="0.25">
      <c r="B7" s="602" t="s">
        <v>1690</v>
      </c>
      <c r="C7" s="602"/>
      <c r="D7" s="602"/>
      <c r="E7" s="602"/>
      <c r="F7" s="602"/>
      <c r="G7" s="602"/>
      <c r="H7" s="602"/>
      <c r="I7" s="602"/>
      <c r="J7" s="602"/>
      <c r="K7" s="602"/>
      <c r="L7" s="602"/>
      <c r="M7" s="602"/>
      <c r="N7" s="602"/>
      <c r="O7" s="602"/>
      <c r="P7" s="602"/>
      <c r="Q7" s="602"/>
      <c r="R7" s="602"/>
    </row>
    <row r="8" spans="1:18" s="32" customFormat="1" x14ac:dyDescent="0.25">
      <c r="B8" s="173"/>
      <c r="C8" s="173"/>
      <c r="D8" s="173"/>
      <c r="E8" s="173"/>
      <c r="F8" s="173"/>
      <c r="G8" s="173"/>
      <c r="H8" s="173"/>
      <c r="I8" s="173"/>
      <c r="J8" s="173"/>
      <c r="K8" s="173"/>
      <c r="L8" s="173"/>
      <c r="M8" s="173"/>
      <c r="N8" s="173"/>
      <c r="O8" s="173"/>
      <c r="P8" s="173"/>
      <c r="Q8" s="173"/>
      <c r="R8" s="173"/>
    </row>
    <row r="9" spans="1:18" s="32" customFormat="1" x14ac:dyDescent="0.25">
      <c r="B9" s="179" t="s">
        <v>1691</v>
      </c>
      <c r="C9" s="180"/>
      <c r="D9" s="181">
        <f>COUNTA(C14:C1048576)</f>
        <v>0</v>
      </c>
      <c r="E9" s="173"/>
      <c r="F9" s="173"/>
      <c r="G9" s="173"/>
      <c r="H9" s="173"/>
      <c r="I9" s="173"/>
      <c r="J9" s="173"/>
      <c r="K9" s="173"/>
      <c r="L9" s="173"/>
      <c r="M9" s="173"/>
      <c r="N9" s="173"/>
      <c r="O9" s="173"/>
      <c r="P9" s="173"/>
      <c r="Q9" s="173"/>
      <c r="R9" s="173"/>
    </row>
    <row r="10" spans="1:18" s="32" customFormat="1" x14ac:dyDescent="0.25">
      <c r="B10" s="173"/>
      <c r="C10" s="173"/>
      <c r="D10" s="173"/>
      <c r="E10" s="173"/>
      <c r="F10" s="173"/>
      <c r="G10" s="173"/>
      <c r="H10" s="173"/>
      <c r="I10" s="173"/>
      <c r="J10" s="173"/>
      <c r="K10" s="173"/>
      <c r="L10" s="173"/>
      <c r="M10" s="173"/>
      <c r="N10" s="173"/>
      <c r="O10" s="173"/>
      <c r="P10" s="173"/>
      <c r="Q10" s="173"/>
      <c r="R10" s="173"/>
    </row>
    <row r="11" spans="1:18" s="32" customFormat="1" x14ac:dyDescent="0.25">
      <c r="B11" s="173"/>
      <c r="C11" s="173"/>
      <c r="D11" s="173"/>
      <c r="E11" s="173"/>
      <c r="F11" s="173"/>
      <c r="G11" s="173"/>
      <c r="H11" s="173"/>
      <c r="I11" s="173"/>
      <c r="J11" s="173"/>
      <c r="K11" s="173"/>
      <c r="L11" s="173"/>
      <c r="M11" s="173"/>
      <c r="N11" s="173"/>
      <c r="O11" s="173"/>
      <c r="P11" s="173"/>
      <c r="Q11" s="173"/>
      <c r="R11" s="173"/>
    </row>
    <row r="12" spans="1:18" s="32" customFormat="1" x14ac:dyDescent="0.25"/>
    <row r="13" spans="1:18" s="182" customFormat="1" ht="27.6" x14ac:dyDescent="0.25">
      <c r="A13" s="183" t="s">
        <v>1678</v>
      </c>
      <c r="B13" s="183" t="s">
        <v>1679</v>
      </c>
      <c r="C13" s="183" t="s">
        <v>1680</v>
      </c>
      <c r="D13" s="184" t="s">
        <v>1681</v>
      </c>
      <c r="E13" s="184" t="s">
        <v>1682</v>
      </c>
      <c r="F13" s="183" t="s">
        <v>1683</v>
      </c>
      <c r="G13" s="184" t="s">
        <v>1684</v>
      </c>
      <c r="H13" s="184" t="s">
        <v>1685</v>
      </c>
      <c r="I13" s="183" t="s">
        <v>1686</v>
      </c>
    </row>
  </sheetData>
  <mergeCells count="3">
    <mergeCell ref="B5:R5"/>
    <mergeCell ref="B6:R6"/>
    <mergeCell ref="B7:R7"/>
  </mergeCells>
  <dataValidations count="1">
    <dataValidation type="list" allowBlank="1" showInputMessage="1" showErrorMessage="1" sqref="B14:C1048576" xr:uid="{FC409A6F-E89B-49EB-96A1-5B6FAEC0EE8E}">
      <formula1>INDIRECT(A14)</formula1>
    </dataValidation>
  </dataValidations>
  <hyperlinks>
    <hyperlink ref="F1" location="'Accomplishment 2025'!A1" display="Back to Summary of Accomplishments 2025" xr:uid="{372F08BF-A22F-452E-A23F-59C0BCCD51F1}"/>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6057AE-6573-4C20-AEFB-CB1C08F4F32D}">
          <x14:formula1>
            <xm:f>Picklists!$A$2:$A$14</xm:f>
          </x14:formula1>
          <xm:sqref>H14:H1048576</xm:sqref>
        </x14:dataValidation>
        <x14:dataValidation type="list" allowBlank="1" showInputMessage="1" showErrorMessage="1" xr:uid="{8AF70919-6333-4155-9F10-3A44AA4DCFBB}">
          <x14:formula1>
            <xm:f>LGU_Masterlist!$D$2:$T$2</xm:f>
          </x14:formula1>
          <xm:sqref>A14:A1048576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72AD9-17CB-4A03-81B1-BE0478CAFDC8}">
  <sheetPr codeName="Sheet7">
    <tabColor theme="8" tint="0.39997558519241921"/>
  </sheetPr>
  <dimension ref="A1:R13"/>
  <sheetViews>
    <sheetView topLeftCell="A3" zoomScale="70" zoomScaleNormal="70" workbookViewId="0">
      <selection activeCell="A3" sqref="A3"/>
    </sheetView>
  </sheetViews>
  <sheetFormatPr defaultColWidth="8.88671875" defaultRowHeight="13.8" x14ac:dyDescent="0.25"/>
  <cols>
    <col min="1" max="1" width="8.6640625" style="164" customWidth="1"/>
    <col min="2" max="2" width="21.33203125" style="164" customWidth="1"/>
    <col min="3" max="3" width="34.5546875" style="164" customWidth="1"/>
    <col min="4" max="5" width="17.5546875" style="171" bestFit="1" customWidth="1"/>
    <col min="6" max="6" width="32.33203125" style="164" bestFit="1" customWidth="1"/>
    <col min="7" max="7" width="20.88671875" style="172" customWidth="1"/>
    <col min="8" max="8" width="20.88671875" style="164" customWidth="1"/>
    <col min="9" max="9" width="24.5546875" style="164" customWidth="1"/>
    <col min="10" max="10" width="39.6640625" style="164" bestFit="1" customWidth="1"/>
    <col min="11" max="16384" width="8.88671875" style="164"/>
  </cols>
  <sheetData>
    <row r="1" spans="1:18" s="32" customFormat="1" ht="14.4" x14ac:dyDescent="0.3">
      <c r="A1" s="173" t="s">
        <v>1672</v>
      </c>
      <c r="D1" s="185"/>
      <c r="E1" s="175"/>
      <c r="J1" s="174" t="s">
        <v>1673</v>
      </c>
    </row>
    <row r="2" spans="1:18" s="32" customFormat="1" x14ac:dyDescent="0.25">
      <c r="A2" s="176"/>
      <c r="B2" s="35"/>
    </row>
    <row r="3" spans="1:18" s="32" customFormat="1" x14ac:dyDescent="0.25">
      <c r="A3" s="363">
        <v>1</v>
      </c>
      <c r="B3" s="364" t="s">
        <v>1511</v>
      </c>
      <c r="C3" s="364"/>
    </row>
    <row r="4" spans="1:18" s="32" customFormat="1" x14ac:dyDescent="0.25">
      <c r="A4" s="178"/>
      <c r="B4" s="206" t="s">
        <v>1692</v>
      </c>
    </row>
    <row r="5" spans="1:18" s="32" customFormat="1" x14ac:dyDescent="0.25">
      <c r="A5" s="178"/>
      <c r="B5" s="599" t="s">
        <v>1693</v>
      </c>
      <c r="C5" s="599"/>
      <c r="D5" s="599"/>
      <c r="E5" s="599"/>
      <c r="F5" s="599"/>
      <c r="G5" s="599"/>
      <c r="H5" s="599"/>
      <c r="I5" s="599"/>
      <c r="J5" s="599"/>
      <c r="K5" s="599"/>
      <c r="L5" s="599"/>
      <c r="M5" s="599"/>
      <c r="N5" s="599"/>
      <c r="O5" s="599"/>
      <c r="P5" s="599"/>
      <c r="Q5" s="599"/>
      <c r="R5" s="599"/>
    </row>
    <row r="6" spans="1:18" s="32" customFormat="1" x14ac:dyDescent="0.25">
      <c r="A6" s="178"/>
      <c r="B6" s="601" t="s">
        <v>1694</v>
      </c>
      <c r="C6" s="601"/>
      <c r="D6" s="601"/>
      <c r="E6" s="601"/>
      <c r="F6" s="601"/>
      <c r="G6" s="601"/>
      <c r="H6" s="601"/>
      <c r="I6" s="601"/>
      <c r="J6" s="601"/>
      <c r="K6" s="601"/>
      <c r="L6" s="601"/>
      <c r="M6" s="601"/>
      <c r="N6" s="601"/>
      <c r="O6" s="601"/>
      <c r="P6" s="601"/>
      <c r="Q6" s="601"/>
      <c r="R6" s="601"/>
    </row>
    <row r="7" spans="1:18" s="32" customFormat="1" x14ac:dyDescent="0.25">
      <c r="B7" s="602" t="s">
        <v>1695</v>
      </c>
      <c r="C7" s="602"/>
      <c r="D7" s="602"/>
      <c r="E7" s="602"/>
      <c r="F7" s="602"/>
      <c r="G7" s="602"/>
      <c r="H7" s="602"/>
      <c r="I7" s="602"/>
      <c r="J7" s="602"/>
      <c r="K7" s="602"/>
      <c r="L7" s="602"/>
      <c r="M7" s="602"/>
      <c r="N7" s="602"/>
      <c r="O7" s="602"/>
      <c r="P7" s="602"/>
      <c r="Q7" s="602"/>
      <c r="R7" s="602"/>
    </row>
    <row r="8" spans="1:18" s="32" customFormat="1" x14ac:dyDescent="0.25">
      <c r="B8" s="173"/>
      <c r="C8" s="173"/>
      <c r="D8" s="173"/>
      <c r="E8" s="173"/>
      <c r="F8" s="173"/>
      <c r="G8" s="173"/>
      <c r="H8" s="173"/>
      <c r="I8" s="173"/>
      <c r="J8" s="173"/>
      <c r="K8" s="173"/>
      <c r="L8" s="173"/>
      <c r="M8" s="173"/>
      <c r="N8" s="173"/>
      <c r="O8" s="173"/>
      <c r="P8" s="173"/>
      <c r="Q8" s="173"/>
      <c r="R8" s="173"/>
    </row>
    <row r="9" spans="1:18" s="32" customFormat="1" x14ac:dyDescent="0.25">
      <c r="B9" s="179" t="s">
        <v>1696</v>
      </c>
      <c r="C9" s="180"/>
      <c r="D9" s="181">
        <f>COUNTA(C14:C1048576)</f>
        <v>0</v>
      </c>
      <c r="E9" s="173"/>
      <c r="F9" s="173"/>
      <c r="G9" s="173"/>
      <c r="H9" s="173"/>
      <c r="I9" s="173"/>
      <c r="J9" s="173"/>
      <c r="K9" s="173"/>
      <c r="L9" s="173"/>
      <c r="M9" s="173"/>
      <c r="N9" s="173"/>
      <c r="O9" s="173"/>
      <c r="P9" s="173"/>
      <c r="Q9" s="173"/>
      <c r="R9" s="173"/>
    </row>
    <row r="10" spans="1:18" s="32" customFormat="1" x14ac:dyDescent="0.25">
      <c r="B10" s="173"/>
      <c r="C10" s="173"/>
      <c r="D10" s="173"/>
      <c r="E10" s="173"/>
      <c r="F10" s="173"/>
      <c r="G10" s="173"/>
      <c r="H10" s="173"/>
      <c r="I10" s="173"/>
      <c r="J10" s="173"/>
      <c r="K10" s="173"/>
      <c r="L10" s="173"/>
      <c r="M10" s="173"/>
      <c r="N10" s="173"/>
      <c r="O10" s="173"/>
      <c r="P10" s="173"/>
      <c r="Q10" s="173"/>
      <c r="R10" s="173"/>
    </row>
    <row r="11" spans="1:18" s="32" customFormat="1" x14ac:dyDescent="0.25">
      <c r="B11" s="173"/>
      <c r="C11" s="173"/>
      <c r="D11" s="173"/>
      <c r="E11" s="173"/>
      <c r="F11" s="173"/>
      <c r="G11" s="173"/>
      <c r="H11" s="173"/>
      <c r="I11" s="173"/>
      <c r="J11" s="173"/>
      <c r="K11" s="173"/>
      <c r="L11" s="173"/>
      <c r="M11" s="173"/>
      <c r="N11" s="173"/>
      <c r="O11" s="173"/>
      <c r="P11" s="173"/>
      <c r="Q11" s="173"/>
      <c r="R11" s="173"/>
    </row>
    <row r="12" spans="1:18" s="32" customFormat="1" x14ac:dyDescent="0.25"/>
    <row r="13" spans="1:18" s="182" customFormat="1" ht="27.6" x14ac:dyDescent="0.25">
      <c r="A13" s="183" t="s">
        <v>1678</v>
      </c>
      <c r="B13" s="183" t="s">
        <v>1679</v>
      </c>
      <c r="C13" s="183" t="s">
        <v>1680</v>
      </c>
      <c r="D13" s="184" t="s">
        <v>1681</v>
      </c>
      <c r="E13" s="184" t="s">
        <v>1682</v>
      </c>
      <c r="F13" s="183" t="s">
        <v>1683</v>
      </c>
      <c r="G13" s="184" t="s">
        <v>1684</v>
      </c>
      <c r="H13" s="184" t="s">
        <v>1685</v>
      </c>
      <c r="I13" s="183" t="s">
        <v>1686</v>
      </c>
    </row>
  </sheetData>
  <mergeCells count="3">
    <mergeCell ref="B5:R5"/>
    <mergeCell ref="B6:R6"/>
    <mergeCell ref="B7:R7"/>
  </mergeCells>
  <dataValidations count="1">
    <dataValidation type="list" allowBlank="1" showInputMessage="1" showErrorMessage="1" sqref="B14:C1048576" xr:uid="{31A15B1B-A008-48CE-9236-1326258E71CD}">
      <formula1>INDIRECT(A14)</formula1>
    </dataValidation>
  </dataValidations>
  <hyperlinks>
    <hyperlink ref="J1" location="'Accomplishment 2025'!A1" display="Back to Summary of Accomplishments 2025" xr:uid="{905441CF-18BC-48ED-B4C7-C9CE87B1E71F}"/>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F1DA015-831A-479C-94F0-FCC78A582B92}">
          <x14:formula1>
            <xm:f>Picklists!$A$2:$A$14</xm:f>
          </x14:formula1>
          <xm:sqref>H14:H1048576</xm:sqref>
        </x14:dataValidation>
        <x14:dataValidation type="list" allowBlank="1" showInputMessage="1" showErrorMessage="1" xr:uid="{D1D17C6E-0F29-41B1-B329-10D12ABD6CF2}">
          <x14:formula1>
            <xm:f>LGU_Masterlist!$D$2:$T$2</xm:f>
          </x14:formula1>
          <xm:sqref>A14:A1048576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9D7F-AC58-406F-9310-2F4F27246EE1}">
  <sheetPr codeName="Sheet9">
    <tabColor theme="8" tint="-0.249977111117893"/>
  </sheetPr>
  <dimension ref="A1:Q13"/>
  <sheetViews>
    <sheetView zoomScale="70" zoomScaleNormal="70" workbookViewId="0">
      <selection activeCell="B19" sqref="B19"/>
    </sheetView>
  </sheetViews>
  <sheetFormatPr defaultColWidth="8.88671875" defaultRowHeight="13.8" x14ac:dyDescent="0.25"/>
  <cols>
    <col min="1" max="1" width="8.6640625" style="164" customWidth="1"/>
    <col min="2" max="2" width="34.33203125" style="164" customWidth="1"/>
    <col min="3" max="4" width="17.5546875" style="171" bestFit="1" customWidth="1"/>
    <col min="5" max="5" width="39.6640625" style="164" bestFit="1" customWidth="1"/>
    <col min="6" max="6" width="20.88671875" style="172" customWidth="1"/>
    <col min="7" max="7" width="20.88671875" style="164" customWidth="1"/>
    <col min="8" max="8" width="24.5546875" style="164" customWidth="1"/>
    <col min="9" max="9" width="39.6640625" style="164" bestFit="1" customWidth="1"/>
    <col min="10" max="16384" width="8.88671875" style="164"/>
  </cols>
  <sheetData>
    <row r="1" spans="1:17" s="32" customFormat="1" ht="14.4" x14ac:dyDescent="0.3">
      <c r="A1" s="173" t="s">
        <v>1672</v>
      </c>
      <c r="C1" s="185"/>
      <c r="D1" s="175"/>
      <c r="E1" s="174" t="s">
        <v>1673</v>
      </c>
    </row>
    <row r="2" spans="1:17" s="32" customFormat="1" x14ac:dyDescent="0.25">
      <c r="A2" s="176"/>
      <c r="B2" s="35"/>
    </row>
    <row r="3" spans="1:17" s="32" customFormat="1" x14ac:dyDescent="0.25">
      <c r="A3" s="363">
        <v>1</v>
      </c>
      <c r="B3" s="364" t="s">
        <v>1511</v>
      </c>
    </row>
    <row r="4" spans="1:17" s="32" customFormat="1" x14ac:dyDescent="0.25">
      <c r="A4" s="178"/>
      <c r="B4" s="206" t="s">
        <v>1697</v>
      </c>
    </row>
    <row r="5" spans="1:17" s="32" customFormat="1" ht="28.2" customHeight="1" x14ac:dyDescent="0.25">
      <c r="A5" s="178"/>
      <c r="B5" s="599" t="s">
        <v>1698</v>
      </c>
      <c r="C5" s="599"/>
      <c r="D5" s="599"/>
      <c r="E5" s="599"/>
      <c r="F5" s="599"/>
      <c r="G5" s="599"/>
      <c r="H5" s="599"/>
      <c r="I5" s="599"/>
      <c r="J5" s="599"/>
      <c r="K5" s="599"/>
      <c r="L5" s="599"/>
      <c r="M5" s="599"/>
      <c r="N5" s="599"/>
      <c r="O5" s="599"/>
      <c r="P5" s="599"/>
      <c r="Q5" s="599"/>
    </row>
    <row r="6" spans="1:17" s="32" customFormat="1" x14ac:dyDescent="0.25">
      <c r="A6" s="178"/>
      <c r="B6" s="601" t="s">
        <v>1699</v>
      </c>
      <c r="C6" s="601"/>
      <c r="D6" s="601"/>
      <c r="E6" s="601"/>
      <c r="F6" s="601"/>
      <c r="G6" s="601"/>
      <c r="H6" s="601"/>
      <c r="I6" s="601"/>
      <c r="J6" s="601"/>
      <c r="K6" s="601"/>
      <c r="L6" s="601"/>
      <c r="M6" s="601"/>
      <c r="N6" s="601"/>
      <c r="O6" s="601"/>
      <c r="P6" s="601"/>
      <c r="Q6" s="601"/>
    </row>
    <row r="7" spans="1:17" s="32" customFormat="1" x14ac:dyDescent="0.25">
      <c r="B7" s="602" t="s">
        <v>1700</v>
      </c>
      <c r="C7" s="602"/>
      <c r="D7" s="602"/>
      <c r="E7" s="602"/>
      <c r="F7" s="602"/>
      <c r="G7" s="602"/>
      <c r="H7" s="602"/>
      <c r="I7" s="602"/>
      <c r="J7" s="602"/>
      <c r="K7" s="602"/>
      <c r="L7" s="602"/>
      <c r="M7" s="602"/>
      <c r="N7" s="602"/>
      <c r="O7" s="602"/>
      <c r="P7" s="602"/>
      <c r="Q7" s="602"/>
    </row>
    <row r="8" spans="1:17" s="32" customFormat="1" x14ac:dyDescent="0.25">
      <c r="B8" s="173"/>
      <c r="C8" s="173"/>
      <c r="D8" s="173"/>
      <c r="E8" s="173"/>
      <c r="F8" s="173"/>
      <c r="G8" s="173"/>
      <c r="H8" s="173"/>
      <c r="I8" s="173"/>
      <c r="J8" s="173"/>
      <c r="K8" s="173"/>
      <c r="L8" s="173"/>
      <c r="M8" s="173"/>
      <c r="N8" s="173"/>
      <c r="O8" s="173"/>
      <c r="P8" s="173"/>
      <c r="Q8" s="173"/>
    </row>
    <row r="9" spans="1:17" s="32" customFormat="1" x14ac:dyDescent="0.25">
      <c r="B9" s="179" t="s">
        <v>1701</v>
      </c>
      <c r="C9" s="181">
        <f>COUNTA(B14:B1048576)</f>
        <v>0</v>
      </c>
      <c r="D9" s="173"/>
      <c r="E9" s="173"/>
      <c r="F9" s="173"/>
      <c r="G9" s="173"/>
      <c r="H9" s="173"/>
      <c r="I9" s="173"/>
      <c r="J9" s="173"/>
      <c r="K9" s="173"/>
      <c r="L9" s="173"/>
      <c r="M9" s="173"/>
      <c r="N9" s="173"/>
      <c r="O9" s="173"/>
      <c r="P9" s="173"/>
      <c r="Q9" s="173"/>
    </row>
    <row r="10" spans="1:17" s="32" customFormat="1" x14ac:dyDescent="0.25">
      <c r="B10" s="173"/>
      <c r="C10" s="173"/>
      <c r="D10" s="173"/>
      <c r="E10" s="173"/>
      <c r="F10" s="173"/>
      <c r="G10" s="173"/>
      <c r="H10" s="173"/>
      <c r="I10" s="173"/>
      <c r="J10" s="173"/>
      <c r="K10" s="173"/>
      <c r="L10" s="173"/>
      <c r="M10" s="173"/>
      <c r="N10" s="173"/>
      <c r="O10" s="173"/>
      <c r="P10" s="173"/>
      <c r="Q10" s="173"/>
    </row>
    <row r="11" spans="1:17" s="32" customFormat="1" x14ac:dyDescent="0.25">
      <c r="B11" s="173"/>
      <c r="C11" s="173"/>
      <c r="D11" s="173"/>
      <c r="E11" s="173"/>
      <c r="F11" s="173"/>
      <c r="G11" s="173"/>
      <c r="H11" s="173"/>
      <c r="I11" s="173"/>
      <c r="J11" s="173"/>
      <c r="K11" s="173"/>
      <c r="L11" s="173"/>
      <c r="M11" s="173"/>
      <c r="N11" s="173"/>
      <c r="O11" s="173"/>
      <c r="P11" s="173"/>
      <c r="Q11" s="173"/>
    </row>
    <row r="12" spans="1:17" s="32" customFormat="1" x14ac:dyDescent="0.25"/>
    <row r="13" spans="1:17" s="182" customFormat="1" ht="27.6" x14ac:dyDescent="0.25">
      <c r="A13" s="183" t="s">
        <v>1678</v>
      </c>
      <c r="B13" s="183" t="s">
        <v>1679</v>
      </c>
      <c r="C13" s="184" t="s">
        <v>1681</v>
      </c>
      <c r="D13" s="184" t="s">
        <v>1682</v>
      </c>
      <c r="E13" s="183" t="s">
        <v>1683</v>
      </c>
      <c r="F13" s="184" t="s">
        <v>1684</v>
      </c>
      <c r="G13" s="184" t="s">
        <v>1685</v>
      </c>
      <c r="H13" s="183" t="s">
        <v>1686</v>
      </c>
    </row>
  </sheetData>
  <mergeCells count="3">
    <mergeCell ref="B5:Q5"/>
    <mergeCell ref="B6:Q6"/>
    <mergeCell ref="B7:Q7"/>
  </mergeCells>
  <dataValidations count="1">
    <dataValidation type="list" allowBlank="1" showInputMessage="1" showErrorMessage="1" sqref="B14:B1048576" xr:uid="{3F6DFF27-AC66-46A9-BF69-EDCB44E10608}">
      <formula1>INDIRECT(A14)</formula1>
    </dataValidation>
  </dataValidations>
  <hyperlinks>
    <hyperlink ref="E1" location="'Accomplishment 2025'!A1" display="Back to Summary of Accomplishments 2025" xr:uid="{CE561B5A-03DF-4C7F-AE81-E6C1D62C18AD}"/>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D4DD2ABD-5910-4585-825D-8A29D71AFBB6}">
          <x14:formula1>
            <xm:f>Picklists!$A$2:$A$14</xm:f>
          </x14:formula1>
          <xm:sqref>G14:G1048576</xm:sqref>
        </x14:dataValidation>
        <x14:dataValidation type="list" allowBlank="1" showInputMessage="1" showErrorMessage="1" xr:uid="{DF43B4FA-886F-4DD8-BD92-A333CFA4D50A}">
          <x14:formula1>
            <xm:f>LGU_Masterlist!$D$2:$T$2</xm:f>
          </x14:formula1>
          <xm:sqref>A14:A1048576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BFEBF-5255-4520-943B-504C712ACAE5}">
  <sheetPr codeName="Sheet10">
    <tabColor theme="8" tint="-0.249977111117893"/>
  </sheetPr>
  <dimension ref="A1:S1000"/>
  <sheetViews>
    <sheetView topLeftCell="B9" zoomScale="70" zoomScaleNormal="70" workbookViewId="0">
      <selection activeCell="B14" sqref="B14"/>
    </sheetView>
  </sheetViews>
  <sheetFormatPr defaultColWidth="8.88671875" defaultRowHeight="13.8" x14ac:dyDescent="0.25"/>
  <cols>
    <col min="1" max="1" width="2.88671875" style="164" customWidth="1"/>
    <col min="2" max="2" width="79.6640625" style="164" customWidth="1"/>
    <col min="3" max="3" width="44.6640625" style="171" customWidth="1"/>
    <col min="4" max="4" width="17.5546875" style="171" bestFit="1" customWidth="1"/>
    <col min="5" max="5" width="17.5546875" style="171" customWidth="1"/>
    <col min="6" max="6" width="39.6640625" style="164" bestFit="1" customWidth="1"/>
    <col min="7" max="7" width="20.88671875" style="172" customWidth="1"/>
    <col min="8" max="8" width="32.33203125" style="164" bestFit="1" customWidth="1"/>
    <col min="9" max="9" width="20.88671875" style="164" customWidth="1"/>
    <col min="10" max="10" width="8.88671875" style="164" customWidth="1"/>
    <col min="11" max="11" width="13.44140625" style="233" customWidth="1"/>
    <col min="12" max="12" width="8.88671875" style="164" customWidth="1"/>
    <col min="13" max="16384" width="8.88671875" style="164"/>
  </cols>
  <sheetData>
    <row r="1" spans="1:19" s="32" customFormat="1" ht="14.4" x14ac:dyDescent="0.3">
      <c r="A1" s="173" t="s">
        <v>1672</v>
      </c>
      <c r="C1" s="174" t="s">
        <v>1673</v>
      </c>
      <c r="D1" s="175"/>
      <c r="E1" s="175"/>
      <c r="F1" s="261"/>
      <c r="K1" s="233"/>
    </row>
    <row r="2" spans="1:19" s="32" customFormat="1" x14ac:dyDescent="0.25">
      <c r="A2" s="176"/>
      <c r="B2" s="35"/>
      <c r="K2" s="233"/>
    </row>
    <row r="3" spans="1:19" s="32" customFormat="1" x14ac:dyDescent="0.25">
      <c r="A3" s="363">
        <v>2</v>
      </c>
      <c r="B3" s="364" t="s">
        <v>1522</v>
      </c>
      <c r="K3" s="233"/>
    </row>
    <row r="4" spans="1:19" s="32" customFormat="1" x14ac:dyDescent="0.25">
      <c r="A4" s="178"/>
      <c r="B4" s="206" t="s">
        <v>1702</v>
      </c>
      <c r="K4" s="233"/>
    </row>
    <row r="5" spans="1:19" s="32" customFormat="1" ht="29.4" customHeight="1" x14ac:dyDescent="0.25">
      <c r="A5" s="178"/>
      <c r="B5" s="599" t="s">
        <v>1703</v>
      </c>
      <c r="C5" s="599"/>
      <c r="D5" s="599"/>
      <c r="E5" s="599"/>
      <c r="F5" s="599"/>
      <c r="G5" s="189"/>
      <c r="H5" s="189"/>
      <c r="I5" s="189"/>
      <c r="J5" s="189"/>
      <c r="K5" s="234"/>
      <c r="L5" s="189"/>
      <c r="M5" s="189"/>
      <c r="N5" s="189"/>
      <c r="O5" s="189"/>
      <c r="P5" s="189"/>
      <c r="Q5" s="189"/>
      <c r="R5" s="189"/>
      <c r="S5" s="189"/>
    </row>
    <row r="6" spans="1:19" s="32" customFormat="1" ht="102" customHeight="1" x14ac:dyDescent="0.25">
      <c r="A6" s="178"/>
      <c r="B6" s="601" t="s">
        <v>1704</v>
      </c>
      <c r="C6" s="601"/>
      <c r="D6" s="601"/>
      <c r="E6" s="601"/>
      <c r="F6" s="601"/>
      <c r="G6" s="188"/>
      <c r="H6" s="188"/>
      <c r="I6" s="188"/>
      <c r="J6" s="188"/>
      <c r="K6" s="235"/>
      <c r="L6" s="188"/>
      <c r="M6" s="188"/>
      <c r="N6" s="188"/>
      <c r="O6" s="188"/>
      <c r="P6" s="188"/>
      <c r="Q6" s="188"/>
      <c r="R6" s="188"/>
      <c r="S6" s="188"/>
    </row>
    <row r="7" spans="1:19" s="32" customFormat="1" x14ac:dyDescent="0.25">
      <c r="B7" s="602" t="s">
        <v>1705</v>
      </c>
      <c r="C7" s="602"/>
      <c r="D7" s="602"/>
      <c r="E7" s="602"/>
      <c r="F7" s="602"/>
      <c r="G7" s="35"/>
      <c r="H7" s="35"/>
      <c r="I7" s="35"/>
      <c r="J7" s="35"/>
      <c r="K7" s="236"/>
      <c r="L7" s="35"/>
      <c r="M7" s="35"/>
      <c r="N7" s="35"/>
      <c r="O7" s="35"/>
      <c r="P7" s="35"/>
      <c r="Q7" s="35"/>
      <c r="R7" s="35"/>
      <c r="S7" s="35"/>
    </row>
    <row r="8" spans="1:19" s="32" customFormat="1" x14ac:dyDescent="0.25">
      <c r="B8" s="186" t="s">
        <v>1706</v>
      </c>
      <c r="C8" s="186"/>
      <c r="D8" s="186"/>
      <c r="E8" s="186"/>
      <c r="F8" s="186"/>
      <c r="G8" s="186"/>
      <c r="H8" s="186"/>
      <c r="K8" s="233"/>
      <c r="O8" s="173"/>
      <c r="P8" s="173"/>
      <c r="Q8" s="173"/>
      <c r="R8" s="173"/>
    </row>
    <row r="9" spans="1:19" s="32" customFormat="1" x14ac:dyDescent="0.25">
      <c r="B9" s="173"/>
      <c r="C9" s="173"/>
      <c r="D9" s="173"/>
      <c r="E9" s="173"/>
      <c r="F9" s="173"/>
      <c r="G9" s="173"/>
      <c r="H9" s="173"/>
      <c r="I9" s="173"/>
      <c r="J9" s="173"/>
      <c r="K9" s="237"/>
      <c r="L9" s="173"/>
      <c r="M9" s="173"/>
      <c r="N9" s="173"/>
      <c r="O9" s="173"/>
      <c r="P9" s="173"/>
      <c r="Q9" s="173"/>
      <c r="R9" s="173"/>
      <c r="S9" s="173"/>
    </row>
    <row r="10" spans="1:19" s="32" customFormat="1" x14ac:dyDescent="0.25">
      <c r="B10" s="179" t="s">
        <v>1707</v>
      </c>
      <c r="C10" s="181">
        <f>COUNTIF(K14:K1000,"1st")</f>
        <v>0</v>
      </c>
      <c r="D10" s="173"/>
      <c r="E10" s="173"/>
      <c r="F10" s="173"/>
      <c r="G10" s="173"/>
      <c r="H10" s="173"/>
      <c r="I10" s="173"/>
      <c r="J10" s="173"/>
      <c r="K10" s="237"/>
      <c r="L10" s="173"/>
      <c r="M10" s="173"/>
      <c r="N10" s="173"/>
      <c r="O10" s="173"/>
      <c r="P10" s="173"/>
      <c r="Q10" s="173"/>
      <c r="R10" s="173"/>
      <c r="S10" s="173"/>
    </row>
    <row r="11" spans="1:19" s="32" customFormat="1" x14ac:dyDescent="0.25">
      <c r="B11" s="173"/>
      <c r="C11" s="173"/>
      <c r="D11" s="173"/>
      <c r="E11" s="173"/>
      <c r="F11" s="173"/>
      <c r="G11" s="173"/>
      <c r="H11" s="173"/>
      <c r="I11" s="173"/>
      <c r="J11" s="173"/>
      <c r="K11" s="237"/>
      <c r="L11" s="173"/>
      <c r="M11" s="173"/>
      <c r="N11" s="173"/>
      <c r="O11" s="173"/>
      <c r="P11" s="173"/>
      <c r="Q11" s="173"/>
      <c r="R11" s="173"/>
      <c r="S11" s="173"/>
    </row>
    <row r="12" spans="1:19" s="32" customFormat="1" x14ac:dyDescent="0.25">
      <c r="K12" s="233"/>
    </row>
    <row r="13" spans="1:19" s="182" customFormat="1" ht="41.4" x14ac:dyDescent="0.25">
      <c r="A13" s="32"/>
      <c r="B13" s="184" t="s">
        <v>1708</v>
      </c>
      <c r="C13" s="184" t="s">
        <v>1709</v>
      </c>
      <c r="D13" s="184" t="s">
        <v>1710</v>
      </c>
      <c r="E13" s="184" t="s">
        <v>1711</v>
      </c>
      <c r="F13" s="183" t="s">
        <v>1712</v>
      </c>
      <c r="G13" s="184" t="s">
        <v>1684</v>
      </c>
      <c r="H13" s="183" t="s">
        <v>1713</v>
      </c>
      <c r="I13" s="184" t="s">
        <v>1685</v>
      </c>
      <c r="J13" s="183" t="s">
        <v>1686</v>
      </c>
      <c r="K13" s="238" t="s">
        <v>1714</v>
      </c>
    </row>
    <row r="14" spans="1:19" x14ac:dyDescent="0.25">
      <c r="K14" s="233" t="str">
        <f>IFERROR(COUNTIF($B$14:B14,B14)&amp;CHOOSE(MIN(4,COUNTIF($B$14:B14,B14)),"st","nd","rd","th"),"")</f>
        <v/>
      </c>
    </row>
    <row r="15" spans="1:19" x14ac:dyDescent="0.25">
      <c r="K15" s="233" t="str">
        <f>IFERROR(COUNTIF($B$14:B15,B15)&amp;CHOOSE(MIN(4,COUNTIF($B$14:B15,B15)),"st","nd","rd","th"),"")</f>
        <v/>
      </c>
    </row>
    <row r="16" spans="1:19" x14ac:dyDescent="0.25">
      <c r="K16" s="233" t="str">
        <f>IFERROR(COUNTIF($B$14:B16,B16)&amp;CHOOSE(MIN(4,COUNTIF($B$14:B16,B16)),"st","nd","rd","th"),"")</f>
        <v/>
      </c>
    </row>
    <row r="17" spans="11:11" x14ac:dyDescent="0.25">
      <c r="K17" s="233" t="str">
        <f>IFERROR(COUNTIF($B$14:B17,B17)&amp;CHOOSE(MIN(4,COUNTIF($B$14:B17,B17)),"st","nd","rd","th"),"")</f>
        <v/>
      </c>
    </row>
    <row r="18" spans="11:11" x14ac:dyDescent="0.25">
      <c r="K18" s="233" t="str">
        <f>IFERROR(COUNTIF($B$14:B18,B18)&amp;CHOOSE(MIN(4,COUNTIF($B$14:B18,B18)),"st","nd","rd","th"),"")</f>
        <v/>
      </c>
    </row>
    <row r="19" spans="11:11" x14ac:dyDescent="0.25">
      <c r="K19" s="233" t="str">
        <f>IFERROR(COUNTIF($B$14:B19,B19)&amp;CHOOSE(MIN(4,COUNTIF($B$14:B19,B19)),"st","nd","rd","th"),"")</f>
        <v/>
      </c>
    </row>
    <row r="20" spans="11:11" x14ac:dyDescent="0.25">
      <c r="K20" s="233" t="str">
        <f>IFERROR(COUNTIF($B$14:B20,B20)&amp;CHOOSE(MIN(4,COUNTIF($B$14:B20,B20)),"st","nd","rd","th"),"")</f>
        <v/>
      </c>
    </row>
    <row r="21" spans="11:11" x14ac:dyDescent="0.25">
      <c r="K21" s="233" t="str">
        <f>IFERROR(COUNTIF($B$14:B21,B21)&amp;CHOOSE(MIN(4,COUNTIF($B$14:B21,B21)),"st","nd","rd","th"),"")</f>
        <v/>
      </c>
    </row>
    <row r="22" spans="11:11" x14ac:dyDescent="0.25">
      <c r="K22" s="233" t="str">
        <f>IFERROR(COUNTIF($B$14:B22,B22)&amp;CHOOSE(MIN(4,COUNTIF($B$14:B22,B22)),"st","nd","rd","th"),"")</f>
        <v/>
      </c>
    </row>
    <row r="23" spans="11:11" x14ac:dyDescent="0.25">
      <c r="K23" s="233" t="str">
        <f>IFERROR(COUNTIF($B$14:B23,B23)&amp;CHOOSE(MIN(4,COUNTIF($B$14:B23,B23)),"st","nd","rd","th"),"")</f>
        <v/>
      </c>
    </row>
    <row r="24" spans="11:11" x14ac:dyDescent="0.25">
      <c r="K24" s="233" t="str">
        <f>IFERROR(COUNTIF($B$14:B24,B24)&amp;CHOOSE(MIN(4,COUNTIF($B$14:B24,B24)),"st","nd","rd","th"),"")</f>
        <v/>
      </c>
    </row>
    <row r="25" spans="11:11" x14ac:dyDescent="0.25">
      <c r="K25" s="233" t="str">
        <f>IFERROR(COUNTIF($B$14:B25,B25)&amp;CHOOSE(MIN(4,COUNTIF($B$14:B25,B25)),"st","nd","rd","th"),"")</f>
        <v/>
      </c>
    </row>
    <row r="26" spans="11:11" x14ac:dyDescent="0.25">
      <c r="K26" s="233" t="str">
        <f>IFERROR(COUNTIF($B$14:B26,B26)&amp;CHOOSE(MIN(4,COUNTIF($B$14:B26,B26)),"st","nd","rd","th"),"")</f>
        <v/>
      </c>
    </row>
    <row r="27" spans="11:11" x14ac:dyDescent="0.25">
      <c r="K27" s="233" t="str">
        <f>IFERROR(COUNTIF($B$14:B27,B27)&amp;CHOOSE(MIN(4,COUNTIF($B$14:B27,B27)),"st","nd","rd","th"),"")</f>
        <v/>
      </c>
    </row>
    <row r="28" spans="11:11" x14ac:dyDescent="0.25">
      <c r="K28" s="233" t="str">
        <f>IFERROR(COUNTIF($B$14:B28,B28)&amp;CHOOSE(MIN(4,COUNTIF($B$14:B28,B28)),"st","nd","rd","th"),"")</f>
        <v/>
      </c>
    </row>
    <row r="29" spans="11:11" x14ac:dyDescent="0.25">
      <c r="K29" s="233" t="str">
        <f>IFERROR(COUNTIF($B$14:B29,B29)&amp;CHOOSE(MIN(4,COUNTIF($B$14:B29,B29)),"st","nd","rd","th"),"")</f>
        <v/>
      </c>
    </row>
    <row r="30" spans="11:11" x14ac:dyDescent="0.25">
      <c r="K30" s="233" t="str">
        <f>IFERROR(COUNTIF($B$14:B30,B30)&amp;CHOOSE(MIN(4,COUNTIF($B$14:B30,B30)),"st","nd","rd","th"),"")</f>
        <v/>
      </c>
    </row>
    <row r="31" spans="11:11" x14ac:dyDescent="0.25">
      <c r="K31" s="233" t="str">
        <f>IFERROR(COUNTIF($B$14:B31,B31)&amp;CHOOSE(MIN(4,COUNTIF($B$14:B31,B31)),"st","nd","rd","th"),"")</f>
        <v/>
      </c>
    </row>
    <row r="32" spans="11:11" x14ac:dyDescent="0.25">
      <c r="K32" s="233" t="str">
        <f>IFERROR(COUNTIF($B$14:B32,B32)&amp;CHOOSE(MIN(4,COUNTIF($B$14:B32,B32)),"st","nd","rd","th"),"")</f>
        <v/>
      </c>
    </row>
    <row r="33" spans="11:11" x14ac:dyDescent="0.25">
      <c r="K33" s="233" t="str">
        <f>IFERROR(COUNTIF($B$14:B33,B33)&amp;CHOOSE(MIN(4,COUNTIF($B$14:B33,B33)),"st","nd","rd","th"),"")</f>
        <v/>
      </c>
    </row>
    <row r="34" spans="11:11" x14ac:dyDescent="0.25">
      <c r="K34" s="233" t="str">
        <f>IFERROR(COUNTIF($B$14:B34,B34)&amp;CHOOSE(MIN(4,COUNTIF($B$14:B34,B34)),"st","nd","rd","th"),"")</f>
        <v/>
      </c>
    </row>
    <row r="35" spans="11:11" x14ac:dyDescent="0.25">
      <c r="K35" s="233" t="str">
        <f>IFERROR(COUNTIF($B$14:B35,B35)&amp;CHOOSE(MIN(4,COUNTIF($B$14:B35,B35)),"st","nd","rd","th"),"")</f>
        <v/>
      </c>
    </row>
    <row r="36" spans="11:11" x14ac:dyDescent="0.25">
      <c r="K36" s="233" t="str">
        <f>IFERROR(COUNTIF($B$14:B36,B36)&amp;CHOOSE(MIN(4,COUNTIF($B$14:B36,B36)),"st","nd","rd","th"),"")</f>
        <v/>
      </c>
    </row>
    <row r="37" spans="11:11" x14ac:dyDescent="0.25">
      <c r="K37" s="233" t="str">
        <f>IFERROR(COUNTIF($B$14:B37,B37)&amp;CHOOSE(MIN(4,COUNTIF($B$14:B37,B37)),"st","nd","rd","th"),"")</f>
        <v/>
      </c>
    </row>
    <row r="38" spans="11:11" x14ac:dyDescent="0.25">
      <c r="K38" s="233" t="str">
        <f>IFERROR(COUNTIF($B$14:B38,B38)&amp;CHOOSE(MIN(4,COUNTIF($B$14:B38,B38)),"st","nd","rd","th"),"")</f>
        <v/>
      </c>
    </row>
    <row r="39" spans="11:11" x14ac:dyDescent="0.25">
      <c r="K39" s="233" t="str">
        <f>IFERROR(COUNTIF($B$14:B39,B39)&amp;CHOOSE(MIN(4,COUNTIF($B$14:B39,B39)),"st","nd","rd","th"),"")</f>
        <v/>
      </c>
    </row>
    <row r="40" spans="11:11" x14ac:dyDescent="0.25">
      <c r="K40" s="233" t="str">
        <f>IFERROR(COUNTIF($B$14:B40,B40)&amp;CHOOSE(MIN(4,COUNTIF($B$14:B40,B40)),"st","nd","rd","th"),"")</f>
        <v/>
      </c>
    </row>
    <row r="41" spans="11:11" x14ac:dyDescent="0.25">
      <c r="K41" s="233" t="str">
        <f>IFERROR(COUNTIF($B$14:B41,B41)&amp;CHOOSE(MIN(4,COUNTIF($B$14:B41,B41)),"st","nd","rd","th"),"")</f>
        <v/>
      </c>
    </row>
    <row r="42" spans="11:11" x14ac:dyDescent="0.25">
      <c r="K42" s="233" t="str">
        <f>IFERROR(COUNTIF($B$14:B42,B42)&amp;CHOOSE(MIN(4,COUNTIF($B$14:B42,B42)),"st","nd","rd","th"),"")</f>
        <v/>
      </c>
    </row>
    <row r="43" spans="11:11" x14ac:dyDescent="0.25">
      <c r="K43" s="233" t="str">
        <f>IFERROR(COUNTIF($B$14:B43,B43)&amp;CHOOSE(MIN(4,COUNTIF($B$14:B43,B43)),"st","nd","rd","th"),"")</f>
        <v/>
      </c>
    </row>
    <row r="44" spans="11:11" x14ac:dyDescent="0.25">
      <c r="K44" s="233" t="str">
        <f>IFERROR(COUNTIF($B$14:B44,B44)&amp;CHOOSE(MIN(4,COUNTIF($B$14:B44,B44)),"st","nd","rd","th"),"")</f>
        <v/>
      </c>
    </row>
    <row r="45" spans="11:11" x14ac:dyDescent="0.25">
      <c r="K45" s="233" t="str">
        <f>IFERROR(COUNTIF($B$14:B45,B45)&amp;CHOOSE(MIN(4,COUNTIF($B$14:B45,B45)),"st","nd","rd","th"),"")</f>
        <v/>
      </c>
    </row>
    <row r="46" spans="11:11" x14ac:dyDescent="0.25">
      <c r="K46" s="233" t="str">
        <f>IFERROR(COUNTIF($B$14:B46,B46)&amp;CHOOSE(MIN(4,COUNTIF($B$14:B46,B46)),"st","nd","rd","th"),"")</f>
        <v/>
      </c>
    </row>
    <row r="47" spans="11:11" x14ac:dyDescent="0.25">
      <c r="K47" s="233" t="str">
        <f>IFERROR(COUNTIF($B$14:B47,B47)&amp;CHOOSE(MIN(4,COUNTIF($B$14:B47,B47)),"st","nd","rd","th"),"")</f>
        <v/>
      </c>
    </row>
    <row r="48" spans="11:11" x14ac:dyDescent="0.25">
      <c r="K48" s="233" t="str">
        <f>IFERROR(COUNTIF($B$14:B48,B48)&amp;CHOOSE(MIN(4,COUNTIF($B$14:B48,B48)),"st","nd","rd","th"),"")</f>
        <v/>
      </c>
    </row>
    <row r="49" spans="11:11" x14ac:dyDescent="0.25">
      <c r="K49" s="233" t="str">
        <f>IFERROR(COUNTIF($B$14:B49,B49)&amp;CHOOSE(MIN(4,COUNTIF($B$14:B49,B49)),"st","nd","rd","th"),"")</f>
        <v/>
      </c>
    </row>
    <row r="50" spans="11:11" x14ac:dyDescent="0.25">
      <c r="K50" s="233" t="str">
        <f>IFERROR(COUNTIF($B$14:B50,B50)&amp;CHOOSE(MIN(4,COUNTIF($B$14:B50,B50)),"st","nd","rd","th"),"")</f>
        <v/>
      </c>
    </row>
    <row r="51" spans="11:11" x14ac:dyDescent="0.25">
      <c r="K51" s="233" t="str">
        <f>IFERROR(COUNTIF($B$14:B51,B51)&amp;CHOOSE(MIN(4,COUNTIF($B$14:B51,B51)),"st","nd","rd","th"),"")</f>
        <v/>
      </c>
    </row>
    <row r="52" spans="11:11" x14ac:dyDescent="0.25">
      <c r="K52" s="233" t="str">
        <f>IFERROR(COUNTIF($B$14:B52,B52)&amp;CHOOSE(MIN(4,COUNTIF($B$14:B52,B52)),"st","nd","rd","th"),"")</f>
        <v/>
      </c>
    </row>
    <row r="53" spans="11:11" x14ac:dyDescent="0.25">
      <c r="K53" s="233" t="str">
        <f>IFERROR(COUNTIF($B$14:B53,B53)&amp;CHOOSE(MIN(4,COUNTIF($B$14:B53,B53)),"st","nd","rd","th"),"")</f>
        <v/>
      </c>
    </row>
    <row r="54" spans="11:11" x14ac:dyDescent="0.25">
      <c r="K54" s="233" t="str">
        <f>IFERROR(COUNTIF($B$14:B54,B54)&amp;CHOOSE(MIN(4,COUNTIF($B$14:B54,B54)),"st","nd","rd","th"),"")</f>
        <v/>
      </c>
    </row>
    <row r="55" spans="11:11" x14ac:dyDescent="0.25">
      <c r="K55" s="233" t="str">
        <f>IFERROR(COUNTIF($B$14:B55,B55)&amp;CHOOSE(MIN(4,COUNTIF($B$14:B55,B55)),"st","nd","rd","th"),"")</f>
        <v/>
      </c>
    </row>
    <row r="56" spans="11:11" x14ac:dyDescent="0.25">
      <c r="K56" s="233" t="str">
        <f>IFERROR(COUNTIF($B$14:B56,B56)&amp;CHOOSE(MIN(4,COUNTIF($B$14:B56,B56)),"st","nd","rd","th"),"")</f>
        <v/>
      </c>
    </row>
    <row r="57" spans="11:11" x14ac:dyDescent="0.25">
      <c r="K57" s="233" t="str">
        <f>IFERROR(COUNTIF($B$14:B57,B57)&amp;CHOOSE(MIN(4,COUNTIF($B$14:B57,B57)),"st","nd","rd","th"),"")</f>
        <v/>
      </c>
    </row>
    <row r="58" spans="11:11" x14ac:dyDescent="0.25">
      <c r="K58" s="233" t="str">
        <f>IFERROR(COUNTIF($B$14:B58,B58)&amp;CHOOSE(MIN(4,COUNTIF($B$14:B58,B58)),"st","nd","rd","th"),"")</f>
        <v/>
      </c>
    </row>
    <row r="59" spans="11:11" x14ac:dyDescent="0.25">
      <c r="K59" s="233" t="str">
        <f>IFERROR(COUNTIF($B$14:B59,B59)&amp;CHOOSE(MIN(4,COUNTIF($B$14:B59,B59)),"st","nd","rd","th"),"")</f>
        <v/>
      </c>
    </row>
    <row r="60" spans="11:11" x14ac:dyDescent="0.25">
      <c r="K60" s="233" t="str">
        <f>IFERROR(COUNTIF($B$14:B60,B60)&amp;CHOOSE(MIN(4,COUNTIF($B$14:B60,B60)),"st","nd","rd","th"),"")</f>
        <v/>
      </c>
    </row>
    <row r="61" spans="11:11" x14ac:dyDescent="0.25">
      <c r="K61" s="233" t="str">
        <f>IFERROR(COUNTIF($B$14:B61,B61)&amp;CHOOSE(MIN(4,COUNTIF($B$14:B61,B61)),"st","nd","rd","th"),"")</f>
        <v/>
      </c>
    </row>
    <row r="62" spans="11:11" x14ac:dyDescent="0.25">
      <c r="K62" s="233" t="str">
        <f>IFERROR(COUNTIF($B$14:B62,B62)&amp;CHOOSE(MIN(4,COUNTIF($B$14:B62,B62)),"st","nd","rd","th"),"")</f>
        <v/>
      </c>
    </row>
    <row r="63" spans="11:11" x14ac:dyDescent="0.25">
      <c r="K63" s="233" t="str">
        <f>IFERROR(COUNTIF($B$14:B63,B63)&amp;CHOOSE(MIN(4,COUNTIF($B$14:B63,B63)),"st","nd","rd","th"),"")</f>
        <v/>
      </c>
    </row>
    <row r="64" spans="11:11" x14ac:dyDescent="0.25">
      <c r="K64" s="233" t="str">
        <f>IFERROR(COUNTIF($B$14:B64,B64)&amp;CHOOSE(MIN(4,COUNTIF($B$14:B64,B64)),"st","nd","rd","th"),"")</f>
        <v/>
      </c>
    </row>
    <row r="65" spans="11:11" x14ac:dyDescent="0.25">
      <c r="K65" s="233" t="str">
        <f>IFERROR(COUNTIF($B$14:B65,B65)&amp;CHOOSE(MIN(4,COUNTIF($B$14:B65,B65)),"st","nd","rd","th"),"")</f>
        <v/>
      </c>
    </row>
    <row r="66" spans="11:11" x14ac:dyDescent="0.25">
      <c r="K66" s="233" t="str">
        <f>IFERROR(COUNTIF($B$14:B66,B66)&amp;CHOOSE(MIN(4,COUNTIF($B$14:B66,B66)),"st","nd","rd","th"),"")</f>
        <v/>
      </c>
    </row>
    <row r="67" spans="11:11" x14ac:dyDescent="0.25">
      <c r="K67" s="233" t="str">
        <f>IFERROR(COUNTIF($B$14:B67,B67)&amp;CHOOSE(MIN(4,COUNTIF($B$14:B67,B67)),"st","nd","rd","th"),"")</f>
        <v/>
      </c>
    </row>
    <row r="68" spans="11:11" x14ac:dyDescent="0.25">
      <c r="K68" s="233" t="str">
        <f>IFERROR(COUNTIF($B$14:B68,B68)&amp;CHOOSE(MIN(4,COUNTIF($B$14:B68,B68)),"st","nd","rd","th"),"")</f>
        <v/>
      </c>
    </row>
    <row r="69" spans="11:11" x14ac:dyDescent="0.25">
      <c r="K69" s="233" t="str">
        <f>IFERROR(COUNTIF($B$14:B69,B69)&amp;CHOOSE(MIN(4,COUNTIF($B$14:B69,B69)),"st","nd","rd","th"),"")</f>
        <v/>
      </c>
    </row>
    <row r="70" spans="11:11" x14ac:dyDescent="0.25">
      <c r="K70" s="233" t="str">
        <f>IFERROR(COUNTIF($B$14:B70,B70)&amp;CHOOSE(MIN(4,COUNTIF($B$14:B70,B70)),"st","nd","rd","th"),"")</f>
        <v/>
      </c>
    </row>
    <row r="71" spans="11:11" x14ac:dyDescent="0.25">
      <c r="K71" s="233" t="str">
        <f>IFERROR(COUNTIF($B$14:B71,B71)&amp;CHOOSE(MIN(4,COUNTIF($B$14:B71,B71)),"st","nd","rd","th"),"")</f>
        <v/>
      </c>
    </row>
    <row r="72" spans="11:11" x14ac:dyDescent="0.25">
      <c r="K72" s="233" t="str">
        <f>IFERROR(COUNTIF($B$14:B72,B72)&amp;CHOOSE(MIN(4,COUNTIF($B$14:B72,B72)),"st","nd","rd","th"),"")</f>
        <v/>
      </c>
    </row>
    <row r="73" spans="11:11" x14ac:dyDescent="0.25">
      <c r="K73" s="233" t="str">
        <f>IFERROR(COUNTIF($B$14:B73,B73)&amp;CHOOSE(MIN(4,COUNTIF($B$14:B73,B73)),"st","nd","rd","th"),"")</f>
        <v/>
      </c>
    </row>
    <row r="74" spans="11:11" x14ac:dyDescent="0.25">
      <c r="K74" s="233" t="str">
        <f>IFERROR(COUNTIF($B$14:B74,B74)&amp;CHOOSE(MIN(4,COUNTIF($B$14:B74,B74)),"st","nd","rd","th"),"")</f>
        <v/>
      </c>
    </row>
    <row r="75" spans="11:11" x14ac:dyDescent="0.25">
      <c r="K75" s="233" t="str">
        <f>IFERROR(COUNTIF($B$14:B75,B75)&amp;CHOOSE(MIN(4,COUNTIF($B$14:B75,B75)),"st","nd","rd","th"),"")</f>
        <v/>
      </c>
    </row>
    <row r="76" spans="11:11" x14ac:dyDescent="0.25">
      <c r="K76" s="233" t="str">
        <f>IFERROR(COUNTIF($B$14:B76,B76)&amp;CHOOSE(MIN(4,COUNTIF($B$14:B76,B76)),"st","nd","rd","th"),"")</f>
        <v/>
      </c>
    </row>
    <row r="77" spans="11:11" x14ac:dyDescent="0.25">
      <c r="K77" s="233" t="str">
        <f>IFERROR(COUNTIF($B$14:B77,B77)&amp;CHOOSE(MIN(4,COUNTIF($B$14:B77,B77)),"st","nd","rd","th"),"")</f>
        <v/>
      </c>
    </row>
    <row r="78" spans="11:11" x14ac:dyDescent="0.25">
      <c r="K78" s="233" t="str">
        <f>IFERROR(COUNTIF($B$14:B78,B78)&amp;CHOOSE(MIN(4,COUNTIF($B$14:B78,B78)),"st","nd","rd","th"),"")</f>
        <v/>
      </c>
    </row>
    <row r="79" spans="11:11" x14ac:dyDescent="0.25">
      <c r="K79" s="233" t="str">
        <f>IFERROR(COUNTIF($B$14:B79,B79)&amp;CHOOSE(MIN(4,COUNTIF($B$14:B79,B79)),"st","nd","rd","th"),"")</f>
        <v/>
      </c>
    </row>
    <row r="80" spans="11:11" x14ac:dyDescent="0.25">
      <c r="K80" s="233" t="str">
        <f>IFERROR(COUNTIF($B$14:B80,B80)&amp;CHOOSE(MIN(4,COUNTIF($B$14:B80,B80)),"st","nd","rd","th"),"")</f>
        <v/>
      </c>
    </row>
    <row r="81" spans="11:11" x14ac:dyDescent="0.25">
      <c r="K81" s="233" t="str">
        <f>IFERROR(COUNTIF($B$14:B81,B81)&amp;CHOOSE(MIN(4,COUNTIF($B$14:B81,B81)),"st","nd","rd","th"),"")</f>
        <v/>
      </c>
    </row>
    <row r="82" spans="11:11" x14ac:dyDescent="0.25">
      <c r="K82" s="233" t="str">
        <f>IFERROR(COUNTIF($B$14:B82,B82)&amp;CHOOSE(MIN(4,COUNTIF($B$14:B82,B82)),"st","nd","rd","th"),"")</f>
        <v/>
      </c>
    </row>
    <row r="83" spans="11:11" x14ac:dyDescent="0.25">
      <c r="K83" s="233" t="str">
        <f>IFERROR(COUNTIF($B$14:B83,B83)&amp;CHOOSE(MIN(4,COUNTIF($B$14:B83,B83)),"st","nd","rd","th"),"")</f>
        <v/>
      </c>
    </row>
    <row r="84" spans="11:11" x14ac:dyDescent="0.25">
      <c r="K84" s="233" t="str">
        <f>IFERROR(COUNTIF($B$14:B84,B84)&amp;CHOOSE(MIN(4,COUNTIF($B$14:B84,B84)),"st","nd","rd","th"),"")</f>
        <v/>
      </c>
    </row>
    <row r="85" spans="11:11" x14ac:dyDescent="0.25">
      <c r="K85" s="233" t="str">
        <f>IFERROR(COUNTIF($B$14:B85,B85)&amp;CHOOSE(MIN(4,COUNTIF($B$14:B85,B85)),"st","nd","rd","th"),"")</f>
        <v/>
      </c>
    </row>
    <row r="86" spans="11:11" x14ac:dyDescent="0.25">
      <c r="K86" s="233" t="str">
        <f>IFERROR(COUNTIF($B$14:B86,B86)&amp;CHOOSE(MIN(4,COUNTIF($B$14:B86,B86)),"st","nd","rd","th"),"")</f>
        <v/>
      </c>
    </row>
    <row r="87" spans="11:11" x14ac:dyDescent="0.25">
      <c r="K87" s="233" t="str">
        <f>IFERROR(COUNTIF($B$14:B87,B87)&amp;CHOOSE(MIN(4,COUNTIF($B$14:B87,B87)),"st","nd","rd","th"),"")</f>
        <v/>
      </c>
    </row>
    <row r="88" spans="11:11" x14ac:dyDescent="0.25">
      <c r="K88" s="233" t="str">
        <f>IFERROR(COUNTIF($B$14:B88,B88)&amp;CHOOSE(MIN(4,COUNTIF($B$14:B88,B88)),"st","nd","rd","th"),"")</f>
        <v/>
      </c>
    </row>
    <row r="89" spans="11:11" x14ac:dyDescent="0.25">
      <c r="K89" s="233" t="str">
        <f>IFERROR(COUNTIF($B$14:B89,B89)&amp;CHOOSE(MIN(4,COUNTIF($B$14:B89,B89)),"st","nd","rd","th"),"")</f>
        <v/>
      </c>
    </row>
    <row r="90" spans="11:11" x14ac:dyDescent="0.25">
      <c r="K90" s="233" t="str">
        <f>IFERROR(COUNTIF($B$14:B90,B90)&amp;CHOOSE(MIN(4,COUNTIF($B$14:B90,B90)),"st","nd","rd","th"),"")</f>
        <v/>
      </c>
    </row>
    <row r="91" spans="11:11" x14ac:dyDescent="0.25">
      <c r="K91" s="233" t="str">
        <f>IFERROR(COUNTIF($B$14:B91,B91)&amp;CHOOSE(MIN(4,COUNTIF($B$14:B91,B91)),"st","nd","rd","th"),"")</f>
        <v/>
      </c>
    </row>
    <row r="92" spans="11:11" x14ac:dyDescent="0.25">
      <c r="K92" s="233" t="str">
        <f>IFERROR(COUNTIF($B$14:B92,B92)&amp;CHOOSE(MIN(4,COUNTIF($B$14:B92,B92)),"st","nd","rd","th"),"")</f>
        <v/>
      </c>
    </row>
    <row r="93" spans="11:11" x14ac:dyDescent="0.25">
      <c r="K93" s="233" t="str">
        <f>IFERROR(COUNTIF($B$14:B93,B93)&amp;CHOOSE(MIN(4,COUNTIF($B$14:B93,B93)),"st","nd","rd","th"),"")</f>
        <v/>
      </c>
    </row>
    <row r="94" spans="11:11" x14ac:dyDescent="0.25">
      <c r="K94" s="233" t="str">
        <f>IFERROR(COUNTIF($B$14:B94,B94)&amp;CHOOSE(MIN(4,COUNTIF($B$14:B94,B94)),"st","nd","rd","th"),"")</f>
        <v/>
      </c>
    </row>
    <row r="95" spans="11:11" x14ac:dyDescent="0.25">
      <c r="K95" s="233" t="str">
        <f>IFERROR(COUNTIF($B$14:B95,B95)&amp;CHOOSE(MIN(4,COUNTIF($B$14:B95,B95)),"st","nd","rd","th"),"")</f>
        <v/>
      </c>
    </row>
    <row r="96" spans="11:11" x14ac:dyDescent="0.25">
      <c r="K96" s="233" t="str">
        <f>IFERROR(COUNTIF($B$14:B96,B96)&amp;CHOOSE(MIN(4,COUNTIF($B$14:B96,B96)),"st","nd","rd","th"),"")</f>
        <v/>
      </c>
    </row>
    <row r="97" spans="11:11" x14ac:dyDescent="0.25">
      <c r="K97" s="233" t="str">
        <f>IFERROR(COUNTIF($B$14:B97,B97)&amp;CHOOSE(MIN(4,COUNTIF($B$14:B97,B97)),"st","nd","rd","th"),"")</f>
        <v/>
      </c>
    </row>
    <row r="98" spans="11:11" x14ac:dyDescent="0.25">
      <c r="K98" s="233" t="str">
        <f>IFERROR(COUNTIF($B$14:B98,B98)&amp;CHOOSE(MIN(4,COUNTIF($B$14:B98,B98)),"st","nd","rd","th"),"")</f>
        <v/>
      </c>
    </row>
    <row r="99" spans="11:11" x14ac:dyDescent="0.25">
      <c r="K99" s="233" t="str">
        <f>IFERROR(COUNTIF($B$14:B99,B99)&amp;CHOOSE(MIN(4,COUNTIF($B$14:B99,B99)),"st","nd","rd","th"),"")</f>
        <v/>
      </c>
    </row>
    <row r="100" spans="11:11" x14ac:dyDescent="0.25">
      <c r="K100" s="233" t="str">
        <f>IFERROR(COUNTIF($B$14:B100,B100)&amp;CHOOSE(MIN(4,COUNTIF($B$14:B100,B100)),"st","nd","rd","th"),"")</f>
        <v/>
      </c>
    </row>
    <row r="101" spans="11:11" x14ac:dyDescent="0.25">
      <c r="K101" s="233" t="str">
        <f>IFERROR(COUNTIF($B$14:B101,B101)&amp;CHOOSE(MIN(4,COUNTIF($B$14:B101,B101)),"st","nd","rd","th"),"")</f>
        <v/>
      </c>
    </row>
    <row r="102" spans="11:11" x14ac:dyDescent="0.25">
      <c r="K102" s="233" t="str">
        <f>IFERROR(COUNTIF($B$14:B102,B102)&amp;CHOOSE(MIN(4,COUNTIF($B$14:B102,B102)),"st","nd","rd","th"),"")</f>
        <v/>
      </c>
    </row>
    <row r="103" spans="11:11" x14ac:dyDescent="0.25">
      <c r="K103" s="233" t="str">
        <f>IFERROR(COUNTIF($B$14:B103,B103)&amp;CHOOSE(MIN(4,COUNTIF($B$14:B103,B103)),"st","nd","rd","th"),"")</f>
        <v/>
      </c>
    </row>
    <row r="104" spans="11:11" x14ac:dyDescent="0.25">
      <c r="K104" s="233" t="str">
        <f>IFERROR(COUNTIF($B$14:B104,B104)&amp;CHOOSE(MIN(4,COUNTIF($B$14:B104,B104)),"st","nd","rd","th"),"")</f>
        <v/>
      </c>
    </row>
    <row r="105" spans="11:11" x14ac:dyDescent="0.25">
      <c r="K105" s="233" t="str">
        <f>IFERROR(COUNTIF($B$14:B105,B105)&amp;CHOOSE(MIN(4,COUNTIF($B$14:B105,B105)),"st","nd","rd","th"),"")</f>
        <v/>
      </c>
    </row>
    <row r="106" spans="11:11" x14ac:dyDescent="0.25">
      <c r="K106" s="233" t="str">
        <f>IFERROR(COUNTIF($B$14:B106,B106)&amp;CHOOSE(MIN(4,COUNTIF($B$14:B106,B106)),"st","nd","rd","th"),"")</f>
        <v/>
      </c>
    </row>
    <row r="107" spans="11:11" x14ac:dyDescent="0.25">
      <c r="K107" s="233" t="str">
        <f>IFERROR(COUNTIF($B$14:B107,B107)&amp;CHOOSE(MIN(4,COUNTIF($B$14:B107,B107)),"st","nd","rd","th"),"")</f>
        <v/>
      </c>
    </row>
    <row r="108" spans="11:11" x14ac:dyDescent="0.25">
      <c r="K108" s="233" t="str">
        <f>IFERROR(COUNTIF($B$14:B108,B108)&amp;CHOOSE(MIN(4,COUNTIF($B$14:B108,B108)),"st","nd","rd","th"),"")</f>
        <v/>
      </c>
    </row>
    <row r="109" spans="11:11" x14ac:dyDescent="0.25">
      <c r="K109" s="233" t="str">
        <f>IFERROR(COUNTIF($B$14:B109,B109)&amp;CHOOSE(MIN(4,COUNTIF($B$14:B109,B109)),"st","nd","rd","th"),"")</f>
        <v/>
      </c>
    </row>
    <row r="110" spans="11:11" x14ac:dyDescent="0.25">
      <c r="K110" s="233" t="str">
        <f>IFERROR(COUNTIF($B$14:B110,B110)&amp;CHOOSE(MIN(4,COUNTIF($B$14:B110,B110)),"st","nd","rd","th"),"")</f>
        <v/>
      </c>
    </row>
    <row r="111" spans="11:11" x14ac:dyDescent="0.25">
      <c r="K111" s="233" t="str">
        <f>IFERROR(COUNTIF($B$14:B111,B111)&amp;CHOOSE(MIN(4,COUNTIF($B$14:B111,B111)),"st","nd","rd","th"),"")</f>
        <v/>
      </c>
    </row>
    <row r="112" spans="11:11" x14ac:dyDescent="0.25">
      <c r="K112" s="233" t="str">
        <f>IFERROR(COUNTIF($B$14:B112,B112)&amp;CHOOSE(MIN(4,COUNTIF($B$14:B112,B112)),"st","nd","rd","th"),"")</f>
        <v/>
      </c>
    </row>
    <row r="113" spans="11:11" x14ac:dyDescent="0.25">
      <c r="K113" s="233" t="str">
        <f>IFERROR(COUNTIF($B$14:B113,B113)&amp;CHOOSE(MIN(4,COUNTIF($B$14:B113,B113)),"st","nd","rd","th"),"")</f>
        <v/>
      </c>
    </row>
    <row r="114" spans="11:11" x14ac:dyDescent="0.25">
      <c r="K114" s="233" t="str">
        <f>IFERROR(COUNTIF($B$14:B114,B114)&amp;CHOOSE(MIN(4,COUNTIF($B$14:B114,B114)),"st","nd","rd","th"),"")</f>
        <v/>
      </c>
    </row>
    <row r="115" spans="11:11" x14ac:dyDescent="0.25">
      <c r="K115" s="233" t="str">
        <f>IFERROR(COUNTIF($B$14:B115,B115)&amp;CHOOSE(MIN(4,COUNTIF($B$14:B115,B115)),"st","nd","rd","th"),"")</f>
        <v/>
      </c>
    </row>
    <row r="116" spans="11:11" x14ac:dyDescent="0.25">
      <c r="K116" s="233" t="str">
        <f>IFERROR(COUNTIF($B$14:B116,B116)&amp;CHOOSE(MIN(4,COUNTIF($B$14:B116,B116)),"st","nd","rd","th"),"")</f>
        <v/>
      </c>
    </row>
    <row r="117" spans="11:11" x14ac:dyDescent="0.25">
      <c r="K117" s="233" t="str">
        <f>IFERROR(COUNTIF($B$14:B117,B117)&amp;CHOOSE(MIN(4,COUNTIF($B$14:B117,B117)),"st","nd","rd","th"),"")</f>
        <v/>
      </c>
    </row>
    <row r="118" spans="11:11" x14ac:dyDescent="0.25">
      <c r="K118" s="233" t="str">
        <f>IFERROR(COUNTIF($B$14:B118,B118)&amp;CHOOSE(MIN(4,COUNTIF($B$14:B118,B118)),"st","nd","rd","th"),"")</f>
        <v/>
      </c>
    </row>
    <row r="119" spans="11:11" x14ac:dyDescent="0.25">
      <c r="K119" s="233" t="str">
        <f>IFERROR(COUNTIF($B$14:B119,B119)&amp;CHOOSE(MIN(4,COUNTIF($B$14:B119,B119)),"st","nd","rd","th"),"")</f>
        <v/>
      </c>
    </row>
    <row r="120" spans="11:11" x14ac:dyDescent="0.25">
      <c r="K120" s="233" t="str">
        <f>IFERROR(COUNTIF($B$14:B120,B120)&amp;CHOOSE(MIN(4,COUNTIF($B$14:B120,B120)),"st","nd","rd","th"),"")</f>
        <v/>
      </c>
    </row>
    <row r="121" spans="11:11" x14ac:dyDescent="0.25">
      <c r="K121" s="233" t="str">
        <f>IFERROR(COUNTIF($B$14:B121,B121)&amp;CHOOSE(MIN(4,COUNTIF($B$14:B121,B121)),"st","nd","rd","th"),"")</f>
        <v/>
      </c>
    </row>
    <row r="122" spans="11:11" x14ac:dyDescent="0.25">
      <c r="K122" s="233" t="str">
        <f>IFERROR(COUNTIF($B$14:B122,B122)&amp;CHOOSE(MIN(4,COUNTIF($B$14:B122,B122)),"st","nd","rd","th"),"")</f>
        <v/>
      </c>
    </row>
    <row r="123" spans="11:11" x14ac:dyDescent="0.25">
      <c r="K123" s="233" t="str">
        <f>IFERROR(COUNTIF($B$14:B123,B123)&amp;CHOOSE(MIN(4,COUNTIF($B$14:B123,B123)),"st","nd","rd","th"),"")</f>
        <v/>
      </c>
    </row>
    <row r="124" spans="11:11" x14ac:dyDescent="0.25">
      <c r="K124" s="233" t="str">
        <f>IFERROR(COUNTIF($B$14:B124,B124)&amp;CHOOSE(MIN(4,COUNTIF($B$14:B124,B124)),"st","nd","rd","th"),"")</f>
        <v/>
      </c>
    </row>
    <row r="125" spans="11:11" x14ac:dyDescent="0.25">
      <c r="K125" s="233" t="str">
        <f>IFERROR(COUNTIF($B$14:B125,B125)&amp;CHOOSE(MIN(4,COUNTIF($B$14:B125,B125)),"st","nd","rd","th"),"")</f>
        <v/>
      </c>
    </row>
    <row r="126" spans="11:11" x14ac:dyDescent="0.25">
      <c r="K126" s="233" t="str">
        <f>IFERROR(COUNTIF($B$14:B126,B126)&amp;CHOOSE(MIN(4,COUNTIF($B$14:B126,B126)),"st","nd","rd","th"),"")</f>
        <v/>
      </c>
    </row>
    <row r="127" spans="11:11" x14ac:dyDescent="0.25">
      <c r="K127" s="233" t="str">
        <f>IFERROR(COUNTIF($B$14:B127,B127)&amp;CHOOSE(MIN(4,COUNTIF($B$14:B127,B127)),"st","nd","rd","th"),"")</f>
        <v/>
      </c>
    </row>
    <row r="128" spans="11:11" x14ac:dyDescent="0.25">
      <c r="K128" s="233" t="str">
        <f>IFERROR(COUNTIF($B$14:B128,B128)&amp;CHOOSE(MIN(4,COUNTIF($B$14:B128,B128)),"st","nd","rd","th"),"")</f>
        <v/>
      </c>
    </row>
    <row r="129" spans="11:11" x14ac:dyDescent="0.25">
      <c r="K129" s="233" t="str">
        <f>IFERROR(COUNTIF($B$14:B129,B129)&amp;CHOOSE(MIN(4,COUNTIF($B$14:B129,B129)),"st","nd","rd","th"),"")</f>
        <v/>
      </c>
    </row>
    <row r="130" spans="11:11" x14ac:dyDescent="0.25">
      <c r="K130" s="233" t="str">
        <f>IFERROR(COUNTIF($B$14:B130,B130)&amp;CHOOSE(MIN(4,COUNTIF($B$14:B130,B130)),"st","nd","rd","th"),"")</f>
        <v/>
      </c>
    </row>
    <row r="131" spans="11:11" x14ac:dyDescent="0.25">
      <c r="K131" s="233" t="str">
        <f>IFERROR(COUNTIF($B$14:B131,B131)&amp;CHOOSE(MIN(4,COUNTIF($B$14:B131,B131)),"st","nd","rd","th"),"")</f>
        <v/>
      </c>
    </row>
    <row r="132" spans="11:11" x14ac:dyDescent="0.25">
      <c r="K132" s="233" t="str">
        <f>IFERROR(COUNTIF($B$14:B132,B132)&amp;CHOOSE(MIN(4,COUNTIF($B$14:B132,B132)),"st","nd","rd","th"),"")</f>
        <v/>
      </c>
    </row>
    <row r="133" spans="11:11" x14ac:dyDescent="0.25">
      <c r="K133" s="233" t="str">
        <f>IFERROR(COUNTIF($B$14:B133,B133)&amp;CHOOSE(MIN(4,COUNTIF($B$14:B133,B133)),"st","nd","rd","th"),"")</f>
        <v/>
      </c>
    </row>
    <row r="134" spans="11:11" x14ac:dyDescent="0.25">
      <c r="K134" s="233" t="str">
        <f>IFERROR(COUNTIF($B$14:B134,B134)&amp;CHOOSE(MIN(4,COUNTIF($B$14:B134,B134)),"st","nd","rd","th"),"")</f>
        <v/>
      </c>
    </row>
    <row r="135" spans="11:11" x14ac:dyDescent="0.25">
      <c r="K135" s="233" t="str">
        <f>IFERROR(COUNTIF($B$14:B135,B135)&amp;CHOOSE(MIN(4,COUNTIF($B$14:B135,B135)),"st","nd","rd","th"),"")</f>
        <v/>
      </c>
    </row>
    <row r="136" spans="11:11" x14ac:dyDescent="0.25">
      <c r="K136" s="233" t="str">
        <f>IFERROR(COUNTIF($B$14:B136,B136)&amp;CHOOSE(MIN(4,COUNTIF($B$14:B136,B136)),"st","nd","rd","th"),"")</f>
        <v/>
      </c>
    </row>
    <row r="137" spans="11:11" x14ac:dyDescent="0.25">
      <c r="K137" s="233" t="str">
        <f>IFERROR(COUNTIF($B$14:B137,B137)&amp;CHOOSE(MIN(4,COUNTIF($B$14:B137,B137)),"st","nd","rd","th"),"")</f>
        <v/>
      </c>
    </row>
    <row r="138" spans="11:11" x14ac:dyDescent="0.25">
      <c r="K138" s="233" t="str">
        <f>IFERROR(COUNTIF($B$14:B138,B138)&amp;CHOOSE(MIN(4,COUNTIF($B$14:B138,B138)),"st","nd","rd","th"),"")</f>
        <v/>
      </c>
    </row>
    <row r="139" spans="11:11" x14ac:dyDescent="0.25">
      <c r="K139" s="233" t="str">
        <f>IFERROR(COUNTIF($B$14:B139,B139)&amp;CHOOSE(MIN(4,COUNTIF($B$14:B139,B139)),"st","nd","rd","th"),"")</f>
        <v/>
      </c>
    </row>
    <row r="140" spans="11:11" x14ac:dyDescent="0.25">
      <c r="K140" s="233" t="str">
        <f>IFERROR(COUNTIF($B$14:B140,B140)&amp;CHOOSE(MIN(4,COUNTIF($B$14:B140,B140)),"st","nd","rd","th"),"")</f>
        <v/>
      </c>
    </row>
    <row r="141" spans="11:11" x14ac:dyDescent="0.25">
      <c r="K141" s="233" t="str">
        <f>IFERROR(COUNTIF($B$14:B141,B141)&amp;CHOOSE(MIN(4,COUNTIF($B$14:B141,B141)),"st","nd","rd","th"),"")</f>
        <v/>
      </c>
    </row>
    <row r="142" spans="11:11" x14ac:dyDescent="0.25">
      <c r="K142" s="233" t="str">
        <f>IFERROR(COUNTIF($B$14:B142,B142)&amp;CHOOSE(MIN(4,COUNTIF($B$14:B142,B142)),"st","nd","rd","th"),"")</f>
        <v/>
      </c>
    </row>
    <row r="143" spans="11:11" x14ac:dyDescent="0.25">
      <c r="K143" s="233" t="str">
        <f>IFERROR(COUNTIF($B$14:B143,B143)&amp;CHOOSE(MIN(4,COUNTIF($B$14:B143,B143)),"st","nd","rd","th"),"")</f>
        <v/>
      </c>
    </row>
    <row r="144" spans="11:11" x14ac:dyDescent="0.25">
      <c r="K144" s="233" t="str">
        <f>IFERROR(COUNTIF($B$14:B144,B144)&amp;CHOOSE(MIN(4,COUNTIF($B$14:B144,B144)),"st","nd","rd","th"),"")</f>
        <v/>
      </c>
    </row>
    <row r="145" spans="11:11" x14ac:dyDescent="0.25">
      <c r="K145" s="233" t="str">
        <f>IFERROR(COUNTIF($B$14:B145,B145)&amp;CHOOSE(MIN(4,COUNTIF($B$14:B145,B145)),"st","nd","rd","th"),"")</f>
        <v/>
      </c>
    </row>
    <row r="146" spans="11:11" x14ac:dyDescent="0.25">
      <c r="K146" s="233" t="str">
        <f>IFERROR(COUNTIF($B$14:B146,B146)&amp;CHOOSE(MIN(4,COUNTIF($B$14:B146,B146)),"st","nd","rd","th"),"")</f>
        <v/>
      </c>
    </row>
    <row r="147" spans="11:11" x14ac:dyDescent="0.25">
      <c r="K147" s="233" t="str">
        <f>IFERROR(COUNTIF($B$14:B147,B147)&amp;CHOOSE(MIN(4,COUNTIF($B$14:B147,B147)),"st","nd","rd","th"),"")</f>
        <v/>
      </c>
    </row>
    <row r="148" spans="11:11" x14ac:dyDescent="0.25">
      <c r="K148" s="233" t="str">
        <f>IFERROR(COUNTIF($B$14:B148,B148)&amp;CHOOSE(MIN(4,COUNTIF($B$14:B148,B148)),"st","nd","rd","th"),"")</f>
        <v/>
      </c>
    </row>
    <row r="149" spans="11:11" x14ac:dyDescent="0.25">
      <c r="K149" s="233" t="str">
        <f>IFERROR(COUNTIF($B$14:B149,B149)&amp;CHOOSE(MIN(4,COUNTIF($B$14:B149,B149)),"st","nd","rd","th"),"")</f>
        <v/>
      </c>
    </row>
    <row r="150" spans="11:11" x14ac:dyDescent="0.25">
      <c r="K150" s="233" t="str">
        <f>IFERROR(COUNTIF($B$14:B150,B150)&amp;CHOOSE(MIN(4,COUNTIF($B$14:B150,B150)),"st","nd","rd","th"),"")</f>
        <v/>
      </c>
    </row>
    <row r="151" spans="11:11" x14ac:dyDescent="0.25">
      <c r="K151" s="233" t="str">
        <f>IFERROR(COUNTIF($B$14:B151,B151)&amp;CHOOSE(MIN(4,COUNTIF($B$14:B151,B151)),"st","nd","rd","th"),"")</f>
        <v/>
      </c>
    </row>
    <row r="152" spans="11:11" x14ac:dyDescent="0.25">
      <c r="K152" s="233" t="str">
        <f>IFERROR(COUNTIF($B$14:B152,B152)&amp;CHOOSE(MIN(4,COUNTIF($B$14:B152,B152)),"st","nd","rd","th"),"")</f>
        <v/>
      </c>
    </row>
    <row r="153" spans="11:11" x14ac:dyDescent="0.25">
      <c r="K153" s="233" t="str">
        <f>IFERROR(COUNTIF($B$14:B153,B153)&amp;CHOOSE(MIN(4,COUNTIF($B$14:B153,B153)),"st","nd","rd","th"),"")</f>
        <v/>
      </c>
    </row>
    <row r="154" spans="11:11" x14ac:dyDescent="0.25">
      <c r="K154" s="233" t="str">
        <f>IFERROR(COUNTIF($B$14:B154,B154)&amp;CHOOSE(MIN(4,COUNTIF($B$14:B154,B154)),"st","nd","rd","th"),"")</f>
        <v/>
      </c>
    </row>
    <row r="155" spans="11:11" x14ac:dyDescent="0.25">
      <c r="K155" s="233" t="str">
        <f>IFERROR(COUNTIF($B$14:B155,B155)&amp;CHOOSE(MIN(4,COUNTIF($B$14:B155,B155)),"st","nd","rd","th"),"")</f>
        <v/>
      </c>
    </row>
    <row r="156" spans="11:11" x14ac:dyDescent="0.25">
      <c r="K156" s="233" t="str">
        <f>IFERROR(COUNTIF($B$14:B156,B156)&amp;CHOOSE(MIN(4,COUNTIF($B$14:B156,B156)),"st","nd","rd","th"),"")</f>
        <v/>
      </c>
    </row>
    <row r="157" spans="11:11" x14ac:dyDescent="0.25">
      <c r="K157" s="233" t="str">
        <f>IFERROR(COUNTIF($B$14:B157,B157)&amp;CHOOSE(MIN(4,COUNTIF($B$14:B157,B157)),"st","nd","rd","th"),"")</f>
        <v/>
      </c>
    </row>
    <row r="158" spans="11:11" x14ac:dyDescent="0.25">
      <c r="K158" s="233" t="str">
        <f>IFERROR(COUNTIF($B$14:B158,B158)&amp;CHOOSE(MIN(4,COUNTIF($B$14:B158,B158)),"st","nd","rd","th"),"")</f>
        <v/>
      </c>
    </row>
    <row r="159" spans="11:11" x14ac:dyDescent="0.25">
      <c r="K159" s="233" t="str">
        <f>IFERROR(COUNTIF($B$14:B159,B159)&amp;CHOOSE(MIN(4,COUNTIF($B$14:B159,B159)),"st","nd","rd","th"),"")</f>
        <v/>
      </c>
    </row>
    <row r="160" spans="11:11" x14ac:dyDescent="0.25">
      <c r="K160" s="233" t="str">
        <f>IFERROR(COUNTIF($B$14:B160,B160)&amp;CHOOSE(MIN(4,COUNTIF($B$14:B160,B160)),"st","nd","rd","th"),"")</f>
        <v/>
      </c>
    </row>
    <row r="161" spans="11:11" x14ac:dyDescent="0.25">
      <c r="K161" s="233" t="str">
        <f>IFERROR(COUNTIF($B$14:B161,B161)&amp;CHOOSE(MIN(4,COUNTIF($B$14:B161,B161)),"st","nd","rd","th"),"")</f>
        <v/>
      </c>
    </row>
    <row r="162" spans="11:11" x14ac:dyDescent="0.25">
      <c r="K162" s="233" t="str">
        <f>IFERROR(COUNTIF($B$14:B162,B162)&amp;CHOOSE(MIN(4,COUNTIF($B$14:B162,B162)),"st","nd","rd","th"),"")</f>
        <v/>
      </c>
    </row>
    <row r="163" spans="11:11" x14ac:dyDescent="0.25">
      <c r="K163" s="233" t="str">
        <f>IFERROR(COUNTIF($B$14:B163,B163)&amp;CHOOSE(MIN(4,COUNTIF($B$14:B163,B163)),"st","nd","rd","th"),"")</f>
        <v/>
      </c>
    </row>
    <row r="164" spans="11:11" x14ac:dyDescent="0.25">
      <c r="K164" s="233" t="str">
        <f>IFERROR(COUNTIF($B$14:B164,B164)&amp;CHOOSE(MIN(4,COUNTIF($B$14:B164,B164)),"st","nd","rd","th"),"")</f>
        <v/>
      </c>
    </row>
    <row r="165" spans="11:11" x14ac:dyDescent="0.25">
      <c r="K165" s="233" t="str">
        <f>IFERROR(COUNTIF($B$14:B165,B165)&amp;CHOOSE(MIN(4,COUNTIF($B$14:B165,B165)),"st","nd","rd","th"),"")</f>
        <v/>
      </c>
    </row>
    <row r="166" spans="11:11" x14ac:dyDescent="0.25">
      <c r="K166" s="233" t="str">
        <f>IFERROR(COUNTIF($B$14:B166,B166)&amp;CHOOSE(MIN(4,COUNTIF($B$14:B166,B166)),"st","nd","rd","th"),"")</f>
        <v/>
      </c>
    </row>
    <row r="167" spans="11:11" x14ac:dyDescent="0.25">
      <c r="K167" s="233" t="str">
        <f>IFERROR(COUNTIF($B$14:B167,B167)&amp;CHOOSE(MIN(4,COUNTIF($B$14:B167,B167)),"st","nd","rd","th"),"")</f>
        <v/>
      </c>
    </row>
    <row r="168" spans="11:11" x14ac:dyDescent="0.25">
      <c r="K168" s="233" t="str">
        <f>IFERROR(COUNTIF($B$14:B168,B168)&amp;CHOOSE(MIN(4,COUNTIF($B$14:B168,B168)),"st","nd","rd","th"),"")</f>
        <v/>
      </c>
    </row>
    <row r="169" spans="11:11" x14ac:dyDescent="0.25">
      <c r="K169" s="233" t="str">
        <f>IFERROR(COUNTIF($B$14:B169,B169)&amp;CHOOSE(MIN(4,COUNTIF($B$14:B169,B169)),"st","nd","rd","th"),"")</f>
        <v/>
      </c>
    </row>
    <row r="170" spans="11:11" x14ac:dyDescent="0.25">
      <c r="K170" s="233" t="str">
        <f>IFERROR(COUNTIF($B$14:B170,B170)&amp;CHOOSE(MIN(4,COUNTIF($B$14:B170,B170)),"st","nd","rd","th"),"")</f>
        <v/>
      </c>
    </row>
    <row r="171" spans="11:11" x14ac:dyDescent="0.25">
      <c r="K171" s="233" t="str">
        <f>IFERROR(COUNTIF($B$14:B171,B171)&amp;CHOOSE(MIN(4,COUNTIF($B$14:B171,B171)),"st","nd","rd","th"),"")</f>
        <v/>
      </c>
    </row>
    <row r="172" spans="11:11" x14ac:dyDescent="0.25">
      <c r="K172" s="233" t="str">
        <f>IFERROR(COUNTIF($B$14:B172,B172)&amp;CHOOSE(MIN(4,COUNTIF($B$14:B172,B172)),"st","nd","rd","th"),"")</f>
        <v/>
      </c>
    </row>
    <row r="173" spans="11:11" x14ac:dyDescent="0.25">
      <c r="K173" s="233" t="str">
        <f>IFERROR(COUNTIF($B$14:B173,B173)&amp;CHOOSE(MIN(4,COUNTIF($B$14:B173,B173)),"st","nd","rd","th"),"")</f>
        <v/>
      </c>
    </row>
    <row r="174" spans="11:11" x14ac:dyDescent="0.25">
      <c r="K174" s="233" t="str">
        <f>IFERROR(COUNTIF($B$14:B174,B174)&amp;CHOOSE(MIN(4,COUNTIF($B$14:B174,B174)),"st","nd","rd","th"),"")</f>
        <v/>
      </c>
    </row>
    <row r="175" spans="11:11" x14ac:dyDescent="0.25">
      <c r="K175" s="233" t="str">
        <f>IFERROR(COUNTIF($B$14:B175,B175)&amp;CHOOSE(MIN(4,COUNTIF($B$14:B175,B175)),"st","nd","rd","th"),"")</f>
        <v/>
      </c>
    </row>
    <row r="176" spans="11:11" x14ac:dyDescent="0.25">
      <c r="K176" s="233" t="str">
        <f>IFERROR(COUNTIF($B$14:B176,B176)&amp;CHOOSE(MIN(4,COUNTIF($B$14:B176,B176)),"st","nd","rd","th"),"")</f>
        <v/>
      </c>
    </row>
    <row r="177" spans="11:11" x14ac:dyDescent="0.25">
      <c r="K177" s="233" t="str">
        <f>IFERROR(COUNTIF($B$14:B177,B177)&amp;CHOOSE(MIN(4,COUNTIF($B$14:B177,B177)),"st","nd","rd","th"),"")</f>
        <v/>
      </c>
    </row>
    <row r="178" spans="11:11" x14ac:dyDescent="0.25">
      <c r="K178" s="233" t="str">
        <f>IFERROR(COUNTIF($B$14:B178,B178)&amp;CHOOSE(MIN(4,COUNTIF($B$14:B178,B178)),"st","nd","rd","th"),"")</f>
        <v/>
      </c>
    </row>
    <row r="179" spans="11:11" x14ac:dyDescent="0.25">
      <c r="K179" s="233" t="str">
        <f>IFERROR(COUNTIF($B$14:B179,B179)&amp;CHOOSE(MIN(4,COUNTIF($B$14:B179,B179)),"st","nd","rd","th"),"")</f>
        <v/>
      </c>
    </row>
    <row r="180" spans="11:11" x14ac:dyDescent="0.25">
      <c r="K180" s="233" t="str">
        <f>IFERROR(COUNTIF($B$14:B180,B180)&amp;CHOOSE(MIN(4,COUNTIF($B$14:B180,B180)),"st","nd","rd","th"),"")</f>
        <v/>
      </c>
    </row>
    <row r="181" spans="11:11" x14ac:dyDescent="0.25">
      <c r="K181" s="233" t="str">
        <f>IFERROR(COUNTIF($B$14:B181,B181)&amp;CHOOSE(MIN(4,COUNTIF($B$14:B181,B181)),"st","nd","rd","th"),"")</f>
        <v/>
      </c>
    </row>
    <row r="182" spans="11:11" x14ac:dyDescent="0.25">
      <c r="K182" s="233" t="str">
        <f>IFERROR(COUNTIF($B$14:B182,B182)&amp;CHOOSE(MIN(4,COUNTIF($B$14:B182,B182)),"st","nd","rd","th"),"")</f>
        <v/>
      </c>
    </row>
    <row r="183" spans="11:11" x14ac:dyDescent="0.25">
      <c r="K183" s="233" t="str">
        <f>IFERROR(COUNTIF($B$14:B183,B183)&amp;CHOOSE(MIN(4,COUNTIF($B$14:B183,B183)),"st","nd","rd","th"),"")</f>
        <v/>
      </c>
    </row>
    <row r="184" spans="11:11" x14ac:dyDescent="0.25">
      <c r="K184" s="233" t="str">
        <f>IFERROR(COUNTIF($B$14:B184,B184)&amp;CHOOSE(MIN(4,COUNTIF($B$14:B184,B184)),"st","nd","rd","th"),"")</f>
        <v/>
      </c>
    </row>
    <row r="185" spans="11:11" x14ac:dyDescent="0.25">
      <c r="K185" s="233" t="str">
        <f>IFERROR(COUNTIF($B$14:B185,B185)&amp;CHOOSE(MIN(4,COUNTIF($B$14:B185,B185)),"st","nd","rd","th"),"")</f>
        <v/>
      </c>
    </row>
    <row r="186" spans="11:11" x14ac:dyDescent="0.25">
      <c r="K186" s="233" t="str">
        <f>IFERROR(COUNTIF($B$14:B186,B186)&amp;CHOOSE(MIN(4,COUNTIF($B$14:B186,B186)),"st","nd","rd","th"),"")</f>
        <v/>
      </c>
    </row>
    <row r="187" spans="11:11" x14ac:dyDescent="0.25">
      <c r="K187" s="233" t="str">
        <f>IFERROR(COUNTIF($B$14:B187,B187)&amp;CHOOSE(MIN(4,COUNTIF($B$14:B187,B187)),"st","nd","rd","th"),"")</f>
        <v/>
      </c>
    </row>
    <row r="188" spans="11:11" x14ac:dyDescent="0.25">
      <c r="K188" s="233" t="str">
        <f>IFERROR(COUNTIF($B$14:B188,B188)&amp;CHOOSE(MIN(4,COUNTIF($B$14:B188,B188)),"st","nd","rd","th"),"")</f>
        <v/>
      </c>
    </row>
    <row r="189" spans="11:11" x14ac:dyDescent="0.25">
      <c r="K189" s="233" t="str">
        <f>IFERROR(COUNTIF($B$14:B189,B189)&amp;CHOOSE(MIN(4,COUNTIF($B$14:B189,B189)),"st","nd","rd","th"),"")</f>
        <v/>
      </c>
    </row>
    <row r="190" spans="11:11" x14ac:dyDescent="0.25">
      <c r="K190" s="233" t="str">
        <f>IFERROR(COUNTIF($B$14:B190,B190)&amp;CHOOSE(MIN(4,COUNTIF($B$14:B190,B190)),"st","nd","rd","th"),"")</f>
        <v/>
      </c>
    </row>
    <row r="191" spans="11:11" x14ac:dyDescent="0.25">
      <c r="K191" s="233" t="str">
        <f>IFERROR(COUNTIF($B$14:B191,B191)&amp;CHOOSE(MIN(4,COUNTIF($B$14:B191,B191)),"st","nd","rd","th"),"")</f>
        <v/>
      </c>
    </row>
    <row r="192" spans="11:11" x14ac:dyDescent="0.25">
      <c r="K192" s="233" t="str">
        <f>IFERROR(COUNTIF($B$14:B192,B192)&amp;CHOOSE(MIN(4,COUNTIF($B$14:B192,B192)),"st","nd","rd","th"),"")</f>
        <v/>
      </c>
    </row>
    <row r="193" spans="11:11" x14ac:dyDescent="0.25">
      <c r="K193" s="233" t="str">
        <f>IFERROR(COUNTIF($B$14:B193,B193)&amp;CHOOSE(MIN(4,COUNTIF($B$14:B193,B193)),"st","nd","rd","th"),"")</f>
        <v/>
      </c>
    </row>
    <row r="194" spans="11:11" x14ac:dyDescent="0.25">
      <c r="K194" s="233" t="str">
        <f>IFERROR(COUNTIF($B$14:B194,B194)&amp;CHOOSE(MIN(4,COUNTIF($B$14:B194,B194)),"st","nd","rd","th"),"")</f>
        <v/>
      </c>
    </row>
    <row r="195" spans="11:11" x14ac:dyDescent="0.25">
      <c r="K195" s="233" t="str">
        <f>IFERROR(COUNTIF($B$14:B195,B195)&amp;CHOOSE(MIN(4,COUNTIF($B$14:B195,B195)),"st","nd","rd","th"),"")</f>
        <v/>
      </c>
    </row>
    <row r="196" spans="11:11" x14ac:dyDescent="0.25">
      <c r="K196" s="233" t="str">
        <f>IFERROR(COUNTIF($B$14:B196,B196)&amp;CHOOSE(MIN(4,COUNTIF($B$14:B196,B196)),"st","nd","rd","th"),"")</f>
        <v/>
      </c>
    </row>
    <row r="197" spans="11:11" x14ac:dyDescent="0.25">
      <c r="K197" s="233" t="str">
        <f>IFERROR(COUNTIF($B$14:B197,B197)&amp;CHOOSE(MIN(4,COUNTIF($B$14:B197,B197)),"st","nd","rd","th"),"")</f>
        <v/>
      </c>
    </row>
    <row r="198" spans="11:11" x14ac:dyDescent="0.25">
      <c r="K198" s="233" t="str">
        <f>IFERROR(COUNTIF($B$14:B198,B198)&amp;CHOOSE(MIN(4,COUNTIF($B$14:B198,B198)),"st","nd","rd","th"),"")</f>
        <v/>
      </c>
    </row>
    <row r="199" spans="11:11" x14ac:dyDescent="0.25">
      <c r="K199" s="233" t="str">
        <f>IFERROR(COUNTIF($B$14:B199,B199)&amp;CHOOSE(MIN(4,COUNTIF($B$14:B199,B199)),"st","nd","rd","th"),"")</f>
        <v/>
      </c>
    </row>
    <row r="200" spans="11:11" x14ac:dyDescent="0.25">
      <c r="K200" s="233" t="str">
        <f>IFERROR(COUNTIF($B$14:B200,B200)&amp;CHOOSE(MIN(4,COUNTIF($B$14:B200,B200)),"st","nd","rd","th"),"")</f>
        <v/>
      </c>
    </row>
    <row r="201" spans="11:11" x14ac:dyDescent="0.25">
      <c r="K201" s="233" t="str">
        <f>IFERROR(COUNTIF($B$14:B201,B201)&amp;CHOOSE(MIN(4,COUNTIF($B$14:B201,B201)),"st","nd","rd","th"),"")</f>
        <v/>
      </c>
    </row>
    <row r="202" spans="11:11" x14ac:dyDescent="0.25">
      <c r="K202" s="233" t="str">
        <f>IFERROR(COUNTIF($B$14:B202,B202)&amp;CHOOSE(MIN(4,COUNTIF($B$14:B202,B202)),"st","nd","rd","th"),"")</f>
        <v/>
      </c>
    </row>
    <row r="203" spans="11:11" x14ac:dyDescent="0.25">
      <c r="K203" s="233" t="str">
        <f>IFERROR(COUNTIF($B$14:B203,B203)&amp;CHOOSE(MIN(4,COUNTIF($B$14:B203,B203)),"st","nd","rd","th"),"")</f>
        <v/>
      </c>
    </row>
    <row r="204" spans="11:11" x14ac:dyDescent="0.25">
      <c r="K204" s="233" t="str">
        <f>IFERROR(COUNTIF($B$14:B204,B204)&amp;CHOOSE(MIN(4,COUNTIF($B$14:B204,B204)),"st","nd","rd","th"),"")</f>
        <v/>
      </c>
    </row>
    <row r="205" spans="11:11" x14ac:dyDescent="0.25">
      <c r="K205" s="233" t="str">
        <f>IFERROR(COUNTIF($B$14:B205,B205)&amp;CHOOSE(MIN(4,COUNTIF($B$14:B205,B205)),"st","nd","rd","th"),"")</f>
        <v/>
      </c>
    </row>
    <row r="206" spans="11:11" x14ac:dyDescent="0.25">
      <c r="K206" s="233" t="str">
        <f>IFERROR(COUNTIF($B$14:B206,B206)&amp;CHOOSE(MIN(4,COUNTIF($B$14:B206,B206)),"st","nd","rd","th"),"")</f>
        <v/>
      </c>
    </row>
    <row r="207" spans="11:11" x14ac:dyDescent="0.25">
      <c r="K207" s="233" t="str">
        <f>IFERROR(COUNTIF($B$14:B207,B207)&amp;CHOOSE(MIN(4,COUNTIF($B$14:B207,B207)),"st","nd","rd","th"),"")</f>
        <v/>
      </c>
    </row>
    <row r="208" spans="11:11" x14ac:dyDescent="0.25">
      <c r="K208" s="233" t="str">
        <f>IFERROR(COUNTIF($B$14:B208,B208)&amp;CHOOSE(MIN(4,COUNTIF($B$14:B208,B208)),"st","nd","rd","th"),"")</f>
        <v/>
      </c>
    </row>
    <row r="209" spans="11:11" x14ac:dyDescent="0.25">
      <c r="K209" s="233" t="str">
        <f>IFERROR(COUNTIF($B$14:B209,B209)&amp;CHOOSE(MIN(4,COUNTIF($B$14:B209,B209)),"st","nd","rd","th"),"")</f>
        <v/>
      </c>
    </row>
    <row r="210" spans="11:11" x14ac:dyDescent="0.25">
      <c r="K210" s="233" t="str">
        <f>IFERROR(COUNTIF($B$14:B210,B210)&amp;CHOOSE(MIN(4,COUNTIF($B$14:B210,B210)),"st","nd","rd","th"),"")</f>
        <v/>
      </c>
    </row>
    <row r="211" spans="11:11" x14ac:dyDescent="0.25">
      <c r="K211" s="233" t="str">
        <f>IFERROR(COUNTIF($B$14:B211,B211)&amp;CHOOSE(MIN(4,COUNTIF($B$14:B211,B211)),"st","nd","rd","th"),"")</f>
        <v/>
      </c>
    </row>
    <row r="212" spans="11:11" x14ac:dyDescent="0.25">
      <c r="K212" s="233" t="str">
        <f>IFERROR(COUNTIF($B$14:B212,B212)&amp;CHOOSE(MIN(4,COUNTIF($B$14:B212,B212)),"st","nd","rd","th"),"")</f>
        <v/>
      </c>
    </row>
    <row r="213" spans="11:11" x14ac:dyDescent="0.25">
      <c r="K213" s="233" t="str">
        <f>IFERROR(COUNTIF($B$14:B213,B213)&amp;CHOOSE(MIN(4,COUNTIF($B$14:B213,B213)),"st","nd","rd","th"),"")</f>
        <v/>
      </c>
    </row>
    <row r="214" spans="11:11" x14ac:dyDescent="0.25">
      <c r="K214" s="233" t="str">
        <f>IFERROR(COUNTIF($B$14:B214,B214)&amp;CHOOSE(MIN(4,COUNTIF($B$14:B214,B214)),"st","nd","rd","th"),"")</f>
        <v/>
      </c>
    </row>
    <row r="215" spans="11:11" x14ac:dyDescent="0.25">
      <c r="K215" s="233" t="str">
        <f>IFERROR(COUNTIF($B$14:B215,B215)&amp;CHOOSE(MIN(4,COUNTIF($B$14:B215,B215)),"st","nd","rd","th"),"")</f>
        <v/>
      </c>
    </row>
    <row r="216" spans="11:11" x14ac:dyDescent="0.25">
      <c r="K216" s="233" t="str">
        <f>IFERROR(COUNTIF($B$14:B216,B216)&amp;CHOOSE(MIN(4,COUNTIF($B$14:B216,B216)),"st","nd","rd","th"),"")</f>
        <v/>
      </c>
    </row>
    <row r="217" spans="11:11" x14ac:dyDescent="0.25">
      <c r="K217" s="233" t="str">
        <f>IFERROR(COUNTIF($B$14:B217,B217)&amp;CHOOSE(MIN(4,COUNTIF($B$14:B217,B217)),"st","nd","rd","th"),"")</f>
        <v/>
      </c>
    </row>
    <row r="218" spans="11:11" x14ac:dyDescent="0.25">
      <c r="K218" s="233" t="str">
        <f>IFERROR(COUNTIF($B$14:B218,B218)&amp;CHOOSE(MIN(4,COUNTIF($B$14:B218,B218)),"st","nd","rd","th"),"")</f>
        <v/>
      </c>
    </row>
    <row r="219" spans="11:11" x14ac:dyDescent="0.25">
      <c r="K219" s="233" t="str">
        <f>IFERROR(COUNTIF($B$14:B219,B219)&amp;CHOOSE(MIN(4,COUNTIF($B$14:B219,B219)),"st","nd","rd","th"),"")</f>
        <v/>
      </c>
    </row>
    <row r="220" spans="11:11" x14ac:dyDescent="0.25">
      <c r="K220" s="233" t="str">
        <f>IFERROR(COUNTIF($B$14:B220,B220)&amp;CHOOSE(MIN(4,COUNTIF($B$14:B220,B220)),"st","nd","rd","th"),"")</f>
        <v/>
      </c>
    </row>
    <row r="221" spans="11:11" x14ac:dyDescent="0.25">
      <c r="K221" s="233" t="str">
        <f>IFERROR(COUNTIF($B$14:B221,B221)&amp;CHOOSE(MIN(4,COUNTIF($B$14:B221,B221)),"st","nd","rd","th"),"")</f>
        <v/>
      </c>
    </row>
    <row r="222" spans="11:11" x14ac:dyDescent="0.25">
      <c r="K222" s="233" t="str">
        <f>IFERROR(COUNTIF($B$14:B222,B222)&amp;CHOOSE(MIN(4,COUNTIF($B$14:B222,B222)),"st","nd","rd","th"),"")</f>
        <v/>
      </c>
    </row>
    <row r="223" spans="11:11" x14ac:dyDescent="0.25">
      <c r="K223" s="233" t="str">
        <f>IFERROR(COUNTIF($B$14:B223,B223)&amp;CHOOSE(MIN(4,COUNTIF($B$14:B223,B223)),"st","nd","rd","th"),"")</f>
        <v/>
      </c>
    </row>
    <row r="224" spans="11:11" x14ac:dyDescent="0.25">
      <c r="K224" s="233" t="str">
        <f>IFERROR(COUNTIF($B$14:B224,B224)&amp;CHOOSE(MIN(4,COUNTIF($B$14:B224,B224)),"st","nd","rd","th"),"")</f>
        <v/>
      </c>
    </row>
    <row r="225" spans="11:11" x14ac:dyDescent="0.25">
      <c r="K225" s="233" t="str">
        <f>IFERROR(COUNTIF($B$14:B225,B225)&amp;CHOOSE(MIN(4,COUNTIF($B$14:B225,B225)),"st","nd","rd","th"),"")</f>
        <v/>
      </c>
    </row>
    <row r="226" spans="11:11" x14ac:dyDescent="0.25">
      <c r="K226" s="233" t="str">
        <f>IFERROR(COUNTIF($B$14:B226,B226)&amp;CHOOSE(MIN(4,COUNTIF($B$14:B226,B226)),"st","nd","rd","th"),"")</f>
        <v/>
      </c>
    </row>
    <row r="227" spans="11:11" x14ac:dyDescent="0.25">
      <c r="K227" s="233" t="str">
        <f>IFERROR(COUNTIF($B$14:B227,B227)&amp;CHOOSE(MIN(4,COUNTIF($B$14:B227,B227)),"st","nd","rd","th"),"")</f>
        <v/>
      </c>
    </row>
    <row r="228" spans="11:11" x14ac:dyDescent="0.25">
      <c r="K228" s="233" t="str">
        <f>IFERROR(COUNTIF($B$14:B228,B228)&amp;CHOOSE(MIN(4,COUNTIF($B$14:B228,B228)),"st","nd","rd","th"),"")</f>
        <v/>
      </c>
    </row>
    <row r="229" spans="11:11" x14ac:dyDescent="0.25">
      <c r="K229" s="233" t="str">
        <f>IFERROR(COUNTIF($B$14:B229,B229)&amp;CHOOSE(MIN(4,COUNTIF($B$14:B229,B229)),"st","nd","rd","th"),"")</f>
        <v/>
      </c>
    </row>
    <row r="230" spans="11:11" x14ac:dyDescent="0.25">
      <c r="K230" s="233" t="str">
        <f>IFERROR(COUNTIF($B$14:B230,B230)&amp;CHOOSE(MIN(4,COUNTIF($B$14:B230,B230)),"st","nd","rd","th"),"")</f>
        <v/>
      </c>
    </row>
    <row r="231" spans="11:11" x14ac:dyDescent="0.25">
      <c r="K231" s="233" t="str">
        <f>IFERROR(COUNTIF($B$14:B231,B231)&amp;CHOOSE(MIN(4,COUNTIF($B$14:B231,B231)),"st","nd","rd","th"),"")</f>
        <v/>
      </c>
    </row>
    <row r="232" spans="11:11" x14ac:dyDescent="0.25">
      <c r="K232" s="233" t="str">
        <f>IFERROR(COUNTIF($B$14:B232,B232)&amp;CHOOSE(MIN(4,COUNTIF($B$14:B232,B232)),"st","nd","rd","th"),"")</f>
        <v/>
      </c>
    </row>
    <row r="233" spans="11:11" x14ac:dyDescent="0.25">
      <c r="K233" s="233" t="str">
        <f>IFERROR(COUNTIF($B$14:B233,B233)&amp;CHOOSE(MIN(4,COUNTIF($B$14:B233,B233)),"st","nd","rd","th"),"")</f>
        <v/>
      </c>
    </row>
    <row r="234" spans="11:11" x14ac:dyDescent="0.25">
      <c r="K234" s="233" t="str">
        <f>IFERROR(COUNTIF($B$14:B234,B234)&amp;CHOOSE(MIN(4,COUNTIF($B$14:B234,B234)),"st","nd","rd","th"),"")</f>
        <v/>
      </c>
    </row>
    <row r="235" spans="11:11" x14ac:dyDescent="0.25">
      <c r="K235" s="233" t="str">
        <f>IFERROR(COUNTIF($B$14:B235,B235)&amp;CHOOSE(MIN(4,COUNTIF($B$14:B235,B235)),"st","nd","rd","th"),"")</f>
        <v/>
      </c>
    </row>
    <row r="236" spans="11:11" x14ac:dyDescent="0.25">
      <c r="K236" s="233" t="str">
        <f>IFERROR(COUNTIF($B$14:B236,B236)&amp;CHOOSE(MIN(4,COUNTIF($B$14:B236,B236)),"st","nd","rd","th"),"")</f>
        <v/>
      </c>
    </row>
    <row r="237" spans="11:11" x14ac:dyDescent="0.25">
      <c r="K237" s="233" t="str">
        <f>IFERROR(COUNTIF($B$14:B237,B237)&amp;CHOOSE(MIN(4,COUNTIF($B$14:B237,B237)),"st","nd","rd","th"),"")</f>
        <v/>
      </c>
    </row>
    <row r="238" spans="11:11" x14ac:dyDescent="0.25">
      <c r="K238" s="233" t="str">
        <f>IFERROR(COUNTIF($B$14:B238,B238)&amp;CHOOSE(MIN(4,COUNTIF($B$14:B238,B238)),"st","nd","rd","th"),"")</f>
        <v/>
      </c>
    </row>
    <row r="239" spans="11:11" x14ac:dyDescent="0.25">
      <c r="K239" s="233" t="str">
        <f>IFERROR(COUNTIF($B$14:B239,B239)&amp;CHOOSE(MIN(4,COUNTIF($B$14:B239,B239)),"st","nd","rd","th"),"")</f>
        <v/>
      </c>
    </row>
    <row r="240" spans="11:11" x14ac:dyDescent="0.25">
      <c r="K240" s="233" t="str">
        <f>IFERROR(COUNTIF($B$14:B240,B240)&amp;CHOOSE(MIN(4,COUNTIF($B$14:B240,B240)),"st","nd","rd","th"),"")</f>
        <v/>
      </c>
    </row>
    <row r="241" spans="11:11" x14ac:dyDescent="0.25">
      <c r="K241" s="233" t="str">
        <f>IFERROR(COUNTIF($B$14:B241,B241)&amp;CHOOSE(MIN(4,COUNTIF($B$14:B241,B241)),"st","nd","rd","th"),"")</f>
        <v/>
      </c>
    </row>
    <row r="242" spans="11:11" x14ac:dyDescent="0.25">
      <c r="K242" s="233" t="str">
        <f>IFERROR(COUNTIF($B$14:B242,B242)&amp;CHOOSE(MIN(4,COUNTIF($B$14:B242,B242)),"st","nd","rd","th"),"")</f>
        <v/>
      </c>
    </row>
    <row r="243" spans="11:11" x14ac:dyDescent="0.25">
      <c r="K243" s="233" t="str">
        <f>IFERROR(COUNTIF($B$14:B243,B243)&amp;CHOOSE(MIN(4,COUNTIF($B$14:B243,B243)),"st","nd","rd","th"),"")</f>
        <v/>
      </c>
    </row>
    <row r="244" spans="11:11" x14ac:dyDescent="0.25">
      <c r="K244" s="233" t="str">
        <f>IFERROR(COUNTIF($B$14:B244,B244)&amp;CHOOSE(MIN(4,COUNTIF($B$14:B244,B244)),"st","nd","rd","th"),"")</f>
        <v/>
      </c>
    </row>
    <row r="245" spans="11:11" x14ac:dyDescent="0.25">
      <c r="K245" s="233" t="str">
        <f>IFERROR(COUNTIF($B$14:B245,B245)&amp;CHOOSE(MIN(4,COUNTIF($B$14:B245,B245)),"st","nd","rd","th"),"")</f>
        <v/>
      </c>
    </row>
    <row r="246" spans="11:11" x14ac:dyDescent="0.25">
      <c r="K246" s="233" t="str">
        <f>IFERROR(COUNTIF($B$14:B246,B246)&amp;CHOOSE(MIN(4,COUNTIF($B$14:B246,B246)),"st","nd","rd","th"),"")</f>
        <v/>
      </c>
    </row>
    <row r="247" spans="11:11" x14ac:dyDescent="0.25">
      <c r="K247" s="233" t="str">
        <f>IFERROR(COUNTIF($B$14:B247,B247)&amp;CHOOSE(MIN(4,COUNTIF($B$14:B247,B247)),"st","nd","rd","th"),"")</f>
        <v/>
      </c>
    </row>
    <row r="248" spans="11:11" x14ac:dyDescent="0.25">
      <c r="K248" s="233" t="str">
        <f>IFERROR(COUNTIF($B$14:B248,B248)&amp;CHOOSE(MIN(4,COUNTIF($B$14:B248,B248)),"st","nd","rd","th"),"")</f>
        <v/>
      </c>
    </row>
    <row r="249" spans="11:11" x14ac:dyDescent="0.25">
      <c r="K249" s="233" t="str">
        <f>IFERROR(COUNTIF($B$14:B249,B249)&amp;CHOOSE(MIN(4,COUNTIF($B$14:B249,B249)),"st","nd","rd","th"),"")</f>
        <v/>
      </c>
    </row>
    <row r="250" spans="11:11" x14ac:dyDescent="0.25">
      <c r="K250" s="233" t="str">
        <f>IFERROR(COUNTIF($B$14:B250,B250)&amp;CHOOSE(MIN(4,COUNTIF($B$14:B250,B250)),"st","nd","rd","th"),"")</f>
        <v/>
      </c>
    </row>
    <row r="251" spans="11:11" x14ac:dyDescent="0.25">
      <c r="K251" s="233" t="str">
        <f>IFERROR(COUNTIF($B$14:B251,B251)&amp;CHOOSE(MIN(4,COUNTIF($B$14:B251,B251)),"st","nd","rd","th"),"")</f>
        <v/>
      </c>
    </row>
    <row r="252" spans="11:11" x14ac:dyDescent="0.25">
      <c r="K252" s="233" t="str">
        <f>IFERROR(COUNTIF($B$14:B252,B252)&amp;CHOOSE(MIN(4,COUNTIF($B$14:B252,B252)),"st","nd","rd","th"),"")</f>
        <v/>
      </c>
    </row>
    <row r="253" spans="11:11" x14ac:dyDescent="0.25">
      <c r="K253" s="233" t="str">
        <f>IFERROR(COUNTIF($B$14:B253,B253)&amp;CHOOSE(MIN(4,COUNTIF($B$14:B253,B253)),"st","nd","rd","th"),"")</f>
        <v/>
      </c>
    </row>
    <row r="254" spans="11:11" x14ac:dyDescent="0.25">
      <c r="K254" s="233" t="str">
        <f>IFERROR(COUNTIF($B$14:B254,B254)&amp;CHOOSE(MIN(4,COUNTIF($B$14:B254,B254)),"st","nd","rd","th"),"")</f>
        <v/>
      </c>
    </row>
    <row r="255" spans="11:11" x14ac:dyDescent="0.25">
      <c r="K255" s="233" t="str">
        <f>IFERROR(COUNTIF($B$14:B255,B255)&amp;CHOOSE(MIN(4,COUNTIF($B$14:B255,B255)),"st","nd","rd","th"),"")</f>
        <v/>
      </c>
    </row>
    <row r="256" spans="11:11" x14ac:dyDescent="0.25">
      <c r="K256" s="233" t="str">
        <f>IFERROR(COUNTIF($B$14:B256,B256)&amp;CHOOSE(MIN(4,COUNTIF($B$14:B256,B256)),"st","nd","rd","th"),"")</f>
        <v/>
      </c>
    </row>
    <row r="257" spans="11:11" x14ac:dyDescent="0.25">
      <c r="K257" s="233" t="str">
        <f>IFERROR(COUNTIF($B$14:B257,B257)&amp;CHOOSE(MIN(4,COUNTIF($B$14:B257,B257)),"st","nd","rd","th"),"")</f>
        <v/>
      </c>
    </row>
    <row r="258" spans="11:11" x14ac:dyDescent="0.25">
      <c r="K258" s="233" t="str">
        <f>IFERROR(COUNTIF($B$14:B258,B258)&amp;CHOOSE(MIN(4,COUNTIF($B$14:B258,B258)),"st","nd","rd","th"),"")</f>
        <v/>
      </c>
    </row>
    <row r="259" spans="11:11" x14ac:dyDescent="0.25">
      <c r="K259" s="233" t="str">
        <f>IFERROR(COUNTIF($B$14:B259,B259)&amp;CHOOSE(MIN(4,COUNTIF($B$14:B259,B259)),"st","nd","rd","th"),"")</f>
        <v/>
      </c>
    </row>
    <row r="260" spans="11:11" x14ac:dyDescent="0.25">
      <c r="K260" s="233" t="str">
        <f>IFERROR(COUNTIF($B$14:B260,B260)&amp;CHOOSE(MIN(4,COUNTIF($B$14:B260,B260)),"st","nd","rd","th"),"")</f>
        <v/>
      </c>
    </row>
    <row r="261" spans="11:11" x14ac:dyDescent="0.25">
      <c r="K261" s="233" t="str">
        <f>IFERROR(COUNTIF($B$14:B261,B261)&amp;CHOOSE(MIN(4,COUNTIF($B$14:B261,B261)),"st","nd","rd","th"),"")</f>
        <v/>
      </c>
    </row>
    <row r="262" spans="11:11" x14ac:dyDescent="0.25">
      <c r="K262" s="233" t="str">
        <f>IFERROR(COUNTIF($B$14:B262,B262)&amp;CHOOSE(MIN(4,COUNTIF($B$14:B262,B262)),"st","nd","rd","th"),"")</f>
        <v/>
      </c>
    </row>
    <row r="263" spans="11:11" x14ac:dyDescent="0.25">
      <c r="K263" s="233" t="str">
        <f>IFERROR(COUNTIF($B$14:B263,B263)&amp;CHOOSE(MIN(4,COUNTIF($B$14:B263,B263)),"st","nd","rd","th"),"")</f>
        <v/>
      </c>
    </row>
    <row r="264" spans="11:11" x14ac:dyDescent="0.25">
      <c r="K264" s="233" t="str">
        <f>IFERROR(COUNTIF($B$14:B264,B264)&amp;CHOOSE(MIN(4,COUNTIF($B$14:B264,B264)),"st","nd","rd","th"),"")</f>
        <v/>
      </c>
    </row>
    <row r="265" spans="11:11" x14ac:dyDescent="0.25">
      <c r="K265" s="233" t="str">
        <f>IFERROR(COUNTIF($B$14:B265,B265)&amp;CHOOSE(MIN(4,COUNTIF($B$14:B265,B265)),"st","nd","rd","th"),"")</f>
        <v/>
      </c>
    </row>
    <row r="266" spans="11:11" x14ac:dyDescent="0.25">
      <c r="K266" s="233" t="str">
        <f>IFERROR(COUNTIF($B$14:B266,B266)&amp;CHOOSE(MIN(4,COUNTIF($B$14:B266,B266)),"st","nd","rd","th"),"")</f>
        <v/>
      </c>
    </row>
    <row r="267" spans="11:11" x14ac:dyDescent="0.25">
      <c r="K267" s="233" t="str">
        <f>IFERROR(COUNTIF($B$14:B267,B267)&amp;CHOOSE(MIN(4,COUNTIF($B$14:B267,B267)),"st","nd","rd","th"),"")</f>
        <v/>
      </c>
    </row>
    <row r="268" spans="11:11" x14ac:dyDescent="0.25">
      <c r="K268" s="233" t="str">
        <f>IFERROR(COUNTIF($B$14:B268,B268)&amp;CHOOSE(MIN(4,COUNTIF($B$14:B268,B268)),"st","nd","rd","th"),"")</f>
        <v/>
      </c>
    </row>
    <row r="269" spans="11:11" x14ac:dyDescent="0.25">
      <c r="K269" s="233" t="str">
        <f>IFERROR(COUNTIF($B$14:B269,B269)&amp;CHOOSE(MIN(4,COUNTIF($B$14:B269,B269)),"st","nd","rd","th"),"")</f>
        <v/>
      </c>
    </row>
    <row r="270" spans="11:11" x14ac:dyDescent="0.25">
      <c r="K270" s="233" t="str">
        <f>IFERROR(COUNTIF($B$14:B270,B270)&amp;CHOOSE(MIN(4,COUNTIF($B$14:B270,B270)),"st","nd","rd","th"),"")</f>
        <v/>
      </c>
    </row>
    <row r="271" spans="11:11" x14ac:dyDescent="0.25">
      <c r="K271" s="233" t="str">
        <f>IFERROR(COUNTIF($B$14:B271,B271)&amp;CHOOSE(MIN(4,COUNTIF($B$14:B271,B271)),"st","nd","rd","th"),"")</f>
        <v/>
      </c>
    </row>
    <row r="272" spans="11:11" x14ac:dyDescent="0.25">
      <c r="K272" s="233" t="str">
        <f>IFERROR(COUNTIF($B$14:B272,B272)&amp;CHOOSE(MIN(4,COUNTIF($B$14:B272,B272)),"st","nd","rd","th"),"")</f>
        <v/>
      </c>
    </row>
    <row r="273" spans="11:11" x14ac:dyDescent="0.25">
      <c r="K273" s="233" t="str">
        <f>IFERROR(COUNTIF($B$14:B273,B273)&amp;CHOOSE(MIN(4,COUNTIF($B$14:B273,B273)),"st","nd","rd","th"),"")</f>
        <v/>
      </c>
    </row>
    <row r="274" spans="11:11" x14ac:dyDescent="0.25">
      <c r="K274" s="233" t="str">
        <f>IFERROR(COUNTIF($B$14:B274,B274)&amp;CHOOSE(MIN(4,COUNTIF($B$14:B274,B274)),"st","nd","rd","th"),"")</f>
        <v/>
      </c>
    </row>
    <row r="275" spans="11:11" x14ac:dyDescent="0.25">
      <c r="K275" s="233" t="str">
        <f>IFERROR(COUNTIF($B$14:B275,B275)&amp;CHOOSE(MIN(4,COUNTIF($B$14:B275,B275)),"st","nd","rd","th"),"")</f>
        <v/>
      </c>
    </row>
    <row r="276" spans="11:11" x14ac:dyDescent="0.25">
      <c r="K276" s="233" t="str">
        <f>IFERROR(COUNTIF($B$14:B276,B276)&amp;CHOOSE(MIN(4,COUNTIF($B$14:B276,B276)),"st","nd","rd","th"),"")</f>
        <v/>
      </c>
    </row>
    <row r="277" spans="11:11" x14ac:dyDescent="0.25">
      <c r="K277" s="233" t="str">
        <f>IFERROR(COUNTIF($B$14:B277,B277)&amp;CHOOSE(MIN(4,COUNTIF($B$14:B277,B277)),"st","nd","rd","th"),"")</f>
        <v/>
      </c>
    </row>
    <row r="278" spans="11:11" x14ac:dyDescent="0.25">
      <c r="K278" s="233" t="str">
        <f>IFERROR(COUNTIF($B$14:B278,B278)&amp;CHOOSE(MIN(4,COUNTIF($B$14:B278,B278)),"st","nd","rd","th"),"")</f>
        <v/>
      </c>
    </row>
    <row r="279" spans="11:11" x14ac:dyDescent="0.25">
      <c r="K279" s="233" t="str">
        <f>IFERROR(COUNTIF($B$14:B279,B279)&amp;CHOOSE(MIN(4,COUNTIF($B$14:B279,B279)),"st","nd","rd","th"),"")</f>
        <v/>
      </c>
    </row>
    <row r="280" spans="11:11" x14ac:dyDescent="0.25">
      <c r="K280" s="233" t="str">
        <f>IFERROR(COUNTIF($B$14:B280,B280)&amp;CHOOSE(MIN(4,COUNTIF($B$14:B280,B280)),"st","nd","rd","th"),"")</f>
        <v/>
      </c>
    </row>
    <row r="281" spans="11:11" x14ac:dyDescent="0.25">
      <c r="K281" s="233" t="str">
        <f>IFERROR(COUNTIF($B$14:B281,B281)&amp;CHOOSE(MIN(4,COUNTIF($B$14:B281,B281)),"st","nd","rd","th"),"")</f>
        <v/>
      </c>
    </row>
    <row r="282" spans="11:11" x14ac:dyDescent="0.25">
      <c r="K282" s="233" t="str">
        <f>IFERROR(COUNTIF($B$14:B282,B282)&amp;CHOOSE(MIN(4,COUNTIF($B$14:B282,B282)),"st","nd","rd","th"),"")</f>
        <v/>
      </c>
    </row>
    <row r="283" spans="11:11" x14ac:dyDescent="0.25">
      <c r="K283" s="233" t="str">
        <f>IFERROR(COUNTIF($B$14:B283,B283)&amp;CHOOSE(MIN(4,COUNTIF($B$14:B283,B283)),"st","nd","rd","th"),"")</f>
        <v/>
      </c>
    </row>
    <row r="284" spans="11:11" x14ac:dyDescent="0.25">
      <c r="K284" s="233" t="str">
        <f>IFERROR(COUNTIF($B$14:B284,B284)&amp;CHOOSE(MIN(4,COUNTIF($B$14:B284,B284)),"st","nd","rd","th"),"")</f>
        <v/>
      </c>
    </row>
    <row r="285" spans="11:11" x14ac:dyDescent="0.25">
      <c r="K285" s="233" t="str">
        <f>IFERROR(COUNTIF($B$14:B285,B285)&amp;CHOOSE(MIN(4,COUNTIF($B$14:B285,B285)),"st","nd","rd","th"),"")</f>
        <v/>
      </c>
    </row>
    <row r="286" spans="11:11" x14ac:dyDescent="0.25">
      <c r="K286" s="233" t="str">
        <f>IFERROR(COUNTIF($B$14:B286,B286)&amp;CHOOSE(MIN(4,COUNTIF($B$14:B286,B286)),"st","nd","rd","th"),"")</f>
        <v/>
      </c>
    </row>
    <row r="287" spans="11:11" x14ac:dyDescent="0.25">
      <c r="K287" s="233" t="str">
        <f>IFERROR(COUNTIF($B$14:B287,B287)&amp;CHOOSE(MIN(4,COUNTIF($B$14:B287,B287)),"st","nd","rd","th"),"")</f>
        <v/>
      </c>
    </row>
    <row r="288" spans="11:11" x14ac:dyDescent="0.25">
      <c r="K288" s="233" t="str">
        <f>IFERROR(COUNTIF($B$14:B288,B288)&amp;CHOOSE(MIN(4,COUNTIF($B$14:B288,B288)),"st","nd","rd","th"),"")</f>
        <v/>
      </c>
    </row>
    <row r="289" spans="11:11" x14ac:dyDescent="0.25">
      <c r="K289" s="233" t="str">
        <f>IFERROR(COUNTIF($B$14:B289,B289)&amp;CHOOSE(MIN(4,COUNTIF($B$14:B289,B289)),"st","nd","rd","th"),"")</f>
        <v/>
      </c>
    </row>
    <row r="290" spans="11:11" x14ac:dyDescent="0.25">
      <c r="K290" s="233" t="str">
        <f>IFERROR(COUNTIF($B$14:B290,B290)&amp;CHOOSE(MIN(4,COUNTIF($B$14:B290,B290)),"st","nd","rd","th"),"")</f>
        <v/>
      </c>
    </row>
    <row r="291" spans="11:11" x14ac:dyDescent="0.25">
      <c r="K291" s="233" t="str">
        <f>IFERROR(COUNTIF($B$14:B291,B291)&amp;CHOOSE(MIN(4,COUNTIF($B$14:B291,B291)),"st","nd","rd","th"),"")</f>
        <v/>
      </c>
    </row>
    <row r="292" spans="11:11" x14ac:dyDescent="0.25">
      <c r="K292" s="233" t="str">
        <f>IFERROR(COUNTIF($B$14:B292,B292)&amp;CHOOSE(MIN(4,COUNTIF($B$14:B292,B292)),"st","nd","rd","th"),"")</f>
        <v/>
      </c>
    </row>
    <row r="293" spans="11:11" x14ac:dyDescent="0.25">
      <c r="K293" s="233" t="str">
        <f>IFERROR(COUNTIF($B$14:B293,B293)&amp;CHOOSE(MIN(4,COUNTIF($B$14:B293,B293)),"st","nd","rd","th"),"")</f>
        <v/>
      </c>
    </row>
    <row r="294" spans="11:11" x14ac:dyDescent="0.25">
      <c r="K294" s="233" t="str">
        <f>IFERROR(COUNTIF($B$14:B294,B294)&amp;CHOOSE(MIN(4,COUNTIF($B$14:B294,B294)),"st","nd","rd","th"),"")</f>
        <v/>
      </c>
    </row>
    <row r="295" spans="11:11" x14ac:dyDescent="0.25">
      <c r="K295" s="233" t="str">
        <f>IFERROR(COUNTIF($B$14:B295,B295)&amp;CHOOSE(MIN(4,COUNTIF($B$14:B295,B295)),"st","nd","rd","th"),"")</f>
        <v/>
      </c>
    </row>
    <row r="296" spans="11:11" x14ac:dyDescent="0.25">
      <c r="K296" s="233" t="str">
        <f>IFERROR(COUNTIF($B$14:B296,B296)&amp;CHOOSE(MIN(4,COUNTIF($B$14:B296,B296)),"st","nd","rd","th"),"")</f>
        <v/>
      </c>
    </row>
    <row r="297" spans="11:11" x14ac:dyDescent="0.25">
      <c r="K297" s="233" t="str">
        <f>IFERROR(COUNTIF($B$14:B297,B297)&amp;CHOOSE(MIN(4,COUNTIF($B$14:B297,B297)),"st","nd","rd","th"),"")</f>
        <v/>
      </c>
    </row>
    <row r="298" spans="11:11" x14ac:dyDescent="0.25">
      <c r="K298" s="233" t="str">
        <f>IFERROR(COUNTIF($B$14:B298,B298)&amp;CHOOSE(MIN(4,COUNTIF($B$14:B298,B298)),"st","nd","rd","th"),"")</f>
        <v/>
      </c>
    </row>
    <row r="299" spans="11:11" x14ac:dyDescent="0.25">
      <c r="K299" s="233" t="str">
        <f>IFERROR(COUNTIF($B$14:B299,B299)&amp;CHOOSE(MIN(4,COUNTIF($B$14:B299,B299)),"st","nd","rd","th"),"")</f>
        <v/>
      </c>
    </row>
    <row r="300" spans="11:11" x14ac:dyDescent="0.25">
      <c r="K300" s="233" t="str">
        <f>IFERROR(COUNTIF($B$14:B300,B300)&amp;CHOOSE(MIN(4,COUNTIF($B$14:B300,B300)),"st","nd","rd","th"),"")</f>
        <v/>
      </c>
    </row>
    <row r="301" spans="11:11" x14ac:dyDescent="0.25">
      <c r="K301" s="233" t="str">
        <f>IFERROR(COUNTIF($B$14:B301,B301)&amp;CHOOSE(MIN(4,COUNTIF($B$14:B301,B301)),"st","nd","rd","th"),"")</f>
        <v/>
      </c>
    </row>
    <row r="302" spans="11:11" x14ac:dyDescent="0.25">
      <c r="K302" s="233" t="str">
        <f>IFERROR(COUNTIF($B$14:B302,B302)&amp;CHOOSE(MIN(4,COUNTIF($B$14:B302,B302)),"st","nd","rd","th"),"")</f>
        <v/>
      </c>
    </row>
    <row r="303" spans="11:11" x14ac:dyDescent="0.25">
      <c r="K303" s="233" t="str">
        <f>IFERROR(COUNTIF($B$14:B303,B303)&amp;CHOOSE(MIN(4,COUNTIF($B$14:B303,B303)),"st","nd","rd","th"),"")</f>
        <v/>
      </c>
    </row>
    <row r="304" spans="11:11" x14ac:dyDescent="0.25">
      <c r="K304" s="233" t="str">
        <f>IFERROR(COUNTIF($B$14:B304,B304)&amp;CHOOSE(MIN(4,COUNTIF($B$14:B304,B304)),"st","nd","rd","th"),"")</f>
        <v/>
      </c>
    </row>
    <row r="305" spans="11:11" x14ac:dyDescent="0.25">
      <c r="K305" s="233" t="str">
        <f>IFERROR(COUNTIF($B$14:B305,B305)&amp;CHOOSE(MIN(4,COUNTIF($B$14:B305,B305)),"st","nd","rd","th"),"")</f>
        <v/>
      </c>
    </row>
    <row r="306" spans="11:11" x14ac:dyDescent="0.25">
      <c r="K306" s="233" t="str">
        <f>IFERROR(COUNTIF($B$14:B306,B306)&amp;CHOOSE(MIN(4,COUNTIF($B$14:B306,B306)),"st","nd","rd","th"),"")</f>
        <v/>
      </c>
    </row>
    <row r="307" spans="11:11" x14ac:dyDescent="0.25">
      <c r="K307" s="233" t="str">
        <f>IFERROR(COUNTIF($B$14:B307,B307)&amp;CHOOSE(MIN(4,COUNTIF($B$14:B307,B307)),"st","nd","rd","th"),"")</f>
        <v/>
      </c>
    </row>
    <row r="308" spans="11:11" x14ac:dyDescent="0.25">
      <c r="K308" s="233" t="str">
        <f>IFERROR(COUNTIF($B$14:B308,B308)&amp;CHOOSE(MIN(4,COUNTIF($B$14:B308,B308)),"st","nd","rd","th"),"")</f>
        <v/>
      </c>
    </row>
    <row r="309" spans="11:11" x14ac:dyDescent="0.25">
      <c r="K309" s="233" t="str">
        <f>IFERROR(COUNTIF($B$14:B309,B309)&amp;CHOOSE(MIN(4,COUNTIF($B$14:B309,B309)),"st","nd","rd","th"),"")</f>
        <v/>
      </c>
    </row>
    <row r="310" spans="11:11" x14ac:dyDescent="0.25">
      <c r="K310" s="233" t="str">
        <f>IFERROR(COUNTIF($B$14:B310,B310)&amp;CHOOSE(MIN(4,COUNTIF($B$14:B310,B310)),"st","nd","rd","th"),"")</f>
        <v/>
      </c>
    </row>
    <row r="311" spans="11:11" x14ac:dyDescent="0.25">
      <c r="K311" s="233" t="str">
        <f>IFERROR(COUNTIF($B$14:B311,B311)&amp;CHOOSE(MIN(4,COUNTIF($B$14:B311,B311)),"st","nd","rd","th"),"")</f>
        <v/>
      </c>
    </row>
    <row r="312" spans="11:11" x14ac:dyDescent="0.25">
      <c r="K312" s="233" t="str">
        <f>IFERROR(COUNTIF($B$14:B312,B312)&amp;CHOOSE(MIN(4,COUNTIF($B$14:B312,B312)),"st","nd","rd","th"),"")</f>
        <v/>
      </c>
    </row>
    <row r="313" spans="11:11" x14ac:dyDescent="0.25">
      <c r="K313" s="233" t="str">
        <f>IFERROR(COUNTIF($B$14:B313,B313)&amp;CHOOSE(MIN(4,COUNTIF($B$14:B313,B313)),"st","nd","rd","th"),"")</f>
        <v/>
      </c>
    </row>
    <row r="314" spans="11:11" x14ac:dyDescent="0.25">
      <c r="K314" s="233" t="str">
        <f>IFERROR(COUNTIF($B$14:B314,B314)&amp;CHOOSE(MIN(4,COUNTIF($B$14:B314,B314)),"st","nd","rd","th"),"")</f>
        <v/>
      </c>
    </row>
    <row r="315" spans="11:11" x14ac:dyDescent="0.25">
      <c r="K315" s="233" t="str">
        <f>IFERROR(COUNTIF($B$14:B315,B315)&amp;CHOOSE(MIN(4,COUNTIF($B$14:B315,B315)),"st","nd","rd","th"),"")</f>
        <v/>
      </c>
    </row>
    <row r="316" spans="11:11" x14ac:dyDescent="0.25">
      <c r="K316" s="233" t="str">
        <f>IFERROR(COUNTIF($B$14:B316,B316)&amp;CHOOSE(MIN(4,COUNTIF($B$14:B316,B316)),"st","nd","rd","th"),"")</f>
        <v/>
      </c>
    </row>
    <row r="317" spans="11:11" x14ac:dyDescent="0.25">
      <c r="K317" s="233" t="str">
        <f>IFERROR(COUNTIF($B$14:B317,B317)&amp;CHOOSE(MIN(4,COUNTIF($B$14:B317,B317)),"st","nd","rd","th"),"")</f>
        <v/>
      </c>
    </row>
    <row r="318" spans="11:11" x14ac:dyDescent="0.25">
      <c r="K318" s="233" t="str">
        <f>IFERROR(COUNTIF($B$14:B318,B318)&amp;CHOOSE(MIN(4,COUNTIF($B$14:B318,B318)),"st","nd","rd","th"),"")</f>
        <v/>
      </c>
    </row>
    <row r="319" spans="11:11" x14ac:dyDescent="0.25">
      <c r="K319" s="233" t="str">
        <f>IFERROR(COUNTIF($B$14:B319,B319)&amp;CHOOSE(MIN(4,COUNTIF($B$14:B319,B319)),"st","nd","rd","th"),"")</f>
        <v/>
      </c>
    </row>
    <row r="320" spans="11:11" x14ac:dyDescent="0.25">
      <c r="K320" s="233" t="str">
        <f>IFERROR(COUNTIF($B$14:B320,B320)&amp;CHOOSE(MIN(4,COUNTIF($B$14:B320,B320)),"st","nd","rd","th"),"")</f>
        <v/>
      </c>
    </row>
    <row r="321" spans="11:11" x14ac:dyDescent="0.25">
      <c r="K321" s="233" t="str">
        <f>IFERROR(COUNTIF($B$14:B321,B321)&amp;CHOOSE(MIN(4,COUNTIF($B$14:B321,B321)),"st","nd","rd","th"),"")</f>
        <v/>
      </c>
    </row>
    <row r="322" spans="11:11" x14ac:dyDescent="0.25">
      <c r="K322" s="233" t="str">
        <f>IFERROR(COUNTIF($B$14:B322,B322)&amp;CHOOSE(MIN(4,COUNTIF($B$14:B322,B322)),"st","nd","rd","th"),"")</f>
        <v/>
      </c>
    </row>
    <row r="323" spans="11:11" x14ac:dyDescent="0.25">
      <c r="K323" s="233" t="str">
        <f>IFERROR(COUNTIF($B$14:B323,B323)&amp;CHOOSE(MIN(4,COUNTIF($B$14:B323,B323)),"st","nd","rd","th"),"")</f>
        <v/>
      </c>
    </row>
    <row r="324" spans="11:11" x14ac:dyDescent="0.25">
      <c r="K324" s="233" t="str">
        <f>IFERROR(COUNTIF($B$14:B324,B324)&amp;CHOOSE(MIN(4,COUNTIF($B$14:B324,B324)),"st","nd","rd","th"),"")</f>
        <v/>
      </c>
    </row>
    <row r="325" spans="11:11" x14ac:dyDescent="0.25">
      <c r="K325" s="233" t="str">
        <f>IFERROR(COUNTIF($B$14:B325,B325)&amp;CHOOSE(MIN(4,COUNTIF($B$14:B325,B325)),"st","nd","rd","th"),"")</f>
        <v/>
      </c>
    </row>
    <row r="326" spans="11:11" x14ac:dyDescent="0.25">
      <c r="K326" s="233" t="str">
        <f>IFERROR(COUNTIF($B$14:B326,B326)&amp;CHOOSE(MIN(4,COUNTIF($B$14:B326,B326)),"st","nd","rd","th"),"")</f>
        <v/>
      </c>
    </row>
    <row r="327" spans="11:11" x14ac:dyDescent="0.25">
      <c r="K327" s="233" t="str">
        <f>IFERROR(COUNTIF($B$14:B327,B327)&amp;CHOOSE(MIN(4,COUNTIF($B$14:B327,B327)),"st","nd","rd","th"),"")</f>
        <v/>
      </c>
    </row>
    <row r="328" spans="11:11" x14ac:dyDescent="0.25">
      <c r="K328" s="233" t="str">
        <f>IFERROR(COUNTIF($B$14:B328,B328)&amp;CHOOSE(MIN(4,COUNTIF($B$14:B328,B328)),"st","nd","rd","th"),"")</f>
        <v/>
      </c>
    </row>
    <row r="329" spans="11:11" x14ac:dyDescent="0.25">
      <c r="K329" s="233" t="str">
        <f>IFERROR(COUNTIF($B$14:B329,B329)&amp;CHOOSE(MIN(4,COUNTIF($B$14:B329,B329)),"st","nd","rd","th"),"")</f>
        <v/>
      </c>
    </row>
    <row r="330" spans="11:11" x14ac:dyDescent="0.25">
      <c r="K330" s="233" t="str">
        <f>IFERROR(COUNTIF($B$14:B330,B330)&amp;CHOOSE(MIN(4,COUNTIF($B$14:B330,B330)),"st","nd","rd","th"),"")</f>
        <v/>
      </c>
    </row>
    <row r="331" spans="11:11" x14ac:dyDescent="0.25">
      <c r="K331" s="233" t="str">
        <f>IFERROR(COUNTIF($B$14:B331,B331)&amp;CHOOSE(MIN(4,COUNTIF($B$14:B331,B331)),"st","nd","rd","th"),"")</f>
        <v/>
      </c>
    </row>
    <row r="332" spans="11:11" x14ac:dyDescent="0.25">
      <c r="K332" s="233" t="str">
        <f>IFERROR(COUNTIF($B$14:B332,B332)&amp;CHOOSE(MIN(4,COUNTIF($B$14:B332,B332)),"st","nd","rd","th"),"")</f>
        <v/>
      </c>
    </row>
    <row r="333" spans="11:11" x14ac:dyDescent="0.25">
      <c r="K333" s="233" t="str">
        <f>IFERROR(COUNTIF($B$14:B333,B333)&amp;CHOOSE(MIN(4,COUNTIF($B$14:B333,B333)),"st","nd","rd","th"),"")</f>
        <v/>
      </c>
    </row>
    <row r="334" spans="11:11" x14ac:dyDescent="0.25">
      <c r="K334" s="233" t="str">
        <f>IFERROR(COUNTIF($B$14:B334,B334)&amp;CHOOSE(MIN(4,COUNTIF($B$14:B334,B334)),"st","nd","rd","th"),"")</f>
        <v/>
      </c>
    </row>
    <row r="335" spans="11:11" x14ac:dyDescent="0.25">
      <c r="K335" s="233" t="str">
        <f>IFERROR(COUNTIF($B$14:B335,B335)&amp;CHOOSE(MIN(4,COUNTIF($B$14:B335,B335)),"st","nd","rd","th"),"")</f>
        <v/>
      </c>
    </row>
    <row r="336" spans="11:11" x14ac:dyDescent="0.25">
      <c r="K336" s="233" t="str">
        <f>IFERROR(COUNTIF($B$14:B336,B336)&amp;CHOOSE(MIN(4,COUNTIF($B$14:B336,B336)),"st","nd","rd","th"),"")</f>
        <v/>
      </c>
    </row>
    <row r="337" spans="11:11" x14ac:dyDescent="0.25">
      <c r="K337" s="233" t="str">
        <f>IFERROR(COUNTIF($B$14:B337,B337)&amp;CHOOSE(MIN(4,COUNTIF($B$14:B337,B337)),"st","nd","rd","th"),"")</f>
        <v/>
      </c>
    </row>
    <row r="338" spans="11:11" x14ac:dyDescent="0.25">
      <c r="K338" s="233" t="str">
        <f>IFERROR(COUNTIF($B$14:B338,B338)&amp;CHOOSE(MIN(4,COUNTIF($B$14:B338,B338)),"st","nd","rd","th"),"")</f>
        <v/>
      </c>
    </row>
    <row r="339" spans="11:11" x14ac:dyDescent="0.25">
      <c r="K339" s="233" t="str">
        <f>IFERROR(COUNTIF($B$14:B339,B339)&amp;CHOOSE(MIN(4,COUNTIF($B$14:B339,B339)),"st","nd","rd","th"),"")</f>
        <v/>
      </c>
    </row>
    <row r="340" spans="11:11" x14ac:dyDescent="0.25">
      <c r="K340" s="233" t="str">
        <f>IFERROR(COUNTIF($B$14:B340,B340)&amp;CHOOSE(MIN(4,COUNTIF($B$14:B340,B340)),"st","nd","rd","th"),"")</f>
        <v/>
      </c>
    </row>
    <row r="341" spans="11:11" x14ac:dyDescent="0.25">
      <c r="K341" s="233" t="str">
        <f>IFERROR(COUNTIF($B$14:B341,B341)&amp;CHOOSE(MIN(4,COUNTIF($B$14:B341,B341)),"st","nd","rd","th"),"")</f>
        <v/>
      </c>
    </row>
    <row r="342" spans="11:11" x14ac:dyDescent="0.25">
      <c r="K342" s="233" t="str">
        <f>IFERROR(COUNTIF($B$14:B342,B342)&amp;CHOOSE(MIN(4,COUNTIF($B$14:B342,B342)),"st","nd","rd","th"),"")</f>
        <v/>
      </c>
    </row>
    <row r="343" spans="11:11" x14ac:dyDescent="0.25">
      <c r="K343" s="233" t="str">
        <f>IFERROR(COUNTIF($B$14:B343,B343)&amp;CHOOSE(MIN(4,COUNTIF($B$14:B343,B343)),"st","nd","rd","th"),"")</f>
        <v/>
      </c>
    </row>
    <row r="344" spans="11:11" x14ac:dyDescent="0.25">
      <c r="K344" s="233" t="str">
        <f>IFERROR(COUNTIF($B$14:B344,B344)&amp;CHOOSE(MIN(4,COUNTIF($B$14:B344,B344)),"st","nd","rd","th"),"")</f>
        <v/>
      </c>
    </row>
    <row r="345" spans="11:11" x14ac:dyDescent="0.25">
      <c r="K345" s="233" t="str">
        <f>IFERROR(COUNTIF($B$14:B345,B345)&amp;CHOOSE(MIN(4,COUNTIF($B$14:B345,B345)),"st","nd","rd","th"),"")</f>
        <v/>
      </c>
    </row>
    <row r="346" spans="11:11" x14ac:dyDescent="0.25">
      <c r="K346" s="233" t="str">
        <f>IFERROR(COUNTIF($B$14:B346,B346)&amp;CHOOSE(MIN(4,COUNTIF($B$14:B346,B346)),"st","nd","rd","th"),"")</f>
        <v/>
      </c>
    </row>
    <row r="347" spans="11:11" x14ac:dyDescent="0.25">
      <c r="K347" s="233" t="str">
        <f>IFERROR(COUNTIF($B$14:B347,B347)&amp;CHOOSE(MIN(4,COUNTIF($B$14:B347,B347)),"st","nd","rd","th"),"")</f>
        <v/>
      </c>
    </row>
    <row r="348" spans="11:11" x14ac:dyDescent="0.25">
      <c r="K348" s="233" t="str">
        <f>IFERROR(COUNTIF($B$14:B348,B348)&amp;CHOOSE(MIN(4,COUNTIF($B$14:B348,B348)),"st","nd","rd","th"),"")</f>
        <v/>
      </c>
    </row>
    <row r="349" spans="11:11" x14ac:dyDescent="0.25">
      <c r="K349" s="233" t="str">
        <f>IFERROR(COUNTIF($B$14:B349,B349)&amp;CHOOSE(MIN(4,COUNTIF($B$14:B349,B349)),"st","nd","rd","th"),"")</f>
        <v/>
      </c>
    </row>
    <row r="350" spans="11:11" x14ac:dyDescent="0.25">
      <c r="K350" s="233" t="str">
        <f>IFERROR(COUNTIF($B$14:B350,B350)&amp;CHOOSE(MIN(4,COUNTIF($B$14:B350,B350)),"st","nd","rd","th"),"")</f>
        <v/>
      </c>
    </row>
    <row r="351" spans="11:11" x14ac:dyDescent="0.25">
      <c r="K351" s="233" t="str">
        <f>IFERROR(COUNTIF($B$14:B351,B351)&amp;CHOOSE(MIN(4,COUNTIF($B$14:B351,B351)),"st","nd","rd","th"),"")</f>
        <v/>
      </c>
    </row>
    <row r="352" spans="11:11" x14ac:dyDescent="0.25">
      <c r="K352" s="233" t="str">
        <f>IFERROR(COUNTIF($B$14:B352,B352)&amp;CHOOSE(MIN(4,COUNTIF($B$14:B352,B352)),"st","nd","rd","th"),"")</f>
        <v/>
      </c>
    </row>
    <row r="353" spans="11:11" x14ac:dyDescent="0.25">
      <c r="K353" s="233" t="str">
        <f>IFERROR(COUNTIF($B$14:B353,B353)&amp;CHOOSE(MIN(4,COUNTIF($B$14:B353,B353)),"st","nd","rd","th"),"")</f>
        <v/>
      </c>
    </row>
    <row r="354" spans="11:11" x14ac:dyDescent="0.25">
      <c r="K354" s="233" t="str">
        <f>IFERROR(COUNTIF($B$14:B354,B354)&amp;CHOOSE(MIN(4,COUNTIF($B$14:B354,B354)),"st","nd","rd","th"),"")</f>
        <v/>
      </c>
    </row>
    <row r="355" spans="11:11" x14ac:dyDescent="0.25">
      <c r="K355" s="233" t="str">
        <f>IFERROR(COUNTIF($B$14:B355,B355)&amp;CHOOSE(MIN(4,COUNTIF($B$14:B355,B355)),"st","nd","rd","th"),"")</f>
        <v/>
      </c>
    </row>
    <row r="356" spans="11:11" x14ac:dyDescent="0.25">
      <c r="K356" s="233" t="str">
        <f>IFERROR(COUNTIF($B$14:B356,B356)&amp;CHOOSE(MIN(4,COUNTIF($B$14:B356,B356)),"st","nd","rd","th"),"")</f>
        <v/>
      </c>
    </row>
    <row r="357" spans="11:11" x14ac:dyDescent="0.25">
      <c r="K357" s="233" t="str">
        <f>IFERROR(COUNTIF($B$14:B357,B357)&amp;CHOOSE(MIN(4,COUNTIF($B$14:B357,B357)),"st","nd","rd","th"),"")</f>
        <v/>
      </c>
    </row>
    <row r="358" spans="11:11" x14ac:dyDescent="0.25">
      <c r="K358" s="233" t="str">
        <f>IFERROR(COUNTIF($B$14:B358,B358)&amp;CHOOSE(MIN(4,COUNTIF($B$14:B358,B358)),"st","nd","rd","th"),"")</f>
        <v/>
      </c>
    </row>
    <row r="359" spans="11:11" x14ac:dyDescent="0.25">
      <c r="K359" s="233" t="str">
        <f>IFERROR(COUNTIF($B$14:B359,B359)&amp;CHOOSE(MIN(4,COUNTIF($B$14:B359,B359)),"st","nd","rd","th"),"")</f>
        <v/>
      </c>
    </row>
    <row r="360" spans="11:11" x14ac:dyDescent="0.25">
      <c r="K360" s="233" t="str">
        <f>IFERROR(COUNTIF($B$14:B360,B360)&amp;CHOOSE(MIN(4,COUNTIF($B$14:B360,B360)),"st","nd","rd","th"),"")</f>
        <v/>
      </c>
    </row>
    <row r="361" spans="11:11" x14ac:dyDescent="0.25">
      <c r="K361" s="233" t="str">
        <f>IFERROR(COUNTIF($B$14:B361,B361)&amp;CHOOSE(MIN(4,COUNTIF($B$14:B361,B361)),"st","nd","rd","th"),"")</f>
        <v/>
      </c>
    </row>
    <row r="362" spans="11:11" x14ac:dyDescent="0.25">
      <c r="K362" s="233" t="str">
        <f>IFERROR(COUNTIF($B$14:B362,B362)&amp;CHOOSE(MIN(4,COUNTIF($B$14:B362,B362)),"st","nd","rd","th"),"")</f>
        <v/>
      </c>
    </row>
    <row r="363" spans="11:11" x14ac:dyDescent="0.25">
      <c r="K363" s="233" t="str">
        <f>IFERROR(COUNTIF($B$14:B363,B363)&amp;CHOOSE(MIN(4,COUNTIF($B$14:B363,B363)),"st","nd","rd","th"),"")</f>
        <v/>
      </c>
    </row>
    <row r="364" spans="11:11" x14ac:dyDescent="0.25">
      <c r="K364" s="233" t="str">
        <f>IFERROR(COUNTIF($B$14:B364,B364)&amp;CHOOSE(MIN(4,COUNTIF($B$14:B364,B364)),"st","nd","rd","th"),"")</f>
        <v/>
      </c>
    </row>
    <row r="365" spans="11:11" x14ac:dyDescent="0.25">
      <c r="K365" s="233" t="str">
        <f>IFERROR(COUNTIF($B$14:B365,B365)&amp;CHOOSE(MIN(4,COUNTIF($B$14:B365,B365)),"st","nd","rd","th"),"")</f>
        <v/>
      </c>
    </row>
    <row r="366" spans="11:11" x14ac:dyDescent="0.25">
      <c r="K366" s="233" t="str">
        <f>IFERROR(COUNTIF($B$14:B366,B366)&amp;CHOOSE(MIN(4,COUNTIF($B$14:B366,B366)),"st","nd","rd","th"),"")</f>
        <v/>
      </c>
    </row>
    <row r="367" spans="11:11" x14ac:dyDescent="0.25">
      <c r="K367" s="233" t="str">
        <f>IFERROR(COUNTIF($B$14:B367,B367)&amp;CHOOSE(MIN(4,COUNTIF($B$14:B367,B367)),"st","nd","rd","th"),"")</f>
        <v/>
      </c>
    </row>
    <row r="368" spans="11:11" x14ac:dyDescent="0.25">
      <c r="K368" s="233" t="str">
        <f>IFERROR(COUNTIF($B$14:B368,B368)&amp;CHOOSE(MIN(4,COUNTIF($B$14:B368,B368)),"st","nd","rd","th"),"")</f>
        <v/>
      </c>
    </row>
    <row r="369" spans="11:11" x14ac:dyDescent="0.25">
      <c r="K369" s="233" t="str">
        <f>IFERROR(COUNTIF($B$14:B369,B369)&amp;CHOOSE(MIN(4,COUNTIF($B$14:B369,B369)),"st","nd","rd","th"),"")</f>
        <v/>
      </c>
    </row>
    <row r="370" spans="11:11" x14ac:dyDescent="0.25">
      <c r="K370" s="233" t="str">
        <f>IFERROR(COUNTIF($B$14:B370,B370)&amp;CHOOSE(MIN(4,COUNTIF($B$14:B370,B370)),"st","nd","rd","th"),"")</f>
        <v/>
      </c>
    </row>
    <row r="371" spans="11:11" x14ac:dyDescent="0.25">
      <c r="K371" s="233" t="str">
        <f>IFERROR(COUNTIF($B$14:B371,B371)&amp;CHOOSE(MIN(4,COUNTIF($B$14:B371,B371)),"st","nd","rd","th"),"")</f>
        <v/>
      </c>
    </row>
    <row r="372" spans="11:11" x14ac:dyDescent="0.25">
      <c r="K372" s="233" t="str">
        <f>IFERROR(COUNTIF($B$14:B372,B372)&amp;CHOOSE(MIN(4,COUNTIF($B$14:B372,B372)),"st","nd","rd","th"),"")</f>
        <v/>
      </c>
    </row>
    <row r="373" spans="11:11" x14ac:dyDescent="0.25">
      <c r="K373" s="233" t="str">
        <f>IFERROR(COUNTIF($B$14:B373,B373)&amp;CHOOSE(MIN(4,COUNTIF($B$14:B373,B373)),"st","nd","rd","th"),"")</f>
        <v/>
      </c>
    </row>
    <row r="374" spans="11:11" x14ac:dyDescent="0.25">
      <c r="K374" s="233" t="str">
        <f>IFERROR(COUNTIF($B$14:B374,B374)&amp;CHOOSE(MIN(4,COUNTIF($B$14:B374,B374)),"st","nd","rd","th"),"")</f>
        <v/>
      </c>
    </row>
    <row r="375" spans="11:11" x14ac:dyDescent="0.25">
      <c r="K375" s="233" t="str">
        <f>IFERROR(COUNTIF($B$14:B375,B375)&amp;CHOOSE(MIN(4,COUNTIF($B$14:B375,B375)),"st","nd","rd","th"),"")</f>
        <v/>
      </c>
    </row>
    <row r="376" spans="11:11" x14ac:dyDescent="0.25">
      <c r="K376" s="233" t="str">
        <f>IFERROR(COUNTIF($B$14:B376,B376)&amp;CHOOSE(MIN(4,COUNTIF($B$14:B376,B376)),"st","nd","rd","th"),"")</f>
        <v/>
      </c>
    </row>
    <row r="377" spans="11:11" x14ac:dyDescent="0.25">
      <c r="K377" s="233" t="str">
        <f>IFERROR(COUNTIF($B$14:B377,B377)&amp;CHOOSE(MIN(4,COUNTIF($B$14:B377,B377)),"st","nd","rd","th"),"")</f>
        <v/>
      </c>
    </row>
    <row r="378" spans="11:11" x14ac:dyDescent="0.25">
      <c r="K378" s="233" t="str">
        <f>IFERROR(COUNTIF($B$14:B378,B378)&amp;CHOOSE(MIN(4,COUNTIF($B$14:B378,B378)),"st","nd","rd","th"),"")</f>
        <v/>
      </c>
    </row>
    <row r="379" spans="11:11" x14ac:dyDescent="0.25">
      <c r="K379" s="233" t="str">
        <f>IFERROR(COUNTIF($B$14:B379,B379)&amp;CHOOSE(MIN(4,COUNTIF($B$14:B379,B379)),"st","nd","rd","th"),"")</f>
        <v/>
      </c>
    </row>
    <row r="380" spans="11:11" x14ac:dyDescent="0.25">
      <c r="K380" s="233" t="str">
        <f>IFERROR(COUNTIF($B$14:B380,B380)&amp;CHOOSE(MIN(4,COUNTIF($B$14:B380,B380)),"st","nd","rd","th"),"")</f>
        <v/>
      </c>
    </row>
    <row r="381" spans="11:11" x14ac:dyDescent="0.25">
      <c r="K381" s="233" t="str">
        <f>IFERROR(COUNTIF($B$14:B381,B381)&amp;CHOOSE(MIN(4,COUNTIF($B$14:B381,B381)),"st","nd","rd","th"),"")</f>
        <v/>
      </c>
    </row>
    <row r="382" spans="11:11" x14ac:dyDescent="0.25">
      <c r="K382" s="233" t="str">
        <f>IFERROR(COUNTIF($B$14:B382,B382)&amp;CHOOSE(MIN(4,COUNTIF($B$14:B382,B382)),"st","nd","rd","th"),"")</f>
        <v/>
      </c>
    </row>
    <row r="383" spans="11:11" x14ac:dyDescent="0.25">
      <c r="K383" s="233" t="str">
        <f>IFERROR(COUNTIF($B$14:B383,B383)&amp;CHOOSE(MIN(4,COUNTIF($B$14:B383,B383)),"st","nd","rd","th"),"")</f>
        <v/>
      </c>
    </row>
    <row r="384" spans="11:11" x14ac:dyDescent="0.25">
      <c r="K384" s="233" t="str">
        <f>IFERROR(COUNTIF($B$14:B384,B384)&amp;CHOOSE(MIN(4,COUNTIF($B$14:B384,B384)),"st","nd","rd","th"),"")</f>
        <v/>
      </c>
    </row>
    <row r="385" spans="11:11" x14ac:dyDescent="0.25">
      <c r="K385" s="233" t="str">
        <f>IFERROR(COUNTIF($B$14:B385,B385)&amp;CHOOSE(MIN(4,COUNTIF($B$14:B385,B385)),"st","nd","rd","th"),"")</f>
        <v/>
      </c>
    </row>
    <row r="386" spans="11:11" x14ac:dyDescent="0.25">
      <c r="K386" s="233" t="str">
        <f>IFERROR(COUNTIF($B$14:B386,B386)&amp;CHOOSE(MIN(4,COUNTIF($B$14:B386,B386)),"st","nd","rd","th"),"")</f>
        <v/>
      </c>
    </row>
    <row r="387" spans="11:11" x14ac:dyDescent="0.25">
      <c r="K387" s="233" t="str">
        <f>IFERROR(COUNTIF($B$14:B387,B387)&amp;CHOOSE(MIN(4,COUNTIF($B$14:B387,B387)),"st","nd","rd","th"),"")</f>
        <v/>
      </c>
    </row>
    <row r="388" spans="11:11" x14ac:dyDescent="0.25">
      <c r="K388" s="233" t="str">
        <f>IFERROR(COUNTIF($B$14:B388,B388)&amp;CHOOSE(MIN(4,COUNTIF($B$14:B388,B388)),"st","nd","rd","th"),"")</f>
        <v/>
      </c>
    </row>
    <row r="389" spans="11:11" x14ac:dyDescent="0.25">
      <c r="K389" s="233" t="str">
        <f>IFERROR(COUNTIF($B$14:B389,B389)&amp;CHOOSE(MIN(4,COUNTIF($B$14:B389,B389)),"st","nd","rd","th"),"")</f>
        <v/>
      </c>
    </row>
    <row r="390" spans="11:11" x14ac:dyDescent="0.25">
      <c r="K390" s="233" t="str">
        <f>IFERROR(COUNTIF($B$14:B390,B390)&amp;CHOOSE(MIN(4,COUNTIF($B$14:B390,B390)),"st","nd","rd","th"),"")</f>
        <v/>
      </c>
    </row>
    <row r="391" spans="11:11" x14ac:dyDescent="0.25">
      <c r="K391" s="233" t="str">
        <f>IFERROR(COUNTIF($B$14:B391,B391)&amp;CHOOSE(MIN(4,COUNTIF($B$14:B391,B391)),"st","nd","rd","th"),"")</f>
        <v/>
      </c>
    </row>
    <row r="392" spans="11:11" x14ac:dyDescent="0.25">
      <c r="K392" s="233" t="str">
        <f>IFERROR(COUNTIF($B$14:B392,B392)&amp;CHOOSE(MIN(4,COUNTIF($B$14:B392,B392)),"st","nd","rd","th"),"")</f>
        <v/>
      </c>
    </row>
    <row r="393" spans="11:11" x14ac:dyDescent="0.25">
      <c r="K393" s="233" t="str">
        <f>IFERROR(COUNTIF($B$14:B393,B393)&amp;CHOOSE(MIN(4,COUNTIF($B$14:B393,B393)),"st","nd","rd","th"),"")</f>
        <v/>
      </c>
    </row>
    <row r="394" spans="11:11" x14ac:dyDescent="0.25">
      <c r="K394" s="233" t="str">
        <f>IFERROR(COUNTIF($B$14:B394,B394)&amp;CHOOSE(MIN(4,COUNTIF($B$14:B394,B394)),"st","nd","rd","th"),"")</f>
        <v/>
      </c>
    </row>
    <row r="395" spans="11:11" x14ac:dyDescent="0.25">
      <c r="K395" s="233" t="str">
        <f>IFERROR(COUNTIF($B$14:B395,B395)&amp;CHOOSE(MIN(4,COUNTIF($B$14:B395,B395)),"st","nd","rd","th"),"")</f>
        <v/>
      </c>
    </row>
    <row r="396" spans="11:11" x14ac:dyDescent="0.25">
      <c r="K396" s="233" t="str">
        <f>IFERROR(COUNTIF($B$14:B396,B396)&amp;CHOOSE(MIN(4,COUNTIF($B$14:B396,B396)),"st","nd","rd","th"),"")</f>
        <v/>
      </c>
    </row>
    <row r="397" spans="11:11" x14ac:dyDescent="0.25">
      <c r="K397" s="233" t="str">
        <f>IFERROR(COUNTIF($B$14:B397,B397)&amp;CHOOSE(MIN(4,COUNTIF($B$14:B397,B397)),"st","nd","rd","th"),"")</f>
        <v/>
      </c>
    </row>
    <row r="398" spans="11:11" x14ac:dyDescent="0.25">
      <c r="K398" s="233" t="str">
        <f>IFERROR(COUNTIF($B$14:B398,B398)&amp;CHOOSE(MIN(4,COUNTIF($B$14:B398,B398)),"st","nd","rd","th"),"")</f>
        <v/>
      </c>
    </row>
    <row r="399" spans="11:11" x14ac:dyDescent="0.25">
      <c r="K399" s="233" t="str">
        <f>IFERROR(COUNTIF($B$14:B399,B399)&amp;CHOOSE(MIN(4,COUNTIF($B$14:B399,B399)),"st","nd","rd","th"),"")</f>
        <v/>
      </c>
    </row>
    <row r="400" spans="11:11" x14ac:dyDescent="0.25">
      <c r="K400" s="233" t="str">
        <f>IFERROR(COUNTIF($B$14:B400,B400)&amp;CHOOSE(MIN(4,COUNTIF($B$14:B400,B400)),"st","nd","rd","th"),"")</f>
        <v/>
      </c>
    </row>
    <row r="401" spans="11:11" x14ac:dyDescent="0.25">
      <c r="K401" s="233" t="str">
        <f>IFERROR(COUNTIF($B$14:B401,B401)&amp;CHOOSE(MIN(4,COUNTIF($B$14:B401,B401)),"st","nd","rd","th"),"")</f>
        <v/>
      </c>
    </row>
    <row r="402" spans="11:11" x14ac:dyDescent="0.25">
      <c r="K402" s="233" t="str">
        <f>IFERROR(COUNTIF($B$14:B402,B402)&amp;CHOOSE(MIN(4,COUNTIF($B$14:B402,B402)),"st","nd","rd","th"),"")</f>
        <v/>
      </c>
    </row>
    <row r="403" spans="11:11" x14ac:dyDescent="0.25">
      <c r="K403" s="233" t="str">
        <f>IFERROR(COUNTIF($B$14:B403,B403)&amp;CHOOSE(MIN(4,COUNTIF($B$14:B403,B403)),"st","nd","rd","th"),"")</f>
        <v/>
      </c>
    </row>
    <row r="404" spans="11:11" x14ac:dyDescent="0.25">
      <c r="K404" s="233" t="str">
        <f>IFERROR(COUNTIF($B$14:B404,B404)&amp;CHOOSE(MIN(4,COUNTIF($B$14:B404,B404)),"st","nd","rd","th"),"")</f>
        <v/>
      </c>
    </row>
    <row r="405" spans="11:11" x14ac:dyDescent="0.25">
      <c r="K405" s="233" t="str">
        <f>IFERROR(COUNTIF($B$14:B405,B405)&amp;CHOOSE(MIN(4,COUNTIF($B$14:B405,B405)),"st","nd","rd","th"),"")</f>
        <v/>
      </c>
    </row>
    <row r="406" spans="11:11" x14ac:dyDescent="0.25">
      <c r="K406" s="233" t="str">
        <f>IFERROR(COUNTIF($B$14:B406,B406)&amp;CHOOSE(MIN(4,COUNTIF($B$14:B406,B406)),"st","nd","rd","th"),"")</f>
        <v/>
      </c>
    </row>
    <row r="407" spans="11:11" x14ac:dyDescent="0.25">
      <c r="K407" s="233" t="str">
        <f>IFERROR(COUNTIF($B$14:B407,B407)&amp;CHOOSE(MIN(4,COUNTIF($B$14:B407,B407)),"st","nd","rd","th"),"")</f>
        <v/>
      </c>
    </row>
    <row r="408" spans="11:11" x14ac:dyDescent="0.25">
      <c r="K408" s="233" t="str">
        <f>IFERROR(COUNTIF($B$14:B408,B408)&amp;CHOOSE(MIN(4,COUNTIF($B$14:B408,B408)),"st","nd","rd","th"),"")</f>
        <v/>
      </c>
    </row>
    <row r="409" spans="11:11" x14ac:dyDescent="0.25">
      <c r="K409" s="233" t="str">
        <f>IFERROR(COUNTIF($B$14:B409,B409)&amp;CHOOSE(MIN(4,COUNTIF($B$14:B409,B409)),"st","nd","rd","th"),"")</f>
        <v/>
      </c>
    </row>
    <row r="410" spans="11:11" x14ac:dyDescent="0.25">
      <c r="K410" s="233" t="str">
        <f>IFERROR(COUNTIF($B$14:B410,B410)&amp;CHOOSE(MIN(4,COUNTIF($B$14:B410,B410)),"st","nd","rd","th"),"")</f>
        <v/>
      </c>
    </row>
    <row r="411" spans="11:11" x14ac:dyDescent="0.25">
      <c r="K411" s="233" t="str">
        <f>IFERROR(COUNTIF($B$14:B411,B411)&amp;CHOOSE(MIN(4,COUNTIF($B$14:B411,B411)),"st","nd","rd","th"),"")</f>
        <v/>
      </c>
    </row>
    <row r="412" spans="11:11" x14ac:dyDescent="0.25">
      <c r="K412" s="233" t="str">
        <f>IFERROR(COUNTIF($B$14:B412,B412)&amp;CHOOSE(MIN(4,COUNTIF($B$14:B412,B412)),"st","nd","rd","th"),"")</f>
        <v/>
      </c>
    </row>
    <row r="413" spans="11:11" x14ac:dyDescent="0.25">
      <c r="K413" s="233" t="str">
        <f>IFERROR(COUNTIF($B$14:B413,B413)&amp;CHOOSE(MIN(4,COUNTIF($B$14:B413,B413)),"st","nd","rd","th"),"")</f>
        <v/>
      </c>
    </row>
    <row r="414" spans="11:11" x14ac:dyDescent="0.25">
      <c r="K414" s="233" t="str">
        <f>IFERROR(COUNTIF($B$14:B414,B414)&amp;CHOOSE(MIN(4,COUNTIF($B$14:B414,B414)),"st","nd","rd","th"),"")</f>
        <v/>
      </c>
    </row>
    <row r="415" spans="11:11" x14ac:dyDescent="0.25">
      <c r="K415" s="233" t="str">
        <f>IFERROR(COUNTIF($B$14:B415,B415)&amp;CHOOSE(MIN(4,COUNTIF($B$14:B415,B415)),"st","nd","rd","th"),"")</f>
        <v/>
      </c>
    </row>
    <row r="416" spans="11:11" x14ac:dyDescent="0.25">
      <c r="K416" s="233" t="str">
        <f>IFERROR(COUNTIF($B$14:B416,B416)&amp;CHOOSE(MIN(4,COUNTIF($B$14:B416,B416)),"st","nd","rd","th"),"")</f>
        <v/>
      </c>
    </row>
    <row r="417" spans="11:11" x14ac:dyDescent="0.25">
      <c r="K417" s="233" t="str">
        <f>IFERROR(COUNTIF($B$14:B417,B417)&amp;CHOOSE(MIN(4,COUNTIF($B$14:B417,B417)),"st","nd","rd","th"),"")</f>
        <v/>
      </c>
    </row>
    <row r="418" spans="11:11" x14ac:dyDescent="0.25">
      <c r="K418" s="233" t="str">
        <f>IFERROR(COUNTIF($B$14:B418,B418)&amp;CHOOSE(MIN(4,COUNTIF($B$14:B418,B418)),"st","nd","rd","th"),"")</f>
        <v/>
      </c>
    </row>
    <row r="419" spans="11:11" x14ac:dyDescent="0.25">
      <c r="K419" s="233" t="str">
        <f>IFERROR(COUNTIF($B$14:B419,B419)&amp;CHOOSE(MIN(4,COUNTIF($B$14:B419,B419)),"st","nd","rd","th"),"")</f>
        <v/>
      </c>
    </row>
    <row r="420" spans="11:11" x14ac:dyDescent="0.25">
      <c r="K420" s="233" t="str">
        <f>IFERROR(COUNTIF($B$14:B420,B420)&amp;CHOOSE(MIN(4,COUNTIF($B$14:B420,B420)),"st","nd","rd","th"),"")</f>
        <v/>
      </c>
    </row>
    <row r="421" spans="11:11" x14ac:dyDescent="0.25">
      <c r="K421" s="233" t="str">
        <f>IFERROR(COUNTIF($B$14:B421,B421)&amp;CHOOSE(MIN(4,COUNTIF($B$14:B421,B421)),"st","nd","rd","th"),"")</f>
        <v/>
      </c>
    </row>
    <row r="422" spans="11:11" x14ac:dyDescent="0.25">
      <c r="K422" s="233" t="str">
        <f>IFERROR(COUNTIF($B$14:B422,B422)&amp;CHOOSE(MIN(4,COUNTIF($B$14:B422,B422)),"st","nd","rd","th"),"")</f>
        <v/>
      </c>
    </row>
    <row r="423" spans="11:11" x14ac:dyDescent="0.25">
      <c r="K423" s="233" t="str">
        <f>IFERROR(COUNTIF($B$14:B423,B423)&amp;CHOOSE(MIN(4,COUNTIF($B$14:B423,B423)),"st","nd","rd","th"),"")</f>
        <v/>
      </c>
    </row>
    <row r="424" spans="11:11" x14ac:dyDescent="0.25">
      <c r="K424" s="233" t="str">
        <f>IFERROR(COUNTIF($B$14:B424,B424)&amp;CHOOSE(MIN(4,COUNTIF($B$14:B424,B424)),"st","nd","rd","th"),"")</f>
        <v/>
      </c>
    </row>
    <row r="425" spans="11:11" x14ac:dyDescent="0.25">
      <c r="K425" s="233" t="str">
        <f>IFERROR(COUNTIF($B$14:B425,B425)&amp;CHOOSE(MIN(4,COUNTIF($B$14:B425,B425)),"st","nd","rd","th"),"")</f>
        <v/>
      </c>
    </row>
    <row r="426" spans="11:11" x14ac:dyDescent="0.25">
      <c r="K426" s="233" t="str">
        <f>IFERROR(COUNTIF($B$14:B426,B426)&amp;CHOOSE(MIN(4,COUNTIF($B$14:B426,B426)),"st","nd","rd","th"),"")</f>
        <v/>
      </c>
    </row>
    <row r="427" spans="11:11" x14ac:dyDescent="0.25">
      <c r="K427" s="233" t="str">
        <f>IFERROR(COUNTIF($B$14:B427,B427)&amp;CHOOSE(MIN(4,COUNTIF($B$14:B427,B427)),"st","nd","rd","th"),"")</f>
        <v/>
      </c>
    </row>
    <row r="428" spans="11:11" x14ac:dyDescent="0.25">
      <c r="K428" s="233" t="str">
        <f>IFERROR(COUNTIF($B$14:B428,B428)&amp;CHOOSE(MIN(4,COUNTIF($B$14:B428,B428)),"st","nd","rd","th"),"")</f>
        <v/>
      </c>
    </row>
    <row r="429" spans="11:11" x14ac:dyDescent="0.25">
      <c r="K429" s="233" t="str">
        <f>IFERROR(COUNTIF($B$14:B429,B429)&amp;CHOOSE(MIN(4,COUNTIF($B$14:B429,B429)),"st","nd","rd","th"),"")</f>
        <v/>
      </c>
    </row>
    <row r="430" spans="11:11" x14ac:dyDescent="0.25">
      <c r="K430" s="233" t="str">
        <f>IFERROR(COUNTIF($B$14:B430,B430)&amp;CHOOSE(MIN(4,COUNTIF($B$14:B430,B430)),"st","nd","rd","th"),"")</f>
        <v/>
      </c>
    </row>
    <row r="431" spans="11:11" x14ac:dyDescent="0.25">
      <c r="K431" s="233" t="str">
        <f>IFERROR(COUNTIF($B$14:B431,B431)&amp;CHOOSE(MIN(4,COUNTIF($B$14:B431,B431)),"st","nd","rd","th"),"")</f>
        <v/>
      </c>
    </row>
    <row r="432" spans="11:11" x14ac:dyDescent="0.25">
      <c r="K432" s="233" t="str">
        <f>IFERROR(COUNTIF($B$14:B432,B432)&amp;CHOOSE(MIN(4,COUNTIF($B$14:B432,B432)),"st","nd","rd","th"),"")</f>
        <v/>
      </c>
    </row>
    <row r="433" spans="11:11" x14ac:dyDescent="0.25">
      <c r="K433" s="233" t="str">
        <f>IFERROR(COUNTIF($B$14:B433,B433)&amp;CHOOSE(MIN(4,COUNTIF($B$14:B433,B433)),"st","nd","rd","th"),"")</f>
        <v/>
      </c>
    </row>
    <row r="434" spans="11:11" x14ac:dyDescent="0.25">
      <c r="K434" s="233" t="str">
        <f>IFERROR(COUNTIF($B$14:B434,B434)&amp;CHOOSE(MIN(4,COUNTIF($B$14:B434,B434)),"st","nd","rd","th"),"")</f>
        <v/>
      </c>
    </row>
    <row r="435" spans="11:11" x14ac:dyDescent="0.25">
      <c r="K435" s="233" t="str">
        <f>IFERROR(COUNTIF($B$14:B435,B435)&amp;CHOOSE(MIN(4,COUNTIF($B$14:B435,B435)),"st","nd","rd","th"),"")</f>
        <v/>
      </c>
    </row>
    <row r="436" spans="11:11" x14ac:dyDescent="0.25">
      <c r="K436" s="233" t="str">
        <f>IFERROR(COUNTIF($B$14:B436,B436)&amp;CHOOSE(MIN(4,COUNTIF($B$14:B436,B436)),"st","nd","rd","th"),"")</f>
        <v/>
      </c>
    </row>
    <row r="437" spans="11:11" x14ac:dyDescent="0.25">
      <c r="K437" s="233" t="str">
        <f>IFERROR(COUNTIF($B$14:B437,B437)&amp;CHOOSE(MIN(4,COUNTIF($B$14:B437,B437)),"st","nd","rd","th"),"")</f>
        <v/>
      </c>
    </row>
    <row r="438" spans="11:11" x14ac:dyDescent="0.25">
      <c r="K438" s="233" t="str">
        <f>IFERROR(COUNTIF($B$14:B438,B438)&amp;CHOOSE(MIN(4,COUNTIF($B$14:B438,B438)),"st","nd","rd","th"),"")</f>
        <v/>
      </c>
    </row>
    <row r="439" spans="11:11" x14ac:dyDescent="0.25">
      <c r="K439" s="233" t="str">
        <f>IFERROR(COUNTIF($B$14:B439,B439)&amp;CHOOSE(MIN(4,COUNTIF($B$14:B439,B439)),"st","nd","rd","th"),"")</f>
        <v/>
      </c>
    </row>
    <row r="440" spans="11:11" x14ac:dyDescent="0.25">
      <c r="K440" s="233" t="str">
        <f>IFERROR(COUNTIF($B$14:B440,B440)&amp;CHOOSE(MIN(4,COUNTIF($B$14:B440,B440)),"st","nd","rd","th"),"")</f>
        <v/>
      </c>
    </row>
    <row r="441" spans="11:11" x14ac:dyDescent="0.25">
      <c r="K441" s="233" t="str">
        <f>IFERROR(COUNTIF($B$14:B441,B441)&amp;CHOOSE(MIN(4,COUNTIF($B$14:B441,B441)),"st","nd","rd","th"),"")</f>
        <v/>
      </c>
    </row>
    <row r="442" spans="11:11" x14ac:dyDescent="0.25">
      <c r="K442" s="233" t="str">
        <f>IFERROR(COUNTIF($B$14:B442,B442)&amp;CHOOSE(MIN(4,COUNTIF($B$14:B442,B442)),"st","nd","rd","th"),"")</f>
        <v/>
      </c>
    </row>
    <row r="443" spans="11:11" x14ac:dyDescent="0.25">
      <c r="K443" s="233" t="str">
        <f>IFERROR(COUNTIF($B$14:B443,B443)&amp;CHOOSE(MIN(4,COUNTIF($B$14:B443,B443)),"st","nd","rd","th"),"")</f>
        <v/>
      </c>
    </row>
    <row r="444" spans="11:11" x14ac:dyDescent="0.25">
      <c r="K444" s="233" t="str">
        <f>IFERROR(COUNTIF($B$14:B444,B444)&amp;CHOOSE(MIN(4,COUNTIF($B$14:B444,B444)),"st","nd","rd","th"),"")</f>
        <v/>
      </c>
    </row>
    <row r="445" spans="11:11" x14ac:dyDescent="0.25">
      <c r="K445" s="233" t="str">
        <f>IFERROR(COUNTIF($B$14:B445,B445)&amp;CHOOSE(MIN(4,COUNTIF($B$14:B445,B445)),"st","nd","rd","th"),"")</f>
        <v/>
      </c>
    </row>
    <row r="446" spans="11:11" x14ac:dyDescent="0.25">
      <c r="K446" s="233" t="str">
        <f>IFERROR(COUNTIF($B$14:B446,B446)&amp;CHOOSE(MIN(4,COUNTIF($B$14:B446,B446)),"st","nd","rd","th"),"")</f>
        <v/>
      </c>
    </row>
    <row r="447" spans="11:11" x14ac:dyDescent="0.25">
      <c r="K447" s="233" t="str">
        <f>IFERROR(COUNTIF($B$14:B447,B447)&amp;CHOOSE(MIN(4,COUNTIF($B$14:B447,B447)),"st","nd","rd","th"),"")</f>
        <v/>
      </c>
    </row>
    <row r="448" spans="11:11" x14ac:dyDescent="0.25">
      <c r="K448" s="233" t="str">
        <f>IFERROR(COUNTIF($B$14:B448,B448)&amp;CHOOSE(MIN(4,COUNTIF($B$14:B448,B448)),"st","nd","rd","th"),"")</f>
        <v/>
      </c>
    </row>
    <row r="449" spans="11:11" x14ac:dyDescent="0.25">
      <c r="K449" s="233" t="str">
        <f>IFERROR(COUNTIF($B$14:B449,B449)&amp;CHOOSE(MIN(4,COUNTIF($B$14:B449,B449)),"st","nd","rd","th"),"")</f>
        <v/>
      </c>
    </row>
    <row r="450" spans="11:11" x14ac:dyDescent="0.25">
      <c r="K450" s="233" t="str">
        <f>IFERROR(COUNTIF($B$14:B450,B450)&amp;CHOOSE(MIN(4,COUNTIF($B$14:B450,B450)),"st","nd","rd","th"),"")</f>
        <v/>
      </c>
    </row>
    <row r="451" spans="11:11" x14ac:dyDescent="0.25">
      <c r="K451" s="233" t="str">
        <f>IFERROR(COUNTIF($B$14:B451,B451)&amp;CHOOSE(MIN(4,COUNTIF($B$14:B451,B451)),"st","nd","rd","th"),"")</f>
        <v/>
      </c>
    </row>
    <row r="452" spans="11:11" x14ac:dyDescent="0.25">
      <c r="K452" s="233" t="str">
        <f>IFERROR(COUNTIF($B$14:B452,B452)&amp;CHOOSE(MIN(4,COUNTIF($B$14:B452,B452)),"st","nd","rd","th"),"")</f>
        <v/>
      </c>
    </row>
    <row r="453" spans="11:11" x14ac:dyDescent="0.25">
      <c r="K453" s="233" t="str">
        <f>IFERROR(COUNTIF($B$14:B453,B453)&amp;CHOOSE(MIN(4,COUNTIF($B$14:B453,B453)),"st","nd","rd","th"),"")</f>
        <v/>
      </c>
    </row>
    <row r="454" spans="11:11" x14ac:dyDescent="0.25">
      <c r="K454" s="233" t="str">
        <f>IFERROR(COUNTIF($B$14:B454,B454)&amp;CHOOSE(MIN(4,COUNTIF($B$14:B454,B454)),"st","nd","rd","th"),"")</f>
        <v/>
      </c>
    </row>
    <row r="455" spans="11:11" x14ac:dyDescent="0.25">
      <c r="K455" s="233" t="str">
        <f>IFERROR(COUNTIF($B$14:B455,B455)&amp;CHOOSE(MIN(4,COUNTIF($B$14:B455,B455)),"st","nd","rd","th"),"")</f>
        <v/>
      </c>
    </row>
    <row r="456" spans="11:11" x14ac:dyDescent="0.25">
      <c r="K456" s="233" t="str">
        <f>IFERROR(COUNTIF($B$14:B456,B456)&amp;CHOOSE(MIN(4,COUNTIF($B$14:B456,B456)),"st","nd","rd","th"),"")</f>
        <v/>
      </c>
    </row>
    <row r="457" spans="11:11" x14ac:dyDescent="0.25">
      <c r="K457" s="233" t="str">
        <f>IFERROR(COUNTIF($B$14:B457,B457)&amp;CHOOSE(MIN(4,COUNTIF($B$14:B457,B457)),"st","nd","rd","th"),"")</f>
        <v/>
      </c>
    </row>
    <row r="458" spans="11:11" x14ac:dyDescent="0.25">
      <c r="K458" s="233" t="str">
        <f>IFERROR(COUNTIF($B$14:B458,B458)&amp;CHOOSE(MIN(4,COUNTIF($B$14:B458,B458)),"st","nd","rd","th"),"")</f>
        <v/>
      </c>
    </row>
    <row r="459" spans="11:11" x14ac:dyDescent="0.25">
      <c r="K459" s="233" t="str">
        <f>IFERROR(COUNTIF($B$14:B459,B459)&amp;CHOOSE(MIN(4,COUNTIF($B$14:B459,B459)),"st","nd","rd","th"),"")</f>
        <v/>
      </c>
    </row>
    <row r="460" spans="11:11" x14ac:dyDescent="0.25">
      <c r="K460" s="233" t="str">
        <f>IFERROR(COUNTIF($B$14:B460,B460)&amp;CHOOSE(MIN(4,COUNTIF($B$14:B460,B460)),"st","nd","rd","th"),"")</f>
        <v/>
      </c>
    </row>
    <row r="461" spans="11:11" x14ac:dyDescent="0.25">
      <c r="K461" s="233" t="str">
        <f>IFERROR(COUNTIF($B$14:B461,B461)&amp;CHOOSE(MIN(4,COUNTIF($B$14:B461,B461)),"st","nd","rd","th"),"")</f>
        <v/>
      </c>
    </row>
    <row r="462" spans="11:11" x14ac:dyDescent="0.25">
      <c r="K462" s="233" t="str">
        <f>IFERROR(COUNTIF($B$14:B462,B462)&amp;CHOOSE(MIN(4,COUNTIF($B$14:B462,B462)),"st","nd","rd","th"),"")</f>
        <v/>
      </c>
    </row>
    <row r="463" spans="11:11" x14ac:dyDescent="0.25">
      <c r="K463" s="233" t="str">
        <f>IFERROR(COUNTIF($B$14:B463,B463)&amp;CHOOSE(MIN(4,COUNTIF($B$14:B463,B463)),"st","nd","rd","th"),"")</f>
        <v/>
      </c>
    </row>
    <row r="464" spans="11:11" x14ac:dyDescent="0.25">
      <c r="K464" s="233" t="str">
        <f>IFERROR(COUNTIF($B$14:B464,B464)&amp;CHOOSE(MIN(4,COUNTIF($B$14:B464,B464)),"st","nd","rd","th"),"")</f>
        <v/>
      </c>
    </row>
    <row r="465" spans="11:11" x14ac:dyDescent="0.25">
      <c r="K465" s="233" t="str">
        <f>IFERROR(COUNTIF($B$14:B465,B465)&amp;CHOOSE(MIN(4,COUNTIF($B$14:B465,B465)),"st","nd","rd","th"),"")</f>
        <v/>
      </c>
    </row>
    <row r="466" spans="11:11" x14ac:dyDescent="0.25">
      <c r="K466" s="233" t="str">
        <f>IFERROR(COUNTIF($B$14:B466,B466)&amp;CHOOSE(MIN(4,COUNTIF($B$14:B466,B466)),"st","nd","rd","th"),"")</f>
        <v/>
      </c>
    </row>
    <row r="467" spans="11:11" x14ac:dyDescent="0.25">
      <c r="K467" s="233" t="str">
        <f>IFERROR(COUNTIF($B$14:B467,B467)&amp;CHOOSE(MIN(4,COUNTIF($B$14:B467,B467)),"st","nd","rd","th"),"")</f>
        <v/>
      </c>
    </row>
    <row r="468" spans="11:11" x14ac:dyDescent="0.25">
      <c r="K468" s="233" t="str">
        <f>IFERROR(COUNTIF($B$14:B468,B468)&amp;CHOOSE(MIN(4,COUNTIF($B$14:B468,B468)),"st","nd","rd","th"),"")</f>
        <v/>
      </c>
    </row>
    <row r="469" spans="11:11" x14ac:dyDescent="0.25">
      <c r="K469" s="233" t="str">
        <f>IFERROR(COUNTIF($B$14:B469,B469)&amp;CHOOSE(MIN(4,COUNTIF($B$14:B469,B469)),"st","nd","rd","th"),"")</f>
        <v/>
      </c>
    </row>
    <row r="470" spans="11:11" x14ac:dyDescent="0.25">
      <c r="K470" s="233" t="str">
        <f>IFERROR(COUNTIF($B$14:B470,B470)&amp;CHOOSE(MIN(4,COUNTIF($B$14:B470,B470)),"st","nd","rd","th"),"")</f>
        <v/>
      </c>
    </row>
    <row r="471" spans="11:11" x14ac:dyDescent="0.25">
      <c r="K471" s="233" t="str">
        <f>IFERROR(COUNTIF($B$14:B471,B471)&amp;CHOOSE(MIN(4,COUNTIF($B$14:B471,B471)),"st","nd","rd","th"),"")</f>
        <v/>
      </c>
    </row>
    <row r="472" spans="11:11" x14ac:dyDescent="0.25">
      <c r="K472" s="233" t="str">
        <f>IFERROR(COUNTIF($B$14:B472,B472)&amp;CHOOSE(MIN(4,COUNTIF($B$14:B472,B472)),"st","nd","rd","th"),"")</f>
        <v/>
      </c>
    </row>
    <row r="473" spans="11:11" x14ac:dyDescent="0.25">
      <c r="K473" s="233" t="str">
        <f>IFERROR(COUNTIF($B$14:B473,B473)&amp;CHOOSE(MIN(4,COUNTIF($B$14:B473,B473)),"st","nd","rd","th"),"")</f>
        <v/>
      </c>
    </row>
    <row r="474" spans="11:11" x14ac:dyDescent="0.25">
      <c r="K474" s="233" t="str">
        <f>IFERROR(COUNTIF($B$14:B474,B474)&amp;CHOOSE(MIN(4,COUNTIF($B$14:B474,B474)),"st","nd","rd","th"),"")</f>
        <v/>
      </c>
    </row>
    <row r="475" spans="11:11" x14ac:dyDescent="0.25">
      <c r="K475" s="233" t="str">
        <f>IFERROR(COUNTIF($B$14:B475,B475)&amp;CHOOSE(MIN(4,COUNTIF($B$14:B475,B475)),"st","nd","rd","th"),"")</f>
        <v/>
      </c>
    </row>
    <row r="476" spans="11:11" x14ac:dyDescent="0.25">
      <c r="K476" s="233" t="str">
        <f>IFERROR(COUNTIF($B$14:B476,B476)&amp;CHOOSE(MIN(4,COUNTIF($B$14:B476,B476)),"st","nd","rd","th"),"")</f>
        <v/>
      </c>
    </row>
    <row r="477" spans="11:11" x14ac:dyDescent="0.25">
      <c r="K477" s="233" t="str">
        <f>IFERROR(COUNTIF($B$14:B477,B477)&amp;CHOOSE(MIN(4,COUNTIF($B$14:B477,B477)),"st","nd","rd","th"),"")</f>
        <v/>
      </c>
    </row>
    <row r="478" spans="11:11" x14ac:dyDescent="0.25">
      <c r="K478" s="233" t="str">
        <f>IFERROR(COUNTIF($B$14:B478,B478)&amp;CHOOSE(MIN(4,COUNTIF($B$14:B478,B478)),"st","nd","rd","th"),"")</f>
        <v/>
      </c>
    </row>
    <row r="479" spans="11:11" x14ac:dyDescent="0.25">
      <c r="K479" s="233" t="str">
        <f>IFERROR(COUNTIF($B$14:B479,B479)&amp;CHOOSE(MIN(4,COUNTIF($B$14:B479,B479)),"st","nd","rd","th"),"")</f>
        <v/>
      </c>
    </row>
    <row r="480" spans="11:11" x14ac:dyDescent="0.25">
      <c r="K480" s="233" t="str">
        <f>IFERROR(COUNTIF($B$14:B480,B480)&amp;CHOOSE(MIN(4,COUNTIF($B$14:B480,B480)),"st","nd","rd","th"),"")</f>
        <v/>
      </c>
    </row>
    <row r="481" spans="11:11" x14ac:dyDescent="0.25">
      <c r="K481" s="233" t="str">
        <f>IFERROR(COUNTIF($B$14:B481,B481)&amp;CHOOSE(MIN(4,COUNTIF($B$14:B481,B481)),"st","nd","rd","th"),"")</f>
        <v/>
      </c>
    </row>
    <row r="482" spans="11:11" x14ac:dyDescent="0.25">
      <c r="K482" s="233" t="str">
        <f>IFERROR(COUNTIF($B$14:B482,B482)&amp;CHOOSE(MIN(4,COUNTIF($B$14:B482,B482)),"st","nd","rd","th"),"")</f>
        <v/>
      </c>
    </row>
    <row r="483" spans="11:11" x14ac:dyDescent="0.25">
      <c r="K483" s="233" t="str">
        <f>IFERROR(COUNTIF($B$14:B483,B483)&amp;CHOOSE(MIN(4,COUNTIF($B$14:B483,B483)),"st","nd","rd","th"),"")</f>
        <v/>
      </c>
    </row>
    <row r="484" spans="11:11" x14ac:dyDescent="0.25">
      <c r="K484" s="233" t="str">
        <f>IFERROR(COUNTIF($B$14:B484,B484)&amp;CHOOSE(MIN(4,COUNTIF($B$14:B484,B484)),"st","nd","rd","th"),"")</f>
        <v/>
      </c>
    </row>
    <row r="485" spans="11:11" x14ac:dyDescent="0.25">
      <c r="K485" s="233" t="str">
        <f>IFERROR(COUNTIF($B$14:B485,B485)&amp;CHOOSE(MIN(4,COUNTIF($B$14:B485,B485)),"st","nd","rd","th"),"")</f>
        <v/>
      </c>
    </row>
    <row r="486" spans="11:11" x14ac:dyDescent="0.25">
      <c r="K486" s="233" t="str">
        <f>IFERROR(COUNTIF($B$14:B486,B486)&amp;CHOOSE(MIN(4,COUNTIF($B$14:B486,B486)),"st","nd","rd","th"),"")</f>
        <v/>
      </c>
    </row>
    <row r="487" spans="11:11" x14ac:dyDescent="0.25">
      <c r="K487" s="233" t="str">
        <f>IFERROR(COUNTIF($B$14:B487,B487)&amp;CHOOSE(MIN(4,COUNTIF($B$14:B487,B487)),"st","nd","rd","th"),"")</f>
        <v/>
      </c>
    </row>
    <row r="488" spans="11:11" x14ac:dyDescent="0.25">
      <c r="K488" s="233" t="str">
        <f>IFERROR(COUNTIF($B$14:B488,B488)&amp;CHOOSE(MIN(4,COUNTIF($B$14:B488,B488)),"st","nd","rd","th"),"")</f>
        <v/>
      </c>
    </row>
    <row r="489" spans="11:11" x14ac:dyDescent="0.25">
      <c r="K489" s="233" t="str">
        <f>IFERROR(COUNTIF($B$14:B489,B489)&amp;CHOOSE(MIN(4,COUNTIF($B$14:B489,B489)),"st","nd","rd","th"),"")</f>
        <v/>
      </c>
    </row>
    <row r="490" spans="11:11" x14ac:dyDescent="0.25">
      <c r="K490" s="233" t="str">
        <f>IFERROR(COUNTIF($B$14:B490,B490)&amp;CHOOSE(MIN(4,COUNTIF($B$14:B490,B490)),"st","nd","rd","th"),"")</f>
        <v/>
      </c>
    </row>
    <row r="491" spans="11:11" x14ac:dyDescent="0.25">
      <c r="K491" s="233" t="str">
        <f>IFERROR(COUNTIF($B$14:B491,B491)&amp;CHOOSE(MIN(4,COUNTIF($B$14:B491,B491)),"st","nd","rd","th"),"")</f>
        <v/>
      </c>
    </row>
    <row r="492" spans="11:11" x14ac:dyDescent="0.25">
      <c r="K492" s="233" t="str">
        <f>IFERROR(COUNTIF($B$14:B492,B492)&amp;CHOOSE(MIN(4,COUNTIF($B$14:B492,B492)),"st","nd","rd","th"),"")</f>
        <v/>
      </c>
    </row>
    <row r="493" spans="11:11" x14ac:dyDescent="0.25">
      <c r="K493" s="233" t="str">
        <f>IFERROR(COUNTIF($B$14:B493,B493)&amp;CHOOSE(MIN(4,COUNTIF($B$14:B493,B493)),"st","nd","rd","th"),"")</f>
        <v/>
      </c>
    </row>
    <row r="494" spans="11:11" x14ac:dyDescent="0.25">
      <c r="K494" s="233" t="str">
        <f>IFERROR(COUNTIF($B$14:B494,B494)&amp;CHOOSE(MIN(4,COUNTIF($B$14:B494,B494)),"st","nd","rd","th"),"")</f>
        <v/>
      </c>
    </row>
    <row r="495" spans="11:11" x14ac:dyDescent="0.25">
      <c r="K495" s="233" t="str">
        <f>IFERROR(COUNTIF($B$14:B495,B495)&amp;CHOOSE(MIN(4,COUNTIF($B$14:B495,B495)),"st","nd","rd","th"),"")</f>
        <v/>
      </c>
    </row>
    <row r="496" spans="11:11" x14ac:dyDescent="0.25">
      <c r="K496" s="233" t="str">
        <f>IFERROR(COUNTIF($B$14:B496,B496)&amp;CHOOSE(MIN(4,COUNTIF($B$14:B496,B496)),"st","nd","rd","th"),"")</f>
        <v/>
      </c>
    </row>
    <row r="497" spans="11:11" x14ac:dyDescent="0.25">
      <c r="K497" s="233" t="str">
        <f>IFERROR(COUNTIF($B$14:B497,B497)&amp;CHOOSE(MIN(4,COUNTIF($B$14:B497,B497)),"st","nd","rd","th"),"")</f>
        <v/>
      </c>
    </row>
    <row r="498" spans="11:11" x14ac:dyDescent="0.25">
      <c r="K498" s="233" t="str">
        <f>IFERROR(COUNTIF($B$14:B498,B498)&amp;CHOOSE(MIN(4,COUNTIF($B$14:B498,B498)),"st","nd","rd","th"),"")</f>
        <v/>
      </c>
    </row>
    <row r="499" spans="11:11" x14ac:dyDescent="0.25">
      <c r="K499" s="233" t="str">
        <f>IFERROR(COUNTIF($B$14:B499,B499)&amp;CHOOSE(MIN(4,COUNTIF($B$14:B499,B499)),"st","nd","rd","th"),"")</f>
        <v/>
      </c>
    </row>
    <row r="500" spans="11:11" x14ac:dyDescent="0.25">
      <c r="K500" s="233" t="str">
        <f>IFERROR(COUNTIF($B$14:B500,B500)&amp;CHOOSE(MIN(4,COUNTIF($B$14:B500,B500)),"st","nd","rd","th"),"")</f>
        <v/>
      </c>
    </row>
    <row r="501" spans="11:11" x14ac:dyDescent="0.25">
      <c r="K501" s="233" t="str">
        <f>IFERROR(COUNTIF($B$14:B501,B501)&amp;CHOOSE(MIN(4,COUNTIF($B$14:B501,B501)),"st","nd","rd","th"),"")</f>
        <v/>
      </c>
    </row>
    <row r="502" spans="11:11" x14ac:dyDescent="0.25">
      <c r="K502" s="233" t="str">
        <f>IFERROR(COUNTIF($B$14:B502,B502)&amp;CHOOSE(MIN(4,COUNTIF($B$14:B502,B502)),"st","nd","rd","th"),"")</f>
        <v/>
      </c>
    </row>
    <row r="503" spans="11:11" x14ac:dyDescent="0.25">
      <c r="K503" s="233" t="str">
        <f>IFERROR(COUNTIF($B$14:B503,B503)&amp;CHOOSE(MIN(4,COUNTIF($B$14:B503,B503)),"st","nd","rd","th"),"")</f>
        <v/>
      </c>
    </row>
    <row r="504" spans="11:11" x14ac:dyDescent="0.25">
      <c r="K504" s="233" t="str">
        <f>IFERROR(COUNTIF($B$14:B504,B504)&amp;CHOOSE(MIN(4,COUNTIF($B$14:B504,B504)),"st","nd","rd","th"),"")</f>
        <v/>
      </c>
    </row>
    <row r="505" spans="11:11" x14ac:dyDescent="0.25">
      <c r="K505" s="233" t="str">
        <f>IFERROR(COUNTIF($B$14:B505,B505)&amp;CHOOSE(MIN(4,COUNTIF($B$14:B505,B505)),"st","nd","rd","th"),"")</f>
        <v/>
      </c>
    </row>
    <row r="506" spans="11:11" x14ac:dyDescent="0.25">
      <c r="K506" s="233" t="str">
        <f>IFERROR(COUNTIF($B$14:B506,B506)&amp;CHOOSE(MIN(4,COUNTIF($B$14:B506,B506)),"st","nd","rd","th"),"")</f>
        <v/>
      </c>
    </row>
    <row r="507" spans="11:11" x14ac:dyDescent="0.25">
      <c r="K507" s="233" t="str">
        <f>IFERROR(COUNTIF($B$14:B507,B507)&amp;CHOOSE(MIN(4,COUNTIF($B$14:B507,B507)),"st","nd","rd","th"),"")</f>
        <v/>
      </c>
    </row>
    <row r="508" spans="11:11" x14ac:dyDescent="0.25">
      <c r="K508" s="233" t="str">
        <f>IFERROR(COUNTIF($B$14:B508,B508)&amp;CHOOSE(MIN(4,COUNTIF($B$14:B508,B508)),"st","nd","rd","th"),"")</f>
        <v/>
      </c>
    </row>
    <row r="509" spans="11:11" x14ac:dyDescent="0.25">
      <c r="K509" s="233" t="str">
        <f>IFERROR(COUNTIF($B$14:B509,B509)&amp;CHOOSE(MIN(4,COUNTIF($B$14:B509,B509)),"st","nd","rd","th"),"")</f>
        <v/>
      </c>
    </row>
    <row r="510" spans="11:11" x14ac:dyDescent="0.25">
      <c r="K510" s="233" t="str">
        <f>IFERROR(COUNTIF($B$14:B510,B510)&amp;CHOOSE(MIN(4,COUNTIF($B$14:B510,B510)),"st","nd","rd","th"),"")</f>
        <v/>
      </c>
    </row>
    <row r="511" spans="11:11" x14ac:dyDescent="0.25">
      <c r="K511" s="233" t="str">
        <f>IFERROR(COUNTIF($B$14:B511,B511)&amp;CHOOSE(MIN(4,COUNTIF($B$14:B511,B511)),"st","nd","rd","th"),"")</f>
        <v/>
      </c>
    </row>
    <row r="512" spans="11:11" x14ac:dyDescent="0.25">
      <c r="K512" s="233" t="str">
        <f>IFERROR(COUNTIF($B$14:B512,B512)&amp;CHOOSE(MIN(4,COUNTIF($B$14:B512,B512)),"st","nd","rd","th"),"")</f>
        <v/>
      </c>
    </row>
    <row r="513" spans="11:11" x14ac:dyDescent="0.25">
      <c r="K513" s="233" t="str">
        <f>IFERROR(COUNTIF($B$14:B513,B513)&amp;CHOOSE(MIN(4,COUNTIF($B$14:B513,B513)),"st","nd","rd","th"),"")</f>
        <v/>
      </c>
    </row>
    <row r="514" spans="11:11" x14ac:dyDescent="0.25">
      <c r="K514" s="233" t="str">
        <f>IFERROR(COUNTIF($B$14:B514,B514)&amp;CHOOSE(MIN(4,COUNTIF($B$14:B514,B514)),"st","nd","rd","th"),"")</f>
        <v/>
      </c>
    </row>
    <row r="515" spans="11:11" x14ac:dyDescent="0.25">
      <c r="K515" s="233" t="str">
        <f>IFERROR(COUNTIF($B$14:B515,B515)&amp;CHOOSE(MIN(4,COUNTIF($B$14:B515,B515)),"st","nd","rd","th"),"")</f>
        <v/>
      </c>
    </row>
    <row r="516" spans="11:11" x14ac:dyDescent="0.25">
      <c r="K516" s="233" t="str">
        <f>IFERROR(COUNTIF($B$14:B516,B516)&amp;CHOOSE(MIN(4,COUNTIF($B$14:B516,B516)),"st","nd","rd","th"),"")</f>
        <v/>
      </c>
    </row>
    <row r="517" spans="11:11" x14ac:dyDescent="0.25">
      <c r="K517" s="233" t="str">
        <f>IFERROR(COUNTIF($B$14:B517,B517)&amp;CHOOSE(MIN(4,COUNTIF($B$14:B517,B517)),"st","nd","rd","th"),"")</f>
        <v/>
      </c>
    </row>
    <row r="518" spans="11:11" x14ac:dyDescent="0.25">
      <c r="K518" s="233" t="str">
        <f>IFERROR(COUNTIF($B$14:B518,B518)&amp;CHOOSE(MIN(4,COUNTIF($B$14:B518,B518)),"st","nd","rd","th"),"")</f>
        <v/>
      </c>
    </row>
    <row r="519" spans="11:11" x14ac:dyDescent="0.25">
      <c r="K519" s="233" t="str">
        <f>IFERROR(COUNTIF($B$14:B519,B519)&amp;CHOOSE(MIN(4,COUNTIF($B$14:B519,B519)),"st","nd","rd","th"),"")</f>
        <v/>
      </c>
    </row>
    <row r="520" spans="11:11" x14ac:dyDescent="0.25">
      <c r="K520" s="233" t="str">
        <f>IFERROR(COUNTIF($B$14:B520,B520)&amp;CHOOSE(MIN(4,COUNTIF($B$14:B520,B520)),"st","nd","rd","th"),"")</f>
        <v/>
      </c>
    </row>
    <row r="521" spans="11:11" x14ac:dyDescent="0.25">
      <c r="K521" s="233" t="str">
        <f>IFERROR(COUNTIF($B$14:B521,B521)&amp;CHOOSE(MIN(4,COUNTIF($B$14:B521,B521)),"st","nd","rd","th"),"")</f>
        <v/>
      </c>
    </row>
    <row r="522" spans="11:11" x14ac:dyDescent="0.25">
      <c r="K522" s="233" t="str">
        <f>IFERROR(COUNTIF($B$14:B522,B522)&amp;CHOOSE(MIN(4,COUNTIF($B$14:B522,B522)),"st","nd","rd","th"),"")</f>
        <v/>
      </c>
    </row>
    <row r="523" spans="11:11" x14ac:dyDescent="0.25">
      <c r="K523" s="233" t="str">
        <f>IFERROR(COUNTIF($B$14:B523,B523)&amp;CHOOSE(MIN(4,COUNTIF($B$14:B523,B523)),"st","nd","rd","th"),"")</f>
        <v/>
      </c>
    </row>
    <row r="524" spans="11:11" x14ac:dyDescent="0.25">
      <c r="K524" s="233" t="str">
        <f>IFERROR(COUNTIF($B$14:B524,B524)&amp;CHOOSE(MIN(4,COUNTIF($B$14:B524,B524)),"st","nd","rd","th"),"")</f>
        <v/>
      </c>
    </row>
    <row r="525" spans="11:11" x14ac:dyDescent="0.25">
      <c r="K525" s="233" t="str">
        <f>IFERROR(COUNTIF($B$14:B525,B525)&amp;CHOOSE(MIN(4,COUNTIF($B$14:B525,B525)),"st","nd","rd","th"),"")</f>
        <v/>
      </c>
    </row>
    <row r="526" spans="11:11" x14ac:dyDescent="0.25">
      <c r="K526" s="233" t="str">
        <f>IFERROR(COUNTIF($B$14:B526,B526)&amp;CHOOSE(MIN(4,COUNTIF($B$14:B526,B526)),"st","nd","rd","th"),"")</f>
        <v/>
      </c>
    </row>
    <row r="527" spans="11:11" x14ac:dyDescent="0.25">
      <c r="K527" s="233" t="str">
        <f>IFERROR(COUNTIF($B$14:B527,B527)&amp;CHOOSE(MIN(4,COUNTIF($B$14:B527,B527)),"st","nd","rd","th"),"")</f>
        <v/>
      </c>
    </row>
    <row r="528" spans="11:11" x14ac:dyDescent="0.25">
      <c r="K528" s="233" t="str">
        <f>IFERROR(COUNTIF($B$14:B528,B528)&amp;CHOOSE(MIN(4,COUNTIF($B$14:B528,B528)),"st","nd","rd","th"),"")</f>
        <v/>
      </c>
    </row>
    <row r="529" spans="11:11" x14ac:dyDescent="0.25">
      <c r="K529" s="233" t="str">
        <f>IFERROR(COUNTIF($B$14:B529,B529)&amp;CHOOSE(MIN(4,COUNTIF($B$14:B529,B529)),"st","nd","rd","th"),"")</f>
        <v/>
      </c>
    </row>
    <row r="530" spans="11:11" x14ac:dyDescent="0.25">
      <c r="K530" s="233" t="str">
        <f>IFERROR(COUNTIF($B$14:B530,B530)&amp;CHOOSE(MIN(4,COUNTIF($B$14:B530,B530)),"st","nd","rd","th"),"")</f>
        <v/>
      </c>
    </row>
    <row r="531" spans="11:11" x14ac:dyDescent="0.25">
      <c r="K531" s="233" t="str">
        <f>IFERROR(COUNTIF($B$14:B531,B531)&amp;CHOOSE(MIN(4,COUNTIF($B$14:B531,B531)),"st","nd","rd","th"),"")</f>
        <v/>
      </c>
    </row>
    <row r="532" spans="11:11" x14ac:dyDescent="0.25">
      <c r="K532" s="233" t="str">
        <f>IFERROR(COUNTIF($B$14:B532,B532)&amp;CHOOSE(MIN(4,COUNTIF($B$14:B532,B532)),"st","nd","rd","th"),"")</f>
        <v/>
      </c>
    </row>
    <row r="533" spans="11:11" x14ac:dyDescent="0.25">
      <c r="K533" s="233" t="str">
        <f>IFERROR(COUNTIF($B$14:B533,B533)&amp;CHOOSE(MIN(4,COUNTIF($B$14:B533,B533)),"st","nd","rd","th"),"")</f>
        <v/>
      </c>
    </row>
    <row r="534" spans="11:11" x14ac:dyDescent="0.25">
      <c r="K534" s="233" t="str">
        <f>IFERROR(COUNTIF($B$14:B534,B534)&amp;CHOOSE(MIN(4,COUNTIF($B$14:B534,B534)),"st","nd","rd","th"),"")</f>
        <v/>
      </c>
    </row>
    <row r="535" spans="11:11" x14ac:dyDescent="0.25">
      <c r="K535" s="233" t="str">
        <f>IFERROR(COUNTIF($B$14:B535,B535)&amp;CHOOSE(MIN(4,COUNTIF($B$14:B535,B535)),"st","nd","rd","th"),"")</f>
        <v/>
      </c>
    </row>
    <row r="536" spans="11:11" x14ac:dyDescent="0.25">
      <c r="K536" s="233" t="str">
        <f>IFERROR(COUNTIF($B$14:B536,B536)&amp;CHOOSE(MIN(4,COUNTIF($B$14:B536,B536)),"st","nd","rd","th"),"")</f>
        <v/>
      </c>
    </row>
    <row r="537" spans="11:11" x14ac:dyDescent="0.25">
      <c r="K537" s="233" t="str">
        <f>IFERROR(COUNTIF($B$14:B537,B537)&amp;CHOOSE(MIN(4,COUNTIF($B$14:B537,B537)),"st","nd","rd","th"),"")</f>
        <v/>
      </c>
    </row>
    <row r="538" spans="11:11" x14ac:dyDescent="0.25">
      <c r="K538" s="233" t="str">
        <f>IFERROR(COUNTIF($B$14:B538,B538)&amp;CHOOSE(MIN(4,COUNTIF($B$14:B538,B538)),"st","nd","rd","th"),"")</f>
        <v/>
      </c>
    </row>
    <row r="539" spans="11:11" x14ac:dyDescent="0.25">
      <c r="K539" s="233" t="str">
        <f>IFERROR(COUNTIF($B$14:B539,B539)&amp;CHOOSE(MIN(4,COUNTIF($B$14:B539,B539)),"st","nd","rd","th"),"")</f>
        <v/>
      </c>
    </row>
    <row r="540" spans="11:11" x14ac:dyDescent="0.25">
      <c r="K540" s="233" t="str">
        <f>IFERROR(COUNTIF($B$14:B540,B540)&amp;CHOOSE(MIN(4,COUNTIF($B$14:B540,B540)),"st","nd","rd","th"),"")</f>
        <v/>
      </c>
    </row>
    <row r="541" spans="11:11" x14ac:dyDescent="0.25">
      <c r="K541" s="233" t="str">
        <f>IFERROR(COUNTIF($B$14:B541,B541)&amp;CHOOSE(MIN(4,COUNTIF($B$14:B541,B541)),"st","nd","rd","th"),"")</f>
        <v/>
      </c>
    </row>
    <row r="542" spans="11:11" x14ac:dyDescent="0.25">
      <c r="K542" s="233" t="str">
        <f>IFERROR(COUNTIF($B$14:B542,B542)&amp;CHOOSE(MIN(4,COUNTIF($B$14:B542,B542)),"st","nd","rd","th"),"")</f>
        <v/>
      </c>
    </row>
    <row r="543" spans="11:11" x14ac:dyDescent="0.25">
      <c r="K543" s="233" t="str">
        <f>IFERROR(COUNTIF($B$14:B543,B543)&amp;CHOOSE(MIN(4,COUNTIF($B$14:B543,B543)),"st","nd","rd","th"),"")</f>
        <v/>
      </c>
    </row>
    <row r="544" spans="11:11" x14ac:dyDescent="0.25">
      <c r="K544" s="233" t="str">
        <f>IFERROR(COUNTIF($B$14:B544,B544)&amp;CHOOSE(MIN(4,COUNTIF($B$14:B544,B544)),"st","nd","rd","th"),"")</f>
        <v/>
      </c>
    </row>
    <row r="545" spans="11:11" x14ac:dyDescent="0.25">
      <c r="K545" s="233" t="str">
        <f>IFERROR(COUNTIF($B$14:B545,B545)&amp;CHOOSE(MIN(4,COUNTIF($B$14:B545,B545)),"st","nd","rd","th"),"")</f>
        <v/>
      </c>
    </row>
    <row r="546" spans="11:11" x14ac:dyDescent="0.25">
      <c r="K546" s="233" t="str">
        <f>IFERROR(COUNTIF($B$14:B546,B546)&amp;CHOOSE(MIN(4,COUNTIF($B$14:B546,B546)),"st","nd","rd","th"),"")</f>
        <v/>
      </c>
    </row>
    <row r="547" spans="11:11" x14ac:dyDescent="0.25">
      <c r="K547" s="233" t="str">
        <f>IFERROR(COUNTIF($B$14:B547,B547)&amp;CHOOSE(MIN(4,COUNTIF($B$14:B547,B547)),"st","nd","rd","th"),"")</f>
        <v/>
      </c>
    </row>
    <row r="548" spans="11:11" x14ac:dyDescent="0.25">
      <c r="K548" s="233" t="str">
        <f>IFERROR(COUNTIF($B$14:B548,B548)&amp;CHOOSE(MIN(4,COUNTIF($B$14:B548,B548)),"st","nd","rd","th"),"")</f>
        <v/>
      </c>
    </row>
    <row r="549" spans="11:11" x14ac:dyDescent="0.25">
      <c r="K549" s="233" t="str">
        <f>IFERROR(COUNTIF($B$14:B549,B549)&amp;CHOOSE(MIN(4,COUNTIF($B$14:B549,B549)),"st","nd","rd","th"),"")</f>
        <v/>
      </c>
    </row>
    <row r="550" spans="11:11" x14ac:dyDescent="0.25">
      <c r="K550" s="233" t="str">
        <f>IFERROR(COUNTIF($B$14:B550,B550)&amp;CHOOSE(MIN(4,COUNTIF($B$14:B550,B550)),"st","nd","rd","th"),"")</f>
        <v/>
      </c>
    </row>
    <row r="551" spans="11:11" x14ac:dyDescent="0.25">
      <c r="K551" s="233" t="str">
        <f>IFERROR(COUNTIF($B$14:B551,B551)&amp;CHOOSE(MIN(4,COUNTIF($B$14:B551,B551)),"st","nd","rd","th"),"")</f>
        <v/>
      </c>
    </row>
    <row r="552" spans="11:11" x14ac:dyDescent="0.25">
      <c r="K552" s="233" t="str">
        <f>IFERROR(COUNTIF($B$14:B552,B552)&amp;CHOOSE(MIN(4,COUNTIF($B$14:B552,B552)),"st","nd","rd","th"),"")</f>
        <v/>
      </c>
    </row>
    <row r="553" spans="11:11" x14ac:dyDescent="0.25">
      <c r="K553" s="233" t="str">
        <f>IFERROR(COUNTIF($B$14:B553,B553)&amp;CHOOSE(MIN(4,COUNTIF($B$14:B553,B553)),"st","nd","rd","th"),"")</f>
        <v/>
      </c>
    </row>
    <row r="554" spans="11:11" x14ac:dyDescent="0.25">
      <c r="K554" s="233" t="str">
        <f>IFERROR(COUNTIF($B$14:B554,B554)&amp;CHOOSE(MIN(4,COUNTIF($B$14:B554,B554)),"st","nd","rd","th"),"")</f>
        <v/>
      </c>
    </row>
    <row r="555" spans="11:11" x14ac:dyDescent="0.25">
      <c r="K555" s="233" t="str">
        <f>IFERROR(COUNTIF($B$14:B555,B555)&amp;CHOOSE(MIN(4,COUNTIF($B$14:B555,B555)),"st","nd","rd","th"),"")</f>
        <v/>
      </c>
    </row>
    <row r="556" spans="11:11" x14ac:dyDescent="0.25">
      <c r="K556" s="233" t="str">
        <f>IFERROR(COUNTIF($B$14:B556,B556)&amp;CHOOSE(MIN(4,COUNTIF($B$14:B556,B556)),"st","nd","rd","th"),"")</f>
        <v/>
      </c>
    </row>
    <row r="557" spans="11:11" x14ac:dyDescent="0.25">
      <c r="K557" s="233" t="str">
        <f>IFERROR(COUNTIF($B$14:B557,B557)&amp;CHOOSE(MIN(4,COUNTIF($B$14:B557,B557)),"st","nd","rd","th"),"")</f>
        <v/>
      </c>
    </row>
    <row r="558" spans="11:11" x14ac:dyDescent="0.25">
      <c r="K558" s="233" t="str">
        <f>IFERROR(COUNTIF($B$14:B558,B558)&amp;CHOOSE(MIN(4,COUNTIF($B$14:B558,B558)),"st","nd","rd","th"),"")</f>
        <v/>
      </c>
    </row>
    <row r="559" spans="11:11" x14ac:dyDescent="0.25">
      <c r="K559" s="233" t="str">
        <f>IFERROR(COUNTIF($B$14:B559,B559)&amp;CHOOSE(MIN(4,COUNTIF($B$14:B559,B559)),"st","nd","rd","th"),"")</f>
        <v/>
      </c>
    </row>
    <row r="560" spans="11:11" x14ac:dyDescent="0.25">
      <c r="K560" s="233" t="str">
        <f>IFERROR(COUNTIF($B$14:B560,B560)&amp;CHOOSE(MIN(4,COUNTIF($B$14:B560,B560)),"st","nd","rd","th"),"")</f>
        <v/>
      </c>
    </row>
    <row r="561" spans="11:11" x14ac:dyDescent="0.25">
      <c r="K561" s="233" t="str">
        <f>IFERROR(COUNTIF($B$14:B561,B561)&amp;CHOOSE(MIN(4,COUNTIF($B$14:B561,B561)),"st","nd","rd","th"),"")</f>
        <v/>
      </c>
    </row>
    <row r="562" spans="11:11" x14ac:dyDescent="0.25">
      <c r="K562" s="233" t="str">
        <f>IFERROR(COUNTIF($B$14:B562,B562)&amp;CHOOSE(MIN(4,COUNTIF($B$14:B562,B562)),"st","nd","rd","th"),"")</f>
        <v/>
      </c>
    </row>
    <row r="563" spans="11:11" x14ac:dyDescent="0.25">
      <c r="K563" s="233" t="str">
        <f>IFERROR(COUNTIF($B$14:B563,B563)&amp;CHOOSE(MIN(4,COUNTIF($B$14:B563,B563)),"st","nd","rd","th"),"")</f>
        <v/>
      </c>
    </row>
    <row r="564" spans="11:11" x14ac:dyDescent="0.25">
      <c r="K564" s="233" t="str">
        <f>IFERROR(COUNTIF($B$14:B564,B564)&amp;CHOOSE(MIN(4,COUNTIF($B$14:B564,B564)),"st","nd","rd","th"),"")</f>
        <v/>
      </c>
    </row>
    <row r="565" spans="11:11" x14ac:dyDescent="0.25">
      <c r="K565" s="233" t="str">
        <f>IFERROR(COUNTIF($B$14:B565,B565)&amp;CHOOSE(MIN(4,COUNTIF($B$14:B565,B565)),"st","nd","rd","th"),"")</f>
        <v/>
      </c>
    </row>
    <row r="566" spans="11:11" x14ac:dyDescent="0.25">
      <c r="K566" s="233" t="str">
        <f>IFERROR(COUNTIF($B$14:B566,B566)&amp;CHOOSE(MIN(4,COUNTIF($B$14:B566,B566)),"st","nd","rd","th"),"")</f>
        <v/>
      </c>
    </row>
    <row r="567" spans="11:11" x14ac:dyDescent="0.25">
      <c r="K567" s="233" t="str">
        <f>IFERROR(COUNTIF($B$14:B567,B567)&amp;CHOOSE(MIN(4,COUNTIF($B$14:B567,B567)),"st","nd","rd","th"),"")</f>
        <v/>
      </c>
    </row>
    <row r="568" spans="11:11" x14ac:dyDescent="0.25">
      <c r="K568" s="233" t="str">
        <f>IFERROR(COUNTIF($B$14:B568,B568)&amp;CHOOSE(MIN(4,COUNTIF($B$14:B568,B568)),"st","nd","rd","th"),"")</f>
        <v/>
      </c>
    </row>
    <row r="569" spans="11:11" x14ac:dyDescent="0.25">
      <c r="K569" s="233" t="str">
        <f>IFERROR(COUNTIF($B$14:B569,B569)&amp;CHOOSE(MIN(4,COUNTIF($B$14:B569,B569)),"st","nd","rd","th"),"")</f>
        <v/>
      </c>
    </row>
    <row r="570" spans="11:11" x14ac:dyDescent="0.25">
      <c r="K570" s="233" t="str">
        <f>IFERROR(COUNTIF($B$14:B570,B570)&amp;CHOOSE(MIN(4,COUNTIF($B$14:B570,B570)),"st","nd","rd","th"),"")</f>
        <v/>
      </c>
    </row>
    <row r="571" spans="11:11" x14ac:dyDescent="0.25">
      <c r="K571" s="233" t="str">
        <f>IFERROR(COUNTIF($B$14:B571,B571)&amp;CHOOSE(MIN(4,COUNTIF($B$14:B571,B571)),"st","nd","rd","th"),"")</f>
        <v/>
      </c>
    </row>
    <row r="572" spans="11:11" x14ac:dyDescent="0.25">
      <c r="K572" s="233" t="str">
        <f>IFERROR(COUNTIF($B$14:B572,B572)&amp;CHOOSE(MIN(4,COUNTIF($B$14:B572,B572)),"st","nd","rd","th"),"")</f>
        <v/>
      </c>
    </row>
    <row r="573" spans="11:11" x14ac:dyDescent="0.25">
      <c r="K573" s="233" t="str">
        <f>IFERROR(COUNTIF($B$14:B573,B573)&amp;CHOOSE(MIN(4,COUNTIF($B$14:B573,B573)),"st","nd","rd","th"),"")</f>
        <v/>
      </c>
    </row>
    <row r="574" spans="11:11" x14ac:dyDescent="0.25">
      <c r="K574" s="233" t="str">
        <f>IFERROR(COUNTIF($B$14:B574,B574)&amp;CHOOSE(MIN(4,COUNTIF($B$14:B574,B574)),"st","nd","rd","th"),"")</f>
        <v/>
      </c>
    </row>
    <row r="575" spans="11:11" x14ac:dyDescent="0.25">
      <c r="K575" s="233" t="str">
        <f>IFERROR(COUNTIF($B$14:B575,B575)&amp;CHOOSE(MIN(4,COUNTIF($B$14:B575,B575)),"st","nd","rd","th"),"")</f>
        <v/>
      </c>
    </row>
    <row r="576" spans="11:11" x14ac:dyDescent="0.25">
      <c r="K576" s="233" t="str">
        <f>IFERROR(COUNTIF($B$14:B576,B576)&amp;CHOOSE(MIN(4,COUNTIF($B$14:B576,B576)),"st","nd","rd","th"),"")</f>
        <v/>
      </c>
    </row>
    <row r="577" spans="11:11" x14ac:dyDescent="0.25">
      <c r="K577" s="233" t="str">
        <f>IFERROR(COUNTIF($B$14:B577,B577)&amp;CHOOSE(MIN(4,COUNTIF($B$14:B577,B577)),"st","nd","rd","th"),"")</f>
        <v/>
      </c>
    </row>
    <row r="578" spans="11:11" x14ac:dyDescent="0.25">
      <c r="K578" s="233" t="str">
        <f>IFERROR(COUNTIF($B$14:B578,B578)&amp;CHOOSE(MIN(4,COUNTIF($B$14:B578,B578)),"st","nd","rd","th"),"")</f>
        <v/>
      </c>
    </row>
    <row r="579" spans="11:11" x14ac:dyDescent="0.25">
      <c r="K579" s="233" t="str">
        <f>IFERROR(COUNTIF($B$14:B579,B579)&amp;CHOOSE(MIN(4,COUNTIF($B$14:B579,B579)),"st","nd","rd","th"),"")</f>
        <v/>
      </c>
    </row>
    <row r="580" spans="11:11" x14ac:dyDescent="0.25">
      <c r="K580" s="233" t="str">
        <f>IFERROR(COUNTIF($B$14:B580,B580)&amp;CHOOSE(MIN(4,COUNTIF($B$14:B580,B580)),"st","nd","rd","th"),"")</f>
        <v/>
      </c>
    </row>
    <row r="581" spans="11:11" x14ac:dyDescent="0.25">
      <c r="K581" s="233" t="str">
        <f>IFERROR(COUNTIF($B$14:B581,B581)&amp;CHOOSE(MIN(4,COUNTIF($B$14:B581,B581)),"st","nd","rd","th"),"")</f>
        <v/>
      </c>
    </row>
    <row r="582" spans="11:11" x14ac:dyDescent="0.25">
      <c r="K582" s="233" t="str">
        <f>IFERROR(COUNTIF($B$14:B582,B582)&amp;CHOOSE(MIN(4,COUNTIF($B$14:B582,B582)),"st","nd","rd","th"),"")</f>
        <v/>
      </c>
    </row>
    <row r="583" spans="11:11" x14ac:dyDescent="0.25">
      <c r="K583" s="233" t="str">
        <f>IFERROR(COUNTIF($B$14:B583,B583)&amp;CHOOSE(MIN(4,COUNTIF($B$14:B583,B583)),"st","nd","rd","th"),"")</f>
        <v/>
      </c>
    </row>
    <row r="584" spans="11:11" x14ac:dyDescent="0.25">
      <c r="K584" s="233" t="str">
        <f>IFERROR(COUNTIF($B$14:B584,B584)&amp;CHOOSE(MIN(4,COUNTIF($B$14:B584,B584)),"st","nd","rd","th"),"")</f>
        <v/>
      </c>
    </row>
    <row r="585" spans="11:11" x14ac:dyDescent="0.25">
      <c r="K585" s="233" t="str">
        <f>IFERROR(COUNTIF($B$14:B585,B585)&amp;CHOOSE(MIN(4,COUNTIF($B$14:B585,B585)),"st","nd","rd","th"),"")</f>
        <v/>
      </c>
    </row>
    <row r="586" spans="11:11" x14ac:dyDescent="0.25">
      <c r="K586" s="233" t="str">
        <f>IFERROR(COUNTIF($B$14:B586,B586)&amp;CHOOSE(MIN(4,COUNTIF($B$14:B586,B586)),"st","nd","rd","th"),"")</f>
        <v/>
      </c>
    </row>
    <row r="587" spans="11:11" x14ac:dyDescent="0.25">
      <c r="K587" s="233" t="str">
        <f>IFERROR(COUNTIF($B$14:B587,B587)&amp;CHOOSE(MIN(4,COUNTIF($B$14:B587,B587)),"st","nd","rd","th"),"")</f>
        <v/>
      </c>
    </row>
    <row r="588" spans="11:11" x14ac:dyDescent="0.25">
      <c r="K588" s="233" t="str">
        <f>IFERROR(COUNTIF($B$14:B588,B588)&amp;CHOOSE(MIN(4,COUNTIF($B$14:B588,B588)),"st","nd","rd","th"),"")</f>
        <v/>
      </c>
    </row>
    <row r="589" spans="11:11" x14ac:dyDescent="0.25">
      <c r="K589" s="233" t="str">
        <f>IFERROR(COUNTIF($B$14:B589,B589)&amp;CHOOSE(MIN(4,COUNTIF($B$14:B589,B589)),"st","nd","rd","th"),"")</f>
        <v/>
      </c>
    </row>
    <row r="590" spans="11:11" x14ac:dyDescent="0.25">
      <c r="K590" s="233" t="str">
        <f>IFERROR(COUNTIF($B$14:B590,B590)&amp;CHOOSE(MIN(4,COUNTIF($B$14:B590,B590)),"st","nd","rd","th"),"")</f>
        <v/>
      </c>
    </row>
    <row r="591" spans="11:11" x14ac:dyDescent="0.25">
      <c r="K591" s="233" t="str">
        <f>IFERROR(COUNTIF($B$14:B591,B591)&amp;CHOOSE(MIN(4,COUNTIF($B$14:B591,B591)),"st","nd","rd","th"),"")</f>
        <v/>
      </c>
    </row>
    <row r="592" spans="11:11" x14ac:dyDescent="0.25">
      <c r="K592" s="233" t="str">
        <f>IFERROR(COUNTIF($B$14:B592,B592)&amp;CHOOSE(MIN(4,COUNTIF($B$14:B592,B592)),"st","nd","rd","th"),"")</f>
        <v/>
      </c>
    </row>
    <row r="593" spans="11:11" x14ac:dyDescent="0.25">
      <c r="K593" s="233" t="str">
        <f>IFERROR(COUNTIF($B$14:B593,B593)&amp;CHOOSE(MIN(4,COUNTIF($B$14:B593,B593)),"st","nd","rd","th"),"")</f>
        <v/>
      </c>
    </row>
    <row r="594" spans="11:11" x14ac:dyDescent="0.25">
      <c r="K594" s="233" t="str">
        <f>IFERROR(COUNTIF($B$14:B594,B594)&amp;CHOOSE(MIN(4,COUNTIF($B$14:B594,B594)),"st","nd","rd","th"),"")</f>
        <v/>
      </c>
    </row>
    <row r="595" spans="11:11" x14ac:dyDescent="0.25">
      <c r="K595" s="233" t="str">
        <f>IFERROR(COUNTIF($B$14:B595,B595)&amp;CHOOSE(MIN(4,COUNTIF($B$14:B595,B595)),"st","nd","rd","th"),"")</f>
        <v/>
      </c>
    </row>
    <row r="596" spans="11:11" x14ac:dyDescent="0.25">
      <c r="K596" s="233" t="str">
        <f>IFERROR(COUNTIF($B$14:B596,B596)&amp;CHOOSE(MIN(4,COUNTIF($B$14:B596,B596)),"st","nd","rd","th"),"")</f>
        <v/>
      </c>
    </row>
    <row r="597" spans="11:11" x14ac:dyDescent="0.25">
      <c r="K597" s="233" t="str">
        <f>IFERROR(COUNTIF($B$14:B597,B597)&amp;CHOOSE(MIN(4,COUNTIF($B$14:B597,B597)),"st","nd","rd","th"),"")</f>
        <v/>
      </c>
    </row>
    <row r="598" spans="11:11" x14ac:dyDescent="0.25">
      <c r="K598" s="233" t="str">
        <f>IFERROR(COUNTIF($B$14:B598,B598)&amp;CHOOSE(MIN(4,COUNTIF($B$14:B598,B598)),"st","nd","rd","th"),"")</f>
        <v/>
      </c>
    </row>
    <row r="599" spans="11:11" x14ac:dyDescent="0.25">
      <c r="K599" s="233" t="str">
        <f>IFERROR(COUNTIF($B$14:B599,B599)&amp;CHOOSE(MIN(4,COUNTIF($B$14:B599,B599)),"st","nd","rd","th"),"")</f>
        <v/>
      </c>
    </row>
    <row r="600" spans="11:11" x14ac:dyDescent="0.25">
      <c r="K600" s="233" t="str">
        <f>IFERROR(COUNTIF($B$14:B600,B600)&amp;CHOOSE(MIN(4,COUNTIF($B$14:B600,B600)),"st","nd","rd","th"),"")</f>
        <v/>
      </c>
    </row>
    <row r="601" spans="11:11" x14ac:dyDescent="0.25">
      <c r="K601" s="233" t="str">
        <f>IFERROR(COUNTIF($B$14:B601,B601)&amp;CHOOSE(MIN(4,COUNTIF($B$14:B601,B601)),"st","nd","rd","th"),"")</f>
        <v/>
      </c>
    </row>
    <row r="602" spans="11:11" x14ac:dyDescent="0.25">
      <c r="K602" s="233" t="str">
        <f>IFERROR(COUNTIF($B$14:B602,B602)&amp;CHOOSE(MIN(4,COUNTIF($B$14:B602,B602)),"st","nd","rd","th"),"")</f>
        <v/>
      </c>
    </row>
    <row r="603" spans="11:11" x14ac:dyDescent="0.25">
      <c r="K603" s="233" t="str">
        <f>IFERROR(COUNTIF($B$14:B603,B603)&amp;CHOOSE(MIN(4,COUNTIF($B$14:B603,B603)),"st","nd","rd","th"),"")</f>
        <v/>
      </c>
    </row>
    <row r="604" spans="11:11" x14ac:dyDescent="0.25">
      <c r="K604" s="233" t="str">
        <f>IFERROR(COUNTIF($B$14:B604,B604)&amp;CHOOSE(MIN(4,COUNTIF($B$14:B604,B604)),"st","nd","rd","th"),"")</f>
        <v/>
      </c>
    </row>
    <row r="605" spans="11:11" x14ac:dyDescent="0.25">
      <c r="K605" s="233" t="str">
        <f>IFERROR(COUNTIF($B$14:B605,B605)&amp;CHOOSE(MIN(4,COUNTIF($B$14:B605,B605)),"st","nd","rd","th"),"")</f>
        <v/>
      </c>
    </row>
    <row r="606" spans="11:11" x14ac:dyDescent="0.25">
      <c r="K606" s="233" t="str">
        <f>IFERROR(COUNTIF($B$14:B606,B606)&amp;CHOOSE(MIN(4,COUNTIF($B$14:B606,B606)),"st","nd","rd","th"),"")</f>
        <v/>
      </c>
    </row>
    <row r="607" spans="11:11" x14ac:dyDescent="0.25">
      <c r="K607" s="233" t="str">
        <f>IFERROR(COUNTIF($B$14:B607,B607)&amp;CHOOSE(MIN(4,COUNTIF($B$14:B607,B607)),"st","nd","rd","th"),"")</f>
        <v/>
      </c>
    </row>
    <row r="608" spans="11:11" x14ac:dyDescent="0.25">
      <c r="K608" s="233" t="str">
        <f>IFERROR(COUNTIF($B$14:B608,B608)&amp;CHOOSE(MIN(4,COUNTIF($B$14:B608,B608)),"st","nd","rd","th"),"")</f>
        <v/>
      </c>
    </row>
    <row r="609" spans="11:11" x14ac:dyDescent="0.25">
      <c r="K609" s="233" t="str">
        <f>IFERROR(COUNTIF($B$14:B609,B609)&amp;CHOOSE(MIN(4,COUNTIF($B$14:B609,B609)),"st","nd","rd","th"),"")</f>
        <v/>
      </c>
    </row>
    <row r="610" spans="11:11" x14ac:dyDescent="0.25">
      <c r="K610" s="233" t="str">
        <f>IFERROR(COUNTIF($B$14:B610,B610)&amp;CHOOSE(MIN(4,COUNTIF($B$14:B610,B610)),"st","nd","rd","th"),"")</f>
        <v/>
      </c>
    </row>
    <row r="611" spans="11:11" x14ac:dyDescent="0.25">
      <c r="K611" s="233" t="str">
        <f>IFERROR(COUNTIF($B$14:B611,B611)&amp;CHOOSE(MIN(4,COUNTIF($B$14:B611,B611)),"st","nd","rd","th"),"")</f>
        <v/>
      </c>
    </row>
    <row r="612" spans="11:11" x14ac:dyDescent="0.25">
      <c r="K612" s="233" t="str">
        <f>IFERROR(COUNTIF($B$14:B612,B612)&amp;CHOOSE(MIN(4,COUNTIF($B$14:B612,B612)),"st","nd","rd","th"),"")</f>
        <v/>
      </c>
    </row>
    <row r="613" spans="11:11" x14ac:dyDescent="0.25">
      <c r="K613" s="233" t="str">
        <f>IFERROR(COUNTIF($B$14:B613,B613)&amp;CHOOSE(MIN(4,COUNTIF($B$14:B613,B613)),"st","nd","rd","th"),"")</f>
        <v/>
      </c>
    </row>
    <row r="614" spans="11:11" x14ac:dyDescent="0.25">
      <c r="K614" s="233" t="str">
        <f>IFERROR(COUNTIF($B$14:B614,B614)&amp;CHOOSE(MIN(4,COUNTIF($B$14:B614,B614)),"st","nd","rd","th"),"")</f>
        <v/>
      </c>
    </row>
    <row r="615" spans="11:11" x14ac:dyDescent="0.25">
      <c r="K615" s="233" t="str">
        <f>IFERROR(COUNTIF($B$14:B615,B615)&amp;CHOOSE(MIN(4,COUNTIF($B$14:B615,B615)),"st","nd","rd","th"),"")</f>
        <v/>
      </c>
    </row>
    <row r="616" spans="11:11" x14ac:dyDescent="0.25">
      <c r="K616" s="233" t="str">
        <f>IFERROR(COUNTIF($B$14:B616,B616)&amp;CHOOSE(MIN(4,COUNTIF($B$14:B616,B616)),"st","nd","rd","th"),"")</f>
        <v/>
      </c>
    </row>
    <row r="617" spans="11:11" x14ac:dyDescent="0.25">
      <c r="K617" s="233" t="str">
        <f>IFERROR(COUNTIF($B$14:B617,B617)&amp;CHOOSE(MIN(4,COUNTIF($B$14:B617,B617)),"st","nd","rd","th"),"")</f>
        <v/>
      </c>
    </row>
    <row r="618" spans="11:11" x14ac:dyDescent="0.25">
      <c r="K618" s="233" t="str">
        <f>IFERROR(COUNTIF($B$14:B618,B618)&amp;CHOOSE(MIN(4,COUNTIF($B$14:B618,B618)),"st","nd","rd","th"),"")</f>
        <v/>
      </c>
    </row>
    <row r="619" spans="11:11" x14ac:dyDescent="0.25">
      <c r="K619" s="233" t="str">
        <f>IFERROR(COUNTIF($B$14:B619,B619)&amp;CHOOSE(MIN(4,COUNTIF($B$14:B619,B619)),"st","nd","rd","th"),"")</f>
        <v/>
      </c>
    </row>
    <row r="620" spans="11:11" x14ac:dyDescent="0.25">
      <c r="K620" s="233" t="str">
        <f>IFERROR(COUNTIF($B$14:B620,B620)&amp;CHOOSE(MIN(4,COUNTIF($B$14:B620,B620)),"st","nd","rd","th"),"")</f>
        <v/>
      </c>
    </row>
    <row r="621" spans="11:11" x14ac:dyDescent="0.25">
      <c r="K621" s="233" t="str">
        <f>IFERROR(COUNTIF($B$14:B621,B621)&amp;CHOOSE(MIN(4,COUNTIF($B$14:B621,B621)),"st","nd","rd","th"),"")</f>
        <v/>
      </c>
    </row>
    <row r="622" spans="11:11" x14ac:dyDescent="0.25">
      <c r="K622" s="233" t="str">
        <f>IFERROR(COUNTIF($B$14:B622,B622)&amp;CHOOSE(MIN(4,COUNTIF($B$14:B622,B622)),"st","nd","rd","th"),"")</f>
        <v/>
      </c>
    </row>
    <row r="623" spans="11:11" x14ac:dyDescent="0.25">
      <c r="K623" s="233" t="str">
        <f>IFERROR(COUNTIF($B$14:B623,B623)&amp;CHOOSE(MIN(4,COUNTIF($B$14:B623,B623)),"st","nd","rd","th"),"")</f>
        <v/>
      </c>
    </row>
    <row r="624" spans="11:11" x14ac:dyDescent="0.25">
      <c r="K624" s="233" t="str">
        <f>IFERROR(COUNTIF($B$14:B624,B624)&amp;CHOOSE(MIN(4,COUNTIF($B$14:B624,B624)),"st","nd","rd","th"),"")</f>
        <v/>
      </c>
    </row>
    <row r="625" spans="11:11" x14ac:dyDescent="0.25">
      <c r="K625" s="233" t="str">
        <f>IFERROR(COUNTIF($B$14:B625,B625)&amp;CHOOSE(MIN(4,COUNTIF($B$14:B625,B625)),"st","nd","rd","th"),"")</f>
        <v/>
      </c>
    </row>
    <row r="626" spans="11:11" x14ac:dyDescent="0.25">
      <c r="K626" s="233" t="str">
        <f>IFERROR(COUNTIF($B$14:B626,B626)&amp;CHOOSE(MIN(4,COUNTIF($B$14:B626,B626)),"st","nd","rd","th"),"")</f>
        <v/>
      </c>
    </row>
    <row r="627" spans="11:11" x14ac:dyDescent="0.25">
      <c r="K627" s="233" t="str">
        <f>IFERROR(COUNTIF($B$14:B627,B627)&amp;CHOOSE(MIN(4,COUNTIF($B$14:B627,B627)),"st","nd","rd","th"),"")</f>
        <v/>
      </c>
    </row>
    <row r="628" spans="11:11" x14ac:dyDescent="0.25">
      <c r="K628" s="233" t="str">
        <f>IFERROR(COUNTIF($B$14:B628,B628)&amp;CHOOSE(MIN(4,COUNTIF($B$14:B628,B628)),"st","nd","rd","th"),"")</f>
        <v/>
      </c>
    </row>
    <row r="629" spans="11:11" x14ac:dyDescent="0.25">
      <c r="K629" s="233" t="str">
        <f>IFERROR(COUNTIF($B$14:B629,B629)&amp;CHOOSE(MIN(4,COUNTIF($B$14:B629,B629)),"st","nd","rd","th"),"")</f>
        <v/>
      </c>
    </row>
    <row r="630" spans="11:11" x14ac:dyDescent="0.25">
      <c r="K630" s="233" t="str">
        <f>IFERROR(COUNTIF($B$14:B630,B630)&amp;CHOOSE(MIN(4,COUNTIF($B$14:B630,B630)),"st","nd","rd","th"),"")</f>
        <v/>
      </c>
    </row>
    <row r="631" spans="11:11" x14ac:dyDescent="0.25">
      <c r="K631" s="233" t="str">
        <f>IFERROR(COUNTIF($B$14:B631,B631)&amp;CHOOSE(MIN(4,COUNTIF($B$14:B631,B631)),"st","nd","rd","th"),"")</f>
        <v/>
      </c>
    </row>
    <row r="632" spans="11:11" x14ac:dyDescent="0.25">
      <c r="K632" s="233" t="str">
        <f>IFERROR(COUNTIF($B$14:B632,B632)&amp;CHOOSE(MIN(4,COUNTIF($B$14:B632,B632)),"st","nd","rd","th"),"")</f>
        <v/>
      </c>
    </row>
    <row r="633" spans="11:11" x14ac:dyDescent="0.25">
      <c r="K633" s="233" t="str">
        <f>IFERROR(COUNTIF($B$14:B633,B633)&amp;CHOOSE(MIN(4,COUNTIF($B$14:B633,B633)),"st","nd","rd","th"),"")</f>
        <v/>
      </c>
    </row>
    <row r="634" spans="11:11" x14ac:dyDescent="0.25">
      <c r="K634" s="233" t="str">
        <f>IFERROR(COUNTIF($B$14:B634,B634)&amp;CHOOSE(MIN(4,COUNTIF($B$14:B634,B634)),"st","nd","rd","th"),"")</f>
        <v/>
      </c>
    </row>
    <row r="635" spans="11:11" x14ac:dyDescent="0.25">
      <c r="K635" s="233" t="str">
        <f>IFERROR(COUNTIF($B$14:B635,B635)&amp;CHOOSE(MIN(4,COUNTIF($B$14:B635,B635)),"st","nd","rd","th"),"")</f>
        <v/>
      </c>
    </row>
    <row r="636" spans="11:11" x14ac:dyDescent="0.25">
      <c r="K636" s="233" t="str">
        <f>IFERROR(COUNTIF($B$14:B636,B636)&amp;CHOOSE(MIN(4,COUNTIF($B$14:B636,B636)),"st","nd","rd","th"),"")</f>
        <v/>
      </c>
    </row>
    <row r="637" spans="11:11" x14ac:dyDescent="0.25">
      <c r="K637" s="233" t="str">
        <f>IFERROR(COUNTIF($B$14:B637,B637)&amp;CHOOSE(MIN(4,COUNTIF($B$14:B637,B637)),"st","nd","rd","th"),"")</f>
        <v/>
      </c>
    </row>
    <row r="638" spans="11:11" x14ac:dyDescent="0.25">
      <c r="K638" s="233" t="str">
        <f>IFERROR(COUNTIF($B$14:B638,B638)&amp;CHOOSE(MIN(4,COUNTIF($B$14:B638,B638)),"st","nd","rd","th"),"")</f>
        <v/>
      </c>
    </row>
    <row r="639" spans="11:11" x14ac:dyDescent="0.25">
      <c r="K639" s="233" t="str">
        <f>IFERROR(COUNTIF($B$14:B639,B639)&amp;CHOOSE(MIN(4,COUNTIF($B$14:B639,B639)),"st","nd","rd","th"),"")</f>
        <v/>
      </c>
    </row>
    <row r="640" spans="11:11" x14ac:dyDescent="0.25">
      <c r="K640" s="233" t="str">
        <f>IFERROR(COUNTIF($B$14:B640,B640)&amp;CHOOSE(MIN(4,COUNTIF($B$14:B640,B640)),"st","nd","rd","th"),"")</f>
        <v/>
      </c>
    </row>
    <row r="641" spans="11:11" x14ac:dyDescent="0.25">
      <c r="K641" s="233" t="str">
        <f>IFERROR(COUNTIF($B$14:B641,B641)&amp;CHOOSE(MIN(4,COUNTIF($B$14:B641,B641)),"st","nd","rd","th"),"")</f>
        <v/>
      </c>
    </row>
    <row r="642" spans="11:11" x14ac:dyDescent="0.25">
      <c r="K642" s="233" t="str">
        <f>IFERROR(COUNTIF($B$14:B642,B642)&amp;CHOOSE(MIN(4,COUNTIF($B$14:B642,B642)),"st","nd","rd","th"),"")</f>
        <v/>
      </c>
    </row>
    <row r="643" spans="11:11" x14ac:dyDescent="0.25">
      <c r="K643" s="233" t="str">
        <f>IFERROR(COUNTIF($B$14:B643,B643)&amp;CHOOSE(MIN(4,COUNTIF($B$14:B643,B643)),"st","nd","rd","th"),"")</f>
        <v/>
      </c>
    </row>
    <row r="644" spans="11:11" x14ac:dyDescent="0.25">
      <c r="K644" s="233" t="str">
        <f>IFERROR(COUNTIF($B$14:B644,B644)&amp;CHOOSE(MIN(4,COUNTIF($B$14:B644,B644)),"st","nd","rd","th"),"")</f>
        <v/>
      </c>
    </row>
    <row r="645" spans="11:11" x14ac:dyDescent="0.25">
      <c r="K645" s="233" t="str">
        <f>IFERROR(COUNTIF($B$14:B645,B645)&amp;CHOOSE(MIN(4,COUNTIF($B$14:B645,B645)),"st","nd","rd","th"),"")</f>
        <v/>
      </c>
    </row>
    <row r="646" spans="11:11" x14ac:dyDescent="0.25">
      <c r="K646" s="233" t="str">
        <f>IFERROR(COUNTIF($B$14:B646,B646)&amp;CHOOSE(MIN(4,COUNTIF($B$14:B646,B646)),"st","nd","rd","th"),"")</f>
        <v/>
      </c>
    </row>
    <row r="647" spans="11:11" x14ac:dyDescent="0.25">
      <c r="K647" s="233" t="str">
        <f>IFERROR(COUNTIF($B$14:B647,B647)&amp;CHOOSE(MIN(4,COUNTIF($B$14:B647,B647)),"st","nd","rd","th"),"")</f>
        <v/>
      </c>
    </row>
    <row r="648" spans="11:11" x14ac:dyDescent="0.25">
      <c r="K648" s="233" t="str">
        <f>IFERROR(COUNTIF($B$14:B648,B648)&amp;CHOOSE(MIN(4,COUNTIF($B$14:B648,B648)),"st","nd","rd","th"),"")</f>
        <v/>
      </c>
    </row>
    <row r="649" spans="11:11" x14ac:dyDescent="0.25">
      <c r="K649" s="233" t="str">
        <f>IFERROR(COUNTIF($B$14:B649,B649)&amp;CHOOSE(MIN(4,COUNTIF($B$14:B649,B649)),"st","nd","rd","th"),"")</f>
        <v/>
      </c>
    </row>
    <row r="650" spans="11:11" x14ac:dyDescent="0.25">
      <c r="K650" s="233" t="str">
        <f>IFERROR(COUNTIF($B$14:B650,B650)&amp;CHOOSE(MIN(4,COUNTIF($B$14:B650,B650)),"st","nd","rd","th"),"")</f>
        <v/>
      </c>
    </row>
    <row r="651" spans="11:11" x14ac:dyDescent="0.25">
      <c r="K651" s="233" t="str">
        <f>IFERROR(COUNTIF($B$14:B651,B651)&amp;CHOOSE(MIN(4,COUNTIF($B$14:B651,B651)),"st","nd","rd","th"),"")</f>
        <v/>
      </c>
    </row>
    <row r="652" spans="11:11" x14ac:dyDescent="0.25">
      <c r="K652" s="233" t="str">
        <f>IFERROR(COUNTIF($B$14:B652,B652)&amp;CHOOSE(MIN(4,COUNTIF($B$14:B652,B652)),"st","nd","rd","th"),"")</f>
        <v/>
      </c>
    </row>
    <row r="653" spans="11:11" x14ac:dyDescent="0.25">
      <c r="K653" s="233" t="str">
        <f>IFERROR(COUNTIF($B$14:B653,B653)&amp;CHOOSE(MIN(4,COUNTIF($B$14:B653,B653)),"st","nd","rd","th"),"")</f>
        <v/>
      </c>
    </row>
    <row r="654" spans="11:11" x14ac:dyDescent="0.25">
      <c r="K654" s="233" t="str">
        <f>IFERROR(COUNTIF($B$14:B654,B654)&amp;CHOOSE(MIN(4,COUNTIF($B$14:B654,B654)),"st","nd","rd","th"),"")</f>
        <v/>
      </c>
    </row>
    <row r="655" spans="11:11" x14ac:dyDescent="0.25">
      <c r="K655" s="233" t="str">
        <f>IFERROR(COUNTIF($B$14:B655,B655)&amp;CHOOSE(MIN(4,COUNTIF($B$14:B655,B655)),"st","nd","rd","th"),"")</f>
        <v/>
      </c>
    </row>
    <row r="656" spans="11:11" x14ac:dyDescent="0.25">
      <c r="K656" s="233" t="str">
        <f>IFERROR(COUNTIF($B$14:B656,B656)&amp;CHOOSE(MIN(4,COUNTIF($B$14:B656,B656)),"st","nd","rd","th"),"")</f>
        <v/>
      </c>
    </row>
    <row r="657" spans="11:11" x14ac:dyDescent="0.25">
      <c r="K657" s="233" t="str">
        <f>IFERROR(COUNTIF($B$14:B657,B657)&amp;CHOOSE(MIN(4,COUNTIF($B$14:B657,B657)),"st","nd","rd","th"),"")</f>
        <v/>
      </c>
    </row>
    <row r="658" spans="11:11" x14ac:dyDescent="0.25">
      <c r="K658" s="233" t="str">
        <f>IFERROR(COUNTIF($B$14:B658,B658)&amp;CHOOSE(MIN(4,COUNTIF($B$14:B658,B658)),"st","nd","rd","th"),"")</f>
        <v/>
      </c>
    </row>
    <row r="659" spans="11:11" x14ac:dyDescent="0.25">
      <c r="K659" s="233" t="str">
        <f>IFERROR(COUNTIF($B$14:B659,B659)&amp;CHOOSE(MIN(4,COUNTIF($B$14:B659,B659)),"st","nd","rd","th"),"")</f>
        <v/>
      </c>
    </row>
    <row r="660" spans="11:11" x14ac:dyDescent="0.25">
      <c r="K660" s="233" t="str">
        <f>IFERROR(COUNTIF($B$14:B660,B660)&amp;CHOOSE(MIN(4,COUNTIF($B$14:B660,B660)),"st","nd","rd","th"),"")</f>
        <v/>
      </c>
    </row>
    <row r="661" spans="11:11" x14ac:dyDescent="0.25">
      <c r="K661" s="233" t="str">
        <f>IFERROR(COUNTIF($B$14:B661,B661)&amp;CHOOSE(MIN(4,COUNTIF($B$14:B661,B661)),"st","nd","rd","th"),"")</f>
        <v/>
      </c>
    </row>
    <row r="662" spans="11:11" x14ac:dyDescent="0.25">
      <c r="K662" s="233" t="str">
        <f>IFERROR(COUNTIF($B$14:B662,B662)&amp;CHOOSE(MIN(4,COUNTIF($B$14:B662,B662)),"st","nd","rd","th"),"")</f>
        <v/>
      </c>
    </row>
    <row r="663" spans="11:11" x14ac:dyDescent="0.25">
      <c r="K663" s="233" t="str">
        <f>IFERROR(COUNTIF($B$14:B663,B663)&amp;CHOOSE(MIN(4,COUNTIF($B$14:B663,B663)),"st","nd","rd","th"),"")</f>
        <v/>
      </c>
    </row>
    <row r="664" spans="11:11" x14ac:dyDescent="0.25">
      <c r="K664" s="233" t="str">
        <f>IFERROR(COUNTIF($B$14:B664,B664)&amp;CHOOSE(MIN(4,COUNTIF($B$14:B664,B664)),"st","nd","rd","th"),"")</f>
        <v/>
      </c>
    </row>
    <row r="665" spans="11:11" x14ac:dyDescent="0.25">
      <c r="K665" s="233" t="str">
        <f>IFERROR(COUNTIF($B$14:B665,B665)&amp;CHOOSE(MIN(4,COUNTIF($B$14:B665,B665)),"st","nd","rd","th"),"")</f>
        <v/>
      </c>
    </row>
    <row r="666" spans="11:11" x14ac:dyDescent="0.25">
      <c r="K666" s="233" t="str">
        <f>IFERROR(COUNTIF($B$14:B666,B666)&amp;CHOOSE(MIN(4,COUNTIF($B$14:B666,B666)),"st","nd","rd","th"),"")</f>
        <v/>
      </c>
    </row>
    <row r="667" spans="11:11" x14ac:dyDescent="0.25">
      <c r="K667" s="233" t="str">
        <f>IFERROR(COUNTIF($B$14:B667,B667)&amp;CHOOSE(MIN(4,COUNTIF($B$14:B667,B667)),"st","nd","rd","th"),"")</f>
        <v/>
      </c>
    </row>
    <row r="668" spans="11:11" x14ac:dyDescent="0.25">
      <c r="K668" s="233" t="str">
        <f>IFERROR(COUNTIF($B$14:B668,B668)&amp;CHOOSE(MIN(4,COUNTIF($B$14:B668,B668)),"st","nd","rd","th"),"")</f>
        <v/>
      </c>
    </row>
    <row r="669" spans="11:11" x14ac:dyDescent="0.25">
      <c r="K669" s="233" t="str">
        <f>IFERROR(COUNTIF($B$14:B669,B669)&amp;CHOOSE(MIN(4,COUNTIF($B$14:B669,B669)),"st","nd","rd","th"),"")</f>
        <v/>
      </c>
    </row>
    <row r="670" spans="11:11" x14ac:dyDescent="0.25">
      <c r="K670" s="233" t="str">
        <f>IFERROR(COUNTIF($B$14:B670,B670)&amp;CHOOSE(MIN(4,COUNTIF($B$14:B670,B670)),"st","nd","rd","th"),"")</f>
        <v/>
      </c>
    </row>
    <row r="671" spans="11:11" x14ac:dyDescent="0.25">
      <c r="K671" s="233" t="str">
        <f>IFERROR(COUNTIF($B$14:B671,B671)&amp;CHOOSE(MIN(4,COUNTIF($B$14:B671,B671)),"st","nd","rd","th"),"")</f>
        <v/>
      </c>
    </row>
    <row r="672" spans="11:11" x14ac:dyDescent="0.25">
      <c r="K672" s="233" t="str">
        <f>IFERROR(COUNTIF($B$14:B672,B672)&amp;CHOOSE(MIN(4,COUNTIF($B$14:B672,B672)),"st","nd","rd","th"),"")</f>
        <v/>
      </c>
    </row>
    <row r="673" spans="11:11" x14ac:dyDescent="0.25">
      <c r="K673" s="233" t="str">
        <f>IFERROR(COUNTIF($B$14:B673,B673)&amp;CHOOSE(MIN(4,COUNTIF($B$14:B673,B673)),"st","nd","rd","th"),"")</f>
        <v/>
      </c>
    </row>
    <row r="674" spans="11:11" x14ac:dyDescent="0.25">
      <c r="K674" s="233" t="str">
        <f>IFERROR(COUNTIF($B$14:B674,B674)&amp;CHOOSE(MIN(4,COUNTIF($B$14:B674,B674)),"st","nd","rd","th"),"")</f>
        <v/>
      </c>
    </row>
    <row r="675" spans="11:11" x14ac:dyDescent="0.25">
      <c r="K675" s="233" t="str">
        <f>IFERROR(COUNTIF($B$14:B675,B675)&amp;CHOOSE(MIN(4,COUNTIF($B$14:B675,B675)),"st","nd","rd","th"),"")</f>
        <v/>
      </c>
    </row>
    <row r="676" spans="11:11" x14ac:dyDescent="0.25">
      <c r="K676" s="233" t="str">
        <f>IFERROR(COUNTIF($B$14:B676,B676)&amp;CHOOSE(MIN(4,COUNTIF($B$14:B676,B676)),"st","nd","rd","th"),"")</f>
        <v/>
      </c>
    </row>
    <row r="677" spans="11:11" x14ac:dyDescent="0.25">
      <c r="K677" s="233" t="str">
        <f>IFERROR(COUNTIF($B$14:B677,B677)&amp;CHOOSE(MIN(4,COUNTIF($B$14:B677,B677)),"st","nd","rd","th"),"")</f>
        <v/>
      </c>
    </row>
    <row r="678" spans="11:11" x14ac:dyDescent="0.25">
      <c r="K678" s="233" t="str">
        <f>IFERROR(COUNTIF($B$14:B678,B678)&amp;CHOOSE(MIN(4,COUNTIF($B$14:B678,B678)),"st","nd","rd","th"),"")</f>
        <v/>
      </c>
    </row>
    <row r="679" spans="11:11" x14ac:dyDescent="0.25">
      <c r="K679" s="233" t="str">
        <f>IFERROR(COUNTIF($B$14:B679,B679)&amp;CHOOSE(MIN(4,COUNTIF($B$14:B679,B679)),"st","nd","rd","th"),"")</f>
        <v/>
      </c>
    </row>
    <row r="680" spans="11:11" x14ac:dyDescent="0.25">
      <c r="K680" s="233" t="str">
        <f>IFERROR(COUNTIF($B$14:B680,B680)&amp;CHOOSE(MIN(4,COUNTIF($B$14:B680,B680)),"st","nd","rd","th"),"")</f>
        <v/>
      </c>
    </row>
    <row r="681" spans="11:11" x14ac:dyDescent="0.25">
      <c r="K681" s="233" t="str">
        <f>IFERROR(COUNTIF($B$14:B681,B681)&amp;CHOOSE(MIN(4,COUNTIF($B$14:B681,B681)),"st","nd","rd","th"),"")</f>
        <v/>
      </c>
    </row>
    <row r="682" spans="11:11" x14ac:dyDescent="0.25">
      <c r="K682" s="233" t="str">
        <f>IFERROR(COUNTIF($B$14:B682,B682)&amp;CHOOSE(MIN(4,COUNTIF($B$14:B682,B682)),"st","nd","rd","th"),"")</f>
        <v/>
      </c>
    </row>
    <row r="683" spans="11:11" x14ac:dyDescent="0.25">
      <c r="K683" s="233" t="str">
        <f>IFERROR(COUNTIF($B$14:B683,B683)&amp;CHOOSE(MIN(4,COUNTIF($B$14:B683,B683)),"st","nd","rd","th"),"")</f>
        <v/>
      </c>
    </row>
    <row r="684" spans="11:11" x14ac:dyDescent="0.25">
      <c r="K684" s="233" t="str">
        <f>IFERROR(COUNTIF($B$14:B684,B684)&amp;CHOOSE(MIN(4,COUNTIF($B$14:B684,B684)),"st","nd","rd","th"),"")</f>
        <v/>
      </c>
    </row>
    <row r="685" spans="11:11" x14ac:dyDescent="0.25">
      <c r="K685" s="233" t="str">
        <f>IFERROR(COUNTIF($B$14:B685,B685)&amp;CHOOSE(MIN(4,COUNTIF($B$14:B685,B685)),"st","nd","rd","th"),"")</f>
        <v/>
      </c>
    </row>
    <row r="686" spans="11:11" x14ac:dyDescent="0.25">
      <c r="K686" s="233" t="str">
        <f>IFERROR(COUNTIF($B$14:B686,B686)&amp;CHOOSE(MIN(4,COUNTIF($B$14:B686,B686)),"st","nd","rd","th"),"")</f>
        <v/>
      </c>
    </row>
    <row r="687" spans="11:11" x14ac:dyDescent="0.25">
      <c r="K687" s="233" t="str">
        <f>IFERROR(COUNTIF($B$14:B687,B687)&amp;CHOOSE(MIN(4,COUNTIF($B$14:B687,B687)),"st","nd","rd","th"),"")</f>
        <v/>
      </c>
    </row>
    <row r="688" spans="11:11" x14ac:dyDescent="0.25">
      <c r="K688" s="233" t="str">
        <f>IFERROR(COUNTIF($B$14:B688,B688)&amp;CHOOSE(MIN(4,COUNTIF($B$14:B688,B688)),"st","nd","rd","th"),"")</f>
        <v/>
      </c>
    </row>
    <row r="689" spans="11:11" x14ac:dyDescent="0.25">
      <c r="K689" s="233" t="str">
        <f>IFERROR(COUNTIF($B$14:B689,B689)&amp;CHOOSE(MIN(4,COUNTIF($B$14:B689,B689)),"st","nd","rd","th"),"")</f>
        <v/>
      </c>
    </row>
    <row r="690" spans="11:11" x14ac:dyDescent="0.25">
      <c r="K690" s="233" t="str">
        <f>IFERROR(COUNTIF($B$14:B690,B690)&amp;CHOOSE(MIN(4,COUNTIF($B$14:B690,B690)),"st","nd","rd","th"),"")</f>
        <v/>
      </c>
    </row>
    <row r="691" spans="11:11" x14ac:dyDescent="0.25">
      <c r="K691" s="233" t="str">
        <f>IFERROR(COUNTIF($B$14:B691,B691)&amp;CHOOSE(MIN(4,COUNTIF($B$14:B691,B691)),"st","nd","rd","th"),"")</f>
        <v/>
      </c>
    </row>
    <row r="692" spans="11:11" x14ac:dyDescent="0.25">
      <c r="K692" s="233" t="str">
        <f>IFERROR(COUNTIF($B$14:B692,B692)&amp;CHOOSE(MIN(4,COUNTIF($B$14:B692,B692)),"st","nd","rd","th"),"")</f>
        <v/>
      </c>
    </row>
    <row r="693" spans="11:11" x14ac:dyDescent="0.25">
      <c r="K693" s="233" t="str">
        <f>IFERROR(COUNTIF($B$14:B693,B693)&amp;CHOOSE(MIN(4,COUNTIF($B$14:B693,B693)),"st","nd","rd","th"),"")</f>
        <v/>
      </c>
    </row>
    <row r="694" spans="11:11" x14ac:dyDescent="0.25">
      <c r="K694" s="233" t="str">
        <f>IFERROR(COUNTIF($B$14:B694,B694)&amp;CHOOSE(MIN(4,COUNTIF($B$14:B694,B694)),"st","nd","rd","th"),"")</f>
        <v/>
      </c>
    </row>
    <row r="695" spans="11:11" x14ac:dyDescent="0.25">
      <c r="K695" s="233" t="str">
        <f>IFERROR(COUNTIF($B$14:B695,B695)&amp;CHOOSE(MIN(4,COUNTIF($B$14:B695,B695)),"st","nd","rd","th"),"")</f>
        <v/>
      </c>
    </row>
    <row r="696" spans="11:11" x14ac:dyDescent="0.25">
      <c r="K696" s="233" t="str">
        <f>IFERROR(COUNTIF($B$14:B696,B696)&amp;CHOOSE(MIN(4,COUNTIF($B$14:B696,B696)),"st","nd","rd","th"),"")</f>
        <v/>
      </c>
    </row>
    <row r="697" spans="11:11" x14ac:dyDescent="0.25">
      <c r="K697" s="233" t="str">
        <f>IFERROR(COUNTIF($B$14:B697,B697)&amp;CHOOSE(MIN(4,COUNTIF($B$14:B697,B697)),"st","nd","rd","th"),"")</f>
        <v/>
      </c>
    </row>
    <row r="698" spans="11:11" x14ac:dyDescent="0.25">
      <c r="K698" s="233" t="str">
        <f>IFERROR(COUNTIF($B$14:B698,B698)&amp;CHOOSE(MIN(4,COUNTIF($B$14:B698,B698)),"st","nd","rd","th"),"")</f>
        <v/>
      </c>
    </row>
    <row r="699" spans="11:11" x14ac:dyDescent="0.25">
      <c r="K699" s="233" t="str">
        <f>IFERROR(COUNTIF($B$14:B699,B699)&amp;CHOOSE(MIN(4,COUNTIF($B$14:B699,B699)),"st","nd","rd","th"),"")</f>
        <v/>
      </c>
    </row>
    <row r="700" spans="11:11" x14ac:dyDescent="0.25">
      <c r="K700" s="233" t="str">
        <f>IFERROR(COUNTIF($B$14:B700,B700)&amp;CHOOSE(MIN(4,COUNTIF($B$14:B700,B700)),"st","nd","rd","th"),"")</f>
        <v/>
      </c>
    </row>
    <row r="701" spans="11:11" x14ac:dyDescent="0.25">
      <c r="K701" s="233" t="str">
        <f>IFERROR(COUNTIF($B$14:B701,B701)&amp;CHOOSE(MIN(4,COUNTIF($B$14:B701,B701)),"st","nd","rd","th"),"")</f>
        <v/>
      </c>
    </row>
    <row r="702" spans="11:11" x14ac:dyDescent="0.25">
      <c r="K702" s="233" t="str">
        <f>IFERROR(COUNTIF($B$14:B702,B702)&amp;CHOOSE(MIN(4,COUNTIF($B$14:B702,B702)),"st","nd","rd","th"),"")</f>
        <v/>
      </c>
    </row>
    <row r="703" spans="11:11" x14ac:dyDescent="0.25">
      <c r="K703" s="233" t="str">
        <f>IFERROR(COUNTIF($B$14:B703,B703)&amp;CHOOSE(MIN(4,COUNTIF($B$14:B703,B703)),"st","nd","rd","th"),"")</f>
        <v/>
      </c>
    </row>
    <row r="704" spans="11:11" x14ac:dyDescent="0.25">
      <c r="K704" s="233" t="str">
        <f>IFERROR(COUNTIF($B$14:B704,B704)&amp;CHOOSE(MIN(4,COUNTIF($B$14:B704,B704)),"st","nd","rd","th"),"")</f>
        <v/>
      </c>
    </row>
    <row r="705" spans="11:11" x14ac:dyDescent="0.25">
      <c r="K705" s="233" t="str">
        <f>IFERROR(COUNTIF($B$14:B705,B705)&amp;CHOOSE(MIN(4,COUNTIF($B$14:B705,B705)),"st","nd","rd","th"),"")</f>
        <v/>
      </c>
    </row>
    <row r="706" spans="11:11" x14ac:dyDescent="0.25">
      <c r="K706" s="233" t="str">
        <f>IFERROR(COUNTIF($B$14:B706,B706)&amp;CHOOSE(MIN(4,COUNTIF($B$14:B706,B706)),"st","nd","rd","th"),"")</f>
        <v/>
      </c>
    </row>
    <row r="707" spans="11:11" x14ac:dyDescent="0.25">
      <c r="K707" s="233" t="str">
        <f>IFERROR(COUNTIF($B$14:B707,B707)&amp;CHOOSE(MIN(4,COUNTIF($B$14:B707,B707)),"st","nd","rd","th"),"")</f>
        <v/>
      </c>
    </row>
    <row r="708" spans="11:11" x14ac:dyDescent="0.25">
      <c r="K708" s="233" t="str">
        <f>IFERROR(COUNTIF($B$14:B708,B708)&amp;CHOOSE(MIN(4,COUNTIF($B$14:B708,B708)),"st","nd","rd","th"),"")</f>
        <v/>
      </c>
    </row>
    <row r="709" spans="11:11" x14ac:dyDescent="0.25">
      <c r="K709" s="233" t="str">
        <f>IFERROR(COUNTIF($B$14:B709,B709)&amp;CHOOSE(MIN(4,COUNTIF($B$14:B709,B709)),"st","nd","rd","th"),"")</f>
        <v/>
      </c>
    </row>
    <row r="710" spans="11:11" x14ac:dyDescent="0.25">
      <c r="K710" s="233" t="str">
        <f>IFERROR(COUNTIF($B$14:B710,B710)&amp;CHOOSE(MIN(4,COUNTIF($B$14:B710,B710)),"st","nd","rd","th"),"")</f>
        <v/>
      </c>
    </row>
    <row r="711" spans="11:11" x14ac:dyDescent="0.25">
      <c r="K711" s="233" t="str">
        <f>IFERROR(COUNTIF($B$14:B711,B711)&amp;CHOOSE(MIN(4,COUNTIF($B$14:B711,B711)),"st","nd","rd","th"),"")</f>
        <v/>
      </c>
    </row>
    <row r="712" spans="11:11" x14ac:dyDescent="0.25">
      <c r="K712" s="233" t="str">
        <f>IFERROR(COUNTIF($B$14:B712,B712)&amp;CHOOSE(MIN(4,COUNTIF($B$14:B712,B712)),"st","nd","rd","th"),"")</f>
        <v/>
      </c>
    </row>
    <row r="713" spans="11:11" x14ac:dyDescent="0.25">
      <c r="K713" s="233" t="str">
        <f>IFERROR(COUNTIF($B$14:B713,B713)&amp;CHOOSE(MIN(4,COUNTIF($B$14:B713,B713)),"st","nd","rd","th"),"")</f>
        <v/>
      </c>
    </row>
    <row r="714" spans="11:11" x14ac:dyDescent="0.25">
      <c r="K714" s="233" t="str">
        <f>IFERROR(COUNTIF($B$14:B714,B714)&amp;CHOOSE(MIN(4,COUNTIF($B$14:B714,B714)),"st","nd","rd","th"),"")</f>
        <v/>
      </c>
    </row>
    <row r="715" spans="11:11" x14ac:dyDescent="0.25">
      <c r="K715" s="233" t="str">
        <f>IFERROR(COUNTIF($B$14:B715,B715)&amp;CHOOSE(MIN(4,COUNTIF($B$14:B715,B715)),"st","nd","rd","th"),"")</f>
        <v/>
      </c>
    </row>
    <row r="716" spans="11:11" x14ac:dyDescent="0.25">
      <c r="K716" s="233" t="str">
        <f>IFERROR(COUNTIF($B$14:B716,B716)&amp;CHOOSE(MIN(4,COUNTIF($B$14:B716,B716)),"st","nd","rd","th"),"")</f>
        <v/>
      </c>
    </row>
    <row r="717" spans="11:11" x14ac:dyDescent="0.25">
      <c r="K717" s="233" t="str">
        <f>IFERROR(COUNTIF($B$14:B717,B717)&amp;CHOOSE(MIN(4,COUNTIF($B$14:B717,B717)),"st","nd","rd","th"),"")</f>
        <v/>
      </c>
    </row>
    <row r="718" spans="11:11" x14ac:dyDescent="0.25">
      <c r="K718" s="233" t="str">
        <f>IFERROR(COUNTIF($B$14:B718,B718)&amp;CHOOSE(MIN(4,COUNTIF($B$14:B718,B718)),"st","nd","rd","th"),"")</f>
        <v/>
      </c>
    </row>
    <row r="719" spans="11:11" x14ac:dyDescent="0.25">
      <c r="K719" s="233" t="str">
        <f>IFERROR(COUNTIF($B$14:B719,B719)&amp;CHOOSE(MIN(4,COUNTIF($B$14:B719,B719)),"st","nd","rd","th"),"")</f>
        <v/>
      </c>
    </row>
    <row r="720" spans="11:11" x14ac:dyDescent="0.25">
      <c r="K720" s="233" t="str">
        <f>IFERROR(COUNTIF($B$14:B720,B720)&amp;CHOOSE(MIN(4,COUNTIF($B$14:B720,B720)),"st","nd","rd","th"),"")</f>
        <v/>
      </c>
    </row>
    <row r="721" spans="11:11" x14ac:dyDescent="0.25">
      <c r="K721" s="233" t="str">
        <f>IFERROR(COUNTIF($B$14:B721,B721)&amp;CHOOSE(MIN(4,COUNTIF($B$14:B721,B721)),"st","nd","rd","th"),"")</f>
        <v/>
      </c>
    </row>
    <row r="722" spans="11:11" x14ac:dyDescent="0.25">
      <c r="K722" s="233" t="str">
        <f>IFERROR(COUNTIF($B$14:B722,B722)&amp;CHOOSE(MIN(4,COUNTIF($B$14:B722,B722)),"st","nd","rd","th"),"")</f>
        <v/>
      </c>
    </row>
    <row r="723" spans="11:11" x14ac:dyDescent="0.25">
      <c r="K723" s="233" t="str">
        <f>IFERROR(COUNTIF($B$14:B723,B723)&amp;CHOOSE(MIN(4,COUNTIF($B$14:B723,B723)),"st","nd","rd","th"),"")</f>
        <v/>
      </c>
    </row>
    <row r="724" spans="11:11" x14ac:dyDescent="0.25">
      <c r="K724" s="233" t="str">
        <f>IFERROR(COUNTIF($B$14:B724,B724)&amp;CHOOSE(MIN(4,COUNTIF($B$14:B724,B724)),"st","nd","rd","th"),"")</f>
        <v/>
      </c>
    </row>
    <row r="725" spans="11:11" x14ac:dyDescent="0.25">
      <c r="K725" s="233" t="str">
        <f>IFERROR(COUNTIF($B$14:B725,B725)&amp;CHOOSE(MIN(4,COUNTIF($B$14:B725,B725)),"st","nd","rd","th"),"")</f>
        <v/>
      </c>
    </row>
    <row r="726" spans="11:11" x14ac:dyDescent="0.25">
      <c r="K726" s="233" t="str">
        <f>IFERROR(COUNTIF($B$14:B726,B726)&amp;CHOOSE(MIN(4,COUNTIF($B$14:B726,B726)),"st","nd","rd","th"),"")</f>
        <v/>
      </c>
    </row>
    <row r="727" spans="11:11" x14ac:dyDescent="0.25">
      <c r="K727" s="233" t="str">
        <f>IFERROR(COUNTIF($B$14:B727,B727)&amp;CHOOSE(MIN(4,COUNTIF($B$14:B727,B727)),"st","nd","rd","th"),"")</f>
        <v/>
      </c>
    </row>
    <row r="728" spans="11:11" x14ac:dyDescent="0.25">
      <c r="K728" s="233" t="str">
        <f>IFERROR(COUNTIF($B$14:B728,B728)&amp;CHOOSE(MIN(4,COUNTIF($B$14:B728,B728)),"st","nd","rd","th"),"")</f>
        <v/>
      </c>
    </row>
    <row r="729" spans="11:11" x14ac:dyDescent="0.25">
      <c r="K729" s="233" t="str">
        <f>IFERROR(COUNTIF($B$14:B729,B729)&amp;CHOOSE(MIN(4,COUNTIF($B$14:B729,B729)),"st","nd","rd","th"),"")</f>
        <v/>
      </c>
    </row>
    <row r="730" spans="11:11" x14ac:dyDescent="0.25">
      <c r="K730" s="233" t="str">
        <f>IFERROR(COUNTIF($B$14:B730,B730)&amp;CHOOSE(MIN(4,COUNTIF($B$14:B730,B730)),"st","nd","rd","th"),"")</f>
        <v/>
      </c>
    </row>
    <row r="731" spans="11:11" x14ac:dyDescent="0.25">
      <c r="K731" s="233" t="str">
        <f>IFERROR(COUNTIF($B$14:B731,B731)&amp;CHOOSE(MIN(4,COUNTIF($B$14:B731,B731)),"st","nd","rd","th"),"")</f>
        <v/>
      </c>
    </row>
    <row r="732" spans="11:11" x14ac:dyDescent="0.25">
      <c r="K732" s="233" t="str">
        <f>IFERROR(COUNTIF($B$14:B732,B732)&amp;CHOOSE(MIN(4,COUNTIF($B$14:B732,B732)),"st","nd","rd","th"),"")</f>
        <v/>
      </c>
    </row>
    <row r="733" spans="11:11" x14ac:dyDescent="0.25">
      <c r="K733" s="233" t="str">
        <f>IFERROR(COUNTIF($B$14:B733,B733)&amp;CHOOSE(MIN(4,COUNTIF($B$14:B733,B733)),"st","nd","rd","th"),"")</f>
        <v/>
      </c>
    </row>
    <row r="734" spans="11:11" x14ac:dyDescent="0.25">
      <c r="K734" s="233" t="str">
        <f>IFERROR(COUNTIF($B$14:B734,B734)&amp;CHOOSE(MIN(4,COUNTIF($B$14:B734,B734)),"st","nd","rd","th"),"")</f>
        <v/>
      </c>
    </row>
    <row r="735" spans="11:11" x14ac:dyDescent="0.25">
      <c r="K735" s="233" t="str">
        <f>IFERROR(COUNTIF($B$14:B735,B735)&amp;CHOOSE(MIN(4,COUNTIF($B$14:B735,B735)),"st","nd","rd","th"),"")</f>
        <v/>
      </c>
    </row>
    <row r="736" spans="11:11" x14ac:dyDescent="0.25">
      <c r="K736" s="233" t="str">
        <f>IFERROR(COUNTIF($B$14:B736,B736)&amp;CHOOSE(MIN(4,COUNTIF($B$14:B736,B736)),"st","nd","rd","th"),"")</f>
        <v/>
      </c>
    </row>
    <row r="737" spans="11:11" x14ac:dyDescent="0.25">
      <c r="K737" s="233" t="str">
        <f>IFERROR(COUNTIF($B$14:B737,B737)&amp;CHOOSE(MIN(4,COUNTIF($B$14:B737,B737)),"st","nd","rd","th"),"")</f>
        <v/>
      </c>
    </row>
    <row r="738" spans="11:11" x14ac:dyDescent="0.25">
      <c r="K738" s="233" t="str">
        <f>IFERROR(COUNTIF($B$14:B738,B738)&amp;CHOOSE(MIN(4,COUNTIF($B$14:B738,B738)),"st","nd","rd","th"),"")</f>
        <v/>
      </c>
    </row>
    <row r="739" spans="11:11" x14ac:dyDescent="0.25">
      <c r="K739" s="233" t="str">
        <f>IFERROR(COUNTIF($B$14:B739,B739)&amp;CHOOSE(MIN(4,COUNTIF($B$14:B739,B739)),"st","nd","rd","th"),"")</f>
        <v/>
      </c>
    </row>
    <row r="740" spans="11:11" x14ac:dyDescent="0.25">
      <c r="K740" s="233" t="str">
        <f>IFERROR(COUNTIF($B$14:B740,B740)&amp;CHOOSE(MIN(4,COUNTIF($B$14:B740,B740)),"st","nd","rd","th"),"")</f>
        <v/>
      </c>
    </row>
    <row r="741" spans="11:11" x14ac:dyDescent="0.25">
      <c r="K741" s="233" t="str">
        <f>IFERROR(COUNTIF($B$14:B741,B741)&amp;CHOOSE(MIN(4,COUNTIF($B$14:B741,B741)),"st","nd","rd","th"),"")</f>
        <v/>
      </c>
    </row>
    <row r="742" spans="11:11" x14ac:dyDescent="0.25">
      <c r="K742" s="233" t="str">
        <f>IFERROR(COUNTIF($B$14:B742,B742)&amp;CHOOSE(MIN(4,COUNTIF($B$14:B742,B742)),"st","nd","rd","th"),"")</f>
        <v/>
      </c>
    </row>
    <row r="743" spans="11:11" x14ac:dyDescent="0.25">
      <c r="K743" s="233" t="str">
        <f>IFERROR(COUNTIF($B$14:B743,B743)&amp;CHOOSE(MIN(4,COUNTIF($B$14:B743,B743)),"st","nd","rd","th"),"")</f>
        <v/>
      </c>
    </row>
    <row r="744" spans="11:11" x14ac:dyDescent="0.25">
      <c r="K744" s="233" t="str">
        <f>IFERROR(COUNTIF($B$14:B744,B744)&amp;CHOOSE(MIN(4,COUNTIF($B$14:B744,B744)),"st","nd","rd","th"),"")</f>
        <v/>
      </c>
    </row>
    <row r="745" spans="11:11" x14ac:dyDescent="0.25">
      <c r="K745" s="233" t="str">
        <f>IFERROR(COUNTIF($B$14:B745,B745)&amp;CHOOSE(MIN(4,COUNTIF($B$14:B745,B745)),"st","nd","rd","th"),"")</f>
        <v/>
      </c>
    </row>
    <row r="746" spans="11:11" x14ac:dyDescent="0.25">
      <c r="K746" s="233" t="str">
        <f>IFERROR(COUNTIF($B$14:B746,B746)&amp;CHOOSE(MIN(4,COUNTIF($B$14:B746,B746)),"st","nd","rd","th"),"")</f>
        <v/>
      </c>
    </row>
    <row r="747" spans="11:11" x14ac:dyDescent="0.25">
      <c r="K747" s="233" t="str">
        <f>IFERROR(COUNTIF($B$14:B747,B747)&amp;CHOOSE(MIN(4,COUNTIF($B$14:B747,B747)),"st","nd","rd","th"),"")</f>
        <v/>
      </c>
    </row>
    <row r="748" spans="11:11" x14ac:dyDescent="0.25">
      <c r="K748" s="233" t="str">
        <f>IFERROR(COUNTIF($B$14:B748,B748)&amp;CHOOSE(MIN(4,COUNTIF($B$14:B748,B748)),"st","nd","rd","th"),"")</f>
        <v/>
      </c>
    </row>
    <row r="749" spans="11:11" x14ac:dyDescent="0.25">
      <c r="K749" s="233" t="str">
        <f>IFERROR(COUNTIF($B$14:B749,B749)&amp;CHOOSE(MIN(4,COUNTIF($B$14:B749,B749)),"st","nd","rd","th"),"")</f>
        <v/>
      </c>
    </row>
    <row r="750" spans="11:11" x14ac:dyDescent="0.25">
      <c r="K750" s="233" t="str">
        <f>IFERROR(COUNTIF($B$14:B750,B750)&amp;CHOOSE(MIN(4,COUNTIF($B$14:B750,B750)),"st","nd","rd","th"),"")</f>
        <v/>
      </c>
    </row>
    <row r="751" spans="11:11" x14ac:dyDescent="0.25">
      <c r="K751" s="233" t="str">
        <f>IFERROR(COUNTIF($B$14:B751,B751)&amp;CHOOSE(MIN(4,COUNTIF($B$14:B751,B751)),"st","nd","rd","th"),"")</f>
        <v/>
      </c>
    </row>
    <row r="752" spans="11:11" x14ac:dyDescent="0.25">
      <c r="K752" s="233" t="str">
        <f>IFERROR(COUNTIF($B$14:B752,B752)&amp;CHOOSE(MIN(4,COUNTIF($B$14:B752,B752)),"st","nd","rd","th"),"")</f>
        <v/>
      </c>
    </row>
    <row r="753" spans="11:11" x14ac:dyDescent="0.25">
      <c r="K753" s="233" t="str">
        <f>IFERROR(COUNTIF($B$14:B753,B753)&amp;CHOOSE(MIN(4,COUNTIF($B$14:B753,B753)),"st","nd","rd","th"),"")</f>
        <v/>
      </c>
    </row>
    <row r="754" spans="11:11" x14ac:dyDescent="0.25">
      <c r="K754" s="233" t="str">
        <f>IFERROR(COUNTIF($B$14:B754,B754)&amp;CHOOSE(MIN(4,COUNTIF($B$14:B754,B754)),"st","nd","rd","th"),"")</f>
        <v/>
      </c>
    </row>
    <row r="755" spans="11:11" x14ac:dyDescent="0.25">
      <c r="K755" s="233" t="str">
        <f>IFERROR(COUNTIF($B$14:B755,B755)&amp;CHOOSE(MIN(4,COUNTIF($B$14:B755,B755)),"st","nd","rd","th"),"")</f>
        <v/>
      </c>
    </row>
    <row r="756" spans="11:11" x14ac:dyDescent="0.25">
      <c r="K756" s="233" t="str">
        <f>IFERROR(COUNTIF($B$14:B756,B756)&amp;CHOOSE(MIN(4,COUNTIF($B$14:B756,B756)),"st","nd","rd","th"),"")</f>
        <v/>
      </c>
    </row>
    <row r="757" spans="11:11" x14ac:dyDescent="0.25">
      <c r="K757" s="233" t="str">
        <f>IFERROR(COUNTIF($B$14:B757,B757)&amp;CHOOSE(MIN(4,COUNTIF($B$14:B757,B757)),"st","nd","rd","th"),"")</f>
        <v/>
      </c>
    </row>
    <row r="758" spans="11:11" x14ac:dyDescent="0.25">
      <c r="K758" s="233" t="str">
        <f>IFERROR(COUNTIF($B$14:B758,B758)&amp;CHOOSE(MIN(4,COUNTIF($B$14:B758,B758)),"st","nd","rd","th"),"")</f>
        <v/>
      </c>
    </row>
    <row r="759" spans="11:11" x14ac:dyDescent="0.25">
      <c r="K759" s="233" t="str">
        <f>IFERROR(COUNTIF($B$14:B759,B759)&amp;CHOOSE(MIN(4,COUNTIF($B$14:B759,B759)),"st","nd","rd","th"),"")</f>
        <v/>
      </c>
    </row>
    <row r="760" spans="11:11" x14ac:dyDescent="0.25">
      <c r="K760" s="233" t="str">
        <f>IFERROR(COUNTIF($B$14:B760,B760)&amp;CHOOSE(MIN(4,COUNTIF($B$14:B760,B760)),"st","nd","rd","th"),"")</f>
        <v/>
      </c>
    </row>
    <row r="761" spans="11:11" x14ac:dyDescent="0.25">
      <c r="K761" s="233" t="str">
        <f>IFERROR(COUNTIF($B$14:B761,B761)&amp;CHOOSE(MIN(4,COUNTIF($B$14:B761,B761)),"st","nd","rd","th"),"")</f>
        <v/>
      </c>
    </row>
    <row r="762" spans="11:11" x14ac:dyDescent="0.25">
      <c r="K762" s="233" t="str">
        <f>IFERROR(COUNTIF($B$14:B762,B762)&amp;CHOOSE(MIN(4,COUNTIF($B$14:B762,B762)),"st","nd","rd","th"),"")</f>
        <v/>
      </c>
    </row>
    <row r="763" spans="11:11" x14ac:dyDescent="0.25">
      <c r="K763" s="233" t="str">
        <f>IFERROR(COUNTIF($B$14:B763,B763)&amp;CHOOSE(MIN(4,COUNTIF($B$14:B763,B763)),"st","nd","rd","th"),"")</f>
        <v/>
      </c>
    </row>
    <row r="764" spans="11:11" x14ac:dyDescent="0.25">
      <c r="K764" s="233" t="str">
        <f>IFERROR(COUNTIF($B$14:B764,B764)&amp;CHOOSE(MIN(4,COUNTIF($B$14:B764,B764)),"st","nd","rd","th"),"")</f>
        <v/>
      </c>
    </row>
    <row r="765" spans="11:11" x14ac:dyDescent="0.25">
      <c r="K765" s="233" t="str">
        <f>IFERROR(COUNTIF($B$14:B765,B765)&amp;CHOOSE(MIN(4,COUNTIF($B$14:B765,B765)),"st","nd","rd","th"),"")</f>
        <v/>
      </c>
    </row>
    <row r="766" spans="11:11" x14ac:dyDescent="0.25">
      <c r="K766" s="233" t="str">
        <f>IFERROR(COUNTIF($B$14:B766,B766)&amp;CHOOSE(MIN(4,COUNTIF($B$14:B766,B766)),"st","nd","rd","th"),"")</f>
        <v/>
      </c>
    </row>
    <row r="767" spans="11:11" x14ac:dyDescent="0.25">
      <c r="K767" s="233" t="str">
        <f>IFERROR(COUNTIF($B$14:B767,B767)&amp;CHOOSE(MIN(4,COUNTIF($B$14:B767,B767)),"st","nd","rd","th"),"")</f>
        <v/>
      </c>
    </row>
    <row r="768" spans="11:11" x14ac:dyDescent="0.25">
      <c r="K768" s="233" t="str">
        <f>IFERROR(COUNTIF($B$14:B768,B768)&amp;CHOOSE(MIN(4,COUNTIF($B$14:B768,B768)),"st","nd","rd","th"),"")</f>
        <v/>
      </c>
    </row>
    <row r="769" spans="11:11" x14ac:dyDescent="0.25">
      <c r="K769" s="233" t="str">
        <f>IFERROR(COUNTIF($B$14:B769,B769)&amp;CHOOSE(MIN(4,COUNTIF($B$14:B769,B769)),"st","nd","rd","th"),"")</f>
        <v/>
      </c>
    </row>
    <row r="770" spans="11:11" x14ac:dyDescent="0.25">
      <c r="K770" s="233" t="str">
        <f>IFERROR(COUNTIF($B$14:B770,B770)&amp;CHOOSE(MIN(4,COUNTIF($B$14:B770,B770)),"st","nd","rd","th"),"")</f>
        <v/>
      </c>
    </row>
    <row r="771" spans="11:11" x14ac:dyDescent="0.25">
      <c r="K771" s="233" t="str">
        <f>IFERROR(COUNTIF($B$14:B771,B771)&amp;CHOOSE(MIN(4,COUNTIF($B$14:B771,B771)),"st","nd","rd","th"),"")</f>
        <v/>
      </c>
    </row>
    <row r="772" spans="11:11" x14ac:dyDescent="0.25">
      <c r="K772" s="233" t="str">
        <f>IFERROR(COUNTIF($B$14:B772,B772)&amp;CHOOSE(MIN(4,COUNTIF($B$14:B772,B772)),"st","nd","rd","th"),"")</f>
        <v/>
      </c>
    </row>
    <row r="773" spans="11:11" x14ac:dyDescent="0.25">
      <c r="K773" s="233" t="str">
        <f>IFERROR(COUNTIF($B$14:B773,B773)&amp;CHOOSE(MIN(4,COUNTIF($B$14:B773,B773)),"st","nd","rd","th"),"")</f>
        <v/>
      </c>
    </row>
    <row r="774" spans="11:11" x14ac:dyDescent="0.25">
      <c r="K774" s="233" t="str">
        <f>IFERROR(COUNTIF($B$14:B774,B774)&amp;CHOOSE(MIN(4,COUNTIF($B$14:B774,B774)),"st","nd","rd","th"),"")</f>
        <v/>
      </c>
    </row>
    <row r="775" spans="11:11" x14ac:dyDescent="0.25">
      <c r="K775" s="233" t="str">
        <f>IFERROR(COUNTIF($B$14:B775,B775)&amp;CHOOSE(MIN(4,COUNTIF($B$14:B775,B775)),"st","nd","rd","th"),"")</f>
        <v/>
      </c>
    </row>
    <row r="776" spans="11:11" x14ac:dyDescent="0.25">
      <c r="K776" s="233" t="str">
        <f>IFERROR(COUNTIF($B$14:B776,B776)&amp;CHOOSE(MIN(4,COUNTIF($B$14:B776,B776)),"st","nd","rd","th"),"")</f>
        <v/>
      </c>
    </row>
    <row r="777" spans="11:11" x14ac:dyDescent="0.25">
      <c r="K777" s="233" t="str">
        <f>IFERROR(COUNTIF($B$14:B777,B777)&amp;CHOOSE(MIN(4,COUNTIF($B$14:B777,B777)),"st","nd","rd","th"),"")</f>
        <v/>
      </c>
    </row>
    <row r="778" spans="11:11" x14ac:dyDescent="0.25">
      <c r="K778" s="233" t="str">
        <f>IFERROR(COUNTIF($B$14:B778,B778)&amp;CHOOSE(MIN(4,COUNTIF($B$14:B778,B778)),"st","nd","rd","th"),"")</f>
        <v/>
      </c>
    </row>
    <row r="779" spans="11:11" x14ac:dyDescent="0.25">
      <c r="K779" s="233" t="str">
        <f>IFERROR(COUNTIF($B$14:B779,B779)&amp;CHOOSE(MIN(4,COUNTIF($B$14:B779,B779)),"st","nd","rd","th"),"")</f>
        <v/>
      </c>
    </row>
    <row r="780" spans="11:11" x14ac:dyDescent="0.25">
      <c r="K780" s="233" t="str">
        <f>IFERROR(COUNTIF($B$14:B780,B780)&amp;CHOOSE(MIN(4,COUNTIF($B$14:B780,B780)),"st","nd","rd","th"),"")</f>
        <v/>
      </c>
    </row>
    <row r="781" spans="11:11" x14ac:dyDescent="0.25">
      <c r="K781" s="233" t="str">
        <f>IFERROR(COUNTIF($B$14:B781,B781)&amp;CHOOSE(MIN(4,COUNTIF($B$14:B781,B781)),"st","nd","rd","th"),"")</f>
        <v/>
      </c>
    </row>
    <row r="782" spans="11:11" x14ac:dyDescent="0.25">
      <c r="K782" s="233" t="str">
        <f>IFERROR(COUNTIF($B$14:B782,B782)&amp;CHOOSE(MIN(4,COUNTIF($B$14:B782,B782)),"st","nd","rd","th"),"")</f>
        <v/>
      </c>
    </row>
    <row r="783" spans="11:11" x14ac:dyDescent="0.25">
      <c r="K783" s="233" t="str">
        <f>IFERROR(COUNTIF($B$14:B783,B783)&amp;CHOOSE(MIN(4,COUNTIF($B$14:B783,B783)),"st","nd","rd","th"),"")</f>
        <v/>
      </c>
    </row>
    <row r="784" spans="11:11" x14ac:dyDescent="0.25">
      <c r="K784" s="233" t="str">
        <f>IFERROR(COUNTIF($B$14:B784,B784)&amp;CHOOSE(MIN(4,COUNTIF($B$14:B784,B784)),"st","nd","rd","th"),"")</f>
        <v/>
      </c>
    </row>
    <row r="785" spans="11:11" x14ac:dyDescent="0.25">
      <c r="K785" s="233" t="str">
        <f>IFERROR(COUNTIF($B$14:B785,B785)&amp;CHOOSE(MIN(4,COUNTIF($B$14:B785,B785)),"st","nd","rd","th"),"")</f>
        <v/>
      </c>
    </row>
    <row r="786" spans="11:11" x14ac:dyDescent="0.25">
      <c r="K786" s="233" t="str">
        <f>IFERROR(COUNTIF($B$14:B786,B786)&amp;CHOOSE(MIN(4,COUNTIF($B$14:B786,B786)),"st","nd","rd","th"),"")</f>
        <v/>
      </c>
    </row>
    <row r="787" spans="11:11" x14ac:dyDescent="0.25">
      <c r="K787" s="233" t="str">
        <f>IFERROR(COUNTIF($B$14:B787,B787)&amp;CHOOSE(MIN(4,COUNTIF($B$14:B787,B787)),"st","nd","rd","th"),"")</f>
        <v/>
      </c>
    </row>
    <row r="788" spans="11:11" x14ac:dyDescent="0.25">
      <c r="K788" s="233" t="str">
        <f>IFERROR(COUNTIF($B$14:B788,B788)&amp;CHOOSE(MIN(4,COUNTIF($B$14:B788,B788)),"st","nd","rd","th"),"")</f>
        <v/>
      </c>
    </row>
    <row r="789" spans="11:11" x14ac:dyDescent="0.25">
      <c r="K789" s="233" t="str">
        <f>IFERROR(COUNTIF($B$14:B789,B789)&amp;CHOOSE(MIN(4,COUNTIF($B$14:B789,B789)),"st","nd","rd","th"),"")</f>
        <v/>
      </c>
    </row>
    <row r="790" spans="11:11" x14ac:dyDescent="0.25">
      <c r="K790" s="233" t="str">
        <f>IFERROR(COUNTIF($B$14:B790,B790)&amp;CHOOSE(MIN(4,COUNTIF($B$14:B790,B790)),"st","nd","rd","th"),"")</f>
        <v/>
      </c>
    </row>
    <row r="791" spans="11:11" x14ac:dyDescent="0.25">
      <c r="K791" s="233" t="str">
        <f>IFERROR(COUNTIF($B$14:B791,B791)&amp;CHOOSE(MIN(4,COUNTIF($B$14:B791,B791)),"st","nd","rd","th"),"")</f>
        <v/>
      </c>
    </row>
    <row r="792" spans="11:11" x14ac:dyDescent="0.25">
      <c r="K792" s="233" t="str">
        <f>IFERROR(COUNTIF($B$14:B792,B792)&amp;CHOOSE(MIN(4,COUNTIF($B$14:B792,B792)),"st","nd","rd","th"),"")</f>
        <v/>
      </c>
    </row>
    <row r="793" spans="11:11" x14ac:dyDescent="0.25">
      <c r="K793" s="233" t="str">
        <f>IFERROR(COUNTIF($B$14:B793,B793)&amp;CHOOSE(MIN(4,COUNTIF($B$14:B793,B793)),"st","nd","rd","th"),"")</f>
        <v/>
      </c>
    </row>
    <row r="794" spans="11:11" x14ac:dyDescent="0.25">
      <c r="K794" s="233" t="str">
        <f>IFERROR(COUNTIF($B$14:B794,B794)&amp;CHOOSE(MIN(4,COUNTIF($B$14:B794,B794)),"st","nd","rd","th"),"")</f>
        <v/>
      </c>
    </row>
    <row r="795" spans="11:11" x14ac:dyDescent="0.25">
      <c r="K795" s="233" t="str">
        <f>IFERROR(COUNTIF($B$14:B795,B795)&amp;CHOOSE(MIN(4,COUNTIF($B$14:B795,B795)),"st","nd","rd","th"),"")</f>
        <v/>
      </c>
    </row>
    <row r="796" spans="11:11" x14ac:dyDescent="0.25">
      <c r="K796" s="233" t="str">
        <f>IFERROR(COUNTIF($B$14:B796,B796)&amp;CHOOSE(MIN(4,COUNTIF($B$14:B796,B796)),"st","nd","rd","th"),"")</f>
        <v/>
      </c>
    </row>
    <row r="797" spans="11:11" x14ac:dyDescent="0.25">
      <c r="K797" s="233" t="str">
        <f>IFERROR(COUNTIF($B$14:B797,B797)&amp;CHOOSE(MIN(4,COUNTIF($B$14:B797,B797)),"st","nd","rd","th"),"")</f>
        <v/>
      </c>
    </row>
    <row r="798" spans="11:11" x14ac:dyDescent="0.25">
      <c r="K798" s="233" t="str">
        <f>IFERROR(COUNTIF($B$14:B798,B798)&amp;CHOOSE(MIN(4,COUNTIF($B$14:B798,B798)),"st","nd","rd","th"),"")</f>
        <v/>
      </c>
    </row>
    <row r="799" spans="11:11" x14ac:dyDescent="0.25">
      <c r="K799" s="233" t="str">
        <f>IFERROR(COUNTIF($B$14:B799,B799)&amp;CHOOSE(MIN(4,COUNTIF($B$14:B799,B799)),"st","nd","rd","th"),"")</f>
        <v/>
      </c>
    </row>
    <row r="800" spans="11:11" x14ac:dyDescent="0.25">
      <c r="K800" s="233" t="str">
        <f>IFERROR(COUNTIF($B$14:B800,B800)&amp;CHOOSE(MIN(4,COUNTIF($B$14:B800,B800)),"st","nd","rd","th"),"")</f>
        <v/>
      </c>
    </row>
    <row r="801" spans="11:11" x14ac:dyDescent="0.25">
      <c r="K801" s="233" t="str">
        <f>IFERROR(COUNTIF($B$14:B801,B801)&amp;CHOOSE(MIN(4,COUNTIF($B$14:B801,B801)),"st","nd","rd","th"),"")</f>
        <v/>
      </c>
    </row>
    <row r="802" spans="11:11" x14ac:dyDescent="0.25">
      <c r="K802" s="233" t="str">
        <f>IFERROR(COUNTIF($B$14:B802,B802)&amp;CHOOSE(MIN(4,COUNTIF($B$14:B802,B802)),"st","nd","rd","th"),"")</f>
        <v/>
      </c>
    </row>
    <row r="803" spans="11:11" x14ac:dyDescent="0.25">
      <c r="K803" s="233" t="str">
        <f>IFERROR(COUNTIF($B$14:B803,B803)&amp;CHOOSE(MIN(4,COUNTIF($B$14:B803,B803)),"st","nd","rd","th"),"")</f>
        <v/>
      </c>
    </row>
    <row r="804" spans="11:11" x14ac:dyDescent="0.25">
      <c r="K804" s="233" t="str">
        <f>IFERROR(COUNTIF($B$14:B804,B804)&amp;CHOOSE(MIN(4,COUNTIF($B$14:B804,B804)),"st","nd","rd","th"),"")</f>
        <v/>
      </c>
    </row>
    <row r="805" spans="11:11" x14ac:dyDescent="0.25">
      <c r="K805" s="233" t="str">
        <f>IFERROR(COUNTIF($B$14:B805,B805)&amp;CHOOSE(MIN(4,COUNTIF($B$14:B805,B805)),"st","nd","rd","th"),"")</f>
        <v/>
      </c>
    </row>
    <row r="806" spans="11:11" x14ac:dyDescent="0.25">
      <c r="K806" s="233" t="str">
        <f>IFERROR(COUNTIF($B$14:B806,B806)&amp;CHOOSE(MIN(4,COUNTIF($B$14:B806,B806)),"st","nd","rd","th"),"")</f>
        <v/>
      </c>
    </row>
    <row r="807" spans="11:11" x14ac:dyDescent="0.25">
      <c r="K807" s="233" t="str">
        <f>IFERROR(COUNTIF($B$14:B807,B807)&amp;CHOOSE(MIN(4,COUNTIF($B$14:B807,B807)),"st","nd","rd","th"),"")</f>
        <v/>
      </c>
    </row>
    <row r="808" spans="11:11" x14ac:dyDescent="0.25">
      <c r="K808" s="233" t="str">
        <f>IFERROR(COUNTIF($B$14:B808,B808)&amp;CHOOSE(MIN(4,COUNTIF($B$14:B808,B808)),"st","nd","rd","th"),"")</f>
        <v/>
      </c>
    </row>
    <row r="809" spans="11:11" x14ac:dyDescent="0.25">
      <c r="K809" s="233" t="str">
        <f>IFERROR(COUNTIF($B$14:B809,B809)&amp;CHOOSE(MIN(4,COUNTIF($B$14:B809,B809)),"st","nd","rd","th"),"")</f>
        <v/>
      </c>
    </row>
    <row r="810" spans="11:11" x14ac:dyDescent="0.25">
      <c r="K810" s="233" t="str">
        <f>IFERROR(COUNTIF($B$14:B810,B810)&amp;CHOOSE(MIN(4,COUNTIF($B$14:B810,B810)),"st","nd","rd","th"),"")</f>
        <v/>
      </c>
    </row>
    <row r="811" spans="11:11" x14ac:dyDescent="0.25">
      <c r="K811" s="233" t="str">
        <f>IFERROR(COUNTIF($B$14:B811,B811)&amp;CHOOSE(MIN(4,COUNTIF($B$14:B811,B811)),"st","nd","rd","th"),"")</f>
        <v/>
      </c>
    </row>
    <row r="812" spans="11:11" x14ac:dyDescent="0.25">
      <c r="K812" s="233" t="str">
        <f>IFERROR(COUNTIF($B$14:B812,B812)&amp;CHOOSE(MIN(4,COUNTIF($B$14:B812,B812)),"st","nd","rd","th"),"")</f>
        <v/>
      </c>
    </row>
    <row r="813" spans="11:11" x14ac:dyDescent="0.25">
      <c r="K813" s="233" t="str">
        <f>IFERROR(COUNTIF($B$14:B813,B813)&amp;CHOOSE(MIN(4,COUNTIF($B$14:B813,B813)),"st","nd","rd","th"),"")</f>
        <v/>
      </c>
    </row>
    <row r="814" spans="11:11" x14ac:dyDescent="0.25">
      <c r="K814" s="233" t="str">
        <f>IFERROR(COUNTIF($B$14:B814,B814)&amp;CHOOSE(MIN(4,COUNTIF($B$14:B814,B814)),"st","nd","rd","th"),"")</f>
        <v/>
      </c>
    </row>
    <row r="815" spans="11:11" x14ac:dyDescent="0.25">
      <c r="K815" s="233" t="str">
        <f>IFERROR(COUNTIF($B$14:B815,B815)&amp;CHOOSE(MIN(4,COUNTIF($B$14:B815,B815)),"st","nd","rd","th"),"")</f>
        <v/>
      </c>
    </row>
    <row r="816" spans="11:11" x14ac:dyDescent="0.25">
      <c r="K816" s="233" t="str">
        <f>IFERROR(COUNTIF($B$14:B816,B816)&amp;CHOOSE(MIN(4,COUNTIF($B$14:B816,B816)),"st","nd","rd","th"),"")</f>
        <v/>
      </c>
    </row>
    <row r="817" spans="11:11" x14ac:dyDescent="0.25">
      <c r="K817" s="233" t="str">
        <f>IFERROR(COUNTIF($B$14:B817,B817)&amp;CHOOSE(MIN(4,COUNTIF($B$14:B817,B817)),"st","nd","rd","th"),"")</f>
        <v/>
      </c>
    </row>
    <row r="818" spans="11:11" x14ac:dyDescent="0.25">
      <c r="K818" s="233" t="str">
        <f>IFERROR(COUNTIF($B$14:B818,B818)&amp;CHOOSE(MIN(4,COUNTIF($B$14:B818,B818)),"st","nd","rd","th"),"")</f>
        <v/>
      </c>
    </row>
    <row r="819" spans="11:11" x14ac:dyDescent="0.25">
      <c r="K819" s="233" t="str">
        <f>IFERROR(COUNTIF($B$14:B819,B819)&amp;CHOOSE(MIN(4,COUNTIF($B$14:B819,B819)),"st","nd","rd","th"),"")</f>
        <v/>
      </c>
    </row>
    <row r="820" spans="11:11" x14ac:dyDescent="0.25">
      <c r="K820" s="233" t="str">
        <f>IFERROR(COUNTIF($B$14:B820,B820)&amp;CHOOSE(MIN(4,COUNTIF($B$14:B820,B820)),"st","nd","rd","th"),"")</f>
        <v/>
      </c>
    </row>
    <row r="821" spans="11:11" x14ac:dyDescent="0.25">
      <c r="K821" s="233" t="str">
        <f>IFERROR(COUNTIF($B$14:B821,B821)&amp;CHOOSE(MIN(4,COUNTIF($B$14:B821,B821)),"st","nd","rd","th"),"")</f>
        <v/>
      </c>
    </row>
    <row r="822" spans="11:11" x14ac:dyDescent="0.25">
      <c r="K822" s="233" t="str">
        <f>IFERROR(COUNTIF($B$14:B822,B822)&amp;CHOOSE(MIN(4,COUNTIF($B$14:B822,B822)),"st","nd","rd","th"),"")</f>
        <v/>
      </c>
    </row>
    <row r="823" spans="11:11" x14ac:dyDescent="0.25">
      <c r="K823" s="233" t="str">
        <f>IFERROR(COUNTIF($B$14:B823,B823)&amp;CHOOSE(MIN(4,COUNTIF($B$14:B823,B823)),"st","nd","rd","th"),"")</f>
        <v/>
      </c>
    </row>
    <row r="824" spans="11:11" x14ac:dyDescent="0.25">
      <c r="K824" s="233" t="str">
        <f>IFERROR(COUNTIF($B$14:B824,B824)&amp;CHOOSE(MIN(4,COUNTIF($B$14:B824,B824)),"st","nd","rd","th"),"")</f>
        <v/>
      </c>
    </row>
    <row r="825" spans="11:11" x14ac:dyDescent="0.25">
      <c r="K825" s="233" t="str">
        <f>IFERROR(COUNTIF($B$14:B825,B825)&amp;CHOOSE(MIN(4,COUNTIF($B$14:B825,B825)),"st","nd","rd","th"),"")</f>
        <v/>
      </c>
    </row>
    <row r="826" spans="11:11" x14ac:dyDescent="0.25">
      <c r="K826" s="233" t="str">
        <f>IFERROR(COUNTIF($B$14:B826,B826)&amp;CHOOSE(MIN(4,COUNTIF($B$14:B826,B826)),"st","nd","rd","th"),"")</f>
        <v/>
      </c>
    </row>
    <row r="827" spans="11:11" x14ac:dyDescent="0.25">
      <c r="K827" s="233" t="str">
        <f>IFERROR(COUNTIF($B$14:B827,B827)&amp;CHOOSE(MIN(4,COUNTIF($B$14:B827,B827)),"st","nd","rd","th"),"")</f>
        <v/>
      </c>
    </row>
    <row r="828" spans="11:11" x14ac:dyDescent="0.25">
      <c r="K828" s="233" t="str">
        <f>IFERROR(COUNTIF($B$14:B828,B828)&amp;CHOOSE(MIN(4,COUNTIF($B$14:B828,B828)),"st","nd","rd","th"),"")</f>
        <v/>
      </c>
    </row>
    <row r="829" spans="11:11" x14ac:dyDescent="0.25">
      <c r="K829" s="233" t="str">
        <f>IFERROR(COUNTIF($B$14:B829,B829)&amp;CHOOSE(MIN(4,COUNTIF($B$14:B829,B829)),"st","nd","rd","th"),"")</f>
        <v/>
      </c>
    </row>
    <row r="830" spans="11:11" x14ac:dyDescent="0.25">
      <c r="K830" s="233" t="str">
        <f>IFERROR(COUNTIF($B$14:B830,B830)&amp;CHOOSE(MIN(4,COUNTIF($B$14:B830,B830)),"st","nd","rd","th"),"")</f>
        <v/>
      </c>
    </row>
    <row r="831" spans="11:11" x14ac:dyDescent="0.25">
      <c r="K831" s="233" t="str">
        <f>IFERROR(COUNTIF($B$14:B831,B831)&amp;CHOOSE(MIN(4,COUNTIF($B$14:B831,B831)),"st","nd","rd","th"),"")</f>
        <v/>
      </c>
    </row>
    <row r="832" spans="11:11" x14ac:dyDescent="0.25">
      <c r="K832" s="233" t="str">
        <f>IFERROR(COUNTIF($B$14:B832,B832)&amp;CHOOSE(MIN(4,COUNTIF($B$14:B832,B832)),"st","nd","rd","th"),"")</f>
        <v/>
      </c>
    </row>
    <row r="833" spans="11:11" x14ac:dyDescent="0.25">
      <c r="K833" s="233" t="str">
        <f>IFERROR(COUNTIF($B$14:B833,B833)&amp;CHOOSE(MIN(4,COUNTIF($B$14:B833,B833)),"st","nd","rd","th"),"")</f>
        <v/>
      </c>
    </row>
    <row r="834" spans="11:11" x14ac:dyDescent="0.25">
      <c r="K834" s="233" t="str">
        <f>IFERROR(COUNTIF($B$14:B834,B834)&amp;CHOOSE(MIN(4,COUNTIF($B$14:B834,B834)),"st","nd","rd","th"),"")</f>
        <v/>
      </c>
    </row>
    <row r="835" spans="11:11" x14ac:dyDescent="0.25">
      <c r="K835" s="233" t="str">
        <f>IFERROR(COUNTIF($B$14:B835,B835)&amp;CHOOSE(MIN(4,COUNTIF($B$14:B835,B835)),"st","nd","rd","th"),"")</f>
        <v/>
      </c>
    </row>
    <row r="836" spans="11:11" x14ac:dyDescent="0.25">
      <c r="K836" s="233" t="str">
        <f>IFERROR(COUNTIF($B$14:B836,B836)&amp;CHOOSE(MIN(4,COUNTIF($B$14:B836,B836)),"st","nd","rd","th"),"")</f>
        <v/>
      </c>
    </row>
    <row r="837" spans="11:11" x14ac:dyDescent="0.25">
      <c r="K837" s="233" t="str">
        <f>IFERROR(COUNTIF($B$14:B837,B837)&amp;CHOOSE(MIN(4,COUNTIF($B$14:B837,B837)),"st","nd","rd","th"),"")</f>
        <v/>
      </c>
    </row>
    <row r="838" spans="11:11" x14ac:dyDescent="0.25">
      <c r="K838" s="233" t="str">
        <f>IFERROR(COUNTIF($B$14:B838,B838)&amp;CHOOSE(MIN(4,COUNTIF($B$14:B838,B838)),"st","nd","rd","th"),"")</f>
        <v/>
      </c>
    </row>
    <row r="839" spans="11:11" x14ac:dyDescent="0.25">
      <c r="K839" s="233" t="str">
        <f>IFERROR(COUNTIF($B$14:B839,B839)&amp;CHOOSE(MIN(4,COUNTIF($B$14:B839,B839)),"st","nd","rd","th"),"")</f>
        <v/>
      </c>
    </row>
    <row r="840" spans="11:11" x14ac:dyDescent="0.25">
      <c r="K840" s="233" t="str">
        <f>IFERROR(COUNTIF($B$14:B840,B840)&amp;CHOOSE(MIN(4,COUNTIF($B$14:B840,B840)),"st","nd","rd","th"),"")</f>
        <v/>
      </c>
    </row>
    <row r="841" spans="11:11" x14ac:dyDescent="0.25">
      <c r="K841" s="233" t="str">
        <f>IFERROR(COUNTIF($B$14:B841,B841)&amp;CHOOSE(MIN(4,COUNTIF($B$14:B841,B841)),"st","nd","rd","th"),"")</f>
        <v/>
      </c>
    </row>
    <row r="842" spans="11:11" x14ac:dyDescent="0.25">
      <c r="K842" s="233" t="str">
        <f>IFERROR(COUNTIF($B$14:B842,B842)&amp;CHOOSE(MIN(4,COUNTIF($B$14:B842,B842)),"st","nd","rd","th"),"")</f>
        <v/>
      </c>
    </row>
    <row r="843" spans="11:11" x14ac:dyDescent="0.25">
      <c r="K843" s="233" t="str">
        <f>IFERROR(COUNTIF($B$14:B843,B843)&amp;CHOOSE(MIN(4,COUNTIF($B$14:B843,B843)),"st","nd","rd","th"),"")</f>
        <v/>
      </c>
    </row>
    <row r="844" spans="11:11" x14ac:dyDescent="0.25">
      <c r="K844" s="233" t="str">
        <f>IFERROR(COUNTIF($B$14:B844,B844)&amp;CHOOSE(MIN(4,COUNTIF($B$14:B844,B844)),"st","nd","rd","th"),"")</f>
        <v/>
      </c>
    </row>
    <row r="845" spans="11:11" x14ac:dyDescent="0.25">
      <c r="K845" s="233" t="str">
        <f>IFERROR(COUNTIF($B$14:B845,B845)&amp;CHOOSE(MIN(4,COUNTIF($B$14:B845,B845)),"st","nd","rd","th"),"")</f>
        <v/>
      </c>
    </row>
    <row r="846" spans="11:11" x14ac:dyDescent="0.25">
      <c r="K846" s="233" t="str">
        <f>IFERROR(COUNTIF($B$14:B846,B846)&amp;CHOOSE(MIN(4,COUNTIF($B$14:B846,B846)),"st","nd","rd","th"),"")</f>
        <v/>
      </c>
    </row>
    <row r="847" spans="11:11" x14ac:dyDescent="0.25">
      <c r="K847" s="233" t="str">
        <f>IFERROR(COUNTIF($B$14:B847,B847)&amp;CHOOSE(MIN(4,COUNTIF($B$14:B847,B847)),"st","nd","rd","th"),"")</f>
        <v/>
      </c>
    </row>
    <row r="848" spans="11:11" x14ac:dyDescent="0.25">
      <c r="K848" s="233" t="str">
        <f>IFERROR(COUNTIF($B$14:B848,B848)&amp;CHOOSE(MIN(4,COUNTIF($B$14:B848,B848)),"st","nd","rd","th"),"")</f>
        <v/>
      </c>
    </row>
    <row r="849" spans="11:11" x14ac:dyDescent="0.25">
      <c r="K849" s="233" t="str">
        <f>IFERROR(COUNTIF($B$14:B849,B849)&amp;CHOOSE(MIN(4,COUNTIF($B$14:B849,B849)),"st","nd","rd","th"),"")</f>
        <v/>
      </c>
    </row>
    <row r="850" spans="11:11" x14ac:dyDescent="0.25">
      <c r="K850" s="233" t="str">
        <f>IFERROR(COUNTIF($B$14:B850,B850)&amp;CHOOSE(MIN(4,COUNTIF($B$14:B850,B850)),"st","nd","rd","th"),"")</f>
        <v/>
      </c>
    </row>
    <row r="851" spans="11:11" x14ac:dyDescent="0.25">
      <c r="K851" s="233" t="str">
        <f>IFERROR(COUNTIF($B$14:B851,B851)&amp;CHOOSE(MIN(4,COUNTIF($B$14:B851,B851)),"st","nd","rd","th"),"")</f>
        <v/>
      </c>
    </row>
    <row r="852" spans="11:11" x14ac:dyDescent="0.25">
      <c r="K852" s="233" t="str">
        <f>IFERROR(COUNTIF($B$14:B852,B852)&amp;CHOOSE(MIN(4,COUNTIF($B$14:B852,B852)),"st","nd","rd","th"),"")</f>
        <v/>
      </c>
    </row>
    <row r="853" spans="11:11" x14ac:dyDescent="0.25">
      <c r="K853" s="233" t="str">
        <f>IFERROR(COUNTIF($B$14:B853,B853)&amp;CHOOSE(MIN(4,COUNTIF($B$14:B853,B853)),"st","nd","rd","th"),"")</f>
        <v/>
      </c>
    </row>
    <row r="854" spans="11:11" x14ac:dyDescent="0.25">
      <c r="K854" s="233" t="str">
        <f>IFERROR(COUNTIF($B$14:B854,B854)&amp;CHOOSE(MIN(4,COUNTIF($B$14:B854,B854)),"st","nd","rd","th"),"")</f>
        <v/>
      </c>
    </row>
    <row r="855" spans="11:11" x14ac:dyDescent="0.25">
      <c r="K855" s="233" t="str">
        <f>IFERROR(COUNTIF($B$14:B855,B855)&amp;CHOOSE(MIN(4,COUNTIF($B$14:B855,B855)),"st","nd","rd","th"),"")</f>
        <v/>
      </c>
    </row>
    <row r="856" spans="11:11" x14ac:dyDescent="0.25">
      <c r="K856" s="233" t="str">
        <f>IFERROR(COUNTIF($B$14:B856,B856)&amp;CHOOSE(MIN(4,COUNTIF($B$14:B856,B856)),"st","nd","rd","th"),"")</f>
        <v/>
      </c>
    </row>
    <row r="857" spans="11:11" x14ac:dyDescent="0.25">
      <c r="K857" s="233" t="str">
        <f>IFERROR(COUNTIF($B$14:B857,B857)&amp;CHOOSE(MIN(4,COUNTIF($B$14:B857,B857)),"st","nd","rd","th"),"")</f>
        <v/>
      </c>
    </row>
    <row r="858" spans="11:11" x14ac:dyDescent="0.25">
      <c r="K858" s="233" t="str">
        <f>IFERROR(COUNTIF($B$14:B858,B858)&amp;CHOOSE(MIN(4,COUNTIF($B$14:B858,B858)),"st","nd","rd","th"),"")</f>
        <v/>
      </c>
    </row>
    <row r="859" spans="11:11" x14ac:dyDescent="0.25">
      <c r="K859" s="233" t="str">
        <f>IFERROR(COUNTIF($B$14:B859,B859)&amp;CHOOSE(MIN(4,COUNTIF($B$14:B859,B859)),"st","nd","rd","th"),"")</f>
        <v/>
      </c>
    </row>
    <row r="860" spans="11:11" x14ac:dyDescent="0.25">
      <c r="K860" s="233" t="str">
        <f>IFERROR(COUNTIF($B$14:B860,B860)&amp;CHOOSE(MIN(4,COUNTIF($B$14:B860,B860)),"st","nd","rd","th"),"")</f>
        <v/>
      </c>
    </row>
    <row r="861" spans="11:11" x14ac:dyDescent="0.25">
      <c r="K861" s="233" t="str">
        <f>IFERROR(COUNTIF($B$14:B861,B861)&amp;CHOOSE(MIN(4,COUNTIF($B$14:B861,B861)),"st","nd","rd","th"),"")</f>
        <v/>
      </c>
    </row>
    <row r="862" spans="11:11" x14ac:dyDescent="0.25">
      <c r="K862" s="233" t="str">
        <f>IFERROR(COUNTIF($B$14:B862,B862)&amp;CHOOSE(MIN(4,COUNTIF($B$14:B862,B862)),"st","nd","rd","th"),"")</f>
        <v/>
      </c>
    </row>
    <row r="863" spans="11:11" x14ac:dyDescent="0.25">
      <c r="K863" s="233" t="str">
        <f>IFERROR(COUNTIF($B$14:B863,B863)&amp;CHOOSE(MIN(4,COUNTIF($B$14:B863,B863)),"st","nd","rd","th"),"")</f>
        <v/>
      </c>
    </row>
    <row r="864" spans="11:11" x14ac:dyDescent="0.25">
      <c r="K864" s="233" t="str">
        <f>IFERROR(COUNTIF($B$14:B864,B864)&amp;CHOOSE(MIN(4,COUNTIF($B$14:B864,B864)),"st","nd","rd","th"),"")</f>
        <v/>
      </c>
    </row>
    <row r="865" spans="11:11" x14ac:dyDescent="0.25">
      <c r="K865" s="233" t="str">
        <f>IFERROR(COUNTIF($B$14:B865,B865)&amp;CHOOSE(MIN(4,COUNTIF($B$14:B865,B865)),"st","nd","rd","th"),"")</f>
        <v/>
      </c>
    </row>
    <row r="866" spans="11:11" x14ac:dyDescent="0.25">
      <c r="K866" s="233" t="str">
        <f>IFERROR(COUNTIF($B$14:B866,B866)&amp;CHOOSE(MIN(4,COUNTIF($B$14:B866,B866)),"st","nd","rd","th"),"")</f>
        <v/>
      </c>
    </row>
    <row r="867" spans="11:11" x14ac:dyDescent="0.25">
      <c r="K867" s="233" t="str">
        <f>IFERROR(COUNTIF($B$14:B867,B867)&amp;CHOOSE(MIN(4,COUNTIF($B$14:B867,B867)),"st","nd","rd","th"),"")</f>
        <v/>
      </c>
    </row>
    <row r="868" spans="11:11" x14ac:dyDescent="0.25">
      <c r="K868" s="233" t="str">
        <f>IFERROR(COUNTIF($B$14:B868,B868)&amp;CHOOSE(MIN(4,COUNTIF($B$14:B868,B868)),"st","nd","rd","th"),"")</f>
        <v/>
      </c>
    </row>
    <row r="869" spans="11:11" x14ac:dyDescent="0.25">
      <c r="K869" s="233" t="str">
        <f>IFERROR(COUNTIF($B$14:B869,B869)&amp;CHOOSE(MIN(4,COUNTIF($B$14:B869,B869)),"st","nd","rd","th"),"")</f>
        <v/>
      </c>
    </row>
    <row r="870" spans="11:11" x14ac:dyDescent="0.25">
      <c r="K870" s="233" t="str">
        <f>IFERROR(COUNTIF($B$14:B870,B870)&amp;CHOOSE(MIN(4,COUNTIF($B$14:B870,B870)),"st","nd","rd","th"),"")</f>
        <v/>
      </c>
    </row>
    <row r="871" spans="11:11" x14ac:dyDescent="0.25">
      <c r="K871" s="233" t="str">
        <f>IFERROR(COUNTIF($B$14:B871,B871)&amp;CHOOSE(MIN(4,COUNTIF($B$14:B871,B871)),"st","nd","rd","th"),"")</f>
        <v/>
      </c>
    </row>
    <row r="872" spans="11:11" x14ac:dyDescent="0.25">
      <c r="K872" s="233" t="str">
        <f>IFERROR(COUNTIF($B$14:B872,B872)&amp;CHOOSE(MIN(4,COUNTIF($B$14:B872,B872)),"st","nd","rd","th"),"")</f>
        <v/>
      </c>
    </row>
    <row r="873" spans="11:11" x14ac:dyDescent="0.25">
      <c r="K873" s="233" t="str">
        <f>IFERROR(COUNTIF($B$14:B873,B873)&amp;CHOOSE(MIN(4,COUNTIF($B$14:B873,B873)),"st","nd","rd","th"),"")</f>
        <v/>
      </c>
    </row>
    <row r="874" spans="11:11" x14ac:dyDescent="0.25">
      <c r="K874" s="233" t="str">
        <f>IFERROR(COUNTIF($B$14:B874,B874)&amp;CHOOSE(MIN(4,COUNTIF($B$14:B874,B874)),"st","nd","rd","th"),"")</f>
        <v/>
      </c>
    </row>
    <row r="875" spans="11:11" x14ac:dyDescent="0.25">
      <c r="K875" s="233" t="str">
        <f>IFERROR(COUNTIF($B$14:B875,B875)&amp;CHOOSE(MIN(4,COUNTIF($B$14:B875,B875)),"st","nd","rd","th"),"")</f>
        <v/>
      </c>
    </row>
    <row r="876" spans="11:11" x14ac:dyDescent="0.25">
      <c r="K876" s="233" t="str">
        <f>IFERROR(COUNTIF($B$14:B876,B876)&amp;CHOOSE(MIN(4,COUNTIF($B$14:B876,B876)),"st","nd","rd","th"),"")</f>
        <v/>
      </c>
    </row>
    <row r="877" spans="11:11" x14ac:dyDescent="0.25">
      <c r="K877" s="233" t="str">
        <f>IFERROR(COUNTIF($B$14:B877,B877)&amp;CHOOSE(MIN(4,COUNTIF($B$14:B877,B877)),"st","nd","rd","th"),"")</f>
        <v/>
      </c>
    </row>
    <row r="878" spans="11:11" x14ac:dyDescent="0.25">
      <c r="K878" s="233" t="str">
        <f>IFERROR(COUNTIF($B$14:B878,B878)&amp;CHOOSE(MIN(4,COUNTIF($B$14:B878,B878)),"st","nd","rd","th"),"")</f>
        <v/>
      </c>
    </row>
    <row r="879" spans="11:11" x14ac:dyDescent="0.25">
      <c r="K879" s="233" t="str">
        <f>IFERROR(COUNTIF($B$14:B879,B879)&amp;CHOOSE(MIN(4,COUNTIF($B$14:B879,B879)),"st","nd","rd","th"),"")</f>
        <v/>
      </c>
    </row>
    <row r="880" spans="11:11" x14ac:dyDescent="0.25">
      <c r="K880" s="233" t="str">
        <f>IFERROR(COUNTIF($B$14:B880,B880)&amp;CHOOSE(MIN(4,COUNTIF($B$14:B880,B880)),"st","nd","rd","th"),"")</f>
        <v/>
      </c>
    </row>
    <row r="881" spans="11:11" x14ac:dyDescent="0.25">
      <c r="K881" s="233" t="str">
        <f>IFERROR(COUNTIF($B$14:B881,B881)&amp;CHOOSE(MIN(4,COUNTIF($B$14:B881,B881)),"st","nd","rd","th"),"")</f>
        <v/>
      </c>
    </row>
    <row r="882" spans="11:11" x14ac:dyDescent="0.25">
      <c r="K882" s="233" t="str">
        <f>IFERROR(COUNTIF($B$14:B882,B882)&amp;CHOOSE(MIN(4,COUNTIF($B$14:B882,B882)),"st","nd","rd","th"),"")</f>
        <v/>
      </c>
    </row>
    <row r="883" spans="11:11" x14ac:dyDescent="0.25">
      <c r="K883" s="233" t="str">
        <f>IFERROR(COUNTIF($B$14:B883,B883)&amp;CHOOSE(MIN(4,COUNTIF($B$14:B883,B883)),"st","nd","rd","th"),"")</f>
        <v/>
      </c>
    </row>
    <row r="884" spans="11:11" x14ac:dyDescent="0.25">
      <c r="K884" s="233" t="str">
        <f>IFERROR(COUNTIF($B$14:B884,B884)&amp;CHOOSE(MIN(4,COUNTIF($B$14:B884,B884)),"st","nd","rd","th"),"")</f>
        <v/>
      </c>
    </row>
    <row r="885" spans="11:11" x14ac:dyDescent="0.25">
      <c r="K885" s="233" t="str">
        <f>IFERROR(COUNTIF($B$14:B885,B885)&amp;CHOOSE(MIN(4,COUNTIF($B$14:B885,B885)),"st","nd","rd","th"),"")</f>
        <v/>
      </c>
    </row>
    <row r="886" spans="11:11" x14ac:dyDescent="0.25">
      <c r="K886" s="233" t="str">
        <f>IFERROR(COUNTIF($B$14:B886,B886)&amp;CHOOSE(MIN(4,COUNTIF($B$14:B886,B886)),"st","nd","rd","th"),"")</f>
        <v/>
      </c>
    </row>
    <row r="887" spans="11:11" x14ac:dyDescent="0.25">
      <c r="K887" s="233" t="str">
        <f>IFERROR(COUNTIF($B$14:B887,B887)&amp;CHOOSE(MIN(4,COUNTIF($B$14:B887,B887)),"st","nd","rd","th"),"")</f>
        <v/>
      </c>
    </row>
    <row r="888" spans="11:11" x14ac:dyDescent="0.25">
      <c r="K888" s="233" t="str">
        <f>IFERROR(COUNTIF($B$14:B888,B888)&amp;CHOOSE(MIN(4,COUNTIF($B$14:B888,B888)),"st","nd","rd","th"),"")</f>
        <v/>
      </c>
    </row>
    <row r="889" spans="11:11" x14ac:dyDescent="0.25">
      <c r="K889" s="233" t="str">
        <f>IFERROR(COUNTIF($B$14:B889,B889)&amp;CHOOSE(MIN(4,COUNTIF($B$14:B889,B889)),"st","nd","rd","th"),"")</f>
        <v/>
      </c>
    </row>
    <row r="890" spans="11:11" x14ac:dyDescent="0.25">
      <c r="K890" s="233" t="str">
        <f>IFERROR(COUNTIF($B$14:B890,B890)&amp;CHOOSE(MIN(4,COUNTIF($B$14:B890,B890)),"st","nd","rd","th"),"")</f>
        <v/>
      </c>
    </row>
    <row r="891" spans="11:11" x14ac:dyDescent="0.25">
      <c r="K891" s="233" t="str">
        <f>IFERROR(COUNTIF($B$14:B891,B891)&amp;CHOOSE(MIN(4,COUNTIF($B$14:B891,B891)),"st","nd","rd","th"),"")</f>
        <v/>
      </c>
    </row>
    <row r="892" spans="11:11" x14ac:dyDescent="0.25">
      <c r="K892" s="233" t="str">
        <f>IFERROR(COUNTIF($B$14:B892,B892)&amp;CHOOSE(MIN(4,COUNTIF($B$14:B892,B892)),"st","nd","rd","th"),"")</f>
        <v/>
      </c>
    </row>
    <row r="893" spans="11:11" x14ac:dyDescent="0.25">
      <c r="K893" s="233" t="str">
        <f>IFERROR(COUNTIF($B$14:B893,B893)&amp;CHOOSE(MIN(4,COUNTIF($B$14:B893,B893)),"st","nd","rd","th"),"")</f>
        <v/>
      </c>
    </row>
    <row r="894" spans="11:11" x14ac:dyDescent="0.25">
      <c r="K894" s="233" t="str">
        <f>IFERROR(COUNTIF($B$14:B894,B894)&amp;CHOOSE(MIN(4,COUNTIF($B$14:B894,B894)),"st","nd","rd","th"),"")</f>
        <v/>
      </c>
    </row>
    <row r="895" spans="11:11" x14ac:dyDescent="0.25">
      <c r="K895" s="233" t="str">
        <f>IFERROR(COUNTIF($B$14:B895,B895)&amp;CHOOSE(MIN(4,COUNTIF($B$14:B895,B895)),"st","nd","rd","th"),"")</f>
        <v/>
      </c>
    </row>
    <row r="896" spans="11:11" x14ac:dyDescent="0.25">
      <c r="K896" s="233" t="str">
        <f>IFERROR(COUNTIF($B$14:B896,B896)&amp;CHOOSE(MIN(4,COUNTIF($B$14:B896,B896)),"st","nd","rd","th"),"")</f>
        <v/>
      </c>
    </row>
    <row r="897" spans="11:11" x14ac:dyDescent="0.25">
      <c r="K897" s="233" t="str">
        <f>IFERROR(COUNTIF($B$14:B897,B897)&amp;CHOOSE(MIN(4,COUNTIF($B$14:B897,B897)),"st","nd","rd","th"),"")</f>
        <v/>
      </c>
    </row>
    <row r="898" spans="11:11" x14ac:dyDescent="0.25">
      <c r="K898" s="233" t="str">
        <f>IFERROR(COUNTIF($B$14:B898,B898)&amp;CHOOSE(MIN(4,COUNTIF($B$14:B898,B898)),"st","nd","rd","th"),"")</f>
        <v/>
      </c>
    </row>
    <row r="899" spans="11:11" x14ac:dyDescent="0.25">
      <c r="K899" s="233" t="str">
        <f>IFERROR(COUNTIF($B$14:B899,B899)&amp;CHOOSE(MIN(4,COUNTIF($B$14:B899,B899)),"st","nd","rd","th"),"")</f>
        <v/>
      </c>
    </row>
    <row r="900" spans="11:11" x14ac:dyDescent="0.25">
      <c r="K900" s="233" t="str">
        <f>IFERROR(COUNTIF($B$14:B900,B900)&amp;CHOOSE(MIN(4,COUNTIF($B$14:B900,B900)),"st","nd","rd","th"),"")</f>
        <v/>
      </c>
    </row>
    <row r="901" spans="11:11" x14ac:dyDescent="0.25">
      <c r="K901" s="233" t="str">
        <f>IFERROR(COUNTIF($B$14:B901,B901)&amp;CHOOSE(MIN(4,COUNTIF($B$14:B901,B901)),"st","nd","rd","th"),"")</f>
        <v/>
      </c>
    </row>
    <row r="902" spans="11:11" x14ac:dyDescent="0.25">
      <c r="K902" s="233" t="str">
        <f>IFERROR(COUNTIF($B$14:B902,B902)&amp;CHOOSE(MIN(4,COUNTIF($B$14:B902,B902)),"st","nd","rd","th"),"")</f>
        <v/>
      </c>
    </row>
    <row r="903" spans="11:11" x14ac:dyDescent="0.25">
      <c r="K903" s="233" t="str">
        <f>IFERROR(COUNTIF($B$14:B903,B903)&amp;CHOOSE(MIN(4,COUNTIF($B$14:B903,B903)),"st","nd","rd","th"),"")</f>
        <v/>
      </c>
    </row>
    <row r="904" spans="11:11" x14ac:dyDescent="0.25">
      <c r="K904" s="233" t="str">
        <f>IFERROR(COUNTIF($B$14:B904,B904)&amp;CHOOSE(MIN(4,COUNTIF($B$14:B904,B904)),"st","nd","rd","th"),"")</f>
        <v/>
      </c>
    </row>
    <row r="905" spans="11:11" x14ac:dyDescent="0.25">
      <c r="K905" s="233" t="str">
        <f>IFERROR(COUNTIF($B$14:B905,B905)&amp;CHOOSE(MIN(4,COUNTIF($B$14:B905,B905)),"st","nd","rd","th"),"")</f>
        <v/>
      </c>
    </row>
    <row r="906" spans="11:11" x14ac:dyDescent="0.25">
      <c r="K906" s="233" t="str">
        <f>IFERROR(COUNTIF($B$14:B906,B906)&amp;CHOOSE(MIN(4,COUNTIF($B$14:B906,B906)),"st","nd","rd","th"),"")</f>
        <v/>
      </c>
    </row>
    <row r="907" spans="11:11" x14ac:dyDescent="0.25">
      <c r="K907" s="233" t="str">
        <f>IFERROR(COUNTIF($B$14:B907,B907)&amp;CHOOSE(MIN(4,COUNTIF($B$14:B907,B907)),"st","nd","rd","th"),"")</f>
        <v/>
      </c>
    </row>
    <row r="908" spans="11:11" x14ac:dyDescent="0.25">
      <c r="K908" s="233" t="str">
        <f>IFERROR(COUNTIF($B$14:B908,B908)&amp;CHOOSE(MIN(4,COUNTIF($B$14:B908,B908)),"st","nd","rd","th"),"")</f>
        <v/>
      </c>
    </row>
    <row r="909" spans="11:11" x14ac:dyDescent="0.25">
      <c r="K909" s="233" t="str">
        <f>IFERROR(COUNTIF($B$14:B909,B909)&amp;CHOOSE(MIN(4,COUNTIF($B$14:B909,B909)),"st","nd","rd","th"),"")</f>
        <v/>
      </c>
    </row>
    <row r="910" spans="11:11" x14ac:dyDescent="0.25">
      <c r="K910" s="233" t="str">
        <f>IFERROR(COUNTIF($B$14:B910,B910)&amp;CHOOSE(MIN(4,COUNTIF($B$14:B910,B910)),"st","nd","rd","th"),"")</f>
        <v/>
      </c>
    </row>
    <row r="911" spans="11:11" x14ac:dyDescent="0.25">
      <c r="K911" s="233" t="str">
        <f>IFERROR(COUNTIF($B$14:B911,B911)&amp;CHOOSE(MIN(4,COUNTIF($B$14:B911,B911)),"st","nd","rd","th"),"")</f>
        <v/>
      </c>
    </row>
    <row r="912" spans="11:11" x14ac:dyDescent="0.25">
      <c r="K912" s="233" t="str">
        <f>IFERROR(COUNTIF($B$14:B912,B912)&amp;CHOOSE(MIN(4,COUNTIF($B$14:B912,B912)),"st","nd","rd","th"),"")</f>
        <v/>
      </c>
    </row>
    <row r="913" spans="11:11" x14ac:dyDescent="0.25">
      <c r="K913" s="233" t="str">
        <f>IFERROR(COUNTIF($B$14:B913,B913)&amp;CHOOSE(MIN(4,COUNTIF($B$14:B913,B913)),"st","nd","rd","th"),"")</f>
        <v/>
      </c>
    </row>
    <row r="914" spans="11:11" x14ac:dyDescent="0.25">
      <c r="K914" s="233" t="str">
        <f>IFERROR(COUNTIF($B$14:B914,B914)&amp;CHOOSE(MIN(4,COUNTIF($B$14:B914,B914)),"st","nd","rd","th"),"")</f>
        <v/>
      </c>
    </row>
    <row r="915" spans="11:11" x14ac:dyDescent="0.25">
      <c r="K915" s="233" t="str">
        <f>IFERROR(COUNTIF($B$14:B915,B915)&amp;CHOOSE(MIN(4,COUNTIF($B$14:B915,B915)),"st","nd","rd","th"),"")</f>
        <v/>
      </c>
    </row>
    <row r="916" spans="11:11" x14ac:dyDescent="0.25">
      <c r="K916" s="233" t="str">
        <f>IFERROR(COUNTIF($B$14:B916,B916)&amp;CHOOSE(MIN(4,COUNTIF($B$14:B916,B916)),"st","nd","rd","th"),"")</f>
        <v/>
      </c>
    </row>
    <row r="917" spans="11:11" x14ac:dyDescent="0.25">
      <c r="K917" s="233" t="str">
        <f>IFERROR(COUNTIF($B$14:B917,B917)&amp;CHOOSE(MIN(4,COUNTIF($B$14:B917,B917)),"st","nd","rd","th"),"")</f>
        <v/>
      </c>
    </row>
    <row r="918" spans="11:11" x14ac:dyDescent="0.25">
      <c r="K918" s="233" t="str">
        <f>IFERROR(COUNTIF($B$14:B918,B918)&amp;CHOOSE(MIN(4,COUNTIF($B$14:B918,B918)),"st","nd","rd","th"),"")</f>
        <v/>
      </c>
    </row>
    <row r="919" spans="11:11" x14ac:dyDescent="0.25">
      <c r="K919" s="233" t="str">
        <f>IFERROR(COUNTIF($B$14:B919,B919)&amp;CHOOSE(MIN(4,COUNTIF($B$14:B919,B919)),"st","nd","rd","th"),"")</f>
        <v/>
      </c>
    </row>
    <row r="920" spans="11:11" x14ac:dyDescent="0.25">
      <c r="K920" s="233" t="str">
        <f>IFERROR(COUNTIF($B$14:B920,B920)&amp;CHOOSE(MIN(4,COUNTIF($B$14:B920,B920)),"st","nd","rd","th"),"")</f>
        <v/>
      </c>
    </row>
    <row r="921" spans="11:11" x14ac:dyDescent="0.25">
      <c r="K921" s="233" t="str">
        <f>IFERROR(COUNTIF($B$14:B921,B921)&amp;CHOOSE(MIN(4,COUNTIF($B$14:B921,B921)),"st","nd","rd","th"),"")</f>
        <v/>
      </c>
    </row>
    <row r="922" spans="11:11" x14ac:dyDescent="0.25">
      <c r="K922" s="233" t="str">
        <f>IFERROR(COUNTIF($B$14:B922,B922)&amp;CHOOSE(MIN(4,COUNTIF($B$14:B922,B922)),"st","nd","rd","th"),"")</f>
        <v/>
      </c>
    </row>
    <row r="923" spans="11:11" x14ac:dyDescent="0.25">
      <c r="K923" s="233" t="str">
        <f>IFERROR(COUNTIF($B$14:B923,B923)&amp;CHOOSE(MIN(4,COUNTIF($B$14:B923,B923)),"st","nd","rd","th"),"")</f>
        <v/>
      </c>
    </row>
    <row r="924" spans="11:11" x14ac:dyDescent="0.25">
      <c r="K924" s="233" t="str">
        <f>IFERROR(COUNTIF($B$14:B924,B924)&amp;CHOOSE(MIN(4,COUNTIF($B$14:B924,B924)),"st","nd","rd","th"),"")</f>
        <v/>
      </c>
    </row>
    <row r="925" spans="11:11" x14ac:dyDescent="0.25">
      <c r="K925" s="233" t="str">
        <f>IFERROR(COUNTIF($B$14:B925,B925)&amp;CHOOSE(MIN(4,COUNTIF($B$14:B925,B925)),"st","nd","rd","th"),"")</f>
        <v/>
      </c>
    </row>
    <row r="926" spans="11:11" x14ac:dyDescent="0.25">
      <c r="K926" s="233" t="str">
        <f>IFERROR(COUNTIF($B$14:B926,B926)&amp;CHOOSE(MIN(4,COUNTIF($B$14:B926,B926)),"st","nd","rd","th"),"")</f>
        <v/>
      </c>
    </row>
    <row r="927" spans="11:11" x14ac:dyDescent="0.25">
      <c r="K927" s="233" t="str">
        <f>IFERROR(COUNTIF($B$14:B927,B927)&amp;CHOOSE(MIN(4,COUNTIF($B$14:B927,B927)),"st","nd","rd","th"),"")</f>
        <v/>
      </c>
    </row>
    <row r="928" spans="11:11" x14ac:dyDescent="0.25">
      <c r="K928" s="233" t="str">
        <f>IFERROR(COUNTIF($B$14:B928,B928)&amp;CHOOSE(MIN(4,COUNTIF($B$14:B928,B928)),"st","nd","rd","th"),"")</f>
        <v/>
      </c>
    </row>
    <row r="929" spans="11:11" x14ac:dyDescent="0.25">
      <c r="K929" s="233" t="str">
        <f>IFERROR(COUNTIF($B$14:B929,B929)&amp;CHOOSE(MIN(4,COUNTIF($B$14:B929,B929)),"st","nd","rd","th"),"")</f>
        <v/>
      </c>
    </row>
    <row r="930" spans="11:11" x14ac:dyDescent="0.25">
      <c r="K930" s="233" t="str">
        <f>IFERROR(COUNTIF($B$14:B930,B930)&amp;CHOOSE(MIN(4,COUNTIF($B$14:B930,B930)),"st","nd","rd","th"),"")</f>
        <v/>
      </c>
    </row>
    <row r="931" spans="11:11" x14ac:dyDescent="0.25">
      <c r="K931" s="233" t="str">
        <f>IFERROR(COUNTIF($B$14:B931,B931)&amp;CHOOSE(MIN(4,COUNTIF($B$14:B931,B931)),"st","nd","rd","th"),"")</f>
        <v/>
      </c>
    </row>
    <row r="932" spans="11:11" x14ac:dyDescent="0.25">
      <c r="K932" s="233" t="str">
        <f>IFERROR(COUNTIF($B$14:B932,B932)&amp;CHOOSE(MIN(4,COUNTIF($B$14:B932,B932)),"st","nd","rd","th"),"")</f>
        <v/>
      </c>
    </row>
    <row r="933" spans="11:11" x14ac:dyDescent="0.25">
      <c r="K933" s="233" t="str">
        <f>IFERROR(COUNTIF($B$14:B933,B933)&amp;CHOOSE(MIN(4,COUNTIF($B$14:B933,B933)),"st","nd","rd","th"),"")</f>
        <v/>
      </c>
    </row>
    <row r="934" spans="11:11" x14ac:dyDescent="0.25">
      <c r="K934" s="233" t="str">
        <f>IFERROR(COUNTIF($B$14:B934,B934)&amp;CHOOSE(MIN(4,COUNTIF($B$14:B934,B934)),"st","nd","rd","th"),"")</f>
        <v/>
      </c>
    </row>
    <row r="935" spans="11:11" x14ac:dyDescent="0.25">
      <c r="K935" s="233" t="str">
        <f>IFERROR(COUNTIF($B$14:B935,B935)&amp;CHOOSE(MIN(4,COUNTIF($B$14:B935,B935)),"st","nd","rd","th"),"")</f>
        <v/>
      </c>
    </row>
    <row r="936" spans="11:11" x14ac:dyDescent="0.25">
      <c r="K936" s="233" t="str">
        <f>IFERROR(COUNTIF($B$14:B936,B936)&amp;CHOOSE(MIN(4,COUNTIF($B$14:B936,B936)),"st","nd","rd","th"),"")</f>
        <v/>
      </c>
    </row>
    <row r="937" spans="11:11" x14ac:dyDescent="0.25">
      <c r="K937" s="233" t="str">
        <f>IFERROR(COUNTIF($B$14:B937,B937)&amp;CHOOSE(MIN(4,COUNTIF($B$14:B937,B937)),"st","nd","rd","th"),"")</f>
        <v/>
      </c>
    </row>
    <row r="938" spans="11:11" x14ac:dyDescent="0.25">
      <c r="K938" s="233" t="str">
        <f>IFERROR(COUNTIF($B$14:B938,B938)&amp;CHOOSE(MIN(4,COUNTIF($B$14:B938,B938)),"st","nd","rd","th"),"")</f>
        <v/>
      </c>
    </row>
    <row r="939" spans="11:11" x14ac:dyDescent="0.25">
      <c r="K939" s="233" t="str">
        <f>IFERROR(COUNTIF($B$14:B939,B939)&amp;CHOOSE(MIN(4,COUNTIF($B$14:B939,B939)),"st","nd","rd","th"),"")</f>
        <v/>
      </c>
    </row>
    <row r="940" spans="11:11" x14ac:dyDescent="0.25">
      <c r="K940" s="233" t="str">
        <f>IFERROR(COUNTIF($B$14:B940,B940)&amp;CHOOSE(MIN(4,COUNTIF($B$14:B940,B940)),"st","nd","rd","th"),"")</f>
        <v/>
      </c>
    </row>
    <row r="941" spans="11:11" x14ac:dyDescent="0.25">
      <c r="K941" s="233" t="str">
        <f>IFERROR(COUNTIF($B$14:B941,B941)&amp;CHOOSE(MIN(4,COUNTIF($B$14:B941,B941)),"st","nd","rd","th"),"")</f>
        <v/>
      </c>
    </row>
    <row r="942" spans="11:11" x14ac:dyDescent="0.25">
      <c r="K942" s="233" t="str">
        <f>IFERROR(COUNTIF($B$14:B942,B942)&amp;CHOOSE(MIN(4,COUNTIF($B$14:B942,B942)),"st","nd","rd","th"),"")</f>
        <v/>
      </c>
    </row>
    <row r="943" spans="11:11" x14ac:dyDescent="0.25">
      <c r="K943" s="233" t="str">
        <f>IFERROR(COUNTIF($B$14:B943,B943)&amp;CHOOSE(MIN(4,COUNTIF($B$14:B943,B943)),"st","nd","rd","th"),"")</f>
        <v/>
      </c>
    </row>
    <row r="944" spans="11:11" x14ac:dyDescent="0.25">
      <c r="K944" s="233" t="str">
        <f>IFERROR(COUNTIF($B$14:B944,B944)&amp;CHOOSE(MIN(4,COUNTIF($B$14:B944,B944)),"st","nd","rd","th"),"")</f>
        <v/>
      </c>
    </row>
    <row r="945" spans="11:11" x14ac:dyDescent="0.25">
      <c r="K945" s="233" t="str">
        <f>IFERROR(COUNTIF($B$14:B945,B945)&amp;CHOOSE(MIN(4,COUNTIF($B$14:B945,B945)),"st","nd","rd","th"),"")</f>
        <v/>
      </c>
    </row>
    <row r="946" spans="11:11" x14ac:dyDescent="0.25">
      <c r="K946" s="233" t="str">
        <f>IFERROR(COUNTIF($B$14:B946,B946)&amp;CHOOSE(MIN(4,COUNTIF($B$14:B946,B946)),"st","nd","rd","th"),"")</f>
        <v/>
      </c>
    </row>
    <row r="947" spans="11:11" x14ac:dyDescent="0.25">
      <c r="K947" s="233" t="str">
        <f>IFERROR(COUNTIF($B$14:B947,B947)&amp;CHOOSE(MIN(4,COUNTIF($B$14:B947,B947)),"st","nd","rd","th"),"")</f>
        <v/>
      </c>
    </row>
    <row r="948" spans="11:11" x14ac:dyDescent="0.25">
      <c r="K948" s="233" t="str">
        <f>IFERROR(COUNTIF($B$14:B948,B948)&amp;CHOOSE(MIN(4,COUNTIF($B$14:B948,B948)),"st","nd","rd","th"),"")</f>
        <v/>
      </c>
    </row>
    <row r="949" spans="11:11" x14ac:dyDescent="0.25">
      <c r="K949" s="233" t="str">
        <f>IFERROR(COUNTIF($B$14:B949,B949)&amp;CHOOSE(MIN(4,COUNTIF($B$14:B949,B949)),"st","nd","rd","th"),"")</f>
        <v/>
      </c>
    </row>
    <row r="950" spans="11:11" x14ac:dyDescent="0.25">
      <c r="K950" s="233" t="str">
        <f>IFERROR(COUNTIF($B$14:B950,B950)&amp;CHOOSE(MIN(4,COUNTIF($B$14:B950,B950)),"st","nd","rd","th"),"")</f>
        <v/>
      </c>
    </row>
    <row r="951" spans="11:11" x14ac:dyDescent="0.25">
      <c r="K951" s="233" t="str">
        <f>IFERROR(COUNTIF($B$14:B951,B951)&amp;CHOOSE(MIN(4,COUNTIF($B$14:B951,B951)),"st","nd","rd","th"),"")</f>
        <v/>
      </c>
    </row>
    <row r="952" spans="11:11" x14ac:dyDescent="0.25">
      <c r="K952" s="233" t="str">
        <f>IFERROR(COUNTIF($B$14:B952,B952)&amp;CHOOSE(MIN(4,COUNTIF($B$14:B952,B952)),"st","nd","rd","th"),"")</f>
        <v/>
      </c>
    </row>
    <row r="953" spans="11:11" x14ac:dyDescent="0.25">
      <c r="K953" s="233" t="str">
        <f>IFERROR(COUNTIF($B$14:B953,B953)&amp;CHOOSE(MIN(4,COUNTIF($B$14:B953,B953)),"st","nd","rd","th"),"")</f>
        <v/>
      </c>
    </row>
    <row r="954" spans="11:11" x14ac:dyDescent="0.25">
      <c r="K954" s="233" t="str">
        <f>IFERROR(COUNTIF($B$14:B954,B954)&amp;CHOOSE(MIN(4,COUNTIF($B$14:B954,B954)),"st","nd","rd","th"),"")</f>
        <v/>
      </c>
    </row>
    <row r="955" spans="11:11" x14ac:dyDescent="0.25">
      <c r="K955" s="233" t="str">
        <f>IFERROR(COUNTIF($B$14:B955,B955)&amp;CHOOSE(MIN(4,COUNTIF($B$14:B955,B955)),"st","nd","rd","th"),"")</f>
        <v/>
      </c>
    </row>
    <row r="956" spans="11:11" x14ac:dyDescent="0.25">
      <c r="K956" s="233" t="str">
        <f>IFERROR(COUNTIF($B$14:B956,B956)&amp;CHOOSE(MIN(4,COUNTIF($B$14:B956,B956)),"st","nd","rd","th"),"")</f>
        <v/>
      </c>
    </row>
    <row r="957" spans="11:11" x14ac:dyDescent="0.25">
      <c r="K957" s="233" t="str">
        <f>IFERROR(COUNTIF($B$14:B957,B957)&amp;CHOOSE(MIN(4,COUNTIF($B$14:B957,B957)),"st","nd","rd","th"),"")</f>
        <v/>
      </c>
    </row>
    <row r="958" spans="11:11" x14ac:dyDescent="0.25">
      <c r="K958" s="233" t="str">
        <f>IFERROR(COUNTIF($B$14:B958,B958)&amp;CHOOSE(MIN(4,COUNTIF($B$14:B958,B958)),"st","nd","rd","th"),"")</f>
        <v/>
      </c>
    </row>
    <row r="959" spans="11:11" x14ac:dyDescent="0.25">
      <c r="K959" s="233" t="str">
        <f>IFERROR(COUNTIF($B$14:B959,B959)&amp;CHOOSE(MIN(4,COUNTIF($B$14:B959,B959)),"st","nd","rd","th"),"")</f>
        <v/>
      </c>
    </row>
    <row r="960" spans="11:11" x14ac:dyDescent="0.25">
      <c r="K960" s="233" t="str">
        <f>IFERROR(COUNTIF($B$14:B960,B960)&amp;CHOOSE(MIN(4,COUNTIF($B$14:B960,B960)),"st","nd","rd","th"),"")</f>
        <v/>
      </c>
    </row>
    <row r="961" spans="11:11" x14ac:dyDescent="0.25">
      <c r="K961" s="233" t="str">
        <f>IFERROR(COUNTIF($B$14:B961,B961)&amp;CHOOSE(MIN(4,COUNTIF($B$14:B961,B961)),"st","nd","rd","th"),"")</f>
        <v/>
      </c>
    </row>
    <row r="962" spans="11:11" x14ac:dyDescent="0.25">
      <c r="K962" s="233" t="str">
        <f>IFERROR(COUNTIF($B$14:B962,B962)&amp;CHOOSE(MIN(4,COUNTIF($B$14:B962,B962)),"st","nd","rd","th"),"")</f>
        <v/>
      </c>
    </row>
    <row r="963" spans="11:11" x14ac:dyDescent="0.25">
      <c r="K963" s="233" t="str">
        <f>IFERROR(COUNTIF($B$14:B963,B963)&amp;CHOOSE(MIN(4,COUNTIF($B$14:B963,B963)),"st","nd","rd","th"),"")</f>
        <v/>
      </c>
    </row>
    <row r="964" spans="11:11" x14ac:dyDescent="0.25">
      <c r="K964" s="233" t="str">
        <f>IFERROR(COUNTIF($B$14:B964,B964)&amp;CHOOSE(MIN(4,COUNTIF($B$14:B964,B964)),"st","nd","rd","th"),"")</f>
        <v/>
      </c>
    </row>
    <row r="965" spans="11:11" x14ac:dyDescent="0.25">
      <c r="K965" s="233" t="str">
        <f>IFERROR(COUNTIF($B$14:B965,B965)&amp;CHOOSE(MIN(4,COUNTIF($B$14:B965,B965)),"st","nd","rd","th"),"")</f>
        <v/>
      </c>
    </row>
    <row r="966" spans="11:11" x14ac:dyDescent="0.25">
      <c r="K966" s="233" t="str">
        <f>IFERROR(COUNTIF($B$14:B966,B966)&amp;CHOOSE(MIN(4,COUNTIF($B$14:B966,B966)),"st","nd","rd","th"),"")</f>
        <v/>
      </c>
    </row>
    <row r="967" spans="11:11" x14ac:dyDescent="0.25">
      <c r="K967" s="233" t="str">
        <f>IFERROR(COUNTIF($B$14:B967,B967)&amp;CHOOSE(MIN(4,COUNTIF($B$14:B967,B967)),"st","nd","rd","th"),"")</f>
        <v/>
      </c>
    </row>
    <row r="968" spans="11:11" x14ac:dyDescent="0.25">
      <c r="K968" s="233" t="str">
        <f>IFERROR(COUNTIF($B$14:B968,B968)&amp;CHOOSE(MIN(4,COUNTIF($B$14:B968,B968)),"st","nd","rd","th"),"")</f>
        <v/>
      </c>
    </row>
    <row r="969" spans="11:11" x14ac:dyDescent="0.25">
      <c r="K969" s="233" t="str">
        <f>IFERROR(COUNTIF($B$14:B969,B969)&amp;CHOOSE(MIN(4,COUNTIF($B$14:B969,B969)),"st","nd","rd","th"),"")</f>
        <v/>
      </c>
    </row>
    <row r="970" spans="11:11" x14ac:dyDescent="0.25">
      <c r="K970" s="233" t="str">
        <f>IFERROR(COUNTIF($B$14:B970,B970)&amp;CHOOSE(MIN(4,COUNTIF($B$14:B970,B970)),"st","nd","rd","th"),"")</f>
        <v/>
      </c>
    </row>
    <row r="971" spans="11:11" x14ac:dyDescent="0.25">
      <c r="K971" s="233" t="str">
        <f>IFERROR(COUNTIF($B$14:B971,B971)&amp;CHOOSE(MIN(4,COUNTIF($B$14:B971,B971)),"st","nd","rd","th"),"")</f>
        <v/>
      </c>
    </row>
    <row r="972" spans="11:11" x14ac:dyDescent="0.25">
      <c r="K972" s="233" t="str">
        <f>IFERROR(COUNTIF($B$14:B972,B972)&amp;CHOOSE(MIN(4,COUNTIF($B$14:B972,B972)),"st","nd","rd","th"),"")</f>
        <v/>
      </c>
    </row>
    <row r="973" spans="11:11" x14ac:dyDescent="0.25">
      <c r="K973" s="233" t="str">
        <f>IFERROR(COUNTIF($B$14:B973,B973)&amp;CHOOSE(MIN(4,COUNTIF($B$14:B973,B973)),"st","nd","rd","th"),"")</f>
        <v/>
      </c>
    </row>
    <row r="974" spans="11:11" x14ac:dyDescent="0.25">
      <c r="K974" s="233" t="str">
        <f>IFERROR(COUNTIF($B$14:B974,B974)&amp;CHOOSE(MIN(4,COUNTIF($B$14:B974,B974)),"st","nd","rd","th"),"")</f>
        <v/>
      </c>
    </row>
    <row r="975" spans="11:11" x14ac:dyDescent="0.25">
      <c r="K975" s="233" t="str">
        <f>IFERROR(COUNTIF($B$14:B975,B975)&amp;CHOOSE(MIN(4,COUNTIF($B$14:B975,B975)),"st","nd","rd","th"),"")</f>
        <v/>
      </c>
    </row>
    <row r="976" spans="11:11" x14ac:dyDescent="0.25">
      <c r="K976" s="233" t="str">
        <f>IFERROR(COUNTIF($B$14:B976,B976)&amp;CHOOSE(MIN(4,COUNTIF($B$14:B976,B976)),"st","nd","rd","th"),"")</f>
        <v/>
      </c>
    </row>
    <row r="977" spans="11:11" x14ac:dyDescent="0.25">
      <c r="K977" s="233" t="str">
        <f>IFERROR(COUNTIF($B$14:B977,B977)&amp;CHOOSE(MIN(4,COUNTIF($B$14:B977,B977)),"st","nd","rd","th"),"")</f>
        <v/>
      </c>
    </row>
    <row r="978" spans="11:11" x14ac:dyDescent="0.25">
      <c r="K978" s="233" t="str">
        <f>IFERROR(COUNTIF($B$14:B978,B978)&amp;CHOOSE(MIN(4,COUNTIF($B$14:B978,B978)),"st","nd","rd","th"),"")</f>
        <v/>
      </c>
    </row>
    <row r="979" spans="11:11" x14ac:dyDescent="0.25">
      <c r="K979" s="233" t="str">
        <f>IFERROR(COUNTIF($B$14:B979,B979)&amp;CHOOSE(MIN(4,COUNTIF($B$14:B979,B979)),"st","nd","rd","th"),"")</f>
        <v/>
      </c>
    </row>
    <row r="980" spans="11:11" x14ac:dyDescent="0.25">
      <c r="K980" s="233" t="str">
        <f>IFERROR(COUNTIF($B$14:B980,B980)&amp;CHOOSE(MIN(4,COUNTIF($B$14:B980,B980)),"st","nd","rd","th"),"")</f>
        <v/>
      </c>
    </row>
    <row r="981" spans="11:11" x14ac:dyDescent="0.25">
      <c r="K981" s="233" t="str">
        <f>IFERROR(COUNTIF($B$14:B981,B981)&amp;CHOOSE(MIN(4,COUNTIF($B$14:B981,B981)),"st","nd","rd","th"),"")</f>
        <v/>
      </c>
    </row>
    <row r="982" spans="11:11" x14ac:dyDescent="0.25">
      <c r="K982" s="233" t="str">
        <f>IFERROR(COUNTIF($B$14:B982,B982)&amp;CHOOSE(MIN(4,COUNTIF($B$14:B982,B982)),"st","nd","rd","th"),"")</f>
        <v/>
      </c>
    </row>
    <row r="983" spans="11:11" x14ac:dyDescent="0.25">
      <c r="K983" s="233" t="str">
        <f>IFERROR(COUNTIF($B$14:B983,B983)&amp;CHOOSE(MIN(4,COUNTIF($B$14:B983,B983)),"st","nd","rd","th"),"")</f>
        <v/>
      </c>
    </row>
    <row r="984" spans="11:11" x14ac:dyDescent="0.25">
      <c r="K984" s="233" t="str">
        <f>IFERROR(COUNTIF($B$14:B984,B984)&amp;CHOOSE(MIN(4,COUNTIF($B$14:B984,B984)),"st","nd","rd","th"),"")</f>
        <v/>
      </c>
    </row>
    <row r="985" spans="11:11" x14ac:dyDescent="0.25">
      <c r="K985" s="233" t="str">
        <f>IFERROR(COUNTIF($B$14:B985,B985)&amp;CHOOSE(MIN(4,COUNTIF($B$14:B985,B985)),"st","nd","rd","th"),"")</f>
        <v/>
      </c>
    </row>
    <row r="986" spans="11:11" x14ac:dyDescent="0.25">
      <c r="K986" s="233" t="str">
        <f>IFERROR(COUNTIF($B$14:B986,B986)&amp;CHOOSE(MIN(4,COUNTIF($B$14:B986,B986)),"st","nd","rd","th"),"")</f>
        <v/>
      </c>
    </row>
    <row r="987" spans="11:11" x14ac:dyDescent="0.25">
      <c r="K987" s="233" t="str">
        <f>IFERROR(COUNTIF($B$14:B987,B987)&amp;CHOOSE(MIN(4,COUNTIF($B$14:B987,B987)),"st","nd","rd","th"),"")</f>
        <v/>
      </c>
    </row>
    <row r="988" spans="11:11" x14ac:dyDescent="0.25">
      <c r="K988" s="233" t="str">
        <f>IFERROR(COUNTIF($B$14:B988,B988)&amp;CHOOSE(MIN(4,COUNTIF($B$14:B988,B988)),"st","nd","rd","th"),"")</f>
        <v/>
      </c>
    </row>
    <row r="989" spans="11:11" x14ac:dyDescent="0.25">
      <c r="K989" s="233" t="str">
        <f>IFERROR(COUNTIF($B$14:B989,B989)&amp;CHOOSE(MIN(4,COUNTIF($B$14:B989,B989)),"st","nd","rd","th"),"")</f>
        <v/>
      </c>
    </row>
    <row r="990" spans="11:11" x14ac:dyDescent="0.25">
      <c r="K990" s="233" t="str">
        <f>IFERROR(COUNTIF($B$14:B990,B990)&amp;CHOOSE(MIN(4,COUNTIF($B$14:B990,B990)),"st","nd","rd","th"),"")</f>
        <v/>
      </c>
    </row>
    <row r="991" spans="11:11" x14ac:dyDescent="0.25">
      <c r="K991" s="233" t="str">
        <f>IFERROR(COUNTIF($B$14:B991,B991)&amp;CHOOSE(MIN(4,COUNTIF($B$14:B991,B991)),"st","nd","rd","th"),"")</f>
        <v/>
      </c>
    </row>
    <row r="992" spans="11:11" x14ac:dyDescent="0.25">
      <c r="K992" s="233" t="str">
        <f>IFERROR(COUNTIF($B$14:B992,B992)&amp;CHOOSE(MIN(4,COUNTIF($B$14:B992,B992)),"st","nd","rd","th"),"")</f>
        <v/>
      </c>
    </row>
    <row r="993" spans="11:11" x14ac:dyDescent="0.25">
      <c r="K993" s="233" t="str">
        <f>IFERROR(COUNTIF($B$14:B993,B993)&amp;CHOOSE(MIN(4,COUNTIF($B$14:B993,B993)),"st","nd","rd","th"),"")</f>
        <v/>
      </c>
    </row>
    <row r="994" spans="11:11" x14ac:dyDescent="0.25">
      <c r="K994" s="233" t="str">
        <f>IFERROR(COUNTIF($B$14:B994,B994)&amp;CHOOSE(MIN(4,COUNTIF($B$14:B994,B994)),"st","nd","rd","th"),"")</f>
        <v/>
      </c>
    </row>
    <row r="995" spans="11:11" x14ac:dyDescent="0.25">
      <c r="K995" s="233" t="str">
        <f>IFERROR(COUNTIF($B$14:B995,B995)&amp;CHOOSE(MIN(4,COUNTIF($B$14:B995,B995)),"st","nd","rd","th"),"")</f>
        <v/>
      </c>
    </row>
    <row r="996" spans="11:11" x14ac:dyDescent="0.25">
      <c r="K996" s="233" t="str">
        <f>IFERROR(COUNTIF($B$14:B996,B996)&amp;CHOOSE(MIN(4,COUNTIF($B$14:B996,B996)),"st","nd","rd","th"),"")</f>
        <v/>
      </c>
    </row>
    <row r="997" spans="11:11" x14ac:dyDescent="0.25">
      <c r="K997" s="233" t="str">
        <f>IFERROR(COUNTIF($B$14:B997,B997)&amp;CHOOSE(MIN(4,COUNTIF($B$14:B997,B997)),"st","nd","rd","th"),"")</f>
        <v/>
      </c>
    </row>
    <row r="998" spans="11:11" x14ac:dyDescent="0.25">
      <c r="K998" s="233" t="str">
        <f>IFERROR(COUNTIF($B$14:B998,B998)&amp;CHOOSE(MIN(4,COUNTIF($B$14:B998,B998)),"st","nd","rd","th"),"")</f>
        <v/>
      </c>
    </row>
    <row r="999" spans="11:11" x14ac:dyDescent="0.25">
      <c r="K999" s="233" t="str">
        <f>IFERROR(COUNTIF($B$14:B999,B999)&amp;CHOOSE(MIN(4,COUNTIF($B$14:B999,B999)),"st","nd","rd","th"),"")</f>
        <v/>
      </c>
    </row>
    <row r="1000" spans="11:11" x14ac:dyDescent="0.25">
      <c r="K1000" s="233" t="str">
        <f>IFERROR(COUNTIF($B$14:B1000,B1000)&amp;CHOOSE(MIN(4,COUNTIF($B$14:B1000,B1000)),"st","nd","rd","th"),"")</f>
        <v/>
      </c>
    </row>
  </sheetData>
  <mergeCells count="3">
    <mergeCell ref="B6:F6"/>
    <mergeCell ref="B5:F5"/>
    <mergeCell ref="B7:F7"/>
  </mergeCells>
  <hyperlinks>
    <hyperlink ref="C1" location="'Accomplishment 2025'!A1" display="Back to Summary of Accomplishments 2025" xr:uid="{57E38C7D-2492-4871-AFBB-6D070683ECB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658EABE-1D94-4ECB-8BC6-266F7E9B52BF}">
          <x14:formula1>
            <xm:f>Picklists!$A$3:$A$14</xm:f>
          </x14:formula1>
          <xm:sqref>I14:I1048576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EE8B-BAB4-4762-8CBA-8B0329CB30D6}">
  <sheetPr codeName="Sheet11">
    <tabColor theme="5" tint="-0.249977111117893"/>
  </sheetPr>
  <dimension ref="A1:AI84"/>
  <sheetViews>
    <sheetView zoomScale="70" zoomScaleNormal="70" workbookViewId="0">
      <pane xSplit="7" topLeftCell="J1" activePane="topRight" state="frozen"/>
      <selection pane="topRight" activeCell="AE16" sqref="AE16"/>
    </sheetView>
  </sheetViews>
  <sheetFormatPr defaultColWidth="8.88671875" defaultRowHeight="13.8" x14ac:dyDescent="0.25"/>
  <cols>
    <col min="1" max="1" width="16.6640625" style="32" customWidth="1"/>
    <col min="2" max="2" width="23.109375" style="32" customWidth="1"/>
    <col min="3" max="3" width="39.6640625" style="32" bestFit="1" customWidth="1"/>
    <col min="4" max="4" width="29.6640625" style="32" hidden="1" customWidth="1"/>
    <col min="5" max="5" width="23.109375" style="32" hidden="1" customWidth="1"/>
    <col min="6" max="6" width="18.5546875" style="36" hidden="1" customWidth="1"/>
    <col min="7" max="7" width="18.6640625" style="32" hidden="1" customWidth="1"/>
    <col min="8" max="8" width="12.109375" style="37" customWidth="1"/>
    <col min="9" max="9" width="12.88671875" style="37" customWidth="1"/>
    <col min="10" max="10" width="34.33203125" style="32" customWidth="1"/>
    <col min="11" max="13" width="8.88671875" style="32"/>
    <col min="14" max="14" width="16.109375" style="37" customWidth="1"/>
    <col min="15" max="15" width="14.44140625" style="32" customWidth="1"/>
    <col min="16" max="21" width="8.88671875" style="32"/>
    <col min="22" max="22" width="16.44140625" style="32" customWidth="1"/>
    <col min="23" max="29" width="8.88671875" style="32"/>
    <col min="30" max="30" width="17.88671875" style="32" customWidth="1"/>
    <col min="31" max="31" width="21.6640625" style="32" customWidth="1"/>
    <col min="32" max="32" width="12.33203125" style="32" customWidth="1"/>
    <col min="33" max="33" width="12.5546875" style="32" customWidth="1"/>
    <col min="34" max="34" width="16.6640625" style="32" customWidth="1"/>
    <col min="35" max="35" width="13.33203125" style="32" customWidth="1"/>
    <col min="36" max="16384" width="8.88671875" style="32"/>
  </cols>
  <sheetData>
    <row r="1" spans="1:35" ht="14.4" x14ac:dyDescent="0.3">
      <c r="A1" s="609" t="s">
        <v>1715</v>
      </c>
      <c r="B1" s="609"/>
      <c r="C1" s="162" t="s">
        <v>1673</v>
      </c>
      <c r="F1" s="32"/>
      <c r="H1" s="38"/>
      <c r="I1" s="38"/>
      <c r="N1" s="39"/>
      <c r="W1" s="38"/>
      <c r="X1" s="38"/>
      <c r="Y1" s="38"/>
      <c r="Z1" s="38"/>
      <c r="AA1" s="38"/>
      <c r="AB1" s="38"/>
      <c r="AC1" s="38"/>
    </row>
    <row r="2" spans="1:35" x14ac:dyDescent="0.25">
      <c r="A2" s="609"/>
      <c r="B2" s="609"/>
      <c r="D2" s="40"/>
      <c r="E2" s="41"/>
      <c r="F2" s="41"/>
      <c r="G2" s="41"/>
      <c r="H2" s="38"/>
      <c r="I2" s="38"/>
      <c r="J2" s="42" t="s">
        <v>1716</v>
      </c>
      <c r="K2" s="43"/>
      <c r="L2" s="44" t="s">
        <v>1717</v>
      </c>
      <c r="N2" s="45"/>
      <c r="O2" s="45"/>
      <c r="P2" s="45"/>
      <c r="W2" s="38"/>
      <c r="X2" s="38"/>
      <c r="Y2" s="38"/>
      <c r="Z2" s="38"/>
      <c r="AA2" s="38"/>
      <c r="AB2" s="38"/>
      <c r="AC2" s="38"/>
    </row>
    <row r="3" spans="1:35" x14ac:dyDescent="0.25">
      <c r="A3" s="35" t="s">
        <v>1718</v>
      </c>
      <c r="D3" s="41"/>
      <c r="E3" s="41"/>
      <c r="F3" s="41"/>
      <c r="G3" s="41"/>
      <c r="H3" s="38"/>
      <c r="I3" s="38"/>
      <c r="J3" s="45"/>
      <c r="K3" s="46"/>
      <c r="L3" s="47" t="s">
        <v>1719</v>
      </c>
      <c r="N3" s="45"/>
      <c r="O3" s="45"/>
      <c r="P3" s="45"/>
      <c r="W3" s="38"/>
      <c r="X3" s="38"/>
      <c r="Y3" s="38"/>
      <c r="Z3" s="38"/>
      <c r="AA3" s="38"/>
      <c r="AB3" s="38"/>
      <c r="AC3" s="38"/>
    </row>
    <row r="4" spans="1:35" x14ac:dyDescent="0.25">
      <c r="A4" s="35"/>
      <c r="D4" s="41"/>
      <c r="E4" s="41"/>
      <c r="F4" s="41"/>
      <c r="G4" s="41"/>
      <c r="H4" s="38"/>
      <c r="I4" s="38"/>
      <c r="J4" s="45"/>
      <c r="K4" s="48"/>
      <c r="L4" s="47"/>
      <c r="N4" s="45"/>
      <c r="O4" s="45"/>
      <c r="P4" s="45"/>
      <c r="W4" s="38"/>
      <c r="X4" s="38"/>
      <c r="Y4" s="38"/>
      <c r="Z4" s="38"/>
      <c r="AA4" s="38"/>
      <c r="AB4" s="38"/>
      <c r="AC4" s="38"/>
    </row>
    <row r="5" spans="1:35" x14ac:dyDescent="0.25">
      <c r="A5" s="41"/>
      <c r="D5" s="34"/>
      <c r="E5" s="34"/>
      <c r="F5" s="34"/>
      <c r="G5" s="34"/>
      <c r="H5" s="38"/>
      <c r="I5" s="38"/>
      <c r="N5" s="45"/>
      <c r="O5" s="45"/>
      <c r="P5" s="49"/>
      <c r="W5" s="38"/>
      <c r="X5" s="38"/>
      <c r="Y5" s="38"/>
      <c r="Z5" s="38"/>
      <c r="AA5" s="38"/>
      <c r="AB5" s="38"/>
      <c r="AC5" s="38"/>
    </row>
    <row r="6" spans="1:35" ht="45.6" customHeight="1" x14ac:dyDescent="0.25">
      <c r="F6" s="32"/>
      <c r="H6" s="610" t="s">
        <v>1720</v>
      </c>
      <c r="I6" s="611"/>
      <c r="N6" s="32"/>
      <c r="P6" s="606" t="s">
        <v>1721</v>
      </c>
      <c r="Q6" s="607"/>
      <c r="R6" s="607"/>
      <c r="S6" s="607"/>
      <c r="T6" s="607"/>
      <c r="U6" s="607"/>
      <c r="V6" s="608"/>
      <c r="W6" s="603" t="s">
        <v>1722</v>
      </c>
      <c r="X6" s="604"/>
      <c r="Y6" s="604"/>
      <c r="Z6" s="604"/>
      <c r="AA6" s="604"/>
      <c r="AB6" s="604"/>
      <c r="AC6" s="604"/>
      <c r="AD6" s="605"/>
    </row>
    <row r="7" spans="1:35" ht="76.5" customHeight="1" x14ac:dyDescent="0.25">
      <c r="A7" s="50" t="s">
        <v>1723</v>
      </c>
      <c r="B7" s="50" t="s">
        <v>1680</v>
      </c>
      <c r="C7" s="50" t="s">
        <v>1679</v>
      </c>
      <c r="D7" s="51" t="s">
        <v>1678</v>
      </c>
      <c r="E7" s="51" t="s">
        <v>1724</v>
      </c>
      <c r="F7" s="51" t="s">
        <v>1725</v>
      </c>
      <c r="G7" s="51" t="s">
        <v>1726</v>
      </c>
      <c r="H7" s="50" t="s">
        <v>1727</v>
      </c>
      <c r="I7" s="50" t="s">
        <v>1728</v>
      </c>
      <c r="J7" s="50" t="s">
        <v>1729</v>
      </c>
      <c r="K7" s="51" t="s">
        <v>1730</v>
      </c>
      <c r="L7" s="51" t="s">
        <v>1731</v>
      </c>
      <c r="M7" s="51" t="s">
        <v>1732</v>
      </c>
      <c r="N7" s="428" t="s">
        <v>1733</v>
      </c>
      <c r="O7" s="429" t="s">
        <v>1734</v>
      </c>
      <c r="P7" s="52" t="s">
        <v>1735</v>
      </c>
      <c r="Q7" s="52" t="s">
        <v>1736</v>
      </c>
      <c r="R7" s="52" t="s">
        <v>1737</v>
      </c>
      <c r="S7" s="52" t="s">
        <v>1738</v>
      </c>
      <c r="T7" s="52" t="s">
        <v>1739</v>
      </c>
      <c r="U7" s="52" t="s">
        <v>1740</v>
      </c>
      <c r="V7" s="52" t="s">
        <v>1741</v>
      </c>
      <c r="W7" s="53" t="s">
        <v>1742</v>
      </c>
      <c r="X7" s="53" t="s">
        <v>1743</v>
      </c>
      <c r="Y7" s="53" t="s">
        <v>1744</v>
      </c>
      <c r="Z7" s="53" t="s">
        <v>1745</v>
      </c>
      <c r="AA7" s="53" t="s">
        <v>1746</v>
      </c>
      <c r="AB7" s="53" t="s">
        <v>1747</v>
      </c>
      <c r="AC7" s="53" t="s">
        <v>1748</v>
      </c>
      <c r="AD7" s="53" t="s">
        <v>1749</v>
      </c>
      <c r="AE7" s="54" t="s">
        <v>1750</v>
      </c>
      <c r="AF7" s="55" t="s">
        <v>1751</v>
      </c>
      <c r="AG7" s="55" t="s">
        <v>1752</v>
      </c>
      <c r="AH7" s="473" t="s">
        <v>1753</v>
      </c>
      <c r="AI7" s="50" t="s">
        <v>1686</v>
      </c>
    </row>
    <row r="8" spans="1:35" s="509" customFormat="1" ht="15.6" x14ac:dyDescent="0.3">
      <c r="A8" s="497"/>
      <c r="B8" s="498" t="s">
        <v>1754</v>
      </c>
      <c r="C8" s="498" t="s">
        <v>1755</v>
      </c>
      <c r="D8" s="499">
        <v>2013</v>
      </c>
      <c r="E8" s="498">
        <v>2023</v>
      </c>
      <c r="F8" s="500" t="s">
        <v>1756</v>
      </c>
      <c r="G8" s="501"/>
      <c r="H8" s="499">
        <v>2013</v>
      </c>
      <c r="I8" s="498">
        <v>2023</v>
      </c>
      <c r="J8" s="500" t="s">
        <v>1756</v>
      </c>
      <c r="K8" s="502">
        <f>DAY(N8)</f>
        <v>0</v>
      </c>
      <c r="L8" s="502">
        <f t="shared" ref="L8:L22" si="0">MONTH(N8)</f>
        <v>1</v>
      </c>
      <c r="M8" s="502">
        <f t="shared" ref="M8:M22" si="1">YEAR(N8)</f>
        <v>1900</v>
      </c>
      <c r="N8" s="503"/>
      <c r="O8" s="504" t="str">
        <f t="shared" ref="O8:O39" ca="1" si="2">IF((I8="")=TRUE(),IF((N8="")=TRUE(),"No CLUP",IF(YEAR(NOW())-YEAR(N8)&lt;=10,"Updated","For Updating")),IF(YEAR(NOW())-I8&lt;=0,"Updated","For Updating"))</f>
        <v>For Updating</v>
      </c>
      <c r="P8" s="492">
        <v>1</v>
      </c>
      <c r="Q8" s="492">
        <v>1</v>
      </c>
      <c r="R8" s="492">
        <v>1</v>
      </c>
      <c r="S8" s="492" t="s">
        <v>1512</v>
      </c>
      <c r="T8" s="492" t="s">
        <v>1512</v>
      </c>
      <c r="U8" s="492" t="s">
        <v>1512</v>
      </c>
      <c r="V8" s="504" t="str">
        <f t="shared" ref="V8:V39" si="3">IF(SUM(P8:U8)=6,"Phase 5",IF(SUM(P8:U8)=5,"Phase 4",IF(SUM(P8:U8)=4,"Phase 3",IF(SUM(P8:U8)=3,"Phase 2",IF(SUM(P8:U8)=2,"Phase 1",IF(SUM(P8:U8)=1,"Prephase","None Indicated"))))))</f>
        <v>Phase 2</v>
      </c>
      <c r="W8" s="492" t="s">
        <v>1512</v>
      </c>
      <c r="X8" s="492" t="s">
        <v>1512</v>
      </c>
      <c r="Y8" s="492" t="s">
        <v>1512</v>
      </c>
      <c r="Z8" s="492" t="s">
        <v>1512</v>
      </c>
      <c r="AA8" s="492" t="s">
        <v>1512</v>
      </c>
      <c r="AB8" s="492" t="s">
        <v>1512</v>
      </c>
      <c r="AC8" s="492" t="s">
        <v>1512</v>
      </c>
      <c r="AD8" s="505" t="str">
        <f t="shared" ref="AD8:AD39" si="4">IF(SUM(W8:AC8)=7,"RA7",IF(SUM(W8:AC8)=6,"RA 6",IF(SUM(W8:AC8)=5,"RA 5",IF(SUM(W8:AC8)=4,"RA 4",IF(SUM(W8:AC8)=3,"RA3",IF(SUM(W8:AC8)=2,"RA 2",IF(SUM(W8:AC8)=1,"RA1","None Indicated")))))))</f>
        <v>None Indicated</v>
      </c>
      <c r="AE8" s="493" t="s">
        <v>1757</v>
      </c>
      <c r="AF8" s="506"/>
      <c r="AG8" s="507"/>
      <c r="AH8" s="508"/>
      <c r="AI8" s="508"/>
    </row>
    <row r="9" spans="1:35" s="509" customFormat="1" ht="15.6" x14ac:dyDescent="0.3">
      <c r="A9" s="497"/>
      <c r="B9" s="510" t="s">
        <v>203</v>
      </c>
      <c r="C9" s="510" t="s">
        <v>1755</v>
      </c>
      <c r="D9" s="511">
        <v>2014</v>
      </c>
      <c r="E9" s="510">
        <v>2023</v>
      </c>
      <c r="F9" s="512" t="s">
        <v>1758</v>
      </c>
      <c r="G9" s="501"/>
      <c r="H9" s="511">
        <v>2014</v>
      </c>
      <c r="I9" s="510">
        <v>2023</v>
      </c>
      <c r="J9" s="512" t="s">
        <v>1758</v>
      </c>
      <c r="K9" s="502">
        <f t="shared" ref="K9:K22" si="5">DAY(N9)</f>
        <v>0</v>
      </c>
      <c r="L9" s="502">
        <f t="shared" si="0"/>
        <v>1</v>
      </c>
      <c r="M9" s="502">
        <f t="shared" si="1"/>
        <v>1900</v>
      </c>
      <c r="N9" s="513"/>
      <c r="O9" s="504" t="str">
        <f t="shared" ca="1" si="2"/>
        <v>For Updating</v>
      </c>
      <c r="P9" s="492">
        <v>1</v>
      </c>
      <c r="Q9" s="492" t="s">
        <v>1512</v>
      </c>
      <c r="R9" s="492" t="s">
        <v>1512</v>
      </c>
      <c r="S9" s="492" t="s">
        <v>1512</v>
      </c>
      <c r="T9" s="492" t="s">
        <v>1512</v>
      </c>
      <c r="U9" s="492" t="s">
        <v>1512</v>
      </c>
      <c r="V9" s="504" t="str">
        <f t="shared" si="3"/>
        <v>Prephase</v>
      </c>
      <c r="W9" s="492" t="s">
        <v>1512</v>
      </c>
      <c r="X9" s="492" t="s">
        <v>1512</v>
      </c>
      <c r="Y9" s="492" t="s">
        <v>1512</v>
      </c>
      <c r="Z9" s="492" t="s">
        <v>1512</v>
      </c>
      <c r="AA9" s="492" t="s">
        <v>1512</v>
      </c>
      <c r="AB9" s="492" t="s">
        <v>1512</v>
      </c>
      <c r="AC9" s="492" t="s">
        <v>1512</v>
      </c>
      <c r="AD9" s="505" t="str">
        <f t="shared" si="4"/>
        <v>None Indicated</v>
      </c>
      <c r="AE9" s="494" t="s">
        <v>1757</v>
      </c>
      <c r="AF9" s="506"/>
      <c r="AG9" s="507"/>
      <c r="AH9" s="508"/>
      <c r="AI9" s="508"/>
    </row>
    <row r="10" spans="1:35" s="509" customFormat="1" ht="15.6" x14ac:dyDescent="0.3">
      <c r="A10" s="497"/>
      <c r="B10" s="498" t="s">
        <v>1759</v>
      </c>
      <c r="C10" s="498" t="s">
        <v>1755</v>
      </c>
      <c r="D10" s="499">
        <v>2022</v>
      </c>
      <c r="E10" s="498">
        <v>2031</v>
      </c>
      <c r="F10" s="500" t="s">
        <v>1760</v>
      </c>
      <c r="G10" s="501"/>
      <c r="H10" s="499">
        <v>2022</v>
      </c>
      <c r="I10" s="498">
        <v>2031</v>
      </c>
      <c r="J10" s="500" t="s">
        <v>1760</v>
      </c>
      <c r="K10" s="502">
        <f t="shared" si="5"/>
        <v>0</v>
      </c>
      <c r="L10" s="502">
        <f t="shared" si="0"/>
        <v>1</v>
      </c>
      <c r="M10" s="502">
        <f t="shared" si="1"/>
        <v>1900</v>
      </c>
      <c r="N10" s="514"/>
      <c r="O10" s="504" t="str">
        <f t="shared" ca="1" si="2"/>
        <v>Updated</v>
      </c>
      <c r="P10" s="492" t="s">
        <v>1512</v>
      </c>
      <c r="Q10" s="492" t="s">
        <v>1512</v>
      </c>
      <c r="R10" s="492" t="s">
        <v>1512</v>
      </c>
      <c r="S10" s="492" t="s">
        <v>1512</v>
      </c>
      <c r="T10" s="492" t="s">
        <v>1512</v>
      </c>
      <c r="U10" s="492" t="s">
        <v>1512</v>
      </c>
      <c r="V10" s="504" t="str">
        <f t="shared" si="3"/>
        <v>None Indicated</v>
      </c>
      <c r="W10" s="492" t="s">
        <v>1512</v>
      </c>
      <c r="X10" s="492" t="s">
        <v>1512</v>
      </c>
      <c r="Y10" s="492" t="s">
        <v>1512</v>
      </c>
      <c r="Z10" s="492" t="s">
        <v>1512</v>
      </c>
      <c r="AA10" s="492" t="s">
        <v>1512</v>
      </c>
      <c r="AB10" s="492" t="s">
        <v>1512</v>
      </c>
      <c r="AC10" s="492" t="s">
        <v>1512</v>
      </c>
      <c r="AD10" s="505" t="str">
        <f t="shared" si="4"/>
        <v>None Indicated</v>
      </c>
      <c r="AE10" s="493" t="s">
        <v>1757</v>
      </c>
      <c r="AF10" s="506"/>
      <c r="AG10" s="507"/>
      <c r="AH10" s="508"/>
      <c r="AI10" s="508"/>
    </row>
    <row r="11" spans="1:35" s="509" customFormat="1" ht="15.6" x14ac:dyDescent="0.3">
      <c r="A11" s="497"/>
      <c r="B11" s="498" t="s">
        <v>275</v>
      </c>
      <c r="C11" s="498" t="s">
        <v>1755</v>
      </c>
      <c r="D11" s="499">
        <v>2000</v>
      </c>
      <c r="E11" s="498">
        <v>2009</v>
      </c>
      <c r="F11" s="500" t="s">
        <v>1761</v>
      </c>
      <c r="G11" s="501"/>
      <c r="H11" s="499">
        <v>2000</v>
      </c>
      <c r="I11" s="498">
        <v>2009</v>
      </c>
      <c r="J11" s="500" t="s">
        <v>1761</v>
      </c>
      <c r="K11" s="502">
        <f t="shared" si="5"/>
        <v>0</v>
      </c>
      <c r="L11" s="502">
        <f t="shared" si="0"/>
        <v>1</v>
      </c>
      <c r="M11" s="502">
        <f t="shared" si="1"/>
        <v>1900</v>
      </c>
      <c r="N11" s="513"/>
      <c r="O11" s="504" t="str">
        <f t="shared" ca="1" si="2"/>
        <v>For Updating</v>
      </c>
      <c r="P11" s="492">
        <v>1</v>
      </c>
      <c r="Q11" s="492">
        <v>1</v>
      </c>
      <c r="R11" s="492">
        <v>1</v>
      </c>
      <c r="S11" s="492">
        <v>1</v>
      </c>
      <c r="T11" s="492">
        <v>1</v>
      </c>
      <c r="U11" s="492">
        <v>1</v>
      </c>
      <c r="V11" s="504" t="str">
        <f t="shared" si="3"/>
        <v>Phase 5</v>
      </c>
      <c r="W11" s="492" t="s">
        <v>1512</v>
      </c>
      <c r="X11" s="492" t="s">
        <v>1512</v>
      </c>
      <c r="Y11" s="492" t="s">
        <v>1512</v>
      </c>
      <c r="Z11" s="492" t="s">
        <v>1512</v>
      </c>
      <c r="AA11" s="492" t="s">
        <v>1512</v>
      </c>
      <c r="AB11" s="492" t="s">
        <v>1512</v>
      </c>
      <c r="AC11" s="492" t="s">
        <v>1512</v>
      </c>
      <c r="AD11" s="505" t="str">
        <f t="shared" si="4"/>
        <v>None Indicated</v>
      </c>
      <c r="AE11" s="493" t="s">
        <v>1757</v>
      </c>
      <c r="AF11" s="506"/>
      <c r="AG11" s="507"/>
      <c r="AH11" s="508"/>
      <c r="AI11" s="508"/>
    </row>
    <row r="12" spans="1:35" s="509" customFormat="1" ht="15.6" x14ac:dyDescent="0.3">
      <c r="A12" s="497"/>
      <c r="B12" s="498" t="s">
        <v>348</v>
      </c>
      <c r="C12" s="498" t="s">
        <v>1755</v>
      </c>
      <c r="D12" s="499">
        <v>2000</v>
      </c>
      <c r="E12" s="498">
        <v>2010</v>
      </c>
      <c r="F12" s="500" t="s">
        <v>1762</v>
      </c>
      <c r="G12" s="501"/>
      <c r="H12" s="499">
        <v>2000</v>
      </c>
      <c r="I12" s="498">
        <v>2010</v>
      </c>
      <c r="J12" s="500" t="s">
        <v>1762</v>
      </c>
      <c r="K12" s="502">
        <f t="shared" si="5"/>
        <v>0</v>
      </c>
      <c r="L12" s="502">
        <f t="shared" si="0"/>
        <v>1</v>
      </c>
      <c r="M12" s="502">
        <f t="shared" si="1"/>
        <v>1900</v>
      </c>
      <c r="N12" s="513"/>
      <c r="O12" s="504" t="str">
        <f t="shared" ca="1" si="2"/>
        <v>For Updating</v>
      </c>
      <c r="P12" s="492">
        <v>1</v>
      </c>
      <c r="Q12" s="492" t="s">
        <v>1512</v>
      </c>
      <c r="R12" s="492" t="s">
        <v>1512</v>
      </c>
      <c r="S12" s="492" t="s">
        <v>1512</v>
      </c>
      <c r="T12" s="492" t="s">
        <v>1512</v>
      </c>
      <c r="U12" s="492" t="s">
        <v>1512</v>
      </c>
      <c r="V12" s="504" t="str">
        <f t="shared" si="3"/>
        <v>Prephase</v>
      </c>
      <c r="W12" s="492" t="s">
        <v>1512</v>
      </c>
      <c r="X12" s="492" t="s">
        <v>1512</v>
      </c>
      <c r="Y12" s="492" t="s">
        <v>1512</v>
      </c>
      <c r="Z12" s="492" t="s">
        <v>1512</v>
      </c>
      <c r="AA12" s="492" t="s">
        <v>1512</v>
      </c>
      <c r="AB12" s="492" t="s">
        <v>1512</v>
      </c>
      <c r="AC12" s="492" t="s">
        <v>1512</v>
      </c>
      <c r="AD12" s="505" t="str">
        <f t="shared" si="4"/>
        <v>None Indicated</v>
      </c>
      <c r="AE12" s="493" t="s">
        <v>1757</v>
      </c>
      <c r="AF12" s="506"/>
      <c r="AG12" s="507"/>
      <c r="AH12" s="508"/>
      <c r="AI12" s="508"/>
    </row>
    <row r="13" spans="1:35" s="509" customFormat="1" ht="15.6" x14ac:dyDescent="0.3">
      <c r="A13" s="497"/>
      <c r="B13" s="498" t="s">
        <v>418</v>
      </c>
      <c r="C13" s="498" t="s">
        <v>1755</v>
      </c>
      <c r="D13" s="499">
        <v>2000</v>
      </c>
      <c r="E13" s="498">
        <v>2009</v>
      </c>
      <c r="F13" s="500" t="s">
        <v>1763</v>
      </c>
      <c r="G13" s="501"/>
      <c r="H13" s="499">
        <v>2000</v>
      </c>
      <c r="I13" s="498">
        <v>2009</v>
      </c>
      <c r="J13" s="500" t="s">
        <v>1763</v>
      </c>
      <c r="K13" s="502">
        <f t="shared" si="5"/>
        <v>0</v>
      </c>
      <c r="L13" s="502">
        <f t="shared" si="0"/>
        <v>1</v>
      </c>
      <c r="M13" s="502">
        <f t="shared" si="1"/>
        <v>1900</v>
      </c>
      <c r="N13" s="514"/>
      <c r="O13" s="504" t="str">
        <f t="shared" ca="1" si="2"/>
        <v>For Updating</v>
      </c>
      <c r="P13" s="492">
        <v>1</v>
      </c>
      <c r="Q13" s="492" t="s">
        <v>1512</v>
      </c>
      <c r="R13" s="492" t="s">
        <v>1512</v>
      </c>
      <c r="S13" s="492" t="s">
        <v>1512</v>
      </c>
      <c r="T13" s="492" t="s">
        <v>1512</v>
      </c>
      <c r="U13" s="492" t="s">
        <v>1512</v>
      </c>
      <c r="V13" s="504" t="str">
        <f t="shared" si="3"/>
        <v>Prephase</v>
      </c>
      <c r="W13" s="492" t="s">
        <v>1512</v>
      </c>
      <c r="X13" s="492" t="s">
        <v>1512</v>
      </c>
      <c r="Y13" s="492" t="s">
        <v>1512</v>
      </c>
      <c r="Z13" s="492" t="s">
        <v>1512</v>
      </c>
      <c r="AA13" s="492" t="s">
        <v>1512</v>
      </c>
      <c r="AB13" s="492" t="s">
        <v>1512</v>
      </c>
      <c r="AC13" s="492" t="s">
        <v>1512</v>
      </c>
      <c r="AD13" s="505" t="str">
        <f t="shared" si="4"/>
        <v>None Indicated</v>
      </c>
      <c r="AE13" s="493" t="s">
        <v>1757</v>
      </c>
      <c r="AF13" s="506"/>
      <c r="AG13" s="507"/>
      <c r="AH13" s="508"/>
      <c r="AI13" s="508"/>
    </row>
    <row r="14" spans="1:35" s="509" customFormat="1" ht="15.6" x14ac:dyDescent="0.3">
      <c r="A14" s="497"/>
      <c r="B14" s="498" t="s">
        <v>1764</v>
      </c>
      <c r="C14" s="498" t="s">
        <v>1755</v>
      </c>
      <c r="D14" s="499">
        <v>1997</v>
      </c>
      <c r="E14" s="498">
        <v>2010</v>
      </c>
      <c r="F14" s="500" t="s">
        <v>1765</v>
      </c>
      <c r="G14" s="501"/>
      <c r="H14" s="499">
        <v>1997</v>
      </c>
      <c r="I14" s="498">
        <v>2010</v>
      </c>
      <c r="J14" s="500" t="s">
        <v>1765</v>
      </c>
      <c r="K14" s="502">
        <f t="shared" si="5"/>
        <v>0</v>
      </c>
      <c r="L14" s="502">
        <f t="shared" si="0"/>
        <v>1</v>
      </c>
      <c r="M14" s="502">
        <f t="shared" si="1"/>
        <v>1900</v>
      </c>
      <c r="N14" s="514"/>
      <c r="O14" s="504" t="str">
        <f t="shared" ca="1" si="2"/>
        <v>For Updating</v>
      </c>
      <c r="P14" s="492">
        <v>1</v>
      </c>
      <c r="Q14" s="492" t="s">
        <v>1512</v>
      </c>
      <c r="R14" s="492" t="s">
        <v>1512</v>
      </c>
      <c r="S14" s="492" t="s">
        <v>1512</v>
      </c>
      <c r="T14" s="492" t="s">
        <v>1512</v>
      </c>
      <c r="U14" s="492" t="s">
        <v>1512</v>
      </c>
      <c r="V14" s="504" t="str">
        <f t="shared" si="3"/>
        <v>Prephase</v>
      </c>
      <c r="W14" s="492" t="s">
        <v>1512</v>
      </c>
      <c r="X14" s="492" t="s">
        <v>1512</v>
      </c>
      <c r="Y14" s="492" t="s">
        <v>1512</v>
      </c>
      <c r="Z14" s="492" t="s">
        <v>1512</v>
      </c>
      <c r="AA14" s="492" t="s">
        <v>1512</v>
      </c>
      <c r="AB14" s="492" t="s">
        <v>1512</v>
      </c>
      <c r="AC14" s="492" t="s">
        <v>1512</v>
      </c>
      <c r="AD14" s="505" t="str">
        <f t="shared" si="4"/>
        <v>None Indicated</v>
      </c>
      <c r="AE14" s="493" t="s">
        <v>1757</v>
      </c>
      <c r="AF14" s="506"/>
      <c r="AG14" s="507"/>
      <c r="AH14" s="508"/>
      <c r="AI14" s="508"/>
    </row>
    <row r="15" spans="1:35" s="509" customFormat="1" ht="15.6" x14ac:dyDescent="0.3">
      <c r="A15" s="497"/>
      <c r="B15" s="498" t="s">
        <v>1766</v>
      </c>
      <c r="C15" s="498" t="s">
        <v>1755</v>
      </c>
      <c r="D15" s="499">
        <v>2000</v>
      </c>
      <c r="E15" s="498">
        <v>2009</v>
      </c>
      <c r="F15" s="500" t="s">
        <v>1767</v>
      </c>
      <c r="G15" s="501"/>
      <c r="H15" s="499">
        <v>2000</v>
      </c>
      <c r="I15" s="498">
        <v>2009</v>
      </c>
      <c r="J15" s="500" t="s">
        <v>1767</v>
      </c>
      <c r="K15" s="502">
        <f t="shared" si="5"/>
        <v>0</v>
      </c>
      <c r="L15" s="502">
        <f t="shared" si="0"/>
        <v>1</v>
      </c>
      <c r="M15" s="502">
        <f t="shared" si="1"/>
        <v>1900</v>
      </c>
      <c r="N15" s="514"/>
      <c r="O15" s="504" t="str">
        <f t="shared" ca="1" si="2"/>
        <v>For Updating</v>
      </c>
      <c r="P15" s="492">
        <v>1</v>
      </c>
      <c r="Q15" s="492" t="s">
        <v>1512</v>
      </c>
      <c r="R15" s="492" t="s">
        <v>1512</v>
      </c>
      <c r="S15" s="492" t="s">
        <v>1512</v>
      </c>
      <c r="T15" s="492" t="s">
        <v>1512</v>
      </c>
      <c r="U15" s="492" t="s">
        <v>1512</v>
      </c>
      <c r="V15" s="504" t="str">
        <f t="shared" si="3"/>
        <v>Prephase</v>
      </c>
      <c r="W15" s="492" t="s">
        <v>1512</v>
      </c>
      <c r="X15" s="492" t="s">
        <v>1512</v>
      </c>
      <c r="Y15" s="492" t="s">
        <v>1512</v>
      </c>
      <c r="Z15" s="492" t="s">
        <v>1512</v>
      </c>
      <c r="AA15" s="492" t="s">
        <v>1512</v>
      </c>
      <c r="AB15" s="492" t="s">
        <v>1512</v>
      </c>
      <c r="AC15" s="492" t="s">
        <v>1512</v>
      </c>
      <c r="AD15" s="505" t="str">
        <f t="shared" si="4"/>
        <v>None Indicated</v>
      </c>
      <c r="AE15" s="493" t="s">
        <v>1757</v>
      </c>
      <c r="AF15" s="506"/>
      <c r="AG15" s="507"/>
      <c r="AH15" s="508"/>
      <c r="AI15" s="508"/>
    </row>
    <row r="16" spans="1:35" s="509" customFormat="1" ht="15.6" x14ac:dyDescent="0.3">
      <c r="A16" s="497"/>
      <c r="B16" s="498" t="s">
        <v>1768</v>
      </c>
      <c r="C16" s="498" t="s">
        <v>1755</v>
      </c>
      <c r="D16" s="499">
        <v>2022</v>
      </c>
      <c r="E16" s="498">
        <v>2032</v>
      </c>
      <c r="F16" s="500" t="s">
        <v>1769</v>
      </c>
      <c r="G16" s="501"/>
      <c r="H16" s="499">
        <v>2022</v>
      </c>
      <c r="I16" s="498">
        <v>2032</v>
      </c>
      <c r="J16" s="500" t="s">
        <v>1769</v>
      </c>
      <c r="K16" s="502">
        <f t="shared" si="5"/>
        <v>0</v>
      </c>
      <c r="L16" s="502">
        <f t="shared" si="0"/>
        <v>1</v>
      </c>
      <c r="M16" s="502">
        <f t="shared" si="1"/>
        <v>1900</v>
      </c>
      <c r="N16" s="513"/>
      <c r="O16" s="504" t="str">
        <f t="shared" ca="1" si="2"/>
        <v>Updated</v>
      </c>
      <c r="P16" s="492" t="s">
        <v>1512</v>
      </c>
      <c r="Q16" s="492" t="s">
        <v>1512</v>
      </c>
      <c r="R16" s="492" t="s">
        <v>1512</v>
      </c>
      <c r="S16" s="492" t="s">
        <v>1512</v>
      </c>
      <c r="T16" s="492" t="s">
        <v>1512</v>
      </c>
      <c r="U16" s="492" t="s">
        <v>1512</v>
      </c>
      <c r="V16" s="504" t="str">
        <f t="shared" si="3"/>
        <v>None Indicated</v>
      </c>
      <c r="W16" s="492" t="s">
        <v>1512</v>
      </c>
      <c r="X16" s="492" t="s">
        <v>1512</v>
      </c>
      <c r="Y16" s="492" t="s">
        <v>1512</v>
      </c>
      <c r="Z16" s="492" t="s">
        <v>1512</v>
      </c>
      <c r="AA16" s="492" t="s">
        <v>1512</v>
      </c>
      <c r="AB16" s="492" t="s">
        <v>1512</v>
      </c>
      <c r="AC16" s="492" t="s">
        <v>1512</v>
      </c>
      <c r="AD16" s="505" t="str">
        <f t="shared" si="4"/>
        <v>None Indicated</v>
      </c>
      <c r="AE16" s="493" t="s">
        <v>1770</v>
      </c>
      <c r="AF16" s="506"/>
      <c r="AG16" s="507"/>
      <c r="AH16" s="508"/>
      <c r="AI16" s="508"/>
    </row>
    <row r="17" spans="1:35" s="509" customFormat="1" ht="15.6" x14ac:dyDescent="0.3">
      <c r="A17" s="497"/>
      <c r="B17" s="498" t="s">
        <v>1207</v>
      </c>
      <c r="C17" s="498" t="s">
        <v>1755</v>
      </c>
      <c r="D17" s="499">
        <v>2000</v>
      </c>
      <c r="E17" s="498">
        <v>2009</v>
      </c>
      <c r="F17" s="500" t="s">
        <v>1771</v>
      </c>
      <c r="G17" s="501"/>
      <c r="H17" s="499">
        <v>2000</v>
      </c>
      <c r="I17" s="498">
        <v>2009</v>
      </c>
      <c r="J17" s="500" t="s">
        <v>1771</v>
      </c>
      <c r="K17" s="502">
        <f t="shared" si="5"/>
        <v>0</v>
      </c>
      <c r="L17" s="502">
        <f t="shared" si="0"/>
        <v>1</v>
      </c>
      <c r="M17" s="502">
        <f t="shared" si="1"/>
        <v>1900</v>
      </c>
      <c r="N17" s="514"/>
      <c r="O17" s="504" t="str">
        <f t="shared" ca="1" si="2"/>
        <v>For Updating</v>
      </c>
      <c r="P17" s="492">
        <v>1</v>
      </c>
      <c r="Q17" s="492">
        <v>1</v>
      </c>
      <c r="R17" s="492">
        <v>1</v>
      </c>
      <c r="S17" s="492">
        <v>1</v>
      </c>
      <c r="T17" s="492">
        <v>1</v>
      </c>
      <c r="U17" s="492">
        <v>1</v>
      </c>
      <c r="V17" s="504" t="str">
        <f t="shared" si="3"/>
        <v>Phase 5</v>
      </c>
      <c r="W17" s="492">
        <v>1</v>
      </c>
      <c r="X17" s="492">
        <v>1</v>
      </c>
      <c r="Y17" s="492">
        <v>1</v>
      </c>
      <c r="Z17" s="492" t="s">
        <v>1512</v>
      </c>
      <c r="AA17" s="492" t="s">
        <v>1512</v>
      </c>
      <c r="AB17" s="492" t="s">
        <v>1512</v>
      </c>
      <c r="AC17" s="492" t="s">
        <v>1512</v>
      </c>
      <c r="AD17" s="505" t="str">
        <f t="shared" si="4"/>
        <v>RA3</v>
      </c>
      <c r="AE17" s="493" t="s">
        <v>1757</v>
      </c>
      <c r="AF17" s="506"/>
      <c r="AG17" s="507"/>
      <c r="AH17" s="508"/>
      <c r="AI17" s="508"/>
    </row>
    <row r="18" spans="1:35" s="509" customFormat="1" ht="15.6" x14ac:dyDescent="0.3">
      <c r="A18" s="497"/>
      <c r="B18" s="510" t="s">
        <v>1236</v>
      </c>
      <c r="C18" s="510" t="s">
        <v>1755</v>
      </c>
      <c r="D18" s="511">
        <v>2020</v>
      </c>
      <c r="E18" s="510">
        <v>2030</v>
      </c>
      <c r="F18" s="512" t="s">
        <v>1772</v>
      </c>
      <c r="G18" s="501"/>
      <c r="H18" s="511">
        <v>2020</v>
      </c>
      <c r="I18" s="510">
        <v>2030</v>
      </c>
      <c r="J18" s="512" t="s">
        <v>1772</v>
      </c>
      <c r="K18" s="502">
        <f t="shared" si="5"/>
        <v>0</v>
      </c>
      <c r="L18" s="502">
        <f t="shared" si="0"/>
        <v>1</v>
      </c>
      <c r="M18" s="502">
        <f t="shared" si="1"/>
        <v>1900</v>
      </c>
      <c r="N18" s="514"/>
      <c r="O18" s="504" t="str">
        <f t="shared" ca="1" si="2"/>
        <v>Updated</v>
      </c>
      <c r="P18" s="495" t="s">
        <v>1512</v>
      </c>
      <c r="Q18" s="495" t="s">
        <v>1512</v>
      </c>
      <c r="R18" s="495" t="s">
        <v>1512</v>
      </c>
      <c r="S18" s="495" t="s">
        <v>1512</v>
      </c>
      <c r="T18" s="495" t="s">
        <v>1512</v>
      </c>
      <c r="U18" s="495" t="s">
        <v>1512</v>
      </c>
      <c r="V18" s="504" t="str">
        <f t="shared" si="3"/>
        <v>None Indicated</v>
      </c>
      <c r="W18" s="495" t="s">
        <v>1512</v>
      </c>
      <c r="X18" s="495" t="s">
        <v>1512</v>
      </c>
      <c r="Y18" s="495" t="s">
        <v>1512</v>
      </c>
      <c r="Z18" s="495" t="s">
        <v>1512</v>
      </c>
      <c r="AA18" s="495" t="s">
        <v>1512</v>
      </c>
      <c r="AB18" s="495" t="s">
        <v>1512</v>
      </c>
      <c r="AC18" s="495" t="s">
        <v>1512</v>
      </c>
      <c r="AD18" s="505" t="str">
        <f t="shared" si="4"/>
        <v>None Indicated</v>
      </c>
      <c r="AE18" s="496" t="s">
        <v>1757</v>
      </c>
      <c r="AF18" s="506"/>
      <c r="AG18" s="507"/>
      <c r="AH18" s="508"/>
      <c r="AI18" s="508"/>
    </row>
    <row r="19" spans="1:35" s="509" customFormat="1" ht="15.6" x14ac:dyDescent="0.3">
      <c r="A19" s="497"/>
      <c r="B19" s="498" t="s">
        <v>1256</v>
      </c>
      <c r="C19" s="498" t="s">
        <v>1755</v>
      </c>
      <c r="D19" s="499">
        <v>2000</v>
      </c>
      <c r="E19" s="498">
        <v>2010</v>
      </c>
      <c r="F19" s="500" t="s">
        <v>1773</v>
      </c>
      <c r="G19" s="501"/>
      <c r="H19" s="499">
        <v>2000</v>
      </c>
      <c r="I19" s="498">
        <v>2010</v>
      </c>
      <c r="J19" s="500" t="s">
        <v>1773</v>
      </c>
      <c r="K19" s="502">
        <f t="shared" si="5"/>
        <v>0</v>
      </c>
      <c r="L19" s="502">
        <f t="shared" si="0"/>
        <v>1</v>
      </c>
      <c r="M19" s="502">
        <f t="shared" si="1"/>
        <v>1900</v>
      </c>
      <c r="N19" s="513"/>
      <c r="O19" s="504" t="str">
        <f t="shared" ca="1" si="2"/>
        <v>For Updating</v>
      </c>
      <c r="P19" s="492">
        <v>1</v>
      </c>
      <c r="Q19" s="492">
        <v>1</v>
      </c>
      <c r="R19" s="492">
        <v>1</v>
      </c>
      <c r="S19" s="492">
        <v>1</v>
      </c>
      <c r="T19" s="492">
        <v>1</v>
      </c>
      <c r="U19" s="492">
        <v>1</v>
      </c>
      <c r="V19" s="504" t="str">
        <f t="shared" si="3"/>
        <v>Phase 5</v>
      </c>
      <c r="W19" s="492">
        <v>1</v>
      </c>
      <c r="X19" s="492">
        <v>1</v>
      </c>
      <c r="Y19" s="492">
        <v>1</v>
      </c>
      <c r="Z19" s="492" t="s">
        <v>1512</v>
      </c>
      <c r="AA19" s="492" t="s">
        <v>1512</v>
      </c>
      <c r="AB19" s="492" t="s">
        <v>1512</v>
      </c>
      <c r="AC19" s="492" t="s">
        <v>1512</v>
      </c>
      <c r="AD19" s="505" t="str">
        <f t="shared" si="4"/>
        <v>RA3</v>
      </c>
      <c r="AE19" s="493" t="s">
        <v>1757</v>
      </c>
      <c r="AF19" s="506"/>
      <c r="AG19" s="507"/>
      <c r="AH19" s="508"/>
      <c r="AI19" s="508"/>
    </row>
    <row r="20" spans="1:35" s="509" customFormat="1" ht="15.6" x14ac:dyDescent="0.3">
      <c r="A20" s="497"/>
      <c r="B20" s="498" t="s">
        <v>114</v>
      </c>
      <c r="C20" s="498" t="s">
        <v>1755</v>
      </c>
      <c r="D20" s="499">
        <v>2005</v>
      </c>
      <c r="E20" s="498">
        <v>2010</v>
      </c>
      <c r="F20" s="500" t="s">
        <v>1774</v>
      </c>
      <c r="G20" s="501"/>
      <c r="H20" s="499">
        <v>2005</v>
      </c>
      <c r="I20" s="498">
        <v>2010</v>
      </c>
      <c r="J20" s="500" t="s">
        <v>1774</v>
      </c>
      <c r="K20" s="502">
        <f t="shared" si="5"/>
        <v>0</v>
      </c>
      <c r="L20" s="502">
        <f t="shared" si="0"/>
        <v>1</v>
      </c>
      <c r="M20" s="502">
        <f t="shared" si="1"/>
        <v>1900</v>
      </c>
      <c r="N20" s="513"/>
      <c r="O20" s="504" t="str">
        <f t="shared" ca="1" si="2"/>
        <v>For Updating</v>
      </c>
      <c r="P20" s="492">
        <v>1</v>
      </c>
      <c r="Q20" s="492" t="s">
        <v>1512</v>
      </c>
      <c r="R20" s="492" t="s">
        <v>1512</v>
      </c>
      <c r="S20" s="492" t="s">
        <v>1512</v>
      </c>
      <c r="T20" s="492" t="s">
        <v>1512</v>
      </c>
      <c r="U20" s="492" t="s">
        <v>1512</v>
      </c>
      <c r="V20" s="504" t="str">
        <f t="shared" si="3"/>
        <v>Prephase</v>
      </c>
      <c r="W20" s="492" t="s">
        <v>1512</v>
      </c>
      <c r="X20" s="492" t="s">
        <v>1512</v>
      </c>
      <c r="Y20" s="492" t="s">
        <v>1512</v>
      </c>
      <c r="Z20" s="492" t="s">
        <v>1512</v>
      </c>
      <c r="AA20" s="492" t="s">
        <v>1512</v>
      </c>
      <c r="AB20" s="492" t="s">
        <v>1512</v>
      </c>
      <c r="AC20" s="492" t="s">
        <v>1512</v>
      </c>
      <c r="AD20" s="505" t="str">
        <f t="shared" si="4"/>
        <v>None Indicated</v>
      </c>
      <c r="AE20" s="493" t="s">
        <v>1757</v>
      </c>
      <c r="AF20" s="506"/>
      <c r="AG20" s="507"/>
      <c r="AH20" s="508"/>
      <c r="AI20" s="508"/>
    </row>
    <row r="21" spans="1:35" s="509" customFormat="1" ht="15.6" x14ac:dyDescent="0.3">
      <c r="A21" s="497"/>
      <c r="B21" s="498" t="s">
        <v>1775</v>
      </c>
      <c r="C21" s="498" t="s">
        <v>1755</v>
      </c>
      <c r="D21" s="499">
        <v>2018</v>
      </c>
      <c r="E21" s="498">
        <v>2027</v>
      </c>
      <c r="F21" s="500" t="s">
        <v>1776</v>
      </c>
      <c r="G21" s="501"/>
      <c r="H21" s="499">
        <v>2018</v>
      </c>
      <c r="I21" s="498">
        <v>2027</v>
      </c>
      <c r="J21" s="500" t="s">
        <v>1776</v>
      </c>
      <c r="K21" s="502">
        <f t="shared" si="5"/>
        <v>0</v>
      </c>
      <c r="L21" s="502">
        <f t="shared" si="0"/>
        <v>1</v>
      </c>
      <c r="M21" s="502">
        <f t="shared" si="1"/>
        <v>1900</v>
      </c>
      <c r="N21" s="513"/>
      <c r="O21" s="504" t="str">
        <f t="shared" ca="1" si="2"/>
        <v>Updated</v>
      </c>
      <c r="P21" s="492" t="s">
        <v>1512</v>
      </c>
      <c r="Q21" s="492" t="s">
        <v>1512</v>
      </c>
      <c r="R21" s="492" t="s">
        <v>1512</v>
      </c>
      <c r="S21" s="492" t="s">
        <v>1512</v>
      </c>
      <c r="T21" s="492" t="s">
        <v>1512</v>
      </c>
      <c r="U21" s="492" t="s">
        <v>1512</v>
      </c>
      <c r="V21" s="504" t="str">
        <f t="shared" si="3"/>
        <v>None Indicated</v>
      </c>
      <c r="W21" s="492" t="s">
        <v>1512</v>
      </c>
      <c r="X21" s="492" t="s">
        <v>1512</v>
      </c>
      <c r="Y21" s="492" t="s">
        <v>1512</v>
      </c>
      <c r="Z21" s="492" t="s">
        <v>1512</v>
      </c>
      <c r="AA21" s="492" t="s">
        <v>1512</v>
      </c>
      <c r="AB21" s="492" t="s">
        <v>1512</v>
      </c>
      <c r="AC21" s="492" t="s">
        <v>1512</v>
      </c>
      <c r="AD21" s="505" t="str">
        <f t="shared" si="4"/>
        <v>None Indicated</v>
      </c>
      <c r="AE21" s="493" t="s">
        <v>1757</v>
      </c>
      <c r="AF21" s="506"/>
      <c r="AG21" s="507"/>
      <c r="AH21" s="508"/>
      <c r="AI21" s="508"/>
    </row>
    <row r="22" spans="1:35" s="509" customFormat="1" ht="15.6" x14ac:dyDescent="0.3">
      <c r="A22" s="497"/>
      <c r="B22" s="498" t="s">
        <v>1777</v>
      </c>
      <c r="C22" s="498" t="s">
        <v>1755</v>
      </c>
      <c r="D22" s="499">
        <v>2013</v>
      </c>
      <c r="E22" s="498">
        <v>2022</v>
      </c>
      <c r="F22" s="500" t="s">
        <v>1778</v>
      </c>
      <c r="G22" s="501"/>
      <c r="H22" s="499">
        <v>2013</v>
      </c>
      <c r="I22" s="498">
        <v>2022</v>
      </c>
      <c r="J22" s="500" t="s">
        <v>1778</v>
      </c>
      <c r="K22" s="502">
        <f t="shared" si="5"/>
        <v>0</v>
      </c>
      <c r="L22" s="502">
        <f t="shared" si="0"/>
        <v>1</v>
      </c>
      <c r="M22" s="502">
        <f t="shared" si="1"/>
        <v>1900</v>
      </c>
      <c r="N22" s="514"/>
      <c r="O22" s="504" t="str">
        <f t="shared" ca="1" si="2"/>
        <v>For Updating</v>
      </c>
      <c r="P22" s="492">
        <v>1</v>
      </c>
      <c r="Q22" s="492" t="s">
        <v>1512</v>
      </c>
      <c r="R22" s="492" t="s">
        <v>1512</v>
      </c>
      <c r="S22" s="492" t="s">
        <v>1512</v>
      </c>
      <c r="T22" s="492" t="s">
        <v>1512</v>
      </c>
      <c r="U22" s="492" t="s">
        <v>1512</v>
      </c>
      <c r="V22" s="504" t="str">
        <f t="shared" si="3"/>
        <v>Prephase</v>
      </c>
      <c r="W22" s="492" t="s">
        <v>1512</v>
      </c>
      <c r="X22" s="492" t="s">
        <v>1512</v>
      </c>
      <c r="Y22" s="492" t="s">
        <v>1512</v>
      </c>
      <c r="Z22" s="492" t="s">
        <v>1512</v>
      </c>
      <c r="AA22" s="492" t="s">
        <v>1512</v>
      </c>
      <c r="AB22" s="492" t="s">
        <v>1512</v>
      </c>
      <c r="AC22" s="492" t="s">
        <v>1512</v>
      </c>
      <c r="AD22" s="505" t="str">
        <f t="shared" si="4"/>
        <v>None Indicated</v>
      </c>
      <c r="AE22" s="493" t="s">
        <v>1757</v>
      </c>
      <c r="AF22" s="506"/>
      <c r="AG22" s="507"/>
      <c r="AH22" s="508"/>
      <c r="AI22" s="508"/>
    </row>
    <row r="23" spans="1:35" s="523" customFormat="1" ht="15.6" x14ac:dyDescent="0.3">
      <c r="A23" s="497"/>
      <c r="B23" s="498" t="s">
        <v>1779</v>
      </c>
      <c r="C23" s="498" t="s">
        <v>1755</v>
      </c>
      <c r="D23" s="499">
        <v>1995</v>
      </c>
      <c r="E23" s="498">
        <v>2025</v>
      </c>
      <c r="F23" s="500" t="s">
        <v>1780</v>
      </c>
      <c r="G23" s="515"/>
      <c r="H23" s="499">
        <v>1995</v>
      </c>
      <c r="I23" s="498">
        <v>2025</v>
      </c>
      <c r="J23" s="500" t="s">
        <v>1780</v>
      </c>
      <c r="K23" s="516">
        <v>13</v>
      </c>
      <c r="L23" s="516">
        <v>1</v>
      </c>
      <c r="M23" s="516">
        <v>2021</v>
      </c>
      <c r="N23" s="514"/>
      <c r="O23" s="504" t="str">
        <f t="shared" ca="1" si="2"/>
        <v>For Updating</v>
      </c>
      <c r="P23" s="492">
        <v>1</v>
      </c>
      <c r="Q23" s="492" t="s">
        <v>1512</v>
      </c>
      <c r="R23" s="492" t="s">
        <v>1512</v>
      </c>
      <c r="S23" s="492" t="s">
        <v>1512</v>
      </c>
      <c r="T23" s="492" t="s">
        <v>1512</v>
      </c>
      <c r="U23" s="492" t="s">
        <v>1512</v>
      </c>
      <c r="V23" s="517" t="str">
        <f t="shared" si="3"/>
        <v>Prephase</v>
      </c>
      <c r="W23" s="492" t="s">
        <v>1512</v>
      </c>
      <c r="X23" s="492" t="s">
        <v>1512</v>
      </c>
      <c r="Y23" s="492" t="s">
        <v>1512</v>
      </c>
      <c r="Z23" s="492" t="s">
        <v>1512</v>
      </c>
      <c r="AA23" s="492" t="s">
        <v>1512</v>
      </c>
      <c r="AB23" s="492" t="s">
        <v>1512</v>
      </c>
      <c r="AC23" s="492" t="s">
        <v>1512</v>
      </c>
      <c r="AD23" s="518" t="str">
        <f t="shared" si="4"/>
        <v>None Indicated</v>
      </c>
      <c r="AE23" s="493" t="s">
        <v>1757</v>
      </c>
      <c r="AF23" s="519"/>
      <c r="AG23" s="520"/>
      <c r="AH23" s="521"/>
      <c r="AI23" s="522"/>
    </row>
    <row r="24" spans="1:35" s="509" customFormat="1" ht="15.6" x14ac:dyDescent="0.3">
      <c r="A24" s="497"/>
      <c r="B24" s="498" t="s">
        <v>1314</v>
      </c>
      <c r="C24" s="498" t="s">
        <v>1755</v>
      </c>
      <c r="D24" s="499">
        <v>2013</v>
      </c>
      <c r="E24" s="498">
        <v>2022</v>
      </c>
      <c r="F24" s="500" t="s">
        <v>1781</v>
      </c>
      <c r="G24" s="501"/>
      <c r="H24" s="499">
        <v>2013</v>
      </c>
      <c r="I24" s="498">
        <v>2022</v>
      </c>
      <c r="J24" s="500" t="s">
        <v>1781</v>
      </c>
      <c r="K24" s="502">
        <f t="shared" ref="K24:K55" si="6">DAY(N24)</f>
        <v>0</v>
      </c>
      <c r="L24" s="502">
        <f t="shared" ref="L24:L55" si="7">MONTH(N24)</f>
        <v>1</v>
      </c>
      <c r="M24" s="502">
        <f t="shared" ref="M24:M55" si="8">YEAR(N24)</f>
        <v>1900</v>
      </c>
      <c r="N24" s="514"/>
      <c r="O24" s="504" t="str">
        <f t="shared" ca="1" si="2"/>
        <v>For Updating</v>
      </c>
      <c r="P24" s="492">
        <v>1</v>
      </c>
      <c r="Q24" s="492">
        <v>1</v>
      </c>
      <c r="R24" s="492" t="s">
        <v>1512</v>
      </c>
      <c r="S24" s="492" t="s">
        <v>1512</v>
      </c>
      <c r="T24" s="492" t="s">
        <v>1512</v>
      </c>
      <c r="U24" s="492" t="s">
        <v>1512</v>
      </c>
      <c r="V24" s="504" t="str">
        <f t="shared" si="3"/>
        <v>Phase 1</v>
      </c>
      <c r="W24" s="492" t="s">
        <v>1512</v>
      </c>
      <c r="X24" s="492" t="s">
        <v>1512</v>
      </c>
      <c r="Y24" s="492" t="s">
        <v>1512</v>
      </c>
      <c r="Z24" s="492" t="s">
        <v>1512</v>
      </c>
      <c r="AA24" s="492" t="s">
        <v>1512</v>
      </c>
      <c r="AB24" s="492" t="s">
        <v>1512</v>
      </c>
      <c r="AC24" s="492" t="s">
        <v>1512</v>
      </c>
      <c r="AD24" s="505" t="str">
        <f t="shared" si="4"/>
        <v>None Indicated</v>
      </c>
      <c r="AE24" s="493" t="s">
        <v>1757</v>
      </c>
      <c r="AF24" s="506"/>
      <c r="AG24" s="507"/>
      <c r="AH24" s="508"/>
      <c r="AI24" s="508"/>
    </row>
    <row r="25" spans="1:35" s="509" customFormat="1" ht="15.6" x14ac:dyDescent="0.3">
      <c r="A25" s="497"/>
      <c r="B25" s="498" t="s">
        <v>1782</v>
      </c>
      <c r="C25" s="498" t="s">
        <v>1755</v>
      </c>
      <c r="D25" s="499">
        <v>2000</v>
      </c>
      <c r="E25" s="498">
        <v>2010</v>
      </c>
      <c r="F25" s="500" t="s">
        <v>1783</v>
      </c>
      <c r="G25" s="501"/>
      <c r="H25" s="499">
        <v>2000</v>
      </c>
      <c r="I25" s="498">
        <v>2010</v>
      </c>
      <c r="J25" s="500" t="s">
        <v>1783</v>
      </c>
      <c r="K25" s="502">
        <f t="shared" si="6"/>
        <v>0</v>
      </c>
      <c r="L25" s="502">
        <f t="shared" si="7"/>
        <v>1</v>
      </c>
      <c r="M25" s="502">
        <f t="shared" si="8"/>
        <v>1900</v>
      </c>
      <c r="N25" s="514"/>
      <c r="O25" s="504" t="str">
        <f t="shared" ca="1" si="2"/>
        <v>For Updating</v>
      </c>
      <c r="P25" s="492">
        <v>1</v>
      </c>
      <c r="Q25" s="492">
        <v>1</v>
      </c>
      <c r="R25" s="492" t="s">
        <v>1512</v>
      </c>
      <c r="S25" s="492" t="s">
        <v>1512</v>
      </c>
      <c r="T25" s="492" t="s">
        <v>1512</v>
      </c>
      <c r="U25" s="492" t="s">
        <v>1512</v>
      </c>
      <c r="V25" s="504" t="str">
        <f t="shared" si="3"/>
        <v>Phase 1</v>
      </c>
      <c r="W25" s="492" t="s">
        <v>1512</v>
      </c>
      <c r="X25" s="492" t="s">
        <v>1512</v>
      </c>
      <c r="Y25" s="492" t="s">
        <v>1512</v>
      </c>
      <c r="Z25" s="492" t="s">
        <v>1512</v>
      </c>
      <c r="AA25" s="492" t="s">
        <v>1512</v>
      </c>
      <c r="AB25" s="492" t="s">
        <v>1512</v>
      </c>
      <c r="AC25" s="492" t="s">
        <v>1512</v>
      </c>
      <c r="AD25" s="505" t="str">
        <f t="shared" si="4"/>
        <v>None Indicated</v>
      </c>
      <c r="AE25" s="493" t="s">
        <v>1757</v>
      </c>
      <c r="AF25" s="506"/>
      <c r="AG25" s="507"/>
      <c r="AH25" s="508"/>
      <c r="AI25" s="508"/>
    </row>
    <row r="26" spans="1:35" s="509" customFormat="1" ht="15.6" x14ac:dyDescent="0.3">
      <c r="A26" s="497"/>
      <c r="B26" s="498" t="s">
        <v>1345</v>
      </c>
      <c r="C26" s="498" t="s">
        <v>1755</v>
      </c>
      <c r="D26" s="499">
        <v>2001</v>
      </c>
      <c r="E26" s="498">
        <v>2010</v>
      </c>
      <c r="F26" s="500" t="s">
        <v>1784</v>
      </c>
      <c r="G26" s="501"/>
      <c r="H26" s="499">
        <v>2001</v>
      </c>
      <c r="I26" s="498">
        <v>2010</v>
      </c>
      <c r="J26" s="500" t="s">
        <v>1784</v>
      </c>
      <c r="K26" s="502">
        <f t="shared" si="6"/>
        <v>0</v>
      </c>
      <c r="L26" s="502">
        <f t="shared" si="7"/>
        <v>1</v>
      </c>
      <c r="M26" s="502">
        <f t="shared" si="8"/>
        <v>1900</v>
      </c>
      <c r="N26" s="514"/>
      <c r="O26" s="504" t="str">
        <f t="shared" ca="1" si="2"/>
        <v>For Updating</v>
      </c>
      <c r="P26" s="492">
        <v>1</v>
      </c>
      <c r="Q26" s="492">
        <v>1</v>
      </c>
      <c r="R26" s="492">
        <v>1</v>
      </c>
      <c r="S26" s="492">
        <v>1</v>
      </c>
      <c r="T26" s="492">
        <v>1</v>
      </c>
      <c r="U26" s="492">
        <v>1</v>
      </c>
      <c r="V26" s="504" t="str">
        <f t="shared" si="3"/>
        <v>Phase 5</v>
      </c>
      <c r="W26" s="492">
        <v>1</v>
      </c>
      <c r="X26" s="492">
        <v>1</v>
      </c>
      <c r="Y26" s="492">
        <v>1</v>
      </c>
      <c r="Z26" s="492" t="s">
        <v>1512</v>
      </c>
      <c r="AA26" s="492" t="s">
        <v>1512</v>
      </c>
      <c r="AB26" s="492" t="s">
        <v>1512</v>
      </c>
      <c r="AC26" s="492" t="s">
        <v>1512</v>
      </c>
      <c r="AD26" s="505" t="str">
        <f t="shared" si="4"/>
        <v>RA3</v>
      </c>
      <c r="AE26" s="493" t="s">
        <v>1757</v>
      </c>
      <c r="AF26" s="506"/>
      <c r="AG26" s="507"/>
      <c r="AH26" s="508"/>
      <c r="AI26" s="508"/>
    </row>
    <row r="27" spans="1:35" s="509" customFormat="1" ht="15.6" x14ac:dyDescent="0.3">
      <c r="A27" s="497"/>
      <c r="B27" s="510" t="s">
        <v>978</v>
      </c>
      <c r="C27" s="510" t="s">
        <v>1755</v>
      </c>
      <c r="D27" s="511">
        <v>1999</v>
      </c>
      <c r="E27" s="510">
        <v>2009</v>
      </c>
      <c r="F27" s="512" t="s">
        <v>1785</v>
      </c>
      <c r="G27" s="501"/>
      <c r="H27" s="511">
        <v>1999</v>
      </c>
      <c r="I27" s="510">
        <v>2009</v>
      </c>
      <c r="J27" s="512" t="s">
        <v>1785</v>
      </c>
      <c r="K27" s="502">
        <f t="shared" si="6"/>
        <v>0</v>
      </c>
      <c r="L27" s="502">
        <f t="shared" si="7"/>
        <v>1</v>
      </c>
      <c r="M27" s="502">
        <f t="shared" si="8"/>
        <v>1900</v>
      </c>
      <c r="N27" s="513"/>
      <c r="O27" s="504" t="str">
        <f t="shared" ca="1" si="2"/>
        <v>For Updating</v>
      </c>
      <c r="P27" s="492">
        <v>1</v>
      </c>
      <c r="Q27" s="492" t="s">
        <v>1512</v>
      </c>
      <c r="R27" s="492" t="s">
        <v>1512</v>
      </c>
      <c r="S27" s="492" t="s">
        <v>1512</v>
      </c>
      <c r="T27" s="492" t="s">
        <v>1512</v>
      </c>
      <c r="U27" s="492" t="s">
        <v>1512</v>
      </c>
      <c r="V27" s="504" t="str">
        <f t="shared" si="3"/>
        <v>Prephase</v>
      </c>
      <c r="W27" s="492" t="s">
        <v>1512</v>
      </c>
      <c r="X27" s="492" t="s">
        <v>1512</v>
      </c>
      <c r="Y27" s="492" t="s">
        <v>1512</v>
      </c>
      <c r="Z27" s="492" t="s">
        <v>1512</v>
      </c>
      <c r="AA27" s="492" t="s">
        <v>1512</v>
      </c>
      <c r="AB27" s="492" t="s">
        <v>1512</v>
      </c>
      <c r="AC27" s="492" t="s">
        <v>1512</v>
      </c>
      <c r="AD27" s="505" t="str">
        <f t="shared" si="4"/>
        <v>None Indicated</v>
      </c>
      <c r="AE27" s="494" t="s">
        <v>1757</v>
      </c>
      <c r="AF27" s="506"/>
      <c r="AG27" s="507"/>
      <c r="AH27" s="508"/>
      <c r="AI27" s="508"/>
    </row>
    <row r="28" spans="1:35" s="509" customFormat="1" ht="15.6" x14ac:dyDescent="0.3">
      <c r="A28" s="497"/>
      <c r="B28" s="510" t="s">
        <v>1369</v>
      </c>
      <c r="C28" s="510" t="s">
        <v>1755</v>
      </c>
      <c r="D28" s="511">
        <v>2000</v>
      </c>
      <c r="E28" s="510">
        <v>2010</v>
      </c>
      <c r="F28" s="512" t="s">
        <v>1786</v>
      </c>
      <c r="G28" s="501"/>
      <c r="H28" s="511">
        <v>2000</v>
      </c>
      <c r="I28" s="510">
        <v>2010</v>
      </c>
      <c r="J28" s="512" t="s">
        <v>1786</v>
      </c>
      <c r="K28" s="502">
        <f t="shared" si="6"/>
        <v>0</v>
      </c>
      <c r="L28" s="502">
        <f t="shared" si="7"/>
        <v>1</v>
      </c>
      <c r="M28" s="502">
        <f t="shared" si="8"/>
        <v>1900</v>
      </c>
      <c r="N28" s="514"/>
      <c r="O28" s="504" t="str">
        <f t="shared" ca="1" si="2"/>
        <v>For Updating</v>
      </c>
      <c r="P28" s="492">
        <v>1</v>
      </c>
      <c r="Q28" s="492">
        <v>1</v>
      </c>
      <c r="R28" s="492">
        <v>1</v>
      </c>
      <c r="S28" s="492">
        <v>1</v>
      </c>
      <c r="T28" s="492" t="s">
        <v>1512</v>
      </c>
      <c r="U28" s="492" t="s">
        <v>1512</v>
      </c>
      <c r="V28" s="504" t="str">
        <f t="shared" si="3"/>
        <v>Phase 3</v>
      </c>
      <c r="W28" s="492" t="s">
        <v>1512</v>
      </c>
      <c r="X28" s="492" t="s">
        <v>1512</v>
      </c>
      <c r="Y28" s="492" t="s">
        <v>1512</v>
      </c>
      <c r="Z28" s="492" t="s">
        <v>1512</v>
      </c>
      <c r="AA28" s="492" t="s">
        <v>1512</v>
      </c>
      <c r="AB28" s="492" t="s">
        <v>1512</v>
      </c>
      <c r="AC28" s="492" t="s">
        <v>1512</v>
      </c>
      <c r="AD28" s="505" t="str">
        <f t="shared" si="4"/>
        <v>None Indicated</v>
      </c>
      <c r="AE28" s="494" t="s">
        <v>1757</v>
      </c>
      <c r="AF28" s="506"/>
      <c r="AG28" s="507"/>
      <c r="AH28" s="508"/>
      <c r="AI28" s="508"/>
    </row>
    <row r="29" spans="1:35" s="509" customFormat="1" ht="15.6" x14ac:dyDescent="0.3">
      <c r="A29" s="497"/>
      <c r="B29" s="510" t="s">
        <v>1787</v>
      </c>
      <c r="C29" s="510" t="s">
        <v>1755</v>
      </c>
      <c r="D29" s="511">
        <v>2021</v>
      </c>
      <c r="E29" s="510">
        <v>2030</v>
      </c>
      <c r="F29" s="512" t="s">
        <v>1788</v>
      </c>
      <c r="G29" s="501"/>
      <c r="H29" s="511">
        <v>2021</v>
      </c>
      <c r="I29" s="510">
        <v>2030</v>
      </c>
      <c r="J29" s="512" t="s">
        <v>1788</v>
      </c>
      <c r="K29" s="502">
        <f t="shared" si="6"/>
        <v>0</v>
      </c>
      <c r="L29" s="502">
        <f t="shared" si="7"/>
        <v>1</v>
      </c>
      <c r="M29" s="502">
        <f t="shared" si="8"/>
        <v>1900</v>
      </c>
      <c r="N29" s="514"/>
      <c r="O29" s="504" t="str">
        <f t="shared" ca="1" si="2"/>
        <v>Updated</v>
      </c>
      <c r="P29" s="495" t="s">
        <v>1512</v>
      </c>
      <c r="Q29" s="495" t="s">
        <v>1512</v>
      </c>
      <c r="R29" s="495" t="s">
        <v>1512</v>
      </c>
      <c r="S29" s="495" t="s">
        <v>1512</v>
      </c>
      <c r="T29" s="495" t="s">
        <v>1512</v>
      </c>
      <c r="U29" s="495" t="s">
        <v>1512</v>
      </c>
      <c r="V29" s="504" t="str">
        <f t="shared" si="3"/>
        <v>None Indicated</v>
      </c>
      <c r="W29" s="495" t="s">
        <v>1512</v>
      </c>
      <c r="X29" s="495" t="s">
        <v>1512</v>
      </c>
      <c r="Y29" s="495" t="s">
        <v>1512</v>
      </c>
      <c r="Z29" s="495" t="s">
        <v>1512</v>
      </c>
      <c r="AA29" s="495" t="s">
        <v>1512</v>
      </c>
      <c r="AB29" s="495" t="s">
        <v>1512</v>
      </c>
      <c r="AC29" s="495" t="s">
        <v>1512</v>
      </c>
      <c r="AD29" s="505" t="str">
        <f t="shared" si="4"/>
        <v>None Indicated</v>
      </c>
      <c r="AE29" s="496" t="s">
        <v>1757</v>
      </c>
      <c r="AF29" s="506"/>
      <c r="AG29" s="507"/>
      <c r="AH29" s="508"/>
      <c r="AI29" s="508"/>
    </row>
    <row r="30" spans="1:35" s="509" customFormat="1" ht="15.6" x14ac:dyDescent="0.3">
      <c r="A30" s="497"/>
      <c r="B30" s="510" t="s">
        <v>1789</v>
      </c>
      <c r="C30" s="510" t="s">
        <v>1755</v>
      </c>
      <c r="D30" s="511">
        <v>2014</v>
      </c>
      <c r="E30" s="510">
        <v>2023</v>
      </c>
      <c r="F30" s="512" t="s">
        <v>1790</v>
      </c>
      <c r="G30" s="501"/>
      <c r="H30" s="511">
        <v>2014</v>
      </c>
      <c r="I30" s="510">
        <v>2023</v>
      </c>
      <c r="J30" s="512" t="s">
        <v>1790</v>
      </c>
      <c r="K30" s="502">
        <f t="shared" si="6"/>
        <v>0</v>
      </c>
      <c r="L30" s="502">
        <f t="shared" si="7"/>
        <v>1</v>
      </c>
      <c r="M30" s="502">
        <f t="shared" si="8"/>
        <v>1900</v>
      </c>
      <c r="N30" s="514"/>
      <c r="O30" s="504" t="str">
        <f t="shared" ca="1" si="2"/>
        <v>For Updating</v>
      </c>
      <c r="P30" s="495">
        <v>1</v>
      </c>
      <c r="Q30" s="495" t="s">
        <v>1512</v>
      </c>
      <c r="R30" s="495" t="s">
        <v>1512</v>
      </c>
      <c r="S30" s="495" t="s">
        <v>1512</v>
      </c>
      <c r="T30" s="495" t="s">
        <v>1512</v>
      </c>
      <c r="U30" s="495" t="s">
        <v>1512</v>
      </c>
      <c r="V30" s="504" t="str">
        <f t="shared" si="3"/>
        <v>Prephase</v>
      </c>
      <c r="W30" s="495" t="s">
        <v>1512</v>
      </c>
      <c r="X30" s="495" t="s">
        <v>1512</v>
      </c>
      <c r="Y30" s="495" t="s">
        <v>1512</v>
      </c>
      <c r="Z30" s="495" t="s">
        <v>1512</v>
      </c>
      <c r="AA30" s="495" t="s">
        <v>1512</v>
      </c>
      <c r="AB30" s="495" t="s">
        <v>1512</v>
      </c>
      <c r="AC30" s="495" t="s">
        <v>1512</v>
      </c>
      <c r="AD30" s="505" t="str">
        <f t="shared" si="4"/>
        <v>None Indicated</v>
      </c>
      <c r="AE30" s="496" t="s">
        <v>1757</v>
      </c>
      <c r="AF30" s="506"/>
      <c r="AG30" s="507"/>
      <c r="AH30" s="508"/>
      <c r="AI30" s="508"/>
    </row>
    <row r="31" spans="1:35" s="509" customFormat="1" ht="15.6" x14ac:dyDescent="0.3">
      <c r="A31" s="497"/>
      <c r="B31" s="510" t="s">
        <v>1791</v>
      </c>
      <c r="C31" s="510" t="s">
        <v>1755</v>
      </c>
      <c r="D31" s="511">
        <v>2013</v>
      </c>
      <c r="E31" s="510">
        <v>2023</v>
      </c>
      <c r="F31" s="512" t="s">
        <v>1792</v>
      </c>
      <c r="G31" s="501"/>
      <c r="H31" s="511">
        <v>2013</v>
      </c>
      <c r="I31" s="510">
        <v>2023</v>
      </c>
      <c r="J31" s="512" t="s">
        <v>1792</v>
      </c>
      <c r="K31" s="502">
        <f t="shared" si="6"/>
        <v>0</v>
      </c>
      <c r="L31" s="502">
        <f t="shared" si="7"/>
        <v>1</v>
      </c>
      <c r="M31" s="502">
        <f t="shared" si="8"/>
        <v>1900</v>
      </c>
      <c r="N31" s="514"/>
      <c r="O31" s="504" t="str">
        <f t="shared" ca="1" si="2"/>
        <v>For Updating</v>
      </c>
      <c r="P31" s="495">
        <v>1</v>
      </c>
      <c r="Q31" s="495" t="s">
        <v>1512</v>
      </c>
      <c r="R31" s="495" t="s">
        <v>1512</v>
      </c>
      <c r="S31" s="495" t="s">
        <v>1512</v>
      </c>
      <c r="T31" s="495" t="s">
        <v>1512</v>
      </c>
      <c r="U31" s="495" t="s">
        <v>1512</v>
      </c>
      <c r="V31" s="504" t="str">
        <f t="shared" si="3"/>
        <v>Prephase</v>
      </c>
      <c r="W31" s="495" t="s">
        <v>1512</v>
      </c>
      <c r="X31" s="495" t="s">
        <v>1512</v>
      </c>
      <c r="Y31" s="495" t="s">
        <v>1512</v>
      </c>
      <c r="Z31" s="495" t="s">
        <v>1512</v>
      </c>
      <c r="AA31" s="495" t="s">
        <v>1512</v>
      </c>
      <c r="AB31" s="495" t="s">
        <v>1512</v>
      </c>
      <c r="AC31" s="495" t="s">
        <v>1512</v>
      </c>
      <c r="AD31" s="505" t="str">
        <f t="shared" si="4"/>
        <v>None Indicated</v>
      </c>
      <c r="AE31" s="496" t="s">
        <v>1757</v>
      </c>
      <c r="AF31" s="506"/>
      <c r="AG31" s="507"/>
      <c r="AH31" s="508"/>
      <c r="AI31" s="508"/>
    </row>
    <row r="32" spans="1:35" s="509" customFormat="1" ht="15.6" x14ac:dyDescent="0.3">
      <c r="A32" s="497"/>
      <c r="B32" s="510" t="s">
        <v>1793</v>
      </c>
      <c r="C32" s="510" t="s">
        <v>1755</v>
      </c>
      <c r="D32" s="511">
        <v>2008</v>
      </c>
      <c r="E32" s="510">
        <v>2017</v>
      </c>
      <c r="F32" s="512" t="s">
        <v>1794</v>
      </c>
      <c r="G32" s="501"/>
      <c r="H32" s="511">
        <v>2008</v>
      </c>
      <c r="I32" s="510">
        <v>2017</v>
      </c>
      <c r="J32" s="512" t="s">
        <v>1794</v>
      </c>
      <c r="K32" s="502">
        <f t="shared" si="6"/>
        <v>0</v>
      </c>
      <c r="L32" s="502">
        <f t="shared" si="7"/>
        <v>1</v>
      </c>
      <c r="M32" s="502">
        <f t="shared" si="8"/>
        <v>1900</v>
      </c>
      <c r="N32" s="514"/>
      <c r="O32" s="504" t="str">
        <f t="shared" ca="1" si="2"/>
        <v>For Updating</v>
      </c>
      <c r="P32" s="495">
        <v>1</v>
      </c>
      <c r="Q32" s="495">
        <v>1</v>
      </c>
      <c r="R32" s="495">
        <v>1</v>
      </c>
      <c r="S32" s="495">
        <v>1</v>
      </c>
      <c r="T32" s="495">
        <v>1</v>
      </c>
      <c r="U32" s="495">
        <v>1</v>
      </c>
      <c r="V32" s="504" t="str">
        <f t="shared" si="3"/>
        <v>Phase 5</v>
      </c>
      <c r="W32" s="495">
        <v>1</v>
      </c>
      <c r="X32" s="495">
        <v>1</v>
      </c>
      <c r="Y32" s="495">
        <v>1</v>
      </c>
      <c r="Z32" s="495" t="s">
        <v>1512</v>
      </c>
      <c r="AA32" s="495" t="s">
        <v>1512</v>
      </c>
      <c r="AB32" s="495" t="s">
        <v>1512</v>
      </c>
      <c r="AC32" s="495" t="s">
        <v>1512</v>
      </c>
      <c r="AD32" s="505" t="str">
        <f t="shared" si="4"/>
        <v>RA3</v>
      </c>
      <c r="AE32" s="496" t="s">
        <v>1757</v>
      </c>
      <c r="AF32" s="506"/>
      <c r="AG32" s="507"/>
      <c r="AH32" s="508"/>
      <c r="AI32" s="508"/>
    </row>
    <row r="33" spans="1:35" s="509" customFormat="1" ht="15.6" x14ac:dyDescent="0.3">
      <c r="A33" s="497"/>
      <c r="B33" s="510" t="s">
        <v>1795</v>
      </c>
      <c r="C33" s="510" t="s">
        <v>1755</v>
      </c>
      <c r="D33" s="511">
        <v>2006</v>
      </c>
      <c r="E33" s="510">
        <v>2015</v>
      </c>
      <c r="F33" s="512" t="s">
        <v>1796</v>
      </c>
      <c r="G33" s="501"/>
      <c r="H33" s="511">
        <v>2006</v>
      </c>
      <c r="I33" s="510">
        <v>2015</v>
      </c>
      <c r="J33" s="512" t="s">
        <v>1796</v>
      </c>
      <c r="K33" s="502">
        <f t="shared" si="6"/>
        <v>0</v>
      </c>
      <c r="L33" s="502">
        <f t="shared" si="7"/>
        <v>1</v>
      </c>
      <c r="M33" s="502">
        <f t="shared" si="8"/>
        <v>1900</v>
      </c>
      <c r="N33" s="514"/>
      <c r="O33" s="504" t="str">
        <f t="shared" ca="1" si="2"/>
        <v>For Updating</v>
      </c>
      <c r="P33" s="495">
        <v>1</v>
      </c>
      <c r="Q33" s="495">
        <v>1</v>
      </c>
      <c r="R33" s="495">
        <v>1</v>
      </c>
      <c r="S33" s="495">
        <v>1</v>
      </c>
      <c r="T33" s="495">
        <v>1</v>
      </c>
      <c r="U33" s="495">
        <v>1</v>
      </c>
      <c r="V33" s="504" t="str">
        <f t="shared" si="3"/>
        <v>Phase 5</v>
      </c>
      <c r="W33" s="495">
        <v>1</v>
      </c>
      <c r="X33" s="495">
        <v>1</v>
      </c>
      <c r="Y33" s="495">
        <v>1</v>
      </c>
      <c r="Z33" s="495" t="s">
        <v>1512</v>
      </c>
      <c r="AA33" s="495" t="s">
        <v>1512</v>
      </c>
      <c r="AB33" s="495" t="s">
        <v>1512</v>
      </c>
      <c r="AC33" s="495" t="s">
        <v>1512</v>
      </c>
      <c r="AD33" s="505" t="str">
        <f t="shared" si="4"/>
        <v>RA3</v>
      </c>
      <c r="AE33" s="496" t="s">
        <v>1757</v>
      </c>
      <c r="AF33" s="506"/>
      <c r="AG33" s="507"/>
      <c r="AH33" s="508"/>
      <c r="AI33" s="508"/>
    </row>
    <row r="34" spans="1:35" s="509" customFormat="1" ht="15.6" x14ac:dyDescent="0.3">
      <c r="A34" s="497"/>
      <c r="B34" s="498" t="s">
        <v>1797</v>
      </c>
      <c r="C34" s="498" t="s">
        <v>1755</v>
      </c>
      <c r="D34" s="499">
        <v>2022</v>
      </c>
      <c r="E34" s="498">
        <v>2032</v>
      </c>
      <c r="F34" s="500" t="s">
        <v>1798</v>
      </c>
      <c r="G34" s="501"/>
      <c r="H34" s="499">
        <v>2022</v>
      </c>
      <c r="I34" s="498">
        <v>2032</v>
      </c>
      <c r="J34" s="500" t="s">
        <v>1798</v>
      </c>
      <c r="K34" s="502">
        <f t="shared" si="6"/>
        <v>0</v>
      </c>
      <c r="L34" s="502">
        <f t="shared" si="7"/>
        <v>1</v>
      </c>
      <c r="M34" s="502">
        <f t="shared" si="8"/>
        <v>1900</v>
      </c>
      <c r="N34" s="513"/>
      <c r="O34" s="504" t="str">
        <f t="shared" ca="1" si="2"/>
        <v>Updated</v>
      </c>
      <c r="P34" s="492" t="s">
        <v>1512</v>
      </c>
      <c r="Q34" s="492" t="s">
        <v>1512</v>
      </c>
      <c r="R34" s="492" t="s">
        <v>1512</v>
      </c>
      <c r="S34" s="492" t="s">
        <v>1512</v>
      </c>
      <c r="T34" s="492" t="s">
        <v>1512</v>
      </c>
      <c r="U34" s="492" t="s">
        <v>1512</v>
      </c>
      <c r="V34" s="504" t="str">
        <f t="shared" si="3"/>
        <v>None Indicated</v>
      </c>
      <c r="W34" s="492" t="s">
        <v>1512</v>
      </c>
      <c r="X34" s="492" t="s">
        <v>1512</v>
      </c>
      <c r="Y34" s="492" t="s">
        <v>1512</v>
      </c>
      <c r="Z34" s="492" t="s">
        <v>1512</v>
      </c>
      <c r="AA34" s="492" t="s">
        <v>1512</v>
      </c>
      <c r="AB34" s="492" t="s">
        <v>1512</v>
      </c>
      <c r="AC34" s="492" t="s">
        <v>1512</v>
      </c>
      <c r="AD34" s="505" t="str">
        <f t="shared" si="4"/>
        <v>None Indicated</v>
      </c>
      <c r="AE34" s="493" t="s">
        <v>1757</v>
      </c>
      <c r="AF34" s="506"/>
      <c r="AG34" s="507"/>
      <c r="AH34" s="508"/>
      <c r="AI34" s="508"/>
    </row>
    <row r="35" spans="1:35" s="509" customFormat="1" ht="15.6" x14ac:dyDescent="0.3">
      <c r="A35" s="497"/>
      <c r="B35" s="510" t="s">
        <v>1401</v>
      </c>
      <c r="C35" s="510" t="s">
        <v>1755</v>
      </c>
      <c r="D35" s="511">
        <v>2013</v>
      </c>
      <c r="E35" s="510">
        <v>2022</v>
      </c>
      <c r="F35" s="512" t="s">
        <v>1799</v>
      </c>
      <c r="G35" s="501"/>
      <c r="H35" s="511">
        <v>2013</v>
      </c>
      <c r="I35" s="510">
        <v>2022</v>
      </c>
      <c r="J35" s="512" t="s">
        <v>1799</v>
      </c>
      <c r="K35" s="502">
        <f t="shared" si="6"/>
        <v>0</v>
      </c>
      <c r="L35" s="502">
        <f t="shared" si="7"/>
        <v>1</v>
      </c>
      <c r="M35" s="502">
        <f t="shared" si="8"/>
        <v>1900</v>
      </c>
      <c r="N35" s="514"/>
      <c r="O35" s="504" t="str">
        <f t="shared" ca="1" si="2"/>
        <v>For Updating</v>
      </c>
      <c r="P35" s="492">
        <v>1</v>
      </c>
      <c r="Q35" s="492" t="s">
        <v>1512</v>
      </c>
      <c r="R35" s="492" t="s">
        <v>1512</v>
      </c>
      <c r="S35" s="492" t="s">
        <v>1512</v>
      </c>
      <c r="T35" s="492" t="s">
        <v>1512</v>
      </c>
      <c r="U35" s="492" t="s">
        <v>1512</v>
      </c>
      <c r="V35" s="504" t="str">
        <f t="shared" si="3"/>
        <v>Prephase</v>
      </c>
      <c r="W35" s="492" t="s">
        <v>1512</v>
      </c>
      <c r="X35" s="492" t="s">
        <v>1512</v>
      </c>
      <c r="Y35" s="492" t="s">
        <v>1512</v>
      </c>
      <c r="Z35" s="492" t="s">
        <v>1512</v>
      </c>
      <c r="AA35" s="492" t="s">
        <v>1512</v>
      </c>
      <c r="AB35" s="492" t="s">
        <v>1512</v>
      </c>
      <c r="AC35" s="492" t="s">
        <v>1512</v>
      </c>
      <c r="AD35" s="505" t="str">
        <f t="shared" si="4"/>
        <v>None Indicated</v>
      </c>
      <c r="AE35" s="494" t="s">
        <v>1757</v>
      </c>
      <c r="AF35" s="506"/>
      <c r="AG35" s="507"/>
      <c r="AH35" s="508"/>
      <c r="AI35" s="508"/>
    </row>
    <row r="36" spans="1:35" s="509" customFormat="1" ht="15.6" x14ac:dyDescent="0.3">
      <c r="A36" s="497"/>
      <c r="B36" s="510" t="s">
        <v>1411</v>
      </c>
      <c r="C36" s="510" t="s">
        <v>1755</v>
      </c>
      <c r="D36" s="511">
        <v>2001</v>
      </c>
      <c r="E36" s="510">
        <v>2010</v>
      </c>
      <c r="F36" s="512" t="s">
        <v>1800</v>
      </c>
      <c r="G36" s="501"/>
      <c r="H36" s="511">
        <v>2001</v>
      </c>
      <c r="I36" s="510">
        <v>2010</v>
      </c>
      <c r="J36" s="512" t="s">
        <v>1800</v>
      </c>
      <c r="K36" s="502">
        <f t="shared" si="6"/>
        <v>0</v>
      </c>
      <c r="L36" s="502">
        <f t="shared" si="7"/>
        <v>1</v>
      </c>
      <c r="M36" s="502">
        <f t="shared" si="8"/>
        <v>1900</v>
      </c>
      <c r="N36" s="514"/>
      <c r="O36" s="504" t="str">
        <f t="shared" ca="1" si="2"/>
        <v>For Updating</v>
      </c>
      <c r="P36" s="492">
        <v>1</v>
      </c>
      <c r="Q36" s="492" t="s">
        <v>1512</v>
      </c>
      <c r="R36" s="492" t="s">
        <v>1512</v>
      </c>
      <c r="S36" s="492" t="s">
        <v>1512</v>
      </c>
      <c r="T36" s="492" t="s">
        <v>1512</v>
      </c>
      <c r="U36" s="492" t="s">
        <v>1512</v>
      </c>
      <c r="V36" s="504" t="str">
        <f t="shared" si="3"/>
        <v>Prephase</v>
      </c>
      <c r="W36" s="492" t="s">
        <v>1512</v>
      </c>
      <c r="X36" s="492" t="s">
        <v>1512</v>
      </c>
      <c r="Y36" s="492" t="s">
        <v>1512</v>
      </c>
      <c r="Z36" s="492" t="s">
        <v>1512</v>
      </c>
      <c r="AA36" s="492" t="s">
        <v>1512</v>
      </c>
      <c r="AB36" s="492" t="s">
        <v>1512</v>
      </c>
      <c r="AC36" s="492" t="s">
        <v>1512</v>
      </c>
      <c r="AD36" s="505" t="str">
        <f t="shared" si="4"/>
        <v>None Indicated</v>
      </c>
      <c r="AE36" s="494" t="s">
        <v>1757</v>
      </c>
      <c r="AF36" s="506"/>
      <c r="AG36" s="507"/>
      <c r="AH36" s="508"/>
      <c r="AI36" s="508"/>
    </row>
    <row r="37" spans="1:35" s="509" customFormat="1" ht="15.6" x14ac:dyDescent="0.3">
      <c r="A37" s="497"/>
      <c r="B37" s="510" t="s">
        <v>1801</v>
      </c>
      <c r="C37" s="510" t="s">
        <v>1755</v>
      </c>
      <c r="D37" s="511">
        <v>2018</v>
      </c>
      <c r="E37" s="510">
        <v>2028</v>
      </c>
      <c r="F37" s="512" t="s">
        <v>1802</v>
      </c>
      <c r="G37" s="501"/>
      <c r="H37" s="511">
        <v>2018</v>
      </c>
      <c r="I37" s="510">
        <v>2028</v>
      </c>
      <c r="J37" s="512" t="s">
        <v>1802</v>
      </c>
      <c r="K37" s="502">
        <f t="shared" si="6"/>
        <v>0</v>
      </c>
      <c r="L37" s="502">
        <f t="shared" si="7"/>
        <v>1</v>
      </c>
      <c r="M37" s="502">
        <f t="shared" si="8"/>
        <v>1900</v>
      </c>
      <c r="N37" s="514"/>
      <c r="O37" s="504" t="str">
        <f t="shared" ca="1" si="2"/>
        <v>Updated</v>
      </c>
      <c r="P37" s="492" t="s">
        <v>1512</v>
      </c>
      <c r="Q37" s="492" t="s">
        <v>1512</v>
      </c>
      <c r="R37" s="492" t="s">
        <v>1512</v>
      </c>
      <c r="S37" s="492" t="s">
        <v>1512</v>
      </c>
      <c r="T37" s="492" t="s">
        <v>1512</v>
      </c>
      <c r="U37" s="492" t="s">
        <v>1512</v>
      </c>
      <c r="V37" s="504" t="str">
        <f t="shared" si="3"/>
        <v>None Indicated</v>
      </c>
      <c r="W37" s="492" t="s">
        <v>1512</v>
      </c>
      <c r="X37" s="492" t="s">
        <v>1512</v>
      </c>
      <c r="Y37" s="492" t="s">
        <v>1512</v>
      </c>
      <c r="Z37" s="492" t="s">
        <v>1512</v>
      </c>
      <c r="AA37" s="492" t="s">
        <v>1512</v>
      </c>
      <c r="AB37" s="492" t="s">
        <v>1512</v>
      </c>
      <c r="AC37" s="492" t="s">
        <v>1512</v>
      </c>
      <c r="AD37" s="505" t="str">
        <f t="shared" si="4"/>
        <v>None Indicated</v>
      </c>
      <c r="AE37" s="494" t="s">
        <v>1757</v>
      </c>
      <c r="AF37" s="506"/>
      <c r="AG37" s="507"/>
      <c r="AH37" s="508"/>
      <c r="AI37" s="508"/>
    </row>
    <row r="38" spans="1:35" s="509" customFormat="1" ht="15.6" x14ac:dyDescent="0.3">
      <c r="A38" s="497"/>
      <c r="B38" s="510" t="s">
        <v>1803</v>
      </c>
      <c r="C38" s="510" t="s">
        <v>1755</v>
      </c>
      <c r="D38" s="511">
        <v>2001</v>
      </c>
      <c r="E38" s="510">
        <v>2010</v>
      </c>
      <c r="F38" s="512" t="s">
        <v>1804</v>
      </c>
      <c r="G38" s="501"/>
      <c r="H38" s="511">
        <v>2001</v>
      </c>
      <c r="I38" s="510">
        <v>2010</v>
      </c>
      <c r="J38" s="512" t="s">
        <v>1804</v>
      </c>
      <c r="K38" s="502">
        <f t="shared" si="6"/>
        <v>0</v>
      </c>
      <c r="L38" s="502">
        <f t="shared" si="7"/>
        <v>1</v>
      </c>
      <c r="M38" s="502">
        <f t="shared" si="8"/>
        <v>1900</v>
      </c>
      <c r="N38" s="514"/>
      <c r="O38" s="504" t="str">
        <f t="shared" ca="1" si="2"/>
        <v>For Updating</v>
      </c>
      <c r="P38" s="492">
        <v>1</v>
      </c>
      <c r="Q38" s="492" t="s">
        <v>1512</v>
      </c>
      <c r="R38" s="492" t="s">
        <v>1512</v>
      </c>
      <c r="S38" s="492" t="s">
        <v>1512</v>
      </c>
      <c r="T38" s="492" t="s">
        <v>1512</v>
      </c>
      <c r="U38" s="492" t="s">
        <v>1512</v>
      </c>
      <c r="V38" s="504" t="str">
        <f t="shared" si="3"/>
        <v>Prephase</v>
      </c>
      <c r="W38" s="492" t="s">
        <v>1512</v>
      </c>
      <c r="X38" s="492" t="s">
        <v>1512</v>
      </c>
      <c r="Y38" s="492" t="s">
        <v>1512</v>
      </c>
      <c r="Z38" s="492" t="s">
        <v>1512</v>
      </c>
      <c r="AA38" s="492" t="s">
        <v>1512</v>
      </c>
      <c r="AB38" s="492" t="s">
        <v>1512</v>
      </c>
      <c r="AC38" s="492" t="s">
        <v>1512</v>
      </c>
      <c r="AD38" s="505" t="str">
        <f t="shared" si="4"/>
        <v>None Indicated</v>
      </c>
      <c r="AE38" s="494" t="s">
        <v>1757</v>
      </c>
      <c r="AF38" s="506"/>
      <c r="AG38" s="507"/>
      <c r="AH38" s="508"/>
      <c r="AI38" s="508"/>
    </row>
    <row r="39" spans="1:35" s="509" customFormat="1" ht="31.2" x14ac:dyDescent="0.3">
      <c r="A39" s="497"/>
      <c r="B39" s="524" t="s">
        <v>1805</v>
      </c>
      <c r="C39" s="510" t="s">
        <v>1755</v>
      </c>
      <c r="D39" s="511">
        <v>2017</v>
      </c>
      <c r="E39" s="510">
        <v>2026</v>
      </c>
      <c r="F39" s="512" t="s">
        <v>1806</v>
      </c>
      <c r="G39" s="501"/>
      <c r="H39" s="511">
        <v>2017</v>
      </c>
      <c r="I39" s="510">
        <v>2026</v>
      </c>
      <c r="J39" s="512" t="s">
        <v>1806</v>
      </c>
      <c r="K39" s="502">
        <f t="shared" si="6"/>
        <v>0</v>
      </c>
      <c r="L39" s="502">
        <f t="shared" si="7"/>
        <v>1</v>
      </c>
      <c r="M39" s="502">
        <f t="shared" si="8"/>
        <v>1900</v>
      </c>
      <c r="N39" s="514"/>
      <c r="O39" s="504" t="str">
        <f t="shared" ca="1" si="2"/>
        <v>Updated</v>
      </c>
      <c r="P39" s="495" t="s">
        <v>1512</v>
      </c>
      <c r="Q39" s="495" t="s">
        <v>1512</v>
      </c>
      <c r="R39" s="495" t="s">
        <v>1512</v>
      </c>
      <c r="S39" s="495" t="s">
        <v>1512</v>
      </c>
      <c r="T39" s="495" t="s">
        <v>1512</v>
      </c>
      <c r="U39" s="495" t="s">
        <v>1512</v>
      </c>
      <c r="V39" s="504" t="str">
        <f t="shared" si="3"/>
        <v>None Indicated</v>
      </c>
      <c r="W39" s="495" t="s">
        <v>1512</v>
      </c>
      <c r="X39" s="495" t="s">
        <v>1512</v>
      </c>
      <c r="Y39" s="495" t="s">
        <v>1512</v>
      </c>
      <c r="Z39" s="495" t="s">
        <v>1512</v>
      </c>
      <c r="AA39" s="495" t="s">
        <v>1512</v>
      </c>
      <c r="AB39" s="495" t="s">
        <v>1512</v>
      </c>
      <c r="AC39" s="495" t="s">
        <v>1512</v>
      </c>
      <c r="AD39" s="505" t="str">
        <f t="shared" si="4"/>
        <v>None Indicated</v>
      </c>
      <c r="AE39" s="496" t="s">
        <v>1757</v>
      </c>
      <c r="AF39" s="506"/>
      <c r="AG39" s="507"/>
      <c r="AH39" s="508"/>
      <c r="AI39" s="508"/>
    </row>
    <row r="40" spans="1:35" s="509" customFormat="1" ht="14.4" x14ac:dyDescent="0.3">
      <c r="A40" s="497"/>
      <c r="B40" s="525" t="s">
        <v>204</v>
      </c>
      <c r="C40" s="526" t="s">
        <v>1807</v>
      </c>
      <c r="D40" s="527">
        <v>1982</v>
      </c>
      <c r="E40" s="528">
        <v>1991</v>
      </c>
      <c r="F40" s="528" t="s">
        <v>1808</v>
      </c>
      <c r="G40" s="501"/>
      <c r="H40" s="527">
        <v>1982</v>
      </c>
      <c r="I40" s="528">
        <v>1991</v>
      </c>
      <c r="J40" s="528" t="s">
        <v>1808</v>
      </c>
      <c r="K40" s="502">
        <f t="shared" si="6"/>
        <v>0</v>
      </c>
      <c r="L40" s="502">
        <f t="shared" si="7"/>
        <v>1</v>
      </c>
      <c r="M40" s="502">
        <f t="shared" si="8"/>
        <v>1900</v>
      </c>
      <c r="N40" s="514"/>
      <c r="O40" s="504" t="str">
        <f t="shared" ref="O40:O71" ca="1" si="9">IF((I40="")=TRUE(),IF((N40="")=TRUE(),"No CLUP",IF(YEAR(NOW())-YEAR(N40)&lt;=10,"Updated","For Updating")),IF(YEAR(NOW())-I40&lt;=0,"Updated","For Updating"))</f>
        <v>For Updating</v>
      </c>
      <c r="P40" s="542">
        <v>1</v>
      </c>
      <c r="Q40" s="492">
        <v>1</v>
      </c>
      <c r="R40" s="492" t="s">
        <v>1512</v>
      </c>
      <c r="S40" s="492" t="s">
        <v>1512</v>
      </c>
      <c r="T40" s="492" t="s">
        <v>1512</v>
      </c>
      <c r="U40" s="492" t="s">
        <v>1512</v>
      </c>
      <c r="V40" s="504" t="str">
        <f t="shared" ref="V40:V71" si="10">IF(SUM(P40:U40)=6,"Phase 5",IF(SUM(P40:U40)=5,"Phase 4",IF(SUM(P40:U40)=4,"Phase 3",IF(SUM(P40:U40)=3,"Phase 2",IF(SUM(P40:U40)=2,"Phase 1",IF(SUM(P40:U40)=1,"Prephase","None Indicated"))))))</f>
        <v>Phase 1</v>
      </c>
      <c r="W40" s="542" t="s">
        <v>1512</v>
      </c>
      <c r="X40" s="492" t="s">
        <v>1512</v>
      </c>
      <c r="Y40" s="492" t="s">
        <v>1512</v>
      </c>
      <c r="Z40" s="492" t="s">
        <v>1512</v>
      </c>
      <c r="AA40" s="492" t="s">
        <v>1512</v>
      </c>
      <c r="AB40" s="492" t="s">
        <v>1512</v>
      </c>
      <c r="AC40" s="492" t="s">
        <v>1512</v>
      </c>
      <c r="AD40" s="505" t="str">
        <f t="shared" ref="AD40:AD71" si="11">IF(SUM(W40:AC40)=7,"RA7",IF(SUM(W40:AC40)=6,"RA 6",IF(SUM(W40:AC40)=5,"RA 5",IF(SUM(W40:AC40)=4,"RA 4",IF(SUM(W40:AC40)=3,"RA3",IF(SUM(W40:AC40)=2,"RA 2",IF(SUM(W40:AC40)=1,"RA1","None Indicated")))))))</f>
        <v>None Indicated</v>
      </c>
      <c r="AE40" s="543" t="s">
        <v>1757</v>
      </c>
      <c r="AF40" s="506"/>
      <c r="AG40" s="507"/>
      <c r="AH40" s="508"/>
      <c r="AI40" s="508"/>
    </row>
    <row r="41" spans="1:35" s="509" customFormat="1" ht="14.4" x14ac:dyDescent="0.3">
      <c r="A41" s="497"/>
      <c r="B41" s="525" t="s">
        <v>276</v>
      </c>
      <c r="C41" s="526" t="s">
        <v>1807</v>
      </c>
      <c r="D41" s="527">
        <v>2006</v>
      </c>
      <c r="E41" s="528">
        <v>2015</v>
      </c>
      <c r="F41" s="528" t="s">
        <v>1809</v>
      </c>
      <c r="G41" s="501"/>
      <c r="H41" s="527">
        <v>2006</v>
      </c>
      <c r="I41" s="528">
        <v>2015</v>
      </c>
      <c r="J41" s="528" t="s">
        <v>1809</v>
      </c>
      <c r="K41" s="502">
        <f t="shared" si="6"/>
        <v>0</v>
      </c>
      <c r="L41" s="502">
        <f t="shared" si="7"/>
        <v>1</v>
      </c>
      <c r="M41" s="502">
        <f t="shared" si="8"/>
        <v>1900</v>
      </c>
      <c r="N41" s="514"/>
      <c r="O41" s="504" t="str">
        <f t="shared" ca="1" si="9"/>
        <v>For Updating</v>
      </c>
      <c r="P41" s="542">
        <v>1</v>
      </c>
      <c r="Q41" s="492">
        <v>1</v>
      </c>
      <c r="R41" s="492">
        <v>1</v>
      </c>
      <c r="S41" s="492">
        <v>1</v>
      </c>
      <c r="T41" s="492">
        <v>1</v>
      </c>
      <c r="U41" s="492">
        <v>1</v>
      </c>
      <c r="V41" s="504" t="str">
        <f t="shared" si="10"/>
        <v>Phase 5</v>
      </c>
      <c r="W41" s="542" t="s">
        <v>1512</v>
      </c>
      <c r="X41" s="492" t="s">
        <v>1512</v>
      </c>
      <c r="Y41" s="492" t="s">
        <v>1512</v>
      </c>
      <c r="Z41" s="492" t="s">
        <v>1512</v>
      </c>
      <c r="AA41" s="492" t="s">
        <v>1512</v>
      </c>
      <c r="AB41" s="492" t="s">
        <v>1512</v>
      </c>
      <c r="AC41" s="492" t="s">
        <v>1512</v>
      </c>
      <c r="AD41" s="505" t="str">
        <f t="shared" si="11"/>
        <v>None Indicated</v>
      </c>
      <c r="AE41" s="543" t="s">
        <v>1757</v>
      </c>
      <c r="AF41" s="506"/>
      <c r="AG41" s="507"/>
      <c r="AH41" s="508"/>
      <c r="AI41" s="508"/>
    </row>
    <row r="42" spans="1:35" s="509" customFormat="1" ht="14.4" x14ac:dyDescent="0.3">
      <c r="A42" s="497"/>
      <c r="B42" s="529" t="s">
        <v>349</v>
      </c>
      <c r="C42" s="526" t="s">
        <v>1807</v>
      </c>
      <c r="D42" s="527">
        <v>1983</v>
      </c>
      <c r="E42" s="528">
        <v>1993</v>
      </c>
      <c r="F42" s="528" t="s">
        <v>1810</v>
      </c>
      <c r="G42" s="501"/>
      <c r="H42" s="527">
        <v>1983</v>
      </c>
      <c r="I42" s="528">
        <v>1993</v>
      </c>
      <c r="J42" s="528" t="s">
        <v>1810</v>
      </c>
      <c r="K42" s="502">
        <f t="shared" si="6"/>
        <v>0</v>
      </c>
      <c r="L42" s="502">
        <f t="shared" si="7"/>
        <v>1</v>
      </c>
      <c r="M42" s="502">
        <f t="shared" si="8"/>
        <v>1900</v>
      </c>
      <c r="N42" s="514"/>
      <c r="O42" s="504" t="str">
        <f t="shared" ca="1" si="9"/>
        <v>For Updating</v>
      </c>
      <c r="P42" s="542">
        <v>1</v>
      </c>
      <c r="Q42" s="492">
        <v>1</v>
      </c>
      <c r="R42" s="492">
        <v>1</v>
      </c>
      <c r="S42" s="492" t="s">
        <v>1512</v>
      </c>
      <c r="T42" s="492" t="s">
        <v>1512</v>
      </c>
      <c r="U42" s="492" t="s">
        <v>1512</v>
      </c>
      <c r="V42" s="504" t="str">
        <f t="shared" si="10"/>
        <v>Phase 2</v>
      </c>
      <c r="W42" s="542" t="s">
        <v>1512</v>
      </c>
      <c r="X42" s="492" t="s">
        <v>1512</v>
      </c>
      <c r="Y42" s="492" t="s">
        <v>1512</v>
      </c>
      <c r="Z42" s="492" t="s">
        <v>1512</v>
      </c>
      <c r="AA42" s="492" t="s">
        <v>1512</v>
      </c>
      <c r="AB42" s="492" t="s">
        <v>1512</v>
      </c>
      <c r="AC42" s="492" t="s">
        <v>1512</v>
      </c>
      <c r="AD42" s="505" t="str">
        <f t="shared" si="11"/>
        <v>None Indicated</v>
      </c>
      <c r="AE42" s="543" t="s">
        <v>1757</v>
      </c>
      <c r="AF42" s="506"/>
      <c r="AG42" s="507"/>
      <c r="AH42" s="508"/>
      <c r="AI42" s="508"/>
    </row>
    <row r="43" spans="1:35" s="509" customFormat="1" ht="14.4" x14ac:dyDescent="0.3">
      <c r="A43" s="497"/>
      <c r="B43" s="525" t="s">
        <v>1811</v>
      </c>
      <c r="C43" s="526" t="s">
        <v>1807</v>
      </c>
      <c r="D43" s="527">
        <v>1996</v>
      </c>
      <c r="E43" s="528">
        <v>2005</v>
      </c>
      <c r="F43" s="528" t="s">
        <v>1812</v>
      </c>
      <c r="G43" s="501"/>
      <c r="H43" s="527">
        <v>1996</v>
      </c>
      <c r="I43" s="528">
        <v>2005</v>
      </c>
      <c r="J43" s="528" t="s">
        <v>1812</v>
      </c>
      <c r="K43" s="502">
        <f t="shared" si="6"/>
        <v>0</v>
      </c>
      <c r="L43" s="502">
        <f t="shared" si="7"/>
        <v>1</v>
      </c>
      <c r="M43" s="502">
        <f t="shared" si="8"/>
        <v>1900</v>
      </c>
      <c r="N43" s="514"/>
      <c r="O43" s="504" t="str">
        <f t="shared" ca="1" si="9"/>
        <v>For Updating</v>
      </c>
      <c r="P43" s="542">
        <v>1</v>
      </c>
      <c r="Q43" s="492">
        <v>1</v>
      </c>
      <c r="R43" s="492">
        <v>1</v>
      </c>
      <c r="S43" s="492">
        <v>1</v>
      </c>
      <c r="T43" s="492">
        <v>1</v>
      </c>
      <c r="U43" s="492">
        <v>1</v>
      </c>
      <c r="V43" s="504" t="str">
        <f t="shared" si="10"/>
        <v>Phase 5</v>
      </c>
      <c r="W43" s="542">
        <v>1</v>
      </c>
      <c r="X43" s="492" t="s">
        <v>1512</v>
      </c>
      <c r="Y43" s="492" t="s">
        <v>1512</v>
      </c>
      <c r="Z43" s="492" t="s">
        <v>1512</v>
      </c>
      <c r="AA43" s="492" t="s">
        <v>1512</v>
      </c>
      <c r="AB43" s="492" t="s">
        <v>1512</v>
      </c>
      <c r="AC43" s="492" t="s">
        <v>1512</v>
      </c>
      <c r="AD43" s="505" t="str">
        <f t="shared" si="11"/>
        <v>RA1</v>
      </c>
      <c r="AE43" s="543" t="s">
        <v>1757</v>
      </c>
      <c r="AF43" s="506"/>
      <c r="AG43" s="507"/>
      <c r="AH43" s="508"/>
      <c r="AI43" s="508"/>
    </row>
    <row r="44" spans="1:35" s="509" customFormat="1" ht="28.2" x14ac:dyDescent="0.3">
      <c r="A44" s="497"/>
      <c r="B44" s="525" t="s">
        <v>419</v>
      </c>
      <c r="C44" s="526" t="s">
        <v>1807</v>
      </c>
      <c r="D44" s="527">
        <v>1979</v>
      </c>
      <c r="E44" s="528">
        <v>1990</v>
      </c>
      <c r="F44" s="528" t="s">
        <v>1813</v>
      </c>
      <c r="G44" s="501"/>
      <c r="H44" s="527">
        <v>1979</v>
      </c>
      <c r="I44" s="528">
        <v>1990</v>
      </c>
      <c r="J44" s="528" t="s">
        <v>1813</v>
      </c>
      <c r="K44" s="502">
        <f t="shared" si="6"/>
        <v>0</v>
      </c>
      <c r="L44" s="502">
        <f t="shared" si="7"/>
        <v>1</v>
      </c>
      <c r="M44" s="502">
        <f t="shared" si="8"/>
        <v>1900</v>
      </c>
      <c r="N44" s="514"/>
      <c r="O44" s="504" t="str">
        <f t="shared" ca="1" si="9"/>
        <v>For Updating</v>
      </c>
      <c r="P44" s="542">
        <v>1</v>
      </c>
      <c r="Q44" s="492">
        <v>1</v>
      </c>
      <c r="R44" s="492" t="s">
        <v>1512</v>
      </c>
      <c r="S44" s="492" t="s">
        <v>1512</v>
      </c>
      <c r="T44" s="492" t="s">
        <v>1512</v>
      </c>
      <c r="U44" s="492" t="s">
        <v>1512</v>
      </c>
      <c r="V44" s="504" t="str">
        <f t="shared" si="10"/>
        <v>Phase 1</v>
      </c>
      <c r="W44" s="542" t="s">
        <v>1512</v>
      </c>
      <c r="X44" s="492" t="s">
        <v>1512</v>
      </c>
      <c r="Y44" s="492" t="s">
        <v>1512</v>
      </c>
      <c r="Z44" s="492" t="s">
        <v>1512</v>
      </c>
      <c r="AA44" s="492" t="s">
        <v>1512</v>
      </c>
      <c r="AB44" s="492" t="s">
        <v>1512</v>
      </c>
      <c r="AC44" s="492" t="s">
        <v>1512</v>
      </c>
      <c r="AD44" s="505" t="str">
        <f t="shared" si="11"/>
        <v>None Indicated</v>
      </c>
      <c r="AE44" s="543" t="s">
        <v>1757</v>
      </c>
      <c r="AF44" s="506"/>
      <c r="AG44" s="507"/>
      <c r="AH44" s="508"/>
      <c r="AI44" s="508"/>
    </row>
    <row r="45" spans="1:35" s="509" customFormat="1" ht="14.4" x14ac:dyDescent="0.3">
      <c r="A45" s="497"/>
      <c r="B45" s="525" t="s">
        <v>1814</v>
      </c>
      <c r="C45" s="526" t="s">
        <v>1807</v>
      </c>
      <c r="D45" s="527">
        <v>2003</v>
      </c>
      <c r="E45" s="528">
        <v>2012</v>
      </c>
      <c r="F45" s="530" t="s">
        <v>1815</v>
      </c>
      <c r="G45" s="501"/>
      <c r="H45" s="527">
        <v>2003</v>
      </c>
      <c r="I45" s="528">
        <v>2012</v>
      </c>
      <c r="J45" s="530" t="s">
        <v>1815</v>
      </c>
      <c r="K45" s="502">
        <f t="shared" si="6"/>
        <v>0</v>
      </c>
      <c r="L45" s="502">
        <f t="shared" si="7"/>
        <v>1</v>
      </c>
      <c r="M45" s="502">
        <f t="shared" si="8"/>
        <v>1900</v>
      </c>
      <c r="N45" s="514"/>
      <c r="O45" s="504" t="str">
        <f t="shared" ca="1" si="9"/>
        <v>For Updating</v>
      </c>
      <c r="P45" s="542">
        <v>1</v>
      </c>
      <c r="Q45" s="492">
        <v>1</v>
      </c>
      <c r="R45" s="492">
        <v>1</v>
      </c>
      <c r="S45" s="492">
        <v>1</v>
      </c>
      <c r="T45" s="492">
        <v>1</v>
      </c>
      <c r="U45" s="492">
        <v>1</v>
      </c>
      <c r="V45" s="504" t="str">
        <f t="shared" si="10"/>
        <v>Phase 5</v>
      </c>
      <c r="W45" s="542" t="s">
        <v>1512</v>
      </c>
      <c r="X45" s="492" t="s">
        <v>1512</v>
      </c>
      <c r="Y45" s="492" t="s">
        <v>1512</v>
      </c>
      <c r="Z45" s="492" t="s">
        <v>1512</v>
      </c>
      <c r="AA45" s="492" t="s">
        <v>1512</v>
      </c>
      <c r="AB45" s="492" t="s">
        <v>1512</v>
      </c>
      <c r="AC45" s="492" t="s">
        <v>1512</v>
      </c>
      <c r="AD45" s="505" t="str">
        <f t="shared" si="11"/>
        <v>None Indicated</v>
      </c>
      <c r="AE45" s="543" t="s">
        <v>1757</v>
      </c>
      <c r="AF45" s="506"/>
      <c r="AG45" s="507"/>
      <c r="AH45" s="508"/>
      <c r="AI45" s="508"/>
    </row>
    <row r="46" spans="1:35" s="509" customFormat="1" ht="14.4" x14ac:dyDescent="0.3">
      <c r="A46" s="497"/>
      <c r="B46" s="525" t="s">
        <v>495</v>
      </c>
      <c r="C46" s="526" t="s">
        <v>1807</v>
      </c>
      <c r="D46" s="527">
        <v>2020</v>
      </c>
      <c r="E46" s="528">
        <v>2030</v>
      </c>
      <c r="F46" s="531" t="s">
        <v>1816</v>
      </c>
      <c r="G46" s="501"/>
      <c r="H46" s="527">
        <v>2020</v>
      </c>
      <c r="I46" s="528">
        <v>2030</v>
      </c>
      <c r="J46" s="531" t="s">
        <v>1816</v>
      </c>
      <c r="K46" s="502">
        <f t="shared" si="6"/>
        <v>0</v>
      </c>
      <c r="L46" s="502">
        <f t="shared" si="7"/>
        <v>1</v>
      </c>
      <c r="M46" s="502">
        <f t="shared" si="8"/>
        <v>1900</v>
      </c>
      <c r="N46" s="532"/>
      <c r="O46" s="504" t="str">
        <f t="shared" ca="1" si="9"/>
        <v>Updated</v>
      </c>
      <c r="P46" s="542">
        <v>1</v>
      </c>
      <c r="Q46" s="492">
        <v>1</v>
      </c>
      <c r="R46" s="492">
        <v>1</v>
      </c>
      <c r="S46" s="492">
        <v>1</v>
      </c>
      <c r="T46" s="492">
        <v>1</v>
      </c>
      <c r="U46" s="492">
        <v>1</v>
      </c>
      <c r="V46" s="504" t="str">
        <f t="shared" si="10"/>
        <v>Phase 5</v>
      </c>
      <c r="W46" s="542">
        <v>1</v>
      </c>
      <c r="X46" s="492">
        <v>1</v>
      </c>
      <c r="Y46" s="492">
        <v>1</v>
      </c>
      <c r="Z46" s="492">
        <v>1</v>
      </c>
      <c r="AA46" s="492">
        <v>1</v>
      </c>
      <c r="AB46" s="492">
        <v>1</v>
      </c>
      <c r="AC46" s="492">
        <v>1</v>
      </c>
      <c r="AD46" s="505" t="str">
        <f t="shared" si="11"/>
        <v>RA7</v>
      </c>
      <c r="AE46" s="543" t="s">
        <v>1757</v>
      </c>
      <c r="AF46" s="506"/>
      <c r="AG46" s="507"/>
      <c r="AH46" s="508"/>
      <c r="AI46" s="508"/>
    </row>
    <row r="47" spans="1:35" s="509" customFormat="1" ht="14.4" x14ac:dyDescent="0.3">
      <c r="A47" s="497"/>
      <c r="B47" s="525" t="s">
        <v>1817</v>
      </c>
      <c r="C47" s="526" t="s">
        <v>1807</v>
      </c>
      <c r="D47" s="527">
        <v>1996</v>
      </c>
      <c r="E47" s="528">
        <v>2026</v>
      </c>
      <c r="F47" s="530" t="s">
        <v>1818</v>
      </c>
      <c r="G47" s="501"/>
      <c r="H47" s="527">
        <v>1996</v>
      </c>
      <c r="I47" s="528">
        <v>2026</v>
      </c>
      <c r="J47" s="530" t="s">
        <v>1818</v>
      </c>
      <c r="K47" s="502">
        <f t="shared" si="6"/>
        <v>0</v>
      </c>
      <c r="L47" s="502">
        <f t="shared" si="7"/>
        <v>1</v>
      </c>
      <c r="M47" s="502">
        <f t="shared" si="8"/>
        <v>1900</v>
      </c>
      <c r="N47" s="514"/>
      <c r="O47" s="504" t="str">
        <f t="shared" ca="1" si="9"/>
        <v>Updated</v>
      </c>
      <c r="P47" s="542">
        <v>1</v>
      </c>
      <c r="Q47" s="492">
        <v>1</v>
      </c>
      <c r="R47" s="492">
        <v>1</v>
      </c>
      <c r="S47" s="492">
        <v>1</v>
      </c>
      <c r="T47" s="492">
        <v>1</v>
      </c>
      <c r="U47" s="492">
        <v>1</v>
      </c>
      <c r="V47" s="504" t="str">
        <f t="shared" si="10"/>
        <v>Phase 5</v>
      </c>
      <c r="W47" s="542">
        <v>1</v>
      </c>
      <c r="X47" s="492">
        <v>1</v>
      </c>
      <c r="Y47" s="492" t="s">
        <v>1512</v>
      </c>
      <c r="Z47" s="492" t="s">
        <v>1512</v>
      </c>
      <c r="AA47" s="492" t="s">
        <v>1512</v>
      </c>
      <c r="AB47" s="492" t="s">
        <v>1512</v>
      </c>
      <c r="AC47" s="492" t="s">
        <v>1512</v>
      </c>
      <c r="AD47" s="505" t="str">
        <f t="shared" si="11"/>
        <v>RA 2</v>
      </c>
      <c r="AE47" s="543" t="s">
        <v>1757</v>
      </c>
      <c r="AF47" s="506"/>
      <c r="AG47" s="507"/>
      <c r="AH47" s="508"/>
      <c r="AI47" s="508"/>
    </row>
    <row r="48" spans="1:35" s="509" customFormat="1" ht="14.4" x14ac:dyDescent="0.3">
      <c r="A48" s="497"/>
      <c r="B48" s="525" t="s">
        <v>933</v>
      </c>
      <c r="C48" s="526" t="s">
        <v>1807</v>
      </c>
      <c r="D48" s="527">
        <v>2020</v>
      </c>
      <c r="E48" s="528">
        <v>2029</v>
      </c>
      <c r="F48" s="533" t="s">
        <v>1819</v>
      </c>
      <c r="G48" s="501"/>
      <c r="H48" s="527">
        <v>2020</v>
      </c>
      <c r="I48" s="528">
        <v>2029</v>
      </c>
      <c r="J48" s="533" t="s">
        <v>1819</v>
      </c>
      <c r="K48" s="502">
        <f t="shared" si="6"/>
        <v>0</v>
      </c>
      <c r="L48" s="502">
        <f t="shared" si="7"/>
        <v>1</v>
      </c>
      <c r="M48" s="502">
        <f t="shared" si="8"/>
        <v>1900</v>
      </c>
      <c r="N48" s="514"/>
      <c r="O48" s="504" t="str">
        <f t="shared" ca="1" si="9"/>
        <v>Updated</v>
      </c>
      <c r="P48" s="542">
        <v>1</v>
      </c>
      <c r="Q48" s="492">
        <v>1</v>
      </c>
      <c r="R48" s="492">
        <v>1</v>
      </c>
      <c r="S48" s="492">
        <v>1</v>
      </c>
      <c r="T48" s="492">
        <v>1</v>
      </c>
      <c r="U48" s="492">
        <v>1</v>
      </c>
      <c r="V48" s="504" t="str">
        <f t="shared" si="10"/>
        <v>Phase 5</v>
      </c>
      <c r="W48" s="542">
        <v>1</v>
      </c>
      <c r="X48" s="492">
        <v>1</v>
      </c>
      <c r="Y48" s="492">
        <v>1</v>
      </c>
      <c r="Z48" s="492">
        <v>1</v>
      </c>
      <c r="AA48" s="492">
        <v>1</v>
      </c>
      <c r="AB48" s="492">
        <v>1</v>
      </c>
      <c r="AC48" s="492">
        <v>1</v>
      </c>
      <c r="AD48" s="505" t="str">
        <f t="shared" si="11"/>
        <v>RA7</v>
      </c>
      <c r="AE48" s="543" t="s">
        <v>1757</v>
      </c>
      <c r="AF48" s="506"/>
      <c r="AG48" s="507"/>
      <c r="AH48" s="508"/>
      <c r="AI48" s="508"/>
    </row>
    <row r="49" spans="1:35" s="509" customFormat="1" ht="14.4" x14ac:dyDescent="0.3">
      <c r="A49" s="497"/>
      <c r="B49" s="525" t="s">
        <v>1820</v>
      </c>
      <c r="C49" s="526" t="s">
        <v>1807</v>
      </c>
      <c r="D49" s="527">
        <v>2013</v>
      </c>
      <c r="E49" s="528">
        <v>2023</v>
      </c>
      <c r="F49" s="528" t="s">
        <v>1821</v>
      </c>
      <c r="G49" s="501"/>
      <c r="H49" s="527">
        <v>2013</v>
      </c>
      <c r="I49" s="528">
        <v>2023</v>
      </c>
      <c r="J49" s="528" t="s">
        <v>1821</v>
      </c>
      <c r="K49" s="502">
        <f t="shared" si="6"/>
        <v>0</v>
      </c>
      <c r="L49" s="502">
        <f t="shared" si="7"/>
        <v>1</v>
      </c>
      <c r="M49" s="502">
        <f t="shared" si="8"/>
        <v>1900</v>
      </c>
      <c r="N49" s="514"/>
      <c r="O49" s="504" t="str">
        <f t="shared" ca="1" si="9"/>
        <v>For Updating</v>
      </c>
      <c r="P49" s="542">
        <v>1</v>
      </c>
      <c r="Q49" s="492">
        <v>1</v>
      </c>
      <c r="R49" s="492" t="s">
        <v>1512</v>
      </c>
      <c r="S49" s="492" t="s">
        <v>1512</v>
      </c>
      <c r="T49" s="492" t="s">
        <v>1512</v>
      </c>
      <c r="U49" s="492" t="s">
        <v>1512</v>
      </c>
      <c r="V49" s="504" t="str">
        <f t="shared" si="10"/>
        <v>Phase 1</v>
      </c>
      <c r="W49" s="542" t="s">
        <v>1512</v>
      </c>
      <c r="X49" s="492" t="s">
        <v>1512</v>
      </c>
      <c r="Y49" s="492" t="s">
        <v>1512</v>
      </c>
      <c r="Z49" s="492" t="s">
        <v>1512</v>
      </c>
      <c r="AA49" s="492" t="s">
        <v>1512</v>
      </c>
      <c r="AB49" s="492" t="s">
        <v>1512</v>
      </c>
      <c r="AC49" s="492" t="s">
        <v>1512</v>
      </c>
      <c r="AD49" s="505" t="str">
        <f t="shared" si="11"/>
        <v>None Indicated</v>
      </c>
      <c r="AE49" s="543" t="s">
        <v>1757</v>
      </c>
      <c r="AF49" s="506"/>
      <c r="AG49" s="507"/>
      <c r="AH49" s="508"/>
      <c r="AI49" s="508"/>
    </row>
    <row r="50" spans="1:35" s="509" customFormat="1" ht="14.4" x14ac:dyDescent="0.3">
      <c r="A50" s="497"/>
      <c r="B50" s="525" t="s">
        <v>1822</v>
      </c>
      <c r="C50" s="526" t="s">
        <v>1807</v>
      </c>
      <c r="D50" s="527">
        <v>2021</v>
      </c>
      <c r="E50" s="528">
        <v>2029</v>
      </c>
      <c r="F50" s="531" t="s">
        <v>1823</v>
      </c>
      <c r="G50" s="501"/>
      <c r="H50" s="527">
        <v>2021</v>
      </c>
      <c r="I50" s="528">
        <v>2029</v>
      </c>
      <c r="J50" s="531" t="s">
        <v>1823</v>
      </c>
      <c r="K50" s="502">
        <f t="shared" si="6"/>
        <v>0</v>
      </c>
      <c r="L50" s="502">
        <f t="shared" si="7"/>
        <v>1</v>
      </c>
      <c r="M50" s="502">
        <f t="shared" si="8"/>
        <v>1900</v>
      </c>
      <c r="N50" s="514"/>
      <c r="O50" s="504" t="str">
        <f t="shared" ca="1" si="9"/>
        <v>Updated</v>
      </c>
      <c r="P50" s="542">
        <v>1</v>
      </c>
      <c r="Q50" s="492">
        <v>1</v>
      </c>
      <c r="R50" s="492">
        <v>1</v>
      </c>
      <c r="S50" s="492">
        <v>1</v>
      </c>
      <c r="T50" s="492">
        <v>1</v>
      </c>
      <c r="U50" s="492">
        <v>1</v>
      </c>
      <c r="V50" s="504" t="str">
        <f t="shared" si="10"/>
        <v>Phase 5</v>
      </c>
      <c r="W50" s="542">
        <v>1</v>
      </c>
      <c r="X50" s="492">
        <v>1</v>
      </c>
      <c r="Y50" s="492">
        <v>1</v>
      </c>
      <c r="Z50" s="492">
        <v>1</v>
      </c>
      <c r="AA50" s="492">
        <v>1</v>
      </c>
      <c r="AB50" s="492">
        <v>1</v>
      </c>
      <c r="AC50" s="492">
        <v>1</v>
      </c>
      <c r="AD50" s="505" t="str">
        <f t="shared" si="11"/>
        <v>RA7</v>
      </c>
      <c r="AE50" s="543" t="s">
        <v>1757</v>
      </c>
      <c r="AF50" s="506"/>
      <c r="AG50" s="507"/>
      <c r="AH50" s="508"/>
      <c r="AI50" s="508"/>
    </row>
    <row r="51" spans="1:35" s="509" customFormat="1" ht="14.4" x14ac:dyDescent="0.3">
      <c r="A51" s="497"/>
      <c r="B51" s="525" t="s">
        <v>981</v>
      </c>
      <c r="C51" s="526" t="s">
        <v>1807</v>
      </c>
      <c r="D51" s="534" t="s">
        <v>1512</v>
      </c>
      <c r="E51" s="530" t="s">
        <v>1512</v>
      </c>
      <c r="F51" s="530" t="s">
        <v>1512</v>
      </c>
      <c r="G51" s="501"/>
      <c r="H51" s="534" t="s">
        <v>1512</v>
      </c>
      <c r="I51" s="530" t="s">
        <v>1512</v>
      </c>
      <c r="J51" s="530" t="s">
        <v>1512</v>
      </c>
      <c r="K51" s="502">
        <f t="shared" si="6"/>
        <v>0</v>
      </c>
      <c r="L51" s="502">
        <f t="shared" si="7"/>
        <v>1</v>
      </c>
      <c r="M51" s="502">
        <f t="shared" si="8"/>
        <v>1900</v>
      </c>
      <c r="N51" s="514"/>
      <c r="O51" s="504" t="e">
        <f t="shared" ca="1" si="9"/>
        <v>#VALUE!</v>
      </c>
      <c r="P51" s="542">
        <v>1</v>
      </c>
      <c r="Q51" s="492">
        <v>1</v>
      </c>
      <c r="R51" s="492">
        <v>1</v>
      </c>
      <c r="S51" s="492">
        <v>1</v>
      </c>
      <c r="T51" s="492" t="s">
        <v>1512</v>
      </c>
      <c r="U51" s="492" t="s">
        <v>1512</v>
      </c>
      <c r="V51" s="504" t="str">
        <f t="shared" si="10"/>
        <v>Phase 3</v>
      </c>
      <c r="W51" s="542" t="s">
        <v>1512</v>
      </c>
      <c r="X51" s="492" t="s">
        <v>1512</v>
      </c>
      <c r="Y51" s="492" t="s">
        <v>1512</v>
      </c>
      <c r="Z51" s="492" t="s">
        <v>1512</v>
      </c>
      <c r="AA51" s="492" t="s">
        <v>1512</v>
      </c>
      <c r="AB51" s="492" t="s">
        <v>1512</v>
      </c>
      <c r="AC51" s="492" t="s">
        <v>1512</v>
      </c>
      <c r="AD51" s="505" t="str">
        <f t="shared" si="11"/>
        <v>None Indicated</v>
      </c>
      <c r="AE51" s="543" t="s">
        <v>1757</v>
      </c>
      <c r="AF51" s="506"/>
      <c r="AG51" s="507"/>
      <c r="AH51" s="508"/>
      <c r="AI51" s="508"/>
    </row>
    <row r="52" spans="1:35" s="509" customFormat="1" ht="14.4" x14ac:dyDescent="0.3">
      <c r="A52" s="497"/>
      <c r="B52" s="525" t="s">
        <v>1824</v>
      </c>
      <c r="C52" s="526" t="s">
        <v>1807</v>
      </c>
      <c r="D52" s="534" t="s">
        <v>1512</v>
      </c>
      <c r="E52" s="530" t="s">
        <v>1512</v>
      </c>
      <c r="F52" s="530" t="s">
        <v>1512</v>
      </c>
      <c r="G52" s="501"/>
      <c r="H52" s="534" t="s">
        <v>1512</v>
      </c>
      <c r="I52" s="530" t="s">
        <v>1512</v>
      </c>
      <c r="J52" s="530" t="s">
        <v>1512</v>
      </c>
      <c r="K52" s="502">
        <f t="shared" si="6"/>
        <v>0</v>
      </c>
      <c r="L52" s="502">
        <f t="shared" si="7"/>
        <v>1</v>
      </c>
      <c r="M52" s="502">
        <f t="shared" si="8"/>
        <v>1900</v>
      </c>
      <c r="N52" s="514"/>
      <c r="O52" s="504" t="e">
        <f t="shared" ca="1" si="9"/>
        <v>#VALUE!</v>
      </c>
      <c r="P52" s="542">
        <v>1</v>
      </c>
      <c r="Q52" s="492">
        <v>1</v>
      </c>
      <c r="R52" s="492">
        <v>1</v>
      </c>
      <c r="S52" s="492">
        <v>1</v>
      </c>
      <c r="T52" s="492" t="s">
        <v>1512</v>
      </c>
      <c r="U52" s="492" t="s">
        <v>1512</v>
      </c>
      <c r="V52" s="504" t="str">
        <f t="shared" si="10"/>
        <v>Phase 3</v>
      </c>
      <c r="W52" s="542" t="s">
        <v>1512</v>
      </c>
      <c r="X52" s="492" t="s">
        <v>1512</v>
      </c>
      <c r="Y52" s="492" t="s">
        <v>1512</v>
      </c>
      <c r="Z52" s="492" t="s">
        <v>1512</v>
      </c>
      <c r="AA52" s="492" t="s">
        <v>1512</v>
      </c>
      <c r="AB52" s="492" t="s">
        <v>1512</v>
      </c>
      <c r="AC52" s="492" t="s">
        <v>1512</v>
      </c>
      <c r="AD52" s="505" t="str">
        <f t="shared" si="11"/>
        <v>None Indicated</v>
      </c>
      <c r="AE52" s="543" t="s">
        <v>1757</v>
      </c>
      <c r="AF52" s="506"/>
      <c r="AG52" s="507"/>
      <c r="AH52" s="508"/>
      <c r="AI52" s="508"/>
    </row>
    <row r="53" spans="1:35" s="509" customFormat="1" ht="14.4" x14ac:dyDescent="0.3">
      <c r="A53" s="497"/>
      <c r="B53" s="525" t="s">
        <v>1074</v>
      </c>
      <c r="C53" s="526" t="s">
        <v>1807</v>
      </c>
      <c r="D53" s="527">
        <v>2022</v>
      </c>
      <c r="E53" s="528">
        <v>2031</v>
      </c>
      <c r="F53" s="535" t="s">
        <v>1825</v>
      </c>
      <c r="G53" s="501"/>
      <c r="H53" s="527">
        <v>2022</v>
      </c>
      <c r="I53" s="528">
        <v>2031</v>
      </c>
      <c r="J53" s="535" t="s">
        <v>1825</v>
      </c>
      <c r="K53" s="502">
        <f t="shared" si="6"/>
        <v>0</v>
      </c>
      <c r="L53" s="502">
        <f t="shared" si="7"/>
        <v>1</v>
      </c>
      <c r="M53" s="502">
        <f t="shared" si="8"/>
        <v>1900</v>
      </c>
      <c r="N53" s="514"/>
      <c r="O53" s="504" t="str">
        <f t="shared" ca="1" si="9"/>
        <v>Updated</v>
      </c>
      <c r="P53" s="542">
        <v>1</v>
      </c>
      <c r="Q53" s="492">
        <v>1</v>
      </c>
      <c r="R53" s="492">
        <v>1</v>
      </c>
      <c r="S53" s="492">
        <v>1</v>
      </c>
      <c r="T53" s="492">
        <v>1</v>
      </c>
      <c r="U53" s="492">
        <v>1</v>
      </c>
      <c r="V53" s="504" t="str">
        <f t="shared" si="10"/>
        <v>Phase 5</v>
      </c>
      <c r="W53" s="542">
        <v>1</v>
      </c>
      <c r="X53" s="492">
        <v>1</v>
      </c>
      <c r="Y53" s="492">
        <v>1</v>
      </c>
      <c r="Z53" s="492">
        <v>1</v>
      </c>
      <c r="AA53" s="492">
        <v>1</v>
      </c>
      <c r="AB53" s="492">
        <v>1</v>
      </c>
      <c r="AC53" s="492">
        <v>1</v>
      </c>
      <c r="AD53" s="505" t="str">
        <f t="shared" si="11"/>
        <v>RA7</v>
      </c>
      <c r="AE53" s="543" t="s">
        <v>1757</v>
      </c>
      <c r="AF53" s="506"/>
      <c r="AG53" s="507"/>
      <c r="AH53" s="508"/>
      <c r="AI53" s="508"/>
    </row>
    <row r="54" spans="1:35" s="509" customFormat="1" ht="14.4" x14ac:dyDescent="0.3">
      <c r="A54" s="497"/>
      <c r="B54" s="525" t="s">
        <v>1111</v>
      </c>
      <c r="C54" s="526" t="s">
        <v>1807</v>
      </c>
      <c r="D54" s="527">
        <v>1982</v>
      </c>
      <c r="E54" s="528">
        <v>1992</v>
      </c>
      <c r="F54" s="528" t="s">
        <v>1826</v>
      </c>
      <c r="G54" s="501"/>
      <c r="H54" s="527">
        <v>1982</v>
      </c>
      <c r="I54" s="528">
        <v>1992</v>
      </c>
      <c r="J54" s="528" t="s">
        <v>1826</v>
      </c>
      <c r="K54" s="502">
        <f t="shared" si="6"/>
        <v>0</v>
      </c>
      <c r="L54" s="502">
        <f t="shared" si="7"/>
        <v>1</v>
      </c>
      <c r="M54" s="502">
        <f t="shared" si="8"/>
        <v>1900</v>
      </c>
      <c r="N54" s="514"/>
      <c r="O54" s="504" t="str">
        <f t="shared" ca="1" si="9"/>
        <v>For Updating</v>
      </c>
      <c r="P54" s="542">
        <v>1</v>
      </c>
      <c r="Q54" s="492" t="s">
        <v>1512</v>
      </c>
      <c r="R54" s="492" t="s">
        <v>1512</v>
      </c>
      <c r="S54" s="492" t="s">
        <v>1512</v>
      </c>
      <c r="T54" s="492" t="s">
        <v>1512</v>
      </c>
      <c r="U54" s="492" t="s">
        <v>1512</v>
      </c>
      <c r="V54" s="504" t="str">
        <f t="shared" si="10"/>
        <v>Prephase</v>
      </c>
      <c r="W54" s="542" t="s">
        <v>1512</v>
      </c>
      <c r="X54" s="492" t="s">
        <v>1512</v>
      </c>
      <c r="Y54" s="492" t="s">
        <v>1512</v>
      </c>
      <c r="Z54" s="492" t="s">
        <v>1512</v>
      </c>
      <c r="AA54" s="492" t="s">
        <v>1512</v>
      </c>
      <c r="AB54" s="492" t="s">
        <v>1512</v>
      </c>
      <c r="AC54" s="492" t="s">
        <v>1512</v>
      </c>
      <c r="AD54" s="505" t="str">
        <f t="shared" si="11"/>
        <v>None Indicated</v>
      </c>
      <c r="AE54" s="543" t="s">
        <v>1757</v>
      </c>
      <c r="AF54" s="506"/>
      <c r="AG54" s="507"/>
      <c r="AH54" s="508"/>
      <c r="AI54" s="508"/>
    </row>
    <row r="55" spans="1:35" s="509" customFormat="1" ht="14.4" x14ac:dyDescent="0.3">
      <c r="A55" s="497"/>
      <c r="B55" s="525" t="s">
        <v>1147</v>
      </c>
      <c r="C55" s="526" t="s">
        <v>1807</v>
      </c>
      <c r="D55" s="527">
        <v>2006</v>
      </c>
      <c r="E55" s="528">
        <v>2016</v>
      </c>
      <c r="F55" s="528" t="s">
        <v>1827</v>
      </c>
      <c r="G55" s="501"/>
      <c r="H55" s="527">
        <v>2006</v>
      </c>
      <c r="I55" s="528">
        <v>2016</v>
      </c>
      <c r="J55" s="528" t="s">
        <v>1827</v>
      </c>
      <c r="K55" s="502">
        <f t="shared" si="6"/>
        <v>0</v>
      </c>
      <c r="L55" s="502">
        <f t="shared" si="7"/>
        <v>1</v>
      </c>
      <c r="M55" s="502">
        <f t="shared" si="8"/>
        <v>1900</v>
      </c>
      <c r="N55" s="514"/>
      <c r="O55" s="504" t="str">
        <f t="shared" ca="1" si="9"/>
        <v>For Updating</v>
      </c>
      <c r="P55" s="542">
        <v>1</v>
      </c>
      <c r="Q55" s="492" t="s">
        <v>1512</v>
      </c>
      <c r="R55" s="492" t="s">
        <v>1512</v>
      </c>
      <c r="S55" s="492" t="s">
        <v>1512</v>
      </c>
      <c r="T55" s="492" t="s">
        <v>1512</v>
      </c>
      <c r="U55" s="492" t="s">
        <v>1512</v>
      </c>
      <c r="V55" s="504" t="str">
        <f t="shared" si="10"/>
        <v>Prephase</v>
      </c>
      <c r="W55" s="542" t="s">
        <v>1512</v>
      </c>
      <c r="X55" s="492" t="s">
        <v>1512</v>
      </c>
      <c r="Y55" s="492" t="s">
        <v>1512</v>
      </c>
      <c r="Z55" s="492" t="s">
        <v>1512</v>
      </c>
      <c r="AA55" s="492" t="s">
        <v>1512</v>
      </c>
      <c r="AB55" s="492" t="s">
        <v>1512</v>
      </c>
      <c r="AC55" s="492" t="s">
        <v>1512</v>
      </c>
      <c r="AD55" s="505" t="str">
        <f t="shared" si="11"/>
        <v>None Indicated</v>
      </c>
      <c r="AE55" s="543" t="s">
        <v>1757</v>
      </c>
      <c r="AF55" s="506"/>
      <c r="AG55" s="507"/>
      <c r="AH55" s="508"/>
      <c r="AI55" s="508"/>
    </row>
    <row r="56" spans="1:35" s="509" customFormat="1" ht="27.6" x14ac:dyDescent="0.3">
      <c r="A56" s="497"/>
      <c r="B56" s="525" t="s">
        <v>1828</v>
      </c>
      <c r="C56" s="526" t="s">
        <v>1807</v>
      </c>
      <c r="D56" s="527">
        <v>2020</v>
      </c>
      <c r="E56" s="528">
        <v>2029</v>
      </c>
      <c r="F56" s="533" t="s">
        <v>1829</v>
      </c>
      <c r="G56" s="501"/>
      <c r="H56" s="527">
        <v>2020</v>
      </c>
      <c r="I56" s="528">
        <v>2029</v>
      </c>
      <c r="J56" s="533" t="s">
        <v>1829</v>
      </c>
      <c r="K56" s="502">
        <f t="shared" ref="K56:K84" si="12">DAY(N56)</f>
        <v>0</v>
      </c>
      <c r="L56" s="502">
        <f t="shared" ref="L56:L84" si="13">MONTH(N56)</f>
        <v>1</v>
      </c>
      <c r="M56" s="502">
        <f t="shared" ref="M56:M84" si="14">YEAR(N56)</f>
        <v>1900</v>
      </c>
      <c r="N56" s="514"/>
      <c r="O56" s="504" t="str">
        <f t="shared" ca="1" si="9"/>
        <v>Updated</v>
      </c>
      <c r="P56" s="542">
        <v>1</v>
      </c>
      <c r="Q56" s="492">
        <v>1</v>
      </c>
      <c r="R56" s="492">
        <v>1</v>
      </c>
      <c r="S56" s="492">
        <v>1</v>
      </c>
      <c r="T56" s="492">
        <v>1</v>
      </c>
      <c r="U56" s="492">
        <v>1</v>
      </c>
      <c r="V56" s="504" t="str">
        <f t="shared" si="10"/>
        <v>Phase 5</v>
      </c>
      <c r="W56" s="542">
        <v>1</v>
      </c>
      <c r="X56" s="492">
        <v>1</v>
      </c>
      <c r="Y56" s="492">
        <v>1</v>
      </c>
      <c r="Z56" s="492">
        <v>1</v>
      </c>
      <c r="AA56" s="492">
        <v>1</v>
      </c>
      <c r="AB56" s="492">
        <v>1</v>
      </c>
      <c r="AC56" s="492">
        <v>1</v>
      </c>
      <c r="AD56" s="505" t="str">
        <f t="shared" si="11"/>
        <v>RA7</v>
      </c>
      <c r="AE56" s="543" t="s">
        <v>1757</v>
      </c>
      <c r="AF56" s="506"/>
      <c r="AG56" s="507"/>
      <c r="AH56" s="508"/>
      <c r="AI56" s="508"/>
    </row>
    <row r="57" spans="1:35" s="509" customFormat="1" ht="14.4" x14ac:dyDescent="0.3">
      <c r="A57" s="497"/>
      <c r="B57" s="525" t="s">
        <v>1830</v>
      </c>
      <c r="C57" s="526" t="s">
        <v>1807</v>
      </c>
      <c r="D57" s="527">
        <v>2010</v>
      </c>
      <c r="E57" s="528">
        <v>2019</v>
      </c>
      <c r="F57" s="528" t="s">
        <v>1831</v>
      </c>
      <c r="G57" s="501"/>
      <c r="H57" s="527">
        <v>2010</v>
      </c>
      <c r="I57" s="528">
        <v>2019</v>
      </c>
      <c r="J57" s="528" t="s">
        <v>1831</v>
      </c>
      <c r="K57" s="502">
        <f t="shared" si="12"/>
        <v>0</v>
      </c>
      <c r="L57" s="502">
        <f t="shared" si="13"/>
        <v>1</v>
      </c>
      <c r="M57" s="502">
        <f t="shared" si="14"/>
        <v>1900</v>
      </c>
      <c r="N57" s="514"/>
      <c r="O57" s="504" t="str">
        <f t="shared" ca="1" si="9"/>
        <v>For Updating</v>
      </c>
      <c r="P57" s="542">
        <v>1</v>
      </c>
      <c r="Q57" s="492">
        <v>1</v>
      </c>
      <c r="R57" s="492">
        <v>1</v>
      </c>
      <c r="S57" s="492">
        <v>1</v>
      </c>
      <c r="T57" s="492">
        <v>1</v>
      </c>
      <c r="U57" s="492" t="s">
        <v>1512</v>
      </c>
      <c r="V57" s="504" t="str">
        <f t="shared" si="10"/>
        <v>Phase 4</v>
      </c>
      <c r="W57" s="542" t="s">
        <v>1512</v>
      </c>
      <c r="X57" s="492" t="s">
        <v>1512</v>
      </c>
      <c r="Y57" s="492" t="s">
        <v>1512</v>
      </c>
      <c r="Z57" s="492" t="s">
        <v>1512</v>
      </c>
      <c r="AA57" s="492" t="s">
        <v>1512</v>
      </c>
      <c r="AB57" s="492" t="s">
        <v>1512</v>
      </c>
      <c r="AC57" s="492" t="s">
        <v>1512</v>
      </c>
      <c r="AD57" s="505" t="str">
        <f t="shared" si="11"/>
        <v>None Indicated</v>
      </c>
      <c r="AE57" s="543" t="s">
        <v>1757</v>
      </c>
      <c r="AF57" s="506"/>
      <c r="AG57" s="507"/>
      <c r="AH57" s="508"/>
      <c r="AI57" s="508"/>
    </row>
    <row r="58" spans="1:35" s="509" customFormat="1" ht="28.2" x14ac:dyDescent="0.3">
      <c r="A58" s="497"/>
      <c r="B58" s="525" t="s">
        <v>1237</v>
      </c>
      <c r="C58" s="526" t="s">
        <v>1807</v>
      </c>
      <c r="D58" s="527">
        <v>1979</v>
      </c>
      <c r="E58" s="528">
        <v>2000</v>
      </c>
      <c r="F58" s="528" t="s">
        <v>1832</v>
      </c>
      <c r="G58" s="501"/>
      <c r="H58" s="527">
        <v>1979</v>
      </c>
      <c r="I58" s="528">
        <v>2000</v>
      </c>
      <c r="J58" s="528" t="s">
        <v>1832</v>
      </c>
      <c r="K58" s="502">
        <f t="shared" si="12"/>
        <v>0</v>
      </c>
      <c r="L58" s="502">
        <f t="shared" si="13"/>
        <v>1</v>
      </c>
      <c r="M58" s="502">
        <f t="shared" si="14"/>
        <v>1900</v>
      </c>
      <c r="N58" s="514"/>
      <c r="O58" s="504" t="str">
        <f t="shared" ca="1" si="9"/>
        <v>For Updating</v>
      </c>
      <c r="P58" s="542">
        <v>1</v>
      </c>
      <c r="Q58" s="492">
        <v>1</v>
      </c>
      <c r="R58" s="492">
        <v>1</v>
      </c>
      <c r="S58" s="492" t="s">
        <v>1512</v>
      </c>
      <c r="T58" s="492" t="s">
        <v>1512</v>
      </c>
      <c r="U58" s="492" t="s">
        <v>1512</v>
      </c>
      <c r="V58" s="504" t="str">
        <f t="shared" si="10"/>
        <v>Phase 2</v>
      </c>
      <c r="W58" s="542" t="s">
        <v>1512</v>
      </c>
      <c r="X58" s="492" t="s">
        <v>1512</v>
      </c>
      <c r="Y58" s="492" t="s">
        <v>1512</v>
      </c>
      <c r="Z58" s="492" t="s">
        <v>1512</v>
      </c>
      <c r="AA58" s="492" t="s">
        <v>1512</v>
      </c>
      <c r="AB58" s="492" t="s">
        <v>1512</v>
      </c>
      <c r="AC58" s="492" t="s">
        <v>1512</v>
      </c>
      <c r="AD58" s="505" t="str">
        <f t="shared" si="11"/>
        <v>None Indicated</v>
      </c>
      <c r="AE58" s="543" t="s">
        <v>1757</v>
      </c>
      <c r="AF58" s="506"/>
      <c r="AG58" s="507"/>
      <c r="AH58" s="508"/>
      <c r="AI58" s="508"/>
    </row>
    <row r="59" spans="1:35" s="509" customFormat="1" ht="14.4" x14ac:dyDescent="0.3">
      <c r="A59" s="497"/>
      <c r="B59" s="525" t="s">
        <v>1257</v>
      </c>
      <c r="C59" s="526" t="s">
        <v>1807</v>
      </c>
      <c r="D59" s="527">
        <v>2020</v>
      </c>
      <c r="E59" s="528">
        <v>2029</v>
      </c>
      <c r="F59" s="533" t="s">
        <v>1833</v>
      </c>
      <c r="G59" s="501"/>
      <c r="H59" s="527">
        <v>2020</v>
      </c>
      <c r="I59" s="528">
        <v>2029</v>
      </c>
      <c r="J59" s="533" t="s">
        <v>1833</v>
      </c>
      <c r="K59" s="502">
        <f t="shared" si="12"/>
        <v>0</v>
      </c>
      <c r="L59" s="502">
        <f t="shared" si="13"/>
        <v>1</v>
      </c>
      <c r="M59" s="502">
        <f t="shared" si="14"/>
        <v>1900</v>
      </c>
      <c r="N59" s="514"/>
      <c r="O59" s="504" t="str">
        <f t="shared" ca="1" si="9"/>
        <v>Updated</v>
      </c>
      <c r="P59" s="542">
        <v>1</v>
      </c>
      <c r="Q59" s="492">
        <v>1</v>
      </c>
      <c r="R59" s="492">
        <v>1</v>
      </c>
      <c r="S59" s="492">
        <v>1</v>
      </c>
      <c r="T59" s="492">
        <v>1</v>
      </c>
      <c r="U59" s="492">
        <v>1</v>
      </c>
      <c r="V59" s="504" t="str">
        <f t="shared" si="10"/>
        <v>Phase 5</v>
      </c>
      <c r="W59" s="542">
        <v>1</v>
      </c>
      <c r="X59" s="492">
        <v>1</v>
      </c>
      <c r="Y59" s="492">
        <v>1</v>
      </c>
      <c r="Z59" s="492">
        <v>1</v>
      </c>
      <c r="AA59" s="492">
        <v>1</v>
      </c>
      <c r="AB59" s="492">
        <v>1</v>
      </c>
      <c r="AC59" s="492">
        <v>1</v>
      </c>
      <c r="AD59" s="505" t="str">
        <f t="shared" si="11"/>
        <v>RA7</v>
      </c>
      <c r="AE59" s="543" t="s">
        <v>1757</v>
      </c>
      <c r="AF59" s="506"/>
      <c r="AG59" s="507"/>
      <c r="AH59" s="508"/>
      <c r="AI59" s="508"/>
    </row>
    <row r="60" spans="1:35" s="509" customFormat="1" ht="14.4" x14ac:dyDescent="0.3">
      <c r="A60" s="497"/>
      <c r="B60" s="525" t="s">
        <v>1834</v>
      </c>
      <c r="C60" s="526" t="s">
        <v>1807</v>
      </c>
      <c r="D60" s="527">
        <v>1998</v>
      </c>
      <c r="E60" s="528">
        <v>2010</v>
      </c>
      <c r="F60" s="530" t="s">
        <v>1835</v>
      </c>
      <c r="G60" s="501"/>
      <c r="H60" s="527">
        <v>1998</v>
      </c>
      <c r="I60" s="528">
        <v>2010</v>
      </c>
      <c r="J60" s="530" t="s">
        <v>1835</v>
      </c>
      <c r="K60" s="502">
        <f t="shared" si="12"/>
        <v>0</v>
      </c>
      <c r="L60" s="502">
        <f t="shared" si="13"/>
        <v>1</v>
      </c>
      <c r="M60" s="502">
        <f t="shared" si="14"/>
        <v>1900</v>
      </c>
      <c r="N60" s="514"/>
      <c r="O60" s="504" t="str">
        <f t="shared" ca="1" si="9"/>
        <v>For Updating</v>
      </c>
      <c r="P60" s="542">
        <v>1</v>
      </c>
      <c r="Q60" s="492">
        <v>1</v>
      </c>
      <c r="R60" s="492">
        <v>1</v>
      </c>
      <c r="S60" s="492" t="s">
        <v>1512</v>
      </c>
      <c r="T60" s="492" t="s">
        <v>1512</v>
      </c>
      <c r="U60" s="492" t="s">
        <v>1512</v>
      </c>
      <c r="V60" s="504" t="str">
        <f t="shared" si="10"/>
        <v>Phase 2</v>
      </c>
      <c r="W60" s="542" t="s">
        <v>1512</v>
      </c>
      <c r="X60" s="492" t="s">
        <v>1512</v>
      </c>
      <c r="Y60" s="492" t="s">
        <v>1512</v>
      </c>
      <c r="Z60" s="492" t="s">
        <v>1512</v>
      </c>
      <c r="AA60" s="492" t="s">
        <v>1512</v>
      </c>
      <c r="AB60" s="492" t="s">
        <v>1512</v>
      </c>
      <c r="AC60" s="492" t="s">
        <v>1512</v>
      </c>
      <c r="AD60" s="505" t="str">
        <f t="shared" si="11"/>
        <v>None Indicated</v>
      </c>
      <c r="AE60" s="543" t="s">
        <v>1757</v>
      </c>
      <c r="AF60" s="506"/>
      <c r="AG60" s="507"/>
      <c r="AH60" s="508"/>
      <c r="AI60" s="508"/>
    </row>
    <row r="61" spans="1:35" s="509" customFormat="1" ht="14.4" x14ac:dyDescent="0.3">
      <c r="A61" s="497"/>
      <c r="B61" s="525" t="s">
        <v>1277</v>
      </c>
      <c r="C61" s="526" t="s">
        <v>1807</v>
      </c>
      <c r="D61" s="527">
        <v>1979</v>
      </c>
      <c r="E61" s="528">
        <v>2000</v>
      </c>
      <c r="F61" s="530" t="s">
        <v>1836</v>
      </c>
      <c r="G61" s="501"/>
      <c r="H61" s="527">
        <v>1979</v>
      </c>
      <c r="I61" s="528">
        <v>2000</v>
      </c>
      <c r="J61" s="530" t="s">
        <v>1836</v>
      </c>
      <c r="K61" s="502">
        <f t="shared" si="12"/>
        <v>0</v>
      </c>
      <c r="L61" s="502">
        <f t="shared" si="13"/>
        <v>1</v>
      </c>
      <c r="M61" s="502">
        <f t="shared" si="14"/>
        <v>1900</v>
      </c>
      <c r="N61" s="514"/>
      <c r="O61" s="504" t="str">
        <f t="shared" ca="1" si="9"/>
        <v>For Updating</v>
      </c>
      <c r="P61" s="542">
        <v>1</v>
      </c>
      <c r="Q61" s="492">
        <v>1</v>
      </c>
      <c r="R61" s="492">
        <v>1</v>
      </c>
      <c r="S61" s="492" t="s">
        <v>1512</v>
      </c>
      <c r="T61" s="492" t="s">
        <v>1512</v>
      </c>
      <c r="U61" s="492" t="s">
        <v>1512</v>
      </c>
      <c r="V61" s="504" t="str">
        <f t="shared" si="10"/>
        <v>Phase 2</v>
      </c>
      <c r="W61" s="542" t="s">
        <v>1512</v>
      </c>
      <c r="X61" s="492" t="s">
        <v>1512</v>
      </c>
      <c r="Y61" s="492" t="s">
        <v>1512</v>
      </c>
      <c r="Z61" s="492" t="s">
        <v>1512</v>
      </c>
      <c r="AA61" s="492" t="s">
        <v>1512</v>
      </c>
      <c r="AB61" s="492" t="s">
        <v>1512</v>
      </c>
      <c r="AC61" s="492" t="s">
        <v>1512</v>
      </c>
      <c r="AD61" s="505" t="str">
        <f t="shared" si="11"/>
        <v>None Indicated</v>
      </c>
      <c r="AE61" s="543" t="s">
        <v>1757</v>
      </c>
      <c r="AF61" s="506"/>
      <c r="AG61" s="507"/>
      <c r="AH61" s="508"/>
      <c r="AI61" s="508"/>
    </row>
    <row r="62" spans="1:35" s="509" customFormat="1" ht="14.4" x14ac:dyDescent="0.3">
      <c r="A62" s="497"/>
      <c r="B62" s="525" t="s">
        <v>1299</v>
      </c>
      <c r="C62" s="526" t="s">
        <v>1807</v>
      </c>
      <c r="D62" s="527">
        <v>2004</v>
      </c>
      <c r="E62" s="528">
        <v>2013</v>
      </c>
      <c r="F62" s="536" t="s">
        <v>1837</v>
      </c>
      <c r="G62" s="501"/>
      <c r="H62" s="527">
        <v>2004</v>
      </c>
      <c r="I62" s="528">
        <v>2013</v>
      </c>
      <c r="J62" s="536" t="s">
        <v>1837</v>
      </c>
      <c r="K62" s="502">
        <f t="shared" si="12"/>
        <v>0</v>
      </c>
      <c r="L62" s="502">
        <f t="shared" si="13"/>
        <v>1</v>
      </c>
      <c r="M62" s="502">
        <f t="shared" si="14"/>
        <v>1900</v>
      </c>
      <c r="N62" s="514"/>
      <c r="O62" s="504" t="str">
        <f t="shared" ca="1" si="9"/>
        <v>For Updating</v>
      </c>
      <c r="P62" s="542">
        <v>1</v>
      </c>
      <c r="Q62" s="492">
        <v>1</v>
      </c>
      <c r="R62" s="492">
        <v>1</v>
      </c>
      <c r="S62" s="492">
        <v>1</v>
      </c>
      <c r="T62" s="492">
        <v>1</v>
      </c>
      <c r="U62" s="492">
        <v>1</v>
      </c>
      <c r="V62" s="504" t="str">
        <f t="shared" si="10"/>
        <v>Phase 5</v>
      </c>
      <c r="W62" s="542">
        <v>1</v>
      </c>
      <c r="X62" s="492">
        <v>1</v>
      </c>
      <c r="Y62" s="492">
        <v>1</v>
      </c>
      <c r="Z62" s="492">
        <v>1</v>
      </c>
      <c r="AA62" s="492">
        <v>1</v>
      </c>
      <c r="AB62" s="492">
        <v>1</v>
      </c>
      <c r="AC62" s="492">
        <v>1</v>
      </c>
      <c r="AD62" s="505" t="str">
        <f t="shared" si="11"/>
        <v>RA7</v>
      </c>
      <c r="AE62" s="543" t="s">
        <v>1757</v>
      </c>
      <c r="AF62" s="506"/>
      <c r="AG62" s="507"/>
      <c r="AH62" s="508"/>
      <c r="AI62" s="508"/>
    </row>
    <row r="63" spans="1:35" s="509" customFormat="1" ht="14.4" x14ac:dyDescent="0.3">
      <c r="A63" s="497"/>
      <c r="B63" s="529" t="s">
        <v>1315</v>
      </c>
      <c r="C63" s="526" t="s">
        <v>1807</v>
      </c>
      <c r="D63" s="527">
        <v>2020</v>
      </c>
      <c r="E63" s="528">
        <v>2029</v>
      </c>
      <c r="F63" s="537" t="s">
        <v>1838</v>
      </c>
      <c r="G63" s="501"/>
      <c r="H63" s="527">
        <v>2020</v>
      </c>
      <c r="I63" s="528">
        <v>2029</v>
      </c>
      <c r="J63" s="537" t="s">
        <v>1838</v>
      </c>
      <c r="K63" s="502">
        <f t="shared" si="12"/>
        <v>0</v>
      </c>
      <c r="L63" s="502">
        <f t="shared" si="13"/>
        <v>1</v>
      </c>
      <c r="M63" s="502">
        <f t="shared" si="14"/>
        <v>1900</v>
      </c>
      <c r="N63" s="514"/>
      <c r="O63" s="504" t="str">
        <f t="shared" ca="1" si="9"/>
        <v>Updated</v>
      </c>
      <c r="P63" s="542">
        <v>1</v>
      </c>
      <c r="Q63" s="492">
        <v>1</v>
      </c>
      <c r="R63" s="492">
        <v>1</v>
      </c>
      <c r="S63" s="492">
        <v>1</v>
      </c>
      <c r="T63" s="492">
        <v>1</v>
      </c>
      <c r="U63" s="492">
        <v>1</v>
      </c>
      <c r="V63" s="504" t="str">
        <f t="shared" si="10"/>
        <v>Phase 5</v>
      </c>
      <c r="W63" s="542">
        <v>1</v>
      </c>
      <c r="X63" s="492">
        <v>1</v>
      </c>
      <c r="Y63" s="492">
        <v>1</v>
      </c>
      <c r="Z63" s="492">
        <v>1</v>
      </c>
      <c r="AA63" s="492">
        <v>1</v>
      </c>
      <c r="AB63" s="492">
        <v>1</v>
      </c>
      <c r="AC63" s="492">
        <v>1</v>
      </c>
      <c r="AD63" s="505" t="str">
        <f t="shared" si="11"/>
        <v>RA7</v>
      </c>
      <c r="AE63" s="543" t="s">
        <v>1757</v>
      </c>
      <c r="AF63" s="506"/>
      <c r="AG63" s="507"/>
      <c r="AH63" s="508"/>
      <c r="AI63" s="508"/>
    </row>
    <row r="64" spans="1:35" s="509" customFormat="1" ht="14.4" x14ac:dyDescent="0.3">
      <c r="A64" s="497"/>
      <c r="B64" s="525" t="s">
        <v>1332</v>
      </c>
      <c r="C64" s="526" t="s">
        <v>1807</v>
      </c>
      <c r="D64" s="527">
        <v>2008</v>
      </c>
      <c r="E64" s="528">
        <v>2017</v>
      </c>
      <c r="F64" s="528" t="s">
        <v>1839</v>
      </c>
      <c r="G64" s="501"/>
      <c r="H64" s="527">
        <v>2008</v>
      </c>
      <c r="I64" s="528">
        <v>2017</v>
      </c>
      <c r="J64" s="528" t="s">
        <v>1839</v>
      </c>
      <c r="K64" s="502">
        <f t="shared" si="12"/>
        <v>0</v>
      </c>
      <c r="L64" s="502">
        <f t="shared" si="13"/>
        <v>1</v>
      </c>
      <c r="M64" s="502">
        <f t="shared" si="14"/>
        <v>1900</v>
      </c>
      <c r="N64" s="514"/>
      <c r="O64" s="504" t="str">
        <f t="shared" ca="1" si="9"/>
        <v>For Updating</v>
      </c>
      <c r="P64" s="542">
        <v>1</v>
      </c>
      <c r="Q64" s="492">
        <v>1</v>
      </c>
      <c r="R64" s="492">
        <v>1</v>
      </c>
      <c r="S64" s="492">
        <v>1</v>
      </c>
      <c r="T64" s="492">
        <v>1</v>
      </c>
      <c r="U64" s="492">
        <v>1</v>
      </c>
      <c r="V64" s="504" t="str">
        <f t="shared" si="10"/>
        <v>Phase 5</v>
      </c>
      <c r="W64" s="542">
        <v>1</v>
      </c>
      <c r="X64" s="492">
        <v>1</v>
      </c>
      <c r="Y64" s="492">
        <v>1</v>
      </c>
      <c r="Z64" s="492" t="s">
        <v>1512</v>
      </c>
      <c r="AA64" s="492" t="s">
        <v>1512</v>
      </c>
      <c r="AB64" s="492" t="s">
        <v>1512</v>
      </c>
      <c r="AC64" s="492" t="s">
        <v>1512</v>
      </c>
      <c r="AD64" s="505" t="str">
        <f t="shared" si="11"/>
        <v>RA3</v>
      </c>
      <c r="AE64" s="543" t="s">
        <v>1757</v>
      </c>
      <c r="AF64" s="506"/>
      <c r="AG64" s="507"/>
      <c r="AH64" s="508"/>
      <c r="AI64" s="508"/>
    </row>
    <row r="65" spans="1:35" s="509" customFormat="1" ht="14.4" x14ac:dyDescent="0.3">
      <c r="A65" s="497"/>
      <c r="B65" s="538" t="s">
        <v>1840</v>
      </c>
      <c r="C65" s="526" t="s">
        <v>120</v>
      </c>
      <c r="D65" s="527">
        <v>2001</v>
      </c>
      <c r="E65" s="528">
        <v>2010</v>
      </c>
      <c r="F65" s="528" t="s">
        <v>1841</v>
      </c>
      <c r="G65" s="501"/>
      <c r="H65" s="527">
        <v>2001</v>
      </c>
      <c r="I65" s="528">
        <v>2010</v>
      </c>
      <c r="J65" s="528" t="s">
        <v>1841</v>
      </c>
      <c r="K65" s="502">
        <f t="shared" si="12"/>
        <v>0</v>
      </c>
      <c r="L65" s="502">
        <f t="shared" si="13"/>
        <v>1</v>
      </c>
      <c r="M65" s="502">
        <f t="shared" si="14"/>
        <v>1900</v>
      </c>
      <c r="N65" s="514"/>
      <c r="O65" s="504" t="str">
        <f t="shared" ca="1" si="9"/>
        <v>For Updating</v>
      </c>
      <c r="P65" s="542">
        <v>1</v>
      </c>
      <c r="Q65" s="492">
        <v>1</v>
      </c>
      <c r="R65" s="492" t="s">
        <v>1512</v>
      </c>
      <c r="S65" s="492" t="s">
        <v>1512</v>
      </c>
      <c r="T65" s="492" t="s">
        <v>1512</v>
      </c>
      <c r="U65" s="492" t="s">
        <v>1512</v>
      </c>
      <c r="V65" s="504" t="str">
        <f t="shared" si="10"/>
        <v>Phase 1</v>
      </c>
      <c r="W65" s="542" t="s">
        <v>1512</v>
      </c>
      <c r="X65" s="492" t="s">
        <v>1512</v>
      </c>
      <c r="Y65" s="492" t="s">
        <v>1512</v>
      </c>
      <c r="Z65" s="492" t="s">
        <v>1512</v>
      </c>
      <c r="AA65" s="492" t="s">
        <v>1512</v>
      </c>
      <c r="AB65" s="492" t="s">
        <v>1512</v>
      </c>
      <c r="AC65" s="492" t="s">
        <v>1512</v>
      </c>
      <c r="AD65" s="505" t="str">
        <f t="shared" si="11"/>
        <v>None Indicated</v>
      </c>
      <c r="AE65" s="543" t="s">
        <v>1757</v>
      </c>
      <c r="AF65" s="506"/>
      <c r="AG65" s="507"/>
      <c r="AH65" s="508"/>
      <c r="AI65" s="508"/>
    </row>
    <row r="66" spans="1:35" s="509" customFormat="1" ht="14.4" x14ac:dyDescent="0.3">
      <c r="A66" s="497"/>
      <c r="B66" s="539" t="s">
        <v>277</v>
      </c>
      <c r="C66" s="526" t="s">
        <v>120</v>
      </c>
      <c r="D66" s="527">
        <v>2001</v>
      </c>
      <c r="E66" s="528">
        <v>2010</v>
      </c>
      <c r="F66" s="528" t="s">
        <v>1841</v>
      </c>
      <c r="G66" s="501"/>
      <c r="H66" s="527">
        <v>2001</v>
      </c>
      <c r="I66" s="528">
        <v>2010</v>
      </c>
      <c r="J66" s="528" t="s">
        <v>1841</v>
      </c>
      <c r="K66" s="502">
        <f t="shared" si="12"/>
        <v>0</v>
      </c>
      <c r="L66" s="502">
        <f t="shared" si="13"/>
        <v>1</v>
      </c>
      <c r="M66" s="502">
        <f t="shared" si="14"/>
        <v>1900</v>
      </c>
      <c r="N66" s="514"/>
      <c r="O66" s="504" t="str">
        <f t="shared" ca="1" si="9"/>
        <v>For Updating</v>
      </c>
      <c r="P66" s="542">
        <v>1</v>
      </c>
      <c r="Q66" s="492">
        <v>1</v>
      </c>
      <c r="R66" s="492" t="s">
        <v>1512</v>
      </c>
      <c r="S66" s="492" t="s">
        <v>1512</v>
      </c>
      <c r="T66" s="492" t="s">
        <v>1512</v>
      </c>
      <c r="U66" s="492" t="s">
        <v>1512</v>
      </c>
      <c r="V66" s="504" t="str">
        <f t="shared" si="10"/>
        <v>Phase 1</v>
      </c>
      <c r="W66" s="542" t="s">
        <v>1512</v>
      </c>
      <c r="X66" s="492" t="s">
        <v>1512</v>
      </c>
      <c r="Y66" s="492" t="s">
        <v>1512</v>
      </c>
      <c r="Z66" s="492" t="s">
        <v>1512</v>
      </c>
      <c r="AA66" s="492" t="s">
        <v>1512</v>
      </c>
      <c r="AB66" s="492" t="s">
        <v>1512</v>
      </c>
      <c r="AC66" s="492" t="s">
        <v>1512</v>
      </c>
      <c r="AD66" s="505" t="str">
        <f t="shared" si="11"/>
        <v>None Indicated</v>
      </c>
      <c r="AE66" s="543" t="s">
        <v>1757</v>
      </c>
      <c r="AF66" s="506"/>
      <c r="AG66" s="507"/>
      <c r="AH66" s="508"/>
      <c r="AI66" s="508"/>
    </row>
    <row r="67" spans="1:35" s="509" customFormat="1" ht="14.4" x14ac:dyDescent="0.3">
      <c r="A67" s="497"/>
      <c r="B67" s="540" t="s">
        <v>350</v>
      </c>
      <c r="C67" s="526" t="s">
        <v>120</v>
      </c>
      <c r="D67" s="527">
        <v>2001</v>
      </c>
      <c r="E67" s="528">
        <v>2010</v>
      </c>
      <c r="F67" s="528" t="s">
        <v>1841</v>
      </c>
      <c r="G67" s="501"/>
      <c r="H67" s="527">
        <v>2001</v>
      </c>
      <c r="I67" s="528">
        <v>2010</v>
      </c>
      <c r="J67" s="528" t="s">
        <v>1841</v>
      </c>
      <c r="K67" s="502">
        <f t="shared" si="12"/>
        <v>0</v>
      </c>
      <c r="L67" s="502">
        <f t="shared" si="13"/>
        <v>1</v>
      </c>
      <c r="M67" s="502">
        <f t="shared" si="14"/>
        <v>1900</v>
      </c>
      <c r="N67" s="514"/>
      <c r="O67" s="504" t="str">
        <f t="shared" ca="1" si="9"/>
        <v>For Updating</v>
      </c>
      <c r="P67" s="542">
        <v>1</v>
      </c>
      <c r="Q67" s="492">
        <v>1</v>
      </c>
      <c r="R67" s="492" t="s">
        <v>1512</v>
      </c>
      <c r="S67" s="492" t="s">
        <v>1512</v>
      </c>
      <c r="T67" s="492" t="s">
        <v>1512</v>
      </c>
      <c r="U67" s="492" t="s">
        <v>1512</v>
      </c>
      <c r="V67" s="504" t="str">
        <f t="shared" si="10"/>
        <v>Phase 1</v>
      </c>
      <c r="W67" s="542" t="s">
        <v>1512</v>
      </c>
      <c r="X67" s="492" t="s">
        <v>1512</v>
      </c>
      <c r="Y67" s="492" t="s">
        <v>1512</v>
      </c>
      <c r="Z67" s="492" t="s">
        <v>1512</v>
      </c>
      <c r="AA67" s="492" t="s">
        <v>1512</v>
      </c>
      <c r="AB67" s="492" t="s">
        <v>1512</v>
      </c>
      <c r="AC67" s="492" t="s">
        <v>1512</v>
      </c>
      <c r="AD67" s="505" t="str">
        <f t="shared" si="11"/>
        <v>None Indicated</v>
      </c>
      <c r="AE67" s="543" t="s">
        <v>1757</v>
      </c>
      <c r="AF67" s="506"/>
      <c r="AG67" s="507"/>
      <c r="AH67" s="508"/>
      <c r="AI67" s="508"/>
    </row>
    <row r="68" spans="1:35" s="509" customFormat="1" ht="14.4" x14ac:dyDescent="0.3">
      <c r="A68" s="497"/>
      <c r="B68" s="540" t="s">
        <v>420</v>
      </c>
      <c r="C68" s="526" t="s">
        <v>120</v>
      </c>
      <c r="D68" s="527">
        <v>2001</v>
      </c>
      <c r="E68" s="528">
        <v>2010</v>
      </c>
      <c r="F68" s="528" t="s">
        <v>1841</v>
      </c>
      <c r="G68" s="501"/>
      <c r="H68" s="527">
        <v>2001</v>
      </c>
      <c r="I68" s="528">
        <v>2010</v>
      </c>
      <c r="J68" s="528" t="s">
        <v>1841</v>
      </c>
      <c r="K68" s="502">
        <f t="shared" si="12"/>
        <v>0</v>
      </c>
      <c r="L68" s="502">
        <f t="shared" si="13"/>
        <v>1</v>
      </c>
      <c r="M68" s="502">
        <f t="shared" si="14"/>
        <v>1900</v>
      </c>
      <c r="N68" s="514"/>
      <c r="O68" s="504" t="str">
        <f t="shared" ca="1" si="9"/>
        <v>For Updating</v>
      </c>
      <c r="P68" s="542">
        <v>1</v>
      </c>
      <c r="Q68" s="492">
        <v>1</v>
      </c>
      <c r="R68" s="492" t="s">
        <v>1512</v>
      </c>
      <c r="S68" s="492" t="s">
        <v>1512</v>
      </c>
      <c r="T68" s="492" t="s">
        <v>1512</v>
      </c>
      <c r="U68" s="492" t="s">
        <v>1512</v>
      </c>
      <c r="V68" s="504" t="str">
        <f t="shared" si="10"/>
        <v>Phase 1</v>
      </c>
      <c r="W68" s="542" t="s">
        <v>1512</v>
      </c>
      <c r="X68" s="492" t="s">
        <v>1512</v>
      </c>
      <c r="Y68" s="492" t="s">
        <v>1512</v>
      </c>
      <c r="Z68" s="492" t="s">
        <v>1512</v>
      </c>
      <c r="AA68" s="492" t="s">
        <v>1512</v>
      </c>
      <c r="AB68" s="492" t="s">
        <v>1512</v>
      </c>
      <c r="AC68" s="492" t="s">
        <v>1512</v>
      </c>
      <c r="AD68" s="505" t="str">
        <f t="shared" si="11"/>
        <v>None Indicated</v>
      </c>
      <c r="AE68" s="543" t="s">
        <v>1757</v>
      </c>
      <c r="AF68" s="506"/>
      <c r="AG68" s="507"/>
      <c r="AH68" s="508"/>
      <c r="AI68" s="508"/>
    </row>
    <row r="69" spans="1:35" s="509" customFormat="1" ht="14.4" x14ac:dyDescent="0.3">
      <c r="A69" s="497"/>
      <c r="B69" s="539" t="s">
        <v>1842</v>
      </c>
      <c r="C69" s="526" t="s">
        <v>120</v>
      </c>
      <c r="D69" s="527">
        <v>2002</v>
      </c>
      <c r="E69" s="528">
        <v>2012</v>
      </c>
      <c r="F69" s="528" t="s">
        <v>1843</v>
      </c>
      <c r="G69" s="501"/>
      <c r="H69" s="527">
        <v>2002</v>
      </c>
      <c r="I69" s="528">
        <v>2012</v>
      </c>
      <c r="J69" s="528" t="s">
        <v>1843</v>
      </c>
      <c r="K69" s="502">
        <f t="shared" si="12"/>
        <v>0</v>
      </c>
      <c r="L69" s="502">
        <f t="shared" si="13"/>
        <v>1</v>
      </c>
      <c r="M69" s="502">
        <f t="shared" si="14"/>
        <v>1900</v>
      </c>
      <c r="N69" s="514"/>
      <c r="O69" s="504" t="str">
        <f t="shared" ca="1" si="9"/>
        <v>For Updating</v>
      </c>
      <c r="P69" s="542">
        <v>1</v>
      </c>
      <c r="Q69" s="492">
        <v>1</v>
      </c>
      <c r="R69" s="492">
        <v>1</v>
      </c>
      <c r="S69" s="492">
        <v>1</v>
      </c>
      <c r="T69" s="492">
        <v>1</v>
      </c>
      <c r="U69" s="492">
        <v>1</v>
      </c>
      <c r="V69" s="504" t="str">
        <f t="shared" si="10"/>
        <v>Phase 5</v>
      </c>
      <c r="W69" s="542">
        <v>1</v>
      </c>
      <c r="X69" s="492">
        <v>1</v>
      </c>
      <c r="Y69" s="492">
        <v>1</v>
      </c>
      <c r="Z69" s="492">
        <v>1</v>
      </c>
      <c r="AA69" s="492">
        <v>1</v>
      </c>
      <c r="AB69" s="492" t="s">
        <v>1512</v>
      </c>
      <c r="AC69" s="492" t="s">
        <v>1512</v>
      </c>
      <c r="AD69" s="505" t="str">
        <f t="shared" si="11"/>
        <v>RA 5</v>
      </c>
      <c r="AE69" s="543" t="s">
        <v>1757</v>
      </c>
      <c r="AF69" s="506"/>
      <c r="AG69" s="507"/>
      <c r="AH69" s="508"/>
      <c r="AI69" s="508"/>
    </row>
    <row r="70" spans="1:35" s="509" customFormat="1" ht="14.4" x14ac:dyDescent="0.3">
      <c r="A70" s="497"/>
      <c r="B70" s="541" t="s">
        <v>120</v>
      </c>
      <c r="C70" s="526" t="s">
        <v>120</v>
      </c>
      <c r="D70" s="527">
        <v>2001</v>
      </c>
      <c r="E70" s="528">
        <v>2010</v>
      </c>
      <c r="F70" s="528" t="s">
        <v>1841</v>
      </c>
      <c r="G70" s="501"/>
      <c r="H70" s="527">
        <v>2001</v>
      </c>
      <c r="I70" s="528">
        <v>2010</v>
      </c>
      <c r="J70" s="528" t="s">
        <v>1841</v>
      </c>
      <c r="K70" s="502">
        <f t="shared" si="12"/>
        <v>0</v>
      </c>
      <c r="L70" s="502">
        <f t="shared" si="13"/>
        <v>1</v>
      </c>
      <c r="M70" s="502">
        <f t="shared" si="14"/>
        <v>1900</v>
      </c>
      <c r="N70" s="532"/>
      <c r="O70" s="504" t="str">
        <f t="shared" ca="1" si="9"/>
        <v>For Updating</v>
      </c>
      <c r="P70" s="542">
        <v>1</v>
      </c>
      <c r="Q70" s="492">
        <v>1</v>
      </c>
      <c r="R70" s="492">
        <v>1</v>
      </c>
      <c r="S70" s="492">
        <v>1</v>
      </c>
      <c r="T70" s="492">
        <v>1</v>
      </c>
      <c r="U70" s="492">
        <v>1</v>
      </c>
      <c r="V70" s="504" t="str">
        <f t="shared" si="10"/>
        <v>Phase 5</v>
      </c>
      <c r="W70" s="542">
        <v>1</v>
      </c>
      <c r="X70" s="492">
        <v>1</v>
      </c>
      <c r="Y70" s="492">
        <v>1</v>
      </c>
      <c r="Z70" s="492">
        <v>1</v>
      </c>
      <c r="AA70" s="492">
        <v>1</v>
      </c>
      <c r="AB70" s="492" t="s">
        <v>1512</v>
      </c>
      <c r="AC70" s="492" t="s">
        <v>1512</v>
      </c>
      <c r="AD70" s="505" t="str">
        <f t="shared" si="11"/>
        <v>RA 5</v>
      </c>
      <c r="AE70" s="543" t="s">
        <v>1757</v>
      </c>
      <c r="AF70" s="506"/>
      <c r="AG70" s="507"/>
      <c r="AH70" s="508"/>
      <c r="AI70" s="508"/>
    </row>
    <row r="71" spans="1:35" ht="14.4" x14ac:dyDescent="0.3">
      <c r="A71" s="430"/>
      <c r="B71" s="374"/>
      <c r="C71" s="374"/>
      <c r="D71" s="372"/>
      <c r="E71" s="56"/>
      <c r="F71" s="56"/>
      <c r="G71" s="56"/>
      <c r="H71" s="375"/>
      <c r="I71" s="376"/>
      <c r="J71" s="375"/>
      <c r="K71" s="57">
        <f t="shared" si="12"/>
        <v>0</v>
      </c>
      <c r="L71" s="57">
        <f t="shared" si="13"/>
        <v>1</v>
      </c>
      <c r="M71" s="57">
        <f t="shared" si="14"/>
        <v>1900</v>
      </c>
      <c r="N71" s="375"/>
      <c r="O71" s="58" t="str">
        <f t="shared" ca="1" si="9"/>
        <v>No CLUP</v>
      </c>
      <c r="P71" s="375"/>
      <c r="Q71" s="376"/>
      <c r="R71" s="376"/>
      <c r="S71" s="376"/>
      <c r="T71" s="376"/>
      <c r="U71" s="376"/>
      <c r="V71" s="58" t="str">
        <f t="shared" si="10"/>
        <v>None Indicated</v>
      </c>
      <c r="W71" s="375"/>
      <c r="X71" s="376"/>
      <c r="Y71" s="376"/>
      <c r="Z71" s="376"/>
      <c r="AA71" s="376"/>
      <c r="AB71" s="376"/>
      <c r="AC71" s="376"/>
      <c r="AD71" s="60" t="str">
        <f t="shared" si="11"/>
        <v>None Indicated</v>
      </c>
      <c r="AE71" s="61"/>
      <c r="AF71" s="61"/>
      <c r="AG71" s="472"/>
      <c r="AH71" s="59"/>
      <c r="AI71" s="59"/>
    </row>
    <row r="72" spans="1:35" ht="14.4" x14ac:dyDescent="0.3">
      <c r="A72" s="430"/>
      <c r="B72" s="374"/>
      <c r="C72" s="374"/>
      <c r="D72" s="372"/>
      <c r="E72" s="56"/>
      <c r="F72" s="56"/>
      <c r="G72" s="56"/>
      <c r="H72" s="375"/>
      <c r="I72" s="376"/>
      <c r="J72" s="375"/>
      <c r="K72" s="57">
        <f t="shared" si="12"/>
        <v>0</v>
      </c>
      <c r="L72" s="57">
        <f t="shared" si="13"/>
        <v>1</v>
      </c>
      <c r="M72" s="57">
        <f t="shared" si="14"/>
        <v>1900</v>
      </c>
      <c r="N72" s="377"/>
      <c r="O72" s="58" t="str">
        <f t="shared" ref="O72:O84" ca="1" si="15">IF((I72="")=TRUE(),IF((N72="")=TRUE(),"No CLUP",IF(YEAR(NOW())-YEAR(N72)&lt;=10,"Updated","For Updating")),IF(YEAR(NOW())-I72&lt;=0,"Updated","For Updating"))</f>
        <v>No CLUP</v>
      </c>
      <c r="P72" s="375"/>
      <c r="Q72" s="376"/>
      <c r="R72" s="376"/>
      <c r="S72" s="376"/>
      <c r="T72" s="376"/>
      <c r="U72" s="376"/>
      <c r="V72" s="58" t="str">
        <f t="shared" ref="V72:V84" si="16">IF(SUM(P72:U72)=6,"Phase 5",IF(SUM(P72:U72)=5,"Phase 4",IF(SUM(P72:U72)=4,"Phase 3",IF(SUM(P72:U72)=3,"Phase 2",IF(SUM(P72:U72)=2,"Phase 1",IF(SUM(P72:U72)=1,"Prephase","None Indicated"))))))</f>
        <v>None Indicated</v>
      </c>
      <c r="W72" s="375"/>
      <c r="X72" s="376"/>
      <c r="Y72" s="376"/>
      <c r="Z72" s="376"/>
      <c r="AA72" s="376"/>
      <c r="AB72" s="376"/>
      <c r="AC72" s="376"/>
      <c r="AD72" s="60" t="str">
        <f t="shared" ref="AD72:AD84" si="17">IF(SUM(W72:AC72)=7,"RA7",IF(SUM(W72:AC72)=6,"RA 6",IF(SUM(W72:AC72)=5,"RA 5",IF(SUM(W72:AC72)=4,"RA 4",IF(SUM(W72:AC72)=3,"RA3",IF(SUM(W72:AC72)=2,"RA 2",IF(SUM(W72:AC72)=1,"RA1","None Indicated")))))))</f>
        <v>None Indicated</v>
      </c>
      <c r="AE72" s="61"/>
      <c r="AF72" s="61"/>
      <c r="AG72" s="472"/>
      <c r="AH72" s="59"/>
      <c r="AI72" s="59"/>
    </row>
    <row r="73" spans="1:35" ht="14.4" x14ac:dyDescent="0.3">
      <c r="A73" s="430"/>
      <c r="B73" s="374"/>
      <c r="C73" s="374"/>
      <c r="D73" s="372"/>
      <c r="E73" s="56"/>
      <c r="F73" s="56"/>
      <c r="G73" s="56"/>
      <c r="H73" s="375"/>
      <c r="I73" s="376"/>
      <c r="J73" s="375"/>
      <c r="K73" s="57">
        <f t="shared" si="12"/>
        <v>0</v>
      </c>
      <c r="L73" s="57">
        <f t="shared" si="13"/>
        <v>1</v>
      </c>
      <c r="M73" s="57">
        <f t="shared" si="14"/>
        <v>1900</v>
      </c>
      <c r="N73" s="377"/>
      <c r="O73" s="58" t="str">
        <f t="shared" ca="1" si="15"/>
        <v>No CLUP</v>
      </c>
      <c r="P73" s="375"/>
      <c r="Q73" s="376"/>
      <c r="R73" s="376"/>
      <c r="S73" s="376"/>
      <c r="T73" s="376"/>
      <c r="U73" s="376"/>
      <c r="V73" s="58" t="str">
        <f t="shared" si="16"/>
        <v>None Indicated</v>
      </c>
      <c r="W73" s="375"/>
      <c r="X73" s="376"/>
      <c r="Y73" s="376"/>
      <c r="Z73" s="376"/>
      <c r="AA73" s="376"/>
      <c r="AB73" s="376"/>
      <c r="AC73" s="376"/>
      <c r="AD73" s="60" t="str">
        <f t="shared" si="17"/>
        <v>None Indicated</v>
      </c>
      <c r="AE73" s="61"/>
      <c r="AF73" s="61"/>
      <c r="AG73" s="472"/>
      <c r="AH73" s="59"/>
      <c r="AI73" s="59"/>
    </row>
    <row r="74" spans="1:35" ht="14.4" x14ac:dyDescent="0.3">
      <c r="A74" s="430"/>
      <c r="B74" s="374"/>
      <c r="C74" s="374"/>
      <c r="D74" s="372"/>
      <c r="E74" s="56"/>
      <c r="F74" s="56"/>
      <c r="G74" s="56"/>
      <c r="H74" s="375"/>
      <c r="I74" s="376"/>
      <c r="J74" s="375"/>
      <c r="K74" s="57">
        <f t="shared" si="12"/>
        <v>0</v>
      </c>
      <c r="L74" s="57">
        <f t="shared" si="13"/>
        <v>1</v>
      </c>
      <c r="M74" s="57">
        <f t="shared" si="14"/>
        <v>1900</v>
      </c>
      <c r="N74" s="375"/>
      <c r="O74" s="58" t="str">
        <f t="shared" ca="1" si="15"/>
        <v>No CLUP</v>
      </c>
      <c r="P74" s="375"/>
      <c r="Q74" s="376"/>
      <c r="R74" s="376"/>
      <c r="S74" s="376"/>
      <c r="T74" s="376"/>
      <c r="U74" s="376"/>
      <c r="V74" s="58" t="str">
        <f t="shared" si="16"/>
        <v>None Indicated</v>
      </c>
      <c r="W74" s="375"/>
      <c r="X74" s="376"/>
      <c r="Y74" s="376"/>
      <c r="Z74" s="376"/>
      <c r="AA74" s="376"/>
      <c r="AB74" s="376"/>
      <c r="AC74" s="376"/>
      <c r="AD74" s="60" t="str">
        <f t="shared" si="17"/>
        <v>None Indicated</v>
      </c>
      <c r="AE74" s="61"/>
      <c r="AF74" s="61"/>
      <c r="AG74" s="472"/>
      <c r="AH74" s="59"/>
      <c r="AI74" s="59"/>
    </row>
    <row r="75" spans="1:35" ht="14.4" x14ac:dyDescent="0.3">
      <c r="A75" s="430"/>
      <c r="B75" s="374"/>
      <c r="C75" s="374"/>
      <c r="D75" s="372"/>
      <c r="E75" s="56"/>
      <c r="F75" s="56"/>
      <c r="G75" s="56"/>
      <c r="H75" s="375"/>
      <c r="I75" s="376"/>
      <c r="J75" s="375"/>
      <c r="K75" s="57">
        <f t="shared" si="12"/>
        <v>0</v>
      </c>
      <c r="L75" s="57">
        <f t="shared" si="13"/>
        <v>1</v>
      </c>
      <c r="M75" s="57">
        <f t="shared" si="14"/>
        <v>1900</v>
      </c>
      <c r="N75" s="377"/>
      <c r="O75" s="58" t="str">
        <f t="shared" ca="1" si="15"/>
        <v>No CLUP</v>
      </c>
      <c r="P75" s="375"/>
      <c r="Q75" s="376"/>
      <c r="R75" s="376"/>
      <c r="S75" s="376"/>
      <c r="T75" s="376"/>
      <c r="U75" s="376"/>
      <c r="V75" s="58" t="str">
        <f t="shared" si="16"/>
        <v>None Indicated</v>
      </c>
      <c r="W75" s="375"/>
      <c r="X75" s="376"/>
      <c r="Y75" s="376"/>
      <c r="Z75" s="376"/>
      <c r="AA75" s="376"/>
      <c r="AB75" s="376"/>
      <c r="AC75" s="376"/>
      <c r="AD75" s="60" t="str">
        <f t="shared" si="17"/>
        <v>None Indicated</v>
      </c>
      <c r="AE75" s="61"/>
      <c r="AF75" s="61"/>
      <c r="AG75" s="472"/>
      <c r="AH75" s="59"/>
      <c r="AI75" s="59"/>
    </row>
    <row r="76" spans="1:35" ht="14.4" x14ac:dyDescent="0.3">
      <c r="A76" s="430"/>
      <c r="B76" s="374"/>
      <c r="C76" s="374"/>
      <c r="D76" s="372"/>
      <c r="E76" s="56"/>
      <c r="F76" s="56"/>
      <c r="G76" s="56"/>
      <c r="H76" s="375"/>
      <c r="I76" s="376"/>
      <c r="J76" s="375"/>
      <c r="K76" s="57">
        <f t="shared" si="12"/>
        <v>0</v>
      </c>
      <c r="L76" s="57">
        <f t="shared" si="13"/>
        <v>1</v>
      </c>
      <c r="M76" s="57">
        <f t="shared" si="14"/>
        <v>1900</v>
      </c>
      <c r="N76" s="377"/>
      <c r="O76" s="58" t="str">
        <f t="shared" ca="1" si="15"/>
        <v>No CLUP</v>
      </c>
      <c r="P76" s="375"/>
      <c r="Q76" s="376"/>
      <c r="R76" s="376"/>
      <c r="S76" s="376"/>
      <c r="T76" s="376"/>
      <c r="U76" s="376"/>
      <c r="V76" s="58" t="str">
        <f t="shared" si="16"/>
        <v>None Indicated</v>
      </c>
      <c r="W76" s="375"/>
      <c r="X76" s="376"/>
      <c r="Y76" s="376"/>
      <c r="Z76" s="376"/>
      <c r="AA76" s="376"/>
      <c r="AB76" s="376"/>
      <c r="AC76" s="376"/>
      <c r="AD76" s="60" t="str">
        <f t="shared" si="17"/>
        <v>None Indicated</v>
      </c>
      <c r="AE76" s="61"/>
      <c r="AF76" s="61"/>
      <c r="AG76" s="472"/>
      <c r="AH76" s="59"/>
      <c r="AI76" s="59"/>
    </row>
    <row r="77" spans="1:35" ht="14.4" x14ac:dyDescent="0.3">
      <c r="A77" s="430"/>
      <c r="B77" s="374"/>
      <c r="C77" s="374"/>
      <c r="D77" s="372"/>
      <c r="E77" s="56"/>
      <c r="F77" s="56"/>
      <c r="G77" s="56"/>
      <c r="H77" s="375"/>
      <c r="I77" s="376"/>
      <c r="J77" s="375"/>
      <c r="K77" s="57">
        <f t="shared" si="12"/>
        <v>0</v>
      </c>
      <c r="L77" s="57">
        <f t="shared" si="13"/>
        <v>1</v>
      </c>
      <c r="M77" s="57">
        <f t="shared" si="14"/>
        <v>1900</v>
      </c>
      <c r="N77" s="377"/>
      <c r="O77" s="58" t="str">
        <f t="shared" ca="1" si="15"/>
        <v>No CLUP</v>
      </c>
      <c r="P77" s="375"/>
      <c r="Q77" s="376"/>
      <c r="R77" s="376"/>
      <c r="S77" s="376"/>
      <c r="T77" s="376"/>
      <c r="U77" s="376"/>
      <c r="V77" s="58" t="str">
        <f t="shared" si="16"/>
        <v>None Indicated</v>
      </c>
      <c r="W77" s="375"/>
      <c r="X77" s="376"/>
      <c r="Y77" s="376"/>
      <c r="Z77" s="376"/>
      <c r="AA77" s="376"/>
      <c r="AB77" s="376"/>
      <c r="AC77" s="376"/>
      <c r="AD77" s="60" t="str">
        <f t="shared" si="17"/>
        <v>None Indicated</v>
      </c>
      <c r="AE77" s="61"/>
      <c r="AF77" s="61"/>
      <c r="AG77" s="472"/>
      <c r="AH77" s="59"/>
      <c r="AI77" s="59"/>
    </row>
    <row r="78" spans="1:35" ht="14.4" x14ac:dyDescent="0.3">
      <c r="A78" s="430"/>
      <c r="B78" s="374"/>
      <c r="C78" s="374"/>
      <c r="D78" s="372"/>
      <c r="E78" s="56"/>
      <c r="F78" s="56"/>
      <c r="G78" s="56"/>
      <c r="H78" s="375"/>
      <c r="I78" s="376"/>
      <c r="J78" s="375"/>
      <c r="K78" s="57">
        <f t="shared" si="12"/>
        <v>0</v>
      </c>
      <c r="L78" s="57">
        <f t="shared" si="13"/>
        <v>1</v>
      </c>
      <c r="M78" s="57">
        <f t="shared" si="14"/>
        <v>1900</v>
      </c>
      <c r="N78" s="377"/>
      <c r="O78" s="58" t="str">
        <f t="shared" ca="1" si="15"/>
        <v>No CLUP</v>
      </c>
      <c r="P78" s="375"/>
      <c r="Q78" s="376"/>
      <c r="R78" s="376"/>
      <c r="S78" s="376"/>
      <c r="T78" s="376"/>
      <c r="U78" s="376"/>
      <c r="V78" s="58" t="str">
        <f t="shared" si="16"/>
        <v>None Indicated</v>
      </c>
      <c r="W78" s="375"/>
      <c r="X78" s="376"/>
      <c r="Y78" s="376"/>
      <c r="Z78" s="376"/>
      <c r="AA78" s="376"/>
      <c r="AB78" s="376"/>
      <c r="AC78" s="376"/>
      <c r="AD78" s="60" t="str">
        <f t="shared" si="17"/>
        <v>None Indicated</v>
      </c>
      <c r="AE78" s="61"/>
      <c r="AF78" s="61"/>
      <c r="AG78" s="472"/>
      <c r="AH78" s="59"/>
      <c r="AI78" s="59"/>
    </row>
    <row r="79" spans="1:35" ht="14.4" x14ac:dyDescent="0.3">
      <c r="A79" s="430"/>
      <c r="B79" s="374"/>
      <c r="C79" s="374"/>
      <c r="D79" s="372"/>
      <c r="E79" s="56"/>
      <c r="F79" s="56"/>
      <c r="G79" s="56"/>
      <c r="H79" s="375"/>
      <c r="I79" s="376"/>
      <c r="J79" s="375"/>
      <c r="K79" s="57">
        <f t="shared" si="12"/>
        <v>0</v>
      </c>
      <c r="L79" s="57">
        <f t="shared" si="13"/>
        <v>1</v>
      </c>
      <c r="M79" s="57">
        <f t="shared" si="14"/>
        <v>1900</v>
      </c>
      <c r="N79" s="377"/>
      <c r="O79" s="58" t="str">
        <f t="shared" ca="1" si="15"/>
        <v>No CLUP</v>
      </c>
      <c r="P79" s="375"/>
      <c r="Q79" s="376"/>
      <c r="R79" s="376"/>
      <c r="S79" s="376"/>
      <c r="T79" s="376"/>
      <c r="U79" s="376"/>
      <c r="V79" s="58" t="str">
        <f t="shared" si="16"/>
        <v>None Indicated</v>
      </c>
      <c r="W79" s="375"/>
      <c r="X79" s="376"/>
      <c r="Y79" s="376"/>
      <c r="Z79" s="376"/>
      <c r="AA79" s="376"/>
      <c r="AB79" s="376"/>
      <c r="AC79" s="376"/>
      <c r="AD79" s="60" t="str">
        <f t="shared" si="17"/>
        <v>None Indicated</v>
      </c>
      <c r="AE79" s="61"/>
      <c r="AF79" s="61"/>
      <c r="AG79" s="472"/>
      <c r="AH79" s="59"/>
      <c r="AI79" s="59"/>
    </row>
    <row r="80" spans="1:35" ht="14.4" x14ac:dyDescent="0.3">
      <c r="A80" s="430"/>
      <c r="B80" s="374"/>
      <c r="C80" s="374"/>
      <c r="D80" s="372"/>
      <c r="E80" s="56"/>
      <c r="F80" s="56"/>
      <c r="G80" s="56"/>
      <c r="H80" s="375"/>
      <c r="I80" s="376"/>
      <c r="J80" s="375"/>
      <c r="K80" s="57">
        <f t="shared" si="12"/>
        <v>0</v>
      </c>
      <c r="L80" s="57">
        <f t="shared" si="13"/>
        <v>1</v>
      </c>
      <c r="M80" s="57">
        <f t="shared" si="14"/>
        <v>1900</v>
      </c>
      <c r="N80" s="377"/>
      <c r="O80" s="58" t="str">
        <f t="shared" ca="1" si="15"/>
        <v>No CLUP</v>
      </c>
      <c r="P80" s="375"/>
      <c r="Q80" s="376"/>
      <c r="R80" s="376"/>
      <c r="S80" s="376"/>
      <c r="T80" s="376"/>
      <c r="U80" s="376"/>
      <c r="V80" s="58" t="str">
        <f t="shared" si="16"/>
        <v>None Indicated</v>
      </c>
      <c r="W80" s="375"/>
      <c r="X80" s="376"/>
      <c r="Y80" s="376"/>
      <c r="Z80" s="376"/>
      <c r="AA80" s="376"/>
      <c r="AB80" s="376"/>
      <c r="AC80" s="376"/>
      <c r="AD80" s="60" t="str">
        <f t="shared" si="17"/>
        <v>None Indicated</v>
      </c>
      <c r="AE80" s="61"/>
      <c r="AF80" s="61"/>
      <c r="AG80" s="472"/>
      <c r="AH80" s="59"/>
      <c r="AI80" s="59"/>
    </row>
    <row r="81" spans="1:35" ht="14.4" x14ac:dyDescent="0.3">
      <c r="A81" s="430"/>
      <c r="B81" s="374"/>
      <c r="C81" s="374"/>
      <c r="D81" s="372"/>
      <c r="E81" s="56"/>
      <c r="F81" s="56"/>
      <c r="G81" s="56"/>
      <c r="H81" s="375"/>
      <c r="I81" s="376"/>
      <c r="J81" s="375"/>
      <c r="K81" s="57">
        <f t="shared" si="12"/>
        <v>0</v>
      </c>
      <c r="L81" s="57">
        <f t="shared" si="13"/>
        <v>1</v>
      </c>
      <c r="M81" s="57">
        <f t="shared" si="14"/>
        <v>1900</v>
      </c>
      <c r="N81" s="377"/>
      <c r="O81" s="58" t="str">
        <f t="shared" ca="1" si="15"/>
        <v>No CLUP</v>
      </c>
      <c r="P81" s="375"/>
      <c r="Q81" s="376"/>
      <c r="R81" s="376"/>
      <c r="S81" s="376"/>
      <c r="T81" s="376"/>
      <c r="U81" s="376"/>
      <c r="V81" s="58" t="str">
        <f t="shared" si="16"/>
        <v>None Indicated</v>
      </c>
      <c r="W81" s="375"/>
      <c r="X81" s="376"/>
      <c r="Y81" s="376"/>
      <c r="Z81" s="376"/>
      <c r="AA81" s="376"/>
      <c r="AB81" s="376"/>
      <c r="AC81" s="376"/>
      <c r="AD81" s="60" t="str">
        <f t="shared" si="17"/>
        <v>None Indicated</v>
      </c>
      <c r="AE81" s="61"/>
      <c r="AF81" s="61"/>
      <c r="AG81" s="472"/>
      <c r="AH81" s="59"/>
      <c r="AI81" s="59"/>
    </row>
    <row r="82" spans="1:35" ht="14.4" x14ac:dyDescent="0.3">
      <c r="A82" s="430"/>
      <c r="B82" s="374"/>
      <c r="C82" s="374"/>
      <c r="D82" s="372"/>
      <c r="E82" s="56"/>
      <c r="F82" s="56"/>
      <c r="G82" s="56"/>
      <c r="H82" s="375"/>
      <c r="I82" s="376"/>
      <c r="J82" s="375"/>
      <c r="K82" s="57">
        <f t="shared" si="12"/>
        <v>0</v>
      </c>
      <c r="L82" s="57">
        <f t="shared" si="13"/>
        <v>1</v>
      </c>
      <c r="M82" s="57">
        <f t="shared" si="14"/>
        <v>1900</v>
      </c>
      <c r="N82" s="377"/>
      <c r="O82" s="58" t="str">
        <f t="shared" ca="1" si="15"/>
        <v>No CLUP</v>
      </c>
      <c r="P82" s="375"/>
      <c r="Q82" s="376"/>
      <c r="R82" s="376"/>
      <c r="S82" s="376"/>
      <c r="T82" s="376"/>
      <c r="U82" s="376"/>
      <c r="V82" s="58" t="str">
        <f t="shared" si="16"/>
        <v>None Indicated</v>
      </c>
      <c r="W82" s="375"/>
      <c r="X82" s="376"/>
      <c r="Y82" s="376"/>
      <c r="Z82" s="376"/>
      <c r="AA82" s="376"/>
      <c r="AB82" s="376"/>
      <c r="AC82" s="376"/>
      <c r="AD82" s="60" t="str">
        <f t="shared" si="17"/>
        <v>None Indicated</v>
      </c>
      <c r="AE82" s="61"/>
      <c r="AF82" s="61"/>
      <c r="AG82" s="472"/>
      <c r="AH82" s="59"/>
      <c r="AI82" s="59"/>
    </row>
    <row r="83" spans="1:35" ht="14.4" x14ac:dyDescent="0.3">
      <c r="A83" s="430"/>
      <c r="B83" s="374"/>
      <c r="C83" s="374"/>
      <c r="D83" s="372"/>
      <c r="E83" s="56"/>
      <c r="F83" s="56"/>
      <c r="G83" s="56"/>
      <c r="H83" s="375"/>
      <c r="I83" s="376"/>
      <c r="J83" s="375"/>
      <c r="K83" s="57">
        <f t="shared" si="12"/>
        <v>0</v>
      </c>
      <c r="L83" s="57">
        <f t="shared" si="13"/>
        <v>1</v>
      </c>
      <c r="M83" s="57">
        <f t="shared" si="14"/>
        <v>1900</v>
      </c>
      <c r="N83" s="377"/>
      <c r="O83" s="58" t="str">
        <f t="shared" ca="1" si="15"/>
        <v>No CLUP</v>
      </c>
      <c r="P83" s="375"/>
      <c r="Q83" s="376"/>
      <c r="R83" s="376"/>
      <c r="S83" s="376"/>
      <c r="T83" s="376"/>
      <c r="U83" s="376"/>
      <c r="V83" s="58" t="str">
        <f t="shared" si="16"/>
        <v>None Indicated</v>
      </c>
      <c r="W83" s="375"/>
      <c r="X83" s="376"/>
      <c r="Y83" s="376"/>
      <c r="Z83" s="376"/>
      <c r="AA83" s="376"/>
      <c r="AB83" s="376"/>
      <c r="AC83" s="376"/>
      <c r="AD83" s="60" t="str">
        <f t="shared" si="17"/>
        <v>None Indicated</v>
      </c>
      <c r="AE83" s="61"/>
      <c r="AF83" s="61"/>
      <c r="AG83" s="472"/>
      <c r="AH83" s="59"/>
      <c r="AI83" s="59"/>
    </row>
    <row r="84" spans="1:35" ht="14.4" x14ac:dyDescent="0.3">
      <c r="A84" s="430"/>
      <c r="B84" s="374"/>
      <c r="C84" s="374"/>
      <c r="D84" s="372"/>
      <c r="E84" s="56"/>
      <c r="F84" s="56"/>
      <c r="G84" s="56"/>
      <c r="H84" s="375"/>
      <c r="I84" s="376"/>
      <c r="J84" s="375"/>
      <c r="K84" s="57">
        <f t="shared" si="12"/>
        <v>0</v>
      </c>
      <c r="L84" s="57">
        <f t="shared" si="13"/>
        <v>1</v>
      </c>
      <c r="M84" s="57">
        <f t="shared" si="14"/>
        <v>1900</v>
      </c>
      <c r="N84" s="377"/>
      <c r="O84" s="58" t="str">
        <f t="shared" ca="1" si="15"/>
        <v>No CLUP</v>
      </c>
      <c r="P84" s="375"/>
      <c r="Q84" s="376"/>
      <c r="R84" s="376"/>
      <c r="S84" s="376"/>
      <c r="T84" s="376"/>
      <c r="U84" s="376"/>
      <c r="V84" s="58" t="str">
        <f t="shared" si="16"/>
        <v>None Indicated</v>
      </c>
      <c r="W84" s="375"/>
      <c r="X84" s="376"/>
      <c r="Y84" s="376"/>
      <c r="Z84" s="376"/>
      <c r="AA84" s="376"/>
      <c r="AB84" s="376"/>
      <c r="AC84" s="376"/>
      <c r="AD84" s="60" t="str">
        <f t="shared" si="17"/>
        <v>None Indicated</v>
      </c>
      <c r="AE84" s="61"/>
      <c r="AF84" s="61"/>
      <c r="AG84" s="472"/>
      <c r="AH84" s="59"/>
      <c r="AI84" s="59"/>
    </row>
  </sheetData>
  <mergeCells count="4">
    <mergeCell ref="W6:AD6"/>
    <mergeCell ref="P6:V6"/>
    <mergeCell ref="A1:B2"/>
    <mergeCell ref="H6:I6"/>
  </mergeCells>
  <conditionalFormatting sqref="O8:O84">
    <cfRule type="containsText" dxfId="8" priority="1" operator="containsText" text="Updated">
      <formula>NOT(ISERROR(SEARCH("Updated",O8)))</formula>
    </cfRule>
    <cfRule type="containsText" dxfId="7" priority="2" operator="containsText" text="For Updating">
      <formula>NOT(ISERROR(SEARCH("For Updating",O8)))</formula>
    </cfRule>
    <cfRule type="containsText" dxfId="6" priority="3" operator="containsText" text="No CLUP">
      <formula>NOT(ISERROR(SEARCH("No CLUP",O8)))</formula>
    </cfRule>
  </conditionalFormatting>
  <dataValidations count="6">
    <dataValidation type="list" allowBlank="1" showInputMessage="1" showErrorMessage="1" sqref="AF2 AF8:AF84" xr:uid="{7EC5B27F-189E-4DC2-ACEA-D01A986A2DA5}">
      <formula1>"Consultant,National Government Agency,Academe,Donor Agency,Others,None"</formula1>
    </dataValidation>
    <dataValidation type="list" allowBlank="1" showInputMessage="1" showErrorMessage="1" sqref="AE2 AE71:AE84" xr:uid="{D7906227-3FC4-4B07-90B6-21AAE9AE3672}">
      <formula1>"Assisted,Trained,Trained and assisted,No assistance"</formula1>
    </dataValidation>
    <dataValidation type="list" allowBlank="1" showInputMessage="1" showErrorMessage="1" sqref="F71:F84" xr:uid="{D920CCF7-A6CA-4DC4-BB6E-4F8345AB3136}">
      <formula1>"HUC, CC, ICC, MC"</formula1>
    </dataValidation>
    <dataValidation type="list" allowBlank="1" showInputMessage="1" showErrorMessage="1" sqref="G8:G84" xr:uid="{4A6CD7AC-A938-4D36-BA09-2389581BA628}">
      <formula1>"-, 1st, 2nd, 3rd, 4th, 5th, 6th, Special"</formula1>
    </dataValidation>
    <dataValidation type="list" allowBlank="1" showInputMessage="1" showErrorMessage="1" sqref="E71:E84" xr:uid="{00F7EF17-338A-4AC4-A4F2-755ACABDFE85}">
      <formula1>"Local Center, Provincial Center, Sub-Regional Center, Regional Center"</formula1>
    </dataValidation>
    <dataValidation type="list" allowBlank="1" showInputMessage="1" showErrorMessage="1" sqref="AG8:AG84" xr:uid="{BD70DB0C-421D-447E-93B8-992721513670}">
      <formula1>"Yes, No"</formula1>
    </dataValidation>
  </dataValidations>
  <hyperlinks>
    <hyperlink ref="C1" location="'Accomplishment 2025'!A1" display="Back to Summary of Accomplishments 2025" xr:uid="{FF0196E9-6CC6-4845-BB19-70FA19018656}"/>
    <hyperlink ref="F53" r:id="rId1" xr:uid="{117DA3EE-2BEB-4CDC-A0E8-BBE12811D1E1}"/>
    <hyperlink ref="F63" r:id="rId2" xr:uid="{1776E7B9-9E31-46F7-BDCD-2934B67CA105}"/>
    <hyperlink ref="J53" r:id="rId3" xr:uid="{A9929F3A-F26B-45E0-ADDD-2096E6994434}"/>
    <hyperlink ref="J63" r:id="rId4" xr:uid="{61197479-F464-415E-B7E5-7593B0ACFB16}"/>
  </hyperlinks>
  <pageMargins left="0.7" right="0.7" top="0.75" bottom="0.75" header="0.3" footer="0.3"/>
  <pageSetup paperSize="9" orientation="portrait" horizontalDpi="0" verticalDpi="0" r:id="rId5"/>
  <legacy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A4645-059E-4D00-A1BC-4747711E0CC3}">
  <dimension ref="A1:I1643"/>
  <sheetViews>
    <sheetView topLeftCell="A1624" workbookViewId="0">
      <selection activeCell="L1631" sqref="L1631"/>
    </sheetView>
  </sheetViews>
  <sheetFormatPr defaultRowHeight="14.4" x14ac:dyDescent="0.3"/>
  <sheetData>
    <row r="1" spans="1:9" ht="45" x14ac:dyDescent="0.3">
      <c r="A1" s="436" t="s">
        <v>1844</v>
      </c>
      <c r="B1" s="437" t="s">
        <v>1678</v>
      </c>
      <c r="C1" s="437" t="s">
        <v>1679</v>
      </c>
      <c r="D1" s="438" t="s">
        <v>1680</v>
      </c>
      <c r="E1" s="439" t="s">
        <v>1845</v>
      </c>
      <c r="F1" s="440" t="s">
        <v>1846</v>
      </c>
      <c r="G1" s="441" t="s">
        <v>1847</v>
      </c>
      <c r="H1" s="442" t="s">
        <v>1848</v>
      </c>
      <c r="I1" s="441" t="s">
        <v>1849</v>
      </c>
    </row>
    <row r="2" spans="1:9" ht="27" x14ac:dyDescent="0.3">
      <c r="A2" s="443" t="s">
        <v>1850</v>
      </c>
      <c r="B2" s="444" t="s">
        <v>58</v>
      </c>
      <c r="C2" s="445" t="s">
        <v>1851</v>
      </c>
      <c r="D2" s="444" t="s">
        <v>1852</v>
      </c>
      <c r="E2" s="446" t="s">
        <v>1853</v>
      </c>
      <c r="F2" s="447" t="s">
        <v>1854</v>
      </c>
      <c r="G2" s="448"/>
      <c r="H2" s="448" t="s">
        <v>1855</v>
      </c>
      <c r="I2" s="448" t="s">
        <v>1856</v>
      </c>
    </row>
    <row r="3" spans="1:9" x14ac:dyDescent="0.3">
      <c r="A3" s="443" t="s">
        <v>1857</v>
      </c>
      <c r="B3" s="444" t="s">
        <v>58</v>
      </c>
      <c r="C3" s="445" t="s">
        <v>1851</v>
      </c>
      <c r="D3" s="444" t="s">
        <v>1858</v>
      </c>
      <c r="E3" s="446">
        <v>137601000</v>
      </c>
      <c r="F3" s="447" t="s">
        <v>1854</v>
      </c>
      <c r="G3" s="448"/>
      <c r="H3" s="448" t="s">
        <v>1855</v>
      </c>
      <c r="I3" s="448" t="s">
        <v>1856</v>
      </c>
    </row>
    <row r="4" spans="1:9" x14ac:dyDescent="0.3">
      <c r="A4" s="443" t="s">
        <v>1859</v>
      </c>
      <c r="B4" s="444" t="s">
        <v>58</v>
      </c>
      <c r="C4" s="445" t="s">
        <v>1851</v>
      </c>
      <c r="D4" s="444" t="s">
        <v>1860</v>
      </c>
      <c r="E4" s="446">
        <v>137602000</v>
      </c>
      <c r="F4" s="447" t="s">
        <v>1854</v>
      </c>
      <c r="G4" s="448"/>
      <c r="H4" s="448" t="s">
        <v>1855</v>
      </c>
      <c r="I4" s="448" t="s">
        <v>1856</v>
      </c>
    </row>
    <row r="5" spans="1:9" x14ac:dyDescent="0.3">
      <c r="A5" s="443" t="s">
        <v>1861</v>
      </c>
      <c r="B5" s="444" t="s">
        <v>58</v>
      </c>
      <c r="C5" s="445" t="s">
        <v>1851</v>
      </c>
      <c r="D5" s="444" t="s">
        <v>1862</v>
      </c>
      <c r="E5" s="446">
        <v>137502000</v>
      </c>
      <c r="F5" s="447" t="s">
        <v>1854</v>
      </c>
      <c r="G5" s="448"/>
      <c r="H5" s="448" t="s">
        <v>1855</v>
      </c>
      <c r="I5" s="448" t="s">
        <v>1856</v>
      </c>
    </row>
    <row r="6" spans="1:9" x14ac:dyDescent="0.3">
      <c r="A6" s="443" t="s">
        <v>1863</v>
      </c>
      <c r="B6" s="444" t="s">
        <v>58</v>
      </c>
      <c r="C6" s="445" t="s">
        <v>1851</v>
      </c>
      <c r="D6" s="444" t="s">
        <v>1864</v>
      </c>
      <c r="E6" s="446">
        <v>137401000</v>
      </c>
      <c r="F6" s="447" t="s">
        <v>1854</v>
      </c>
      <c r="G6" s="448"/>
      <c r="H6" s="448" t="s">
        <v>1855</v>
      </c>
      <c r="I6" s="448" t="s">
        <v>1856</v>
      </c>
    </row>
    <row r="7" spans="1:9" x14ac:dyDescent="0.3">
      <c r="A7" s="443" t="s">
        <v>1865</v>
      </c>
      <c r="B7" s="444" t="s">
        <v>58</v>
      </c>
      <c r="C7" s="445" t="s">
        <v>1851</v>
      </c>
      <c r="D7" s="444" t="s">
        <v>1866</v>
      </c>
      <c r="E7" s="446">
        <v>133900000</v>
      </c>
      <c r="F7" s="447" t="s">
        <v>1854</v>
      </c>
      <c r="G7" s="448"/>
      <c r="H7" s="448" t="s">
        <v>1855</v>
      </c>
      <c r="I7" s="448" t="s">
        <v>1867</v>
      </c>
    </row>
    <row r="8" spans="1:9" x14ac:dyDescent="0.3">
      <c r="A8" s="443" t="s">
        <v>1868</v>
      </c>
      <c r="B8" s="444" t="s">
        <v>58</v>
      </c>
      <c r="C8" s="445" t="s">
        <v>1851</v>
      </c>
      <c r="D8" s="444" t="s">
        <v>1869</v>
      </c>
      <c r="E8" s="446">
        <v>137402000</v>
      </c>
      <c r="F8" s="447" t="s">
        <v>1854</v>
      </c>
      <c r="G8" s="448"/>
      <c r="H8" s="448" t="s">
        <v>1855</v>
      </c>
      <c r="I8" s="448" t="s">
        <v>1856</v>
      </c>
    </row>
    <row r="9" spans="1:9" x14ac:dyDescent="0.3">
      <c r="A9" s="443" t="s">
        <v>1870</v>
      </c>
      <c r="B9" s="444" t="s">
        <v>58</v>
      </c>
      <c r="C9" s="445" t="s">
        <v>1851</v>
      </c>
      <c r="D9" s="444" t="s">
        <v>1871</v>
      </c>
      <c r="E9" s="446">
        <v>137603000</v>
      </c>
      <c r="F9" s="447" t="s">
        <v>1854</v>
      </c>
      <c r="G9" s="448"/>
      <c r="H9" s="448" t="s">
        <v>1855</v>
      </c>
      <c r="I9" s="448" t="s">
        <v>1856</v>
      </c>
    </row>
    <row r="10" spans="1:9" x14ac:dyDescent="0.3">
      <c r="A10" s="443" t="s">
        <v>1872</v>
      </c>
      <c r="B10" s="444" t="s">
        <v>58</v>
      </c>
      <c r="C10" s="445" t="s">
        <v>1851</v>
      </c>
      <c r="D10" s="444" t="s">
        <v>1873</v>
      </c>
      <c r="E10" s="446">
        <v>137503000</v>
      </c>
      <c r="F10" s="447" t="s">
        <v>1854</v>
      </c>
      <c r="G10" s="448"/>
      <c r="H10" s="448" t="s">
        <v>1855</v>
      </c>
      <c r="I10" s="448" t="s">
        <v>1874</v>
      </c>
    </row>
    <row r="11" spans="1:9" x14ac:dyDescent="0.3">
      <c r="A11" s="443" t="s">
        <v>1875</v>
      </c>
      <c r="B11" s="444" t="s">
        <v>58</v>
      </c>
      <c r="C11" s="445" t="s">
        <v>1851</v>
      </c>
      <c r="D11" s="444" t="s">
        <v>1876</v>
      </c>
      <c r="E11" s="446">
        <v>137604000</v>
      </c>
      <c r="F11" s="447" t="s">
        <v>1854</v>
      </c>
      <c r="G11" s="448"/>
      <c r="H11" s="448" t="s">
        <v>1855</v>
      </c>
      <c r="I11" s="448" t="s">
        <v>1856</v>
      </c>
    </row>
    <row r="12" spans="1:9" x14ac:dyDescent="0.3">
      <c r="A12" s="443" t="s">
        <v>1877</v>
      </c>
      <c r="B12" s="444" t="s">
        <v>58</v>
      </c>
      <c r="C12" s="445" t="s">
        <v>1851</v>
      </c>
      <c r="D12" s="444" t="s">
        <v>1878</v>
      </c>
      <c r="E12" s="446">
        <v>137605000</v>
      </c>
      <c r="F12" s="447" t="s">
        <v>1854</v>
      </c>
      <c r="G12" s="448"/>
      <c r="H12" s="448" t="s">
        <v>1855</v>
      </c>
      <c r="I12" s="448" t="s">
        <v>1856</v>
      </c>
    </row>
    <row r="13" spans="1:9" x14ac:dyDescent="0.3">
      <c r="A13" s="443" t="s">
        <v>1879</v>
      </c>
      <c r="B13" s="444" t="s">
        <v>58</v>
      </c>
      <c r="C13" s="445" t="s">
        <v>1851</v>
      </c>
      <c r="D13" s="444" t="s">
        <v>1880</v>
      </c>
      <c r="E13" s="446">
        <v>137403000</v>
      </c>
      <c r="F13" s="447" t="s">
        <v>1854</v>
      </c>
      <c r="G13" s="448"/>
      <c r="H13" s="448" t="s">
        <v>1855</v>
      </c>
      <c r="I13" s="448" t="s">
        <v>1856</v>
      </c>
    </row>
    <row r="14" spans="1:9" x14ac:dyDescent="0.3">
      <c r="A14" s="443" t="s">
        <v>1881</v>
      </c>
      <c r="B14" s="444" t="s">
        <v>58</v>
      </c>
      <c r="C14" s="445" t="s">
        <v>1851</v>
      </c>
      <c r="D14" s="444" t="s">
        <v>1882</v>
      </c>
      <c r="E14" s="446">
        <v>137404000</v>
      </c>
      <c r="F14" s="447" t="s">
        <v>1854</v>
      </c>
      <c r="G14" s="448"/>
      <c r="H14" s="448" t="s">
        <v>1855</v>
      </c>
      <c r="I14" s="448" t="s">
        <v>1867</v>
      </c>
    </row>
    <row r="15" spans="1:9" x14ac:dyDescent="0.3">
      <c r="A15" s="443" t="s">
        <v>1883</v>
      </c>
      <c r="B15" s="444" t="s">
        <v>58</v>
      </c>
      <c r="C15" s="445" t="s">
        <v>1851</v>
      </c>
      <c r="D15" s="444" t="s">
        <v>1884</v>
      </c>
      <c r="E15" s="446">
        <v>137405000</v>
      </c>
      <c r="F15" s="447" t="s">
        <v>1854</v>
      </c>
      <c r="G15" s="448"/>
      <c r="H15" s="448" t="s">
        <v>1855</v>
      </c>
      <c r="I15" s="448" t="s">
        <v>1856</v>
      </c>
    </row>
    <row r="16" spans="1:9" x14ac:dyDescent="0.3">
      <c r="A16" s="443" t="s">
        <v>1885</v>
      </c>
      <c r="B16" s="444" t="s">
        <v>58</v>
      </c>
      <c r="C16" s="445" t="s">
        <v>1851</v>
      </c>
      <c r="D16" s="444" t="s">
        <v>1886</v>
      </c>
      <c r="E16" s="446">
        <v>137607000</v>
      </c>
      <c r="F16" s="447" t="s">
        <v>1854</v>
      </c>
      <c r="G16" s="448"/>
      <c r="H16" s="448" t="s">
        <v>1855</v>
      </c>
      <c r="I16" s="448" t="s">
        <v>1856</v>
      </c>
    </row>
    <row r="17" spans="1:9" x14ac:dyDescent="0.3">
      <c r="A17" s="443" t="s">
        <v>1887</v>
      </c>
      <c r="B17" s="444" t="s">
        <v>58</v>
      </c>
      <c r="C17" s="445" t="s">
        <v>1851</v>
      </c>
      <c r="D17" s="444" t="s">
        <v>1888</v>
      </c>
      <c r="E17" s="446">
        <v>137504000</v>
      </c>
      <c r="F17" s="447" t="s">
        <v>1854</v>
      </c>
      <c r="G17" s="448"/>
      <c r="H17" s="448" t="s">
        <v>1855</v>
      </c>
      <c r="I17" s="448" t="s">
        <v>1856</v>
      </c>
    </row>
    <row r="18" spans="1:9" x14ac:dyDescent="0.3">
      <c r="A18" s="443" t="s">
        <v>1889</v>
      </c>
      <c r="B18" s="444" t="s">
        <v>58</v>
      </c>
      <c r="C18" s="445" t="s">
        <v>1851</v>
      </c>
      <c r="D18" s="444" t="s">
        <v>1126</v>
      </c>
      <c r="E18" s="446">
        <v>137606000</v>
      </c>
      <c r="F18" s="447" t="s">
        <v>1890</v>
      </c>
      <c r="G18" s="448"/>
      <c r="H18" s="448"/>
      <c r="I18" s="448" t="s">
        <v>1856</v>
      </c>
    </row>
    <row r="19" spans="1:9" x14ac:dyDescent="0.3">
      <c r="A19" s="443" t="s">
        <v>1891</v>
      </c>
      <c r="B19" s="449" t="s">
        <v>59</v>
      </c>
      <c r="C19" s="445" t="s">
        <v>78</v>
      </c>
      <c r="D19" s="444" t="s">
        <v>160</v>
      </c>
      <c r="E19" s="446">
        <v>140101000</v>
      </c>
      <c r="F19" s="447" t="s">
        <v>1890</v>
      </c>
      <c r="G19" s="448"/>
      <c r="H19" s="448"/>
      <c r="I19" s="448" t="s">
        <v>1856</v>
      </c>
    </row>
    <row r="20" spans="1:9" x14ac:dyDescent="0.3">
      <c r="A20" s="443" t="s">
        <v>1892</v>
      </c>
      <c r="B20" s="449" t="s">
        <v>59</v>
      </c>
      <c r="C20" s="445" t="s">
        <v>78</v>
      </c>
      <c r="D20" s="444" t="s">
        <v>235</v>
      </c>
      <c r="E20" s="446">
        <v>140102000</v>
      </c>
      <c r="F20" s="447" t="s">
        <v>1890</v>
      </c>
      <c r="G20" s="448"/>
      <c r="H20" s="448"/>
      <c r="I20" s="448" t="s">
        <v>1893</v>
      </c>
    </row>
    <row r="21" spans="1:9" x14ac:dyDescent="0.3">
      <c r="A21" s="443" t="s">
        <v>1894</v>
      </c>
      <c r="B21" s="449" t="s">
        <v>59</v>
      </c>
      <c r="C21" s="445" t="s">
        <v>78</v>
      </c>
      <c r="D21" s="444" t="s">
        <v>308</v>
      </c>
      <c r="E21" s="446">
        <v>140103000</v>
      </c>
      <c r="F21" s="447" t="s">
        <v>1890</v>
      </c>
      <c r="G21" s="448"/>
      <c r="H21" s="448"/>
      <c r="I21" s="448" t="s">
        <v>1893</v>
      </c>
    </row>
    <row r="22" spans="1:9" x14ac:dyDescent="0.3">
      <c r="A22" s="443" t="s">
        <v>1895</v>
      </c>
      <c r="B22" s="449" t="s">
        <v>59</v>
      </c>
      <c r="C22" s="445" t="s">
        <v>78</v>
      </c>
      <c r="D22" s="444" t="s">
        <v>382</v>
      </c>
      <c r="E22" s="446">
        <v>140104000</v>
      </c>
      <c r="F22" s="447" t="s">
        <v>1890</v>
      </c>
      <c r="G22" s="448"/>
      <c r="H22" s="448"/>
      <c r="I22" s="448" t="s">
        <v>1896</v>
      </c>
    </row>
    <row r="23" spans="1:9" x14ac:dyDescent="0.3">
      <c r="A23" s="443" t="s">
        <v>1897</v>
      </c>
      <c r="B23" s="449" t="s">
        <v>59</v>
      </c>
      <c r="C23" s="445" t="s">
        <v>78</v>
      </c>
      <c r="D23" s="444" t="s">
        <v>452</v>
      </c>
      <c r="E23" s="446">
        <v>140105000</v>
      </c>
      <c r="F23" s="447" t="s">
        <v>1890</v>
      </c>
      <c r="G23" s="448"/>
      <c r="H23" s="448"/>
      <c r="I23" s="448" t="s">
        <v>1893</v>
      </c>
    </row>
    <row r="24" spans="1:9" x14ac:dyDescent="0.3">
      <c r="A24" s="443" t="s">
        <v>1898</v>
      </c>
      <c r="B24" s="449" t="s">
        <v>59</v>
      </c>
      <c r="C24" s="445" t="s">
        <v>78</v>
      </c>
      <c r="D24" s="444" t="s">
        <v>526</v>
      </c>
      <c r="E24" s="446">
        <v>140106000</v>
      </c>
      <c r="F24" s="447" t="s">
        <v>1890</v>
      </c>
      <c r="G24" s="448"/>
      <c r="H24" s="448"/>
      <c r="I24" s="448" t="s">
        <v>1893</v>
      </c>
    </row>
    <row r="25" spans="1:9" x14ac:dyDescent="0.3">
      <c r="A25" s="443" t="s">
        <v>1899</v>
      </c>
      <c r="B25" s="449" t="s">
        <v>59</v>
      </c>
      <c r="C25" s="445" t="s">
        <v>78</v>
      </c>
      <c r="D25" s="444" t="s">
        <v>569</v>
      </c>
      <c r="E25" s="446">
        <v>140107000</v>
      </c>
      <c r="F25" s="447" t="s">
        <v>1890</v>
      </c>
      <c r="G25" s="448"/>
      <c r="H25" s="448"/>
      <c r="I25" s="448" t="s">
        <v>1893</v>
      </c>
    </row>
    <row r="26" spans="1:9" x14ac:dyDescent="0.3">
      <c r="A26" s="443" t="s">
        <v>1900</v>
      </c>
      <c r="B26" s="449" t="s">
        <v>59</v>
      </c>
      <c r="C26" s="445" t="s">
        <v>78</v>
      </c>
      <c r="D26" s="444" t="s">
        <v>1901</v>
      </c>
      <c r="E26" s="446">
        <v>140108000</v>
      </c>
      <c r="F26" s="447" t="s">
        <v>1890</v>
      </c>
      <c r="G26" s="448"/>
      <c r="H26" s="448"/>
      <c r="I26" s="448" t="s">
        <v>1893</v>
      </c>
    </row>
    <row r="27" spans="1:9" x14ac:dyDescent="0.3">
      <c r="A27" s="443" t="s">
        <v>1902</v>
      </c>
      <c r="B27" s="449" t="s">
        <v>59</v>
      </c>
      <c r="C27" s="445" t="s">
        <v>78</v>
      </c>
      <c r="D27" s="444" t="s">
        <v>725</v>
      </c>
      <c r="E27" s="446">
        <v>140109000</v>
      </c>
      <c r="F27" s="447" t="s">
        <v>1890</v>
      </c>
      <c r="G27" s="448"/>
      <c r="H27" s="448"/>
      <c r="I27" s="448" t="s">
        <v>1893</v>
      </c>
    </row>
    <row r="28" spans="1:9" x14ac:dyDescent="0.3">
      <c r="A28" s="443" t="s">
        <v>1903</v>
      </c>
      <c r="B28" s="449" t="s">
        <v>59</v>
      </c>
      <c r="C28" s="445" t="s">
        <v>78</v>
      </c>
      <c r="D28" s="444" t="s">
        <v>788</v>
      </c>
      <c r="E28" s="446">
        <v>140110000</v>
      </c>
      <c r="F28" s="447" t="s">
        <v>1890</v>
      </c>
      <c r="G28" s="448"/>
      <c r="H28" s="448"/>
      <c r="I28" s="448" t="s">
        <v>1893</v>
      </c>
    </row>
    <row r="29" spans="1:9" x14ac:dyDescent="0.3">
      <c r="A29" s="443" t="s">
        <v>1904</v>
      </c>
      <c r="B29" s="449" t="s">
        <v>59</v>
      </c>
      <c r="C29" s="445" t="s">
        <v>78</v>
      </c>
      <c r="D29" s="444" t="s">
        <v>847</v>
      </c>
      <c r="E29" s="446">
        <v>140111000</v>
      </c>
      <c r="F29" s="447" t="s">
        <v>1890</v>
      </c>
      <c r="G29" s="448"/>
      <c r="H29" s="448"/>
      <c r="I29" s="448" t="s">
        <v>1893</v>
      </c>
    </row>
    <row r="30" spans="1:9" x14ac:dyDescent="0.3">
      <c r="A30" s="443" t="s">
        <v>1905</v>
      </c>
      <c r="B30" s="449" t="s">
        <v>59</v>
      </c>
      <c r="C30" s="445" t="s">
        <v>78</v>
      </c>
      <c r="D30" s="444" t="s">
        <v>903</v>
      </c>
      <c r="E30" s="446">
        <v>140112000</v>
      </c>
      <c r="F30" s="447" t="s">
        <v>1890</v>
      </c>
      <c r="G30" s="448"/>
      <c r="H30" s="448"/>
      <c r="I30" s="448" t="s">
        <v>1893</v>
      </c>
    </row>
    <row r="31" spans="1:9" x14ac:dyDescent="0.3">
      <c r="A31" s="443" t="s">
        <v>1906</v>
      </c>
      <c r="B31" s="449" t="s">
        <v>59</v>
      </c>
      <c r="C31" s="445" t="s">
        <v>78</v>
      </c>
      <c r="D31" s="444" t="s">
        <v>956</v>
      </c>
      <c r="E31" s="446">
        <v>140113000</v>
      </c>
      <c r="F31" s="447" t="s">
        <v>1890</v>
      </c>
      <c r="G31" s="448" t="s">
        <v>1907</v>
      </c>
      <c r="H31" s="448"/>
      <c r="I31" s="448" t="s">
        <v>1893</v>
      </c>
    </row>
    <row r="32" spans="1:9" x14ac:dyDescent="0.3">
      <c r="A32" s="443" t="s">
        <v>1908</v>
      </c>
      <c r="B32" s="449" t="s">
        <v>59</v>
      </c>
      <c r="C32" s="445" t="s">
        <v>78</v>
      </c>
      <c r="D32" s="444" t="s">
        <v>1001</v>
      </c>
      <c r="E32" s="446">
        <v>140114000</v>
      </c>
      <c r="F32" s="447" t="s">
        <v>1890</v>
      </c>
      <c r="G32" s="448"/>
      <c r="H32" s="448"/>
      <c r="I32" s="448" t="s">
        <v>1893</v>
      </c>
    </row>
    <row r="33" spans="1:9" x14ac:dyDescent="0.3">
      <c r="A33" s="443" t="s">
        <v>1909</v>
      </c>
      <c r="B33" s="449" t="s">
        <v>59</v>
      </c>
      <c r="C33" s="445" t="s">
        <v>78</v>
      </c>
      <c r="D33" s="444" t="s">
        <v>1050</v>
      </c>
      <c r="E33" s="446">
        <v>140115000</v>
      </c>
      <c r="F33" s="447" t="s">
        <v>1890</v>
      </c>
      <c r="G33" s="448"/>
      <c r="H33" s="448"/>
      <c r="I33" s="448" t="s">
        <v>1893</v>
      </c>
    </row>
    <row r="34" spans="1:9" x14ac:dyDescent="0.3">
      <c r="A34" s="443" t="s">
        <v>1910</v>
      </c>
      <c r="B34" s="449" t="s">
        <v>59</v>
      </c>
      <c r="C34" s="445" t="s">
        <v>78</v>
      </c>
      <c r="D34" s="444" t="s">
        <v>1090</v>
      </c>
      <c r="E34" s="446">
        <v>140116000</v>
      </c>
      <c r="F34" s="447" t="s">
        <v>1890</v>
      </c>
      <c r="G34" s="448"/>
      <c r="H34" s="448"/>
      <c r="I34" s="448" t="s">
        <v>1893</v>
      </c>
    </row>
    <row r="35" spans="1:9" x14ac:dyDescent="0.3">
      <c r="A35" s="443" t="s">
        <v>1911</v>
      </c>
      <c r="B35" s="449" t="s">
        <v>59</v>
      </c>
      <c r="C35" s="445" t="s">
        <v>78</v>
      </c>
      <c r="D35" s="444" t="s">
        <v>1127</v>
      </c>
      <c r="E35" s="446">
        <v>140117000</v>
      </c>
      <c r="F35" s="447" t="s">
        <v>1890</v>
      </c>
      <c r="G35" s="448"/>
      <c r="H35" s="448"/>
      <c r="I35" s="448" t="s">
        <v>1896</v>
      </c>
    </row>
    <row r="36" spans="1:9" x14ac:dyDescent="0.3">
      <c r="A36" s="443" t="s">
        <v>1912</v>
      </c>
      <c r="B36" s="449" t="s">
        <v>59</v>
      </c>
      <c r="C36" s="445" t="s">
        <v>78</v>
      </c>
      <c r="D36" s="444" t="s">
        <v>1161</v>
      </c>
      <c r="E36" s="446">
        <v>140118000</v>
      </c>
      <c r="F36" s="447" t="s">
        <v>1890</v>
      </c>
      <c r="G36" s="448"/>
      <c r="H36" s="448"/>
      <c r="I36" s="448" t="s">
        <v>1893</v>
      </c>
    </row>
    <row r="37" spans="1:9" x14ac:dyDescent="0.3">
      <c r="A37" s="443" t="s">
        <v>1913</v>
      </c>
      <c r="B37" s="449" t="s">
        <v>59</v>
      </c>
      <c r="C37" s="445" t="s">
        <v>78</v>
      </c>
      <c r="D37" s="444" t="s">
        <v>855</v>
      </c>
      <c r="E37" s="446">
        <v>140119000</v>
      </c>
      <c r="F37" s="447" t="s">
        <v>1890</v>
      </c>
      <c r="G37" s="448"/>
      <c r="H37" s="448"/>
      <c r="I37" s="448" t="s">
        <v>1893</v>
      </c>
    </row>
    <row r="38" spans="1:9" x14ac:dyDescent="0.3">
      <c r="A38" s="443" t="s">
        <v>1914</v>
      </c>
      <c r="B38" s="449" t="s">
        <v>59</v>
      </c>
      <c r="C38" s="445" t="s">
        <v>78</v>
      </c>
      <c r="D38" s="444" t="s">
        <v>1220</v>
      </c>
      <c r="E38" s="446">
        <v>140120000</v>
      </c>
      <c r="F38" s="447" t="s">
        <v>1890</v>
      </c>
      <c r="G38" s="448"/>
      <c r="H38" s="448"/>
      <c r="I38" s="448" t="s">
        <v>1893</v>
      </c>
    </row>
    <row r="39" spans="1:9" x14ac:dyDescent="0.3">
      <c r="A39" s="443" t="s">
        <v>1915</v>
      </c>
      <c r="B39" s="449" t="s">
        <v>59</v>
      </c>
      <c r="C39" s="445" t="s">
        <v>78</v>
      </c>
      <c r="D39" s="444" t="s">
        <v>1916</v>
      </c>
      <c r="E39" s="446">
        <v>140121000</v>
      </c>
      <c r="F39" s="447" t="s">
        <v>1890</v>
      </c>
      <c r="G39" s="448"/>
      <c r="H39" s="448"/>
      <c r="I39" s="448" t="s">
        <v>1893</v>
      </c>
    </row>
    <row r="40" spans="1:9" x14ac:dyDescent="0.3">
      <c r="A40" s="443" t="s">
        <v>1917</v>
      </c>
      <c r="B40" s="449" t="s">
        <v>59</v>
      </c>
      <c r="C40" s="445" t="s">
        <v>78</v>
      </c>
      <c r="D40" s="444" t="s">
        <v>1842</v>
      </c>
      <c r="E40" s="446">
        <v>140122000</v>
      </c>
      <c r="F40" s="447" t="s">
        <v>1890</v>
      </c>
      <c r="G40" s="448"/>
      <c r="H40" s="448"/>
      <c r="I40" s="448" t="s">
        <v>1893</v>
      </c>
    </row>
    <row r="41" spans="1:9" x14ac:dyDescent="0.3">
      <c r="A41" s="443" t="s">
        <v>1918</v>
      </c>
      <c r="B41" s="449" t="s">
        <v>59</v>
      </c>
      <c r="C41" s="445" t="s">
        <v>78</v>
      </c>
      <c r="D41" s="444" t="s">
        <v>1919</v>
      </c>
      <c r="E41" s="446">
        <v>140123000</v>
      </c>
      <c r="F41" s="447" t="s">
        <v>1890</v>
      </c>
      <c r="G41" s="448"/>
      <c r="H41" s="448"/>
      <c r="I41" s="448" t="s">
        <v>1893</v>
      </c>
    </row>
    <row r="42" spans="1:9" x14ac:dyDescent="0.3">
      <c r="A42" s="443" t="s">
        <v>1920</v>
      </c>
      <c r="B42" s="449" t="s">
        <v>59</v>
      </c>
      <c r="C42" s="445" t="s">
        <v>78</v>
      </c>
      <c r="D42" s="444" t="s">
        <v>1307</v>
      </c>
      <c r="E42" s="446">
        <v>140124000</v>
      </c>
      <c r="F42" s="447" t="s">
        <v>1890</v>
      </c>
      <c r="G42" s="448"/>
      <c r="H42" s="448"/>
      <c r="I42" s="448" t="s">
        <v>1893</v>
      </c>
    </row>
    <row r="43" spans="1:9" x14ac:dyDescent="0.3">
      <c r="A43" s="443" t="s">
        <v>1921</v>
      </c>
      <c r="B43" s="449" t="s">
        <v>59</v>
      </c>
      <c r="C43" s="445" t="s">
        <v>78</v>
      </c>
      <c r="D43" s="444" t="s">
        <v>1322</v>
      </c>
      <c r="E43" s="446">
        <v>140125000</v>
      </c>
      <c r="F43" s="447" t="s">
        <v>1890</v>
      </c>
      <c r="G43" s="448"/>
      <c r="H43" s="448"/>
      <c r="I43" s="448" t="s">
        <v>1874</v>
      </c>
    </row>
    <row r="44" spans="1:9" x14ac:dyDescent="0.3">
      <c r="A44" s="443" t="s">
        <v>1922</v>
      </c>
      <c r="B44" s="449" t="s">
        <v>59</v>
      </c>
      <c r="C44" s="445" t="s">
        <v>78</v>
      </c>
      <c r="D44" s="444" t="s">
        <v>1340</v>
      </c>
      <c r="E44" s="446">
        <v>140126000</v>
      </c>
      <c r="F44" s="447" t="s">
        <v>1890</v>
      </c>
      <c r="G44" s="448"/>
      <c r="H44" s="448"/>
      <c r="I44" s="448" t="s">
        <v>1923</v>
      </c>
    </row>
    <row r="45" spans="1:9" x14ac:dyDescent="0.3">
      <c r="A45" s="443" t="s">
        <v>1924</v>
      </c>
      <c r="B45" s="449" t="s">
        <v>59</v>
      </c>
      <c r="C45" s="445" t="s">
        <v>78</v>
      </c>
      <c r="D45" s="444" t="s">
        <v>1353</v>
      </c>
      <c r="E45" s="446">
        <v>140127000</v>
      </c>
      <c r="F45" s="447" t="s">
        <v>1890</v>
      </c>
      <c r="G45" s="448"/>
      <c r="H45" s="448"/>
      <c r="I45" s="448" t="s">
        <v>1893</v>
      </c>
    </row>
    <row r="46" spans="1:9" x14ac:dyDescent="0.3">
      <c r="A46" s="443" t="s">
        <v>1925</v>
      </c>
      <c r="B46" s="445" t="s">
        <v>59</v>
      </c>
      <c r="C46" s="445" t="s">
        <v>112</v>
      </c>
      <c r="D46" s="444" t="s">
        <v>162</v>
      </c>
      <c r="E46" s="446">
        <v>141101000</v>
      </c>
      <c r="F46" s="447" t="s">
        <v>1890</v>
      </c>
      <c r="G46" s="448"/>
      <c r="H46" s="448"/>
      <c r="I46" s="448" t="s">
        <v>1923</v>
      </c>
    </row>
    <row r="47" spans="1:9" x14ac:dyDescent="0.3">
      <c r="A47" s="443" t="s">
        <v>1926</v>
      </c>
      <c r="B47" s="445" t="s">
        <v>59</v>
      </c>
      <c r="C47" s="445" t="s">
        <v>112</v>
      </c>
      <c r="D47" s="444" t="s">
        <v>237</v>
      </c>
      <c r="E47" s="446">
        <v>141103000</v>
      </c>
      <c r="F47" s="447" t="s">
        <v>1890</v>
      </c>
      <c r="G47" s="448"/>
      <c r="H47" s="448"/>
      <c r="I47" s="448" t="s">
        <v>1927</v>
      </c>
    </row>
    <row r="48" spans="1:9" x14ac:dyDescent="0.3">
      <c r="A48" s="443" t="s">
        <v>1928</v>
      </c>
      <c r="B48" s="445" t="s">
        <v>59</v>
      </c>
      <c r="C48" s="445" t="s">
        <v>112</v>
      </c>
      <c r="D48" s="444" t="s">
        <v>310</v>
      </c>
      <c r="E48" s="446">
        <v>141104000</v>
      </c>
      <c r="F48" s="447" t="s">
        <v>1890</v>
      </c>
      <c r="G48" s="448"/>
      <c r="H48" s="448"/>
      <c r="I48" s="448" t="s">
        <v>1923</v>
      </c>
    </row>
    <row r="49" spans="1:9" x14ac:dyDescent="0.3">
      <c r="A49" s="443" t="s">
        <v>1929</v>
      </c>
      <c r="B49" s="445" t="s">
        <v>59</v>
      </c>
      <c r="C49" s="445" t="s">
        <v>112</v>
      </c>
      <c r="D49" s="444" t="s">
        <v>384</v>
      </c>
      <c r="E49" s="446">
        <v>141105000</v>
      </c>
      <c r="F49" s="447" t="s">
        <v>1890</v>
      </c>
      <c r="G49" s="448"/>
      <c r="H49" s="448"/>
      <c r="I49" s="448" t="s">
        <v>1927</v>
      </c>
    </row>
    <row r="50" spans="1:9" x14ac:dyDescent="0.3">
      <c r="A50" s="443" t="s">
        <v>1930</v>
      </c>
      <c r="B50" s="445" t="s">
        <v>59</v>
      </c>
      <c r="C50" s="445" t="s">
        <v>112</v>
      </c>
      <c r="D50" s="444" t="s">
        <v>528</v>
      </c>
      <c r="E50" s="446">
        <v>141106000</v>
      </c>
      <c r="F50" s="447" t="s">
        <v>1890</v>
      </c>
      <c r="G50" s="448"/>
      <c r="H50" s="448"/>
      <c r="I50" s="448" t="s">
        <v>1856</v>
      </c>
    </row>
    <row r="51" spans="1:9" x14ac:dyDescent="0.3">
      <c r="A51" s="443" t="s">
        <v>1931</v>
      </c>
      <c r="B51" s="445" t="s">
        <v>59</v>
      </c>
      <c r="C51" s="445" t="s">
        <v>112</v>
      </c>
      <c r="D51" s="444" t="s">
        <v>595</v>
      </c>
      <c r="E51" s="446">
        <v>141107000</v>
      </c>
      <c r="F51" s="447" t="s">
        <v>1890</v>
      </c>
      <c r="G51" s="448"/>
      <c r="H51" s="448"/>
      <c r="I51" s="448" t="s">
        <v>1923</v>
      </c>
    </row>
    <row r="52" spans="1:9" x14ac:dyDescent="0.3">
      <c r="A52" s="443" t="s">
        <v>1932</v>
      </c>
      <c r="B52" s="445" t="s">
        <v>59</v>
      </c>
      <c r="C52" s="445" t="s">
        <v>112</v>
      </c>
      <c r="D52" s="444" t="s">
        <v>662</v>
      </c>
      <c r="E52" s="446">
        <v>141108000</v>
      </c>
      <c r="F52" s="447" t="s">
        <v>1890</v>
      </c>
      <c r="G52" s="448"/>
      <c r="H52" s="448"/>
      <c r="I52" s="448" t="s">
        <v>1923</v>
      </c>
    </row>
    <row r="53" spans="1:9" x14ac:dyDescent="0.3">
      <c r="A53" s="443" t="s">
        <v>1933</v>
      </c>
      <c r="B53" s="445" t="s">
        <v>59</v>
      </c>
      <c r="C53" s="445" t="s">
        <v>112</v>
      </c>
      <c r="D53" s="444" t="s">
        <v>726</v>
      </c>
      <c r="E53" s="446">
        <v>141109000</v>
      </c>
      <c r="F53" s="447" t="s">
        <v>1890</v>
      </c>
      <c r="G53" s="448"/>
      <c r="H53" s="448"/>
      <c r="I53" s="448" t="s">
        <v>1923</v>
      </c>
    </row>
    <row r="54" spans="1:9" x14ac:dyDescent="0.3">
      <c r="A54" s="443" t="s">
        <v>1934</v>
      </c>
      <c r="B54" s="445" t="s">
        <v>59</v>
      </c>
      <c r="C54" s="445" t="s">
        <v>112</v>
      </c>
      <c r="D54" s="444" t="s">
        <v>1935</v>
      </c>
      <c r="E54" s="446">
        <v>141110000</v>
      </c>
      <c r="F54" s="447" t="s">
        <v>1890</v>
      </c>
      <c r="G54" s="448"/>
      <c r="H54" s="448"/>
      <c r="I54" s="448" t="s">
        <v>1856</v>
      </c>
    </row>
    <row r="55" spans="1:9" x14ac:dyDescent="0.3">
      <c r="A55" s="443" t="s">
        <v>1936</v>
      </c>
      <c r="B55" s="445" t="s">
        <v>59</v>
      </c>
      <c r="C55" s="445" t="s">
        <v>112</v>
      </c>
      <c r="D55" s="444" t="s">
        <v>848</v>
      </c>
      <c r="E55" s="446">
        <v>141111000</v>
      </c>
      <c r="F55" s="447" t="s">
        <v>1890</v>
      </c>
      <c r="G55" s="448"/>
      <c r="H55" s="448"/>
      <c r="I55" s="448" t="s">
        <v>1856</v>
      </c>
    </row>
    <row r="56" spans="1:9" x14ac:dyDescent="0.3">
      <c r="A56" s="443" t="s">
        <v>1937</v>
      </c>
      <c r="B56" s="445" t="s">
        <v>59</v>
      </c>
      <c r="C56" s="445" t="s">
        <v>112</v>
      </c>
      <c r="D56" s="444" t="s">
        <v>904</v>
      </c>
      <c r="E56" s="446">
        <v>141112000</v>
      </c>
      <c r="F56" s="447" t="s">
        <v>1890</v>
      </c>
      <c r="G56" s="448"/>
      <c r="H56" s="448"/>
      <c r="I56" s="448" t="s">
        <v>1893</v>
      </c>
    </row>
    <row r="57" spans="1:9" x14ac:dyDescent="0.3">
      <c r="A57" s="443" t="s">
        <v>1938</v>
      </c>
      <c r="B57" s="445" t="s">
        <v>59</v>
      </c>
      <c r="C57" s="445" t="s">
        <v>112</v>
      </c>
      <c r="D57" s="444" t="s">
        <v>957</v>
      </c>
      <c r="E57" s="446">
        <v>141113000</v>
      </c>
      <c r="F57" s="447" t="s">
        <v>1890</v>
      </c>
      <c r="G57" s="448"/>
      <c r="H57" s="448"/>
      <c r="I57" s="448" t="s">
        <v>1856</v>
      </c>
    </row>
    <row r="58" spans="1:9" x14ac:dyDescent="0.3">
      <c r="A58" s="443" t="s">
        <v>1939</v>
      </c>
      <c r="B58" s="445" t="s">
        <v>59</v>
      </c>
      <c r="C58" s="445" t="s">
        <v>112</v>
      </c>
      <c r="D58" s="444" t="s">
        <v>1002</v>
      </c>
      <c r="E58" s="446">
        <v>141114000</v>
      </c>
      <c r="F58" s="447" t="s">
        <v>1890</v>
      </c>
      <c r="G58" s="448"/>
      <c r="H58" s="448"/>
      <c r="I58" s="448" t="s">
        <v>1893</v>
      </c>
    </row>
    <row r="59" spans="1:9" x14ac:dyDescent="0.3">
      <c r="A59" s="443" t="s">
        <v>1940</v>
      </c>
      <c r="B59" s="445" t="s">
        <v>59</v>
      </c>
      <c r="C59" s="445" t="s">
        <v>128</v>
      </c>
      <c r="D59" s="444" t="s">
        <v>385</v>
      </c>
      <c r="E59" s="446">
        <v>142701000</v>
      </c>
      <c r="F59" s="447" t="s">
        <v>1890</v>
      </c>
      <c r="G59" s="448"/>
      <c r="H59" s="448"/>
      <c r="I59" s="448" t="s">
        <v>1923</v>
      </c>
    </row>
    <row r="60" spans="1:9" x14ac:dyDescent="0.3">
      <c r="A60" s="443" t="s">
        <v>1941</v>
      </c>
      <c r="B60" s="445" t="s">
        <v>59</v>
      </c>
      <c r="C60" s="445" t="s">
        <v>128</v>
      </c>
      <c r="D60" s="444" t="s">
        <v>529</v>
      </c>
      <c r="E60" s="446">
        <v>142702000</v>
      </c>
      <c r="F60" s="447" t="s">
        <v>1890</v>
      </c>
      <c r="G60" s="448"/>
      <c r="H60" s="448"/>
      <c r="I60" s="448" t="s">
        <v>1923</v>
      </c>
    </row>
    <row r="61" spans="1:9" x14ac:dyDescent="0.3">
      <c r="A61" s="443" t="s">
        <v>1942</v>
      </c>
      <c r="B61" s="445" t="s">
        <v>59</v>
      </c>
      <c r="C61" s="445" t="s">
        <v>128</v>
      </c>
      <c r="D61" s="444" t="s">
        <v>596</v>
      </c>
      <c r="E61" s="446">
        <v>142703000</v>
      </c>
      <c r="F61" s="447" t="s">
        <v>1890</v>
      </c>
      <c r="G61" s="448"/>
      <c r="H61" s="448"/>
      <c r="I61" s="448" t="s">
        <v>1923</v>
      </c>
    </row>
    <row r="62" spans="1:9" x14ac:dyDescent="0.3">
      <c r="A62" s="443" t="s">
        <v>1943</v>
      </c>
      <c r="B62" s="445" t="s">
        <v>59</v>
      </c>
      <c r="C62" s="445" t="s">
        <v>128</v>
      </c>
      <c r="D62" s="444" t="s">
        <v>663</v>
      </c>
      <c r="E62" s="446">
        <v>142704000</v>
      </c>
      <c r="F62" s="447" t="s">
        <v>1890</v>
      </c>
      <c r="G62" s="448"/>
      <c r="H62" s="448"/>
      <c r="I62" s="448" t="s">
        <v>1923</v>
      </c>
    </row>
    <row r="63" spans="1:9" x14ac:dyDescent="0.3">
      <c r="A63" s="443" t="s">
        <v>1944</v>
      </c>
      <c r="B63" s="445" t="s">
        <v>59</v>
      </c>
      <c r="C63" s="445" t="s">
        <v>128</v>
      </c>
      <c r="D63" s="444" t="s">
        <v>727</v>
      </c>
      <c r="E63" s="446">
        <v>142705000</v>
      </c>
      <c r="F63" s="447" t="s">
        <v>1890</v>
      </c>
      <c r="G63" s="448"/>
      <c r="H63" s="448"/>
      <c r="I63" s="448" t="s">
        <v>1923</v>
      </c>
    </row>
    <row r="64" spans="1:9" x14ac:dyDescent="0.3">
      <c r="A64" s="443" t="s">
        <v>1945</v>
      </c>
      <c r="B64" s="445" t="s">
        <v>59</v>
      </c>
      <c r="C64" s="445" t="s">
        <v>128</v>
      </c>
      <c r="D64" s="444" t="s">
        <v>790</v>
      </c>
      <c r="E64" s="446">
        <v>142706000</v>
      </c>
      <c r="F64" s="447" t="s">
        <v>1890</v>
      </c>
      <c r="G64" s="448"/>
      <c r="H64" s="448"/>
      <c r="I64" s="448" t="s">
        <v>1923</v>
      </c>
    </row>
    <row r="65" spans="1:9" x14ac:dyDescent="0.3">
      <c r="A65" s="443" t="s">
        <v>1946</v>
      </c>
      <c r="B65" s="445" t="s">
        <v>59</v>
      </c>
      <c r="C65" s="445" t="s">
        <v>128</v>
      </c>
      <c r="D65" s="444" t="s">
        <v>1947</v>
      </c>
      <c r="E65" s="446">
        <v>142707000</v>
      </c>
      <c r="F65" s="447" t="s">
        <v>1890</v>
      </c>
      <c r="G65" s="448" t="s">
        <v>1948</v>
      </c>
      <c r="H65" s="448"/>
      <c r="I65" s="448" t="s">
        <v>1927</v>
      </c>
    </row>
    <row r="66" spans="1:9" x14ac:dyDescent="0.3">
      <c r="A66" s="443" t="s">
        <v>1949</v>
      </c>
      <c r="B66" s="445" t="s">
        <v>59</v>
      </c>
      <c r="C66" s="445" t="s">
        <v>128</v>
      </c>
      <c r="D66" s="444" t="s">
        <v>163</v>
      </c>
      <c r="E66" s="446">
        <v>142708000</v>
      </c>
      <c r="F66" s="447" t="s">
        <v>1890</v>
      </c>
      <c r="G66" s="448"/>
      <c r="H66" s="448"/>
      <c r="I66" s="448" t="s">
        <v>1874</v>
      </c>
    </row>
    <row r="67" spans="1:9" x14ac:dyDescent="0.3">
      <c r="A67" s="443" t="s">
        <v>1950</v>
      </c>
      <c r="B67" s="445" t="s">
        <v>59</v>
      </c>
      <c r="C67" s="445" t="s">
        <v>128</v>
      </c>
      <c r="D67" s="444" t="s">
        <v>455</v>
      </c>
      <c r="E67" s="446">
        <v>142709000</v>
      </c>
      <c r="F67" s="447" t="s">
        <v>1890</v>
      </c>
      <c r="G67" s="448"/>
      <c r="H67" s="448"/>
      <c r="I67" s="448" t="s">
        <v>1893</v>
      </c>
    </row>
    <row r="68" spans="1:9" x14ac:dyDescent="0.3">
      <c r="A68" s="443" t="s">
        <v>1951</v>
      </c>
      <c r="B68" s="445" t="s">
        <v>59</v>
      </c>
      <c r="C68" s="445" t="s">
        <v>128</v>
      </c>
      <c r="D68" s="444" t="s">
        <v>849</v>
      </c>
      <c r="E68" s="446">
        <v>142710000</v>
      </c>
      <c r="F68" s="447" t="s">
        <v>1890</v>
      </c>
      <c r="G68" s="448"/>
      <c r="H68" s="448"/>
      <c r="I68" s="448" t="s">
        <v>1923</v>
      </c>
    </row>
    <row r="69" spans="1:9" x14ac:dyDescent="0.3">
      <c r="A69" s="443" t="s">
        <v>1952</v>
      </c>
      <c r="B69" s="445" t="s">
        <v>59</v>
      </c>
      <c r="C69" s="445" t="s">
        <v>128</v>
      </c>
      <c r="D69" s="444" t="s">
        <v>311</v>
      </c>
      <c r="E69" s="446">
        <v>142711000</v>
      </c>
      <c r="F69" s="447" t="s">
        <v>1890</v>
      </c>
      <c r="G69" s="448"/>
      <c r="H69" s="448"/>
      <c r="I69" s="448" t="s">
        <v>1893</v>
      </c>
    </row>
    <row r="70" spans="1:9" x14ac:dyDescent="0.3">
      <c r="A70" s="443" t="s">
        <v>1953</v>
      </c>
      <c r="B70" s="445" t="s">
        <v>59</v>
      </c>
      <c r="C70" s="445" t="s">
        <v>142</v>
      </c>
      <c r="D70" s="444" t="s">
        <v>164</v>
      </c>
      <c r="E70" s="446">
        <v>143201000</v>
      </c>
      <c r="F70" s="447" t="s">
        <v>1890</v>
      </c>
      <c r="G70" s="448"/>
      <c r="H70" s="448"/>
      <c r="I70" s="448" t="s">
        <v>1927</v>
      </c>
    </row>
    <row r="71" spans="1:9" x14ac:dyDescent="0.3">
      <c r="A71" s="443" t="s">
        <v>1954</v>
      </c>
      <c r="B71" s="445" t="s">
        <v>59</v>
      </c>
      <c r="C71" s="445" t="s">
        <v>142</v>
      </c>
      <c r="D71" s="444" t="s">
        <v>312</v>
      </c>
      <c r="E71" s="446">
        <v>143206000</v>
      </c>
      <c r="F71" s="447" t="s">
        <v>1890</v>
      </c>
      <c r="G71" s="448"/>
      <c r="H71" s="448"/>
      <c r="I71" s="448" t="s">
        <v>1923</v>
      </c>
    </row>
    <row r="72" spans="1:9" x14ac:dyDescent="0.3">
      <c r="A72" s="443" t="s">
        <v>1955</v>
      </c>
      <c r="B72" s="445" t="s">
        <v>59</v>
      </c>
      <c r="C72" s="445" t="s">
        <v>142</v>
      </c>
      <c r="D72" s="444" t="s">
        <v>386</v>
      </c>
      <c r="E72" s="446">
        <v>143208000</v>
      </c>
      <c r="F72" s="447" t="s">
        <v>1890</v>
      </c>
      <c r="G72" s="448"/>
      <c r="H72" s="448"/>
      <c r="I72" s="448" t="s">
        <v>1893</v>
      </c>
    </row>
    <row r="73" spans="1:9" x14ac:dyDescent="0.3">
      <c r="A73" s="443" t="s">
        <v>1956</v>
      </c>
      <c r="B73" s="445" t="s">
        <v>59</v>
      </c>
      <c r="C73" s="445" t="s">
        <v>142</v>
      </c>
      <c r="D73" s="444" t="s">
        <v>456</v>
      </c>
      <c r="E73" s="446">
        <v>143209000</v>
      </c>
      <c r="F73" s="447" t="s">
        <v>1890</v>
      </c>
      <c r="G73" s="448"/>
      <c r="H73" s="448"/>
      <c r="I73" s="448" t="s">
        <v>1856</v>
      </c>
    </row>
    <row r="74" spans="1:9" x14ac:dyDescent="0.3">
      <c r="A74" s="443" t="s">
        <v>1957</v>
      </c>
      <c r="B74" s="445" t="s">
        <v>59</v>
      </c>
      <c r="C74" s="445" t="s">
        <v>142</v>
      </c>
      <c r="D74" s="444" t="s">
        <v>145</v>
      </c>
      <c r="E74" s="446">
        <v>143211000</v>
      </c>
      <c r="F74" s="447" t="s">
        <v>1890</v>
      </c>
      <c r="G74" s="448" t="s">
        <v>1958</v>
      </c>
      <c r="H74" s="448"/>
      <c r="I74" s="448" t="s">
        <v>1923</v>
      </c>
    </row>
    <row r="75" spans="1:9" x14ac:dyDescent="0.3">
      <c r="A75" s="443" t="s">
        <v>1959</v>
      </c>
      <c r="B75" s="445" t="s">
        <v>59</v>
      </c>
      <c r="C75" s="445" t="s">
        <v>142</v>
      </c>
      <c r="D75" s="444" t="s">
        <v>1960</v>
      </c>
      <c r="E75" s="446">
        <v>143213000</v>
      </c>
      <c r="F75" s="447" t="s">
        <v>1854</v>
      </c>
      <c r="G75" s="448"/>
      <c r="H75" s="448" t="s">
        <v>1961</v>
      </c>
      <c r="I75" s="448" t="s">
        <v>1893</v>
      </c>
    </row>
    <row r="76" spans="1:9" x14ac:dyDescent="0.3">
      <c r="A76" s="443" t="s">
        <v>1962</v>
      </c>
      <c r="B76" s="445" t="s">
        <v>59</v>
      </c>
      <c r="C76" s="445" t="s">
        <v>142</v>
      </c>
      <c r="D76" s="444" t="s">
        <v>597</v>
      </c>
      <c r="E76" s="446">
        <v>143214000</v>
      </c>
      <c r="F76" s="447" t="s">
        <v>1890</v>
      </c>
      <c r="G76" s="448"/>
      <c r="H76" s="448"/>
      <c r="I76" s="448" t="s">
        <v>1923</v>
      </c>
    </row>
    <row r="77" spans="1:9" x14ac:dyDescent="0.3">
      <c r="A77" s="443" t="s">
        <v>1963</v>
      </c>
      <c r="B77" s="445" t="s">
        <v>59</v>
      </c>
      <c r="C77" s="445" t="s">
        <v>142</v>
      </c>
      <c r="D77" s="444" t="s">
        <v>664</v>
      </c>
      <c r="E77" s="446">
        <v>143215000</v>
      </c>
      <c r="F77" s="447" t="s">
        <v>1890</v>
      </c>
      <c r="G77" s="448"/>
      <c r="H77" s="448"/>
      <c r="I77" s="448" t="s">
        <v>1923</v>
      </c>
    </row>
    <row r="78" spans="1:9" x14ac:dyDescent="0.3">
      <c r="A78" s="443" t="s">
        <v>1964</v>
      </c>
      <c r="B78" s="445" t="s">
        <v>59</v>
      </c>
      <c r="C78" s="445" t="s">
        <v>1965</v>
      </c>
      <c r="D78" s="444" t="s">
        <v>165</v>
      </c>
      <c r="E78" s="446">
        <v>144401000</v>
      </c>
      <c r="F78" s="447" t="s">
        <v>1890</v>
      </c>
      <c r="G78" s="448"/>
      <c r="H78" s="448"/>
      <c r="I78" s="448" t="s">
        <v>1893</v>
      </c>
    </row>
    <row r="79" spans="1:9" x14ac:dyDescent="0.3">
      <c r="A79" s="443" t="s">
        <v>1966</v>
      </c>
      <c r="B79" s="445" t="s">
        <v>59</v>
      </c>
      <c r="C79" s="445" t="s">
        <v>1965</v>
      </c>
      <c r="D79" s="444" t="s">
        <v>240</v>
      </c>
      <c r="E79" s="446">
        <v>144402000</v>
      </c>
      <c r="F79" s="447" t="s">
        <v>1890</v>
      </c>
      <c r="G79" s="448"/>
      <c r="H79" s="448"/>
      <c r="I79" s="448" t="s">
        <v>1923</v>
      </c>
    </row>
    <row r="80" spans="1:9" x14ac:dyDescent="0.3">
      <c r="A80" s="443" t="s">
        <v>1967</v>
      </c>
      <c r="B80" s="445" t="s">
        <v>59</v>
      </c>
      <c r="C80" s="445" t="s">
        <v>1965</v>
      </c>
      <c r="D80" s="444" t="s">
        <v>313</v>
      </c>
      <c r="E80" s="446">
        <v>144403000</v>
      </c>
      <c r="F80" s="447" t="s">
        <v>1890</v>
      </c>
      <c r="G80" s="448"/>
      <c r="H80" s="448"/>
      <c r="I80" s="448" t="s">
        <v>1893</v>
      </c>
    </row>
    <row r="81" spans="1:9" x14ac:dyDescent="0.3">
      <c r="A81" s="443" t="s">
        <v>1968</v>
      </c>
      <c r="B81" s="445" t="s">
        <v>59</v>
      </c>
      <c r="C81" s="445" t="s">
        <v>1965</v>
      </c>
      <c r="D81" s="444" t="s">
        <v>283</v>
      </c>
      <c r="E81" s="446">
        <v>144404000</v>
      </c>
      <c r="F81" s="447" t="s">
        <v>1890</v>
      </c>
      <c r="G81" s="448"/>
      <c r="H81" s="448"/>
      <c r="I81" s="448" t="s">
        <v>1874</v>
      </c>
    </row>
    <row r="82" spans="1:9" x14ac:dyDescent="0.3">
      <c r="A82" s="443" t="s">
        <v>1969</v>
      </c>
      <c r="B82" s="445" t="s">
        <v>59</v>
      </c>
      <c r="C82" s="445" t="s">
        <v>1965</v>
      </c>
      <c r="D82" s="444" t="s">
        <v>457</v>
      </c>
      <c r="E82" s="446">
        <v>144405000</v>
      </c>
      <c r="F82" s="447" t="s">
        <v>1890</v>
      </c>
      <c r="G82" s="448"/>
      <c r="H82" s="448"/>
      <c r="I82" s="448" t="s">
        <v>1923</v>
      </c>
    </row>
    <row r="83" spans="1:9" x14ac:dyDescent="0.3">
      <c r="A83" s="443" t="s">
        <v>1970</v>
      </c>
      <c r="B83" s="445" t="s">
        <v>59</v>
      </c>
      <c r="C83" s="445" t="s">
        <v>1965</v>
      </c>
      <c r="D83" s="444" t="s">
        <v>530</v>
      </c>
      <c r="E83" s="446">
        <v>144406000</v>
      </c>
      <c r="F83" s="447" t="s">
        <v>1890</v>
      </c>
      <c r="G83" s="448"/>
      <c r="H83" s="448"/>
      <c r="I83" s="448" t="s">
        <v>1874</v>
      </c>
    </row>
    <row r="84" spans="1:9" x14ac:dyDescent="0.3">
      <c r="A84" s="443" t="s">
        <v>1971</v>
      </c>
      <c r="B84" s="445" t="s">
        <v>59</v>
      </c>
      <c r="C84" s="445" t="s">
        <v>1965</v>
      </c>
      <c r="D84" s="444" t="s">
        <v>598</v>
      </c>
      <c r="E84" s="446">
        <v>144407000</v>
      </c>
      <c r="F84" s="447" t="s">
        <v>1890</v>
      </c>
      <c r="G84" s="448"/>
      <c r="H84" s="448"/>
      <c r="I84" s="448" t="s">
        <v>1893</v>
      </c>
    </row>
    <row r="85" spans="1:9" x14ac:dyDescent="0.3">
      <c r="A85" s="443" t="s">
        <v>1972</v>
      </c>
      <c r="B85" s="445" t="s">
        <v>59</v>
      </c>
      <c r="C85" s="445" t="s">
        <v>1965</v>
      </c>
      <c r="D85" s="444" t="s">
        <v>665</v>
      </c>
      <c r="E85" s="446">
        <v>144408000</v>
      </c>
      <c r="F85" s="447" t="s">
        <v>1890</v>
      </c>
      <c r="G85" s="448"/>
      <c r="H85" s="448"/>
      <c r="I85" s="448" t="s">
        <v>1893</v>
      </c>
    </row>
    <row r="86" spans="1:9" x14ac:dyDescent="0.3">
      <c r="A86" s="443" t="s">
        <v>1973</v>
      </c>
      <c r="B86" s="445" t="s">
        <v>59</v>
      </c>
      <c r="C86" s="445" t="s">
        <v>1965</v>
      </c>
      <c r="D86" s="444" t="s">
        <v>728</v>
      </c>
      <c r="E86" s="446">
        <v>144409000</v>
      </c>
      <c r="F86" s="447" t="s">
        <v>1890</v>
      </c>
      <c r="G86" s="448"/>
      <c r="H86" s="448"/>
      <c r="I86" s="448" t="s">
        <v>1893</v>
      </c>
    </row>
    <row r="87" spans="1:9" x14ac:dyDescent="0.3">
      <c r="A87" s="443" t="s">
        <v>1974</v>
      </c>
      <c r="B87" s="445" t="s">
        <v>59</v>
      </c>
      <c r="C87" s="445" t="s">
        <v>1965</v>
      </c>
      <c r="D87" s="444" t="s">
        <v>791</v>
      </c>
      <c r="E87" s="446">
        <v>144410000</v>
      </c>
      <c r="F87" s="447" t="s">
        <v>1890</v>
      </c>
      <c r="G87" s="448"/>
      <c r="H87" s="448"/>
      <c r="I87" s="448" t="s">
        <v>1923</v>
      </c>
    </row>
    <row r="88" spans="1:9" x14ac:dyDescent="0.3">
      <c r="A88" s="443" t="s">
        <v>1975</v>
      </c>
      <c r="B88" s="445" t="s">
        <v>59</v>
      </c>
      <c r="C88" s="445" t="s">
        <v>95</v>
      </c>
      <c r="D88" s="444" t="s">
        <v>161</v>
      </c>
      <c r="E88" s="446">
        <v>148101000</v>
      </c>
      <c r="F88" s="447" t="s">
        <v>1890</v>
      </c>
      <c r="G88" s="448" t="s">
        <v>1976</v>
      </c>
      <c r="H88" s="448"/>
      <c r="I88" s="448" t="s">
        <v>1856</v>
      </c>
    </row>
    <row r="89" spans="1:9" x14ac:dyDescent="0.3">
      <c r="A89" s="443" t="s">
        <v>1977</v>
      </c>
      <c r="B89" s="445" t="s">
        <v>59</v>
      </c>
      <c r="C89" s="445" t="s">
        <v>95</v>
      </c>
      <c r="D89" s="444" t="s">
        <v>236</v>
      </c>
      <c r="E89" s="446">
        <v>148102000</v>
      </c>
      <c r="F89" s="447" t="s">
        <v>1890</v>
      </c>
      <c r="G89" s="448"/>
      <c r="H89" s="448"/>
      <c r="I89" s="448" t="s">
        <v>1874</v>
      </c>
    </row>
    <row r="90" spans="1:9" x14ac:dyDescent="0.3">
      <c r="A90" s="443" t="s">
        <v>1978</v>
      </c>
      <c r="B90" s="445" t="s">
        <v>59</v>
      </c>
      <c r="C90" s="445" t="s">
        <v>95</v>
      </c>
      <c r="D90" s="444" t="s">
        <v>309</v>
      </c>
      <c r="E90" s="446">
        <v>148103000</v>
      </c>
      <c r="F90" s="447" t="s">
        <v>1890</v>
      </c>
      <c r="G90" s="448"/>
      <c r="H90" s="448"/>
      <c r="I90" s="448" t="s">
        <v>1927</v>
      </c>
    </row>
    <row r="91" spans="1:9" x14ac:dyDescent="0.3">
      <c r="A91" s="443" t="s">
        <v>1979</v>
      </c>
      <c r="B91" s="445" t="s">
        <v>59</v>
      </c>
      <c r="C91" s="445" t="s">
        <v>95</v>
      </c>
      <c r="D91" s="444" t="s">
        <v>383</v>
      </c>
      <c r="E91" s="446">
        <v>148104000</v>
      </c>
      <c r="F91" s="447" t="s">
        <v>1890</v>
      </c>
      <c r="G91" s="448"/>
      <c r="H91" s="448"/>
      <c r="I91" s="448" t="s">
        <v>1856</v>
      </c>
    </row>
    <row r="92" spans="1:9" x14ac:dyDescent="0.3">
      <c r="A92" s="443" t="s">
        <v>1980</v>
      </c>
      <c r="B92" s="445" t="s">
        <v>59</v>
      </c>
      <c r="C92" s="445" t="s">
        <v>95</v>
      </c>
      <c r="D92" s="444" t="s">
        <v>453</v>
      </c>
      <c r="E92" s="446">
        <v>148105000</v>
      </c>
      <c r="F92" s="447" t="s">
        <v>1890</v>
      </c>
      <c r="G92" s="448"/>
      <c r="H92" s="448"/>
      <c r="I92" s="448" t="s">
        <v>1874</v>
      </c>
    </row>
    <row r="93" spans="1:9" x14ac:dyDescent="0.3">
      <c r="A93" s="443" t="s">
        <v>1981</v>
      </c>
      <c r="B93" s="445" t="s">
        <v>59</v>
      </c>
      <c r="C93" s="445" t="s">
        <v>95</v>
      </c>
      <c r="D93" s="444" t="s">
        <v>527</v>
      </c>
      <c r="E93" s="446">
        <v>148106000</v>
      </c>
      <c r="F93" s="447" t="s">
        <v>1890</v>
      </c>
      <c r="G93" s="448"/>
      <c r="H93" s="448"/>
      <c r="I93" s="448" t="s">
        <v>1923</v>
      </c>
    </row>
    <row r="94" spans="1:9" x14ac:dyDescent="0.3">
      <c r="A94" s="443" t="s">
        <v>1982</v>
      </c>
      <c r="B94" s="445" t="s">
        <v>59</v>
      </c>
      <c r="C94" s="445" t="s">
        <v>95</v>
      </c>
      <c r="D94" s="444" t="s">
        <v>1983</v>
      </c>
      <c r="E94" s="446">
        <v>148107000</v>
      </c>
      <c r="F94" s="447" t="s">
        <v>1890</v>
      </c>
      <c r="G94" s="448"/>
      <c r="H94" s="448"/>
      <c r="I94" s="448" t="s">
        <v>1923</v>
      </c>
    </row>
    <row r="95" spans="1:9" x14ac:dyDescent="0.3">
      <c r="A95" s="443" t="s">
        <v>1984</v>
      </c>
      <c r="B95" s="445" t="s">
        <v>59</v>
      </c>
      <c r="C95" s="445" t="s">
        <v>112</v>
      </c>
      <c r="D95" s="444" t="s">
        <v>1985</v>
      </c>
      <c r="E95" s="446">
        <v>141102000</v>
      </c>
      <c r="F95" s="447" t="s">
        <v>1854</v>
      </c>
      <c r="G95" s="448"/>
      <c r="H95" s="448" t="s">
        <v>1855</v>
      </c>
      <c r="I95" s="448" t="s">
        <v>1856</v>
      </c>
    </row>
    <row r="96" spans="1:9" ht="27" x14ac:dyDescent="0.3">
      <c r="A96" s="443" t="s">
        <v>1986</v>
      </c>
      <c r="B96" s="445" t="s">
        <v>1987</v>
      </c>
      <c r="C96" s="445" t="s">
        <v>1988</v>
      </c>
      <c r="D96" s="444" t="s">
        <v>166</v>
      </c>
      <c r="E96" s="446" t="s">
        <v>1989</v>
      </c>
      <c r="F96" s="447" t="s">
        <v>1890</v>
      </c>
      <c r="G96" s="448"/>
      <c r="H96" s="448"/>
      <c r="I96" s="448" t="s">
        <v>1893</v>
      </c>
    </row>
    <row r="97" spans="1:9" ht="27" x14ac:dyDescent="0.3">
      <c r="A97" s="443" t="s">
        <v>1990</v>
      </c>
      <c r="B97" s="445" t="s">
        <v>1987</v>
      </c>
      <c r="C97" s="445" t="s">
        <v>1988</v>
      </c>
      <c r="D97" s="444" t="s">
        <v>241</v>
      </c>
      <c r="E97" s="446" t="s">
        <v>1991</v>
      </c>
      <c r="F97" s="447" t="s">
        <v>1890</v>
      </c>
      <c r="G97" s="448"/>
      <c r="H97" s="448"/>
      <c r="I97" s="448" t="s">
        <v>1927</v>
      </c>
    </row>
    <row r="98" spans="1:9" ht="27" x14ac:dyDescent="0.3">
      <c r="A98" s="443" t="s">
        <v>1992</v>
      </c>
      <c r="B98" s="445" t="s">
        <v>1987</v>
      </c>
      <c r="C98" s="445" t="s">
        <v>1988</v>
      </c>
      <c r="D98" s="444" t="s">
        <v>314</v>
      </c>
      <c r="E98" s="446" t="s">
        <v>1993</v>
      </c>
      <c r="F98" s="447" t="s">
        <v>1890</v>
      </c>
      <c r="G98" s="448"/>
      <c r="H98" s="448"/>
      <c r="I98" s="448" t="s">
        <v>1927</v>
      </c>
    </row>
    <row r="99" spans="1:9" ht="27" x14ac:dyDescent="0.3">
      <c r="A99" s="443" t="s">
        <v>1994</v>
      </c>
      <c r="B99" s="445" t="s">
        <v>1987</v>
      </c>
      <c r="C99" s="445" t="s">
        <v>1988</v>
      </c>
      <c r="D99" s="444" t="s">
        <v>387</v>
      </c>
      <c r="E99" s="446" t="s">
        <v>1995</v>
      </c>
      <c r="F99" s="447" t="s">
        <v>1890</v>
      </c>
      <c r="G99" s="448"/>
      <c r="H99" s="448"/>
      <c r="I99" s="448" t="s">
        <v>1923</v>
      </c>
    </row>
    <row r="100" spans="1:9" ht="27" x14ac:dyDescent="0.3">
      <c r="A100" s="443" t="s">
        <v>1996</v>
      </c>
      <c r="B100" s="445" t="s">
        <v>1987</v>
      </c>
      <c r="C100" s="445" t="s">
        <v>1988</v>
      </c>
      <c r="D100" s="444" t="s">
        <v>1997</v>
      </c>
      <c r="E100" s="446" t="s">
        <v>1998</v>
      </c>
      <c r="F100" s="447" t="s">
        <v>1854</v>
      </c>
      <c r="G100" s="448"/>
      <c r="H100" s="448" t="s">
        <v>1961</v>
      </c>
      <c r="I100" s="448" t="s">
        <v>1893</v>
      </c>
    </row>
    <row r="101" spans="1:9" ht="27" x14ac:dyDescent="0.3">
      <c r="A101" s="443" t="s">
        <v>1999</v>
      </c>
      <c r="B101" s="445" t="s">
        <v>1987</v>
      </c>
      <c r="C101" s="445" t="s">
        <v>1988</v>
      </c>
      <c r="D101" s="444" t="s">
        <v>377</v>
      </c>
      <c r="E101" s="446" t="s">
        <v>2000</v>
      </c>
      <c r="F101" s="447" t="s">
        <v>1890</v>
      </c>
      <c r="G101" s="448"/>
      <c r="H101" s="448"/>
      <c r="I101" s="448" t="s">
        <v>1893</v>
      </c>
    </row>
    <row r="102" spans="1:9" ht="27" x14ac:dyDescent="0.3">
      <c r="A102" s="443" t="s">
        <v>2001</v>
      </c>
      <c r="B102" s="445" t="s">
        <v>1987</v>
      </c>
      <c r="C102" s="445" t="s">
        <v>1988</v>
      </c>
      <c r="D102" s="444" t="s">
        <v>599</v>
      </c>
      <c r="E102" s="446" t="s">
        <v>2002</v>
      </c>
      <c r="F102" s="447" t="s">
        <v>1890</v>
      </c>
      <c r="G102" s="448"/>
      <c r="H102" s="448"/>
      <c r="I102" s="448" t="s">
        <v>1893</v>
      </c>
    </row>
    <row r="103" spans="1:9" ht="27" x14ac:dyDescent="0.3">
      <c r="A103" s="443" t="s">
        <v>2003</v>
      </c>
      <c r="B103" s="445" t="s">
        <v>1987</v>
      </c>
      <c r="C103" s="445" t="s">
        <v>1988</v>
      </c>
      <c r="D103" s="444" t="s">
        <v>792</v>
      </c>
      <c r="E103" s="446" t="s">
        <v>2004</v>
      </c>
      <c r="F103" s="447" t="s">
        <v>1890</v>
      </c>
      <c r="G103" s="448"/>
      <c r="H103" s="448"/>
      <c r="I103" s="448" t="s">
        <v>1923</v>
      </c>
    </row>
    <row r="104" spans="1:9" ht="27" x14ac:dyDescent="0.3">
      <c r="A104" s="443" t="s">
        <v>2005</v>
      </c>
      <c r="B104" s="445" t="s">
        <v>1987</v>
      </c>
      <c r="C104" s="445" t="s">
        <v>1988</v>
      </c>
      <c r="D104" s="444" t="s">
        <v>850</v>
      </c>
      <c r="E104" s="446" t="s">
        <v>2006</v>
      </c>
      <c r="F104" s="447" t="s">
        <v>1890</v>
      </c>
      <c r="G104" s="448"/>
      <c r="H104" s="448"/>
      <c r="I104" s="448" t="s">
        <v>1874</v>
      </c>
    </row>
    <row r="105" spans="1:9" ht="27" x14ac:dyDescent="0.3">
      <c r="A105" s="443" t="s">
        <v>2007</v>
      </c>
      <c r="B105" s="445" t="s">
        <v>1987</v>
      </c>
      <c r="C105" s="445" t="s">
        <v>1988</v>
      </c>
      <c r="D105" s="444" t="s">
        <v>905</v>
      </c>
      <c r="E105" s="446" t="s">
        <v>2008</v>
      </c>
      <c r="F105" s="447" t="s">
        <v>1890</v>
      </c>
      <c r="G105" s="448"/>
      <c r="H105" s="448"/>
      <c r="I105" s="448" t="s">
        <v>1893</v>
      </c>
    </row>
    <row r="106" spans="1:9" ht="27" x14ac:dyDescent="0.3">
      <c r="A106" s="443" t="s">
        <v>2009</v>
      </c>
      <c r="B106" s="445" t="s">
        <v>1987</v>
      </c>
      <c r="C106" s="445" t="s">
        <v>1988</v>
      </c>
      <c r="D106" s="444" t="s">
        <v>458</v>
      </c>
      <c r="E106" s="446" t="s">
        <v>2010</v>
      </c>
      <c r="F106" s="447" t="s">
        <v>1890</v>
      </c>
      <c r="G106" s="448" t="s">
        <v>2011</v>
      </c>
      <c r="H106" s="448"/>
      <c r="I106" s="448" t="s">
        <v>1923</v>
      </c>
    </row>
    <row r="107" spans="1:9" ht="27" x14ac:dyDescent="0.3">
      <c r="A107" s="443" t="s">
        <v>2012</v>
      </c>
      <c r="B107" s="445" t="s">
        <v>1987</v>
      </c>
      <c r="C107" s="445" t="s">
        <v>1988</v>
      </c>
      <c r="D107" s="444" t="s">
        <v>2013</v>
      </c>
      <c r="E107" s="446" t="s">
        <v>2014</v>
      </c>
      <c r="F107" s="447" t="s">
        <v>1854</v>
      </c>
      <c r="G107" s="448"/>
      <c r="H107" s="448" t="s">
        <v>1961</v>
      </c>
      <c r="I107" s="448" t="s">
        <v>1927</v>
      </c>
    </row>
    <row r="108" spans="1:9" ht="27" x14ac:dyDescent="0.3">
      <c r="A108" s="443" t="s">
        <v>2015</v>
      </c>
      <c r="B108" s="445" t="s">
        <v>1987</v>
      </c>
      <c r="C108" s="445" t="s">
        <v>1988</v>
      </c>
      <c r="D108" s="444" t="s">
        <v>958</v>
      </c>
      <c r="E108" s="446" t="s">
        <v>2016</v>
      </c>
      <c r="F108" s="447" t="s">
        <v>1890</v>
      </c>
      <c r="G108" s="448"/>
      <c r="H108" s="448"/>
      <c r="I108" s="448" t="s">
        <v>1923</v>
      </c>
    </row>
    <row r="109" spans="1:9" ht="27" x14ac:dyDescent="0.3">
      <c r="A109" s="443" t="s">
        <v>2017</v>
      </c>
      <c r="B109" s="445" t="s">
        <v>1987</v>
      </c>
      <c r="C109" s="445" t="s">
        <v>1988</v>
      </c>
      <c r="D109" s="444" t="s">
        <v>2018</v>
      </c>
      <c r="E109" s="446" t="s">
        <v>2019</v>
      </c>
      <c r="F109" s="447" t="s">
        <v>1890</v>
      </c>
      <c r="G109" s="448"/>
      <c r="H109" s="448"/>
      <c r="I109" s="448" t="s">
        <v>1927</v>
      </c>
    </row>
    <row r="110" spans="1:9" ht="27" x14ac:dyDescent="0.3">
      <c r="A110" s="443" t="s">
        <v>2020</v>
      </c>
      <c r="B110" s="445" t="s">
        <v>1987</v>
      </c>
      <c r="C110" s="445" t="s">
        <v>1988</v>
      </c>
      <c r="D110" s="444" t="s">
        <v>1051</v>
      </c>
      <c r="E110" s="446" t="s">
        <v>2021</v>
      </c>
      <c r="F110" s="447" t="s">
        <v>1890</v>
      </c>
      <c r="G110" s="448"/>
      <c r="H110" s="448"/>
      <c r="I110" s="448" t="s">
        <v>1923</v>
      </c>
    </row>
    <row r="111" spans="1:9" ht="27" x14ac:dyDescent="0.3">
      <c r="A111" s="443" t="s">
        <v>2022</v>
      </c>
      <c r="B111" s="445" t="s">
        <v>1987</v>
      </c>
      <c r="C111" s="445" t="s">
        <v>1988</v>
      </c>
      <c r="D111" s="444" t="s">
        <v>1091</v>
      </c>
      <c r="E111" s="446" t="s">
        <v>2023</v>
      </c>
      <c r="F111" s="447" t="s">
        <v>1890</v>
      </c>
      <c r="G111" s="448"/>
      <c r="H111" s="448"/>
      <c r="I111" s="448" t="s">
        <v>1923</v>
      </c>
    </row>
    <row r="112" spans="1:9" ht="27" x14ac:dyDescent="0.3">
      <c r="A112" s="443" t="s">
        <v>2024</v>
      </c>
      <c r="B112" s="445" t="s">
        <v>1987</v>
      </c>
      <c r="C112" s="445" t="s">
        <v>1988</v>
      </c>
      <c r="D112" s="444" t="s">
        <v>1128</v>
      </c>
      <c r="E112" s="446" t="s">
        <v>2025</v>
      </c>
      <c r="F112" s="447" t="s">
        <v>1890</v>
      </c>
      <c r="G112" s="448"/>
      <c r="H112" s="448"/>
      <c r="I112" s="448" t="s">
        <v>1927</v>
      </c>
    </row>
    <row r="113" spans="1:9" ht="27" x14ac:dyDescent="0.3">
      <c r="A113" s="443" t="s">
        <v>2026</v>
      </c>
      <c r="B113" s="445" t="s">
        <v>1987</v>
      </c>
      <c r="C113" s="445" t="s">
        <v>1988</v>
      </c>
      <c r="D113" s="444" t="s">
        <v>1162</v>
      </c>
      <c r="E113" s="446" t="s">
        <v>2027</v>
      </c>
      <c r="F113" s="447" t="s">
        <v>1890</v>
      </c>
      <c r="G113" s="448"/>
      <c r="H113" s="448"/>
      <c r="I113" s="448" t="s">
        <v>1927</v>
      </c>
    </row>
    <row r="114" spans="1:9" ht="27" x14ac:dyDescent="0.3">
      <c r="A114" s="443" t="s">
        <v>2028</v>
      </c>
      <c r="B114" s="445" t="s">
        <v>1987</v>
      </c>
      <c r="C114" s="445" t="s">
        <v>1988</v>
      </c>
      <c r="D114" s="444" t="s">
        <v>1192</v>
      </c>
      <c r="E114" s="446" t="s">
        <v>2029</v>
      </c>
      <c r="F114" s="447" t="s">
        <v>1890</v>
      </c>
      <c r="G114" s="448"/>
      <c r="H114" s="448"/>
      <c r="I114" s="448" t="s">
        <v>1927</v>
      </c>
    </row>
    <row r="115" spans="1:9" ht="27" x14ac:dyDescent="0.3">
      <c r="A115" s="443" t="s">
        <v>2030</v>
      </c>
      <c r="B115" s="445" t="s">
        <v>1987</v>
      </c>
      <c r="C115" s="445" t="s">
        <v>1988</v>
      </c>
      <c r="D115" s="444" t="s">
        <v>2031</v>
      </c>
      <c r="E115" s="446" t="s">
        <v>2032</v>
      </c>
      <c r="F115" s="447" t="s">
        <v>1890</v>
      </c>
      <c r="G115" s="448"/>
      <c r="H115" s="448"/>
      <c r="I115" s="448" t="s">
        <v>1874</v>
      </c>
    </row>
    <row r="116" spans="1:9" ht="27" x14ac:dyDescent="0.3">
      <c r="A116" s="443" t="s">
        <v>2033</v>
      </c>
      <c r="B116" s="445" t="s">
        <v>1987</v>
      </c>
      <c r="C116" s="445" t="s">
        <v>1988</v>
      </c>
      <c r="D116" s="444" t="s">
        <v>1246</v>
      </c>
      <c r="E116" s="446" t="s">
        <v>2034</v>
      </c>
      <c r="F116" s="447" t="s">
        <v>1890</v>
      </c>
      <c r="G116" s="448"/>
      <c r="H116" s="448"/>
      <c r="I116" s="448" t="s">
        <v>1923</v>
      </c>
    </row>
    <row r="117" spans="1:9" ht="27" x14ac:dyDescent="0.3">
      <c r="A117" s="443" t="s">
        <v>2035</v>
      </c>
      <c r="B117" s="445" t="s">
        <v>1987</v>
      </c>
      <c r="C117" s="445" t="s">
        <v>1988</v>
      </c>
      <c r="D117" s="444" t="s">
        <v>1267</v>
      </c>
      <c r="E117" s="446" t="s">
        <v>2036</v>
      </c>
      <c r="F117" s="447" t="s">
        <v>1890</v>
      </c>
      <c r="G117" s="448"/>
      <c r="H117" s="448"/>
      <c r="I117" s="448" t="s">
        <v>1927</v>
      </c>
    </row>
    <row r="118" spans="1:9" ht="27" x14ac:dyDescent="0.3">
      <c r="A118" s="443" t="s">
        <v>2037</v>
      </c>
      <c r="B118" s="445" t="s">
        <v>1987</v>
      </c>
      <c r="C118" s="445" t="s">
        <v>1988</v>
      </c>
      <c r="D118" s="444" t="s">
        <v>1289</v>
      </c>
      <c r="E118" s="446" t="s">
        <v>2038</v>
      </c>
      <c r="F118" s="447" t="s">
        <v>1890</v>
      </c>
      <c r="G118" s="448"/>
      <c r="H118" s="448"/>
      <c r="I118" s="448" t="s">
        <v>1856</v>
      </c>
    </row>
    <row r="119" spans="1:9" ht="27" x14ac:dyDescent="0.3">
      <c r="A119" s="443" t="s">
        <v>2039</v>
      </c>
      <c r="B119" s="445" t="s">
        <v>1987</v>
      </c>
      <c r="C119" s="444" t="s">
        <v>2040</v>
      </c>
      <c r="D119" s="444" t="s">
        <v>167</v>
      </c>
      <c r="E119" s="446" t="s">
        <v>2041</v>
      </c>
      <c r="F119" s="447" t="s">
        <v>1890</v>
      </c>
      <c r="G119" s="448"/>
      <c r="H119" s="448"/>
      <c r="I119" s="448" t="s">
        <v>1923</v>
      </c>
    </row>
    <row r="120" spans="1:9" ht="27" x14ac:dyDescent="0.3">
      <c r="A120" s="443" t="s">
        <v>2042</v>
      </c>
      <c r="B120" s="445" t="s">
        <v>1987</v>
      </c>
      <c r="C120" s="444" t="s">
        <v>2040</v>
      </c>
      <c r="D120" s="444" t="s">
        <v>242</v>
      </c>
      <c r="E120" s="446" t="s">
        <v>2043</v>
      </c>
      <c r="F120" s="447" t="s">
        <v>1890</v>
      </c>
      <c r="G120" s="448"/>
      <c r="H120" s="448"/>
      <c r="I120" s="448" t="s">
        <v>1923</v>
      </c>
    </row>
    <row r="121" spans="1:9" ht="27" x14ac:dyDescent="0.3">
      <c r="A121" s="443" t="s">
        <v>2044</v>
      </c>
      <c r="B121" s="445" t="s">
        <v>1987</v>
      </c>
      <c r="C121" s="444" t="s">
        <v>2040</v>
      </c>
      <c r="D121" s="444" t="s">
        <v>315</v>
      </c>
      <c r="E121" s="446" t="s">
        <v>2045</v>
      </c>
      <c r="F121" s="447" t="s">
        <v>1890</v>
      </c>
      <c r="G121" s="448"/>
      <c r="H121" s="448"/>
      <c r="I121" s="448" t="s">
        <v>1927</v>
      </c>
    </row>
    <row r="122" spans="1:9" ht="27" x14ac:dyDescent="0.3">
      <c r="A122" s="443" t="s">
        <v>2046</v>
      </c>
      <c r="B122" s="445" t="s">
        <v>1987</v>
      </c>
      <c r="C122" s="444" t="s">
        <v>2040</v>
      </c>
      <c r="D122" s="444" t="s">
        <v>377</v>
      </c>
      <c r="E122" s="446" t="s">
        <v>2047</v>
      </c>
      <c r="F122" s="447" t="s">
        <v>1890</v>
      </c>
      <c r="G122" s="448"/>
      <c r="H122" s="448"/>
      <c r="I122" s="448" t="s">
        <v>1923</v>
      </c>
    </row>
    <row r="123" spans="1:9" ht="27" x14ac:dyDescent="0.3">
      <c r="A123" s="443" t="s">
        <v>2048</v>
      </c>
      <c r="B123" s="445" t="s">
        <v>1987</v>
      </c>
      <c r="C123" s="444" t="s">
        <v>2040</v>
      </c>
      <c r="D123" s="444" t="s">
        <v>459</v>
      </c>
      <c r="E123" s="446" t="s">
        <v>2049</v>
      </c>
      <c r="F123" s="447" t="s">
        <v>1890</v>
      </c>
      <c r="G123" s="448"/>
      <c r="H123" s="448"/>
      <c r="I123" s="448" t="s">
        <v>1856</v>
      </c>
    </row>
    <row r="124" spans="1:9" ht="27" x14ac:dyDescent="0.3">
      <c r="A124" s="443" t="s">
        <v>2050</v>
      </c>
      <c r="B124" s="445" t="s">
        <v>1987</v>
      </c>
      <c r="C124" s="444" t="s">
        <v>2040</v>
      </c>
      <c r="D124" s="444" t="s">
        <v>2051</v>
      </c>
      <c r="E124" s="446" t="s">
        <v>2052</v>
      </c>
      <c r="F124" s="447" t="s">
        <v>1854</v>
      </c>
      <c r="G124" s="448"/>
      <c r="H124" s="448" t="s">
        <v>1961</v>
      </c>
      <c r="I124" s="448" t="s">
        <v>1923</v>
      </c>
    </row>
    <row r="125" spans="1:9" ht="27" x14ac:dyDescent="0.3">
      <c r="A125" s="443" t="s">
        <v>2053</v>
      </c>
      <c r="B125" s="445" t="s">
        <v>1987</v>
      </c>
      <c r="C125" s="444" t="s">
        <v>2040</v>
      </c>
      <c r="D125" s="444" t="s">
        <v>531</v>
      </c>
      <c r="E125" s="446" t="s">
        <v>2054</v>
      </c>
      <c r="F125" s="447" t="s">
        <v>1890</v>
      </c>
      <c r="G125" s="448"/>
      <c r="H125" s="448"/>
      <c r="I125" s="448" t="s">
        <v>1923</v>
      </c>
    </row>
    <row r="126" spans="1:9" ht="27" x14ac:dyDescent="0.3">
      <c r="A126" s="443" t="s">
        <v>2055</v>
      </c>
      <c r="B126" s="445" t="s">
        <v>1987</v>
      </c>
      <c r="C126" s="444" t="s">
        <v>2040</v>
      </c>
      <c r="D126" s="444" t="s">
        <v>600</v>
      </c>
      <c r="E126" s="446" t="s">
        <v>2056</v>
      </c>
      <c r="F126" s="447" t="s">
        <v>1890</v>
      </c>
      <c r="G126" s="448"/>
      <c r="H126" s="448"/>
      <c r="I126" s="448" t="s">
        <v>1923</v>
      </c>
    </row>
    <row r="127" spans="1:9" ht="27" x14ac:dyDescent="0.3">
      <c r="A127" s="443" t="s">
        <v>2057</v>
      </c>
      <c r="B127" s="445" t="s">
        <v>1987</v>
      </c>
      <c r="C127" s="444" t="s">
        <v>2040</v>
      </c>
      <c r="D127" s="444" t="s">
        <v>793</v>
      </c>
      <c r="E127" s="446" t="s">
        <v>2058</v>
      </c>
      <c r="F127" s="447" t="s">
        <v>1890</v>
      </c>
      <c r="G127" s="448"/>
      <c r="H127" s="448"/>
      <c r="I127" s="448" t="s">
        <v>1923</v>
      </c>
    </row>
    <row r="128" spans="1:9" ht="28.8" x14ac:dyDescent="0.3">
      <c r="A128" s="443" t="s">
        <v>2059</v>
      </c>
      <c r="B128" s="445" t="s">
        <v>1987</v>
      </c>
      <c r="C128" s="444" t="s">
        <v>2040</v>
      </c>
      <c r="D128" s="444" t="s">
        <v>2060</v>
      </c>
      <c r="E128" s="446" t="s">
        <v>2061</v>
      </c>
      <c r="F128" s="447" t="s">
        <v>1890</v>
      </c>
      <c r="G128" s="448" t="s">
        <v>482</v>
      </c>
      <c r="H128" s="448"/>
      <c r="I128" s="448" t="s">
        <v>1893</v>
      </c>
    </row>
    <row r="129" spans="1:9" ht="27" x14ac:dyDescent="0.3">
      <c r="A129" s="443" t="s">
        <v>2062</v>
      </c>
      <c r="B129" s="445" t="s">
        <v>1987</v>
      </c>
      <c r="C129" s="444" t="s">
        <v>2040</v>
      </c>
      <c r="D129" s="444" t="s">
        <v>906</v>
      </c>
      <c r="E129" s="446" t="s">
        <v>2063</v>
      </c>
      <c r="F129" s="447" t="s">
        <v>1890</v>
      </c>
      <c r="G129" s="448"/>
      <c r="H129" s="448"/>
      <c r="I129" s="448" t="s">
        <v>1893</v>
      </c>
    </row>
    <row r="130" spans="1:9" ht="27" x14ac:dyDescent="0.3">
      <c r="A130" s="443" t="s">
        <v>2064</v>
      </c>
      <c r="B130" s="445" t="s">
        <v>1987</v>
      </c>
      <c r="C130" s="444" t="s">
        <v>2040</v>
      </c>
      <c r="D130" s="444" t="s">
        <v>959</v>
      </c>
      <c r="E130" s="446" t="s">
        <v>2065</v>
      </c>
      <c r="F130" s="447" t="s">
        <v>1890</v>
      </c>
      <c r="G130" s="448"/>
      <c r="H130" s="448"/>
      <c r="I130" s="448" t="s">
        <v>1927</v>
      </c>
    </row>
    <row r="131" spans="1:9" ht="27" x14ac:dyDescent="0.3">
      <c r="A131" s="443" t="s">
        <v>2066</v>
      </c>
      <c r="B131" s="445" t="s">
        <v>1987</v>
      </c>
      <c r="C131" s="444" t="s">
        <v>2040</v>
      </c>
      <c r="D131" s="444" t="s">
        <v>1004</v>
      </c>
      <c r="E131" s="446" t="s">
        <v>2067</v>
      </c>
      <c r="F131" s="447" t="s">
        <v>1890</v>
      </c>
      <c r="G131" s="448"/>
      <c r="H131" s="448"/>
      <c r="I131" s="448" t="s">
        <v>1893</v>
      </c>
    </row>
    <row r="132" spans="1:9" ht="27" x14ac:dyDescent="0.3">
      <c r="A132" s="443" t="s">
        <v>2068</v>
      </c>
      <c r="B132" s="445" t="s">
        <v>1987</v>
      </c>
      <c r="C132" s="444" t="s">
        <v>2040</v>
      </c>
      <c r="D132" s="444" t="s">
        <v>1052</v>
      </c>
      <c r="E132" s="446" t="s">
        <v>2069</v>
      </c>
      <c r="F132" s="447" t="s">
        <v>1890</v>
      </c>
      <c r="G132" s="448"/>
      <c r="H132" s="448"/>
      <c r="I132" s="448" t="s">
        <v>1874</v>
      </c>
    </row>
    <row r="133" spans="1:9" ht="27" x14ac:dyDescent="0.3">
      <c r="A133" s="443" t="s">
        <v>2070</v>
      </c>
      <c r="B133" s="445" t="s">
        <v>1987</v>
      </c>
      <c r="C133" s="444" t="s">
        <v>2040</v>
      </c>
      <c r="D133" s="444" t="s">
        <v>143</v>
      </c>
      <c r="E133" s="446" t="s">
        <v>2071</v>
      </c>
      <c r="F133" s="447" t="s">
        <v>1890</v>
      </c>
      <c r="G133" s="448" t="s">
        <v>2072</v>
      </c>
      <c r="H133" s="448"/>
      <c r="I133" s="448" t="s">
        <v>1923</v>
      </c>
    </row>
    <row r="134" spans="1:9" ht="27" x14ac:dyDescent="0.3">
      <c r="A134" s="443" t="s">
        <v>2073</v>
      </c>
      <c r="B134" s="445" t="s">
        <v>1987</v>
      </c>
      <c r="C134" s="444" t="s">
        <v>2040</v>
      </c>
      <c r="D134" s="444" t="s">
        <v>1129</v>
      </c>
      <c r="E134" s="446" t="s">
        <v>2074</v>
      </c>
      <c r="F134" s="447" t="s">
        <v>1890</v>
      </c>
      <c r="G134" s="448" t="s">
        <v>2075</v>
      </c>
      <c r="H134" s="448"/>
      <c r="I134" s="448" t="s">
        <v>1923</v>
      </c>
    </row>
    <row r="135" spans="1:9" ht="27" x14ac:dyDescent="0.3">
      <c r="A135" s="443" t="s">
        <v>2076</v>
      </c>
      <c r="B135" s="445" t="s">
        <v>1987</v>
      </c>
      <c r="C135" s="444" t="s">
        <v>2040</v>
      </c>
      <c r="D135" s="444" t="s">
        <v>2077</v>
      </c>
      <c r="E135" s="446" t="s">
        <v>2078</v>
      </c>
      <c r="F135" s="447" t="s">
        <v>1890</v>
      </c>
      <c r="G135" s="448"/>
      <c r="H135" s="448"/>
      <c r="I135" s="448" t="s">
        <v>1923</v>
      </c>
    </row>
    <row r="136" spans="1:9" ht="27" x14ac:dyDescent="0.3">
      <c r="A136" s="443" t="s">
        <v>2079</v>
      </c>
      <c r="B136" s="445" t="s">
        <v>1987</v>
      </c>
      <c r="C136" s="444" t="s">
        <v>2040</v>
      </c>
      <c r="D136" s="444" t="s">
        <v>2080</v>
      </c>
      <c r="E136" s="446" t="s">
        <v>2081</v>
      </c>
      <c r="F136" s="447" t="s">
        <v>1890</v>
      </c>
      <c r="G136" s="448"/>
      <c r="H136" s="448"/>
      <c r="I136" s="448" t="s">
        <v>1893</v>
      </c>
    </row>
    <row r="137" spans="1:9" ht="27" x14ac:dyDescent="0.3">
      <c r="A137" s="443" t="s">
        <v>2082</v>
      </c>
      <c r="B137" s="445" t="s">
        <v>1987</v>
      </c>
      <c r="C137" s="444" t="s">
        <v>2040</v>
      </c>
      <c r="D137" s="444" t="s">
        <v>2083</v>
      </c>
      <c r="E137" s="446" t="s">
        <v>2084</v>
      </c>
      <c r="F137" s="447" t="s">
        <v>1890</v>
      </c>
      <c r="G137" s="448"/>
      <c r="H137" s="448"/>
      <c r="I137" s="448" t="s">
        <v>1893</v>
      </c>
    </row>
    <row r="138" spans="1:9" ht="27" x14ac:dyDescent="0.3">
      <c r="A138" s="443" t="s">
        <v>2085</v>
      </c>
      <c r="B138" s="445" t="s">
        <v>1987</v>
      </c>
      <c r="C138" s="444" t="s">
        <v>2040</v>
      </c>
      <c r="D138" s="444" t="s">
        <v>1842</v>
      </c>
      <c r="E138" s="446" t="s">
        <v>2086</v>
      </c>
      <c r="F138" s="447" t="s">
        <v>1890</v>
      </c>
      <c r="G138" s="448" t="s">
        <v>2087</v>
      </c>
      <c r="H138" s="448"/>
      <c r="I138" s="448" t="s">
        <v>1927</v>
      </c>
    </row>
    <row r="139" spans="1:9" ht="27" x14ac:dyDescent="0.3">
      <c r="A139" s="443" t="s">
        <v>2088</v>
      </c>
      <c r="B139" s="445" t="s">
        <v>1987</v>
      </c>
      <c r="C139" s="444" t="s">
        <v>2040</v>
      </c>
      <c r="D139" s="444" t="s">
        <v>2089</v>
      </c>
      <c r="E139" s="446" t="s">
        <v>2090</v>
      </c>
      <c r="F139" s="447" t="s">
        <v>1890</v>
      </c>
      <c r="G139" s="448"/>
      <c r="H139" s="448"/>
      <c r="I139" s="448" t="s">
        <v>1893</v>
      </c>
    </row>
    <row r="140" spans="1:9" ht="27" x14ac:dyDescent="0.3">
      <c r="A140" s="443" t="s">
        <v>2091</v>
      </c>
      <c r="B140" s="445" t="s">
        <v>1987</v>
      </c>
      <c r="C140" s="444" t="s">
        <v>2040</v>
      </c>
      <c r="D140" s="444" t="s">
        <v>1290</v>
      </c>
      <c r="E140" s="446" t="s">
        <v>2092</v>
      </c>
      <c r="F140" s="447" t="s">
        <v>1890</v>
      </c>
      <c r="G140" s="448"/>
      <c r="H140" s="448"/>
      <c r="I140" s="448" t="s">
        <v>1923</v>
      </c>
    </row>
    <row r="141" spans="1:9" ht="27" x14ac:dyDescent="0.3">
      <c r="A141" s="443" t="s">
        <v>2093</v>
      </c>
      <c r="B141" s="445" t="s">
        <v>1987</v>
      </c>
      <c r="C141" s="444" t="s">
        <v>2040</v>
      </c>
      <c r="D141" s="444" t="s">
        <v>1830</v>
      </c>
      <c r="E141" s="446" t="s">
        <v>2094</v>
      </c>
      <c r="F141" s="447" t="s">
        <v>1890</v>
      </c>
      <c r="G141" s="448"/>
      <c r="H141" s="448"/>
      <c r="I141" s="448" t="s">
        <v>1893</v>
      </c>
    </row>
    <row r="142" spans="1:9" ht="27" x14ac:dyDescent="0.3">
      <c r="A142" s="443" t="s">
        <v>2095</v>
      </c>
      <c r="B142" s="445" t="s">
        <v>1987</v>
      </c>
      <c r="C142" s="444" t="s">
        <v>2040</v>
      </c>
      <c r="D142" s="444" t="s">
        <v>2096</v>
      </c>
      <c r="E142" s="446" t="s">
        <v>2097</v>
      </c>
      <c r="F142" s="447" t="s">
        <v>1890</v>
      </c>
      <c r="G142" s="448"/>
      <c r="H142" s="448"/>
      <c r="I142" s="448" t="s">
        <v>1856</v>
      </c>
    </row>
    <row r="143" spans="1:9" ht="27" x14ac:dyDescent="0.3">
      <c r="A143" s="443" t="s">
        <v>2098</v>
      </c>
      <c r="B143" s="445" t="s">
        <v>1987</v>
      </c>
      <c r="C143" s="444" t="s">
        <v>2040</v>
      </c>
      <c r="D143" s="444" t="s">
        <v>2099</v>
      </c>
      <c r="E143" s="446" t="s">
        <v>2100</v>
      </c>
      <c r="F143" s="447" t="s">
        <v>1890</v>
      </c>
      <c r="G143" s="448"/>
      <c r="H143" s="448"/>
      <c r="I143" s="448" t="s">
        <v>1927</v>
      </c>
    </row>
    <row r="144" spans="1:9" ht="27" x14ac:dyDescent="0.3">
      <c r="A144" s="443" t="s">
        <v>2101</v>
      </c>
      <c r="B144" s="445" t="s">
        <v>1987</v>
      </c>
      <c r="C144" s="444" t="s">
        <v>2040</v>
      </c>
      <c r="D144" s="444" t="s">
        <v>2102</v>
      </c>
      <c r="E144" s="446" t="s">
        <v>2103</v>
      </c>
      <c r="F144" s="447" t="s">
        <v>1890</v>
      </c>
      <c r="G144" s="448"/>
      <c r="H144" s="448"/>
      <c r="I144" s="448" t="s">
        <v>1927</v>
      </c>
    </row>
    <row r="145" spans="1:9" ht="27" x14ac:dyDescent="0.3">
      <c r="A145" s="443" t="s">
        <v>2104</v>
      </c>
      <c r="B145" s="445" t="s">
        <v>1987</v>
      </c>
      <c r="C145" s="444" t="s">
        <v>2040</v>
      </c>
      <c r="D145" s="444" t="s">
        <v>897</v>
      </c>
      <c r="E145" s="446" t="s">
        <v>2105</v>
      </c>
      <c r="F145" s="447" t="s">
        <v>1890</v>
      </c>
      <c r="G145" s="448"/>
      <c r="H145" s="448"/>
      <c r="I145" s="448" t="s">
        <v>1923</v>
      </c>
    </row>
    <row r="146" spans="1:9" ht="27" x14ac:dyDescent="0.3">
      <c r="A146" s="443" t="s">
        <v>2106</v>
      </c>
      <c r="B146" s="445" t="s">
        <v>1987</v>
      </c>
      <c r="C146" s="444" t="s">
        <v>2040</v>
      </c>
      <c r="D146" s="444" t="s">
        <v>2107</v>
      </c>
      <c r="E146" s="446" t="s">
        <v>2108</v>
      </c>
      <c r="F146" s="447" t="s">
        <v>1890</v>
      </c>
      <c r="G146" s="448"/>
      <c r="H146" s="448"/>
      <c r="I146" s="448" t="s">
        <v>1927</v>
      </c>
    </row>
    <row r="147" spans="1:9" ht="27" x14ac:dyDescent="0.3">
      <c r="A147" s="443" t="s">
        <v>2109</v>
      </c>
      <c r="B147" s="445" t="s">
        <v>1987</v>
      </c>
      <c r="C147" s="444" t="s">
        <v>2040</v>
      </c>
      <c r="D147" s="444" t="s">
        <v>1385</v>
      </c>
      <c r="E147" s="446" t="s">
        <v>2110</v>
      </c>
      <c r="F147" s="447" t="s">
        <v>1890</v>
      </c>
      <c r="G147" s="448"/>
      <c r="H147" s="448"/>
      <c r="I147" s="448" t="s">
        <v>1893</v>
      </c>
    </row>
    <row r="148" spans="1:9" ht="27" x14ac:dyDescent="0.3">
      <c r="A148" s="443" t="s">
        <v>2111</v>
      </c>
      <c r="B148" s="445" t="s">
        <v>1987</v>
      </c>
      <c r="C148" s="444" t="s">
        <v>2040</v>
      </c>
      <c r="D148" s="444" t="s">
        <v>1396</v>
      </c>
      <c r="E148" s="446" t="s">
        <v>2112</v>
      </c>
      <c r="F148" s="447" t="s">
        <v>1890</v>
      </c>
      <c r="G148" s="448"/>
      <c r="H148" s="448"/>
      <c r="I148" s="448" t="s">
        <v>1927</v>
      </c>
    </row>
    <row r="149" spans="1:9" ht="27" x14ac:dyDescent="0.3">
      <c r="A149" s="443" t="s">
        <v>2113</v>
      </c>
      <c r="B149" s="445" t="s">
        <v>1987</v>
      </c>
      <c r="C149" s="444" t="s">
        <v>2040</v>
      </c>
      <c r="D149" s="444" t="s">
        <v>1404</v>
      </c>
      <c r="E149" s="446" t="s">
        <v>2114</v>
      </c>
      <c r="F149" s="447" t="s">
        <v>1890</v>
      </c>
      <c r="G149" s="448"/>
      <c r="H149" s="448"/>
      <c r="I149" s="448" t="s">
        <v>1893</v>
      </c>
    </row>
    <row r="150" spans="1:9" ht="27" x14ac:dyDescent="0.3">
      <c r="A150" s="443" t="s">
        <v>2115</v>
      </c>
      <c r="B150" s="445" t="s">
        <v>1987</v>
      </c>
      <c r="C150" s="444" t="s">
        <v>2040</v>
      </c>
      <c r="D150" s="444" t="s">
        <v>1415</v>
      </c>
      <c r="E150" s="446" t="s">
        <v>2116</v>
      </c>
      <c r="F150" s="447" t="s">
        <v>1890</v>
      </c>
      <c r="G150" s="448"/>
      <c r="H150" s="448"/>
      <c r="I150" s="448" t="s">
        <v>1923</v>
      </c>
    </row>
    <row r="151" spans="1:9" ht="27" x14ac:dyDescent="0.3">
      <c r="A151" s="443" t="s">
        <v>2117</v>
      </c>
      <c r="B151" s="445" t="s">
        <v>1987</v>
      </c>
      <c r="C151" s="444" t="s">
        <v>2040</v>
      </c>
      <c r="D151" s="444" t="s">
        <v>1422</v>
      </c>
      <c r="E151" s="446" t="s">
        <v>2118</v>
      </c>
      <c r="F151" s="447" t="s">
        <v>1890</v>
      </c>
      <c r="G151" s="448"/>
      <c r="H151" s="448"/>
      <c r="I151" s="448" t="s">
        <v>1874</v>
      </c>
    </row>
    <row r="152" spans="1:9" ht="27" x14ac:dyDescent="0.3">
      <c r="A152" s="443" t="s">
        <v>2119</v>
      </c>
      <c r="B152" s="445" t="s">
        <v>1987</v>
      </c>
      <c r="C152" s="444" t="s">
        <v>2040</v>
      </c>
      <c r="D152" s="444" t="s">
        <v>2120</v>
      </c>
      <c r="E152" s="446" t="s">
        <v>2121</v>
      </c>
      <c r="F152" s="447" t="s">
        <v>1854</v>
      </c>
      <c r="G152" s="448"/>
      <c r="H152" s="448" t="s">
        <v>1961</v>
      </c>
      <c r="I152" s="448" t="s">
        <v>1923</v>
      </c>
    </row>
    <row r="153" spans="1:9" ht="27" x14ac:dyDescent="0.3">
      <c r="A153" s="443" t="s">
        <v>2122</v>
      </c>
      <c r="B153" s="445" t="s">
        <v>1987</v>
      </c>
      <c r="C153" s="444" t="s">
        <v>2123</v>
      </c>
      <c r="D153" s="444" t="s">
        <v>168</v>
      </c>
      <c r="E153" s="446" t="s">
        <v>2124</v>
      </c>
      <c r="F153" s="447" t="s">
        <v>1890</v>
      </c>
      <c r="G153" s="448"/>
      <c r="H153" s="448"/>
      <c r="I153" s="448" t="s">
        <v>1856</v>
      </c>
    </row>
    <row r="154" spans="1:9" ht="27" x14ac:dyDescent="0.3">
      <c r="A154" s="443" t="s">
        <v>2125</v>
      </c>
      <c r="B154" s="445" t="s">
        <v>1987</v>
      </c>
      <c r="C154" s="444" t="s">
        <v>2123</v>
      </c>
      <c r="D154" s="444" t="s">
        <v>243</v>
      </c>
      <c r="E154" s="446" t="s">
        <v>2126</v>
      </c>
      <c r="F154" s="447" t="s">
        <v>1890</v>
      </c>
      <c r="G154" s="448"/>
      <c r="H154" s="448"/>
      <c r="I154" s="448" t="s">
        <v>1874</v>
      </c>
    </row>
    <row r="155" spans="1:9" ht="27" x14ac:dyDescent="0.3">
      <c r="A155" s="443" t="s">
        <v>2127</v>
      </c>
      <c r="B155" s="445" t="s">
        <v>1987</v>
      </c>
      <c r="C155" s="444" t="s">
        <v>2123</v>
      </c>
      <c r="D155" s="444" t="s">
        <v>316</v>
      </c>
      <c r="E155" s="446" t="s">
        <v>2128</v>
      </c>
      <c r="F155" s="447" t="s">
        <v>1890</v>
      </c>
      <c r="G155" s="448"/>
      <c r="H155" s="448"/>
      <c r="I155" s="448" t="s">
        <v>1856</v>
      </c>
    </row>
    <row r="156" spans="1:9" ht="27" x14ac:dyDescent="0.3">
      <c r="A156" s="443" t="s">
        <v>2129</v>
      </c>
      <c r="B156" s="445" t="s">
        <v>1987</v>
      </c>
      <c r="C156" s="444" t="s">
        <v>2123</v>
      </c>
      <c r="D156" s="444" t="s">
        <v>389</v>
      </c>
      <c r="E156" s="446" t="s">
        <v>2130</v>
      </c>
      <c r="F156" s="447" t="s">
        <v>1890</v>
      </c>
      <c r="G156" s="448"/>
      <c r="H156" s="448"/>
      <c r="I156" s="448" t="s">
        <v>1893</v>
      </c>
    </row>
    <row r="157" spans="1:9" ht="27" x14ac:dyDescent="0.3">
      <c r="A157" s="443" t="s">
        <v>2131</v>
      </c>
      <c r="B157" s="445" t="s">
        <v>1987</v>
      </c>
      <c r="C157" s="444" t="s">
        <v>2123</v>
      </c>
      <c r="D157" s="444" t="s">
        <v>460</v>
      </c>
      <c r="E157" s="446" t="s">
        <v>2132</v>
      </c>
      <c r="F157" s="447" t="s">
        <v>1890</v>
      </c>
      <c r="G157" s="448"/>
      <c r="H157" s="448"/>
      <c r="I157" s="448" t="s">
        <v>1856</v>
      </c>
    </row>
    <row r="158" spans="1:9" ht="27" x14ac:dyDescent="0.3">
      <c r="A158" s="443" t="s">
        <v>2133</v>
      </c>
      <c r="B158" s="445" t="s">
        <v>1987</v>
      </c>
      <c r="C158" s="444" t="s">
        <v>2123</v>
      </c>
      <c r="D158" s="444" t="s">
        <v>532</v>
      </c>
      <c r="E158" s="446" t="s">
        <v>2134</v>
      </c>
      <c r="F158" s="447" t="s">
        <v>1890</v>
      </c>
      <c r="G158" s="448"/>
      <c r="H158" s="448"/>
      <c r="I158" s="448" t="s">
        <v>1927</v>
      </c>
    </row>
    <row r="159" spans="1:9" ht="27" x14ac:dyDescent="0.3">
      <c r="A159" s="443" t="s">
        <v>2135</v>
      </c>
      <c r="B159" s="445" t="s">
        <v>1987</v>
      </c>
      <c r="C159" s="444" t="s">
        <v>2123</v>
      </c>
      <c r="D159" s="444" t="s">
        <v>601</v>
      </c>
      <c r="E159" s="446" t="s">
        <v>2136</v>
      </c>
      <c r="F159" s="447" t="s">
        <v>1890</v>
      </c>
      <c r="G159" s="448"/>
      <c r="H159" s="448"/>
      <c r="I159" s="448" t="s">
        <v>1856</v>
      </c>
    </row>
    <row r="160" spans="1:9" ht="27" x14ac:dyDescent="0.3">
      <c r="A160" s="443" t="s">
        <v>2137</v>
      </c>
      <c r="B160" s="445" t="s">
        <v>1987</v>
      </c>
      <c r="C160" s="444" t="s">
        <v>2123</v>
      </c>
      <c r="D160" s="444" t="s">
        <v>377</v>
      </c>
      <c r="E160" s="446" t="s">
        <v>2138</v>
      </c>
      <c r="F160" s="447" t="s">
        <v>1890</v>
      </c>
      <c r="G160" s="448"/>
      <c r="H160" s="448"/>
      <c r="I160" s="448" t="s">
        <v>1893</v>
      </c>
    </row>
    <row r="161" spans="1:9" ht="27" x14ac:dyDescent="0.3">
      <c r="A161" s="443" t="s">
        <v>2139</v>
      </c>
      <c r="B161" s="445" t="s">
        <v>1987</v>
      </c>
      <c r="C161" s="444" t="s">
        <v>2123</v>
      </c>
      <c r="D161" s="444" t="s">
        <v>731</v>
      </c>
      <c r="E161" s="446" t="s">
        <v>2140</v>
      </c>
      <c r="F161" s="447" t="s">
        <v>1890</v>
      </c>
      <c r="G161" s="448"/>
      <c r="H161" s="448"/>
      <c r="I161" s="448" t="s">
        <v>1923</v>
      </c>
    </row>
    <row r="162" spans="1:9" ht="27" x14ac:dyDescent="0.3">
      <c r="A162" s="443" t="s">
        <v>2141</v>
      </c>
      <c r="B162" s="445" t="s">
        <v>1987</v>
      </c>
      <c r="C162" s="444" t="s">
        <v>2123</v>
      </c>
      <c r="D162" s="444" t="s">
        <v>453</v>
      </c>
      <c r="E162" s="446" t="s">
        <v>2142</v>
      </c>
      <c r="F162" s="447" t="s">
        <v>1890</v>
      </c>
      <c r="G162" s="448"/>
      <c r="H162" s="448"/>
      <c r="I162" s="448" t="s">
        <v>1927</v>
      </c>
    </row>
    <row r="163" spans="1:9" ht="27" x14ac:dyDescent="0.3">
      <c r="A163" s="443" t="s">
        <v>2143</v>
      </c>
      <c r="B163" s="445" t="s">
        <v>1987</v>
      </c>
      <c r="C163" s="444" t="s">
        <v>2123</v>
      </c>
      <c r="D163" s="444" t="s">
        <v>907</v>
      </c>
      <c r="E163" s="446" t="s">
        <v>2144</v>
      </c>
      <c r="F163" s="447" t="s">
        <v>1890</v>
      </c>
      <c r="G163" s="448"/>
      <c r="H163" s="448"/>
      <c r="I163" s="448" t="s">
        <v>1856</v>
      </c>
    </row>
    <row r="164" spans="1:9" ht="27" x14ac:dyDescent="0.3">
      <c r="A164" s="443" t="s">
        <v>2145</v>
      </c>
      <c r="B164" s="445" t="s">
        <v>1987</v>
      </c>
      <c r="C164" s="444" t="s">
        <v>2123</v>
      </c>
      <c r="D164" s="444" t="s">
        <v>960</v>
      </c>
      <c r="E164" s="446" t="s">
        <v>2146</v>
      </c>
      <c r="F164" s="447" t="s">
        <v>1890</v>
      </c>
      <c r="G164" s="448"/>
      <c r="H164" s="448"/>
      <c r="I164" s="448" t="s">
        <v>1893</v>
      </c>
    </row>
    <row r="165" spans="1:9" ht="27" x14ac:dyDescent="0.3">
      <c r="A165" s="443" t="s">
        <v>2147</v>
      </c>
      <c r="B165" s="445" t="s">
        <v>1987</v>
      </c>
      <c r="C165" s="444" t="s">
        <v>2123</v>
      </c>
      <c r="D165" s="444" t="s">
        <v>656</v>
      </c>
      <c r="E165" s="446" t="s">
        <v>2148</v>
      </c>
      <c r="F165" s="447" t="s">
        <v>1890</v>
      </c>
      <c r="G165" s="448"/>
      <c r="H165" s="448"/>
      <c r="I165" s="448" t="s">
        <v>1856</v>
      </c>
    </row>
    <row r="166" spans="1:9" ht="27" x14ac:dyDescent="0.3">
      <c r="A166" s="443" t="s">
        <v>2149</v>
      </c>
      <c r="B166" s="445" t="s">
        <v>1987</v>
      </c>
      <c r="C166" s="444" t="s">
        <v>2123</v>
      </c>
      <c r="D166" s="444" t="s">
        <v>2150</v>
      </c>
      <c r="E166" s="446" t="s">
        <v>2151</v>
      </c>
      <c r="F166" s="447" t="s">
        <v>1854</v>
      </c>
      <c r="G166" s="448"/>
      <c r="H166" s="448" t="s">
        <v>1961</v>
      </c>
      <c r="I166" s="448" t="s">
        <v>1927</v>
      </c>
    </row>
    <row r="167" spans="1:9" ht="27" x14ac:dyDescent="0.3">
      <c r="A167" s="443" t="s">
        <v>2152</v>
      </c>
      <c r="B167" s="445" t="s">
        <v>1987</v>
      </c>
      <c r="C167" s="444" t="s">
        <v>2123</v>
      </c>
      <c r="D167" s="444" t="s">
        <v>2153</v>
      </c>
      <c r="E167" s="446" t="s">
        <v>2154</v>
      </c>
      <c r="F167" s="447" t="s">
        <v>1890</v>
      </c>
      <c r="G167" s="448"/>
      <c r="H167" s="448"/>
      <c r="I167" s="448" t="s">
        <v>1923</v>
      </c>
    </row>
    <row r="168" spans="1:9" ht="27" x14ac:dyDescent="0.3">
      <c r="A168" s="443" t="s">
        <v>2155</v>
      </c>
      <c r="B168" s="445" t="s">
        <v>1987</v>
      </c>
      <c r="C168" s="444" t="s">
        <v>2123</v>
      </c>
      <c r="D168" s="444" t="s">
        <v>1842</v>
      </c>
      <c r="E168" s="446" t="s">
        <v>2156</v>
      </c>
      <c r="F168" s="447" t="s">
        <v>1890</v>
      </c>
      <c r="G168" s="448"/>
      <c r="H168" s="448"/>
      <c r="I168" s="448" t="s">
        <v>1874</v>
      </c>
    </row>
    <row r="169" spans="1:9" ht="27" x14ac:dyDescent="0.3">
      <c r="A169" s="443" t="s">
        <v>2157</v>
      </c>
      <c r="B169" s="445" t="s">
        <v>1987</v>
      </c>
      <c r="C169" s="444" t="s">
        <v>2123</v>
      </c>
      <c r="D169" s="444" t="s">
        <v>2158</v>
      </c>
      <c r="E169" s="446" t="s">
        <v>2159</v>
      </c>
      <c r="F169" s="447" t="s">
        <v>1890</v>
      </c>
      <c r="G169" s="448"/>
      <c r="H169" s="448"/>
      <c r="I169" s="448" t="s">
        <v>1923</v>
      </c>
    </row>
    <row r="170" spans="1:9" ht="27" x14ac:dyDescent="0.3">
      <c r="A170" s="443" t="s">
        <v>2160</v>
      </c>
      <c r="B170" s="445" t="s">
        <v>1987</v>
      </c>
      <c r="C170" s="444" t="s">
        <v>2123</v>
      </c>
      <c r="D170" s="444" t="s">
        <v>1164</v>
      </c>
      <c r="E170" s="446" t="s">
        <v>2161</v>
      </c>
      <c r="F170" s="447" t="s">
        <v>1890</v>
      </c>
      <c r="G170" s="448"/>
      <c r="H170" s="448"/>
      <c r="I170" s="448" t="s">
        <v>1923</v>
      </c>
    </row>
    <row r="171" spans="1:9" ht="27" x14ac:dyDescent="0.3">
      <c r="A171" s="443" t="s">
        <v>2162</v>
      </c>
      <c r="B171" s="445" t="s">
        <v>1987</v>
      </c>
      <c r="C171" s="444" t="s">
        <v>2123</v>
      </c>
      <c r="D171" s="444" t="s">
        <v>1194</v>
      </c>
      <c r="E171" s="446" t="s">
        <v>2163</v>
      </c>
      <c r="F171" s="447" t="s">
        <v>1890</v>
      </c>
      <c r="G171" s="448"/>
      <c r="H171" s="448"/>
      <c r="I171" s="448" t="s">
        <v>1923</v>
      </c>
    </row>
    <row r="172" spans="1:9" ht="27" x14ac:dyDescent="0.3">
      <c r="A172" s="443" t="s">
        <v>2164</v>
      </c>
      <c r="B172" s="445" t="s">
        <v>1987</v>
      </c>
      <c r="C172" s="444" t="s">
        <v>2123</v>
      </c>
      <c r="D172" s="444" t="s">
        <v>1223</v>
      </c>
      <c r="E172" s="446" t="s">
        <v>2165</v>
      </c>
      <c r="F172" s="447" t="s">
        <v>1890</v>
      </c>
      <c r="G172" s="448"/>
      <c r="H172" s="448"/>
      <c r="I172" s="448" t="s">
        <v>1923</v>
      </c>
    </row>
    <row r="173" spans="1:9" ht="27" x14ac:dyDescent="0.3">
      <c r="A173" s="443" t="s">
        <v>2166</v>
      </c>
      <c r="B173" s="445" t="s">
        <v>1987</v>
      </c>
      <c r="C173" s="444" t="s">
        <v>129</v>
      </c>
      <c r="D173" s="444" t="s">
        <v>169</v>
      </c>
      <c r="E173" s="446" t="s">
        <v>2167</v>
      </c>
      <c r="F173" s="447" t="s">
        <v>1890</v>
      </c>
      <c r="G173" s="448"/>
      <c r="H173" s="448"/>
      <c r="I173" s="448" t="s">
        <v>1927</v>
      </c>
    </row>
    <row r="174" spans="1:9" ht="27" x14ac:dyDescent="0.3">
      <c r="A174" s="443" t="s">
        <v>2168</v>
      </c>
      <c r="B174" s="445" t="s">
        <v>1987</v>
      </c>
      <c r="C174" s="444" t="s">
        <v>129</v>
      </c>
      <c r="D174" s="444" t="s">
        <v>244</v>
      </c>
      <c r="E174" s="446" t="s">
        <v>2169</v>
      </c>
      <c r="F174" s="447" t="s">
        <v>1890</v>
      </c>
      <c r="G174" s="448"/>
      <c r="H174" s="448"/>
      <c r="I174" s="448" t="s">
        <v>1927</v>
      </c>
    </row>
    <row r="175" spans="1:9" ht="27" x14ac:dyDescent="0.3">
      <c r="A175" s="443" t="s">
        <v>2170</v>
      </c>
      <c r="B175" s="445" t="s">
        <v>1987</v>
      </c>
      <c r="C175" s="444" t="s">
        <v>129</v>
      </c>
      <c r="D175" s="444" t="s">
        <v>2171</v>
      </c>
      <c r="E175" s="446" t="s">
        <v>2172</v>
      </c>
      <c r="F175" s="447" t="s">
        <v>1854</v>
      </c>
      <c r="G175" s="448"/>
      <c r="H175" s="448" t="s">
        <v>1961</v>
      </c>
      <c r="I175" s="448" t="s">
        <v>1923</v>
      </c>
    </row>
    <row r="176" spans="1:9" ht="27" x14ac:dyDescent="0.3">
      <c r="A176" s="443" t="s">
        <v>2173</v>
      </c>
      <c r="B176" s="445" t="s">
        <v>1987</v>
      </c>
      <c r="C176" s="444" t="s">
        <v>129</v>
      </c>
      <c r="D176" s="444" t="s">
        <v>246</v>
      </c>
      <c r="E176" s="446" t="s">
        <v>2174</v>
      </c>
      <c r="F176" s="447" t="s">
        <v>1890</v>
      </c>
      <c r="G176" s="448"/>
      <c r="H176" s="448"/>
      <c r="I176" s="448" t="s">
        <v>1927</v>
      </c>
    </row>
    <row r="177" spans="1:9" ht="27" x14ac:dyDescent="0.3">
      <c r="A177" s="443" t="s">
        <v>2175</v>
      </c>
      <c r="B177" s="445" t="s">
        <v>1987</v>
      </c>
      <c r="C177" s="444" t="s">
        <v>129</v>
      </c>
      <c r="D177" s="444" t="s">
        <v>351</v>
      </c>
      <c r="E177" s="446" t="s">
        <v>2176</v>
      </c>
      <c r="F177" s="447" t="s">
        <v>1890</v>
      </c>
      <c r="G177" s="448"/>
      <c r="H177" s="448"/>
      <c r="I177" s="448" t="s">
        <v>1927</v>
      </c>
    </row>
    <row r="178" spans="1:9" ht="27" x14ac:dyDescent="0.3">
      <c r="A178" s="443" t="s">
        <v>2177</v>
      </c>
      <c r="B178" s="445" t="s">
        <v>1987</v>
      </c>
      <c r="C178" s="444" t="s">
        <v>129</v>
      </c>
      <c r="D178" s="444" t="s">
        <v>461</v>
      </c>
      <c r="E178" s="446" t="s">
        <v>2178</v>
      </c>
      <c r="F178" s="447" t="s">
        <v>1890</v>
      </c>
      <c r="G178" s="448"/>
      <c r="H178" s="448"/>
      <c r="I178" s="448" t="s">
        <v>1874</v>
      </c>
    </row>
    <row r="179" spans="1:9" ht="27" x14ac:dyDescent="0.3">
      <c r="A179" s="443" t="s">
        <v>2179</v>
      </c>
      <c r="B179" s="445" t="s">
        <v>1987</v>
      </c>
      <c r="C179" s="444" t="s">
        <v>129</v>
      </c>
      <c r="D179" s="444" t="s">
        <v>533</v>
      </c>
      <c r="E179" s="446" t="s">
        <v>2180</v>
      </c>
      <c r="F179" s="447" t="s">
        <v>1890</v>
      </c>
      <c r="G179" s="448"/>
      <c r="H179" s="448"/>
      <c r="I179" s="448" t="s">
        <v>1923</v>
      </c>
    </row>
    <row r="180" spans="1:9" ht="27" x14ac:dyDescent="0.3">
      <c r="A180" s="443" t="s">
        <v>2181</v>
      </c>
      <c r="B180" s="445" t="s">
        <v>1987</v>
      </c>
      <c r="C180" s="444" t="s">
        <v>129</v>
      </c>
      <c r="D180" s="444" t="s">
        <v>602</v>
      </c>
      <c r="E180" s="446" t="s">
        <v>2182</v>
      </c>
      <c r="F180" s="447" t="s">
        <v>1890</v>
      </c>
      <c r="G180" s="448"/>
      <c r="H180" s="448"/>
      <c r="I180" s="448" t="s">
        <v>1874</v>
      </c>
    </row>
    <row r="181" spans="1:9" ht="27" x14ac:dyDescent="0.3">
      <c r="A181" s="443" t="s">
        <v>2183</v>
      </c>
      <c r="B181" s="445" t="s">
        <v>1987</v>
      </c>
      <c r="C181" s="444" t="s">
        <v>129</v>
      </c>
      <c r="D181" s="444" t="s">
        <v>669</v>
      </c>
      <c r="E181" s="446" t="s">
        <v>2184</v>
      </c>
      <c r="F181" s="447" t="s">
        <v>1890</v>
      </c>
      <c r="G181" s="448"/>
      <c r="H181" s="448"/>
      <c r="I181" s="448" t="s">
        <v>1923</v>
      </c>
    </row>
    <row r="182" spans="1:9" ht="27" x14ac:dyDescent="0.3">
      <c r="A182" s="443" t="s">
        <v>2185</v>
      </c>
      <c r="B182" s="445" t="s">
        <v>1987</v>
      </c>
      <c r="C182" s="444" t="s">
        <v>129</v>
      </c>
      <c r="D182" s="444" t="s">
        <v>732</v>
      </c>
      <c r="E182" s="446" t="s">
        <v>2186</v>
      </c>
      <c r="F182" s="447" t="s">
        <v>1890</v>
      </c>
      <c r="G182" s="448"/>
      <c r="H182" s="448"/>
      <c r="I182" s="448" t="s">
        <v>1923</v>
      </c>
    </row>
    <row r="183" spans="1:9" ht="27" x14ac:dyDescent="0.3">
      <c r="A183" s="443" t="s">
        <v>2187</v>
      </c>
      <c r="B183" s="445" t="s">
        <v>1987</v>
      </c>
      <c r="C183" s="444" t="s">
        <v>129</v>
      </c>
      <c r="D183" s="444" t="s">
        <v>794</v>
      </c>
      <c r="E183" s="446" t="s">
        <v>2188</v>
      </c>
      <c r="F183" s="447" t="s">
        <v>1890</v>
      </c>
      <c r="G183" s="448"/>
      <c r="H183" s="448"/>
      <c r="I183" s="448" t="s">
        <v>1856</v>
      </c>
    </row>
    <row r="184" spans="1:9" ht="27" x14ac:dyDescent="0.3">
      <c r="A184" s="443" t="s">
        <v>2189</v>
      </c>
      <c r="B184" s="445" t="s">
        <v>1987</v>
      </c>
      <c r="C184" s="444" t="s">
        <v>129</v>
      </c>
      <c r="D184" s="444" t="s">
        <v>852</v>
      </c>
      <c r="E184" s="446" t="s">
        <v>2190</v>
      </c>
      <c r="F184" s="447" t="s">
        <v>1890</v>
      </c>
      <c r="G184" s="448"/>
      <c r="H184" s="448"/>
      <c r="I184" s="448" t="s">
        <v>1856</v>
      </c>
    </row>
    <row r="185" spans="1:9" ht="27" x14ac:dyDescent="0.3">
      <c r="A185" s="443" t="s">
        <v>2191</v>
      </c>
      <c r="B185" s="445" t="s">
        <v>1987</v>
      </c>
      <c r="C185" s="444" t="s">
        <v>129</v>
      </c>
      <c r="D185" s="444" t="s">
        <v>908</v>
      </c>
      <c r="E185" s="446" t="s">
        <v>2192</v>
      </c>
      <c r="F185" s="447" t="s">
        <v>1890</v>
      </c>
      <c r="G185" s="448"/>
      <c r="H185" s="448"/>
      <c r="I185" s="448" t="s">
        <v>1856</v>
      </c>
    </row>
    <row r="186" spans="1:9" ht="27" x14ac:dyDescent="0.3">
      <c r="A186" s="443" t="s">
        <v>2193</v>
      </c>
      <c r="B186" s="445" t="s">
        <v>1987</v>
      </c>
      <c r="C186" s="444" t="s">
        <v>129</v>
      </c>
      <c r="D186" s="444" t="s">
        <v>961</v>
      </c>
      <c r="E186" s="446" t="s">
        <v>2194</v>
      </c>
      <c r="F186" s="447" t="s">
        <v>1890</v>
      </c>
      <c r="G186" s="448"/>
      <c r="H186" s="448"/>
      <c r="I186" s="448" t="s">
        <v>1856</v>
      </c>
    </row>
    <row r="187" spans="1:9" ht="27" x14ac:dyDescent="0.3">
      <c r="A187" s="443" t="s">
        <v>2195</v>
      </c>
      <c r="B187" s="445" t="s">
        <v>1987</v>
      </c>
      <c r="C187" s="444" t="s">
        <v>129</v>
      </c>
      <c r="D187" s="444" t="s">
        <v>1005</v>
      </c>
      <c r="E187" s="446" t="s">
        <v>2196</v>
      </c>
      <c r="F187" s="447" t="s">
        <v>1890</v>
      </c>
      <c r="G187" s="448"/>
      <c r="H187" s="448"/>
      <c r="I187" s="448" t="s">
        <v>1874</v>
      </c>
    </row>
    <row r="188" spans="1:9" ht="27" x14ac:dyDescent="0.3">
      <c r="A188" s="443" t="s">
        <v>2197</v>
      </c>
      <c r="B188" s="445" t="s">
        <v>1987</v>
      </c>
      <c r="C188" s="444" t="s">
        <v>129</v>
      </c>
      <c r="D188" s="444" t="s">
        <v>377</v>
      </c>
      <c r="E188" s="446" t="s">
        <v>2198</v>
      </c>
      <c r="F188" s="447" t="s">
        <v>1890</v>
      </c>
      <c r="G188" s="448"/>
      <c r="H188" s="448"/>
      <c r="I188" s="448" t="s">
        <v>1923</v>
      </c>
    </row>
    <row r="189" spans="1:9" ht="27" x14ac:dyDescent="0.3">
      <c r="A189" s="443" t="s">
        <v>2199</v>
      </c>
      <c r="B189" s="445" t="s">
        <v>1987</v>
      </c>
      <c r="C189" s="444" t="s">
        <v>129</v>
      </c>
      <c r="D189" s="444" t="s">
        <v>1092</v>
      </c>
      <c r="E189" s="446" t="s">
        <v>2200</v>
      </c>
      <c r="F189" s="447" t="s">
        <v>1890</v>
      </c>
      <c r="G189" s="448"/>
      <c r="H189" s="448"/>
      <c r="I189" s="448" t="s">
        <v>1856</v>
      </c>
    </row>
    <row r="190" spans="1:9" ht="27" x14ac:dyDescent="0.3">
      <c r="A190" s="443" t="s">
        <v>2201</v>
      </c>
      <c r="B190" s="445" t="s">
        <v>1987</v>
      </c>
      <c r="C190" s="444" t="s">
        <v>129</v>
      </c>
      <c r="D190" s="444" t="s">
        <v>2202</v>
      </c>
      <c r="E190" s="446" t="s">
        <v>2203</v>
      </c>
      <c r="F190" s="447" t="s">
        <v>1854</v>
      </c>
      <c r="G190" s="448"/>
      <c r="H190" s="448" t="s">
        <v>2204</v>
      </c>
      <c r="I190" s="448" t="s">
        <v>1874</v>
      </c>
    </row>
    <row r="191" spans="1:9" ht="27" x14ac:dyDescent="0.3">
      <c r="A191" s="443" t="s">
        <v>2205</v>
      </c>
      <c r="B191" s="445" t="s">
        <v>1987</v>
      </c>
      <c r="C191" s="444" t="s">
        <v>129</v>
      </c>
      <c r="D191" s="444" t="s">
        <v>1247</v>
      </c>
      <c r="E191" s="446" t="s">
        <v>2206</v>
      </c>
      <c r="F191" s="447" t="s">
        <v>1890</v>
      </c>
      <c r="G191" s="448"/>
      <c r="H191" s="448"/>
      <c r="I191" s="448" t="s">
        <v>1927</v>
      </c>
    </row>
    <row r="192" spans="1:9" ht="27" x14ac:dyDescent="0.3">
      <c r="A192" s="443" t="s">
        <v>2207</v>
      </c>
      <c r="B192" s="445" t="s">
        <v>1987</v>
      </c>
      <c r="C192" s="444" t="s">
        <v>129</v>
      </c>
      <c r="D192" s="444" t="s">
        <v>1102</v>
      </c>
      <c r="E192" s="446" t="s">
        <v>2208</v>
      </c>
      <c r="F192" s="447" t="s">
        <v>1890</v>
      </c>
      <c r="G192" s="448"/>
      <c r="H192" s="448"/>
      <c r="I192" s="448" t="s">
        <v>1927</v>
      </c>
    </row>
    <row r="193" spans="1:9" ht="27" x14ac:dyDescent="0.3">
      <c r="A193" s="443" t="s">
        <v>2209</v>
      </c>
      <c r="B193" s="445" t="s">
        <v>1987</v>
      </c>
      <c r="C193" s="444" t="s">
        <v>129</v>
      </c>
      <c r="D193" s="444" t="s">
        <v>1291</v>
      </c>
      <c r="E193" s="446" t="s">
        <v>2210</v>
      </c>
      <c r="F193" s="447" t="s">
        <v>1890</v>
      </c>
      <c r="G193" s="448"/>
      <c r="H193" s="448"/>
      <c r="I193" s="448" t="s">
        <v>1923</v>
      </c>
    </row>
    <row r="194" spans="1:9" ht="27" x14ac:dyDescent="0.3">
      <c r="A194" s="443" t="s">
        <v>2211</v>
      </c>
      <c r="B194" s="445" t="s">
        <v>1987</v>
      </c>
      <c r="C194" s="444" t="s">
        <v>129</v>
      </c>
      <c r="D194" s="444" t="s">
        <v>1323</v>
      </c>
      <c r="E194" s="446" t="s">
        <v>2212</v>
      </c>
      <c r="F194" s="447" t="s">
        <v>1890</v>
      </c>
      <c r="G194" s="448"/>
      <c r="H194" s="448"/>
      <c r="I194" s="448" t="s">
        <v>1856</v>
      </c>
    </row>
    <row r="195" spans="1:9" ht="27" x14ac:dyDescent="0.3">
      <c r="A195" s="443" t="s">
        <v>2213</v>
      </c>
      <c r="B195" s="445" t="s">
        <v>1987</v>
      </c>
      <c r="C195" s="444" t="s">
        <v>129</v>
      </c>
      <c r="D195" s="444" t="s">
        <v>369</v>
      </c>
      <c r="E195" s="446" t="s">
        <v>2214</v>
      </c>
      <c r="F195" s="447" t="s">
        <v>1890</v>
      </c>
      <c r="G195" s="448"/>
      <c r="H195" s="448"/>
      <c r="I195" s="448" t="s">
        <v>1927</v>
      </c>
    </row>
    <row r="196" spans="1:9" ht="27" x14ac:dyDescent="0.3">
      <c r="A196" s="443" t="s">
        <v>2215</v>
      </c>
      <c r="B196" s="445" t="s">
        <v>1987</v>
      </c>
      <c r="C196" s="444" t="s">
        <v>129</v>
      </c>
      <c r="D196" s="444" t="s">
        <v>1354</v>
      </c>
      <c r="E196" s="446" t="s">
        <v>2216</v>
      </c>
      <c r="F196" s="447" t="s">
        <v>1890</v>
      </c>
      <c r="G196" s="448"/>
      <c r="H196" s="448"/>
      <c r="I196" s="448" t="s">
        <v>1856</v>
      </c>
    </row>
    <row r="197" spans="1:9" ht="27" x14ac:dyDescent="0.3">
      <c r="A197" s="443" t="s">
        <v>2217</v>
      </c>
      <c r="B197" s="445" t="s">
        <v>1987</v>
      </c>
      <c r="C197" s="444" t="s">
        <v>129</v>
      </c>
      <c r="D197" s="444" t="s">
        <v>1365</v>
      </c>
      <c r="E197" s="446" t="s">
        <v>2218</v>
      </c>
      <c r="F197" s="447" t="s">
        <v>1890</v>
      </c>
      <c r="G197" s="448"/>
      <c r="H197" s="448"/>
      <c r="I197" s="448" t="s">
        <v>1856</v>
      </c>
    </row>
    <row r="198" spans="1:9" ht="27" x14ac:dyDescent="0.3">
      <c r="A198" s="443" t="s">
        <v>2219</v>
      </c>
      <c r="B198" s="445" t="s">
        <v>1987</v>
      </c>
      <c r="C198" s="444" t="s">
        <v>129</v>
      </c>
      <c r="D198" s="444" t="s">
        <v>1374</v>
      </c>
      <c r="E198" s="446" t="s">
        <v>2220</v>
      </c>
      <c r="F198" s="447" t="s">
        <v>1890</v>
      </c>
      <c r="G198" s="448"/>
      <c r="H198" s="448"/>
      <c r="I198" s="448" t="s">
        <v>1856</v>
      </c>
    </row>
    <row r="199" spans="1:9" ht="27" x14ac:dyDescent="0.3">
      <c r="A199" s="443" t="s">
        <v>2221</v>
      </c>
      <c r="B199" s="445" t="s">
        <v>1987</v>
      </c>
      <c r="C199" s="444" t="s">
        <v>129</v>
      </c>
      <c r="D199" s="444" t="s">
        <v>1386</v>
      </c>
      <c r="E199" s="446" t="s">
        <v>2222</v>
      </c>
      <c r="F199" s="447" t="s">
        <v>1890</v>
      </c>
      <c r="G199" s="448"/>
      <c r="H199" s="448"/>
      <c r="I199" s="448" t="s">
        <v>1856</v>
      </c>
    </row>
    <row r="200" spans="1:9" ht="27" x14ac:dyDescent="0.3">
      <c r="A200" s="443" t="s">
        <v>2223</v>
      </c>
      <c r="B200" s="445" t="s">
        <v>1987</v>
      </c>
      <c r="C200" s="444" t="s">
        <v>129</v>
      </c>
      <c r="D200" s="444" t="s">
        <v>1397</v>
      </c>
      <c r="E200" s="446" t="s">
        <v>2224</v>
      </c>
      <c r="F200" s="447" t="s">
        <v>1890</v>
      </c>
      <c r="G200" s="448"/>
      <c r="H200" s="448"/>
      <c r="I200" s="448" t="s">
        <v>1927</v>
      </c>
    </row>
    <row r="201" spans="1:9" ht="27" x14ac:dyDescent="0.3">
      <c r="A201" s="443" t="s">
        <v>2225</v>
      </c>
      <c r="B201" s="445" t="s">
        <v>1987</v>
      </c>
      <c r="C201" s="444" t="s">
        <v>129</v>
      </c>
      <c r="D201" s="444" t="s">
        <v>1405</v>
      </c>
      <c r="E201" s="446" t="s">
        <v>2226</v>
      </c>
      <c r="F201" s="447" t="s">
        <v>1890</v>
      </c>
      <c r="G201" s="448"/>
      <c r="H201" s="448"/>
      <c r="I201" s="448" t="s">
        <v>1923</v>
      </c>
    </row>
    <row r="202" spans="1:9" ht="27" x14ac:dyDescent="0.3">
      <c r="A202" s="443" t="s">
        <v>2227</v>
      </c>
      <c r="B202" s="445" t="s">
        <v>1987</v>
      </c>
      <c r="C202" s="444" t="s">
        <v>129</v>
      </c>
      <c r="D202" s="444" t="s">
        <v>1416</v>
      </c>
      <c r="E202" s="446" t="s">
        <v>2228</v>
      </c>
      <c r="F202" s="447" t="s">
        <v>1890</v>
      </c>
      <c r="G202" s="448"/>
      <c r="H202" s="448"/>
      <c r="I202" s="448" t="s">
        <v>1856</v>
      </c>
    </row>
    <row r="203" spans="1:9" ht="27" x14ac:dyDescent="0.3">
      <c r="A203" s="443" t="s">
        <v>2229</v>
      </c>
      <c r="B203" s="445" t="s">
        <v>1987</v>
      </c>
      <c r="C203" s="444" t="s">
        <v>129</v>
      </c>
      <c r="D203" s="444" t="s">
        <v>1423</v>
      </c>
      <c r="E203" s="446" t="s">
        <v>2230</v>
      </c>
      <c r="F203" s="447" t="s">
        <v>1890</v>
      </c>
      <c r="G203" s="448"/>
      <c r="H203" s="448"/>
      <c r="I203" s="448" t="s">
        <v>1856</v>
      </c>
    </row>
    <row r="204" spans="1:9" ht="27" x14ac:dyDescent="0.3">
      <c r="A204" s="443" t="s">
        <v>2231</v>
      </c>
      <c r="B204" s="445" t="s">
        <v>1987</v>
      </c>
      <c r="C204" s="444" t="s">
        <v>129</v>
      </c>
      <c r="D204" s="444" t="s">
        <v>1789</v>
      </c>
      <c r="E204" s="446" t="s">
        <v>2232</v>
      </c>
      <c r="F204" s="447" t="s">
        <v>1854</v>
      </c>
      <c r="G204" s="448"/>
      <c r="H204" s="448" t="s">
        <v>1961</v>
      </c>
      <c r="I204" s="448" t="s">
        <v>1927</v>
      </c>
    </row>
    <row r="205" spans="1:9" ht="27" x14ac:dyDescent="0.3">
      <c r="A205" s="443" t="s">
        <v>2233</v>
      </c>
      <c r="B205" s="445" t="s">
        <v>1987</v>
      </c>
      <c r="C205" s="444" t="s">
        <v>129</v>
      </c>
      <c r="D205" s="444" t="s">
        <v>2234</v>
      </c>
      <c r="E205" s="446" t="s">
        <v>2235</v>
      </c>
      <c r="F205" s="447" t="s">
        <v>1890</v>
      </c>
      <c r="G205" s="448"/>
      <c r="H205" s="448"/>
      <c r="I205" s="448" t="s">
        <v>1856</v>
      </c>
    </row>
    <row r="206" spans="1:9" ht="27" x14ac:dyDescent="0.3">
      <c r="A206" s="443" t="s">
        <v>2236</v>
      </c>
      <c r="B206" s="445" t="s">
        <v>1987</v>
      </c>
      <c r="C206" s="444" t="s">
        <v>129</v>
      </c>
      <c r="D206" s="444" t="s">
        <v>2237</v>
      </c>
      <c r="E206" s="446" t="s">
        <v>2238</v>
      </c>
      <c r="F206" s="447" t="s">
        <v>1890</v>
      </c>
      <c r="G206" s="448"/>
      <c r="H206" s="448"/>
      <c r="I206" s="448" t="s">
        <v>1927</v>
      </c>
    </row>
    <row r="207" spans="1:9" ht="27" x14ac:dyDescent="0.3">
      <c r="A207" s="443" t="s">
        <v>2239</v>
      </c>
      <c r="B207" s="445" t="s">
        <v>1987</v>
      </c>
      <c r="C207" s="444" t="s">
        <v>129</v>
      </c>
      <c r="D207" s="444" t="s">
        <v>2240</v>
      </c>
      <c r="E207" s="446" t="s">
        <v>2241</v>
      </c>
      <c r="F207" s="447" t="s">
        <v>1890</v>
      </c>
      <c r="G207" s="448"/>
      <c r="H207" s="448"/>
      <c r="I207" s="448" t="s">
        <v>1856</v>
      </c>
    </row>
    <row r="208" spans="1:9" ht="27" x14ac:dyDescent="0.3">
      <c r="A208" s="443" t="s">
        <v>2242</v>
      </c>
      <c r="B208" s="445" t="s">
        <v>1987</v>
      </c>
      <c r="C208" s="444" t="s">
        <v>129</v>
      </c>
      <c r="D208" s="444" t="s">
        <v>2031</v>
      </c>
      <c r="E208" s="446" t="s">
        <v>2243</v>
      </c>
      <c r="F208" s="447" t="s">
        <v>1890</v>
      </c>
      <c r="G208" s="448"/>
      <c r="H208" s="448"/>
      <c r="I208" s="448" t="s">
        <v>1856</v>
      </c>
    </row>
    <row r="209" spans="1:9" ht="27" x14ac:dyDescent="0.3">
      <c r="A209" s="443" t="s">
        <v>2244</v>
      </c>
      <c r="B209" s="445" t="s">
        <v>1987</v>
      </c>
      <c r="C209" s="444" t="s">
        <v>129</v>
      </c>
      <c r="D209" s="444" t="s">
        <v>1919</v>
      </c>
      <c r="E209" s="446" t="s">
        <v>2245</v>
      </c>
      <c r="F209" s="447" t="s">
        <v>1890</v>
      </c>
      <c r="G209" s="448"/>
      <c r="H209" s="448"/>
      <c r="I209" s="448" t="s">
        <v>1927</v>
      </c>
    </row>
    <row r="210" spans="1:9" ht="27" x14ac:dyDescent="0.3">
      <c r="A210" s="443" t="s">
        <v>2246</v>
      </c>
      <c r="B210" s="445" t="s">
        <v>1987</v>
      </c>
      <c r="C210" s="444" t="s">
        <v>129</v>
      </c>
      <c r="D210" s="444" t="s">
        <v>2247</v>
      </c>
      <c r="E210" s="446" t="s">
        <v>2248</v>
      </c>
      <c r="F210" s="447" t="s">
        <v>1890</v>
      </c>
      <c r="G210" s="448"/>
      <c r="H210" s="448"/>
      <c r="I210" s="448" t="s">
        <v>1856</v>
      </c>
    </row>
    <row r="211" spans="1:9" ht="27" x14ac:dyDescent="0.3">
      <c r="A211" s="443" t="s">
        <v>2249</v>
      </c>
      <c r="B211" s="445" t="s">
        <v>1987</v>
      </c>
      <c r="C211" s="444" t="s">
        <v>129</v>
      </c>
      <c r="D211" s="444" t="s">
        <v>2102</v>
      </c>
      <c r="E211" s="446" t="s">
        <v>2250</v>
      </c>
      <c r="F211" s="447" t="s">
        <v>1890</v>
      </c>
      <c r="G211" s="448"/>
      <c r="H211" s="448"/>
      <c r="I211" s="448" t="s">
        <v>1923</v>
      </c>
    </row>
    <row r="212" spans="1:9" ht="27" x14ac:dyDescent="0.3">
      <c r="A212" s="443" t="s">
        <v>2251</v>
      </c>
      <c r="B212" s="445" t="s">
        <v>1987</v>
      </c>
      <c r="C212" s="444" t="s">
        <v>129</v>
      </c>
      <c r="D212" s="444" t="s">
        <v>2158</v>
      </c>
      <c r="E212" s="446" t="s">
        <v>2252</v>
      </c>
      <c r="F212" s="447" t="s">
        <v>1890</v>
      </c>
      <c r="G212" s="448"/>
      <c r="H212" s="448"/>
      <c r="I212" s="448" t="s">
        <v>1893</v>
      </c>
    </row>
    <row r="213" spans="1:9" ht="27" x14ac:dyDescent="0.3">
      <c r="A213" s="443" t="s">
        <v>2253</v>
      </c>
      <c r="B213" s="445" t="s">
        <v>1987</v>
      </c>
      <c r="C213" s="444" t="s">
        <v>129</v>
      </c>
      <c r="D213" s="444" t="s">
        <v>1189</v>
      </c>
      <c r="E213" s="446" t="s">
        <v>2254</v>
      </c>
      <c r="F213" s="447" t="s">
        <v>1890</v>
      </c>
      <c r="G213" s="448"/>
      <c r="H213" s="448"/>
      <c r="I213" s="448" t="s">
        <v>1927</v>
      </c>
    </row>
    <row r="214" spans="1:9" ht="27" x14ac:dyDescent="0.3">
      <c r="A214" s="443" t="s">
        <v>2255</v>
      </c>
      <c r="B214" s="445" t="s">
        <v>1987</v>
      </c>
      <c r="C214" s="444" t="s">
        <v>129</v>
      </c>
      <c r="D214" s="444" t="s">
        <v>1467</v>
      </c>
      <c r="E214" s="446" t="s">
        <v>2256</v>
      </c>
      <c r="F214" s="447" t="s">
        <v>1890</v>
      </c>
      <c r="G214" s="448"/>
      <c r="H214" s="448"/>
      <c r="I214" s="448" t="s">
        <v>1856</v>
      </c>
    </row>
    <row r="215" spans="1:9" ht="27" x14ac:dyDescent="0.3">
      <c r="A215" s="443" t="s">
        <v>2257</v>
      </c>
      <c r="B215" s="445" t="s">
        <v>1987</v>
      </c>
      <c r="C215" s="444" t="s">
        <v>129</v>
      </c>
      <c r="D215" s="444" t="s">
        <v>1470</v>
      </c>
      <c r="E215" s="446" t="s">
        <v>2258</v>
      </c>
      <c r="F215" s="447" t="s">
        <v>1890</v>
      </c>
      <c r="G215" s="448"/>
      <c r="H215" s="448"/>
      <c r="I215" s="448" t="s">
        <v>1927</v>
      </c>
    </row>
    <row r="216" spans="1:9" ht="27" x14ac:dyDescent="0.3">
      <c r="A216" s="443" t="s">
        <v>2259</v>
      </c>
      <c r="B216" s="445" t="s">
        <v>1987</v>
      </c>
      <c r="C216" s="444" t="s">
        <v>129</v>
      </c>
      <c r="D216" s="444" t="s">
        <v>1472</v>
      </c>
      <c r="E216" s="446" t="s">
        <v>2260</v>
      </c>
      <c r="F216" s="447" t="s">
        <v>1890</v>
      </c>
      <c r="G216" s="448"/>
      <c r="H216" s="448"/>
      <c r="I216" s="448" t="s">
        <v>1856</v>
      </c>
    </row>
    <row r="217" spans="1:9" ht="27" x14ac:dyDescent="0.3">
      <c r="A217" s="443" t="s">
        <v>2261</v>
      </c>
      <c r="B217" s="445" t="s">
        <v>1987</v>
      </c>
      <c r="C217" s="444" t="s">
        <v>129</v>
      </c>
      <c r="D217" s="444" t="s">
        <v>1474</v>
      </c>
      <c r="E217" s="446" t="s">
        <v>2262</v>
      </c>
      <c r="F217" s="447" t="s">
        <v>1890</v>
      </c>
      <c r="G217" s="448"/>
      <c r="H217" s="448"/>
      <c r="I217" s="448" t="s">
        <v>1927</v>
      </c>
    </row>
    <row r="218" spans="1:9" ht="27" x14ac:dyDescent="0.3">
      <c r="A218" s="443" t="s">
        <v>2263</v>
      </c>
      <c r="B218" s="445" t="s">
        <v>1987</v>
      </c>
      <c r="C218" s="444" t="s">
        <v>129</v>
      </c>
      <c r="D218" s="444" t="s">
        <v>2264</v>
      </c>
      <c r="E218" s="446" t="s">
        <v>2265</v>
      </c>
      <c r="F218" s="447" t="s">
        <v>1854</v>
      </c>
      <c r="G218" s="448"/>
      <c r="H218" s="448" t="s">
        <v>1961</v>
      </c>
      <c r="I218" s="448" t="s">
        <v>1874</v>
      </c>
    </row>
    <row r="219" spans="1:9" ht="27" x14ac:dyDescent="0.3">
      <c r="A219" s="443" t="s">
        <v>2266</v>
      </c>
      <c r="B219" s="445" t="s">
        <v>1987</v>
      </c>
      <c r="C219" s="444" t="s">
        <v>129</v>
      </c>
      <c r="D219" s="444" t="s">
        <v>1477</v>
      </c>
      <c r="E219" s="446" t="s">
        <v>2267</v>
      </c>
      <c r="F219" s="447" t="s">
        <v>1890</v>
      </c>
      <c r="G219" s="448"/>
      <c r="H219" s="448"/>
      <c r="I219" s="448" t="s">
        <v>1856</v>
      </c>
    </row>
    <row r="220" spans="1:9" ht="27" x14ac:dyDescent="0.3">
      <c r="A220" s="443" t="s">
        <v>2268</v>
      </c>
      <c r="B220" s="445" t="s">
        <v>1987</v>
      </c>
      <c r="C220" s="444" t="s">
        <v>129</v>
      </c>
      <c r="D220" s="444" t="s">
        <v>1308</v>
      </c>
      <c r="E220" s="446" t="s">
        <v>2269</v>
      </c>
      <c r="F220" s="447" t="s">
        <v>1890</v>
      </c>
      <c r="G220" s="448"/>
      <c r="H220" s="448"/>
      <c r="I220" s="448" t="s">
        <v>1923</v>
      </c>
    </row>
    <row r="221" spans="1:9" ht="27" x14ac:dyDescent="0.3">
      <c r="A221" s="443" t="s">
        <v>2270</v>
      </c>
      <c r="B221" s="445" t="s">
        <v>2271</v>
      </c>
      <c r="C221" s="444" t="s">
        <v>80</v>
      </c>
      <c r="D221" s="444" t="s">
        <v>170</v>
      </c>
      <c r="E221" s="446" t="s">
        <v>2272</v>
      </c>
      <c r="F221" s="447" t="s">
        <v>1890</v>
      </c>
      <c r="G221" s="448"/>
      <c r="H221" s="448"/>
      <c r="I221" s="448" t="s">
        <v>1893</v>
      </c>
    </row>
    <row r="222" spans="1:9" ht="27" x14ac:dyDescent="0.3">
      <c r="A222" s="443" t="s">
        <v>2273</v>
      </c>
      <c r="B222" s="445" t="s">
        <v>2271</v>
      </c>
      <c r="C222" s="444" t="s">
        <v>80</v>
      </c>
      <c r="D222" s="444" t="s">
        <v>245</v>
      </c>
      <c r="E222" s="446" t="s">
        <v>2274</v>
      </c>
      <c r="F222" s="447" t="s">
        <v>1890</v>
      </c>
      <c r="G222" s="448"/>
      <c r="H222" s="448"/>
      <c r="I222" s="448" t="s">
        <v>1893</v>
      </c>
    </row>
    <row r="223" spans="1:9" ht="27" x14ac:dyDescent="0.3">
      <c r="A223" s="443" t="s">
        <v>2275</v>
      </c>
      <c r="B223" s="445" t="s">
        <v>2271</v>
      </c>
      <c r="C223" s="444" t="s">
        <v>80</v>
      </c>
      <c r="D223" s="444" t="s">
        <v>317</v>
      </c>
      <c r="E223" s="446" t="s">
        <v>2276</v>
      </c>
      <c r="F223" s="447" t="s">
        <v>1890</v>
      </c>
      <c r="G223" s="448"/>
      <c r="H223" s="448"/>
      <c r="I223" s="448" t="s">
        <v>1896</v>
      </c>
    </row>
    <row r="224" spans="1:9" ht="27" x14ac:dyDescent="0.3">
      <c r="A224" s="443" t="s">
        <v>2277</v>
      </c>
      <c r="B224" s="445" t="s">
        <v>2271</v>
      </c>
      <c r="C224" s="444" t="s">
        <v>80</v>
      </c>
      <c r="D224" s="444" t="s">
        <v>390</v>
      </c>
      <c r="E224" s="446" t="s">
        <v>2278</v>
      </c>
      <c r="F224" s="447" t="s">
        <v>1890</v>
      </c>
      <c r="G224" s="448"/>
      <c r="H224" s="448"/>
      <c r="I224" s="448" t="s">
        <v>1896</v>
      </c>
    </row>
    <row r="225" spans="1:9" ht="27" x14ac:dyDescent="0.3">
      <c r="A225" s="443" t="s">
        <v>2279</v>
      </c>
      <c r="B225" s="445" t="s">
        <v>2271</v>
      </c>
      <c r="C225" s="444" t="s">
        <v>80</v>
      </c>
      <c r="D225" s="444" t="s">
        <v>462</v>
      </c>
      <c r="E225" s="446" t="s">
        <v>2280</v>
      </c>
      <c r="F225" s="447" t="s">
        <v>1890</v>
      </c>
      <c r="G225" s="448"/>
      <c r="H225" s="448"/>
      <c r="I225" s="448" t="s">
        <v>1896</v>
      </c>
    </row>
    <row r="226" spans="1:9" ht="27" x14ac:dyDescent="0.3">
      <c r="A226" s="443" t="s">
        <v>2281</v>
      </c>
      <c r="B226" s="445" t="s">
        <v>2271</v>
      </c>
      <c r="C226" s="444" t="s">
        <v>80</v>
      </c>
      <c r="D226" s="444" t="s">
        <v>534</v>
      </c>
      <c r="E226" s="446" t="s">
        <v>2282</v>
      </c>
      <c r="F226" s="447" t="s">
        <v>1890</v>
      </c>
      <c r="G226" s="448"/>
      <c r="H226" s="448"/>
      <c r="I226" s="448" t="s">
        <v>1896</v>
      </c>
    </row>
    <row r="227" spans="1:9" ht="27" x14ac:dyDescent="0.3">
      <c r="A227" s="443" t="s">
        <v>2283</v>
      </c>
      <c r="B227" s="445" t="s">
        <v>2271</v>
      </c>
      <c r="C227" s="444" t="s">
        <v>97</v>
      </c>
      <c r="D227" s="444" t="s">
        <v>171</v>
      </c>
      <c r="E227" s="446" t="s">
        <v>2284</v>
      </c>
      <c r="F227" s="447" t="s">
        <v>1890</v>
      </c>
      <c r="G227" s="448"/>
      <c r="H227" s="448"/>
      <c r="I227" s="448" t="s">
        <v>1927</v>
      </c>
    </row>
    <row r="228" spans="1:9" ht="27" x14ac:dyDescent="0.3">
      <c r="A228" s="443" t="s">
        <v>2285</v>
      </c>
      <c r="B228" s="445" t="s">
        <v>2271</v>
      </c>
      <c r="C228" s="444" t="s">
        <v>97</v>
      </c>
      <c r="D228" s="444" t="s">
        <v>246</v>
      </c>
      <c r="E228" s="446" t="s">
        <v>2286</v>
      </c>
      <c r="F228" s="447" t="s">
        <v>1890</v>
      </c>
      <c r="G228" s="448"/>
      <c r="H228" s="448"/>
      <c r="I228" s="448" t="s">
        <v>1927</v>
      </c>
    </row>
    <row r="229" spans="1:9" ht="27" x14ac:dyDescent="0.3">
      <c r="A229" s="443" t="s">
        <v>2287</v>
      </c>
      <c r="B229" s="445" t="s">
        <v>2271</v>
      </c>
      <c r="C229" s="444" t="s">
        <v>97</v>
      </c>
      <c r="D229" s="444" t="s">
        <v>318</v>
      </c>
      <c r="E229" s="446" t="s">
        <v>2288</v>
      </c>
      <c r="F229" s="447" t="s">
        <v>1890</v>
      </c>
      <c r="G229" s="448"/>
      <c r="H229" s="448"/>
      <c r="I229" s="448" t="s">
        <v>1927</v>
      </c>
    </row>
    <row r="230" spans="1:9" ht="27" x14ac:dyDescent="0.3">
      <c r="A230" s="443" t="s">
        <v>2289</v>
      </c>
      <c r="B230" s="445" t="s">
        <v>2271</v>
      </c>
      <c r="C230" s="444" t="s">
        <v>97</v>
      </c>
      <c r="D230" s="444" t="s">
        <v>391</v>
      </c>
      <c r="E230" s="446" t="s">
        <v>2290</v>
      </c>
      <c r="F230" s="447" t="s">
        <v>1890</v>
      </c>
      <c r="G230" s="448"/>
      <c r="H230" s="448"/>
      <c r="I230" s="448" t="s">
        <v>1874</v>
      </c>
    </row>
    <row r="231" spans="1:9" ht="27" x14ac:dyDescent="0.3">
      <c r="A231" s="443" t="s">
        <v>2291</v>
      </c>
      <c r="B231" s="445" t="s">
        <v>2271</v>
      </c>
      <c r="C231" s="444" t="s">
        <v>97</v>
      </c>
      <c r="D231" s="444" t="s">
        <v>463</v>
      </c>
      <c r="E231" s="446" t="s">
        <v>2292</v>
      </c>
      <c r="F231" s="447" t="s">
        <v>1890</v>
      </c>
      <c r="G231" s="448"/>
      <c r="H231" s="448"/>
      <c r="I231" s="448" t="s">
        <v>1856</v>
      </c>
    </row>
    <row r="232" spans="1:9" ht="27" x14ac:dyDescent="0.3">
      <c r="A232" s="443" t="s">
        <v>2293</v>
      </c>
      <c r="B232" s="445" t="s">
        <v>2271</v>
      </c>
      <c r="C232" s="444" t="s">
        <v>97</v>
      </c>
      <c r="D232" s="444" t="s">
        <v>535</v>
      </c>
      <c r="E232" s="446" t="s">
        <v>2294</v>
      </c>
      <c r="F232" s="447" t="s">
        <v>1890</v>
      </c>
      <c r="G232" s="448"/>
      <c r="H232" s="448"/>
      <c r="I232" s="448" t="s">
        <v>1856</v>
      </c>
    </row>
    <row r="233" spans="1:9" ht="27" x14ac:dyDescent="0.3">
      <c r="A233" s="443" t="s">
        <v>2295</v>
      </c>
      <c r="B233" s="445" t="s">
        <v>2271</v>
      </c>
      <c r="C233" s="444" t="s">
        <v>97</v>
      </c>
      <c r="D233" s="444" t="s">
        <v>603</v>
      </c>
      <c r="E233" s="446" t="s">
        <v>2296</v>
      </c>
      <c r="F233" s="447" t="s">
        <v>1890</v>
      </c>
      <c r="G233" s="448"/>
      <c r="H233" s="448"/>
      <c r="I233" s="448" t="s">
        <v>1923</v>
      </c>
    </row>
    <row r="234" spans="1:9" ht="27" x14ac:dyDescent="0.3">
      <c r="A234" s="443" t="s">
        <v>2297</v>
      </c>
      <c r="B234" s="445" t="s">
        <v>2271</v>
      </c>
      <c r="C234" s="444" t="s">
        <v>97</v>
      </c>
      <c r="D234" s="444" t="s">
        <v>670</v>
      </c>
      <c r="E234" s="446" t="s">
        <v>2298</v>
      </c>
      <c r="F234" s="447" t="s">
        <v>1890</v>
      </c>
      <c r="G234" s="448"/>
      <c r="H234" s="448"/>
      <c r="I234" s="448" t="s">
        <v>1927</v>
      </c>
    </row>
    <row r="235" spans="1:9" ht="27" x14ac:dyDescent="0.3">
      <c r="A235" s="443" t="s">
        <v>2299</v>
      </c>
      <c r="B235" s="445" t="s">
        <v>2271</v>
      </c>
      <c r="C235" s="444" t="s">
        <v>97</v>
      </c>
      <c r="D235" s="444" t="s">
        <v>733</v>
      </c>
      <c r="E235" s="446" t="s">
        <v>2300</v>
      </c>
      <c r="F235" s="447" t="s">
        <v>1890</v>
      </c>
      <c r="G235" s="448"/>
      <c r="H235" s="448"/>
      <c r="I235" s="448" t="s">
        <v>1927</v>
      </c>
    </row>
    <row r="236" spans="1:9" ht="27" x14ac:dyDescent="0.3">
      <c r="A236" s="443" t="s">
        <v>2301</v>
      </c>
      <c r="B236" s="445" t="s">
        <v>2271</v>
      </c>
      <c r="C236" s="444" t="s">
        <v>97</v>
      </c>
      <c r="D236" s="444" t="s">
        <v>795</v>
      </c>
      <c r="E236" s="446" t="s">
        <v>2302</v>
      </c>
      <c r="F236" s="447" t="s">
        <v>1890</v>
      </c>
      <c r="G236" s="448"/>
      <c r="H236" s="448"/>
      <c r="I236" s="448" t="s">
        <v>1923</v>
      </c>
    </row>
    <row r="237" spans="1:9" ht="27" x14ac:dyDescent="0.3">
      <c r="A237" s="443" t="s">
        <v>2303</v>
      </c>
      <c r="B237" s="445" t="s">
        <v>2271</v>
      </c>
      <c r="C237" s="444" t="s">
        <v>97</v>
      </c>
      <c r="D237" s="444" t="s">
        <v>690</v>
      </c>
      <c r="E237" s="446" t="s">
        <v>2304</v>
      </c>
      <c r="F237" s="447" t="s">
        <v>1890</v>
      </c>
      <c r="G237" s="448"/>
      <c r="H237" s="448"/>
      <c r="I237" s="448" t="s">
        <v>1927</v>
      </c>
    </row>
    <row r="238" spans="1:9" ht="27" x14ac:dyDescent="0.3">
      <c r="A238" s="443" t="s">
        <v>2305</v>
      </c>
      <c r="B238" s="445" t="s">
        <v>2271</v>
      </c>
      <c r="C238" s="444" t="s">
        <v>97</v>
      </c>
      <c r="D238" s="444" t="s">
        <v>909</v>
      </c>
      <c r="E238" s="446" t="s">
        <v>2306</v>
      </c>
      <c r="F238" s="447" t="s">
        <v>1890</v>
      </c>
      <c r="G238" s="448"/>
      <c r="H238" s="448"/>
      <c r="I238" s="448" t="s">
        <v>1927</v>
      </c>
    </row>
    <row r="239" spans="1:9" ht="27" x14ac:dyDescent="0.3">
      <c r="A239" s="443" t="s">
        <v>2307</v>
      </c>
      <c r="B239" s="445" t="s">
        <v>2271</v>
      </c>
      <c r="C239" s="444" t="s">
        <v>97</v>
      </c>
      <c r="D239" s="444" t="s">
        <v>962</v>
      </c>
      <c r="E239" s="446" t="s">
        <v>2308</v>
      </c>
      <c r="F239" s="447" t="s">
        <v>1890</v>
      </c>
      <c r="G239" s="448"/>
      <c r="H239" s="448"/>
      <c r="I239" s="448" t="s">
        <v>1856</v>
      </c>
    </row>
    <row r="240" spans="1:9" ht="27" x14ac:dyDescent="0.3">
      <c r="A240" s="443" t="s">
        <v>2309</v>
      </c>
      <c r="B240" s="445" t="s">
        <v>2271</v>
      </c>
      <c r="C240" s="444" t="s">
        <v>97</v>
      </c>
      <c r="D240" s="444" t="s">
        <v>1006</v>
      </c>
      <c r="E240" s="446" t="s">
        <v>2310</v>
      </c>
      <c r="F240" s="447" t="s">
        <v>1890</v>
      </c>
      <c r="G240" s="448"/>
      <c r="H240" s="448"/>
      <c r="I240" s="448" t="s">
        <v>1856</v>
      </c>
    </row>
    <row r="241" spans="1:9" ht="27" x14ac:dyDescent="0.3">
      <c r="A241" s="443" t="s">
        <v>2311</v>
      </c>
      <c r="B241" s="445" t="s">
        <v>2271</v>
      </c>
      <c r="C241" s="444" t="s">
        <v>97</v>
      </c>
      <c r="D241" s="444" t="s">
        <v>1055</v>
      </c>
      <c r="E241" s="446" t="s">
        <v>2312</v>
      </c>
      <c r="F241" s="447" t="s">
        <v>1890</v>
      </c>
      <c r="G241" s="448"/>
      <c r="H241" s="448"/>
      <c r="I241" s="448" t="s">
        <v>1923</v>
      </c>
    </row>
    <row r="242" spans="1:9" ht="27" x14ac:dyDescent="0.3">
      <c r="A242" s="443" t="s">
        <v>2313</v>
      </c>
      <c r="B242" s="445" t="s">
        <v>2271</v>
      </c>
      <c r="C242" s="444" t="s">
        <v>97</v>
      </c>
      <c r="D242" s="444" t="s">
        <v>1093</v>
      </c>
      <c r="E242" s="446" t="s">
        <v>2314</v>
      </c>
      <c r="F242" s="447" t="s">
        <v>1890</v>
      </c>
      <c r="G242" s="448"/>
      <c r="H242" s="448"/>
      <c r="I242" s="448" t="s">
        <v>1856</v>
      </c>
    </row>
    <row r="243" spans="1:9" ht="27" x14ac:dyDescent="0.3">
      <c r="A243" s="443" t="s">
        <v>2315</v>
      </c>
      <c r="B243" s="445" t="s">
        <v>2271</v>
      </c>
      <c r="C243" s="444" t="s">
        <v>97</v>
      </c>
      <c r="D243" s="444" t="s">
        <v>1131</v>
      </c>
      <c r="E243" s="446" t="s">
        <v>2316</v>
      </c>
      <c r="F243" s="447" t="s">
        <v>1890</v>
      </c>
      <c r="G243" s="448"/>
      <c r="H243" s="448"/>
      <c r="I243" s="448" t="s">
        <v>1927</v>
      </c>
    </row>
    <row r="244" spans="1:9" ht="27" x14ac:dyDescent="0.3">
      <c r="A244" s="443" t="s">
        <v>2317</v>
      </c>
      <c r="B244" s="445" t="s">
        <v>2271</v>
      </c>
      <c r="C244" s="444" t="s">
        <v>97</v>
      </c>
      <c r="D244" s="444" t="s">
        <v>1147</v>
      </c>
      <c r="E244" s="446" t="s">
        <v>2318</v>
      </c>
      <c r="F244" s="447" t="s">
        <v>1890</v>
      </c>
      <c r="G244" s="448"/>
      <c r="H244" s="448"/>
      <c r="I244" s="448" t="s">
        <v>1923</v>
      </c>
    </row>
    <row r="245" spans="1:9" ht="27" x14ac:dyDescent="0.3">
      <c r="A245" s="443" t="s">
        <v>2319</v>
      </c>
      <c r="B245" s="445" t="s">
        <v>2271</v>
      </c>
      <c r="C245" s="444" t="s">
        <v>97</v>
      </c>
      <c r="D245" s="444" t="s">
        <v>1195</v>
      </c>
      <c r="E245" s="446" t="s">
        <v>2320</v>
      </c>
      <c r="F245" s="447" t="s">
        <v>1890</v>
      </c>
      <c r="G245" s="448"/>
      <c r="H245" s="448"/>
      <c r="I245" s="448" t="s">
        <v>1856</v>
      </c>
    </row>
    <row r="246" spans="1:9" ht="27" x14ac:dyDescent="0.3">
      <c r="A246" s="443" t="s">
        <v>2321</v>
      </c>
      <c r="B246" s="445" t="s">
        <v>2271</v>
      </c>
      <c r="C246" s="444" t="s">
        <v>97</v>
      </c>
      <c r="D246" s="444" t="s">
        <v>1225</v>
      </c>
      <c r="E246" s="446" t="s">
        <v>2322</v>
      </c>
      <c r="F246" s="447" t="s">
        <v>1890</v>
      </c>
      <c r="G246" s="448"/>
      <c r="H246" s="448"/>
      <c r="I246" s="448" t="s">
        <v>1923</v>
      </c>
    </row>
    <row r="247" spans="1:9" ht="27" x14ac:dyDescent="0.3">
      <c r="A247" s="443" t="s">
        <v>2323</v>
      </c>
      <c r="B247" s="445" t="s">
        <v>2271</v>
      </c>
      <c r="C247" s="444" t="s">
        <v>97</v>
      </c>
      <c r="D247" s="444" t="s">
        <v>145</v>
      </c>
      <c r="E247" s="446" t="s">
        <v>2324</v>
      </c>
      <c r="F247" s="447" t="s">
        <v>1890</v>
      </c>
      <c r="G247" s="448"/>
      <c r="H247" s="448"/>
      <c r="I247" s="448" t="s">
        <v>1893</v>
      </c>
    </row>
    <row r="248" spans="1:9" ht="27" x14ac:dyDescent="0.3">
      <c r="A248" s="443" t="s">
        <v>2325</v>
      </c>
      <c r="B248" s="445" t="s">
        <v>2271</v>
      </c>
      <c r="C248" s="444" t="s">
        <v>97</v>
      </c>
      <c r="D248" s="444" t="s">
        <v>1268</v>
      </c>
      <c r="E248" s="446" t="s">
        <v>2326</v>
      </c>
      <c r="F248" s="447" t="s">
        <v>1890</v>
      </c>
      <c r="G248" s="448"/>
      <c r="H248" s="448"/>
      <c r="I248" s="448" t="s">
        <v>1927</v>
      </c>
    </row>
    <row r="249" spans="1:9" ht="27" x14ac:dyDescent="0.3">
      <c r="A249" s="443" t="s">
        <v>2327</v>
      </c>
      <c r="B249" s="445" t="s">
        <v>2271</v>
      </c>
      <c r="C249" s="444" t="s">
        <v>97</v>
      </c>
      <c r="D249" s="444" t="s">
        <v>2328</v>
      </c>
      <c r="E249" s="446" t="s">
        <v>2329</v>
      </c>
      <c r="F249" s="447" t="s">
        <v>1890</v>
      </c>
      <c r="G249" s="448"/>
      <c r="H249" s="448"/>
      <c r="I249" s="448" t="s">
        <v>1874</v>
      </c>
    </row>
    <row r="250" spans="1:9" ht="27" x14ac:dyDescent="0.3">
      <c r="A250" s="443" t="s">
        <v>2330</v>
      </c>
      <c r="B250" s="445" t="s">
        <v>2271</v>
      </c>
      <c r="C250" s="444" t="s">
        <v>97</v>
      </c>
      <c r="D250" s="444" t="s">
        <v>2331</v>
      </c>
      <c r="E250" s="446" t="s">
        <v>2332</v>
      </c>
      <c r="F250" s="447" t="s">
        <v>1890</v>
      </c>
      <c r="G250" s="448"/>
      <c r="H250" s="448"/>
      <c r="I250" s="448" t="s">
        <v>1893</v>
      </c>
    </row>
    <row r="251" spans="1:9" ht="27" x14ac:dyDescent="0.3">
      <c r="A251" s="443" t="s">
        <v>2333</v>
      </c>
      <c r="B251" s="445" t="s">
        <v>2271</v>
      </c>
      <c r="C251" s="444" t="s">
        <v>97</v>
      </c>
      <c r="D251" s="444" t="s">
        <v>2334</v>
      </c>
      <c r="E251" s="446" t="s">
        <v>2335</v>
      </c>
      <c r="F251" s="447" t="s">
        <v>1890</v>
      </c>
      <c r="G251" s="448"/>
      <c r="H251" s="448"/>
      <c r="I251" s="448" t="s">
        <v>1923</v>
      </c>
    </row>
    <row r="252" spans="1:9" ht="27" x14ac:dyDescent="0.3">
      <c r="A252" s="443" t="s">
        <v>2336</v>
      </c>
      <c r="B252" s="445" t="s">
        <v>2271</v>
      </c>
      <c r="C252" s="444" t="s">
        <v>97</v>
      </c>
      <c r="D252" s="444" t="s">
        <v>2337</v>
      </c>
      <c r="E252" s="446" t="s">
        <v>2338</v>
      </c>
      <c r="F252" s="447" t="s">
        <v>1890</v>
      </c>
      <c r="G252" s="448" t="s">
        <v>2339</v>
      </c>
      <c r="H252" s="448"/>
      <c r="I252" s="448" t="s">
        <v>1874</v>
      </c>
    </row>
    <row r="253" spans="1:9" ht="27" x14ac:dyDescent="0.3">
      <c r="A253" s="443" t="s">
        <v>2340</v>
      </c>
      <c r="B253" s="445" t="s">
        <v>2271</v>
      </c>
      <c r="C253" s="444" t="s">
        <v>97</v>
      </c>
      <c r="D253" s="444" t="s">
        <v>1355</v>
      </c>
      <c r="E253" s="446" t="s">
        <v>2341</v>
      </c>
      <c r="F253" s="447" t="s">
        <v>1890</v>
      </c>
      <c r="G253" s="448"/>
      <c r="H253" s="448"/>
      <c r="I253" s="448" t="s">
        <v>1856</v>
      </c>
    </row>
    <row r="254" spans="1:9" ht="27" x14ac:dyDescent="0.3">
      <c r="A254" s="443" t="s">
        <v>2342</v>
      </c>
      <c r="B254" s="445" t="s">
        <v>2271</v>
      </c>
      <c r="C254" s="444" t="s">
        <v>97</v>
      </c>
      <c r="D254" s="444" t="s">
        <v>1366</v>
      </c>
      <c r="E254" s="446" t="s">
        <v>2343</v>
      </c>
      <c r="F254" s="447" t="s">
        <v>1890</v>
      </c>
      <c r="G254" s="448"/>
      <c r="H254" s="448"/>
      <c r="I254" s="448" t="s">
        <v>1856</v>
      </c>
    </row>
    <row r="255" spans="1:9" ht="27" x14ac:dyDescent="0.3">
      <c r="A255" s="443" t="s">
        <v>2344</v>
      </c>
      <c r="B255" s="445" t="s">
        <v>2271</v>
      </c>
      <c r="C255" s="444" t="s">
        <v>97</v>
      </c>
      <c r="D255" s="444" t="s">
        <v>2345</v>
      </c>
      <c r="E255" s="446" t="s">
        <v>2346</v>
      </c>
      <c r="F255" s="447" t="s">
        <v>1854</v>
      </c>
      <c r="G255" s="448"/>
      <c r="H255" s="448" t="s">
        <v>1961</v>
      </c>
      <c r="I255" s="448" t="s">
        <v>1927</v>
      </c>
    </row>
    <row r="256" spans="1:9" ht="27" x14ac:dyDescent="0.3">
      <c r="A256" s="443" t="s">
        <v>2347</v>
      </c>
      <c r="B256" s="445" t="s">
        <v>2271</v>
      </c>
      <c r="C256" s="444" t="s">
        <v>114</v>
      </c>
      <c r="D256" s="444" t="s">
        <v>172</v>
      </c>
      <c r="E256" s="446" t="s">
        <v>2348</v>
      </c>
      <c r="F256" s="447" t="s">
        <v>1890</v>
      </c>
      <c r="G256" s="448"/>
      <c r="H256" s="448"/>
      <c r="I256" s="448" t="s">
        <v>1856</v>
      </c>
    </row>
    <row r="257" spans="1:9" ht="27" x14ac:dyDescent="0.3">
      <c r="A257" s="443" t="s">
        <v>2349</v>
      </c>
      <c r="B257" s="445" t="s">
        <v>2271</v>
      </c>
      <c r="C257" s="444" t="s">
        <v>114</v>
      </c>
      <c r="D257" s="444" t="s">
        <v>247</v>
      </c>
      <c r="E257" s="446" t="s">
        <v>2350</v>
      </c>
      <c r="F257" s="447" t="s">
        <v>1890</v>
      </c>
      <c r="G257" s="448"/>
      <c r="H257" s="448"/>
      <c r="I257" s="448" t="s">
        <v>1927</v>
      </c>
    </row>
    <row r="258" spans="1:9" ht="27" x14ac:dyDescent="0.3">
      <c r="A258" s="443" t="s">
        <v>2351</v>
      </c>
      <c r="B258" s="445" t="s">
        <v>2271</v>
      </c>
      <c r="C258" s="444" t="s">
        <v>114</v>
      </c>
      <c r="D258" s="444" t="s">
        <v>81</v>
      </c>
      <c r="E258" s="446" t="s">
        <v>2352</v>
      </c>
      <c r="F258" s="447" t="s">
        <v>1890</v>
      </c>
      <c r="G258" s="448"/>
      <c r="H258" s="448"/>
      <c r="I258" s="448" t="s">
        <v>1927</v>
      </c>
    </row>
    <row r="259" spans="1:9" ht="27" x14ac:dyDescent="0.3">
      <c r="A259" s="443" t="s">
        <v>2353</v>
      </c>
      <c r="B259" s="445" t="s">
        <v>2271</v>
      </c>
      <c r="C259" s="444" t="s">
        <v>114</v>
      </c>
      <c r="D259" s="444" t="s">
        <v>2354</v>
      </c>
      <c r="E259" s="446" t="s">
        <v>2355</v>
      </c>
      <c r="F259" s="447" t="s">
        <v>1890</v>
      </c>
      <c r="G259" s="448"/>
      <c r="H259" s="448"/>
      <c r="I259" s="448" t="s">
        <v>1923</v>
      </c>
    </row>
    <row r="260" spans="1:9" ht="27" x14ac:dyDescent="0.3">
      <c r="A260" s="443" t="s">
        <v>2356</v>
      </c>
      <c r="B260" s="445" t="s">
        <v>2271</v>
      </c>
      <c r="C260" s="444" t="s">
        <v>114</v>
      </c>
      <c r="D260" s="444" t="s">
        <v>377</v>
      </c>
      <c r="E260" s="446" t="s">
        <v>2357</v>
      </c>
      <c r="F260" s="447" t="s">
        <v>1890</v>
      </c>
      <c r="G260" s="448"/>
      <c r="H260" s="448"/>
      <c r="I260" s="448" t="s">
        <v>1923</v>
      </c>
    </row>
    <row r="261" spans="1:9" ht="27" x14ac:dyDescent="0.3">
      <c r="A261" s="443" t="s">
        <v>2358</v>
      </c>
      <c r="B261" s="445" t="s">
        <v>2271</v>
      </c>
      <c r="C261" s="444" t="s">
        <v>114</v>
      </c>
      <c r="D261" s="444" t="s">
        <v>536</v>
      </c>
      <c r="E261" s="446" t="s">
        <v>2359</v>
      </c>
      <c r="F261" s="447" t="s">
        <v>1890</v>
      </c>
      <c r="G261" s="448"/>
      <c r="H261" s="448"/>
      <c r="I261" s="448" t="s">
        <v>1856</v>
      </c>
    </row>
    <row r="262" spans="1:9" ht="27" x14ac:dyDescent="0.3">
      <c r="A262" s="443" t="s">
        <v>2360</v>
      </c>
      <c r="B262" s="445" t="s">
        <v>2271</v>
      </c>
      <c r="C262" s="444" t="s">
        <v>114</v>
      </c>
      <c r="D262" s="444" t="s">
        <v>604</v>
      </c>
      <c r="E262" s="446" t="s">
        <v>2361</v>
      </c>
      <c r="F262" s="447" t="s">
        <v>1890</v>
      </c>
      <c r="G262" s="448"/>
      <c r="H262" s="448"/>
      <c r="I262" s="448" t="s">
        <v>1927</v>
      </c>
    </row>
    <row r="263" spans="1:9" ht="27" x14ac:dyDescent="0.3">
      <c r="A263" s="443" t="s">
        <v>2362</v>
      </c>
      <c r="B263" s="445" t="s">
        <v>2271</v>
      </c>
      <c r="C263" s="444" t="s">
        <v>114</v>
      </c>
      <c r="D263" s="444" t="s">
        <v>2363</v>
      </c>
      <c r="E263" s="446" t="s">
        <v>2364</v>
      </c>
      <c r="F263" s="447" t="s">
        <v>1854</v>
      </c>
      <c r="G263" s="448"/>
      <c r="H263" s="448" t="s">
        <v>1961</v>
      </c>
      <c r="I263" s="448" t="s">
        <v>1927</v>
      </c>
    </row>
    <row r="264" spans="1:9" ht="27" x14ac:dyDescent="0.3">
      <c r="A264" s="443" t="s">
        <v>2365</v>
      </c>
      <c r="B264" s="445" t="s">
        <v>2271</v>
      </c>
      <c r="C264" s="444" t="s">
        <v>114</v>
      </c>
      <c r="D264" s="444" t="s">
        <v>853</v>
      </c>
      <c r="E264" s="446" t="s">
        <v>2366</v>
      </c>
      <c r="F264" s="447" t="s">
        <v>1890</v>
      </c>
      <c r="G264" s="448"/>
      <c r="H264" s="448"/>
      <c r="I264" s="448" t="s">
        <v>1927</v>
      </c>
    </row>
    <row r="265" spans="1:9" ht="27" x14ac:dyDescent="0.3">
      <c r="A265" s="443" t="s">
        <v>2367</v>
      </c>
      <c r="B265" s="445" t="s">
        <v>2271</v>
      </c>
      <c r="C265" s="444" t="s">
        <v>114</v>
      </c>
      <c r="D265" s="444" t="s">
        <v>963</v>
      </c>
      <c r="E265" s="446" t="s">
        <v>2368</v>
      </c>
      <c r="F265" s="447" t="s">
        <v>1890</v>
      </c>
      <c r="G265" s="448"/>
      <c r="H265" s="448"/>
      <c r="I265" s="448" t="s">
        <v>1856</v>
      </c>
    </row>
    <row r="266" spans="1:9" ht="27" x14ac:dyDescent="0.3">
      <c r="A266" s="443" t="s">
        <v>2369</v>
      </c>
      <c r="B266" s="445" t="s">
        <v>2271</v>
      </c>
      <c r="C266" s="444" t="s">
        <v>114</v>
      </c>
      <c r="D266" s="444" t="s">
        <v>1007</v>
      </c>
      <c r="E266" s="446" t="s">
        <v>2370</v>
      </c>
      <c r="F266" s="447" t="s">
        <v>1890</v>
      </c>
      <c r="G266" s="448"/>
      <c r="H266" s="448"/>
      <c r="I266" s="448" t="s">
        <v>1874</v>
      </c>
    </row>
    <row r="267" spans="1:9" ht="27" x14ac:dyDescent="0.3">
      <c r="A267" s="443" t="s">
        <v>2371</v>
      </c>
      <c r="B267" s="445" t="s">
        <v>2271</v>
      </c>
      <c r="C267" s="444" t="s">
        <v>114</v>
      </c>
      <c r="D267" s="444" t="s">
        <v>1056</v>
      </c>
      <c r="E267" s="446" t="s">
        <v>2372</v>
      </c>
      <c r="F267" s="447" t="s">
        <v>1890</v>
      </c>
      <c r="G267" s="448"/>
      <c r="H267" s="448"/>
      <c r="I267" s="448" t="s">
        <v>1856</v>
      </c>
    </row>
    <row r="268" spans="1:9" ht="27" x14ac:dyDescent="0.3">
      <c r="A268" s="443" t="s">
        <v>2373</v>
      </c>
      <c r="B268" s="445" t="s">
        <v>2271</v>
      </c>
      <c r="C268" s="444" t="s">
        <v>114</v>
      </c>
      <c r="D268" s="444" t="s">
        <v>1094</v>
      </c>
      <c r="E268" s="446" t="s">
        <v>2374</v>
      </c>
      <c r="F268" s="447" t="s">
        <v>1890</v>
      </c>
      <c r="G268" s="448"/>
      <c r="H268" s="448"/>
      <c r="I268" s="448" t="s">
        <v>1923</v>
      </c>
    </row>
    <row r="269" spans="1:9" ht="28.8" x14ac:dyDescent="0.3">
      <c r="A269" s="443" t="s">
        <v>2375</v>
      </c>
      <c r="B269" s="445" t="s">
        <v>2271</v>
      </c>
      <c r="C269" s="444" t="s">
        <v>114</v>
      </c>
      <c r="D269" s="444" t="s">
        <v>2376</v>
      </c>
      <c r="E269" s="446" t="s">
        <v>2377</v>
      </c>
      <c r="F269" s="447" t="s">
        <v>1854</v>
      </c>
      <c r="G269" s="448"/>
      <c r="H269" s="448" t="s">
        <v>1961</v>
      </c>
      <c r="I269" s="448" t="s">
        <v>2378</v>
      </c>
    </row>
    <row r="270" spans="1:9" ht="27" x14ac:dyDescent="0.3">
      <c r="A270" s="443" t="s">
        <v>2379</v>
      </c>
      <c r="B270" s="445" t="s">
        <v>2271</v>
      </c>
      <c r="C270" s="444" t="s">
        <v>114</v>
      </c>
      <c r="D270" s="444" t="s">
        <v>1132</v>
      </c>
      <c r="E270" s="446" t="s">
        <v>2380</v>
      </c>
      <c r="F270" s="447" t="s">
        <v>1890</v>
      </c>
      <c r="G270" s="448"/>
      <c r="H270" s="448"/>
      <c r="I270" s="448" t="s">
        <v>1856</v>
      </c>
    </row>
    <row r="271" spans="1:9" ht="27" x14ac:dyDescent="0.3">
      <c r="A271" s="443" t="s">
        <v>2381</v>
      </c>
      <c r="B271" s="445" t="s">
        <v>2271</v>
      </c>
      <c r="C271" s="444" t="s">
        <v>114</v>
      </c>
      <c r="D271" s="444" t="s">
        <v>453</v>
      </c>
      <c r="E271" s="446" t="s">
        <v>2382</v>
      </c>
      <c r="F271" s="447" t="s">
        <v>1890</v>
      </c>
      <c r="G271" s="448"/>
      <c r="H271" s="448"/>
      <c r="I271" s="448" t="s">
        <v>1893</v>
      </c>
    </row>
    <row r="272" spans="1:9" ht="27" x14ac:dyDescent="0.3">
      <c r="A272" s="443" t="s">
        <v>2383</v>
      </c>
      <c r="B272" s="445" t="s">
        <v>2271</v>
      </c>
      <c r="C272" s="444" t="s">
        <v>114</v>
      </c>
      <c r="D272" s="444" t="s">
        <v>1196</v>
      </c>
      <c r="E272" s="446" t="s">
        <v>2384</v>
      </c>
      <c r="F272" s="447" t="s">
        <v>1890</v>
      </c>
      <c r="G272" s="448"/>
      <c r="H272" s="448"/>
      <c r="I272" s="448" t="s">
        <v>1927</v>
      </c>
    </row>
    <row r="273" spans="1:9" ht="28.8" x14ac:dyDescent="0.3">
      <c r="A273" s="443" t="s">
        <v>2385</v>
      </c>
      <c r="B273" s="445" t="s">
        <v>2271</v>
      </c>
      <c r="C273" s="444" t="s">
        <v>114</v>
      </c>
      <c r="D273" s="444" t="s">
        <v>2386</v>
      </c>
      <c r="E273" s="446" t="s">
        <v>2387</v>
      </c>
      <c r="F273" s="447" t="s">
        <v>1890</v>
      </c>
      <c r="G273" s="448" t="s">
        <v>479</v>
      </c>
      <c r="H273" s="448"/>
      <c r="I273" s="448" t="s">
        <v>1923</v>
      </c>
    </row>
    <row r="274" spans="1:9" ht="27" x14ac:dyDescent="0.3">
      <c r="A274" s="443" t="s">
        <v>2388</v>
      </c>
      <c r="B274" s="445" t="s">
        <v>2271</v>
      </c>
      <c r="C274" s="444" t="s">
        <v>114</v>
      </c>
      <c r="D274" s="444" t="s">
        <v>1226</v>
      </c>
      <c r="E274" s="446" t="s">
        <v>2389</v>
      </c>
      <c r="F274" s="447" t="s">
        <v>1890</v>
      </c>
      <c r="G274" s="448"/>
      <c r="H274" s="448"/>
      <c r="I274" s="448" t="s">
        <v>1923</v>
      </c>
    </row>
    <row r="275" spans="1:9" ht="27" x14ac:dyDescent="0.3">
      <c r="A275" s="443" t="s">
        <v>2390</v>
      </c>
      <c r="B275" s="445" t="s">
        <v>2271</v>
      </c>
      <c r="C275" s="444" t="s">
        <v>114</v>
      </c>
      <c r="D275" s="444" t="s">
        <v>907</v>
      </c>
      <c r="E275" s="446" t="s">
        <v>2391</v>
      </c>
      <c r="F275" s="447" t="s">
        <v>1890</v>
      </c>
      <c r="G275" s="448"/>
      <c r="H275" s="448"/>
      <c r="I275" s="448" t="s">
        <v>1923</v>
      </c>
    </row>
    <row r="276" spans="1:9" ht="27" x14ac:dyDescent="0.3">
      <c r="A276" s="443" t="s">
        <v>2392</v>
      </c>
      <c r="B276" s="445" t="s">
        <v>2271</v>
      </c>
      <c r="C276" s="444" t="s">
        <v>114</v>
      </c>
      <c r="D276" s="444" t="s">
        <v>1269</v>
      </c>
      <c r="E276" s="446" t="s">
        <v>2393</v>
      </c>
      <c r="F276" s="447" t="s">
        <v>1890</v>
      </c>
      <c r="G276" s="448"/>
      <c r="H276" s="448"/>
      <c r="I276" s="448" t="s">
        <v>1856</v>
      </c>
    </row>
    <row r="277" spans="1:9" ht="27" x14ac:dyDescent="0.3">
      <c r="A277" s="443" t="s">
        <v>2394</v>
      </c>
      <c r="B277" s="445" t="s">
        <v>2271</v>
      </c>
      <c r="C277" s="444" t="s">
        <v>114</v>
      </c>
      <c r="D277" s="444" t="s">
        <v>132</v>
      </c>
      <c r="E277" s="446" t="s">
        <v>2395</v>
      </c>
      <c r="F277" s="447" t="s">
        <v>1890</v>
      </c>
      <c r="G277" s="448"/>
      <c r="H277" s="448"/>
      <c r="I277" s="448" t="s">
        <v>1923</v>
      </c>
    </row>
    <row r="278" spans="1:9" ht="27" x14ac:dyDescent="0.3">
      <c r="A278" s="443" t="s">
        <v>2396</v>
      </c>
      <c r="B278" s="445" t="s">
        <v>2271</v>
      </c>
      <c r="C278" s="444" t="s">
        <v>114</v>
      </c>
      <c r="D278" s="444" t="s">
        <v>143</v>
      </c>
      <c r="E278" s="446" t="s">
        <v>2397</v>
      </c>
      <c r="F278" s="447" t="s">
        <v>1890</v>
      </c>
      <c r="G278" s="448"/>
      <c r="H278" s="448"/>
      <c r="I278" s="448" t="s">
        <v>1923</v>
      </c>
    </row>
    <row r="279" spans="1:9" ht="27" x14ac:dyDescent="0.3">
      <c r="A279" s="443" t="s">
        <v>2398</v>
      </c>
      <c r="B279" s="445" t="s">
        <v>2271</v>
      </c>
      <c r="C279" s="444" t="s">
        <v>114</v>
      </c>
      <c r="D279" s="444" t="s">
        <v>1325</v>
      </c>
      <c r="E279" s="446" t="s">
        <v>2399</v>
      </c>
      <c r="F279" s="447" t="s">
        <v>1890</v>
      </c>
      <c r="G279" s="448"/>
      <c r="H279" s="448"/>
      <c r="I279" s="448" t="s">
        <v>1874</v>
      </c>
    </row>
    <row r="280" spans="1:9" ht="27" x14ac:dyDescent="0.3">
      <c r="A280" s="443" t="s">
        <v>2400</v>
      </c>
      <c r="B280" s="445" t="s">
        <v>2271</v>
      </c>
      <c r="C280" s="444" t="s">
        <v>114</v>
      </c>
      <c r="D280" s="444" t="s">
        <v>2401</v>
      </c>
      <c r="E280" s="446" t="s">
        <v>2402</v>
      </c>
      <c r="F280" s="447" t="s">
        <v>1890</v>
      </c>
      <c r="G280" s="448"/>
      <c r="H280" s="448"/>
      <c r="I280" s="448" t="s">
        <v>1923</v>
      </c>
    </row>
    <row r="281" spans="1:9" ht="27" x14ac:dyDescent="0.3">
      <c r="A281" s="443" t="s">
        <v>2403</v>
      </c>
      <c r="B281" s="445" t="s">
        <v>2271</v>
      </c>
      <c r="C281" s="444" t="s">
        <v>114</v>
      </c>
      <c r="D281" s="444" t="s">
        <v>921</v>
      </c>
      <c r="E281" s="446" t="s">
        <v>2404</v>
      </c>
      <c r="F281" s="447" t="s">
        <v>1890</v>
      </c>
      <c r="G281" s="448"/>
      <c r="H281" s="448"/>
      <c r="I281" s="448" t="s">
        <v>1856</v>
      </c>
    </row>
    <row r="282" spans="1:9" ht="27" x14ac:dyDescent="0.3">
      <c r="A282" s="443" t="s">
        <v>2405</v>
      </c>
      <c r="B282" s="445" t="s">
        <v>2271</v>
      </c>
      <c r="C282" s="444" t="s">
        <v>114</v>
      </c>
      <c r="D282" s="444" t="s">
        <v>2406</v>
      </c>
      <c r="E282" s="446" t="s">
        <v>2407</v>
      </c>
      <c r="F282" s="447" t="s">
        <v>1890</v>
      </c>
      <c r="G282" s="448"/>
      <c r="H282" s="448"/>
      <c r="I282" s="448" t="s">
        <v>1927</v>
      </c>
    </row>
    <row r="283" spans="1:9" ht="27" x14ac:dyDescent="0.3">
      <c r="A283" s="443" t="s">
        <v>2408</v>
      </c>
      <c r="B283" s="445" t="s">
        <v>2271</v>
      </c>
      <c r="C283" s="444" t="s">
        <v>114</v>
      </c>
      <c r="D283" s="444" t="s">
        <v>2409</v>
      </c>
      <c r="E283" s="446" t="s">
        <v>2410</v>
      </c>
      <c r="F283" s="447" t="s">
        <v>1890</v>
      </c>
      <c r="G283" s="448"/>
      <c r="H283" s="448"/>
      <c r="I283" s="448" t="s">
        <v>1923</v>
      </c>
    </row>
    <row r="284" spans="1:9" ht="27" x14ac:dyDescent="0.3">
      <c r="A284" s="443" t="s">
        <v>2411</v>
      </c>
      <c r="B284" s="445" t="s">
        <v>2271</v>
      </c>
      <c r="C284" s="444" t="s">
        <v>114</v>
      </c>
      <c r="D284" s="444" t="s">
        <v>1916</v>
      </c>
      <c r="E284" s="446" t="s">
        <v>2412</v>
      </c>
      <c r="F284" s="447" t="s">
        <v>1890</v>
      </c>
      <c r="G284" s="448"/>
      <c r="H284" s="448"/>
      <c r="I284" s="448" t="s">
        <v>1893</v>
      </c>
    </row>
    <row r="285" spans="1:9" ht="27" x14ac:dyDescent="0.3">
      <c r="A285" s="443" t="s">
        <v>2413</v>
      </c>
      <c r="B285" s="445" t="s">
        <v>2271</v>
      </c>
      <c r="C285" s="444" t="s">
        <v>114</v>
      </c>
      <c r="D285" s="444" t="s">
        <v>2240</v>
      </c>
      <c r="E285" s="446" t="s">
        <v>2414</v>
      </c>
      <c r="F285" s="447" t="s">
        <v>1890</v>
      </c>
      <c r="G285" s="448"/>
      <c r="H285" s="448"/>
      <c r="I285" s="448" t="s">
        <v>1923</v>
      </c>
    </row>
    <row r="286" spans="1:9" ht="27" x14ac:dyDescent="0.3">
      <c r="A286" s="443" t="s">
        <v>2415</v>
      </c>
      <c r="B286" s="445" t="s">
        <v>2271</v>
      </c>
      <c r="C286" s="444" t="s">
        <v>114</v>
      </c>
      <c r="D286" s="444" t="s">
        <v>2416</v>
      </c>
      <c r="E286" s="446" t="s">
        <v>2417</v>
      </c>
      <c r="F286" s="447" t="s">
        <v>1890</v>
      </c>
      <c r="G286" s="448"/>
      <c r="H286" s="448"/>
      <c r="I286" s="448" t="s">
        <v>1856</v>
      </c>
    </row>
    <row r="287" spans="1:9" ht="27" x14ac:dyDescent="0.3">
      <c r="A287" s="443" t="s">
        <v>2418</v>
      </c>
      <c r="B287" s="445" t="s">
        <v>2271</v>
      </c>
      <c r="C287" s="444" t="s">
        <v>114</v>
      </c>
      <c r="D287" s="444" t="s">
        <v>2419</v>
      </c>
      <c r="E287" s="446" t="s">
        <v>2420</v>
      </c>
      <c r="F287" s="447" t="s">
        <v>1890</v>
      </c>
      <c r="G287" s="448"/>
      <c r="H287" s="448"/>
      <c r="I287" s="448" t="s">
        <v>1856</v>
      </c>
    </row>
    <row r="288" spans="1:9" ht="27" x14ac:dyDescent="0.3">
      <c r="A288" s="443" t="s">
        <v>2421</v>
      </c>
      <c r="B288" s="445" t="s">
        <v>2271</v>
      </c>
      <c r="C288" s="444" t="s">
        <v>114</v>
      </c>
      <c r="D288" s="444" t="s">
        <v>2422</v>
      </c>
      <c r="E288" s="446" t="s">
        <v>2423</v>
      </c>
      <c r="F288" s="447" t="s">
        <v>1890</v>
      </c>
      <c r="G288" s="448"/>
      <c r="H288" s="448"/>
      <c r="I288" s="448" t="s">
        <v>1874</v>
      </c>
    </row>
    <row r="289" spans="1:9" ht="27" x14ac:dyDescent="0.3">
      <c r="A289" s="443" t="s">
        <v>2424</v>
      </c>
      <c r="B289" s="445" t="s">
        <v>2271</v>
      </c>
      <c r="C289" s="444" t="s">
        <v>114</v>
      </c>
      <c r="D289" s="444" t="s">
        <v>2102</v>
      </c>
      <c r="E289" s="446" t="s">
        <v>2425</v>
      </c>
      <c r="F289" s="447" t="s">
        <v>1890</v>
      </c>
      <c r="G289" s="448"/>
      <c r="H289" s="448"/>
      <c r="I289" s="448" t="s">
        <v>1923</v>
      </c>
    </row>
    <row r="290" spans="1:9" ht="27" x14ac:dyDescent="0.3">
      <c r="A290" s="443" t="s">
        <v>2426</v>
      </c>
      <c r="B290" s="445" t="s">
        <v>2271</v>
      </c>
      <c r="C290" s="444" t="s">
        <v>114</v>
      </c>
      <c r="D290" s="444" t="s">
        <v>2427</v>
      </c>
      <c r="E290" s="446" t="s">
        <v>2428</v>
      </c>
      <c r="F290" s="447" t="s">
        <v>1854</v>
      </c>
      <c r="G290" s="448"/>
      <c r="H290" s="448" t="s">
        <v>2204</v>
      </c>
      <c r="I290" s="448" t="s">
        <v>1856</v>
      </c>
    </row>
    <row r="291" spans="1:9" ht="27" x14ac:dyDescent="0.3">
      <c r="A291" s="443" t="s">
        <v>2429</v>
      </c>
      <c r="B291" s="445" t="s">
        <v>2271</v>
      </c>
      <c r="C291" s="444" t="s">
        <v>114</v>
      </c>
      <c r="D291" s="444" t="s">
        <v>2158</v>
      </c>
      <c r="E291" s="446" t="s">
        <v>2430</v>
      </c>
      <c r="F291" s="447" t="s">
        <v>1890</v>
      </c>
      <c r="G291" s="448"/>
      <c r="H291" s="448"/>
      <c r="I291" s="448" t="s">
        <v>1923</v>
      </c>
    </row>
    <row r="292" spans="1:9" ht="27" x14ac:dyDescent="0.3">
      <c r="A292" s="443" t="s">
        <v>2431</v>
      </c>
      <c r="B292" s="445" t="s">
        <v>2271</v>
      </c>
      <c r="C292" s="444" t="s">
        <v>114</v>
      </c>
      <c r="D292" s="444" t="s">
        <v>1440</v>
      </c>
      <c r="E292" s="446" t="s">
        <v>2432</v>
      </c>
      <c r="F292" s="447" t="s">
        <v>1890</v>
      </c>
      <c r="G292" s="448"/>
      <c r="H292" s="448"/>
      <c r="I292" s="448" t="s">
        <v>1856</v>
      </c>
    </row>
    <row r="293" spans="1:9" ht="27" x14ac:dyDescent="0.3">
      <c r="A293" s="443" t="s">
        <v>2433</v>
      </c>
      <c r="B293" s="445" t="s">
        <v>2271</v>
      </c>
      <c r="C293" s="444" t="s">
        <v>2434</v>
      </c>
      <c r="D293" s="444" t="s">
        <v>248</v>
      </c>
      <c r="E293" s="446" t="s">
        <v>2435</v>
      </c>
      <c r="F293" s="447" t="s">
        <v>1890</v>
      </c>
      <c r="G293" s="448"/>
      <c r="H293" s="448"/>
      <c r="I293" s="448" t="s">
        <v>1893</v>
      </c>
    </row>
    <row r="294" spans="1:9" ht="27" x14ac:dyDescent="0.3">
      <c r="A294" s="443" t="s">
        <v>2436</v>
      </c>
      <c r="B294" s="445" t="s">
        <v>2271</v>
      </c>
      <c r="C294" s="444" t="s">
        <v>2434</v>
      </c>
      <c r="D294" s="444" t="s">
        <v>319</v>
      </c>
      <c r="E294" s="446" t="s">
        <v>2437</v>
      </c>
      <c r="F294" s="447" t="s">
        <v>1890</v>
      </c>
      <c r="G294" s="448"/>
      <c r="H294" s="448"/>
      <c r="I294" s="448" t="s">
        <v>1874</v>
      </c>
    </row>
    <row r="295" spans="1:9" ht="27" x14ac:dyDescent="0.3">
      <c r="A295" s="443" t="s">
        <v>2438</v>
      </c>
      <c r="B295" s="445" t="s">
        <v>2271</v>
      </c>
      <c r="C295" s="444" t="s">
        <v>2434</v>
      </c>
      <c r="D295" s="444" t="s">
        <v>393</v>
      </c>
      <c r="E295" s="446" t="s">
        <v>2439</v>
      </c>
      <c r="F295" s="447" t="s">
        <v>1890</v>
      </c>
      <c r="G295" s="448"/>
      <c r="H295" s="448"/>
      <c r="I295" s="448" t="s">
        <v>1874</v>
      </c>
    </row>
    <row r="296" spans="1:9" ht="27" x14ac:dyDescent="0.3">
      <c r="A296" s="443" t="s">
        <v>2440</v>
      </c>
      <c r="B296" s="445" t="s">
        <v>2271</v>
      </c>
      <c r="C296" s="444" t="s">
        <v>2434</v>
      </c>
      <c r="D296" s="444" t="s">
        <v>464</v>
      </c>
      <c r="E296" s="446" t="s">
        <v>2441</v>
      </c>
      <c r="F296" s="447" t="s">
        <v>1890</v>
      </c>
      <c r="G296" s="448"/>
      <c r="H296" s="448"/>
      <c r="I296" s="448" t="s">
        <v>1856</v>
      </c>
    </row>
    <row r="297" spans="1:9" ht="27" x14ac:dyDescent="0.3">
      <c r="A297" s="443" t="s">
        <v>2442</v>
      </c>
      <c r="B297" s="445" t="s">
        <v>2271</v>
      </c>
      <c r="C297" s="444" t="s">
        <v>2434</v>
      </c>
      <c r="D297" s="444" t="s">
        <v>537</v>
      </c>
      <c r="E297" s="446" t="s">
        <v>2443</v>
      </c>
      <c r="F297" s="447" t="s">
        <v>1890</v>
      </c>
      <c r="G297" s="448"/>
      <c r="H297" s="448"/>
      <c r="I297" s="448" t="s">
        <v>1856</v>
      </c>
    </row>
    <row r="298" spans="1:9" ht="27" x14ac:dyDescent="0.3">
      <c r="A298" s="443" t="s">
        <v>2444</v>
      </c>
      <c r="B298" s="445" t="s">
        <v>2271</v>
      </c>
      <c r="C298" s="444" t="s">
        <v>2434</v>
      </c>
      <c r="D298" s="444" t="s">
        <v>605</v>
      </c>
      <c r="E298" s="446" t="s">
        <v>2445</v>
      </c>
      <c r="F298" s="447" t="s">
        <v>1890</v>
      </c>
      <c r="G298" s="448"/>
      <c r="H298" s="448"/>
      <c r="I298" s="448" t="s">
        <v>1923</v>
      </c>
    </row>
    <row r="299" spans="1:9" ht="27" x14ac:dyDescent="0.3">
      <c r="A299" s="443" t="s">
        <v>2446</v>
      </c>
      <c r="B299" s="445" t="s">
        <v>2271</v>
      </c>
      <c r="C299" s="444" t="s">
        <v>2434</v>
      </c>
      <c r="D299" s="444" t="s">
        <v>2447</v>
      </c>
      <c r="E299" s="446" t="s">
        <v>2448</v>
      </c>
      <c r="F299" s="447" t="s">
        <v>1890</v>
      </c>
      <c r="G299" s="448"/>
      <c r="H299" s="448"/>
      <c r="I299" s="448" t="s">
        <v>1927</v>
      </c>
    </row>
    <row r="300" spans="1:9" ht="27" x14ac:dyDescent="0.3">
      <c r="A300" s="443" t="s">
        <v>2449</v>
      </c>
      <c r="B300" s="445" t="s">
        <v>2271</v>
      </c>
      <c r="C300" s="444" t="s">
        <v>2434</v>
      </c>
      <c r="D300" s="444" t="s">
        <v>2450</v>
      </c>
      <c r="E300" s="446" t="s">
        <v>2451</v>
      </c>
      <c r="F300" s="447" t="s">
        <v>1890</v>
      </c>
      <c r="G300" s="448"/>
      <c r="H300" s="448"/>
      <c r="I300" s="448" t="s">
        <v>1874</v>
      </c>
    </row>
    <row r="301" spans="1:9" ht="27" x14ac:dyDescent="0.3">
      <c r="A301" s="443" t="s">
        <v>2452</v>
      </c>
      <c r="B301" s="445" t="s">
        <v>2271</v>
      </c>
      <c r="C301" s="444" t="s">
        <v>2434</v>
      </c>
      <c r="D301" s="444" t="s">
        <v>797</v>
      </c>
      <c r="E301" s="446" t="s">
        <v>2453</v>
      </c>
      <c r="F301" s="447" t="s">
        <v>1890</v>
      </c>
      <c r="G301" s="448"/>
      <c r="H301" s="448"/>
      <c r="I301" s="448" t="s">
        <v>1927</v>
      </c>
    </row>
    <row r="302" spans="1:9" ht="27" x14ac:dyDescent="0.3">
      <c r="A302" s="443" t="s">
        <v>2454</v>
      </c>
      <c r="B302" s="445" t="s">
        <v>2271</v>
      </c>
      <c r="C302" s="444" t="s">
        <v>2434</v>
      </c>
      <c r="D302" s="444" t="s">
        <v>854</v>
      </c>
      <c r="E302" s="446" t="s">
        <v>2455</v>
      </c>
      <c r="F302" s="447" t="s">
        <v>1890</v>
      </c>
      <c r="G302" s="448"/>
      <c r="H302" s="448"/>
      <c r="I302" s="448" t="s">
        <v>1927</v>
      </c>
    </row>
    <row r="303" spans="1:9" ht="27" x14ac:dyDescent="0.3">
      <c r="A303" s="443" t="s">
        <v>2456</v>
      </c>
      <c r="B303" s="445" t="s">
        <v>2271</v>
      </c>
      <c r="C303" s="444" t="s">
        <v>2434</v>
      </c>
      <c r="D303" s="444" t="s">
        <v>132</v>
      </c>
      <c r="E303" s="446" t="s">
        <v>2457</v>
      </c>
      <c r="F303" s="447" t="s">
        <v>1890</v>
      </c>
      <c r="G303" s="448"/>
      <c r="H303" s="448"/>
      <c r="I303" s="448" t="s">
        <v>1923</v>
      </c>
    </row>
    <row r="304" spans="1:9" ht="27" x14ac:dyDescent="0.3">
      <c r="A304" s="443" t="s">
        <v>2458</v>
      </c>
      <c r="B304" s="445" t="s">
        <v>2271</v>
      </c>
      <c r="C304" s="444" t="s">
        <v>2434</v>
      </c>
      <c r="D304" s="444" t="s">
        <v>2459</v>
      </c>
      <c r="E304" s="446" t="s">
        <v>2460</v>
      </c>
      <c r="F304" s="447" t="s">
        <v>1890</v>
      </c>
      <c r="G304" s="448"/>
      <c r="H304" s="448"/>
      <c r="I304" s="448" t="s">
        <v>1927</v>
      </c>
    </row>
    <row r="305" spans="1:9" ht="27" x14ac:dyDescent="0.3">
      <c r="A305" s="443" t="s">
        <v>2461</v>
      </c>
      <c r="B305" s="445" t="s">
        <v>2271</v>
      </c>
      <c r="C305" s="444" t="s">
        <v>2434</v>
      </c>
      <c r="D305" s="444" t="s">
        <v>1008</v>
      </c>
      <c r="E305" s="446" t="s">
        <v>2462</v>
      </c>
      <c r="F305" s="447" t="s">
        <v>1890</v>
      </c>
      <c r="G305" s="448"/>
      <c r="H305" s="448"/>
      <c r="I305" s="448" t="s">
        <v>1856</v>
      </c>
    </row>
    <row r="306" spans="1:9" ht="27" x14ac:dyDescent="0.3">
      <c r="A306" s="443" t="s">
        <v>2463</v>
      </c>
      <c r="B306" s="445" t="s">
        <v>2271</v>
      </c>
      <c r="C306" s="444" t="s">
        <v>2434</v>
      </c>
      <c r="D306" s="444" t="s">
        <v>1057</v>
      </c>
      <c r="E306" s="446" t="s">
        <v>2464</v>
      </c>
      <c r="F306" s="447" t="s">
        <v>1890</v>
      </c>
      <c r="G306" s="448"/>
      <c r="H306" s="448"/>
      <c r="I306" s="448" t="s">
        <v>1893</v>
      </c>
    </row>
    <row r="307" spans="1:9" ht="27" x14ac:dyDescent="0.3">
      <c r="A307" s="443" t="s">
        <v>2465</v>
      </c>
      <c r="B307" s="445" t="s">
        <v>2271</v>
      </c>
      <c r="C307" s="444" t="s">
        <v>2434</v>
      </c>
      <c r="D307" s="444" t="s">
        <v>2466</v>
      </c>
      <c r="E307" s="446" t="s">
        <v>2467</v>
      </c>
      <c r="F307" s="447" t="s">
        <v>1890</v>
      </c>
      <c r="G307" s="448"/>
      <c r="H307" s="448"/>
      <c r="I307" s="448" t="s">
        <v>1856</v>
      </c>
    </row>
    <row r="308" spans="1:9" ht="27" x14ac:dyDescent="0.3">
      <c r="A308" s="443" t="s">
        <v>2468</v>
      </c>
      <c r="B308" s="445" t="s">
        <v>2271</v>
      </c>
      <c r="C308" s="444" t="s">
        <v>143</v>
      </c>
      <c r="D308" s="444" t="s">
        <v>174</v>
      </c>
      <c r="E308" s="446" t="s">
        <v>2469</v>
      </c>
      <c r="F308" s="447" t="s">
        <v>1890</v>
      </c>
      <c r="G308" s="448"/>
      <c r="H308" s="448"/>
      <c r="I308" s="448" t="s">
        <v>1927</v>
      </c>
    </row>
    <row r="309" spans="1:9" ht="27" x14ac:dyDescent="0.3">
      <c r="A309" s="443" t="s">
        <v>2470</v>
      </c>
      <c r="B309" s="445" t="s">
        <v>2271</v>
      </c>
      <c r="C309" s="444" t="s">
        <v>143</v>
      </c>
      <c r="D309" s="444" t="s">
        <v>249</v>
      </c>
      <c r="E309" s="446" t="s">
        <v>2471</v>
      </c>
      <c r="F309" s="447" t="s">
        <v>1890</v>
      </c>
      <c r="G309" s="448"/>
      <c r="H309" s="448"/>
      <c r="I309" s="448" t="s">
        <v>1927</v>
      </c>
    </row>
    <row r="310" spans="1:9" ht="27" x14ac:dyDescent="0.3">
      <c r="A310" s="443" t="s">
        <v>2472</v>
      </c>
      <c r="B310" s="445" t="s">
        <v>2271</v>
      </c>
      <c r="C310" s="444" t="s">
        <v>143</v>
      </c>
      <c r="D310" s="444" t="s">
        <v>320</v>
      </c>
      <c r="E310" s="446" t="s">
        <v>2473</v>
      </c>
      <c r="F310" s="447" t="s">
        <v>1890</v>
      </c>
      <c r="G310" s="448"/>
      <c r="H310" s="448"/>
      <c r="I310" s="448" t="s">
        <v>1874</v>
      </c>
    </row>
    <row r="311" spans="1:9" ht="27" x14ac:dyDescent="0.3">
      <c r="A311" s="443" t="s">
        <v>2474</v>
      </c>
      <c r="B311" s="445" t="s">
        <v>2271</v>
      </c>
      <c r="C311" s="444" t="s">
        <v>143</v>
      </c>
      <c r="D311" s="444" t="s">
        <v>394</v>
      </c>
      <c r="E311" s="446" t="s">
        <v>2475</v>
      </c>
      <c r="F311" s="447" t="s">
        <v>1890</v>
      </c>
      <c r="G311" s="448"/>
      <c r="H311" s="448"/>
      <c r="I311" s="448" t="s">
        <v>1856</v>
      </c>
    </row>
    <row r="312" spans="1:9" ht="27" x14ac:dyDescent="0.3">
      <c r="A312" s="443" t="s">
        <v>2476</v>
      </c>
      <c r="B312" s="445" t="s">
        <v>2271</v>
      </c>
      <c r="C312" s="444" t="s">
        <v>143</v>
      </c>
      <c r="D312" s="444" t="s">
        <v>538</v>
      </c>
      <c r="E312" s="446" t="s">
        <v>2477</v>
      </c>
      <c r="F312" s="447" t="s">
        <v>1890</v>
      </c>
      <c r="G312" s="448"/>
      <c r="H312" s="448"/>
      <c r="I312" s="448" t="s">
        <v>1893</v>
      </c>
    </row>
    <row r="313" spans="1:9" ht="27" x14ac:dyDescent="0.3">
      <c r="A313" s="443" t="s">
        <v>2478</v>
      </c>
      <c r="B313" s="445" t="s">
        <v>2271</v>
      </c>
      <c r="C313" s="444" t="s">
        <v>143</v>
      </c>
      <c r="D313" s="444" t="s">
        <v>465</v>
      </c>
      <c r="E313" s="446" t="s">
        <v>2479</v>
      </c>
      <c r="F313" s="447" t="s">
        <v>1890</v>
      </c>
      <c r="G313" s="448"/>
      <c r="H313" s="448"/>
      <c r="I313" s="448" t="s">
        <v>1856</v>
      </c>
    </row>
    <row r="314" spans="1:9" ht="27" x14ac:dyDescent="0.3">
      <c r="A314" s="443" t="s">
        <v>2480</v>
      </c>
      <c r="B314" s="445" t="s">
        <v>2481</v>
      </c>
      <c r="C314" s="444" t="s">
        <v>98</v>
      </c>
      <c r="D314" s="444" t="s">
        <v>175</v>
      </c>
      <c r="E314" s="446" t="s">
        <v>2482</v>
      </c>
      <c r="F314" s="447" t="s">
        <v>1890</v>
      </c>
      <c r="G314" s="448"/>
      <c r="H314" s="448"/>
      <c r="I314" s="448" t="s">
        <v>1927</v>
      </c>
    </row>
    <row r="315" spans="1:9" ht="27" x14ac:dyDescent="0.3">
      <c r="A315" s="443" t="s">
        <v>2483</v>
      </c>
      <c r="B315" s="445" t="s">
        <v>2481</v>
      </c>
      <c r="C315" s="444" t="s">
        <v>98</v>
      </c>
      <c r="D315" s="444" t="s">
        <v>250</v>
      </c>
      <c r="E315" s="446" t="s">
        <v>2484</v>
      </c>
      <c r="F315" s="447" t="s">
        <v>1890</v>
      </c>
      <c r="G315" s="448"/>
      <c r="H315" s="448"/>
      <c r="I315" s="448" t="s">
        <v>1927</v>
      </c>
    </row>
    <row r="316" spans="1:9" ht="27" x14ac:dyDescent="0.3">
      <c r="A316" s="443" t="s">
        <v>2485</v>
      </c>
      <c r="B316" s="445" t="s">
        <v>2481</v>
      </c>
      <c r="C316" s="444" t="s">
        <v>98</v>
      </c>
      <c r="D316" s="444" t="s">
        <v>2486</v>
      </c>
      <c r="E316" s="446" t="s">
        <v>2487</v>
      </c>
      <c r="F316" s="447" t="s">
        <v>1854</v>
      </c>
      <c r="G316" s="448"/>
      <c r="H316" s="448" t="s">
        <v>1961</v>
      </c>
      <c r="I316" s="448" t="s">
        <v>1923</v>
      </c>
    </row>
    <row r="317" spans="1:9" ht="27" x14ac:dyDescent="0.3">
      <c r="A317" s="443" t="s">
        <v>2488</v>
      </c>
      <c r="B317" s="445" t="s">
        <v>2481</v>
      </c>
      <c r="C317" s="444" t="s">
        <v>98</v>
      </c>
      <c r="D317" s="444" t="s">
        <v>395</v>
      </c>
      <c r="E317" s="446" t="s">
        <v>2489</v>
      </c>
      <c r="F317" s="447" t="s">
        <v>1890</v>
      </c>
      <c r="G317" s="448"/>
      <c r="H317" s="448"/>
      <c r="I317" s="448" t="s">
        <v>1856</v>
      </c>
    </row>
    <row r="318" spans="1:9" ht="27" x14ac:dyDescent="0.3">
      <c r="A318" s="443" t="s">
        <v>2490</v>
      </c>
      <c r="B318" s="445" t="s">
        <v>2481</v>
      </c>
      <c r="C318" s="444" t="s">
        <v>98</v>
      </c>
      <c r="D318" s="444" t="s">
        <v>466</v>
      </c>
      <c r="E318" s="446" t="s">
        <v>2491</v>
      </c>
      <c r="F318" s="447" t="s">
        <v>1890</v>
      </c>
      <c r="G318" s="448"/>
      <c r="H318" s="448"/>
      <c r="I318" s="448" t="s">
        <v>1856</v>
      </c>
    </row>
    <row r="319" spans="1:9" ht="27" x14ac:dyDescent="0.3">
      <c r="A319" s="443" t="s">
        <v>2492</v>
      </c>
      <c r="B319" s="445" t="s">
        <v>2481</v>
      </c>
      <c r="C319" s="444" t="s">
        <v>98</v>
      </c>
      <c r="D319" s="444" t="s">
        <v>539</v>
      </c>
      <c r="E319" s="446" t="s">
        <v>2493</v>
      </c>
      <c r="F319" s="447" t="s">
        <v>1890</v>
      </c>
      <c r="G319" s="448"/>
      <c r="H319" s="448"/>
      <c r="I319" s="448" t="s">
        <v>1856</v>
      </c>
    </row>
    <row r="320" spans="1:9" ht="27" x14ac:dyDescent="0.3">
      <c r="A320" s="443" t="s">
        <v>2494</v>
      </c>
      <c r="B320" s="445" t="s">
        <v>2481</v>
      </c>
      <c r="C320" s="444" t="s">
        <v>98</v>
      </c>
      <c r="D320" s="444" t="s">
        <v>606</v>
      </c>
      <c r="E320" s="446" t="s">
        <v>2495</v>
      </c>
      <c r="F320" s="447" t="s">
        <v>1890</v>
      </c>
      <c r="G320" s="448"/>
      <c r="H320" s="448"/>
      <c r="I320" s="448" t="s">
        <v>1856</v>
      </c>
    </row>
    <row r="321" spans="1:9" ht="27" x14ac:dyDescent="0.3">
      <c r="A321" s="443" t="s">
        <v>2496</v>
      </c>
      <c r="B321" s="445" t="s">
        <v>2481</v>
      </c>
      <c r="C321" s="444" t="s">
        <v>98</v>
      </c>
      <c r="D321" s="444" t="s">
        <v>673</v>
      </c>
      <c r="E321" s="446" t="s">
        <v>2497</v>
      </c>
      <c r="F321" s="447" t="s">
        <v>1890</v>
      </c>
      <c r="G321" s="448"/>
      <c r="H321" s="448"/>
      <c r="I321" s="448" t="s">
        <v>1927</v>
      </c>
    </row>
    <row r="322" spans="1:9" ht="27" x14ac:dyDescent="0.3">
      <c r="A322" s="443" t="s">
        <v>2498</v>
      </c>
      <c r="B322" s="445" t="s">
        <v>2481</v>
      </c>
      <c r="C322" s="444" t="s">
        <v>98</v>
      </c>
      <c r="D322" s="444" t="s">
        <v>736</v>
      </c>
      <c r="E322" s="446" t="s">
        <v>2499</v>
      </c>
      <c r="F322" s="447" t="s">
        <v>1890</v>
      </c>
      <c r="G322" s="448"/>
      <c r="H322" s="448"/>
      <c r="I322" s="448" t="s">
        <v>1927</v>
      </c>
    </row>
    <row r="323" spans="1:9" ht="27" x14ac:dyDescent="0.3">
      <c r="A323" s="443" t="s">
        <v>2500</v>
      </c>
      <c r="B323" s="445" t="s">
        <v>2481</v>
      </c>
      <c r="C323" s="444" t="s">
        <v>98</v>
      </c>
      <c r="D323" s="444" t="s">
        <v>798</v>
      </c>
      <c r="E323" s="446" t="s">
        <v>2501</v>
      </c>
      <c r="F323" s="447" t="s">
        <v>1890</v>
      </c>
      <c r="G323" s="448"/>
      <c r="H323" s="448"/>
      <c r="I323" s="448" t="s">
        <v>1874</v>
      </c>
    </row>
    <row r="324" spans="1:9" ht="27" x14ac:dyDescent="0.3">
      <c r="A324" s="443" t="s">
        <v>2502</v>
      </c>
      <c r="B324" s="445" t="s">
        <v>2481</v>
      </c>
      <c r="C324" s="444" t="s">
        <v>98</v>
      </c>
      <c r="D324" s="444" t="s">
        <v>855</v>
      </c>
      <c r="E324" s="446" t="s">
        <v>2503</v>
      </c>
      <c r="F324" s="447" t="s">
        <v>1890</v>
      </c>
      <c r="G324" s="448"/>
      <c r="H324" s="448"/>
      <c r="I324" s="448" t="s">
        <v>1927</v>
      </c>
    </row>
    <row r="325" spans="1:9" ht="27" x14ac:dyDescent="0.3">
      <c r="A325" s="443" t="s">
        <v>2504</v>
      </c>
      <c r="B325" s="445" t="s">
        <v>2481</v>
      </c>
      <c r="C325" s="444" t="s">
        <v>98</v>
      </c>
      <c r="D325" s="444" t="s">
        <v>911</v>
      </c>
      <c r="E325" s="446" t="s">
        <v>2505</v>
      </c>
      <c r="F325" s="447" t="s">
        <v>1890</v>
      </c>
      <c r="G325" s="448"/>
      <c r="H325" s="448"/>
      <c r="I325" s="448" t="s">
        <v>1923</v>
      </c>
    </row>
    <row r="326" spans="1:9" ht="27" x14ac:dyDescent="0.3">
      <c r="A326" s="443" t="s">
        <v>2506</v>
      </c>
      <c r="B326" s="445" t="s">
        <v>2481</v>
      </c>
      <c r="C326" s="444" t="s">
        <v>115</v>
      </c>
      <c r="D326" s="444" t="s">
        <v>176</v>
      </c>
      <c r="E326" s="446" t="s">
        <v>2507</v>
      </c>
      <c r="F326" s="447" t="s">
        <v>1890</v>
      </c>
      <c r="G326" s="448"/>
      <c r="H326" s="448"/>
      <c r="I326" s="448" t="s">
        <v>1856</v>
      </c>
    </row>
    <row r="327" spans="1:9" ht="27" x14ac:dyDescent="0.3">
      <c r="A327" s="443" t="s">
        <v>2508</v>
      </c>
      <c r="B327" s="445" t="s">
        <v>2481</v>
      </c>
      <c r="C327" s="444" t="s">
        <v>115</v>
      </c>
      <c r="D327" s="444" t="s">
        <v>251</v>
      </c>
      <c r="E327" s="446" t="s">
        <v>2509</v>
      </c>
      <c r="F327" s="447" t="s">
        <v>1890</v>
      </c>
      <c r="G327" s="448" t="s">
        <v>2510</v>
      </c>
      <c r="H327" s="448"/>
      <c r="I327" s="448" t="s">
        <v>1856</v>
      </c>
    </row>
    <row r="328" spans="1:9" ht="28.8" x14ac:dyDescent="0.3">
      <c r="A328" s="443" t="s">
        <v>2511</v>
      </c>
      <c r="B328" s="445" t="s">
        <v>2481</v>
      </c>
      <c r="C328" s="444" t="s">
        <v>115</v>
      </c>
      <c r="D328" s="444" t="s">
        <v>2512</v>
      </c>
      <c r="E328" s="446" t="s">
        <v>2513</v>
      </c>
      <c r="F328" s="447" t="s">
        <v>1854</v>
      </c>
      <c r="G328" s="448"/>
      <c r="H328" s="448" t="s">
        <v>1961</v>
      </c>
      <c r="I328" s="448" t="s">
        <v>2378</v>
      </c>
    </row>
    <row r="329" spans="1:9" ht="27" x14ac:dyDescent="0.3">
      <c r="A329" s="443" t="s">
        <v>2514</v>
      </c>
      <c r="B329" s="445" t="s">
        <v>2481</v>
      </c>
      <c r="C329" s="444" t="s">
        <v>115</v>
      </c>
      <c r="D329" s="444" t="s">
        <v>322</v>
      </c>
      <c r="E329" s="446" t="s">
        <v>2515</v>
      </c>
      <c r="F329" s="447" t="s">
        <v>1890</v>
      </c>
      <c r="G329" s="448"/>
      <c r="H329" s="448"/>
      <c r="I329" s="448" t="s">
        <v>1856</v>
      </c>
    </row>
    <row r="330" spans="1:9" ht="27" x14ac:dyDescent="0.3">
      <c r="A330" s="443" t="s">
        <v>2516</v>
      </c>
      <c r="B330" s="445" t="s">
        <v>2481</v>
      </c>
      <c r="C330" s="444" t="s">
        <v>115</v>
      </c>
      <c r="D330" s="444" t="s">
        <v>115</v>
      </c>
      <c r="E330" s="446" t="s">
        <v>2517</v>
      </c>
      <c r="F330" s="447" t="s">
        <v>1890</v>
      </c>
      <c r="G330" s="448"/>
      <c r="H330" s="448"/>
      <c r="I330" s="448" t="s">
        <v>1856</v>
      </c>
    </row>
    <row r="331" spans="1:9" ht="27" x14ac:dyDescent="0.3">
      <c r="A331" s="443" t="s">
        <v>2518</v>
      </c>
      <c r="B331" s="445" t="s">
        <v>2481</v>
      </c>
      <c r="C331" s="444" t="s">
        <v>115</v>
      </c>
      <c r="D331" s="444" t="s">
        <v>467</v>
      </c>
      <c r="E331" s="446" t="s">
        <v>2519</v>
      </c>
      <c r="F331" s="447" t="s">
        <v>1890</v>
      </c>
      <c r="G331" s="448"/>
      <c r="H331" s="448"/>
      <c r="I331" s="448" t="s">
        <v>1874</v>
      </c>
    </row>
    <row r="332" spans="1:9" ht="27" x14ac:dyDescent="0.3">
      <c r="A332" s="443" t="s">
        <v>2520</v>
      </c>
      <c r="B332" s="445" t="s">
        <v>2481</v>
      </c>
      <c r="C332" s="444" t="s">
        <v>115</v>
      </c>
      <c r="D332" s="444" t="s">
        <v>540</v>
      </c>
      <c r="E332" s="446" t="s">
        <v>2521</v>
      </c>
      <c r="F332" s="447" t="s">
        <v>1890</v>
      </c>
      <c r="G332" s="448"/>
      <c r="H332" s="448"/>
      <c r="I332" s="448" t="s">
        <v>1856</v>
      </c>
    </row>
    <row r="333" spans="1:9" ht="27" x14ac:dyDescent="0.3">
      <c r="A333" s="443" t="s">
        <v>2522</v>
      </c>
      <c r="B333" s="445" t="s">
        <v>2481</v>
      </c>
      <c r="C333" s="444" t="s">
        <v>115</v>
      </c>
      <c r="D333" s="444" t="s">
        <v>912</v>
      </c>
      <c r="E333" s="446" t="s">
        <v>2523</v>
      </c>
      <c r="F333" s="447" t="s">
        <v>1890</v>
      </c>
      <c r="G333" s="448"/>
      <c r="H333" s="448"/>
      <c r="I333" s="448" t="s">
        <v>1856</v>
      </c>
    </row>
    <row r="334" spans="1:9" ht="27" x14ac:dyDescent="0.3">
      <c r="A334" s="443" t="s">
        <v>2524</v>
      </c>
      <c r="B334" s="445" t="s">
        <v>2481</v>
      </c>
      <c r="C334" s="444" t="s">
        <v>115</v>
      </c>
      <c r="D334" s="444" t="s">
        <v>438</v>
      </c>
      <c r="E334" s="446" t="s">
        <v>2525</v>
      </c>
      <c r="F334" s="447" t="s">
        <v>1890</v>
      </c>
      <c r="G334" s="448"/>
      <c r="H334" s="448"/>
      <c r="I334" s="448" t="s">
        <v>1856</v>
      </c>
    </row>
    <row r="335" spans="1:9" ht="27" x14ac:dyDescent="0.3">
      <c r="A335" s="443" t="s">
        <v>2526</v>
      </c>
      <c r="B335" s="445" t="s">
        <v>2481</v>
      </c>
      <c r="C335" s="444" t="s">
        <v>115</v>
      </c>
      <c r="D335" s="444" t="s">
        <v>2527</v>
      </c>
      <c r="E335" s="446" t="s">
        <v>2528</v>
      </c>
      <c r="F335" s="447" t="s">
        <v>1854</v>
      </c>
      <c r="G335" s="448"/>
      <c r="H335" s="448" t="s">
        <v>1961</v>
      </c>
      <c r="I335" s="448" t="s">
        <v>1927</v>
      </c>
    </row>
    <row r="336" spans="1:9" ht="27" x14ac:dyDescent="0.3">
      <c r="A336" s="443" t="s">
        <v>2529</v>
      </c>
      <c r="B336" s="445" t="s">
        <v>2481</v>
      </c>
      <c r="C336" s="444" t="s">
        <v>115</v>
      </c>
      <c r="D336" s="444" t="s">
        <v>1009</v>
      </c>
      <c r="E336" s="446" t="s">
        <v>2530</v>
      </c>
      <c r="F336" s="447" t="s">
        <v>1890</v>
      </c>
      <c r="G336" s="448"/>
      <c r="H336" s="448"/>
      <c r="I336" s="448" t="s">
        <v>1856</v>
      </c>
    </row>
    <row r="337" spans="1:9" ht="27" x14ac:dyDescent="0.3">
      <c r="A337" s="443" t="s">
        <v>2531</v>
      </c>
      <c r="B337" s="445" t="s">
        <v>2481</v>
      </c>
      <c r="C337" s="444" t="s">
        <v>115</v>
      </c>
      <c r="D337" s="444" t="s">
        <v>2532</v>
      </c>
      <c r="E337" s="446" t="s">
        <v>2533</v>
      </c>
      <c r="F337" s="447" t="s">
        <v>1854</v>
      </c>
      <c r="G337" s="448"/>
      <c r="H337" s="448" t="s">
        <v>1961</v>
      </c>
      <c r="I337" s="448" t="s">
        <v>1927</v>
      </c>
    </row>
    <row r="338" spans="1:9" ht="27" x14ac:dyDescent="0.3">
      <c r="A338" s="443" t="s">
        <v>2534</v>
      </c>
      <c r="B338" s="445" t="s">
        <v>2481</v>
      </c>
      <c r="C338" s="444" t="s">
        <v>115</v>
      </c>
      <c r="D338" s="444" t="s">
        <v>1058</v>
      </c>
      <c r="E338" s="446" t="s">
        <v>2535</v>
      </c>
      <c r="F338" s="447" t="s">
        <v>1890</v>
      </c>
      <c r="G338" s="448"/>
      <c r="H338" s="448"/>
      <c r="I338" s="448" t="s">
        <v>1856</v>
      </c>
    </row>
    <row r="339" spans="1:9" ht="27" x14ac:dyDescent="0.3">
      <c r="A339" s="443" t="s">
        <v>2536</v>
      </c>
      <c r="B339" s="445" t="s">
        <v>2481</v>
      </c>
      <c r="C339" s="444" t="s">
        <v>115</v>
      </c>
      <c r="D339" s="444" t="s">
        <v>1095</v>
      </c>
      <c r="E339" s="446" t="s">
        <v>2537</v>
      </c>
      <c r="F339" s="447" t="s">
        <v>1890</v>
      </c>
      <c r="G339" s="448"/>
      <c r="H339" s="448"/>
      <c r="I339" s="448" t="s">
        <v>1874</v>
      </c>
    </row>
    <row r="340" spans="1:9" ht="27" x14ac:dyDescent="0.3">
      <c r="A340" s="443" t="s">
        <v>2538</v>
      </c>
      <c r="B340" s="445" t="s">
        <v>2481</v>
      </c>
      <c r="C340" s="444" t="s">
        <v>115</v>
      </c>
      <c r="D340" s="444" t="s">
        <v>1133</v>
      </c>
      <c r="E340" s="446" t="s">
        <v>2539</v>
      </c>
      <c r="F340" s="447" t="s">
        <v>1890</v>
      </c>
      <c r="G340" s="448"/>
      <c r="H340" s="448"/>
      <c r="I340" s="448" t="s">
        <v>1874</v>
      </c>
    </row>
    <row r="341" spans="1:9" ht="27" x14ac:dyDescent="0.3">
      <c r="A341" s="443" t="s">
        <v>2540</v>
      </c>
      <c r="B341" s="445" t="s">
        <v>2481</v>
      </c>
      <c r="C341" s="444" t="s">
        <v>115</v>
      </c>
      <c r="D341" s="444" t="s">
        <v>1166</v>
      </c>
      <c r="E341" s="446" t="s">
        <v>2541</v>
      </c>
      <c r="F341" s="447" t="s">
        <v>1890</v>
      </c>
      <c r="G341" s="448"/>
      <c r="H341" s="448"/>
      <c r="I341" s="448" t="s">
        <v>1927</v>
      </c>
    </row>
    <row r="342" spans="1:9" ht="27" x14ac:dyDescent="0.3">
      <c r="A342" s="443" t="s">
        <v>2542</v>
      </c>
      <c r="B342" s="445" t="s">
        <v>2481</v>
      </c>
      <c r="C342" s="444" t="s">
        <v>115</v>
      </c>
      <c r="D342" s="444" t="s">
        <v>1042</v>
      </c>
      <c r="E342" s="446" t="s">
        <v>2543</v>
      </c>
      <c r="F342" s="447" t="s">
        <v>1890</v>
      </c>
      <c r="G342" s="448"/>
      <c r="H342" s="448"/>
      <c r="I342" s="448" t="s">
        <v>1856</v>
      </c>
    </row>
    <row r="343" spans="1:9" ht="27" x14ac:dyDescent="0.3">
      <c r="A343" s="443" t="s">
        <v>2544</v>
      </c>
      <c r="B343" s="445" t="s">
        <v>2481</v>
      </c>
      <c r="C343" s="444" t="s">
        <v>115</v>
      </c>
      <c r="D343" s="444" t="s">
        <v>1227</v>
      </c>
      <c r="E343" s="446" t="s">
        <v>2545</v>
      </c>
      <c r="F343" s="447" t="s">
        <v>1890</v>
      </c>
      <c r="G343" s="448"/>
      <c r="H343" s="448"/>
      <c r="I343" s="448" t="s">
        <v>1856</v>
      </c>
    </row>
    <row r="344" spans="1:9" ht="27" x14ac:dyDescent="0.3">
      <c r="A344" s="443" t="s">
        <v>2546</v>
      </c>
      <c r="B344" s="445" t="s">
        <v>2481</v>
      </c>
      <c r="C344" s="444" t="s">
        <v>115</v>
      </c>
      <c r="D344" s="444" t="s">
        <v>2083</v>
      </c>
      <c r="E344" s="446" t="s">
        <v>2547</v>
      </c>
      <c r="F344" s="447" t="s">
        <v>1890</v>
      </c>
      <c r="G344" s="448"/>
      <c r="H344" s="448"/>
      <c r="I344" s="448" t="s">
        <v>1856</v>
      </c>
    </row>
    <row r="345" spans="1:9" ht="27" x14ac:dyDescent="0.3">
      <c r="A345" s="443" t="s">
        <v>2548</v>
      </c>
      <c r="B345" s="445" t="s">
        <v>2481</v>
      </c>
      <c r="C345" s="444" t="s">
        <v>115</v>
      </c>
      <c r="D345" s="444" t="s">
        <v>2549</v>
      </c>
      <c r="E345" s="446" t="s">
        <v>2550</v>
      </c>
      <c r="F345" s="447" t="s">
        <v>1854</v>
      </c>
      <c r="G345" s="448"/>
      <c r="H345" s="448" t="s">
        <v>1961</v>
      </c>
      <c r="I345" s="448" t="s">
        <v>1856</v>
      </c>
    </row>
    <row r="346" spans="1:9" ht="27" x14ac:dyDescent="0.3">
      <c r="A346" s="443" t="s">
        <v>2551</v>
      </c>
      <c r="B346" s="445" t="s">
        <v>2481</v>
      </c>
      <c r="C346" s="444" t="s">
        <v>115</v>
      </c>
      <c r="D346" s="444" t="s">
        <v>2552</v>
      </c>
      <c r="E346" s="446" t="s">
        <v>2553</v>
      </c>
      <c r="F346" s="447" t="s">
        <v>1890</v>
      </c>
      <c r="G346" s="448"/>
      <c r="H346" s="448"/>
      <c r="I346" s="448" t="s">
        <v>1856</v>
      </c>
    </row>
    <row r="347" spans="1:9" ht="27" x14ac:dyDescent="0.3">
      <c r="A347" s="443" t="s">
        <v>2554</v>
      </c>
      <c r="B347" s="445" t="s">
        <v>2481</v>
      </c>
      <c r="C347" s="444" t="s">
        <v>115</v>
      </c>
      <c r="D347" s="444" t="s">
        <v>2555</v>
      </c>
      <c r="E347" s="446" t="s">
        <v>2556</v>
      </c>
      <c r="F347" s="447" t="s">
        <v>1890</v>
      </c>
      <c r="G347" s="448"/>
      <c r="H347" s="448"/>
      <c r="I347" s="448" t="s">
        <v>1856</v>
      </c>
    </row>
    <row r="348" spans="1:9" ht="27" x14ac:dyDescent="0.3">
      <c r="A348" s="443" t="s">
        <v>2557</v>
      </c>
      <c r="B348" s="445" t="s">
        <v>2481</v>
      </c>
      <c r="C348" s="444" t="s">
        <v>115</v>
      </c>
      <c r="D348" s="444" t="s">
        <v>2102</v>
      </c>
      <c r="E348" s="446" t="s">
        <v>2558</v>
      </c>
      <c r="F348" s="447" t="s">
        <v>1890</v>
      </c>
      <c r="G348" s="448"/>
      <c r="H348" s="448"/>
      <c r="I348" s="448" t="s">
        <v>1856</v>
      </c>
    </row>
    <row r="349" spans="1:9" ht="27" x14ac:dyDescent="0.3">
      <c r="A349" s="443" t="s">
        <v>2559</v>
      </c>
      <c r="B349" s="445" t="s">
        <v>2481</v>
      </c>
      <c r="C349" s="444" t="s">
        <v>115</v>
      </c>
      <c r="D349" s="444" t="s">
        <v>2560</v>
      </c>
      <c r="E349" s="446" t="s">
        <v>2561</v>
      </c>
      <c r="F349" s="447" t="s">
        <v>1890</v>
      </c>
      <c r="G349" s="448"/>
      <c r="H349" s="448"/>
      <c r="I349" s="448" t="s">
        <v>1856</v>
      </c>
    </row>
    <row r="350" spans="1:9" ht="27" x14ac:dyDescent="0.3">
      <c r="A350" s="443" t="s">
        <v>2562</v>
      </c>
      <c r="B350" s="445" t="s">
        <v>2481</v>
      </c>
      <c r="C350" s="444" t="s">
        <v>2563</v>
      </c>
      <c r="D350" s="444" t="s">
        <v>177</v>
      </c>
      <c r="E350" s="446" t="s">
        <v>2564</v>
      </c>
      <c r="F350" s="447" t="s">
        <v>1890</v>
      </c>
      <c r="G350" s="448"/>
      <c r="H350" s="448"/>
      <c r="I350" s="448" t="s">
        <v>1874</v>
      </c>
    </row>
    <row r="351" spans="1:9" ht="27" x14ac:dyDescent="0.3">
      <c r="A351" s="443" t="s">
        <v>2565</v>
      </c>
      <c r="B351" s="445" t="s">
        <v>2481</v>
      </c>
      <c r="C351" s="444" t="s">
        <v>2563</v>
      </c>
      <c r="D351" s="444" t="s">
        <v>252</v>
      </c>
      <c r="E351" s="446" t="s">
        <v>2566</v>
      </c>
      <c r="F351" s="447" t="s">
        <v>1890</v>
      </c>
      <c r="G351" s="448"/>
      <c r="H351" s="448"/>
      <c r="I351" s="448" t="s">
        <v>1874</v>
      </c>
    </row>
    <row r="352" spans="1:9" ht="27" x14ac:dyDescent="0.3">
      <c r="A352" s="443" t="s">
        <v>2567</v>
      </c>
      <c r="B352" s="445" t="s">
        <v>2481</v>
      </c>
      <c r="C352" s="444" t="s">
        <v>2563</v>
      </c>
      <c r="D352" s="444" t="s">
        <v>2568</v>
      </c>
      <c r="E352" s="446" t="s">
        <v>2569</v>
      </c>
      <c r="F352" s="447" t="s">
        <v>1854</v>
      </c>
      <c r="G352" s="448"/>
      <c r="H352" s="448" t="s">
        <v>1961</v>
      </c>
      <c r="I352" s="448" t="s">
        <v>1856</v>
      </c>
    </row>
    <row r="353" spans="1:9" ht="27" x14ac:dyDescent="0.3">
      <c r="A353" s="443" t="s">
        <v>2570</v>
      </c>
      <c r="B353" s="445" t="s">
        <v>2481</v>
      </c>
      <c r="C353" s="444" t="s">
        <v>2563</v>
      </c>
      <c r="D353" s="444" t="s">
        <v>323</v>
      </c>
      <c r="E353" s="446" t="s">
        <v>2571</v>
      </c>
      <c r="F353" s="447" t="s">
        <v>1890</v>
      </c>
      <c r="G353" s="448"/>
      <c r="H353" s="448"/>
      <c r="I353" s="448" t="s">
        <v>1856</v>
      </c>
    </row>
    <row r="354" spans="1:9" ht="27" x14ac:dyDescent="0.3">
      <c r="A354" s="443" t="s">
        <v>2572</v>
      </c>
      <c r="B354" s="445" t="s">
        <v>2481</v>
      </c>
      <c r="C354" s="444" t="s">
        <v>2563</v>
      </c>
      <c r="D354" s="444" t="s">
        <v>396</v>
      </c>
      <c r="E354" s="446" t="s">
        <v>2573</v>
      </c>
      <c r="F354" s="447" t="s">
        <v>1890</v>
      </c>
      <c r="G354" s="448"/>
      <c r="H354" s="448"/>
      <c r="I354" s="448" t="s">
        <v>1856</v>
      </c>
    </row>
    <row r="355" spans="1:9" ht="27" x14ac:dyDescent="0.3">
      <c r="A355" s="443" t="s">
        <v>2574</v>
      </c>
      <c r="B355" s="445" t="s">
        <v>2481</v>
      </c>
      <c r="C355" s="444" t="s">
        <v>2563</v>
      </c>
      <c r="D355" s="444" t="s">
        <v>675</v>
      </c>
      <c r="E355" s="446" t="s">
        <v>2575</v>
      </c>
      <c r="F355" s="447" t="s">
        <v>1890</v>
      </c>
      <c r="G355" s="448"/>
      <c r="H355" s="448"/>
      <c r="I355" s="448" t="s">
        <v>1856</v>
      </c>
    </row>
    <row r="356" spans="1:9" ht="28.8" x14ac:dyDescent="0.3">
      <c r="A356" s="443" t="s">
        <v>2576</v>
      </c>
      <c r="B356" s="445" t="s">
        <v>2481</v>
      </c>
      <c r="C356" s="444" t="s">
        <v>2563</v>
      </c>
      <c r="D356" s="444" t="s">
        <v>738</v>
      </c>
      <c r="E356" s="446" t="s">
        <v>2577</v>
      </c>
      <c r="F356" s="447" t="s">
        <v>1890</v>
      </c>
      <c r="G356" s="448" t="s">
        <v>2578</v>
      </c>
      <c r="H356" s="448"/>
      <c r="I356" s="448" t="s">
        <v>1923</v>
      </c>
    </row>
    <row r="357" spans="1:9" ht="27" x14ac:dyDescent="0.3">
      <c r="A357" s="443" t="s">
        <v>2579</v>
      </c>
      <c r="B357" s="445" t="s">
        <v>2481</v>
      </c>
      <c r="C357" s="444" t="s">
        <v>2563</v>
      </c>
      <c r="D357" s="444" t="s">
        <v>2580</v>
      </c>
      <c r="E357" s="446" t="s">
        <v>2581</v>
      </c>
      <c r="F357" s="447" t="s">
        <v>1854</v>
      </c>
      <c r="G357" s="448"/>
      <c r="H357" s="448" t="s">
        <v>1961</v>
      </c>
      <c r="I357" s="448" t="s">
        <v>1923</v>
      </c>
    </row>
    <row r="358" spans="1:9" ht="27" x14ac:dyDescent="0.3">
      <c r="A358" s="443" t="s">
        <v>2582</v>
      </c>
      <c r="B358" s="445" t="s">
        <v>2481</v>
      </c>
      <c r="C358" s="444" t="s">
        <v>2563</v>
      </c>
      <c r="D358" s="444" t="s">
        <v>2583</v>
      </c>
      <c r="E358" s="446" t="s">
        <v>2584</v>
      </c>
      <c r="F358" s="447" t="s">
        <v>1890</v>
      </c>
      <c r="G358" s="448"/>
      <c r="H358" s="448"/>
      <c r="I358" s="448" t="s">
        <v>1927</v>
      </c>
    </row>
    <row r="359" spans="1:9" ht="27" x14ac:dyDescent="0.3">
      <c r="A359" s="443" t="s">
        <v>2585</v>
      </c>
      <c r="B359" s="445" t="s">
        <v>2481</v>
      </c>
      <c r="C359" s="444" t="s">
        <v>2563</v>
      </c>
      <c r="D359" s="444" t="s">
        <v>2586</v>
      </c>
      <c r="E359" s="446" t="s">
        <v>2587</v>
      </c>
      <c r="F359" s="447" t="s">
        <v>1890</v>
      </c>
      <c r="G359" s="448" t="s">
        <v>2588</v>
      </c>
      <c r="H359" s="448"/>
      <c r="I359" s="448" t="s">
        <v>1856</v>
      </c>
    </row>
    <row r="360" spans="1:9" ht="27" x14ac:dyDescent="0.3">
      <c r="A360" s="443" t="s">
        <v>2589</v>
      </c>
      <c r="B360" s="445" t="s">
        <v>2481</v>
      </c>
      <c r="C360" s="444" t="s">
        <v>2563</v>
      </c>
      <c r="D360" s="444" t="s">
        <v>913</v>
      </c>
      <c r="E360" s="446" t="s">
        <v>2590</v>
      </c>
      <c r="F360" s="447" t="s">
        <v>1890</v>
      </c>
      <c r="G360" s="448"/>
      <c r="H360" s="448"/>
      <c r="I360" s="448" t="s">
        <v>1856</v>
      </c>
    </row>
    <row r="361" spans="1:9" ht="27" x14ac:dyDescent="0.3">
      <c r="A361" s="443" t="s">
        <v>2591</v>
      </c>
      <c r="B361" s="445" t="s">
        <v>2481</v>
      </c>
      <c r="C361" s="444" t="s">
        <v>2563</v>
      </c>
      <c r="D361" s="444" t="s">
        <v>965</v>
      </c>
      <c r="E361" s="446" t="s">
        <v>2592</v>
      </c>
      <c r="F361" s="447" t="s">
        <v>1890</v>
      </c>
      <c r="G361" s="448"/>
      <c r="H361" s="448"/>
      <c r="I361" s="448" t="s">
        <v>1874</v>
      </c>
    </row>
    <row r="362" spans="1:9" ht="27" x14ac:dyDescent="0.3">
      <c r="A362" s="443" t="s">
        <v>2593</v>
      </c>
      <c r="B362" s="445" t="s">
        <v>2481</v>
      </c>
      <c r="C362" s="444" t="s">
        <v>2563</v>
      </c>
      <c r="D362" s="444" t="s">
        <v>1010</v>
      </c>
      <c r="E362" s="446" t="s">
        <v>2594</v>
      </c>
      <c r="F362" s="447" t="s">
        <v>1890</v>
      </c>
      <c r="G362" s="448"/>
      <c r="H362" s="448"/>
      <c r="I362" s="448" t="s">
        <v>1927</v>
      </c>
    </row>
    <row r="363" spans="1:9" ht="27" x14ac:dyDescent="0.3">
      <c r="A363" s="443" t="s">
        <v>2595</v>
      </c>
      <c r="B363" s="445" t="s">
        <v>2481</v>
      </c>
      <c r="C363" s="444" t="s">
        <v>2563</v>
      </c>
      <c r="D363" s="444" t="s">
        <v>1059</v>
      </c>
      <c r="E363" s="446" t="s">
        <v>2596</v>
      </c>
      <c r="F363" s="447" t="s">
        <v>1890</v>
      </c>
      <c r="G363" s="448"/>
      <c r="H363" s="448"/>
      <c r="I363" s="448" t="s">
        <v>1923</v>
      </c>
    </row>
    <row r="364" spans="1:9" ht="27" x14ac:dyDescent="0.3">
      <c r="A364" s="443" t="s">
        <v>2597</v>
      </c>
      <c r="B364" s="445" t="s">
        <v>2481</v>
      </c>
      <c r="C364" s="444" t="s">
        <v>2563</v>
      </c>
      <c r="D364" s="444" t="s">
        <v>1096</v>
      </c>
      <c r="E364" s="446" t="s">
        <v>2598</v>
      </c>
      <c r="F364" s="447" t="s">
        <v>1890</v>
      </c>
      <c r="G364" s="448"/>
      <c r="H364" s="448"/>
      <c r="I364" s="448" t="s">
        <v>1923</v>
      </c>
    </row>
    <row r="365" spans="1:9" ht="27" x14ac:dyDescent="0.3">
      <c r="A365" s="443" t="s">
        <v>2599</v>
      </c>
      <c r="B365" s="445" t="s">
        <v>2481</v>
      </c>
      <c r="C365" s="444" t="s">
        <v>2563</v>
      </c>
      <c r="D365" s="444" t="s">
        <v>1134</v>
      </c>
      <c r="E365" s="446" t="s">
        <v>2600</v>
      </c>
      <c r="F365" s="447" t="s">
        <v>1890</v>
      </c>
      <c r="G365" s="448"/>
      <c r="H365" s="448"/>
      <c r="I365" s="448" t="s">
        <v>1927</v>
      </c>
    </row>
    <row r="366" spans="1:9" ht="27" x14ac:dyDescent="0.3">
      <c r="A366" s="443" t="s">
        <v>2601</v>
      </c>
      <c r="B366" s="445" t="s">
        <v>2481</v>
      </c>
      <c r="C366" s="444" t="s">
        <v>2563</v>
      </c>
      <c r="D366" s="444" t="s">
        <v>2602</v>
      </c>
      <c r="E366" s="446" t="s">
        <v>2603</v>
      </c>
      <c r="F366" s="447" t="s">
        <v>1854</v>
      </c>
      <c r="G366" s="448"/>
      <c r="H366" s="448" t="s">
        <v>1961</v>
      </c>
      <c r="I366" s="448" t="s">
        <v>1923</v>
      </c>
    </row>
    <row r="367" spans="1:9" ht="27" x14ac:dyDescent="0.3">
      <c r="A367" s="443" t="s">
        <v>2604</v>
      </c>
      <c r="B367" s="445" t="s">
        <v>2481</v>
      </c>
      <c r="C367" s="444" t="s">
        <v>2563</v>
      </c>
      <c r="D367" s="444" t="s">
        <v>1167</v>
      </c>
      <c r="E367" s="446" t="s">
        <v>2605</v>
      </c>
      <c r="F367" s="447" t="s">
        <v>1890</v>
      </c>
      <c r="G367" s="448"/>
      <c r="H367" s="448"/>
      <c r="I367" s="448" t="s">
        <v>1893</v>
      </c>
    </row>
    <row r="368" spans="1:9" ht="27" x14ac:dyDescent="0.3">
      <c r="A368" s="443" t="s">
        <v>2606</v>
      </c>
      <c r="B368" s="445" t="s">
        <v>2481</v>
      </c>
      <c r="C368" s="444" t="s">
        <v>2563</v>
      </c>
      <c r="D368" s="444" t="s">
        <v>2607</v>
      </c>
      <c r="E368" s="446" t="s">
        <v>2608</v>
      </c>
      <c r="F368" s="447" t="s">
        <v>1854</v>
      </c>
      <c r="G368" s="448"/>
      <c r="H368" s="448" t="s">
        <v>1961</v>
      </c>
      <c r="I368" s="448" t="s">
        <v>1893</v>
      </c>
    </row>
    <row r="369" spans="1:9" ht="27" x14ac:dyDescent="0.3">
      <c r="A369" s="443" t="s">
        <v>2609</v>
      </c>
      <c r="B369" s="445" t="s">
        <v>2481</v>
      </c>
      <c r="C369" s="444" t="s">
        <v>2563</v>
      </c>
      <c r="D369" s="444" t="s">
        <v>1197</v>
      </c>
      <c r="E369" s="446" t="s">
        <v>2610</v>
      </c>
      <c r="F369" s="447" t="s">
        <v>1890</v>
      </c>
      <c r="G369" s="448"/>
      <c r="H369" s="448"/>
      <c r="I369" s="448" t="s">
        <v>1856</v>
      </c>
    </row>
    <row r="370" spans="1:9" ht="27" x14ac:dyDescent="0.3">
      <c r="A370" s="443" t="s">
        <v>2611</v>
      </c>
      <c r="B370" s="445" t="s">
        <v>2481</v>
      </c>
      <c r="C370" s="444" t="s">
        <v>2563</v>
      </c>
      <c r="D370" s="444" t="s">
        <v>1228</v>
      </c>
      <c r="E370" s="446" t="s">
        <v>2612</v>
      </c>
      <c r="F370" s="447" t="s">
        <v>1890</v>
      </c>
      <c r="G370" s="448"/>
      <c r="H370" s="448"/>
      <c r="I370" s="448" t="s">
        <v>1923</v>
      </c>
    </row>
    <row r="371" spans="1:9" ht="27" x14ac:dyDescent="0.3">
      <c r="A371" s="443" t="s">
        <v>2613</v>
      </c>
      <c r="B371" s="445" t="s">
        <v>2481</v>
      </c>
      <c r="C371" s="444" t="s">
        <v>2563</v>
      </c>
      <c r="D371" s="444" t="s">
        <v>132</v>
      </c>
      <c r="E371" s="446" t="s">
        <v>2614</v>
      </c>
      <c r="F371" s="447" t="s">
        <v>1890</v>
      </c>
      <c r="G371" s="448"/>
      <c r="H371" s="448"/>
      <c r="I371" s="448" t="s">
        <v>1923</v>
      </c>
    </row>
    <row r="372" spans="1:9" ht="27" x14ac:dyDescent="0.3">
      <c r="A372" s="443" t="s">
        <v>2615</v>
      </c>
      <c r="B372" s="445" t="s">
        <v>2481</v>
      </c>
      <c r="C372" s="444" t="s">
        <v>2563</v>
      </c>
      <c r="D372" s="444" t="s">
        <v>145</v>
      </c>
      <c r="E372" s="446" t="s">
        <v>2616</v>
      </c>
      <c r="F372" s="447" t="s">
        <v>1890</v>
      </c>
      <c r="G372" s="448"/>
      <c r="H372" s="448"/>
      <c r="I372" s="448" t="s">
        <v>1874</v>
      </c>
    </row>
    <row r="373" spans="1:9" ht="27" x14ac:dyDescent="0.3">
      <c r="A373" s="443" t="s">
        <v>2617</v>
      </c>
      <c r="B373" s="445" t="s">
        <v>2481</v>
      </c>
      <c r="C373" s="444" t="s">
        <v>2563</v>
      </c>
      <c r="D373" s="444" t="s">
        <v>2618</v>
      </c>
      <c r="E373" s="446" t="s">
        <v>2619</v>
      </c>
      <c r="F373" s="447" t="s">
        <v>1890</v>
      </c>
      <c r="G373" s="448"/>
      <c r="H373" s="448"/>
      <c r="I373" s="448" t="s">
        <v>1856</v>
      </c>
    </row>
    <row r="374" spans="1:9" ht="27" x14ac:dyDescent="0.3">
      <c r="A374" s="443" t="s">
        <v>2620</v>
      </c>
      <c r="B374" s="445" t="s">
        <v>2481</v>
      </c>
      <c r="C374" s="444" t="s">
        <v>2563</v>
      </c>
      <c r="D374" s="444" t="s">
        <v>1916</v>
      </c>
      <c r="E374" s="446" t="s">
        <v>2621</v>
      </c>
      <c r="F374" s="447" t="s">
        <v>1890</v>
      </c>
      <c r="G374" s="448"/>
      <c r="H374" s="448"/>
      <c r="I374" s="448" t="s">
        <v>1874</v>
      </c>
    </row>
    <row r="375" spans="1:9" ht="27" x14ac:dyDescent="0.3">
      <c r="A375" s="443" t="s">
        <v>2622</v>
      </c>
      <c r="B375" s="445" t="s">
        <v>2481</v>
      </c>
      <c r="C375" s="444" t="s">
        <v>2563</v>
      </c>
      <c r="D375" s="444" t="s">
        <v>2623</v>
      </c>
      <c r="E375" s="446" t="s">
        <v>2624</v>
      </c>
      <c r="F375" s="447" t="s">
        <v>1854</v>
      </c>
      <c r="G375" s="448"/>
      <c r="H375" s="448" t="s">
        <v>1961</v>
      </c>
      <c r="I375" s="448" t="s">
        <v>1927</v>
      </c>
    </row>
    <row r="376" spans="1:9" ht="27" x14ac:dyDescent="0.3">
      <c r="A376" s="443" t="s">
        <v>2625</v>
      </c>
      <c r="B376" s="445" t="s">
        <v>2481</v>
      </c>
      <c r="C376" s="444" t="s">
        <v>2563</v>
      </c>
      <c r="D376" s="444" t="s">
        <v>2626</v>
      </c>
      <c r="E376" s="446" t="s">
        <v>2627</v>
      </c>
      <c r="F376" s="447" t="s">
        <v>1890</v>
      </c>
      <c r="G376" s="448"/>
      <c r="H376" s="448"/>
      <c r="I376" s="448" t="s">
        <v>1856</v>
      </c>
    </row>
    <row r="377" spans="1:9" ht="27" x14ac:dyDescent="0.3">
      <c r="A377" s="443" t="s">
        <v>2628</v>
      </c>
      <c r="B377" s="445" t="s">
        <v>2481</v>
      </c>
      <c r="C377" s="444" t="s">
        <v>2563</v>
      </c>
      <c r="D377" s="444" t="s">
        <v>2629</v>
      </c>
      <c r="E377" s="446" t="s">
        <v>2630</v>
      </c>
      <c r="F377" s="447" t="s">
        <v>1890</v>
      </c>
      <c r="G377" s="448"/>
      <c r="H377" s="448"/>
      <c r="I377" s="448" t="s">
        <v>1856</v>
      </c>
    </row>
    <row r="378" spans="1:9" ht="27" x14ac:dyDescent="0.3">
      <c r="A378" s="443" t="s">
        <v>2631</v>
      </c>
      <c r="B378" s="445" t="s">
        <v>2481</v>
      </c>
      <c r="C378" s="444" t="s">
        <v>2563</v>
      </c>
      <c r="D378" s="444" t="s">
        <v>2107</v>
      </c>
      <c r="E378" s="446" t="s">
        <v>2632</v>
      </c>
      <c r="F378" s="447" t="s">
        <v>1890</v>
      </c>
      <c r="G378" s="448"/>
      <c r="H378" s="448"/>
      <c r="I378" s="448" t="s">
        <v>1927</v>
      </c>
    </row>
    <row r="379" spans="1:9" ht="27" x14ac:dyDescent="0.3">
      <c r="A379" s="443" t="s">
        <v>2633</v>
      </c>
      <c r="B379" s="445" t="s">
        <v>2481</v>
      </c>
      <c r="C379" s="444" t="s">
        <v>2563</v>
      </c>
      <c r="D379" s="444" t="s">
        <v>1387</v>
      </c>
      <c r="E379" s="446" t="s">
        <v>2634</v>
      </c>
      <c r="F379" s="447" t="s">
        <v>1890</v>
      </c>
      <c r="G379" s="448"/>
      <c r="H379" s="448"/>
      <c r="I379" s="448" t="s">
        <v>1856</v>
      </c>
    </row>
    <row r="380" spans="1:9" ht="27" x14ac:dyDescent="0.3">
      <c r="A380" s="443" t="s">
        <v>2635</v>
      </c>
      <c r="B380" s="445" t="s">
        <v>2481</v>
      </c>
      <c r="C380" s="444" t="s">
        <v>2563</v>
      </c>
      <c r="D380" s="444" t="s">
        <v>1398</v>
      </c>
      <c r="E380" s="446" t="s">
        <v>2636</v>
      </c>
      <c r="F380" s="447" t="s">
        <v>1890</v>
      </c>
      <c r="G380" s="448"/>
      <c r="H380" s="448"/>
      <c r="I380" s="448" t="s">
        <v>1923</v>
      </c>
    </row>
    <row r="381" spans="1:9" ht="27" x14ac:dyDescent="0.3">
      <c r="A381" s="443" t="s">
        <v>2637</v>
      </c>
      <c r="B381" s="445" t="s">
        <v>2481</v>
      </c>
      <c r="C381" s="444" t="s">
        <v>2563</v>
      </c>
      <c r="D381" s="444" t="s">
        <v>1407</v>
      </c>
      <c r="E381" s="446" t="s">
        <v>2638</v>
      </c>
      <c r="F381" s="447" t="s">
        <v>1890</v>
      </c>
      <c r="G381" s="448"/>
      <c r="H381" s="448"/>
      <c r="I381" s="448" t="s">
        <v>1927</v>
      </c>
    </row>
    <row r="382" spans="1:9" ht="27" x14ac:dyDescent="0.3">
      <c r="A382" s="443" t="s">
        <v>2639</v>
      </c>
      <c r="B382" s="445" t="s">
        <v>2481</v>
      </c>
      <c r="C382" s="444" t="s">
        <v>144</v>
      </c>
      <c r="D382" s="444" t="s">
        <v>178</v>
      </c>
      <c r="E382" s="446" t="s">
        <v>2640</v>
      </c>
      <c r="F382" s="447" t="s">
        <v>1890</v>
      </c>
      <c r="G382" s="448"/>
      <c r="H382" s="448"/>
      <c r="I382" s="448" t="s">
        <v>1856</v>
      </c>
    </row>
    <row r="383" spans="1:9" ht="27" x14ac:dyDescent="0.3">
      <c r="A383" s="443" t="s">
        <v>2641</v>
      </c>
      <c r="B383" s="445" t="s">
        <v>2481</v>
      </c>
      <c r="C383" s="444" t="s">
        <v>144</v>
      </c>
      <c r="D383" s="444" t="s">
        <v>253</v>
      </c>
      <c r="E383" s="446" t="s">
        <v>2642</v>
      </c>
      <c r="F383" s="447" t="s">
        <v>1890</v>
      </c>
      <c r="G383" s="448"/>
      <c r="H383" s="448"/>
      <c r="I383" s="448" t="s">
        <v>1856</v>
      </c>
    </row>
    <row r="384" spans="1:9" ht="27" x14ac:dyDescent="0.3">
      <c r="A384" s="443" t="s">
        <v>2643</v>
      </c>
      <c r="B384" s="445" t="s">
        <v>2481</v>
      </c>
      <c r="C384" s="444" t="s">
        <v>144</v>
      </c>
      <c r="D384" s="444" t="s">
        <v>324</v>
      </c>
      <c r="E384" s="446" t="s">
        <v>2644</v>
      </c>
      <c r="F384" s="447" t="s">
        <v>1890</v>
      </c>
      <c r="G384" s="448"/>
      <c r="H384" s="448"/>
      <c r="I384" s="448" t="s">
        <v>1927</v>
      </c>
    </row>
    <row r="385" spans="1:9" ht="27" x14ac:dyDescent="0.3">
      <c r="A385" s="443" t="s">
        <v>2645</v>
      </c>
      <c r="B385" s="445" t="s">
        <v>2481</v>
      </c>
      <c r="C385" s="444" t="s">
        <v>144</v>
      </c>
      <c r="D385" s="444" t="s">
        <v>397</v>
      </c>
      <c r="E385" s="446" t="s">
        <v>2646</v>
      </c>
      <c r="F385" s="447" t="s">
        <v>1890</v>
      </c>
      <c r="G385" s="448"/>
      <c r="H385" s="448"/>
      <c r="I385" s="448" t="s">
        <v>1856</v>
      </c>
    </row>
    <row r="386" spans="1:9" ht="27" x14ac:dyDescent="0.3">
      <c r="A386" s="443" t="s">
        <v>2647</v>
      </c>
      <c r="B386" s="445" t="s">
        <v>2481</v>
      </c>
      <c r="C386" s="444" t="s">
        <v>144</v>
      </c>
      <c r="D386" s="444" t="s">
        <v>609</v>
      </c>
      <c r="E386" s="446" t="s">
        <v>2648</v>
      </c>
      <c r="F386" s="447" t="s">
        <v>1890</v>
      </c>
      <c r="G386" s="448"/>
      <c r="H386" s="448"/>
      <c r="I386" s="448" t="s">
        <v>1856</v>
      </c>
    </row>
    <row r="387" spans="1:9" ht="27" x14ac:dyDescent="0.3">
      <c r="A387" s="443" t="s">
        <v>2649</v>
      </c>
      <c r="B387" s="445" t="s">
        <v>2481</v>
      </c>
      <c r="C387" s="444" t="s">
        <v>144</v>
      </c>
      <c r="D387" s="444" t="s">
        <v>676</v>
      </c>
      <c r="E387" s="446" t="s">
        <v>2650</v>
      </c>
      <c r="F387" s="447" t="s">
        <v>1890</v>
      </c>
      <c r="G387" s="448"/>
      <c r="H387" s="448"/>
      <c r="I387" s="448" t="s">
        <v>1856</v>
      </c>
    </row>
    <row r="388" spans="1:9" ht="27" x14ac:dyDescent="0.3">
      <c r="A388" s="443" t="s">
        <v>2651</v>
      </c>
      <c r="B388" s="445" t="s">
        <v>2481</v>
      </c>
      <c r="C388" s="444" t="s">
        <v>144</v>
      </c>
      <c r="D388" s="444" t="s">
        <v>739</v>
      </c>
      <c r="E388" s="446" t="s">
        <v>2652</v>
      </c>
      <c r="F388" s="447" t="s">
        <v>1890</v>
      </c>
      <c r="G388" s="448"/>
      <c r="H388" s="448"/>
      <c r="I388" s="448" t="s">
        <v>1856</v>
      </c>
    </row>
    <row r="389" spans="1:9" ht="27" x14ac:dyDescent="0.3">
      <c r="A389" s="443" t="s">
        <v>2653</v>
      </c>
      <c r="B389" s="445" t="s">
        <v>2481</v>
      </c>
      <c r="C389" s="444" t="s">
        <v>144</v>
      </c>
      <c r="D389" s="444" t="s">
        <v>2654</v>
      </c>
      <c r="E389" s="446" t="s">
        <v>2655</v>
      </c>
      <c r="F389" s="447" t="s">
        <v>1854</v>
      </c>
      <c r="G389" s="448"/>
      <c r="H389" s="448" t="s">
        <v>1961</v>
      </c>
      <c r="I389" s="448" t="s">
        <v>1927</v>
      </c>
    </row>
    <row r="390" spans="1:9" ht="27" x14ac:dyDescent="0.3">
      <c r="A390" s="443" t="s">
        <v>2656</v>
      </c>
      <c r="B390" s="445" t="s">
        <v>2481</v>
      </c>
      <c r="C390" s="444" t="s">
        <v>144</v>
      </c>
      <c r="D390" s="444" t="s">
        <v>858</v>
      </c>
      <c r="E390" s="446" t="s">
        <v>2657</v>
      </c>
      <c r="F390" s="447" t="s">
        <v>1890</v>
      </c>
      <c r="G390" s="448"/>
      <c r="H390" s="448"/>
      <c r="I390" s="448" t="s">
        <v>1856</v>
      </c>
    </row>
    <row r="391" spans="1:9" ht="27" x14ac:dyDescent="0.3">
      <c r="A391" s="443" t="s">
        <v>2658</v>
      </c>
      <c r="B391" s="445" t="s">
        <v>2481</v>
      </c>
      <c r="C391" s="444" t="s">
        <v>144</v>
      </c>
      <c r="D391" s="444" t="s">
        <v>914</v>
      </c>
      <c r="E391" s="446" t="s">
        <v>2659</v>
      </c>
      <c r="F391" s="447" t="s">
        <v>1890</v>
      </c>
      <c r="G391" s="448"/>
      <c r="H391" s="448"/>
      <c r="I391" s="448" t="s">
        <v>1856</v>
      </c>
    </row>
    <row r="392" spans="1:9" ht="27" x14ac:dyDescent="0.3">
      <c r="A392" s="443" t="s">
        <v>2660</v>
      </c>
      <c r="B392" s="445" t="s">
        <v>2481</v>
      </c>
      <c r="C392" s="444" t="s">
        <v>144</v>
      </c>
      <c r="D392" s="444" t="s">
        <v>966</v>
      </c>
      <c r="E392" s="446" t="s">
        <v>2661</v>
      </c>
      <c r="F392" s="447" t="s">
        <v>1890</v>
      </c>
      <c r="G392" s="448"/>
      <c r="H392" s="448"/>
      <c r="I392" s="448" t="s">
        <v>1874</v>
      </c>
    </row>
    <row r="393" spans="1:9" ht="27" x14ac:dyDescent="0.3">
      <c r="A393" s="443" t="s">
        <v>2662</v>
      </c>
      <c r="B393" s="445" t="s">
        <v>2481</v>
      </c>
      <c r="C393" s="444" t="s">
        <v>144</v>
      </c>
      <c r="D393" s="444" t="s">
        <v>1011</v>
      </c>
      <c r="E393" s="446" t="s">
        <v>2663</v>
      </c>
      <c r="F393" s="447" t="s">
        <v>1890</v>
      </c>
      <c r="G393" s="448"/>
      <c r="H393" s="448"/>
      <c r="I393" s="448" t="s">
        <v>1856</v>
      </c>
    </row>
    <row r="394" spans="1:9" ht="27" x14ac:dyDescent="0.3">
      <c r="A394" s="443" t="s">
        <v>2664</v>
      </c>
      <c r="B394" s="445" t="s">
        <v>2481</v>
      </c>
      <c r="C394" s="444" t="s">
        <v>144</v>
      </c>
      <c r="D394" s="444" t="s">
        <v>1060</v>
      </c>
      <c r="E394" s="446" t="s">
        <v>2665</v>
      </c>
      <c r="F394" s="447" t="s">
        <v>1890</v>
      </c>
      <c r="G394" s="448"/>
      <c r="H394" s="448"/>
      <c r="I394" s="448" t="s">
        <v>1923</v>
      </c>
    </row>
    <row r="395" spans="1:9" ht="27" x14ac:dyDescent="0.3">
      <c r="A395" s="443" t="s">
        <v>2666</v>
      </c>
      <c r="B395" s="445" t="s">
        <v>2481</v>
      </c>
      <c r="C395" s="444" t="s">
        <v>144</v>
      </c>
      <c r="D395" s="444" t="s">
        <v>1097</v>
      </c>
      <c r="E395" s="446" t="s">
        <v>2667</v>
      </c>
      <c r="F395" s="447" t="s">
        <v>1890</v>
      </c>
      <c r="G395" s="448"/>
      <c r="H395" s="448"/>
      <c r="I395" s="448" t="s">
        <v>1856</v>
      </c>
    </row>
    <row r="396" spans="1:9" ht="27" x14ac:dyDescent="0.3">
      <c r="A396" s="443" t="s">
        <v>2668</v>
      </c>
      <c r="B396" s="445" t="s">
        <v>2481</v>
      </c>
      <c r="C396" s="444" t="s">
        <v>144</v>
      </c>
      <c r="D396" s="444" t="s">
        <v>2150</v>
      </c>
      <c r="E396" s="446" t="s">
        <v>2669</v>
      </c>
      <c r="F396" s="447" t="s">
        <v>1854</v>
      </c>
      <c r="G396" s="448"/>
      <c r="H396" s="448" t="s">
        <v>1961</v>
      </c>
      <c r="I396" s="448" t="s">
        <v>1856</v>
      </c>
    </row>
    <row r="397" spans="1:9" ht="27" x14ac:dyDescent="0.3">
      <c r="A397" s="443" t="s">
        <v>2670</v>
      </c>
      <c r="B397" s="445" t="s">
        <v>2481</v>
      </c>
      <c r="C397" s="444" t="s">
        <v>144</v>
      </c>
      <c r="D397" s="444" t="s">
        <v>2671</v>
      </c>
      <c r="E397" s="446" t="s">
        <v>2672</v>
      </c>
      <c r="F397" s="447" t="s">
        <v>1890</v>
      </c>
      <c r="G397" s="448"/>
      <c r="H397" s="448"/>
      <c r="I397" s="448" t="s">
        <v>1927</v>
      </c>
    </row>
    <row r="398" spans="1:9" ht="27" x14ac:dyDescent="0.3">
      <c r="A398" s="443" t="s">
        <v>2673</v>
      </c>
      <c r="B398" s="445" t="s">
        <v>2481</v>
      </c>
      <c r="C398" s="444" t="s">
        <v>144</v>
      </c>
      <c r="D398" s="444" t="s">
        <v>2674</v>
      </c>
      <c r="E398" s="446" t="s">
        <v>2675</v>
      </c>
      <c r="F398" s="447" t="s">
        <v>1890</v>
      </c>
      <c r="G398" s="448"/>
      <c r="H398" s="448"/>
      <c r="I398" s="448" t="s">
        <v>2676</v>
      </c>
    </row>
    <row r="399" spans="1:9" ht="27" x14ac:dyDescent="0.3">
      <c r="A399" s="443" t="s">
        <v>2677</v>
      </c>
      <c r="B399" s="445" t="s">
        <v>2481</v>
      </c>
      <c r="C399" s="444" t="s">
        <v>144</v>
      </c>
      <c r="D399" s="444" t="s">
        <v>2328</v>
      </c>
      <c r="E399" s="446" t="s">
        <v>2678</v>
      </c>
      <c r="F399" s="447" t="s">
        <v>1890</v>
      </c>
      <c r="G399" s="448"/>
      <c r="H399" s="448"/>
      <c r="I399" s="448" t="s">
        <v>1927</v>
      </c>
    </row>
    <row r="400" spans="1:9" ht="27" x14ac:dyDescent="0.3">
      <c r="A400" s="443" t="s">
        <v>2679</v>
      </c>
      <c r="B400" s="445" t="s">
        <v>2481</v>
      </c>
      <c r="C400" s="444" t="s">
        <v>144</v>
      </c>
      <c r="D400" s="444" t="s">
        <v>2680</v>
      </c>
      <c r="E400" s="446" t="s">
        <v>2681</v>
      </c>
      <c r="F400" s="447" t="s">
        <v>1890</v>
      </c>
      <c r="G400" s="448"/>
      <c r="H400" s="448"/>
      <c r="I400" s="448" t="s">
        <v>1923</v>
      </c>
    </row>
    <row r="401" spans="1:9" ht="27" x14ac:dyDescent="0.3">
      <c r="A401" s="443" t="s">
        <v>2682</v>
      </c>
      <c r="B401" s="445" t="s">
        <v>2481</v>
      </c>
      <c r="C401" s="444" t="s">
        <v>144</v>
      </c>
      <c r="D401" s="444" t="s">
        <v>2683</v>
      </c>
      <c r="E401" s="446" t="s">
        <v>2684</v>
      </c>
      <c r="F401" s="447" t="s">
        <v>1890</v>
      </c>
      <c r="G401" s="448"/>
      <c r="H401" s="448"/>
      <c r="I401" s="448" t="s">
        <v>1923</v>
      </c>
    </row>
    <row r="402" spans="1:9" ht="27" x14ac:dyDescent="0.3">
      <c r="A402" s="443" t="s">
        <v>2685</v>
      </c>
      <c r="B402" s="445" t="s">
        <v>2481</v>
      </c>
      <c r="C402" s="444" t="s">
        <v>144</v>
      </c>
      <c r="D402" s="444" t="s">
        <v>1248</v>
      </c>
      <c r="E402" s="446" t="s">
        <v>2686</v>
      </c>
      <c r="F402" s="447" t="s">
        <v>1890</v>
      </c>
      <c r="G402" s="448" t="s">
        <v>2687</v>
      </c>
      <c r="H402" s="448"/>
      <c r="I402" s="448" t="s">
        <v>1923</v>
      </c>
    </row>
    <row r="403" spans="1:9" ht="27" x14ac:dyDescent="0.3">
      <c r="A403" s="443" t="s">
        <v>2688</v>
      </c>
      <c r="B403" s="445" t="s">
        <v>2481</v>
      </c>
      <c r="C403" s="444" t="s">
        <v>155</v>
      </c>
      <c r="D403" s="444" t="s">
        <v>179</v>
      </c>
      <c r="E403" s="446" t="s">
        <v>2689</v>
      </c>
      <c r="F403" s="447" t="s">
        <v>1890</v>
      </c>
      <c r="G403" s="448"/>
      <c r="H403" s="448"/>
      <c r="I403" s="448" t="s">
        <v>1893</v>
      </c>
    </row>
    <row r="404" spans="1:9" ht="27" x14ac:dyDescent="0.3">
      <c r="A404" s="443" t="s">
        <v>2690</v>
      </c>
      <c r="B404" s="445" t="s">
        <v>2481</v>
      </c>
      <c r="C404" s="444" t="s">
        <v>155</v>
      </c>
      <c r="D404" s="444" t="s">
        <v>254</v>
      </c>
      <c r="E404" s="446" t="s">
        <v>2691</v>
      </c>
      <c r="F404" s="447" t="s">
        <v>1890</v>
      </c>
      <c r="G404" s="448"/>
      <c r="H404" s="448"/>
      <c r="I404" s="448" t="s">
        <v>1874</v>
      </c>
    </row>
    <row r="405" spans="1:9" ht="27" x14ac:dyDescent="0.3">
      <c r="A405" s="443" t="s">
        <v>2692</v>
      </c>
      <c r="B405" s="445" t="s">
        <v>2481</v>
      </c>
      <c r="C405" s="444" t="s">
        <v>155</v>
      </c>
      <c r="D405" s="444" t="s">
        <v>325</v>
      </c>
      <c r="E405" s="446" t="s">
        <v>2693</v>
      </c>
      <c r="F405" s="447" t="s">
        <v>1890</v>
      </c>
      <c r="G405" s="448"/>
      <c r="H405" s="448"/>
      <c r="I405" s="448" t="s">
        <v>1856</v>
      </c>
    </row>
    <row r="406" spans="1:9" ht="27" x14ac:dyDescent="0.3">
      <c r="A406" s="443" t="s">
        <v>2694</v>
      </c>
      <c r="B406" s="445" t="s">
        <v>2481</v>
      </c>
      <c r="C406" s="444" t="s">
        <v>155</v>
      </c>
      <c r="D406" s="444" t="s">
        <v>398</v>
      </c>
      <c r="E406" s="446" t="s">
        <v>2695</v>
      </c>
      <c r="F406" s="447" t="s">
        <v>1890</v>
      </c>
      <c r="G406" s="448"/>
      <c r="H406" s="448"/>
      <c r="I406" s="448" t="s">
        <v>1856</v>
      </c>
    </row>
    <row r="407" spans="1:9" ht="27" x14ac:dyDescent="0.3">
      <c r="A407" s="443" t="s">
        <v>2696</v>
      </c>
      <c r="B407" s="445" t="s">
        <v>2481</v>
      </c>
      <c r="C407" s="444" t="s">
        <v>155</v>
      </c>
      <c r="D407" s="444" t="s">
        <v>482</v>
      </c>
      <c r="E407" s="446" t="s">
        <v>2697</v>
      </c>
      <c r="F407" s="447" t="s">
        <v>1890</v>
      </c>
      <c r="G407" s="448"/>
      <c r="H407" s="448"/>
      <c r="I407" s="448" t="s">
        <v>1856</v>
      </c>
    </row>
    <row r="408" spans="1:9" ht="27" x14ac:dyDescent="0.3">
      <c r="A408" s="443" t="s">
        <v>2698</v>
      </c>
      <c r="B408" s="445" t="s">
        <v>2481</v>
      </c>
      <c r="C408" s="444" t="s">
        <v>155</v>
      </c>
      <c r="D408" s="444" t="s">
        <v>610</v>
      </c>
      <c r="E408" s="446" t="s">
        <v>2699</v>
      </c>
      <c r="F408" s="447" t="s">
        <v>1890</v>
      </c>
      <c r="G408" s="448"/>
      <c r="H408" s="448"/>
      <c r="I408" s="448" t="s">
        <v>1856</v>
      </c>
    </row>
    <row r="409" spans="1:9" ht="27" x14ac:dyDescent="0.3">
      <c r="A409" s="443" t="s">
        <v>2700</v>
      </c>
      <c r="B409" s="445" t="s">
        <v>2481</v>
      </c>
      <c r="C409" s="444" t="s">
        <v>155</v>
      </c>
      <c r="D409" s="444" t="s">
        <v>1901</v>
      </c>
      <c r="E409" s="446" t="s">
        <v>2701</v>
      </c>
      <c r="F409" s="447" t="s">
        <v>1890</v>
      </c>
      <c r="G409" s="448"/>
      <c r="H409" s="448"/>
      <c r="I409" s="448" t="s">
        <v>1874</v>
      </c>
    </row>
    <row r="410" spans="1:9" ht="27" x14ac:dyDescent="0.3">
      <c r="A410" s="443" t="s">
        <v>2702</v>
      </c>
      <c r="B410" s="445" t="s">
        <v>2481</v>
      </c>
      <c r="C410" s="444" t="s">
        <v>155</v>
      </c>
      <c r="D410" s="444" t="s">
        <v>740</v>
      </c>
      <c r="E410" s="446" t="s">
        <v>2703</v>
      </c>
      <c r="F410" s="447" t="s">
        <v>1890</v>
      </c>
      <c r="G410" s="448"/>
      <c r="H410" s="448"/>
      <c r="I410" s="448" t="s">
        <v>1927</v>
      </c>
    </row>
    <row r="411" spans="1:9" ht="27" x14ac:dyDescent="0.3">
      <c r="A411" s="443" t="s">
        <v>2704</v>
      </c>
      <c r="B411" s="445" t="s">
        <v>2481</v>
      </c>
      <c r="C411" s="444" t="s">
        <v>155</v>
      </c>
      <c r="D411" s="444" t="s">
        <v>802</v>
      </c>
      <c r="E411" s="446" t="s">
        <v>2705</v>
      </c>
      <c r="F411" s="447" t="s">
        <v>1890</v>
      </c>
      <c r="G411" s="448"/>
      <c r="H411" s="448"/>
      <c r="I411" s="448" t="s">
        <v>1856</v>
      </c>
    </row>
    <row r="412" spans="1:9" ht="27" x14ac:dyDescent="0.3">
      <c r="A412" s="443" t="s">
        <v>2706</v>
      </c>
      <c r="B412" s="445" t="s">
        <v>2481</v>
      </c>
      <c r="C412" s="444" t="s">
        <v>155</v>
      </c>
      <c r="D412" s="444" t="s">
        <v>859</v>
      </c>
      <c r="E412" s="446" t="s">
        <v>2707</v>
      </c>
      <c r="F412" s="447" t="s">
        <v>1890</v>
      </c>
      <c r="G412" s="448"/>
      <c r="H412" s="448"/>
      <c r="I412" s="448" t="s">
        <v>1856</v>
      </c>
    </row>
    <row r="413" spans="1:9" ht="27" x14ac:dyDescent="0.3">
      <c r="A413" s="443" t="s">
        <v>2708</v>
      </c>
      <c r="B413" s="445" t="s">
        <v>2481</v>
      </c>
      <c r="C413" s="444" t="s">
        <v>155</v>
      </c>
      <c r="D413" s="444" t="s">
        <v>915</v>
      </c>
      <c r="E413" s="446" t="s">
        <v>2709</v>
      </c>
      <c r="F413" s="447" t="s">
        <v>1890</v>
      </c>
      <c r="G413" s="448"/>
      <c r="H413" s="448"/>
      <c r="I413" s="448" t="s">
        <v>1923</v>
      </c>
    </row>
    <row r="414" spans="1:9" ht="27" x14ac:dyDescent="0.3">
      <c r="A414" s="443" t="s">
        <v>2710</v>
      </c>
      <c r="B414" s="445" t="s">
        <v>2481</v>
      </c>
      <c r="C414" s="444" t="s">
        <v>155</v>
      </c>
      <c r="D414" s="444" t="s">
        <v>967</v>
      </c>
      <c r="E414" s="446" t="s">
        <v>2711</v>
      </c>
      <c r="F414" s="447" t="s">
        <v>1890</v>
      </c>
      <c r="G414" s="448"/>
      <c r="H414" s="448"/>
      <c r="I414" s="448" t="s">
        <v>1893</v>
      </c>
    </row>
    <row r="415" spans="1:9" ht="27" x14ac:dyDescent="0.3">
      <c r="A415" s="443" t="s">
        <v>2712</v>
      </c>
      <c r="B415" s="445" t="s">
        <v>2481</v>
      </c>
      <c r="C415" s="444" t="s">
        <v>155</v>
      </c>
      <c r="D415" s="444" t="s">
        <v>2713</v>
      </c>
      <c r="E415" s="446" t="s">
        <v>2714</v>
      </c>
      <c r="F415" s="447" t="s">
        <v>1890</v>
      </c>
      <c r="G415" s="448"/>
      <c r="H415" s="448"/>
      <c r="I415" s="448" t="s">
        <v>1893</v>
      </c>
    </row>
    <row r="416" spans="1:9" ht="27" x14ac:dyDescent="0.3">
      <c r="A416" s="443" t="s">
        <v>2715</v>
      </c>
      <c r="B416" s="445" t="s">
        <v>2481</v>
      </c>
      <c r="C416" s="444" t="s">
        <v>155</v>
      </c>
      <c r="D416" s="444" t="s">
        <v>2240</v>
      </c>
      <c r="E416" s="446" t="s">
        <v>2716</v>
      </c>
      <c r="F416" s="447" t="s">
        <v>1890</v>
      </c>
      <c r="G416" s="448"/>
      <c r="H416" s="448"/>
      <c r="I416" s="448" t="s">
        <v>1923</v>
      </c>
    </row>
    <row r="417" spans="1:9" ht="27" x14ac:dyDescent="0.3">
      <c r="A417" s="443" t="s">
        <v>2717</v>
      </c>
      <c r="B417" s="445" t="s">
        <v>2481</v>
      </c>
      <c r="C417" s="444" t="s">
        <v>155</v>
      </c>
      <c r="D417" s="444" t="s">
        <v>2718</v>
      </c>
      <c r="E417" s="446" t="s">
        <v>2719</v>
      </c>
      <c r="F417" s="447" t="s">
        <v>1890</v>
      </c>
      <c r="G417" s="448"/>
      <c r="H417" s="448"/>
      <c r="I417" s="448" t="s">
        <v>1874</v>
      </c>
    </row>
    <row r="418" spans="1:9" ht="27" x14ac:dyDescent="0.3">
      <c r="A418" s="443" t="s">
        <v>2720</v>
      </c>
      <c r="B418" s="445" t="s">
        <v>2481</v>
      </c>
      <c r="C418" s="444" t="s">
        <v>155</v>
      </c>
      <c r="D418" s="444" t="s">
        <v>2721</v>
      </c>
      <c r="E418" s="446" t="s">
        <v>2722</v>
      </c>
      <c r="F418" s="447" t="s">
        <v>1854</v>
      </c>
      <c r="G418" s="448"/>
      <c r="H418" s="448" t="s">
        <v>1961</v>
      </c>
      <c r="I418" s="448" t="s">
        <v>1856</v>
      </c>
    </row>
    <row r="419" spans="1:9" ht="27" x14ac:dyDescent="0.3">
      <c r="A419" s="443" t="s">
        <v>2723</v>
      </c>
      <c r="B419" s="445" t="s">
        <v>2481</v>
      </c>
      <c r="C419" s="444" t="s">
        <v>155</v>
      </c>
      <c r="D419" s="444" t="s">
        <v>1064</v>
      </c>
      <c r="E419" s="446" t="s">
        <v>2724</v>
      </c>
      <c r="F419" s="447" t="s">
        <v>1890</v>
      </c>
      <c r="G419" s="448"/>
      <c r="H419" s="448"/>
      <c r="I419" s="448" t="s">
        <v>1874</v>
      </c>
    </row>
    <row r="420" spans="1:9" ht="27" x14ac:dyDescent="0.3">
      <c r="A420" s="443" t="s">
        <v>2725</v>
      </c>
      <c r="B420" s="445" t="s">
        <v>2481</v>
      </c>
      <c r="C420" s="444" t="s">
        <v>155</v>
      </c>
      <c r="D420" s="444" t="s">
        <v>1828</v>
      </c>
      <c r="E420" s="446" t="s">
        <v>2726</v>
      </c>
      <c r="F420" s="447" t="s">
        <v>1890</v>
      </c>
      <c r="G420" s="448"/>
      <c r="H420" s="448"/>
      <c r="I420" s="448" t="s">
        <v>1927</v>
      </c>
    </row>
    <row r="421" spans="1:9" ht="27" x14ac:dyDescent="0.3">
      <c r="A421" s="443" t="s">
        <v>2727</v>
      </c>
      <c r="B421" s="445" t="s">
        <v>2481</v>
      </c>
      <c r="C421" s="444" t="s">
        <v>158</v>
      </c>
      <c r="D421" s="444" t="s">
        <v>180</v>
      </c>
      <c r="E421" s="446" t="s">
        <v>2728</v>
      </c>
      <c r="F421" s="447" t="s">
        <v>1890</v>
      </c>
      <c r="G421" s="448"/>
      <c r="H421" s="448"/>
      <c r="I421" s="448" t="s">
        <v>1856</v>
      </c>
    </row>
    <row r="422" spans="1:9" ht="27" x14ac:dyDescent="0.3">
      <c r="A422" s="443" t="s">
        <v>2729</v>
      </c>
      <c r="B422" s="445" t="s">
        <v>2481</v>
      </c>
      <c r="C422" s="444" t="s">
        <v>158</v>
      </c>
      <c r="D422" s="444" t="s">
        <v>255</v>
      </c>
      <c r="E422" s="446" t="s">
        <v>2730</v>
      </c>
      <c r="F422" s="447" t="s">
        <v>1890</v>
      </c>
      <c r="G422" s="448"/>
      <c r="H422" s="448"/>
      <c r="I422" s="448" t="s">
        <v>1923</v>
      </c>
    </row>
    <row r="423" spans="1:9" ht="27" x14ac:dyDescent="0.3">
      <c r="A423" s="443" t="s">
        <v>2731</v>
      </c>
      <c r="B423" s="445" t="s">
        <v>2481</v>
      </c>
      <c r="C423" s="444" t="s">
        <v>158</v>
      </c>
      <c r="D423" s="444" t="s">
        <v>326</v>
      </c>
      <c r="E423" s="446" t="s">
        <v>2732</v>
      </c>
      <c r="F423" s="447" t="s">
        <v>1890</v>
      </c>
      <c r="G423" s="448"/>
      <c r="H423" s="448"/>
      <c r="I423" s="448" t="s">
        <v>1927</v>
      </c>
    </row>
    <row r="424" spans="1:9" ht="27" x14ac:dyDescent="0.3">
      <c r="A424" s="443" t="s">
        <v>2733</v>
      </c>
      <c r="B424" s="445" t="s">
        <v>2481</v>
      </c>
      <c r="C424" s="444" t="s">
        <v>158</v>
      </c>
      <c r="D424" s="444" t="s">
        <v>399</v>
      </c>
      <c r="E424" s="446" t="s">
        <v>2734</v>
      </c>
      <c r="F424" s="447" t="s">
        <v>1890</v>
      </c>
      <c r="G424" s="448"/>
      <c r="H424" s="448"/>
      <c r="I424" s="448" t="s">
        <v>1927</v>
      </c>
    </row>
    <row r="425" spans="1:9" ht="27" x14ac:dyDescent="0.3">
      <c r="A425" s="443" t="s">
        <v>2735</v>
      </c>
      <c r="B425" s="445" t="s">
        <v>2481</v>
      </c>
      <c r="C425" s="444" t="s">
        <v>158</v>
      </c>
      <c r="D425" s="444" t="s">
        <v>543</v>
      </c>
      <c r="E425" s="446" t="s">
        <v>2736</v>
      </c>
      <c r="F425" s="447" t="s">
        <v>1890</v>
      </c>
      <c r="G425" s="448"/>
      <c r="H425" s="448"/>
      <c r="I425" s="448" t="s">
        <v>1874</v>
      </c>
    </row>
    <row r="426" spans="1:9" ht="27" x14ac:dyDescent="0.3">
      <c r="A426" s="443" t="s">
        <v>2737</v>
      </c>
      <c r="B426" s="445" t="s">
        <v>2481</v>
      </c>
      <c r="C426" s="444" t="s">
        <v>158</v>
      </c>
      <c r="D426" s="444" t="s">
        <v>611</v>
      </c>
      <c r="E426" s="446" t="s">
        <v>2738</v>
      </c>
      <c r="F426" s="447" t="s">
        <v>1890</v>
      </c>
      <c r="G426" s="448"/>
      <c r="H426" s="448"/>
      <c r="I426" s="448" t="s">
        <v>1856</v>
      </c>
    </row>
    <row r="427" spans="1:9" ht="27" x14ac:dyDescent="0.3">
      <c r="A427" s="443" t="s">
        <v>2739</v>
      </c>
      <c r="B427" s="445" t="s">
        <v>2481</v>
      </c>
      <c r="C427" s="444" t="s">
        <v>158</v>
      </c>
      <c r="D427" s="444" t="s">
        <v>677</v>
      </c>
      <c r="E427" s="446" t="s">
        <v>2740</v>
      </c>
      <c r="F427" s="447" t="s">
        <v>1890</v>
      </c>
      <c r="G427" s="448"/>
      <c r="H427" s="448"/>
      <c r="I427" s="448" t="s">
        <v>1927</v>
      </c>
    </row>
    <row r="428" spans="1:9" ht="27" x14ac:dyDescent="0.3">
      <c r="A428" s="443" t="s">
        <v>2741</v>
      </c>
      <c r="B428" s="445" t="s">
        <v>2481</v>
      </c>
      <c r="C428" s="444" t="s">
        <v>158</v>
      </c>
      <c r="D428" s="444" t="s">
        <v>2618</v>
      </c>
      <c r="E428" s="446" t="s">
        <v>2742</v>
      </c>
      <c r="F428" s="447" t="s">
        <v>1890</v>
      </c>
      <c r="G428" s="448"/>
      <c r="H428" s="448"/>
      <c r="I428" s="448" t="s">
        <v>1874</v>
      </c>
    </row>
    <row r="429" spans="1:9" ht="27" x14ac:dyDescent="0.3">
      <c r="A429" s="443" t="s">
        <v>2743</v>
      </c>
      <c r="B429" s="445" t="s">
        <v>2481</v>
      </c>
      <c r="C429" s="444" t="s">
        <v>158</v>
      </c>
      <c r="D429" s="444" t="s">
        <v>2744</v>
      </c>
      <c r="E429" s="446" t="s">
        <v>2745</v>
      </c>
      <c r="F429" s="447" t="s">
        <v>1890</v>
      </c>
      <c r="G429" s="448"/>
      <c r="H429" s="448"/>
      <c r="I429" s="448" t="s">
        <v>1923</v>
      </c>
    </row>
    <row r="430" spans="1:9" ht="27" x14ac:dyDescent="0.3">
      <c r="A430" s="443" t="s">
        <v>2746</v>
      </c>
      <c r="B430" s="445" t="s">
        <v>2481</v>
      </c>
      <c r="C430" s="444" t="s">
        <v>158</v>
      </c>
      <c r="D430" s="444" t="s">
        <v>2747</v>
      </c>
      <c r="E430" s="446" t="s">
        <v>2748</v>
      </c>
      <c r="F430" s="447" t="s">
        <v>1890</v>
      </c>
      <c r="G430" s="448"/>
      <c r="H430" s="448"/>
      <c r="I430" s="448" t="s">
        <v>1856</v>
      </c>
    </row>
    <row r="431" spans="1:9" ht="27" x14ac:dyDescent="0.3">
      <c r="A431" s="443" t="s">
        <v>2749</v>
      </c>
      <c r="B431" s="445" t="s">
        <v>2481</v>
      </c>
      <c r="C431" s="444" t="s">
        <v>158</v>
      </c>
      <c r="D431" s="444" t="s">
        <v>2750</v>
      </c>
      <c r="E431" s="446" t="s">
        <v>2751</v>
      </c>
      <c r="F431" s="447" t="s">
        <v>1890</v>
      </c>
      <c r="G431" s="448"/>
      <c r="H431" s="448"/>
      <c r="I431" s="448" t="s">
        <v>1923</v>
      </c>
    </row>
    <row r="432" spans="1:9" ht="27" x14ac:dyDescent="0.3">
      <c r="A432" s="443" t="s">
        <v>2752</v>
      </c>
      <c r="B432" s="445" t="s">
        <v>2481</v>
      </c>
      <c r="C432" s="444" t="s">
        <v>158</v>
      </c>
      <c r="D432" s="444" t="s">
        <v>2096</v>
      </c>
      <c r="E432" s="446" t="s">
        <v>2753</v>
      </c>
      <c r="F432" s="447" t="s">
        <v>1890</v>
      </c>
      <c r="G432" s="448"/>
      <c r="H432" s="448"/>
      <c r="I432" s="448" t="s">
        <v>1856</v>
      </c>
    </row>
    <row r="433" spans="1:9" ht="27" x14ac:dyDescent="0.3">
      <c r="A433" s="443" t="s">
        <v>2754</v>
      </c>
      <c r="B433" s="445" t="s">
        <v>2481</v>
      </c>
      <c r="C433" s="444" t="s">
        <v>158</v>
      </c>
      <c r="D433" s="444" t="s">
        <v>1013</v>
      </c>
      <c r="E433" s="446" t="s">
        <v>2755</v>
      </c>
      <c r="F433" s="447" t="s">
        <v>1890</v>
      </c>
      <c r="G433" s="448"/>
      <c r="H433" s="448"/>
      <c r="I433" s="448" t="s">
        <v>1856</v>
      </c>
    </row>
    <row r="434" spans="1:9" ht="27" x14ac:dyDescent="0.3">
      <c r="A434" s="443" t="s">
        <v>2756</v>
      </c>
      <c r="B434" s="445" t="s">
        <v>2481</v>
      </c>
      <c r="C434" s="444" t="s">
        <v>81</v>
      </c>
      <c r="D434" s="444" t="s">
        <v>181</v>
      </c>
      <c r="E434" s="446" t="s">
        <v>2757</v>
      </c>
      <c r="F434" s="447" t="s">
        <v>1890</v>
      </c>
      <c r="G434" s="448"/>
      <c r="H434" s="448"/>
      <c r="I434" s="448" t="s">
        <v>1927</v>
      </c>
    </row>
    <row r="435" spans="1:9" ht="27" x14ac:dyDescent="0.3">
      <c r="A435" s="443" t="s">
        <v>2758</v>
      </c>
      <c r="B435" s="445" t="s">
        <v>2481</v>
      </c>
      <c r="C435" s="444" t="s">
        <v>81</v>
      </c>
      <c r="D435" s="444" t="s">
        <v>256</v>
      </c>
      <c r="E435" s="446" t="s">
        <v>2759</v>
      </c>
      <c r="F435" s="447" t="s">
        <v>1890</v>
      </c>
      <c r="G435" s="448"/>
      <c r="H435" s="448"/>
      <c r="I435" s="448" t="s">
        <v>1874</v>
      </c>
    </row>
    <row r="436" spans="1:9" ht="27" x14ac:dyDescent="0.3">
      <c r="A436" s="443" t="s">
        <v>2760</v>
      </c>
      <c r="B436" s="445" t="s">
        <v>2481</v>
      </c>
      <c r="C436" s="444" t="s">
        <v>81</v>
      </c>
      <c r="D436" s="444" t="s">
        <v>327</v>
      </c>
      <c r="E436" s="446" t="s">
        <v>2761</v>
      </c>
      <c r="F436" s="447" t="s">
        <v>1890</v>
      </c>
      <c r="G436" s="448"/>
      <c r="H436" s="448"/>
      <c r="I436" s="448" t="s">
        <v>1927</v>
      </c>
    </row>
    <row r="437" spans="1:9" ht="27" x14ac:dyDescent="0.3">
      <c r="A437" s="443" t="s">
        <v>2762</v>
      </c>
      <c r="B437" s="445" t="s">
        <v>2481</v>
      </c>
      <c r="C437" s="444" t="s">
        <v>81</v>
      </c>
      <c r="D437" s="444" t="s">
        <v>400</v>
      </c>
      <c r="E437" s="446" t="s">
        <v>2763</v>
      </c>
      <c r="F437" s="447" t="s">
        <v>1890</v>
      </c>
      <c r="G437" s="448"/>
      <c r="H437" s="448"/>
      <c r="I437" s="448" t="s">
        <v>1923</v>
      </c>
    </row>
    <row r="438" spans="1:9" ht="27" x14ac:dyDescent="0.3">
      <c r="A438" s="443" t="s">
        <v>2764</v>
      </c>
      <c r="B438" s="445" t="s">
        <v>2481</v>
      </c>
      <c r="C438" s="444" t="s">
        <v>81</v>
      </c>
      <c r="D438" s="444" t="s">
        <v>472</v>
      </c>
      <c r="E438" s="446" t="s">
        <v>2765</v>
      </c>
      <c r="F438" s="447" t="s">
        <v>1890</v>
      </c>
      <c r="G438" s="448"/>
      <c r="H438" s="448"/>
      <c r="I438" s="448" t="s">
        <v>1927</v>
      </c>
    </row>
    <row r="439" spans="1:9" ht="27" x14ac:dyDescent="0.3">
      <c r="A439" s="443" t="s">
        <v>2766</v>
      </c>
      <c r="B439" s="445" t="s">
        <v>2481</v>
      </c>
      <c r="C439" s="444" t="s">
        <v>81</v>
      </c>
      <c r="D439" s="444" t="s">
        <v>544</v>
      </c>
      <c r="E439" s="446" t="s">
        <v>2767</v>
      </c>
      <c r="F439" s="447" t="s">
        <v>1890</v>
      </c>
      <c r="G439" s="448"/>
      <c r="H439" s="448"/>
      <c r="I439" s="448" t="s">
        <v>1927</v>
      </c>
    </row>
    <row r="440" spans="1:9" ht="27" x14ac:dyDescent="0.3">
      <c r="A440" s="443" t="s">
        <v>2768</v>
      </c>
      <c r="B440" s="445" t="s">
        <v>2481</v>
      </c>
      <c r="C440" s="444" t="s">
        <v>81</v>
      </c>
      <c r="D440" s="444" t="s">
        <v>2769</v>
      </c>
      <c r="E440" s="446" t="s">
        <v>2770</v>
      </c>
      <c r="F440" s="447" t="s">
        <v>1890</v>
      </c>
      <c r="G440" s="448"/>
      <c r="H440" s="448"/>
      <c r="I440" s="448" t="s">
        <v>1874</v>
      </c>
    </row>
    <row r="441" spans="1:9" ht="27" x14ac:dyDescent="0.3">
      <c r="A441" s="443" t="s">
        <v>2771</v>
      </c>
      <c r="B441" s="445" t="s">
        <v>2481</v>
      </c>
      <c r="C441" s="444" t="s">
        <v>81</v>
      </c>
      <c r="D441" s="444" t="s">
        <v>2671</v>
      </c>
      <c r="E441" s="446" t="s">
        <v>2772</v>
      </c>
      <c r="F441" s="447" t="s">
        <v>1890</v>
      </c>
      <c r="G441" s="448"/>
      <c r="H441" s="448"/>
      <c r="I441" s="448" t="s">
        <v>1874</v>
      </c>
    </row>
    <row r="442" spans="1:9" ht="27" x14ac:dyDescent="0.3">
      <c r="A442" s="443" t="s">
        <v>2773</v>
      </c>
      <c r="B442" s="445" t="s">
        <v>2481</v>
      </c>
      <c r="C442" s="444" t="s">
        <v>144</v>
      </c>
      <c r="D442" s="444" t="s">
        <v>2774</v>
      </c>
      <c r="E442" s="446" t="s">
        <v>2775</v>
      </c>
      <c r="F442" s="447" t="s">
        <v>1854</v>
      </c>
      <c r="G442" s="448"/>
      <c r="H442" s="448" t="s">
        <v>1855</v>
      </c>
      <c r="I442" s="448" t="s">
        <v>1856</v>
      </c>
    </row>
    <row r="443" spans="1:9" ht="27" x14ac:dyDescent="0.3">
      <c r="A443" s="443" t="s">
        <v>2776</v>
      </c>
      <c r="B443" s="445" t="s">
        <v>2481</v>
      </c>
      <c r="C443" s="444" t="s">
        <v>158</v>
      </c>
      <c r="D443" s="444" t="s">
        <v>2777</v>
      </c>
      <c r="E443" s="446" t="s">
        <v>2778</v>
      </c>
      <c r="F443" s="447" t="s">
        <v>1854</v>
      </c>
      <c r="G443" s="448"/>
      <c r="H443" s="448" t="s">
        <v>1855</v>
      </c>
      <c r="I443" s="448" t="s">
        <v>1856</v>
      </c>
    </row>
    <row r="444" spans="1:9" ht="27" x14ac:dyDescent="0.3">
      <c r="A444" s="443" t="s">
        <v>2779</v>
      </c>
      <c r="B444" s="445" t="s">
        <v>2780</v>
      </c>
      <c r="C444" s="444" t="s">
        <v>82</v>
      </c>
      <c r="D444" s="444" t="s">
        <v>182</v>
      </c>
      <c r="E444" s="446" t="s">
        <v>2781</v>
      </c>
      <c r="F444" s="447" t="s">
        <v>1890</v>
      </c>
      <c r="G444" s="448"/>
      <c r="H444" s="448"/>
      <c r="I444" s="448" t="s">
        <v>1923</v>
      </c>
    </row>
    <row r="445" spans="1:9" ht="27" x14ac:dyDescent="0.3">
      <c r="A445" s="443" t="s">
        <v>2782</v>
      </c>
      <c r="B445" s="445" t="s">
        <v>2780</v>
      </c>
      <c r="C445" s="444" t="s">
        <v>82</v>
      </c>
      <c r="D445" s="444" t="s">
        <v>257</v>
      </c>
      <c r="E445" s="446" t="s">
        <v>2783</v>
      </c>
      <c r="F445" s="447" t="s">
        <v>1890</v>
      </c>
      <c r="G445" s="448"/>
      <c r="H445" s="448"/>
      <c r="I445" s="448" t="s">
        <v>1923</v>
      </c>
    </row>
    <row r="446" spans="1:9" ht="27" x14ac:dyDescent="0.3">
      <c r="A446" s="443" t="s">
        <v>2784</v>
      </c>
      <c r="B446" s="445" t="s">
        <v>2780</v>
      </c>
      <c r="C446" s="444" t="s">
        <v>82</v>
      </c>
      <c r="D446" s="444" t="s">
        <v>328</v>
      </c>
      <c r="E446" s="446" t="s">
        <v>2785</v>
      </c>
      <c r="F446" s="447" t="s">
        <v>1890</v>
      </c>
      <c r="G446" s="448"/>
      <c r="H446" s="448"/>
      <c r="I446" s="448" t="s">
        <v>1856</v>
      </c>
    </row>
    <row r="447" spans="1:9" ht="27" x14ac:dyDescent="0.3">
      <c r="A447" s="443" t="s">
        <v>2786</v>
      </c>
      <c r="B447" s="445" t="s">
        <v>2780</v>
      </c>
      <c r="C447" s="444" t="s">
        <v>82</v>
      </c>
      <c r="D447" s="444" t="s">
        <v>271</v>
      </c>
      <c r="E447" s="446" t="s">
        <v>2787</v>
      </c>
      <c r="F447" s="447" t="s">
        <v>1890</v>
      </c>
      <c r="G447" s="448"/>
      <c r="H447" s="448"/>
      <c r="I447" s="448" t="s">
        <v>1893</v>
      </c>
    </row>
    <row r="448" spans="1:9" ht="27" x14ac:dyDescent="0.3">
      <c r="A448" s="443" t="s">
        <v>2788</v>
      </c>
      <c r="B448" s="445" t="s">
        <v>2780</v>
      </c>
      <c r="C448" s="444" t="s">
        <v>82</v>
      </c>
      <c r="D448" s="444" t="s">
        <v>2789</v>
      </c>
      <c r="E448" s="446" t="s">
        <v>2790</v>
      </c>
      <c r="F448" s="447" t="s">
        <v>1854</v>
      </c>
      <c r="G448" s="448"/>
      <c r="H448" s="448" t="s">
        <v>1961</v>
      </c>
      <c r="I448" s="448" t="s">
        <v>1856</v>
      </c>
    </row>
    <row r="449" spans="1:9" ht="27" x14ac:dyDescent="0.3">
      <c r="A449" s="443" t="s">
        <v>2791</v>
      </c>
      <c r="B449" s="445" t="s">
        <v>2780</v>
      </c>
      <c r="C449" s="444" t="s">
        <v>82</v>
      </c>
      <c r="D449" s="444" t="s">
        <v>545</v>
      </c>
      <c r="E449" s="446" t="s">
        <v>2792</v>
      </c>
      <c r="F449" s="447" t="s">
        <v>1890</v>
      </c>
      <c r="G449" s="448"/>
      <c r="H449" s="448"/>
      <c r="I449" s="448" t="s">
        <v>1856</v>
      </c>
    </row>
    <row r="450" spans="1:9" ht="28.8" x14ac:dyDescent="0.3">
      <c r="A450" s="450" t="s">
        <v>2793</v>
      </c>
      <c r="B450" s="445" t="s">
        <v>2780</v>
      </c>
      <c r="C450" s="444" t="s">
        <v>82</v>
      </c>
      <c r="D450" s="444" t="s">
        <v>2794</v>
      </c>
      <c r="E450" s="446" t="s">
        <v>2795</v>
      </c>
      <c r="F450" s="447" t="s">
        <v>1854</v>
      </c>
      <c r="G450" s="448"/>
      <c r="H450" s="448" t="s">
        <v>1961</v>
      </c>
      <c r="I450" s="448" t="s">
        <v>2378</v>
      </c>
    </row>
    <row r="451" spans="1:9" ht="27" x14ac:dyDescent="0.3">
      <c r="A451" s="443" t="s">
        <v>2796</v>
      </c>
      <c r="B451" s="445" t="s">
        <v>2780</v>
      </c>
      <c r="C451" s="444" t="s">
        <v>82</v>
      </c>
      <c r="D451" s="444" t="s">
        <v>613</v>
      </c>
      <c r="E451" s="446" t="s">
        <v>2797</v>
      </c>
      <c r="F451" s="447" t="s">
        <v>1890</v>
      </c>
      <c r="G451" s="448"/>
      <c r="H451" s="448"/>
      <c r="I451" s="448" t="s">
        <v>1874</v>
      </c>
    </row>
    <row r="452" spans="1:9" ht="27" x14ac:dyDescent="0.3">
      <c r="A452" s="443" t="s">
        <v>2798</v>
      </c>
      <c r="B452" s="445" t="s">
        <v>2780</v>
      </c>
      <c r="C452" s="444" t="s">
        <v>82</v>
      </c>
      <c r="D452" s="444" t="s">
        <v>917</v>
      </c>
      <c r="E452" s="446" t="s">
        <v>2799</v>
      </c>
      <c r="F452" s="447" t="s">
        <v>1890</v>
      </c>
      <c r="G452" s="448"/>
      <c r="H452" s="448"/>
      <c r="I452" s="448" t="s">
        <v>1923</v>
      </c>
    </row>
    <row r="453" spans="1:9" ht="27" x14ac:dyDescent="0.3">
      <c r="A453" s="443" t="s">
        <v>2800</v>
      </c>
      <c r="B453" s="445" t="s">
        <v>2780</v>
      </c>
      <c r="C453" s="444" t="s">
        <v>82</v>
      </c>
      <c r="D453" s="444" t="s">
        <v>968</v>
      </c>
      <c r="E453" s="446" t="s">
        <v>2801</v>
      </c>
      <c r="F453" s="447" t="s">
        <v>1890</v>
      </c>
      <c r="G453" s="448"/>
      <c r="H453" s="448"/>
      <c r="I453" s="448" t="s">
        <v>1874</v>
      </c>
    </row>
    <row r="454" spans="1:9" ht="27" x14ac:dyDescent="0.3">
      <c r="A454" s="443" t="s">
        <v>2802</v>
      </c>
      <c r="B454" s="445" t="s">
        <v>2780</v>
      </c>
      <c r="C454" s="444" t="s">
        <v>82</v>
      </c>
      <c r="D454" s="444" t="s">
        <v>1014</v>
      </c>
      <c r="E454" s="446" t="s">
        <v>2803</v>
      </c>
      <c r="F454" s="447" t="s">
        <v>1890</v>
      </c>
      <c r="G454" s="448"/>
      <c r="H454" s="448"/>
      <c r="I454" s="448" t="s">
        <v>1927</v>
      </c>
    </row>
    <row r="455" spans="1:9" ht="27" x14ac:dyDescent="0.3">
      <c r="A455" s="443" t="s">
        <v>2804</v>
      </c>
      <c r="B455" s="445" t="s">
        <v>2780</v>
      </c>
      <c r="C455" s="444" t="s">
        <v>82</v>
      </c>
      <c r="D455" s="444" t="s">
        <v>1061</v>
      </c>
      <c r="E455" s="446" t="s">
        <v>2805</v>
      </c>
      <c r="F455" s="447" t="s">
        <v>1890</v>
      </c>
      <c r="G455" s="448"/>
      <c r="H455" s="448"/>
      <c r="I455" s="448" t="s">
        <v>1856</v>
      </c>
    </row>
    <row r="456" spans="1:9" ht="27" x14ac:dyDescent="0.3">
      <c r="A456" s="443" t="s">
        <v>2806</v>
      </c>
      <c r="B456" s="445" t="s">
        <v>2780</v>
      </c>
      <c r="C456" s="444" t="s">
        <v>82</v>
      </c>
      <c r="D456" s="444" t="s">
        <v>1099</v>
      </c>
      <c r="E456" s="446" t="s">
        <v>2807</v>
      </c>
      <c r="F456" s="447" t="s">
        <v>1890</v>
      </c>
      <c r="G456" s="448"/>
      <c r="H456" s="448"/>
      <c r="I456" s="448" t="s">
        <v>1927</v>
      </c>
    </row>
    <row r="457" spans="1:9" ht="27" x14ac:dyDescent="0.3">
      <c r="A457" s="443" t="s">
        <v>2808</v>
      </c>
      <c r="B457" s="445" t="s">
        <v>2780</v>
      </c>
      <c r="C457" s="444" t="s">
        <v>82</v>
      </c>
      <c r="D457" s="444" t="s">
        <v>2809</v>
      </c>
      <c r="E457" s="446" t="s">
        <v>2810</v>
      </c>
      <c r="F457" s="447" t="s">
        <v>1854</v>
      </c>
      <c r="G457" s="448"/>
      <c r="H457" s="448" t="s">
        <v>1961</v>
      </c>
      <c r="I457" s="448" t="s">
        <v>1856</v>
      </c>
    </row>
    <row r="458" spans="1:9" ht="27" x14ac:dyDescent="0.3">
      <c r="A458" s="443" t="s">
        <v>2811</v>
      </c>
      <c r="B458" s="445" t="s">
        <v>2780</v>
      </c>
      <c r="C458" s="444" t="s">
        <v>82</v>
      </c>
      <c r="D458" s="444" t="s">
        <v>1136</v>
      </c>
      <c r="E458" s="446" t="s">
        <v>2812</v>
      </c>
      <c r="F458" s="447" t="s">
        <v>1890</v>
      </c>
      <c r="G458" s="448"/>
      <c r="H458" s="448"/>
      <c r="I458" s="448" t="s">
        <v>1927</v>
      </c>
    </row>
    <row r="459" spans="1:9" ht="27" x14ac:dyDescent="0.3">
      <c r="A459" s="443" t="s">
        <v>2813</v>
      </c>
      <c r="B459" s="445" t="s">
        <v>2780</v>
      </c>
      <c r="C459" s="444" t="s">
        <v>82</v>
      </c>
      <c r="D459" s="444" t="s">
        <v>369</v>
      </c>
      <c r="E459" s="446" t="s">
        <v>2814</v>
      </c>
      <c r="F459" s="447" t="s">
        <v>1890</v>
      </c>
      <c r="G459" s="448"/>
      <c r="H459" s="448"/>
      <c r="I459" s="448" t="s">
        <v>1856</v>
      </c>
    </row>
    <row r="460" spans="1:9" ht="27" x14ac:dyDescent="0.3">
      <c r="A460" s="443" t="s">
        <v>2815</v>
      </c>
      <c r="B460" s="445" t="s">
        <v>2780</v>
      </c>
      <c r="C460" s="444" t="s">
        <v>82</v>
      </c>
      <c r="D460" s="444" t="s">
        <v>1199</v>
      </c>
      <c r="E460" s="446" t="s">
        <v>2816</v>
      </c>
      <c r="F460" s="447" t="s">
        <v>1890</v>
      </c>
      <c r="G460" s="448"/>
      <c r="H460" s="448"/>
      <c r="I460" s="448" t="s">
        <v>1874</v>
      </c>
    </row>
    <row r="461" spans="1:9" ht="27" x14ac:dyDescent="0.3">
      <c r="A461" s="443" t="s">
        <v>2817</v>
      </c>
      <c r="B461" s="445" t="s">
        <v>2780</v>
      </c>
      <c r="C461" s="444" t="s">
        <v>82</v>
      </c>
      <c r="D461" s="444" t="s">
        <v>2818</v>
      </c>
      <c r="E461" s="446" t="s">
        <v>2819</v>
      </c>
      <c r="F461" s="447" t="s">
        <v>1890</v>
      </c>
      <c r="G461" s="448"/>
      <c r="H461" s="448"/>
      <c r="I461" s="448" t="s">
        <v>1923</v>
      </c>
    </row>
    <row r="462" spans="1:9" ht="27" x14ac:dyDescent="0.3">
      <c r="A462" s="443" t="s">
        <v>2820</v>
      </c>
      <c r="B462" s="445" t="s">
        <v>2780</v>
      </c>
      <c r="C462" s="444" t="s">
        <v>82</v>
      </c>
      <c r="D462" s="444" t="s">
        <v>1249</v>
      </c>
      <c r="E462" s="446" t="s">
        <v>2821</v>
      </c>
      <c r="F462" s="447" t="s">
        <v>1890</v>
      </c>
      <c r="G462" s="448"/>
      <c r="H462" s="448"/>
      <c r="I462" s="448" t="s">
        <v>1856</v>
      </c>
    </row>
    <row r="463" spans="1:9" ht="27" x14ac:dyDescent="0.3">
      <c r="A463" s="443" t="s">
        <v>2822</v>
      </c>
      <c r="B463" s="445" t="s">
        <v>2780</v>
      </c>
      <c r="C463" s="444" t="s">
        <v>82</v>
      </c>
      <c r="D463" s="444" t="s">
        <v>2823</v>
      </c>
      <c r="E463" s="446" t="s">
        <v>2824</v>
      </c>
      <c r="F463" s="447" t="s">
        <v>1890</v>
      </c>
      <c r="G463" s="448"/>
      <c r="H463" s="448"/>
      <c r="I463" s="448" t="s">
        <v>1874</v>
      </c>
    </row>
    <row r="464" spans="1:9" ht="27" x14ac:dyDescent="0.3">
      <c r="A464" s="443" t="s">
        <v>2825</v>
      </c>
      <c r="B464" s="445" t="s">
        <v>2780</v>
      </c>
      <c r="C464" s="444" t="s">
        <v>82</v>
      </c>
      <c r="D464" s="444" t="s">
        <v>656</v>
      </c>
      <c r="E464" s="446" t="s">
        <v>2826</v>
      </c>
      <c r="F464" s="447" t="s">
        <v>1890</v>
      </c>
      <c r="G464" s="448"/>
      <c r="H464" s="448"/>
      <c r="I464" s="448" t="s">
        <v>1856</v>
      </c>
    </row>
    <row r="465" spans="1:9" ht="27" x14ac:dyDescent="0.3">
      <c r="A465" s="443" t="s">
        <v>2827</v>
      </c>
      <c r="B465" s="445" t="s">
        <v>2780</v>
      </c>
      <c r="C465" s="444" t="s">
        <v>82</v>
      </c>
      <c r="D465" s="444" t="s">
        <v>1828</v>
      </c>
      <c r="E465" s="446" t="s">
        <v>2828</v>
      </c>
      <c r="F465" s="447" t="s">
        <v>1890</v>
      </c>
      <c r="G465" s="448"/>
      <c r="H465" s="448"/>
      <c r="I465" s="448" t="s">
        <v>1856</v>
      </c>
    </row>
    <row r="466" spans="1:9" ht="27" x14ac:dyDescent="0.3">
      <c r="A466" s="443" t="s">
        <v>2829</v>
      </c>
      <c r="B466" s="445" t="s">
        <v>2780</v>
      </c>
      <c r="C466" s="444" t="s">
        <v>82</v>
      </c>
      <c r="D466" s="444" t="s">
        <v>1842</v>
      </c>
      <c r="E466" s="446" t="s">
        <v>2830</v>
      </c>
      <c r="F466" s="447" t="s">
        <v>1890</v>
      </c>
      <c r="G466" s="448"/>
      <c r="H466" s="448"/>
      <c r="I466" s="448" t="s">
        <v>1856</v>
      </c>
    </row>
    <row r="467" spans="1:9" ht="27" x14ac:dyDescent="0.3">
      <c r="A467" s="443" t="s">
        <v>2831</v>
      </c>
      <c r="B467" s="445" t="s">
        <v>2780</v>
      </c>
      <c r="C467" s="444" t="s">
        <v>82</v>
      </c>
      <c r="D467" s="444" t="s">
        <v>2671</v>
      </c>
      <c r="E467" s="446" t="s">
        <v>2832</v>
      </c>
      <c r="F467" s="447" t="s">
        <v>1890</v>
      </c>
      <c r="G467" s="448"/>
      <c r="H467" s="448"/>
      <c r="I467" s="448" t="s">
        <v>1923</v>
      </c>
    </row>
    <row r="468" spans="1:9" ht="27" x14ac:dyDescent="0.3">
      <c r="A468" s="443" t="s">
        <v>2833</v>
      </c>
      <c r="B468" s="445" t="s">
        <v>2780</v>
      </c>
      <c r="C468" s="444" t="s">
        <v>82</v>
      </c>
      <c r="D468" s="444" t="s">
        <v>2031</v>
      </c>
      <c r="E468" s="446" t="s">
        <v>2834</v>
      </c>
      <c r="F468" s="447" t="s">
        <v>1890</v>
      </c>
      <c r="G468" s="448"/>
      <c r="H468" s="448"/>
      <c r="I468" s="448" t="s">
        <v>1893</v>
      </c>
    </row>
    <row r="469" spans="1:9" ht="27" x14ac:dyDescent="0.3">
      <c r="A469" s="443" t="s">
        <v>2835</v>
      </c>
      <c r="B469" s="445" t="s">
        <v>2780</v>
      </c>
      <c r="C469" s="444" t="s">
        <v>82</v>
      </c>
      <c r="D469" s="444" t="s">
        <v>2836</v>
      </c>
      <c r="E469" s="446" t="s">
        <v>2837</v>
      </c>
      <c r="F469" s="447" t="s">
        <v>1890</v>
      </c>
      <c r="G469" s="448"/>
      <c r="H469" s="448"/>
      <c r="I469" s="448" t="s">
        <v>1856</v>
      </c>
    </row>
    <row r="470" spans="1:9" ht="27" x14ac:dyDescent="0.3">
      <c r="A470" s="443" t="s">
        <v>2838</v>
      </c>
      <c r="B470" s="445" t="s">
        <v>2780</v>
      </c>
      <c r="C470" s="444" t="s">
        <v>82</v>
      </c>
      <c r="D470" s="444" t="s">
        <v>2334</v>
      </c>
      <c r="E470" s="446" t="s">
        <v>2839</v>
      </c>
      <c r="F470" s="447" t="s">
        <v>1890</v>
      </c>
      <c r="G470" s="448"/>
      <c r="H470" s="448"/>
      <c r="I470" s="448" t="s">
        <v>1893</v>
      </c>
    </row>
    <row r="471" spans="1:9" ht="28.8" x14ac:dyDescent="0.3">
      <c r="A471" s="443" t="s">
        <v>2840</v>
      </c>
      <c r="B471" s="445" t="s">
        <v>2780</v>
      </c>
      <c r="C471" s="444" t="s">
        <v>82</v>
      </c>
      <c r="D471" s="444" t="s">
        <v>2841</v>
      </c>
      <c r="E471" s="446" t="s">
        <v>2842</v>
      </c>
      <c r="F471" s="447" t="s">
        <v>1854</v>
      </c>
      <c r="G471" s="448"/>
      <c r="H471" s="448" t="s">
        <v>1961</v>
      </c>
      <c r="I471" s="448" t="s">
        <v>2378</v>
      </c>
    </row>
    <row r="472" spans="1:9" ht="27" x14ac:dyDescent="0.3">
      <c r="A472" s="443" t="s">
        <v>2843</v>
      </c>
      <c r="B472" s="445" t="s">
        <v>2780</v>
      </c>
      <c r="C472" s="444" t="s">
        <v>82</v>
      </c>
      <c r="D472" s="444" t="s">
        <v>1388</v>
      </c>
      <c r="E472" s="446" t="s">
        <v>2844</v>
      </c>
      <c r="F472" s="447" t="s">
        <v>1890</v>
      </c>
      <c r="G472" s="448"/>
      <c r="H472" s="448"/>
      <c r="I472" s="448" t="s">
        <v>1927</v>
      </c>
    </row>
    <row r="473" spans="1:9" ht="27" x14ac:dyDescent="0.3">
      <c r="A473" s="443" t="s">
        <v>2845</v>
      </c>
      <c r="B473" s="445" t="s">
        <v>2780</v>
      </c>
      <c r="C473" s="444" t="s">
        <v>82</v>
      </c>
      <c r="D473" s="444" t="s">
        <v>868</v>
      </c>
      <c r="E473" s="446" t="s">
        <v>2846</v>
      </c>
      <c r="F473" s="447" t="s">
        <v>1890</v>
      </c>
      <c r="G473" s="448"/>
      <c r="H473" s="448"/>
      <c r="I473" s="448" t="s">
        <v>1927</v>
      </c>
    </row>
    <row r="474" spans="1:9" ht="27" x14ac:dyDescent="0.3">
      <c r="A474" s="443" t="s">
        <v>2847</v>
      </c>
      <c r="B474" s="445" t="s">
        <v>2780</v>
      </c>
      <c r="C474" s="444" t="s">
        <v>82</v>
      </c>
      <c r="D474" s="444" t="s">
        <v>2848</v>
      </c>
      <c r="E474" s="446" t="s">
        <v>2849</v>
      </c>
      <c r="F474" s="447" t="s">
        <v>1854</v>
      </c>
      <c r="G474" s="448"/>
      <c r="H474" s="448" t="s">
        <v>1961</v>
      </c>
      <c r="I474" s="448" t="s">
        <v>1874</v>
      </c>
    </row>
    <row r="475" spans="1:9" ht="27" x14ac:dyDescent="0.3">
      <c r="A475" s="443" t="s">
        <v>2850</v>
      </c>
      <c r="B475" s="445" t="s">
        <v>2780</v>
      </c>
      <c r="C475" s="444" t="s">
        <v>82</v>
      </c>
      <c r="D475" s="444" t="s">
        <v>1408</v>
      </c>
      <c r="E475" s="446" t="s">
        <v>2851</v>
      </c>
      <c r="F475" s="447" t="s">
        <v>1890</v>
      </c>
      <c r="G475" s="448"/>
      <c r="H475" s="448"/>
      <c r="I475" s="448" t="s">
        <v>1874</v>
      </c>
    </row>
    <row r="476" spans="1:9" ht="27" x14ac:dyDescent="0.3">
      <c r="A476" s="443" t="s">
        <v>2852</v>
      </c>
      <c r="B476" s="445" t="s">
        <v>2780</v>
      </c>
      <c r="C476" s="444" t="s">
        <v>82</v>
      </c>
      <c r="D476" s="444" t="s">
        <v>1417</v>
      </c>
      <c r="E476" s="446" t="s">
        <v>2853</v>
      </c>
      <c r="F476" s="447" t="s">
        <v>1890</v>
      </c>
      <c r="G476" s="448"/>
      <c r="H476" s="448"/>
      <c r="I476" s="448" t="s">
        <v>1893</v>
      </c>
    </row>
    <row r="477" spans="1:9" ht="27" x14ac:dyDescent="0.3">
      <c r="A477" s="443" t="s">
        <v>2854</v>
      </c>
      <c r="B477" s="445" t="s">
        <v>2780</v>
      </c>
      <c r="C477" s="444" t="s">
        <v>82</v>
      </c>
      <c r="D477" s="444" t="s">
        <v>1424</v>
      </c>
      <c r="E477" s="446" t="s">
        <v>2855</v>
      </c>
      <c r="F477" s="447" t="s">
        <v>1890</v>
      </c>
      <c r="G477" s="448"/>
      <c r="H477" s="448"/>
      <c r="I477" s="448" t="s">
        <v>1927</v>
      </c>
    </row>
    <row r="478" spans="1:9" ht="27" x14ac:dyDescent="0.3">
      <c r="A478" s="443" t="s">
        <v>2856</v>
      </c>
      <c r="B478" s="445" t="s">
        <v>2780</v>
      </c>
      <c r="C478" s="444" t="s">
        <v>99</v>
      </c>
      <c r="D478" s="444" t="s">
        <v>183</v>
      </c>
      <c r="E478" s="446" t="s">
        <v>2857</v>
      </c>
      <c r="F478" s="447" t="s">
        <v>1890</v>
      </c>
      <c r="G478" s="448"/>
      <c r="H478" s="448"/>
      <c r="I478" s="448" t="s">
        <v>1856</v>
      </c>
    </row>
    <row r="479" spans="1:9" ht="27" x14ac:dyDescent="0.3">
      <c r="A479" s="443" t="s">
        <v>2858</v>
      </c>
      <c r="B479" s="445" t="s">
        <v>2780</v>
      </c>
      <c r="C479" s="444" t="s">
        <v>99</v>
      </c>
      <c r="D479" s="444" t="s">
        <v>258</v>
      </c>
      <c r="E479" s="446" t="s">
        <v>2859</v>
      </c>
      <c r="F479" s="447" t="s">
        <v>1890</v>
      </c>
      <c r="G479" s="448"/>
      <c r="H479" s="448"/>
      <c r="I479" s="448" t="s">
        <v>1923</v>
      </c>
    </row>
    <row r="480" spans="1:9" ht="28.8" x14ac:dyDescent="0.3">
      <c r="A480" s="443" t="s">
        <v>2860</v>
      </c>
      <c r="B480" s="445" t="s">
        <v>2780</v>
      </c>
      <c r="C480" s="444" t="s">
        <v>99</v>
      </c>
      <c r="D480" s="444" t="s">
        <v>2861</v>
      </c>
      <c r="E480" s="446" t="s">
        <v>2862</v>
      </c>
      <c r="F480" s="447" t="s">
        <v>1854</v>
      </c>
      <c r="G480" s="448"/>
      <c r="H480" s="448" t="s">
        <v>1961</v>
      </c>
      <c r="I480" s="448" t="s">
        <v>2378</v>
      </c>
    </row>
    <row r="481" spans="1:9" ht="28.8" x14ac:dyDescent="0.3">
      <c r="A481" s="443" t="s">
        <v>2863</v>
      </c>
      <c r="B481" s="445" t="s">
        <v>2780</v>
      </c>
      <c r="C481" s="444" t="s">
        <v>99</v>
      </c>
      <c r="D481" s="444" t="s">
        <v>2864</v>
      </c>
      <c r="E481" s="446" t="s">
        <v>2865</v>
      </c>
      <c r="F481" s="447" t="s">
        <v>1854</v>
      </c>
      <c r="G481" s="448"/>
      <c r="H481" s="448" t="s">
        <v>1961</v>
      </c>
      <c r="I481" s="448" t="s">
        <v>2378</v>
      </c>
    </row>
    <row r="482" spans="1:9" ht="27" x14ac:dyDescent="0.3">
      <c r="A482" s="443" t="s">
        <v>2866</v>
      </c>
      <c r="B482" s="445" t="s">
        <v>2780</v>
      </c>
      <c r="C482" s="444" t="s">
        <v>99</v>
      </c>
      <c r="D482" s="444" t="s">
        <v>2867</v>
      </c>
      <c r="E482" s="446" t="s">
        <v>2868</v>
      </c>
      <c r="F482" s="447" t="s">
        <v>1854</v>
      </c>
      <c r="G482" s="448"/>
      <c r="H482" s="448" t="s">
        <v>1961</v>
      </c>
      <c r="I482" s="448" t="s">
        <v>1923</v>
      </c>
    </row>
    <row r="483" spans="1:9" ht="28.8" x14ac:dyDescent="0.3">
      <c r="A483" s="443" t="s">
        <v>2869</v>
      </c>
      <c r="B483" s="445" t="s">
        <v>2780</v>
      </c>
      <c r="C483" s="444" t="s">
        <v>99</v>
      </c>
      <c r="D483" s="444" t="s">
        <v>2870</v>
      </c>
      <c r="E483" s="446" t="s">
        <v>2871</v>
      </c>
      <c r="F483" s="447" t="s">
        <v>1854</v>
      </c>
      <c r="G483" s="448"/>
      <c r="H483" s="448" t="s">
        <v>1961</v>
      </c>
      <c r="I483" s="448" t="s">
        <v>2378</v>
      </c>
    </row>
    <row r="484" spans="1:9" ht="27" x14ac:dyDescent="0.3">
      <c r="A484" s="443" t="s">
        <v>2872</v>
      </c>
      <c r="B484" s="445" t="s">
        <v>2780</v>
      </c>
      <c r="C484" s="444" t="s">
        <v>99</v>
      </c>
      <c r="D484" s="444" t="s">
        <v>2873</v>
      </c>
      <c r="E484" s="446" t="s">
        <v>2874</v>
      </c>
      <c r="F484" s="447" t="s">
        <v>1890</v>
      </c>
      <c r="G484" s="448"/>
      <c r="H484" s="448"/>
      <c r="I484" s="448" t="s">
        <v>1893</v>
      </c>
    </row>
    <row r="485" spans="1:9" ht="28.8" x14ac:dyDescent="0.3">
      <c r="A485" s="443" t="s">
        <v>2875</v>
      </c>
      <c r="B485" s="445" t="s">
        <v>2780</v>
      </c>
      <c r="C485" s="444" t="s">
        <v>99</v>
      </c>
      <c r="D485" s="444" t="s">
        <v>2876</v>
      </c>
      <c r="E485" s="446" t="s">
        <v>2877</v>
      </c>
      <c r="F485" s="447" t="s">
        <v>1854</v>
      </c>
      <c r="G485" s="448"/>
      <c r="H485" s="448" t="s">
        <v>1961</v>
      </c>
      <c r="I485" s="448" t="s">
        <v>2378</v>
      </c>
    </row>
    <row r="486" spans="1:9" ht="27" x14ac:dyDescent="0.3">
      <c r="A486" s="443" t="s">
        <v>2878</v>
      </c>
      <c r="B486" s="445" t="s">
        <v>2780</v>
      </c>
      <c r="C486" s="444" t="s">
        <v>99</v>
      </c>
      <c r="D486" s="444" t="s">
        <v>2879</v>
      </c>
      <c r="E486" s="446" t="s">
        <v>2880</v>
      </c>
      <c r="F486" s="447" t="s">
        <v>1854</v>
      </c>
      <c r="G486" s="448"/>
      <c r="H486" s="448" t="s">
        <v>1961</v>
      </c>
      <c r="I486" s="448" t="s">
        <v>1927</v>
      </c>
    </row>
    <row r="487" spans="1:9" ht="27" x14ac:dyDescent="0.3">
      <c r="A487" s="443" t="s">
        <v>2881</v>
      </c>
      <c r="B487" s="445" t="s">
        <v>2780</v>
      </c>
      <c r="C487" s="444" t="s">
        <v>99</v>
      </c>
      <c r="D487" s="444" t="s">
        <v>969</v>
      </c>
      <c r="E487" s="446" t="s">
        <v>2882</v>
      </c>
      <c r="F487" s="447" t="s">
        <v>1890</v>
      </c>
      <c r="G487" s="448"/>
      <c r="H487" s="448"/>
      <c r="I487" s="448" t="s">
        <v>1856</v>
      </c>
    </row>
    <row r="488" spans="1:9" ht="27" x14ac:dyDescent="0.3">
      <c r="A488" s="443" t="s">
        <v>2883</v>
      </c>
      <c r="B488" s="445" t="s">
        <v>2780</v>
      </c>
      <c r="C488" s="444" t="s">
        <v>99</v>
      </c>
      <c r="D488" s="444" t="s">
        <v>1015</v>
      </c>
      <c r="E488" s="446" t="s">
        <v>2884</v>
      </c>
      <c r="F488" s="447" t="s">
        <v>1890</v>
      </c>
      <c r="G488" s="448"/>
      <c r="H488" s="448"/>
      <c r="I488" s="448" t="s">
        <v>1856</v>
      </c>
    </row>
    <row r="489" spans="1:9" ht="27" x14ac:dyDescent="0.3">
      <c r="A489" s="443" t="s">
        <v>2885</v>
      </c>
      <c r="B489" s="445" t="s">
        <v>2780</v>
      </c>
      <c r="C489" s="444" t="s">
        <v>99</v>
      </c>
      <c r="D489" s="444" t="s">
        <v>719</v>
      </c>
      <c r="E489" s="446" t="s">
        <v>2886</v>
      </c>
      <c r="F489" s="447" t="s">
        <v>1890</v>
      </c>
      <c r="G489" s="448"/>
      <c r="H489" s="448"/>
      <c r="I489" s="448" t="s">
        <v>1923</v>
      </c>
    </row>
    <row r="490" spans="1:9" ht="27" x14ac:dyDescent="0.3">
      <c r="A490" s="443" t="s">
        <v>2887</v>
      </c>
      <c r="B490" s="445" t="s">
        <v>2780</v>
      </c>
      <c r="C490" s="444" t="s">
        <v>99</v>
      </c>
      <c r="D490" s="444" t="s">
        <v>1100</v>
      </c>
      <c r="E490" s="446" t="s">
        <v>2888</v>
      </c>
      <c r="F490" s="447" t="s">
        <v>1890</v>
      </c>
      <c r="G490" s="448"/>
      <c r="H490" s="448"/>
      <c r="I490" s="448" t="s">
        <v>1927</v>
      </c>
    </row>
    <row r="491" spans="1:9" ht="28.8" x14ac:dyDescent="0.3">
      <c r="A491" s="443" t="s">
        <v>2889</v>
      </c>
      <c r="B491" s="445" t="s">
        <v>2780</v>
      </c>
      <c r="C491" s="444" t="s">
        <v>99</v>
      </c>
      <c r="D491" s="444" t="s">
        <v>1137</v>
      </c>
      <c r="E491" s="446" t="s">
        <v>2890</v>
      </c>
      <c r="F491" s="447" t="s">
        <v>1890</v>
      </c>
      <c r="G491" s="448" t="s">
        <v>2891</v>
      </c>
      <c r="H491" s="448"/>
      <c r="I491" s="448" t="s">
        <v>1923</v>
      </c>
    </row>
    <row r="492" spans="1:9" ht="27" x14ac:dyDescent="0.3">
      <c r="A492" s="443" t="s">
        <v>2892</v>
      </c>
      <c r="B492" s="445" t="s">
        <v>2780</v>
      </c>
      <c r="C492" s="444" t="s">
        <v>99</v>
      </c>
      <c r="D492" s="444" t="s">
        <v>1169</v>
      </c>
      <c r="E492" s="446" t="s">
        <v>2893</v>
      </c>
      <c r="F492" s="447" t="s">
        <v>1890</v>
      </c>
      <c r="G492" s="448"/>
      <c r="H492" s="448"/>
      <c r="I492" s="448" t="s">
        <v>1856</v>
      </c>
    </row>
    <row r="493" spans="1:9" ht="27" x14ac:dyDescent="0.3">
      <c r="A493" s="443" t="s">
        <v>2894</v>
      </c>
      <c r="B493" s="445" t="s">
        <v>2780</v>
      </c>
      <c r="C493" s="444" t="s">
        <v>99</v>
      </c>
      <c r="D493" s="444" t="s">
        <v>1200</v>
      </c>
      <c r="E493" s="446" t="s">
        <v>2895</v>
      </c>
      <c r="F493" s="447" t="s">
        <v>1890</v>
      </c>
      <c r="G493" s="448"/>
      <c r="H493" s="448"/>
      <c r="I493" s="448" t="s">
        <v>1927</v>
      </c>
    </row>
    <row r="494" spans="1:9" ht="27" x14ac:dyDescent="0.3">
      <c r="A494" s="443" t="s">
        <v>2896</v>
      </c>
      <c r="B494" s="445" t="s">
        <v>2780</v>
      </c>
      <c r="C494" s="444" t="s">
        <v>99</v>
      </c>
      <c r="D494" s="444" t="s">
        <v>656</v>
      </c>
      <c r="E494" s="446" t="s">
        <v>2897</v>
      </c>
      <c r="F494" s="447" t="s">
        <v>1890</v>
      </c>
      <c r="G494" s="448"/>
      <c r="H494" s="448"/>
      <c r="I494" s="448" t="s">
        <v>1856</v>
      </c>
    </row>
    <row r="495" spans="1:9" ht="27" x14ac:dyDescent="0.3">
      <c r="A495" s="443" t="s">
        <v>2898</v>
      </c>
      <c r="B495" s="445" t="s">
        <v>2780</v>
      </c>
      <c r="C495" s="444" t="s">
        <v>99</v>
      </c>
      <c r="D495" s="444" t="s">
        <v>1250</v>
      </c>
      <c r="E495" s="446" t="s">
        <v>2899</v>
      </c>
      <c r="F495" s="447" t="s">
        <v>1890</v>
      </c>
      <c r="G495" s="448"/>
      <c r="H495" s="448"/>
      <c r="I495" s="448" t="s">
        <v>1856</v>
      </c>
    </row>
    <row r="496" spans="1:9" ht="27" x14ac:dyDescent="0.3">
      <c r="A496" s="443" t="s">
        <v>2900</v>
      </c>
      <c r="B496" s="445" t="s">
        <v>2780</v>
      </c>
      <c r="C496" s="444" t="s">
        <v>99</v>
      </c>
      <c r="D496" s="444" t="s">
        <v>2901</v>
      </c>
      <c r="E496" s="446" t="s">
        <v>2902</v>
      </c>
      <c r="F496" s="447" t="s">
        <v>1854</v>
      </c>
      <c r="G496" s="448"/>
      <c r="H496" s="448" t="s">
        <v>1961</v>
      </c>
      <c r="I496" s="448" t="s">
        <v>1874</v>
      </c>
    </row>
    <row r="497" spans="1:9" ht="27" x14ac:dyDescent="0.3">
      <c r="A497" s="443" t="s">
        <v>2903</v>
      </c>
      <c r="B497" s="445" t="s">
        <v>2780</v>
      </c>
      <c r="C497" s="444" t="s">
        <v>99</v>
      </c>
      <c r="D497" s="444" t="s">
        <v>1272</v>
      </c>
      <c r="E497" s="446" t="s">
        <v>2904</v>
      </c>
      <c r="F497" s="447" t="s">
        <v>1890</v>
      </c>
      <c r="G497" s="448"/>
      <c r="H497" s="448"/>
      <c r="I497" s="448" t="s">
        <v>1856</v>
      </c>
    </row>
    <row r="498" spans="1:9" ht="27" x14ac:dyDescent="0.3">
      <c r="A498" s="443" t="s">
        <v>2905</v>
      </c>
      <c r="B498" s="445" t="s">
        <v>2780</v>
      </c>
      <c r="C498" s="444" t="s">
        <v>99</v>
      </c>
      <c r="D498" s="444" t="s">
        <v>1293</v>
      </c>
      <c r="E498" s="446" t="s">
        <v>2906</v>
      </c>
      <c r="F498" s="447" t="s">
        <v>1890</v>
      </c>
      <c r="G498" s="448"/>
      <c r="H498" s="448"/>
      <c r="I498" s="448" t="s">
        <v>1923</v>
      </c>
    </row>
    <row r="499" spans="1:9" ht="27" x14ac:dyDescent="0.3">
      <c r="A499" s="443" t="s">
        <v>2907</v>
      </c>
      <c r="B499" s="445" t="s">
        <v>2780</v>
      </c>
      <c r="C499" s="444" t="s">
        <v>99</v>
      </c>
      <c r="D499" s="444" t="s">
        <v>2908</v>
      </c>
      <c r="E499" s="446" t="s">
        <v>2909</v>
      </c>
      <c r="F499" s="447" t="s">
        <v>1854</v>
      </c>
      <c r="G499" s="448"/>
      <c r="H499" s="448" t="s">
        <v>1961</v>
      </c>
      <c r="I499" s="448" t="s">
        <v>1923</v>
      </c>
    </row>
    <row r="500" spans="1:9" ht="27" x14ac:dyDescent="0.3">
      <c r="A500" s="443" t="s">
        <v>2910</v>
      </c>
      <c r="B500" s="445" t="s">
        <v>2780</v>
      </c>
      <c r="C500" s="444" t="s">
        <v>99</v>
      </c>
      <c r="D500" s="444" t="s">
        <v>2911</v>
      </c>
      <c r="E500" s="446" t="s">
        <v>2912</v>
      </c>
      <c r="F500" s="447" t="s">
        <v>1890</v>
      </c>
      <c r="G500" s="448"/>
      <c r="H500" s="448"/>
      <c r="I500" s="448" t="s">
        <v>1856</v>
      </c>
    </row>
    <row r="501" spans="1:9" ht="27" x14ac:dyDescent="0.3">
      <c r="A501" s="443" t="s">
        <v>2913</v>
      </c>
      <c r="B501" s="445" t="s">
        <v>2780</v>
      </c>
      <c r="C501" s="444" t="s">
        <v>116</v>
      </c>
      <c r="D501" s="444" t="s">
        <v>184</v>
      </c>
      <c r="E501" s="446" t="s">
        <v>2914</v>
      </c>
      <c r="F501" s="447" t="s">
        <v>1890</v>
      </c>
      <c r="G501" s="448"/>
      <c r="H501" s="448"/>
      <c r="I501" s="448" t="s">
        <v>1927</v>
      </c>
    </row>
    <row r="502" spans="1:9" ht="27" x14ac:dyDescent="0.3">
      <c r="A502" s="443" t="s">
        <v>2915</v>
      </c>
      <c r="B502" s="445" t="s">
        <v>2780</v>
      </c>
      <c r="C502" s="444" t="s">
        <v>116</v>
      </c>
      <c r="D502" s="444" t="s">
        <v>259</v>
      </c>
      <c r="E502" s="446" t="s">
        <v>2916</v>
      </c>
      <c r="F502" s="447" t="s">
        <v>1890</v>
      </c>
      <c r="G502" s="448"/>
      <c r="H502" s="448"/>
      <c r="I502" s="448" t="s">
        <v>1874</v>
      </c>
    </row>
    <row r="503" spans="1:9" ht="28.8" x14ac:dyDescent="0.3">
      <c r="A503" s="443" t="s">
        <v>2917</v>
      </c>
      <c r="B503" s="445" t="s">
        <v>2780</v>
      </c>
      <c r="C503" s="444" t="s">
        <v>116</v>
      </c>
      <c r="D503" s="444" t="s">
        <v>2918</v>
      </c>
      <c r="E503" s="446" t="s">
        <v>2919</v>
      </c>
      <c r="F503" s="447" t="s">
        <v>1854</v>
      </c>
      <c r="G503" s="448"/>
      <c r="H503" s="448" t="s">
        <v>1961</v>
      </c>
      <c r="I503" s="448" t="s">
        <v>2378</v>
      </c>
    </row>
    <row r="504" spans="1:9" ht="28.8" x14ac:dyDescent="0.3">
      <c r="A504" s="443" t="s">
        <v>2920</v>
      </c>
      <c r="B504" s="445" t="s">
        <v>2780</v>
      </c>
      <c r="C504" s="444" t="s">
        <v>116</v>
      </c>
      <c r="D504" s="444" t="s">
        <v>2921</v>
      </c>
      <c r="E504" s="446" t="s">
        <v>2922</v>
      </c>
      <c r="F504" s="447" t="s">
        <v>1854</v>
      </c>
      <c r="G504" s="448"/>
      <c r="H504" s="448" t="s">
        <v>1961</v>
      </c>
      <c r="I504" s="448" t="s">
        <v>2378</v>
      </c>
    </row>
    <row r="505" spans="1:9" ht="27" x14ac:dyDescent="0.3">
      <c r="A505" s="443" t="s">
        <v>2923</v>
      </c>
      <c r="B505" s="445" t="s">
        <v>2780</v>
      </c>
      <c r="C505" s="444" t="s">
        <v>116</v>
      </c>
      <c r="D505" s="444" t="s">
        <v>2924</v>
      </c>
      <c r="E505" s="446" t="s">
        <v>2925</v>
      </c>
      <c r="F505" s="447" t="s">
        <v>1854</v>
      </c>
      <c r="G505" s="448"/>
      <c r="H505" s="448" t="s">
        <v>1961</v>
      </c>
      <c r="I505" s="448" t="s">
        <v>1856</v>
      </c>
    </row>
    <row r="506" spans="1:9" ht="27" x14ac:dyDescent="0.3">
      <c r="A506" s="443" t="s">
        <v>2926</v>
      </c>
      <c r="B506" s="445" t="s">
        <v>2780</v>
      </c>
      <c r="C506" s="444" t="s">
        <v>116</v>
      </c>
      <c r="D506" s="444" t="s">
        <v>330</v>
      </c>
      <c r="E506" s="446" t="s">
        <v>2927</v>
      </c>
      <c r="F506" s="447" t="s">
        <v>1890</v>
      </c>
      <c r="G506" s="448"/>
      <c r="H506" s="448"/>
      <c r="I506" s="448" t="s">
        <v>1874</v>
      </c>
    </row>
    <row r="507" spans="1:9" ht="27" x14ac:dyDescent="0.3">
      <c r="A507" s="443" t="s">
        <v>2928</v>
      </c>
      <c r="B507" s="445" t="s">
        <v>2780</v>
      </c>
      <c r="C507" s="444" t="s">
        <v>116</v>
      </c>
      <c r="D507" s="444" t="s">
        <v>402</v>
      </c>
      <c r="E507" s="446" t="s">
        <v>2929</v>
      </c>
      <c r="F507" s="447" t="s">
        <v>1890</v>
      </c>
      <c r="G507" s="448"/>
      <c r="H507" s="448"/>
      <c r="I507" s="448" t="s">
        <v>1927</v>
      </c>
    </row>
    <row r="508" spans="1:9" ht="27" x14ac:dyDescent="0.3">
      <c r="A508" s="443" t="s">
        <v>2930</v>
      </c>
      <c r="B508" s="445" t="s">
        <v>2780</v>
      </c>
      <c r="C508" s="444" t="s">
        <v>116</v>
      </c>
      <c r="D508" s="444" t="s">
        <v>863</v>
      </c>
      <c r="E508" s="446" t="s">
        <v>2931</v>
      </c>
      <c r="F508" s="447" t="s">
        <v>1890</v>
      </c>
      <c r="G508" s="448"/>
      <c r="H508" s="448"/>
      <c r="I508" s="448" t="s">
        <v>1893</v>
      </c>
    </row>
    <row r="509" spans="1:9" ht="27" x14ac:dyDescent="0.3">
      <c r="A509" s="443" t="s">
        <v>2932</v>
      </c>
      <c r="B509" s="445" t="s">
        <v>2780</v>
      </c>
      <c r="C509" s="444" t="s">
        <v>116</v>
      </c>
      <c r="D509" s="444" t="s">
        <v>919</v>
      </c>
      <c r="E509" s="446" t="s">
        <v>2933</v>
      </c>
      <c r="F509" s="447" t="s">
        <v>1890</v>
      </c>
      <c r="G509" s="448"/>
      <c r="H509" s="448"/>
      <c r="I509" s="448" t="s">
        <v>1927</v>
      </c>
    </row>
    <row r="510" spans="1:9" ht="27" x14ac:dyDescent="0.3">
      <c r="A510" s="443" t="s">
        <v>2934</v>
      </c>
      <c r="B510" s="445" t="s">
        <v>2780</v>
      </c>
      <c r="C510" s="444" t="s">
        <v>116</v>
      </c>
      <c r="D510" s="444" t="s">
        <v>970</v>
      </c>
      <c r="E510" s="446" t="s">
        <v>2935</v>
      </c>
      <c r="F510" s="447" t="s">
        <v>1890</v>
      </c>
      <c r="G510" s="448"/>
      <c r="H510" s="448"/>
      <c r="I510" s="448" t="s">
        <v>1923</v>
      </c>
    </row>
    <row r="511" spans="1:9" ht="27" x14ac:dyDescent="0.3">
      <c r="A511" s="443" t="s">
        <v>2936</v>
      </c>
      <c r="B511" s="445" t="s">
        <v>2780</v>
      </c>
      <c r="C511" s="444" t="s">
        <v>116</v>
      </c>
      <c r="D511" s="444" t="s">
        <v>2937</v>
      </c>
      <c r="E511" s="446" t="s">
        <v>2938</v>
      </c>
      <c r="F511" s="447" t="s">
        <v>1890</v>
      </c>
      <c r="G511" s="448"/>
      <c r="H511" s="448"/>
      <c r="I511" s="448" t="s">
        <v>1856</v>
      </c>
    </row>
    <row r="512" spans="1:9" ht="27" x14ac:dyDescent="0.3">
      <c r="A512" s="443" t="s">
        <v>2939</v>
      </c>
      <c r="B512" s="445" t="s">
        <v>2780</v>
      </c>
      <c r="C512" s="444" t="s">
        <v>116</v>
      </c>
      <c r="D512" s="444" t="s">
        <v>1062</v>
      </c>
      <c r="E512" s="446" t="s">
        <v>2940</v>
      </c>
      <c r="F512" s="447" t="s">
        <v>1890</v>
      </c>
      <c r="G512" s="448"/>
      <c r="H512" s="448"/>
      <c r="I512" s="448" t="s">
        <v>1923</v>
      </c>
    </row>
    <row r="513" spans="1:9" ht="27" x14ac:dyDescent="0.3">
      <c r="A513" s="443" t="s">
        <v>2941</v>
      </c>
      <c r="B513" s="445" t="s">
        <v>2780</v>
      </c>
      <c r="C513" s="444" t="s">
        <v>116</v>
      </c>
      <c r="D513" s="444" t="s">
        <v>1101</v>
      </c>
      <c r="E513" s="446" t="s">
        <v>2942</v>
      </c>
      <c r="F513" s="447" t="s">
        <v>1890</v>
      </c>
      <c r="G513" s="448"/>
      <c r="H513" s="448"/>
      <c r="I513" s="448" t="s">
        <v>1927</v>
      </c>
    </row>
    <row r="514" spans="1:9" ht="27" x14ac:dyDescent="0.3">
      <c r="A514" s="443" t="s">
        <v>2943</v>
      </c>
      <c r="B514" s="445" t="s">
        <v>2780</v>
      </c>
      <c r="C514" s="444" t="s">
        <v>116</v>
      </c>
      <c r="D514" s="444" t="s">
        <v>1138</v>
      </c>
      <c r="E514" s="446" t="s">
        <v>2944</v>
      </c>
      <c r="F514" s="447" t="s">
        <v>1890</v>
      </c>
      <c r="G514" s="448"/>
      <c r="H514" s="448"/>
      <c r="I514" s="448" t="s">
        <v>1893</v>
      </c>
    </row>
    <row r="515" spans="1:9" ht="27" x14ac:dyDescent="0.3">
      <c r="A515" s="443" t="s">
        <v>2945</v>
      </c>
      <c r="B515" s="445" t="s">
        <v>2780</v>
      </c>
      <c r="C515" s="444" t="s">
        <v>116</v>
      </c>
      <c r="D515" s="444" t="s">
        <v>1170</v>
      </c>
      <c r="E515" s="446" t="s">
        <v>2946</v>
      </c>
      <c r="F515" s="447" t="s">
        <v>1890</v>
      </c>
      <c r="G515" s="448"/>
      <c r="H515" s="448"/>
      <c r="I515" s="448" t="s">
        <v>1923</v>
      </c>
    </row>
    <row r="516" spans="1:9" ht="27" x14ac:dyDescent="0.3">
      <c r="A516" s="443" t="s">
        <v>2947</v>
      </c>
      <c r="B516" s="445" t="s">
        <v>2780</v>
      </c>
      <c r="C516" s="444" t="s">
        <v>116</v>
      </c>
      <c r="D516" s="444" t="s">
        <v>1201</v>
      </c>
      <c r="E516" s="446" t="s">
        <v>2948</v>
      </c>
      <c r="F516" s="447" t="s">
        <v>1890</v>
      </c>
      <c r="G516" s="448"/>
      <c r="H516" s="448"/>
      <c r="I516" s="448" t="s">
        <v>1923</v>
      </c>
    </row>
    <row r="517" spans="1:9" ht="27" x14ac:dyDescent="0.3">
      <c r="A517" s="443" t="s">
        <v>2949</v>
      </c>
      <c r="B517" s="445" t="s">
        <v>2780</v>
      </c>
      <c r="C517" s="444" t="s">
        <v>116</v>
      </c>
      <c r="D517" s="444" t="s">
        <v>1231</v>
      </c>
      <c r="E517" s="446" t="s">
        <v>2950</v>
      </c>
      <c r="F517" s="447" t="s">
        <v>1890</v>
      </c>
      <c r="G517" s="448"/>
      <c r="H517" s="448"/>
      <c r="I517" s="448" t="s">
        <v>1874</v>
      </c>
    </row>
    <row r="518" spans="1:9" ht="27" x14ac:dyDescent="0.3">
      <c r="A518" s="443" t="s">
        <v>2951</v>
      </c>
      <c r="B518" s="445" t="s">
        <v>2780</v>
      </c>
      <c r="C518" s="444" t="s">
        <v>116</v>
      </c>
      <c r="D518" s="444" t="s">
        <v>1251</v>
      </c>
      <c r="E518" s="446" t="s">
        <v>2952</v>
      </c>
      <c r="F518" s="447" t="s">
        <v>1890</v>
      </c>
      <c r="G518" s="448"/>
      <c r="H518" s="448"/>
      <c r="I518" s="448" t="s">
        <v>1923</v>
      </c>
    </row>
    <row r="519" spans="1:9" ht="27" x14ac:dyDescent="0.3">
      <c r="A519" s="443" t="s">
        <v>2953</v>
      </c>
      <c r="B519" s="445" t="s">
        <v>2780</v>
      </c>
      <c r="C519" s="444" t="s">
        <v>116</v>
      </c>
      <c r="D519" s="444" t="s">
        <v>1273</v>
      </c>
      <c r="E519" s="446" t="s">
        <v>2954</v>
      </c>
      <c r="F519" s="447" t="s">
        <v>1890</v>
      </c>
      <c r="G519" s="448"/>
      <c r="H519" s="448"/>
      <c r="I519" s="448" t="s">
        <v>1927</v>
      </c>
    </row>
    <row r="520" spans="1:9" ht="27" x14ac:dyDescent="0.3">
      <c r="A520" s="443" t="s">
        <v>2955</v>
      </c>
      <c r="B520" s="445" t="s">
        <v>2780</v>
      </c>
      <c r="C520" s="444" t="s">
        <v>116</v>
      </c>
      <c r="D520" s="444" t="s">
        <v>1294</v>
      </c>
      <c r="E520" s="446" t="s">
        <v>2956</v>
      </c>
      <c r="F520" s="447" t="s">
        <v>1890</v>
      </c>
      <c r="G520" s="448"/>
      <c r="H520" s="448"/>
      <c r="I520" s="448" t="s">
        <v>1893</v>
      </c>
    </row>
    <row r="521" spans="1:9" ht="27" x14ac:dyDescent="0.3">
      <c r="A521" s="443" t="s">
        <v>2957</v>
      </c>
      <c r="B521" s="445" t="s">
        <v>2780</v>
      </c>
      <c r="C521" s="444" t="s">
        <v>116</v>
      </c>
      <c r="D521" s="444" t="s">
        <v>1310</v>
      </c>
      <c r="E521" s="446" t="s">
        <v>2958</v>
      </c>
      <c r="F521" s="447" t="s">
        <v>1890</v>
      </c>
      <c r="G521" s="448"/>
      <c r="H521" s="448"/>
      <c r="I521" s="448" t="s">
        <v>1923</v>
      </c>
    </row>
    <row r="522" spans="1:9" ht="27" x14ac:dyDescent="0.3">
      <c r="A522" s="443" t="s">
        <v>2959</v>
      </c>
      <c r="B522" s="445" t="s">
        <v>2780</v>
      </c>
      <c r="C522" s="444" t="s">
        <v>116</v>
      </c>
      <c r="D522" s="444" t="s">
        <v>1327</v>
      </c>
      <c r="E522" s="446" t="s">
        <v>2960</v>
      </c>
      <c r="F522" s="447" t="s">
        <v>1890</v>
      </c>
      <c r="G522" s="448"/>
      <c r="H522" s="448"/>
      <c r="I522" s="448" t="s">
        <v>1927</v>
      </c>
    </row>
    <row r="523" spans="1:9" ht="27" x14ac:dyDescent="0.3">
      <c r="A523" s="443" t="s">
        <v>2961</v>
      </c>
      <c r="B523" s="445" t="s">
        <v>2780</v>
      </c>
      <c r="C523" s="444" t="s">
        <v>116</v>
      </c>
      <c r="D523" s="444" t="s">
        <v>145</v>
      </c>
      <c r="E523" s="446" t="s">
        <v>2962</v>
      </c>
      <c r="F523" s="447" t="s">
        <v>1890</v>
      </c>
      <c r="G523" s="448"/>
      <c r="H523" s="448"/>
      <c r="I523" s="448" t="s">
        <v>1893</v>
      </c>
    </row>
    <row r="524" spans="1:9" ht="27" x14ac:dyDescent="0.3">
      <c r="A524" s="443" t="s">
        <v>2963</v>
      </c>
      <c r="B524" s="445" t="s">
        <v>2780</v>
      </c>
      <c r="C524" s="444" t="s">
        <v>116</v>
      </c>
      <c r="D524" s="444" t="s">
        <v>2964</v>
      </c>
      <c r="E524" s="446" t="s">
        <v>2965</v>
      </c>
      <c r="F524" s="447" t="s">
        <v>1854</v>
      </c>
      <c r="G524" s="448"/>
      <c r="H524" s="448" t="s">
        <v>1961</v>
      </c>
      <c r="I524" s="448" t="s">
        <v>1856</v>
      </c>
    </row>
    <row r="525" spans="1:9" ht="27" x14ac:dyDescent="0.3">
      <c r="A525" s="443" t="s">
        <v>2966</v>
      </c>
      <c r="B525" s="445" t="s">
        <v>2780</v>
      </c>
      <c r="C525" s="444" t="s">
        <v>116</v>
      </c>
      <c r="D525" s="444" t="s">
        <v>2967</v>
      </c>
      <c r="E525" s="446" t="s">
        <v>2968</v>
      </c>
      <c r="F525" s="447" t="s">
        <v>1854</v>
      </c>
      <c r="G525" s="448"/>
      <c r="H525" s="448" t="s">
        <v>1961</v>
      </c>
      <c r="I525" s="448" t="s">
        <v>1927</v>
      </c>
    </row>
    <row r="526" spans="1:9" ht="27" x14ac:dyDescent="0.3">
      <c r="A526" s="443" t="s">
        <v>2969</v>
      </c>
      <c r="B526" s="445" t="s">
        <v>2780</v>
      </c>
      <c r="C526" s="444" t="s">
        <v>116</v>
      </c>
      <c r="D526" s="444" t="s">
        <v>2096</v>
      </c>
      <c r="E526" s="446" t="s">
        <v>2970</v>
      </c>
      <c r="F526" s="447" t="s">
        <v>1890</v>
      </c>
      <c r="G526" s="448"/>
      <c r="H526" s="448"/>
      <c r="I526" s="448" t="s">
        <v>1856</v>
      </c>
    </row>
    <row r="527" spans="1:9" ht="27" x14ac:dyDescent="0.3">
      <c r="A527" s="443" t="s">
        <v>2971</v>
      </c>
      <c r="B527" s="445" t="s">
        <v>2780</v>
      </c>
      <c r="C527" s="444" t="s">
        <v>116</v>
      </c>
      <c r="D527" s="444" t="s">
        <v>2102</v>
      </c>
      <c r="E527" s="446" t="s">
        <v>2972</v>
      </c>
      <c r="F527" s="447" t="s">
        <v>1890</v>
      </c>
      <c r="G527" s="448"/>
      <c r="H527" s="448"/>
      <c r="I527" s="448" t="s">
        <v>1923</v>
      </c>
    </row>
    <row r="528" spans="1:9" ht="27" x14ac:dyDescent="0.3">
      <c r="A528" s="443" t="s">
        <v>2973</v>
      </c>
      <c r="B528" s="445" t="s">
        <v>2780</v>
      </c>
      <c r="C528" s="444" t="s">
        <v>116</v>
      </c>
      <c r="D528" s="444" t="s">
        <v>2974</v>
      </c>
      <c r="E528" s="446" t="s">
        <v>2975</v>
      </c>
      <c r="F528" s="447" t="s">
        <v>1854</v>
      </c>
      <c r="G528" s="448"/>
      <c r="H528" s="448" t="s">
        <v>1961</v>
      </c>
      <c r="I528" s="448" t="s">
        <v>1856</v>
      </c>
    </row>
    <row r="529" spans="1:9" ht="27" x14ac:dyDescent="0.3">
      <c r="A529" s="443" t="s">
        <v>2976</v>
      </c>
      <c r="B529" s="445" t="s">
        <v>2780</v>
      </c>
      <c r="C529" s="444" t="s">
        <v>116</v>
      </c>
      <c r="D529" s="444" t="s">
        <v>1378</v>
      </c>
      <c r="E529" s="446" t="s">
        <v>2977</v>
      </c>
      <c r="F529" s="447" t="s">
        <v>1890</v>
      </c>
      <c r="G529" s="448"/>
      <c r="H529" s="448"/>
      <c r="I529" s="448" t="s">
        <v>1874</v>
      </c>
    </row>
    <row r="530" spans="1:9" ht="27" x14ac:dyDescent="0.3">
      <c r="A530" s="443" t="s">
        <v>2978</v>
      </c>
      <c r="B530" s="445" t="s">
        <v>2780</v>
      </c>
      <c r="C530" s="444" t="s">
        <v>116</v>
      </c>
      <c r="D530" s="444" t="s">
        <v>1064</v>
      </c>
      <c r="E530" s="446" t="s">
        <v>2979</v>
      </c>
      <c r="F530" s="447" t="s">
        <v>1890</v>
      </c>
      <c r="G530" s="448"/>
      <c r="H530" s="448"/>
      <c r="I530" s="448" t="s">
        <v>1923</v>
      </c>
    </row>
    <row r="531" spans="1:9" ht="27" x14ac:dyDescent="0.3">
      <c r="A531" s="443" t="s">
        <v>2980</v>
      </c>
      <c r="B531" s="445" t="s">
        <v>2780</v>
      </c>
      <c r="C531" s="444" t="s">
        <v>132</v>
      </c>
      <c r="D531" s="444" t="s">
        <v>185</v>
      </c>
      <c r="E531" s="446" t="s">
        <v>2981</v>
      </c>
      <c r="F531" s="447" t="s">
        <v>1890</v>
      </c>
      <c r="G531" s="448"/>
      <c r="H531" s="448"/>
      <c r="I531" s="448" t="s">
        <v>1893</v>
      </c>
    </row>
    <row r="532" spans="1:9" ht="27" x14ac:dyDescent="0.3">
      <c r="A532" s="443" t="s">
        <v>2982</v>
      </c>
      <c r="B532" s="445" t="s">
        <v>2780</v>
      </c>
      <c r="C532" s="444" t="s">
        <v>132</v>
      </c>
      <c r="D532" s="444" t="s">
        <v>260</v>
      </c>
      <c r="E532" s="446" t="s">
        <v>2983</v>
      </c>
      <c r="F532" s="447" t="s">
        <v>1890</v>
      </c>
      <c r="G532" s="448"/>
      <c r="H532" s="448"/>
      <c r="I532" s="448" t="s">
        <v>1893</v>
      </c>
    </row>
    <row r="533" spans="1:9" ht="27" x14ac:dyDescent="0.3">
      <c r="A533" s="443" t="s">
        <v>2984</v>
      </c>
      <c r="B533" s="445" t="s">
        <v>2780</v>
      </c>
      <c r="C533" s="444" t="s">
        <v>132</v>
      </c>
      <c r="D533" s="444" t="s">
        <v>331</v>
      </c>
      <c r="E533" s="446" t="s">
        <v>2985</v>
      </c>
      <c r="F533" s="447" t="s">
        <v>1890</v>
      </c>
      <c r="G533" s="448"/>
      <c r="H533" s="448"/>
      <c r="I533" s="448" t="s">
        <v>1856</v>
      </c>
    </row>
    <row r="534" spans="1:9" ht="27" x14ac:dyDescent="0.3">
      <c r="A534" s="443" t="s">
        <v>2986</v>
      </c>
      <c r="B534" s="445" t="s">
        <v>2780</v>
      </c>
      <c r="C534" s="444" t="s">
        <v>132</v>
      </c>
      <c r="D534" s="444" t="s">
        <v>202</v>
      </c>
      <c r="E534" s="446" t="s">
        <v>2987</v>
      </c>
      <c r="F534" s="447" t="s">
        <v>1890</v>
      </c>
      <c r="G534" s="448"/>
      <c r="H534" s="448"/>
      <c r="I534" s="448" t="s">
        <v>1923</v>
      </c>
    </row>
    <row r="535" spans="1:9" ht="27" x14ac:dyDescent="0.3">
      <c r="A535" s="443" t="s">
        <v>2988</v>
      </c>
      <c r="B535" s="445" t="s">
        <v>2780</v>
      </c>
      <c r="C535" s="444" t="s">
        <v>132</v>
      </c>
      <c r="D535" s="444" t="s">
        <v>476</v>
      </c>
      <c r="E535" s="446" t="s">
        <v>2989</v>
      </c>
      <c r="F535" s="447" t="s">
        <v>1890</v>
      </c>
      <c r="G535" s="448"/>
      <c r="H535" s="448"/>
      <c r="I535" s="448" t="s">
        <v>1923</v>
      </c>
    </row>
    <row r="536" spans="1:9" ht="27" x14ac:dyDescent="0.3">
      <c r="A536" s="443" t="s">
        <v>2990</v>
      </c>
      <c r="B536" s="445" t="s">
        <v>2780</v>
      </c>
      <c r="C536" s="444" t="s">
        <v>132</v>
      </c>
      <c r="D536" s="444" t="s">
        <v>548</v>
      </c>
      <c r="E536" s="446" t="s">
        <v>2991</v>
      </c>
      <c r="F536" s="447" t="s">
        <v>1890</v>
      </c>
      <c r="G536" s="448"/>
      <c r="H536" s="448"/>
      <c r="I536" s="448" t="s">
        <v>1856</v>
      </c>
    </row>
    <row r="537" spans="1:9" ht="27" x14ac:dyDescent="0.3">
      <c r="A537" s="443" t="s">
        <v>2992</v>
      </c>
      <c r="B537" s="445" t="s">
        <v>2780</v>
      </c>
      <c r="C537" s="444" t="s">
        <v>132</v>
      </c>
      <c r="D537" s="444" t="s">
        <v>326</v>
      </c>
      <c r="E537" s="446" t="s">
        <v>2993</v>
      </c>
      <c r="F537" s="447" t="s">
        <v>1890</v>
      </c>
      <c r="G537" s="448"/>
      <c r="H537" s="448"/>
      <c r="I537" s="448" t="s">
        <v>1856</v>
      </c>
    </row>
    <row r="538" spans="1:9" ht="27" x14ac:dyDescent="0.3">
      <c r="A538" s="443" t="s">
        <v>2994</v>
      </c>
      <c r="B538" s="445" t="s">
        <v>2780</v>
      </c>
      <c r="C538" s="444" t="s">
        <v>132</v>
      </c>
      <c r="D538" s="444" t="s">
        <v>682</v>
      </c>
      <c r="E538" s="446" t="s">
        <v>2995</v>
      </c>
      <c r="F538" s="447" t="s">
        <v>1890</v>
      </c>
      <c r="G538" s="448"/>
      <c r="H538" s="448"/>
      <c r="I538" s="448" t="s">
        <v>1856</v>
      </c>
    </row>
    <row r="539" spans="1:9" ht="27" x14ac:dyDescent="0.3">
      <c r="A539" s="443" t="s">
        <v>2996</v>
      </c>
      <c r="B539" s="445" t="s">
        <v>2780</v>
      </c>
      <c r="C539" s="444" t="s">
        <v>132</v>
      </c>
      <c r="D539" s="444" t="s">
        <v>569</v>
      </c>
      <c r="E539" s="446" t="s">
        <v>2997</v>
      </c>
      <c r="F539" s="447" t="s">
        <v>1890</v>
      </c>
      <c r="G539" s="448"/>
      <c r="H539" s="448"/>
      <c r="I539" s="448" t="s">
        <v>1923</v>
      </c>
    </row>
    <row r="540" spans="1:9" ht="27" x14ac:dyDescent="0.3">
      <c r="A540" s="443" t="s">
        <v>2998</v>
      </c>
      <c r="B540" s="445" t="s">
        <v>2780</v>
      </c>
      <c r="C540" s="444" t="s">
        <v>132</v>
      </c>
      <c r="D540" s="444" t="s">
        <v>2999</v>
      </c>
      <c r="E540" s="446" t="s">
        <v>3000</v>
      </c>
      <c r="F540" s="447" t="s">
        <v>1890</v>
      </c>
      <c r="G540" s="448"/>
      <c r="H540" s="448"/>
      <c r="I540" s="448" t="s">
        <v>1923</v>
      </c>
    </row>
    <row r="541" spans="1:9" ht="27" x14ac:dyDescent="0.3">
      <c r="A541" s="443" t="s">
        <v>3001</v>
      </c>
      <c r="B541" s="445" t="s">
        <v>2780</v>
      </c>
      <c r="C541" s="444" t="s">
        <v>132</v>
      </c>
      <c r="D541" s="444" t="s">
        <v>3002</v>
      </c>
      <c r="E541" s="446" t="s">
        <v>3003</v>
      </c>
      <c r="F541" s="447" t="s">
        <v>1890</v>
      </c>
      <c r="G541" s="448"/>
      <c r="H541" s="448"/>
      <c r="I541" s="448" t="s">
        <v>1856</v>
      </c>
    </row>
    <row r="542" spans="1:9" ht="27" x14ac:dyDescent="0.3">
      <c r="A542" s="443" t="s">
        <v>3004</v>
      </c>
      <c r="B542" s="445" t="s">
        <v>2780</v>
      </c>
      <c r="C542" s="444" t="s">
        <v>132</v>
      </c>
      <c r="D542" s="444" t="s">
        <v>1017</v>
      </c>
      <c r="E542" s="446" t="s">
        <v>3005</v>
      </c>
      <c r="F542" s="447" t="s">
        <v>1890</v>
      </c>
      <c r="G542" s="448"/>
      <c r="H542" s="448"/>
      <c r="I542" s="448" t="s">
        <v>1927</v>
      </c>
    </row>
    <row r="543" spans="1:9" ht="27" x14ac:dyDescent="0.3">
      <c r="A543" s="443" t="s">
        <v>3006</v>
      </c>
      <c r="B543" s="445" t="s">
        <v>2780</v>
      </c>
      <c r="C543" s="444" t="s">
        <v>132</v>
      </c>
      <c r="D543" s="444" t="s">
        <v>1063</v>
      </c>
      <c r="E543" s="446" t="s">
        <v>3007</v>
      </c>
      <c r="F543" s="447" t="s">
        <v>1890</v>
      </c>
      <c r="G543" s="448"/>
      <c r="H543" s="448"/>
      <c r="I543" s="448" t="s">
        <v>1856</v>
      </c>
    </row>
    <row r="544" spans="1:9" ht="27" x14ac:dyDescent="0.3">
      <c r="A544" s="443" t="s">
        <v>3008</v>
      </c>
      <c r="B544" s="445" t="s">
        <v>2780</v>
      </c>
      <c r="C544" s="444" t="s">
        <v>132</v>
      </c>
      <c r="D544" s="444" t="s">
        <v>1102</v>
      </c>
      <c r="E544" s="446" t="s">
        <v>3009</v>
      </c>
      <c r="F544" s="447" t="s">
        <v>1890</v>
      </c>
      <c r="G544" s="448"/>
      <c r="H544" s="448"/>
      <c r="I544" s="448" t="s">
        <v>1856</v>
      </c>
    </row>
    <row r="545" spans="1:9" ht="27" x14ac:dyDescent="0.3">
      <c r="A545" s="443" t="s">
        <v>3010</v>
      </c>
      <c r="B545" s="445" t="s">
        <v>2780</v>
      </c>
      <c r="C545" s="444" t="s">
        <v>132</v>
      </c>
      <c r="D545" s="444" t="s">
        <v>1139</v>
      </c>
      <c r="E545" s="446" t="s">
        <v>3011</v>
      </c>
      <c r="F545" s="447" t="s">
        <v>1890</v>
      </c>
      <c r="G545" s="448"/>
      <c r="H545" s="448"/>
      <c r="I545" s="448" t="s">
        <v>1893</v>
      </c>
    </row>
    <row r="546" spans="1:9" ht="27" x14ac:dyDescent="0.3">
      <c r="A546" s="443" t="s">
        <v>3012</v>
      </c>
      <c r="B546" s="445" t="s">
        <v>2780</v>
      </c>
      <c r="C546" s="444" t="s">
        <v>132</v>
      </c>
      <c r="D546" s="444" t="s">
        <v>1171</v>
      </c>
      <c r="E546" s="446" t="s">
        <v>3013</v>
      </c>
      <c r="F546" s="447" t="s">
        <v>1890</v>
      </c>
      <c r="G546" s="448"/>
      <c r="H546" s="448"/>
      <c r="I546" s="448" t="s">
        <v>1856</v>
      </c>
    </row>
    <row r="547" spans="1:9" ht="27" x14ac:dyDescent="0.3">
      <c r="A547" s="443" t="s">
        <v>3014</v>
      </c>
      <c r="B547" s="445" t="s">
        <v>2780</v>
      </c>
      <c r="C547" s="444" t="s">
        <v>132</v>
      </c>
      <c r="D547" s="444" t="s">
        <v>1202</v>
      </c>
      <c r="E547" s="446" t="s">
        <v>3015</v>
      </c>
      <c r="F547" s="447" t="s">
        <v>1890</v>
      </c>
      <c r="G547" s="448"/>
      <c r="H547" s="448"/>
      <c r="I547" s="448" t="s">
        <v>1874</v>
      </c>
    </row>
    <row r="548" spans="1:9" ht="27" x14ac:dyDescent="0.3">
      <c r="A548" s="443" t="s">
        <v>3016</v>
      </c>
      <c r="B548" s="445" t="s">
        <v>2780</v>
      </c>
      <c r="C548" s="444" t="s">
        <v>132</v>
      </c>
      <c r="D548" s="444" t="s">
        <v>1232</v>
      </c>
      <c r="E548" s="446" t="s">
        <v>3017</v>
      </c>
      <c r="F548" s="447" t="s">
        <v>1890</v>
      </c>
      <c r="G548" s="448"/>
      <c r="H548" s="448"/>
      <c r="I548" s="448" t="s">
        <v>1923</v>
      </c>
    </row>
    <row r="549" spans="1:9" ht="27" x14ac:dyDescent="0.3">
      <c r="A549" s="443" t="s">
        <v>3018</v>
      </c>
      <c r="B549" s="445" t="s">
        <v>2780</v>
      </c>
      <c r="C549" s="444" t="s">
        <v>132</v>
      </c>
      <c r="D549" s="444" t="s">
        <v>1252</v>
      </c>
      <c r="E549" s="446" t="s">
        <v>3019</v>
      </c>
      <c r="F549" s="447" t="s">
        <v>1890</v>
      </c>
      <c r="G549" s="448"/>
      <c r="H549" s="448"/>
      <c r="I549" s="448" t="s">
        <v>1856</v>
      </c>
    </row>
    <row r="550" spans="1:9" ht="27" x14ac:dyDescent="0.3">
      <c r="A550" s="443" t="s">
        <v>3020</v>
      </c>
      <c r="B550" s="445" t="s">
        <v>2780</v>
      </c>
      <c r="C550" s="444" t="s">
        <v>132</v>
      </c>
      <c r="D550" s="444" t="s">
        <v>1274</v>
      </c>
      <c r="E550" s="446" t="s">
        <v>3021</v>
      </c>
      <c r="F550" s="447" t="s">
        <v>1890</v>
      </c>
      <c r="G550" s="448"/>
      <c r="H550" s="448"/>
      <c r="I550" s="448" t="s">
        <v>1856</v>
      </c>
    </row>
    <row r="551" spans="1:9" ht="27" x14ac:dyDescent="0.3">
      <c r="A551" s="443" t="s">
        <v>3022</v>
      </c>
      <c r="B551" s="445" t="s">
        <v>2780</v>
      </c>
      <c r="C551" s="444" t="s">
        <v>132</v>
      </c>
      <c r="D551" s="444" t="s">
        <v>3023</v>
      </c>
      <c r="E551" s="446" t="s">
        <v>3024</v>
      </c>
      <c r="F551" s="447" t="s">
        <v>1890</v>
      </c>
      <c r="G551" s="448"/>
      <c r="H551" s="448"/>
      <c r="I551" s="448" t="s">
        <v>1923</v>
      </c>
    </row>
    <row r="552" spans="1:9" ht="27" x14ac:dyDescent="0.3">
      <c r="A552" s="443" t="s">
        <v>3025</v>
      </c>
      <c r="B552" s="445" t="s">
        <v>2780</v>
      </c>
      <c r="C552" s="444" t="s">
        <v>132</v>
      </c>
      <c r="D552" s="444" t="s">
        <v>1311</v>
      </c>
      <c r="E552" s="446" t="s">
        <v>3026</v>
      </c>
      <c r="F552" s="447" t="s">
        <v>1890</v>
      </c>
      <c r="G552" s="448"/>
      <c r="H552" s="448"/>
      <c r="I552" s="448" t="s">
        <v>1856</v>
      </c>
    </row>
    <row r="553" spans="1:9" ht="27" x14ac:dyDescent="0.3">
      <c r="A553" s="443" t="s">
        <v>3027</v>
      </c>
      <c r="B553" s="445" t="s">
        <v>2780</v>
      </c>
      <c r="C553" s="444" t="s">
        <v>132</v>
      </c>
      <c r="D553" s="444" t="s">
        <v>1328</v>
      </c>
      <c r="E553" s="446" t="s">
        <v>3028</v>
      </c>
      <c r="F553" s="447" t="s">
        <v>1890</v>
      </c>
      <c r="G553" s="448"/>
      <c r="H553" s="448"/>
      <c r="I553" s="448" t="s">
        <v>1923</v>
      </c>
    </row>
    <row r="554" spans="1:9" ht="27" x14ac:dyDescent="0.3">
      <c r="A554" s="443" t="s">
        <v>3029</v>
      </c>
      <c r="B554" s="445" t="s">
        <v>2780</v>
      </c>
      <c r="C554" s="444" t="s">
        <v>132</v>
      </c>
      <c r="D554" s="444" t="s">
        <v>1344</v>
      </c>
      <c r="E554" s="446" t="s">
        <v>3030</v>
      </c>
      <c r="F554" s="447" t="s">
        <v>1890</v>
      </c>
      <c r="G554" s="448"/>
      <c r="H554" s="448"/>
      <c r="I554" s="448" t="s">
        <v>1893</v>
      </c>
    </row>
    <row r="555" spans="1:9" ht="27" x14ac:dyDescent="0.3">
      <c r="A555" s="443" t="s">
        <v>3031</v>
      </c>
      <c r="B555" s="445" t="s">
        <v>2780</v>
      </c>
      <c r="C555" s="444" t="s">
        <v>132</v>
      </c>
      <c r="D555" s="444" t="s">
        <v>1357</v>
      </c>
      <c r="E555" s="446" t="s">
        <v>3032</v>
      </c>
      <c r="F555" s="447" t="s">
        <v>1890</v>
      </c>
      <c r="G555" s="448"/>
      <c r="H555" s="448"/>
      <c r="I555" s="448" t="s">
        <v>1893</v>
      </c>
    </row>
    <row r="556" spans="1:9" ht="27" x14ac:dyDescent="0.3">
      <c r="A556" s="443" t="s">
        <v>3033</v>
      </c>
      <c r="B556" s="445" t="s">
        <v>2780</v>
      </c>
      <c r="C556" s="444" t="s">
        <v>132</v>
      </c>
      <c r="D556" s="444" t="s">
        <v>1215</v>
      </c>
      <c r="E556" s="446" t="s">
        <v>3034</v>
      </c>
      <c r="F556" s="447" t="s">
        <v>1890</v>
      </c>
      <c r="G556" s="448"/>
      <c r="H556" s="448"/>
      <c r="I556" s="448" t="s">
        <v>1923</v>
      </c>
    </row>
    <row r="557" spans="1:9" ht="27" x14ac:dyDescent="0.3">
      <c r="A557" s="443" t="s">
        <v>3035</v>
      </c>
      <c r="B557" s="445" t="s">
        <v>2780</v>
      </c>
      <c r="C557" s="444" t="s">
        <v>132</v>
      </c>
      <c r="D557" s="444" t="s">
        <v>1042</v>
      </c>
      <c r="E557" s="446" t="s">
        <v>3036</v>
      </c>
      <c r="F557" s="447" t="s">
        <v>1890</v>
      </c>
      <c r="G557" s="448"/>
      <c r="H557" s="448"/>
      <c r="I557" s="448" t="s">
        <v>1893</v>
      </c>
    </row>
    <row r="558" spans="1:9" ht="27" x14ac:dyDescent="0.3">
      <c r="A558" s="443" t="s">
        <v>3037</v>
      </c>
      <c r="B558" s="445" t="s">
        <v>2780</v>
      </c>
      <c r="C558" s="444" t="s">
        <v>132</v>
      </c>
      <c r="D558" s="444" t="s">
        <v>1389</v>
      </c>
      <c r="E558" s="446" t="s">
        <v>3038</v>
      </c>
      <c r="F558" s="447" t="s">
        <v>1890</v>
      </c>
      <c r="G558" s="448"/>
      <c r="H558" s="448"/>
      <c r="I558" s="448" t="s">
        <v>1927</v>
      </c>
    </row>
    <row r="559" spans="1:9" ht="27" x14ac:dyDescent="0.3">
      <c r="A559" s="443" t="s">
        <v>3039</v>
      </c>
      <c r="B559" s="445" t="s">
        <v>2780</v>
      </c>
      <c r="C559" s="444" t="s">
        <v>132</v>
      </c>
      <c r="D559" s="444" t="s">
        <v>132</v>
      </c>
      <c r="E559" s="446" t="s">
        <v>3040</v>
      </c>
      <c r="F559" s="447" t="s">
        <v>1890</v>
      </c>
      <c r="G559" s="448"/>
      <c r="H559" s="448"/>
      <c r="I559" s="448" t="s">
        <v>1893</v>
      </c>
    </row>
    <row r="560" spans="1:9" ht="27" x14ac:dyDescent="0.3">
      <c r="A560" s="443" t="s">
        <v>3041</v>
      </c>
      <c r="B560" s="445" t="s">
        <v>2780</v>
      </c>
      <c r="C560" s="444" t="s">
        <v>132</v>
      </c>
      <c r="D560" s="444" t="s">
        <v>1409</v>
      </c>
      <c r="E560" s="446" t="s">
        <v>3042</v>
      </c>
      <c r="F560" s="447" t="s">
        <v>1890</v>
      </c>
      <c r="G560" s="448"/>
      <c r="H560" s="448"/>
      <c r="I560" s="448" t="s">
        <v>1856</v>
      </c>
    </row>
    <row r="561" spans="1:9" ht="27" x14ac:dyDescent="0.3">
      <c r="A561" s="443" t="s">
        <v>3043</v>
      </c>
      <c r="B561" s="445" t="s">
        <v>2780</v>
      </c>
      <c r="C561" s="444" t="s">
        <v>132</v>
      </c>
      <c r="D561" s="444" t="s">
        <v>1418</v>
      </c>
      <c r="E561" s="446" t="s">
        <v>3044</v>
      </c>
      <c r="F561" s="447" t="s">
        <v>1890</v>
      </c>
      <c r="G561" s="448"/>
      <c r="H561" s="448"/>
      <c r="I561" s="448" t="s">
        <v>1893</v>
      </c>
    </row>
    <row r="562" spans="1:9" ht="27" x14ac:dyDescent="0.3">
      <c r="A562" s="443" t="s">
        <v>3045</v>
      </c>
      <c r="B562" s="445" t="s">
        <v>2780</v>
      </c>
      <c r="C562" s="444" t="s">
        <v>132</v>
      </c>
      <c r="D562" s="444" t="s">
        <v>3046</v>
      </c>
      <c r="E562" s="446" t="s">
        <v>3047</v>
      </c>
      <c r="F562" s="447" t="s">
        <v>1890</v>
      </c>
      <c r="G562" s="448"/>
      <c r="H562" s="448"/>
      <c r="I562" s="448" t="s">
        <v>1923</v>
      </c>
    </row>
    <row r="563" spans="1:9" ht="27" x14ac:dyDescent="0.3">
      <c r="A563" s="443" t="s">
        <v>3048</v>
      </c>
      <c r="B563" s="445" t="s">
        <v>2780</v>
      </c>
      <c r="C563" s="444" t="s">
        <v>132</v>
      </c>
      <c r="D563" s="444" t="s">
        <v>2618</v>
      </c>
      <c r="E563" s="446" t="s">
        <v>3049</v>
      </c>
      <c r="F563" s="447" t="s">
        <v>1890</v>
      </c>
      <c r="G563" s="448"/>
      <c r="H563" s="448"/>
      <c r="I563" s="448" t="s">
        <v>1923</v>
      </c>
    </row>
    <row r="564" spans="1:9" ht="27" x14ac:dyDescent="0.3">
      <c r="A564" s="443" t="s">
        <v>3050</v>
      </c>
      <c r="B564" s="445" t="s">
        <v>2780</v>
      </c>
      <c r="C564" s="444" t="s">
        <v>132</v>
      </c>
      <c r="D564" s="444" t="s">
        <v>3051</v>
      </c>
      <c r="E564" s="446" t="s">
        <v>3052</v>
      </c>
      <c r="F564" s="447" t="s">
        <v>1890</v>
      </c>
      <c r="G564" s="448" t="s">
        <v>81</v>
      </c>
      <c r="H564" s="448"/>
      <c r="I564" s="448" t="s">
        <v>1874</v>
      </c>
    </row>
    <row r="565" spans="1:9" ht="27" x14ac:dyDescent="0.3">
      <c r="A565" s="443" t="s">
        <v>3053</v>
      </c>
      <c r="B565" s="445" t="s">
        <v>2780</v>
      </c>
      <c r="C565" s="444" t="s">
        <v>132</v>
      </c>
      <c r="D565" s="444" t="s">
        <v>2750</v>
      </c>
      <c r="E565" s="446" t="s">
        <v>3054</v>
      </c>
      <c r="F565" s="447" t="s">
        <v>1890</v>
      </c>
      <c r="G565" s="448"/>
      <c r="H565" s="448"/>
      <c r="I565" s="448" t="s">
        <v>1927</v>
      </c>
    </row>
    <row r="566" spans="1:9" ht="27" x14ac:dyDescent="0.3">
      <c r="A566" s="443" t="s">
        <v>3055</v>
      </c>
      <c r="B566" s="445" t="s">
        <v>2780</v>
      </c>
      <c r="C566" s="444" t="s">
        <v>132</v>
      </c>
      <c r="D566" s="444" t="s">
        <v>1445</v>
      </c>
      <c r="E566" s="446" t="s">
        <v>3056</v>
      </c>
      <c r="F566" s="447" t="s">
        <v>1890</v>
      </c>
      <c r="G566" s="448"/>
      <c r="H566" s="448"/>
      <c r="I566" s="448" t="s">
        <v>1856</v>
      </c>
    </row>
    <row r="567" spans="1:9" ht="27" x14ac:dyDescent="0.3">
      <c r="A567" s="443" t="s">
        <v>3057</v>
      </c>
      <c r="B567" s="445" t="s">
        <v>2780</v>
      </c>
      <c r="C567" s="444" t="s">
        <v>132</v>
      </c>
      <c r="D567" s="444" t="s">
        <v>1448</v>
      </c>
      <c r="E567" s="446" t="s">
        <v>3058</v>
      </c>
      <c r="F567" s="447" t="s">
        <v>1890</v>
      </c>
      <c r="G567" s="448"/>
      <c r="H567" s="448"/>
      <c r="I567" s="448" t="s">
        <v>1856</v>
      </c>
    </row>
    <row r="568" spans="1:9" ht="27" x14ac:dyDescent="0.3">
      <c r="A568" s="443" t="s">
        <v>3059</v>
      </c>
      <c r="B568" s="445" t="s">
        <v>2780</v>
      </c>
      <c r="C568" s="444" t="s">
        <v>132</v>
      </c>
      <c r="D568" s="444" t="s">
        <v>3060</v>
      </c>
      <c r="E568" s="446" t="s">
        <v>3061</v>
      </c>
      <c r="F568" s="447" t="s">
        <v>1854</v>
      </c>
      <c r="G568" s="448"/>
      <c r="H568" s="448" t="s">
        <v>1961</v>
      </c>
      <c r="I568" s="448" t="s">
        <v>1896</v>
      </c>
    </row>
    <row r="569" spans="1:9" ht="27" x14ac:dyDescent="0.3">
      <c r="A569" s="443" t="s">
        <v>3062</v>
      </c>
      <c r="B569" s="445" t="s">
        <v>2780</v>
      </c>
      <c r="C569" s="444" t="s">
        <v>132</v>
      </c>
      <c r="D569" s="444" t="s">
        <v>1452</v>
      </c>
      <c r="E569" s="446" t="s">
        <v>3063</v>
      </c>
      <c r="F569" s="447" t="s">
        <v>1890</v>
      </c>
      <c r="G569" s="448"/>
      <c r="H569" s="448"/>
      <c r="I569" s="448" t="s">
        <v>1856</v>
      </c>
    </row>
    <row r="570" spans="1:9" ht="27" x14ac:dyDescent="0.3">
      <c r="A570" s="443" t="s">
        <v>3064</v>
      </c>
      <c r="B570" s="445" t="s">
        <v>2780</v>
      </c>
      <c r="C570" s="444" t="s">
        <v>132</v>
      </c>
      <c r="D570" s="444" t="s">
        <v>1455</v>
      </c>
      <c r="E570" s="446" t="s">
        <v>3065</v>
      </c>
      <c r="F570" s="447" t="s">
        <v>1890</v>
      </c>
      <c r="G570" s="448"/>
      <c r="H570" s="448"/>
      <c r="I570" s="448" t="s">
        <v>1923</v>
      </c>
    </row>
    <row r="571" spans="1:9" ht="27" x14ac:dyDescent="0.3">
      <c r="A571" s="443" t="s">
        <v>3066</v>
      </c>
      <c r="B571" s="445" t="s">
        <v>2780</v>
      </c>
      <c r="C571" s="444" t="s">
        <v>145</v>
      </c>
      <c r="D571" s="444" t="s">
        <v>186</v>
      </c>
      <c r="E571" s="446" t="s">
        <v>3067</v>
      </c>
      <c r="F571" s="447" t="s">
        <v>1890</v>
      </c>
      <c r="G571" s="448"/>
      <c r="H571" s="448"/>
      <c r="I571" s="448" t="s">
        <v>1856</v>
      </c>
    </row>
    <row r="572" spans="1:9" ht="27" x14ac:dyDescent="0.3">
      <c r="A572" s="443" t="s">
        <v>3068</v>
      </c>
      <c r="B572" s="445" t="s">
        <v>2780</v>
      </c>
      <c r="C572" s="444" t="s">
        <v>145</v>
      </c>
      <c r="D572" s="444" t="s">
        <v>3069</v>
      </c>
      <c r="E572" s="446" t="s">
        <v>3070</v>
      </c>
      <c r="F572" s="447" t="s">
        <v>1854</v>
      </c>
      <c r="G572" s="448"/>
      <c r="H572" s="448" t="s">
        <v>1961</v>
      </c>
      <c r="I572" s="448" t="s">
        <v>1856</v>
      </c>
    </row>
    <row r="573" spans="1:9" ht="27" x14ac:dyDescent="0.3">
      <c r="A573" s="443" t="s">
        <v>3071</v>
      </c>
      <c r="B573" s="445" t="s">
        <v>2780</v>
      </c>
      <c r="C573" s="444" t="s">
        <v>145</v>
      </c>
      <c r="D573" s="444" t="s">
        <v>261</v>
      </c>
      <c r="E573" s="446" t="s">
        <v>3072</v>
      </c>
      <c r="F573" s="447" t="s">
        <v>1890</v>
      </c>
      <c r="G573" s="448"/>
      <c r="H573" s="448"/>
      <c r="I573" s="448" t="s">
        <v>1923</v>
      </c>
    </row>
    <row r="574" spans="1:9" ht="27" x14ac:dyDescent="0.3">
      <c r="A574" s="443" t="s">
        <v>3073</v>
      </c>
      <c r="B574" s="445" t="s">
        <v>2780</v>
      </c>
      <c r="C574" s="444" t="s">
        <v>145</v>
      </c>
      <c r="D574" s="444" t="s">
        <v>332</v>
      </c>
      <c r="E574" s="446" t="s">
        <v>3074</v>
      </c>
      <c r="F574" s="447" t="s">
        <v>1890</v>
      </c>
      <c r="G574" s="448"/>
      <c r="H574" s="448"/>
      <c r="I574" s="448" t="s">
        <v>1856</v>
      </c>
    </row>
    <row r="575" spans="1:9" ht="27" x14ac:dyDescent="0.3">
      <c r="A575" s="443" t="s">
        <v>3075</v>
      </c>
      <c r="B575" s="445" t="s">
        <v>2780</v>
      </c>
      <c r="C575" s="444" t="s">
        <v>145</v>
      </c>
      <c r="D575" s="444" t="s">
        <v>403</v>
      </c>
      <c r="E575" s="446" t="s">
        <v>3076</v>
      </c>
      <c r="F575" s="447" t="s">
        <v>1890</v>
      </c>
      <c r="G575" s="448"/>
      <c r="H575" s="448"/>
      <c r="I575" s="448" t="s">
        <v>1856</v>
      </c>
    </row>
    <row r="576" spans="1:9" ht="27" x14ac:dyDescent="0.3">
      <c r="A576" s="443" t="s">
        <v>3077</v>
      </c>
      <c r="B576" s="445" t="s">
        <v>2780</v>
      </c>
      <c r="C576" s="444" t="s">
        <v>145</v>
      </c>
      <c r="D576" s="444" t="s">
        <v>477</v>
      </c>
      <c r="E576" s="446" t="s">
        <v>3078</v>
      </c>
      <c r="F576" s="447" t="s">
        <v>1890</v>
      </c>
      <c r="G576" s="448"/>
      <c r="H576" s="448"/>
      <c r="I576" s="448" t="s">
        <v>1927</v>
      </c>
    </row>
    <row r="577" spans="1:9" ht="27" x14ac:dyDescent="0.3">
      <c r="A577" s="443" t="s">
        <v>3079</v>
      </c>
      <c r="B577" s="445" t="s">
        <v>2780</v>
      </c>
      <c r="C577" s="444" t="s">
        <v>145</v>
      </c>
      <c r="D577" s="444" t="s">
        <v>616</v>
      </c>
      <c r="E577" s="446" t="s">
        <v>3080</v>
      </c>
      <c r="F577" s="447" t="s">
        <v>1890</v>
      </c>
      <c r="G577" s="448"/>
      <c r="H577" s="448"/>
      <c r="I577" s="448" t="s">
        <v>1923</v>
      </c>
    </row>
    <row r="578" spans="1:9" ht="28.8" x14ac:dyDescent="0.3">
      <c r="A578" s="443" t="s">
        <v>3081</v>
      </c>
      <c r="B578" s="445" t="s">
        <v>2780</v>
      </c>
      <c r="C578" s="444" t="s">
        <v>145</v>
      </c>
      <c r="D578" s="444" t="s">
        <v>808</v>
      </c>
      <c r="E578" s="446" t="s">
        <v>3082</v>
      </c>
      <c r="F578" s="447" t="s">
        <v>1890</v>
      </c>
      <c r="G578" s="448" t="s">
        <v>3083</v>
      </c>
      <c r="H578" s="448"/>
      <c r="I578" s="448" t="s">
        <v>1856</v>
      </c>
    </row>
    <row r="579" spans="1:9" ht="27" x14ac:dyDescent="0.3">
      <c r="A579" s="443" t="s">
        <v>3084</v>
      </c>
      <c r="B579" s="445" t="s">
        <v>2780</v>
      </c>
      <c r="C579" s="444" t="s">
        <v>145</v>
      </c>
      <c r="D579" s="444" t="s">
        <v>673</v>
      </c>
      <c r="E579" s="446" t="s">
        <v>3085</v>
      </c>
      <c r="F579" s="447" t="s">
        <v>1890</v>
      </c>
      <c r="G579" s="448"/>
      <c r="H579" s="448"/>
      <c r="I579" s="448" t="s">
        <v>1874</v>
      </c>
    </row>
    <row r="580" spans="1:9" ht="27" x14ac:dyDescent="0.3">
      <c r="A580" s="443" t="s">
        <v>3086</v>
      </c>
      <c r="B580" s="445" t="s">
        <v>2780</v>
      </c>
      <c r="C580" s="444" t="s">
        <v>145</v>
      </c>
      <c r="D580" s="444" t="s">
        <v>746</v>
      </c>
      <c r="E580" s="446" t="s">
        <v>3087</v>
      </c>
      <c r="F580" s="447" t="s">
        <v>1890</v>
      </c>
      <c r="G580" s="448"/>
      <c r="H580" s="448"/>
      <c r="I580" s="448" t="s">
        <v>1856</v>
      </c>
    </row>
    <row r="581" spans="1:9" ht="27" x14ac:dyDescent="0.3">
      <c r="A581" s="443" t="s">
        <v>3088</v>
      </c>
      <c r="B581" s="445" t="s">
        <v>2780</v>
      </c>
      <c r="C581" s="444" t="s">
        <v>145</v>
      </c>
      <c r="D581" s="444" t="s">
        <v>2419</v>
      </c>
      <c r="E581" s="446" t="s">
        <v>3089</v>
      </c>
      <c r="F581" s="447" t="s">
        <v>1890</v>
      </c>
      <c r="G581" s="448"/>
      <c r="H581" s="448"/>
      <c r="I581" s="448" t="s">
        <v>1856</v>
      </c>
    </row>
    <row r="582" spans="1:9" ht="27" x14ac:dyDescent="0.3">
      <c r="A582" s="443" t="s">
        <v>3090</v>
      </c>
      <c r="B582" s="445" t="s">
        <v>2780</v>
      </c>
      <c r="C582" s="444" t="s">
        <v>145</v>
      </c>
      <c r="D582" s="444" t="s">
        <v>920</v>
      </c>
      <c r="E582" s="446" t="s">
        <v>3091</v>
      </c>
      <c r="F582" s="447" t="s">
        <v>1890</v>
      </c>
      <c r="G582" s="448"/>
      <c r="H582" s="448"/>
      <c r="I582" s="448" t="s">
        <v>1856</v>
      </c>
    </row>
    <row r="583" spans="1:9" ht="27" x14ac:dyDescent="0.3">
      <c r="A583" s="443" t="s">
        <v>3092</v>
      </c>
      <c r="B583" s="445" t="s">
        <v>2780</v>
      </c>
      <c r="C583" s="444" t="s">
        <v>145</v>
      </c>
      <c r="D583" s="444" t="s">
        <v>972</v>
      </c>
      <c r="E583" s="446" t="s">
        <v>3093</v>
      </c>
      <c r="F583" s="447" t="s">
        <v>1890</v>
      </c>
      <c r="G583" s="448"/>
      <c r="H583" s="448"/>
      <c r="I583" s="448" t="s">
        <v>1856</v>
      </c>
    </row>
    <row r="584" spans="1:9" ht="27" x14ac:dyDescent="0.3">
      <c r="A584" s="443" t="s">
        <v>3094</v>
      </c>
      <c r="B584" s="445" t="s">
        <v>2780</v>
      </c>
      <c r="C584" s="444" t="s">
        <v>145</v>
      </c>
      <c r="D584" s="444" t="s">
        <v>1018</v>
      </c>
      <c r="E584" s="446" t="s">
        <v>3095</v>
      </c>
      <c r="F584" s="447" t="s">
        <v>1890</v>
      </c>
      <c r="G584" s="448"/>
      <c r="H584" s="448"/>
      <c r="I584" s="448" t="s">
        <v>1874</v>
      </c>
    </row>
    <row r="585" spans="1:9" ht="27" x14ac:dyDescent="0.3">
      <c r="A585" s="443" t="s">
        <v>3096</v>
      </c>
      <c r="B585" s="445" t="s">
        <v>2780</v>
      </c>
      <c r="C585" s="444" t="s">
        <v>132</v>
      </c>
      <c r="D585" s="444" t="s">
        <v>3097</v>
      </c>
      <c r="E585" s="446" t="s">
        <v>3098</v>
      </c>
      <c r="F585" s="447" t="s">
        <v>1854</v>
      </c>
      <c r="G585" s="448"/>
      <c r="H585" s="448" t="s">
        <v>1855</v>
      </c>
      <c r="I585" s="448" t="s">
        <v>1874</v>
      </c>
    </row>
    <row r="586" spans="1:9" x14ac:dyDescent="0.3">
      <c r="A586" s="443" t="s">
        <v>3099</v>
      </c>
      <c r="B586" s="445" t="s">
        <v>3100</v>
      </c>
      <c r="C586" s="444" t="s">
        <v>83</v>
      </c>
      <c r="D586" s="444" t="s">
        <v>187</v>
      </c>
      <c r="E586" s="446">
        <v>174001000</v>
      </c>
      <c r="F586" s="447" t="s">
        <v>1890</v>
      </c>
      <c r="G586" s="448"/>
      <c r="H586" s="448"/>
      <c r="I586" s="448" t="s">
        <v>1856</v>
      </c>
    </row>
    <row r="587" spans="1:9" x14ac:dyDescent="0.3">
      <c r="A587" s="443" t="s">
        <v>3101</v>
      </c>
      <c r="B587" s="445" t="s">
        <v>3100</v>
      </c>
      <c r="C587" s="444" t="s">
        <v>83</v>
      </c>
      <c r="D587" s="444" t="s">
        <v>202</v>
      </c>
      <c r="E587" s="446">
        <v>174002000</v>
      </c>
      <c r="F587" s="447" t="s">
        <v>1890</v>
      </c>
      <c r="G587" s="448"/>
      <c r="H587" s="448"/>
      <c r="I587" s="448" t="s">
        <v>1923</v>
      </c>
    </row>
    <row r="588" spans="1:9" x14ac:dyDescent="0.3">
      <c r="A588" s="443" t="s">
        <v>3102</v>
      </c>
      <c r="B588" s="445" t="s">
        <v>3100</v>
      </c>
      <c r="C588" s="444" t="s">
        <v>83</v>
      </c>
      <c r="D588" s="444" t="s">
        <v>333</v>
      </c>
      <c r="E588" s="446">
        <v>174003000</v>
      </c>
      <c r="F588" s="447" t="s">
        <v>1890</v>
      </c>
      <c r="G588" s="448"/>
      <c r="H588" s="448"/>
      <c r="I588" s="448" t="s">
        <v>1927</v>
      </c>
    </row>
    <row r="589" spans="1:9" x14ac:dyDescent="0.3">
      <c r="A589" s="443" t="s">
        <v>3103</v>
      </c>
      <c r="B589" s="445" t="s">
        <v>3100</v>
      </c>
      <c r="C589" s="444" t="s">
        <v>83</v>
      </c>
      <c r="D589" s="444" t="s">
        <v>404</v>
      </c>
      <c r="E589" s="446">
        <v>174004000</v>
      </c>
      <c r="F589" s="447" t="s">
        <v>1890</v>
      </c>
      <c r="G589" s="448"/>
      <c r="H589" s="448"/>
      <c r="I589" s="448" t="s">
        <v>1927</v>
      </c>
    </row>
    <row r="590" spans="1:9" x14ac:dyDescent="0.3">
      <c r="A590" s="443" t="s">
        <v>3104</v>
      </c>
      <c r="B590" s="445" t="s">
        <v>3100</v>
      </c>
      <c r="C590" s="444" t="s">
        <v>83</v>
      </c>
      <c r="D590" s="444" t="s">
        <v>2096</v>
      </c>
      <c r="E590" s="446">
        <v>174005000</v>
      </c>
      <c r="F590" s="447" t="s">
        <v>1890</v>
      </c>
      <c r="G590" s="448"/>
      <c r="H590" s="448"/>
      <c r="I590" s="448" t="s">
        <v>1856</v>
      </c>
    </row>
    <row r="591" spans="1:9" x14ac:dyDescent="0.3">
      <c r="A591" s="443" t="s">
        <v>3105</v>
      </c>
      <c r="B591" s="445" t="s">
        <v>3100</v>
      </c>
      <c r="C591" s="444" t="s">
        <v>83</v>
      </c>
      <c r="D591" s="444" t="s">
        <v>550</v>
      </c>
      <c r="E591" s="446">
        <v>174006000</v>
      </c>
      <c r="F591" s="447" t="s">
        <v>1890</v>
      </c>
      <c r="G591" s="448"/>
      <c r="H591" s="448"/>
      <c r="I591" s="448" t="s">
        <v>1927</v>
      </c>
    </row>
    <row r="592" spans="1:9" x14ac:dyDescent="0.3">
      <c r="A592" s="443" t="s">
        <v>3106</v>
      </c>
      <c r="B592" s="445" t="s">
        <v>3100</v>
      </c>
      <c r="C592" s="444" t="s">
        <v>3107</v>
      </c>
      <c r="D592" s="444" t="s">
        <v>3108</v>
      </c>
      <c r="E592" s="446">
        <v>175101000</v>
      </c>
      <c r="F592" s="447" t="s">
        <v>1890</v>
      </c>
      <c r="G592" s="448"/>
      <c r="H592" s="448"/>
      <c r="I592" s="448" t="s">
        <v>1874</v>
      </c>
    </row>
    <row r="593" spans="1:9" x14ac:dyDescent="0.3">
      <c r="A593" s="443" t="s">
        <v>3109</v>
      </c>
      <c r="B593" s="445" t="s">
        <v>3100</v>
      </c>
      <c r="C593" s="444" t="s">
        <v>3107</v>
      </c>
      <c r="D593" s="444" t="s">
        <v>262</v>
      </c>
      <c r="E593" s="446">
        <v>175102000</v>
      </c>
      <c r="F593" s="447" t="s">
        <v>1890</v>
      </c>
      <c r="G593" s="448"/>
      <c r="H593" s="448"/>
      <c r="I593" s="448" t="s">
        <v>1927</v>
      </c>
    </row>
    <row r="594" spans="1:9" x14ac:dyDescent="0.3">
      <c r="A594" s="443" t="s">
        <v>3110</v>
      </c>
      <c r="B594" s="445" t="s">
        <v>3100</v>
      </c>
      <c r="C594" s="444" t="s">
        <v>3107</v>
      </c>
      <c r="D594" s="444" t="s">
        <v>334</v>
      </c>
      <c r="E594" s="446">
        <v>175103000</v>
      </c>
      <c r="F594" s="447" t="s">
        <v>1890</v>
      </c>
      <c r="G594" s="448"/>
      <c r="H594" s="448"/>
      <c r="I594" s="448" t="s">
        <v>1893</v>
      </c>
    </row>
    <row r="595" spans="1:9" x14ac:dyDescent="0.3">
      <c r="A595" s="443" t="s">
        <v>3111</v>
      </c>
      <c r="B595" s="445" t="s">
        <v>3100</v>
      </c>
      <c r="C595" s="444" t="s">
        <v>3107</v>
      </c>
      <c r="D595" s="444" t="s">
        <v>405</v>
      </c>
      <c r="E595" s="446">
        <v>175104000</v>
      </c>
      <c r="F595" s="447" t="s">
        <v>1890</v>
      </c>
      <c r="G595" s="448"/>
      <c r="H595" s="448"/>
      <c r="I595" s="448" t="s">
        <v>1923</v>
      </c>
    </row>
    <row r="596" spans="1:9" x14ac:dyDescent="0.3">
      <c r="A596" s="443" t="s">
        <v>3112</v>
      </c>
      <c r="B596" s="445" t="s">
        <v>3100</v>
      </c>
      <c r="C596" s="444" t="s">
        <v>3107</v>
      </c>
      <c r="D596" s="444" t="s">
        <v>479</v>
      </c>
      <c r="E596" s="446">
        <v>175105000</v>
      </c>
      <c r="F596" s="447" t="s">
        <v>1890</v>
      </c>
      <c r="G596" s="448"/>
      <c r="H596" s="448"/>
      <c r="I596" s="448" t="s">
        <v>1927</v>
      </c>
    </row>
    <row r="597" spans="1:9" x14ac:dyDescent="0.3">
      <c r="A597" s="443" t="s">
        <v>3113</v>
      </c>
      <c r="B597" s="445" t="s">
        <v>3100</v>
      </c>
      <c r="C597" s="444" t="s">
        <v>3107</v>
      </c>
      <c r="D597" s="444" t="s">
        <v>551</v>
      </c>
      <c r="E597" s="446">
        <v>175106000</v>
      </c>
      <c r="F597" s="447" t="s">
        <v>1890</v>
      </c>
      <c r="G597" s="448"/>
      <c r="H597" s="448"/>
      <c r="I597" s="448" t="s">
        <v>1874</v>
      </c>
    </row>
    <row r="598" spans="1:9" x14ac:dyDescent="0.3">
      <c r="A598" s="443" t="s">
        <v>3114</v>
      </c>
      <c r="B598" s="445" t="s">
        <v>3100</v>
      </c>
      <c r="C598" s="444" t="s">
        <v>3107</v>
      </c>
      <c r="D598" s="444" t="s">
        <v>617</v>
      </c>
      <c r="E598" s="446">
        <v>175107000</v>
      </c>
      <c r="F598" s="447" t="s">
        <v>1890</v>
      </c>
      <c r="G598" s="448"/>
      <c r="H598" s="448"/>
      <c r="I598" s="448" t="s">
        <v>1927</v>
      </c>
    </row>
    <row r="599" spans="1:9" x14ac:dyDescent="0.3">
      <c r="A599" s="443" t="s">
        <v>3115</v>
      </c>
      <c r="B599" s="445" t="s">
        <v>3100</v>
      </c>
      <c r="C599" s="444" t="s">
        <v>3107</v>
      </c>
      <c r="D599" s="444" t="s">
        <v>145</v>
      </c>
      <c r="E599" s="446">
        <v>175108000</v>
      </c>
      <c r="F599" s="447" t="s">
        <v>1890</v>
      </c>
      <c r="G599" s="448"/>
      <c r="H599" s="448"/>
      <c r="I599" s="448" t="s">
        <v>1927</v>
      </c>
    </row>
    <row r="600" spans="1:9" x14ac:dyDescent="0.3">
      <c r="A600" s="443" t="s">
        <v>3116</v>
      </c>
      <c r="B600" s="445" t="s">
        <v>3100</v>
      </c>
      <c r="C600" s="444" t="s">
        <v>3107</v>
      </c>
      <c r="D600" s="444" t="s">
        <v>747</v>
      </c>
      <c r="E600" s="446">
        <v>175109000</v>
      </c>
      <c r="F600" s="447" t="s">
        <v>1890</v>
      </c>
      <c r="G600" s="448"/>
      <c r="H600" s="448"/>
      <c r="I600" s="448" t="s">
        <v>1856</v>
      </c>
    </row>
    <row r="601" spans="1:9" x14ac:dyDescent="0.3">
      <c r="A601" s="443" t="s">
        <v>3117</v>
      </c>
      <c r="B601" s="445" t="s">
        <v>3100</v>
      </c>
      <c r="C601" s="444" t="s">
        <v>3107</v>
      </c>
      <c r="D601" s="444" t="s">
        <v>1828</v>
      </c>
      <c r="E601" s="446">
        <v>175110000</v>
      </c>
      <c r="F601" s="447" t="s">
        <v>1890</v>
      </c>
      <c r="G601" s="448"/>
      <c r="H601" s="448"/>
      <c r="I601" s="448" t="s">
        <v>1856</v>
      </c>
    </row>
    <row r="602" spans="1:9" x14ac:dyDescent="0.3">
      <c r="A602" s="443" t="s">
        <v>3118</v>
      </c>
      <c r="B602" s="445" t="s">
        <v>3100</v>
      </c>
      <c r="C602" s="444" t="s">
        <v>3107</v>
      </c>
      <c r="D602" s="444" t="s">
        <v>2096</v>
      </c>
      <c r="E602" s="446">
        <v>175111000</v>
      </c>
      <c r="F602" s="447" t="s">
        <v>1890</v>
      </c>
      <c r="G602" s="448"/>
      <c r="H602" s="448"/>
      <c r="I602" s="448" t="s">
        <v>1856</v>
      </c>
    </row>
    <row r="603" spans="1:9" x14ac:dyDescent="0.3">
      <c r="A603" s="443" t="s">
        <v>3119</v>
      </c>
      <c r="B603" s="445" t="s">
        <v>3100</v>
      </c>
      <c r="C603" s="444" t="s">
        <v>3120</v>
      </c>
      <c r="D603" s="444" t="s">
        <v>189</v>
      </c>
      <c r="E603" s="446">
        <v>175201000</v>
      </c>
      <c r="F603" s="447" t="s">
        <v>1890</v>
      </c>
      <c r="G603" s="448"/>
      <c r="H603" s="448"/>
      <c r="I603" s="448" t="s">
        <v>1927</v>
      </c>
    </row>
    <row r="604" spans="1:9" x14ac:dyDescent="0.3">
      <c r="A604" s="443" t="s">
        <v>3121</v>
      </c>
      <c r="B604" s="445" t="s">
        <v>3100</v>
      </c>
      <c r="C604" s="444" t="s">
        <v>3120</v>
      </c>
      <c r="D604" s="444" t="s">
        <v>263</v>
      </c>
      <c r="E604" s="446">
        <v>175202000</v>
      </c>
      <c r="F604" s="447" t="s">
        <v>1890</v>
      </c>
      <c r="G604" s="448"/>
      <c r="H604" s="448"/>
      <c r="I604" s="448" t="s">
        <v>1874</v>
      </c>
    </row>
    <row r="605" spans="1:9" x14ac:dyDescent="0.3">
      <c r="A605" s="443" t="s">
        <v>3122</v>
      </c>
      <c r="B605" s="445" t="s">
        <v>3100</v>
      </c>
      <c r="C605" s="444" t="s">
        <v>3120</v>
      </c>
      <c r="D605" s="444" t="s">
        <v>335</v>
      </c>
      <c r="E605" s="446">
        <v>175203000</v>
      </c>
      <c r="F605" s="447" t="s">
        <v>1890</v>
      </c>
      <c r="G605" s="448"/>
      <c r="H605" s="448"/>
      <c r="I605" s="448" t="s">
        <v>1856</v>
      </c>
    </row>
    <row r="606" spans="1:9" ht="28.8" x14ac:dyDescent="0.3">
      <c r="A606" s="443" t="s">
        <v>3123</v>
      </c>
      <c r="B606" s="445" t="s">
        <v>3100</v>
      </c>
      <c r="C606" s="444" t="s">
        <v>3120</v>
      </c>
      <c r="D606" s="444" t="s">
        <v>406</v>
      </c>
      <c r="E606" s="446">
        <v>175204000</v>
      </c>
      <c r="F606" s="447" t="s">
        <v>1890</v>
      </c>
      <c r="G606" s="448" t="s">
        <v>3124</v>
      </c>
      <c r="H606" s="448"/>
      <c r="I606" s="448" t="s">
        <v>1927</v>
      </c>
    </row>
    <row r="607" spans="1:9" x14ac:dyDescent="0.3">
      <c r="A607" s="443" t="s">
        <v>3125</v>
      </c>
      <c r="B607" s="445" t="s">
        <v>3100</v>
      </c>
      <c r="C607" s="444" t="s">
        <v>3120</v>
      </c>
      <c r="D607" s="444" t="s">
        <v>3126</v>
      </c>
      <c r="E607" s="446">
        <v>175205000</v>
      </c>
      <c r="F607" s="447" t="s">
        <v>1854</v>
      </c>
      <c r="G607" s="448"/>
      <c r="H607" s="448" t="s">
        <v>1961</v>
      </c>
      <c r="I607" s="448" t="s">
        <v>1927</v>
      </c>
    </row>
    <row r="608" spans="1:9" x14ac:dyDescent="0.3">
      <c r="A608" s="443" t="s">
        <v>3127</v>
      </c>
      <c r="B608" s="445" t="s">
        <v>3100</v>
      </c>
      <c r="C608" s="444" t="s">
        <v>3120</v>
      </c>
      <c r="D608" s="444" t="s">
        <v>552</v>
      </c>
      <c r="E608" s="446">
        <v>175206000</v>
      </c>
      <c r="F608" s="447" t="s">
        <v>1890</v>
      </c>
      <c r="G608" s="448"/>
      <c r="H608" s="448"/>
      <c r="I608" s="448" t="s">
        <v>1927</v>
      </c>
    </row>
    <row r="609" spans="1:9" x14ac:dyDescent="0.3">
      <c r="A609" s="443" t="s">
        <v>3128</v>
      </c>
      <c r="B609" s="445" t="s">
        <v>3100</v>
      </c>
      <c r="C609" s="444" t="s">
        <v>3120</v>
      </c>
      <c r="D609" s="444" t="s">
        <v>618</v>
      </c>
      <c r="E609" s="446">
        <v>175207000</v>
      </c>
      <c r="F609" s="447" t="s">
        <v>1890</v>
      </c>
      <c r="G609" s="448"/>
      <c r="H609" s="448"/>
      <c r="I609" s="448" t="s">
        <v>1874</v>
      </c>
    </row>
    <row r="610" spans="1:9" x14ac:dyDescent="0.3">
      <c r="A610" s="443" t="s">
        <v>3129</v>
      </c>
      <c r="B610" s="445" t="s">
        <v>3100</v>
      </c>
      <c r="C610" s="444" t="s">
        <v>3120</v>
      </c>
      <c r="D610" s="444" t="s">
        <v>683</v>
      </c>
      <c r="E610" s="446">
        <v>175208000</v>
      </c>
      <c r="F610" s="447" t="s">
        <v>1890</v>
      </c>
      <c r="G610" s="448"/>
      <c r="H610" s="448"/>
      <c r="I610" s="448" t="s">
        <v>1856</v>
      </c>
    </row>
    <row r="611" spans="1:9" x14ac:dyDescent="0.3">
      <c r="A611" s="443" t="s">
        <v>3130</v>
      </c>
      <c r="B611" s="445" t="s">
        <v>3100</v>
      </c>
      <c r="C611" s="444" t="s">
        <v>3120</v>
      </c>
      <c r="D611" s="444" t="s">
        <v>748</v>
      </c>
      <c r="E611" s="446">
        <v>175209000</v>
      </c>
      <c r="F611" s="447" t="s">
        <v>1890</v>
      </c>
      <c r="G611" s="448"/>
      <c r="H611" s="448"/>
      <c r="I611" s="448" t="s">
        <v>1856</v>
      </c>
    </row>
    <row r="612" spans="1:9" x14ac:dyDescent="0.3">
      <c r="A612" s="443" t="s">
        <v>3131</v>
      </c>
      <c r="B612" s="445" t="s">
        <v>3100</v>
      </c>
      <c r="C612" s="444" t="s">
        <v>3120</v>
      </c>
      <c r="D612" s="444" t="s">
        <v>809</v>
      </c>
      <c r="E612" s="446">
        <v>175210000</v>
      </c>
      <c r="F612" s="447" t="s">
        <v>1890</v>
      </c>
      <c r="G612" s="448"/>
      <c r="H612" s="448"/>
      <c r="I612" s="448" t="s">
        <v>1927</v>
      </c>
    </row>
    <row r="613" spans="1:9" x14ac:dyDescent="0.3">
      <c r="A613" s="443" t="s">
        <v>3132</v>
      </c>
      <c r="B613" s="445" t="s">
        <v>3100</v>
      </c>
      <c r="C613" s="444" t="s">
        <v>3120</v>
      </c>
      <c r="D613" s="444" t="s">
        <v>3133</v>
      </c>
      <c r="E613" s="446">
        <v>175211000</v>
      </c>
      <c r="F613" s="447" t="s">
        <v>1890</v>
      </c>
      <c r="G613" s="448"/>
      <c r="H613" s="448"/>
      <c r="I613" s="448" t="s">
        <v>1856</v>
      </c>
    </row>
    <row r="614" spans="1:9" x14ac:dyDescent="0.3">
      <c r="A614" s="443" t="s">
        <v>3134</v>
      </c>
      <c r="B614" s="445" t="s">
        <v>3100</v>
      </c>
      <c r="C614" s="444" t="s">
        <v>3120</v>
      </c>
      <c r="D614" s="444" t="s">
        <v>921</v>
      </c>
      <c r="E614" s="446">
        <v>175212000</v>
      </c>
      <c r="F614" s="447" t="s">
        <v>1890</v>
      </c>
      <c r="G614" s="448"/>
      <c r="H614" s="448"/>
      <c r="I614" s="448" t="s">
        <v>1874</v>
      </c>
    </row>
    <row r="615" spans="1:9" x14ac:dyDescent="0.3">
      <c r="A615" s="443" t="s">
        <v>3135</v>
      </c>
      <c r="B615" s="445" t="s">
        <v>3100</v>
      </c>
      <c r="C615" s="444" t="s">
        <v>3120</v>
      </c>
      <c r="D615" s="444" t="s">
        <v>3136</v>
      </c>
      <c r="E615" s="446">
        <v>175213000</v>
      </c>
      <c r="F615" s="447" t="s">
        <v>1890</v>
      </c>
      <c r="G615" s="448"/>
      <c r="H615" s="448"/>
      <c r="I615" s="448" t="s">
        <v>1923</v>
      </c>
    </row>
    <row r="616" spans="1:9" x14ac:dyDescent="0.3">
      <c r="A616" s="443" t="s">
        <v>3137</v>
      </c>
      <c r="B616" s="445" t="s">
        <v>3100</v>
      </c>
      <c r="C616" s="444" t="s">
        <v>3120</v>
      </c>
      <c r="D616" s="444" t="s">
        <v>1019</v>
      </c>
      <c r="E616" s="446">
        <v>175214000</v>
      </c>
      <c r="F616" s="447" t="s">
        <v>1890</v>
      </c>
      <c r="G616" s="448"/>
      <c r="H616" s="448"/>
      <c r="I616" s="448" t="s">
        <v>1927</v>
      </c>
    </row>
    <row r="617" spans="1:9" x14ac:dyDescent="0.3">
      <c r="A617" s="443" t="s">
        <v>3138</v>
      </c>
      <c r="B617" s="445" t="s">
        <v>3100</v>
      </c>
      <c r="C617" s="444" t="s">
        <v>3120</v>
      </c>
      <c r="D617" s="444" t="s">
        <v>1064</v>
      </c>
      <c r="E617" s="446">
        <v>175215000</v>
      </c>
      <c r="F617" s="447" t="s">
        <v>1890</v>
      </c>
      <c r="G617" s="448"/>
      <c r="H617" s="448"/>
      <c r="I617" s="448" t="s">
        <v>1874</v>
      </c>
    </row>
    <row r="618" spans="1:9" x14ac:dyDescent="0.3">
      <c r="A618" s="443" t="s">
        <v>3139</v>
      </c>
      <c r="B618" s="445" t="s">
        <v>3100</v>
      </c>
      <c r="C618" s="444" t="s">
        <v>133</v>
      </c>
      <c r="D618" s="444" t="s">
        <v>190</v>
      </c>
      <c r="E618" s="446">
        <v>175301000</v>
      </c>
      <c r="F618" s="447" t="s">
        <v>1890</v>
      </c>
      <c r="G618" s="448"/>
      <c r="H618" s="448"/>
      <c r="I618" s="448" t="s">
        <v>1856</v>
      </c>
    </row>
    <row r="619" spans="1:9" x14ac:dyDescent="0.3">
      <c r="A619" s="443" t="s">
        <v>3140</v>
      </c>
      <c r="B619" s="445" t="s">
        <v>3100</v>
      </c>
      <c r="C619" s="444" t="s">
        <v>133</v>
      </c>
      <c r="D619" s="444" t="s">
        <v>264</v>
      </c>
      <c r="E619" s="446">
        <v>175302000</v>
      </c>
      <c r="F619" s="447" t="s">
        <v>1890</v>
      </c>
      <c r="G619" s="448"/>
      <c r="H619" s="448"/>
      <c r="I619" s="448" t="s">
        <v>1893</v>
      </c>
    </row>
    <row r="620" spans="1:9" x14ac:dyDescent="0.3">
      <c r="A620" s="443" t="s">
        <v>3141</v>
      </c>
      <c r="B620" s="445" t="s">
        <v>3100</v>
      </c>
      <c r="C620" s="444" t="s">
        <v>133</v>
      </c>
      <c r="D620" s="444" t="s">
        <v>336</v>
      </c>
      <c r="E620" s="446">
        <v>175303000</v>
      </c>
      <c r="F620" s="447" t="s">
        <v>1890</v>
      </c>
      <c r="G620" s="448"/>
      <c r="H620" s="448"/>
      <c r="I620" s="448" t="s">
        <v>1923</v>
      </c>
    </row>
    <row r="621" spans="1:9" x14ac:dyDescent="0.3">
      <c r="A621" s="443" t="s">
        <v>3142</v>
      </c>
      <c r="B621" s="445" t="s">
        <v>3100</v>
      </c>
      <c r="C621" s="444" t="s">
        <v>133</v>
      </c>
      <c r="D621" s="444" t="s">
        <v>407</v>
      </c>
      <c r="E621" s="446">
        <v>175304000</v>
      </c>
      <c r="F621" s="447" t="s">
        <v>1890</v>
      </c>
      <c r="G621" s="448"/>
      <c r="H621" s="448"/>
      <c r="I621" s="448" t="s">
        <v>1874</v>
      </c>
    </row>
    <row r="622" spans="1:9" x14ac:dyDescent="0.3">
      <c r="A622" s="443" t="s">
        <v>3143</v>
      </c>
      <c r="B622" s="445" t="s">
        <v>3100</v>
      </c>
      <c r="C622" s="444" t="s">
        <v>133</v>
      </c>
      <c r="D622" s="444" t="s">
        <v>481</v>
      </c>
      <c r="E622" s="446">
        <v>175305000</v>
      </c>
      <c r="F622" s="447" t="s">
        <v>1890</v>
      </c>
      <c r="G622" s="448"/>
      <c r="H622" s="448"/>
      <c r="I622" s="448" t="s">
        <v>1856</v>
      </c>
    </row>
    <row r="623" spans="1:9" x14ac:dyDescent="0.3">
      <c r="A623" s="443" t="s">
        <v>3144</v>
      </c>
      <c r="B623" s="445" t="s">
        <v>3100</v>
      </c>
      <c r="C623" s="444" t="s">
        <v>133</v>
      </c>
      <c r="D623" s="444" t="s">
        <v>3145</v>
      </c>
      <c r="E623" s="446">
        <v>175306000</v>
      </c>
      <c r="F623" s="447" t="s">
        <v>1890</v>
      </c>
      <c r="G623" s="448"/>
      <c r="H623" s="448"/>
      <c r="I623" s="448" t="s">
        <v>1856</v>
      </c>
    </row>
    <row r="624" spans="1:9" x14ac:dyDescent="0.3">
      <c r="A624" s="443" t="s">
        <v>3146</v>
      </c>
      <c r="B624" s="445" t="s">
        <v>3100</v>
      </c>
      <c r="C624" s="444" t="s">
        <v>133</v>
      </c>
      <c r="D624" s="444" t="s">
        <v>619</v>
      </c>
      <c r="E624" s="446">
        <v>175307000</v>
      </c>
      <c r="F624" s="447" t="s">
        <v>1890</v>
      </c>
      <c r="G624" s="448"/>
      <c r="H624" s="448"/>
      <c r="I624" s="448" t="s">
        <v>1927</v>
      </c>
    </row>
    <row r="625" spans="1:9" x14ac:dyDescent="0.3">
      <c r="A625" s="443" t="s">
        <v>3147</v>
      </c>
      <c r="B625" s="445" t="s">
        <v>3100</v>
      </c>
      <c r="C625" s="444" t="s">
        <v>133</v>
      </c>
      <c r="D625" s="444" t="s">
        <v>684</v>
      </c>
      <c r="E625" s="446">
        <v>175308000</v>
      </c>
      <c r="F625" s="447" t="s">
        <v>1890</v>
      </c>
      <c r="G625" s="448"/>
      <c r="H625" s="448"/>
      <c r="I625" s="448" t="s">
        <v>1896</v>
      </c>
    </row>
    <row r="626" spans="1:9" x14ac:dyDescent="0.3">
      <c r="A626" s="443" t="s">
        <v>3148</v>
      </c>
      <c r="B626" s="445" t="s">
        <v>3100</v>
      </c>
      <c r="C626" s="444" t="s">
        <v>133</v>
      </c>
      <c r="D626" s="444" t="s">
        <v>810</v>
      </c>
      <c r="E626" s="446">
        <v>175309000</v>
      </c>
      <c r="F626" s="447" t="s">
        <v>1890</v>
      </c>
      <c r="G626" s="448"/>
      <c r="H626" s="448"/>
      <c r="I626" s="448" t="s">
        <v>1856</v>
      </c>
    </row>
    <row r="627" spans="1:9" x14ac:dyDescent="0.3">
      <c r="A627" s="443" t="s">
        <v>3149</v>
      </c>
      <c r="B627" s="445" t="s">
        <v>3100</v>
      </c>
      <c r="C627" s="444" t="s">
        <v>133</v>
      </c>
      <c r="D627" s="444" t="s">
        <v>922</v>
      </c>
      <c r="E627" s="446">
        <v>175310000</v>
      </c>
      <c r="F627" s="447" t="s">
        <v>1890</v>
      </c>
      <c r="G627" s="448"/>
      <c r="H627" s="448"/>
      <c r="I627" s="448" t="s">
        <v>1923</v>
      </c>
    </row>
    <row r="628" spans="1:9" x14ac:dyDescent="0.3">
      <c r="A628" s="443" t="s">
        <v>3150</v>
      </c>
      <c r="B628" s="445" t="s">
        <v>3100</v>
      </c>
      <c r="C628" s="444" t="s">
        <v>133</v>
      </c>
      <c r="D628" s="444" t="s">
        <v>974</v>
      </c>
      <c r="E628" s="446">
        <v>175311000</v>
      </c>
      <c r="F628" s="447" t="s">
        <v>1890</v>
      </c>
      <c r="G628" s="448"/>
      <c r="H628" s="448"/>
      <c r="I628" s="448" t="s">
        <v>1927</v>
      </c>
    </row>
    <row r="629" spans="1:9" x14ac:dyDescent="0.3">
      <c r="A629" s="443" t="s">
        <v>3151</v>
      </c>
      <c r="B629" s="445" t="s">
        <v>3100</v>
      </c>
      <c r="C629" s="444" t="s">
        <v>133</v>
      </c>
      <c r="D629" s="444" t="s">
        <v>3152</v>
      </c>
      <c r="E629" s="446">
        <v>175312000</v>
      </c>
      <c r="F629" s="447" t="s">
        <v>1890</v>
      </c>
      <c r="G629" s="448" t="s">
        <v>3153</v>
      </c>
      <c r="H629" s="448"/>
      <c r="I629" s="448" t="s">
        <v>1856</v>
      </c>
    </row>
    <row r="630" spans="1:9" x14ac:dyDescent="0.3">
      <c r="A630" s="443" t="s">
        <v>3154</v>
      </c>
      <c r="B630" s="445" t="s">
        <v>3100</v>
      </c>
      <c r="C630" s="444" t="s">
        <v>133</v>
      </c>
      <c r="D630" s="444" t="s">
        <v>1103</v>
      </c>
      <c r="E630" s="446">
        <v>175313000</v>
      </c>
      <c r="F630" s="447" t="s">
        <v>1890</v>
      </c>
      <c r="G630" s="448"/>
      <c r="H630" s="448"/>
      <c r="I630" s="448" t="s">
        <v>1893</v>
      </c>
    </row>
    <row r="631" spans="1:9" x14ac:dyDescent="0.3">
      <c r="A631" s="443" t="s">
        <v>3155</v>
      </c>
      <c r="B631" s="445" t="s">
        <v>3100</v>
      </c>
      <c r="C631" s="444" t="s">
        <v>133</v>
      </c>
      <c r="D631" s="444" t="s">
        <v>479</v>
      </c>
      <c r="E631" s="446">
        <v>175314000</v>
      </c>
      <c r="F631" s="447" t="s">
        <v>1890</v>
      </c>
      <c r="G631" s="448"/>
      <c r="H631" s="448"/>
      <c r="I631" s="448" t="s">
        <v>1893</v>
      </c>
    </row>
    <row r="632" spans="1:9" x14ac:dyDescent="0.3">
      <c r="A632" s="443" t="s">
        <v>3156</v>
      </c>
      <c r="B632" s="445" t="s">
        <v>3100</v>
      </c>
      <c r="C632" s="444" t="s">
        <v>133</v>
      </c>
      <c r="D632" s="444" t="s">
        <v>1172</v>
      </c>
      <c r="E632" s="446">
        <v>175315000</v>
      </c>
      <c r="F632" s="447" t="s">
        <v>1890</v>
      </c>
      <c r="G632" s="448"/>
      <c r="H632" s="448"/>
      <c r="I632" s="448" t="s">
        <v>1856</v>
      </c>
    </row>
    <row r="633" spans="1:9" x14ac:dyDescent="0.3">
      <c r="A633" s="443" t="s">
        <v>3157</v>
      </c>
      <c r="B633" s="445" t="s">
        <v>3100</v>
      </c>
      <c r="C633" s="444" t="s">
        <v>133</v>
      </c>
      <c r="D633" s="444" t="s">
        <v>132</v>
      </c>
      <c r="E633" s="446">
        <v>175317000</v>
      </c>
      <c r="F633" s="447" t="s">
        <v>1890</v>
      </c>
      <c r="G633" s="448"/>
      <c r="H633" s="448"/>
      <c r="I633" s="448" t="s">
        <v>1856</v>
      </c>
    </row>
    <row r="634" spans="1:9" x14ac:dyDescent="0.3">
      <c r="A634" s="443" t="s">
        <v>3158</v>
      </c>
      <c r="B634" s="445" t="s">
        <v>3100</v>
      </c>
      <c r="C634" s="444" t="s">
        <v>133</v>
      </c>
      <c r="D634" s="444" t="s">
        <v>921</v>
      </c>
      <c r="E634" s="446">
        <v>175318000</v>
      </c>
      <c r="F634" s="447" t="s">
        <v>1890</v>
      </c>
      <c r="G634" s="448"/>
      <c r="H634" s="448"/>
      <c r="I634" s="448" t="s">
        <v>1856</v>
      </c>
    </row>
    <row r="635" spans="1:9" x14ac:dyDescent="0.3">
      <c r="A635" s="443" t="s">
        <v>3159</v>
      </c>
      <c r="B635" s="445" t="s">
        <v>3100</v>
      </c>
      <c r="C635" s="444" t="s">
        <v>133</v>
      </c>
      <c r="D635" s="444" t="s">
        <v>2089</v>
      </c>
      <c r="E635" s="446">
        <v>175319000</v>
      </c>
      <c r="F635" s="447" t="s">
        <v>1890</v>
      </c>
      <c r="G635" s="448"/>
      <c r="H635" s="448"/>
      <c r="I635" s="448" t="s">
        <v>1856</v>
      </c>
    </row>
    <row r="636" spans="1:9" x14ac:dyDescent="0.3">
      <c r="A636" s="443" t="s">
        <v>3160</v>
      </c>
      <c r="B636" s="445" t="s">
        <v>3100</v>
      </c>
      <c r="C636" s="444" t="s">
        <v>133</v>
      </c>
      <c r="D636" s="444" t="s">
        <v>972</v>
      </c>
      <c r="E636" s="446">
        <v>175320000</v>
      </c>
      <c r="F636" s="447" t="s">
        <v>1890</v>
      </c>
      <c r="G636" s="448"/>
      <c r="H636" s="448"/>
      <c r="I636" s="448" t="s">
        <v>1856</v>
      </c>
    </row>
    <row r="637" spans="1:9" x14ac:dyDescent="0.3">
      <c r="A637" s="443" t="s">
        <v>3161</v>
      </c>
      <c r="B637" s="445" t="s">
        <v>3100</v>
      </c>
      <c r="C637" s="444" t="s">
        <v>133</v>
      </c>
      <c r="D637" s="444" t="s">
        <v>919</v>
      </c>
      <c r="E637" s="446">
        <v>175321000</v>
      </c>
      <c r="F637" s="447" t="s">
        <v>1890</v>
      </c>
      <c r="G637" s="448"/>
      <c r="H637" s="448"/>
      <c r="I637" s="448" t="s">
        <v>1893</v>
      </c>
    </row>
    <row r="638" spans="1:9" x14ac:dyDescent="0.3">
      <c r="A638" s="443" t="s">
        <v>3162</v>
      </c>
      <c r="B638" s="445" t="s">
        <v>3100</v>
      </c>
      <c r="C638" s="444" t="s">
        <v>133</v>
      </c>
      <c r="D638" s="444" t="s">
        <v>866</v>
      </c>
      <c r="E638" s="446">
        <v>175322000</v>
      </c>
      <c r="F638" s="447" t="s">
        <v>1890</v>
      </c>
      <c r="G638" s="448"/>
      <c r="H638" s="448"/>
      <c r="I638" s="448" t="s">
        <v>1927</v>
      </c>
    </row>
    <row r="639" spans="1:9" x14ac:dyDescent="0.3">
      <c r="A639" s="443" t="s">
        <v>3163</v>
      </c>
      <c r="B639" s="445" t="s">
        <v>3100</v>
      </c>
      <c r="C639" s="444" t="s">
        <v>133</v>
      </c>
      <c r="D639" s="444" t="s">
        <v>3164</v>
      </c>
      <c r="E639" s="446">
        <v>175323000</v>
      </c>
      <c r="F639" s="447" t="s">
        <v>1890</v>
      </c>
      <c r="G639" s="448" t="s">
        <v>958</v>
      </c>
      <c r="H639" s="448"/>
      <c r="I639" s="448" t="s">
        <v>1856</v>
      </c>
    </row>
    <row r="640" spans="1:9" x14ac:dyDescent="0.3">
      <c r="A640" s="443" t="s">
        <v>3165</v>
      </c>
      <c r="B640" s="445" t="s">
        <v>3100</v>
      </c>
      <c r="C640" s="444" t="s">
        <v>133</v>
      </c>
      <c r="D640" s="444" t="s">
        <v>3166</v>
      </c>
      <c r="E640" s="446">
        <v>175324000</v>
      </c>
      <c r="F640" s="447" t="s">
        <v>1890</v>
      </c>
      <c r="G640" s="448"/>
      <c r="H640" s="448"/>
      <c r="I640" s="448" t="s">
        <v>1874</v>
      </c>
    </row>
    <row r="641" spans="1:9" x14ac:dyDescent="0.3">
      <c r="A641" s="443" t="s">
        <v>3167</v>
      </c>
      <c r="B641" s="445" t="s">
        <v>3100</v>
      </c>
      <c r="C641" s="444" t="s">
        <v>146</v>
      </c>
      <c r="D641" s="444" t="s">
        <v>191</v>
      </c>
      <c r="E641" s="446">
        <v>175901000</v>
      </c>
      <c r="F641" s="447" t="s">
        <v>1890</v>
      </c>
      <c r="G641" s="448"/>
      <c r="H641" s="448"/>
      <c r="I641" s="448" t="s">
        <v>1893</v>
      </c>
    </row>
    <row r="642" spans="1:9" x14ac:dyDescent="0.3">
      <c r="A642" s="443" t="s">
        <v>3168</v>
      </c>
      <c r="B642" s="445" t="s">
        <v>3100</v>
      </c>
      <c r="C642" s="444" t="s">
        <v>146</v>
      </c>
      <c r="D642" s="444" t="s">
        <v>265</v>
      </c>
      <c r="E642" s="446">
        <v>175902000</v>
      </c>
      <c r="F642" s="447" t="s">
        <v>1890</v>
      </c>
      <c r="G642" s="448"/>
      <c r="H642" s="448"/>
      <c r="I642" s="448" t="s">
        <v>1893</v>
      </c>
    </row>
    <row r="643" spans="1:9" x14ac:dyDescent="0.3">
      <c r="A643" s="443" t="s">
        <v>3169</v>
      </c>
      <c r="B643" s="445" t="s">
        <v>3100</v>
      </c>
      <c r="C643" s="444" t="s">
        <v>146</v>
      </c>
      <c r="D643" s="444" t="s">
        <v>337</v>
      </c>
      <c r="E643" s="446">
        <v>175903000</v>
      </c>
      <c r="F643" s="447" t="s">
        <v>1890</v>
      </c>
      <c r="G643" s="448"/>
      <c r="H643" s="448"/>
      <c r="I643" s="448" t="s">
        <v>1923</v>
      </c>
    </row>
    <row r="644" spans="1:9" x14ac:dyDescent="0.3">
      <c r="A644" s="443" t="s">
        <v>3170</v>
      </c>
      <c r="B644" s="445" t="s">
        <v>3100</v>
      </c>
      <c r="C644" s="444" t="s">
        <v>146</v>
      </c>
      <c r="D644" s="444" t="s">
        <v>275</v>
      </c>
      <c r="E644" s="446">
        <v>175904000</v>
      </c>
      <c r="F644" s="447" t="s">
        <v>1890</v>
      </c>
      <c r="G644" s="448"/>
      <c r="H644" s="448"/>
      <c r="I644" s="448" t="s">
        <v>1893</v>
      </c>
    </row>
    <row r="645" spans="1:9" x14ac:dyDescent="0.3">
      <c r="A645" s="443" t="s">
        <v>3171</v>
      </c>
      <c r="B645" s="445" t="s">
        <v>3100</v>
      </c>
      <c r="C645" s="444" t="s">
        <v>146</v>
      </c>
      <c r="D645" s="444" t="s">
        <v>482</v>
      </c>
      <c r="E645" s="446">
        <v>175905000</v>
      </c>
      <c r="F645" s="447" t="s">
        <v>1890</v>
      </c>
      <c r="G645" s="448"/>
      <c r="H645" s="448"/>
      <c r="I645" s="448" t="s">
        <v>1896</v>
      </c>
    </row>
    <row r="646" spans="1:9" x14ac:dyDescent="0.3">
      <c r="A646" s="443" t="s">
        <v>3172</v>
      </c>
      <c r="B646" s="445" t="s">
        <v>3100</v>
      </c>
      <c r="C646" s="444" t="s">
        <v>146</v>
      </c>
      <c r="D646" s="444" t="s">
        <v>554</v>
      </c>
      <c r="E646" s="446">
        <v>175906000</v>
      </c>
      <c r="F646" s="447" t="s">
        <v>1890</v>
      </c>
      <c r="G646" s="448"/>
      <c r="H646" s="448"/>
      <c r="I646" s="448" t="s">
        <v>1893</v>
      </c>
    </row>
    <row r="647" spans="1:9" x14ac:dyDescent="0.3">
      <c r="A647" s="443" t="s">
        <v>3173</v>
      </c>
      <c r="B647" s="445" t="s">
        <v>3100</v>
      </c>
      <c r="C647" s="444" t="s">
        <v>146</v>
      </c>
      <c r="D647" s="444" t="s">
        <v>334</v>
      </c>
      <c r="E647" s="446">
        <v>175907000</v>
      </c>
      <c r="F647" s="447" t="s">
        <v>1890</v>
      </c>
      <c r="G647" s="448"/>
      <c r="H647" s="448"/>
      <c r="I647" s="448" t="s">
        <v>1923</v>
      </c>
    </row>
    <row r="648" spans="1:9" x14ac:dyDescent="0.3">
      <c r="A648" s="443" t="s">
        <v>3174</v>
      </c>
      <c r="B648" s="445" t="s">
        <v>3100</v>
      </c>
      <c r="C648" s="444" t="s">
        <v>146</v>
      </c>
      <c r="D648" s="444" t="s">
        <v>750</v>
      </c>
      <c r="E648" s="446">
        <v>175908000</v>
      </c>
      <c r="F648" s="447" t="s">
        <v>1890</v>
      </c>
      <c r="G648" s="448"/>
      <c r="H648" s="448"/>
      <c r="I648" s="448" t="s">
        <v>1893</v>
      </c>
    </row>
    <row r="649" spans="1:9" x14ac:dyDescent="0.3">
      <c r="A649" s="443" t="s">
        <v>3175</v>
      </c>
      <c r="B649" s="445" t="s">
        <v>3100</v>
      </c>
      <c r="C649" s="444" t="s">
        <v>146</v>
      </c>
      <c r="D649" s="444" t="s">
        <v>811</v>
      </c>
      <c r="E649" s="446">
        <v>175909000</v>
      </c>
      <c r="F649" s="447" t="s">
        <v>1890</v>
      </c>
      <c r="G649" s="448"/>
      <c r="H649" s="448"/>
      <c r="I649" s="448" t="s">
        <v>1874</v>
      </c>
    </row>
    <row r="650" spans="1:9" x14ac:dyDescent="0.3">
      <c r="A650" s="443" t="s">
        <v>3176</v>
      </c>
      <c r="B650" s="445" t="s">
        <v>3100</v>
      </c>
      <c r="C650" s="444" t="s">
        <v>146</v>
      </c>
      <c r="D650" s="444" t="s">
        <v>146</v>
      </c>
      <c r="E650" s="446">
        <v>175910000</v>
      </c>
      <c r="F650" s="447" t="s">
        <v>1890</v>
      </c>
      <c r="G650" s="448"/>
      <c r="H650" s="448"/>
      <c r="I650" s="448" t="s">
        <v>1927</v>
      </c>
    </row>
    <row r="651" spans="1:9" x14ac:dyDescent="0.3">
      <c r="A651" s="443" t="s">
        <v>3177</v>
      </c>
      <c r="B651" s="445" t="s">
        <v>3100</v>
      </c>
      <c r="C651" s="444" t="s">
        <v>146</v>
      </c>
      <c r="D651" s="444" t="s">
        <v>2406</v>
      </c>
      <c r="E651" s="446">
        <v>175911000</v>
      </c>
      <c r="F651" s="447" t="s">
        <v>1890</v>
      </c>
      <c r="G651" s="448"/>
      <c r="H651" s="448"/>
      <c r="I651" s="448" t="s">
        <v>1923</v>
      </c>
    </row>
    <row r="652" spans="1:9" x14ac:dyDescent="0.3">
      <c r="A652" s="443" t="s">
        <v>3178</v>
      </c>
      <c r="B652" s="445" t="s">
        <v>3100</v>
      </c>
      <c r="C652" s="444" t="s">
        <v>146</v>
      </c>
      <c r="D652" s="444" t="s">
        <v>3046</v>
      </c>
      <c r="E652" s="446">
        <v>175912000</v>
      </c>
      <c r="F652" s="447" t="s">
        <v>1890</v>
      </c>
      <c r="G652" s="448"/>
      <c r="H652" s="448"/>
      <c r="I652" s="448" t="s">
        <v>1893</v>
      </c>
    </row>
    <row r="653" spans="1:9" x14ac:dyDescent="0.3">
      <c r="A653" s="443" t="s">
        <v>3179</v>
      </c>
      <c r="B653" s="445" t="s">
        <v>3100</v>
      </c>
      <c r="C653" s="444" t="s">
        <v>146</v>
      </c>
      <c r="D653" s="444" t="s">
        <v>3180</v>
      </c>
      <c r="E653" s="446">
        <v>175913000</v>
      </c>
      <c r="F653" s="447" t="s">
        <v>1890</v>
      </c>
      <c r="G653" s="448"/>
      <c r="H653" s="448"/>
      <c r="I653" s="448" t="s">
        <v>1923</v>
      </c>
    </row>
    <row r="654" spans="1:9" x14ac:dyDescent="0.3">
      <c r="A654" s="443" t="s">
        <v>3181</v>
      </c>
      <c r="B654" s="445" t="s">
        <v>3100</v>
      </c>
      <c r="C654" s="444" t="s">
        <v>146</v>
      </c>
      <c r="D654" s="444" t="s">
        <v>1828</v>
      </c>
      <c r="E654" s="446">
        <v>175914000</v>
      </c>
      <c r="F654" s="447" t="s">
        <v>1890</v>
      </c>
      <c r="G654" s="448"/>
      <c r="H654" s="448"/>
      <c r="I654" s="448" t="s">
        <v>1893</v>
      </c>
    </row>
    <row r="655" spans="1:9" x14ac:dyDescent="0.3">
      <c r="A655" s="443" t="s">
        <v>3182</v>
      </c>
      <c r="B655" s="445" t="s">
        <v>3100</v>
      </c>
      <c r="C655" s="444" t="s">
        <v>146</v>
      </c>
      <c r="D655" s="444" t="s">
        <v>2459</v>
      </c>
      <c r="E655" s="446">
        <v>175915000</v>
      </c>
      <c r="F655" s="447" t="s">
        <v>1890</v>
      </c>
      <c r="G655" s="448"/>
      <c r="H655" s="448"/>
      <c r="I655" s="448" t="s">
        <v>1893</v>
      </c>
    </row>
    <row r="656" spans="1:9" x14ac:dyDescent="0.3">
      <c r="A656" s="443" t="s">
        <v>3183</v>
      </c>
      <c r="B656" s="445" t="s">
        <v>3100</v>
      </c>
      <c r="C656" s="444" t="s">
        <v>146</v>
      </c>
      <c r="D656" s="444" t="s">
        <v>620</v>
      </c>
      <c r="E656" s="446">
        <v>175916000</v>
      </c>
      <c r="F656" s="447" t="s">
        <v>1890</v>
      </c>
      <c r="G656" s="448"/>
      <c r="H656" s="448"/>
      <c r="I656" s="448" t="s">
        <v>1896</v>
      </c>
    </row>
    <row r="657" spans="1:9" x14ac:dyDescent="0.3">
      <c r="A657" s="443" t="s">
        <v>3184</v>
      </c>
      <c r="B657" s="445" t="s">
        <v>3100</v>
      </c>
      <c r="C657" s="444" t="s">
        <v>146</v>
      </c>
      <c r="D657" s="444" t="s">
        <v>2102</v>
      </c>
      <c r="E657" s="446">
        <v>175917000</v>
      </c>
      <c r="F657" s="447" t="s">
        <v>1890</v>
      </c>
      <c r="G657" s="448" t="s">
        <v>431</v>
      </c>
      <c r="H657" s="448"/>
      <c r="I657" s="448" t="s">
        <v>1893</v>
      </c>
    </row>
    <row r="658" spans="1:9" x14ac:dyDescent="0.3">
      <c r="A658" s="443">
        <v>1731500000</v>
      </c>
      <c r="B658" s="445" t="s">
        <v>3100</v>
      </c>
      <c r="C658" s="445" t="s">
        <v>133</v>
      </c>
      <c r="D658" s="444" t="s">
        <v>3185</v>
      </c>
      <c r="E658" s="446">
        <v>175316000</v>
      </c>
      <c r="F658" s="447" t="s">
        <v>1854</v>
      </c>
      <c r="G658" s="448"/>
      <c r="H658" s="448" t="s">
        <v>1855</v>
      </c>
      <c r="I658" s="448" t="s">
        <v>1856</v>
      </c>
    </row>
    <row r="659" spans="1:9" ht="27" x14ac:dyDescent="0.3">
      <c r="A659" s="443" t="s">
        <v>3186</v>
      </c>
      <c r="B659" s="445" t="s">
        <v>3187</v>
      </c>
      <c r="C659" s="444" t="s">
        <v>84</v>
      </c>
      <c r="D659" s="444" t="s">
        <v>192</v>
      </c>
      <c r="E659" s="446" t="s">
        <v>3188</v>
      </c>
      <c r="F659" s="447" t="s">
        <v>1890</v>
      </c>
      <c r="G659" s="448"/>
      <c r="H659" s="448"/>
      <c r="I659" s="448" t="s">
        <v>1874</v>
      </c>
    </row>
    <row r="660" spans="1:9" ht="27" x14ac:dyDescent="0.3">
      <c r="A660" s="443" t="s">
        <v>3189</v>
      </c>
      <c r="B660" s="445" t="s">
        <v>3187</v>
      </c>
      <c r="C660" s="444" t="s">
        <v>84</v>
      </c>
      <c r="D660" s="444" t="s">
        <v>266</v>
      </c>
      <c r="E660" s="446" t="s">
        <v>3190</v>
      </c>
      <c r="F660" s="447" t="s">
        <v>1890</v>
      </c>
      <c r="G660" s="448"/>
      <c r="H660" s="448"/>
      <c r="I660" s="448" t="s">
        <v>1856</v>
      </c>
    </row>
    <row r="661" spans="1:9" ht="27" x14ac:dyDescent="0.3">
      <c r="A661" s="443" t="s">
        <v>3191</v>
      </c>
      <c r="B661" s="445" t="s">
        <v>3187</v>
      </c>
      <c r="C661" s="444" t="s">
        <v>84</v>
      </c>
      <c r="D661" s="444" t="s">
        <v>555</v>
      </c>
      <c r="E661" s="446" t="s">
        <v>3192</v>
      </c>
      <c r="F661" s="447" t="s">
        <v>1890</v>
      </c>
      <c r="G661" s="448" t="s">
        <v>3193</v>
      </c>
      <c r="H661" s="448"/>
      <c r="I661" s="448" t="s">
        <v>1856</v>
      </c>
    </row>
    <row r="662" spans="1:9" ht="27" x14ac:dyDescent="0.3">
      <c r="A662" s="443" t="s">
        <v>3194</v>
      </c>
      <c r="B662" s="445" t="s">
        <v>3187</v>
      </c>
      <c r="C662" s="444" t="s">
        <v>84</v>
      </c>
      <c r="D662" s="444" t="s">
        <v>621</v>
      </c>
      <c r="E662" s="446" t="s">
        <v>3195</v>
      </c>
      <c r="F662" s="447" t="s">
        <v>1890</v>
      </c>
      <c r="G662" s="448"/>
      <c r="H662" s="448"/>
      <c r="I662" s="448" t="s">
        <v>1856</v>
      </c>
    </row>
    <row r="663" spans="1:9" ht="27" x14ac:dyDescent="0.3">
      <c r="A663" s="443" t="s">
        <v>3196</v>
      </c>
      <c r="B663" s="445" t="s">
        <v>3187</v>
      </c>
      <c r="C663" s="444" t="s">
        <v>84</v>
      </c>
      <c r="D663" s="444" t="s">
        <v>686</v>
      </c>
      <c r="E663" s="446" t="s">
        <v>3197</v>
      </c>
      <c r="F663" s="447" t="s">
        <v>1890</v>
      </c>
      <c r="G663" s="448"/>
      <c r="H663" s="448"/>
      <c r="I663" s="448" t="s">
        <v>1923</v>
      </c>
    </row>
    <row r="664" spans="1:9" ht="27" x14ac:dyDescent="0.3">
      <c r="A664" s="443" t="s">
        <v>3198</v>
      </c>
      <c r="B664" s="445" t="s">
        <v>3187</v>
      </c>
      <c r="C664" s="444" t="s">
        <v>84</v>
      </c>
      <c r="D664" s="444" t="s">
        <v>3199</v>
      </c>
      <c r="E664" s="446" t="s">
        <v>3200</v>
      </c>
      <c r="F664" s="447" t="s">
        <v>1854</v>
      </c>
      <c r="G664" s="448"/>
      <c r="H664" s="448" t="s">
        <v>1961</v>
      </c>
      <c r="I664" s="448" t="s">
        <v>1874</v>
      </c>
    </row>
    <row r="665" spans="1:9" ht="27" x14ac:dyDescent="0.3">
      <c r="A665" s="443" t="s">
        <v>3201</v>
      </c>
      <c r="B665" s="445" t="s">
        <v>3187</v>
      </c>
      <c r="C665" s="444" t="s">
        <v>84</v>
      </c>
      <c r="D665" s="444" t="s">
        <v>751</v>
      </c>
      <c r="E665" s="446" t="s">
        <v>3202</v>
      </c>
      <c r="F665" s="447" t="s">
        <v>1890</v>
      </c>
      <c r="G665" s="448"/>
      <c r="H665" s="448"/>
      <c r="I665" s="448" t="s">
        <v>1856</v>
      </c>
    </row>
    <row r="666" spans="1:9" ht="27" x14ac:dyDescent="0.3">
      <c r="A666" s="443" t="s">
        <v>3203</v>
      </c>
      <c r="B666" s="445" t="s">
        <v>3187</v>
      </c>
      <c r="C666" s="444" t="s">
        <v>84</v>
      </c>
      <c r="D666" s="444" t="s">
        <v>3204</v>
      </c>
      <c r="E666" s="446" t="s">
        <v>3205</v>
      </c>
      <c r="F666" s="447" t="s">
        <v>1854</v>
      </c>
      <c r="G666" s="448"/>
      <c r="H666" s="448" t="s">
        <v>1961</v>
      </c>
      <c r="I666" s="448" t="s">
        <v>1923</v>
      </c>
    </row>
    <row r="667" spans="1:9" ht="27" x14ac:dyDescent="0.3">
      <c r="A667" s="443" t="s">
        <v>3206</v>
      </c>
      <c r="B667" s="445" t="s">
        <v>3187</v>
      </c>
      <c r="C667" s="444" t="s">
        <v>84</v>
      </c>
      <c r="D667" s="444" t="s">
        <v>812</v>
      </c>
      <c r="E667" s="446" t="s">
        <v>3207</v>
      </c>
      <c r="F667" s="447" t="s">
        <v>1890</v>
      </c>
      <c r="G667" s="448"/>
      <c r="H667" s="448"/>
      <c r="I667" s="448" t="s">
        <v>1923</v>
      </c>
    </row>
    <row r="668" spans="1:9" ht="27" x14ac:dyDescent="0.3">
      <c r="A668" s="443" t="s">
        <v>3208</v>
      </c>
      <c r="B668" s="445" t="s">
        <v>3187</v>
      </c>
      <c r="C668" s="444" t="s">
        <v>84</v>
      </c>
      <c r="D668" s="444" t="s">
        <v>867</v>
      </c>
      <c r="E668" s="446" t="s">
        <v>3209</v>
      </c>
      <c r="F668" s="447" t="s">
        <v>1890</v>
      </c>
      <c r="G668" s="448"/>
      <c r="H668" s="448"/>
      <c r="I668" s="448" t="s">
        <v>1927</v>
      </c>
    </row>
    <row r="669" spans="1:9" ht="27" x14ac:dyDescent="0.3">
      <c r="A669" s="443" t="s">
        <v>3210</v>
      </c>
      <c r="B669" s="445" t="s">
        <v>3187</v>
      </c>
      <c r="C669" s="444" t="s">
        <v>84</v>
      </c>
      <c r="D669" s="444" t="s">
        <v>924</v>
      </c>
      <c r="E669" s="446" t="s">
        <v>3211</v>
      </c>
      <c r="F669" s="447" t="s">
        <v>1890</v>
      </c>
      <c r="G669" s="448"/>
      <c r="H669" s="448"/>
      <c r="I669" s="448" t="s">
        <v>1923</v>
      </c>
    </row>
    <row r="670" spans="1:9" ht="27" x14ac:dyDescent="0.3">
      <c r="A670" s="443" t="s">
        <v>3212</v>
      </c>
      <c r="B670" s="445" t="s">
        <v>3187</v>
      </c>
      <c r="C670" s="444" t="s">
        <v>84</v>
      </c>
      <c r="D670" s="444" t="s">
        <v>975</v>
      </c>
      <c r="E670" s="446" t="s">
        <v>3213</v>
      </c>
      <c r="F670" s="447" t="s">
        <v>1890</v>
      </c>
      <c r="G670" s="448"/>
      <c r="H670" s="448"/>
      <c r="I670" s="448" t="s">
        <v>1856</v>
      </c>
    </row>
    <row r="671" spans="1:9" ht="27" x14ac:dyDescent="0.3">
      <c r="A671" s="443" t="s">
        <v>3214</v>
      </c>
      <c r="B671" s="445" t="s">
        <v>3187</v>
      </c>
      <c r="C671" s="444" t="s">
        <v>84</v>
      </c>
      <c r="D671" s="444" t="s">
        <v>3215</v>
      </c>
      <c r="E671" s="446" t="s">
        <v>3216</v>
      </c>
      <c r="F671" s="447" t="s">
        <v>1890</v>
      </c>
      <c r="G671" s="448"/>
      <c r="H671" s="448"/>
      <c r="I671" s="448" t="s">
        <v>1927</v>
      </c>
    </row>
    <row r="672" spans="1:9" ht="27" x14ac:dyDescent="0.3">
      <c r="A672" s="443" t="s">
        <v>3217</v>
      </c>
      <c r="B672" s="445" t="s">
        <v>3187</v>
      </c>
      <c r="C672" s="444" t="s">
        <v>84</v>
      </c>
      <c r="D672" s="444" t="s">
        <v>1065</v>
      </c>
      <c r="E672" s="446" t="s">
        <v>3218</v>
      </c>
      <c r="F672" s="447" t="s">
        <v>1890</v>
      </c>
      <c r="G672" s="448"/>
      <c r="H672" s="448"/>
      <c r="I672" s="448" t="s">
        <v>1856</v>
      </c>
    </row>
    <row r="673" spans="1:9" ht="27" x14ac:dyDescent="0.3">
      <c r="A673" s="443" t="s">
        <v>3219</v>
      </c>
      <c r="B673" s="445" t="s">
        <v>3187</v>
      </c>
      <c r="C673" s="444" t="s">
        <v>84</v>
      </c>
      <c r="D673" s="444" t="s">
        <v>1104</v>
      </c>
      <c r="E673" s="446" t="s">
        <v>3220</v>
      </c>
      <c r="F673" s="447" t="s">
        <v>1890</v>
      </c>
      <c r="G673" s="448"/>
      <c r="H673" s="448"/>
      <c r="I673" s="448" t="s">
        <v>1927</v>
      </c>
    </row>
    <row r="674" spans="1:9" ht="27" x14ac:dyDescent="0.3">
      <c r="A674" s="443" t="s">
        <v>3221</v>
      </c>
      <c r="B674" s="445" t="s">
        <v>3187</v>
      </c>
      <c r="C674" s="444" t="s">
        <v>84</v>
      </c>
      <c r="D674" s="444" t="s">
        <v>2107</v>
      </c>
      <c r="E674" s="446" t="s">
        <v>3222</v>
      </c>
      <c r="F674" s="447" t="s">
        <v>1890</v>
      </c>
      <c r="G674" s="448" t="s">
        <v>3223</v>
      </c>
      <c r="H674" s="448"/>
      <c r="I674" s="448" t="s">
        <v>1923</v>
      </c>
    </row>
    <row r="675" spans="1:9" ht="27" x14ac:dyDescent="0.3">
      <c r="A675" s="443" t="s">
        <v>3224</v>
      </c>
      <c r="B675" s="445" t="s">
        <v>3187</v>
      </c>
      <c r="C675" s="444" t="s">
        <v>84</v>
      </c>
      <c r="D675" s="444" t="s">
        <v>3225</v>
      </c>
      <c r="E675" s="446" t="s">
        <v>3226</v>
      </c>
      <c r="F675" s="447" t="s">
        <v>1854</v>
      </c>
      <c r="G675" s="448"/>
      <c r="H675" s="448" t="s">
        <v>1961</v>
      </c>
      <c r="I675" s="448" t="s">
        <v>1923</v>
      </c>
    </row>
    <row r="676" spans="1:9" ht="27" x14ac:dyDescent="0.3">
      <c r="A676" s="443" t="s">
        <v>3227</v>
      </c>
      <c r="B676" s="445" t="s">
        <v>3187</v>
      </c>
      <c r="C676" s="444" t="s">
        <v>84</v>
      </c>
      <c r="D676" s="444" t="s">
        <v>1173</v>
      </c>
      <c r="E676" s="446" t="s">
        <v>3228</v>
      </c>
      <c r="F676" s="447" t="s">
        <v>1890</v>
      </c>
      <c r="G676" s="448"/>
      <c r="H676" s="448"/>
      <c r="I676" s="448" t="s">
        <v>1856</v>
      </c>
    </row>
    <row r="677" spans="1:9" ht="27" x14ac:dyDescent="0.3">
      <c r="A677" s="443" t="s">
        <v>3229</v>
      </c>
      <c r="B677" s="445" t="s">
        <v>3187</v>
      </c>
      <c r="C677" s="444" t="s">
        <v>3230</v>
      </c>
      <c r="D677" s="444" t="s">
        <v>193</v>
      </c>
      <c r="E677" s="446" t="s">
        <v>3231</v>
      </c>
      <c r="F677" s="447" t="s">
        <v>1890</v>
      </c>
      <c r="G677" s="448"/>
      <c r="H677" s="448"/>
      <c r="I677" s="448" t="s">
        <v>1927</v>
      </c>
    </row>
    <row r="678" spans="1:9" ht="27" x14ac:dyDescent="0.3">
      <c r="A678" s="443" t="s">
        <v>3232</v>
      </c>
      <c r="B678" s="445" t="s">
        <v>3187</v>
      </c>
      <c r="C678" s="444" t="s">
        <v>3230</v>
      </c>
      <c r="D678" s="444" t="s">
        <v>267</v>
      </c>
      <c r="E678" s="446" t="s">
        <v>3233</v>
      </c>
      <c r="F678" s="447" t="s">
        <v>1890</v>
      </c>
      <c r="G678" s="448"/>
      <c r="H678" s="448"/>
      <c r="I678" s="448" t="s">
        <v>1927</v>
      </c>
    </row>
    <row r="679" spans="1:9" ht="27" x14ac:dyDescent="0.3">
      <c r="A679" s="443" t="s">
        <v>3234</v>
      </c>
      <c r="B679" s="445" t="s">
        <v>3187</v>
      </c>
      <c r="C679" s="444" t="s">
        <v>3230</v>
      </c>
      <c r="D679" s="444" t="s">
        <v>339</v>
      </c>
      <c r="E679" s="446" t="s">
        <v>3235</v>
      </c>
      <c r="F679" s="447" t="s">
        <v>1890</v>
      </c>
      <c r="G679" s="448"/>
      <c r="H679" s="448"/>
      <c r="I679" s="448" t="s">
        <v>1856</v>
      </c>
    </row>
    <row r="680" spans="1:9" ht="27" x14ac:dyDescent="0.3">
      <c r="A680" s="443" t="s">
        <v>3236</v>
      </c>
      <c r="B680" s="445" t="s">
        <v>3187</v>
      </c>
      <c r="C680" s="444" t="s">
        <v>3230</v>
      </c>
      <c r="D680" s="444" t="s">
        <v>3237</v>
      </c>
      <c r="E680" s="446" t="s">
        <v>3238</v>
      </c>
      <c r="F680" s="447" t="s">
        <v>1890</v>
      </c>
      <c r="G680" s="448" t="s">
        <v>431</v>
      </c>
      <c r="H680" s="448"/>
      <c r="I680" s="448" t="s">
        <v>1893</v>
      </c>
    </row>
    <row r="681" spans="1:9" ht="27" x14ac:dyDescent="0.3">
      <c r="A681" s="443" t="s">
        <v>3239</v>
      </c>
      <c r="B681" s="445" t="s">
        <v>3187</v>
      </c>
      <c r="C681" s="444" t="s">
        <v>3230</v>
      </c>
      <c r="D681" s="444" t="s">
        <v>3240</v>
      </c>
      <c r="E681" s="446" t="s">
        <v>3241</v>
      </c>
      <c r="F681" s="447" t="s">
        <v>1890</v>
      </c>
      <c r="G681" s="448"/>
      <c r="H681" s="448"/>
      <c r="I681" s="448" t="s">
        <v>1874</v>
      </c>
    </row>
    <row r="682" spans="1:9" ht="27" x14ac:dyDescent="0.3">
      <c r="A682" s="443" t="s">
        <v>3242</v>
      </c>
      <c r="B682" s="445" t="s">
        <v>3187</v>
      </c>
      <c r="C682" s="444" t="s">
        <v>3230</v>
      </c>
      <c r="D682" s="444" t="s">
        <v>484</v>
      </c>
      <c r="E682" s="446" t="s">
        <v>3243</v>
      </c>
      <c r="F682" s="447" t="s">
        <v>1890</v>
      </c>
      <c r="G682" s="448"/>
      <c r="H682" s="448"/>
      <c r="I682" s="448" t="s">
        <v>1856</v>
      </c>
    </row>
    <row r="683" spans="1:9" ht="27" x14ac:dyDescent="0.3">
      <c r="A683" s="443" t="s">
        <v>3244</v>
      </c>
      <c r="B683" s="445" t="s">
        <v>3187</v>
      </c>
      <c r="C683" s="444" t="s">
        <v>3230</v>
      </c>
      <c r="D683" s="444" t="s">
        <v>556</v>
      </c>
      <c r="E683" s="446" t="s">
        <v>3245</v>
      </c>
      <c r="F683" s="447" t="s">
        <v>1890</v>
      </c>
      <c r="G683" s="448"/>
      <c r="H683" s="448"/>
      <c r="I683" s="448" t="s">
        <v>1874</v>
      </c>
    </row>
    <row r="684" spans="1:9" ht="27" x14ac:dyDescent="0.3">
      <c r="A684" s="443" t="s">
        <v>3246</v>
      </c>
      <c r="B684" s="445" t="s">
        <v>3187</v>
      </c>
      <c r="C684" s="444" t="s">
        <v>3230</v>
      </c>
      <c r="D684" s="444" t="s">
        <v>622</v>
      </c>
      <c r="E684" s="446" t="s">
        <v>3247</v>
      </c>
      <c r="F684" s="447" t="s">
        <v>1890</v>
      </c>
      <c r="G684" s="448"/>
      <c r="H684" s="448"/>
      <c r="I684" s="448" t="s">
        <v>1927</v>
      </c>
    </row>
    <row r="685" spans="1:9" ht="27" x14ac:dyDescent="0.3">
      <c r="A685" s="443" t="s">
        <v>3248</v>
      </c>
      <c r="B685" s="445" t="s">
        <v>3187</v>
      </c>
      <c r="C685" s="444" t="s">
        <v>3230</v>
      </c>
      <c r="D685" s="444" t="s">
        <v>2089</v>
      </c>
      <c r="E685" s="446" t="s">
        <v>3249</v>
      </c>
      <c r="F685" s="447" t="s">
        <v>1890</v>
      </c>
      <c r="G685" s="448"/>
      <c r="H685" s="448"/>
      <c r="I685" s="448" t="s">
        <v>1893</v>
      </c>
    </row>
    <row r="686" spans="1:9" ht="27" x14ac:dyDescent="0.3">
      <c r="A686" s="443" t="s">
        <v>3250</v>
      </c>
      <c r="B686" s="445" t="s">
        <v>3187</v>
      </c>
      <c r="C686" s="444" t="s">
        <v>3230</v>
      </c>
      <c r="D686" s="444" t="s">
        <v>3251</v>
      </c>
      <c r="E686" s="446" t="s">
        <v>3252</v>
      </c>
      <c r="F686" s="447" t="s">
        <v>1890</v>
      </c>
      <c r="G686" s="448"/>
      <c r="H686" s="448"/>
      <c r="I686" s="448" t="s">
        <v>1927</v>
      </c>
    </row>
    <row r="687" spans="1:9" ht="27" x14ac:dyDescent="0.3">
      <c r="A687" s="443" t="s">
        <v>3253</v>
      </c>
      <c r="B687" s="445" t="s">
        <v>3187</v>
      </c>
      <c r="C687" s="444" t="s">
        <v>3230</v>
      </c>
      <c r="D687" s="444" t="s">
        <v>868</v>
      </c>
      <c r="E687" s="446" t="s">
        <v>3254</v>
      </c>
      <c r="F687" s="447" t="s">
        <v>1890</v>
      </c>
      <c r="G687" s="448"/>
      <c r="H687" s="448"/>
      <c r="I687" s="448" t="s">
        <v>1923</v>
      </c>
    </row>
    <row r="688" spans="1:9" ht="27" x14ac:dyDescent="0.3">
      <c r="A688" s="443" t="s">
        <v>3255</v>
      </c>
      <c r="B688" s="445" t="s">
        <v>3187</v>
      </c>
      <c r="C688" s="444" t="s">
        <v>3230</v>
      </c>
      <c r="D688" s="444" t="s">
        <v>925</v>
      </c>
      <c r="E688" s="446" t="s">
        <v>3256</v>
      </c>
      <c r="F688" s="447" t="s">
        <v>1890</v>
      </c>
      <c r="G688" s="448"/>
      <c r="H688" s="448"/>
      <c r="I688" s="448" t="s">
        <v>1927</v>
      </c>
    </row>
    <row r="689" spans="1:9" ht="27" x14ac:dyDescent="0.3">
      <c r="A689" s="443" t="s">
        <v>3257</v>
      </c>
      <c r="B689" s="445" t="s">
        <v>3187</v>
      </c>
      <c r="C689" s="444" t="s">
        <v>3258</v>
      </c>
      <c r="D689" s="444" t="s">
        <v>194</v>
      </c>
      <c r="E689" s="446" t="s">
        <v>3259</v>
      </c>
      <c r="F689" s="447" t="s">
        <v>1890</v>
      </c>
      <c r="G689" s="448"/>
      <c r="H689" s="448"/>
      <c r="I689" s="448" t="s">
        <v>1927</v>
      </c>
    </row>
    <row r="690" spans="1:9" ht="27" x14ac:dyDescent="0.3">
      <c r="A690" s="443" t="s">
        <v>3260</v>
      </c>
      <c r="B690" s="445" t="s">
        <v>3187</v>
      </c>
      <c r="C690" s="444" t="s">
        <v>3258</v>
      </c>
      <c r="D690" s="444" t="s">
        <v>268</v>
      </c>
      <c r="E690" s="446" t="s">
        <v>3261</v>
      </c>
      <c r="F690" s="447" t="s">
        <v>1890</v>
      </c>
      <c r="G690" s="448"/>
      <c r="H690" s="448"/>
      <c r="I690" s="448" t="s">
        <v>1923</v>
      </c>
    </row>
    <row r="691" spans="1:9" ht="27" x14ac:dyDescent="0.3">
      <c r="A691" s="443" t="s">
        <v>3262</v>
      </c>
      <c r="B691" s="445" t="s">
        <v>3187</v>
      </c>
      <c r="C691" s="444" t="s">
        <v>3258</v>
      </c>
      <c r="D691" s="444" t="s">
        <v>340</v>
      </c>
      <c r="E691" s="446" t="s">
        <v>3263</v>
      </c>
      <c r="F691" s="447" t="s">
        <v>1890</v>
      </c>
      <c r="G691" s="448"/>
      <c r="H691" s="448"/>
      <c r="I691" s="448" t="s">
        <v>1927</v>
      </c>
    </row>
    <row r="692" spans="1:9" ht="27" x14ac:dyDescent="0.3">
      <c r="A692" s="443" t="s">
        <v>3264</v>
      </c>
      <c r="B692" s="445" t="s">
        <v>3187</v>
      </c>
      <c r="C692" s="444" t="s">
        <v>3258</v>
      </c>
      <c r="D692" s="444" t="s">
        <v>410</v>
      </c>
      <c r="E692" s="446" t="s">
        <v>3265</v>
      </c>
      <c r="F692" s="447" t="s">
        <v>1890</v>
      </c>
      <c r="G692" s="448"/>
      <c r="H692" s="448"/>
      <c r="I692" s="448" t="s">
        <v>1893</v>
      </c>
    </row>
    <row r="693" spans="1:9" ht="27" x14ac:dyDescent="0.3">
      <c r="A693" s="443" t="s">
        <v>3266</v>
      </c>
      <c r="B693" s="445" t="s">
        <v>3187</v>
      </c>
      <c r="C693" s="444" t="s">
        <v>3258</v>
      </c>
      <c r="D693" s="444" t="s">
        <v>485</v>
      </c>
      <c r="E693" s="446" t="s">
        <v>3267</v>
      </c>
      <c r="F693" s="447" t="s">
        <v>1890</v>
      </c>
      <c r="G693" s="448"/>
      <c r="H693" s="448"/>
      <c r="I693" s="448" t="s">
        <v>1856</v>
      </c>
    </row>
    <row r="694" spans="1:9" ht="27" x14ac:dyDescent="0.3">
      <c r="A694" s="443" t="s">
        <v>3268</v>
      </c>
      <c r="B694" s="445" t="s">
        <v>3187</v>
      </c>
      <c r="C694" s="444" t="s">
        <v>3258</v>
      </c>
      <c r="D694" s="444" t="s">
        <v>557</v>
      </c>
      <c r="E694" s="446" t="s">
        <v>3269</v>
      </c>
      <c r="F694" s="447" t="s">
        <v>1890</v>
      </c>
      <c r="G694" s="448"/>
      <c r="H694" s="448"/>
      <c r="I694" s="448" t="s">
        <v>1874</v>
      </c>
    </row>
    <row r="695" spans="1:9" ht="27" x14ac:dyDescent="0.3">
      <c r="A695" s="443" t="s">
        <v>3270</v>
      </c>
      <c r="B695" s="445" t="s">
        <v>3187</v>
      </c>
      <c r="C695" s="444" t="s">
        <v>3258</v>
      </c>
      <c r="D695" s="444" t="s">
        <v>623</v>
      </c>
      <c r="E695" s="446" t="s">
        <v>3271</v>
      </c>
      <c r="F695" s="447" t="s">
        <v>1890</v>
      </c>
      <c r="G695" s="448"/>
      <c r="H695" s="448"/>
      <c r="I695" s="448" t="s">
        <v>1893</v>
      </c>
    </row>
    <row r="696" spans="1:9" ht="27" x14ac:dyDescent="0.3">
      <c r="A696" s="443" t="s">
        <v>3272</v>
      </c>
      <c r="B696" s="445" t="s">
        <v>3187</v>
      </c>
      <c r="C696" s="444" t="s">
        <v>3258</v>
      </c>
      <c r="D696" s="444" t="s">
        <v>688</v>
      </c>
      <c r="E696" s="446" t="s">
        <v>3273</v>
      </c>
      <c r="F696" s="447" t="s">
        <v>1890</v>
      </c>
      <c r="G696" s="448"/>
      <c r="H696" s="448"/>
      <c r="I696" s="448" t="s">
        <v>1856</v>
      </c>
    </row>
    <row r="697" spans="1:9" ht="27" x14ac:dyDescent="0.3">
      <c r="A697" s="443" t="s">
        <v>3274</v>
      </c>
      <c r="B697" s="445" t="s">
        <v>3187</v>
      </c>
      <c r="C697" s="444" t="s">
        <v>3258</v>
      </c>
      <c r="D697" s="444" t="s">
        <v>753</v>
      </c>
      <c r="E697" s="446" t="s">
        <v>3275</v>
      </c>
      <c r="F697" s="447" t="s">
        <v>1890</v>
      </c>
      <c r="G697" s="448"/>
      <c r="H697" s="448"/>
      <c r="I697" s="448" t="s">
        <v>1893</v>
      </c>
    </row>
    <row r="698" spans="1:9" ht="27" x14ac:dyDescent="0.3">
      <c r="A698" s="443" t="s">
        <v>3276</v>
      </c>
      <c r="B698" s="445" t="s">
        <v>3187</v>
      </c>
      <c r="C698" s="444" t="s">
        <v>3258</v>
      </c>
      <c r="D698" s="444" t="s">
        <v>814</v>
      </c>
      <c r="E698" s="446" t="s">
        <v>3277</v>
      </c>
      <c r="F698" s="447" t="s">
        <v>1890</v>
      </c>
      <c r="G698" s="448"/>
      <c r="H698" s="448"/>
      <c r="I698" s="448" t="s">
        <v>1923</v>
      </c>
    </row>
    <row r="699" spans="1:9" ht="27" x14ac:dyDescent="0.3">
      <c r="A699" s="443" t="s">
        <v>3278</v>
      </c>
      <c r="B699" s="445" t="s">
        <v>3187</v>
      </c>
      <c r="C699" s="444" t="s">
        <v>3258</v>
      </c>
      <c r="D699" s="444" t="s">
        <v>869</v>
      </c>
      <c r="E699" s="446" t="s">
        <v>3279</v>
      </c>
      <c r="F699" s="447" t="s">
        <v>1890</v>
      </c>
      <c r="G699" s="448"/>
      <c r="H699" s="448"/>
      <c r="I699" s="448" t="s">
        <v>1874</v>
      </c>
    </row>
    <row r="700" spans="1:9" ht="27" x14ac:dyDescent="0.3">
      <c r="A700" s="443" t="s">
        <v>3280</v>
      </c>
      <c r="B700" s="445" t="s">
        <v>3187</v>
      </c>
      <c r="C700" s="444" t="s">
        <v>3258</v>
      </c>
      <c r="D700" s="444" t="s">
        <v>3281</v>
      </c>
      <c r="E700" s="446" t="s">
        <v>3282</v>
      </c>
      <c r="F700" s="447" t="s">
        <v>1890</v>
      </c>
      <c r="G700" s="448"/>
      <c r="H700" s="448"/>
      <c r="I700" s="448" t="s">
        <v>1923</v>
      </c>
    </row>
    <row r="701" spans="1:9" ht="27" x14ac:dyDescent="0.3">
      <c r="A701" s="443" t="s">
        <v>3283</v>
      </c>
      <c r="B701" s="445" t="s">
        <v>3187</v>
      </c>
      <c r="C701" s="444" t="s">
        <v>3258</v>
      </c>
      <c r="D701" s="444" t="s">
        <v>1066</v>
      </c>
      <c r="E701" s="446" t="s">
        <v>3284</v>
      </c>
      <c r="F701" s="447" t="s">
        <v>1890</v>
      </c>
      <c r="G701" s="448"/>
      <c r="H701" s="448"/>
      <c r="I701" s="448" t="s">
        <v>1893</v>
      </c>
    </row>
    <row r="702" spans="1:9" ht="27" x14ac:dyDescent="0.3">
      <c r="A702" s="443" t="s">
        <v>3285</v>
      </c>
      <c r="B702" s="445" t="s">
        <v>3187</v>
      </c>
      <c r="C702" s="444" t="s">
        <v>3258</v>
      </c>
      <c r="D702" s="444" t="s">
        <v>1105</v>
      </c>
      <c r="E702" s="446" t="s">
        <v>3286</v>
      </c>
      <c r="F702" s="447" t="s">
        <v>1890</v>
      </c>
      <c r="G702" s="448"/>
      <c r="H702" s="448"/>
      <c r="I702" s="448" t="s">
        <v>1923</v>
      </c>
    </row>
    <row r="703" spans="1:9" ht="27" x14ac:dyDescent="0.3">
      <c r="A703" s="443" t="s">
        <v>3287</v>
      </c>
      <c r="B703" s="445" t="s">
        <v>3187</v>
      </c>
      <c r="C703" s="444" t="s">
        <v>3258</v>
      </c>
      <c r="D703" s="444" t="s">
        <v>1141</v>
      </c>
      <c r="E703" s="446" t="s">
        <v>3288</v>
      </c>
      <c r="F703" s="447" t="s">
        <v>1890</v>
      </c>
      <c r="G703" s="448"/>
      <c r="H703" s="448"/>
      <c r="I703" s="448" t="s">
        <v>1874</v>
      </c>
    </row>
    <row r="704" spans="1:9" ht="27" x14ac:dyDescent="0.3">
      <c r="A704" s="443" t="s">
        <v>3289</v>
      </c>
      <c r="B704" s="445" t="s">
        <v>3187</v>
      </c>
      <c r="C704" s="444" t="s">
        <v>3258</v>
      </c>
      <c r="D704" s="444" t="s">
        <v>3290</v>
      </c>
      <c r="E704" s="446" t="s">
        <v>3291</v>
      </c>
      <c r="F704" s="447" t="s">
        <v>1854</v>
      </c>
      <c r="G704" s="448"/>
      <c r="H704" s="448" t="s">
        <v>1961</v>
      </c>
      <c r="I704" s="448" t="s">
        <v>1923</v>
      </c>
    </row>
    <row r="705" spans="1:9" ht="27" x14ac:dyDescent="0.3">
      <c r="A705" s="443" t="s">
        <v>3292</v>
      </c>
      <c r="B705" s="445" t="s">
        <v>3187</v>
      </c>
      <c r="C705" s="444" t="s">
        <v>3258</v>
      </c>
      <c r="D705" s="444" t="s">
        <v>1174</v>
      </c>
      <c r="E705" s="446" t="s">
        <v>3293</v>
      </c>
      <c r="F705" s="447" t="s">
        <v>1890</v>
      </c>
      <c r="G705" s="448"/>
      <c r="H705" s="448"/>
      <c r="I705" s="448" t="s">
        <v>1874</v>
      </c>
    </row>
    <row r="706" spans="1:9" ht="27" x14ac:dyDescent="0.3">
      <c r="A706" s="443" t="s">
        <v>3294</v>
      </c>
      <c r="B706" s="445" t="s">
        <v>3187</v>
      </c>
      <c r="C706" s="444" t="s">
        <v>3258</v>
      </c>
      <c r="D706" s="444" t="s">
        <v>1203</v>
      </c>
      <c r="E706" s="446" t="s">
        <v>3295</v>
      </c>
      <c r="F706" s="447" t="s">
        <v>1890</v>
      </c>
      <c r="G706" s="448"/>
      <c r="H706" s="448"/>
      <c r="I706" s="448" t="s">
        <v>1856</v>
      </c>
    </row>
    <row r="707" spans="1:9" ht="27" x14ac:dyDescent="0.3">
      <c r="A707" s="443" t="s">
        <v>3296</v>
      </c>
      <c r="B707" s="445" t="s">
        <v>3187</v>
      </c>
      <c r="C707" s="444" t="s">
        <v>3258</v>
      </c>
      <c r="D707" s="444" t="s">
        <v>1233</v>
      </c>
      <c r="E707" s="446" t="s">
        <v>3297</v>
      </c>
      <c r="F707" s="447" t="s">
        <v>1890</v>
      </c>
      <c r="G707" s="448"/>
      <c r="H707" s="448"/>
      <c r="I707" s="448" t="s">
        <v>1927</v>
      </c>
    </row>
    <row r="708" spans="1:9" ht="27" x14ac:dyDescent="0.3">
      <c r="A708" s="443" t="s">
        <v>3298</v>
      </c>
      <c r="B708" s="445" t="s">
        <v>3187</v>
      </c>
      <c r="C708" s="444" t="s">
        <v>3258</v>
      </c>
      <c r="D708" s="444" t="s">
        <v>1253</v>
      </c>
      <c r="E708" s="446" t="s">
        <v>3299</v>
      </c>
      <c r="F708" s="447" t="s">
        <v>1890</v>
      </c>
      <c r="G708" s="448"/>
      <c r="H708" s="448"/>
      <c r="I708" s="448" t="s">
        <v>1923</v>
      </c>
    </row>
    <row r="709" spans="1:9" ht="27" x14ac:dyDescent="0.3">
      <c r="A709" s="443" t="s">
        <v>3300</v>
      </c>
      <c r="B709" s="445" t="s">
        <v>3187</v>
      </c>
      <c r="C709" s="444" t="s">
        <v>3258</v>
      </c>
      <c r="D709" s="444" t="s">
        <v>1275</v>
      </c>
      <c r="E709" s="446" t="s">
        <v>3301</v>
      </c>
      <c r="F709" s="447" t="s">
        <v>1890</v>
      </c>
      <c r="G709" s="448"/>
      <c r="H709" s="448"/>
      <c r="I709" s="448" t="s">
        <v>1923</v>
      </c>
    </row>
    <row r="710" spans="1:9" ht="27" x14ac:dyDescent="0.3">
      <c r="A710" s="443" t="s">
        <v>3302</v>
      </c>
      <c r="B710" s="445" t="s">
        <v>3187</v>
      </c>
      <c r="C710" s="444" t="s">
        <v>3258</v>
      </c>
      <c r="D710" s="444" t="s">
        <v>1296</v>
      </c>
      <c r="E710" s="446" t="s">
        <v>3303</v>
      </c>
      <c r="F710" s="447" t="s">
        <v>1890</v>
      </c>
      <c r="G710" s="448"/>
      <c r="H710" s="448"/>
      <c r="I710" s="448" t="s">
        <v>1927</v>
      </c>
    </row>
    <row r="711" spans="1:9" ht="27" x14ac:dyDescent="0.3">
      <c r="A711" s="443" t="s">
        <v>3304</v>
      </c>
      <c r="B711" s="445" t="s">
        <v>3187</v>
      </c>
      <c r="C711" s="444" t="s">
        <v>3258</v>
      </c>
      <c r="D711" s="444" t="s">
        <v>1312</v>
      </c>
      <c r="E711" s="446" t="s">
        <v>3305</v>
      </c>
      <c r="F711" s="447" t="s">
        <v>1890</v>
      </c>
      <c r="G711" s="448"/>
      <c r="H711" s="448"/>
      <c r="I711" s="448" t="s">
        <v>1856</v>
      </c>
    </row>
    <row r="712" spans="1:9" ht="27" x14ac:dyDescent="0.3">
      <c r="A712" s="443" t="s">
        <v>3306</v>
      </c>
      <c r="B712" s="445" t="s">
        <v>3187</v>
      </c>
      <c r="C712" s="444" t="s">
        <v>3258</v>
      </c>
      <c r="D712" s="444" t="s">
        <v>3307</v>
      </c>
      <c r="E712" s="446" t="s">
        <v>3308</v>
      </c>
      <c r="F712" s="447" t="s">
        <v>1854</v>
      </c>
      <c r="G712" s="448"/>
      <c r="H712" s="448" t="s">
        <v>2204</v>
      </c>
      <c r="I712" s="448" t="s">
        <v>1874</v>
      </c>
    </row>
    <row r="713" spans="1:9" ht="27" x14ac:dyDescent="0.3">
      <c r="A713" s="443" t="s">
        <v>3309</v>
      </c>
      <c r="B713" s="445" t="s">
        <v>3187</v>
      </c>
      <c r="C713" s="444" t="s">
        <v>3258</v>
      </c>
      <c r="D713" s="444" t="s">
        <v>1329</v>
      </c>
      <c r="E713" s="446" t="s">
        <v>3310</v>
      </c>
      <c r="F713" s="447" t="s">
        <v>1890</v>
      </c>
      <c r="G713" s="448"/>
      <c r="H713" s="448"/>
      <c r="I713" s="448" t="s">
        <v>1927</v>
      </c>
    </row>
    <row r="714" spans="1:9" ht="27" x14ac:dyDescent="0.3">
      <c r="A714" s="443" t="s">
        <v>3311</v>
      </c>
      <c r="B714" s="445" t="s">
        <v>3187</v>
      </c>
      <c r="C714" s="444" t="s">
        <v>3258</v>
      </c>
      <c r="D714" s="444" t="s">
        <v>1147</v>
      </c>
      <c r="E714" s="446" t="s">
        <v>3312</v>
      </c>
      <c r="F714" s="447" t="s">
        <v>1890</v>
      </c>
      <c r="G714" s="448"/>
      <c r="H714" s="448"/>
      <c r="I714" s="448" t="s">
        <v>1923</v>
      </c>
    </row>
    <row r="715" spans="1:9" ht="27" x14ac:dyDescent="0.3">
      <c r="A715" s="443" t="s">
        <v>3313</v>
      </c>
      <c r="B715" s="445" t="s">
        <v>3187</v>
      </c>
      <c r="C715" s="444" t="s">
        <v>3258</v>
      </c>
      <c r="D715" s="444" t="s">
        <v>1358</v>
      </c>
      <c r="E715" s="446" t="s">
        <v>3314</v>
      </c>
      <c r="F715" s="447" t="s">
        <v>1890</v>
      </c>
      <c r="G715" s="448"/>
      <c r="H715" s="448"/>
      <c r="I715" s="448" t="s">
        <v>1927</v>
      </c>
    </row>
    <row r="716" spans="1:9" ht="27" x14ac:dyDescent="0.3">
      <c r="A716" s="443" t="s">
        <v>3315</v>
      </c>
      <c r="B716" s="445" t="s">
        <v>3187</v>
      </c>
      <c r="C716" s="444" t="s">
        <v>3258</v>
      </c>
      <c r="D716" s="444" t="s">
        <v>1367</v>
      </c>
      <c r="E716" s="446" t="s">
        <v>3316</v>
      </c>
      <c r="F716" s="447" t="s">
        <v>1890</v>
      </c>
      <c r="G716" s="448"/>
      <c r="H716" s="448"/>
      <c r="I716" s="448" t="s">
        <v>1856</v>
      </c>
    </row>
    <row r="717" spans="1:9" ht="27" x14ac:dyDescent="0.3">
      <c r="A717" s="443" t="s">
        <v>3317</v>
      </c>
      <c r="B717" s="445" t="s">
        <v>3187</v>
      </c>
      <c r="C717" s="444" t="s">
        <v>3258</v>
      </c>
      <c r="D717" s="444" t="s">
        <v>1379</v>
      </c>
      <c r="E717" s="446" t="s">
        <v>3318</v>
      </c>
      <c r="F717" s="447" t="s">
        <v>1890</v>
      </c>
      <c r="G717" s="448" t="s">
        <v>3319</v>
      </c>
      <c r="H717" s="448"/>
      <c r="I717" s="448" t="s">
        <v>1923</v>
      </c>
    </row>
    <row r="718" spans="1:9" ht="27" x14ac:dyDescent="0.3">
      <c r="A718" s="443" t="s">
        <v>3320</v>
      </c>
      <c r="B718" s="445" t="s">
        <v>3187</v>
      </c>
      <c r="C718" s="444" t="s">
        <v>3258</v>
      </c>
      <c r="D718" s="444" t="s">
        <v>1390</v>
      </c>
      <c r="E718" s="446" t="s">
        <v>3321</v>
      </c>
      <c r="F718" s="447" t="s">
        <v>1890</v>
      </c>
      <c r="G718" s="448"/>
      <c r="H718" s="448"/>
      <c r="I718" s="448" t="s">
        <v>1856</v>
      </c>
    </row>
    <row r="719" spans="1:9" ht="27" x14ac:dyDescent="0.3">
      <c r="A719" s="443" t="s">
        <v>3322</v>
      </c>
      <c r="B719" s="445" t="s">
        <v>3187</v>
      </c>
      <c r="C719" s="444" t="s">
        <v>3258</v>
      </c>
      <c r="D719" s="444" t="s">
        <v>1399</v>
      </c>
      <c r="E719" s="446" t="s">
        <v>3323</v>
      </c>
      <c r="F719" s="447" t="s">
        <v>1890</v>
      </c>
      <c r="G719" s="448"/>
      <c r="H719" s="448"/>
      <c r="I719" s="448" t="s">
        <v>1923</v>
      </c>
    </row>
    <row r="720" spans="1:9" ht="27" x14ac:dyDescent="0.3">
      <c r="A720" s="443" t="s">
        <v>3324</v>
      </c>
      <c r="B720" s="445" t="s">
        <v>3187</v>
      </c>
      <c r="C720" s="444" t="s">
        <v>3258</v>
      </c>
      <c r="D720" s="444" t="s">
        <v>3180</v>
      </c>
      <c r="E720" s="446" t="s">
        <v>3325</v>
      </c>
      <c r="F720" s="447" t="s">
        <v>1890</v>
      </c>
      <c r="G720" s="448"/>
      <c r="H720" s="448"/>
      <c r="I720" s="448" t="s">
        <v>1923</v>
      </c>
    </row>
    <row r="721" spans="1:9" ht="27" x14ac:dyDescent="0.3">
      <c r="A721" s="443" t="s">
        <v>3326</v>
      </c>
      <c r="B721" s="445" t="s">
        <v>3187</v>
      </c>
      <c r="C721" s="444" t="s">
        <v>3258</v>
      </c>
      <c r="D721" s="444" t="s">
        <v>1828</v>
      </c>
      <c r="E721" s="446" t="s">
        <v>3327</v>
      </c>
      <c r="F721" s="447" t="s">
        <v>1890</v>
      </c>
      <c r="G721" s="448"/>
      <c r="H721" s="448"/>
      <c r="I721" s="448" t="s">
        <v>1923</v>
      </c>
    </row>
    <row r="722" spans="1:9" ht="27" x14ac:dyDescent="0.3">
      <c r="A722" s="443" t="s">
        <v>3328</v>
      </c>
      <c r="B722" s="445" t="s">
        <v>3187</v>
      </c>
      <c r="C722" s="444" t="s">
        <v>3258</v>
      </c>
      <c r="D722" s="444" t="s">
        <v>1425</v>
      </c>
      <c r="E722" s="446" t="s">
        <v>3329</v>
      </c>
      <c r="F722" s="447" t="s">
        <v>1890</v>
      </c>
      <c r="G722" s="448"/>
      <c r="H722" s="448"/>
      <c r="I722" s="448" t="s">
        <v>1856</v>
      </c>
    </row>
    <row r="723" spans="1:9" ht="27" x14ac:dyDescent="0.3">
      <c r="A723" s="443" t="s">
        <v>3330</v>
      </c>
      <c r="B723" s="445" t="s">
        <v>3187</v>
      </c>
      <c r="C723" s="444" t="s">
        <v>3258</v>
      </c>
      <c r="D723" s="444" t="s">
        <v>1431</v>
      </c>
      <c r="E723" s="446" t="s">
        <v>3331</v>
      </c>
      <c r="F723" s="447" t="s">
        <v>1890</v>
      </c>
      <c r="G723" s="448"/>
      <c r="H723" s="448"/>
      <c r="I723" s="448" t="s">
        <v>1923</v>
      </c>
    </row>
    <row r="724" spans="1:9" ht="27" x14ac:dyDescent="0.3">
      <c r="A724" s="443" t="s">
        <v>3332</v>
      </c>
      <c r="B724" s="445" t="s">
        <v>3187</v>
      </c>
      <c r="C724" s="444" t="s">
        <v>3258</v>
      </c>
      <c r="D724" s="444" t="s">
        <v>1436</v>
      </c>
      <c r="E724" s="446" t="s">
        <v>3333</v>
      </c>
      <c r="F724" s="447" t="s">
        <v>1890</v>
      </c>
      <c r="G724" s="448"/>
      <c r="H724" s="448"/>
      <c r="I724" s="448" t="s">
        <v>1927</v>
      </c>
    </row>
    <row r="725" spans="1:9" ht="27" x14ac:dyDescent="0.3">
      <c r="A725" s="443" t="s">
        <v>3334</v>
      </c>
      <c r="B725" s="445" t="s">
        <v>3187</v>
      </c>
      <c r="C725" s="444" t="s">
        <v>3258</v>
      </c>
      <c r="D725" s="444" t="s">
        <v>1441</v>
      </c>
      <c r="E725" s="446" t="s">
        <v>3335</v>
      </c>
      <c r="F725" s="447" t="s">
        <v>1890</v>
      </c>
      <c r="G725" s="448"/>
      <c r="H725" s="448"/>
      <c r="I725" s="448" t="s">
        <v>1856</v>
      </c>
    </row>
    <row r="726" spans="1:9" ht="27" x14ac:dyDescent="0.3">
      <c r="A726" s="443" t="s">
        <v>3336</v>
      </c>
      <c r="B726" s="445" t="s">
        <v>3187</v>
      </c>
      <c r="C726" s="444" t="s">
        <v>134</v>
      </c>
      <c r="D726" s="444" t="s">
        <v>195</v>
      </c>
      <c r="E726" s="446" t="s">
        <v>3337</v>
      </c>
      <c r="F726" s="447" t="s">
        <v>1890</v>
      </c>
      <c r="G726" s="448"/>
      <c r="H726" s="448"/>
      <c r="I726" s="448" t="s">
        <v>1893</v>
      </c>
    </row>
    <row r="727" spans="1:9" ht="27" x14ac:dyDescent="0.3">
      <c r="A727" s="443" t="s">
        <v>3338</v>
      </c>
      <c r="B727" s="445" t="s">
        <v>3187</v>
      </c>
      <c r="C727" s="444" t="s">
        <v>134</v>
      </c>
      <c r="D727" s="444" t="s">
        <v>261</v>
      </c>
      <c r="E727" s="446" t="s">
        <v>3339</v>
      </c>
      <c r="F727" s="447" t="s">
        <v>1890</v>
      </c>
      <c r="G727" s="448"/>
      <c r="H727" s="448"/>
      <c r="I727" s="448" t="s">
        <v>1893</v>
      </c>
    </row>
    <row r="728" spans="1:9" ht="27" x14ac:dyDescent="0.3">
      <c r="A728" s="443" t="s">
        <v>3340</v>
      </c>
      <c r="B728" s="445" t="s">
        <v>3187</v>
      </c>
      <c r="C728" s="444" t="s">
        <v>134</v>
      </c>
      <c r="D728" s="444" t="s">
        <v>340</v>
      </c>
      <c r="E728" s="446" t="s">
        <v>3341</v>
      </c>
      <c r="F728" s="447" t="s">
        <v>1890</v>
      </c>
      <c r="G728" s="448"/>
      <c r="H728" s="448"/>
      <c r="I728" s="448" t="s">
        <v>1893</v>
      </c>
    </row>
    <row r="729" spans="1:9" ht="27" x14ac:dyDescent="0.3">
      <c r="A729" s="443" t="s">
        <v>3342</v>
      </c>
      <c r="B729" s="445" t="s">
        <v>3187</v>
      </c>
      <c r="C729" s="444" t="s">
        <v>134</v>
      </c>
      <c r="D729" s="444" t="s">
        <v>411</v>
      </c>
      <c r="E729" s="446" t="s">
        <v>3343</v>
      </c>
      <c r="F729" s="447" t="s">
        <v>1890</v>
      </c>
      <c r="G729" s="448"/>
      <c r="H729" s="448"/>
      <c r="I729" s="448" t="s">
        <v>1927</v>
      </c>
    </row>
    <row r="730" spans="1:9" ht="27" x14ac:dyDescent="0.3">
      <c r="A730" s="443" t="s">
        <v>3344</v>
      </c>
      <c r="B730" s="445" t="s">
        <v>3187</v>
      </c>
      <c r="C730" s="444" t="s">
        <v>134</v>
      </c>
      <c r="D730" s="444" t="s">
        <v>486</v>
      </c>
      <c r="E730" s="446" t="s">
        <v>3345</v>
      </c>
      <c r="F730" s="447" t="s">
        <v>1890</v>
      </c>
      <c r="G730" s="448"/>
      <c r="H730" s="448"/>
      <c r="I730" s="448" t="s">
        <v>1893</v>
      </c>
    </row>
    <row r="731" spans="1:9" ht="27" x14ac:dyDescent="0.3">
      <c r="A731" s="443" t="s">
        <v>3346</v>
      </c>
      <c r="B731" s="445" t="s">
        <v>3187</v>
      </c>
      <c r="C731" s="444" t="s">
        <v>134</v>
      </c>
      <c r="D731" s="444" t="s">
        <v>558</v>
      </c>
      <c r="E731" s="446" t="s">
        <v>3347</v>
      </c>
      <c r="F731" s="447" t="s">
        <v>1890</v>
      </c>
      <c r="G731" s="448"/>
      <c r="H731" s="448"/>
      <c r="I731" s="448" t="s">
        <v>1923</v>
      </c>
    </row>
    <row r="732" spans="1:9" ht="27" x14ac:dyDescent="0.3">
      <c r="A732" s="443" t="s">
        <v>3348</v>
      </c>
      <c r="B732" s="445" t="s">
        <v>3187</v>
      </c>
      <c r="C732" s="444" t="s">
        <v>134</v>
      </c>
      <c r="D732" s="444" t="s">
        <v>624</v>
      </c>
      <c r="E732" s="446" t="s">
        <v>3349</v>
      </c>
      <c r="F732" s="447" t="s">
        <v>1890</v>
      </c>
      <c r="G732" s="448" t="s">
        <v>3350</v>
      </c>
      <c r="H732" s="448"/>
      <c r="I732" s="448" t="s">
        <v>1893</v>
      </c>
    </row>
    <row r="733" spans="1:9" ht="27" x14ac:dyDescent="0.3">
      <c r="A733" s="443" t="s">
        <v>3351</v>
      </c>
      <c r="B733" s="445" t="s">
        <v>3187</v>
      </c>
      <c r="C733" s="444" t="s">
        <v>134</v>
      </c>
      <c r="D733" s="444" t="s">
        <v>3046</v>
      </c>
      <c r="E733" s="446" t="s">
        <v>3352</v>
      </c>
      <c r="F733" s="447" t="s">
        <v>1890</v>
      </c>
      <c r="G733" s="448" t="s">
        <v>3353</v>
      </c>
      <c r="H733" s="448"/>
      <c r="I733" s="448" t="s">
        <v>1927</v>
      </c>
    </row>
    <row r="734" spans="1:9" ht="27" x14ac:dyDescent="0.3">
      <c r="A734" s="443" t="s">
        <v>3354</v>
      </c>
      <c r="B734" s="445" t="s">
        <v>3187</v>
      </c>
      <c r="C734" s="444" t="s">
        <v>134</v>
      </c>
      <c r="D734" s="444" t="s">
        <v>2552</v>
      </c>
      <c r="E734" s="446" t="s">
        <v>3355</v>
      </c>
      <c r="F734" s="447" t="s">
        <v>1890</v>
      </c>
      <c r="G734" s="448"/>
      <c r="H734" s="448"/>
      <c r="I734" s="448" t="s">
        <v>1893</v>
      </c>
    </row>
    <row r="735" spans="1:9" ht="27" x14ac:dyDescent="0.3">
      <c r="A735" s="443" t="s">
        <v>3356</v>
      </c>
      <c r="B735" s="445" t="s">
        <v>3187</v>
      </c>
      <c r="C735" s="444" t="s">
        <v>134</v>
      </c>
      <c r="D735" s="444" t="s">
        <v>815</v>
      </c>
      <c r="E735" s="446" t="s">
        <v>3357</v>
      </c>
      <c r="F735" s="447" t="s">
        <v>1890</v>
      </c>
      <c r="G735" s="448"/>
      <c r="H735" s="448"/>
      <c r="I735" s="448" t="s">
        <v>1923</v>
      </c>
    </row>
    <row r="736" spans="1:9" ht="27" x14ac:dyDescent="0.3">
      <c r="A736" s="443" t="s">
        <v>3358</v>
      </c>
      <c r="B736" s="445" t="s">
        <v>3187</v>
      </c>
      <c r="C736" s="444" t="s">
        <v>134</v>
      </c>
      <c r="D736" s="444" t="s">
        <v>870</v>
      </c>
      <c r="E736" s="446" t="s">
        <v>3359</v>
      </c>
      <c r="F736" s="447" t="s">
        <v>1890</v>
      </c>
      <c r="G736" s="448"/>
      <c r="H736" s="448"/>
      <c r="I736" s="448" t="s">
        <v>1856</v>
      </c>
    </row>
    <row r="737" spans="1:9" ht="27" x14ac:dyDescent="0.3">
      <c r="A737" s="443" t="s">
        <v>3360</v>
      </c>
      <c r="B737" s="445" t="s">
        <v>3187</v>
      </c>
      <c r="C737" s="444" t="s">
        <v>147</v>
      </c>
      <c r="D737" s="444" t="s">
        <v>196</v>
      </c>
      <c r="E737" s="446" t="s">
        <v>3361</v>
      </c>
      <c r="F737" s="447" t="s">
        <v>1890</v>
      </c>
      <c r="G737" s="448"/>
      <c r="H737" s="448"/>
      <c r="I737" s="448" t="s">
        <v>1856</v>
      </c>
    </row>
    <row r="738" spans="1:9" ht="27" x14ac:dyDescent="0.3">
      <c r="A738" s="443" t="s">
        <v>3362</v>
      </c>
      <c r="B738" s="445" t="s">
        <v>3187</v>
      </c>
      <c r="C738" s="444" t="s">
        <v>147</v>
      </c>
      <c r="D738" s="444" t="s">
        <v>269</v>
      </c>
      <c r="E738" s="446" t="s">
        <v>3363</v>
      </c>
      <c r="F738" s="447" t="s">
        <v>1890</v>
      </c>
      <c r="G738" s="448"/>
      <c r="H738" s="448"/>
      <c r="I738" s="448" t="s">
        <v>1923</v>
      </c>
    </row>
    <row r="739" spans="1:9" ht="27" x14ac:dyDescent="0.3">
      <c r="A739" s="443" t="s">
        <v>3364</v>
      </c>
      <c r="B739" s="445" t="s">
        <v>3187</v>
      </c>
      <c r="C739" s="444" t="s">
        <v>147</v>
      </c>
      <c r="D739" s="444" t="s">
        <v>342</v>
      </c>
      <c r="E739" s="446" t="s">
        <v>3365</v>
      </c>
      <c r="F739" s="447" t="s">
        <v>1890</v>
      </c>
      <c r="G739" s="448"/>
      <c r="H739" s="448"/>
      <c r="I739" s="448" t="s">
        <v>3366</v>
      </c>
    </row>
    <row r="740" spans="1:9" ht="27" x14ac:dyDescent="0.3">
      <c r="A740" s="443" t="s">
        <v>3367</v>
      </c>
      <c r="B740" s="445" t="s">
        <v>3187</v>
      </c>
      <c r="C740" s="444" t="s">
        <v>147</v>
      </c>
      <c r="D740" s="444" t="s">
        <v>412</v>
      </c>
      <c r="E740" s="446" t="s">
        <v>3368</v>
      </c>
      <c r="F740" s="447" t="s">
        <v>1890</v>
      </c>
      <c r="G740" s="448"/>
      <c r="H740" s="448"/>
      <c r="I740" s="448" t="s">
        <v>1893</v>
      </c>
    </row>
    <row r="741" spans="1:9" ht="27" x14ac:dyDescent="0.3">
      <c r="A741" s="443" t="s">
        <v>3369</v>
      </c>
      <c r="B741" s="445" t="s">
        <v>3187</v>
      </c>
      <c r="C741" s="444" t="s">
        <v>147</v>
      </c>
      <c r="D741" s="444" t="s">
        <v>487</v>
      </c>
      <c r="E741" s="446" t="s">
        <v>3370</v>
      </c>
      <c r="F741" s="447" t="s">
        <v>1890</v>
      </c>
      <c r="G741" s="448"/>
      <c r="H741" s="448"/>
      <c r="I741" s="448" t="s">
        <v>1874</v>
      </c>
    </row>
    <row r="742" spans="1:9" ht="27" x14ac:dyDescent="0.3">
      <c r="A742" s="443" t="s">
        <v>3371</v>
      </c>
      <c r="B742" s="445" t="s">
        <v>3187</v>
      </c>
      <c r="C742" s="444" t="s">
        <v>147</v>
      </c>
      <c r="D742" s="444" t="s">
        <v>559</v>
      </c>
      <c r="E742" s="446" t="s">
        <v>3372</v>
      </c>
      <c r="F742" s="447" t="s">
        <v>1890</v>
      </c>
      <c r="G742" s="448"/>
      <c r="H742" s="448"/>
      <c r="I742" s="448" t="s">
        <v>1874</v>
      </c>
    </row>
    <row r="743" spans="1:9" ht="27" x14ac:dyDescent="0.3">
      <c r="A743" s="443" t="s">
        <v>3373</v>
      </c>
      <c r="B743" s="445" t="s">
        <v>3187</v>
      </c>
      <c r="C743" s="444" t="s">
        <v>147</v>
      </c>
      <c r="D743" s="444" t="s">
        <v>690</v>
      </c>
      <c r="E743" s="446" t="s">
        <v>3374</v>
      </c>
      <c r="F743" s="447" t="s">
        <v>1890</v>
      </c>
      <c r="G743" s="448"/>
      <c r="H743" s="448"/>
      <c r="I743" s="448" t="s">
        <v>1927</v>
      </c>
    </row>
    <row r="744" spans="1:9" ht="27" x14ac:dyDescent="0.3">
      <c r="A744" s="443" t="s">
        <v>3375</v>
      </c>
      <c r="B744" s="445" t="s">
        <v>3187</v>
      </c>
      <c r="C744" s="444" t="s">
        <v>147</v>
      </c>
      <c r="D744" s="444" t="s">
        <v>755</v>
      </c>
      <c r="E744" s="446" t="s">
        <v>3376</v>
      </c>
      <c r="F744" s="447" t="s">
        <v>1890</v>
      </c>
      <c r="G744" s="448"/>
      <c r="H744" s="448"/>
      <c r="I744" s="448" t="s">
        <v>1923</v>
      </c>
    </row>
    <row r="745" spans="1:9" ht="27" x14ac:dyDescent="0.3">
      <c r="A745" s="443" t="s">
        <v>3377</v>
      </c>
      <c r="B745" s="445" t="s">
        <v>3187</v>
      </c>
      <c r="C745" s="444" t="s">
        <v>147</v>
      </c>
      <c r="D745" s="444" t="s">
        <v>376</v>
      </c>
      <c r="E745" s="446" t="s">
        <v>3378</v>
      </c>
      <c r="F745" s="447" t="s">
        <v>1890</v>
      </c>
      <c r="G745" s="448"/>
      <c r="H745" s="448"/>
      <c r="I745" s="448" t="s">
        <v>1893</v>
      </c>
    </row>
    <row r="746" spans="1:9" ht="27" x14ac:dyDescent="0.3">
      <c r="A746" s="443" t="s">
        <v>3379</v>
      </c>
      <c r="B746" s="445" t="s">
        <v>3187</v>
      </c>
      <c r="C746" s="444" t="s">
        <v>147</v>
      </c>
      <c r="D746" s="444" t="s">
        <v>871</v>
      </c>
      <c r="E746" s="446" t="s">
        <v>3380</v>
      </c>
      <c r="F746" s="447" t="s">
        <v>1890</v>
      </c>
      <c r="G746" s="448"/>
      <c r="H746" s="448"/>
      <c r="I746" s="448" t="s">
        <v>1927</v>
      </c>
    </row>
    <row r="747" spans="1:9" ht="27" x14ac:dyDescent="0.3">
      <c r="A747" s="443" t="s">
        <v>3381</v>
      </c>
      <c r="B747" s="445" t="s">
        <v>3187</v>
      </c>
      <c r="C747" s="444" t="s">
        <v>147</v>
      </c>
      <c r="D747" s="444" t="s">
        <v>3382</v>
      </c>
      <c r="E747" s="446" t="s">
        <v>3383</v>
      </c>
      <c r="F747" s="447" t="s">
        <v>1854</v>
      </c>
      <c r="G747" s="448"/>
      <c r="H747" s="448" t="s">
        <v>1961</v>
      </c>
      <c r="I747" s="448" t="s">
        <v>1923</v>
      </c>
    </row>
    <row r="748" spans="1:9" ht="27" x14ac:dyDescent="0.3">
      <c r="A748" s="443" t="s">
        <v>3384</v>
      </c>
      <c r="B748" s="445" t="s">
        <v>3187</v>
      </c>
      <c r="C748" s="444" t="s">
        <v>147</v>
      </c>
      <c r="D748" s="444" t="s">
        <v>927</v>
      </c>
      <c r="E748" s="446" t="s">
        <v>3385</v>
      </c>
      <c r="F748" s="447" t="s">
        <v>1890</v>
      </c>
      <c r="G748" s="448"/>
      <c r="H748" s="448"/>
      <c r="I748" s="448" t="s">
        <v>1856</v>
      </c>
    </row>
    <row r="749" spans="1:9" ht="27" x14ac:dyDescent="0.3">
      <c r="A749" s="443" t="s">
        <v>3386</v>
      </c>
      <c r="B749" s="445" t="s">
        <v>3187</v>
      </c>
      <c r="C749" s="444" t="s">
        <v>147</v>
      </c>
      <c r="D749" s="444" t="s">
        <v>977</v>
      </c>
      <c r="E749" s="446" t="s">
        <v>3387</v>
      </c>
      <c r="F749" s="447" t="s">
        <v>1890</v>
      </c>
      <c r="G749" s="448"/>
      <c r="H749" s="448"/>
      <c r="I749" s="448" t="s">
        <v>1923</v>
      </c>
    </row>
    <row r="750" spans="1:9" ht="27" x14ac:dyDescent="0.3">
      <c r="A750" s="443" t="s">
        <v>3388</v>
      </c>
      <c r="B750" s="445" t="s">
        <v>3187</v>
      </c>
      <c r="C750" s="444" t="s">
        <v>147</v>
      </c>
      <c r="D750" s="444" t="s">
        <v>1024</v>
      </c>
      <c r="E750" s="446" t="s">
        <v>3389</v>
      </c>
      <c r="F750" s="447" t="s">
        <v>1890</v>
      </c>
      <c r="G750" s="448"/>
      <c r="H750" s="448"/>
      <c r="I750" s="448" t="s">
        <v>1923</v>
      </c>
    </row>
    <row r="751" spans="1:9" ht="27" x14ac:dyDescent="0.3">
      <c r="A751" s="443" t="s">
        <v>3390</v>
      </c>
      <c r="B751" s="445" t="s">
        <v>3187</v>
      </c>
      <c r="C751" s="444" t="s">
        <v>147</v>
      </c>
      <c r="D751" s="444" t="s">
        <v>1067</v>
      </c>
      <c r="E751" s="446" t="s">
        <v>3391</v>
      </c>
      <c r="F751" s="447" t="s">
        <v>1890</v>
      </c>
      <c r="G751" s="448"/>
      <c r="H751" s="448"/>
      <c r="I751" s="448" t="s">
        <v>1923</v>
      </c>
    </row>
    <row r="752" spans="1:9" ht="27" x14ac:dyDescent="0.3">
      <c r="A752" s="443" t="s">
        <v>3392</v>
      </c>
      <c r="B752" s="445" t="s">
        <v>3187</v>
      </c>
      <c r="C752" s="444" t="s">
        <v>147</v>
      </c>
      <c r="D752" s="444" t="s">
        <v>3393</v>
      </c>
      <c r="E752" s="446" t="s">
        <v>3394</v>
      </c>
      <c r="F752" s="447" t="s">
        <v>1890</v>
      </c>
      <c r="G752" s="448" t="s">
        <v>3395</v>
      </c>
      <c r="H752" s="448"/>
      <c r="I752" s="448" t="s">
        <v>1923</v>
      </c>
    </row>
    <row r="753" spans="1:9" ht="27" x14ac:dyDescent="0.3">
      <c r="A753" s="443" t="s">
        <v>3396</v>
      </c>
      <c r="B753" s="445" t="s">
        <v>3187</v>
      </c>
      <c r="C753" s="444" t="s">
        <v>147</v>
      </c>
      <c r="D753" s="444" t="s">
        <v>997</v>
      </c>
      <c r="E753" s="446" t="s">
        <v>3397</v>
      </c>
      <c r="F753" s="447" t="s">
        <v>1890</v>
      </c>
      <c r="G753" s="448"/>
      <c r="H753" s="448"/>
      <c r="I753" s="448" t="s">
        <v>1874</v>
      </c>
    </row>
    <row r="754" spans="1:9" ht="27" x14ac:dyDescent="0.3">
      <c r="A754" s="443" t="s">
        <v>3398</v>
      </c>
      <c r="B754" s="445" t="s">
        <v>3187</v>
      </c>
      <c r="C754" s="444" t="s">
        <v>147</v>
      </c>
      <c r="D754" s="444" t="s">
        <v>3180</v>
      </c>
      <c r="E754" s="446" t="s">
        <v>3399</v>
      </c>
      <c r="F754" s="447" t="s">
        <v>1890</v>
      </c>
      <c r="G754" s="448"/>
      <c r="H754" s="448"/>
      <c r="I754" s="448" t="s">
        <v>3400</v>
      </c>
    </row>
    <row r="755" spans="1:9" ht="27" x14ac:dyDescent="0.3">
      <c r="A755" s="443" t="s">
        <v>3401</v>
      </c>
      <c r="B755" s="445" t="s">
        <v>3187</v>
      </c>
      <c r="C755" s="444" t="s">
        <v>147</v>
      </c>
      <c r="D755" s="444" t="s">
        <v>2237</v>
      </c>
      <c r="E755" s="446" t="s">
        <v>3402</v>
      </c>
      <c r="F755" s="447" t="s">
        <v>1890</v>
      </c>
      <c r="G755" s="448"/>
      <c r="H755" s="448"/>
      <c r="I755" s="448" t="s">
        <v>1923</v>
      </c>
    </row>
    <row r="756" spans="1:9" ht="27" x14ac:dyDescent="0.3">
      <c r="A756" s="443" t="s">
        <v>3403</v>
      </c>
      <c r="B756" s="445" t="s">
        <v>3187</v>
      </c>
      <c r="C756" s="444" t="s">
        <v>147</v>
      </c>
      <c r="D756" s="444" t="s">
        <v>2836</v>
      </c>
      <c r="E756" s="446" t="s">
        <v>3404</v>
      </c>
      <c r="F756" s="447" t="s">
        <v>1890</v>
      </c>
      <c r="G756" s="448"/>
      <c r="H756" s="448"/>
      <c r="I756" s="448" t="s">
        <v>1927</v>
      </c>
    </row>
    <row r="757" spans="1:9" ht="27" x14ac:dyDescent="0.3">
      <c r="A757" s="443" t="s">
        <v>3405</v>
      </c>
      <c r="B757" s="445" t="s">
        <v>3187</v>
      </c>
      <c r="C757" s="444" t="s">
        <v>147</v>
      </c>
      <c r="D757" s="444" t="s">
        <v>1254</v>
      </c>
      <c r="E757" s="446" t="s">
        <v>3406</v>
      </c>
      <c r="F757" s="447" t="s">
        <v>1890</v>
      </c>
      <c r="G757" s="448"/>
      <c r="H757" s="448"/>
      <c r="I757" s="448" t="s">
        <v>1927</v>
      </c>
    </row>
    <row r="758" spans="1:9" ht="27" x14ac:dyDescent="0.3">
      <c r="A758" s="443" t="s">
        <v>3407</v>
      </c>
      <c r="B758" s="445" t="s">
        <v>3187</v>
      </c>
      <c r="C758" s="444" t="s">
        <v>156</v>
      </c>
      <c r="D758" s="444" t="s">
        <v>197</v>
      </c>
      <c r="E758" s="446" t="s">
        <v>3408</v>
      </c>
      <c r="F758" s="447" t="s">
        <v>1890</v>
      </c>
      <c r="G758" s="448"/>
      <c r="H758" s="448"/>
      <c r="I758" s="448" t="s">
        <v>1893</v>
      </c>
    </row>
    <row r="759" spans="1:9" ht="27" x14ac:dyDescent="0.3">
      <c r="A759" s="443" t="s">
        <v>3409</v>
      </c>
      <c r="B759" s="445" t="s">
        <v>3187</v>
      </c>
      <c r="C759" s="444" t="s">
        <v>156</v>
      </c>
      <c r="D759" s="444" t="s">
        <v>270</v>
      </c>
      <c r="E759" s="446" t="s">
        <v>3410</v>
      </c>
      <c r="F759" s="447" t="s">
        <v>1890</v>
      </c>
      <c r="G759" s="448"/>
      <c r="H759" s="448"/>
      <c r="I759" s="448" t="s">
        <v>1856</v>
      </c>
    </row>
    <row r="760" spans="1:9" ht="27" x14ac:dyDescent="0.3">
      <c r="A760" s="443" t="s">
        <v>3411</v>
      </c>
      <c r="B760" s="445" t="s">
        <v>3187</v>
      </c>
      <c r="C760" s="444" t="s">
        <v>156</v>
      </c>
      <c r="D760" s="444" t="s">
        <v>343</v>
      </c>
      <c r="E760" s="446" t="s">
        <v>3412</v>
      </c>
      <c r="F760" s="447" t="s">
        <v>1890</v>
      </c>
      <c r="G760" s="448"/>
      <c r="H760" s="448"/>
      <c r="I760" s="448" t="s">
        <v>1923</v>
      </c>
    </row>
    <row r="761" spans="1:9" ht="27" x14ac:dyDescent="0.3">
      <c r="A761" s="443" t="s">
        <v>3413</v>
      </c>
      <c r="B761" s="445" t="s">
        <v>3187</v>
      </c>
      <c r="C761" s="444" t="s">
        <v>156</v>
      </c>
      <c r="D761" s="444" t="s">
        <v>256</v>
      </c>
      <c r="E761" s="446" t="s">
        <v>3414</v>
      </c>
      <c r="F761" s="447" t="s">
        <v>1890</v>
      </c>
      <c r="G761" s="448"/>
      <c r="H761" s="448"/>
      <c r="I761" s="448" t="s">
        <v>1923</v>
      </c>
    </row>
    <row r="762" spans="1:9" ht="27" x14ac:dyDescent="0.3">
      <c r="A762" s="443" t="s">
        <v>3415</v>
      </c>
      <c r="B762" s="445" t="s">
        <v>3187</v>
      </c>
      <c r="C762" s="444" t="s">
        <v>156</v>
      </c>
      <c r="D762" s="444" t="s">
        <v>488</v>
      </c>
      <c r="E762" s="446" t="s">
        <v>3416</v>
      </c>
      <c r="F762" s="447" t="s">
        <v>1890</v>
      </c>
      <c r="G762" s="448"/>
      <c r="H762" s="448"/>
      <c r="I762" s="448" t="s">
        <v>1927</v>
      </c>
    </row>
    <row r="763" spans="1:9" ht="27" x14ac:dyDescent="0.3">
      <c r="A763" s="443" t="s">
        <v>3417</v>
      </c>
      <c r="B763" s="445" t="s">
        <v>3187</v>
      </c>
      <c r="C763" s="444" t="s">
        <v>156</v>
      </c>
      <c r="D763" s="444" t="s">
        <v>626</v>
      </c>
      <c r="E763" s="446" t="s">
        <v>3418</v>
      </c>
      <c r="F763" s="447" t="s">
        <v>1890</v>
      </c>
      <c r="G763" s="448"/>
      <c r="H763" s="448"/>
      <c r="I763" s="448" t="s">
        <v>1927</v>
      </c>
    </row>
    <row r="764" spans="1:9" ht="27" x14ac:dyDescent="0.3">
      <c r="A764" s="443" t="s">
        <v>3419</v>
      </c>
      <c r="B764" s="445" t="s">
        <v>3187</v>
      </c>
      <c r="C764" s="444" t="s">
        <v>156</v>
      </c>
      <c r="D764" s="444" t="s">
        <v>691</v>
      </c>
      <c r="E764" s="446" t="s">
        <v>3420</v>
      </c>
      <c r="F764" s="447" t="s">
        <v>1890</v>
      </c>
      <c r="G764" s="448"/>
      <c r="H764" s="448"/>
      <c r="I764" s="448" t="s">
        <v>1874</v>
      </c>
    </row>
    <row r="765" spans="1:9" ht="27" x14ac:dyDescent="0.3">
      <c r="A765" s="443" t="s">
        <v>3421</v>
      </c>
      <c r="B765" s="445" t="s">
        <v>3187</v>
      </c>
      <c r="C765" s="444" t="s">
        <v>156</v>
      </c>
      <c r="D765" s="444" t="s">
        <v>756</v>
      </c>
      <c r="E765" s="446" t="s">
        <v>3422</v>
      </c>
      <c r="F765" s="447" t="s">
        <v>1890</v>
      </c>
      <c r="G765" s="448"/>
      <c r="H765" s="448"/>
      <c r="I765" s="448" t="s">
        <v>1874</v>
      </c>
    </row>
    <row r="766" spans="1:9" ht="27" x14ac:dyDescent="0.3">
      <c r="A766" s="443" t="s">
        <v>3423</v>
      </c>
      <c r="B766" s="445" t="s">
        <v>3187</v>
      </c>
      <c r="C766" s="444" t="s">
        <v>156</v>
      </c>
      <c r="D766" s="444" t="s">
        <v>816</v>
      </c>
      <c r="E766" s="446" t="s">
        <v>3424</v>
      </c>
      <c r="F766" s="447" t="s">
        <v>1890</v>
      </c>
      <c r="G766" s="448"/>
      <c r="H766" s="448"/>
      <c r="I766" s="448" t="s">
        <v>1923</v>
      </c>
    </row>
    <row r="767" spans="1:9" ht="27" x14ac:dyDescent="0.3">
      <c r="A767" s="443" t="s">
        <v>3425</v>
      </c>
      <c r="B767" s="445" t="s">
        <v>3187</v>
      </c>
      <c r="C767" s="444" t="s">
        <v>156</v>
      </c>
      <c r="D767" s="444" t="s">
        <v>719</v>
      </c>
      <c r="E767" s="446" t="s">
        <v>3426</v>
      </c>
      <c r="F767" s="447" t="s">
        <v>1890</v>
      </c>
      <c r="G767" s="448"/>
      <c r="H767" s="448"/>
      <c r="I767" s="448" t="s">
        <v>1927</v>
      </c>
    </row>
    <row r="768" spans="1:9" ht="27" x14ac:dyDescent="0.3">
      <c r="A768" s="443" t="s">
        <v>3427</v>
      </c>
      <c r="B768" s="445" t="s">
        <v>3187</v>
      </c>
      <c r="C768" s="444" t="s">
        <v>156</v>
      </c>
      <c r="D768" s="444" t="s">
        <v>928</v>
      </c>
      <c r="E768" s="446" t="s">
        <v>3428</v>
      </c>
      <c r="F768" s="447" t="s">
        <v>1890</v>
      </c>
      <c r="G768" s="448"/>
      <c r="H768" s="448"/>
      <c r="I768" s="448" t="s">
        <v>1927</v>
      </c>
    </row>
    <row r="769" spans="1:9" ht="27" x14ac:dyDescent="0.3">
      <c r="A769" s="443" t="s">
        <v>3429</v>
      </c>
      <c r="B769" s="445" t="s">
        <v>3187</v>
      </c>
      <c r="C769" s="444" t="s">
        <v>156</v>
      </c>
      <c r="D769" s="444" t="s">
        <v>855</v>
      </c>
      <c r="E769" s="446" t="s">
        <v>3430</v>
      </c>
      <c r="F769" s="447" t="s">
        <v>1890</v>
      </c>
      <c r="G769" s="448"/>
      <c r="H769" s="448"/>
      <c r="I769" s="448" t="s">
        <v>1856</v>
      </c>
    </row>
    <row r="770" spans="1:9" ht="27" x14ac:dyDescent="0.3">
      <c r="A770" s="443" t="s">
        <v>3431</v>
      </c>
      <c r="B770" s="445" t="s">
        <v>3187</v>
      </c>
      <c r="C770" s="444" t="s">
        <v>156</v>
      </c>
      <c r="D770" s="444" t="s">
        <v>3432</v>
      </c>
      <c r="E770" s="446" t="s">
        <v>3433</v>
      </c>
      <c r="F770" s="447" t="s">
        <v>1890</v>
      </c>
      <c r="G770" s="448"/>
      <c r="H770" s="448"/>
      <c r="I770" s="448" t="s">
        <v>1893</v>
      </c>
    </row>
    <row r="771" spans="1:9" ht="27" x14ac:dyDescent="0.3">
      <c r="A771" s="443" t="s">
        <v>3434</v>
      </c>
      <c r="B771" s="445" t="s">
        <v>3187</v>
      </c>
      <c r="C771" s="444" t="s">
        <v>156</v>
      </c>
      <c r="D771" s="444" t="s">
        <v>3435</v>
      </c>
      <c r="E771" s="446" t="s">
        <v>3436</v>
      </c>
      <c r="F771" s="447" t="s">
        <v>1890</v>
      </c>
      <c r="G771" s="448"/>
      <c r="H771" s="448"/>
      <c r="I771" s="448" t="s">
        <v>1893</v>
      </c>
    </row>
    <row r="772" spans="1:9" ht="27" x14ac:dyDescent="0.3">
      <c r="A772" s="443" t="s">
        <v>3437</v>
      </c>
      <c r="B772" s="445" t="s">
        <v>3187</v>
      </c>
      <c r="C772" s="444" t="s">
        <v>156</v>
      </c>
      <c r="D772" s="444" t="s">
        <v>3438</v>
      </c>
      <c r="E772" s="446" t="s">
        <v>3439</v>
      </c>
      <c r="F772" s="447" t="s">
        <v>1854</v>
      </c>
      <c r="G772" s="448"/>
      <c r="H772" s="448" t="s">
        <v>1961</v>
      </c>
      <c r="I772" s="448" t="s">
        <v>1927</v>
      </c>
    </row>
    <row r="773" spans="1:9" ht="27" x14ac:dyDescent="0.3">
      <c r="A773" s="443" t="s">
        <v>3440</v>
      </c>
      <c r="B773" s="445" t="s">
        <v>3441</v>
      </c>
      <c r="C773" s="444" t="s">
        <v>85</v>
      </c>
      <c r="D773" s="444" t="s">
        <v>198</v>
      </c>
      <c r="E773" s="446" t="s">
        <v>3442</v>
      </c>
      <c r="F773" s="447" t="s">
        <v>1890</v>
      </c>
      <c r="G773" s="448"/>
      <c r="H773" s="448"/>
      <c r="I773" s="448" t="s">
        <v>1923</v>
      </c>
    </row>
    <row r="774" spans="1:9" ht="27" x14ac:dyDescent="0.3">
      <c r="A774" s="443" t="s">
        <v>3443</v>
      </c>
      <c r="B774" s="445" t="s">
        <v>3441</v>
      </c>
      <c r="C774" s="444" t="s">
        <v>85</v>
      </c>
      <c r="D774" s="444" t="s">
        <v>271</v>
      </c>
      <c r="E774" s="446" t="s">
        <v>3444</v>
      </c>
      <c r="F774" s="447" t="s">
        <v>1890</v>
      </c>
      <c r="G774" s="448"/>
      <c r="H774" s="448"/>
      <c r="I774" s="448" t="s">
        <v>1923</v>
      </c>
    </row>
    <row r="775" spans="1:9" ht="27" x14ac:dyDescent="0.3">
      <c r="A775" s="443" t="s">
        <v>3445</v>
      </c>
      <c r="B775" s="445" t="s">
        <v>3441</v>
      </c>
      <c r="C775" s="444" t="s">
        <v>85</v>
      </c>
      <c r="D775" s="444" t="s">
        <v>226</v>
      </c>
      <c r="E775" s="446" t="s">
        <v>3446</v>
      </c>
      <c r="F775" s="447" t="s">
        <v>1890</v>
      </c>
      <c r="G775" s="448"/>
      <c r="H775" s="448"/>
      <c r="I775" s="448" t="s">
        <v>1927</v>
      </c>
    </row>
    <row r="776" spans="1:9" ht="27" x14ac:dyDescent="0.3">
      <c r="A776" s="443" t="s">
        <v>3447</v>
      </c>
      <c r="B776" s="445" t="s">
        <v>3441</v>
      </c>
      <c r="C776" s="444" t="s">
        <v>85</v>
      </c>
      <c r="D776" s="444" t="s">
        <v>413</v>
      </c>
      <c r="E776" s="446" t="s">
        <v>3448</v>
      </c>
      <c r="F776" s="447" t="s">
        <v>1890</v>
      </c>
      <c r="G776" s="448"/>
      <c r="H776" s="448"/>
      <c r="I776" s="448" t="s">
        <v>1923</v>
      </c>
    </row>
    <row r="777" spans="1:9" ht="27" x14ac:dyDescent="0.3">
      <c r="A777" s="443" t="s">
        <v>3449</v>
      </c>
      <c r="B777" s="445" t="s">
        <v>3441</v>
      </c>
      <c r="C777" s="444" t="s">
        <v>85</v>
      </c>
      <c r="D777" s="444" t="s">
        <v>489</v>
      </c>
      <c r="E777" s="446" t="s">
        <v>3450</v>
      </c>
      <c r="F777" s="447" t="s">
        <v>1890</v>
      </c>
      <c r="G777" s="448"/>
      <c r="H777" s="448"/>
      <c r="I777" s="448" t="s">
        <v>1893</v>
      </c>
    </row>
    <row r="778" spans="1:9" ht="27" x14ac:dyDescent="0.3">
      <c r="A778" s="443" t="s">
        <v>3451</v>
      </c>
      <c r="B778" s="445" t="s">
        <v>3441</v>
      </c>
      <c r="C778" s="444" t="s">
        <v>85</v>
      </c>
      <c r="D778" s="444" t="s">
        <v>561</v>
      </c>
      <c r="E778" s="446" t="s">
        <v>3452</v>
      </c>
      <c r="F778" s="447" t="s">
        <v>1890</v>
      </c>
      <c r="G778" s="448"/>
      <c r="H778" s="448"/>
      <c r="I778" s="448" t="s">
        <v>1927</v>
      </c>
    </row>
    <row r="779" spans="1:9" ht="27" x14ac:dyDescent="0.3">
      <c r="A779" s="443" t="s">
        <v>3453</v>
      </c>
      <c r="B779" s="445" t="s">
        <v>3441</v>
      </c>
      <c r="C779" s="444" t="s">
        <v>85</v>
      </c>
      <c r="D779" s="444" t="s">
        <v>627</v>
      </c>
      <c r="E779" s="446" t="s">
        <v>3454</v>
      </c>
      <c r="F779" s="447" t="s">
        <v>1890</v>
      </c>
      <c r="G779" s="448"/>
      <c r="H779" s="448"/>
      <c r="I779" s="448" t="s">
        <v>1856</v>
      </c>
    </row>
    <row r="780" spans="1:9" ht="27" x14ac:dyDescent="0.3">
      <c r="A780" s="443" t="s">
        <v>3455</v>
      </c>
      <c r="B780" s="445" t="s">
        <v>3441</v>
      </c>
      <c r="C780" s="444" t="s">
        <v>85</v>
      </c>
      <c r="D780" s="444" t="s">
        <v>692</v>
      </c>
      <c r="E780" s="446" t="s">
        <v>3456</v>
      </c>
      <c r="F780" s="447" t="s">
        <v>1890</v>
      </c>
      <c r="G780" s="448"/>
      <c r="H780" s="448"/>
      <c r="I780" s="448" t="s">
        <v>1893</v>
      </c>
    </row>
    <row r="781" spans="1:9" ht="27" x14ac:dyDescent="0.3">
      <c r="A781" s="443" t="s">
        <v>3457</v>
      </c>
      <c r="B781" s="445" t="s">
        <v>3441</v>
      </c>
      <c r="C781" s="444" t="s">
        <v>85</v>
      </c>
      <c r="D781" s="444" t="s">
        <v>757</v>
      </c>
      <c r="E781" s="446" t="s">
        <v>3458</v>
      </c>
      <c r="F781" s="447" t="s">
        <v>1890</v>
      </c>
      <c r="G781" s="448"/>
      <c r="H781" s="448"/>
      <c r="I781" s="448" t="s">
        <v>1927</v>
      </c>
    </row>
    <row r="782" spans="1:9" ht="27" x14ac:dyDescent="0.3">
      <c r="A782" s="443" t="s">
        <v>3459</v>
      </c>
      <c r="B782" s="445" t="s">
        <v>3441</v>
      </c>
      <c r="C782" s="444" t="s">
        <v>85</v>
      </c>
      <c r="D782" s="444" t="s">
        <v>817</v>
      </c>
      <c r="E782" s="446" t="s">
        <v>3460</v>
      </c>
      <c r="F782" s="447" t="s">
        <v>1890</v>
      </c>
      <c r="G782" s="448"/>
      <c r="H782" s="448"/>
      <c r="I782" s="448" t="s">
        <v>1923</v>
      </c>
    </row>
    <row r="783" spans="1:9" ht="27" x14ac:dyDescent="0.3">
      <c r="A783" s="443" t="s">
        <v>3461</v>
      </c>
      <c r="B783" s="445" t="s">
        <v>3441</v>
      </c>
      <c r="C783" s="444" t="s">
        <v>85</v>
      </c>
      <c r="D783" s="444" t="s">
        <v>872</v>
      </c>
      <c r="E783" s="446" t="s">
        <v>3462</v>
      </c>
      <c r="F783" s="447" t="s">
        <v>1890</v>
      </c>
      <c r="G783" s="448"/>
      <c r="H783" s="448"/>
      <c r="I783" s="448" t="s">
        <v>1923</v>
      </c>
    </row>
    <row r="784" spans="1:9" ht="27" x14ac:dyDescent="0.3">
      <c r="A784" s="443" t="s">
        <v>3463</v>
      </c>
      <c r="B784" s="445" t="s">
        <v>3441</v>
      </c>
      <c r="C784" s="444" t="s">
        <v>85</v>
      </c>
      <c r="D784" s="444" t="s">
        <v>929</v>
      </c>
      <c r="E784" s="446" t="s">
        <v>3464</v>
      </c>
      <c r="F784" s="447" t="s">
        <v>1890</v>
      </c>
      <c r="G784" s="448"/>
      <c r="H784" s="448"/>
      <c r="I784" s="448" t="s">
        <v>1856</v>
      </c>
    </row>
    <row r="785" spans="1:9" ht="27" x14ac:dyDescent="0.3">
      <c r="A785" s="443" t="s">
        <v>3465</v>
      </c>
      <c r="B785" s="445" t="s">
        <v>3441</v>
      </c>
      <c r="C785" s="444" t="s">
        <v>85</v>
      </c>
      <c r="D785" s="444" t="s">
        <v>867</v>
      </c>
      <c r="E785" s="446" t="s">
        <v>3466</v>
      </c>
      <c r="F785" s="447" t="s">
        <v>1890</v>
      </c>
      <c r="G785" s="448"/>
      <c r="H785" s="448"/>
      <c r="I785" s="448" t="s">
        <v>1923</v>
      </c>
    </row>
    <row r="786" spans="1:9" ht="27" x14ac:dyDescent="0.3">
      <c r="A786" s="443" t="s">
        <v>3467</v>
      </c>
      <c r="B786" s="445" t="s">
        <v>3441</v>
      </c>
      <c r="C786" s="444" t="s">
        <v>85</v>
      </c>
      <c r="D786" s="444" t="s">
        <v>1026</v>
      </c>
      <c r="E786" s="446" t="s">
        <v>3468</v>
      </c>
      <c r="F786" s="447" t="s">
        <v>1890</v>
      </c>
      <c r="G786" s="448"/>
      <c r="H786" s="448"/>
      <c r="I786" s="448" t="s">
        <v>1923</v>
      </c>
    </row>
    <row r="787" spans="1:9" ht="27" x14ac:dyDescent="0.3">
      <c r="A787" s="443" t="s">
        <v>3469</v>
      </c>
      <c r="B787" s="445" t="s">
        <v>3441</v>
      </c>
      <c r="C787" s="444" t="s">
        <v>85</v>
      </c>
      <c r="D787" s="444" t="s">
        <v>3470</v>
      </c>
      <c r="E787" s="446" t="s">
        <v>3471</v>
      </c>
      <c r="F787" s="447" t="s">
        <v>1890</v>
      </c>
      <c r="G787" s="448"/>
      <c r="H787" s="448"/>
      <c r="I787" s="448" t="s">
        <v>1927</v>
      </c>
    </row>
    <row r="788" spans="1:9" ht="27" x14ac:dyDescent="0.3">
      <c r="A788" s="443" t="s">
        <v>3472</v>
      </c>
      <c r="B788" s="445" t="s">
        <v>3441</v>
      </c>
      <c r="C788" s="444" t="s">
        <v>85</v>
      </c>
      <c r="D788" s="444" t="s">
        <v>1107</v>
      </c>
      <c r="E788" s="446" t="s">
        <v>3473</v>
      </c>
      <c r="F788" s="447" t="s">
        <v>1890</v>
      </c>
      <c r="G788" s="448"/>
      <c r="H788" s="448"/>
      <c r="I788" s="448" t="s">
        <v>1923</v>
      </c>
    </row>
    <row r="789" spans="1:9" ht="27" x14ac:dyDescent="0.3">
      <c r="A789" s="443" t="s">
        <v>3474</v>
      </c>
      <c r="B789" s="445" t="s">
        <v>3441</v>
      </c>
      <c r="C789" s="444" t="s">
        <v>85</v>
      </c>
      <c r="D789" s="444" t="s">
        <v>1142</v>
      </c>
      <c r="E789" s="446" t="s">
        <v>3475</v>
      </c>
      <c r="F789" s="447" t="s">
        <v>1890</v>
      </c>
      <c r="G789" s="448"/>
      <c r="H789" s="448"/>
      <c r="I789" s="448" t="s">
        <v>1893</v>
      </c>
    </row>
    <row r="790" spans="1:9" ht="27" x14ac:dyDescent="0.3">
      <c r="A790" s="443" t="s">
        <v>3476</v>
      </c>
      <c r="B790" s="445" t="s">
        <v>3441</v>
      </c>
      <c r="C790" s="444" t="s">
        <v>102</v>
      </c>
      <c r="D790" s="444" t="s">
        <v>199</v>
      </c>
      <c r="E790" s="446" t="s">
        <v>3477</v>
      </c>
      <c r="F790" s="447" t="s">
        <v>1890</v>
      </c>
      <c r="G790" s="448"/>
      <c r="H790" s="448"/>
      <c r="I790" s="448" t="s">
        <v>1923</v>
      </c>
    </row>
    <row r="791" spans="1:9" ht="27" x14ac:dyDescent="0.3">
      <c r="A791" s="443" t="s">
        <v>3478</v>
      </c>
      <c r="B791" s="445" t="s">
        <v>3441</v>
      </c>
      <c r="C791" s="444" t="s">
        <v>102</v>
      </c>
      <c r="D791" s="444" t="s">
        <v>344</v>
      </c>
      <c r="E791" s="446" t="s">
        <v>3479</v>
      </c>
      <c r="F791" s="447" t="s">
        <v>1890</v>
      </c>
      <c r="G791" s="448"/>
      <c r="H791" s="448"/>
      <c r="I791" s="448" t="s">
        <v>1923</v>
      </c>
    </row>
    <row r="792" spans="1:9" ht="27" x14ac:dyDescent="0.3">
      <c r="A792" s="443" t="s">
        <v>3480</v>
      </c>
      <c r="B792" s="445" t="s">
        <v>3441</v>
      </c>
      <c r="C792" s="444" t="s">
        <v>102</v>
      </c>
      <c r="D792" s="444" t="s">
        <v>414</v>
      </c>
      <c r="E792" s="446" t="s">
        <v>3481</v>
      </c>
      <c r="F792" s="447" t="s">
        <v>1890</v>
      </c>
      <c r="G792" s="448"/>
      <c r="H792" s="448"/>
      <c r="I792" s="448" t="s">
        <v>1893</v>
      </c>
    </row>
    <row r="793" spans="1:9" ht="27" x14ac:dyDescent="0.3">
      <c r="A793" s="443" t="s">
        <v>3482</v>
      </c>
      <c r="B793" s="445" t="s">
        <v>3441</v>
      </c>
      <c r="C793" s="444" t="s">
        <v>102</v>
      </c>
      <c r="D793" s="444" t="s">
        <v>490</v>
      </c>
      <c r="E793" s="446" t="s">
        <v>3483</v>
      </c>
      <c r="F793" s="447" t="s">
        <v>1890</v>
      </c>
      <c r="G793" s="448"/>
      <c r="H793" s="448"/>
      <c r="I793" s="448" t="s">
        <v>1927</v>
      </c>
    </row>
    <row r="794" spans="1:9" ht="27" x14ac:dyDescent="0.3">
      <c r="A794" s="443" t="s">
        <v>3484</v>
      </c>
      <c r="B794" s="445" t="s">
        <v>3441</v>
      </c>
      <c r="C794" s="444" t="s">
        <v>102</v>
      </c>
      <c r="D794" s="444" t="s">
        <v>562</v>
      </c>
      <c r="E794" s="446" t="s">
        <v>3485</v>
      </c>
      <c r="F794" s="447" t="s">
        <v>1890</v>
      </c>
      <c r="G794" s="448"/>
      <c r="H794" s="448"/>
      <c r="I794" s="448" t="s">
        <v>1856</v>
      </c>
    </row>
    <row r="795" spans="1:9" ht="27" x14ac:dyDescent="0.3">
      <c r="A795" s="443" t="s">
        <v>3486</v>
      </c>
      <c r="B795" s="445" t="s">
        <v>3441</v>
      </c>
      <c r="C795" s="444" t="s">
        <v>102</v>
      </c>
      <c r="D795" s="444" t="s">
        <v>628</v>
      </c>
      <c r="E795" s="446" t="s">
        <v>3487</v>
      </c>
      <c r="F795" s="447" t="s">
        <v>1890</v>
      </c>
      <c r="G795" s="448"/>
      <c r="H795" s="448"/>
      <c r="I795" s="448" t="s">
        <v>1927</v>
      </c>
    </row>
    <row r="796" spans="1:9" ht="27" x14ac:dyDescent="0.3">
      <c r="A796" s="443" t="s">
        <v>3488</v>
      </c>
      <c r="B796" s="445" t="s">
        <v>3441</v>
      </c>
      <c r="C796" s="444" t="s">
        <v>102</v>
      </c>
      <c r="D796" s="444" t="s">
        <v>3489</v>
      </c>
      <c r="E796" s="446" t="s">
        <v>3490</v>
      </c>
      <c r="F796" s="447" t="s">
        <v>1890</v>
      </c>
      <c r="G796" s="448" t="s">
        <v>345</v>
      </c>
      <c r="H796" s="448"/>
      <c r="I796" s="448" t="s">
        <v>1923</v>
      </c>
    </row>
    <row r="797" spans="1:9" ht="27" x14ac:dyDescent="0.3">
      <c r="A797" s="443" t="s">
        <v>3491</v>
      </c>
      <c r="B797" s="445" t="s">
        <v>3441</v>
      </c>
      <c r="C797" s="444" t="s">
        <v>102</v>
      </c>
      <c r="D797" s="444" t="s">
        <v>693</v>
      </c>
      <c r="E797" s="446" t="s">
        <v>3492</v>
      </c>
      <c r="F797" s="447" t="s">
        <v>1890</v>
      </c>
      <c r="G797" s="448"/>
      <c r="H797" s="448"/>
      <c r="I797" s="448" t="s">
        <v>1927</v>
      </c>
    </row>
    <row r="798" spans="1:9" ht="27" x14ac:dyDescent="0.3">
      <c r="A798" s="443" t="s">
        <v>3493</v>
      </c>
      <c r="B798" s="445" t="s">
        <v>3441</v>
      </c>
      <c r="C798" s="444" t="s">
        <v>102</v>
      </c>
      <c r="D798" s="444" t="s">
        <v>758</v>
      </c>
      <c r="E798" s="446" t="s">
        <v>3494</v>
      </c>
      <c r="F798" s="447" t="s">
        <v>1890</v>
      </c>
      <c r="G798" s="448"/>
      <c r="H798" s="448"/>
      <c r="I798" s="448" t="s">
        <v>1923</v>
      </c>
    </row>
    <row r="799" spans="1:9" ht="27" x14ac:dyDescent="0.3">
      <c r="A799" s="443" t="s">
        <v>3495</v>
      </c>
      <c r="B799" s="445" t="s">
        <v>3441</v>
      </c>
      <c r="C799" s="444" t="s">
        <v>102</v>
      </c>
      <c r="D799" s="444" t="s">
        <v>818</v>
      </c>
      <c r="E799" s="446" t="s">
        <v>3496</v>
      </c>
      <c r="F799" s="447" t="s">
        <v>1890</v>
      </c>
      <c r="G799" s="448"/>
      <c r="H799" s="448"/>
      <c r="I799" s="448" t="s">
        <v>1893</v>
      </c>
    </row>
    <row r="800" spans="1:9" ht="27" x14ac:dyDescent="0.3">
      <c r="A800" s="443" t="s">
        <v>3497</v>
      </c>
      <c r="B800" s="445" t="s">
        <v>3441</v>
      </c>
      <c r="C800" s="444" t="s">
        <v>102</v>
      </c>
      <c r="D800" s="444" t="s">
        <v>558</v>
      </c>
      <c r="E800" s="446" t="s">
        <v>3498</v>
      </c>
      <c r="F800" s="447" t="s">
        <v>1890</v>
      </c>
      <c r="G800" s="448"/>
      <c r="H800" s="448"/>
      <c r="I800" s="448" t="s">
        <v>1923</v>
      </c>
    </row>
    <row r="801" spans="1:9" ht="27" x14ac:dyDescent="0.3">
      <c r="A801" s="443" t="s">
        <v>3499</v>
      </c>
      <c r="B801" s="445" t="s">
        <v>3441</v>
      </c>
      <c r="C801" s="444" t="s">
        <v>102</v>
      </c>
      <c r="D801" s="444" t="s">
        <v>930</v>
      </c>
      <c r="E801" s="446" t="s">
        <v>3500</v>
      </c>
      <c r="F801" s="447" t="s">
        <v>1890</v>
      </c>
      <c r="G801" s="448"/>
      <c r="H801" s="448"/>
      <c r="I801" s="448" t="s">
        <v>1927</v>
      </c>
    </row>
    <row r="802" spans="1:9" ht="27" x14ac:dyDescent="0.3">
      <c r="A802" s="443" t="s">
        <v>3501</v>
      </c>
      <c r="B802" s="445" t="s">
        <v>3441</v>
      </c>
      <c r="C802" s="444" t="s">
        <v>102</v>
      </c>
      <c r="D802" s="444" t="s">
        <v>1828</v>
      </c>
      <c r="E802" s="446" t="s">
        <v>3502</v>
      </c>
      <c r="F802" s="447" t="s">
        <v>1890</v>
      </c>
      <c r="G802" s="448"/>
      <c r="H802" s="448"/>
      <c r="I802" s="448" t="s">
        <v>1856</v>
      </c>
    </row>
    <row r="803" spans="1:9" ht="27" x14ac:dyDescent="0.3">
      <c r="A803" s="443" t="s">
        <v>3503</v>
      </c>
      <c r="B803" s="445" t="s">
        <v>3441</v>
      </c>
      <c r="C803" s="444" t="s">
        <v>102</v>
      </c>
      <c r="D803" s="444" t="s">
        <v>3504</v>
      </c>
      <c r="E803" s="446" t="s">
        <v>3505</v>
      </c>
      <c r="F803" s="447" t="s">
        <v>1890</v>
      </c>
      <c r="G803" s="448"/>
      <c r="H803" s="448"/>
      <c r="I803" s="448" t="s">
        <v>1927</v>
      </c>
    </row>
    <row r="804" spans="1:9" ht="27" x14ac:dyDescent="0.3">
      <c r="A804" s="443" t="s">
        <v>3506</v>
      </c>
      <c r="B804" s="445" t="s">
        <v>3441</v>
      </c>
      <c r="C804" s="444" t="s">
        <v>102</v>
      </c>
      <c r="D804" s="444" t="s">
        <v>1070</v>
      </c>
      <c r="E804" s="446" t="s">
        <v>3507</v>
      </c>
      <c r="F804" s="447" t="s">
        <v>1890</v>
      </c>
      <c r="G804" s="448"/>
      <c r="H804" s="448"/>
      <c r="I804" s="448" t="s">
        <v>1923</v>
      </c>
    </row>
    <row r="805" spans="1:9" ht="27" x14ac:dyDescent="0.3">
      <c r="A805" s="443" t="s">
        <v>3508</v>
      </c>
      <c r="B805" s="445" t="s">
        <v>3441</v>
      </c>
      <c r="C805" s="444" t="s">
        <v>102</v>
      </c>
      <c r="D805" s="444" t="s">
        <v>1108</v>
      </c>
      <c r="E805" s="446" t="s">
        <v>3509</v>
      </c>
      <c r="F805" s="447" t="s">
        <v>1890</v>
      </c>
      <c r="G805" s="448"/>
      <c r="H805" s="448"/>
      <c r="I805" s="448" t="s">
        <v>1874</v>
      </c>
    </row>
    <row r="806" spans="1:9" ht="27" x14ac:dyDescent="0.3">
      <c r="A806" s="443" t="s">
        <v>3510</v>
      </c>
      <c r="B806" s="445" t="s">
        <v>3441</v>
      </c>
      <c r="C806" s="444" t="s">
        <v>102</v>
      </c>
      <c r="D806" s="444" t="s">
        <v>1143</v>
      </c>
      <c r="E806" s="446" t="s">
        <v>3511</v>
      </c>
      <c r="F806" s="447" t="s">
        <v>1890</v>
      </c>
      <c r="G806" s="448"/>
      <c r="H806" s="448"/>
      <c r="I806" s="448" t="s">
        <v>1923</v>
      </c>
    </row>
    <row r="807" spans="1:9" ht="27" x14ac:dyDescent="0.3">
      <c r="A807" s="443" t="s">
        <v>3512</v>
      </c>
      <c r="B807" s="445" t="s">
        <v>3441</v>
      </c>
      <c r="C807" s="444" t="s">
        <v>102</v>
      </c>
      <c r="D807" s="444" t="s">
        <v>1205</v>
      </c>
      <c r="E807" s="446" t="s">
        <v>3513</v>
      </c>
      <c r="F807" s="447" t="s">
        <v>1890</v>
      </c>
      <c r="G807" s="448"/>
      <c r="H807" s="448"/>
      <c r="I807" s="448" t="s">
        <v>1923</v>
      </c>
    </row>
    <row r="808" spans="1:9" ht="27" x14ac:dyDescent="0.3">
      <c r="A808" s="443" t="s">
        <v>3514</v>
      </c>
      <c r="B808" s="445" t="s">
        <v>3441</v>
      </c>
      <c r="C808" s="444" t="s">
        <v>119</v>
      </c>
      <c r="D808" s="444" t="s">
        <v>272</v>
      </c>
      <c r="E808" s="446" t="s">
        <v>3515</v>
      </c>
      <c r="F808" s="447" t="s">
        <v>1890</v>
      </c>
      <c r="G808" s="448"/>
      <c r="H808" s="448"/>
      <c r="I808" s="448" t="s">
        <v>1923</v>
      </c>
    </row>
    <row r="809" spans="1:9" ht="27" x14ac:dyDescent="0.3">
      <c r="A809" s="443" t="s">
        <v>3516</v>
      </c>
      <c r="B809" s="445" t="s">
        <v>3441</v>
      </c>
      <c r="C809" s="444" t="s">
        <v>119</v>
      </c>
      <c r="D809" s="444" t="s">
        <v>345</v>
      </c>
      <c r="E809" s="446" t="s">
        <v>3517</v>
      </c>
      <c r="F809" s="447" t="s">
        <v>1890</v>
      </c>
      <c r="G809" s="448"/>
      <c r="H809" s="448"/>
      <c r="I809" s="448" t="s">
        <v>1923</v>
      </c>
    </row>
    <row r="810" spans="1:9" ht="27" x14ac:dyDescent="0.3">
      <c r="A810" s="443" t="s">
        <v>3518</v>
      </c>
      <c r="B810" s="445" t="s">
        <v>3441</v>
      </c>
      <c r="C810" s="444" t="s">
        <v>119</v>
      </c>
      <c r="D810" s="444" t="s">
        <v>415</v>
      </c>
      <c r="E810" s="446" t="s">
        <v>3519</v>
      </c>
      <c r="F810" s="447" t="s">
        <v>1890</v>
      </c>
      <c r="G810" s="448"/>
      <c r="H810" s="448"/>
      <c r="I810" s="448" t="s">
        <v>1923</v>
      </c>
    </row>
    <row r="811" spans="1:9" ht="27" x14ac:dyDescent="0.3">
      <c r="A811" s="443" t="s">
        <v>3520</v>
      </c>
      <c r="B811" s="445" t="s">
        <v>3441</v>
      </c>
      <c r="C811" s="444" t="s">
        <v>119</v>
      </c>
      <c r="D811" s="444" t="s">
        <v>491</v>
      </c>
      <c r="E811" s="446" t="s">
        <v>3521</v>
      </c>
      <c r="F811" s="447" t="s">
        <v>1890</v>
      </c>
      <c r="G811" s="448"/>
      <c r="H811" s="448"/>
      <c r="I811" s="448" t="s">
        <v>1874</v>
      </c>
    </row>
    <row r="812" spans="1:9" ht="27" x14ac:dyDescent="0.3">
      <c r="A812" s="443" t="s">
        <v>3522</v>
      </c>
      <c r="B812" s="445" t="s">
        <v>3441</v>
      </c>
      <c r="C812" s="444" t="s">
        <v>119</v>
      </c>
      <c r="D812" s="444" t="s">
        <v>563</v>
      </c>
      <c r="E812" s="446" t="s">
        <v>3523</v>
      </c>
      <c r="F812" s="447" t="s">
        <v>1890</v>
      </c>
      <c r="G812" s="448"/>
      <c r="H812" s="448"/>
      <c r="I812" s="448" t="s">
        <v>1923</v>
      </c>
    </row>
    <row r="813" spans="1:9" ht="27" x14ac:dyDescent="0.3">
      <c r="A813" s="443" t="s">
        <v>3524</v>
      </c>
      <c r="B813" s="445" t="s">
        <v>3441</v>
      </c>
      <c r="C813" s="444" t="s">
        <v>119</v>
      </c>
      <c r="D813" s="444" t="s">
        <v>629</v>
      </c>
      <c r="E813" s="446" t="s">
        <v>3525</v>
      </c>
      <c r="F813" s="447" t="s">
        <v>1890</v>
      </c>
      <c r="G813" s="448"/>
      <c r="H813" s="448"/>
      <c r="I813" s="448" t="s">
        <v>1874</v>
      </c>
    </row>
    <row r="814" spans="1:9" ht="27" x14ac:dyDescent="0.3">
      <c r="A814" s="443" t="s">
        <v>3526</v>
      </c>
      <c r="B814" s="445" t="s">
        <v>3441</v>
      </c>
      <c r="C814" s="444" t="s">
        <v>119</v>
      </c>
      <c r="D814" s="444" t="s">
        <v>694</v>
      </c>
      <c r="E814" s="446" t="s">
        <v>3527</v>
      </c>
      <c r="F814" s="447" t="s">
        <v>1890</v>
      </c>
      <c r="G814" s="448"/>
      <c r="H814" s="448"/>
      <c r="I814" s="448" t="s">
        <v>1927</v>
      </c>
    </row>
    <row r="815" spans="1:9" ht="27" x14ac:dyDescent="0.3">
      <c r="A815" s="443" t="s">
        <v>3528</v>
      </c>
      <c r="B815" s="445" t="s">
        <v>3441</v>
      </c>
      <c r="C815" s="444" t="s">
        <v>119</v>
      </c>
      <c r="D815" s="444" t="s">
        <v>759</v>
      </c>
      <c r="E815" s="446" t="s">
        <v>3529</v>
      </c>
      <c r="F815" s="447" t="s">
        <v>1890</v>
      </c>
      <c r="G815" s="448"/>
      <c r="H815" s="448"/>
      <c r="I815" s="448" t="s">
        <v>1927</v>
      </c>
    </row>
    <row r="816" spans="1:9" ht="27" x14ac:dyDescent="0.3">
      <c r="A816" s="443" t="s">
        <v>3530</v>
      </c>
      <c r="B816" s="445" t="s">
        <v>3441</v>
      </c>
      <c r="C816" s="444" t="s">
        <v>119</v>
      </c>
      <c r="D816" s="444" t="s">
        <v>819</v>
      </c>
      <c r="E816" s="446" t="s">
        <v>3531</v>
      </c>
      <c r="F816" s="447" t="s">
        <v>1890</v>
      </c>
      <c r="G816" s="448"/>
      <c r="H816" s="448"/>
      <c r="I816" s="448" t="s">
        <v>1927</v>
      </c>
    </row>
    <row r="817" spans="1:9" ht="27" x14ac:dyDescent="0.3">
      <c r="A817" s="443" t="s">
        <v>3532</v>
      </c>
      <c r="B817" s="445" t="s">
        <v>3441</v>
      </c>
      <c r="C817" s="444" t="s">
        <v>119</v>
      </c>
      <c r="D817" s="444" t="s">
        <v>873</v>
      </c>
      <c r="E817" s="446" t="s">
        <v>3533</v>
      </c>
      <c r="F817" s="447" t="s">
        <v>1890</v>
      </c>
      <c r="G817" s="448"/>
      <c r="H817" s="448"/>
      <c r="I817" s="448" t="s">
        <v>1927</v>
      </c>
    </row>
    <row r="818" spans="1:9" ht="27" x14ac:dyDescent="0.3">
      <c r="A818" s="443" t="s">
        <v>3534</v>
      </c>
      <c r="B818" s="445" t="s">
        <v>3441</v>
      </c>
      <c r="C818" s="444" t="s">
        <v>119</v>
      </c>
      <c r="D818" s="444" t="s">
        <v>855</v>
      </c>
      <c r="E818" s="446" t="s">
        <v>3535</v>
      </c>
      <c r="F818" s="447" t="s">
        <v>1890</v>
      </c>
      <c r="G818" s="448"/>
      <c r="H818" s="448"/>
      <c r="I818" s="448" t="s">
        <v>1927</v>
      </c>
    </row>
    <row r="819" spans="1:9" ht="27" x14ac:dyDescent="0.3">
      <c r="A819" s="443" t="s">
        <v>3536</v>
      </c>
      <c r="B819" s="445" t="s">
        <v>3441</v>
      </c>
      <c r="C819" s="444" t="s">
        <v>119</v>
      </c>
      <c r="D819" s="444" t="s">
        <v>978</v>
      </c>
      <c r="E819" s="446" t="s">
        <v>3537</v>
      </c>
      <c r="F819" s="447" t="s">
        <v>1890</v>
      </c>
      <c r="G819" s="448"/>
      <c r="H819" s="448"/>
      <c r="I819" s="448" t="s">
        <v>1927</v>
      </c>
    </row>
    <row r="820" spans="1:9" ht="27" x14ac:dyDescent="0.3">
      <c r="A820" s="443" t="s">
        <v>3538</v>
      </c>
      <c r="B820" s="445" t="s">
        <v>3441</v>
      </c>
      <c r="C820" s="444" t="s">
        <v>119</v>
      </c>
      <c r="D820" s="444" t="s">
        <v>3539</v>
      </c>
      <c r="E820" s="446" t="s">
        <v>3540</v>
      </c>
      <c r="F820" s="447" t="s">
        <v>1890</v>
      </c>
      <c r="G820" s="448"/>
      <c r="H820" s="448"/>
      <c r="I820" s="448" t="s">
        <v>1923</v>
      </c>
    </row>
    <row r="821" spans="1:9" ht="27" x14ac:dyDescent="0.3">
      <c r="A821" s="443" t="s">
        <v>3541</v>
      </c>
      <c r="B821" s="445" t="s">
        <v>3441</v>
      </c>
      <c r="C821" s="444" t="s">
        <v>119</v>
      </c>
      <c r="D821" s="444" t="s">
        <v>3542</v>
      </c>
      <c r="E821" s="446" t="s">
        <v>3543</v>
      </c>
      <c r="F821" s="447" t="s">
        <v>1854</v>
      </c>
      <c r="G821" s="448"/>
      <c r="H821" s="448" t="s">
        <v>1961</v>
      </c>
      <c r="I821" s="448" t="s">
        <v>1927</v>
      </c>
    </row>
    <row r="822" spans="1:9" ht="27" x14ac:dyDescent="0.3">
      <c r="A822" s="443" t="s">
        <v>3544</v>
      </c>
      <c r="B822" s="445" t="s">
        <v>3441</v>
      </c>
      <c r="C822" s="444" t="s">
        <v>119</v>
      </c>
      <c r="D822" s="444" t="s">
        <v>1071</v>
      </c>
      <c r="E822" s="446" t="s">
        <v>3545</v>
      </c>
      <c r="F822" s="447" t="s">
        <v>1890</v>
      </c>
      <c r="G822" s="448"/>
      <c r="H822" s="448"/>
      <c r="I822" s="448" t="s">
        <v>1923</v>
      </c>
    </row>
    <row r="823" spans="1:9" ht="27" x14ac:dyDescent="0.3">
      <c r="A823" s="443" t="s">
        <v>3546</v>
      </c>
      <c r="B823" s="445" t="s">
        <v>3441</v>
      </c>
      <c r="C823" s="444" t="s">
        <v>119</v>
      </c>
      <c r="D823" s="444" t="s">
        <v>1109</v>
      </c>
      <c r="E823" s="446" t="s">
        <v>3547</v>
      </c>
      <c r="F823" s="447" t="s">
        <v>1890</v>
      </c>
      <c r="G823" s="448"/>
      <c r="H823" s="448"/>
      <c r="I823" s="448" t="s">
        <v>1923</v>
      </c>
    </row>
    <row r="824" spans="1:9" ht="27" x14ac:dyDescent="0.3">
      <c r="A824" s="443" t="s">
        <v>3548</v>
      </c>
      <c r="B824" s="445" t="s">
        <v>3441</v>
      </c>
      <c r="C824" s="444" t="s">
        <v>119</v>
      </c>
      <c r="D824" s="444" t="s">
        <v>1144</v>
      </c>
      <c r="E824" s="446" t="s">
        <v>3549</v>
      </c>
      <c r="F824" s="447" t="s">
        <v>1890</v>
      </c>
      <c r="G824" s="448"/>
      <c r="H824" s="448"/>
      <c r="I824" s="448" t="s">
        <v>1856</v>
      </c>
    </row>
    <row r="825" spans="1:9" ht="27" x14ac:dyDescent="0.3">
      <c r="A825" s="443" t="s">
        <v>3550</v>
      </c>
      <c r="B825" s="445" t="s">
        <v>3441</v>
      </c>
      <c r="C825" s="444" t="s">
        <v>135</v>
      </c>
      <c r="D825" s="444" t="s">
        <v>201</v>
      </c>
      <c r="E825" s="446" t="s">
        <v>3551</v>
      </c>
      <c r="F825" s="447" t="s">
        <v>1890</v>
      </c>
      <c r="G825" s="448"/>
      <c r="H825" s="448"/>
      <c r="I825" s="448" t="s">
        <v>1874</v>
      </c>
    </row>
    <row r="826" spans="1:9" ht="27" x14ac:dyDescent="0.3">
      <c r="A826" s="443" t="s">
        <v>3552</v>
      </c>
      <c r="B826" s="445" t="s">
        <v>3441</v>
      </c>
      <c r="C826" s="444" t="s">
        <v>135</v>
      </c>
      <c r="D826" s="444" t="s">
        <v>273</v>
      </c>
      <c r="E826" s="446" t="s">
        <v>3553</v>
      </c>
      <c r="F826" s="447" t="s">
        <v>1890</v>
      </c>
      <c r="G826" s="448"/>
      <c r="H826" s="448"/>
      <c r="I826" s="448" t="s">
        <v>1927</v>
      </c>
    </row>
    <row r="827" spans="1:9" ht="27" x14ac:dyDescent="0.3">
      <c r="A827" s="443" t="s">
        <v>3554</v>
      </c>
      <c r="B827" s="445" t="s">
        <v>3441</v>
      </c>
      <c r="C827" s="444" t="s">
        <v>135</v>
      </c>
      <c r="D827" s="444" t="s">
        <v>346</v>
      </c>
      <c r="E827" s="446" t="s">
        <v>3555</v>
      </c>
      <c r="F827" s="447" t="s">
        <v>1890</v>
      </c>
      <c r="G827" s="448"/>
      <c r="H827" s="448"/>
      <c r="I827" s="448" t="s">
        <v>1923</v>
      </c>
    </row>
    <row r="828" spans="1:9" ht="27" x14ac:dyDescent="0.3">
      <c r="A828" s="443" t="s">
        <v>3556</v>
      </c>
      <c r="B828" s="445" t="s">
        <v>3441</v>
      </c>
      <c r="C828" s="444" t="s">
        <v>135</v>
      </c>
      <c r="D828" s="444" t="s">
        <v>416</v>
      </c>
      <c r="E828" s="446" t="s">
        <v>3557</v>
      </c>
      <c r="F828" s="447" t="s">
        <v>1890</v>
      </c>
      <c r="G828" s="448"/>
      <c r="H828" s="448"/>
      <c r="I828" s="448" t="s">
        <v>1923</v>
      </c>
    </row>
    <row r="829" spans="1:9" ht="27" x14ac:dyDescent="0.3">
      <c r="A829" s="443" t="s">
        <v>3558</v>
      </c>
      <c r="B829" s="445" t="s">
        <v>3441</v>
      </c>
      <c r="C829" s="444" t="s">
        <v>135</v>
      </c>
      <c r="D829" s="444" t="s">
        <v>492</v>
      </c>
      <c r="E829" s="446" t="s">
        <v>3559</v>
      </c>
      <c r="F829" s="447" t="s">
        <v>1890</v>
      </c>
      <c r="G829" s="448"/>
      <c r="H829" s="448"/>
      <c r="I829" s="448" t="s">
        <v>1923</v>
      </c>
    </row>
    <row r="830" spans="1:9" ht="27" x14ac:dyDescent="0.3">
      <c r="A830" s="443" t="s">
        <v>3560</v>
      </c>
      <c r="B830" s="445" t="s">
        <v>3441</v>
      </c>
      <c r="C830" s="444" t="s">
        <v>135</v>
      </c>
      <c r="D830" s="444" t="s">
        <v>564</v>
      </c>
      <c r="E830" s="446" t="s">
        <v>3561</v>
      </c>
      <c r="F830" s="447" t="s">
        <v>1890</v>
      </c>
      <c r="G830" s="448"/>
      <c r="H830" s="448"/>
      <c r="I830" s="448" t="s">
        <v>1923</v>
      </c>
    </row>
    <row r="831" spans="1:9" ht="27" x14ac:dyDescent="0.3">
      <c r="A831" s="443" t="s">
        <v>3562</v>
      </c>
      <c r="B831" s="445" t="s">
        <v>3441</v>
      </c>
      <c r="C831" s="444" t="s">
        <v>135</v>
      </c>
      <c r="D831" s="444" t="s">
        <v>3563</v>
      </c>
      <c r="E831" s="446" t="s">
        <v>3564</v>
      </c>
      <c r="F831" s="447" t="s">
        <v>1890</v>
      </c>
      <c r="G831" s="448"/>
      <c r="H831" s="448"/>
      <c r="I831" s="448" t="s">
        <v>1874</v>
      </c>
    </row>
    <row r="832" spans="1:9" ht="27" x14ac:dyDescent="0.3">
      <c r="A832" s="443" t="s">
        <v>3565</v>
      </c>
      <c r="B832" s="445" t="s">
        <v>3441</v>
      </c>
      <c r="C832" s="444" t="s">
        <v>135</v>
      </c>
      <c r="D832" s="444" t="s">
        <v>3566</v>
      </c>
      <c r="E832" s="446" t="s">
        <v>3567</v>
      </c>
      <c r="F832" s="447" t="s">
        <v>1890</v>
      </c>
      <c r="G832" s="448"/>
      <c r="H832" s="448"/>
      <c r="I832" s="448" t="s">
        <v>1927</v>
      </c>
    </row>
    <row r="833" spans="1:9" ht="27" x14ac:dyDescent="0.3">
      <c r="A833" s="443" t="s">
        <v>3568</v>
      </c>
      <c r="B833" s="445" t="s">
        <v>3441</v>
      </c>
      <c r="C833" s="444" t="s">
        <v>135</v>
      </c>
      <c r="D833" s="444" t="s">
        <v>760</v>
      </c>
      <c r="E833" s="446" t="s">
        <v>3569</v>
      </c>
      <c r="F833" s="447" t="s">
        <v>1890</v>
      </c>
      <c r="G833" s="448"/>
      <c r="H833" s="448"/>
      <c r="I833" s="448" t="s">
        <v>1893</v>
      </c>
    </row>
    <row r="834" spans="1:9" ht="27" x14ac:dyDescent="0.3">
      <c r="A834" s="443" t="s">
        <v>3570</v>
      </c>
      <c r="B834" s="445" t="s">
        <v>3441</v>
      </c>
      <c r="C834" s="444" t="s">
        <v>135</v>
      </c>
      <c r="D834" s="444" t="s">
        <v>820</v>
      </c>
      <c r="E834" s="446" t="s">
        <v>3571</v>
      </c>
      <c r="F834" s="447" t="s">
        <v>1890</v>
      </c>
      <c r="G834" s="448"/>
      <c r="H834" s="448"/>
      <c r="I834" s="448" t="s">
        <v>1893</v>
      </c>
    </row>
    <row r="835" spans="1:9" ht="27" x14ac:dyDescent="0.3">
      <c r="A835" s="443" t="s">
        <v>3572</v>
      </c>
      <c r="B835" s="445" t="s">
        <v>3441</v>
      </c>
      <c r="C835" s="444" t="s">
        <v>135</v>
      </c>
      <c r="D835" s="444" t="s">
        <v>604</v>
      </c>
      <c r="E835" s="446" t="s">
        <v>3573</v>
      </c>
      <c r="F835" s="447" t="s">
        <v>1890</v>
      </c>
      <c r="G835" s="448"/>
      <c r="H835" s="448"/>
      <c r="I835" s="448" t="s">
        <v>1874</v>
      </c>
    </row>
    <row r="836" spans="1:9" ht="27" x14ac:dyDescent="0.3">
      <c r="A836" s="443" t="s">
        <v>3574</v>
      </c>
      <c r="B836" s="445" t="s">
        <v>3441</v>
      </c>
      <c r="C836" s="444" t="s">
        <v>135</v>
      </c>
      <c r="D836" s="444" t="s">
        <v>931</v>
      </c>
      <c r="E836" s="446" t="s">
        <v>3575</v>
      </c>
      <c r="F836" s="447" t="s">
        <v>1890</v>
      </c>
      <c r="G836" s="448"/>
      <c r="H836" s="448"/>
      <c r="I836" s="448" t="s">
        <v>1856</v>
      </c>
    </row>
    <row r="837" spans="1:9" ht="27" x14ac:dyDescent="0.3">
      <c r="A837" s="443" t="s">
        <v>3576</v>
      </c>
      <c r="B837" s="445" t="s">
        <v>3441</v>
      </c>
      <c r="C837" s="444" t="s">
        <v>135</v>
      </c>
      <c r="D837" s="444" t="s">
        <v>979</v>
      </c>
      <c r="E837" s="446" t="s">
        <v>3577</v>
      </c>
      <c r="F837" s="447" t="s">
        <v>1890</v>
      </c>
      <c r="G837" s="448"/>
      <c r="H837" s="448"/>
      <c r="I837" s="448" t="s">
        <v>1874</v>
      </c>
    </row>
    <row r="838" spans="1:9" ht="27" x14ac:dyDescent="0.3">
      <c r="A838" s="443" t="s">
        <v>3578</v>
      </c>
      <c r="B838" s="445" t="s">
        <v>3441</v>
      </c>
      <c r="C838" s="444" t="s">
        <v>135</v>
      </c>
      <c r="D838" s="444" t="s">
        <v>482</v>
      </c>
      <c r="E838" s="446" t="s">
        <v>3579</v>
      </c>
      <c r="F838" s="447" t="s">
        <v>1890</v>
      </c>
      <c r="G838" s="448"/>
      <c r="H838" s="448"/>
      <c r="I838" s="448" t="s">
        <v>1927</v>
      </c>
    </row>
    <row r="839" spans="1:9" ht="27" x14ac:dyDescent="0.3">
      <c r="A839" s="443" t="s">
        <v>3580</v>
      </c>
      <c r="B839" s="445" t="s">
        <v>3441</v>
      </c>
      <c r="C839" s="444" t="s">
        <v>135</v>
      </c>
      <c r="D839" s="444" t="s">
        <v>1145</v>
      </c>
      <c r="E839" s="446" t="s">
        <v>3581</v>
      </c>
      <c r="F839" s="447" t="s">
        <v>1890</v>
      </c>
      <c r="G839" s="448"/>
      <c r="H839" s="448"/>
      <c r="I839" s="448" t="s">
        <v>1927</v>
      </c>
    </row>
    <row r="840" spans="1:9" ht="27" x14ac:dyDescent="0.3">
      <c r="A840" s="443" t="s">
        <v>3582</v>
      </c>
      <c r="B840" s="445" t="s">
        <v>3441</v>
      </c>
      <c r="C840" s="444" t="s">
        <v>135</v>
      </c>
      <c r="D840" s="444" t="s">
        <v>1177</v>
      </c>
      <c r="E840" s="446" t="s">
        <v>3583</v>
      </c>
      <c r="F840" s="447" t="s">
        <v>1890</v>
      </c>
      <c r="G840" s="448"/>
      <c r="H840" s="448"/>
      <c r="I840" s="448" t="s">
        <v>1923</v>
      </c>
    </row>
    <row r="841" spans="1:9" ht="27" x14ac:dyDescent="0.3">
      <c r="A841" s="443" t="s">
        <v>3584</v>
      </c>
      <c r="B841" s="445" t="s">
        <v>3441</v>
      </c>
      <c r="C841" s="444" t="s">
        <v>135</v>
      </c>
      <c r="D841" s="444" t="s">
        <v>1206</v>
      </c>
      <c r="E841" s="446" t="s">
        <v>3585</v>
      </c>
      <c r="F841" s="447" t="s">
        <v>1890</v>
      </c>
      <c r="G841" s="448"/>
      <c r="H841" s="448"/>
      <c r="I841" s="448" t="s">
        <v>1856</v>
      </c>
    </row>
    <row r="842" spans="1:9" ht="27" x14ac:dyDescent="0.3">
      <c r="A842" s="443" t="s">
        <v>3586</v>
      </c>
      <c r="B842" s="445" t="s">
        <v>3441</v>
      </c>
      <c r="C842" s="444" t="s">
        <v>135</v>
      </c>
      <c r="D842" s="444" t="s">
        <v>1235</v>
      </c>
      <c r="E842" s="446" t="s">
        <v>3587</v>
      </c>
      <c r="F842" s="447" t="s">
        <v>1890</v>
      </c>
      <c r="G842" s="448"/>
      <c r="H842" s="448"/>
      <c r="I842" s="448" t="s">
        <v>1874</v>
      </c>
    </row>
    <row r="843" spans="1:9" ht="27" x14ac:dyDescent="0.3">
      <c r="A843" s="443" t="s">
        <v>3588</v>
      </c>
      <c r="B843" s="445" t="s">
        <v>3441</v>
      </c>
      <c r="C843" s="444" t="s">
        <v>135</v>
      </c>
      <c r="D843" s="444" t="s">
        <v>1255</v>
      </c>
      <c r="E843" s="446" t="s">
        <v>3589</v>
      </c>
      <c r="F843" s="447" t="s">
        <v>1890</v>
      </c>
      <c r="G843" s="448"/>
      <c r="H843" s="448"/>
      <c r="I843" s="448" t="s">
        <v>1923</v>
      </c>
    </row>
    <row r="844" spans="1:9" ht="27" x14ac:dyDescent="0.3">
      <c r="A844" s="443" t="s">
        <v>3590</v>
      </c>
      <c r="B844" s="445" t="s">
        <v>3441</v>
      </c>
      <c r="C844" s="444" t="s">
        <v>135</v>
      </c>
      <c r="D844" s="444" t="s">
        <v>1276</v>
      </c>
      <c r="E844" s="446" t="s">
        <v>3591</v>
      </c>
      <c r="F844" s="447" t="s">
        <v>1890</v>
      </c>
      <c r="G844" s="448"/>
      <c r="H844" s="448"/>
      <c r="I844" s="448" t="s">
        <v>1927</v>
      </c>
    </row>
    <row r="845" spans="1:9" ht="27" x14ac:dyDescent="0.3">
      <c r="A845" s="443" t="s">
        <v>3592</v>
      </c>
      <c r="B845" s="445" t="s">
        <v>3441</v>
      </c>
      <c r="C845" s="444" t="s">
        <v>135</v>
      </c>
      <c r="D845" s="444" t="s">
        <v>1297</v>
      </c>
      <c r="E845" s="446" t="s">
        <v>3593</v>
      </c>
      <c r="F845" s="447" t="s">
        <v>1890</v>
      </c>
      <c r="G845" s="448"/>
      <c r="H845" s="448"/>
      <c r="I845" s="448" t="s">
        <v>1856</v>
      </c>
    </row>
    <row r="846" spans="1:9" ht="27" x14ac:dyDescent="0.3">
      <c r="A846" s="443" t="s">
        <v>3594</v>
      </c>
      <c r="B846" s="445" t="s">
        <v>3441</v>
      </c>
      <c r="C846" s="444" t="s">
        <v>135</v>
      </c>
      <c r="D846" s="444" t="s">
        <v>1313</v>
      </c>
      <c r="E846" s="446" t="s">
        <v>3595</v>
      </c>
      <c r="F846" s="447" t="s">
        <v>1890</v>
      </c>
      <c r="G846" s="448"/>
      <c r="H846" s="448"/>
      <c r="I846" s="448" t="s">
        <v>1856</v>
      </c>
    </row>
    <row r="847" spans="1:9" ht="27" x14ac:dyDescent="0.3">
      <c r="A847" s="443" t="s">
        <v>3596</v>
      </c>
      <c r="B847" s="445" t="s">
        <v>3441</v>
      </c>
      <c r="C847" s="444" t="s">
        <v>135</v>
      </c>
      <c r="D847" s="444" t="s">
        <v>1330</v>
      </c>
      <c r="E847" s="446" t="s">
        <v>3597</v>
      </c>
      <c r="F847" s="447" t="s">
        <v>1890</v>
      </c>
      <c r="G847" s="448"/>
      <c r="H847" s="448"/>
      <c r="I847" s="448" t="s">
        <v>1923</v>
      </c>
    </row>
    <row r="848" spans="1:9" ht="27" x14ac:dyDescent="0.3">
      <c r="A848" s="443" t="s">
        <v>3598</v>
      </c>
      <c r="B848" s="445" t="s">
        <v>3441</v>
      </c>
      <c r="C848" s="444" t="s">
        <v>135</v>
      </c>
      <c r="D848" s="444" t="s">
        <v>1061</v>
      </c>
      <c r="E848" s="446" t="s">
        <v>3599</v>
      </c>
      <c r="F848" s="447" t="s">
        <v>1890</v>
      </c>
      <c r="G848" s="448"/>
      <c r="H848" s="448"/>
      <c r="I848" s="448" t="s">
        <v>1923</v>
      </c>
    </row>
    <row r="849" spans="1:9" ht="27" x14ac:dyDescent="0.3">
      <c r="A849" s="443" t="s">
        <v>3600</v>
      </c>
      <c r="B849" s="445" t="s">
        <v>3441</v>
      </c>
      <c r="C849" s="444" t="s">
        <v>135</v>
      </c>
      <c r="D849" s="444" t="s">
        <v>1359</v>
      </c>
      <c r="E849" s="446" t="s">
        <v>3601</v>
      </c>
      <c r="F849" s="447" t="s">
        <v>1890</v>
      </c>
      <c r="G849" s="448"/>
      <c r="H849" s="448"/>
      <c r="I849" s="448" t="s">
        <v>1874</v>
      </c>
    </row>
    <row r="850" spans="1:9" ht="27" x14ac:dyDescent="0.3">
      <c r="A850" s="443" t="s">
        <v>3602</v>
      </c>
      <c r="B850" s="445" t="s">
        <v>3441</v>
      </c>
      <c r="C850" s="444" t="s">
        <v>135</v>
      </c>
      <c r="D850" s="444" t="s">
        <v>1368</v>
      </c>
      <c r="E850" s="446" t="s">
        <v>3603</v>
      </c>
      <c r="F850" s="447" t="s">
        <v>1890</v>
      </c>
      <c r="G850" s="448"/>
      <c r="H850" s="448"/>
      <c r="I850" s="448" t="s">
        <v>1927</v>
      </c>
    </row>
    <row r="851" spans="1:9" ht="27" x14ac:dyDescent="0.3">
      <c r="A851" s="443" t="s">
        <v>3604</v>
      </c>
      <c r="B851" s="445" t="s">
        <v>3441</v>
      </c>
      <c r="C851" s="444" t="s">
        <v>135</v>
      </c>
      <c r="D851" s="444" t="s">
        <v>1380</v>
      </c>
      <c r="E851" s="446" t="s">
        <v>3605</v>
      </c>
      <c r="F851" s="447" t="s">
        <v>1890</v>
      </c>
      <c r="G851" s="448"/>
      <c r="H851" s="448"/>
      <c r="I851" s="448" t="s">
        <v>1856</v>
      </c>
    </row>
    <row r="852" spans="1:9" ht="27" x14ac:dyDescent="0.3">
      <c r="A852" s="443" t="s">
        <v>3606</v>
      </c>
      <c r="B852" s="445" t="s">
        <v>3441</v>
      </c>
      <c r="C852" s="444" t="s">
        <v>135</v>
      </c>
      <c r="D852" s="444" t="s">
        <v>1391</v>
      </c>
      <c r="E852" s="446" t="s">
        <v>3607</v>
      </c>
      <c r="F852" s="447" t="s">
        <v>1890</v>
      </c>
      <c r="G852" s="448"/>
      <c r="H852" s="448"/>
      <c r="I852" s="448" t="s">
        <v>1893</v>
      </c>
    </row>
    <row r="853" spans="1:9" ht="27" x14ac:dyDescent="0.3">
      <c r="A853" s="443" t="s">
        <v>3608</v>
      </c>
      <c r="B853" s="445" t="s">
        <v>3441</v>
      </c>
      <c r="C853" s="444" t="s">
        <v>135</v>
      </c>
      <c r="D853" s="444" t="s">
        <v>3609</v>
      </c>
      <c r="E853" s="446" t="s">
        <v>3610</v>
      </c>
      <c r="F853" s="447" t="s">
        <v>1890</v>
      </c>
      <c r="G853" s="448"/>
      <c r="H853" s="448"/>
      <c r="I853" s="448" t="s">
        <v>1923</v>
      </c>
    </row>
    <row r="854" spans="1:9" ht="27" x14ac:dyDescent="0.3">
      <c r="A854" s="443" t="s">
        <v>3611</v>
      </c>
      <c r="B854" s="445" t="s">
        <v>3441</v>
      </c>
      <c r="C854" s="444" t="s">
        <v>135</v>
      </c>
      <c r="D854" s="444" t="s">
        <v>1410</v>
      </c>
      <c r="E854" s="446" t="s">
        <v>3612</v>
      </c>
      <c r="F854" s="447" t="s">
        <v>1890</v>
      </c>
      <c r="G854" s="448"/>
      <c r="H854" s="448"/>
      <c r="I854" s="448" t="s">
        <v>1856</v>
      </c>
    </row>
    <row r="855" spans="1:9" ht="27" x14ac:dyDescent="0.3">
      <c r="A855" s="443" t="s">
        <v>3613</v>
      </c>
      <c r="B855" s="445" t="s">
        <v>3441</v>
      </c>
      <c r="C855" s="444" t="s">
        <v>135</v>
      </c>
      <c r="D855" s="444" t="s">
        <v>3614</v>
      </c>
      <c r="E855" s="446" t="s">
        <v>3615</v>
      </c>
      <c r="F855" s="447" t="s">
        <v>1854</v>
      </c>
      <c r="G855" s="448"/>
      <c r="H855" s="448" t="s">
        <v>1961</v>
      </c>
      <c r="I855" s="448" t="s">
        <v>1923</v>
      </c>
    </row>
    <row r="856" spans="1:9" ht="27" x14ac:dyDescent="0.3">
      <c r="A856" s="443" t="s">
        <v>3616</v>
      </c>
      <c r="B856" s="445" t="s">
        <v>3441</v>
      </c>
      <c r="C856" s="444" t="s">
        <v>135</v>
      </c>
      <c r="D856" s="444" t="s">
        <v>1419</v>
      </c>
      <c r="E856" s="446" t="s">
        <v>3617</v>
      </c>
      <c r="F856" s="447" t="s">
        <v>1890</v>
      </c>
      <c r="G856" s="448"/>
      <c r="H856" s="448"/>
      <c r="I856" s="448" t="s">
        <v>1874</v>
      </c>
    </row>
    <row r="857" spans="1:9" ht="27" x14ac:dyDescent="0.3">
      <c r="A857" s="443" t="s">
        <v>3618</v>
      </c>
      <c r="B857" s="445" t="s">
        <v>3441</v>
      </c>
      <c r="C857" s="444" t="s">
        <v>135</v>
      </c>
      <c r="D857" s="444" t="s">
        <v>1426</v>
      </c>
      <c r="E857" s="446" t="s">
        <v>3619</v>
      </c>
      <c r="F857" s="447" t="s">
        <v>1890</v>
      </c>
      <c r="G857" s="448"/>
      <c r="H857" s="448"/>
      <c r="I857" s="448" t="s">
        <v>1856</v>
      </c>
    </row>
    <row r="858" spans="1:9" ht="27" x14ac:dyDescent="0.3">
      <c r="A858" s="443" t="s">
        <v>3620</v>
      </c>
      <c r="B858" s="445" t="s">
        <v>3441</v>
      </c>
      <c r="C858" s="444" t="s">
        <v>135</v>
      </c>
      <c r="D858" s="444" t="s">
        <v>3621</v>
      </c>
      <c r="E858" s="446" t="s">
        <v>3622</v>
      </c>
      <c r="F858" s="447" t="s">
        <v>1890</v>
      </c>
      <c r="G858" s="448"/>
      <c r="H858" s="448"/>
      <c r="I858" s="448" t="s">
        <v>1923</v>
      </c>
    </row>
    <row r="859" spans="1:9" ht="27" x14ac:dyDescent="0.3">
      <c r="A859" s="443" t="s">
        <v>3623</v>
      </c>
      <c r="B859" s="445" t="s">
        <v>3441</v>
      </c>
      <c r="C859" s="444" t="s">
        <v>135</v>
      </c>
      <c r="D859" s="444" t="s">
        <v>1791</v>
      </c>
      <c r="E859" s="446" t="s">
        <v>3624</v>
      </c>
      <c r="F859" s="447" t="s">
        <v>1890</v>
      </c>
      <c r="G859" s="448"/>
      <c r="H859" s="448"/>
      <c r="I859" s="448" t="s">
        <v>1927</v>
      </c>
    </row>
    <row r="860" spans="1:9" ht="27" x14ac:dyDescent="0.3">
      <c r="A860" s="443" t="s">
        <v>3625</v>
      </c>
      <c r="B860" s="445" t="s">
        <v>3441</v>
      </c>
      <c r="C860" s="444" t="s">
        <v>135</v>
      </c>
      <c r="D860" s="444" t="s">
        <v>3626</v>
      </c>
      <c r="E860" s="446" t="s">
        <v>3627</v>
      </c>
      <c r="F860" s="447" t="s">
        <v>1890</v>
      </c>
      <c r="G860" s="448"/>
      <c r="H860" s="448"/>
      <c r="I860" s="448" t="s">
        <v>1874</v>
      </c>
    </row>
    <row r="861" spans="1:9" ht="27" x14ac:dyDescent="0.3">
      <c r="A861" s="443" t="s">
        <v>3628</v>
      </c>
      <c r="B861" s="445" t="s">
        <v>3441</v>
      </c>
      <c r="C861" s="444" t="s">
        <v>135</v>
      </c>
      <c r="D861" s="444" t="s">
        <v>2552</v>
      </c>
      <c r="E861" s="446" t="s">
        <v>3629</v>
      </c>
      <c r="F861" s="447" t="s">
        <v>1890</v>
      </c>
      <c r="G861" s="448"/>
      <c r="H861" s="448"/>
      <c r="I861" s="448" t="s">
        <v>1923</v>
      </c>
    </row>
    <row r="862" spans="1:9" ht="27" x14ac:dyDescent="0.3">
      <c r="A862" s="443" t="s">
        <v>3630</v>
      </c>
      <c r="B862" s="445" t="s">
        <v>3441</v>
      </c>
      <c r="C862" s="444" t="s">
        <v>135</v>
      </c>
      <c r="D862" s="444" t="s">
        <v>2555</v>
      </c>
      <c r="E862" s="446" t="s">
        <v>3631</v>
      </c>
      <c r="F862" s="447" t="s">
        <v>1890</v>
      </c>
      <c r="G862" s="448"/>
      <c r="H862" s="448"/>
      <c r="I862" s="448" t="s">
        <v>1893</v>
      </c>
    </row>
    <row r="863" spans="1:9" ht="27" x14ac:dyDescent="0.3">
      <c r="A863" s="443" t="s">
        <v>3632</v>
      </c>
      <c r="B863" s="445" t="s">
        <v>3441</v>
      </c>
      <c r="C863" s="444" t="s">
        <v>135</v>
      </c>
      <c r="D863" s="444" t="s">
        <v>2247</v>
      </c>
      <c r="E863" s="446" t="s">
        <v>3633</v>
      </c>
      <c r="F863" s="447" t="s">
        <v>1890</v>
      </c>
      <c r="G863" s="448"/>
      <c r="H863" s="448"/>
      <c r="I863" s="448" t="s">
        <v>1874</v>
      </c>
    </row>
    <row r="864" spans="1:9" ht="27" x14ac:dyDescent="0.3">
      <c r="A864" s="443" t="s">
        <v>3634</v>
      </c>
      <c r="B864" s="445" t="s">
        <v>3441</v>
      </c>
      <c r="C864" s="444" t="s">
        <v>135</v>
      </c>
      <c r="D864" s="444" t="s">
        <v>1456</v>
      </c>
      <c r="E864" s="446" t="s">
        <v>3635</v>
      </c>
      <c r="F864" s="447" t="s">
        <v>1890</v>
      </c>
      <c r="G864" s="448"/>
      <c r="H864" s="448"/>
      <c r="I864" s="448" t="s">
        <v>1874</v>
      </c>
    </row>
    <row r="865" spans="1:9" ht="27" x14ac:dyDescent="0.3">
      <c r="A865" s="443" t="s">
        <v>3636</v>
      </c>
      <c r="B865" s="445" t="s">
        <v>3441</v>
      </c>
      <c r="C865" s="444" t="s">
        <v>135</v>
      </c>
      <c r="D865" s="444" t="s">
        <v>1460</v>
      </c>
      <c r="E865" s="446" t="s">
        <v>3637</v>
      </c>
      <c r="F865" s="447" t="s">
        <v>1890</v>
      </c>
      <c r="G865" s="448"/>
      <c r="H865" s="448"/>
      <c r="I865" s="448" t="s">
        <v>1874</v>
      </c>
    </row>
    <row r="866" spans="1:9" ht="27" x14ac:dyDescent="0.3">
      <c r="A866" s="443" t="s">
        <v>3638</v>
      </c>
      <c r="B866" s="445" t="s">
        <v>3441</v>
      </c>
      <c r="C866" s="444" t="s">
        <v>135</v>
      </c>
      <c r="D866" s="444" t="s">
        <v>1464</v>
      </c>
      <c r="E866" s="446" t="s">
        <v>3639</v>
      </c>
      <c r="F866" s="447" t="s">
        <v>1890</v>
      </c>
      <c r="G866" s="448"/>
      <c r="H866" s="448"/>
      <c r="I866" s="448" t="s">
        <v>1923</v>
      </c>
    </row>
    <row r="867" spans="1:9" ht="27" x14ac:dyDescent="0.3">
      <c r="A867" s="443" t="s">
        <v>3640</v>
      </c>
      <c r="B867" s="445" t="s">
        <v>3441</v>
      </c>
      <c r="C867" s="444" t="s">
        <v>135</v>
      </c>
      <c r="D867" s="444" t="s">
        <v>1468</v>
      </c>
      <c r="E867" s="446" t="s">
        <v>3641</v>
      </c>
      <c r="F867" s="447" t="s">
        <v>1890</v>
      </c>
      <c r="G867" s="448"/>
      <c r="H867" s="448"/>
      <c r="I867" s="448" t="s">
        <v>1923</v>
      </c>
    </row>
    <row r="868" spans="1:9" ht="27" x14ac:dyDescent="0.3">
      <c r="A868" s="443" t="s">
        <v>3642</v>
      </c>
      <c r="B868" s="445" t="s">
        <v>3441</v>
      </c>
      <c r="C868" s="444" t="s">
        <v>148</v>
      </c>
      <c r="D868" s="444" t="s">
        <v>202</v>
      </c>
      <c r="E868" s="446" t="s">
        <v>3643</v>
      </c>
      <c r="F868" s="447" t="s">
        <v>1890</v>
      </c>
      <c r="G868" s="448"/>
      <c r="H868" s="448"/>
      <c r="I868" s="448" t="s">
        <v>1874</v>
      </c>
    </row>
    <row r="869" spans="1:9" ht="27" x14ac:dyDescent="0.3">
      <c r="A869" s="443" t="s">
        <v>3644</v>
      </c>
      <c r="B869" s="445" t="s">
        <v>3441</v>
      </c>
      <c r="C869" s="444" t="s">
        <v>148</v>
      </c>
      <c r="D869" s="444" t="s">
        <v>274</v>
      </c>
      <c r="E869" s="446" t="s">
        <v>3645</v>
      </c>
      <c r="F869" s="447" t="s">
        <v>1890</v>
      </c>
      <c r="G869" s="448"/>
      <c r="H869" s="448"/>
      <c r="I869" s="448" t="s">
        <v>1927</v>
      </c>
    </row>
    <row r="870" spans="1:9" ht="27" x14ac:dyDescent="0.3">
      <c r="A870" s="443" t="s">
        <v>3646</v>
      </c>
      <c r="B870" s="445" t="s">
        <v>3441</v>
      </c>
      <c r="C870" s="444" t="s">
        <v>148</v>
      </c>
      <c r="D870" s="444" t="s">
        <v>3647</v>
      </c>
      <c r="E870" s="446" t="s">
        <v>3648</v>
      </c>
      <c r="F870" s="447" t="s">
        <v>1890</v>
      </c>
      <c r="G870" s="448"/>
      <c r="H870" s="448"/>
      <c r="I870" s="448" t="s">
        <v>1927</v>
      </c>
    </row>
    <row r="871" spans="1:9" ht="27" x14ac:dyDescent="0.3">
      <c r="A871" s="443" t="s">
        <v>3649</v>
      </c>
      <c r="B871" s="445" t="s">
        <v>3441</v>
      </c>
      <c r="C871" s="444" t="s">
        <v>148</v>
      </c>
      <c r="D871" s="444" t="s">
        <v>3650</v>
      </c>
      <c r="E871" s="446" t="s">
        <v>3651</v>
      </c>
      <c r="F871" s="447" t="s">
        <v>1890</v>
      </c>
      <c r="G871" s="448"/>
      <c r="H871" s="448"/>
      <c r="I871" s="448" t="s">
        <v>1893</v>
      </c>
    </row>
    <row r="872" spans="1:9" ht="27" x14ac:dyDescent="0.3">
      <c r="A872" s="443" t="s">
        <v>3652</v>
      </c>
      <c r="B872" s="445" t="s">
        <v>3441</v>
      </c>
      <c r="C872" s="444" t="s">
        <v>148</v>
      </c>
      <c r="D872" s="444" t="s">
        <v>493</v>
      </c>
      <c r="E872" s="446" t="s">
        <v>3653</v>
      </c>
      <c r="F872" s="447" t="s">
        <v>1890</v>
      </c>
      <c r="G872" s="448"/>
      <c r="H872" s="448"/>
      <c r="I872" s="448" t="s">
        <v>1923</v>
      </c>
    </row>
    <row r="873" spans="1:9" ht="27" x14ac:dyDescent="0.3">
      <c r="A873" s="443" t="s">
        <v>3654</v>
      </c>
      <c r="B873" s="445" t="s">
        <v>3441</v>
      </c>
      <c r="C873" s="445" t="s">
        <v>135</v>
      </c>
      <c r="D873" s="444" t="s">
        <v>3655</v>
      </c>
      <c r="E873" s="446" t="s">
        <v>3656</v>
      </c>
      <c r="F873" s="447" t="s">
        <v>1854</v>
      </c>
      <c r="G873" s="448"/>
      <c r="H873" s="448" t="s">
        <v>1855</v>
      </c>
      <c r="I873" s="448" t="s">
        <v>1856</v>
      </c>
    </row>
    <row r="874" spans="1:9" ht="27" x14ac:dyDescent="0.3">
      <c r="A874" s="443" t="s">
        <v>3657</v>
      </c>
      <c r="B874" s="445" t="s">
        <v>67</v>
      </c>
      <c r="C874" s="444" t="s">
        <v>1755</v>
      </c>
      <c r="D874" s="444" t="s">
        <v>1754</v>
      </c>
      <c r="E874" s="446" t="s">
        <v>3658</v>
      </c>
      <c r="F874" s="447" t="s">
        <v>1854</v>
      </c>
      <c r="G874" s="448"/>
      <c r="H874" s="448" t="s">
        <v>1961</v>
      </c>
      <c r="I874" s="448" t="s">
        <v>1874</v>
      </c>
    </row>
    <row r="875" spans="1:9" ht="27" x14ac:dyDescent="0.3">
      <c r="A875" s="443" t="s">
        <v>3659</v>
      </c>
      <c r="B875" s="445" t="s">
        <v>67</v>
      </c>
      <c r="C875" s="444" t="s">
        <v>1755</v>
      </c>
      <c r="D875" s="444" t="s">
        <v>203</v>
      </c>
      <c r="E875" s="446" t="s">
        <v>3660</v>
      </c>
      <c r="F875" s="447" t="s">
        <v>1890</v>
      </c>
      <c r="G875" s="448"/>
      <c r="H875" s="448"/>
      <c r="I875" s="448" t="s">
        <v>1856</v>
      </c>
    </row>
    <row r="876" spans="1:9" ht="27" x14ac:dyDescent="0.3">
      <c r="A876" s="443" t="s">
        <v>3661</v>
      </c>
      <c r="B876" s="445" t="s">
        <v>67</v>
      </c>
      <c r="C876" s="444" t="s">
        <v>1755</v>
      </c>
      <c r="D876" s="444" t="s">
        <v>1759</v>
      </c>
      <c r="E876" s="446" t="s">
        <v>3662</v>
      </c>
      <c r="F876" s="447" t="s">
        <v>1854</v>
      </c>
      <c r="G876" s="448"/>
      <c r="H876" s="448" t="s">
        <v>1961</v>
      </c>
      <c r="I876" s="448" t="s">
        <v>1874</v>
      </c>
    </row>
    <row r="877" spans="1:9" ht="27" x14ac:dyDescent="0.3">
      <c r="A877" s="443" t="s">
        <v>3663</v>
      </c>
      <c r="B877" s="445" t="s">
        <v>67</v>
      </c>
      <c r="C877" s="444" t="s">
        <v>1755</v>
      </c>
      <c r="D877" s="444" t="s">
        <v>275</v>
      </c>
      <c r="E877" s="446" t="s">
        <v>3664</v>
      </c>
      <c r="F877" s="447" t="s">
        <v>1890</v>
      </c>
      <c r="G877" s="448"/>
      <c r="H877" s="448"/>
      <c r="I877" s="448" t="s">
        <v>1856</v>
      </c>
    </row>
    <row r="878" spans="1:9" ht="27" x14ac:dyDescent="0.3">
      <c r="A878" s="443" t="s">
        <v>3665</v>
      </c>
      <c r="B878" s="445" t="s">
        <v>67</v>
      </c>
      <c r="C878" s="444" t="s">
        <v>1755</v>
      </c>
      <c r="D878" s="444" t="s">
        <v>348</v>
      </c>
      <c r="E878" s="446" t="s">
        <v>3666</v>
      </c>
      <c r="F878" s="447" t="s">
        <v>1890</v>
      </c>
      <c r="G878" s="448"/>
      <c r="H878" s="448"/>
      <c r="I878" s="448" t="s">
        <v>1923</v>
      </c>
    </row>
    <row r="879" spans="1:9" ht="27" x14ac:dyDescent="0.3">
      <c r="A879" s="443" t="s">
        <v>3667</v>
      </c>
      <c r="B879" s="445" t="s">
        <v>67</v>
      </c>
      <c r="C879" s="444" t="s">
        <v>1755</v>
      </c>
      <c r="D879" s="444" t="s">
        <v>418</v>
      </c>
      <c r="E879" s="446" t="s">
        <v>3668</v>
      </c>
      <c r="F879" s="447" t="s">
        <v>1890</v>
      </c>
      <c r="G879" s="448"/>
      <c r="H879" s="448"/>
      <c r="I879" s="448" t="s">
        <v>1856</v>
      </c>
    </row>
    <row r="880" spans="1:9" ht="27" x14ac:dyDescent="0.3">
      <c r="A880" s="443" t="s">
        <v>3669</v>
      </c>
      <c r="B880" s="445" t="s">
        <v>67</v>
      </c>
      <c r="C880" s="444" t="s">
        <v>1755</v>
      </c>
      <c r="D880" s="444" t="s">
        <v>1764</v>
      </c>
      <c r="E880" s="446" t="s">
        <v>3670</v>
      </c>
      <c r="F880" s="447" t="s">
        <v>1890</v>
      </c>
      <c r="G880" s="448" t="s">
        <v>3671</v>
      </c>
      <c r="H880" s="448"/>
      <c r="I880" s="448" t="s">
        <v>1874</v>
      </c>
    </row>
    <row r="881" spans="1:9" ht="27" x14ac:dyDescent="0.3">
      <c r="A881" s="443" t="s">
        <v>3672</v>
      </c>
      <c r="B881" s="445" t="s">
        <v>67</v>
      </c>
      <c r="C881" s="444" t="s">
        <v>1755</v>
      </c>
      <c r="D881" s="444" t="s">
        <v>1766</v>
      </c>
      <c r="E881" s="446" t="s">
        <v>3673</v>
      </c>
      <c r="F881" s="447" t="s">
        <v>1854</v>
      </c>
      <c r="G881" s="448"/>
      <c r="H881" s="448" t="s">
        <v>1961</v>
      </c>
      <c r="I881" s="448" t="s">
        <v>1923</v>
      </c>
    </row>
    <row r="882" spans="1:9" ht="27" x14ac:dyDescent="0.3">
      <c r="A882" s="443" t="s">
        <v>3674</v>
      </c>
      <c r="B882" s="445" t="s">
        <v>67</v>
      </c>
      <c r="C882" s="444" t="s">
        <v>1755</v>
      </c>
      <c r="D882" s="444" t="s">
        <v>1768</v>
      </c>
      <c r="E882" s="446" t="s">
        <v>3675</v>
      </c>
      <c r="F882" s="447" t="s">
        <v>1854</v>
      </c>
      <c r="G882" s="448"/>
      <c r="H882" s="448" t="s">
        <v>1961</v>
      </c>
      <c r="I882" s="448" t="s">
        <v>1927</v>
      </c>
    </row>
    <row r="883" spans="1:9" ht="27" x14ac:dyDescent="0.3">
      <c r="A883" s="443" t="s">
        <v>3676</v>
      </c>
      <c r="B883" s="445" t="s">
        <v>67</v>
      </c>
      <c r="C883" s="444" t="s">
        <v>1755</v>
      </c>
      <c r="D883" s="444" t="s">
        <v>1207</v>
      </c>
      <c r="E883" s="446" t="s">
        <v>3677</v>
      </c>
      <c r="F883" s="447" t="s">
        <v>1890</v>
      </c>
      <c r="G883" s="448"/>
      <c r="H883" s="448"/>
      <c r="I883" s="448" t="s">
        <v>1856</v>
      </c>
    </row>
    <row r="884" spans="1:9" ht="27" x14ac:dyDescent="0.3">
      <c r="A884" s="443" t="s">
        <v>3678</v>
      </c>
      <c r="B884" s="445" t="s">
        <v>67</v>
      </c>
      <c r="C884" s="444" t="s">
        <v>1755</v>
      </c>
      <c r="D884" s="444" t="s">
        <v>1236</v>
      </c>
      <c r="E884" s="446" t="s">
        <v>3679</v>
      </c>
      <c r="F884" s="447" t="s">
        <v>1890</v>
      </c>
      <c r="G884" s="448" t="s">
        <v>3680</v>
      </c>
      <c r="H884" s="448"/>
      <c r="I884" s="448" t="s">
        <v>1856</v>
      </c>
    </row>
    <row r="885" spans="1:9" ht="27" x14ac:dyDescent="0.3">
      <c r="A885" s="443" t="s">
        <v>3681</v>
      </c>
      <c r="B885" s="445" t="s">
        <v>67</v>
      </c>
      <c r="C885" s="444" t="s">
        <v>1755</v>
      </c>
      <c r="D885" s="444" t="s">
        <v>1256</v>
      </c>
      <c r="E885" s="446" t="s">
        <v>3682</v>
      </c>
      <c r="F885" s="447" t="s">
        <v>1890</v>
      </c>
      <c r="G885" s="448"/>
      <c r="H885" s="448"/>
      <c r="I885" s="448" t="s">
        <v>1874</v>
      </c>
    </row>
    <row r="886" spans="1:9" ht="27" x14ac:dyDescent="0.3">
      <c r="A886" s="443" t="s">
        <v>3683</v>
      </c>
      <c r="B886" s="445" t="s">
        <v>67</v>
      </c>
      <c r="C886" s="444" t="s">
        <v>1755</v>
      </c>
      <c r="D886" s="444" t="s">
        <v>114</v>
      </c>
      <c r="E886" s="446" t="s">
        <v>3684</v>
      </c>
      <c r="F886" s="447" t="s">
        <v>1890</v>
      </c>
      <c r="G886" s="448"/>
      <c r="H886" s="448"/>
      <c r="I886" s="448" t="s">
        <v>1874</v>
      </c>
    </row>
    <row r="887" spans="1:9" ht="27" x14ac:dyDescent="0.3">
      <c r="A887" s="443" t="s">
        <v>3685</v>
      </c>
      <c r="B887" s="445" t="s">
        <v>67</v>
      </c>
      <c r="C887" s="444" t="s">
        <v>1755</v>
      </c>
      <c r="D887" s="444" t="s">
        <v>1775</v>
      </c>
      <c r="E887" s="446" t="s">
        <v>3686</v>
      </c>
      <c r="F887" s="447" t="s">
        <v>1854</v>
      </c>
      <c r="G887" s="448"/>
      <c r="H887" s="448" t="s">
        <v>1961</v>
      </c>
      <c r="I887" s="448" t="s">
        <v>1856</v>
      </c>
    </row>
    <row r="888" spans="1:9" ht="27" x14ac:dyDescent="0.3">
      <c r="A888" s="443" t="s">
        <v>3687</v>
      </c>
      <c r="B888" s="445" t="s">
        <v>67</v>
      </c>
      <c r="C888" s="444" t="s">
        <v>1755</v>
      </c>
      <c r="D888" s="444" t="s">
        <v>1777</v>
      </c>
      <c r="E888" s="446" t="s">
        <v>3688</v>
      </c>
      <c r="F888" s="447" t="s">
        <v>1854</v>
      </c>
      <c r="G888" s="448"/>
      <c r="H888" s="448" t="s">
        <v>1961</v>
      </c>
      <c r="I888" s="448" t="s">
        <v>1923</v>
      </c>
    </row>
    <row r="889" spans="1:9" ht="27" x14ac:dyDescent="0.3">
      <c r="A889" s="443" t="s">
        <v>3689</v>
      </c>
      <c r="B889" s="445" t="s">
        <v>67</v>
      </c>
      <c r="C889" s="444" t="s">
        <v>1755</v>
      </c>
      <c r="D889" s="444" t="s">
        <v>1779</v>
      </c>
      <c r="E889" s="446" t="s">
        <v>3690</v>
      </c>
      <c r="F889" s="447" t="s">
        <v>1890</v>
      </c>
      <c r="G889" s="448"/>
      <c r="H889" s="448"/>
      <c r="I889" s="448" t="s">
        <v>1856</v>
      </c>
    </row>
    <row r="890" spans="1:9" ht="27" x14ac:dyDescent="0.3">
      <c r="A890" s="443" t="s">
        <v>3691</v>
      </c>
      <c r="B890" s="445" t="s">
        <v>67</v>
      </c>
      <c r="C890" s="444" t="s">
        <v>1755</v>
      </c>
      <c r="D890" s="444" t="s">
        <v>1314</v>
      </c>
      <c r="E890" s="446" t="s">
        <v>3692</v>
      </c>
      <c r="F890" s="447" t="s">
        <v>1890</v>
      </c>
      <c r="G890" s="448"/>
      <c r="H890" s="448"/>
      <c r="I890" s="448" t="s">
        <v>1874</v>
      </c>
    </row>
    <row r="891" spans="1:9" ht="27" x14ac:dyDescent="0.3">
      <c r="A891" s="443" t="s">
        <v>3693</v>
      </c>
      <c r="B891" s="445" t="s">
        <v>67</v>
      </c>
      <c r="C891" s="444" t="s">
        <v>1755</v>
      </c>
      <c r="D891" s="444" t="s">
        <v>1782</v>
      </c>
      <c r="E891" s="446" t="s">
        <v>3694</v>
      </c>
      <c r="F891" s="447" t="s">
        <v>1890</v>
      </c>
      <c r="G891" s="448" t="s">
        <v>3695</v>
      </c>
      <c r="H891" s="448"/>
      <c r="I891" s="448" t="s">
        <v>1927</v>
      </c>
    </row>
    <row r="892" spans="1:9" ht="27" x14ac:dyDescent="0.3">
      <c r="A892" s="443" t="s">
        <v>3696</v>
      </c>
      <c r="B892" s="445" t="s">
        <v>67</v>
      </c>
      <c r="C892" s="444" t="s">
        <v>1755</v>
      </c>
      <c r="D892" s="444" t="s">
        <v>1345</v>
      </c>
      <c r="E892" s="446" t="s">
        <v>3697</v>
      </c>
      <c r="F892" s="447" t="s">
        <v>1890</v>
      </c>
      <c r="G892" s="448"/>
      <c r="H892" s="448"/>
      <c r="I892" s="448" t="s">
        <v>1856</v>
      </c>
    </row>
    <row r="893" spans="1:9" ht="27" x14ac:dyDescent="0.3">
      <c r="A893" s="443" t="s">
        <v>3698</v>
      </c>
      <c r="B893" s="445" t="s">
        <v>67</v>
      </c>
      <c r="C893" s="444" t="s">
        <v>1755</v>
      </c>
      <c r="D893" s="444" t="s">
        <v>978</v>
      </c>
      <c r="E893" s="446" t="s">
        <v>3699</v>
      </c>
      <c r="F893" s="447" t="s">
        <v>1890</v>
      </c>
      <c r="G893" s="448"/>
      <c r="H893" s="448"/>
      <c r="I893" s="448" t="s">
        <v>1927</v>
      </c>
    </row>
    <row r="894" spans="1:9" ht="27" x14ac:dyDescent="0.3">
      <c r="A894" s="443" t="s">
        <v>3700</v>
      </c>
      <c r="B894" s="445" t="s">
        <v>67</v>
      </c>
      <c r="C894" s="444" t="s">
        <v>1755</v>
      </c>
      <c r="D894" s="444" t="s">
        <v>1369</v>
      </c>
      <c r="E894" s="446" t="s">
        <v>3701</v>
      </c>
      <c r="F894" s="447" t="s">
        <v>1890</v>
      </c>
      <c r="G894" s="448"/>
      <c r="H894" s="448"/>
      <c r="I894" s="448" t="s">
        <v>1927</v>
      </c>
    </row>
    <row r="895" spans="1:9" ht="27" x14ac:dyDescent="0.3">
      <c r="A895" s="443" t="s">
        <v>3702</v>
      </c>
      <c r="B895" s="445" t="s">
        <v>67</v>
      </c>
      <c r="C895" s="444" t="s">
        <v>1755</v>
      </c>
      <c r="D895" s="444" t="s">
        <v>1787</v>
      </c>
      <c r="E895" s="446" t="s">
        <v>3703</v>
      </c>
      <c r="F895" s="447" t="s">
        <v>1854</v>
      </c>
      <c r="G895" s="448"/>
      <c r="H895" s="448" t="s">
        <v>1961</v>
      </c>
      <c r="I895" s="448" t="s">
        <v>1927</v>
      </c>
    </row>
    <row r="896" spans="1:9" ht="27" x14ac:dyDescent="0.3">
      <c r="A896" s="443" t="s">
        <v>3704</v>
      </c>
      <c r="B896" s="445" t="s">
        <v>67</v>
      </c>
      <c r="C896" s="444" t="s">
        <v>1755</v>
      </c>
      <c r="D896" s="444" t="s">
        <v>1789</v>
      </c>
      <c r="E896" s="446" t="s">
        <v>3705</v>
      </c>
      <c r="F896" s="447" t="s">
        <v>1854</v>
      </c>
      <c r="G896" s="448"/>
      <c r="H896" s="448" t="s">
        <v>1961</v>
      </c>
      <c r="I896" s="448" t="s">
        <v>1874</v>
      </c>
    </row>
    <row r="897" spans="1:9" ht="27" x14ac:dyDescent="0.3">
      <c r="A897" s="443" t="s">
        <v>3706</v>
      </c>
      <c r="B897" s="445" t="s">
        <v>67</v>
      </c>
      <c r="C897" s="444" t="s">
        <v>1755</v>
      </c>
      <c r="D897" s="444" t="s">
        <v>1791</v>
      </c>
      <c r="E897" s="446" t="s">
        <v>3707</v>
      </c>
      <c r="F897" s="447" t="s">
        <v>1890</v>
      </c>
      <c r="G897" s="448"/>
      <c r="H897" s="448"/>
      <c r="I897" s="448" t="s">
        <v>1923</v>
      </c>
    </row>
    <row r="898" spans="1:9" ht="27" x14ac:dyDescent="0.3">
      <c r="A898" s="443" t="s">
        <v>3708</v>
      </c>
      <c r="B898" s="445" t="s">
        <v>67</v>
      </c>
      <c r="C898" s="444" t="s">
        <v>1755</v>
      </c>
      <c r="D898" s="444" t="s">
        <v>1793</v>
      </c>
      <c r="E898" s="446" t="s">
        <v>3709</v>
      </c>
      <c r="F898" s="447" t="s">
        <v>1854</v>
      </c>
      <c r="G898" s="448"/>
      <c r="H898" s="448" t="s">
        <v>1961</v>
      </c>
      <c r="I898" s="448" t="s">
        <v>1927</v>
      </c>
    </row>
    <row r="899" spans="1:9" ht="27" x14ac:dyDescent="0.3">
      <c r="A899" s="443" t="s">
        <v>3710</v>
      </c>
      <c r="B899" s="445" t="s">
        <v>67</v>
      </c>
      <c r="C899" s="444" t="s">
        <v>1755</v>
      </c>
      <c r="D899" s="444" t="s">
        <v>1795</v>
      </c>
      <c r="E899" s="446" t="s">
        <v>3711</v>
      </c>
      <c r="F899" s="447" t="s">
        <v>1854</v>
      </c>
      <c r="G899" s="448"/>
      <c r="H899" s="448" t="s">
        <v>1961</v>
      </c>
      <c r="I899" s="448" t="s">
        <v>1923</v>
      </c>
    </row>
    <row r="900" spans="1:9" ht="27" x14ac:dyDescent="0.3">
      <c r="A900" s="443" t="s">
        <v>3712</v>
      </c>
      <c r="B900" s="445" t="s">
        <v>67</v>
      </c>
      <c r="C900" s="444" t="s">
        <v>1755</v>
      </c>
      <c r="D900" s="444" t="s">
        <v>1797</v>
      </c>
      <c r="E900" s="446" t="s">
        <v>3713</v>
      </c>
      <c r="F900" s="447" t="s">
        <v>1854</v>
      </c>
      <c r="G900" s="448"/>
      <c r="H900" s="448" t="s">
        <v>1961</v>
      </c>
      <c r="I900" s="448" t="s">
        <v>1923</v>
      </c>
    </row>
    <row r="901" spans="1:9" ht="27" x14ac:dyDescent="0.3">
      <c r="A901" s="443" t="s">
        <v>3714</v>
      </c>
      <c r="B901" s="445" t="s">
        <v>67</v>
      </c>
      <c r="C901" s="444" t="s">
        <v>1755</v>
      </c>
      <c r="D901" s="444" t="s">
        <v>1401</v>
      </c>
      <c r="E901" s="446" t="s">
        <v>3715</v>
      </c>
      <c r="F901" s="447" t="s">
        <v>1890</v>
      </c>
      <c r="G901" s="448"/>
      <c r="H901" s="448"/>
      <c r="I901" s="448" t="s">
        <v>1927</v>
      </c>
    </row>
    <row r="902" spans="1:9" ht="27" x14ac:dyDescent="0.3">
      <c r="A902" s="443" t="s">
        <v>3716</v>
      </c>
      <c r="B902" s="445" t="s">
        <v>67</v>
      </c>
      <c r="C902" s="444" t="s">
        <v>1755</v>
      </c>
      <c r="D902" s="444" t="s">
        <v>1411</v>
      </c>
      <c r="E902" s="446" t="s">
        <v>3717</v>
      </c>
      <c r="F902" s="447" t="s">
        <v>1890</v>
      </c>
      <c r="G902" s="448"/>
      <c r="H902" s="448"/>
      <c r="I902" s="448" t="s">
        <v>1923</v>
      </c>
    </row>
    <row r="903" spans="1:9" ht="27" x14ac:dyDescent="0.3">
      <c r="A903" s="443" t="s">
        <v>3718</v>
      </c>
      <c r="B903" s="445" t="s">
        <v>67</v>
      </c>
      <c r="C903" s="444" t="s">
        <v>1755</v>
      </c>
      <c r="D903" s="444" t="s">
        <v>1801</v>
      </c>
      <c r="E903" s="446" t="s">
        <v>3719</v>
      </c>
      <c r="F903" s="447" t="s">
        <v>1854</v>
      </c>
      <c r="G903" s="448"/>
      <c r="H903" s="448" t="s">
        <v>1961</v>
      </c>
      <c r="I903" s="448" t="s">
        <v>1923</v>
      </c>
    </row>
    <row r="904" spans="1:9" ht="27" x14ac:dyDescent="0.3">
      <c r="A904" s="443" t="s">
        <v>3720</v>
      </c>
      <c r="B904" s="445" t="s">
        <v>67</v>
      </c>
      <c r="C904" s="444" t="s">
        <v>1755</v>
      </c>
      <c r="D904" s="444" t="s">
        <v>1803</v>
      </c>
      <c r="E904" s="446" t="s">
        <v>3721</v>
      </c>
      <c r="F904" s="447" t="s">
        <v>1890</v>
      </c>
      <c r="G904" s="448"/>
      <c r="H904" s="448"/>
      <c r="I904" s="448" t="s">
        <v>1923</v>
      </c>
    </row>
    <row r="905" spans="1:9" ht="28.8" x14ac:dyDescent="0.3">
      <c r="A905" s="443" t="s">
        <v>3722</v>
      </c>
      <c r="B905" s="445" t="s">
        <v>67</v>
      </c>
      <c r="C905" s="444" t="s">
        <v>1807</v>
      </c>
      <c r="D905" s="444" t="s">
        <v>204</v>
      </c>
      <c r="E905" s="446" t="s">
        <v>3723</v>
      </c>
      <c r="F905" s="447" t="s">
        <v>1890</v>
      </c>
      <c r="G905" s="448" t="s">
        <v>3724</v>
      </c>
      <c r="H905" s="448"/>
      <c r="I905" s="448" t="s">
        <v>1923</v>
      </c>
    </row>
    <row r="906" spans="1:9" ht="27" x14ac:dyDescent="0.3">
      <c r="A906" s="443" t="s">
        <v>3725</v>
      </c>
      <c r="B906" s="445" t="s">
        <v>67</v>
      </c>
      <c r="C906" s="444" t="s">
        <v>1807</v>
      </c>
      <c r="D906" s="444" t="s">
        <v>276</v>
      </c>
      <c r="E906" s="446" t="s">
        <v>3726</v>
      </c>
      <c r="F906" s="447" t="s">
        <v>1890</v>
      </c>
      <c r="G906" s="448"/>
      <c r="H906" s="448"/>
      <c r="I906" s="448" t="s">
        <v>1874</v>
      </c>
    </row>
    <row r="907" spans="1:9" ht="27" x14ac:dyDescent="0.3">
      <c r="A907" s="443" t="s">
        <v>3727</v>
      </c>
      <c r="B907" s="445" t="s">
        <v>67</v>
      </c>
      <c r="C907" s="444" t="s">
        <v>1807</v>
      </c>
      <c r="D907" s="444" t="s">
        <v>349</v>
      </c>
      <c r="E907" s="446" t="s">
        <v>3728</v>
      </c>
      <c r="F907" s="447" t="s">
        <v>1890</v>
      </c>
      <c r="G907" s="448"/>
      <c r="H907" s="448"/>
      <c r="I907" s="448" t="s">
        <v>1923</v>
      </c>
    </row>
    <row r="908" spans="1:9" ht="27" x14ac:dyDescent="0.3">
      <c r="A908" s="443" t="s">
        <v>3729</v>
      </c>
      <c r="B908" s="445" t="s">
        <v>67</v>
      </c>
      <c r="C908" s="444" t="s">
        <v>1807</v>
      </c>
      <c r="D908" s="444" t="s">
        <v>1811</v>
      </c>
      <c r="E908" s="446" t="s">
        <v>3730</v>
      </c>
      <c r="F908" s="447" t="s">
        <v>1854</v>
      </c>
      <c r="G908" s="448"/>
      <c r="H908" s="448" t="s">
        <v>1961</v>
      </c>
      <c r="I908" s="448" t="s">
        <v>1927</v>
      </c>
    </row>
    <row r="909" spans="1:9" ht="27" x14ac:dyDescent="0.3">
      <c r="A909" s="443" t="s">
        <v>3731</v>
      </c>
      <c r="B909" s="445" t="s">
        <v>67</v>
      </c>
      <c r="C909" s="444" t="s">
        <v>1807</v>
      </c>
      <c r="D909" s="444" t="s">
        <v>419</v>
      </c>
      <c r="E909" s="446" t="s">
        <v>3732</v>
      </c>
      <c r="F909" s="447" t="s">
        <v>1890</v>
      </c>
      <c r="G909" s="448"/>
      <c r="H909" s="448"/>
      <c r="I909" s="448" t="s">
        <v>1923</v>
      </c>
    </row>
    <row r="910" spans="1:9" ht="27" x14ac:dyDescent="0.3">
      <c r="A910" s="443" t="s">
        <v>3733</v>
      </c>
      <c r="B910" s="445" t="s">
        <v>67</v>
      </c>
      <c r="C910" s="444" t="s">
        <v>1807</v>
      </c>
      <c r="D910" s="444" t="s">
        <v>1814</v>
      </c>
      <c r="E910" s="446" t="s">
        <v>3734</v>
      </c>
      <c r="F910" s="447" t="s">
        <v>1854</v>
      </c>
      <c r="G910" s="448" t="s">
        <v>3735</v>
      </c>
      <c r="H910" s="448" t="s">
        <v>1961</v>
      </c>
      <c r="I910" s="448" t="s">
        <v>1874</v>
      </c>
    </row>
    <row r="911" spans="1:9" ht="27" x14ac:dyDescent="0.3">
      <c r="A911" s="443" t="s">
        <v>3736</v>
      </c>
      <c r="B911" s="445" t="s">
        <v>67</v>
      </c>
      <c r="C911" s="444" t="s">
        <v>1807</v>
      </c>
      <c r="D911" s="444" t="s">
        <v>495</v>
      </c>
      <c r="E911" s="446" t="s">
        <v>3737</v>
      </c>
      <c r="F911" s="447" t="s">
        <v>1890</v>
      </c>
      <c r="G911" s="448" t="s">
        <v>3738</v>
      </c>
      <c r="H911" s="448"/>
      <c r="I911" s="448" t="s">
        <v>1927</v>
      </c>
    </row>
    <row r="912" spans="1:9" ht="27" x14ac:dyDescent="0.3">
      <c r="A912" s="443" t="s">
        <v>3739</v>
      </c>
      <c r="B912" s="445" t="s">
        <v>67</v>
      </c>
      <c r="C912" s="444" t="s">
        <v>1807</v>
      </c>
      <c r="D912" s="444" t="s">
        <v>1817</v>
      </c>
      <c r="E912" s="446" t="s">
        <v>3740</v>
      </c>
      <c r="F912" s="447" t="s">
        <v>1854</v>
      </c>
      <c r="G912" s="448"/>
      <c r="H912" s="448" t="s">
        <v>1961</v>
      </c>
      <c r="I912" s="448" t="s">
        <v>1923</v>
      </c>
    </row>
    <row r="913" spans="1:9" ht="27" x14ac:dyDescent="0.3">
      <c r="A913" s="443" t="s">
        <v>3741</v>
      </c>
      <c r="B913" s="445" t="s">
        <v>67</v>
      </c>
      <c r="C913" s="444" t="s">
        <v>1807</v>
      </c>
      <c r="D913" s="444" t="s">
        <v>933</v>
      </c>
      <c r="E913" s="446" t="s">
        <v>3742</v>
      </c>
      <c r="F913" s="447" t="s">
        <v>1890</v>
      </c>
      <c r="G913" s="448"/>
      <c r="H913" s="448"/>
      <c r="I913" s="448" t="s">
        <v>1923</v>
      </c>
    </row>
    <row r="914" spans="1:9" ht="27" x14ac:dyDescent="0.3">
      <c r="A914" s="443" t="s">
        <v>3743</v>
      </c>
      <c r="B914" s="445" t="s">
        <v>67</v>
      </c>
      <c r="C914" s="444" t="s">
        <v>1807</v>
      </c>
      <c r="D914" s="444" t="s">
        <v>1820</v>
      </c>
      <c r="E914" s="446" t="s">
        <v>3744</v>
      </c>
      <c r="F914" s="447" t="s">
        <v>1854</v>
      </c>
      <c r="G914" s="448"/>
      <c r="H914" s="448" t="s">
        <v>1961</v>
      </c>
      <c r="I914" s="448" t="s">
        <v>1927</v>
      </c>
    </row>
    <row r="915" spans="1:9" ht="27" x14ac:dyDescent="0.3">
      <c r="A915" s="443" t="s">
        <v>3745</v>
      </c>
      <c r="B915" s="445" t="s">
        <v>67</v>
      </c>
      <c r="C915" s="444" t="s">
        <v>1807</v>
      </c>
      <c r="D915" s="444" t="s">
        <v>1822</v>
      </c>
      <c r="E915" s="446" t="s">
        <v>3746</v>
      </c>
      <c r="F915" s="447" t="s">
        <v>1854</v>
      </c>
      <c r="G915" s="448"/>
      <c r="H915" s="448" t="s">
        <v>1961</v>
      </c>
      <c r="I915" s="448" t="s">
        <v>1893</v>
      </c>
    </row>
    <row r="916" spans="1:9" ht="27" x14ac:dyDescent="0.3">
      <c r="A916" s="443" t="s">
        <v>3747</v>
      </c>
      <c r="B916" s="445" t="s">
        <v>67</v>
      </c>
      <c r="C916" s="444" t="s">
        <v>1807</v>
      </c>
      <c r="D916" s="444" t="s">
        <v>981</v>
      </c>
      <c r="E916" s="446" t="s">
        <v>3748</v>
      </c>
      <c r="F916" s="447" t="s">
        <v>1890</v>
      </c>
      <c r="G916" s="448"/>
      <c r="H916" s="448"/>
      <c r="I916" s="448" t="s">
        <v>1923</v>
      </c>
    </row>
    <row r="917" spans="1:9" ht="27" x14ac:dyDescent="0.3">
      <c r="A917" s="443" t="s">
        <v>3749</v>
      </c>
      <c r="B917" s="445" t="s">
        <v>67</v>
      </c>
      <c r="C917" s="444" t="s">
        <v>1807</v>
      </c>
      <c r="D917" s="444" t="s">
        <v>1824</v>
      </c>
      <c r="E917" s="446" t="s">
        <v>3750</v>
      </c>
      <c r="F917" s="447" t="s">
        <v>1890</v>
      </c>
      <c r="G917" s="448"/>
      <c r="H917" s="448"/>
      <c r="I917" s="448" t="s">
        <v>1927</v>
      </c>
    </row>
    <row r="918" spans="1:9" ht="27" x14ac:dyDescent="0.3">
      <c r="A918" s="443" t="s">
        <v>3751</v>
      </c>
      <c r="B918" s="445" t="s">
        <v>67</v>
      </c>
      <c r="C918" s="444" t="s">
        <v>1807</v>
      </c>
      <c r="D918" s="444" t="s">
        <v>1074</v>
      </c>
      <c r="E918" s="446" t="s">
        <v>3752</v>
      </c>
      <c r="F918" s="447" t="s">
        <v>1890</v>
      </c>
      <c r="G918" s="448"/>
      <c r="H918" s="448"/>
      <c r="I918" s="448" t="s">
        <v>1856</v>
      </c>
    </row>
    <row r="919" spans="1:9" ht="27" x14ac:dyDescent="0.3">
      <c r="A919" s="443" t="s">
        <v>3753</v>
      </c>
      <c r="B919" s="445" t="s">
        <v>67</v>
      </c>
      <c r="C919" s="444" t="s">
        <v>1807</v>
      </c>
      <c r="D919" s="444" t="s">
        <v>1111</v>
      </c>
      <c r="E919" s="446" t="s">
        <v>3754</v>
      </c>
      <c r="F919" s="447" t="s">
        <v>1890</v>
      </c>
      <c r="G919" s="448"/>
      <c r="H919" s="448"/>
      <c r="I919" s="448" t="s">
        <v>1874</v>
      </c>
    </row>
    <row r="920" spans="1:9" ht="27" x14ac:dyDescent="0.3">
      <c r="A920" s="443" t="s">
        <v>3755</v>
      </c>
      <c r="B920" s="445" t="s">
        <v>67</v>
      </c>
      <c r="C920" s="444" t="s">
        <v>1807</v>
      </c>
      <c r="D920" s="444" t="s">
        <v>1147</v>
      </c>
      <c r="E920" s="446" t="s">
        <v>3756</v>
      </c>
      <c r="F920" s="447" t="s">
        <v>1890</v>
      </c>
      <c r="G920" s="448"/>
      <c r="H920" s="448"/>
      <c r="I920" s="448" t="s">
        <v>1927</v>
      </c>
    </row>
    <row r="921" spans="1:9" ht="27" x14ac:dyDescent="0.3">
      <c r="A921" s="443" t="s">
        <v>3757</v>
      </c>
      <c r="B921" s="445" t="s">
        <v>67</v>
      </c>
      <c r="C921" s="444" t="s">
        <v>1807</v>
      </c>
      <c r="D921" s="444" t="s">
        <v>1828</v>
      </c>
      <c r="E921" s="446" t="s">
        <v>3758</v>
      </c>
      <c r="F921" s="447" t="s">
        <v>1890</v>
      </c>
      <c r="G921" s="448"/>
      <c r="H921" s="448"/>
      <c r="I921" s="448" t="s">
        <v>1893</v>
      </c>
    </row>
    <row r="922" spans="1:9" ht="27" x14ac:dyDescent="0.3">
      <c r="A922" s="443" t="s">
        <v>3759</v>
      </c>
      <c r="B922" s="445" t="s">
        <v>67</v>
      </c>
      <c r="C922" s="444" t="s">
        <v>1807</v>
      </c>
      <c r="D922" s="444" t="s">
        <v>1830</v>
      </c>
      <c r="E922" s="446" t="s">
        <v>3760</v>
      </c>
      <c r="F922" s="447" t="s">
        <v>1890</v>
      </c>
      <c r="G922" s="448"/>
      <c r="H922" s="448"/>
      <c r="I922" s="448" t="s">
        <v>1856</v>
      </c>
    </row>
    <row r="923" spans="1:9" ht="27" x14ac:dyDescent="0.3">
      <c r="A923" s="443" t="s">
        <v>3761</v>
      </c>
      <c r="B923" s="445" t="s">
        <v>67</v>
      </c>
      <c r="C923" s="444" t="s">
        <v>1807</v>
      </c>
      <c r="D923" s="444" t="s">
        <v>1237</v>
      </c>
      <c r="E923" s="446" t="s">
        <v>3762</v>
      </c>
      <c r="F923" s="447" t="s">
        <v>1890</v>
      </c>
      <c r="G923" s="448"/>
      <c r="H923" s="448"/>
      <c r="I923" s="448" t="s">
        <v>1856</v>
      </c>
    </row>
    <row r="924" spans="1:9" ht="27" x14ac:dyDescent="0.3">
      <c r="A924" s="443" t="s">
        <v>3763</v>
      </c>
      <c r="B924" s="445" t="s">
        <v>67</v>
      </c>
      <c r="C924" s="444" t="s">
        <v>1807</v>
      </c>
      <c r="D924" s="444" t="s">
        <v>1257</v>
      </c>
      <c r="E924" s="446" t="s">
        <v>3764</v>
      </c>
      <c r="F924" s="447" t="s">
        <v>1890</v>
      </c>
      <c r="G924" s="448"/>
      <c r="H924" s="448"/>
      <c r="I924" s="448" t="s">
        <v>1874</v>
      </c>
    </row>
    <row r="925" spans="1:9" ht="27" x14ac:dyDescent="0.3">
      <c r="A925" s="443" t="s">
        <v>3765</v>
      </c>
      <c r="B925" s="445" t="s">
        <v>67</v>
      </c>
      <c r="C925" s="444" t="s">
        <v>1807</v>
      </c>
      <c r="D925" s="444" t="s">
        <v>1834</v>
      </c>
      <c r="E925" s="446" t="s">
        <v>3766</v>
      </c>
      <c r="F925" s="447" t="s">
        <v>1854</v>
      </c>
      <c r="G925" s="448"/>
      <c r="H925" s="448" t="s">
        <v>1961</v>
      </c>
      <c r="I925" s="448" t="s">
        <v>1923</v>
      </c>
    </row>
    <row r="926" spans="1:9" ht="27" x14ac:dyDescent="0.3">
      <c r="A926" s="443" t="s">
        <v>3767</v>
      </c>
      <c r="B926" s="445" t="s">
        <v>67</v>
      </c>
      <c r="C926" s="444" t="s">
        <v>1807</v>
      </c>
      <c r="D926" s="444" t="s">
        <v>1277</v>
      </c>
      <c r="E926" s="446" t="s">
        <v>3768</v>
      </c>
      <c r="F926" s="447" t="s">
        <v>1890</v>
      </c>
      <c r="G926" s="448"/>
      <c r="H926" s="448"/>
      <c r="I926" s="448" t="s">
        <v>1927</v>
      </c>
    </row>
    <row r="927" spans="1:9" ht="28.8" x14ac:dyDescent="0.3">
      <c r="A927" s="443" t="s">
        <v>3769</v>
      </c>
      <c r="B927" s="445" t="s">
        <v>67</v>
      </c>
      <c r="C927" s="444" t="s">
        <v>1807</v>
      </c>
      <c r="D927" s="444" t="s">
        <v>1299</v>
      </c>
      <c r="E927" s="446" t="s">
        <v>3770</v>
      </c>
      <c r="F927" s="447" t="s">
        <v>1890</v>
      </c>
      <c r="G927" s="448" t="s">
        <v>3771</v>
      </c>
      <c r="H927" s="448"/>
      <c r="I927" s="448" t="s">
        <v>1856</v>
      </c>
    </row>
    <row r="928" spans="1:9" ht="27" x14ac:dyDescent="0.3">
      <c r="A928" s="443" t="s">
        <v>3772</v>
      </c>
      <c r="B928" s="445" t="s">
        <v>67</v>
      </c>
      <c r="C928" s="444" t="s">
        <v>1807</v>
      </c>
      <c r="D928" s="444" t="s">
        <v>1315</v>
      </c>
      <c r="E928" s="446" t="s">
        <v>3773</v>
      </c>
      <c r="F928" s="447" t="s">
        <v>1890</v>
      </c>
      <c r="G928" s="448"/>
      <c r="H928" s="448"/>
      <c r="I928" s="448" t="s">
        <v>1927</v>
      </c>
    </row>
    <row r="929" spans="1:9" ht="27" x14ac:dyDescent="0.3">
      <c r="A929" s="443" t="s">
        <v>3774</v>
      </c>
      <c r="B929" s="445" t="s">
        <v>67</v>
      </c>
      <c r="C929" s="444" t="s">
        <v>1807</v>
      </c>
      <c r="D929" s="444" t="s">
        <v>1332</v>
      </c>
      <c r="E929" s="446" t="s">
        <v>3775</v>
      </c>
      <c r="F929" s="447" t="s">
        <v>1890</v>
      </c>
      <c r="G929" s="448"/>
      <c r="H929" s="448"/>
      <c r="I929" s="448" t="s">
        <v>1923</v>
      </c>
    </row>
    <row r="930" spans="1:9" ht="27" x14ac:dyDescent="0.3">
      <c r="A930" s="443" t="s">
        <v>3776</v>
      </c>
      <c r="B930" s="445" t="s">
        <v>67</v>
      </c>
      <c r="C930" s="444" t="s">
        <v>120</v>
      </c>
      <c r="D930" s="444" t="s">
        <v>1840</v>
      </c>
      <c r="E930" s="446" t="s">
        <v>3777</v>
      </c>
      <c r="F930" s="447" t="s">
        <v>1890</v>
      </c>
      <c r="G930" s="448"/>
      <c r="H930" s="448"/>
      <c r="I930" s="448" t="s">
        <v>1893</v>
      </c>
    </row>
    <row r="931" spans="1:9" ht="27" x14ac:dyDescent="0.3">
      <c r="A931" s="443" t="s">
        <v>3778</v>
      </c>
      <c r="B931" s="445" t="s">
        <v>67</v>
      </c>
      <c r="C931" s="444" t="s">
        <v>120</v>
      </c>
      <c r="D931" s="444" t="s">
        <v>277</v>
      </c>
      <c r="E931" s="446" t="s">
        <v>3779</v>
      </c>
      <c r="F931" s="447" t="s">
        <v>1890</v>
      </c>
      <c r="G931" s="448"/>
      <c r="H931" s="448"/>
      <c r="I931" s="448" t="s">
        <v>1893</v>
      </c>
    </row>
    <row r="932" spans="1:9" ht="27" x14ac:dyDescent="0.3">
      <c r="A932" s="443" t="s">
        <v>3780</v>
      </c>
      <c r="B932" s="445" t="s">
        <v>67</v>
      </c>
      <c r="C932" s="444" t="s">
        <v>120</v>
      </c>
      <c r="D932" s="444" t="s">
        <v>350</v>
      </c>
      <c r="E932" s="446" t="s">
        <v>3781</v>
      </c>
      <c r="F932" s="447" t="s">
        <v>1890</v>
      </c>
      <c r="G932" s="448"/>
      <c r="H932" s="448"/>
      <c r="I932" s="448" t="s">
        <v>1923</v>
      </c>
    </row>
    <row r="933" spans="1:9" ht="27" x14ac:dyDescent="0.3">
      <c r="A933" s="443" t="s">
        <v>3782</v>
      </c>
      <c r="B933" s="445" t="s">
        <v>67</v>
      </c>
      <c r="C933" s="444" t="s">
        <v>120</v>
      </c>
      <c r="D933" s="444" t="s">
        <v>420</v>
      </c>
      <c r="E933" s="446" t="s">
        <v>3783</v>
      </c>
      <c r="F933" s="447" t="s">
        <v>1890</v>
      </c>
      <c r="G933" s="448"/>
      <c r="H933" s="448"/>
      <c r="I933" s="448" t="s">
        <v>1893</v>
      </c>
    </row>
    <row r="934" spans="1:9" ht="27" x14ac:dyDescent="0.3">
      <c r="A934" s="443" t="s">
        <v>3784</v>
      </c>
      <c r="B934" s="445" t="s">
        <v>67</v>
      </c>
      <c r="C934" s="444" t="s">
        <v>120</v>
      </c>
      <c r="D934" s="444" t="s">
        <v>1842</v>
      </c>
      <c r="E934" s="446" t="s">
        <v>3785</v>
      </c>
      <c r="F934" s="447" t="s">
        <v>1890</v>
      </c>
      <c r="G934" s="448"/>
      <c r="H934" s="448"/>
      <c r="I934" s="448" t="s">
        <v>1893</v>
      </c>
    </row>
    <row r="935" spans="1:9" ht="27" x14ac:dyDescent="0.3">
      <c r="A935" s="443" t="s">
        <v>3786</v>
      </c>
      <c r="B935" s="445" t="s">
        <v>67</v>
      </c>
      <c r="C935" s="444" t="s">
        <v>120</v>
      </c>
      <c r="D935" s="444" t="s">
        <v>120</v>
      </c>
      <c r="E935" s="446" t="s">
        <v>3787</v>
      </c>
      <c r="F935" s="447" t="s">
        <v>1890</v>
      </c>
      <c r="G935" s="448"/>
      <c r="H935" s="448"/>
      <c r="I935" s="448" t="s">
        <v>1923</v>
      </c>
    </row>
    <row r="936" spans="1:9" ht="27" x14ac:dyDescent="0.3">
      <c r="A936" s="443" t="s">
        <v>3788</v>
      </c>
      <c r="B936" s="445" t="s">
        <v>67</v>
      </c>
      <c r="C936" s="444" t="s">
        <v>1755</v>
      </c>
      <c r="D936" s="444" t="s">
        <v>1805</v>
      </c>
      <c r="E936" s="446" t="s">
        <v>3789</v>
      </c>
      <c r="F936" s="447" t="s">
        <v>1854</v>
      </c>
      <c r="G936" s="448"/>
      <c r="H936" s="448" t="s">
        <v>1855</v>
      </c>
      <c r="I936" s="448" t="s">
        <v>1856</v>
      </c>
    </row>
    <row r="937" spans="1:9" ht="27" x14ac:dyDescent="0.3">
      <c r="A937" s="443" t="s">
        <v>3790</v>
      </c>
      <c r="B937" s="445" t="s">
        <v>3791</v>
      </c>
      <c r="C937" s="444" t="s">
        <v>87</v>
      </c>
      <c r="D937" s="444" t="s">
        <v>206</v>
      </c>
      <c r="E937" s="446" t="s">
        <v>3792</v>
      </c>
      <c r="F937" s="447" t="s">
        <v>1890</v>
      </c>
      <c r="G937" s="448"/>
      <c r="H937" s="448"/>
      <c r="I937" s="448" t="s">
        <v>1893</v>
      </c>
    </row>
    <row r="938" spans="1:9" ht="27" x14ac:dyDescent="0.3">
      <c r="A938" s="443" t="s">
        <v>3793</v>
      </c>
      <c r="B938" s="445" t="s">
        <v>3791</v>
      </c>
      <c r="C938" s="444" t="s">
        <v>87</v>
      </c>
      <c r="D938" s="444" t="s">
        <v>172</v>
      </c>
      <c r="E938" s="446" t="s">
        <v>3794</v>
      </c>
      <c r="F938" s="447" t="s">
        <v>1890</v>
      </c>
      <c r="G938" s="448"/>
      <c r="H938" s="448"/>
      <c r="I938" s="448" t="s">
        <v>1923</v>
      </c>
    </row>
    <row r="939" spans="1:9" ht="27" x14ac:dyDescent="0.3">
      <c r="A939" s="443" t="s">
        <v>3795</v>
      </c>
      <c r="B939" s="445" t="s">
        <v>3791</v>
      </c>
      <c r="C939" s="444" t="s">
        <v>87</v>
      </c>
      <c r="D939" s="444" t="s">
        <v>351</v>
      </c>
      <c r="E939" s="446" t="s">
        <v>3796</v>
      </c>
      <c r="F939" s="447" t="s">
        <v>1890</v>
      </c>
      <c r="G939" s="448"/>
      <c r="H939" s="448"/>
      <c r="I939" s="448" t="s">
        <v>1893</v>
      </c>
    </row>
    <row r="940" spans="1:9" ht="27" x14ac:dyDescent="0.3">
      <c r="A940" s="443" t="s">
        <v>3797</v>
      </c>
      <c r="B940" s="445" t="s">
        <v>3791</v>
      </c>
      <c r="C940" s="444" t="s">
        <v>87</v>
      </c>
      <c r="D940" s="444" t="s">
        <v>421</v>
      </c>
      <c r="E940" s="446" t="s">
        <v>3798</v>
      </c>
      <c r="F940" s="447" t="s">
        <v>1890</v>
      </c>
      <c r="G940" s="448"/>
      <c r="H940" s="448"/>
      <c r="I940" s="448" t="s">
        <v>1923</v>
      </c>
    </row>
    <row r="941" spans="1:9" ht="27" x14ac:dyDescent="0.3">
      <c r="A941" s="443" t="s">
        <v>3799</v>
      </c>
      <c r="B941" s="445" t="s">
        <v>3791</v>
      </c>
      <c r="C941" s="444" t="s">
        <v>87</v>
      </c>
      <c r="D941" s="444" t="s">
        <v>497</v>
      </c>
      <c r="E941" s="446" t="s">
        <v>3800</v>
      </c>
      <c r="F941" s="447" t="s">
        <v>1890</v>
      </c>
      <c r="G941" s="448"/>
      <c r="H941" s="448"/>
      <c r="I941" s="448" t="s">
        <v>1923</v>
      </c>
    </row>
    <row r="942" spans="1:9" ht="27" x14ac:dyDescent="0.3">
      <c r="A942" s="443" t="s">
        <v>3801</v>
      </c>
      <c r="B942" s="445" t="s">
        <v>3791</v>
      </c>
      <c r="C942" s="444" t="s">
        <v>87</v>
      </c>
      <c r="D942" s="444" t="s">
        <v>567</v>
      </c>
      <c r="E942" s="446" t="s">
        <v>3802</v>
      </c>
      <c r="F942" s="447" t="s">
        <v>1890</v>
      </c>
      <c r="G942" s="448"/>
      <c r="H942" s="448"/>
      <c r="I942" s="448" t="s">
        <v>1923</v>
      </c>
    </row>
    <row r="943" spans="1:9" ht="27" x14ac:dyDescent="0.3">
      <c r="A943" s="443" t="s">
        <v>3803</v>
      </c>
      <c r="B943" s="445" t="s">
        <v>3791</v>
      </c>
      <c r="C943" s="444" t="s">
        <v>87</v>
      </c>
      <c r="D943" s="444" t="s">
        <v>412</v>
      </c>
      <c r="E943" s="446" t="s">
        <v>3804</v>
      </c>
      <c r="F943" s="447" t="s">
        <v>1890</v>
      </c>
      <c r="G943" s="448"/>
      <c r="H943" s="448"/>
      <c r="I943" s="448" t="s">
        <v>1893</v>
      </c>
    </row>
    <row r="944" spans="1:9" ht="27" x14ac:dyDescent="0.3">
      <c r="A944" s="443" t="s">
        <v>3805</v>
      </c>
      <c r="B944" s="445" t="s">
        <v>3791</v>
      </c>
      <c r="C944" s="444" t="s">
        <v>87</v>
      </c>
      <c r="D944" s="444" t="s">
        <v>763</v>
      </c>
      <c r="E944" s="446" t="s">
        <v>3806</v>
      </c>
      <c r="F944" s="447" t="s">
        <v>1890</v>
      </c>
      <c r="G944" s="448"/>
      <c r="H944" s="448"/>
      <c r="I944" s="448" t="s">
        <v>1923</v>
      </c>
    </row>
    <row r="945" spans="1:9" ht="27" x14ac:dyDescent="0.3">
      <c r="A945" s="443" t="s">
        <v>3807</v>
      </c>
      <c r="B945" s="445" t="s">
        <v>3791</v>
      </c>
      <c r="C945" s="444" t="s">
        <v>87</v>
      </c>
      <c r="D945" s="444" t="s">
        <v>202</v>
      </c>
      <c r="E945" s="446" t="s">
        <v>3808</v>
      </c>
      <c r="F945" s="447" t="s">
        <v>1890</v>
      </c>
      <c r="G945" s="448"/>
      <c r="H945" s="448"/>
      <c r="I945" s="448" t="s">
        <v>1923</v>
      </c>
    </row>
    <row r="946" spans="1:9" ht="27" x14ac:dyDescent="0.3">
      <c r="A946" s="443" t="s">
        <v>3809</v>
      </c>
      <c r="B946" s="445" t="s">
        <v>3791</v>
      </c>
      <c r="C946" s="444" t="s">
        <v>87</v>
      </c>
      <c r="D946" s="444" t="s">
        <v>876</v>
      </c>
      <c r="E946" s="446" t="s">
        <v>3810</v>
      </c>
      <c r="F946" s="447" t="s">
        <v>1890</v>
      </c>
      <c r="G946" s="448"/>
      <c r="H946" s="448"/>
      <c r="I946" s="448" t="s">
        <v>1927</v>
      </c>
    </row>
    <row r="947" spans="1:9" ht="27" x14ac:dyDescent="0.3">
      <c r="A947" s="443" t="s">
        <v>3811</v>
      </c>
      <c r="B947" s="445" t="s">
        <v>3791</v>
      </c>
      <c r="C947" s="444" t="s">
        <v>87</v>
      </c>
      <c r="D947" s="444" t="s">
        <v>934</v>
      </c>
      <c r="E947" s="446" t="s">
        <v>3812</v>
      </c>
      <c r="F947" s="447" t="s">
        <v>1890</v>
      </c>
      <c r="G947" s="448"/>
      <c r="H947" s="448"/>
      <c r="I947" s="448" t="s">
        <v>1923</v>
      </c>
    </row>
    <row r="948" spans="1:9" ht="27" x14ac:dyDescent="0.3">
      <c r="A948" s="443" t="s">
        <v>3813</v>
      </c>
      <c r="B948" s="445" t="s">
        <v>3791</v>
      </c>
      <c r="C948" s="444" t="s">
        <v>87</v>
      </c>
      <c r="D948" s="444" t="s">
        <v>366</v>
      </c>
      <c r="E948" s="446" t="s">
        <v>3814</v>
      </c>
      <c r="F948" s="447" t="s">
        <v>1890</v>
      </c>
      <c r="G948" s="448"/>
      <c r="H948" s="448"/>
      <c r="I948" s="448" t="s">
        <v>1856</v>
      </c>
    </row>
    <row r="949" spans="1:9" ht="27" x14ac:dyDescent="0.3">
      <c r="A949" s="443" t="s">
        <v>3815</v>
      </c>
      <c r="B949" s="445" t="s">
        <v>3791</v>
      </c>
      <c r="C949" s="444" t="s">
        <v>87</v>
      </c>
      <c r="D949" s="444" t="s">
        <v>1031</v>
      </c>
      <c r="E949" s="446" t="s">
        <v>3816</v>
      </c>
      <c r="F949" s="447" t="s">
        <v>1890</v>
      </c>
      <c r="G949" s="448"/>
      <c r="H949" s="448"/>
      <c r="I949" s="448" t="s">
        <v>1923</v>
      </c>
    </row>
    <row r="950" spans="1:9" ht="27" x14ac:dyDescent="0.3">
      <c r="A950" s="443" t="s">
        <v>3817</v>
      </c>
      <c r="B950" s="445" t="s">
        <v>3791</v>
      </c>
      <c r="C950" s="444" t="s">
        <v>87</v>
      </c>
      <c r="D950" s="444" t="s">
        <v>711</v>
      </c>
      <c r="E950" s="446" t="s">
        <v>3818</v>
      </c>
      <c r="F950" s="447" t="s">
        <v>1890</v>
      </c>
      <c r="G950" s="448"/>
      <c r="H950" s="448"/>
      <c r="I950" s="448" t="s">
        <v>1893</v>
      </c>
    </row>
    <row r="951" spans="1:9" ht="27" x14ac:dyDescent="0.3">
      <c r="A951" s="443" t="s">
        <v>3819</v>
      </c>
      <c r="B951" s="445" t="s">
        <v>3791</v>
      </c>
      <c r="C951" s="444" t="s">
        <v>87</v>
      </c>
      <c r="D951" s="444" t="s">
        <v>1148</v>
      </c>
      <c r="E951" s="446" t="s">
        <v>3820</v>
      </c>
      <c r="F951" s="447" t="s">
        <v>1890</v>
      </c>
      <c r="G951" s="448"/>
      <c r="H951" s="448"/>
      <c r="I951" s="448" t="s">
        <v>1893</v>
      </c>
    </row>
    <row r="952" spans="1:9" ht="27" x14ac:dyDescent="0.3">
      <c r="A952" s="443" t="s">
        <v>3821</v>
      </c>
      <c r="B952" s="445" t="s">
        <v>3791</v>
      </c>
      <c r="C952" s="444" t="s">
        <v>87</v>
      </c>
      <c r="D952" s="444" t="s">
        <v>785</v>
      </c>
      <c r="E952" s="446" t="s">
        <v>3822</v>
      </c>
      <c r="F952" s="447" t="s">
        <v>1890</v>
      </c>
      <c r="G952" s="448"/>
      <c r="H952" s="448"/>
      <c r="I952" s="448" t="s">
        <v>1893</v>
      </c>
    </row>
    <row r="953" spans="1:9" ht="27" x14ac:dyDescent="0.3">
      <c r="A953" s="443" t="s">
        <v>3823</v>
      </c>
      <c r="B953" s="445" t="s">
        <v>3791</v>
      </c>
      <c r="C953" s="444" t="s">
        <v>87</v>
      </c>
      <c r="D953" s="444" t="s">
        <v>1209</v>
      </c>
      <c r="E953" s="446" t="s">
        <v>3824</v>
      </c>
      <c r="F953" s="447" t="s">
        <v>1890</v>
      </c>
      <c r="G953" s="448"/>
      <c r="H953" s="448"/>
      <c r="I953" s="448" t="s">
        <v>1893</v>
      </c>
    </row>
    <row r="954" spans="1:9" ht="27" x14ac:dyDescent="0.3">
      <c r="A954" s="443" t="s">
        <v>3825</v>
      </c>
      <c r="B954" s="445" t="s">
        <v>3791</v>
      </c>
      <c r="C954" s="444" t="s">
        <v>87</v>
      </c>
      <c r="D954" s="444" t="s">
        <v>1238</v>
      </c>
      <c r="E954" s="446" t="s">
        <v>3826</v>
      </c>
      <c r="F954" s="447" t="s">
        <v>1890</v>
      </c>
      <c r="G954" s="448"/>
      <c r="H954" s="448"/>
      <c r="I954" s="448" t="s">
        <v>3366</v>
      </c>
    </row>
    <row r="955" spans="1:9" ht="27" x14ac:dyDescent="0.3">
      <c r="A955" s="443" t="s">
        <v>3827</v>
      </c>
      <c r="B955" s="445" t="s">
        <v>3791</v>
      </c>
      <c r="C955" s="444" t="s">
        <v>87</v>
      </c>
      <c r="D955" s="444" t="s">
        <v>1258</v>
      </c>
      <c r="E955" s="446" t="s">
        <v>3828</v>
      </c>
      <c r="F955" s="447" t="s">
        <v>1890</v>
      </c>
      <c r="G955" s="448"/>
      <c r="H955" s="448"/>
      <c r="I955" s="448" t="s">
        <v>1923</v>
      </c>
    </row>
    <row r="956" spans="1:9" ht="27" x14ac:dyDescent="0.3">
      <c r="A956" s="443" t="s">
        <v>3829</v>
      </c>
      <c r="B956" s="445" t="s">
        <v>3791</v>
      </c>
      <c r="C956" s="444" t="s">
        <v>87</v>
      </c>
      <c r="D956" s="444" t="s">
        <v>1278</v>
      </c>
      <c r="E956" s="446" t="s">
        <v>3830</v>
      </c>
      <c r="F956" s="447" t="s">
        <v>1890</v>
      </c>
      <c r="G956" s="448"/>
      <c r="H956" s="448"/>
      <c r="I956" s="448" t="s">
        <v>1923</v>
      </c>
    </row>
    <row r="957" spans="1:9" ht="27" x14ac:dyDescent="0.3">
      <c r="A957" s="443" t="s">
        <v>3831</v>
      </c>
      <c r="B957" s="445" t="s">
        <v>3791</v>
      </c>
      <c r="C957" s="444" t="s">
        <v>87</v>
      </c>
      <c r="D957" s="444" t="s">
        <v>1300</v>
      </c>
      <c r="E957" s="446" t="s">
        <v>3832</v>
      </c>
      <c r="F957" s="447" t="s">
        <v>1890</v>
      </c>
      <c r="G957" s="448"/>
      <c r="H957" s="448"/>
      <c r="I957" s="448" t="s">
        <v>1923</v>
      </c>
    </row>
    <row r="958" spans="1:9" ht="27" x14ac:dyDescent="0.3">
      <c r="A958" s="443" t="s">
        <v>3833</v>
      </c>
      <c r="B958" s="445" t="s">
        <v>3791</v>
      </c>
      <c r="C958" s="444" t="s">
        <v>87</v>
      </c>
      <c r="D958" s="444" t="s">
        <v>3834</v>
      </c>
      <c r="E958" s="446" t="s">
        <v>3835</v>
      </c>
      <c r="F958" s="447" t="s">
        <v>1890</v>
      </c>
      <c r="G958" s="448"/>
      <c r="H958" s="448"/>
      <c r="I958" s="448" t="s">
        <v>1923</v>
      </c>
    </row>
    <row r="959" spans="1:9" ht="27" x14ac:dyDescent="0.3">
      <c r="A959" s="443" t="s">
        <v>3836</v>
      </c>
      <c r="B959" s="445" t="s">
        <v>3791</v>
      </c>
      <c r="C959" s="444" t="s">
        <v>87</v>
      </c>
      <c r="D959" s="444" t="s">
        <v>1346</v>
      </c>
      <c r="E959" s="446" t="s">
        <v>3837</v>
      </c>
      <c r="F959" s="447" t="s">
        <v>1890</v>
      </c>
      <c r="G959" s="448"/>
      <c r="H959" s="448"/>
      <c r="I959" s="448" t="s">
        <v>1923</v>
      </c>
    </row>
    <row r="960" spans="1:9" ht="27" x14ac:dyDescent="0.3">
      <c r="A960" s="443" t="s">
        <v>3838</v>
      </c>
      <c r="B960" s="445" t="s">
        <v>3791</v>
      </c>
      <c r="C960" s="444" t="s">
        <v>87</v>
      </c>
      <c r="D960" s="444" t="s">
        <v>1360</v>
      </c>
      <c r="E960" s="446" t="s">
        <v>3839</v>
      </c>
      <c r="F960" s="447" t="s">
        <v>1890</v>
      </c>
      <c r="G960" s="448"/>
      <c r="H960" s="448"/>
      <c r="I960" s="448" t="s">
        <v>1927</v>
      </c>
    </row>
    <row r="961" spans="1:9" ht="27" x14ac:dyDescent="0.3">
      <c r="A961" s="443" t="s">
        <v>3840</v>
      </c>
      <c r="B961" s="445" t="s">
        <v>3791</v>
      </c>
      <c r="C961" s="444" t="s">
        <v>87</v>
      </c>
      <c r="D961" s="444" t="s">
        <v>1370</v>
      </c>
      <c r="E961" s="446" t="s">
        <v>3841</v>
      </c>
      <c r="F961" s="447" t="s">
        <v>1890</v>
      </c>
      <c r="G961" s="448"/>
      <c r="H961" s="448"/>
      <c r="I961" s="448" t="s">
        <v>1927</v>
      </c>
    </row>
    <row r="962" spans="1:9" ht="27" x14ac:dyDescent="0.3">
      <c r="A962" s="443" t="s">
        <v>3842</v>
      </c>
      <c r="B962" s="445" t="s">
        <v>3791</v>
      </c>
      <c r="C962" s="444" t="s">
        <v>87</v>
      </c>
      <c r="D962" s="444" t="s">
        <v>1333</v>
      </c>
      <c r="E962" s="446" t="s">
        <v>3843</v>
      </c>
      <c r="F962" s="447" t="s">
        <v>1890</v>
      </c>
      <c r="G962" s="448"/>
      <c r="H962" s="448"/>
      <c r="I962" s="448" t="s">
        <v>1927</v>
      </c>
    </row>
    <row r="963" spans="1:9" ht="27" x14ac:dyDescent="0.3">
      <c r="A963" s="443" t="s">
        <v>3844</v>
      </c>
      <c r="B963" s="445" t="s">
        <v>3791</v>
      </c>
      <c r="C963" s="444" t="s">
        <v>87</v>
      </c>
      <c r="D963" s="444" t="s">
        <v>1382</v>
      </c>
      <c r="E963" s="446" t="s">
        <v>3845</v>
      </c>
      <c r="F963" s="447" t="s">
        <v>1890</v>
      </c>
      <c r="G963" s="448"/>
      <c r="H963" s="448"/>
      <c r="I963" s="448" t="s">
        <v>1893</v>
      </c>
    </row>
    <row r="964" spans="1:9" ht="27" x14ac:dyDescent="0.3">
      <c r="A964" s="443" t="s">
        <v>3846</v>
      </c>
      <c r="B964" s="445" t="s">
        <v>3791</v>
      </c>
      <c r="C964" s="444" t="s">
        <v>87</v>
      </c>
      <c r="D964" s="444" t="s">
        <v>1393</v>
      </c>
      <c r="E964" s="446" t="s">
        <v>3847</v>
      </c>
      <c r="F964" s="447" t="s">
        <v>1890</v>
      </c>
      <c r="G964" s="448"/>
      <c r="H964" s="448"/>
      <c r="I964" s="448" t="s">
        <v>1893</v>
      </c>
    </row>
    <row r="965" spans="1:9" ht="27" x14ac:dyDescent="0.3">
      <c r="A965" s="443" t="s">
        <v>3848</v>
      </c>
      <c r="B965" s="445" t="s">
        <v>3791</v>
      </c>
      <c r="C965" s="444" t="s">
        <v>87</v>
      </c>
      <c r="D965" s="444" t="s">
        <v>1402</v>
      </c>
      <c r="E965" s="446" t="s">
        <v>3849</v>
      </c>
      <c r="F965" s="447" t="s">
        <v>1890</v>
      </c>
      <c r="G965" s="448"/>
      <c r="H965" s="448"/>
      <c r="I965" s="448" t="s">
        <v>1923</v>
      </c>
    </row>
    <row r="966" spans="1:9" ht="27" x14ac:dyDescent="0.3">
      <c r="A966" s="443" t="s">
        <v>3850</v>
      </c>
      <c r="B966" s="445" t="s">
        <v>3791</v>
      </c>
      <c r="C966" s="444" t="s">
        <v>87</v>
      </c>
      <c r="D966" s="444" t="s">
        <v>1412</v>
      </c>
      <c r="E966" s="446" t="s">
        <v>3851</v>
      </c>
      <c r="F966" s="447" t="s">
        <v>1890</v>
      </c>
      <c r="G966" s="448"/>
      <c r="H966" s="448"/>
      <c r="I966" s="448" t="s">
        <v>1874</v>
      </c>
    </row>
    <row r="967" spans="1:9" ht="27" x14ac:dyDescent="0.3">
      <c r="A967" s="443" t="s">
        <v>3852</v>
      </c>
      <c r="B967" s="445" t="s">
        <v>3791</v>
      </c>
      <c r="C967" s="444" t="s">
        <v>87</v>
      </c>
      <c r="D967" s="444" t="s">
        <v>369</v>
      </c>
      <c r="E967" s="446" t="s">
        <v>3853</v>
      </c>
      <c r="F967" s="447" t="s">
        <v>1890</v>
      </c>
      <c r="G967" s="448"/>
      <c r="H967" s="448"/>
      <c r="I967" s="448" t="s">
        <v>1923</v>
      </c>
    </row>
    <row r="968" spans="1:9" ht="27" x14ac:dyDescent="0.3">
      <c r="A968" s="443" t="s">
        <v>3854</v>
      </c>
      <c r="B968" s="445" t="s">
        <v>3791</v>
      </c>
      <c r="C968" s="444" t="s">
        <v>87</v>
      </c>
      <c r="D968" s="444" t="s">
        <v>1427</v>
      </c>
      <c r="E968" s="446" t="s">
        <v>3855</v>
      </c>
      <c r="F968" s="447" t="s">
        <v>1890</v>
      </c>
      <c r="G968" s="448"/>
      <c r="H968" s="448"/>
      <c r="I968" s="448" t="s">
        <v>1923</v>
      </c>
    </row>
    <row r="969" spans="1:9" ht="27" x14ac:dyDescent="0.3">
      <c r="A969" s="443" t="s">
        <v>3856</v>
      </c>
      <c r="B969" s="445" t="s">
        <v>3791</v>
      </c>
      <c r="C969" s="444" t="s">
        <v>87</v>
      </c>
      <c r="D969" s="444" t="s">
        <v>1433</v>
      </c>
      <c r="E969" s="446" t="s">
        <v>3857</v>
      </c>
      <c r="F969" s="447" t="s">
        <v>1890</v>
      </c>
      <c r="G969" s="448"/>
      <c r="H969" s="448"/>
      <c r="I969" s="448" t="s">
        <v>1923</v>
      </c>
    </row>
    <row r="970" spans="1:9" ht="27" x14ac:dyDescent="0.3">
      <c r="A970" s="443" t="s">
        <v>3858</v>
      </c>
      <c r="B970" s="445" t="s">
        <v>3791</v>
      </c>
      <c r="C970" s="444" t="s">
        <v>87</v>
      </c>
      <c r="D970" s="444" t="s">
        <v>855</v>
      </c>
      <c r="E970" s="446" t="s">
        <v>3859</v>
      </c>
      <c r="F970" s="447" t="s">
        <v>1890</v>
      </c>
      <c r="G970" s="448"/>
      <c r="H970" s="448"/>
      <c r="I970" s="448" t="s">
        <v>1923</v>
      </c>
    </row>
    <row r="971" spans="1:9" ht="27" x14ac:dyDescent="0.3">
      <c r="A971" s="443" t="s">
        <v>3860</v>
      </c>
      <c r="B971" s="445" t="s">
        <v>3791</v>
      </c>
      <c r="C971" s="444" t="s">
        <v>87</v>
      </c>
      <c r="D971" s="444" t="s">
        <v>3861</v>
      </c>
      <c r="E971" s="446" t="s">
        <v>3862</v>
      </c>
      <c r="F971" s="447" t="s">
        <v>1890</v>
      </c>
      <c r="G971" s="448" t="s">
        <v>1215</v>
      </c>
      <c r="H971" s="448"/>
      <c r="I971" s="448" t="s">
        <v>1923</v>
      </c>
    </row>
    <row r="972" spans="1:9" ht="27" x14ac:dyDescent="0.3">
      <c r="A972" s="443" t="s">
        <v>3863</v>
      </c>
      <c r="B972" s="445" t="s">
        <v>3791</v>
      </c>
      <c r="C972" s="444" t="s">
        <v>87</v>
      </c>
      <c r="D972" s="444" t="s">
        <v>1446</v>
      </c>
      <c r="E972" s="446" t="s">
        <v>3864</v>
      </c>
      <c r="F972" s="447" t="s">
        <v>1890</v>
      </c>
      <c r="G972" s="448" t="s">
        <v>3865</v>
      </c>
      <c r="H972" s="448"/>
      <c r="I972" s="448" t="s">
        <v>1923</v>
      </c>
    </row>
    <row r="973" spans="1:9" ht="27" x14ac:dyDescent="0.3">
      <c r="A973" s="443" t="s">
        <v>3866</v>
      </c>
      <c r="B973" s="445" t="s">
        <v>3791</v>
      </c>
      <c r="C973" s="444" t="s">
        <v>87</v>
      </c>
      <c r="D973" s="444" t="s">
        <v>1916</v>
      </c>
      <c r="E973" s="446" t="s">
        <v>3867</v>
      </c>
      <c r="F973" s="447" t="s">
        <v>1890</v>
      </c>
      <c r="G973" s="448"/>
      <c r="H973" s="448"/>
      <c r="I973" s="448" t="s">
        <v>3400</v>
      </c>
    </row>
    <row r="974" spans="1:9" ht="27" x14ac:dyDescent="0.3">
      <c r="A974" s="443" t="s">
        <v>3868</v>
      </c>
      <c r="B974" s="445" t="s">
        <v>3791</v>
      </c>
      <c r="C974" s="444" t="s">
        <v>87</v>
      </c>
      <c r="D974" s="444" t="s">
        <v>2552</v>
      </c>
      <c r="E974" s="446" t="s">
        <v>3869</v>
      </c>
      <c r="F974" s="447" t="s">
        <v>1890</v>
      </c>
      <c r="G974" s="448"/>
      <c r="H974" s="448"/>
      <c r="I974" s="448" t="s">
        <v>1923</v>
      </c>
    </row>
    <row r="975" spans="1:9" ht="27" x14ac:dyDescent="0.3">
      <c r="A975" s="443" t="s">
        <v>3870</v>
      </c>
      <c r="B975" s="445" t="s">
        <v>3791</v>
      </c>
      <c r="C975" s="444" t="s">
        <v>87</v>
      </c>
      <c r="D975" s="444" t="s">
        <v>1457</v>
      </c>
      <c r="E975" s="446" t="s">
        <v>3871</v>
      </c>
      <c r="F975" s="447" t="s">
        <v>1890</v>
      </c>
      <c r="G975" s="448"/>
      <c r="H975" s="448"/>
      <c r="I975" s="448" t="s">
        <v>1893</v>
      </c>
    </row>
    <row r="976" spans="1:9" ht="27" x14ac:dyDescent="0.3">
      <c r="A976" s="443" t="s">
        <v>3872</v>
      </c>
      <c r="B976" s="445" t="s">
        <v>3791</v>
      </c>
      <c r="C976" s="444" t="s">
        <v>87</v>
      </c>
      <c r="D976" s="444" t="s">
        <v>3873</v>
      </c>
      <c r="E976" s="446" t="s">
        <v>3874</v>
      </c>
      <c r="F976" s="447" t="s">
        <v>1890</v>
      </c>
      <c r="G976" s="448"/>
      <c r="H976" s="448"/>
      <c r="I976" s="448" t="s">
        <v>1927</v>
      </c>
    </row>
    <row r="977" spans="1:9" ht="27" x14ac:dyDescent="0.3">
      <c r="A977" s="443" t="s">
        <v>3875</v>
      </c>
      <c r="B977" s="445" t="s">
        <v>3791</v>
      </c>
      <c r="C977" s="444" t="s">
        <v>87</v>
      </c>
      <c r="D977" s="444" t="s">
        <v>1465</v>
      </c>
      <c r="E977" s="446" t="s">
        <v>3876</v>
      </c>
      <c r="F977" s="447" t="s">
        <v>1890</v>
      </c>
      <c r="G977" s="448"/>
      <c r="H977" s="448"/>
      <c r="I977" s="448" t="s">
        <v>1893</v>
      </c>
    </row>
    <row r="978" spans="1:9" ht="27" x14ac:dyDescent="0.3">
      <c r="A978" s="443" t="s">
        <v>3877</v>
      </c>
      <c r="B978" s="445" t="s">
        <v>3791</v>
      </c>
      <c r="C978" s="444" t="s">
        <v>87</v>
      </c>
      <c r="D978" s="444" t="s">
        <v>3878</v>
      </c>
      <c r="E978" s="446" t="s">
        <v>3879</v>
      </c>
      <c r="F978" s="447" t="s">
        <v>1854</v>
      </c>
      <c r="G978" s="448"/>
      <c r="H978" s="448" t="s">
        <v>1961</v>
      </c>
      <c r="I978" s="448" t="s">
        <v>1927</v>
      </c>
    </row>
    <row r="979" spans="1:9" ht="27" x14ac:dyDescent="0.3">
      <c r="A979" s="443" t="s">
        <v>3880</v>
      </c>
      <c r="B979" s="445" t="s">
        <v>3791</v>
      </c>
      <c r="C979" s="444" t="s">
        <v>87</v>
      </c>
      <c r="D979" s="444" t="s">
        <v>1469</v>
      </c>
      <c r="E979" s="446" t="s">
        <v>3881</v>
      </c>
      <c r="F979" s="447" t="s">
        <v>1890</v>
      </c>
      <c r="G979" s="448"/>
      <c r="H979" s="448"/>
      <c r="I979" s="448" t="s">
        <v>1856</v>
      </c>
    </row>
    <row r="980" spans="1:9" ht="27" x14ac:dyDescent="0.3">
      <c r="A980" s="443" t="s">
        <v>3882</v>
      </c>
      <c r="B980" s="445" t="s">
        <v>3791</v>
      </c>
      <c r="C980" s="444" t="s">
        <v>87</v>
      </c>
      <c r="D980" s="444" t="s">
        <v>1471</v>
      </c>
      <c r="E980" s="446" t="s">
        <v>3883</v>
      </c>
      <c r="F980" s="447" t="s">
        <v>1890</v>
      </c>
      <c r="G980" s="448"/>
      <c r="H980" s="448"/>
      <c r="I980" s="448" t="s">
        <v>1927</v>
      </c>
    </row>
    <row r="981" spans="1:9" ht="27" x14ac:dyDescent="0.3">
      <c r="A981" s="443" t="s">
        <v>3884</v>
      </c>
      <c r="B981" s="445" t="s">
        <v>3791</v>
      </c>
      <c r="C981" s="444" t="s">
        <v>87</v>
      </c>
      <c r="D981" s="444" t="s">
        <v>1473</v>
      </c>
      <c r="E981" s="446" t="s">
        <v>3885</v>
      </c>
      <c r="F981" s="447" t="s">
        <v>1890</v>
      </c>
      <c r="G981" s="448"/>
      <c r="H981" s="448"/>
      <c r="I981" s="448" t="s">
        <v>1856</v>
      </c>
    </row>
    <row r="982" spans="1:9" ht="27" x14ac:dyDescent="0.3">
      <c r="A982" s="443" t="s">
        <v>3886</v>
      </c>
      <c r="B982" s="445" t="s">
        <v>3791</v>
      </c>
      <c r="C982" s="444" t="s">
        <v>87</v>
      </c>
      <c r="D982" s="444" t="s">
        <v>1475</v>
      </c>
      <c r="E982" s="446" t="s">
        <v>3887</v>
      </c>
      <c r="F982" s="447" t="s">
        <v>1890</v>
      </c>
      <c r="G982" s="448"/>
      <c r="H982" s="448"/>
      <c r="I982" s="448" t="s">
        <v>1856</v>
      </c>
    </row>
    <row r="983" spans="1:9" ht="27" x14ac:dyDescent="0.3">
      <c r="A983" s="443" t="s">
        <v>3888</v>
      </c>
      <c r="B983" s="445" t="s">
        <v>3791</v>
      </c>
      <c r="C983" s="444" t="s">
        <v>87</v>
      </c>
      <c r="D983" s="444" t="s">
        <v>1299</v>
      </c>
      <c r="E983" s="446" t="s">
        <v>3889</v>
      </c>
      <c r="F983" s="447" t="s">
        <v>1890</v>
      </c>
      <c r="G983" s="448"/>
      <c r="H983" s="448"/>
      <c r="I983" s="448" t="s">
        <v>1923</v>
      </c>
    </row>
    <row r="984" spans="1:9" ht="27" x14ac:dyDescent="0.3">
      <c r="A984" s="443" t="s">
        <v>3890</v>
      </c>
      <c r="B984" s="445" t="s">
        <v>3791</v>
      </c>
      <c r="C984" s="444" t="s">
        <v>87</v>
      </c>
      <c r="D984" s="444" t="s">
        <v>3891</v>
      </c>
      <c r="E984" s="446" t="s">
        <v>3892</v>
      </c>
      <c r="F984" s="447" t="s">
        <v>1890</v>
      </c>
      <c r="G984" s="448"/>
      <c r="H984" s="448"/>
      <c r="I984" s="448" t="s">
        <v>1923</v>
      </c>
    </row>
    <row r="985" spans="1:9" ht="27" x14ac:dyDescent="0.3">
      <c r="A985" s="443" t="s">
        <v>3893</v>
      </c>
      <c r="B985" s="445" t="s">
        <v>3791</v>
      </c>
      <c r="C985" s="444" t="s">
        <v>104</v>
      </c>
      <c r="D985" s="444" t="s">
        <v>191</v>
      </c>
      <c r="E985" s="446" t="s">
        <v>3894</v>
      </c>
      <c r="F985" s="447" t="s">
        <v>1890</v>
      </c>
      <c r="G985" s="448"/>
      <c r="H985" s="448"/>
      <c r="I985" s="448" t="s">
        <v>1893</v>
      </c>
    </row>
    <row r="986" spans="1:9" ht="27" x14ac:dyDescent="0.3">
      <c r="A986" s="443" t="s">
        <v>3895</v>
      </c>
      <c r="B986" s="445" t="s">
        <v>3791</v>
      </c>
      <c r="C986" s="444" t="s">
        <v>104</v>
      </c>
      <c r="D986" s="444" t="s">
        <v>278</v>
      </c>
      <c r="E986" s="446" t="s">
        <v>3896</v>
      </c>
      <c r="F986" s="447" t="s">
        <v>1890</v>
      </c>
      <c r="G986" s="448"/>
      <c r="H986" s="448"/>
      <c r="I986" s="448" t="s">
        <v>1893</v>
      </c>
    </row>
    <row r="987" spans="1:9" ht="27" x14ac:dyDescent="0.3">
      <c r="A987" s="443" t="s">
        <v>3897</v>
      </c>
      <c r="B987" s="445" t="s">
        <v>3791</v>
      </c>
      <c r="C987" s="444" t="s">
        <v>104</v>
      </c>
      <c r="D987" s="444" t="s">
        <v>230</v>
      </c>
      <c r="E987" s="446" t="s">
        <v>3898</v>
      </c>
      <c r="F987" s="447" t="s">
        <v>1890</v>
      </c>
      <c r="G987" s="448"/>
      <c r="H987" s="448"/>
      <c r="I987" s="448" t="s">
        <v>1923</v>
      </c>
    </row>
    <row r="988" spans="1:9" ht="27" x14ac:dyDescent="0.3">
      <c r="A988" s="443" t="s">
        <v>3899</v>
      </c>
      <c r="B988" s="445" t="s">
        <v>3791</v>
      </c>
      <c r="C988" s="444" t="s">
        <v>104</v>
      </c>
      <c r="D988" s="444" t="s">
        <v>422</v>
      </c>
      <c r="E988" s="446" t="s">
        <v>3900</v>
      </c>
      <c r="F988" s="447" t="s">
        <v>1890</v>
      </c>
      <c r="G988" s="448"/>
      <c r="H988" s="448"/>
      <c r="I988" s="448" t="s">
        <v>1923</v>
      </c>
    </row>
    <row r="989" spans="1:9" ht="27" x14ac:dyDescent="0.3">
      <c r="A989" s="443" t="s">
        <v>3901</v>
      </c>
      <c r="B989" s="445" t="s">
        <v>3791</v>
      </c>
      <c r="C989" s="444" t="s">
        <v>104</v>
      </c>
      <c r="D989" s="444" t="s">
        <v>498</v>
      </c>
      <c r="E989" s="446" t="s">
        <v>3902</v>
      </c>
      <c r="F989" s="447" t="s">
        <v>1890</v>
      </c>
      <c r="G989" s="448"/>
      <c r="H989" s="448"/>
      <c r="I989" s="448" t="s">
        <v>1856</v>
      </c>
    </row>
    <row r="990" spans="1:9" ht="27" x14ac:dyDescent="0.3">
      <c r="A990" s="443" t="s">
        <v>3903</v>
      </c>
      <c r="B990" s="445" t="s">
        <v>3791</v>
      </c>
      <c r="C990" s="444" t="s">
        <v>104</v>
      </c>
      <c r="D990" s="444" t="s">
        <v>568</v>
      </c>
      <c r="E990" s="446" t="s">
        <v>3904</v>
      </c>
      <c r="F990" s="447" t="s">
        <v>1890</v>
      </c>
      <c r="G990" s="448"/>
      <c r="H990" s="448"/>
      <c r="I990" s="448" t="s">
        <v>1927</v>
      </c>
    </row>
    <row r="991" spans="1:9" ht="27" x14ac:dyDescent="0.3">
      <c r="A991" s="443" t="s">
        <v>3905</v>
      </c>
      <c r="B991" s="445" t="s">
        <v>3791</v>
      </c>
      <c r="C991" s="444" t="s">
        <v>104</v>
      </c>
      <c r="D991" s="444" t="s">
        <v>633</v>
      </c>
      <c r="E991" s="446" t="s">
        <v>3906</v>
      </c>
      <c r="F991" s="447" t="s">
        <v>1890</v>
      </c>
      <c r="G991" s="448"/>
      <c r="H991" s="448"/>
      <c r="I991" s="448" t="s">
        <v>1927</v>
      </c>
    </row>
    <row r="992" spans="1:9" ht="27" x14ac:dyDescent="0.3">
      <c r="A992" s="443" t="s">
        <v>3907</v>
      </c>
      <c r="B992" s="445" t="s">
        <v>3791</v>
      </c>
      <c r="C992" s="444" t="s">
        <v>104</v>
      </c>
      <c r="D992" s="444" t="s">
        <v>699</v>
      </c>
      <c r="E992" s="446" t="s">
        <v>3908</v>
      </c>
      <c r="F992" s="447" t="s">
        <v>1890</v>
      </c>
      <c r="G992" s="448"/>
      <c r="H992" s="448"/>
      <c r="I992" s="448" t="s">
        <v>1856</v>
      </c>
    </row>
    <row r="993" spans="1:9" ht="27" x14ac:dyDescent="0.3">
      <c r="A993" s="443" t="s">
        <v>3909</v>
      </c>
      <c r="B993" s="445" t="s">
        <v>3791</v>
      </c>
      <c r="C993" s="444" t="s">
        <v>104</v>
      </c>
      <c r="D993" s="444" t="s">
        <v>764</v>
      </c>
      <c r="E993" s="446" t="s">
        <v>3910</v>
      </c>
      <c r="F993" s="447" t="s">
        <v>1890</v>
      </c>
      <c r="G993" s="448"/>
      <c r="H993" s="448"/>
      <c r="I993" s="448" t="s">
        <v>1856</v>
      </c>
    </row>
    <row r="994" spans="1:9" ht="27" x14ac:dyDescent="0.3">
      <c r="A994" s="443" t="s">
        <v>3911</v>
      </c>
      <c r="B994" s="445" t="s">
        <v>3791</v>
      </c>
      <c r="C994" s="444" t="s">
        <v>104</v>
      </c>
      <c r="D994" s="444" t="s">
        <v>823</v>
      </c>
      <c r="E994" s="446" t="s">
        <v>3912</v>
      </c>
      <c r="F994" s="447" t="s">
        <v>1890</v>
      </c>
      <c r="G994" s="448"/>
      <c r="H994" s="448"/>
      <c r="I994" s="448" t="s">
        <v>1874</v>
      </c>
    </row>
    <row r="995" spans="1:9" ht="27" x14ac:dyDescent="0.3">
      <c r="A995" s="443" t="s">
        <v>3913</v>
      </c>
      <c r="B995" s="445" t="s">
        <v>3791</v>
      </c>
      <c r="C995" s="444" t="s">
        <v>104</v>
      </c>
      <c r="D995" s="444" t="s">
        <v>3914</v>
      </c>
      <c r="E995" s="446" t="s">
        <v>3915</v>
      </c>
      <c r="F995" s="447" t="s">
        <v>1854</v>
      </c>
      <c r="G995" s="448"/>
      <c r="H995" s="448" t="s">
        <v>1961</v>
      </c>
      <c r="I995" s="448" t="s">
        <v>1896</v>
      </c>
    </row>
    <row r="996" spans="1:9" ht="27" x14ac:dyDescent="0.3">
      <c r="A996" s="443" t="s">
        <v>3916</v>
      </c>
      <c r="B996" s="445" t="s">
        <v>3791</v>
      </c>
      <c r="C996" s="444" t="s">
        <v>104</v>
      </c>
      <c r="D996" s="444" t="s">
        <v>877</v>
      </c>
      <c r="E996" s="446" t="s">
        <v>3917</v>
      </c>
      <c r="F996" s="447" t="s">
        <v>1890</v>
      </c>
      <c r="G996" s="448"/>
      <c r="H996" s="448"/>
      <c r="I996" s="448" t="s">
        <v>1893</v>
      </c>
    </row>
    <row r="997" spans="1:9" ht="27" x14ac:dyDescent="0.3">
      <c r="A997" s="443" t="s">
        <v>3918</v>
      </c>
      <c r="B997" s="445" t="s">
        <v>3791</v>
      </c>
      <c r="C997" s="444" t="s">
        <v>104</v>
      </c>
      <c r="D997" s="444" t="s">
        <v>935</v>
      </c>
      <c r="E997" s="446" t="s">
        <v>3919</v>
      </c>
      <c r="F997" s="447" t="s">
        <v>1890</v>
      </c>
      <c r="G997" s="448"/>
      <c r="H997" s="448"/>
      <c r="I997" s="448" t="s">
        <v>3366</v>
      </c>
    </row>
    <row r="998" spans="1:9" ht="27" x14ac:dyDescent="0.3">
      <c r="A998" s="443" t="s">
        <v>3920</v>
      </c>
      <c r="B998" s="445" t="s">
        <v>3791</v>
      </c>
      <c r="C998" s="444" t="s">
        <v>104</v>
      </c>
      <c r="D998" s="444" t="s">
        <v>3921</v>
      </c>
      <c r="E998" s="446" t="s">
        <v>3922</v>
      </c>
      <c r="F998" s="447" t="s">
        <v>1854</v>
      </c>
      <c r="G998" s="448"/>
      <c r="H998" s="448" t="s">
        <v>1961</v>
      </c>
      <c r="I998" s="448" t="s">
        <v>1893</v>
      </c>
    </row>
    <row r="999" spans="1:9" ht="27" x14ac:dyDescent="0.3">
      <c r="A999" s="443" t="s">
        <v>3923</v>
      </c>
      <c r="B999" s="445" t="s">
        <v>3791</v>
      </c>
      <c r="C999" s="444" t="s">
        <v>104</v>
      </c>
      <c r="D999" s="444" t="s">
        <v>366</v>
      </c>
      <c r="E999" s="446" t="s">
        <v>3924</v>
      </c>
      <c r="F999" s="447" t="s">
        <v>1890</v>
      </c>
      <c r="G999" s="448"/>
      <c r="H999" s="448"/>
      <c r="I999" s="448" t="s">
        <v>1927</v>
      </c>
    </row>
    <row r="1000" spans="1:9" ht="27" x14ac:dyDescent="0.3">
      <c r="A1000" s="443" t="s">
        <v>3925</v>
      </c>
      <c r="B1000" s="445" t="s">
        <v>3791</v>
      </c>
      <c r="C1000" s="444" t="s">
        <v>104</v>
      </c>
      <c r="D1000" s="444" t="s">
        <v>1032</v>
      </c>
      <c r="E1000" s="446" t="s">
        <v>3926</v>
      </c>
      <c r="F1000" s="447" t="s">
        <v>1890</v>
      </c>
      <c r="G1000" s="448"/>
      <c r="H1000" s="448"/>
      <c r="I1000" s="448" t="s">
        <v>1923</v>
      </c>
    </row>
    <row r="1001" spans="1:9" ht="27" x14ac:dyDescent="0.3">
      <c r="A1001" s="443" t="s">
        <v>3927</v>
      </c>
      <c r="B1001" s="445" t="s">
        <v>3791</v>
      </c>
      <c r="C1001" s="444" t="s">
        <v>104</v>
      </c>
      <c r="D1001" s="444" t="s">
        <v>223</v>
      </c>
      <c r="E1001" s="446" t="s">
        <v>3928</v>
      </c>
      <c r="F1001" s="447" t="s">
        <v>1890</v>
      </c>
      <c r="G1001" s="448"/>
      <c r="H1001" s="448"/>
      <c r="I1001" s="448" t="s">
        <v>1927</v>
      </c>
    </row>
    <row r="1002" spans="1:9" ht="27" x14ac:dyDescent="0.3">
      <c r="A1002" s="443" t="s">
        <v>3929</v>
      </c>
      <c r="B1002" s="445" t="s">
        <v>3791</v>
      </c>
      <c r="C1002" s="444" t="s">
        <v>104</v>
      </c>
      <c r="D1002" s="444" t="s">
        <v>1317</v>
      </c>
      <c r="E1002" s="446" t="s">
        <v>3930</v>
      </c>
      <c r="F1002" s="447" t="s">
        <v>1890</v>
      </c>
      <c r="G1002" s="448"/>
      <c r="H1002" s="448"/>
      <c r="I1002" s="448" t="s">
        <v>1856</v>
      </c>
    </row>
    <row r="1003" spans="1:9" ht="27" x14ac:dyDescent="0.3">
      <c r="A1003" s="443" t="s">
        <v>3931</v>
      </c>
      <c r="B1003" s="445" t="s">
        <v>3791</v>
      </c>
      <c r="C1003" s="444" t="s">
        <v>104</v>
      </c>
      <c r="D1003" s="444" t="s">
        <v>1334</v>
      </c>
      <c r="E1003" s="446" t="s">
        <v>3932</v>
      </c>
      <c r="F1003" s="447" t="s">
        <v>1890</v>
      </c>
      <c r="G1003" s="448"/>
      <c r="H1003" s="448"/>
      <c r="I1003" s="448" t="s">
        <v>1927</v>
      </c>
    </row>
    <row r="1004" spans="1:9" ht="27" x14ac:dyDescent="0.3">
      <c r="A1004" s="443" t="s">
        <v>3933</v>
      </c>
      <c r="B1004" s="445" t="s">
        <v>3791</v>
      </c>
      <c r="C1004" s="444" t="s">
        <v>104</v>
      </c>
      <c r="D1004" s="444" t="s">
        <v>1347</v>
      </c>
      <c r="E1004" s="446" t="s">
        <v>3934</v>
      </c>
      <c r="F1004" s="447" t="s">
        <v>1890</v>
      </c>
      <c r="G1004" s="448"/>
      <c r="H1004" s="448"/>
      <c r="I1004" s="448" t="s">
        <v>1856</v>
      </c>
    </row>
    <row r="1005" spans="1:9" ht="27" x14ac:dyDescent="0.3">
      <c r="A1005" s="443" t="s">
        <v>3935</v>
      </c>
      <c r="B1005" s="445" t="s">
        <v>3791</v>
      </c>
      <c r="C1005" s="444" t="s">
        <v>104</v>
      </c>
      <c r="D1005" s="444" t="s">
        <v>1361</v>
      </c>
      <c r="E1005" s="446" t="s">
        <v>3936</v>
      </c>
      <c r="F1005" s="447" t="s">
        <v>1890</v>
      </c>
      <c r="G1005" s="448"/>
      <c r="H1005" s="448"/>
      <c r="I1005" s="448" t="s">
        <v>1856</v>
      </c>
    </row>
    <row r="1006" spans="1:9" ht="27" x14ac:dyDescent="0.3">
      <c r="A1006" s="443" t="s">
        <v>3937</v>
      </c>
      <c r="B1006" s="445" t="s">
        <v>3791</v>
      </c>
      <c r="C1006" s="444" t="s">
        <v>104</v>
      </c>
      <c r="D1006" s="444" t="s">
        <v>3938</v>
      </c>
      <c r="E1006" s="446" t="s">
        <v>3939</v>
      </c>
      <c r="F1006" s="447" t="s">
        <v>1854</v>
      </c>
      <c r="G1006" s="448"/>
      <c r="H1006" s="448" t="s">
        <v>1961</v>
      </c>
      <c r="I1006" s="448" t="s">
        <v>1927</v>
      </c>
    </row>
    <row r="1007" spans="1:9" ht="27" x14ac:dyDescent="0.3">
      <c r="A1007" s="443" t="s">
        <v>3940</v>
      </c>
      <c r="B1007" s="445" t="s">
        <v>3791</v>
      </c>
      <c r="C1007" s="444" t="s">
        <v>104</v>
      </c>
      <c r="D1007" s="444" t="s">
        <v>1383</v>
      </c>
      <c r="E1007" s="446" t="s">
        <v>3941</v>
      </c>
      <c r="F1007" s="447" t="s">
        <v>1890</v>
      </c>
      <c r="G1007" s="448"/>
      <c r="H1007" s="448"/>
      <c r="I1007" s="448" t="s">
        <v>1927</v>
      </c>
    </row>
    <row r="1008" spans="1:9" ht="27" x14ac:dyDescent="0.3">
      <c r="A1008" s="443" t="s">
        <v>3942</v>
      </c>
      <c r="B1008" s="445" t="s">
        <v>3791</v>
      </c>
      <c r="C1008" s="444" t="s">
        <v>104</v>
      </c>
      <c r="D1008" s="444" t="s">
        <v>1394</v>
      </c>
      <c r="E1008" s="446" t="s">
        <v>3943</v>
      </c>
      <c r="F1008" s="447" t="s">
        <v>1890</v>
      </c>
      <c r="G1008" s="448"/>
      <c r="H1008" s="448"/>
      <c r="I1008" s="448" t="s">
        <v>1893</v>
      </c>
    </row>
    <row r="1009" spans="1:9" ht="27" x14ac:dyDescent="0.3">
      <c r="A1009" s="443" t="s">
        <v>3944</v>
      </c>
      <c r="B1009" s="445" t="s">
        <v>3791</v>
      </c>
      <c r="C1009" s="444" t="s">
        <v>104</v>
      </c>
      <c r="D1009" s="444" t="s">
        <v>638</v>
      </c>
      <c r="E1009" s="446" t="s">
        <v>3945</v>
      </c>
      <c r="F1009" s="447" t="s">
        <v>1890</v>
      </c>
      <c r="G1009" s="448"/>
      <c r="H1009" s="448"/>
      <c r="I1009" s="448" t="s">
        <v>1856</v>
      </c>
    </row>
    <row r="1010" spans="1:9" ht="27" x14ac:dyDescent="0.3">
      <c r="A1010" s="443" t="s">
        <v>3946</v>
      </c>
      <c r="B1010" s="445" t="s">
        <v>3791</v>
      </c>
      <c r="C1010" s="444" t="s">
        <v>104</v>
      </c>
      <c r="D1010" s="444" t="s">
        <v>1413</v>
      </c>
      <c r="E1010" s="446" t="s">
        <v>3947</v>
      </c>
      <c r="F1010" s="447" t="s">
        <v>1890</v>
      </c>
      <c r="G1010" s="448"/>
      <c r="H1010" s="448"/>
      <c r="I1010" s="448" t="s">
        <v>1923</v>
      </c>
    </row>
    <row r="1011" spans="1:9" ht="27" x14ac:dyDescent="0.3">
      <c r="A1011" s="443" t="s">
        <v>3948</v>
      </c>
      <c r="B1011" s="445" t="s">
        <v>3791</v>
      </c>
      <c r="C1011" s="444" t="s">
        <v>104</v>
      </c>
      <c r="D1011" s="444" t="s">
        <v>1420</v>
      </c>
      <c r="E1011" s="446" t="s">
        <v>3949</v>
      </c>
      <c r="F1011" s="447" t="s">
        <v>1890</v>
      </c>
      <c r="G1011" s="448"/>
      <c r="H1011" s="448"/>
      <c r="I1011" s="448" t="s">
        <v>1893</v>
      </c>
    </row>
    <row r="1012" spans="1:9" ht="27" x14ac:dyDescent="0.3">
      <c r="A1012" s="443" t="s">
        <v>3950</v>
      </c>
      <c r="B1012" s="445" t="s">
        <v>3791</v>
      </c>
      <c r="C1012" s="444" t="s">
        <v>104</v>
      </c>
      <c r="D1012" s="444" t="s">
        <v>1428</v>
      </c>
      <c r="E1012" s="446" t="s">
        <v>3951</v>
      </c>
      <c r="F1012" s="447" t="s">
        <v>1890</v>
      </c>
      <c r="G1012" s="448"/>
      <c r="H1012" s="448"/>
      <c r="I1012" s="448" t="s">
        <v>1874</v>
      </c>
    </row>
    <row r="1013" spans="1:9" ht="27" x14ac:dyDescent="0.3">
      <c r="A1013" s="443" t="s">
        <v>3952</v>
      </c>
      <c r="B1013" s="445" t="s">
        <v>3791</v>
      </c>
      <c r="C1013" s="444" t="s">
        <v>104</v>
      </c>
      <c r="D1013" s="444" t="s">
        <v>1434</v>
      </c>
      <c r="E1013" s="446" t="s">
        <v>3953</v>
      </c>
      <c r="F1013" s="447" t="s">
        <v>1890</v>
      </c>
      <c r="G1013" s="448"/>
      <c r="H1013" s="448"/>
      <c r="I1013" s="448" t="s">
        <v>1856</v>
      </c>
    </row>
    <row r="1014" spans="1:9" ht="27" x14ac:dyDescent="0.3">
      <c r="A1014" s="443" t="s">
        <v>3954</v>
      </c>
      <c r="B1014" s="445" t="s">
        <v>3791</v>
      </c>
      <c r="C1014" s="444" t="s">
        <v>104</v>
      </c>
      <c r="D1014" s="444" t="s">
        <v>1439</v>
      </c>
      <c r="E1014" s="446" t="s">
        <v>3955</v>
      </c>
      <c r="F1014" s="447" t="s">
        <v>1890</v>
      </c>
      <c r="G1014" s="448"/>
      <c r="H1014" s="448"/>
      <c r="I1014" s="448" t="s">
        <v>1923</v>
      </c>
    </row>
    <row r="1015" spans="1:9" ht="27" x14ac:dyDescent="0.3">
      <c r="A1015" s="443" t="s">
        <v>3956</v>
      </c>
      <c r="B1015" s="445" t="s">
        <v>3791</v>
      </c>
      <c r="C1015" s="444" t="s">
        <v>104</v>
      </c>
      <c r="D1015" s="444" t="s">
        <v>3307</v>
      </c>
      <c r="E1015" s="446" t="s">
        <v>3957</v>
      </c>
      <c r="F1015" s="447" t="s">
        <v>1854</v>
      </c>
      <c r="G1015" s="448"/>
      <c r="H1015" s="448" t="s">
        <v>1961</v>
      </c>
      <c r="I1015" s="448" t="s">
        <v>1893</v>
      </c>
    </row>
    <row r="1016" spans="1:9" ht="27" x14ac:dyDescent="0.3">
      <c r="A1016" s="443" t="s">
        <v>3958</v>
      </c>
      <c r="B1016" s="445" t="s">
        <v>3791</v>
      </c>
      <c r="C1016" s="444" t="s">
        <v>104</v>
      </c>
      <c r="D1016" s="444" t="s">
        <v>1444</v>
      </c>
      <c r="E1016" s="446" t="s">
        <v>3959</v>
      </c>
      <c r="F1016" s="447" t="s">
        <v>1890</v>
      </c>
      <c r="G1016" s="448"/>
      <c r="H1016" s="448"/>
      <c r="I1016" s="448" t="s">
        <v>1923</v>
      </c>
    </row>
    <row r="1017" spans="1:9" ht="27" x14ac:dyDescent="0.3">
      <c r="A1017" s="443" t="s">
        <v>3960</v>
      </c>
      <c r="B1017" s="445" t="s">
        <v>3791</v>
      </c>
      <c r="C1017" s="444" t="s">
        <v>104</v>
      </c>
      <c r="D1017" s="444" t="s">
        <v>855</v>
      </c>
      <c r="E1017" s="446" t="s">
        <v>3961</v>
      </c>
      <c r="F1017" s="447" t="s">
        <v>1890</v>
      </c>
      <c r="G1017" s="448"/>
      <c r="H1017" s="448"/>
      <c r="I1017" s="448" t="s">
        <v>1893</v>
      </c>
    </row>
    <row r="1018" spans="1:9" ht="27" x14ac:dyDescent="0.3">
      <c r="A1018" s="443" t="s">
        <v>3962</v>
      </c>
      <c r="B1018" s="445" t="s">
        <v>3791</v>
      </c>
      <c r="C1018" s="444" t="s">
        <v>104</v>
      </c>
      <c r="D1018" s="444" t="s">
        <v>1449</v>
      </c>
      <c r="E1018" s="446" t="s">
        <v>3963</v>
      </c>
      <c r="F1018" s="447" t="s">
        <v>1890</v>
      </c>
      <c r="G1018" s="448"/>
      <c r="H1018" s="448"/>
      <c r="I1018" s="448" t="s">
        <v>1874</v>
      </c>
    </row>
    <row r="1019" spans="1:9" ht="27" x14ac:dyDescent="0.3">
      <c r="A1019" s="443" t="s">
        <v>3964</v>
      </c>
      <c r="B1019" s="445" t="s">
        <v>3791</v>
      </c>
      <c r="C1019" s="444" t="s">
        <v>104</v>
      </c>
      <c r="D1019" s="444" t="s">
        <v>1453</v>
      </c>
      <c r="E1019" s="446" t="s">
        <v>3965</v>
      </c>
      <c r="F1019" s="447" t="s">
        <v>1890</v>
      </c>
      <c r="G1019" s="448"/>
      <c r="H1019" s="448"/>
      <c r="I1019" s="448" t="s">
        <v>1923</v>
      </c>
    </row>
    <row r="1020" spans="1:9" ht="27" x14ac:dyDescent="0.3">
      <c r="A1020" s="443" t="s">
        <v>3966</v>
      </c>
      <c r="B1020" s="445" t="s">
        <v>3791</v>
      </c>
      <c r="C1020" s="444" t="s">
        <v>104</v>
      </c>
      <c r="D1020" s="444" t="s">
        <v>1458</v>
      </c>
      <c r="E1020" s="446" t="s">
        <v>3967</v>
      </c>
      <c r="F1020" s="447" t="s">
        <v>1890</v>
      </c>
      <c r="G1020" s="448"/>
      <c r="H1020" s="448"/>
      <c r="I1020" s="448" t="s">
        <v>3400</v>
      </c>
    </row>
    <row r="1021" spans="1:9" ht="27" x14ac:dyDescent="0.3">
      <c r="A1021" s="443" t="s">
        <v>3968</v>
      </c>
      <c r="B1021" s="445" t="s">
        <v>3791</v>
      </c>
      <c r="C1021" s="444" t="s">
        <v>104</v>
      </c>
      <c r="D1021" s="444" t="s">
        <v>1462</v>
      </c>
      <c r="E1021" s="446" t="s">
        <v>3969</v>
      </c>
      <c r="F1021" s="447" t="s">
        <v>1890</v>
      </c>
      <c r="G1021" s="448"/>
      <c r="H1021" s="448"/>
      <c r="I1021" s="448" t="s">
        <v>1893</v>
      </c>
    </row>
    <row r="1022" spans="1:9" ht="27" x14ac:dyDescent="0.3">
      <c r="A1022" s="443" t="s">
        <v>3970</v>
      </c>
      <c r="B1022" s="445" t="s">
        <v>3791</v>
      </c>
      <c r="C1022" s="444" t="s">
        <v>104</v>
      </c>
      <c r="D1022" s="444" t="s">
        <v>3180</v>
      </c>
      <c r="E1022" s="446" t="s">
        <v>3971</v>
      </c>
      <c r="F1022" s="447" t="s">
        <v>1890</v>
      </c>
      <c r="G1022" s="448"/>
      <c r="H1022" s="448"/>
      <c r="I1022" s="448" t="s">
        <v>1874</v>
      </c>
    </row>
    <row r="1023" spans="1:9" ht="27" x14ac:dyDescent="0.3">
      <c r="A1023" s="443" t="s">
        <v>3972</v>
      </c>
      <c r="B1023" s="445" t="s">
        <v>3791</v>
      </c>
      <c r="C1023" s="444" t="s">
        <v>104</v>
      </c>
      <c r="D1023" s="444" t="s">
        <v>3051</v>
      </c>
      <c r="E1023" s="446" t="s">
        <v>3973</v>
      </c>
      <c r="F1023" s="447" t="s">
        <v>1890</v>
      </c>
      <c r="G1023" s="448"/>
      <c r="H1023" s="448"/>
      <c r="I1023" s="448" t="s">
        <v>1927</v>
      </c>
    </row>
    <row r="1024" spans="1:9" ht="27" x14ac:dyDescent="0.3">
      <c r="A1024" s="443" t="s">
        <v>3974</v>
      </c>
      <c r="B1024" s="445" t="s">
        <v>3791</v>
      </c>
      <c r="C1024" s="444" t="s">
        <v>104</v>
      </c>
      <c r="D1024" s="444" t="s">
        <v>3504</v>
      </c>
      <c r="E1024" s="446" t="s">
        <v>3975</v>
      </c>
      <c r="F1024" s="447" t="s">
        <v>1890</v>
      </c>
      <c r="G1024" s="448"/>
      <c r="H1024" s="448"/>
      <c r="I1024" s="448" t="s">
        <v>1927</v>
      </c>
    </row>
    <row r="1025" spans="1:9" ht="27" x14ac:dyDescent="0.3">
      <c r="A1025" s="443" t="s">
        <v>3976</v>
      </c>
      <c r="B1025" s="445" t="s">
        <v>3791</v>
      </c>
      <c r="C1025" s="444" t="s">
        <v>104</v>
      </c>
      <c r="D1025" s="444" t="s">
        <v>2459</v>
      </c>
      <c r="E1025" s="446" t="s">
        <v>3977</v>
      </c>
      <c r="F1025" s="447" t="s">
        <v>1890</v>
      </c>
      <c r="G1025" s="448"/>
      <c r="H1025" s="448"/>
      <c r="I1025" s="448" t="s">
        <v>1923</v>
      </c>
    </row>
    <row r="1026" spans="1:9" ht="27" x14ac:dyDescent="0.3">
      <c r="A1026" s="443" t="s">
        <v>3978</v>
      </c>
      <c r="B1026" s="445" t="s">
        <v>3791</v>
      </c>
      <c r="C1026" s="444" t="s">
        <v>104</v>
      </c>
      <c r="D1026" s="444" t="s">
        <v>1476</v>
      </c>
      <c r="E1026" s="446" t="s">
        <v>3979</v>
      </c>
      <c r="F1026" s="447" t="s">
        <v>1890</v>
      </c>
      <c r="G1026" s="448"/>
      <c r="H1026" s="448"/>
      <c r="I1026" s="448" t="s">
        <v>1923</v>
      </c>
    </row>
    <row r="1027" spans="1:9" ht="27" x14ac:dyDescent="0.3">
      <c r="A1027" s="443" t="s">
        <v>3980</v>
      </c>
      <c r="B1027" s="445" t="s">
        <v>3791</v>
      </c>
      <c r="C1027" s="444" t="s">
        <v>104</v>
      </c>
      <c r="D1027" s="444" t="s">
        <v>1479</v>
      </c>
      <c r="E1027" s="446" t="s">
        <v>3981</v>
      </c>
      <c r="F1027" s="447" t="s">
        <v>1890</v>
      </c>
      <c r="G1027" s="448"/>
      <c r="H1027" s="448"/>
      <c r="I1027" s="448" t="s">
        <v>1927</v>
      </c>
    </row>
    <row r="1028" spans="1:9" ht="27" x14ac:dyDescent="0.3">
      <c r="A1028" s="443" t="s">
        <v>3982</v>
      </c>
      <c r="B1028" s="445" t="s">
        <v>3791</v>
      </c>
      <c r="C1028" s="444" t="s">
        <v>104</v>
      </c>
      <c r="D1028" s="444" t="s">
        <v>1183</v>
      </c>
      <c r="E1028" s="446" t="s">
        <v>3983</v>
      </c>
      <c r="F1028" s="447" t="s">
        <v>1890</v>
      </c>
      <c r="G1028" s="448"/>
      <c r="H1028" s="448"/>
      <c r="I1028" s="448" t="s">
        <v>3366</v>
      </c>
    </row>
    <row r="1029" spans="1:9" ht="27" x14ac:dyDescent="0.3">
      <c r="A1029" s="443" t="s">
        <v>3984</v>
      </c>
      <c r="B1029" s="445" t="s">
        <v>3791</v>
      </c>
      <c r="C1029" s="444" t="s">
        <v>104</v>
      </c>
      <c r="D1029" s="444" t="s">
        <v>1480</v>
      </c>
      <c r="E1029" s="446" t="s">
        <v>3985</v>
      </c>
      <c r="F1029" s="447" t="s">
        <v>1890</v>
      </c>
      <c r="G1029" s="448"/>
      <c r="H1029" s="448"/>
      <c r="I1029" s="448" t="s">
        <v>1927</v>
      </c>
    </row>
    <row r="1030" spans="1:9" ht="27" x14ac:dyDescent="0.3">
      <c r="A1030" s="443" t="s">
        <v>3986</v>
      </c>
      <c r="B1030" s="445" t="s">
        <v>3791</v>
      </c>
      <c r="C1030" s="444" t="s">
        <v>104</v>
      </c>
      <c r="D1030" s="444" t="s">
        <v>1481</v>
      </c>
      <c r="E1030" s="446" t="s">
        <v>3987</v>
      </c>
      <c r="F1030" s="447" t="s">
        <v>1890</v>
      </c>
      <c r="G1030" s="448"/>
      <c r="H1030" s="448"/>
      <c r="I1030" s="448" t="s">
        <v>1923</v>
      </c>
    </row>
    <row r="1031" spans="1:9" ht="27" x14ac:dyDescent="0.3">
      <c r="A1031" s="443" t="s">
        <v>3988</v>
      </c>
      <c r="B1031" s="445" t="s">
        <v>3791</v>
      </c>
      <c r="C1031" s="444" t="s">
        <v>104</v>
      </c>
      <c r="D1031" s="444" t="s">
        <v>1797</v>
      </c>
      <c r="E1031" s="446" t="s">
        <v>3989</v>
      </c>
      <c r="F1031" s="447" t="s">
        <v>1854</v>
      </c>
      <c r="G1031" s="448"/>
      <c r="H1031" s="448" t="s">
        <v>1961</v>
      </c>
      <c r="I1031" s="448" t="s">
        <v>1927</v>
      </c>
    </row>
    <row r="1032" spans="1:9" ht="27" x14ac:dyDescent="0.3">
      <c r="A1032" s="443" t="s">
        <v>3990</v>
      </c>
      <c r="B1032" s="445" t="s">
        <v>3791</v>
      </c>
      <c r="C1032" s="444" t="s">
        <v>104</v>
      </c>
      <c r="D1032" s="444" t="s">
        <v>3991</v>
      </c>
      <c r="E1032" s="446" t="s">
        <v>3992</v>
      </c>
      <c r="F1032" s="447" t="s">
        <v>1854</v>
      </c>
      <c r="G1032" s="448"/>
      <c r="H1032" s="448" t="s">
        <v>1961</v>
      </c>
      <c r="I1032" s="448" t="s">
        <v>1927</v>
      </c>
    </row>
    <row r="1033" spans="1:9" ht="27" x14ac:dyDescent="0.3">
      <c r="A1033" s="443" t="s">
        <v>3993</v>
      </c>
      <c r="B1033" s="445" t="s">
        <v>3791</v>
      </c>
      <c r="C1033" s="444" t="s">
        <v>104</v>
      </c>
      <c r="D1033" s="444" t="s">
        <v>1482</v>
      </c>
      <c r="E1033" s="446" t="s">
        <v>3994</v>
      </c>
      <c r="F1033" s="447" t="s">
        <v>1890</v>
      </c>
      <c r="G1033" s="448"/>
      <c r="H1033" s="448"/>
      <c r="I1033" s="448" t="s">
        <v>1874</v>
      </c>
    </row>
    <row r="1034" spans="1:9" ht="27" x14ac:dyDescent="0.3">
      <c r="A1034" s="443" t="s">
        <v>3995</v>
      </c>
      <c r="B1034" s="445" t="s">
        <v>3791</v>
      </c>
      <c r="C1034" s="444" t="s">
        <v>104</v>
      </c>
      <c r="D1034" s="444" t="s">
        <v>1158</v>
      </c>
      <c r="E1034" s="446" t="s">
        <v>3996</v>
      </c>
      <c r="F1034" s="447" t="s">
        <v>1890</v>
      </c>
      <c r="G1034" s="448"/>
      <c r="H1034" s="448"/>
      <c r="I1034" s="448" t="s">
        <v>1893</v>
      </c>
    </row>
    <row r="1035" spans="1:9" ht="27" x14ac:dyDescent="0.3">
      <c r="A1035" s="443" t="s">
        <v>3997</v>
      </c>
      <c r="B1035" s="445" t="s">
        <v>3791</v>
      </c>
      <c r="C1035" s="444" t="s">
        <v>104</v>
      </c>
      <c r="D1035" s="444" t="s">
        <v>3998</v>
      </c>
      <c r="E1035" s="446" t="s">
        <v>3999</v>
      </c>
      <c r="F1035" s="447" t="s">
        <v>1854</v>
      </c>
      <c r="G1035" s="448"/>
      <c r="H1035" s="448" t="s">
        <v>1855</v>
      </c>
      <c r="I1035" s="448" t="s">
        <v>1856</v>
      </c>
    </row>
    <row r="1036" spans="1:9" ht="27" x14ac:dyDescent="0.3">
      <c r="A1036" s="443" t="s">
        <v>4000</v>
      </c>
      <c r="B1036" s="445" t="s">
        <v>3791</v>
      </c>
      <c r="C1036" s="444" t="s">
        <v>104</v>
      </c>
      <c r="D1036" s="444" t="s">
        <v>4001</v>
      </c>
      <c r="E1036" s="446" t="s">
        <v>4002</v>
      </c>
      <c r="F1036" s="447" t="s">
        <v>1854</v>
      </c>
      <c r="G1036" s="448" t="s">
        <v>4003</v>
      </c>
      <c r="H1036" s="448" t="s">
        <v>1855</v>
      </c>
      <c r="I1036" s="448" t="s">
        <v>1856</v>
      </c>
    </row>
    <row r="1037" spans="1:9" ht="27" x14ac:dyDescent="0.3">
      <c r="A1037" s="443" t="s">
        <v>4004</v>
      </c>
      <c r="B1037" s="445" t="s">
        <v>3791</v>
      </c>
      <c r="C1037" s="444" t="s">
        <v>104</v>
      </c>
      <c r="D1037" s="444" t="s">
        <v>4005</v>
      </c>
      <c r="E1037" s="446" t="s">
        <v>4006</v>
      </c>
      <c r="F1037" s="447" t="s">
        <v>1854</v>
      </c>
      <c r="G1037" s="448"/>
      <c r="H1037" s="448" t="s">
        <v>1855</v>
      </c>
      <c r="I1037" s="448" t="s">
        <v>1856</v>
      </c>
    </row>
    <row r="1038" spans="1:9" ht="27" x14ac:dyDescent="0.3">
      <c r="A1038" s="443" t="s">
        <v>4007</v>
      </c>
      <c r="B1038" s="445" t="s">
        <v>4008</v>
      </c>
      <c r="C1038" s="444" t="s">
        <v>4009</v>
      </c>
      <c r="D1038" s="444" t="s">
        <v>207</v>
      </c>
      <c r="E1038" s="446" t="s">
        <v>4010</v>
      </c>
      <c r="F1038" s="447" t="s">
        <v>1890</v>
      </c>
      <c r="G1038" s="448"/>
      <c r="H1038" s="448"/>
      <c r="I1038" s="448" t="s">
        <v>1927</v>
      </c>
    </row>
    <row r="1039" spans="1:9" ht="27" x14ac:dyDescent="0.3">
      <c r="A1039" s="443" t="s">
        <v>4011</v>
      </c>
      <c r="B1039" s="445" t="s">
        <v>4008</v>
      </c>
      <c r="C1039" s="444" t="s">
        <v>4009</v>
      </c>
      <c r="D1039" s="444" t="s">
        <v>279</v>
      </c>
      <c r="E1039" s="446" t="s">
        <v>4012</v>
      </c>
      <c r="F1039" s="447" t="s">
        <v>1890</v>
      </c>
      <c r="G1039" s="448"/>
      <c r="H1039" s="448"/>
      <c r="I1039" s="448" t="s">
        <v>1923</v>
      </c>
    </row>
    <row r="1040" spans="1:9" ht="27" x14ac:dyDescent="0.3">
      <c r="A1040" s="443" t="s">
        <v>4013</v>
      </c>
      <c r="B1040" s="445" t="s">
        <v>4008</v>
      </c>
      <c r="C1040" s="444" t="s">
        <v>4009</v>
      </c>
      <c r="D1040" s="444" t="s">
        <v>352</v>
      </c>
      <c r="E1040" s="446" t="s">
        <v>4014</v>
      </c>
      <c r="F1040" s="447" t="s">
        <v>1890</v>
      </c>
      <c r="G1040" s="448"/>
      <c r="H1040" s="448"/>
      <c r="I1040" s="448" t="s">
        <v>1893</v>
      </c>
    </row>
    <row r="1041" spans="1:9" ht="28.8" x14ac:dyDescent="0.3">
      <c r="A1041" s="443" t="s">
        <v>4015</v>
      </c>
      <c r="B1041" s="445" t="s">
        <v>4008</v>
      </c>
      <c r="C1041" s="444" t="s">
        <v>4009</v>
      </c>
      <c r="D1041" s="444" t="s">
        <v>4016</v>
      </c>
      <c r="E1041" s="446" t="s">
        <v>4017</v>
      </c>
      <c r="F1041" s="447" t="s">
        <v>1854</v>
      </c>
      <c r="G1041" s="448"/>
      <c r="H1041" s="448" t="s">
        <v>1961</v>
      </c>
      <c r="I1041" s="448" t="s">
        <v>2378</v>
      </c>
    </row>
    <row r="1042" spans="1:9" ht="27" x14ac:dyDescent="0.3">
      <c r="A1042" s="443" t="s">
        <v>4018</v>
      </c>
      <c r="B1042" s="445" t="s">
        <v>4008</v>
      </c>
      <c r="C1042" s="444" t="s">
        <v>4009</v>
      </c>
      <c r="D1042" s="444" t="s">
        <v>423</v>
      </c>
      <c r="E1042" s="446" t="s">
        <v>4019</v>
      </c>
      <c r="F1042" s="447" t="s">
        <v>1890</v>
      </c>
      <c r="G1042" s="448"/>
      <c r="H1042" s="448"/>
      <c r="I1042" s="448" t="s">
        <v>1923</v>
      </c>
    </row>
    <row r="1043" spans="1:9" ht="27" x14ac:dyDescent="0.3">
      <c r="A1043" s="443" t="s">
        <v>4020</v>
      </c>
      <c r="B1043" s="445" t="s">
        <v>4008</v>
      </c>
      <c r="C1043" s="444" t="s">
        <v>4009</v>
      </c>
      <c r="D1043" s="444" t="s">
        <v>569</v>
      </c>
      <c r="E1043" s="446" t="s">
        <v>4021</v>
      </c>
      <c r="F1043" s="447" t="s">
        <v>1890</v>
      </c>
      <c r="G1043" s="448"/>
      <c r="H1043" s="448"/>
      <c r="I1043" s="448" t="s">
        <v>2676</v>
      </c>
    </row>
    <row r="1044" spans="1:9" ht="27" x14ac:dyDescent="0.3">
      <c r="A1044" s="443" t="s">
        <v>4022</v>
      </c>
      <c r="B1044" s="445" t="s">
        <v>4008</v>
      </c>
      <c r="C1044" s="444" t="s">
        <v>4009</v>
      </c>
      <c r="D1044" s="444" t="s">
        <v>4023</v>
      </c>
      <c r="E1044" s="446" t="s">
        <v>4024</v>
      </c>
      <c r="F1044" s="447" t="s">
        <v>1890</v>
      </c>
      <c r="G1044" s="448"/>
      <c r="H1044" s="448"/>
      <c r="I1044" s="448" t="s">
        <v>3400</v>
      </c>
    </row>
    <row r="1045" spans="1:9" ht="27" x14ac:dyDescent="0.3">
      <c r="A1045" s="443" t="s">
        <v>4025</v>
      </c>
      <c r="B1045" s="445" t="s">
        <v>4008</v>
      </c>
      <c r="C1045" s="444" t="s">
        <v>4009</v>
      </c>
      <c r="D1045" s="444" t="s">
        <v>700</v>
      </c>
      <c r="E1045" s="446" t="s">
        <v>4026</v>
      </c>
      <c r="F1045" s="447" t="s">
        <v>1890</v>
      </c>
      <c r="G1045" s="448"/>
      <c r="H1045" s="448"/>
      <c r="I1045" s="448" t="s">
        <v>3400</v>
      </c>
    </row>
    <row r="1046" spans="1:9" ht="27" x14ac:dyDescent="0.3">
      <c r="A1046" s="443" t="s">
        <v>4027</v>
      </c>
      <c r="B1046" s="445" t="s">
        <v>4008</v>
      </c>
      <c r="C1046" s="444" t="s">
        <v>4009</v>
      </c>
      <c r="D1046" s="444" t="s">
        <v>765</v>
      </c>
      <c r="E1046" s="446" t="s">
        <v>4028</v>
      </c>
      <c r="F1046" s="447" t="s">
        <v>1890</v>
      </c>
      <c r="G1046" s="448"/>
      <c r="H1046" s="448"/>
      <c r="I1046" s="448" t="s">
        <v>1874</v>
      </c>
    </row>
    <row r="1047" spans="1:9" ht="27" x14ac:dyDescent="0.3">
      <c r="A1047" s="443" t="s">
        <v>4029</v>
      </c>
      <c r="B1047" s="445" t="s">
        <v>4008</v>
      </c>
      <c r="C1047" s="444" t="s">
        <v>4009</v>
      </c>
      <c r="D1047" s="444" t="s">
        <v>824</v>
      </c>
      <c r="E1047" s="446" t="s">
        <v>4030</v>
      </c>
      <c r="F1047" s="447" t="s">
        <v>1890</v>
      </c>
      <c r="G1047" s="448"/>
      <c r="H1047" s="448"/>
      <c r="I1047" s="448" t="s">
        <v>1893</v>
      </c>
    </row>
    <row r="1048" spans="1:9" ht="27" x14ac:dyDescent="0.3">
      <c r="A1048" s="443" t="s">
        <v>4031</v>
      </c>
      <c r="B1048" s="445" t="s">
        <v>4008</v>
      </c>
      <c r="C1048" s="444" t="s">
        <v>4009</v>
      </c>
      <c r="D1048" s="444" t="s">
        <v>878</v>
      </c>
      <c r="E1048" s="446" t="s">
        <v>4032</v>
      </c>
      <c r="F1048" s="447" t="s">
        <v>1890</v>
      </c>
      <c r="G1048" s="448"/>
      <c r="H1048" s="448"/>
      <c r="I1048" s="448" t="s">
        <v>1893</v>
      </c>
    </row>
    <row r="1049" spans="1:9" ht="27" x14ac:dyDescent="0.3">
      <c r="A1049" s="443" t="s">
        <v>4033</v>
      </c>
      <c r="B1049" s="445" t="s">
        <v>4008</v>
      </c>
      <c r="C1049" s="444" t="s">
        <v>4009</v>
      </c>
      <c r="D1049" s="444" t="s">
        <v>936</v>
      </c>
      <c r="E1049" s="446" t="s">
        <v>4034</v>
      </c>
      <c r="F1049" s="447" t="s">
        <v>1890</v>
      </c>
      <c r="G1049" s="448"/>
      <c r="H1049" s="448"/>
      <c r="I1049" s="448" t="s">
        <v>3400</v>
      </c>
    </row>
    <row r="1050" spans="1:9" ht="27" x14ac:dyDescent="0.3">
      <c r="A1050" s="443" t="s">
        <v>4035</v>
      </c>
      <c r="B1050" s="445" t="s">
        <v>4008</v>
      </c>
      <c r="C1050" s="444" t="s">
        <v>4009</v>
      </c>
      <c r="D1050" s="444" t="s">
        <v>983</v>
      </c>
      <c r="E1050" s="446" t="s">
        <v>4036</v>
      </c>
      <c r="F1050" s="447" t="s">
        <v>1890</v>
      </c>
      <c r="G1050" s="448"/>
      <c r="H1050" s="448"/>
      <c r="I1050" s="448" t="s">
        <v>1927</v>
      </c>
    </row>
    <row r="1051" spans="1:9" ht="27" x14ac:dyDescent="0.3">
      <c r="A1051" s="443" t="s">
        <v>4037</v>
      </c>
      <c r="B1051" s="445" t="s">
        <v>4008</v>
      </c>
      <c r="C1051" s="444" t="s">
        <v>4009</v>
      </c>
      <c r="D1051" s="444" t="s">
        <v>1033</v>
      </c>
      <c r="E1051" s="446" t="s">
        <v>4038</v>
      </c>
      <c r="F1051" s="447" t="s">
        <v>1890</v>
      </c>
      <c r="G1051" s="448"/>
      <c r="H1051" s="448"/>
      <c r="I1051" s="448" t="s">
        <v>3400</v>
      </c>
    </row>
    <row r="1052" spans="1:9" ht="27" x14ac:dyDescent="0.3">
      <c r="A1052" s="443" t="s">
        <v>4039</v>
      </c>
      <c r="B1052" s="445" t="s">
        <v>4008</v>
      </c>
      <c r="C1052" s="444" t="s">
        <v>4009</v>
      </c>
      <c r="D1052" s="444" t="s">
        <v>1077</v>
      </c>
      <c r="E1052" s="446" t="s">
        <v>4040</v>
      </c>
      <c r="F1052" s="447" t="s">
        <v>1890</v>
      </c>
      <c r="G1052" s="448"/>
      <c r="H1052" s="448"/>
      <c r="I1052" s="448" t="s">
        <v>3366</v>
      </c>
    </row>
    <row r="1053" spans="1:9" ht="27" x14ac:dyDescent="0.3">
      <c r="A1053" s="443" t="s">
        <v>4041</v>
      </c>
      <c r="B1053" s="445" t="s">
        <v>4008</v>
      </c>
      <c r="C1053" s="444" t="s">
        <v>4009</v>
      </c>
      <c r="D1053" s="444" t="s">
        <v>556</v>
      </c>
      <c r="E1053" s="446" t="s">
        <v>4042</v>
      </c>
      <c r="F1053" s="447" t="s">
        <v>1890</v>
      </c>
      <c r="G1053" s="448"/>
      <c r="H1053" s="448"/>
      <c r="I1053" s="448" t="s">
        <v>3400</v>
      </c>
    </row>
    <row r="1054" spans="1:9" ht="27" x14ac:dyDescent="0.3">
      <c r="A1054" s="443" t="s">
        <v>4043</v>
      </c>
      <c r="B1054" s="445" t="s">
        <v>4008</v>
      </c>
      <c r="C1054" s="444" t="s">
        <v>4009</v>
      </c>
      <c r="D1054" s="444" t="s">
        <v>1150</v>
      </c>
      <c r="E1054" s="446" t="s">
        <v>4044</v>
      </c>
      <c r="F1054" s="447" t="s">
        <v>1890</v>
      </c>
      <c r="G1054" s="448"/>
      <c r="H1054" s="448"/>
      <c r="I1054" s="448" t="s">
        <v>1927</v>
      </c>
    </row>
    <row r="1055" spans="1:9" ht="27" x14ac:dyDescent="0.3">
      <c r="A1055" s="443" t="s">
        <v>4045</v>
      </c>
      <c r="B1055" s="445" t="s">
        <v>4008</v>
      </c>
      <c r="C1055" s="444" t="s">
        <v>4009</v>
      </c>
      <c r="D1055" s="444" t="s">
        <v>1180</v>
      </c>
      <c r="E1055" s="446" t="s">
        <v>4046</v>
      </c>
      <c r="F1055" s="447" t="s">
        <v>1890</v>
      </c>
      <c r="G1055" s="448"/>
      <c r="H1055" s="448"/>
      <c r="I1055" s="448" t="s">
        <v>1893</v>
      </c>
    </row>
    <row r="1056" spans="1:9" ht="27" x14ac:dyDescent="0.3">
      <c r="A1056" s="443" t="s">
        <v>4047</v>
      </c>
      <c r="B1056" s="445" t="s">
        <v>4008</v>
      </c>
      <c r="C1056" s="444" t="s">
        <v>4009</v>
      </c>
      <c r="D1056" s="444" t="s">
        <v>1129</v>
      </c>
      <c r="E1056" s="446" t="s">
        <v>4048</v>
      </c>
      <c r="F1056" s="447" t="s">
        <v>1890</v>
      </c>
      <c r="G1056" s="448"/>
      <c r="H1056" s="448"/>
      <c r="I1056" s="448" t="s">
        <v>3400</v>
      </c>
    </row>
    <row r="1057" spans="1:9" ht="27" x14ac:dyDescent="0.3">
      <c r="A1057" s="443" t="s">
        <v>4049</v>
      </c>
      <c r="B1057" s="445" t="s">
        <v>4008</v>
      </c>
      <c r="C1057" s="444" t="s">
        <v>4009</v>
      </c>
      <c r="D1057" s="444" t="s">
        <v>4050</v>
      </c>
      <c r="E1057" s="446" t="s">
        <v>4051</v>
      </c>
      <c r="F1057" s="447" t="s">
        <v>1890</v>
      </c>
      <c r="G1057" s="448"/>
      <c r="H1057" s="448"/>
      <c r="I1057" s="448" t="s">
        <v>1893</v>
      </c>
    </row>
    <row r="1058" spans="1:9" ht="27" x14ac:dyDescent="0.3">
      <c r="A1058" s="443" t="s">
        <v>4052</v>
      </c>
      <c r="B1058" s="445" t="s">
        <v>4008</v>
      </c>
      <c r="C1058" s="444" t="s">
        <v>4009</v>
      </c>
      <c r="D1058" s="444" t="s">
        <v>4053</v>
      </c>
      <c r="E1058" s="446" t="s">
        <v>4054</v>
      </c>
      <c r="F1058" s="447" t="s">
        <v>1890</v>
      </c>
      <c r="G1058" s="448"/>
      <c r="H1058" s="448"/>
      <c r="I1058" s="448" t="s">
        <v>3400</v>
      </c>
    </row>
    <row r="1059" spans="1:9" ht="27" x14ac:dyDescent="0.3">
      <c r="A1059" s="443" t="s">
        <v>4055</v>
      </c>
      <c r="B1059" s="445" t="s">
        <v>4008</v>
      </c>
      <c r="C1059" s="444" t="s">
        <v>4009</v>
      </c>
      <c r="D1059" s="444" t="s">
        <v>1280</v>
      </c>
      <c r="E1059" s="446" t="s">
        <v>4056</v>
      </c>
      <c r="F1059" s="447" t="s">
        <v>1890</v>
      </c>
      <c r="G1059" s="448"/>
      <c r="H1059" s="448"/>
      <c r="I1059" s="448" t="s">
        <v>1923</v>
      </c>
    </row>
    <row r="1060" spans="1:9" ht="27" x14ac:dyDescent="0.3">
      <c r="A1060" s="443" t="s">
        <v>4057</v>
      </c>
      <c r="B1060" s="445" t="s">
        <v>4008</v>
      </c>
      <c r="C1060" s="444" t="s">
        <v>4009</v>
      </c>
      <c r="D1060" s="444" t="s">
        <v>1301</v>
      </c>
      <c r="E1060" s="446" t="s">
        <v>4058</v>
      </c>
      <c r="F1060" s="447" t="s">
        <v>1890</v>
      </c>
      <c r="G1060" s="448"/>
      <c r="H1060" s="448"/>
      <c r="I1060" s="448" t="s">
        <v>1923</v>
      </c>
    </row>
    <row r="1061" spans="1:9" ht="27" x14ac:dyDescent="0.3">
      <c r="A1061" s="443" t="s">
        <v>4059</v>
      </c>
      <c r="B1061" s="445" t="s">
        <v>4008</v>
      </c>
      <c r="C1061" s="444" t="s">
        <v>121</v>
      </c>
      <c r="D1061" s="444" t="s">
        <v>208</v>
      </c>
      <c r="E1061" s="446" t="s">
        <v>4060</v>
      </c>
      <c r="F1061" s="447" t="s">
        <v>1890</v>
      </c>
      <c r="G1061" s="448"/>
      <c r="H1061" s="448"/>
      <c r="I1061" s="448" t="s">
        <v>4061</v>
      </c>
    </row>
    <row r="1062" spans="1:9" ht="27" x14ac:dyDescent="0.3">
      <c r="A1062" s="443" t="s">
        <v>4062</v>
      </c>
      <c r="B1062" s="445" t="s">
        <v>4008</v>
      </c>
      <c r="C1062" s="444" t="s">
        <v>121</v>
      </c>
      <c r="D1062" s="444" t="s">
        <v>280</v>
      </c>
      <c r="E1062" s="446" t="s">
        <v>4063</v>
      </c>
      <c r="F1062" s="447" t="s">
        <v>1890</v>
      </c>
      <c r="G1062" s="448"/>
      <c r="H1062" s="448"/>
      <c r="I1062" s="448" t="s">
        <v>1874</v>
      </c>
    </row>
    <row r="1063" spans="1:9" ht="27" x14ac:dyDescent="0.3">
      <c r="A1063" s="443" t="s">
        <v>4064</v>
      </c>
      <c r="B1063" s="445" t="s">
        <v>4008</v>
      </c>
      <c r="C1063" s="444" t="s">
        <v>121</v>
      </c>
      <c r="D1063" s="444" t="s">
        <v>353</v>
      </c>
      <c r="E1063" s="446" t="s">
        <v>4065</v>
      </c>
      <c r="F1063" s="447" t="s">
        <v>1890</v>
      </c>
      <c r="G1063" s="448"/>
      <c r="H1063" s="448"/>
      <c r="I1063" s="448" t="s">
        <v>2676</v>
      </c>
    </row>
    <row r="1064" spans="1:9" ht="27" x14ac:dyDescent="0.3">
      <c r="A1064" s="443" t="s">
        <v>4066</v>
      </c>
      <c r="B1064" s="445" t="s">
        <v>4008</v>
      </c>
      <c r="C1064" s="444" t="s">
        <v>121</v>
      </c>
      <c r="D1064" s="444" t="s">
        <v>424</v>
      </c>
      <c r="E1064" s="446" t="s">
        <v>4067</v>
      </c>
      <c r="F1064" s="447" t="s">
        <v>1890</v>
      </c>
      <c r="G1064" s="448"/>
      <c r="H1064" s="448"/>
      <c r="I1064" s="448" t="s">
        <v>3366</v>
      </c>
    </row>
    <row r="1065" spans="1:9" ht="27" x14ac:dyDescent="0.3">
      <c r="A1065" s="443" t="s">
        <v>4068</v>
      </c>
      <c r="B1065" s="445" t="s">
        <v>4008</v>
      </c>
      <c r="C1065" s="444" t="s">
        <v>121</v>
      </c>
      <c r="D1065" s="444" t="s">
        <v>500</v>
      </c>
      <c r="E1065" s="446" t="s">
        <v>4069</v>
      </c>
      <c r="F1065" s="447" t="s">
        <v>1890</v>
      </c>
      <c r="G1065" s="448"/>
      <c r="H1065" s="448"/>
      <c r="I1065" s="448" t="s">
        <v>1923</v>
      </c>
    </row>
    <row r="1066" spans="1:9" ht="27" x14ac:dyDescent="0.3">
      <c r="A1066" s="443" t="s">
        <v>4070</v>
      </c>
      <c r="B1066" s="445" t="s">
        <v>4008</v>
      </c>
      <c r="C1066" s="444" t="s">
        <v>121</v>
      </c>
      <c r="D1066" s="444" t="s">
        <v>340</v>
      </c>
      <c r="E1066" s="446" t="s">
        <v>4071</v>
      </c>
      <c r="F1066" s="447" t="s">
        <v>1890</v>
      </c>
      <c r="G1066" s="448"/>
      <c r="H1066" s="448"/>
      <c r="I1066" s="448" t="s">
        <v>3366</v>
      </c>
    </row>
    <row r="1067" spans="1:9" ht="28.8" x14ac:dyDescent="0.3">
      <c r="A1067" s="450" t="s">
        <v>4072</v>
      </c>
      <c r="B1067" s="445" t="s">
        <v>4008</v>
      </c>
      <c r="C1067" s="444" t="s">
        <v>121</v>
      </c>
      <c r="D1067" s="444" t="s">
        <v>4073</v>
      </c>
      <c r="E1067" s="446" t="s">
        <v>4074</v>
      </c>
      <c r="F1067" s="447" t="s">
        <v>1854</v>
      </c>
      <c r="G1067" s="448"/>
      <c r="H1067" s="448" t="s">
        <v>1961</v>
      </c>
      <c r="I1067" s="448" t="s">
        <v>2378</v>
      </c>
    </row>
    <row r="1068" spans="1:9" ht="27" x14ac:dyDescent="0.3">
      <c r="A1068" s="443" t="s">
        <v>4075</v>
      </c>
      <c r="B1068" s="445" t="s">
        <v>4008</v>
      </c>
      <c r="C1068" s="444" t="s">
        <v>121</v>
      </c>
      <c r="D1068" s="444" t="s">
        <v>635</v>
      </c>
      <c r="E1068" s="446" t="s">
        <v>4076</v>
      </c>
      <c r="F1068" s="447" t="s">
        <v>1890</v>
      </c>
      <c r="G1068" s="448"/>
      <c r="H1068" s="448"/>
      <c r="I1068" s="448" t="s">
        <v>1856</v>
      </c>
    </row>
    <row r="1069" spans="1:9" ht="27" x14ac:dyDescent="0.3">
      <c r="A1069" s="443" t="s">
        <v>4077</v>
      </c>
      <c r="B1069" s="445" t="s">
        <v>4008</v>
      </c>
      <c r="C1069" s="444" t="s">
        <v>121</v>
      </c>
      <c r="D1069" s="444" t="s">
        <v>701</v>
      </c>
      <c r="E1069" s="446" t="s">
        <v>4078</v>
      </c>
      <c r="F1069" s="447" t="s">
        <v>1890</v>
      </c>
      <c r="G1069" s="448"/>
      <c r="H1069" s="448"/>
      <c r="I1069" s="448" t="s">
        <v>1923</v>
      </c>
    </row>
    <row r="1070" spans="1:9" ht="27" x14ac:dyDescent="0.3">
      <c r="A1070" s="443" t="s">
        <v>4079</v>
      </c>
      <c r="B1070" s="445" t="s">
        <v>4008</v>
      </c>
      <c r="C1070" s="444" t="s">
        <v>121</v>
      </c>
      <c r="D1070" s="444" t="s">
        <v>766</v>
      </c>
      <c r="E1070" s="446" t="s">
        <v>4080</v>
      </c>
      <c r="F1070" s="447" t="s">
        <v>1890</v>
      </c>
      <c r="G1070" s="448"/>
      <c r="H1070" s="448"/>
      <c r="I1070" s="448" t="s">
        <v>1923</v>
      </c>
    </row>
    <row r="1071" spans="1:9" ht="27" x14ac:dyDescent="0.3">
      <c r="A1071" s="443" t="s">
        <v>4081</v>
      </c>
      <c r="B1071" s="445" t="s">
        <v>4008</v>
      </c>
      <c r="C1071" s="444" t="s">
        <v>121</v>
      </c>
      <c r="D1071" s="444" t="s">
        <v>825</v>
      </c>
      <c r="E1071" s="446" t="s">
        <v>4082</v>
      </c>
      <c r="F1071" s="447" t="s">
        <v>1890</v>
      </c>
      <c r="G1071" s="448"/>
      <c r="H1071" s="448"/>
      <c r="I1071" s="448" t="s">
        <v>1874</v>
      </c>
    </row>
    <row r="1072" spans="1:9" ht="27" x14ac:dyDescent="0.3">
      <c r="A1072" s="443" t="s">
        <v>4083</v>
      </c>
      <c r="B1072" s="445" t="s">
        <v>4008</v>
      </c>
      <c r="C1072" s="444" t="s">
        <v>121</v>
      </c>
      <c r="D1072" s="444" t="s">
        <v>984</v>
      </c>
      <c r="E1072" s="446" t="s">
        <v>4084</v>
      </c>
      <c r="F1072" s="447" t="s">
        <v>1890</v>
      </c>
      <c r="G1072" s="448"/>
      <c r="H1072" s="448"/>
      <c r="I1072" s="448" t="s">
        <v>1927</v>
      </c>
    </row>
    <row r="1073" spans="1:9" ht="27" x14ac:dyDescent="0.3">
      <c r="A1073" s="443" t="s">
        <v>4085</v>
      </c>
      <c r="B1073" s="445" t="s">
        <v>4008</v>
      </c>
      <c r="C1073" s="444" t="s">
        <v>121</v>
      </c>
      <c r="D1073" s="444" t="s">
        <v>1034</v>
      </c>
      <c r="E1073" s="446" t="s">
        <v>4086</v>
      </c>
      <c r="F1073" s="447" t="s">
        <v>1890</v>
      </c>
      <c r="G1073" s="448"/>
      <c r="H1073" s="448"/>
      <c r="I1073" s="448" t="s">
        <v>2676</v>
      </c>
    </row>
    <row r="1074" spans="1:9" ht="27" x14ac:dyDescent="0.3">
      <c r="A1074" s="443" t="s">
        <v>4087</v>
      </c>
      <c r="B1074" s="445" t="s">
        <v>4008</v>
      </c>
      <c r="C1074" s="444" t="s">
        <v>121</v>
      </c>
      <c r="D1074" s="444" t="s">
        <v>1078</v>
      </c>
      <c r="E1074" s="446" t="s">
        <v>4088</v>
      </c>
      <c r="F1074" s="447" t="s">
        <v>1890</v>
      </c>
      <c r="G1074" s="448"/>
      <c r="H1074" s="448"/>
      <c r="I1074" s="448" t="s">
        <v>1874</v>
      </c>
    </row>
    <row r="1075" spans="1:9" ht="27" x14ac:dyDescent="0.3">
      <c r="A1075" s="443" t="s">
        <v>4089</v>
      </c>
      <c r="B1075" s="445" t="s">
        <v>4008</v>
      </c>
      <c r="C1075" s="444" t="s">
        <v>121</v>
      </c>
      <c r="D1075" s="444" t="s">
        <v>1113</v>
      </c>
      <c r="E1075" s="446" t="s">
        <v>4090</v>
      </c>
      <c r="F1075" s="447" t="s">
        <v>1890</v>
      </c>
      <c r="G1075" s="448"/>
      <c r="H1075" s="448"/>
      <c r="I1075" s="448" t="s">
        <v>1893</v>
      </c>
    </row>
    <row r="1076" spans="1:9" ht="27" x14ac:dyDescent="0.3">
      <c r="A1076" s="443" t="s">
        <v>4091</v>
      </c>
      <c r="B1076" s="445" t="s">
        <v>4008</v>
      </c>
      <c r="C1076" s="444" t="s">
        <v>121</v>
      </c>
      <c r="D1076" s="444" t="s">
        <v>1151</v>
      </c>
      <c r="E1076" s="446" t="s">
        <v>4092</v>
      </c>
      <c r="F1076" s="447" t="s">
        <v>1890</v>
      </c>
      <c r="G1076" s="448"/>
      <c r="H1076" s="448"/>
      <c r="I1076" s="448" t="s">
        <v>1923</v>
      </c>
    </row>
    <row r="1077" spans="1:9" ht="27" x14ac:dyDescent="0.3">
      <c r="A1077" s="443" t="s">
        <v>4093</v>
      </c>
      <c r="B1077" s="445" t="s">
        <v>4008</v>
      </c>
      <c r="C1077" s="444" t="s">
        <v>121</v>
      </c>
      <c r="D1077" s="444" t="s">
        <v>1181</v>
      </c>
      <c r="E1077" s="446" t="s">
        <v>4094</v>
      </c>
      <c r="F1077" s="447" t="s">
        <v>1890</v>
      </c>
      <c r="G1077" s="448"/>
      <c r="H1077" s="448"/>
      <c r="I1077" s="448" t="s">
        <v>1856</v>
      </c>
    </row>
    <row r="1078" spans="1:9" ht="27" x14ac:dyDescent="0.3">
      <c r="A1078" s="443" t="s">
        <v>4095</v>
      </c>
      <c r="B1078" s="445" t="s">
        <v>4008</v>
      </c>
      <c r="C1078" s="444" t="s">
        <v>121</v>
      </c>
      <c r="D1078" s="444" t="s">
        <v>1211</v>
      </c>
      <c r="E1078" s="446" t="s">
        <v>4096</v>
      </c>
      <c r="F1078" s="447" t="s">
        <v>1890</v>
      </c>
      <c r="G1078" s="448"/>
      <c r="H1078" s="448"/>
      <c r="I1078" s="448" t="s">
        <v>1927</v>
      </c>
    </row>
    <row r="1079" spans="1:9" ht="27" x14ac:dyDescent="0.3">
      <c r="A1079" s="443" t="s">
        <v>4097</v>
      </c>
      <c r="B1079" s="445" t="s">
        <v>4008</v>
      </c>
      <c r="C1079" s="444" t="s">
        <v>121</v>
      </c>
      <c r="D1079" s="444" t="s">
        <v>1240</v>
      </c>
      <c r="E1079" s="446" t="s">
        <v>4098</v>
      </c>
      <c r="F1079" s="447" t="s">
        <v>1890</v>
      </c>
      <c r="G1079" s="448" t="s">
        <v>4099</v>
      </c>
      <c r="H1079" s="448"/>
      <c r="I1079" s="448" t="s">
        <v>3366</v>
      </c>
    </row>
    <row r="1080" spans="1:9" ht="27" x14ac:dyDescent="0.3">
      <c r="A1080" s="443" t="s">
        <v>4100</v>
      </c>
      <c r="B1080" s="445" t="s">
        <v>4008</v>
      </c>
      <c r="C1080" s="444" t="s">
        <v>121</v>
      </c>
      <c r="D1080" s="444" t="s">
        <v>1260</v>
      </c>
      <c r="E1080" s="446" t="s">
        <v>4101</v>
      </c>
      <c r="F1080" s="447" t="s">
        <v>1890</v>
      </c>
      <c r="G1080" s="448"/>
      <c r="H1080" s="448"/>
      <c r="I1080" s="448" t="s">
        <v>1893</v>
      </c>
    </row>
    <row r="1081" spans="1:9" ht="27" x14ac:dyDescent="0.3">
      <c r="A1081" s="443" t="s">
        <v>4102</v>
      </c>
      <c r="B1081" s="445" t="s">
        <v>4008</v>
      </c>
      <c r="C1081" s="444" t="s">
        <v>121</v>
      </c>
      <c r="D1081" s="444" t="s">
        <v>1281</v>
      </c>
      <c r="E1081" s="446" t="s">
        <v>4103</v>
      </c>
      <c r="F1081" s="447" t="s">
        <v>1890</v>
      </c>
      <c r="G1081" s="448"/>
      <c r="H1081" s="448"/>
      <c r="I1081" s="448" t="s">
        <v>1856</v>
      </c>
    </row>
    <row r="1082" spans="1:9" ht="27" x14ac:dyDescent="0.3">
      <c r="A1082" s="443" t="s">
        <v>4104</v>
      </c>
      <c r="B1082" s="445" t="s">
        <v>4008</v>
      </c>
      <c r="C1082" s="444" t="s">
        <v>121</v>
      </c>
      <c r="D1082" s="444" t="s">
        <v>1901</v>
      </c>
      <c r="E1082" s="446" t="s">
        <v>4105</v>
      </c>
      <c r="F1082" s="447" t="s">
        <v>1890</v>
      </c>
      <c r="G1082" s="448"/>
      <c r="H1082" s="448"/>
      <c r="I1082" s="448" t="s">
        <v>3400</v>
      </c>
    </row>
    <row r="1083" spans="1:9" ht="27" x14ac:dyDescent="0.3">
      <c r="A1083" s="443" t="s">
        <v>4106</v>
      </c>
      <c r="B1083" s="445" t="s">
        <v>4008</v>
      </c>
      <c r="C1083" s="444" t="s">
        <v>121</v>
      </c>
      <c r="D1083" s="444" t="s">
        <v>121</v>
      </c>
      <c r="E1083" s="446" t="s">
        <v>4107</v>
      </c>
      <c r="F1083" s="447" t="s">
        <v>1890</v>
      </c>
      <c r="G1083" s="448"/>
      <c r="H1083" s="448"/>
      <c r="I1083" s="448" t="s">
        <v>3366</v>
      </c>
    </row>
    <row r="1084" spans="1:9" ht="27" x14ac:dyDescent="0.3">
      <c r="A1084" s="443" t="s">
        <v>4108</v>
      </c>
      <c r="B1084" s="445" t="s">
        <v>4008</v>
      </c>
      <c r="C1084" s="444" t="s">
        <v>121</v>
      </c>
      <c r="D1084" s="444" t="s">
        <v>1335</v>
      </c>
      <c r="E1084" s="446" t="s">
        <v>4109</v>
      </c>
      <c r="F1084" s="447" t="s">
        <v>1890</v>
      </c>
      <c r="G1084" s="448"/>
      <c r="H1084" s="448"/>
      <c r="I1084" s="448" t="s">
        <v>3400</v>
      </c>
    </row>
    <row r="1085" spans="1:9" ht="27" x14ac:dyDescent="0.3">
      <c r="A1085" s="443" t="s">
        <v>4110</v>
      </c>
      <c r="B1085" s="445" t="s">
        <v>4008</v>
      </c>
      <c r="C1085" s="444" t="s">
        <v>121</v>
      </c>
      <c r="D1085" s="444" t="s">
        <v>1348</v>
      </c>
      <c r="E1085" s="446" t="s">
        <v>4111</v>
      </c>
      <c r="F1085" s="447" t="s">
        <v>1890</v>
      </c>
      <c r="G1085" s="448"/>
      <c r="H1085" s="448"/>
      <c r="I1085" s="448" t="s">
        <v>1923</v>
      </c>
    </row>
    <row r="1086" spans="1:9" ht="27" x14ac:dyDescent="0.3">
      <c r="A1086" s="443" t="s">
        <v>4112</v>
      </c>
      <c r="B1086" s="445" t="s">
        <v>4008</v>
      </c>
      <c r="C1086" s="444" t="s">
        <v>121</v>
      </c>
      <c r="D1086" s="444" t="s">
        <v>1362</v>
      </c>
      <c r="E1086" s="446" t="s">
        <v>4113</v>
      </c>
      <c r="F1086" s="447" t="s">
        <v>1890</v>
      </c>
      <c r="G1086" s="448"/>
      <c r="H1086" s="448"/>
      <c r="I1086" s="448" t="s">
        <v>1923</v>
      </c>
    </row>
    <row r="1087" spans="1:9" ht="27" x14ac:dyDescent="0.3">
      <c r="A1087" s="443" t="s">
        <v>4114</v>
      </c>
      <c r="B1087" s="445" t="s">
        <v>4008</v>
      </c>
      <c r="C1087" s="444" t="s">
        <v>121</v>
      </c>
      <c r="D1087" s="444" t="s">
        <v>1372</v>
      </c>
      <c r="E1087" s="446" t="s">
        <v>4115</v>
      </c>
      <c r="F1087" s="447" t="s">
        <v>1890</v>
      </c>
      <c r="G1087" s="448"/>
      <c r="H1087" s="448"/>
      <c r="I1087" s="448" t="s">
        <v>1927</v>
      </c>
    </row>
    <row r="1088" spans="1:9" ht="27" x14ac:dyDescent="0.3">
      <c r="A1088" s="443" t="s">
        <v>4116</v>
      </c>
      <c r="B1088" s="445" t="s">
        <v>4008</v>
      </c>
      <c r="C1088" s="444" t="s">
        <v>121</v>
      </c>
      <c r="D1088" s="444" t="s">
        <v>1384</v>
      </c>
      <c r="E1088" s="446" t="s">
        <v>4117</v>
      </c>
      <c r="F1088" s="447" t="s">
        <v>1890</v>
      </c>
      <c r="G1088" s="448"/>
      <c r="H1088" s="448"/>
      <c r="I1088" s="448" t="s">
        <v>3400</v>
      </c>
    </row>
    <row r="1089" spans="1:9" ht="27" x14ac:dyDescent="0.3">
      <c r="A1089" s="443" t="s">
        <v>4118</v>
      </c>
      <c r="B1089" s="445" t="s">
        <v>4008</v>
      </c>
      <c r="C1089" s="444" t="s">
        <v>121</v>
      </c>
      <c r="D1089" s="444" t="s">
        <v>1395</v>
      </c>
      <c r="E1089" s="446" t="s">
        <v>4119</v>
      </c>
      <c r="F1089" s="447" t="s">
        <v>1890</v>
      </c>
      <c r="G1089" s="448"/>
      <c r="H1089" s="448"/>
      <c r="I1089" s="448" t="s">
        <v>1893</v>
      </c>
    </row>
    <row r="1090" spans="1:9" ht="27" x14ac:dyDescent="0.3">
      <c r="A1090" s="443" t="s">
        <v>4120</v>
      </c>
      <c r="B1090" s="445" t="s">
        <v>4008</v>
      </c>
      <c r="C1090" s="444" t="s">
        <v>121</v>
      </c>
      <c r="D1090" s="444" t="s">
        <v>4121</v>
      </c>
      <c r="E1090" s="446" t="s">
        <v>4122</v>
      </c>
      <c r="F1090" s="447" t="s">
        <v>1854</v>
      </c>
      <c r="G1090" s="448"/>
      <c r="H1090" s="448" t="s">
        <v>2204</v>
      </c>
      <c r="I1090" s="448" t="s">
        <v>1856</v>
      </c>
    </row>
    <row r="1091" spans="1:9" ht="27" x14ac:dyDescent="0.3">
      <c r="A1091" s="443" t="s">
        <v>4123</v>
      </c>
      <c r="B1091" s="445" t="s">
        <v>4008</v>
      </c>
      <c r="C1091" s="444" t="s">
        <v>121</v>
      </c>
      <c r="D1091" s="444" t="s">
        <v>1414</v>
      </c>
      <c r="E1091" s="446" t="s">
        <v>4124</v>
      </c>
      <c r="F1091" s="447" t="s">
        <v>1890</v>
      </c>
      <c r="G1091" s="448"/>
      <c r="H1091" s="448"/>
      <c r="I1091" s="448" t="s">
        <v>1927</v>
      </c>
    </row>
    <row r="1092" spans="1:9" ht="27" x14ac:dyDescent="0.3">
      <c r="A1092" s="443" t="s">
        <v>4125</v>
      </c>
      <c r="B1092" s="445" t="s">
        <v>4008</v>
      </c>
      <c r="C1092" s="444" t="s">
        <v>121</v>
      </c>
      <c r="D1092" s="444" t="s">
        <v>1421</v>
      </c>
      <c r="E1092" s="446" t="s">
        <v>4126</v>
      </c>
      <c r="F1092" s="447" t="s">
        <v>1890</v>
      </c>
      <c r="G1092" s="448"/>
      <c r="H1092" s="448"/>
      <c r="I1092" s="448" t="s">
        <v>4127</v>
      </c>
    </row>
    <row r="1093" spans="1:9" ht="27" x14ac:dyDescent="0.3">
      <c r="A1093" s="443" t="s">
        <v>4128</v>
      </c>
      <c r="B1093" s="445" t="s">
        <v>4008</v>
      </c>
      <c r="C1093" s="444" t="s">
        <v>121</v>
      </c>
      <c r="D1093" s="444" t="s">
        <v>1429</v>
      </c>
      <c r="E1093" s="446" t="s">
        <v>4129</v>
      </c>
      <c r="F1093" s="447" t="s">
        <v>1890</v>
      </c>
      <c r="G1093" s="448"/>
      <c r="H1093" s="448"/>
      <c r="I1093" s="448" t="s">
        <v>3400</v>
      </c>
    </row>
    <row r="1094" spans="1:9" ht="27" x14ac:dyDescent="0.3">
      <c r="A1094" s="443" t="s">
        <v>4130</v>
      </c>
      <c r="B1094" s="445" t="s">
        <v>4008</v>
      </c>
      <c r="C1094" s="444" t="s">
        <v>121</v>
      </c>
      <c r="D1094" s="444" t="s">
        <v>1916</v>
      </c>
      <c r="E1094" s="446" t="s">
        <v>4131</v>
      </c>
      <c r="F1094" s="447" t="s">
        <v>1890</v>
      </c>
      <c r="G1094" s="448"/>
      <c r="H1094" s="448"/>
      <c r="I1094" s="448" t="s">
        <v>3366</v>
      </c>
    </row>
    <row r="1095" spans="1:9" ht="27" x14ac:dyDescent="0.3">
      <c r="A1095" s="443" t="s">
        <v>4132</v>
      </c>
      <c r="B1095" s="445" t="s">
        <v>4008</v>
      </c>
      <c r="C1095" s="444" t="s">
        <v>121</v>
      </c>
      <c r="D1095" s="444" t="s">
        <v>2552</v>
      </c>
      <c r="E1095" s="446" t="s">
        <v>4133</v>
      </c>
      <c r="F1095" s="447" t="s">
        <v>1890</v>
      </c>
      <c r="G1095" s="448"/>
      <c r="H1095" s="448"/>
      <c r="I1095" s="448" t="s">
        <v>1923</v>
      </c>
    </row>
    <row r="1096" spans="1:9" ht="27" x14ac:dyDescent="0.3">
      <c r="A1096" s="443" t="s">
        <v>4134</v>
      </c>
      <c r="B1096" s="445" t="s">
        <v>4008</v>
      </c>
      <c r="C1096" s="444" t="s">
        <v>121</v>
      </c>
      <c r="D1096" s="444" t="s">
        <v>2459</v>
      </c>
      <c r="E1096" s="446" t="s">
        <v>4135</v>
      </c>
      <c r="F1096" s="447" t="s">
        <v>1890</v>
      </c>
      <c r="G1096" s="448"/>
      <c r="H1096" s="448"/>
      <c r="I1096" s="448" t="s">
        <v>3400</v>
      </c>
    </row>
    <row r="1097" spans="1:9" ht="27" x14ac:dyDescent="0.3">
      <c r="A1097" s="443" t="s">
        <v>4136</v>
      </c>
      <c r="B1097" s="445" t="s">
        <v>4008</v>
      </c>
      <c r="C1097" s="444" t="s">
        <v>121</v>
      </c>
      <c r="D1097" s="444" t="s">
        <v>1447</v>
      </c>
      <c r="E1097" s="446" t="s">
        <v>4137</v>
      </c>
      <c r="F1097" s="447" t="s">
        <v>1890</v>
      </c>
      <c r="G1097" s="448"/>
      <c r="H1097" s="448"/>
      <c r="I1097" s="448" t="s">
        <v>1923</v>
      </c>
    </row>
    <row r="1098" spans="1:9" ht="27" x14ac:dyDescent="0.3">
      <c r="A1098" s="443" t="s">
        <v>4138</v>
      </c>
      <c r="B1098" s="445" t="s">
        <v>4008</v>
      </c>
      <c r="C1098" s="444" t="s">
        <v>121</v>
      </c>
      <c r="D1098" s="444" t="s">
        <v>1450</v>
      </c>
      <c r="E1098" s="446" t="s">
        <v>4139</v>
      </c>
      <c r="F1098" s="447" t="s">
        <v>1890</v>
      </c>
      <c r="G1098" s="448"/>
      <c r="H1098" s="448"/>
      <c r="I1098" s="448" t="s">
        <v>1893</v>
      </c>
    </row>
    <row r="1099" spans="1:9" ht="27" x14ac:dyDescent="0.3">
      <c r="A1099" s="443" t="s">
        <v>4140</v>
      </c>
      <c r="B1099" s="445" t="s">
        <v>4008</v>
      </c>
      <c r="C1099" s="444" t="s">
        <v>121</v>
      </c>
      <c r="D1099" s="444" t="s">
        <v>1454</v>
      </c>
      <c r="E1099" s="446" t="s">
        <v>4141</v>
      </c>
      <c r="F1099" s="447" t="s">
        <v>1890</v>
      </c>
      <c r="G1099" s="448"/>
      <c r="H1099" s="448"/>
      <c r="I1099" s="448" t="s">
        <v>1874</v>
      </c>
    </row>
    <row r="1100" spans="1:9" ht="27" x14ac:dyDescent="0.3">
      <c r="A1100" s="443" t="s">
        <v>4142</v>
      </c>
      <c r="B1100" s="445" t="s">
        <v>4008</v>
      </c>
      <c r="C1100" s="444" t="s">
        <v>121</v>
      </c>
      <c r="D1100" s="444" t="s">
        <v>1459</v>
      </c>
      <c r="E1100" s="446" t="s">
        <v>4143</v>
      </c>
      <c r="F1100" s="447" t="s">
        <v>1890</v>
      </c>
      <c r="G1100" s="448"/>
      <c r="H1100" s="448"/>
      <c r="I1100" s="448" t="s">
        <v>1893</v>
      </c>
    </row>
    <row r="1101" spans="1:9" ht="27" x14ac:dyDescent="0.3">
      <c r="A1101" s="443" t="s">
        <v>4144</v>
      </c>
      <c r="B1101" s="445" t="s">
        <v>4008</v>
      </c>
      <c r="C1101" s="444" t="s">
        <v>121</v>
      </c>
      <c r="D1101" s="444" t="s">
        <v>1463</v>
      </c>
      <c r="E1101" s="446" t="s">
        <v>4145</v>
      </c>
      <c r="F1101" s="447" t="s">
        <v>1890</v>
      </c>
      <c r="G1101" s="448"/>
      <c r="H1101" s="448"/>
      <c r="I1101" s="448" t="s">
        <v>4146</v>
      </c>
    </row>
    <row r="1102" spans="1:9" ht="27" x14ac:dyDescent="0.3">
      <c r="A1102" s="443" t="s">
        <v>4147</v>
      </c>
      <c r="B1102" s="445" t="s">
        <v>4008</v>
      </c>
      <c r="C1102" s="444" t="s">
        <v>121</v>
      </c>
      <c r="D1102" s="444" t="s">
        <v>1466</v>
      </c>
      <c r="E1102" s="446" t="s">
        <v>4148</v>
      </c>
      <c r="F1102" s="447" t="s">
        <v>1890</v>
      </c>
      <c r="G1102" s="448"/>
      <c r="H1102" s="448"/>
      <c r="I1102" s="448" t="s">
        <v>1927</v>
      </c>
    </row>
    <row r="1103" spans="1:9" ht="27" x14ac:dyDescent="0.3">
      <c r="A1103" s="443" t="s">
        <v>4149</v>
      </c>
      <c r="B1103" s="445" t="s">
        <v>4008</v>
      </c>
      <c r="C1103" s="444" t="s">
        <v>4150</v>
      </c>
      <c r="D1103" s="444" t="s">
        <v>209</v>
      </c>
      <c r="E1103" s="446" t="s">
        <v>4151</v>
      </c>
      <c r="F1103" s="447" t="s">
        <v>1890</v>
      </c>
      <c r="G1103" s="448"/>
      <c r="H1103" s="448"/>
      <c r="I1103" s="448" t="s">
        <v>1893</v>
      </c>
    </row>
    <row r="1104" spans="1:9" ht="27" x14ac:dyDescent="0.3">
      <c r="A1104" s="443" t="s">
        <v>4152</v>
      </c>
      <c r="B1104" s="445" t="s">
        <v>4008</v>
      </c>
      <c r="C1104" s="444" t="s">
        <v>4150</v>
      </c>
      <c r="D1104" s="444" t="s">
        <v>281</v>
      </c>
      <c r="E1104" s="446" t="s">
        <v>4153</v>
      </c>
      <c r="F1104" s="447" t="s">
        <v>1890</v>
      </c>
      <c r="G1104" s="448"/>
      <c r="H1104" s="448"/>
      <c r="I1104" s="448" t="s">
        <v>1893</v>
      </c>
    </row>
    <row r="1105" spans="1:9" ht="27" x14ac:dyDescent="0.3">
      <c r="A1105" s="443" t="s">
        <v>4154</v>
      </c>
      <c r="B1105" s="445" t="s">
        <v>4008</v>
      </c>
      <c r="C1105" s="444" t="s">
        <v>4150</v>
      </c>
      <c r="D1105" s="444" t="s">
        <v>354</v>
      </c>
      <c r="E1105" s="446" t="s">
        <v>4155</v>
      </c>
      <c r="F1105" s="447" t="s">
        <v>1890</v>
      </c>
      <c r="G1105" s="448"/>
      <c r="H1105" s="448"/>
      <c r="I1105" s="448" t="s">
        <v>1923</v>
      </c>
    </row>
    <row r="1106" spans="1:9" ht="27" x14ac:dyDescent="0.3">
      <c r="A1106" s="443" t="s">
        <v>4156</v>
      </c>
      <c r="B1106" s="445" t="s">
        <v>4008</v>
      </c>
      <c r="C1106" s="444" t="s">
        <v>4150</v>
      </c>
      <c r="D1106" s="444" t="s">
        <v>425</v>
      </c>
      <c r="E1106" s="446" t="s">
        <v>4157</v>
      </c>
      <c r="F1106" s="447" t="s">
        <v>1890</v>
      </c>
      <c r="G1106" s="448"/>
      <c r="H1106" s="448"/>
      <c r="I1106" s="448" t="s">
        <v>1893</v>
      </c>
    </row>
    <row r="1107" spans="1:9" ht="27" x14ac:dyDescent="0.3">
      <c r="A1107" s="443" t="s">
        <v>4158</v>
      </c>
      <c r="B1107" s="445" t="s">
        <v>4008</v>
      </c>
      <c r="C1107" s="444" t="s">
        <v>4150</v>
      </c>
      <c r="D1107" s="444" t="s">
        <v>216</v>
      </c>
      <c r="E1107" s="446" t="s">
        <v>4159</v>
      </c>
      <c r="F1107" s="447" t="s">
        <v>1890</v>
      </c>
      <c r="G1107" s="448"/>
      <c r="H1107" s="448"/>
      <c r="I1107" s="448" t="s">
        <v>1856</v>
      </c>
    </row>
    <row r="1108" spans="1:9" ht="27" x14ac:dyDescent="0.3">
      <c r="A1108" s="443" t="s">
        <v>4160</v>
      </c>
      <c r="B1108" s="445" t="s">
        <v>4008</v>
      </c>
      <c r="C1108" s="444" t="s">
        <v>4150</v>
      </c>
      <c r="D1108" s="444" t="s">
        <v>570</v>
      </c>
      <c r="E1108" s="446" t="s">
        <v>4161</v>
      </c>
      <c r="F1108" s="447" t="s">
        <v>1890</v>
      </c>
      <c r="G1108" s="448"/>
      <c r="H1108" s="448"/>
      <c r="I1108" s="448" t="s">
        <v>1927</v>
      </c>
    </row>
    <row r="1109" spans="1:9" ht="27" x14ac:dyDescent="0.3">
      <c r="A1109" s="443" t="s">
        <v>4162</v>
      </c>
      <c r="B1109" s="445" t="s">
        <v>4008</v>
      </c>
      <c r="C1109" s="444" t="s">
        <v>4150</v>
      </c>
      <c r="D1109" s="444" t="s">
        <v>636</v>
      </c>
      <c r="E1109" s="446" t="s">
        <v>4163</v>
      </c>
      <c r="F1109" s="447" t="s">
        <v>1890</v>
      </c>
      <c r="G1109" s="448"/>
      <c r="H1109" s="448"/>
      <c r="I1109" s="448" t="s">
        <v>1923</v>
      </c>
    </row>
    <row r="1110" spans="1:9" ht="27" x14ac:dyDescent="0.3">
      <c r="A1110" s="443" t="s">
        <v>4164</v>
      </c>
      <c r="B1110" s="445" t="s">
        <v>4008</v>
      </c>
      <c r="C1110" s="444" t="s">
        <v>4150</v>
      </c>
      <c r="D1110" s="444" t="s">
        <v>702</v>
      </c>
      <c r="E1110" s="446" t="s">
        <v>4165</v>
      </c>
      <c r="F1110" s="447" t="s">
        <v>1890</v>
      </c>
      <c r="G1110" s="448"/>
      <c r="H1110" s="448"/>
      <c r="I1110" s="448" t="s">
        <v>1874</v>
      </c>
    </row>
    <row r="1111" spans="1:9" ht="27" x14ac:dyDescent="0.3">
      <c r="A1111" s="443" t="s">
        <v>4166</v>
      </c>
      <c r="B1111" s="445" t="s">
        <v>4008</v>
      </c>
      <c r="C1111" s="444" t="s">
        <v>4150</v>
      </c>
      <c r="D1111" s="444" t="s">
        <v>767</v>
      </c>
      <c r="E1111" s="446" t="s">
        <v>4167</v>
      </c>
      <c r="F1111" s="447" t="s">
        <v>1890</v>
      </c>
      <c r="G1111" s="448"/>
      <c r="H1111" s="448"/>
      <c r="I1111" s="448" t="s">
        <v>1893</v>
      </c>
    </row>
    <row r="1112" spans="1:9" ht="27" x14ac:dyDescent="0.3">
      <c r="A1112" s="443" t="s">
        <v>4168</v>
      </c>
      <c r="B1112" s="445" t="s">
        <v>4008</v>
      </c>
      <c r="C1112" s="444" t="s">
        <v>4150</v>
      </c>
      <c r="D1112" s="444" t="s">
        <v>4169</v>
      </c>
      <c r="E1112" s="446" t="s">
        <v>4170</v>
      </c>
      <c r="F1112" s="447" t="s">
        <v>1890</v>
      </c>
      <c r="G1112" s="448"/>
      <c r="H1112" s="448"/>
      <c r="I1112" s="448" t="s">
        <v>1927</v>
      </c>
    </row>
    <row r="1113" spans="1:9" ht="27" x14ac:dyDescent="0.3">
      <c r="A1113" s="443" t="s">
        <v>4171</v>
      </c>
      <c r="B1113" s="445" t="s">
        <v>4008</v>
      </c>
      <c r="C1113" s="444" t="s">
        <v>4150</v>
      </c>
      <c r="D1113" s="444" t="s">
        <v>880</v>
      </c>
      <c r="E1113" s="446" t="s">
        <v>4172</v>
      </c>
      <c r="F1113" s="447" t="s">
        <v>1890</v>
      </c>
      <c r="G1113" s="448"/>
      <c r="H1113" s="448"/>
      <c r="I1113" s="448" t="s">
        <v>1923</v>
      </c>
    </row>
    <row r="1114" spans="1:9" ht="27" x14ac:dyDescent="0.3">
      <c r="A1114" s="443" t="s">
        <v>4173</v>
      </c>
      <c r="B1114" s="445" t="s">
        <v>4008</v>
      </c>
      <c r="C1114" s="444" t="s">
        <v>4150</v>
      </c>
      <c r="D1114" s="444" t="s">
        <v>985</v>
      </c>
      <c r="E1114" s="446" t="s">
        <v>4174</v>
      </c>
      <c r="F1114" s="447" t="s">
        <v>1890</v>
      </c>
      <c r="G1114" s="448"/>
      <c r="H1114" s="448"/>
      <c r="I1114" s="448" t="s">
        <v>1893</v>
      </c>
    </row>
    <row r="1115" spans="1:9" ht="27" x14ac:dyDescent="0.3">
      <c r="A1115" s="443" t="s">
        <v>4175</v>
      </c>
      <c r="B1115" s="445" t="s">
        <v>4008</v>
      </c>
      <c r="C1115" s="444" t="s">
        <v>4150</v>
      </c>
      <c r="D1115" s="444" t="s">
        <v>1035</v>
      </c>
      <c r="E1115" s="446" t="s">
        <v>4176</v>
      </c>
      <c r="F1115" s="447" t="s">
        <v>1890</v>
      </c>
      <c r="G1115" s="448"/>
      <c r="H1115" s="448"/>
      <c r="I1115" s="448" t="s">
        <v>1927</v>
      </c>
    </row>
    <row r="1116" spans="1:9" ht="27" x14ac:dyDescent="0.3">
      <c r="A1116" s="443" t="s">
        <v>4177</v>
      </c>
      <c r="B1116" s="445" t="s">
        <v>4008</v>
      </c>
      <c r="C1116" s="444" t="s">
        <v>4150</v>
      </c>
      <c r="D1116" s="444" t="s">
        <v>1079</v>
      </c>
      <c r="E1116" s="446" t="s">
        <v>4178</v>
      </c>
      <c r="F1116" s="447" t="s">
        <v>1890</v>
      </c>
      <c r="G1116" s="448"/>
      <c r="H1116" s="448"/>
      <c r="I1116" s="448" t="s">
        <v>1927</v>
      </c>
    </row>
    <row r="1117" spans="1:9" ht="27" x14ac:dyDescent="0.3">
      <c r="A1117" s="443" t="s">
        <v>4179</v>
      </c>
      <c r="B1117" s="445" t="s">
        <v>4008</v>
      </c>
      <c r="C1117" s="444" t="s">
        <v>4150</v>
      </c>
      <c r="D1117" s="444" t="s">
        <v>1114</v>
      </c>
      <c r="E1117" s="446" t="s">
        <v>4180</v>
      </c>
      <c r="F1117" s="447" t="s">
        <v>1890</v>
      </c>
      <c r="G1117" s="448"/>
      <c r="H1117" s="448"/>
      <c r="I1117" s="448" t="s">
        <v>1923</v>
      </c>
    </row>
    <row r="1118" spans="1:9" ht="27" x14ac:dyDescent="0.3">
      <c r="A1118" s="443" t="s">
        <v>4181</v>
      </c>
      <c r="B1118" s="445" t="s">
        <v>4008</v>
      </c>
      <c r="C1118" s="444" t="s">
        <v>4150</v>
      </c>
      <c r="D1118" s="444" t="s">
        <v>656</v>
      </c>
      <c r="E1118" s="446" t="s">
        <v>4182</v>
      </c>
      <c r="F1118" s="447" t="s">
        <v>1890</v>
      </c>
      <c r="G1118" s="448"/>
      <c r="H1118" s="448"/>
      <c r="I1118" s="448" t="s">
        <v>1893</v>
      </c>
    </row>
    <row r="1119" spans="1:9" ht="27" x14ac:dyDescent="0.3">
      <c r="A1119" s="443" t="s">
        <v>4183</v>
      </c>
      <c r="B1119" s="445" t="s">
        <v>4008</v>
      </c>
      <c r="C1119" s="444" t="s">
        <v>4150</v>
      </c>
      <c r="D1119" s="444" t="s">
        <v>2618</v>
      </c>
      <c r="E1119" s="446" t="s">
        <v>4184</v>
      </c>
      <c r="F1119" s="447" t="s">
        <v>1890</v>
      </c>
      <c r="G1119" s="448"/>
      <c r="H1119" s="448"/>
      <c r="I1119" s="448" t="s">
        <v>1893</v>
      </c>
    </row>
    <row r="1120" spans="1:9" ht="27" x14ac:dyDescent="0.3">
      <c r="A1120" s="443" t="s">
        <v>4185</v>
      </c>
      <c r="B1120" s="445" t="s">
        <v>4008</v>
      </c>
      <c r="C1120" s="444" t="s">
        <v>4150</v>
      </c>
      <c r="D1120" s="444" t="s">
        <v>1916</v>
      </c>
      <c r="E1120" s="446" t="s">
        <v>4186</v>
      </c>
      <c r="F1120" s="447" t="s">
        <v>1890</v>
      </c>
      <c r="G1120" s="448"/>
      <c r="H1120" s="448"/>
      <c r="I1120" s="448" t="s">
        <v>1923</v>
      </c>
    </row>
    <row r="1121" spans="1:9" ht="27" x14ac:dyDescent="0.3">
      <c r="A1121" s="443" t="s">
        <v>4187</v>
      </c>
      <c r="B1121" s="445" t="s">
        <v>4008</v>
      </c>
      <c r="C1121" s="444" t="s">
        <v>4150</v>
      </c>
      <c r="D1121" s="444" t="s">
        <v>1828</v>
      </c>
      <c r="E1121" s="446" t="s">
        <v>4188</v>
      </c>
      <c r="F1121" s="447" t="s">
        <v>1890</v>
      </c>
      <c r="G1121" s="448"/>
      <c r="H1121" s="448"/>
      <c r="I1121" s="448" t="s">
        <v>1893</v>
      </c>
    </row>
    <row r="1122" spans="1:9" ht="27" x14ac:dyDescent="0.3">
      <c r="A1122" s="443" t="s">
        <v>4189</v>
      </c>
      <c r="B1122" s="445" t="s">
        <v>4008</v>
      </c>
      <c r="C1122" s="444" t="s">
        <v>4150</v>
      </c>
      <c r="D1122" s="444" t="s">
        <v>4190</v>
      </c>
      <c r="E1122" s="446" t="s">
        <v>4191</v>
      </c>
      <c r="F1122" s="447" t="s">
        <v>1890</v>
      </c>
      <c r="G1122" s="448"/>
      <c r="H1122" s="448"/>
      <c r="I1122" s="448" t="s">
        <v>1923</v>
      </c>
    </row>
    <row r="1123" spans="1:9" ht="27" x14ac:dyDescent="0.3">
      <c r="A1123" s="443" t="s">
        <v>4192</v>
      </c>
      <c r="B1123" s="445" t="s">
        <v>4008</v>
      </c>
      <c r="C1123" s="444" t="s">
        <v>4150</v>
      </c>
      <c r="D1123" s="444" t="s">
        <v>2089</v>
      </c>
      <c r="E1123" s="446" t="s">
        <v>4193</v>
      </c>
      <c r="F1123" s="447" t="s">
        <v>1890</v>
      </c>
      <c r="G1123" s="448"/>
      <c r="H1123" s="448"/>
      <c r="I1123" s="448" t="s">
        <v>1896</v>
      </c>
    </row>
    <row r="1124" spans="1:9" ht="27" x14ac:dyDescent="0.3">
      <c r="A1124" s="443" t="s">
        <v>4194</v>
      </c>
      <c r="B1124" s="445" t="s">
        <v>4008</v>
      </c>
      <c r="C1124" s="444" t="s">
        <v>4150</v>
      </c>
      <c r="D1124" s="444" t="s">
        <v>4195</v>
      </c>
      <c r="E1124" s="446" t="s">
        <v>4196</v>
      </c>
      <c r="F1124" s="447" t="s">
        <v>1890</v>
      </c>
      <c r="G1124" s="448"/>
      <c r="H1124" s="448"/>
      <c r="I1124" s="448" t="s">
        <v>1923</v>
      </c>
    </row>
    <row r="1125" spans="1:9" ht="27" x14ac:dyDescent="0.3">
      <c r="A1125" s="443" t="s">
        <v>4197</v>
      </c>
      <c r="B1125" s="445" t="s">
        <v>4008</v>
      </c>
      <c r="C1125" s="444" t="s">
        <v>4150</v>
      </c>
      <c r="D1125" s="444" t="s">
        <v>1064</v>
      </c>
      <c r="E1125" s="446" t="s">
        <v>4198</v>
      </c>
      <c r="F1125" s="447" t="s">
        <v>1890</v>
      </c>
      <c r="G1125" s="448"/>
      <c r="H1125" s="448"/>
      <c r="I1125" s="448" t="s">
        <v>1893</v>
      </c>
    </row>
    <row r="1126" spans="1:9" ht="27" x14ac:dyDescent="0.3">
      <c r="A1126" s="443" t="s">
        <v>4199</v>
      </c>
      <c r="B1126" s="445" t="s">
        <v>4008</v>
      </c>
      <c r="C1126" s="444" t="s">
        <v>4150</v>
      </c>
      <c r="D1126" s="444" t="s">
        <v>4200</v>
      </c>
      <c r="E1126" s="446" t="s">
        <v>4201</v>
      </c>
      <c r="F1126" s="447" t="s">
        <v>1890</v>
      </c>
      <c r="G1126" s="448"/>
      <c r="H1126" s="448"/>
      <c r="I1126" s="448" t="s">
        <v>1923</v>
      </c>
    </row>
    <row r="1127" spans="1:9" ht="27" x14ac:dyDescent="0.3">
      <c r="A1127" s="443" t="s">
        <v>4202</v>
      </c>
      <c r="B1127" s="445" t="s">
        <v>4008</v>
      </c>
      <c r="C1127" s="444" t="s">
        <v>149</v>
      </c>
      <c r="D1127" s="444" t="s">
        <v>210</v>
      </c>
      <c r="E1127" s="446" t="s">
        <v>4203</v>
      </c>
      <c r="F1127" s="447" t="s">
        <v>1890</v>
      </c>
      <c r="G1127" s="448"/>
      <c r="H1127" s="448"/>
      <c r="I1127" s="448" t="s">
        <v>1893</v>
      </c>
    </row>
    <row r="1128" spans="1:9" ht="27" x14ac:dyDescent="0.3">
      <c r="A1128" s="443" t="s">
        <v>4204</v>
      </c>
      <c r="B1128" s="445" t="s">
        <v>4008</v>
      </c>
      <c r="C1128" s="444" t="s">
        <v>149</v>
      </c>
      <c r="D1128" s="444" t="s">
        <v>282</v>
      </c>
      <c r="E1128" s="446" t="s">
        <v>4205</v>
      </c>
      <c r="F1128" s="447" t="s">
        <v>1890</v>
      </c>
      <c r="G1128" s="448"/>
      <c r="H1128" s="448"/>
      <c r="I1128" s="448" t="s">
        <v>1856</v>
      </c>
    </row>
    <row r="1129" spans="1:9" ht="27" x14ac:dyDescent="0.3">
      <c r="A1129" s="443" t="s">
        <v>4206</v>
      </c>
      <c r="B1129" s="445" t="s">
        <v>4008</v>
      </c>
      <c r="C1129" s="444" t="s">
        <v>149</v>
      </c>
      <c r="D1129" s="444" t="s">
        <v>4207</v>
      </c>
      <c r="E1129" s="446" t="s">
        <v>4208</v>
      </c>
      <c r="F1129" s="447" t="s">
        <v>1854</v>
      </c>
      <c r="G1129" s="448"/>
      <c r="H1129" s="448" t="s">
        <v>1961</v>
      </c>
      <c r="I1129" s="448" t="s">
        <v>1856</v>
      </c>
    </row>
    <row r="1130" spans="1:9" ht="27" x14ac:dyDescent="0.3">
      <c r="A1130" s="443" t="s">
        <v>4209</v>
      </c>
      <c r="B1130" s="445" t="s">
        <v>4008</v>
      </c>
      <c r="C1130" s="444" t="s">
        <v>149</v>
      </c>
      <c r="D1130" s="444" t="s">
        <v>355</v>
      </c>
      <c r="E1130" s="446" t="s">
        <v>4210</v>
      </c>
      <c r="F1130" s="447" t="s">
        <v>1890</v>
      </c>
      <c r="G1130" s="448"/>
      <c r="H1130" s="448"/>
      <c r="I1130" s="448" t="s">
        <v>1923</v>
      </c>
    </row>
    <row r="1131" spans="1:9" ht="27" x14ac:dyDescent="0.3">
      <c r="A1131" s="443" t="s">
        <v>4211</v>
      </c>
      <c r="B1131" s="445" t="s">
        <v>4008</v>
      </c>
      <c r="C1131" s="444" t="s">
        <v>149</v>
      </c>
      <c r="D1131" s="444" t="s">
        <v>4212</v>
      </c>
      <c r="E1131" s="446" t="s">
        <v>4213</v>
      </c>
      <c r="F1131" s="447" t="s">
        <v>1854</v>
      </c>
      <c r="G1131" s="448"/>
      <c r="H1131" s="448" t="s">
        <v>1961</v>
      </c>
      <c r="I1131" s="448" t="s">
        <v>1893</v>
      </c>
    </row>
    <row r="1132" spans="1:9" ht="27" x14ac:dyDescent="0.3">
      <c r="A1132" s="443" t="s">
        <v>4214</v>
      </c>
      <c r="B1132" s="445" t="s">
        <v>4008</v>
      </c>
      <c r="C1132" s="444" t="s">
        <v>149</v>
      </c>
      <c r="D1132" s="444" t="s">
        <v>571</v>
      </c>
      <c r="E1132" s="446" t="s">
        <v>4215</v>
      </c>
      <c r="F1132" s="447" t="s">
        <v>1890</v>
      </c>
      <c r="G1132" s="448"/>
      <c r="H1132" s="448"/>
      <c r="I1132" s="448" t="s">
        <v>1927</v>
      </c>
    </row>
    <row r="1133" spans="1:9" ht="27" x14ac:dyDescent="0.3">
      <c r="A1133" s="443" t="s">
        <v>4216</v>
      </c>
      <c r="B1133" s="445" t="s">
        <v>4008</v>
      </c>
      <c r="C1133" s="444" t="s">
        <v>149</v>
      </c>
      <c r="D1133" s="444" t="s">
        <v>637</v>
      </c>
      <c r="E1133" s="446" t="s">
        <v>4217</v>
      </c>
      <c r="F1133" s="447" t="s">
        <v>1890</v>
      </c>
      <c r="G1133" s="448"/>
      <c r="H1133" s="448"/>
      <c r="I1133" s="448" t="s">
        <v>1874</v>
      </c>
    </row>
    <row r="1134" spans="1:9" ht="27" x14ac:dyDescent="0.3">
      <c r="A1134" s="443" t="s">
        <v>4218</v>
      </c>
      <c r="B1134" s="445" t="s">
        <v>4008</v>
      </c>
      <c r="C1134" s="444" t="s">
        <v>149</v>
      </c>
      <c r="D1134" s="444" t="s">
        <v>703</v>
      </c>
      <c r="E1134" s="446" t="s">
        <v>4219</v>
      </c>
      <c r="F1134" s="447" t="s">
        <v>1890</v>
      </c>
      <c r="G1134" s="448"/>
      <c r="H1134" s="448"/>
      <c r="I1134" s="448" t="s">
        <v>3366</v>
      </c>
    </row>
    <row r="1135" spans="1:9" ht="27" x14ac:dyDescent="0.3">
      <c r="A1135" s="443" t="s">
        <v>4220</v>
      </c>
      <c r="B1135" s="445" t="s">
        <v>4008</v>
      </c>
      <c r="C1135" s="444" t="s">
        <v>149</v>
      </c>
      <c r="D1135" s="444" t="s">
        <v>768</v>
      </c>
      <c r="E1135" s="446" t="s">
        <v>4221</v>
      </c>
      <c r="F1135" s="447" t="s">
        <v>1890</v>
      </c>
      <c r="G1135" s="448"/>
      <c r="H1135" s="448"/>
      <c r="I1135" s="448" t="s">
        <v>1893</v>
      </c>
    </row>
    <row r="1136" spans="1:9" ht="27" x14ac:dyDescent="0.3">
      <c r="A1136" s="443" t="s">
        <v>4222</v>
      </c>
      <c r="B1136" s="445" t="s">
        <v>4008</v>
      </c>
      <c r="C1136" s="444" t="s">
        <v>149</v>
      </c>
      <c r="D1136" s="444" t="s">
        <v>827</v>
      </c>
      <c r="E1136" s="446" t="s">
        <v>4223</v>
      </c>
      <c r="F1136" s="447" t="s">
        <v>1890</v>
      </c>
      <c r="G1136" s="448"/>
      <c r="H1136" s="448"/>
      <c r="I1136" s="448" t="s">
        <v>1893</v>
      </c>
    </row>
    <row r="1137" spans="1:9" ht="27" x14ac:dyDescent="0.3">
      <c r="A1137" s="443" t="s">
        <v>4224</v>
      </c>
      <c r="B1137" s="445" t="s">
        <v>4008</v>
      </c>
      <c r="C1137" s="444" t="s">
        <v>149</v>
      </c>
      <c r="D1137" s="444" t="s">
        <v>881</v>
      </c>
      <c r="E1137" s="446" t="s">
        <v>4225</v>
      </c>
      <c r="F1137" s="447" t="s">
        <v>1890</v>
      </c>
      <c r="G1137" s="448"/>
      <c r="H1137" s="448"/>
      <c r="I1137" s="448" t="s">
        <v>1893</v>
      </c>
    </row>
    <row r="1138" spans="1:9" ht="27" x14ac:dyDescent="0.3">
      <c r="A1138" s="443" t="s">
        <v>4226</v>
      </c>
      <c r="B1138" s="445" t="s">
        <v>4008</v>
      </c>
      <c r="C1138" s="444" t="s">
        <v>149</v>
      </c>
      <c r="D1138" s="444" t="s">
        <v>939</v>
      </c>
      <c r="E1138" s="446" t="s">
        <v>4227</v>
      </c>
      <c r="F1138" s="447" t="s">
        <v>1890</v>
      </c>
      <c r="G1138" s="448"/>
      <c r="H1138" s="448"/>
      <c r="I1138" s="448" t="s">
        <v>1923</v>
      </c>
    </row>
    <row r="1139" spans="1:9" ht="27" x14ac:dyDescent="0.3">
      <c r="A1139" s="443" t="s">
        <v>4228</v>
      </c>
      <c r="B1139" s="445" t="s">
        <v>4008</v>
      </c>
      <c r="C1139" s="444" t="s">
        <v>149</v>
      </c>
      <c r="D1139" s="444" t="s">
        <v>1080</v>
      </c>
      <c r="E1139" s="446" t="s">
        <v>4229</v>
      </c>
      <c r="F1139" s="447" t="s">
        <v>1890</v>
      </c>
      <c r="G1139" s="448"/>
      <c r="H1139" s="448"/>
      <c r="I1139" s="448" t="s">
        <v>1923</v>
      </c>
    </row>
    <row r="1140" spans="1:9" ht="27" x14ac:dyDescent="0.3">
      <c r="A1140" s="443" t="s">
        <v>4230</v>
      </c>
      <c r="B1140" s="445" t="s">
        <v>4008</v>
      </c>
      <c r="C1140" s="444" t="s">
        <v>149</v>
      </c>
      <c r="D1140" s="444" t="s">
        <v>4231</v>
      </c>
      <c r="E1140" s="446" t="s">
        <v>4232</v>
      </c>
      <c r="F1140" s="447" t="s">
        <v>1890</v>
      </c>
      <c r="G1140" s="448"/>
      <c r="H1140" s="448"/>
      <c r="I1140" s="448" t="s">
        <v>1923</v>
      </c>
    </row>
    <row r="1141" spans="1:9" ht="27" x14ac:dyDescent="0.3">
      <c r="A1141" s="443" t="s">
        <v>4233</v>
      </c>
      <c r="B1141" s="445" t="s">
        <v>4008</v>
      </c>
      <c r="C1141" s="444" t="s">
        <v>149</v>
      </c>
      <c r="D1141" s="444" t="s">
        <v>4234</v>
      </c>
      <c r="E1141" s="446" t="s">
        <v>4235</v>
      </c>
      <c r="F1141" s="447" t="s">
        <v>1890</v>
      </c>
      <c r="G1141" s="448"/>
      <c r="H1141" s="448"/>
      <c r="I1141" s="448" t="s">
        <v>1896</v>
      </c>
    </row>
    <row r="1142" spans="1:9" ht="27" x14ac:dyDescent="0.3">
      <c r="A1142" s="443" t="s">
        <v>4236</v>
      </c>
      <c r="B1142" s="445" t="s">
        <v>4008</v>
      </c>
      <c r="C1142" s="444" t="s">
        <v>149</v>
      </c>
      <c r="D1142" s="444" t="s">
        <v>4237</v>
      </c>
      <c r="E1142" s="446" t="s">
        <v>4238</v>
      </c>
      <c r="F1142" s="447" t="s">
        <v>1890</v>
      </c>
      <c r="G1142" s="448"/>
      <c r="H1142" s="448"/>
      <c r="I1142" s="448" t="s">
        <v>1923</v>
      </c>
    </row>
    <row r="1143" spans="1:9" ht="27" x14ac:dyDescent="0.3">
      <c r="A1143" s="443" t="s">
        <v>4239</v>
      </c>
      <c r="B1143" s="445" t="s">
        <v>4008</v>
      </c>
      <c r="C1143" s="444" t="s">
        <v>149</v>
      </c>
      <c r="D1143" s="444" t="s">
        <v>2680</v>
      </c>
      <c r="E1143" s="446" t="s">
        <v>4240</v>
      </c>
      <c r="F1143" s="447" t="s">
        <v>1890</v>
      </c>
      <c r="G1143" s="448"/>
      <c r="H1143" s="448"/>
      <c r="I1143" s="448" t="s">
        <v>2676</v>
      </c>
    </row>
    <row r="1144" spans="1:9" ht="27" x14ac:dyDescent="0.3">
      <c r="A1144" s="443" t="s">
        <v>4241</v>
      </c>
      <c r="B1144" s="445" t="s">
        <v>4008</v>
      </c>
      <c r="C1144" s="444" t="s">
        <v>149</v>
      </c>
      <c r="D1144" s="444" t="s">
        <v>2337</v>
      </c>
      <c r="E1144" s="446" t="s">
        <v>4242</v>
      </c>
      <c r="F1144" s="447" t="s">
        <v>1890</v>
      </c>
      <c r="G1144" s="448"/>
      <c r="H1144" s="448"/>
      <c r="I1144" s="448" t="s">
        <v>1893</v>
      </c>
    </row>
    <row r="1145" spans="1:9" ht="27" x14ac:dyDescent="0.3">
      <c r="A1145" s="443" t="s">
        <v>4243</v>
      </c>
      <c r="B1145" s="445" t="s">
        <v>4008</v>
      </c>
      <c r="C1145" s="444" t="s">
        <v>149</v>
      </c>
      <c r="D1145" s="444" t="s">
        <v>1303</v>
      </c>
      <c r="E1145" s="446" t="s">
        <v>4244</v>
      </c>
      <c r="F1145" s="447" t="s">
        <v>1890</v>
      </c>
      <c r="G1145" s="448"/>
      <c r="H1145" s="448"/>
      <c r="I1145" s="448" t="s">
        <v>1896</v>
      </c>
    </row>
    <row r="1146" spans="1:9" ht="27" x14ac:dyDescent="0.3">
      <c r="A1146" s="443" t="s">
        <v>4245</v>
      </c>
      <c r="B1146" s="445" t="s">
        <v>4008</v>
      </c>
      <c r="C1146" s="444" t="s">
        <v>149</v>
      </c>
      <c r="D1146" s="444" t="s">
        <v>1318</v>
      </c>
      <c r="E1146" s="446" t="s">
        <v>4246</v>
      </c>
      <c r="F1146" s="447" t="s">
        <v>1890</v>
      </c>
      <c r="G1146" s="448"/>
      <c r="H1146" s="448"/>
      <c r="I1146" s="448" t="s">
        <v>1923</v>
      </c>
    </row>
    <row r="1147" spans="1:9" ht="27" x14ac:dyDescent="0.3">
      <c r="A1147" s="443" t="s">
        <v>4247</v>
      </c>
      <c r="B1147" s="445" t="s">
        <v>4008</v>
      </c>
      <c r="C1147" s="444" t="s">
        <v>149</v>
      </c>
      <c r="D1147" s="444" t="s">
        <v>1336</v>
      </c>
      <c r="E1147" s="446" t="s">
        <v>4248</v>
      </c>
      <c r="F1147" s="447" t="s">
        <v>1890</v>
      </c>
      <c r="G1147" s="448"/>
      <c r="H1147" s="448"/>
      <c r="I1147" s="448" t="s">
        <v>3366</v>
      </c>
    </row>
    <row r="1148" spans="1:9" ht="27" x14ac:dyDescent="0.3">
      <c r="A1148" s="443" t="s">
        <v>4249</v>
      </c>
      <c r="B1148" s="445" t="s">
        <v>4008</v>
      </c>
      <c r="C1148" s="444" t="s">
        <v>149</v>
      </c>
      <c r="D1148" s="444" t="s">
        <v>1036</v>
      </c>
      <c r="E1148" s="446" t="s">
        <v>4250</v>
      </c>
      <c r="F1148" s="447" t="s">
        <v>1890</v>
      </c>
      <c r="G1148" s="448" t="s">
        <v>4251</v>
      </c>
      <c r="H1148" s="448"/>
      <c r="I1148" s="448" t="s">
        <v>1874</v>
      </c>
    </row>
    <row r="1149" spans="1:9" ht="27" x14ac:dyDescent="0.3">
      <c r="A1149" s="443" t="s">
        <v>4252</v>
      </c>
      <c r="B1149" s="445" t="s">
        <v>4008</v>
      </c>
      <c r="C1149" s="444" t="s">
        <v>149</v>
      </c>
      <c r="D1149" s="444" t="s">
        <v>1349</v>
      </c>
      <c r="E1149" s="446" t="s">
        <v>4253</v>
      </c>
      <c r="F1149" s="447" t="s">
        <v>1890</v>
      </c>
      <c r="G1149" s="448"/>
      <c r="H1149" s="448"/>
      <c r="I1149" s="448" t="s">
        <v>3400</v>
      </c>
    </row>
    <row r="1150" spans="1:9" ht="27" x14ac:dyDescent="0.3">
      <c r="A1150" s="443" t="s">
        <v>4254</v>
      </c>
      <c r="B1150" s="445" t="s">
        <v>4008</v>
      </c>
      <c r="C1150" s="444" t="s">
        <v>149</v>
      </c>
      <c r="D1150" s="444" t="s">
        <v>1282</v>
      </c>
      <c r="E1150" s="446" t="s">
        <v>4255</v>
      </c>
      <c r="F1150" s="447" t="s">
        <v>1890</v>
      </c>
      <c r="G1150" s="448"/>
      <c r="H1150" s="448"/>
      <c r="I1150" s="448" t="s">
        <v>3400</v>
      </c>
    </row>
    <row r="1151" spans="1:9" ht="27" x14ac:dyDescent="0.3">
      <c r="A1151" s="443" t="s">
        <v>4256</v>
      </c>
      <c r="B1151" s="445" t="s">
        <v>4008</v>
      </c>
      <c r="C1151" s="444" t="s">
        <v>149</v>
      </c>
      <c r="D1151" s="444" t="s">
        <v>4257</v>
      </c>
      <c r="E1151" s="446" t="s">
        <v>4258</v>
      </c>
      <c r="F1151" s="447" t="s">
        <v>1890</v>
      </c>
      <c r="G1151" s="448"/>
      <c r="H1151" s="448"/>
      <c r="I1151" s="448" t="s">
        <v>1923</v>
      </c>
    </row>
    <row r="1152" spans="1:9" ht="27" x14ac:dyDescent="0.3">
      <c r="A1152" s="443" t="s">
        <v>4259</v>
      </c>
      <c r="B1152" s="445" t="s">
        <v>4008</v>
      </c>
      <c r="C1152" s="444" t="s">
        <v>149</v>
      </c>
      <c r="D1152" s="444" t="s">
        <v>986</v>
      </c>
      <c r="E1152" s="446" t="s">
        <v>4260</v>
      </c>
      <c r="F1152" s="447" t="s">
        <v>1890</v>
      </c>
      <c r="G1152" s="448"/>
      <c r="H1152" s="448"/>
      <c r="I1152" s="448" t="s">
        <v>1893</v>
      </c>
    </row>
    <row r="1153" spans="1:9" ht="27" x14ac:dyDescent="0.3">
      <c r="A1153" s="443" t="s">
        <v>4261</v>
      </c>
      <c r="B1153" s="445" t="s">
        <v>4008</v>
      </c>
      <c r="C1153" s="444" t="s">
        <v>4262</v>
      </c>
      <c r="D1153" s="444" t="s">
        <v>211</v>
      </c>
      <c r="E1153" s="446" t="s">
        <v>4263</v>
      </c>
      <c r="F1153" s="447" t="s">
        <v>1890</v>
      </c>
      <c r="G1153" s="448"/>
      <c r="H1153" s="448"/>
      <c r="I1153" s="448" t="s">
        <v>1893</v>
      </c>
    </row>
    <row r="1154" spans="1:9" ht="27" x14ac:dyDescent="0.3">
      <c r="A1154" s="443" t="s">
        <v>4264</v>
      </c>
      <c r="B1154" s="445" t="s">
        <v>4008</v>
      </c>
      <c r="C1154" s="444" t="s">
        <v>4262</v>
      </c>
      <c r="D1154" s="444" t="s">
        <v>283</v>
      </c>
      <c r="E1154" s="446" t="s">
        <v>4265</v>
      </c>
      <c r="F1154" s="447" t="s">
        <v>1890</v>
      </c>
      <c r="G1154" s="448"/>
      <c r="H1154" s="448"/>
      <c r="I1154" s="448" t="s">
        <v>3366</v>
      </c>
    </row>
    <row r="1155" spans="1:9" ht="27" x14ac:dyDescent="0.3">
      <c r="A1155" s="443" t="s">
        <v>4266</v>
      </c>
      <c r="B1155" s="445" t="s">
        <v>4008</v>
      </c>
      <c r="C1155" s="444" t="s">
        <v>4262</v>
      </c>
      <c r="D1155" s="444" t="s">
        <v>427</v>
      </c>
      <c r="E1155" s="446" t="s">
        <v>4267</v>
      </c>
      <c r="F1155" s="447" t="s">
        <v>1890</v>
      </c>
      <c r="G1155" s="448"/>
      <c r="H1155" s="448"/>
      <c r="I1155" s="448" t="s">
        <v>1927</v>
      </c>
    </row>
    <row r="1156" spans="1:9" ht="27" x14ac:dyDescent="0.3">
      <c r="A1156" s="443" t="s">
        <v>4268</v>
      </c>
      <c r="B1156" s="445" t="s">
        <v>4008</v>
      </c>
      <c r="C1156" s="444" t="s">
        <v>4262</v>
      </c>
      <c r="D1156" s="444" t="s">
        <v>502</v>
      </c>
      <c r="E1156" s="446" t="s">
        <v>4269</v>
      </c>
      <c r="F1156" s="447" t="s">
        <v>1890</v>
      </c>
      <c r="G1156" s="448"/>
      <c r="H1156" s="448"/>
      <c r="I1156" s="448" t="s">
        <v>1893</v>
      </c>
    </row>
    <row r="1157" spans="1:9" ht="27" x14ac:dyDescent="0.3">
      <c r="A1157" s="443" t="s">
        <v>4270</v>
      </c>
      <c r="B1157" s="445" t="s">
        <v>4008</v>
      </c>
      <c r="C1157" s="444" t="s">
        <v>4262</v>
      </c>
      <c r="D1157" s="444" t="s">
        <v>572</v>
      </c>
      <c r="E1157" s="446" t="s">
        <v>4271</v>
      </c>
      <c r="F1157" s="447" t="s">
        <v>1890</v>
      </c>
      <c r="G1157" s="448"/>
      <c r="H1157" s="448"/>
      <c r="I1157" s="448" t="s">
        <v>1893</v>
      </c>
    </row>
    <row r="1158" spans="1:9" ht="27" x14ac:dyDescent="0.3">
      <c r="A1158" s="443" t="s">
        <v>4272</v>
      </c>
      <c r="B1158" s="445" t="s">
        <v>4008</v>
      </c>
      <c r="C1158" s="444" t="s">
        <v>4262</v>
      </c>
      <c r="D1158" s="444" t="s">
        <v>638</v>
      </c>
      <c r="E1158" s="446" t="s">
        <v>4273</v>
      </c>
      <c r="F1158" s="447" t="s">
        <v>1890</v>
      </c>
      <c r="G1158" s="448"/>
      <c r="H1158" s="448"/>
      <c r="I1158" s="448" t="s">
        <v>3366</v>
      </c>
    </row>
    <row r="1159" spans="1:9" ht="27" x14ac:dyDescent="0.3">
      <c r="A1159" s="443" t="s">
        <v>4274</v>
      </c>
      <c r="B1159" s="445" t="s">
        <v>4008</v>
      </c>
      <c r="C1159" s="444" t="s">
        <v>4262</v>
      </c>
      <c r="D1159" s="444" t="s">
        <v>4275</v>
      </c>
      <c r="E1159" s="446" t="s">
        <v>4276</v>
      </c>
      <c r="F1159" s="447" t="s">
        <v>1854</v>
      </c>
      <c r="G1159" s="448"/>
      <c r="H1159" s="448" t="s">
        <v>1961</v>
      </c>
      <c r="I1159" s="448" t="s">
        <v>1923</v>
      </c>
    </row>
    <row r="1160" spans="1:9" ht="27" x14ac:dyDescent="0.3">
      <c r="A1160" s="443" t="s">
        <v>4277</v>
      </c>
      <c r="B1160" s="445" t="s">
        <v>4008</v>
      </c>
      <c r="C1160" s="444" t="s">
        <v>4262</v>
      </c>
      <c r="D1160" s="444" t="s">
        <v>769</v>
      </c>
      <c r="E1160" s="446" t="s">
        <v>4278</v>
      </c>
      <c r="F1160" s="447" t="s">
        <v>1890</v>
      </c>
      <c r="G1160" s="448"/>
      <c r="H1160" s="448"/>
      <c r="I1160" s="448" t="s">
        <v>1923</v>
      </c>
    </row>
    <row r="1161" spans="1:9" ht="27" x14ac:dyDescent="0.3">
      <c r="A1161" s="443" t="s">
        <v>4279</v>
      </c>
      <c r="B1161" s="445" t="s">
        <v>4008</v>
      </c>
      <c r="C1161" s="444" t="s">
        <v>4262</v>
      </c>
      <c r="D1161" s="444" t="s">
        <v>828</v>
      </c>
      <c r="E1161" s="446" t="s">
        <v>4280</v>
      </c>
      <c r="F1161" s="447" t="s">
        <v>1890</v>
      </c>
      <c r="G1161" s="448"/>
      <c r="H1161" s="448"/>
      <c r="I1161" s="448" t="s">
        <v>3366</v>
      </c>
    </row>
    <row r="1162" spans="1:9" ht="27" x14ac:dyDescent="0.3">
      <c r="A1162" s="443" t="s">
        <v>4281</v>
      </c>
      <c r="B1162" s="445" t="s">
        <v>4008</v>
      </c>
      <c r="C1162" s="444" t="s">
        <v>4262</v>
      </c>
      <c r="D1162" s="444" t="s">
        <v>3023</v>
      </c>
      <c r="E1162" s="446" t="s">
        <v>4282</v>
      </c>
      <c r="F1162" s="447" t="s">
        <v>1890</v>
      </c>
      <c r="G1162" s="448"/>
      <c r="H1162" s="448"/>
      <c r="I1162" s="448" t="s">
        <v>3400</v>
      </c>
    </row>
    <row r="1163" spans="1:9" ht="27" x14ac:dyDescent="0.3">
      <c r="A1163" s="443" t="s">
        <v>4283</v>
      </c>
      <c r="B1163" s="445" t="s">
        <v>4008</v>
      </c>
      <c r="C1163" s="444" t="s">
        <v>4262</v>
      </c>
      <c r="D1163" s="444" t="s">
        <v>940</v>
      </c>
      <c r="E1163" s="446" t="s">
        <v>4284</v>
      </c>
      <c r="F1163" s="447" t="s">
        <v>1890</v>
      </c>
      <c r="G1163" s="448"/>
      <c r="H1163" s="448"/>
      <c r="I1163" s="448" t="s">
        <v>3400</v>
      </c>
    </row>
    <row r="1164" spans="1:9" ht="27" x14ac:dyDescent="0.3">
      <c r="A1164" s="443" t="s">
        <v>4285</v>
      </c>
      <c r="B1164" s="445" t="s">
        <v>4008</v>
      </c>
      <c r="C1164" s="444" t="s">
        <v>4262</v>
      </c>
      <c r="D1164" s="444" t="s">
        <v>4286</v>
      </c>
      <c r="E1164" s="446" t="s">
        <v>4287</v>
      </c>
      <c r="F1164" s="447" t="s">
        <v>1890</v>
      </c>
      <c r="G1164" s="448"/>
      <c r="H1164" s="448"/>
      <c r="I1164" s="448" t="s">
        <v>1923</v>
      </c>
    </row>
    <row r="1165" spans="1:9" ht="27" x14ac:dyDescent="0.3">
      <c r="A1165" s="443" t="s">
        <v>4288</v>
      </c>
      <c r="B1165" s="445" t="s">
        <v>4008</v>
      </c>
      <c r="C1165" s="444" t="s">
        <v>4262</v>
      </c>
      <c r="D1165" s="444" t="s">
        <v>3051</v>
      </c>
      <c r="E1165" s="446" t="s">
        <v>4289</v>
      </c>
      <c r="F1165" s="447" t="s">
        <v>1890</v>
      </c>
      <c r="G1165" s="448"/>
      <c r="H1165" s="448"/>
      <c r="I1165" s="448" t="s">
        <v>1893</v>
      </c>
    </row>
    <row r="1166" spans="1:9" ht="27" x14ac:dyDescent="0.3">
      <c r="A1166" s="443" t="s">
        <v>4290</v>
      </c>
      <c r="B1166" s="445" t="s">
        <v>4008</v>
      </c>
      <c r="C1166" s="444" t="s">
        <v>4262</v>
      </c>
      <c r="D1166" s="444" t="s">
        <v>1842</v>
      </c>
      <c r="E1166" s="446" t="s">
        <v>4291</v>
      </c>
      <c r="F1166" s="447" t="s">
        <v>1890</v>
      </c>
      <c r="G1166" s="448" t="s">
        <v>4292</v>
      </c>
      <c r="H1166" s="448"/>
      <c r="I1166" s="448" t="s">
        <v>1893</v>
      </c>
    </row>
    <row r="1167" spans="1:9" ht="27" x14ac:dyDescent="0.3">
      <c r="A1167" s="443" t="s">
        <v>4293</v>
      </c>
      <c r="B1167" s="445" t="s">
        <v>4008</v>
      </c>
      <c r="C1167" s="444" t="s">
        <v>4262</v>
      </c>
      <c r="D1167" s="444" t="s">
        <v>4294</v>
      </c>
      <c r="E1167" s="446" t="s">
        <v>4295</v>
      </c>
      <c r="F1167" s="447" t="s">
        <v>1890</v>
      </c>
      <c r="G1167" s="448"/>
      <c r="H1167" s="448"/>
      <c r="I1167" s="448" t="s">
        <v>1893</v>
      </c>
    </row>
    <row r="1168" spans="1:9" ht="27" x14ac:dyDescent="0.3">
      <c r="A1168" s="443" t="s">
        <v>4296</v>
      </c>
      <c r="B1168" s="445" t="s">
        <v>4008</v>
      </c>
      <c r="C1168" s="444" t="s">
        <v>4262</v>
      </c>
      <c r="D1168" s="444" t="s">
        <v>1153</v>
      </c>
      <c r="E1168" s="446" t="s">
        <v>4297</v>
      </c>
      <c r="F1168" s="447" t="s">
        <v>1890</v>
      </c>
      <c r="G1168" s="448"/>
      <c r="H1168" s="448"/>
      <c r="I1168" s="448" t="s">
        <v>1923</v>
      </c>
    </row>
    <row r="1169" spans="1:9" ht="27" x14ac:dyDescent="0.3">
      <c r="A1169" s="443" t="s">
        <v>4298</v>
      </c>
      <c r="B1169" s="445" t="s">
        <v>4008</v>
      </c>
      <c r="C1169" s="444" t="s">
        <v>4262</v>
      </c>
      <c r="D1169" s="444" t="s">
        <v>1183</v>
      </c>
      <c r="E1169" s="446" t="s">
        <v>4299</v>
      </c>
      <c r="F1169" s="447" t="s">
        <v>1890</v>
      </c>
      <c r="G1169" s="448"/>
      <c r="H1169" s="448"/>
      <c r="I1169" s="448" t="s">
        <v>1874</v>
      </c>
    </row>
    <row r="1170" spans="1:9" ht="27" x14ac:dyDescent="0.3">
      <c r="A1170" s="443" t="s">
        <v>4300</v>
      </c>
      <c r="B1170" s="445" t="s">
        <v>4008</v>
      </c>
      <c r="C1170" s="444" t="s">
        <v>4262</v>
      </c>
      <c r="D1170" s="444" t="s">
        <v>4301</v>
      </c>
      <c r="E1170" s="446" t="s">
        <v>4302</v>
      </c>
      <c r="F1170" s="447" t="s">
        <v>1890</v>
      </c>
      <c r="G1170" s="448"/>
      <c r="H1170" s="448"/>
      <c r="I1170" s="448" t="s">
        <v>1893</v>
      </c>
    </row>
    <row r="1171" spans="1:9" ht="27" x14ac:dyDescent="0.3">
      <c r="A1171" s="443" t="s">
        <v>4303</v>
      </c>
      <c r="B1171" s="445" t="s">
        <v>4008</v>
      </c>
      <c r="C1171" s="444" t="s">
        <v>4262</v>
      </c>
      <c r="D1171" s="444" t="s">
        <v>704</v>
      </c>
      <c r="E1171" s="446" t="s">
        <v>4304</v>
      </c>
      <c r="F1171" s="447" t="s">
        <v>1890</v>
      </c>
      <c r="G1171" s="448"/>
      <c r="H1171" s="448"/>
      <c r="I1171" s="448" t="s">
        <v>4146</v>
      </c>
    </row>
    <row r="1172" spans="1:9" ht="27" x14ac:dyDescent="0.3">
      <c r="A1172" s="443" t="s">
        <v>4305</v>
      </c>
      <c r="B1172" s="445" t="s">
        <v>4008</v>
      </c>
      <c r="C1172" s="444" t="s">
        <v>88</v>
      </c>
      <c r="D1172" s="444" t="s">
        <v>212</v>
      </c>
      <c r="E1172" s="446" t="s">
        <v>4306</v>
      </c>
      <c r="F1172" s="447" t="s">
        <v>1890</v>
      </c>
      <c r="G1172" s="448"/>
      <c r="H1172" s="448"/>
      <c r="I1172" s="448" t="s">
        <v>1893</v>
      </c>
    </row>
    <row r="1173" spans="1:9" ht="27" x14ac:dyDescent="0.3">
      <c r="A1173" s="443" t="s">
        <v>4307</v>
      </c>
      <c r="B1173" s="445" t="s">
        <v>4008</v>
      </c>
      <c r="C1173" s="444" t="s">
        <v>88</v>
      </c>
      <c r="D1173" s="444" t="s">
        <v>88</v>
      </c>
      <c r="E1173" s="446" t="s">
        <v>4308</v>
      </c>
      <c r="F1173" s="447" t="s">
        <v>1890</v>
      </c>
      <c r="G1173" s="448"/>
      <c r="H1173" s="448"/>
      <c r="I1173" s="448" t="s">
        <v>1893</v>
      </c>
    </row>
    <row r="1174" spans="1:9" ht="27" x14ac:dyDescent="0.3">
      <c r="A1174" s="443" t="s">
        <v>4309</v>
      </c>
      <c r="B1174" s="445" t="s">
        <v>4008</v>
      </c>
      <c r="C1174" s="444" t="s">
        <v>88</v>
      </c>
      <c r="D1174" s="444" t="s">
        <v>357</v>
      </c>
      <c r="E1174" s="446" t="s">
        <v>4310</v>
      </c>
      <c r="F1174" s="447" t="s">
        <v>1890</v>
      </c>
      <c r="G1174" s="448"/>
      <c r="H1174" s="448"/>
      <c r="I1174" s="448" t="s">
        <v>1893</v>
      </c>
    </row>
    <row r="1175" spans="1:9" ht="27" x14ac:dyDescent="0.3">
      <c r="A1175" s="443" t="s">
        <v>4311</v>
      </c>
      <c r="B1175" s="445" t="s">
        <v>4008</v>
      </c>
      <c r="C1175" s="444" t="s">
        <v>88</v>
      </c>
      <c r="D1175" s="444" t="s">
        <v>428</v>
      </c>
      <c r="E1175" s="446" t="s">
        <v>4312</v>
      </c>
      <c r="F1175" s="447" t="s">
        <v>1890</v>
      </c>
      <c r="G1175" s="448"/>
      <c r="H1175" s="448"/>
      <c r="I1175" s="448" t="s">
        <v>3400</v>
      </c>
    </row>
    <row r="1176" spans="1:9" ht="27" x14ac:dyDescent="0.3">
      <c r="A1176" s="443" t="s">
        <v>4313</v>
      </c>
      <c r="B1176" s="445" t="s">
        <v>4008</v>
      </c>
      <c r="C1176" s="444" t="s">
        <v>88</v>
      </c>
      <c r="D1176" s="444" t="s">
        <v>503</v>
      </c>
      <c r="E1176" s="446" t="s">
        <v>4314</v>
      </c>
      <c r="F1176" s="447" t="s">
        <v>1890</v>
      </c>
      <c r="G1176" s="448"/>
      <c r="H1176" s="448"/>
      <c r="I1176" s="448" t="s">
        <v>1893</v>
      </c>
    </row>
    <row r="1177" spans="1:9" ht="27" x14ac:dyDescent="0.3">
      <c r="A1177" s="443" t="s">
        <v>4315</v>
      </c>
      <c r="B1177" s="445" t="s">
        <v>4008</v>
      </c>
      <c r="C1177" s="444" t="s">
        <v>88</v>
      </c>
      <c r="D1177" s="444" t="s">
        <v>573</v>
      </c>
      <c r="E1177" s="446" t="s">
        <v>4316</v>
      </c>
      <c r="F1177" s="447" t="s">
        <v>1890</v>
      </c>
      <c r="G1177" s="448"/>
      <c r="H1177" s="448"/>
      <c r="I1177" s="448" t="s">
        <v>3400</v>
      </c>
    </row>
    <row r="1178" spans="1:9" ht="27" x14ac:dyDescent="0.3">
      <c r="A1178" s="443" t="s">
        <v>4317</v>
      </c>
      <c r="B1178" s="445" t="s">
        <v>4008</v>
      </c>
      <c r="C1178" s="444" t="s">
        <v>88</v>
      </c>
      <c r="D1178" s="444" t="s">
        <v>639</v>
      </c>
      <c r="E1178" s="446" t="s">
        <v>4318</v>
      </c>
      <c r="F1178" s="447" t="s">
        <v>1890</v>
      </c>
      <c r="G1178" s="448"/>
      <c r="H1178" s="448"/>
      <c r="I1178" s="448" t="s">
        <v>1893</v>
      </c>
    </row>
    <row r="1179" spans="1:9" ht="27" x14ac:dyDescent="0.3">
      <c r="A1179" s="443" t="s">
        <v>4319</v>
      </c>
      <c r="B1179" s="445" t="s">
        <v>4008</v>
      </c>
      <c r="C1179" s="444" t="s">
        <v>88</v>
      </c>
      <c r="D1179" s="444" t="s">
        <v>705</v>
      </c>
      <c r="E1179" s="446" t="s">
        <v>4320</v>
      </c>
      <c r="F1179" s="447" t="s">
        <v>1890</v>
      </c>
      <c r="G1179" s="448"/>
      <c r="H1179" s="448"/>
      <c r="I1179" s="448" t="s">
        <v>1874</v>
      </c>
    </row>
    <row r="1180" spans="1:9" ht="27" x14ac:dyDescent="0.3">
      <c r="A1180" s="443" t="s">
        <v>4321</v>
      </c>
      <c r="B1180" s="445" t="s">
        <v>4008</v>
      </c>
      <c r="C1180" s="445" t="s">
        <v>121</v>
      </c>
      <c r="D1180" s="444" t="s">
        <v>4322</v>
      </c>
      <c r="E1180" s="446" t="s">
        <v>4323</v>
      </c>
      <c r="F1180" s="447" t="s">
        <v>1854</v>
      </c>
      <c r="G1180" s="448"/>
      <c r="H1180" s="448" t="s">
        <v>1855</v>
      </c>
      <c r="I1180" s="448" t="s">
        <v>1856</v>
      </c>
    </row>
    <row r="1181" spans="1:9" ht="27" x14ac:dyDescent="0.3">
      <c r="A1181" s="443" t="s">
        <v>4324</v>
      </c>
      <c r="B1181" s="445" t="s">
        <v>4325</v>
      </c>
      <c r="C1181" s="444" t="s">
        <v>4326</v>
      </c>
      <c r="D1181" s="444" t="s">
        <v>4327</v>
      </c>
      <c r="E1181" s="446" t="s">
        <v>4328</v>
      </c>
      <c r="F1181" s="447" t="s">
        <v>1854</v>
      </c>
      <c r="G1181" s="448"/>
      <c r="H1181" s="448" t="s">
        <v>1961</v>
      </c>
      <c r="I1181" s="448" t="s">
        <v>1927</v>
      </c>
    </row>
    <row r="1182" spans="1:9" ht="27" x14ac:dyDescent="0.3">
      <c r="A1182" s="443" t="s">
        <v>4329</v>
      </c>
      <c r="B1182" s="445" t="s">
        <v>4325</v>
      </c>
      <c r="C1182" s="444" t="s">
        <v>4326</v>
      </c>
      <c r="D1182" s="444" t="s">
        <v>4330</v>
      </c>
      <c r="E1182" s="446" t="s">
        <v>4331</v>
      </c>
      <c r="F1182" s="447" t="s">
        <v>1854</v>
      </c>
      <c r="G1182" s="448"/>
      <c r="H1182" s="448" t="s">
        <v>1961</v>
      </c>
      <c r="I1182" s="448" t="s">
        <v>1927</v>
      </c>
    </row>
    <row r="1183" spans="1:9" ht="27" x14ac:dyDescent="0.3">
      <c r="A1183" s="443" t="s">
        <v>4332</v>
      </c>
      <c r="B1183" s="445" t="s">
        <v>4325</v>
      </c>
      <c r="C1183" s="444" t="s">
        <v>4326</v>
      </c>
      <c r="D1183" s="444" t="s">
        <v>706</v>
      </c>
      <c r="E1183" s="446" t="s">
        <v>4333</v>
      </c>
      <c r="F1183" s="447" t="s">
        <v>1890</v>
      </c>
      <c r="G1183" s="448"/>
      <c r="H1183" s="448"/>
      <c r="I1183" s="448" t="s">
        <v>1874</v>
      </c>
    </row>
    <row r="1184" spans="1:9" ht="27" x14ac:dyDescent="0.3">
      <c r="A1184" s="443" t="s">
        <v>4334</v>
      </c>
      <c r="B1184" s="445" t="s">
        <v>4325</v>
      </c>
      <c r="C1184" s="444" t="s">
        <v>4326</v>
      </c>
      <c r="D1184" s="444" t="s">
        <v>1824</v>
      </c>
      <c r="E1184" s="446" t="s">
        <v>4335</v>
      </c>
      <c r="F1184" s="447" t="s">
        <v>1890</v>
      </c>
      <c r="G1184" s="448"/>
      <c r="H1184" s="448"/>
      <c r="I1184" s="448" t="s">
        <v>1893</v>
      </c>
    </row>
    <row r="1185" spans="1:9" ht="27" x14ac:dyDescent="0.3">
      <c r="A1185" s="443" t="s">
        <v>4336</v>
      </c>
      <c r="B1185" s="445" t="s">
        <v>4325</v>
      </c>
      <c r="C1185" s="444" t="s">
        <v>4326</v>
      </c>
      <c r="D1185" s="444" t="s">
        <v>829</v>
      </c>
      <c r="E1185" s="446" t="s">
        <v>4337</v>
      </c>
      <c r="F1185" s="447" t="s">
        <v>1890</v>
      </c>
      <c r="G1185" s="448"/>
      <c r="H1185" s="448"/>
      <c r="I1185" s="448" t="s">
        <v>1927</v>
      </c>
    </row>
    <row r="1186" spans="1:9" ht="27" x14ac:dyDescent="0.3">
      <c r="A1186" s="443" t="s">
        <v>4338</v>
      </c>
      <c r="B1186" s="445" t="s">
        <v>4325</v>
      </c>
      <c r="C1186" s="444" t="s">
        <v>4326</v>
      </c>
      <c r="D1186" s="444" t="s">
        <v>941</v>
      </c>
      <c r="E1186" s="446" t="s">
        <v>4339</v>
      </c>
      <c r="F1186" s="447" t="s">
        <v>1890</v>
      </c>
      <c r="G1186" s="448"/>
      <c r="H1186" s="448"/>
      <c r="I1186" s="448" t="s">
        <v>1927</v>
      </c>
    </row>
    <row r="1187" spans="1:9" ht="27" x14ac:dyDescent="0.3">
      <c r="A1187" s="443" t="s">
        <v>4340</v>
      </c>
      <c r="B1187" s="445" t="s">
        <v>4325</v>
      </c>
      <c r="C1187" s="444" t="s">
        <v>4326</v>
      </c>
      <c r="D1187" s="444" t="s">
        <v>988</v>
      </c>
      <c r="E1187" s="446" t="s">
        <v>4341</v>
      </c>
      <c r="F1187" s="447" t="s">
        <v>1890</v>
      </c>
      <c r="G1187" s="448"/>
      <c r="H1187" s="448"/>
      <c r="I1187" s="448" t="s">
        <v>1927</v>
      </c>
    </row>
    <row r="1188" spans="1:9" ht="27" x14ac:dyDescent="0.3">
      <c r="A1188" s="443" t="s">
        <v>4342</v>
      </c>
      <c r="B1188" s="445" t="s">
        <v>4325</v>
      </c>
      <c r="C1188" s="444" t="s">
        <v>4326</v>
      </c>
      <c r="D1188" s="444" t="s">
        <v>1037</v>
      </c>
      <c r="E1188" s="446" t="s">
        <v>4343</v>
      </c>
      <c r="F1188" s="447" t="s">
        <v>1890</v>
      </c>
      <c r="G1188" s="448"/>
      <c r="H1188" s="448"/>
      <c r="I1188" s="448" t="s">
        <v>1893</v>
      </c>
    </row>
    <row r="1189" spans="1:9" ht="28.8" x14ac:dyDescent="0.3">
      <c r="A1189" s="443" t="s">
        <v>4344</v>
      </c>
      <c r="B1189" s="445" t="s">
        <v>4325</v>
      </c>
      <c r="C1189" s="444" t="s">
        <v>4326</v>
      </c>
      <c r="D1189" s="444" t="s">
        <v>1081</v>
      </c>
      <c r="E1189" s="446" t="s">
        <v>4345</v>
      </c>
      <c r="F1189" s="447" t="s">
        <v>1890</v>
      </c>
      <c r="G1189" s="448" t="s">
        <v>4346</v>
      </c>
      <c r="H1189" s="448"/>
      <c r="I1189" s="448" t="s">
        <v>1923</v>
      </c>
    </row>
    <row r="1190" spans="1:9" ht="27" x14ac:dyDescent="0.3">
      <c r="A1190" s="443" t="s">
        <v>4347</v>
      </c>
      <c r="B1190" s="445" t="s">
        <v>4325</v>
      </c>
      <c r="C1190" s="444" t="s">
        <v>4326</v>
      </c>
      <c r="D1190" s="444" t="s">
        <v>1117</v>
      </c>
      <c r="E1190" s="446" t="s">
        <v>4348</v>
      </c>
      <c r="F1190" s="447" t="s">
        <v>1890</v>
      </c>
      <c r="G1190" s="448"/>
      <c r="H1190" s="448"/>
      <c r="I1190" s="448" t="s">
        <v>1927</v>
      </c>
    </row>
    <row r="1191" spans="1:9" ht="27" x14ac:dyDescent="0.3">
      <c r="A1191" s="443" t="s">
        <v>4349</v>
      </c>
      <c r="B1191" s="445" t="s">
        <v>4325</v>
      </c>
      <c r="C1191" s="444" t="s">
        <v>4326</v>
      </c>
      <c r="D1191" s="444" t="s">
        <v>4350</v>
      </c>
      <c r="E1191" s="446" t="s">
        <v>4351</v>
      </c>
      <c r="F1191" s="447" t="s">
        <v>1890</v>
      </c>
      <c r="G1191" s="448"/>
      <c r="H1191" s="448"/>
      <c r="I1191" s="448" t="s">
        <v>1874</v>
      </c>
    </row>
    <row r="1192" spans="1:9" ht="27" x14ac:dyDescent="0.3">
      <c r="A1192" s="443" t="s">
        <v>4352</v>
      </c>
      <c r="B1192" s="445" t="s">
        <v>4325</v>
      </c>
      <c r="C1192" s="444" t="s">
        <v>4326</v>
      </c>
      <c r="D1192" s="444" t="s">
        <v>145</v>
      </c>
      <c r="E1192" s="446" t="s">
        <v>4353</v>
      </c>
      <c r="F1192" s="447" t="s">
        <v>1890</v>
      </c>
      <c r="G1192" s="448"/>
      <c r="H1192" s="448"/>
      <c r="I1192" s="448" t="s">
        <v>1893</v>
      </c>
    </row>
    <row r="1193" spans="1:9" ht="27" x14ac:dyDescent="0.3">
      <c r="A1193" s="443" t="s">
        <v>4354</v>
      </c>
      <c r="B1193" s="445" t="s">
        <v>4325</v>
      </c>
      <c r="C1193" s="444" t="s">
        <v>4326</v>
      </c>
      <c r="D1193" s="444" t="s">
        <v>1214</v>
      </c>
      <c r="E1193" s="446" t="s">
        <v>4355</v>
      </c>
      <c r="F1193" s="447" t="s">
        <v>1890</v>
      </c>
      <c r="G1193" s="448"/>
      <c r="H1193" s="448"/>
      <c r="I1193" s="448" t="s">
        <v>1927</v>
      </c>
    </row>
    <row r="1194" spans="1:9" ht="27" x14ac:dyDescent="0.3">
      <c r="A1194" s="443" t="s">
        <v>4356</v>
      </c>
      <c r="B1194" s="445" t="s">
        <v>4325</v>
      </c>
      <c r="C1194" s="444" t="s">
        <v>4326</v>
      </c>
      <c r="D1194" s="444" t="s">
        <v>4357</v>
      </c>
      <c r="E1194" s="446" t="s">
        <v>4358</v>
      </c>
      <c r="F1194" s="447" t="s">
        <v>1890</v>
      </c>
      <c r="G1194" s="448"/>
      <c r="H1194" s="448"/>
      <c r="I1194" s="448" t="s">
        <v>1874</v>
      </c>
    </row>
    <row r="1195" spans="1:9" ht="27" x14ac:dyDescent="0.3">
      <c r="A1195" s="443" t="s">
        <v>4359</v>
      </c>
      <c r="B1195" s="445" t="s">
        <v>4325</v>
      </c>
      <c r="C1195" s="444" t="s">
        <v>4326</v>
      </c>
      <c r="D1195" s="444" t="s">
        <v>1262</v>
      </c>
      <c r="E1195" s="446" t="s">
        <v>4360</v>
      </c>
      <c r="F1195" s="447" t="s">
        <v>1890</v>
      </c>
      <c r="G1195" s="448"/>
      <c r="H1195" s="448"/>
      <c r="I1195" s="448" t="s">
        <v>1874</v>
      </c>
    </row>
    <row r="1196" spans="1:9" ht="27" x14ac:dyDescent="0.3">
      <c r="A1196" s="443" t="s">
        <v>4361</v>
      </c>
      <c r="B1196" s="445" t="s">
        <v>4325</v>
      </c>
      <c r="C1196" s="444" t="s">
        <v>4326</v>
      </c>
      <c r="D1196" s="444" t="s">
        <v>1283</v>
      </c>
      <c r="E1196" s="446" t="s">
        <v>4362</v>
      </c>
      <c r="F1196" s="447" t="s">
        <v>1890</v>
      </c>
      <c r="G1196" s="448"/>
      <c r="H1196" s="448"/>
      <c r="I1196" s="448" t="s">
        <v>1856</v>
      </c>
    </row>
    <row r="1197" spans="1:9" ht="27" x14ac:dyDescent="0.3">
      <c r="A1197" s="443" t="s">
        <v>4363</v>
      </c>
      <c r="B1197" s="445" t="s">
        <v>4325</v>
      </c>
      <c r="C1197" s="444" t="s">
        <v>4326</v>
      </c>
      <c r="D1197" s="444" t="s">
        <v>1304</v>
      </c>
      <c r="E1197" s="446" t="s">
        <v>4364</v>
      </c>
      <c r="F1197" s="447" t="s">
        <v>1890</v>
      </c>
      <c r="G1197" s="448"/>
      <c r="H1197" s="448"/>
      <c r="I1197" s="448" t="s">
        <v>1893</v>
      </c>
    </row>
    <row r="1198" spans="1:9" ht="27" x14ac:dyDescent="0.3">
      <c r="A1198" s="443" t="s">
        <v>4365</v>
      </c>
      <c r="B1198" s="445" t="s">
        <v>4325</v>
      </c>
      <c r="C1198" s="444" t="s">
        <v>4326</v>
      </c>
      <c r="D1198" s="444" t="s">
        <v>1319</v>
      </c>
      <c r="E1198" s="446" t="s">
        <v>4366</v>
      </c>
      <c r="F1198" s="447" t="s">
        <v>1890</v>
      </c>
      <c r="G1198" s="448"/>
      <c r="H1198" s="448"/>
      <c r="I1198" s="448" t="s">
        <v>1856</v>
      </c>
    </row>
    <row r="1199" spans="1:9" ht="27" x14ac:dyDescent="0.3">
      <c r="A1199" s="443" t="s">
        <v>4367</v>
      </c>
      <c r="B1199" s="445" t="s">
        <v>4325</v>
      </c>
      <c r="C1199" s="444" t="s">
        <v>4326</v>
      </c>
      <c r="D1199" s="444" t="s">
        <v>1337</v>
      </c>
      <c r="E1199" s="446" t="s">
        <v>4368</v>
      </c>
      <c r="F1199" s="447" t="s">
        <v>1890</v>
      </c>
      <c r="G1199" s="448"/>
      <c r="H1199" s="448"/>
      <c r="I1199" s="448" t="s">
        <v>1856</v>
      </c>
    </row>
    <row r="1200" spans="1:9" ht="27" x14ac:dyDescent="0.3">
      <c r="A1200" s="443" t="s">
        <v>4369</v>
      </c>
      <c r="B1200" s="445" t="s">
        <v>4325</v>
      </c>
      <c r="C1200" s="444" t="s">
        <v>4326</v>
      </c>
      <c r="D1200" s="444" t="s">
        <v>1350</v>
      </c>
      <c r="E1200" s="446" t="s">
        <v>4370</v>
      </c>
      <c r="F1200" s="447" t="s">
        <v>1890</v>
      </c>
      <c r="G1200" s="448"/>
      <c r="H1200" s="448"/>
      <c r="I1200" s="448" t="s">
        <v>1923</v>
      </c>
    </row>
    <row r="1201" spans="1:9" ht="27" x14ac:dyDescent="0.3">
      <c r="A1201" s="443" t="s">
        <v>4371</v>
      </c>
      <c r="B1201" s="445" t="s">
        <v>4325</v>
      </c>
      <c r="C1201" s="444" t="s">
        <v>4326</v>
      </c>
      <c r="D1201" s="444" t="s">
        <v>1363</v>
      </c>
      <c r="E1201" s="446" t="s">
        <v>4372</v>
      </c>
      <c r="F1201" s="447" t="s">
        <v>1890</v>
      </c>
      <c r="G1201" s="448"/>
      <c r="H1201" s="448"/>
      <c r="I1201" s="448" t="s">
        <v>1923</v>
      </c>
    </row>
    <row r="1202" spans="1:9" ht="27" x14ac:dyDescent="0.3">
      <c r="A1202" s="443" t="s">
        <v>4373</v>
      </c>
      <c r="B1202" s="445" t="s">
        <v>4325</v>
      </c>
      <c r="C1202" s="444" t="s">
        <v>4326</v>
      </c>
      <c r="D1202" s="444" t="s">
        <v>4374</v>
      </c>
      <c r="E1202" s="446" t="s">
        <v>4375</v>
      </c>
      <c r="F1202" s="447" t="s">
        <v>1890</v>
      </c>
      <c r="G1202" s="448" t="s">
        <v>4376</v>
      </c>
      <c r="H1202" s="448"/>
      <c r="I1202" s="448" t="s">
        <v>1923</v>
      </c>
    </row>
    <row r="1203" spans="1:9" ht="27" x14ac:dyDescent="0.3">
      <c r="A1203" s="443" t="s">
        <v>4377</v>
      </c>
      <c r="B1203" s="445" t="s">
        <v>4325</v>
      </c>
      <c r="C1203" s="444" t="s">
        <v>4326</v>
      </c>
      <c r="D1203" s="444" t="s">
        <v>504</v>
      </c>
      <c r="E1203" s="446" t="s">
        <v>4378</v>
      </c>
      <c r="F1203" s="447" t="s">
        <v>1890</v>
      </c>
      <c r="G1203" s="448"/>
      <c r="H1203" s="448"/>
      <c r="I1203" s="448" t="s">
        <v>1874</v>
      </c>
    </row>
    <row r="1204" spans="1:9" ht="27" x14ac:dyDescent="0.3">
      <c r="A1204" s="443" t="s">
        <v>4379</v>
      </c>
      <c r="B1204" s="445" t="s">
        <v>4325</v>
      </c>
      <c r="C1204" s="444" t="s">
        <v>4326</v>
      </c>
      <c r="D1204" s="444" t="s">
        <v>213</v>
      </c>
      <c r="E1204" s="446" t="s">
        <v>4380</v>
      </c>
      <c r="F1204" s="447" t="s">
        <v>1890</v>
      </c>
      <c r="G1204" s="448"/>
      <c r="H1204" s="448"/>
      <c r="I1204" s="448" t="s">
        <v>1927</v>
      </c>
    </row>
    <row r="1205" spans="1:9" ht="27" x14ac:dyDescent="0.3">
      <c r="A1205" s="443" t="s">
        <v>4381</v>
      </c>
      <c r="B1205" s="445" t="s">
        <v>4325</v>
      </c>
      <c r="C1205" s="444" t="s">
        <v>4326</v>
      </c>
      <c r="D1205" s="444" t="s">
        <v>429</v>
      </c>
      <c r="E1205" s="446" t="s">
        <v>4382</v>
      </c>
      <c r="F1205" s="447" t="s">
        <v>1890</v>
      </c>
      <c r="G1205" s="448"/>
      <c r="H1205" s="448"/>
      <c r="I1205" s="448" t="s">
        <v>1923</v>
      </c>
    </row>
    <row r="1206" spans="1:9" ht="28.8" x14ac:dyDescent="0.3">
      <c r="A1206" s="443" t="s">
        <v>4383</v>
      </c>
      <c r="B1206" s="445" t="s">
        <v>4325</v>
      </c>
      <c r="C1206" s="444" t="s">
        <v>4326</v>
      </c>
      <c r="D1206" s="451" t="s">
        <v>4384</v>
      </c>
      <c r="E1206" s="446" t="s">
        <v>4385</v>
      </c>
      <c r="F1206" s="447" t="s">
        <v>1890</v>
      </c>
      <c r="G1206" s="448" t="s">
        <v>4386</v>
      </c>
      <c r="H1206" s="448"/>
      <c r="I1206" s="448" t="s">
        <v>1923</v>
      </c>
    </row>
    <row r="1207" spans="1:9" ht="27" x14ac:dyDescent="0.3">
      <c r="A1207" s="443" t="s">
        <v>4387</v>
      </c>
      <c r="B1207" s="445" t="s">
        <v>4325</v>
      </c>
      <c r="C1207" s="444" t="s">
        <v>4326</v>
      </c>
      <c r="D1207" s="444" t="s">
        <v>640</v>
      </c>
      <c r="E1207" s="446" t="s">
        <v>4388</v>
      </c>
      <c r="F1207" s="447" t="s">
        <v>1890</v>
      </c>
      <c r="G1207" s="448"/>
      <c r="H1207" s="448"/>
      <c r="I1207" s="448" t="s">
        <v>1923</v>
      </c>
    </row>
    <row r="1208" spans="1:9" ht="27" x14ac:dyDescent="0.3">
      <c r="A1208" s="443" t="s">
        <v>4389</v>
      </c>
      <c r="B1208" s="445" t="s">
        <v>4325</v>
      </c>
      <c r="C1208" s="444" t="s">
        <v>4390</v>
      </c>
      <c r="D1208" s="444" t="s">
        <v>81</v>
      </c>
      <c r="E1208" s="446" t="s">
        <v>4391</v>
      </c>
      <c r="F1208" s="447" t="s">
        <v>1890</v>
      </c>
      <c r="G1208" s="448"/>
      <c r="H1208" s="448"/>
      <c r="I1208" s="448" t="s">
        <v>1874</v>
      </c>
    </row>
    <row r="1209" spans="1:9" ht="27" x14ac:dyDescent="0.3">
      <c r="A1209" s="443" t="s">
        <v>4392</v>
      </c>
      <c r="B1209" s="445" t="s">
        <v>4325</v>
      </c>
      <c r="C1209" s="444" t="s">
        <v>4390</v>
      </c>
      <c r="D1209" s="444" t="s">
        <v>285</v>
      </c>
      <c r="E1209" s="446" t="s">
        <v>4393</v>
      </c>
      <c r="F1209" s="447" t="s">
        <v>1890</v>
      </c>
      <c r="G1209" s="448"/>
      <c r="H1209" s="448"/>
      <c r="I1209" s="448" t="s">
        <v>2676</v>
      </c>
    </row>
    <row r="1210" spans="1:9" ht="27" x14ac:dyDescent="0.3">
      <c r="A1210" s="443" t="s">
        <v>4394</v>
      </c>
      <c r="B1210" s="445" t="s">
        <v>4325</v>
      </c>
      <c r="C1210" s="444" t="s">
        <v>4390</v>
      </c>
      <c r="D1210" s="444" t="s">
        <v>505</v>
      </c>
      <c r="E1210" s="446" t="s">
        <v>4395</v>
      </c>
      <c r="F1210" s="447" t="s">
        <v>1890</v>
      </c>
      <c r="G1210" s="448"/>
      <c r="H1210" s="448"/>
      <c r="I1210" s="448" t="s">
        <v>1923</v>
      </c>
    </row>
    <row r="1211" spans="1:9" ht="27" x14ac:dyDescent="0.3">
      <c r="A1211" s="443" t="s">
        <v>4396</v>
      </c>
      <c r="B1211" s="445" t="s">
        <v>4325</v>
      </c>
      <c r="C1211" s="444" t="s">
        <v>4390</v>
      </c>
      <c r="D1211" s="444" t="s">
        <v>575</v>
      </c>
      <c r="E1211" s="446" t="s">
        <v>4397</v>
      </c>
      <c r="F1211" s="447" t="s">
        <v>1890</v>
      </c>
      <c r="G1211" s="448"/>
      <c r="H1211" s="448"/>
      <c r="I1211" s="448" t="s">
        <v>1923</v>
      </c>
    </row>
    <row r="1212" spans="1:9" ht="27" x14ac:dyDescent="0.3">
      <c r="A1212" s="443" t="s">
        <v>4398</v>
      </c>
      <c r="B1212" s="445" t="s">
        <v>4325</v>
      </c>
      <c r="C1212" s="444" t="s">
        <v>4390</v>
      </c>
      <c r="D1212" s="444" t="s">
        <v>641</v>
      </c>
      <c r="E1212" s="446" t="s">
        <v>4399</v>
      </c>
      <c r="F1212" s="447" t="s">
        <v>1890</v>
      </c>
      <c r="G1212" s="448"/>
      <c r="H1212" s="448"/>
      <c r="I1212" s="448" t="s">
        <v>1923</v>
      </c>
    </row>
    <row r="1213" spans="1:9" ht="27" x14ac:dyDescent="0.3">
      <c r="A1213" s="443" t="s">
        <v>4400</v>
      </c>
      <c r="B1213" s="445" t="s">
        <v>4325</v>
      </c>
      <c r="C1213" s="444" t="s">
        <v>4390</v>
      </c>
      <c r="D1213" s="444" t="s">
        <v>707</v>
      </c>
      <c r="E1213" s="446" t="s">
        <v>4401</v>
      </c>
      <c r="F1213" s="447" t="s">
        <v>1890</v>
      </c>
      <c r="G1213" s="448"/>
      <c r="H1213" s="448"/>
      <c r="I1213" s="448" t="s">
        <v>1874</v>
      </c>
    </row>
    <row r="1214" spans="1:9" ht="27" x14ac:dyDescent="0.3">
      <c r="A1214" s="443" t="s">
        <v>4402</v>
      </c>
      <c r="B1214" s="445" t="s">
        <v>4325</v>
      </c>
      <c r="C1214" s="444" t="s">
        <v>4390</v>
      </c>
      <c r="D1214" s="444" t="s">
        <v>884</v>
      </c>
      <c r="E1214" s="446" t="s">
        <v>4403</v>
      </c>
      <c r="F1214" s="447" t="s">
        <v>1890</v>
      </c>
      <c r="G1214" s="448"/>
      <c r="H1214" s="448"/>
      <c r="I1214" s="448" t="s">
        <v>3366</v>
      </c>
    </row>
    <row r="1215" spans="1:9" ht="27" x14ac:dyDescent="0.3">
      <c r="A1215" s="443" t="s">
        <v>4404</v>
      </c>
      <c r="B1215" s="445" t="s">
        <v>4325</v>
      </c>
      <c r="C1215" s="444" t="s">
        <v>4390</v>
      </c>
      <c r="D1215" s="444" t="s">
        <v>942</v>
      </c>
      <c r="E1215" s="446" t="s">
        <v>4405</v>
      </c>
      <c r="F1215" s="447" t="s">
        <v>1890</v>
      </c>
      <c r="G1215" s="448"/>
      <c r="H1215" s="448"/>
      <c r="I1215" s="448" t="s">
        <v>1927</v>
      </c>
    </row>
    <row r="1216" spans="1:9" ht="27" x14ac:dyDescent="0.3">
      <c r="A1216" s="443" t="s">
        <v>4406</v>
      </c>
      <c r="B1216" s="445" t="s">
        <v>4325</v>
      </c>
      <c r="C1216" s="444" t="s">
        <v>4390</v>
      </c>
      <c r="D1216" s="444" t="s">
        <v>1038</v>
      </c>
      <c r="E1216" s="446" t="s">
        <v>4407</v>
      </c>
      <c r="F1216" s="447" t="s">
        <v>1890</v>
      </c>
      <c r="G1216" s="448"/>
      <c r="H1216" s="448"/>
      <c r="I1216" s="448" t="s">
        <v>1927</v>
      </c>
    </row>
    <row r="1217" spans="1:9" ht="27" x14ac:dyDescent="0.3">
      <c r="A1217" s="443" t="s">
        <v>4408</v>
      </c>
      <c r="B1217" s="445" t="s">
        <v>4325</v>
      </c>
      <c r="C1217" s="444" t="s">
        <v>4390</v>
      </c>
      <c r="D1217" s="444" t="s">
        <v>1082</v>
      </c>
      <c r="E1217" s="446" t="s">
        <v>4409</v>
      </c>
      <c r="F1217" s="447" t="s">
        <v>1890</v>
      </c>
      <c r="G1217" s="448"/>
      <c r="H1217" s="448"/>
      <c r="I1217" s="448" t="s">
        <v>2676</v>
      </c>
    </row>
    <row r="1218" spans="1:9" ht="27" x14ac:dyDescent="0.3">
      <c r="A1218" s="443" t="s">
        <v>4410</v>
      </c>
      <c r="B1218" s="445" t="s">
        <v>4325</v>
      </c>
      <c r="C1218" s="444" t="s">
        <v>4390</v>
      </c>
      <c r="D1218" s="444" t="s">
        <v>1118</v>
      </c>
      <c r="E1218" s="446" t="s">
        <v>4411</v>
      </c>
      <c r="F1218" s="447" t="s">
        <v>1890</v>
      </c>
      <c r="G1218" s="448"/>
      <c r="H1218" s="448"/>
      <c r="I1218" s="448" t="s">
        <v>1927</v>
      </c>
    </row>
    <row r="1219" spans="1:9" ht="27" x14ac:dyDescent="0.3">
      <c r="A1219" s="443" t="s">
        <v>4412</v>
      </c>
      <c r="B1219" s="445" t="s">
        <v>4325</v>
      </c>
      <c r="C1219" s="444" t="s">
        <v>4390</v>
      </c>
      <c r="D1219" s="444" t="s">
        <v>1155</v>
      </c>
      <c r="E1219" s="446" t="s">
        <v>4413</v>
      </c>
      <c r="F1219" s="447" t="s">
        <v>1890</v>
      </c>
      <c r="G1219" s="448"/>
      <c r="H1219" s="448"/>
      <c r="I1219" s="448" t="s">
        <v>3366</v>
      </c>
    </row>
    <row r="1220" spans="1:9" ht="27" x14ac:dyDescent="0.3">
      <c r="A1220" s="443" t="s">
        <v>4414</v>
      </c>
      <c r="B1220" s="445" t="s">
        <v>4325</v>
      </c>
      <c r="C1220" s="444" t="s">
        <v>4390</v>
      </c>
      <c r="D1220" s="444" t="s">
        <v>1184</v>
      </c>
      <c r="E1220" s="446" t="s">
        <v>4415</v>
      </c>
      <c r="F1220" s="447" t="s">
        <v>1890</v>
      </c>
      <c r="G1220" s="448"/>
      <c r="H1220" s="448"/>
      <c r="I1220" s="448" t="s">
        <v>1856</v>
      </c>
    </row>
    <row r="1221" spans="1:9" ht="27" x14ac:dyDescent="0.3">
      <c r="A1221" s="443" t="s">
        <v>4416</v>
      </c>
      <c r="B1221" s="445" t="s">
        <v>4325</v>
      </c>
      <c r="C1221" s="444" t="s">
        <v>4390</v>
      </c>
      <c r="D1221" s="444" t="s">
        <v>4417</v>
      </c>
      <c r="E1221" s="446" t="s">
        <v>4418</v>
      </c>
      <c r="F1221" s="447" t="s">
        <v>1854</v>
      </c>
      <c r="G1221" s="448"/>
      <c r="H1221" s="448" t="s">
        <v>1961</v>
      </c>
      <c r="I1221" s="448" t="s">
        <v>1874</v>
      </c>
    </row>
    <row r="1222" spans="1:9" ht="27" x14ac:dyDescent="0.3">
      <c r="A1222" s="443" t="s">
        <v>4419</v>
      </c>
      <c r="B1222" s="445" t="s">
        <v>4325</v>
      </c>
      <c r="C1222" s="444" t="s">
        <v>4390</v>
      </c>
      <c r="D1222" s="444" t="s">
        <v>4420</v>
      </c>
      <c r="E1222" s="446" t="s">
        <v>4421</v>
      </c>
      <c r="F1222" s="447" t="s">
        <v>1890</v>
      </c>
      <c r="G1222" s="448" t="s">
        <v>4422</v>
      </c>
      <c r="H1222" s="448"/>
      <c r="I1222" s="448" t="s">
        <v>3366</v>
      </c>
    </row>
    <row r="1223" spans="1:9" ht="27" x14ac:dyDescent="0.3">
      <c r="A1223" s="443" t="s">
        <v>4423</v>
      </c>
      <c r="B1223" s="445" t="s">
        <v>4325</v>
      </c>
      <c r="C1223" s="444" t="s">
        <v>4390</v>
      </c>
      <c r="D1223" s="444" t="s">
        <v>2552</v>
      </c>
      <c r="E1223" s="446" t="s">
        <v>4424</v>
      </c>
      <c r="F1223" s="447" t="s">
        <v>1890</v>
      </c>
      <c r="G1223" s="448"/>
      <c r="H1223" s="448"/>
      <c r="I1223" s="448" t="s">
        <v>1923</v>
      </c>
    </row>
    <row r="1224" spans="1:9" ht="27" x14ac:dyDescent="0.3">
      <c r="A1224" s="443" t="s">
        <v>4425</v>
      </c>
      <c r="B1224" s="445" t="s">
        <v>4325</v>
      </c>
      <c r="C1224" s="444" t="s">
        <v>4390</v>
      </c>
      <c r="D1224" s="444" t="s">
        <v>2422</v>
      </c>
      <c r="E1224" s="446" t="s">
        <v>4426</v>
      </c>
      <c r="F1224" s="447" t="s">
        <v>1890</v>
      </c>
      <c r="G1224" s="448"/>
      <c r="H1224" s="448"/>
      <c r="I1224" s="448" t="s">
        <v>3366</v>
      </c>
    </row>
    <row r="1225" spans="1:9" ht="27" x14ac:dyDescent="0.3">
      <c r="A1225" s="443" t="s">
        <v>4427</v>
      </c>
      <c r="B1225" s="445" t="s">
        <v>4325</v>
      </c>
      <c r="C1225" s="444" t="s">
        <v>4390</v>
      </c>
      <c r="D1225" s="444" t="s">
        <v>1320</v>
      </c>
      <c r="E1225" s="446" t="s">
        <v>4428</v>
      </c>
      <c r="F1225" s="447" t="s">
        <v>1890</v>
      </c>
      <c r="G1225" s="448"/>
      <c r="H1225" s="448"/>
      <c r="I1225" s="448" t="s">
        <v>1923</v>
      </c>
    </row>
    <row r="1226" spans="1:9" ht="27" x14ac:dyDescent="0.3">
      <c r="A1226" s="443" t="s">
        <v>4429</v>
      </c>
      <c r="B1226" s="445" t="s">
        <v>4325</v>
      </c>
      <c r="C1226" s="444" t="s">
        <v>4390</v>
      </c>
      <c r="D1226" s="444" t="s">
        <v>1338</v>
      </c>
      <c r="E1226" s="446" t="s">
        <v>4430</v>
      </c>
      <c r="F1226" s="447" t="s">
        <v>1890</v>
      </c>
      <c r="G1226" s="448"/>
      <c r="H1226" s="448"/>
      <c r="I1226" s="448" t="s">
        <v>3366</v>
      </c>
    </row>
    <row r="1227" spans="1:9" ht="27" x14ac:dyDescent="0.3">
      <c r="A1227" s="443" t="s">
        <v>4431</v>
      </c>
      <c r="B1227" s="445" t="s">
        <v>4325</v>
      </c>
      <c r="C1227" s="444" t="s">
        <v>4390</v>
      </c>
      <c r="D1227" s="444" t="s">
        <v>1364</v>
      </c>
      <c r="E1227" s="446" t="s">
        <v>4432</v>
      </c>
      <c r="F1227" s="447" t="s">
        <v>1890</v>
      </c>
      <c r="G1227" s="448"/>
      <c r="H1227" s="448"/>
      <c r="I1227" s="448" t="s">
        <v>3366</v>
      </c>
    </row>
    <row r="1228" spans="1:9" ht="27" x14ac:dyDescent="0.3">
      <c r="A1228" s="443" t="s">
        <v>4433</v>
      </c>
      <c r="B1228" s="445" t="s">
        <v>4325</v>
      </c>
      <c r="C1228" s="444" t="s">
        <v>4390</v>
      </c>
      <c r="D1228" s="444" t="s">
        <v>989</v>
      </c>
      <c r="E1228" s="446" t="s">
        <v>4434</v>
      </c>
      <c r="F1228" s="447" t="s">
        <v>1890</v>
      </c>
      <c r="G1228" s="448"/>
      <c r="H1228" s="448"/>
      <c r="I1228" s="448" t="s">
        <v>1923</v>
      </c>
    </row>
    <row r="1229" spans="1:9" ht="27" x14ac:dyDescent="0.3">
      <c r="A1229" s="443" t="s">
        <v>4435</v>
      </c>
      <c r="B1229" s="445" t="s">
        <v>4325</v>
      </c>
      <c r="C1229" s="444" t="s">
        <v>4390</v>
      </c>
      <c r="D1229" s="444" t="s">
        <v>830</v>
      </c>
      <c r="E1229" s="446" t="s">
        <v>4436</v>
      </c>
      <c r="F1229" s="447" t="s">
        <v>1890</v>
      </c>
      <c r="G1229" s="448"/>
      <c r="H1229" s="448"/>
      <c r="I1229" s="448" t="s">
        <v>3400</v>
      </c>
    </row>
    <row r="1230" spans="1:9" ht="27" x14ac:dyDescent="0.3">
      <c r="A1230" s="443" t="s">
        <v>4437</v>
      </c>
      <c r="B1230" s="445" t="s">
        <v>4325</v>
      </c>
      <c r="C1230" s="444" t="s">
        <v>4390</v>
      </c>
      <c r="D1230" s="444" t="s">
        <v>1215</v>
      </c>
      <c r="E1230" s="446" t="s">
        <v>4438</v>
      </c>
      <c r="F1230" s="447" t="s">
        <v>1890</v>
      </c>
      <c r="G1230" s="448"/>
      <c r="H1230" s="448"/>
      <c r="I1230" s="448" t="s">
        <v>1923</v>
      </c>
    </row>
    <row r="1231" spans="1:9" ht="43.2" x14ac:dyDescent="0.3">
      <c r="A1231" s="443" t="s">
        <v>4439</v>
      </c>
      <c r="B1231" s="445" t="s">
        <v>4325</v>
      </c>
      <c r="C1231" s="444" t="s">
        <v>4390</v>
      </c>
      <c r="D1231" s="444" t="s">
        <v>1305</v>
      </c>
      <c r="E1231" s="446" t="s">
        <v>4440</v>
      </c>
      <c r="F1231" s="447" t="s">
        <v>1890</v>
      </c>
      <c r="G1231" s="448" t="s">
        <v>4441</v>
      </c>
      <c r="H1231" s="448"/>
      <c r="I1231" s="448" t="s">
        <v>3400</v>
      </c>
    </row>
    <row r="1232" spans="1:9" ht="27" x14ac:dyDescent="0.3">
      <c r="A1232" s="443" t="s">
        <v>4442</v>
      </c>
      <c r="B1232" s="445" t="s">
        <v>4325</v>
      </c>
      <c r="C1232" s="444" t="s">
        <v>4390</v>
      </c>
      <c r="D1232" s="444" t="s">
        <v>4443</v>
      </c>
      <c r="E1232" s="446" t="s">
        <v>4444</v>
      </c>
      <c r="F1232" s="447" t="s">
        <v>1890</v>
      </c>
      <c r="G1232" s="448"/>
      <c r="H1232" s="448"/>
      <c r="I1232" s="448" t="s">
        <v>1893</v>
      </c>
    </row>
    <row r="1233" spans="1:9" ht="27" x14ac:dyDescent="0.3">
      <c r="A1233" s="443" t="s">
        <v>4445</v>
      </c>
      <c r="B1233" s="445" t="s">
        <v>4325</v>
      </c>
      <c r="C1233" s="444" t="s">
        <v>4390</v>
      </c>
      <c r="D1233" s="444" t="s">
        <v>771</v>
      </c>
      <c r="E1233" s="446" t="s">
        <v>4446</v>
      </c>
      <c r="F1233" s="447" t="s">
        <v>1890</v>
      </c>
      <c r="G1233" s="448"/>
      <c r="H1233" s="448"/>
      <c r="I1233" s="448" t="s">
        <v>1923</v>
      </c>
    </row>
    <row r="1234" spans="1:9" ht="27" x14ac:dyDescent="0.3">
      <c r="A1234" s="443" t="s">
        <v>4447</v>
      </c>
      <c r="B1234" s="445" t="s">
        <v>4325</v>
      </c>
      <c r="C1234" s="444" t="s">
        <v>4390</v>
      </c>
      <c r="D1234" s="444" t="s">
        <v>1351</v>
      </c>
      <c r="E1234" s="446" t="s">
        <v>4448</v>
      </c>
      <c r="F1234" s="447" t="s">
        <v>1890</v>
      </c>
      <c r="G1234" s="448"/>
      <c r="H1234" s="448"/>
      <c r="I1234" s="448" t="s">
        <v>3400</v>
      </c>
    </row>
    <row r="1235" spans="1:9" ht="27" x14ac:dyDescent="0.3">
      <c r="A1235" s="443" t="s">
        <v>4449</v>
      </c>
      <c r="B1235" s="445" t="s">
        <v>4325</v>
      </c>
      <c r="C1235" s="444" t="s">
        <v>4450</v>
      </c>
      <c r="D1235" s="444" t="s">
        <v>172</v>
      </c>
      <c r="E1235" s="446" t="s">
        <v>4451</v>
      </c>
      <c r="F1235" s="447" t="s">
        <v>1890</v>
      </c>
      <c r="G1235" s="448"/>
      <c r="H1235" s="448"/>
      <c r="I1235" s="448" t="s">
        <v>1927</v>
      </c>
    </row>
    <row r="1236" spans="1:9" ht="27" x14ac:dyDescent="0.3">
      <c r="A1236" s="443" t="s">
        <v>4452</v>
      </c>
      <c r="B1236" s="445" t="s">
        <v>4325</v>
      </c>
      <c r="C1236" s="444" t="s">
        <v>4450</v>
      </c>
      <c r="D1236" s="444" t="s">
        <v>286</v>
      </c>
      <c r="E1236" s="446" t="s">
        <v>4453</v>
      </c>
      <c r="F1236" s="447" t="s">
        <v>1890</v>
      </c>
      <c r="G1236" s="448"/>
      <c r="H1236" s="448"/>
      <c r="I1236" s="448" t="s">
        <v>1927</v>
      </c>
    </row>
    <row r="1237" spans="1:9" ht="27" x14ac:dyDescent="0.3">
      <c r="A1237" s="443" t="s">
        <v>4454</v>
      </c>
      <c r="B1237" s="445" t="s">
        <v>4325</v>
      </c>
      <c r="C1237" s="444" t="s">
        <v>4450</v>
      </c>
      <c r="D1237" s="444" t="s">
        <v>360</v>
      </c>
      <c r="E1237" s="446" t="s">
        <v>4455</v>
      </c>
      <c r="F1237" s="447" t="s">
        <v>1890</v>
      </c>
      <c r="G1237" s="448"/>
      <c r="H1237" s="448"/>
      <c r="I1237" s="448" t="s">
        <v>1927</v>
      </c>
    </row>
    <row r="1238" spans="1:9" ht="27" x14ac:dyDescent="0.3">
      <c r="A1238" s="443" t="s">
        <v>4456</v>
      </c>
      <c r="B1238" s="445" t="s">
        <v>4325</v>
      </c>
      <c r="C1238" s="444" t="s">
        <v>4450</v>
      </c>
      <c r="D1238" s="444" t="s">
        <v>431</v>
      </c>
      <c r="E1238" s="446" t="s">
        <v>4457</v>
      </c>
      <c r="F1238" s="447" t="s">
        <v>1890</v>
      </c>
      <c r="G1238" s="448"/>
      <c r="H1238" s="448"/>
      <c r="I1238" s="448" t="s">
        <v>1923</v>
      </c>
    </row>
    <row r="1239" spans="1:9" ht="27" x14ac:dyDescent="0.3">
      <c r="A1239" s="443" t="s">
        <v>4458</v>
      </c>
      <c r="B1239" s="445" t="s">
        <v>4325</v>
      </c>
      <c r="C1239" s="444" t="s">
        <v>4450</v>
      </c>
      <c r="D1239" s="444" t="s">
        <v>506</v>
      </c>
      <c r="E1239" s="446" t="s">
        <v>4459</v>
      </c>
      <c r="F1239" s="447" t="s">
        <v>1890</v>
      </c>
      <c r="G1239" s="448"/>
      <c r="H1239" s="448"/>
      <c r="I1239" s="448" t="s">
        <v>1856</v>
      </c>
    </row>
    <row r="1240" spans="1:9" ht="27" x14ac:dyDescent="0.3">
      <c r="A1240" s="443" t="s">
        <v>4460</v>
      </c>
      <c r="B1240" s="445" t="s">
        <v>4325</v>
      </c>
      <c r="C1240" s="444" t="s">
        <v>4450</v>
      </c>
      <c r="D1240" s="444" t="s">
        <v>576</v>
      </c>
      <c r="E1240" s="446" t="s">
        <v>4461</v>
      </c>
      <c r="F1240" s="447" t="s">
        <v>1890</v>
      </c>
      <c r="G1240" s="448"/>
      <c r="H1240" s="448"/>
      <c r="I1240" s="448" t="s">
        <v>1874</v>
      </c>
    </row>
    <row r="1241" spans="1:9" ht="27" x14ac:dyDescent="0.3">
      <c r="A1241" s="443" t="s">
        <v>4462</v>
      </c>
      <c r="B1241" s="445" t="s">
        <v>4325</v>
      </c>
      <c r="C1241" s="444" t="s">
        <v>4450</v>
      </c>
      <c r="D1241" s="444" t="s">
        <v>642</v>
      </c>
      <c r="E1241" s="446" t="s">
        <v>4463</v>
      </c>
      <c r="F1241" s="447" t="s">
        <v>1890</v>
      </c>
      <c r="G1241" s="448"/>
      <c r="H1241" s="448"/>
      <c r="I1241" s="448" t="s">
        <v>3366</v>
      </c>
    </row>
    <row r="1242" spans="1:9" ht="27" x14ac:dyDescent="0.3">
      <c r="A1242" s="443" t="s">
        <v>4464</v>
      </c>
      <c r="B1242" s="445" t="s">
        <v>4325</v>
      </c>
      <c r="C1242" s="444" t="s">
        <v>4450</v>
      </c>
      <c r="D1242" s="444" t="s">
        <v>708</v>
      </c>
      <c r="E1242" s="446" t="s">
        <v>4465</v>
      </c>
      <c r="F1242" s="447" t="s">
        <v>1890</v>
      </c>
      <c r="G1242" s="448"/>
      <c r="H1242" s="448"/>
      <c r="I1242" s="448" t="s">
        <v>2676</v>
      </c>
    </row>
    <row r="1243" spans="1:9" ht="27" x14ac:dyDescent="0.3">
      <c r="A1243" s="443" t="s">
        <v>4466</v>
      </c>
      <c r="B1243" s="445" t="s">
        <v>4325</v>
      </c>
      <c r="C1243" s="444" t="s">
        <v>4450</v>
      </c>
      <c r="D1243" s="444" t="s">
        <v>772</v>
      </c>
      <c r="E1243" s="446" t="s">
        <v>4467</v>
      </c>
      <c r="F1243" s="447" t="s">
        <v>1890</v>
      </c>
      <c r="G1243" s="448"/>
      <c r="H1243" s="448"/>
      <c r="I1243" s="448" t="s">
        <v>2676</v>
      </c>
    </row>
    <row r="1244" spans="1:9" ht="27" x14ac:dyDescent="0.3">
      <c r="A1244" s="443" t="s">
        <v>4468</v>
      </c>
      <c r="B1244" s="445" t="s">
        <v>4325</v>
      </c>
      <c r="C1244" s="444" t="s">
        <v>4450</v>
      </c>
      <c r="D1244" s="444" t="s">
        <v>831</v>
      </c>
      <c r="E1244" s="446" t="s">
        <v>4469</v>
      </c>
      <c r="F1244" s="447" t="s">
        <v>1890</v>
      </c>
      <c r="G1244" s="448"/>
      <c r="H1244" s="448"/>
      <c r="I1244" s="448" t="s">
        <v>1923</v>
      </c>
    </row>
    <row r="1245" spans="1:9" ht="27" x14ac:dyDescent="0.3">
      <c r="A1245" s="443" t="s">
        <v>4470</v>
      </c>
      <c r="B1245" s="445" t="s">
        <v>4325</v>
      </c>
      <c r="C1245" s="444" t="s">
        <v>4450</v>
      </c>
      <c r="D1245" s="444" t="s">
        <v>885</v>
      </c>
      <c r="E1245" s="446" t="s">
        <v>4471</v>
      </c>
      <c r="F1245" s="447" t="s">
        <v>1890</v>
      </c>
      <c r="G1245" s="448"/>
      <c r="H1245" s="448"/>
      <c r="I1245" s="448" t="s">
        <v>1927</v>
      </c>
    </row>
    <row r="1246" spans="1:9" ht="27" x14ac:dyDescent="0.3">
      <c r="A1246" s="443" t="s">
        <v>4472</v>
      </c>
      <c r="B1246" s="445" t="s">
        <v>4325</v>
      </c>
      <c r="C1246" s="444" t="s">
        <v>4450</v>
      </c>
      <c r="D1246" s="444" t="s">
        <v>4473</v>
      </c>
      <c r="E1246" s="446" t="s">
        <v>4474</v>
      </c>
      <c r="F1246" s="447" t="s">
        <v>1890</v>
      </c>
      <c r="G1246" s="448"/>
      <c r="H1246" s="448"/>
      <c r="I1246" s="448" t="s">
        <v>1927</v>
      </c>
    </row>
    <row r="1247" spans="1:9" ht="27" x14ac:dyDescent="0.3">
      <c r="A1247" s="443" t="s">
        <v>4475</v>
      </c>
      <c r="B1247" s="445" t="s">
        <v>4325</v>
      </c>
      <c r="C1247" s="444" t="s">
        <v>4450</v>
      </c>
      <c r="D1247" s="444" t="s">
        <v>990</v>
      </c>
      <c r="E1247" s="446" t="s">
        <v>4476</v>
      </c>
      <c r="F1247" s="447" t="s">
        <v>1890</v>
      </c>
      <c r="G1247" s="448"/>
      <c r="H1247" s="448"/>
      <c r="I1247" s="448" t="s">
        <v>1874</v>
      </c>
    </row>
    <row r="1248" spans="1:9" ht="27" x14ac:dyDescent="0.3">
      <c r="A1248" s="443" t="s">
        <v>4477</v>
      </c>
      <c r="B1248" s="445" t="s">
        <v>4325</v>
      </c>
      <c r="C1248" s="444" t="s">
        <v>4450</v>
      </c>
      <c r="D1248" s="444" t="s">
        <v>1039</v>
      </c>
      <c r="E1248" s="446" t="s">
        <v>4478</v>
      </c>
      <c r="F1248" s="447" t="s">
        <v>1890</v>
      </c>
      <c r="G1248" s="448"/>
      <c r="H1248" s="448"/>
      <c r="I1248" s="448" t="s">
        <v>1893</v>
      </c>
    </row>
    <row r="1249" spans="1:9" ht="27" x14ac:dyDescent="0.3">
      <c r="A1249" s="443" t="s">
        <v>4479</v>
      </c>
      <c r="B1249" s="445" t="s">
        <v>4325</v>
      </c>
      <c r="C1249" s="444" t="s">
        <v>4450</v>
      </c>
      <c r="D1249" s="444" t="s">
        <v>1083</v>
      </c>
      <c r="E1249" s="446" t="s">
        <v>4480</v>
      </c>
      <c r="F1249" s="447" t="s">
        <v>1890</v>
      </c>
      <c r="G1249" s="448"/>
      <c r="H1249" s="448"/>
      <c r="I1249" s="448" t="s">
        <v>1874</v>
      </c>
    </row>
    <row r="1250" spans="1:9" ht="27" x14ac:dyDescent="0.3">
      <c r="A1250" s="443" t="s">
        <v>4481</v>
      </c>
      <c r="B1250" s="445" t="s">
        <v>4325</v>
      </c>
      <c r="C1250" s="444" t="s">
        <v>4450</v>
      </c>
      <c r="D1250" s="444" t="s">
        <v>1119</v>
      </c>
      <c r="E1250" s="446" t="s">
        <v>4482</v>
      </c>
      <c r="F1250" s="447" t="s">
        <v>1890</v>
      </c>
      <c r="G1250" s="448"/>
      <c r="H1250" s="448"/>
      <c r="I1250" s="448" t="s">
        <v>1874</v>
      </c>
    </row>
    <row r="1251" spans="1:9" ht="27" x14ac:dyDescent="0.3">
      <c r="A1251" s="450" t="s">
        <v>4483</v>
      </c>
      <c r="B1251" s="445" t="s">
        <v>4325</v>
      </c>
      <c r="C1251" s="452" t="s">
        <v>75</v>
      </c>
      <c r="D1251" s="444" t="s">
        <v>4484</v>
      </c>
      <c r="E1251" s="453" t="s">
        <v>4485</v>
      </c>
      <c r="F1251" s="447" t="s">
        <v>1854</v>
      </c>
      <c r="G1251" s="448"/>
      <c r="H1251" s="448" t="s">
        <v>1961</v>
      </c>
      <c r="I1251" s="448" t="s">
        <v>1923</v>
      </c>
    </row>
    <row r="1252" spans="1:9" ht="27" x14ac:dyDescent="0.3">
      <c r="A1252" s="443" t="s">
        <v>4486</v>
      </c>
      <c r="B1252" s="445" t="s">
        <v>4325</v>
      </c>
      <c r="C1252" s="445" t="s">
        <v>4390</v>
      </c>
      <c r="D1252" s="444" t="s">
        <v>4487</v>
      </c>
      <c r="E1252" s="446" t="s">
        <v>4488</v>
      </c>
      <c r="F1252" s="447" t="s">
        <v>1854</v>
      </c>
      <c r="G1252" s="448"/>
      <c r="H1252" s="448" t="s">
        <v>1855</v>
      </c>
      <c r="I1252" s="448" t="s">
        <v>1856</v>
      </c>
    </row>
    <row r="1253" spans="1:9" x14ac:dyDescent="0.3">
      <c r="A1253" s="443" t="s">
        <v>4489</v>
      </c>
      <c r="B1253" s="445" t="s">
        <v>4490</v>
      </c>
      <c r="C1253" s="445" t="s">
        <v>90</v>
      </c>
      <c r="D1253" s="444" t="s">
        <v>215</v>
      </c>
      <c r="E1253" s="446">
        <v>101301000</v>
      </c>
      <c r="F1253" s="447" t="s">
        <v>1890</v>
      </c>
      <c r="G1253" s="448"/>
      <c r="H1253" s="448"/>
      <c r="I1253" s="448" t="s">
        <v>1874</v>
      </c>
    </row>
    <row r="1254" spans="1:9" x14ac:dyDescent="0.3">
      <c r="A1254" s="443" t="s">
        <v>4491</v>
      </c>
      <c r="B1254" s="445" t="s">
        <v>4490</v>
      </c>
      <c r="C1254" s="445" t="s">
        <v>90</v>
      </c>
      <c r="D1254" s="444" t="s">
        <v>507</v>
      </c>
      <c r="E1254" s="446">
        <v>101302000</v>
      </c>
      <c r="F1254" s="447" t="s">
        <v>1890</v>
      </c>
      <c r="G1254" s="448"/>
      <c r="H1254" s="448"/>
      <c r="I1254" s="448" t="s">
        <v>1923</v>
      </c>
    </row>
    <row r="1255" spans="1:9" x14ac:dyDescent="0.3">
      <c r="A1255" s="443" t="s">
        <v>4492</v>
      </c>
      <c r="B1255" s="445" t="s">
        <v>4490</v>
      </c>
      <c r="C1255" s="445" t="s">
        <v>90</v>
      </c>
      <c r="D1255" s="444" t="s">
        <v>577</v>
      </c>
      <c r="E1255" s="446">
        <v>101303000</v>
      </c>
      <c r="F1255" s="447" t="s">
        <v>1890</v>
      </c>
      <c r="G1255" s="448"/>
      <c r="H1255" s="448"/>
      <c r="I1255" s="448" t="s">
        <v>1927</v>
      </c>
    </row>
    <row r="1256" spans="1:9" x14ac:dyDescent="0.3">
      <c r="A1256" s="443" t="s">
        <v>4493</v>
      </c>
      <c r="B1256" s="445" t="s">
        <v>4490</v>
      </c>
      <c r="C1256" s="445" t="s">
        <v>90</v>
      </c>
      <c r="D1256" s="444" t="s">
        <v>4494</v>
      </c>
      <c r="E1256" s="446">
        <v>101304000</v>
      </c>
      <c r="F1256" s="447" t="s">
        <v>1890</v>
      </c>
      <c r="G1256" s="448"/>
      <c r="H1256" s="448"/>
      <c r="I1256" s="448" t="s">
        <v>1856</v>
      </c>
    </row>
    <row r="1257" spans="1:9" x14ac:dyDescent="0.3">
      <c r="A1257" s="443" t="s">
        <v>4495</v>
      </c>
      <c r="B1257" s="445" t="s">
        <v>4490</v>
      </c>
      <c r="C1257" s="445" t="s">
        <v>90</v>
      </c>
      <c r="D1257" s="444" t="s">
        <v>709</v>
      </c>
      <c r="E1257" s="446">
        <v>101305000</v>
      </c>
      <c r="F1257" s="447" t="s">
        <v>1890</v>
      </c>
      <c r="G1257" s="448"/>
      <c r="H1257" s="448"/>
      <c r="I1257" s="448" t="s">
        <v>1856</v>
      </c>
    </row>
    <row r="1258" spans="1:9" x14ac:dyDescent="0.3">
      <c r="A1258" s="443" t="s">
        <v>4496</v>
      </c>
      <c r="B1258" s="445" t="s">
        <v>4490</v>
      </c>
      <c r="C1258" s="445" t="s">
        <v>90</v>
      </c>
      <c r="D1258" s="444" t="s">
        <v>773</v>
      </c>
      <c r="E1258" s="446">
        <v>101306000</v>
      </c>
      <c r="F1258" s="447" t="s">
        <v>1890</v>
      </c>
      <c r="G1258" s="448"/>
      <c r="H1258" s="448"/>
      <c r="I1258" s="448" t="s">
        <v>1927</v>
      </c>
    </row>
    <row r="1259" spans="1:9" x14ac:dyDescent="0.3">
      <c r="A1259" s="443" t="s">
        <v>4497</v>
      </c>
      <c r="B1259" s="445" t="s">
        <v>4490</v>
      </c>
      <c r="C1259" s="445" t="s">
        <v>90</v>
      </c>
      <c r="D1259" s="444" t="s">
        <v>832</v>
      </c>
      <c r="E1259" s="446">
        <v>101307000</v>
      </c>
      <c r="F1259" s="447" t="s">
        <v>1890</v>
      </c>
      <c r="G1259" s="448"/>
      <c r="H1259" s="448"/>
      <c r="I1259" s="448" t="s">
        <v>1874</v>
      </c>
    </row>
    <row r="1260" spans="1:9" x14ac:dyDescent="0.3">
      <c r="A1260" s="443" t="s">
        <v>4498</v>
      </c>
      <c r="B1260" s="445" t="s">
        <v>4490</v>
      </c>
      <c r="C1260" s="445" t="s">
        <v>90</v>
      </c>
      <c r="D1260" s="444" t="s">
        <v>886</v>
      </c>
      <c r="E1260" s="446">
        <v>101308000</v>
      </c>
      <c r="F1260" s="447" t="s">
        <v>1890</v>
      </c>
      <c r="G1260" s="448"/>
      <c r="H1260" s="448"/>
      <c r="I1260" s="448" t="s">
        <v>1874</v>
      </c>
    </row>
    <row r="1261" spans="1:9" x14ac:dyDescent="0.3">
      <c r="A1261" s="443" t="s">
        <v>4499</v>
      </c>
      <c r="B1261" s="445" t="s">
        <v>4490</v>
      </c>
      <c r="C1261" s="445" t="s">
        <v>90</v>
      </c>
      <c r="D1261" s="444" t="s">
        <v>944</v>
      </c>
      <c r="E1261" s="446">
        <v>101309000</v>
      </c>
      <c r="F1261" s="447" t="s">
        <v>1890</v>
      </c>
      <c r="G1261" s="448"/>
      <c r="H1261" s="448"/>
      <c r="I1261" s="448" t="s">
        <v>1856</v>
      </c>
    </row>
    <row r="1262" spans="1:9" x14ac:dyDescent="0.3">
      <c r="A1262" s="443" t="s">
        <v>4500</v>
      </c>
      <c r="B1262" s="445" t="s">
        <v>4490</v>
      </c>
      <c r="C1262" s="445" t="s">
        <v>90</v>
      </c>
      <c r="D1262" s="444" t="s">
        <v>991</v>
      </c>
      <c r="E1262" s="446">
        <v>101310000</v>
      </c>
      <c r="F1262" s="447" t="s">
        <v>1890</v>
      </c>
      <c r="G1262" s="448"/>
      <c r="H1262" s="448"/>
      <c r="I1262" s="448" t="s">
        <v>1856</v>
      </c>
    </row>
    <row r="1263" spans="1:9" x14ac:dyDescent="0.3">
      <c r="A1263" s="443" t="s">
        <v>4501</v>
      </c>
      <c r="B1263" s="445" t="s">
        <v>4490</v>
      </c>
      <c r="C1263" s="445" t="s">
        <v>90</v>
      </c>
      <c r="D1263" s="444" t="s">
        <v>1040</v>
      </c>
      <c r="E1263" s="446">
        <v>101311000</v>
      </c>
      <c r="F1263" s="447" t="s">
        <v>1890</v>
      </c>
      <c r="G1263" s="448"/>
      <c r="H1263" s="448"/>
      <c r="I1263" s="448" t="s">
        <v>1856</v>
      </c>
    </row>
    <row r="1264" spans="1:9" x14ac:dyDescent="0.3">
      <c r="A1264" s="443" t="s">
        <v>4502</v>
      </c>
      <c r="B1264" s="445" t="s">
        <v>4490</v>
      </c>
      <c r="C1264" s="445" t="s">
        <v>90</v>
      </c>
      <c r="D1264" s="444" t="s">
        <v>4503</v>
      </c>
      <c r="E1264" s="446">
        <v>101312000</v>
      </c>
      <c r="F1264" s="447" t="s">
        <v>1854</v>
      </c>
      <c r="G1264" s="448"/>
      <c r="H1264" s="448" t="s">
        <v>1961</v>
      </c>
      <c r="I1264" s="448" t="s">
        <v>1856</v>
      </c>
    </row>
    <row r="1265" spans="1:9" x14ac:dyDescent="0.3">
      <c r="A1265" s="443" t="s">
        <v>4504</v>
      </c>
      <c r="B1265" s="445" t="s">
        <v>4490</v>
      </c>
      <c r="C1265" s="445" t="s">
        <v>90</v>
      </c>
      <c r="D1265" s="444" t="s">
        <v>828</v>
      </c>
      <c r="E1265" s="446">
        <v>101313000</v>
      </c>
      <c r="F1265" s="447" t="s">
        <v>1890</v>
      </c>
      <c r="G1265" s="448"/>
      <c r="H1265" s="448"/>
      <c r="I1265" s="448" t="s">
        <v>1874</v>
      </c>
    </row>
    <row r="1266" spans="1:9" x14ac:dyDescent="0.3">
      <c r="A1266" s="443" t="s">
        <v>4505</v>
      </c>
      <c r="B1266" s="445" t="s">
        <v>4490</v>
      </c>
      <c r="C1266" s="445" t="s">
        <v>90</v>
      </c>
      <c r="D1266" s="444" t="s">
        <v>4506</v>
      </c>
      <c r="E1266" s="446">
        <v>101314000</v>
      </c>
      <c r="F1266" s="447" t="s">
        <v>1890</v>
      </c>
      <c r="G1266" s="448"/>
      <c r="H1266" s="448"/>
      <c r="I1266" s="448" t="s">
        <v>1856</v>
      </c>
    </row>
    <row r="1267" spans="1:9" x14ac:dyDescent="0.3">
      <c r="A1267" s="443" t="s">
        <v>4507</v>
      </c>
      <c r="B1267" s="445" t="s">
        <v>4490</v>
      </c>
      <c r="C1267" s="445" t="s">
        <v>90</v>
      </c>
      <c r="D1267" s="444" t="s">
        <v>1156</v>
      </c>
      <c r="E1267" s="446">
        <v>101315000</v>
      </c>
      <c r="F1267" s="447" t="s">
        <v>1890</v>
      </c>
      <c r="G1267" s="448"/>
      <c r="H1267" s="448"/>
      <c r="I1267" s="448" t="s">
        <v>1856</v>
      </c>
    </row>
    <row r="1268" spans="1:9" x14ac:dyDescent="0.3">
      <c r="A1268" s="443" t="s">
        <v>4508</v>
      </c>
      <c r="B1268" s="445" t="s">
        <v>4490</v>
      </c>
      <c r="C1268" s="445" t="s">
        <v>90</v>
      </c>
      <c r="D1268" s="444" t="s">
        <v>1185</v>
      </c>
      <c r="E1268" s="446">
        <v>101316000</v>
      </c>
      <c r="F1268" s="447" t="s">
        <v>1890</v>
      </c>
      <c r="G1268" s="448"/>
      <c r="H1268" s="448"/>
      <c r="I1268" s="448" t="s">
        <v>1856</v>
      </c>
    </row>
    <row r="1269" spans="1:9" x14ac:dyDescent="0.3">
      <c r="A1269" s="443" t="s">
        <v>4509</v>
      </c>
      <c r="B1269" s="445" t="s">
        <v>4490</v>
      </c>
      <c r="C1269" s="445" t="s">
        <v>90</v>
      </c>
      <c r="D1269" s="444" t="s">
        <v>132</v>
      </c>
      <c r="E1269" s="446">
        <v>101317000</v>
      </c>
      <c r="F1269" s="447" t="s">
        <v>1890</v>
      </c>
      <c r="G1269" s="448"/>
      <c r="H1269" s="448"/>
      <c r="I1269" s="448" t="s">
        <v>1856</v>
      </c>
    </row>
    <row r="1270" spans="1:9" x14ac:dyDescent="0.3">
      <c r="A1270" s="443" t="s">
        <v>4510</v>
      </c>
      <c r="B1270" s="445" t="s">
        <v>4490</v>
      </c>
      <c r="C1270" s="445" t="s">
        <v>90</v>
      </c>
      <c r="D1270" s="444" t="s">
        <v>3180</v>
      </c>
      <c r="E1270" s="446">
        <v>101318000</v>
      </c>
      <c r="F1270" s="447" t="s">
        <v>1890</v>
      </c>
      <c r="G1270" s="448"/>
      <c r="H1270" s="448"/>
      <c r="I1270" s="448" t="s">
        <v>1856</v>
      </c>
    </row>
    <row r="1271" spans="1:9" x14ac:dyDescent="0.3">
      <c r="A1271" s="443" t="s">
        <v>4511</v>
      </c>
      <c r="B1271" s="445" t="s">
        <v>4490</v>
      </c>
      <c r="C1271" s="445" t="s">
        <v>90</v>
      </c>
      <c r="D1271" s="444" t="s">
        <v>1263</v>
      </c>
      <c r="E1271" s="446">
        <v>101319000</v>
      </c>
      <c r="F1271" s="447" t="s">
        <v>1890</v>
      </c>
      <c r="G1271" s="448"/>
      <c r="H1271" s="448"/>
      <c r="I1271" s="448" t="s">
        <v>1923</v>
      </c>
    </row>
    <row r="1272" spans="1:9" x14ac:dyDescent="0.3">
      <c r="A1272" s="443" t="s">
        <v>4512</v>
      </c>
      <c r="B1272" s="445" t="s">
        <v>4490</v>
      </c>
      <c r="C1272" s="445" t="s">
        <v>90</v>
      </c>
      <c r="D1272" s="444" t="s">
        <v>1285</v>
      </c>
      <c r="E1272" s="446">
        <v>101320000</v>
      </c>
      <c r="F1272" s="447" t="s">
        <v>1890</v>
      </c>
      <c r="G1272" s="448"/>
      <c r="H1272" s="448"/>
      <c r="I1272" s="448" t="s">
        <v>1856</v>
      </c>
    </row>
    <row r="1273" spans="1:9" x14ac:dyDescent="0.3">
      <c r="A1273" s="443" t="s">
        <v>4513</v>
      </c>
      <c r="B1273" s="445" t="s">
        <v>4490</v>
      </c>
      <c r="C1273" s="445" t="s">
        <v>90</v>
      </c>
      <c r="D1273" s="444" t="s">
        <v>4514</v>
      </c>
      <c r="E1273" s="446">
        <v>101321000</v>
      </c>
      <c r="F1273" s="447" t="s">
        <v>1854</v>
      </c>
      <c r="G1273" s="448"/>
      <c r="H1273" s="448" t="s">
        <v>1961</v>
      </c>
      <c r="I1273" s="448" t="s">
        <v>1874</v>
      </c>
    </row>
    <row r="1274" spans="1:9" x14ac:dyDescent="0.3">
      <c r="A1274" s="443" t="s">
        <v>4515</v>
      </c>
      <c r="B1274" s="445" t="s">
        <v>4490</v>
      </c>
      <c r="C1274" s="445" t="s">
        <v>90</v>
      </c>
      <c r="D1274" s="444" t="s">
        <v>287</v>
      </c>
      <c r="E1274" s="446">
        <v>101322000</v>
      </c>
      <c r="F1274" s="447" t="s">
        <v>1890</v>
      </c>
      <c r="G1274" s="448"/>
      <c r="H1274" s="448"/>
      <c r="I1274" s="448" t="s">
        <v>1927</v>
      </c>
    </row>
    <row r="1275" spans="1:9" x14ac:dyDescent="0.3">
      <c r="A1275" s="443" t="s">
        <v>4516</v>
      </c>
      <c r="B1275" s="445" t="s">
        <v>4490</v>
      </c>
      <c r="C1275" s="444" t="s">
        <v>107</v>
      </c>
      <c r="D1275" s="444" t="s">
        <v>216</v>
      </c>
      <c r="E1275" s="446">
        <v>101801000</v>
      </c>
      <c r="F1275" s="447" t="s">
        <v>1890</v>
      </c>
      <c r="G1275" s="448"/>
      <c r="H1275" s="448"/>
      <c r="I1275" s="448" t="s">
        <v>1893</v>
      </c>
    </row>
    <row r="1276" spans="1:9" x14ac:dyDescent="0.3">
      <c r="A1276" s="443" t="s">
        <v>4517</v>
      </c>
      <c r="B1276" s="445" t="s">
        <v>4490</v>
      </c>
      <c r="C1276" s="444" t="s">
        <v>107</v>
      </c>
      <c r="D1276" s="444" t="s">
        <v>288</v>
      </c>
      <c r="E1276" s="446">
        <v>101802000</v>
      </c>
      <c r="F1276" s="447" t="s">
        <v>1890</v>
      </c>
      <c r="G1276" s="448"/>
      <c r="H1276" s="448"/>
      <c r="I1276" s="448" t="s">
        <v>1896</v>
      </c>
    </row>
    <row r="1277" spans="1:9" x14ac:dyDescent="0.3">
      <c r="A1277" s="443" t="s">
        <v>4518</v>
      </c>
      <c r="B1277" s="445" t="s">
        <v>4490</v>
      </c>
      <c r="C1277" s="444" t="s">
        <v>107</v>
      </c>
      <c r="D1277" s="444" t="s">
        <v>362</v>
      </c>
      <c r="E1277" s="446">
        <v>101803000</v>
      </c>
      <c r="F1277" s="447" t="s">
        <v>1890</v>
      </c>
      <c r="G1277" s="448"/>
      <c r="H1277" s="448"/>
      <c r="I1277" s="448" t="s">
        <v>1893</v>
      </c>
    </row>
    <row r="1278" spans="1:9" x14ac:dyDescent="0.3">
      <c r="A1278" s="443" t="s">
        <v>4519</v>
      </c>
      <c r="B1278" s="445" t="s">
        <v>4490</v>
      </c>
      <c r="C1278" s="444" t="s">
        <v>107</v>
      </c>
      <c r="D1278" s="444" t="s">
        <v>433</v>
      </c>
      <c r="E1278" s="446">
        <v>101804000</v>
      </c>
      <c r="F1278" s="447" t="s">
        <v>1890</v>
      </c>
      <c r="G1278" s="448"/>
      <c r="H1278" s="448"/>
      <c r="I1278" s="448" t="s">
        <v>1927</v>
      </c>
    </row>
    <row r="1279" spans="1:9" x14ac:dyDescent="0.3">
      <c r="A1279" s="443" t="s">
        <v>4520</v>
      </c>
      <c r="B1279" s="445" t="s">
        <v>4490</v>
      </c>
      <c r="C1279" s="444" t="s">
        <v>107</v>
      </c>
      <c r="D1279" s="444" t="s">
        <v>508</v>
      </c>
      <c r="E1279" s="446">
        <v>101805000</v>
      </c>
      <c r="F1279" s="447" t="s">
        <v>1890</v>
      </c>
      <c r="G1279" s="448"/>
      <c r="H1279" s="448"/>
      <c r="I1279" s="448" t="s">
        <v>1893</v>
      </c>
    </row>
    <row r="1280" spans="1:9" x14ac:dyDescent="0.3">
      <c r="A1280" s="443" t="s">
        <v>4521</v>
      </c>
      <c r="B1280" s="445" t="s">
        <v>4490</v>
      </c>
      <c r="C1280" s="444" t="s">
        <v>4522</v>
      </c>
      <c r="D1280" s="444" t="s">
        <v>217</v>
      </c>
      <c r="E1280" s="446">
        <v>103501000</v>
      </c>
      <c r="F1280" s="447" t="s">
        <v>1890</v>
      </c>
      <c r="G1280" s="448"/>
      <c r="H1280" s="448"/>
      <c r="I1280" s="448" t="s">
        <v>1923</v>
      </c>
    </row>
    <row r="1281" spans="1:9" x14ac:dyDescent="0.3">
      <c r="A1281" s="443" t="s">
        <v>4523</v>
      </c>
      <c r="B1281" s="445" t="s">
        <v>4490</v>
      </c>
      <c r="C1281" s="444" t="s">
        <v>4522</v>
      </c>
      <c r="D1281" s="444" t="s">
        <v>289</v>
      </c>
      <c r="E1281" s="446">
        <v>103502000</v>
      </c>
      <c r="F1281" s="447" t="s">
        <v>1890</v>
      </c>
      <c r="G1281" s="448"/>
      <c r="H1281" s="448"/>
      <c r="I1281" s="448" t="s">
        <v>1927</v>
      </c>
    </row>
    <row r="1282" spans="1:9" x14ac:dyDescent="0.3">
      <c r="A1282" s="443" t="s">
        <v>4524</v>
      </c>
      <c r="B1282" s="445" t="s">
        <v>4490</v>
      </c>
      <c r="C1282" s="444" t="s">
        <v>4522</v>
      </c>
      <c r="D1282" s="444" t="s">
        <v>363</v>
      </c>
      <c r="E1282" s="446">
        <v>103503000</v>
      </c>
      <c r="F1282" s="447" t="s">
        <v>1890</v>
      </c>
      <c r="G1282" s="448"/>
      <c r="H1282" s="448"/>
      <c r="I1282" s="448" t="s">
        <v>1923</v>
      </c>
    </row>
    <row r="1283" spans="1:9" x14ac:dyDescent="0.3">
      <c r="A1283" s="443" t="s">
        <v>4525</v>
      </c>
      <c r="B1283" s="445" t="s">
        <v>4490</v>
      </c>
      <c r="C1283" s="444" t="s">
        <v>4522</v>
      </c>
      <c r="D1283" s="444" t="s">
        <v>509</v>
      </c>
      <c r="E1283" s="446">
        <v>103505000</v>
      </c>
      <c r="F1283" s="447" t="s">
        <v>1890</v>
      </c>
      <c r="G1283" s="448"/>
      <c r="H1283" s="448"/>
      <c r="I1283" s="448" t="s">
        <v>1874</v>
      </c>
    </row>
    <row r="1284" spans="1:9" ht="28.8" x14ac:dyDescent="0.3">
      <c r="A1284" s="443" t="s">
        <v>4526</v>
      </c>
      <c r="B1284" s="445" t="s">
        <v>4490</v>
      </c>
      <c r="C1284" s="444" t="s">
        <v>4522</v>
      </c>
      <c r="D1284" s="444" t="s">
        <v>4527</v>
      </c>
      <c r="E1284" s="446">
        <v>103506000</v>
      </c>
      <c r="F1284" s="447" t="s">
        <v>1890</v>
      </c>
      <c r="G1284" s="448" t="s">
        <v>4528</v>
      </c>
      <c r="H1284" s="448"/>
      <c r="I1284" s="448" t="s">
        <v>1927</v>
      </c>
    </row>
    <row r="1285" spans="1:9" x14ac:dyDescent="0.3">
      <c r="A1285" s="443" t="s">
        <v>4529</v>
      </c>
      <c r="B1285" s="445" t="s">
        <v>4490</v>
      </c>
      <c r="C1285" s="444" t="s">
        <v>4522</v>
      </c>
      <c r="D1285" s="444" t="s">
        <v>578</v>
      </c>
      <c r="E1285" s="446">
        <v>103507000</v>
      </c>
      <c r="F1285" s="447" t="s">
        <v>1890</v>
      </c>
      <c r="G1285" s="448"/>
      <c r="H1285" s="448"/>
      <c r="I1285" s="448" t="s">
        <v>1893</v>
      </c>
    </row>
    <row r="1286" spans="1:9" x14ac:dyDescent="0.3">
      <c r="A1286" s="443" t="s">
        <v>4530</v>
      </c>
      <c r="B1286" s="445" t="s">
        <v>4490</v>
      </c>
      <c r="C1286" s="444" t="s">
        <v>4522</v>
      </c>
      <c r="D1286" s="444" t="s">
        <v>644</v>
      </c>
      <c r="E1286" s="446">
        <v>103508000</v>
      </c>
      <c r="F1286" s="447" t="s">
        <v>1890</v>
      </c>
      <c r="G1286" s="448"/>
      <c r="H1286" s="448"/>
      <c r="I1286" s="448" t="s">
        <v>1923</v>
      </c>
    </row>
    <row r="1287" spans="1:9" x14ac:dyDescent="0.3">
      <c r="A1287" s="443" t="s">
        <v>4531</v>
      </c>
      <c r="B1287" s="445" t="s">
        <v>4490</v>
      </c>
      <c r="C1287" s="444" t="s">
        <v>4522</v>
      </c>
      <c r="D1287" s="444" t="s">
        <v>710</v>
      </c>
      <c r="E1287" s="446">
        <v>103509000</v>
      </c>
      <c r="F1287" s="447" t="s">
        <v>1890</v>
      </c>
      <c r="G1287" s="448"/>
      <c r="H1287" s="448"/>
      <c r="I1287" s="448" t="s">
        <v>1856</v>
      </c>
    </row>
    <row r="1288" spans="1:9" x14ac:dyDescent="0.3">
      <c r="A1288" s="443" t="s">
        <v>4532</v>
      </c>
      <c r="B1288" s="445" t="s">
        <v>4490</v>
      </c>
      <c r="C1288" s="444" t="s">
        <v>4522</v>
      </c>
      <c r="D1288" s="444" t="s">
        <v>774</v>
      </c>
      <c r="E1288" s="446">
        <v>103510000</v>
      </c>
      <c r="F1288" s="447" t="s">
        <v>1890</v>
      </c>
      <c r="G1288" s="448"/>
      <c r="H1288" s="448"/>
      <c r="I1288" s="448" t="s">
        <v>1893</v>
      </c>
    </row>
    <row r="1289" spans="1:9" x14ac:dyDescent="0.3">
      <c r="A1289" s="443" t="s">
        <v>4533</v>
      </c>
      <c r="B1289" s="445" t="s">
        <v>4490</v>
      </c>
      <c r="C1289" s="444" t="s">
        <v>4522</v>
      </c>
      <c r="D1289" s="444" t="s">
        <v>479</v>
      </c>
      <c r="E1289" s="446">
        <v>103511000</v>
      </c>
      <c r="F1289" s="447" t="s">
        <v>1890</v>
      </c>
      <c r="G1289" s="448"/>
      <c r="H1289" s="448"/>
      <c r="I1289" s="448" t="s">
        <v>1893</v>
      </c>
    </row>
    <row r="1290" spans="1:9" x14ac:dyDescent="0.3">
      <c r="A1290" s="443" t="s">
        <v>4534</v>
      </c>
      <c r="B1290" s="445" t="s">
        <v>4490</v>
      </c>
      <c r="C1290" s="444" t="s">
        <v>4522</v>
      </c>
      <c r="D1290" s="444" t="s">
        <v>887</v>
      </c>
      <c r="E1290" s="446">
        <v>103512000</v>
      </c>
      <c r="F1290" s="447" t="s">
        <v>1890</v>
      </c>
      <c r="G1290" s="448"/>
      <c r="H1290" s="448"/>
      <c r="I1290" s="448" t="s">
        <v>1923</v>
      </c>
    </row>
    <row r="1291" spans="1:9" x14ac:dyDescent="0.3">
      <c r="A1291" s="443" t="s">
        <v>4535</v>
      </c>
      <c r="B1291" s="445" t="s">
        <v>4490</v>
      </c>
      <c r="C1291" s="444" t="s">
        <v>4522</v>
      </c>
      <c r="D1291" s="444" t="s">
        <v>945</v>
      </c>
      <c r="E1291" s="446">
        <v>103513000</v>
      </c>
      <c r="F1291" s="447" t="s">
        <v>1890</v>
      </c>
      <c r="G1291" s="448"/>
      <c r="H1291" s="448"/>
      <c r="I1291" s="448" t="s">
        <v>1893</v>
      </c>
    </row>
    <row r="1292" spans="1:9" x14ac:dyDescent="0.3">
      <c r="A1292" s="443" t="s">
        <v>4536</v>
      </c>
      <c r="B1292" s="445" t="s">
        <v>4490</v>
      </c>
      <c r="C1292" s="444" t="s">
        <v>4522</v>
      </c>
      <c r="D1292" s="444" t="s">
        <v>992</v>
      </c>
      <c r="E1292" s="446">
        <v>103514000</v>
      </c>
      <c r="F1292" s="447" t="s">
        <v>1890</v>
      </c>
      <c r="G1292" s="448"/>
      <c r="H1292" s="448"/>
      <c r="I1292" s="448" t="s">
        <v>1923</v>
      </c>
    </row>
    <row r="1293" spans="1:9" x14ac:dyDescent="0.3">
      <c r="A1293" s="443" t="s">
        <v>4537</v>
      </c>
      <c r="B1293" s="445" t="s">
        <v>4490</v>
      </c>
      <c r="C1293" s="444" t="s">
        <v>4522</v>
      </c>
      <c r="D1293" s="444" t="s">
        <v>1041</v>
      </c>
      <c r="E1293" s="446">
        <v>103515000</v>
      </c>
      <c r="F1293" s="447" t="s">
        <v>1890</v>
      </c>
      <c r="G1293" s="448"/>
      <c r="H1293" s="448"/>
      <c r="I1293" s="448" t="s">
        <v>1927</v>
      </c>
    </row>
    <row r="1294" spans="1:9" x14ac:dyDescent="0.3">
      <c r="A1294" s="443" t="s">
        <v>4538</v>
      </c>
      <c r="B1294" s="445" t="s">
        <v>4490</v>
      </c>
      <c r="C1294" s="444" t="s">
        <v>4522</v>
      </c>
      <c r="D1294" s="444" t="s">
        <v>4539</v>
      </c>
      <c r="E1294" s="446">
        <v>103516000</v>
      </c>
      <c r="F1294" s="447" t="s">
        <v>1890</v>
      </c>
      <c r="G1294" s="448"/>
      <c r="H1294" s="448"/>
      <c r="I1294" s="448" t="s">
        <v>1923</v>
      </c>
    </row>
    <row r="1295" spans="1:9" x14ac:dyDescent="0.3">
      <c r="A1295" s="443" t="s">
        <v>4540</v>
      </c>
      <c r="B1295" s="445" t="s">
        <v>4490</v>
      </c>
      <c r="C1295" s="444" t="s">
        <v>4522</v>
      </c>
      <c r="D1295" s="444" t="s">
        <v>4541</v>
      </c>
      <c r="E1295" s="446">
        <v>103517000</v>
      </c>
      <c r="F1295" s="447" t="s">
        <v>1890</v>
      </c>
      <c r="G1295" s="448"/>
      <c r="H1295" s="448"/>
      <c r="I1295" s="448" t="s">
        <v>1923</v>
      </c>
    </row>
    <row r="1296" spans="1:9" x14ac:dyDescent="0.3">
      <c r="A1296" s="443" t="s">
        <v>4542</v>
      </c>
      <c r="B1296" s="445" t="s">
        <v>4490</v>
      </c>
      <c r="C1296" s="444" t="s">
        <v>4522</v>
      </c>
      <c r="D1296" s="444" t="s">
        <v>1186</v>
      </c>
      <c r="E1296" s="446">
        <v>103518000</v>
      </c>
      <c r="F1296" s="447" t="s">
        <v>1890</v>
      </c>
      <c r="G1296" s="448"/>
      <c r="H1296" s="448"/>
      <c r="I1296" s="448" t="s">
        <v>1893</v>
      </c>
    </row>
    <row r="1297" spans="1:9" x14ac:dyDescent="0.3">
      <c r="A1297" s="443" t="s">
        <v>4543</v>
      </c>
      <c r="B1297" s="445" t="s">
        <v>4490</v>
      </c>
      <c r="C1297" s="444" t="s">
        <v>4522</v>
      </c>
      <c r="D1297" s="444" t="s">
        <v>1216</v>
      </c>
      <c r="E1297" s="446">
        <v>103519000</v>
      </c>
      <c r="F1297" s="447" t="s">
        <v>1890</v>
      </c>
      <c r="G1297" s="448"/>
      <c r="H1297" s="448"/>
      <c r="I1297" s="448" t="s">
        <v>1893</v>
      </c>
    </row>
    <row r="1298" spans="1:9" x14ac:dyDescent="0.3">
      <c r="A1298" s="443" t="s">
        <v>4544</v>
      </c>
      <c r="B1298" s="445" t="s">
        <v>4490</v>
      </c>
      <c r="C1298" s="444" t="s">
        <v>4522</v>
      </c>
      <c r="D1298" s="444" t="s">
        <v>1321</v>
      </c>
      <c r="E1298" s="446">
        <v>103520000</v>
      </c>
      <c r="F1298" s="447" t="s">
        <v>1890</v>
      </c>
      <c r="G1298" s="448"/>
      <c r="H1298" s="448"/>
      <c r="I1298" s="448" t="s">
        <v>1893</v>
      </c>
    </row>
    <row r="1299" spans="1:9" x14ac:dyDescent="0.3">
      <c r="A1299" s="443" t="s">
        <v>4545</v>
      </c>
      <c r="B1299" s="445" t="s">
        <v>4490</v>
      </c>
      <c r="C1299" s="444" t="s">
        <v>4522</v>
      </c>
      <c r="D1299" s="444" t="s">
        <v>1286</v>
      </c>
      <c r="E1299" s="446">
        <v>103521000</v>
      </c>
      <c r="F1299" s="447" t="s">
        <v>1890</v>
      </c>
      <c r="G1299" s="448"/>
      <c r="H1299" s="448"/>
      <c r="I1299" s="448" t="s">
        <v>1893</v>
      </c>
    </row>
    <row r="1300" spans="1:9" x14ac:dyDescent="0.3">
      <c r="A1300" s="443" t="s">
        <v>4546</v>
      </c>
      <c r="B1300" s="445" t="s">
        <v>4490</v>
      </c>
      <c r="C1300" s="444" t="s">
        <v>4522</v>
      </c>
      <c r="D1300" s="444" t="s">
        <v>1266</v>
      </c>
      <c r="E1300" s="446">
        <v>103522000</v>
      </c>
      <c r="F1300" s="447" t="s">
        <v>1890</v>
      </c>
      <c r="G1300" s="448"/>
      <c r="H1300" s="448"/>
      <c r="I1300" s="448" t="s">
        <v>1874</v>
      </c>
    </row>
    <row r="1301" spans="1:9" x14ac:dyDescent="0.3">
      <c r="A1301" s="443" t="s">
        <v>4547</v>
      </c>
      <c r="B1301" s="445" t="s">
        <v>4490</v>
      </c>
      <c r="C1301" s="444" t="s">
        <v>4522</v>
      </c>
      <c r="D1301" s="444" t="s">
        <v>1121</v>
      </c>
      <c r="E1301" s="446">
        <v>103523000</v>
      </c>
      <c r="F1301" s="447" t="s">
        <v>1890</v>
      </c>
      <c r="G1301" s="448"/>
      <c r="H1301" s="448"/>
      <c r="I1301" s="448" t="s">
        <v>1893</v>
      </c>
    </row>
    <row r="1302" spans="1:9" x14ac:dyDescent="0.3">
      <c r="A1302" s="443" t="s">
        <v>4548</v>
      </c>
      <c r="B1302" s="445" t="s">
        <v>4490</v>
      </c>
      <c r="C1302" s="444" t="s">
        <v>4549</v>
      </c>
      <c r="D1302" s="444" t="s">
        <v>218</v>
      </c>
      <c r="E1302" s="446">
        <v>104201000</v>
      </c>
      <c r="F1302" s="447" t="s">
        <v>1890</v>
      </c>
      <c r="G1302" s="448"/>
      <c r="H1302" s="448"/>
      <c r="I1302" s="448" t="s">
        <v>1923</v>
      </c>
    </row>
    <row r="1303" spans="1:9" x14ac:dyDescent="0.3">
      <c r="A1303" s="443" t="s">
        <v>4550</v>
      </c>
      <c r="B1303" s="445" t="s">
        <v>4490</v>
      </c>
      <c r="C1303" s="444" t="s">
        <v>4549</v>
      </c>
      <c r="D1303" s="444" t="s">
        <v>290</v>
      </c>
      <c r="E1303" s="446">
        <v>104202000</v>
      </c>
      <c r="F1303" s="447" t="s">
        <v>1890</v>
      </c>
      <c r="G1303" s="448"/>
      <c r="H1303" s="448"/>
      <c r="I1303" s="448" t="s">
        <v>1893</v>
      </c>
    </row>
    <row r="1304" spans="1:9" x14ac:dyDescent="0.3">
      <c r="A1304" s="443" t="s">
        <v>4551</v>
      </c>
      <c r="B1304" s="445" t="s">
        <v>4490</v>
      </c>
      <c r="C1304" s="444" t="s">
        <v>4549</v>
      </c>
      <c r="D1304" s="444" t="s">
        <v>364</v>
      </c>
      <c r="E1304" s="446">
        <v>104203000</v>
      </c>
      <c r="F1304" s="447" t="s">
        <v>1890</v>
      </c>
      <c r="G1304" s="448"/>
      <c r="H1304" s="448"/>
      <c r="I1304" s="448" t="s">
        <v>1923</v>
      </c>
    </row>
    <row r="1305" spans="1:9" x14ac:dyDescent="0.3">
      <c r="A1305" s="443" t="s">
        <v>4552</v>
      </c>
      <c r="B1305" s="445" t="s">
        <v>4490</v>
      </c>
      <c r="C1305" s="444" t="s">
        <v>4549</v>
      </c>
      <c r="D1305" s="444" t="s">
        <v>435</v>
      </c>
      <c r="E1305" s="446">
        <v>104204000</v>
      </c>
      <c r="F1305" s="447" t="s">
        <v>1890</v>
      </c>
      <c r="G1305" s="448"/>
      <c r="H1305" s="448"/>
      <c r="I1305" s="448" t="s">
        <v>1923</v>
      </c>
    </row>
    <row r="1306" spans="1:9" x14ac:dyDescent="0.3">
      <c r="A1306" s="443" t="s">
        <v>4553</v>
      </c>
      <c r="B1306" s="445" t="s">
        <v>4490</v>
      </c>
      <c r="C1306" s="444" t="s">
        <v>4549</v>
      </c>
      <c r="D1306" s="444" t="s">
        <v>711</v>
      </c>
      <c r="E1306" s="446">
        <v>104205000</v>
      </c>
      <c r="F1306" s="447" t="s">
        <v>1890</v>
      </c>
      <c r="G1306" s="448"/>
      <c r="H1306" s="448"/>
      <c r="I1306" s="448" t="s">
        <v>1923</v>
      </c>
    </row>
    <row r="1307" spans="1:9" x14ac:dyDescent="0.3">
      <c r="A1307" s="443" t="s">
        <v>4554</v>
      </c>
      <c r="B1307" s="445" t="s">
        <v>4490</v>
      </c>
      <c r="C1307" s="444" t="s">
        <v>4549</v>
      </c>
      <c r="D1307" s="444" t="s">
        <v>482</v>
      </c>
      <c r="E1307" s="446">
        <v>104206000</v>
      </c>
      <c r="F1307" s="447" t="s">
        <v>1890</v>
      </c>
      <c r="G1307" s="448"/>
      <c r="H1307" s="448"/>
      <c r="I1307" s="448" t="s">
        <v>4146</v>
      </c>
    </row>
    <row r="1308" spans="1:9" x14ac:dyDescent="0.3">
      <c r="A1308" s="443" t="s">
        <v>4555</v>
      </c>
      <c r="B1308" s="445" t="s">
        <v>4490</v>
      </c>
      <c r="C1308" s="444" t="s">
        <v>4549</v>
      </c>
      <c r="D1308" s="444" t="s">
        <v>888</v>
      </c>
      <c r="E1308" s="446">
        <v>104207000</v>
      </c>
      <c r="F1308" s="447" t="s">
        <v>1890</v>
      </c>
      <c r="G1308" s="448"/>
      <c r="H1308" s="448"/>
      <c r="I1308" s="448" t="s">
        <v>1927</v>
      </c>
    </row>
    <row r="1309" spans="1:9" x14ac:dyDescent="0.3">
      <c r="A1309" s="443" t="s">
        <v>4556</v>
      </c>
      <c r="B1309" s="445" t="s">
        <v>4490</v>
      </c>
      <c r="C1309" s="444" t="s">
        <v>4549</v>
      </c>
      <c r="D1309" s="444" t="s">
        <v>4557</v>
      </c>
      <c r="E1309" s="446">
        <v>104208000</v>
      </c>
      <c r="F1309" s="447" t="s">
        <v>1890</v>
      </c>
      <c r="G1309" s="448"/>
      <c r="H1309" s="448"/>
      <c r="I1309" s="448" t="s">
        <v>1923</v>
      </c>
    </row>
    <row r="1310" spans="1:9" x14ac:dyDescent="0.3">
      <c r="A1310" s="443" t="s">
        <v>4558</v>
      </c>
      <c r="B1310" s="445" t="s">
        <v>4490</v>
      </c>
      <c r="C1310" s="444" t="s">
        <v>4549</v>
      </c>
      <c r="D1310" s="444" t="s">
        <v>4559</v>
      </c>
      <c r="E1310" s="446">
        <v>104209000</v>
      </c>
      <c r="F1310" s="447" t="s">
        <v>1854</v>
      </c>
      <c r="G1310" s="448"/>
      <c r="H1310" s="448" t="s">
        <v>1961</v>
      </c>
      <c r="I1310" s="448" t="s">
        <v>1923</v>
      </c>
    </row>
    <row r="1311" spans="1:9" x14ac:dyDescent="0.3">
      <c r="A1311" s="443" t="s">
        <v>4560</v>
      </c>
      <c r="B1311" s="445" t="s">
        <v>4490</v>
      </c>
      <c r="C1311" s="444" t="s">
        <v>4549</v>
      </c>
      <c r="D1311" s="444" t="s">
        <v>4561</v>
      </c>
      <c r="E1311" s="446">
        <v>104210000</v>
      </c>
      <c r="F1311" s="447" t="s">
        <v>1854</v>
      </c>
      <c r="G1311" s="448"/>
      <c r="H1311" s="448" t="s">
        <v>1961</v>
      </c>
      <c r="I1311" s="448" t="s">
        <v>1927</v>
      </c>
    </row>
    <row r="1312" spans="1:9" x14ac:dyDescent="0.3">
      <c r="A1312" s="443" t="s">
        <v>4562</v>
      </c>
      <c r="B1312" s="445" t="s">
        <v>4490</v>
      </c>
      <c r="C1312" s="444" t="s">
        <v>4549</v>
      </c>
      <c r="D1312" s="444" t="s">
        <v>993</v>
      </c>
      <c r="E1312" s="446">
        <v>104211000</v>
      </c>
      <c r="F1312" s="447" t="s">
        <v>1890</v>
      </c>
      <c r="G1312" s="448"/>
      <c r="H1312" s="448"/>
      <c r="I1312" s="448" t="s">
        <v>1893</v>
      </c>
    </row>
    <row r="1313" spans="1:9" x14ac:dyDescent="0.3">
      <c r="A1313" s="443" t="s">
        <v>4563</v>
      </c>
      <c r="B1313" s="445" t="s">
        <v>4490</v>
      </c>
      <c r="C1313" s="444" t="s">
        <v>4549</v>
      </c>
      <c r="D1313" s="444" t="s">
        <v>1042</v>
      </c>
      <c r="E1313" s="446">
        <v>104212000</v>
      </c>
      <c r="F1313" s="447" t="s">
        <v>1890</v>
      </c>
      <c r="G1313" s="448"/>
      <c r="H1313" s="448"/>
      <c r="I1313" s="448" t="s">
        <v>1927</v>
      </c>
    </row>
    <row r="1314" spans="1:9" x14ac:dyDescent="0.3">
      <c r="A1314" s="443" t="s">
        <v>4564</v>
      </c>
      <c r="B1314" s="445" t="s">
        <v>4490</v>
      </c>
      <c r="C1314" s="444" t="s">
        <v>4549</v>
      </c>
      <c r="D1314" s="444" t="s">
        <v>4565</v>
      </c>
      <c r="E1314" s="446">
        <v>104213000</v>
      </c>
      <c r="F1314" s="447" t="s">
        <v>1890</v>
      </c>
      <c r="G1314" s="448"/>
      <c r="H1314" s="448"/>
      <c r="I1314" s="448" t="s">
        <v>3400</v>
      </c>
    </row>
    <row r="1315" spans="1:9" x14ac:dyDescent="0.3">
      <c r="A1315" s="443" t="s">
        <v>4566</v>
      </c>
      <c r="B1315" s="445" t="s">
        <v>4490</v>
      </c>
      <c r="C1315" s="444" t="s">
        <v>4549</v>
      </c>
      <c r="D1315" s="444" t="s">
        <v>1122</v>
      </c>
      <c r="E1315" s="446">
        <v>104214000</v>
      </c>
      <c r="F1315" s="447" t="s">
        <v>1890</v>
      </c>
      <c r="G1315" s="448"/>
      <c r="H1315" s="448"/>
      <c r="I1315" s="448" t="s">
        <v>1893</v>
      </c>
    </row>
    <row r="1316" spans="1:9" x14ac:dyDescent="0.3">
      <c r="A1316" s="443" t="s">
        <v>4567</v>
      </c>
      <c r="B1316" s="445" t="s">
        <v>4490</v>
      </c>
      <c r="C1316" s="444" t="s">
        <v>4549</v>
      </c>
      <c r="D1316" s="444" t="s">
        <v>4568</v>
      </c>
      <c r="E1316" s="446">
        <v>104215000</v>
      </c>
      <c r="F1316" s="447" t="s">
        <v>1854</v>
      </c>
      <c r="G1316" s="448"/>
      <c r="H1316" s="448" t="s">
        <v>1961</v>
      </c>
      <c r="I1316" s="448" t="s">
        <v>1923</v>
      </c>
    </row>
    <row r="1317" spans="1:9" x14ac:dyDescent="0.3">
      <c r="A1317" s="443" t="s">
        <v>4569</v>
      </c>
      <c r="B1317" s="445" t="s">
        <v>4490</v>
      </c>
      <c r="C1317" s="444" t="s">
        <v>4549</v>
      </c>
      <c r="D1317" s="444" t="s">
        <v>1158</v>
      </c>
      <c r="E1317" s="446">
        <v>104216000</v>
      </c>
      <c r="F1317" s="447" t="s">
        <v>1890</v>
      </c>
      <c r="G1317" s="448"/>
      <c r="H1317" s="448"/>
      <c r="I1317" s="448" t="s">
        <v>1923</v>
      </c>
    </row>
    <row r="1318" spans="1:9" x14ac:dyDescent="0.3">
      <c r="A1318" s="443" t="s">
        <v>4570</v>
      </c>
      <c r="B1318" s="445" t="s">
        <v>4490</v>
      </c>
      <c r="C1318" s="444" t="s">
        <v>4549</v>
      </c>
      <c r="D1318" s="444" t="s">
        <v>4571</v>
      </c>
      <c r="E1318" s="454">
        <v>104217000</v>
      </c>
      <c r="F1318" s="455" t="s">
        <v>1890</v>
      </c>
      <c r="G1318" s="456" t="s">
        <v>4441</v>
      </c>
      <c r="H1318" s="456"/>
      <c r="I1318" s="456" t="s">
        <v>1923</v>
      </c>
    </row>
    <row r="1319" spans="1:9" x14ac:dyDescent="0.3">
      <c r="A1319" s="443" t="s">
        <v>4572</v>
      </c>
      <c r="B1319" s="445" t="s">
        <v>4490</v>
      </c>
      <c r="C1319" s="444" t="s">
        <v>4573</v>
      </c>
      <c r="D1319" s="444" t="s">
        <v>219</v>
      </c>
      <c r="E1319" s="446">
        <v>104301000</v>
      </c>
      <c r="F1319" s="447" t="s">
        <v>1890</v>
      </c>
      <c r="G1319" s="448"/>
      <c r="H1319" s="448"/>
      <c r="I1319" s="448" t="s">
        <v>1923</v>
      </c>
    </row>
    <row r="1320" spans="1:9" x14ac:dyDescent="0.3">
      <c r="A1320" s="443" t="s">
        <v>4574</v>
      </c>
      <c r="B1320" s="445" t="s">
        <v>4490</v>
      </c>
      <c r="C1320" s="444" t="s">
        <v>4573</v>
      </c>
      <c r="D1320" s="444" t="s">
        <v>291</v>
      </c>
      <c r="E1320" s="446">
        <v>104302000</v>
      </c>
      <c r="F1320" s="447" t="s">
        <v>1890</v>
      </c>
      <c r="G1320" s="448"/>
      <c r="H1320" s="448"/>
      <c r="I1320" s="448" t="s">
        <v>1874</v>
      </c>
    </row>
    <row r="1321" spans="1:9" x14ac:dyDescent="0.3">
      <c r="A1321" s="443" t="s">
        <v>4575</v>
      </c>
      <c r="B1321" s="445" t="s">
        <v>4490</v>
      </c>
      <c r="C1321" s="444" t="s">
        <v>4573</v>
      </c>
      <c r="D1321" s="444" t="s">
        <v>365</v>
      </c>
      <c r="E1321" s="446">
        <v>104303000</v>
      </c>
      <c r="F1321" s="447" t="s">
        <v>1890</v>
      </c>
      <c r="G1321" s="448"/>
      <c r="H1321" s="448"/>
      <c r="I1321" s="448" t="s">
        <v>1893</v>
      </c>
    </row>
    <row r="1322" spans="1:9" x14ac:dyDescent="0.3">
      <c r="A1322" s="443" t="s">
        <v>4576</v>
      </c>
      <c r="B1322" s="445" t="s">
        <v>4490</v>
      </c>
      <c r="C1322" s="444" t="s">
        <v>4573</v>
      </c>
      <c r="D1322" s="444" t="s">
        <v>436</v>
      </c>
      <c r="E1322" s="446">
        <v>104304000</v>
      </c>
      <c r="F1322" s="447" t="s">
        <v>1890</v>
      </c>
      <c r="G1322" s="448"/>
      <c r="H1322" s="448"/>
      <c r="I1322" s="448" t="s">
        <v>1896</v>
      </c>
    </row>
    <row r="1323" spans="1:9" x14ac:dyDescent="0.3">
      <c r="A1323" s="443" t="s">
        <v>4577</v>
      </c>
      <c r="B1323" s="445" t="s">
        <v>4490</v>
      </c>
      <c r="C1323" s="444" t="s">
        <v>4573</v>
      </c>
      <c r="D1323" s="444" t="s">
        <v>690</v>
      </c>
      <c r="E1323" s="446">
        <v>104306000</v>
      </c>
      <c r="F1323" s="447" t="s">
        <v>1890</v>
      </c>
      <c r="G1323" s="448"/>
      <c r="H1323" s="448"/>
      <c r="I1323" s="448" t="s">
        <v>1856</v>
      </c>
    </row>
    <row r="1324" spans="1:9" x14ac:dyDescent="0.3">
      <c r="A1324" s="443" t="s">
        <v>4578</v>
      </c>
      <c r="B1324" s="445" t="s">
        <v>4490</v>
      </c>
      <c r="C1324" s="444" t="s">
        <v>4573</v>
      </c>
      <c r="D1324" s="444" t="s">
        <v>4579</v>
      </c>
      <c r="E1324" s="446">
        <v>104307000</v>
      </c>
      <c r="F1324" s="447" t="s">
        <v>1854</v>
      </c>
      <c r="G1324" s="448"/>
      <c r="H1324" s="448" t="s">
        <v>1961</v>
      </c>
      <c r="I1324" s="448" t="s">
        <v>1896</v>
      </c>
    </row>
    <row r="1325" spans="1:9" x14ac:dyDescent="0.3">
      <c r="A1325" s="443" t="s">
        <v>4580</v>
      </c>
      <c r="B1325" s="445" t="s">
        <v>4490</v>
      </c>
      <c r="C1325" s="444" t="s">
        <v>4573</v>
      </c>
      <c r="D1325" s="444" t="s">
        <v>4581</v>
      </c>
      <c r="E1325" s="446">
        <v>104308000</v>
      </c>
      <c r="F1325" s="447" t="s">
        <v>1854</v>
      </c>
      <c r="G1325" s="448"/>
      <c r="H1325" s="448" t="s">
        <v>1961</v>
      </c>
      <c r="I1325" s="448" t="s">
        <v>1874</v>
      </c>
    </row>
    <row r="1326" spans="1:9" x14ac:dyDescent="0.3">
      <c r="A1326" s="443" t="s">
        <v>4582</v>
      </c>
      <c r="B1326" s="445" t="s">
        <v>4490</v>
      </c>
      <c r="C1326" s="444" t="s">
        <v>4573</v>
      </c>
      <c r="D1326" s="444" t="s">
        <v>775</v>
      </c>
      <c r="E1326" s="446">
        <v>104309000</v>
      </c>
      <c r="F1326" s="447" t="s">
        <v>1890</v>
      </c>
      <c r="G1326" s="448"/>
      <c r="H1326" s="448"/>
      <c r="I1326" s="448" t="s">
        <v>1893</v>
      </c>
    </row>
    <row r="1327" spans="1:9" x14ac:dyDescent="0.3">
      <c r="A1327" s="443" t="s">
        <v>4583</v>
      </c>
      <c r="B1327" s="445" t="s">
        <v>4490</v>
      </c>
      <c r="C1327" s="444" t="s">
        <v>4573</v>
      </c>
      <c r="D1327" s="444" t="s">
        <v>834</v>
      </c>
      <c r="E1327" s="446">
        <v>104310000</v>
      </c>
      <c r="F1327" s="447" t="s">
        <v>1890</v>
      </c>
      <c r="G1327" s="448"/>
      <c r="H1327" s="448"/>
      <c r="I1327" s="448" t="s">
        <v>1927</v>
      </c>
    </row>
    <row r="1328" spans="1:9" x14ac:dyDescent="0.3">
      <c r="A1328" s="443" t="s">
        <v>4584</v>
      </c>
      <c r="B1328" s="445" t="s">
        <v>4490</v>
      </c>
      <c r="C1328" s="444" t="s">
        <v>4573</v>
      </c>
      <c r="D1328" s="444" t="s">
        <v>889</v>
      </c>
      <c r="E1328" s="446">
        <v>104311000</v>
      </c>
      <c r="F1328" s="447" t="s">
        <v>1890</v>
      </c>
      <c r="G1328" s="448"/>
      <c r="H1328" s="448"/>
      <c r="I1328" s="448" t="s">
        <v>1874</v>
      </c>
    </row>
    <row r="1329" spans="1:9" x14ac:dyDescent="0.3">
      <c r="A1329" s="443" t="s">
        <v>4585</v>
      </c>
      <c r="B1329" s="445" t="s">
        <v>4490</v>
      </c>
      <c r="C1329" s="444" t="s">
        <v>4573</v>
      </c>
      <c r="D1329" s="444" t="s">
        <v>947</v>
      </c>
      <c r="E1329" s="446">
        <v>104312000</v>
      </c>
      <c r="F1329" s="447" t="s">
        <v>1890</v>
      </c>
      <c r="G1329" s="448"/>
      <c r="H1329" s="448"/>
      <c r="I1329" s="448" t="s">
        <v>1893</v>
      </c>
    </row>
    <row r="1330" spans="1:9" x14ac:dyDescent="0.3">
      <c r="A1330" s="443" t="s">
        <v>4586</v>
      </c>
      <c r="B1330" s="445" t="s">
        <v>4490</v>
      </c>
      <c r="C1330" s="444" t="s">
        <v>4573</v>
      </c>
      <c r="D1330" s="444" t="s">
        <v>994</v>
      </c>
      <c r="E1330" s="446">
        <v>104313000</v>
      </c>
      <c r="F1330" s="447" t="s">
        <v>1890</v>
      </c>
      <c r="G1330" s="448"/>
      <c r="H1330" s="448"/>
      <c r="I1330" s="448" t="s">
        <v>1893</v>
      </c>
    </row>
    <row r="1331" spans="1:9" x14ac:dyDescent="0.3">
      <c r="A1331" s="443" t="s">
        <v>4587</v>
      </c>
      <c r="B1331" s="445" t="s">
        <v>4490</v>
      </c>
      <c r="C1331" s="444" t="s">
        <v>4573</v>
      </c>
      <c r="D1331" s="444" t="s">
        <v>1043</v>
      </c>
      <c r="E1331" s="446">
        <v>104314000</v>
      </c>
      <c r="F1331" s="447" t="s">
        <v>1890</v>
      </c>
      <c r="G1331" s="448"/>
      <c r="H1331" s="448"/>
      <c r="I1331" s="448" t="s">
        <v>1923</v>
      </c>
    </row>
    <row r="1332" spans="1:9" x14ac:dyDescent="0.3">
      <c r="A1332" s="443" t="s">
        <v>4588</v>
      </c>
      <c r="B1332" s="445" t="s">
        <v>4490</v>
      </c>
      <c r="C1332" s="444" t="s">
        <v>4573</v>
      </c>
      <c r="D1332" s="444" t="s">
        <v>818</v>
      </c>
      <c r="E1332" s="446">
        <v>104315000</v>
      </c>
      <c r="F1332" s="447" t="s">
        <v>1890</v>
      </c>
      <c r="G1332" s="448"/>
      <c r="H1332" s="448"/>
      <c r="I1332" s="448" t="s">
        <v>1893</v>
      </c>
    </row>
    <row r="1333" spans="1:9" x14ac:dyDescent="0.3">
      <c r="A1333" s="443" t="s">
        <v>4589</v>
      </c>
      <c r="B1333" s="445" t="s">
        <v>4490</v>
      </c>
      <c r="C1333" s="444" t="s">
        <v>4573</v>
      </c>
      <c r="D1333" s="444" t="s">
        <v>1123</v>
      </c>
      <c r="E1333" s="446">
        <v>104316000</v>
      </c>
      <c r="F1333" s="447" t="s">
        <v>1890</v>
      </c>
      <c r="G1333" s="448"/>
      <c r="H1333" s="448"/>
      <c r="I1333" s="448" t="s">
        <v>1874</v>
      </c>
    </row>
    <row r="1334" spans="1:9" x14ac:dyDescent="0.3">
      <c r="A1334" s="443" t="s">
        <v>4590</v>
      </c>
      <c r="B1334" s="445" t="s">
        <v>4490</v>
      </c>
      <c r="C1334" s="444" t="s">
        <v>4573</v>
      </c>
      <c r="D1334" s="444" t="s">
        <v>479</v>
      </c>
      <c r="E1334" s="446">
        <v>104317000</v>
      </c>
      <c r="F1334" s="447" t="s">
        <v>1890</v>
      </c>
      <c r="G1334" s="448" t="s">
        <v>4591</v>
      </c>
      <c r="H1334" s="448"/>
      <c r="I1334" s="448" t="s">
        <v>1923</v>
      </c>
    </row>
    <row r="1335" spans="1:9" x14ac:dyDescent="0.3">
      <c r="A1335" s="443" t="s">
        <v>4592</v>
      </c>
      <c r="B1335" s="445" t="s">
        <v>4490</v>
      </c>
      <c r="C1335" s="444" t="s">
        <v>4573</v>
      </c>
      <c r="D1335" s="444" t="s">
        <v>1187</v>
      </c>
      <c r="E1335" s="446">
        <v>104318000</v>
      </c>
      <c r="F1335" s="447" t="s">
        <v>1890</v>
      </c>
      <c r="G1335" s="448"/>
      <c r="H1335" s="448"/>
      <c r="I1335" s="448" t="s">
        <v>1923</v>
      </c>
    </row>
    <row r="1336" spans="1:9" x14ac:dyDescent="0.3">
      <c r="A1336" s="443" t="s">
        <v>4593</v>
      </c>
      <c r="B1336" s="445" t="s">
        <v>4490</v>
      </c>
      <c r="C1336" s="444" t="s">
        <v>4573</v>
      </c>
      <c r="D1336" s="444" t="s">
        <v>1217</v>
      </c>
      <c r="E1336" s="446">
        <v>104319000</v>
      </c>
      <c r="F1336" s="447" t="s">
        <v>1890</v>
      </c>
      <c r="G1336" s="448"/>
      <c r="H1336" s="448"/>
      <c r="I1336" s="448" t="s">
        <v>1923</v>
      </c>
    </row>
    <row r="1337" spans="1:9" x14ac:dyDescent="0.3">
      <c r="A1337" s="443" t="s">
        <v>4594</v>
      </c>
      <c r="B1337" s="445" t="s">
        <v>4490</v>
      </c>
      <c r="C1337" s="444" t="s">
        <v>4573</v>
      </c>
      <c r="D1337" s="444" t="s">
        <v>1244</v>
      </c>
      <c r="E1337" s="446">
        <v>104320000</v>
      </c>
      <c r="F1337" s="447" t="s">
        <v>1890</v>
      </c>
      <c r="G1337" s="448"/>
      <c r="H1337" s="448"/>
      <c r="I1337" s="448" t="s">
        <v>1923</v>
      </c>
    </row>
    <row r="1338" spans="1:9" x14ac:dyDescent="0.3">
      <c r="A1338" s="443" t="s">
        <v>4595</v>
      </c>
      <c r="B1338" s="445" t="s">
        <v>4490</v>
      </c>
      <c r="C1338" s="444" t="s">
        <v>4573</v>
      </c>
      <c r="D1338" s="444" t="s">
        <v>1265</v>
      </c>
      <c r="E1338" s="446">
        <v>104321000</v>
      </c>
      <c r="F1338" s="447" t="s">
        <v>1890</v>
      </c>
      <c r="G1338" s="448"/>
      <c r="H1338" s="448"/>
      <c r="I1338" s="448" t="s">
        <v>1874</v>
      </c>
    </row>
    <row r="1339" spans="1:9" x14ac:dyDescent="0.3">
      <c r="A1339" s="443" t="s">
        <v>4596</v>
      </c>
      <c r="B1339" s="445" t="s">
        <v>4490</v>
      </c>
      <c r="C1339" s="444" t="s">
        <v>4573</v>
      </c>
      <c r="D1339" s="444" t="s">
        <v>1287</v>
      </c>
      <c r="E1339" s="446">
        <v>104322000</v>
      </c>
      <c r="F1339" s="447" t="s">
        <v>1890</v>
      </c>
      <c r="G1339" s="448"/>
      <c r="H1339" s="448"/>
      <c r="I1339" s="448" t="s">
        <v>1923</v>
      </c>
    </row>
    <row r="1340" spans="1:9" x14ac:dyDescent="0.3">
      <c r="A1340" s="443" t="s">
        <v>4597</v>
      </c>
      <c r="B1340" s="445" t="s">
        <v>4490</v>
      </c>
      <c r="C1340" s="444" t="s">
        <v>4573</v>
      </c>
      <c r="D1340" s="444" t="s">
        <v>1306</v>
      </c>
      <c r="E1340" s="446">
        <v>104323000</v>
      </c>
      <c r="F1340" s="447" t="s">
        <v>1890</v>
      </c>
      <c r="G1340" s="448"/>
      <c r="H1340" s="448"/>
      <c r="I1340" s="448" t="s">
        <v>1893</v>
      </c>
    </row>
    <row r="1341" spans="1:9" x14ac:dyDescent="0.3">
      <c r="A1341" s="443" t="s">
        <v>4598</v>
      </c>
      <c r="B1341" s="445" t="s">
        <v>4490</v>
      </c>
      <c r="C1341" s="444" t="s">
        <v>4573</v>
      </c>
      <c r="D1341" s="444" t="s">
        <v>1321</v>
      </c>
      <c r="E1341" s="446">
        <v>104324000</v>
      </c>
      <c r="F1341" s="447" t="s">
        <v>1890</v>
      </c>
      <c r="G1341" s="448"/>
      <c r="H1341" s="448"/>
      <c r="I1341" s="448" t="s">
        <v>1856</v>
      </c>
    </row>
    <row r="1342" spans="1:9" x14ac:dyDescent="0.3">
      <c r="A1342" s="443" t="s">
        <v>4599</v>
      </c>
      <c r="B1342" s="445" t="s">
        <v>4490</v>
      </c>
      <c r="C1342" s="444" t="s">
        <v>4573</v>
      </c>
      <c r="D1342" s="444" t="s">
        <v>1339</v>
      </c>
      <c r="E1342" s="446">
        <v>104325000</v>
      </c>
      <c r="F1342" s="447" t="s">
        <v>1890</v>
      </c>
      <c r="G1342" s="448"/>
      <c r="H1342" s="448"/>
      <c r="I1342" s="448" t="s">
        <v>1923</v>
      </c>
    </row>
    <row r="1343" spans="1:9" x14ac:dyDescent="0.3">
      <c r="A1343" s="443" t="s">
        <v>4600</v>
      </c>
      <c r="B1343" s="445" t="s">
        <v>4490</v>
      </c>
      <c r="C1343" s="444" t="s">
        <v>4573</v>
      </c>
      <c r="D1343" s="444" t="s">
        <v>1352</v>
      </c>
      <c r="E1343" s="446">
        <v>104326000</v>
      </c>
      <c r="F1343" s="447" t="s">
        <v>1890</v>
      </c>
      <c r="G1343" s="448"/>
      <c r="H1343" s="448"/>
      <c r="I1343" s="448" t="s">
        <v>1874</v>
      </c>
    </row>
    <row r="1344" spans="1:9" x14ac:dyDescent="0.3">
      <c r="A1344" s="443" t="s">
        <v>4601</v>
      </c>
      <c r="B1344" s="445" t="s">
        <v>4490</v>
      </c>
      <c r="C1344" s="445" t="s">
        <v>4573</v>
      </c>
      <c r="D1344" s="444" t="s">
        <v>4602</v>
      </c>
      <c r="E1344" s="446">
        <v>104305000</v>
      </c>
      <c r="F1344" s="447" t="s">
        <v>1854</v>
      </c>
      <c r="G1344" s="448"/>
      <c r="H1344" s="448" t="s">
        <v>1855</v>
      </c>
      <c r="I1344" s="448" t="s">
        <v>1856</v>
      </c>
    </row>
    <row r="1345" spans="1:9" ht="43.2" x14ac:dyDescent="0.3">
      <c r="A1345" s="443" t="s">
        <v>4603</v>
      </c>
      <c r="B1345" s="445" t="s">
        <v>4490</v>
      </c>
      <c r="C1345" s="445" t="s">
        <v>4522</v>
      </c>
      <c r="D1345" s="444" t="s">
        <v>4604</v>
      </c>
      <c r="E1345" s="446">
        <v>103504000</v>
      </c>
      <c r="F1345" s="447" t="s">
        <v>1854</v>
      </c>
      <c r="G1345" s="448"/>
      <c r="H1345" s="448" t="s">
        <v>1855</v>
      </c>
      <c r="I1345" s="448" t="s">
        <v>4605</v>
      </c>
    </row>
    <row r="1346" spans="1:9" x14ac:dyDescent="0.3">
      <c r="A1346" s="443" t="s">
        <v>4606</v>
      </c>
      <c r="B1346" s="445" t="s">
        <v>4607</v>
      </c>
      <c r="C1346" s="444" t="s">
        <v>4608</v>
      </c>
      <c r="D1346" s="444" t="s">
        <v>220</v>
      </c>
      <c r="E1346" s="446">
        <v>112301000</v>
      </c>
      <c r="F1346" s="447" t="s">
        <v>1890</v>
      </c>
      <c r="G1346" s="448" t="s">
        <v>4609</v>
      </c>
      <c r="H1346" s="448"/>
      <c r="I1346" s="448" t="s">
        <v>1856</v>
      </c>
    </row>
    <row r="1347" spans="1:9" x14ac:dyDescent="0.3">
      <c r="A1347" s="443" t="s">
        <v>4610</v>
      </c>
      <c r="B1347" s="445" t="s">
        <v>4607</v>
      </c>
      <c r="C1347" s="444" t="s">
        <v>4608</v>
      </c>
      <c r="D1347" s="444" t="s">
        <v>366</v>
      </c>
      <c r="E1347" s="446">
        <v>112303000</v>
      </c>
      <c r="F1347" s="447" t="s">
        <v>1890</v>
      </c>
      <c r="G1347" s="448"/>
      <c r="H1347" s="448"/>
      <c r="I1347" s="448" t="s">
        <v>1856</v>
      </c>
    </row>
    <row r="1348" spans="1:9" x14ac:dyDescent="0.3">
      <c r="A1348" s="443" t="s">
        <v>4611</v>
      </c>
      <c r="B1348" s="445" t="s">
        <v>4607</v>
      </c>
      <c r="C1348" s="444" t="s">
        <v>4608</v>
      </c>
      <c r="D1348" s="444" t="s">
        <v>647</v>
      </c>
      <c r="E1348" s="446">
        <v>112305000</v>
      </c>
      <c r="F1348" s="447" t="s">
        <v>1890</v>
      </c>
      <c r="G1348" s="448"/>
      <c r="H1348" s="448"/>
      <c r="I1348" s="448" t="s">
        <v>1856</v>
      </c>
    </row>
    <row r="1349" spans="1:9" x14ac:dyDescent="0.3">
      <c r="A1349" s="443" t="s">
        <v>4612</v>
      </c>
      <c r="B1349" s="445" t="s">
        <v>4607</v>
      </c>
      <c r="C1349" s="444" t="s">
        <v>4608</v>
      </c>
      <c r="D1349" s="444" t="s">
        <v>4613</v>
      </c>
      <c r="E1349" s="446">
        <v>112314000</v>
      </c>
      <c r="F1349" s="447" t="s">
        <v>1890</v>
      </c>
      <c r="G1349" s="448"/>
      <c r="H1349" s="448"/>
      <c r="I1349" s="448" t="s">
        <v>1874</v>
      </c>
    </row>
    <row r="1350" spans="1:9" x14ac:dyDescent="0.3">
      <c r="A1350" s="443" t="s">
        <v>4614</v>
      </c>
      <c r="B1350" s="445" t="s">
        <v>4607</v>
      </c>
      <c r="C1350" s="444" t="s">
        <v>4608</v>
      </c>
      <c r="D1350" s="444" t="s">
        <v>4615</v>
      </c>
      <c r="E1350" s="446">
        <v>112315000</v>
      </c>
      <c r="F1350" s="447" t="s">
        <v>1854</v>
      </c>
      <c r="G1350" s="448"/>
      <c r="H1350" s="448" t="s">
        <v>1961</v>
      </c>
      <c r="I1350" s="448" t="s">
        <v>1927</v>
      </c>
    </row>
    <row r="1351" spans="1:9" x14ac:dyDescent="0.3">
      <c r="A1351" s="443" t="s">
        <v>4616</v>
      </c>
      <c r="B1351" s="445" t="s">
        <v>4607</v>
      </c>
      <c r="C1351" s="444" t="s">
        <v>4608</v>
      </c>
      <c r="D1351" s="444" t="s">
        <v>4617</v>
      </c>
      <c r="E1351" s="446">
        <v>112317000</v>
      </c>
      <c r="F1351" s="447" t="s">
        <v>1854</v>
      </c>
      <c r="G1351" s="448"/>
      <c r="H1351" s="448" t="s">
        <v>1961</v>
      </c>
      <c r="I1351" s="448" t="s">
        <v>1923</v>
      </c>
    </row>
    <row r="1352" spans="1:9" x14ac:dyDescent="0.3">
      <c r="A1352" s="443" t="s">
        <v>4618</v>
      </c>
      <c r="B1352" s="445" t="s">
        <v>4607</v>
      </c>
      <c r="C1352" s="444" t="s">
        <v>4608</v>
      </c>
      <c r="D1352" s="444" t="s">
        <v>2158</v>
      </c>
      <c r="E1352" s="446">
        <v>112318000</v>
      </c>
      <c r="F1352" s="447" t="s">
        <v>1890</v>
      </c>
      <c r="G1352" s="448"/>
      <c r="H1352" s="448"/>
      <c r="I1352" s="448" t="s">
        <v>1856</v>
      </c>
    </row>
    <row r="1353" spans="1:9" x14ac:dyDescent="0.3">
      <c r="A1353" s="443" t="s">
        <v>4619</v>
      </c>
      <c r="B1353" s="445" t="s">
        <v>4607</v>
      </c>
      <c r="C1353" s="444" t="s">
        <v>4608</v>
      </c>
      <c r="D1353" s="444" t="s">
        <v>4620</v>
      </c>
      <c r="E1353" s="446">
        <v>112319000</v>
      </c>
      <c r="F1353" s="447" t="s">
        <v>1854</v>
      </c>
      <c r="G1353" s="448"/>
      <c r="H1353" s="448" t="s">
        <v>1961</v>
      </c>
      <c r="I1353" s="448" t="s">
        <v>1856</v>
      </c>
    </row>
    <row r="1354" spans="1:9" x14ac:dyDescent="0.3">
      <c r="A1354" s="443" t="s">
        <v>4621</v>
      </c>
      <c r="B1354" s="445" t="s">
        <v>4607</v>
      </c>
      <c r="C1354" s="444" t="s">
        <v>4608</v>
      </c>
      <c r="D1354" s="444" t="s">
        <v>890</v>
      </c>
      <c r="E1354" s="446">
        <v>112322000</v>
      </c>
      <c r="F1354" s="447" t="s">
        <v>1890</v>
      </c>
      <c r="G1354" s="448"/>
      <c r="H1354" s="448"/>
      <c r="I1354" s="448" t="s">
        <v>1874</v>
      </c>
    </row>
    <row r="1355" spans="1:9" x14ac:dyDescent="0.3">
      <c r="A1355" s="443" t="s">
        <v>4622</v>
      </c>
      <c r="B1355" s="445" t="s">
        <v>4607</v>
      </c>
      <c r="C1355" s="444" t="s">
        <v>4608</v>
      </c>
      <c r="D1355" s="444" t="s">
        <v>4623</v>
      </c>
      <c r="E1355" s="446">
        <v>112323000</v>
      </c>
      <c r="F1355" s="447" t="s">
        <v>1890</v>
      </c>
      <c r="G1355" s="448"/>
      <c r="H1355" s="448"/>
      <c r="I1355" s="448" t="s">
        <v>1923</v>
      </c>
    </row>
    <row r="1356" spans="1:9" x14ac:dyDescent="0.3">
      <c r="A1356" s="443" t="s">
        <v>4624</v>
      </c>
      <c r="B1356" s="445" t="s">
        <v>4607</v>
      </c>
      <c r="C1356" s="444" t="s">
        <v>4608</v>
      </c>
      <c r="D1356" s="444" t="s">
        <v>1916</v>
      </c>
      <c r="E1356" s="446">
        <v>112324000</v>
      </c>
      <c r="F1356" s="447" t="s">
        <v>1890</v>
      </c>
      <c r="G1356" s="448"/>
      <c r="H1356" s="448"/>
      <c r="I1356" s="448" t="s">
        <v>1893</v>
      </c>
    </row>
    <row r="1357" spans="1:9" x14ac:dyDescent="0.3">
      <c r="A1357" s="443" t="s">
        <v>4625</v>
      </c>
      <c r="B1357" s="445" t="s">
        <v>4607</v>
      </c>
      <c r="C1357" s="444" t="s">
        <v>4626</v>
      </c>
      <c r="D1357" s="444" t="s">
        <v>221</v>
      </c>
      <c r="E1357" s="446">
        <v>112401000</v>
      </c>
      <c r="F1357" s="447" t="s">
        <v>1890</v>
      </c>
      <c r="G1357" s="448"/>
      <c r="H1357" s="448"/>
      <c r="I1357" s="448" t="s">
        <v>1856</v>
      </c>
    </row>
    <row r="1358" spans="1:9" x14ac:dyDescent="0.3">
      <c r="A1358" s="443" t="s">
        <v>4627</v>
      </c>
      <c r="B1358" s="445" t="s">
        <v>4607</v>
      </c>
      <c r="C1358" s="444" t="s">
        <v>4626</v>
      </c>
      <c r="D1358" s="444" t="s">
        <v>4628</v>
      </c>
      <c r="E1358" s="446">
        <v>112403000</v>
      </c>
      <c r="F1358" s="447" t="s">
        <v>1854</v>
      </c>
      <c r="G1358" s="448"/>
      <c r="H1358" s="448" t="s">
        <v>1961</v>
      </c>
      <c r="I1358" s="448" t="s">
        <v>1874</v>
      </c>
    </row>
    <row r="1359" spans="1:9" x14ac:dyDescent="0.3">
      <c r="A1359" s="443" t="s">
        <v>4629</v>
      </c>
      <c r="B1359" s="445" t="s">
        <v>4607</v>
      </c>
      <c r="C1359" s="444" t="s">
        <v>4626</v>
      </c>
      <c r="D1359" s="444" t="s">
        <v>438</v>
      </c>
      <c r="E1359" s="446">
        <v>112404000</v>
      </c>
      <c r="F1359" s="447" t="s">
        <v>1890</v>
      </c>
      <c r="G1359" s="448"/>
      <c r="H1359" s="448"/>
      <c r="I1359" s="448" t="s">
        <v>1874</v>
      </c>
    </row>
    <row r="1360" spans="1:9" x14ac:dyDescent="0.3">
      <c r="A1360" s="443" t="s">
        <v>4630</v>
      </c>
      <c r="B1360" s="445" t="s">
        <v>4607</v>
      </c>
      <c r="C1360" s="444" t="s">
        <v>4626</v>
      </c>
      <c r="D1360" s="444" t="s">
        <v>513</v>
      </c>
      <c r="E1360" s="446">
        <v>112406000</v>
      </c>
      <c r="F1360" s="447" t="s">
        <v>1890</v>
      </c>
      <c r="G1360" s="448"/>
      <c r="H1360" s="448"/>
      <c r="I1360" s="448" t="s">
        <v>1874</v>
      </c>
    </row>
    <row r="1361" spans="1:9" x14ac:dyDescent="0.3">
      <c r="A1361" s="443" t="s">
        <v>4631</v>
      </c>
      <c r="B1361" s="445" t="s">
        <v>4607</v>
      </c>
      <c r="C1361" s="444" t="s">
        <v>4626</v>
      </c>
      <c r="D1361" s="444" t="s">
        <v>479</v>
      </c>
      <c r="E1361" s="446">
        <v>112407000</v>
      </c>
      <c r="F1361" s="447" t="s">
        <v>1890</v>
      </c>
      <c r="G1361" s="448"/>
      <c r="H1361" s="448"/>
      <c r="I1361" s="448" t="s">
        <v>1927</v>
      </c>
    </row>
    <row r="1362" spans="1:9" x14ac:dyDescent="0.3">
      <c r="A1362" s="443" t="s">
        <v>4632</v>
      </c>
      <c r="B1362" s="445" t="s">
        <v>4607</v>
      </c>
      <c r="C1362" s="444" t="s">
        <v>4626</v>
      </c>
      <c r="D1362" s="444" t="s">
        <v>648</v>
      </c>
      <c r="E1362" s="446">
        <v>112408000</v>
      </c>
      <c r="F1362" s="447" t="s">
        <v>1890</v>
      </c>
      <c r="G1362" s="448"/>
      <c r="H1362" s="448"/>
      <c r="I1362" s="448" t="s">
        <v>1874</v>
      </c>
    </row>
    <row r="1363" spans="1:9" x14ac:dyDescent="0.3">
      <c r="A1363" s="443" t="s">
        <v>4633</v>
      </c>
      <c r="B1363" s="445" t="s">
        <v>4607</v>
      </c>
      <c r="C1363" s="444" t="s">
        <v>4626</v>
      </c>
      <c r="D1363" s="444" t="s">
        <v>713</v>
      </c>
      <c r="E1363" s="446">
        <v>112410000</v>
      </c>
      <c r="F1363" s="447" t="s">
        <v>1890</v>
      </c>
      <c r="G1363" s="448"/>
      <c r="H1363" s="448"/>
      <c r="I1363" s="448" t="s">
        <v>1874</v>
      </c>
    </row>
    <row r="1364" spans="1:9" x14ac:dyDescent="0.3">
      <c r="A1364" s="443" t="s">
        <v>4634</v>
      </c>
      <c r="B1364" s="445" t="s">
        <v>4607</v>
      </c>
      <c r="C1364" s="444" t="s">
        <v>4626</v>
      </c>
      <c r="D1364" s="444" t="s">
        <v>777</v>
      </c>
      <c r="E1364" s="446">
        <v>112411000</v>
      </c>
      <c r="F1364" s="447" t="s">
        <v>1890</v>
      </c>
      <c r="G1364" s="448"/>
      <c r="H1364" s="448"/>
      <c r="I1364" s="448" t="s">
        <v>1927</v>
      </c>
    </row>
    <row r="1365" spans="1:9" x14ac:dyDescent="0.3">
      <c r="A1365" s="443" t="s">
        <v>4635</v>
      </c>
      <c r="B1365" s="445" t="s">
        <v>4607</v>
      </c>
      <c r="C1365" s="444" t="s">
        <v>4626</v>
      </c>
      <c r="D1365" s="444" t="s">
        <v>2096</v>
      </c>
      <c r="E1365" s="446">
        <v>112412000</v>
      </c>
      <c r="F1365" s="447" t="s">
        <v>1890</v>
      </c>
      <c r="G1365" s="448"/>
      <c r="H1365" s="448"/>
      <c r="I1365" s="448" t="s">
        <v>1856</v>
      </c>
    </row>
    <row r="1366" spans="1:9" x14ac:dyDescent="0.3">
      <c r="A1366" s="443" t="s">
        <v>4636</v>
      </c>
      <c r="B1366" s="445" t="s">
        <v>4607</v>
      </c>
      <c r="C1366" s="444" t="s">
        <v>4626</v>
      </c>
      <c r="D1366" s="444" t="s">
        <v>891</v>
      </c>
      <c r="E1366" s="446">
        <v>112414000</v>
      </c>
      <c r="F1366" s="447" t="s">
        <v>1890</v>
      </c>
      <c r="G1366" s="448"/>
      <c r="H1366" s="448"/>
      <c r="I1366" s="448" t="s">
        <v>1927</v>
      </c>
    </row>
    <row r="1367" spans="1:9" x14ac:dyDescent="0.3">
      <c r="A1367" s="443" t="s">
        <v>4637</v>
      </c>
      <c r="B1367" s="445" t="s">
        <v>4607</v>
      </c>
      <c r="C1367" s="444" t="s">
        <v>4638</v>
      </c>
      <c r="D1367" s="444" t="s">
        <v>222</v>
      </c>
      <c r="E1367" s="446">
        <v>112501000</v>
      </c>
      <c r="F1367" s="447" t="s">
        <v>1890</v>
      </c>
      <c r="G1367" s="448"/>
      <c r="H1367" s="448"/>
      <c r="I1367" s="448" t="s">
        <v>1856</v>
      </c>
    </row>
    <row r="1368" spans="1:9" x14ac:dyDescent="0.3">
      <c r="A1368" s="443" t="s">
        <v>4639</v>
      </c>
      <c r="B1368" s="445" t="s">
        <v>4607</v>
      </c>
      <c r="C1368" s="444" t="s">
        <v>4638</v>
      </c>
      <c r="D1368" s="444" t="s">
        <v>294</v>
      </c>
      <c r="E1368" s="446">
        <v>112502000</v>
      </c>
      <c r="F1368" s="447" t="s">
        <v>1890</v>
      </c>
      <c r="G1368" s="448"/>
      <c r="H1368" s="448"/>
      <c r="I1368" s="448" t="s">
        <v>1874</v>
      </c>
    </row>
    <row r="1369" spans="1:9" x14ac:dyDescent="0.3">
      <c r="A1369" s="443" t="s">
        <v>4640</v>
      </c>
      <c r="B1369" s="445" t="s">
        <v>4607</v>
      </c>
      <c r="C1369" s="444" t="s">
        <v>4638</v>
      </c>
      <c r="D1369" s="444" t="s">
        <v>368</v>
      </c>
      <c r="E1369" s="446">
        <v>112503000</v>
      </c>
      <c r="F1369" s="447" t="s">
        <v>1890</v>
      </c>
      <c r="G1369" s="448"/>
      <c r="H1369" s="448"/>
      <c r="I1369" s="448" t="s">
        <v>1927</v>
      </c>
    </row>
    <row r="1370" spans="1:9" x14ac:dyDescent="0.3">
      <c r="A1370" s="443" t="s">
        <v>4641</v>
      </c>
      <c r="B1370" s="445" t="s">
        <v>4607</v>
      </c>
      <c r="C1370" s="444" t="s">
        <v>4638</v>
      </c>
      <c r="D1370" s="444" t="s">
        <v>439</v>
      </c>
      <c r="E1370" s="446">
        <v>112504000</v>
      </c>
      <c r="F1370" s="447" t="s">
        <v>1890</v>
      </c>
      <c r="G1370" s="448"/>
      <c r="H1370" s="448"/>
      <c r="I1370" s="448" t="s">
        <v>1856</v>
      </c>
    </row>
    <row r="1371" spans="1:9" x14ac:dyDescent="0.3">
      <c r="A1371" s="443" t="s">
        <v>4642</v>
      </c>
      <c r="B1371" s="445" t="s">
        <v>4607</v>
      </c>
      <c r="C1371" s="444" t="s">
        <v>4638</v>
      </c>
      <c r="D1371" s="444" t="s">
        <v>514</v>
      </c>
      <c r="E1371" s="446">
        <v>112505000</v>
      </c>
      <c r="F1371" s="447" t="s">
        <v>1890</v>
      </c>
      <c r="G1371" s="448"/>
      <c r="H1371" s="448"/>
      <c r="I1371" s="448" t="s">
        <v>1874</v>
      </c>
    </row>
    <row r="1372" spans="1:9" x14ac:dyDescent="0.3">
      <c r="A1372" s="443" t="s">
        <v>4643</v>
      </c>
      <c r="B1372" s="445" t="s">
        <v>4607</v>
      </c>
      <c r="C1372" s="444" t="s">
        <v>4638</v>
      </c>
      <c r="D1372" s="444" t="s">
        <v>4644</v>
      </c>
      <c r="E1372" s="446">
        <v>112506000</v>
      </c>
      <c r="F1372" s="447" t="s">
        <v>1890</v>
      </c>
      <c r="G1372" s="448"/>
      <c r="H1372" s="448"/>
      <c r="I1372" s="448" t="s">
        <v>1874</v>
      </c>
    </row>
    <row r="1373" spans="1:9" x14ac:dyDescent="0.3">
      <c r="A1373" s="443" t="s">
        <v>4645</v>
      </c>
      <c r="B1373" s="445" t="s">
        <v>4607</v>
      </c>
      <c r="C1373" s="444" t="s">
        <v>4638</v>
      </c>
      <c r="D1373" s="444" t="s">
        <v>714</v>
      </c>
      <c r="E1373" s="446">
        <v>112507000</v>
      </c>
      <c r="F1373" s="447" t="s">
        <v>1890</v>
      </c>
      <c r="G1373" s="448"/>
      <c r="H1373" s="448"/>
      <c r="I1373" s="448" t="s">
        <v>1856</v>
      </c>
    </row>
    <row r="1374" spans="1:9" x14ac:dyDescent="0.3">
      <c r="A1374" s="443" t="s">
        <v>4646</v>
      </c>
      <c r="B1374" s="445" t="s">
        <v>4607</v>
      </c>
      <c r="C1374" s="444" t="s">
        <v>4638</v>
      </c>
      <c r="D1374" s="444" t="s">
        <v>778</v>
      </c>
      <c r="E1374" s="446">
        <v>112508000</v>
      </c>
      <c r="F1374" s="447" t="s">
        <v>1890</v>
      </c>
      <c r="G1374" s="448"/>
      <c r="H1374" s="448"/>
      <c r="I1374" s="448" t="s">
        <v>1874</v>
      </c>
    </row>
    <row r="1375" spans="1:9" x14ac:dyDescent="0.3">
      <c r="A1375" s="443" t="s">
        <v>4647</v>
      </c>
      <c r="B1375" s="445" t="s">
        <v>4607</v>
      </c>
      <c r="C1375" s="444" t="s">
        <v>4638</v>
      </c>
      <c r="D1375" s="444" t="s">
        <v>4648</v>
      </c>
      <c r="E1375" s="446">
        <v>112509000</v>
      </c>
      <c r="F1375" s="447" t="s">
        <v>1854</v>
      </c>
      <c r="G1375" s="448"/>
      <c r="H1375" s="448" t="s">
        <v>1961</v>
      </c>
      <c r="I1375" s="448" t="s">
        <v>1893</v>
      </c>
    </row>
    <row r="1376" spans="1:9" x14ac:dyDescent="0.3">
      <c r="A1376" s="443" t="s">
        <v>4649</v>
      </c>
      <c r="B1376" s="445" t="s">
        <v>4607</v>
      </c>
      <c r="C1376" s="444" t="s">
        <v>4638</v>
      </c>
      <c r="D1376" s="444" t="s">
        <v>1916</v>
      </c>
      <c r="E1376" s="446">
        <v>112510000</v>
      </c>
      <c r="F1376" s="447" t="s">
        <v>1890</v>
      </c>
      <c r="G1376" s="448"/>
      <c r="H1376" s="448"/>
      <c r="I1376" s="448" t="s">
        <v>1927</v>
      </c>
    </row>
    <row r="1377" spans="1:9" x14ac:dyDescent="0.3">
      <c r="A1377" s="443" t="s">
        <v>4650</v>
      </c>
      <c r="B1377" s="445" t="s">
        <v>4607</v>
      </c>
      <c r="C1377" s="444" t="s">
        <v>4638</v>
      </c>
      <c r="D1377" s="444" t="s">
        <v>892</v>
      </c>
      <c r="E1377" s="446">
        <v>112511000</v>
      </c>
      <c r="F1377" s="447" t="s">
        <v>1890</v>
      </c>
      <c r="G1377" s="448"/>
      <c r="H1377" s="448"/>
      <c r="I1377" s="448" t="s">
        <v>1927</v>
      </c>
    </row>
    <row r="1378" spans="1:9" x14ac:dyDescent="0.3">
      <c r="A1378" s="443" t="s">
        <v>4651</v>
      </c>
      <c r="B1378" s="445" t="s">
        <v>4607</v>
      </c>
      <c r="C1378" s="444" t="s">
        <v>4652</v>
      </c>
      <c r="D1378" s="444" t="s">
        <v>223</v>
      </c>
      <c r="E1378" s="446">
        <v>118201000</v>
      </c>
      <c r="F1378" s="447" t="s">
        <v>1890</v>
      </c>
      <c r="G1378" s="448"/>
      <c r="H1378" s="448"/>
      <c r="I1378" s="448" t="s">
        <v>1856</v>
      </c>
    </row>
    <row r="1379" spans="1:9" ht="28.8" x14ac:dyDescent="0.3">
      <c r="A1379" s="443" t="s">
        <v>4653</v>
      </c>
      <c r="B1379" s="445" t="s">
        <v>4607</v>
      </c>
      <c r="C1379" s="444" t="s">
        <v>4652</v>
      </c>
      <c r="D1379" s="444" t="s">
        <v>295</v>
      </c>
      <c r="E1379" s="446">
        <v>118202000</v>
      </c>
      <c r="F1379" s="447" t="s">
        <v>1890</v>
      </c>
      <c r="G1379" s="448" t="s">
        <v>2089</v>
      </c>
      <c r="H1379" s="448"/>
      <c r="I1379" s="448" t="s">
        <v>1856</v>
      </c>
    </row>
    <row r="1380" spans="1:9" ht="28.8" x14ac:dyDescent="0.3">
      <c r="A1380" s="443" t="s">
        <v>4654</v>
      </c>
      <c r="B1380" s="445" t="s">
        <v>4607</v>
      </c>
      <c r="C1380" s="444" t="s">
        <v>4652</v>
      </c>
      <c r="D1380" s="444" t="s">
        <v>369</v>
      </c>
      <c r="E1380" s="446">
        <v>118203000</v>
      </c>
      <c r="F1380" s="447" t="s">
        <v>1890</v>
      </c>
      <c r="G1380" s="448" t="s">
        <v>4655</v>
      </c>
      <c r="H1380" s="448"/>
      <c r="I1380" s="448" t="s">
        <v>1874</v>
      </c>
    </row>
    <row r="1381" spans="1:9" x14ac:dyDescent="0.3">
      <c r="A1381" s="443" t="s">
        <v>4656</v>
      </c>
      <c r="B1381" s="445" t="s">
        <v>4607</v>
      </c>
      <c r="C1381" s="444" t="s">
        <v>4652</v>
      </c>
      <c r="D1381" s="444" t="s">
        <v>440</v>
      </c>
      <c r="E1381" s="446">
        <v>118204000</v>
      </c>
      <c r="F1381" s="447" t="s">
        <v>1890</v>
      </c>
      <c r="G1381" s="448"/>
      <c r="H1381" s="448"/>
      <c r="I1381" s="448" t="s">
        <v>1856</v>
      </c>
    </row>
    <row r="1382" spans="1:9" ht="28.8" x14ac:dyDescent="0.3">
      <c r="A1382" s="443" t="s">
        <v>4657</v>
      </c>
      <c r="B1382" s="445" t="s">
        <v>4607</v>
      </c>
      <c r="C1382" s="444" t="s">
        <v>4652</v>
      </c>
      <c r="D1382" s="444" t="s">
        <v>515</v>
      </c>
      <c r="E1382" s="446">
        <v>118205000</v>
      </c>
      <c r="F1382" s="447" t="s">
        <v>1890</v>
      </c>
      <c r="G1382" s="448" t="s">
        <v>2416</v>
      </c>
      <c r="H1382" s="448"/>
      <c r="I1382" s="448" t="s">
        <v>1856</v>
      </c>
    </row>
    <row r="1383" spans="1:9" x14ac:dyDescent="0.3">
      <c r="A1383" s="443" t="s">
        <v>4658</v>
      </c>
      <c r="B1383" s="445" t="s">
        <v>4607</v>
      </c>
      <c r="C1383" s="444" t="s">
        <v>4652</v>
      </c>
      <c r="D1383" s="444" t="s">
        <v>583</v>
      </c>
      <c r="E1383" s="446">
        <v>118206000</v>
      </c>
      <c r="F1383" s="447" t="s">
        <v>1890</v>
      </c>
      <c r="G1383" s="448"/>
      <c r="H1383" s="448"/>
      <c r="I1383" s="448" t="s">
        <v>1927</v>
      </c>
    </row>
    <row r="1384" spans="1:9" x14ac:dyDescent="0.3">
      <c r="A1384" s="443" t="s">
        <v>4659</v>
      </c>
      <c r="B1384" s="445" t="s">
        <v>4607</v>
      </c>
      <c r="C1384" s="444" t="s">
        <v>4652</v>
      </c>
      <c r="D1384" s="444" t="s">
        <v>650</v>
      </c>
      <c r="E1384" s="446">
        <v>118207000</v>
      </c>
      <c r="F1384" s="447" t="s">
        <v>1890</v>
      </c>
      <c r="G1384" s="448"/>
      <c r="H1384" s="448"/>
      <c r="I1384" s="448" t="s">
        <v>1856</v>
      </c>
    </row>
    <row r="1385" spans="1:9" x14ac:dyDescent="0.3">
      <c r="A1385" s="443" t="s">
        <v>4660</v>
      </c>
      <c r="B1385" s="445" t="s">
        <v>4607</v>
      </c>
      <c r="C1385" s="444" t="s">
        <v>4652</v>
      </c>
      <c r="D1385" s="444" t="s">
        <v>715</v>
      </c>
      <c r="E1385" s="446">
        <v>118208000</v>
      </c>
      <c r="F1385" s="447" t="s">
        <v>1890</v>
      </c>
      <c r="G1385" s="448"/>
      <c r="H1385" s="448"/>
      <c r="I1385" s="448" t="s">
        <v>1927</v>
      </c>
    </row>
    <row r="1386" spans="1:9" x14ac:dyDescent="0.3">
      <c r="A1386" s="443" t="s">
        <v>4661</v>
      </c>
      <c r="B1386" s="445" t="s">
        <v>4607</v>
      </c>
      <c r="C1386" s="444" t="s">
        <v>4652</v>
      </c>
      <c r="D1386" s="444" t="s">
        <v>779</v>
      </c>
      <c r="E1386" s="446">
        <v>118209000</v>
      </c>
      <c r="F1386" s="447" t="s">
        <v>1890</v>
      </c>
      <c r="G1386" s="448"/>
      <c r="H1386" s="448"/>
      <c r="I1386" s="448" t="s">
        <v>1856</v>
      </c>
    </row>
    <row r="1387" spans="1:9" x14ac:dyDescent="0.3">
      <c r="A1387" s="443" t="s">
        <v>4662</v>
      </c>
      <c r="B1387" s="445" t="s">
        <v>4607</v>
      </c>
      <c r="C1387" s="444" t="s">
        <v>4652</v>
      </c>
      <c r="D1387" s="444" t="s">
        <v>4663</v>
      </c>
      <c r="E1387" s="446">
        <v>118210000</v>
      </c>
      <c r="F1387" s="447" t="s">
        <v>1890</v>
      </c>
      <c r="G1387" s="448"/>
      <c r="H1387" s="448"/>
      <c r="I1387" s="448" t="s">
        <v>1856</v>
      </c>
    </row>
    <row r="1388" spans="1:9" x14ac:dyDescent="0.3">
      <c r="A1388" s="443" t="s">
        <v>4664</v>
      </c>
      <c r="B1388" s="445" t="s">
        <v>4607</v>
      </c>
      <c r="C1388" s="444" t="s">
        <v>4652</v>
      </c>
      <c r="D1388" s="444" t="s">
        <v>893</v>
      </c>
      <c r="E1388" s="446">
        <v>118211000</v>
      </c>
      <c r="F1388" s="447" t="s">
        <v>1890</v>
      </c>
      <c r="G1388" s="448"/>
      <c r="H1388" s="448"/>
      <c r="I1388" s="448" t="s">
        <v>1856</v>
      </c>
    </row>
    <row r="1389" spans="1:9" x14ac:dyDescent="0.3">
      <c r="A1389" s="443" t="s">
        <v>4665</v>
      </c>
      <c r="B1389" s="445" t="s">
        <v>4607</v>
      </c>
      <c r="C1389" s="444" t="s">
        <v>4666</v>
      </c>
      <c r="D1389" s="444" t="s">
        <v>4667</v>
      </c>
      <c r="E1389" s="446">
        <v>118601000</v>
      </c>
      <c r="F1389" s="447" t="s">
        <v>1890</v>
      </c>
      <c r="G1389" s="448"/>
      <c r="H1389" s="448"/>
      <c r="I1389" s="448" t="s">
        <v>1927</v>
      </c>
    </row>
    <row r="1390" spans="1:9" x14ac:dyDescent="0.3">
      <c r="A1390" s="443" t="s">
        <v>4668</v>
      </c>
      <c r="B1390" s="445" t="s">
        <v>4607</v>
      </c>
      <c r="C1390" s="444" t="s">
        <v>4666</v>
      </c>
      <c r="D1390" s="444" t="s">
        <v>4669</v>
      </c>
      <c r="E1390" s="446">
        <v>118602000</v>
      </c>
      <c r="F1390" s="447" t="s">
        <v>1890</v>
      </c>
      <c r="G1390" s="448" t="s">
        <v>1471</v>
      </c>
      <c r="H1390" s="448"/>
      <c r="I1390" s="448" t="s">
        <v>1856</v>
      </c>
    </row>
    <row r="1391" spans="1:9" x14ac:dyDescent="0.3">
      <c r="A1391" s="443" t="s">
        <v>4670</v>
      </c>
      <c r="B1391" s="445" t="s">
        <v>4607</v>
      </c>
      <c r="C1391" s="444" t="s">
        <v>4666</v>
      </c>
      <c r="D1391" s="444" t="s">
        <v>4671</v>
      </c>
      <c r="E1391" s="446">
        <v>118603000</v>
      </c>
      <c r="F1391" s="447" t="s">
        <v>1890</v>
      </c>
      <c r="G1391" s="448"/>
      <c r="H1391" s="448"/>
      <c r="I1391" s="448" t="s">
        <v>1856</v>
      </c>
    </row>
    <row r="1392" spans="1:9" x14ac:dyDescent="0.3">
      <c r="A1392" s="443" t="s">
        <v>4672</v>
      </c>
      <c r="B1392" s="445" t="s">
        <v>4607</v>
      </c>
      <c r="C1392" s="444" t="s">
        <v>4666</v>
      </c>
      <c r="D1392" s="444" t="s">
        <v>2102</v>
      </c>
      <c r="E1392" s="446">
        <v>118604000</v>
      </c>
      <c r="F1392" s="447" t="s">
        <v>1890</v>
      </c>
      <c r="G1392" s="448"/>
      <c r="H1392" s="448"/>
      <c r="I1392" s="448" t="s">
        <v>1874</v>
      </c>
    </row>
    <row r="1393" spans="1:9" x14ac:dyDescent="0.3">
      <c r="A1393" s="443" t="s">
        <v>4673</v>
      </c>
      <c r="B1393" s="445" t="s">
        <v>4607</v>
      </c>
      <c r="C1393" s="444" t="s">
        <v>4666</v>
      </c>
      <c r="D1393" s="444" t="s">
        <v>139</v>
      </c>
      <c r="E1393" s="446">
        <v>118605000</v>
      </c>
      <c r="F1393" s="447" t="s">
        <v>1890</v>
      </c>
      <c r="G1393" s="448"/>
      <c r="H1393" s="448"/>
      <c r="I1393" s="448" t="s">
        <v>1923</v>
      </c>
    </row>
    <row r="1394" spans="1:9" x14ac:dyDescent="0.3">
      <c r="A1394" s="443" t="s">
        <v>4674</v>
      </c>
      <c r="B1394" s="445" t="s">
        <v>4607</v>
      </c>
      <c r="C1394" s="445" t="s">
        <v>4626</v>
      </c>
      <c r="D1394" s="444" t="s">
        <v>4675</v>
      </c>
      <c r="E1394" s="446">
        <v>112402000</v>
      </c>
      <c r="F1394" s="447" t="s">
        <v>1854</v>
      </c>
      <c r="G1394" s="448"/>
      <c r="H1394" s="448" t="s">
        <v>1855</v>
      </c>
      <c r="I1394" s="448" t="s">
        <v>1856</v>
      </c>
    </row>
    <row r="1395" spans="1:9" x14ac:dyDescent="0.3">
      <c r="A1395" s="443" t="s">
        <v>4676</v>
      </c>
      <c r="B1395" s="445" t="s">
        <v>4677</v>
      </c>
      <c r="C1395" s="444" t="s">
        <v>92</v>
      </c>
      <c r="D1395" s="444" t="s">
        <v>225</v>
      </c>
      <c r="E1395" s="446">
        <v>124701000</v>
      </c>
      <c r="F1395" s="447" t="s">
        <v>1890</v>
      </c>
      <c r="G1395" s="448"/>
      <c r="H1395" s="448"/>
      <c r="I1395" s="448" t="s">
        <v>1856</v>
      </c>
    </row>
    <row r="1396" spans="1:9" x14ac:dyDescent="0.3">
      <c r="A1396" s="443" t="s">
        <v>4678</v>
      </c>
      <c r="B1396" s="445" t="s">
        <v>4677</v>
      </c>
      <c r="C1396" s="444" t="s">
        <v>92</v>
      </c>
      <c r="D1396" s="444" t="s">
        <v>366</v>
      </c>
      <c r="E1396" s="446">
        <v>124702000</v>
      </c>
      <c r="F1396" s="447" t="s">
        <v>1890</v>
      </c>
      <c r="G1396" s="448"/>
      <c r="H1396" s="448"/>
      <c r="I1396" s="448" t="s">
        <v>1856</v>
      </c>
    </row>
    <row r="1397" spans="1:9" x14ac:dyDescent="0.3">
      <c r="A1397" s="443" t="s">
        <v>4679</v>
      </c>
      <c r="B1397" s="445" t="s">
        <v>4677</v>
      </c>
      <c r="C1397" s="444" t="s">
        <v>92</v>
      </c>
      <c r="D1397" s="444" t="s">
        <v>716</v>
      </c>
      <c r="E1397" s="446">
        <v>124703000</v>
      </c>
      <c r="F1397" s="447" t="s">
        <v>1890</v>
      </c>
      <c r="G1397" s="448"/>
      <c r="H1397" s="448"/>
      <c r="I1397" s="448" t="s">
        <v>1856</v>
      </c>
    </row>
    <row r="1398" spans="1:9" x14ac:dyDescent="0.3">
      <c r="A1398" s="443" t="s">
        <v>4680</v>
      </c>
      <c r="B1398" s="445" t="s">
        <v>4677</v>
      </c>
      <c r="C1398" s="444" t="s">
        <v>92</v>
      </c>
      <c r="D1398" s="444" t="s">
        <v>4681</v>
      </c>
      <c r="E1398" s="446">
        <v>124704000</v>
      </c>
      <c r="F1398" s="447" t="s">
        <v>1854</v>
      </c>
      <c r="G1398" s="448"/>
      <c r="H1398" s="448" t="s">
        <v>1961</v>
      </c>
      <c r="I1398" s="448" t="s">
        <v>1927</v>
      </c>
    </row>
    <row r="1399" spans="1:9" x14ac:dyDescent="0.3">
      <c r="A1399" s="443" t="s">
        <v>4682</v>
      </c>
      <c r="B1399" s="445" t="s">
        <v>4677</v>
      </c>
      <c r="C1399" s="444" t="s">
        <v>92</v>
      </c>
      <c r="D1399" s="444" t="s">
        <v>780</v>
      </c>
      <c r="E1399" s="446">
        <v>124705000</v>
      </c>
      <c r="F1399" s="447" t="s">
        <v>1890</v>
      </c>
      <c r="G1399" s="448"/>
      <c r="H1399" s="448"/>
      <c r="I1399" s="448" t="s">
        <v>1874</v>
      </c>
    </row>
    <row r="1400" spans="1:9" x14ac:dyDescent="0.3">
      <c r="A1400" s="443" t="s">
        <v>4683</v>
      </c>
      <c r="B1400" s="445" t="s">
        <v>4677</v>
      </c>
      <c r="C1400" s="444" t="s">
        <v>92</v>
      </c>
      <c r="D1400" s="444" t="s">
        <v>838</v>
      </c>
      <c r="E1400" s="446">
        <v>124706000</v>
      </c>
      <c r="F1400" s="447" t="s">
        <v>1890</v>
      </c>
      <c r="G1400" s="448"/>
      <c r="H1400" s="448"/>
      <c r="I1400" s="448" t="s">
        <v>1856</v>
      </c>
    </row>
    <row r="1401" spans="1:9" x14ac:dyDescent="0.3">
      <c r="A1401" s="443" t="s">
        <v>4684</v>
      </c>
      <c r="B1401" s="445" t="s">
        <v>4677</v>
      </c>
      <c r="C1401" s="444" t="s">
        <v>92</v>
      </c>
      <c r="D1401" s="444" t="s">
        <v>894</v>
      </c>
      <c r="E1401" s="446">
        <v>124707000</v>
      </c>
      <c r="F1401" s="447" t="s">
        <v>1890</v>
      </c>
      <c r="G1401" s="448"/>
      <c r="H1401" s="448"/>
      <c r="I1401" s="448" t="s">
        <v>1856</v>
      </c>
    </row>
    <row r="1402" spans="1:9" x14ac:dyDescent="0.3">
      <c r="A1402" s="443" t="s">
        <v>4685</v>
      </c>
      <c r="B1402" s="445" t="s">
        <v>4677</v>
      </c>
      <c r="C1402" s="444" t="s">
        <v>92</v>
      </c>
      <c r="D1402" s="444" t="s">
        <v>948</v>
      </c>
      <c r="E1402" s="446">
        <v>124708000</v>
      </c>
      <c r="F1402" s="447" t="s">
        <v>1890</v>
      </c>
      <c r="G1402" s="448"/>
      <c r="H1402" s="448"/>
      <c r="I1402" s="448" t="s">
        <v>1856</v>
      </c>
    </row>
    <row r="1403" spans="1:9" x14ac:dyDescent="0.3">
      <c r="A1403" s="443" t="s">
        <v>4686</v>
      </c>
      <c r="B1403" s="445" t="s">
        <v>4677</v>
      </c>
      <c r="C1403" s="444" t="s">
        <v>92</v>
      </c>
      <c r="D1403" s="444" t="s">
        <v>995</v>
      </c>
      <c r="E1403" s="446">
        <v>124709000</v>
      </c>
      <c r="F1403" s="447" t="s">
        <v>1890</v>
      </c>
      <c r="G1403" s="448"/>
      <c r="H1403" s="448"/>
      <c r="I1403" s="448" t="s">
        <v>1856</v>
      </c>
    </row>
    <row r="1404" spans="1:9" x14ac:dyDescent="0.3">
      <c r="A1404" s="443" t="s">
        <v>4687</v>
      </c>
      <c r="B1404" s="445" t="s">
        <v>4677</v>
      </c>
      <c r="C1404" s="444" t="s">
        <v>92</v>
      </c>
      <c r="D1404" s="444" t="s">
        <v>1044</v>
      </c>
      <c r="E1404" s="446">
        <v>124710000</v>
      </c>
      <c r="F1404" s="447" t="s">
        <v>1890</v>
      </c>
      <c r="G1404" s="448"/>
      <c r="H1404" s="448"/>
      <c r="I1404" s="448" t="s">
        <v>1856</v>
      </c>
    </row>
    <row r="1405" spans="1:9" x14ac:dyDescent="0.3">
      <c r="A1405" s="443" t="s">
        <v>4688</v>
      </c>
      <c r="B1405" s="445" t="s">
        <v>4677</v>
      </c>
      <c r="C1405" s="444" t="s">
        <v>92</v>
      </c>
      <c r="D1405" s="444" t="s">
        <v>1086</v>
      </c>
      <c r="E1405" s="446">
        <v>124711000</v>
      </c>
      <c r="F1405" s="447" t="s">
        <v>1890</v>
      </c>
      <c r="G1405" s="448"/>
      <c r="H1405" s="448"/>
      <c r="I1405" s="448" t="s">
        <v>1856</v>
      </c>
    </row>
    <row r="1406" spans="1:9" x14ac:dyDescent="0.3">
      <c r="A1406" s="443" t="s">
        <v>4689</v>
      </c>
      <c r="B1406" s="445" t="s">
        <v>4677</v>
      </c>
      <c r="C1406" s="444" t="s">
        <v>92</v>
      </c>
      <c r="D1406" s="444" t="s">
        <v>1124</v>
      </c>
      <c r="E1406" s="446">
        <v>124712000</v>
      </c>
      <c r="F1406" s="447" t="s">
        <v>1890</v>
      </c>
      <c r="G1406" s="448"/>
      <c r="H1406" s="448"/>
      <c r="I1406" s="448" t="s">
        <v>1856</v>
      </c>
    </row>
    <row r="1407" spans="1:9" x14ac:dyDescent="0.3">
      <c r="A1407" s="443" t="s">
        <v>4690</v>
      </c>
      <c r="B1407" s="445" t="s">
        <v>4677</v>
      </c>
      <c r="C1407" s="444" t="s">
        <v>92</v>
      </c>
      <c r="D1407" s="444" t="s">
        <v>3539</v>
      </c>
      <c r="E1407" s="446">
        <v>124713000</v>
      </c>
      <c r="F1407" s="447" t="s">
        <v>1890</v>
      </c>
      <c r="G1407" s="448"/>
      <c r="H1407" s="448"/>
      <c r="I1407" s="448" t="s">
        <v>1856</v>
      </c>
    </row>
    <row r="1408" spans="1:9" x14ac:dyDescent="0.3">
      <c r="A1408" s="443" t="s">
        <v>4691</v>
      </c>
      <c r="B1408" s="445" t="s">
        <v>4677</v>
      </c>
      <c r="C1408" s="444" t="s">
        <v>92</v>
      </c>
      <c r="D1408" s="444" t="s">
        <v>1188</v>
      </c>
      <c r="E1408" s="446">
        <v>124714000</v>
      </c>
      <c r="F1408" s="447" t="s">
        <v>1890</v>
      </c>
      <c r="G1408" s="448"/>
      <c r="H1408" s="448"/>
      <c r="I1408" s="448" t="s">
        <v>1874</v>
      </c>
    </row>
    <row r="1409" spans="1:9" x14ac:dyDescent="0.3">
      <c r="A1409" s="443" t="s">
        <v>4692</v>
      </c>
      <c r="B1409" s="445" t="s">
        <v>4677</v>
      </c>
      <c r="C1409" s="444" t="s">
        <v>92</v>
      </c>
      <c r="D1409" s="444" t="s">
        <v>371</v>
      </c>
      <c r="E1409" s="446">
        <v>124715000</v>
      </c>
      <c r="F1409" s="447" t="s">
        <v>1890</v>
      </c>
      <c r="G1409" s="448"/>
      <c r="H1409" s="448"/>
      <c r="I1409" s="448" t="s">
        <v>1874</v>
      </c>
    </row>
    <row r="1410" spans="1:9" x14ac:dyDescent="0.3">
      <c r="A1410" s="443" t="s">
        <v>4693</v>
      </c>
      <c r="B1410" s="445" t="s">
        <v>4677</v>
      </c>
      <c r="C1410" s="444" t="s">
        <v>92</v>
      </c>
      <c r="D1410" s="444" t="s">
        <v>516</v>
      </c>
      <c r="E1410" s="446">
        <v>124716000</v>
      </c>
      <c r="F1410" s="447" t="s">
        <v>1890</v>
      </c>
      <c r="G1410" s="448"/>
      <c r="H1410" s="448"/>
      <c r="I1410" s="448" t="s">
        <v>1874</v>
      </c>
    </row>
    <row r="1411" spans="1:9" x14ac:dyDescent="0.3">
      <c r="A1411" s="443" t="s">
        <v>4694</v>
      </c>
      <c r="B1411" s="445" t="s">
        <v>4677</v>
      </c>
      <c r="C1411" s="444" t="s">
        <v>92</v>
      </c>
      <c r="D1411" s="444" t="s">
        <v>297</v>
      </c>
      <c r="E1411" s="446">
        <v>124717000</v>
      </c>
      <c r="F1411" s="447" t="s">
        <v>1890</v>
      </c>
      <c r="G1411" s="448"/>
      <c r="H1411" s="448"/>
      <c r="I1411" s="448" t="s">
        <v>1927</v>
      </c>
    </row>
    <row r="1412" spans="1:9" x14ac:dyDescent="0.3">
      <c r="A1412" s="443" t="s">
        <v>4695</v>
      </c>
      <c r="B1412" s="445" t="s">
        <v>4677</v>
      </c>
      <c r="C1412" s="444" t="s">
        <v>92</v>
      </c>
      <c r="D1412" s="444" t="s">
        <v>442</v>
      </c>
      <c r="E1412" s="446">
        <v>124718000</v>
      </c>
      <c r="F1412" s="447" t="s">
        <v>1890</v>
      </c>
      <c r="G1412" s="448"/>
      <c r="H1412" s="448"/>
      <c r="I1412" s="448" t="s">
        <v>1856</v>
      </c>
    </row>
    <row r="1413" spans="1:9" x14ac:dyDescent="0.3">
      <c r="A1413" s="443" t="s">
        <v>4696</v>
      </c>
      <c r="B1413" s="445" t="s">
        <v>4677</v>
      </c>
      <c r="C1413" s="444" t="s">
        <v>4697</v>
      </c>
      <c r="D1413" s="444" t="s">
        <v>226</v>
      </c>
      <c r="E1413" s="446">
        <v>126302000</v>
      </c>
      <c r="F1413" s="447" t="s">
        <v>1890</v>
      </c>
      <c r="G1413" s="448"/>
      <c r="H1413" s="448"/>
      <c r="I1413" s="448" t="s">
        <v>1856</v>
      </c>
    </row>
    <row r="1414" spans="1:9" x14ac:dyDescent="0.3">
      <c r="A1414" s="443" t="s">
        <v>4698</v>
      </c>
      <c r="B1414" s="445" t="s">
        <v>4677</v>
      </c>
      <c r="C1414" s="444" t="s">
        <v>4697</v>
      </c>
      <c r="D1414" s="444" t="s">
        <v>4699</v>
      </c>
      <c r="E1414" s="446">
        <v>126306000</v>
      </c>
      <c r="F1414" s="447" t="s">
        <v>1854</v>
      </c>
      <c r="G1414" s="448"/>
      <c r="H1414" s="448" t="s">
        <v>1961</v>
      </c>
      <c r="I1414" s="448" t="s">
        <v>1927</v>
      </c>
    </row>
    <row r="1415" spans="1:9" x14ac:dyDescent="0.3">
      <c r="A1415" s="443" t="s">
        <v>4700</v>
      </c>
      <c r="B1415" s="445" t="s">
        <v>4677</v>
      </c>
      <c r="C1415" s="444" t="s">
        <v>4697</v>
      </c>
      <c r="D1415" s="444" t="s">
        <v>517</v>
      </c>
      <c r="E1415" s="446">
        <v>126311000</v>
      </c>
      <c r="F1415" s="447" t="s">
        <v>1890</v>
      </c>
      <c r="G1415" s="448"/>
      <c r="H1415" s="448"/>
      <c r="I1415" s="448" t="s">
        <v>1927</v>
      </c>
    </row>
    <row r="1416" spans="1:9" x14ac:dyDescent="0.3">
      <c r="A1416" s="443" t="s">
        <v>4701</v>
      </c>
      <c r="B1416" s="445" t="s">
        <v>4677</v>
      </c>
      <c r="C1416" s="444" t="s">
        <v>4697</v>
      </c>
      <c r="D1416" s="444" t="s">
        <v>584</v>
      </c>
      <c r="E1416" s="446">
        <v>126312000</v>
      </c>
      <c r="F1416" s="447" t="s">
        <v>1890</v>
      </c>
      <c r="G1416" s="448"/>
      <c r="H1416" s="448"/>
      <c r="I1416" s="448" t="s">
        <v>1856</v>
      </c>
    </row>
    <row r="1417" spans="1:9" x14ac:dyDescent="0.3">
      <c r="A1417" s="443" t="s">
        <v>4702</v>
      </c>
      <c r="B1417" s="445" t="s">
        <v>4677</v>
      </c>
      <c r="C1417" s="444" t="s">
        <v>4697</v>
      </c>
      <c r="D1417" s="444" t="s">
        <v>717</v>
      </c>
      <c r="E1417" s="446">
        <v>126313000</v>
      </c>
      <c r="F1417" s="447" t="s">
        <v>1890</v>
      </c>
      <c r="G1417" s="448"/>
      <c r="H1417" s="448"/>
      <c r="I1417" s="448" t="s">
        <v>1856</v>
      </c>
    </row>
    <row r="1418" spans="1:9" x14ac:dyDescent="0.3">
      <c r="A1418" s="443" t="s">
        <v>4703</v>
      </c>
      <c r="B1418" s="445" t="s">
        <v>4677</v>
      </c>
      <c r="C1418" s="444" t="s">
        <v>4697</v>
      </c>
      <c r="D1418" s="444" t="s">
        <v>781</v>
      </c>
      <c r="E1418" s="446">
        <v>126314000</v>
      </c>
      <c r="F1418" s="447" t="s">
        <v>1890</v>
      </c>
      <c r="G1418" s="448"/>
      <c r="H1418" s="448"/>
      <c r="I1418" s="448" t="s">
        <v>1874</v>
      </c>
    </row>
    <row r="1419" spans="1:9" x14ac:dyDescent="0.3">
      <c r="A1419" s="443" t="s">
        <v>4704</v>
      </c>
      <c r="B1419" s="445" t="s">
        <v>4677</v>
      </c>
      <c r="C1419" s="444" t="s">
        <v>4697</v>
      </c>
      <c r="D1419" s="444" t="s">
        <v>839</v>
      </c>
      <c r="E1419" s="446">
        <v>126315000</v>
      </c>
      <c r="F1419" s="447" t="s">
        <v>1890</v>
      </c>
      <c r="G1419" s="448"/>
      <c r="H1419" s="448"/>
      <c r="I1419" s="448" t="s">
        <v>1927</v>
      </c>
    </row>
    <row r="1420" spans="1:9" x14ac:dyDescent="0.3">
      <c r="A1420" s="443" t="s">
        <v>4705</v>
      </c>
      <c r="B1420" s="445" t="s">
        <v>4677</v>
      </c>
      <c r="C1420" s="444" t="s">
        <v>4697</v>
      </c>
      <c r="D1420" s="444" t="s">
        <v>895</v>
      </c>
      <c r="E1420" s="446">
        <v>126316000</v>
      </c>
      <c r="F1420" s="447" t="s">
        <v>1890</v>
      </c>
      <c r="G1420" s="448"/>
      <c r="H1420" s="448"/>
      <c r="I1420" s="448" t="s">
        <v>1856</v>
      </c>
    </row>
    <row r="1421" spans="1:9" x14ac:dyDescent="0.3">
      <c r="A1421" s="443" t="s">
        <v>4706</v>
      </c>
      <c r="B1421" s="445" t="s">
        <v>4677</v>
      </c>
      <c r="C1421" s="444" t="s">
        <v>4697</v>
      </c>
      <c r="D1421" s="444" t="s">
        <v>949</v>
      </c>
      <c r="E1421" s="446">
        <v>126317000</v>
      </c>
      <c r="F1421" s="447" t="s">
        <v>1890</v>
      </c>
      <c r="G1421" s="448"/>
      <c r="H1421" s="448"/>
      <c r="I1421" s="448" t="s">
        <v>1856</v>
      </c>
    </row>
    <row r="1422" spans="1:9" x14ac:dyDescent="0.3">
      <c r="A1422" s="443" t="s">
        <v>4707</v>
      </c>
      <c r="B1422" s="445" t="s">
        <v>4677</v>
      </c>
      <c r="C1422" s="444" t="s">
        <v>4697</v>
      </c>
      <c r="D1422" s="444" t="s">
        <v>2337</v>
      </c>
      <c r="E1422" s="446">
        <v>126318000</v>
      </c>
      <c r="F1422" s="447" t="s">
        <v>1890</v>
      </c>
      <c r="G1422" s="448"/>
      <c r="H1422" s="448"/>
      <c r="I1422" s="448" t="s">
        <v>1927</v>
      </c>
    </row>
    <row r="1423" spans="1:9" x14ac:dyDescent="0.3">
      <c r="A1423" s="443" t="s">
        <v>4708</v>
      </c>
      <c r="B1423" s="445" t="s">
        <v>4677</v>
      </c>
      <c r="C1423" s="444" t="s">
        <v>4697</v>
      </c>
      <c r="D1423" s="444" t="s">
        <v>4709</v>
      </c>
      <c r="E1423" s="446">
        <v>126319000</v>
      </c>
      <c r="F1423" s="447" t="s">
        <v>1890</v>
      </c>
      <c r="G1423" s="448"/>
      <c r="H1423" s="448"/>
      <c r="I1423" s="448" t="s">
        <v>1856</v>
      </c>
    </row>
    <row r="1424" spans="1:9" x14ac:dyDescent="0.3">
      <c r="A1424" s="443" t="s">
        <v>4710</v>
      </c>
      <c r="B1424" s="445" t="s">
        <v>4677</v>
      </c>
      <c r="C1424" s="444" t="s">
        <v>4711</v>
      </c>
      <c r="D1424" s="444" t="s">
        <v>227</v>
      </c>
      <c r="E1424" s="446">
        <v>126501000</v>
      </c>
      <c r="F1424" s="447" t="s">
        <v>1890</v>
      </c>
      <c r="G1424" s="448"/>
      <c r="H1424" s="448"/>
      <c r="I1424" s="448" t="s">
        <v>1856</v>
      </c>
    </row>
    <row r="1425" spans="1:9" x14ac:dyDescent="0.3">
      <c r="A1425" s="443" t="s">
        <v>4712</v>
      </c>
      <c r="B1425" s="445" t="s">
        <v>4677</v>
      </c>
      <c r="C1425" s="444" t="s">
        <v>4711</v>
      </c>
      <c r="D1425" s="444" t="s">
        <v>373</v>
      </c>
      <c r="E1425" s="446">
        <v>126502000</v>
      </c>
      <c r="F1425" s="447" t="s">
        <v>1890</v>
      </c>
      <c r="G1425" s="448"/>
      <c r="H1425" s="448"/>
      <c r="I1425" s="448" t="s">
        <v>1856</v>
      </c>
    </row>
    <row r="1426" spans="1:9" x14ac:dyDescent="0.3">
      <c r="A1426" s="443" t="s">
        <v>4713</v>
      </c>
      <c r="B1426" s="445" t="s">
        <v>4677</v>
      </c>
      <c r="C1426" s="444" t="s">
        <v>4711</v>
      </c>
      <c r="D1426" s="444" t="s">
        <v>376</v>
      </c>
      <c r="E1426" s="446">
        <v>126503000</v>
      </c>
      <c r="F1426" s="447" t="s">
        <v>1890</v>
      </c>
      <c r="G1426" s="448"/>
      <c r="H1426" s="448"/>
      <c r="I1426" s="448" t="s">
        <v>1856</v>
      </c>
    </row>
    <row r="1427" spans="1:9" x14ac:dyDescent="0.3">
      <c r="A1427" s="443" t="s">
        <v>4714</v>
      </c>
      <c r="B1427" s="445" t="s">
        <v>4677</v>
      </c>
      <c r="C1427" s="444" t="s">
        <v>4711</v>
      </c>
      <c r="D1427" s="444" t="s">
        <v>518</v>
      </c>
      <c r="E1427" s="446">
        <v>126504000</v>
      </c>
      <c r="F1427" s="447" t="s">
        <v>1890</v>
      </c>
      <c r="G1427" s="448"/>
      <c r="H1427" s="448"/>
      <c r="I1427" s="448" t="s">
        <v>1856</v>
      </c>
    </row>
    <row r="1428" spans="1:9" x14ac:dyDescent="0.3">
      <c r="A1428" s="443" t="s">
        <v>4715</v>
      </c>
      <c r="B1428" s="445" t="s">
        <v>4677</v>
      </c>
      <c r="C1428" s="444" t="s">
        <v>4711</v>
      </c>
      <c r="D1428" s="444" t="s">
        <v>585</v>
      </c>
      <c r="E1428" s="446">
        <v>126505000</v>
      </c>
      <c r="F1428" s="447" t="s">
        <v>1890</v>
      </c>
      <c r="G1428" s="448"/>
      <c r="H1428" s="448"/>
      <c r="I1428" s="448" t="s">
        <v>1856</v>
      </c>
    </row>
    <row r="1429" spans="1:9" x14ac:dyDescent="0.3">
      <c r="A1429" s="443" t="s">
        <v>4716</v>
      </c>
      <c r="B1429" s="445" t="s">
        <v>4677</v>
      </c>
      <c r="C1429" s="444" t="s">
        <v>4711</v>
      </c>
      <c r="D1429" s="444" t="s">
        <v>718</v>
      </c>
      <c r="E1429" s="446">
        <v>126506000</v>
      </c>
      <c r="F1429" s="447" t="s">
        <v>1890</v>
      </c>
      <c r="G1429" s="448"/>
      <c r="H1429" s="448"/>
      <c r="I1429" s="448" t="s">
        <v>1856</v>
      </c>
    </row>
    <row r="1430" spans="1:9" x14ac:dyDescent="0.3">
      <c r="A1430" s="443" t="s">
        <v>4717</v>
      </c>
      <c r="B1430" s="445" t="s">
        <v>4677</v>
      </c>
      <c r="C1430" s="444" t="s">
        <v>4711</v>
      </c>
      <c r="D1430" s="444" t="s">
        <v>782</v>
      </c>
      <c r="E1430" s="446">
        <v>126507000</v>
      </c>
      <c r="F1430" s="447" t="s">
        <v>1890</v>
      </c>
      <c r="G1430" s="448"/>
      <c r="H1430" s="448"/>
      <c r="I1430" s="448" t="s">
        <v>1874</v>
      </c>
    </row>
    <row r="1431" spans="1:9" ht="28.8" x14ac:dyDescent="0.3">
      <c r="A1431" s="443" t="s">
        <v>4718</v>
      </c>
      <c r="B1431" s="445" t="s">
        <v>4677</v>
      </c>
      <c r="C1431" s="444" t="s">
        <v>4711</v>
      </c>
      <c r="D1431" s="444" t="s">
        <v>653</v>
      </c>
      <c r="E1431" s="446">
        <v>126508000</v>
      </c>
      <c r="F1431" s="447" t="s">
        <v>1890</v>
      </c>
      <c r="G1431" s="448" t="s">
        <v>4719</v>
      </c>
      <c r="H1431" s="448"/>
      <c r="I1431" s="448" t="s">
        <v>1874</v>
      </c>
    </row>
    <row r="1432" spans="1:9" x14ac:dyDescent="0.3">
      <c r="A1432" s="443" t="s">
        <v>4720</v>
      </c>
      <c r="B1432" s="445" t="s">
        <v>4677</v>
      </c>
      <c r="C1432" s="444" t="s">
        <v>4711</v>
      </c>
      <c r="D1432" s="444" t="s">
        <v>840</v>
      </c>
      <c r="E1432" s="446">
        <v>126509000</v>
      </c>
      <c r="F1432" s="447" t="s">
        <v>1890</v>
      </c>
      <c r="G1432" s="448"/>
      <c r="H1432" s="448"/>
      <c r="I1432" s="448" t="s">
        <v>1874</v>
      </c>
    </row>
    <row r="1433" spans="1:9" x14ac:dyDescent="0.3">
      <c r="A1433" s="443" t="s">
        <v>4721</v>
      </c>
      <c r="B1433" s="445" t="s">
        <v>4677</v>
      </c>
      <c r="C1433" s="444" t="s">
        <v>4711</v>
      </c>
      <c r="D1433" s="444" t="s">
        <v>4722</v>
      </c>
      <c r="E1433" s="446">
        <v>126510000</v>
      </c>
      <c r="F1433" s="447" t="s">
        <v>1890</v>
      </c>
      <c r="G1433" s="448"/>
      <c r="H1433" s="448"/>
      <c r="I1433" s="448" t="s">
        <v>1927</v>
      </c>
    </row>
    <row r="1434" spans="1:9" x14ac:dyDescent="0.3">
      <c r="A1434" s="443" t="s">
        <v>4723</v>
      </c>
      <c r="B1434" s="445" t="s">
        <v>4677</v>
      </c>
      <c r="C1434" s="444" t="s">
        <v>4711</v>
      </c>
      <c r="D1434" s="444" t="s">
        <v>4724</v>
      </c>
      <c r="E1434" s="446">
        <v>126511000</v>
      </c>
      <c r="F1434" s="447" t="s">
        <v>1854</v>
      </c>
      <c r="G1434" s="448"/>
      <c r="H1434" s="448" t="s">
        <v>1961</v>
      </c>
      <c r="I1434" s="448" t="s">
        <v>1923</v>
      </c>
    </row>
    <row r="1435" spans="1:9" x14ac:dyDescent="0.3">
      <c r="A1435" s="443" t="s">
        <v>4725</v>
      </c>
      <c r="B1435" s="445" t="s">
        <v>4677</v>
      </c>
      <c r="C1435" s="444" t="s">
        <v>4711</v>
      </c>
      <c r="D1435" s="444" t="s">
        <v>4726</v>
      </c>
      <c r="E1435" s="446">
        <v>126512000</v>
      </c>
      <c r="F1435" s="447" t="s">
        <v>1890</v>
      </c>
      <c r="G1435" s="448"/>
      <c r="H1435" s="448"/>
      <c r="I1435" s="448" t="s">
        <v>1927</v>
      </c>
    </row>
    <row r="1436" spans="1:9" x14ac:dyDescent="0.3">
      <c r="A1436" s="443" t="s">
        <v>4727</v>
      </c>
      <c r="B1436" s="445" t="s">
        <v>4677</v>
      </c>
      <c r="C1436" s="444" t="s">
        <v>139</v>
      </c>
      <c r="D1436" s="444" t="s">
        <v>228</v>
      </c>
      <c r="E1436" s="446">
        <v>128001000</v>
      </c>
      <c r="F1436" s="447" t="s">
        <v>1890</v>
      </c>
      <c r="G1436" s="448"/>
      <c r="H1436" s="448"/>
      <c r="I1436" s="448" t="s">
        <v>1856</v>
      </c>
    </row>
    <row r="1437" spans="1:9" x14ac:dyDescent="0.3">
      <c r="A1437" s="443" t="s">
        <v>4728</v>
      </c>
      <c r="B1437" s="445" t="s">
        <v>4677</v>
      </c>
      <c r="C1437" s="444" t="s">
        <v>139</v>
      </c>
      <c r="D1437" s="444" t="s">
        <v>300</v>
      </c>
      <c r="E1437" s="446">
        <v>128002000</v>
      </c>
      <c r="F1437" s="447" t="s">
        <v>1890</v>
      </c>
      <c r="G1437" s="448"/>
      <c r="H1437" s="448"/>
      <c r="I1437" s="448" t="s">
        <v>1856</v>
      </c>
    </row>
    <row r="1438" spans="1:9" x14ac:dyDescent="0.3">
      <c r="A1438" s="443" t="s">
        <v>4729</v>
      </c>
      <c r="B1438" s="445" t="s">
        <v>4677</v>
      </c>
      <c r="C1438" s="444" t="s">
        <v>139</v>
      </c>
      <c r="D1438" s="444" t="s">
        <v>374</v>
      </c>
      <c r="E1438" s="446">
        <v>128003000</v>
      </c>
      <c r="F1438" s="447" t="s">
        <v>1890</v>
      </c>
      <c r="G1438" s="448"/>
      <c r="H1438" s="448"/>
      <c r="I1438" s="448" t="s">
        <v>1856</v>
      </c>
    </row>
    <row r="1439" spans="1:9" x14ac:dyDescent="0.3">
      <c r="A1439" s="443" t="s">
        <v>4730</v>
      </c>
      <c r="B1439" s="445" t="s">
        <v>4677</v>
      </c>
      <c r="C1439" s="444" t="s">
        <v>139</v>
      </c>
      <c r="D1439" s="444" t="s">
        <v>444</v>
      </c>
      <c r="E1439" s="446">
        <v>128004000</v>
      </c>
      <c r="F1439" s="447" t="s">
        <v>1890</v>
      </c>
      <c r="G1439" s="448"/>
      <c r="H1439" s="448"/>
      <c r="I1439" s="448" t="s">
        <v>1856</v>
      </c>
    </row>
    <row r="1440" spans="1:9" x14ac:dyDescent="0.3">
      <c r="A1440" s="443" t="s">
        <v>4731</v>
      </c>
      <c r="B1440" s="445" t="s">
        <v>4677</v>
      </c>
      <c r="C1440" s="444" t="s">
        <v>139</v>
      </c>
      <c r="D1440" s="444" t="s">
        <v>519</v>
      </c>
      <c r="E1440" s="446">
        <v>128005000</v>
      </c>
      <c r="F1440" s="447" t="s">
        <v>1890</v>
      </c>
      <c r="G1440" s="448"/>
      <c r="H1440" s="448"/>
      <c r="I1440" s="448" t="s">
        <v>1874</v>
      </c>
    </row>
    <row r="1441" spans="1:9" x14ac:dyDescent="0.3">
      <c r="A1441" s="443" t="s">
        <v>4732</v>
      </c>
      <c r="B1441" s="445" t="s">
        <v>4677</v>
      </c>
      <c r="C1441" s="444" t="s">
        <v>139</v>
      </c>
      <c r="D1441" s="444" t="s">
        <v>586</v>
      </c>
      <c r="E1441" s="446">
        <v>128006000</v>
      </c>
      <c r="F1441" s="447" t="s">
        <v>1890</v>
      </c>
      <c r="G1441" s="448"/>
      <c r="H1441" s="448"/>
      <c r="I1441" s="448" t="s">
        <v>1856</v>
      </c>
    </row>
    <row r="1442" spans="1:9" x14ac:dyDescent="0.3">
      <c r="A1442" s="443" t="s">
        <v>4733</v>
      </c>
      <c r="B1442" s="445" t="s">
        <v>4677</v>
      </c>
      <c r="C1442" s="444" t="s">
        <v>139</v>
      </c>
      <c r="D1442" s="444" t="s">
        <v>654</v>
      </c>
      <c r="E1442" s="446">
        <v>128007000</v>
      </c>
      <c r="F1442" s="447" t="s">
        <v>1890</v>
      </c>
      <c r="G1442" s="448"/>
      <c r="H1442" s="448"/>
      <c r="I1442" s="448" t="s">
        <v>1856</v>
      </c>
    </row>
    <row r="1443" spans="1:9" ht="28.8" x14ac:dyDescent="0.3">
      <c r="A1443" s="443" t="s">
        <v>4734</v>
      </c>
      <c r="B1443" s="445" t="s">
        <v>4677</v>
      </c>
      <c r="C1443" s="445" t="s">
        <v>4697</v>
      </c>
      <c r="D1443" s="444" t="s">
        <v>4735</v>
      </c>
      <c r="E1443" s="446">
        <v>126303000</v>
      </c>
      <c r="F1443" s="447" t="s">
        <v>1854</v>
      </c>
      <c r="G1443" s="448" t="s">
        <v>4736</v>
      </c>
      <c r="H1443" s="448" t="s">
        <v>1855</v>
      </c>
      <c r="I1443" s="448" t="s">
        <v>1856</v>
      </c>
    </row>
    <row r="1444" spans="1:9" x14ac:dyDescent="0.3">
      <c r="A1444" s="443" t="s">
        <v>4737</v>
      </c>
      <c r="B1444" s="445" t="s">
        <v>4738</v>
      </c>
      <c r="C1444" s="444" t="s">
        <v>4739</v>
      </c>
      <c r="D1444" s="444" t="s">
        <v>202</v>
      </c>
      <c r="E1444" s="446">
        <v>160201000</v>
      </c>
      <c r="F1444" s="447" t="s">
        <v>1890</v>
      </c>
      <c r="G1444" s="448"/>
      <c r="H1444" s="448"/>
      <c r="I1444" s="448" t="s">
        <v>1856</v>
      </c>
    </row>
    <row r="1445" spans="1:9" x14ac:dyDescent="0.3">
      <c r="A1445" s="443" t="s">
        <v>4740</v>
      </c>
      <c r="B1445" s="445" t="s">
        <v>4738</v>
      </c>
      <c r="C1445" s="444" t="s">
        <v>4739</v>
      </c>
      <c r="D1445" s="444" t="s">
        <v>4741</v>
      </c>
      <c r="E1445" s="446">
        <v>160203000</v>
      </c>
      <c r="F1445" s="447" t="s">
        <v>1854</v>
      </c>
      <c r="G1445" s="448"/>
      <c r="H1445" s="448" t="s">
        <v>1961</v>
      </c>
      <c r="I1445" s="448" t="s">
        <v>1896</v>
      </c>
    </row>
    <row r="1446" spans="1:9" x14ac:dyDescent="0.3">
      <c r="A1446" s="443" t="s">
        <v>4742</v>
      </c>
      <c r="B1446" s="445" t="s">
        <v>4738</v>
      </c>
      <c r="C1446" s="444" t="s">
        <v>4739</v>
      </c>
      <c r="D1446" s="444" t="s">
        <v>366</v>
      </c>
      <c r="E1446" s="446">
        <v>160204000</v>
      </c>
      <c r="F1446" s="447" t="s">
        <v>1890</v>
      </c>
      <c r="G1446" s="448"/>
      <c r="H1446" s="448"/>
      <c r="I1446" s="448" t="s">
        <v>1923</v>
      </c>
    </row>
    <row r="1447" spans="1:9" x14ac:dyDescent="0.3">
      <c r="A1447" s="443" t="s">
        <v>4743</v>
      </c>
      <c r="B1447" s="445" t="s">
        <v>4738</v>
      </c>
      <c r="C1447" s="444" t="s">
        <v>4739</v>
      </c>
      <c r="D1447" s="444" t="s">
        <v>520</v>
      </c>
      <c r="E1447" s="446">
        <v>160205000</v>
      </c>
      <c r="F1447" s="447" t="s">
        <v>1890</v>
      </c>
      <c r="G1447" s="448"/>
      <c r="H1447" s="448"/>
      <c r="I1447" s="448" t="s">
        <v>1927</v>
      </c>
    </row>
    <row r="1448" spans="1:9" x14ac:dyDescent="0.3">
      <c r="A1448" s="443" t="s">
        <v>4744</v>
      </c>
      <c r="B1448" s="445" t="s">
        <v>4738</v>
      </c>
      <c r="C1448" s="444" t="s">
        <v>4739</v>
      </c>
      <c r="D1448" s="444" t="s">
        <v>587</v>
      </c>
      <c r="E1448" s="446">
        <v>160206000</v>
      </c>
      <c r="F1448" s="447" t="s">
        <v>1890</v>
      </c>
      <c r="G1448" s="448"/>
      <c r="H1448" s="448"/>
      <c r="I1448" s="448" t="s">
        <v>1923</v>
      </c>
    </row>
    <row r="1449" spans="1:9" x14ac:dyDescent="0.3">
      <c r="A1449" s="443" t="s">
        <v>4745</v>
      </c>
      <c r="B1449" s="445" t="s">
        <v>4738</v>
      </c>
      <c r="C1449" s="444" t="s">
        <v>4739</v>
      </c>
      <c r="D1449" s="444" t="s">
        <v>4746</v>
      </c>
      <c r="E1449" s="446">
        <v>160207000</v>
      </c>
      <c r="F1449" s="447" t="s">
        <v>1890</v>
      </c>
      <c r="G1449" s="448"/>
      <c r="H1449" s="448"/>
      <c r="I1449" s="448" t="s">
        <v>1874</v>
      </c>
    </row>
    <row r="1450" spans="1:9" x14ac:dyDescent="0.3">
      <c r="A1450" s="443" t="s">
        <v>4747</v>
      </c>
      <c r="B1450" s="445" t="s">
        <v>4738</v>
      </c>
      <c r="C1450" s="444" t="s">
        <v>4739</v>
      </c>
      <c r="D1450" s="444" t="s">
        <v>719</v>
      </c>
      <c r="E1450" s="446">
        <v>160208000</v>
      </c>
      <c r="F1450" s="447" t="s">
        <v>1890</v>
      </c>
      <c r="G1450" s="448"/>
      <c r="H1450" s="448"/>
      <c r="I1450" s="448" t="s">
        <v>1923</v>
      </c>
    </row>
    <row r="1451" spans="1:9" x14ac:dyDescent="0.3">
      <c r="A1451" s="443" t="s">
        <v>4748</v>
      </c>
      <c r="B1451" s="445" t="s">
        <v>4738</v>
      </c>
      <c r="C1451" s="444" t="s">
        <v>4739</v>
      </c>
      <c r="D1451" s="444" t="s">
        <v>783</v>
      </c>
      <c r="E1451" s="446">
        <v>160209000</v>
      </c>
      <c r="F1451" s="447" t="s">
        <v>1890</v>
      </c>
      <c r="G1451" s="448"/>
      <c r="H1451" s="448"/>
      <c r="I1451" s="448" t="s">
        <v>1927</v>
      </c>
    </row>
    <row r="1452" spans="1:9" x14ac:dyDescent="0.3">
      <c r="A1452" s="443" t="s">
        <v>4749</v>
      </c>
      <c r="B1452" s="445" t="s">
        <v>4738</v>
      </c>
      <c r="C1452" s="444" t="s">
        <v>4739</v>
      </c>
      <c r="D1452" s="444" t="s">
        <v>897</v>
      </c>
      <c r="E1452" s="446">
        <v>160210000</v>
      </c>
      <c r="F1452" s="447" t="s">
        <v>1890</v>
      </c>
      <c r="G1452" s="448"/>
      <c r="H1452" s="448"/>
      <c r="I1452" s="448" t="s">
        <v>1923</v>
      </c>
    </row>
    <row r="1453" spans="1:9" x14ac:dyDescent="0.3">
      <c r="A1453" s="443" t="s">
        <v>4750</v>
      </c>
      <c r="B1453" s="445" t="s">
        <v>4738</v>
      </c>
      <c r="C1453" s="444" t="s">
        <v>4739</v>
      </c>
      <c r="D1453" s="444" t="s">
        <v>951</v>
      </c>
      <c r="E1453" s="446">
        <v>160211000</v>
      </c>
      <c r="F1453" s="447" t="s">
        <v>1890</v>
      </c>
      <c r="G1453" s="448"/>
      <c r="H1453" s="448"/>
      <c r="I1453" s="448" t="s">
        <v>1923</v>
      </c>
    </row>
    <row r="1454" spans="1:9" x14ac:dyDescent="0.3">
      <c r="A1454" s="443" t="s">
        <v>4751</v>
      </c>
      <c r="B1454" s="445" t="s">
        <v>4738</v>
      </c>
      <c r="C1454" s="444" t="s">
        <v>4739</v>
      </c>
      <c r="D1454" s="444" t="s">
        <v>4752</v>
      </c>
      <c r="E1454" s="446">
        <v>160212000</v>
      </c>
      <c r="F1454" s="447" t="s">
        <v>1890</v>
      </c>
      <c r="G1454" s="448"/>
      <c r="H1454" s="448"/>
      <c r="I1454" s="448" t="s">
        <v>1893</v>
      </c>
    </row>
    <row r="1455" spans="1:9" x14ac:dyDescent="0.3">
      <c r="A1455" s="443" t="s">
        <v>4753</v>
      </c>
      <c r="B1455" s="445" t="s">
        <v>4738</v>
      </c>
      <c r="C1455" s="444" t="s">
        <v>4754</v>
      </c>
      <c r="D1455" s="444" t="s">
        <v>4755</v>
      </c>
      <c r="E1455" s="446">
        <v>160301000</v>
      </c>
      <c r="F1455" s="447" t="s">
        <v>1854</v>
      </c>
      <c r="G1455" s="448"/>
      <c r="H1455" s="448" t="s">
        <v>1961</v>
      </c>
      <c r="I1455" s="448" t="s">
        <v>1893</v>
      </c>
    </row>
    <row r="1456" spans="1:9" x14ac:dyDescent="0.3">
      <c r="A1456" s="443" t="s">
        <v>4756</v>
      </c>
      <c r="B1456" s="445" t="s">
        <v>4738</v>
      </c>
      <c r="C1456" s="444" t="s">
        <v>4754</v>
      </c>
      <c r="D1456" s="444" t="s">
        <v>229</v>
      </c>
      <c r="E1456" s="446">
        <v>160302000</v>
      </c>
      <c r="F1456" s="447" t="s">
        <v>1890</v>
      </c>
      <c r="G1456" s="448"/>
      <c r="H1456" s="448"/>
      <c r="I1456" s="448" t="s">
        <v>1856</v>
      </c>
    </row>
    <row r="1457" spans="1:9" x14ac:dyDescent="0.3">
      <c r="A1457" s="443" t="s">
        <v>4757</v>
      </c>
      <c r="B1457" s="445" t="s">
        <v>4738</v>
      </c>
      <c r="C1457" s="444" t="s">
        <v>4754</v>
      </c>
      <c r="D1457" s="444" t="s">
        <v>376</v>
      </c>
      <c r="E1457" s="446">
        <v>160303000</v>
      </c>
      <c r="F1457" s="447" t="s">
        <v>1890</v>
      </c>
      <c r="G1457" s="448"/>
      <c r="H1457" s="448"/>
      <c r="I1457" s="448" t="s">
        <v>1856</v>
      </c>
    </row>
    <row r="1458" spans="1:9" x14ac:dyDescent="0.3">
      <c r="A1458" s="443" t="s">
        <v>4758</v>
      </c>
      <c r="B1458" s="445" t="s">
        <v>4738</v>
      </c>
      <c r="C1458" s="444" t="s">
        <v>4754</v>
      </c>
      <c r="D1458" s="444" t="s">
        <v>1901</v>
      </c>
      <c r="E1458" s="446">
        <v>160304000</v>
      </c>
      <c r="F1458" s="447" t="s">
        <v>1890</v>
      </c>
      <c r="G1458" s="448"/>
      <c r="H1458" s="448"/>
      <c r="I1458" s="448" t="s">
        <v>1856</v>
      </c>
    </row>
    <row r="1459" spans="1:9" x14ac:dyDescent="0.3">
      <c r="A1459" s="443" t="s">
        <v>4759</v>
      </c>
      <c r="B1459" s="445" t="s">
        <v>4738</v>
      </c>
      <c r="C1459" s="444" t="s">
        <v>4754</v>
      </c>
      <c r="D1459" s="444" t="s">
        <v>523</v>
      </c>
      <c r="E1459" s="446">
        <v>160305000</v>
      </c>
      <c r="F1459" s="447" t="s">
        <v>1890</v>
      </c>
      <c r="G1459" s="448"/>
      <c r="H1459" s="448"/>
      <c r="I1459" s="448" t="s">
        <v>1856</v>
      </c>
    </row>
    <row r="1460" spans="1:9" x14ac:dyDescent="0.3">
      <c r="A1460" s="443" t="s">
        <v>4760</v>
      </c>
      <c r="B1460" s="445" t="s">
        <v>4738</v>
      </c>
      <c r="C1460" s="444" t="s">
        <v>4754</v>
      </c>
      <c r="D1460" s="444" t="s">
        <v>588</v>
      </c>
      <c r="E1460" s="446">
        <v>160306000</v>
      </c>
      <c r="F1460" s="447" t="s">
        <v>1890</v>
      </c>
      <c r="G1460" s="448"/>
      <c r="H1460" s="448"/>
      <c r="I1460" s="448" t="s">
        <v>1856</v>
      </c>
    </row>
    <row r="1461" spans="1:9" x14ac:dyDescent="0.3">
      <c r="A1461" s="443" t="s">
        <v>4761</v>
      </c>
      <c r="B1461" s="445" t="s">
        <v>4738</v>
      </c>
      <c r="C1461" s="444" t="s">
        <v>4754</v>
      </c>
      <c r="D1461" s="444" t="s">
        <v>656</v>
      </c>
      <c r="E1461" s="446">
        <v>160307000</v>
      </c>
      <c r="F1461" s="447" t="s">
        <v>1890</v>
      </c>
      <c r="G1461" s="448"/>
      <c r="H1461" s="448"/>
      <c r="I1461" s="448" t="s">
        <v>1874</v>
      </c>
    </row>
    <row r="1462" spans="1:9" x14ac:dyDescent="0.3">
      <c r="A1462" s="443" t="s">
        <v>4762</v>
      </c>
      <c r="B1462" s="445" t="s">
        <v>4738</v>
      </c>
      <c r="C1462" s="444" t="s">
        <v>4754</v>
      </c>
      <c r="D1462" s="444" t="s">
        <v>3051</v>
      </c>
      <c r="E1462" s="446">
        <v>160308000</v>
      </c>
      <c r="F1462" s="447" t="s">
        <v>1890</v>
      </c>
      <c r="G1462" s="448"/>
      <c r="H1462" s="448"/>
      <c r="I1462" s="448" t="s">
        <v>1856</v>
      </c>
    </row>
    <row r="1463" spans="1:9" x14ac:dyDescent="0.3">
      <c r="A1463" s="443" t="s">
        <v>4763</v>
      </c>
      <c r="B1463" s="445" t="s">
        <v>4738</v>
      </c>
      <c r="C1463" s="444" t="s">
        <v>4754</v>
      </c>
      <c r="D1463" s="444" t="s">
        <v>2671</v>
      </c>
      <c r="E1463" s="446">
        <v>160309000</v>
      </c>
      <c r="F1463" s="447" t="s">
        <v>1890</v>
      </c>
      <c r="G1463" s="448"/>
      <c r="H1463" s="448"/>
      <c r="I1463" s="448" t="s">
        <v>1856</v>
      </c>
    </row>
    <row r="1464" spans="1:9" x14ac:dyDescent="0.3">
      <c r="A1464" s="443" t="s">
        <v>4764</v>
      </c>
      <c r="B1464" s="445" t="s">
        <v>4738</v>
      </c>
      <c r="C1464" s="444" t="s">
        <v>4754</v>
      </c>
      <c r="D1464" s="444" t="s">
        <v>4765</v>
      </c>
      <c r="E1464" s="446">
        <v>160310000</v>
      </c>
      <c r="F1464" s="447" t="s">
        <v>1890</v>
      </c>
      <c r="G1464" s="448"/>
      <c r="H1464" s="448"/>
      <c r="I1464" s="448" t="s">
        <v>1927</v>
      </c>
    </row>
    <row r="1465" spans="1:9" x14ac:dyDescent="0.3">
      <c r="A1465" s="443" t="s">
        <v>4766</v>
      </c>
      <c r="B1465" s="445" t="s">
        <v>4738</v>
      </c>
      <c r="C1465" s="444" t="s">
        <v>4754</v>
      </c>
      <c r="D1465" s="444" t="s">
        <v>952</v>
      </c>
      <c r="E1465" s="446">
        <v>160311000</v>
      </c>
      <c r="F1465" s="447" t="s">
        <v>1890</v>
      </c>
      <c r="G1465" s="448"/>
      <c r="H1465" s="448"/>
      <c r="I1465" s="448" t="s">
        <v>1874</v>
      </c>
    </row>
    <row r="1466" spans="1:9" x14ac:dyDescent="0.3">
      <c r="A1466" s="443" t="s">
        <v>4767</v>
      </c>
      <c r="B1466" s="445" t="s">
        <v>4738</v>
      </c>
      <c r="C1466" s="444" t="s">
        <v>4754</v>
      </c>
      <c r="D1466" s="444" t="s">
        <v>996</v>
      </c>
      <c r="E1466" s="446">
        <v>160312000</v>
      </c>
      <c r="F1466" s="447" t="s">
        <v>1890</v>
      </c>
      <c r="G1466" s="448"/>
      <c r="H1466" s="448"/>
      <c r="I1466" s="448" t="s">
        <v>1856</v>
      </c>
    </row>
    <row r="1467" spans="1:9" x14ac:dyDescent="0.3">
      <c r="A1467" s="443" t="s">
        <v>4768</v>
      </c>
      <c r="B1467" s="445" t="s">
        <v>4738</v>
      </c>
      <c r="C1467" s="444" t="s">
        <v>4754</v>
      </c>
      <c r="D1467" s="444" t="s">
        <v>1045</v>
      </c>
      <c r="E1467" s="446">
        <v>160313000</v>
      </c>
      <c r="F1467" s="447" t="s">
        <v>1890</v>
      </c>
      <c r="G1467" s="448"/>
      <c r="H1467" s="448"/>
      <c r="I1467" s="448" t="s">
        <v>1874</v>
      </c>
    </row>
    <row r="1468" spans="1:9" x14ac:dyDescent="0.3">
      <c r="A1468" s="443" t="s">
        <v>4769</v>
      </c>
      <c r="B1468" s="445" t="s">
        <v>4738</v>
      </c>
      <c r="C1468" s="444" t="s">
        <v>4754</v>
      </c>
      <c r="D1468" s="444" t="s">
        <v>898</v>
      </c>
      <c r="E1468" s="446">
        <v>160314000</v>
      </c>
      <c r="F1468" s="447" t="s">
        <v>1890</v>
      </c>
      <c r="G1468" s="448"/>
      <c r="H1468" s="448"/>
      <c r="I1468" s="448" t="s">
        <v>1856</v>
      </c>
    </row>
    <row r="1469" spans="1:9" x14ac:dyDescent="0.3">
      <c r="A1469" s="443" t="s">
        <v>4770</v>
      </c>
      <c r="B1469" s="445" t="s">
        <v>4738</v>
      </c>
      <c r="C1469" s="444" t="s">
        <v>4771</v>
      </c>
      <c r="D1469" s="444" t="s">
        <v>230</v>
      </c>
      <c r="E1469" s="446">
        <v>166701000</v>
      </c>
      <c r="F1469" s="447" t="s">
        <v>1890</v>
      </c>
      <c r="G1469" s="448"/>
      <c r="H1469" s="448"/>
      <c r="I1469" s="448" t="s">
        <v>1893</v>
      </c>
    </row>
    <row r="1470" spans="1:9" x14ac:dyDescent="0.3">
      <c r="A1470" s="443" t="s">
        <v>4772</v>
      </c>
      <c r="B1470" s="445" t="s">
        <v>4738</v>
      </c>
      <c r="C1470" s="444" t="s">
        <v>4771</v>
      </c>
      <c r="D1470" s="444" t="s">
        <v>303</v>
      </c>
      <c r="E1470" s="446">
        <v>166702000</v>
      </c>
      <c r="F1470" s="447" t="s">
        <v>1890</v>
      </c>
      <c r="G1470" s="448"/>
      <c r="H1470" s="448"/>
      <c r="I1470" s="448" t="s">
        <v>1893</v>
      </c>
    </row>
    <row r="1471" spans="1:9" x14ac:dyDescent="0.3">
      <c r="A1471" s="443" t="s">
        <v>4773</v>
      </c>
      <c r="B1471" s="445" t="s">
        <v>4738</v>
      </c>
      <c r="C1471" s="444" t="s">
        <v>4771</v>
      </c>
      <c r="D1471" s="444" t="s">
        <v>377</v>
      </c>
      <c r="E1471" s="446">
        <v>166704000</v>
      </c>
      <c r="F1471" s="447" t="s">
        <v>1890</v>
      </c>
      <c r="G1471" s="448"/>
      <c r="H1471" s="448"/>
      <c r="I1471" s="448" t="s">
        <v>1896</v>
      </c>
    </row>
    <row r="1472" spans="1:9" x14ac:dyDescent="0.3">
      <c r="A1472" s="443" t="s">
        <v>4774</v>
      </c>
      <c r="B1472" s="445" t="s">
        <v>4738</v>
      </c>
      <c r="C1472" s="444" t="s">
        <v>4771</v>
      </c>
      <c r="D1472" s="444" t="s">
        <v>522</v>
      </c>
      <c r="E1472" s="446">
        <v>166706000</v>
      </c>
      <c r="F1472" s="447" t="s">
        <v>1890</v>
      </c>
      <c r="G1472" s="448"/>
      <c r="H1472" s="448"/>
      <c r="I1472" s="448" t="s">
        <v>1874</v>
      </c>
    </row>
    <row r="1473" spans="1:9" x14ac:dyDescent="0.3">
      <c r="A1473" s="443" t="s">
        <v>4775</v>
      </c>
      <c r="B1473" s="445" t="s">
        <v>4738</v>
      </c>
      <c r="C1473" s="444" t="s">
        <v>4771</v>
      </c>
      <c r="D1473" s="444" t="s">
        <v>589</v>
      </c>
      <c r="E1473" s="446">
        <v>166707000</v>
      </c>
      <c r="F1473" s="447" t="s">
        <v>1890</v>
      </c>
      <c r="G1473" s="448"/>
      <c r="H1473" s="448"/>
      <c r="I1473" s="448" t="s">
        <v>1923</v>
      </c>
    </row>
    <row r="1474" spans="1:9" x14ac:dyDescent="0.3">
      <c r="A1474" s="443" t="s">
        <v>4776</v>
      </c>
      <c r="B1474" s="445" t="s">
        <v>4738</v>
      </c>
      <c r="C1474" s="444" t="s">
        <v>4771</v>
      </c>
      <c r="D1474" s="444" t="s">
        <v>4777</v>
      </c>
      <c r="E1474" s="446">
        <v>166708000</v>
      </c>
      <c r="F1474" s="447" t="s">
        <v>1890</v>
      </c>
      <c r="G1474" s="448"/>
      <c r="H1474" s="448"/>
      <c r="I1474" s="448" t="s">
        <v>1893</v>
      </c>
    </row>
    <row r="1475" spans="1:9" x14ac:dyDescent="0.3">
      <c r="A1475" s="443" t="s">
        <v>4778</v>
      </c>
      <c r="B1475" s="445" t="s">
        <v>4738</v>
      </c>
      <c r="C1475" s="444" t="s">
        <v>4771</v>
      </c>
      <c r="D1475" s="444" t="s">
        <v>2999</v>
      </c>
      <c r="E1475" s="446">
        <v>166710000</v>
      </c>
      <c r="F1475" s="447" t="s">
        <v>1890</v>
      </c>
      <c r="G1475" s="448"/>
      <c r="H1475" s="448"/>
      <c r="I1475" s="448" t="s">
        <v>1893</v>
      </c>
    </row>
    <row r="1476" spans="1:9" x14ac:dyDescent="0.3">
      <c r="A1476" s="443" t="s">
        <v>4779</v>
      </c>
      <c r="B1476" s="445" t="s">
        <v>4738</v>
      </c>
      <c r="C1476" s="444" t="s">
        <v>4771</v>
      </c>
      <c r="D1476" s="444" t="s">
        <v>784</v>
      </c>
      <c r="E1476" s="446">
        <v>166711000</v>
      </c>
      <c r="F1476" s="447" t="s">
        <v>1890</v>
      </c>
      <c r="G1476" s="448"/>
      <c r="H1476" s="448"/>
      <c r="I1476" s="448" t="s">
        <v>1923</v>
      </c>
    </row>
    <row r="1477" spans="1:9" x14ac:dyDescent="0.3">
      <c r="A1477" s="443" t="s">
        <v>4780</v>
      </c>
      <c r="B1477" s="445" t="s">
        <v>4738</v>
      </c>
      <c r="C1477" s="444" t="s">
        <v>4771</v>
      </c>
      <c r="D1477" s="444" t="s">
        <v>843</v>
      </c>
      <c r="E1477" s="446">
        <v>166714000</v>
      </c>
      <c r="F1477" s="447" t="s">
        <v>1890</v>
      </c>
      <c r="G1477" s="448"/>
      <c r="H1477" s="448"/>
      <c r="I1477" s="448" t="s">
        <v>1923</v>
      </c>
    </row>
    <row r="1478" spans="1:9" x14ac:dyDescent="0.3">
      <c r="A1478" s="443" t="s">
        <v>4781</v>
      </c>
      <c r="B1478" s="445" t="s">
        <v>4738</v>
      </c>
      <c r="C1478" s="444" t="s">
        <v>4771</v>
      </c>
      <c r="D1478" s="444" t="s">
        <v>899</v>
      </c>
      <c r="E1478" s="446">
        <v>166715000</v>
      </c>
      <c r="F1478" s="447" t="s">
        <v>1890</v>
      </c>
      <c r="G1478" s="448"/>
      <c r="H1478" s="448"/>
      <c r="I1478" s="448" t="s">
        <v>1893</v>
      </c>
    </row>
    <row r="1479" spans="1:9" x14ac:dyDescent="0.3">
      <c r="A1479" s="443" t="s">
        <v>4782</v>
      </c>
      <c r="B1479" s="445" t="s">
        <v>4738</v>
      </c>
      <c r="C1479" s="444" t="s">
        <v>4771</v>
      </c>
      <c r="D1479" s="444" t="s">
        <v>855</v>
      </c>
      <c r="E1479" s="446">
        <v>166716000</v>
      </c>
      <c r="F1479" s="447" t="s">
        <v>1890</v>
      </c>
      <c r="G1479" s="448"/>
      <c r="H1479" s="448"/>
      <c r="I1479" s="448" t="s">
        <v>1893</v>
      </c>
    </row>
    <row r="1480" spans="1:9" x14ac:dyDescent="0.3">
      <c r="A1480" s="443" t="s">
        <v>4783</v>
      </c>
      <c r="B1480" s="445" t="s">
        <v>4738</v>
      </c>
      <c r="C1480" s="444" t="s">
        <v>4771</v>
      </c>
      <c r="D1480" s="444" t="s">
        <v>997</v>
      </c>
      <c r="E1480" s="446">
        <v>166717000</v>
      </c>
      <c r="F1480" s="447" t="s">
        <v>1890</v>
      </c>
      <c r="G1480" s="448"/>
      <c r="H1480" s="448"/>
      <c r="I1480" s="448" t="s">
        <v>1923</v>
      </c>
    </row>
    <row r="1481" spans="1:9" x14ac:dyDescent="0.3">
      <c r="A1481" s="443" t="s">
        <v>4784</v>
      </c>
      <c r="B1481" s="445" t="s">
        <v>4738</v>
      </c>
      <c r="C1481" s="444" t="s">
        <v>4771</v>
      </c>
      <c r="D1481" s="444" t="s">
        <v>4785</v>
      </c>
      <c r="E1481" s="446">
        <v>166718000</v>
      </c>
      <c r="F1481" s="447" t="s">
        <v>1890</v>
      </c>
      <c r="G1481" s="448"/>
      <c r="H1481" s="448"/>
      <c r="I1481" s="448" t="s">
        <v>1896</v>
      </c>
    </row>
    <row r="1482" spans="1:9" ht="28.8" x14ac:dyDescent="0.3">
      <c r="A1482" s="443" t="s">
        <v>4786</v>
      </c>
      <c r="B1482" s="445" t="s">
        <v>4738</v>
      </c>
      <c r="C1482" s="444" t="s">
        <v>4771</v>
      </c>
      <c r="D1482" s="444" t="s">
        <v>3051</v>
      </c>
      <c r="E1482" s="446">
        <v>166719000</v>
      </c>
      <c r="F1482" s="447" t="s">
        <v>1890</v>
      </c>
      <c r="G1482" s="448" t="s">
        <v>4787</v>
      </c>
      <c r="H1482" s="448"/>
      <c r="I1482" s="448" t="s">
        <v>1893</v>
      </c>
    </row>
    <row r="1483" spans="1:9" x14ac:dyDescent="0.3">
      <c r="A1483" s="443" t="s">
        <v>4788</v>
      </c>
      <c r="B1483" s="445" t="s">
        <v>4738</v>
      </c>
      <c r="C1483" s="444" t="s">
        <v>4771</v>
      </c>
      <c r="D1483" s="444" t="s">
        <v>1916</v>
      </c>
      <c r="E1483" s="446">
        <v>166720000</v>
      </c>
      <c r="F1483" s="447" t="s">
        <v>1890</v>
      </c>
      <c r="G1483" s="448"/>
      <c r="H1483" s="448"/>
      <c r="I1483" s="448" t="s">
        <v>1893</v>
      </c>
    </row>
    <row r="1484" spans="1:9" x14ac:dyDescent="0.3">
      <c r="A1484" s="443" t="s">
        <v>4789</v>
      </c>
      <c r="B1484" s="445" t="s">
        <v>4738</v>
      </c>
      <c r="C1484" s="444" t="s">
        <v>4771</v>
      </c>
      <c r="D1484" s="444" t="s">
        <v>4790</v>
      </c>
      <c r="E1484" s="446">
        <v>166721000</v>
      </c>
      <c r="F1484" s="447" t="s">
        <v>1890</v>
      </c>
      <c r="G1484" s="448" t="s">
        <v>4791</v>
      </c>
      <c r="H1484" s="448"/>
      <c r="I1484" s="448" t="s">
        <v>1893</v>
      </c>
    </row>
    <row r="1485" spans="1:9" x14ac:dyDescent="0.3">
      <c r="A1485" s="443" t="s">
        <v>4792</v>
      </c>
      <c r="B1485" s="445" t="s">
        <v>4738</v>
      </c>
      <c r="C1485" s="444" t="s">
        <v>4771</v>
      </c>
      <c r="D1485" s="444" t="s">
        <v>1189</v>
      </c>
      <c r="E1485" s="446">
        <v>166722000</v>
      </c>
      <c r="F1485" s="447" t="s">
        <v>1890</v>
      </c>
      <c r="G1485" s="448"/>
      <c r="H1485" s="448"/>
      <c r="I1485" s="448" t="s">
        <v>1893</v>
      </c>
    </row>
    <row r="1486" spans="1:9" x14ac:dyDescent="0.3">
      <c r="A1486" s="443" t="s">
        <v>4793</v>
      </c>
      <c r="B1486" s="445" t="s">
        <v>4738</v>
      </c>
      <c r="C1486" s="444" t="s">
        <v>4771</v>
      </c>
      <c r="D1486" s="444" t="s">
        <v>1019</v>
      </c>
      <c r="E1486" s="446">
        <v>166723000</v>
      </c>
      <c r="F1486" s="447" t="s">
        <v>1890</v>
      </c>
      <c r="G1486" s="448"/>
      <c r="H1486" s="448"/>
      <c r="I1486" s="448" t="s">
        <v>1923</v>
      </c>
    </row>
    <row r="1487" spans="1:9" x14ac:dyDescent="0.3">
      <c r="A1487" s="443" t="s">
        <v>4794</v>
      </c>
      <c r="B1487" s="445" t="s">
        <v>4738</v>
      </c>
      <c r="C1487" s="444" t="s">
        <v>4771</v>
      </c>
      <c r="D1487" s="444" t="s">
        <v>4795</v>
      </c>
      <c r="E1487" s="446">
        <v>166724000</v>
      </c>
      <c r="F1487" s="447" t="s">
        <v>1854</v>
      </c>
      <c r="G1487" s="448"/>
      <c r="H1487" s="448" t="s">
        <v>1961</v>
      </c>
      <c r="I1487" s="448" t="s">
        <v>1927</v>
      </c>
    </row>
    <row r="1488" spans="1:9" x14ac:dyDescent="0.3">
      <c r="A1488" s="443" t="s">
        <v>4796</v>
      </c>
      <c r="B1488" s="445" t="s">
        <v>4738</v>
      </c>
      <c r="C1488" s="444" t="s">
        <v>4771</v>
      </c>
      <c r="D1488" s="444" t="s">
        <v>1245</v>
      </c>
      <c r="E1488" s="446">
        <v>166725000</v>
      </c>
      <c r="F1488" s="447" t="s">
        <v>1890</v>
      </c>
      <c r="G1488" s="448"/>
      <c r="H1488" s="448"/>
      <c r="I1488" s="448" t="s">
        <v>3400</v>
      </c>
    </row>
    <row r="1489" spans="1:9" x14ac:dyDescent="0.3">
      <c r="A1489" s="443" t="s">
        <v>4797</v>
      </c>
      <c r="B1489" s="445" t="s">
        <v>4738</v>
      </c>
      <c r="C1489" s="444" t="s">
        <v>4771</v>
      </c>
      <c r="D1489" s="444" t="s">
        <v>1266</v>
      </c>
      <c r="E1489" s="446">
        <v>166727000</v>
      </c>
      <c r="F1489" s="447" t="s">
        <v>1890</v>
      </c>
      <c r="G1489" s="448"/>
      <c r="H1489" s="448"/>
      <c r="I1489" s="448" t="s">
        <v>1893</v>
      </c>
    </row>
    <row r="1490" spans="1:9" x14ac:dyDescent="0.3">
      <c r="A1490" s="443" t="s">
        <v>4798</v>
      </c>
      <c r="B1490" s="445" t="s">
        <v>4738</v>
      </c>
      <c r="C1490" s="444" t="s">
        <v>4799</v>
      </c>
      <c r="D1490" s="444" t="s">
        <v>231</v>
      </c>
      <c r="E1490" s="446">
        <v>166801000</v>
      </c>
      <c r="F1490" s="447" t="s">
        <v>1890</v>
      </c>
      <c r="G1490" s="448"/>
      <c r="H1490" s="448"/>
      <c r="I1490" s="448" t="s">
        <v>1927</v>
      </c>
    </row>
    <row r="1491" spans="1:9" x14ac:dyDescent="0.3">
      <c r="A1491" s="443" t="s">
        <v>4800</v>
      </c>
      <c r="B1491" s="445" t="s">
        <v>4738</v>
      </c>
      <c r="C1491" s="444" t="s">
        <v>4799</v>
      </c>
      <c r="D1491" s="444" t="s">
        <v>304</v>
      </c>
      <c r="E1491" s="446">
        <v>166802000</v>
      </c>
      <c r="F1491" s="447" t="s">
        <v>1890</v>
      </c>
      <c r="G1491" s="448"/>
      <c r="H1491" s="448"/>
      <c r="I1491" s="448" t="s">
        <v>1893</v>
      </c>
    </row>
    <row r="1492" spans="1:9" x14ac:dyDescent="0.3">
      <c r="A1492" s="443" t="s">
        <v>4801</v>
      </c>
      <c r="B1492" s="445" t="s">
        <v>4738</v>
      </c>
      <c r="C1492" s="444" t="s">
        <v>4799</v>
      </c>
      <c r="D1492" s="444" t="s">
        <v>4802</v>
      </c>
      <c r="E1492" s="446">
        <v>166803000</v>
      </c>
      <c r="F1492" s="447" t="s">
        <v>1854</v>
      </c>
      <c r="G1492" s="448"/>
      <c r="H1492" s="448" t="s">
        <v>1961</v>
      </c>
      <c r="I1492" s="448" t="s">
        <v>1927</v>
      </c>
    </row>
    <row r="1493" spans="1:9" x14ac:dyDescent="0.3">
      <c r="A1493" s="443" t="s">
        <v>4803</v>
      </c>
      <c r="B1493" s="445" t="s">
        <v>4738</v>
      </c>
      <c r="C1493" s="444" t="s">
        <v>4799</v>
      </c>
      <c r="D1493" s="444" t="s">
        <v>378</v>
      </c>
      <c r="E1493" s="446">
        <v>166804000</v>
      </c>
      <c r="F1493" s="447" t="s">
        <v>1890</v>
      </c>
      <c r="G1493" s="448"/>
      <c r="H1493" s="448"/>
      <c r="I1493" s="448" t="s">
        <v>1923</v>
      </c>
    </row>
    <row r="1494" spans="1:9" x14ac:dyDescent="0.3">
      <c r="A1494" s="443" t="s">
        <v>4804</v>
      </c>
      <c r="B1494" s="445" t="s">
        <v>4738</v>
      </c>
      <c r="C1494" s="444" t="s">
        <v>4799</v>
      </c>
      <c r="D1494" s="444" t="s">
        <v>448</v>
      </c>
      <c r="E1494" s="446">
        <v>166805000</v>
      </c>
      <c r="F1494" s="447" t="s">
        <v>1890</v>
      </c>
      <c r="G1494" s="448"/>
      <c r="H1494" s="448"/>
      <c r="I1494" s="448" t="s">
        <v>1874</v>
      </c>
    </row>
    <row r="1495" spans="1:9" x14ac:dyDescent="0.3">
      <c r="A1495" s="443" t="s">
        <v>4805</v>
      </c>
      <c r="B1495" s="445" t="s">
        <v>4738</v>
      </c>
      <c r="C1495" s="444" t="s">
        <v>4799</v>
      </c>
      <c r="D1495" s="444" t="s">
        <v>366</v>
      </c>
      <c r="E1495" s="446">
        <v>166806000</v>
      </c>
      <c r="F1495" s="447" t="s">
        <v>1890</v>
      </c>
      <c r="G1495" s="448"/>
      <c r="H1495" s="448"/>
      <c r="I1495" s="448" t="s">
        <v>1893</v>
      </c>
    </row>
    <row r="1496" spans="1:9" x14ac:dyDescent="0.3">
      <c r="A1496" s="443" t="s">
        <v>4806</v>
      </c>
      <c r="B1496" s="445" t="s">
        <v>4738</v>
      </c>
      <c r="C1496" s="444" t="s">
        <v>4799</v>
      </c>
      <c r="D1496" s="444" t="s">
        <v>590</v>
      </c>
      <c r="E1496" s="446">
        <v>166807000</v>
      </c>
      <c r="F1496" s="447" t="s">
        <v>1890</v>
      </c>
      <c r="G1496" s="448"/>
      <c r="H1496" s="448"/>
      <c r="I1496" s="448" t="s">
        <v>1923</v>
      </c>
    </row>
    <row r="1497" spans="1:9" x14ac:dyDescent="0.3">
      <c r="A1497" s="443" t="s">
        <v>4807</v>
      </c>
      <c r="B1497" s="445" t="s">
        <v>4738</v>
      </c>
      <c r="C1497" s="444" t="s">
        <v>4799</v>
      </c>
      <c r="D1497" s="444" t="s">
        <v>785</v>
      </c>
      <c r="E1497" s="446">
        <v>166808000</v>
      </c>
      <c r="F1497" s="447" t="s">
        <v>1890</v>
      </c>
      <c r="G1497" s="448"/>
      <c r="H1497" s="448"/>
      <c r="I1497" s="448" t="s">
        <v>1923</v>
      </c>
    </row>
    <row r="1498" spans="1:9" x14ac:dyDescent="0.3">
      <c r="A1498" s="443" t="s">
        <v>4808</v>
      </c>
      <c r="B1498" s="445" t="s">
        <v>4738</v>
      </c>
      <c r="C1498" s="444" t="s">
        <v>4799</v>
      </c>
      <c r="D1498" s="444" t="s">
        <v>844</v>
      </c>
      <c r="E1498" s="446">
        <v>166809000</v>
      </c>
      <c r="F1498" s="447" t="s">
        <v>1890</v>
      </c>
      <c r="G1498" s="448"/>
      <c r="H1498" s="448"/>
      <c r="I1498" s="448" t="s">
        <v>1874</v>
      </c>
    </row>
    <row r="1499" spans="1:9" x14ac:dyDescent="0.3">
      <c r="A1499" s="443" t="s">
        <v>4809</v>
      </c>
      <c r="B1499" s="445" t="s">
        <v>4738</v>
      </c>
      <c r="C1499" s="444" t="s">
        <v>4799</v>
      </c>
      <c r="D1499" s="444" t="s">
        <v>900</v>
      </c>
      <c r="E1499" s="446">
        <v>166810000</v>
      </c>
      <c r="F1499" s="447" t="s">
        <v>1890</v>
      </c>
      <c r="G1499" s="448"/>
      <c r="H1499" s="448"/>
      <c r="I1499" s="448" t="s">
        <v>1923</v>
      </c>
    </row>
    <row r="1500" spans="1:9" x14ac:dyDescent="0.3">
      <c r="A1500" s="443" t="s">
        <v>4810</v>
      </c>
      <c r="B1500" s="445" t="s">
        <v>4738</v>
      </c>
      <c r="C1500" s="444" t="s">
        <v>4799</v>
      </c>
      <c r="D1500" s="444" t="s">
        <v>953</v>
      </c>
      <c r="E1500" s="446">
        <v>166811000</v>
      </c>
      <c r="F1500" s="447" t="s">
        <v>1890</v>
      </c>
      <c r="G1500" s="448"/>
      <c r="H1500" s="448"/>
      <c r="I1500" s="448" t="s">
        <v>1923</v>
      </c>
    </row>
    <row r="1501" spans="1:9" x14ac:dyDescent="0.3">
      <c r="A1501" s="443" t="s">
        <v>4811</v>
      </c>
      <c r="B1501" s="445" t="s">
        <v>4738</v>
      </c>
      <c r="C1501" s="444" t="s">
        <v>4799</v>
      </c>
      <c r="D1501" s="444" t="s">
        <v>998</v>
      </c>
      <c r="E1501" s="446">
        <v>166812000</v>
      </c>
      <c r="F1501" s="447" t="s">
        <v>1890</v>
      </c>
      <c r="G1501" s="448"/>
      <c r="H1501" s="448"/>
      <c r="I1501" s="448" t="s">
        <v>1874</v>
      </c>
    </row>
    <row r="1502" spans="1:9" x14ac:dyDescent="0.3">
      <c r="A1502" s="443" t="s">
        <v>4812</v>
      </c>
      <c r="B1502" s="445" t="s">
        <v>4738</v>
      </c>
      <c r="C1502" s="444" t="s">
        <v>4799</v>
      </c>
      <c r="D1502" s="444" t="s">
        <v>1047</v>
      </c>
      <c r="E1502" s="446">
        <v>166813000</v>
      </c>
      <c r="F1502" s="447" t="s">
        <v>1890</v>
      </c>
      <c r="G1502" s="448"/>
      <c r="H1502" s="448"/>
      <c r="I1502" s="448" t="s">
        <v>1923</v>
      </c>
    </row>
    <row r="1503" spans="1:9" x14ac:dyDescent="0.3">
      <c r="A1503" s="443" t="s">
        <v>4813</v>
      </c>
      <c r="B1503" s="445" t="s">
        <v>4738</v>
      </c>
      <c r="C1503" s="444" t="s">
        <v>4799</v>
      </c>
      <c r="D1503" s="444" t="s">
        <v>1087</v>
      </c>
      <c r="E1503" s="446">
        <v>166814000</v>
      </c>
      <c r="F1503" s="447" t="s">
        <v>1890</v>
      </c>
      <c r="G1503" s="448"/>
      <c r="H1503" s="448"/>
      <c r="I1503" s="448" t="s">
        <v>1927</v>
      </c>
    </row>
    <row r="1504" spans="1:9" x14ac:dyDescent="0.3">
      <c r="A1504" s="443" t="s">
        <v>4814</v>
      </c>
      <c r="B1504" s="445" t="s">
        <v>4738</v>
      </c>
      <c r="C1504" s="444" t="s">
        <v>4799</v>
      </c>
      <c r="D1504" s="444" t="s">
        <v>2406</v>
      </c>
      <c r="E1504" s="446">
        <v>166815000</v>
      </c>
      <c r="F1504" s="447" t="s">
        <v>1890</v>
      </c>
      <c r="G1504" s="448"/>
      <c r="H1504" s="448"/>
      <c r="I1504" s="448" t="s">
        <v>1923</v>
      </c>
    </row>
    <row r="1505" spans="1:9" x14ac:dyDescent="0.3">
      <c r="A1505" s="443" t="s">
        <v>4815</v>
      </c>
      <c r="B1505" s="445" t="s">
        <v>4738</v>
      </c>
      <c r="C1505" s="444" t="s">
        <v>4799</v>
      </c>
      <c r="D1505" s="444" t="s">
        <v>2552</v>
      </c>
      <c r="E1505" s="446">
        <v>166816000</v>
      </c>
      <c r="F1505" s="447" t="s">
        <v>1890</v>
      </c>
      <c r="G1505" s="448"/>
      <c r="H1505" s="448"/>
      <c r="I1505" s="448" t="s">
        <v>1856</v>
      </c>
    </row>
    <row r="1506" spans="1:9" x14ac:dyDescent="0.3">
      <c r="A1506" s="443" t="s">
        <v>4816</v>
      </c>
      <c r="B1506" s="445" t="s">
        <v>4738</v>
      </c>
      <c r="C1506" s="444" t="s">
        <v>4799</v>
      </c>
      <c r="D1506" s="444" t="s">
        <v>1190</v>
      </c>
      <c r="E1506" s="446">
        <v>166817000</v>
      </c>
      <c r="F1506" s="447" t="s">
        <v>1890</v>
      </c>
      <c r="G1506" s="448"/>
      <c r="H1506" s="448"/>
      <c r="I1506" s="448" t="s">
        <v>1874</v>
      </c>
    </row>
    <row r="1507" spans="1:9" x14ac:dyDescent="0.3">
      <c r="A1507" s="443" t="s">
        <v>4817</v>
      </c>
      <c r="B1507" s="445" t="s">
        <v>4738</v>
      </c>
      <c r="C1507" s="444" t="s">
        <v>4799</v>
      </c>
      <c r="D1507" s="444" t="s">
        <v>1218</v>
      </c>
      <c r="E1507" s="446">
        <v>166818000</v>
      </c>
      <c r="F1507" s="447" t="s">
        <v>1890</v>
      </c>
      <c r="G1507" s="448"/>
      <c r="H1507" s="448"/>
      <c r="I1507" s="448" t="s">
        <v>1874</v>
      </c>
    </row>
    <row r="1508" spans="1:9" x14ac:dyDescent="0.3">
      <c r="A1508" s="443" t="s">
        <v>4818</v>
      </c>
      <c r="B1508" s="445" t="s">
        <v>4738</v>
      </c>
      <c r="C1508" s="444" t="s">
        <v>4799</v>
      </c>
      <c r="D1508" s="444" t="s">
        <v>4819</v>
      </c>
      <c r="E1508" s="446">
        <v>166819000</v>
      </c>
      <c r="F1508" s="447" t="s">
        <v>1854</v>
      </c>
      <c r="G1508" s="448"/>
      <c r="H1508" s="448" t="s">
        <v>1961</v>
      </c>
      <c r="I1508" s="448" t="s">
        <v>1893</v>
      </c>
    </row>
    <row r="1509" spans="1:9" x14ac:dyDescent="0.3">
      <c r="A1509" s="443" t="s">
        <v>4820</v>
      </c>
      <c r="B1509" s="445" t="s">
        <v>4738</v>
      </c>
      <c r="C1509" s="444" t="s">
        <v>4821</v>
      </c>
      <c r="D1509" s="444" t="s">
        <v>232</v>
      </c>
      <c r="E1509" s="446">
        <v>168501000</v>
      </c>
      <c r="F1509" s="447" t="s">
        <v>1890</v>
      </c>
      <c r="G1509" s="448" t="s">
        <v>145</v>
      </c>
      <c r="H1509" s="448"/>
      <c r="I1509" s="448" t="s">
        <v>3366</v>
      </c>
    </row>
    <row r="1510" spans="1:9" x14ac:dyDescent="0.3">
      <c r="A1510" s="443" t="s">
        <v>4822</v>
      </c>
      <c r="B1510" s="445" t="s">
        <v>4738</v>
      </c>
      <c r="C1510" s="444" t="s">
        <v>4821</v>
      </c>
      <c r="D1510" s="444" t="s">
        <v>305</v>
      </c>
      <c r="E1510" s="446">
        <v>168502000</v>
      </c>
      <c r="F1510" s="447" t="s">
        <v>1890</v>
      </c>
      <c r="G1510" s="448"/>
      <c r="H1510" s="448"/>
      <c r="I1510" s="448" t="s">
        <v>1927</v>
      </c>
    </row>
    <row r="1511" spans="1:9" x14ac:dyDescent="0.3">
      <c r="A1511" s="443" t="s">
        <v>4823</v>
      </c>
      <c r="B1511" s="445" t="s">
        <v>4738</v>
      </c>
      <c r="C1511" s="444" t="s">
        <v>4821</v>
      </c>
      <c r="D1511" s="444" t="s">
        <v>379</v>
      </c>
      <c r="E1511" s="446">
        <v>168503000</v>
      </c>
      <c r="F1511" s="447" t="s">
        <v>1890</v>
      </c>
      <c r="G1511" s="448"/>
      <c r="H1511" s="448"/>
      <c r="I1511" s="448" t="s">
        <v>1893</v>
      </c>
    </row>
    <row r="1512" spans="1:9" x14ac:dyDescent="0.3">
      <c r="A1512" s="443" t="s">
        <v>4824</v>
      </c>
      <c r="B1512" s="445" t="s">
        <v>4738</v>
      </c>
      <c r="C1512" s="444" t="s">
        <v>4821</v>
      </c>
      <c r="D1512" s="444" t="s">
        <v>449</v>
      </c>
      <c r="E1512" s="446">
        <v>168504000</v>
      </c>
      <c r="F1512" s="447" t="s">
        <v>1890</v>
      </c>
      <c r="G1512" s="448" t="s">
        <v>4825</v>
      </c>
      <c r="H1512" s="448"/>
      <c r="I1512" s="448" t="s">
        <v>1893</v>
      </c>
    </row>
    <row r="1513" spans="1:9" x14ac:dyDescent="0.3">
      <c r="A1513" s="443" t="s">
        <v>4826</v>
      </c>
      <c r="B1513" s="445" t="s">
        <v>4738</v>
      </c>
      <c r="C1513" s="444" t="s">
        <v>4821</v>
      </c>
      <c r="D1513" s="444" t="s">
        <v>523</v>
      </c>
      <c r="E1513" s="446">
        <v>168505000</v>
      </c>
      <c r="F1513" s="447" t="s">
        <v>1890</v>
      </c>
      <c r="G1513" s="448"/>
      <c r="H1513" s="448"/>
      <c r="I1513" s="448" t="s">
        <v>3366</v>
      </c>
    </row>
    <row r="1514" spans="1:9" x14ac:dyDescent="0.3">
      <c r="A1514" s="443" t="s">
        <v>4827</v>
      </c>
      <c r="B1514" s="445" t="s">
        <v>4738</v>
      </c>
      <c r="C1514" s="444" t="s">
        <v>4821</v>
      </c>
      <c r="D1514" s="444" t="s">
        <v>1828</v>
      </c>
      <c r="E1514" s="446">
        <v>168506000</v>
      </c>
      <c r="F1514" s="447" t="s">
        <v>1890</v>
      </c>
      <c r="G1514" s="448"/>
      <c r="H1514" s="448"/>
      <c r="I1514" s="448" t="s">
        <v>3366</v>
      </c>
    </row>
    <row r="1515" spans="1:9" x14ac:dyDescent="0.3">
      <c r="A1515" s="443" t="s">
        <v>4828</v>
      </c>
      <c r="B1515" s="445" t="s">
        <v>4738</v>
      </c>
      <c r="C1515" s="444" t="s">
        <v>4821</v>
      </c>
      <c r="D1515" s="444" t="s">
        <v>659</v>
      </c>
      <c r="E1515" s="446">
        <v>168507000</v>
      </c>
      <c r="F1515" s="447" t="s">
        <v>1890</v>
      </c>
      <c r="G1515" s="448"/>
      <c r="H1515" s="448"/>
      <c r="I1515" s="448" t="s">
        <v>3400</v>
      </c>
    </row>
    <row r="1516" spans="1:9" x14ac:dyDescent="0.3">
      <c r="A1516" s="443" t="s">
        <v>4829</v>
      </c>
      <c r="B1516" s="445" t="s">
        <v>4738</v>
      </c>
      <c r="C1516" s="445" t="s">
        <v>4739</v>
      </c>
      <c r="D1516" s="444" t="s">
        <v>4830</v>
      </c>
      <c r="E1516" s="446">
        <v>160202000</v>
      </c>
      <c r="F1516" s="447" t="s">
        <v>1854</v>
      </c>
      <c r="G1516" s="448"/>
      <c r="H1516" s="448" t="s">
        <v>1855</v>
      </c>
      <c r="I1516" s="448" t="s">
        <v>1856</v>
      </c>
    </row>
    <row r="1517" spans="1:9" x14ac:dyDescent="0.3">
      <c r="A1517" s="443" t="s">
        <v>4831</v>
      </c>
      <c r="B1517" s="445" t="s">
        <v>1</v>
      </c>
      <c r="C1517" s="444" t="s">
        <v>75</v>
      </c>
      <c r="D1517" s="444" t="s">
        <v>4832</v>
      </c>
      <c r="E1517" s="446">
        <v>150702000</v>
      </c>
      <c r="F1517" s="447" t="s">
        <v>1854</v>
      </c>
      <c r="G1517" s="448"/>
      <c r="H1517" s="448" t="s">
        <v>1961</v>
      </c>
      <c r="I1517" s="448" t="s">
        <v>1896</v>
      </c>
    </row>
    <row r="1518" spans="1:9" x14ac:dyDescent="0.3">
      <c r="A1518" s="443" t="s">
        <v>4833</v>
      </c>
      <c r="B1518" s="445" t="s">
        <v>1</v>
      </c>
      <c r="C1518" s="444" t="s">
        <v>75</v>
      </c>
      <c r="D1518" s="444" t="s">
        <v>4834</v>
      </c>
      <c r="E1518" s="446">
        <v>150703000</v>
      </c>
      <c r="F1518" s="447" t="s">
        <v>1890</v>
      </c>
      <c r="G1518" s="448"/>
      <c r="H1518" s="448"/>
      <c r="I1518" s="448" t="s">
        <v>1927</v>
      </c>
    </row>
    <row r="1519" spans="1:9" x14ac:dyDescent="0.3">
      <c r="A1519" s="443" t="s">
        <v>4835</v>
      </c>
      <c r="B1519" s="445" t="s">
        <v>1</v>
      </c>
      <c r="C1519" s="444" t="s">
        <v>75</v>
      </c>
      <c r="D1519" s="444" t="s">
        <v>4836</v>
      </c>
      <c r="E1519" s="446">
        <v>150704000</v>
      </c>
      <c r="F1519" s="447" t="s">
        <v>1890</v>
      </c>
      <c r="G1519" s="448"/>
      <c r="H1519" s="448"/>
      <c r="I1519" s="448" t="s">
        <v>1923</v>
      </c>
    </row>
    <row r="1520" spans="1:9" x14ac:dyDescent="0.3">
      <c r="A1520" s="443" t="s">
        <v>4837</v>
      </c>
      <c r="B1520" s="445" t="s">
        <v>1</v>
      </c>
      <c r="C1520" s="444" t="s">
        <v>75</v>
      </c>
      <c r="D1520" s="444" t="s">
        <v>4838</v>
      </c>
      <c r="E1520" s="446">
        <v>150705000</v>
      </c>
      <c r="F1520" s="447" t="s">
        <v>1890</v>
      </c>
      <c r="G1520" s="448"/>
      <c r="H1520" s="448"/>
      <c r="I1520" s="448" t="s">
        <v>1856</v>
      </c>
    </row>
    <row r="1521" spans="1:9" x14ac:dyDescent="0.3">
      <c r="A1521" s="443" t="s">
        <v>4839</v>
      </c>
      <c r="B1521" s="445" t="s">
        <v>1</v>
      </c>
      <c r="C1521" s="444" t="s">
        <v>75</v>
      </c>
      <c r="D1521" s="444" t="s">
        <v>4840</v>
      </c>
      <c r="E1521" s="446">
        <v>150706000</v>
      </c>
      <c r="F1521" s="447" t="s">
        <v>1890</v>
      </c>
      <c r="G1521" s="448"/>
      <c r="H1521" s="448"/>
      <c r="I1521" s="448" t="s">
        <v>1927</v>
      </c>
    </row>
    <row r="1522" spans="1:9" x14ac:dyDescent="0.3">
      <c r="A1522" s="443" t="s">
        <v>4841</v>
      </c>
      <c r="B1522" s="445" t="s">
        <v>1</v>
      </c>
      <c r="C1522" s="444" t="s">
        <v>75</v>
      </c>
      <c r="D1522" s="444" t="s">
        <v>1482</v>
      </c>
      <c r="E1522" s="446">
        <v>150707000</v>
      </c>
      <c r="F1522" s="447" t="s">
        <v>1890</v>
      </c>
      <c r="G1522" s="448"/>
      <c r="H1522" s="448"/>
      <c r="I1522" s="448" t="s">
        <v>1874</v>
      </c>
    </row>
    <row r="1523" spans="1:9" x14ac:dyDescent="0.3">
      <c r="A1523" s="443" t="s">
        <v>4842</v>
      </c>
      <c r="B1523" s="445" t="s">
        <v>1</v>
      </c>
      <c r="C1523" s="444" t="s">
        <v>75</v>
      </c>
      <c r="D1523" s="444" t="s">
        <v>4843</v>
      </c>
      <c r="E1523" s="446">
        <v>150708000</v>
      </c>
      <c r="F1523" s="447" t="s">
        <v>1890</v>
      </c>
      <c r="G1523" s="448"/>
      <c r="H1523" s="448"/>
      <c r="I1523" s="457" t="s">
        <v>4844</v>
      </c>
    </row>
    <row r="1524" spans="1:9" x14ac:dyDescent="0.3">
      <c r="A1524" s="443" t="s">
        <v>4845</v>
      </c>
      <c r="B1524" s="445" t="s">
        <v>1</v>
      </c>
      <c r="C1524" s="444" t="s">
        <v>75</v>
      </c>
      <c r="D1524" s="444" t="s">
        <v>4846</v>
      </c>
      <c r="E1524" s="446">
        <v>150709000</v>
      </c>
      <c r="F1524" s="447" t="s">
        <v>1890</v>
      </c>
      <c r="G1524" s="448"/>
      <c r="H1524" s="448"/>
      <c r="I1524" s="457" t="s">
        <v>4844</v>
      </c>
    </row>
    <row r="1525" spans="1:9" x14ac:dyDescent="0.3">
      <c r="A1525" s="443" t="s">
        <v>4847</v>
      </c>
      <c r="B1525" s="445" t="s">
        <v>1</v>
      </c>
      <c r="C1525" s="444" t="s">
        <v>75</v>
      </c>
      <c r="D1525" s="444" t="s">
        <v>4848</v>
      </c>
      <c r="E1525" s="446">
        <v>150710000</v>
      </c>
      <c r="F1525" s="447" t="s">
        <v>1890</v>
      </c>
      <c r="G1525" s="448"/>
      <c r="H1525" s="448"/>
      <c r="I1525" s="457" t="s">
        <v>4844</v>
      </c>
    </row>
    <row r="1526" spans="1:9" x14ac:dyDescent="0.3">
      <c r="A1526" s="443" t="s">
        <v>4849</v>
      </c>
      <c r="B1526" s="445" t="s">
        <v>1</v>
      </c>
      <c r="C1526" s="444" t="s">
        <v>75</v>
      </c>
      <c r="D1526" s="444" t="s">
        <v>4850</v>
      </c>
      <c r="E1526" s="446">
        <v>150711000</v>
      </c>
      <c r="F1526" s="447" t="s">
        <v>1890</v>
      </c>
      <c r="G1526" s="448"/>
      <c r="H1526" s="448"/>
      <c r="I1526" s="457" t="s">
        <v>4844</v>
      </c>
    </row>
    <row r="1527" spans="1:9" x14ac:dyDescent="0.3">
      <c r="A1527" s="443" t="s">
        <v>4851</v>
      </c>
      <c r="B1527" s="445" t="s">
        <v>1</v>
      </c>
      <c r="C1527" s="444" t="s">
        <v>75</v>
      </c>
      <c r="D1527" s="444" t="s">
        <v>4852</v>
      </c>
      <c r="E1527" s="446">
        <v>150712000</v>
      </c>
      <c r="F1527" s="447" t="s">
        <v>1890</v>
      </c>
      <c r="G1527" s="448"/>
      <c r="H1527" s="448"/>
      <c r="I1527" s="457" t="s">
        <v>4844</v>
      </c>
    </row>
    <row r="1528" spans="1:9" x14ac:dyDescent="0.3">
      <c r="A1528" s="443" t="s">
        <v>4853</v>
      </c>
      <c r="B1528" s="445" t="s">
        <v>1</v>
      </c>
      <c r="C1528" s="444" t="s">
        <v>75</v>
      </c>
      <c r="D1528" s="444" t="s">
        <v>4854</v>
      </c>
      <c r="E1528" s="446">
        <v>150713000</v>
      </c>
      <c r="F1528" s="447" t="s">
        <v>1890</v>
      </c>
      <c r="G1528" s="448"/>
      <c r="H1528" s="448"/>
      <c r="I1528" s="457" t="s">
        <v>4844</v>
      </c>
    </row>
    <row r="1529" spans="1:9" ht="28.8" x14ac:dyDescent="0.3">
      <c r="A1529" s="443" t="s">
        <v>4855</v>
      </c>
      <c r="B1529" s="445" t="s">
        <v>1</v>
      </c>
      <c r="C1529" s="444" t="s">
        <v>4856</v>
      </c>
      <c r="D1529" s="444" t="s">
        <v>4857</v>
      </c>
      <c r="E1529" s="446">
        <v>153601000</v>
      </c>
      <c r="F1529" s="447" t="s">
        <v>1890</v>
      </c>
      <c r="G1529" s="448" t="s">
        <v>4858</v>
      </c>
      <c r="H1529" s="448"/>
      <c r="I1529" s="448" t="s">
        <v>1927</v>
      </c>
    </row>
    <row r="1530" spans="1:9" x14ac:dyDescent="0.3">
      <c r="A1530" s="443" t="s">
        <v>4859</v>
      </c>
      <c r="B1530" s="445" t="s">
        <v>1</v>
      </c>
      <c r="C1530" s="444" t="s">
        <v>4856</v>
      </c>
      <c r="D1530" s="444" t="s">
        <v>4860</v>
      </c>
      <c r="E1530" s="446">
        <v>153602000</v>
      </c>
      <c r="F1530" s="447" t="s">
        <v>1890</v>
      </c>
      <c r="G1530" s="448"/>
      <c r="H1530" s="448"/>
      <c r="I1530" s="448" t="s">
        <v>3366</v>
      </c>
    </row>
    <row r="1531" spans="1:9" x14ac:dyDescent="0.3">
      <c r="A1531" s="443" t="s">
        <v>4861</v>
      </c>
      <c r="B1531" s="445" t="s">
        <v>1</v>
      </c>
      <c r="C1531" s="444" t="s">
        <v>4856</v>
      </c>
      <c r="D1531" s="444" t="s">
        <v>4862</v>
      </c>
      <c r="E1531" s="446">
        <v>153603000</v>
      </c>
      <c r="F1531" s="447" t="s">
        <v>1890</v>
      </c>
      <c r="G1531" s="448" t="s">
        <v>4863</v>
      </c>
      <c r="H1531" s="448"/>
      <c r="I1531" s="448" t="s">
        <v>3366</v>
      </c>
    </row>
    <row r="1532" spans="1:9" x14ac:dyDescent="0.3">
      <c r="A1532" s="443" t="s">
        <v>4864</v>
      </c>
      <c r="B1532" s="445" t="s">
        <v>1</v>
      </c>
      <c r="C1532" s="444" t="s">
        <v>4856</v>
      </c>
      <c r="D1532" s="444" t="s">
        <v>4865</v>
      </c>
      <c r="E1532" s="446">
        <v>153604000</v>
      </c>
      <c r="F1532" s="447" t="s">
        <v>1890</v>
      </c>
      <c r="G1532" s="448"/>
      <c r="H1532" s="448"/>
      <c r="I1532" s="448" t="s">
        <v>1893</v>
      </c>
    </row>
    <row r="1533" spans="1:9" x14ac:dyDescent="0.3">
      <c r="A1533" s="443" t="s">
        <v>4866</v>
      </c>
      <c r="B1533" s="445" t="s">
        <v>1</v>
      </c>
      <c r="C1533" s="444" t="s">
        <v>4856</v>
      </c>
      <c r="D1533" s="444" t="s">
        <v>4867</v>
      </c>
      <c r="E1533" s="446">
        <v>153605000</v>
      </c>
      <c r="F1533" s="447" t="s">
        <v>1890</v>
      </c>
      <c r="G1533" s="448"/>
      <c r="H1533" s="448"/>
      <c r="I1533" s="448" t="s">
        <v>1923</v>
      </c>
    </row>
    <row r="1534" spans="1:9" x14ac:dyDescent="0.3">
      <c r="A1534" s="443" t="s">
        <v>4868</v>
      </c>
      <c r="B1534" s="445" t="s">
        <v>1</v>
      </c>
      <c r="C1534" s="444" t="s">
        <v>4856</v>
      </c>
      <c r="D1534" s="444" t="s">
        <v>4869</v>
      </c>
      <c r="E1534" s="446">
        <v>153606000</v>
      </c>
      <c r="F1534" s="447" t="s">
        <v>1890</v>
      </c>
      <c r="G1534" s="448"/>
      <c r="H1534" s="448"/>
      <c r="I1534" s="448" t="s">
        <v>1874</v>
      </c>
    </row>
    <row r="1535" spans="1:9" x14ac:dyDescent="0.3">
      <c r="A1535" s="443" t="s">
        <v>4870</v>
      </c>
      <c r="B1535" s="445" t="s">
        <v>1</v>
      </c>
      <c r="C1535" s="444" t="s">
        <v>4856</v>
      </c>
      <c r="D1535" s="444" t="s">
        <v>4871</v>
      </c>
      <c r="E1535" s="446">
        <v>153607000</v>
      </c>
      <c r="F1535" s="447" t="s">
        <v>1890</v>
      </c>
      <c r="G1535" s="448"/>
      <c r="H1535" s="448"/>
      <c r="I1535" s="448" t="s">
        <v>4146</v>
      </c>
    </row>
    <row r="1536" spans="1:9" x14ac:dyDescent="0.3">
      <c r="A1536" s="443" t="s">
        <v>4872</v>
      </c>
      <c r="B1536" s="445" t="s">
        <v>1</v>
      </c>
      <c r="C1536" s="444" t="s">
        <v>4856</v>
      </c>
      <c r="D1536" s="444" t="s">
        <v>4873</v>
      </c>
      <c r="E1536" s="446">
        <v>153609000</v>
      </c>
      <c r="F1536" s="447" t="s">
        <v>1890</v>
      </c>
      <c r="G1536" s="448"/>
      <c r="H1536" s="448"/>
      <c r="I1536" s="448" t="s">
        <v>1923</v>
      </c>
    </row>
    <row r="1537" spans="1:9" x14ac:dyDescent="0.3">
      <c r="A1537" s="443" t="s">
        <v>4874</v>
      </c>
      <c r="B1537" s="445" t="s">
        <v>1</v>
      </c>
      <c r="C1537" s="444" t="s">
        <v>4856</v>
      </c>
      <c r="D1537" s="444" t="s">
        <v>4875</v>
      </c>
      <c r="E1537" s="446">
        <v>153610000</v>
      </c>
      <c r="F1537" s="447" t="s">
        <v>1890</v>
      </c>
      <c r="G1537" s="448"/>
      <c r="H1537" s="448"/>
      <c r="I1537" s="448" t="s">
        <v>1923</v>
      </c>
    </row>
    <row r="1538" spans="1:9" x14ac:dyDescent="0.3">
      <c r="A1538" s="443" t="s">
        <v>4876</v>
      </c>
      <c r="B1538" s="445" t="s">
        <v>1</v>
      </c>
      <c r="C1538" s="444" t="s">
        <v>4856</v>
      </c>
      <c r="D1538" s="444" t="s">
        <v>4877</v>
      </c>
      <c r="E1538" s="446">
        <v>153611000</v>
      </c>
      <c r="F1538" s="447" t="s">
        <v>1890</v>
      </c>
      <c r="G1538" s="448" t="s">
        <v>4878</v>
      </c>
      <c r="H1538" s="448"/>
      <c r="I1538" s="448" t="s">
        <v>1874</v>
      </c>
    </row>
    <row r="1539" spans="1:9" x14ac:dyDescent="0.3">
      <c r="A1539" s="443" t="s">
        <v>4879</v>
      </c>
      <c r="B1539" s="445" t="s">
        <v>1</v>
      </c>
      <c r="C1539" s="444" t="s">
        <v>4856</v>
      </c>
      <c r="D1539" s="444" t="s">
        <v>4880</v>
      </c>
      <c r="E1539" s="446">
        <v>153612000</v>
      </c>
      <c r="F1539" s="447" t="s">
        <v>1890</v>
      </c>
      <c r="G1539" s="448"/>
      <c r="H1539" s="448"/>
      <c r="I1539" s="448" t="s">
        <v>3400</v>
      </c>
    </row>
    <row r="1540" spans="1:9" x14ac:dyDescent="0.3">
      <c r="A1540" s="443" t="s">
        <v>4881</v>
      </c>
      <c r="B1540" s="445" t="s">
        <v>1</v>
      </c>
      <c r="C1540" s="444" t="s">
        <v>4856</v>
      </c>
      <c r="D1540" s="444" t="s">
        <v>4882</v>
      </c>
      <c r="E1540" s="446">
        <v>153613000</v>
      </c>
      <c r="F1540" s="447" t="s">
        <v>1890</v>
      </c>
      <c r="G1540" s="448"/>
      <c r="H1540" s="448"/>
      <c r="I1540" s="448" t="s">
        <v>1927</v>
      </c>
    </row>
    <row r="1541" spans="1:9" x14ac:dyDescent="0.3">
      <c r="A1541" s="443" t="s">
        <v>4883</v>
      </c>
      <c r="B1541" s="445" t="s">
        <v>1</v>
      </c>
      <c r="C1541" s="444" t="s">
        <v>4856</v>
      </c>
      <c r="D1541" s="444" t="s">
        <v>4884</v>
      </c>
      <c r="E1541" s="446">
        <v>153614000</v>
      </c>
      <c r="F1541" s="447" t="s">
        <v>1890</v>
      </c>
      <c r="G1541" s="448"/>
      <c r="H1541" s="448"/>
      <c r="I1541" s="448" t="s">
        <v>1923</v>
      </c>
    </row>
    <row r="1542" spans="1:9" x14ac:dyDescent="0.3">
      <c r="A1542" s="443" t="s">
        <v>4885</v>
      </c>
      <c r="B1542" s="445" t="s">
        <v>1</v>
      </c>
      <c r="C1542" s="444" t="s">
        <v>4856</v>
      </c>
      <c r="D1542" s="444" t="s">
        <v>4886</v>
      </c>
      <c r="E1542" s="446">
        <v>153615000</v>
      </c>
      <c r="F1542" s="447" t="s">
        <v>1890</v>
      </c>
      <c r="G1542" s="448"/>
      <c r="H1542" s="448"/>
      <c r="I1542" s="448" t="s">
        <v>1927</v>
      </c>
    </row>
    <row r="1543" spans="1:9" x14ac:dyDescent="0.3">
      <c r="A1543" s="443" t="s">
        <v>4887</v>
      </c>
      <c r="B1543" s="445" t="s">
        <v>1</v>
      </c>
      <c r="C1543" s="444" t="s">
        <v>4856</v>
      </c>
      <c r="D1543" s="444" t="s">
        <v>4888</v>
      </c>
      <c r="E1543" s="446">
        <v>153616000</v>
      </c>
      <c r="F1543" s="447" t="s">
        <v>1890</v>
      </c>
      <c r="G1543" s="448"/>
      <c r="H1543" s="448"/>
      <c r="I1543" s="448" t="s">
        <v>1874</v>
      </c>
    </row>
    <row r="1544" spans="1:9" x14ac:dyDescent="0.3">
      <c r="A1544" s="443" t="s">
        <v>4889</v>
      </c>
      <c r="B1544" s="445" t="s">
        <v>1</v>
      </c>
      <c r="C1544" s="444" t="s">
        <v>4856</v>
      </c>
      <c r="D1544" s="444" t="s">
        <v>4890</v>
      </c>
      <c r="E1544" s="446">
        <v>153617000</v>
      </c>
      <c r="F1544" s="447" t="s">
        <v>1854</v>
      </c>
      <c r="G1544" s="448"/>
      <c r="H1544" s="448" t="s">
        <v>1961</v>
      </c>
      <c r="I1544" s="448" t="s">
        <v>1923</v>
      </c>
    </row>
    <row r="1545" spans="1:9" x14ac:dyDescent="0.3">
      <c r="A1545" s="443" t="s">
        <v>4891</v>
      </c>
      <c r="B1545" s="445" t="s">
        <v>1</v>
      </c>
      <c r="C1545" s="444" t="s">
        <v>4856</v>
      </c>
      <c r="D1545" s="444" t="s">
        <v>4892</v>
      </c>
      <c r="E1545" s="446">
        <v>153618000</v>
      </c>
      <c r="F1545" s="447" t="s">
        <v>1890</v>
      </c>
      <c r="G1545" s="448"/>
      <c r="H1545" s="448"/>
      <c r="I1545" s="448" t="s">
        <v>1893</v>
      </c>
    </row>
    <row r="1546" spans="1:9" x14ac:dyDescent="0.3">
      <c r="A1546" s="443" t="s">
        <v>4893</v>
      </c>
      <c r="B1546" s="445" t="s">
        <v>1</v>
      </c>
      <c r="C1546" s="444" t="s">
        <v>4856</v>
      </c>
      <c r="D1546" s="444" t="s">
        <v>4894</v>
      </c>
      <c r="E1546" s="446">
        <v>153619000</v>
      </c>
      <c r="F1546" s="447" t="s">
        <v>1890</v>
      </c>
      <c r="G1546" s="448"/>
      <c r="H1546" s="448"/>
      <c r="I1546" s="448" t="s">
        <v>1927</v>
      </c>
    </row>
    <row r="1547" spans="1:9" x14ac:dyDescent="0.3">
      <c r="A1547" s="443" t="s">
        <v>4895</v>
      </c>
      <c r="B1547" s="445" t="s">
        <v>1</v>
      </c>
      <c r="C1547" s="444" t="s">
        <v>4856</v>
      </c>
      <c r="D1547" s="444" t="s">
        <v>4896</v>
      </c>
      <c r="E1547" s="446">
        <v>153620000</v>
      </c>
      <c r="F1547" s="447" t="s">
        <v>1890</v>
      </c>
      <c r="G1547" s="448" t="s">
        <v>4897</v>
      </c>
      <c r="H1547" s="448"/>
      <c r="I1547" s="448" t="s">
        <v>1893</v>
      </c>
    </row>
    <row r="1548" spans="1:9" x14ac:dyDescent="0.3">
      <c r="A1548" s="443" t="s">
        <v>4898</v>
      </c>
      <c r="B1548" s="445" t="s">
        <v>1</v>
      </c>
      <c r="C1548" s="444" t="s">
        <v>4856</v>
      </c>
      <c r="D1548" s="444" t="s">
        <v>4899</v>
      </c>
      <c r="E1548" s="446">
        <v>153621000</v>
      </c>
      <c r="F1548" s="447" t="s">
        <v>1890</v>
      </c>
      <c r="G1548" s="448"/>
      <c r="H1548" s="448"/>
      <c r="I1548" s="448" t="s">
        <v>1923</v>
      </c>
    </row>
    <row r="1549" spans="1:9" x14ac:dyDescent="0.3">
      <c r="A1549" s="443" t="s">
        <v>4900</v>
      </c>
      <c r="B1549" s="445" t="s">
        <v>1</v>
      </c>
      <c r="C1549" s="444" t="s">
        <v>4856</v>
      </c>
      <c r="D1549" s="444" t="s">
        <v>4901</v>
      </c>
      <c r="E1549" s="446">
        <v>153622000</v>
      </c>
      <c r="F1549" s="447" t="s">
        <v>1890</v>
      </c>
      <c r="G1549" s="448" t="s">
        <v>4902</v>
      </c>
      <c r="H1549" s="448"/>
      <c r="I1549" s="448" t="s">
        <v>1923</v>
      </c>
    </row>
    <row r="1550" spans="1:9" x14ac:dyDescent="0.3">
      <c r="A1550" s="443" t="s">
        <v>4903</v>
      </c>
      <c r="B1550" s="445" t="s">
        <v>1</v>
      </c>
      <c r="C1550" s="444" t="s">
        <v>4856</v>
      </c>
      <c r="D1550" s="444" t="s">
        <v>4904</v>
      </c>
      <c r="E1550" s="446">
        <v>153623000</v>
      </c>
      <c r="F1550" s="447" t="s">
        <v>1890</v>
      </c>
      <c r="G1550" s="448"/>
      <c r="H1550" s="448"/>
      <c r="I1550" s="448" t="s">
        <v>1893</v>
      </c>
    </row>
    <row r="1551" spans="1:9" x14ac:dyDescent="0.3">
      <c r="A1551" s="443" t="s">
        <v>4905</v>
      </c>
      <c r="B1551" s="445" t="s">
        <v>1</v>
      </c>
      <c r="C1551" s="444" t="s">
        <v>4856</v>
      </c>
      <c r="D1551" s="444" t="s">
        <v>4906</v>
      </c>
      <c r="E1551" s="446">
        <v>153624000</v>
      </c>
      <c r="F1551" s="447" t="s">
        <v>1890</v>
      </c>
      <c r="G1551" s="448"/>
      <c r="H1551" s="448"/>
      <c r="I1551" s="448" t="s">
        <v>1927</v>
      </c>
    </row>
    <row r="1552" spans="1:9" x14ac:dyDescent="0.3">
      <c r="A1552" s="443" t="s">
        <v>4907</v>
      </c>
      <c r="B1552" s="445" t="s">
        <v>1</v>
      </c>
      <c r="C1552" s="444" t="s">
        <v>4856</v>
      </c>
      <c r="D1552" s="444" t="s">
        <v>4908</v>
      </c>
      <c r="E1552" s="446">
        <v>153625000</v>
      </c>
      <c r="F1552" s="447" t="s">
        <v>1890</v>
      </c>
      <c r="G1552" s="448"/>
      <c r="H1552" s="448"/>
      <c r="I1552" s="448" t="s">
        <v>1923</v>
      </c>
    </row>
    <row r="1553" spans="1:9" x14ac:dyDescent="0.3">
      <c r="A1553" s="443" t="s">
        <v>4909</v>
      </c>
      <c r="B1553" s="445" t="s">
        <v>1</v>
      </c>
      <c r="C1553" s="444" t="s">
        <v>4856</v>
      </c>
      <c r="D1553" s="444" t="s">
        <v>4910</v>
      </c>
      <c r="E1553" s="446">
        <v>153626000</v>
      </c>
      <c r="F1553" s="447" t="s">
        <v>1890</v>
      </c>
      <c r="G1553" s="448"/>
      <c r="H1553" s="448"/>
      <c r="I1553" s="448" t="s">
        <v>3400</v>
      </c>
    </row>
    <row r="1554" spans="1:9" x14ac:dyDescent="0.3">
      <c r="A1554" s="443" t="s">
        <v>4911</v>
      </c>
      <c r="B1554" s="445" t="s">
        <v>1</v>
      </c>
      <c r="C1554" s="444" t="s">
        <v>4856</v>
      </c>
      <c r="D1554" s="444" t="s">
        <v>4912</v>
      </c>
      <c r="E1554" s="446">
        <v>153627000</v>
      </c>
      <c r="F1554" s="447" t="s">
        <v>1890</v>
      </c>
      <c r="G1554" s="448"/>
      <c r="H1554" s="448"/>
      <c r="I1554" s="448" t="s">
        <v>1923</v>
      </c>
    </row>
    <row r="1555" spans="1:9" x14ac:dyDescent="0.3">
      <c r="A1555" s="443" t="s">
        <v>4913</v>
      </c>
      <c r="B1555" s="445" t="s">
        <v>1</v>
      </c>
      <c r="C1555" s="444" t="s">
        <v>4856</v>
      </c>
      <c r="D1555" s="444" t="s">
        <v>4914</v>
      </c>
      <c r="E1555" s="446">
        <v>153628000</v>
      </c>
      <c r="F1555" s="447" t="s">
        <v>1890</v>
      </c>
      <c r="G1555" s="448"/>
      <c r="H1555" s="448"/>
      <c r="I1555" s="448" t="s">
        <v>1923</v>
      </c>
    </row>
    <row r="1556" spans="1:9" x14ac:dyDescent="0.3">
      <c r="A1556" s="443" t="s">
        <v>4915</v>
      </c>
      <c r="B1556" s="445" t="s">
        <v>1</v>
      </c>
      <c r="C1556" s="444" t="s">
        <v>4856</v>
      </c>
      <c r="D1556" s="444" t="s">
        <v>4916</v>
      </c>
      <c r="E1556" s="446">
        <v>153629000</v>
      </c>
      <c r="F1556" s="447" t="s">
        <v>1890</v>
      </c>
      <c r="G1556" s="448"/>
      <c r="H1556" s="448"/>
      <c r="I1556" s="448" t="s">
        <v>1893</v>
      </c>
    </row>
    <row r="1557" spans="1:9" x14ac:dyDescent="0.3">
      <c r="A1557" s="443" t="s">
        <v>4917</v>
      </c>
      <c r="B1557" s="445" t="s">
        <v>1</v>
      </c>
      <c r="C1557" s="444" t="s">
        <v>4856</v>
      </c>
      <c r="D1557" s="444" t="s">
        <v>4918</v>
      </c>
      <c r="E1557" s="446">
        <v>153630000</v>
      </c>
      <c r="F1557" s="447" t="s">
        <v>1890</v>
      </c>
      <c r="G1557" s="448"/>
      <c r="H1557" s="448"/>
      <c r="I1557" s="448" t="s">
        <v>1874</v>
      </c>
    </row>
    <row r="1558" spans="1:9" x14ac:dyDescent="0.3">
      <c r="A1558" s="443" t="s">
        <v>4919</v>
      </c>
      <c r="B1558" s="445" t="s">
        <v>1</v>
      </c>
      <c r="C1558" s="444" t="s">
        <v>4856</v>
      </c>
      <c r="D1558" s="444" t="s">
        <v>4920</v>
      </c>
      <c r="E1558" s="446">
        <v>153631000</v>
      </c>
      <c r="F1558" s="447" t="s">
        <v>1890</v>
      </c>
      <c r="G1558" s="448"/>
      <c r="H1558" s="448"/>
      <c r="I1558" s="448" t="s">
        <v>1923</v>
      </c>
    </row>
    <row r="1559" spans="1:9" x14ac:dyDescent="0.3">
      <c r="A1559" s="443" t="s">
        <v>4921</v>
      </c>
      <c r="B1559" s="445" t="s">
        <v>1</v>
      </c>
      <c r="C1559" s="444" t="s">
        <v>4856</v>
      </c>
      <c r="D1559" s="444" t="s">
        <v>4922</v>
      </c>
      <c r="E1559" s="446">
        <v>153632000</v>
      </c>
      <c r="F1559" s="447" t="s">
        <v>1890</v>
      </c>
      <c r="G1559" s="448"/>
      <c r="H1559" s="448"/>
      <c r="I1559" s="448" t="s">
        <v>1893</v>
      </c>
    </row>
    <row r="1560" spans="1:9" x14ac:dyDescent="0.3">
      <c r="A1560" s="443" t="s">
        <v>4923</v>
      </c>
      <c r="B1560" s="445" t="s">
        <v>1</v>
      </c>
      <c r="C1560" s="444" t="s">
        <v>4856</v>
      </c>
      <c r="D1560" s="444" t="s">
        <v>4924</v>
      </c>
      <c r="E1560" s="446">
        <v>153633000</v>
      </c>
      <c r="F1560" s="447" t="s">
        <v>1890</v>
      </c>
      <c r="G1560" s="448"/>
      <c r="H1560" s="448"/>
      <c r="I1560" s="448" t="s">
        <v>1923</v>
      </c>
    </row>
    <row r="1561" spans="1:9" x14ac:dyDescent="0.3">
      <c r="A1561" s="443" t="s">
        <v>4925</v>
      </c>
      <c r="B1561" s="445" t="s">
        <v>1</v>
      </c>
      <c r="C1561" s="444" t="s">
        <v>4856</v>
      </c>
      <c r="D1561" s="444" t="s">
        <v>4878</v>
      </c>
      <c r="E1561" s="446">
        <v>153634000</v>
      </c>
      <c r="F1561" s="447" t="s">
        <v>1890</v>
      </c>
      <c r="G1561" s="448"/>
      <c r="H1561" s="448"/>
      <c r="I1561" s="448" t="s">
        <v>1874</v>
      </c>
    </row>
    <row r="1562" spans="1:9" ht="43.2" x14ac:dyDescent="0.3">
      <c r="A1562" s="443" t="s">
        <v>4926</v>
      </c>
      <c r="B1562" s="445" t="s">
        <v>1</v>
      </c>
      <c r="C1562" s="444" t="s">
        <v>4856</v>
      </c>
      <c r="D1562" s="444" t="s">
        <v>4927</v>
      </c>
      <c r="E1562" s="446">
        <v>153635000</v>
      </c>
      <c r="F1562" s="447" t="s">
        <v>1890</v>
      </c>
      <c r="G1562" s="448" t="s">
        <v>4928</v>
      </c>
      <c r="H1562" s="448"/>
      <c r="I1562" s="448" t="s">
        <v>3366</v>
      </c>
    </row>
    <row r="1563" spans="1:9" x14ac:dyDescent="0.3">
      <c r="A1563" s="443" t="s">
        <v>4929</v>
      </c>
      <c r="B1563" s="445" t="s">
        <v>1</v>
      </c>
      <c r="C1563" s="444" t="s">
        <v>4856</v>
      </c>
      <c r="D1563" s="444" t="s">
        <v>4930</v>
      </c>
      <c r="E1563" s="446">
        <v>153636000</v>
      </c>
      <c r="F1563" s="447" t="s">
        <v>1890</v>
      </c>
      <c r="G1563" s="448"/>
      <c r="H1563" s="448"/>
      <c r="I1563" s="448" t="s">
        <v>1923</v>
      </c>
    </row>
    <row r="1564" spans="1:9" ht="28.8" x14ac:dyDescent="0.3">
      <c r="A1564" s="443" t="s">
        <v>4931</v>
      </c>
      <c r="B1564" s="445" t="s">
        <v>1</v>
      </c>
      <c r="C1564" s="444" t="s">
        <v>4856</v>
      </c>
      <c r="D1564" s="444" t="s">
        <v>4932</v>
      </c>
      <c r="E1564" s="446">
        <v>153637000</v>
      </c>
      <c r="F1564" s="447" t="s">
        <v>1890</v>
      </c>
      <c r="G1564" s="448" t="s">
        <v>4933</v>
      </c>
      <c r="H1564" s="448"/>
      <c r="I1564" s="448" t="s">
        <v>1927</v>
      </c>
    </row>
    <row r="1565" spans="1:9" x14ac:dyDescent="0.3">
      <c r="A1565" s="443" t="s">
        <v>4934</v>
      </c>
      <c r="B1565" s="445" t="s">
        <v>1</v>
      </c>
      <c r="C1565" s="444" t="s">
        <v>4856</v>
      </c>
      <c r="D1565" s="444" t="s">
        <v>4935</v>
      </c>
      <c r="E1565" s="446">
        <v>153638000</v>
      </c>
      <c r="F1565" s="447" t="s">
        <v>1890</v>
      </c>
      <c r="G1565" s="448"/>
      <c r="H1565" s="448"/>
      <c r="I1565" s="448" t="s">
        <v>1923</v>
      </c>
    </row>
    <row r="1566" spans="1:9" x14ac:dyDescent="0.3">
      <c r="A1566" s="443" t="s">
        <v>4936</v>
      </c>
      <c r="B1566" s="445" t="s">
        <v>1</v>
      </c>
      <c r="C1566" s="444" t="s">
        <v>4856</v>
      </c>
      <c r="D1566" s="444" t="s">
        <v>509</v>
      </c>
      <c r="E1566" s="446">
        <v>153639000</v>
      </c>
      <c r="F1566" s="447" t="s">
        <v>1890</v>
      </c>
      <c r="G1566" s="448"/>
      <c r="H1566" s="448"/>
      <c r="I1566" s="448" t="s">
        <v>1923</v>
      </c>
    </row>
    <row r="1567" spans="1:9" x14ac:dyDescent="0.3">
      <c r="A1567" s="443" t="s">
        <v>4937</v>
      </c>
      <c r="B1567" s="445" t="s">
        <v>1</v>
      </c>
      <c r="C1567" s="444" t="s">
        <v>4856</v>
      </c>
      <c r="D1567" s="444" t="s">
        <v>4938</v>
      </c>
      <c r="E1567" s="446">
        <v>153640000</v>
      </c>
      <c r="F1567" s="447" t="s">
        <v>1890</v>
      </c>
      <c r="G1567" s="448"/>
      <c r="H1567" s="448"/>
      <c r="I1567" s="448" t="s">
        <v>4146</v>
      </c>
    </row>
    <row r="1568" spans="1:9" x14ac:dyDescent="0.3">
      <c r="A1568" s="443" t="s">
        <v>4939</v>
      </c>
      <c r="B1568" s="445" t="s">
        <v>1</v>
      </c>
      <c r="C1568" s="444" t="s">
        <v>4856</v>
      </c>
      <c r="D1568" s="444" t="s">
        <v>4940</v>
      </c>
      <c r="E1568" s="446">
        <v>153641000</v>
      </c>
      <c r="F1568" s="447" t="s">
        <v>1890</v>
      </c>
      <c r="G1568" s="448"/>
      <c r="H1568" s="448"/>
      <c r="I1568" s="457" t="s">
        <v>4844</v>
      </c>
    </row>
    <row r="1569" spans="1:9" x14ac:dyDescent="0.3">
      <c r="A1569" s="443" t="s">
        <v>4941</v>
      </c>
      <c r="B1569" s="445" t="s">
        <v>1</v>
      </c>
      <c r="C1569" s="444" t="s">
        <v>150</v>
      </c>
      <c r="D1569" s="444" t="s">
        <v>306</v>
      </c>
      <c r="E1569" s="446">
        <v>156601000</v>
      </c>
      <c r="F1569" s="447" t="s">
        <v>1890</v>
      </c>
      <c r="G1569" s="448"/>
      <c r="H1569" s="448"/>
      <c r="I1569" s="448" t="s">
        <v>1927</v>
      </c>
    </row>
    <row r="1570" spans="1:9" x14ac:dyDescent="0.3">
      <c r="A1570" s="443" t="s">
        <v>4942</v>
      </c>
      <c r="B1570" s="445" t="s">
        <v>1</v>
      </c>
      <c r="C1570" s="444" t="s">
        <v>150</v>
      </c>
      <c r="D1570" s="444" t="s">
        <v>380</v>
      </c>
      <c r="E1570" s="446">
        <v>156602000</v>
      </c>
      <c r="F1570" s="447" t="s">
        <v>1890</v>
      </c>
      <c r="G1570" s="448"/>
      <c r="H1570" s="448"/>
      <c r="I1570" s="448" t="s">
        <v>1856</v>
      </c>
    </row>
    <row r="1571" spans="1:9" x14ac:dyDescent="0.3">
      <c r="A1571" s="443" t="s">
        <v>4943</v>
      </c>
      <c r="B1571" s="445" t="s">
        <v>1</v>
      </c>
      <c r="C1571" s="444" t="s">
        <v>150</v>
      </c>
      <c r="D1571" s="444" t="s">
        <v>450</v>
      </c>
      <c r="E1571" s="446">
        <v>156603000</v>
      </c>
      <c r="F1571" s="447" t="s">
        <v>1890</v>
      </c>
      <c r="G1571" s="448"/>
      <c r="H1571" s="448"/>
      <c r="I1571" s="448" t="s">
        <v>1893</v>
      </c>
    </row>
    <row r="1572" spans="1:9" x14ac:dyDescent="0.3">
      <c r="A1572" s="443" t="s">
        <v>4944</v>
      </c>
      <c r="B1572" s="445" t="s">
        <v>1</v>
      </c>
      <c r="C1572" s="444" t="s">
        <v>150</v>
      </c>
      <c r="D1572" s="444" t="s">
        <v>592</v>
      </c>
      <c r="E1572" s="446">
        <v>156604000</v>
      </c>
      <c r="F1572" s="447" t="s">
        <v>1890</v>
      </c>
      <c r="G1572" s="448"/>
      <c r="H1572" s="448"/>
      <c r="I1572" s="448" t="s">
        <v>1927</v>
      </c>
    </row>
    <row r="1573" spans="1:9" x14ac:dyDescent="0.3">
      <c r="A1573" s="443" t="s">
        <v>4945</v>
      </c>
      <c r="B1573" s="445" t="s">
        <v>1</v>
      </c>
      <c r="C1573" s="444" t="s">
        <v>150</v>
      </c>
      <c r="D1573" s="444" t="s">
        <v>660</v>
      </c>
      <c r="E1573" s="446">
        <v>156605000</v>
      </c>
      <c r="F1573" s="447" t="s">
        <v>1890</v>
      </c>
      <c r="G1573" s="448"/>
      <c r="H1573" s="448"/>
      <c r="I1573" s="448" t="s">
        <v>1893</v>
      </c>
    </row>
    <row r="1574" spans="1:9" ht="28.8" x14ac:dyDescent="0.3">
      <c r="A1574" s="443" t="s">
        <v>4946</v>
      </c>
      <c r="B1574" s="445" t="s">
        <v>1</v>
      </c>
      <c r="C1574" s="444" t="s">
        <v>150</v>
      </c>
      <c r="D1574" s="444" t="s">
        <v>233</v>
      </c>
      <c r="E1574" s="446">
        <v>156606000</v>
      </c>
      <c r="F1574" s="447" t="s">
        <v>1890</v>
      </c>
      <c r="G1574" s="448" t="s">
        <v>4947</v>
      </c>
      <c r="H1574" s="448"/>
      <c r="I1574" s="448" t="s">
        <v>1896</v>
      </c>
    </row>
    <row r="1575" spans="1:9" x14ac:dyDescent="0.3">
      <c r="A1575" s="443" t="s">
        <v>4948</v>
      </c>
      <c r="B1575" s="445" t="s">
        <v>1</v>
      </c>
      <c r="C1575" s="444" t="s">
        <v>150</v>
      </c>
      <c r="D1575" s="444" t="s">
        <v>723</v>
      </c>
      <c r="E1575" s="446">
        <v>156607000</v>
      </c>
      <c r="F1575" s="447" t="s">
        <v>1890</v>
      </c>
      <c r="G1575" s="448"/>
      <c r="H1575" s="448"/>
      <c r="I1575" s="448" t="s">
        <v>1923</v>
      </c>
    </row>
    <row r="1576" spans="1:9" x14ac:dyDescent="0.3">
      <c r="A1576" s="443" t="s">
        <v>4949</v>
      </c>
      <c r="B1576" s="445" t="s">
        <v>1</v>
      </c>
      <c r="C1576" s="444" t="s">
        <v>150</v>
      </c>
      <c r="D1576" s="444" t="s">
        <v>954</v>
      </c>
      <c r="E1576" s="446">
        <v>156608000</v>
      </c>
      <c r="F1576" s="447" t="s">
        <v>1890</v>
      </c>
      <c r="G1576" s="448"/>
      <c r="H1576" s="448"/>
      <c r="I1576" s="448" t="s">
        <v>1923</v>
      </c>
    </row>
    <row r="1577" spans="1:9" x14ac:dyDescent="0.3">
      <c r="A1577" s="443" t="s">
        <v>4950</v>
      </c>
      <c r="B1577" s="445" t="s">
        <v>1</v>
      </c>
      <c r="C1577" s="444" t="s">
        <v>150</v>
      </c>
      <c r="D1577" s="444" t="s">
        <v>999</v>
      </c>
      <c r="E1577" s="446">
        <v>156609000</v>
      </c>
      <c r="F1577" s="447" t="s">
        <v>1890</v>
      </c>
      <c r="G1577" s="448"/>
      <c r="H1577" s="448"/>
      <c r="I1577" s="448" t="s">
        <v>1874</v>
      </c>
    </row>
    <row r="1578" spans="1:9" x14ac:dyDescent="0.3">
      <c r="A1578" s="443" t="s">
        <v>4951</v>
      </c>
      <c r="B1578" s="445" t="s">
        <v>1</v>
      </c>
      <c r="C1578" s="444" t="s">
        <v>150</v>
      </c>
      <c r="D1578" s="444" t="s">
        <v>1048</v>
      </c>
      <c r="E1578" s="446">
        <v>156610000</v>
      </c>
      <c r="F1578" s="447" t="s">
        <v>1890</v>
      </c>
      <c r="G1578" s="448"/>
      <c r="H1578" s="448"/>
      <c r="I1578" s="448" t="s">
        <v>1893</v>
      </c>
    </row>
    <row r="1579" spans="1:9" x14ac:dyDescent="0.3">
      <c r="A1579" s="443" t="s">
        <v>4952</v>
      </c>
      <c r="B1579" s="445" t="s">
        <v>1</v>
      </c>
      <c r="C1579" s="444" t="s">
        <v>150</v>
      </c>
      <c r="D1579" s="444" t="s">
        <v>1088</v>
      </c>
      <c r="E1579" s="446">
        <v>156611000</v>
      </c>
      <c r="F1579" s="447" t="s">
        <v>1890</v>
      </c>
      <c r="G1579" s="448"/>
      <c r="H1579" s="448"/>
      <c r="I1579" s="448" t="s">
        <v>1927</v>
      </c>
    </row>
    <row r="1580" spans="1:9" x14ac:dyDescent="0.3">
      <c r="A1580" s="443" t="s">
        <v>4953</v>
      </c>
      <c r="B1580" s="445" t="s">
        <v>1</v>
      </c>
      <c r="C1580" s="444" t="s">
        <v>150</v>
      </c>
      <c r="D1580" s="444" t="s">
        <v>1125</v>
      </c>
      <c r="E1580" s="446">
        <v>156612000</v>
      </c>
      <c r="F1580" s="447" t="s">
        <v>1890</v>
      </c>
      <c r="G1580" s="448"/>
      <c r="H1580" s="448"/>
      <c r="I1580" s="448" t="s">
        <v>1874</v>
      </c>
    </row>
    <row r="1581" spans="1:9" x14ac:dyDescent="0.3">
      <c r="A1581" s="443" t="s">
        <v>4954</v>
      </c>
      <c r="B1581" s="445" t="s">
        <v>1</v>
      </c>
      <c r="C1581" s="444" t="s">
        <v>150</v>
      </c>
      <c r="D1581" s="444" t="s">
        <v>1160</v>
      </c>
      <c r="E1581" s="446">
        <v>156613000</v>
      </c>
      <c r="F1581" s="447" t="s">
        <v>1890</v>
      </c>
      <c r="G1581" s="448"/>
      <c r="H1581" s="448"/>
      <c r="I1581" s="448" t="s">
        <v>1856</v>
      </c>
    </row>
    <row r="1582" spans="1:9" x14ac:dyDescent="0.3">
      <c r="A1582" s="443" t="s">
        <v>4955</v>
      </c>
      <c r="B1582" s="445" t="s">
        <v>1</v>
      </c>
      <c r="C1582" s="444" t="s">
        <v>150</v>
      </c>
      <c r="D1582" s="444" t="s">
        <v>1191</v>
      </c>
      <c r="E1582" s="446">
        <v>156614000</v>
      </c>
      <c r="F1582" s="447" t="s">
        <v>1890</v>
      </c>
      <c r="G1582" s="448"/>
      <c r="H1582" s="448"/>
      <c r="I1582" s="448" t="s">
        <v>1893</v>
      </c>
    </row>
    <row r="1583" spans="1:9" x14ac:dyDescent="0.3">
      <c r="A1583" s="443" t="s">
        <v>4956</v>
      </c>
      <c r="B1583" s="445" t="s">
        <v>1</v>
      </c>
      <c r="C1583" s="444" t="s">
        <v>150</v>
      </c>
      <c r="D1583" s="444" t="s">
        <v>4957</v>
      </c>
      <c r="E1583" s="446">
        <v>156615000</v>
      </c>
      <c r="F1583" s="447" t="s">
        <v>1890</v>
      </c>
      <c r="G1583" s="448"/>
      <c r="H1583" s="448"/>
      <c r="I1583" s="448" t="s">
        <v>1923</v>
      </c>
    </row>
    <row r="1584" spans="1:9" ht="28.8" x14ac:dyDescent="0.3">
      <c r="A1584" s="443" t="s">
        <v>4958</v>
      </c>
      <c r="B1584" s="445" t="s">
        <v>1</v>
      </c>
      <c r="C1584" s="444" t="s">
        <v>150</v>
      </c>
      <c r="D1584" s="444" t="s">
        <v>4959</v>
      </c>
      <c r="E1584" s="446">
        <v>156616000</v>
      </c>
      <c r="F1584" s="447" t="s">
        <v>1890</v>
      </c>
      <c r="G1584" s="448" t="s">
        <v>4960</v>
      </c>
      <c r="H1584" s="448"/>
      <c r="I1584" s="448" t="s">
        <v>1893</v>
      </c>
    </row>
    <row r="1585" spans="1:9" x14ac:dyDescent="0.3">
      <c r="A1585" s="443" t="s">
        <v>4961</v>
      </c>
      <c r="B1585" s="445" t="s">
        <v>1</v>
      </c>
      <c r="C1585" s="444" t="s">
        <v>150</v>
      </c>
      <c r="D1585" s="444" t="s">
        <v>524</v>
      </c>
      <c r="E1585" s="446">
        <v>156617000</v>
      </c>
      <c r="F1585" s="447" t="s">
        <v>1890</v>
      </c>
      <c r="G1585" s="448"/>
      <c r="H1585" s="448"/>
      <c r="I1585" s="448" t="s">
        <v>1893</v>
      </c>
    </row>
    <row r="1586" spans="1:9" x14ac:dyDescent="0.3">
      <c r="A1586" s="443" t="s">
        <v>4962</v>
      </c>
      <c r="B1586" s="445" t="s">
        <v>1</v>
      </c>
      <c r="C1586" s="444" t="s">
        <v>150</v>
      </c>
      <c r="D1586" s="444" t="s">
        <v>845</v>
      </c>
      <c r="E1586" s="446">
        <v>156618000</v>
      </c>
      <c r="F1586" s="447" t="s">
        <v>1890</v>
      </c>
      <c r="G1586" s="448"/>
      <c r="H1586" s="448"/>
      <c r="I1586" s="448" t="s">
        <v>1923</v>
      </c>
    </row>
    <row r="1587" spans="1:9" x14ac:dyDescent="0.3">
      <c r="A1587" s="443" t="s">
        <v>4963</v>
      </c>
      <c r="B1587" s="445" t="s">
        <v>1</v>
      </c>
      <c r="C1587" s="444" t="s">
        <v>150</v>
      </c>
      <c r="D1587" s="444" t="s">
        <v>786</v>
      </c>
      <c r="E1587" s="446">
        <v>156619000</v>
      </c>
      <c r="F1587" s="447" t="s">
        <v>1890</v>
      </c>
      <c r="G1587" s="448"/>
      <c r="H1587" s="448"/>
      <c r="I1587" s="457" t="s">
        <v>4844</v>
      </c>
    </row>
    <row r="1588" spans="1:9" x14ac:dyDescent="0.3">
      <c r="A1588" s="443" t="s">
        <v>4964</v>
      </c>
      <c r="B1588" s="445" t="s">
        <v>1</v>
      </c>
      <c r="C1588" s="444" t="s">
        <v>111</v>
      </c>
      <c r="D1588" s="444" t="s">
        <v>4965</v>
      </c>
      <c r="E1588" s="446">
        <v>157001000</v>
      </c>
      <c r="F1588" s="447" t="s">
        <v>1890</v>
      </c>
      <c r="G1588" s="448" t="s">
        <v>4966</v>
      </c>
      <c r="H1588" s="448"/>
      <c r="I1588" s="448" t="s">
        <v>1927</v>
      </c>
    </row>
    <row r="1589" spans="1:9" x14ac:dyDescent="0.3">
      <c r="A1589" s="443" t="s">
        <v>4967</v>
      </c>
      <c r="B1589" s="445" t="s">
        <v>1</v>
      </c>
      <c r="C1589" s="444" t="s">
        <v>111</v>
      </c>
      <c r="D1589" s="444" t="s">
        <v>4968</v>
      </c>
      <c r="E1589" s="446">
        <v>157002000</v>
      </c>
      <c r="F1589" s="447" t="s">
        <v>1890</v>
      </c>
      <c r="G1589" s="448"/>
      <c r="H1589" s="448"/>
      <c r="I1589" s="448" t="s">
        <v>1874</v>
      </c>
    </row>
    <row r="1590" spans="1:9" ht="43.2" x14ac:dyDescent="0.3">
      <c r="A1590" s="443" t="s">
        <v>4969</v>
      </c>
      <c r="B1590" s="445" t="s">
        <v>1</v>
      </c>
      <c r="C1590" s="444" t="s">
        <v>111</v>
      </c>
      <c r="D1590" s="444" t="s">
        <v>4970</v>
      </c>
      <c r="E1590" s="446">
        <v>157003000</v>
      </c>
      <c r="F1590" s="447" t="s">
        <v>1890</v>
      </c>
      <c r="G1590" s="448" t="s">
        <v>4971</v>
      </c>
      <c r="H1590" s="448"/>
      <c r="I1590" s="448" t="s">
        <v>1923</v>
      </c>
    </row>
    <row r="1591" spans="1:9" x14ac:dyDescent="0.3">
      <c r="A1591" s="443" t="s">
        <v>4972</v>
      </c>
      <c r="B1591" s="445" t="s">
        <v>1</v>
      </c>
      <c r="C1591" s="444" t="s">
        <v>111</v>
      </c>
      <c r="D1591" s="444" t="s">
        <v>4973</v>
      </c>
      <c r="E1591" s="446">
        <v>157004000</v>
      </c>
      <c r="F1591" s="447" t="s">
        <v>1890</v>
      </c>
      <c r="G1591" s="448"/>
      <c r="H1591" s="448"/>
      <c r="I1591" s="448" t="s">
        <v>1923</v>
      </c>
    </row>
    <row r="1592" spans="1:9" x14ac:dyDescent="0.3">
      <c r="A1592" s="443" t="s">
        <v>4974</v>
      </c>
      <c r="B1592" s="445" t="s">
        <v>1</v>
      </c>
      <c r="C1592" s="444" t="s">
        <v>111</v>
      </c>
      <c r="D1592" s="444" t="s">
        <v>4975</v>
      </c>
      <c r="E1592" s="446">
        <v>157005000</v>
      </c>
      <c r="F1592" s="447" t="s">
        <v>1890</v>
      </c>
      <c r="G1592" s="448"/>
      <c r="H1592" s="448"/>
      <c r="I1592" s="448" t="s">
        <v>1856</v>
      </c>
    </row>
    <row r="1593" spans="1:9" x14ac:dyDescent="0.3">
      <c r="A1593" s="443" t="s">
        <v>4976</v>
      </c>
      <c r="B1593" s="445" t="s">
        <v>1</v>
      </c>
      <c r="C1593" s="444" t="s">
        <v>111</v>
      </c>
      <c r="D1593" s="444" t="s">
        <v>4977</v>
      </c>
      <c r="E1593" s="446">
        <v>157006000</v>
      </c>
      <c r="F1593" s="447" t="s">
        <v>1890</v>
      </c>
      <c r="G1593" s="448"/>
      <c r="H1593" s="448"/>
      <c r="I1593" s="448" t="s">
        <v>1927</v>
      </c>
    </row>
    <row r="1594" spans="1:9" x14ac:dyDescent="0.3">
      <c r="A1594" s="443" t="s">
        <v>4978</v>
      </c>
      <c r="B1594" s="445" t="s">
        <v>1</v>
      </c>
      <c r="C1594" s="444" t="s">
        <v>111</v>
      </c>
      <c r="D1594" s="444" t="s">
        <v>4979</v>
      </c>
      <c r="E1594" s="446">
        <v>157007000</v>
      </c>
      <c r="F1594" s="447" t="s">
        <v>1890</v>
      </c>
      <c r="G1594" s="448"/>
      <c r="H1594" s="448"/>
      <c r="I1594" s="448" t="s">
        <v>1874</v>
      </c>
    </row>
    <row r="1595" spans="1:9" x14ac:dyDescent="0.3">
      <c r="A1595" s="443" t="s">
        <v>4980</v>
      </c>
      <c r="B1595" s="445" t="s">
        <v>1</v>
      </c>
      <c r="C1595" s="444" t="s">
        <v>111</v>
      </c>
      <c r="D1595" s="444" t="s">
        <v>4981</v>
      </c>
      <c r="E1595" s="446">
        <v>157008000</v>
      </c>
      <c r="F1595" s="447" t="s">
        <v>1890</v>
      </c>
      <c r="G1595" s="448"/>
      <c r="H1595" s="448"/>
      <c r="I1595" s="448" t="s">
        <v>1893</v>
      </c>
    </row>
    <row r="1596" spans="1:9" x14ac:dyDescent="0.3">
      <c r="A1596" s="443" t="s">
        <v>4982</v>
      </c>
      <c r="B1596" s="445" t="s">
        <v>1</v>
      </c>
      <c r="C1596" s="444" t="s">
        <v>111</v>
      </c>
      <c r="D1596" s="444" t="s">
        <v>4983</v>
      </c>
      <c r="E1596" s="446">
        <v>157009000</v>
      </c>
      <c r="F1596" s="447" t="s">
        <v>1890</v>
      </c>
      <c r="G1596" s="448"/>
      <c r="H1596" s="448"/>
      <c r="I1596" s="448" t="s">
        <v>1856</v>
      </c>
    </row>
    <row r="1597" spans="1:9" x14ac:dyDescent="0.3">
      <c r="A1597" s="443" t="s">
        <v>4984</v>
      </c>
      <c r="B1597" s="445" t="s">
        <v>1</v>
      </c>
      <c r="C1597" s="444" t="s">
        <v>111</v>
      </c>
      <c r="D1597" s="444" t="s">
        <v>4985</v>
      </c>
      <c r="E1597" s="446">
        <v>157010000</v>
      </c>
      <c r="F1597" s="447" t="s">
        <v>1890</v>
      </c>
      <c r="G1597" s="448"/>
      <c r="H1597" s="448"/>
      <c r="I1597" s="448" t="s">
        <v>1927</v>
      </c>
    </row>
    <row r="1598" spans="1:9" x14ac:dyDescent="0.3">
      <c r="A1598" s="443" t="s">
        <v>4986</v>
      </c>
      <c r="B1598" s="445" t="s">
        <v>1</v>
      </c>
      <c r="C1598" s="444" t="s">
        <v>111</v>
      </c>
      <c r="D1598" s="444" t="s">
        <v>4987</v>
      </c>
      <c r="E1598" s="446">
        <v>157011000</v>
      </c>
      <c r="F1598" s="447" t="s">
        <v>1890</v>
      </c>
      <c r="G1598" s="448"/>
      <c r="H1598" s="448"/>
      <c r="I1598" s="457" t="s">
        <v>4844</v>
      </c>
    </row>
    <row r="1599" spans="1:9" x14ac:dyDescent="0.3">
      <c r="A1599" s="458" t="s">
        <v>4988</v>
      </c>
      <c r="B1599" s="445" t="s">
        <v>1</v>
      </c>
      <c r="C1599" s="459" t="s">
        <v>4989</v>
      </c>
      <c r="D1599" s="459" t="s">
        <v>4990</v>
      </c>
      <c r="E1599" s="460">
        <v>153818000</v>
      </c>
      <c r="F1599" s="447" t="s">
        <v>1890</v>
      </c>
      <c r="G1599" s="448"/>
      <c r="H1599" s="448"/>
      <c r="I1599" s="448" t="s">
        <v>1923</v>
      </c>
    </row>
    <row r="1600" spans="1:9" x14ac:dyDescent="0.3">
      <c r="A1600" s="458" t="s">
        <v>4991</v>
      </c>
      <c r="B1600" s="445" t="s">
        <v>1</v>
      </c>
      <c r="C1600" s="459" t="s">
        <v>4989</v>
      </c>
      <c r="D1600" s="459" t="s">
        <v>4992</v>
      </c>
      <c r="E1600" s="460">
        <v>153802000</v>
      </c>
      <c r="F1600" s="447" t="s">
        <v>1890</v>
      </c>
      <c r="G1600" s="448"/>
      <c r="H1600" s="448"/>
      <c r="I1600" s="448" t="s">
        <v>3366</v>
      </c>
    </row>
    <row r="1601" spans="1:9" x14ac:dyDescent="0.3">
      <c r="A1601" s="458" t="s">
        <v>4993</v>
      </c>
      <c r="B1601" s="445" t="s">
        <v>1</v>
      </c>
      <c r="C1601" s="459" t="s">
        <v>4989</v>
      </c>
      <c r="D1601" s="459" t="s">
        <v>4994</v>
      </c>
      <c r="E1601" s="460">
        <v>129804000</v>
      </c>
      <c r="F1601" s="447" t="s">
        <v>1854</v>
      </c>
      <c r="G1601" s="448"/>
      <c r="H1601" s="448" t="s">
        <v>2204</v>
      </c>
      <c r="I1601" s="448" t="s">
        <v>1927</v>
      </c>
    </row>
    <row r="1602" spans="1:9" x14ac:dyDescent="0.3">
      <c r="A1602" s="458" t="s">
        <v>4995</v>
      </c>
      <c r="B1602" s="445" t="s">
        <v>1</v>
      </c>
      <c r="C1602" s="459" t="s">
        <v>4989</v>
      </c>
      <c r="D1602" s="459" t="s">
        <v>4996</v>
      </c>
      <c r="E1602" s="460">
        <v>153830000</v>
      </c>
      <c r="F1602" s="447" t="s">
        <v>1890</v>
      </c>
      <c r="G1602" s="448"/>
      <c r="H1602" s="448"/>
      <c r="I1602" s="457" t="s">
        <v>4844</v>
      </c>
    </row>
    <row r="1603" spans="1:9" x14ac:dyDescent="0.3">
      <c r="A1603" s="458" t="s">
        <v>4997</v>
      </c>
      <c r="B1603" s="445" t="s">
        <v>1</v>
      </c>
      <c r="C1603" s="459" t="s">
        <v>4989</v>
      </c>
      <c r="D1603" s="459" t="s">
        <v>4998</v>
      </c>
      <c r="E1603" s="460">
        <v>153807000</v>
      </c>
      <c r="F1603" s="447" t="s">
        <v>1890</v>
      </c>
      <c r="G1603" s="448" t="s">
        <v>4999</v>
      </c>
      <c r="H1603" s="448"/>
      <c r="I1603" s="448" t="s">
        <v>1874</v>
      </c>
    </row>
    <row r="1604" spans="1:9" x14ac:dyDescent="0.3">
      <c r="A1604" s="458" t="s">
        <v>5000</v>
      </c>
      <c r="B1604" s="445" t="s">
        <v>1</v>
      </c>
      <c r="C1604" s="459" t="s">
        <v>4989</v>
      </c>
      <c r="D1604" s="459" t="s">
        <v>5001</v>
      </c>
      <c r="E1604" s="460">
        <v>153814000</v>
      </c>
      <c r="F1604" s="447" t="s">
        <v>1890</v>
      </c>
      <c r="G1604" s="448" t="s">
        <v>5002</v>
      </c>
      <c r="H1604" s="448"/>
      <c r="I1604" s="448" t="s">
        <v>3400</v>
      </c>
    </row>
    <row r="1605" spans="1:9" x14ac:dyDescent="0.3">
      <c r="A1605" s="458" t="s">
        <v>5003</v>
      </c>
      <c r="B1605" s="445" t="s">
        <v>1</v>
      </c>
      <c r="C1605" s="459" t="s">
        <v>4989</v>
      </c>
      <c r="D1605" s="459" t="s">
        <v>5004</v>
      </c>
      <c r="E1605" s="460">
        <v>153809000</v>
      </c>
      <c r="F1605" s="447" t="s">
        <v>1890</v>
      </c>
      <c r="G1605" s="448"/>
      <c r="H1605" s="448"/>
      <c r="I1605" s="448" t="s">
        <v>1923</v>
      </c>
    </row>
    <row r="1606" spans="1:9" x14ac:dyDescent="0.3">
      <c r="A1606" s="458" t="s">
        <v>5005</v>
      </c>
      <c r="B1606" s="445" t="s">
        <v>1</v>
      </c>
      <c r="C1606" s="459" t="s">
        <v>4989</v>
      </c>
      <c r="D1606" s="459" t="s">
        <v>5006</v>
      </c>
      <c r="E1606" s="460">
        <v>153834000</v>
      </c>
      <c r="F1606" s="447" t="s">
        <v>1890</v>
      </c>
      <c r="G1606" s="448"/>
      <c r="H1606" s="448"/>
      <c r="I1606" s="448" t="s">
        <v>3400</v>
      </c>
    </row>
    <row r="1607" spans="1:9" x14ac:dyDescent="0.3">
      <c r="A1607" s="458" t="s">
        <v>5007</v>
      </c>
      <c r="B1607" s="445" t="s">
        <v>1</v>
      </c>
      <c r="C1607" s="459" t="s">
        <v>4989</v>
      </c>
      <c r="D1607" s="459" t="s">
        <v>999</v>
      </c>
      <c r="E1607" s="460">
        <v>153811000</v>
      </c>
      <c r="F1607" s="447" t="s">
        <v>1890</v>
      </c>
      <c r="G1607" s="448"/>
      <c r="H1607" s="448"/>
      <c r="I1607" s="448" t="s">
        <v>4061</v>
      </c>
    </row>
    <row r="1608" spans="1:9" x14ac:dyDescent="0.3">
      <c r="A1608" s="458" t="s">
        <v>5008</v>
      </c>
      <c r="B1608" s="445" t="s">
        <v>1</v>
      </c>
      <c r="C1608" s="459" t="s">
        <v>4989</v>
      </c>
      <c r="D1608" s="459" t="s">
        <v>4711</v>
      </c>
      <c r="E1608" s="460">
        <v>153812000</v>
      </c>
      <c r="F1608" s="447" t="s">
        <v>1890</v>
      </c>
      <c r="G1608" s="448" t="s">
        <v>5009</v>
      </c>
      <c r="H1608" s="448"/>
      <c r="I1608" s="448" t="s">
        <v>1856</v>
      </c>
    </row>
    <row r="1609" spans="1:9" x14ac:dyDescent="0.3">
      <c r="A1609" s="458" t="s">
        <v>5010</v>
      </c>
      <c r="B1609" s="445" t="s">
        <v>1</v>
      </c>
      <c r="C1609" s="459" t="s">
        <v>4989</v>
      </c>
      <c r="D1609" s="459" t="s">
        <v>5011</v>
      </c>
      <c r="E1609" s="460">
        <v>153824000</v>
      </c>
      <c r="F1609" s="447" t="s">
        <v>1890</v>
      </c>
      <c r="G1609" s="448"/>
      <c r="H1609" s="448"/>
      <c r="I1609" s="448" t="s">
        <v>1893</v>
      </c>
    </row>
    <row r="1610" spans="1:9" x14ac:dyDescent="0.3">
      <c r="A1610" s="458" t="s">
        <v>5012</v>
      </c>
      <c r="B1610" s="445" t="s">
        <v>1</v>
      </c>
      <c r="C1610" s="459" t="s">
        <v>4989</v>
      </c>
      <c r="D1610" s="459" t="s">
        <v>5013</v>
      </c>
      <c r="E1610" s="460">
        <v>153821000</v>
      </c>
      <c r="F1610" s="447" t="s">
        <v>1890</v>
      </c>
      <c r="G1610" s="448"/>
      <c r="H1610" s="448"/>
      <c r="I1610" s="457" t="s">
        <v>4844</v>
      </c>
    </row>
    <row r="1611" spans="1:9" x14ac:dyDescent="0.3">
      <c r="A1611" s="458" t="s">
        <v>5014</v>
      </c>
      <c r="B1611" s="445" t="s">
        <v>1</v>
      </c>
      <c r="C1611" s="459" t="s">
        <v>4989</v>
      </c>
      <c r="D1611" s="459" t="s">
        <v>5015</v>
      </c>
      <c r="E1611" s="460">
        <v>153815000</v>
      </c>
      <c r="F1611" s="447" t="s">
        <v>1890</v>
      </c>
      <c r="G1611" s="448"/>
      <c r="H1611" s="448"/>
      <c r="I1611" s="448" t="s">
        <v>1856</v>
      </c>
    </row>
    <row r="1612" spans="1:9" x14ac:dyDescent="0.3">
      <c r="A1612" s="458" t="s">
        <v>5016</v>
      </c>
      <c r="B1612" s="445" t="s">
        <v>1</v>
      </c>
      <c r="C1612" s="459" t="s">
        <v>5017</v>
      </c>
      <c r="D1612" s="459" t="s">
        <v>5018</v>
      </c>
      <c r="E1612" s="460">
        <v>153801000</v>
      </c>
      <c r="F1612" s="447" t="s">
        <v>1890</v>
      </c>
      <c r="G1612" s="448"/>
      <c r="H1612" s="448"/>
      <c r="I1612" s="448" t="s">
        <v>1923</v>
      </c>
    </row>
    <row r="1613" spans="1:9" x14ac:dyDescent="0.3">
      <c r="A1613" s="458" t="s">
        <v>5019</v>
      </c>
      <c r="B1613" s="445" t="s">
        <v>1</v>
      </c>
      <c r="C1613" s="459" t="s">
        <v>5017</v>
      </c>
      <c r="D1613" s="459" t="s">
        <v>5020</v>
      </c>
      <c r="E1613" s="460">
        <v>153803000</v>
      </c>
      <c r="F1613" s="447" t="s">
        <v>1890</v>
      </c>
      <c r="G1613" s="448"/>
      <c r="H1613" s="448"/>
      <c r="I1613" s="448" t="s">
        <v>3366</v>
      </c>
    </row>
    <row r="1614" spans="1:9" x14ac:dyDescent="0.3">
      <c r="A1614" s="458" t="s">
        <v>5021</v>
      </c>
      <c r="B1614" s="445" t="s">
        <v>1</v>
      </c>
      <c r="C1614" s="459" t="s">
        <v>5017</v>
      </c>
      <c r="D1614" s="459" t="s">
        <v>5022</v>
      </c>
      <c r="E1614" s="460">
        <v>153828000</v>
      </c>
      <c r="F1614" s="447" t="s">
        <v>1890</v>
      </c>
      <c r="G1614" s="448"/>
      <c r="H1614" s="448"/>
      <c r="I1614" s="457" t="s">
        <v>4844</v>
      </c>
    </row>
    <row r="1615" spans="1:9" x14ac:dyDescent="0.3">
      <c r="A1615" s="458" t="s">
        <v>5023</v>
      </c>
      <c r="B1615" s="445" t="s">
        <v>1</v>
      </c>
      <c r="C1615" s="459" t="s">
        <v>5017</v>
      </c>
      <c r="D1615" s="459" t="s">
        <v>5024</v>
      </c>
      <c r="E1615" s="460">
        <v>153831000</v>
      </c>
      <c r="F1615" s="447" t="s">
        <v>1890</v>
      </c>
      <c r="G1615" s="448"/>
      <c r="H1615" s="448"/>
      <c r="I1615" s="457" t="s">
        <v>4844</v>
      </c>
    </row>
    <row r="1616" spans="1:9" x14ac:dyDescent="0.3">
      <c r="A1616" s="458" t="s">
        <v>5025</v>
      </c>
      <c r="B1616" s="445" t="s">
        <v>1</v>
      </c>
      <c r="C1616" s="459" t="s">
        <v>5017</v>
      </c>
      <c r="D1616" s="459" t="s">
        <v>5026</v>
      </c>
      <c r="E1616" s="460">
        <v>153835000</v>
      </c>
      <c r="F1616" s="447" t="s">
        <v>1890</v>
      </c>
      <c r="G1616" s="448"/>
      <c r="H1616" s="448"/>
      <c r="I1616" s="457" t="s">
        <v>4844</v>
      </c>
    </row>
    <row r="1617" spans="1:9" x14ac:dyDescent="0.3">
      <c r="A1617" s="458" t="s">
        <v>5027</v>
      </c>
      <c r="B1617" s="445" t="s">
        <v>1</v>
      </c>
      <c r="C1617" s="459" t="s">
        <v>5017</v>
      </c>
      <c r="D1617" s="459" t="s">
        <v>5028</v>
      </c>
      <c r="E1617" s="460">
        <v>153805000</v>
      </c>
      <c r="F1617" s="447" t="s">
        <v>1890</v>
      </c>
      <c r="G1617" s="448"/>
      <c r="H1617" s="448"/>
      <c r="I1617" s="448" t="s">
        <v>1923</v>
      </c>
    </row>
    <row r="1618" spans="1:9" x14ac:dyDescent="0.3">
      <c r="A1618" s="458" t="s">
        <v>5029</v>
      </c>
      <c r="B1618" s="445" t="s">
        <v>1</v>
      </c>
      <c r="C1618" s="459" t="s">
        <v>5017</v>
      </c>
      <c r="D1618" s="459" t="s">
        <v>5030</v>
      </c>
      <c r="E1618" s="460">
        <v>153806000</v>
      </c>
      <c r="F1618" s="447" t="s">
        <v>1890</v>
      </c>
      <c r="G1618" s="448"/>
      <c r="H1618" s="448"/>
      <c r="I1618" s="448" t="s">
        <v>1874</v>
      </c>
    </row>
    <row r="1619" spans="1:9" x14ac:dyDescent="0.3">
      <c r="A1619" s="458" t="s">
        <v>5031</v>
      </c>
      <c r="B1619" s="445" t="s">
        <v>1</v>
      </c>
      <c r="C1619" s="459" t="s">
        <v>5017</v>
      </c>
      <c r="D1619" s="459" t="s">
        <v>5032</v>
      </c>
      <c r="E1619" s="460">
        <v>153836000</v>
      </c>
      <c r="F1619" s="447" t="s">
        <v>1890</v>
      </c>
      <c r="G1619" s="448"/>
      <c r="H1619" s="448"/>
      <c r="I1619" s="457" t="s">
        <v>4844</v>
      </c>
    </row>
    <row r="1620" spans="1:9" x14ac:dyDescent="0.3">
      <c r="A1620" s="458" t="s">
        <v>5033</v>
      </c>
      <c r="B1620" s="445" t="s">
        <v>1</v>
      </c>
      <c r="C1620" s="459" t="s">
        <v>5017</v>
      </c>
      <c r="D1620" s="459" t="s">
        <v>5034</v>
      </c>
      <c r="E1620" s="460">
        <v>153826000</v>
      </c>
      <c r="F1620" s="447" t="s">
        <v>1890</v>
      </c>
      <c r="G1620" s="448"/>
      <c r="H1620" s="448"/>
      <c r="I1620" s="448" t="s">
        <v>1923</v>
      </c>
    </row>
    <row r="1621" spans="1:9" x14ac:dyDescent="0.3">
      <c r="A1621" s="458" t="s">
        <v>5035</v>
      </c>
      <c r="B1621" s="445" t="s">
        <v>1</v>
      </c>
      <c r="C1621" s="459" t="s">
        <v>5017</v>
      </c>
      <c r="D1621" s="459" t="s">
        <v>5036</v>
      </c>
      <c r="E1621" s="460">
        <v>153827000</v>
      </c>
      <c r="F1621" s="447" t="s">
        <v>1890</v>
      </c>
      <c r="G1621" s="448"/>
      <c r="H1621" s="448"/>
      <c r="I1621" s="448" t="s">
        <v>1893</v>
      </c>
    </row>
    <row r="1622" spans="1:9" x14ac:dyDescent="0.3">
      <c r="A1622" s="458" t="s">
        <v>5037</v>
      </c>
      <c r="B1622" s="445" t="s">
        <v>1</v>
      </c>
      <c r="C1622" s="459" t="s">
        <v>5017</v>
      </c>
      <c r="D1622" s="459" t="s">
        <v>5038</v>
      </c>
      <c r="E1622" s="460">
        <v>153819000</v>
      </c>
      <c r="F1622" s="447" t="s">
        <v>1890</v>
      </c>
      <c r="G1622" s="448"/>
      <c r="H1622" s="448"/>
      <c r="I1622" s="448" t="s">
        <v>3366</v>
      </c>
    </row>
    <row r="1623" spans="1:9" x14ac:dyDescent="0.3">
      <c r="A1623" s="458" t="s">
        <v>5039</v>
      </c>
      <c r="B1623" s="445" t="s">
        <v>1</v>
      </c>
      <c r="C1623" s="459" t="s">
        <v>5017</v>
      </c>
      <c r="D1623" s="459" t="s">
        <v>5040</v>
      </c>
      <c r="E1623" s="460">
        <v>153825000</v>
      </c>
      <c r="F1623" s="447" t="s">
        <v>1890</v>
      </c>
      <c r="G1623" s="448"/>
      <c r="H1623" s="448"/>
      <c r="I1623" s="457" t="s">
        <v>4844</v>
      </c>
    </row>
    <row r="1624" spans="1:9" x14ac:dyDescent="0.3">
      <c r="A1624" s="458" t="s">
        <v>5041</v>
      </c>
      <c r="B1624" s="445" t="s">
        <v>1</v>
      </c>
      <c r="C1624" s="459" t="s">
        <v>5017</v>
      </c>
      <c r="D1624" s="459" t="s">
        <v>5042</v>
      </c>
      <c r="E1624" s="460">
        <v>153820000</v>
      </c>
      <c r="F1624" s="447" t="s">
        <v>1890</v>
      </c>
      <c r="G1624" s="448"/>
      <c r="H1624" s="448"/>
      <c r="I1624" s="448" t="s">
        <v>1893</v>
      </c>
    </row>
    <row r="1625" spans="1:9" x14ac:dyDescent="0.3">
      <c r="A1625" s="458" t="s">
        <v>5043</v>
      </c>
      <c r="B1625" s="445" t="s">
        <v>1</v>
      </c>
      <c r="C1625" s="459" t="s">
        <v>5017</v>
      </c>
      <c r="D1625" s="459" t="s">
        <v>5044</v>
      </c>
      <c r="E1625" s="460">
        <v>153832000</v>
      </c>
      <c r="F1625" s="447" t="s">
        <v>1890</v>
      </c>
      <c r="G1625" s="448"/>
      <c r="H1625" s="448"/>
      <c r="I1625" s="457" t="s">
        <v>4844</v>
      </c>
    </row>
    <row r="1626" spans="1:9" x14ac:dyDescent="0.3">
      <c r="A1626" s="458" t="s">
        <v>5045</v>
      </c>
      <c r="B1626" s="445" t="s">
        <v>1</v>
      </c>
      <c r="C1626" s="459" t="s">
        <v>5017</v>
      </c>
      <c r="D1626" s="459" t="s">
        <v>5046</v>
      </c>
      <c r="E1626" s="460">
        <v>153822000</v>
      </c>
      <c r="F1626" s="447" t="s">
        <v>1890</v>
      </c>
      <c r="G1626" s="448"/>
      <c r="H1626" s="448"/>
      <c r="I1626" s="448" t="s">
        <v>1893</v>
      </c>
    </row>
    <row r="1627" spans="1:9" x14ac:dyDescent="0.3">
      <c r="A1627" s="458" t="s">
        <v>5047</v>
      </c>
      <c r="B1627" s="445" t="s">
        <v>1</v>
      </c>
      <c r="C1627" s="459" t="s">
        <v>5017</v>
      </c>
      <c r="D1627" s="459" t="s">
        <v>5048</v>
      </c>
      <c r="E1627" s="460">
        <v>153810000</v>
      </c>
      <c r="F1627" s="447" t="s">
        <v>1890</v>
      </c>
      <c r="G1627" s="448"/>
      <c r="H1627" s="448"/>
      <c r="I1627" s="448" t="s">
        <v>1856</v>
      </c>
    </row>
    <row r="1628" spans="1:9" x14ac:dyDescent="0.3">
      <c r="A1628" s="458" t="s">
        <v>5049</v>
      </c>
      <c r="B1628" s="445" t="s">
        <v>1</v>
      </c>
      <c r="C1628" s="459" t="s">
        <v>5017</v>
      </c>
      <c r="D1628" s="459" t="s">
        <v>5050</v>
      </c>
      <c r="E1628" s="460">
        <v>153823000</v>
      </c>
      <c r="F1628" s="447" t="s">
        <v>1890</v>
      </c>
      <c r="G1628" s="448"/>
      <c r="H1628" s="448"/>
      <c r="I1628" s="457" t="s">
        <v>4844</v>
      </c>
    </row>
    <row r="1629" spans="1:9" x14ac:dyDescent="0.3">
      <c r="A1629" s="458" t="s">
        <v>5051</v>
      </c>
      <c r="B1629" s="445" t="s">
        <v>1</v>
      </c>
      <c r="C1629" s="459" t="s">
        <v>5017</v>
      </c>
      <c r="D1629" s="459" t="s">
        <v>5052</v>
      </c>
      <c r="E1629" s="460">
        <v>153833000</v>
      </c>
      <c r="F1629" s="447" t="s">
        <v>1890</v>
      </c>
      <c r="G1629" s="448"/>
      <c r="H1629" s="448"/>
      <c r="I1629" s="457" t="s">
        <v>4844</v>
      </c>
    </row>
    <row r="1630" spans="1:9" x14ac:dyDescent="0.3">
      <c r="A1630" s="458" t="s">
        <v>5053</v>
      </c>
      <c r="B1630" s="445" t="s">
        <v>1</v>
      </c>
      <c r="C1630" s="459" t="s">
        <v>5017</v>
      </c>
      <c r="D1630" s="459" t="s">
        <v>5054</v>
      </c>
      <c r="E1630" s="460">
        <v>153829000</v>
      </c>
      <c r="F1630" s="447" t="s">
        <v>1890</v>
      </c>
      <c r="G1630" s="448"/>
      <c r="H1630" s="448"/>
      <c r="I1630" s="457" t="s">
        <v>4844</v>
      </c>
    </row>
    <row r="1631" spans="1:9" x14ac:dyDescent="0.3">
      <c r="A1631" s="458" t="s">
        <v>5055</v>
      </c>
      <c r="B1631" s="445" t="s">
        <v>1</v>
      </c>
      <c r="C1631" s="459" t="s">
        <v>5017</v>
      </c>
      <c r="D1631" s="459" t="s">
        <v>5056</v>
      </c>
      <c r="E1631" s="460">
        <v>153808000</v>
      </c>
      <c r="F1631" s="447" t="s">
        <v>1890</v>
      </c>
      <c r="G1631" s="448" t="s">
        <v>5057</v>
      </c>
      <c r="H1631" s="448"/>
      <c r="I1631" s="448" t="s">
        <v>1874</v>
      </c>
    </row>
    <row r="1632" spans="1:9" x14ac:dyDescent="0.3">
      <c r="A1632" s="458" t="s">
        <v>5058</v>
      </c>
      <c r="B1632" s="445" t="s">
        <v>1</v>
      </c>
      <c r="C1632" s="459" t="s">
        <v>5017</v>
      </c>
      <c r="D1632" s="459" t="s">
        <v>5059</v>
      </c>
      <c r="E1632" s="460">
        <v>153837000</v>
      </c>
      <c r="F1632" s="447" t="s">
        <v>1890</v>
      </c>
      <c r="G1632" s="448"/>
      <c r="H1632" s="448"/>
      <c r="I1632" s="457" t="s">
        <v>4844</v>
      </c>
    </row>
    <row r="1633" spans="1:9" x14ac:dyDescent="0.3">
      <c r="A1633" s="458" t="s">
        <v>5060</v>
      </c>
      <c r="B1633" s="445" t="s">
        <v>1</v>
      </c>
      <c r="C1633" s="459" t="s">
        <v>5017</v>
      </c>
      <c r="D1633" s="459" t="s">
        <v>5061</v>
      </c>
      <c r="E1633" s="460">
        <v>153817000</v>
      </c>
      <c r="F1633" s="447" t="s">
        <v>1890</v>
      </c>
      <c r="G1633" s="448"/>
      <c r="H1633" s="448"/>
      <c r="I1633" s="448" t="s">
        <v>3366</v>
      </c>
    </row>
    <row r="1634" spans="1:9" ht="28.8" x14ac:dyDescent="0.3">
      <c r="A1634" s="458" t="s">
        <v>5062</v>
      </c>
      <c r="B1634" s="445" t="s">
        <v>1</v>
      </c>
      <c r="C1634" s="459" t="s">
        <v>5017</v>
      </c>
      <c r="D1634" s="459" t="s">
        <v>5063</v>
      </c>
      <c r="E1634" s="460">
        <v>153813000</v>
      </c>
      <c r="F1634" s="447" t="s">
        <v>1890</v>
      </c>
      <c r="G1634" s="448" t="s">
        <v>653</v>
      </c>
      <c r="H1634" s="448"/>
      <c r="I1634" s="448" t="s">
        <v>1874</v>
      </c>
    </row>
    <row r="1635" spans="1:9" x14ac:dyDescent="0.3">
      <c r="A1635" s="458" t="s">
        <v>5064</v>
      </c>
      <c r="B1635" s="445" t="s">
        <v>1</v>
      </c>
      <c r="C1635" s="459" t="s">
        <v>5017</v>
      </c>
      <c r="D1635" s="459" t="s">
        <v>5065</v>
      </c>
      <c r="E1635" s="460">
        <v>153816000</v>
      </c>
      <c r="F1635" s="447" t="s">
        <v>1890</v>
      </c>
      <c r="G1635" s="448"/>
      <c r="H1635" s="448"/>
      <c r="I1635" s="448" t="s">
        <v>3366</v>
      </c>
    </row>
    <row r="1636" spans="1:9" x14ac:dyDescent="0.3">
      <c r="A1636" s="443">
        <v>1999901000</v>
      </c>
      <c r="B1636" s="445" t="s">
        <v>1</v>
      </c>
      <c r="C1636" s="459" t="s">
        <v>5017</v>
      </c>
      <c r="D1636" s="461" t="s">
        <v>5066</v>
      </c>
      <c r="E1636" s="462"/>
      <c r="F1636" s="463" t="s">
        <v>1890</v>
      </c>
      <c r="G1636" s="464"/>
      <c r="H1636" s="462"/>
      <c r="I1636" s="465" t="s">
        <v>4844</v>
      </c>
    </row>
    <row r="1637" spans="1:9" x14ac:dyDescent="0.3">
      <c r="A1637" s="443">
        <v>1999902000</v>
      </c>
      <c r="B1637" s="445" t="s">
        <v>1</v>
      </c>
      <c r="C1637" s="459" t="s">
        <v>5017</v>
      </c>
      <c r="D1637" s="461" t="s">
        <v>5067</v>
      </c>
      <c r="E1637" s="462"/>
      <c r="F1637" s="463" t="s">
        <v>1890</v>
      </c>
      <c r="G1637" s="464"/>
      <c r="H1637" s="466"/>
      <c r="I1637" s="467" t="s">
        <v>4844</v>
      </c>
    </row>
    <row r="1638" spans="1:9" x14ac:dyDescent="0.3">
      <c r="A1638" s="443">
        <v>1999903000</v>
      </c>
      <c r="B1638" s="445" t="s">
        <v>1</v>
      </c>
      <c r="C1638" s="459" t="s">
        <v>5017</v>
      </c>
      <c r="D1638" s="461" t="s">
        <v>5068</v>
      </c>
      <c r="E1638" s="462"/>
      <c r="F1638" s="463" t="s">
        <v>1890</v>
      </c>
      <c r="G1638" s="464"/>
      <c r="H1638" s="462"/>
      <c r="I1638" s="465" t="s">
        <v>4844</v>
      </c>
    </row>
    <row r="1639" spans="1:9" x14ac:dyDescent="0.3">
      <c r="A1639" s="443">
        <v>1999904000</v>
      </c>
      <c r="B1639" s="445" t="s">
        <v>1</v>
      </c>
      <c r="C1639" s="459" t="s">
        <v>5017</v>
      </c>
      <c r="D1639" s="461" t="s">
        <v>5069</v>
      </c>
      <c r="E1639" s="462"/>
      <c r="F1639" s="463" t="s">
        <v>1890</v>
      </c>
      <c r="G1639" s="464"/>
      <c r="H1639" s="462"/>
      <c r="I1639" s="465" t="s">
        <v>4844</v>
      </c>
    </row>
    <row r="1640" spans="1:9" x14ac:dyDescent="0.3">
      <c r="A1640" s="443">
        <v>1999905000</v>
      </c>
      <c r="B1640" s="445" t="s">
        <v>1</v>
      </c>
      <c r="C1640" s="459" t="s">
        <v>5017</v>
      </c>
      <c r="D1640" s="468" t="s">
        <v>5070</v>
      </c>
      <c r="E1640" s="446"/>
      <c r="F1640" s="460" t="s">
        <v>1890</v>
      </c>
      <c r="G1640" s="469"/>
      <c r="H1640" s="465"/>
      <c r="I1640" s="465" t="s">
        <v>4844</v>
      </c>
    </row>
    <row r="1641" spans="1:9" x14ac:dyDescent="0.3">
      <c r="A1641" s="443">
        <v>1999906000</v>
      </c>
      <c r="B1641" s="445" t="s">
        <v>1</v>
      </c>
      <c r="C1641" s="459" t="s">
        <v>5017</v>
      </c>
      <c r="D1641" s="468" t="s">
        <v>5071</v>
      </c>
      <c r="E1641" s="446"/>
      <c r="F1641" s="460" t="s">
        <v>1890</v>
      </c>
      <c r="G1641" s="469"/>
      <c r="H1641" s="465"/>
      <c r="I1641" s="465" t="s">
        <v>4844</v>
      </c>
    </row>
    <row r="1642" spans="1:9" x14ac:dyDescent="0.3">
      <c r="A1642" s="443">
        <v>1999907000</v>
      </c>
      <c r="B1642" s="445" t="s">
        <v>1</v>
      </c>
      <c r="C1642" s="459" t="s">
        <v>5017</v>
      </c>
      <c r="D1642" s="461" t="s">
        <v>5072</v>
      </c>
      <c r="E1642" s="462"/>
      <c r="F1642" s="463" t="s">
        <v>1890</v>
      </c>
      <c r="G1642" s="464"/>
      <c r="H1642" s="466"/>
      <c r="I1642" s="467" t="s">
        <v>4844</v>
      </c>
    </row>
    <row r="1643" spans="1:9" x14ac:dyDescent="0.3">
      <c r="A1643" s="443">
        <v>1999908000</v>
      </c>
      <c r="B1643" s="445" t="s">
        <v>1</v>
      </c>
      <c r="C1643" s="459" t="s">
        <v>5017</v>
      </c>
      <c r="D1643" s="468" t="s">
        <v>5073</v>
      </c>
      <c r="E1643" s="446"/>
      <c r="F1643" s="460" t="s">
        <v>1890</v>
      </c>
      <c r="G1643" s="470"/>
      <c r="H1643" s="471"/>
      <c r="I1643" s="465" t="s">
        <v>4844</v>
      </c>
    </row>
  </sheetData>
  <conditionalFormatting sqref="F1:F1643">
    <cfRule type="cellIs" dxfId="5" priority="1" operator="equal">
      <formula>"Reg"</formula>
    </cfRule>
    <cfRule type="cellIs" dxfId="4" priority="2" operator="equal">
      <formula>"Prov"</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F18AE-7665-4AAC-A115-73EC1C2C0B6B}">
  <sheetPr codeName="Sheet12">
    <tabColor theme="5" tint="-0.249977111117893"/>
  </sheetPr>
  <dimension ref="A1:R21"/>
  <sheetViews>
    <sheetView topLeftCell="I1" zoomScale="70" zoomScaleNormal="70" workbookViewId="0">
      <selection activeCell="L16" sqref="L16"/>
    </sheetView>
  </sheetViews>
  <sheetFormatPr defaultColWidth="8.88671875" defaultRowHeight="13.8" x14ac:dyDescent="0.25"/>
  <cols>
    <col min="1" max="1" width="17.88671875" style="32" customWidth="1"/>
    <col min="2" max="2" width="39.6640625" style="32" bestFit="1" customWidth="1"/>
    <col min="3" max="3" width="27.44140625" style="32" customWidth="1"/>
    <col min="4" max="4" width="14.109375" style="32" customWidth="1"/>
    <col min="5" max="5" width="22" style="36" customWidth="1"/>
    <col min="6" max="6" width="14" style="32" customWidth="1"/>
    <col min="7" max="7" width="14" style="37" customWidth="1"/>
    <col min="8" max="8" width="21.5546875" style="37" customWidth="1"/>
    <col min="9" max="9" width="17.88671875" style="32" customWidth="1"/>
    <col min="10" max="10" width="15.109375" style="32" customWidth="1"/>
    <col min="11" max="12" width="17.88671875" style="32" customWidth="1"/>
    <col min="13" max="13" width="20.88671875" style="37" customWidth="1"/>
    <col min="14" max="14" width="22.6640625" style="32" customWidth="1"/>
    <col min="15" max="15" width="23.44140625" style="32" customWidth="1"/>
    <col min="16" max="17" width="23" style="32" customWidth="1"/>
    <col min="18" max="18" width="29" style="32" customWidth="1"/>
    <col min="19" max="16384" width="8.88671875" style="32"/>
  </cols>
  <sheetData>
    <row r="1" spans="1:18" ht="14.4" x14ac:dyDescent="0.3">
      <c r="A1" s="35"/>
      <c r="B1" s="162" t="s">
        <v>1673</v>
      </c>
      <c r="C1" s="63"/>
      <c r="E1" s="32"/>
      <c r="G1" s="32"/>
      <c r="H1" s="32"/>
      <c r="I1" s="64" t="s">
        <v>5074</v>
      </c>
      <c r="J1" s="65"/>
      <c r="K1" s="66" t="s">
        <v>5075</v>
      </c>
      <c r="L1" s="49"/>
      <c r="M1" s="38"/>
      <c r="N1" s="38"/>
      <c r="O1" s="38"/>
      <c r="P1" s="38"/>
      <c r="Q1" s="38"/>
    </row>
    <row r="2" spans="1:18" x14ac:dyDescent="0.25">
      <c r="A2" s="45"/>
      <c r="B2" s="45"/>
      <c r="C2" s="45"/>
      <c r="D2" s="45"/>
      <c r="E2" s="45"/>
      <c r="F2" s="45"/>
      <c r="G2" s="45"/>
      <c r="H2" s="45"/>
      <c r="I2" s="67"/>
      <c r="J2" s="68"/>
      <c r="K2" s="45" t="s">
        <v>5076</v>
      </c>
      <c r="M2" s="38"/>
      <c r="N2" s="38"/>
      <c r="O2" s="38"/>
      <c r="P2" s="38"/>
      <c r="Q2" s="38"/>
    </row>
    <row r="3" spans="1:18" x14ac:dyDescent="0.25">
      <c r="A3" s="69"/>
      <c r="B3" s="69"/>
      <c r="C3" s="45"/>
      <c r="D3" s="45"/>
      <c r="E3" s="45"/>
      <c r="F3" s="612" t="s">
        <v>5077</v>
      </c>
      <c r="G3" s="612"/>
      <c r="H3" s="45"/>
      <c r="I3" s="67"/>
      <c r="J3" s="45"/>
      <c r="K3" s="45"/>
      <c r="M3" s="38"/>
      <c r="N3" s="38"/>
      <c r="O3" s="38"/>
      <c r="P3" s="38"/>
      <c r="Q3" s="38"/>
    </row>
    <row r="4" spans="1:18" ht="48" x14ac:dyDescent="0.25">
      <c r="A4" s="50" t="s">
        <v>1723</v>
      </c>
      <c r="B4" s="50" t="s">
        <v>1678</v>
      </c>
      <c r="C4" s="50" t="s">
        <v>1679</v>
      </c>
      <c r="D4" s="51" t="s">
        <v>1726</v>
      </c>
      <c r="E4" s="50" t="s">
        <v>5078</v>
      </c>
      <c r="F4" s="70" t="s">
        <v>5079</v>
      </c>
      <c r="G4" s="70" t="s">
        <v>5080</v>
      </c>
      <c r="H4" s="50" t="s">
        <v>5081</v>
      </c>
      <c r="I4" s="71" t="s">
        <v>5082</v>
      </c>
      <c r="J4" s="51" t="s">
        <v>5083</v>
      </c>
      <c r="K4" s="50" t="s">
        <v>5084</v>
      </c>
      <c r="L4" s="51" t="s">
        <v>5085</v>
      </c>
      <c r="M4" s="51" t="s">
        <v>5086</v>
      </c>
      <c r="N4" s="54" t="s">
        <v>1750</v>
      </c>
      <c r="O4" s="55" t="s">
        <v>1751</v>
      </c>
      <c r="P4" s="55" t="s">
        <v>1752</v>
      </c>
      <c r="Q4" s="50" t="s">
        <v>1753</v>
      </c>
      <c r="R4" s="50" t="s">
        <v>1686</v>
      </c>
    </row>
    <row r="5" spans="1:18" ht="31.2" x14ac:dyDescent="0.3">
      <c r="A5" s="474"/>
      <c r="B5" s="544" t="s">
        <v>5087</v>
      </c>
      <c r="C5" s="545" t="s">
        <v>1755</v>
      </c>
      <c r="D5" s="544" t="s">
        <v>1856</v>
      </c>
      <c r="E5" s="545" t="s">
        <v>1874</v>
      </c>
      <c r="F5" s="545">
        <v>2023</v>
      </c>
      <c r="G5" s="545">
        <v>2028</v>
      </c>
      <c r="H5" s="547" t="s">
        <v>5088</v>
      </c>
      <c r="I5" s="552">
        <v>45620</v>
      </c>
      <c r="J5" s="72">
        <f>IFERROR(YEAR(I5),)</f>
        <v>2024</v>
      </c>
      <c r="K5" s="552">
        <v>45279</v>
      </c>
      <c r="L5" s="72">
        <f>YEAR(K5)</f>
        <v>2023</v>
      </c>
      <c r="M5" s="74" t="str">
        <f t="shared" ref="M5:M21" ca="1" si="0">IF(AND(G5="",I5="",K5=""),"No PPFP",IF(YEAR(NOW())-YEAR(I5)&lt;=10,"Approved/Updated",IF(AND(K5&lt;&gt;"",YEAR(NOW())&lt;=G5),"For Approval",IF(YEAR(NOW())&lt;=G5,"Approved/Updated",IF(YEAR(NOW())-YEAR(K5)&lt;=10,"For Approval","For Updating")))))</f>
        <v>Approved/Updated</v>
      </c>
      <c r="N5" s="61"/>
      <c r="O5" s="61"/>
      <c r="P5" s="62"/>
      <c r="Q5" s="50"/>
      <c r="R5" s="59"/>
    </row>
    <row r="6" spans="1:18" ht="15.6" x14ac:dyDescent="0.3">
      <c r="A6" s="475"/>
      <c r="B6" s="550" t="s">
        <v>5087</v>
      </c>
      <c r="C6" s="551" t="s">
        <v>1807</v>
      </c>
      <c r="D6" s="550" t="s">
        <v>1856</v>
      </c>
      <c r="E6" s="551" t="s">
        <v>1856</v>
      </c>
      <c r="F6" s="546" t="s">
        <v>1512</v>
      </c>
      <c r="G6" s="546" t="s">
        <v>1512</v>
      </c>
      <c r="H6" s="548" t="s">
        <v>1512</v>
      </c>
      <c r="I6" s="398"/>
      <c r="J6" s="72">
        <f t="shared" ref="J6:J21" si="1">IFERROR(YEAR(I6),)</f>
        <v>1900</v>
      </c>
      <c r="K6" s="59"/>
      <c r="L6" s="72">
        <f t="shared" ref="L6:L21" si="2">YEAR(K6)</f>
        <v>1900</v>
      </c>
      <c r="M6" s="74" t="str">
        <f ca="1">IF(AND(G6="",I6="",K6=""),"No PPFP",IF(YEAR(NOW())-YEAR(I6)&lt;=10,"Approved/Updated",IF(AND(K6&lt;&gt;"",YEAR(NOW())&lt;=G6),"For Approval",IF(YEAR(NOW())&lt;=G6,"Approved/Updated",IF(YEAR(NOW())-YEAR(K6)&lt;=10,"For Approval","For Updating")))))</f>
        <v>Approved/Updated</v>
      </c>
      <c r="N6" s="61"/>
      <c r="O6" s="61"/>
      <c r="P6" s="62"/>
      <c r="Q6" s="58"/>
      <c r="R6" s="477"/>
    </row>
    <row r="7" spans="1:18" ht="31.2" x14ac:dyDescent="0.3">
      <c r="A7" s="475"/>
      <c r="B7" s="544" t="s">
        <v>5087</v>
      </c>
      <c r="C7" s="545" t="s">
        <v>120</v>
      </c>
      <c r="D7" s="544" t="s">
        <v>1856</v>
      </c>
      <c r="E7" s="545" t="s">
        <v>1856</v>
      </c>
      <c r="F7" s="549">
        <v>2023</v>
      </c>
      <c r="G7" s="549">
        <v>2032</v>
      </c>
      <c r="H7" s="547" t="s">
        <v>5089</v>
      </c>
      <c r="I7" s="552">
        <v>45620</v>
      </c>
      <c r="J7" s="72">
        <f t="shared" si="1"/>
        <v>2024</v>
      </c>
      <c r="K7" s="552"/>
      <c r="L7" s="72">
        <f t="shared" si="2"/>
        <v>1900</v>
      </c>
      <c r="M7" s="74" t="str">
        <f ca="1">IF(AND(G7="",I7="",K7=""),"No PPFP",IF(YEAR(NOW())-YEAR(I7)&lt;=10,"Approved/Updated",IF(AND(K7&lt;&gt;"",YEAR(NOW())&lt;=G7),"For Approval",IF(YEAR(NOW())&lt;=G7,"Approved/Updated",IF(YEAR(NOW())-YEAR(K7)&lt;=10,"For Approval","For Updating")))))</f>
        <v>Approved/Updated</v>
      </c>
      <c r="N7" s="61"/>
      <c r="O7" s="61"/>
      <c r="P7" s="62"/>
      <c r="Q7" s="58"/>
      <c r="R7" s="477"/>
    </row>
    <row r="8" spans="1:18" ht="14.4" x14ac:dyDescent="0.3">
      <c r="A8" s="475"/>
      <c r="B8" s="59"/>
      <c r="C8" s="373"/>
      <c r="D8" s="65"/>
      <c r="E8" s="59"/>
      <c r="F8" s="58"/>
      <c r="G8" s="58"/>
      <c r="H8" s="59"/>
      <c r="I8" s="398"/>
      <c r="J8" s="72">
        <f t="shared" si="1"/>
        <v>1900</v>
      </c>
      <c r="K8" s="59"/>
      <c r="L8" s="72">
        <f t="shared" si="2"/>
        <v>1900</v>
      </c>
      <c r="M8" s="74" t="str">
        <f t="shared" ca="1" si="0"/>
        <v>No PPFP</v>
      </c>
      <c r="N8" s="61"/>
      <c r="O8" s="61"/>
      <c r="P8" s="62"/>
      <c r="Q8" s="58"/>
      <c r="R8" s="477"/>
    </row>
    <row r="9" spans="1:18" ht="14.4" x14ac:dyDescent="0.3">
      <c r="A9" s="475"/>
      <c r="B9" s="59"/>
      <c r="C9" s="373"/>
      <c r="D9" s="65"/>
      <c r="E9" s="59"/>
      <c r="F9" s="58"/>
      <c r="G9" s="58"/>
      <c r="H9" s="59"/>
      <c r="I9" s="398"/>
      <c r="J9" s="72">
        <f t="shared" si="1"/>
        <v>1900</v>
      </c>
      <c r="K9" s="59"/>
      <c r="L9" s="72">
        <f t="shared" si="2"/>
        <v>1900</v>
      </c>
      <c r="M9" s="74" t="str">
        <f t="shared" ca="1" si="0"/>
        <v>No PPFP</v>
      </c>
      <c r="N9" s="61"/>
      <c r="O9" s="61"/>
      <c r="P9" s="62"/>
      <c r="Q9" s="58"/>
      <c r="R9" s="477"/>
    </row>
    <row r="10" spans="1:18" ht="14.4" x14ac:dyDescent="0.3">
      <c r="A10" s="475"/>
      <c r="B10" s="59"/>
      <c r="C10" s="373"/>
      <c r="D10" s="65"/>
      <c r="E10" s="59"/>
      <c r="F10" s="58"/>
      <c r="G10" s="58"/>
      <c r="H10" s="59"/>
      <c r="I10" s="398"/>
      <c r="J10" s="72">
        <f t="shared" si="1"/>
        <v>1900</v>
      </c>
      <c r="K10" s="59"/>
      <c r="L10" s="72">
        <f t="shared" si="2"/>
        <v>1900</v>
      </c>
      <c r="M10" s="74" t="str">
        <f t="shared" ca="1" si="0"/>
        <v>No PPFP</v>
      </c>
      <c r="N10" s="61"/>
      <c r="O10" s="61"/>
      <c r="P10" s="62"/>
      <c r="Q10" s="58"/>
      <c r="R10" s="59"/>
    </row>
    <row r="11" spans="1:18" x14ac:dyDescent="0.25">
      <c r="A11" s="476"/>
      <c r="B11" s="59"/>
      <c r="C11" s="59"/>
      <c r="D11" s="65"/>
      <c r="E11" s="59"/>
      <c r="F11" s="58"/>
      <c r="G11" s="58"/>
      <c r="H11" s="59"/>
      <c r="I11" s="73"/>
      <c r="J11" s="72">
        <f t="shared" si="1"/>
        <v>1900</v>
      </c>
      <c r="K11" s="59"/>
      <c r="L11" s="72">
        <f t="shared" si="2"/>
        <v>1900</v>
      </c>
      <c r="M11" s="74" t="str">
        <f t="shared" ca="1" si="0"/>
        <v>No PPFP</v>
      </c>
      <c r="N11" s="61"/>
      <c r="O11" s="61"/>
      <c r="P11" s="62"/>
      <c r="Q11" s="58"/>
      <c r="R11" s="59"/>
    </row>
    <row r="12" spans="1:18" x14ac:dyDescent="0.25">
      <c r="A12" s="476"/>
      <c r="B12" s="59"/>
      <c r="C12" s="59"/>
      <c r="D12" s="65"/>
      <c r="E12" s="59"/>
      <c r="F12" s="58"/>
      <c r="G12" s="58"/>
      <c r="H12" s="59"/>
      <c r="I12" s="73"/>
      <c r="J12" s="72">
        <f t="shared" si="1"/>
        <v>1900</v>
      </c>
      <c r="K12" s="59"/>
      <c r="L12" s="72">
        <f t="shared" si="2"/>
        <v>1900</v>
      </c>
      <c r="M12" s="74" t="str">
        <f t="shared" ca="1" si="0"/>
        <v>No PPFP</v>
      </c>
      <c r="N12" s="61"/>
      <c r="O12" s="61"/>
      <c r="P12" s="62"/>
      <c r="Q12" s="58"/>
      <c r="R12" s="59"/>
    </row>
    <row r="13" spans="1:18" x14ac:dyDescent="0.25">
      <c r="A13" s="476"/>
      <c r="B13" s="59"/>
      <c r="C13" s="59"/>
      <c r="D13" s="65"/>
      <c r="E13" s="59"/>
      <c r="F13" s="58"/>
      <c r="G13" s="58"/>
      <c r="H13" s="59"/>
      <c r="I13" s="73"/>
      <c r="J13" s="72">
        <f t="shared" si="1"/>
        <v>1900</v>
      </c>
      <c r="K13" s="59"/>
      <c r="L13" s="72">
        <f t="shared" si="2"/>
        <v>1900</v>
      </c>
      <c r="M13" s="74" t="str">
        <f t="shared" ca="1" si="0"/>
        <v>No PPFP</v>
      </c>
      <c r="N13" s="61"/>
      <c r="O13" s="61"/>
      <c r="P13" s="62"/>
      <c r="Q13" s="58"/>
      <c r="R13" s="59"/>
    </row>
    <row r="14" spans="1:18" x14ac:dyDescent="0.25">
      <c r="A14" s="476"/>
      <c r="B14" s="59"/>
      <c r="C14" s="59"/>
      <c r="D14" s="65"/>
      <c r="E14" s="59"/>
      <c r="F14" s="58"/>
      <c r="G14" s="58"/>
      <c r="H14" s="59"/>
      <c r="I14" s="73"/>
      <c r="J14" s="72">
        <f t="shared" si="1"/>
        <v>1900</v>
      </c>
      <c r="K14" s="59"/>
      <c r="L14" s="72">
        <f t="shared" si="2"/>
        <v>1900</v>
      </c>
      <c r="M14" s="74" t="str">
        <f t="shared" ca="1" si="0"/>
        <v>No PPFP</v>
      </c>
      <c r="N14" s="61"/>
      <c r="O14" s="61"/>
      <c r="P14" s="62"/>
      <c r="Q14" s="58"/>
      <c r="R14" s="59"/>
    </row>
    <row r="15" spans="1:18" x14ac:dyDescent="0.25">
      <c r="A15" s="476"/>
      <c r="B15" s="59"/>
      <c r="C15" s="59"/>
      <c r="D15" s="65"/>
      <c r="E15" s="59"/>
      <c r="F15" s="58"/>
      <c r="G15" s="58"/>
      <c r="H15" s="59"/>
      <c r="I15" s="73"/>
      <c r="J15" s="72">
        <f t="shared" si="1"/>
        <v>1900</v>
      </c>
      <c r="K15" s="59"/>
      <c r="L15" s="72">
        <f t="shared" si="2"/>
        <v>1900</v>
      </c>
      <c r="M15" s="74" t="str">
        <f t="shared" ca="1" si="0"/>
        <v>No PPFP</v>
      </c>
      <c r="N15" s="61"/>
      <c r="O15" s="61"/>
      <c r="P15" s="62"/>
      <c r="Q15" s="58"/>
      <c r="R15" s="59"/>
    </row>
    <row r="16" spans="1:18" x14ac:dyDescent="0.25">
      <c r="A16" s="476"/>
      <c r="B16" s="59"/>
      <c r="C16" s="59"/>
      <c r="D16" s="65"/>
      <c r="E16" s="59"/>
      <c r="F16" s="58"/>
      <c r="G16" s="58"/>
      <c r="H16" s="59"/>
      <c r="I16" s="73"/>
      <c r="J16" s="72">
        <f t="shared" si="1"/>
        <v>1900</v>
      </c>
      <c r="K16" s="59"/>
      <c r="L16" s="72">
        <f t="shared" si="2"/>
        <v>1900</v>
      </c>
      <c r="M16" s="74" t="str">
        <f t="shared" ca="1" si="0"/>
        <v>No PPFP</v>
      </c>
      <c r="N16" s="61"/>
      <c r="O16" s="61"/>
      <c r="P16" s="62"/>
      <c r="Q16" s="58"/>
      <c r="R16" s="59"/>
    </row>
    <row r="17" spans="1:18" x14ac:dyDescent="0.25">
      <c r="A17" s="476"/>
      <c r="B17" s="59"/>
      <c r="C17" s="59"/>
      <c r="D17" s="65"/>
      <c r="E17" s="59"/>
      <c r="F17" s="58"/>
      <c r="G17" s="58"/>
      <c r="H17" s="59"/>
      <c r="I17" s="73"/>
      <c r="J17" s="72">
        <f t="shared" si="1"/>
        <v>1900</v>
      </c>
      <c r="K17" s="59"/>
      <c r="L17" s="72">
        <f t="shared" si="2"/>
        <v>1900</v>
      </c>
      <c r="M17" s="74" t="str">
        <f t="shared" ca="1" si="0"/>
        <v>No PPFP</v>
      </c>
      <c r="N17" s="61"/>
      <c r="O17" s="61"/>
      <c r="P17" s="62"/>
      <c r="Q17" s="58"/>
      <c r="R17" s="59"/>
    </row>
    <row r="18" spans="1:18" x14ac:dyDescent="0.25">
      <c r="A18" s="476"/>
      <c r="B18" s="59"/>
      <c r="C18" s="59"/>
      <c r="D18" s="65"/>
      <c r="E18" s="59"/>
      <c r="F18" s="58"/>
      <c r="G18" s="58"/>
      <c r="H18" s="59"/>
      <c r="I18" s="73"/>
      <c r="J18" s="72">
        <f t="shared" si="1"/>
        <v>1900</v>
      </c>
      <c r="K18" s="59"/>
      <c r="L18" s="72">
        <f t="shared" si="2"/>
        <v>1900</v>
      </c>
      <c r="M18" s="74" t="str">
        <f t="shared" ca="1" si="0"/>
        <v>No PPFP</v>
      </c>
      <c r="N18" s="61"/>
      <c r="O18" s="61"/>
      <c r="P18" s="62"/>
      <c r="Q18" s="58"/>
      <c r="R18" s="59"/>
    </row>
    <row r="19" spans="1:18" x14ac:dyDescent="0.25">
      <c r="A19" s="476"/>
      <c r="B19" s="59"/>
      <c r="C19" s="59"/>
      <c r="D19" s="65"/>
      <c r="E19" s="59"/>
      <c r="F19" s="58"/>
      <c r="G19" s="58"/>
      <c r="H19" s="59"/>
      <c r="I19" s="73"/>
      <c r="J19" s="72">
        <f t="shared" si="1"/>
        <v>1900</v>
      </c>
      <c r="K19" s="59"/>
      <c r="L19" s="72">
        <f t="shared" si="2"/>
        <v>1900</v>
      </c>
      <c r="M19" s="74" t="str">
        <f t="shared" ca="1" si="0"/>
        <v>No PPFP</v>
      </c>
      <c r="N19" s="61"/>
      <c r="O19" s="61"/>
      <c r="P19" s="62"/>
      <c r="Q19" s="58"/>
      <c r="R19" s="59"/>
    </row>
    <row r="20" spans="1:18" x14ac:dyDescent="0.25">
      <c r="A20" s="476"/>
      <c r="B20" s="59"/>
      <c r="C20" s="59"/>
      <c r="D20" s="65"/>
      <c r="E20" s="59"/>
      <c r="F20" s="58"/>
      <c r="G20" s="58"/>
      <c r="H20" s="59"/>
      <c r="I20" s="73"/>
      <c r="J20" s="72">
        <f t="shared" si="1"/>
        <v>1900</v>
      </c>
      <c r="K20" s="59"/>
      <c r="L20" s="72">
        <f t="shared" si="2"/>
        <v>1900</v>
      </c>
      <c r="M20" s="74" t="str">
        <f t="shared" ca="1" si="0"/>
        <v>No PPFP</v>
      </c>
      <c r="N20" s="61"/>
      <c r="O20" s="61"/>
      <c r="P20" s="62"/>
      <c r="Q20" s="58"/>
      <c r="R20" s="59"/>
    </row>
    <row r="21" spans="1:18" x14ac:dyDescent="0.25">
      <c r="A21" s="476"/>
      <c r="B21" s="59"/>
      <c r="C21" s="59"/>
      <c r="D21" s="65"/>
      <c r="E21" s="59"/>
      <c r="F21" s="58"/>
      <c r="G21" s="58"/>
      <c r="H21" s="59"/>
      <c r="I21" s="73"/>
      <c r="J21" s="72">
        <f t="shared" si="1"/>
        <v>1900</v>
      </c>
      <c r="K21" s="59"/>
      <c r="L21" s="72">
        <f t="shared" si="2"/>
        <v>1900</v>
      </c>
      <c r="M21" s="74" t="str">
        <f t="shared" ca="1" si="0"/>
        <v>No PPFP</v>
      </c>
      <c r="N21" s="61"/>
      <c r="O21" s="61"/>
      <c r="P21" s="62"/>
      <c r="Q21" s="58"/>
      <c r="R21" s="59"/>
    </row>
  </sheetData>
  <mergeCells count="1">
    <mergeCell ref="F3:G3"/>
  </mergeCells>
  <conditionalFormatting sqref="M5:M21">
    <cfRule type="containsText" dxfId="3" priority="1" operator="containsText" text="For Approval">
      <formula>NOT(ISERROR(SEARCH("For Approval",M5)))</formula>
    </cfRule>
    <cfRule type="containsText" dxfId="2" priority="2" operator="containsText" text="No PPFP">
      <formula>NOT(ISERROR(SEARCH("No PPFP",M5)))</formula>
    </cfRule>
    <cfRule type="containsText" dxfId="1" priority="3" operator="containsText" text="Approved">
      <formula>NOT(ISERROR(SEARCH("Approved",M5)))</formula>
    </cfRule>
    <cfRule type="containsText" dxfId="0" priority="4" operator="containsText" text="For Updating">
      <formula>NOT(ISERROR(SEARCH("For Updating",M5)))</formula>
    </cfRule>
  </conditionalFormatting>
  <dataValidations count="4">
    <dataValidation type="list" allowBlank="1" showInputMessage="1" showErrorMessage="1" sqref="N5:N21" xr:uid="{CFCF0254-A61D-4863-87FC-EC275E3F574A}">
      <formula1>"Assisted,Trained,Trained and assisted,No assistance"</formula1>
    </dataValidation>
    <dataValidation type="list" allowBlank="1" showInputMessage="1" showErrorMessage="1" sqref="O5:O21" xr:uid="{2EEC5A77-A841-4DD2-9B76-556862AB0715}">
      <formula1>"Consultant,National Government Agency,Academe,Donor Agency,Others,None"</formula1>
    </dataValidation>
    <dataValidation type="list" allowBlank="1" showInputMessage="1" showErrorMessage="1" sqref="P5:P21" xr:uid="{8B4FB50A-34E5-42F3-A6B9-26B23992973D}">
      <formula1>"Yes, No"</formula1>
    </dataValidation>
    <dataValidation type="list" allowBlank="1" showInputMessage="1" showErrorMessage="1" sqref="D8:D21" xr:uid="{E847CB84-BDB0-48B6-862D-A7922B6F7992}">
      <formula1>"1st, 2nd, 3rd, 4th, 5th"</formula1>
    </dataValidation>
  </dataValidations>
  <hyperlinks>
    <hyperlink ref="B1" location="'Accomplishment 2025'!A1" display="Back to Summary of Accomplishments 2025" xr:uid="{DEDB9052-CAFF-4EAD-BB60-93F75A134AB7}"/>
  </hyperlinks>
  <pageMargins left="0.7" right="0.7" top="0.75" bottom="0.75" header="0.3" footer="0.3"/>
  <pageSetup paperSize="9" orientation="portrait" horizontalDpi="0" verticalDpi="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6E6E-54BA-488B-8C03-7F35E4ABBFD6}">
  <sheetPr codeName="Sheet13">
    <tabColor theme="9" tint="0.39997558519241921"/>
  </sheetPr>
  <dimension ref="A1:R1006"/>
  <sheetViews>
    <sheetView topLeftCell="D12" zoomScale="70" zoomScaleNormal="70" workbookViewId="0">
      <selection activeCell="A19" sqref="A19:R23"/>
    </sheetView>
  </sheetViews>
  <sheetFormatPr defaultColWidth="8.88671875" defaultRowHeight="13.8" x14ac:dyDescent="0.25"/>
  <cols>
    <col min="1" max="1" width="7.5546875" style="164" customWidth="1"/>
    <col min="2" max="2" width="18" style="164" customWidth="1"/>
    <col min="3" max="3" width="19.5546875" style="164" customWidth="1"/>
    <col min="4" max="4" width="33" style="190" customWidth="1"/>
    <col min="5" max="5" width="25.44140625" style="164" customWidth="1"/>
    <col min="6" max="6" width="24.109375" style="171" customWidth="1"/>
    <col min="7" max="7" width="23.109375" style="172" customWidth="1"/>
    <col min="8" max="8" width="20.88671875" style="164" customWidth="1"/>
    <col min="9" max="9" width="13.44140625" style="164" customWidth="1"/>
    <col min="10" max="10" width="15.44140625" style="164" customWidth="1"/>
    <col min="11" max="11" width="8.88671875" style="164" customWidth="1"/>
    <col min="12" max="16384" width="8.88671875" style="164"/>
  </cols>
  <sheetData>
    <row r="1" spans="1:18" s="32" customFormat="1" ht="14.4" x14ac:dyDescent="0.3">
      <c r="A1" s="173" t="s">
        <v>5090</v>
      </c>
      <c r="C1" s="174" t="s">
        <v>1673</v>
      </c>
      <c r="D1" s="191"/>
      <c r="F1" s="185"/>
    </row>
    <row r="2" spans="1:18" s="32" customFormat="1" x14ac:dyDescent="0.25">
      <c r="A2" s="176"/>
      <c r="B2" s="35"/>
      <c r="C2" s="35"/>
      <c r="D2" s="192"/>
      <c r="E2" s="35"/>
    </row>
    <row r="3" spans="1:18" s="32" customFormat="1" x14ac:dyDescent="0.25">
      <c r="A3" s="363">
        <v>1</v>
      </c>
      <c r="B3" s="364" t="s">
        <v>1527</v>
      </c>
      <c r="C3" s="364"/>
      <c r="D3" s="370"/>
      <c r="E3" s="364"/>
    </row>
    <row r="4" spans="1:18" s="32" customFormat="1" x14ac:dyDescent="0.25">
      <c r="A4" s="178"/>
      <c r="B4" s="206" t="s">
        <v>5091</v>
      </c>
      <c r="C4" s="206"/>
      <c r="D4" s="371"/>
      <c r="E4" s="206"/>
    </row>
    <row r="5" spans="1:18" s="32" customFormat="1" ht="72" customHeight="1" x14ac:dyDescent="0.25">
      <c r="A5" s="178"/>
      <c r="B5" s="599" t="s">
        <v>5092</v>
      </c>
      <c r="C5" s="599"/>
      <c r="D5" s="599"/>
      <c r="E5" s="599"/>
      <c r="F5" s="599"/>
      <c r="G5" s="599"/>
      <c r="H5" s="599"/>
      <c r="I5" s="599"/>
      <c r="J5" s="599"/>
      <c r="K5" s="599"/>
      <c r="L5" s="599"/>
      <c r="M5" s="599"/>
      <c r="N5" s="599"/>
      <c r="O5" s="599"/>
      <c r="P5" s="599"/>
      <c r="Q5" s="599"/>
      <c r="R5" s="599"/>
    </row>
    <row r="6" spans="1:18" s="32" customFormat="1" ht="45.6" customHeight="1" x14ac:dyDescent="0.25">
      <c r="A6" s="178"/>
      <c r="B6" s="601" t="s">
        <v>5093</v>
      </c>
      <c r="C6" s="601"/>
      <c r="D6" s="601"/>
      <c r="E6" s="601"/>
      <c r="F6" s="601"/>
      <c r="G6" s="601"/>
      <c r="H6" s="601"/>
      <c r="I6" s="601"/>
      <c r="J6" s="601"/>
      <c r="K6" s="601"/>
      <c r="L6" s="601"/>
      <c r="M6" s="601"/>
      <c r="N6" s="601"/>
      <c r="O6" s="601"/>
      <c r="P6" s="601"/>
      <c r="Q6" s="601"/>
      <c r="R6" s="601"/>
    </row>
    <row r="7" spans="1:18" s="32" customFormat="1" x14ac:dyDescent="0.25">
      <c r="B7" s="602" t="s">
        <v>5094</v>
      </c>
      <c r="C7" s="602"/>
      <c r="D7" s="602"/>
      <c r="E7" s="602"/>
      <c r="F7" s="602"/>
      <c r="G7" s="602"/>
      <c r="H7" s="602"/>
      <c r="I7" s="602"/>
      <c r="J7" s="602"/>
      <c r="K7" s="602"/>
      <c r="L7" s="602"/>
      <c r="M7" s="602"/>
      <c r="N7" s="602"/>
      <c r="O7" s="602"/>
      <c r="P7" s="602"/>
      <c r="Q7" s="602"/>
      <c r="R7" s="602"/>
    </row>
    <row r="8" spans="1:18" s="32" customFormat="1" x14ac:dyDescent="0.25">
      <c r="B8" s="186" t="s">
        <v>5095</v>
      </c>
      <c r="C8" s="186"/>
      <c r="D8" s="186"/>
      <c r="E8" s="186"/>
      <c r="F8" s="186"/>
      <c r="G8" s="186"/>
      <c r="H8" s="186"/>
      <c r="I8" s="186"/>
      <c r="J8" s="186"/>
      <c r="K8" s="186"/>
      <c r="L8" s="186"/>
      <c r="M8" s="186"/>
      <c r="N8" s="186"/>
      <c r="O8" s="173"/>
      <c r="P8" s="173"/>
      <c r="Q8" s="173"/>
      <c r="R8" s="173"/>
    </row>
    <row r="9" spans="1:18" s="32" customFormat="1" x14ac:dyDescent="0.25">
      <c r="B9" s="173"/>
      <c r="C9" s="173"/>
      <c r="D9" s="193"/>
      <c r="E9" s="173"/>
      <c r="F9" s="173"/>
      <c r="G9" s="173"/>
      <c r="H9" s="173"/>
      <c r="I9" s="173"/>
      <c r="J9" s="173"/>
      <c r="K9" s="173"/>
      <c r="L9" s="173"/>
      <c r="M9" s="173"/>
      <c r="N9" s="173"/>
      <c r="O9" s="173"/>
      <c r="P9" s="173"/>
      <c r="Q9" s="173"/>
      <c r="R9" s="173"/>
    </row>
    <row r="10" spans="1:18" s="32" customFormat="1" x14ac:dyDescent="0.25">
      <c r="B10" s="179" t="s">
        <v>5096</v>
      </c>
      <c r="C10" s="179"/>
      <c r="D10" s="194"/>
      <c r="E10" s="179"/>
      <c r="F10" s="181">
        <f>COUNTIF(J18:J1005,"1st")</f>
        <v>4</v>
      </c>
      <c r="G10" s="195"/>
      <c r="H10" s="173"/>
      <c r="I10" s="173"/>
      <c r="J10" s="173"/>
      <c r="K10" s="173"/>
      <c r="L10" s="173"/>
      <c r="M10" s="173"/>
      <c r="N10" s="173"/>
      <c r="O10" s="173"/>
      <c r="P10" s="173"/>
      <c r="Q10" s="173"/>
      <c r="R10" s="173"/>
    </row>
    <row r="11" spans="1:18" s="32" customFormat="1" x14ac:dyDescent="0.25">
      <c r="B11" s="179" t="s">
        <v>5097</v>
      </c>
      <c r="C11" s="179"/>
      <c r="D11" s="194"/>
      <c r="E11" s="179"/>
      <c r="F11" s="181">
        <f>COUNTA(D18:D1005)</f>
        <v>6</v>
      </c>
      <c r="G11" s="173"/>
      <c r="H11" s="173"/>
      <c r="I11" s="173"/>
      <c r="J11" s="173"/>
      <c r="K11" s="173"/>
      <c r="L11" s="173"/>
      <c r="M11" s="173"/>
      <c r="N11" s="173"/>
      <c r="O11" s="173"/>
      <c r="P11" s="173"/>
      <c r="Q11" s="173"/>
      <c r="R11" s="173"/>
    </row>
    <row r="12" spans="1:18" s="32" customFormat="1" x14ac:dyDescent="0.25">
      <c r="B12" s="196" t="s">
        <v>5098</v>
      </c>
      <c r="C12" s="196"/>
      <c r="D12" s="197"/>
      <c r="E12" s="196"/>
      <c r="F12" s="198">
        <f>COUNTIF(F18:F1005,"Planned")</f>
        <v>0</v>
      </c>
      <c r="G12" s="173"/>
      <c r="H12" s="173"/>
      <c r="I12" s="173"/>
      <c r="J12" s="173"/>
      <c r="K12" s="173"/>
      <c r="L12" s="173"/>
      <c r="M12" s="173"/>
      <c r="N12" s="173"/>
      <c r="O12" s="173"/>
      <c r="P12" s="173"/>
      <c r="Q12" s="173"/>
      <c r="R12" s="173"/>
    </row>
    <row r="13" spans="1:18" s="32" customFormat="1" x14ac:dyDescent="0.25">
      <c r="B13" s="196" t="s">
        <v>5099</v>
      </c>
      <c r="C13" s="196"/>
      <c r="D13" s="197"/>
      <c r="E13" s="196"/>
      <c r="F13" s="198">
        <f>COUNTIF(F18:F1005,"Requested")</f>
        <v>6</v>
      </c>
      <c r="G13" s="173"/>
      <c r="H13" s="173"/>
      <c r="I13" s="173"/>
      <c r="J13" s="173"/>
      <c r="K13" s="173"/>
      <c r="L13" s="173"/>
      <c r="M13" s="173"/>
      <c r="N13" s="173"/>
      <c r="O13" s="173"/>
      <c r="P13" s="173"/>
      <c r="Q13" s="173"/>
      <c r="R13" s="173"/>
    </row>
    <row r="14" spans="1:18" s="32" customFormat="1" x14ac:dyDescent="0.25">
      <c r="B14" s="173"/>
      <c r="C14" s="173"/>
      <c r="D14" s="193"/>
      <c r="E14" s="173"/>
      <c r="F14" s="173"/>
      <c r="G14" s="173"/>
      <c r="H14" s="173"/>
      <c r="I14" s="173"/>
      <c r="J14" s="173"/>
      <c r="K14" s="173"/>
      <c r="L14" s="173"/>
      <c r="M14" s="173"/>
      <c r="N14" s="173"/>
      <c r="O14" s="173"/>
      <c r="P14" s="173"/>
      <c r="Q14" s="173"/>
      <c r="R14" s="173"/>
    </row>
    <row r="15" spans="1:18" s="32" customFormat="1" x14ac:dyDescent="0.25">
      <c r="B15" s="173"/>
      <c r="C15" s="173"/>
      <c r="D15" s="193"/>
      <c r="E15" s="173"/>
      <c r="F15" s="173"/>
      <c r="G15" s="173"/>
      <c r="H15" s="173"/>
      <c r="I15" s="173"/>
      <c r="J15" s="173"/>
      <c r="K15" s="173"/>
      <c r="L15" s="173"/>
      <c r="M15" s="173"/>
      <c r="N15" s="173"/>
      <c r="O15" s="173"/>
      <c r="P15" s="173"/>
      <c r="Q15" s="173"/>
      <c r="R15" s="173"/>
    </row>
    <row r="16" spans="1:18" s="32" customFormat="1" x14ac:dyDescent="0.25">
      <c r="D16" s="191"/>
      <c r="F16" s="199"/>
    </row>
    <row r="17" spans="1:18" s="182" customFormat="1" ht="37.5" customHeight="1" x14ac:dyDescent="0.25">
      <c r="A17" s="183" t="s">
        <v>1678</v>
      </c>
      <c r="B17" s="183" t="s">
        <v>1679</v>
      </c>
      <c r="C17" s="183" t="s">
        <v>5100</v>
      </c>
      <c r="D17" s="184" t="s">
        <v>5101</v>
      </c>
      <c r="E17" s="183" t="s">
        <v>5102</v>
      </c>
      <c r="F17" s="184" t="s">
        <v>5103</v>
      </c>
      <c r="G17" s="184" t="s">
        <v>5104</v>
      </c>
      <c r="H17" s="184" t="s">
        <v>1685</v>
      </c>
      <c r="I17" s="183" t="s">
        <v>1686</v>
      </c>
      <c r="J17" s="187" t="s">
        <v>1714</v>
      </c>
    </row>
    <row r="18" spans="1:18" ht="110.4" x14ac:dyDescent="0.25">
      <c r="A18" s="164" t="s">
        <v>67</v>
      </c>
      <c r="B18" s="164" t="s">
        <v>86</v>
      </c>
      <c r="C18" s="164" t="s">
        <v>1314</v>
      </c>
      <c r="D18" s="190" t="s">
        <v>5105</v>
      </c>
      <c r="E18" s="190" t="s">
        <v>5106</v>
      </c>
      <c r="F18" s="164" t="s">
        <v>5107</v>
      </c>
      <c r="G18" s="239">
        <v>46030</v>
      </c>
      <c r="H18" s="164" t="s">
        <v>1498</v>
      </c>
      <c r="I18" s="164" t="s">
        <v>5108</v>
      </c>
      <c r="J18" s="164" t="str">
        <f>IFERROR(COUNTIF($C$18:C18,C18)&amp;CHOOSE(MIN(4,COUNTIF($C$18:C18,C18)),"st","nd","rd","th"),"")</f>
        <v>1st</v>
      </c>
    </row>
    <row r="19" spans="1:18" ht="55.2" x14ac:dyDescent="0.25">
      <c r="A19" s="416" t="s">
        <v>67</v>
      </c>
      <c r="B19" s="416" t="s">
        <v>86</v>
      </c>
      <c r="C19" s="416" t="s">
        <v>1314</v>
      </c>
      <c r="D19" s="485" t="s">
        <v>5105</v>
      </c>
      <c r="E19" s="485" t="s">
        <v>5109</v>
      </c>
      <c r="F19" s="416" t="s">
        <v>5107</v>
      </c>
      <c r="G19" s="489">
        <v>46055</v>
      </c>
      <c r="H19" s="416" t="s">
        <v>1499</v>
      </c>
      <c r="I19" s="416" t="s">
        <v>5108</v>
      </c>
      <c r="J19" s="416" t="s">
        <v>1874</v>
      </c>
      <c r="K19" s="416"/>
      <c r="L19" s="416"/>
      <c r="M19" s="416"/>
      <c r="N19" s="416"/>
      <c r="O19" s="416"/>
      <c r="P19" s="416"/>
      <c r="Q19" s="416"/>
      <c r="R19" s="416"/>
    </row>
    <row r="20" spans="1:18" ht="27.6" x14ac:dyDescent="0.25">
      <c r="A20" s="416" t="s">
        <v>67</v>
      </c>
      <c r="B20" s="416" t="s">
        <v>103</v>
      </c>
      <c r="C20" s="416" t="s">
        <v>566</v>
      </c>
      <c r="D20" s="485" t="s">
        <v>5110</v>
      </c>
      <c r="E20" s="485" t="s">
        <v>5111</v>
      </c>
      <c r="F20" s="416" t="s">
        <v>5107</v>
      </c>
      <c r="G20" s="489">
        <v>46062</v>
      </c>
      <c r="H20" s="416" t="s">
        <v>1499</v>
      </c>
      <c r="I20" s="416" t="s">
        <v>5108</v>
      </c>
      <c r="J20" s="416" t="s">
        <v>1856</v>
      </c>
      <c r="K20" s="416"/>
      <c r="L20" s="416"/>
      <c r="M20" s="416"/>
      <c r="N20" s="416"/>
      <c r="O20" s="416"/>
      <c r="P20" s="416"/>
      <c r="Q20" s="416"/>
      <c r="R20" s="416"/>
    </row>
    <row r="21" spans="1:18" ht="41.4" x14ac:dyDescent="0.25">
      <c r="A21" s="416" t="s">
        <v>67</v>
      </c>
      <c r="B21" s="416" t="s">
        <v>86</v>
      </c>
      <c r="C21" s="416" t="s">
        <v>1314</v>
      </c>
      <c r="D21" s="485" t="s">
        <v>5110</v>
      </c>
      <c r="E21" s="485" t="s">
        <v>5112</v>
      </c>
      <c r="F21" s="416" t="s">
        <v>5107</v>
      </c>
      <c r="G21" s="489">
        <v>46065</v>
      </c>
      <c r="H21" s="416" t="s">
        <v>1499</v>
      </c>
      <c r="I21" s="416" t="s">
        <v>5108</v>
      </c>
      <c r="J21" s="416" t="s">
        <v>1927</v>
      </c>
      <c r="K21" s="416"/>
      <c r="L21" s="416"/>
      <c r="M21" s="416"/>
      <c r="N21" s="416"/>
      <c r="O21" s="416"/>
      <c r="P21" s="416"/>
      <c r="Q21" s="416"/>
      <c r="R21" s="416"/>
    </row>
    <row r="22" spans="1:18" ht="55.2" x14ac:dyDescent="0.25">
      <c r="A22" s="416" t="s">
        <v>67</v>
      </c>
      <c r="B22" s="416" t="s">
        <v>103</v>
      </c>
      <c r="C22" s="416" t="s">
        <v>1208</v>
      </c>
      <c r="D22" s="485" t="s">
        <v>5105</v>
      </c>
      <c r="E22" s="485" t="s">
        <v>5113</v>
      </c>
      <c r="F22" s="416" t="s">
        <v>5107</v>
      </c>
      <c r="G22" s="489">
        <v>46072</v>
      </c>
      <c r="H22" s="416" t="s">
        <v>1499</v>
      </c>
      <c r="I22" s="416" t="s">
        <v>5108</v>
      </c>
      <c r="J22" s="416" t="s">
        <v>1856</v>
      </c>
      <c r="K22" s="416"/>
      <c r="L22" s="416"/>
      <c r="M22" s="416"/>
      <c r="N22" s="416"/>
      <c r="O22" s="416"/>
      <c r="P22" s="416"/>
      <c r="Q22" s="416"/>
      <c r="R22" s="416"/>
    </row>
    <row r="23" spans="1:18" ht="41.4" x14ac:dyDescent="0.25">
      <c r="A23" s="416" t="s">
        <v>67</v>
      </c>
      <c r="B23" s="416" t="s">
        <v>86</v>
      </c>
      <c r="C23" s="416" t="s">
        <v>1381</v>
      </c>
      <c r="D23" s="485" t="s">
        <v>5105</v>
      </c>
      <c r="E23" s="485" t="s">
        <v>5114</v>
      </c>
      <c r="F23" s="416" t="s">
        <v>5107</v>
      </c>
      <c r="G23" s="489">
        <v>46077</v>
      </c>
      <c r="H23" s="416" t="s">
        <v>1499</v>
      </c>
      <c r="I23" s="416" t="s">
        <v>5108</v>
      </c>
      <c r="J23" s="416" t="s">
        <v>1856</v>
      </c>
      <c r="K23" s="416"/>
      <c r="L23" s="416"/>
      <c r="M23" s="416"/>
      <c r="N23" s="416"/>
      <c r="O23" s="416"/>
      <c r="P23" s="416"/>
      <c r="Q23" s="416"/>
      <c r="R23" s="416"/>
    </row>
    <row r="24" spans="1:18" x14ac:dyDescent="0.25">
      <c r="A24" s="201"/>
      <c r="B24" s="201"/>
      <c r="C24" s="201"/>
      <c r="D24" s="201"/>
      <c r="E24" s="201"/>
      <c r="F24" s="201"/>
      <c r="G24" s="201"/>
      <c r="J24" s="164" t="str">
        <f>IFERROR(COUNTIF($C$18:C24,C24)&amp;CHOOSE(MIN(4,COUNTIF($C$18:C24,C24)),"st","nd","rd","th"),"")</f>
        <v/>
      </c>
    </row>
    <row r="25" spans="1:18" x14ac:dyDescent="0.25">
      <c r="D25" s="164"/>
      <c r="F25" s="164"/>
      <c r="G25" s="164"/>
      <c r="J25" s="164" t="str">
        <f>IFERROR(COUNTIF($C$18:C25,C25)&amp;CHOOSE(MIN(4,COUNTIF($C$18:C25,C25)),"st","nd","rd","th"),"")</f>
        <v/>
      </c>
    </row>
    <row r="26" spans="1:18" x14ac:dyDescent="0.25">
      <c r="D26" s="164"/>
      <c r="F26" s="164"/>
      <c r="G26" s="164"/>
      <c r="J26" s="164" t="str">
        <f>IFERROR(COUNTIF($C$18:C26,C26)&amp;CHOOSE(MIN(4,COUNTIF($C$18:C26,C26)),"st","nd","rd","th"),"")</f>
        <v/>
      </c>
    </row>
    <row r="27" spans="1:18" x14ac:dyDescent="0.25">
      <c r="D27" s="164"/>
      <c r="F27" s="164"/>
      <c r="G27" s="164"/>
      <c r="J27" s="164" t="str">
        <f>IFERROR(COUNTIF($C$18:C27,C27)&amp;CHOOSE(MIN(4,COUNTIF($C$18:C27,C27)),"st","nd","rd","th"),"")</f>
        <v/>
      </c>
    </row>
    <row r="28" spans="1:18" x14ac:dyDescent="0.25">
      <c r="D28" s="164"/>
      <c r="F28" s="164"/>
      <c r="G28" s="164"/>
      <c r="J28" s="164" t="str">
        <f>IFERROR(COUNTIF($C$18:C28,C28)&amp;CHOOSE(MIN(4,COUNTIF($C$18:C28,C28)),"st","nd","rd","th"),"")</f>
        <v/>
      </c>
    </row>
    <row r="29" spans="1:18" x14ac:dyDescent="0.25">
      <c r="A29" s="201"/>
      <c r="B29" s="201"/>
      <c r="C29" s="201"/>
      <c r="D29" s="201"/>
      <c r="E29" s="201"/>
      <c r="F29" s="201"/>
      <c r="G29" s="201"/>
      <c r="J29" s="164" t="str">
        <f>IFERROR(COUNTIF($C$18:C29,C29)&amp;CHOOSE(MIN(4,COUNTIF($C$18:C29,C29)),"st","nd","rd","th"),"")</f>
        <v/>
      </c>
    </row>
    <row r="30" spans="1:18" x14ac:dyDescent="0.25">
      <c r="D30" s="164"/>
      <c r="F30" s="164"/>
      <c r="G30" s="164"/>
      <c r="J30" s="164" t="str">
        <f>IFERROR(COUNTIF($C$18:C30,C30)&amp;CHOOSE(MIN(4,COUNTIF($C$18:C30,C30)),"st","nd","rd","th"),"")</f>
        <v/>
      </c>
    </row>
    <row r="31" spans="1:18" x14ac:dyDescent="0.25">
      <c r="D31" s="164"/>
      <c r="F31" s="164"/>
      <c r="G31" s="164"/>
      <c r="J31" s="164" t="str">
        <f>IFERROR(COUNTIF($C$18:C31,C31)&amp;CHOOSE(MIN(4,COUNTIF($C$18:C31,C31)),"st","nd","rd","th"),"")</f>
        <v/>
      </c>
    </row>
    <row r="32" spans="1:18" x14ac:dyDescent="0.25">
      <c r="A32" s="201"/>
      <c r="B32" s="201"/>
      <c r="C32" s="201"/>
      <c r="D32" s="201"/>
      <c r="E32" s="201"/>
      <c r="F32" s="201"/>
      <c r="G32" s="201"/>
      <c r="J32" s="164" t="str">
        <f>IFERROR(COUNTIF($C$18:C32,C32)&amp;CHOOSE(MIN(4,COUNTIF($C$18:C32,C32)),"st","nd","rd","th"),"")</f>
        <v/>
      </c>
    </row>
    <row r="33" spans="1:10" x14ac:dyDescent="0.25">
      <c r="D33" s="164"/>
      <c r="F33" s="164"/>
      <c r="G33" s="164"/>
      <c r="J33" s="164" t="str">
        <f>IFERROR(COUNTIF($C$18:C33,C33)&amp;CHOOSE(MIN(4,COUNTIF($C$18:C33,C33)),"st","nd","rd","th"),"")</f>
        <v/>
      </c>
    </row>
    <row r="34" spans="1:10" x14ac:dyDescent="0.25">
      <c r="A34" s="201"/>
      <c r="B34" s="201"/>
      <c r="C34" s="201"/>
      <c r="D34" s="201"/>
      <c r="E34" s="201"/>
      <c r="F34" s="201"/>
      <c r="G34" s="201"/>
      <c r="J34" s="164" t="str">
        <f>IFERROR(COUNTIF($C$18:C34,C34)&amp;CHOOSE(MIN(4,COUNTIF($C$18:C34,C34)),"st","nd","rd","th"),"")</f>
        <v/>
      </c>
    </row>
    <row r="35" spans="1:10" x14ac:dyDescent="0.25">
      <c r="A35" s="201"/>
      <c r="B35" s="201"/>
      <c r="C35" s="201"/>
      <c r="D35" s="201"/>
      <c r="E35" s="201"/>
      <c r="F35" s="201"/>
      <c r="G35" s="201"/>
      <c r="J35" s="164" t="str">
        <f>IFERROR(COUNTIF($C$18:C35,C35)&amp;CHOOSE(MIN(4,COUNTIF($C$18:C35,C35)),"st","nd","rd","th"),"")</f>
        <v/>
      </c>
    </row>
    <row r="36" spans="1:10" x14ac:dyDescent="0.25">
      <c r="A36" s="201"/>
      <c r="B36" s="201"/>
      <c r="C36" s="201"/>
      <c r="D36" s="201"/>
      <c r="E36" s="201"/>
      <c r="F36" s="201"/>
      <c r="G36" s="201"/>
      <c r="J36" s="164" t="str">
        <f>IFERROR(COUNTIF($C$18:C36,C36)&amp;CHOOSE(MIN(4,COUNTIF($C$18:C36,C36)),"st","nd","rd","th"),"")</f>
        <v/>
      </c>
    </row>
    <row r="37" spans="1:10" x14ac:dyDescent="0.25">
      <c r="D37" s="164"/>
      <c r="F37" s="164"/>
      <c r="G37" s="164"/>
      <c r="J37" s="164" t="str">
        <f>IFERROR(COUNTIF($C$18:C37,C37)&amp;CHOOSE(MIN(4,COUNTIF($C$18:C37,C37)),"st","nd","rd","th"),"")</f>
        <v/>
      </c>
    </row>
    <row r="38" spans="1:10" x14ac:dyDescent="0.25">
      <c r="A38" s="201"/>
      <c r="B38" s="201"/>
      <c r="C38" s="201"/>
      <c r="D38" s="201"/>
      <c r="E38" s="201"/>
      <c r="F38" s="201"/>
      <c r="G38" s="201"/>
      <c r="J38" s="164" t="str">
        <f>IFERROR(COUNTIF($C$18:C38,C38)&amp;CHOOSE(MIN(4,COUNTIF($C$18:C38,C38)),"st","nd","rd","th"),"")</f>
        <v/>
      </c>
    </row>
    <row r="39" spans="1:10" x14ac:dyDescent="0.25">
      <c r="D39" s="164"/>
      <c r="F39" s="164"/>
      <c r="G39" s="164"/>
      <c r="J39" s="164" t="str">
        <f>IFERROR(COUNTIF($C$18:C39,C39)&amp;CHOOSE(MIN(4,COUNTIF($C$18:C39,C39)),"st","nd","rd","th"),"")</f>
        <v/>
      </c>
    </row>
    <row r="40" spans="1:10" x14ac:dyDescent="0.25">
      <c r="D40" s="164"/>
      <c r="F40" s="164"/>
      <c r="G40" s="164"/>
      <c r="J40" s="164" t="str">
        <f>IFERROR(COUNTIF($C$18:C40,C40)&amp;CHOOSE(MIN(4,COUNTIF($C$18:C40,C40)),"st","nd","rd","th"),"")</f>
        <v/>
      </c>
    </row>
    <row r="41" spans="1:10" x14ac:dyDescent="0.25">
      <c r="D41" s="164"/>
      <c r="F41" s="164"/>
      <c r="G41" s="164"/>
      <c r="J41" s="164" t="str">
        <f>IFERROR(COUNTIF($C$18:C41,C41)&amp;CHOOSE(MIN(4,COUNTIF($C$18:C41,C41)),"st","nd","rd","th"),"")</f>
        <v/>
      </c>
    </row>
    <row r="42" spans="1:10" x14ac:dyDescent="0.25">
      <c r="A42" s="201"/>
      <c r="B42" s="201"/>
      <c r="C42" s="201"/>
      <c r="D42" s="201"/>
      <c r="E42" s="201"/>
      <c r="F42" s="201"/>
      <c r="G42" s="201"/>
      <c r="J42" s="164" t="str">
        <f>IFERROR(COUNTIF($C$18:C42,C42)&amp;CHOOSE(MIN(4,COUNTIF($C$18:C42,C42)),"st","nd","rd","th"),"")</f>
        <v/>
      </c>
    </row>
    <row r="43" spans="1:10" x14ac:dyDescent="0.25">
      <c r="A43" s="201"/>
      <c r="B43" s="201"/>
      <c r="C43" s="201"/>
      <c r="D43" s="201"/>
      <c r="E43" s="201"/>
      <c r="F43" s="201"/>
      <c r="G43" s="201"/>
      <c r="J43" s="164" t="str">
        <f>IFERROR(COUNTIF($C$18:C43,C43)&amp;CHOOSE(MIN(4,COUNTIF($C$18:C43,C43)),"st","nd","rd","th"),"")</f>
        <v/>
      </c>
    </row>
    <row r="44" spans="1:10" x14ac:dyDescent="0.25">
      <c r="D44" s="164"/>
      <c r="F44" s="164"/>
      <c r="G44" s="164"/>
      <c r="J44" s="164" t="str">
        <f>IFERROR(COUNTIF($C$18:C44,C44)&amp;CHOOSE(MIN(4,COUNTIF($C$18:C44,C44)),"st","nd","rd","th"),"")</f>
        <v/>
      </c>
    </row>
    <row r="45" spans="1:10" x14ac:dyDescent="0.25">
      <c r="D45" s="164"/>
      <c r="F45" s="164"/>
      <c r="G45" s="164"/>
      <c r="J45" s="164" t="str">
        <f>IFERROR(COUNTIF($C$18:C45,C45)&amp;CHOOSE(MIN(4,COUNTIF($C$18:C45,C45)),"st","nd","rd","th"),"")</f>
        <v/>
      </c>
    </row>
    <row r="46" spans="1:10" x14ac:dyDescent="0.25">
      <c r="D46" s="164"/>
      <c r="F46" s="164"/>
      <c r="G46" s="164"/>
      <c r="J46" s="164" t="str">
        <f>IFERROR(COUNTIF($C$18:C46,C46)&amp;CHOOSE(MIN(4,COUNTIF($C$18:C46,C46)),"st","nd","rd","th"),"")</f>
        <v/>
      </c>
    </row>
    <row r="47" spans="1:10" x14ac:dyDescent="0.25">
      <c r="D47" s="164"/>
      <c r="F47" s="164"/>
      <c r="G47" s="164"/>
      <c r="J47" s="164" t="str">
        <f>IFERROR(COUNTIF($C$18:C47,C47)&amp;CHOOSE(MIN(4,COUNTIF($C$18:C47,C47)),"st","nd","rd","th"),"")</f>
        <v/>
      </c>
    </row>
    <row r="48" spans="1:10" x14ac:dyDescent="0.25">
      <c r="A48" s="201"/>
      <c r="B48" s="201"/>
      <c r="C48" s="201"/>
      <c r="D48" s="201"/>
      <c r="E48" s="201"/>
      <c r="F48" s="201"/>
      <c r="G48" s="201"/>
      <c r="J48" s="164" t="str">
        <f>IFERROR(COUNTIF($C$18:C48,C48)&amp;CHOOSE(MIN(4,COUNTIF($C$18:C48,C48)),"st","nd","rd","th"),"")</f>
        <v/>
      </c>
    </row>
    <row r="49" spans="1:10" x14ac:dyDescent="0.25">
      <c r="D49" s="164"/>
      <c r="F49" s="164"/>
      <c r="G49" s="164"/>
      <c r="J49" s="164" t="str">
        <f>IFERROR(COUNTIF($C$18:C49,C49)&amp;CHOOSE(MIN(4,COUNTIF($C$18:C49,C49)),"st","nd","rd","th"),"")</f>
        <v/>
      </c>
    </row>
    <row r="50" spans="1:10" x14ac:dyDescent="0.25">
      <c r="A50" s="201"/>
      <c r="B50" s="201"/>
      <c r="C50" s="201"/>
      <c r="D50" s="201"/>
      <c r="E50" s="201"/>
      <c r="F50" s="201"/>
      <c r="G50" s="201"/>
      <c r="J50" s="164" t="str">
        <f>IFERROR(COUNTIF($C$18:C50,C50)&amp;CHOOSE(MIN(4,COUNTIF($C$18:C50,C50)),"st","nd","rd","th"),"")</f>
        <v/>
      </c>
    </row>
    <row r="51" spans="1:10" x14ac:dyDescent="0.25">
      <c r="A51" s="201"/>
      <c r="B51" s="201"/>
      <c r="C51" s="201"/>
      <c r="D51" s="201"/>
      <c r="E51" s="201"/>
      <c r="F51" s="201"/>
      <c r="G51" s="201"/>
      <c r="J51" s="164" t="str">
        <f>IFERROR(COUNTIF($C$18:C51,C51)&amp;CHOOSE(MIN(4,COUNTIF($C$18:C51,C51)),"st","nd","rd","th"),"")</f>
        <v/>
      </c>
    </row>
    <row r="52" spans="1:10" x14ac:dyDescent="0.25">
      <c r="A52" s="201"/>
      <c r="B52" s="201"/>
      <c r="C52" s="201"/>
      <c r="D52" s="201"/>
      <c r="E52" s="201"/>
      <c r="F52" s="201"/>
      <c r="G52" s="201"/>
      <c r="H52" s="384"/>
      <c r="I52" s="378"/>
      <c r="J52" s="164" t="str">
        <f>IFERROR(COUNTIF($C$18:C52,C52)&amp;CHOOSE(MIN(4,COUNTIF($C$18:C52,C52)),"st","nd","rd","th"),"")</f>
        <v/>
      </c>
    </row>
    <row r="53" spans="1:10" x14ac:dyDescent="0.25">
      <c r="D53" s="164"/>
      <c r="F53" s="164"/>
      <c r="G53" s="164"/>
      <c r="H53" s="384"/>
      <c r="I53" s="384"/>
      <c r="J53" s="164" t="str">
        <f>IFERROR(COUNTIF($C$18:C53,C53)&amp;CHOOSE(MIN(4,COUNTIF($C$18:C53,C53)),"st","nd","rd","th"),"")</f>
        <v/>
      </c>
    </row>
    <row r="54" spans="1:10" x14ac:dyDescent="0.25">
      <c r="D54" s="164"/>
      <c r="F54" s="164"/>
      <c r="G54" s="164"/>
      <c r="H54" s="384"/>
      <c r="I54" s="384"/>
      <c r="J54" s="164" t="str">
        <f>IFERROR(COUNTIF($C$18:C54,C54)&amp;CHOOSE(MIN(4,COUNTIF($C$18:C54,C54)),"st","nd","rd","th"),"")</f>
        <v/>
      </c>
    </row>
    <row r="55" spans="1:10" x14ac:dyDescent="0.25">
      <c r="D55" s="164"/>
      <c r="F55" s="164"/>
      <c r="G55" s="164"/>
      <c r="H55" s="384"/>
      <c r="I55" s="384"/>
      <c r="J55" s="164" t="str">
        <f>IFERROR(COUNTIF($C$18:C55,C55)&amp;CHOOSE(MIN(4,COUNTIF($C$18:C55,C55)),"st","nd","rd","th"),"")</f>
        <v/>
      </c>
    </row>
    <row r="56" spans="1:10" ht="13.95" customHeight="1" x14ac:dyDescent="0.25">
      <c r="A56" s="201"/>
      <c r="B56" s="201"/>
      <c r="C56" s="201"/>
      <c r="D56" s="201"/>
      <c r="E56" s="201"/>
      <c r="F56" s="201"/>
      <c r="G56" s="201"/>
      <c r="H56" s="384"/>
      <c r="I56" s="378"/>
      <c r="J56" s="164" t="str">
        <f>IFERROR(COUNTIF($C$18:C56,C56)&amp;CHOOSE(MIN(4,COUNTIF($C$18:C56,C56)),"st","nd","rd","th"),"")</f>
        <v/>
      </c>
    </row>
    <row r="57" spans="1:10" x14ac:dyDescent="0.25">
      <c r="D57" s="164"/>
      <c r="F57" s="164"/>
      <c r="G57" s="164"/>
      <c r="H57" s="384"/>
      <c r="I57" s="384"/>
      <c r="J57" s="164" t="str">
        <f>IFERROR(COUNTIF($C$18:C57,C57)&amp;CHOOSE(MIN(4,COUNTIF($C$18:C57,C57)),"st","nd","rd","th"),"")</f>
        <v/>
      </c>
    </row>
    <row r="58" spans="1:10" x14ac:dyDescent="0.25">
      <c r="D58" s="164"/>
      <c r="F58" s="164"/>
      <c r="G58" s="164"/>
      <c r="H58" s="384"/>
      <c r="I58" s="384"/>
      <c r="J58" s="164" t="str">
        <f>IFERROR(COUNTIF($C$18:C58,C58)&amp;CHOOSE(MIN(4,COUNTIF($C$18:C58,C58)),"st","nd","rd","th"),"")</f>
        <v/>
      </c>
    </row>
    <row r="59" spans="1:10" x14ac:dyDescent="0.25">
      <c r="D59" s="164"/>
      <c r="F59" s="164"/>
      <c r="G59" s="164"/>
      <c r="H59" s="384"/>
      <c r="I59" s="384"/>
      <c r="J59" s="164" t="str">
        <f>IFERROR(COUNTIF($C$18:C59,C59)&amp;CHOOSE(MIN(4,COUNTIF($C$18:C59,C59)),"st","nd","rd","th"),"")</f>
        <v/>
      </c>
    </row>
    <row r="60" spans="1:10" x14ac:dyDescent="0.25">
      <c r="D60" s="164"/>
      <c r="F60" s="164"/>
      <c r="G60" s="164"/>
      <c r="H60" s="384"/>
      <c r="I60" s="384"/>
      <c r="J60" s="164" t="str">
        <f>IFERROR(COUNTIF($C$18:C60,C60)&amp;CHOOSE(MIN(4,COUNTIF($C$18:C60,C60)),"st","nd","rd","th"),"")</f>
        <v/>
      </c>
    </row>
    <row r="61" spans="1:10" x14ac:dyDescent="0.25">
      <c r="J61" s="164" t="str">
        <f>IFERROR(COUNTIF($C$18:C61,C61)&amp;CHOOSE(MIN(4,COUNTIF($C$18:C61,C61)),"st","nd","rd","th"),"")</f>
        <v/>
      </c>
    </row>
    <row r="62" spans="1:10" x14ac:dyDescent="0.25">
      <c r="J62" s="164" t="str">
        <f>IFERROR(COUNTIF($C$18:C62,C62)&amp;CHOOSE(MIN(4,COUNTIF($C$18:C62,C62)),"st","nd","rd","th"),"")</f>
        <v/>
      </c>
    </row>
    <row r="63" spans="1:10" x14ac:dyDescent="0.25">
      <c r="E63" s="190"/>
      <c r="J63" s="164" t="str">
        <f>IFERROR(COUNTIF($C$18:C63,C63)&amp;CHOOSE(MIN(4,COUNTIF($C$18:C63,C63)),"st","nd","rd","th"),"")</f>
        <v/>
      </c>
    </row>
    <row r="64" spans="1:10" x14ac:dyDescent="0.25">
      <c r="E64" s="190"/>
      <c r="J64" s="164" t="str">
        <f>IFERROR(COUNTIF($C$18:C64,C64)&amp;CHOOSE(MIN(4,COUNTIF($C$18:C64,C64)),"st","nd","rd","th"),"")</f>
        <v/>
      </c>
    </row>
    <row r="65" spans="10:10" x14ac:dyDescent="0.25">
      <c r="J65" s="164" t="str">
        <f>IFERROR(COUNTIF($C$18:C65,C65)&amp;CHOOSE(MIN(4,COUNTIF($C$18:C65,C65)),"st","nd","rd","th"),"")</f>
        <v/>
      </c>
    </row>
    <row r="66" spans="10:10" x14ac:dyDescent="0.25">
      <c r="J66" s="164" t="str">
        <f>IFERROR(COUNTIF($C$18:C66,C66)&amp;CHOOSE(MIN(4,COUNTIF($C$18:C66,C66)),"st","nd","rd","th"),"")</f>
        <v/>
      </c>
    </row>
    <row r="67" spans="10:10" x14ac:dyDescent="0.25">
      <c r="J67" s="164" t="str">
        <f>IFERROR(COUNTIF($C$18:C67,C67)&amp;CHOOSE(MIN(4,COUNTIF($C$18:C67,C67)),"st","nd","rd","th"),"")</f>
        <v/>
      </c>
    </row>
    <row r="68" spans="10:10" x14ac:dyDescent="0.25">
      <c r="J68" s="164" t="str">
        <f>IFERROR(COUNTIF($C$18:C68,C68)&amp;CHOOSE(MIN(4,COUNTIF($C$18:C68,C68)),"st","nd","rd","th"),"")</f>
        <v/>
      </c>
    </row>
    <row r="69" spans="10:10" x14ac:dyDescent="0.25">
      <c r="J69" s="164" t="str">
        <f>IFERROR(COUNTIF($C$18:C69,C69)&amp;CHOOSE(MIN(4,COUNTIF($C$18:C69,C69)),"st","nd","rd","th"),"")</f>
        <v/>
      </c>
    </row>
    <row r="70" spans="10:10" x14ac:dyDescent="0.25">
      <c r="J70" s="164" t="str">
        <f>IFERROR(COUNTIF($C$18:C70,C70)&amp;CHOOSE(MIN(4,COUNTIF($C$18:C70,C70)),"st","nd","rd","th"),"")</f>
        <v/>
      </c>
    </row>
    <row r="71" spans="10:10" x14ac:dyDescent="0.25">
      <c r="J71" s="164" t="str">
        <f>IFERROR(COUNTIF($C$18:C71,C71)&amp;CHOOSE(MIN(4,COUNTIF($C$18:C71,C71)),"st","nd","rd","th"),"")</f>
        <v/>
      </c>
    </row>
    <row r="72" spans="10:10" x14ac:dyDescent="0.25">
      <c r="J72" s="164" t="str">
        <f>IFERROR(COUNTIF($C$18:C72,C72)&amp;CHOOSE(MIN(4,COUNTIF($C$18:C72,C72)),"st","nd","rd","th"),"")</f>
        <v/>
      </c>
    </row>
    <row r="73" spans="10:10" x14ac:dyDescent="0.25">
      <c r="J73" s="164" t="str">
        <f>IFERROR(COUNTIF($C$18:C73,C73)&amp;CHOOSE(MIN(4,COUNTIF($C$18:C73,C73)),"st","nd","rd","th"),"")</f>
        <v/>
      </c>
    </row>
    <row r="74" spans="10:10" x14ac:dyDescent="0.25">
      <c r="J74" s="164" t="str">
        <f>IFERROR(COUNTIF($C$18:C74,C74)&amp;CHOOSE(MIN(4,COUNTIF($C$18:C74,C74)),"st","nd","rd","th"),"")</f>
        <v/>
      </c>
    </row>
    <row r="75" spans="10:10" x14ac:dyDescent="0.25">
      <c r="J75" s="164" t="str">
        <f>IFERROR(COUNTIF($C$18:C75,C75)&amp;CHOOSE(MIN(4,COUNTIF($C$18:C75,C75)),"st","nd","rd","th"),"")</f>
        <v/>
      </c>
    </row>
    <row r="76" spans="10:10" x14ac:dyDescent="0.25">
      <c r="J76" s="164" t="str">
        <f>IFERROR(COUNTIF($C$18:C76,C76)&amp;CHOOSE(MIN(4,COUNTIF($C$18:C76,C76)),"st","nd","rd","th"),"")</f>
        <v/>
      </c>
    </row>
    <row r="77" spans="10:10" x14ac:dyDescent="0.25">
      <c r="J77" s="164" t="str">
        <f>IFERROR(COUNTIF($C$18:C77,C77)&amp;CHOOSE(MIN(4,COUNTIF($C$18:C77,C77)),"st","nd","rd","th"),"")</f>
        <v/>
      </c>
    </row>
    <row r="78" spans="10:10" x14ac:dyDescent="0.25">
      <c r="J78" s="164" t="str">
        <f>IFERROR(COUNTIF($C$18:C78,C78)&amp;CHOOSE(MIN(4,COUNTIF($C$18:C78,C78)),"st","nd","rd","th"),"")</f>
        <v/>
      </c>
    </row>
    <row r="79" spans="10:10" x14ac:dyDescent="0.25">
      <c r="J79" s="164" t="str">
        <f>IFERROR(COUNTIF($C$18:C79,C79)&amp;CHOOSE(MIN(4,COUNTIF($C$18:C79,C79)),"st","nd","rd","th"),"")</f>
        <v/>
      </c>
    </row>
    <row r="80" spans="10:10" x14ac:dyDescent="0.25">
      <c r="J80" s="164" t="str">
        <f>IFERROR(COUNTIF($C$18:C80,C80)&amp;CHOOSE(MIN(4,COUNTIF($C$18:C80,C80)),"st","nd","rd","th"),"")</f>
        <v/>
      </c>
    </row>
    <row r="81" spans="10:10" x14ac:dyDescent="0.25">
      <c r="J81" s="164" t="str">
        <f>IFERROR(COUNTIF($C$18:C81,C81)&amp;CHOOSE(MIN(4,COUNTIF($C$18:C81,C81)),"st","nd","rd","th"),"")</f>
        <v/>
      </c>
    </row>
    <row r="82" spans="10:10" x14ac:dyDescent="0.25">
      <c r="J82" s="164" t="str">
        <f>IFERROR(COUNTIF($C$18:C82,C82)&amp;CHOOSE(MIN(4,COUNTIF($C$18:C82,C82)),"st","nd","rd","th"),"")</f>
        <v/>
      </c>
    </row>
    <row r="83" spans="10:10" x14ac:dyDescent="0.25">
      <c r="J83" s="164" t="str">
        <f>IFERROR(COUNTIF($C$18:C83,C83)&amp;CHOOSE(MIN(4,COUNTIF($C$18:C83,C83)),"st","nd","rd","th"),"")</f>
        <v/>
      </c>
    </row>
    <row r="84" spans="10:10" x14ac:dyDescent="0.25">
      <c r="J84" s="164" t="str">
        <f>IFERROR(COUNTIF($C$18:C84,C84)&amp;CHOOSE(MIN(4,COUNTIF($C$18:C84,C84)),"st","nd","rd","th"),"")</f>
        <v/>
      </c>
    </row>
    <row r="85" spans="10:10" x14ac:dyDescent="0.25">
      <c r="J85" s="164" t="str">
        <f>IFERROR(COUNTIF($C$18:C85,C85)&amp;CHOOSE(MIN(4,COUNTIF($C$18:C85,C85)),"st","nd","rd","th"),"")</f>
        <v/>
      </c>
    </row>
    <row r="86" spans="10:10" x14ac:dyDescent="0.25">
      <c r="J86" s="164" t="str">
        <f>IFERROR(COUNTIF($C$18:C86,C86)&amp;CHOOSE(MIN(4,COUNTIF($C$18:C86,C86)),"st","nd","rd","th"),"")</f>
        <v/>
      </c>
    </row>
    <row r="87" spans="10:10" x14ac:dyDescent="0.25">
      <c r="J87" s="164" t="str">
        <f>IFERROR(COUNTIF($C$18:C87,C87)&amp;CHOOSE(MIN(4,COUNTIF($C$18:C87,C87)),"st","nd","rd","th"),"")</f>
        <v/>
      </c>
    </row>
    <row r="88" spans="10:10" x14ac:dyDescent="0.25">
      <c r="J88" s="164" t="str">
        <f>IFERROR(COUNTIF($C$18:C88,C88)&amp;CHOOSE(MIN(4,COUNTIF($C$18:C88,C88)),"st","nd","rd","th"),"")</f>
        <v/>
      </c>
    </row>
    <row r="89" spans="10:10" x14ac:dyDescent="0.25">
      <c r="J89" s="164" t="str">
        <f>IFERROR(COUNTIF($C$18:C89,C89)&amp;CHOOSE(MIN(4,COUNTIF($C$18:C89,C89)),"st","nd","rd","th"),"")</f>
        <v/>
      </c>
    </row>
    <row r="90" spans="10:10" x14ac:dyDescent="0.25">
      <c r="J90" s="164" t="str">
        <f>IFERROR(COUNTIF($C$18:C90,C90)&amp;CHOOSE(MIN(4,COUNTIF($C$18:C90,C90)),"st","nd","rd","th"),"")</f>
        <v/>
      </c>
    </row>
    <row r="91" spans="10:10" x14ac:dyDescent="0.25">
      <c r="J91" s="164" t="str">
        <f>IFERROR(COUNTIF($C$18:C91,C91)&amp;CHOOSE(MIN(4,COUNTIF($C$18:C91,C91)),"st","nd","rd","th"),"")</f>
        <v/>
      </c>
    </row>
    <row r="92" spans="10:10" x14ac:dyDescent="0.25">
      <c r="J92" s="164" t="str">
        <f>IFERROR(COUNTIF($C$18:C92,C92)&amp;CHOOSE(MIN(4,COUNTIF($C$18:C92,C92)),"st","nd","rd","th"),"")</f>
        <v/>
      </c>
    </row>
    <row r="93" spans="10:10" x14ac:dyDescent="0.25">
      <c r="J93" s="164" t="str">
        <f>IFERROR(COUNTIF($C$18:C93,C93)&amp;CHOOSE(MIN(4,COUNTIF($C$18:C93,C93)),"st","nd","rd","th"),"")</f>
        <v/>
      </c>
    </row>
    <row r="94" spans="10:10" x14ac:dyDescent="0.25">
      <c r="J94" s="164" t="str">
        <f>IFERROR(COUNTIF($C$18:C94,C94)&amp;CHOOSE(MIN(4,COUNTIF($C$18:C94,C94)),"st","nd","rd","th"),"")</f>
        <v/>
      </c>
    </row>
    <row r="95" spans="10:10" x14ac:dyDescent="0.25">
      <c r="J95" s="164" t="str">
        <f>IFERROR(COUNTIF($C$18:C95,C95)&amp;CHOOSE(MIN(4,COUNTIF($C$18:C95,C95)),"st","nd","rd","th"),"")</f>
        <v/>
      </c>
    </row>
    <row r="96" spans="10:10" x14ac:dyDescent="0.25">
      <c r="J96" s="164" t="str">
        <f>IFERROR(COUNTIF($C$18:C96,C96)&amp;CHOOSE(MIN(4,COUNTIF($C$18:C96,C96)),"st","nd","rd","th"),"")</f>
        <v/>
      </c>
    </row>
    <row r="97" spans="10:10" x14ac:dyDescent="0.25">
      <c r="J97" s="164" t="str">
        <f>IFERROR(COUNTIF($C$18:C97,C97)&amp;CHOOSE(MIN(4,COUNTIF($C$18:C97,C97)),"st","nd","rd","th"),"")</f>
        <v/>
      </c>
    </row>
    <row r="98" spans="10:10" x14ac:dyDescent="0.25">
      <c r="J98" s="164" t="str">
        <f>IFERROR(COUNTIF($C$18:C98,C98)&amp;CHOOSE(MIN(4,COUNTIF($C$18:C98,C98)),"st","nd","rd","th"),"")</f>
        <v/>
      </c>
    </row>
    <row r="99" spans="10:10" x14ac:dyDescent="0.25">
      <c r="J99" s="164" t="str">
        <f>IFERROR(COUNTIF($C$18:C99,C99)&amp;CHOOSE(MIN(4,COUNTIF($C$18:C99,C99)),"st","nd","rd","th"),"")</f>
        <v/>
      </c>
    </row>
    <row r="100" spans="10:10" x14ac:dyDescent="0.25">
      <c r="J100" s="164" t="str">
        <f>IFERROR(COUNTIF($C$18:C100,C100)&amp;CHOOSE(MIN(4,COUNTIF($C$18:C100,C100)),"st","nd","rd","th"),"")</f>
        <v/>
      </c>
    </row>
    <row r="101" spans="10:10" x14ac:dyDescent="0.25">
      <c r="J101" s="164" t="str">
        <f>IFERROR(COUNTIF($C$18:C101,C101)&amp;CHOOSE(MIN(4,COUNTIF($C$18:C101,C101)),"st","nd","rd","th"),"")</f>
        <v/>
      </c>
    </row>
    <row r="102" spans="10:10" x14ac:dyDescent="0.25">
      <c r="J102" s="164" t="str">
        <f>IFERROR(COUNTIF($C$18:C102,C102)&amp;CHOOSE(MIN(4,COUNTIF($C$18:C102,C102)),"st","nd","rd","th"),"")</f>
        <v/>
      </c>
    </row>
    <row r="103" spans="10:10" x14ac:dyDescent="0.25">
      <c r="J103" s="164" t="str">
        <f>IFERROR(COUNTIF($C$18:C103,C103)&amp;CHOOSE(MIN(4,COUNTIF($C$18:C103,C103)),"st","nd","rd","th"),"")</f>
        <v/>
      </c>
    </row>
    <row r="104" spans="10:10" x14ac:dyDescent="0.25">
      <c r="J104" s="164" t="str">
        <f>IFERROR(COUNTIF($C$18:C104,C104)&amp;CHOOSE(MIN(4,COUNTIF($C$18:C104,C104)),"st","nd","rd","th"),"")</f>
        <v/>
      </c>
    </row>
    <row r="105" spans="10:10" x14ac:dyDescent="0.25">
      <c r="J105" s="164" t="str">
        <f>IFERROR(COUNTIF($C$18:C105,C105)&amp;CHOOSE(MIN(4,COUNTIF($C$18:C105,C105)),"st","nd","rd","th"),"")</f>
        <v/>
      </c>
    </row>
    <row r="106" spans="10:10" x14ac:dyDescent="0.25">
      <c r="J106" s="164" t="str">
        <f>IFERROR(COUNTIF($C$18:C106,C106)&amp;CHOOSE(MIN(4,COUNTIF($C$18:C106,C106)),"st","nd","rd","th"),"")</f>
        <v/>
      </c>
    </row>
    <row r="107" spans="10:10" x14ac:dyDescent="0.25">
      <c r="J107" s="164" t="str">
        <f>IFERROR(COUNTIF($C$18:C107,C107)&amp;CHOOSE(MIN(4,COUNTIF($C$18:C107,C107)),"st","nd","rd","th"),"")</f>
        <v/>
      </c>
    </row>
    <row r="108" spans="10:10" x14ac:dyDescent="0.25">
      <c r="J108" s="164" t="str">
        <f>IFERROR(COUNTIF($C$18:C108,C108)&amp;CHOOSE(MIN(4,COUNTIF($C$18:C108,C108)),"st","nd","rd","th"),"")</f>
        <v/>
      </c>
    </row>
    <row r="109" spans="10:10" x14ac:dyDescent="0.25">
      <c r="J109" s="164" t="str">
        <f>IFERROR(COUNTIF($C$18:C109,C109)&amp;CHOOSE(MIN(4,COUNTIF($C$18:C109,C109)),"st","nd","rd","th"),"")</f>
        <v/>
      </c>
    </row>
    <row r="110" spans="10:10" x14ac:dyDescent="0.25">
      <c r="J110" s="164" t="str">
        <f>IFERROR(COUNTIF($C$18:C110,C110)&amp;CHOOSE(MIN(4,COUNTIF($C$18:C110,C110)),"st","nd","rd","th"),"")</f>
        <v/>
      </c>
    </row>
    <row r="111" spans="10:10" x14ac:dyDescent="0.25">
      <c r="J111" s="164" t="str">
        <f>IFERROR(COUNTIF($C$18:C111,C111)&amp;CHOOSE(MIN(4,COUNTIF($C$18:C111,C111)),"st","nd","rd","th"),"")</f>
        <v/>
      </c>
    </row>
    <row r="112" spans="10:10" x14ac:dyDescent="0.25">
      <c r="J112" s="164" t="str">
        <f>IFERROR(COUNTIF($C$18:C112,C112)&amp;CHOOSE(MIN(4,COUNTIF($C$18:C112,C112)),"st","nd","rd","th"),"")</f>
        <v/>
      </c>
    </row>
    <row r="113" spans="10:10" x14ac:dyDescent="0.25">
      <c r="J113" s="164" t="str">
        <f>IFERROR(COUNTIF($C$18:C113,C113)&amp;CHOOSE(MIN(4,COUNTIF($C$18:C113,C113)),"st","nd","rd","th"),"")</f>
        <v/>
      </c>
    </row>
    <row r="114" spans="10:10" x14ac:dyDescent="0.25">
      <c r="J114" s="164" t="str">
        <f>IFERROR(COUNTIF($C$18:C114,C114)&amp;CHOOSE(MIN(4,COUNTIF($C$18:C114,C114)),"st","nd","rd","th"),"")</f>
        <v/>
      </c>
    </row>
    <row r="115" spans="10:10" x14ac:dyDescent="0.25">
      <c r="J115" s="164" t="str">
        <f>IFERROR(COUNTIF($C$18:C115,C115)&amp;CHOOSE(MIN(4,COUNTIF($C$18:C115,C115)),"st","nd","rd","th"),"")</f>
        <v/>
      </c>
    </row>
    <row r="116" spans="10:10" x14ac:dyDescent="0.25">
      <c r="J116" s="164" t="str">
        <f>IFERROR(COUNTIF($C$18:C116,C116)&amp;CHOOSE(MIN(4,COUNTIF($C$18:C116,C116)),"st","nd","rd","th"),"")</f>
        <v/>
      </c>
    </row>
    <row r="117" spans="10:10" x14ac:dyDescent="0.25">
      <c r="J117" s="164" t="str">
        <f>IFERROR(COUNTIF($C$18:C117,C117)&amp;CHOOSE(MIN(4,COUNTIF($C$18:C117,C117)),"st","nd","rd","th"),"")</f>
        <v/>
      </c>
    </row>
    <row r="118" spans="10:10" x14ac:dyDescent="0.25">
      <c r="J118" s="164" t="str">
        <f>IFERROR(COUNTIF($C$18:C118,C118)&amp;CHOOSE(MIN(4,COUNTIF($C$18:C118,C118)),"st","nd","rd","th"),"")</f>
        <v/>
      </c>
    </row>
    <row r="119" spans="10:10" x14ac:dyDescent="0.25">
      <c r="J119" s="164" t="str">
        <f>IFERROR(COUNTIF($C$18:C119,C119)&amp;CHOOSE(MIN(4,COUNTIF($C$18:C119,C119)),"st","nd","rd","th"),"")</f>
        <v/>
      </c>
    </row>
    <row r="120" spans="10:10" x14ac:dyDescent="0.25">
      <c r="J120" s="164" t="str">
        <f>IFERROR(COUNTIF($C$18:C120,C120)&amp;CHOOSE(MIN(4,COUNTIF($C$18:C120,C120)),"st","nd","rd","th"),"")</f>
        <v/>
      </c>
    </row>
    <row r="121" spans="10:10" x14ac:dyDescent="0.25">
      <c r="J121" s="164" t="str">
        <f>IFERROR(COUNTIF($C$18:C121,C121)&amp;CHOOSE(MIN(4,COUNTIF($C$18:C121,C121)),"st","nd","rd","th"),"")</f>
        <v/>
      </c>
    </row>
    <row r="122" spans="10:10" x14ac:dyDescent="0.25">
      <c r="J122" s="164" t="str">
        <f>IFERROR(COUNTIF($C$18:C122,C122)&amp;CHOOSE(MIN(4,COUNTIF($C$18:C122,C122)),"st","nd","rd","th"),"")</f>
        <v/>
      </c>
    </row>
    <row r="123" spans="10:10" x14ac:dyDescent="0.25">
      <c r="J123" s="164" t="str">
        <f>IFERROR(COUNTIF($C$18:C123,C123)&amp;CHOOSE(MIN(4,COUNTIF($C$18:C123,C123)),"st","nd","rd","th"),"")</f>
        <v/>
      </c>
    </row>
    <row r="124" spans="10:10" x14ac:dyDescent="0.25">
      <c r="J124" s="164" t="str">
        <f>IFERROR(COUNTIF($C$18:C124,C124)&amp;CHOOSE(MIN(4,COUNTIF($C$18:C124,C124)),"st","nd","rd","th"),"")</f>
        <v/>
      </c>
    </row>
    <row r="125" spans="10:10" x14ac:dyDescent="0.25">
      <c r="J125" s="164" t="str">
        <f>IFERROR(COUNTIF($C$18:C125,C125)&amp;CHOOSE(MIN(4,COUNTIF($C$18:C125,C125)),"st","nd","rd","th"),"")</f>
        <v/>
      </c>
    </row>
    <row r="126" spans="10:10" x14ac:dyDescent="0.25">
      <c r="J126" s="164" t="str">
        <f>IFERROR(COUNTIF($C$18:C126,C126)&amp;CHOOSE(MIN(4,COUNTIF($C$18:C126,C126)),"st","nd","rd","th"),"")</f>
        <v/>
      </c>
    </row>
    <row r="127" spans="10:10" x14ac:dyDescent="0.25">
      <c r="J127" s="164" t="str">
        <f>IFERROR(COUNTIF($C$18:C127,C127)&amp;CHOOSE(MIN(4,COUNTIF($C$18:C127,C127)),"st","nd","rd","th"),"")</f>
        <v/>
      </c>
    </row>
    <row r="128" spans="10:10" x14ac:dyDescent="0.25">
      <c r="J128" s="164" t="str">
        <f>IFERROR(COUNTIF($C$18:C128,C128)&amp;CHOOSE(MIN(4,COUNTIF($C$18:C128,C128)),"st","nd","rd","th"),"")</f>
        <v/>
      </c>
    </row>
    <row r="129" spans="10:10" x14ac:dyDescent="0.25">
      <c r="J129" s="164" t="str">
        <f>IFERROR(COUNTIF($C$18:C129,C129)&amp;CHOOSE(MIN(4,COUNTIF($C$18:C129,C129)),"st","nd","rd","th"),"")</f>
        <v/>
      </c>
    </row>
    <row r="130" spans="10:10" x14ac:dyDescent="0.25">
      <c r="J130" s="164" t="str">
        <f>IFERROR(COUNTIF($C$18:C130,C130)&amp;CHOOSE(MIN(4,COUNTIF($C$18:C130,C130)),"st","nd","rd","th"),"")</f>
        <v/>
      </c>
    </row>
    <row r="131" spans="10:10" x14ac:dyDescent="0.25">
      <c r="J131" s="164" t="str">
        <f>IFERROR(COUNTIF($C$18:C131,C131)&amp;CHOOSE(MIN(4,COUNTIF($C$18:C131,C131)),"st","nd","rd","th"),"")</f>
        <v/>
      </c>
    </row>
    <row r="132" spans="10:10" x14ac:dyDescent="0.25">
      <c r="J132" s="164" t="str">
        <f>IFERROR(COUNTIF($C$18:C132,C132)&amp;CHOOSE(MIN(4,COUNTIF($C$18:C132,C132)),"st","nd","rd","th"),"")</f>
        <v/>
      </c>
    </row>
    <row r="133" spans="10:10" x14ac:dyDescent="0.25">
      <c r="J133" s="164" t="str">
        <f>IFERROR(COUNTIF($C$18:C133,C133)&amp;CHOOSE(MIN(4,COUNTIF($C$18:C133,C133)),"st","nd","rd","th"),"")</f>
        <v/>
      </c>
    </row>
    <row r="134" spans="10:10" x14ac:dyDescent="0.25">
      <c r="J134" s="164" t="str">
        <f>IFERROR(COUNTIF($C$18:C134,C134)&amp;CHOOSE(MIN(4,COUNTIF($C$18:C134,C134)),"st","nd","rd","th"),"")</f>
        <v/>
      </c>
    </row>
    <row r="135" spans="10:10" x14ac:dyDescent="0.25">
      <c r="J135" s="164" t="str">
        <f>IFERROR(COUNTIF($C$18:C135,C135)&amp;CHOOSE(MIN(4,COUNTIF($C$18:C135,C135)),"st","nd","rd","th"),"")</f>
        <v/>
      </c>
    </row>
    <row r="136" spans="10:10" x14ac:dyDescent="0.25">
      <c r="J136" s="164" t="str">
        <f>IFERROR(COUNTIF($C$18:C136,C136)&amp;CHOOSE(MIN(4,COUNTIF($C$18:C136,C136)),"st","nd","rd","th"),"")</f>
        <v/>
      </c>
    </row>
    <row r="137" spans="10:10" x14ac:dyDescent="0.25">
      <c r="J137" s="164" t="str">
        <f>IFERROR(COUNTIF($C$18:C137,C137)&amp;CHOOSE(MIN(4,COUNTIF($C$18:C137,C137)),"st","nd","rd","th"),"")</f>
        <v/>
      </c>
    </row>
    <row r="138" spans="10:10" x14ac:dyDescent="0.25">
      <c r="J138" s="164" t="str">
        <f>IFERROR(COUNTIF($C$18:C138,C138)&amp;CHOOSE(MIN(4,COUNTIF($C$18:C138,C138)),"st","nd","rd","th"),"")</f>
        <v/>
      </c>
    </row>
    <row r="139" spans="10:10" x14ac:dyDescent="0.25">
      <c r="J139" s="164" t="str">
        <f>IFERROR(COUNTIF($C$18:C139,C139)&amp;CHOOSE(MIN(4,COUNTIF($C$18:C139,C139)),"st","nd","rd","th"),"")</f>
        <v/>
      </c>
    </row>
    <row r="140" spans="10:10" x14ac:dyDescent="0.25">
      <c r="J140" s="164" t="str">
        <f>IFERROR(COUNTIF($C$18:C140,C140)&amp;CHOOSE(MIN(4,COUNTIF($C$18:C140,C140)),"st","nd","rd","th"),"")</f>
        <v/>
      </c>
    </row>
    <row r="141" spans="10:10" x14ac:dyDescent="0.25">
      <c r="J141" s="164" t="str">
        <f>IFERROR(COUNTIF($C$18:C141,C141)&amp;CHOOSE(MIN(4,COUNTIF($C$18:C141,C141)),"st","nd","rd","th"),"")</f>
        <v/>
      </c>
    </row>
    <row r="142" spans="10:10" x14ac:dyDescent="0.25">
      <c r="J142" s="164" t="str">
        <f>IFERROR(COUNTIF($C$18:C142,C142)&amp;CHOOSE(MIN(4,COUNTIF($C$18:C142,C142)),"st","nd","rd","th"),"")</f>
        <v/>
      </c>
    </row>
    <row r="143" spans="10:10" x14ac:dyDescent="0.25">
      <c r="J143" s="164" t="str">
        <f>IFERROR(COUNTIF($C$18:C143,C143)&amp;CHOOSE(MIN(4,COUNTIF($C$18:C143,C143)),"st","nd","rd","th"),"")</f>
        <v/>
      </c>
    </row>
    <row r="144" spans="10:10" x14ac:dyDescent="0.25">
      <c r="J144" s="164" t="str">
        <f>IFERROR(COUNTIF($C$18:C144,C144)&amp;CHOOSE(MIN(4,COUNTIF($C$18:C144,C144)),"st","nd","rd","th"),"")</f>
        <v/>
      </c>
    </row>
    <row r="145" spans="10:10" x14ac:dyDescent="0.25">
      <c r="J145" s="164" t="str">
        <f>IFERROR(COUNTIF($C$18:C145,C145)&amp;CHOOSE(MIN(4,COUNTIF($C$18:C145,C145)),"st","nd","rd","th"),"")</f>
        <v/>
      </c>
    </row>
    <row r="146" spans="10:10" x14ac:dyDescent="0.25">
      <c r="J146" s="164" t="str">
        <f>IFERROR(COUNTIF($C$18:C146,C146)&amp;CHOOSE(MIN(4,COUNTIF($C$18:C146,C146)),"st","nd","rd","th"),"")</f>
        <v/>
      </c>
    </row>
    <row r="147" spans="10:10" x14ac:dyDescent="0.25">
      <c r="J147" s="164" t="str">
        <f>IFERROR(COUNTIF($C$18:C147,C147)&amp;CHOOSE(MIN(4,COUNTIF($C$18:C147,C147)),"st","nd","rd","th"),"")</f>
        <v/>
      </c>
    </row>
    <row r="148" spans="10:10" x14ac:dyDescent="0.25">
      <c r="J148" s="164" t="str">
        <f>IFERROR(COUNTIF($C$18:C148,C148)&amp;CHOOSE(MIN(4,COUNTIF($C$18:C148,C148)),"st","nd","rd","th"),"")</f>
        <v/>
      </c>
    </row>
    <row r="149" spans="10:10" x14ac:dyDescent="0.25">
      <c r="J149" s="164" t="str">
        <f>IFERROR(COUNTIF($C$18:C149,C149)&amp;CHOOSE(MIN(4,COUNTIF($C$18:C149,C149)),"st","nd","rd","th"),"")</f>
        <v/>
      </c>
    </row>
    <row r="150" spans="10:10" x14ac:dyDescent="0.25">
      <c r="J150" s="164" t="str">
        <f>IFERROR(COUNTIF($C$18:C150,C150)&amp;CHOOSE(MIN(4,COUNTIF($C$18:C150,C150)),"st","nd","rd","th"),"")</f>
        <v/>
      </c>
    </row>
    <row r="151" spans="10:10" x14ac:dyDescent="0.25">
      <c r="J151" s="164" t="str">
        <f>IFERROR(COUNTIF($C$18:C151,C151)&amp;CHOOSE(MIN(4,COUNTIF($C$18:C151,C151)),"st","nd","rd","th"),"")</f>
        <v/>
      </c>
    </row>
    <row r="152" spans="10:10" x14ac:dyDescent="0.25">
      <c r="J152" s="164" t="str">
        <f>IFERROR(COUNTIF($C$18:C152,C152)&amp;CHOOSE(MIN(4,COUNTIF($C$18:C152,C152)),"st","nd","rd","th"),"")</f>
        <v/>
      </c>
    </row>
    <row r="153" spans="10:10" x14ac:dyDescent="0.25">
      <c r="J153" s="164" t="str">
        <f>IFERROR(COUNTIF($C$18:C153,C153)&amp;CHOOSE(MIN(4,COUNTIF($C$18:C153,C153)),"st","nd","rd","th"),"")</f>
        <v/>
      </c>
    </row>
    <row r="154" spans="10:10" x14ac:dyDescent="0.25">
      <c r="J154" s="164" t="str">
        <f>IFERROR(COUNTIF($C$18:C154,C154)&amp;CHOOSE(MIN(4,COUNTIF($C$18:C154,C154)),"st","nd","rd","th"),"")</f>
        <v/>
      </c>
    </row>
    <row r="155" spans="10:10" x14ac:dyDescent="0.25">
      <c r="J155" s="164" t="str">
        <f>IFERROR(COUNTIF($C$18:C155,C155)&amp;CHOOSE(MIN(4,COUNTIF($C$18:C155,C155)),"st","nd","rd","th"),"")</f>
        <v/>
      </c>
    </row>
    <row r="156" spans="10:10" x14ac:dyDescent="0.25">
      <c r="J156" s="164" t="str">
        <f>IFERROR(COUNTIF($C$18:C156,C156)&amp;CHOOSE(MIN(4,COUNTIF($C$18:C156,C156)),"st","nd","rd","th"),"")</f>
        <v/>
      </c>
    </row>
    <row r="157" spans="10:10" x14ac:dyDescent="0.25">
      <c r="J157" s="164" t="str">
        <f>IFERROR(COUNTIF($C$18:C157,C157)&amp;CHOOSE(MIN(4,COUNTIF($C$18:C157,C157)),"st","nd","rd","th"),"")</f>
        <v/>
      </c>
    </row>
    <row r="158" spans="10:10" x14ac:dyDescent="0.25">
      <c r="J158" s="164" t="str">
        <f>IFERROR(COUNTIF($C$18:C158,C158)&amp;CHOOSE(MIN(4,COUNTIF($C$18:C158,C158)),"st","nd","rd","th"),"")</f>
        <v/>
      </c>
    </row>
    <row r="159" spans="10:10" x14ac:dyDescent="0.25">
      <c r="J159" s="164" t="str">
        <f>IFERROR(COUNTIF($C$18:C159,C159)&amp;CHOOSE(MIN(4,COUNTIF($C$18:C159,C159)),"st","nd","rd","th"),"")</f>
        <v/>
      </c>
    </row>
    <row r="160" spans="10:10" x14ac:dyDescent="0.25">
      <c r="J160" s="164" t="str">
        <f>IFERROR(COUNTIF($C$18:C160,C160)&amp;CHOOSE(MIN(4,COUNTIF($C$18:C160,C160)),"st","nd","rd","th"),"")</f>
        <v/>
      </c>
    </row>
    <row r="161" spans="10:10" x14ac:dyDescent="0.25">
      <c r="J161" s="164" t="str">
        <f>IFERROR(COUNTIF($C$18:C161,C161)&amp;CHOOSE(MIN(4,COUNTIF($C$18:C161,C161)),"st","nd","rd","th"),"")</f>
        <v/>
      </c>
    </row>
    <row r="162" spans="10:10" x14ac:dyDescent="0.25">
      <c r="J162" s="164" t="str">
        <f>IFERROR(COUNTIF($C$18:C162,C162)&amp;CHOOSE(MIN(4,COUNTIF($C$18:C162,C162)),"st","nd","rd","th"),"")</f>
        <v/>
      </c>
    </row>
    <row r="163" spans="10:10" x14ac:dyDescent="0.25">
      <c r="J163" s="164" t="str">
        <f>IFERROR(COUNTIF($C$18:C163,C163)&amp;CHOOSE(MIN(4,COUNTIF($C$18:C163,C163)),"st","nd","rd","th"),"")</f>
        <v/>
      </c>
    </row>
    <row r="164" spans="10:10" x14ac:dyDescent="0.25">
      <c r="J164" s="164" t="str">
        <f>IFERROR(COUNTIF($C$18:C164,C164)&amp;CHOOSE(MIN(4,COUNTIF($C$18:C164,C164)),"st","nd","rd","th"),"")</f>
        <v/>
      </c>
    </row>
    <row r="165" spans="10:10" x14ac:dyDescent="0.25">
      <c r="J165" s="164" t="str">
        <f>IFERROR(COUNTIF($C$18:C165,C165)&amp;CHOOSE(MIN(4,COUNTIF($C$18:C165,C165)),"st","nd","rd","th"),"")</f>
        <v/>
      </c>
    </row>
    <row r="166" spans="10:10" x14ac:dyDescent="0.25">
      <c r="J166" s="164" t="str">
        <f>IFERROR(COUNTIF($C$18:C166,C166)&amp;CHOOSE(MIN(4,COUNTIF($C$18:C166,C166)),"st","nd","rd","th"),"")</f>
        <v/>
      </c>
    </row>
    <row r="167" spans="10:10" x14ac:dyDescent="0.25">
      <c r="J167" s="164" t="str">
        <f>IFERROR(COUNTIF($C$18:C167,C167)&amp;CHOOSE(MIN(4,COUNTIF($C$18:C167,C167)),"st","nd","rd","th"),"")</f>
        <v/>
      </c>
    </row>
    <row r="168" spans="10:10" x14ac:dyDescent="0.25">
      <c r="J168" s="164" t="str">
        <f>IFERROR(COUNTIF($C$18:C168,C168)&amp;CHOOSE(MIN(4,COUNTIF($C$18:C168,C168)),"st","nd","rd","th"),"")</f>
        <v/>
      </c>
    </row>
    <row r="169" spans="10:10" x14ac:dyDescent="0.25">
      <c r="J169" s="164" t="str">
        <f>IFERROR(COUNTIF($C$18:C169,C169)&amp;CHOOSE(MIN(4,COUNTIF($C$18:C169,C169)),"st","nd","rd","th"),"")</f>
        <v/>
      </c>
    </row>
    <row r="170" spans="10:10" x14ac:dyDescent="0.25">
      <c r="J170" s="164" t="str">
        <f>IFERROR(COUNTIF($C$18:C170,C170)&amp;CHOOSE(MIN(4,COUNTIF($C$18:C170,C170)),"st","nd","rd","th"),"")</f>
        <v/>
      </c>
    </row>
    <row r="171" spans="10:10" x14ac:dyDescent="0.25">
      <c r="J171" s="164" t="str">
        <f>IFERROR(COUNTIF($C$18:C171,C171)&amp;CHOOSE(MIN(4,COUNTIF($C$18:C171,C171)),"st","nd","rd","th"),"")</f>
        <v/>
      </c>
    </row>
    <row r="172" spans="10:10" x14ac:dyDescent="0.25">
      <c r="J172" s="164" t="str">
        <f>IFERROR(COUNTIF($C$18:C172,C172)&amp;CHOOSE(MIN(4,COUNTIF($C$18:C172,C172)),"st","nd","rd","th"),"")</f>
        <v/>
      </c>
    </row>
    <row r="173" spans="10:10" x14ac:dyDescent="0.25">
      <c r="J173" s="164" t="str">
        <f>IFERROR(COUNTIF($C$18:C173,C173)&amp;CHOOSE(MIN(4,COUNTIF($C$18:C173,C173)),"st","nd","rd","th"),"")</f>
        <v/>
      </c>
    </row>
    <row r="174" spans="10:10" x14ac:dyDescent="0.25">
      <c r="J174" s="164" t="str">
        <f>IFERROR(COUNTIF($C$18:C174,C174)&amp;CHOOSE(MIN(4,COUNTIF($C$18:C174,C174)),"st","nd","rd","th"),"")</f>
        <v/>
      </c>
    </row>
    <row r="175" spans="10:10" x14ac:dyDescent="0.25">
      <c r="J175" s="164" t="str">
        <f>IFERROR(COUNTIF($C$18:C175,C175)&amp;CHOOSE(MIN(4,COUNTIF($C$18:C175,C175)),"st","nd","rd","th"),"")</f>
        <v/>
      </c>
    </row>
    <row r="176" spans="10:10" x14ac:dyDescent="0.25">
      <c r="J176" s="164" t="str">
        <f>IFERROR(COUNTIF($C$18:C176,C176)&amp;CHOOSE(MIN(4,COUNTIF($C$18:C176,C176)),"st","nd","rd","th"),"")</f>
        <v/>
      </c>
    </row>
    <row r="177" spans="10:10" x14ac:dyDescent="0.25">
      <c r="J177" s="164" t="str">
        <f>IFERROR(COUNTIF($C$18:C177,C177)&amp;CHOOSE(MIN(4,COUNTIF($C$18:C177,C177)),"st","nd","rd","th"),"")</f>
        <v/>
      </c>
    </row>
    <row r="178" spans="10:10" x14ac:dyDescent="0.25">
      <c r="J178" s="164" t="str">
        <f>IFERROR(COUNTIF($C$18:C178,C178)&amp;CHOOSE(MIN(4,COUNTIF($C$18:C178,C178)),"st","nd","rd","th"),"")</f>
        <v/>
      </c>
    </row>
    <row r="179" spans="10:10" x14ac:dyDescent="0.25">
      <c r="J179" s="164" t="str">
        <f>IFERROR(COUNTIF($C$18:C179,C179)&amp;CHOOSE(MIN(4,COUNTIF($C$18:C179,C179)),"st","nd","rd","th"),"")</f>
        <v/>
      </c>
    </row>
    <row r="180" spans="10:10" x14ac:dyDescent="0.25">
      <c r="J180" s="164" t="str">
        <f>IFERROR(COUNTIF($C$18:C180,C180)&amp;CHOOSE(MIN(4,COUNTIF($C$18:C180,C180)),"st","nd","rd","th"),"")</f>
        <v/>
      </c>
    </row>
    <row r="181" spans="10:10" x14ac:dyDescent="0.25">
      <c r="J181" s="164" t="str">
        <f>IFERROR(COUNTIF($C$18:C181,C181)&amp;CHOOSE(MIN(4,COUNTIF($C$18:C181,C181)),"st","nd","rd","th"),"")</f>
        <v/>
      </c>
    </row>
    <row r="182" spans="10:10" x14ac:dyDescent="0.25">
      <c r="J182" s="164" t="str">
        <f>IFERROR(COUNTIF($C$18:C182,C182)&amp;CHOOSE(MIN(4,COUNTIF($C$18:C182,C182)),"st","nd","rd","th"),"")</f>
        <v/>
      </c>
    </row>
    <row r="183" spans="10:10" x14ac:dyDescent="0.25">
      <c r="J183" s="164" t="str">
        <f>IFERROR(COUNTIF($C$18:C183,C183)&amp;CHOOSE(MIN(4,COUNTIF($C$18:C183,C183)),"st","nd","rd","th"),"")</f>
        <v/>
      </c>
    </row>
    <row r="184" spans="10:10" x14ac:dyDescent="0.25">
      <c r="J184" s="164" t="str">
        <f>IFERROR(COUNTIF($C$18:C184,C184)&amp;CHOOSE(MIN(4,COUNTIF($C$18:C184,C184)),"st","nd","rd","th"),"")</f>
        <v/>
      </c>
    </row>
    <row r="185" spans="10:10" x14ac:dyDescent="0.25">
      <c r="J185" s="164" t="str">
        <f>IFERROR(COUNTIF($C$18:C185,C185)&amp;CHOOSE(MIN(4,COUNTIF($C$18:C185,C185)),"st","nd","rd","th"),"")</f>
        <v/>
      </c>
    </row>
    <row r="186" spans="10:10" x14ac:dyDescent="0.25">
      <c r="J186" s="164" t="str">
        <f>IFERROR(COUNTIF($C$18:C186,C186)&amp;CHOOSE(MIN(4,COUNTIF($C$18:C186,C186)),"st","nd","rd","th"),"")</f>
        <v/>
      </c>
    </row>
    <row r="187" spans="10:10" x14ac:dyDescent="0.25">
      <c r="J187" s="164" t="str">
        <f>IFERROR(COUNTIF($C$18:C187,C187)&amp;CHOOSE(MIN(4,COUNTIF($C$18:C187,C187)),"st","nd","rd","th"),"")</f>
        <v/>
      </c>
    </row>
    <row r="188" spans="10:10" x14ac:dyDescent="0.25">
      <c r="J188" s="164" t="str">
        <f>IFERROR(COUNTIF($C$18:C188,C188)&amp;CHOOSE(MIN(4,COUNTIF($C$18:C188,C188)),"st","nd","rd","th"),"")</f>
        <v/>
      </c>
    </row>
    <row r="189" spans="10:10" x14ac:dyDescent="0.25">
      <c r="J189" s="164" t="str">
        <f>IFERROR(COUNTIF($C$18:C189,C189)&amp;CHOOSE(MIN(4,COUNTIF($C$18:C189,C189)),"st","nd","rd","th"),"")</f>
        <v/>
      </c>
    </row>
    <row r="190" spans="10:10" x14ac:dyDescent="0.25">
      <c r="J190" s="164" t="str">
        <f>IFERROR(COUNTIF($C$18:C190,C190)&amp;CHOOSE(MIN(4,COUNTIF($C$18:C190,C190)),"st","nd","rd","th"),"")</f>
        <v/>
      </c>
    </row>
    <row r="191" spans="10:10" x14ac:dyDescent="0.25">
      <c r="J191" s="164" t="str">
        <f>IFERROR(COUNTIF($C$18:C191,C191)&amp;CHOOSE(MIN(4,COUNTIF($C$18:C191,C191)),"st","nd","rd","th"),"")</f>
        <v/>
      </c>
    </row>
    <row r="192" spans="10:10" x14ac:dyDescent="0.25">
      <c r="J192" s="164" t="str">
        <f>IFERROR(COUNTIF($C$18:C192,C192)&amp;CHOOSE(MIN(4,COUNTIF($C$18:C192,C192)),"st","nd","rd","th"),"")</f>
        <v/>
      </c>
    </row>
    <row r="193" spans="10:10" x14ac:dyDescent="0.25">
      <c r="J193" s="164" t="str">
        <f>IFERROR(COUNTIF($C$18:C193,C193)&amp;CHOOSE(MIN(4,COUNTIF($C$18:C193,C193)),"st","nd","rd","th"),"")</f>
        <v/>
      </c>
    </row>
    <row r="194" spans="10:10" x14ac:dyDescent="0.25">
      <c r="J194" s="164" t="str">
        <f>IFERROR(COUNTIF($C$18:C194,C194)&amp;CHOOSE(MIN(4,COUNTIF($C$18:C194,C194)),"st","nd","rd","th"),"")</f>
        <v/>
      </c>
    </row>
    <row r="195" spans="10:10" x14ac:dyDescent="0.25">
      <c r="J195" s="164" t="str">
        <f>IFERROR(COUNTIF($C$18:C195,C195)&amp;CHOOSE(MIN(4,COUNTIF($C$18:C195,C195)),"st","nd","rd","th"),"")</f>
        <v/>
      </c>
    </row>
    <row r="196" spans="10:10" x14ac:dyDescent="0.25">
      <c r="J196" s="164" t="str">
        <f>IFERROR(COUNTIF($C$18:C196,C196)&amp;CHOOSE(MIN(4,COUNTIF($C$18:C196,C196)),"st","nd","rd","th"),"")</f>
        <v/>
      </c>
    </row>
    <row r="197" spans="10:10" x14ac:dyDescent="0.25">
      <c r="J197" s="164" t="str">
        <f>IFERROR(COUNTIF($C$18:C197,C197)&amp;CHOOSE(MIN(4,COUNTIF($C$18:C197,C197)),"st","nd","rd","th"),"")</f>
        <v/>
      </c>
    </row>
    <row r="198" spans="10:10" x14ac:dyDescent="0.25">
      <c r="J198" s="164" t="str">
        <f>IFERROR(COUNTIF($C$18:C198,C198)&amp;CHOOSE(MIN(4,COUNTIF($C$18:C198,C198)),"st","nd","rd","th"),"")</f>
        <v/>
      </c>
    </row>
    <row r="199" spans="10:10" x14ac:dyDescent="0.25">
      <c r="J199" s="164" t="str">
        <f>IFERROR(COUNTIF($C$18:C199,C199)&amp;CHOOSE(MIN(4,COUNTIF($C$18:C199,C199)),"st","nd","rd","th"),"")</f>
        <v/>
      </c>
    </row>
    <row r="200" spans="10:10" x14ac:dyDescent="0.25">
      <c r="J200" s="164" t="str">
        <f>IFERROR(COUNTIF($C$18:C200,C200)&amp;CHOOSE(MIN(4,COUNTIF($C$18:C200,C200)),"st","nd","rd","th"),"")</f>
        <v/>
      </c>
    </row>
    <row r="201" spans="10:10" x14ac:dyDescent="0.25">
      <c r="J201" s="164" t="str">
        <f>IFERROR(COUNTIF($C$18:C201,C201)&amp;CHOOSE(MIN(4,COUNTIF($C$18:C201,C201)),"st","nd","rd","th"),"")</f>
        <v/>
      </c>
    </row>
    <row r="202" spans="10:10" x14ac:dyDescent="0.25">
      <c r="J202" s="164" t="str">
        <f>IFERROR(COUNTIF($C$18:C202,C202)&amp;CHOOSE(MIN(4,COUNTIF($C$18:C202,C202)),"st","nd","rd","th"),"")</f>
        <v/>
      </c>
    </row>
    <row r="203" spans="10:10" x14ac:dyDescent="0.25">
      <c r="J203" s="164" t="str">
        <f>IFERROR(COUNTIF($C$18:C203,C203)&amp;CHOOSE(MIN(4,COUNTIF($C$18:C203,C203)),"st","nd","rd","th"),"")</f>
        <v/>
      </c>
    </row>
    <row r="204" spans="10:10" x14ac:dyDescent="0.25">
      <c r="J204" s="164" t="str">
        <f>IFERROR(COUNTIF($C$18:C204,C204)&amp;CHOOSE(MIN(4,COUNTIF($C$18:C204,C204)),"st","nd","rd","th"),"")</f>
        <v/>
      </c>
    </row>
    <row r="205" spans="10:10" x14ac:dyDescent="0.25">
      <c r="J205" s="164" t="str">
        <f>IFERROR(COUNTIF($C$18:C205,C205)&amp;CHOOSE(MIN(4,COUNTIF($C$18:C205,C205)),"st","nd","rd","th"),"")</f>
        <v/>
      </c>
    </row>
    <row r="206" spans="10:10" x14ac:dyDescent="0.25">
      <c r="J206" s="164" t="str">
        <f>IFERROR(COUNTIF($C$18:C206,C206)&amp;CHOOSE(MIN(4,COUNTIF($C$18:C206,C206)),"st","nd","rd","th"),"")</f>
        <v/>
      </c>
    </row>
    <row r="207" spans="10:10" x14ac:dyDescent="0.25">
      <c r="J207" s="164" t="str">
        <f>IFERROR(COUNTIF($C$18:C207,C207)&amp;CHOOSE(MIN(4,COUNTIF($C$18:C207,C207)),"st","nd","rd","th"),"")</f>
        <v/>
      </c>
    </row>
    <row r="208" spans="10:10" x14ac:dyDescent="0.25">
      <c r="J208" s="164" t="str">
        <f>IFERROR(COUNTIF($C$18:C208,C208)&amp;CHOOSE(MIN(4,COUNTIF($C$18:C208,C208)),"st","nd","rd","th"),"")</f>
        <v/>
      </c>
    </row>
    <row r="209" spans="10:10" x14ac:dyDescent="0.25">
      <c r="J209" s="164" t="str">
        <f>IFERROR(COUNTIF($C$18:C209,C209)&amp;CHOOSE(MIN(4,COUNTIF($C$18:C209,C209)),"st","nd","rd","th"),"")</f>
        <v/>
      </c>
    </row>
    <row r="210" spans="10:10" x14ac:dyDescent="0.25">
      <c r="J210" s="164" t="str">
        <f>IFERROR(COUNTIF($C$18:C210,C210)&amp;CHOOSE(MIN(4,COUNTIF($C$18:C210,C210)),"st","nd","rd","th"),"")</f>
        <v/>
      </c>
    </row>
    <row r="211" spans="10:10" x14ac:dyDescent="0.25">
      <c r="J211" s="164" t="str">
        <f>IFERROR(COUNTIF($C$18:C211,C211)&amp;CHOOSE(MIN(4,COUNTIF($C$18:C211,C211)),"st","nd","rd","th"),"")</f>
        <v/>
      </c>
    </row>
    <row r="212" spans="10:10" x14ac:dyDescent="0.25">
      <c r="J212" s="164" t="str">
        <f>IFERROR(COUNTIF($C$18:C212,C212)&amp;CHOOSE(MIN(4,COUNTIF($C$18:C212,C212)),"st","nd","rd","th"),"")</f>
        <v/>
      </c>
    </row>
    <row r="213" spans="10:10" x14ac:dyDescent="0.25">
      <c r="J213" s="164" t="str">
        <f>IFERROR(COUNTIF($C$18:C213,C213)&amp;CHOOSE(MIN(4,COUNTIF($C$18:C213,C213)),"st","nd","rd","th"),"")</f>
        <v/>
      </c>
    </row>
    <row r="214" spans="10:10" x14ac:dyDescent="0.25">
      <c r="J214" s="164" t="str">
        <f>IFERROR(COUNTIF($C$18:C214,C214)&amp;CHOOSE(MIN(4,COUNTIF($C$18:C214,C214)),"st","nd","rd","th"),"")</f>
        <v/>
      </c>
    </row>
    <row r="215" spans="10:10" x14ac:dyDescent="0.25">
      <c r="J215" s="164" t="str">
        <f>IFERROR(COUNTIF($C$18:C215,C215)&amp;CHOOSE(MIN(4,COUNTIF($C$18:C215,C215)),"st","nd","rd","th"),"")</f>
        <v/>
      </c>
    </row>
    <row r="216" spans="10:10" x14ac:dyDescent="0.25">
      <c r="J216" s="164" t="str">
        <f>IFERROR(COUNTIF($C$18:C216,C216)&amp;CHOOSE(MIN(4,COUNTIF($C$18:C216,C216)),"st","nd","rd","th"),"")</f>
        <v/>
      </c>
    </row>
    <row r="217" spans="10:10" x14ac:dyDescent="0.25">
      <c r="J217" s="164" t="str">
        <f>IFERROR(COUNTIF($C$18:C217,C217)&amp;CHOOSE(MIN(4,COUNTIF($C$18:C217,C217)),"st","nd","rd","th"),"")</f>
        <v/>
      </c>
    </row>
    <row r="218" spans="10:10" x14ac:dyDescent="0.25">
      <c r="J218" s="164" t="str">
        <f>IFERROR(COUNTIF($C$18:C218,C218)&amp;CHOOSE(MIN(4,COUNTIF($C$18:C218,C218)),"st","nd","rd","th"),"")</f>
        <v/>
      </c>
    </row>
    <row r="219" spans="10:10" x14ac:dyDescent="0.25">
      <c r="J219" s="164" t="str">
        <f>IFERROR(COUNTIF($C$18:C219,C219)&amp;CHOOSE(MIN(4,COUNTIF($C$18:C219,C219)),"st","nd","rd","th"),"")</f>
        <v/>
      </c>
    </row>
    <row r="220" spans="10:10" x14ac:dyDescent="0.25">
      <c r="J220" s="164" t="str">
        <f>IFERROR(COUNTIF($C$18:C220,C220)&amp;CHOOSE(MIN(4,COUNTIF($C$18:C220,C220)),"st","nd","rd","th"),"")</f>
        <v/>
      </c>
    </row>
    <row r="221" spans="10:10" x14ac:dyDescent="0.25">
      <c r="J221" s="164" t="str">
        <f>IFERROR(COUNTIF($C$18:C221,C221)&amp;CHOOSE(MIN(4,COUNTIF($C$18:C221,C221)),"st","nd","rd","th"),"")</f>
        <v/>
      </c>
    </row>
    <row r="222" spans="10:10" x14ac:dyDescent="0.25">
      <c r="J222" s="164" t="str">
        <f>IFERROR(COUNTIF($C$18:C222,C222)&amp;CHOOSE(MIN(4,COUNTIF($C$18:C222,C222)),"st","nd","rd","th"),"")</f>
        <v/>
      </c>
    </row>
    <row r="223" spans="10:10" x14ac:dyDescent="0.25">
      <c r="J223" s="164" t="str">
        <f>IFERROR(COUNTIF($C$18:C223,C223)&amp;CHOOSE(MIN(4,COUNTIF($C$18:C223,C223)),"st","nd","rd","th"),"")</f>
        <v/>
      </c>
    </row>
    <row r="224" spans="10:10" x14ac:dyDescent="0.25">
      <c r="J224" s="164" t="str">
        <f>IFERROR(COUNTIF($C$18:C224,C224)&amp;CHOOSE(MIN(4,COUNTIF($C$18:C224,C224)),"st","nd","rd","th"),"")</f>
        <v/>
      </c>
    </row>
    <row r="225" spans="10:10" x14ac:dyDescent="0.25">
      <c r="J225" s="164" t="str">
        <f>IFERROR(COUNTIF($C$18:C225,C225)&amp;CHOOSE(MIN(4,COUNTIF($C$18:C225,C225)),"st","nd","rd","th"),"")</f>
        <v/>
      </c>
    </row>
    <row r="226" spans="10:10" x14ac:dyDescent="0.25">
      <c r="J226" s="164" t="str">
        <f>IFERROR(COUNTIF($C$18:C226,C226)&amp;CHOOSE(MIN(4,COUNTIF($C$18:C226,C226)),"st","nd","rd","th"),"")</f>
        <v/>
      </c>
    </row>
    <row r="227" spans="10:10" x14ac:dyDescent="0.25">
      <c r="J227" s="164" t="str">
        <f>IFERROR(COUNTIF($C$18:C227,C227)&amp;CHOOSE(MIN(4,COUNTIF($C$18:C227,C227)),"st","nd","rd","th"),"")</f>
        <v/>
      </c>
    </row>
    <row r="228" spans="10:10" x14ac:dyDescent="0.25">
      <c r="J228" s="164" t="str">
        <f>IFERROR(COUNTIF($C$18:C228,C228)&amp;CHOOSE(MIN(4,COUNTIF($C$18:C228,C228)),"st","nd","rd","th"),"")</f>
        <v/>
      </c>
    </row>
    <row r="229" spans="10:10" x14ac:dyDescent="0.25">
      <c r="J229" s="164" t="str">
        <f>IFERROR(COUNTIF($C$18:C229,C229)&amp;CHOOSE(MIN(4,COUNTIF($C$18:C229,C229)),"st","nd","rd","th"),"")</f>
        <v/>
      </c>
    </row>
    <row r="230" spans="10:10" x14ac:dyDescent="0.25">
      <c r="J230" s="164" t="str">
        <f>IFERROR(COUNTIF($C$18:C230,C230)&amp;CHOOSE(MIN(4,COUNTIF($C$18:C230,C230)),"st","nd","rd","th"),"")</f>
        <v/>
      </c>
    </row>
    <row r="231" spans="10:10" x14ac:dyDescent="0.25">
      <c r="J231" s="164" t="str">
        <f>IFERROR(COUNTIF($C$18:C231,C231)&amp;CHOOSE(MIN(4,COUNTIF($C$18:C231,C231)),"st","nd","rd","th"),"")</f>
        <v/>
      </c>
    </row>
    <row r="232" spans="10:10" x14ac:dyDescent="0.25">
      <c r="J232" s="164" t="str">
        <f>IFERROR(COUNTIF($C$18:C232,C232)&amp;CHOOSE(MIN(4,COUNTIF($C$18:C232,C232)),"st","nd","rd","th"),"")</f>
        <v/>
      </c>
    </row>
    <row r="233" spans="10:10" x14ac:dyDescent="0.25">
      <c r="J233" s="164" t="str">
        <f>IFERROR(COUNTIF($C$18:C233,C233)&amp;CHOOSE(MIN(4,COUNTIF($C$18:C233,C233)),"st","nd","rd","th"),"")</f>
        <v/>
      </c>
    </row>
    <row r="234" spans="10:10" x14ac:dyDescent="0.25">
      <c r="J234" s="164" t="str">
        <f>IFERROR(COUNTIF($C$18:C234,C234)&amp;CHOOSE(MIN(4,COUNTIF($C$18:C234,C234)),"st","nd","rd","th"),"")</f>
        <v/>
      </c>
    </row>
    <row r="235" spans="10:10" x14ac:dyDescent="0.25">
      <c r="J235" s="164" t="str">
        <f>IFERROR(COUNTIF($C$18:C235,C235)&amp;CHOOSE(MIN(4,COUNTIF($C$18:C235,C235)),"st","nd","rd","th"),"")</f>
        <v/>
      </c>
    </row>
    <row r="236" spans="10:10" x14ac:dyDescent="0.25">
      <c r="J236" s="164" t="str">
        <f>IFERROR(COUNTIF($C$18:C236,C236)&amp;CHOOSE(MIN(4,COUNTIF($C$18:C236,C236)),"st","nd","rd","th"),"")</f>
        <v/>
      </c>
    </row>
    <row r="237" spans="10:10" x14ac:dyDescent="0.25">
      <c r="J237" s="164" t="str">
        <f>IFERROR(COUNTIF($C$18:C237,C237)&amp;CHOOSE(MIN(4,COUNTIF($C$18:C237,C237)),"st","nd","rd","th"),"")</f>
        <v/>
      </c>
    </row>
    <row r="238" spans="10:10" x14ac:dyDescent="0.25">
      <c r="J238" s="164" t="str">
        <f>IFERROR(COUNTIF($C$18:C238,C238)&amp;CHOOSE(MIN(4,COUNTIF($C$18:C238,C238)),"st","nd","rd","th"),"")</f>
        <v/>
      </c>
    </row>
    <row r="239" spans="10:10" x14ac:dyDescent="0.25">
      <c r="J239" s="164" t="str">
        <f>IFERROR(COUNTIF($C$18:C239,C239)&amp;CHOOSE(MIN(4,COUNTIF($C$18:C239,C239)),"st","nd","rd","th"),"")</f>
        <v/>
      </c>
    </row>
    <row r="240" spans="10:10" x14ac:dyDescent="0.25">
      <c r="J240" s="164" t="str">
        <f>IFERROR(COUNTIF($C$18:C240,C240)&amp;CHOOSE(MIN(4,COUNTIF($C$18:C240,C240)),"st","nd","rd","th"),"")</f>
        <v/>
      </c>
    </row>
    <row r="241" spans="10:10" x14ac:dyDescent="0.25">
      <c r="J241" s="164" t="str">
        <f>IFERROR(COUNTIF($C$18:C241,C241)&amp;CHOOSE(MIN(4,COUNTIF($C$18:C241,C241)),"st","nd","rd","th"),"")</f>
        <v/>
      </c>
    </row>
    <row r="242" spans="10:10" x14ac:dyDescent="0.25">
      <c r="J242" s="164" t="str">
        <f>IFERROR(COUNTIF($C$18:C242,C242)&amp;CHOOSE(MIN(4,COUNTIF($C$18:C242,C242)),"st","nd","rd","th"),"")</f>
        <v/>
      </c>
    </row>
    <row r="243" spans="10:10" x14ac:dyDescent="0.25">
      <c r="J243" s="164" t="str">
        <f>IFERROR(COUNTIF($C$18:C243,C243)&amp;CHOOSE(MIN(4,COUNTIF($C$18:C243,C243)),"st","nd","rd","th"),"")</f>
        <v/>
      </c>
    </row>
    <row r="244" spans="10:10" x14ac:dyDescent="0.25">
      <c r="J244" s="164" t="str">
        <f>IFERROR(COUNTIF($C$18:C244,C244)&amp;CHOOSE(MIN(4,COUNTIF($C$18:C244,C244)),"st","nd","rd","th"),"")</f>
        <v/>
      </c>
    </row>
    <row r="245" spans="10:10" x14ac:dyDescent="0.25">
      <c r="J245" s="164" t="str">
        <f>IFERROR(COUNTIF($C$18:C245,C245)&amp;CHOOSE(MIN(4,COUNTIF($C$18:C245,C245)),"st","nd","rd","th"),"")</f>
        <v/>
      </c>
    </row>
    <row r="246" spans="10:10" x14ac:dyDescent="0.25">
      <c r="J246" s="164" t="str">
        <f>IFERROR(COUNTIF($C$18:C246,C246)&amp;CHOOSE(MIN(4,COUNTIF($C$18:C246,C246)),"st","nd","rd","th"),"")</f>
        <v/>
      </c>
    </row>
    <row r="247" spans="10:10" x14ac:dyDescent="0.25">
      <c r="J247" s="164" t="str">
        <f>IFERROR(COUNTIF($C$18:C247,C247)&amp;CHOOSE(MIN(4,COUNTIF($C$18:C247,C247)),"st","nd","rd","th"),"")</f>
        <v/>
      </c>
    </row>
    <row r="248" spans="10:10" x14ac:dyDescent="0.25">
      <c r="J248" s="164" t="str">
        <f>IFERROR(COUNTIF($C$18:C248,C248)&amp;CHOOSE(MIN(4,COUNTIF($C$18:C248,C248)),"st","nd","rd","th"),"")</f>
        <v/>
      </c>
    </row>
    <row r="249" spans="10:10" x14ac:dyDescent="0.25">
      <c r="J249" s="164" t="str">
        <f>IFERROR(COUNTIF($C$18:C249,C249)&amp;CHOOSE(MIN(4,COUNTIF($C$18:C249,C249)),"st","nd","rd","th"),"")</f>
        <v/>
      </c>
    </row>
    <row r="250" spans="10:10" x14ac:dyDescent="0.25">
      <c r="J250" s="164" t="str">
        <f>IFERROR(COUNTIF($C$18:C250,C250)&amp;CHOOSE(MIN(4,COUNTIF($C$18:C250,C250)),"st","nd","rd","th"),"")</f>
        <v/>
      </c>
    </row>
    <row r="251" spans="10:10" x14ac:dyDescent="0.25">
      <c r="J251" s="164" t="str">
        <f>IFERROR(COUNTIF($C$18:C251,C251)&amp;CHOOSE(MIN(4,COUNTIF($C$18:C251,C251)),"st","nd","rd","th"),"")</f>
        <v/>
      </c>
    </row>
    <row r="252" spans="10:10" x14ac:dyDescent="0.25">
      <c r="J252" s="164" t="str">
        <f>IFERROR(COUNTIF($C$18:C252,C252)&amp;CHOOSE(MIN(4,COUNTIF($C$18:C252,C252)),"st","nd","rd","th"),"")</f>
        <v/>
      </c>
    </row>
    <row r="253" spans="10:10" x14ac:dyDescent="0.25">
      <c r="J253" s="164" t="str">
        <f>IFERROR(COUNTIF($C$18:C253,C253)&amp;CHOOSE(MIN(4,COUNTIF($C$18:C253,C253)),"st","nd","rd","th"),"")</f>
        <v/>
      </c>
    </row>
    <row r="254" spans="10:10" x14ac:dyDescent="0.25">
      <c r="J254" s="164" t="str">
        <f>IFERROR(COUNTIF($C$18:C254,C254)&amp;CHOOSE(MIN(4,COUNTIF($C$18:C254,C254)),"st","nd","rd","th"),"")</f>
        <v/>
      </c>
    </row>
    <row r="255" spans="10:10" x14ac:dyDescent="0.25">
      <c r="J255" s="164" t="str">
        <f>IFERROR(COUNTIF($C$18:C255,C255)&amp;CHOOSE(MIN(4,COUNTIF($C$18:C255,C255)),"st","nd","rd","th"),"")</f>
        <v/>
      </c>
    </row>
    <row r="256" spans="10:10" x14ac:dyDescent="0.25">
      <c r="J256" s="164" t="str">
        <f>IFERROR(COUNTIF($C$18:C256,C256)&amp;CHOOSE(MIN(4,COUNTIF($C$18:C256,C256)),"st","nd","rd","th"),"")</f>
        <v/>
      </c>
    </row>
    <row r="257" spans="10:10" x14ac:dyDescent="0.25">
      <c r="J257" s="164" t="str">
        <f>IFERROR(COUNTIF($C$18:C257,C257)&amp;CHOOSE(MIN(4,COUNTIF($C$18:C257,C257)),"st","nd","rd","th"),"")</f>
        <v/>
      </c>
    </row>
    <row r="258" spans="10:10" x14ac:dyDescent="0.25">
      <c r="J258" s="164" t="str">
        <f>IFERROR(COUNTIF($C$18:C258,C258)&amp;CHOOSE(MIN(4,COUNTIF($C$18:C258,C258)),"st","nd","rd","th"),"")</f>
        <v/>
      </c>
    </row>
    <row r="259" spans="10:10" x14ac:dyDescent="0.25">
      <c r="J259" s="164" t="str">
        <f>IFERROR(COUNTIF($C$18:C259,C259)&amp;CHOOSE(MIN(4,COUNTIF($C$18:C259,C259)),"st","nd","rd","th"),"")</f>
        <v/>
      </c>
    </row>
    <row r="260" spans="10:10" x14ac:dyDescent="0.25">
      <c r="J260" s="164" t="str">
        <f>IFERROR(COUNTIF($C$18:C260,C260)&amp;CHOOSE(MIN(4,COUNTIF($C$18:C260,C260)),"st","nd","rd","th"),"")</f>
        <v/>
      </c>
    </row>
    <row r="261" spans="10:10" x14ac:dyDescent="0.25">
      <c r="J261" s="164" t="str">
        <f>IFERROR(COUNTIF($C$18:C261,C261)&amp;CHOOSE(MIN(4,COUNTIF($C$18:C261,C261)),"st","nd","rd","th"),"")</f>
        <v/>
      </c>
    </row>
    <row r="262" spans="10:10" x14ac:dyDescent="0.25">
      <c r="J262" s="164" t="str">
        <f>IFERROR(COUNTIF($C$18:C262,C262)&amp;CHOOSE(MIN(4,COUNTIF($C$18:C262,C262)),"st","nd","rd","th"),"")</f>
        <v/>
      </c>
    </row>
    <row r="263" spans="10:10" x14ac:dyDescent="0.25">
      <c r="J263" s="164" t="str">
        <f>IFERROR(COUNTIF($C$18:C263,C263)&amp;CHOOSE(MIN(4,COUNTIF($C$18:C263,C263)),"st","nd","rd","th"),"")</f>
        <v/>
      </c>
    </row>
    <row r="264" spans="10:10" x14ac:dyDescent="0.25">
      <c r="J264" s="164" t="str">
        <f>IFERROR(COUNTIF($C$18:C264,C264)&amp;CHOOSE(MIN(4,COUNTIF($C$18:C264,C264)),"st","nd","rd","th"),"")</f>
        <v/>
      </c>
    </row>
    <row r="265" spans="10:10" x14ac:dyDescent="0.25">
      <c r="J265" s="164" t="str">
        <f>IFERROR(COUNTIF($C$18:C265,C265)&amp;CHOOSE(MIN(4,COUNTIF($C$18:C265,C265)),"st","nd","rd","th"),"")</f>
        <v/>
      </c>
    </row>
    <row r="266" spans="10:10" x14ac:dyDescent="0.25">
      <c r="J266" s="164" t="str">
        <f>IFERROR(COUNTIF($C$18:C266,C266)&amp;CHOOSE(MIN(4,COUNTIF($C$18:C266,C266)),"st","nd","rd","th"),"")</f>
        <v/>
      </c>
    </row>
    <row r="267" spans="10:10" x14ac:dyDescent="0.25">
      <c r="J267" s="164" t="str">
        <f>IFERROR(COUNTIF($C$18:C267,C267)&amp;CHOOSE(MIN(4,COUNTIF($C$18:C267,C267)),"st","nd","rd","th"),"")</f>
        <v/>
      </c>
    </row>
    <row r="268" spans="10:10" x14ac:dyDescent="0.25">
      <c r="J268" s="164" t="str">
        <f>IFERROR(COUNTIF($C$18:C268,C268)&amp;CHOOSE(MIN(4,COUNTIF($C$18:C268,C268)),"st","nd","rd","th"),"")</f>
        <v/>
      </c>
    </row>
    <row r="269" spans="10:10" x14ac:dyDescent="0.25">
      <c r="J269" s="164" t="str">
        <f>IFERROR(COUNTIF($C$18:C269,C269)&amp;CHOOSE(MIN(4,COUNTIF($C$18:C269,C269)),"st","nd","rd","th"),"")</f>
        <v/>
      </c>
    </row>
    <row r="270" spans="10:10" x14ac:dyDescent="0.25">
      <c r="J270" s="164" t="str">
        <f>IFERROR(COUNTIF($C$18:C270,C270)&amp;CHOOSE(MIN(4,COUNTIF($C$18:C270,C270)),"st","nd","rd","th"),"")</f>
        <v/>
      </c>
    </row>
    <row r="271" spans="10:10" x14ac:dyDescent="0.25">
      <c r="J271" s="164" t="str">
        <f>IFERROR(COUNTIF($C$18:C271,C271)&amp;CHOOSE(MIN(4,COUNTIF($C$18:C271,C271)),"st","nd","rd","th"),"")</f>
        <v/>
      </c>
    </row>
    <row r="272" spans="10:10" x14ac:dyDescent="0.25">
      <c r="J272" s="164" t="str">
        <f>IFERROR(COUNTIF($C$18:C272,C272)&amp;CHOOSE(MIN(4,COUNTIF($C$18:C272,C272)),"st","nd","rd","th"),"")</f>
        <v/>
      </c>
    </row>
    <row r="273" spans="10:10" x14ac:dyDescent="0.25">
      <c r="J273" s="164" t="str">
        <f>IFERROR(COUNTIF($C$18:C273,C273)&amp;CHOOSE(MIN(4,COUNTIF($C$18:C273,C273)),"st","nd","rd","th"),"")</f>
        <v/>
      </c>
    </row>
    <row r="274" spans="10:10" x14ac:dyDescent="0.25">
      <c r="J274" s="164" t="str">
        <f>IFERROR(COUNTIF($C$18:C274,C274)&amp;CHOOSE(MIN(4,COUNTIF($C$18:C274,C274)),"st","nd","rd","th"),"")</f>
        <v/>
      </c>
    </row>
    <row r="275" spans="10:10" x14ac:dyDescent="0.25">
      <c r="J275" s="164" t="str">
        <f>IFERROR(COUNTIF($C$18:C275,C275)&amp;CHOOSE(MIN(4,COUNTIF($C$18:C275,C275)),"st","nd","rd","th"),"")</f>
        <v/>
      </c>
    </row>
    <row r="276" spans="10:10" x14ac:dyDescent="0.25">
      <c r="J276" s="164" t="str">
        <f>IFERROR(COUNTIF($C$18:C276,C276)&amp;CHOOSE(MIN(4,COUNTIF($C$18:C276,C276)),"st","nd","rd","th"),"")</f>
        <v/>
      </c>
    </row>
    <row r="277" spans="10:10" x14ac:dyDescent="0.25">
      <c r="J277" s="164" t="str">
        <f>IFERROR(COUNTIF($C$18:C277,C277)&amp;CHOOSE(MIN(4,COUNTIF($C$18:C277,C277)),"st","nd","rd","th"),"")</f>
        <v/>
      </c>
    </row>
    <row r="278" spans="10:10" x14ac:dyDescent="0.25">
      <c r="J278" s="164" t="str">
        <f>IFERROR(COUNTIF($C$18:C278,C278)&amp;CHOOSE(MIN(4,COUNTIF($C$18:C278,C278)),"st","nd","rd","th"),"")</f>
        <v/>
      </c>
    </row>
    <row r="279" spans="10:10" x14ac:dyDescent="0.25">
      <c r="J279" s="164" t="str">
        <f>IFERROR(COUNTIF($C$18:C279,C279)&amp;CHOOSE(MIN(4,COUNTIF($C$18:C279,C279)),"st","nd","rd","th"),"")</f>
        <v/>
      </c>
    </row>
    <row r="280" spans="10:10" x14ac:dyDescent="0.25">
      <c r="J280" s="164" t="str">
        <f>IFERROR(COUNTIF($C$18:C280,C280)&amp;CHOOSE(MIN(4,COUNTIF($C$18:C280,C280)),"st","nd","rd","th"),"")</f>
        <v/>
      </c>
    </row>
    <row r="281" spans="10:10" x14ac:dyDescent="0.25">
      <c r="J281" s="164" t="str">
        <f>IFERROR(COUNTIF($C$18:C281,C281)&amp;CHOOSE(MIN(4,COUNTIF($C$18:C281,C281)),"st","nd","rd","th"),"")</f>
        <v/>
      </c>
    </row>
    <row r="282" spans="10:10" x14ac:dyDescent="0.25">
      <c r="J282" s="164" t="str">
        <f>IFERROR(COUNTIF($C$18:C282,C282)&amp;CHOOSE(MIN(4,COUNTIF($C$18:C282,C282)),"st","nd","rd","th"),"")</f>
        <v/>
      </c>
    </row>
    <row r="283" spans="10:10" x14ac:dyDescent="0.25">
      <c r="J283" s="164" t="str">
        <f>IFERROR(COUNTIF($C$18:C283,C283)&amp;CHOOSE(MIN(4,COUNTIF($C$18:C283,C283)),"st","nd","rd","th"),"")</f>
        <v/>
      </c>
    </row>
    <row r="284" spans="10:10" x14ac:dyDescent="0.25">
      <c r="J284" s="164" t="str">
        <f>IFERROR(COUNTIF($C$18:C284,C284)&amp;CHOOSE(MIN(4,COUNTIF($C$18:C284,C284)),"st","nd","rd","th"),"")</f>
        <v/>
      </c>
    </row>
    <row r="285" spans="10:10" x14ac:dyDescent="0.25">
      <c r="J285" s="164" t="str">
        <f>IFERROR(COUNTIF($C$18:C285,C285)&amp;CHOOSE(MIN(4,COUNTIF($C$18:C285,C285)),"st","nd","rd","th"),"")</f>
        <v/>
      </c>
    </row>
    <row r="286" spans="10:10" x14ac:dyDescent="0.25">
      <c r="J286" s="164" t="str">
        <f>IFERROR(COUNTIF($C$18:C286,C286)&amp;CHOOSE(MIN(4,COUNTIF($C$18:C286,C286)),"st","nd","rd","th"),"")</f>
        <v/>
      </c>
    </row>
    <row r="287" spans="10:10" x14ac:dyDescent="0.25">
      <c r="J287" s="164" t="str">
        <f>IFERROR(COUNTIF($C$18:C287,C287)&amp;CHOOSE(MIN(4,COUNTIF($C$18:C287,C287)),"st","nd","rd","th"),"")</f>
        <v/>
      </c>
    </row>
    <row r="288" spans="10:10" x14ac:dyDescent="0.25">
      <c r="J288" s="164" t="str">
        <f>IFERROR(COUNTIF($C$18:C288,C288)&amp;CHOOSE(MIN(4,COUNTIF($C$18:C288,C288)),"st","nd","rd","th"),"")</f>
        <v/>
      </c>
    </row>
    <row r="289" spans="10:10" x14ac:dyDescent="0.25">
      <c r="J289" s="164" t="str">
        <f>IFERROR(COUNTIF($C$18:C289,C289)&amp;CHOOSE(MIN(4,COUNTIF($C$18:C289,C289)),"st","nd","rd","th"),"")</f>
        <v/>
      </c>
    </row>
    <row r="290" spans="10:10" x14ac:dyDescent="0.25">
      <c r="J290" s="164" t="str">
        <f>IFERROR(COUNTIF($C$18:C290,C290)&amp;CHOOSE(MIN(4,COUNTIF($C$18:C290,C290)),"st","nd","rd","th"),"")</f>
        <v/>
      </c>
    </row>
    <row r="291" spans="10:10" x14ac:dyDescent="0.25">
      <c r="J291" s="164" t="str">
        <f>IFERROR(COUNTIF($C$18:C291,C291)&amp;CHOOSE(MIN(4,COUNTIF($C$18:C291,C291)),"st","nd","rd","th"),"")</f>
        <v/>
      </c>
    </row>
    <row r="292" spans="10:10" x14ac:dyDescent="0.25">
      <c r="J292" s="164" t="str">
        <f>IFERROR(COUNTIF($C$18:C292,C292)&amp;CHOOSE(MIN(4,COUNTIF($C$18:C292,C292)),"st","nd","rd","th"),"")</f>
        <v/>
      </c>
    </row>
    <row r="293" spans="10:10" x14ac:dyDescent="0.25">
      <c r="J293" s="164" t="str">
        <f>IFERROR(COUNTIF($C$18:C293,C293)&amp;CHOOSE(MIN(4,COUNTIF($C$18:C293,C293)),"st","nd","rd","th"),"")</f>
        <v/>
      </c>
    </row>
    <row r="294" spans="10:10" x14ac:dyDescent="0.25">
      <c r="J294" s="164" t="str">
        <f>IFERROR(COUNTIF($C$18:C294,C294)&amp;CHOOSE(MIN(4,COUNTIF($C$18:C294,C294)),"st","nd","rd","th"),"")</f>
        <v/>
      </c>
    </row>
    <row r="295" spans="10:10" x14ac:dyDescent="0.25">
      <c r="J295" s="164" t="str">
        <f>IFERROR(COUNTIF($C$18:C295,C295)&amp;CHOOSE(MIN(4,COUNTIF($C$18:C295,C295)),"st","nd","rd","th"),"")</f>
        <v/>
      </c>
    </row>
    <row r="296" spans="10:10" x14ac:dyDescent="0.25">
      <c r="J296" s="164" t="str">
        <f>IFERROR(COUNTIF($C$18:C296,C296)&amp;CHOOSE(MIN(4,COUNTIF($C$18:C296,C296)),"st","nd","rd","th"),"")</f>
        <v/>
      </c>
    </row>
    <row r="297" spans="10:10" x14ac:dyDescent="0.25">
      <c r="J297" s="164" t="str">
        <f>IFERROR(COUNTIF($C$18:C297,C297)&amp;CHOOSE(MIN(4,COUNTIF($C$18:C297,C297)),"st","nd","rd","th"),"")</f>
        <v/>
      </c>
    </row>
    <row r="298" spans="10:10" x14ac:dyDescent="0.25">
      <c r="J298" s="164" t="str">
        <f>IFERROR(COUNTIF($C$18:C298,C298)&amp;CHOOSE(MIN(4,COUNTIF($C$18:C298,C298)),"st","nd","rd","th"),"")</f>
        <v/>
      </c>
    </row>
    <row r="299" spans="10:10" x14ac:dyDescent="0.25">
      <c r="J299" s="164" t="str">
        <f>IFERROR(COUNTIF($C$18:C299,C299)&amp;CHOOSE(MIN(4,COUNTIF($C$18:C299,C299)),"st","nd","rd","th"),"")</f>
        <v/>
      </c>
    </row>
    <row r="300" spans="10:10" x14ac:dyDescent="0.25">
      <c r="J300" s="164" t="str">
        <f>IFERROR(COUNTIF($C$18:C300,C300)&amp;CHOOSE(MIN(4,COUNTIF($C$18:C300,C300)),"st","nd","rd","th"),"")</f>
        <v/>
      </c>
    </row>
    <row r="301" spans="10:10" x14ac:dyDescent="0.25">
      <c r="J301" s="164" t="str">
        <f>IFERROR(COUNTIF($C$18:C301,C301)&amp;CHOOSE(MIN(4,COUNTIF($C$18:C301,C301)),"st","nd","rd","th"),"")</f>
        <v/>
      </c>
    </row>
    <row r="302" spans="10:10" x14ac:dyDescent="0.25">
      <c r="J302" s="164" t="str">
        <f>IFERROR(COUNTIF($C$18:C302,C302)&amp;CHOOSE(MIN(4,COUNTIF($C$18:C302,C302)),"st","nd","rd","th"),"")</f>
        <v/>
      </c>
    </row>
    <row r="303" spans="10:10" x14ac:dyDescent="0.25">
      <c r="J303" s="164" t="str">
        <f>IFERROR(COUNTIF($C$18:C303,C303)&amp;CHOOSE(MIN(4,COUNTIF($C$18:C303,C303)),"st","nd","rd","th"),"")</f>
        <v/>
      </c>
    </row>
    <row r="304" spans="10:10" x14ac:dyDescent="0.25">
      <c r="J304" s="164" t="str">
        <f>IFERROR(COUNTIF($C$18:C304,C304)&amp;CHOOSE(MIN(4,COUNTIF($C$18:C304,C304)),"st","nd","rd","th"),"")</f>
        <v/>
      </c>
    </row>
    <row r="305" spans="10:10" x14ac:dyDescent="0.25">
      <c r="J305" s="164" t="str">
        <f>IFERROR(COUNTIF($C$18:C305,C305)&amp;CHOOSE(MIN(4,COUNTIF($C$18:C305,C305)),"st","nd","rd","th"),"")</f>
        <v/>
      </c>
    </row>
    <row r="306" spans="10:10" x14ac:dyDescent="0.25">
      <c r="J306" s="164" t="str">
        <f>IFERROR(COUNTIF($C$18:C306,C306)&amp;CHOOSE(MIN(4,COUNTIF($C$18:C306,C306)),"st","nd","rd","th"),"")</f>
        <v/>
      </c>
    </row>
    <row r="307" spans="10:10" x14ac:dyDescent="0.25">
      <c r="J307" s="164" t="str">
        <f>IFERROR(COUNTIF($C$18:C307,C307)&amp;CHOOSE(MIN(4,COUNTIF($C$18:C307,C307)),"st","nd","rd","th"),"")</f>
        <v/>
      </c>
    </row>
    <row r="308" spans="10:10" x14ac:dyDescent="0.25">
      <c r="J308" s="164" t="str">
        <f>IFERROR(COUNTIF($C$18:C308,C308)&amp;CHOOSE(MIN(4,COUNTIF($C$18:C308,C308)),"st","nd","rd","th"),"")</f>
        <v/>
      </c>
    </row>
    <row r="309" spans="10:10" x14ac:dyDescent="0.25">
      <c r="J309" s="164" t="str">
        <f>IFERROR(COUNTIF($C$18:C309,C309)&amp;CHOOSE(MIN(4,COUNTIF($C$18:C309,C309)),"st","nd","rd","th"),"")</f>
        <v/>
      </c>
    </row>
    <row r="310" spans="10:10" x14ac:dyDescent="0.25">
      <c r="J310" s="164" t="str">
        <f>IFERROR(COUNTIF($C$18:C310,C310)&amp;CHOOSE(MIN(4,COUNTIF($C$18:C310,C310)),"st","nd","rd","th"),"")</f>
        <v/>
      </c>
    </row>
    <row r="311" spans="10:10" x14ac:dyDescent="0.25">
      <c r="J311" s="164" t="str">
        <f>IFERROR(COUNTIF($C$18:C311,C311)&amp;CHOOSE(MIN(4,COUNTIF($C$18:C311,C311)),"st","nd","rd","th"),"")</f>
        <v/>
      </c>
    </row>
    <row r="312" spans="10:10" x14ac:dyDescent="0.25">
      <c r="J312" s="164" t="str">
        <f>IFERROR(COUNTIF($C$18:C312,C312)&amp;CHOOSE(MIN(4,COUNTIF($C$18:C312,C312)),"st","nd","rd","th"),"")</f>
        <v/>
      </c>
    </row>
    <row r="313" spans="10:10" x14ac:dyDescent="0.25">
      <c r="J313" s="164" t="str">
        <f>IFERROR(COUNTIF($C$18:C313,C313)&amp;CHOOSE(MIN(4,COUNTIF($C$18:C313,C313)),"st","nd","rd","th"),"")</f>
        <v/>
      </c>
    </row>
    <row r="314" spans="10:10" x14ac:dyDescent="0.25">
      <c r="J314" s="164" t="str">
        <f>IFERROR(COUNTIF($C$18:C314,C314)&amp;CHOOSE(MIN(4,COUNTIF($C$18:C314,C314)),"st","nd","rd","th"),"")</f>
        <v/>
      </c>
    </row>
    <row r="315" spans="10:10" x14ac:dyDescent="0.25">
      <c r="J315" s="164" t="str">
        <f>IFERROR(COUNTIF($C$18:C315,C315)&amp;CHOOSE(MIN(4,COUNTIF($C$18:C315,C315)),"st","nd","rd","th"),"")</f>
        <v/>
      </c>
    </row>
    <row r="316" spans="10:10" x14ac:dyDescent="0.25">
      <c r="J316" s="164" t="str">
        <f>IFERROR(COUNTIF($C$18:C316,C316)&amp;CHOOSE(MIN(4,COUNTIF($C$18:C316,C316)),"st","nd","rd","th"),"")</f>
        <v/>
      </c>
    </row>
    <row r="317" spans="10:10" x14ac:dyDescent="0.25">
      <c r="J317" s="164" t="str">
        <f>IFERROR(COUNTIF($C$18:C317,C317)&amp;CHOOSE(MIN(4,COUNTIF($C$18:C317,C317)),"st","nd","rd","th"),"")</f>
        <v/>
      </c>
    </row>
    <row r="318" spans="10:10" x14ac:dyDescent="0.25">
      <c r="J318" s="164" t="str">
        <f>IFERROR(COUNTIF($C$18:C318,C318)&amp;CHOOSE(MIN(4,COUNTIF($C$18:C318,C318)),"st","nd","rd","th"),"")</f>
        <v/>
      </c>
    </row>
    <row r="319" spans="10:10" x14ac:dyDescent="0.25">
      <c r="J319" s="164" t="str">
        <f>IFERROR(COUNTIF($C$18:C319,C319)&amp;CHOOSE(MIN(4,COUNTIF($C$18:C319,C319)),"st","nd","rd","th"),"")</f>
        <v/>
      </c>
    </row>
    <row r="320" spans="10:10" x14ac:dyDescent="0.25">
      <c r="J320" s="164" t="str">
        <f>IFERROR(COUNTIF($C$18:C320,C320)&amp;CHOOSE(MIN(4,COUNTIF($C$18:C320,C320)),"st","nd","rd","th"),"")</f>
        <v/>
      </c>
    </row>
    <row r="321" spans="10:10" x14ac:dyDescent="0.25">
      <c r="J321" s="164" t="str">
        <f>IFERROR(COUNTIF($C$18:C321,C321)&amp;CHOOSE(MIN(4,COUNTIF($C$18:C321,C321)),"st","nd","rd","th"),"")</f>
        <v/>
      </c>
    </row>
    <row r="322" spans="10:10" x14ac:dyDescent="0.25">
      <c r="J322" s="164" t="str">
        <f>IFERROR(COUNTIF($C$18:C322,C322)&amp;CHOOSE(MIN(4,COUNTIF($C$18:C322,C322)),"st","nd","rd","th"),"")</f>
        <v/>
      </c>
    </row>
    <row r="323" spans="10:10" x14ac:dyDescent="0.25">
      <c r="J323" s="164" t="str">
        <f>IFERROR(COUNTIF($C$18:C323,C323)&amp;CHOOSE(MIN(4,COUNTIF($C$18:C323,C323)),"st","nd","rd","th"),"")</f>
        <v/>
      </c>
    </row>
    <row r="324" spans="10:10" x14ac:dyDescent="0.25">
      <c r="J324" s="164" t="str">
        <f>IFERROR(COUNTIF($C$18:C324,C324)&amp;CHOOSE(MIN(4,COUNTIF($C$18:C324,C324)),"st","nd","rd","th"),"")</f>
        <v/>
      </c>
    </row>
    <row r="325" spans="10:10" x14ac:dyDescent="0.25">
      <c r="J325" s="164" t="str">
        <f>IFERROR(COUNTIF($C$18:C325,C325)&amp;CHOOSE(MIN(4,COUNTIF($C$18:C325,C325)),"st","nd","rd","th"),"")</f>
        <v/>
      </c>
    </row>
    <row r="326" spans="10:10" x14ac:dyDescent="0.25">
      <c r="J326" s="164" t="str">
        <f>IFERROR(COUNTIF($C$18:C326,C326)&amp;CHOOSE(MIN(4,COUNTIF($C$18:C326,C326)),"st","nd","rd","th"),"")</f>
        <v/>
      </c>
    </row>
    <row r="327" spans="10:10" x14ac:dyDescent="0.25">
      <c r="J327" s="164" t="str">
        <f>IFERROR(COUNTIF($C$18:C327,C327)&amp;CHOOSE(MIN(4,COUNTIF($C$18:C327,C327)),"st","nd","rd","th"),"")</f>
        <v/>
      </c>
    </row>
    <row r="328" spans="10:10" x14ac:dyDescent="0.25">
      <c r="J328" s="164" t="str">
        <f>IFERROR(COUNTIF($C$18:C328,C328)&amp;CHOOSE(MIN(4,COUNTIF($C$18:C328,C328)),"st","nd","rd","th"),"")</f>
        <v/>
      </c>
    </row>
    <row r="329" spans="10:10" x14ac:dyDescent="0.25">
      <c r="J329" s="164" t="str">
        <f>IFERROR(COUNTIF($C$18:C329,C329)&amp;CHOOSE(MIN(4,COUNTIF($C$18:C329,C329)),"st","nd","rd","th"),"")</f>
        <v/>
      </c>
    </row>
    <row r="330" spans="10:10" x14ac:dyDescent="0.25">
      <c r="J330" s="164" t="str">
        <f>IFERROR(COUNTIF($C$18:C330,C330)&amp;CHOOSE(MIN(4,COUNTIF($C$18:C330,C330)),"st","nd","rd","th"),"")</f>
        <v/>
      </c>
    </row>
    <row r="331" spans="10:10" x14ac:dyDescent="0.25">
      <c r="J331" s="164" t="str">
        <f>IFERROR(COUNTIF($C$18:C331,C331)&amp;CHOOSE(MIN(4,COUNTIF($C$18:C331,C331)),"st","nd","rd","th"),"")</f>
        <v/>
      </c>
    </row>
    <row r="332" spans="10:10" x14ac:dyDescent="0.25">
      <c r="J332" s="164" t="str">
        <f>IFERROR(COUNTIF($C$18:C332,C332)&amp;CHOOSE(MIN(4,COUNTIF($C$18:C332,C332)),"st","nd","rd","th"),"")</f>
        <v/>
      </c>
    </row>
    <row r="333" spans="10:10" x14ac:dyDescent="0.25">
      <c r="J333" s="164" t="str">
        <f>IFERROR(COUNTIF($C$18:C333,C333)&amp;CHOOSE(MIN(4,COUNTIF($C$18:C333,C333)),"st","nd","rd","th"),"")</f>
        <v/>
      </c>
    </row>
    <row r="334" spans="10:10" x14ac:dyDescent="0.25">
      <c r="J334" s="164" t="str">
        <f>IFERROR(COUNTIF($C$18:C334,C334)&amp;CHOOSE(MIN(4,COUNTIF($C$18:C334,C334)),"st","nd","rd","th"),"")</f>
        <v/>
      </c>
    </row>
    <row r="335" spans="10:10" x14ac:dyDescent="0.25">
      <c r="J335" s="164" t="str">
        <f>IFERROR(COUNTIF($C$18:C335,C335)&amp;CHOOSE(MIN(4,COUNTIF($C$18:C335,C335)),"st","nd","rd","th"),"")</f>
        <v/>
      </c>
    </row>
    <row r="336" spans="10:10" x14ac:dyDescent="0.25">
      <c r="J336" s="164" t="str">
        <f>IFERROR(COUNTIF($C$18:C336,C336)&amp;CHOOSE(MIN(4,COUNTIF($C$18:C336,C336)),"st","nd","rd","th"),"")</f>
        <v/>
      </c>
    </row>
    <row r="337" spans="10:10" x14ac:dyDescent="0.25">
      <c r="J337" s="164" t="str">
        <f>IFERROR(COUNTIF($C$18:C337,C337)&amp;CHOOSE(MIN(4,COUNTIF($C$18:C337,C337)),"st","nd","rd","th"),"")</f>
        <v/>
      </c>
    </row>
    <row r="338" spans="10:10" x14ac:dyDescent="0.25">
      <c r="J338" s="164" t="str">
        <f>IFERROR(COUNTIF($C$18:C338,C338)&amp;CHOOSE(MIN(4,COUNTIF($C$18:C338,C338)),"st","nd","rd","th"),"")</f>
        <v/>
      </c>
    </row>
    <row r="339" spans="10:10" x14ac:dyDescent="0.25">
      <c r="J339" s="164" t="str">
        <f>IFERROR(COUNTIF($C$18:C339,C339)&amp;CHOOSE(MIN(4,COUNTIF($C$18:C339,C339)),"st","nd","rd","th"),"")</f>
        <v/>
      </c>
    </row>
    <row r="340" spans="10:10" x14ac:dyDescent="0.25">
      <c r="J340" s="164" t="str">
        <f>IFERROR(COUNTIF($C$18:C340,C340)&amp;CHOOSE(MIN(4,COUNTIF($C$18:C340,C340)),"st","nd","rd","th"),"")</f>
        <v/>
      </c>
    </row>
    <row r="341" spans="10:10" x14ac:dyDescent="0.25">
      <c r="J341" s="164" t="str">
        <f>IFERROR(COUNTIF($C$18:C341,C341)&amp;CHOOSE(MIN(4,COUNTIF($C$18:C341,C341)),"st","nd","rd","th"),"")</f>
        <v/>
      </c>
    </row>
    <row r="342" spans="10:10" x14ac:dyDescent="0.25">
      <c r="J342" s="164" t="str">
        <f>IFERROR(COUNTIF($C$18:C342,C342)&amp;CHOOSE(MIN(4,COUNTIF($C$18:C342,C342)),"st","nd","rd","th"),"")</f>
        <v/>
      </c>
    </row>
    <row r="343" spans="10:10" x14ac:dyDescent="0.25">
      <c r="J343" s="164" t="str">
        <f>IFERROR(COUNTIF($C$18:C343,C343)&amp;CHOOSE(MIN(4,COUNTIF($C$18:C343,C343)),"st","nd","rd","th"),"")</f>
        <v/>
      </c>
    </row>
    <row r="344" spans="10:10" x14ac:dyDescent="0.25">
      <c r="J344" s="164" t="str">
        <f>IFERROR(COUNTIF($C$18:C344,C344)&amp;CHOOSE(MIN(4,COUNTIF($C$18:C344,C344)),"st","nd","rd","th"),"")</f>
        <v/>
      </c>
    </row>
    <row r="345" spans="10:10" x14ac:dyDescent="0.25">
      <c r="J345" s="164" t="str">
        <f>IFERROR(COUNTIF($C$18:C345,C345)&amp;CHOOSE(MIN(4,COUNTIF($C$18:C345,C345)),"st","nd","rd","th"),"")</f>
        <v/>
      </c>
    </row>
    <row r="346" spans="10:10" x14ac:dyDescent="0.25">
      <c r="J346" s="164" t="str">
        <f>IFERROR(COUNTIF($C$18:C346,C346)&amp;CHOOSE(MIN(4,COUNTIF($C$18:C346,C346)),"st","nd","rd","th"),"")</f>
        <v/>
      </c>
    </row>
    <row r="347" spans="10:10" x14ac:dyDescent="0.25">
      <c r="J347" s="164" t="str">
        <f>IFERROR(COUNTIF($C$18:C347,C347)&amp;CHOOSE(MIN(4,COUNTIF($C$18:C347,C347)),"st","nd","rd","th"),"")</f>
        <v/>
      </c>
    </row>
    <row r="348" spans="10:10" x14ac:dyDescent="0.25">
      <c r="J348" s="164" t="str">
        <f>IFERROR(COUNTIF($C$18:C348,C348)&amp;CHOOSE(MIN(4,COUNTIF($C$18:C348,C348)),"st","nd","rd","th"),"")</f>
        <v/>
      </c>
    </row>
    <row r="349" spans="10:10" x14ac:dyDescent="0.25">
      <c r="J349" s="164" t="str">
        <f>IFERROR(COUNTIF($C$18:C349,C349)&amp;CHOOSE(MIN(4,COUNTIF($C$18:C349,C349)),"st","nd","rd","th"),"")</f>
        <v/>
      </c>
    </row>
    <row r="350" spans="10:10" x14ac:dyDescent="0.25">
      <c r="J350" s="164" t="str">
        <f>IFERROR(COUNTIF($C$18:C350,C350)&amp;CHOOSE(MIN(4,COUNTIF($C$18:C350,C350)),"st","nd","rd","th"),"")</f>
        <v/>
      </c>
    </row>
    <row r="351" spans="10:10" x14ac:dyDescent="0.25">
      <c r="J351" s="164" t="str">
        <f>IFERROR(COUNTIF($C$18:C351,C351)&amp;CHOOSE(MIN(4,COUNTIF($C$18:C351,C351)),"st","nd","rd","th"),"")</f>
        <v/>
      </c>
    </row>
    <row r="352" spans="10:10" x14ac:dyDescent="0.25">
      <c r="J352" s="164" t="str">
        <f>IFERROR(COUNTIF($C$18:C352,C352)&amp;CHOOSE(MIN(4,COUNTIF($C$18:C352,C352)),"st","nd","rd","th"),"")</f>
        <v/>
      </c>
    </row>
    <row r="353" spans="10:10" x14ac:dyDescent="0.25">
      <c r="J353" s="164" t="str">
        <f>IFERROR(COUNTIF($C$18:C353,C353)&amp;CHOOSE(MIN(4,COUNTIF($C$18:C353,C353)),"st","nd","rd","th"),"")</f>
        <v/>
      </c>
    </row>
    <row r="354" spans="10:10" x14ac:dyDescent="0.25">
      <c r="J354" s="164" t="str">
        <f>IFERROR(COUNTIF($C$18:C354,C354)&amp;CHOOSE(MIN(4,COUNTIF($C$18:C354,C354)),"st","nd","rd","th"),"")</f>
        <v/>
      </c>
    </row>
    <row r="355" spans="10:10" x14ac:dyDescent="0.25">
      <c r="J355" s="164" t="str">
        <f>IFERROR(COUNTIF($C$18:C355,C355)&amp;CHOOSE(MIN(4,COUNTIF($C$18:C355,C355)),"st","nd","rd","th"),"")</f>
        <v/>
      </c>
    </row>
    <row r="356" spans="10:10" x14ac:dyDescent="0.25">
      <c r="J356" s="164" t="str">
        <f>IFERROR(COUNTIF($C$18:C356,C356)&amp;CHOOSE(MIN(4,COUNTIF($C$18:C356,C356)),"st","nd","rd","th"),"")</f>
        <v/>
      </c>
    </row>
    <row r="357" spans="10:10" x14ac:dyDescent="0.25">
      <c r="J357" s="164" t="str">
        <f>IFERROR(COUNTIF($C$18:C357,C357)&amp;CHOOSE(MIN(4,COUNTIF($C$18:C357,C357)),"st","nd","rd","th"),"")</f>
        <v/>
      </c>
    </row>
    <row r="358" spans="10:10" x14ac:dyDescent="0.25">
      <c r="J358" s="164" t="str">
        <f>IFERROR(COUNTIF($C$18:C358,C358)&amp;CHOOSE(MIN(4,COUNTIF($C$18:C358,C358)),"st","nd","rd","th"),"")</f>
        <v/>
      </c>
    </row>
    <row r="359" spans="10:10" x14ac:dyDescent="0.25">
      <c r="J359" s="164" t="str">
        <f>IFERROR(COUNTIF($C$18:C359,C359)&amp;CHOOSE(MIN(4,COUNTIF($C$18:C359,C359)),"st","nd","rd","th"),"")</f>
        <v/>
      </c>
    </row>
    <row r="360" spans="10:10" x14ac:dyDescent="0.25">
      <c r="J360" s="164" t="str">
        <f>IFERROR(COUNTIF($C$18:C360,C360)&amp;CHOOSE(MIN(4,COUNTIF($C$18:C360,C360)),"st","nd","rd","th"),"")</f>
        <v/>
      </c>
    </row>
    <row r="361" spans="10:10" x14ac:dyDescent="0.25">
      <c r="J361" s="164" t="str">
        <f>IFERROR(COUNTIF($C$18:C361,C361)&amp;CHOOSE(MIN(4,COUNTIF($C$18:C361,C361)),"st","nd","rd","th"),"")</f>
        <v/>
      </c>
    </row>
    <row r="362" spans="10:10" x14ac:dyDescent="0.25">
      <c r="J362" s="164" t="str">
        <f>IFERROR(COUNTIF($C$18:C362,C362)&amp;CHOOSE(MIN(4,COUNTIF($C$18:C362,C362)),"st","nd","rd","th"),"")</f>
        <v/>
      </c>
    </row>
    <row r="363" spans="10:10" x14ac:dyDescent="0.25">
      <c r="J363" s="164" t="str">
        <f>IFERROR(COUNTIF($C$18:C363,C363)&amp;CHOOSE(MIN(4,COUNTIF($C$18:C363,C363)),"st","nd","rd","th"),"")</f>
        <v/>
      </c>
    </row>
    <row r="364" spans="10:10" x14ac:dyDescent="0.25">
      <c r="J364" s="164" t="str">
        <f>IFERROR(COUNTIF($C$18:C364,C364)&amp;CHOOSE(MIN(4,COUNTIF($C$18:C364,C364)),"st","nd","rd","th"),"")</f>
        <v/>
      </c>
    </row>
    <row r="365" spans="10:10" x14ac:dyDescent="0.25">
      <c r="J365" s="164" t="str">
        <f>IFERROR(COUNTIF($C$18:C365,C365)&amp;CHOOSE(MIN(4,COUNTIF($C$18:C365,C365)),"st","nd","rd","th"),"")</f>
        <v/>
      </c>
    </row>
    <row r="366" spans="10:10" x14ac:dyDescent="0.25">
      <c r="J366" s="164" t="str">
        <f>IFERROR(COUNTIF($C$18:C366,C366)&amp;CHOOSE(MIN(4,COUNTIF($C$18:C366,C366)),"st","nd","rd","th"),"")</f>
        <v/>
      </c>
    </row>
    <row r="367" spans="10:10" x14ac:dyDescent="0.25">
      <c r="J367" s="164" t="str">
        <f>IFERROR(COUNTIF($C$18:C367,C367)&amp;CHOOSE(MIN(4,COUNTIF($C$18:C367,C367)),"st","nd","rd","th"),"")</f>
        <v/>
      </c>
    </row>
    <row r="368" spans="10:10" x14ac:dyDescent="0.25">
      <c r="J368" s="164" t="str">
        <f>IFERROR(COUNTIF($C$18:C368,C368)&amp;CHOOSE(MIN(4,COUNTIF($C$18:C368,C368)),"st","nd","rd","th"),"")</f>
        <v/>
      </c>
    </row>
    <row r="369" spans="10:10" x14ac:dyDescent="0.25">
      <c r="J369" s="164" t="str">
        <f>IFERROR(COUNTIF($C$18:C369,C369)&amp;CHOOSE(MIN(4,COUNTIF($C$18:C369,C369)),"st","nd","rd","th"),"")</f>
        <v/>
      </c>
    </row>
    <row r="370" spans="10:10" x14ac:dyDescent="0.25">
      <c r="J370" s="164" t="str">
        <f>IFERROR(COUNTIF($C$18:C370,C370)&amp;CHOOSE(MIN(4,COUNTIF($C$18:C370,C370)),"st","nd","rd","th"),"")</f>
        <v/>
      </c>
    </row>
    <row r="371" spans="10:10" x14ac:dyDescent="0.25">
      <c r="J371" s="164" t="str">
        <f>IFERROR(COUNTIF($C$18:C371,C371)&amp;CHOOSE(MIN(4,COUNTIF($C$18:C371,C371)),"st","nd","rd","th"),"")</f>
        <v/>
      </c>
    </row>
    <row r="372" spans="10:10" x14ac:dyDescent="0.25">
      <c r="J372" s="164" t="str">
        <f>IFERROR(COUNTIF($C$18:C372,C372)&amp;CHOOSE(MIN(4,COUNTIF($C$18:C372,C372)),"st","nd","rd","th"),"")</f>
        <v/>
      </c>
    </row>
    <row r="373" spans="10:10" x14ac:dyDescent="0.25">
      <c r="J373" s="164" t="str">
        <f>IFERROR(COUNTIF($C$18:C373,C373)&amp;CHOOSE(MIN(4,COUNTIF($C$18:C373,C373)),"st","nd","rd","th"),"")</f>
        <v/>
      </c>
    </row>
    <row r="374" spans="10:10" x14ac:dyDescent="0.25">
      <c r="J374" s="164" t="str">
        <f>IFERROR(COUNTIF($C$18:C374,C374)&amp;CHOOSE(MIN(4,COUNTIF($C$18:C374,C374)),"st","nd","rd","th"),"")</f>
        <v/>
      </c>
    </row>
    <row r="375" spans="10:10" x14ac:dyDescent="0.25">
      <c r="J375" s="164" t="str">
        <f>IFERROR(COUNTIF($C$18:C375,C375)&amp;CHOOSE(MIN(4,COUNTIF($C$18:C375,C375)),"st","nd","rd","th"),"")</f>
        <v/>
      </c>
    </row>
    <row r="376" spans="10:10" x14ac:dyDescent="0.25">
      <c r="J376" s="164" t="str">
        <f>IFERROR(COUNTIF($C$18:C376,C376)&amp;CHOOSE(MIN(4,COUNTIF($C$18:C376,C376)),"st","nd","rd","th"),"")</f>
        <v/>
      </c>
    </row>
    <row r="377" spans="10:10" x14ac:dyDescent="0.25">
      <c r="J377" s="164" t="str">
        <f>IFERROR(COUNTIF($C$18:C377,C377)&amp;CHOOSE(MIN(4,COUNTIF($C$18:C377,C377)),"st","nd","rd","th"),"")</f>
        <v/>
      </c>
    </row>
    <row r="378" spans="10:10" x14ac:dyDescent="0.25">
      <c r="J378" s="164" t="str">
        <f>IFERROR(COUNTIF($C$18:C378,C378)&amp;CHOOSE(MIN(4,COUNTIF($C$18:C378,C378)),"st","nd","rd","th"),"")</f>
        <v/>
      </c>
    </row>
    <row r="379" spans="10:10" x14ac:dyDescent="0.25">
      <c r="J379" s="164" t="str">
        <f>IFERROR(COUNTIF($C$18:C379,C379)&amp;CHOOSE(MIN(4,COUNTIF($C$18:C379,C379)),"st","nd","rd","th"),"")</f>
        <v/>
      </c>
    </row>
    <row r="380" spans="10:10" x14ac:dyDescent="0.25">
      <c r="J380" s="164" t="str">
        <f>IFERROR(COUNTIF($C$18:C380,C380)&amp;CHOOSE(MIN(4,COUNTIF($C$18:C380,C380)),"st","nd","rd","th"),"")</f>
        <v/>
      </c>
    </row>
    <row r="381" spans="10:10" x14ac:dyDescent="0.25">
      <c r="J381" s="164" t="str">
        <f>IFERROR(COUNTIF($C$18:C381,C381)&amp;CHOOSE(MIN(4,COUNTIF($C$18:C381,C381)),"st","nd","rd","th"),"")</f>
        <v/>
      </c>
    </row>
    <row r="382" spans="10:10" x14ac:dyDescent="0.25">
      <c r="J382" s="164" t="str">
        <f>IFERROR(COUNTIF($C$18:C382,C382)&amp;CHOOSE(MIN(4,COUNTIF($C$18:C382,C382)),"st","nd","rd","th"),"")</f>
        <v/>
      </c>
    </row>
    <row r="383" spans="10:10" x14ac:dyDescent="0.25">
      <c r="J383" s="164" t="str">
        <f>IFERROR(COUNTIF($C$18:C383,C383)&amp;CHOOSE(MIN(4,COUNTIF($C$18:C383,C383)),"st","nd","rd","th"),"")</f>
        <v/>
      </c>
    </row>
    <row r="384" spans="10:10" x14ac:dyDescent="0.25">
      <c r="J384" s="164" t="str">
        <f>IFERROR(COUNTIF($C$18:C384,C384)&amp;CHOOSE(MIN(4,COUNTIF($C$18:C384,C384)),"st","nd","rd","th"),"")</f>
        <v/>
      </c>
    </row>
    <row r="385" spans="10:10" x14ac:dyDescent="0.25">
      <c r="J385" s="164" t="str">
        <f>IFERROR(COUNTIF($C$18:C385,C385)&amp;CHOOSE(MIN(4,COUNTIF($C$18:C385,C385)),"st","nd","rd","th"),"")</f>
        <v/>
      </c>
    </row>
    <row r="386" spans="10:10" x14ac:dyDescent="0.25">
      <c r="J386" s="164" t="str">
        <f>IFERROR(COUNTIF($C$18:C386,C386)&amp;CHOOSE(MIN(4,COUNTIF($C$18:C386,C386)),"st","nd","rd","th"),"")</f>
        <v/>
      </c>
    </row>
    <row r="387" spans="10:10" x14ac:dyDescent="0.25">
      <c r="J387" s="164" t="str">
        <f>IFERROR(COUNTIF($C$18:C387,C387)&amp;CHOOSE(MIN(4,COUNTIF($C$18:C387,C387)),"st","nd","rd","th"),"")</f>
        <v/>
      </c>
    </row>
    <row r="388" spans="10:10" x14ac:dyDescent="0.25">
      <c r="J388" s="164" t="str">
        <f>IFERROR(COUNTIF($C$18:C388,C388)&amp;CHOOSE(MIN(4,COUNTIF($C$18:C388,C388)),"st","nd","rd","th"),"")</f>
        <v/>
      </c>
    </row>
    <row r="389" spans="10:10" x14ac:dyDescent="0.25">
      <c r="J389" s="164" t="str">
        <f>IFERROR(COUNTIF($C$18:C389,C389)&amp;CHOOSE(MIN(4,COUNTIF($C$18:C389,C389)),"st","nd","rd","th"),"")</f>
        <v/>
      </c>
    </row>
    <row r="390" spans="10:10" x14ac:dyDescent="0.25">
      <c r="J390" s="164" t="str">
        <f>IFERROR(COUNTIF($C$18:C390,C390)&amp;CHOOSE(MIN(4,COUNTIF($C$18:C390,C390)),"st","nd","rd","th"),"")</f>
        <v/>
      </c>
    </row>
    <row r="391" spans="10:10" x14ac:dyDescent="0.25">
      <c r="J391" s="164" t="str">
        <f>IFERROR(COUNTIF($C$18:C391,C391)&amp;CHOOSE(MIN(4,COUNTIF($C$18:C391,C391)),"st","nd","rd","th"),"")</f>
        <v/>
      </c>
    </row>
    <row r="392" spans="10:10" x14ac:dyDescent="0.25">
      <c r="J392" s="164" t="str">
        <f>IFERROR(COUNTIF($C$18:C392,C392)&amp;CHOOSE(MIN(4,COUNTIF($C$18:C392,C392)),"st","nd","rd","th"),"")</f>
        <v/>
      </c>
    </row>
    <row r="393" spans="10:10" x14ac:dyDescent="0.25">
      <c r="J393" s="164" t="str">
        <f>IFERROR(COUNTIF($C$18:C393,C393)&amp;CHOOSE(MIN(4,COUNTIF($C$18:C393,C393)),"st","nd","rd","th"),"")</f>
        <v/>
      </c>
    </row>
    <row r="394" spans="10:10" x14ac:dyDescent="0.25">
      <c r="J394" s="164" t="str">
        <f>IFERROR(COUNTIF($C$18:C394,C394)&amp;CHOOSE(MIN(4,COUNTIF($C$18:C394,C394)),"st","nd","rd","th"),"")</f>
        <v/>
      </c>
    </row>
    <row r="395" spans="10:10" x14ac:dyDescent="0.25">
      <c r="J395" s="164" t="str">
        <f>IFERROR(COUNTIF($C$18:C395,C395)&amp;CHOOSE(MIN(4,COUNTIF($C$18:C395,C395)),"st","nd","rd","th"),"")</f>
        <v/>
      </c>
    </row>
    <row r="396" spans="10:10" x14ac:dyDescent="0.25">
      <c r="J396" s="164" t="str">
        <f>IFERROR(COUNTIF($C$18:C396,C396)&amp;CHOOSE(MIN(4,COUNTIF($C$18:C396,C396)),"st","nd","rd","th"),"")</f>
        <v/>
      </c>
    </row>
    <row r="397" spans="10:10" x14ac:dyDescent="0.25">
      <c r="J397" s="164" t="str">
        <f>IFERROR(COUNTIF($C$18:C397,C397)&amp;CHOOSE(MIN(4,COUNTIF($C$18:C397,C397)),"st","nd","rd","th"),"")</f>
        <v/>
      </c>
    </row>
    <row r="398" spans="10:10" x14ac:dyDescent="0.25">
      <c r="J398" s="164" t="str">
        <f>IFERROR(COUNTIF($C$18:C398,C398)&amp;CHOOSE(MIN(4,COUNTIF($C$18:C398,C398)),"st","nd","rd","th"),"")</f>
        <v/>
      </c>
    </row>
    <row r="399" spans="10:10" x14ac:dyDescent="0.25">
      <c r="J399" s="164" t="str">
        <f>IFERROR(COUNTIF($C$18:C399,C399)&amp;CHOOSE(MIN(4,COUNTIF($C$18:C399,C399)),"st","nd","rd","th"),"")</f>
        <v/>
      </c>
    </row>
    <row r="400" spans="10:10" x14ac:dyDescent="0.25">
      <c r="J400" s="164" t="str">
        <f>IFERROR(COUNTIF($C$18:C400,C400)&amp;CHOOSE(MIN(4,COUNTIF($C$18:C400,C400)),"st","nd","rd","th"),"")</f>
        <v/>
      </c>
    </row>
    <row r="401" spans="10:10" x14ac:dyDescent="0.25">
      <c r="J401" s="164" t="str">
        <f>IFERROR(COUNTIF($C$18:C401,C401)&amp;CHOOSE(MIN(4,COUNTIF($C$18:C401,C401)),"st","nd","rd","th"),"")</f>
        <v/>
      </c>
    </row>
    <row r="402" spans="10:10" x14ac:dyDescent="0.25">
      <c r="J402" s="164" t="str">
        <f>IFERROR(COUNTIF($C$18:C402,C402)&amp;CHOOSE(MIN(4,COUNTIF($C$18:C402,C402)),"st","nd","rd","th"),"")</f>
        <v/>
      </c>
    </row>
    <row r="403" spans="10:10" x14ac:dyDescent="0.25">
      <c r="J403" s="164" t="str">
        <f>IFERROR(COUNTIF($C$18:C403,C403)&amp;CHOOSE(MIN(4,COUNTIF($C$18:C403,C403)),"st","nd","rd","th"),"")</f>
        <v/>
      </c>
    </row>
    <row r="404" spans="10:10" x14ac:dyDescent="0.25">
      <c r="J404" s="164" t="str">
        <f>IFERROR(COUNTIF($C$18:C404,C404)&amp;CHOOSE(MIN(4,COUNTIF($C$18:C404,C404)),"st","nd","rd","th"),"")</f>
        <v/>
      </c>
    </row>
    <row r="405" spans="10:10" x14ac:dyDescent="0.25">
      <c r="J405" s="164" t="str">
        <f>IFERROR(COUNTIF($C$18:C405,C405)&amp;CHOOSE(MIN(4,COUNTIF($C$18:C405,C405)),"st","nd","rd","th"),"")</f>
        <v/>
      </c>
    </row>
    <row r="406" spans="10:10" x14ac:dyDescent="0.25">
      <c r="J406" s="164" t="str">
        <f>IFERROR(COUNTIF($C$18:C406,C406)&amp;CHOOSE(MIN(4,COUNTIF($C$18:C406,C406)),"st","nd","rd","th"),"")</f>
        <v/>
      </c>
    </row>
    <row r="407" spans="10:10" x14ac:dyDescent="0.25">
      <c r="J407" s="164" t="str">
        <f>IFERROR(COUNTIF($C$18:C407,C407)&amp;CHOOSE(MIN(4,COUNTIF($C$18:C407,C407)),"st","nd","rd","th"),"")</f>
        <v/>
      </c>
    </row>
    <row r="408" spans="10:10" x14ac:dyDescent="0.25">
      <c r="J408" s="164" t="str">
        <f>IFERROR(COUNTIF($C$18:C408,C408)&amp;CHOOSE(MIN(4,COUNTIF($C$18:C408,C408)),"st","nd","rd","th"),"")</f>
        <v/>
      </c>
    </row>
    <row r="409" spans="10:10" x14ac:dyDescent="0.25">
      <c r="J409" s="164" t="str">
        <f>IFERROR(COUNTIF($C$18:C409,C409)&amp;CHOOSE(MIN(4,COUNTIF($C$18:C409,C409)),"st","nd","rd","th"),"")</f>
        <v/>
      </c>
    </row>
    <row r="410" spans="10:10" x14ac:dyDescent="0.25">
      <c r="J410" s="164" t="str">
        <f>IFERROR(COUNTIF($C$18:C410,C410)&amp;CHOOSE(MIN(4,COUNTIF($C$18:C410,C410)),"st","nd","rd","th"),"")</f>
        <v/>
      </c>
    </row>
    <row r="411" spans="10:10" x14ac:dyDescent="0.25">
      <c r="J411" s="164" t="str">
        <f>IFERROR(COUNTIF($C$18:C411,C411)&amp;CHOOSE(MIN(4,COUNTIF($C$18:C411,C411)),"st","nd","rd","th"),"")</f>
        <v/>
      </c>
    </row>
    <row r="412" spans="10:10" x14ac:dyDescent="0.25">
      <c r="J412" s="164" t="str">
        <f>IFERROR(COUNTIF($C$18:C412,C412)&amp;CHOOSE(MIN(4,COUNTIF($C$18:C412,C412)),"st","nd","rd","th"),"")</f>
        <v/>
      </c>
    </row>
    <row r="413" spans="10:10" x14ac:dyDescent="0.25">
      <c r="J413" s="164" t="str">
        <f>IFERROR(COUNTIF($C$18:C413,C413)&amp;CHOOSE(MIN(4,COUNTIF($C$18:C413,C413)),"st","nd","rd","th"),"")</f>
        <v/>
      </c>
    </row>
    <row r="414" spans="10:10" x14ac:dyDescent="0.25">
      <c r="J414" s="164" t="str">
        <f>IFERROR(COUNTIF($C$18:C414,C414)&amp;CHOOSE(MIN(4,COUNTIF($C$18:C414,C414)),"st","nd","rd","th"),"")</f>
        <v/>
      </c>
    </row>
    <row r="415" spans="10:10" x14ac:dyDescent="0.25">
      <c r="J415" s="164" t="str">
        <f>IFERROR(COUNTIF($C$18:C415,C415)&amp;CHOOSE(MIN(4,COUNTIF($C$18:C415,C415)),"st","nd","rd","th"),"")</f>
        <v/>
      </c>
    </row>
    <row r="416" spans="10:10" x14ac:dyDescent="0.25">
      <c r="J416" s="164" t="str">
        <f>IFERROR(COUNTIF($C$18:C416,C416)&amp;CHOOSE(MIN(4,COUNTIF($C$18:C416,C416)),"st","nd","rd","th"),"")</f>
        <v/>
      </c>
    </row>
    <row r="417" spans="10:10" x14ac:dyDescent="0.25">
      <c r="J417" s="164" t="str">
        <f>IFERROR(COUNTIF($C$18:C417,C417)&amp;CHOOSE(MIN(4,COUNTIF($C$18:C417,C417)),"st","nd","rd","th"),"")</f>
        <v/>
      </c>
    </row>
    <row r="418" spans="10:10" x14ac:dyDescent="0.25">
      <c r="J418" s="164" t="str">
        <f>IFERROR(COUNTIF($C$18:C418,C418)&amp;CHOOSE(MIN(4,COUNTIF($C$18:C418,C418)),"st","nd","rd","th"),"")</f>
        <v/>
      </c>
    </row>
    <row r="419" spans="10:10" x14ac:dyDescent="0.25">
      <c r="J419" s="164" t="str">
        <f>IFERROR(COUNTIF($C$18:C419,C419)&amp;CHOOSE(MIN(4,COUNTIF($C$18:C419,C419)),"st","nd","rd","th"),"")</f>
        <v/>
      </c>
    </row>
    <row r="420" spans="10:10" x14ac:dyDescent="0.25">
      <c r="J420" s="164" t="str">
        <f>IFERROR(COUNTIF($C$18:C420,C420)&amp;CHOOSE(MIN(4,COUNTIF($C$18:C420,C420)),"st","nd","rd","th"),"")</f>
        <v/>
      </c>
    </row>
    <row r="421" spans="10:10" x14ac:dyDescent="0.25">
      <c r="J421" s="164" t="str">
        <f>IFERROR(COUNTIF($C$18:C421,C421)&amp;CHOOSE(MIN(4,COUNTIF($C$18:C421,C421)),"st","nd","rd","th"),"")</f>
        <v/>
      </c>
    </row>
    <row r="422" spans="10:10" x14ac:dyDescent="0.25">
      <c r="J422" s="164" t="str">
        <f>IFERROR(COUNTIF($C$18:C422,C422)&amp;CHOOSE(MIN(4,COUNTIF($C$18:C422,C422)),"st","nd","rd","th"),"")</f>
        <v/>
      </c>
    </row>
    <row r="423" spans="10:10" x14ac:dyDescent="0.25">
      <c r="J423" s="164" t="str">
        <f>IFERROR(COUNTIF($C$18:C423,C423)&amp;CHOOSE(MIN(4,COUNTIF($C$18:C423,C423)),"st","nd","rd","th"),"")</f>
        <v/>
      </c>
    </row>
    <row r="424" spans="10:10" x14ac:dyDescent="0.25">
      <c r="J424" s="164" t="str">
        <f>IFERROR(COUNTIF($C$18:C424,C424)&amp;CHOOSE(MIN(4,COUNTIF($C$18:C424,C424)),"st","nd","rd","th"),"")</f>
        <v/>
      </c>
    </row>
    <row r="425" spans="10:10" x14ac:dyDescent="0.25">
      <c r="J425" s="164" t="str">
        <f>IFERROR(COUNTIF($C$18:C425,C425)&amp;CHOOSE(MIN(4,COUNTIF($C$18:C425,C425)),"st","nd","rd","th"),"")</f>
        <v/>
      </c>
    </row>
    <row r="426" spans="10:10" x14ac:dyDescent="0.25">
      <c r="J426" s="164" t="str">
        <f>IFERROR(COUNTIF($C$18:C426,C426)&amp;CHOOSE(MIN(4,COUNTIF($C$18:C426,C426)),"st","nd","rd","th"),"")</f>
        <v/>
      </c>
    </row>
    <row r="427" spans="10:10" x14ac:dyDescent="0.25">
      <c r="J427" s="164" t="str">
        <f>IFERROR(COUNTIF($C$18:C427,C427)&amp;CHOOSE(MIN(4,COUNTIF($C$18:C427,C427)),"st","nd","rd","th"),"")</f>
        <v/>
      </c>
    </row>
    <row r="428" spans="10:10" x14ac:dyDescent="0.25">
      <c r="J428" s="164" t="str">
        <f>IFERROR(COUNTIF($C$18:C428,C428)&amp;CHOOSE(MIN(4,COUNTIF($C$18:C428,C428)),"st","nd","rd","th"),"")</f>
        <v/>
      </c>
    </row>
    <row r="429" spans="10:10" x14ac:dyDescent="0.25">
      <c r="J429" s="164" t="str">
        <f>IFERROR(COUNTIF($C$18:C429,C429)&amp;CHOOSE(MIN(4,COUNTIF($C$18:C429,C429)),"st","nd","rd","th"),"")</f>
        <v/>
      </c>
    </row>
    <row r="430" spans="10:10" x14ac:dyDescent="0.25">
      <c r="J430" s="164" t="str">
        <f>IFERROR(COUNTIF($C$18:C430,C430)&amp;CHOOSE(MIN(4,COUNTIF($C$18:C430,C430)),"st","nd","rd","th"),"")</f>
        <v/>
      </c>
    </row>
    <row r="431" spans="10:10" x14ac:dyDescent="0.25">
      <c r="J431" s="164" t="str">
        <f>IFERROR(COUNTIF($C$18:C431,C431)&amp;CHOOSE(MIN(4,COUNTIF($C$18:C431,C431)),"st","nd","rd","th"),"")</f>
        <v/>
      </c>
    </row>
    <row r="432" spans="10:10" x14ac:dyDescent="0.25">
      <c r="J432" s="164" t="str">
        <f>IFERROR(COUNTIF($C$18:C432,C432)&amp;CHOOSE(MIN(4,COUNTIF($C$18:C432,C432)),"st","nd","rd","th"),"")</f>
        <v/>
      </c>
    </row>
    <row r="433" spans="10:10" x14ac:dyDescent="0.25">
      <c r="J433" s="164" t="str">
        <f>IFERROR(COUNTIF($C$18:C433,C433)&amp;CHOOSE(MIN(4,COUNTIF($C$18:C433,C433)),"st","nd","rd","th"),"")</f>
        <v/>
      </c>
    </row>
    <row r="434" spans="10:10" x14ac:dyDescent="0.25">
      <c r="J434" s="164" t="str">
        <f>IFERROR(COUNTIF($C$18:C434,C434)&amp;CHOOSE(MIN(4,COUNTIF($C$18:C434,C434)),"st","nd","rd","th"),"")</f>
        <v/>
      </c>
    </row>
    <row r="435" spans="10:10" x14ac:dyDescent="0.25">
      <c r="J435" s="164" t="str">
        <f>IFERROR(COUNTIF($C$18:C435,C435)&amp;CHOOSE(MIN(4,COUNTIF($C$18:C435,C435)),"st","nd","rd","th"),"")</f>
        <v/>
      </c>
    </row>
    <row r="436" spans="10:10" x14ac:dyDescent="0.25">
      <c r="J436" s="164" t="str">
        <f>IFERROR(COUNTIF($C$18:C436,C436)&amp;CHOOSE(MIN(4,COUNTIF($C$18:C436,C436)),"st","nd","rd","th"),"")</f>
        <v/>
      </c>
    </row>
    <row r="437" spans="10:10" x14ac:dyDescent="0.25">
      <c r="J437" s="164" t="str">
        <f>IFERROR(COUNTIF($C$18:C437,C437)&amp;CHOOSE(MIN(4,COUNTIF($C$18:C437,C437)),"st","nd","rd","th"),"")</f>
        <v/>
      </c>
    </row>
    <row r="438" spans="10:10" x14ac:dyDescent="0.25">
      <c r="J438" s="164" t="str">
        <f>IFERROR(COUNTIF($C$18:C438,C438)&amp;CHOOSE(MIN(4,COUNTIF($C$18:C438,C438)),"st","nd","rd","th"),"")</f>
        <v/>
      </c>
    </row>
    <row r="439" spans="10:10" x14ac:dyDescent="0.25">
      <c r="J439" s="164" t="str">
        <f>IFERROR(COUNTIF($C$18:C439,C439)&amp;CHOOSE(MIN(4,COUNTIF($C$18:C439,C439)),"st","nd","rd","th"),"")</f>
        <v/>
      </c>
    </row>
    <row r="440" spans="10:10" x14ac:dyDescent="0.25">
      <c r="J440" s="164" t="str">
        <f>IFERROR(COUNTIF($C$18:C440,C440)&amp;CHOOSE(MIN(4,COUNTIF($C$18:C440,C440)),"st","nd","rd","th"),"")</f>
        <v/>
      </c>
    </row>
    <row r="441" spans="10:10" x14ac:dyDescent="0.25">
      <c r="J441" s="164" t="str">
        <f>IFERROR(COUNTIF($C$18:C441,C441)&amp;CHOOSE(MIN(4,COUNTIF($C$18:C441,C441)),"st","nd","rd","th"),"")</f>
        <v/>
      </c>
    </row>
    <row r="442" spans="10:10" x14ac:dyDescent="0.25">
      <c r="J442" s="164" t="str">
        <f>IFERROR(COUNTIF($C$18:C442,C442)&amp;CHOOSE(MIN(4,COUNTIF($C$18:C442,C442)),"st","nd","rd","th"),"")</f>
        <v/>
      </c>
    </row>
    <row r="443" spans="10:10" x14ac:dyDescent="0.25">
      <c r="J443" s="164" t="str">
        <f>IFERROR(COUNTIF($C$18:C443,C443)&amp;CHOOSE(MIN(4,COUNTIF($C$18:C443,C443)),"st","nd","rd","th"),"")</f>
        <v/>
      </c>
    </row>
    <row r="444" spans="10:10" x14ac:dyDescent="0.25">
      <c r="J444" s="164" t="str">
        <f>IFERROR(COUNTIF($C$18:C444,C444)&amp;CHOOSE(MIN(4,COUNTIF($C$18:C444,C444)),"st","nd","rd","th"),"")</f>
        <v/>
      </c>
    </row>
    <row r="445" spans="10:10" x14ac:dyDescent="0.25">
      <c r="J445" s="164" t="str">
        <f>IFERROR(COUNTIF($C$18:C445,C445)&amp;CHOOSE(MIN(4,COUNTIF($C$18:C445,C445)),"st","nd","rd","th"),"")</f>
        <v/>
      </c>
    </row>
    <row r="446" spans="10:10" x14ac:dyDescent="0.25">
      <c r="J446" s="164" t="str">
        <f>IFERROR(COUNTIF($C$18:C446,C446)&amp;CHOOSE(MIN(4,COUNTIF($C$18:C446,C446)),"st","nd","rd","th"),"")</f>
        <v/>
      </c>
    </row>
    <row r="447" spans="10:10" x14ac:dyDescent="0.25">
      <c r="J447" s="164" t="str">
        <f>IFERROR(COUNTIF($C$18:C447,C447)&amp;CHOOSE(MIN(4,COUNTIF($C$18:C447,C447)),"st","nd","rd","th"),"")</f>
        <v/>
      </c>
    </row>
    <row r="448" spans="10:10" x14ac:dyDescent="0.25">
      <c r="J448" s="164" t="str">
        <f>IFERROR(COUNTIF($C$18:C448,C448)&amp;CHOOSE(MIN(4,COUNTIF($C$18:C448,C448)),"st","nd","rd","th"),"")</f>
        <v/>
      </c>
    </row>
    <row r="449" spans="10:10" x14ac:dyDescent="0.25">
      <c r="J449" s="164" t="str">
        <f>IFERROR(COUNTIF($C$18:C449,C449)&amp;CHOOSE(MIN(4,COUNTIF($C$18:C449,C449)),"st","nd","rd","th"),"")</f>
        <v/>
      </c>
    </row>
    <row r="450" spans="10:10" x14ac:dyDescent="0.25">
      <c r="J450" s="164" t="str">
        <f>IFERROR(COUNTIF($C$18:C450,C450)&amp;CHOOSE(MIN(4,COUNTIF($C$18:C450,C450)),"st","nd","rd","th"),"")</f>
        <v/>
      </c>
    </row>
    <row r="451" spans="10:10" x14ac:dyDescent="0.25">
      <c r="J451" s="164" t="str">
        <f>IFERROR(COUNTIF($C$18:C451,C451)&amp;CHOOSE(MIN(4,COUNTIF($C$18:C451,C451)),"st","nd","rd","th"),"")</f>
        <v/>
      </c>
    </row>
    <row r="452" spans="10:10" x14ac:dyDescent="0.25">
      <c r="J452" s="164" t="str">
        <f>IFERROR(COUNTIF($C$18:C452,C452)&amp;CHOOSE(MIN(4,COUNTIF($C$18:C452,C452)),"st","nd","rd","th"),"")</f>
        <v/>
      </c>
    </row>
    <row r="453" spans="10:10" x14ac:dyDescent="0.25">
      <c r="J453" s="164" t="str">
        <f>IFERROR(COUNTIF($C$18:C453,C453)&amp;CHOOSE(MIN(4,COUNTIF($C$18:C453,C453)),"st","nd","rd","th"),"")</f>
        <v/>
      </c>
    </row>
    <row r="454" spans="10:10" x14ac:dyDescent="0.25">
      <c r="J454" s="164" t="str">
        <f>IFERROR(COUNTIF($C$18:C454,C454)&amp;CHOOSE(MIN(4,COUNTIF($C$18:C454,C454)),"st","nd","rd","th"),"")</f>
        <v/>
      </c>
    </row>
    <row r="455" spans="10:10" x14ac:dyDescent="0.25">
      <c r="J455" s="164" t="str">
        <f>IFERROR(COUNTIF($C$18:C455,C455)&amp;CHOOSE(MIN(4,COUNTIF($C$18:C455,C455)),"st","nd","rd","th"),"")</f>
        <v/>
      </c>
    </row>
    <row r="456" spans="10:10" x14ac:dyDescent="0.25">
      <c r="J456" s="164" t="str">
        <f>IFERROR(COUNTIF($C$18:C456,C456)&amp;CHOOSE(MIN(4,COUNTIF($C$18:C456,C456)),"st","nd","rd","th"),"")</f>
        <v/>
      </c>
    </row>
    <row r="457" spans="10:10" x14ac:dyDescent="0.25">
      <c r="J457" s="164" t="str">
        <f>IFERROR(COUNTIF($C$18:C457,C457)&amp;CHOOSE(MIN(4,COUNTIF($C$18:C457,C457)),"st","nd","rd","th"),"")</f>
        <v/>
      </c>
    </row>
    <row r="458" spans="10:10" x14ac:dyDescent="0.25">
      <c r="J458" s="164" t="str">
        <f>IFERROR(COUNTIF($C$18:C458,C458)&amp;CHOOSE(MIN(4,COUNTIF($C$18:C458,C458)),"st","nd","rd","th"),"")</f>
        <v/>
      </c>
    </row>
    <row r="459" spans="10:10" x14ac:dyDescent="0.25">
      <c r="J459" s="164" t="str">
        <f>IFERROR(COUNTIF($C$18:C459,C459)&amp;CHOOSE(MIN(4,COUNTIF($C$18:C459,C459)),"st","nd","rd","th"),"")</f>
        <v/>
      </c>
    </row>
    <row r="460" spans="10:10" x14ac:dyDescent="0.25">
      <c r="J460" s="164" t="str">
        <f>IFERROR(COUNTIF($C$18:C460,C460)&amp;CHOOSE(MIN(4,COUNTIF($C$18:C460,C460)),"st","nd","rd","th"),"")</f>
        <v/>
      </c>
    </row>
    <row r="461" spans="10:10" x14ac:dyDescent="0.25">
      <c r="J461" s="164" t="str">
        <f>IFERROR(COUNTIF($C$18:C461,C461)&amp;CHOOSE(MIN(4,COUNTIF($C$18:C461,C461)),"st","nd","rd","th"),"")</f>
        <v/>
      </c>
    </row>
    <row r="462" spans="10:10" x14ac:dyDescent="0.25">
      <c r="J462" s="164" t="str">
        <f>IFERROR(COUNTIF($C$18:C462,C462)&amp;CHOOSE(MIN(4,COUNTIF($C$18:C462,C462)),"st","nd","rd","th"),"")</f>
        <v/>
      </c>
    </row>
    <row r="463" spans="10:10" x14ac:dyDescent="0.25">
      <c r="J463" s="164" t="str">
        <f>IFERROR(COUNTIF($C$18:C463,C463)&amp;CHOOSE(MIN(4,COUNTIF($C$18:C463,C463)),"st","nd","rd","th"),"")</f>
        <v/>
      </c>
    </row>
    <row r="464" spans="10:10" x14ac:dyDescent="0.25">
      <c r="J464" s="164" t="str">
        <f>IFERROR(COUNTIF($C$18:C464,C464)&amp;CHOOSE(MIN(4,COUNTIF($C$18:C464,C464)),"st","nd","rd","th"),"")</f>
        <v/>
      </c>
    </row>
    <row r="465" spans="10:10" x14ac:dyDescent="0.25">
      <c r="J465" s="164" t="str">
        <f>IFERROR(COUNTIF($C$18:C465,C465)&amp;CHOOSE(MIN(4,COUNTIF($C$18:C465,C465)),"st","nd","rd","th"),"")</f>
        <v/>
      </c>
    </row>
    <row r="466" spans="10:10" x14ac:dyDescent="0.25">
      <c r="J466" s="164" t="str">
        <f>IFERROR(COUNTIF($C$18:C466,C466)&amp;CHOOSE(MIN(4,COUNTIF($C$18:C466,C466)),"st","nd","rd","th"),"")</f>
        <v/>
      </c>
    </row>
    <row r="467" spans="10:10" x14ac:dyDescent="0.25">
      <c r="J467" s="164" t="str">
        <f>IFERROR(COUNTIF($C$18:C467,C467)&amp;CHOOSE(MIN(4,COUNTIF($C$18:C467,C467)),"st","nd","rd","th"),"")</f>
        <v/>
      </c>
    </row>
    <row r="468" spans="10:10" x14ac:dyDescent="0.25">
      <c r="J468" s="164" t="str">
        <f>IFERROR(COUNTIF($C$18:C468,C468)&amp;CHOOSE(MIN(4,COUNTIF($C$18:C468,C468)),"st","nd","rd","th"),"")</f>
        <v/>
      </c>
    </row>
    <row r="469" spans="10:10" x14ac:dyDescent="0.25">
      <c r="J469" s="164" t="str">
        <f>IFERROR(COUNTIF($C$18:C469,C469)&amp;CHOOSE(MIN(4,COUNTIF($C$18:C469,C469)),"st","nd","rd","th"),"")</f>
        <v/>
      </c>
    </row>
    <row r="470" spans="10:10" x14ac:dyDescent="0.25">
      <c r="J470" s="164" t="str">
        <f>IFERROR(COUNTIF($C$18:C470,C470)&amp;CHOOSE(MIN(4,COUNTIF($C$18:C470,C470)),"st","nd","rd","th"),"")</f>
        <v/>
      </c>
    </row>
    <row r="471" spans="10:10" x14ac:dyDescent="0.25">
      <c r="J471" s="164" t="str">
        <f>IFERROR(COUNTIF($C$18:C471,C471)&amp;CHOOSE(MIN(4,COUNTIF($C$18:C471,C471)),"st","nd","rd","th"),"")</f>
        <v/>
      </c>
    </row>
    <row r="472" spans="10:10" x14ac:dyDescent="0.25">
      <c r="J472" s="164" t="str">
        <f>IFERROR(COUNTIF($C$18:C472,C472)&amp;CHOOSE(MIN(4,COUNTIF($C$18:C472,C472)),"st","nd","rd","th"),"")</f>
        <v/>
      </c>
    </row>
    <row r="473" spans="10:10" x14ac:dyDescent="0.25">
      <c r="J473" s="164" t="str">
        <f>IFERROR(COUNTIF($C$18:C473,C473)&amp;CHOOSE(MIN(4,COUNTIF($C$18:C473,C473)),"st","nd","rd","th"),"")</f>
        <v/>
      </c>
    </row>
    <row r="474" spans="10:10" x14ac:dyDescent="0.25">
      <c r="J474" s="164" t="str">
        <f>IFERROR(COUNTIF($C$18:C474,C474)&amp;CHOOSE(MIN(4,COUNTIF($C$18:C474,C474)),"st","nd","rd","th"),"")</f>
        <v/>
      </c>
    </row>
    <row r="475" spans="10:10" x14ac:dyDescent="0.25">
      <c r="J475" s="164" t="str">
        <f>IFERROR(COUNTIF($C$18:C475,C475)&amp;CHOOSE(MIN(4,COUNTIF($C$18:C475,C475)),"st","nd","rd","th"),"")</f>
        <v/>
      </c>
    </row>
    <row r="476" spans="10:10" x14ac:dyDescent="0.25">
      <c r="J476" s="164" t="str">
        <f>IFERROR(COUNTIF($C$18:C476,C476)&amp;CHOOSE(MIN(4,COUNTIF($C$18:C476,C476)),"st","nd","rd","th"),"")</f>
        <v/>
      </c>
    </row>
    <row r="477" spans="10:10" x14ac:dyDescent="0.25">
      <c r="J477" s="164" t="str">
        <f>IFERROR(COUNTIF($C$18:C477,C477)&amp;CHOOSE(MIN(4,COUNTIF($C$18:C477,C477)),"st","nd","rd","th"),"")</f>
        <v/>
      </c>
    </row>
    <row r="478" spans="10:10" x14ac:dyDescent="0.25">
      <c r="J478" s="164" t="str">
        <f>IFERROR(COUNTIF($C$18:C478,C478)&amp;CHOOSE(MIN(4,COUNTIF($C$18:C478,C478)),"st","nd","rd","th"),"")</f>
        <v/>
      </c>
    </row>
    <row r="479" spans="10:10" x14ac:dyDescent="0.25">
      <c r="J479" s="164" t="str">
        <f>IFERROR(COUNTIF($C$18:C479,C479)&amp;CHOOSE(MIN(4,COUNTIF($C$18:C479,C479)),"st","nd","rd","th"),"")</f>
        <v/>
      </c>
    </row>
    <row r="480" spans="10:10" x14ac:dyDescent="0.25">
      <c r="J480" s="164" t="str">
        <f>IFERROR(COUNTIF($C$18:C480,C480)&amp;CHOOSE(MIN(4,COUNTIF($C$18:C480,C480)),"st","nd","rd","th"),"")</f>
        <v/>
      </c>
    </row>
    <row r="481" spans="10:10" x14ac:dyDescent="0.25">
      <c r="J481" s="164" t="str">
        <f>IFERROR(COUNTIF($C$18:C481,C481)&amp;CHOOSE(MIN(4,COUNTIF($C$18:C481,C481)),"st","nd","rd","th"),"")</f>
        <v/>
      </c>
    </row>
    <row r="482" spans="10:10" x14ac:dyDescent="0.25">
      <c r="J482" s="164" t="str">
        <f>IFERROR(COUNTIF($C$18:C482,C482)&amp;CHOOSE(MIN(4,COUNTIF($C$18:C482,C482)),"st","nd","rd","th"),"")</f>
        <v/>
      </c>
    </row>
    <row r="483" spans="10:10" x14ac:dyDescent="0.25">
      <c r="J483" s="164" t="str">
        <f>IFERROR(COUNTIF($C$18:C483,C483)&amp;CHOOSE(MIN(4,COUNTIF($C$18:C483,C483)),"st","nd","rd","th"),"")</f>
        <v/>
      </c>
    </row>
    <row r="484" spans="10:10" x14ac:dyDescent="0.25">
      <c r="J484" s="164" t="str">
        <f>IFERROR(COUNTIF($C$18:C484,C484)&amp;CHOOSE(MIN(4,COUNTIF($C$18:C484,C484)),"st","nd","rd","th"),"")</f>
        <v/>
      </c>
    </row>
    <row r="485" spans="10:10" x14ac:dyDescent="0.25">
      <c r="J485" s="164" t="str">
        <f>IFERROR(COUNTIF($C$18:C485,C485)&amp;CHOOSE(MIN(4,COUNTIF($C$18:C485,C485)),"st","nd","rd","th"),"")</f>
        <v/>
      </c>
    </row>
    <row r="486" spans="10:10" x14ac:dyDescent="0.25">
      <c r="J486" s="164" t="str">
        <f>IFERROR(COUNTIF($C$18:C486,C486)&amp;CHOOSE(MIN(4,COUNTIF($C$18:C486,C486)),"st","nd","rd","th"),"")</f>
        <v/>
      </c>
    </row>
    <row r="487" spans="10:10" x14ac:dyDescent="0.25">
      <c r="J487" s="164" t="str">
        <f>IFERROR(COUNTIF($C$18:C487,C487)&amp;CHOOSE(MIN(4,COUNTIF($C$18:C487,C487)),"st","nd","rd","th"),"")</f>
        <v/>
      </c>
    </row>
    <row r="488" spans="10:10" x14ac:dyDescent="0.25">
      <c r="J488" s="164" t="str">
        <f>IFERROR(COUNTIF($C$18:C488,C488)&amp;CHOOSE(MIN(4,COUNTIF($C$18:C488,C488)),"st","nd","rd","th"),"")</f>
        <v/>
      </c>
    </row>
    <row r="489" spans="10:10" x14ac:dyDescent="0.25">
      <c r="J489" s="164" t="str">
        <f>IFERROR(COUNTIF($C$18:C489,C489)&amp;CHOOSE(MIN(4,COUNTIF($C$18:C489,C489)),"st","nd","rd","th"),"")</f>
        <v/>
      </c>
    </row>
    <row r="490" spans="10:10" x14ac:dyDescent="0.25">
      <c r="J490" s="164" t="str">
        <f>IFERROR(COUNTIF($C$18:C490,C490)&amp;CHOOSE(MIN(4,COUNTIF($C$18:C490,C490)),"st","nd","rd","th"),"")</f>
        <v/>
      </c>
    </row>
    <row r="491" spans="10:10" x14ac:dyDescent="0.25">
      <c r="J491" s="164" t="str">
        <f>IFERROR(COUNTIF($C$18:C491,C491)&amp;CHOOSE(MIN(4,COUNTIF($C$18:C491,C491)),"st","nd","rd","th"),"")</f>
        <v/>
      </c>
    </row>
    <row r="492" spans="10:10" x14ac:dyDescent="0.25">
      <c r="J492" s="164" t="str">
        <f>IFERROR(COUNTIF($C$18:C492,C492)&amp;CHOOSE(MIN(4,COUNTIF($C$18:C492,C492)),"st","nd","rd","th"),"")</f>
        <v/>
      </c>
    </row>
    <row r="493" spans="10:10" x14ac:dyDescent="0.25">
      <c r="J493" s="164" t="str">
        <f>IFERROR(COUNTIF($C$18:C493,C493)&amp;CHOOSE(MIN(4,COUNTIF($C$18:C493,C493)),"st","nd","rd","th"),"")</f>
        <v/>
      </c>
    </row>
    <row r="494" spans="10:10" x14ac:dyDescent="0.25">
      <c r="J494" s="164" t="str">
        <f>IFERROR(COUNTIF($C$18:C494,C494)&amp;CHOOSE(MIN(4,COUNTIF($C$18:C494,C494)),"st","nd","rd","th"),"")</f>
        <v/>
      </c>
    </row>
    <row r="495" spans="10:10" x14ac:dyDescent="0.25">
      <c r="J495" s="164" t="str">
        <f>IFERROR(COUNTIF($C$18:C495,C495)&amp;CHOOSE(MIN(4,COUNTIF($C$18:C495,C495)),"st","nd","rd","th"),"")</f>
        <v/>
      </c>
    </row>
    <row r="496" spans="10:10" x14ac:dyDescent="0.25">
      <c r="J496" s="164" t="str">
        <f>IFERROR(COUNTIF($C$18:C496,C496)&amp;CHOOSE(MIN(4,COUNTIF($C$18:C496,C496)),"st","nd","rd","th"),"")</f>
        <v/>
      </c>
    </row>
    <row r="497" spans="10:10" x14ac:dyDescent="0.25">
      <c r="J497" s="164" t="str">
        <f>IFERROR(COUNTIF($C$18:C497,C497)&amp;CHOOSE(MIN(4,COUNTIF($C$18:C497,C497)),"st","nd","rd","th"),"")</f>
        <v/>
      </c>
    </row>
    <row r="498" spans="10:10" x14ac:dyDescent="0.25">
      <c r="J498" s="164" t="str">
        <f>IFERROR(COUNTIF($C$18:C498,C498)&amp;CHOOSE(MIN(4,COUNTIF($C$18:C498,C498)),"st","nd","rd","th"),"")</f>
        <v/>
      </c>
    </row>
    <row r="499" spans="10:10" x14ac:dyDescent="0.25">
      <c r="J499" s="164" t="str">
        <f>IFERROR(COUNTIF($C$18:C499,C499)&amp;CHOOSE(MIN(4,COUNTIF($C$18:C499,C499)),"st","nd","rd","th"),"")</f>
        <v/>
      </c>
    </row>
    <row r="500" spans="10:10" x14ac:dyDescent="0.25">
      <c r="J500" s="164" t="str">
        <f>IFERROR(COUNTIF($C$18:C500,C500)&amp;CHOOSE(MIN(4,COUNTIF($C$18:C500,C500)),"st","nd","rd","th"),"")</f>
        <v/>
      </c>
    </row>
    <row r="501" spans="10:10" x14ac:dyDescent="0.25">
      <c r="J501" s="164" t="str">
        <f>IFERROR(COUNTIF($C$18:C501,C501)&amp;CHOOSE(MIN(4,COUNTIF($C$18:C501,C501)),"st","nd","rd","th"),"")</f>
        <v/>
      </c>
    </row>
    <row r="502" spans="10:10" x14ac:dyDescent="0.25">
      <c r="J502" s="164" t="str">
        <f>IFERROR(COUNTIF($C$18:C502,C502)&amp;CHOOSE(MIN(4,COUNTIF($C$18:C502,C502)),"st","nd","rd","th"),"")</f>
        <v/>
      </c>
    </row>
    <row r="503" spans="10:10" x14ac:dyDescent="0.25">
      <c r="J503" s="164" t="str">
        <f>IFERROR(COUNTIF($C$18:C503,C503)&amp;CHOOSE(MIN(4,COUNTIF($C$18:C503,C503)),"st","nd","rd","th"),"")</f>
        <v/>
      </c>
    </row>
    <row r="504" spans="10:10" x14ac:dyDescent="0.25">
      <c r="J504" s="164" t="str">
        <f>IFERROR(COUNTIF($C$18:C504,C504)&amp;CHOOSE(MIN(4,COUNTIF($C$18:C504,C504)),"st","nd","rd","th"),"")</f>
        <v/>
      </c>
    </row>
    <row r="505" spans="10:10" x14ac:dyDescent="0.25">
      <c r="J505" s="164" t="str">
        <f>IFERROR(COUNTIF($C$18:C505,C505)&amp;CHOOSE(MIN(4,COUNTIF($C$18:C505,C505)),"st","nd","rd","th"),"")</f>
        <v/>
      </c>
    </row>
    <row r="506" spans="10:10" x14ac:dyDescent="0.25">
      <c r="J506" s="164" t="str">
        <f>IFERROR(COUNTIF($C$18:C506,C506)&amp;CHOOSE(MIN(4,COUNTIF($C$18:C506,C506)),"st","nd","rd","th"),"")</f>
        <v/>
      </c>
    </row>
    <row r="507" spans="10:10" x14ac:dyDescent="0.25">
      <c r="J507" s="164" t="str">
        <f>IFERROR(COUNTIF($C$18:C507,C507)&amp;CHOOSE(MIN(4,COUNTIF($C$18:C507,C507)),"st","nd","rd","th"),"")</f>
        <v/>
      </c>
    </row>
    <row r="508" spans="10:10" x14ac:dyDescent="0.25">
      <c r="J508" s="164" t="str">
        <f>IFERROR(COUNTIF($C$18:C508,C508)&amp;CHOOSE(MIN(4,COUNTIF($C$18:C508,C508)),"st","nd","rd","th"),"")</f>
        <v/>
      </c>
    </row>
    <row r="509" spans="10:10" x14ac:dyDescent="0.25">
      <c r="J509" s="164" t="str">
        <f>IFERROR(COUNTIF($C$18:C509,C509)&amp;CHOOSE(MIN(4,COUNTIF($C$18:C509,C509)),"st","nd","rd","th"),"")</f>
        <v/>
      </c>
    </row>
    <row r="510" spans="10:10" x14ac:dyDescent="0.25">
      <c r="J510" s="164" t="str">
        <f>IFERROR(COUNTIF($C$18:C510,C510)&amp;CHOOSE(MIN(4,COUNTIF($C$18:C510,C510)),"st","nd","rd","th"),"")</f>
        <v/>
      </c>
    </row>
    <row r="511" spans="10:10" x14ac:dyDescent="0.25">
      <c r="J511" s="164" t="str">
        <f>IFERROR(COUNTIF($C$18:C511,C511)&amp;CHOOSE(MIN(4,COUNTIF($C$18:C511,C511)),"st","nd","rd","th"),"")</f>
        <v/>
      </c>
    </row>
    <row r="512" spans="10:10" x14ac:dyDescent="0.25">
      <c r="J512" s="164" t="str">
        <f>IFERROR(COUNTIF($C$18:C512,C512)&amp;CHOOSE(MIN(4,COUNTIF($C$18:C512,C512)),"st","nd","rd","th"),"")</f>
        <v/>
      </c>
    </row>
    <row r="513" spans="10:10" x14ac:dyDescent="0.25">
      <c r="J513" s="164" t="str">
        <f>IFERROR(COUNTIF($C$18:C513,C513)&amp;CHOOSE(MIN(4,COUNTIF($C$18:C513,C513)),"st","nd","rd","th"),"")</f>
        <v/>
      </c>
    </row>
    <row r="514" spans="10:10" x14ac:dyDescent="0.25">
      <c r="J514" s="164" t="str">
        <f>IFERROR(COUNTIF($C$18:C514,C514)&amp;CHOOSE(MIN(4,COUNTIF($C$18:C514,C514)),"st","nd","rd","th"),"")</f>
        <v/>
      </c>
    </row>
    <row r="515" spans="10:10" x14ac:dyDescent="0.25">
      <c r="J515" s="164" t="str">
        <f>IFERROR(COUNTIF($C$18:C515,C515)&amp;CHOOSE(MIN(4,COUNTIF($C$18:C515,C515)),"st","nd","rd","th"),"")</f>
        <v/>
      </c>
    </row>
    <row r="516" spans="10:10" x14ac:dyDescent="0.25">
      <c r="J516" s="164" t="str">
        <f>IFERROR(COUNTIF($C$18:C516,C516)&amp;CHOOSE(MIN(4,COUNTIF($C$18:C516,C516)),"st","nd","rd","th"),"")</f>
        <v/>
      </c>
    </row>
    <row r="517" spans="10:10" x14ac:dyDescent="0.25">
      <c r="J517" s="164" t="str">
        <f>IFERROR(COUNTIF($C$18:C517,C517)&amp;CHOOSE(MIN(4,COUNTIF($C$18:C517,C517)),"st","nd","rd","th"),"")</f>
        <v/>
      </c>
    </row>
    <row r="518" spans="10:10" x14ac:dyDescent="0.25">
      <c r="J518" s="164" t="str">
        <f>IFERROR(COUNTIF($C$18:C518,C518)&amp;CHOOSE(MIN(4,COUNTIF($C$18:C518,C518)),"st","nd","rd","th"),"")</f>
        <v/>
      </c>
    </row>
    <row r="519" spans="10:10" x14ac:dyDescent="0.25">
      <c r="J519" s="164" t="str">
        <f>IFERROR(COUNTIF($C$18:C519,C519)&amp;CHOOSE(MIN(4,COUNTIF($C$18:C519,C519)),"st","nd","rd","th"),"")</f>
        <v/>
      </c>
    </row>
    <row r="520" spans="10:10" x14ac:dyDescent="0.25">
      <c r="J520" s="164" t="str">
        <f>IFERROR(COUNTIF($C$18:C520,C520)&amp;CHOOSE(MIN(4,COUNTIF($C$18:C520,C520)),"st","nd","rd","th"),"")</f>
        <v/>
      </c>
    </row>
    <row r="521" spans="10:10" x14ac:dyDescent="0.25">
      <c r="J521" s="164" t="str">
        <f>IFERROR(COUNTIF($C$18:C521,C521)&amp;CHOOSE(MIN(4,COUNTIF($C$18:C521,C521)),"st","nd","rd","th"),"")</f>
        <v/>
      </c>
    </row>
    <row r="522" spans="10:10" x14ac:dyDescent="0.25">
      <c r="J522" s="164" t="str">
        <f>IFERROR(COUNTIF($C$18:C522,C522)&amp;CHOOSE(MIN(4,COUNTIF($C$18:C522,C522)),"st","nd","rd","th"),"")</f>
        <v/>
      </c>
    </row>
    <row r="523" spans="10:10" x14ac:dyDescent="0.25">
      <c r="J523" s="164" t="str">
        <f>IFERROR(COUNTIF($C$18:C523,C523)&amp;CHOOSE(MIN(4,COUNTIF($C$18:C523,C523)),"st","nd","rd","th"),"")</f>
        <v/>
      </c>
    </row>
    <row r="524" spans="10:10" x14ac:dyDescent="0.25">
      <c r="J524" s="164" t="str">
        <f>IFERROR(COUNTIF($C$18:C524,C524)&amp;CHOOSE(MIN(4,COUNTIF($C$18:C524,C524)),"st","nd","rd","th"),"")</f>
        <v/>
      </c>
    </row>
    <row r="525" spans="10:10" x14ac:dyDescent="0.25">
      <c r="J525" s="164" t="str">
        <f>IFERROR(COUNTIF($C$18:C525,C525)&amp;CHOOSE(MIN(4,COUNTIF($C$18:C525,C525)),"st","nd","rd","th"),"")</f>
        <v/>
      </c>
    </row>
    <row r="526" spans="10:10" x14ac:dyDescent="0.25">
      <c r="J526" s="164" t="str">
        <f>IFERROR(COUNTIF($C$18:C526,C526)&amp;CHOOSE(MIN(4,COUNTIF($C$18:C526,C526)),"st","nd","rd","th"),"")</f>
        <v/>
      </c>
    </row>
    <row r="527" spans="10:10" x14ac:dyDescent="0.25">
      <c r="J527" s="164" t="str">
        <f>IFERROR(COUNTIF($C$18:C527,C527)&amp;CHOOSE(MIN(4,COUNTIF($C$18:C527,C527)),"st","nd","rd","th"),"")</f>
        <v/>
      </c>
    </row>
    <row r="528" spans="10:10" x14ac:dyDescent="0.25">
      <c r="J528" s="164" t="str">
        <f>IFERROR(COUNTIF($C$18:C528,C528)&amp;CHOOSE(MIN(4,COUNTIF($C$18:C528,C528)),"st","nd","rd","th"),"")</f>
        <v/>
      </c>
    </row>
    <row r="529" spans="10:10" x14ac:dyDescent="0.25">
      <c r="J529" s="164" t="str">
        <f>IFERROR(COUNTIF($C$18:C529,C529)&amp;CHOOSE(MIN(4,COUNTIF($C$18:C529,C529)),"st","nd","rd","th"),"")</f>
        <v/>
      </c>
    </row>
    <row r="530" spans="10:10" x14ac:dyDescent="0.25">
      <c r="J530" s="164" t="str">
        <f>IFERROR(COUNTIF($C$18:C530,C530)&amp;CHOOSE(MIN(4,COUNTIF($C$18:C530,C530)),"st","nd","rd","th"),"")</f>
        <v/>
      </c>
    </row>
    <row r="531" spans="10:10" x14ac:dyDescent="0.25">
      <c r="J531" s="164" t="str">
        <f>IFERROR(COUNTIF($C$18:C531,C531)&amp;CHOOSE(MIN(4,COUNTIF($C$18:C531,C531)),"st","nd","rd","th"),"")</f>
        <v/>
      </c>
    </row>
    <row r="532" spans="10:10" x14ac:dyDescent="0.25">
      <c r="J532" s="164" t="str">
        <f>IFERROR(COUNTIF($C$18:C532,C532)&amp;CHOOSE(MIN(4,COUNTIF($C$18:C532,C532)),"st","nd","rd","th"),"")</f>
        <v/>
      </c>
    </row>
    <row r="533" spans="10:10" x14ac:dyDescent="0.25">
      <c r="J533" s="164" t="str">
        <f>IFERROR(COUNTIF($C$18:C533,C533)&amp;CHOOSE(MIN(4,COUNTIF($C$18:C533,C533)),"st","nd","rd","th"),"")</f>
        <v/>
      </c>
    </row>
    <row r="534" spans="10:10" x14ac:dyDescent="0.25">
      <c r="J534" s="164" t="str">
        <f>IFERROR(COUNTIF($C$18:C534,C534)&amp;CHOOSE(MIN(4,COUNTIF($C$18:C534,C534)),"st","nd","rd","th"),"")</f>
        <v/>
      </c>
    </row>
    <row r="535" spans="10:10" x14ac:dyDescent="0.25">
      <c r="J535" s="164" t="str">
        <f>IFERROR(COUNTIF($C$18:C535,C535)&amp;CHOOSE(MIN(4,COUNTIF($C$18:C535,C535)),"st","nd","rd","th"),"")</f>
        <v/>
      </c>
    </row>
    <row r="536" spans="10:10" x14ac:dyDescent="0.25">
      <c r="J536" s="164" t="str">
        <f>IFERROR(COUNTIF($C$18:C536,C536)&amp;CHOOSE(MIN(4,COUNTIF($C$18:C536,C536)),"st","nd","rd","th"),"")</f>
        <v/>
      </c>
    </row>
    <row r="537" spans="10:10" x14ac:dyDescent="0.25">
      <c r="J537" s="164" t="str">
        <f>IFERROR(COUNTIF($C$18:C537,C537)&amp;CHOOSE(MIN(4,COUNTIF($C$18:C537,C537)),"st","nd","rd","th"),"")</f>
        <v/>
      </c>
    </row>
    <row r="538" spans="10:10" x14ac:dyDescent="0.25">
      <c r="J538" s="164" t="str">
        <f>IFERROR(COUNTIF($C$18:C538,C538)&amp;CHOOSE(MIN(4,COUNTIF($C$18:C538,C538)),"st","nd","rd","th"),"")</f>
        <v/>
      </c>
    </row>
    <row r="539" spans="10:10" x14ac:dyDescent="0.25">
      <c r="J539" s="164" t="str">
        <f>IFERROR(COUNTIF($C$18:C539,C539)&amp;CHOOSE(MIN(4,COUNTIF($C$18:C539,C539)),"st","nd","rd","th"),"")</f>
        <v/>
      </c>
    </row>
    <row r="540" spans="10:10" x14ac:dyDescent="0.25">
      <c r="J540" s="164" t="str">
        <f>IFERROR(COUNTIF($C$18:C540,C540)&amp;CHOOSE(MIN(4,COUNTIF($C$18:C540,C540)),"st","nd","rd","th"),"")</f>
        <v/>
      </c>
    </row>
    <row r="541" spans="10:10" x14ac:dyDescent="0.25">
      <c r="J541" s="164" t="str">
        <f>IFERROR(COUNTIF($C$18:C541,C541)&amp;CHOOSE(MIN(4,COUNTIF($C$18:C541,C541)),"st","nd","rd","th"),"")</f>
        <v/>
      </c>
    </row>
    <row r="542" spans="10:10" x14ac:dyDescent="0.25">
      <c r="J542" s="164" t="str">
        <f>IFERROR(COUNTIF($C$18:C542,C542)&amp;CHOOSE(MIN(4,COUNTIF($C$18:C542,C542)),"st","nd","rd","th"),"")</f>
        <v/>
      </c>
    </row>
    <row r="543" spans="10:10" x14ac:dyDescent="0.25">
      <c r="J543" s="164" t="str">
        <f>IFERROR(COUNTIF($C$18:C543,C543)&amp;CHOOSE(MIN(4,COUNTIF($C$18:C543,C543)),"st","nd","rd","th"),"")</f>
        <v/>
      </c>
    </row>
    <row r="544" spans="10:10" x14ac:dyDescent="0.25">
      <c r="J544" s="164" t="str">
        <f>IFERROR(COUNTIF($C$18:C544,C544)&amp;CHOOSE(MIN(4,COUNTIF($C$18:C544,C544)),"st","nd","rd","th"),"")</f>
        <v/>
      </c>
    </row>
    <row r="545" spans="10:10" x14ac:dyDescent="0.25">
      <c r="J545" s="164" t="str">
        <f>IFERROR(COUNTIF($C$18:C545,C545)&amp;CHOOSE(MIN(4,COUNTIF($C$18:C545,C545)),"st","nd","rd","th"),"")</f>
        <v/>
      </c>
    </row>
    <row r="546" spans="10:10" x14ac:dyDescent="0.25">
      <c r="J546" s="164" t="str">
        <f>IFERROR(COUNTIF($C$18:C546,C546)&amp;CHOOSE(MIN(4,COUNTIF($C$18:C546,C546)),"st","nd","rd","th"),"")</f>
        <v/>
      </c>
    </row>
    <row r="547" spans="10:10" x14ac:dyDescent="0.25">
      <c r="J547" s="164" t="str">
        <f>IFERROR(COUNTIF($C$18:C547,C547)&amp;CHOOSE(MIN(4,COUNTIF($C$18:C547,C547)),"st","nd","rd","th"),"")</f>
        <v/>
      </c>
    </row>
    <row r="548" spans="10:10" x14ac:dyDescent="0.25">
      <c r="J548" s="164" t="str">
        <f>IFERROR(COUNTIF($C$18:C548,C548)&amp;CHOOSE(MIN(4,COUNTIF($C$18:C548,C548)),"st","nd","rd","th"),"")</f>
        <v/>
      </c>
    </row>
    <row r="549" spans="10:10" x14ac:dyDescent="0.25">
      <c r="J549" s="164" t="str">
        <f>IFERROR(COUNTIF($C$18:C549,C549)&amp;CHOOSE(MIN(4,COUNTIF($C$18:C549,C549)),"st","nd","rd","th"),"")</f>
        <v/>
      </c>
    </row>
    <row r="550" spans="10:10" x14ac:dyDescent="0.25">
      <c r="J550" s="164" t="str">
        <f>IFERROR(COUNTIF($C$18:C550,C550)&amp;CHOOSE(MIN(4,COUNTIF($C$18:C550,C550)),"st","nd","rd","th"),"")</f>
        <v/>
      </c>
    </row>
    <row r="551" spans="10:10" x14ac:dyDescent="0.25">
      <c r="J551" s="164" t="str">
        <f>IFERROR(COUNTIF($C$18:C551,C551)&amp;CHOOSE(MIN(4,COUNTIF($C$18:C551,C551)),"st","nd","rd","th"),"")</f>
        <v/>
      </c>
    </row>
    <row r="552" spans="10:10" x14ac:dyDescent="0.25">
      <c r="J552" s="164" t="str">
        <f>IFERROR(COUNTIF($C$18:C552,C552)&amp;CHOOSE(MIN(4,COUNTIF($C$18:C552,C552)),"st","nd","rd","th"),"")</f>
        <v/>
      </c>
    </row>
    <row r="553" spans="10:10" x14ac:dyDescent="0.25">
      <c r="J553" s="164" t="str">
        <f>IFERROR(COUNTIF($C$18:C553,C553)&amp;CHOOSE(MIN(4,COUNTIF($C$18:C553,C553)),"st","nd","rd","th"),"")</f>
        <v/>
      </c>
    </row>
    <row r="554" spans="10:10" x14ac:dyDescent="0.25">
      <c r="J554" s="164" t="str">
        <f>IFERROR(COUNTIF($C$18:C554,C554)&amp;CHOOSE(MIN(4,COUNTIF($C$18:C554,C554)),"st","nd","rd","th"),"")</f>
        <v/>
      </c>
    </row>
    <row r="555" spans="10:10" x14ac:dyDescent="0.25">
      <c r="J555" s="164" t="str">
        <f>IFERROR(COUNTIF($C$18:C555,C555)&amp;CHOOSE(MIN(4,COUNTIF($C$18:C555,C555)),"st","nd","rd","th"),"")</f>
        <v/>
      </c>
    </row>
    <row r="556" spans="10:10" x14ac:dyDescent="0.25">
      <c r="J556" s="164" t="str">
        <f>IFERROR(COUNTIF($C$18:C556,C556)&amp;CHOOSE(MIN(4,COUNTIF($C$18:C556,C556)),"st","nd","rd","th"),"")</f>
        <v/>
      </c>
    </row>
    <row r="557" spans="10:10" x14ac:dyDescent="0.25">
      <c r="J557" s="164" t="str">
        <f>IFERROR(COUNTIF($C$18:C557,C557)&amp;CHOOSE(MIN(4,COUNTIF($C$18:C557,C557)),"st","nd","rd","th"),"")</f>
        <v/>
      </c>
    </row>
    <row r="558" spans="10:10" x14ac:dyDescent="0.25">
      <c r="J558" s="164" t="str">
        <f>IFERROR(COUNTIF($C$18:C558,C558)&amp;CHOOSE(MIN(4,COUNTIF($C$18:C558,C558)),"st","nd","rd","th"),"")</f>
        <v/>
      </c>
    </row>
    <row r="559" spans="10:10" x14ac:dyDescent="0.25">
      <c r="J559" s="164" t="str">
        <f>IFERROR(COUNTIF($C$18:C559,C559)&amp;CHOOSE(MIN(4,COUNTIF($C$18:C559,C559)),"st","nd","rd","th"),"")</f>
        <v/>
      </c>
    </row>
    <row r="560" spans="10:10" x14ac:dyDescent="0.25">
      <c r="J560" s="164" t="str">
        <f>IFERROR(COUNTIF($C$18:C560,C560)&amp;CHOOSE(MIN(4,COUNTIF($C$18:C560,C560)),"st","nd","rd","th"),"")</f>
        <v/>
      </c>
    </row>
    <row r="561" spans="10:10" x14ac:dyDescent="0.25">
      <c r="J561" s="164" t="str">
        <f>IFERROR(COUNTIF($C$18:C561,C561)&amp;CHOOSE(MIN(4,COUNTIF($C$18:C561,C561)),"st","nd","rd","th"),"")</f>
        <v/>
      </c>
    </row>
    <row r="562" spans="10:10" x14ac:dyDescent="0.25">
      <c r="J562" s="164" t="str">
        <f>IFERROR(COUNTIF($C$18:C562,C562)&amp;CHOOSE(MIN(4,COUNTIF($C$18:C562,C562)),"st","nd","rd","th"),"")</f>
        <v/>
      </c>
    </row>
    <row r="563" spans="10:10" x14ac:dyDescent="0.25">
      <c r="J563" s="164" t="str">
        <f>IFERROR(COUNTIF($C$18:C563,C563)&amp;CHOOSE(MIN(4,COUNTIF($C$18:C563,C563)),"st","nd","rd","th"),"")</f>
        <v/>
      </c>
    </row>
    <row r="564" spans="10:10" x14ac:dyDescent="0.25">
      <c r="J564" s="164" t="str">
        <f>IFERROR(COUNTIF($C$18:C564,C564)&amp;CHOOSE(MIN(4,COUNTIF($C$18:C564,C564)),"st","nd","rd","th"),"")</f>
        <v/>
      </c>
    </row>
    <row r="565" spans="10:10" x14ac:dyDescent="0.25">
      <c r="J565" s="164" t="str">
        <f>IFERROR(COUNTIF($C$18:C565,C565)&amp;CHOOSE(MIN(4,COUNTIF($C$18:C565,C565)),"st","nd","rd","th"),"")</f>
        <v/>
      </c>
    </row>
    <row r="566" spans="10:10" x14ac:dyDescent="0.25">
      <c r="J566" s="164" t="str">
        <f>IFERROR(COUNTIF($C$18:C566,C566)&amp;CHOOSE(MIN(4,COUNTIF($C$18:C566,C566)),"st","nd","rd","th"),"")</f>
        <v/>
      </c>
    </row>
    <row r="567" spans="10:10" x14ac:dyDescent="0.25">
      <c r="J567" s="164" t="str">
        <f>IFERROR(COUNTIF($C$18:C567,C567)&amp;CHOOSE(MIN(4,COUNTIF($C$18:C567,C567)),"st","nd","rd","th"),"")</f>
        <v/>
      </c>
    </row>
    <row r="568" spans="10:10" x14ac:dyDescent="0.25">
      <c r="J568" s="164" t="str">
        <f>IFERROR(COUNTIF($C$18:C568,C568)&amp;CHOOSE(MIN(4,COUNTIF($C$18:C568,C568)),"st","nd","rd","th"),"")</f>
        <v/>
      </c>
    </row>
    <row r="569" spans="10:10" x14ac:dyDescent="0.25">
      <c r="J569" s="164" t="str">
        <f>IFERROR(COUNTIF($C$18:C569,C569)&amp;CHOOSE(MIN(4,COUNTIF($C$18:C569,C569)),"st","nd","rd","th"),"")</f>
        <v/>
      </c>
    </row>
    <row r="570" spans="10:10" x14ac:dyDescent="0.25">
      <c r="J570" s="164" t="str">
        <f>IFERROR(COUNTIF($C$18:C570,C570)&amp;CHOOSE(MIN(4,COUNTIF($C$18:C570,C570)),"st","nd","rd","th"),"")</f>
        <v/>
      </c>
    </row>
    <row r="571" spans="10:10" x14ac:dyDescent="0.25">
      <c r="J571" s="164" t="str">
        <f>IFERROR(COUNTIF($C$18:C571,C571)&amp;CHOOSE(MIN(4,COUNTIF($C$18:C571,C571)),"st","nd","rd","th"),"")</f>
        <v/>
      </c>
    </row>
    <row r="572" spans="10:10" x14ac:dyDescent="0.25">
      <c r="J572" s="164" t="str">
        <f>IFERROR(COUNTIF($C$18:C572,C572)&amp;CHOOSE(MIN(4,COUNTIF($C$18:C572,C572)),"st","nd","rd","th"),"")</f>
        <v/>
      </c>
    </row>
    <row r="573" spans="10:10" x14ac:dyDescent="0.25">
      <c r="J573" s="164" t="str">
        <f>IFERROR(COUNTIF($C$18:C573,C573)&amp;CHOOSE(MIN(4,COUNTIF($C$18:C573,C573)),"st","nd","rd","th"),"")</f>
        <v/>
      </c>
    </row>
    <row r="574" spans="10:10" x14ac:dyDescent="0.25">
      <c r="J574" s="164" t="str">
        <f>IFERROR(COUNTIF($C$18:C574,C574)&amp;CHOOSE(MIN(4,COUNTIF($C$18:C574,C574)),"st","nd","rd","th"),"")</f>
        <v/>
      </c>
    </row>
    <row r="575" spans="10:10" x14ac:dyDescent="0.25">
      <c r="J575" s="164" t="str">
        <f>IFERROR(COUNTIF($C$18:C575,C575)&amp;CHOOSE(MIN(4,COUNTIF($C$18:C575,C575)),"st","nd","rd","th"),"")</f>
        <v/>
      </c>
    </row>
    <row r="576" spans="10:10" x14ac:dyDescent="0.25">
      <c r="J576" s="164" t="str">
        <f>IFERROR(COUNTIF($C$18:C576,C576)&amp;CHOOSE(MIN(4,COUNTIF($C$18:C576,C576)),"st","nd","rd","th"),"")</f>
        <v/>
      </c>
    </row>
    <row r="577" spans="10:10" x14ac:dyDescent="0.25">
      <c r="J577" s="164" t="str">
        <f>IFERROR(COUNTIF($C$18:C577,C577)&amp;CHOOSE(MIN(4,COUNTIF($C$18:C577,C577)),"st","nd","rd","th"),"")</f>
        <v/>
      </c>
    </row>
    <row r="578" spans="10:10" x14ac:dyDescent="0.25">
      <c r="J578" s="164" t="str">
        <f>IFERROR(COUNTIF($C$18:C578,C578)&amp;CHOOSE(MIN(4,COUNTIF($C$18:C578,C578)),"st","nd","rd","th"),"")</f>
        <v/>
      </c>
    </row>
    <row r="579" spans="10:10" x14ac:dyDescent="0.25">
      <c r="J579" s="164" t="str">
        <f>IFERROR(COUNTIF($C$18:C579,C579)&amp;CHOOSE(MIN(4,COUNTIF($C$18:C579,C579)),"st","nd","rd","th"),"")</f>
        <v/>
      </c>
    </row>
    <row r="580" spans="10:10" x14ac:dyDescent="0.25">
      <c r="J580" s="164" t="str">
        <f>IFERROR(COUNTIF($C$18:C580,C580)&amp;CHOOSE(MIN(4,COUNTIF($C$18:C580,C580)),"st","nd","rd","th"),"")</f>
        <v/>
      </c>
    </row>
    <row r="581" spans="10:10" x14ac:dyDescent="0.25">
      <c r="J581" s="164" t="str">
        <f>IFERROR(COUNTIF($C$18:C581,C581)&amp;CHOOSE(MIN(4,COUNTIF($C$18:C581,C581)),"st","nd","rd","th"),"")</f>
        <v/>
      </c>
    </row>
    <row r="582" spans="10:10" x14ac:dyDescent="0.25">
      <c r="J582" s="164" t="str">
        <f>IFERROR(COUNTIF($C$18:C582,C582)&amp;CHOOSE(MIN(4,COUNTIF($C$18:C582,C582)),"st","nd","rd","th"),"")</f>
        <v/>
      </c>
    </row>
    <row r="583" spans="10:10" x14ac:dyDescent="0.25">
      <c r="J583" s="164" t="str">
        <f>IFERROR(COUNTIF($C$18:C583,C583)&amp;CHOOSE(MIN(4,COUNTIF($C$18:C583,C583)),"st","nd","rd","th"),"")</f>
        <v/>
      </c>
    </row>
    <row r="584" spans="10:10" x14ac:dyDescent="0.25">
      <c r="J584" s="164" t="str">
        <f>IFERROR(COUNTIF($C$18:C584,C584)&amp;CHOOSE(MIN(4,COUNTIF($C$18:C584,C584)),"st","nd","rd","th"),"")</f>
        <v/>
      </c>
    </row>
    <row r="585" spans="10:10" x14ac:dyDescent="0.25">
      <c r="J585" s="164" t="str">
        <f>IFERROR(COUNTIF($C$18:C585,C585)&amp;CHOOSE(MIN(4,COUNTIF($C$18:C585,C585)),"st","nd","rd","th"),"")</f>
        <v/>
      </c>
    </row>
    <row r="586" spans="10:10" x14ac:dyDescent="0.25">
      <c r="J586" s="164" t="str">
        <f>IFERROR(COUNTIF($C$18:C586,C586)&amp;CHOOSE(MIN(4,COUNTIF($C$18:C586,C586)),"st","nd","rd","th"),"")</f>
        <v/>
      </c>
    </row>
    <row r="587" spans="10:10" x14ac:dyDescent="0.25">
      <c r="J587" s="164" t="str">
        <f>IFERROR(COUNTIF($C$18:C587,C587)&amp;CHOOSE(MIN(4,COUNTIF($C$18:C587,C587)),"st","nd","rd","th"),"")</f>
        <v/>
      </c>
    </row>
    <row r="588" spans="10:10" x14ac:dyDescent="0.25">
      <c r="J588" s="164" t="str">
        <f>IFERROR(COUNTIF($C$18:C588,C588)&amp;CHOOSE(MIN(4,COUNTIF($C$18:C588,C588)),"st","nd","rd","th"),"")</f>
        <v/>
      </c>
    </row>
    <row r="589" spans="10:10" x14ac:dyDescent="0.25">
      <c r="J589" s="164" t="str">
        <f>IFERROR(COUNTIF($C$18:C589,C589)&amp;CHOOSE(MIN(4,COUNTIF($C$18:C589,C589)),"st","nd","rd","th"),"")</f>
        <v/>
      </c>
    </row>
    <row r="590" spans="10:10" x14ac:dyDescent="0.25">
      <c r="J590" s="164" t="str">
        <f>IFERROR(COUNTIF($C$18:C590,C590)&amp;CHOOSE(MIN(4,COUNTIF($C$18:C590,C590)),"st","nd","rd","th"),"")</f>
        <v/>
      </c>
    </row>
    <row r="591" spans="10:10" x14ac:dyDescent="0.25">
      <c r="J591" s="164" t="str">
        <f>IFERROR(COUNTIF($C$18:C591,C591)&amp;CHOOSE(MIN(4,COUNTIF($C$18:C591,C591)),"st","nd","rd","th"),"")</f>
        <v/>
      </c>
    </row>
    <row r="592" spans="10:10" x14ac:dyDescent="0.25">
      <c r="J592" s="164" t="str">
        <f>IFERROR(COUNTIF($C$18:C592,C592)&amp;CHOOSE(MIN(4,COUNTIF($C$18:C592,C592)),"st","nd","rd","th"),"")</f>
        <v/>
      </c>
    </row>
    <row r="593" spans="10:10" x14ac:dyDescent="0.25">
      <c r="J593" s="164" t="str">
        <f>IFERROR(COUNTIF($C$18:C593,C593)&amp;CHOOSE(MIN(4,COUNTIF($C$18:C593,C593)),"st","nd","rd","th"),"")</f>
        <v/>
      </c>
    </row>
    <row r="594" spans="10:10" x14ac:dyDescent="0.25">
      <c r="J594" s="164" t="str">
        <f>IFERROR(COUNTIF($C$18:C594,C594)&amp;CHOOSE(MIN(4,COUNTIF($C$18:C594,C594)),"st","nd","rd","th"),"")</f>
        <v/>
      </c>
    </row>
    <row r="595" spans="10:10" x14ac:dyDescent="0.25">
      <c r="J595" s="164" t="str">
        <f>IFERROR(COUNTIF($C$18:C595,C595)&amp;CHOOSE(MIN(4,COUNTIF($C$18:C595,C595)),"st","nd","rd","th"),"")</f>
        <v/>
      </c>
    </row>
    <row r="596" spans="10:10" x14ac:dyDescent="0.25">
      <c r="J596" s="164" t="str">
        <f>IFERROR(COUNTIF($C$18:C596,C596)&amp;CHOOSE(MIN(4,COUNTIF($C$18:C596,C596)),"st","nd","rd","th"),"")</f>
        <v/>
      </c>
    </row>
    <row r="597" spans="10:10" x14ac:dyDescent="0.25">
      <c r="J597" s="164" t="str">
        <f>IFERROR(COUNTIF($C$18:C597,C597)&amp;CHOOSE(MIN(4,COUNTIF($C$18:C597,C597)),"st","nd","rd","th"),"")</f>
        <v/>
      </c>
    </row>
    <row r="598" spans="10:10" x14ac:dyDescent="0.25">
      <c r="J598" s="164" t="str">
        <f>IFERROR(COUNTIF($C$18:C598,C598)&amp;CHOOSE(MIN(4,COUNTIF($C$18:C598,C598)),"st","nd","rd","th"),"")</f>
        <v/>
      </c>
    </row>
    <row r="599" spans="10:10" x14ac:dyDescent="0.25">
      <c r="J599" s="164" t="str">
        <f>IFERROR(COUNTIF($C$18:C599,C599)&amp;CHOOSE(MIN(4,COUNTIF($C$18:C599,C599)),"st","nd","rd","th"),"")</f>
        <v/>
      </c>
    </row>
    <row r="600" spans="10:10" x14ac:dyDescent="0.25">
      <c r="J600" s="164" t="str">
        <f>IFERROR(COUNTIF($C$18:C600,C600)&amp;CHOOSE(MIN(4,COUNTIF($C$18:C600,C600)),"st","nd","rd","th"),"")</f>
        <v/>
      </c>
    </row>
    <row r="601" spans="10:10" x14ac:dyDescent="0.25">
      <c r="J601" s="164" t="str">
        <f>IFERROR(COUNTIF($C$18:C601,C601)&amp;CHOOSE(MIN(4,COUNTIF($C$18:C601,C601)),"st","nd","rd","th"),"")</f>
        <v/>
      </c>
    </row>
    <row r="602" spans="10:10" x14ac:dyDescent="0.25">
      <c r="J602" s="164" t="str">
        <f>IFERROR(COUNTIF($C$18:C602,C602)&amp;CHOOSE(MIN(4,COUNTIF($C$18:C602,C602)),"st","nd","rd","th"),"")</f>
        <v/>
      </c>
    </row>
    <row r="603" spans="10:10" x14ac:dyDescent="0.25">
      <c r="J603" s="164" t="str">
        <f>IFERROR(COUNTIF($C$18:C603,C603)&amp;CHOOSE(MIN(4,COUNTIF($C$18:C603,C603)),"st","nd","rd","th"),"")</f>
        <v/>
      </c>
    </row>
    <row r="604" spans="10:10" x14ac:dyDescent="0.25">
      <c r="J604" s="164" t="str">
        <f>IFERROR(COUNTIF($C$18:C604,C604)&amp;CHOOSE(MIN(4,COUNTIF($C$18:C604,C604)),"st","nd","rd","th"),"")</f>
        <v/>
      </c>
    </row>
    <row r="605" spans="10:10" x14ac:dyDescent="0.25">
      <c r="J605" s="164" t="str">
        <f>IFERROR(COUNTIF($C$18:C605,C605)&amp;CHOOSE(MIN(4,COUNTIF($C$18:C605,C605)),"st","nd","rd","th"),"")</f>
        <v/>
      </c>
    </row>
    <row r="606" spans="10:10" x14ac:dyDescent="0.25">
      <c r="J606" s="164" t="str">
        <f>IFERROR(COUNTIF($C$18:C606,C606)&amp;CHOOSE(MIN(4,COUNTIF($C$18:C606,C606)),"st","nd","rd","th"),"")</f>
        <v/>
      </c>
    </row>
    <row r="607" spans="10:10" x14ac:dyDescent="0.25">
      <c r="J607" s="164" t="str">
        <f>IFERROR(COUNTIF($C$18:C607,C607)&amp;CHOOSE(MIN(4,COUNTIF($C$18:C607,C607)),"st","nd","rd","th"),"")</f>
        <v/>
      </c>
    </row>
    <row r="608" spans="10:10" x14ac:dyDescent="0.25">
      <c r="J608" s="164" t="str">
        <f>IFERROR(COUNTIF($C$18:C608,C608)&amp;CHOOSE(MIN(4,COUNTIF($C$18:C608,C608)),"st","nd","rd","th"),"")</f>
        <v/>
      </c>
    </row>
    <row r="609" spans="10:10" x14ac:dyDescent="0.25">
      <c r="J609" s="164" t="str">
        <f>IFERROR(COUNTIF($C$18:C609,C609)&amp;CHOOSE(MIN(4,COUNTIF($C$18:C609,C609)),"st","nd","rd","th"),"")</f>
        <v/>
      </c>
    </row>
    <row r="610" spans="10:10" x14ac:dyDescent="0.25">
      <c r="J610" s="164" t="str">
        <f>IFERROR(COUNTIF($C$18:C610,C610)&amp;CHOOSE(MIN(4,COUNTIF($C$18:C610,C610)),"st","nd","rd","th"),"")</f>
        <v/>
      </c>
    </row>
    <row r="611" spans="10:10" x14ac:dyDescent="0.25">
      <c r="J611" s="164" t="str">
        <f>IFERROR(COUNTIF($C$18:C611,C611)&amp;CHOOSE(MIN(4,COUNTIF($C$18:C611,C611)),"st","nd","rd","th"),"")</f>
        <v/>
      </c>
    </row>
    <row r="612" spans="10:10" x14ac:dyDescent="0.25">
      <c r="J612" s="164" t="str">
        <f>IFERROR(COUNTIF($C$18:C612,C612)&amp;CHOOSE(MIN(4,COUNTIF($C$18:C612,C612)),"st","nd","rd","th"),"")</f>
        <v/>
      </c>
    </row>
    <row r="613" spans="10:10" x14ac:dyDescent="0.25">
      <c r="J613" s="164" t="str">
        <f>IFERROR(COUNTIF($C$18:C613,C613)&amp;CHOOSE(MIN(4,COUNTIF($C$18:C613,C613)),"st","nd","rd","th"),"")</f>
        <v/>
      </c>
    </row>
    <row r="614" spans="10:10" x14ac:dyDescent="0.25">
      <c r="J614" s="164" t="str">
        <f>IFERROR(COUNTIF($C$18:C614,C614)&amp;CHOOSE(MIN(4,COUNTIF($C$18:C614,C614)),"st","nd","rd","th"),"")</f>
        <v/>
      </c>
    </row>
    <row r="615" spans="10:10" x14ac:dyDescent="0.25">
      <c r="J615" s="164" t="str">
        <f>IFERROR(COUNTIF($C$18:C615,C615)&amp;CHOOSE(MIN(4,COUNTIF($C$18:C615,C615)),"st","nd","rd","th"),"")</f>
        <v/>
      </c>
    </row>
    <row r="616" spans="10:10" x14ac:dyDescent="0.25">
      <c r="J616" s="164" t="str">
        <f>IFERROR(COUNTIF($C$18:C616,C616)&amp;CHOOSE(MIN(4,COUNTIF($C$18:C616,C616)),"st","nd","rd","th"),"")</f>
        <v/>
      </c>
    </row>
    <row r="617" spans="10:10" x14ac:dyDescent="0.25">
      <c r="J617" s="164" t="str">
        <f>IFERROR(COUNTIF($C$18:C617,C617)&amp;CHOOSE(MIN(4,COUNTIF($C$18:C617,C617)),"st","nd","rd","th"),"")</f>
        <v/>
      </c>
    </row>
    <row r="618" spans="10:10" x14ac:dyDescent="0.25">
      <c r="J618" s="164" t="str">
        <f>IFERROR(COUNTIF($C$18:C618,C618)&amp;CHOOSE(MIN(4,COUNTIF($C$18:C618,C618)),"st","nd","rd","th"),"")</f>
        <v/>
      </c>
    </row>
    <row r="619" spans="10:10" x14ac:dyDescent="0.25">
      <c r="J619" s="164" t="str">
        <f>IFERROR(COUNTIF($C$18:C619,C619)&amp;CHOOSE(MIN(4,COUNTIF($C$18:C619,C619)),"st","nd","rd","th"),"")</f>
        <v/>
      </c>
    </row>
    <row r="620" spans="10:10" x14ac:dyDescent="0.25">
      <c r="J620" s="164" t="str">
        <f>IFERROR(COUNTIF($C$18:C620,C620)&amp;CHOOSE(MIN(4,COUNTIF($C$18:C620,C620)),"st","nd","rd","th"),"")</f>
        <v/>
      </c>
    </row>
    <row r="621" spans="10:10" x14ac:dyDescent="0.25">
      <c r="J621" s="164" t="str">
        <f>IFERROR(COUNTIF($C$18:C621,C621)&amp;CHOOSE(MIN(4,COUNTIF($C$18:C621,C621)),"st","nd","rd","th"),"")</f>
        <v/>
      </c>
    </row>
    <row r="622" spans="10:10" x14ac:dyDescent="0.25">
      <c r="J622" s="164" t="str">
        <f>IFERROR(COUNTIF($C$18:C622,C622)&amp;CHOOSE(MIN(4,COUNTIF($C$18:C622,C622)),"st","nd","rd","th"),"")</f>
        <v/>
      </c>
    </row>
    <row r="623" spans="10:10" x14ac:dyDescent="0.25">
      <c r="J623" s="164" t="str">
        <f>IFERROR(COUNTIF($C$18:C623,C623)&amp;CHOOSE(MIN(4,COUNTIF($C$18:C623,C623)),"st","nd","rd","th"),"")</f>
        <v/>
      </c>
    </row>
    <row r="624" spans="10:10" x14ac:dyDescent="0.25">
      <c r="J624" s="164" t="str">
        <f>IFERROR(COUNTIF($C$18:C624,C624)&amp;CHOOSE(MIN(4,COUNTIF($C$18:C624,C624)),"st","nd","rd","th"),"")</f>
        <v/>
      </c>
    </row>
    <row r="625" spans="10:10" x14ac:dyDescent="0.25">
      <c r="J625" s="164" t="str">
        <f>IFERROR(COUNTIF($C$18:C625,C625)&amp;CHOOSE(MIN(4,COUNTIF($C$18:C625,C625)),"st","nd","rd","th"),"")</f>
        <v/>
      </c>
    </row>
    <row r="626" spans="10:10" x14ac:dyDescent="0.25">
      <c r="J626" s="164" t="str">
        <f>IFERROR(COUNTIF($C$18:C626,C626)&amp;CHOOSE(MIN(4,COUNTIF($C$18:C626,C626)),"st","nd","rd","th"),"")</f>
        <v/>
      </c>
    </row>
    <row r="627" spans="10:10" x14ac:dyDescent="0.25">
      <c r="J627" s="164" t="str">
        <f>IFERROR(COUNTIF($C$18:C627,C627)&amp;CHOOSE(MIN(4,COUNTIF($C$18:C627,C627)),"st","nd","rd","th"),"")</f>
        <v/>
      </c>
    </row>
    <row r="628" spans="10:10" x14ac:dyDescent="0.25">
      <c r="J628" s="164" t="str">
        <f>IFERROR(COUNTIF($C$18:C628,C628)&amp;CHOOSE(MIN(4,COUNTIF($C$18:C628,C628)),"st","nd","rd","th"),"")</f>
        <v/>
      </c>
    </row>
    <row r="629" spans="10:10" x14ac:dyDescent="0.25">
      <c r="J629" s="164" t="str">
        <f>IFERROR(COUNTIF($C$18:C629,C629)&amp;CHOOSE(MIN(4,COUNTIF($C$18:C629,C629)),"st","nd","rd","th"),"")</f>
        <v/>
      </c>
    </row>
    <row r="630" spans="10:10" x14ac:dyDescent="0.25">
      <c r="J630" s="164" t="str">
        <f>IFERROR(COUNTIF($C$18:C630,C630)&amp;CHOOSE(MIN(4,COUNTIF($C$18:C630,C630)),"st","nd","rd","th"),"")</f>
        <v/>
      </c>
    </row>
    <row r="631" spans="10:10" x14ac:dyDescent="0.25">
      <c r="J631" s="164" t="str">
        <f>IFERROR(COUNTIF($C$18:C631,C631)&amp;CHOOSE(MIN(4,COUNTIF($C$18:C631,C631)),"st","nd","rd","th"),"")</f>
        <v/>
      </c>
    </row>
    <row r="632" spans="10:10" x14ac:dyDescent="0.25">
      <c r="J632" s="164" t="str">
        <f>IFERROR(COUNTIF($C$18:C632,C632)&amp;CHOOSE(MIN(4,COUNTIF($C$18:C632,C632)),"st","nd","rd","th"),"")</f>
        <v/>
      </c>
    </row>
    <row r="633" spans="10:10" x14ac:dyDescent="0.25">
      <c r="J633" s="164" t="str">
        <f>IFERROR(COUNTIF($C$18:C633,C633)&amp;CHOOSE(MIN(4,COUNTIF($C$18:C633,C633)),"st","nd","rd","th"),"")</f>
        <v/>
      </c>
    </row>
    <row r="634" spans="10:10" x14ac:dyDescent="0.25">
      <c r="J634" s="164" t="str">
        <f>IFERROR(COUNTIF($C$18:C634,C634)&amp;CHOOSE(MIN(4,COUNTIF($C$18:C634,C634)),"st","nd","rd","th"),"")</f>
        <v/>
      </c>
    </row>
    <row r="635" spans="10:10" x14ac:dyDescent="0.25">
      <c r="J635" s="164" t="str">
        <f>IFERROR(COUNTIF($C$18:C635,C635)&amp;CHOOSE(MIN(4,COUNTIF($C$18:C635,C635)),"st","nd","rd","th"),"")</f>
        <v/>
      </c>
    </row>
    <row r="636" spans="10:10" x14ac:dyDescent="0.25">
      <c r="J636" s="164" t="str">
        <f>IFERROR(COUNTIF($C$18:C636,C636)&amp;CHOOSE(MIN(4,COUNTIF($C$18:C636,C636)),"st","nd","rd","th"),"")</f>
        <v/>
      </c>
    </row>
    <row r="637" spans="10:10" x14ac:dyDescent="0.25">
      <c r="J637" s="164" t="str">
        <f>IFERROR(COUNTIF($C$18:C637,C637)&amp;CHOOSE(MIN(4,COUNTIF($C$18:C637,C637)),"st","nd","rd","th"),"")</f>
        <v/>
      </c>
    </row>
    <row r="638" spans="10:10" x14ac:dyDescent="0.25">
      <c r="J638" s="164" t="str">
        <f>IFERROR(COUNTIF($C$18:C638,C638)&amp;CHOOSE(MIN(4,COUNTIF($C$18:C638,C638)),"st","nd","rd","th"),"")</f>
        <v/>
      </c>
    </row>
    <row r="639" spans="10:10" x14ac:dyDescent="0.25">
      <c r="J639" s="164" t="str">
        <f>IFERROR(COUNTIF($C$18:C639,C639)&amp;CHOOSE(MIN(4,COUNTIF($C$18:C639,C639)),"st","nd","rd","th"),"")</f>
        <v/>
      </c>
    </row>
    <row r="640" spans="10:10" x14ac:dyDescent="0.25">
      <c r="J640" s="164" t="str">
        <f>IFERROR(COUNTIF($C$18:C640,C640)&amp;CHOOSE(MIN(4,COUNTIF($C$18:C640,C640)),"st","nd","rd","th"),"")</f>
        <v/>
      </c>
    </row>
    <row r="641" spans="10:10" x14ac:dyDescent="0.25">
      <c r="J641" s="164" t="str">
        <f>IFERROR(COUNTIF($C$18:C641,C641)&amp;CHOOSE(MIN(4,COUNTIF($C$18:C641,C641)),"st","nd","rd","th"),"")</f>
        <v/>
      </c>
    </row>
    <row r="642" spans="10:10" x14ac:dyDescent="0.25">
      <c r="J642" s="164" t="str">
        <f>IFERROR(COUNTIF($C$18:C642,C642)&amp;CHOOSE(MIN(4,COUNTIF($C$18:C642,C642)),"st","nd","rd","th"),"")</f>
        <v/>
      </c>
    </row>
    <row r="643" spans="10:10" x14ac:dyDescent="0.25">
      <c r="J643" s="164" t="str">
        <f>IFERROR(COUNTIF($C$18:C643,C643)&amp;CHOOSE(MIN(4,COUNTIF($C$18:C643,C643)),"st","nd","rd","th"),"")</f>
        <v/>
      </c>
    </row>
    <row r="644" spans="10:10" x14ac:dyDescent="0.25">
      <c r="J644" s="164" t="str">
        <f>IFERROR(COUNTIF($C$18:C644,C644)&amp;CHOOSE(MIN(4,COUNTIF($C$18:C644,C644)),"st","nd","rd","th"),"")</f>
        <v/>
      </c>
    </row>
    <row r="645" spans="10:10" x14ac:dyDescent="0.25">
      <c r="J645" s="164" t="str">
        <f>IFERROR(COUNTIF($C$18:C645,C645)&amp;CHOOSE(MIN(4,COUNTIF($C$18:C645,C645)),"st","nd","rd","th"),"")</f>
        <v/>
      </c>
    </row>
    <row r="646" spans="10:10" x14ac:dyDescent="0.25">
      <c r="J646" s="164" t="str">
        <f>IFERROR(COUNTIF($C$18:C646,C646)&amp;CHOOSE(MIN(4,COUNTIF($C$18:C646,C646)),"st","nd","rd","th"),"")</f>
        <v/>
      </c>
    </row>
    <row r="647" spans="10:10" x14ac:dyDescent="0.25">
      <c r="J647" s="164" t="str">
        <f>IFERROR(COUNTIF($C$18:C647,C647)&amp;CHOOSE(MIN(4,COUNTIF($C$18:C647,C647)),"st","nd","rd","th"),"")</f>
        <v/>
      </c>
    </row>
    <row r="648" spans="10:10" x14ac:dyDescent="0.25">
      <c r="J648" s="164" t="str">
        <f>IFERROR(COUNTIF($C$18:C648,C648)&amp;CHOOSE(MIN(4,COUNTIF($C$18:C648,C648)),"st","nd","rd","th"),"")</f>
        <v/>
      </c>
    </row>
    <row r="649" spans="10:10" x14ac:dyDescent="0.25">
      <c r="J649" s="164" t="str">
        <f>IFERROR(COUNTIF($C$18:C649,C649)&amp;CHOOSE(MIN(4,COUNTIF($C$18:C649,C649)),"st","nd","rd","th"),"")</f>
        <v/>
      </c>
    </row>
    <row r="650" spans="10:10" x14ac:dyDescent="0.25">
      <c r="J650" s="164" t="str">
        <f>IFERROR(COUNTIF($C$18:C650,C650)&amp;CHOOSE(MIN(4,COUNTIF($C$18:C650,C650)),"st","nd","rd","th"),"")</f>
        <v/>
      </c>
    </row>
    <row r="651" spans="10:10" x14ac:dyDescent="0.25">
      <c r="J651" s="164" t="str">
        <f>IFERROR(COUNTIF($C$18:C651,C651)&amp;CHOOSE(MIN(4,COUNTIF($C$18:C651,C651)),"st","nd","rd","th"),"")</f>
        <v/>
      </c>
    </row>
    <row r="652" spans="10:10" x14ac:dyDescent="0.25">
      <c r="J652" s="164" t="str">
        <f>IFERROR(COUNTIF($C$18:C652,C652)&amp;CHOOSE(MIN(4,COUNTIF($C$18:C652,C652)),"st","nd","rd","th"),"")</f>
        <v/>
      </c>
    </row>
    <row r="653" spans="10:10" x14ac:dyDescent="0.25">
      <c r="J653" s="164" t="str">
        <f>IFERROR(COUNTIF($C$18:C653,C653)&amp;CHOOSE(MIN(4,COUNTIF($C$18:C653,C653)),"st","nd","rd","th"),"")</f>
        <v/>
      </c>
    </row>
    <row r="654" spans="10:10" x14ac:dyDescent="0.25">
      <c r="J654" s="164" t="str">
        <f>IFERROR(COUNTIF($C$18:C654,C654)&amp;CHOOSE(MIN(4,COUNTIF($C$18:C654,C654)),"st","nd","rd","th"),"")</f>
        <v/>
      </c>
    </row>
    <row r="655" spans="10:10" x14ac:dyDescent="0.25">
      <c r="J655" s="164" t="str">
        <f>IFERROR(COUNTIF($C$18:C655,C655)&amp;CHOOSE(MIN(4,COUNTIF($C$18:C655,C655)),"st","nd","rd","th"),"")</f>
        <v/>
      </c>
    </row>
    <row r="656" spans="10:10" x14ac:dyDescent="0.25">
      <c r="J656" s="164" t="str">
        <f>IFERROR(COUNTIF($C$18:C656,C656)&amp;CHOOSE(MIN(4,COUNTIF($C$18:C656,C656)),"st","nd","rd","th"),"")</f>
        <v/>
      </c>
    </row>
    <row r="657" spans="10:10" x14ac:dyDescent="0.25">
      <c r="J657" s="164" t="str">
        <f>IFERROR(COUNTIF($C$18:C657,C657)&amp;CHOOSE(MIN(4,COUNTIF($C$18:C657,C657)),"st","nd","rd","th"),"")</f>
        <v/>
      </c>
    </row>
    <row r="658" spans="10:10" x14ac:dyDescent="0.25">
      <c r="J658" s="164" t="str">
        <f>IFERROR(COUNTIF($C$18:C658,C658)&amp;CHOOSE(MIN(4,COUNTIF($C$18:C658,C658)),"st","nd","rd","th"),"")</f>
        <v/>
      </c>
    </row>
    <row r="659" spans="10:10" x14ac:dyDescent="0.25">
      <c r="J659" s="164" t="str">
        <f>IFERROR(COUNTIF($C$18:C659,C659)&amp;CHOOSE(MIN(4,COUNTIF($C$18:C659,C659)),"st","nd","rd","th"),"")</f>
        <v/>
      </c>
    </row>
    <row r="660" spans="10:10" x14ac:dyDescent="0.25">
      <c r="J660" s="164" t="str">
        <f>IFERROR(COUNTIF($C$18:C660,C660)&amp;CHOOSE(MIN(4,COUNTIF($C$18:C660,C660)),"st","nd","rd","th"),"")</f>
        <v/>
      </c>
    </row>
    <row r="661" spans="10:10" x14ac:dyDescent="0.25">
      <c r="J661" s="164" t="str">
        <f>IFERROR(COUNTIF($C$18:C661,C661)&amp;CHOOSE(MIN(4,COUNTIF($C$18:C661,C661)),"st","nd","rd","th"),"")</f>
        <v/>
      </c>
    </row>
    <row r="662" spans="10:10" x14ac:dyDescent="0.25">
      <c r="J662" s="164" t="str">
        <f>IFERROR(COUNTIF($C$18:C662,C662)&amp;CHOOSE(MIN(4,COUNTIF($C$18:C662,C662)),"st","nd","rd","th"),"")</f>
        <v/>
      </c>
    </row>
    <row r="663" spans="10:10" x14ac:dyDescent="0.25">
      <c r="J663" s="164" t="str">
        <f>IFERROR(COUNTIF($C$18:C663,C663)&amp;CHOOSE(MIN(4,COUNTIF($C$18:C663,C663)),"st","nd","rd","th"),"")</f>
        <v/>
      </c>
    </row>
    <row r="664" spans="10:10" x14ac:dyDescent="0.25">
      <c r="J664" s="164" t="str">
        <f>IFERROR(COUNTIF($C$18:C664,C664)&amp;CHOOSE(MIN(4,COUNTIF($C$18:C664,C664)),"st","nd","rd","th"),"")</f>
        <v/>
      </c>
    </row>
    <row r="665" spans="10:10" x14ac:dyDescent="0.25">
      <c r="J665" s="164" t="str">
        <f>IFERROR(COUNTIF($C$18:C665,C665)&amp;CHOOSE(MIN(4,COUNTIF($C$18:C665,C665)),"st","nd","rd","th"),"")</f>
        <v/>
      </c>
    </row>
    <row r="666" spans="10:10" x14ac:dyDescent="0.25">
      <c r="J666" s="164" t="str">
        <f>IFERROR(COUNTIF($C$18:C666,C666)&amp;CHOOSE(MIN(4,COUNTIF($C$18:C666,C666)),"st","nd","rd","th"),"")</f>
        <v/>
      </c>
    </row>
    <row r="667" spans="10:10" x14ac:dyDescent="0.25">
      <c r="J667" s="164" t="str">
        <f>IFERROR(COUNTIF($C$18:C667,C667)&amp;CHOOSE(MIN(4,COUNTIF($C$18:C667,C667)),"st","nd","rd","th"),"")</f>
        <v/>
      </c>
    </row>
    <row r="668" spans="10:10" x14ac:dyDescent="0.25">
      <c r="J668" s="164" t="str">
        <f>IFERROR(COUNTIF($C$18:C668,C668)&amp;CHOOSE(MIN(4,COUNTIF($C$18:C668,C668)),"st","nd","rd","th"),"")</f>
        <v/>
      </c>
    </row>
    <row r="669" spans="10:10" x14ac:dyDescent="0.25">
      <c r="J669" s="164" t="str">
        <f>IFERROR(COUNTIF($C$18:C669,C669)&amp;CHOOSE(MIN(4,COUNTIF($C$18:C669,C669)),"st","nd","rd","th"),"")</f>
        <v/>
      </c>
    </row>
    <row r="670" spans="10:10" x14ac:dyDescent="0.25">
      <c r="J670" s="164" t="str">
        <f>IFERROR(COUNTIF($C$18:C670,C670)&amp;CHOOSE(MIN(4,COUNTIF($C$18:C670,C670)),"st","nd","rd","th"),"")</f>
        <v/>
      </c>
    </row>
    <row r="671" spans="10:10" x14ac:dyDescent="0.25">
      <c r="J671" s="164" t="str">
        <f>IFERROR(COUNTIF($C$18:C671,C671)&amp;CHOOSE(MIN(4,COUNTIF($C$18:C671,C671)),"st","nd","rd","th"),"")</f>
        <v/>
      </c>
    </row>
    <row r="672" spans="10:10" x14ac:dyDescent="0.25">
      <c r="J672" s="164" t="str">
        <f>IFERROR(COUNTIF($C$18:C672,C672)&amp;CHOOSE(MIN(4,COUNTIF($C$18:C672,C672)),"st","nd","rd","th"),"")</f>
        <v/>
      </c>
    </row>
    <row r="673" spans="10:10" x14ac:dyDescent="0.25">
      <c r="J673" s="164" t="str">
        <f>IFERROR(COUNTIF($C$18:C673,C673)&amp;CHOOSE(MIN(4,COUNTIF($C$18:C673,C673)),"st","nd","rd","th"),"")</f>
        <v/>
      </c>
    </row>
    <row r="674" spans="10:10" x14ac:dyDescent="0.25">
      <c r="J674" s="164" t="str">
        <f>IFERROR(COUNTIF($C$18:C674,C674)&amp;CHOOSE(MIN(4,COUNTIF($C$18:C674,C674)),"st","nd","rd","th"),"")</f>
        <v/>
      </c>
    </row>
    <row r="675" spans="10:10" x14ac:dyDescent="0.25">
      <c r="J675" s="164" t="str">
        <f>IFERROR(COUNTIF($C$18:C675,C675)&amp;CHOOSE(MIN(4,COUNTIF($C$18:C675,C675)),"st","nd","rd","th"),"")</f>
        <v/>
      </c>
    </row>
    <row r="676" spans="10:10" x14ac:dyDescent="0.25">
      <c r="J676" s="164" t="str">
        <f>IFERROR(COUNTIF($C$18:C676,C676)&amp;CHOOSE(MIN(4,COUNTIF($C$18:C676,C676)),"st","nd","rd","th"),"")</f>
        <v/>
      </c>
    </row>
    <row r="677" spans="10:10" x14ac:dyDescent="0.25">
      <c r="J677" s="164" t="str">
        <f>IFERROR(COUNTIF($C$18:C677,C677)&amp;CHOOSE(MIN(4,COUNTIF($C$18:C677,C677)),"st","nd","rd","th"),"")</f>
        <v/>
      </c>
    </row>
    <row r="678" spans="10:10" x14ac:dyDescent="0.25">
      <c r="J678" s="164" t="str">
        <f>IFERROR(COUNTIF($C$18:C678,C678)&amp;CHOOSE(MIN(4,COUNTIF($C$18:C678,C678)),"st","nd","rd","th"),"")</f>
        <v/>
      </c>
    </row>
    <row r="679" spans="10:10" x14ac:dyDescent="0.25">
      <c r="J679" s="164" t="str">
        <f>IFERROR(COUNTIF($C$18:C679,C679)&amp;CHOOSE(MIN(4,COUNTIF($C$18:C679,C679)),"st","nd","rd","th"),"")</f>
        <v/>
      </c>
    </row>
    <row r="680" spans="10:10" x14ac:dyDescent="0.25">
      <c r="J680" s="164" t="str">
        <f>IFERROR(COUNTIF($C$18:C680,C680)&amp;CHOOSE(MIN(4,COUNTIF($C$18:C680,C680)),"st","nd","rd","th"),"")</f>
        <v/>
      </c>
    </row>
    <row r="681" spans="10:10" x14ac:dyDescent="0.25">
      <c r="J681" s="164" t="str">
        <f>IFERROR(COUNTIF($C$18:C681,C681)&amp;CHOOSE(MIN(4,COUNTIF($C$18:C681,C681)),"st","nd","rd","th"),"")</f>
        <v/>
      </c>
    </row>
    <row r="682" spans="10:10" x14ac:dyDescent="0.25">
      <c r="J682" s="164" t="str">
        <f>IFERROR(COUNTIF($C$18:C682,C682)&amp;CHOOSE(MIN(4,COUNTIF($C$18:C682,C682)),"st","nd","rd","th"),"")</f>
        <v/>
      </c>
    </row>
    <row r="683" spans="10:10" x14ac:dyDescent="0.25">
      <c r="J683" s="164" t="str">
        <f>IFERROR(COUNTIF($C$18:C683,C683)&amp;CHOOSE(MIN(4,COUNTIF($C$18:C683,C683)),"st","nd","rd","th"),"")</f>
        <v/>
      </c>
    </row>
    <row r="684" spans="10:10" x14ac:dyDescent="0.25">
      <c r="J684" s="164" t="str">
        <f>IFERROR(COUNTIF($C$18:C684,C684)&amp;CHOOSE(MIN(4,COUNTIF($C$18:C684,C684)),"st","nd","rd","th"),"")</f>
        <v/>
      </c>
    </row>
    <row r="685" spans="10:10" x14ac:dyDescent="0.25">
      <c r="J685" s="164" t="str">
        <f>IFERROR(COUNTIF($C$18:C685,C685)&amp;CHOOSE(MIN(4,COUNTIF($C$18:C685,C685)),"st","nd","rd","th"),"")</f>
        <v/>
      </c>
    </row>
    <row r="686" spans="10:10" x14ac:dyDescent="0.25">
      <c r="J686" s="164" t="str">
        <f>IFERROR(COUNTIF($C$18:C686,C686)&amp;CHOOSE(MIN(4,COUNTIF($C$18:C686,C686)),"st","nd","rd","th"),"")</f>
        <v/>
      </c>
    </row>
    <row r="687" spans="10:10" x14ac:dyDescent="0.25">
      <c r="J687" s="164" t="str">
        <f>IFERROR(COUNTIF($C$18:C687,C687)&amp;CHOOSE(MIN(4,COUNTIF($C$18:C687,C687)),"st","nd","rd","th"),"")</f>
        <v/>
      </c>
    </row>
    <row r="688" spans="10:10" x14ac:dyDescent="0.25">
      <c r="J688" s="164" t="str">
        <f>IFERROR(COUNTIF($C$18:C688,C688)&amp;CHOOSE(MIN(4,COUNTIF($C$18:C688,C688)),"st","nd","rd","th"),"")</f>
        <v/>
      </c>
    </row>
    <row r="689" spans="10:10" x14ac:dyDescent="0.25">
      <c r="J689" s="164" t="str">
        <f>IFERROR(COUNTIF($C$18:C689,C689)&amp;CHOOSE(MIN(4,COUNTIF($C$18:C689,C689)),"st","nd","rd","th"),"")</f>
        <v/>
      </c>
    </row>
    <row r="690" spans="10:10" x14ac:dyDescent="0.25">
      <c r="J690" s="164" t="str">
        <f>IFERROR(COUNTIF($C$18:C690,C690)&amp;CHOOSE(MIN(4,COUNTIF($C$18:C690,C690)),"st","nd","rd","th"),"")</f>
        <v/>
      </c>
    </row>
    <row r="691" spans="10:10" x14ac:dyDescent="0.25">
      <c r="J691" s="164" t="str">
        <f>IFERROR(COUNTIF($C$18:C691,C691)&amp;CHOOSE(MIN(4,COUNTIF($C$18:C691,C691)),"st","nd","rd","th"),"")</f>
        <v/>
      </c>
    </row>
    <row r="692" spans="10:10" x14ac:dyDescent="0.25">
      <c r="J692" s="164" t="str">
        <f>IFERROR(COUNTIF($C$18:C692,C692)&amp;CHOOSE(MIN(4,COUNTIF($C$18:C692,C692)),"st","nd","rd","th"),"")</f>
        <v/>
      </c>
    </row>
    <row r="693" spans="10:10" x14ac:dyDescent="0.25">
      <c r="J693" s="164" t="str">
        <f>IFERROR(COUNTIF($C$18:C693,C693)&amp;CHOOSE(MIN(4,COUNTIF($C$18:C693,C693)),"st","nd","rd","th"),"")</f>
        <v/>
      </c>
    </row>
    <row r="694" spans="10:10" x14ac:dyDescent="0.25">
      <c r="J694" s="164" t="str">
        <f>IFERROR(COUNTIF($C$18:C694,C694)&amp;CHOOSE(MIN(4,COUNTIF($C$18:C694,C694)),"st","nd","rd","th"),"")</f>
        <v/>
      </c>
    </row>
    <row r="695" spans="10:10" x14ac:dyDescent="0.25">
      <c r="J695" s="164" t="str">
        <f>IFERROR(COUNTIF($C$18:C695,C695)&amp;CHOOSE(MIN(4,COUNTIF($C$18:C695,C695)),"st","nd","rd","th"),"")</f>
        <v/>
      </c>
    </row>
    <row r="696" spans="10:10" x14ac:dyDescent="0.25">
      <c r="J696" s="164" t="str">
        <f>IFERROR(COUNTIF($C$18:C696,C696)&amp;CHOOSE(MIN(4,COUNTIF($C$18:C696,C696)),"st","nd","rd","th"),"")</f>
        <v/>
      </c>
    </row>
    <row r="697" spans="10:10" x14ac:dyDescent="0.25">
      <c r="J697" s="164" t="str">
        <f>IFERROR(COUNTIF($C$18:C697,C697)&amp;CHOOSE(MIN(4,COUNTIF($C$18:C697,C697)),"st","nd","rd","th"),"")</f>
        <v/>
      </c>
    </row>
    <row r="698" spans="10:10" x14ac:dyDescent="0.25">
      <c r="J698" s="164" t="str">
        <f>IFERROR(COUNTIF($C$18:C698,C698)&amp;CHOOSE(MIN(4,COUNTIF($C$18:C698,C698)),"st","nd","rd","th"),"")</f>
        <v/>
      </c>
    </row>
    <row r="699" spans="10:10" x14ac:dyDescent="0.25">
      <c r="J699" s="164" t="str">
        <f>IFERROR(COUNTIF($C$18:C699,C699)&amp;CHOOSE(MIN(4,COUNTIF($C$18:C699,C699)),"st","nd","rd","th"),"")</f>
        <v/>
      </c>
    </row>
    <row r="700" spans="10:10" x14ac:dyDescent="0.25">
      <c r="J700" s="164" t="str">
        <f>IFERROR(COUNTIF($C$18:C700,C700)&amp;CHOOSE(MIN(4,COUNTIF($C$18:C700,C700)),"st","nd","rd","th"),"")</f>
        <v/>
      </c>
    </row>
    <row r="701" spans="10:10" x14ac:dyDescent="0.25">
      <c r="J701" s="164" t="str">
        <f>IFERROR(COUNTIF($C$18:C701,C701)&amp;CHOOSE(MIN(4,COUNTIF($C$18:C701,C701)),"st","nd","rd","th"),"")</f>
        <v/>
      </c>
    </row>
    <row r="702" spans="10:10" x14ac:dyDescent="0.25">
      <c r="J702" s="164" t="str">
        <f>IFERROR(COUNTIF($C$18:C702,C702)&amp;CHOOSE(MIN(4,COUNTIF($C$18:C702,C702)),"st","nd","rd","th"),"")</f>
        <v/>
      </c>
    </row>
    <row r="703" spans="10:10" x14ac:dyDescent="0.25">
      <c r="J703" s="164" t="str">
        <f>IFERROR(COUNTIF($C$18:C703,C703)&amp;CHOOSE(MIN(4,COUNTIF($C$18:C703,C703)),"st","nd","rd","th"),"")</f>
        <v/>
      </c>
    </row>
    <row r="704" spans="10:10" x14ac:dyDescent="0.25">
      <c r="J704" s="164" t="str">
        <f>IFERROR(COUNTIF($C$18:C704,C704)&amp;CHOOSE(MIN(4,COUNTIF($C$18:C704,C704)),"st","nd","rd","th"),"")</f>
        <v/>
      </c>
    </row>
    <row r="705" spans="10:10" x14ac:dyDescent="0.25">
      <c r="J705" s="164" t="str">
        <f>IFERROR(COUNTIF($C$18:C705,C705)&amp;CHOOSE(MIN(4,COUNTIF($C$18:C705,C705)),"st","nd","rd","th"),"")</f>
        <v/>
      </c>
    </row>
    <row r="706" spans="10:10" x14ac:dyDescent="0.25">
      <c r="J706" s="164" t="str">
        <f>IFERROR(COUNTIF($C$18:C706,C706)&amp;CHOOSE(MIN(4,COUNTIF($C$18:C706,C706)),"st","nd","rd","th"),"")</f>
        <v/>
      </c>
    </row>
    <row r="707" spans="10:10" x14ac:dyDescent="0.25">
      <c r="J707" s="164" t="str">
        <f>IFERROR(COUNTIF($C$18:C707,C707)&amp;CHOOSE(MIN(4,COUNTIF($C$18:C707,C707)),"st","nd","rd","th"),"")</f>
        <v/>
      </c>
    </row>
    <row r="708" spans="10:10" x14ac:dyDescent="0.25">
      <c r="J708" s="164" t="str">
        <f>IFERROR(COUNTIF($C$18:C708,C708)&amp;CHOOSE(MIN(4,COUNTIF($C$18:C708,C708)),"st","nd","rd","th"),"")</f>
        <v/>
      </c>
    </row>
    <row r="709" spans="10:10" x14ac:dyDescent="0.25">
      <c r="J709" s="164" t="str">
        <f>IFERROR(COUNTIF($C$18:C709,C709)&amp;CHOOSE(MIN(4,COUNTIF($C$18:C709,C709)),"st","nd","rd","th"),"")</f>
        <v/>
      </c>
    </row>
    <row r="710" spans="10:10" x14ac:dyDescent="0.25">
      <c r="J710" s="164" t="str">
        <f>IFERROR(COUNTIF($C$18:C710,C710)&amp;CHOOSE(MIN(4,COUNTIF($C$18:C710,C710)),"st","nd","rd","th"),"")</f>
        <v/>
      </c>
    </row>
    <row r="711" spans="10:10" x14ac:dyDescent="0.25">
      <c r="J711" s="164" t="str">
        <f>IFERROR(COUNTIF($C$18:C711,C711)&amp;CHOOSE(MIN(4,COUNTIF($C$18:C711,C711)),"st","nd","rd","th"),"")</f>
        <v/>
      </c>
    </row>
    <row r="712" spans="10:10" x14ac:dyDescent="0.25">
      <c r="J712" s="164" t="str">
        <f>IFERROR(COUNTIF($C$18:C712,C712)&amp;CHOOSE(MIN(4,COUNTIF($C$18:C712,C712)),"st","nd","rd","th"),"")</f>
        <v/>
      </c>
    </row>
    <row r="713" spans="10:10" x14ac:dyDescent="0.25">
      <c r="J713" s="164" t="str">
        <f>IFERROR(COUNTIF($C$18:C713,C713)&amp;CHOOSE(MIN(4,COUNTIF($C$18:C713,C713)),"st","nd","rd","th"),"")</f>
        <v/>
      </c>
    </row>
    <row r="714" spans="10:10" x14ac:dyDescent="0.25">
      <c r="J714" s="164" t="str">
        <f>IFERROR(COUNTIF($C$18:C714,C714)&amp;CHOOSE(MIN(4,COUNTIF($C$18:C714,C714)),"st","nd","rd","th"),"")</f>
        <v/>
      </c>
    </row>
    <row r="715" spans="10:10" x14ac:dyDescent="0.25">
      <c r="J715" s="164" t="str">
        <f>IFERROR(COUNTIF($C$18:C715,C715)&amp;CHOOSE(MIN(4,COUNTIF($C$18:C715,C715)),"st","nd","rd","th"),"")</f>
        <v/>
      </c>
    </row>
    <row r="716" spans="10:10" x14ac:dyDescent="0.25">
      <c r="J716" s="164" t="str">
        <f>IFERROR(COUNTIF($C$18:C716,C716)&amp;CHOOSE(MIN(4,COUNTIF($C$18:C716,C716)),"st","nd","rd","th"),"")</f>
        <v/>
      </c>
    </row>
    <row r="717" spans="10:10" x14ac:dyDescent="0.25">
      <c r="J717" s="164" t="str">
        <f>IFERROR(COUNTIF($C$18:C717,C717)&amp;CHOOSE(MIN(4,COUNTIF($C$18:C717,C717)),"st","nd","rd","th"),"")</f>
        <v/>
      </c>
    </row>
    <row r="718" spans="10:10" x14ac:dyDescent="0.25">
      <c r="J718" s="164" t="str">
        <f>IFERROR(COUNTIF($C$18:C718,C718)&amp;CHOOSE(MIN(4,COUNTIF($C$18:C718,C718)),"st","nd","rd","th"),"")</f>
        <v/>
      </c>
    </row>
    <row r="719" spans="10:10" x14ac:dyDescent="0.25">
      <c r="J719" s="164" t="str">
        <f>IFERROR(COUNTIF($C$18:C719,C719)&amp;CHOOSE(MIN(4,COUNTIF($C$18:C719,C719)),"st","nd","rd","th"),"")</f>
        <v/>
      </c>
    </row>
    <row r="720" spans="10:10" x14ac:dyDescent="0.25">
      <c r="J720" s="164" t="str">
        <f>IFERROR(COUNTIF($C$18:C720,C720)&amp;CHOOSE(MIN(4,COUNTIF($C$18:C720,C720)),"st","nd","rd","th"),"")</f>
        <v/>
      </c>
    </row>
    <row r="721" spans="10:10" x14ac:dyDescent="0.25">
      <c r="J721" s="164" t="str">
        <f>IFERROR(COUNTIF($C$18:C721,C721)&amp;CHOOSE(MIN(4,COUNTIF($C$18:C721,C721)),"st","nd","rd","th"),"")</f>
        <v/>
      </c>
    </row>
    <row r="722" spans="10:10" x14ac:dyDescent="0.25">
      <c r="J722" s="164" t="str">
        <f>IFERROR(COUNTIF($C$18:C722,C722)&amp;CHOOSE(MIN(4,COUNTIF($C$18:C722,C722)),"st","nd","rd","th"),"")</f>
        <v/>
      </c>
    </row>
    <row r="723" spans="10:10" x14ac:dyDescent="0.25">
      <c r="J723" s="164" t="str">
        <f>IFERROR(COUNTIF($C$18:C723,C723)&amp;CHOOSE(MIN(4,COUNTIF($C$18:C723,C723)),"st","nd","rd","th"),"")</f>
        <v/>
      </c>
    </row>
    <row r="724" spans="10:10" x14ac:dyDescent="0.25">
      <c r="J724" s="164" t="str">
        <f>IFERROR(COUNTIF($C$18:C724,C724)&amp;CHOOSE(MIN(4,COUNTIF($C$18:C724,C724)),"st","nd","rd","th"),"")</f>
        <v/>
      </c>
    </row>
    <row r="725" spans="10:10" x14ac:dyDescent="0.25">
      <c r="J725" s="164" t="str">
        <f>IFERROR(COUNTIF($C$18:C725,C725)&amp;CHOOSE(MIN(4,COUNTIF($C$18:C725,C725)),"st","nd","rd","th"),"")</f>
        <v/>
      </c>
    </row>
    <row r="726" spans="10:10" x14ac:dyDescent="0.25">
      <c r="J726" s="164" t="str">
        <f>IFERROR(COUNTIF($C$18:C726,C726)&amp;CHOOSE(MIN(4,COUNTIF($C$18:C726,C726)),"st","nd","rd","th"),"")</f>
        <v/>
      </c>
    </row>
    <row r="727" spans="10:10" x14ac:dyDescent="0.25">
      <c r="J727" s="164" t="str">
        <f>IFERROR(COUNTIF($C$18:C727,C727)&amp;CHOOSE(MIN(4,COUNTIF($C$18:C727,C727)),"st","nd","rd","th"),"")</f>
        <v/>
      </c>
    </row>
    <row r="728" spans="10:10" x14ac:dyDescent="0.25">
      <c r="J728" s="164" t="str">
        <f>IFERROR(COUNTIF($C$18:C728,C728)&amp;CHOOSE(MIN(4,COUNTIF($C$18:C728,C728)),"st","nd","rd","th"),"")</f>
        <v/>
      </c>
    </row>
    <row r="729" spans="10:10" x14ac:dyDescent="0.25">
      <c r="J729" s="164" t="str">
        <f>IFERROR(COUNTIF($C$18:C729,C729)&amp;CHOOSE(MIN(4,COUNTIF($C$18:C729,C729)),"st","nd","rd","th"),"")</f>
        <v/>
      </c>
    </row>
    <row r="730" spans="10:10" x14ac:dyDescent="0.25">
      <c r="J730" s="164" t="str">
        <f>IFERROR(COUNTIF($C$18:C730,C730)&amp;CHOOSE(MIN(4,COUNTIF($C$18:C730,C730)),"st","nd","rd","th"),"")</f>
        <v/>
      </c>
    </row>
    <row r="731" spans="10:10" x14ac:dyDescent="0.25">
      <c r="J731" s="164" t="str">
        <f>IFERROR(COUNTIF($C$18:C731,C731)&amp;CHOOSE(MIN(4,COUNTIF($C$18:C731,C731)),"st","nd","rd","th"),"")</f>
        <v/>
      </c>
    </row>
    <row r="732" spans="10:10" x14ac:dyDescent="0.25">
      <c r="J732" s="164" t="str">
        <f>IFERROR(COUNTIF($C$18:C732,C732)&amp;CHOOSE(MIN(4,COUNTIF($C$18:C732,C732)),"st","nd","rd","th"),"")</f>
        <v/>
      </c>
    </row>
    <row r="733" spans="10:10" x14ac:dyDescent="0.25">
      <c r="J733" s="164" t="str">
        <f>IFERROR(COUNTIF($C$18:C733,C733)&amp;CHOOSE(MIN(4,COUNTIF($C$18:C733,C733)),"st","nd","rd","th"),"")</f>
        <v/>
      </c>
    </row>
    <row r="734" spans="10:10" x14ac:dyDescent="0.25">
      <c r="J734" s="164" t="str">
        <f>IFERROR(COUNTIF($C$18:C734,C734)&amp;CHOOSE(MIN(4,COUNTIF($C$18:C734,C734)),"st","nd","rd","th"),"")</f>
        <v/>
      </c>
    </row>
    <row r="735" spans="10:10" x14ac:dyDescent="0.25">
      <c r="J735" s="164" t="str">
        <f>IFERROR(COUNTIF($C$18:C735,C735)&amp;CHOOSE(MIN(4,COUNTIF($C$18:C735,C735)),"st","nd","rd","th"),"")</f>
        <v/>
      </c>
    </row>
    <row r="736" spans="10:10" x14ac:dyDescent="0.25">
      <c r="J736" s="164" t="str">
        <f>IFERROR(COUNTIF($C$18:C736,C736)&amp;CHOOSE(MIN(4,COUNTIF($C$18:C736,C736)),"st","nd","rd","th"),"")</f>
        <v/>
      </c>
    </row>
    <row r="737" spans="10:10" x14ac:dyDescent="0.25">
      <c r="J737" s="164" t="str">
        <f>IFERROR(COUNTIF($C$18:C737,C737)&amp;CHOOSE(MIN(4,COUNTIF($C$18:C737,C737)),"st","nd","rd","th"),"")</f>
        <v/>
      </c>
    </row>
    <row r="738" spans="10:10" x14ac:dyDescent="0.25">
      <c r="J738" s="164" t="str">
        <f>IFERROR(COUNTIF($C$18:C738,C738)&amp;CHOOSE(MIN(4,COUNTIF($C$18:C738,C738)),"st","nd","rd","th"),"")</f>
        <v/>
      </c>
    </row>
    <row r="739" spans="10:10" x14ac:dyDescent="0.25">
      <c r="J739" s="164" t="str">
        <f>IFERROR(COUNTIF($C$18:C739,C739)&amp;CHOOSE(MIN(4,COUNTIF($C$18:C739,C739)),"st","nd","rd","th"),"")</f>
        <v/>
      </c>
    </row>
    <row r="740" spans="10:10" x14ac:dyDescent="0.25">
      <c r="J740" s="164" t="str">
        <f>IFERROR(COUNTIF($C$18:C740,C740)&amp;CHOOSE(MIN(4,COUNTIF($C$18:C740,C740)),"st","nd","rd","th"),"")</f>
        <v/>
      </c>
    </row>
    <row r="741" spans="10:10" x14ac:dyDescent="0.25">
      <c r="J741" s="164" t="str">
        <f>IFERROR(COUNTIF($C$18:C741,C741)&amp;CHOOSE(MIN(4,COUNTIF($C$18:C741,C741)),"st","nd","rd","th"),"")</f>
        <v/>
      </c>
    </row>
    <row r="742" spans="10:10" x14ac:dyDescent="0.25">
      <c r="J742" s="164" t="str">
        <f>IFERROR(COUNTIF($C$18:C742,C742)&amp;CHOOSE(MIN(4,COUNTIF($C$18:C742,C742)),"st","nd","rd","th"),"")</f>
        <v/>
      </c>
    </row>
    <row r="743" spans="10:10" x14ac:dyDescent="0.25">
      <c r="J743" s="164" t="str">
        <f>IFERROR(COUNTIF($C$18:C743,C743)&amp;CHOOSE(MIN(4,COUNTIF($C$18:C743,C743)),"st","nd","rd","th"),"")</f>
        <v/>
      </c>
    </row>
    <row r="744" spans="10:10" x14ac:dyDescent="0.25">
      <c r="J744" s="164" t="str">
        <f>IFERROR(COUNTIF($C$18:C744,C744)&amp;CHOOSE(MIN(4,COUNTIF($C$18:C744,C744)),"st","nd","rd","th"),"")</f>
        <v/>
      </c>
    </row>
    <row r="745" spans="10:10" x14ac:dyDescent="0.25">
      <c r="J745" s="164" t="str">
        <f>IFERROR(COUNTIF($C$18:C745,C745)&amp;CHOOSE(MIN(4,COUNTIF($C$18:C745,C745)),"st","nd","rd","th"),"")</f>
        <v/>
      </c>
    </row>
    <row r="746" spans="10:10" x14ac:dyDescent="0.25">
      <c r="J746" s="164" t="str">
        <f>IFERROR(COUNTIF($C$18:C746,C746)&amp;CHOOSE(MIN(4,COUNTIF($C$18:C746,C746)),"st","nd","rd","th"),"")</f>
        <v/>
      </c>
    </row>
    <row r="747" spans="10:10" x14ac:dyDescent="0.25">
      <c r="J747" s="164" t="str">
        <f>IFERROR(COUNTIF($C$18:C747,C747)&amp;CHOOSE(MIN(4,COUNTIF($C$18:C747,C747)),"st","nd","rd","th"),"")</f>
        <v/>
      </c>
    </row>
    <row r="748" spans="10:10" x14ac:dyDescent="0.25">
      <c r="J748" s="164" t="str">
        <f>IFERROR(COUNTIF($C$18:C748,C748)&amp;CHOOSE(MIN(4,COUNTIF($C$18:C748,C748)),"st","nd","rd","th"),"")</f>
        <v/>
      </c>
    </row>
    <row r="749" spans="10:10" x14ac:dyDescent="0.25">
      <c r="J749" s="164" t="str">
        <f>IFERROR(COUNTIF($C$18:C749,C749)&amp;CHOOSE(MIN(4,COUNTIF($C$18:C749,C749)),"st","nd","rd","th"),"")</f>
        <v/>
      </c>
    </row>
    <row r="750" spans="10:10" x14ac:dyDescent="0.25">
      <c r="J750" s="164" t="str">
        <f>IFERROR(COUNTIF($C$18:C750,C750)&amp;CHOOSE(MIN(4,COUNTIF($C$18:C750,C750)),"st","nd","rd","th"),"")</f>
        <v/>
      </c>
    </row>
    <row r="751" spans="10:10" x14ac:dyDescent="0.25">
      <c r="J751" s="164" t="str">
        <f>IFERROR(COUNTIF($C$18:C751,C751)&amp;CHOOSE(MIN(4,COUNTIF($C$18:C751,C751)),"st","nd","rd","th"),"")</f>
        <v/>
      </c>
    </row>
    <row r="752" spans="10:10" x14ac:dyDescent="0.25">
      <c r="J752" s="164" t="str">
        <f>IFERROR(COUNTIF($C$18:C752,C752)&amp;CHOOSE(MIN(4,COUNTIF($C$18:C752,C752)),"st","nd","rd","th"),"")</f>
        <v/>
      </c>
    </row>
    <row r="753" spans="10:10" x14ac:dyDescent="0.25">
      <c r="J753" s="164" t="str">
        <f>IFERROR(COUNTIF($C$18:C753,C753)&amp;CHOOSE(MIN(4,COUNTIF($C$18:C753,C753)),"st","nd","rd","th"),"")</f>
        <v/>
      </c>
    </row>
    <row r="754" spans="10:10" x14ac:dyDescent="0.25">
      <c r="J754" s="164" t="str">
        <f>IFERROR(COUNTIF($C$18:C754,C754)&amp;CHOOSE(MIN(4,COUNTIF($C$18:C754,C754)),"st","nd","rd","th"),"")</f>
        <v/>
      </c>
    </row>
    <row r="755" spans="10:10" x14ac:dyDescent="0.25">
      <c r="J755" s="164" t="str">
        <f>IFERROR(COUNTIF($C$18:C755,C755)&amp;CHOOSE(MIN(4,COUNTIF($C$18:C755,C755)),"st","nd","rd","th"),"")</f>
        <v/>
      </c>
    </row>
    <row r="756" spans="10:10" x14ac:dyDescent="0.25">
      <c r="J756" s="164" t="str">
        <f>IFERROR(COUNTIF($C$18:C756,C756)&amp;CHOOSE(MIN(4,COUNTIF($C$18:C756,C756)),"st","nd","rd","th"),"")</f>
        <v/>
      </c>
    </row>
    <row r="757" spans="10:10" x14ac:dyDescent="0.25">
      <c r="J757" s="164" t="str">
        <f>IFERROR(COUNTIF($C$18:C757,C757)&amp;CHOOSE(MIN(4,COUNTIF($C$18:C757,C757)),"st","nd","rd","th"),"")</f>
        <v/>
      </c>
    </row>
    <row r="758" spans="10:10" x14ac:dyDescent="0.25">
      <c r="J758" s="164" t="str">
        <f>IFERROR(COUNTIF($C$18:C758,C758)&amp;CHOOSE(MIN(4,COUNTIF($C$18:C758,C758)),"st","nd","rd","th"),"")</f>
        <v/>
      </c>
    </row>
    <row r="759" spans="10:10" x14ac:dyDescent="0.25">
      <c r="J759" s="164" t="str">
        <f>IFERROR(COUNTIF($C$18:C759,C759)&amp;CHOOSE(MIN(4,COUNTIF($C$18:C759,C759)),"st","nd","rd","th"),"")</f>
        <v/>
      </c>
    </row>
    <row r="760" spans="10:10" x14ac:dyDescent="0.25">
      <c r="J760" s="164" t="str">
        <f>IFERROR(COUNTIF($C$18:C760,C760)&amp;CHOOSE(MIN(4,COUNTIF($C$18:C760,C760)),"st","nd","rd","th"),"")</f>
        <v/>
      </c>
    </row>
    <row r="761" spans="10:10" x14ac:dyDescent="0.25">
      <c r="J761" s="164" t="str">
        <f>IFERROR(COUNTIF($C$18:C761,C761)&amp;CHOOSE(MIN(4,COUNTIF($C$18:C761,C761)),"st","nd","rd","th"),"")</f>
        <v/>
      </c>
    </row>
    <row r="762" spans="10:10" x14ac:dyDescent="0.25">
      <c r="J762" s="164" t="str">
        <f>IFERROR(COUNTIF($C$18:C762,C762)&amp;CHOOSE(MIN(4,COUNTIF($C$18:C762,C762)),"st","nd","rd","th"),"")</f>
        <v/>
      </c>
    </row>
    <row r="763" spans="10:10" x14ac:dyDescent="0.25">
      <c r="J763" s="164" t="str">
        <f>IFERROR(COUNTIF($C$18:C763,C763)&amp;CHOOSE(MIN(4,COUNTIF($C$18:C763,C763)),"st","nd","rd","th"),"")</f>
        <v/>
      </c>
    </row>
    <row r="764" spans="10:10" x14ac:dyDescent="0.25">
      <c r="J764" s="164" t="str">
        <f>IFERROR(COUNTIF($C$18:C764,C764)&amp;CHOOSE(MIN(4,COUNTIF($C$18:C764,C764)),"st","nd","rd","th"),"")</f>
        <v/>
      </c>
    </row>
    <row r="765" spans="10:10" x14ac:dyDescent="0.25">
      <c r="J765" s="164" t="str">
        <f>IFERROR(COUNTIF($C$18:C765,C765)&amp;CHOOSE(MIN(4,COUNTIF($C$18:C765,C765)),"st","nd","rd","th"),"")</f>
        <v/>
      </c>
    </row>
    <row r="766" spans="10:10" x14ac:dyDescent="0.25">
      <c r="J766" s="164" t="str">
        <f>IFERROR(COUNTIF($C$18:C766,C766)&amp;CHOOSE(MIN(4,COUNTIF($C$18:C766,C766)),"st","nd","rd","th"),"")</f>
        <v/>
      </c>
    </row>
    <row r="767" spans="10:10" x14ac:dyDescent="0.25">
      <c r="J767" s="164" t="str">
        <f>IFERROR(COUNTIF($C$18:C767,C767)&amp;CHOOSE(MIN(4,COUNTIF($C$18:C767,C767)),"st","nd","rd","th"),"")</f>
        <v/>
      </c>
    </row>
    <row r="768" spans="10:10" x14ac:dyDescent="0.25">
      <c r="J768" s="164" t="str">
        <f>IFERROR(COUNTIF($C$18:C768,C768)&amp;CHOOSE(MIN(4,COUNTIF($C$18:C768,C768)),"st","nd","rd","th"),"")</f>
        <v/>
      </c>
    </row>
    <row r="769" spans="10:10" x14ac:dyDescent="0.25">
      <c r="J769" s="164" t="str">
        <f>IFERROR(COUNTIF($C$18:C769,C769)&amp;CHOOSE(MIN(4,COUNTIF($C$18:C769,C769)),"st","nd","rd","th"),"")</f>
        <v/>
      </c>
    </row>
    <row r="770" spans="10:10" x14ac:dyDescent="0.25">
      <c r="J770" s="164" t="str">
        <f>IFERROR(COUNTIF($C$18:C770,C770)&amp;CHOOSE(MIN(4,COUNTIF($C$18:C770,C770)),"st","nd","rd","th"),"")</f>
        <v/>
      </c>
    </row>
    <row r="771" spans="10:10" x14ac:dyDescent="0.25">
      <c r="J771" s="164" t="str">
        <f>IFERROR(COUNTIF($C$18:C771,C771)&amp;CHOOSE(MIN(4,COUNTIF($C$18:C771,C771)),"st","nd","rd","th"),"")</f>
        <v/>
      </c>
    </row>
    <row r="772" spans="10:10" x14ac:dyDescent="0.25">
      <c r="J772" s="164" t="str">
        <f>IFERROR(COUNTIF($C$18:C772,C772)&amp;CHOOSE(MIN(4,COUNTIF($C$18:C772,C772)),"st","nd","rd","th"),"")</f>
        <v/>
      </c>
    </row>
    <row r="773" spans="10:10" x14ac:dyDescent="0.25">
      <c r="J773" s="164" t="str">
        <f>IFERROR(COUNTIF($C$18:C773,C773)&amp;CHOOSE(MIN(4,COUNTIF($C$18:C773,C773)),"st","nd","rd","th"),"")</f>
        <v/>
      </c>
    </row>
    <row r="774" spans="10:10" x14ac:dyDescent="0.25">
      <c r="J774" s="164" t="str">
        <f>IFERROR(COUNTIF($C$18:C774,C774)&amp;CHOOSE(MIN(4,COUNTIF($C$18:C774,C774)),"st","nd","rd","th"),"")</f>
        <v/>
      </c>
    </row>
    <row r="775" spans="10:10" x14ac:dyDescent="0.25">
      <c r="J775" s="164" t="str">
        <f>IFERROR(COUNTIF($C$18:C775,C775)&amp;CHOOSE(MIN(4,COUNTIF($C$18:C775,C775)),"st","nd","rd","th"),"")</f>
        <v/>
      </c>
    </row>
    <row r="776" spans="10:10" x14ac:dyDescent="0.25">
      <c r="J776" s="164" t="str">
        <f>IFERROR(COUNTIF($C$18:C776,C776)&amp;CHOOSE(MIN(4,COUNTIF($C$18:C776,C776)),"st","nd","rd","th"),"")</f>
        <v/>
      </c>
    </row>
    <row r="777" spans="10:10" x14ac:dyDescent="0.25">
      <c r="J777" s="164" t="str">
        <f>IFERROR(COUNTIF($C$18:C777,C777)&amp;CHOOSE(MIN(4,COUNTIF($C$18:C777,C777)),"st","nd","rd","th"),"")</f>
        <v/>
      </c>
    </row>
    <row r="778" spans="10:10" x14ac:dyDescent="0.25">
      <c r="J778" s="164" t="str">
        <f>IFERROR(COUNTIF($C$18:C778,C778)&amp;CHOOSE(MIN(4,COUNTIF($C$18:C778,C778)),"st","nd","rd","th"),"")</f>
        <v/>
      </c>
    </row>
    <row r="779" spans="10:10" x14ac:dyDescent="0.25">
      <c r="J779" s="164" t="str">
        <f>IFERROR(COUNTIF($C$18:C779,C779)&amp;CHOOSE(MIN(4,COUNTIF($C$18:C779,C779)),"st","nd","rd","th"),"")</f>
        <v/>
      </c>
    </row>
    <row r="780" spans="10:10" x14ac:dyDescent="0.25">
      <c r="J780" s="164" t="str">
        <f>IFERROR(COUNTIF($C$18:C780,C780)&amp;CHOOSE(MIN(4,COUNTIF($C$18:C780,C780)),"st","nd","rd","th"),"")</f>
        <v/>
      </c>
    </row>
    <row r="781" spans="10:10" x14ac:dyDescent="0.25">
      <c r="J781" s="164" t="str">
        <f>IFERROR(COUNTIF($C$18:C781,C781)&amp;CHOOSE(MIN(4,COUNTIF($C$18:C781,C781)),"st","nd","rd","th"),"")</f>
        <v/>
      </c>
    </row>
    <row r="782" spans="10:10" x14ac:dyDescent="0.25">
      <c r="J782" s="164" t="str">
        <f>IFERROR(COUNTIF($C$18:C782,C782)&amp;CHOOSE(MIN(4,COUNTIF($C$18:C782,C782)),"st","nd","rd","th"),"")</f>
        <v/>
      </c>
    </row>
    <row r="783" spans="10:10" x14ac:dyDescent="0.25">
      <c r="J783" s="164" t="str">
        <f>IFERROR(COUNTIF($C$18:C783,C783)&amp;CHOOSE(MIN(4,COUNTIF($C$18:C783,C783)),"st","nd","rd","th"),"")</f>
        <v/>
      </c>
    </row>
    <row r="784" spans="10:10" x14ac:dyDescent="0.25">
      <c r="J784" s="164" t="str">
        <f>IFERROR(COUNTIF($C$18:C784,C784)&amp;CHOOSE(MIN(4,COUNTIF($C$18:C784,C784)),"st","nd","rd","th"),"")</f>
        <v/>
      </c>
    </row>
    <row r="785" spans="10:10" x14ac:dyDescent="0.25">
      <c r="J785" s="164" t="str">
        <f>IFERROR(COUNTIF($C$18:C785,C785)&amp;CHOOSE(MIN(4,COUNTIF($C$18:C785,C785)),"st","nd","rd","th"),"")</f>
        <v/>
      </c>
    </row>
    <row r="786" spans="10:10" x14ac:dyDescent="0.25">
      <c r="J786" s="164" t="str">
        <f>IFERROR(COUNTIF($C$18:C786,C786)&amp;CHOOSE(MIN(4,COUNTIF($C$18:C786,C786)),"st","nd","rd","th"),"")</f>
        <v/>
      </c>
    </row>
    <row r="787" spans="10:10" x14ac:dyDescent="0.25">
      <c r="J787" s="164" t="str">
        <f>IFERROR(COUNTIF($C$18:C787,C787)&amp;CHOOSE(MIN(4,COUNTIF($C$18:C787,C787)),"st","nd","rd","th"),"")</f>
        <v/>
      </c>
    </row>
    <row r="788" spans="10:10" x14ac:dyDescent="0.25">
      <c r="J788" s="164" t="str">
        <f>IFERROR(COUNTIF($C$18:C788,C788)&amp;CHOOSE(MIN(4,COUNTIF($C$18:C788,C788)),"st","nd","rd","th"),"")</f>
        <v/>
      </c>
    </row>
    <row r="789" spans="10:10" x14ac:dyDescent="0.25">
      <c r="J789" s="164" t="str">
        <f>IFERROR(COUNTIF($C$18:C789,C789)&amp;CHOOSE(MIN(4,COUNTIF($C$18:C789,C789)),"st","nd","rd","th"),"")</f>
        <v/>
      </c>
    </row>
    <row r="790" spans="10:10" x14ac:dyDescent="0.25">
      <c r="J790" s="164" t="str">
        <f>IFERROR(COUNTIF($C$18:C790,C790)&amp;CHOOSE(MIN(4,COUNTIF($C$18:C790,C790)),"st","nd","rd","th"),"")</f>
        <v/>
      </c>
    </row>
    <row r="791" spans="10:10" x14ac:dyDescent="0.25">
      <c r="J791" s="164" t="str">
        <f>IFERROR(COUNTIF($C$18:C791,C791)&amp;CHOOSE(MIN(4,COUNTIF($C$18:C791,C791)),"st","nd","rd","th"),"")</f>
        <v/>
      </c>
    </row>
    <row r="792" spans="10:10" x14ac:dyDescent="0.25">
      <c r="J792" s="164" t="str">
        <f>IFERROR(COUNTIF($C$18:C792,C792)&amp;CHOOSE(MIN(4,COUNTIF($C$18:C792,C792)),"st","nd","rd","th"),"")</f>
        <v/>
      </c>
    </row>
    <row r="793" spans="10:10" x14ac:dyDescent="0.25">
      <c r="J793" s="164" t="str">
        <f>IFERROR(COUNTIF($C$18:C793,C793)&amp;CHOOSE(MIN(4,COUNTIF($C$18:C793,C793)),"st","nd","rd","th"),"")</f>
        <v/>
      </c>
    </row>
    <row r="794" spans="10:10" x14ac:dyDescent="0.25">
      <c r="J794" s="164" t="str">
        <f>IFERROR(COUNTIF($C$18:C794,C794)&amp;CHOOSE(MIN(4,COUNTIF($C$18:C794,C794)),"st","nd","rd","th"),"")</f>
        <v/>
      </c>
    </row>
    <row r="795" spans="10:10" x14ac:dyDescent="0.25">
      <c r="J795" s="164" t="str">
        <f>IFERROR(COUNTIF($C$18:C795,C795)&amp;CHOOSE(MIN(4,COUNTIF($C$18:C795,C795)),"st","nd","rd","th"),"")</f>
        <v/>
      </c>
    </row>
    <row r="796" spans="10:10" x14ac:dyDescent="0.25">
      <c r="J796" s="164" t="str">
        <f>IFERROR(COUNTIF($C$18:C796,C796)&amp;CHOOSE(MIN(4,COUNTIF($C$18:C796,C796)),"st","nd","rd","th"),"")</f>
        <v/>
      </c>
    </row>
    <row r="797" spans="10:10" x14ac:dyDescent="0.25">
      <c r="J797" s="164" t="str">
        <f>IFERROR(COUNTIF($C$18:C797,C797)&amp;CHOOSE(MIN(4,COUNTIF($C$18:C797,C797)),"st","nd","rd","th"),"")</f>
        <v/>
      </c>
    </row>
    <row r="798" spans="10:10" x14ac:dyDescent="0.25">
      <c r="J798" s="164" t="str">
        <f>IFERROR(COUNTIF($C$18:C798,C798)&amp;CHOOSE(MIN(4,COUNTIF($C$18:C798,C798)),"st","nd","rd","th"),"")</f>
        <v/>
      </c>
    </row>
    <row r="799" spans="10:10" x14ac:dyDescent="0.25">
      <c r="J799" s="164" t="str">
        <f>IFERROR(COUNTIF($C$18:C799,C799)&amp;CHOOSE(MIN(4,COUNTIF($C$18:C799,C799)),"st","nd","rd","th"),"")</f>
        <v/>
      </c>
    </row>
    <row r="800" spans="10:10" x14ac:dyDescent="0.25">
      <c r="J800" s="164" t="str">
        <f>IFERROR(COUNTIF($C$18:C800,C800)&amp;CHOOSE(MIN(4,COUNTIF($C$18:C800,C800)),"st","nd","rd","th"),"")</f>
        <v/>
      </c>
    </row>
    <row r="801" spans="10:10" x14ac:dyDescent="0.25">
      <c r="J801" s="164" t="str">
        <f>IFERROR(COUNTIF($C$18:C801,C801)&amp;CHOOSE(MIN(4,COUNTIF($C$18:C801,C801)),"st","nd","rd","th"),"")</f>
        <v/>
      </c>
    </row>
    <row r="802" spans="10:10" x14ac:dyDescent="0.25">
      <c r="J802" s="164" t="str">
        <f>IFERROR(COUNTIF($C$18:C802,C802)&amp;CHOOSE(MIN(4,COUNTIF($C$18:C802,C802)),"st","nd","rd","th"),"")</f>
        <v/>
      </c>
    </row>
    <row r="803" spans="10:10" x14ac:dyDescent="0.25">
      <c r="J803" s="164" t="str">
        <f>IFERROR(COUNTIF($C$18:C803,C803)&amp;CHOOSE(MIN(4,COUNTIF($C$18:C803,C803)),"st","nd","rd","th"),"")</f>
        <v/>
      </c>
    </row>
    <row r="804" spans="10:10" x14ac:dyDescent="0.25">
      <c r="J804" s="164" t="str">
        <f>IFERROR(COUNTIF($C$18:C804,C804)&amp;CHOOSE(MIN(4,COUNTIF($C$18:C804,C804)),"st","nd","rd","th"),"")</f>
        <v/>
      </c>
    </row>
    <row r="805" spans="10:10" x14ac:dyDescent="0.25">
      <c r="J805" s="164" t="str">
        <f>IFERROR(COUNTIF($C$18:C805,C805)&amp;CHOOSE(MIN(4,COUNTIF($C$18:C805,C805)),"st","nd","rd","th"),"")</f>
        <v/>
      </c>
    </row>
    <row r="806" spans="10:10" x14ac:dyDescent="0.25">
      <c r="J806" s="164" t="str">
        <f>IFERROR(COUNTIF($C$18:C806,C806)&amp;CHOOSE(MIN(4,COUNTIF($C$18:C806,C806)),"st","nd","rd","th"),"")</f>
        <v/>
      </c>
    </row>
    <row r="807" spans="10:10" x14ac:dyDescent="0.25">
      <c r="J807" s="164" t="str">
        <f>IFERROR(COUNTIF($C$18:C807,C807)&amp;CHOOSE(MIN(4,COUNTIF($C$18:C807,C807)),"st","nd","rd","th"),"")</f>
        <v/>
      </c>
    </row>
    <row r="808" spans="10:10" x14ac:dyDescent="0.25">
      <c r="J808" s="164" t="str">
        <f>IFERROR(COUNTIF($C$18:C808,C808)&amp;CHOOSE(MIN(4,COUNTIF($C$18:C808,C808)),"st","nd","rd","th"),"")</f>
        <v/>
      </c>
    </row>
    <row r="809" spans="10:10" x14ac:dyDescent="0.25">
      <c r="J809" s="164" t="str">
        <f>IFERROR(COUNTIF($C$18:C809,C809)&amp;CHOOSE(MIN(4,COUNTIF($C$18:C809,C809)),"st","nd","rd","th"),"")</f>
        <v/>
      </c>
    </row>
    <row r="810" spans="10:10" x14ac:dyDescent="0.25">
      <c r="J810" s="164" t="str">
        <f>IFERROR(COUNTIF($C$18:C810,C810)&amp;CHOOSE(MIN(4,COUNTIF($C$18:C810,C810)),"st","nd","rd","th"),"")</f>
        <v/>
      </c>
    </row>
    <row r="811" spans="10:10" x14ac:dyDescent="0.25">
      <c r="J811" s="164" t="str">
        <f>IFERROR(COUNTIF($C$18:C811,C811)&amp;CHOOSE(MIN(4,COUNTIF($C$18:C811,C811)),"st","nd","rd","th"),"")</f>
        <v/>
      </c>
    </row>
    <row r="812" spans="10:10" x14ac:dyDescent="0.25">
      <c r="J812" s="164" t="str">
        <f>IFERROR(COUNTIF($C$18:C812,C812)&amp;CHOOSE(MIN(4,COUNTIF($C$18:C812,C812)),"st","nd","rd","th"),"")</f>
        <v/>
      </c>
    </row>
    <row r="813" spans="10:10" x14ac:dyDescent="0.25">
      <c r="J813" s="164" t="str">
        <f>IFERROR(COUNTIF($C$18:C813,C813)&amp;CHOOSE(MIN(4,COUNTIF($C$18:C813,C813)),"st","nd","rd","th"),"")</f>
        <v/>
      </c>
    </row>
    <row r="814" spans="10:10" x14ac:dyDescent="0.25">
      <c r="J814" s="164" t="str">
        <f>IFERROR(COUNTIF($C$18:C814,C814)&amp;CHOOSE(MIN(4,COUNTIF($C$18:C814,C814)),"st","nd","rd","th"),"")</f>
        <v/>
      </c>
    </row>
    <row r="815" spans="10:10" x14ac:dyDescent="0.25">
      <c r="J815" s="164" t="str">
        <f>IFERROR(COUNTIF($C$18:C815,C815)&amp;CHOOSE(MIN(4,COUNTIF($C$18:C815,C815)),"st","nd","rd","th"),"")</f>
        <v/>
      </c>
    </row>
    <row r="816" spans="10:10" x14ac:dyDescent="0.25">
      <c r="J816" s="164" t="str">
        <f>IFERROR(COUNTIF($C$18:C816,C816)&amp;CHOOSE(MIN(4,COUNTIF($C$18:C816,C816)),"st","nd","rd","th"),"")</f>
        <v/>
      </c>
    </row>
    <row r="817" spans="10:10" x14ac:dyDescent="0.25">
      <c r="J817" s="164" t="str">
        <f>IFERROR(COUNTIF($C$18:C817,C817)&amp;CHOOSE(MIN(4,COUNTIF($C$18:C817,C817)),"st","nd","rd","th"),"")</f>
        <v/>
      </c>
    </row>
    <row r="818" spans="10:10" x14ac:dyDescent="0.25">
      <c r="J818" s="164" t="str">
        <f>IFERROR(COUNTIF($C$18:C818,C818)&amp;CHOOSE(MIN(4,COUNTIF($C$18:C818,C818)),"st","nd","rd","th"),"")</f>
        <v/>
      </c>
    </row>
    <row r="819" spans="10:10" x14ac:dyDescent="0.25">
      <c r="J819" s="164" t="str">
        <f>IFERROR(COUNTIF($C$18:C819,C819)&amp;CHOOSE(MIN(4,COUNTIF($C$18:C819,C819)),"st","nd","rd","th"),"")</f>
        <v/>
      </c>
    </row>
    <row r="820" spans="10:10" x14ac:dyDescent="0.25">
      <c r="J820" s="164" t="str">
        <f>IFERROR(COUNTIF($C$18:C820,C820)&amp;CHOOSE(MIN(4,COUNTIF($C$18:C820,C820)),"st","nd","rd","th"),"")</f>
        <v/>
      </c>
    </row>
    <row r="821" spans="10:10" x14ac:dyDescent="0.25">
      <c r="J821" s="164" t="str">
        <f>IFERROR(COUNTIF($C$18:C821,C821)&amp;CHOOSE(MIN(4,COUNTIF($C$18:C821,C821)),"st","nd","rd","th"),"")</f>
        <v/>
      </c>
    </row>
    <row r="822" spans="10:10" x14ac:dyDescent="0.25">
      <c r="J822" s="164" t="str">
        <f>IFERROR(COUNTIF($C$18:C822,C822)&amp;CHOOSE(MIN(4,COUNTIF($C$18:C822,C822)),"st","nd","rd","th"),"")</f>
        <v/>
      </c>
    </row>
    <row r="823" spans="10:10" x14ac:dyDescent="0.25">
      <c r="J823" s="164" t="str">
        <f>IFERROR(COUNTIF($C$18:C823,C823)&amp;CHOOSE(MIN(4,COUNTIF($C$18:C823,C823)),"st","nd","rd","th"),"")</f>
        <v/>
      </c>
    </row>
    <row r="824" spans="10:10" x14ac:dyDescent="0.25">
      <c r="J824" s="164" t="str">
        <f>IFERROR(COUNTIF($C$18:C824,C824)&amp;CHOOSE(MIN(4,COUNTIF($C$18:C824,C824)),"st","nd","rd","th"),"")</f>
        <v/>
      </c>
    </row>
    <row r="825" spans="10:10" x14ac:dyDescent="0.25">
      <c r="J825" s="164" t="str">
        <f>IFERROR(COUNTIF($C$18:C825,C825)&amp;CHOOSE(MIN(4,COUNTIF($C$18:C825,C825)),"st","nd","rd","th"),"")</f>
        <v/>
      </c>
    </row>
    <row r="826" spans="10:10" x14ac:dyDescent="0.25">
      <c r="J826" s="164" t="str">
        <f>IFERROR(COUNTIF($C$18:C826,C826)&amp;CHOOSE(MIN(4,COUNTIF($C$18:C826,C826)),"st","nd","rd","th"),"")</f>
        <v/>
      </c>
    </row>
    <row r="827" spans="10:10" x14ac:dyDescent="0.25">
      <c r="J827" s="164" t="str">
        <f>IFERROR(COUNTIF($C$18:C827,C827)&amp;CHOOSE(MIN(4,COUNTIF($C$18:C827,C827)),"st","nd","rd","th"),"")</f>
        <v/>
      </c>
    </row>
    <row r="828" spans="10:10" x14ac:dyDescent="0.25">
      <c r="J828" s="164" t="str">
        <f>IFERROR(COUNTIF($C$18:C828,C828)&amp;CHOOSE(MIN(4,COUNTIF($C$18:C828,C828)),"st","nd","rd","th"),"")</f>
        <v/>
      </c>
    </row>
    <row r="829" spans="10:10" x14ac:dyDescent="0.25">
      <c r="J829" s="164" t="str">
        <f>IFERROR(COUNTIF($C$18:C829,C829)&amp;CHOOSE(MIN(4,COUNTIF($C$18:C829,C829)),"st","nd","rd","th"),"")</f>
        <v/>
      </c>
    </row>
    <row r="830" spans="10:10" x14ac:dyDescent="0.25">
      <c r="J830" s="164" t="str">
        <f>IFERROR(COUNTIF($C$18:C830,C830)&amp;CHOOSE(MIN(4,COUNTIF($C$18:C830,C830)),"st","nd","rd","th"),"")</f>
        <v/>
      </c>
    </row>
    <row r="831" spans="10:10" x14ac:dyDescent="0.25">
      <c r="J831" s="164" t="str">
        <f>IFERROR(COUNTIF($C$18:C831,C831)&amp;CHOOSE(MIN(4,COUNTIF($C$18:C831,C831)),"st","nd","rd","th"),"")</f>
        <v/>
      </c>
    </row>
    <row r="832" spans="10:10" x14ac:dyDescent="0.25">
      <c r="J832" s="164" t="str">
        <f>IFERROR(COUNTIF($C$18:C832,C832)&amp;CHOOSE(MIN(4,COUNTIF($C$18:C832,C832)),"st","nd","rd","th"),"")</f>
        <v/>
      </c>
    </row>
    <row r="833" spans="10:10" x14ac:dyDescent="0.25">
      <c r="J833" s="164" t="str">
        <f>IFERROR(COUNTIF($C$18:C833,C833)&amp;CHOOSE(MIN(4,COUNTIF($C$18:C833,C833)),"st","nd","rd","th"),"")</f>
        <v/>
      </c>
    </row>
    <row r="834" spans="10:10" x14ac:dyDescent="0.25">
      <c r="J834" s="164" t="str">
        <f>IFERROR(COUNTIF($C$18:C834,C834)&amp;CHOOSE(MIN(4,COUNTIF($C$18:C834,C834)),"st","nd","rd","th"),"")</f>
        <v/>
      </c>
    </row>
    <row r="835" spans="10:10" x14ac:dyDescent="0.25">
      <c r="J835" s="164" t="str">
        <f>IFERROR(COUNTIF($C$18:C835,C835)&amp;CHOOSE(MIN(4,COUNTIF($C$18:C835,C835)),"st","nd","rd","th"),"")</f>
        <v/>
      </c>
    </row>
    <row r="836" spans="10:10" x14ac:dyDescent="0.25">
      <c r="J836" s="164" t="str">
        <f>IFERROR(COUNTIF($C$18:C836,C836)&amp;CHOOSE(MIN(4,COUNTIF($C$18:C836,C836)),"st","nd","rd","th"),"")</f>
        <v/>
      </c>
    </row>
    <row r="837" spans="10:10" x14ac:dyDescent="0.25">
      <c r="J837" s="164" t="str">
        <f>IFERROR(COUNTIF($C$18:C837,C837)&amp;CHOOSE(MIN(4,COUNTIF($C$18:C837,C837)),"st","nd","rd","th"),"")</f>
        <v/>
      </c>
    </row>
    <row r="838" spans="10:10" x14ac:dyDescent="0.25">
      <c r="J838" s="164" t="str">
        <f>IFERROR(COUNTIF($C$18:C838,C838)&amp;CHOOSE(MIN(4,COUNTIF($C$18:C838,C838)),"st","nd","rd","th"),"")</f>
        <v/>
      </c>
    </row>
    <row r="839" spans="10:10" x14ac:dyDescent="0.25">
      <c r="J839" s="164" t="str">
        <f>IFERROR(COUNTIF($C$18:C839,C839)&amp;CHOOSE(MIN(4,COUNTIF($C$18:C839,C839)),"st","nd","rd","th"),"")</f>
        <v/>
      </c>
    </row>
    <row r="840" spans="10:10" x14ac:dyDescent="0.25">
      <c r="J840" s="164" t="str">
        <f>IFERROR(COUNTIF($C$18:C840,C840)&amp;CHOOSE(MIN(4,COUNTIF($C$18:C840,C840)),"st","nd","rd","th"),"")</f>
        <v/>
      </c>
    </row>
    <row r="841" spans="10:10" x14ac:dyDescent="0.25">
      <c r="J841" s="164" t="str">
        <f>IFERROR(COUNTIF($C$18:C841,C841)&amp;CHOOSE(MIN(4,COUNTIF($C$18:C841,C841)),"st","nd","rd","th"),"")</f>
        <v/>
      </c>
    </row>
    <row r="842" spans="10:10" x14ac:dyDescent="0.25">
      <c r="J842" s="164" t="str">
        <f>IFERROR(COUNTIF($C$18:C842,C842)&amp;CHOOSE(MIN(4,COUNTIF($C$18:C842,C842)),"st","nd","rd","th"),"")</f>
        <v/>
      </c>
    </row>
    <row r="843" spans="10:10" x14ac:dyDescent="0.25">
      <c r="J843" s="164" t="str">
        <f>IFERROR(COUNTIF($C$18:C843,C843)&amp;CHOOSE(MIN(4,COUNTIF($C$18:C843,C843)),"st","nd","rd","th"),"")</f>
        <v/>
      </c>
    </row>
    <row r="844" spans="10:10" x14ac:dyDescent="0.25">
      <c r="J844" s="164" t="str">
        <f>IFERROR(COUNTIF($C$18:C844,C844)&amp;CHOOSE(MIN(4,COUNTIF($C$18:C844,C844)),"st","nd","rd","th"),"")</f>
        <v/>
      </c>
    </row>
    <row r="845" spans="10:10" x14ac:dyDescent="0.25">
      <c r="J845" s="164" t="str">
        <f>IFERROR(COUNTIF($C$18:C845,C845)&amp;CHOOSE(MIN(4,COUNTIF($C$18:C845,C845)),"st","nd","rd","th"),"")</f>
        <v/>
      </c>
    </row>
    <row r="846" spans="10:10" x14ac:dyDescent="0.25">
      <c r="J846" s="164" t="str">
        <f>IFERROR(COUNTIF($C$18:C846,C846)&amp;CHOOSE(MIN(4,COUNTIF($C$18:C846,C846)),"st","nd","rd","th"),"")</f>
        <v/>
      </c>
    </row>
    <row r="847" spans="10:10" x14ac:dyDescent="0.25">
      <c r="J847" s="164" t="str">
        <f>IFERROR(COUNTIF($C$18:C847,C847)&amp;CHOOSE(MIN(4,COUNTIF($C$18:C847,C847)),"st","nd","rd","th"),"")</f>
        <v/>
      </c>
    </row>
    <row r="848" spans="10:10" x14ac:dyDescent="0.25">
      <c r="J848" s="164" t="str">
        <f>IFERROR(COUNTIF($C$18:C848,C848)&amp;CHOOSE(MIN(4,COUNTIF($C$18:C848,C848)),"st","nd","rd","th"),"")</f>
        <v/>
      </c>
    </row>
    <row r="849" spans="10:10" x14ac:dyDescent="0.25">
      <c r="J849" s="164" t="str">
        <f>IFERROR(COUNTIF($C$18:C849,C849)&amp;CHOOSE(MIN(4,COUNTIF($C$18:C849,C849)),"st","nd","rd","th"),"")</f>
        <v/>
      </c>
    </row>
    <row r="850" spans="10:10" x14ac:dyDescent="0.25">
      <c r="J850" s="164" t="str">
        <f>IFERROR(COUNTIF($C$18:C850,C850)&amp;CHOOSE(MIN(4,COUNTIF($C$18:C850,C850)),"st","nd","rd","th"),"")</f>
        <v/>
      </c>
    </row>
    <row r="851" spans="10:10" x14ac:dyDescent="0.25">
      <c r="J851" s="164" t="str">
        <f>IFERROR(COUNTIF($C$18:C851,C851)&amp;CHOOSE(MIN(4,COUNTIF($C$18:C851,C851)),"st","nd","rd","th"),"")</f>
        <v/>
      </c>
    </row>
    <row r="852" spans="10:10" x14ac:dyDescent="0.25">
      <c r="J852" s="164" t="str">
        <f>IFERROR(COUNTIF($C$18:C852,C852)&amp;CHOOSE(MIN(4,COUNTIF($C$18:C852,C852)),"st","nd","rd","th"),"")</f>
        <v/>
      </c>
    </row>
    <row r="853" spans="10:10" x14ac:dyDescent="0.25">
      <c r="J853" s="164" t="str">
        <f>IFERROR(COUNTIF($C$18:C853,C853)&amp;CHOOSE(MIN(4,COUNTIF($C$18:C853,C853)),"st","nd","rd","th"),"")</f>
        <v/>
      </c>
    </row>
    <row r="854" spans="10:10" x14ac:dyDescent="0.25">
      <c r="J854" s="164" t="str">
        <f>IFERROR(COUNTIF($C$18:C854,C854)&amp;CHOOSE(MIN(4,COUNTIF($C$18:C854,C854)),"st","nd","rd","th"),"")</f>
        <v/>
      </c>
    </row>
    <row r="855" spans="10:10" x14ac:dyDescent="0.25">
      <c r="J855" s="164" t="str">
        <f>IFERROR(COUNTIF($C$18:C855,C855)&amp;CHOOSE(MIN(4,COUNTIF($C$18:C855,C855)),"st","nd","rd","th"),"")</f>
        <v/>
      </c>
    </row>
    <row r="856" spans="10:10" x14ac:dyDescent="0.25">
      <c r="J856" s="164" t="str">
        <f>IFERROR(COUNTIF($C$18:C856,C856)&amp;CHOOSE(MIN(4,COUNTIF($C$18:C856,C856)),"st","nd","rd","th"),"")</f>
        <v/>
      </c>
    </row>
    <row r="857" spans="10:10" x14ac:dyDescent="0.25">
      <c r="J857" s="164" t="str">
        <f>IFERROR(COUNTIF($C$18:C857,C857)&amp;CHOOSE(MIN(4,COUNTIF($C$18:C857,C857)),"st","nd","rd","th"),"")</f>
        <v/>
      </c>
    </row>
    <row r="858" spans="10:10" x14ac:dyDescent="0.25">
      <c r="J858" s="164" t="str">
        <f>IFERROR(COUNTIF($C$18:C858,C858)&amp;CHOOSE(MIN(4,COUNTIF($C$18:C858,C858)),"st","nd","rd","th"),"")</f>
        <v/>
      </c>
    </row>
    <row r="859" spans="10:10" x14ac:dyDescent="0.25">
      <c r="J859" s="164" t="str">
        <f>IFERROR(COUNTIF($C$18:C859,C859)&amp;CHOOSE(MIN(4,COUNTIF($C$18:C859,C859)),"st","nd","rd","th"),"")</f>
        <v/>
      </c>
    </row>
    <row r="860" spans="10:10" x14ac:dyDescent="0.25">
      <c r="J860" s="164" t="str">
        <f>IFERROR(COUNTIF($C$18:C860,C860)&amp;CHOOSE(MIN(4,COUNTIF($C$18:C860,C860)),"st","nd","rd","th"),"")</f>
        <v/>
      </c>
    </row>
    <row r="861" spans="10:10" x14ac:dyDescent="0.25">
      <c r="J861" s="164" t="str">
        <f>IFERROR(COUNTIF($C$18:C861,C861)&amp;CHOOSE(MIN(4,COUNTIF($C$18:C861,C861)),"st","nd","rd","th"),"")</f>
        <v/>
      </c>
    </row>
    <row r="862" spans="10:10" x14ac:dyDescent="0.25">
      <c r="J862" s="164" t="str">
        <f>IFERROR(COUNTIF($C$18:C862,C862)&amp;CHOOSE(MIN(4,COUNTIF($C$18:C862,C862)),"st","nd","rd","th"),"")</f>
        <v/>
      </c>
    </row>
    <row r="863" spans="10:10" x14ac:dyDescent="0.25">
      <c r="J863" s="164" t="str">
        <f>IFERROR(COUNTIF($C$18:C863,C863)&amp;CHOOSE(MIN(4,COUNTIF($C$18:C863,C863)),"st","nd","rd","th"),"")</f>
        <v/>
      </c>
    </row>
    <row r="864" spans="10:10" x14ac:dyDescent="0.25">
      <c r="J864" s="164" t="str">
        <f>IFERROR(COUNTIF($C$18:C864,C864)&amp;CHOOSE(MIN(4,COUNTIF($C$18:C864,C864)),"st","nd","rd","th"),"")</f>
        <v/>
      </c>
    </row>
    <row r="865" spans="10:10" x14ac:dyDescent="0.25">
      <c r="J865" s="164" t="str">
        <f>IFERROR(COUNTIF($C$18:C865,C865)&amp;CHOOSE(MIN(4,COUNTIF($C$18:C865,C865)),"st","nd","rd","th"),"")</f>
        <v/>
      </c>
    </row>
    <row r="866" spans="10:10" x14ac:dyDescent="0.25">
      <c r="J866" s="164" t="str">
        <f>IFERROR(COUNTIF($C$18:C866,C866)&amp;CHOOSE(MIN(4,COUNTIF($C$18:C866,C866)),"st","nd","rd","th"),"")</f>
        <v/>
      </c>
    </row>
    <row r="867" spans="10:10" x14ac:dyDescent="0.25">
      <c r="J867" s="164" t="str">
        <f>IFERROR(COUNTIF($C$18:C867,C867)&amp;CHOOSE(MIN(4,COUNTIF($C$18:C867,C867)),"st","nd","rd","th"),"")</f>
        <v/>
      </c>
    </row>
    <row r="868" spans="10:10" x14ac:dyDescent="0.25">
      <c r="J868" s="164" t="str">
        <f>IFERROR(COUNTIF($C$18:C868,C868)&amp;CHOOSE(MIN(4,COUNTIF($C$18:C868,C868)),"st","nd","rd","th"),"")</f>
        <v/>
      </c>
    </row>
    <row r="869" spans="10:10" x14ac:dyDescent="0.25">
      <c r="J869" s="164" t="str">
        <f>IFERROR(COUNTIF($C$18:C869,C869)&amp;CHOOSE(MIN(4,COUNTIF($C$18:C869,C869)),"st","nd","rd","th"),"")</f>
        <v/>
      </c>
    </row>
    <row r="870" spans="10:10" x14ac:dyDescent="0.25">
      <c r="J870" s="164" t="str">
        <f>IFERROR(COUNTIF($C$18:C870,C870)&amp;CHOOSE(MIN(4,COUNTIF($C$18:C870,C870)),"st","nd","rd","th"),"")</f>
        <v/>
      </c>
    </row>
    <row r="871" spans="10:10" x14ac:dyDescent="0.25">
      <c r="J871" s="164" t="str">
        <f>IFERROR(COUNTIF($C$18:C871,C871)&amp;CHOOSE(MIN(4,COUNTIF($C$18:C871,C871)),"st","nd","rd","th"),"")</f>
        <v/>
      </c>
    </row>
    <row r="872" spans="10:10" x14ac:dyDescent="0.25">
      <c r="J872" s="164" t="str">
        <f>IFERROR(COUNTIF($C$18:C872,C872)&amp;CHOOSE(MIN(4,COUNTIF($C$18:C872,C872)),"st","nd","rd","th"),"")</f>
        <v/>
      </c>
    </row>
    <row r="873" spans="10:10" x14ac:dyDescent="0.25">
      <c r="J873" s="164" t="str">
        <f>IFERROR(COUNTIF($C$18:C873,C873)&amp;CHOOSE(MIN(4,COUNTIF($C$18:C873,C873)),"st","nd","rd","th"),"")</f>
        <v/>
      </c>
    </row>
    <row r="874" spans="10:10" x14ac:dyDescent="0.25">
      <c r="J874" s="164" t="str">
        <f>IFERROR(COUNTIF($C$18:C874,C874)&amp;CHOOSE(MIN(4,COUNTIF($C$18:C874,C874)),"st","nd","rd","th"),"")</f>
        <v/>
      </c>
    </row>
    <row r="875" spans="10:10" x14ac:dyDescent="0.25">
      <c r="J875" s="164" t="str">
        <f>IFERROR(COUNTIF($C$18:C875,C875)&amp;CHOOSE(MIN(4,COUNTIF($C$18:C875,C875)),"st","nd","rd","th"),"")</f>
        <v/>
      </c>
    </row>
    <row r="876" spans="10:10" x14ac:dyDescent="0.25">
      <c r="J876" s="164" t="str">
        <f>IFERROR(COUNTIF($C$18:C876,C876)&amp;CHOOSE(MIN(4,COUNTIF($C$18:C876,C876)),"st","nd","rd","th"),"")</f>
        <v/>
      </c>
    </row>
    <row r="877" spans="10:10" x14ac:dyDescent="0.25">
      <c r="J877" s="164" t="str">
        <f>IFERROR(COUNTIF($C$18:C877,C877)&amp;CHOOSE(MIN(4,COUNTIF($C$18:C877,C877)),"st","nd","rd","th"),"")</f>
        <v/>
      </c>
    </row>
    <row r="878" spans="10:10" x14ac:dyDescent="0.25">
      <c r="J878" s="164" t="str">
        <f>IFERROR(COUNTIF($C$18:C878,C878)&amp;CHOOSE(MIN(4,COUNTIF($C$18:C878,C878)),"st","nd","rd","th"),"")</f>
        <v/>
      </c>
    </row>
    <row r="879" spans="10:10" x14ac:dyDescent="0.25">
      <c r="J879" s="164" t="str">
        <f>IFERROR(COUNTIF($C$18:C879,C879)&amp;CHOOSE(MIN(4,COUNTIF($C$18:C879,C879)),"st","nd","rd","th"),"")</f>
        <v/>
      </c>
    </row>
    <row r="880" spans="10:10" x14ac:dyDescent="0.25">
      <c r="J880" s="164" t="str">
        <f>IFERROR(COUNTIF($C$18:C880,C880)&amp;CHOOSE(MIN(4,COUNTIF($C$18:C880,C880)),"st","nd","rd","th"),"")</f>
        <v/>
      </c>
    </row>
    <row r="881" spans="10:10" x14ac:dyDescent="0.25">
      <c r="J881" s="164" t="str">
        <f>IFERROR(COUNTIF($C$18:C881,C881)&amp;CHOOSE(MIN(4,COUNTIF($C$18:C881,C881)),"st","nd","rd","th"),"")</f>
        <v/>
      </c>
    </row>
    <row r="882" spans="10:10" x14ac:dyDescent="0.25">
      <c r="J882" s="164" t="str">
        <f>IFERROR(COUNTIF($C$18:C882,C882)&amp;CHOOSE(MIN(4,COUNTIF($C$18:C882,C882)),"st","nd","rd","th"),"")</f>
        <v/>
      </c>
    </row>
    <row r="883" spans="10:10" x14ac:dyDescent="0.25">
      <c r="J883" s="164" t="str">
        <f>IFERROR(COUNTIF($C$18:C883,C883)&amp;CHOOSE(MIN(4,COUNTIF($C$18:C883,C883)),"st","nd","rd","th"),"")</f>
        <v/>
      </c>
    </row>
    <row r="884" spans="10:10" x14ac:dyDescent="0.25">
      <c r="J884" s="164" t="str">
        <f>IFERROR(COUNTIF($C$18:C884,C884)&amp;CHOOSE(MIN(4,COUNTIF($C$18:C884,C884)),"st","nd","rd","th"),"")</f>
        <v/>
      </c>
    </row>
    <row r="885" spans="10:10" x14ac:dyDescent="0.25">
      <c r="J885" s="164" t="str">
        <f>IFERROR(COUNTIF($C$18:C885,C885)&amp;CHOOSE(MIN(4,COUNTIF($C$18:C885,C885)),"st","nd","rd","th"),"")</f>
        <v/>
      </c>
    </row>
    <row r="886" spans="10:10" x14ac:dyDescent="0.25">
      <c r="J886" s="164" t="str">
        <f>IFERROR(COUNTIF($C$18:C886,C886)&amp;CHOOSE(MIN(4,COUNTIF($C$18:C886,C886)),"st","nd","rd","th"),"")</f>
        <v/>
      </c>
    </row>
    <row r="887" spans="10:10" x14ac:dyDescent="0.25">
      <c r="J887" s="164" t="str">
        <f>IFERROR(COUNTIF($C$18:C887,C887)&amp;CHOOSE(MIN(4,COUNTIF($C$18:C887,C887)),"st","nd","rd","th"),"")</f>
        <v/>
      </c>
    </row>
    <row r="888" spans="10:10" x14ac:dyDescent="0.25">
      <c r="J888" s="164" t="str">
        <f>IFERROR(COUNTIF($C$18:C888,C888)&amp;CHOOSE(MIN(4,COUNTIF($C$18:C888,C888)),"st","nd","rd","th"),"")</f>
        <v/>
      </c>
    </row>
    <row r="889" spans="10:10" x14ac:dyDescent="0.25">
      <c r="J889" s="164" t="str">
        <f>IFERROR(COUNTIF($C$18:C889,C889)&amp;CHOOSE(MIN(4,COUNTIF($C$18:C889,C889)),"st","nd","rd","th"),"")</f>
        <v/>
      </c>
    </row>
    <row r="890" spans="10:10" x14ac:dyDescent="0.25">
      <c r="J890" s="164" t="str">
        <f>IFERROR(COUNTIF($C$18:C890,C890)&amp;CHOOSE(MIN(4,COUNTIF($C$18:C890,C890)),"st","nd","rd","th"),"")</f>
        <v/>
      </c>
    </row>
    <row r="891" spans="10:10" x14ac:dyDescent="0.25">
      <c r="J891" s="164" t="str">
        <f>IFERROR(COUNTIF($C$18:C891,C891)&amp;CHOOSE(MIN(4,COUNTIF($C$18:C891,C891)),"st","nd","rd","th"),"")</f>
        <v/>
      </c>
    </row>
    <row r="892" spans="10:10" x14ac:dyDescent="0.25">
      <c r="J892" s="164" t="str">
        <f>IFERROR(COUNTIF($C$18:C892,C892)&amp;CHOOSE(MIN(4,COUNTIF($C$18:C892,C892)),"st","nd","rd","th"),"")</f>
        <v/>
      </c>
    </row>
    <row r="893" spans="10:10" x14ac:dyDescent="0.25">
      <c r="J893" s="164" t="str">
        <f>IFERROR(COUNTIF($C$18:C893,C893)&amp;CHOOSE(MIN(4,COUNTIF($C$18:C893,C893)),"st","nd","rd","th"),"")</f>
        <v/>
      </c>
    </row>
    <row r="894" spans="10:10" x14ac:dyDescent="0.25">
      <c r="J894" s="164" t="str">
        <f>IFERROR(COUNTIF($C$18:C894,C894)&amp;CHOOSE(MIN(4,COUNTIF($C$18:C894,C894)),"st","nd","rd","th"),"")</f>
        <v/>
      </c>
    </row>
    <row r="895" spans="10:10" x14ac:dyDescent="0.25">
      <c r="J895" s="164" t="str">
        <f>IFERROR(COUNTIF($C$18:C895,C895)&amp;CHOOSE(MIN(4,COUNTIF($C$18:C895,C895)),"st","nd","rd","th"),"")</f>
        <v/>
      </c>
    </row>
    <row r="896" spans="10:10" x14ac:dyDescent="0.25">
      <c r="J896" s="164" t="str">
        <f>IFERROR(COUNTIF($C$18:C896,C896)&amp;CHOOSE(MIN(4,COUNTIF($C$18:C896,C896)),"st","nd","rd","th"),"")</f>
        <v/>
      </c>
    </row>
    <row r="897" spans="10:10" x14ac:dyDescent="0.25">
      <c r="J897" s="164" t="str">
        <f>IFERROR(COUNTIF($C$18:C897,C897)&amp;CHOOSE(MIN(4,COUNTIF($C$18:C897,C897)),"st","nd","rd","th"),"")</f>
        <v/>
      </c>
    </row>
    <row r="898" spans="10:10" x14ac:dyDescent="0.25">
      <c r="J898" s="164" t="str">
        <f>IFERROR(COUNTIF($C$18:C898,C898)&amp;CHOOSE(MIN(4,COUNTIF($C$18:C898,C898)),"st","nd","rd","th"),"")</f>
        <v/>
      </c>
    </row>
    <row r="899" spans="10:10" x14ac:dyDescent="0.25">
      <c r="J899" s="164" t="str">
        <f>IFERROR(COUNTIF($C$18:C899,C899)&amp;CHOOSE(MIN(4,COUNTIF($C$18:C899,C899)),"st","nd","rd","th"),"")</f>
        <v/>
      </c>
    </row>
    <row r="900" spans="10:10" x14ac:dyDescent="0.25">
      <c r="J900" s="164" t="str">
        <f>IFERROR(COUNTIF($C$18:C900,C900)&amp;CHOOSE(MIN(4,COUNTIF($C$18:C900,C900)),"st","nd","rd","th"),"")</f>
        <v/>
      </c>
    </row>
    <row r="901" spans="10:10" x14ac:dyDescent="0.25">
      <c r="J901" s="164" t="str">
        <f>IFERROR(COUNTIF($C$18:C901,C901)&amp;CHOOSE(MIN(4,COUNTIF($C$18:C901,C901)),"st","nd","rd","th"),"")</f>
        <v/>
      </c>
    </row>
    <row r="902" spans="10:10" x14ac:dyDescent="0.25">
      <c r="J902" s="164" t="str">
        <f>IFERROR(COUNTIF($C$18:C902,C902)&amp;CHOOSE(MIN(4,COUNTIF($C$18:C902,C902)),"st","nd","rd","th"),"")</f>
        <v/>
      </c>
    </row>
    <row r="903" spans="10:10" x14ac:dyDescent="0.25">
      <c r="J903" s="164" t="str">
        <f>IFERROR(COUNTIF($C$18:C903,C903)&amp;CHOOSE(MIN(4,COUNTIF($C$18:C903,C903)),"st","nd","rd","th"),"")</f>
        <v/>
      </c>
    </row>
    <row r="904" spans="10:10" x14ac:dyDescent="0.25">
      <c r="J904" s="164" t="str">
        <f>IFERROR(COUNTIF($C$18:C904,C904)&amp;CHOOSE(MIN(4,COUNTIF($C$18:C904,C904)),"st","nd","rd","th"),"")</f>
        <v/>
      </c>
    </row>
    <row r="905" spans="10:10" x14ac:dyDescent="0.25">
      <c r="J905" s="164" t="str">
        <f>IFERROR(COUNTIF($C$18:C905,C905)&amp;CHOOSE(MIN(4,COUNTIF($C$18:C905,C905)),"st","nd","rd","th"),"")</f>
        <v/>
      </c>
    </row>
    <row r="906" spans="10:10" x14ac:dyDescent="0.25">
      <c r="J906" s="164" t="str">
        <f>IFERROR(COUNTIF($C$18:C906,C906)&amp;CHOOSE(MIN(4,COUNTIF($C$18:C906,C906)),"st","nd","rd","th"),"")</f>
        <v/>
      </c>
    </row>
    <row r="907" spans="10:10" x14ac:dyDescent="0.25">
      <c r="J907" s="164" t="str">
        <f>IFERROR(COUNTIF($C$18:C907,C907)&amp;CHOOSE(MIN(4,COUNTIF($C$18:C907,C907)),"st","nd","rd","th"),"")</f>
        <v/>
      </c>
    </row>
    <row r="908" spans="10:10" x14ac:dyDescent="0.25">
      <c r="J908" s="164" t="str">
        <f>IFERROR(COUNTIF($C$18:C908,C908)&amp;CHOOSE(MIN(4,COUNTIF($C$18:C908,C908)),"st","nd","rd","th"),"")</f>
        <v/>
      </c>
    </row>
    <row r="909" spans="10:10" x14ac:dyDescent="0.25">
      <c r="J909" s="164" t="str">
        <f>IFERROR(COUNTIF($C$18:C909,C909)&amp;CHOOSE(MIN(4,COUNTIF($C$18:C909,C909)),"st","nd","rd","th"),"")</f>
        <v/>
      </c>
    </row>
    <row r="910" spans="10:10" x14ac:dyDescent="0.25">
      <c r="J910" s="164" t="str">
        <f>IFERROR(COUNTIF($C$18:C910,C910)&amp;CHOOSE(MIN(4,COUNTIF($C$18:C910,C910)),"st","nd","rd","th"),"")</f>
        <v/>
      </c>
    </row>
    <row r="911" spans="10:10" x14ac:dyDescent="0.25">
      <c r="J911" s="164" t="str">
        <f>IFERROR(COUNTIF($C$18:C911,C911)&amp;CHOOSE(MIN(4,COUNTIF($C$18:C911,C911)),"st","nd","rd","th"),"")</f>
        <v/>
      </c>
    </row>
    <row r="912" spans="10:10" x14ac:dyDescent="0.25">
      <c r="J912" s="164" t="str">
        <f>IFERROR(COUNTIF($C$18:C912,C912)&amp;CHOOSE(MIN(4,COUNTIF($C$18:C912,C912)),"st","nd","rd","th"),"")</f>
        <v/>
      </c>
    </row>
    <row r="913" spans="10:10" x14ac:dyDescent="0.25">
      <c r="J913" s="164" t="str">
        <f>IFERROR(COUNTIF($C$18:C913,C913)&amp;CHOOSE(MIN(4,COUNTIF($C$18:C913,C913)),"st","nd","rd","th"),"")</f>
        <v/>
      </c>
    </row>
    <row r="914" spans="10:10" x14ac:dyDescent="0.25">
      <c r="J914" s="164" t="str">
        <f>IFERROR(COUNTIF($C$18:C914,C914)&amp;CHOOSE(MIN(4,COUNTIF($C$18:C914,C914)),"st","nd","rd","th"),"")</f>
        <v/>
      </c>
    </row>
    <row r="915" spans="10:10" x14ac:dyDescent="0.25">
      <c r="J915" s="164" t="str">
        <f>IFERROR(COUNTIF($C$18:C915,C915)&amp;CHOOSE(MIN(4,COUNTIF($C$18:C915,C915)),"st","nd","rd","th"),"")</f>
        <v/>
      </c>
    </row>
    <row r="916" spans="10:10" x14ac:dyDescent="0.25">
      <c r="J916" s="164" t="str">
        <f>IFERROR(COUNTIF($C$18:C916,C916)&amp;CHOOSE(MIN(4,COUNTIF($C$18:C916,C916)),"st","nd","rd","th"),"")</f>
        <v/>
      </c>
    </row>
    <row r="917" spans="10:10" x14ac:dyDescent="0.25">
      <c r="J917" s="164" t="str">
        <f>IFERROR(COUNTIF($C$18:C917,C917)&amp;CHOOSE(MIN(4,COUNTIF($C$18:C917,C917)),"st","nd","rd","th"),"")</f>
        <v/>
      </c>
    </row>
    <row r="918" spans="10:10" x14ac:dyDescent="0.25">
      <c r="J918" s="164" t="str">
        <f>IFERROR(COUNTIF($C$18:C918,C918)&amp;CHOOSE(MIN(4,COUNTIF($C$18:C918,C918)),"st","nd","rd","th"),"")</f>
        <v/>
      </c>
    </row>
    <row r="919" spans="10:10" x14ac:dyDescent="0.25">
      <c r="J919" s="164" t="str">
        <f>IFERROR(COUNTIF($C$18:C919,C919)&amp;CHOOSE(MIN(4,COUNTIF($C$18:C919,C919)),"st","nd","rd","th"),"")</f>
        <v/>
      </c>
    </row>
    <row r="920" spans="10:10" x14ac:dyDescent="0.25">
      <c r="J920" s="164" t="str">
        <f>IFERROR(COUNTIF($C$18:C920,C920)&amp;CHOOSE(MIN(4,COUNTIF($C$18:C920,C920)),"st","nd","rd","th"),"")</f>
        <v/>
      </c>
    </row>
    <row r="921" spans="10:10" x14ac:dyDescent="0.25">
      <c r="J921" s="164" t="str">
        <f>IFERROR(COUNTIF($C$18:C921,C921)&amp;CHOOSE(MIN(4,COUNTIF($C$18:C921,C921)),"st","nd","rd","th"),"")</f>
        <v/>
      </c>
    </row>
    <row r="922" spans="10:10" x14ac:dyDescent="0.25">
      <c r="J922" s="164" t="str">
        <f>IFERROR(COUNTIF($C$18:C922,C922)&amp;CHOOSE(MIN(4,COUNTIF($C$18:C922,C922)),"st","nd","rd","th"),"")</f>
        <v/>
      </c>
    </row>
    <row r="923" spans="10:10" x14ac:dyDescent="0.25">
      <c r="J923" s="164" t="str">
        <f>IFERROR(COUNTIF($C$18:C923,C923)&amp;CHOOSE(MIN(4,COUNTIF($C$18:C923,C923)),"st","nd","rd","th"),"")</f>
        <v/>
      </c>
    </row>
    <row r="924" spans="10:10" x14ac:dyDescent="0.25">
      <c r="J924" s="164" t="str">
        <f>IFERROR(COUNTIF($C$18:C924,C924)&amp;CHOOSE(MIN(4,COUNTIF($C$18:C924,C924)),"st","nd","rd","th"),"")</f>
        <v/>
      </c>
    </row>
    <row r="925" spans="10:10" x14ac:dyDescent="0.25">
      <c r="J925" s="164" t="str">
        <f>IFERROR(COUNTIF($C$18:C925,C925)&amp;CHOOSE(MIN(4,COUNTIF($C$18:C925,C925)),"st","nd","rd","th"),"")</f>
        <v/>
      </c>
    </row>
    <row r="926" spans="10:10" x14ac:dyDescent="0.25">
      <c r="J926" s="164" t="str">
        <f>IFERROR(COUNTIF($C$18:C926,C926)&amp;CHOOSE(MIN(4,COUNTIF($C$18:C926,C926)),"st","nd","rd","th"),"")</f>
        <v/>
      </c>
    </row>
    <row r="927" spans="10:10" x14ac:dyDescent="0.25">
      <c r="J927" s="164" t="str">
        <f>IFERROR(COUNTIF($C$18:C927,C927)&amp;CHOOSE(MIN(4,COUNTIF($C$18:C927,C927)),"st","nd","rd","th"),"")</f>
        <v/>
      </c>
    </row>
    <row r="928" spans="10:10" x14ac:dyDescent="0.25">
      <c r="J928" s="164" t="str">
        <f>IFERROR(COUNTIF($C$18:C928,C928)&amp;CHOOSE(MIN(4,COUNTIF($C$18:C928,C928)),"st","nd","rd","th"),"")</f>
        <v/>
      </c>
    </row>
    <row r="929" spans="10:10" x14ac:dyDescent="0.25">
      <c r="J929" s="164" t="str">
        <f>IFERROR(COUNTIF($C$18:C929,C929)&amp;CHOOSE(MIN(4,COUNTIF($C$18:C929,C929)),"st","nd","rd","th"),"")</f>
        <v/>
      </c>
    </row>
    <row r="930" spans="10:10" x14ac:dyDescent="0.25">
      <c r="J930" s="164" t="str">
        <f>IFERROR(COUNTIF($C$18:C930,C930)&amp;CHOOSE(MIN(4,COUNTIF($C$18:C930,C930)),"st","nd","rd","th"),"")</f>
        <v/>
      </c>
    </row>
    <row r="931" spans="10:10" x14ac:dyDescent="0.25">
      <c r="J931" s="164" t="str">
        <f>IFERROR(COUNTIF($C$18:C931,C931)&amp;CHOOSE(MIN(4,COUNTIF($C$18:C931,C931)),"st","nd","rd","th"),"")</f>
        <v/>
      </c>
    </row>
    <row r="932" spans="10:10" x14ac:dyDescent="0.25">
      <c r="J932" s="164" t="str">
        <f>IFERROR(COUNTIF($C$18:C932,C932)&amp;CHOOSE(MIN(4,COUNTIF($C$18:C932,C932)),"st","nd","rd","th"),"")</f>
        <v/>
      </c>
    </row>
    <row r="933" spans="10:10" x14ac:dyDescent="0.25">
      <c r="J933" s="164" t="str">
        <f>IFERROR(COUNTIF($C$18:C933,C933)&amp;CHOOSE(MIN(4,COUNTIF($C$18:C933,C933)),"st","nd","rd","th"),"")</f>
        <v/>
      </c>
    </row>
    <row r="934" spans="10:10" x14ac:dyDescent="0.25">
      <c r="J934" s="164" t="str">
        <f>IFERROR(COUNTIF($C$18:C934,C934)&amp;CHOOSE(MIN(4,COUNTIF($C$18:C934,C934)),"st","nd","rd","th"),"")</f>
        <v/>
      </c>
    </row>
    <row r="935" spans="10:10" x14ac:dyDescent="0.25">
      <c r="J935" s="164" t="str">
        <f>IFERROR(COUNTIF($C$18:C935,C935)&amp;CHOOSE(MIN(4,COUNTIF($C$18:C935,C935)),"st","nd","rd","th"),"")</f>
        <v/>
      </c>
    </row>
    <row r="936" spans="10:10" x14ac:dyDescent="0.25">
      <c r="J936" s="164" t="str">
        <f>IFERROR(COUNTIF($C$18:C936,C936)&amp;CHOOSE(MIN(4,COUNTIF($C$18:C936,C936)),"st","nd","rd","th"),"")</f>
        <v/>
      </c>
    </row>
    <row r="937" spans="10:10" x14ac:dyDescent="0.25">
      <c r="J937" s="164" t="str">
        <f>IFERROR(COUNTIF($C$18:C937,C937)&amp;CHOOSE(MIN(4,COUNTIF($C$18:C937,C937)),"st","nd","rd","th"),"")</f>
        <v/>
      </c>
    </row>
    <row r="938" spans="10:10" x14ac:dyDescent="0.25">
      <c r="J938" s="164" t="str">
        <f>IFERROR(COUNTIF($C$18:C938,C938)&amp;CHOOSE(MIN(4,COUNTIF($C$18:C938,C938)),"st","nd","rd","th"),"")</f>
        <v/>
      </c>
    </row>
    <row r="939" spans="10:10" x14ac:dyDescent="0.25">
      <c r="J939" s="164" t="str">
        <f>IFERROR(COUNTIF($C$18:C939,C939)&amp;CHOOSE(MIN(4,COUNTIF($C$18:C939,C939)),"st","nd","rd","th"),"")</f>
        <v/>
      </c>
    </row>
    <row r="940" spans="10:10" x14ac:dyDescent="0.25">
      <c r="J940" s="164" t="str">
        <f>IFERROR(COUNTIF($C$18:C940,C940)&amp;CHOOSE(MIN(4,COUNTIF($C$18:C940,C940)),"st","nd","rd","th"),"")</f>
        <v/>
      </c>
    </row>
    <row r="941" spans="10:10" x14ac:dyDescent="0.25">
      <c r="J941" s="164" t="str">
        <f>IFERROR(COUNTIF($C$18:C941,C941)&amp;CHOOSE(MIN(4,COUNTIF($C$18:C941,C941)),"st","nd","rd","th"),"")</f>
        <v/>
      </c>
    </row>
    <row r="942" spans="10:10" x14ac:dyDescent="0.25">
      <c r="J942" s="164" t="str">
        <f>IFERROR(COUNTIF($C$18:C942,C942)&amp;CHOOSE(MIN(4,COUNTIF($C$18:C942,C942)),"st","nd","rd","th"),"")</f>
        <v/>
      </c>
    </row>
    <row r="943" spans="10:10" x14ac:dyDescent="0.25">
      <c r="J943" s="164" t="str">
        <f>IFERROR(COUNTIF($C$18:C943,C943)&amp;CHOOSE(MIN(4,COUNTIF($C$18:C943,C943)),"st","nd","rd","th"),"")</f>
        <v/>
      </c>
    </row>
    <row r="944" spans="10:10" x14ac:dyDescent="0.25">
      <c r="J944" s="164" t="str">
        <f>IFERROR(COUNTIF($C$18:C944,C944)&amp;CHOOSE(MIN(4,COUNTIF($C$18:C944,C944)),"st","nd","rd","th"),"")</f>
        <v/>
      </c>
    </row>
    <row r="945" spans="10:10" x14ac:dyDescent="0.25">
      <c r="J945" s="164" t="str">
        <f>IFERROR(COUNTIF($C$18:C945,C945)&amp;CHOOSE(MIN(4,COUNTIF($C$18:C945,C945)),"st","nd","rd","th"),"")</f>
        <v/>
      </c>
    </row>
    <row r="946" spans="10:10" x14ac:dyDescent="0.25">
      <c r="J946" s="164" t="str">
        <f>IFERROR(COUNTIF($C$18:C946,C946)&amp;CHOOSE(MIN(4,COUNTIF($C$18:C946,C946)),"st","nd","rd","th"),"")</f>
        <v/>
      </c>
    </row>
    <row r="947" spans="10:10" x14ac:dyDescent="0.25">
      <c r="J947" s="164" t="str">
        <f>IFERROR(COUNTIF($C$18:C947,C947)&amp;CHOOSE(MIN(4,COUNTIF($C$18:C947,C947)),"st","nd","rd","th"),"")</f>
        <v/>
      </c>
    </row>
    <row r="948" spans="10:10" x14ac:dyDescent="0.25">
      <c r="J948" s="164" t="str">
        <f>IFERROR(COUNTIF($C$18:C948,C948)&amp;CHOOSE(MIN(4,COUNTIF($C$18:C948,C948)),"st","nd","rd","th"),"")</f>
        <v/>
      </c>
    </row>
    <row r="949" spans="10:10" x14ac:dyDescent="0.25">
      <c r="J949" s="164" t="str">
        <f>IFERROR(COUNTIF($C$18:C949,C949)&amp;CHOOSE(MIN(4,COUNTIF($C$18:C949,C949)),"st","nd","rd","th"),"")</f>
        <v/>
      </c>
    </row>
    <row r="950" spans="10:10" x14ac:dyDescent="0.25">
      <c r="J950" s="164" t="str">
        <f>IFERROR(COUNTIF($C$18:C950,C950)&amp;CHOOSE(MIN(4,COUNTIF($C$18:C950,C950)),"st","nd","rd","th"),"")</f>
        <v/>
      </c>
    </row>
    <row r="951" spans="10:10" x14ac:dyDescent="0.25">
      <c r="J951" s="164" t="str">
        <f>IFERROR(COUNTIF($C$18:C951,C951)&amp;CHOOSE(MIN(4,COUNTIF($C$18:C951,C951)),"st","nd","rd","th"),"")</f>
        <v/>
      </c>
    </row>
    <row r="952" spans="10:10" x14ac:dyDescent="0.25">
      <c r="J952" s="164" t="str">
        <f>IFERROR(COUNTIF($C$18:C952,C952)&amp;CHOOSE(MIN(4,COUNTIF($C$18:C952,C952)),"st","nd","rd","th"),"")</f>
        <v/>
      </c>
    </row>
    <row r="953" spans="10:10" x14ac:dyDescent="0.25">
      <c r="J953" s="164" t="str">
        <f>IFERROR(COUNTIF($C$18:C953,C953)&amp;CHOOSE(MIN(4,COUNTIF($C$18:C953,C953)),"st","nd","rd","th"),"")</f>
        <v/>
      </c>
    </row>
    <row r="954" spans="10:10" x14ac:dyDescent="0.25">
      <c r="J954" s="164" t="str">
        <f>IFERROR(COUNTIF($C$18:C954,C954)&amp;CHOOSE(MIN(4,COUNTIF($C$18:C954,C954)),"st","nd","rd","th"),"")</f>
        <v/>
      </c>
    </row>
    <row r="955" spans="10:10" x14ac:dyDescent="0.25">
      <c r="J955" s="164" t="str">
        <f>IFERROR(COUNTIF($C$18:C955,C955)&amp;CHOOSE(MIN(4,COUNTIF($C$18:C955,C955)),"st","nd","rd","th"),"")</f>
        <v/>
      </c>
    </row>
    <row r="956" spans="10:10" x14ac:dyDescent="0.25">
      <c r="J956" s="164" t="str">
        <f>IFERROR(COUNTIF($C$18:C956,C956)&amp;CHOOSE(MIN(4,COUNTIF($C$18:C956,C956)),"st","nd","rd","th"),"")</f>
        <v/>
      </c>
    </row>
    <row r="957" spans="10:10" x14ac:dyDescent="0.25">
      <c r="J957" s="164" t="str">
        <f>IFERROR(COUNTIF($C$18:C957,C957)&amp;CHOOSE(MIN(4,COUNTIF($C$18:C957,C957)),"st","nd","rd","th"),"")</f>
        <v/>
      </c>
    </row>
    <row r="958" spans="10:10" x14ac:dyDescent="0.25">
      <c r="J958" s="164" t="str">
        <f>IFERROR(COUNTIF($C$18:C958,C958)&amp;CHOOSE(MIN(4,COUNTIF($C$18:C958,C958)),"st","nd","rd","th"),"")</f>
        <v/>
      </c>
    </row>
    <row r="959" spans="10:10" x14ac:dyDescent="0.25">
      <c r="J959" s="164" t="str">
        <f>IFERROR(COUNTIF($C$18:C959,C959)&amp;CHOOSE(MIN(4,COUNTIF($C$18:C959,C959)),"st","nd","rd","th"),"")</f>
        <v/>
      </c>
    </row>
    <row r="960" spans="10:10" x14ac:dyDescent="0.25">
      <c r="J960" s="164" t="str">
        <f>IFERROR(COUNTIF($C$18:C960,C960)&amp;CHOOSE(MIN(4,COUNTIF($C$18:C960,C960)),"st","nd","rd","th"),"")</f>
        <v/>
      </c>
    </row>
    <row r="961" spans="10:10" x14ac:dyDescent="0.25">
      <c r="J961" s="164" t="str">
        <f>IFERROR(COUNTIF($C$18:C961,C961)&amp;CHOOSE(MIN(4,COUNTIF($C$18:C961,C961)),"st","nd","rd","th"),"")</f>
        <v/>
      </c>
    </row>
    <row r="962" spans="10:10" x14ac:dyDescent="0.25">
      <c r="J962" s="164" t="str">
        <f>IFERROR(COUNTIF($C$18:C962,C962)&amp;CHOOSE(MIN(4,COUNTIF($C$18:C962,C962)),"st","nd","rd","th"),"")</f>
        <v/>
      </c>
    </row>
    <row r="963" spans="10:10" x14ac:dyDescent="0.25">
      <c r="J963" s="164" t="str">
        <f>IFERROR(COUNTIF($C$18:C963,C963)&amp;CHOOSE(MIN(4,COUNTIF($C$18:C963,C963)),"st","nd","rd","th"),"")</f>
        <v/>
      </c>
    </row>
    <row r="964" spans="10:10" x14ac:dyDescent="0.25">
      <c r="J964" s="164" t="str">
        <f>IFERROR(COUNTIF($C$18:C964,C964)&amp;CHOOSE(MIN(4,COUNTIF($C$18:C964,C964)),"st","nd","rd","th"),"")</f>
        <v/>
      </c>
    </row>
    <row r="965" spans="10:10" x14ac:dyDescent="0.25">
      <c r="J965" s="164" t="str">
        <f>IFERROR(COUNTIF($C$18:C965,C965)&amp;CHOOSE(MIN(4,COUNTIF($C$18:C965,C965)),"st","nd","rd","th"),"")</f>
        <v/>
      </c>
    </row>
    <row r="966" spans="10:10" x14ac:dyDescent="0.25">
      <c r="J966" s="164" t="str">
        <f>IFERROR(COUNTIF($C$18:C966,C966)&amp;CHOOSE(MIN(4,COUNTIF($C$18:C966,C966)),"st","nd","rd","th"),"")</f>
        <v/>
      </c>
    </row>
    <row r="967" spans="10:10" x14ac:dyDescent="0.25">
      <c r="J967" s="164" t="str">
        <f>IFERROR(COUNTIF($C$18:C967,C967)&amp;CHOOSE(MIN(4,COUNTIF($C$18:C967,C967)),"st","nd","rd","th"),"")</f>
        <v/>
      </c>
    </row>
    <row r="968" spans="10:10" x14ac:dyDescent="0.25">
      <c r="J968" s="164" t="str">
        <f>IFERROR(COUNTIF($C$18:C968,C968)&amp;CHOOSE(MIN(4,COUNTIF($C$18:C968,C968)),"st","nd","rd","th"),"")</f>
        <v/>
      </c>
    </row>
    <row r="969" spans="10:10" x14ac:dyDescent="0.25">
      <c r="J969" s="164" t="str">
        <f>IFERROR(COUNTIF($C$18:C969,C969)&amp;CHOOSE(MIN(4,COUNTIF($C$18:C969,C969)),"st","nd","rd","th"),"")</f>
        <v/>
      </c>
    </row>
    <row r="970" spans="10:10" x14ac:dyDescent="0.25">
      <c r="J970" s="164" t="str">
        <f>IFERROR(COUNTIF($C$18:C970,C970)&amp;CHOOSE(MIN(4,COUNTIF($C$18:C970,C970)),"st","nd","rd","th"),"")</f>
        <v/>
      </c>
    </row>
    <row r="971" spans="10:10" x14ac:dyDescent="0.25">
      <c r="J971" s="164" t="str">
        <f>IFERROR(COUNTIF($C$18:C971,C971)&amp;CHOOSE(MIN(4,COUNTIF($C$18:C971,C971)),"st","nd","rd","th"),"")</f>
        <v/>
      </c>
    </row>
    <row r="972" spans="10:10" x14ac:dyDescent="0.25">
      <c r="J972" s="164" t="str">
        <f>IFERROR(COUNTIF($C$18:C972,C972)&amp;CHOOSE(MIN(4,COUNTIF($C$18:C972,C972)),"st","nd","rd","th"),"")</f>
        <v/>
      </c>
    </row>
    <row r="973" spans="10:10" x14ac:dyDescent="0.25">
      <c r="J973" s="164" t="str">
        <f>IFERROR(COUNTIF($C$18:C973,C973)&amp;CHOOSE(MIN(4,COUNTIF($C$18:C973,C973)),"st","nd","rd","th"),"")</f>
        <v/>
      </c>
    </row>
    <row r="974" spans="10:10" x14ac:dyDescent="0.25">
      <c r="J974" s="164" t="str">
        <f>IFERROR(COUNTIF($C$18:C974,C974)&amp;CHOOSE(MIN(4,COUNTIF($C$18:C974,C974)),"st","nd","rd","th"),"")</f>
        <v/>
      </c>
    </row>
    <row r="975" spans="10:10" x14ac:dyDescent="0.25">
      <c r="J975" s="164" t="str">
        <f>IFERROR(COUNTIF($C$18:C975,C975)&amp;CHOOSE(MIN(4,COUNTIF($C$18:C975,C975)),"st","nd","rd","th"),"")</f>
        <v/>
      </c>
    </row>
    <row r="976" spans="10:10" x14ac:dyDescent="0.25">
      <c r="J976" s="164" t="str">
        <f>IFERROR(COUNTIF($C$18:C976,C976)&amp;CHOOSE(MIN(4,COUNTIF($C$18:C976,C976)),"st","nd","rd","th"),"")</f>
        <v/>
      </c>
    </row>
    <row r="977" spans="10:10" x14ac:dyDescent="0.25">
      <c r="J977" s="164" t="str">
        <f>IFERROR(COUNTIF($C$18:C977,C977)&amp;CHOOSE(MIN(4,COUNTIF($C$18:C977,C977)),"st","nd","rd","th"),"")</f>
        <v/>
      </c>
    </row>
    <row r="978" spans="10:10" x14ac:dyDescent="0.25">
      <c r="J978" s="164" t="str">
        <f>IFERROR(COUNTIF($C$18:C978,C978)&amp;CHOOSE(MIN(4,COUNTIF($C$18:C978,C978)),"st","nd","rd","th"),"")</f>
        <v/>
      </c>
    </row>
    <row r="979" spans="10:10" x14ac:dyDescent="0.25">
      <c r="J979" s="164" t="str">
        <f>IFERROR(COUNTIF($C$18:C979,C979)&amp;CHOOSE(MIN(4,COUNTIF($C$18:C979,C979)),"st","nd","rd","th"),"")</f>
        <v/>
      </c>
    </row>
    <row r="980" spans="10:10" x14ac:dyDescent="0.25">
      <c r="J980" s="164" t="str">
        <f>IFERROR(COUNTIF($C$18:C980,C980)&amp;CHOOSE(MIN(4,COUNTIF($C$18:C980,C980)),"st","nd","rd","th"),"")</f>
        <v/>
      </c>
    </row>
    <row r="981" spans="10:10" x14ac:dyDescent="0.25">
      <c r="J981" s="164" t="str">
        <f>IFERROR(COUNTIF($C$18:C981,C981)&amp;CHOOSE(MIN(4,COUNTIF($C$18:C981,C981)),"st","nd","rd","th"),"")</f>
        <v/>
      </c>
    </row>
    <row r="982" spans="10:10" x14ac:dyDescent="0.25">
      <c r="J982" s="164" t="str">
        <f>IFERROR(COUNTIF($C$18:C982,C982)&amp;CHOOSE(MIN(4,COUNTIF($C$18:C982,C982)),"st","nd","rd","th"),"")</f>
        <v/>
      </c>
    </row>
    <row r="983" spans="10:10" x14ac:dyDescent="0.25">
      <c r="J983" s="164" t="str">
        <f>IFERROR(COUNTIF($C$18:C983,C983)&amp;CHOOSE(MIN(4,COUNTIF($C$18:C983,C983)),"st","nd","rd","th"),"")</f>
        <v/>
      </c>
    </row>
    <row r="984" spans="10:10" x14ac:dyDescent="0.25">
      <c r="J984" s="164" t="str">
        <f>IFERROR(COUNTIF($C$18:C984,C984)&amp;CHOOSE(MIN(4,COUNTIF($C$18:C984,C984)),"st","nd","rd","th"),"")</f>
        <v/>
      </c>
    </row>
    <row r="985" spans="10:10" x14ac:dyDescent="0.25">
      <c r="J985" s="164" t="str">
        <f>IFERROR(COUNTIF($C$18:C985,C985)&amp;CHOOSE(MIN(4,COUNTIF($C$18:C985,C985)),"st","nd","rd","th"),"")</f>
        <v/>
      </c>
    </row>
    <row r="986" spans="10:10" x14ac:dyDescent="0.25">
      <c r="J986" s="164" t="str">
        <f>IFERROR(COUNTIF($C$18:C986,C986)&amp;CHOOSE(MIN(4,COUNTIF($C$18:C986,C986)),"st","nd","rd","th"),"")</f>
        <v/>
      </c>
    </row>
    <row r="987" spans="10:10" x14ac:dyDescent="0.25">
      <c r="J987" s="164" t="str">
        <f>IFERROR(COUNTIF($C$18:C987,C987)&amp;CHOOSE(MIN(4,COUNTIF($C$18:C987,C987)),"st","nd","rd","th"),"")</f>
        <v/>
      </c>
    </row>
    <row r="988" spans="10:10" x14ac:dyDescent="0.25">
      <c r="J988" s="164" t="str">
        <f>IFERROR(COUNTIF($C$18:C988,C988)&amp;CHOOSE(MIN(4,COUNTIF($C$18:C988,C988)),"st","nd","rd","th"),"")</f>
        <v/>
      </c>
    </row>
    <row r="989" spans="10:10" x14ac:dyDescent="0.25">
      <c r="J989" s="164" t="str">
        <f>IFERROR(COUNTIF($C$18:C989,C989)&amp;CHOOSE(MIN(4,COUNTIF($C$18:C989,C989)),"st","nd","rd","th"),"")</f>
        <v/>
      </c>
    </row>
    <row r="990" spans="10:10" x14ac:dyDescent="0.25">
      <c r="J990" s="164" t="str">
        <f>IFERROR(COUNTIF($C$18:C990,C990)&amp;CHOOSE(MIN(4,COUNTIF($C$18:C990,C990)),"st","nd","rd","th"),"")</f>
        <v/>
      </c>
    </row>
    <row r="991" spans="10:10" x14ac:dyDescent="0.25">
      <c r="J991" s="164" t="str">
        <f>IFERROR(COUNTIF($C$18:C991,C991)&amp;CHOOSE(MIN(4,COUNTIF($C$18:C991,C991)),"st","nd","rd","th"),"")</f>
        <v/>
      </c>
    </row>
    <row r="992" spans="10:10" x14ac:dyDescent="0.25">
      <c r="J992" s="164" t="str">
        <f>IFERROR(COUNTIF($C$18:C992,C992)&amp;CHOOSE(MIN(4,COUNTIF($C$18:C992,C992)),"st","nd","rd","th"),"")</f>
        <v/>
      </c>
    </row>
    <row r="993" spans="10:10" x14ac:dyDescent="0.25">
      <c r="J993" s="164" t="str">
        <f>IFERROR(COUNTIF($C$18:C993,C993)&amp;CHOOSE(MIN(4,COUNTIF($C$18:C993,C993)),"st","nd","rd","th"),"")</f>
        <v/>
      </c>
    </row>
    <row r="994" spans="10:10" x14ac:dyDescent="0.25">
      <c r="J994" s="164" t="str">
        <f>IFERROR(COUNTIF($C$18:C994,C994)&amp;CHOOSE(MIN(4,COUNTIF($C$18:C994,C994)),"st","nd","rd","th"),"")</f>
        <v/>
      </c>
    </row>
    <row r="995" spans="10:10" x14ac:dyDescent="0.25">
      <c r="J995" s="164" t="str">
        <f>IFERROR(COUNTIF($C$18:C995,C995)&amp;CHOOSE(MIN(4,COUNTIF($C$18:C995,C995)),"st","nd","rd","th"),"")</f>
        <v/>
      </c>
    </row>
    <row r="996" spans="10:10" x14ac:dyDescent="0.25">
      <c r="J996" s="164" t="str">
        <f>IFERROR(COUNTIF($C$18:C996,C996)&amp;CHOOSE(MIN(4,COUNTIF($C$18:C996,C996)),"st","nd","rd","th"),"")</f>
        <v/>
      </c>
    </row>
    <row r="997" spans="10:10" x14ac:dyDescent="0.25">
      <c r="J997" s="164" t="str">
        <f>IFERROR(COUNTIF($C$18:C997,C997)&amp;CHOOSE(MIN(4,COUNTIF($C$18:C997,C997)),"st","nd","rd","th"),"")</f>
        <v/>
      </c>
    </row>
    <row r="998" spans="10:10" x14ac:dyDescent="0.25">
      <c r="J998" s="164" t="str">
        <f>IFERROR(COUNTIF($C$18:C998,C998)&amp;CHOOSE(MIN(4,COUNTIF($C$18:C998,C998)),"st","nd","rd","th"),"")</f>
        <v/>
      </c>
    </row>
    <row r="999" spans="10:10" x14ac:dyDescent="0.25">
      <c r="J999" s="164" t="str">
        <f>IFERROR(COUNTIF($C$18:C999,C999)&amp;CHOOSE(MIN(4,COUNTIF($C$18:C999,C999)),"st","nd","rd","th"),"")</f>
        <v/>
      </c>
    </row>
    <row r="1000" spans="10:10" x14ac:dyDescent="0.25">
      <c r="J1000" s="164" t="str">
        <f>IFERROR(COUNTIF($C$18:C1000,C1000)&amp;CHOOSE(MIN(4,COUNTIF($C$18:C1000,C1000)),"st","nd","rd","th"),"")</f>
        <v/>
      </c>
    </row>
    <row r="1001" spans="10:10" x14ac:dyDescent="0.25">
      <c r="J1001" s="164" t="str">
        <f>IFERROR(COUNTIF($C$18:C1001,C1001)&amp;CHOOSE(MIN(4,COUNTIF($C$18:C1001,C1001)),"st","nd","rd","th"),"")</f>
        <v/>
      </c>
    </row>
    <row r="1002" spans="10:10" x14ac:dyDescent="0.25">
      <c r="J1002" s="164" t="str">
        <f>IFERROR(COUNTIF($C$18:C1002,C1002)&amp;CHOOSE(MIN(4,COUNTIF($C$18:C1002,C1002)),"st","nd","rd","th"),"")</f>
        <v/>
      </c>
    </row>
    <row r="1003" spans="10:10" x14ac:dyDescent="0.25">
      <c r="J1003" s="164" t="str">
        <f>IFERROR(COUNTIF($C$18:C1003,C1003)&amp;CHOOSE(MIN(4,COUNTIF($C$18:C1003,C1003)),"st","nd","rd","th"),"")</f>
        <v/>
      </c>
    </row>
    <row r="1004" spans="10:10" x14ac:dyDescent="0.25">
      <c r="J1004" s="164" t="str">
        <f>IFERROR(COUNTIF($C$18:C1004,C1004)&amp;CHOOSE(MIN(4,COUNTIF($C$18:C1004,C1004)),"st","nd","rd","th"),"")</f>
        <v/>
      </c>
    </row>
    <row r="1005" spans="10:10" x14ac:dyDescent="0.25">
      <c r="J1005" s="164" t="str">
        <f>IFERROR(COUNTIF($C$18:C1005,C1005)&amp;CHOOSE(MIN(4,COUNTIF($C$18:C1005,C1005)),"st","nd","rd","th"),"")</f>
        <v/>
      </c>
    </row>
    <row r="1006" spans="10:10" x14ac:dyDescent="0.25">
      <c r="J1006" s="164" t="str">
        <f>IFERROR(COUNTIF($C$18:C1006,C1006)&amp;CHOOSE(MIN(4,COUNTIF($C$18:C1006,C1006)),"st","nd","rd","th"),"")</f>
        <v/>
      </c>
    </row>
  </sheetData>
  <autoFilter ref="A17:J1005" xr:uid="{224F6E6E-54BA-488B-8C03-7F35E4ABBFD6}"/>
  <mergeCells count="3">
    <mergeCell ref="B5:R5"/>
    <mergeCell ref="B6:R6"/>
    <mergeCell ref="B7:R7"/>
  </mergeCells>
  <dataValidations count="1">
    <dataValidation type="list" allowBlank="1" showInputMessage="1" showErrorMessage="1" sqref="B61:C1048576 B18:C18" xr:uid="{D3A51E86-A565-41E2-8347-3943BC6F356B}">
      <formula1>INDIRECT(A18)</formula1>
    </dataValidation>
  </dataValidations>
  <hyperlinks>
    <hyperlink ref="C1" location="'Accomplishment 2025'!A1" display="Back to Summary of Accomplishments 2025" xr:uid="{0AFAE579-5CA4-4C09-98E5-92CFE48D8762}"/>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xr:uid="{D8463FD6-5D23-47EB-AAC9-CAB0611CD5D5}">
          <x14:formula1>
            <xm:f>Picklists!$A$3:$A$14</xm:f>
          </x14:formula1>
          <xm:sqref>I35:I36 H18 H24:H1048576</xm:sqref>
        </x14:dataValidation>
        <x14:dataValidation type="list" allowBlank="1" showInputMessage="1" showErrorMessage="1" xr:uid="{A819A498-5473-43A0-A85B-7008B0D8850E}">
          <x14:formula1>
            <xm:f>Picklists!$A$17:$A$23</xm:f>
          </x14:formula1>
          <xm:sqref>D61:D1048576</xm:sqref>
        </x14:dataValidation>
        <x14:dataValidation type="list" allowBlank="1" showInputMessage="1" showErrorMessage="1" xr:uid="{6F50E037-BC90-4A69-99B9-7BF274C79ACB}">
          <x14:formula1>
            <xm:f>Picklists!$A$26:$A$27</xm:f>
          </x14:formula1>
          <xm:sqref>F61:F1048576</xm:sqref>
        </x14:dataValidation>
        <x14:dataValidation type="list" allowBlank="1" showInputMessage="1" showErrorMessage="1" xr:uid="{E15B5133-04C4-4367-A222-084EB9F16147}">
          <x14:formula1>
            <xm:f>LGU_Masterlist!$D$2:$T$2</xm:f>
          </x14:formula1>
          <xm:sqref>A61:A1048576</xm:sqref>
        </x14:dataValidation>
        <x14:dataValidation type="list" allowBlank="1" showInputMessage="1" showErrorMessage="1" xr:uid="{727F2AB5-C756-4CA2-BCDA-9F28455058E5}">
          <x14:formula1>
            <xm:f>LGU_Masterlist!$C$2:$T$2</xm:f>
          </x14:formula1>
          <xm:sqref>A18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EED0-A2C0-4D02-95FB-9A68408CD2DF}">
  <sheetPr codeName="Sheet14">
    <tabColor theme="9" tint="0.39997558519241921"/>
  </sheetPr>
  <dimension ref="A1:Q1000"/>
  <sheetViews>
    <sheetView topLeftCell="A6" zoomScale="70" zoomScaleNormal="70" workbookViewId="0">
      <selection activeCell="B18" sqref="B18"/>
    </sheetView>
  </sheetViews>
  <sheetFormatPr defaultColWidth="8.88671875" defaultRowHeight="13.8" x14ac:dyDescent="0.25"/>
  <cols>
    <col min="1" max="1" width="7.6640625" style="164" customWidth="1"/>
    <col min="2" max="2" width="34.33203125" style="164" customWidth="1"/>
    <col min="3" max="3" width="39.6640625" style="190" bestFit="1" customWidth="1"/>
    <col min="4" max="4" width="22" style="164" bestFit="1" customWidth="1"/>
    <col min="5" max="5" width="24.109375" style="171" customWidth="1"/>
    <col min="6" max="6" width="23.109375" style="172" customWidth="1"/>
    <col min="7" max="7" width="20.88671875" style="164" customWidth="1"/>
    <col min="8" max="8" width="8.88671875" style="164" customWidth="1"/>
    <col min="9" max="9" width="17" style="164" customWidth="1"/>
    <col min="10" max="10" width="8.88671875" style="164" customWidth="1"/>
    <col min="11" max="16384" width="8.88671875" style="164"/>
  </cols>
  <sheetData>
    <row r="1" spans="1:17" s="32" customFormat="1" ht="14.4" x14ac:dyDescent="0.3">
      <c r="A1" s="173" t="s">
        <v>5090</v>
      </c>
      <c r="C1" s="174" t="s">
        <v>1673</v>
      </c>
      <c r="E1" s="185"/>
    </row>
    <row r="2" spans="1:17" s="32" customFormat="1" x14ac:dyDescent="0.25">
      <c r="A2" s="176"/>
      <c r="B2" s="35"/>
      <c r="C2" s="192"/>
      <c r="D2" s="35"/>
    </row>
    <row r="3" spans="1:17" s="32" customFormat="1" x14ac:dyDescent="0.25">
      <c r="A3" s="363">
        <v>2</v>
      </c>
      <c r="B3" s="364" t="s">
        <v>5115</v>
      </c>
      <c r="C3" s="370"/>
      <c r="D3" s="364"/>
    </row>
    <row r="4" spans="1:17" s="32" customFormat="1" x14ac:dyDescent="0.25">
      <c r="A4" s="178"/>
      <c r="B4" s="206" t="s">
        <v>5116</v>
      </c>
      <c r="C4" s="371"/>
      <c r="D4" s="206"/>
    </row>
    <row r="5" spans="1:17" s="32" customFormat="1" ht="85.2" customHeight="1" x14ac:dyDescent="0.25">
      <c r="A5" s="178"/>
      <c r="B5" s="599" t="s">
        <v>5117</v>
      </c>
      <c r="C5" s="599"/>
      <c r="D5" s="599"/>
      <c r="E5" s="599"/>
      <c r="F5" s="599"/>
      <c r="G5" s="599"/>
      <c r="H5" s="599"/>
      <c r="I5" s="599"/>
      <c r="J5" s="599"/>
      <c r="K5" s="599"/>
      <c r="L5" s="599"/>
      <c r="M5" s="599"/>
      <c r="N5" s="599"/>
      <c r="O5" s="599"/>
      <c r="P5" s="599"/>
      <c r="Q5" s="599"/>
    </row>
    <row r="6" spans="1:17" s="32" customFormat="1" ht="45.6" customHeight="1" x14ac:dyDescent="0.25">
      <c r="A6" s="178"/>
      <c r="B6" s="601" t="s">
        <v>5093</v>
      </c>
      <c r="C6" s="601"/>
      <c r="D6" s="601"/>
      <c r="E6" s="601"/>
      <c r="F6" s="601"/>
      <c r="G6" s="601"/>
      <c r="H6" s="601"/>
      <c r="I6" s="601"/>
      <c r="J6" s="601"/>
      <c r="K6" s="601"/>
      <c r="L6" s="601"/>
      <c r="M6" s="601"/>
      <c r="N6" s="601"/>
      <c r="O6" s="601"/>
      <c r="P6" s="601"/>
      <c r="Q6" s="601"/>
    </row>
    <row r="7" spans="1:17" s="32" customFormat="1" x14ac:dyDescent="0.25">
      <c r="B7" s="602" t="s">
        <v>5118</v>
      </c>
      <c r="C7" s="602"/>
      <c r="D7" s="602"/>
      <c r="E7" s="602"/>
      <c r="F7" s="602"/>
      <c r="G7" s="602"/>
      <c r="H7" s="602"/>
      <c r="I7" s="602"/>
      <c r="J7" s="602"/>
      <c r="K7" s="602"/>
      <c r="L7" s="602"/>
      <c r="M7" s="602"/>
      <c r="N7" s="602"/>
      <c r="O7" s="602"/>
      <c r="P7" s="602"/>
      <c r="Q7" s="602"/>
    </row>
    <row r="8" spans="1:17" s="32" customFormat="1" x14ac:dyDescent="0.25">
      <c r="B8" s="186" t="s">
        <v>5095</v>
      </c>
      <c r="C8" s="186"/>
      <c r="D8" s="186"/>
      <c r="E8" s="186"/>
      <c r="F8" s="186"/>
      <c r="G8" s="186"/>
      <c r="H8" s="186"/>
      <c r="I8" s="186"/>
      <c r="J8" s="186"/>
      <c r="K8" s="186"/>
      <c r="L8" s="186"/>
      <c r="M8" s="186"/>
      <c r="N8" s="240"/>
      <c r="O8" s="240"/>
      <c r="P8" s="240"/>
      <c r="Q8" s="240"/>
    </row>
    <row r="9" spans="1:17" s="32" customFormat="1" x14ac:dyDescent="0.25">
      <c r="B9" s="173"/>
      <c r="C9" s="193"/>
      <c r="D9" s="173"/>
      <c r="E9" s="173"/>
      <c r="F9" s="173"/>
      <c r="G9" s="173"/>
      <c r="H9" s="173"/>
      <c r="I9" s="173"/>
      <c r="J9" s="173"/>
      <c r="K9" s="173"/>
      <c r="L9" s="173"/>
      <c r="M9" s="173"/>
      <c r="N9" s="173"/>
      <c r="O9" s="173"/>
      <c r="P9" s="173"/>
      <c r="Q9" s="173"/>
    </row>
    <row r="10" spans="1:17" s="32" customFormat="1" x14ac:dyDescent="0.25">
      <c r="B10" s="179" t="s">
        <v>5119</v>
      </c>
      <c r="C10" s="194"/>
      <c r="D10" s="179"/>
      <c r="E10" s="181" cm="1">
        <f t="array" ref="E10">SUM(IF(ISTEXT(B18:B1000), 1/COUNTIF(B18:B1000,B18:B1000)))</f>
        <v>0</v>
      </c>
      <c r="F10" s="195"/>
      <c r="G10" s="173"/>
      <c r="H10" s="173"/>
      <c r="I10" s="173"/>
      <c r="J10" s="173"/>
      <c r="K10" s="173"/>
      <c r="L10" s="173"/>
      <c r="M10" s="173"/>
      <c r="N10" s="173"/>
      <c r="O10" s="173"/>
      <c r="P10" s="173"/>
      <c r="Q10" s="173"/>
    </row>
    <row r="11" spans="1:17" s="32" customFormat="1" x14ac:dyDescent="0.25">
      <c r="B11" s="179" t="s">
        <v>5120</v>
      </c>
      <c r="C11" s="194"/>
      <c r="D11" s="179"/>
      <c r="E11" s="181">
        <f>COUNTA(C18:C1000)</f>
        <v>0</v>
      </c>
      <c r="F11" s="173"/>
      <c r="G11" s="173"/>
      <c r="H11" s="173"/>
      <c r="I11" s="173"/>
      <c r="J11" s="173"/>
      <c r="K11" s="173"/>
      <c r="L11" s="173"/>
      <c r="M11" s="173"/>
      <c r="N11" s="173"/>
      <c r="O11" s="173"/>
      <c r="P11" s="173"/>
      <c r="Q11" s="173"/>
    </row>
    <row r="12" spans="1:17" s="32" customFormat="1" x14ac:dyDescent="0.25">
      <c r="B12" s="196" t="s">
        <v>5098</v>
      </c>
      <c r="C12" s="197"/>
      <c r="D12" s="196"/>
      <c r="E12" s="198">
        <f>COUNTIF(E18:E1000,"Planned")</f>
        <v>0</v>
      </c>
      <c r="F12" s="173"/>
      <c r="G12" s="173"/>
      <c r="H12" s="173"/>
      <c r="I12" s="173"/>
      <c r="J12" s="173"/>
      <c r="K12" s="173"/>
      <c r="L12" s="173"/>
      <c r="M12" s="173"/>
      <c r="N12" s="173"/>
      <c r="O12" s="173"/>
      <c r="P12" s="173"/>
      <c r="Q12" s="173"/>
    </row>
    <row r="13" spans="1:17" s="32" customFormat="1" x14ac:dyDescent="0.25">
      <c r="B13" s="196" t="s">
        <v>5099</v>
      </c>
      <c r="C13" s="197"/>
      <c r="D13" s="196"/>
      <c r="E13" s="198">
        <f>COUNTIF(E18:E1000,"Requested")</f>
        <v>0</v>
      </c>
      <c r="F13" s="173"/>
      <c r="G13" s="173"/>
      <c r="H13" s="173"/>
      <c r="I13" s="173"/>
      <c r="J13" s="173"/>
      <c r="K13" s="173"/>
      <c r="L13" s="173"/>
      <c r="M13" s="173"/>
      <c r="N13" s="173"/>
      <c r="O13" s="173"/>
      <c r="P13" s="173"/>
      <c r="Q13" s="173"/>
    </row>
    <row r="14" spans="1:17" s="32" customFormat="1" x14ac:dyDescent="0.25">
      <c r="B14" s="173"/>
      <c r="C14" s="193"/>
      <c r="D14" s="173"/>
      <c r="E14" s="173"/>
      <c r="F14" s="173"/>
      <c r="G14" s="173"/>
      <c r="H14" s="173"/>
      <c r="I14" s="173"/>
      <c r="J14" s="173"/>
      <c r="K14" s="173"/>
      <c r="L14" s="173"/>
      <c r="M14" s="173"/>
      <c r="N14" s="173"/>
      <c r="O14" s="173"/>
      <c r="P14" s="173"/>
      <c r="Q14" s="173"/>
    </row>
    <row r="15" spans="1:17" s="32" customFormat="1" x14ac:dyDescent="0.25">
      <c r="B15" s="173"/>
      <c r="C15" s="193"/>
      <c r="D15" s="173"/>
      <c r="E15" s="173"/>
      <c r="F15" s="173"/>
      <c r="G15" s="173"/>
      <c r="H15" s="173"/>
      <c r="I15" s="173"/>
      <c r="J15" s="173"/>
      <c r="K15" s="173"/>
      <c r="L15" s="173"/>
      <c r="M15" s="173"/>
      <c r="N15" s="173"/>
      <c r="O15" s="173"/>
      <c r="P15" s="173"/>
      <c r="Q15" s="173"/>
    </row>
    <row r="16" spans="1:17" s="32" customFormat="1" x14ac:dyDescent="0.25">
      <c r="C16" s="191"/>
      <c r="E16" s="199"/>
    </row>
    <row r="17" spans="1:9" s="182" customFormat="1" ht="41.4" x14ac:dyDescent="0.25">
      <c r="A17" s="183" t="s">
        <v>1678</v>
      </c>
      <c r="B17" s="183" t="s">
        <v>1679</v>
      </c>
      <c r="C17" s="184" t="s">
        <v>5101</v>
      </c>
      <c r="D17" s="183" t="s">
        <v>5102</v>
      </c>
      <c r="E17" s="184" t="s">
        <v>5103</v>
      </c>
      <c r="F17" s="184" t="s">
        <v>5104</v>
      </c>
      <c r="G17" s="184" t="s">
        <v>1685</v>
      </c>
      <c r="H17" s="183" t="s">
        <v>1686</v>
      </c>
      <c r="I17" s="187" t="s">
        <v>1714</v>
      </c>
    </row>
    <row r="18" spans="1:9" x14ac:dyDescent="0.25">
      <c r="A18" s="164" t="s">
        <v>67</v>
      </c>
      <c r="D18" s="190"/>
      <c r="F18" s="239"/>
      <c r="I18" s="164" t="str">
        <f>IFERROR(COUNTIF($B$18:B18,B18)&amp;CHOOSE(MIN(4,COUNTIF($B$18:B18,B18)),"st","nd","rd","th"),"")</f>
        <v/>
      </c>
    </row>
    <row r="19" spans="1:9" x14ac:dyDescent="0.25">
      <c r="D19" s="190"/>
      <c r="F19" s="164"/>
      <c r="I19" s="164" t="str">
        <f>IFERROR(COUNTIF($B$18:B19,B19)&amp;CHOOSE(MIN(4,COUNTIF($B$18:B19,B19)),"st","nd","rd","th"),"")</f>
        <v/>
      </c>
    </row>
    <row r="20" spans="1:9" x14ac:dyDescent="0.25">
      <c r="F20" s="164"/>
      <c r="I20" s="164" t="str">
        <f>IFERROR(COUNTIF($B$18:B20,B20)&amp;CHOOSE(MIN(4,COUNTIF($B$18:B20,B20)),"st","nd","rd","th"),"")</f>
        <v/>
      </c>
    </row>
    <row r="21" spans="1:9" x14ac:dyDescent="0.25">
      <c r="I21" s="164" t="str">
        <f>IFERROR(COUNTIF($B$18:B21,B21)&amp;CHOOSE(MIN(4,COUNTIF($B$18:B21,B21)),"st","nd","rd","th"),"")</f>
        <v/>
      </c>
    </row>
    <row r="22" spans="1:9" x14ac:dyDescent="0.25">
      <c r="I22" s="164" t="str">
        <f>IFERROR(COUNTIF($B$18:B22,B22)&amp;CHOOSE(MIN(4,COUNTIF($B$18:B22,B22)),"st","nd","rd","th"),"")</f>
        <v/>
      </c>
    </row>
    <row r="23" spans="1:9" x14ac:dyDescent="0.25">
      <c r="I23" s="164" t="str">
        <f>IFERROR(COUNTIF($B$18:B23,B23)&amp;CHOOSE(MIN(4,COUNTIF($B$18:B23,B23)),"st","nd","rd","th"),"")</f>
        <v/>
      </c>
    </row>
    <row r="24" spans="1:9" x14ac:dyDescent="0.25">
      <c r="I24" s="164" t="str">
        <f>IFERROR(COUNTIF($B$18:B24,B24)&amp;CHOOSE(MIN(4,COUNTIF($B$18:B24,B24)),"st","nd","rd","th"),"")</f>
        <v/>
      </c>
    </row>
    <row r="25" spans="1:9" x14ac:dyDescent="0.25">
      <c r="I25" s="164" t="str">
        <f>IFERROR(COUNTIF($B$18:B25,B25)&amp;CHOOSE(MIN(4,COUNTIF($B$18:B25,B25)),"st","nd","rd","th"),"")</f>
        <v/>
      </c>
    </row>
    <row r="26" spans="1:9" x14ac:dyDescent="0.25">
      <c r="I26" s="164" t="str">
        <f>IFERROR(COUNTIF($B$18:B26,B26)&amp;CHOOSE(MIN(4,COUNTIF($B$18:B26,B26)),"st","nd","rd","th"),"")</f>
        <v/>
      </c>
    </row>
    <row r="27" spans="1:9" x14ac:dyDescent="0.25">
      <c r="I27" s="164" t="str">
        <f>IFERROR(COUNTIF($B$18:B27,B27)&amp;CHOOSE(MIN(4,COUNTIF($B$18:B27,B27)),"st","nd","rd","th"),"")</f>
        <v/>
      </c>
    </row>
    <row r="28" spans="1:9" x14ac:dyDescent="0.25">
      <c r="I28" s="164" t="str">
        <f>IFERROR(COUNTIF($B$18:B28,B28)&amp;CHOOSE(MIN(4,COUNTIF($B$18:B28,B28)),"st","nd","rd","th"),"")</f>
        <v/>
      </c>
    </row>
    <row r="29" spans="1:9" x14ac:dyDescent="0.25">
      <c r="I29" s="164" t="str">
        <f>IFERROR(COUNTIF($B$18:B29,B29)&amp;CHOOSE(MIN(4,COUNTIF($B$18:B29,B29)),"st","nd","rd","th"),"")</f>
        <v/>
      </c>
    </row>
    <row r="30" spans="1:9" x14ac:dyDescent="0.25">
      <c r="I30" s="164" t="str">
        <f>IFERROR(COUNTIF($B$18:B30,B30)&amp;CHOOSE(MIN(4,COUNTIF($B$18:B30,B30)),"st","nd","rd","th"),"")</f>
        <v/>
      </c>
    </row>
    <row r="31" spans="1:9" x14ac:dyDescent="0.25">
      <c r="I31" s="164" t="str">
        <f>IFERROR(COUNTIF($B$18:B31,B31)&amp;CHOOSE(MIN(4,COUNTIF($B$18:B31,B31)),"st","nd","rd","th"),"")</f>
        <v/>
      </c>
    </row>
    <row r="32" spans="1:9" x14ac:dyDescent="0.25">
      <c r="I32" s="164" t="str">
        <f>IFERROR(COUNTIF($B$18:B32,B32)&amp;CHOOSE(MIN(4,COUNTIF($B$18:B32,B32)),"st","nd","rd","th"),"")</f>
        <v/>
      </c>
    </row>
    <row r="33" spans="9:9" x14ac:dyDescent="0.25">
      <c r="I33" s="164" t="str">
        <f>IFERROR(COUNTIF($B$18:B33,B33)&amp;CHOOSE(MIN(4,COUNTIF($B$18:B33,B33)),"st","nd","rd","th"),"")</f>
        <v/>
      </c>
    </row>
    <row r="34" spans="9:9" x14ac:dyDescent="0.25">
      <c r="I34" s="164" t="str">
        <f>IFERROR(COUNTIF($B$18:B34,B34)&amp;CHOOSE(MIN(4,COUNTIF($B$18:B34,B34)),"st","nd","rd","th"),"")</f>
        <v/>
      </c>
    </row>
    <row r="35" spans="9:9" x14ac:dyDescent="0.25">
      <c r="I35" s="164" t="str">
        <f>IFERROR(COUNTIF($B$18:B35,B35)&amp;CHOOSE(MIN(4,COUNTIF($B$18:B35,B35)),"st","nd","rd","th"),"")</f>
        <v/>
      </c>
    </row>
    <row r="36" spans="9:9" x14ac:dyDescent="0.25">
      <c r="I36" s="164" t="str">
        <f>IFERROR(COUNTIF($B$18:B36,B36)&amp;CHOOSE(MIN(4,COUNTIF($B$18:B36,B36)),"st","nd","rd","th"),"")</f>
        <v/>
      </c>
    </row>
    <row r="37" spans="9:9" x14ac:dyDescent="0.25">
      <c r="I37" s="164" t="str">
        <f>IFERROR(COUNTIF($B$18:B37,B37)&amp;CHOOSE(MIN(4,COUNTIF($B$18:B37,B37)),"st","nd","rd","th"),"")</f>
        <v/>
      </c>
    </row>
    <row r="38" spans="9:9" x14ac:dyDescent="0.25">
      <c r="I38" s="164" t="str">
        <f>IFERROR(COUNTIF($B$18:B38,B38)&amp;CHOOSE(MIN(4,COUNTIF($B$18:B38,B38)),"st","nd","rd","th"),"")</f>
        <v/>
      </c>
    </row>
    <row r="39" spans="9:9" x14ac:dyDescent="0.25">
      <c r="I39" s="164" t="str">
        <f>IFERROR(COUNTIF($B$18:B39,B39)&amp;CHOOSE(MIN(4,COUNTIF($B$18:B39,B39)),"st","nd","rd","th"),"")</f>
        <v/>
      </c>
    </row>
    <row r="40" spans="9:9" x14ac:dyDescent="0.25">
      <c r="I40" s="164" t="str">
        <f>IFERROR(COUNTIF($B$18:B40,B40)&amp;CHOOSE(MIN(4,COUNTIF($B$18:B40,B40)),"st","nd","rd","th"),"")</f>
        <v/>
      </c>
    </row>
    <row r="41" spans="9:9" x14ac:dyDescent="0.25">
      <c r="I41" s="164" t="str">
        <f>IFERROR(COUNTIF($B$18:B41,B41)&amp;CHOOSE(MIN(4,COUNTIF($B$18:B41,B41)),"st","nd","rd","th"),"")</f>
        <v/>
      </c>
    </row>
    <row r="42" spans="9:9" x14ac:dyDescent="0.25">
      <c r="I42" s="164" t="str">
        <f>IFERROR(COUNTIF($B$18:B42,B42)&amp;CHOOSE(MIN(4,COUNTIF($B$18:B42,B42)),"st","nd","rd","th"),"")</f>
        <v/>
      </c>
    </row>
    <row r="43" spans="9:9" x14ac:dyDescent="0.25">
      <c r="I43" s="164" t="str">
        <f>IFERROR(COUNTIF($B$18:B43,B43)&amp;CHOOSE(MIN(4,COUNTIF($B$18:B43,B43)),"st","nd","rd","th"),"")</f>
        <v/>
      </c>
    </row>
    <row r="44" spans="9:9" x14ac:dyDescent="0.25">
      <c r="I44" s="164" t="str">
        <f>IFERROR(COUNTIF($B$18:B44,B44)&amp;CHOOSE(MIN(4,COUNTIF($B$18:B44,B44)),"st","nd","rd","th"),"")</f>
        <v/>
      </c>
    </row>
    <row r="45" spans="9:9" x14ac:dyDescent="0.25">
      <c r="I45" s="164" t="str">
        <f>IFERROR(COUNTIF($B$18:B45,B45)&amp;CHOOSE(MIN(4,COUNTIF($B$18:B45,B45)),"st","nd","rd","th"),"")</f>
        <v/>
      </c>
    </row>
    <row r="46" spans="9:9" x14ac:dyDescent="0.25">
      <c r="I46" s="164" t="str">
        <f>IFERROR(COUNTIF($B$18:B46,B46)&amp;CHOOSE(MIN(4,COUNTIF($B$18:B46,B46)),"st","nd","rd","th"),"")</f>
        <v/>
      </c>
    </row>
    <row r="47" spans="9:9" x14ac:dyDescent="0.25">
      <c r="I47" s="164" t="str">
        <f>IFERROR(COUNTIF($B$18:B47,B47)&amp;CHOOSE(MIN(4,COUNTIF($B$18:B47,B47)),"st","nd","rd","th"),"")</f>
        <v/>
      </c>
    </row>
    <row r="48" spans="9:9" x14ac:dyDescent="0.25">
      <c r="I48" s="164" t="str">
        <f>IFERROR(COUNTIF($B$18:B48,B48)&amp;CHOOSE(MIN(4,COUNTIF($B$18:B48,B48)),"st","nd","rd","th"),"")</f>
        <v/>
      </c>
    </row>
    <row r="49" spans="9:9" x14ac:dyDescent="0.25">
      <c r="I49" s="164" t="str">
        <f>IFERROR(COUNTIF($B$18:B49,B49)&amp;CHOOSE(MIN(4,COUNTIF($B$18:B49,B49)),"st","nd","rd","th"),"")</f>
        <v/>
      </c>
    </row>
    <row r="50" spans="9:9" x14ac:dyDescent="0.25">
      <c r="I50" s="164" t="str">
        <f>IFERROR(COUNTIF($B$18:B50,B50)&amp;CHOOSE(MIN(4,COUNTIF($B$18:B50,B50)),"st","nd","rd","th"),"")</f>
        <v/>
      </c>
    </row>
    <row r="51" spans="9:9" x14ac:dyDescent="0.25">
      <c r="I51" s="164" t="str">
        <f>IFERROR(COUNTIF($B$18:B51,B51)&amp;CHOOSE(MIN(4,COUNTIF($B$18:B51,B51)),"st","nd","rd","th"),"")</f>
        <v/>
      </c>
    </row>
    <row r="52" spans="9:9" x14ac:dyDescent="0.25">
      <c r="I52" s="164" t="str">
        <f>IFERROR(COUNTIF($B$18:B52,B52)&amp;CHOOSE(MIN(4,COUNTIF($B$18:B52,B52)),"st","nd","rd","th"),"")</f>
        <v/>
      </c>
    </row>
    <row r="53" spans="9:9" x14ac:dyDescent="0.25">
      <c r="I53" s="164" t="str">
        <f>IFERROR(COUNTIF($B$18:B53,B53)&amp;CHOOSE(MIN(4,COUNTIF($B$18:B53,B53)),"st","nd","rd","th"),"")</f>
        <v/>
      </c>
    </row>
    <row r="54" spans="9:9" x14ac:dyDescent="0.25">
      <c r="I54" s="164" t="str">
        <f>IFERROR(COUNTIF($B$18:B54,B54)&amp;CHOOSE(MIN(4,COUNTIF($B$18:B54,B54)),"st","nd","rd","th"),"")</f>
        <v/>
      </c>
    </row>
    <row r="55" spans="9:9" x14ac:dyDescent="0.25">
      <c r="I55" s="164" t="str">
        <f>IFERROR(COUNTIF($B$18:B55,B55)&amp;CHOOSE(MIN(4,COUNTIF($B$18:B55,B55)),"st","nd","rd","th"),"")</f>
        <v/>
      </c>
    </row>
    <row r="56" spans="9:9" x14ac:dyDescent="0.25">
      <c r="I56" s="164" t="str">
        <f>IFERROR(COUNTIF($B$18:B56,B56)&amp;CHOOSE(MIN(4,COUNTIF($B$18:B56,B56)),"st","nd","rd","th"),"")</f>
        <v/>
      </c>
    </row>
    <row r="57" spans="9:9" x14ac:dyDescent="0.25">
      <c r="I57" s="164" t="str">
        <f>IFERROR(COUNTIF($B$18:B57,B57)&amp;CHOOSE(MIN(4,COUNTIF($B$18:B57,B57)),"st","nd","rd","th"),"")</f>
        <v/>
      </c>
    </row>
    <row r="58" spans="9:9" x14ac:dyDescent="0.25">
      <c r="I58" s="164" t="str">
        <f>IFERROR(COUNTIF($B$18:B58,B58)&amp;CHOOSE(MIN(4,COUNTIF($B$18:B58,B58)),"st","nd","rd","th"),"")</f>
        <v/>
      </c>
    </row>
    <row r="59" spans="9:9" x14ac:dyDescent="0.25">
      <c r="I59" s="164" t="str">
        <f>IFERROR(COUNTIF($B$18:B59,B59)&amp;CHOOSE(MIN(4,COUNTIF($B$18:B59,B59)),"st","nd","rd","th"),"")</f>
        <v/>
      </c>
    </row>
    <row r="60" spans="9:9" x14ac:dyDescent="0.25">
      <c r="I60" s="164" t="str">
        <f>IFERROR(COUNTIF($B$18:B60,B60)&amp;CHOOSE(MIN(4,COUNTIF($B$18:B60,B60)),"st","nd","rd","th"),"")</f>
        <v/>
      </c>
    </row>
    <row r="61" spans="9:9" x14ac:dyDescent="0.25">
      <c r="I61" s="164" t="str">
        <f>IFERROR(COUNTIF($B$18:B61,B61)&amp;CHOOSE(MIN(4,COUNTIF($B$18:B61,B61)),"st","nd","rd","th"),"")</f>
        <v/>
      </c>
    </row>
    <row r="62" spans="9:9" x14ac:dyDescent="0.25">
      <c r="I62" s="164" t="str">
        <f>IFERROR(COUNTIF($B$18:B62,B62)&amp;CHOOSE(MIN(4,COUNTIF($B$18:B62,B62)),"st","nd","rd","th"),"")</f>
        <v/>
      </c>
    </row>
    <row r="63" spans="9:9" x14ac:dyDescent="0.25">
      <c r="I63" s="164" t="str">
        <f>IFERROR(COUNTIF($B$18:B63,B63)&amp;CHOOSE(MIN(4,COUNTIF($B$18:B63,B63)),"st","nd","rd","th"),"")</f>
        <v/>
      </c>
    </row>
    <row r="64" spans="9:9" x14ac:dyDescent="0.25">
      <c r="I64" s="164" t="str">
        <f>IFERROR(COUNTIF($B$18:B64,B64)&amp;CHOOSE(MIN(4,COUNTIF($B$18:B64,B64)),"st","nd","rd","th"),"")</f>
        <v/>
      </c>
    </row>
    <row r="65" spans="9:9" x14ac:dyDescent="0.25">
      <c r="I65" s="164" t="str">
        <f>IFERROR(COUNTIF($B$18:B65,B65)&amp;CHOOSE(MIN(4,COUNTIF($B$18:B65,B65)),"st","nd","rd","th"),"")</f>
        <v/>
      </c>
    </row>
    <row r="66" spans="9:9" x14ac:dyDescent="0.25">
      <c r="I66" s="164" t="str">
        <f>IFERROR(COUNTIF($B$18:B66,B66)&amp;CHOOSE(MIN(4,COUNTIF($B$18:B66,B66)),"st","nd","rd","th"),"")</f>
        <v/>
      </c>
    </row>
    <row r="67" spans="9:9" x14ac:dyDescent="0.25">
      <c r="I67" s="164" t="str">
        <f>IFERROR(COUNTIF($B$18:B67,B67)&amp;CHOOSE(MIN(4,COUNTIF($B$18:B67,B67)),"st","nd","rd","th"),"")</f>
        <v/>
      </c>
    </row>
    <row r="68" spans="9:9" x14ac:dyDescent="0.25">
      <c r="I68" s="164" t="str">
        <f>IFERROR(COUNTIF($B$18:B68,B68)&amp;CHOOSE(MIN(4,COUNTIF($B$18:B68,B68)),"st","nd","rd","th"),"")</f>
        <v/>
      </c>
    </row>
    <row r="69" spans="9:9" x14ac:dyDescent="0.25">
      <c r="I69" s="164" t="str">
        <f>IFERROR(COUNTIF($B$18:B69,B69)&amp;CHOOSE(MIN(4,COUNTIF($B$18:B69,B69)),"st","nd","rd","th"),"")</f>
        <v/>
      </c>
    </row>
    <row r="70" spans="9:9" x14ac:dyDescent="0.25">
      <c r="I70" s="164" t="str">
        <f>IFERROR(COUNTIF($B$18:B70,B70)&amp;CHOOSE(MIN(4,COUNTIF($B$18:B70,B70)),"st","nd","rd","th"),"")</f>
        <v/>
      </c>
    </row>
    <row r="71" spans="9:9" x14ac:dyDescent="0.25">
      <c r="I71" s="164" t="str">
        <f>IFERROR(COUNTIF($B$18:B71,B71)&amp;CHOOSE(MIN(4,COUNTIF($B$18:B71,B71)),"st","nd","rd","th"),"")</f>
        <v/>
      </c>
    </row>
    <row r="72" spans="9:9" x14ac:dyDescent="0.25">
      <c r="I72" s="164" t="str">
        <f>IFERROR(COUNTIF($B$18:B72,B72)&amp;CHOOSE(MIN(4,COUNTIF($B$18:B72,B72)),"st","nd","rd","th"),"")</f>
        <v/>
      </c>
    </row>
    <row r="73" spans="9:9" x14ac:dyDescent="0.25">
      <c r="I73" s="164" t="str">
        <f>IFERROR(COUNTIF($B$18:B73,B73)&amp;CHOOSE(MIN(4,COUNTIF($B$18:B73,B73)),"st","nd","rd","th"),"")</f>
        <v/>
      </c>
    </row>
    <row r="74" spans="9:9" x14ac:dyDescent="0.25">
      <c r="I74" s="164" t="str">
        <f>IFERROR(COUNTIF($B$18:B74,B74)&amp;CHOOSE(MIN(4,COUNTIF($B$18:B74,B74)),"st","nd","rd","th"),"")</f>
        <v/>
      </c>
    </row>
    <row r="75" spans="9:9" x14ac:dyDescent="0.25">
      <c r="I75" s="164" t="str">
        <f>IFERROR(COUNTIF($B$18:B75,B75)&amp;CHOOSE(MIN(4,COUNTIF($B$18:B75,B75)),"st","nd","rd","th"),"")</f>
        <v/>
      </c>
    </row>
    <row r="76" spans="9:9" x14ac:dyDescent="0.25">
      <c r="I76" s="164" t="str">
        <f>IFERROR(COUNTIF($B$18:B76,B76)&amp;CHOOSE(MIN(4,COUNTIF($B$18:B76,B76)),"st","nd","rd","th"),"")</f>
        <v/>
      </c>
    </row>
    <row r="77" spans="9:9" x14ac:dyDescent="0.25">
      <c r="I77" s="164" t="str">
        <f>IFERROR(COUNTIF($B$18:B77,B77)&amp;CHOOSE(MIN(4,COUNTIF($B$18:B77,B77)),"st","nd","rd","th"),"")</f>
        <v/>
      </c>
    </row>
    <row r="78" spans="9:9" x14ac:dyDescent="0.25">
      <c r="I78" s="164" t="str">
        <f>IFERROR(COUNTIF($B$18:B78,B78)&amp;CHOOSE(MIN(4,COUNTIF($B$18:B78,B78)),"st","nd","rd","th"),"")</f>
        <v/>
      </c>
    </row>
    <row r="79" spans="9:9" x14ac:dyDescent="0.25">
      <c r="I79" s="164" t="str">
        <f>IFERROR(COUNTIF($B$18:B79,B79)&amp;CHOOSE(MIN(4,COUNTIF($B$18:B79,B79)),"st","nd","rd","th"),"")</f>
        <v/>
      </c>
    </row>
    <row r="80" spans="9:9" x14ac:dyDescent="0.25">
      <c r="I80" s="164" t="str">
        <f>IFERROR(COUNTIF($B$18:B80,B80)&amp;CHOOSE(MIN(4,COUNTIF($B$18:B80,B80)),"st","nd","rd","th"),"")</f>
        <v/>
      </c>
    </row>
    <row r="81" spans="9:9" x14ac:dyDescent="0.25">
      <c r="I81" s="164" t="str">
        <f>IFERROR(COUNTIF($B$18:B81,B81)&amp;CHOOSE(MIN(4,COUNTIF($B$18:B81,B81)),"st","nd","rd","th"),"")</f>
        <v/>
      </c>
    </row>
    <row r="82" spans="9:9" x14ac:dyDescent="0.25">
      <c r="I82" s="164" t="str">
        <f>IFERROR(COUNTIF($B$18:B82,B82)&amp;CHOOSE(MIN(4,COUNTIF($B$18:B82,B82)),"st","nd","rd","th"),"")</f>
        <v/>
      </c>
    </row>
    <row r="83" spans="9:9" x14ac:dyDescent="0.25">
      <c r="I83" s="164" t="str">
        <f>IFERROR(COUNTIF($B$18:B83,B83)&amp;CHOOSE(MIN(4,COUNTIF($B$18:B83,B83)),"st","nd","rd","th"),"")</f>
        <v/>
      </c>
    </row>
    <row r="84" spans="9:9" x14ac:dyDescent="0.25">
      <c r="I84" s="164" t="str">
        <f>IFERROR(COUNTIF($B$18:B84,B84)&amp;CHOOSE(MIN(4,COUNTIF($B$18:B84,B84)),"st","nd","rd","th"),"")</f>
        <v/>
      </c>
    </row>
    <row r="85" spans="9:9" x14ac:dyDescent="0.25">
      <c r="I85" s="164" t="str">
        <f>IFERROR(COUNTIF($B$18:B85,B85)&amp;CHOOSE(MIN(4,COUNTIF($B$18:B85,B85)),"st","nd","rd","th"),"")</f>
        <v/>
      </c>
    </row>
    <row r="86" spans="9:9" x14ac:dyDescent="0.25">
      <c r="I86" s="164" t="str">
        <f>IFERROR(COUNTIF($B$18:B86,B86)&amp;CHOOSE(MIN(4,COUNTIF($B$18:B86,B86)),"st","nd","rd","th"),"")</f>
        <v/>
      </c>
    </row>
    <row r="87" spans="9:9" x14ac:dyDescent="0.25">
      <c r="I87" s="164" t="str">
        <f>IFERROR(COUNTIF($B$18:B87,B87)&amp;CHOOSE(MIN(4,COUNTIF($B$18:B87,B87)),"st","nd","rd","th"),"")</f>
        <v/>
      </c>
    </row>
    <row r="88" spans="9:9" x14ac:dyDescent="0.25">
      <c r="I88" s="164" t="str">
        <f>IFERROR(COUNTIF($B$18:B88,B88)&amp;CHOOSE(MIN(4,COUNTIF($B$18:B88,B88)),"st","nd","rd","th"),"")</f>
        <v/>
      </c>
    </row>
    <row r="89" spans="9:9" x14ac:dyDescent="0.25">
      <c r="I89" s="164" t="str">
        <f>IFERROR(COUNTIF($B$18:B89,B89)&amp;CHOOSE(MIN(4,COUNTIF($B$18:B89,B89)),"st","nd","rd","th"),"")</f>
        <v/>
      </c>
    </row>
    <row r="90" spans="9:9" x14ac:dyDescent="0.25">
      <c r="I90" s="164" t="str">
        <f>IFERROR(COUNTIF($B$18:B90,B90)&amp;CHOOSE(MIN(4,COUNTIF($B$18:B90,B90)),"st","nd","rd","th"),"")</f>
        <v/>
      </c>
    </row>
    <row r="91" spans="9:9" x14ac:dyDescent="0.25">
      <c r="I91" s="164" t="str">
        <f>IFERROR(COUNTIF($B$18:B91,B91)&amp;CHOOSE(MIN(4,COUNTIF($B$18:B91,B91)),"st","nd","rd","th"),"")</f>
        <v/>
      </c>
    </row>
    <row r="92" spans="9:9" x14ac:dyDescent="0.25">
      <c r="I92" s="164" t="str">
        <f>IFERROR(COUNTIF($B$18:B92,B92)&amp;CHOOSE(MIN(4,COUNTIF($B$18:B92,B92)),"st","nd","rd","th"),"")</f>
        <v/>
      </c>
    </row>
    <row r="93" spans="9:9" x14ac:dyDescent="0.25">
      <c r="I93" s="164" t="str">
        <f>IFERROR(COUNTIF($B$18:B93,B93)&amp;CHOOSE(MIN(4,COUNTIF($B$18:B93,B93)),"st","nd","rd","th"),"")</f>
        <v/>
      </c>
    </row>
    <row r="94" spans="9:9" x14ac:dyDescent="0.25">
      <c r="I94" s="164" t="str">
        <f>IFERROR(COUNTIF($B$18:B94,B94)&amp;CHOOSE(MIN(4,COUNTIF($B$18:B94,B94)),"st","nd","rd","th"),"")</f>
        <v/>
      </c>
    </row>
    <row r="95" spans="9:9" x14ac:dyDescent="0.25">
      <c r="I95" s="164" t="str">
        <f>IFERROR(COUNTIF($B$18:B95,B95)&amp;CHOOSE(MIN(4,COUNTIF($B$18:B95,B95)),"st","nd","rd","th"),"")</f>
        <v/>
      </c>
    </row>
    <row r="96" spans="9:9" x14ac:dyDescent="0.25">
      <c r="I96" s="164" t="str">
        <f>IFERROR(COUNTIF($B$18:B96,B96)&amp;CHOOSE(MIN(4,COUNTIF($B$18:B96,B96)),"st","nd","rd","th"),"")</f>
        <v/>
      </c>
    </row>
    <row r="97" spans="9:9" x14ac:dyDescent="0.25">
      <c r="I97" s="164" t="str">
        <f>IFERROR(COUNTIF($B$18:B97,B97)&amp;CHOOSE(MIN(4,COUNTIF($B$18:B97,B97)),"st","nd","rd","th"),"")</f>
        <v/>
      </c>
    </row>
    <row r="98" spans="9:9" x14ac:dyDescent="0.25">
      <c r="I98" s="164" t="str">
        <f>IFERROR(COUNTIF($B$18:B98,B98)&amp;CHOOSE(MIN(4,COUNTIF($B$18:B98,B98)),"st","nd","rd","th"),"")</f>
        <v/>
      </c>
    </row>
    <row r="99" spans="9:9" x14ac:dyDescent="0.25">
      <c r="I99" s="164" t="str">
        <f>IFERROR(COUNTIF($B$18:B99,B99)&amp;CHOOSE(MIN(4,COUNTIF($B$18:B99,B99)),"st","nd","rd","th"),"")</f>
        <v/>
      </c>
    </row>
    <row r="100" spans="9:9" x14ac:dyDescent="0.25">
      <c r="I100" s="164" t="str">
        <f>IFERROR(COUNTIF($B$18:B100,B100)&amp;CHOOSE(MIN(4,COUNTIF($B$18:B100,B100)),"st","nd","rd","th"),"")</f>
        <v/>
      </c>
    </row>
    <row r="101" spans="9:9" x14ac:dyDescent="0.25">
      <c r="I101" s="164" t="str">
        <f>IFERROR(COUNTIF($B$18:B101,B101)&amp;CHOOSE(MIN(4,COUNTIF($B$18:B101,B101)),"st","nd","rd","th"),"")</f>
        <v/>
      </c>
    </row>
    <row r="102" spans="9:9" x14ac:dyDescent="0.25">
      <c r="I102" s="164" t="str">
        <f>IFERROR(COUNTIF($B$18:B102,B102)&amp;CHOOSE(MIN(4,COUNTIF($B$18:B102,B102)),"st","nd","rd","th"),"")</f>
        <v/>
      </c>
    </row>
    <row r="103" spans="9:9" x14ac:dyDescent="0.25">
      <c r="I103" s="164" t="str">
        <f>IFERROR(COUNTIF($B$18:B103,B103)&amp;CHOOSE(MIN(4,COUNTIF($B$18:B103,B103)),"st","nd","rd","th"),"")</f>
        <v/>
      </c>
    </row>
    <row r="104" spans="9:9" x14ac:dyDescent="0.25">
      <c r="I104" s="164" t="str">
        <f>IFERROR(COUNTIF($B$18:B104,B104)&amp;CHOOSE(MIN(4,COUNTIF($B$18:B104,B104)),"st","nd","rd","th"),"")</f>
        <v/>
      </c>
    </row>
    <row r="105" spans="9:9" x14ac:dyDescent="0.25">
      <c r="I105" s="164" t="str">
        <f>IFERROR(COUNTIF($B$18:B105,B105)&amp;CHOOSE(MIN(4,COUNTIF($B$18:B105,B105)),"st","nd","rd","th"),"")</f>
        <v/>
      </c>
    </row>
    <row r="106" spans="9:9" x14ac:dyDescent="0.25">
      <c r="I106" s="164" t="str">
        <f>IFERROR(COUNTIF($B$18:B106,B106)&amp;CHOOSE(MIN(4,COUNTIF($B$18:B106,B106)),"st","nd","rd","th"),"")</f>
        <v/>
      </c>
    </row>
    <row r="107" spans="9:9" x14ac:dyDescent="0.25">
      <c r="I107" s="164" t="str">
        <f>IFERROR(COUNTIF($B$18:B107,B107)&amp;CHOOSE(MIN(4,COUNTIF($B$18:B107,B107)),"st","nd","rd","th"),"")</f>
        <v/>
      </c>
    </row>
    <row r="108" spans="9:9" x14ac:dyDescent="0.25">
      <c r="I108" s="164" t="str">
        <f>IFERROR(COUNTIF($B$18:B108,B108)&amp;CHOOSE(MIN(4,COUNTIF($B$18:B108,B108)),"st","nd","rd","th"),"")</f>
        <v/>
      </c>
    </row>
    <row r="109" spans="9:9" x14ac:dyDescent="0.25">
      <c r="I109" s="164" t="str">
        <f>IFERROR(COUNTIF($B$18:B109,B109)&amp;CHOOSE(MIN(4,COUNTIF($B$18:B109,B109)),"st","nd","rd","th"),"")</f>
        <v/>
      </c>
    </row>
    <row r="110" spans="9:9" x14ac:dyDescent="0.25">
      <c r="I110" s="164" t="str">
        <f>IFERROR(COUNTIF($B$18:B110,B110)&amp;CHOOSE(MIN(4,COUNTIF($B$18:B110,B110)),"st","nd","rd","th"),"")</f>
        <v/>
      </c>
    </row>
    <row r="111" spans="9:9" x14ac:dyDescent="0.25">
      <c r="I111" s="164" t="str">
        <f>IFERROR(COUNTIF($B$18:B111,B111)&amp;CHOOSE(MIN(4,COUNTIF($B$18:B111,B111)),"st","nd","rd","th"),"")</f>
        <v/>
      </c>
    </row>
    <row r="112" spans="9:9" x14ac:dyDescent="0.25">
      <c r="I112" s="164" t="str">
        <f>IFERROR(COUNTIF($B$18:B112,B112)&amp;CHOOSE(MIN(4,COUNTIF($B$18:B112,B112)),"st","nd","rd","th"),"")</f>
        <v/>
      </c>
    </row>
    <row r="113" spans="9:9" x14ac:dyDescent="0.25">
      <c r="I113" s="164" t="str">
        <f>IFERROR(COUNTIF($B$18:B113,B113)&amp;CHOOSE(MIN(4,COUNTIF($B$18:B113,B113)),"st","nd","rd","th"),"")</f>
        <v/>
      </c>
    </row>
    <row r="114" spans="9:9" x14ac:dyDescent="0.25">
      <c r="I114" s="164" t="str">
        <f>IFERROR(COUNTIF($B$18:B114,B114)&amp;CHOOSE(MIN(4,COUNTIF($B$18:B114,B114)),"st","nd","rd","th"),"")</f>
        <v/>
      </c>
    </row>
    <row r="115" spans="9:9" x14ac:dyDescent="0.25">
      <c r="I115" s="164" t="str">
        <f>IFERROR(COUNTIF($B$18:B115,B115)&amp;CHOOSE(MIN(4,COUNTIF($B$18:B115,B115)),"st","nd","rd","th"),"")</f>
        <v/>
      </c>
    </row>
    <row r="116" spans="9:9" x14ac:dyDescent="0.25">
      <c r="I116" s="164" t="str">
        <f>IFERROR(COUNTIF($B$18:B116,B116)&amp;CHOOSE(MIN(4,COUNTIF($B$18:B116,B116)),"st","nd","rd","th"),"")</f>
        <v/>
      </c>
    </row>
    <row r="117" spans="9:9" x14ac:dyDescent="0.25">
      <c r="I117" s="164" t="str">
        <f>IFERROR(COUNTIF($B$18:B117,B117)&amp;CHOOSE(MIN(4,COUNTIF($B$18:B117,B117)),"st","nd","rd","th"),"")</f>
        <v/>
      </c>
    </row>
    <row r="118" spans="9:9" x14ac:dyDescent="0.25">
      <c r="I118" s="164" t="str">
        <f>IFERROR(COUNTIF($B$18:B118,B118)&amp;CHOOSE(MIN(4,COUNTIF($B$18:B118,B118)),"st","nd","rd","th"),"")</f>
        <v/>
      </c>
    </row>
    <row r="119" spans="9:9" x14ac:dyDescent="0.25">
      <c r="I119" s="164" t="str">
        <f>IFERROR(COUNTIF($B$18:B119,B119)&amp;CHOOSE(MIN(4,COUNTIF($B$18:B119,B119)),"st","nd","rd","th"),"")</f>
        <v/>
      </c>
    </row>
    <row r="120" spans="9:9" x14ac:dyDescent="0.25">
      <c r="I120" s="164" t="str">
        <f>IFERROR(COUNTIF($B$18:B120,B120)&amp;CHOOSE(MIN(4,COUNTIF($B$18:B120,B120)),"st","nd","rd","th"),"")</f>
        <v/>
      </c>
    </row>
    <row r="121" spans="9:9" x14ac:dyDescent="0.25">
      <c r="I121" s="164" t="str">
        <f>IFERROR(COUNTIF($B$18:B121,B121)&amp;CHOOSE(MIN(4,COUNTIF($B$18:B121,B121)),"st","nd","rd","th"),"")</f>
        <v/>
      </c>
    </row>
    <row r="122" spans="9:9" x14ac:dyDescent="0.25">
      <c r="I122" s="164" t="str">
        <f>IFERROR(COUNTIF($B$18:B122,B122)&amp;CHOOSE(MIN(4,COUNTIF($B$18:B122,B122)),"st","nd","rd","th"),"")</f>
        <v/>
      </c>
    </row>
    <row r="123" spans="9:9" x14ac:dyDescent="0.25">
      <c r="I123" s="164" t="str">
        <f>IFERROR(COUNTIF($B$18:B123,B123)&amp;CHOOSE(MIN(4,COUNTIF($B$18:B123,B123)),"st","nd","rd","th"),"")</f>
        <v/>
      </c>
    </row>
    <row r="124" spans="9:9" x14ac:dyDescent="0.25">
      <c r="I124" s="164" t="str">
        <f>IFERROR(COUNTIF($B$18:B124,B124)&amp;CHOOSE(MIN(4,COUNTIF($B$18:B124,B124)),"st","nd","rd","th"),"")</f>
        <v/>
      </c>
    </row>
    <row r="125" spans="9:9" x14ac:dyDescent="0.25">
      <c r="I125" s="164" t="str">
        <f>IFERROR(COUNTIF($B$18:B125,B125)&amp;CHOOSE(MIN(4,COUNTIF($B$18:B125,B125)),"st","nd","rd","th"),"")</f>
        <v/>
      </c>
    </row>
    <row r="126" spans="9:9" x14ac:dyDescent="0.25">
      <c r="I126" s="164" t="str">
        <f>IFERROR(COUNTIF($B$18:B126,B126)&amp;CHOOSE(MIN(4,COUNTIF($B$18:B126,B126)),"st","nd","rd","th"),"")</f>
        <v/>
      </c>
    </row>
    <row r="127" spans="9:9" x14ac:dyDescent="0.25">
      <c r="I127" s="164" t="str">
        <f>IFERROR(COUNTIF($B$18:B127,B127)&amp;CHOOSE(MIN(4,COUNTIF($B$18:B127,B127)),"st","nd","rd","th"),"")</f>
        <v/>
      </c>
    </row>
    <row r="128" spans="9:9" x14ac:dyDescent="0.25">
      <c r="I128" s="164" t="str">
        <f>IFERROR(COUNTIF($B$18:B128,B128)&amp;CHOOSE(MIN(4,COUNTIF($B$18:B128,B128)),"st","nd","rd","th"),"")</f>
        <v/>
      </c>
    </row>
    <row r="129" spans="9:9" x14ac:dyDescent="0.25">
      <c r="I129" s="164" t="str">
        <f>IFERROR(COUNTIF($B$18:B129,B129)&amp;CHOOSE(MIN(4,COUNTIF($B$18:B129,B129)),"st","nd","rd","th"),"")</f>
        <v/>
      </c>
    </row>
    <row r="130" spans="9:9" x14ac:dyDescent="0.25">
      <c r="I130" s="164" t="str">
        <f>IFERROR(COUNTIF($B$18:B130,B130)&amp;CHOOSE(MIN(4,COUNTIF($B$18:B130,B130)),"st","nd","rd","th"),"")</f>
        <v/>
      </c>
    </row>
    <row r="131" spans="9:9" x14ac:dyDescent="0.25">
      <c r="I131" s="164" t="str">
        <f>IFERROR(COUNTIF($B$18:B131,B131)&amp;CHOOSE(MIN(4,COUNTIF($B$18:B131,B131)),"st","nd","rd","th"),"")</f>
        <v/>
      </c>
    </row>
    <row r="132" spans="9:9" x14ac:dyDescent="0.25">
      <c r="I132" s="164" t="str">
        <f>IFERROR(COUNTIF($B$18:B132,B132)&amp;CHOOSE(MIN(4,COUNTIF($B$18:B132,B132)),"st","nd","rd","th"),"")</f>
        <v/>
      </c>
    </row>
    <row r="133" spans="9:9" x14ac:dyDescent="0.25">
      <c r="I133" s="164" t="str">
        <f>IFERROR(COUNTIF($B$18:B133,B133)&amp;CHOOSE(MIN(4,COUNTIF($B$18:B133,B133)),"st","nd","rd","th"),"")</f>
        <v/>
      </c>
    </row>
    <row r="134" spans="9:9" x14ac:dyDescent="0.25">
      <c r="I134" s="164" t="str">
        <f>IFERROR(COUNTIF($B$18:B134,B134)&amp;CHOOSE(MIN(4,COUNTIF($B$18:B134,B134)),"st","nd","rd","th"),"")</f>
        <v/>
      </c>
    </row>
    <row r="135" spans="9:9" x14ac:dyDescent="0.25">
      <c r="I135" s="164" t="str">
        <f>IFERROR(COUNTIF($B$18:B135,B135)&amp;CHOOSE(MIN(4,COUNTIF($B$18:B135,B135)),"st","nd","rd","th"),"")</f>
        <v/>
      </c>
    </row>
    <row r="136" spans="9:9" x14ac:dyDescent="0.25">
      <c r="I136" s="164" t="str">
        <f>IFERROR(COUNTIF($B$18:B136,B136)&amp;CHOOSE(MIN(4,COUNTIF($B$18:B136,B136)),"st","nd","rd","th"),"")</f>
        <v/>
      </c>
    </row>
    <row r="137" spans="9:9" x14ac:dyDescent="0.25">
      <c r="I137" s="164" t="str">
        <f>IFERROR(COUNTIF($B$18:B137,B137)&amp;CHOOSE(MIN(4,COUNTIF($B$18:B137,B137)),"st","nd","rd","th"),"")</f>
        <v/>
      </c>
    </row>
    <row r="138" spans="9:9" x14ac:dyDescent="0.25">
      <c r="I138" s="164" t="str">
        <f>IFERROR(COUNTIF($B$18:B138,B138)&amp;CHOOSE(MIN(4,COUNTIF($B$18:B138,B138)),"st","nd","rd","th"),"")</f>
        <v/>
      </c>
    </row>
    <row r="139" spans="9:9" x14ac:dyDescent="0.25">
      <c r="I139" s="164" t="str">
        <f>IFERROR(COUNTIF($B$18:B139,B139)&amp;CHOOSE(MIN(4,COUNTIF($B$18:B139,B139)),"st","nd","rd","th"),"")</f>
        <v/>
      </c>
    </row>
    <row r="140" spans="9:9" x14ac:dyDescent="0.25">
      <c r="I140" s="164" t="str">
        <f>IFERROR(COUNTIF($B$18:B140,B140)&amp;CHOOSE(MIN(4,COUNTIF($B$18:B140,B140)),"st","nd","rd","th"),"")</f>
        <v/>
      </c>
    </row>
    <row r="141" spans="9:9" x14ac:dyDescent="0.25">
      <c r="I141" s="164" t="str">
        <f>IFERROR(COUNTIF($B$18:B141,B141)&amp;CHOOSE(MIN(4,COUNTIF($B$18:B141,B141)),"st","nd","rd","th"),"")</f>
        <v/>
      </c>
    </row>
    <row r="142" spans="9:9" x14ac:dyDescent="0.25">
      <c r="I142" s="164" t="str">
        <f>IFERROR(COUNTIF($B$18:B142,B142)&amp;CHOOSE(MIN(4,COUNTIF($B$18:B142,B142)),"st","nd","rd","th"),"")</f>
        <v/>
      </c>
    </row>
    <row r="143" spans="9:9" x14ac:dyDescent="0.25">
      <c r="I143" s="164" t="str">
        <f>IFERROR(COUNTIF($B$18:B143,B143)&amp;CHOOSE(MIN(4,COUNTIF($B$18:B143,B143)),"st","nd","rd","th"),"")</f>
        <v/>
      </c>
    </row>
    <row r="144" spans="9:9" x14ac:dyDescent="0.25">
      <c r="I144" s="164" t="str">
        <f>IFERROR(COUNTIF($B$18:B144,B144)&amp;CHOOSE(MIN(4,COUNTIF($B$18:B144,B144)),"st","nd","rd","th"),"")</f>
        <v/>
      </c>
    </row>
    <row r="145" spans="9:9" x14ac:dyDescent="0.25">
      <c r="I145" s="164" t="str">
        <f>IFERROR(COUNTIF($B$18:B145,B145)&amp;CHOOSE(MIN(4,COUNTIF($B$18:B145,B145)),"st","nd","rd","th"),"")</f>
        <v/>
      </c>
    </row>
    <row r="146" spans="9:9" x14ac:dyDescent="0.25">
      <c r="I146" s="164" t="str">
        <f>IFERROR(COUNTIF($B$18:B146,B146)&amp;CHOOSE(MIN(4,COUNTIF($B$18:B146,B146)),"st","nd","rd","th"),"")</f>
        <v/>
      </c>
    </row>
    <row r="147" spans="9:9" x14ac:dyDescent="0.25">
      <c r="I147" s="164" t="str">
        <f>IFERROR(COUNTIF($B$18:B147,B147)&amp;CHOOSE(MIN(4,COUNTIF($B$18:B147,B147)),"st","nd","rd","th"),"")</f>
        <v/>
      </c>
    </row>
    <row r="148" spans="9:9" x14ac:dyDescent="0.25">
      <c r="I148" s="164" t="str">
        <f>IFERROR(COUNTIF($B$18:B148,B148)&amp;CHOOSE(MIN(4,COUNTIF($B$18:B148,B148)),"st","nd","rd","th"),"")</f>
        <v/>
      </c>
    </row>
    <row r="149" spans="9:9" x14ac:dyDescent="0.25">
      <c r="I149" s="164" t="str">
        <f>IFERROR(COUNTIF($B$18:B149,B149)&amp;CHOOSE(MIN(4,COUNTIF($B$18:B149,B149)),"st","nd","rd","th"),"")</f>
        <v/>
      </c>
    </row>
    <row r="150" spans="9:9" x14ac:dyDescent="0.25">
      <c r="I150" s="164" t="str">
        <f>IFERROR(COUNTIF($B$18:B150,B150)&amp;CHOOSE(MIN(4,COUNTIF($B$18:B150,B150)),"st","nd","rd","th"),"")</f>
        <v/>
      </c>
    </row>
    <row r="151" spans="9:9" x14ac:dyDescent="0.25">
      <c r="I151" s="164" t="str">
        <f>IFERROR(COUNTIF($B$18:B151,B151)&amp;CHOOSE(MIN(4,COUNTIF($B$18:B151,B151)),"st","nd","rd","th"),"")</f>
        <v/>
      </c>
    </row>
    <row r="152" spans="9:9" x14ac:dyDescent="0.25">
      <c r="I152" s="164" t="str">
        <f>IFERROR(COUNTIF($B$18:B152,B152)&amp;CHOOSE(MIN(4,COUNTIF($B$18:B152,B152)),"st","nd","rd","th"),"")</f>
        <v/>
      </c>
    </row>
    <row r="153" spans="9:9" x14ac:dyDescent="0.25">
      <c r="I153" s="164" t="str">
        <f>IFERROR(COUNTIF($B$18:B153,B153)&amp;CHOOSE(MIN(4,COUNTIF($B$18:B153,B153)),"st","nd","rd","th"),"")</f>
        <v/>
      </c>
    </row>
    <row r="154" spans="9:9" x14ac:dyDescent="0.25">
      <c r="I154" s="164" t="str">
        <f>IFERROR(COUNTIF($B$18:B154,B154)&amp;CHOOSE(MIN(4,COUNTIF($B$18:B154,B154)),"st","nd","rd","th"),"")</f>
        <v/>
      </c>
    </row>
    <row r="155" spans="9:9" x14ac:dyDescent="0.25">
      <c r="I155" s="164" t="str">
        <f>IFERROR(COUNTIF($B$18:B155,B155)&amp;CHOOSE(MIN(4,COUNTIF($B$18:B155,B155)),"st","nd","rd","th"),"")</f>
        <v/>
      </c>
    </row>
    <row r="156" spans="9:9" x14ac:dyDescent="0.25">
      <c r="I156" s="164" t="str">
        <f>IFERROR(COUNTIF($B$18:B156,B156)&amp;CHOOSE(MIN(4,COUNTIF($B$18:B156,B156)),"st","nd","rd","th"),"")</f>
        <v/>
      </c>
    </row>
    <row r="157" spans="9:9" x14ac:dyDescent="0.25">
      <c r="I157" s="164" t="str">
        <f>IFERROR(COUNTIF($B$18:B157,B157)&amp;CHOOSE(MIN(4,COUNTIF($B$18:B157,B157)),"st","nd","rd","th"),"")</f>
        <v/>
      </c>
    </row>
    <row r="158" spans="9:9" x14ac:dyDescent="0.25">
      <c r="I158" s="164" t="str">
        <f>IFERROR(COUNTIF($B$18:B158,B158)&amp;CHOOSE(MIN(4,COUNTIF($B$18:B158,B158)),"st","nd","rd","th"),"")</f>
        <v/>
      </c>
    </row>
    <row r="159" spans="9:9" x14ac:dyDescent="0.25">
      <c r="I159" s="164" t="str">
        <f>IFERROR(COUNTIF($B$18:B159,B159)&amp;CHOOSE(MIN(4,COUNTIF($B$18:B159,B159)),"st","nd","rd","th"),"")</f>
        <v/>
      </c>
    </row>
    <row r="160" spans="9:9" x14ac:dyDescent="0.25">
      <c r="I160" s="164" t="str">
        <f>IFERROR(COUNTIF($B$18:B160,B160)&amp;CHOOSE(MIN(4,COUNTIF($B$18:B160,B160)),"st","nd","rd","th"),"")</f>
        <v/>
      </c>
    </row>
    <row r="161" spans="9:9" x14ac:dyDescent="0.25">
      <c r="I161" s="164" t="str">
        <f>IFERROR(COUNTIF($B$18:B161,B161)&amp;CHOOSE(MIN(4,COUNTIF($B$18:B161,B161)),"st","nd","rd","th"),"")</f>
        <v/>
      </c>
    </row>
    <row r="162" spans="9:9" x14ac:dyDescent="0.25">
      <c r="I162" s="164" t="str">
        <f>IFERROR(COUNTIF($B$18:B162,B162)&amp;CHOOSE(MIN(4,COUNTIF($B$18:B162,B162)),"st","nd","rd","th"),"")</f>
        <v/>
      </c>
    </row>
    <row r="163" spans="9:9" x14ac:dyDescent="0.25">
      <c r="I163" s="164" t="str">
        <f>IFERROR(COUNTIF($B$18:B163,B163)&amp;CHOOSE(MIN(4,COUNTIF($B$18:B163,B163)),"st","nd","rd","th"),"")</f>
        <v/>
      </c>
    </row>
    <row r="164" spans="9:9" x14ac:dyDescent="0.25">
      <c r="I164" s="164" t="str">
        <f>IFERROR(COUNTIF($B$18:B164,B164)&amp;CHOOSE(MIN(4,COUNTIF($B$18:B164,B164)),"st","nd","rd","th"),"")</f>
        <v/>
      </c>
    </row>
    <row r="165" spans="9:9" x14ac:dyDescent="0.25">
      <c r="I165" s="164" t="str">
        <f>IFERROR(COUNTIF($B$18:B165,B165)&amp;CHOOSE(MIN(4,COUNTIF($B$18:B165,B165)),"st","nd","rd","th"),"")</f>
        <v/>
      </c>
    </row>
    <row r="166" spans="9:9" x14ac:dyDescent="0.25">
      <c r="I166" s="164" t="str">
        <f>IFERROR(COUNTIF($B$18:B166,B166)&amp;CHOOSE(MIN(4,COUNTIF($B$18:B166,B166)),"st","nd","rd","th"),"")</f>
        <v/>
      </c>
    </row>
    <row r="167" spans="9:9" x14ac:dyDescent="0.25">
      <c r="I167" s="164" t="str">
        <f>IFERROR(COUNTIF($B$18:B167,B167)&amp;CHOOSE(MIN(4,COUNTIF($B$18:B167,B167)),"st","nd","rd","th"),"")</f>
        <v/>
      </c>
    </row>
    <row r="168" spans="9:9" x14ac:dyDescent="0.25">
      <c r="I168" s="164" t="str">
        <f>IFERROR(COUNTIF($B$18:B168,B168)&amp;CHOOSE(MIN(4,COUNTIF($B$18:B168,B168)),"st","nd","rd","th"),"")</f>
        <v/>
      </c>
    </row>
    <row r="169" spans="9:9" x14ac:dyDescent="0.25">
      <c r="I169" s="164" t="str">
        <f>IFERROR(COUNTIF($B$18:B169,B169)&amp;CHOOSE(MIN(4,COUNTIF($B$18:B169,B169)),"st","nd","rd","th"),"")</f>
        <v/>
      </c>
    </row>
    <row r="170" spans="9:9" x14ac:dyDescent="0.25">
      <c r="I170" s="164" t="str">
        <f>IFERROR(COUNTIF($B$18:B170,B170)&amp;CHOOSE(MIN(4,COUNTIF($B$18:B170,B170)),"st","nd","rd","th"),"")</f>
        <v/>
      </c>
    </row>
    <row r="171" spans="9:9" x14ac:dyDescent="0.25">
      <c r="I171" s="164" t="str">
        <f>IFERROR(COUNTIF($B$18:B171,B171)&amp;CHOOSE(MIN(4,COUNTIF($B$18:B171,B171)),"st","nd","rd","th"),"")</f>
        <v/>
      </c>
    </row>
    <row r="172" spans="9:9" x14ac:dyDescent="0.25">
      <c r="I172" s="164" t="str">
        <f>IFERROR(COUNTIF($B$18:B172,B172)&amp;CHOOSE(MIN(4,COUNTIF($B$18:B172,B172)),"st","nd","rd","th"),"")</f>
        <v/>
      </c>
    </row>
    <row r="173" spans="9:9" x14ac:dyDescent="0.25">
      <c r="I173" s="164" t="str">
        <f>IFERROR(COUNTIF($B$18:B173,B173)&amp;CHOOSE(MIN(4,COUNTIF($B$18:B173,B173)),"st","nd","rd","th"),"")</f>
        <v/>
      </c>
    </row>
    <row r="174" spans="9:9" x14ac:dyDescent="0.25">
      <c r="I174" s="164" t="str">
        <f>IFERROR(COUNTIF($B$18:B174,B174)&amp;CHOOSE(MIN(4,COUNTIF($B$18:B174,B174)),"st","nd","rd","th"),"")</f>
        <v/>
      </c>
    </row>
    <row r="175" spans="9:9" x14ac:dyDescent="0.25">
      <c r="I175" s="164" t="str">
        <f>IFERROR(COUNTIF($B$18:B175,B175)&amp;CHOOSE(MIN(4,COUNTIF($B$18:B175,B175)),"st","nd","rd","th"),"")</f>
        <v/>
      </c>
    </row>
    <row r="176" spans="9:9" x14ac:dyDescent="0.25">
      <c r="I176" s="164" t="str">
        <f>IFERROR(COUNTIF($B$18:B176,B176)&amp;CHOOSE(MIN(4,COUNTIF($B$18:B176,B176)),"st","nd","rd","th"),"")</f>
        <v/>
      </c>
    </row>
    <row r="177" spans="9:9" x14ac:dyDescent="0.25">
      <c r="I177" s="164" t="str">
        <f>IFERROR(COUNTIF($B$18:B177,B177)&amp;CHOOSE(MIN(4,COUNTIF($B$18:B177,B177)),"st","nd","rd","th"),"")</f>
        <v/>
      </c>
    </row>
    <row r="178" spans="9:9" x14ac:dyDescent="0.25">
      <c r="I178" s="164" t="str">
        <f>IFERROR(COUNTIF($B$18:B178,B178)&amp;CHOOSE(MIN(4,COUNTIF($B$18:B178,B178)),"st","nd","rd","th"),"")</f>
        <v/>
      </c>
    </row>
    <row r="179" spans="9:9" x14ac:dyDescent="0.25">
      <c r="I179" s="164" t="str">
        <f>IFERROR(COUNTIF($B$18:B179,B179)&amp;CHOOSE(MIN(4,COUNTIF($B$18:B179,B179)),"st","nd","rd","th"),"")</f>
        <v/>
      </c>
    </row>
    <row r="180" spans="9:9" x14ac:dyDescent="0.25">
      <c r="I180" s="164" t="str">
        <f>IFERROR(COUNTIF($B$18:B180,B180)&amp;CHOOSE(MIN(4,COUNTIF($B$18:B180,B180)),"st","nd","rd","th"),"")</f>
        <v/>
      </c>
    </row>
    <row r="181" spans="9:9" x14ac:dyDescent="0.25">
      <c r="I181" s="164" t="str">
        <f>IFERROR(COUNTIF($B$18:B181,B181)&amp;CHOOSE(MIN(4,COUNTIF($B$18:B181,B181)),"st","nd","rd","th"),"")</f>
        <v/>
      </c>
    </row>
    <row r="182" spans="9:9" x14ac:dyDescent="0.25">
      <c r="I182" s="164" t="str">
        <f>IFERROR(COUNTIF($B$18:B182,B182)&amp;CHOOSE(MIN(4,COUNTIF($B$18:B182,B182)),"st","nd","rd","th"),"")</f>
        <v/>
      </c>
    </row>
    <row r="183" spans="9:9" x14ac:dyDescent="0.25">
      <c r="I183" s="164" t="str">
        <f>IFERROR(COUNTIF($B$18:B183,B183)&amp;CHOOSE(MIN(4,COUNTIF($B$18:B183,B183)),"st","nd","rd","th"),"")</f>
        <v/>
      </c>
    </row>
    <row r="184" spans="9:9" x14ac:dyDescent="0.25">
      <c r="I184" s="164" t="str">
        <f>IFERROR(COUNTIF($B$18:B184,B184)&amp;CHOOSE(MIN(4,COUNTIF($B$18:B184,B184)),"st","nd","rd","th"),"")</f>
        <v/>
      </c>
    </row>
    <row r="185" spans="9:9" x14ac:dyDescent="0.25">
      <c r="I185" s="164" t="str">
        <f>IFERROR(COUNTIF($B$18:B185,B185)&amp;CHOOSE(MIN(4,COUNTIF($B$18:B185,B185)),"st","nd","rd","th"),"")</f>
        <v/>
      </c>
    </row>
    <row r="186" spans="9:9" x14ac:dyDescent="0.25">
      <c r="I186" s="164" t="str">
        <f>IFERROR(COUNTIF($B$18:B186,B186)&amp;CHOOSE(MIN(4,COUNTIF($B$18:B186,B186)),"st","nd","rd","th"),"")</f>
        <v/>
      </c>
    </row>
    <row r="187" spans="9:9" x14ac:dyDescent="0.25">
      <c r="I187" s="164" t="str">
        <f>IFERROR(COUNTIF($B$18:B187,B187)&amp;CHOOSE(MIN(4,COUNTIF($B$18:B187,B187)),"st","nd","rd","th"),"")</f>
        <v/>
      </c>
    </row>
    <row r="188" spans="9:9" x14ac:dyDescent="0.25">
      <c r="I188" s="164" t="str">
        <f>IFERROR(COUNTIF($B$18:B188,B188)&amp;CHOOSE(MIN(4,COUNTIF($B$18:B188,B188)),"st","nd","rd","th"),"")</f>
        <v/>
      </c>
    </row>
    <row r="189" spans="9:9" x14ac:dyDescent="0.25">
      <c r="I189" s="164" t="str">
        <f>IFERROR(COUNTIF($B$18:B189,B189)&amp;CHOOSE(MIN(4,COUNTIF($B$18:B189,B189)),"st","nd","rd","th"),"")</f>
        <v/>
      </c>
    </row>
    <row r="190" spans="9:9" x14ac:dyDescent="0.25">
      <c r="I190" s="164" t="str">
        <f>IFERROR(COUNTIF($B$18:B190,B190)&amp;CHOOSE(MIN(4,COUNTIF($B$18:B190,B190)),"st","nd","rd","th"),"")</f>
        <v/>
      </c>
    </row>
    <row r="191" spans="9:9" x14ac:dyDescent="0.25">
      <c r="I191" s="164" t="str">
        <f>IFERROR(COUNTIF($B$18:B191,B191)&amp;CHOOSE(MIN(4,COUNTIF($B$18:B191,B191)),"st","nd","rd","th"),"")</f>
        <v/>
      </c>
    </row>
    <row r="192" spans="9:9" x14ac:dyDescent="0.25">
      <c r="I192" s="164" t="str">
        <f>IFERROR(COUNTIF($B$18:B192,B192)&amp;CHOOSE(MIN(4,COUNTIF($B$18:B192,B192)),"st","nd","rd","th"),"")</f>
        <v/>
      </c>
    </row>
    <row r="193" spans="9:9" x14ac:dyDescent="0.25">
      <c r="I193" s="164" t="str">
        <f>IFERROR(COUNTIF($B$18:B193,B193)&amp;CHOOSE(MIN(4,COUNTIF($B$18:B193,B193)),"st","nd","rd","th"),"")</f>
        <v/>
      </c>
    </row>
    <row r="194" spans="9:9" x14ac:dyDescent="0.25">
      <c r="I194" s="164" t="str">
        <f>IFERROR(COUNTIF($B$18:B194,B194)&amp;CHOOSE(MIN(4,COUNTIF($B$18:B194,B194)),"st","nd","rd","th"),"")</f>
        <v/>
      </c>
    </row>
    <row r="195" spans="9:9" x14ac:dyDescent="0.25">
      <c r="I195" s="164" t="str">
        <f>IFERROR(COUNTIF($B$18:B195,B195)&amp;CHOOSE(MIN(4,COUNTIF($B$18:B195,B195)),"st","nd","rd","th"),"")</f>
        <v/>
      </c>
    </row>
    <row r="196" spans="9:9" x14ac:dyDescent="0.25">
      <c r="I196" s="164" t="str">
        <f>IFERROR(COUNTIF($B$18:B196,B196)&amp;CHOOSE(MIN(4,COUNTIF($B$18:B196,B196)),"st","nd","rd","th"),"")</f>
        <v/>
      </c>
    </row>
    <row r="197" spans="9:9" x14ac:dyDescent="0.25">
      <c r="I197" s="164" t="str">
        <f>IFERROR(COUNTIF($B$18:B197,B197)&amp;CHOOSE(MIN(4,COUNTIF($B$18:B197,B197)),"st","nd","rd","th"),"")</f>
        <v/>
      </c>
    </row>
    <row r="198" spans="9:9" x14ac:dyDescent="0.25">
      <c r="I198" s="164" t="str">
        <f>IFERROR(COUNTIF($B$18:B198,B198)&amp;CHOOSE(MIN(4,COUNTIF($B$18:B198,B198)),"st","nd","rd","th"),"")</f>
        <v/>
      </c>
    </row>
    <row r="199" spans="9:9" x14ac:dyDescent="0.25">
      <c r="I199" s="164" t="str">
        <f>IFERROR(COUNTIF($B$18:B199,B199)&amp;CHOOSE(MIN(4,COUNTIF($B$18:B199,B199)),"st","nd","rd","th"),"")</f>
        <v/>
      </c>
    </row>
    <row r="200" spans="9:9" x14ac:dyDescent="0.25">
      <c r="I200" s="164" t="str">
        <f>IFERROR(COUNTIF($B$18:B200,B200)&amp;CHOOSE(MIN(4,COUNTIF($B$18:B200,B200)),"st","nd","rd","th"),"")</f>
        <v/>
      </c>
    </row>
    <row r="201" spans="9:9" x14ac:dyDescent="0.25">
      <c r="I201" s="164" t="str">
        <f>IFERROR(COUNTIF($B$18:B201,B201)&amp;CHOOSE(MIN(4,COUNTIF($B$18:B201,B201)),"st","nd","rd","th"),"")</f>
        <v/>
      </c>
    </row>
    <row r="202" spans="9:9" x14ac:dyDescent="0.25">
      <c r="I202" s="164" t="str">
        <f>IFERROR(COUNTIF($B$18:B202,B202)&amp;CHOOSE(MIN(4,COUNTIF($B$18:B202,B202)),"st","nd","rd","th"),"")</f>
        <v/>
      </c>
    </row>
    <row r="203" spans="9:9" x14ac:dyDescent="0.25">
      <c r="I203" s="164" t="str">
        <f>IFERROR(COUNTIF($B$18:B203,B203)&amp;CHOOSE(MIN(4,COUNTIF($B$18:B203,B203)),"st","nd","rd","th"),"")</f>
        <v/>
      </c>
    </row>
    <row r="204" spans="9:9" x14ac:dyDescent="0.25">
      <c r="I204" s="164" t="str">
        <f>IFERROR(COUNTIF($B$18:B204,B204)&amp;CHOOSE(MIN(4,COUNTIF($B$18:B204,B204)),"st","nd","rd","th"),"")</f>
        <v/>
      </c>
    </row>
    <row r="205" spans="9:9" x14ac:dyDescent="0.25">
      <c r="I205" s="164" t="str">
        <f>IFERROR(COUNTIF($B$18:B205,B205)&amp;CHOOSE(MIN(4,COUNTIF($B$18:B205,B205)),"st","nd","rd","th"),"")</f>
        <v/>
      </c>
    </row>
    <row r="206" spans="9:9" x14ac:dyDescent="0.25">
      <c r="I206" s="164" t="str">
        <f>IFERROR(COUNTIF($B$18:B206,B206)&amp;CHOOSE(MIN(4,COUNTIF($B$18:B206,B206)),"st","nd","rd","th"),"")</f>
        <v/>
      </c>
    </row>
    <row r="207" spans="9:9" x14ac:dyDescent="0.25">
      <c r="I207" s="164" t="str">
        <f>IFERROR(COUNTIF($B$18:B207,B207)&amp;CHOOSE(MIN(4,COUNTIF($B$18:B207,B207)),"st","nd","rd","th"),"")</f>
        <v/>
      </c>
    </row>
    <row r="208" spans="9:9" x14ac:dyDescent="0.25">
      <c r="I208" s="164" t="str">
        <f>IFERROR(COUNTIF($B$18:B208,B208)&amp;CHOOSE(MIN(4,COUNTIF($B$18:B208,B208)),"st","nd","rd","th"),"")</f>
        <v/>
      </c>
    </row>
    <row r="209" spans="9:9" x14ac:dyDescent="0.25">
      <c r="I209" s="164" t="str">
        <f>IFERROR(COUNTIF($B$18:B209,B209)&amp;CHOOSE(MIN(4,COUNTIF($B$18:B209,B209)),"st","nd","rd","th"),"")</f>
        <v/>
      </c>
    </row>
    <row r="210" spans="9:9" x14ac:dyDescent="0.25">
      <c r="I210" s="164" t="str">
        <f>IFERROR(COUNTIF($B$18:B210,B210)&amp;CHOOSE(MIN(4,COUNTIF($B$18:B210,B210)),"st","nd","rd","th"),"")</f>
        <v/>
      </c>
    </row>
    <row r="211" spans="9:9" x14ac:dyDescent="0.25">
      <c r="I211" s="164" t="str">
        <f>IFERROR(COUNTIF($B$18:B211,B211)&amp;CHOOSE(MIN(4,COUNTIF($B$18:B211,B211)),"st","nd","rd","th"),"")</f>
        <v/>
      </c>
    </row>
    <row r="212" spans="9:9" x14ac:dyDescent="0.25">
      <c r="I212" s="164" t="str">
        <f>IFERROR(COUNTIF($B$18:B212,B212)&amp;CHOOSE(MIN(4,COUNTIF($B$18:B212,B212)),"st","nd","rd","th"),"")</f>
        <v/>
      </c>
    </row>
    <row r="213" spans="9:9" x14ac:dyDescent="0.25">
      <c r="I213" s="164" t="str">
        <f>IFERROR(COUNTIF($B$18:B213,B213)&amp;CHOOSE(MIN(4,COUNTIF($B$18:B213,B213)),"st","nd","rd","th"),"")</f>
        <v/>
      </c>
    </row>
    <row r="214" spans="9:9" x14ac:dyDescent="0.25">
      <c r="I214" s="164" t="str">
        <f>IFERROR(COUNTIF($B$18:B214,B214)&amp;CHOOSE(MIN(4,COUNTIF($B$18:B214,B214)),"st","nd","rd","th"),"")</f>
        <v/>
      </c>
    </row>
    <row r="215" spans="9:9" x14ac:dyDescent="0.25">
      <c r="I215" s="164" t="str">
        <f>IFERROR(COUNTIF($B$18:B215,B215)&amp;CHOOSE(MIN(4,COUNTIF($B$18:B215,B215)),"st","nd","rd","th"),"")</f>
        <v/>
      </c>
    </row>
    <row r="216" spans="9:9" x14ac:dyDescent="0.25">
      <c r="I216" s="164" t="str">
        <f>IFERROR(COUNTIF($B$18:B216,B216)&amp;CHOOSE(MIN(4,COUNTIF($B$18:B216,B216)),"st","nd","rd","th"),"")</f>
        <v/>
      </c>
    </row>
    <row r="217" spans="9:9" x14ac:dyDescent="0.25">
      <c r="I217" s="164" t="str">
        <f>IFERROR(COUNTIF($B$18:B217,B217)&amp;CHOOSE(MIN(4,COUNTIF($B$18:B217,B217)),"st","nd","rd","th"),"")</f>
        <v/>
      </c>
    </row>
    <row r="218" spans="9:9" x14ac:dyDescent="0.25">
      <c r="I218" s="164" t="str">
        <f>IFERROR(COUNTIF($B$18:B218,B218)&amp;CHOOSE(MIN(4,COUNTIF($B$18:B218,B218)),"st","nd","rd","th"),"")</f>
        <v/>
      </c>
    </row>
    <row r="219" spans="9:9" x14ac:dyDescent="0.25">
      <c r="I219" s="164" t="str">
        <f>IFERROR(COUNTIF($B$18:B219,B219)&amp;CHOOSE(MIN(4,COUNTIF($B$18:B219,B219)),"st","nd","rd","th"),"")</f>
        <v/>
      </c>
    </row>
    <row r="220" spans="9:9" x14ac:dyDescent="0.25">
      <c r="I220" s="164" t="str">
        <f>IFERROR(COUNTIF($B$18:B220,B220)&amp;CHOOSE(MIN(4,COUNTIF($B$18:B220,B220)),"st","nd","rd","th"),"")</f>
        <v/>
      </c>
    </row>
    <row r="221" spans="9:9" x14ac:dyDescent="0.25">
      <c r="I221" s="164" t="str">
        <f>IFERROR(COUNTIF($B$18:B221,B221)&amp;CHOOSE(MIN(4,COUNTIF($B$18:B221,B221)),"st","nd","rd","th"),"")</f>
        <v/>
      </c>
    </row>
    <row r="222" spans="9:9" x14ac:dyDescent="0.25">
      <c r="I222" s="164" t="str">
        <f>IFERROR(COUNTIF($B$18:B222,B222)&amp;CHOOSE(MIN(4,COUNTIF($B$18:B222,B222)),"st","nd","rd","th"),"")</f>
        <v/>
      </c>
    </row>
    <row r="223" spans="9:9" x14ac:dyDescent="0.25">
      <c r="I223" s="164" t="str">
        <f>IFERROR(COUNTIF($B$18:B223,B223)&amp;CHOOSE(MIN(4,COUNTIF($B$18:B223,B223)),"st","nd","rd","th"),"")</f>
        <v/>
      </c>
    </row>
    <row r="224" spans="9:9" x14ac:dyDescent="0.25">
      <c r="I224" s="164" t="str">
        <f>IFERROR(COUNTIF($B$18:B224,B224)&amp;CHOOSE(MIN(4,COUNTIF($B$18:B224,B224)),"st","nd","rd","th"),"")</f>
        <v/>
      </c>
    </row>
    <row r="225" spans="9:9" x14ac:dyDescent="0.25">
      <c r="I225" s="164" t="str">
        <f>IFERROR(COUNTIF($B$18:B225,B225)&amp;CHOOSE(MIN(4,COUNTIF($B$18:B225,B225)),"st","nd","rd","th"),"")</f>
        <v/>
      </c>
    </row>
    <row r="226" spans="9:9" x14ac:dyDescent="0.25">
      <c r="I226" s="164" t="str">
        <f>IFERROR(COUNTIF($B$18:B226,B226)&amp;CHOOSE(MIN(4,COUNTIF($B$18:B226,B226)),"st","nd","rd","th"),"")</f>
        <v/>
      </c>
    </row>
    <row r="227" spans="9:9" x14ac:dyDescent="0.25">
      <c r="I227" s="164" t="str">
        <f>IFERROR(COUNTIF($B$18:B227,B227)&amp;CHOOSE(MIN(4,COUNTIF($B$18:B227,B227)),"st","nd","rd","th"),"")</f>
        <v/>
      </c>
    </row>
    <row r="228" spans="9:9" x14ac:dyDescent="0.25">
      <c r="I228" s="164" t="str">
        <f>IFERROR(COUNTIF($B$18:B228,B228)&amp;CHOOSE(MIN(4,COUNTIF($B$18:B228,B228)),"st","nd","rd","th"),"")</f>
        <v/>
      </c>
    </row>
    <row r="229" spans="9:9" x14ac:dyDescent="0.25">
      <c r="I229" s="164" t="str">
        <f>IFERROR(COUNTIF($B$18:B229,B229)&amp;CHOOSE(MIN(4,COUNTIF($B$18:B229,B229)),"st","nd","rd","th"),"")</f>
        <v/>
      </c>
    </row>
    <row r="230" spans="9:9" x14ac:dyDescent="0.25">
      <c r="I230" s="164" t="str">
        <f>IFERROR(COUNTIF($B$18:B230,B230)&amp;CHOOSE(MIN(4,COUNTIF($B$18:B230,B230)),"st","nd","rd","th"),"")</f>
        <v/>
      </c>
    </row>
    <row r="231" spans="9:9" x14ac:dyDescent="0.25">
      <c r="I231" s="164" t="str">
        <f>IFERROR(COUNTIF($B$18:B231,B231)&amp;CHOOSE(MIN(4,COUNTIF($B$18:B231,B231)),"st","nd","rd","th"),"")</f>
        <v/>
      </c>
    </row>
    <row r="232" spans="9:9" x14ac:dyDescent="0.25">
      <c r="I232" s="164" t="str">
        <f>IFERROR(COUNTIF($B$18:B232,B232)&amp;CHOOSE(MIN(4,COUNTIF($B$18:B232,B232)),"st","nd","rd","th"),"")</f>
        <v/>
      </c>
    </row>
    <row r="233" spans="9:9" x14ac:dyDescent="0.25">
      <c r="I233" s="164" t="str">
        <f>IFERROR(COUNTIF($B$18:B233,B233)&amp;CHOOSE(MIN(4,COUNTIF($B$18:B233,B233)),"st","nd","rd","th"),"")</f>
        <v/>
      </c>
    </row>
    <row r="234" spans="9:9" x14ac:dyDescent="0.25">
      <c r="I234" s="164" t="str">
        <f>IFERROR(COUNTIF($B$18:B234,B234)&amp;CHOOSE(MIN(4,COUNTIF($B$18:B234,B234)),"st","nd","rd","th"),"")</f>
        <v/>
      </c>
    </row>
    <row r="235" spans="9:9" x14ac:dyDescent="0.25">
      <c r="I235" s="164" t="str">
        <f>IFERROR(COUNTIF($B$18:B235,B235)&amp;CHOOSE(MIN(4,COUNTIF($B$18:B235,B235)),"st","nd","rd","th"),"")</f>
        <v/>
      </c>
    </row>
    <row r="236" spans="9:9" x14ac:dyDescent="0.25">
      <c r="I236" s="164" t="str">
        <f>IFERROR(COUNTIF($B$18:B236,B236)&amp;CHOOSE(MIN(4,COUNTIF($B$18:B236,B236)),"st","nd","rd","th"),"")</f>
        <v/>
      </c>
    </row>
    <row r="237" spans="9:9" x14ac:dyDescent="0.25">
      <c r="I237" s="164" t="str">
        <f>IFERROR(COUNTIF($B$18:B237,B237)&amp;CHOOSE(MIN(4,COUNTIF($B$18:B237,B237)),"st","nd","rd","th"),"")</f>
        <v/>
      </c>
    </row>
    <row r="238" spans="9:9" x14ac:dyDescent="0.25">
      <c r="I238" s="164" t="str">
        <f>IFERROR(COUNTIF($B$18:B238,B238)&amp;CHOOSE(MIN(4,COUNTIF($B$18:B238,B238)),"st","nd","rd","th"),"")</f>
        <v/>
      </c>
    </row>
    <row r="239" spans="9:9" x14ac:dyDescent="0.25">
      <c r="I239" s="164" t="str">
        <f>IFERROR(COUNTIF($B$18:B239,B239)&amp;CHOOSE(MIN(4,COUNTIF($B$18:B239,B239)),"st","nd","rd","th"),"")</f>
        <v/>
      </c>
    </row>
    <row r="240" spans="9:9" x14ac:dyDescent="0.25">
      <c r="I240" s="164" t="str">
        <f>IFERROR(COUNTIF($B$18:B240,B240)&amp;CHOOSE(MIN(4,COUNTIF($B$18:B240,B240)),"st","nd","rd","th"),"")</f>
        <v/>
      </c>
    </row>
    <row r="241" spans="9:9" x14ac:dyDescent="0.25">
      <c r="I241" s="164" t="str">
        <f>IFERROR(COUNTIF($B$18:B241,B241)&amp;CHOOSE(MIN(4,COUNTIF($B$18:B241,B241)),"st","nd","rd","th"),"")</f>
        <v/>
      </c>
    </row>
    <row r="242" spans="9:9" x14ac:dyDescent="0.25">
      <c r="I242" s="164" t="str">
        <f>IFERROR(COUNTIF($B$18:B242,B242)&amp;CHOOSE(MIN(4,COUNTIF($B$18:B242,B242)),"st","nd","rd","th"),"")</f>
        <v/>
      </c>
    </row>
    <row r="243" spans="9:9" x14ac:dyDescent="0.25">
      <c r="I243" s="164" t="str">
        <f>IFERROR(COUNTIF($B$18:B243,B243)&amp;CHOOSE(MIN(4,COUNTIF($B$18:B243,B243)),"st","nd","rd","th"),"")</f>
        <v/>
      </c>
    </row>
    <row r="244" spans="9:9" x14ac:dyDescent="0.25">
      <c r="I244" s="164" t="str">
        <f>IFERROR(COUNTIF($B$18:B244,B244)&amp;CHOOSE(MIN(4,COUNTIF($B$18:B244,B244)),"st","nd","rd","th"),"")</f>
        <v/>
      </c>
    </row>
    <row r="245" spans="9:9" x14ac:dyDescent="0.25">
      <c r="I245" s="164" t="str">
        <f>IFERROR(COUNTIF($B$18:B245,B245)&amp;CHOOSE(MIN(4,COUNTIF($B$18:B245,B245)),"st","nd","rd","th"),"")</f>
        <v/>
      </c>
    </row>
    <row r="246" spans="9:9" x14ac:dyDescent="0.25">
      <c r="I246" s="164" t="str">
        <f>IFERROR(COUNTIF($B$18:B246,B246)&amp;CHOOSE(MIN(4,COUNTIF($B$18:B246,B246)),"st","nd","rd","th"),"")</f>
        <v/>
      </c>
    </row>
    <row r="247" spans="9:9" x14ac:dyDescent="0.25">
      <c r="I247" s="164" t="str">
        <f>IFERROR(COUNTIF($B$18:B247,B247)&amp;CHOOSE(MIN(4,COUNTIF($B$18:B247,B247)),"st","nd","rd","th"),"")</f>
        <v/>
      </c>
    </row>
    <row r="248" spans="9:9" x14ac:dyDescent="0.25">
      <c r="I248" s="164" t="str">
        <f>IFERROR(COUNTIF($B$18:B248,B248)&amp;CHOOSE(MIN(4,COUNTIF($B$18:B248,B248)),"st","nd","rd","th"),"")</f>
        <v/>
      </c>
    </row>
    <row r="249" spans="9:9" x14ac:dyDescent="0.25">
      <c r="I249" s="164" t="str">
        <f>IFERROR(COUNTIF($B$18:B249,B249)&amp;CHOOSE(MIN(4,COUNTIF($B$18:B249,B249)),"st","nd","rd","th"),"")</f>
        <v/>
      </c>
    </row>
    <row r="250" spans="9:9" x14ac:dyDescent="0.25">
      <c r="I250" s="164" t="str">
        <f>IFERROR(COUNTIF($B$18:B250,B250)&amp;CHOOSE(MIN(4,COUNTIF($B$18:B250,B250)),"st","nd","rd","th"),"")</f>
        <v/>
      </c>
    </row>
    <row r="251" spans="9:9" x14ac:dyDescent="0.25">
      <c r="I251" s="164" t="str">
        <f>IFERROR(COUNTIF($B$18:B251,B251)&amp;CHOOSE(MIN(4,COUNTIF($B$18:B251,B251)),"st","nd","rd","th"),"")</f>
        <v/>
      </c>
    </row>
    <row r="252" spans="9:9" x14ac:dyDescent="0.25">
      <c r="I252" s="164" t="str">
        <f>IFERROR(COUNTIF($B$18:B252,B252)&amp;CHOOSE(MIN(4,COUNTIF($B$18:B252,B252)),"st","nd","rd","th"),"")</f>
        <v/>
      </c>
    </row>
    <row r="253" spans="9:9" x14ac:dyDescent="0.25">
      <c r="I253" s="164" t="str">
        <f>IFERROR(COUNTIF($B$18:B253,B253)&amp;CHOOSE(MIN(4,COUNTIF($B$18:B253,B253)),"st","nd","rd","th"),"")</f>
        <v/>
      </c>
    </row>
    <row r="254" spans="9:9" x14ac:dyDescent="0.25">
      <c r="I254" s="164" t="str">
        <f>IFERROR(COUNTIF($B$18:B254,B254)&amp;CHOOSE(MIN(4,COUNTIF($B$18:B254,B254)),"st","nd","rd","th"),"")</f>
        <v/>
      </c>
    </row>
    <row r="255" spans="9:9" x14ac:dyDescent="0.25">
      <c r="I255" s="164" t="str">
        <f>IFERROR(COUNTIF($B$18:B255,B255)&amp;CHOOSE(MIN(4,COUNTIF($B$18:B255,B255)),"st","nd","rd","th"),"")</f>
        <v/>
      </c>
    </row>
    <row r="256" spans="9:9" x14ac:dyDescent="0.25">
      <c r="I256" s="164" t="str">
        <f>IFERROR(COUNTIF($B$18:B256,B256)&amp;CHOOSE(MIN(4,COUNTIF($B$18:B256,B256)),"st","nd","rd","th"),"")</f>
        <v/>
      </c>
    </row>
    <row r="257" spans="9:9" x14ac:dyDescent="0.25">
      <c r="I257" s="164" t="str">
        <f>IFERROR(COUNTIF($B$18:B257,B257)&amp;CHOOSE(MIN(4,COUNTIF($B$18:B257,B257)),"st","nd","rd","th"),"")</f>
        <v/>
      </c>
    </row>
    <row r="258" spans="9:9" x14ac:dyDescent="0.25">
      <c r="I258" s="164" t="str">
        <f>IFERROR(COUNTIF($B$18:B258,B258)&amp;CHOOSE(MIN(4,COUNTIF($B$18:B258,B258)),"st","nd","rd","th"),"")</f>
        <v/>
      </c>
    </row>
    <row r="259" spans="9:9" x14ac:dyDescent="0.25">
      <c r="I259" s="164" t="str">
        <f>IFERROR(COUNTIF($B$18:B259,B259)&amp;CHOOSE(MIN(4,COUNTIF($B$18:B259,B259)),"st","nd","rd","th"),"")</f>
        <v/>
      </c>
    </row>
    <row r="260" spans="9:9" x14ac:dyDescent="0.25">
      <c r="I260" s="164" t="str">
        <f>IFERROR(COUNTIF($B$18:B260,B260)&amp;CHOOSE(MIN(4,COUNTIF($B$18:B260,B260)),"st","nd","rd","th"),"")</f>
        <v/>
      </c>
    </row>
    <row r="261" spans="9:9" x14ac:dyDescent="0.25">
      <c r="I261" s="164" t="str">
        <f>IFERROR(COUNTIF($B$18:B261,B261)&amp;CHOOSE(MIN(4,COUNTIF($B$18:B261,B261)),"st","nd","rd","th"),"")</f>
        <v/>
      </c>
    </row>
    <row r="262" spans="9:9" x14ac:dyDescent="0.25">
      <c r="I262" s="164" t="str">
        <f>IFERROR(COUNTIF($B$18:B262,B262)&amp;CHOOSE(MIN(4,COUNTIF($B$18:B262,B262)),"st","nd","rd","th"),"")</f>
        <v/>
      </c>
    </row>
    <row r="263" spans="9:9" x14ac:dyDescent="0.25">
      <c r="I263" s="164" t="str">
        <f>IFERROR(COUNTIF($B$18:B263,B263)&amp;CHOOSE(MIN(4,COUNTIF($B$18:B263,B263)),"st","nd","rd","th"),"")</f>
        <v/>
      </c>
    </row>
    <row r="264" spans="9:9" x14ac:dyDescent="0.25">
      <c r="I264" s="164" t="str">
        <f>IFERROR(COUNTIF($B$18:B264,B264)&amp;CHOOSE(MIN(4,COUNTIF($B$18:B264,B264)),"st","nd","rd","th"),"")</f>
        <v/>
      </c>
    </row>
    <row r="265" spans="9:9" x14ac:dyDescent="0.25">
      <c r="I265" s="164" t="str">
        <f>IFERROR(COUNTIF($B$18:B265,B265)&amp;CHOOSE(MIN(4,COUNTIF($B$18:B265,B265)),"st","nd","rd","th"),"")</f>
        <v/>
      </c>
    </row>
    <row r="266" spans="9:9" x14ac:dyDescent="0.25">
      <c r="I266" s="164" t="str">
        <f>IFERROR(COUNTIF($B$18:B266,B266)&amp;CHOOSE(MIN(4,COUNTIF($B$18:B266,B266)),"st","nd","rd","th"),"")</f>
        <v/>
      </c>
    </row>
    <row r="267" spans="9:9" x14ac:dyDescent="0.25">
      <c r="I267" s="164" t="str">
        <f>IFERROR(COUNTIF($B$18:B267,B267)&amp;CHOOSE(MIN(4,COUNTIF($B$18:B267,B267)),"st","nd","rd","th"),"")</f>
        <v/>
      </c>
    </row>
    <row r="268" spans="9:9" x14ac:dyDescent="0.25">
      <c r="I268" s="164" t="str">
        <f>IFERROR(COUNTIF($B$18:B268,B268)&amp;CHOOSE(MIN(4,COUNTIF($B$18:B268,B268)),"st","nd","rd","th"),"")</f>
        <v/>
      </c>
    </row>
    <row r="269" spans="9:9" x14ac:dyDescent="0.25">
      <c r="I269" s="164" t="str">
        <f>IFERROR(COUNTIF($B$18:B269,B269)&amp;CHOOSE(MIN(4,COUNTIF($B$18:B269,B269)),"st","nd","rd","th"),"")</f>
        <v/>
      </c>
    </row>
    <row r="270" spans="9:9" x14ac:dyDescent="0.25">
      <c r="I270" s="164" t="str">
        <f>IFERROR(COUNTIF($B$18:B270,B270)&amp;CHOOSE(MIN(4,COUNTIF($B$18:B270,B270)),"st","nd","rd","th"),"")</f>
        <v/>
      </c>
    </row>
    <row r="271" spans="9:9" x14ac:dyDescent="0.25">
      <c r="I271" s="164" t="str">
        <f>IFERROR(COUNTIF($B$18:B271,B271)&amp;CHOOSE(MIN(4,COUNTIF($B$18:B271,B271)),"st","nd","rd","th"),"")</f>
        <v/>
      </c>
    </row>
    <row r="272" spans="9:9" x14ac:dyDescent="0.25">
      <c r="I272" s="164" t="str">
        <f>IFERROR(COUNTIF($B$18:B272,B272)&amp;CHOOSE(MIN(4,COUNTIF($B$18:B272,B272)),"st","nd","rd","th"),"")</f>
        <v/>
      </c>
    </row>
    <row r="273" spans="9:9" x14ac:dyDescent="0.25">
      <c r="I273" s="164" t="str">
        <f>IFERROR(COUNTIF($B$18:B273,B273)&amp;CHOOSE(MIN(4,COUNTIF($B$18:B273,B273)),"st","nd","rd","th"),"")</f>
        <v/>
      </c>
    </row>
    <row r="274" spans="9:9" x14ac:dyDescent="0.25">
      <c r="I274" s="164" t="str">
        <f>IFERROR(COUNTIF($B$18:B274,B274)&amp;CHOOSE(MIN(4,COUNTIF($B$18:B274,B274)),"st","nd","rd","th"),"")</f>
        <v/>
      </c>
    </row>
    <row r="275" spans="9:9" x14ac:dyDescent="0.25">
      <c r="I275" s="164" t="str">
        <f>IFERROR(COUNTIF($B$18:B275,B275)&amp;CHOOSE(MIN(4,COUNTIF($B$18:B275,B275)),"st","nd","rd","th"),"")</f>
        <v/>
      </c>
    </row>
    <row r="276" spans="9:9" x14ac:dyDescent="0.25">
      <c r="I276" s="164" t="str">
        <f>IFERROR(COUNTIF($B$18:B276,B276)&amp;CHOOSE(MIN(4,COUNTIF($B$18:B276,B276)),"st","nd","rd","th"),"")</f>
        <v/>
      </c>
    </row>
    <row r="277" spans="9:9" x14ac:dyDescent="0.25">
      <c r="I277" s="164" t="str">
        <f>IFERROR(COUNTIF($B$18:B277,B277)&amp;CHOOSE(MIN(4,COUNTIF($B$18:B277,B277)),"st","nd","rd","th"),"")</f>
        <v/>
      </c>
    </row>
    <row r="278" spans="9:9" x14ac:dyDescent="0.25">
      <c r="I278" s="164" t="str">
        <f>IFERROR(COUNTIF($B$18:B278,B278)&amp;CHOOSE(MIN(4,COUNTIF($B$18:B278,B278)),"st","nd","rd","th"),"")</f>
        <v/>
      </c>
    </row>
    <row r="279" spans="9:9" x14ac:dyDescent="0.25">
      <c r="I279" s="164" t="str">
        <f>IFERROR(COUNTIF($B$18:B279,B279)&amp;CHOOSE(MIN(4,COUNTIF($B$18:B279,B279)),"st","nd","rd","th"),"")</f>
        <v/>
      </c>
    </row>
    <row r="280" spans="9:9" x14ac:dyDescent="0.25">
      <c r="I280" s="164" t="str">
        <f>IFERROR(COUNTIF($B$18:B280,B280)&amp;CHOOSE(MIN(4,COUNTIF($B$18:B280,B280)),"st","nd","rd","th"),"")</f>
        <v/>
      </c>
    </row>
    <row r="281" spans="9:9" x14ac:dyDescent="0.25">
      <c r="I281" s="164" t="str">
        <f>IFERROR(COUNTIF($B$18:B281,B281)&amp;CHOOSE(MIN(4,COUNTIF($B$18:B281,B281)),"st","nd","rd","th"),"")</f>
        <v/>
      </c>
    </row>
    <row r="282" spans="9:9" x14ac:dyDescent="0.25">
      <c r="I282" s="164" t="str">
        <f>IFERROR(COUNTIF($B$18:B282,B282)&amp;CHOOSE(MIN(4,COUNTIF($B$18:B282,B282)),"st","nd","rd","th"),"")</f>
        <v/>
      </c>
    </row>
    <row r="283" spans="9:9" x14ac:dyDescent="0.25">
      <c r="I283" s="164" t="str">
        <f>IFERROR(COUNTIF($B$18:B283,B283)&amp;CHOOSE(MIN(4,COUNTIF($B$18:B283,B283)),"st","nd","rd","th"),"")</f>
        <v/>
      </c>
    </row>
    <row r="284" spans="9:9" x14ac:dyDescent="0.25">
      <c r="I284" s="164" t="str">
        <f>IFERROR(COUNTIF($B$18:B284,B284)&amp;CHOOSE(MIN(4,COUNTIF($B$18:B284,B284)),"st","nd","rd","th"),"")</f>
        <v/>
      </c>
    </row>
    <row r="285" spans="9:9" x14ac:dyDescent="0.25">
      <c r="I285" s="164" t="str">
        <f>IFERROR(COUNTIF($B$18:B285,B285)&amp;CHOOSE(MIN(4,COUNTIF($B$18:B285,B285)),"st","nd","rd","th"),"")</f>
        <v/>
      </c>
    </row>
    <row r="286" spans="9:9" x14ac:dyDescent="0.25">
      <c r="I286" s="164" t="str">
        <f>IFERROR(COUNTIF($B$18:B286,B286)&amp;CHOOSE(MIN(4,COUNTIF($B$18:B286,B286)),"st","nd","rd","th"),"")</f>
        <v/>
      </c>
    </row>
    <row r="287" spans="9:9" x14ac:dyDescent="0.25">
      <c r="I287" s="164" t="str">
        <f>IFERROR(COUNTIF($B$18:B287,B287)&amp;CHOOSE(MIN(4,COUNTIF($B$18:B287,B287)),"st","nd","rd","th"),"")</f>
        <v/>
      </c>
    </row>
    <row r="288" spans="9:9" x14ac:dyDescent="0.25">
      <c r="I288" s="164" t="str">
        <f>IFERROR(COUNTIF($B$18:B288,B288)&amp;CHOOSE(MIN(4,COUNTIF($B$18:B288,B288)),"st","nd","rd","th"),"")</f>
        <v/>
      </c>
    </row>
    <row r="289" spans="9:9" x14ac:dyDescent="0.25">
      <c r="I289" s="164" t="str">
        <f>IFERROR(COUNTIF($B$18:B289,B289)&amp;CHOOSE(MIN(4,COUNTIF($B$18:B289,B289)),"st","nd","rd","th"),"")</f>
        <v/>
      </c>
    </row>
    <row r="290" spans="9:9" x14ac:dyDescent="0.25">
      <c r="I290" s="164" t="str">
        <f>IFERROR(COUNTIF($B$18:B290,B290)&amp;CHOOSE(MIN(4,COUNTIF($B$18:B290,B290)),"st","nd","rd","th"),"")</f>
        <v/>
      </c>
    </row>
    <row r="291" spans="9:9" x14ac:dyDescent="0.25">
      <c r="I291" s="164" t="str">
        <f>IFERROR(COUNTIF($B$18:B291,B291)&amp;CHOOSE(MIN(4,COUNTIF($B$18:B291,B291)),"st","nd","rd","th"),"")</f>
        <v/>
      </c>
    </row>
    <row r="292" spans="9:9" x14ac:dyDescent="0.25">
      <c r="I292" s="164" t="str">
        <f>IFERROR(COUNTIF($B$18:B292,B292)&amp;CHOOSE(MIN(4,COUNTIF($B$18:B292,B292)),"st","nd","rd","th"),"")</f>
        <v/>
      </c>
    </row>
    <row r="293" spans="9:9" x14ac:dyDescent="0.25">
      <c r="I293" s="164" t="str">
        <f>IFERROR(COUNTIF($B$18:B293,B293)&amp;CHOOSE(MIN(4,COUNTIF($B$18:B293,B293)),"st","nd","rd","th"),"")</f>
        <v/>
      </c>
    </row>
    <row r="294" spans="9:9" x14ac:dyDescent="0.25">
      <c r="I294" s="164" t="str">
        <f>IFERROR(COUNTIF($B$18:B294,B294)&amp;CHOOSE(MIN(4,COUNTIF($B$18:B294,B294)),"st","nd","rd","th"),"")</f>
        <v/>
      </c>
    </row>
    <row r="295" spans="9:9" x14ac:dyDescent="0.25">
      <c r="I295" s="164" t="str">
        <f>IFERROR(COUNTIF($B$18:B295,B295)&amp;CHOOSE(MIN(4,COUNTIF($B$18:B295,B295)),"st","nd","rd","th"),"")</f>
        <v/>
      </c>
    </row>
    <row r="296" spans="9:9" x14ac:dyDescent="0.25">
      <c r="I296" s="164" t="str">
        <f>IFERROR(COUNTIF($B$18:B296,B296)&amp;CHOOSE(MIN(4,COUNTIF($B$18:B296,B296)),"st","nd","rd","th"),"")</f>
        <v/>
      </c>
    </row>
    <row r="297" spans="9:9" x14ac:dyDescent="0.25">
      <c r="I297" s="164" t="str">
        <f>IFERROR(COUNTIF($B$18:B297,B297)&amp;CHOOSE(MIN(4,COUNTIF($B$18:B297,B297)),"st","nd","rd","th"),"")</f>
        <v/>
      </c>
    </row>
    <row r="298" spans="9:9" x14ac:dyDescent="0.25">
      <c r="I298" s="164" t="str">
        <f>IFERROR(COUNTIF($B$18:B298,B298)&amp;CHOOSE(MIN(4,COUNTIF($B$18:B298,B298)),"st","nd","rd","th"),"")</f>
        <v/>
      </c>
    </row>
    <row r="299" spans="9:9" x14ac:dyDescent="0.25">
      <c r="I299" s="164" t="str">
        <f>IFERROR(COUNTIF($B$18:B299,B299)&amp;CHOOSE(MIN(4,COUNTIF($B$18:B299,B299)),"st","nd","rd","th"),"")</f>
        <v/>
      </c>
    </row>
    <row r="300" spans="9:9" x14ac:dyDescent="0.25">
      <c r="I300" s="164" t="str">
        <f>IFERROR(COUNTIF($B$18:B300,B300)&amp;CHOOSE(MIN(4,COUNTIF($B$18:B300,B300)),"st","nd","rd","th"),"")</f>
        <v/>
      </c>
    </row>
    <row r="301" spans="9:9" x14ac:dyDescent="0.25">
      <c r="I301" s="164" t="str">
        <f>IFERROR(COUNTIF($B$18:B301,B301)&amp;CHOOSE(MIN(4,COUNTIF($B$18:B301,B301)),"st","nd","rd","th"),"")</f>
        <v/>
      </c>
    </row>
    <row r="302" spans="9:9" x14ac:dyDescent="0.25">
      <c r="I302" s="164" t="str">
        <f>IFERROR(COUNTIF($B$18:B302,B302)&amp;CHOOSE(MIN(4,COUNTIF($B$18:B302,B302)),"st","nd","rd","th"),"")</f>
        <v/>
      </c>
    </row>
    <row r="303" spans="9:9" x14ac:dyDescent="0.25">
      <c r="I303" s="164" t="str">
        <f>IFERROR(COUNTIF($B$18:B303,B303)&amp;CHOOSE(MIN(4,COUNTIF($B$18:B303,B303)),"st","nd","rd","th"),"")</f>
        <v/>
      </c>
    </row>
    <row r="304" spans="9:9" x14ac:dyDescent="0.25">
      <c r="I304" s="164" t="str">
        <f>IFERROR(COUNTIF($B$18:B304,B304)&amp;CHOOSE(MIN(4,COUNTIF($B$18:B304,B304)),"st","nd","rd","th"),"")</f>
        <v/>
      </c>
    </row>
    <row r="305" spans="9:9" x14ac:dyDescent="0.25">
      <c r="I305" s="164" t="str">
        <f>IFERROR(COUNTIF($B$18:B305,B305)&amp;CHOOSE(MIN(4,COUNTIF($B$18:B305,B305)),"st","nd","rd","th"),"")</f>
        <v/>
      </c>
    </row>
    <row r="306" spans="9:9" x14ac:dyDescent="0.25">
      <c r="I306" s="164" t="str">
        <f>IFERROR(COUNTIF($B$18:B306,B306)&amp;CHOOSE(MIN(4,COUNTIF($B$18:B306,B306)),"st","nd","rd","th"),"")</f>
        <v/>
      </c>
    </row>
    <row r="307" spans="9:9" x14ac:dyDescent="0.25">
      <c r="I307" s="164" t="str">
        <f>IFERROR(COUNTIF($B$18:B307,B307)&amp;CHOOSE(MIN(4,COUNTIF($B$18:B307,B307)),"st","nd","rd","th"),"")</f>
        <v/>
      </c>
    </row>
    <row r="308" spans="9:9" x14ac:dyDescent="0.25">
      <c r="I308" s="164" t="str">
        <f>IFERROR(COUNTIF($B$18:B308,B308)&amp;CHOOSE(MIN(4,COUNTIF($B$18:B308,B308)),"st","nd","rd","th"),"")</f>
        <v/>
      </c>
    </row>
    <row r="309" spans="9:9" x14ac:dyDescent="0.25">
      <c r="I309" s="164" t="str">
        <f>IFERROR(COUNTIF($B$18:B309,B309)&amp;CHOOSE(MIN(4,COUNTIF($B$18:B309,B309)),"st","nd","rd","th"),"")</f>
        <v/>
      </c>
    </row>
    <row r="310" spans="9:9" x14ac:dyDescent="0.25">
      <c r="I310" s="164" t="str">
        <f>IFERROR(COUNTIF($B$18:B310,B310)&amp;CHOOSE(MIN(4,COUNTIF($B$18:B310,B310)),"st","nd","rd","th"),"")</f>
        <v/>
      </c>
    </row>
    <row r="311" spans="9:9" x14ac:dyDescent="0.25">
      <c r="I311" s="164" t="str">
        <f>IFERROR(COUNTIF($B$18:B311,B311)&amp;CHOOSE(MIN(4,COUNTIF($B$18:B311,B311)),"st","nd","rd","th"),"")</f>
        <v/>
      </c>
    </row>
    <row r="312" spans="9:9" x14ac:dyDescent="0.25">
      <c r="I312" s="164" t="str">
        <f>IFERROR(COUNTIF($B$18:B312,B312)&amp;CHOOSE(MIN(4,COUNTIF($B$18:B312,B312)),"st","nd","rd","th"),"")</f>
        <v/>
      </c>
    </row>
    <row r="313" spans="9:9" x14ac:dyDescent="0.25">
      <c r="I313" s="164" t="str">
        <f>IFERROR(COUNTIF($B$18:B313,B313)&amp;CHOOSE(MIN(4,COUNTIF($B$18:B313,B313)),"st","nd","rd","th"),"")</f>
        <v/>
      </c>
    </row>
    <row r="314" spans="9:9" x14ac:dyDescent="0.25">
      <c r="I314" s="164" t="str">
        <f>IFERROR(COUNTIF($B$18:B314,B314)&amp;CHOOSE(MIN(4,COUNTIF($B$18:B314,B314)),"st","nd","rd","th"),"")</f>
        <v/>
      </c>
    </row>
    <row r="315" spans="9:9" x14ac:dyDescent="0.25">
      <c r="I315" s="164" t="str">
        <f>IFERROR(COUNTIF($B$18:B315,B315)&amp;CHOOSE(MIN(4,COUNTIF($B$18:B315,B315)),"st","nd","rd","th"),"")</f>
        <v/>
      </c>
    </row>
    <row r="316" spans="9:9" x14ac:dyDescent="0.25">
      <c r="I316" s="164" t="str">
        <f>IFERROR(COUNTIF($B$18:B316,B316)&amp;CHOOSE(MIN(4,COUNTIF($B$18:B316,B316)),"st","nd","rd","th"),"")</f>
        <v/>
      </c>
    </row>
    <row r="317" spans="9:9" x14ac:dyDescent="0.25">
      <c r="I317" s="164" t="str">
        <f>IFERROR(COUNTIF($B$18:B317,B317)&amp;CHOOSE(MIN(4,COUNTIF($B$18:B317,B317)),"st","nd","rd","th"),"")</f>
        <v/>
      </c>
    </row>
    <row r="318" spans="9:9" x14ac:dyDescent="0.25">
      <c r="I318" s="164" t="str">
        <f>IFERROR(COUNTIF($B$18:B318,B318)&amp;CHOOSE(MIN(4,COUNTIF($B$18:B318,B318)),"st","nd","rd","th"),"")</f>
        <v/>
      </c>
    </row>
    <row r="319" spans="9:9" x14ac:dyDescent="0.25">
      <c r="I319" s="164" t="str">
        <f>IFERROR(COUNTIF($B$18:B319,B319)&amp;CHOOSE(MIN(4,COUNTIF($B$18:B319,B319)),"st","nd","rd","th"),"")</f>
        <v/>
      </c>
    </row>
    <row r="320" spans="9:9" x14ac:dyDescent="0.25">
      <c r="I320" s="164" t="str">
        <f>IFERROR(COUNTIF($B$18:B320,B320)&amp;CHOOSE(MIN(4,COUNTIF($B$18:B320,B320)),"st","nd","rd","th"),"")</f>
        <v/>
      </c>
    </row>
    <row r="321" spans="9:9" x14ac:dyDescent="0.25">
      <c r="I321" s="164" t="str">
        <f>IFERROR(COUNTIF($B$18:B321,B321)&amp;CHOOSE(MIN(4,COUNTIF($B$18:B321,B321)),"st","nd","rd","th"),"")</f>
        <v/>
      </c>
    </row>
    <row r="322" spans="9:9" x14ac:dyDescent="0.25">
      <c r="I322" s="164" t="str">
        <f>IFERROR(COUNTIF($B$18:B322,B322)&amp;CHOOSE(MIN(4,COUNTIF($B$18:B322,B322)),"st","nd","rd","th"),"")</f>
        <v/>
      </c>
    </row>
    <row r="323" spans="9:9" x14ac:dyDescent="0.25">
      <c r="I323" s="164" t="str">
        <f>IFERROR(COUNTIF($B$18:B323,B323)&amp;CHOOSE(MIN(4,COUNTIF($B$18:B323,B323)),"st","nd","rd","th"),"")</f>
        <v/>
      </c>
    </row>
    <row r="324" spans="9:9" x14ac:dyDescent="0.25">
      <c r="I324" s="164" t="str">
        <f>IFERROR(COUNTIF($B$18:B324,B324)&amp;CHOOSE(MIN(4,COUNTIF($B$18:B324,B324)),"st","nd","rd","th"),"")</f>
        <v/>
      </c>
    </row>
    <row r="325" spans="9:9" x14ac:dyDescent="0.25">
      <c r="I325" s="164" t="str">
        <f>IFERROR(COUNTIF($B$18:B325,B325)&amp;CHOOSE(MIN(4,COUNTIF($B$18:B325,B325)),"st","nd","rd","th"),"")</f>
        <v/>
      </c>
    </row>
    <row r="326" spans="9:9" x14ac:dyDescent="0.25">
      <c r="I326" s="164" t="str">
        <f>IFERROR(COUNTIF($B$18:B326,B326)&amp;CHOOSE(MIN(4,COUNTIF($B$18:B326,B326)),"st","nd","rd","th"),"")</f>
        <v/>
      </c>
    </row>
    <row r="327" spans="9:9" x14ac:dyDescent="0.25">
      <c r="I327" s="164" t="str">
        <f>IFERROR(COUNTIF($B$18:B327,B327)&amp;CHOOSE(MIN(4,COUNTIF($B$18:B327,B327)),"st","nd","rd","th"),"")</f>
        <v/>
      </c>
    </row>
    <row r="328" spans="9:9" x14ac:dyDescent="0.25">
      <c r="I328" s="164" t="str">
        <f>IFERROR(COUNTIF($B$18:B328,B328)&amp;CHOOSE(MIN(4,COUNTIF($B$18:B328,B328)),"st","nd","rd","th"),"")</f>
        <v/>
      </c>
    </row>
    <row r="329" spans="9:9" x14ac:dyDescent="0.25">
      <c r="I329" s="164" t="str">
        <f>IFERROR(COUNTIF($B$18:B329,B329)&amp;CHOOSE(MIN(4,COUNTIF($B$18:B329,B329)),"st","nd","rd","th"),"")</f>
        <v/>
      </c>
    </row>
    <row r="330" spans="9:9" x14ac:dyDescent="0.25">
      <c r="I330" s="164" t="str">
        <f>IFERROR(COUNTIF($B$18:B330,B330)&amp;CHOOSE(MIN(4,COUNTIF($B$18:B330,B330)),"st","nd","rd","th"),"")</f>
        <v/>
      </c>
    </row>
    <row r="331" spans="9:9" x14ac:dyDescent="0.25">
      <c r="I331" s="164" t="str">
        <f>IFERROR(COUNTIF($B$18:B331,B331)&amp;CHOOSE(MIN(4,COUNTIF($B$18:B331,B331)),"st","nd","rd","th"),"")</f>
        <v/>
      </c>
    </row>
    <row r="332" spans="9:9" x14ac:dyDescent="0.25">
      <c r="I332" s="164" t="str">
        <f>IFERROR(COUNTIF($B$18:B332,B332)&amp;CHOOSE(MIN(4,COUNTIF($B$18:B332,B332)),"st","nd","rd","th"),"")</f>
        <v/>
      </c>
    </row>
    <row r="333" spans="9:9" x14ac:dyDescent="0.25">
      <c r="I333" s="164" t="str">
        <f>IFERROR(COUNTIF($B$18:B333,B333)&amp;CHOOSE(MIN(4,COUNTIF($B$18:B333,B333)),"st","nd","rd","th"),"")</f>
        <v/>
      </c>
    </row>
    <row r="334" spans="9:9" x14ac:dyDescent="0.25">
      <c r="I334" s="164" t="str">
        <f>IFERROR(COUNTIF($B$18:B334,B334)&amp;CHOOSE(MIN(4,COUNTIF($B$18:B334,B334)),"st","nd","rd","th"),"")</f>
        <v/>
      </c>
    </row>
    <row r="335" spans="9:9" x14ac:dyDescent="0.25">
      <c r="I335" s="164" t="str">
        <f>IFERROR(COUNTIF($B$18:B335,B335)&amp;CHOOSE(MIN(4,COUNTIF($B$18:B335,B335)),"st","nd","rd","th"),"")</f>
        <v/>
      </c>
    </row>
    <row r="336" spans="9:9" x14ac:dyDescent="0.25">
      <c r="I336" s="164" t="str">
        <f>IFERROR(COUNTIF($B$18:B336,B336)&amp;CHOOSE(MIN(4,COUNTIF($B$18:B336,B336)),"st","nd","rd","th"),"")</f>
        <v/>
      </c>
    </row>
    <row r="337" spans="9:9" x14ac:dyDescent="0.25">
      <c r="I337" s="164" t="str">
        <f>IFERROR(COUNTIF($B$18:B337,B337)&amp;CHOOSE(MIN(4,COUNTIF($B$18:B337,B337)),"st","nd","rd","th"),"")</f>
        <v/>
      </c>
    </row>
    <row r="338" spans="9:9" x14ac:dyDescent="0.25">
      <c r="I338" s="164" t="str">
        <f>IFERROR(COUNTIF($B$18:B338,B338)&amp;CHOOSE(MIN(4,COUNTIF($B$18:B338,B338)),"st","nd","rd","th"),"")</f>
        <v/>
      </c>
    </row>
    <row r="339" spans="9:9" x14ac:dyDescent="0.25">
      <c r="I339" s="164" t="str">
        <f>IFERROR(COUNTIF($B$18:B339,B339)&amp;CHOOSE(MIN(4,COUNTIF($B$18:B339,B339)),"st","nd","rd","th"),"")</f>
        <v/>
      </c>
    </row>
    <row r="340" spans="9:9" x14ac:dyDescent="0.25">
      <c r="I340" s="164" t="str">
        <f>IFERROR(COUNTIF($B$18:B340,B340)&amp;CHOOSE(MIN(4,COUNTIF($B$18:B340,B340)),"st","nd","rd","th"),"")</f>
        <v/>
      </c>
    </row>
    <row r="341" spans="9:9" x14ac:dyDescent="0.25">
      <c r="I341" s="164" t="str">
        <f>IFERROR(COUNTIF($B$18:B341,B341)&amp;CHOOSE(MIN(4,COUNTIF($B$18:B341,B341)),"st","nd","rd","th"),"")</f>
        <v/>
      </c>
    </row>
    <row r="342" spans="9:9" x14ac:dyDescent="0.25">
      <c r="I342" s="164" t="str">
        <f>IFERROR(COUNTIF($B$18:B342,B342)&amp;CHOOSE(MIN(4,COUNTIF($B$18:B342,B342)),"st","nd","rd","th"),"")</f>
        <v/>
      </c>
    </row>
    <row r="343" spans="9:9" x14ac:dyDescent="0.25">
      <c r="I343" s="164" t="str">
        <f>IFERROR(COUNTIF($B$18:B343,B343)&amp;CHOOSE(MIN(4,COUNTIF($B$18:B343,B343)),"st","nd","rd","th"),"")</f>
        <v/>
      </c>
    </row>
    <row r="344" spans="9:9" x14ac:dyDescent="0.25">
      <c r="I344" s="164" t="str">
        <f>IFERROR(COUNTIF($B$18:B344,B344)&amp;CHOOSE(MIN(4,COUNTIF($B$18:B344,B344)),"st","nd","rd","th"),"")</f>
        <v/>
      </c>
    </row>
    <row r="345" spans="9:9" x14ac:dyDescent="0.25">
      <c r="I345" s="164" t="str">
        <f>IFERROR(COUNTIF($B$18:B345,B345)&amp;CHOOSE(MIN(4,COUNTIF($B$18:B345,B345)),"st","nd","rd","th"),"")</f>
        <v/>
      </c>
    </row>
    <row r="346" spans="9:9" x14ac:dyDescent="0.25">
      <c r="I346" s="164" t="str">
        <f>IFERROR(COUNTIF($B$18:B346,B346)&amp;CHOOSE(MIN(4,COUNTIF($B$18:B346,B346)),"st","nd","rd","th"),"")</f>
        <v/>
      </c>
    </row>
    <row r="347" spans="9:9" x14ac:dyDescent="0.25">
      <c r="I347" s="164" t="str">
        <f>IFERROR(COUNTIF($B$18:B347,B347)&amp;CHOOSE(MIN(4,COUNTIF($B$18:B347,B347)),"st","nd","rd","th"),"")</f>
        <v/>
      </c>
    </row>
    <row r="348" spans="9:9" x14ac:dyDescent="0.25">
      <c r="I348" s="164" t="str">
        <f>IFERROR(COUNTIF($B$18:B348,B348)&amp;CHOOSE(MIN(4,COUNTIF($B$18:B348,B348)),"st","nd","rd","th"),"")</f>
        <v/>
      </c>
    </row>
    <row r="349" spans="9:9" x14ac:dyDescent="0.25">
      <c r="I349" s="164" t="str">
        <f>IFERROR(COUNTIF($B$18:B349,B349)&amp;CHOOSE(MIN(4,COUNTIF($B$18:B349,B349)),"st","nd","rd","th"),"")</f>
        <v/>
      </c>
    </row>
    <row r="350" spans="9:9" x14ac:dyDescent="0.25">
      <c r="I350" s="164" t="str">
        <f>IFERROR(COUNTIF($B$18:B350,B350)&amp;CHOOSE(MIN(4,COUNTIF($B$18:B350,B350)),"st","nd","rd","th"),"")</f>
        <v/>
      </c>
    </row>
    <row r="351" spans="9:9" x14ac:dyDescent="0.25">
      <c r="I351" s="164" t="str">
        <f>IFERROR(COUNTIF($B$18:B351,B351)&amp;CHOOSE(MIN(4,COUNTIF($B$18:B351,B351)),"st","nd","rd","th"),"")</f>
        <v/>
      </c>
    </row>
    <row r="352" spans="9:9" x14ac:dyDescent="0.25">
      <c r="I352" s="164" t="str">
        <f>IFERROR(COUNTIF($B$18:B352,B352)&amp;CHOOSE(MIN(4,COUNTIF($B$18:B352,B352)),"st","nd","rd","th"),"")</f>
        <v/>
      </c>
    </row>
    <row r="353" spans="9:9" x14ac:dyDescent="0.25">
      <c r="I353" s="164" t="str">
        <f>IFERROR(COUNTIF($B$18:B353,B353)&amp;CHOOSE(MIN(4,COUNTIF($B$18:B353,B353)),"st","nd","rd","th"),"")</f>
        <v/>
      </c>
    </row>
    <row r="354" spans="9:9" x14ac:dyDescent="0.25">
      <c r="I354" s="164" t="str">
        <f>IFERROR(COUNTIF($B$18:B354,B354)&amp;CHOOSE(MIN(4,COUNTIF($B$18:B354,B354)),"st","nd","rd","th"),"")</f>
        <v/>
      </c>
    </row>
    <row r="355" spans="9:9" x14ac:dyDescent="0.25">
      <c r="I355" s="164" t="str">
        <f>IFERROR(COUNTIF($B$18:B355,B355)&amp;CHOOSE(MIN(4,COUNTIF($B$18:B355,B355)),"st","nd","rd","th"),"")</f>
        <v/>
      </c>
    </row>
    <row r="356" spans="9:9" x14ac:dyDescent="0.25">
      <c r="I356" s="164" t="str">
        <f>IFERROR(COUNTIF($B$18:B356,B356)&amp;CHOOSE(MIN(4,COUNTIF($B$18:B356,B356)),"st","nd","rd","th"),"")</f>
        <v/>
      </c>
    </row>
    <row r="357" spans="9:9" x14ac:dyDescent="0.25">
      <c r="I357" s="164" t="str">
        <f>IFERROR(COUNTIF($B$18:B357,B357)&amp;CHOOSE(MIN(4,COUNTIF($B$18:B357,B357)),"st","nd","rd","th"),"")</f>
        <v/>
      </c>
    </row>
    <row r="358" spans="9:9" x14ac:dyDescent="0.25">
      <c r="I358" s="164" t="str">
        <f>IFERROR(COUNTIF($B$18:B358,B358)&amp;CHOOSE(MIN(4,COUNTIF($B$18:B358,B358)),"st","nd","rd","th"),"")</f>
        <v/>
      </c>
    </row>
    <row r="359" spans="9:9" x14ac:dyDescent="0.25">
      <c r="I359" s="164" t="str">
        <f>IFERROR(COUNTIF($B$18:B359,B359)&amp;CHOOSE(MIN(4,COUNTIF($B$18:B359,B359)),"st","nd","rd","th"),"")</f>
        <v/>
      </c>
    </row>
    <row r="360" spans="9:9" x14ac:dyDescent="0.25">
      <c r="I360" s="164" t="str">
        <f>IFERROR(COUNTIF($B$18:B360,B360)&amp;CHOOSE(MIN(4,COUNTIF($B$18:B360,B360)),"st","nd","rd","th"),"")</f>
        <v/>
      </c>
    </row>
    <row r="361" spans="9:9" x14ac:dyDescent="0.25">
      <c r="I361" s="164" t="str">
        <f>IFERROR(COUNTIF($B$18:B361,B361)&amp;CHOOSE(MIN(4,COUNTIF($B$18:B361,B361)),"st","nd","rd","th"),"")</f>
        <v/>
      </c>
    </row>
    <row r="362" spans="9:9" x14ac:dyDescent="0.25">
      <c r="I362" s="164" t="str">
        <f>IFERROR(COUNTIF($B$18:B362,B362)&amp;CHOOSE(MIN(4,COUNTIF($B$18:B362,B362)),"st","nd","rd","th"),"")</f>
        <v/>
      </c>
    </row>
    <row r="363" spans="9:9" x14ac:dyDescent="0.25">
      <c r="I363" s="164" t="str">
        <f>IFERROR(COUNTIF($B$18:B363,B363)&amp;CHOOSE(MIN(4,COUNTIF($B$18:B363,B363)),"st","nd","rd","th"),"")</f>
        <v/>
      </c>
    </row>
    <row r="364" spans="9:9" x14ac:dyDescent="0.25">
      <c r="I364" s="164" t="str">
        <f>IFERROR(COUNTIF($B$18:B364,B364)&amp;CHOOSE(MIN(4,COUNTIF($B$18:B364,B364)),"st","nd","rd","th"),"")</f>
        <v/>
      </c>
    </row>
    <row r="365" spans="9:9" x14ac:dyDescent="0.25">
      <c r="I365" s="164" t="str">
        <f>IFERROR(COUNTIF($B$18:B365,B365)&amp;CHOOSE(MIN(4,COUNTIF($B$18:B365,B365)),"st","nd","rd","th"),"")</f>
        <v/>
      </c>
    </row>
    <row r="366" spans="9:9" x14ac:dyDescent="0.25">
      <c r="I366" s="164" t="str">
        <f>IFERROR(COUNTIF($B$18:B366,B366)&amp;CHOOSE(MIN(4,COUNTIF($B$18:B366,B366)),"st","nd","rd","th"),"")</f>
        <v/>
      </c>
    </row>
    <row r="367" spans="9:9" x14ac:dyDescent="0.25">
      <c r="I367" s="164" t="str">
        <f>IFERROR(COUNTIF($B$18:B367,B367)&amp;CHOOSE(MIN(4,COUNTIF($B$18:B367,B367)),"st","nd","rd","th"),"")</f>
        <v/>
      </c>
    </row>
    <row r="368" spans="9:9" x14ac:dyDescent="0.25">
      <c r="I368" s="164" t="str">
        <f>IFERROR(COUNTIF($B$18:B368,B368)&amp;CHOOSE(MIN(4,COUNTIF($B$18:B368,B368)),"st","nd","rd","th"),"")</f>
        <v/>
      </c>
    </row>
    <row r="369" spans="9:9" x14ac:dyDescent="0.25">
      <c r="I369" s="164" t="str">
        <f>IFERROR(COUNTIF($B$18:B369,B369)&amp;CHOOSE(MIN(4,COUNTIF($B$18:B369,B369)),"st","nd","rd","th"),"")</f>
        <v/>
      </c>
    </row>
    <row r="370" spans="9:9" x14ac:dyDescent="0.25">
      <c r="I370" s="164" t="str">
        <f>IFERROR(COUNTIF($B$18:B370,B370)&amp;CHOOSE(MIN(4,COUNTIF($B$18:B370,B370)),"st","nd","rd","th"),"")</f>
        <v/>
      </c>
    </row>
    <row r="371" spans="9:9" x14ac:dyDescent="0.25">
      <c r="I371" s="164" t="str">
        <f>IFERROR(COUNTIF($B$18:B371,B371)&amp;CHOOSE(MIN(4,COUNTIF($B$18:B371,B371)),"st","nd","rd","th"),"")</f>
        <v/>
      </c>
    </row>
    <row r="372" spans="9:9" x14ac:dyDescent="0.25">
      <c r="I372" s="164" t="str">
        <f>IFERROR(COUNTIF($B$18:B372,B372)&amp;CHOOSE(MIN(4,COUNTIF($B$18:B372,B372)),"st","nd","rd","th"),"")</f>
        <v/>
      </c>
    </row>
    <row r="373" spans="9:9" x14ac:dyDescent="0.25">
      <c r="I373" s="164" t="str">
        <f>IFERROR(COUNTIF($B$18:B373,B373)&amp;CHOOSE(MIN(4,COUNTIF($B$18:B373,B373)),"st","nd","rd","th"),"")</f>
        <v/>
      </c>
    </row>
    <row r="374" spans="9:9" x14ac:dyDescent="0.25">
      <c r="I374" s="164" t="str">
        <f>IFERROR(COUNTIF($B$18:B374,B374)&amp;CHOOSE(MIN(4,COUNTIF($B$18:B374,B374)),"st","nd","rd","th"),"")</f>
        <v/>
      </c>
    </row>
    <row r="375" spans="9:9" x14ac:dyDescent="0.25">
      <c r="I375" s="164" t="str">
        <f>IFERROR(COUNTIF($B$18:B375,B375)&amp;CHOOSE(MIN(4,COUNTIF($B$18:B375,B375)),"st","nd","rd","th"),"")</f>
        <v/>
      </c>
    </row>
    <row r="376" spans="9:9" x14ac:dyDescent="0.25">
      <c r="I376" s="164" t="str">
        <f>IFERROR(COUNTIF($B$18:B376,B376)&amp;CHOOSE(MIN(4,COUNTIF($B$18:B376,B376)),"st","nd","rd","th"),"")</f>
        <v/>
      </c>
    </row>
    <row r="377" spans="9:9" x14ac:dyDescent="0.25">
      <c r="I377" s="164" t="str">
        <f>IFERROR(COUNTIF($B$18:B377,B377)&amp;CHOOSE(MIN(4,COUNTIF($B$18:B377,B377)),"st","nd","rd","th"),"")</f>
        <v/>
      </c>
    </row>
    <row r="378" spans="9:9" x14ac:dyDescent="0.25">
      <c r="I378" s="164" t="str">
        <f>IFERROR(COUNTIF($B$18:B378,B378)&amp;CHOOSE(MIN(4,COUNTIF($B$18:B378,B378)),"st","nd","rd","th"),"")</f>
        <v/>
      </c>
    </row>
    <row r="379" spans="9:9" x14ac:dyDescent="0.25">
      <c r="I379" s="164" t="str">
        <f>IFERROR(COUNTIF($B$18:B379,B379)&amp;CHOOSE(MIN(4,COUNTIF($B$18:B379,B379)),"st","nd","rd","th"),"")</f>
        <v/>
      </c>
    </row>
    <row r="380" spans="9:9" x14ac:dyDescent="0.25">
      <c r="I380" s="164" t="str">
        <f>IFERROR(COUNTIF($B$18:B380,B380)&amp;CHOOSE(MIN(4,COUNTIF($B$18:B380,B380)),"st","nd","rd","th"),"")</f>
        <v/>
      </c>
    </row>
    <row r="381" spans="9:9" x14ac:dyDescent="0.25">
      <c r="I381" s="164" t="str">
        <f>IFERROR(COUNTIF($B$18:B381,B381)&amp;CHOOSE(MIN(4,COUNTIF($B$18:B381,B381)),"st","nd","rd","th"),"")</f>
        <v/>
      </c>
    </row>
    <row r="382" spans="9:9" x14ac:dyDescent="0.25">
      <c r="I382" s="164" t="str">
        <f>IFERROR(COUNTIF($B$18:B382,B382)&amp;CHOOSE(MIN(4,COUNTIF($B$18:B382,B382)),"st","nd","rd","th"),"")</f>
        <v/>
      </c>
    </row>
    <row r="383" spans="9:9" x14ac:dyDescent="0.25">
      <c r="I383" s="164" t="str">
        <f>IFERROR(COUNTIF($B$18:B383,B383)&amp;CHOOSE(MIN(4,COUNTIF($B$18:B383,B383)),"st","nd","rd","th"),"")</f>
        <v/>
      </c>
    </row>
    <row r="384" spans="9:9" x14ac:dyDescent="0.25">
      <c r="I384" s="164" t="str">
        <f>IFERROR(COUNTIF($B$18:B384,B384)&amp;CHOOSE(MIN(4,COUNTIF($B$18:B384,B384)),"st","nd","rd","th"),"")</f>
        <v/>
      </c>
    </row>
    <row r="385" spans="9:9" x14ac:dyDescent="0.25">
      <c r="I385" s="164" t="str">
        <f>IFERROR(COUNTIF($B$18:B385,B385)&amp;CHOOSE(MIN(4,COUNTIF($B$18:B385,B385)),"st","nd","rd","th"),"")</f>
        <v/>
      </c>
    </row>
    <row r="386" spans="9:9" x14ac:dyDescent="0.25">
      <c r="I386" s="164" t="str">
        <f>IFERROR(COUNTIF($B$18:B386,B386)&amp;CHOOSE(MIN(4,COUNTIF($B$18:B386,B386)),"st","nd","rd","th"),"")</f>
        <v/>
      </c>
    </row>
    <row r="387" spans="9:9" x14ac:dyDescent="0.25">
      <c r="I387" s="164" t="str">
        <f>IFERROR(COUNTIF($B$18:B387,B387)&amp;CHOOSE(MIN(4,COUNTIF($B$18:B387,B387)),"st","nd","rd","th"),"")</f>
        <v/>
      </c>
    </row>
    <row r="388" spans="9:9" x14ac:dyDescent="0.25">
      <c r="I388" s="164" t="str">
        <f>IFERROR(COUNTIF($B$18:B388,B388)&amp;CHOOSE(MIN(4,COUNTIF($B$18:B388,B388)),"st","nd","rd","th"),"")</f>
        <v/>
      </c>
    </row>
    <row r="389" spans="9:9" x14ac:dyDescent="0.25">
      <c r="I389" s="164" t="str">
        <f>IFERROR(COUNTIF($B$18:B389,B389)&amp;CHOOSE(MIN(4,COUNTIF($B$18:B389,B389)),"st","nd","rd","th"),"")</f>
        <v/>
      </c>
    </row>
    <row r="390" spans="9:9" x14ac:dyDescent="0.25">
      <c r="I390" s="164" t="str">
        <f>IFERROR(COUNTIF($B$18:B390,B390)&amp;CHOOSE(MIN(4,COUNTIF($B$18:B390,B390)),"st","nd","rd","th"),"")</f>
        <v/>
      </c>
    </row>
    <row r="391" spans="9:9" x14ac:dyDescent="0.25">
      <c r="I391" s="164" t="str">
        <f>IFERROR(COUNTIF($B$18:B391,B391)&amp;CHOOSE(MIN(4,COUNTIF($B$18:B391,B391)),"st","nd","rd","th"),"")</f>
        <v/>
      </c>
    </row>
    <row r="392" spans="9:9" x14ac:dyDescent="0.25">
      <c r="I392" s="164" t="str">
        <f>IFERROR(COUNTIF($B$18:B392,B392)&amp;CHOOSE(MIN(4,COUNTIF($B$18:B392,B392)),"st","nd","rd","th"),"")</f>
        <v/>
      </c>
    </row>
    <row r="393" spans="9:9" x14ac:dyDescent="0.25">
      <c r="I393" s="164" t="str">
        <f>IFERROR(COUNTIF($B$18:B393,B393)&amp;CHOOSE(MIN(4,COUNTIF($B$18:B393,B393)),"st","nd","rd","th"),"")</f>
        <v/>
      </c>
    </row>
    <row r="394" spans="9:9" x14ac:dyDescent="0.25">
      <c r="I394" s="164" t="str">
        <f>IFERROR(COUNTIF($B$18:B394,B394)&amp;CHOOSE(MIN(4,COUNTIF($B$18:B394,B394)),"st","nd","rd","th"),"")</f>
        <v/>
      </c>
    </row>
    <row r="395" spans="9:9" x14ac:dyDescent="0.25">
      <c r="I395" s="164" t="str">
        <f>IFERROR(COUNTIF($B$18:B395,B395)&amp;CHOOSE(MIN(4,COUNTIF($B$18:B395,B395)),"st","nd","rd","th"),"")</f>
        <v/>
      </c>
    </row>
    <row r="396" spans="9:9" x14ac:dyDescent="0.25">
      <c r="I396" s="164" t="str">
        <f>IFERROR(COUNTIF($B$18:B396,B396)&amp;CHOOSE(MIN(4,COUNTIF($B$18:B396,B396)),"st","nd","rd","th"),"")</f>
        <v/>
      </c>
    </row>
    <row r="397" spans="9:9" x14ac:dyDescent="0.25">
      <c r="I397" s="164" t="str">
        <f>IFERROR(COUNTIF($B$18:B397,B397)&amp;CHOOSE(MIN(4,COUNTIF($B$18:B397,B397)),"st","nd","rd","th"),"")</f>
        <v/>
      </c>
    </row>
    <row r="398" spans="9:9" x14ac:dyDescent="0.25">
      <c r="I398" s="164" t="str">
        <f>IFERROR(COUNTIF($B$18:B398,B398)&amp;CHOOSE(MIN(4,COUNTIF($B$18:B398,B398)),"st","nd","rd","th"),"")</f>
        <v/>
      </c>
    </row>
    <row r="399" spans="9:9" x14ac:dyDescent="0.25">
      <c r="I399" s="164" t="str">
        <f>IFERROR(COUNTIF($B$18:B399,B399)&amp;CHOOSE(MIN(4,COUNTIF($B$18:B399,B399)),"st","nd","rd","th"),"")</f>
        <v/>
      </c>
    </row>
    <row r="400" spans="9:9" x14ac:dyDescent="0.25">
      <c r="I400" s="164" t="str">
        <f>IFERROR(COUNTIF($B$18:B400,B400)&amp;CHOOSE(MIN(4,COUNTIF($B$18:B400,B400)),"st","nd","rd","th"),"")</f>
        <v/>
      </c>
    </row>
    <row r="401" spans="9:9" x14ac:dyDescent="0.25">
      <c r="I401" s="164" t="str">
        <f>IFERROR(COUNTIF($B$18:B401,B401)&amp;CHOOSE(MIN(4,COUNTIF($B$18:B401,B401)),"st","nd","rd","th"),"")</f>
        <v/>
      </c>
    </row>
    <row r="402" spans="9:9" x14ac:dyDescent="0.25">
      <c r="I402" s="164" t="str">
        <f>IFERROR(COUNTIF($B$18:B402,B402)&amp;CHOOSE(MIN(4,COUNTIF($B$18:B402,B402)),"st","nd","rd","th"),"")</f>
        <v/>
      </c>
    </row>
    <row r="403" spans="9:9" x14ac:dyDescent="0.25">
      <c r="I403" s="164" t="str">
        <f>IFERROR(COUNTIF($B$18:B403,B403)&amp;CHOOSE(MIN(4,COUNTIF($B$18:B403,B403)),"st","nd","rd","th"),"")</f>
        <v/>
      </c>
    </row>
    <row r="404" spans="9:9" x14ac:dyDescent="0.25">
      <c r="I404" s="164" t="str">
        <f>IFERROR(COUNTIF($B$18:B404,B404)&amp;CHOOSE(MIN(4,COUNTIF($B$18:B404,B404)),"st","nd","rd","th"),"")</f>
        <v/>
      </c>
    </row>
    <row r="405" spans="9:9" x14ac:dyDescent="0.25">
      <c r="I405" s="164" t="str">
        <f>IFERROR(COUNTIF($B$18:B405,B405)&amp;CHOOSE(MIN(4,COUNTIF($B$18:B405,B405)),"st","nd","rd","th"),"")</f>
        <v/>
      </c>
    </row>
    <row r="406" spans="9:9" x14ac:dyDescent="0.25">
      <c r="I406" s="164" t="str">
        <f>IFERROR(COUNTIF($B$18:B406,B406)&amp;CHOOSE(MIN(4,COUNTIF($B$18:B406,B406)),"st","nd","rd","th"),"")</f>
        <v/>
      </c>
    </row>
    <row r="407" spans="9:9" x14ac:dyDescent="0.25">
      <c r="I407" s="164" t="str">
        <f>IFERROR(COUNTIF($B$18:B407,B407)&amp;CHOOSE(MIN(4,COUNTIF($B$18:B407,B407)),"st","nd","rd","th"),"")</f>
        <v/>
      </c>
    </row>
    <row r="408" spans="9:9" x14ac:dyDescent="0.25">
      <c r="I408" s="164" t="str">
        <f>IFERROR(COUNTIF($B$18:B408,B408)&amp;CHOOSE(MIN(4,COUNTIF($B$18:B408,B408)),"st","nd","rd","th"),"")</f>
        <v/>
      </c>
    </row>
    <row r="409" spans="9:9" x14ac:dyDescent="0.25">
      <c r="I409" s="164" t="str">
        <f>IFERROR(COUNTIF($B$18:B409,B409)&amp;CHOOSE(MIN(4,COUNTIF($B$18:B409,B409)),"st","nd","rd","th"),"")</f>
        <v/>
      </c>
    </row>
    <row r="410" spans="9:9" x14ac:dyDescent="0.25">
      <c r="I410" s="164" t="str">
        <f>IFERROR(COUNTIF($B$18:B410,B410)&amp;CHOOSE(MIN(4,COUNTIF($B$18:B410,B410)),"st","nd","rd","th"),"")</f>
        <v/>
      </c>
    </row>
    <row r="411" spans="9:9" x14ac:dyDescent="0.25">
      <c r="I411" s="164" t="str">
        <f>IFERROR(COUNTIF($B$18:B411,B411)&amp;CHOOSE(MIN(4,COUNTIF($B$18:B411,B411)),"st","nd","rd","th"),"")</f>
        <v/>
      </c>
    </row>
    <row r="412" spans="9:9" x14ac:dyDescent="0.25">
      <c r="I412" s="164" t="str">
        <f>IFERROR(COUNTIF($B$18:B412,B412)&amp;CHOOSE(MIN(4,COUNTIF($B$18:B412,B412)),"st","nd","rd","th"),"")</f>
        <v/>
      </c>
    </row>
    <row r="413" spans="9:9" x14ac:dyDescent="0.25">
      <c r="I413" s="164" t="str">
        <f>IFERROR(COUNTIF($B$18:B413,B413)&amp;CHOOSE(MIN(4,COUNTIF($B$18:B413,B413)),"st","nd","rd","th"),"")</f>
        <v/>
      </c>
    </row>
    <row r="414" spans="9:9" x14ac:dyDescent="0.25">
      <c r="I414" s="164" t="str">
        <f>IFERROR(COUNTIF($B$18:B414,B414)&amp;CHOOSE(MIN(4,COUNTIF($B$18:B414,B414)),"st","nd","rd","th"),"")</f>
        <v/>
      </c>
    </row>
    <row r="415" spans="9:9" x14ac:dyDescent="0.25">
      <c r="I415" s="164" t="str">
        <f>IFERROR(COUNTIF($B$18:B415,B415)&amp;CHOOSE(MIN(4,COUNTIF($B$18:B415,B415)),"st","nd","rd","th"),"")</f>
        <v/>
      </c>
    </row>
    <row r="416" spans="9:9" x14ac:dyDescent="0.25">
      <c r="I416" s="164" t="str">
        <f>IFERROR(COUNTIF($B$18:B416,B416)&amp;CHOOSE(MIN(4,COUNTIF($B$18:B416,B416)),"st","nd","rd","th"),"")</f>
        <v/>
      </c>
    </row>
    <row r="417" spans="9:9" x14ac:dyDescent="0.25">
      <c r="I417" s="164" t="str">
        <f>IFERROR(COUNTIF($B$18:B417,B417)&amp;CHOOSE(MIN(4,COUNTIF($B$18:B417,B417)),"st","nd","rd","th"),"")</f>
        <v/>
      </c>
    </row>
    <row r="418" spans="9:9" x14ac:dyDescent="0.25">
      <c r="I418" s="164" t="str">
        <f>IFERROR(COUNTIF($B$18:B418,B418)&amp;CHOOSE(MIN(4,COUNTIF($B$18:B418,B418)),"st","nd","rd","th"),"")</f>
        <v/>
      </c>
    </row>
    <row r="419" spans="9:9" x14ac:dyDescent="0.25">
      <c r="I419" s="164" t="str">
        <f>IFERROR(COUNTIF($B$18:B419,B419)&amp;CHOOSE(MIN(4,COUNTIF($B$18:B419,B419)),"st","nd","rd","th"),"")</f>
        <v/>
      </c>
    </row>
    <row r="420" spans="9:9" x14ac:dyDescent="0.25">
      <c r="I420" s="164" t="str">
        <f>IFERROR(COUNTIF($B$18:B420,B420)&amp;CHOOSE(MIN(4,COUNTIF($B$18:B420,B420)),"st","nd","rd","th"),"")</f>
        <v/>
      </c>
    </row>
    <row r="421" spans="9:9" x14ac:dyDescent="0.25">
      <c r="I421" s="164" t="str">
        <f>IFERROR(COUNTIF($B$18:B421,B421)&amp;CHOOSE(MIN(4,COUNTIF($B$18:B421,B421)),"st","nd","rd","th"),"")</f>
        <v/>
      </c>
    </row>
    <row r="422" spans="9:9" x14ac:dyDescent="0.25">
      <c r="I422" s="164" t="str">
        <f>IFERROR(COUNTIF($B$18:B422,B422)&amp;CHOOSE(MIN(4,COUNTIF($B$18:B422,B422)),"st","nd","rd","th"),"")</f>
        <v/>
      </c>
    </row>
    <row r="423" spans="9:9" x14ac:dyDescent="0.25">
      <c r="I423" s="164" t="str">
        <f>IFERROR(COUNTIF($B$18:B423,B423)&amp;CHOOSE(MIN(4,COUNTIF($B$18:B423,B423)),"st","nd","rd","th"),"")</f>
        <v/>
      </c>
    </row>
    <row r="424" spans="9:9" x14ac:dyDescent="0.25">
      <c r="I424" s="164" t="str">
        <f>IFERROR(COUNTIF($B$18:B424,B424)&amp;CHOOSE(MIN(4,COUNTIF($B$18:B424,B424)),"st","nd","rd","th"),"")</f>
        <v/>
      </c>
    </row>
    <row r="425" spans="9:9" x14ac:dyDescent="0.25">
      <c r="I425" s="164" t="str">
        <f>IFERROR(COUNTIF($B$18:B425,B425)&amp;CHOOSE(MIN(4,COUNTIF($B$18:B425,B425)),"st","nd","rd","th"),"")</f>
        <v/>
      </c>
    </row>
    <row r="426" spans="9:9" x14ac:dyDescent="0.25">
      <c r="I426" s="164" t="str">
        <f>IFERROR(COUNTIF($B$18:B426,B426)&amp;CHOOSE(MIN(4,COUNTIF($B$18:B426,B426)),"st","nd","rd","th"),"")</f>
        <v/>
      </c>
    </row>
    <row r="427" spans="9:9" x14ac:dyDescent="0.25">
      <c r="I427" s="164" t="str">
        <f>IFERROR(COUNTIF($B$18:B427,B427)&amp;CHOOSE(MIN(4,COUNTIF($B$18:B427,B427)),"st","nd","rd","th"),"")</f>
        <v/>
      </c>
    </row>
    <row r="428" spans="9:9" x14ac:dyDescent="0.25">
      <c r="I428" s="164" t="str">
        <f>IFERROR(COUNTIF($B$18:B428,B428)&amp;CHOOSE(MIN(4,COUNTIF($B$18:B428,B428)),"st","nd","rd","th"),"")</f>
        <v/>
      </c>
    </row>
    <row r="429" spans="9:9" x14ac:dyDescent="0.25">
      <c r="I429" s="164" t="str">
        <f>IFERROR(COUNTIF($B$18:B429,B429)&amp;CHOOSE(MIN(4,COUNTIF($B$18:B429,B429)),"st","nd","rd","th"),"")</f>
        <v/>
      </c>
    </row>
    <row r="430" spans="9:9" x14ac:dyDescent="0.25">
      <c r="I430" s="164" t="str">
        <f>IFERROR(COUNTIF($B$18:B430,B430)&amp;CHOOSE(MIN(4,COUNTIF($B$18:B430,B430)),"st","nd","rd","th"),"")</f>
        <v/>
      </c>
    </row>
    <row r="431" spans="9:9" x14ac:dyDescent="0.25">
      <c r="I431" s="164" t="str">
        <f>IFERROR(COUNTIF($B$18:B431,B431)&amp;CHOOSE(MIN(4,COUNTIF($B$18:B431,B431)),"st","nd","rd","th"),"")</f>
        <v/>
      </c>
    </row>
    <row r="432" spans="9:9" x14ac:dyDescent="0.25">
      <c r="I432" s="164" t="str">
        <f>IFERROR(COUNTIF($B$18:B432,B432)&amp;CHOOSE(MIN(4,COUNTIF($B$18:B432,B432)),"st","nd","rd","th"),"")</f>
        <v/>
      </c>
    </row>
    <row r="433" spans="9:9" x14ac:dyDescent="0.25">
      <c r="I433" s="164" t="str">
        <f>IFERROR(COUNTIF($B$18:B433,B433)&amp;CHOOSE(MIN(4,COUNTIF($B$18:B433,B433)),"st","nd","rd","th"),"")</f>
        <v/>
      </c>
    </row>
    <row r="434" spans="9:9" x14ac:dyDescent="0.25">
      <c r="I434" s="164" t="str">
        <f>IFERROR(COUNTIF($B$18:B434,B434)&amp;CHOOSE(MIN(4,COUNTIF($B$18:B434,B434)),"st","nd","rd","th"),"")</f>
        <v/>
      </c>
    </row>
    <row r="435" spans="9:9" x14ac:dyDescent="0.25">
      <c r="I435" s="164" t="str">
        <f>IFERROR(COUNTIF($B$18:B435,B435)&amp;CHOOSE(MIN(4,COUNTIF($B$18:B435,B435)),"st","nd","rd","th"),"")</f>
        <v/>
      </c>
    </row>
    <row r="436" spans="9:9" x14ac:dyDescent="0.25">
      <c r="I436" s="164" t="str">
        <f>IFERROR(COUNTIF($B$18:B436,B436)&amp;CHOOSE(MIN(4,COUNTIF($B$18:B436,B436)),"st","nd","rd","th"),"")</f>
        <v/>
      </c>
    </row>
    <row r="437" spans="9:9" x14ac:dyDescent="0.25">
      <c r="I437" s="164" t="str">
        <f>IFERROR(COUNTIF($B$18:B437,B437)&amp;CHOOSE(MIN(4,COUNTIF($B$18:B437,B437)),"st","nd","rd","th"),"")</f>
        <v/>
      </c>
    </row>
    <row r="438" spans="9:9" x14ac:dyDescent="0.25">
      <c r="I438" s="164" t="str">
        <f>IFERROR(COUNTIF($B$18:B438,B438)&amp;CHOOSE(MIN(4,COUNTIF($B$18:B438,B438)),"st","nd","rd","th"),"")</f>
        <v/>
      </c>
    </row>
    <row r="439" spans="9:9" x14ac:dyDescent="0.25">
      <c r="I439" s="164" t="str">
        <f>IFERROR(COUNTIF($B$18:B439,B439)&amp;CHOOSE(MIN(4,COUNTIF($B$18:B439,B439)),"st","nd","rd","th"),"")</f>
        <v/>
      </c>
    </row>
    <row r="440" spans="9:9" x14ac:dyDescent="0.25">
      <c r="I440" s="164" t="str">
        <f>IFERROR(COUNTIF($B$18:B440,B440)&amp;CHOOSE(MIN(4,COUNTIF($B$18:B440,B440)),"st","nd","rd","th"),"")</f>
        <v/>
      </c>
    </row>
    <row r="441" spans="9:9" x14ac:dyDescent="0.25">
      <c r="I441" s="164" t="str">
        <f>IFERROR(COUNTIF($B$18:B441,B441)&amp;CHOOSE(MIN(4,COUNTIF($B$18:B441,B441)),"st","nd","rd","th"),"")</f>
        <v/>
      </c>
    </row>
    <row r="442" spans="9:9" x14ac:dyDescent="0.25">
      <c r="I442" s="164" t="str">
        <f>IFERROR(COUNTIF($B$18:B442,B442)&amp;CHOOSE(MIN(4,COUNTIF($B$18:B442,B442)),"st","nd","rd","th"),"")</f>
        <v/>
      </c>
    </row>
    <row r="443" spans="9:9" x14ac:dyDescent="0.25">
      <c r="I443" s="164" t="str">
        <f>IFERROR(COUNTIF($B$18:B443,B443)&amp;CHOOSE(MIN(4,COUNTIF($B$18:B443,B443)),"st","nd","rd","th"),"")</f>
        <v/>
      </c>
    </row>
    <row r="444" spans="9:9" x14ac:dyDescent="0.25">
      <c r="I444" s="164" t="str">
        <f>IFERROR(COUNTIF($B$18:B444,B444)&amp;CHOOSE(MIN(4,COUNTIF($B$18:B444,B444)),"st","nd","rd","th"),"")</f>
        <v/>
      </c>
    </row>
    <row r="445" spans="9:9" x14ac:dyDescent="0.25">
      <c r="I445" s="164" t="str">
        <f>IFERROR(COUNTIF($B$18:B445,B445)&amp;CHOOSE(MIN(4,COUNTIF($B$18:B445,B445)),"st","nd","rd","th"),"")</f>
        <v/>
      </c>
    </row>
    <row r="446" spans="9:9" x14ac:dyDescent="0.25">
      <c r="I446" s="164" t="str">
        <f>IFERROR(COUNTIF($B$18:B446,B446)&amp;CHOOSE(MIN(4,COUNTIF($B$18:B446,B446)),"st","nd","rd","th"),"")</f>
        <v/>
      </c>
    </row>
    <row r="447" spans="9:9" x14ac:dyDescent="0.25">
      <c r="I447" s="164" t="str">
        <f>IFERROR(COUNTIF($B$18:B447,B447)&amp;CHOOSE(MIN(4,COUNTIF($B$18:B447,B447)),"st","nd","rd","th"),"")</f>
        <v/>
      </c>
    </row>
    <row r="448" spans="9:9" x14ac:dyDescent="0.25">
      <c r="I448" s="164" t="str">
        <f>IFERROR(COUNTIF($B$18:B448,B448)&amp;CHOOSE(MIN(4,COUNTIF($B$18:B448,B448)),"st","nd","rd","th"),"")</f>
        <v/>
      </c>
    </row>
    <row r="449" spans="9:9" x14ac:dyDescent="0.25">
      <c r="I449" s="164" t="str">
        <f>IFERROR(COUNTIF($B$18:B449,B449)&amp;CHOOSE(MIN(4,COUNTIF($B$18:B449,B449)),"st","nd","rd","th"),"")</f>
        <v/>
      </c>
    </row>
    <row r="450" spans="9:9" x14ac:dyDescent="0.25">
      <c r="I450" s="164" t="str">
        <f>IFERROR(COUNTIF($B$18:B450,B450)&amp;CHOOSE(MIN(4,COUNTIF($B$18:B450,B450)),"st","nd","rd","th"),"")</f>
        <v/>
      </c>
    </row>
    <row r="451" spans="9:9" x14ac:dyDescent="0.25">
      <c r="I451" s="164" t="str">
        <f>IFERROR(COUNTIF($B$18:B451,B451)&amp;CHOOSE(MIN(4,COUNTIF($B$18:B451,B451)),"st","nd","rd","th"),"")</f>
        <v/>
      </c>
    </row>
    <row r="452" spans="9:9" x14ac:dyDescent="0.25">
      <c r="I452" s="164" t="str">
        <f>IFERROR(COUNTIF($B$18:B452,B452)&amp;CHOOSE(MIN(4,COUNTIF($B$18:B452,B452)),"st","nd","rd","th"),"")</f>
        <v/>
      </c>
    </row>
    <row r="453" spans="9:9" x14ac:dyDescent="0.25">
      <c r="I453" s="164" t="str">
        <f>IFERROR(COUNTIF($B$18:B453,B453)&amp;CHOOSE(MIN(4,COUNTIF($B$18:B453,B453)),"st","nd","rd","th"),"")</f>
        <v/>
      </c>
    </row>
    <row r="454" spans="9:9" x14ac:dyDescent="0.25">
      <c r="I454" s="164" t="str">
        <f>IFERROR(COUNTIF($B$18:B454,B454)&amp;CHOOSE(MIN(4,COUNTIF($B$18:B454,B454)),"st","nd","rd","th"),"")</f>
        <v/>
      </c>
    </row>
    <row r="455" spans="9:9" x14ac:dyDescent="0.25">
      <c r="I455" s="164" t="str">
        <f>IFERROR(COUNTIF($B$18:B455,B455)&amp;CHOOSE(MIN(4,COUNTIF($B$18:B455,B455)),"st","nd","rd","th"),"")</f>
        <v/>
      </c>
    </row>
    <row r="456" spans="9:9" x14ac:dyDescent="0.25">
      <c r="I456" s="164" t="str">
        <f>IFERROR(COUNTIF($B$18:B456,B456)&amp;CHOOSE(MIN(4,COUNTIF($B$18:B456,B456)),"st","nd","rd","th"),"")</f>
        <v/>
      </c>
    </row>
    <row r="457" spans="9:9" x14ac:dyDescent="0.25">
      <c r="I457" s="164" t="str">
        <f>IFERROR(COUNTIF($B$18:B457,B457)&amp;CHOOSE(MIN(4,COUNTIF($B$18:B457,B457)),"st","nd","rd","th"),"")</f>
        <v/>
      </c>
    </row>
    <row r="458" spans="9:9" x14ac:dyDescent="0.25">
      <c r="I458" s="164" t="str">
        <f>IFERROR(COUNTIF($B$18:B458,B458)&amp;CHOOSE(MIN(4,COUNTIF($B$18:B458,B458)),"st","nd","rd","th"),"")</f>
        <v/>
      </c>
    </row>
    <row r="459" spans="9:9" x14ac:dyDescent="0.25">
      <c r="I459" s="164" t="str">
        <f>IFERROR(COUNTIF($B$18:B459,B459)&amp;CHOOSE(MIN(4,COUNTIF($B$18:B459,B459)),"st","nd","rd","th"),"")</f>
        <v/>
      </c>
    </row>
    <row r="460" spans="9:9" x14ac:dyDescent="0.25">
      <c r="I460" s="164" t="str">
        <f>IFERROR(COUNTIF($B$18:B460,B460)&amp;CHOOSE(MIN(4,COUNTIF($B$18:B460,B460)),"st","nd","rd","th"),"")</f>
        <v/>
      </c>
    </row>
    <row r="461" spans="9:9" x14ac:dyDescent="0.25">
      <c r="I461" s="164" t="str">
        <f>IFERROR(COUNTIF($B$18:B461,B461)&amp;CHOOSE(MIN(4,COUNTIF($B$18:B461,B461)),"st","nd","rd","th"),"")</f>
        <v/>
      </c>
    </row>
    <row r="462" spans="9:9" x14ac:dyDescent="0.25">
      <c r="I462" s="164" t="str">
        <f>IFERROR(COUNTIF($B$18:B462,B462)&amp;CHOOSE(MIN(4,COUNTIF($B$18:B462,B462)),"st","nd","rd","th"),"")</f>
        <v/>
      </c>
    </row>
    <row r="463" spans="9:9" x14ac:dyDescent="0.25">
      <c r="I463" s="164" t="str">
        <f>IFERROR(COUNTIF($B$18:B463,B463)&amp;CHOOSE(MIN(4,COUNTIF($B$18:B463,B463)),"st","nd","rd","th"),"")</f>
        <v/>
      </c>
    </row>
    <row r="464" spans="9:9" x14ac:dyDescent="0.25">
      <c r="I464" s="164" t="str">
        <f>IFERROR(COUNTIF($B$18:B464,B464)&amp;CHOOSE(MIN(4,COUNTIF($B$18:B464,B464)),"st","nd","rd","th"),"")</f>
        <v/>
      </c>
    </row>
    <row r="465" spans="9:9" x14ac:dyDescent="0.25">
      <c r="I465" s="164" t="str">
        <f>IFERROR(COUNTIF($B$18:B465,B465)&amp;CHOOSE(MIN(4,COUNTIF($B$18:B465,B465)),"st","nd","rd","th"),"")</f>
        <v/>
      </c>
    </row>
    <row r="466" spans="9:9" x14ac:dyDescent="0.25">
      <c r="I466" s="164" t="str">
        <f>IFERROR(COUNTIF($B$18:B466,B466)&amp;CHOOSE(MIN(4,COUNTIF($B$18:B466,B466)),"st","nd","rd","th"),"")</f>
        <v/>
      </c>
    </row>
    <row r="467" spans="9:9" x14ac:dyDescent="0.25">
      <c r="I467" s="164" t="str">
        <f>IFERROR(COUNTIF($B$18:B467,B467)&amp;CHOOSE(MIN(4,COUNTIF($B$18:B467,B467)),"st","nd","rd","th"),"")</f>
        <v/>
      </c>
    </row>
    <row r="468" spans="9:9" x14ac:dyDescent="0.25">
      <c r="I468" s="164" t="str">
        <f>IFERROR(COUNTIF($B$18:B468,B468)&amp;CHOOSE(MIN(4,COUNTIF($B$18:B468,B468)),"st","nd","rd","th"),"")</f>
        <v/>
      </c>
    </row>
    <row r="469" spans="9:9" x14ac:dyDescent="0.25">
      <c r="I469" s="164" t="str">
        <f>IFERROR(COUNTIF($B$18:B469,B469)&amp;CHOOSE(MIN(4,COUNTIF($B$18:B469,B469)),"st","nd","rd","th"),"")</f>
        <v/>
      </c>
    </row>
    <row r="470" spans="9:9" x14ac:dyDescent="0.25">
      <c r="I470" s="164" t="str">
        <f>IFERROR(COUNTIF($B$18:B470,B470)&amp;CHOOSE(MIN(4,COUNTIF($B$18:B470,B470)),"st","nd","rd","th"),"")</f>
        <v/>
      </c>
    </row>
    <row r="471" spans="9:9" x14ac:dyDescent="0.25">
      <c r="I471" s="164" t="str">
        <f>IFERROR(COUNTIF($B$18:B471,B471)&amp;CHOOSE(MIN(4,COUNTIF($B$18:B471,B471)),"st","nd","rd","th"),"")</f>
        <v/>
      </c>
    </row>
    <row r="472" spans="9:9" x14ac:dyDescent="0.25">
      <c r="I472" s="164" t="str">
        <f>IFERROR(COUNTIF($B$18:B472,B472)&amp;CHOOSE(MIN(4,COUNTIF($B$18:B472,B472)),"st","nd","rd","th"),"")</f>
        <v/>
      </c>
    </row>
    <row r="473" spans="9:9" x14ac:dyDescent="0.25">
      <c r="I473" s="164" t="str">
        <f>IFERROR(COUNTIF($B$18:B473,B473)&amp;CHOOSE(MIN(4,COUNTIF($B$18:B473,B473)),"st","nd","rd","th"),"")</f>
        <v/>
      </c>
    </row>
    <row r="474" spans="9:9" x14ac:dyDescent="0.25">
      <c r="I474" s="164" t="str">
        <f>IFERROR(COUNTIF($B$18:B474,B474)&amp;CHOOSE(MIN(4,COUNTIF($B$18:B474,B474)),"st","nd","rd","th"),"")</f>
        <v/>
      </c>
    </row>
    <row r="475" spans="9:9" x14ac:dyDescent="0.25">
      <c r="I475" s="164" t="str">
        <f>IFERROR(COUNTIF($B$18:B475,B475)&amp;CHOOSE(MIN(4,COUNTIF($B$18:B475,B475)),"st","nd","rd","th"),"")</f>
        <v/>
      </c>
    </row>
    <row r="476" spans="9:9" x14ac:dyDescent="0.25">
      <c r="I476" s="164" t="str">
        <f>IFERROR(COUNTIF($B$18:B476,B476)&amp;CHOOSE(MIN(4,COUNTIF($B$18:B476,B476)),"st","nd","rd","th"),"")</f>
        <v/>
      </c>
    </row>
    <row r="477" spans="9:9" x14ac:dyDescent="0.25">
      <c r="I477" s="164" t="str">
        <f>IFERROR(COUNTIF($B$18:B477,B477)&amp;CHOOSE(MIN(4,COUNTIF($B$18:B477,B477)),"st","nd","rd","th"),"")</f>
        <v/>
      </c>
    </row>
    <row r="478" spans="9:9" x14ac:dyDescent="0.25">
      <c r="I478" s="164" t="str">
        <f>IFERROR(COUNTIF($B$18:B478,B478)&amp;CHOOSE(MIN(4,COUNTIF($B$18:B478,B478)),"st","nd","rd","th"),"")</f>
        <v/>
      </c>
    </row>
    <row r="479" spans="9:9" x14ac:dyDescent="0.25">
      <c r="I479" s="164" t="str">
        <f>IFERROR(COUNTIF($B$18:B479,B479)&amp;CHOOSE(MIN(4,COUNTIF($B$18:B479,B479)),"st","nd","rd","th"),"")</f>
        <v/>
      </c>
    </row>
    <row r="480" spans="9:9" x14ac:dyDescent="0.25">
      <c r="I480" s="164" t="str">
        <f>IFERROR(COUNTIF($B$18:B480,B480)&amp;CHOOSE(MIN(4,COUNTIF($B$18:B480,B480)),"st","nd","rd","th"),"")</f>
        <v/>
      </c>
    </row>
    <row r="481" spans="9:9" x14ac:dyDescent="0.25">
      <c r="I481" s="164" t="str">
        <f>IFERROR(COUNTIF($B$18:B481,B481)&amp;CHOOSE(MIN(4,COUNTIF($B$18:B481,B481)),"st","nd","rd","th"),"")</f>
        <v/>
      </c>
    </row>
    <row r="482" spans="9:9" x14ac:dyDescent="0.25">
      <c r="I482" s="164" t="str">
        <f>IFERROR(COUNTIF($B$18:B482,B482)&amp;CHOOSE(MIN(4,COUNTIF($B$18:B482,B482)),"st","nd","rd","th"),"")</f>
        <v/>
      </c>
    </row>
    <row r="483" spans="9:9" x14ac:dyDescent="0.25">
      <c r="I483" s="164" t="str">
        <f>IFERROR(COUNTIF($B$18:B483,B483)&amp;CHOOSE(MIN(4,COUNTIF($B$18:B483,B483)),"st","nd","rd","th"),"")</f>
        <v/>
      </c>
    </row>
    <row r="484" spans="9:9" x14ac:dyDescent="0.25">
      <c r="I484" s="164" t="str">
        <f>IFERROR(COUNTIF($B$18:B484,B484)&amp;CHOOSE(MIN(4,COUNTIF($B$18:B484,B484)),"st","nd","rd","th"),"")</f>
        <v/>
      </c>
    </row>
    <row r="485" spans="9:9" x14ac:dyDescent="0.25">
      <c r="I485" s="164" t="str">
        <f>IFERROR(COUNTIF($B$18:B485,B485)&amp;CHOOSE(MIN(4,COUNTIF($B$18:B485,B485)),"st","nd","rd","th"),"")</f>
        <v/>
      </c>
    </row>
    <row r="486" spans="9:9" x14ac:dyDescent="0.25">
      <c r="I486" s="164" t="str">
        <f>IFERROR(COUNTIF($B$18:B486,B486)&amp;CHOOSE(MIN(4,COUNTIF($B$18:B486,B486)),"st","nd","rd","th"),"")</f>
        <v/>
      </c>
    </row>
    <row r="487" spans="9:9" x14ac:dyDescent="0.25">
      <c r="I487" s="164" t="str">
        <f>IFERROR(COUNTIF($B$18:B487,B487)&amp;CHOOSE(MIN(4,COUNTIF($B$18:B487,B487)),"st","nd","rd","th"),"")</f>
        <v/>
      </c>
    </row>
    <row r="488" spans="9:9" x14ac:dyDescent="0.25">
      <c r="I488" s="164" t="str">
        <f>IFERROR(COUNTIF($B$18:B488,B488)&amp;CHOOSE(MIN(4,COUNTIF($B$18:B488,B488)),"st","nd","rd","th"),"")</f>
        <v/>
      </c>
    </row>
    <row r="489" spans="9:9" x14ac:dyDescent="0.25">
      <c r="I489" s="164" t="str">
        <f>IFERROR(COUNTIF($B$18:B489,B489)&amp;CHOOSE(MIN(4,COUNTIF($B$18:B489,B489)),"st","nd","rd","th"),"")</f>
        <v/>
      </c>
    </row>
    <row r="490" spans="9:9" x14ac:dyDescent="0.25">
      <c r="I490" s="164" t="str">
        <f>IFERROR(COUNTIF($B$18:B490,B490)&amp;CHOOSE(MIN(4,COUNTIF($B$18:B490,B490)),"st","nd","rd","th"),"")</f>
        <v/>
      </c>
    </row>
    <row r="491" spans="9:9" x14ac:dyDescent="0.25">
      <c r="I491" s="164" t="str">
        <f>IFERROR(COUNTIF($B$18:B491,B491)&amp;CHOOSE(MIN(4,COUNTIF($B$18:B491,B491)),"st","nd","rd","th"),"")</f>
        <v/>
      </c>
    </row>
    <row r="492" spans="9:9" x14ac:dyDescent="0.25">
      <c r="I492" s="164" t="str">
        <f>IFERROR(COUNTIF($B$18:B492,B492)&amp;CHOOSE(MIN(4,COUNTIF($B$18:B492,B492)),"st","nd","rd","th"),"")</f>
        <v/>
      </c>
    </row>
    <row r="493" spans="9:9" x14ac:dyDescent="0.25">
      <c r="I493" s="164" t="str">
        <f>IFERROR(COUNTIF($B$18:B493,B493)&amp;CHOOSE(MIN(4,COUNTIF($B$18:B493,B493)),"st","nd","rd","th"),"")</f>
        <v/>
      </c>
    </row>
    <row r="494" spans="9:9" x14ac:dyDescent="0.25">
      <c r="I494" s="164" t="str">
        <f>IFERROR(COUNTIF($B$18:B494,B494)&amp;CHOOSE(MIN(4,COUNTIF($B$18:B494,B494)),"st","nd","rd","th"),"")</f>
        <v/>
      </c>
    </row>
    <row r="495" spans="9:9" x14ac:dyDescent="0.25">
      <c r="I495" s="164" t="str">
        <f>IFERROR(COUNTIF($B$18:B495,B495)&amp;CHOOSE(MIN(4,COUNTIF($B$18:B495,B495)),"st","nd","rd","th"),"")</f>
        <v/>
      </c>
    </row>
    <row r="496" spans="9:9" x14ac:dyDescent="0.25">
      <c r="I496" s="164" t="str">
        <f>IFERROR(COUNTIF($B$18:B496,B496)&amp;CHOOSE(MIN(4,COUNTIF($B$18:B496,B496)),"st","nd","rd","th"),"")</f>
        <v/>
      </c>
    </row>
    <row r="497" spans="9:9" x14ac:dyDescent="0.25">
      <c r="I497" s="164" t="str">
        <f>IFERROR(COUNTIF($B$18:B497,B497)&amp;CHOOSE(MIN(4,COUNTIF($B$18:B497,B497)),"st","nd","rd","th"),"")</f>
        <v/>
      </c>
    </row>
    <row r="498" spans="9:9" x14ac:dyDescent="0.25">
      <c r="I498" s="164" t="str">
        <f>IFERROR(COUNTIF($B$18:B498,B498)&amp;CHOOSE(MIN(4,COUNTIF($B$18:B498,B498)),"st","nd","rd","th"),"")</f>
        <v/>
      </c>
    </row>
    <row r="499" spans="9:9" x14ac:dyDescent="0.25">
      <c r="I499" s="164" t="str">
        <f>IFERROR(COUNTIF($B$18:B499,B499)&amp;CHOOSE(MIN(4,COUNTIF($B$18:B499,B499)),"st","nd","rd","th"),"")</f>
        <v/>
      </c>
    </row>
    <row r="500" spans="9:9" x14ac:dyDescent="0.25">
      <c r="I500" s="164" t="str">
        <f>IFERROR(COUNTIF($B$18:B500,B500)&amp;CHOOSE(MIN(4,COUNTIF($B$18:B500,B500)),"st","nd","rd","th"),"")</f>
        <v/>
      </c>
    </row>
    <row r="501" spans="9:9" x14ac:dyDescent="0.25">
      <c r="I501" s="164" t="str">
        <f>IFERROR(COUNTIF($B$18:B501,B501)&amp;CHOOSE(MIN(4,COUNTIF($B$18:B501,B501)),"st","nd","rd","th"),"")</f>
        <v/>
      </c>
    </row>
    <row r="502" spans="9:9" x14ac:dyDescent="0.25">
      <c r="I502" s="164" t="str">
        <f>IFERROR(COUNTIF($B$18:B502,B502)&amp;CHOOSE(MIN(4,COUNTIF($B$18:B502,B502)),"st","nd","rd","th"),"")</f>
        <v/>
      </c>
    </row>
    <row r="503" spans="9:9" x14ac:dyDescent="0.25">
      <c r="I503" s="164" t="str">
        <f>IFERROR(COUNTIF($B$18:B503,B503)&amp;CHOOSE(MIN(4,COUNTIF($B$18:B503,B503)),"st","nd","rd","th"),"")</f>
        <v/>
      </c>
    </row>
    <row r="504" spans="9:9" x14ac:dyDescent="0.25">
      <c r="I504" s="164" t="str">
        <f>IFERROR(COUNTIF($B$18:B504,B504)&amp;CHOOSE(MIN(4,COUNTIF($B$18:B504,B504)),"st","nd","rd","th"),"")</f>
        <v/>
      </c>
    </row>
    <row r="505" spans="9:9" x14ac:dyDescent="0.25">
      <c r="I505" s="164" t="str">
        <f>IFERROR(COUNTIF($B$18:B505,B505)&amp;CHOOSE(MIN(4,COUNTIF($B$18:B505,B505)),"st","nd","rd","th"),"")</f>
        <v/>
      </c>
    </row>
    <row r="506" spans="9:9" x14ac:dyDescent="0.25">
      <c r="I506" s="164" t="str">
        <f>IFERROR(COUNTIF($B$18:B506,B506)&amp;CHOOSE(MIN(4,COUNTIF($B$18:B506,B506)),"st","nd","rd","th"),"")</f>
        <v/>
      </c>
    </row>
    <row r="507" spans="9:9" x14ac:dyDescent="0.25">
      <c r="I507" s="164" t="str">
        <f>IFERROR(COUNTIF($B$18:B507,B507)&amp;CHOOSE(MIN(4,COUNTIF($B$18:B507,B507)),"st","nd","rd","th"),"")</f>
        <v/>
      </c>
    </row>
    <row r="508" spans="9:9" x14ac:dyDescent="0.25">
      <c r="I508" s="164" t="str">
        <f>IFERROR(COUNTIF($B$18:B508,B508)&amp;CHOOSE(MIN(4,COUNTIF($B$18:B508,B508)),"st","nd","rd","th"),"")</f>
        <v/>
      </c>
    </row>
    <row r="509" spans="9:9" x14ac:dyDescent="0.25">
      <c r="I509" s="164" t="str">
        <f>IFERROR(COUNTIF($B$18:B509,B509)&amp;CHOOSE(MIN(4,COUNTIF($B$18:B509,B509)),"st","nd","rd","th"),"")</f>
        <v/>
      </c>
    </row>
    <row r="510" spans="9:9" x14ac:dyDescent="0.25">
      <c r="I510" s="164" t="str">
        <f>IFERROR(COUNTIF($B$18:B510,B510)&amp;CHOOSE(MIN(4,COUNTIF($B$18:B510,B510)),"st","nd","rd","th"),"")</f>
        <v/>
      </c>
    </row>
    <row r="511" spans="9:9" x14ac:dyDescent="0.25">
      <c r="I511" s="164" t="str">
        <f>IFERROR(COUNTIF($B$18:B511,B511)&amp;CHOOSE(MIN(4,COUNTIF($B$18:B511,B511)),"st","nd","rd","th"),"")</f>
        <v/>
      </c>
    </row>
    <row r="512" spans="9:9" x14ac:dyDescent="0.25">
      <c r="I512" s="164" t="str">
        <f>IFERROR(COUNTIF($B$18:B512,B512)&amp;CHOOSE(MIN(4,COUNTIF($B$18:B512,B512)),"st","nd","rd","th"),"")</f>
        <v/>
      </c>
    </row>
    <row r="513" spans="9:9" x14ac:dyDescent="0.25">
      <c r="I513" s="164" t="str">
        <f>IFERROR(COUNTIF($B$18:B513,B513)&amp;CHOOSE(MIN(4,COUNTIF($B$18:B513,B513)),"st","nd","rd","th"),"")</f>
        <v/>
      </c>
    </row>
    <row r="514" spans="9:9" x14ac:dyDescent="0.25">
      <c r="I514" s="164" t="str">
        <f>IFERROR(COUNTIF($B$18:B514,B514)&amp;CHOOSE(MIN(4,COUNTIF($B$18:B514,B514)),"st","nd","rd","th"),"")</f>
        <v/>
      </c>
    </row>
    <row r="515" spans="9:9" x14ac:dyDescent="0.25">
      <c r="I515" s="164" t="str">
        <f>IFERROR(COUNTIF($B$18:B515,B515)&amp;CHOOSE(MIN(4,COUNTIF($B$18:B515,B515)),"st","nd","rd","th"),"")</f>
        <v/>
      </c>
    </row>
    <row r="516" spans="9:9" x14ac:dyDescent="0.25">
      <c r="I516" s="164" t="str">
        <f>IFERROR(COUNTIF($B$18:B516,B516)&amp;CHOOSE(MIN(4,COUNTIF($B$18:B516,B516)),"st","nd","rd","th"),"")</f>
        <v/>
      </c>
    </row>
    <row r="517" spans="9:9" x14ac:dyDescent="0.25">
      <c r="I517" s="164" t="str">
        <f>IFERROR(COUNTIF($B$18:B517,B517)&amp;CHOOSE(MIN(4,COUNTIF($B$18:B517,B517)),"st","nd","rd","th"),"")</f>
        <v/>
      </c>
    </row>
    <row r="518" spans="9:9" x14ac:dyDescent="0.25">
      <c r="I518" s="164" t="str">
        <f>IFERROR(COUNTIF($B$18:B518,B518)&amp;CHOOSE(MIN(4,COUNTIF($B$18:B518,B518)),"st","nd","rd","th"),"")</f>
        <v/>
      </c>
    </row>
    <row r="519" spans="9:9" x14ac:dyDescent="0.25">
      <c r="I519" s="164" t="str">
        <f>IFERROR(COUNTIF($B$18:B519,B519)&amp;CHOOSE(MIN(4,COUNTIF($B$18:B519,B519)),"st","nd","rd","th"),"")</f>
        <v/>
      </c>
    </row>
    <row r="520" spans="9:9" x14ac:dyDescent="0.25">
      <c r="I520" s="164" t="str">
        <f>IFERROR(COUNTIF($B$18:B520,B520)&amp;CHOOSE(MIN(4,COUNTIF($B$18:B520,B520)),"st","nd","rd","th"),"")</f>
        <v/>
      </c>
    </row>
    <row r="521" spans="9:9" x14ac:dyDescent="0.25">
      <c r="I521" s="164" t="str">
        <f>IFERROR(COUNTIF($B$18:B521,B521)&amp;CHOOSE(MIN(4,COUNTIF($B$18:B521,B521)),"st","nd","rd","th"),"")</f>
        <v/>
      </c>
    </row>
    <row r="522" spans="9:9" x14ac:dyDescent="0.25">
      <c r="I522" s="164" t="str">
        <f>IFERROR(COUNTIF($B$18:B522,B522)&amp;CHOOSE(MIN(4,COUNTIF($B$18:B522,B522)),"st","nd","rd","th"),"")</f>
        <v/>
      </c>
    </row>
    <row r="523" spans="9:9" x14ac:dyDescent="0.25">
      <c r="I523" s="164" t="str">
        <f>IFERROR(COUNTIF($B$18:B523,B523)&amp;CHOOSE(MIN(4,COUNTIF($B$18:B523,B523)),"st","nd","rd","th"),"")</f>
        <v/>
      </c>
    </row>
    <row r="524" spans="9:9" x14ac:dyDescent="0.25">
      <c r="I524" s="164" t="str">
        <f>IFERROR(COUNTIF($B$18:B524,B524)&amp;CHOOSE(MIN(4,COUNTIF($B$18:B524,B524)),"st","nd","rd","th"),"")</f>
        <v/>
      </c>
    </row>
    <row r="525" spans="9:9" x14ac:dyDescent="0.25">
      <c r="I525" s="164" t="str">
        <f>IFERROR(COUNTIF($B$18:B525,B525)&amp;CHOOSE(MIN(4,COUNTIF($B$18:B525,B525)),"st","nd","rd","th"),"")</f>
        <v/>
      </c>
    </row>
    <row r="526" spans="9:9" x14ac:dyDescent="0.25">
      <c r="I526" s="164" t="str">
        <f>IFERROR(COUNTIF($B$18:B526,B526)&amp;CHOOSE(MIN(4,COUNTIF($B$18:B526,B526)),"st","nd","rd","th"),"")</f>
        <v/>
      </c>
    </row>
    <row r="527" spans="9:9" x14ac:dyDescent="0.25">
      <c r="I527" s="164" t="str">
        <f>IFERROR(COUNTIF($B$18:B527,B527)&amp;CHOOSE(MIN(4,COUNTIF($B$18:B527,B527)),"st","nd","rd","th"),"")</f>
        <v/>
      </c>
    </row>
    <row r="528" spans="9:9" x14ac:dyDescent="0.25">
      <c r="I528" s="164" t="str">
        <f>IFERROR(COUNTIF($B$18:B528,B528)&amp;CHOOSE(MIN(4,COUNTIF($B$18:B528,B528)),"st","nd","rd","th"),"")</f>
        <v/>
      </c>
    </row>
    <row r="529" spans="9:9" x14ac:dyDescent="0.25">
      <c r="I529" s="164" t="str">
        <f>IFERROR(COUNTIF($B$18:B529,B529)&amp;CHOOSE(MIN(4,COUNTIF($B$18:B529,B529)),"st","nd","rd","th"),"")</f>
        <v/>
      </c>
    </row>
    <row r="530" spans="9:9" x14ac:dyDescent="0.25">
      <c r="I530" s="164" t="str">
        <f>IFERROR(COUNTIF($B$18:B530,B530)&amp;CHOOSE(MIN(4,COUNTIF($B$18:B530,B530)),"st","nd","rd","th"),"")</f>
        <v/>
      </c>
    </row>
    <row r="531" spans="9:9" x14ac:dyDescent="0.25">
      <c r="I531" s="164" t="str">
        <f>IFERROR(COUNTIF($B$18:B531,B531)&amp;CHOOSE(MIN(4,COUNTIF($B$18:B531,B531)),"st","nd","rd","th"),"")</f>
        <v/>
      </c>
    </row>
    <row r="532" spans="9:9" x14ac:dyDescent="0.25">
      <c r="I532" s="164" t="str">
        <f>IFERROR(COUNTIF($B$18:B532,B532)&amp;CHOOSE(MIN(4,COUNTIF($B$18:B532,B532)),"st","nd","rd","th"),"")</f>
        <v/>
      </c>
    </row>
    <row r="533" spans="9:9" x14ac:dyDescent="0.25">
      <c r="I533" s="164" t="str">
        <f>IFERROR(COUNTIF($B$18:B533,B533)&amp;CHOOSE(MIN(4,COUNTIF($B$18:B533,B533)),"st","nd","rd","th"),"")</f>
        <v/>
      </c>
    </row>
    <row r="534" spans="9:9" x14ac:dyDescent="0.25">
      <c r="I534" s="164" t="str">
        <f>IFERROR(COUNTIF($B$18:B534,B534)&amp;CHOOSE(MIN(4,COUNTIF($B$18:B534,B534)),"st","nd","rd","th"),"")</f>
        <v/>
      </c>
    </row>
    <row r="535" spans="9:9" x14ac:dyDescent="0.25">
      <c r="I535" s="164" t="str">
        <f>IFERROR(COUNTIF($B$18:B535,B535)&amp;CHOOSE(MIN(4,COUNTIF($B$18:B535,B535)),"st","nd","rd","th"),"")</f>
        <v/>
      </c>
    </row>
    <row r="536" spans="9:9" x14ac:dyDescent="0.25">
      <c r="I536" s="164" t="str">
        <f>IFERROR(COUNTIF($B$18:B536,B536)&amp;CHOOSE(MIN(4,COUNTIF($B$18:B536,B536)),"st","nd","rd","th"),"")</f>
        <v/>
      </c>
    </row>
    <row r="537" spans="9:9" x14ac:dyDescent="0.25">
      <c r="I537" s="164" t="str">
        <f>IFERROR(COUNTIF($B$18:B537,B537)&amp;CHOOSE(MIN(4,COUNTIF($B$18:B537,B537)),"st","nd","rd","th"),"")</f>
        <v/>
      </c>
    </row>
    <row r="538" spans="9:9" x14ac:dyDescent="0.25">
      <c r="I538" s="164" t="str">
        <f>IFERROR(COUNTIF($B$18:B538,B538)&amp;CHOOSE(MIN(4,COUNTIF($B$18:B538,B538)),"st","nd","rd","th"),"")</f>
        <v/>
      </c>
    </row>
    <row r="539" spans="9:9" x14ac:dyDescent="0.25">
      <c r="I539" s="164" t="str">
        <f>IFERROR(COUNTIF($B$18:B539,B539)&amp;CHOOSE(MIN(4,COUNTIF($B$18:B539,B539)),"st","nd","rd","th"),"")</f>
        <v/>
      </c>
    </row>
    <row r="540" spans="9:9" x14ac:dyDescent="0.25">
      <c r="I540" s="164" t="str">
        <f>IFERROR(COUNTIF($B$18:B540,B540)&amp;CHOOSE(MIN(4,COUNTIF($B$18:B540,B540)),"st","nd","rd","th"),"")</f>
        <v/>
      </c>
    </row>
    <row r="541" spans="9:9" x14ac:dyDescent="0.25">
      <c r="I541" s="164" t="str">
        <f>IFERROR(COUNTIF($B$18:B541,B541)&amp;CHOOSE(MIN(4,COUNTIF($B$18:B541,B541)),"st","nd","rd","th"),"")</f>
        <v/>
      </c>
    </row>
    <row r="542" spans="9:9" x14ac:dyDescent="0.25">
      <c r="I542" s="164" t="str">
        <f>IFERROR(COUNTIF($B$18:B542,B542)&amp;CHOOSE(MIN(4,COUNTIF($B$18:B542,B542)),"st","nd","rd","th"),"")</f>
        <v/>
      </c>
    </row>
    <row r="543" spans="9:9" x14ac:dyDescent="0.25">
      <c r="I543" s="164" t="str">
        <f>IFERROR(COUNTIF($B$18:B543,B543)&amp;CHOOSE(MIN(4,COUNTIF($B$18:B543,B543)),"st","nd","rd","th"),"")</f>
        <v/>
      </c>
    </row>
    <row r="544" spans="9:9" x14ac:dyDescent="0.25">
      <c r="I544" s="164" t="str">
        <f>IFERROR(COUNTIF($B$18:B544,B544)&amp;CHOOSE(MIN(4,COUNTIF($B$18:B544,B544)),"st","nd","rd","th"),"")</f>
        <v/>
      </c>
    </row>
    <row r="545" spans="9:9" x14ac:dyDescent="0.25">
      <c r="I545" s="164" t="str">
        <f>IFERROR(COUNTIF($B$18:B545,B545)&amp;CHOOSE(MIN(4,COUNTIF($B$18:B545,B545)),"st","nd","rd","th"),"")</f>
        <v/>
      </c>
    </row>
    <row r="546" spans="9:9" x14ac:dyDescent="0.25">
      <c r="I546" s="164" t="str">
        <f>IFERROR(COUNTIF($B$18:B546,B546)&amp;CHOOSE(MIN(4,COUNTIF($B$18:B546,B546)),"st","nd","rd","th"),"")</f>
        <v/>
      </c>
    </row>
    <row r="547" spans="9:9" x14ac:dyDescent="0.25">
      <c r="I547" s="164" t="str">
        <f>IFERROR(COUNTIF($B$18:B547,B547)&amp;CHOOSE(MIN(4,COUNTIF($B$18:B547,B547)),"st","nd","rd","th"),"")</f>
        <v/>
      </c>
    </row>
    <row r="548" spans="9:9" x14ac:dyDescent="0.25">
      <c r="I548" s="164" t="str">
        <f>IFERROR(COUNTIF($B$18:B548,B548)&amp;CHOOSE(MIN(4,COUNTIF($B$18:B548,B548)),"st","nd","rd","th"),"")</f>
        <v/>
      </c>
    </row>
    <row r="549" spans="9:9" x14ac:dyDescent="0.25">
      <c r="I549" s="164" t="str">
        <f>IFERROR(COUNTIF($B$18:B549,B549)&amp;CHOOSE(MIN(4,COUNTIF($B$18:B549,B549)),"st","nd","rd","th"),"")</f>
        <v/>
      </c>
    </row>
    <row r="550" spans="9:9" x14ac:dyDescent="0.25">
      <c r="I550" s="164" t="str">
        <f>IFERROR(COUNTIF($B$18:B550,B550)&amp;CHOOSE(MIN(4,COUNTIF($B$18:B550,B550)),"st","nd","rd","th"),"")</f>
        <v/>
      </c>
    </row>
    <row r="551" spans="9:9" x14ac:dyDescent="0.25">
      <c r="I551" s="164" t="str">
        <f>IFERROR(COUNTIF($B$18:B551,B551)&amp;CHOOSE(MIN(4,COUNTIF($B$18:B551,B551)),"st","nd","rd","th"),"")</f>
        <v/>
      </c>
    </row>
    <row r="552" spans="9:9" x14ac:dyDescent="0.25">
      <c r="I552" s="164" t="str">
        <f>IFERROR(COUNTIF($B$18:B552,B552)&amp;CHOOSE(MIN(4,COUNTIF($B$18:B552,B552)),"st","nd","rd","th"),"")</f>
        <v/>
      </c>
    </row>
    <row r="553" spans="9:9" x14ac:dyDescent="0.25">
      <c r="I553" s="164" t="str">
        <f>IFERROR(COUNTIF($B$18:B553,B553)&amp;CHOOSE(MIN(4,COUNTIF($B$18:B553,B553)),"st","nd","rd","th"),"")</f>
        <v/>
      </c>
    </row>
    <row r="554" spans="9:9" x14ac:dyDescent="0.25">
      <c r="I554" s="164" t="str">
        <f>IFERROR(COUNTIF($B$18:B554,B554)&amp;CHOOSE(MIN(4,COUNTIF($B$18:B554,B554)),"st","nd","rd","th"),"")</f>
        <v/>
      </c>
    </row>
    <row r="555" spans="9:9" x14ac:dyDescent="0.25">
      <c r="I555" s="164" t="str">
        <f>IFERROR(COUNTIF($B$18:B555,B555)&amp;CHOOSE(MIN(4,COUNTIF($B$18:B555,B555)),"st","nd","rd","th"),"")</f>
        <v/>
      </c>
    </row>
    <row r="556" spans="9:9" x14ac:dyDescent="0.25">
      <c r="I556" s="164" t="str">
        <f>IFERROR(COUNTIF($B$18:B556,B556)&amp;CHOOSE(MIN(4,COUNTIF($B$18:B556,B556)),"st","nd","rd","th"),"")</f>
        <v/>
      </c>
    </row>
    <row r="557" spans="9:9" x14ac:dyDescent="0.25">
      <c r="I557" s="164" t="str">
        <f>IFERROR(COUNTIF($B$18:B557,B557)&amp;CHOOSE(MIN(4,COUNTIF($B$18:B557,B557)),"st","nd","rd","th"),"")</f>
        <v/>
      </c>
    </row>
    <row r="558" spans="9:9" x14ac:dyDescent="0.25">
      <c r="I558" s="164" t="str">
        <f>IFERROR(COUNTIF($B$18:B558,B558)&amp;CHOOSE(MIN(4,COUNTIF($B$18:B558,B558)),"st","nd","rd","th"),"")</f>
        <v/>
      </c>
    </row>
    <row r="559" spans="9:9" x14ac:dyDescent="0.25">
      <c r="I559" s="164" t="str">
        <f>IFERROR(COUNTIF($B$18:B559,B559)&amp;CHOOSE(MIN(4,COUNTIF($B$18:B559,B559)),"st","nd","rd","th"),"")</f>
        <v/>
      </c>
    </row>
    <row r="560" spans="9:9" x14ac:dyDescent="0.25">
      <c r="I560" s="164" t="str">
        <f>IFERROR(COUNTIF($B$18:B560,B560)&amp;CHOOSE(MIN(4,COUNTIF($B$18:B560,B560)),"st","nd","rd","th"),"")</f>
        <v/>
      </c>
    </row>
    <row r="561" spans="9:9" x14ac:dyDescent="0.25">
      <c r="I561" s="164" t="str">
        <f>IFERROR(COUNTIF($B$18:B561,B561)&amp;CHOOSE(MIN(4,COUNTIF($B$18:B561,B561)),"st","nd","rd","th"),"")</f>
        <v/>
      </c>
    </row>
    <row r="562" spans="9:9" x14ac:dyDescent="0.25">
      <c r="I562" s="164" t="str">
        <f>IFERROR(COUNTIF($B$18:B562,B562)&amp;CHOOSE(MIN(4,COUNTIF($B$18:B562,B562)),"st","nd","rd","th"),"")</f>
        <v/>
      </c>
    </row>
    <row r="563" spans="9:9" x14ac:dyDescent="0.25">
      <c r="I563" s="164" t="str">
        <f>IFERROR(COUNTIF($B$18:B563,B563)&amp;CHOOSE(MIN(4,COUNTIF($B$18:B563,B563)),"st","nd","rd","th"),"")</f>
        <v/>
      </c>
    </row>
    <row r="564" spans="9:9" x14ac:dyDescent="0.25">
      <c r="I564" s="164" t="str">
        <f>IFERROR(COUNTIF($B$18:B564,B564)&amp;CHOOSE(MIN(4,COUNTIF($B$18:B564,B564)),"st","nd","rd","th"),"")</f>
        <v/>
      </c>
    </row>
    <row r="565" spans="9:9" x14ac:dyDescent="0.25">
      <c r="I565" s="164" t="str">
        <f>IFERROR(COUNTIF($B$18:B565,B565)&amp;CHOOSE(MIN(4,COUNTIF($B$18:B565,B565)),"st","nd","rd","th"),"")</f>
        <v/>
      </c>
    </row>
    <row r="566" spans="9:9" x14ac:dyDescent="0.25">
      <c r="I566" s="164" t="str">
        <f>IFERROR(COUNTIF($B$18:B566,B566)&amp;CHOOSE(MIN(4,COUNTIF($B$18:B566,B566)),"st","nd","rd","th"),"")</f>
        <v/>
      </c>
    </row>
    <row r="567" spans="9:9" x14ac:dyDescent="0.25">
      <c r="I567" s="164" t="str">
        <f>IFERROR(COUNTIF($B$18:B567,B567)&amp;CHOOSE(MIN(4,COUNTIF($B$18:B567,B567)),"st","nd","rd","th"),"")</f>
        <v/>
      </c>
    </row>
    <row r="568" spans="9:9" x14ac:dyDescent="0.25">
      <c r="I568" s="164" t="str">
        <f>IFERROR(COUNTIF($B$18:B568,B568)&amp;CHOOSE(MIN(4,COUNTIF($B$18:B568,B568)),"st","nd","rd","th"),"")</f>
        <v/>
      </c>
    </row>
    <row r="569" spans="9:9" x14ac:dyDescent="0.25">
      <c r="I569" s="164" t="str">
        <f>IFERROR(COUNTIF($B$18:B569,B569)&amp;CHOOSE(MIN(4,COUNTIF($B$18:B569,B569)),"st","nd","rd","th"),"")</f>
        <v/>
      </c>
    </row>
    <row r="570" spans="9:9" x14ac:dyDescent="0.25">
      <c r="I570" s="164" t="str">
        <f>IFERROR(COUNTIF($B$18:B570,B570)&amp;CHOOSE(MIN(4,COUNTIF($B$18:B570,B570)),"st","nd","rd","th"),"")</f>
        <v/>
      </c>
    </row>
    <row r="571" spans="9:9" x14ac:dyDescent="0.25">
      <c r="I571" s="164" t="str">
        <f>IFERROR(COUNTIF($B$18:B571,B571)&amp;CHOOSE(MIN(4,COUNTIF($B$18:B571,B571)),"st","nd","rd","th"),"")</f>
        <v/>
      </c>
    </row>
    <row r="572" spans="9:9" x14ac:dyDescent="0.25">
      <c r="I572" s="164" t="str">
        <f>IFERROR(COUNTIF($B$18:B572,B572)&amp;CHOOSE(MIN(4,COUNTIF($B$18:B572,B572)),"st","nd","rd","th"),"")</f>
        <v/>
      </c>
    </row>
    <row r="573" spans="9:9" x14ac:dyDescent="0.25">
      <c r="I573" s="164" t="str">
        <f>IFERROR(COUNTIF($B$18:B573,B573)&amp;CHOOSE(MIN(4,COUNTIF($B$18:B573,B573)),"st","nd","rd","th"),"")</f>
        <v/>
      </c>
    </row>
    <row r="574" spans="9:9" x14ac:dyDescent="0.25">
      <c r="I574" s="164" t="str">
        <f>IFERROR(COUNTIF($B$18:B574,B574)&amp;CHOOSE(MIN(4,COUNTIF($B$18:B574,B574)),"st","nd","rd","th"),"")</f>
        <v/>
      </c>
    </row>
    <row r="575" spans="9:9" x14ac:dyDescent="0.25">
      <c r="I575" s="164" t="str">
        <f>IFERROR(COUNTIF($B$18:B575,B575)&amp;CHOOSE(MIN(4,COUNTIF($B$18:B575,B575)),"st","nd","rd","th"),"")</f>
        <v/>
      </c>
    </row>
    <row r="576" spans="9:9" x14ac:dyDescent="0.25">
      <c r="I576" s="164" t="str">
        <f>IFERROR(COUNTIF($B$18:B576,B576)&amp;CHOOSE(MIN(4,COUNTIF($B$18:B576,B576)),"st","nd","rd","th"),"")</f>
        <v/>
      </c>
    </row>
    <row r="577" spans="9:9" x14ac:dyDescent="0.25">
      <c r="I577" s="164" t="str">
        <f>IFERROR(COUNTIF($B$18:B577,B577)&amp;CHOOSE(MIN(4,COUNTIF($B$18:B577,B577)),"st","nd","rd","th"),"")</f>
        <v/>
      </c>
    </row>
    <row r="578" spans="9:9" x14ac:dyDescent="0.25">
      <c r="I578" s="164" t="str">
        <f>IFERROR(COUNTIF($B$18:B578,B578)&amp;CHOOSE(MIN(4,COUNTIF($B$18:B578,B578)),"st","nd","rd","th"),"")</f>
        <v/>
      </c>
    </row>
    <row r="579" spans="9:9" x14ac:dyDescent="0.25">
      <c r="I579" s="164" t="str">
        <f>IFERROR(COUNTIF($B$18:B579,B579)&amp;CHOOSE(MIN(4,COUNTIF($B$18:B579,B579)),"st","nd","rd","th"),"")</f>
        <v/>
      </c>
    </row>
    <row r="580" spans="9:9" x14ac:dyDescent="0.25">
      <c r="I580" s="164" t="str">
        <f>IFERROR(COUNTIF($B$18:B580,B580)&amp;CHOOSE(MIN(4,COUNTIF($B$18:B580,B580)),"st","nd","rd","th"),"")</f>
        <v/>
      </c>
    </row>
    <row r="581" spans="9:9" x14ac:dyDescent="0.25">
      <c r="I581" s="164" t="str">
        <f>IFERROR(COUNTIF($B$18:B581,B581)&amp;CHOOSE(MIN(4,COUNTIF($B$18:B581,B581)),"st","nd","rd","th"),"")</f>
        <v/>
      </c>
    </row>
    <row r="582" spans="9:9" x14ac:dyDescent="0.25">
      <c r="I582" s="164" t="str">
        <f>IFERROR(COUNTIF($B$18:B582,B582)&amp;CHOOSE(MIN(4,COUNTIF($B$18:B582,B582)),"st","nd","rd","th"),"")</f>
        <v/>
      </c>
    </row>
    <row r="583" spans="9:9" x14ac:dyDescent="0.25">
      <c r="I583" s="164" t="str">
        <f>IFERROR(COUNTIF($B$18:B583,B583)&amp;CHOOSE(MIN(4,COUNTIF($B$18:B583,B583)),"st","nd","rd","th"),"")</f>
        <v/>
      </c>
    </row>
    <row r="584" spans="9:9" x14ac:dyDescent="0.25">
      <c r="I584" s="164" t="str">
        <f>IFERROR(COUNTIF($B$18:B584,B584)&amp;CHOOSE(MIN(4,COUNTIF($B$18:B584,B584)),"st","nd","rd","th"),"")</f>
        <v/>
      </c>
    </row>
    <row r="585" spans="9:9" x14ac:dyDescent="0.25">
      <c r="I585" s="164" t="str">
        <f>IFERROR(COUNTIF($B$18:B585,B585)&amp;CHOOSE(MIN(4,COUNTIF($B$18:B585,B585)),"st","nd","rd","th"),"")</f>
        <v/>
      </c>
    </row>
    <row r="586" spans="9:9" x14ac:dyDescent="0.25">
      <c r="I586" s="164" t="str">
        <f>IFERROR(COUNTIF($B$18:B586,B586)&amp;CHOOSE(MIN(4,COUNTIF($B$18:B586,B586)),"st","nd","rd","th"),"")</f>
        <v/>
      </c>
    </row>
    <row r="587" spans="9:9" x14ac:dyDescent="0.25">
      <c r="I587" s="164" t="str">
        <f>IFERROR(COUNTIF($B$18:B587,B587)&amp;CHOOSE(MIN(4,COUNTIF($B$18:B587,B587)),"st","nd","rd","th"),"")</f>
        <v/>
      </c>
    </row>
    <row r="588" spans="9:9" x14ac:dyDescent="0.25">
      <c r="I588" s="164" t="str">
        <f>IFERROR(COUNTIF($B$18:B588,B588)&amp;CHOOSE(MIN(4,COUNTIF($B$18:B588,B588)),"st","nd","rd","th"),"")</f>
        <v/>
      </c>
    </row>
    <row r="589" spans="9:9" x14ac:dyDescent="0.25">
      <c r="I589" s="164" t="str">
        <f>IFERROR(COUNTIF($B$18:B589,B589)&amp;CHOOSE(MIN(4,COUNTIF($B$18:B589,B589)),"st","nd","rd","th"),"")</f>
        <v/>
      </c>
    </row>
    <row r="590" spans="9:9" x14ac:dyDescent="0.25">
      <c r="I590" s="164" t="str">
        <f>IFERROR(COUNTIF($B$18:B590,B590)&amp;CHOOSE(MIN(4,COUNTIF($B$18:B590,B590)),"st","nd","rd","th"),"")</f>
        <v/>
      </c>
    </row>
    <row r="591" spans="9:9" x14ac:dyDescent="0.25">
      <c r="I591" s="164" t="str">
        <f>IFERROR(COUNTIF($B$18:B591,B591)&amp;CHOOSE(MIN(4,COUNTIF($B$18:B591,B591)),"st","nd","rd","th"),"")</f>
        <v/>
      </c>
    </row>
    <row r="592" spans="9:9" x14ac:dyDescent="0.25">
      <c r="I592" s="164" t="str">
        <f>IFERROR(COUNTIF($B$18:B592,B592)&amp;CHOOSE(MIN(4,COUNTIF($B$18:B592,B592)),"st","nd","rd","th"),"")</f>
        <v/>
      </c>
    </row>
    <row r="593" spans="9:9" x14ac:dyDescent="0.25">
      <c r="I593" s="164" t="str">
        <f>IFERROR(COUNTIF($B$18:B593,B593)&amp;CHOOSE(MIN(4,COUNTIF($B$18:B593,B593)),"st","nd","rd","th"),"")</f>
        <v/>
      </c>
    </row>
    <row r="594" spans="9:9" x14ac:dyDescent="0.25">
      <c r="I594" s="164" t="str">
        <f>IFERROR(COUNTIF($B$18:B594,B594)&amp;CHOOSE(MIN(4,COUNTIF($B$18:B594,B594)),"st","nd","rd","th"),"")</f>
        <v/>
      </c>
    </row>
    <row r="595" spans="9:9" x14ac:dyDescent="0.25">
      <c r="I595" s="164" t="str">
        <f>IFERROR(COUNTIF($B$18:B595,B595)&amp;CHOOSE(MIN(4,COUNTIF($B$18:B595,B595)),"st","nd","rd","th"),"")</f>
        <v/>
      </c>
    </row>
    <row r="596" spans="9:9" x14ac:dyDescent="0.25">
      <c r="I596" s="164" t="str">
        <f>IFERROR(COUNTIF($B$18:B596,B596)&amp;CHOOSE(MIN(4,COUNTIF($B$18:B596,B596)),"st","nd","rd","th"),"")</f>
        <v/>
      </c>
    </row>
    <row r="597" spans="9:9" x14ac:dyDescent="0.25">
      <c r="I597" s="164" t="str">
        <f>IFERROR(COUNTIF($B$18:B597,B597)&amp;CHOOSE(MIN(4,COUNTIF($B$18:B597,B597)),"st","nd","rd","th"),"")</f>
        <v/>
      </c>
    </row>
    <row r="598" spans="9:9" x14ac:dyDescent="0.25">
      <c r="I598" s="164" t="str">
        <f>IFERROR(COUNTIF($B$18:B598,B598)&amp;CHOOSE(MIN(4,COUNTIF($B$18:B598,B598)),"st","nd","rd","th"),"")</f>
        <v/>
      </c>
    </row>
    <row r="599" spans="9:9" x14ac:dyDescent="0.25">
      <c r="I599" s="164" t="str">
        <f>IFERROR(COUNTIF($B$18:B599,B599)&amp;CHOOSE(MIN(4,COUNTIF($B$18:B599,B599)),"st","nd","rd","th"),"")</f>
        <v/>
      </c>
    </row>
    <row r="600" spans="9:9" x14ac:dyDescent="0.25">
      <c r="I600" s="164" t="str">
        <f>IFERROR(COUNTIF($B$18:B600,B600)&amp;CHOOSE(MIN(4,COUNTIF($B$18:B600,B600)),"st","nd","rd","th"),"")</f>
        <v/>
      </c>
    </row>
    <row r="601" spans="9:9" x14ac:dyDescent="0.25">
      <c r="I601" s="164" t="str">
        <f>IFERROR(COUNTIF($B$18:B601,B601)&amp;CHOOSE(MIN(4,COUNTIF($B$18:B601,B601)),"st","nd","rd","th"),"")</f>
        <v/>
      </c>
    </row>
    <row r="602" spans="9:9" x14ac:dyDescent="0.25">
      <c r="I602" s="164" t="str">
        <f>IFERROR(COUNTIF($B$18:B602,B602)&amp;CHOOSE(MIN(4,COUNTIF($B$18:B602,B602)),"st","nd","rd","th"),"")</f>
        <v/>
      </c>
    </row>
    <row r="603" spans="9:9" x14ac:dyDescent="0.25">
      <c r="I603" s="164" t="str">
        <f>IFERROR(COUNTIF($B$18:B603,B603)&amp;CHOOSE(MIN(4,COUNTIF($B$18:B603,B603)),"st","nd","rd","th"),"")</f>
        <v/>
      </c>
    </row>
    <row r="604" spans="9:9" x14ac:dyDescent="0.25">
      <c r="I604" s="164" t="str">
        <f>IFERROR(COUNTIF($B$18:B604,B604)&amp;CHOOSE(MIN(4,COUNTIF($B$18:B604,B604)),"st","nd","rd","th"),"")</f>
        <v/>
      </c>
    </row>
    <row r="605" spans="9:9" x14ac:dyDescent="0.25">
      <c r="I605" s="164" t="str">
        <f>IFERROR(COUNTIF($B$18:B605,B605)&amp;CHOOSE(MIN(4,COUNTIF($B$18:B605,B605)),"st","nd","rd","th"),"")</f>
        <v/>
      </c>
    </row>
    <row r="606" spans="9:9" x14ac:dyDescent="0.25">
      <c r="I606" s="164" t="str">
        <f>IFERROR(COUNTIF($B$18:B606,B606)&amp;CHOOSE(MIN(4,COUNTIF($B$18:B606,B606)),"st","nd","rd","th"),"")</f>
        <v/>
      </c>
    </row>
    <row r="607" spans="9:9" x14ac:dyDescent="0.25">
      <c r="I607" s="164" t="str">
        <f>IFERROR(COUNTIF($B$18:B607,B607)&amp;CHOOSE(MIN(4,COUNTIF($B$18:B607,B607)),"st","nd","rd","th"),"")</f>
        <v/>
      </c>
    </row>
    <row r="608" spans="9:9" x14ac:dyDescent="0.25">
      <c r="I608" s="164" t="str">
        <f>IFERROR(COUNTIF($B$18:B608,B608)&amp;CHOOSE(MIN(4,COUNTIF($B$18:B608,B608)),"st","nd","rd","th"),"")</f>
        <v/>
      </c>
    </row>
    <row r="609" spans="9:9" x14ac:dyDescent="0.25">
      <c r="I609" s="164" t="str">
        <f>IFERROR(COUNTIF($B$18:B609,B609)&amp;CHOOSE(MIN(4,COUNTIF($B$18:B609,B609)),"st","nd","rd","th"),"")</f>
        <v/>
      </c>
    </row>
    <row r="610" spans="9:9" x14ac:dyDescent="0.25">
      <c r="I610" s="164" t="str">
        <f>IFERROR(COUNTIF($B$18:B610,B610)&amp;CHOOSE(MIN(4,COUNTIF($B$18:B610,B610)),"st","nd","rd","th"),"")</f>
        <v/>
      </c>
    </row>
    <row r="611" spans="9:9" x14ac:dyDescent="0.25">
      <c r="I611" s="164" t="str">
        <f>IFERROR(COUNTIF($B$18:B611,B611)&amp;CHOOSE(MIN(4,COUNTIF($B$18:B611,B611)),"st","nd","rd","th"),"")</f>
        <v/>
      </c>
    </row>
    <row r="612" spans="9:9" x14ac:dyDescent="0.25">
      <c r="I612" s="164" t="str">
        <f>IFERROR(COUNTIF($B$18:B612,B612)&amp;CHOOSE(MIN(4,COUNTIF($B$18:B612,B612)),"st","nd","rd","th"),"")</f>
        <v/>
      </c>
    </row>
    <row r="613" spans="9:9" x14ac:dyDescent="0.25">
      <c r="I613" s="164" t="str">
        <f>IFERROR(COUNTIF($B$18:B613,B613)&amp;CHOOSE(MIN(4,COUNTIF($B$18:B613,B613)),"st","nd","rd","th"),"")</f>
        <v/>
      </c>
    </row>
    <row r="614" spans="9:9" x14ac:dyDescent="0.25">
      <c r="I614" s="164" t="str">
        <f>IFERROR(COUNTIF($B$18:B614,B614)&amp;CHOOSE(MIN(4,COUNTIF($B$18:B614,B614)),"st","nd","rd","th"),"")</f>
        <v/>
      </c>
    </row>
    <row r="615" spans="9:9" x14ac:dyDescent="0.25">
      <c r="I615" s="164" t="str">
        <f>IFERROR(COUNTIF($B$18:B615,B615)&amp;CHOOSE(MIN(4,COUNTIF($B$18:B615,B615)),"st","nd","rd","th"),"")</f>
        <v/>
      </c>
    </row>
    <row r="616" spans="9:9" x14ac:dyDescent="0.25">
      <c r="I616" s="164" t="str">
        <f>IFERROR(COUNTIF($B$18:B616,B616)&amp;CHOOSE(MIN(4,COUNTIF($B$18:B616,B616)),"st","nd","rd","th"),"")</f>
        <v/>
      </c>
    </row>
    <row r="617" spans="9:9" x14ac:dyDescent="0.25">
      <c r="I617" s="164" t="str">
        <f>IFERROR(COUNTIF($B$18:B617,B617)&amp;CHOOSE(MIN(4,COUNTIF($B$18:B617,B617)),"st","nd","rd","th"),"")</f>
        <v/>
      </c>
    </row>
    <row r="618" spans="9:9" x14ac:dyDescent="0.25">
      <c r="I618" s="164" t="str">
        <f>IFERROR(COUNTIF($B$18:B618,B618)&amp;CHOOSE(MIN(4,COUNTIF($B$18:B618,B618)),"st","nd","rd","th"),"")</f>
        <v/>
      </c>
    </row>
    <row r="619" spans="9:9" x14ac:dyDescent="0.25">
      <c r="I619" s="164" t="str">
        <f>IFERROR(COUNTIF($B$18:B619,B619)&amp;CHOOSE(MIN(4,COUNTIF($B$18:B619,B619)),"st","nd","rd","th"),"")</f>
        <v/>
      </c>
    </row>
    <row r="620" spans="9:9" x14ac:dyDescent="0.25">
      <c r="I620" s="164" t="str">
        <f>IFERROR(COUNTIF($B$18:B620,B620)&amp;CHOOSE(MIN(4,COUNTIF($B$18:B620,B620)),"st","nd","rd","th"),"")</f>
        <v/>
      </c>
    </row>
    <row r="621" spans="9:9" x14ac:dyDescent="0.25">
      <c r="I621" s="164" t="str">
        <f>IFERROR(COUNTIF($B$18:B621,B621)&amp;CHOOSE(MIN(4,COUNTIF($B$18:B621,B621)),"st","nd","rd","th"),"")</f>
        <v/>
      </c>
    </row>
    <row r="622" spans="9:9" x14ac:dyDescent="0.25">
      <c r="I622" s="164" t="str">
        <f>IFERROR(COUNTIF($B$18:B622,B622)&amp;CHOOSE(MIN(4,COUNTIF($B$18:B622,B622)),"st","nd","rd","th"),"")</f>
        <v/>
      </c>
    </row>
    <row r="623" spans="9:9" x14ac:dyDescent="0.25">
      <c r="I623" s="164" t="str">
        <f>IFERROR(COUNTIF($B$18:B623,B623)&amp;CHOOSE(MIN(4,COUNTIF($B$18:B623,B623)),"st","nd","rd","th"),"")</f>
        <v/>
      </c>
    </row>
    <row r="624" spans="9:9" x14ac:dyDescent="0.25">
      <c r="I624" s="164" t="str">
        <f>IFERROR(COUNTIF($B$18:B624,B624)&amp;CHOOSE(MIN(4,COUNTIF($B$18:B624,B624)),"st","nd","rd","th"),"")</f>
        <v/>
      </c>
    </row>
    <row r="625" spans="9:9" x14ac:dyDescent="0.25">
      <c r="I625" s="164" t="str">
        <f>IFERROR(COUNTIF($B$18:B625,B625)&amp;CHOOSE(MIN(4,COUNTIF($B$18:B625,B625)),"st","nd","rd","th"),"")</f>
        <v/>
      </c>
    </row>
    <row r="626" spans="9:9" x14ac:dyDescent="0.25">
      <c r="I626" s="164" t="str">
        <f>IFERROR(COUNTIF($B$18:B626,B626)&amp;CHOOSE(MIN(4,COUNTIF($B$18:B626,B626)),"st","nd","rd","th"),"")</f>
        <v/>
      </c>
    </row>
    <row r="627" spans="9:9" x14ac:dyDescent="0.25">
      <c r="I627" s="164" t="str">
        <f>IFERROR(COUNTIF($B$18:B627,B627)&amp;CHOOSE(MIN(4,COUNTIF($B$18:B627,B627)),"st","nd","rd","th"),"")</f>
        <v/>
      </c>
    </row>
    <row r="628" spans="9:9" x14ac:dyDescent="0.25">
      <c r="I628" s="164" t="str">
        <f>IFERROR(COUNTIF($B$18:B628,B628)&amp;CHOOSE(MIN(4,COUNTIF($B$18:B628,B628)),"st","nd","rd","th"),"")</f>
        <v/>
      </c>
    </row>
    <row r="629" spans="9:9" x14ac:dyDescent="0.25">
      <c r="I629" s="164" t="str">
        <f>IFERROR(COUNTIF($B$18:B629,B629)&amp;CHOOSE(MIN(4,COUNTIF($B$18:B629,B629)),"st","nd","rd","th"),"")</f>
        <v/>
      </c>
    </row>
    <row r="630" spans="9:9" x14ac:dyDescent="0.25">
      <c r="I630" s="164" t="str">
        <f>IFERROR(COUNTIF($B$18:B630,B630)&amp;CHOOSE(MIN(4,COUNTIF($B$18:B630,B630)),"st","nd","rd","th"),"")</f>
        <v/>
      </c>
    </row>
    <row r="631" spans="9:9" x14ac:dyDescent="0.25">
      <c r="I631" s="164" t="str">
        <f>IFERROR(COUNTIF($B$18:B631,B631)&amp;CHOOSE(MIN(4,COUNTIF($B$18:B631,B631)),"st","nd","rd","th"),"")</f>
        <v/>
      </c>
    </row>
    <row r="632" spans="9:9" x14ac:dyDescent="0.25">
      <c r="I632" s="164" t="str">
        <f>IFERROR(COUNTIF($B$18:B632,B632)&amp;CHOOSE(MIN(4,COUNTIF($B$18:B632,B632)),"st","nd","rd","th"),"")</f>
        <v/>
      </c>
    </row>
    <row r="633" spans="9:9" x14ac:dyDescent="0.25">
      <c r="I633" s="164" t="str">
        <f>IFERROR(COUNTIF($B$18:B633,B633)&amp;CHOOSE(MIN(4,COUNTIF($B$18:B633,B633)),"st","nd","rd","th"),"")</f>
        <v/>
      </c>
    </row>
    <row r="634" spans="9:9" x14ac:dyDescent="0.25">
      <c r="I634" s="164" t="str">
        <f>IFERROR(COUNTIF($B$18:B634,B634)&amp;CHOOSE(MIN(4,COUNTIF($B$18:B634,B634)),"st","nd","rd","th"),"")</f>
        <v/>
      </c>
    </row>
    <row r="635" spans="9:9" x14ac:dyDescent="0.25">
      <c r="I635" s="164" t="str">
        <f>IFERROR(COUNTIF($B$18:B635,B635)&amp;CHOOSE(MIN(4,COUNTIF($B$18:B635,B635)),"st","nd","rd","th"),"")</f>
        <v/>
      </c>
    </row>
    <row r="636" spans="9:9" x14ac:dyDescent="0.25">
      <c r="I636" s="164" t="str">
        <f>IFERROR(COUNTIF($B$18:B636,B636)&amp;CHOOSE(MIN(4,COUNTIF($B$18:B636,B636)),"st","nd","rd","th"),"")</f>
        <v/>
      </c>
    </row>
    <row r="637" spans="9:9" x14ac:dyDescent="0.25">
      <c r="I637" s="164" t="str">
        <f>IFERROR(COUNTIF($B$18:B637,B637)&amp;CHOOSE(MIN(4,COUNTIF($B$18:B637,B637)),"st","nd","rd","th"),"")</f>
        <v/>
      </c>
    </row>
    <row r="638" spans="9:9" x14ac:dyDescent="0.25">
      <c r="I638" s="164" t="str">
        <f>IFERROR(COUNTIF($B$18:B638,B638)&amp;CHOOSE(MIN(4,COUNTIF($B$18:B638,B638)),"st","nd","rd","th"),"")</f>
        <v/>
      </c>
    </row>
    <row r="639" spans="9:9" x14ac:dyDescent="0.25">
      <c r="I639" s="164" t="str">
        <f>IFERROR(COUNTIF($B$18:B639,B639)&amp;CHOOSE(MIN(4,COUNTIF($B$18:B639,B639)),"st","nd","rd","th"),"")</f>
        <v/>
      </c>
    </row>
    <row r="640" spans="9:9" x14ac:dyDescent="0.25">
      <c r="I640" s="164" t="str">
        <f>IFERROR(COUNTIF($B$18:B640,B640)&amp;CHOOSE(MIN(4,COUNTIF($B$18:B640,B640)),"st","nd","rd","th"),"")</f>
        <v/>
      </c>
    </row>
    <row r="641" spans="9:9" x14ac:dyDescent="0.25">
      <c r="I641" s="164" t="str">
        <f>IFERROR(COUNTIF($B$18:B641,B641)&amp;CHOOSE(MIN(4,COUNTIF($B$18:B641,B641)),"st","nd","rd","th"),"")</f>
        <v/>
      </c>
    </row>
    <row r="642" spans="9:9" x14ac:dyDescent="0.25">
      <c r="I642" s="164" t="str">
        <f>IFERROR(COUNTIF($B$18:B642,B642)&amp;CHOOSE(MIN(4,COUNTIF($B$18:B642,B642)),"st","nd","rd","th"),"")</f>
        <v/>
      </c>
    </row>
    <row r="643" spans="9:9" x14ac:dyDescent="0.25">
      <c r="I643" s="164" t="str">
        <f>IFERROR(COUNTIF($B$18:B643,B643)&amp;CHOOSE(MIN(4,COUNTIF($B$18:B643,B643)),"st","nd","rd","th"),"")</f>
        <v/>
      </c>
    </row>
    <row r="644" spans="9:9" x14ac:dyDescent="0.25">
      <c r="I644" s="164" t="str">
        <f>IFERROR(COUNTIF($B$18:B644,B644)&amp;CHOOSE(MIN(4,COUNTIF($B$18:B644,B644)),"st","nd","rd","th"),"")</f>
        <v/>
      </c>
    </row>
    <row r="645" spans="9:9" x14ac:dyDescent="0.25">
      <c r="I645" s="164" t="str">
        <f>IFERROR(COUNTIF($B$18:B645,B645)&amp;CHOOSE(MIN(4,COUNTIF($B$18:B645,B645)),"st","nd","rd","th"),"")</f>
        <v/>
      </c>
    </row>
    <row r="646" spans="9:9" x14ac:dyDescent="0.25">
      <c r="I646" s="164" t="str">
        <f>IFERROR(COUNTIF($B$18:B646,B646)&amp;CHOOSE(MIN(4,COUNTIF($B$18:B646,B646)),"st","nd","rd","th"),"")</f>
        <v/>
      </c>
    </row>
    <row r="647" spans="9:9" x14ac:dyDescent="0.25">
      <c r="I647" s="164" t="str">
        <f>IFERROR(COUNTIF($B$18:B647,B647)&amp;CHOOSE(MIN(4,COUNTIF($B$18:B647,B647)),"st","nd","rd","th"),"")</f>
        <v/>
      </c>
    </row>
    <row r="648" spans="9:9" x14ac:dyDescent="0.25">
      <c r="I648" s="164" t="str">
        <f>IFERROR(COUNTIF($B$18:B648,B648)&amp;CHOOSE(MIN(4,COUNTIF($B$18:B648,B648)),"st","nd","rd","th"),"")</f>
        <v/>
      </c>
    </row>
    <row r="649" spans="9:9" x14ac:dyDescent="0.25">
      <c r="I649" s="164" t="str">
        <f>IFERROR(COUNTIF($B$18:B649,B649)&amp;CHOOSE(MIN(4,COUNTIF($B$18:B649,B649)),"st","nd","rd","th"),"")</f>
        <v/>
      </c>
    </row>
    <row r="650" spans="9:9" x14ac:dyDescent="0.25">
      <c r="I650" s="164" t="str">
        <f>IFERROR(COUNTIF($B$18:B650,B650)&amp;CHOOSE(MIN(4,COUNTIF($B$18:B650,B650)),"st","nd","rd","th"),"")</f>
        <v/>
      </c>
    </row>
    <row r="651" spans="9:9" x14ac:dyDescent="0.25">
      <c r="I651" s="164" t="str">
        <f>IFERROR(COUNTIF($B$18:B651,B651)&amp;CHOOSE(MIN(4,COUNTIF($B$18:B651,B651)),"st","nd","rd","th"),"")</f>
        <v/>
      </c>
    </row>
    <row r="652" spans="9:9" x14ac:dyDescent="0.25">
      <c r="I652" s="164" t="str">
        <f>IFERROR(COUNTIF($B$18:B652,B652)&amp;CHOOSE(MIN(4,COUNTIF($B$18:B652,B652)),"st","nd","rd","th"),"")</f>
        <v/>
      </c>
    </row>
    <row r="653" spans="9:9" x14ac:dyDescent="0.25">
      <c r="I653" s="164" t="str">
        <f>IFERROR(COUNTIF($B$18:B653,B653)&amp;CHOOSE(MIN(4,COUNTIF($B$18:B653,B653)),"st","nd","rd","th"),"")</f>
        <v/>
      </c>
    </row>
    <row r="654" spans="9:9" x14ac:dyDescent="0.25">
      <c r="I654" s="164" t="str">
        <f>IFERROR(COUNTIF($B$18:B654,B654)&amp;CHOOSE(MIN(4,COUNTIF($B$18:B654,B654)),"st","nd","rd","th"),"")</f>
        <v/>
      </c>
    </row>
    <row r="655" spans="9:9" x14ac:dyDescent="0.25">
      <c r="I655" s="164" t="str">
        <f>IFERROR(COUNTIF($B$18:B655,B655)&amp;CHOOSE(MIN(4,COUNTIF($B$18:B655,B655)),"st","nd","rd","th"),"")</f>
        <v/>
      </c>
    </row>
    <row r="656" spans="9:9" x14ac:dyDescent="0.25">
      <c r="I656" s="164" t="str">
        <f>IFERROR(COUNTIF($B$18:B656,B656)&amp;CHOOSE(MIN(4,COUNTIF($B$18:B656,B656)),"st","nd","rd","th"),"")</f>
        <v/>
      </c>
    </row>
    <row r="657" spans="9:9" x14ac:dyDescent="0.25">
      <c r="I657" s="164" t="str">
        <f>IFERROR(COUNTIF($B$18:B657,B657)&amp;CHOOSE(MIN(4,COUNTIF($B$18:B657,B657)),"st","nd","rd","th"),"")</f>
        <v/>
      </c>
    </row>
    <row r="658" spans="9:9" x14ac:dyDescent="0.25">
      <c r="I658" s="164" t="str">
        <f>IFERROR(COUNTIF($B$18:B658,B658)&amp;CHOOSE(MIN(4,COUNTIF($B$18:B658,B658)),"st","nd","rd","th"),"")</f>
        <v/>
      </c>
    </row>
    <row r="659" spans="9:9" x14ac:dyDescent="0.25">
      <c r="I659" s="164" t="str">
        <f>IFERROR(COUNTIF($B$18:B659,B659)&amp;CHOOSE(MIN(4,COUNTIF($B$18:B659,B659)),"st","nd","rd","th"),"")</f>
        <v/>
      </c>
    </row>
    <row r="660" spans="9:9" x14ac:dyDescent="0.25">
      <c r="I660" s="164" t="str">
        <f>IFERROR(COUNTIF($B$18:B660,B660)&amp;CHOOSE(MIN(4,COUNTIF($B$18:B660,B660)),"st","nd","rd","th"),"")</f>
        <v/>
      </c>
    </row>
    <row r="661" spans="9:9" x14ac:dyDescent="0.25">
      <c r="I661" s="164" t="str">
        <f>IFERROR(COUNTIF($B$18:B661,B661)&amp;CHOOSE(MIN(4,COUNTIF($B$18:B661,B661)),"st","nd","rd","th"),"")</f>
        <v/>
      </c>
    </row>
    <row r="662" spans="9:9" x14ac:dyDescent="0.25">
      <c r="I662" s="164" t="str">
        <f>IFERROR(COUNTIF($B$18:B662,B662)&amp;CHOOSE(MIN(4,COUNTIF($B$18:B662,B662)),"st","nd","rd","th"),"")</f>
        <v/>
      </c>
    </row>
    <row r="663" spans="9:9" x14ac:dyDescent="0.25">
      <c r="I663" s="164" t="str">
        <f>IFERROR(COUNTIF($B$18:B663,B663)&amp;CHOOSE(MIN(4,COUNTIF($B$18:B663,B663)),"st","nd","rd","th"),"")</f>
        <v/>
      </c>
    </row>
    <row r="664" spans="9:9" x14ac:dyDescent="0.25">
      <c r="I664" s="164" t="str">
        <f>IFERROR(COUNTIF($B$18:B664,B664)&amp;CHOOSE(MIN(4,COUNTIF($B$18:B664,B664)),"st","nd","rd","th"),"")</f>
        <v/>
      </c>
    </row>
    <row r="665" spans="9:9" x14ac:dyDescent="0.25">
      <c r="I665" s="164" t="str">
        <f>IFERROR(COUNTIF($B$18:B665,B665)&amp;CHOOSE(MIN(4,COUNTIF($B$18:B665,B665)),"st","nd","rd","th"),"")</f>
        <v/>
      </c>
    </row>
    <row r="666" spans="9:9" x14ac:dyDescent="0.25">
      <c r="I666" s="164" t="str">
        <f>IFERROR(COUNTIF($B$18:B666,B666)&amp;CHOOSE(MIN(4,COUNTIF($B$18:B666,B666)),"st","nd","rd","th"),"")</f>
        <v/>
      </c>
    </row>
    <row r="667" spans="9:9" x14ac:dyDescent="0.25">
      <c r="I667" s="164" t="str">
        <f>IFERROR(COUNTIF($B$18:B667,B667)&amp;CHOOSE(MIN(4,COUNTIF($B$18:B667,B667)),"st","nd","rd","th"),"")</f>
        <v/>
      </c>
    </row>
    <row r="668" spans="9:9" x14ac:dyDescent="0.25">
      <c r="I668" s="164" t="str">
        <f>IFERROR(COUNTIF($B$18:B668,B668)&amp;CHOOSE(MIN(4,COUNTIF($B$18:B668,B668)),"st","nd","rd","th"),"")</f>
        <v/>
      </c>
    </row>
    <row r="669" spans="9:9" x14ac:dyDescent="0.25">
      <c r="I669" s="164" t="str">
        <f>IFERROR(COUNTIF($B$18:B669,B669)&amp;CHOOSE(MIN(4,COUNTIF($B$18:B669,B669)),"st","nd","rd","th"),"")</f>
        <v/>
      </c>
    </row>
    <row r="670" spans="9:9" x14ac:dyDescent="0.25">
      <c r="I670" s="164" t="str">
        <f>IFERROR(COUNTIF($B$18:B670,B670)&amp;CHOOSE(MIN(4,COUNTIF($B$18:B670,B670)),"st","nd","rd","th"),"")</f>
        <v/>
      </c>
    </row>
    <row r="671" spans="9:9" x14ac:dyDescent="0.25">
      <c r="I671" s="164" t="str">
        <f>IFERROR(COUNTIF($B$18:B671,B671)&amp;CHOOSE(MIN(4,COUNTIF($B$18:B671,B671)),"st","nd","rd","th"),"")</f>
        <v/>
      </c>
    </row>
    <row r="672" spans="9:9" x14ac:dyDescent="0.25">
      <c r="I672" s="164" t="str">
        <f>IFERROR(COUNTIF($B$18:B672,B672)&amp;CHOOSE(MIN(4,COUNTIF($B$18:B672,B672)),"st","nd","rd","th"),"")</f>
        <v/>
      </c>
    </row>
    <row r="673" spans="9:9" x14ac:dyDescent="0.25">
      <c r="I673" s="164" t="str">
        <f>IFERROR(COUNTIF($B$18:B673,B673)&amp;CHOOSE(MIN(4,COUNTIF($B$18:B673,B673)),"st","nd","rd","th"),"")</f>
        <v/>
      </c>
    </row>
    <row r="674" spans="9:9" x14ac:dyDescent="0.25">
      <c r="I674" s="164" t="str">
        <f>IFERROR(COUNTIF($B$18:B674,B674)&amp;CHOOSE(MIN(4,COUNTIF($B$18:B674,B674)),"st","nd","rd","th"),"")</f>
        <v/>
      </c>
    </row>
    <row r="675" spans="9:9" x14ac:dyDescent="0.25">
      <c r="I675" s="164" t="str">
        <f>IFERROR(COUNTIF($B$18:B675,B675)&amp;CHOOSE(MIN(4,COUNTIF($B$18:B675,B675)),"st","nd","rd","th"),"")</f>
        <v/>
      </c>
    </row>
    <row r="676" spans="9:9" x14ac:dyDescent="0.25">
      <c r="I676" s="164" t="str">
        <f>IFERROR(COUNTIF($B$18:B676,B676)&amp;CHOOSE(MIN(4,COUNTIF($B$18:B676,B676)),"st","nd","rd","th"),"")</f>
        <v/>
      </c>
    </row>
    <row r="677" spans="9:9" x14ac:dyDescent="0.25">
      <c r="I677" s="164" t="str">
        <f>IFERROR(COUNTIF($B$18:B677,B677)&amp;CHOOSE(MIN(4,COUNTIF($B$18:B677,B677)),"st","nd","rd","th"),"")</f>
        <v/>
      </c>
    </row>
    <row r="678" spans="9:9" x14ac:dyDescent="0.25">
      <c r="I678" s="164" t="str">
        <f>IFERROR(COUNTIF($B$18:B678,B678)&amp;CHOOSE(MIN(4,COUNTIF($B$18:B678,B678)),"st","nd","rd","th"),"")</f>
        <v/>
      </c>
    </row>
    <row r="679" spans="9:9" x14ac:dyDescent="0.25">
      <c r="I679" s="164" t="str">
        <f>IFERROR(COUNTIF($B$18:B679,B679)&amp;CHOOSE(MIN(4,COUNTIF($B$18:B679,B679)),"st","nd","rd","th"),"")</f>
        <v/>
      </c>
    </row>
    <row r="680" spans="9:9" x14ac:dyDescent="0.25">
      <c r="I680" s="164" t="str">
        <f>IFERROR(COUNTIF($B$18:B680,B680)&amp;CHOOSE(MIN(4,COUNTIF($B$18:B680,B680)),"st","nd","rd","th"),"")</f>
        <v/>
      </c>
    </row>
    <row r="681" spans="9:9" x14ac:dyDescent="0.25">
      <c r="I681" s="164" t="str">
        <f>IFERROR(COUNTIF($B$18:B681,B681)&amp;CHOOSE(MIN(4,COUNTIF($B$18:B681,B681)),"st","nd","rd","th"),"")</f>
        <v/>
      </c>
    </row>
    <row r="682" spans="9:9" x14ac:dyDescent="0.25">
      <c r="I682" s="164" t="str">
        <f>IFERROR(COUNTIF($B$18:B682,B682)&amp;CHOOSE(MIN(4,COUNTIF($B$18:B682,B682)),"st","nd","rd","th"),"")</f>
        <v/>
      </c>
    </row>
    <row r="683" spans="9:9" x14ac:dyDescent="0.25">
      <c r="I683" s="164" t="str">
        <f>IFERROR(COUNTIF($B$18:B683,B683)&amp;CHOOSE(MIN(4,COUNTIF($B$18:B683,B683)),"st","nd","rd","th"),"")</f>
        <v/>
      </c>
    </row>
    <row r="684" spans="9:9" x14ac:dyDescent="0.25">
      <c r="I684" s="164" t="str">
        <f>IFERROR(COUNTIF($B$18:B684,B684)&amp;CHOOSE(MIN(4,COUNTIF($B$18:B684,B684)),"st","nd","rd","th"),"")</f>
        <v/>
      </c>
    </row>
    <row r="685" spans="9:9" x14ac:dyDescent="0.25">
      <c r="I685" s="164" t="str">
        <f>IFERROR(COUNTIF($B$18:B685,B685)&amp;CHOOSE(MIN(4,COUNTIF($B$18:B685,B685)),"st","nd","rd","th"),"")</f>
        <v/>
      </c>
    </row>
    <row r="686" spans="9:9" x14ac:dyDescent="0.25">
      <c r="I686" s="164" t="str">
        <f>IFERROR(COUNTIF($B$18:B686,B686)&amp;CHOOSE(MIN(4,COUNTIF($B$18:B686,B686)),"st","nd","rd","th"),"")</f>
        <v/>
      </c>
    </row>
    <row r="687" spans="9:9" x14ac:dyDescent="0.25">
      <c r="I687" s="164" t="str">
        <f>IFERROR(COUNTIF($B$18:B687,B687)&amp;CHOOSE(MIN(4,COUNTIF($B$18:B687,B687)),"st","nd","rd","th"),"")</f>
        <v/>
      </c>
    </row>
    <row r="688" spans="9:9" x14ac:dyDescent="0.25">
      <c r="I688" s="164" t="str">
        <f>IFERROR(COUNTIF($B$18:B688,B688)&amp;CHOOSE(MIN(4,COUNTIF($B$18:B688,B688)),"st","nd","rd","th"),"")</f>
        <v/>
      </c>
    </row>
    <row r="689" spans="9:9" x14ac:dyDescent="0.25">
      <c r="I689" s="164" t="str">
        <f>IFERROR(COUNTIF($B$18:B689,B689)&amp;CHOOSE(MIN(4,COUNTIF($B$18:B689,B689)),"st","nd","rd","th"),"")</f>
        <v/>
      </c>
    </row>
    <row r="690" spans="9:9" x14ac:dyDescent="0.25">
      <c r="I690" s="164" t="str">
        <f>IFERROR(COUNTIF($B$18:B690,B690)&amp;CHOOSE(MIN(4,COUNTIF($B$18:B690,B690)),"st","nd","rd","th"),"")</f>
        <v/>
      </c>
    </row>
    <row r="691" spans="9:9" x14ac:dyDescent="0.25">
      <c r="I691" s="164" t="str">
        <f>IFERROR(COUNTIF($B$18:B691,B691)&amp;CHOOSE(MIN(4,COUNTIF($B$18:B691,B691)),"st","nd","rd","th"),"")</f>
        <v/>
      </c>
    </row>
    <row r="692" spans="9:9" x14ac:dyDescent="0.25">
      <c r="I692" s="164" t="str">
        <f>IFERROR(COUNTIF($B$18:B692,B692)&amp;CHOOSE(MIN(4,COUNTIF($B$18:B692,B692)),"st","nd","rd","th"),"")</f>
        <v/>
      </c>
    </row>
    <row r="693" spans="9:9" x14ac:dyDescent="0.25">
      <c r="I693" s="164" t="str">
        <f>IFERROR(COUNTIF($B$18:B693,B693)&amp;CHOOSE(MIN(4,COUNTIF($B$18:B693,B693)),"st","nd","rd","th"),"")</f>
        <v/>
      </c>
    </row>
    <row r="694" spans="9:9" x14ac:dyDescent="0.25">
      <c r="I694" s="164" t="str">
        <f>IFERROR(COUNTIF($B$18:B694,B694)&amp;CHOOSE(MIN(4,COUNTIF($B$18:B694,B694)),"st","nd","rd","th"),"")</f>
        <v/>
      </c>
    </row>
    <row r="695" spans="9:9" x14ac:dyDescent="0.25">
      <c r="I695" s="164" t="str">
        <f>IFERROR(COUNTIF($B$18:B695,B695)&amp;CHOOSE(MIN(4,COUNTIF($B$18:B695,B695)),"st","nd","rd","th"),"")</f>
        <v/>
      </c>
    </row>
    <row r="696" spans="9:9" x14ac:dyDescent="0.25">
      <c r="I696" s="164" t="str">
        <f>IFERROR(COUNTIF($B$18:B696,B696)&amp;CHOOSE(MIN(4,COUNTIF($B$18:B696,B696)),"st","nd","rd","th"),"")</f>
        <v/>
      </c>
    </row>
    <row r="697" spans="9:9" x14ac:dyDescent="0.25">
      <c r="I697" s="164" t="str">
        <f>IFERROR(COUNTIF($B$18:B697,B697)&amp;CHOOSE(MIN(4,COUNTIF($B$18:B697,B697)),"st","nd","rd","th"),"")</f>
        <v/>
      </c>
    </row>
    <row r="698" spans="9:9" x14ac:dyDescent="0.25">
      <c r="I698" s="164" t="str">
        <f>IFERROR(COUNTIF($B$18:B698,B698)&amp;CHOOSE(MIN(4,COUNTIF($B$18:B698,B698)),"st","nd","rd","th"),"")</f>
        <v/>
      </c>
    </row>
    <row r="699" spans="9:9" x14ac:dyDescent="0.25">
      <c r="I699" s="164" t="str">
        <f>IFERROR(COUNTIF($B$18:B699,B699)&amp;CHOOSE(MIN(4,COUNTIF($B$18:B699,B699)),"st","nd","rd","th"),"")</f>
        <v/>
      </c>
    </row>
    <row r="700" spans="9:9" x14ac:dyDescent="0.25">
      <c r="I700" s="164" t="str">
        <f>IFERROR(COUNTIF($B$18:B700,B700)&amp;CHOOSE(MIN(4,COUNTIF($B$18:B700,B700)),"st","nd","rd","th"),"")</f>
        <v/>
      </c>
    </row>
    <row r="701" spans="9:9" x14ac:dyDescent="0.25">
      <c r="I701" s="164" t="str">
        <f>IFERROR(COUNTIF($B$18:B701,B701)&amp;CHOOSE(MIN(4,COUNTIF($B$18:B701,B701)),"st","nd","rd","th"),"")</f>
        <v/>
      </c>
    </row>
    <row r="702" spans="9:9" x14ac:dyDescent="0.25">
      <c r="I702" s="164" t="str">
        <f>IFERROR(COUNTIF($B$18:B702,B702)&amp;CHOOSE(MIN(4,COUNTIF($B$18:B702,B702)),"st","nd","rd","th"),"")</f>
        <v/>
      </c>
    </row>
    <row r="703" spans="9:9" x14ac:dyDescent="0.25">
      <c r="I703" s="164" t="str">
        <f>IFERROR(COUNTIF($B$18:B703,B703)&amp;CHOOSE(MIN(4,COUNTIF($B$18:B703,B703)),"st","nd","rd","th"),"")</f>
        <v/>
      </c>
    </row>
    <row r="704" spans="9:9" x14ac:dyDescent="0.25">
      <c r="I704" s="164" t="str">
        <f>IFERROR(COUNTIF($B$18:B704,B704)&amp;CHOOSE(MIN(4,COUNTIF($B$18:B704,B704)),"st","nd","rd","th"),"")</f>
        <v/>
      </c>
    </row>
    <row r="705" spans="9:9" x14ac:dyDescent="0.25">
      <c r="I705" s="164" t="str">
        <f>IFERROR(COUNTIF($B$18:B705,B705)&amp;CHOOSE(MIN(4,COUNTIF($B$18:B705,B705)),"st","nd","rd","th"),"")</f>
        <v/>
      </c>
    </row>
    <row r="706" spans="9:9" x14ac:dyDescent="0.25">
      <c r="I706" s="164" t="str">
        <f>IFERROR(COUNTIF($B$18:B706,B706)&amp;CHOOSE(MIN(4,COUNTIF($B$18:B706,B706)),"st","nd","rd","th"),"")</f>
        <v/>
      </c>
    </row>
    <row r="707" spans="9:9" x14ac:dyDescent="0.25">
      <c r="I707" s="164" t="str">
        <f>IFERROR(COUNTIF($B$18:B707,B707)&amp;CHOOSE(MIN(4,COUNTIF($B$18:B707,B707)),"st","nd","rd","th"),"")</f>
        <v/>
      </c>
    </row>
    <row r="708" spans="9:9" x14ac:dyDescent="0.25">
      <c r="I708" s="164" t="str">
        <f>IFERROR(COUNTIF($B$18:B708,B708)&amp;CHOOSE(MIN(4,COUNTIF($B$18:B708,B708)),"st","nd","rd","th"),"")</f>
        <v/>
      </c>
    </row>
    <row r="709" spans="9:9" x14ac:dyDescent="0.25">
      <c r="I709" s="164" t="str">
        <f>IFERROR(COUNTIF($B$18:B709,B709)&amp;CHOOSE(MIN(4,COUNTIF($B$18:B709,B709)),"st","nd","rd","th"),"")</f>
        <v/>
      </c>
    </row>
    <row r="710" spans="9:9" x14ac:dyDescent="0.25">
      <c r="I710" s="164" t="str">
        <f>IFERROR(COUNTIF($B$18:B710,B710)&amp;CHOOSE(MIN(4,COUNTIF($B$18:B710,B710)),"st","nd","rd","th"),"")</f>
        <v/>
      </c>
    </row>
    <row r="711" spans="9:9" x14ac:dyDescent="0.25">
      <c r="I711" s="164" t="str">
        <f>IFERROR(COUNTIF($B$18:B711,B711)&amp;CHOOSE(MIN(4,COUNTIF($B$18:B711,B711)),"st","nd","rd","th"),"")</f>
        <v/>
      </c>
    </row>
    <row r="712" spans="9:9" x14ac:dyDescent="0.25">
      <c r="I712" s="164" t="str">
        <f>IFERROR(COUNTIF($B$18:B712,B712)&amp;CHOOSE(MIN(4,COUNTIF($B$18:B712,B712)),"st","nd","rd","th"),"")</f>
        <v/>
      </c>
    </row>
    <row r="713" spans="9:9" x14ac:dyDescent="0.25">
      <c r="I713" s="164" t="str">
        <f>IFERROR(COUNTIF($B$18:B713,B713)&amp;CHOOSE(MIN(4,COUNTIF($B$18:B713,B713)),"st","nd","rd","th"),"")</f>
        <v/>
      </c>
    </row>
    <row r="714" spans="9:9" x14ac:dyDescent="0.25">
      <c r="I714" s="164" t="str">
        <f>IFERROR(COUNTIF($B$18:B714,B714)&amp;CHOOSE(MIN(4,COUNTIF($B$18:B714,B714)),"st","nd","rd","th"),"")</f>
        <v/>
      </c>
    </row>
    <row r="715" spans="9:9" x14ac:dyDescent="0.25">
      <c r="I715" s="164" t="str">
        <f>IFERROR(COUNTIF($B$18:B715,B715)&amp;CHOOSE(MIN(4,COUNTIF($B$18:B715,B715)),"st","nd","rd","th"),"")</f>
        <v/>
      </c>
    </row>
    <row r="716" spans="9:9" x14ac:dyDescent="0.25">
      <c r="I716" s="164" t="str">
        <f>IFERROR(COUNTIF($B$18:B716,B716)&amp;CHOOSE(MIN(4,COUNTIF($B$18:B716,B716)),"st","nd","rd","th"),"")</f>
        <v/>
      </c>
    </row>
    <row r="717" spans="9:9" x14ac:dyDescent="0.25">
      <c r="I717" s="164" t="str">
        <f>IFERROR(COUNTIF($B$18:B717,B717)&amp;CHOOSE(MIN(4,COUNTIF($B$18:B717,B717)),"st","nd","rd","th"),"")</f>
        <v/>
      </c>
    </row>
    <row r="718" spans="9:9" x14ac:dyDescent="0.25">
      <c r="I718" s="164" t="str">
        <f>IFERROR(COUNTIF($B$18:B718,B718)&amp;CHOOSE(MIN(4,COUNTIF($B$18:B718,B718)),"st","nd","rd","th"),"")</f>
        <v/>
      </c>
    </row>
    <row r="719" spans="9:9" x14ac:dyDescent="0.25">
      <c r="I719" s="164" t="str">
        <f>IFERROR(COUNTIF($B$18:B719,B719)&amp;CHOOSE(MIN(4,COUNTIF($B$18:B719,B719)),"st","nd","rd","th"),"")</f>
        <v/>
      </c>
    </row>
    <row r="720" spans="9:9" x14ac:dyDescent="0.25">
      <c r="I720" s="164" t="str">
        <f>IFERROR(COUNTIF($B$18:B720,B720)&amp;CHOOSE(MIN(4,COUNTIF($B$18:B720,B720)),"st","nd","rd","th"),"")</f>
        <v/>
      </c>
    </row>
    <row r="721" spans="9:9" x14ac:dyDescent="0.25">
      <c r="I721" s="164" t="str">
        <f>IFERROR(COUNTIF($B$18:B721,B721)&amp;CHOOSE(MIN(4,COUNTIF($B$18:B721,B721)),"st","nd","rd","th"),"")</f>
        <v/>
      </c>
    </row>
    <row r="722" spans="9:9" x14ac:dyDescent="0.25">
      <c r="I722" s="164" t="str">
        <f>IFERROR(COUNTIF($B$18:B722,B722)&amp;CHOOSE(MIN(4,COUNTIF($B$18:B722,B722)),"st","nd","rd","th"),"")</f>
        <v/>
      </c>
    </row>
    <row r="723" spans="9:9" x14ac:dyDescent="0.25">
      <c r="I723" s="164" t="str">
        <f>IFERROR(COUNTIF($B$18:B723,B723)&amp;CHOOSE(MIN(4,COUNTIF($B$18:B723,B723)),"st","nd","rd","th"),"")</f>
        <v/>
      </c>
    </row>
    <row r="724" spans="9:9" x14ac:dyDescent="0.25">
      <c r="I724" s="164" t="str">
        <f>IFERROR(COUNTIF($B$18:B724,B724)&amp;CHOOSE(MIN(4,COUNTIF($B$18:B724,B724)),"st","nd","rd","th"),"")</f>
        <v/>
      </c>
    </row>
    <row r="725" spans="9:9" x14ac:dyDescent="0.25">
      <c r="I725" s="164" t="str">
        <f>IFERROR(COUNTIF($B$18:B725,B725)&amp;CHOOSE(MIN(4,COUNTIF($B$18:B725,B725)),"st","nd","rd","th"),"")</f>
        <v/>
      </c>
    </row>
    <row r="726" spans="9:9" x14ac:dyDescent="0.25">
      <c r="I726" s="164" t="str">
        <f>IFERROR(COUNTIF($B$18:B726,B726)&amp;CHOOSE(MIN(4,COUNTIF($B$18:B726,B726)),"st","nd","rd","th"),"")</f>
        <v/>
      </c>
    </row>
    <row r="727" spans="9:9" x14ac:dyDescent="0.25">
      <c r="I727" s="164" t="str">
        <f>IFERROR(COUNTIF($B$18:B727,B727)&amp;CHOOSE(MIN(4,COUNTIF($B$18:B727,B727)),"st","nd","rd","th"),"")</f>
        <v/>
      </c>
    </row>
    <row r="728" spans="9:9" x14ac:dyDescent="0.25">
      <c r="I728" s="164" t="str">
        <f>IFERROR(COUNTIF($B$18:B728,B728)&amp;CHOOSE(MIN(4,COUNTIF($B$18:B728,B728)),"st","nd","rd","th"),"")</f>
        <v/>
      </c>
    </row>
    <row r="729" spans="9:9" x14ac:dyDescent="0.25">
      <c r="I729" s="164" t="str">
        <f>IFERROR(COUNTIF($B$18:B729,B729)&amp;CHOOSE(MIN(4,COUNTIF($B$18:B729,B729)),"st","nd","rd","th"),"")</f>
        <v/>
      </c>
    </row>
    <row r="730" spans="9:9" x14ac:dyDescent="0.25">
      <c r="I730" s="164" t="str">
        <f>IFERROR(COUNTIF($B$18:B730,B730)&amp;CHOOSE(MIN(4,COUNTIF($B$18:B730,B730)),"st","nd","rd","th"),"")</f>
        <v/>
      </c>
    </row>
    <row r="731" spans="9:9" x14ac:dyDescent="0.25">
      <c r="I731" s="164" t="str">
        <f>IFERROR(COUNTIF($B$18:B731,B731)&amp;CHOOSE(MIN(4,COUNTIF($B$18:B731,B731)),"st","nd","rd","th"),"")</f>
        <v/>
      </c>
    </row>
    <row r="732" spans="9:9" x14ac:dyDescent="0.25">
      <c r="I732" s="164" t="str">
        <f>IFERROR(COUNTIF($B$18:B732,B732)&amp;CHOOSE(MIN(4,COUNTIF($B$18:B732,B732)),"st","nd","rd","th"),"")</f>
        <v/>
      </c>
    </row>
    <row r="733" spans="9:9" x14ac:dyDescent="0.25">
      <c r="I733" s="164" t="str">
        <f>IFERROR(COUNTIF($B$18:B733,B733)&amp;CHOOSE(MIN(4,COUNTIF($B$18:B733,B733)),"st","nd","rd","th"),"")</f>
        <v/>
      </c>
    </row>
    <row r="734" spans="9:9" x14ac:dyDescent="0.25">
      <c r="I734" s="164" t="str">
        <f>IFERROR(COUNTIF($B$18:B734,B734)&amp;CHOOSE(MIN(4,COUNTIF($B$18:B734,B734)),"st","nd","rd","th"),"")</f>
        <v/>
      </c>
    </row>
    <row r="735" spans="9:9" x14ac:dyDescent="0.25">
      <c r="I735" s="164" t="str">
        <f>IFERROR(COUNTIF($B$18:B735,B735)&amp;CHOOSE(MIN(4,COUNTIF($B$18:B735,B735)),"st","nd","rd","th"),"")</f>
        <v/>
      </c>
    </row>
    <row r="736" spans="9:9" x14ac:dyDescent="0.25">
      <c r="I736" s="164" t="str">
        <f>IFERROR(COUNTIF($B$18:B736,B736)&amp;CHOOSE(MIN(4,COUNTIF($B$18:B736,B736)),"st","nd","rd","th"),"")</f>
        <v/>
      </c>
    </row>
    <row r="737" spans="9:9" x14ac:dyDescent="0.25">
      <c r="I737" s="164" t="str">
        <f>IFERROR(COUNTIF($B$18:B737,B737)&amp;CHOOSE(MIN(4,COUNTIF($B$18:B737,B737)),"st","nd","rd","th"),"")</f>
        <v/>
      </c>
    </row>
    <row r="738" spans="9:9" x14ac:dyDescent="0.25">
      <c r="I738" s="164" t="str">
        <f>IFERROR(COUNTIF($B$18:B738,B738)&amp;CHOOSE(MIN(4,COUNTIF($B$18:B738,B738)),"st","nd","rd","th"),"")</f>
        <v/>
      </c>
    </row>
    <row r="739" spans="9:9" x14ac:dyDescent="0.25">
      <c r="I739" s="164" t="str">
        <f>IFERROR(COUNTIF($B$18:B739,B739)&amp;CHOOSE(MIN(4,COUNTIF($B$18:B739,B739)),"st","nd","rd","th"),"")</f>
        <v/>
      </c>
    </row>
    <row r="740" spans="9:9" x14ac:dyDescent="0.25">
      <c r="I740" s="164" t="str">
        <f>IFERROR(COUNTIF($B$18:B740,B740)&amp;CHOOSE(MIN(4,COUNTIF($B$18:B740,B740)),"st","nd","rd","th"),"")</f>
        <v/>
      </c>
    </row>
    <row r="741" spans="9:9" x14ac:dyDescent="0.25">
      <c r="I741" s="164" t="str">
        <f>IFERROR(COUNTIF($B$18:B741,B741)&amp;CHOOSE(MIN(4,COUNTIF($B$18:B741,B741)),"st","nd","rd","th"),"")</f>
        <v/>
      </c>
    </row>
    <row r="742" spans="9:9" x14ac:dyDescent="0.25">
      <c r="I742" s="164" t="str">
        <f>IFERROR(COUNTIF($B$18:B742,B742)&amp;CHOOSE(MIN(4,COUNTIF($B$18:B742,B742)),"st","nd","rd","th"),"")</f>
        <v/>
      </c>
    </row>
    <row r="743" spans="9:9" x14ac:dyDescent="0.25">
      <c r="I743" s="164" t="str">
        <f>IFERROR(COUNTIF($B$18:B743,B743)&amp;CHOOSE(MIN(4,COUNTIF($B$18:B743,B743)),"st","nd","rd","th"),"")</f>
        <v/>
      </c>
    </row>
    <row r="744" spans="9:9" x14ac:dyDescent="0.25">
      <c r="I744" s="164" t="str">
        <f>IFERROR(COUNTIF($B$18:B744,B744)&amp;CHOOSE(MIN(4,COUNTIF($B$18:B744,B744)),"st","nd","rd","th"),"")</f>
        <v/>
      </c>
    </row>
    <row r="745" spans="9:9" x14ac:dyDescent="0.25">
      <c r="I745" s="164" t="str">
        <f>IFERROR(COUNTIF($B$18:B745,B745)&amp;CHOOSE(MIN(4,COUNTIF($B$18:B745,B745)),"st","nd","rd","th"),"")</f>
        <v/>
      </c>
    </row>
    <row r="746" spans="9:9" x14ac:dyDescent="0.25">
      <c r="I746" s="164" t="str">
        <f>IFERROR(COUNTIF($B$18:B746,B746)&amp;CHOOSE(MIN(4,COUNTIF($B$18:B746,B746)),"st","nd","rd","th"),"")</f>
        <v/>
      </c>
    </row>
    <row r="747" spans="9:9" x14ac:dyDescent="0.25">
      <c r="I747" s="164" t="str">
        <f>IFERROR(COUNTIF($B$18:B747,B747)&amp;CHOOSE(MIN(4,COUNTIF($B$18:B747,B747)),"st","nd","rd","th"),"")</f>
        <v/>
      </c>
    </row>
    <row r="748" spans="9:9" x14ac:dyDescent="0.25">
      <c r="I748" s="164" t="str">
        <f>IFERROR(COUNTIF($B$18:B748,B748)&amp;CHOOSE(MIN(4,COUNTIF($B$18:B748,B748)),"st","nd","rd","th"),"")</f>
        <v/>
      </c>
    </row>
    <row r="749" spans="9:9" x14ac:dyDescent="0.25">
      <c r="I749" s="164" t="str">
        <f>IFERROR(COUNTIF($B$18:B749,B749)&amp;CHOOSE(MIN(4,COUNTIF($B$18:B749,B749)),"st","nd","rd","th"),"")</f>
        <v/>
      </c>
    </row>
    <row r="750" spans="9:9" x14ac:dyDescent="0.25">
      <c r="I750" s="164" t="str">
        <f>IFERROR(COUNTIF($B$18:B750,B750)&amp;CHOOSE(MIN(4,COUNTIF($B$18:B750,B750)),"st","nd","rd","th"),"")</f>
        <v/>
      </c>
    </row>
    <row r="751" spans="9:9" x14ac:dyDescent="0.25">
      <c r="I751" s="164" t="str">
        <f>IFERROR(COUNTIF($B$18:B751,B751)&amp;CHOOSE(MIN(4,COUNTIF($B$18:B751,B751)),"st","nd","rd","th"),"")</f>
        <v/>
      </c>
    </row>
    <row r="752" spans="9:9" x14ac:dyDescent="0.25">
      <c r="I752" s="164" t="str">
        <f>IFERROR(COUNTIF($B$18:B752,B752)&amp;CHOOSE(MIN(4,COUNTIF($B$18:B752,B752)),"st","nd","rd","th"),"")</f>
        <v/>
      </c>
    </row>
    <row r="753" spans="9:9" x14ac:dyDescent="0.25">
      <c r="I753" s="164" t="str">
        <f>IFERROR(COUNTIF($B$18:B753,B753)&amp;CHOOSE(MIN(4,COUNTIF($B$18:B753,B753)),"st","nd","rd","th"),"")</f>
        <v/>
      </c>
    </row>
    <row r="754" spans="9:9" x14ac:dyDescent="0.25">
      <c r="I754" s="164" t="str">
        <f>IFERROR(COUNTIF($B$18:B754,B754)&amp;CHOOSE(MIN(4,COUNTIF($B$18:B754,B754)),"st","nd","rd","th"),"")</f>
        <v/>
      </c>
    </row>
    <row r="755" spans="9:9" x14ac:dyDescent="0.25">
      <c r="I755" s="164" t="str">
        <f>IFERROR(COUNTIF($B$18:B755,B755)&amp;CHOOSE(MIN(4,COUNTIF($B$18:B755,B755)),"st","nd","rd","th"),"")</f>
        <v/>
      </c>
    </row>
    <row r="756" spans="9:9" x14ac:dyDescent="0.25">
      <c r="I756" s="164" t="str">
        <f>IFERROR(COUNTIF($B$18:B756,B756)&amp;CHOOSE(MIN(4,COUNTIF($B$18:B756,B756)),"st","nd","rd","th"),"")</f>
        <v/>
      </c>
    </row>
    <row r="757" spans="9:9" x14ac:dyDescent="0.25">
      <c r="I757" s="164" t="str">
        <f>IFERROR(COUNTIF($B$18:B757,B757)&amp;CHOOSE(MIN(4,COUNTIF($B$18:B757,B757)),"st","nd","rd","th"),"")</f>
        <v/>
      </c>
    </row>
    <row r="758" spans="9:9" x14ac:dyDescent="0.25">
      <c r="I758" s="164" t="str">
        <f>IFERROR(COUNTIF($B$18:B758,B758)&amp;CHOOSE(MIN(4,COUNTIF($B$18:B758,B758)),"st","nd","rd","th"),"")</f>
        <v/>
      </c>
    </row>
    <row r="759" spans="9:9" x14ac:dyDescent="0.25">
      <c r="I759" s="164" t="str">
        <f>IFERROR(COUNTIF($B$18:B759,B759)&amp;CHOOSE(MIN(4,COUNTIF($B$18:B759,B759)),"st","nd","rd","th"),"")</f>
        <v/>
      </c>
    </row>
    <row r="760" spans="9:9" x14ac:dyDescent="0.25">
      <c r="I760" s="164" t="str">
        <f>IFERROR(COUNTIF($B$18:B760,B760)&amp;CHOOSE(MIN(4,COUNTIF($B$18:B760,B760)),"st","nd","rd","th"),"")</f>
        <v/>
      </c>
    </row>
    <row r="761" spans="9:9" x14ac:dyDescent="0.25">
      <c r="I761" s="164" t="str">
        <f>IFERROR(COUNTIF($B$18:B761,B761)&amp;CHOOSE(MIN(4,COUNTIF($B$18:B761,B761)),"st","nd","rd","th"),"")</f>
        <v/>
      </c>
    </row>
    <row r="762" spans="9:9" x14ac:dyDescent="0.25">
      <c r="I762" s="164" t="str">
        <f>IFERROR(COUNTIF($B$18:B762,B762)&amp;CHOOSE(MIN(4,COUNTIF($B$18:B762,B762)),"st","nd","rd","th"),"")</f>
        <v/>
      </c>
    </row>
    <row r="763" spans="9:9" x14ac:dyDescent="0.25">
      <c r="I763" s="164" t="str">
        <f>IFERROR(COUNTIF($B$18:B763,B763)&amp;CHOOSE(MIN(4,COUNTIF($B$18:B763,B763)),"st","nd","rd","th"),"")</f>
        <v/>
      </c>
    </row>
    <row r="764" spans="9:9" x14ac:dyDescent="0.25">
      <c r="I764" s="164" t="str">
        <f>IFERROR(COUNTIF($B$18:B764,B764)&amp;CHOOSE(MIN(4,COUNTIF($B$18:B764,B764)),"st","nd","rd","th"),"")</f>
        <v/>
      </c>
    </row>
    <row r="765" spans="9:9" x14ac:dyDescent="0.25">
      <c r="I765" s="164" t="str">
        <f>IFERROR(COUNTIF($B$18:B765,B765)&amp;CHOOSE(MIN(4,COUNTIF($B$18:B765,B765)),"st","nd","rd","th"),"")</f>
        <v/>
      </c>
    </row>
    <row r="766" spans="9:9" x14ac:dyDescent="0.25">
      <c r="I766" s="164" t="str">
        <f>IFERROR(COUNTIF($B$18:B766,B766)&amp;CHOOSE(MIN(4,COUNTIF($B$18:B766,B766)),"st","nd","rd","th"),"")</f>
        <v/>
      </c>
    </row>
    <row r="767" spans="9:9" x14ac:dyDescent="0.25">
      <c r="I767" s="164" t="str">
        <f>IFERROR(COUNTIF($B$18:B767,B767)&amp;CHOOSE(MIN(4,COUNTIF($B$18:B767,B767)),"st","nd","rd","th"),"")</f>
        <v/>
      </c>
    </row>
    <row r="768" spans="9:9" x14ac:dyDescent="0.25">
      <c r="I768" s="164" t="str">
        <f>IFERROR(COUNTIF($B$18:B768,B768)&amp;CHOOSE(MIN(4,COUNTIF($B$18:B768,B768)),"st","nd","rd","th"),"")</f>
        <v/>
      </c>
    </row>
    <row r="769" spans="9:9" x14ac:dyDescent="0.25">
      <c r="I769" s="164" t="str">
        <f>IFERROR(COUNTIF($B$18:B769,B769)&amp;CHOOSE(MIN(4,COUNTIF($B$18:B769,B769)),"st","nd","rd","th"),"")</f>
        <v/>
      </c>
    </row>
    <row r="770" spans="9:9" x14ac:dyDescent="0.25">
      <c r="I770" s="164" t="str">
        <f>IFERROR(COUNTIF($B$18:B770,B770)&amp;CHOOSE(MIN(4,COUNTIF($B$18:B770,B770)),"st","nd","rd","th"),"")</f>
        <v/>
      </c>
    </row>
    <row r="771" spans="9:9" x14ac:dyDescent="0.25">
      <c r="I771" s="164" t="str">
        <f>IFERROR(COUNTIF($B$18:B771,B771)&amp;CHOOSE(MIN(4,COUNTIF($B$18:B771,B771)),"st","nd","rd","th"),"")</f>
        <v/>
      </c>
    </row>
    <row r="772" spans="9:9" x14ac:dyDescent="0.25">
      <c r="I772" s="164" t="str">
        <f>IFERROR(COUNTIF($B$18:B772,B772)&amp;CHOOSE(MIN(4,COUNTIF($B$18:B772,B772)),"st","nd","rd","th"),"")</f>
        <v/>
      </c>
    </row>
    <row r="773" spans="9:9" x14ac:dyDescent="0.25">
      <c r="I773" s="164" t="str">
        <f>IFERROR(COUNTIF($B$18:B773,B773)&amp;CHOOSE(MIN(4,COUNTIF($B$18:B773,B773)),"st","nd","rd","th"),"")</f>
        <v/>
      </c>
    </row>
    <row r="774" spans="9:9" x14ac:dyDescent="0.25">
      <c r="I774" s="164" t="str">
        <f>IFERROR(COUNTIF($B$18:B774,B774)&amp;CHOOSE(MIN(4,COUNTIF($B$18:B774,B774)),"st","nd","rd","th"),"")</f>
        <v/>
      </c>
    </row>
    <row r="775" spans="9:9" x14ac:dyDescent="0.25">
      <c r="I775" s="164" t="str">
        <f>IFERROR(COUNTIF($B$18:B775,B775)&amp;CHOOSE(MIN(4,COUNTIF($B$18:B775,B775)),"st","nd","rd","th"),"")</f>
        <v/>
      </c>
    </row>
    <row r="776" spans="9:9" x14ac:dyDescent="0.25">
      <c r="I776" s="164" t="str">
        <f>IFERROR(COUNTIF($B$18:B776,B776)&amp;CHOOSE(MIN(4,COUNTIF($B$18:B776,B776)),"st","nd","rd","th"),"")</f>
        <v/>
      </c>
    </row>
    <row r="777" spans="9:9" x14ac:dyDescent="0.25">
      <c r="I777" s="164" t="str">
        <f>IFERROR(COUNTIF($B$18:B777,B777)&amp;CHOOSE(MIN(4,COUNTIF($B$18:B777,B777)),"st","nd","rd","th"),"")</f>
        <v/>
      </c>
    </row>
    <row r="778" spans="9:9" x14ac:dyDescent="0.25">
      <c r="I778" s="164" t="str">
        <f>IFERROR(COUNTIF($B$18:B778,B778)&amp;CHOOSE(MIN(4,COUNTIF($B$18:B778,B778)),"st","nd","rd","th"),"")</f>
        <v/>
      </c>
    </row>
    <row r="779" spans="9:9" x14ac:dyDescent="0.25">
      <c r="I779" s="164" t="str">
        <f>IFERROR(COUNTIF($B$18:B779,B779)&amp;CHOOSE(MIN(4,COUNTIF($B$18:B779,B779)),"st","nd","rd","th"),"")</f>
        <v/>
      </c>
    </row>
    <row r="780" spans="9:9" x14ac:dyDescent="0.25">
      <c r="I780" s="164" t="str">
        <f>IFERROR(COUNTIF($B$18:B780,B780)&amp;CHOOSE(MIN(4,COUNTIF($B$18:B780,B780)),"st","nd","rd","th"),"")</f>
        <v/>
      </c>
    </row>
    <row r="781" spans="9:9" x14ac:dyDescent="0.25">
      <c r="I781" s="164" t="str">
        <f>IFERROR(COUNTIF($B$18:B781,B781)&amp;CHOOSE(MIN(4,COUNTIF($B$18:B781,B781)),"st","nd","rd","th"),"")</f>
        <v/>
      </c>
    </row>
    <row r="782" spans="9:9" x14ac:dyDescent="0.25">
      <c r="I782" s="164" t="str">
        <f>IFERROR(COUNTIF($B$18:B782,B782)&amp;CHOOSE(MIN(4,COUNTIF($B$18:B782,B782)),"st","nd","rd","th"),"")</f>
        <v/>
      </c>
    </row>
    <row r="783" spans="9:9" x14ac:dyDescent="0.25">
      <c r="I783" s="164" t="str">
        <f>IFERROR(COUNTIF($B$18:B783,B783)&amp;CHOOSE(MIN(4,COUNTIF($B$18:B783,B783)),"st","nd","rd","th"),"")</f>
        <v/>
      </c>
    </row>
    <row r="784" spans="9:9" x14ac:dyDescent="0.25">
      <c r="I784" s="164" t="str">
        <f>IFERROR(COUNTIF($B$18:B784,B784)&amp;CHOOSE(MIN(4,COUNTIF($B$18:B784,B784)),"st","nd","rd","th"),"")</f>
        <v/>
      </c>
    </row>
    <row r="785" spans="9:9" x14ac:dyDescent="0.25">
      <c r="I785" s="164" t="str">
        <f>IFERROR(COUNTIF($B$18:B785,B785)&amp;CHOOSE(MIN(4,COUNTIF($B$18:B785,B785)),"st","nd","rd","th"),"")</f>
        <v/>
      </c>
    </row>
    <row r="786" spans="9:9" x14ac:dyDescent="0.25">
      <c r="I786" s="164" t="str">
        <f>IFERROR(COUNTIF($B$18:B786,B786)&amp;CHOOSE(MIN(4,COUNTIF($B$18:B786,B786)),"st","nd","rd","th"),"")</f>
        <v/>
      </c>
    </row>
    <row r="787" spans="9:9" x14ac:dyDescent="0.25">
      <c r="I787" s="164" t="str">
        <f>IFERROR(COUNTIF($B$18:B787,B787)&amp;CHOOSE(MIN(4,COUNTIF($B$18:B787,B787)),"st","nd","rd","th"),"")</f>
        <v/>
      </c>
    </row>
    <row r="788" spans="9:9" x14ac:dyDescent="0.25">
      <c r="I788" s="164" t="str">
        <f>IFERROR(COUNTIF($B$18:B788,B788)&amp;CHOOSE(MIN(4,COUNTIF($B$18:B788,B788)),"st","nd","rd","th"),"")</f>
        <v/>
      </c>
    </row>
    <row r="789" spans="9:9" x14ac:dyDescent="0.25">
      <c r="I789" s="164" t="str">
        <f>IFERROR(COUNTIF($B$18:B789,B789)&amp;CHOOSE(MIN(4,COUNTIF($B$18:B789,B789)),"st","nd","rd","th"),"")</f>
        <v/>
      </c>
    </row>
    <row r="790" spans="9:9" x14ac:dyDescent="0.25">
      <c r="I790" s="164" t="str">
        <f>IFERROR(COUNTIF($B$18:B790,B790)&amp;CHOOSE(MIN(4,COUNTIF($B$18:B790,B790)),"st","nd","rd","th"),"")</f>
        <v/>
      </c>
    </row>
    <row r="791" spans="9:9" x14ac:dyDescent="0.25">
      <c r="I791" s="164" t="str">
        <f>IFERROR(COUNTIF($B$18:B791,B791)&amp;CHOOSE(MIN(4,COUNTIF($B$18:B791,B791)),"st","nd","rd","th"),"")</f>
        <v/>
      </c>
    </row>
    <row r="792" spans="9:9" x14ac:dyDescent="0.25">
      <c r="I792" s="164" t="str">
        <f>IFERROR(COUNTIF($B$18:B792,B792)&amp;CHOOSE(MIN(4,COUNTIF($B$18:B792,B792)),"st","nd","rd","th"),"")</f>
        <v/>
      </c>
    </row>
    <row r="793" spans="9:9" x14ac:dyDescent="0.25">
      <c r="I793" s="164" t="str">
        <f>IFERROR(COUNTIF($B$18:B793,B793)&amp;CHOOSE(MIN(4,COUNTIF($B$18:B793,B793)),"st","nd","rd","th"),"")</f>
        <v/>
      </c>
    </row>
    <row r="794" spans="9:9" x14ac:dyDescent="0.25">
      <c r="I794" s="164" t="str">
        <f>IFERROR(COUNTIF($B$18:B794,B794)&amp;CHOOSE(MIN(4,COUNTIF($B$18:B794,B794)),"st","nd","rd","th"),"")</f>
        <v/>
      </c>
    </row>
    <row r="795" spans="9:9" x14ac:dyDescent="0.25">
      <c r="I795" s="164" t="str">
        <f>IFERROR(COUNTIF($B$18:B795,B795)&amp;CHOOSE(MIN(4,COUNTIF($B$18:B795,B795)),"st","nd","rd","th"),"")</f>
        <v/>
      </c>
    </row>
    <row r="796" spans="9:9" x14ac:dyDescent="0.25">
      <c r="I796" s="164" t="str">
        <f>IFERROR(COUNTIF($B$18:B796,B796)&amp;CHOOSE(MIN(4,COUNTIF($B$18:B796,B796)),"st","nd","rd","th"),"")</f>
        <v/>
      </c>
    </row>
    <row r="797" spans="9:9" x14ac:dyDescent="0.25">
      <c r="I797" s="164" t="str">
        <f>IFERROR(COUNTIF($B$18:B797,B797)&amp;CHOOSE(MIN(4,COUNTIF($B$18:B797,B797)),"st","nd","rd","th"),"")</f>
        <v/>
      </c>
    </row>
    <row r="798" spans="9:9" x14ac:dyDescent="0.25">
      <c r="I798" s="164" t="str">
        <f>IFERROR(COUNTIF($B$18:B798,B798)&amp;CHOOSE(MIN(4,COUNTIF($B$18:B798,B798)),"st","nd","rd","th"),"")</f>
        <v/>
      </c>
    </row>
    <row r="799" spans="9:9" x14ac:dyDescent="0.25">
      <c r="I799" s="164" t="str">
        <f>IFERROR(COUNTIF($B$18:B799,B799)&amp;CHOOSE(MIN(4,COUNTIF($B$18:B799,B799)),"st","nd","rd","th"),"")</f>
        <v/>
      </c>
    </row>
    <row r="800" spans="9:9" x14ac:dyDescent="0.25">
      <c r="I800" s="164" t="str">
        <f>IFERROR(COUNTIF($B$18:B800,B800)&amp;CHOOSE(MIN(4,COUNTIF($B$18:B800,B800)),"st","nd","rd","th"),"")</f>
        <v/>
      </c>
    </row>
    <row r="801" spans="9:9" x14ac:dyDescent="0.25">
      <c r="I801" s="164" t="str">
        <f>IFERROR(COUNTIF($B$18:B801,B801)&amp;CHOOSE(MIN(4,COUNTIF($B$18:B801,B801)),"st","nd","rd","th"),"")</f>
        <v/>
      </c>
    </row>
    <row r="802" spans="9:9" x14ac:dyDescent="0.25">
      <c r="I802" s="164" t="str">
        <f>IFERROR(COUNTIF($B$18:B802,B802)&amp;CHOOSE(MIN(4,COUNTIF($B$18:B802,B802)),"st","nd","rd","th"),"")</f>
        <v/>
      </c>
    </row>
    <row r="803" spans="9:9" x14ac:dyDescent="0.25">
      <c r="I803" s="164" t="str">
        <f>IFERROR(COUNTIF($B$18:B803,B803)&amp;CHOOSE(MIN(4,COUNTIF($B$18:B803,B803)),"st","nd","rd","th"),"")</f>
        <v/>
      </c>
    </row>
    <row r="804" spans="9:9" x14ac:dyDescent="0.25">
      <c r="I804" s="164" t="str">
        <f>IFERROR(COUNTIF($B$18:B804,B804)&amp;CHOOSE(MIN(4,COUNTIF($B$18:B804,B804)),"st","nd","rd","th"),"")</f>
        <v/>
      </c>
    </row>
    <row r="805" spans="9:9" x14ac:dyDescent="0.25">
      <c r="I805" s="164" t="str">
        <f>IFERROR(COUNTIF($B$18:B805,B805)&amp;CHOOSE(MIN(4,COUNTIF($B$18:B805,B805)),"st","nd","rd","th"),"")</f>
        <v/>
      </c>
    </row>
    <row r="806" spans="9:9" x14ac:dyDescent="0.25">
      <c r="I806" s="164" t="str">
        <f>IFERROR(COUNTIF($B$18:B806,B806)&amp;CHOOSE(MIN(4,COUNTIF($B$18:B806,B806)),"st","nd","rd","th"),"")</f>
        <v/>
      </c>
    </row>
    <row r="807" spans="9:9" x14ac:dyDescent="0.25">
      <c r="I807" s="164" t="str">
        <f>IFERROR(COUNTIF($B$18:B807,B807)&amp;CHOOSE(MIN(4,COUNTIF($B$18:B807,B807)),"st","nd","rd","th"),"")</f>
        <v/>
      </c>
    </row>
    <row r="808" spans="9:9" x14ac:dyDescent="0.25">
      <c r="I808" s="164" t="str">
        <f>IFERROR(COUNTIF($B$18:B808,B808)&amp;CHOOSE(MIN(4,COUNTIF($B$18:B808,B808)),"st","nd","rd","th"),"")</f>
        <v/>
      </c>
    </row>
    <row r="809" spans="9:9" x14ac:dyDescent="0.25">
      <c r="I809" s="164" t="str">
        <f>IFERROR(COUNTIF($B$18:B809,B809)&amp;CHOOSE(MIN(4,COUNTIF($B$18:B809,B809)),"st","nd","rd","th"),"")</f>
        <v/>
      </c>
    </row>
    <row r="810" spans="9:9" x14ac:dyDescent="0.25">
      <c r="I810" s="164" t="str">
        <f>IFERROR(COUNTIF($B$18:B810,B810)&amp;CHOOSE(MIN(4,COUNTIF($B$18:B810,B810)),"st","nd","rd","th"),"")</f>
        <v/>
      </c>
    </row>
    <row r="811" spans="9:9" x14ac:dyDescent="0.25">
      <c r="I811" s="164" t="str">
        <f>IFERROR(COUNTIF($B$18:B811,B811)&amp;CHOOSE(MIN(4,COUNTIF($B$18:B811,B811)),"st","nd","rd","th"),"")</f>
        <v/>
      </c>
    </row>
    <row r="812" spans="9:9" x14ac:dyDescent="0.25">
      <c r="I812" s="164" t="str">
        <f>IFERROR(COUNTIF($B$18:B812,B812)&amp;CHOOSE(MIN(4,COUNTIF($B$18:B812,B812)),"st","nd","rd","th"),"")</f>
        <v/>
      </c>
    </row>
    <row r="813" spans="9:9" x14ac:dyDescent="0.25">
      <c r="I813" s="164" t="str">
        <f>IFERROR(COUNTIF($B$18:B813,B813)&amp;CHOOSE(MIN(4,COUNTIF($B$18:B813,B813)),"st","nd","rd","th"),"")</f>
        <v/>
      </c>
    </row>
    <row r="814" spans="9:9" x14ac:dyDescent="0.25">
      <c r="I814" s="164" t="str">
        <f>IFERROR(COUNTIF($B$18:B814,B814)&amp;CHOOSE(MIN(4,COUNTIF($B$18:B814,B814)),"st","nd","rd","th"),"")</f>
        <v/>
      </c>
    </row>
    <row r="815" spans="9:9" x14ac:dyDescent="0.25">
      <c r="I815" s="164" t="str">
        <f>IFERROR(COUNTIF($B$18:B815,B815)&amp;CHOOSE(MIN(4,COUNTIF($B$18:B815,B815)),"st","nd","rd","th"),"")</f>
        <v/>
      </c>
    </row>
    <row r="816" spans="9:9" x14ac:dyDescent="0.25">
      <c r="I816" s="164" t="str">
        <f>IFERROR(COUNTIF($B$18:B816,B816)&amp;CHOOSE(MIN(4,COUNTIF($B$18:B816,B816)),"st","nd","rd","th"),"")</f>
        <v/>
      </c>
    </row>
    <row r="817" spans="9:9" x14ac:dyDescent="0.25">
      <c r="I817" s="164" t="str">
        <f>IFERROR(COUNTIF($B$18:B817,B817)&amp;CHOOSE(MIN(4,COUNTIF($B$18:B817,B817)),"st","nd","rd","th"),"")</f>
        <v/>
      </c>
    </row>
    <row r="818" spans="9:9" x14ac:dyDescent="0.25">
      <c r="I818" s="164" t="str">
        <f>IFERROR(COUNTIF($B$18:B818,B818)&amp;CHOOSE(MIN(4,COUNTIF($B$18:B818,B818)),"st","nd","rd","th"),"")</f>
        <v/>
      </c>
    </row>
    <row r="819" spans="9:9" x14ac:dyDescent="0.25">
      <c r="I819" s="164" t="str">
        <f>IFERROR(COUNTIF($B$18:B819,B819)&amp;CHOOSE(MIN(4,COUNTIF($B$18:B819,B819)),"st","nd","rd","th"),"")</f>
        <v/>
      </c>
    </row>
    <row r="820" spans="9:9" x14ac:dyDescent="0.25">
      <c r="I820" s="164" t="str">
        <f>IFERROR(COUNTIF($B$18:B820,B820)&amp;CHOOSE(MIN(4,COUNTIF($B$18:B820,B820)),"st","nd","rd","th"),"")</f>
        <v/>
      </c>
    </row>
    <row r="821" spans="9:9" x14ac:dyDescent="0.25">
      <c r="I821" s="164" t="str">
        <f>IFERROR(COUNTIF($B$18:B821,B821)&amp;CHOOSE(MIN(4,COUNTIF($B$18:B821,B821)),"st","nd","rd","th"),"")</f>
        <v/>
      </c>
    </row>
    <row r="822" spans="9:9" x14ac:dyDescent="0.25">
      <c r="I822" s="164" t="str">
        <f>IFERROR(COUNTIF($B$18:B822,B822)&amp;CHOOSE(MIN(4,COUNTIF($B$18:B822,B822)),"st","nd","rd","th"),"")</f>
        <v/>
      </c>
    </row>
    <row r="823" spans="9:9" x14ac:dyDescent="0.25">
      <c r="I823" s="164" t="str">
        <f>IFERROR(COUNTIF($B$18:B823,B823)&amp;CHOOSE(MIN(4,COUNTIF($B$18:B823,B823)),"st","nd","rd","th"),"")</f>
        <v/>
      </c>
    </row>
    <row r="824" spans="9:9" x14ac:dyDescent="0.25">
      <c r="I824" s="164" t="str">
        <f>IFERROR(COUNTIF($B$18:B824,B824)&amp;CHOOSE(MIN(4,COUNTIF($B$18:B824,B824)),"st","nd","rd","th"),"")</f>
        <v/>
      </c>
    </row>
    <row r="825" spans="9:9" x14ac:dyDescent="0.25">
      <c r="I825" s="164" t="str">
        <f>IFERROR(COUNTIF($B$18:B825,B825)&amp;CHOOSE(MIN(4,COUNTIF($B$18:B825,B825)),"st","nd","rd","th"),"")</f>
        <v/>
      </c>
    </row>
    <row r="826" spans="9:9" x14ac:dyDescent="0.25">
      <c r="I826" s="164" t="str">
        <f>IFERROR(COUNTIF($B$18:B826,B826)&amp;CHOOSE(MIN(4,COUNTIF($B$18:B826,B826)),"st","nd","rd","th"),"")</f>
        <v/>
      </c>
    </row>
    <row r="827" spans="9:9" x14ac:dyDescent="0.25">
      <c r="I827" s="164" t="str">
        <f>IFERROR(COUNTIF($B$18:B827,B827)&amp;CHOOSE(MIN(4,COUNTIF($B$18:B827,B827)),"st","nd","rd","th"),"")</f>
        <v/>
      </c>
    </row>
    <row r="828" spans="9:9" x14ac:dyDescent="0.25">
      <c r="I828" s="164" t="str">
        <f>IFERROR(COUNTIF($B$18:B828,B828)&amp;CHOOSE(MIN(4,COUNTIF($B$18:B828,B828)),"st","nd","rd","th"),"")</f>
        <v/>
      </c>
    </row>
    <row r="829" spans="9:9" x14ac:dyDescent="0.25">
      <c r="I829" s="164" t="str">
        <f>IFERROR(COUNTIF($B$18:B829,B829)&amp;CHOOSE(MIN(4,COUNTIF($B$18:B829,B829)),"st","nd","rd","th"),"")</f>
        <v/>
      </c>
    </row>
    <row r="830" spans="9:9" x14ac:dyDescent="0.25">
      <c r="I830" s="164" t="str">
        <f>IFERROR(COUNTIF($B$18:B830,B830)&amp;CHOOSE(MIN(4,COUNTIF($B$18:B830,B830)),"st","nd","rd","th"),"")</f>
        <v/>
      </c>
    </row>
    <row r="831" spans="9:9" x14ac:dyDescent="0.25">
      <c r="I831" s="164" t="str">
        <f>IFERROR(COUNTIF($B$18:B831,B831)&amp;CHOOSE(MIN(4,COUNTIF($B$18:B831,B831)),"st","nd","rd","th"),"")</f>
        <v/>
      </c>
    </row>
    <row r="832" spans="9:9" x14ac:dyDescent="0.25">
      <c r="I832" s="164" t="str">
        <f>IFERROR(COUNTIF($B$18:B832,B832)&amp;CHOOSE(MIN(4,COUNTIF($B$18:B832,B832)),"st","nd","rd","th"),"")</f>
        <v/>
      </c>
    </row>
    <row r="833" spans="9:9" x14ac:dyDescent="0.25">
      <c r="I833" s="164" t="str">
        <f>IFERROR(COUNTIF($B$18:B833,B833)&amp;CHOOSE(MIN(4,COUNTIF($B$18:B833,B833)),"st","nd","rd","th"),"")</f>
        <v/>
      </c>
    </row>
    <row r="834" spans="9:9" x14ac:dyDescent="0.25">
      <c r="I834" s="164" t="str">
        <f>IFERROR(COUNTIF($B$18:B834,B834)&amp;CHOOSE(MIN(4,COUNTIF($B$18:B834,B834)),"st","nd","rd","th"),"")</f>
        <v/>
      </c>
    </row>
    <row r="835" spans="9:9" x14ac:dyDescent="0.25">
      <c r="I835" s="164" t="str">
        <f>IFERROR(COUNTIF($B$18:B835,B835)&amp;CHOOSE(MIN(4,COUNTIF($B$18:B835,B835)),"st","nd","rd","th"),"")</f>
        <v/>
      </c>
    </row>
    <row r="836" spans="9:9" x14ac:dyDescent="0.25">
      <c r="I836" s="164" t="str">
        <f>IFERROR(COUNTIF($B$18:B836,B836)&amp;CHOOSE(MIN(4,COUNTIF($B$18:B836,B836)),"st","nd","rd","th"),"")</f>
        <v/>
      </c>
    </row>
    <row r="837" spans="9:9" x14ac:dyDescent="0.25">
      <c r="I837" s="164" t="str">
        <f>IFERROR(COUNTIF($B$18:B837,B837)&amp;CHOOSE(MIN(4,COUNTIF($B$18:B837,B837)),"st","nd","rd","th"),"")</f>
        <v/>
      </c>
    </row>
    <row r="838" spans="9:9" x14ac:dyDescent="0.25">
      <c r="I838" s="164" t="str">
        <f>IFERROR(COUNTIF($B$18:B838,B838)&amp;CHOOSE(MIN(4,COUNTIF($B$18:B838,B838)),"st","nd","rd","th"),"")</f>
        <v/>
      </c>
    </row>
    <row r="839" spans="9:9" x14ac:dyDescent="0.25">
      <c r="I839" s="164" t="str">
        <f>IFERROR(COUNTIF($B$18:B839,B839)&amp;CHOOSE(MIN(4,COUNTIF($B$18:B839,B839)),"st","nd","rd","th"),"")</f>
        <v/>
      </c>
    </row>
    <row r="840" spans="9:9" x14ac:dyDescent="0.25">
      <c r="I840" s="164" t="str">
        <f>IFERROR(COUNTIF($B$18:B840,B840)&amp;CHOOSE(MIN(4,COUNTIF($B$18:B840,B840)),"st","nd","rd","th"),"")</f>
        <v/>
      </c>
    </row>
    <row r="841" spans="9:9" x14ac:dyDescent="0.25">
      <c r="I841" s="164" t="str">
        <f>IFERROR(COUNTIF($B$18:B841,B841)&amp;CHOOSE(MIN(4,COUNTIF($B$18:B841,B841)),"st","nd","rd","th"),"")</f>
        <v/>
      </c>
    </row>
    <row r="842" spans="9:9" x14ac:dyDescent="0.25">
      <c r="I842" s="164" t="str">
        <f>IFERROR(COUNTIF($B$18:B842,B842)&amp;CHOOSE(MIN(4,COUNTIF($B$18:B842,B842)),"st","nd","rd","th"),"")</f>
        <v/>
      </c>
    </row>
    <row r="843" spans="9:9" x14ac:dyDescent="0.25">
      <c r="I843" s="164" t="str">
        <f>IFERROR(COUNTIF($B$18:B843,B843)&amp;CHOOSE(MIN(4,COUNTIF($B$18:B843,B843)),"st","nd","rd","th"),"")</f>
        <v/>
      </c>
    </row>
    <row r="844" spans="9:9" x14ac:dyDescent="0.25">
      <c r="I844" s="164" t="str">
        <f>IFERROR(COUNTIF($B$18:B844,B844)&amp;CHOOSE(MIN(4,COUNTIF($B$18:B844,B844)),"st","nd","rd","th"),"")</f>
        <v/>
      </c>
    </row>
    <row r="845" spans="9:9" x14ac:dyDescent="0.25">
      <c r="I845" s="164" t="str">
        <f>IFERROR(COUNTIF($B$18:B845,B845)&amp;CHOOSE(MIN(4,COUNTIF($B$18:B845,B845)),"st","nd","rd","th"),"")</f>
        <v/>
      </c>
    </row>
    <row r="846" spans="9:9" x14ac:dyDescent="0.25">
      <c r="I846" s="164" t="str">
        <f>IFERROR(COUNTIF($B$18:B846,B846)&amp;CHOOSE(MIN(4,COUNTIF($B$18:B846,B846)),"st","nd","rd","th"),"")</f>
        <v/>
      </c>
    </row>
    <row r="847" spans="9:9" x14ac:dyDescent="0.25">
      <c r="I847" s="164" t="str">
        <f>IFERROR(COUNTIF($B$18:B847,B847)&amp;CHOOSE(MIN(4,COUNTIF($B$18:B847,B847)),"st","nd","rd","th"),"")</f>
        <v/>
      </c>
    </row>
    <row r="848" spans="9:9" x14ac:dyDescent="0.25">
      <c r="I848" s="164" t="str">
        <f>IFERROR(COUNTIF($B$18:B848,B848)&amp;CHOOSE(MIN(4,COUNTIF($B$18:B848,B848)),"st","nd","rd","th"),"")</f>
        <v/>
      </c>
    </row>
    <row r="849" spans="9:9" x14ac:dyDescent="0.25">
      <c r="I849" s="164" t="str">
        <f>IFERROR(COUNTIF($B$18:B849,B849)&amp;CHOOSE(MIN(4,COUNTIF($B$18:B849,B849)),"st","nd","rd","th"),"")</f>
        <v/>
      </c>
    </row>
    <row r="850" spans="9:9" x14ac:dyDescent="0.25">
      <c r="I850" s="164" t="str">
        <f>IFERROR(COUNTIF($B$18:B850,B850)&amp;CHOOSE(MIN(4,COUNTIF($B$18:B850,B850)),"st","nd","rd","th"),"")</f>
        <v/>
      </c>
    </row>
    <row r="851" spans="9:9" x14ac:dyDescent="0.25">
      <c r="I851" s="164" t="str">
        <f>IFERROR(COUNTIF($B$18:B851,B851)&amp;CHOOSE(MIN(4,COUNTIF($B$18:B851,B851)),"st","nd","rd","th"),"")</f>
        <v/>
      </c>
    </row>
    <row r="852" spans="9:9" x14ac:dyDescent="0.25">
      <c r="I852" s="164" t="str">
        <f>IFERROR(COUNTIF($B$18:B852,B852)&amp;CHOOSE(MIN(4,COUNTIF($B$18:B852,B852)),"st","nd","rd","th"),"")</f>
        <v/>
      </c>
    </row>
    <row r="853" spans="9:9" x14ac:dyDescent="0.25">
      <c r="I853" s="164" t="str">
        <f>IFERROR(COUNTIF($B$18:B853,B853)&amp;CHOOSE(MIN(4,COUNTIF($B$18:B853,B853)),"st","nd","rd","th"),"")</f>
        <v/>
      </c>
    </row>
    <row r="854" spans="9:9" x14ac:dyDescent="0.25">
      <c r="I854" s="164" t="str">
        <f>IFERROR(COUNTIF($B$18:B854,B854)&amp;CHOOSE(MIN(4,COUNTIF($B$18:B854,B854)),"st","nd","rd","th"),"")</f>
        <v/>
      </c>
    </row>
    <row r="855" spans="9:9" x14ac:dyDescent="0.25">
      <c r="I855" s="164" t="str">
        <f>IFERROR(COUNTIF($B$18:B855,B855)&amp;CHOOSE(MIN(4,COUNTIF($B$18:B855,B855)),"st","nd","rd","th"),"")</f>
        <v/>
      </c>
    </row>
    <row r="856" spans="9:9" x14ac:dyDescent="0.25">
      <c r="I856" s="164" t="str">
        <f>IFERROR(COUNTIF($B$18:B856,B856)&amp;CHOOSE(MIN(4,COUNTIF($B$18:B856,B856)),"st","nd","rd","th"),"")</f>
        <v/>
      </c>
    </row>
    <row r="857" spans="9:9" x14ac:dyDescent="0.25">
      <c r="I857" s="164" t="str">
        <f>IFERROR(COUNTIF($B$18:B857,B857)&amp;CHOOSE(MIN(4,COUNTIF($B$18:B857,B857)),"st","nd","rd","th"),"")</f>
        <v/>
      </c>
    </row>
    <row r="858" spans="9:9" x14ac:dyDescent="0.25">
      <c r="I858" s="164" t="str">
        <f>IFERROR(COUNTIF($B$18:B858,B858)&amp;CHOOSE(MIN(4,COUNTIF($B$18:B858,B858)),"st","nd","rd","th"),"")</f>
        <v/>
      </c>
    </row>
    <row r="859" spans="9:9" x14ac:dyDescent="0.25">
      <c r="I859" s="164" t="str">
        <f>IFERROR(COUNTIF($B$18:B859,B859)&amp;CHOOSE(MIN(4,COUNTIF($B$18:B859,B859)),"st","nd","rd","th"),"")</f>
        <v/>
      </c>
    </row>
    <row r="860" spans="9:9" x14ac:dyDescent="0.25">
      <c r="I860" s="164" t="str">
        <f>IFERROR(COUNTIF($B$18:B860,B860)&amp;CHOOSE(MIN(4,COUNTIF($B$18:B860,B860)),"st","nd","rd","th"),"")</f>
        <v/>
      </c>
    </row>
    <row r="861" spans="9:9" x14ac:dyDescent="0.25">
      <c r="I861" s="164" t="str">
        <f>IFERROR(COUNTIF($B$18:B861,B861)&amp;CHOOSE(MIN(4,COUNTIF($B$18:B861,B861)),"st","nd","rd","th"),"")</f>
        <v/>
      </c>
    </row>
    <row r="862" spans="9:9" x14ac:dyDescent="0.25">
      <c r="I862" s="164" t="str">
        <f>IFERROR(COUNTIF($B$18:B862,B862)&amp;CHOOSE(MIN(4,COUNTIF($B$18:B862,B862)),"st","nd","rd","th"),"")</f>
        <v/>
      </c>
    </row>
    <row r="863" spans="9:9" x14ac:dyDescent="0.25">
      <c r="I863" s="164" t="str">
        <f>IFERROR(COUNTIF($B$18:B863,B863)&amp;CHOOSE(MIN(4,COUNTIF($B$18:B863,B863)),"st","nd","rd","th"),"")</f>
        <v/>
      </c>
    </row>
    <row r="864" spans="9:9" x14ac:dyDescent="0.25">
      <c r="I864" s="164" t="str">
        <f>IFERROR(COUNTIF($B$18:B864,B864)&amp;CHOOSE(MIN(4,COUNTIF($B$18:B864,B864)),"st","nd","rd","th"),"")</f>
        <v/>
      </c>
    </row>
    <row r="865" spans="9:9" x14ac:dyDescent="0.25">
      <c r="I865" s="164" t="str">
        <f>IFERROR(COUNTIF($B$18:B865,B865)&amp;CHOOSE(MIN(4,COUNTIF($B$18:B865,B865)),"st","nd","rd","th"),"")</f>
        <v/>
      </c>
    </row>
    <row r="866" spans="9:9" x14ac:dyDescent="0.25">
      <c r="I866" s="164" t="str">
        <f>IFERROR(COUNTIF($B$18:B866,B866)&amp;CHOOSE(MIN(4,COUNTIF($B$18:B866,B866)),"st","nd","rd","th"),"")</f>
        <v/>
      </c>
    </row>
    <row r="867" spans="9:9" x14ac:dyDescent="0.25">
      <c r="I867" s="164" t="str">
        <f>IFERROR(COUNTIF($B$18:B867,B867)&amp;CHOOSE(MIN(4,COUNTIF($B$18:B867,B867)),"st","nd","rd","th"),"")</f>
        <v/>
      </c>
    </row>
    <row r="868" spans="9:9" x14ac:dyDescent="0.25">
      <c r="I868" s="164" t="str">
        <f>IFERROR(COUNTIF($B$18:B868,B868)&amp;CHOOSE(MIN(4,COUNTIF($B$18:B868,B868)),"st","nd","rd","th"),"")</f>
        <v/>
      </c>
    </row>
    <row r="869" spans="9:9" x14ac:dyDescent="0.25">
      <c r="I869" s="164" t="str">
        <f>IFERROR(COUNTIF($B$18:B869,B869)&amp;CHOOSE(MIN(4,COUNTIF($B$18:B869,B869)),"st","nd","rd","th"),"")</f>
        <v/>
      </c>
    </row>
    <row r="870" spans="9:9" x14ac:dyDescent="0.25">
      <c r="I870" s="164" t="str">
        <f>IFERROR(COUNTIF($B$18:B870,B870)&amp;CHOOSE(MIN(4,COUNTIF($B$18:B870,B870)),"st","nd","rd","th"),"")</f>
        <v/>
      </c>
    </row>
    <row r="871" spans="9:9" x14ac:dyDescent="0.25">
      <c r="I871" s="164" t="str">
        <f>IFERROR(COUNTIF($B$18:B871,B871)&amp;CHOOSE(MIN(4,COUNTIF($B$18:B871,B871)),"st","nd","rd","th"),"")</f>
        <v/>
      </c>
    </row>
    <row r="872" spans="9:9" x14ac:dyDescent="0.25">
      <c r="I872" s="164" t="str">
        <f>IFERROR(COUNTIF($B$18:B872,B872)&amp;CHOOSE(MIN(4,COUNTIF($B$18:B872,B872)),"st","nd","rd","th"),"")</f>
        <v/>
      </c>
    </row>
    <row r="873" spans="9:9" x14ac:dyDescent="0.25">
      <c r="I873" s="164" t="str">
        <f>IFERROR(COUNTIF($B$18:B873,B873)&amp;CHOOSE(MIN(4,COUNTIF($B$18:B873,B873)),"st","nd","rd","th"),"")</f>
        <v/>
      </c>
    </row>
    <row r="874" spans="9:9" x14ac:dyDescent="0.25">
      <c r="I874" s="164" t="str">
        <f>IFERROR(COUNTIF($B$18:B874,B874)&amp;CHOOSE(MIN(4,COUNTIF($B$18:B874,B874)),"st","nd","rd","th"),"")</f>
        <v/>
      </c>
    </row>
    <row r="875" spans="9:9" x14ac:dyDescent="0.25">
      <c r="I875" s="164" t="str">
        <f>IFERROR(COUNTIF($B$18:B875,B875)&amp;CHOOSE(MIN(4,COUNTIF($B$18:B875,B875)),"st","nd","rd","th"),"")</f>
        <v/>
      </c>
    </row>
    <row r="876" spans="9:9" x14ac:dyDescent="0.25">
      <c r="I876" s="164" t="str">
        <f>IFERROR(COUNTIF($B$18:B876,B876)&amp;CHOOSE(MIN(4,COUNTIF($B$18:B876,B876)),"st","nd","rd","th"),"")</f>
        <v/>
      </c>
    </row>
    <row r="877" spans="9:9" x14ac:dyDescent="0.25">
      <c r="I877" s="164" t="str">
        <f>IFERROR(COUNTIF($B$18:B877,B877)&amp;CHOOSE(MIN(4,COUNTIF($B$18:B877,B877)),"st","nd","rd","th"),"")</f>
        <v/>
      </c>
    </row>
    <row r="878" spans="9:9" x14ac:dyDescent="0.25">
      <c r="I878" s="164" t="str">
        <f>IFERROR(COUNTIF($B$18:B878,B878)&amp;CHOOSE(MIN(4,COUNTIF($B$18:B878,B878)),"st","nd","rd","th"),"")</f>
        <v/>
      </c>
    </row>
    <row r="879" spans="9:9" x14ac:dyDescent="0.25">
      <c r="I879" s="164" t="str">
        <f>IFERROR(COUNTIF($B$18:B879,B879)&amp;CHOOSE(MIN(4,COUNTIF($B$18:B879,B879)),"st","nd","rd","th"),"")</f>
        <v/>
      </c>
    </row>
    <row r="880" spans="9:9" x14ac:dyDescent="0.25">
      <c r="I880" s="164" t="str">
        <f>IFERROR(COUNTIF($B$18:B880,B880)&amp;CHOOSE(MIN(4,COUNTIF($B$18:B880,B880)),"st","nd","rd","th"),"")</f>
        <v/>
      </c>
    </row>
    <row r="881" spans="9:9" x14ac:dyDescent="0.25">
      <c r="I881" s="164" t="str">
        <f>IFERROR(COUNTIF($B$18:B881,B881)&amp;CHOOSE(MIN(4,COUNTIF($B$18:B881,B881)),"st","nd","rd","th"),"")</f>
        <v/>
      </c>
    </row>
    <row r="882" spans="9:9" x14ac:dyDescent="0.25">
      <c r="I882" s="164" t="str">
        <f>IFERROR(COUNTIF($B$18:B882,B882)&amp;CHOOSE(MIN(4,COUNTIF($B$18:B882,B882)),"st","nd","rd","th"),"")</f>
        <v/>
      </c>
    </row>
    <row r="883" spans="9:9" x14ac:dyDescent="0.25">
      <c r="I883" s="164" t="str">
        <f>IFERROR(COUNTIF($B$18:B883,B883)&amp;CHOOSE(MIN(4,COUNTIF($B$18:B883,B883)),"st","nd","rd","th"),"")</f>
        <v/>
      </c>
    </row>
    <row r="884" spans="9:9" x14ac:dyDescent="0.25">
      <c r="I884" s="164" t="str">
        <f>IFERROR(COUNTIF($B$18:B884,B884)&amp;CHOOSE(MIN(4,COUNTIF($B$18:B884,B884)),"st","nd","rd","th"),"")</f>
        <v/>
      </c>
    </row>
    <row r="885" spans="9:9" x14ac:dyDescent="0.25">
      <c r="I885" s="164" t="str">
        <f>IFERROR(COUNTIF($B$18:B885,B885)&amp;CHOOSE(MIN(4,COUNTIF($B$18:B885,B885)),"st","nd","rd","th"),"")</f>
        <v/>
      </c>
    </row>
    <row r="886" spans="9:9" x14ac:dyDescent="0.25">
      <c r="I886" s="164" t="str">
        <f>IFERROR(COUNTIF($B$18:B886,B886)&amp;CHOOSE(MIN(4,COUNTIF($B$18:B886,B886)),"st","nd","rd","th"),"")</f>
        <v/>
      </c>
    </row>
    <row r="887" spans="9:9" x14ac:dyDescent="0.25">
      <c r="I887" s="164" t="str">
        <f>IFERROR(COUNTIF($B$18:B887,B887)&amp;CHOOSE(MIN(4,COUNTIF($B$18:B887,B887)),"st","nd","rd","th"),"")</f>
        <v/>
      </c>
    </row>
    <row r="888" spans="9:9" x14ac:dyDescent="0.25">
      <c r="I888" s="164" t="str">
        <f>IFERROR(COUNTIF($B$18:B888,B888)&amp;CHOOSE(MIN(4,COUNTIF($B$18:B888,B888)),"st","nd","rd","th"),"")</f>
        <v/>
      </c>
    </row>
    <row r="889" spans="9:9" x14ac:dyDescent="0.25">
      <c r="I889" s="164" t="str">
        <f>IFERROR(COUNTIF($B$18:B889,B889)&amp;CHOOSE(MIN(4,COUNTIF($B$18:B889,B889)),"st","nd","rd","th"),"")</f>
        <v/>
      </c>
    </row>
    <row r="890" spans="9:9" x14ac:dyDescent="0.25">
      <c r="I890" s="164" t="str">
        <f>IFERROR(COUNTIF($B$18:B890,B890)&amp;CHOOSE(MIN(4,COUNTIF($B$18:B890,B890)),"st","nd","rd","th"),"")</f>
        <v/>
      </c>
    </row>
    <row r="891" spans="9:9" x14ac:dyDescent="0.25">
      <c r="I891" s="164" t="str">
        <f>IFERROR(COUNTIF($B$18:B891,B891)&amp;CHOOSE(MIN(4,COUNTIF($B$18:B891,B891)),"st","nd","rd","th"),"")</f>
        <v/>
      </c>
    </row>
    <row r="892" spans="9:9" x14ac:dyDescent="0.25">
      <c r="I892" s="164" t="str">
        <f>IFERROR(COUNTIF($B$18:B892,B892)&amp;CHOOSE(MIN(4,COUNTIF($B$18:B892,B892)),"st","nd","rd","th"),"")</f>
        <v/>
      </c>
    </row>
    <row r="893" spans="9:9" x14ac:dyDescent="0.25">
      <c r="I893" s="164" t="str">
        <f>IFERROR(COUNTIF($B$18:B893,B893)&amp;CHOOSE(MIN(4,COUNTIF($B$18:B893,B893)),"st","nd","rd","th"),"")</f>
        <v/>
      </c>
    </row>
    <row r="894" spans="9:9" x14ac:dyDescent="0.25">
      <c r="I894" s="164" t="str">
        <f>IFERROR(COUNTIF($B$18:B894,B894)&amp;CHOOSE(MIN(4,COUNTIF($B$18:B894,B894)),"st","nd","rd","th"),"")</f>
        <v/>
      </c>
    </row>
    <row r="895" spans="9:9" x14ac:dyDescent="0.25">
      <c r="I895" s="164" t="str">
        <f>IFERROR(COUNTIF($B$18:B895,B895)&amp;CHOOSE(MIN(4,COUNTIF($B$18:B895,B895)),"st","nd","rd","th"),"")</f>
        <v/>
      </c>
    </row>
    <row r="896" spans="9:9" x14ac:dyDescent="0.25">
      <c r="I896" s="164" t="str">
        <f>IFERROR(COUNTIF($B$18:B896,B896)&amp;CHOOSE(MIN(4,COUNTIF($B$18:B896,B896)),"st","nd","rd","th"),"")</f>
        <v/>
      </c>
    </row>
    <row r="897" spans="9:9" x14ac:dyDescent="0.25">
      <c r="I897" s="164" t="str">
        <f>IFERROR(COUNTIF($B$18:B897,B897)&amp;CHOOSE(MIN(4,COUNTIF($B$18:B897,B897)),"st","nd","rd","th"),"")</f>
        <v/>
      </c>
    </row>
    <row r="898" spans="9:9" x14ac:dyDescent="0.25">
      <c r="I898" s="164" t="str">
        <f>IFERROR(COUNTIF($B$18:B898,B898)&amp;CHOOSE(MIN(4,COUNTIF($B$18:B898,B898)),"st","nd","rd","th"),"")</f>
        <v/>
      </c>
    </row>
    <row r="899" spans="9:9" x14ac:dyDescent="0.25">
      <c r="I899" s="164" t="str">
        <f>IFERROR(COUNTIF($B$18:B899,B899)&amp;CHOOSE(MIN(4,COUNTIF($B$18:B899,B899)),"st","nd","rd","th"),"")</f>
        <v/>
      </c>
    </row>
    <row r="900" spans="9:9" x14ac:dyDescent="0.25">
      <c r="I900" s="164" t="str">
        <f>IFERROR(COUNTIF($B$18:B900,B900)&amp;CHOOSE(MIN(4,COUNTIF($B$18:B900,B900)),"st","nd","rd","th"),"")</f>
        <v/>
      </c>
    </row>
    <row r="901" spans="9:9" x14ac:dyDescent="0.25">
      <c r="I901" s="164" t="str">
        <f>IFERROR(COUNTIF($B$18:B901,B901)&amp;CHOOSE(MIN(4,COUNTIF($B$18:B901,B901)),"st","nd","rd","th"),"")</f>
        <v/>
      </c>
    </row>
    <row r="902" spans="9:9" x14ac:dyDescent="0.25">
      <c r="I902" s="164" t="str">
        <f>IFERROR(COUNTIF($B$18:B902,B902)&amp;CHOOSE(MIN(4,COUNTIF($B$18:B902,B902)),"st","nd","rd","th"),"")</f>
        <v/>
      </c>
    </row>
    <row r="903" spans="9:9" x14ac:dyDescent="0.25">
      <c r="I903" s="164" t="str">
        <f>IFERROR(COUNTIF($B$18:B903,B903)&amp;CHOOSE(MIN(4,COUNTIF($B$18:B903,B903)),"st","nd","rd","th"),"")</f>
        <v/>
      </c>
    </row>
    <row r="904" spans="9:9" x14ac:dyDescent="0.25">
      <c r="I904" s="164" t="str">
        <f>IFERROR(COUNTIF($B$18:B904,B904)&amp;CHOOSE(MIN(4,COUNTIF($B$18:B904,B904)),"st","nd","rd","th"),"")</f>
        <v/>
      </c>
    </row>
    <row r="905" spans="9:9" x14ac:dyDescent="0.25">
      <c r="I905" s="164" t="str">
        <f>IFERROR(COUNTIF($B$18:B905,B905)&amp;CHOOSE(MIN(4,COUNTIF($B$18:B905,B905)),"st","nd","rd","th"),"")</f>
        <v/>
      </c>
    </row>
    <row r="906" spans="9:9" x14ac:dyDescent="0.25">
      <c r="I906" s="164" t="str">
        <f>IFERROR(COUNTIF($B$18:B906,B906)&amp;CHOOSE(MIN(4,COUNTIF($B$18:B906,B906)),"st","nd","rd","th"),"")</f>
        <v/>
      </c>
    </row>
    <row r="907" spans="9:9" x14ac:dyDescent="0.25">
      <c r="I907" s="164" t="str">
        <f>IFERROR(COUNTIF($B$18:B907,B907)&amp;CHOOSE(MIN(4,COUNTIF($B$18:B907,B907)),"st","nd","rd","th"),"")</f>
        <v/>
      </c>
    </row>
    <row r="908" spans="9:9" x14ac:dyDescent="0.25">
      <c r="I908" s="164" t="str">
        <f>IFERROR(COUNTIF($B$18:B908,B908)&amp;CHOOSE(MIN(4,COUNTIF($B$18:B908,B908)),"st","nd","rd","th"),"")</f>
        <v/>
      </c>
    </row>
    <row r="909" spans="9:9" x14ac:dyDescent="0.25">
      <c r="I909" s="164" t="str">
        <f>IFERROR(COUNTIF($B$18:B909,B909)&amp;CHOOSE(MIN(4,COUNTIF($B$18:B909,B909)),"st","nd","rd","th"),"")</f>
        <v/>
      </c>
    </row>
    <row r="910" spans="9:9" x14ac:dyDescent="0.25">
      <c r="I910" s="164" t="str">
        <f>IFERROR(COUNTIF($B$18:B910,B910)&amp;CHOOSE(MIN(4,COUNTIF($B$18:B910,B910)),"st","nd","rd","th"),"")</f>
        <v/>
      </c>
    </row>
    <row r="911" spans="9:9" x14ac:dyDescent="0.25">
      <c r="I911" s="164" t="str">
        <f>IFERROR(COUNTIF($B$18:B911,B911)&amp;CHOOSE(MIN(4,COUNTIF($B$18:B911,B911)),"st","nd","rd","th"),"")</f>
        <v/>
      </c>
    </row>
    <row r="912" spans="9:9" x14ac:dyDescent="0.25">
      <c r="I912" s="164" t="str">
        <f>IFERROR(COUNTIF($B$18:B912,B912)&amp;CHOOSE(MIN(4,COUNTIF($B$18:B912,B912)),"st","nd","rd","th"),"")</f>
        <v/>
      </c>
    </row>
    <row r="913" spans="9:9" x14ac:dyDescent="0.25">
      <c r="I913" s="164" t="str">
        <f>IFERROR(COUNTIF($B$18:B913,B913)&amp;CHOOSE(MIN(4,COUNTIF($B$18:B913,B913)),"st","nd","rd","th"),"")</f>
        <v/>
      </c>
    </row>
    <row r="914" spans="9:9" x14ac:dyDescent="0.25">
      <c r="I914" s="164" t="str">
        <f>IFERROR(COUNTIF($B$18:B914,B914)&amp;CHOOSE(MIN(4,COUNTIF($B$18:B914,B914)),"st","nd","rd","th"),"")</f>
        <v/>
      </c>
    </row>
    <row r="915" spans="9:9" x14ac:dyDescent="0.25">
      <c r="I915" s="164" t="str">
        <f>IFERROR(COUNTIF($B$18:B915,B915)&amp;CHOOSE(MIN(4,COUNTIF($B$18:B915,B915)),"st","nd","rd","th"),"")</f>
        <v/>
      </c>
    </row>
    <row r="916" spans="9:9" x14ac:dyDescent="0.25">
      <c r="I916" s="164" t="str">
        <f>IFERROR(COUNTIF($B$18:B916,B916)&amp;CHOOSE(MIN(4,COUNTIF($B$18:B916,B916)),"st","nd","rd","th"),"")</f>
        <v/>
      </c>
    </row>
    <row r="917" spans="9:9" x14ac:dyDescent="0.25">
      <c r="I917" s="164" t="str">
        <f>IFERROR(COUNTIF($B$18:B917,B917)&amp;CHOOSE(MIN(4,COUNTIF($B$18:B917,B917)),"st","nd","rd","th"),"")</f>
        <v/>
      </c>
    </row>
    <row r="918" spans="9:9" x14ac:dyDescent="0.25">
      <c r="I918" s="164" t="str">
        <f>IFERROR(COUNTIF($B$18:B918,B918)&amp;CHOOSE(MIN(4,COUNTIF($B$18:B918,B918)),"st","nd","rd","th"),"")</f>
        <v/>
      </c>
    </row>
    <row r="919" spans="9:9" x14ac:dyDescent="0.25">
      <c r="I919" s="164" t="str">
        <f>IFERROR(COUNTIF($B$18:B919,B919)&amp;CHOOSE(MIN(4,COUNTIF($B$18:B919,B919)),"st","nd","rd","th"),"")</f>
        <v/>
      </c>
    </row>
    <row r="920" spans="9:9" x14ac:dyDescent="0.25">
      <c r="I920" s="164" t="str">
        <f>IFERROR(COUNTIF($B$18:B920,B920)&amp;CHOOSE(MIN(4,COUNTIF($B$18:B920,B920)),"st","nd","rd","th"),"")</f>
        <v/>
      </c>
    </row>
    <row r="921" spans="9:9" x14ac:dyDescent="0.25">
      <c r="I921" s="164" t="str">
        <f>IFERROR(COUNTIF($B$18:B921,B921)&amp;CHOOSE(MIN(4,COUNTIF($B$18:B921,B921)),"st","nd","rd","th"),"")</f>
        <v/>
      </c>
    </row>
    <row r="922" spans="9:9" x14ac:dyDescent="0.25">
      <c r="I922" s="164" t="str">
        <f>IFERROR(COUNTIF($B$18:B922,B922)&amp;CHOOSE(MIN(4,COUNTIF($B$18:B922,B922)),"st","nd","rd","th"),"")</f>
        <v/>
      </c>
    </row>
    <row r="923" spans="9:9" x14ac:dyDescent="0.25">
      <c r="I923" s="164" t="str">
        <f>IFERROR(COUNTIF($B$18:B923,B923)&amp;CHOOSE(MIN(4,COUNTIF($B$18:B923,B923)),"st","nd","rd","th"),"")</f>
        <v/>
      </c>
    </row>
    <row r="924" spans="9:9" x14ac:dyDescent="0.25">
      <c r="I924" s="164" t="str">
        <f>IFERROR(COUNTIF($B$18:B924,B924)&amp;CHOOSE(MIN(4,COUNTIF($B$18:B924,B924)),"st","nd","rd","th"),"")</f>
        <v/>
      </c>
    </row>
    <row r="925" spans="9:9" x14ac:dyDescent="0.25">
      <c r="I925" s="164" t="str">
        <f>IFERROR(COUNTIF($B$18:B925,B925)&amp;CHOOSE(MIN(4,COUNTIF($B$18:B925,B925)),"st","nd","rd","th"),"")</f>
        <v/>
      </c>
    </row>
    <row r="926" spans="9:9" x14ac:dyDescent="0.25">
      <c r="I926" s="164" t="str">
        <f>IFERROR(COUNTIF($B$18:B926,B926)&amp;CHOOSE(MIN(4,COUNTIF($B$18:B926,B926)),"st","nd","rd","th"),"")</f>
        <v/>
      </c>
    </row>
    <row r="927" spans="9:9" x14ac:dyDescent="0.25">
      <c r="I927" s="164" t="str">
        <f>IFERROR(COUNTIF($B$18:B927,B927)&amp;CHOOSE(MIN(4,COUNTIF($B$18:B927,B927)),"st","nd","rd","th"),"")</f>
        <v/>
      </c>
    </row>
    <row r="928" spans="9:9" x14ac:dyDescent="0.25">
      <c r="I928" s="164" t="str">
        <f>IFERROR(COUNTIF($B$18:B928,B928)&amp;CHOOSE(MIN(4,COUNTIF($B$18:B928,B928)),"st","nd","rd","th"),"")</f>
        <v/>
      </c>
    </row>
    <row r="929" spans="9:9" x14ac:dyDescent="0.25">
      <c r="I929" s="164" t="str">
        <f>IFERROR(COUNTIF($B$18:B929,B929)&amp;CHOOSE(MIN(4,COUNTIF($B$18:B929,B929)),"st","nd","rd","th"),"")</f>
        <v/>
      </c>
    </row>
    <row r="930" spans="9:9" x14ac:dyDescent="0.25">
      <c r="I930" s="164" t="str">
        <f>IFERROR(COUNTIF($B$18:B930,B930)&amp;CHOOSE(MIN(4,COUNTIF($B$18:B930,B930)),"st","nd","rd","th"),"")</f>
        <v/>
      </c>
    </row>
    <row r="931" spans="9:9" x14ac:dyDescent="0.25">
      <c r="I931" s="164" t="str">
        <f>IFERROR(COUNTIF($B$18:B931,B931)&amp;CHOOSE(MIN(4,COUNTIF($B$18:B931,B931)),"st","nd","rd","th"),"")</f>
        <v/>
      </c>
    </row>
    <row r="932" spans="9:9" x14ac:dyDescent="0.25">
      <c r="I932" s="164" t="str">
        <f>IFERROR(COUNTIF($B$18:B932,B932)&amp;CHOOSE(MIN(4,COUNTIF($B$18:B932,B932)),"st","nd","rd","th"),"")</f>
        <v/>
      </c>
    </row>
    <row r="933" spans="9:9" x14ac:dyDescent="0.25">
      <c r="I933" s="164" t="str">
        <f>IFERROR(COUNTIF($B$18:B933,B933)&amp;CHOOSE(MIN(4,COUNTIF($B$18:B933,B933)),"st","nd","rd","th"),"")</f>
        <v/>
      </c>
    </row>
    <row r="934" spans="9:9" x14ac:dyDescent="0.25">
      <c r="I934" s="164" t="str">
        <f>IFERROR(COUNTIF($B$18:B934,B934)&amp;CHOOSE(MIN(4,COUNTIF($B$18:B934,B934)),"st","nd","rd","th"),"")</f>
        <v/>
      </c>
    </row>
    <row r="935" spans="9:9" x14ac:dyDescent="0.25">
      <c r="I935" s="164" t="str">
        <f>IFERROR(COUNTIF($B$18:B935,B935)&amp;CHOOSE(MIN(4,COUNTIF($B$18:B935,B935)),"st","nd","rd","th"),"")</f>
        <v/>
      </c>
    </row>
    <row r="936" spans="9:9" x14ac:dyDescent="0.25">
      <c r="I936" s="164" t="str">
        <f>IFERROR(COUNTIF($B$18:B936,B936)&amp;CHOOSE(MIN(4,COUNTIF($B$18:B936,B936)),"st","nd","rd","th"),"")</f>
        <v/>
      </c>
    </row>
    <row r="937" spans="9:9" x14ac:dyDescent="0.25">
      <c r="I937" s="164" t="str">
        <f>IFERROR(COUNTIF($B$18:B937,B937)&amp;CHOOSE(MIN(4,COUNTIF($B$18:B937,B937)),"st","nd","rd","th"),"")</f>
        <v/>
      </c>
    </row>
    <row r="938" spans="9:9" x14ac:dyDescent="0.25">
      <c r="I938" s="164" t="str">
        <f>IFERROR(COUNTIF($B$18:B938,B938)&amp;CHOOSE(MIN(4,COUNTIF($B$18:B938,B938)),"st","nd","rd","th"),"")</f>
        <v/>
      </c>
    </row>
    <row r="939" spans="9:9" x14ac:dyDescent="0.25">
      <c r="I939" s="164" t="str">
        <f>IFERROR(COUNTIF($B$18:B939,B939)&amp;CHOOSE(MIN(4,COUNTIF($B$18:B939,B939)),"st","nd","rd","th"),"")</f>
        <v/>
      </c>
    </row>
    <row r="940" spans="9:9" x14ac:dyDescent="0.25">
      <c r="I940" s="164" t="str">
        <f>IFERROR(COUNTIF($B$18:B940,B940)&amp;CHOOSE(MIN(4,COUNTIF($B$18:B940,B940)),"st","nd","rd","th"),"")</f>
        <v/>
      </c>
    </row>
    <row r="941" spans="9:9" x14ac:dyDescent="0.25">
      <c r="I941" s="164" t="str">
        <f>IFERROR(COUNTIF($B$18:B941,B941)&amp;CHOOSE(MIN(4,COUNTIF($B$18:B941,B941)),"st","nd","rd","th"),"")</f>
        <v/>
      </c>
    </row>
    <row r="942" spans="9:9" x14ac:dyDescent="0.25">
      <c r="I942" s="164" t="str">
        <f>IFERROR(COUNTIF($B$18:B942,B942)&amp;CHOOSE(MIN(4,COUNTIF($B$18:B942,B942)),"st","nd","rd","th"),"")</f>
        <v/>
      </c>
    </row>
    <row r="943" spans="9:9" x14ac:dyDescent="0.25">
      <c r="I943" s="164" t="str">
        <f>IFERROR(COUNTIF($B$18:B943,B943)&amp;CHOOSE(MIN(4,COUNTIF($B$18:B943,B943)),"st","nd","rd","th"),"")</f>
        <v/>
      </c>
    </row>
    <row r="944" spans="9:9" x14ac:dyDescent="0.25">
      <c r="I944" s="164" t="str">
        <f>IFERROR(COUNTIF($B$18:B944,B944)&amp;CHOOSE(MIN(4,COUNTIF($B$18:B944,B944)),"st","nd","rd","th"),"")</f>
        <v/>
      </c>
    </row>
    <row r="945" spans="9:9" x14ac:dyDescent="0.25">
      <c r="I945" s="164" t="str">
        <f>IFERROR(COUNTIF($B$18:B945,B945)&amp;CHOOSE(MIN(4,COUNTIF($B$18:B945,B945)),"st","nd","rd","th"),"")</f>
        <v/>
      </c>
    </row>
    <row r="946" spans="9:9" x14ac:dyDescent="0.25">
      <c r="I946" s="164" t="str">
        <f>IFERROR(COUNTIF($B$18:B946,B946)&amp;CHOOSE(MIN(4,COUNTIF($B$18:B946,B946)),"st","nd","rd","th"),"")</f>
        <v/>
      </c>
    </row>
    <row r="947" spans="9:9" x14ac:dyDescent="0.25">
      <c r="I947" s="164" t="str">
        <f>IFERROR(COUNTIF($B$18:B947,B947)&amp;CHOOSE(MIN(4,COUNTIF($B$18:B947,B947)),"st","nd","rd","th"),"")</f>
        <v/>
      </c>
    </row>
    <row r="948" spans="9:9" x14ac:dyDescent="0.25">
      <c r="I948" s="164" t="str">
        <f>IFERROR(COUNTIF($B$18:B948,B948)&amp;CHOOSE(MIN(4,COUNTIF($B$18:B948,B948)),"st","nd","rd","th"),"")</f>
        <v/>
      </c>
    </row>
    <row r="949" spans="9:9" x14ac:dyDescent="0.25">
      <c r="I949" s="164" t="str">
        <f>IFERROR(COUNTIF($B$18:B949,B949)&amp;CHOOSE(MIN(4,COUNTIF($B$18:B949,B949)),"st","nd","rd","th"),"")</f>
        <v/>
      </c>
    </row>
    <row r="950" spans="9:9" x14ac:dyDescent="0.25">
      <c r="I950" s="164" t="str">
        <f>IFERROR(COUNTIF($B$18:B950,B950)&amp;CHOOSE(MIN(4,COUNTIF($B$18:B950,B950)),"st","nd","rd","th"),"")</f>
        <v/>
      </c>
    </row>
    <row r="951" spans="9:9" x14ac:dyDescent="0.25">
      <c r="I951" s="164" t="str">
        <f>IFERROR(COUNTIF($B$18:B951,B951)&amp;CHOOSE(MIN(4,COUNTIF($B$18:B951,B951)),"st","nd","rd","th"),"")</f>
        <v/>
      </c>
    </row>
    <row r="952" spans="9:9" x14ac:dyDescent="0.25">
      <c r="I952" s="164" t="str">
        <f>IFERROR(COUNTIF($B$18:B952,B952)&amp;CHOOSE(MIN(4,COUNTIF($B$18:B952,B952)),"st","nd","rd","th"),"")</f>
        <v/>
      </c>
    </row>
    <row r="953" spans="9:9" x14ac:dyDescent="0.25">
      <c r="I953" s="164" t="str">
        <f>IFERROR(COUNTIF($B$18:B953,B953)&amp;CHOOSE(MIN(4,COUNTIF($B$18:B953,B953)),"st","nd","rd","th"),"")</f>
        <v/>
      </c>
    </row>
    <row r="954" spans="9:9" x14ac:dyDescent="0.25">
      <c r="I954" s="164" t="str">
        <f>IFERROR(COUNTIF($B$18:B954,B954)&amp;CHOOSE(MIN(4,COUNTIF($B$18:B954,B954)),"st","nd","rd","th"),"")</f>
        <v/>
      </c>
    </row>
    <row r="955" spans="9:9" x14ac:dyDescent="0.25">
      <c r="I955" s="164" t="str">
        <f>IFERROR(COUNTIF($B$18:B955,B955)&amp;CHOOSE(MIN(4,COUNTIF($B$18:B955,B955)),"st","nd","rd","th"),"")</f>
        <v/>
      </c>
    </row>
    <row r="956" spans="9:9" x14ac:dyDescent="0.25">
      <c r="I956" s="164" t="str">
        <f>IFERROR(COUNTIF($B$18:B956,B956)&amp;CHOOSE(MIN(4,COUNTIF($B$18:B956,B956)),"st","nd","rd","th"),"")</f>
        <v/>
      </c>
    </row>
    <row r="957" spans="9:9" x14ac:dyDescent="0.25">
      <c r="I957" s="164" t="str">
        <f>IFERROR(COUNTIF($B$18:B957,B957)&amp;CHOOSE(MIN(4,COUNTIF($B$18:B957,B957)),"st","nd","rd","th"),"")</f>
        <v/>
      </c>
    </row>
    <row r="958" spans="9:9" x14ac:dyDescent="0.25">
      <c r="I958" s="164" t="str">
        <f>IFERROR(COUNTIF($B$18:B958,B958)&amp;CHOOSE(MIN(4,COUNTIF($B$18:B958,B958)),"st","nd","rd","th"),"")</f>
        <v/>
      </c>
    </row>
    <row r="959" spans="9:9" x14ac:dyDescent="0.25">
      <c r="I959" s="164" t="str">
        <f>IFERROR(COUNTIF($B$18:B959,B959)&amp;CHOOSE(MIN(4,COUNTIF($B$18:B959,B959)),"st","nd","rd","th"),"")</f>
        <v/>
      </c>
    </row>
    <row r="960" spans="9:9" x14ac:dyDescent="0.25">
      <c r="I960" s="164" t="str">
        <f>IFERROR(COUNTIF($B$18:B960,B960)&amp;CHOOSE(MIN(4,COUNTIF($B$18:B960,B960)),"st","nd","rd","th"),"")</f>
        <v/>
      </c>
    </row>
    <row r="961" spans="9:9" x14ac:dyDescent="0.25">
      <c r="I961" s="164" t="str">
        <f>IFERROR(COUNTIF($B$18:B961,B961)&amp;CHOOSE(MIN(4,COUNTIF($B$18:B961,B961)),"st","nd","rd","th"),"")</f>
        <v/>
      </c>
    </row>
    <row r="962" spans="9:9" x14ac:dyDescent="0.25">
      <c r="I962" s="164" t="str">
        <f>IFERROR(COUNTIF($B$18:B962,B962)&amp;CHOOSE(MIN(4,COUNTIF($B$18:B962,B962)),"st","nd","rd","th"),"")</f>
        <v/>
      </c>
    </row>
    <row r="963" spans="9:9" x14ac:dyDescent="0.25">
      <c r="I963" s="164" t="str">
        <f>IFERROR(COUNTIF($B$18:B963,B963)&amp;CHOOSE(MIN(4,COUNTIF($B$18:B963,B963)),"st","nd","rd","th"),"")</f>
        <v/>
      </c>
    </row>
    <row r="964" spans="9:9" x14ac:dyDescent="0.25">
      <c r="I964" s="164" t="str">
        <f>IFERROR(COUNTIF($B$18:B964,B964)&amp;CHOOSE(MIN(4,COUNTIF($B$18:B964,B964)),"st","nd","rd","th"),"")</f>
        <v/>
      </c>
    </row>
    <row r="965" spans="9:9" x14ac:dyDescent="0.25">
      <c r="I965" s="164" t="str">
        <f>IFERROR(COUNTIF($B$18:B965,B965)&amp;CHOOSE(MIN(4,COUNTIF($B$18:B965,B965)),"st","nd","rd","th"),"")</f>
        <v/>
      </c>
    </row>
    <row r="966" spans="9:9" x14ac:dyDescent="0.25">
      <c r="I966" s="164" t="str">
        <f>IFERROR(COUNTIF($B$18:B966,B966)&amp;CHOOSE(MIN(4,COUNTIF($B$18:B966,B966)),"st","nd","rd","th"),"")</f>
        <v/>
      </c>
    </row>
    <row r="967" spans="9:9" x14ac:dyDescent="0.25">
      <c r="I967" s="164" t="str">
        <f>IFERROR(COUNTIF($B$18:B967,B967)&amp;CHOOSE(MIN(4,COUNTIF($B$18:B967,B967)),"st","nd","rd","th"),"")</f>
        <v/>
      </c>
    </row>
    <row r="968" spans="9:9" x14ac:dyDescent="0.25">
      <c r="I968" s="164" t="str">
        <f>IFERROR(COUNTIF($B$18:B968,B968)&amp;CHOOSE(MIN(4,COUNTIF($B$18:B968,B968)),"st","nd","rd","th"),"")</f>
        <v/>
      </c>
    </row>
    <row r="969" spans="9:9" x14ac:dyDescent="0.25">
      <c r="I969" s="164" t="str">
        <f>IFERROR(COUNTIF($B$18:B969,B969)&amp;CHOOSE(MIN(4,COUNTIF($B$18:B969,B969)),"st","nd","rd","th"),"")</f>
        <v/>
      </c>
    </row>
    <row r="970" spans="9:9" x14ac:dyDescent="0.25">
      <c r="I970" s="164" t="str">
        <f>IFERROR(COUNTIF($B$18:B970,B970)&amp;CHOOSE(MIN(4,COUNTIF($B$18:B970,B970)),"st","nd","rd","th"),"")</f>
        <v/>
      </c>
    </row>
    <row r="971" spans="9:9" x14ac:dyDescent="0.25">
      <c r="I971" s="164" t="str">
        <f>IFERROR(COUNTIF($B$18:B971,B971)&amp;CHOOSE(MIN(4,COUNTIF($B$18:B971,B971)),"st","nd","rd","th"),"")</f>
        <v/>
      </c>
    </row>
    <row r="972" spans="9:9" x14ac:dyDescent="0.25">
      <c r="I972" s="164" t="str">
        <f>IFERROR(COUNTIF($B$18:B972,B972)&amp;CHOOSE(MIN(4,COUNTIF($B$18:B972,B972)),"st","nd","rd","th"),"")</f>
        <v/>
      </c>
    </row>
    <row r="973" spans="9:9" x14ac:dyDescent="0.25">
      <c r="I973" s="164" t="str">
        <f>IFERROR(COUNTIF($B$18:B973,B973)&amp;CHOOSE(MIN(4,COUNTIF($B$18:B973,B973)),"st","nd","rd","th"),"")</f>
        <v/>
      </c>
    </row>
    <row r="974" spans="9:9" x14ac:dyDescent="0.25">
      <c r="I974" s="164" t="str">
        <f>IFERROR(COUNTIF($B$18:B974,B974)&amp;CHOOSE(MIN(4,COUNTIF($B$18:B974,B974)),"st","nd","rd","th"),"")</f>
        <v/>
      </c>
    </row>
    <row r="975" spans="9:9" x14ac:dyDescent="0.25">
      <c r="I975" s="164" t="str">
        <f>IFERROR(COUNTIF($B$18:B975,B975)&amp;CHOOSE(MIN(4,COUNTIF($B$18:B975,B975)),"st","nd","rd","th"),"")</f>
        <v/>
      </c>
    </row>
    <row r="976" spans="9:9" x14ac:dyDescent="0.25">
      <c r="I976" s="164" t="str">
        <f>IFERROR(COUNTIF($B$18:B976,B976)&amp;CHOOSE(MIN(4,COUNTIF($B$18:B976,B976)),"st","nd","rd","th"),"")</f>
        <v/>
      </c>
    </row>
    <row r="977" spans="9:9" x14ac:dyDescent="0.25">
      <c r="I977" s="164" t="str">
        <f>IFERROR(COUNTIF($B$18:B977,B977)&amp;CHOOSE(MIN(4,COUNTIF($B$18:B977,B977)),"st","nd","rd","th"),"")</f>
        <v/>
      </c>
    </row>
    <row r="978" spans="9:9" x14ac:dyDescent="0.25">
      <c r="I978" s="164" t="str">
        <f>IFERROR(COUNTIF($B$18:B978,B978)&amp;CHOOSE(MIN(4,COUNTIF($B$18:B978,B978)),"st","nd","rd","th"),"")</f>
        <v/>
      </c>
    </row>
    <row r="979" spans="9:9" x14ac:dyDescent="0.25">
      <c r="I979" s="164" t="str">
        <f>IFERROR(COUNTIF($B$18:B979,B979)&amp;CHOOSE(MIN(4,COUNTIF($B$18:B979,B979)),"st","nd","rd","th"),"")</f>
        <v/>
      </c>
    </row>
    <row r="980" spans="9:9" x14ac:dyDescent="0.25">
      <c r="I980" s="164" t="str">
        <f>IFERROR(COUNTIF($B$18:B980,B980)&amp;CHOOSE(MIN(4,COUNTIF($B$18:B980,B980)),"st","nd","rd","th"),"")</f>
        <v/>
      </c>
    </row>
    <row r="981" spans="9:9" x14ac:dyDescent="0.25">
      <c r="I981" s="164" t="str">
        <f>IFERROR(COUNTIF($B$18:B981,B981)&amp;CHOOSE(MIN(4,COUNTIF($B$18:B981,B981)),"st","nd","rd","th"),"")</f>
        <v/>
      </c>
    </row>
    <row r="982" spans="9:9" x14ac:dyDescent="0.25">
      <c r="I982" s="164" t="str">
        <f>IFERROR(COUNTIF($B$18:B982,B982)&amp;CHOOSE(MIN(4,COUNTIF($B$18:B982,B982)),"st","nd","rd","th"),"")</f>
        <v/>
      </c>
    </row>
    <row r="983" spans="9:9" x14ac:dyDescent="0.25">
      <c r="I983" s="164" t="str">
        <f>IFERROR(COUNTIF($B$18:B983,B983)&amp;CHOOSE(MIN(4,COUNTIF($B$18:B983,B983)),"st","nd","rd","th"),"")</f>
        <v/>
      </c>
    </row>
    <row r="984" spans="9:9" x14ac:dyDescent="0.25">
      <c r="I984" s="164" t="str">
        <f>IFERROR(COUNTIF($B$18:B984,B984)&amp;CHOOSE(MIN(4,COUNTIF($B$18:B984,B984)),"st","nd","rd","th"),"")</f>
        <v/>
      </c>
    </row>
    <row r="985" spans="9:9" x14ac:dyDescent="0.25">
      <c r="I985" s="164" t="str">
        <f>IFERROR(COUNTIF($B$18:B985,B985)&amp;CHOOSE(MIN(4,COUNTIF($B$18:B985,B985)),"st","nd","rd","th"),"")</f>
        <v/>
      </c>
    </row>
    <row r="986" spans="9:9" x14ac:dyDescent="0.25">
      <c r="I986" s="164" t="str">
        <f>IFERROR(COUNTIF($B$18:B986,B986)&amp;CHOOSE(MIN(4,COUNTIF($B$18:B986,B986)),"st","nd","rd","th"),"")</f>
        <v/>
      </c>
    </row>
    <row r="987" spans="9:9" x14ac:dyDescent="0.25">
      <c r="I987" s="164" t="str">
        <f>IFERROR(COUNTIF($B$18:B987,B987)&amp;CHOOSE(MIN(4,COUNTIF($B$18:B987,B987)),"st","nd","rd","th"),"")</f>
        <v/>
      </c>
    </row>
    <row r="988" spans="9:9" x14ac:dyDescent="0.25">
      <c r="I988" s="164" t="str">
        <f>IFERROR(COUNTIF($B$18:B988,B988)&amp;CHOOSE(MIN(4,COUNTIF($B$18:B988,B988)),"st","nd","rd","th"),"")</f>
        <v/>
      </c>
    </row>
    <row r="989" spans="9:9" x14ac:dyDescent="0.25">
      <c r="I989" s="164" t="str">
        <f>IFERROR(COUNTIF($B$18:B989,B989)&amp;CHOOSE(MIN(4,COUNTIF($B$18:B989,B989)),"st","nd","rd","th"),"")</f>
        <v/>
      </c>
    </row>
    <row r="990" spans="9:9" x14ac:dyDescent="0.25">
      <c r="I990" s="164" t="str">
        <f>IFERROR(COUNTIF($B$18:B990,B990)&amp;CHOOSE(MIN(4,COUNTIF($B$18:B990,B990)),"st","nd","rd","th"),"")</f>
        <v/>
      </c>
    </row>
    <row r="991" spans="9:9" x14ac:dyDescent="0.25">
      <c r="I991" s="164" t="str">
        <f>IFERROR(COUNTIF($B$18:B991,B991)&amp;CHOOSE(MIN(4,COUNTIF($B$18:B991,B991)),"st","nd","rd","th"),"")</f>
        <v/>
      </c>
    </row>
    <row r="992" spans="9:9" x14ac:dyDescent="0.25">
      <c r="I992" s="164" t="str">
        <f>IFERROR(COUNTIF($B$18:B992,B992)&amp;CHOOSE(MIN(4,COUNTIF($B$18:B992,B992)),"st","nd","rd","th"),"")</f>
        <v/>
      </c>
    </row>
    <row r="993" spans="9:9" x14ac:dyDescent="0.25">
      <c r="I993" s="164" t="str">
        <f>IFERROR(COUNTIF($B$18:B993,B993)&amp;CHOOSE(MIN(4,COUNTIF($B$18:B993,B993)),"st","nd","rd","th"),"")</f>
        <v/>
      </c>
    </row>
    <row r="994" spans="9:9" x14ac:dyDescent="0.25">
      <c r="I994" s="164" t="str">
        <f>IFERROR(COUNTIF($B$18:B994,B994)&amp;CHOOSE(MIN(4,COUNTIF($B$18:B994,B994)),"st","nd","rd","th"),"")</f>
        <v/>
      </c>
    </row>
    <row r="995" spans="9:9" x14ac:dyDescent="0.25">
      <c r="I995" s="164" t="str">
        <f>IFERROR(COUNTIF($B$18:B995,B995)&amp;CHOOSE(MIN(4,COUNTIF($B$18:B995,B995)),"st","nd","rd","th"),"")</f>
        <v/>
      </c>
    </row>
    <row r="996" spans="9:9" x14ac:dyDescent="0.25">
      <c r="I996" s="164" t="str">
        <f>IFERROR(COUNTIF($B$18:B996,B996)&amp;CHOOSE(MIN(4,COUNTIF($B$18:B996,B996)),"st","nd","rd","th"),"")</f>
        <v/>
      </c>
    </row>
    <row r="997" spans="9:9" x14ac:dyDescent="0.25">
      <c r="I997" s="164" t="str">
        <f>IFERROR(COUNTIF($B$18:B997,B997)&amp;CHOOSE(MIN(4,COUNTIF($B$18:B997,B997)),"st","nd","rd","th"),"")</f>
        <v/>
      </c>
    </row>
    <row r="998" spans="9:9" x14ac:dyDescent="0.25">
      <c r="I998" s="164" t="str">
        <f>IFERROR(COUNTIF($B$18:B998,B998)&amp;CHOOSE(MIN(4,COUNTIF($B$18:B998,B998)),"st","nd","rd","th"),"")</f>
        <v/>
      </c>
    </row>
    <row r="999" spans="9:9" x14ac:dyDescent="0.25">
      <c r="I999" s="164" t="str">
        <f>IFERROR(COUNTIF($B$18:B999,B999)&amp;CHOOSE(MIN(4,COUNTIF($B$18:B999,B999)),"st","nd","rd","th"),"")</f>
        <v/>
      </c>
    </row>
    <row r="1000" spans="9:9" x14ac:dyDescent="0.25">
      <c r="I1000" s="164" t="str">
        <f>IFERROR(COUNTIF($B$18:B1000,B1000)&amp;CHOOSE(MIN(4,COUNTIF($B$18:B1000,B1000)),"st","nd","rd","th"),"")</f>
        <v/>
      </c>
    </row>
  </sheetData>
  <mergeCells count="3">
    <mergeCell ref="B5:Q5"/>
    <mergeCell ref="B6:Q6"/>
    <mergeCell ref="B7:Q7"/>
  </mergeCells>
  <dataValidations count="1">
    <dataValidation type="list" allowBlank="1" showInputMessage="1" showErrorMessage="1" sqref="B18:B1048576" xr:uid="{D8F28B5C-220B-4CAC-B8CB-A80D0F93C7B9}">
      <formula1>INDIRECT(A18)</formula1>
    </dataValidation>
  </dataValidations>
  <hyperlinks>
    <hyperlink ref="C1" location="'Accomplishment 2025'!A1" display="Back to Summary of Accomplishments 2025" xr:uid="{7C3244E7-2899-4787-A1DD-19AE7A54BBDE}"/>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B28A3893-69C4-4CD5-BB87-10CA8479CD4F}">
          <x14:formula1>
            <xm:f>Picklists!$A$26:$A$27</xm:f>
          </x14:formula1>
          <xm:sqref>E18:E1048576</xm:sqref>
        </x14:dataValidation>
        <x14:dataValidation type="list" allowBlank="1" showInputMessage="1" showErrorMessage="1" xr:uid="{A6EFBB64-56BC-48A4-9D5E-DDF555C25954}">
          <x14:formula1>
            <xm:f>Picklists!$A$17:$A$23</xm:f>
          </x14:formula1>
          <xm:sqref>C18:C1048576</xm:sqref>
        </x14:dataValidation>
        <x14:dataValidation type="list" allowBlank="1" showInputMessage="1" showErrorMessage="1" xr:uid="{7134C349-D6B9-452E-8C54-DE902E2398B0}">
          <x14:formula1>
            <xm:f>Picklists!$A$3:$A$14</xm:f>
          </x14:formula1>
          <xm:sqref>G18:G1048576</xm:sqref>
        </x14:dataValidation>
        <x14:dataValidation type="list" allowBlank="1" showInputMessage="1" showErrorMessage="1" xr:uid="{5E7DD9C2-51B9-401F-9F4F-C244EE288B4D}">
          <x14:formula1>
            <xm:f>LGU_Masterlist!$D$2:$T$2</xm:f>
          </x14:formula1>
          <xm:sqref>A18:A1048576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8180-0A7A-4072-9D58-24B6958D7163}">
  <sheetPr codeName="Sheet15">
    <tabColor theme="9" tint="0.39997558519241921"/>
  </sheetPr>
  <dimension ref="A1:R999"/>
  <sheetViews>
    <sheetView topLeftCell="A7" zoomScale="60" zoomScaleNormal="60" workbookViewId="0">
      <selection activeCell="A18" sqref="A18:R19"/>
    </sheetView>
  </sheetViews>
  <sheetFormatPr defaultColWidth="8.88671875" defaultRowHeight="13.8" x14ac:dyDescent="0.25"/>
  <cols>
    <col min="1" max="1" width="12.6640625" style="164" customWidth="1"/>
    <col min="2" max="2" width="36.88671875" style="164" customWidth="1"/>
    <col min="3" max="3" width="52.88671875" style="164" bestFit="1" customWidth="1"/>
    <col min="4" max="4" width="33" style="190" customWidth="1"/>
    <col min="5" max="5" width="27.44140625" style="164" customWidth="1"/>
    <col min="6" max="6" width="24.109375" style="171" customWidth="1"/>
    <col min="7" max="7" width="23.109375" style="172" customWidth="1"/>
    <col min="8" max="8" width="20.88671875" style="164" customWidth="1"/>
    <col min="9" max="9" width="8.88671875" style="164" customWidth="1"/>
    <col min="10" max="10" width="18" style="164" customWidth="1"/>
    <col min="11" max="11" width="8.88671875" style="164" customWidth="1"/>
    <col min="12" max="16384" width="8.88671875" style="164"/>
  </cols>
  <sheetData>
    <row r="1" spans="1:18" s="32" customFormat="1" ht="14.4" x14ac:dyDescent="0.3">
      <c r="A1" s="173" t="s">
        <v>5090</v>
      </c>
      <c r="C1" s="174" t="s">
        <v>1673</v>
      </c>
      <c r="D1" s="191"/>
      <c r="F1" s="185"/>
    </row>
    <row r="2" spans="1:18" s="32" customFormat="1" x14ac:dyDescent="0.25">
      <c r="A2" s="176"/>
      <c r="B2" s="35"/>
      <c r="C2" s="35"/>
      <c r="D2" s="192"/>
      <c r="E2" s="35"/>
    </row>
    <row r="3" spans="1:18" s="32" customFormat="1" x14ac:dyDescent="0.25">
      <c r="A3" s="363">
        <v>3</v>
      </c>
      <c r="B3" s="364" t="s">
        <v>5121</v>
      </c>
      <c r="C3" s="364"/>
      <c r="D3" s="370"/>
      <c r="E3" s="364"/>
    </row>
    <row r="4" spans="1:18" s="32" customFormat="1" x14ac:dyDescent="0.25">
      <c r="A4" s="178"/>
      <c r="B4" s="206" t="s">
        <v>5122</v>
      </c>
      <c r="C4" s="206"/>
      <c r="D4" s="371"/>
      <c r="E4" s="206"/>
    </row>
    <row r="5" spans="1:18" s="32" customFormat="1" ht="72" customHeight="1" x14ac:dyDescent="0.25">
      <c r="A5" s="178"/>
      <c r="B5" s="599" t="s">
        <v>5123</v>
      </c>
      <c r="C5" s="599"/>
      <c r="D5" s="599"/>
      <c r="E5" s="599"/>
      <c r="F5" s="599"/>
      <c r="G5" s="599"/>
      <c r="H5" s="599"/>
      <c r="I5" s="599"/>
      <c r="J5" s="599"/>
      <c r="K5" s="599"/>
      <c r="L5" s="599"/>
      <c r="M5" s="599"/>
      <c r="N5" s="599"/>
      <c r="O5" s="599"/>
      <c r="P5" s="599"/>
      <c r="Q5" s="599"/>
      <c r="R5" s="599"/>
    </row>
    <row r="6" spans="1:18" s="32" customFormat="1" ht="45.6" customHeight="1" x14ac:dyDescent="0.25">
      <c r="A6" s="178"/>
      <c r="B6" s="601" t="s">
        <v>5093</v>
      </c>
      <c r="C6" s="601"/>
      <c r="D6" s="601"/>
      <c r="E6" s="601"/>
      <c r="F6" s="601"/>
      <c r="G6" s="601"/>
      <c r="H6" s="601"/>
      <c r="I6" s="601"/>
      <c r="J6" s="601"/>
      <c r="K6" s="601"/>
      <c r="L6" s="601"/>
      <c r="M6" s="601"/>
      <c r="N6" s="601"/>
      <c r="O6" s="601"/>
      <c r="P6" s="601"/>
      <c r="Q6" s="601"/>
      <c r="R6" s="601"/>
    </row>
    <row r="7" spans="1:18" s="32" customFormat="1" x14ac:dyDescent="0.25">
      <c r="B7" s="602" t="s">
        <v>5124</v>
      </c>
      <c r="C7" s="602"/>
      <c r="D7" s="602"/>
      <c r="E7" s="602"/>
      <c r="F7" s="602"/>
      <c r="G7" s="602"/>
      <c r="H7" s="602"/>
      <c r="I7" s="602"/>
      <c r="J7" s="602"/>
      <c r="K7" s="602"/>
      <c r="L7" s="602"/>
      <c r="M7" s="602"/>
      <c r="N7" s="602"/>
      <c r="O7" s="602"/>
      <c r="P7" s="602"/>
      <c r="Q7" s="602"/>
      <c r="R7" s="602"/>
    </row>
    <row r="8" spans="1:18" s="32" customFormat="1" x14ac:dyDescent="0.25">
      <c r="B8" s="186" t="s">
        <v>5125</v>
      </c>
      <c r="C8" s="186"/>
      <c r="D8" s="186"/>
      <c r="E8" s="186"/>
      <c r="F8" s="186"/>
      <c r="G8" s="186"/>
      <c r="H8" s="186"/>
      <c r="I8" s="186"/>
      <c r="J8" s="186"/>
      <c r="K8" s="186"/>
      <c r="L8" s="186"/>
      <c r="M8" s="186"/>
      <c r="N8" s="186"/>
      <c r="O8" s="240"/>
      <c r="P8" s="240"/>
      <c r="Q8" s="173"/>
      <c r="R8" s="173"/>
    </row>
    <row r="9" spans="1:18" s="32" customFormat="1" x14ac:dyDescent="0.25">
      <c r="B9" s="173"/>
      <c r="C9" s="173"/>
      <c r="D9" s="193"/>
      <c r="E9" s="173"/>
      <c r="F9" s="173"/>
      <c r="G9" s="173"/>
      <c r="H9" s="173"/>
      <c r="I9" s="173"/>
      <c r="J9" s="173"/>
      <c r="K9" s="173"/>
      <c r="L9" s="173"/>
      <c r="M9" s="173"/>
      <c r="N9" s="173"/>
      <c r="O9" s="173"/>
      <c r="P9" s="173"/>
      <c r="Q9" s="173"/>
      <c r="R9" s="173"/>
    </row>
    <row r="10" spans="1:18" s="32" customFormat="1" x14ac:dyDescent="0.25">
      <c r="B10" s="179" t="s">
        <v>5126</v>
      </c>
      <c r="C10" s="179"/>
      <c r="D10" s="194"/>
      <c r="E10" s="179"/>
      <c r="F10" s="181">
        <f>COUNTIF(J18:J999,"1st")</f>
        <v>2</v>
      </c>
      <c r="G10" s="195"/>
      <c r="H10" s="173"/>
      <c r="I10" s="173"/>
      <c r="J10" s="173"/>
      <c r="K10" s="173"/>
      <c r="L10" s="173"/>
      <c r="M10" s="173"/>
      <c r="N10" s="173"/>
      <c r="O10" s="173"/>
      <c r="P10" s="173"/>
      <c r="Q10" s="173"/>
      <c r="R10" s="173"/>
    </row>
    <row r="11" spans="1:18" s="32" customFormat="1" x14ac:dyDescent="0.25">
      <c r="B11" s="179" t="s">
        <v>5127</v>
      </c>
      <c r="C11" s="179"/>
      <c r="D11" s="194"/>
      <c r="E11" s="179"/>
      <c r="F11" s="181">
        <f>COUNTA(D18:D999)</f>
        <v>2</v>
      </c>
      <c r="G11" s="173"/>
      <c r="H11" s="173"/>
      <c r="I11" s="173"/>
      <c r="J11" s="173"/>
      <c r="K11" s="173"/>
      <c r="L11" s="173"/>
      <c r="M11" s="173"/>
      <c r="N11" s="173"/>
      <c r="O11" s="173"/>
      <c r="P11" s="173"/>
      <c r="Q11" s="173"/>
      <c r="R11" s="173"/>
    </row>
    <row r="12" spans="1:18" s="32" customFormat="1" x14ac:dyDescent="0.25">
      <c r="B12" s="196" t="s">
        <v>5098</v>
      </c>
      <c r="C12" s="196"/>
      <c r="D12" s="197"/>
      <c r="E12" s="196"/>
      <c r="F12" s="198">
        <f>COUNTIF(F18:F999,"Planned")</f>
        <v>0</v>
      </c>
      <c r="G12" s="173"/>
      <c r="H12" s="173"/>
      <c r="I12" s="173"/>
      <c r="J12" s="173"/>
      <c r="K12" s="173"/>
      <c r="L12" s="173"/>
      <c r="M12" s="173"/>
      <c r="N12" s="173"/>
      <c r="O12" s="173"/>
      <c r="P12" s="173"/>
      <c r="Q12" s="173"/>
      <c r="R12" s="173"/>
    </row>
    <row r="13" spans="1:18" s="32" customFormat="1" x14ac:dyDescent="0.25">
      <c r="B13" s="196" t="s">
        <v>5099</v>
      </c>
      <c r="C13" s="196"/>
      <c r="D13" s="197"/>
      <c r="E13" s="196"/>
      <c r="F13" s="198">
        <f>COUNTIF(F18:F999,"Requested")</f>
        <v>2</v>
      </c>
      <c r="G13" s="173"/>
      <c r="H13" s="173"/>
      <c r="I13" s="173"/>
      <c r="J13" s="173"/>
      <c r="K13" s="173"/>
      <c r="L13" s="173"/>
      <c r="M13" s="173"/>
      <c r="N13" s="173"/>
      <c r="O13" s="173"/>
      <c r="P13" s="173"/>
      <c r="Q13" s="173"/>
      <c r="R13" s="173"/>
    </row>
    <row r="14" spans="1:18" s="32" customFormat="1" x14ac:dyDescent="0.25">
      <c r="B14" s="173"/>
      <c r="C14" s="173"/>
      <c r="D14" s="193"/>
      <c r="E14" s="173"/>
      <c r="F14" s="173"/>
      <c r="G14" s="173"/>
      <c r="H14" s="173"/>
      <c r="I14" s="173"/>
      <c r="J14" s="173"/>
      <c r="K14" s="173"/>
      <c r="L14" s="173"/>
      <c r="M14" s="173"/>
      <c r="N14" s="173"/>
      <c r="O14" s="173"/>
      <c r="P14" s="173"/>
      <c r="Q14" s="173"/>
      <c r="R14" s="173"/>
    </row>
    <row r="15" spans="1:18" s="32" customFormat="1" x14ac:dyDescent="0.25">
      <c r="B15" s="173"/>
      <c r="C15" s="173"/>
      <c r="D15" s="193"/>
      <c r="E15" s="173"/>
      <c r="F15" s="173"/>
      <c r="G15" s="173"/>
      <c r="H15" s="173"/>
      <c r="I15" s="173"/>
      <c r="J15" s="173"/>
      <c r="K15" s="173"/>
      <c r="L15" s="173"/>
      <c r="M15" s="173"/>
      <c r="N15" s="173"/>
      <c r="O15" s="173"/>
      <c r="P15" s="173"/>
      <c r="Q15" s="173"/>
      <c r="R15" s="173"/>
    </row>
    <row r="16" spans="1:18" s="32" customFormat="1" x14ac:dyDescent="0.25">
      <c r="D16" s="191"/>
      <c r="F16" s="199"/>
    </row>
    <row r="17" spans="1:18" s="182" customFormat="1" ht="77.400000000000006" customHeight="1" x14ac:dyDescent="0.25">
      <c r="A17" s="184" t="s">
        <v>5128</v>
      </c>
      <c r="B17" s="184" t="s">
        <v>5129</v>
      </c>
      <c r="C17" s="183" t="s">
        <v>5130</v>
      </c>
      <c r="D17" s="184" t="s">
        <v>5101</v>
      </c>
      <c r="E17" s="183" t="s">
        <v>5102</v>
      </c>
      <c r="F17" s="184" t="s">
        <v>5103</v>
      </c>
      <c r="G17" s="184" t="s">
        <v>5104</v>
      </c>
      <c r="H17" s="184" t="s">
        <v>1685</v>
      </c>
      <c r="I17" s="183" t="s">
        <v>1686</v>
      </c>
      <c r="J17" s="187" t="s">
        <v>1714</v>
      </c>
    </row>
    <row r="18" spans="1:18" ht="41.4" x14ac:dyDescent="0.25">
      <c r="A18" s="416" t="s">
        <v>67</v>
      </c>
      <c r="B18" s="416" t="s">
        <v>86</v>
      </c>
      <c r="C18" s="416" t="s">
        <v>5131</v>
      </c>
      <c r="D18" s="485" t="s">
        <v>5105</v>
      </c>
      <c r="E18" s="553" t="s">
        <v>5132</v>
      </c>
      <c r="F18" s="416" t="s">
        <v>5107</v>
      </c>
      <c r="G18" s="554">
        <v>46055</v>
      </c>
      <c r="H18" s="416" t="s">
        <v>1499</v>
      </c>
      <c r="I18" s="416" t="s">
        <v>1499</v>
      </c>
      <c r="J18" s="416" t="s">
        <v>1856</v>
      </c>
      <c r="K18" s="416"/>
      <c r="L18" s="416"/>
      <c r="M18" s="416"/>
      <c r="N18" s="416"/>
      <c r="O18" s="416"/>
      <c r="P18" s="416"/>
      <c r="Q18" s="416"/>
      <c r="R18" s="416"/>
    </row>
    <row r="19" spans="1:18" ht="41.4" x14ac:dyDescent="0.25">
      <c r="A19" s="416" t="s">
        <v>67</v>
      </c>
      <c r="B19" s="416" t="s">
        <v>86</v>
      </c>
      <c r="C19" s="416" t="s">
        <v>1381</v>
      </c>
      <c r="D19" s="485" t="s">
        <v>5105</v>
      </c>
      <c r="E19" s="485" t="s">
        <v>5133</v>
      </c>
      <c r="F19" s="416" t="s">
        <v>5107</v>
      </c>
      <c r="G19" s="554">
        <v>46077</v>
      </c>
      <c r="H19" s="416" t="s">
        <v>1499</v>
      </c>
      <c r="I19" s="416" t="s">
        <v>1499</v>
      </c>
      <c r="J19" s="416" t="s">
        <v>1856</v>
      </c>
      <c r="K19" s="416"/>
      <c r="L19" s="416"/>
      <c r="M19" s="416"/>
      <c r="N19" s="416"/>
      <c r="O19" s="416"/>
      <c r="P19" s="416"/>
      <c r="Q19" s="416"/>
      <c r="R19" s="416"/>
    </row>
    <row r="20" spans="1:18" x14ac:dyDescent="0.25">
      <c r="J20" s="164" t="str">
        <f>IFERROR(COUNTIF($C$18:C20,C20)&amp;CHOOSE(MIN(4,COUNTIF($C$18:C20,C20)),"st","nd","rd","th"),"")</f>
        <v/>
      </c>
    </row>
    <row r="21" spans="1:18" x14ac:dyDescent="0.25">
      <c r="J21" s="164" t="str">
        <f>IFERROR(COUNTIF($C$18:C21,C21)&amp;CHOOSE(MIN(4,COUNTIF($C$18:C21,C21)),"st","nd","rd","th"),"")</f>
        <v/>
      </c>
    </row>
    <row r="22" spans="1:18" x14ac:dyDescent="0.25">
      <c r="J22" s="164" t="str">
        <f>IFERROR(COUNTIF($C$18:C22,C22)&amp;CHOOSE(MIN(4,COUNTIF($C$18:C22,C22)),"st","nd","rd","th"),"")</f>
        <v/>
      </c>
    </row>
    <row r="23" spans="1:18" x14ac:dyDescent="0.25">
      <c r="J23" s="164" t="str">
        <f>IFERROR(COUNTIF($C$18:C23,C23)&amp;CHOOSE(MIN(4,COUNTIF($C$18:C23,C23)),"st","nd","rd","th"),"")</f>
        <v/>
      </c>
    </row>
    <row r="24" spans="1:18" x14ac:dyDescent="0.25">
      <c r="J24" s="164" t="str">
        <f>IFERROR(COUNTIF($C$18:C24,C24)&amp;CHOOSE(MIN(4,COUNTIF($C$18:C24,C24)),"st","nd","rd","th"),"")</f>
        <v/>
      </c>
    </row>
    <row r="25" spans="1:18" x14ac:dyDescent="0.25">
      <c r="J25" s="164" t="str">
        <f>IFERROR(COUNTIF($C$18:C25,C25)&amp;CHOOSE(MIN(4,COUNTIF($C$18:C25,C25)),"st","nd","rd","th"),"")</f>
        <v/>
      </c>
    </row>
    <row r="26" spans="1:18" x14ac:dyDescent="0.25">
      <c r="J26" s="164" t="str">
        <f>IFERROR(COUNTIF($C$18:C26,C26)&amp;CHOOSE(MIN(4,COUNTIF($C$18:C26,C26)),"st","nd","rd","th"),"")</f>
        <v/>
      </c>
    </row>
    <row r="27" spans="1:18" x14ac:dyDescent="0.25">
      <c r="J27" s="164" t="str">
        <f>IFERROR(COUNTIF($C$18:C27,C27)&amp;CHOOSE(MIN(4,COUNTIF($C$18:C27,C27)),"st","nd","rd","th"),"")</f>
        <v/>
      </c>
    </row>
    <row r="28" spans="1:18" x14ac:dyDescent="0.25">
      <c r="J28" s="164" t="str">
        <f>IFERROR(COUNTIF($C$18:C28,C28)&amp;CHOOSE(MIN(4,COUNTIF($C$18:C28,C28)),"st","nd","rd","th"),"")</f>
        <v/>
      </c>
    </row>
    <row r="29" spans="1:18" x14ac:dyDescent="0.25">
      <c r="J29" s="164" t="str">
        <f>IFERROR(COUNTIF($C$18:C29,C29)&amp;CHOOSE(MIN(4,COUNTIF($C$18:C29,C29)),"st","nd","rd","th"),"")</f>
        <v/>
      </c>
    </row>
    <row r="30" spans="1:18" x14ac:dyDescent="0.25">
      <c r="J30" s="164" t="str">
        <f>IFERROR(COUNTIF($C$18:C30,C30)&amp;CHOOSE(MIN(4,COUNTIF($C$18:C30,C30)),"st","nd","rd","th"),"")</f>
        <v/>
      </c>
    </row>
    <row r="31" spans="1:18" x14ac:dyDescent="0.25">
      <c r="J31" s="164" t="str">
        <f>IFERROR(COUNTIF($C$18:C31,C31)&amp;CHOOSE(MIN(4,COUNTIF($C$18:C31,C31)),"st","nd","rd","th"),"")</f>
        <v/>
      </c>
    </row>
    <row r="32" spans="1:18" x14ac:dyDescent="0.25">
      <c r="J32" s="164" t="str">
        <f>IFERROR(COUNTIF($C$18:C32,C32)&amp;CHOOSE(MIN(4,COUNTIF($C$18:C32,C32)),"st","nd","rd","th"),"")</f>
        <v/>
      </c>
    </row>
    <row r="33" spans="10:10" x14ac:dyDescent="0.25">
      <c r="J33" s="164" t="str">
        <f>IFERROR(COUNTIF($C$18:C33,C33)&amp;CHOOSE(MIN(4,COUNTIF($C$18:C33,C33)),"st","nd","rd","th"),"")</f>
        <v/>
      </c>
    </row>
    <row r="34" spans="10:10" x14ac:dyDescent="0.25">
      <c r="J34" s="164" t="str">
        <f>IFERROR(COUNTIF($C$18:C34,C34)&amp;CHOOSE(MIN(4,COUNTIF($C$18:C34,C34)),"st","nd","rd","th"),"")</f>
        <v/>
      </c>
    </row>
    <row r="35" spans="10:10" x14ac:dyDescent="0.25">
      <c r="J35" s="164" t="str">
        <f>IFERROR(COUNTIF($C$18:C35,C35)&amp;CHOOSE(MIN(4,COUNTIF($C$18:C35,C35)),"st","nd","rd","th"),"")</f>
        <v/>
      </c>
    </row>
    <row r="36" spans="10:10" x14ac:dyDescent="0.25">
      <c r="J36" s="164" t="str">
        <f>IFERROR(COUNTIF($C$18:C36,C36)&amp;CHOOSE(MIN(4,COUNTIF($C$18:C36,C36)),"st","nd","rd","th"),"")</f>
        <v/>
      </c>
    </row>
    <row r="37" spans="10:10" x14ac:dyDescent="0.25">
      <c r="J37" s="164" t="str">
        <f>IFERROR(COUNTIF($C$18:C37,C37)&amp;CHOOSE(MIN(4,COUNTIF($C$18:C37,C37)),"st","nd","rd","th"),"")</f>
        <v/>
      </c>
    </row>
    <row r="38" spans="10:10" x14ac:dyDescent="0.25">
      <c r="J38" s="164" t="str">
        <f>IFERROR(COUNTIF($C$18:C38,C38)&amp;CHOOSE(MIN(4,COUNTIF($C$18:C38,C38)),"st","nd","rd","th"),"")</f>
        <v/>
      </c>
    </row>
    <row r="39" spans="10:10" x14ac:dyDescent="0.25">
      <c r="J39" s="164" t="str">
        <f>IFERROR(COUNTIF($C$18:C39,C39)&amp;CHOOSE(MIN(4,COUNTIF($C$18:C39,C39)),"st","nd","rd","th"),"")</f>
        <v/>
      </c>
    </row>
    <row r="40" spans="10:10" x14ac:dyDescent="0.25">
      <c r="J40" s="164" t="str">
        <f>IFERROR(COUNTIF($C$18:C40,C40)&amp;CHOOSE(MIN(4,COUNTIF($C$18:C40,C40)),"st","nd","rd","th"),"")</f>
        <v/>
      </c>
    </row>
    <row r="41" spans="10:10" x14ac:dyDescent="0.25">
      <c r="J41" s="164" t="str">
        <f>IFERROR(COUNTIF($C$18:C41,C41)&amp;CHOOSE(MIN(4,COUNTIF($C$18:C41,C41)),"st","nd","rd","th"),"")</f>
        <v/>
      </c>
    </row>
    <row r="42" spans="10:10" x14ac:dyDescent="0.25">
      <c r="J42" s="164" t="str">
        <f>IFERROR(COUNTIF($C$18:C42,C42)&amp;CHOOSE(MIN(4,COUNTIF($C$18:C42,C42)),"st","nd","rd","th"),"")</f>
        <v/>
      </c>
    </row>
    <row r="43" spans="10:10" x14ac:dyDescent="0.25">
      <c r="J43" s="164" t="str">
        <f>IFERROR(COUNTIF($C$18:C43,C43)&amp;CHOOSE(MIN(4,COUNTIF($C$18:C43,C43)),"st","nd","rd","th"),"")</f>
        <v/>
      </c>
    </row>
    <row r="44" spans="10:10" x14ac:dyDescent="0.25">
      <c r="J44" s="164" t="str">
        <f>IFERROR(COUNTIF($C$18:C44,C44)&amp;CHOOSE(MIN(4,COUNTIF($C$18:C44,C44)),"st","nd","rd","th"),"")</f>
        <v/>
      </c>
    </row>
    <row r="45" spans="10:10" x14ac:dyDescent="0.25">
      <c r="J45" s="164" t="str">
        <f>IFERROR(COUNTIF($C$18:C45,C45)&amp;CHOOSE(MIN(4,COUNTIF($C$18:C45,C45)),"st","nd","rd","th"),"")</f>
        <v/>
      </c>
    </row>
    <row r="46" spans="10:10" x14ac:dyDescent="0.25">
      <c r="J46" s="164" t="str">
        <f>IFERROR(COUNTIF($C$18:C46,C46)&amp;CHOOSE(MIN(4,COUNTIF($C$18:C46,C46)),"st","nd","rd","th"),"")</f>
        <v/>
      </c>
    </row>
    <row r="47" spans="10:10" x14ac:dyDescent="0.25">
      <c r="J47" s="164" t="str">
        <f>IFERROR(COUNTIF($C$18:C47,C47)&amp;CHOOSE(MIN(4,COUNTIF($C$18:C47,C47)),"st","nd","rd","th"),"")</f>
        <v/>
      </c>
    </row>
    <row r="48" spans="10:10" x14ac:dyDescent="0.25">
      <c r="J48" s="164" t="str">
        <f>IFERROR(COUNTIF($C$18:C48,C48)&amp;CHOOSE(MIN(4,COUNTIF($C$18:C48,C48)),"st","nd","rd","th"),"")</f>
        <v/>
      </c>
    </row>
    <row r="49" spans="10:10" x14ac:dyDescent="0.25">
      <c r="J49" s="164" t="str">
        <f>IFERROR(COUNTIF($C$18:C49,C49)&amp;CHOOSE(MIN(4,COUNTIF($C$18:C49,C49)),"st","nd","rd","th"),"")</f>
        <v/>
      </c>
    </row>
    <row r="50" spans="10:10" x14ac:dyDescent="0.25">
      <c r="J50" s="164" t="str">
        <f>IFERROR(COUNTIF($C$18:C50,C50)&amp;CHOOSE(MIN(4,COUNTIF($C$18:C50,C50)),"st","nd","rd","th"),"")</f>
        <v/>
      </c>
    </row>
    <row r="51" spans="10:10" x14ac:dyDescent="0.25">
      <c r="J51" s="164" t="str">
        <f>IFERROR(COUNTIF($C$18:C51,C51)&amp;CHOOSE(MIN(4,COUNTIF($C$18:C51,C51)),"st","nd","rd","th"),"")</f>
        <v/>
      </c>
    </row>
    <row r="52" spans="10:10" x14ac:dyDescent="0.25">
      <c r="J52" s="164" t="str">
        <f>IFERROR(COUNTIF($C$18:C52,C52)&amp;CHOOSE(MIN(4,COUNTIF($C$18:C52,C52)),"st","nd","rd","th"),"")</f>
        <v/>
      </c>
    </row>
    <row r="53" spans="10:10" x14ac:dyDescent="0.25">
      <c r="J53" s="164" t="str">
        <f>IFERROR(COUNTIF($C$18:C53,C53)&amp;CHOOSE(MIN(4,COUNTIF($C$18:C53,C53)),"st","nd","rd","th"),"")</f>
        <v/>
      </c>
    </row>
    <row r="54" spans="10:10" x14ac:dyDescent="0.25">
      <c r="J54" s="164" t="str">
        <f>IFERROR(COUNTIF($C$18:C54,C54)&amp;CHOOSE(MIN(4,COUNTIF($C$18:C54,C54)),"st","nd","rd","th"),"")</f>
        <v/>
      </c>
    </row>
    <row r="55" spans="10:10" x14ac:dyDescent="0.25">
      <c r="J55" s="164" t="str">
        <f>IFERROR(COUNTIF($C$18:C55,C55)&amp;CHOOSE(MIN(4,COUNTIF($C$18:C55,C55)),"st","nd","rd","th"),"")</f>
        <v/>
      </c>
    </row>
    <row r="56" spans="10:10" x14ac:dyDescent="0.25">
      <c r="J56" s="164" t="str">
        <f>IFERROR(COUNTIF($C$18:C56,C56)&amp;CHOOSE(MIN(4,COUNTIF($C$18:C56,C56)),"st","nd","rd","th"),"")</f>
        <v/>
      </c>
    </row>
    <row r="57" spans="10:10" x14ac:dyDescent="0.25">
      <c r="J57" s="164" t="str">
        <f>IFERROR(COUNTIF($C$18:C57,C57)&amp;CHOOSE(MIN(4,COUNTIF($C$18:C57,C57)),"st","nd","rd","th"),"")</f>
        <v/>
      </c>
    </row>
    <row r="58" spans="10:10" x14ac:dyDescent="0.25">
      <c r="J58" s="164" t="str">
        <f>IFERROR(COUNTIF($C$18:C58,C58)&amp;CHOOSE(MIN(4,COUNTIF($C$18:C58,C58)),"st","nd","rd","th"),"")</f>
        <v/>
      </c>
    </row>
    <row r="59" spans="10:10" x14ac:dyDescent="0.25">
      <c r="J59" s="164" t="str">
        <f>IFERROR(COUNTIF($C$18:C59,C59)&amp;CHOOSE(MIN(4,COUNTIF($C$18:C59,C59)),"st","nd","rd","th"),"")</f>
        <v/>
      </c>
    </row>
    <row r="60" spans="10:10" x14ac:dyDescent="0.25">
      <c r="J60" s="164" t="str">
        <f>IFERROR(COUNTIF($C$18:C60,C60)&amp;CHOOSE(MIN(4,COUNTIF($C$18:C60,C60)),"st","nd","rd","th"),"")</f>
        <v/>
      </c>
    </row>
    <row r="61" spans="10:10" x14ac:dyDescent="0.25">
      <c r="J61" s="164" t="str">
        <f>IFERROR(COUNTIF($C$18:C61,C61)&amp;CHOOSE(MIN(4,COUNTIF($C$18:C61,C61)),"st","nd","rd","th"),"")</f>
        <v/>
      </c>
    </row>
    <row r="62" spans="10:10" x14ac:dyDescent="0.25">
      <c r="J62" s="164" t="str">
        <f>IFERROR(COUNTIF($C$18:C62,C62)&amp;CHOOSE(MIN(4,COUNTIF($C$18:C62,C62)),"st","nd","rd","th"),"")</f>
        <v/>
      </c>
    </row>
    <row r="63" spans="10:10" x14ac:dyDescent="0.25">
      <c r="J63" s="164" t="str">
        <f>IFERROR(COUNTIF($C$18:C63,C63)&amp;CHOOSE(MIN(4,COUNTIF($C$18:C63,C63)),"st","nd","rd","th"),"")</f>
        <v/>
      </c>
    </row>
    <row r="64" spans="10:10" x14ac:dyDescent="0.25">
      <c r="J64" s="164" t="str">
        <f>IFERROR(COUNTIF($C$18:C64,C64)&amp;CHOOSE(MIN(4,COUNTIF($C$18:C64,C64)),"st","nd","rd","th"),"")</f>
        <v/>
      </c>
    </row>
    <row r="65" spans="10:10" x14ac:dyDescent="0.25">
      <c r="J65" s="164" t="str">
        <f>IFERROR(COUNTIF($C$18:C65,C65)&amp;CHOOSE(MIN(4,COUNTIF($C$18:C65,C65)),"st","nd","rd","th"),"")</f>
        <v/>
      </c>
    </row>
    <row r="66" spans="10:10" x14ac:dyDescent="0.25">
      <c r="J66" s="164" t="str">
        <f>IFERROR(COUNTIF($C$18:C66,C66)&amp;CHOOSE(MIN(4,COUNTIF($C$18:C66,C66)),"st","nd","rd","th"),"")</f>
        <v/>
      </c>
    </row>
    <row r="67" spans="10:10" x14ac:dyDescent="0.25">
      <c r="J67" s="164" t="str">
        <f>IFERROR(COUNTIF($C$18:C67,C67)&amp;CHOOSE(MIN(4,COUNTIF($C$18:C67,C67)),"st","nd","rd","th"),"")</f>
        <v/>
      </c>
    </row>
    <row r="68" spans="10:10" x14ac:dyDescent="0.25">
      <c r="J68" s="164" t="str">
        <f>IFERROR(COUNTIF($C$18:C68,C68)&amp;CHOOSE(MIN(4,COUNTIF($C$18:C68,C68)),"st","nd","rd","th"),"")</f>
        <v/>
      </c>
    </row>
    <row r="69" spans="10:10" x14ac:dyDescent="0.25">
      <c r="J69" s="164" t="str">
        <f>IFERROR(COUNTIF($C$18:C69,C69)&amp;CHOOSE(MIN(4,COUNTIF($C$18:C69,C69)),"st","nd","rd","th"),"")</f>
        <v/>
      </c>
    </row>
    <row r="70" spans="10:10" x14ac:dyDescent="0.25">
      <c r="J70" s="164" t="str">
        <f>IFERROR(COUNTIF($C$18:C70,C70)&amp;CHOOSE(MIN(4,COUNTIF($C$18:C70,C70)),"st","nd","rd","th"),"")</f>
        <v/>
      </c>
    </row>
    <row r="71" spans="10:10" x14ac:dyDescent="0.25">
      <c r="J71" s="164" t="str">
        <f>IFERROR(COUNTIF($C$18:C71,C71)&amp;CHOOSE(MIN(4,COUNTIF($C$18:C71,C71)),"st","nd","rd","th"),"")</f>
        <v/>
      </c>
    </row>
    <row r="72" spans="10:10" x14ac:dyDescent="0.25">
      <c r="J72" s="164" t="str">
        <f>IFERROR(COUNTIF($C$18:C72,C72)&amp;CHOOSE(MIN(4,COUNTIF($C$18:C72,C72)),"st","nd","rd","th"),"")</f>
        <v/>
      </c>
    </row>
    <row r="73" spans="10:10" x14ac:dyDescent="0.25">
      <c r="J73" s="164" t="str">
        <f>IFERROR(COUNTIF($C$18:C73,C73)&amp;CHOOSE(MIN(4,COUNTIF($C$18:C73,C73)),"st","nd","rd","th"),"")</f>
        <v/>
      </c>
    </row>
    <row r="74" spans="10:10" x14ac:dyDescent="0.25">
      <c r="J74" s="164" t="str">
        <f>IFERROR(COUNTIF($C$18:C74,C74)&amp;CHOOSE(MIN(4,COUNTIF($C$18:C74,C74)),"st","nd","rd","th"),"")</f>
        <v/>
      </c>
    </row>
    <row r="75" spans="10:10" x14ac:dyDescent="0.25">
      <c r="J75" s="164" t="str">
        <f>IFERROR(COUNTIF($C$18:C75,C75)&amp;CHOOSE(MIN(4,COUNTIF($C$18:C75,C75)),"st","nd","rd","th"),"")</f>
        <v/>
      </c>
    </row>
    <row r="76" spans="10:10" x14ac:dyDescent="0.25">
      <c r="J76" s="164" t="str">
        <f>IFERROR(COUNTIF($C$18:C76,C76)&amp;CHOOSE(MIN(4,COUNTIF($C$18:C76,C76)),"st","nd","rd","th"),"")</f>
        <v/>
      </c>
    </row>
    <row r="77" spans="10:10" x14ac:dyDescent="0.25">
      <c r="J77" s="164" t="str">
        <f>IFERROR(COUNTIF($C$18:C77,C77)&amp;CHOOSE(MIN(4,COUNTIF($C$18:C77,C77)),"st","nd","rd","th"),"")</f>
        <v/>
      </c>
    </row>
    <row r="78" spans="10:10" x14ac:dyDescent="0.25">
      <c r="J78" s="164" t="str">
        <f>IFERROR(COUNTIF($C$18:C78,C78)&amp;CHOOSE(MIN(4,COUNTIF($C$18:C78,C78)),"st","nd","rd","th"),"")</f>
        <v/>
      </c>
    </row>
    <row r="79" spans="10:10" x14ac:dyDescent="0.25">
      <c r="J79" s="164" t="str">
        <f>IFERROR(COUNTIF($C$18:C79,C79)&amp;CHOOSE(MIN(4,COUNTIF($C$18:C79,C79)),"st","nd","rd","th"),"")</f>
        <v/>
      </c>
    </row>
    <row r="80" spans="10:10" x14ac:dyDescent="0.25">
      <c r="J80" s="164" t="str">
        <f>IFERROR(COUNTIF($C$18:C80,C80)&amp;CHOOSE(MIN(4,COUNTIF($C$18:C80,C80)),"st","nd","rd","th"),"")</f>
        <v/>
      </c>
    </row>
    <row r="81" spans="10:10" x14ac:dyDescent="0.25">
      <c r="J81" s="164" t="str">
        <f>IFERROR(COUNTIF($C$18:C81,C81)&amp;CHOOSE(MIN(4,COUNTIF($C$18:C81,C81)),"st","nd","rd","th"),"")</f>
        <v/>
      </c>
    </row>
    <row r="82" spans="10:10" x14ac:dyDescent="0.25">
      <c r="J82" s="164" t="str">
        <f>IFERROR(COUNTIF($C$18:C82,C82)&amp;CHOOSE(MIN(4,COUNTIF($C$18:C82,C82)),"st","nd","rd","th"),"")</f>
        <v/>
      </c>
    </row>
    <row r="83" spans="10:10" x14ac:dyDescent="0.25">
      <c r="J83" s="164" t="str">
        <f>IFERROR(COUNTIF($C$18:C83,C83)&amp;CHOOSE(MIN(4,COUNTIF($C$18:C83,C83)),"st","nd","rd","th"),"")</f>
        <v/>
      </c>
    </row>
    <row r="84" spans="10:10" x14ac:dyDescent="0.25">
      <c r="J84" s="164" t="str">
        <f>IFERROR(COUNTIF($C$18:C84,C84)&amp;CHOOSE(MIN(4,COUNTIF($C$18:C84,C84)),"st","nd","rd","th"),"")</f>
        <v/>
      </c>
    </row>
    <row r="85" spans="10:10" x14ac:dyDescent="0.25">
      <c r="J85" s="164" t="str">
        <f>IFERROR(COUNTIF($C$18:C85,C85)&amp;CHOOSE(MIN(4,COUNTIF($C$18:C85,C85)),"st","nd","rd","th"),"")</f>
        <v/>
      </c>
    </row>
    <row r="86" spans="10:10" x14ac:dyDescent="0.25">
      <c r="J86" s="164" t="str">
        <f>IFERROR(COUNTIF($C$18:C86,C86)&amp;CHOOSE(MIN(4,COUNTIF($C$18:C86,C86)),"st","nd","rd","th"),"")</f>
        <v/>
      </c>
    </row>
    <row r="87" spans="10:10" x14ac:dyDescent="0.25">
      <c r="J87" s="164" t="str">
        <f>IFERROR(COUNTIF($C$18:C87,C87)&amp;CHOOSE(MIN(4,COUNTIF($C$18:C87,C87)),"st","nd","rd","th"),"")</f>
        <v/>
      </c>
    </row>
    <row r="88" spans="10:10" x14ac:dyDescent="0.25">
      <c r="J88" s="164" t="str">
        <f>IFERROR(COUNTIF($C$18:C88,C88)&amp;CHOOSE(MIN(4,COUNTIF($C$18:C88,C88)),"st","nd","rd","th"),"")</f>
        <v/>
      </c>
    </row>
    <row r="89" spans="10:10" x14ac:dyDescent="0.25">
      <c r="J89" s="164" t="str">
        <f>IFERROR(COUNTIF($C$18:C89,C89)&amp;CHOOSE(MIN(4,COUNTIF($C$18:C89,C89)),"st","nd","rd","th"),"")</f>
        <v/>
      </c>
    </row>
    <row r="90" spans="10:10" x14ac:dyDescent="0.25">
      <c r="J90" s="164" t="str">
        <f>IFERROR(COUNTIF($C$18:C90,C90)&amp;CHOOSE(MIN(4,COUNTIF($C$18:C90,C90)),"st","nd","rd","th"),"")</f>
        <v/>
      </c>
    </row>
    <row r="91" spans="10:10" x14ac:dyDescent="0.25">
      <c r="J91" s="164" t="str">
        <f>IFERROR(COUNTIF($C$18:C91,C91)&amp;CHOOSE(MIN(4,COUNTIF($C$18:C91,C91)),"st","nd","rd","th"),"")</f>
        <v/>
      </c>
    </row>
    <row r="92" spans="10:10" x14ac:dyDescent="0.25">
      <c r="J92" s="164" t="str">
        <f>IFERROR(COUNTIF($C$18:C92,C92)&amp;CHOOSE(MIN(4,COUNTIF($C$18:C92,C92)),"st","nd","rd","th"),"")</f>
        <v/>
      </c>
    </row>
    <row r="93" spans="10:10" x14ac:dyDescent="0.25">
      <c r="J93" s="164" t="str">
        <f>IFERROR(COUNTIF($C$18:C93,C93)&amp;CHOOSE(MIN(4,COUNTIF($C$18:C93,C93)),"st","nd","rd","th"),"")</f>
        <v/>
      </c>
    </row>
    <row r="94" spans="10:10" x14ac:dyDescent="0.25">
      <c r="J94" s="164" t="str">
        <f>IFERROR(COUNTIF($C$18:C94,C94)&amp;CHOOSE(MIN(4,COUNTIF($C$18:C94,C94)),"st","nd","rd","th"),"")</f>
        <v/>
      </c>
    </row>
    <row r="95" spans="10:10" x14ac:dyDescent="0.25">
      <c r="J95" s="164" t="str">
        <f>IFERROR(COUNTIF($C$18:C95,C95)&amp;CHOOSE(MIN(4,COUNTIF($C$18:C95,C95)),"st","nd","rd","th"),"")</f>
        <v/>
      </c>
    </row>
    <row r="96" spans="10:10" x14ac:dyDescent="0.25">
      <c r="J96" s="164" t="str">
        <f>IFERROR(COUNTIF($C$18:C96,C96)&amp;CHOOSE(MIN(4,COUNTIF($C$18:C96,C96)),"st","nd","rd","th"),"")</f>
        <v/>
      </c>
    </row>
    <row r="97" spans="10:10" x14ac:dyDescent="0.25">
      <c r="J97" s="164" t="str">
        <f>IFERROR(COUNTIF($C$18:C97,C97)&amp;CHOOSE(MIN(4,COUNTIF($C$18:C97,C97)),"st","nd","rd","th"),"")</f>
        <v/>
      </c>
    </row>
    <row r="98" spans="10:10" x14ac:dyDescent="0.25">
      <c r="J98" s="164" t="str">
        <f>IFERROR(COUNTIF($C$18:C98,C98)&amp;CHOOSE(MIN(4,COUNTIF($C$18:C98,C98)),"st","nd","rd","th"),"")</f>
        <v/>
      </c>
    </row>
    <row r="99" spans="10:10" x14ac:dyDescent="0.25">
      <c r="J99" s="164" t="str">
        <f>IFERROR(COUNTIF($C$18:C99,C99)&amp;CHOOSE(MIN(4,COUNTIF($C$18:C99,C99)),"st","nd","rd","th"),"")</f>
        <v/>
      </c>
    </row>
    <row r="100" spans="10:10" x14ac:dyDescent="0.25">
      <c r="J100" s="164" t="str">
        <f>IFERROR(COUNTIF($C$18:C100,C100)&amp;CHOOSE(MIN(4,COUNTIF($C$18:C100,C100)),"st","nd","rd","th"),"")</f>
        <v/>
      </c>
    </row>
    <row r="101" spans="10:10" x14ac:dyDescent="0.25">
      <c r="J101" s="164" t="str">
        <f>IFERROR(COUNTIF($C$18:C101,C101)&amp;CHOOSE(MIN(4,COUNTIF($C$18:C101,C101)),"st","nd","rd","th"),"")</f>
        <v/>
      </c>
    </row>
    <row r="102" spans="10:10" x14ac:dyDescent="0.25">
      <c r="J102" s="164" t="str">
        <f>IFERROR(COUNTIF($C$18:C102,C102)&amp;CHOOSE(MIN(4,COUNTIF($C$18:C102,C102)),"st","nd","rd","th"),"")</f>
        <v/>
      </c>
    </row>
    <row r="103" spans="10:10" x14ac:dyDescent="0.25">
      <c r="J103" s="164" t="str">
        <f>IFERROR(COUNTIF($C$18:C103,C103)&amp;CHOOSE(MIN(4,COUNTIF($C$18:C103,C103)),"st","nd","rd","th"),"")</f>
        <v/>
      </c>
    </row>
    <row r="104" spans="10:10" x14ac:dyDescent="0.25">
      <c r="J104" s="164" t="str">
        <f>IFERROR(COUNTIF($C$18:C104,C104)&amp;CHOOSE(MIN(4,COUNTIF($C$18:C104,C104)),"st","nd","rd","th"),"")</f>
        <v/>
      </c>
    </row>
    <row r="105" spans="10:10" x14ac:dyDescent="0.25">
      <c r="J105" s="164" t="str">
        <f>IFERROR(COUNTIF($C$18:C105,C105)&amp;CHOOSE(MIN(4,COUNTIF($C$18:C105,C105)),"st","nd","rd","th"),"")</f>
        <v/>
      </c>
    </row>
    <row r="106" spans="10:10" x14ac:dyDescent="0.25">
      <c r="J106" s="164" t="str">
        <f>IFERROR(COUNTIF($C$18:C106,C106)&amp;CHOOSE(MIN(4,COUNTIF($C$18:C106,C106)),"st","nd","rd","th"),"")</f>
        <v/>
      </c>
    </row>
    <row r="107" spans="10:10" x14ac:dyDescent="0.25">
      <c r="J107" s="164" t="str">
        <f>IFERROR(COUNTIF($C$18:C107,C107)&amp;CHOOSE(MIN(4,COUNTIF($C$18:C107,C107)),"st","nd","rd","th"),"")</f>
        <v/>
      </c>
    </row>
    <row r="108" spans="10:10" x14ac:dyDescent="0.25">
      <c r="J108" s="164" t="str">
        <f>IFERROR(COUNTIF($C$18:C108,C108)&amp;CHOOSE(MIN(4,COUNTIF($C$18:C108,C108)),"st","nd","rd","th"),"")</f>
        <v/>
      </c>
    </row>
    <row r="109" spans="10:10" x14ac:dyDescent="0.25">
      <c r="J109" s="164" t="str">
        <f>IFERROR(COUNTIF($C$18:C109,C109)&amp;CHOOSE(MIN(4,COUNTIF($C$18:C109,C109)),"st","nd","rd","th"),"")</f>
        <v/>
      </c>
    </row>
    <row r="110" spans="10:10" x14ac:dyDescent="0.25">
      <c r="J110" s="164" t="str">
        <f>IFERROR(COUNTIF($C$18:C110,C110)&amp;CHOOSE(MIN(4,COUNTIF($C$18:C110,C110)),"st","nd","rd","th"),"")</f>
        <v/>
      </c>
    </row>
    <row r="111" spans="10:10" x14ac:dyDescent="0.25">
      <c r="J111" s="164" t="str">
        <f>IFERROR(COUNTIF($C$18:C111,C111)&amp;CHOOSE(MIN(4,COUNTIF($C$18:C111,C111)),"st","nd","rd","th"),"")</f>
        <v/>
      </c>
    </row>
    <row r="112" spans="10:10" x14ac:dyDescent="0.25">
      <c r="J112" s="164" t="str">
        <f>IFERROR(COUNTIF($C$18:C112,C112)&amp;CHOOSE(MIN(4,COUNTIF($C$18:C112,C112)),"st","nd","rd","th"),"")</f>
        <v/>
      </c>
    </row>
    <row r="113" spans="10:10" x14ac:dyDescent="0.25">
      <c r="J113" s="164" t="str">
        <f>IFERROR(COUNTIF($C$18:C113,C113)&amp;CHOOSE(MIN(4,COUNTIF($C$18:C113,C113)),"st","nd","rd","th"),"")</f>
        <v/>
      </c>
    </row>
    <row r="114" spans="10:10" x14ac:dyDescent="0.25">
      <c r="J114" s="164" t="str">
        <f>IFERROR(COUNTIF($C$18:C114,C114)&amp;CHOOSE(MIN(4,COUNTIF($C$18:C114,C114)),"st","nd","rd","th"),"")</f>
        <v/>
      </c>
    </row>
    <row r="115" spans="10:10" x14ac:dyDescent="0.25">
      <c r="J115" s="164" t="str">
        <f>IFERROR(COUNTIF($C$18:C115,C115)&amp;CHOOSE(MIN(4,COUNTIF($C$18:C115,C115)),"st","nd","rd","th"),"")</f>
        <v/>
      </c>
    </row>
    <row r="116" spans="10:10" x14ac:dyDescent="0.25">
      <c r="J116" s="164" t="str">
        <f>IFERROR(COUNTIF($C$18:C116,C116)&amp;CHOOSE(MIN(4,COUNTIF($C$18:C116,C116)),"st","nd","rd","th"),"")</f>
        <v/>
      </c>
    </row>
    <row r="117" spans="10:10" x14ac:dyDescent="0.25">
      <c r="J117" s="164" t="str">
        <f>IFERROR(COUNTIF($C$18:C117,C117)&amp;CHOOSE(MIN(4,COUNTIF($C$18:C117,C117)),"st","nd","rd","th"),"")</f>
        <v/>
      </c>
    </row>
    <row r="118" spans="10:10" x14ac:dyDescent="0.25">
      <c r="J118" s="164" t="str">
        <f>IFERROR(COUNTIF($C$18:C118,C118)&amp;CHOOSE(MIN(4,COUNTIF($C$18:C118,C118)),"st","nd","rd","th"),"")</f>
        <v/>
      </c>
    </row>
    <row r="119" spans="10:10" x14ac:dyDescent="0.25">
      <c r="J119" s="164" t="str">
        <f>IFERROR(COUNTIF($C$18:C119,C119)&amp;CHOOSE(MIN(4,COUNTIF($C$18:C119,C119)),"st","nd","rd","th"),"")</f>
        <v/>
      </c>
    </row>
    <row r="120" spans="10:10" x14ac:dyDescent="0.25">
      <c r="J120" s="164" t="str">
        <f>IFERROR(COUNTIF($C$18:C120,C120)&amp;CHOOSE(MIN(4,COUNTIF($C$18:C120,C120)),"st","nd","rd","th"),"")</f>
        <v/>
      </c>
    </row>
    <row r="121" spans="10:10" x14ac:dyDescent="0.25">
      <c r="J121" s="164" t="str">
        <f>IFERROR(COUNTIF($C$18:C121,C121)&amp;CHOOSE(MIN(4,COUNTIF($C$18:C121,C121)),"st","nd","rd","th"),"")</f>
        <v/>
      </c>
    </row>
    <row r="122" spans="10:10" x14ac:dyDescent="0.25">
      <c r="J122" s="164" t="str">
        <f>IFERROR(COUNTIF($C$18:C122,C122)&amp;CHOOSE(MIN(4,COUNTIF($C$18:C122,C122)),"st","nd","rd","th"),"")</f>
        <v/>
      </c>
    </row>
    <row r="123" spans="10:10" x14ac:dyDescent="0.25">
      <c r="J123" s="164" t="str">
        <f>IFERROR(COUNTIF($C$18:C123,C123)&amp;CHOOSE(MIN(4,COUNTIF($C$18:C123,C123)),"st","nd","rd","th"),"")</f>
        <v/>
      </c>
    </row>
    <row r="124" spans="10:10" x14ac:dyDescent="0.25">
      <c r="J124" s="164" t="str">
        <f>IFERROR(COUNTIF($C$18:C124,C124)&amp;CHOOSE(MIN(4,COUNTIF($C$18:C124,C124)),"st","nd","rd","th"),"")</f>
        <v/>
      </c>
    </row>
    <row r="125" spans="10:10" x14ac:dyDescent="0.25">
      <c r="J125" s="164" t="str">
        <f>IFERROR(COUNTIF($C$18:C125,C125)&amp;CHOOSE(MIN(4,COUNTIF($C$18:C125,C125)),"st","nd","rd","th"),"")</f>
        <v/>
      </c>
    </row>
    <row r="126" spans="10:10" x14ac:dyDescent="0.25">
      <c r="J126" s="164" t="str">
        <f>IFERROR(COUNTIF($C$18:C126,C126)&amp;CHOOSE(MIN(4,COUNTIF($C$18:C126,C126)),"st","nd","rd","th"),"")</f>
        <v/>
      </c>
    </row>
    <row r="127" spans="10:10" x14ac:dyDescent="0.25">
      <c r="J127" s="164" t="str">
        <f>IFERROR(COUNTIF($C$18:C127,C127)&amp;CHOOSE(MIN(4,COUNTIF($C$18:C127,C127)),"st","nd","rd","th"),"")</f>
        <v/>
      </c>
    </row>
    <row r="128" spans="10:10" x14ac:dyDescent="0.25">
      <c r="J128" s="164" t="str">
        <f>IFERROR(COUNTIF($C$18:C128,C128)&amp;CHOOSE(MIN(4,COUNTIF($C$18:C128,C128)),"st","nd","rd","th"),"")</f>
        <v/>
      </c>
    </row>
    <row r="129" spans="10:10" x14ac:dyDescent="0.25">
      <c r="J129" s="164" t="str">
        <f>IFERROR(COUNTIF($C$18:C129,C129)&amp;CHOOSE(MIN(4,COUNTIF($C$18:C129,C129)),"st","nd","rd","th"),"")</f>
        <v/>
      </c>
    </row>
    <row r="130" spans="10:10" x14ac:dyDescent="0.25">
      <c r="J130" s="164" t="str">
        <f>IFERROR(COUNTIF($C$18:C130,C130)&amp;CHOOSE(MIN(4,COUNTIF($C$18:C130,C130)),"st","nd","rd","th"),"")</f>
        <v/>
      </c>
    </row>
    <row r="131" spans="10:10" x14ac:dyDescent="0.25">
      <c r="J131" s="164" t="str">
        <f>IFERROR(COUNTIF($C$18:C131,C131)&amp;CHOOSE(MIN(4,COUNTIF($C$18:C131,C131)),"st","nd","rd","th"),"")</f>
        <v/>
      </c>
    </row>
    <row r="132" spans="10:10" x14ac:dyDescent="0.25">
      <c r="J132" s="164" t="str">
        <f>IFERROR(COUNTIF($C$18:C132,C132)&amp;CHOOSE(MIN(4,COUNTIF($C$18:C132,C132)),"st","nd","rd","th"),"")</f>
        <v/>
      </c>
    </row>
    <row r="133" spans="10:10" x14ac:dyDescent="0.25">
      <c r="J133" s="164" t="str">
        <f>IFERROR(COUNTIF($C$18:C133,C133)&amp;CHOOSE(MIN(4,COUNTIF($C$18:C133,C133)),"st","nd","rd","th"),"")</f>
        <v/>
      </c>
    </row>
    <row r="134" spans="10:10" x14ac:dyDescent="0.25">
      <c r="J134" s="164" t="str">
        <f>IFERROR(COUNTIF($C$18:C134,C134)&amp;CHOOSE(MIN(4,COUNTIF($C$18:C134,C134)),"st","nd","rd","th"),"")</f>
        <v/>
      </c>
    </row>
    <row r="135" spans="10:10" x14ac:dyDescent="0.25">
      <c r="J135" s="164" t="str">
        <f>IFERROR(COUNTIF($C$18:C135,C135)&amp;CHOOSE(MIN(4,COUNTIF($C$18:C135,C135)),"st","nd","rd","th"),"")</f>
        <v/>
      </c>
    </row>
    <row r="136" spans="10:10" x14ac:dyDescent="0.25">
      <c r="J136" s="164" t="str">
        <f>IFERROR(COUNTIF($C$18:C136,C136)&amp;CHOOSE(MIN(4,COUNTIF($C$18:C136,C136)),"st","nd","rd","th"),"")</f>
        <v/>
      </c>
    </row>
    <row r="137" spans="10:10" x14ac:dyDescent="0.25">
      <c r="J137" s="164" t="str">
        <f>IFERROR(COUNTIF($C$18:C137,C137)&amp;CHOOSE(MIN(4,COUNTIF($C$18:C137,C137)),"st","nd","rd","th"),"")</f>
        <v/>
      </c>
    </row>
    <row r="138" spans="10:10" x14ac:dyDescent="0.25">
      <c r="J138" s="164" t="str">
        <f>IFERROR(COUNTIF($C$18:C138,C138)&amp;CHOOSE(MIN(4,COUNTIF($C$18:C138,C138)),"st","nd","rd","th"),"")</f>
        <v/>
      </c>
    </row>
    <row r="139" spans="10:10" x14ac:dyDescent="0.25">
      <c r="J139" s="164" t="str">
        <f>IFERROR(COUNTIF($C$18:C139,C139)&amp;CHOOSE(MIN(4,COUNTIF($C$18:C139,C139)),"st","nd","rd","th"),"")</f>
        <v/>
      </c>
    </row>
    <row r="140" spans="10:10" x14ac:dyDescent="0.25">
      <c r="J140" s="164" t="str">
        <f>IFERROR(COUNTIF($C$18:C140,C140)&amp;CHOOSE(MIN(4,COUNTIF($C$18:C140,C140)),"st","nd","rd","th"),"")</f>
        <v/>
      </c>
    </row>
    <row r="141" spans="10:10" x14ac:dyDescent="0.25">
      <c r="J141" s="164" t="str">
        <f>IFERROR(COUNTIF($C$18:C141,C141)&amp;CHOOSE(MIN(4,COUNTIF($C$18:C141,C141)),"st","nd","rd","th"),"")</f>
        <v/>
      </c>
    </row>
    <row r="142" spans="10:10" x14ac:dyDescent="0.25">
      <c r="J142" s="164" t="str">
        <f>IFERROR(COUNTIF($C$18:C142,C142)&amp;CHOOSE(MIN(4,COUNTIF($C$18:C142,C142)),"st","nd","rd","th"),"")</f>
        <v/>
      </c>
    </row>
    <row r="143" spans="10:10" x14ac:dyDescent="0.25">
      <c r="J143" s="164" t="str">
        <f>IFERROR(COUNTIF($C$18:C143,C143)&amp;CHOOSE(MIN(4,COUNTIF($C$18:C143,C143)),"st","nd","rd","th"),"")</f>
        <v/>
      </c>
    </row>
    <row r="144" spans="10:10" x14ac:dyDescent="0.25">
      <c r="J144" s="164" t="str">
        <f>IFERROR(COUNTIF($C$18:C144,C144)&amp;CHOOSE(MIN(4,COUNTIF($C$18:C144,C144)),"st","nd","rd","th"),"")</f>
        <v/>
      </c>
    </row>
    <row r="145" spans="10:10" x14ac:dyDescent="0.25">
      <c r="J145" s="164" t="str">
        <f>IFERROR(COUNTIF($C$18:C145,C145)&amp;CHOOSE(MIN(4,COUNTIF($C$18:C145,C145)),"st","nd","rd","th"),"")</f>
        <v/>
      </c>
    </row>
    <row r="146" spans="10:10" x14ac:dyDescent="0.25">
      <c r="J146" s="164" t="str">
        <f>IFERROR(COUNTIF($C$18:C146,C146)&amp;CHOOSE(MIN(4,COUNTIF($C$18:C146,C146)),"st","nd","rd","th"),"")</f>
        <v/>
      </c>
    </row>
    <row r="147" spans="10:10" x14ac:dyDescent="0.25">
      <c r="J147" s="164" t="str">
        <f>IFERROR(COUNTIF($C$18:C147,C147)&amp;CHOOSE(MIN(4,COUNTIF($C$18:C147,C147)),"st","nd","rd","th"),"")</f>
        <v/>
      </c>
    </row>
    <row r="148" spans="10:10" x14ac:dyDescent="0.25">
      <c r="J148" s="164" t="str">
        <f>IFERROR(COUNTIF($C$18:C148,C148)&amp;CHOOSE(MIN(4,COUNTIF($C$18:C148,C148)),"st","nd","rd","th"),"")</f>
        <v/>
      </c>
    </row>
    <row r="149" spans="10:10" x14ac:dyDescent="0.25">
      <c r="J149" s="164" t="str">
        <f>IFERROR(COUNTIF($C$18:C149,C149)&amp;CHOOSE(MIN(4,COUNTIF($C$18:C149,C149)),"st","nd","rd","th"),"")</f>
        <v/>
      </c>
    </row>
    <row r="150" spans="10:10" x14ac:dyDescent="0.25">
      <c r="J150" s="164" t="str">
        <f>IFERROR(COUNTIF($C$18:C150,C150)&amp;CHOOSE(MIN(4,COUNTIF($C$18:C150,C150)),"st","nd","rd","th"),"")</f>
        <v/>
      </c>
    </row>
    <row r="151" spans="10:10" x14ac:dyDescent="0.25">
      <c r="J151" s="164" t="str">
        <f>IFERROR(COUNTIF($C$18:C151,C151)&amp;CHOOSE(MIN(4,COUNTIF($C$18:C151,C151)),"st","nd","rd","th"),"")</f>
        <v/>
      </c>
    </row>
    <row r="152" spans="10:10" x14ac:dyDescent="0.25">
      <c r="J152" s="164" t="str">
        <f>IFERROR(COUNTIF($C$18:C152,C152)&amp;CHOOSE(MIN(4,COUNTIF($C$18:C152,C152)),"st","nd","rd","th"),"")</f>
        <v/>
      </c>
    </row>
    <row r="153" spans="10:10" x14ac:dyDescent="0.25">
      <c r="J153" s="164" t="str">
        <f>IFERROR(COUNTIF($C$18:C153,C153)&amp;CHOOSE(MIN(4,COUNTIF($C$18:C153,C153)),"st","nd","rd","th"),"")</f>
        <v/>
      </c>
    </row>
    <row r="154" spans="10:10" x14ac:dyDescent="0.25">
      <c r="J154" s="164" t="str">
        <f>IFERROR(COUNTIF($C$18:C154,C154)&amp;CHOOSE(MIN(4,COUNTIF($C$18:C154,C154)),"st","nd","rd","th"),"")</f>
        <v/>
      </c>
    </row>
    <row r="155" spans="10:10" x14ac:dyDescent="0.25">
      <c r="J155" s="164" t="str">
        <f>IFERROR(COUNTIF($C$18:C155,C155)&amp;CHOOSE(MIN(4,COUNTIF($C$18:C155,C155)),"st","nd","rd","th"),"")</f>
        <v/>
      </c>
    </row>
    <row r="156" spans="10:10" x14ac:dyDescent="0.25">
      <c r="J156" s="164" t="str">
        <f>IFERROR(COUNTIF($C$18:C156,C156)&amp;CHOOSE(MIN(4,COUNTIF($C$18:C156,C156)),"st","nd","rd","th"),"")</f>
        <v/>
      </c>
    </row>
    <row r="157" spans="10:10" x14ac:dyDescent="0.25">
      <c r="J157" s="164" t="str">
        <f>IFERROR(COUNTIF($C$18:C157,C157)&amp;CHOOSE(MIN(4,COUNTIF($C$18:C157,C157)),"st","nd","rd","th"),"")</f>
        <v/>
      </c>
    </row>
    <row r="158" spans="10:10" x14ac:dyDescent="0.25">
      <c r="J158" s="164" t="str">
        <f>IFERROR(COUNTIF($C$18:C158,C158)&amp;CHOOSE(MIN(4,COUNTIF($C$18:C158,C158)),"st","nd","rd","th"),"")</f>
        <v/>
      </c>
    </row>
    <row r="159" spans="10:10" x14ac:dyDescent="0.25">
      <c r="J159" s="164" t="str">
        <f>IFERROR(COUNTIF($C$18:C159,C159)&amp;CHOOSE(MIN(4,COUNTIF($C$18:C159,C159)),"st","nd","rd","th"),"")</f>
        <v/>
      </c>
    </row>
    <row r="160" spans="10:10" x14ac:dyDescent="0.25">
      <c r="J160" s="164" t="str">
        <f>IFERROR(COUNTIF($C$18:C160,C160)&amp;CHOOSE(MIN(4,COUNTIF($C$18:C160,C160)),"st","nd","rd","th"),"")</f>
        <v/>
      </c>
    </row>
    <row r="161" spans="10:10" x14ac:dyDescent="0.25">
      <c r="J161" s="164" t="str">
        <f>IFERROR(COUNTIF($C$18:C161,C161)&amp;CHOOSE(MIN(4,COUNTIF($C$18:C161,C161)),"st","nd","rd","th"),"")</f>
        <v/>
      </c>
    </row>
    <row r="162" spans="10:10" x14ac:dyDescent="0.25">
      <c r="J162" s="164" t="str">
        <f>IFERROR(COUNTIF($C$18:C162,C162)&amp;CHOOSE(MIN(4,COUNTIF($C$18:C162,C162)),"st","nd","rd","th"),"")</f>
        <v/>
      </c>
    </row>
    <row r="163" spans="10:10" x14ac:dyDescent="0.25">
      <c r="J163" s="164" t="str">
        <f>IFERROR(COUNTIF($C$18:C163,C163)&amp;CHOOSE(MIN(4,COUNTIF($C$18:C163,C163)),"st","nd","rd","th"),"")</f>
        <v/>
      </c>
    </row>
    <row r="164" spans="10:10" x14ac:dyDescent="0.25">
      <c r="J164" s="164" t="str">
        <f>IFERROR(COUNTIF($C$18:C164,C164)&amp;CHOOSE(MIN(4,COUNTIF($C$18:C164,C164)),"st","nd","rd","th"),"")</f>
        <v/>
      </c>
    </row>
    <row r="165" spans="10:10" x14ac:dyDescent="0.25">
      <c r="J165" s="164" t="str">
        <f>IFERROR(COUNTIF($C$18:C165,C165)&amp;CHOOSE(MIN(4,COUNTIF($C$18:C165,C165)),"st","nd","rd","th"),"")</f>
        <v/>
      </c>
    </row>
    <row r="166" spans="10:10" x14ac:dyDescent="0.25">
      <c r="J166" s="164" t="str">
        <f>IFERROR(COUNTIF($C$18:C166,C166)&amp;CHOOSE(MIN(4,COUNTIF($C$18:C166,C166)),"st","nd","rd","th"),"")</f>
        <v/>
      </c>
    </row>
    <row r="167" spans="10:10" x14ac:dyDescent="0.25">
      <c r="J167" s="164" t="str">
        <f>IFERROR(COUNTIF($C$18:C167,C167)&amp;CHOOSE(MIN(4,COUNTIF($C$18:C167,C167)),"st","nd","rd","th"),"")</f>
        <v/>
      </c>
    </row>
    <row r="168" spans="10:10" x14ac:dyDescent="0.25">
      <c r="J168" s="164" t="str">
        <f>IFERROR(COUNTIF($C$18:C168,C168)&amp;CHOOSE(MIN(4,COUNTIF($C$18:C168,C168)),"st","nd","rd","th"),"")</f>
        <v/>
      </c>
    </row>
    <row r="169" spans="10:10" x14ac:dyDescent="0.25">
      <c r="J169" s="164" t="str">
        <f>IFERROR(COUNTIF($C$18:C169,C169)&amp;CHOOSE(MIN(4,COUNTIF($C$18:C169,C169)),"st","nd","rd","th"),"")</f>
        <v/>
      </c>
    </row>
    <row r="170" spans="10:10" x14ac:dyDescent="0.25">
      <c r="J170" s="164" t="str">
        <f>IFERROR(COUNTIF($C$18:C170,C170)&amp;CHOOSE(MIN(4,COUNTIF($C$18:C170,C170)),"st","nd","rd","th"),"")</f>
        <v/>
      </c>
    </row>
    <row r="171" spans="10:10" x14ac:dyDescent="0.25">
      <c r="J171" s="164" t="str">
        <f>IFERROR(COUNTIF($C$18:C171,C171)&amp;CHOOSE(MIN(4,COUNTIF($C$18:C171,C171)),"st","nd","rd","th"),"")</f>
        <v/>
      </c>
    </row>
    <row r="172" spans="10:10" x14ac:dyDescent="0.25">
      <c r="J172" s="164" t="str">
        <f>IFERROR(COUNTIF($C$18:C172,C172)&amp;CHOOSE(MIN(4,COUNTIF($C$18:C172,C172)),"st","nd","rd","th"),"")</f>
        <v/>
      </c>
    </row>
    <row r="173" spans="10:10" x14ac:dyDescent="0.25">
      <c r="J173" s="164" t="str">
        <f>IFERROR(COUNTIF($C$18:C173,C173)&amp;CHOOSE(MIN(4,COUNTIF($C$18:C173,C173)),"st","nd","rd","th"),"")</f>
        <v/>
      </c>
    </row>
    <row r="174" spans="10:10" x14ac:dyDescent="0.25">
      <c r="J174" s="164" t="str">
        <f>IFERROR(COUNTIF($C$18:C174,C174)&amp;CHOOSE(MIN(4,COUNTIF($C$18:C174,C174)),"st","nd","rd","th"),"")</f>
        <v/>
      </c>
    </row>
    <row r="175" spans="10:10" x14ac:dyDescent="0.25">
      <c r="J175" s="164" t="str">
        <f>IFERROR(COUNTIF($C$18:C175,C175)&amp;CHOOSE(MIN(4,COUNTIF($C$18:C175,C175)),"st","nd","rd","th"),"")</f>
        <v/>
      </c>
    </row>
    <row r="176" spans="10:10" x14ac:dyDescent="0.25">
      <c r="J176" s="164" t="str">
        <f>IFERROR(COUNTIF($C$18:C176,C176)&amp;CHOOSE(MIN(4,COUNTIF($C$18:C176,C176)),"st","nd","rd","th"),"")</f>
        <v/>
      </c>
    </row>
    <row r="177" spans="10:10" x14ac:dyDescent="0.25">
      <c r="J177" s="164" t="str">
        <f>IFERROR(COUNTIF($C$18:C177,C177)&amp;CHOOSE(MIN(4,COUNTIF($C$18:C177,C177)),"st","nd","rd","th"),"")</f>
        <v/>
      </c>
    </row>
    <row r="178" spans="10:10" x14ac:dyDescent="0.25">
      <c r="J178" s="164" t="str">
        <f>IFERROR(COUNTIF($C$18:C178,C178)&amp;CHOOSE(MIN(4,COUNTIF($C$18:C178,C178)),"st","nd","rd","th"),"")</f>
        <v/>
      </c>
    </row>
    <row r="179" spans="10:10" x14ac:dyDescent="0.25">
      <c r="J179" s="164" t="str">
        <f>IFERROR(COUNTIF($C$18:C179,C179)&amp;CHOOSE(MIN(4,COUNTIF($C$18:C179,C179)),"st","nd","rd","th"),"")</f>
        <v/>
      </c>
    </row>
    <row r="180" spans="10:10" x14ac:dyDescent="0.25">
      <c r="J180" s="164" t="str">
        <f>IFERROR(COUNTIF($C$18:C180,C180)&amp;CHOOSE(MIN(4,COUNTIF($C$18:C180,C180)),"st","nd","rd","th"),"")</f>
        <v/>
      </c>
    </row>
    <row r="181" spans="10:10" x14ac:dyDescent="0.25">
      <c r="J181" s="164" t="str">
        <f>IFERROR(COUNTIF($C$18:C181,C181)&amp;CHOOSE(MIN(4,COUNTIF($C$18:C181,C181)),"st","nd","rd","th"),"")</f>
        <v/>
      </c>
    </row>
    <row r="182" spans="10:10" x14ac:dyDescent="0.25">
      <c r="J182" s="164" t="str">
        <f>IFERROR(COUNTIF($C$18:C182,C182)&amp;CHOOSE(MIN(4,COUNTIF($C$18:C182,C182)),"st","nd","rd","th"),"")</f>
        <v/>
      </c>
    </row>
    <row r="183" spans="10:10" x14ac:dyDescent="0.25">
      <c r="J183" s="164" t="str">
        <f>IFERROR(COUNTIF($C$18:C183,C183)&amp;CHOOSE(MIN(4,COUNTIF($C$18:C183,C183)),"st","nd","rd","th"),"")</f>
        <v/>
      </c>
    </row>
    <row r="184" spans="10:10" x14ac:dyDescent="0.25">
      <c r="J184" s="164" t="str">
        <f>IFERROR(COUNTIF($C$18:C184,C184)&amp;CHOOSE(MIN(4,COUNTIF($C$18:C184,C184)),"st","nd","rd","th"),"")</f>
        <v/>
      </c>
    </row>
    <row r="185" spans="10:10" x14ac:dyDescent="0.25">
      <c r="J185" s="164" t="str">
        <f>IFERROR(COUNTIF($C$18:C185,C185)&amp;CHOOSE(MIN(4,COUNTIF($C$18:C185,C185)),"st","nd","rd","th"),"")</f>
        <v/>
      </c>
    </row>
    <row r="186" spans="10:10" x14ac:dyDescent="0.25">
      <c r="J186" s="164" t="str">
        <f>IFERROR(COUNTIF($C$18:C186,C186)&amp;CHOOSE(MIN(4,COUNTIF($C$18:C186,C186)),"st","nd","rd","th"),"")</f>
        <v/>
      </c>
    </row>
    <row r="187" spans="10:10" x14ac:dyDescent="0.25">
      <c r="J187" s="164" t="str">
        <f>IFERROR(COUNTIF($C$18:C187,C187)&amp;CHOOSE(MIN(4,COUNTIF($C$18:C187,C187)),"st","nd","rd","th"),"")</f>
        <v/>
      </c>
    </row>
    <row r="188" spans="10:10" x14ac:dyDescent="0.25">
      <c r="J188" s="164" t="str">
        <f>IFERROR(COUNTIF($C$18:C188,C188)&amp;CHOOSE(MIN(4,COUNTIF($C$18:C188,C188)),"st","nd","rd","th"),"")</f>
        <v/>
      </c>
    </row>
    <row r="189" spans="10:10" x14ac:dyDescent="0.25">
      <c r="J189" s="164" t="str">
        <f>IFERROR(COUNTIF($C$18:C189,C189)&amp;CHOOSE(MIN(4,COUNTIF($C$18:C189,C189)),"st","nd","rd","th"),"")</f>
        <v/>
      </c>
    </row>
    <row r="190" spans="10:10" x14ac:dyDescent="0.25">
      <c r="J190" s="164" t="str">
        <f>IFERROR(COUNTIF($C$18:C190,C190)&amp;CHOOSE(MIN(4,COUNTIF($C$18:C190,C190)),"st","nd","rd","th"),"")</f>
        <v/>
      </c>
    </row>
    <row r="191" spans="10:10" x14ac:dyDescent="0.25">
      <c r="J191" s="164" t="str">
        <f>IFERROR(COUNTIF($C$18:C191,C191)&amp;CHOOSE(MIN(4,COUNTIF($C$18:C191,C191)),"st","nd","rd","th"),"")</f>
        <v/>
      </c>
    </row>
    <row r="192" spans="10:10" x14ac:dyDescent="0.25">
      <c r="J192" s="164" t="str">
        <f>IFERROR(COUNTIF($C$18:C192,C192)&amp;CHOOSE(MIN(4,COUNTIF($C$18:C192,C192)),"st","nd","rd","th"),"")</f>
        <v/>
      </c>
    </row>
    <row r="193" spans="10:10" x14ac:dyDescent="0.25">
      <c r="J193" s="164" t="str">
        <f>IFERROR(COUNTIF($C$18:C193,C193)&amp;CHOOSE(MIN(4,COUNTIF($C$18:C193,C193)),"st","nd","rd","th"),"")</f>
        <v/>
      </c>
    </row>
    <row r="194" spans="10:10" x14ac:dyDescent="0.25">
      <c r="J194" s="164" t="str">
        <f>IFERROR(COUNTIF($C$18:C194,C194)&amp;CHOOSE(MIN(4,COUNTIF($C$18:C194,C194)),"st","nd","rd","th"),"")</f>
        <v/>
      </c>
    </row>
    <row r="195" spans="10:10" x14ac:dyDescent="0.25">
      <c r="J195" s="164" t="str">
        <f>IFERROR(COUNTIF($C$18:C195,C195)&amp;CHOOSE(MIN(4,COUNTIF($C$18:C195,C195)),"st","nd","rd","th"),"")</f>
        <v/>
      </c>
    </row>
    <row r="196" spans="10:10" x14ac:dyDescent="0.25">
      <c r="J196" s="164" t="str">
        <f>IFERROR(COUNTIF($C$18:C196,C196)&amp;CHOOSE(MIN(4,COUNTIF($C$18:C196,C196)),"st","nd","rd","th"),"")</f>
        <v/>
      </c>
    </row>
    <row r="197" spans="10:10" x14ac:dyDescent="0.25">
      <c r="J197" s="164" t="str">
        <f>IFERROR(COUNTIF($C$18:C197,C197)&amp;CHOOSE(MIN(4,COUNTIF($C$18:C197,C197)),"st","nd","rd","th"),"")</f>
        <v/>
      </c>
    </row>
    <row r="198" spans="10:10" x14ac:dyDescent="0.25">
      <c r="J198" s="164" t="str">
        <f>IFERROR(COUNTIF($C$18:C198,C198)&amp;CHOOSE(MIN(4,COUNTIF($C$18:C198,C198)),"st","nd","rd","th"),"")</f>
        <v/>
      </c>
    </row>
    <row r="199" spans="10:10" x14ac:dyDescent="0.25">
      <c r="J199" s="164" t="str">
        <f>IFERROR(COUNTIF($C$18:C199,C199)&amp;CHOOSE(MIN(4,COUNTIF($C$18:C199,C199)),"st","nd","rd","th"),"")</f>
        <v/>
      </c>
    </row>
    <row r="200" spans="10:10" x14ac:dyDescent="0.25">
      <c r="J200" s="164" t="str">
        <f>IFERROR(COUNTIF($C$18:C200,C200)&amp;CHOOSE(MIN(4,COUNTIF($C$18:C200,C200)),"st","nd","rd","th"),"")</f>
        <v/>
      </c>
    </row>
    <row r="201" spans="10:10" x14ac:dyDescent="0.25">
      <c r="J201" s="164" t="str">
        <f>IFERROR(COUNTIF($C$18:C201,C201)&amp;CHOOSE(MIN(4,COUNTIF($C$18:C201,C201)),"st","nd","rd","th"),"")</f>
        <v/>
      </c>
    </row>
    <row r="202" spans="10:10" x14ac:dyDescent="0.25">
      <c r="J202" s="164" t="str">
        <f>IFERROR(COUNTIF($C$18:C202,C202)&amp;CHOOSE(MIN(4,COUNTIF($C$18:C202,C202)),"st","nd","rd","th"),"")</f>
        <v/>
      </c>
    </row>
    <row r="203" spans="10:10" x14ac:dyDescent="0.25">
      <c r="J203" s="164" t="str">
        <f>IFERROR(COUNTIF($C$18:C203,C203)&amp;CHOOSE(MIN(4,COUNTIF($C$18:C203,C203)),"st","nd","rd","th"),"")</f>
        <v/>
      </c>
    </row>
    <row r="204" spans="10:10" x14ac:dyDescent="0.25">
      <c r="J204" s="164" t="str">
        <f>IFERROR(COUNTIF($C$18:C204,C204)&amp;CHOOSE(MIN(4,COUNTIF($C$18:C204,C204)),"st","nd","rd","th"),"")</f>
        <v/>
      </c>
    </row>
    <row r="205" spans="10:10" x14ac:dyDescent="0.25">
      <c r="J205" s="164" t="str">
        <f>IFERROR(COUNTIF($C$18:C205,C205)&amp;CHOOSE(MIN(4,COUNTIF($C$18:C205,C205)),"st","nd","rd","th"),"")</f>
        <v/>
      </c>
    </row>
    <row r="206" spans="10:10" x14ac:dyDescent="0.25">
      <c r="J206" s="164" t="str">
        <f>IFERROR(COUNTIF($C$18:C206,C206)&amp;CHOOSE(MIN(4,COUNTIF($C$18:C206,C206)),"st","nd","rd","th"),"")</f>
        <v/>
      </c>
    </row>
    <row r="207" spans="10:10" x14ac:dyDescent="0.25">
      <c r="J207" s="164" t="str">
        <f>IFERROR(COUNTIF($C$18:C207,C207)&amp;CHOOSE(MIN(4,COUNTIF($C$18:C207,C207)),"st","nd","rd","th"),"")</f>
        <v/>
      </c>
    </row>
    <row r="208" spans="10:10" x14ac:dyDescent="0.25">
      <c r="J208" s="164" t="str">
        <f>IFERROR(COUNTIF($C$18:C208,C208)&amp;CHOOSE(MIN(4,COUNTIF($C$18:C208,C208)),"st","nd","rd","th"),"")</f>
        <v/>
      </c>
    </row>
    <row r="209" spans="10:10" x14ac:dyDescent="0.25">
      <c r="J209" s="164" t="str">
        <f>IFERROR(COUNTIF($C$18:C209,C209)&amp;CHOOSE(MIN(4,COUNTIF($C$18:C209,C209)),"st","nd","rd","th"),"")</f>
        <v/>
      </c>
    </row>
    <row r="210" spans="10:10" x14ac:dyDescent="0.25">
      <c r="J210" s="164" t="str">
        <f>IFERROR(COUNTIF($C$18:C210,C210)&amp;CHOOSE(MIN(4,COUNTIF($C$18:C210,C210)),"st","nd","rd","th"),"")</f>
        <v/>
      </c>
    </row>
    <row r="211" spans="10:10" x14ac:dyDescent="0.25">
      <c r="J211" s="164" t="str">
        <f>IFERROR(COUNTIF($C$18:C211,C211)&amp;CHOOSE(MIN(4,COUNTIF($C$18:C211,C211)),"st","nd","rd","th"),"")</f>
        <v/>
      </c>
    </row>
    <row r="212" spans="10:10" x14ac:dyDescent="0.25">
      <c r="J212" s="164" t="str">
        <f>IFERROR(COUNTIF($C$18:C212,C212)&amp;CHOOSE(MIN(4,COUNTIF($C$18:C212,C212)),"st","nd","rd","th"),"")</f>
        <v/>
      </c>
    </row>
    <row r="213" spans="10:10" x14ac:dyDescent="0.25">
      <c r="J213" s="164" t="str">
        <f>IFERROR(COUNTIF($C$18:C213,C213)&amp;CHOOSE(MIN(4,COUNTIF($C$18:C213,C213)),"st","nd","rd","th"),"")</f>
        <v/>
      </c>
    </row>
    <row r="214" spans="10:10" x14ac:dyDescent="0.25">
      <c r="J214" s="164" t="str">
        <f>IFERROR(COUNTIF($C$18:C214,C214)&amp;CHOOSE(MIN(4,COUNTIF($C$18:C214,C214)),"st","nd","rd","th"),"")</f>
        <v/>
      </c>
    </row>
    <row r="215" spans="10:10" x14ac:dyDescent="0.25">
      <c r="J215" s="164" t="str">
        <f>IFERROR(COUNTIF($C$18:C215,C215)&amp;CHOOSE(MIN(4,COUNTIF($C$18:C215,C215)),"st","nd","rd","th"),"")</f>
        <v/>
      </c>
    </row>
    <row r="216" spans="10:10" x14ac:dyDescent="0.25">
      <c r="J216" s="164" t="str">
        <f>IFERROR(COUNTIF($C$18:C216,C216)&amp;CHOOSE(MIN(4,COUNTIF($C$18:C216,C216)),"st","nd","rd","th"),"")</f>
        <v/>
      </c>
    </row>
    <row r="217" spans="10:10" x14ac:dyDescent="0.25">
      <c r="J217" s="164" t="str">
        <f>IFERROR(COUNTIF($C$18:C217,C217)&amp;CHOOSE(MIN(4,COUNTIF($C$18:C217,C217)),"st","nd","rd","th"),"")</f>
        <v/>
      </c>
    </row>
    <row r="218" spans="10:10" x14ac:dyDescent="0.25">
      <c r="J218" s="164" t="str">
        <f>IFERROR(COUNTIF($C$18:C218,C218)&amp;CHOOSE(MIN(4,COUNTIF($C$18:C218,C218)),"st","nd","rd","th"),"")</f>
        <v/>
      </c>
    </row>
    <row r="219" spans="10:10" x14ac:dyDescent="0.25">
      <c r="J219" s="164" t="str">
        <f>IFERROR(COUNTIF($C$18:C219,C219)&amp;CHOOSE(MIN(4,COUNTIF($C$18:C219,C219)),"st","nd","rd","th"),"")</f>
        <v/>
      </c>
    </row>
    <row r="220" spans="10:10" x14ac:dyDescent="0.25">
      <c r="J220" s="164" t="str">
        <f>IFERROR(COUNTIF($C$18:C220,C220)&amp;CHOOSE(MIN(4,COUNTIF($C$18:C220,C220)),"st","nd","rd","th"),"")</f>
        <v/>
      </c>
    </row>
    <row r="221" spans="10:10" x14ac:dyDescent="0.25">
      <c r="J221" s="164" t="str">
        <f>IFERROR(COUNTIF($C$18:C221,C221)&amp;CHOOSE(MIN(4,COUNTIF($C$18:C221,C221)),"st","nd","rd","th"),"")</f>
        <v/>
      </c>
    </row>
    <row r="222" spans="10:10" x14ac:dyDescent="0.25">
      <c r="J222" s="164" t="str">
        <f>IFERROR(COUNTIF($C$18:C222,C222)&amp;CHOOSE(MIN(4,COUNTIF($C$18:C222,C222)),"st","nd","rd","th"),"")</f>
        <v/>
      </c>
    </row>
    <row r="223" spans="10:10" x14ac:dyDescent="0.25">
      <c r="J223" s="164" t="str">
        <f>IFERROR(COUNTIF($C$18:C223,C223)&amp;CHOOSE(MIN(4,COUNTIF($C$18:C223,C223)),"st","nd","rd","th"),"")</f>
        <v/>
      </c>
    </row>
    <row r="224" spans="10:10" x14ac:dyDescent="0.25">
      <c r="J224" s="164" t="str">
        <f>IFERROR(COUNTIF($C$18:C224,C224)&amp;CHOOSE(MIN(4,COUNTIF($C$18:C224,C224)),"st","nd","rd","th"),"")</f>
        <v/>
      </c>
    </row>
    <row r="225" spans="10:10" x14ac:dyDescent="0.25">
      <c r="J225" s="164" t="str">
        <f>IFERROR(COUNTIF($C$18:C225,C225)&amp;CHOOSE(MIN(4,COUNTIF($C$18:C225,C225)),"st","nd","rd","th"),"")</f>
        <v/>
      </c>
    </row>
    <row r="226" spans="10:10" x14ac:dyDescent="0.25">
      <c r="J226" s="164" t="str">
        <f>IFERROR(COUNTIF($C$18:C226,C226)&amp;CHOOSE(MIN(4,COUNTIF($C$18:C226,C226)),"st","nd","rd","th"),"")</f>
        <v/>
      </c>
    </row>
    <row r="227" spans="10:10" x14ac:dyDescent="0.25">
      <c r="J227" s="164" t="str">
        <f>IFERROR(COUNTIF($C$18:C227,C227)&amp;CHOOSE(MIN(4,COUNTIF($C$18:C227,C227)),"st","nd","rd","th"),"")</f>
        <v/>
      </c>
    </row>
    <row r="228" spans="10:10" x14ac:dyDescent="0.25">
      <c r="J228" s="164" t="str">
        <f>IFERROR(COUNTIF($C$18:C228,C228)&amp;CHOOSE(MIN(4,COUNTIF($C$18:C228,C228)),"st","nd","rd","th"),"")</f>
        <v/>
      </c>
    </row>
    <row r="229" spans="10:10" x14ac:dyDescent="0.25">
      <c r="J229" s="164" t="str">
        <f>IFERROR(COUNTIF($C$18:C229,C229)&amp;CHOOSE(MIN(4,COUNTIF($C$18:C229,C229)),"st","nd","rd","th"),"")</f>
        <v/>
      </c>
    </row>
    <row r="230" spans="10:10" x14ac:dyDescent="0.25">
      <c r="J230" s="164" t="str">
        <f>IFERROR(COUNTIF($C$18:C230,C230)&amp;CHOOSE(MIN(4,COUNTIF($C$18:C230,C230)),"st","nd","rd","th"),"")</f>
        <v/>
      </c>
    </row>
    <row r="231" spans="10:10" x14ac:dyDescent="0.25">
      <c r="J231" s="164" t="str">
        <f>IFERROR(COUNTIF($C$18:C231,C231)&amp;CHOOSE(MIN(4,COUNTIF($C$18:C231,C231)),"st","nd","rd","th"),"")</f>
        <v/>
      </c>
    </row>
    <row r="232" spans="10:10" x14ac:dyDescent="0.25">
      <c r="J232" s="164" t="str">
        <f>IFERROR(COUNTIF($C$18:C232,C232)&amp;CHOOSE(MIN(4,COUNTIF($C$18:C232,C232)),"st","nd","rd","th"),"")</f>
        <v/>
      </c>
    </row>
    <row r="233" spans="10:10" x14ac:dyDescent="0.25">
      <c r="J233" s="164" t="str">
        <f>IFERROR(COUNTIF($C$18:C233,C233)&amp;CHOOSE(MIN(4,COUNTIF($C$18:C233,C233)),"st","nd","rd","th"),"")</f>
        <v/>
      </c>
    </row>
    <row r="234" spans="10:10" x14ac:dyDescent="0.25">
      <c r="J234" s="164" t="str">
        <f>IFERROR(COUNTIF($C$18:C234,C234)&amp;CHOOSE(MIN(4,COUNTIF($C$18:C234,C234)),"st","nd","rd","th"),"")</f>
        <v/>
      </c>
    </row>
    <row r="235" spans="10:10" x14ac:dyDescent="0.25">
      <c r="J235" s="164" t="str">
        <f>IFERROR(COUNTIF($C$18:C235,C235)&amp;CHOOSE(MIN(4,COUNTIF($C$18:C235,C235)),"st","nd","rd","th"),"")</f>
        <v/>
      </c>
    </row>
    <row r="236" spans="10:10" x14ac:dyDescent="0.25">
      <c r="J236" s="164" t="str">
        <f>IFERROR(COUNTIF($C$18:C236,C236)&amp;CHOOSE(MIN(4,COUNTIF($C$18:C236,C236)),"st","nd","rd","th"),"")</f>
        <v/>
      </c>
    </row>
    <row r="237" spans="10:10" x14ac:dyDescent="0.25">
      <c r="J237" s="164" t="str">
        <f>IFERROR(COUNTIF($C$18:C237,C237)&amp;CHOOSE(MIN(4,COUNTIF($C$18:C237,C237)),"st","nd","rd","th"),"")</f>
        <v/>
      </c>
    </row>
    <row r="238" spans="10:10" x14ac:dyDescent="0.25">
      <c r="J238" s="164" t="str">
        <f>IFERROR(COUNTIF($C$18:C238,C238)&amp;CHOOSE(MIN(4,COUNTIF($C$18:C238,C238)),"st","nd","rd","th"),"")</f>
        <v/>
      </c>
    </row>
    <row r="239" spans="10:10" x14ac:dyDescent="0.25">
      <c r="J239" s="164" t="str">
        <f>IFERROR(COUNTIF($C$18:C239,C239)&amp;CHOOSE(MIN(4,COUNTIF($C$18:C239,C239)),"st","nd","rd","th"),"")</f>
        <v/>
      </c>
    </row>
    <row r="240" spans="10:10" x14ac:dyDescent="0.25">
      <c r="J240" s="164" t="str">
        <f>IFERROR(COUNTIF($C$18:C240,C240)&amp;CHOOSE(MIN(4,COUNTIF($C$18:C240,C240)),"st","nd","rd","th"),"")</f>
        <v/>
      </c>
    </row>
    <row r="241" spans="10:10" x14ac:dyDescent="0.25">
      <c r="J241" s="164" t="str">
        <f>IFERROR(COUNTIF($C$18:C241,C241)&amp;CHOOSE(MIN(4,COUNTIF($C$18:C241,C241)),"st","nd","rd","th"),"")</f>
        <v/>
      </c>
    </row>
    <row r="242" spans="10:10" x14ac:dyDescent="0.25">
      <c r="J242" s="164" t="str">
        <f>IFERROR(COUNTIF($C$18:C242,C242)&amp;CHOOSE(MIN(4,COUNTIF($C$18:C242,C242)),"st","nd","rd","th"),"")</f>
        <v/>
      </c>
    </row>
    <row r="243" spans="10:10" x14ac:dyDescent="0.25">
      <c r="J243" s="164" t="str">
        <f>IFERROR(COUNTIF($C$18:C243,C243)&amp;CHOOSE(MIN(4,COUNTIF($C$18:C243,C243)),"st","nd","rd","th"),"")</f>
        <v/>
      </c>
    </row>
    <row r="244" spans="10:10" x14ac:dyDescent="0.25">
      <c r="J244" s="164" t="str">
        <f>IFERROR(COUNTIF($C$18:C244,C244)&amp;CHOOSE(MIN(4,COUNTIF($C$18:C244,C244)),"st","nd","rd","th"),"")</f>
        <v/>
      </c>
    </row>
    <row r="245" spans="10:10" x14ac:dyDescent="0.25">
      <c r="J245" s="164" t="str">
        <f>IFERROR(COUNTIF($C$18:C245,C245)&amp;CHOOSE(MIN(4,COUNTIF($C$18:C245,C245)),"st","nd","rd","th"),"")</f>
        <v/>
      </c>
    </row>
    <row r="246" spans="10:10" x14ac:dyDescent="0.25">
      <c r="J246" s="164" t="str">
        <f>IFERROR(COUNTIF($C$18:C246,C246)&amp;CHOOSE(MIN(4,COUNTIF($C$18:C246,C246)),"st","nd","rd","th"),"")</f>
        <v/>
      </c>
    </row>
    <row r="247" spans="10:10" x14ac:dyDescent="0.25">
      <c r="J247" s="164" t="str">
        <f>IFERROR(COUNTIF($C$18:C247,C247)&amp;CHOOSE(MIN(4,COUNTIF($C$18:C247,C247)),"st","nd","rd","th"),"")</f>
        <v/>
      </c>
    </row>
    <row r="248" spans="10:10" x14ac:dyDescent="0.25">
      <c r="J248" s="164" t="str">
        <f>IFERROR(COUNTIF($C$18:C248,C248)&amp;CHOOSE(MIN(4,COUNTIF($C$18:C248,C248)),"st","nd","rd","th"),"")</f>
        <v/>
      </c>
    </row>
    <row r="249" spans="10:10" x14ac:dyDescent="0.25">
      <c r="J249" s="164" t="str">
        <f>IFERROR(COUNTIF($C$18:C249,C249)&amp;CHOOSE(MIN(4,COUNTIF($C$18:C249,C249)),"st","nd","rd","th"),"")</f>
        <v/>
      </c>
    </row>
    <row r="250" spans="10:10" x14ac:dyDescent="0.25">
      <c r="J250" s="164" t="str">
        <f>IFERROR(COUNTIF($C$18:C250,C250)&amp;CHOOSE(MIN(4,COUNTIF($C$18:C250,C250)),"st","nd","rd","th"),"")</f>
        <v/>
      </c>
    </row>
    <row r="251" spans="10:10" x14ac:dyDescent="0.25">
      <c r="J251" s="164" t="str">
        <f>IFERROR(COUNTIF($C$18:C251,C251)&amp;CHOOSE(MIN(4,COUNTIF($C$18:C251,C251)),"st","nd","rd","th"),"")</f>
        <v/>
      </c>
    </row>
    <row r="252" spans="10:10" x14ac:dyDescent="0.25">
      <c r="J252" s="164" t="str">
        <f>IFERROR(COUNTIF($C$18:C252,C252)&amp;CHOOSE(MIN(4,COUNTIF($C$18:C252,C252)),"st","nd","rd","th"),"")</f>
        <v/>
      </c>
    </row>
    <row r="253" spans="10:10" x14ac:dyDescent="0.25">
      <c r="J253" s="164" t="str">
        <f>IFERROR(COUNTIF($C$18:C253,C253)&amp;CHOOSE(MIN(4,COUNTIF($C$18:C253,C253)),"st","nd","rd","th"),"")</f>
        <v/>
      </c>
    </row>
    <row r="254" spans="10:10" x14ac:dyDescent="0.25">
      <c r="J254" s="164" t="str">
        <f>IFERROR(COUNTIF($C$18:C254,C254)&amp;CHOOSE(MIN(4,COUNTIF($C$18:C254,C254)),"st","nd","rd","th"),"")</f>
        <v/>
      </c>
    </row>
    <row r="255" spans="10:10" x14ac:dyDescent="0.25">
      <c r="J255" s="164" t="str">
        <f>IFERROR(COUNTIF($C$18:C255,C255)&amp;CHOOSE(MIN(4,COUNTIF($C$18:C255,C255)),"st","nd","rd","th"),"")</f>
        <v/>
      </c>
    </row>
    <row r="256" spans="10:10" x14ac:dyDescent="0.25">
      <c r="J256" s="164" t="str">
        <f>IFERROR(COUNTIF($C$18:C256,C256)&amp;CHOOSE(MIN(4,COUNTIF($C$18:C256,C256)),"st","nd","rd","th"),"")</f>
        <v/>
      </c>
    </row>
    <row r="257" spans="10:10" x14ac:dyDescent="0.25">
      <c r="J257" s="164" t="str">
        <f>IFERROR(COUNTIF($C$18:C257,C257)&amp;CHOOSE(MIN(4,COUNTIF($C$18:C257,C257)),"st","nd","rd","th"),"")</f>
        <v/>
      </c>
    </row>
    <row r="258" spans="10:10" x14ac:dyDescent="0.25">
      <c r="J258" s="164" t="str">
        <f>IFERROR(COUNTIF($C$18:C258,C258)&amp;CHOOSE(MIN(4,COUNTIF($C$18:C258,C258)),"st","nd","rd","th"),"")</f>
        <v/>
      </c>
    </row>
    <row r="259" spans="10:10" x14ac:dyDescent="0.25">
      <c r="J259" s="164" t="str">
        <f>IFERROR(COUNTIF($C$18:C259,C259)&amp;CHOOSE(MIN(4,COUNTIF($C$18:C259,C259)),"st","nd","rd","th"),"")</f>
        <v/>
      </c>
    </row>
    <row r="260" spans="10:10" x14ac:dyDescent="0.25">
      <c r="J260" s="164" t="str">
        <f>IFERROR(COUNTIF($C$18:C260,C260)&amp;CHOOSE(MIN(4,COUNTIF($C$18:C260,C260)),"st","nd","rd","th"),"")</f>
        <v/>
      </c>
    </row>
    <row r="261" spans="10:10" x14ac:dyDescent="0.25">
      <c r="J261" s="164" t="str">
        <f>IFERROR(COUNTIF($C$18:C261,C261)&amp;CHOOSE(MIN(4,COUNTIF($C$18:C261,C261)),"st","nd","rd","th"),"")</f>
        <v/>
      </c>
    </row>
    <row r="262" spans="10:10" x14ac:dyDescent="0.25">
      <c r="J262" s="164" t="str">
        <f>IFERROR(COUNTIF($C$18:C262,C262)&amp;CHOOSE(MIN(4,COUNTIF($C$18:C262,C262)),"st","nd","rd","th"),"")</f>
        <v/>
      </c>
    </row>
    <row r="263" spans="10:10" x14ac:dyDescent="0.25">
      <c r="J263" s="164" t="str">
        <f>IFERROR(COUNTIF($C$18:C263,C263)&amp;CHOOSE(MIN(4,COUNTIF($C$18:C263,C263)),"st","nd","rd","th"),"")</f>
        <v/>
      </c>
    </row>
    <row r="264" spans="10:10" x14ac:dyDescent="0.25">
      <c r="J264" s="164" t="str">
        <f>IFERROR(COUNTIF($C$18:C264,C264)&amp;CHOOSE(MIN(4,COUNTIF($C$18:C264,C264)),"st","nd","rd","th"),"")</f>
        <v/>
      </c>
    </row>
    <row r="265" spans="10:10" x14ac:dyDescent="0.25">
      <c r="J265" s="164" t="str">
        <f>IFERROR(COUNTIF($C$18:C265,C265)&amp;CHOOSE(MIN(4,COUNTIF($C$18:C265,C265)),"st","nd","rd","th"),"")</f>
        <v/>
      </c>
    </row>
    <row r="266" spans="10:10" x14ac:dyDescent="0.25">
      <c r="J266" s="164" t="str">
        <f>IFERROR(COUNTIF($C$18:C266,C266)&amp;CHOOSE(MIN(4,COUNTIF($C$18:C266,C266)),"st","nd","rd","th"),"")</f>
        <v/>
      </c>
    </row>
    <row r="267" spans="10:10" x14ac:dyDescent="0.25">
      <c r="J267" s="164" t="str">
        <f>IFERROR(COUNTIF($C$18:C267,C267)&amp;CHOOSE(MIN(4,COUNTIF($C$18:C267,C267)),"st","nd","rd","th"),"")</f>
        <v/>
      </c>
    </row>
    <row r="268" spans="10:10" x14ac:dyDescent="0.25">
      <c r="J268" s="164" t="str">
        <f>IFERROR(COUNTIF($C$18:C268,C268)&amp;CHOOSE(MIN(4,COUNTIF($C$18:C268,C268)),"st","nd","rd","th"),"")</f>
        <v/>
      </c>
    </row>
    <row r="269" spans="10:10" x14ac:dyDescent="0.25">
      <c r="J269" s="164" t="str">
        <f>IFERROR(COUNTIF($C$18:C269,C269)&amp;CHOOSE(MIN(4,COUNTIF($C$18:C269,C269)),"st","nd","rd","th"),"")</f>
        <v/>
      </c>
    </row>
    <row r="270" spans="10:10" x14ac:dyDescent="0.25">
      <c r="J270" s="164" t="str">
        <f>IFERROR(COUNTIF($C$18:C270,C270)&amp;CHOOSE(MIN(4,COUNTIF($C$18:C270,C270)),"st","nd","rd","th"),"")</f>
        <v/>
      </c>
    </row>
    <row r="271" spans="10:10" x14ac:dyDescent="0.25">
      <c r="J271" s="164" t="str">
        <f>IFERROR(COUNTIF($C$18:C271,C271)&amp;CHOOSE(MIN(4,COUNTIF($C$18:C271,C271)),"st","nd","rd","th"),"")</f>
        <v/>
      </c>
    </row>
    <row r="272" spans="10:10" x14ac:dyDescent="0.25">
      <c r="J272" s="164" t="str">
        <f>IFERROR(COUNTIF($C$18:C272,C272)&amp;CHOOSE(MIN(4,COUNTIF($C$18:C272,C272)),"st","nd","rd","th"),"")</f>
        <v/>
      </c>
    </row>
    <row r="273" spans="10:10" x14ac:dyDescent="0.25">
      <c r="J273" s="164" t="str">
        <f>IFERROR(COUNTIF($C$18:C273,C273)&amp;CHOOSE(MIN(4,COUNTIF($C$18:C273,C273)),"st","nd","rd","th"),"")</f>
        <v/>
      </c>
    </row>
    <row r="274" spans="10:10" x14ac:dyDescent="0.25">
      <c r="J274" s="164" t="str">
        <f>IFERROR(COUNTIF($C$18:C274,C274)&amp;CHOOSE(MIN(4,COUNTIF($C$18:C274,C274)),"st","nd","rd","th"),"")</f>
        <v/>
      </c>
    </row>
    <row r="275" spans="10:10" x14ac:dyDescent="0.25">
      <c r="J275" s="164" t="str">
        <f>IFERROR(COUNTIF($C$18:C275,C275)&amp;CHOOSE(MIN(4,COUNTIF($C$18:C275,C275)),"st","nd","rd","th"),"")</f>
        <v/>
      </c>
    </row>
    <row r="276" spans="10:10" x14ac:dyDescent="0.25">
      <c r="J276" s="164" t="str">
        <f>IFERROR(COUNTIF($C$18:C276,C276)&amp;CHOOSE(MIN(4,COUNTIF($C$18:C276,C276)),"st","nd","rd","th"),"")</f>
        <v/>
      </c>
    </row>
    <row r="277" spans="10:10" x14ac:dyDescent="0.25">
      <c r="J277" s="164" t="str">
        <f>IFERROR(COUNTIF($C$18:C277,C277)&amp;CHOOSE(MIN(4,COUNTIF($C$18:C277,C277)),"st","nd","rd","th"),"")</f>
        <v/>
      </c>
    </row>
    <row r="278" spans="10:10" x14ac:dyDescent="0.25">
      <c r="J278" s="164" t="str">
        <f>IFERROR(COUNTIF($C$18:C278,C278)&amp;CHOOSE(MIN(4,COUNTIF($C$18:C278,C278)),"st","nd","rd","th"),"")</f>
        <v/>
      </c>
    </row>
    <row r="279" spans="10:10" x14ac:dyDescent="0.25">
      <c r="J279" s="164" t="str">
        <f>IFERROR(COUNTIF($C$18:C279,C279)&amp;CHOOSE(MIN(4,COUNTIF($C$18:C279,C279)),"st","nd","rd","th"),"")</f>
        <v/>
      </c>
    </row>
    <row r="280" spans="10:10" x14ac:dyDescent="0.25">
      <c r="J280" s="164" t="str">
        <f>IFERROR(COUNTIF($C$18:C280,C280)&amp;CHOOSE(MIN(4,COUNTIF($C$18:C280,C280)),"st","nd","rd","th"),"")</f>
        <v/>
      </c>
    </row>
    <row r="281" spans="10:10" x14ac:dyDescent="0.25">
      <c r="J281" s="164" t="str">
        <f>IFERROR(COUNTIF($C$18:C281,C281)&amp;CHOOSE(MIN(4,COUNTIF($C$18:C281,C281)),"st","nd","rd","th"),"")</f>
        <v/>
      </c>
    </row>
    <row r="282" spans="10:10" x14ac:dyDescent="0.25">
      <c r="J282" s="164" t="str">
        <f>IFERROR(COUNTIF($C$18:C282,C282)&amp;CHOOSE(MIN(4,COUNTIF($C$18:C282,C282)),"st","nd","rd","th"),"")</f>
        <v/>
      </c>
    </row>
    <row r="283" spans="10:10" x14ac:dyDescent="0.25">
      <c r="J283" s="164" t="str">
        <f>IFERROR(COUNTIF($C$18:C283,C283)&amp;CHOOSE(MIN(4,COUNTIF($C$18:C283,C283)),"st","nd","rd","th"),"")</f>
        <v/>
      </c>
    </row>
    <row r="284" spans="10:10" x14ac:dyDescent="0.25">
      <c r="J284" s="164" t="str">
        <f>IFERROR(COUNTIF($C$18:C284,C284)&amp;CHOOSE(MIN(4,COUNTIF($C$18:C284,C284)),"st","nd","rd","th"),"")</f>
        <v/>
      </c>
    </row>
    <row r="285" spans="10:10" x14ac:dyDescent="0.25">
      <c r="J285" s="164" t="str">
        <f>IFERROR(COUNTIF($C$18:C285,C285)&amp;CHOOSE(MIN(4,COUNTIF($C$18:C285,C285)),"st","nd","rd","th"),"")</f>
        <v/>
      </c>
    </row>
    <row r="286" spans="10:10" x14ac:dyDescent="0.25">
      <c r="J286" s="164" t="str">
        <f>IFERROR(COUNTIF($C$18:C286,C286)&amp;CHOOSE(MIN(4,COUNTIF($C$18:C286,C286)),"st","nd","rd","th"),"")</f>
        <v/>
      </c>
    </row>
    <row r="287" spans="10:10" x14ac:dyDescent="0.25">
      <c r="J287" s="164" t="str">
        <f>IFERROR(COUNTIF($C$18:C287,C287)&amp;CHOOSE(MIN(4,COUNTIF($C$18:C287,C287)),"st","nd","rd","th"),"")</f>
        <v/>
      </c>
    </row>
    <row r="288" spans="10:10" x14ac:dyDescent="0.25">
      <c r="J288" s="164" t="str">
        <f>IFERROR(COUNTIF($C$18:C288,C288)&amp;CHOOSE(MIN(4,COUNTIF($C$18:C288,C288)),"st","nd","rd","th"),"")</f>
        <v/>
      </c>
    </row>
    <row r="289" spans="10:10" x14ac:dyDescent="0.25">
      <c r="J289" s="164" t="str">
        <f>IFERROR(COUNTIF($C$18:C289,C289)&amp;CHOOSE(MIN(4,COUNTIF($C$18:C289,C289)),"st","nd","rd","th"),"")</f>
        <v/>
      </c>
    </row>
    <row r="290" spans="10:10" x14ac:dyDescent="0.25">
      <c r="J290" s="164" t="str">
        <f>IFERROR(COUNTIF($C$18:C290,C290)&amp;CHOOSE(MIN(4,COUNTIF($C$18:C290,C290)),"st","nd","rd","th"),"")</f>
        <v/>
      </c>
    </row>
    <row r="291" spans="10:10" x14ac:dyDescent="0.25">
      <c r="J291" s="164" t="str">
        <f>IFERROR(COUNTIF($C$18:C291,C291)&amp;CHOOSE(MIN(4,COUNTIF($C$18:C291,C291)),"st","nd","rd","th"),"")</f>
        <v/>
      </c>
    </row>
    <row r="292" spans="10:10" x14ac:dyDescent="0.25">
      <c r="J292" s="164" t="str">
        <f>IFERROR(COUNTIF($C$18:C292,C292)&amp;CHOOSE(MIN(4,COUNTIF($C$18:C292,C292)),"st","nd","rd","th"),"")</f>
        <v/>
      </c>
    </row>
    <row r="293" spans="10:10" x14ac:dyDescent="0.25">
      <c r="J293" s="164" t="str">
        <f>IFERROR(COUNTIF($C$18:C293,C293)&amp;CHOOSE(MIN(4,COUNTIF($C$18:C293,C293)),"st","nd","rd","th"),"")</f>
        <v/>
      </c>
    </row>
    <row r="294" spans="10:10" x14ac:dyDescent="0.25">
      <c r="J294" s="164" t="str">
        <f>IFERROR(COUNTIF($C$18:C294,C294)&amp;CHOOSE(MIN(4,COUNTIF($C$18:C294,C294)),"st","nd","rd","th"),"")</f>
        <v/>
      </c>
    </row>
    <row r="295" spans="10:10" x14ac:dyDescent="0.25">
      <c r="J295" s="164" t="str">
        <f>IFERROR(COUNTIF($C$18:C295,C295)&amp;CHOOSE(MIN(4,COUNTIF($C$18:C295,C295)),"st","nd","rd","th"),"")</f>
        <v/>
      </c>
    </row>
    <row r="296" spans="10:10" x14ac:dyDescent="0.25">
      <c r="J296" s="164" t="str">
        <f>IFERROR(COUNTIF($C$18:C296,C296)&amp;CHOOSE(MIN(4,COUNTIF($C$18:C296,C296)),"st","nd","rd","th"),"")</f>
        <v/>
      </c>
    </row>
    <row r="297" spans="10:10" x14ac:dyDescent="0.25">
      <c r="J297" s="164" t="str">
        <f>IFERROR(COUNTIF($C$18:C297,C297)&amp;CHOOSE(MIN(4,COUNTIF($C$18:C297,C297)),"st","nd","rd","th"),"")</f>
        <v/>
      </c>
    </row>
    <row r="298" spans="10:10" x14ac:dyDescent="0.25">
      <c r="J298" s="164" t="str">
        <f>IFERROR(COUNTIF($C$18:C298,C298)&amp;CHOOSE(MIN(4,COUNTIF($C$18:C298,C298)),"st","nd","rd","th"),"")</f>
        <v/>
      </c>
    </row>
    <row r="299" spans="10:10" x14ac:dyDescent="0.25">
      <c r="J299" s="164" t="str">
        <f>IFERROR(COUNTIF($C$18:C299,C299)&amp;CHOOSE(MIN(4,COUNTIF($C$18:C299,C299)),"st","nd","rd","th"),"")</f>
        <v/>
      </c>
    </row>
    <row r="300" spans="10:10" x14ac:dyDescent="0.25">
      <c r="J300" s="164" t="str">
        <f>IFERROR(COUNTIF($C$18:C300,C300)&amp;CHOOSE(MIN(4,COUNTIF($C$18:C300,C300)),"st","nd","rd","th"),"")</f>
        <v/>
      </c>
    </row>
    <row r="301" spans="10:10" x14ac:dyDescent="0.25">
      <c r="J301" s="164" t="str">
        <f>IFERROR(COUNTIF($C$18:C301,C301)&amp;CHOOSE(MIN(4,COUNTIF($C$18:C301,C301)),"st","nd","rd","th"),"")</f>
        <v/>
      </c>
    </row>
    <row r="302" spans="10:10" x14ac:dyDescent="0.25">
      <c r="J302" s="164" t="str">
        <f>IFERROR(COUNTIF($C$18:C302,C302)&amp;CHOOSE(MIN(4,COUNTIF($C$18:C302,C302)),"st","nd","rd","th"),"")</f>
        <v/>
      </c>
    </row>
    <row r="303" spans="10:10" x14ac:dyDescent="0.25">
      <c r="J303" s="164" t="str">
        <f>IFERROR(COUNTIF($C$18:C303,C303)&amp;CHOOSE(MIN(4,COUNTIF($C$18:C303,C303)),"st","nd","rd","th"),"")</f>
        <v/>
      </c>
    </row>
    <row r="304" spans="10:10" x14ac:dyDescent="0.25">
      <c r="J304" s="164" t="str">
        <f>IFERROR(COUNTIF($C$18:C304,C304)&amp;CHOOSE(MIN(4,COUNTIF($C$18:C304,C304)),"st","nd","rd","th"),"")</f>
        <v/>
      </c>
    </row>
    <row r="305" spans="10:10" x14ac:dyDescent="0.25">
      <c r="J305" s="164" t="str">
        <f>IFERROR(COUNTIF($C$18:C305,C305)&amp;CHOOSE(MIN(4,COUNTIF($C$18:C305,C305)),"st","nd","rd","th"),"")</f>
        <v/>
      </c>
    </row>
    <row r="306" spans="10:10" x14ac:dyDescent="0.25">
      <c r="J306" s="164" t="str">
        <f>IFERROR(COUNTIF($C$18:C306,C306)&amp;CHOOSE(MIN(4,COUNTIF($C$18:C306,C306)),"st","nd","rd","th"),"")</f>
        <v/>
      </c>
    </row>
    <row r="307" spans="10:10" x14ac:dyDescent="0.25">
      <c r="J307" s="164" t="str">
        <f>IFERROR(COUNTIF($C$18:C307,C307)&amp;CHOOSE(MIN(4,COUNTIF($C$18:C307,C307)),"st","nd","rd","th"),"")</f>
        <v/>
      </c>
    </row>
    <row r="308" spans="10:10" x14ac:dyDescent="0.25">
      <c r="J308" s="164" t="str">
        <f>IFERROR(COUNTIF($C$18:C308,C308)&amp;CHOOSE(MIN(4,COUNTIF($C$18:C308,C308)),"st","nd","rd","th"),"")</f>
        <v/>
      </c>
    </row>
    <row r="309" spans="10:10" x14ac:dyDescent="0.25">
      <c r="J309" s="164" t="str">
        <f>IFERROR(COUNTIF($C$18:C309,C309)&amp;CHOOSE(MIN(4,COUNTIF($C$18:C309,C309)),"st","nd","rd","th"),"")</f>
        <v/>
      </c>
    </row>
    <row r="310" spans="10:10" x14ac:dyDescent="0.25">
      <c r="J310" s="164" t="str">
        <f>IFERROR(COUNTIF($C$18:C310,C310)&amp;CHOOSE(MIN(4,COUNTIF($C$18:C310,C310)),"st","nd","rd","th"),"")</f>
        <v/>
      </c>
    </row>
    <row r="311" spans="10:10" x14ac:dyDescent="0.25">
      <c r="J311" s="164" t="str">
        <f>IFERROR(COUNTIF($C$18:C311,C311)&amp;CHOOSE(MIN(4,COUNTIF($C$18:C311,C311)),"st","nd","rd","th"),"")</f>
        <v/>
      </c>
    </row>
    <row r="312" spans="10:10" x14ac:dyDescent="0.25">
      <c r="J312" s="164" t="str">
        <f>IFERROR(COUNTIF($C$18:C312,C312)&amp;CHOOSE(MIN(4,COUNTIF($C$18:C312,C312)),"st","nd","rd","th"),"")</f>
        <v/>
      </c>
    </row>
    <row r="313" spans="10:10" x14ac:dyDescent="0.25">
      <c r="J313" s="164" t="str">
        <f>IFERROR(COUNTIF($C$18:C313,C313)&amp;CHOOSE(MIN(4,COUNTIF($C$18:C313,C313)),"st","nd","rd","th"),"")</f>
        <v/>
      </c>
    </row>
    <row r="314" spans="10:10" x14ac:dyDescent="0.25">
      <c r="J314" s="164" t="str">
        <f>IFERROR(COUNTIF($C$18:C314,C314)&amp;CHOOSE(MIN(4,COUNTIF($C$18:C314,C314)),"st","nd","rd","th"),"")</f>
        <v/>
      </c>
    </row>
    <row r="315" spans="10:10" x14ac:dyDescent="0.25">
      <c r="J315" s="164" t="str">
        <f>IFERROR(COUNTIF($C$18:C315,C315)&amp;CHOOSE(MIN(4,COUNTIF($C$18:C315,C315)),"st","nd","rd","th"),"")</f>
        <v/>
      </c>
    </row>
    <row r="316" spans="10:10" x14ac:dyDescent="0.25">
      <c r="J316" s="164" t="str">
        <f>IFERROR(COUNTIF($C$18:C316,C316)&amp;CHOOSE(MIN(4,COUNTIF($C$18:C316,C316)),"st","nd","rd","th"),"")</f>
        <v/>
      </c>
    </row>
    <row r="317" spans="10:10" x14ac:dyDescent="0.25">
      <c r="J317" s="164" t="str">
        <f>IFERROR(COUNTIF($C$18:C317,C317)&amp;CHOOSE(MIN(4,COUNTIF($C$18:C317,C317)),"st","nd","rd","th"),"")</f>
        <v/>
      </c>
    </row>
    <row r="318" spans="10:10" x14ac:dyDescent="0.25">
      <c r="J318" s="164" t="str">
        <f>IFERROR(COUNTIF($C$18:C318,C318)&amp;CHOOSE(MIN(4,COUNTIF($C$18:C318,C318)),"st","nd","rd","th"),"")</f>
        <v/>
      </c>
    </row>
    <row r="319" spans="10:10" x14ac:dyDescent="0.25">
      <c r="J319" s="164" t="str">
        <f>IFERROR(COUNTIF($C$18:C319,C319)&amp;CHOOSE(MIN(4,COUNTIF($C$18:C319,C319)),"st","nd","rd","th"),"")</f>
        <v/>
      </c>
    </row>
    <row r="320" spans="10:10" x14ac:dyDescent="0.25">
      <c r="J320" s="164" t="str">
        <f>IFERROR(COUNTIF($C$18:C320,C320)&amp;CHOOSE(MIN(4,COUNTIF($C$18:C320,C320)),"st","nd","rd","th"),"")</f>
        <v/>
      </c>
    </row>
    <row r="321" spans="10:10" x14ac:dyDescent="0.25">
      <c r="J321" s="164" t="str">
        <f>IFERROR(COUNTIF($C$18:C321,C321)&amp;CHOOSE(MIN(4,COUNTIF($C$18:C321,C321)),"st","nd","rd","th"),"")</f>
        <v/>
      </c>
    </row>
    <row r="322" spans="10:10" x14ac:dyDescent="0.25">
      <c r="J322" s="164" t="str">
        <f>IFERROR(COUNTIF($C$18:C322,C322)&amp;CHOOSE(MIN(4,COUNTIF($C$18:C322,C322)),"st","nd","rd","th"),"")</f>
        <v/>
      </c>
    </row>
    <row r="323" spans="10:10" x14ac:dyDescent="0.25">
      <c r="J323" s="164" t="str">
        <f>IFERROR(COUNTIF($C$18:C323,C323)&amp;CHOOSE(MIN(4,COUNTIF($C$18:C323,C323)),"st","nd","rd","th"),"")</f>
        <v/>
      </c>
    </row>
    <row r="324" spans="10:10" x14ac:dyDescent="0.25">
      <c r="J324" s="164" t="str">
        <f>IFERROR(COUNTIF($C$18:C324,C324)&amp;CHOOSE(MIN(4,COUNTIF($C$18:C324,C324)),"st","nd","rd","th"),"")</f>
        <v/>
      </c>
    </row>
    <row r="325" spans="10:10" x14ac:dyDescent="0.25">
      <c r="J325" s="164" t="str">
        <f>IFERROR(COUNTIF($C$18:C325,C325)&amp;CHOOSE(MIN(4,COUNTIF($C$18:C325,C325)),"st","nd","rd","th"),"")</f>
        <v/>
      </c>
    </row>
    <row r="326" spans="10:10" x14ac:dyDescent="0.25">
      <c r="J326" s="164" t="str">
        <f>IFERROR(COUNTIF($C$18:C326,C326)&amp;CHOOSE(MIN(4,COUNTIF($C$18:C326,C326)),"st","nd","rd","th"),"")</f>
        <v/>
      </c>
    </row>
    <row r="327" spans="10:10" x14ac:dyDescent="0.25">
      <c r="J327" s="164" t="str">
        <f>IFERROR(COUNTIF($C$18:C327,C327)&amp;CHOOSE(MIN(4,COUNTIF($C$18:C327,C327)),"st","nd","rd","th"),"")</f>
        <v/>
      </c>
    </row>
    <row r="328" spans="10:10" x14ac:dyDescent="0.25">
      <c r="J328" s="164" t="str">
        <f>IFERROR(COUNTIF($C$18:C328,C328)&amp;CHOOSE(MIN(4,COUNTIF($C$18:C328,C328)),"st","nd","rd","th"),"")</f>
        <v/>
      </c>
    </row>
    <row r="329" spans="10:10" x14ac:dyDescent="0.25">
      <c r="J329" s="164" t="str">
        <f>IFERROR(COUNTIF($C$18:C329,C329)&amp;CHOOSE(MIN(4,COUNTIF($C$18:C329,C329)),"st","nd","rd","th"),"")</f>
        <v/>
      </c>
    </row>
    <row r="330" spans="10:10" x14ac:dyDescent="0.25">
      <c r="J330" s="164" t="str">
        <f>IFERROR(COUNTIF($C$18:C330,C330)&amp;CHOOSE(MIN(4,COUNTIF($C$18:C330,C330)),"st","nd","rd","th"),"")</f>
        <v/>
      </c>
    </row>
    <row r="331" spans="10:10" x14ac:dyDescent="0.25">
      <c r="J331" s="164" t="str">
        <f>IFERROR(COUNTIF($C$18:C331,C331)&amp;CHOOSE(MIN(4,COUNTIF($C$18:C331,C331)),"st","nd","rd","th"),"")</f>
        <v/>
      </c>
    </row>
    <row r="332" spans="10:10" x14ac:dyDescent="0.25">
      <c r="J332" s="164" t="str">
        <f>IFERROR(COUNTIF($C$18:C332,C332)&amp;CHOOSE(MIN(4,COUNTIF($C$18:C332,C332)),"st","nd","rd","th"),"")</f>
        <v/>
      </c>
    </row>
    <row r="333" spans="10:10" x14ac:dyDescent="0.25">
      <c r="J333" s="164" t="str">
        <f>IFERROR(COUNTIF($C$18:C333,C333)&amp;CHOOSE(MIN(4,COUNTIF($C$18:C333,C333)),"st","nd","rd","th"),"")</f>
        <v/>
      </c>
    </row>
    <row r="334" spans="10:10" x14ac:dyDescent="0.25">
      <c r="J334" s="164" t="str">
        <f>IFERROR(COUNTIF($C$18:C334,C334)&amp;CHOOSE(MIN(4,COUNTIF($C$18:C334,C334)),"st","nd","rd","th"),"")</f>
        <v/>
      </c>
    </row>
    <row r="335" spans="10:10" x14ac:dyDescent="0.25">
      <c r="J335" s="164" t="str">
        <f>IFERROR(COUNTIF($C$18:C335,C335)&amp;CHOOSE(MIN(4,COUNTIF($C$18:C335,C335)),"st","nd","rd","th"),"")</f>
        <v/>
      </c>
    </row>
    <row r="336" spans="10:10" x14ac:dyDescent="0.25">
      <c r="J336" s="164" t="str">
        <f>IFERROR(COUNTIF($C$18:C336,C336)&amp;CHOOSE(MIN(4,COUNTIF($C$18:C336,C336)),"st","nd","rd","th"),"")</f>
        <v/>
      </c>
    </row>
    <row r="337" spans="10:10" x14ac:dyDescent="0.25">
      <c r="J337" s="164" t="str">
        <f>IFERROR(COUNTIF($C$18:C337,C337)&amp;CHOOSE(MIN(4,COUNTIF($C$18:C337,C337)),"st","nd","rd","th"),"")</f>
        <v/>
      </c>
    </row>
    <row r="338" spans="10:10" x14ac:dyDescent="0.25">
      <c r="J338" s="164" t="str">
        <f>IFERROR(COUNTIF($C$18:C338,C338)&amp;CHOOSE(MIN(4,COUNTIF($C$18:C338,C338)),"st","nd","rd","th"),"")</f>
        <v/>
      </c>
    </row>
    <row r="339" spans="10:10" x14ac:dyDescent="0.25">
      <c r="J339" s="164" t="str">
        <f>IFERROR(COUNTIF($C$18:C339,C339)&amp;CHOOSE(MIN(4,COUNTIF($C$18:C339,C339)),"st","nd","rd","th"),"")</f>
        <v/>
      </c>
    </row>
    <row r="340" spans="10:10" x14ac:dyDescent="0.25">
      <c r="J340" s="164" t="str">
        <f>IFERROR(COUNTIF($C$18:C340,C340)&amp;CHOOSE(MIN(4,COUNTIF($C$18:C340,C340)),"st","nd","rd","th"),"")</f>
        <v/>
      </c>
    </row>
    <row r="341" spans="10:10" x14ac:dyDescent="0.25">
      <c r="J341" s="164" t="str">
        <f>IFERROR(COUNTIF($C$18:C341,C341)&amp;CHOOSE(MIN(4,COUNTIF($C$18:C341,C341)),"st","nd","rd","th"),"")</f>
        <v/>
      </c>
    </row>
    <row r="342" spans="10:10" x14ac:dyDescent="0.25">
      <c r="J342" s="164" t="str">
        <f>IFERROR(COUNTIF($C$18:C342,C342)&amp;CHOOSE(MIN(4,COUNTIF($C$18:C342,C342)),"st","nd","rd","th"),"")</f>
        <v/>
      </c>
    </row>
    <row r="343" spans="10:10" x14ac:dyDescent="0.25">
      <c r="J343" s="164" t="str">
        <f>IFERROR(COUNTIF($C$18:C343,C343)&amp;CHOOSE(MIN(4,COUNTIF($C$18:C343,C343)),"st","nd","rd","th"),"")</f>
        <v/>
      </c>
    </row>
    <row r="344" spans="10:10" x14ac:dyDescent="0.25">
      <c r="J344" s="164" t="str">
        <f>IFERROR(COUNTIF($C$18:C344,C344)&amp;CHOOSE(MIN(4,COUNTIF($C$18:C344,C344)),"st","nd","rd","th"),"")</f>
        <v/>
      </c>
    </row>
    <row r="345" spans="10:10" x14ac:dyDescent="0.25">
      <c r="J345" s="164" t="str">
        <f>IFERROR(COUNTIF($C$18:C345,C345)&amp;CHOOSE(MIN(4,COUNTIF($C$18:C345,C345)),"st","nd","rd","th"),"")</f>
        <v/>
      </c>
    </row>
    <row r="346" spans="10:10" x14ac:dyDescent="0.25">
      <c r="J346" s="164" t="str">
        <f>IFERROR(COUNTIF($C$18:C346,C346)&amp;CHOOSE(MIN(4,COUNTIF($C$18:C346,C346)),"st","nd","rd","th"),"")</f>
        <v/>
      </c>
    </row>
    <row r="347" spans="10:10" x14ac:dyDescent="0.25">
      <c r="J347" s="164" t="str">
        <f>IFERROR(COUNTIF($C$18:C347,C347)&amp;CHOOSE(MIN(4,COUNTIF($C$18:C347,C347)),"st","nd","rd","th"),"")</f>
        <v/>
      </c>
    </row>
    <row r="348" spans="10:10" x14ac:dyDescent="0.25">
      <c r="J348" s="164" t="str">
        <f>IFERROR(COUNTIF($C$18:C348,C348)&amp;CHOOSE(MIN(4,COUNTIF($C$18:C348,C348)),"st","nd","rd","th"),"")</f>
        <v/>
      </c>
    </row>
    <row r="349" spans="10:10" x14ac:dyDescent="0.25">
      <c r="J349" s="164" t="str">
        <f>IFERROR(COUNTIF($C$18:C349,C349)&amp;CHOOSE(MIN(4,COUNTIF($C$18:C349,C349)),"st","nd","rd","th"),"")</f>
        <v/>
      </c>
    </row>
    <row r="350" spans="10:10" x14ac:dyDescent="0.25">
      <c r="J350" s="164" t="str">
        <f>IFERROR(COUNTIF($C$18:C350,C350)&amp;CHOOSE(MIN(4,COUNTIF($C$18:C350,C350)),"st","nd","rd","th"),"")</f>
        <v/>
      </c>
    </row>
    <row r="351" spans="10:10" x14ac:dyDescent="0.25">
      <c r="J351" s="164" t="str">
        <f>IFERROR(COUNTIF($C$18:C351,C351)&amp;CHOOSE(MIN(4,COUNTIF($C$18:C351,C351)),"st","nd","rd","th"),"")</f>
        <v/>
      </c>
    </row>
    <row r="352" spans="10:10" x14ac:dyDescent="0.25">
      <c r="J352" s="164" t="str">
        <f>IFERROR(COUNTIF($C$18:C352,C352)&amp;CHOOSE(MIN(4,COUNTIF($C$18:C352,C352)),"st","nd","rd","th"),"")</f>
        <v/>
      </c>
    </row>
    <row r="353" spans="10:10" x14ac:dyDescent="0.25">
      <c r="J353" s="164" t="str">
        <f>IFERROR(COUNTIF($C$18:C353,C353)&amp;CHOOSE(MIN(4,COUNTIF($C$18:C353,C353)),"st","nd","rd","th"),"")</f>
        <v/>
      </c>
    </row>
    <row r="354" spans="10:10" x14ac:dyDescent="0.25">
      <c r="J354" s="164" t="str">
        <f>IFERROR(COUNTIF($C$18:C354,C354)&amp;CHOOSE(MIN(4,COUNTIF($C$18:C354,C354)),"st","nd","rd","th"),"")</f>
        <v/>
      </c>
    </row>
    <row r="355" spans="10:10" x14ac:dyDescent="0.25">
      <c r="J355" s="164" t="str">
        <f>IFERROR(COUNTIF($C$18:C355,C355)&amp;CHOOSE(MIN(4,COUNTIF($C$18:C355,C355)),"st","nd","rd","th"),"")</f>
        <v/>
      </c>
    </row>
    <row r="356" spans="10:10" x14ac:dyDescent="0.25">
      <c r="J356" s="164" t="str">
        <f>IFERROR(COUNTIF($C$18:C356,C356)&amp;CHOOSE(MIN(4,COUNTIF($C$18:C356,C356)),"st","nd","rd","th"),"")</f>
        <v/>
      </c>
    </row>
    <row r="357" spans="10:10" x14ac:dyDescent="0.25">
      <c r="J357" s="164" t="str">
        <f>IFERROR(COUNTIF($C$18:C357,C357)&amp;CHOOSE(MIN(4,COUNTIF($C$18:C357,C357)),"st","nd","rd","th"),"")</f>
        <v/>
      </c>
    </row>
    <row r="358" spans="10:10" x14ac:dyDescent="0.25">
      <c r="J358" s="164" t="str">
        <f>IFERROR(COUNTIF($C$18:C358,C358)&amp;CHOOSE(MIN(4,COUNTIF($C$18:C358,C358)),"st","nd","rd","th"),"")</f>
        <v/>
      </c>
    </row>
    <row r="359" spans="10:10" x14ac:dyDescent="0.25">
      <c r="J359" s="164" t="str">
        <f>IFERROR(COUNTIF($C$18:C359,C359)&amp;CHOOSE(MIN(4,COUNTIF($C$18:C359,C359)),"st","nd","rd","th"),"")</f>
        <v/>
      </c>
    </row>
    <row r="360" spans="10:10" x14ac:dyDescent="0.25">
      <c r="J360" s="164" t="str">
        <f>IFERROR(COUNTIF($C$18:C360,C360)&amp;CHOOSE(MIN(4,COUNTIF($C$18:C360,C360)),"st","nd","rd","th"),"")</f>
        <v/>
      </c>
    </row>
    <row r="361" spans="10:10" x14ac:dyDescent="0.25">
      <c r="J361" s="164" t="str">
        <f>IFERROR(COUNTIF($C$18:C361,C361)&amp;CHOOSE(MIN(4,COUNTIF($C$18:C361,C361)),"st","nd","rd","th"),"")</f>
        <v/>
      </c>
    </row>
    <row r="362" spans="10:10" x14ac:dyDescent="0.25">
      <c r="J362" s="164" t="str">
        <f>IFERROR(COUNTIF($C$18:C362,C362)&amp;CHOOSE(MIN(4,COUNTIF($C$18:C362,C362)),"st","nd","rd","th"),"")</f>
        <v/>
      </c>
    </row>
    <row r="363" spans="10:10" x14ac:dyDescent="0.25">
      <c r="J363" s="164" t="str">
        <f>IFERROR(COUNTIF($C$18:C363,C363)&amp;CHOOSE(MIN(4,COUNTIF($C$18:C363,C363)),"st","nd","rd","th"),"")</f>
        <v/>
      </c>
    </row>
    <row r="364" spans="10:10" x14ac:dyDescent="0.25">
      <c r="J364" s="164" t="str">
        <f>IFERROR(COUNTIF($C$18:C364,C364)&amp;CHOOSE(MIN(4,COUNTIF($C$18:C364,C364)),"st","nd","rd","th"),"")</f>
        <v/>
      </c>
    </row>
    <row r="365" spans="10:10" x14ac:dyDescent="0.25">
      <c r="J365" s="164" t="str">
        <f>IFERROR(COUNTIF($C$18:C365,C365)&amp;CHOOSE(MIN(4,COUNTIF($C$18:C365,C365)),"st","nd","rd","th"),"")</f>
        <v/>
      </c>
    </row>
    <row r="366" spans="10:10" x14ac:dyDescent="0.25">
      <c r="J366" s="164" t="str">
        <f>IFERROR(COUNTIF($C$18:C366,C366)&amp;CHOOSE(MIN(4,COUNTIF($C$18:C366,C366)),"st","nd","rd","th"),"")</f>
        <v/>
      </c>
    </row>
    <row r="367" spans="10:10" x14ac:dyDescent="0.25">
      <c r="J367" s="164" t="str">
        <f>IFERROR(COUNTIF($C$18:C367,C367)&amp;CHOOSE(MIN(4,COUNTIF($C$18:C367,C367)),"st","nd","rd","th"),"")</f>
        <v/>
      </c>
    </row>
    <row r="368" spans="10:10" x14ac:dyDescent="0.25">
      <c r="J368" s="164" t="str">
        <f>IFERROR(COUNTIF($C$18:C368,C368)&amp;CHOOSE(MIN(4,COUNTIF($C$18:C368,C368)),"st","nd","rd","th"),"")</f>
        <v/>
      </c>
    </row>
    <row r="369" spans="10:10" x14ac:dyDescent="0.25">
      <c r="J369" s="164" t="str">
        <f>IFERROR(COUNTIF($C$18:C369,C369)&amp;CHOOSE(MIN(4,COUNTIF($C$18:C369,C369)),"st","nd","rd","th"),"")</f>
        <v/>
      </c>
    </row>
    <row r="370" spans="10:10" x14ac:dyDescent="0.25">
      <c r="J370" s="164" t="str">
        <f>IFERROR(COUNTIF($C$18:C370,C370)&amp;CHOOSE(MIN(4,COUNTIF($C$18:C370,C370)),"st","nd","rd","th"),"")</f>
        <v/>
      </c>
    </row>
    <row r="371" spans="10:10" x14ac:dyDescent="0.25">
      <c r="J371" s="164" t="str">
        <f>IFERROR(COUNTIF($C$18:C371,C371)&amp;CHOOSE(MIN(4,COUNTIF($C$18:C371,C371)),"st","nd","rd","th"),"")</f>
        <v/>
      </c>
    </row>
    <row r="372" spans="10:10" x14ac:dyDescent="0.25">
      <c r="J372" s="164" t="str">
        <f>IFERROR(COUNTIF($C$18:C372,C372)&amp;CHOOSE(MIN(4,COUNTIF($C$18:C372,C372)),"st","nd","rd","th"),"")</f>
        <v/>
      </c>
    </row>
    <row r="373" spans="10:10" x14ac:dyDescent="0.25">
      <c r="J373" s="164" t="str">
        <f>IFERROR(COUNTIF($C$18:C373,C373)&amp;CHOOSE(MIN(4,COUNTIF($C$18:C373,C373)),"st","nd","rd","th"),"")</f>
        <v/>
      </c>
    </row>
    <row r="374" spans="10:10" x14ac:dyDescent="0.25">
      <c r="J374" s="164" t="str">
        <f>IFERROR(COUNTIF($C$18:C374,C374)&amp;CHOOSE(MIN(4,COUNTIF($C$18:C374,C374)),"st","nd","rd","th"),"")</f>
        <v/>
      </c>
    </row>
    <row r="375" spans="10:10" x14ac:dyDescent="0.25">
      <c r="J375" s="164" t="str">
        <f>IFERROR(COUNTIF($C$18:C375,C375)&amp;CHOOSE(MIN(4,COUNTIF($C$18:C375,C375)),"st","nd","rd","th"),"")</f>
        <v/>
      </c>
    </row>
    <row r="376" spans="10:10" x14ac:dyDescent="0.25">
      <c r="J376" s="164" t="str">
        <f>IFERROR(COUNTIF($C$18:C376,C376)&amp;CHOOSE(MIN(4,COUNTIF($C$18:C376,C376)),"st","nd","rd","th"),"")</f>
        <v/>
      </c>
    </row>
    <row r="377" spans="10:10" x14ac:dyDescent="0.25">
      <c r="J377" s="164" t="str">
        <f>IFERROR(COUNTIF($C$18:C377,C377)&amp;CHOOSE(MIN(4,COUNTIF($C$18:C377,C377)),"st","nd","rd","th"),"")</f>
        <v/>
      </c>
    </row>
    <row r="378" spans="10:10" x14ac:dyDescent="0.25">
      <c r="J378" s="164" t="str">
        <f>IFERROR(COUNTIF($C$18:C378,C378)&amp;CHOOSE(MIN(4,COUNTIF($C$18:C378,C378)),"st","nd","rd","th"),"")</f>
        <v/>
      </c>
    </row>
    <row r="379" spans="10:10" x14ac:dyDescent="0.25">
      <c r="J379" s="164" t="str">
        <f>IFERROR(COUNTIF($C$18:C379,C379)&amp;CHOOSE(MIN(4,COUNTIF($C$18:C379,C379)),"st","nd","rd","th"),"")</f>
        <v/>
      </c>
    </row>
    <row r="380" spans="10:10" x14ac:dyDescent="0.25">
      <c r="J380" s="164" t="str">
        <f>IFERROR(COUNTIF($C$18:C380,C380)&amp;CHOOSE(MIN(4,COUNTIF($C$18:C380,C380)),"st","nd","rd","th"),"")</f>
        <v/>
      </c>
    </row>
    <row r="381" spans="10:10" x14ac:dyDescent="0.25">
      <c r="J381" s="164" t="str">
        <f>IFERROR(COUNTIF($C$18:C381,C381)&amp;CHOOSE(MIN(4,COUNTIF($C$18:C381,C381)),"st","nd","rd","th"),"")</f>
        <v/>
      </c>
    </row>
    <row r="382" spans="10:10" x14ac:dyDescent="0.25">
      <c r="J382" s="164" t="str">
        <f>IFERROR(COUNTIF($C$18:C382,C382)&amp;CHOOSE(MIN(4,COUNTIF($C$18:C382,C382)),"st","nd","rd","th"),"")</f>
        <v/>
      </c>
    </row>
    <row r="383" spans="10:10" x14ac:dyDescent="0.25">
      <c r="J383" s="164" t="str">
        <f>IFERROR(COUNTIF($C$18:C383,C383)&amp;CHOOSE(MIN(4,COUNTIF($C$18:C383,C383)),"st","nd","rd","th"),"")</f>
        <v/>
      </c>
    </row>
    <row r="384" spans="10:10" x14ac:dyDescent="0.25">
      <c r="J384" s="164" t="str">
        <f>IFERROR(COUNTIF($C$18:C384,C384)&amp;CHOOSE(MIN(4,COUNTIF($C$18:C384,C384)),"st","nd","rd","th"),"")</f>
        <v/>
      </c>
    </row>
    <row r="385" spans="10:10" x14ac:dyDescent="0.25">
      <c r="J385" s="164" t="str">
        <f>IFERROR(COUNTIF($C$18:C385,C385)&amp;CHOOSE(MIN(4,COUNTIF($C$18:C385,C385)),"st","nd","rd","th"),"")</f>
        <v/>
      </c>
    </row>
    <row r="386" spans="10:10" x14ac:dyDescent="0.25">
      <c r="J386" s="164" t="str">
        <f>IFERROR(COUNTIF($C$18:C386,C386)&amp;CHOOSE(MIN(4,COUNTIF($C$18:C386,C386)),"st","nd","rd","th"),"")</f>
        <v/>
      </c>
    </row>
    <row r="387" spans="10:10" x14ac:dyDescent="0.25">
      <c r="J387" s="164" t="str">
        <f>IFERROR(COUNTIF($C$18:C387,C387)&amp;CHOOSE(MIN(4,COUNTIF($C$18:C387,C387)),"st","nd","rd","th"),"")</f>
        <v/>
      </c>
    </row>
    <row r="388" spans="10:10" x14ac:dyDescent="0.25">
      <c r="J388" s="164" t="str">
        <f>IFERROR(COUNTIF($C$18:C388,C388)&amp;CHOOSE(MIN(4,COUNTIF($C$18:C388,C388)),"st","nd","rd","th"),"")</f>
        <v/>
      </c>
    </row>
    <row r="389" spans="10:10" x14ac:dyDescent="0.25">
      <c r="J389" s="164" t="str">
        <f>IFERROR(COUNTIF($C$18:C389,C389)&amp;CHOOSE(MIN(4,COUNTIF($C$18:C389,C389)),"st","nd","rd","th"),"")</f>
        <v/>
      </c>
    </row>
    <row r="390" spans="10:10" x14ac:dyDescent="0.25">
      <c r="J390" s="164" t="str">
        <f>IFERROR(COUNTIF($C$18:C390,C390)&amp;CHOOSE(MIN(4,COUNTIF($C$18:C390,C390)),"st","nd","rd","th"),"")</f>
        <v/>
      </c>
    </row>
    <row r="391" spans="10:10" x14ac:dyDescent="0.25">
      <c r="J391" s="164" t="str">
        <f>IFERROR(COUNTIF($C$18:C391,C391)&amp;CHOOSE(MIN(4,COUNTIF($C$18:C391,C391)),"st","nd","rd","th"),"")</f>
        <v/>
      </c>
    </row>
    <row r="392" spans="10:10" x14ac:dyDescent="0.25">
      <c r="J392" s="164" t="str">
        <f>IFERROR(COUNTIF($C$18:C392,C392)&amp;CHOOSE(MIN(4,COUNTIF($C$18:C392,C392)),"st","nd","rd","th"),"")</f>
        <v/>
      </c>
    </row>
    <row r="393" spans="10:10" x14ac:dyDescent="0.25">
      <c r="J393" s="164" t="str">
        <f>IFERROR(COUNTIF($C$18:C393,C393)&amp;CHOOSE(MIN(4,COUNTIF($C$18:C393,C393)),"st","nd","rd","th"),"")</f>
        <v/>
      </c>
    </row>
    <row r="394" spans="10:10" x14ac:dyDescent="0.25">
      <c r="J394" s="164" t="str">
        <f>IFERROR(COUNTIF($C$18:C394,C394)&amp;CHOOSE(MIN(4,COUNTIF($C$18:C394,C394)),"st","nd","rd","th"),"")</f>
        <v/>
      </c>
    </row>
    <row r="395" spans="10:10" x14ac:dyDescent="0.25">
      <c r="J395" s="164" t="str">
        <f>IFERROR(COUNTIF($C$18:C395,C395)&amp;CHOOSE(MIN(4,COUNTIF($C$18:C395,C395)),"st","nd","rd","th"),"")</f>
        <v/>
      </c>
    </row>
    <row r="396" spans="10:10" x14ac:dyDescent="0.25">
      <c r="J396" s="164" t="str">
        <f>IFERROR(COUNTIF($C$18:C396,C396)&amp;CHOOSE(MIN(4,COUNTIF($C$18:C396,C396)),"st","nd","rd","th"),"")</f>
        <v/>
      </c>
    </row>
    <row r="397" spans="10:10" x14ac:dyDescent="0.25">
      <c r="J397" s="164" t="str">
        <f>IFERROR(COUNTIF($C$18:C397,C397)&amp;CHOOSE(MIN(4,COUNTIF($C$18:C397,C397)),"st","nd","rd","th"),"")</f>
        <v/>
      </c>
    </row>
    <row r="398" spans="10:10" x14ac:dyDescent="0.25">
      <c r="J398" s="164" t="str">
        <f>IFERROR(COUNTIF($C$18:C398,C398)&amp;CHOOSE(MIN(4,COUNTIF($C$18:C398,C398)),"st","nd","rd","th"),"")</f>
        <v/>
      </c>
    </row>
    <row r="399" spans="10:10" x14ac:dyDescent="0.25">
      <c r="J399" s="164" t="str">
        <f>IFERROR(COUNTIF($C$18:C399,C399)&amp;CHOOSE(MIN(4,COUNTIF($C$18:C399,C399)),"st","nd","rd","th"),"")</f>
        <v/>
      </c>
    </row>
    <row r="400" spans="10:10" x14ac:dyDescent="0.25">
      <c r="J400" s="164" t="str">
        <f>IFERROR(COUNTIF($C$18:C400,C400)&amp;CHOOSE(MIN(4,COUNTIF($C$18:C400,C400)),"st","nd","rd","th"),"")</f>
        <v/>
      </c>
    </row>
    <row r="401" spans="10:10" x14ac:dyDescent="0.25">
      <c r="J401" s="164" t="str">
        <f>IFERROR(COUNTIF($C$18:C401,C401)&amp;CHOOSE(MIN(4,COUNTIF($C$18:C401,C401)),"st","nd","rd","th"),"")</f>
        <v/>
      </c>
    </row>
    <row r="402" spans="10:10" x14ac:dyDescent="0.25">
      <c r="J402" s="164" t="str">
        <f>IFERROR(COUNTIF($C$18:C402,C402)&amp;CHOOSE(MIN(4,COUNTIF($C$18:C402,C402)),"st","nd","rd","th"),"")</f>
        <v/>
      </c>
    </row>
    <row r="403" spans="10:10" x14ac:dyDescent="0.25">
      <c r="J403" s="164" t="str">
        <f>IFERROR(COUNTIF($C$18:C403,C403)&amp;CHOOSE(MIN(4,COUNTIF($C$18:C403,C403)),"st","nd","rd","th"),"")</f>
        <v/>
      </c>
    </row>
    <row r="404" spans="10:10" x14ac:dyDescent="0.25">
      <c r="J404" s="164" t="str">
        <f>IFERROR(COUNTIF($C$18:C404,C404)&amp;CHOOSE(MIN(4,COUNTIF($C$18:C404,C404)),"st","nd","rd","th"),"")</f>
        <v/>
      </c>
    </row>
    <row r="405" spans="10:10" x14ac:dyDescent="0.25">
      <c r="J405" s="164" t="str">
        <f>IFERROR(COUNTIF($C$18:C405,C405)&amp;CHOOSE(MIN(4,COUNTIF($C$18:C405,C405)),"st","nd","rd","th"),"")</f>
        <v/>
      </c>
    </row>
    <row r="406" spans="10:10" x14ac:dyDescent="0.25">
      <c r="J406" s="164" t="str">
        <f>IFERROR(COUNTIF($C$18:C406,C406)&amp;CHOOSE(MIN(4,COUNTIF($C$18:C406,C406)),"st","nd","rd","th"),"")</f>
        <v/>
      </c>
    </row>
    <row r="407" spans="10:10" x14ac:dyDescent="0.25">
      <c r="J407" s="164" t="str">
        <f>IFERROR(COUNTIF($C$18:C407,C407)&amp;CHOOSE(MIN(4,COUNTIF($C$18:C407,C407)),"st","nd","rd","th"),"")</f>
        <v/>
      </c>
    </row>
    <row r="408" spans="10:10" x14ac:dyDescent="0.25">
      <c r="J408" s="164" t="str">
        <f>IFERROR(COUNTIF($C$18:C408,C408)&amp;CHOOSE(MIN(4,COUNTIF($C$18:C408,C408)),"st","nd","rd","th"),"")</f>
        <v/>
      </c>
    </row>
    <row r="409" spans="10:10" x14ac:dyDescent="0.25">
      <c r="J409" s="164" t="str">
        <f>IFERROR(COUNTIF($C$18:C409,C409)&amp;CHOOSE(MIN(4,COUNTIF($C$18:C409,C409)),"st","nd","rd","th"),"")</f>
        <v/>
      </c>
    </row>
    <row r="410" spans="10:10" x14ac:dyDescent="0.25">
      <c r="J410" s="164" t="str">
        <f>IFERROR(COUNTIF($C$18:C410,C410)&amp;CHOOSE(MIN(4,COUNTIF($C$18:C410,C410)),"st","nd","rd","th"),"")</f>
        <v/>
      </c>
    </row>
    <row r="411" spans="10:10" x14ac:dyDescent="0.25">
      <c r="J411" s="164" t="str">
        <f>IFERROR(COUNTIF($C$18:C411,C411)&amp;CHOOSE(MIN(4,COUNTIF($C$18:C411,C411)),"st","nd","rd","th"),"")</f>
        <v/>
      </c>
    </row>
    <row r="412" spans="10:10" x14ac:dyDescent="0.25">
      <c r="J412" s="164" t="str">
        <f>IFERROR(COUNTIF($C$18:C412,C412)&amp;CHOOSE(MIN(4,COUNTIF($C$18:C412,C412)),"st","nd","rd","th"),"")</f>
        <v/>
      </c>
    </row>
    <row r="413" spans="10:10" x14ac:dyDescent="0.25">
      <c r="J413" s="164" t="str">
        <f>IFERROR(COUNTIF($C$18:C413,C413)&amp;CHOOSE(MIN(4,COUNTIF($C$18:C413,C413)),"st","nd","rd","th"),"")</f>
        <v/>
      </c>
    </row>
    <row r="414" spans="10:10" x14ac:dyDescent="0.25">
      <c r="J414" s="164" t="str">
        <f>IFERROR(COUNTIF($C$18:C414,C414)&amp;CHOOSE(MIN(4,COUNTIF($C$18:C414,C414)),"st","nd","rd","th"),"")</f>
        <v/>
      </c>
    </row>
    <row r="415" spans="10:10" x14ac:dyDescent="0.25">
      <c r="J415" s="164" t="str">
        <f>IFERROR(COUNTIF($C$18:C415,C415)&amp;CHOOSE(MIN(4,COUNTIF($C$18:C415,C415)),"st","nd","rd","th"),"")</f>
        <v/>
      </c>
    </row>
    <row r="416" spans="10:10" x14ac:dyDescent="0.25">
      <c r="J416" s="164" t="str">
        <f>IFERROR(COUNTIF($C$18:C416,C416)&amp;CHOOSE(MIN(4,COUNTIF($C$18:C416,C416)),"st","nd","rd","th"),"")</f>
        <v/>
      </c>
    </row>
    <row r="417" spans="10:10" x14ac:dyDescent="0.25">
      <c r="J417" s="164" t="str">
        <f>IFERROR(COUNTIF($C$18:C417,C417)&amp;CHOOSE(MIN(4,COUNTIF($C$18:C417,C417)),"st","nd","rd","th"),"")</f>
        <v/>
      </c>
    </row>
    <row r="418" spans="10:10" x14ac:dyDescent="0.25">
      <c r="J418" s="164" t="str">
        <f>IFERROR(COUNTIF($C$18:C418,C418)&amp;CHOOSE(MIN(4,COUNTIF($C$18:C418,C418)),"st","nd","rd","th"),"")</f>
        <v/>
      </c>
    </row>
    <row r="419" spans="10:10" x14ac:dyDescent="0.25">
      <c r="J419" s="164" t="str">
        <f>IFERROR(COUNTIF($C$18:C419,C419)&amp;CHOOSE(MIN(4,COUNTIF($C$18:C419,C419)),"st","nd","rd","th"),"")</f>
        <v/>
      </c>
    </row>
    <row r="420" spans="10:10" x14ac:dyDescent="0.25">
      <c r="J420" s="164" t="str">
        <f>IFERROR(COUNTIF($C$18:C420,C420)&amp;CHOOSE(MIN(4,COUNTIF($C$18:C420,C420)),"st","nd","rd","th"),"")</f>
        <v/>
      </c>
    </row>
    <row r="421" spans="10:10" x14ac:dyDescent="0.25">
      <c r="J421" s="164" t="str">
        <f>IFERROR(COUNTIF($C$18:C421,C421)&amp;CHOOSE(MIN(4,COUNTIF($C$18:C421,C421)),"st","nd","rd","th"),"")</f>
        <v/>
      </c>
    </row>
    <row r="422" spans="10:10" x14ac:dyDescent="0.25">
      <c r="J422" s="164" t="str">
        <f>IFERROR(COUNTIF($C$18:C422,C422)&amp;CHOOSE(MIN(4,COUNTIF($C$18:C422,C422)),"st","nd","rd","th"),"")</f>
        <v/>
      </c>
    </row>
    <row r="423" spans="10:10" x14ac:dyDescent="0.25">
      <c r="J423" s="164" t="str">
        <f>IFERROR(COUNTIF($C$18:C423,C423)&amp;CHOOSE(MIN(4,COUNTIF($C$18:C423,C423)),"st","nd","rd","th"),"")</f>
        <v/>
      </c>
    </row>
    <row r="424" spans="10:10" x14ac:dyDescent="0.25">
      <c r="J424" s="164" t="str">
        <f>IFERROR(COUNTIF($C$18:C424,C424)&amp;CHOOSE(MIN(4,COUNTIF($C$18:C424,C424)),"st","nd","rd","th"),"")</f>
        <v/>
      </c>
    </row>
    <row r="425" spans="10:10" x14ac:dyDescent="0.25">
      <c r="J425" s="164" t="str">
        <f>IFERROR(COUNTIF($C$18:C425,C425)&amp;CHOOSE(MIN(4,COUNTIF($C$18:C425,C425)),"st","nd","rd","th"),"")</f>
        <v/>
      </c>
    </row>
    <row r="426" spans="10:10" x14ac:dyDescent="0.25">
      <c r="J426" s="164" t="str">
        <f>IFERROR(COUNTIF($C$18:C426,C426)&amp;CHOOSE(MIN(4,COUNTIF($C$18:C426,C426)),"st","nd","rd","th"),"")</f>
        <v/>
      </c>
    </row>
    <row r="427" spans="10:10" x14ac:dyDescent="0.25">
      <c r="J427" s="164" t="str">
        <f>IFERROR(COUNTIF($C$18:C427,C427)&amp;CHOOSE(MIN(4,COUNTIF($C$18:C427,C427)),"st","nd","rd","th"),"")</f>
        <v/>
      </c>
    </row>
    <row r="428" spans="10:10" x14ac:dyDescent="0.25">
      <c r="J428" s="164" t="str">
        <f>IFERROR(COUNTIF($C$18:C428,C428)&amp;CHOOSE(MIN(4,COUNTIF($C$18:C428,C428)),"st","nd","rd","th"),"")</f>
        <v/>
      </c>
    </row>
    <row r="429" spans="10:10" x14ac:dyDescent="0.25">
      <c r="J429" s="164" t="str">
        <f>IFERROR(COUNTIF($C$18:C429,C429)&amp;CHOOSE(MIN(4,COUNTIF($C$18:C429,C429)),"st","nd","rd","th"),"")</f>
        <v/>
      </c>
    </row>
    <row r="430" spans="10:10" x14ac:dyDescent="0.25">
      <c r="J430" s="164" t="str">
        <f>IFERROR(COUNTIF($C$18:C430,C430)&amp;CHOOSE(MIN(4,COUNTIF($C$18:C430,C430)),"st","nd","rd","th"),"")</f>
        <v/>
      </c>
    </row>
    <row r="431" spans="10:10" x14ac:dyDescent="0.25">
      <c r="J431" s="164" t="str">
        <f>IFERROR(COUNTIF($C$18:C431,C431)&amp;CHOOSE(MIN(4,COUNTIF($C$18:C431,C431)),"st","nd","rd","th"),"")</f>
        <v/>
      </c>
    </row>
    <row r="432" spans="10:10" x14ac:dyDescent="0.25">
      <c r="J432" s="164" t="str">
        <f>IFERROR(COUNTIF($C$18:C432,C432)&amp;CHOOSE(MIN(4,COUNTIF($C$18:C432,C432)),"st","nd","rd","th"),"")</f>
        <v/>
      </c>
    </row>
    <row r="433" spans="10:10" x14ac:dyDescent="0.25">
      <c r="J433" s="164" t="str">
        <f>IFERROR(COUNTIF($C$18:C433,C433)&amp;CHOOSE(MIN(4,COUNTIF($C$18:C433,C433)),"st","nd","rd","th"),"")</f>
        <v/>
      </c>
    </row>
    <row r="434" spans="10:10" x14ac:dyDescent="0.25">
      <c r="J434" s="164" t="str">
        <f>IFERROR(COUNTIF($C$18:C434,C434)&amp;CHOOSE(MIN(4,COUNTIF($C$18:C434,C434)),"st","nd","rd","th"),"")</f>
        <v/>
      </c>
    </row>
    <row r="435" spans="10:10" x14ac:dyDescent="0.25">
      <c r="J435" s="164" t="str">
        <f>IFERROR(COUNTIF($C$18:C435,C435)&amp;CHOOSE(MIN(4,COUNTIF($C$18:C435,C435)),"st","nd","rd","th"),"")</f>
        <v/>
      </c>
    </row>
    <row r="436" spans="10:10" x14ac:dyDescent="0.25">
      <c r="J436" s="164" t="str">
        <f>IFERROR(COUNTIF($C$18:C436,C436)&amp;CHOOSE(MIN(4,COUNTIF($C$18:C436,C436)),"st","nd","rd","th"),"")</f>
        <v/>
      </c>
    </row>
    <row r="437" spans="10:10" x14ac:dyDescent="0.25">
      <c r="J437" s="164" t="str">
        <f>IFERROR(COUNTIF($C$18:C437,C437)&amp;CHOOSE(MIN(4,COUNTIF($C$18:C437,C437)),"st","nd","rd","th"),"")</f>
        <v/>
      </c>
    </row>
    <row r="438" spans="10:10" x14ac:dyDescent="0.25">
      <c r="J438" s="164" t="str">
        <f>IFERROR(COUNTIF($C$18:C438,C438)&amp;CHOOSE(MIN(4,COUNTIF($C$18:C438,C438)),"st","nd","rd","th"),"")</f>
        <v/>
      </c>
    </row>
    <row r="439" spans="10:10" x14ac:dyDescent="0.25">
      <c r="J439" s="164" t="str">
        <f>IFERROR(COUNTIF($C$18:C439,C439)&amp;CHOOSE(MIN(4,COUNTIF($C$18:C439,C439)),"st","nd","rd","th"),"")</f>
        <v/>
      </c>
    </row>
    <row r="440" spans="10:10" x14ac:dyDescent="0.25">
      <c r="J440" s="164" t="str">
        <f>IFERROR(COUNTIF($C$18:C440,C440)&amp;CHOOSE(MIN(4,COUNTIF($C$18:C440,C440)),"st","nd","rd","th"),"")</f>
        <v/>
      </c>
    </row>
    <row r="441" spans="10:10" x14ac:dyDescent="0.25">
      <c r="J441" s="164" t="str">
        <f>IFERROR(COUNTIF($C$18:C441,C441)&amp;CHOOSE(MIN(4,COUNTIF($C$18:C441,C441)),"st","nd","rd","th"),"")</f>
        <v/>
      </c>
    </row>
    <row r="442" spans="10:10" x14ac:dyDescent="0.25">
      <c r="J442" s="164" t="str">
        <f>IFERROR(COUNTIF($C$18:C442,C442)&amp;CHOOSE(MIN(4,COUNTIF($C$18:C442,C442)),"st","nd","rd","th"),"")</f>
        <v/>
      </c>
    </row>
    <row r="443" spans="10:10" x14ac:dyDescent="0.25">
      <c r="J443" s="164" t="str">
        <f>IFERROR(COUNTIF($C$18:C443,C443)&amp;CHOOSE(MIN(4,COUNTIF($C$18:C443,C443)),"st","nd","rd","th"),"")</f>
        <v/>
      </c>
    </row>
    <row r="444" spans="10:10" x14ac:dyDescent="0.25">
      <c r="J444" s="164" t="str">
        <f>IFERROR(COUNTIF($C$18:C444,C444)&amp;CHOOSE(MIN(4,COUNTIF($C$18:C444,C444)),"st","nd","rd","th"),"")</f>
        <v/>
      </c>
    </row>
    <row r="445" spans="10:10" x14ac:dyDescent="0.25">
      <c r="J445" s="164" t="str">
        <f>IFERROR(COUNTIF($C$18:C445,C445)&amp;CHOOSE(MIN(4,COUNTIF($C$18:C445,C445)),"st","nd","rd","th"),"")</f>
        <v/>
      </c>
    </row>
    <row r="446" spans="10:10" x14ac:dyDescent="0.25">
      <c r="J446" s="164" t="str">
        <f>IFERROR(COUNTIF($C$18:C446,C446)&amp;CHOOSE(MIN(4,COUNTIF($C$18:C446,C446)),"st","nd","rd","th"),"")</f>
        <v/>
      </c>
    </row>
    <row r="447" spans="10:10" x14ac:dyDescent="0.25">
      <c r="J447" s="164" t="str">
        <f>IFERROR(COUNTIF($C$18:C447,C447)&amp;CHOOSE(MIN(4,COUNTIF($C$18:C447,C447)),"st","nd","rd","th"),"")</f>
        <v/>
      </c>
    </row>
    <row r="448" spans="10:10" x14ac:dyDescent="0.25">
      <c r="J448" s="164" t="str">
        <f>IFERROR(COUNTIF($C$18:C448,C448)&amp;CHOOSE(MIN(4,COUNTIF($C$18:C448,C448)),"st","nd","rd","th"),"")</f>
        <v/>
      </c>
    </row>
    <row r="449" spans="10:10" x14ac:dyDescent="0.25">
      <c r="J449" s="164" t="str">
        <f>IFERROR(COUNTIF($C$18:C449,C449)&amp;CHOOSE(MIN(4,COUNTIF($C$18:C449,C449)),"st","nd","rd","th"),"")</f>
        <v/>
      </c>
    </row>
    <row r="450" spans="10:10" x14ac:dyDescent="0.25">
      <c r="J450" s="164" t="str">
        <f>IFERROR(COUNTIF($C$18:C450,C450)&amp;CHOOSE(MIN(4,COUNTIF($C$18:C450,C450)),"st","nd","rd","th"),"")</f>
        <v/>
      </c>
    </row>
    <row r="451" spans="10:10" x14ac:dyDescent="0.25">
      <c r="J451" s="164" t="str">
        <f>IFERROR(COUNTIF($C$18:C451,C451)&amp;CHOOSE(MIN(4,COUNTIF($C$18:C451,C451)),"st","nd","rd","th"),"")</f>
        <v/>
      </c>
    </row>
    <row r="452" spans="10:10" x14ac:dyDescent="0.25">
      <c r="J452" s="164" t="str">
        <f>IFERROR(COUNTIF($C$18:C452,C452)&amp;CHOOSE(MIN(4,COUNTIF($C$18:C452,C452)),"st","nd","rd","th"),"")</f>
        <v/>
      </c>
    </row>
    <row r="453" spans="10:10" x14ac:dyDescent="0.25">
      <c r="J453" s="164" t="str">
        <f>IFERROR(COUNTIF($C$18:C453,C453)&amp;CHOOSE(MIN(4,COUNTIF($C$18:C453,C453)),"st","nd","rd","th"),"")</f>
        <v/>
      </c>
    </row>
    <row r="454" spans="10:10" x14ac:dyDescent="0.25">
      <c r="J454" s="164" t="str">
        <f>IFERROR(COUNTIF($C$18:C454,C454)&amp;CHOOSE(MIN(4,COUNTIF($C$18:C454,C454)),"st","nd","rd","th"),"")</f>
        <v/>
      </c>
    </row>
    <row r="455" spans="10:10" x14ac:dyDescent="0.25">
      <c r="J455" s="164" t="str">
        <f>IFERROR(COUNTIF($C$18:C455,C455)&amp;CHOOSE(MIN(4,COUNTIF($C$18:C455,C455)),"st","nd","rd","th"),"")</f>
        <v/>
      </c>
    </row>
    <row r="456" spans="10:10" x14ac:dyDescent="0.25">
      <c r="J456" s="164" t="str">
        <f>IFERROR(COUNTIF($C$18:C456,C456)&amp;CHOOSE(MIN(4,COUNTIF($C$18:C456,C456)),"st","nd","rd","th"),"")</f>
        <v/>
      </c>
    </row>
    <row r="457" spans="10:10" x14ac:dyDescent="0.25">
      <c r="J457" s="164" t="str">
        <f>IFERROR(COUNTIF($C$18:C457,C457)&amp;CHOOSE(MIN(4,COUNTIF($C$18:C457,C457)),"st","nd","rd","th"),"")</f>
        <v/>
      </c>
    </row>
    <row r="458" spans="10:10" x14ac:dyDescent="0.25">
      <c r="J458" s="164" t="str">
        <f>IFERROR(COUNTIF($C$18:C458,C458)&amp;CHOOSE(MIN(4,COUNTIF($C$18:C458,C458)),"st","nd","rd","th"),"")</f>
        <v/>
      </c>
    </row>
    <row r="459" spans="10:10" x14ac:dyDescent="0.25">
      <c r="J459" s="164" t="str">
        <f>IFERROR(COUNTIF($C$18:C459,C459)&amp;CHOOSE(MIN(4,COUNTIF($C$18:C459,C459)),"st","nd","rd","th"),"")</f>
        <v/>
      </c>
    </row>
    <row r="460" spans="10:10" x14ac:dyDescent="0.25">
      <c r="J460" s="164" t="str">
        <f>IFERROR(COUNTIF($C$18:C460,C460)&amp;CHOOSE(MIN(4,COUNTIF($C$18:C460,C460)),"st","nd","rd","th"),"")</f>
        <v/>
      </c>
    </row>
    <row r="461" spans="10:10" x14ac:dyDescent="0.25">
      <c r="J461" s="164" t="str">
        <f>IFERROR(COUNTIF($C$18:C461,C461)&amp;CHOOSE(MIN(4,COUNTIF($C$18:C461,C461)),"st","nd","rd","th"),"")</f>
        <v/>
      </c>
    </row>
    <row r="462" spans="10:10" x14ac:dyDescent="0.25">
      <c r="J462" s="164" t="str">
        <f>IFERROR(COUNTIF($C$18:C462,C462)&amp;CHOOSE(MIN(4,COUNTIF($C$18:C462,C462)),"st","nd","rd","th"),"")</f>
        <v/>
      </c>
    </row>
    <row r="463" spans="10:10" x14ac:dyDescent="0.25">
      <c r="J463" s="164" t="str">
        <f>IFERROR(COUNTIF($C$18:C463,C463)&amp;CHOOSE(MIN(4,COUNTIF($C$18:C463,C463)),"st","nd","rd","th"),"")</f>
        <v/>
      </c>
    </row>
    <row r="464" spans="10:10" x14ac:dyDescent="0.25">
      <c r="J464" s="164" t="str">
        <f>IFERROR(COUNTIF($C$18:C464,C464)&amp;CHOOSE(MIN(4,COUNTIF($C$18:C464,C464)),"st","nd","rd","th"),"")</f>
        <v/>
      </c>
    </row>
    <row r="465" spans="10:10" x14ac:dyDescent="0.25">
      <c r="J465" s="164" t="str">
        <f>IFERROR(COUNTIF($C$18:C465,C465)&amp;CHOOSE(MIN(4,COUNTIF($C$18:C465,C465)),"st","nd","rd","th"),"")</f>
        <v/>
      </c>
    </row>
    <row r="466" spans="10:10" x14ac:dyDescent="0.25">
      <c r="J466" s="164" t="str">
        <f>IFERROR(COUNTIF($C$18:C466,C466)&amp;CHOOSE(MIN(4,COUNTIF($C$18:C466,C466)),"st","nd","rd","th"),"")</f>
        <v/>
      </c>
    </row>
    <row r="467" spans="10:10" x14ac:dyDescent="0.25">
      <c r="J467" s="164" t="str">
        <f>IFERROR(COUNTIF($C$18:C467,C467)&amp;CHOOSE(MIN(4,COUNTIF($C$18:C467,C467)),"st","nd","rd","th"),"")</f>
        <v/>
      </c>
    </row>
    <row r="468" spans="10:10" x14ac:dyDescent="0.25">
      <c r="J468" s="164" t="str">
        <f>IFERROR(COUNTIF($C$18:C468,C468)&amp;CHOOSE(MIN(4,COUNTIF($C$18:C468,C468)),"st","nd","rd","th"),"")</f>
        <v/>
      </c>
    </row>
    <row r="469" spans="10:10" x14ac:dyDescent="0.25">
      <c r="J469" s="164" t="str">
        <f>IFERROR(COUNTIF($C$18:C469,C469)&amp;CHOOSE(MIN(4,COUNTIF($C$18:C469,C469)),"st","nd","rd","th"),"")</f>
        <v/>
      </c>
    </row>
    <row r="470" spans="10:10" x14ac:dyDescent="0.25">
      <c r="J470" s="164" t="str">
        <f>IFERROR(COUNTIF($C$18:C470,C470)&amp;CHOOSE(MIN(4,COUNTIF($C$18:C470,C470)),"st","nd","rd","th"),"")</f>
        <v/>
      </c>
    </row>
    <row r="471" spans="10:10" x14ac:dyDescent="0.25">
      <c r="J471" s="164" t="str">
        <f>IFERROR(COUNTIF($C$18:C471,C471)&amp;CHOOSE(MIN(4,COUNTIF($C$18:C471,C471)),"st","nd","rd","th"),"")</f>
        <v/>
      </c>
    </row>
    <row r="472" spans="10:10" x14ac:dyDescent="0.25">
      <c r="J472" s="164" t="str">
        <f>IFERROR(COUNTIF($C$18:C472,C472)&amp;CHOOSE(MIN(4,COUNTIF($C$18:C472,C472)),"st","nd","rd","th"),"")</f>
        <v/>
      </c>
    </row>
    <row r="473" spans="10:10" x14ac:dyDescent="0.25">
      <c r="J473" s="164" t="str">
        <f>IFERROR(COUNTIF($C$18:C473,C473)&amp;CHOOSE(MIN(4,COUNTIF($C$18:C473,C473)),"st","nd","rd","th"),"")</f>
        <v/>
      </c>
    </row>
    <row r="474" spans="10:10" x14ac:dyDescent="0.25">
      <c r="J474" s="164" t="str">
        <f>IFERROR(COUNTIF($C$18:C474,C474)&amp;CHOOSE(MIN(4,COUNTIF($C$18:C474,C474)),"st","nd","rd","th"),"")</f>
        <v/>
      </c>
    </row>
    <row r="475" spans="10:10" x14ac:dyDescent="0.25">
      <c r="J475" s="164" t="str">
        <f>IFERROR(COUNTIF($C$18:C475,C475)&amp;CHOOSE(MIN(4,COUNTIF($C$18:C475,C475)),"st","nd","rd","th"),"")</f>
        <v/>
      </c>
    </row>
    <row r="476" spans="10:10" x14ac:dyDescent="0.25">
      <c r="J476" s="164" t="str">
        <f>IFERROR(COUNTIF($C$18:C476,C476)&amp;CHOOSE(MIN(4,COUNTIF($C$18:C476,C476)),"st","nd","rd","th"),"")</f>
        <v/>
      </c>
    </row>
    <row r="477" spans="10:10" x14ac:dyDescent="0.25">
      <c r="J477" s="164" t="str">
        <f>IFERROR(COUNTIF($C$18:C477,C477)&amp;CHOOSE(MIN(4,COUNTIF($C$18:C477,C477)),"st","nd","rd","th"),"")</f>
        <v/>
      </c>
    </row>
    <row r="478" spans="10:10" x14ac:dyDescent="0.25">
      <c r="J478" s="164" t="str">
        <f>IFERROR(COUNTIF($C$18:C478,C478)&amp;CHOOSE(MIN(4,COUNTIF($C$18:C478,C478)),"st","nd","rd","th"),"")</f>
        <v/>
      </c>
    </row>
    <row r="479" spans="10:10" x14ac:dyDescent="0.25">
      <c r="J479" s="164" t="str">
        <f>IFERROR(COUNTIF($C$18:C479,C479)&amp;CHOOSE(MIN(4,COUNTIF($C$18:C479,C479)),"st","nd","rd","th"),"")</f>
        <v/>
      </c>
    </row>
    <row r="480" spans="10:10" x14ac:dyDescent="0.25">
      <c r="J480" s="164" t="str">
        <f>IFERROR(COUNTIF($C$18:C480,C480)&amp;CHOOSE(MIN(4,COUNTIF($C$18:C480,C480)),"st","nd","rd","th"),"")</f>
        <v/>
      </c>
    </row>
    <row r="481" spans="10:10" x14ac:dyDescent="0.25">
      <c r="J481" s="164" t="str">
        <f>IFERROR(COUNTIF($C$18:C481,C481)&amp;CHOOSE(MIN(4,COUNTIF($C$18:C481,C481)),"st","nd","rd","th"),"")</f>
        <v/>
      </c>
    </row>
    <row r="482" spans="10:10" x14ac:dyDescent="0.25">
      <c r="J482" s="164" t="str">
        <f>IFERROR(COUNTIF($C$18:C482,C482)&amp;CHOOSE(MIN(4,COUNTIF($C$18:C482,C482)),"st","nd","rd","th"),"")</f>
        <v/>
      </c>
    </row>
    <row r="483" spans="10:10" x14ac:dyDescent="0.25">
      <c r="J483" s="164" t="str">
        <f>IFERROR(COUNTIF($C$18:C483,C483)&amp;CHOOSE(MIN(4,COUNTIF($C$18:C483,C483)),"st","nd","rd","th"),"")</f>
        <v/>
      </c>
    </row>
    <row r="484" spans="10:10" x14ac:dyDescent="0.25">
      <c r="J484" s="164" t="str">
        <f>IFERROR(COUNTIF($C$18:C484,C484)&amp;CHOOSE(MIN(4,COUNTIF($C$18:C484,C484)),"st","nd","rd","th"),"")</f>
        <v/>
      </c>
    </row>
    <row r="485" spans="10:10" x14ac:dyDescent="0.25">
      <c r="J485" s="164" t="str">
        <f>IFERROR(COUNTIF($C$18:C485,C485)&amp;CHOOSE(MIN(4,COUNTIF($C$18:C485,C485)),"st","nd","rd","th"),"")</f>
        <v/>
      </c>
    </row>
    <row r="486" spans="10:10" x14ac:dyDescent="0.25">
      <c r="J486" s="164" t="str">
        <f>IFERROR(COUNTIF($C$18:C486,C486)&amp;CHOOSE(MIN(4,COUNTIF($C$18:C486,C486)),"st","nd","rd","th"),"")</f>
        <v/>
      </c>
    </row>
    <row r="487" spans="10:10" x14ac:dyDescent="0.25">
      <c r="J487" s="164" t="str">
        <f>IFERROR(COUNTIF($C$18:C487,C487)&amp;CHOOSE(MIN(4,COUNTIF($C$18:C487,C487)),"st","nd","rd","th"),"")</f>
        <v/>
      </c>
    </row>
    <row r="488" spans="10:10" x14ac:dyDescent="0.25">
      <c r="J488" s="164" t="str">
        <f>IFERROR(COUNTIF($C$18:C488,C488)&amp;CHOOSE(MIN(4,COUNTIF($C$18:C488,C488)),"st","nd","rd","th"),"")</f>
        <v/>
      </c>
    </row>
    <row r="489" spans="10:10" x14ac:dyDescent="0.25">
      <c r="J489" s="164" t="str">
        <f>IFERROR(COUNTIF($C$18:C489,C489)&amp;CHOOSE(MIN(4,COUNTIF($C$18:C489,C489)),"st","nd","rd","th"),"")</f>
        <v/>
      </c>
    </row>
    <row r="490" spans="10:10" x14ac:dyDescent="0.25">
      <c r="J490" s="164" t="str">
        <f>IFERROR(COUNTIF($C$18:C490,C490)&amp;CHOOSE(MIN(4,COUNTIF($C$18:C490,C490)),"st","nd","rd","th"),"")</f>
        <v/>
      </c>
    </row>
    <row r="491" spans="10:10" x14ac:dyDescent="0.25">
      <c r="J491" s="164" t="str">
        <f>IFERROR(COUNTIF($C$18:C491,C491)&amp;CHOOSE(MIN(4,COUNTIF($C$18:C491,C491)),"st","nd","rd","th"),"")</f>
        <v/>
      </c>
    </row>
    <row r="492" spans="10:10" x14ac:dyDescent="0.25">
      <c r="J492" s="164" t="str">
        <f>IFERROR(COUNTIF($C$18:C492,C492)&amp;CHOOSE(MIN(4,COUNTIF($C$18:C492,C492)),"st","nd","rd","th"),"")</f>
        <v/>
      </c>
    </row>
    <row r="493" spans="10:10" x14ac:dyDescent="0.25">
      <c r="J493" s="164" t="str">
        <f>IFERROR(COUNTIF($C$18:C493,C493)&amp;CHOOSE(MIN(4,COUNTIF($C$18:C493,C493)),"st","nd","rd","th"),"")</f>
        <v/>
      </c>
    </row>
    <row r="494" spans="10:10" x14ac:dyDescent="0.25">
      <c r="J494" s="164" t="str">
        <f>IFERROR(COUNTIF($C$18:C494,C494)&amp;CHOOSE(MIN(4,COUNTIF($C$18:C494,C494)),"st","nd","rd","th"),"")</f>
        <v/>
      </c>
    </row>
    <row r="495" spans="10:10" x14ac:dyDescent="0.25">
      <c r="J495" s="164" t="str">
        <f>IFERROR(COUNTIF($C$18:C495,C495)&amp;CHOOSE(MIN(4,COUNTIF($C$18:C495,C495)),"st","nd","rd","th"),"")</f>
        <v/>
      </c>
    </row>
    <row r="496" spans="10:10" x14ac:dyDescent="0.25">
      <c r="J496" s="164" t="str">
        <f>IFERROR(COUNTIF($C$18:C496,C496)&amp;CHOOSE(MIN(4,COUNTIF($C$18:C496,C496)),"st","nd","rd","th"),"")</f>
        <v/>
      </c>
    </row>
    <row r="497" spans="10:10" x14ac:dyDescent="0.25">
      <c r="J497" s="164" t="str">
        <f>IFERROR(COUNTIF($C$18:C497,C497)&amp;CHOOSE(MIN(4,COUNTIF($C$18:C497,C497)),"st","nd","rd","th"),"")</f>
        <v/>
      </c>
    </row>
    <row r="498" spans="10:10" x14ac:dyDescent="0.25">
      <c r="J498" s="164" t="str">
        <f>IFERROR(COUNTIF($C$18:C498,C498)&amp;CHOOSE(MIN(4,COUNTIF($C$18:C498,C498)),"st","nd","rd","th"),"")</f>
        <v/>
      </c>
    </row>
    <row r="499" spans="10:10" x14ac:dyDescent="0.25">
      <c r="J499" s="164" t="str">
        <f>IFERROR(COUNTIF($C$18:C499,C499)&amp;CHOOSE(MIN(4,COUNTIF($C$18:C499,C499)),"st","nd","rd","th"),"")</f>
        <v/>
      </c>
    </row>
    <row r="500" spans="10:10" x14ac:dyDescent="0.25">
      <c r="J500" s="164" t="str">
        <f>IFERROR(COUNTIF($C$18:C500,C500)&amp;CHOOSE(MIN(4,COUNTIF($C$18:C500,C500)),"st","nd","rd","th"),"")</f>
        <v/>
      </c>
    </row>
    <row r="501" spans="10:10" x14ac:dyDescent="0.25">
      <c r="J501" s="164" t="str">
        <f>IFERROR(COUNTIF($C$18:C501,C501)&amp;CHOOSE(MIN(4,COUNTIF($C$18:C501,C501)),"st","nd","rd","th"),"")</f>
        <v/>
      </c>
    </row>
    <row r="502" spans="10:10" x14ac:dyDescent="0.25">
      <c r="J502" s="164" t="str">
        <f>IFERROR(COUNTIF($C$18:C502,C502)&amp;CHOOSE(MIN(4,COUNTIF($C$18:C502,C502)),"st","nd","rd","th"),"")</f>
        <v/>
      </c>
    </row>
    <row r="503" spans="10:10" x14ac:dyDescent="0.25">
      <c r="J503" s="164" t="str">
        <f>IFERROR(COUNTIF($C$18:C503,C503)&amp;CHOOSE(MIN(4,COUNTIF($C$18:C503,C503)),"st","nd","rd","th"),"")</f>
        <v/>
      </c>
    </row>
    <row r="504" spans="10:10" x14ac:dyDescent="0.25">
      <c r="J504" s="164" t="str">
        <f>IFERROR(COUNTIF($C$18:C504,C504)&amp;CHOOSE(MIN(4,COUNTIF($C$18:C504,C504)),"st","nd","rd","th"),"")</f>
        <v/>
      </c>
    </row>
    <row r="505" spans="10:10" x14ac:dyDescent="0.25">
      <c r="J505" s="164" t="str">
        <f>IFERROR(COUNTIF($C$18:C505,C505)&amp;CHOOSE(MIN(4,COUNTIF($C$18:C505,C505)),"st","nd","rd","th"),"")</f>
        <v/>
      </c>
    </row>
    <row r="506" spans="10:10" x14ac:dyDescent="0.25">
      <c r="J506" s="164" t="str">
        <f>IFERROR(COUNTIF($C$18:C506,C506)&amp;CHOOSE(MIN(4,COUNTIF($C$18:C506,C506)),"st","nd","rd","th"),"")</f>
        <v/>
      </c>
    </row>
    <row r="507" spans="10:10" x14ac:dyDescent="0.25">
      <c r="J507" s="164" t="str">
        <f>IFERROR(COUNTIF($C$18:C507,C507)&amp;CHOOSE(MIN(4,COUNTIF($C$18:C507,C507)),"st","nd","rd","th"),"")</f>
        <v/>
      </c>
    </row>
    <row r="508" spans="10:10" x14ac:dyDescent="0.25">
      <c r="J508" s="164" t="str">
        <f>IFERROR(COUNTIF($C$18:C508,C508)&amp;CHOOSE(MIN(4,COUNTIF($C$18:C508,C508)),"st","nd","rd","th"),"")</f>
        <v/>
      </c>
    </row>
    <row r="509" spans="10:10" x14ac:dyDescent="0.25">
      <c r="J509" s="164" t="str">
        <f>IFERROR(COUNTIF($C$18:C509,C509)&amp;CHOOSE(MIN(4,COUNTIF($C$18:C509,C509)),"st","nd","rd","th"),"")</f>
        <v/>
      </c>
    </row>
    <row r="510" spans="10:10" x14ac:dyDescent="0.25">
      <c r="J510" s="164" t="str">
        <f>IFERROR(COUNTIF($C$18:C510,C510)&amp;CHOOSE(MIN(4,COUNTIF($C$18:C510,C510)),"st","nd","rd","th"),"")</f>
        <v/>
      </c>
    </row>
    <row r="511" spans="10:10" x14ac:dyDescent="0.25">
      <c r="J511" s="164" t="str">
        <f>IFERROR(COUNTIF($C$18:C511,C511)&amp;CHOOSE(MIN(4,COUNTIF($C$18:C511,C511)),"st","nd","rd","th"),"")</f>
        <v/>
      </c>
    </row>
    <row r="512" spans="10:10" x14ac:dyDescent="0.25">
      <c r="J512" s="164" t="str">
        <f>IFERROR(COUNTIF($C$18:C512,C512)&amp;CHOOSE(MIN(4,COUNTIF($C$18:C512,C512)),"st","nd","rd","th"),"")</f>
        <v/>
      </c>
    </row>
    <row r="513" spans="10:10" x14ac:dyDescent="0.25">
      <c r="J513" s="164" t="str">
        <f>IFERROR(COUNTIF($C$18:C513,C513)&amp;CHOOSE(MIN(4,COUNTIF($C$18:C513,C513)),"st","nd","rd","th"),"")</f>
        <v/>
      </c>
    </row>
    <row r="514" spans="10:10" x14ac:dyDescent="0.25">
      <c r="J514" s="164" t="str">
        <f>IFERROR(COUNTIF($C$18:C514,C514)&amp;CHOOSE(MIN(4,COUNTIF($C$18:C514,C514)),"st","nd","rd","th"),"")</f>
        <v/>
      </c>
    </row>
    <row r="515" spans="10:10" x14ac:dyDescent="0.25">
      <c r="J515" s="164" t="str">
        <f>IFERROR(COUNTIF($C$18:C515,C515)&amp;CHOOSE(MIN(4,COUNTIF($C$18:C515,C515)),"st","nd","rd","th"),"")</f>
        <v/>
      </c>
    </row>
    <row r="516" spans="10:10" x14ac:dyDescent="0.25">
      <c r="J516" s="164" t="str">
        <f>IFERROR(COUNTIF($C$18:C516,C516)&amp;CHOOSE(MIN(4,COUNTIF($C$18:C516,C516)),"st","nd","rd","th"),"")</f>
        <v/>
      </c>
    </row>
    <row r="517" spans="10:10" x14ac:dyDescent="0.25">
      <c r="J517" s="164" t="str">
        <f>IFERROR(COUNTIF($C$18:C517,C517)&amp;CHOOSE(MIN(4,COUNTIF($C$18:C517,C517)),"st","nd","rd","th"),"")</f>
        <v/>
      </c>
    </row>
    <row r="518" spans="10:10" x14ac:dyDescent="0.25">
      <c r="J518" s="164" t="str">
        <f>IFERROR(COUNTIF($C$18:C518,C518)&amp;CHOOSE(MIN(4,COUNTIF($C$18:C518,C518)),"st","nd","rd","th"),"")</f>
        <v/>
      </c>
    </row>
    <row r="519" spans="10:10" x14ac:dyDescent="0.25">
      <c r="J519" s="164" t="str">
        <f>IFERROR(COUNTIF($C$18:C519,C519)&amp;CHOOSE(MIN(4,COUNTIF($C$18:C519,C519)),"st","nd","rd","th"),"")</f>
        <v/>
      </c>
    </row>
    <row r="520" spans="10:10" x14ac:dyDescent="0.25">
      <c r="J520" s="164" t="str">
        <f>IFERROR(COUNTIF($C$18:C520,C520)&amp;CHOOSE(MIN(4,COUNTIF($C$18:C520,C520)),"st","nd","rd","th"),"")</f>
        <v/>
      </c>
    </row>
    <row r="521" spans="10:10" x14ac:dyDescent="0.25">
      <c r="J521" s="164" t="str">
        <f>IFERROR(COUNTIF($C$18:C521,C521)&amp;CHOOSE(MIN(4,COUNTIF($C$18:C521,C521)),"st","nd","rd","th"),"")</f>
        <v/>
      </c>
    </row>
    <row r="522" spans="10:10" x14ac:dyDescent="0.25">
      <c r="J522" s="164" t="str">
        <f>IFERROR(COUNTIF($C$18:C522,C522)&amp;CHOOSE(MIN(4,COUNTIF($C$18:C522,C522)),"st","nd","rd","th"),"")</f>
        <v/>
      </c>
    </row>
    <row r="523" spans="10:10" x14ac:dyDescent="0.25">
      <c r="J523" s="164" t="str">
        <f>IFERROR(COUNTIF($C$18:C523,C523)&amp;CHOOSE(MIN(4,COUNTIF($C$18:C523,C523)),"st","nd","rd","th"),"")</f>
        <v/>
      </c>
    </row>
    <row r="524" spans="10:10" x14ac:dyDescent="0.25">
      <c r="J524" s="164" t="str">
        <f>IFERROR(COUNTIF($C$18:C524,C524)&amp;CHOOSE(MIN(4,COUNTIF($C$18:C524,C524)),"st","nd","rd","th"),"")</f>
        <v/>
      </c>
    </row>
    <row r="525" spans="10:10" x14ac:dyDescent="0.25">
      <c r="J525" s="164" t="str">
        <f>IFERROR(COUNTIF($C$18:C525,C525)&amp;CHOOSE(MIN(4,COUNTIF($C$18:C525,C525)),"st","nd","rd","th"),"")</f>
        <v/>
      </c>
    </row>
    <row r="526" spans="10:10" x14ac:dyDescent="0.25">
      <c r="J526" s="164" t="str">
        <f>IFERROR(COUNTIF($C$18:C526,C526)&amp;CHOOSE(MIN(4,COUNTIF($C$18:C526,C526)),"st","nd","rd","th"),"")</f>
        <v/>
      </c>
    </row>
    <row r="527" spans="10:10" x14ac:dyDescent="0.25">
      <c r="J527" s="164" t="str">
        <f>IFERROR(COUNTIF($C$18:C527,C527)&amp;CHOOSE(MIN(4,COUNTIF($C$18:C527,C527)),"st","nd","rd","th"),"")</f>
        <v/>
      </c>
    </row>
    <row r="528" spans="10:10" x14ac:dyDescent="0.25">
      <c r="J528" s="164" t="str">
        <f>IFERROR(COUNTIF($C$18:C528,C528)&amp;CHOOSE(MIN(4,COUNTIF($C$18:C528,C528)),"st","nd","rd","th"),"")</f>
        <v/>
      </c>
    </row>
    <row r="529" spans="10:10" x14ac:dyDescent="0.25">
      <c r="J529" s="164" t="str">
        <f>IFERROR(COUNTIF($C$18:C529,C529)&amp;CHOOSE(MIN(4,COUNTIF($C$18:C529,C529)),"st","nd","rd","th"),"")</f>
        <v/>
      </c>
    </row>
    <row r="530" spans="10:10" x14ac:dyDescent="0.25">
      <c r="J530" s="164" t="str">
        <f>IFERROR(COUNTIF($C$18:C530,C530)&amp;CHOOSE(MIN(4,COUNTIF($C$18:C530,C530)),"st","nd","rd","th"),"")</f>
        <v/>
      </c>
    </row>
    <row r="531" spans="10:10" x14ac:dyDescent="0.25">
      <c r="J531" s="164" t="str">
        <f>IFERROR(COUNTIF($C$18:C531,C531)&amp;CHOOSE(MIN(4,COUNTIF($C$18:C531,C531)),"st","nd","rd","th"),"")</f>
        <v/>
      </c>
    </row>
    <row r="532" spans="10:10" x14ac:dyDescent="0.25">
      <c r="J532" s="164" t="str">
        <f>IFERROR(COUNTIF($C$18:C532,C532)&amp;CHOOSE(MIN(4,COUNTIF($C$18:C532,C532)),"st","nd","rd","th"),"")</f>
        <v/>
      </c>
    </row>
    <row r="533" spans="10:10" x14ac:dyDescent="0.25">
      <c r="J533" s="164" t="str">
        <f>IFERROR(COUNTIF($C$18:C533,C533)&amp;CHOOSE(MIN(4,COUNTIF($C$18:C533,C533)),"st","nd","rd","th"),"")</f>
        <v/>
      </c>
    </row>
    <row r="534" spans="10:10" x14ac:dyDescent="0.25">
      <c r="J534" s="164" t="str">
        <f>IFERROR(COUNTIF($C$18:C534,C534)&amp;CHOOSE(MIN(4,COUNTIF($C$18:C534,C534)),"st","nd","rd","th"),"")</f>
        <v/>
      </c>
    </row>
    <row r="535" spans="10:10" x14ac:dyDescent="0.25">
      <c r="J535" s="164" t="str">
        <f>IFERROR(COUNTIF($C$18:C535,C535)&amp;CHOOSE(MIN(4,COUNTIF($C$18:C535,C535)),"st","nd","rd","th"),"")</f>
        <v/>
      </c>
    </row>
    <row r="536" spans="10:10" x14ac:dyDescent="0.25">
      <c r="J536" s="164" t="str">
        <f>IFERROR(COUNTIF($C$18:C536,C536)&amp;CHOOSE(MIN(4,COUNTIF($C$18:C536,C536)),"st","nd","rd","th"),"")</f>
        <v/>
      </c>
    </row>
    <row r="537" spans="10:10" x14ac:dyDescent="0.25">
      <c r="J537" s="164" t="str">
        <f>IFERROR(COUNTIF($C$18:C537,C537)&amp;CHOOSE(MIN(4,COUNTIF($C$18:C537,C537)),"st","nd","rd","th"),"")</f>
        <v/>
      </c>
    </row>
    <row r="538" spans="10:10" x14ac:dyDescent="0.25">
      <c r="J538" s="164" t="str">
        <f>IFERROR(COUNTIF($C$18:C538,C538)&amp;CHOOSE(MIN(4,COUNTIF($C$18:C538,C538)),"st","nd","rd","th"),"")</f>
        <v/>
      </c>
    </row>
    <row r="539" spans="10:10" x14ac:dyDescent="0.25">
      <c r="J539" s="164" t="str">
        <f>IFERROR(COUNTIF($C$18:C539,C539)&amp;CHOOSE(MIN(4,COUNTIF($C$18:C539,C539)),"st","nd","rd","th"),"")</f>
        <v/>
      </c>
    </row>
    <row r="540" spans="10:10" x14ac:dyDescent="0.25">
      <c r="J540" s="164" t="str">
        <f>IFERROR(COUNTIF($C$18:C540,C540)&amp;CHOOSE(MIN(4,COUNTIF($C$18:C540,C540)),"st","nd","rd","th"),"")</f>
        <v/>
      </c>
    </row>
    <row r="541" spans="10:10" x14ac:dyDescent="0.25">
      <c r="J541" s="164" t="str">
        <f>IFERROR(COUNTIF($C$18:C541,C541)&amp;CHOOSE(MIN(4,COUNTIF($C$18:C541,C541)),"st","nd","rd","th"),"")</f>
        <v/>
      </c>
    </row>
    <row r="542" spans="10:10" x14ac:dyDescent="0.25">
      <c r="J542" s="164" t="str">
        <f>IFERROR(COUNTIF($C$18:C542,C542)&amp;CHOOSE(MIN(4,COUNTIF($C$18:C542,C542)),"st","nd","rd","th"),"")</f>
        <v/>
      </c>
    </row>
    <row r="543" spans="10:10" x14ac:dyDescent="0.25">
      <c r="J543" s="164" t="str">
        <f>IFERROR(COUNTIF($C$18:C543,C543)&amp;CHOOSE(MIN(4,COUNTIF($C$18:C543,C543)),"st","nd","rd","th"),"")</f>
        <v/>
      </c>
    </row>
    <row r="544" spans="10:10" x14ac:dyDescent="0.25">
      <c r="J544" s="164" t="str">
        <f>IFERROR(COUNTIF($C$18:C544,C544)&amp;CHOOSE(MIN(4,COUNTIF($C$18:C544,C544)),"st","nd","rd","th"),"")</f>
        <v/>
      </c>
    </row>
    <row r="545" spans="10:10" x14ac:dyDescent="0.25">
      <c r="J545" s="164" t="str">
        <f>IFERROR(COUNTIF($C$18:C545,C545)&amp;CHOOSE(MIN(4,COUNTIF($C$18:C545,C545)),"st","nd","rd","th"),"")</f>
        <v/>
      </c>
    </row>
    <row r="546" spans="10:10" x14ac:dyDescent="0.25">
      <c r="J546" s="164" t="str">
        <f>IFERROR(COUNTIF($C$18:C546,C546)&amp;CHOOSE(MIN(4,COUNTIF($C$18:C546,C546)),"st","nd","rd","th"),"")</f>
        <v/>
      </c>
    </row>
    <row r="547" spans="10:10" x14ac:dyDescent="0.25">
      <c r="J547" s="164" t="str">
        <f>IFERROR(COUNTIF($C$18:C547,C547)&amp;CHOOSE(MIN(4,COUNTIF($C$18:C547,C547)),"st","nd","rd","th"),"")</f>
        <v/>
      </c>
    </row>
    <row r="548" spans="10:10" x14ac:dyDescent="0.25">
      <c r="J548" s="164" t="str">
        <f>IFERROR(COUNTIF($C$18:C548,C548)&amp;CHOOSE(MIN(4,COUNTIF($C$18:C548,C548)),"st","nd","rd","th"),"")</f>
        <v/>
      </c>
    </row>
    <row r="549" spans="10:10" x14ac:dyDescent="0.25">
      <c r="J549" s="164" t="str">
        <f>IFERROR(COUNTIF($C$18:C549,C549)&amp;CHOOSE(MIN(4,COUNTIF($C$18:C549,C549)),"st","nd","rd","th"),"")</f>
        <v/>
      </c>
    </row>
    <row r="550" spans="10:10" x14ac:dyDescent="0.25">
      <c r="J550" s="164" t="str">
        <f>IFERROR(COUNTIF($C$18:C550,C550)&amp;CHOOSE(MIN(4,COUNTIF($C$18:C550,C550)),"st","nd","rd","th"),"")</f>
        <v/>
      </c>
    </row>
    <row r="551" spans="10:10" x14ac:dyDescent="0.25">
      <c r="J551" s="164" t="str">
        <f>IFERROR(COUNTIF($C$18:C551,C551)&amp;CHOOSE(MIN(4,COUNTIF($C$18:C551,C551)),"st","nd","rd","th"),"")</f>
        <v/>
      </c>
    </row>
    <row r="552" spans="10:10" x14ac:dyDescent="0.25">
      <c r="J552" s="164" t="str">
        <f>IFERROR(COUNTIF($C$18:C552,C552)&amp;CHOOSE(MIN(4,COUNTIF($C$18:C552,C552)),"st","nd","rd","th"),"")</f>
        <v/>
      </c>
    </row>
    <row r="553" spans="10:10" x14ac:dyDescent="0.25">
      <c r="J553" s="164" t="str">
        <f>IFERROR(COUNTIF($C$18:C553,C553)&amp;CHOOSE(MIN(4,COUNTIF($C$18:C553,C553)),"st","nd","rd","th"),"")</f>
        <v/>
      </c>
    </row>
    <row r="554" spans="10:10" x14ac:dyDescent="0.25">
      <c r="J554" s="164" t="str">
        <f>IFERROR(COUNTIF($C$18:C554,C554)&amp;CHOOSE(MIN(4,COUNTIF($C$18:C554,C554)),"st","nd","rd","th"),"")</f>
        <v/>
      </c>
    </row>
    <row r="555" spans="10:10" x14ac:dyDescent="0.25">
      <c r="J555" s="164" t="str">
        <f>IFERROR(COUNTIF($C$18:C555,C555)&amp;CHOOSE(MIN(4,COUNTIF($C$18:C555,C555)),"st","nd","rd","th"),"")</f>
        <v/>
      </c>
    </row>
    <row r="556" spans="10:10" x14ac:dyDescent="0.25">
      <c r="J556" s="164" t="str">
        <f>IFERROR(COUNTIF($C$18:C556,C556)&amp;CHOOSE(MIN(4,COUNTIF($C$18:C556,C556)),"st","nd","rd","th"),"")</f>
        <v/>
      </c>
    </row>
    <row r="557" spans="10:10" x14ac:dyDescent="0.25">
      <c r="J557" s="164" t="str">
        <f>IFERROR(COUNTIF($C$18:C557,C557)&amp;CHOOSE(MIN(4,COUNTIF($C$18:C557,C557)),"st","nd","rd","th"),"")</f>
        <v/>
      </c>
    </row>
    <row r="558" spans="10:10" x14ac:dyDescent="0.25">
      <c r="J558" s="164" t="str">
        <f>IFERROR(COUNTIF($C$18:C558,C558)&amp;CHOOSE(MIN(4,COUNTIF($C$18:C558,C558)),"st","nd","rd","th"),"")</f>
        <v/>
      </c>
    </row>
    <row r="559" spans="10:10" x14ac:dyDescent="0.25">
      <c r="J559" s="164" t="str">
        <f>IFERROR(COUNTIF($C$18:C559,C559)&amp;CHOOSE(MIN(4,COUNTIF($C$18:C559,C559)),"st","nd","rd","th"),"")</f>
        <v/>
      </c>
    </row>
    <row r="560" spans="10:10" x14ac:dyDescent="0.25">
      <c r="J560" s="164" t="str">
        <f>IFERROR(COUNTIF($C$18:C560,C560)&amp;CHOOSE(MIN(4,COUNTIF($C$18:C560,C560)),"st","nd","rd","th"),"")</f>
        <v/>
      </c>
    </row>
    <row r="561" spans="10:10" x14ac:dyDescent="0.25">
      <c r="J561" s="164" t="str">
        <f>IFERROR(COUNTIF($C$18:C561,C561)&amp;CHOOSE(MIN(4,COUNTIF($C$18:C561,C561)),"st","nd","rd","th"),"")</f>
        <v/>
      </c>
    </row>
    <row r="562" spans="10:10" x14ac:dyDescent="0.25">
      <c r="J562" s="164" t="str">
        <f>IFERROR(COUNTIF($C$18:C562,C562)&amp;CHOOSE(MIN(4,COUNTIF($C$18:C562,C562)),"st","nd","rd","th"),"")</f>
        <v/>
      </c>
    </row>
    <row r="563" spans="10:10" x14ac:dyDescent="0.25">
      <c r="J563" s="164" t="str">
        <f>IFERROR(COUNTIF($C$18:C563,C563)&amp;CHOOSE(MIN(4,COUNTIF($C$18:C563,C563)),"st","nd","rd","th"),"")</f>
        <v/>
      </c>
    </row>
    <row r="564" spans="10:10" x14ac:dyDescent="0.25">
      <c r="J564" s="164" t="str">
        <f>IFERROR(COUNTIF($C$18:C564,C564)&amp;CHOOSE(MIN(4,COUNTIF($C$18:C564,C564)),"st","nd","rd","th"),"")</f>
        <v/>
      </c>
    </row>
    <row r="565" spans="10:10" x14ac:dyDescent="0.25">
      <c r="J565" s="164" t="str">
        <f>IFERROR(COUNTIF($C$18:C565,C565)&amp;CHOOSE(MIN(4,COUNTIF($C$18:C565,C565)),"st","nd","rd","th"),"")</f>
        <v/>
      </c>
    </row>
    <row r="566" spans="10:10" x14ac:dyDescent="0.25">
      <c r="J566" s="164" t="str">
        <f>IFERROR(COUNTIF($C$18:C566,C566)&amp;CHOOSE(MIN(4,COUNTIF($C$18:C566,C566)),"st","nd","rd","th"),"")</f>
        <v/>
      </c>
    </row>
    <row r="567" spans="10:10" x14ac:dyDescent="0.25">
      <c r="J567" s="164" t="str">
        <f>IFERROR(COUNTIF($C$18:C567,C567)&amp;CHOOSE(MIN(4,COUNTIF($C$18:C567,C567)),"st","nd","rd","th"),"")</f>
        <v/>
      </c>
    </row>
    <row r="568" spans="10:10" x14ac:dyDescent="0.25">
      <c r="J568" s="164" t="str">
        <f>IFERROR(COUNTIF($C$18:C568,C568)&amp;CHOOSE(MIN(4,COUNTIF($C$18:C568,C568)),"st","nd","rd","th"),"")</f>
        <v/>
      </c>
    </row>
    <row r="569" spans="10:10" x14ac:dyDescent="0.25">
      <c r="J569" s="164" t="str">
        <f>IFERROR(COUNTIF($C$18:C569,C569)&amp;CHOOSE(MIN(4,COUNTIF($C$18:C569,C569)),"st","nd","rd","th"),"")</f>
        <v/>
      </c>
    </row>
    <row r="570" spans="10:10" x14ac:dyDescent="0.25">
      <c r="J570" s="164" t="str">
        <f>IFERROR(COUNTIF($C$18:C570,C570)&amp;CHOOSE(MIN(4,COUNTIF($C$18:C570,C570)),"st","nd","rd","th"),"")</f>
        <v/>
      </c>
    </row>
    <row r="571" spans="10:10" x14ac:dyDescent="0.25">
      <c r="J571" s="164" t="str">
        <f>IFERROR(COUNTIF($C$18:C571,C571)&amp;CHOOSE(MIN(4,COUNTIF($C$18:C571,C571)),"st","nd","rd","th"),"")</f>
        <v/>
      </c>
    </row>
    <row r="572" spans="10:10" x14ac:dyDescent="0.25">
      <c r="J572" s="164" t="str">
        <f>IFERROR(COUNTIF($C$18:C572,C572)&amp;CHOOSE(MIN(4,COUNTIF($C$18:C572,C572)),"st","nd","rd","th"),"")</f>
        <v/>
      </c>
    </row>
    <row r="573" spans="10:10" x14ac:dyDescent="0.25">
      <c r="J573" s="164" t="str">
        <f>IFERROR(COUNTIF($C$18:C573,C573)&amp;CHOOSE(MIN(4,COUNTIF($C$18:C573,C573)),"st","nd","rd","th"),"")</f>
        <v/>
      </c>
    </row>
    <row r="574" spans="10:10" x14ac:dyDescent="0.25">
      <c r="J574" s="164" t="str">
        <f>IFERROR(COUNTIF($C$18:C574,C574)&amp;CHOOSE(MIN(4,COUNTIF($C$18:C574,C574)),"st","nd","rd","th"),"")</f>
        <v/>
      </c>
    </row>
    <row r="575" spans="10:10" x14ac:dyDescent="0.25">
      <c r="J575" s="164" t="str">
        <f>IFERROR(COUNTIF($C$18:C575,C575)&amp;CHOOSE(MIN(4,COUNTIF($C$18:C575,C575)),"st","nd","rd","th"),"")</f>
        <v/>
      </c>
    </row>
    <row r="576" spans="10:10" x14ac:dyDescent="0.25">
      <c r="J576" s="164" t="str">
        <f>IFERROR(COUNTIF($C$18:C576,C576)&amp;CHOOSE(MIN(4,COUNTIF($C$18:C576,C576)),"st","nd","rd","th"),"")</f>
        <v/>
      </c>
    </row>
    <row r="577" spans="10:10" x14ac:dyDescent="0.25">
      <c r="J577" s="164" t="str">
        <f>IFERROR(COUNTIF($C$18:C577,C577)&amp;CHOOSE(MIN(4,COUNTIF($C$18:C577,C577)),"st","nd","rd","th"),"")</f>
        <v/>
      </c>
    </row>
    <row r="578" spans="10:10" x14ac:dyDescent="0.25">
      <c r="J578" s="164" t="str">
        <f>IFERROR(COUNTIF($C$18:C578,C578)&amp;CHOOSE(MIN(4,COUNTIF($C$18:C578,C578)),"st","nd","rd","th"),"")</f>
        <v/>
      </c>
    </row>
    <row r="579" spans="10:10" x14ac:dyDescent="0.25">
      <c r="J579" s="164" t="str">
        <f>IFERROR(COUNTIF($C$18:C579,C579)&amp;CHOOSE(MIN(4,COUNTIF($C$18:C579,C579)),"st","nd","rd","th"),"")</f>
        <v/>
      </c>
    </row>
    <row r="580" spans="10:10" x14ac:dyDescent="0.25">
      <c r="J580" s="164" t="str">
        <f>IFERROR(COUNTIF($C$18:C580,C580)&amp;CHOOSE(MIN(4,COUNTIF($C$18:C580,C580)),"st","nd","rd","th"),"")</f>
        <v/>
      </c>
    </row>
    <row r="581" spans="10:10" x14ac:dyDescent="0.25">
      <c r="J581" s="164" t="str">
        <f>IFERROR(COUNTIF($C$18:C581,C581)&amp;CHOOSE(MIN(4,COUNTIF($C$18:C581,C581)),"st","nd","rd","th"),"")</f>
        <v/>
      </c>
    </row>
    <row r="582" spans="10:10" x14ac:dyDescent="0.25">
      <c r="J582" s="164" t="str">
        <f>IFERROR(COUNTIF($C$18:C582,C582)&amp;CHOOSE(MIN(4,COUNTIF($C$18:C582,C582)),"st","nd","rd","th"),"")</f>
        <v/>
      </c>
    </row>
    <row r="583" spans="10:10" x14ac:dyDescent="0.25">
      <c r="J583" s="164" t="str">
        <f>IFERROR(COUNTIF($C$18:C583,C583)&amp;CHOOSE(MIN(4,COUNTIF($C$18:C583,C583)),"st","nd","rd","th"),"")</f>
        <v/>
      </c>
    </row>
    <row r="584" spans="10:10" x14ac:dyDescent="0.25">
      <c r="J584" s="164" t="str">
        <f>IFERROR(COUNTIF($C$18:C584,C584)&amp;CHOOSE(MIN(4,COUNTIF($C$18:C584,C584)),"st","nd","rd","th"),"")</f>
        <v/>
      </c>
    </row>
    <row r="585" spans="10:10" x14ac:dyDescent="0.25">
      <c r="J585" s="164" t="str">
        <f>IFERROR(COUNTIF($C$18:C585,C585)&amp;CHOOSE(MIN(4,COUNTIF($C$18:C585,C585)),"st","nd","rd","th"),"")</f>
        <v/>
      </c>
    </row>
    <row r="586" spans="10:10" x14ac:dyDescent="0.25">
      <c r="J586" s="164" t="str">
        <f>IFERROR(COUNTIF($C$18:C586,C586)&amp;CHOOSE(MIN(4,COUNTIF($C$18:C586,C586)),"st","nd","rd","th"),"")</f>
        <v/>
      </c>
    </row>
    <row r="587" spans="10:10" x14ac:dyDescent="0.25">
      <c r="J587" s="164" t="str">
        <f>IFERROR(COUNTIF($C$18:C587,C587)&amp;CHOOSE(MIN(4,COUNTIF($C$18:C587,C587)),"st","nd","rd","th"),"")</f>
        <v/>
      </c>
    </row>
    <row r="588" spans="10:10" x14ac:dyDescent="0.25">
      <c r="J588" s="164" t="str">
        <f>IFERROR(COUNTIF($C$18:C588,C588)&amp;CHOOSE(MIN(4,COUNTIF($C$18:C588,C588)),"st","nd","rd","th"),"")</f>
        <v/>
      </c>
    </row>
    <row r="589" spans="10:10" x14ac:dyDescent="0.25">
      <c r="J589" s="164" t="str">
        <f>IFERROR(COUNTIF($C$18:C589,C589)&amp;CHOOSE(MIN(4,COUNTIF($C$18:C589,C589)),"st","nd","rd","th"),"")</f>
        <v/>
      </c>
    </row>
    <row r="590" spans="10:10" x14ac:dyDescent="0.25">
      <c r="J590" s="164" t="str">
        <f>IFERROR(COUNTIF($C$18:C590,C590)&amp;CHOOSE(MIN(4,COUNTIF($C$18:C590,C590)),"st","nd","rd","th"),"")</f>
        <v/>
      </c>
    </row>
    <row r="591" spans="10:10" x14ac:dyDescent="0.25">
      <c r="J591" s="164" t="str">
        <f>IFERROR(COUNTIF($C$18:C591,C591)&amp;CHOOSE(MIN(4,COUNTIF($C$18:C591,C591)),"st","nd","rd","th"),"")</f>
        <v/>
      </c>
    </row>
    <row r="592" spans="10:10" x14ac:dyDescent="0.25">
      <c r="J592" s="164" t="str">
        <f>IFERROR(COUNTIF($C$18:C592,C592)&amp;CHOOSE(MIN(4,COUNTIF($C$18:C592,C592)),"st","nd","rd","th"),"")</f>
        <v/>
      </c>
    </row>
    <row r="593" spans="10:10" x14ac:dyDescent="0.25">
      <c r="J593" s="164" t="str">
        <f>IFERROR(COUNTIF($C$18:C593,C593)&amp;CHOOSE(MIN(4,COUNTIF($C$18:C593,C593)),"st","nd","rd","th"),"")</f>
        <v/>
      </c>
    </row>
    <row r="594" spans="10:10" x14ac:dyDescent="0.25">
      <c r="J594" s="164" t="str">
        <f>IFERROR(COUNTIF($C$18:C594,C594)&amp;CHOOSE(MIN(4,COUNTIF($C$18:C594,C594)),"st","nd","rd","th"),"")</f>
        <v/>
      </c>
    </row>
    <row r="595" spans="10:10" x14ac:dyDescent="0.25">
      <c r="J595" s="164" t="str">
        <f>IFERROR(COUNTIF($C$18:C595,C595)&amp;CHOOSE(MIN(4,COUNTIF($C$18:C595,C595)),"st","nd","rd","th"),"")</f>
        <v/>
      </c>
    </row>
    <row r="596" spans="10:10" x14ac:dyDescent="0.25">
      <c r="J596" s="164" t="str">
        <f>IFERROR(COUNTIF($C$18:C596,C596)&amp;CHOOSE(MIN(4,COUNTIF($C$18:C596,C596)),"st","nd","rd","th"),"")</f>
        <v/>
      </c>
    </row>
    <row r="597" spans="10:10" x14ac:dyDescent="0.25">
      <c r="J597" s="164" t="str">
        <f>IFERROR(COUNTIF($C$18:C597,C597)&amp;CHOOSE(MIN(4,COUNTIF($C$18:C597,C597)),"st","nd","rd","th"),"")</f>
        <v/>
      </c>
    </row>
    <row r="598" spans="10:10" x14ac:dyDescent="0.25">
      <c r="J598" s="164" t="str">
        <f>IFERROR(COUNTIF($C$18:C598,C598)&amp;CHOOSE(MIN(4,COUNTIF($C$18:C598,C598)),"st","nd","rd","th"),"")</f>
        <v/>
      </c>
    </row>
    <row r="599" spans="10:10" x14ac:dyDescent="0.25">
      <c r="J599" s="164" t="str">
        <f>IFERROR(COUNTIF($C$18:C599,C599)&amp;CHOOSE(MIN(4,COUNTIF($C$18:C599,C599)),"st","nd","rd","th"),"")</f>
        <v/>
      </c>
    </row>
    <row r="600" spans="10:10" x14ac:dyDescent="0.25">
      <c r="J600" s="164" t="str">
        <f>IFERROR(COUNTIF($C$18:C600,C600)&amp;CHOOSE(MIN(4,COUNTIF($C$18:C600,C600)),"st","nd","rd","th"),"")</f>
        <v/>
      </c>
    </row>
    <row r="601" spans="10:10" x14ac:dyDescent="0.25">
      <c r="J601" s="164" t="str">
        <f>IFERROR(COUNTIF($C$18:C601,C601)&amp;CHOOSE(MIN(4,COUNTIF($C$18:C601,C601)),"st","nd","rd","th"),"")</f>
        <v/>
      </c>
    </row>
    <row r="602" spans="10:10" x14ac:dyDescent="0.25">
      <c r="J602" s="164" t="str">
        <f>IFERROR(COUNTIF($C$18:C602,C602)&amp;CHOOSE(MIN(4,COUNTIF($C$18:C602,C602)),"st","nd","rd","th"),"")</f>
        <v/>
      </c>
    </row>
    <row r="603" spans="10:10" x14ac:dyDescent="0.25">
      <c r="J603" s="164" t="str">
        <f>IFERROR(COUNTIF($C$18:C603,C603)&amp;CHOOSE(MIN(4,COUNTIF($C$18:C603,C603)),"st","nd","rd","th"),"")</f>
        <v/>
      </c>
    </row>
    <row r="604" spans="10:10" x14ac:dyDescent="0.25">
      <c r="J604" s="164" t="str">
        <f>IFERROR(COUNTIF($C$18:C604,C604)&amp;CHOOSE(MIN(4,COUNTIF($C$18:C604,C604)),"st","nd","rd","th"),"")</f>
        <v/>
      </c>
    </row>
    <row r="605" spans="10:10" x14ac:dyDescent="0.25">
      <c r="J605" s="164" t="str">
        <f>IFERROR(COUNTIF($C$18:C605,C605)&amp;CHOOSE(MIN(4,COUNTIF($C$18:C605,C605)),"st","nd","rd","th"),"")</f>
        <v/>
      </c>
    </row>
    <row r="606" spans="10:10" x14ac:dyDescent="0.25">
      <c r="J606" s="164" t="str">
        <f>IFERROR(COUNTIF($C$18:C606,C606)&amp;CHOOSE(MIN(4,COUNTIF($C$18:C606,C606)),"st","nd","rd","th"),"")</f>
        <v/>
      </c>
    </row>
    <row r="607" spans="10:10" x14ac:dyDescent="0.25">
      <c r="J607" s="164" t="str">
        <f>IFERROR(COUNTIF($C$18:C607,C607)&amp;CHOOSE(MIN(4,COUNTIF($C$18:C607,C607)),"st","nd","rd","th"),"")</f>
        <v/>
      </c>
    </row>
    <row r="608" spans="10:10" x14ac:dyDescent="0.25">
      <c r="J608" s="164" t="str">
        <f>IFERROR(COUNTIF($C$18:C608,C608)&amp;CHOOSE(MIN(4,COUNTIF($C$18:C608,C608)),"st","nd","rd","th"),"")</f>
        <v/>
      </c>
    </row>
    <row r="609" spans="10:10" x14ac:dyDescent="0.25">
      <c r="J609" s="164" t="str">
        <f>IFERROR(COUNTIF($C$18:C609,C609)&amp;CHOOSE(MIN(4,COUNTIF($C$18:C609,C609)),"st","nd","rd","th"),"")</f>
        <v/>
      </c>
    </row>
    <row r="610" spans="10:10" x14ac:dyDescent="0.25">
      <c r="J610" s="164" t="str">
        <f>IFERROR(COUNTIF($C$18:C610,C610)&amp;CHOOSE(MIN(4,COUNTIF($C$18:C610,C610)),"st","nd","rd","th"),"")</f>
        <v/>
      </c>
    </row>
    <row r="611" spans="10:10" x14ac:dyDescent="0.25">
      <c r="J611" s="164" t="str">
        <f>IFERROR(COUNTIF($C$18:C611,C611)&amp;CHOOSE(MIN(4,COUNTIF($C$18:C611,C611)),"st","nd","rd","th"),"")</f>
        <v/>
      </c>
    </row>
    <row r="612" spans="10:10" x14ac:dyDescent="0.25">
      <c r="J612" s="164" t="str">
        <f>IFERROR(COUNTIF($C$18:C612,C612)&amp;CHOOSE(MIN(4,COUNTIF($C$18:C612,C612)),"st","nd","rd","th"),"")</f>
        <v/>
      </c>
    </row>
    <row r="613" spans="10:10" x14ac:dyDescent="0.25">
      <c r="J613" s="164" t="str">
        <f>IFERROR(COUNTIF($C$18:C613,C613)&amp;CHOOSE(MIN(4,COUNTIF($C$18:C613,C613)),"st","nd","rd","th"),"")</f>
        <v/>
      </c>
    </row>
    <row r="614" spans="10:10" x14ac:dyDescent="0.25">
      <c r="J614" s="164" t="str">
        <f>IFERROR(COUNTIF($C$18:C614,C614)&amp;CHOOSE(MIN(4,COUNTIF($C$18:C614,C614)),"st","nd","rd","th"),"")</f>
        <v/>
      </c>
    </row>
    <row r="615" spans="10:10" x14ac:dyDescent="0.25">
      <c r="J615" s="164" t="str">
        <f>IFERROR(COUNTIF($C$18:C615,C615)&amp;CHOOSE(MIN(4,COUNTIF($C$18:C615,C615)),"st","nd","rd","th"),"")</f>
        <v/>
      </c>
    </row>
    <row r="616" spans="10:10" x14ac:dyDescent="0.25">
      <c r="J616" s="164" t="str">
        <f>IFERROR(COUNTIF($C$18:C616,C616)&amp;CHOOSE(MIN(4,COUNTIF($C$18:C616,C616)),"st","nd","rd","th"),"")</f>
        <v/>
      </c>
    </row>
    <row r="617" spans="10:10" x14ac:dyDescent="0.25">
      <c r="J617" s="164" t="str">
        <f>IFERROR(COUNTIF($C$18:C617,C617)&amp;CHOOSE(MIN(4,COUNTIF($C$18:C617,C617)),"st","nd","rd","th"),"")</f>
        <v/>
      </c>
    </row>
    <row r="618" spans="10:10" x14ac:dyDescent="0.25">
      <c r="J618" s="164" t="str">
        <f>IFERROR(COUNTIF($C$18:C618,C618)&amp;CHOOSE(MIN(4,COUNTIF($C$18:C618,C618)),"st","nd","rd","th"),"")</f>
        <v/>
      </c>
    </row>
    <row r="619" spans="10:10" x14ac:dyDescent="0.25">
      <c r="J619" s="164" t="str">
        <f>IFERROR(COUNTIF($C$18:C619,C619)&amp;CHOOSE(MIN(4,COUNTIF($C$18:C619,C619)),"st","nd","rd","th"),"")</f>
        <v/>
      </c>
    </row>
    <row r="620" spans="10:10" x14ac:dyDescent="0.25">
      <c r="J620" s="164" t="str">
        <f>IFERROR(COUNTIF($C$18:C620,C620)&amp;CHOOSE(MIN(4,COUNTIF($C$18:C620,C620)),"st","nd","rd","th"),"")</f>
        <v/>
      </c>
    </row>
    <row r="621" spans="10:10" x14ac:dyDescent="0.25">
      <c r="J621" s="164" t="str">
        <f>IFERROR(COUNTIF($C$18:C621,C621)&amp;CHOOSE(MIN(4,COUNTIF($C$18:C621,C621)),"st","nd","rd","th"),"")</f>
        <v/>
      </c>
    </row>
    <row r="622" spans="10:10" x14ac:dyDescent="0.25">
      <c r="J622" s="164" t="str">
        <f>IFERROR(COUNTIF($C$18:C622,C622)&amp;CHOOSE(MIN(4,COUNTIF($C$18:C622,C622)),"st","nd","rd","th"),"")</f>
        <v/>
      </c>
    </row>
    <row r="623" spans="10:10" x14ac:dyDescent="0.25">
      <c r="J623" s="164" t="str">
        <f>IFERROR(COUNTIF($C$18:C623,C623)&amp;CHOOSE(MIN(4,COUNTIF($C$18:C623,C623)),"st","nd","rd","th"),"")</f>
        <v/>
      </c>
    </row>
    <row r="624" spans="10:10" x14ac:dyDescent="0.25">
      <c r="J624" s="164" t="str">
        <f>IFERROR(COUNTIF($C$18:C624,C624)&amp;CHOOSE(MIN(4,COUNTIF($C$18:C624,C624)),"st","nd","rd","th"),"")</f>
        <v/>
      </c>
    </row>
    <row r="625" spans="10:10" x14ac:dyDescent="0.25">
      <c r="J625" s="164" t="str">
        <f>IFERROR(COUNTIF($C$18:C625,C625)&amp;CHOOSE(MIN(4,COUNTIF($C$18:C625,C625)),"st","nd","rd","th"),"")</f>
        <v/>
      </c>
    </row>
    <row r="626" spans="10:10" x14ac:dyDescent="0.25">
      <c r="J626" s="164" t="str">
        <f>IFERROR(COUNTIF($C$18:C626,C626)&amp;CHOOSE(MIN(4,COUNTIF($C$18:C626,C626)),"st","nd","rd","th"),"")</f>
        <v/>
      </c>
    </row>
    <row r="627" spans="10:10" x14ac:dyDescent="0.25">
      <c r="J627" s="164" t="str">
        <f>IFERROR(COUNTIF($C$18:C627,C627)&amp;CHOOSE(MIN(4,COUNTIF($C$18:C627,C627)),"st","nd","rd","th"),"")</f>
        <v/>
      </c>
    </row>
    <row r="628" spans="10:10" x14ac:dyDescent="0.25">
      <c r="J628" s="164" t="str">
        <f>IFERROR(COUNTIF($C$18:C628,C628)&amp;CHOOSE(MIN(4,COUNTIF($C$18:C628,C628)),"st","nd","rd","th"),"")</f>
        <v/>
      </c>
    </row>
    <row r="629" spans="10:10" x14ac:dyDescent="0.25">
      <c r="J629" s="164" t="str">
        <f>IFERROR(COUNTIF($C$18:C629,C629)&amp;CHOOSE(MIN(4,COUNTIF($C$18:C629,C629)),"st","nd","rd","th"),"")</f>
        <v/>
      </c>
    </row>
    <row r="630" spans="10:10" x14ac:dyDescent="0.25">
      <c r="J630" s="164" t="str">
        <f>IFERROR(COUNTIF($C$18:C630,C630)&amp;CHOOSE(MIN(4,COUNTIF($C$18:C630,C630)),"st","nd","rd","th"),"")</f>
        <v/>
      </c>
    </row>
    <row r="631" spans="10:10" x14ac:dyDescent="0.25">
      <c r="J631" s="164" t="str">
        <f>IFERROR(COUNTIF($C$18:C631,C631)&amp;CHOOSE(MIN(4,COUNTIF($C$18:C631,C631)),"st","nd","rd","th"),"")</f>
        <v/>
      </c>
    </row>
    <row r="632" spans="10:10" x14ac:dyDescent="0.25">
      <c r="J632" s="164" t="str">
        <f>IFERROR(COUNTIF($C$18:C632,C632)&amp;CHOOSE(MIN(4,COUNTIF($C$18:C632,C632)),"st","nd","rd","th"),"")</f>
        <v/>
      </c>
    </row>
    <row r="633" spans="10:10" x14ac:dyDescent="0.25">
      <c r="J633" s="164" t="str">
        <f>IFERROR(COUNTIF($C$18:C633,C633)&amp;CHOOSE(MIN(4,COUNTIF($C$18:C633,C633)),"st","nd","rd","th"),"")</f>
        <v/>
      </c>
    </row>
    <row r="634" spans="10:10" x14ac:dyDescent="0.25">
      <c r="J634" s="164" t="str">
        <f>IFERROR(COUNTIF($C$18:C634,C634)&amp;CHOOSE(MIN(4,COUNTIF($C$18:C634,C634)),"st","nd","rd","th"),"")</f>
        <v/>
      </c>
    </row>
    <row r="635" spans="10:10" x14ac:dyDescent="0.25">
      <c r="J635" s="164" t="str">
        <f>IFERROR(COUNTIF($C$18:C635,C635)&amp;CHOOSE(MIN(4,COUNTIF($C$18:C635,C635)),"st","nd","rd","th"),"")</f>
        <v/>
      </c>
    </row>
    <row r="636" spans="10:10" x14ac:dyDescent="0.25">
      <c r="J636" s="164" t="str">
        <f>IFERROR(COUNTIF($C$18:C636,C636)&amp;CHOOSE(MIN(4,COUNTIF($C$18:C636,C636)),"st","nd","rd","th"),"")</f>
        <v/>
      </c>
    </row>
    <row r="637" spans="10:10" x14ac:dyDescent="0.25">
      <c r="J637" s="164" t="str">
        <f>IFERROR(COUNTIF($C$18:C637,C637)&amp;CHOOSE(MIN(4,COUNTIF($C$18:C637,C637)),"st","nd","rd","th"),"")</f>
        <v/>
      </c>
    </row>
    <row r="638" spans="10:10" x14ac:dyDescent="0.25">
      <c r="J638" s="164" t="str">
        <f>IFERROR(COUNTIF($C$18:C638,C638)&amp;CHOOSE(MIN(4,COUNTIF($C$18:C638,C638)),"st","nd","rd","th"),"")</f>
        <v/>
      </c>
    </row>
    <row r="639" spans="10:10" x14ac:dyDescent="0.25">
      <c r="J639" s="164" t="str">
        <f>IFERROR(COUNTIF($C$18:C639,C639)&amp;CHOOSE(MIN(4,COUNTIF($C$18:C639,C639)),"st","nd","rd","th"),"")</f>
        <v/>
      </c>
    </row>
    <row r="640" spans="10:10" x14ac:dyDescent="0.25">
      <c r="J640" s="164" t="str">
        <f>IFERROR(COUNTIF($C$18:C640,C640)&amp;CHOOSE(MIN(4,COUNTIF($C$18:C640,C640)),"st","nd","rd","th"),"")</f>
        <v/>
      </c>
    </row>
    <row r="641" spans="10:10" x14ac:dyDescent="0.25">
      <c r="J641" s="164" t="str">
        <f>IFERROR(COUNTIF($C$18:C641,C641)&amp;CHOOSE(MIN(4,COUNTIF($C$18:C641,C641)),"st","nd","rd","th"),"")</f>
        <v/>
      </c>
    </row>
    <row r="642" spans="10:10" x14ac:dyDescent="0.25">
      <c r="J642" s="164" t="str">
        <f>IFERROR(COUNTIF($C$18:C642,C642)&amp;CHOOSE(MIN(4,COUNTIF($C$18:C642,C642)),"st","nd","rd","th"),"")</f>
        <v/>
      </c>
    </row>
    <row r="643" spans="10:10" x14ac:dyDescent="0.25">
      <c r="J643" s="164" t="str">
        <f>IFERROR(COUNTIF($C$18:C643,C643)&amp;CHOOSE(MIN(4,COUNTIF($C$18:C643,C643)),"st","nd","rd","th"),"")</f>
        <v/>
      </c>
    </row>
    <row r="644" spans="10:10" x14ac:dyDescent="0.25">
      <c r="J644" s="164" t="str">
        <f>IFERROR(COUNTIF($C$18:C644,C644)&amp;CHOOSE(MIN(4,COUNTIF($C$18:C644,C644)),"st","nd","rd","th"),"")</f>
        <v/>
      </c>
    </row>
    <row r="645" spans="10:10" x14ac:dyDescent="0.25">
      <c r="J645" s="164" t="str">
        <f>IFERROR(COUNTIF($C$18:C645,C645)&amp;CHOOSE(MIN(4,COUNTIF($C$18:C645,C645)),"st","nd","rd","th"),"")</f>
        <v/>
      </c>
    </row>
    <row r="646" spans="10:10" x14ac:dyDescent="0.25">
      <c r="J646" s="164" t="str">
        <f>IFERROR(COUNTIF($C$18:C646,C646)&amp;CHOOSE(MIN(4,COUNTIF($C$18:C646,C646)),"st","nd","rd","th"),"")</f>
        <v/>
      </c>
    </row>
    <row r="647" spans="10:10" x14ac:dyDescent="0.25">
      <c r="J647" s="164" t="str">
        <f>IFERROR(COUNTIF($C$18:C647,C647)&amp;CHOOSE(MIN(4,COUNTIF($C$18:C647,C647)),"st","nd","rd","th"),"")</f>
        <v/>
      </c>
    </row>
    <row r="648" spans="10:10" x14ac:dyDescent="0.25">
      <c r="J648" s="164" t="str">
        <f>IFERROR(COUNTIF($C$18:C648,C648)&amp;CHOOSE(MIN(4,COUNTIF($C$18:C648,C648)),"st","nd","rd","th"),"")</f>
        <v/>
      </c>
    </row>
    <row r="649" spans="10:10" x14ac:dyDescent="0.25">
      <c r="J649" s="164" t="str">
        <f>IFERROR(COUNTIF($C$18:C649,C649)&amp;CHOOSE(MIN(4,COUNTIF($C$18:C649,C649)),"st","nd","rd","th"),"")</f>
        <v/>
      </c>
    </row>
    <row r="650" spans="10:10" x14ac:dyDescent="0.25">
      <c r="J650" s="164" t="str">
        <f>IFERROR(COUNTIF($C$18:C650,C650)&amp;CHOOSE(MIN(4,COUNTIF($C$18:C650,C650)),"st","nd","rd","th"),"")</f>
        <v/>
      </c>
    </row>
    <row r="651" spans="10:10" x14ac:dyDescent="0.25">
      <c r="J651" s="164" t="str">
        <f>IFERROR(COUNTIF($C$18:C651,C651)&amp;CHOOSE(MIN(4,COUNTIF($C$18:C651,C651)),"st","nd","rd","th"),"")</f>
        <v/>
      </c>
    </row>
    <row r="652" spans="10:10" x14ac:dyDescent="0.25">
      <c r="J652" s="164" t="str">
        <f>IFERROR(COUNTIF($C$18:C652,C652)&amp;CHOOSE(MIN(4,COUNTIF($C$18:C652,C652)),"st","nd","rd","th"),"")</f>
        <v/>
      </c>
    </row>
    <row r="653" spans="10:10" x14ac:dyDescent="0.25">
      <c r="J653" s="164" t="str">
        <f>IFERROR(COUNTIF($C$18:C653,C653)&amp;CHOOSE(MIN(4,COUNTIF($C$18:C653,C653)),"st","nd","rd","th"),"")</f>
        <v/>
      </c>
    </row>
    <row r="654" spans="10:10" x14ac:dyDescent="0.25">
      <c r="J654" s="164" t="str">
        <f>IFERROR(COUNTIF($C$18:C654,C654)&amp;CHOOSE(MIN(4,COUNTIF($C$18:C654,C654)),"st","nd","rd","th"),"")</f>
        <v/>
      </c>
    </row>
    <row r="655" spans="10:10" x14ac:dyDescent="0.25">
      <c r="J655" s="164" t="str">
        <f>IFERROR(COUNTIF($C$18:C655,C655)&amp;CHOOSE(MIN(4,COUNTIF($C$18:C655,C655)),"st","nd","rd","th"),"")</f>
        <v/>
      </c>
    </row>
    <row r="656" spans="10:10" x14ac:dyDescent="0.25">
      <c r="J656" s="164" t="str">
        <f>IFERROR(COUNTIF($C$18:C656,C656)&amp;CHOOSE(MIN(4,COUNTIF($C$18:C656,C656)),"st","nd","rd","th"),"")</f>
        <v/>
      </c>
    </row>
    <row r="657" spans="10:10" x14ac:dyDescent="0.25">
      <c r="J657" s="164" t="str">
        <f>IFERROR(COUNTIF($C$18:C657,C657)&amp;CHOOSE(MIN(4,COUNTIF($C$18:C657,C657)),"st","nd","rd","th"),"")</f>
        <v/>
      </c>
    </row>
    <row r="658" spans="10:10" x14ac:dyDescent="0.25">
      <c r="J658" s="164" t="str">
        <f>IFERROR(COUNTIF($C$18:C658,C658)&amp;CHOOSE(MIN(4,COUNTIF($C$18:C658,C658)),"st","nd","rd","th"),"")</f>
        <v/>
      </c>
    </row>
    <row r="659" spans="10:10" x14ac:dyDescent="0.25">
      <c r="J659" s="164" t="str">
        <f>IFERROR(COUNTIF($C$18:C659,C659)&amp;CHOOSE(MIN(4,COUNTIF($C$18:C659,C659)),"st","nd","rd","th"),"")</f>
        <v/>
      </c>
    </row>
    <row r="660" spans="10:10" x14ac:dyDescent="0.25">
      <c r="J660" s="164" t="str">
        <f>IFERROR(COUNTIF($C$18:C660,C660)&amp;CHOOSE(MIN(4,COUNTIF($C$18:C660,C660)),"st","nd","rd","th"),"")</f>
        <v/>
      </c>
    </row>
    <row r="661" spans="10:10" x14ac:dyDescent="0.25">
      <c r="J661" s="164" t="str">
        <f>IFERROR(COUNTIF($C$18:C661,C661)&amp;CHOOSE(MIN(4,COUNTIF($C$18:C661,C661)),"st","nd","rd","th"),"")</f>
        <v/>
      </c>
    </row>
    <row r="662" spans="10:10" x14ac:dyDescent="0.25">
      <c r="J662" s="164" t="str">
        <f>IFERROR(COUNTIF($C$18:C662,C662)&amp;CHOOSE(MIN(4,COUNTIF($C$18:C662,C662)),"st","nd","rd","th"),"")</f>
        <v/>
      </c>
    </row>
    <row r="663" spans="10:10" x14ac:dyDescent="0.25">
      <c r="J663" s="164" t="str">
        <f>IFERROR(COUNTIF($C$18:C663,C663)&amp;CHOOSE(MIN(4,COUNTIF($C$18:C663,C663)),"st","nd","rd","th"),"")</f>
        <v/>
      </c>
    </row>
    <row r="664" spans="10:10" x14ac:dyDescent="0.25">
      <c r="J664" s="164" t="str">
        <f>IFERROR(COUNTIF($C$18:C664,C664)&amp;CHOOSE(MIN(4,COUNTIF($C$18:C664,C664)),"st","nd","rd","th"),"")</f>
        <v/>
      </c>
    </row>
    <row r="665" spans="10:10" x14ac:dyDescent="0.25">
      <c r="J665" s="164" t="str">
        <f>IFERROR(COUNTIF($C$18:C665,C665)&amp;CHOOSE(MIN(4,COUNTIF($C$18:C665,C665)),"st","nd","rd","th"),"")</f>
        <v/>
      </c>
    </row>
    <row r="666" spans="10:10" x14ac:dyDescent="0.25">
      <c r="J666" s="164" t="str">
        <f>IFERROR(COUNTIF($C$18:C666,C666)&amp;CHOOSE(MIN(4,COUNTIF($C$18:C666,C666)),"st","nd","rd","th"),"")</f>
        <v/>
      </c>
    </row>
    <row r="667" spans="10:10" x14ac:dyDescent="0.25">
      <c r="J667" s="164" t="str">
        <f>IFERROR(COUNTIF($C$18:C667,C667)&amp;CHOOSE(MIN(4,COUNTIF($C$18:C667,C667)),"st","nd","rd","th"),"")</f>
        <v/>
      </c>
    </row>
    <row r="668" spans="10:10" x14ac:dyDescent="0.25">
      <c r="J668" s="164" t="str">
        <f>IFERROR(COUNTIF($C$18:C668,C668)&amp;CHOOSE(MIN(4,COUNTIF($C$18:C668,C668)),"st","nd","rd","th"),"")</f>
        <v/>
      </c>
    </row>
    <row r="669" spans="10:10" x14ac:dyDescent="0.25">
      <c r="J669" s="164" t="str">
        <f>IFERROR(COUNTIF($C$18:C669,C669)&amp;CHOOSE(MIN(4,COUNTIF($C$18:C669,C669)),"st","nd","rd","th"),"")</f>
        <v/>
      </c>
    </row>
    <row r="670" spans="10:10" x14ac:dyDescent="0.25">
      <c r="J670" s="164" t="str">
        <f>IFERROR(COUNTIF($C$18:C670,C670)&amp;CHOOSE(MIN(4,COUNTIF($C$18:C670,C670)),"st","nd","rd","th"),"")</f>
        <v/>
      </c>
    </row>
    <row r="671" spans="10:10" x14ac:dyDescent="0.25">
      <c r="J671" s="164" t="str">
        <f>IFERROR(COUNTIF($C$18:C671,C671)&amp;CHOOSE(MIN(4,COUNTIF($C$18:C671,C671)),"st","nd","rd","th"),"")</f>
        <v/>
      </c>
    </row>
    <row r="672" spans="10:10" x14ac:dyDescent="0.25">
      <c r="J672" s="164" t="str">
        <f>IFERROR(COUNTIF($C$18:C672,C672)&amp;CHOOSE(MIN(4,COUNTIF($C$18:C672,C672)),"st","nd","rd","th"),"")</f>
        <v/>
      </c>
    </row>
    <row r="673" spans="10:10" x14ac:dyDescent="0.25">
      <c r="J673" s="164" t="str">
        <f>IFERROR(COUNTIF($C$18:C673,C673)&amp;CHOOSE(MIN(4,COUNTIF($C$18:C673,C673)),"st","nd","rd","th"),"")</f>
        <v/>
      </c>
    </row>
    <row r="674" spans="10:10" x14ac:dyDescent="0.25">
      <c r="J674" s="164" t="str">
        <f>IFERROR(COUNTIF($C$18:C674,C674)&amp;CHOOSE(MIN(4,COUNTIF($C$18:C674,C674)),"st","nd","rd","th"),"")</f>
        <v/>
      </c>
    </row>
    <row r="675" spans="10:10" x14ac:dyDescent="0.25">
      <c r="J675" s="164" t="str">
        <f>IFERROR(COUNTIF($C$18:C675,C675)&amp;CHOOSE(MIN(4,COUNTIF($C$18:C675,C675)),"st","nd","rd","th"),"")</f>
        <v/>
      </c>
    </row>
    <row r="676" spans="10:10" x14ac:dyDescent="0.25">
      <c r="J676" s="164" t="str">
        <f>IFERROR(COUNTIF($C$18:C676,C676)&amp;CHOOSE(MIN(4,COUNTIF($C$18:C676,C676)),"st","nd","rd","th"),"")</f>
        <v/>
      </c>
    </row>
    <row r="677" spans="10:10" x14ac:dyDescent="0.25">
      <c r="J677" s="164" t="str">
        <f>IFERROR(COUNTIF($C$18:C677,C677)&amp;CHOOSE(MIN(4,COUNTIF($C$18:C677,C677)),"st","nd","rd","th"),"")</f>
        <v/>
      </c>
    </row>
    <row r="678" spans="10:10" x14ac:dyDescent="0.25">
      <c r="J678" s="164" t="str">
        <f>IFERROR(COUNTIF($C$18:C678,C678)&amp;CHOOSE(MIN(4,COUNTIF($C$18:C678,C678)),"st","nd","rd","th"),"")</f>
        <v/>
      </c>
    </row>
    <row r="679" spans="10:10" x14ac:dyDescent="0.25">
      <c r="J679" s="164" t="str">
        <f>IFERROR(COUNTIF($C$18:C679,C679)&amp;CHOOSE(MIN(4,COUNTIF($C$18:C679,C679)),"st","nd","rd","th"),"")</f>
        <v/>
      </c>
    </row>
    <row r="680" spans="10:10" x14ac:dyDescent="0.25">
      <c r="J680" s="164" t="str">
        <f>IFERROR(COUNTIF($C$18:C680,C680)&amp;CHOOSE(MIN(4,COUNTIF($C$18:C680,C680)),"st","nd","rd","th"),"")</f>
        <v/>
      </c>
    </row>
    <row r="681" spans="10:10" x14ac:dyDescent="0.25">
      <c r="J681" s="164" t="str">
        <f>IFERROR(COUNTIF($C$18:C681,C681)&amp;CHOOSE(MIN(4,COUNTIF($C$18:C681,C681)),"st","nd","rd","th"),"")</f>
        <v/>
      </c>
    </row>
    <row r="682" spans="10:10" x14ac:dyDescent="0.25">
      <c r="J682" s="164" t="str">
        <f>IFERROR(COUNTIF($C$18:C682,C682)&amp;CHOOSE(MIN(4,COUNTIF($C$18:C682,C682)),"st","nd","rd","th"),"")</f>
        <v/>
      </c>
    </row>
    <row r="683" spans="10:10" x14ac:dyDescent="0.25">
      <c r="J683" s="164" t="str">
        <f>IFERROR(COUNTIF($C$18:C683,C683)&amp;CHOOSE(MIN(4,COUNTIF($C$18:C683,C683)),"st","nd","rd","th"),"")</f>
        <v/>
      </c>
    </row>
    <row r="684" spans="10:10" x14ac:dyDescent="0.25">
      <c r="J684" s="164" t="str">
        <f>IFERROR(COUNTIF($C$18:C684,C684)&amp;CHOOSE(MIN(4,COUNTIF($C$18:C684,C684)),"st","nd","rd","th"),"")</f>
        <v/>
      </c>
    </row>
    <row r="685" spans="10:10" x14ac:dyDescent="0.25">
      <c r="J685" s="164" t="str">
        <f>IFERROR(COUNTIF($C$18:C685,C685)&amp;CHOOSE(MIN(4,COUNTIF($C$18:C685,C685)),"st","nd","rd","th"),"")</f>
        <v/>
      </c>
    </row>
    <row r="686" spans="10:10" x14ac:dyDescent="0.25">
      <c r="J686" s="164" t="str">
        <f>IFERROR(COUNTIF($C$18:C686,C686)&amp;CHOOSE(MIN(4,COUNTIF($C$18:C686,C686)),"st","nd","rd","th"),"")</f>
        <v/>
      </c>
    </row>
    <row r="687" spans="10:10" x14ac:dyDescent="0.25">
      <c r="J687" s="164" t="str">
        <f>IFERROR(COUNTIF($C$18:C687,C687)&amp;CHOOSE(MIN(4,COUNTIF($C$18:C687,C687)),"st","nd","rd","th"),"")</f>
        <v/>
      </c>
    </row>
    <row r="688" spans="10:10" x14ac:dyDescent="0.25">
      <c r="J688" s="164" t="str">
        <f>IFERROR(COUNTIF($C$18:C688,C688)&amp;CHOOSE(MIN(4,COUNTIF($C$18:C688,C688)),"st","nd","rd","th"),"")</f>
        <v/>
      </c>
    </row>
    <row r="689" spans="10:10" x14ac:dyDescent="0.25">
      <c r="J689" s="164" t="str">
        <f>IFERROR(COUNTIF($C$18:C689,C689)&amp;CHOOSE(MIN(4,COUNTIF($C$18:C689,C689)),"st","nd","rd","th"),"")</f>
        <v/>
      </c>
    </row>
    <row r="690" spans="10:10" x14ac:dyDescent="0.25">
      <c r="J690" s="164" t="str">
        <f>IFERROR(COUNTIF($C$18:C690,C690)&amp;CHOOSE(MIN(4,COUNTIF($C$18:C690,C690)),"st","nd","rd","th"),"")</f>
        <v/>
      </c>
    </row>
    <row r="691" spans="10:10" x14ac:dyDescent="0.25">
      <c r="J691" s="164" t="str">
        <f>IFERROR(COUNTIF($C$18:C691,C691)&amp;CHOOSE(MIN(4,COUNTIF($C$18:C691,C691)),"st","nd","rd","th"),"")</f>
        <v/>
      </c>
    </row>
    <row r="692" spans="10:10" x14ac:dyDescent="0.25">
      <c r="J692" s="164" t="str">
        <f>IFERROR(COUNTIF($C$18:C692,C692)&amp;CHOOSE(MIN(4,COUNTIF($C$18:C692,C692)),"st","nd","rd","th"),"")</f>
        <v/>
      </c>
    </row>
    <row r="693" spans="10:10" x14ac:dyDescent="0.25">
      <c r="J693" s="164" t="str">
        <f>IFERROR(COUNTIF($C$18:C693,C693)&amp;CHOOSE(MIN(4,COUNTIF($C$18:C693,C693)),"st","nd","rd","th"),"")</f>
        <v/>
      </c>
    </row>
    <row r="694" spans="10:10" x14ac:dyDescent="0.25">
      <c r="J694" s="164" t="str">
        <f>IFERROR(COUNTIF($C$18:C694,C694)&amp;CHOOSE(MIN(4,COUNTIF($C$18:C694,C694)),"st","nd","rd","th"),"")</f>
        <v/>
      </c>
    </row>
    <row r="695" spans="10:10" x14ac:dyDescent="0.25">
      <c r="J695" s="164" t="str">
        <f>IFERROR(COUNTIF($C$18:C695,C695)&amp;CHOOSE(MIN(4,COUNTIF($C$18:C695,C695)),"st","nd","rd","th"),"")</f>
        <v/>
      </c>
    </row>
    <row r="696" spans="10:10" x14ac:dyDescent="0.25">
      <c r="J696" s="164" t="str">
        <f>IFERROR(COUNTIF($C$18:C696,C696)&amp;CHOOSE(MIN(4,COUNTIF($C$18:C696,C696)),"st","nd","rd","th"),"")</f>
        <v/>
      </c>
    </row>
    <row r="697" spans="10:10" x14ac:dyDescent="0.25">
      <c r="J697" s="164" t="str">
        <f>IFERROR(COUNTIF($C$18:C697,C697)&amp;CHOOSE(MIN(4,COUNTIF($C$18:C697,C697)),"st","nd","rd","th"),"")</f>
        <v/>
      </c>
    </row>
    <row r="698" spans="10:10" x14ac:dyDescent="0.25">
      <c r="J698" s="164" t="str">
        <f>IFERROR(COUNTIF($C$18:C698,C698)&amp;CHOOSE(MIN(4,COUNTIF($C$18:C698,C698)),"st","nd","rd","th"),"")</f>
        <v/>
      </c>
    </row>
    <row r="699" spans="10:10" x14ac:dyDescent="0.25">
      <c r="J699" s="164" t="str">
        <f>IFERROR(COUNTIF($C$18:C699,C699)&amp;CHOOSE(MIN(4,COUNTIF($C$18:C699,C699)),"st","nd","rd","th"),"")</f>
        <v/>
      </c>
    </row>
    <row r="700" spans="10:10" x14ac:dyDescent="0.25">
      <c r="J700" s="164" t="str">
        <f>IFERROR(COUNTIF($C$18:C700,C700)&amp;CHOOSE(MIN(4,COUNTIF($C$18:C700,C700)),"st","nd","rd","th"),"")</f>
        <v/>
      </c>
    </row>
    <row r="701" spans="10:10" x14ac:dyDescent="0.25">
      <c r="J701" s="164" t="str">
        <f>IFERROR(COUNTIF($C$18:C701,C701)&amp;CHOOSE(MIN(4,COUNTIF($C$18:C701,C701)),"st","nd","rd","th"),"")</f>
        <v/>
      </c>
    </row>
    <row r="702" spans="10:10" x14ac:dyDescent="0.25">
      <c r="J702" s="164" t="str">
        <f>IFERROR(COUNTIF($C$18:C702,C702)&amp;CHOOSE(MIN(4,COUNTIF($C$18:C702,C702)),"st","nd","rd","th"),"")</f>
        <v/>
      </c>
    </row>
    <row r="703" spans="10:10" x14ac:dyDescent="0.25">
      <c r="J703" s="164" t="str">
        <f>IFERROR(COUNTIF($C$18:C703,C703)&amp;CHOOSE(MIN(4,COUNTIF($C$18:C703,C703)),"st","nd","rd","th"),"")</f>
        <v/>
      </c>
    </row>
    <row r="704" spans="10:10" x14ac:dyDescent="0.25">
      <c r="J704" s="164" t="str">
        <f>IFERROR(COUNTIF($C$18:C704,C704)&amp;CHOOSE(MIN(4,COUNTIF($C$18:C704,C704)),"st","nd","rd","th"),"")</f>
        <v/>
      </c>
    </row>
    <row r="705" spans="10:10" x14ac:dyDescent="0.25">
      <c r="J705" s="164" t="str">
        <f>IFERROR(COUNTIF($C$18:C705,C705)&amp;CHOOSE(MIN(4,COUNTIF($C$18:C705,C705)),"st","nd","rd","th"),"")</f>
        <v/>
      </c>
    </row>
    <row r="706" spans="10:10" x14ac:dyDescent="0.25">
      <c r="J706" s="164" t="str">
        <f>IFERROR(COUNTIF($C$18:C706,C706)&amp;CHOOSE(MIN(4,COUNTIF($C$18:C706,C706)),"st","nd","rd","th"),"")</f>
        <v/>
      </c>
    </row>
    <row r="707" spans="10:10" x14ac:dyDescent="0.25">
      <c r="J707" s="164" t="str">
        <f>IFERROR(COUNTIF($C$18:C707,C707)&amp;CHOOSE(MIN(4,COUNTIF($C$18:C707,C707)),"st","nd","rd","th"),"")</f>
        <v/>
      </c>
    </row>
    <row r="708" spans="10:10" x14ac:dyDescent="0.25">
      <c r="J708" s="164" t="str">
        <f>IFERROR(COUNTIF($C$18:C708,C708)&amp;CHOOSE(MIN(4,COUNTIF($C$18:C708,C708)),"st","nd","rd","th"),"")</f>
        <v/>
      </c>
    </row>
    <row r="709" spans="10:10" x14ac:dyDescent="0.25">
      <c r="J709" s="164" t="str">
        <f>IFERROR(COUNTIF($C$18:C709,C709)&amp;CHOOSE(MIN(4,COUNTIF($C$18:C709,C709)),"st","nd","rd","th"),"")</f>
        <v/>
      </c>
    </row>
    <row r="710" spans="10:10" x14ac:dyDescent="0.25">
      <c r="J710" s="164" t="str">
        <f>IFERROR(COUNTIF($C$18:C710,C710)&amp;CHOOSE(MIN(4,COUNTIF($C$18:C710,C710)),"st","nd","rd","th"),"")</f>
        <v/>
      </c>
    </row>
    <row r="711" spans="10:10" x14ac:dyDescent="0.25">
      <c r="J711" s="164" t="str">
        <f>IFERROR(COUNTIF($C$18:C711,C711)&amp;CHOOSE(MIN(4,COUNTIF($C$18:C711,C711)),"st","nd","rd","th"),"")</f>
        <v/>
      </c>
    </row>
    <row r="712" spans="10:10" x14ac:dyDescent="0.25">
      <c r="J712" s="164" t="str">
        <f>IFERROR(COUNTIF($C$18:C712,C712)&amp;CHOOSE(MIN(4,COUNTIF($C$18:C712,C712)),"st","nd","rd","th"),"")</f>
        <v/>
      </c>
    </row>
    <row r="713" spans="10:10" x14ac:dyDescent="0.25">
      <c r="J713" s="164" t="str">
        <f>IFERROR(COUNTIF($C$18:C713,C713)&amp;CHOOSE(MIN(4,COUNTIF($C$18:C713,C713)),"st","nd","rd","th"),"")</f>
        <v/>
      </c>
    </row>
    <row r="714" spans="10:10" x14ac:dyDescent="0.25">
      <c r="J714" s="164" t="str">
        <f>IFERROR(COUNTIF($C$18:C714,C714)&amp;CHOOSE(MIN(4,COUNTIF($C$18:C714,C714)),"st","nd","rd","th"),"")</f>
        <v/>
      </c>
    </row>
    <row r="715" spans="10:10" x14ac:dyDescent="0.25">
      <c r="J715" s="164" t="str">
        <f>IFERROR(COUNTIF($C$18:C715,C715)&amp;CHOOSE(MIN(4,COUNTIF($C$18:C715,C715)),"st","nd","rd","th"),"")</f>
        <v/>
      </c>
    </row>
    <row r="716" spans="10:10" x14ac:dyDescent="0.25">
      <c r="J716" s="164" t="str">
        <f>IFERROR(COUNTIF($C$18:C716,C716)&amp;CHOOSE(MIN(4,COUNTIF($C$18:C716,C716)),"st","nd","rd","th"),"")</f>
        <v/>
      </c>
    </row>
    <row r="717" spans="10:10" x14ac:dyDescent="0.25">
      <c r="J717" s="164" t="str">
        <f>IFERROR(COUNTIF($C$18:C717,C717)&amp;CHOOSE(MIN(4,COUNTIF($C$18:C717,C717)),"st","nd","rd","th"),"")</f>
        <v/>
      </c>
    </row>
    <row r="718" spans="10:10" x14ac:dyDescent="0.25">
      <c r="J718" s="164" t="str">
        <f>IFERROR(COUNTIF($C$18:C718,C718)&amp;CHOOSE(MIN(4,COUNTIF($C$18:C718,C718)),"st","nd","rd","th"),"")</f>
        <v/>
      </c>
    </row>
    <row r="719" spans="10:10" x14ac:dyDescent="0.25">
      <c r="J719" s="164" t="str">
        <f>IFERROR(COUNTIF($C$18:C719,C719)&amp;CHOOSE(MIN(4,COUNTIF($C$18:C719,C719)),"st","nd","rd","th"),"")</f>
        <v/>
      </c>
    </row>
    <row r="720" spans="10:10" x14ac:dyDescent="0.25">
      <c r="J720" s="164" t="str">
        <f>IFERROR(COUNTIF($C$18:C720,C720)&amp;CHOOSE(MIN(4,COUNTIF($C$18:C720,C720)),"st","nd","rd","th"),"")</f>
        <v/>
      </c>
    </row>
    <row r="721" spans="10:10" x14ac:dyDescent="0.25">
      <c r="J721" s="164" t="str">
        <f>IFERROR(COUNTIF($C$18:C721,C721)&amp;CHOOSE(MIN(4,COUNTIF($C$18:C721,C721)),"st","nd","rd","th"),"")</f>
        <v/>
      </c>
    </row>
    <row r="722" spans="10:10" x14ac:dyDescent="0.25">
      <c r="J722" s="164" t="str">
        <f>IFERROR(COUNTIF($C$18:C722,C722)&amp;CHOOSE(MIN(4,COUNTIF($C$18:C722,C722)),"st","nd","rd","th"),"")</f>
        <v/>
      </c>
    </row>
    <row r="723" spans="10:10" x14ac:dyDescent="0.25">
      <c r="J723" s="164" t="str">
        <f>IFERROR(COUNTIF($C$18:C723,C723)&amp;CHOOSE(MIN(4,COUNTIF($C$18:C723,C723)),"st","nd","rd","th"),"")</f>
        <v/>
      </c>
    </row>
    <row r="724" spans="10:10" x14ac:dyDescent="0.25">
      <c r="J724" s="164" t="str">
        <f>IFERROR(COUNTIF($C$18:C724,C724)&amp;CHOOSE(MIN(4,COUNTIF($C$18:C724,C724)),"st","nd","rd","th"),"")</f>
        <v/>
      </c>
    </row>
    <row r="725" spans="10:10" x14ac:dyDescent="0.25">
      <c r="J725" s="164" t="str">
        <f>IFERROR(COUNTIF($C$18:C725,C725)&amp;CHOOSE(MIN(4,COUNTIF($C$18:C725,C725)),"st","nd","rd","th"),"")</f>
        <v/>
      </c>
    </row>
    <row r="726" spans="10:10" x14ac:dyDescent="0.25">
      <c r="J726" s="164" t="str">
        <f>IFERROR(COUNTIF($C$18:C726,C726)&amp;CHOOSE(MIN(4,COUNTIF($C$18:C726,C726)),"st","nd","rd","th"),"")</f>
        <v/>
      </c>
    </row>
    <row r="727" spans="10:10" x14ac:dyDescent="0.25">
      <c r="J727" s="164" t="str">
        <f>IFERROR(COUNTIF($C$18:C727,C727)&amp;CHOOSE(MIN(4,COUNTIF($C$18:C727,C727)),"st","nd","rd","th"),"")</f>
        <v/>
      </c>
    </row>
    <row r="728" spans="10:10" x14ac:dyDescent="0.25">
      <c r="J728" s="164" t="str">
        <f>IFERROR(COUNTIF($C$18:C728,C728)&amp;CHOOSE(MIN(4,COUNTIF($C$18:C728,C728)),"st","nd","rd","th"),"")</f>
        <v/>
      </c>
    </row>
    <row r="729" spans="10:10" x14ac:dyDescent="0.25">
      <c r="J729" s="164" t="str">
        <f>IFERROR(COUNTIF($C$18:C729,C729)&amp;CHOOSE(MIN(4,COUNTIF($C$18:C729,C729)),"st","nd","rd","th"),"")</f>
        <v/>
      </c>
    </row>
    <row r="730" spans="10:10" x14ac:dyDescent="0.25">
      <c r="J730" s="164" t="str">
        <f>IFERROR(COUNTIF($C$18:C730,C730)&amp;CHOOSE(MIN(4,COUNTIF($C$18:C730,C730)),"st","nd","rd","th"),"")</f>
        <v/>
      </c>
    </row>
    <row r="731" spans="10:10" x14ac:dyDescent="0.25">
      <c r="J731" s="164" t="str">
        <f>IFERROR(COUNTIF($C$18:C731,C731)&amp;CHOOSE(MIN(4,COUNTIF($C$18:C731,C731)),"st","nd","rd","th"),"")</f>
        <v/>
      </c>
    </row>
    <row r="732" spans="10:10" x14ac:dyDescent="0.25">
      <c r="J732" s="164" t="str">
        <f>IFERROR(COUNTIF($C$18:C732,C732)&amp;CHOOSE(MIN(4,COUNTIF($C$18:C732,C732)),"st","nd","rd","th"),"")</f>
        <v/>
      </c>
    </row>
    <row r="733" spans="10:10" x14ac:dyDescent="0.25">
      <c r="J733" s="164" t="str">
        <f>IFERROR(COUNTIF($C$18:C733,C733)&amp;CHOOSE(MIN(4,COUNTIF($C$18:C733,C733)),"st","nd","rd","th"),"")</f>
        <v/>
      </c>
    </row>
    <row r="734" spans="10:10" x14ac:dyDescent="0.25">
      <c r="J734" s="164" t="str">
        <f>IFERROR(COUNTIF($C$18:C734,C734)&amp;CHOOSE(MIN(4,COUNTIF($C$18:C734,C734)),"st","nd","rd","th"),"")</f>
        <v/>
      </c>
    </row>
    <row r="735" spans="10:10" x14ac:dyDescent="0.25">
      <c r="J735" s="164" t="str">
        <f>IFERROR(COUNTIF($C$18:C735,C735)&amp;CHOOSE(MIN(4,COUNTIF($C$18:C735,C735)),"st","nd","rd","th"),"")</f>
        <v/>
      </c>
    </row>
    <row r="736" spans="10:10" x14ac:dyDescent="0.25">
      <c r="J736" s="164" t="str">
        <f>IFERROR(COUNTIF($C$18:C736,C736)&amp;CHOOSE(MIN(4,COUNTIF($C$18:C736,C736)),"st","nd","rd","th"),"")</f>
        <v/>
      </c>
    </row>
    <row r="737" spans="10:10" x14ac:dyDescent="0.25">
      <c r="J737" s="164" t="str">
        <f>IFERROR(COUNTIF($C$18:C737,C737)&amp;CHOOSE(MIN(4,COUNTIF($C$18:C737,C737)),"st","nd","rd","th"),"")</f>
        <v/>
      </c>
    </row>
    <row r="738" spans="10:10" x14ac:dyDescent="0.25">
      <c r="J738" s="164" t="str">
        <f>IFERROR(COUNTIF($C$18:C738,C738)&amp;CHOOSE(MIN(4,COUNTIF($C$18:C738,C738)),"st","nd","rd","th"),"")</f>
        <v/>
      </c>
    </row>
    <row r="739" spans="10:10" x14ac:dyDescent="0.25">
      <c r="J739" s="164" t="str">
        <f>IFERROR(COUNTIF($C$18:C739,C739)&amp;CHOOSE(MIN(4,COUNTIF($C$18:C739,C739)),"st","nd","rd","th"),"")</f>
        <v/>
      </c>
    </row>
    <row r="740" spans="10:10" x14ac:dyDescent="0.25">
      <c r="J740" s="164" t="str">
        <f>IFERROR(COUNTIF($C$18:C740,C740)&amp;CHOOSE(MIN(4,COUNTIF($C$18:C740,C740)),"st","nd","rd","th"),"")</f>
        <v/>
      </c>
    </row>
    <row r="741" spans="10:10" x14ac:dyDescent="0.25">
      <c r="J741" s="164" t="str">
        <f>IFERROR(COUNTIF($C$18:C741,C741)&amp;CHOOSE(MIN(4,COUNTIF($C$18:C741,C741)),"st","nd","rd","th"),"")</f>
        <v/>
      </c>
    </row>
    <row r="742" spans="10:10" x14ac:dyDescent="0.25">
      <c r="J742" s="164" t="str">
        <f>IFERROR(COUNTIF($C$18:C742,C742)&amp;CHOOSE(MIN(4,COUNTIF($C$18:C742,C742)),"st","nd","rd","th"),"")</f>
        <v/>
      </c>
    </row>
    <row r="743" spans="10:10" x14ac:dyDescent="0.25">
      <c r="J743" s="164" t="str">
        <f>IFERROR(COUNTIF($C$18:C743,C743)&amp;CHOOSE(MIN(4,COUNTIF($C$18:C743,C743)),"st","nd","rd","th"),"")</f>
        <v/>
      </c>
    </row>
    <row r="744" spans="10:10" x14ac:dyDescent="0.25">
      <c r="J744" s="164" t="str">
        <f>IFERROR(COUNTIF($C$18:C744,C744)&amp;CHOOSE(MIN(4,COUNTIF($C$18:C744,C744)),"st","nd","rd","th"),"")</f>
        <v/>
      </c>
    </row>
    <row r="745" spans="10:10" x14ac:dyDescent="0.25">
      <c r="J745" s="164" t="str">
        <f>IFERROR(COUNTIF($C$18:C745,C745)&amp;CHOOSE(MIN(4,COUNTIF($C$18:C745,C745)),"st","nd","rd","th"),"")</f>
        <v/>
      </c>
    </row>
    <row r="746" spans="10:10" x14ac:dyDescent="0.25">
      <c r="J746" s="164" t="str">
        <f>IFERROR(COUNTIF($C$18:C746,C746)&amp;CHOOSE(MIN(4,COUNTIF($C$18:C746,C746)),"st","nd","rd","th"),"")</f>
        <v/>
      </c>
    </row>
    <row r="747" spans="10:10" x14ac:dyDescent="0.25">
      <c r="J747" s="164" t="str">
        <f>IFERROR(COUNTIF($C$18:C747,C747)&amp;CHOOSE(MIN(4,COUNTIF($C$18:C747,C747)),"st","nd","rd","th"),"")</f>
        <v/>
      </c>
    </row>
    <row r="748" spans="10:10" x14ac:dyDescent="0.25">
      <c r="J748" s="164" t="str">
        <f>IFERROR(COUNTIF($C$18:C748,C748)&amp;CHOOSE(MIN(4,COUNTIF($C$18:C748,C748)),"st","nd","rd","th"),"")</f>
        <v/>
      </c>
    </row>
    <row r="749" spans="10:10" x14ac:dyDescent="0.25">
      <c r="J749" s="164" t="str">
        <f>IFERROR(COUNTIF($C$18:C749,C749)&amp;CHOOSE(MIN(4,COUNTIF($C$18:C749,C749)),"st","nd","rd","th"),"")</f>
        <v/>
      </c>
    </row>
    <row r="750" spans="10:10" x14ac:dyDescent="0.25">
      <c r="J750" s="164" t="str">
        <f>IFERROR(COUNTIF($C$18:C750,C750)&amp;CHOOSE(MIN(4,COUNTIF($C$18:C750,C750)),"st","nd","rd","th"),"")</f>
        <v/>
      </c>
    </row>
    <row r="751" spans="10:10" x14ac:dyDescent="0.25">
      <c r="J751" s="164" t="str">
        <f>IFERROR(COUNTIF($C$18:C751,C751)&amp;CHOOSE(MIN(4,COUNTIF($C$18:C751,C751)),"st","nd","rd","th"),"")</f>
        <v/>
      </c>
    </row>
    <row r="752" spans="10:10" x14ac:dyDescent="0.25">
      <c r="J752" s="164" t="str">
        <f>IFERROR(COUNTIF($C$18:C752,C752)&amp;CHOOSE(MIN(4,COUNTIF($C$18:C752,C752)),"st","nd","rd","th"),"")</f>
        <v/>
      </c>
    </row>
    <row r="753" spans="10:10" x14ac:dyDescent="0.25">
      <c r="J753" s="164" t="str">
        <f>IFERROR(COUNTIF($C$18:C753,C753)&amp;CHOOSE(MIN(4,COUNTIF($C$18:C753,C753)),"st","nd","rd","th"),"")</f>
        <v/>
      </c>
    </row>
    <row r="754" spans="10:10" x14ac:dyDescent="0.25">
      <c r="J754" s="164" t="str">
        <f>IFERROR(COUNTIF($C$18:C754,C754)&amp;CHOOSE(MIN(4,COUNTIF($C$18:C754,C754)),"st","nd","rd","th"),"")</f>
        <v/>
      </c>
    </row>
    <row r="755" spans="10:10" x14ac:dyDescent="0.25">
      <c r="J755" s="164" t="str">
        <f>IFERROR(COUNTIF($C$18:C755,C755)&amp;CHOOSE(MIN(4,COUNTIF($C$18:C755,C755)),"st","nd","rd","th"),"")</f>
        <v/>
      </c>
    </row>
    <row r="756" spans="10:10" x14ac:dyDescent="0.25">
      <c r="J756" s="164" t="str">
        <f>IFERROR(COUNTIF($C$18:C756,C756)&amp;CHOOSE(MIN(4,COUNTIF($C$18:C756,C756)),"st","nd","rd","th"),"")</f>
        <v/>
      </c>
    </row>
    <row r="757" spans="10:10" x14ac:dyDescent="0.25">
      <c r="J757" s="164" t="str">
        <f>IFERROR(COUNTIF($C$18:C757,C757)&amp;CHOOSE(MIN(4,COUNTIF($C$18:C757,C757)),"st","nd","rd","th"),"")</f>
        <v/>
      </c>
    </row>
    <row r="758" spans="10:10" x14ac:dyDescent="0.25">
      <c r="J758" s="164" t="str">
        <f>IFERROR(COUNTIF($C$18:C758,C758)&amp;CHOOSE(MIN(4,COUNTIF($C$18:C758,C758)),"st","nd","rd","th"),"")</f>
        <v/>
      </c>
    </row>
    <row r="759" spans="10:10" x14ac:dyDescent="0.25">
      <c r="J759" s="164" t="str">
        <f>IFERROR(COUNTIF($C$18:C759,C759)&amp;CHOOSE(MIN(4,COUNTIF($C$18:C759,C759)),"st","nd","rd","th"),"")</f>
        <v/>
      </c>
    </row>
    <row r="760" spans="10:10" x14ac:dyDescent="0.25">
      <c r="J760" s="164" t="str">
        <f>IFERROR(COUNTIF($C$18:C760,C760)&amp;CHOOSE(MIN(4,COUNTIF($C$18:C760,C760)),"st","nd","rd","th"),"")</f>
        <v/>
      </c>
    </row>
    <row r="761" spans="10:10" x14ac:dyDescent="0.25">
      <c r="J761" s="164" t="str">
        <f>IFERROR(COUNTIF($C$18:C761,C761)&amp;CHOOSE(MIN(4,COUNTIF($C$18:C761,C761)),"st","nd","rd","th"),"")</f>
        <v/>
      </c>
    </row>
    <row r="762" spans="10:10" x14ac:dyDescent="0.25">
      <c r="J762" s="164" t="str">
        <f>IFERROR(COUNTIF($C$18:C762,C762)&amp;CHOOSE(MIN(4,COUNTIF($C$18:C762,C762)),"st","nd","rd","th"),"")</f>
        <v/>
      </c>
    </row>
    <row r="763" spans="10:10" x14ac:dyDescent="0.25">
      <c r="J763" s="164" t="str">
        <f>IFERROR(COUNTIF($C$18:C763,C763)&amp;CHOOSE(MIN(4,COUNTIF($C$18:C763,C763)),"st","nd","rd","th"),"")</f>
        <v/>
      </c>
    </row>
    <row r="764" spans="10:10" x14ac:dyDescent="0.25">
      <c r="J764" s="164" t="str">
        <f>IFERROR(COUNTIF($C$18:C764,C764)&amp;CHOOSE(MIN(4,COUNTIF($C$18:C764,C764)),"st","nd","rd","th"),"")</f>
        <v/>
      </c>
    </row>
    <row r="765" spans="10:10" x14ac:dyDescent="0.25">
      <c r="J765" s="164" t="str">
        <f>IFERROR(COUNTIF($C$18:C765,C765)&amp;CHOOSE(MIN(4,COUNTIF($C$18:C765,C765)),"st","nd","rd","th"),"")</f>
        <v/>
      </c>
    </row>
    <row r="766" spans="10:10" x14ac:dyDescent="0.25">
      <c r="J766" s="164" t="str">
        <f>IFERROR(COUNTIF($C$18:C766,C766)&amp;CHOOSE(MIN(4,COUNTIF($C$18:C766,C766)),"st","nd","rd","th"),"")</f>
        <v/>
      </c>
    </row>
    <row r="767" spans="10:10" x14ac:dyDescent="0.25">
      <c r="J767" s="164" t="str">
        <f>IFERROR(COUNTIF($C$18:C767,C767)&amp;CHOOSE(MIN(4,COUNTIF($C$18:C767,C767)),"st","nd","rd","th"),"")</f>
        <v/>
      </c>
    </row>
    <row r="768" spans="10:10" x14ac:dyDescent="0.25">
      <c r="J768" s="164" t="str">
        <f>IFERROR(COUNTIF($C$18:C768,C768)&amp;CHOOSE(MIN(4,COUNTIF($C$18:C768,C768)),"st","nd","rd","th"),"")</f>
        <v/>
      </c>
    </row>
    <row r="769" spans="10:10" x14ac:dyDescent="0.25">
      <c r="J769" s="164" t="str">
        <f>IFERROR(COUNTIF($C$18:C769,C769)&amp;CHOOSE(MIN(4,COUNTIF($C$18:C769,C769)),"st","nd","rd","th"),"")</f>
        <v/>
      </c>
    </row>
    <row r="770" spans="10:10" x14ac:dyDescent="0.25">
      <c r="J770" s="164" t="str">
        <f>IFERROR(COUNTIF($C$18:C770,C770)&amp;CHOOSE(MIN(4,COUNTIF($C$18:C770,C770)),"st","nd","rd","th"),"")</f>
        <v/>
      </c>
    </row>
    <row r="771" spans="10:10" x14ac:dyDescent="0.25">
      <c r="J771" s="164" t="str">
        <f>IFERROR(COUNTIF($C$18:C771,C771)&amp;CHOOSE(MIN(4,COUNTIF($C$18:C771,C771)),"st","nd","rd","th"),"")</f>
        <v/>
      </c>
    </row>
    <row r="772" spans="10:10" x14ac:dyDescent="0.25">
      <c r="J772" s="164" t="str">
        <f>IFERROR(COUNTIF($C$18:C772,C772)&amp;CHOOSE(MIN(4,COUNTIF($C$18:C772,C772)),"st","nd","rd","th"),"")</f>
        <v/>
      </c>
    </row>
    <row r="773" spans="10:10" x14ac:dyDescent="0.25">
      <c r="J773" s="164" t="str">
        <f>IFERROR(COUNTIF($C$18:C773,C773)&amp;CHOOSE(MIN(4,COUNTIF($C$18:C773,C773)),"st","nd","rd","th"),"")</f>
        <v/>
      </c>
    </row>
    <row r="774" spans="10:10" x14ac:dyDescent="0.25">
      <c r="J774" s="164" t="str">
        <f>IFERROR(COUNTIF($C$18:C774,C774)&amp;CHOOSE(MIN(4,COUNTIF($C$18:C774,C774)),"st","nd","rd","th"),"")</f>
        <v/>
      </c>
    </row>
    <row r="775" spans="10:10" x14ac:dyDescent="0.25">
      <c r="J775" s="164" t="str">
        <f>IFERROR(COUNTIF($C$18:C775,C775)&amp;CHOOSE(MIN(4,COUNTIF($C$18:C775,C775)),"st","nd","rd","th"),"")</f>
        <v/>
      </c>
    </row>
    <row r="776" spans="10:10" x14ac:dyDescent="0.25">
      <c r="J776" s="164" t="str">
        <f>IFERROR(COUNTIF($C$18:C776,C776)&amp;CHOOSE(MIN(4,COUNTIF($C$18:C776,C776)),"st","nd","rd","th"),"")</f>
        <v/>
      </c>
    </row>
    <row r="777" spans="10:10" x14ac:dyDescent="0.25">
      <c r="J777" s="164" t="str">
        <f>IFERROR(COUNTIF($C$18:C777,C777)&amp;CHOOSE(MIN(4,COUNTIF($C$18:C777,C777)),"st","nd","rd","th"),"")</f>
        <v/>
      </c>
    </row>
    <row r="778" spans="10:10" x14ac:dyDescent="0.25">
      <c r="J778" s="164" t="str">
        <f>IFERROR(COUNTIF($C$18:C778,C778)&amp;CHOOSE(MIN(4,COUNTIF($C$18:C778,C778)),"st","nd","rd","th"),"")</f>
        <v/>
      </c>
    </row>
    <row r="779" spans="10:10" x14ac:dyDescent="0.25">
      <c r="J779" s="164" t="str">
        <f>IFERROR(COUNTIF($C$18:C779,C779)&amp;CHOOSE(MIN(4,COUNTIF($C$18:C779,C779)),"st","nd","rd","th"),"")</f>
        <v/>
      </c>
    </row>
    <row r="780" spans="10:10" x14ac:dyDescent="0.25">
      <c r="J780" s="164" t="str">
        <f>IFERROR(COUNTIF($C$18:C780,C780)&amp;CHOOSE(MIN(4,COUNTIF($C$18:C780,C780)),"st","nd","rd","th"),"")</f>
        <v/>
      </c>
    </row>
    <row r="781" spans="10:10" x14ac:dyDescent="0.25">
      <c r="J781" s="164" t="str">
        <f>IFERROR(COUNTIF($C$18:C781,C781)&amp;CHOOSE(MIN(4,COUNTIF($C$18:C781,C781)),"st","nd","rd","th"),"")</f>
        <v/>
      </c>
    </row>
    <row r="782" spans="10:10" x14ac:dyDescent="0.25">
      <c r="J782" s="164" t="str">
        <f>IFERROR(COUNTIF($C$18:C782,C782)&amp;CHOOSE(MIN(4,COUNTIF($C$18:C782,C782)),"st","nd","rd","th"),"")</f>
        <v/>
      </c>
    </row>
    <row r="783" spans="10:10" x14ac:dyDescent="0.25">
      <c r="J783" s="164" t="str">
        <f>IFERROR(COUNTIF($C$18:C783,C783)&amp;CHOOSE(MIN(4,COUNTIF($C$18:C783,C783)),"st","nd","rd","th"),"")</f>
        <v/>
      </c>
    </row>
    <row r="784" spans="10:10" x14ac:dyDescent="0.25">
      <c r="J784" s="164" t="str">
        <f>IFERROR(COUNTIF($C$18:C784,C784)&amp;CHOOSE(MIN(4,COUNTIF($C$18:C784,C784)),"st","nd","rd","th"),"")</f>
        <v/>
      </c>
    </row>
    <row r="785" spans="10:10" x14ac:dyDescent="0.25">
      <c r="J785" s="164" t="str">
        <f>IFERROR(COUNTIF($C$18:C785,C785)&amp;CHOOSE(MIN(4,COUNTIF($C$18:C785,C785)),"st","nd","rd","th"),"")</f>
        <v/>
      </c>
    </row>
    <row r="786" spans="10:10" x14ac:dyDescent="0.25">
      <c r="J786" s="164" t="str">
        <f>IFERROR(COUNTIF($C$18:C786,C786)&amp;CHOOSE(MIN(4,COUNTIF($C$18:C786,C786)),"st","nd","rd","th"),"")</f>
        <v/>
      </c>
    </row>
    <row r="787" spans="10:10" x14ac:dyDescent="0.25">
      <c r="J787" s="164" t="str">
        <f>IFERROR(COUNTIF($C$18:C787,C787)&amp;CHOOSE(MIN(4,COUNTIF($C$18:C787,C787)),"st","nd","rd","th"),"")</f>
        <v/>
      </c>
    </row>
    <row r="788" spans="10:10" x14ac:dyDescent="0.25">
      <c r="J788" s="164" t="str">
        <f>IFERROR(COUNTIF($C$18:C788,C788)&amp;CHOOSE(MIN(4,COUNTIF($C$18:C788,C788)),"st","nd","rd","th"),"")</f>
        <v/>
      </c>
    </row>
    <row r="789" spans="10:10" x14ac:dyDescent="0.25">
      <c r="J789" s="164" t="str">
        <f>IFERROR(COUNTIF($C$18:C789,C789)&amp;CHOOSE(MIN(4,COUNTIF($C$18:C789,C789)),"st","nd","rd","th"),"")</f>
        <v/>
      </c>
    </row>
    <row r="790" spans="10:10" x14ac:dyDescent="0.25">
      <c r="J790" s="164" t="str">
        <f>IFERROR(COUNTIF($C$18:C790,C790)&amp;CHOOSE(MIN(4,COUNTIF($C$18:C790,C790)),"st","nd","rd","th"),"")</f>
        <v/>
      </c>
    </row>
    <row r="791" spans="10:10" x14ac:dyDescent="0.25">
      <c r="J791" s="164" t="str">
        <f>IFERROR(COUNTIF($C$18:C791,C791)&amp;CHOOSE(MIN(4,COUNTIF($C$18:C791,C791)),"st","nd","rd","th"),"")</f>
        <v/>
      </c>
    </row>
    <row r="792" spans="10:10" x14ac:dyDescent="0.25">
      <c r="J792" s="164" t="str">
        <f>IFERROR(COUNTIF($C$18:C792,C792)&amp;CHOOSE(MIN(4,COUNTIF($C$18:C792,C792)),"st","nd","rd","th"),"")</f>
        <v/>
      </c>
    </row>
    <row r="793" spans="10:10" x14ac:dyDescent="0.25">
      <c r="J793" s="164" t="str">
        <f>IFERROR(COUNTIF($C$18:C793,C793)&amp;CHOOSE(MIN(4,COUNTIF($C$18:C793,C793)),"st","nd","rd","th"),"")</f>
        <v/>
      </c>
    </row>
    <row r="794" spans="10:10" x14ac:dyDescent="0.25">
      <c r="J794" s="164" t="str">
        <f>IFERROR(COUNTIF($C$18:C794,C794)&amp;CHOOSE(MIN(4,COUNTIF($C$18:C794,C794)),"st","nd","rd","th"),"")</f>
        <v/>
      </c>
    </row>
    <row r="795" spans="10:10" x14ac:dyDescent="0.25">
      <c r="J795" s="164" t="str">
        <f>IFERROR(COUNTIF($C$18:C795,C795)&amp;CHOOSE(MIN(4,COUNTIF($C$18:C795,C795)),"st","nd","rd","th"),"")</f>
        <v/>
      </c>
    </row>
    <row r="796" spans="10:10" x14ac:dyDescent="0.25">
      <c r="J796" s="164" t="str">
        <f>IFERROR(COUNTIF($C$18:C796,C796)&amp;CHOOSE(MIN(4,COUNTIF($C$18:C796,C796)),"st","nd","rd","th"),"")</f>
        <v/>
      </c>
    </row>
    <row r="797" spans="10:10" x14ac:dyDescent="0.25">
      <c r="J797" s="164" t="str">
        <f>IFERROR(COUNTIF($C$18:C797,C797)&amp;CHOOSE(MIN(4,COUNTIF($C$18:C797,C797)),"st","nd","rd","th"),"")</f>
        <v/>
      </c>
    </row>
    <row r="798" spans="10:10" x14ac:dyDescent="0.25">
      <c r="J798" s="164" t="str">
        <f>IFERROR(COUNTIF($C$18:C798,C798)&amp;CHOOSE(MIN(4,COUNTIF($C$18:C798,C798)),"st","nd","rd","th"),"")</f>
        <v/>
      </c>
    </row>
    <row r="799" spans="10:10" x14ac:dyDescent="0.25">
      <c r="J799" s="164" t="str">
        <f>IFERROR(COUNTIF($C$18:C799,C799)&amp;CHOOSE(MIN(4,COUNTIF($C$18:C799,C799)),"st","nd","rd","th"),"")</f>
        <v/>
      </c>
    </row>
    <row r="800" spans="10:10" x14ac:dyDescent="0.25">
      <c r="J800" s="164" t="str">
        <f>IFERROR(COUNTIF($C$18:C800,C800)&amp;CHOOSE(MIN(4,COUNTIF($C$18:C800,C800)),"st","nd","rd","th"),"")</f>
        <v/>
      </c>
    </row>
    <row r="801" spans="10:10" x14ac:dyDescent="0.25">
      <c r="J801" s="164" t="str">
        <f>IFERROR(COUNTIF($C$18:C801,C801)&amp;CHOOSE(MIN(4,COUNTIF($C$18:C801,C801)),"st","nd","rd","th"),"")</f>
        <v/>
      </c>
    </row>
    <row r="802" spans="10:10" x14ac:dyDescent="0.25">
      <c r="J802" s="164" t="str">
        <f>IFERROR(COUNTIF($C$18:C802,C802)&amp;CHOOSE(MIN(4,COUNTIF($C$18:C802,C802)),"st","nd","rd","th"),"")</f>
        <v/>
      </c>
    </row>
    <row r="803" spans="10:10" x14ac:dyDescent="0.25">
      <c r="J803" s="164" t="str">
        <f>IFERROR(COUNTIF($C$18:C803,C803)&amp;CHOOSE(MIN(4,COUNTIF($C$18:C803,C803)),"st","nd","rd","th"),"")</f>
        <v/>
      </c>
    </row>
    <row r="804" spans="10:10" x14ac:dyDescent="0.25">
      <c r="J804" s="164" t="str">
        <f>IFERROR(COUNTIF($C$18:C804,C804)&amp;CHOOSE(MIN(4,COUNTIF($C$18:C804,C804)),"st","nd","rd","th"),"")</f>
        <v/>
      </c>
    </row>
    <row r="805" spans="10:10" x14ac:dyDescent="0.25">
      <c r="J805" s="164" t="str">
        <f>IFERROR(COUNTIF($C$18:C805,C805)&amp;CHOOSE(MIN(4,COUNTIF($C$18:C805,C805)),"st","nd","rd","th"),"")</f>
        <v/>
      </c>
    </row>
    <row r="806" spans="10:10" x14ac:dyDescent="0.25">
      <c r="J806" s="164" t="str">
        <f>IFERROR(COUNTIF($C$18:C806,C806)&amp;CHOOSE(MIN(4,COUNTIF($C$18:C806,C806)),"st","nd","rd","th"),"")</f>
        <v/>
      </c>
    </row>
    <row r="807" spans="10:10" x14ac:dyDescent="0.25">
      <c r="J807" s="164" t="str">
        <f>IFERROR(COUNTIF($C$18:C807,C807)&amp;CHOOSE(MIN(4,COUNTIF($C$18:C807,C807)),"st","nd","rd","th"),"")</f>
        <v/>
      </c>
    </row>
    <row r="808" spans="10:10" x14ac:dyDescent="0.25">
      <c r="J808" s="164" t="str">
        <f>IFERROR(COUNTIF($C$18:C808,C808)&amp;CHOOSE(MIN(4,COUNTIF($C$18:C808,C808)),"st","nd","rd","th"),"")</f>
        <v/>
      </c>
    </row>
    <row r="809" spans="10:10" x14ac:dyDescent="0.25">
      <c r="J809" s="164" t="str">
        <f>IFERROR(COUNTIF($C$18:C809,C809)&amp;CHOOSE(MIN(4,COUNTIF($C$18:C809,C809)),"st","nd","rd","th"),"")</f>
        <v/>
      </c>
    </row>
    <row r="810" spans="10:10" x14ac:dyDescent="0.25">
      <c r="J810" s="164" t="str">
        <f>IFERROR(COUNTIF($C$18:C810,C810)&amp;CHOOSE(MIN(4,COUNTIF($C$18:C810,C810)),"st","nd","rd","th"),"")</f>
        <v/>
      </c>
    </row>
    <row r="811" spans="10:10" x14ac:dyDescent="0.25">
      <c r="J811" s="164" t="str">
        <f>IFERROR(COUNTIF($C$18:C811,C811)&amp;CHOOSE(MIN(4,COUNTIF($C$18:C811,C811)),"st","nd","rd","th"),"")</f>
        <v/>
      </c>
    </row>
    <row r="812" spans="10:10" x14ac:dyDescent="0.25">
      <c r="J812" s="164" t="str">
        <f>IFERROR(COUNTIF($C$18:C812,C812)&amp;CHOOSE(MIN(4,COUNTIF($C$18:C812,C812)),"st","nd","rd","th"),"")</f>
        <v/>
      </c>
    </row>
    <row r="813" spans="10:10" x14ac:dyDescent="0.25">
      <c r="J813" s="164" t="str">
        <f>IFERROR(COUNTIF($C$18:C813,C813)&amp;CHOOSE(MIN(4,COUNTIF($C$18:C813,C813)),"st","nd","rd","th"),"")</f>
        <v/>
      </c>
    </row>
    <row r="814" spans="10:10" x14ac:dyDescent="0.25">
      <c r="J814" s="164" t="str">
        <f>IFERROR(COUNTIF($C$18:C814,C814)&amp;CHOOSE(MIN(4,COUNTIF($C$18:C814,C814)),"st","nd","rd","th"),"")</f>
        <v/>
      </c>
    </row>
    <row r="815" spans="10:10" x14ac:dyDescent="0.25">
      <c r="J815" s="164" t="str">
        <f>IFERROR(COUNTIF($C$18:C815,C815)&amp;CHOOSE(MIN(4,COUNTIF($C$18:C815,C815)),"st","nd","rd","th"),"")</f>
        <v/>
      </c>
    </row>
    <row r="816" spans="10:10" x14ac:dyDescent="0.25">
      <c r="J816" s="164" t="str">
        <f>IFERROR(COUNTIF($C$18:C816,C816)&amp;CHOOSE(MIN(4,COUNTIF($C$18:C816,C816)),"st","nd","rd","th"),"")</f>
        <v/>
      </c>
    </row>
    <row r="817" spans="10:10" x14ac:dyDescent="0.25">
      <c r="J817" s="164" t="str">
        <f>IFERROR(COUNTIF($C$18:C817,C817)&amp;CHOOSE(MIN(4,COUNTIF($C$18:C817,C817)),"st","nd","rd","th"),"")</f>
        <v/>
      </c>
    </row>
    <row r="818" spans="10:10" x14ac:dyDescent="0.25">
      <c r="J818" s="164" t="str">
        <f>IFERROR(COUNTIF($C$18:C818,C818)&amp;CHOOSE(MIN(4,COUNTIF($C$18:C818,C818)),"st","nd","rd","th"),"")</f>
        <v/>
      </c>
    </row>
    <row r="819" spans="10:10" x14ac:dyDescent="0.25">
      <c r="J819" s="164" t="str">
        <f>IFERROR(COUNTIF($C$18:C819,C819)&amp;CHOOSE(MIN(4,COUNTIF($C$18:C819,C819)),"st","nd","rd","th"),"")</f>
        <v/>
      </c>
    </row>
    <row r="820" spans="10:10" x14ac:dyDescent="0.25">
      <c r="J820" s="164" t="str">
        <f>IFERROR(COUNTIF($C$18:C820,C820)&amp;CHOOSE(MIN(4,COUNTIF($C$18:C820,C820)),"st","nd","rd","th"),"")</f>
        <v/>
      </c>
    </row>
    <row r="821" spans="10:10" x14ac:dyDescent="0.25">
      <c r="J821" s="164" t="str">
        <f>IFERROR(COUNTIF($C$18:C821,C821)&amp;CHOOSE(MIN(4,COUNTIF($C$18:C821,C821)),"st","nd","rd","th"),"")</f>
        <v/>
      </c>
    </row>
    <row r="822" spans="10:10" x14ac:dyDescent="0.25">
      <c r="J822" s="164" t="str">
        <f>IFERROR(COUNTIF($C$18:C822,C822)&amp;CHOOSE(MIN(4,COUNTIF($C$18:C822,C822)),"st","nd","rd","th"),"")</f>
        <v/>
      </c>
    </row>
    <row r="823" spans="10:10" x14ac:dyDescent="0.25">
      <c r="J823" s="164" t="str">
        <f>IFERROR(COUNTIF($C$18:C823,C823)&amp;CHOOSE(MIN(4,COUNTIF($C$18:C823,C823)),"st","nd","rd","th"),"")</f>
        <v/>
      </c>
    </row>
    <row r="824" spans="10:10" x14ac:dyDescent="0.25">
      <c r="J824" s="164" t="str">
        <f>IFERROR(COUNTIF($C$18:C824,C824)&amp;CHOOSE(MIN(4,COUNTIF($C$18:C824,C824)),"st","nd","rd","th"),"")</f>
        <v/>
      </c>
    </row>
    <row r="825" spans="10:10" x14ac:dyDescent="0.25">
      <c r="J825" s="164" t="str">
        <f>IFERROR(COUNTIF($C$18:C825,C825)&amp;CHOOSE(MIN(4,COUNTIF($C$18:C825,C825)),"st","nd","rd","th"),"")</f>
        <v/>
      </c>
    </row>
    <row r="826" spans="10:10" x14ac:dyDescent="0.25">
      <c r="J826" s="164" t="str">
        <f>IFERROR(COUNTIF($C$18:C826,C826)&amp;CHOOSE(MIN(4,COUNTIF($C$18:C826,C826)),"st","nd","rd","th"),"")</f>
        <v/>
      </c>
    </row>
    <row r="827" spans="10:10" x14ac:dyDescent="0.25">
      <c r="J827" s="164" t="str">
        <f>IFERROR(COUNTIF($C$18:C827,C827)&amp;CHOOSE(MIN(4,COUNTIF($C$18:C827,C827)),"st","nd","rd","th"),"")</f>
        <v/>
      </c>
    </row>
    <row r="828" spans="10:10" x14ac:dyDescent="0.25">
      <c r="J828" s="164" t="str">
        <f>IFERROR(COUNTIF($C$18:C828,C828)&amp;CHOOSE(MIN(4,COUNTIF($C$18:C828,C828)),"st","nd","rd","th"),"")</f>
        <v/>
      </c>
    </row>
    <row r="829" spans="10:10" x14ac:dyDescent="0.25">
      <c r="J829" s="164" t="str">
        <f>IFERROR(COUNTIF($C$18:C829,C829)&amp;CHOOSE(MIN(4,COUNTIF($C$18:C829,C829)),"st","nd","rd","th"),"")</f>
        <v/>
      </c>
    </row>
    <row r="830" spans="10:10" x14ac:dyDescent="0.25">
      <c r="J830" s="164" t="str">
        <f>IFERROR(COUNTIF($C$18:C830,C830)&amp;CHOOSE(MIN(4,COUNTIF($C$18:C830,C830)),"st","nd","rd","th"),"")</f>
        <v/>
      </c>
    </row>
    <row r="831" spans="10:10" x14ac:dyDescent="0.25">
      <c r="J831" s="164" t="str">
        <f>IFERROR(COUNTIF($C$18:C831,C831)&amp;CHOOSE(MIN(4,COUNTIF($C$18:C831,C831)),"st","nd","rd","th"),"")</f>
        <v/>
      </c>
    </row>
    <row r="832" spans="10:10" x14ac:dyDescent="0.25">
      <c r="J832" s="164" t="str">
        <f>IFERROR(COUNTIF($C$18:C832,C832)&amp;CHOOSE(MIN(4,COUNTIF($C$18:C832,C832)),"st","nd","rd","th"),"")</f>
        <v/>
      </c>
    </row>
    <row r="833" spans="10:10" x14ac:dyDescent="0.25">
      <c r="J833" s="164" t="str">
        <f>IFERROR(COUNTIF($C$18:C833,C833)&amp;CHOOSE(MIN(4,COUNTIF($C$18:C833,C833)),"st","nd","rd","th"),"")</f>
        <v/>
      </c>
    </row>
    <row r="834" spans="10:10" x14ac:dyDescent="0.25">
      <c r="J834" s="164" t="str">
        <f>IFERROR(COUNTIF($C$18:C834,C834)&amp;CHOOSE(MIN(4,COUNTIF($C$18:C834,C834)),"st","nd","rd","th"),"")</f>
        <v/>
      </c>
    </row>
    <row r="835" spans="10:10" x14ac:dyDescent="0.25">
      <c r="J835" s="164" t="str">
        <f>IFERROR(COUNTIF($C$18:C835,C835)&amp;CHOOSE(MIN(4,COUNTIF($C$18:C835,C835)),"st","nd","rd","th"),"")</f>
        <v/>
      </c>
    </row>
    <row r="836" spans="10:10" x14ac:dyDescent="0.25">
      <c r="J836" s="164" t="str">
        <f>IFERROR(COUNTIF($C$18:C836,C836)&amp;CHOOSE(MIN(4,COUNTIF($C$18:C836,C836)),"st","nd","rd","th"),"")</f>
        <v/>
      </c>
    </row>
    <row r="837" spans="10:10" x14ac:dyDescent="0.25">
      <c r="J837" s="164" t="str">
        <f>IFERROR(COUNTIF($C$18:C837,C837)&amp;CHOOSE(MIN(4,COUNTIF($C$18:C837,C837)),"st","nd","rd","th"),"")</f>
        <v/>
      </c>
    </row>
    <row r="838" spans="10:10" x14ac:dyDescent="0.25">
      <c r="J838" s="164" t="str">
        <f>IFERROR(COUNTIF($C$18:C838,C838)&amp;CHOOSE(MIN(4,COUNTIF($C$18:C838,C838)),"st","nd","rd","th"),"")</f>
        <v/>
      </c>
    </row>
    <row r="839" spans="10:10" x14ac:dyDescent="0.25">
      <c r="J839" s="164" t="str">
        <f>IFERROR(COUNTIF($C$18:C839,C839)&amp;CHOOSE(MIN(4,COUNTIF($C$18:C839,C839)),"st","nd","rd","th"),"")</f>
        <v/>
      </c>
    </row>
    <row r="840" spans="10:10" x14ac:dyDescent="0.25">
      <c r="J840" s="164" t="str">
        <f>IFERROR(COUNTIF($C$18:C840,C840)&amp;CHOOSE(MIN(4,COUNTIF($C$18:C840,C840)),"st","nd","rd","th"),"")</f>
        <v/>
      </c>
    </row>
    <row r="841" spans="10:10" x14ac:dyDescent="0.25">
      <c r="J841" s="164" t="str">
        <f>IFERROR(COUNTIF($C$18:C841,C841)&amp;CHOOSE(MIN(4,COUNTIF($C$18:C841,C841)),"st","nd","rd","th"),"")</f>
        <v/>
      </c>
    </row>
    <row r="842" spans="10:10" x14ac:dyDescent="0.25">
      <c r="J842" s="164" t="str">
        <f>IFERROR(COUNTIF($C$18:C842,C842)&amp;CHOOSE(MIN(4,COUNTIF($C$18:C842,C842)),"st","nd","rd","th"),"")</f>
        <v/>
      </c>
    </row>
    <row r="843" spans="10:10" x14ac:dyDescent="0.25">
      <c r="J843" s="164" t="str">
        <f>IFERROR(COUNTIF($C$18:C843,C843)&amp;CHOOSE(MIN(4,COUNTIF($C$18:C843,C843)),"st","nd","rd","th"),"")</f>
        <v/>
      </c>
    </row>
    <row r="844" spans="10:10" x14ac:dyDescent="0.25">
      <c r="J844" s="164" t="str">
        <f>IFERROR(COUNTIF($C$18:C844,C844)&amp;CHOOSE(MIN(4,COUNTIF($C$18:C844,C844)),"st","nd","rd","th"),"")</f>
        <v/>
      </c>
    </row>
    <row r="845" spans="10:10" x14ac:dyDescent="0.25">
      <c r="J845" s="164" t="str">
        <f>IFERROR(COUNTIF($C$18:C845,C845)&amp;CHOOSE(MIN(4,COUNTIF($C$18:C845,C845)),"st","nd","rd","th"),"")</f>
        <v/>
      </c>
    </row>
    <row r="846" spans="10:10" x14ac:dyDescent="0.25">
      <c r="J846" s="164" t="str">
        <f>IFERROR(COUNTIF($C$18:C846,C846)&amp;CHOOSE(MIN(4,COUNTIF($C$18:C846,C846)),"st","nd","rd","th"),"")</f>
        <v/>
      </c>
    </row>
    <row r="847" spans="10:10" x14ac:dyDescent="0.25">
      <c r="J847" s="164" t="str">
        <f>IFERROR(COUNTIF($C$18:C847,C847)&amp;CHOOSE(MIN(4,COUNTIF($C$18:C847,C847)),"st","nd","rd","th"),"")</f>
        <v/>
      </c>
    </row>
    <row r="848" spans="10:10" x14ac:dyDescent="0.25">
      <c r="J848" s="164" t="str">
        <f>IFERROR(COUNTIF($C$18:C848,C848)&amp;CHOOSE(MIN(4,COUNTIF($C$18:C848,C848)),"st","nd","rd","th"),"")</f>
        <v/>
      </c>
    </row>
    <row r="849" spans="10:10" x14ac:dyDescent="0.25">
      <c r="J849" s="164" t="str">
        <f>IFERROR(COUNTIF($C$18:C849,C849)&amp;CHOOSE(MIN(4,COUNTIF($C$18:C849,C849)),"st","nd","rd","th"),"")</f>
        <v/>
      </c>
    </row>
    <row r="850" spans="10:10" x14ac:dyDescent="0.25">
      <c r="J850" s="164" t="str">
        <f>IFERROR(COUNTIF($C$18:C850,C850)&amp;CHOOSE(MIN(4,COUNTIF($C$18:C850,C850)),"st","nd","rd","th"),"")</f>
        <v/>
      </c>
    </row>
    <row r="851" spans="10:10" x14ac:dyDescent="0.25">
      <c r="J851" s="164" t="str">
        <f>IFERROR(COUNTIF($C$18:C851,C851)&amp;CHOOSE(MIN(4,COUNTIF($C$18:C851,C851)),"st","nd","rd","th"),"")</f>
        <v/>
      </c>
    </row>
    <row r="852" spans="10:10" x14ac:dyDescent="0.25">
      <c r="J852" s="164" t="str">
        <f>IFERROR(COUNTIF($C$18:C852,C852)&amp;CHOOSE(MIN(4,COUNTIF($C$18:C852,C852)),"st","nd","rd","th"),"")</f>
        <v/>
      </c>
    </row>
    <row r="853" spans="10:10" x14ac:dyDescent="0.25">
      <c r="J853" s="164" t="str">
        <f>IFERROR(COUNTIF($C$18:C853,C853)&amp;CHOOSE(MIN(4,COUNTIF($C$18:C853,C853)),"st","nd","rd","th"),"")</f>
        <v/>
      </c>
    </row>
    <row r="854" spans="10:10" x14ac:dyDescent="0.25">
      <c r="J854" s="164" t="str">
        <f>IFERROR(COUNTIF($C$18:C854,C854)&amp;CHOOSE(MIN(4,COUNTIF($C$18:C854,C854)),"st","nd","rd","th"),"")</f>
        <v/>
      </c>
    </row>
    <row r="855" spans="10:10" x14ac:dyDescent="0.25">
      <c r="J855" s="164" t="str">
        <f>IFERROR(COUNTIF($C$18:C855,C855)&amp;CHOOSE(MIN(4,COUNTIF($C$18:C855,C855)),"st","nd","rd","th"),"")</f>
        <v/>
      </c>
    </row>
    <row r="856" spans="10:10" x14ac:dyDescent="0.25">
      <c r="J856" s="164" t="str">
        <f>IFERROR(COUNTIF($C$18:C856,C856)&amp;CHOOSE(MIN(4,COUNTIF($C$18:C856,C856)),"st","nd","rd","th"),"")</f>
        <v/>
      </c>
    </row>
    <row r="857" spans="10:10" x14ac:dyDescent="0.25">
      <c r="J857" s="164" t="str">
        <f>IFERROR(COUNTIF($C$18:C857,C857)&amp;CHOOSE(MIN(4,COUNTIF($C$18:C857,C857)),"st","nd","rd","th"),"")</f>
        <v/>
      </c>
    </row>
    <row r="858" spans="10:10" x14ac:dyDescent="0.25">
      <c r="J858" s="164" t="str">
        <f>IFERROR(COUNTIF($C$18:C858,C858)&amp;CHOOSE(MIN(4,COUNTIF($C$18:C858,C858)),"st","nd","rd","th"),"")</f>
        <v/>
      </c>
    </row>
    <row r="859" spans="10:10" x14ac:dyDescent="0.25">
      <c r="J859" s="164" t="str">
        <f>IFERROR(COUNTIF($C$18:C859,C859)&amp;CHOOSE(MIN(4,COUNTIF($C$18:C859,C859)),"st","nd","rd","th"),"")</f>
        <v/>
      </c>
    </row>
    <row r="860" spans="10:10" x14ac:dyDescent="0.25">
      <c r="J860" s="164" t="str">
        <f>IFERROR(COUNTIF($C$18:C860,C860)&amp;CHOOSE(MIN(4,COUNTIF($C$18:C860,C860)),"st","nd","rd","th"),"")</f>
        <v/>
      </c>
    </row>
    <row r="861" spans="10:10" x14ac:dyDescent="0.25">
      <c r="J861" s="164" t="str">
        <f>IFERROR(COUNTIF($C$18:C861,C861)&amp;CHOOSE(MIN(4,COUNTIF($C$18:C861,C861)),"st","nd","rd","th"),"")</f>
        <v/>
      </c>
    </row>
    <row r="862" spans="10:10" x14ac:dyDescent="0.25">
      <c r="J862" s="164" t="str">
        <f>IFERROR(COUNTIF($C$18:C862,C862)&amp;CHOOSE(MIN(4,COUNTIF($C$18:C862,C862)),"st","nd","rd","th"),"")</f>
        <v/>
      </c>
    </row>
    <row r="863" spans="10:10" x14ac:dyDescent="0.25">
      <c r="J863" s="164" t="str">
        <f>IFERROR(COUNTIF($C$18:C863,C863)&amp;CHOOSE(MIN(4,COUNTIF($C$18:C863,C863)),"st","nd","rd","th"),"")</f>
        <v/>
      </c>
    </row>
    <row r="864" spans="10:10" x14ac:dyDescent="0.25">
      <c r="J864" s="164" t="str">
        <f>IFERROR(COUNTIF($C$18:C864,C864)&amp;CHOOSE(MIN(4,COUNTIF($C$18:C864,C864)),"st","nd","rd","th"),"")</f>
        <v/>
      </c>
    </row>
    <row r="865" spans="10:10" x14ac:dyDescent="0.25">
      <c r="J865" s="164" t="str">
        <f>IFERROR(COUNTIF($C$18:C865,C865)&amp;CHOOSE(MIN(4,COUNTIF($C$18:C865,C865)),"st","nd","rd","th"),"")</f>
        <v/>
      </c>
    </row>
    <row r="866" spans="10:10" x14ac:dyDescent="0.25">
      <c r="J866" s="164" t="str">
        <f>IFERROR(COUNTIF($C$18:C866,C866)&amp;CHOOSE(MIN(4,COUNTIF($C$18:C866,C866)),"st","nd","rd","th"),"")</f>
        <v/>
      </c>
    </row>
    <row r="867" spans="10:10" x14ac:dyDescent="0.25">
      <c r="J867" s="164" t="str">
        <f>IFERROR(COUNTIF($C$18:C867,C867)&amp;CHOOSE(MIN(4,COUNTIF($C$18:C867,C867)),"st","nd","rd","th"),"")</f>
        <v/>
      </c>
    </row>
    <row r="868" spans="10:10" x14ac:dyDescent="0.25">
      <c r="J868" s="164" t="str">
        <f>IFERROR(COUNTIF($C$18:C868,C868)&amp;CHOOSE(MIN(4,COUNTIF($C$18:C868,C868)),"st","nd","rd","th"),"")</f>
        <v/>
      </c>
    </row>
    <row r="869" spans="10:10" x14ac:dyDescent="0.25">
      <c r="J869" s="164" t="str">
        <f>IFERROR(COUNTIF($C$18:C869,C869)&amp;CHOOSE(MIN(4,COUNTIF($C$18:C869,C869)),"st","nd","rd","th"),"")</f>
        <v/>
      </c>
    </row>
    <row r="870" spans="10:10" x14ac:dyDescent="0.25">
      <c r="J870" s="164" t="str">
        <f>IFERROR(COUNTIF($C$18:C870,C870)&amp;CHOOSE(MIN(4,COUNTIF($C$18:C870,C870)),"st","nd","rd","th"),"")</f>
        <v/>
      </c>
    </row>
    <row r="871" spans="10:10" x14ac:dyDescent="0.25">
      <c r="J871" s="164" t="str">
        <f>IFERROR(COUNTIF($C$18:C871,C871)&amp;CHOOSE(MIN(4,COUNTIF($C$18:C871,C871)),"st","nd","rd","th"),"")</f>
        <v/>
      </c>
    </row>
    <row r="872" spans="10:10" x14ac:dyDescent="0.25">
      <c r="J872" s="164" t="str">
        <f>IFERROR(COUNTIF($C$18:C872,C872)&amp;CHOOSE(MIN(4,COUNTIF($C$18:C872,C872)),"st","nd","rd","th"),"")</f>
        <v/>
      </c>
    </row>
    <row r="873" spans="10:10" x14ac:dyDescent="0.25">
      <c r="J873" s="164" t="str">
        <f>IFERROR(COUNTIF($C$18:C873,C873)&amp;CHOOSE(MIN(4,COUNTIF($C$18:C873,C873)),"st","nd","rd","th"),"")</f>
        <v/>
      </c>
    </row>
    <row r="874" spans="10:10" x14ac:dyDescent="0.25">
      <c r="J874" s="164" t="str">
        <f>IFERROR(COUNTIF($C$18:C874,C874)&amp;CHOOSE(MIN(4,COUNTIF($C$18:C874,C874)),"st","nd","rd","th"),"")</f>
        <v/>
      </c>
    </row>
    <row r="875" spans="10:10" x14ac:dyDescent="0.25">
      <c r="J875" s="164" t="str">
        <f>IFERROR(COUNTIF($C$18:C875,C875)&amp;CHOOSE(MIN(4,COUNTIF($C$18:C875,C875)),"st","nd","rd","th"),"")</f>
        <v/>
      </c>
    </row>
    <row r="876" spans="10:10" x14ac:dyDescent="0.25">
      <c r="J876" s="164" t="str">
        <f>IFERROR(COUNTIF($C$18:C876,C876)&amp;CHOOSE(MIN(4,COUNTIF($C$18:C876,C876)),"st","nd","rd","th"),"")</f>
        <v/>
      </c>
    </row>
    <row r="877" spans="10:10" x14ac:dyDescent="0.25">
      <c r="J877" s="164" t="str">
        <f>IFERROR(COUNTIF($C$18:C877,C877)&amp;CHOOSE(MIN(4,COUNTIF($C$18:C877,C877)),"st","nd","rd","th"),"")</f>
        <v/>
      </c>
    </row>
    <row r="878" spans="10:10" x14ac:dyDescent="0.25">
      <c r="J878" s="164" t="str">
        <f>IFERROR(COUNTIF($C$18:C878,C878)&amp;CHOOSE(MIN(4,COUNTIF($C$18:C878,C878)),"st","nd","rd","th"),"")</f>
        <v/>
      </c>
    </row>
    <row r="879" spans="10:10" x14ac:dyDescent="0.25">
      <c r="J879" s="164" t="str">
        <f>IFERROR(COUNTIF($C$18:C879,C879)&amp;CHOOSE(MIN(4,COUNTIF($C$18:C879,C879)),"st","nd","rd","th"),"")</f>
        <v/>
      </c>
    </row>
    <row r="880" spans="10:10" x14ac:dyDescent="0.25">
      <c r="J880" s="164" t="str">
        <f>IFERROR(COUNTIF($C$18:C880,C880)&amp;CHOOSE(MIN(4,COUNTIF($C$18:C880,C880)),"st","nd","rd","th"),"")</f>
        <v/>
      </c>
    </row>
    <row r="881" spans="10:10" x14ac:dyDescent="0.25">
      <c r="J881" s="164" t="str">
        <f>IFERROR(COUNTIF($C$18:C881,C881)&amp;CHOOSE(MIN(4,COUNTIF($C$18:C881,C881)),"st","nd","rd","th"),"")</f>
        <v/>
      </c>
    </row>
    <row r="882" spans="10:10" x14ac:dyDescent="0.25">
      <c r="J882" s="164" t="str">
        <f>IFERROR(COUNTIF($C$18:C882,C882)&amp;CHOOSE(MIN(4,COUNTIF($C$18:C882,C882)),"st","nd","rd","th"),"")</f>
        <v/>
      </c>
    </row>
    <row r="883" spans="10:10" x14ac:dyDescent="0.25">
      <c r="J883" s="164" t="str">
        <f>IFERROR(COUNTIF($C$18:C883,C883)&amp;CHOOSE(MIN(4,COUNTIF($C$18:C883,C883)),"st","nd","rd","th"),"")</f>
        <v/>
      </c>
    </row>
    <row r="884" spans="10:10" x14ac:dyDescent="0.25">
      <c r="J884" s="164" t="str">
        <f>IFERROR(COUNTIF($C$18:C884,C884)&amp;CHOOSE(MIN(4,COUNTIF($C$18:C884,C884)),"st","nd","rd","th"),"")</f>
        <v/>
      </c>
    </row>
    <row r="885" spans="10:10" x14ac:dyDescent="0.25">
      <c r="J885" s="164" t="str">
        <f>IFERROR(COUNTIF($C$18:C885,C885)&amp;CHOOSE(MIN(4,COUNTIF($C$18:C885,C885)),"st","nd","rd","th"),"")</f>
        <v/>
      </c>
    </row>
    <row r="886" spans="10:10" x14ac:dyDescent="0.25">
      <c r="J886" s="164" t="str">
        <f>IFERROR(COUNTIF($C$18:C886,C886)&amp;CHOOSE(MIN(4,COUNTIF($C$18:C886,C886)),"st","nd","rd","th"),"")</f>
        <v/>
      </c>
    </row>
    <row r="887" spans="10:10" x14ac:dyDescent="0.25">
      <c r="J887" s="164" t="str">
        <f>IFERROR(COUNTIF($C$18:C887,C887)&amp;CHOOSE(MIN(4,COUNTIF($C$18:C887,C887)),"st","nd","rd","th"),"")</f>
        <v/>
      </c>
    </row>
    <row r="888" spans="10:10" x14ac:dyDescent="0.25">
      <c r="J888" s="164" t="str">
        <f>IFERROR(COUNTIF($C$18:C888,C888)&amp;CHOOSE(MIN(4,COUNTIF($C$18:C888,C888)),"st","nd","rd","th"),"")</f>
        <v/>
      </c>
    </row>
    <row r="889" spans="10:10" x14ac:dyDescent="0.25">
      <c r="J889" s="164" t="str">
        <f>IFERROR(COUNTIF($C$18:C889,C889)&amp;CHOOSE(MIN(4,COUNTIF($C$18:C889,C889)),"st","nd","rd","th"),"")</f>
        <v/>
      </c>
    </row>
    <row r="890" spans="10:10" x14ac:dyDescent="0.25">
      <c r="J890" s="164" t="str">
        <f>IFERROR(COUNTIF($C$18:C890,C890)&amp;CHOOSE(MIN(4,COUNTIF($C$18:C890,C890)),"st","nd","rd","th"),"")</f>
        <v/>
      </c>
    </row>
    <row r="891" spans="10:10" x14ac:dyDescent="0.25">
      <c r="J891" s="164" t="str">
        <f>IFERROR(COUNTIF($C$18:C891,C891)&amp;CHOOSE(MIN(4,COUNTIF($C$18:C891,C891)),"st","nd","rd","th"),"")</f>
        <v/>
      </c>
    </row>
    <row r="892" spans="10:10" x14ac:dyDescent="0.25">
      <c r="J892" s="164" t="str">
        <f>IFERROR(COUNTIF($C$18:C892,C892)&amp;CHOOSE(MIN(4,COUNTIF($C$18:C892,C892)),"st","nd","rd","th"),"")</f>
        <v/>
      </c>
    </row>
    <row r="893" spans="10:10" x14ac:dyDescent="0.25">
      <c r="J893" s="164" t="str">
        <f>IFERROR(COUNTIF($C$18:C893,C893)&amp;CHOOSE(MIN(4,COUNTIF($C$18:C893,C893)),"st","nd","rd","th"),"")</f>
        <v/>
      </c>
    </row>
    <row r="894" spans="10:10" x14ac:dyDescent="0.25">
      <c r="J894" s="164" t="str">
        <f>IFERROR(COUNTIF($C$18:C894,C894)&amp;CHOOSE(MIN(4,COUNTIF($C$18:C894,C894)),"st","nd","rd","th"),"")</f>
        <v/>
      </c>
    </row>
    <row r="895" spans="10:10" x14ac:dyDescent="0.25">
      <c r="J895" s="164" t="str">
        <f>IFERROR(COUNTIF($C$18:C895,C895)&amp;CHOOSE(MIN(4,COUNTIF($C$18:C895,C895)),"st","nd","rd","th"),"")</f>
        <v/>
      </c>
    </row>
    <row r="896" spans="10:10" x14ac:dyDescent="0.25">
      <c r="J896" s="164" t="str">
        <f>IFERROR(COUNTIF($C$18:C896,C896)&amp;CHOOSE(MIN(4,COUNTIF($C$18:C896,C896)),"st","nd","rd","th"),"")</f>
        <v/>
      </c>
    </row>
    <row r="897" spans="10:10" x14ac:dyDescent="0.25">
      <c r="J897" s="164" t="str">
        <f>IFERROR(COUNTIF($C$18:C897,C897)&amp;CHOOSE(MIN(4,COUNTIF($C$18:C897,C897)),"st","nd","rd","th"),"")</f>
        <v/>
      </c>
    </row>
    <row r="898" spans="10:10" x14ac:dyDescent="0.25">
      <c r="J898" s="164" t="str">
        <f>IFERROR(COUNTIF($C$18:C898,C898)&amp;CHOOSE(MIN(4,COUNTIF($C$18:C898,C898)),"st","nd","rd","th"),"")</f>
        <v/>
      </c>
    </row>
    <row r="899" spans="10:10" x14ac:dyDescent="0.25">
      <c r="J899" s="164" t="str">
        <f>IFERROR(COUNTIF($C$18:C899,C899)&amp;CHOOSE(MIN(4,COUNTIF($C$18:C899,C899)),"st","nd","rd","th"),"")</f>
        <v/>
      </c>
    </row>
    <row r="900" spans="10:10" x14ac:dyDescent="0.25">
      <c r="J900" s="164" t="str">
        <f>IFERROR(COUNTIF($C$18:C900,C900)&amp;CHOOSE(MIN(4,COUNTIF($C$18:C900,C900)),"st","nd","rd","th"),"")</f>
        <v/>
      </c>
    </row>
    <row r="901" spans="10:10" x14ac:dyDescent="0.25">
      <c r="J901" s="164" t="str">
        <f>IFERROR(COUNTIF($C$18:C901,C901)&amp;CHOOSE(MIN(4,COUNTIF($C$18:C901,C901)),"st","nd","rd","th"),"")</f>
        <v/>
      </c>
    </row>
    <row r="902" spans="10:10" x14ac:dyDescent="0.25">
      <c r="J902" s="164" t="str">
        <f>IFERROR(COUNTIF($C$18:C902,C902)&amp;CHOOSE(MIN(4,COUNTIF($C$18:C902,C902)),"st","nd","rd","th"),"")</f>
        <v/>
      </c>
    </row>
    <row r="903" spans="10:10" x14ac:dyDescent="0.25">
      <c r="J903" s="164" t="str">
        <f>IFERROR(COUNTIF($C$18:C903,C903)&amp;CHOOSE(MIN(4,COUNTIF($C$18:C903,C903)),"st","nd","rd","th"),"")</f>
        <v/>
      </c>
    </row>
    <row r="904" spans="10:10" x14ac:dyDescent="0.25">
      <c r="J904" s="164" t="str">
        <f>IFERROR(COUNTIF($C$18:C904,C904)&amp;CHOOSE(MIN(4,COUNTIF($C$18:C904,C904)),"st","nd","rd","th"),"")</f>
        <v/>
      </c>
    </row>
    <row r="905" spans="10:10" x14ac:dyDescent="0.25">
      <c r="J905" s="164" t="str">
        <f>IFERROR(COUNTIF($C$18:C905,C905)&amp;CHOOSE(MIN(4,COUNTIF($C$18:C905,C905)),"st","nd","rd","th"),"")</f>
        <v/>
      </c>
    </row>
    <row r="906" spans="10:10" x14ac:dyDescent="0.25">
      <c r="J906" s="164" t="str">
        <f>IFERROR(COUNTIF($C$18:C906,C906)&amp;CHOOSE(MIN(4,COUNTIF($C$18:C906,C906)),"st","nd","rd","th"),"")</f>
        <v/>
      </c>
    </row>
    <row r="907" spans="10:10" x14ac:dyDescent="0.25">
      <c r="J907" s="164" t="str">
        <f>IFERROR(COUNTIF($C$18:C907,C907)&amp;CHOOSE(MIN(4,COUNTIF($C$18:C907,C907)),"st","nd","rd","th"),"")</f>
        <v/>
      </c>
    </row>
    <row r="908" spans="10:10" x14ac:dyDescent="0.25">
      <c r="J908" s="164" t="str">
        <f>IFERROR(COUNTIF($C$18:C908,C908)&amp;CHOOSE(MIN(4,COUNTIF($C$18:C908,C908)),"st","nd","rd","th"),"")</f>
        <v/>
      </c>
    </row>
    <row r="909" spans="10:10" x14ac:dyDescent="0.25">
      <c r="J909" s="164" t="str">
        <f>IFERROR(COUNTIF($C$18:C909,C909)&amp;CHOOSE(MIN(4,COUNTIF($C$18:C909,C909)),"st","nd","rd","th"),"")</f>
        <v/>
      </c>
    </row>
    <row r="910" spans="10:10" x14ac:dyDescent="0.25">
      <c r="J910" s="164" t="str">
        <f>IFERROR(COUNTIF($C$18:C910,C910)&amp;CHOOSE(MIN(4,COUNTIF($C$18:C910,C910)),"st","nd","rd","th"),"")</f>
        <v/>
      </c>
    </row>
    <row r="911" spans="10:10" x14ac:dyDescent="0.25">
      <c r="J911" s="164" t="str">
        <f>IFERROR(COUNTIF($C$18:C911,C911)&amp;CHOOSE(MIN(4,COUNTIF($C$18:C911,C911)),"st","nd","rd","th"),"")</f>
        <v/>
      </c>
    </row>
    <row r="912" spans="10:10" x14ac:dyDescent="0.25">
      <c r="J912" s="164" t="str">
        <f>IFERROR(COUNTIF($C$18:C912,C912)&amp;CHOOSE(MIN(4,COUNTIF($C$18:C912,C912)),"st","nd","rd","th"),"")</f>
        <v/>
      </c>
    </row>
    <row r="913" spans="10:10" x14ac:dyDescent="0.25">
      <c r="J913" s="164" t="str">
        <f>IFERROR(COUNTIF($C$18:C913,C913)&amp;CHOOSE(MIN(4,COUNTIF($C$18:C913,C913)),"st","nd","rd","th"),"")</f>
        <v/>
      </c>
    </row>
    <row r="914" spans="10:10" x14ac:dyDescent="0.25">
      <c r="J914" s="164" t="str">
        <f>IFERROR(COUNTIF($C$18:C914,C914)&amp;CHOOSE(MIN(4,COUNTIF($C$18:C914,C914)),"st","nd","rd","th"),"")</f>
        <v/>
      </c>
    </row>
    <row r="915" spans="10:10" x14ac:dyDescent="0.25">
      <c r="J915" s="164" t="str">
        <f>IFERROR(COUNTIF($C$18:C915,C915)&amp;CHOOSE(MIN(4,COUNTIF($C$18:C915,C915)),"st","nd","rd","th"),"")</f>
        <v/>
      </c>
    </row>
    <row r="916" spans="10:10" x14ac:dyDescent="0.25">
      <c r="J916" s="164" t="str">
        <f>IFERROR(COUNTIF($C$18:C916,C916)&amp;CHOOSE(MIN(4,COUNTIF($C$18:C916,C916)),"st","nd","rd","th"),"")</f>
        <v/>
      </c>
    </row>
    <row r="917" spans="10:10" x14ac:dyDescent="0.25">
      <c r="J917" s="164" t="str">
        <f>IFERROR(COUNTIF($C$18:C917,C917)&amp;CHOOSE(MIN(4,COUNTIF($C$18:C917,C917)),"st","nd","rd","th"),"")</f>
        <v/>
      </c>
    </row>
    <row r="918" spans="10:10" x14ac:dyDescent="0.25">
      <c r="J918" s="164" t="str">
        <f>IFERROR(COUNTIF($C$18:C918,C918)&amp;CHOOSE(MIN(4,COUNTIF($C$18:C918,C918)),"st","nd","rd","th"),"")</f>
        <v/>
      </c>
    </row>
    <row r="919" spans="10:10" x14ac:dyDescent="0.25">
      <c r="J919" s="164" t="str">
        <f>IFERROR(COUNTIF($C$18:C919,C919)&amp;CHOOSE(MIN(4,COUNTIF($C$18:C919,C919)),"st","nd","rd","th"),"")</f>
        <v/>
      </c>
    </row>
    <row r="920" spans="10:10" x14ac:dyDescent="0.25">
      <c r="J920" s="164" t="str">
        <f>IFERROR(COUNTIF($C$18:C920,C920)&amp;CHOOSE(MIN(4,COUNTIF($C$18:C920,C920)),"st","nd","rd","th"),"")</f>
        <v/>
      </c>
    </row>
    <row r="921" spans="10:10" x14ac:dyDescent="0.25">
      <c r="J921" s="164" t="str">
        <f>IFERROR(COUNTIF($C$18:C921,C921)&amp;CHOOSE(MIN(4,COUNTIF($C$18:C921,C921)),"st","nd","rd","th"),"")</f>
        <v/>
      </c>
    </row>
    <row r="922" spans="10:10" x14ac:dyDescent="0.25">
      <c r="J922" s="164" t="str">
        <f>IFERROR(COUNTIF($C$18:C922,C922)&amp;CHOOSE(MIN(4,COUNTIF($C$18:C922,C922)),"st","nd","rd","th"),"")</f>
        <v/>
      </c>
    </row>
    <row r="923" spans="10:10" x14ac:dyDescent="0.25">
      <c r="J923" s="164" t="str">
        <f>IFERROR(COUNTIF($C$18:C923,C923)&amp;CHOOSE(MIN(4,COUNTIF($C$18:C923,C923)),"st","nd","rd","th"),"")</f>
        <v/>
      </c>
    </row>
    <row r="924" spans="10:10" x14ac:dyDescent="0.25">
      <c r="J924" s="164" t="str">
        <f>IFERROR(COUNTIF($C$18:C924,C924)&amp;CHOOSE(MIN(4,COUNTIF($C$18:C924,C924)),"st","nd","rd","th"),"")</f>
        <v/>
      </c>
    </row>
    <row r="925" spans="10:10" x14ac:dyDescent="0.25">
      <c r="J925" s="164" t="str">
        <f>IFERROR(COUNTIF($C$18:C925,C925)&amp;CHOOSE(MIN(4,COUNTIF($C$18:C925,C925)),"st","nd","rd","th"),"")</f>
        <v/>
      </c>
    </row>
    <row r="926" spans="10:10" x14ac:dyDescent="0.25">
      <c r="J926" s="164" t="str">
        <f>IFERROR(COUNTIF($C$18:C926,C926)&amp;CHOOSE(MIN(4,COUNTIF($C$18:C926,C926)),"st","nd","rd","th"),"")</f>
        <v/>
      </c>
    </row>
    <row r="927" spans="10:10" x14ac:dyDescent="0.25">
      <c r="J927" s="164" t="str">
        <f>IFERROR(COUNTIF($C$18:C927,C927)&amp;CHOOSE(MIN(4,COUNTIF($C$18:C927,C927)),"st","nd","rd","th"),"")</f>
        <v/>
      </c>
    </row>
    <row r="928" spans="10:10" x14ac:dyDescent="0.25">
      <c r="J928" s="164" t="str">
        <f>IFERROR(COUNTIF($C$18:C928,C928)&amp;CHOOSE(MIN(4,COUNTIF($C$18:C928,C928)),"st","nd","rd","th"),"")</f>
        <v/>
      </c>
    </row>
    <row r="929" spans="10:10" x14ac:dyDescent="0.25">
      <c r="J929" s="164" t="str">
        <f>IFERROR(COUNTIF($C$18:C929,C929)&amp;CHOOSE(MIN(4,COUNTIF($C$18:C929,C929)),"st","nd","rd","th"),"")</f>
        <v/>
      </c>
    </row>
    <row r="930" spans="10:10" x14ac:dyDescent="0.25">
      <c r="J930" s="164" t="str">
        <f>IFERROR(COUNTIF($C$18:C930,C930)&amp;CHOOSE(MIN(4,COUNTIF($C$18:C930,C930)),"st","nd","rd","th"),"")</f>
        <v/>
      </c>
    </row>
    <row r="931" spans="10:10" x14ac:dyDescent="0.25">
      <c r="J931" s="164" t="str">
        <f>IFERROR(COUNTIF($C$18:C931,C931)&amp;CHOOSE(MIN(4,COUNTIF($C$18:C931,C931)),"st","nd","rd","th"),"")</f>
        <v/>
      </c>
    </row>
    <row r="932" spans="10:10" x14ac:dyDescent="0.25">
      <c r="J932" s="164" t="str">
        <f>IFERROR(COUNTIF($C$18:C932,C932)&amp;CHOOSE(MIN(4,COUNTIF($C$18:C932,C932)),"st","nd","rd","th"),"")</f>
        <v/>
      </c>
    </row>
    <row r="933" spans="10:10" x14ac:dyDescent="0.25">
      <c r="J933" s="164" t="str">
        <f>IFERROR(COUNTIF($C$18:C933,C933)&amp;CHOOSE(MIN(4,COUNTIF($C$18:C933,C933)),"st","nd","rd","th"),"")</f>
        <v/>
      </c>
    </row>
    <row r="934" spans="10:10" x14ac:dyDescent="0.25">
      <c r="J934" s="164" t="str">
        <f>IFERROR(COUNTIF($C$18:C934,C934)&amp;CHOOSE(MIN(4,COUNTIF($C$18:C934,C934)),"st","nd","rd","th"),"")</f>
        <v/>
      </c>
    </row>
    <row r="935" spans="10:10" x14ac:dyDescent="0.25">
      <c r="J935" s="164" t="str">
        <f>IFERROR(COUNTIF($C$18:C935,C935)&amp;CHOOSE(MIN(4,COUNTIF($C$18:C935,C935)),"st","nd","rd","th"),"")</f>
        <v/>
      </c>
    </row>
    <row r="936" spans="10:10" x14ac:dyDescent="0.25">
      <c r="J936" s="164" t="str">
        <f>IFERROR(COUNTIF($C$18:C936,C936)&amp;CHOOSE(MIN(4,COUNTIF($C$18:C936,C936)),"st","nd","rd","th"),"")</f>
        <v/>
      </c>
    </row>
    <row r="937" spans="10:10" x14ac:dyDescent="0.25">
      <c r="J937" s="164" t="str">
        <f>IFERROR(COUNTIF($C$18:C937,C937)&amp;CHOOSE(MIN(4,COUNTIF($C$18:C937,C937)),"st","nd","rd","th"),"")</f>
        <v/>
      </c>
    </row>
    <row r="938" spans="10:10" x14ac:dyDescent="0.25">
      <c r="J938" s="164" t="str">
        <f>IFERROR(COUNTIF($C$18:C938,C938)&amp;CHOOSE(MIN(4,COUNTIF($C$18:C938,C938)),"st","nd","rd","th"),"")</f>
        <v/>
      </c>
    </row>
    <row r="939" spans="10:10" x14ac:dyDescent="0.25">
      <c r="J939" s="164" t="str">
        <f>IFERROR(COUNTIF($C$18:C939,C939)&amp;CHOOSE(MIN(4,COUNTIF($C$18:C939,C939)),"st","nd","rd","th"),"")</f>
        <v/>
      </c>
    </row>
    <row r="940" spans="10:10" x14ac:dyDescent="0.25">
      <c r="J940" s="164" t="str">
        <f>IFERROR(COUNTIF($C$18:C940,C940)&amp;CHOOSE(MIN(4,COUNTIF($C$18:C940,C940)),"st","nd","rd","th"),"")</f>
        <v/>
      </c>
    </row>
    <row r="941" spans="10:10" x14ac:dyDescent="0.25">
      <c r="J941" s="164" t="str">
        <f>IFERROR(COUNTIF($C$18:C941,C941)&amp;CHOOSE(MIN(4,COUNTIF($C$18:C941,C941)),"st","nd","rd","th"),"")</f>
        <v/>
      </c>
    </row>
    <row r="942" spans="10:10" x14ac:dyDescent="0.25">
      <c r="J942" s="164" t="str">
        <f>IFERROR(COUNTIF($C$18:C942,C942)&amp;CHOOSE(MIN(4,COUNTIF($C$18:C942,C942)),"st","nd","rd","th"),"")</f>
        <v/>
      </c>
    </row>
    <row r="943" spans="10:10" x14ac:dyDescent="0.25">
      <c r="J943" s="164" t="str">
        <f>IFERROR(COUNTIF($C$18:C943,C943)&amp;CHOOSE(MIN(4,COUNTIF($C$18:C943,C943)),"st","nd","rd","th"),"")</f>
        <v/>
      </c>
    </row>
    <row r="944" spans="10:10" x14ac:dyDescent="0.25">
      <c r="J944" s="164" t="str">
        <f>IFERROR(COUNTIF($C$18:C944,C944)&amp;CHOOSE(MIN(4,COUNTIF($C$18:C944,C944)),"st","nd","rd","th"),"")</f>
        <v/>
      </c>
    </row>
    <row r="945" spans="10:10" x14ac:dyDescent="0.25">
      <c r="J945" s="164" t="str">
        <f>IFERROR(COUNTIF($C$18:C945,C945)&amp;CHOOSE(MIN(4,COUNTIF($C$18:C945,C945)),"st","nd","rd","th"),"")</f>
        <v/>
      </c>
    </row>
    <row r="946" spans="10:10" x14ac:dyDescent="0.25">
      <c r="J946" s="164" t="str">
        <f>IFERROR(COUNTIF($C$18:C946,C946)&amp;CHOOSE(MIN(4,COUNTIF($C$18:C946,C946)),"st","nd","rd","th"),"")</f>
        <v/>
      </c>
    </row>
    <row r="947" spans="10:10" x14ac:dyDescent="0.25">
      <c r="J947" s="164" t="str">
        <f>IFERROR(COUNTIF($C$18:C947,C947)&amp;CHOOSE(MIN(4,COUNTIF($C$18:C947,C947)),"st","nd","rd","th"),"")</f>
        <v/>
      </c>
    </row>
    <row r="948" spans="10:10" x14ac:dyDescent="0.25">
      <c r="J948" s="164" t="str">
        <f>IFERROR(COUNTIF($C$18:C948,C948)&amp;CHOOSE(MIN(4,COUNTIF($C$18:C948,C948)),"st","nd","rd","th"),"")</f>
        <v/>
      </c>
    </row>
    <row r="949" spans="10:10" x14ac:dyDescent="0.25">
      <c r="J949" s="164" t="str">
        <f>IFERROR(COUNTIF($C$18:C949,C949)&amp;CHOOSE(MIN(4,COUNTIF($C$18:C949,C949)),"st","nd","rd","th"),"")</f>
        <v/>
      </c>
    </row>
    <row r="950" spans="10:10" x14ac:dyDescent="0.25">
      <c r="J950" s="164" t="str">
        <f>IFERROR(COUNTIF($C$18:C950,C950)&amp;CHOOSE(MIN(4,COUNTIF($C$18:C950,C950)),"st","nd","rd","th"),"")</f>
        <v/>
      </c>
    </row>
    <row r="951" spans="10:10" x14ac:dyDescent="0.25">
      <c r="J951" s="164" t="str">
        <f>IFERROR(COUNTIF($C$18:C951,C951)&amp;CHOOSE(MIN(4,COUNTIF($C$18:C951,C951)),"st","nd","rd","th"),"")</f>
        <v/>
      </c>
    </row>
    <row r="952" spans="10:10" x14ac:dyDescent="0.25">
      <c r="J952" s="164" t="str">
        <f>IFERROR(COUNTIF($C$18:C952,C952)&amp;CHOOSE(MIN(4,COUNTIF($C$18:C952,C952)),"st","nd","rd","th"),"")</f>
        <v/>
      </c>
    </row>
    <row r="953" spans="10:10" x14ac:dyDescent="0.25">
      <c r="J953" s="164" t="str">
        <f>IFERROR(COUNTIF($C$18:C953,C953)&amp;CHOOSE(MIN(4,COUNTIF($C$18:C953,C953)),"st","nd","rd","th"),"")</f>
        <v/>
      </c>
    </row>
    <row r="954" spans="10:10" x14ac:dyDescent="0.25">
      <c r="J954" s="164" t="str">
        <f>IFERROR(COUNTIF($C$18:C954,C954)&amp;CHOOSE(MIN(4,COUNTIF($C$18:C954,C954)),"st","nd","rd","th"),"")</f>
        <v/>
      </c>
    </row>
    <row r="955" spans="10:10" x14ac:dyDescent="0.25">
      <c r="J955" s="164" t="str">
        <f>IFERROR(COUNTIF($C$18:C955,C955)&amp;CHOOSE(MIN(4,COUNTIF($C$18:C955,C955)),"st","nd","rd","th"),"")</f>
        <v/>
      </c>
    </row>
    <row r="956" spans="10:10" x14ac:dyDescent="0.25">
      <c r="J956" s="164" t="str">
        <f>IFERROR(COUNTIF($C$18:C956,C956)&amp;CHOOSE(MIN(4,COUNTIF($C$18:C956,C956)),"st","nd","rd","th"),"")</f>
        <v/>
      </c>
    </row>
    <row r="957" spans="10:10" x14ac:dyDescent="0.25">
      <c r="J957" s="164" t="str">
        <f>IFERROR(COUNTIF($C$18:C957,C957)&amp;CHOOSE(MIN(4,COUNTIF($C$18:C957,C957)),"st","nd","rd","th"),"")</f>
        <v/>
      </c>
    </row>
    <row r="958" spans="10:10" x14ac:dyDescent="0.25">
      <c r="J958" s="164" t="str">
        <f>IFERROR(COUNTIF($C$18:C958,C958)&amp;CHOOSE(MIN(4,COUNTIF($C$18:C958,C958)),"st","nd","rd","th"),"")</f>
        <v/>
      </c>
    </row>
    <row r="959" spans="10:10" x14ac:dyDescent="0.25">
      <c r="J959" s="164" t="str">
        <f>IFERROR(COUNTIF($C$18:C959,C959)&amp;CHOOSE(MIN(4,COUNTIF($C$18:C959,C959)),"st","nd","rd","th"),"")</f>
        <v/>
      </c>
    </row>
    <row r="960" spans="10:10" x14ac:dyDescent="0.25">
      <c r="J960" s="164" t="str">
        <f>IFERROR(COUNTIF($C$18:C960,C960)&amp;CHOOSE(MIN(4,COUNTIF($C$18:C960,C960)),"st","nd","rd","th"),"")</f>
        <v/>
      </c>
    </row>
    <row r="961" spans="10:10" x14ac:dyDescent="0.25">
      <c r="J961" s="164" t="str">
        <f>IFERROR(COUNTIF($C$18:C961,C961)&amp;CHOOSE(MIN(4,COUNTIF($C$18:C961,C961)),"st","nd","rd","th"),"")</f>
        <v/>
      </c>
    </row>
    <row r="962" spans="10:10" x14ac:dyDescent="0.25">
      <c r="J962" s="164" t="str">
        <f>IFERROR(COUNTIF($C$18:C962,C962)&amp;CHOOSE(MIN(4,COUNTIF($C$18:C962,C962)),"st","nd","rd","th"),"")</f>
        <v/>
      </c>
    </row>
    <row r="963" spans="10:10" x14ac:dyDescent="0.25">
      <c r="J963" s="164" t="str">
        <f>IFERROR(COUNTIF($C$18:C963,C963)&amp;CHOOSE(MIN(4,COUNTIF($C$18:C963,C963)),"st","nd","rd","th"),"")</f>
        <v/>
      </c>
    </row>
    <row r="964" spans="10:10" x14ac:dyDescent="0.25">
      <c r="J964" s="164" t="str">
        <f>IFERROR(COUNTIF($C$18:C964,C964)&amp;CHOOSE(MIN(4,COUNTIF($C$18:C964,C964)),"st","nd","rd","th"),"")</f>
        <v/>
      </c>
    </row>
    <row r="965" spans="10:10" x14ac:dyDescent="0.25">
      <c r="J965" s="164" t="str">
        <f>IFERROR(COUNTIF($C$18:C965,C965)&amp;CHOOSE(MIN(4,COUNTIF($C$18:C965,C965)),"st","nd","rd","th"),"")</f>
        <v/>
      </c>
    </row>
    <row r="966" spans="10:10" x14ac:dyDescent="0.25">
      <c r="J966" s="164" t="str">
        <f>IFERROR(COUNTIF($C$18:C966,C966)&amp;CHOOSE(MIN(4,COUNTIF($C$18:C966,C966)),"st","nd","rd","th"),"")</f>
        <v/>
      </c>
    </row>
    <row r="967" spans="10:10" x14ac:dyDescent="0.25">
      <c r="J967" s="164" t="str">
        <f>IFERROR(COUNTIF($C$18:C967,C967)&amp;CHOOSE(MIN(4,COUNTIF($C$18:C967,C967)),"st","nd","rd","th"),"")</f>
        <v/>
      </c>
    </row>
    <row r="968" spans="10:10" x14ac:dyDescent="0.25">
      <c r="J968" s="164" t="str">
        <f>IFERROR(COUNTIF($C$18:C968,C968)&amp;CHOOSE(MIN(4,COUNTIF($C$18:C968,C968)),"st","nd","rd","th"),"")</f>
        <v/>
      </c>
    </row>
    <row r="969" spans="10:10" x14ac:dyDescent="0.25">
      <c r="J969" s="164" t="str">
        <f>IFERROR(COUNTIF($C$18:C969,C969)&amp;CHOOSE(MIN(4,COUNTIF($C$18:C969,C969)),"st","nd","rd","th"),"")</f>
        <v/>
      </c>
    </row>
    <row r="970" spans="10:10" x14ac:dyDescent="0.25">
      <c r="J970" s="164" t="str">
        <f>IFERROR(COUNTIF($C$18:C970,C970)&amp;CHOOSE(MIN(4,COUNTIF($C$18:C970,C970)),"st","nd","rd","th"),"")</f>
        <v/>
      </c>
    </row>
    <row r="971" spans="10:10" x14ac:dyDescent="0.25">
      <c r="J971" s="164" t="str">
        <f>IFERROR(COUNTIF($C$18:C971,C971)&amp;CHOOSE(MIN(4,COUNTIF($C$18:C971,C971)),"st","nd","rd","th"),"")</f>
        <v/>
      </c>
    </row>
    <row r="972" spans="10:10" x14ac:dyDescent="0.25">
      <c r="J972" s="164" t="str">
        <f>IFERROR(COUNTIF($C$18:C972,C972)&amp;CHOOSE(MIN(4,COUNTIF($C$18:C972,C972)),"st","nd","rd","th"),"")</f>
        <v/>
      </c>
    </row>
    <row r="973" spans="10:10" x14ac:dyDescent="0.25">
      <c r="J973" s="164" t="str">
        <f>IFERROR(COUNTIF($C$18:C973,C973)&amp;CHOOSE(MIN(4,COUNTIF($C$18:C973,C973)),"st","nd","rd","th"),"")</f>
        <v/>
      </c>
    </row>
    <row r="974" spans="10:10" x14ac:dyDescent="0.25">
      <c r="J974" s="164" t="str">
        <f>IFERROR(COUNTIF($C$18:C974,C974)&amp;CHOOSE(MIN(4,COUNTIF($C$18:C974,C974)),"st","nd","rd","th"),"")</f>
        <v/>
      </c>
    </row>
    <row r="975" spans="10:10" x14ac:dyDescent="0.25">
      <c r="J975" s="164" t="str">
        <f>IFERROR(COUNTIF($C$18:C975,C975)&amp;CHOOSE(MIN(4,COUNTIF($C$18:C975,C975)),"st","nd","rd","th"),"")</f>
        <v/>
      </c>
    </row>
    <row r="976" spans="10:10" x14ac:dyDescent="0.25">
      <c r="J976" s="164" t="str">
        <f>IFERROR(COUNTIF($C$18:C976,C976)&amp;CHOOSE(MIN(4,COUNTIF($C$18:C976,C976)),"st","nd","rd","th"),"")</f>
        <v/>
      </c>
    </row>
    <row r="977" spans="10:10" x14ac:dyDescent="0.25">
      <c r="J977" s="164" t="str">
        <f>IFERROR(COUNTIF($C$18:C977,C977)&amp;CHOOSE(MIN(4,COUNTIF($C$18:C977,C977)),"st","nd","rd","th"),"")</f>
        <v/>
      </c>
    </row>
    <row r="978" spans="10:10" x14ac:dyDescent="0.25">
      <c r="J978" s="164" t="str">
        <f>IFERROR(COUNTIF($C$18:C978,C978)&amp;CHOOSE(MIN(4,COUNTIF($C$18:C978,C978)),"st","nd","rd","th"),"")</f>
        <v/>
      </c>
    </row>
    <row r="979" spans="10:10" x14ac:dyDescent="0.25">
      <c r="J979" s="164" t="str">
        <f>IFERROR(COUNTIF($C$18:C979,C979)&amp;CHOOSE(MIN(4,COUNTIF($C$18:C979,C979)),"st","nd","rd","th"),"")</f>
        <v/>
      </c>
    </row>
    <row r="980" spans="10:10" x14ac:dyDescent="0.25">
      <c r="J980" s="164" t="str">
        <f>IFERROR(COUNTIF($C$18:C980,C980)&amp;CHOOSE(MIN(4,COUNTIF($C$18:C980,C980)),"st","nd","rd","th"),"")</f>
        <v/>
      </c>
    </row>
    <row r="981" spans="10:10" x14ac:dyDescent="0.25">
      <c r="J981" s="164" t="str">
        <f>IFERROR(COUNTIF($C$18:C981,C981)&amp;CHOOSE(MIN(4,COUNTIF($C$18:C981,C981)),"st","nd","rd","th"),"")</f>
        <v/>
      </c>
    </row>
    <row r="982" spans="10:10" x14ac:dyDescent="0.25">
      <c r="J982" s="164" t="str">
        <f>IFERROR(COUNTIF($C$18:C982,C982)&amp;CHOOSE(MIN(4,COUNTIF($C$18:C982,C982)),"st","nd","rd","th"),"")</f>
        <v/>
      </c>
    </row>
    <row r="983" spans="10:10" x14ac:dyDescent="0.25">
      <c r="J983" s="164" t="str">
        <f>IFERROR(COUNTIF($C$18:C983,C983)&amp;CHOOSE(MIN(4,COUNTIF($C$18:C983,C983)),"st","nd","rd","th"),"")</f>
        <v/>
      </c>
    </row>
    <row r="984" spans="10:10" x14ac:dyDescent="0.25">
      <c r="J984" s="164" t="str">
        <f>IFERROR(COUNTIF($C$18:C984,C984)&amp;CHOOSE(MIN(4,COUNTIF($C$18:C984,C984)),"st","nd","rd","th"),"")</f>
        <v/>
      </c>
    </row>
    <row r="985" spans="10:10" x14ac:dyDescent="0.25">
      <c r="J985" s="164" t="str">
        <f>IFERROR(COUNTIF($C$18:C985,C985)&amp;CHOOSE(MIN(4,COUNTIF($C$18:C985,C985)),"st","nd","rd","th"),"")</f>
        <v/>
      </c>
    </row>
    <row r="986" spans="10:10" x14ac:dyDescent="0.25">
      <c r="J986" s="164" t="str">
        <f>IFERROR(COUNTIF($C$18:C986,C986)&amp;CHOOSE(MIN(4,COUNTIF($C$18:C986,C986)),"st","nd","rd","th"),"")</f>
        <v/>
      </c>
    </row>
    <row r="987" spans="10:10" x14ac:dyDescent="0.25">
      <c r="J987" s="164" t="str">
        <f>IFERROR(COUNTIF($C$18:C987,C987)&amp;CHOOSE(MIN(4,COUNTIF($C$18:C987,C987)),"st","nd","rd","th"),"")</f>
        <v/>
      </c>
    </row>
    <row r="988" spans="10:10" x14ac:dyDescent="0.25">
      <c r="J988" s="164" t="str">
        <f>IFERROR(COUNTIF($C$18:C988,C988)&amp;CHOOSE(MIN(4,COUNTIF($C$18:C988,C988)),"st","nd","rd","th"),"")</f>
        <v/>
      </c>
    </row>
    <row r="989" spans="10:10" x14ac:dyDescent="0.25">
      <c r="J989" s="164" t="str">
        <f>IFERROR(COUNTIF($C$18:C989,C989)&amp;CHOOSE(MIN(4,COUNTIF($C$18:C989,C989)),"st","nd","rd","th"),"")</f>
        <v/>
      </c>
    </row>
    <row r="990" spans="10:10" x14ac:dyDescent="0.25">
      <c r="J990" s="164" t="str">
        <f>IFERROR(COUNTIF($C$18:C990,C990)&amp;CHOOSE(MIN(4,COUNTIF($C$18:C990,C990)),"st","nd","rd","th"),"")</f>
        <v/>
      </c>
    </row>
    <row r="991" spans="10:10" x14ac:dyDescent="0.25">
      <c r="J991" s="164" t="str">
        <f>IFERROR(COUNTIF($C$18:C991,C991)&amp;CHOOSE(MIN(4,COUNTIF($C$18:C991,C991)),"st","nd","rd","th"),"")</f>
        <v/>
      </c>
    </row>
    <row r="992" spans="10:10" x14ac:dyDescent="0.25">
      <c r="J992" s="164" t="str">
        <f>IFERROR(COUNTIF($C$18:C992,C992)&amp;CHOOSE(MIN(4,COUNTIF($C$18:C992,C992)),"st","nd","rd","th"),"")</f>
        <v/>
      </c>
    </row>
    <row r="993" spans="10:10" x14ac:dyDescent="0.25">
      <c r="J993" s="164" t="str">
        <f>IFERROR(COUNTIF($C$18:C993,C993)&amp;CHOOSE(MIN(4,COUNTIF($C$18:C993,C993)),"st","nd","rd","th"),"")</f>
        <v/>
      </c>
    </row>
    <row r="994" spans="10:10" x14ac:dyDescent="0.25">
      <c r="J994" s="164" t="str">
        <f>IFERROR(COUNTIF($C$18:C994,C994)&amp;CHOOSE(MIN(4,COUNTIF($C$18:C994,C994)),"st","nd","rd","th"),"")</f>
        <v/>
      </c>
    </row>
    <row r="995" spans="10:10" x14ac:dyDescent="0.25">
      <c r="J995" s="164" t="str">
        <f>IFERROR(COUNTIF($C$18:C995,C995)&amp;CHOOSE(MIN(4,COUNTIF($C$18:C995,C995)),"st","nd","rd","th"),"")</f>
        <v/>
      </c>
    </row>
    <row r="996" spans="10:10" x14ac:dyDescent="0.25">
      <c r="J996" s="164" t="str">
        <f>IFERROR(COUNTIF($C$18:C996,C996)&amp;CHOOSE(MIN(4,COUNTIF($C$18:C996,C996)),"st","nd","rd","th"),"")</f>
        <v/>
      </c>
    </row>
    <row r="997" spans="10:10" x14ac:dyDescent="0.25">
      <c r="J997" s="164" t="str">
        <f>IFERROR(COUNTIF($C$18:C997,C997)&amp;CHOOSE(MIN(4,COUNTIF($C$18:C997,C997)),"st","nd","rd","th"),"")</f>
        <v/>
      </c>
    </row>
    <row r="998" spans="10:10" x14ac:dyDescent="0.25">
      <c r="J998" s="164" t="str">
        <f>IFERROR(COUNTIF($C$18:C998,C998)&amp;CHOOSE(MIN(4,COUNTIF($C$18:C998,C998)),"st","nd","rd","th"),"")</f>
        <v/>
      </c>
    </row>
    <row r="999" spans="10:10" x14ac:dyDescent="0.25">
      <c r="J999" s="164" t="str">
        <f>IFERROR(COUNTIF($C$18:C999,C999)&amp;CHOOSE(MIN(4,COUNTIF($C$18:C999,C999)),"st","nd","rd","th"),"")</f>
        <v/>
      </c>
    </row>
  </sheetData>
  <mergeCells count="3">
    <mergeCell ref="B5:R5"/>
    <mergeCell ref="B6:R6"/>
    <mergeCell ref="B7:R7"/>
  </mergeCells>
  <dataValidations count="1">
    <dataValidation type="list" allowBlank="1" showInputMessage="1" showErrorMessage="1" sqref="B20:C1048576" xr:uid="{E8B007A4-93CE-4D81-832B-1B6669E11F90}">
      <formula1>INDIRECT(A20)</formula1>
    </dataValidation>
  </dataValidations>
  <hyperlinks>
    <hyperlink ref="C1" location="'Accomplishment 2025'!A1" display="Back to Summary of Accomplishments 2025" xr:uid="{5188993A-955E-449F-A1ED-8EBD92A64408}"/>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A76B7C64-4EF2-4522-AF4E-0E04A0000189}">
          <x14:formula1>
            <xm:f>Picklists!$A$3:$A$14</xm:f>
          </x14:formula1>
          <xm:sqref>H20:H1048576</xm:sqref>
        </x14:dataValidation>
        <x14:dataValidation type="list" allowBlank="1" showInputMessage="1" showErrorMessage="1" xr:uid="{5E2DFA6F-669A-406F-A6DA-19EFE8778E67}">
          <x14:formula1>
            <xm:f>Picklists!$A$17:$A$23</xm:f>
          </x14:formula1>
          <xm:sqref>D20:D1048576</xm:sqref>
        </x14:dataValidation>
        <x14:dataValidation type="list" allowBlank="1" showInputMessage="1" showErrorMessage="1" xr:uid="{D17A7A64-0140-4BD2-B212-C8612DF7C1BC}">
          <x14:formula1>
            <xm:f>Picklists!$A$26:$A$27</xm:f>
          </x14:formula1>
          <xm:sqref>F20:F1048576</xm:sqref>
        </x14:dataValidation>
        <x14:dataValidation type="list" allowBlank="1" showInputMessage="1" showErrorMessage="1" xr:uid="{EA82DCEB-39B8-46C7-B224-B6280ABF1AA1}">
          <x14:formula1>
            <xm:f>LGU_Masterlist!$C$2:$T$2</xm:f>
          </x14:formula1>
          <xm:sqref>A20:A1048576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678E-C092-43B0-981A-CB8113F6A90B}">
  <sheetPr codeName="Sheet16">
    <tabColor theme="9" tint="0.39997558519241921"/>
  </sheetPr>
  <dimension ref="A1:T1000"/>
  <sheetViews>
    <sheetView topLeftCell="A17" zoomScale="70" zoomScaleNormal="70" workbookViewId="0">
      <selection activeCell="E22" sqref="E22"/>
    </sheetView>
  </sheetViews>
  <sheetFormatPr defaultColWidth="8.88671875" defaultRowHeight="13.8" x14ac:dyDescent="0.25"/>
  <cols>
    <col min="1" max="1" width="13.33203125" style="164" customWidth="1"/>
    <col min="2" max="2" width="41.88671875" style="164" customWidth="1"/>
    <col min="3" max="3" width="39.6640625" style="164" bestFit="1" customWidth="1"/>
    <col min="4" max="5" width="17.33203125" style="164" customWidth="1"/>
    <col min="6" max="6" width="33" style="190" customWidth="1"/>
    <col min="7" max="7" width="27.44140625" style="164" customWidth="1"/>
    <col min="8" max="8" width="24.109375" style="171" customWidth="1"/>
    <col min="9" max="9" width="23.109375" style="172" customWidth="1"/>
    <col min="10" max="10" width="20.88671875" style="164" customWidth="1"/>
    <col min="11" max="11" width="8.88671875" style="164" customWidth="1"/>
    <col min="12" max="12" width="19.109375" style="164" customWidth="1"/>
    <col min="13" max="13" width="8.88671875" style="164" customWidth="1"/>
    <col min="14" max="16384" width="8.88671875" style="164"/>
  </cols>
  <sheetData>
    <row r="1" spans="1:20" s="32" customFormat="1" ht="14.4" x14ac:dyDescent="0.3">
      <c r="A1" s="173" t="s">
        <v>5090</v>
      </c>
      <c r="C1" s="174" t="s">
        <v>1673</v>
      </c>
      <c r="F1" s="191"/>
      <c r="H1" s="185"/>
    </row>
    <row r="2" spans="1:20" s="32" customFormat="1" x14ac:dyDescent="0.25">
      <c r="A2" s="176"/>
      <c r="B2" s="35"/>
      <c r="C2" s="35"/>
      <c r="D2" s="35"/>
      <c r="E2" s="35"/>
      <c r="F2" s="192"/>
      <c r="G2" s="35"/>
    </row>
    <row r="3" spans="1:20" s="32" customFormat="1" x14ac:dyDescent="0.25">
      <c r="A3" s="363">
        <v>4</v>
      </c>
      <c r="B3" s="364" t="s">
        <v>5134</v>
      </c>
      <c r="C3" s="364"/>
      <c r="D3" s="364"/>
      <c r="E3" s="364"/>
      <c r="F3" s="370"/>
      <c r="G3" s="364"/>
    </row>
    <row r="4" spans="1:20" s="32" customFormat="1" x14ac:dyDescent="0.25">
      <c r="A4" s="178"/>
      <c r="B4" s="206" t="s">
        <v>5135</v>
      </c>
      <c r="C4" s="206"/>
      <c r="D4" s="206"/>
      <c r="E4" s="206"/>
      <c r="F4" s="371"/>
      <c r="G4" s="206"/>
    </row>
    <row r="5" spans="1:20" s="32" customFormat="1" ht="46.95" customHeight="1" x14ac:dyDescent="0.25">
      <c r="A5" s="178"/>
      <c r="B5" s="599" t="s">
        <v>5136</v>
      </c>
      <c r="C5" s="599"/>
      <c r="D5" s="599"/>
      <c r="E5" s="599"/>
      <c r="F5" s="599"/>
      <c r="G5" s="599"/>
      <c r="H5" s="599"/>
      <c r="I5" s="599"/>
      <c r="J5" s="599"/>
      <c r="K5" s="599"/>
      <c r="L5" s="599"/>
      <c r="M5" s="599"/>
      <c r="N5" s="599"/>
      <c r="O5" s="599"/>
      <c r="P5" s="599"/>
      <c r="Q5" s="599"/>
      <c r="R5" s="599"/>
      <c r="S5" s="599"/>
      <c r="T5" s="599"/>
    </row>
    <row r="6" spans="1:20" s="32" customFormat="1" ht="29.4" customHeight="1" x14ac:dyDescent="0.25">
      <c r="A6" s="178"/>
      <c r="B6" s="601" t="s">
        <v>5137</v>
      </c>
      <c r="C6" s="601"/>
      <c r="D6" s="601"/>
      <c r="E6" s="601"/>
      <c r="F6" s="601"/>
      <c r="G6" s="601"/>
      <c r="H6" s="601"/>
      <c r="I6" s="601"/>
      <c r="J6" s="601"/>
      <c r="K6" s="601"/>
      <c r="L6" s="601"/>
      <c r="M6" s="601"/>
      <c r="N6" s="601"/>
      <c r="O6" s="601"/>
      <c r="P6" s="601"/>
      <c r="Q6" s="601"/>
      <c r="R6" s="601"/>
      <c r="S6" s="601"/>
      <c r="T6" s="601"/>
    </row>
    <row r="7" spans="1:20" s="32" customFormat="1" x14ac:dyDescent="0.25">
      <c r="B7" s="602" t="s">
        <v>5138</v>
      </c>
      <c r="C7" s="602"/>
      <c r="D7" s="602"/>
      <c r="E7" s="602"/>
      <c r="F7" s="602"/>
      <c r="G7" s="602"/>
      <c r="H7" s="602"/>
      <c r="I7" s="602"/>
      <c r="J7" s="602"/>
      <c r="K7" s="602"/>
      <c r="L7" s="602"/>
      <c r="M7" s="602"/>
      <c r="N7" s="602"/>
      <c r="O7" s="602"/>
      <c r="P7" s="602"/>
      <c r="Q7" s="602"/>
      <c r="R7" s="602"/>
      <c r="S7" s="602"/>
      <c r="T7" s="602"/>
    </row>
    <row r="8" spans="1:20" s="32" customFormat="1" x14ac:dyDescent="0.25">
      <c r="B8" s="186" t="s">
        <v>5095</v>
      </c>
      <c r="C8" s="186"/>
      <c r="D8" s="186"/>
      <c r="E8" s="186"/>
      <c r="F8" s="186"/>
      <c r="G8" s="186"/>
      <c r="H8" s="186"/>
      <c r="I8" s="186"/>
      <c r="J8" s="186"/>
      <c r="K8" s="186"/>
      <c r="L8" s="186"/>
      <c r="M8" s="186"/>
      <c r="N8" s="186"/>
      <c r="O8" s="186"/>
      <c r="P8" s="186"/>
      <c r="Q8" s="173"/>
      <c r="R8" s="173"/>
      <c r="S8" s="173"/>
      <c r="T8" s="173"/>
    </row>
    <row r="9" spans="1:20" s="32" customFormat="1" x14ac:dyDescent="0.25">
      <c r="B9" s="173"/>
      <c r="C9" s="173"/>
      <c r="D9" s="173"/>
      <c r="E9" s="173"/>
      <c r="F9" s="193"/>
      <c r="G9" s="173"/>
      <c r="H9" s="173"/>
      <c r="I9" s="173"/>
      <c r="J9" s="173"/>
      <c r="K9" s="173"/>
      <c r="L9" s="173"/>
      <c r="M9" s="173"/>
      <c r="N9" s="173"/>
      <c r="O9" s="173"/>
      <c r="P9" s="173"/>
      <c r="Q9" s="173"/>
      <c r="R9" s="173"/>
      <c r="S9" s="173"/>
      <c r="T9" s="173"/>
    </row>
    <row r="10" spans="1:20" s="32" customFormat="1" x14ac:dyDescent="0.25">
      <c r="B10" s="179" t="s">
        <v>5139</v>
      </c>
      <c r="C10" s="179"/>
      <c r="D10" s="179"/>
      <c r="E10" s="179"/>
      <c r="F10" s="194"/>
      <c r="G10" s="179"/>
      <c r="H10" s="181">
        <f>COUNTIF(L18:L1000,"1st")</f>
        <v>5</v>
      </c>
      <c r="I10" s="195"/>
      <c r="J10" s="173"/>
      <c r="K10" s="173"/>
      <c r="L10" s="173"/>
      <c r="M10" s="173"/>
      <c r="N10" s="173"/>
      <c r="O10" s="173"/>
      <c r="P10" s="173"/>
      <c r="Q10" s="173"/>
      <c r="R10" s="173"/>
      <c r="S10" s="173"/>
      <c r="T10" s="173"/>
    </row>
    <row r="11" spans="1:20" s="32" customFormat="1" x14ac:dyDescent="0.25">
      <c r="B11" s="179" t="s">
        <v>5140</v>
      </c>
      <c r="C11" s="179"/>
      <c r="D11" s="179"/>
      <c r="E11" s="179"/>
      <c r="F11" s="194"/>
      <c r="G11" s="179"/>
      <c r="H11" s="181">
        <f>COUNTA(F18:F1000)</f>
        <v>5</v>
      </c>
      <c r="I11" s="173"/>
      <c r="J11" s="173"/>
      <c r="K11" s="173"/>
      <c r="L11" s="173"/>
      <c r="M11" s="173"/>
      <c r="N11" s="173"/>
      <c r="O11" s="173"/>
      <c r="P11" s="173"/>
      <c r="Q11" s="173"/>
      <c r="R11" s="173"/>
      <c r="S11" s="173"/>
      <c r="T11" s="173"/>
    </row>
    <row r="12" spans="1:20" s="32" customFormat="1" x14ac:dyDescent="0.25">
      <c r="B12" s="196" t="s">
        <v>5098</v>
      </c>
      <c r="C12" s="196"/>
      <c r="D12" s="196"/>
      <c r="E12" s="196"/>
      <c r="F12" s="197"/>
      <c r="G12" s="196"/>
      <c r="H12" s="198">
        <f>COUNTIF(H18:H1000,"Planned")</f>
        <v>0</v>
      </c>
      <c r="I12" s="173"/>
      <c r="J12" s="173"/>
      <c r="K12" s="173"/>
      <c r="L12" s="173"/>
      <c r="M12" s="173"/>
      <c r="N12" s="173"/>
      <c r="O12" s="173"/>
      <c r="P12" s="173"/>
      <c r="Q12" s="173"/>
      <c r="R12" s="173"/>
      <c r="S12" s="173"/>
      <c r="T12" s="173"/>
    </row>
    <row r="13" spans="1:20" s="32" customFormat="1" x14ac:dyDescent="0.25">
      <c r="B13" s="196" t="s">
        <v>5099</v>
      </c>
      <c r="C13" s="196"/>
      <c r="D13" s="196"/>
      <c r="E13" s="196"/>
      <c r="F13" s="197"/>
      <c r="G13" s="196"/>
      <c r="H13" s="198">
        <f>COUNTIF(H18:H1000,"Requested")</f>
        <v>5</v>
      </c>
      <c r="I13" s="173"/>
      <c r="J13" s="173"/>
      <c r="K13" s="173"/>
      <c r="L13" s="173"/>
      <c r="M13" s="173"/>
      <c r="N13" s="173"/>
      <c r="O13" s="173"/>
      <c r="P13" s="173"/>
      <c r="Q13" s="173"/>
      <c r="R13" s="173"/>
      <c r="S13" s="173"/>
      <c r="T13" s="173"/>
    </row>
    <row r="14" spans="1:20" s="32" customFormat="1" x14ac:dyDescent="0.25">
      <c r="B14" s="173"/>
      <c r="C14" s="173"/>
      <c r="D14" s="173"/>
      <c r="E14" s="173"/>
      <c r="F14" s="193"/>
      <c r="G14" s="173"/>
      <c r="H14" s="173"/>
      <c r="I14" s="173"/>
      <c r="J14" s="173"/>
      <c r="K14" s="173"/>
      <c r="L14" s="173"/>
      <c r="M14" s="173"/>
      <c r="N14" s="173"/>
      <c r="O14" s="173"/>
      <c r="P14" s="173"/>
      <c r="Q14" s="173"/>
      <c r="R14" s="173"/>
      <c r="S14" s="173"/>
      <c r="T14" s="173"/>
    </row>
    <row r="15" spans="1:20" s="32" customFormat="1" x14ac:dyDescent="0.25">
      <c r="B15" s="173"/>
      <c r="C15" s="173"/>
      <c r="D15" s="173"/>
      <c r="E15" s="173"/>
      <c r="F15" s="193"/>
      <c r="G15" s="173"/>
      <c r="H15" s="173"/>
      <c r="I15" s="173"/>
      <c r="J15" s="173"/>
      <c r="K15" s="173"/>
      <c r="L15" s="173"/>
      <c r="M15" s="173"/>
      <c r="N15" s="173"/>
      <c r="O15" s="173"/>
      <c r="P15" s="173"/>
      <c r="Q15" s="173"/>
      <c r="R15" s="173"/>
      <c r="S15" s="173"/>
      <c r="T15" s="173"/>
    </row>
    <row r="16" spans="1:20" s="32" customFormat="1" x14ac:dyDescent="0.25">
      <c r="F16" s="191"/>
      <c r="H16" s="199"/>
    </row>
    <row r="17" spans="1:20" s="182" customFormat="1" ht="45.6" customHeight="1" x14ac:dyDescent="0.25">
      <c r="A17" s="184" t="s">
        <v>5141</v>
      </c>
      <c r="B17" s="184" t="s">
        <v>5129</v>
      </c>
      <c r="C17" s="183" t="s">
        <v>5130</v>
      </c>
      <c r="D17" s="184" t="s">
        <v>5142</v>
      </c>
      <c r="E17" s="184" t="s">
        <v>5143</v>
      </c>
      <c r="F17" s="184" t="s">
        <v>5101</v>
      </c>
      <c r="G17" s="183" t="s">
        <v>5102</v>
      </c>
      <c r="H17" s="184" t="s">
        <v>5103</v>
      </c>
      <c r="I17" s="184" t="s">
        <v>5104</v>
      </c>
      <c r="J17" s="184" t="s">
        <v>1685</v>
      </c>
      <c r="K17" s="183" t="s">
        <v>1686</v>
      </c>
      <c r="L17" s="187" t="s">
        <v>1714</v>
      </c>
    </row>
    <row r="18" spans="1:20" ht="41.4" x14ac:dyDescent="0.25">
      <c r="A18" s="164" t="s">
        <v>67</v>
      </c>
      <c r="B18" s="164" t="s">
        <v>86</v>
      </c>
      <c r="C18" s="164" t="s">
        <v>275</v>
      </c>
      <c r="F18" s="485" t="s">
        <v>5105</v>
      </c>
      <c r="G18" s="485" t="s">
        <v>5144</v>
      </c>
      <c r="H18" s="416" t="s">
        <v>5107</v>
      </c>
      <c r="I18" s="489">
        <v>45663</v>
      </c>
      <c r="J18" s="416" t="s">
        <v>1498</v>
      </c>
      <c r="K18" s="416" t="s">
        <v>5108</v>
      </c>
      <c r="L18" s="164" t="str">
        <f>IFERROR(COUNTIF($C$18:C18,C18)&amp;CHOOSE(MIN(4,COUNTIF($C$18:C18,C18)),"st","nd","rd","th"),"")</f>
        <v>1st</v>
      </c>
    </row>
    <row r="19" spans="1:20" ht="41.4" x14ac:dyDescent="0.25">
      <c r="A19" s="164" t="s">
        <v>67</v>
      </c>
      <c r="B19" s="164" t="s">
        <v>103</v>
      </c>
      <c r="C19" s="164" t="s">
        <v>566</v>
      </c>
      <c r="D19" s="416">
        <v>2024</v>
      </c>
      <c r="E19" s="416">
        <v>2033</v>
      </c>
      <c r="F19" s="485" t="s">
        <v>5105</v>
      </c>
      <c r="G19" s="485" t="s">
        <v>5144</v>
      </c>
      <c r="H19" s="416" t="s">
        <v>5107</v>
      </c>
      <c r="I19" s="489">
        <v>45680</v>
      </c>
      <c r="J19" s="416" t="s">
        <v>1498</v>
      </c>
      <c r="K19" s="416" t="s">
        <v>5108</v>
      </c>
      <c r="L19" s="164" t="str">
        <f>IFERROR(COUNTIF($C$18:C19,C19)&amp;CHOOSE(MIN(4,COUNTIF($C$18:C19,C19)),"st","nd","rd","th"),"")</f>
        <v>1st</v>
      </c>
    </row>
    <row r="20" spans="1:20" ht="55.2" x14ac:dyDescent="0.25">
      <c r="A20" s="416" t="s">
        <v>67</v>
      </c>
      <c r="B20" s="416" t="s">
        <v>86</v>
      </c>
      <c r="C20" s="416" t="s">
        <v>1345</v>
      </c>
      <c r="D20" s="416">
        <v>2001</v>
      </c>
      <c r="E20" s="416">
        <v>2010</v>
      </c>
      <c r="F20" s="485" t="s">
        <v>5145</v>
      </c>
      <c r="G20" s="485" t="s">
        <v>5146</v>
      </c>
      <c r="H20" s="416" t="s">
        <v>5107</v>
      </c>
      <c r="I20" s="489">
        <v>45692</v>
      </c>
      <c r="J20" s="416" t="s">
        <v>1499</v>
      </c>
      <c r="K20" s="416" t="s">
        <v>5108</v>
      </c>
      <c r="L20" s="416" t="s">
        <v>1856</v>
      </c>
      <c r="M20" s="416"/>
      <c r="N20" s="416"/>
      <c r="O20" s="416"/>
      <c r="P20" s="416"/>
      <c r="Q20" s="416"/>
      <c r="R20" s="416"/>
      <c r="S20" s="416"/>
      <c r="T20" s="416"/>
    </row>
    <row r="21" spans="1:20" ht="69" x14ac:dyDescent="0.25">
      <c r="A21" s="416" t="s">
        <v>67</v>
      </c>
      <c r="B21" s="416" t="s">
        <v>86</v>
      </c>
      <c r="C21" s="416" t="s">
        <v>1073</v>
      </c>
      <c r="D21" s="416"/>
      <c r="E21" s="416"/>
      <c r="F21" s="485" t="s">
        <v>5105</v>
      </c>
      <c r="G21" s="485" t="s">
        <v>5147</v>
      </c>
      <c r="H21" s="416" t="s">
        <v>5107</v>
      </c>
      <c r="I21" s="489">
        <v>45697</v>
      </c>
      <c r="J21" s="416" t="s">
        <v>1499</v>
      </c>
      <c r="K21" s="416" t="s">
        <v>5108</v>
      </c>
      <c r="L21" s="416" t="s">
        <v>1856</v>
      </c>
      <c r="M21" s="416"/>
      <c r="N21" s="416"/>
      <c r="O21" s="416"/>
      <c r="P21" s="416"/>
      <c r="Q21" s="416"/>
      <c r="R21" s="416"/>
      <c r="S21" s="416"/>
      <c r="T21" s="416"/>
    </row>
    <row r="22" spans="1:20" ht="69" x14ac:dyDescent="0.25">
      <c r="A22" s="416" t="s">
        <v>67</v>
      </c>
      <c r="B22" s="416" t="s">
        <v>103</v>
      </c>
      <c r="C22" s="416" t="s">
        <v>632</v>
      </c>
      <c r="D22" s="416"/>
      <c r="E22" s="416"/>
      <c r="F22" s="485" t="s">
        <v>5105</v>
      </c>
      <c r="G22" s="485" t="s">
        <v>5148</v>
      </c>
      <c r="H22" s="416" t="s">
        <v>5107</v>
      </c>
      <c r="I22" s="489">
        <v>45697</v>
      </c>
      <c r="J22" s="416" t="s">
        <v>1499</v>
      </c>
      <c r="K22" s="416" t="s">
        <v>5108</v>
      </c>
      <c r="L22" s="416" t="s">
        <v>1856</v>
      </c>
      <c r="M22" s="416"/>
      <c r="N22" s="416"/>
      <c r="O22" s="416"/>
      <c r="P22" s="416"/>
      <c r="Q22" s="416"/>
      <c r="R22" s="416"/>
      <c r="S22" s="416"/>
      <c r="T22" s="416"/>
    </row>
    <row r="23" spans="1:20" x14ac:dyDescent="0.25">
      <c r="L23" s="164" t="str">
        <f>IFERROR(COUNTIF($C$18:C23,C23)&amp;CHOOSE(MIN(4,COUNTIF($C$18:C23,C23)),"st","nd","rd","th"),"")</f>
        <v/>
      </c>
    </row>
    <row r="24" spans="1:20" x14ac:dyDescent="0.25">
      <c r="L24" s="164" t="str">
        <f>IFERROR(COUNTIF($C$18:C24,C24)&amp;CHOOSE(MIN(4,COUNTIF($C$18:C24,C24)),"st","nd","rd","th"),"")</f>
        <v/>
      </c>
    </row>
    <row r="25" spans="1:20" x14ac:dyDescent="0.25">
      <c r="L25" s="164" t="str">
        <f>IFERROR(COUNTIF($C$18:C25,C25)&amp;CHOOSE(MIN(4,COUNTIF($C$18:C25,C25)),"st","nd","rd","th"),"")</f>
        <v/>
      </c>
    </row>
    <row r="26" spans="1:20" x14ac:dyDescent="0.25">
      <c r="L26" s="164" t="str">
        <f>IFERROR(COUNTIF($C$18:C26,C26)&amp;CHOOSE(MIN(4,COUNTIF($C$18:C26,C26)),"st","nd","rd","th"),"")</f>
        <v/>
      </c>
    </row>
    <row r="27" spans="1:20" x14ac:dyDescent="0.25">
      <c r="L27" s="164" t="str">
        <f>IFERROR(COUNTIF($C$18:C27,C27)&amp;CHOOSE(MIN(4,COUNTIF($C$18:C27,C27)),"st","nd","rd","th"),"")</f>
        <v/>
      </c>
    </row>
    <row r="28" spans="1:20" x14ac:dyDescent="0.25">
      <c r="L28" s="164" t="str">
        <f>IFERROR(COUNTIF($C$18:C28,C28)&amp;CHOOSE(MIN(4,COUNTIF($C$18:C28,C28)),"st","nd","rd","th"),"")</f>
        <v/>
      </c>
    </row>
    <row r="29" spans="1:20" x14ac:dyDescent="0.25">
      <c r="L29" s="164" t="str">
        <f>IFERROR(COUNTIF($C$18:C29,C29)&amp;CHOOSE(MIN(4,COUNTIF($C$18:C29,C29)),"st","nd","rd","th"),"")</f>
        <v/>
      </c>
    </row>
    <row r="30" spans="1:20" x14ac:dyDescent="0.25">
      <c r="L30" s="164" t="str">
        <f>IFERROR(COUNTIF($C$18:C30,C30)&amp;CHOOSE(MIN(4,COUNTIF($C$18:C30,C30)),"st","nd","rd","th"),"")</f>
        <v/>
      </c>
    </row>
    <row r="31" spans="1:20" x14ac:dyDescent="0.25">
      <c r="L31" s="164" t="str">
        <f>IFERROR(COUNTIF($C$18:C31,C31)&amp;CHOOSE(MIN(4,COUNTIF($C$18:C31,C31)),"st","nd","rd","th"),"")</f>
        <v/>
      </c>
    </row>
    <row r="32" spans="1:20" x14ac:dyDescent="0.25">
      <c r="L32" s="164" t="str">
        <f>IFERROR(COUNTIF($C$18:C32,C32)&amp;CHOOSE(MIN(4,COUNTIF($C$18:C32,C32)),"st","nd","rd","th"),"")</f>
        <v/>
      </c>
    </row>
    <row r="33" spans="12:12" x14ac:dyDescent="0.25">
      <c r="L33" s="164" t="str">
        <f>IFERROR(COUNTIF($C$18:C33,C33)&amp;CHOOSE(MIN(4,COUNTIF($C$18:C33,C33)),"st","nd","rd","th"),"")</f>
        <v/>
      </c>
    </row>
    <row r="34" spans="12:12" x14ac:dyDescent="0.25">
      <c r="L34" s="164" t="str">
        <f>IFERROR(COUNTIF($C$18:C34,C34)&amp;CHOOSE(MIN(4,COUNTIF($C$18:C34,C34)),"st","nd","rd","th"),"")</f>
        <v/>
      </c>
    </row>
    <row r="35" spans="12:12" x14ac:dyDescent="0.25">
      <c r="L35" s="164" t="str">
        <f>IFERROR(COUNTIF($C$18:C35,C35)&amp;CHOOSE(MIN(4,COUNTIF($C$18:C35,C35)),"st","nd","rd","th"),"")</f>
        <v/>
      </c>
    </row>
    <row r="36" spans="12:12" x14ac:dyDescent="0.25">
      <c r="L36" s="164" t="str">
        <f>IFERROR(COUNTIF($C$18:C36,C36)&amp;CHOOSE(MIN(4,COUNTIF($C$18:C36,C36)),"st","nd","rd","th"),"")</f>
        <v/>
      </c>
    </row>
    <row r="37" spans="12:12" x14ac:dyDescent="0.25">
      <c r="L37" s="164" t="str">
        <f>IFERROR(COUNTIF($C$18:C37,C37)&amp;CHOOSE(MIN(4,COUNTIF($C$18:C37,C37)),"st","nd","rd","th"),"")</f>
        <v/>
      </c>
    </row>
    <row r="38" spans="12:12" x14ac:dyDescent="0.25">
      <c r="L38" s="164" t="str">
        <f>IFERROR(COUNTIF($C$18:C38,C38)&amp;CHOOSE(MIN(4,COUNTIF($C$18:C38,C38)),"st","nd","rd","th"),"")</f>
        <v/>
      </c>
    </row>
    <row r="39" spans="12:12" x14ac:dyDescent="0.25">
      <c r="L39" s="164" t="str">
        <f>IFERROR(COUNTIF($C$18:C39,C39)&amp;CHOOSE(MIN(4,COUNTIF($C$18:C39,C39)),"st","nd","rd","th"),"")</f>
        <v/>
      </c>
    </row>
    <row r="40" spans="12:12" x14ac:dyDescent="0.25">
      <c r="L40" s="164" t="str">
        <f>IFERROR(COUNTIF($C$18:C40,C40)&amp;CHOOSE(MIN(4,COUNTIF($C$18:C40,C40)),"st","nd","rd","th"),"")</f>
        <v/>
      </c>
    </row>
    <row r="41" spans="12:12" x14ac:dyDescent="0.25">
      <c r="L41" s="164" t="str">
        <f>IFERROR(COUNTIF($C$18:C41,C41)&amp;CHOOSE(MIN(4,COUNTIF($C$18:C41,C41)),"st","nd","rd","th"),"")</f>
        <v/>
      </c>
    </row>
    <row r="42" spans="12:12" x14ac:dyDescent="0.25">
      <c r="L42" s="164" t="str">
        <f>IFERROR(COUNTIF($C$18:C42,C42)&amp;CHOOSE(MIN(4,COUNTIF($C$18:C42,C42)),"st","nd","rd","th"),"")</f>
        <v/>
      </c>
    </row>
    <row r="43" spans="12:12" x14ac:dyDescent="0.25">
      <c r="L43" s="164" t="str">
        <f>IFERROR(COUNTIF($C$18:C43,C43)&amp;CHOOSE(MIN(4,COUNTIF($C$18:C43,C43)),"st","nd","rd","th"),"")</f>
        <v/>
      </c>
    </row>
    <row r="44" spans="12:12" x14ac:dyDescent="0.25">
      <c r="L44" s="164" t="str">
        <f>IFERROR(COUNTIF($C$18:C44,C44)&amp;CHOOSE(MIN(4,COUNTIF($C$18:C44,C44)),"st","nd","rd","th"),"")</f>
        <v/>
      </c>
    </row>
    <row r="45" spans="12:12" x14ac:dyDescent="0.25">
      <c r="L45" s="164" t="str">
        <f>IFERROR(COUNTIF($C$18:C45,C45)&amp;CHOOSE(MIN(4,COUNTIF($C$18:C45,C45)),"st","nd","rd","th"),"")</f>
        <v/>
      </c>
    </row>
    <row r="46" spans="12:12" x14ac:dyDescent="0.25">
      <c r="L46" s="164" t="str">
        <f>IFERROR(COUNTIF($C$18:C46,C46)&amp;CHOOSE(MIN(4,COUNTIF($C$18:C46,C46)),"st","nd","rd","th"),"")</f>
        <v/>
      </c>
    </row>
    <row r="47" spans="12:12" x14ac:dyDescent="0.25">
      <c r="L47" s="164" t="str">
        <f>IFERROR(COUNTIF($C$18:C47,C47)&amp;CHOOSE(MIN(4,COUNTIF($C$18:C47,C47)),"st","nd","rd","th"),"")</f>
        <v/>
      </c>
    </row>
    <row r="48" spans="12:12" x14ac:dyDescent="0.25">
      <c r="L48" s="164" t="str">
        <f>IFERROR(COUNTIF($C$18:C48,C48)&amp;CHOOSE(MIN(4,COUNTIF($C$18:C48,C48)),"st","nd","rd","th"),"")</f>
        <v/>
      </c>
    </row>
    <row r="49" spans="12:12" x14ac:dyDescent="0.25">
      <c r="L49" s="164" t="str">
        <f>IFERROR(COUNTIF($C$18:C49,C49)&amp;CHOOSE(MIN(4,COUNTIF($C$18:C49,C49)),"st","nd","rd","th"),"")</f>
        <v/>
      </c>
    </row>
    <row r="50" spans="12:12" x14ac:dyDescent="0.25">
      <c r="L50" s="164" t="str">
        <f>IFERROR(COUNTIF($C$18:C50,C50)&amp;CHOOSE(MIN(4,COUNTIF($C$18:C50,C50)),"st","nd","rd","th"),"")</f>
        <v/>
      </c>
    </row>
    <row r="51" spans="12:12" x14ac:dyDescent="0.25">
      <c r="L51" s="164" t="str">
        <f>IFERROR(COUNTIF($C$18:C51,C51)&amp;CHOOSE(MIN(4,COUNTIF($C$18:C51,C51)),"st","nd","rd","th"),"")</f>
        <v/>
      </c>
    </row>
    <row r="52" spans="12:12" x14ac:dyDescent="0.25">
      <c r="L52" s="164" t="str">
        <f>IFERROR(COUNTIF($C$18:C52,C52)&amp;CHOOSE(MIN(4,COUNTIF($C$18:C52,C52)),"st","nd","rd","th"),"")</f>
        <v/>
      </c>
    </row>
    <row r="53" spans="12:12" x14ac:dyDescent="0.25">
      <c r="L53" s="164" t="str">
        <f>IFERROR(COUNTIF($C$18:C53,C53)&amp;CHOOSE(MIN(4,COUNTIF($C$18:C53,C53)),"st","nd","rd","th"),"")</f>
        <v/>
      </c>
    </row>
    <row r="54" spans="12:12" x14ac:dyDescent="0.25">
      <c r="L54" s="164" t="str">
        <f>IFERROR(COUNTIF($C$18:C54,C54)&amp;CHOOSE(MIN(4,COUNTIF($C$18:C54,C54)),"st","nd","rd","th"),"")</f>
        <v/>
      </c>
    </row>
    <row r="55" spans="12:12" x14ac:dyDescent="0.25">
      <c r="L55" s="164" t="str">
        <f>IFERROR(COUNTIF($C$18:C55,C55)&amp;CHOOSE(MIN(4,COUNTIF($C$18:C55,C55)),"st","nd","rd","th"),"")</f>
        <v/>
      </c>
    </row>
    <row r="56" spans="12:12" x14ac:dyDescent="0.25">
      <c r="L56" s="164" t="str">
        <f>IFERROR(COUNTIF($C$18:C56,C56)&amp;CHOOSE(MIN(4,COUNTIF($C$18:C56,C56)),"st","nd","rd","th"),"")</f>
        <v/>
      </c>
    </row>
    <row r="57" spans="12:12" x14ac:dyDescent="0.25">
      <c r="L57" s="164" t="str">
        <f>IFERROR(COUNTIF($C$18:C57,C57)&amp;CHOOSE(MIN(4,COUNTIF($C$18:C57,C57)),"st","nd","rd","th"),"")</f>
        <v/>
      </c>
    </row>
    <row r="58" spans="12:12" x14ac:dyDescent="0.25">
      <c r="L58" s="164" t="str">
        <f>IFERROR(COUNTIF($C$18:C58,C58)&amp;CHOOSE(MIN(4,COUNTIF($C$18:C58,C58)),"st","nd","rd","th"),"")</f>
        <v/>
      </c>
    </row>
    <row r="59" spans="12:12" x14ac:dyDescent="0.25">
      <c r="L59" s="164" t="str">
        <f>IFERROR(COUNTIF($C$18:C59,C59)&amp;CHOOSE(MIN(4,COUNTIF($C$18:C59,C59)),"st","nd","rd","th"),"")</f>
        <v/>
      </c>
    </row>
    <row r="60" spans="12:12" x14ac:dyDescent="0.25">
      <c r="L60" s="164" t="str">
        <f>IFERROR(COUNTIF($C$18:C60,C60)&amp;CHOOSE(MIN(4,COUNTIF($C$18:C60,C60)),"st","nd","rd","th"),"")</f>
        <v/>
      </c>
    </row>
    <row r="61" spans="12:12" x14ac:dyDescent="0.25">
      <c r="L61" s="164" t="str">
        <f>IFERROR(COUNTIF($C$18:C61,C61)&amp;CHOOSE(MIN(4,COUNTIF($C$18:C61,C61)),"st","nd","rd","th"),"")</f>
        <v/>
      </c>
    </row>
    <row r="62" spans="12:12" x14ac:dyDescent="0.25">
      <c r="L62" s="164" t="str">
        <f>IFERROR(COUNTIF($C$18:C62,C62)&amp;CHOOSE(MIN(4,COUNTIF($C$18:C62,C62)),"st","nd","rd","th"),"")</f>
        <v/>
      </c>
    </row>
    <row r="63" spans="12:12" x14ac:dyDescent="0.25">
      <c r="L63" s="164" t="str">
        <f>IFERROR(COUNTIF($C$18:C63,C63)&amp;CHOOSE(MIN(4,COUNTIF($C$18:C63,C63)),"st","nd","rd","th"),"")</f>
        <v/>
      </c>
    </row>
    <row r="64" spans="12:12" x14ac:dyDescent="0.25">
      <c r="L64" s="164" t="str">
        <f>IFERROR(COUNTIF($C$18:C64,C64)&amp;CHOOSE(MIN(4,COUNTIF($C$18:C64,C64)),"st","nd","rd","th"),"")</f>
        <v/>
      </c>
    </row>
    <row r="65" spans="12:12" x14ac:dyDescent="0.25">
      <c r="L65" s="164" t="str">
        <f>IFERROR(COUNTIF($C$18:C65,C65)&amp;CHOOSE(MIN(4,COUNTIF($C$18:C65,C65)),"st","nd","rd","th"),"")</f>
        <v/>
      </c>
    </row>
    <row r="66" spans="12:12" x14ac:dyDescent="0.25">
      <c r="L66" s="164" t="str">
        <f>IFERROR(COUNTIF($C$18:C66,C66)&amp;CHOOSE(MIN(4,COUNTIF($C$18:C66,C66)),"st","nd","rd","th"),"")</f>
        <v/>
      </c>
    </row>
    <row r="67" spans="12:12" x14ac:dyDescent="0.25">
      <c r="L67" s="164" t="str">
        <f>IFERROR(COUNTIF($C$18:C67,C67)&amp;CHOOSE(MIN(4,COUNTIF($C$18:C67,C67)),"st","nd","rd","th"),"")</f>
        <v/>
      </c>
    </row>
    <row r="68" spans="12:12" x14ac:dyDescent="0.25">
      <c r="L68" s="164" t="str">
        <f>IFERROR(COUNTIF($C$18:C68,C68)&amp;CHOOSE(MIN(4,COUNTIF($C$18:C68,C68)),"st","nd","rd","th"),"")</f>
        <v/>
      </c>
    </row>
    <row r="69" spans="12:12" x14ac:dyDescent="0.25">
      <c r="L69" s="164" t="str">
        <f>IFERROR(COUNTIF($C$18:C69,C69)&amp;CHOOSE(MIN(4,COUNTIF($C$18:C69,C69)),"st","nd","rd","th"),"")</f>
        <v/>
      </c>
    </row>
    <row r="70" spans="12:12" x14ac:dyDescent="0.25">
      <c r="L70" s="164" t="str">
        <f>IFERROR(COUNTIF($C$18:C70,C70)&amp;CHOOSE(MIN(4,COUNTIF($C$18:C70,C70)),"st","nd","rd","th"),"")</f>
        <v/>
      </c>
    </row>
    <row r="71" spans="12:12" x14ac:dyDescent="0.25">
      <c r="L71" s="164" t="str">
        <f>IFERROR(COUNTIF($C$18:C71,C71)&amp;CHOOSE(MIN(4,COUNTIF($C$18:C71,C71)),"st","nd","rd","th"),"")</f>
        <v/>
      </c>
    </row>
    <row r="72" spans="12:12" x14ac:dyDescent="0.25">
      <c r="L72" s="164" t="str">
        <f>IFERROR(COUNTIF($C$18:C72,C72)&amp;CHOOSE(MIN(4,COUNTIF($C$18:C72,C72)),"st","nd","rd","th"),"")</f>
        <v/>
      </c>
    </row>
    <row r="73" spans="12:12" x14ac:dyDescent="0.25">
      <c r="L73" s="164" t="str">
        <f>IFERROR(COUNTIF($C$18:C73,C73)&amp;CHOOSE(MIN(4,COUNTIF($C$18:C73,C73)),"st","nd","rd","th"),"")</f>
        <v/>
      </c>
    </row>
    <row r="74" spans="12:12" x14ac:dyDescent="0.25">
      <c r="L74" s="164" t="str">
        <f>IFERROR(COUNTIF($C$18:C74,C74)&amp;CHOOSE(MIN(4,COUNTIF($C$18:C74,C74)),"st","nd","rd","th"),"")</f>
        <v/>
      </c>
    </row>
    <row r="75" spans="12:12" x14ac:dyDescent="0.25">
      <c r="L75" s="164" t="str">
        <f>IFERROR(COUNTIF($C$18:C75,C75)&amp;CHOOSE(MIN(4,COUNTIF($C$18:C75,C75)),"st","nd","rd","th"),"")</f>
        <v/>
      </c>
    </row>
    <row r="76" spans="12:12" x14ac:dyDescent="0.25">
      <c r="L76" s="164" t="str">
        <f>IFERROR(COUNTIF($C$18:C76,C76)&amp;CHOOSE(MIN(4,COUNTIF($C$18:C76,C76)),"st","nd","rd","th"),"")</f>
        <v/>
      </c>
    </row>
    <row r="77" spans="12:12" x14ac:dyDescent="0.25">
      <c r="L77" s="164" t="str">
        <f>IFERROR(COUNTIF($C$18:C77,C77)&amp;CHOOSE(MIN(4,COUNTIF($C$18:C77,C77)),"st","nd","rd","th"),"")</f>
        <v/>
      </c>
    </row>
    <row r="78" spans="12:12" x14ac:dyDescent="0.25">
      <c r="L78" s="164" t="str">
        <f>IFERROR(COUNTIF($C$18:C78,C78)&amp;CHOOSE(MIN(4,COUNTIF($C$18:C78,C78)),"st","nd","rd","th"),"")</f>
        <v/>
      </c>
    </row>
    <row r="79" spans="12:12" x14ac:dyDescent="0.25">
      <c r="L79" s="164" t="str">
        <f>IFERROR(COUNTIF($C$18:C79,C79)&amp;CHOOSE(MIN(4,COUNTIF($C$18:C79,C79)),"st","nd","rd","th"),"")</f>
        <v/>
      </c>
    </row>
    <row r="80" spans="12:12" x14ac:dyDescent="0.25">
      <c r="L80" s="164" t="str">
        <f>IFERROR(COUNTIF($C$18:C80,C80)&amp;CHOOSE(MIN(4,COUNTIF($C$18:C80,C80)),"st","nd","rd","th"),"")</f>
        <v/>
      </c>
    </row>
    <row r="81" spans="12:12" x14ac:dyDescent="0.25">
      <c r="L81" s="164" t="str">
        <f>IFERROR(COUNTIF($C$18:C81,C81)&amp;CHOOSE(MIN(4,COUNTIF($C$18:C81,C81)),"st","nd","rd","th"),"")</f>
        <v/>
      </c>
    </row>
    <row r="82" spans="12:12" x14ac:dyDescent="0.25">
      <c r="L82" s="164" t="str">
        <f>IFERROR(COUNTIF($C$18:C82,C82)&amp;CHOOSE(MIN(4,COUNTIF($C$18:C82,C82)),"st","nd","rd","th"),"")</f>
        <v/>
      </c>
    </row>
    <row r="83" spans="12:12" x14ac:dyDescent="0.25">
      <c r="L83" s="164" t="str">
        <f>IFERROR(COUNTIF($C$18:C83,C83)&amp;CHOOSE(MIN(4,COUNTIF($C$18:C83,C83)),"st","nd","rd","th"),"")</f>
        <v/>
      </c>
    </row>
    <row r="84" spans="12:12" x14ac:dyDescent="0.25">
      <c r="L84" s="164" t="str">
        <f>IFERROR(COUNTIF($C$18:C84,C84)&amp;CHOOSE(MIN(4,COUNTIF($C$18:C84,C84)),"st","nd","rd","th"),"")</f>
        <v/>
      </c>
    </row>
    <row r="85" spans="12:12" x14ac:dyDescent="0.25">
      <c r="L85" s="164" t="str">
        <f>IFERROR(COUNTIF($C$18:C85,C85)&amp;CHOOSE(MIN(4,COUNTIF($C$18:C85,C85)),"st","nd","rd","th"),"")</f>
        <v/>
      </c>
    </row>
    <row r="86" spans="12:12" x14ac:dyDescent="0.25">
      <c r="L86" s="164" t="str">
        <f>IFERROR(COUNTIF($C$18:C86,C86)&amp;CHOOSE(MIN(4,COUNTIF($C$18:C86,C86)),"st","nd","rd","th"),"")</f>
        <v/>
      </c>
    </row>
    <row r="87" spans="12:12" x14ac:dyDescent="0.25">
      <c r="L87" s="164" t="str">
        <f>IFERROR(COUNTIF($C$18:C87,C87)&amp;CHOOSE(MIN(4,COUNTIF($C$18:C87,C87)),"st","nd","rd","th"),"")</f>
        <v/>
      </c>
    </row>
    <row r="88" spans="12:12" x14ac:dyDescent="0.25">
      <c r="L88" s="164" t="str">
        <f>IFERROR(COUNTIF($C$18:C88,C88)&amp;CHOOSE(MIN(4,COUNTIF($C$18:C88,C88)),"st","nd","rd","th"),"")</f>
        <v/>
      </c>
    </row>
    <row r="89" spans="12:12" x14ac:dyDescent="0.25">
      <c r="L89" s="164" t="str">
        <f>IFERROR(COUNTIF($C$18:C89,C89)&amp;CHOOSE(MIN(4,COUNTIF($C$18:C89,C89)),"st","nd","rd","th"),"")</f>
        <v/>
      </c>
    </row>
    <row r="90" spans="12:12" x14ac:dyDescent="0.25">
      <c r="L90" s="164" t="str">
        <f>IFERROR(COUNTIF($C$18:C90,C90)&amp;CHOOSE(MIN(4,COUNTIF($C$18:C90,C90)),"st","nd","rd","th"),"")</f>
        <v/>
      </c>
    </row>
    <row r="91" spans="12:12" x14ac:dyDescent="0.25">
      <c r="L91" s="164" t="str">
        <f>IFERROR(COUNTIF($C$18:C91,C91)&amp;CHOOSE(MIN(4,COUNTIF($C$18:C91,C91)),"st","nd","rd","th"),"")</f>
        <v/>
      </c>
    </row>
    <row r="92" spans="12:12" x14ac:dyDescent="0.25">
      <c r="L92" s="164" t="str">
        <f>IFERROR(COUNTIF($C$18:C92,C92)&amp;CHOOSE(MIN(4,COUNTIF($C$18:C92,C92)),"st","nd","rd","th"),"")</f>
        <v/>
      </c>
    </row>
    <row r="93" spans="12:12" x14ac:dyDescent="0.25">
      <c r="L93" s="164" t="str">
        <f>IFERROR(COUNTIF($C$18:C93,C93)&amp;CHOOSE(MIN(4,COUNTIF($C$18:C93,C93)),"st","nd","rd","th"),"")</f>
        <v/>
      </c>
    </row>
    <row r="94" spans="12:12" x14ac:dyDescent="0.25">
      <c r="L94" s="164" t="str">
        <f>IFERROR(COUNTIF($C$18:C94,C94)&amp;CHOOSE(MIN(4,COUNTIF($C$18:C94,C94)),"st","nd","rd","th"),"")</f>
        <v/>
      </c>
    </row>
    <row r="95" spans="12:12" x14ac:dyDescent="0.25">
      <c r="L95" s="164" t="str">
        <f>IFERROR(COUNTIF($C$18:C95,C95)&amp;CHOOSE(MIN(4,COUNTIF($C$18:C95,C95)),"st","nd","rd","th"),"")</f>
        <v/>
      </c>
    </row>
    <row r="96" spans="12:12" x14ac:dyDescent="0.25">
      <c r="L96" s="164" t="str">
        <f>IFERROR(COUNTIF($C$18:C96,C96)&amp;CHOOSE(MIN(4,COUNTIF($C$18:C96,C96)),"st","nd","rd","th"),"")</f>
        <v/>
      </c>
    </row>
    <row r="97" spans="12:12" x14ac:dyDescent="0.25">
      <c r="L97" s="164" t="str">
        <f>IFERROR(COUNTIF($C$18:C97,C97)&amp;CHOOSE(MIN(4,COUNTIF($C$18:C97,C97)),"st","nd","rd","th"),"")</f>
        <v/>
      </c>
    </row>
    <row r="98" spans="12:12" x14ac:dyDescent="0.25">
      <c r="L98" s="164" t="str">
        <f>IFERROR(COUNTIF($C$18:C98,C98)&amp;CHOOSE(MIN(4,COUNTIF($C$18:C98,C98)),"st","nd","rd","th"),"")</f>
        <v/>
      </c>
    </row>
    <row r="99" spans="12:12" x14ac:dyDescent="0.25">
      <c r="L99" s="164" t="str">
        <f>IFERROR(COUNTIF($C$18:C99,C99)&amp;CHOOSE(MIN(4,COUNTIF($C$18:C99,C99)),"st","nd","rd","th"),"")</f>
        <v/>
      </c>
    </row>
    <row r="100" spans="12:12" x14ac:dyDescent="0.25">
      <c r="L100" s="164" t="str">
        <f>IFERROR(COUNTIF($C$18:C100,C100)&amp;CHOOSE(MIN(4,COUNTIF($C$18:C100,C100)),"st","nd","rd","th"),"")</f>
        <v/>
      </c>
    </row>
    <row r="101" spans="12:12" x14ac:dyDescent="0.25">
      <c r="L101" s="164" t="str">
        <f>IFERROR(COUNTIF($C$18:C101,C101)&amp;CHOOSE(MIN(4,COUNTIF($C$18:C101,C101)),"st","nd","rd","th"),"")</f>
        <v/>
      </c>
    </row>
    <row r="102" spans="12:12" x14ac:dyDescent="0.25">
      <c r="L102" s="164" t="str">
        <f>IFERROR(COUNTIF($C$18:C102,C102)&amp;CHOOSE(MIN(4,COUNTIF($C$18:C102,C102)),"st","nd","rd","th"),"")</f>
        <v/>
      </c>
    </row>
    <row r="103" spans="12:12" x14ac:dyDescent="0.25">
      <c r="L103" s="164" t="str">
        <f>IFERROR(COUNTIF($C$18:C103,C103)&amp;CHOOSE(MIN(4,COUNTIF($C$18:C103,C103)),"st","nd","rd","th"),"")</f>
        <v/>
      </c>
    </row>
    <row r="104" spans="12:12" x14ac:dyDescent="0.25">
      <c r="L104" s="164" t="str">
        <f>IFERROR(COUNTIF($C$18:C104,C104)&amp;CHOOSE(MIN(4,COUNTIF($C$18:C104,C104)),"st","nd","rd","th"),"")</f>
        <v/>
      </c>
    </row>
    <row r="105" spans="12:12" x14ac:dyDescent="0.25">
      <c r="L105" s="164" t="str">
        <f>IFERROR(COUNTIF($C$18:C105,C105)&amp;CHOOSE(MIN(4,COUNTIF($C$18:C105,C105)),"st","nd","rd","th"),"")</f>
        <v/>
      </c>
    </row>
    <row r="106" spans="12:12" x14ac:dyDescent="0.25">
      <c r="L106" s="164" t="str">
        <f>IFERROR(COUNTIF($C$18:C106,C106)&amp;CHOOSE(MIN(4,COUNTIF($C$18:C106,C106)),"st","nd","rd","th"),"")</f>
        <v/>
      </c>
    </row>
    <row r="107" spans="12:12" x14ac:dyDescent="0.25">
      <c r="L107" s="164" t="str">
        <f>IFERROR(COUNTIF($C$18:C107,C107)&amp;CHOOSE(MIN(4,COUNTIF($C$18:C107,C107)),"st","nd","rd","th"),"")</f>
        <v/>
      </c>
    </row>
    <row r="108" spans="12:12" x14ac:dyDescent="0.25">
      <c r="L108" s="164" t="str">
        <f>IFERROR(COUNTIF($C$18:C108,C108)&amp;CHOOSE(MIN(4,COUNTIF($C$18:C108,C108)),"st","nd","rd","th"),"")</f>
        <v/>
      </c>
    </row>
    <row r="109" spans="12:12" x14ac:dyDescent="0.25">
      <c r="L109" s="164" t="str">
        <f>IFERROR(COUNTIF($C$18:C109,C109)&amp;CHOOSE(MIN(4,COUNTIF($C$18:C109,C109)),"st","nd","rd","th"),"")</f>
        <v/>
      </c>
    </row>
    <row r="110" spans="12:12" x14ac:dyDescent="0.25">
      <c r="L110" s="164" t="str">
        <f>IFERROR(COUNTIF($C$18:C110,C110)&amp;CHOOSE(MIN(4,COUNTIF($C$18:C110,C110)),"st","nd","rd","th"),"")</f>
        <v/>
      </c>
    </row>
    <row r="111" spans="12:12" x14ac:dyDescent="0.25">
      <c r="L111" s="164" t="str">
        <f>IFERROR(COUNTIF($C$18:C111,C111)&amp;CHOOSE(MIN(4,COUNTIF($C$18:C111,C111)),"st","nd","rd","th"),"")</f>
        <v/>
      </c>
    </row>
    <row r="112" spans="12:12" x14ac:dyDescent="0.25">
      <c r="L112" s="164" t="str">
        <f>IFERROR(COUNTIF($C$18:C112,C112)&amp;CHOOSE(MIN(4,COUNTIF($C$18:C112,C112)),"st","nd","rd","th"),"")</f>
        <v/>
      </c>
    </row>
    <row r="113" spans="12:12" x14ac:dyDescent="0.25">
      <c r="L113" s="164" t="str">
        <f>IFERROR(COUNTIF($C$18:C113,C113)&amp;CHOOSE(MIN(4,COUNTIF($C$18:C113,C113)),"st","nd","rd","th"),"")</f>
        <v/>
      </c>
    </row>
    <row r="114" spans="12:12" x14ac:dyDescent="0.25">
      <c r="L114" s="164" t="str">
        <f>IFERROR(COUNTIF($C$18:C114,C114)&amp;CHOOSE(MIN(4,COUNTIF($C$18:C114,C114)),"st","nd","rd","th"),"")</f>
        <v/>
      </c>
    </row>
    <row r="115" spans="12:12" x14ac:dyDescent="0.25">
      <c r="L115" s="164" t="str">
        <f>IFERROR(COUNTIF($C$18:C115,C115)&amp;CHOOSE(MIN(4,COUNTIF($C$18:C115,C115)),"st","nd","rd","th"),"")</f>
        <v/>
      </c>
    </row>
    <row r="116" spans="12:12" x14ac:dyDescent="0.25">
      <c r="L116" s="164" t="str">
        <f>IFERROR(COUNTIF($C$18:C116,C116)&amp;CHOOSE(MIN(4,COUNTIF($C$18:C116,C116)),"st","nd","rd","th"),"")</f>
        <v/>
      </c>
    </row>
    <row r="117" spans="12:12" x14ac:dyDescent="0.25">
      <c r="L117" s="164" t="str">
        <f>IFERROR(COUNTIF($C$18:C117,C117)&amp;CHOOSE(MIN(4,COUNTIF($C$18:C117,C117)),"st","nd","rd","th"),"")</f>
        <v/>
      </c>
    </row>
    <row r="118" spans="12:12" x14ac:dyDescent="0.25">
      <c r="L118" s="164" t="str">
        <f>IFERROR(COUNTIF($C$18:C118,C118)&amp;CHOOSE(MIN(4,COUNTIF($C$18:C118,C118)),"st","nd","rd","th"),"")</f>
        <v/>
      </c>
    </row>
    <row r="119" spans="12:12" x14ac:dyDescent="0.25">
      <c r="L119" s="164" t="str">
        <f>IFERROR(COUNTIF($C$18:C119,C119)&amp;CHOOSE(MIN(4,COUNTIF($C$18:C119,C119)),"st","nd","rd","th"),"")</f>
        <v/>
      </c>
    </row>
    <row r="120" spans="12:12" x14ac:dyDescent="0.25">
      <c r="L120" s="164" t="str">
        <f>IFERROR(COUNTIF($C$18:C120,C120)&amp;CHOOSE(MIN(4,COUNTIF($C$18:C120,C120)),"st","nd","rd","th"),"")</f>
        <v/>
      </c>
    </row>
    <row r="121" spans="12:12" x14ac:dyDescent="0.25">
      <c r="L121" s="164" t="str">
        <f>IFERROR(COUNTIF($C$18:C121,C121)&amp;CHOOSE(MIN(4,COUNTIF($C$18:C121,C121)),"st","nd","rd","th"),"")</f>
        <v/>
      </c>
    </row>
    <row r="122" spans="12:12" x14ac:dyDescent="0.25">
      <c r="L122" s="164" t="str">
        <f>IFERROR(COUNTIF($C$18:C122,C122)&amp;CHOOSE(MIN(4,COUNTIF($C$18:C122,C122)),"st","nd","rd","th"),"")</f>
        <v/>
      </c>
    </row>
    <row r="123" spans="12:12" x14ac:dyDescent="0.25">
      <c r="L123" s="164" t="str">
        <f>IFERROR(COUNTIF($C$18:C123,C123)&amp;CHOOSE(MIN(4,COUNTIF($C$18:C123,C123)),"st","nd","rd","th"),"")</f>
        <v/>
      </c>
    </row>
    <row r="124" spans="12:12" x14ac:dyDescent="0.25">
      <c r="L124" s="164" t="str">
        <f>IFERROR(COUNTIF($C$18:C124,C124)&amp;CHOOSE(MIN(4,COUNTIF($C$18:C124,C124)),"st","nd","rd","th"),"")</f>
        <v/>
      </c>
    </row>
    <row r="125" spans="12:12" x14ac:dyDescent="0.25">
      <c r="L125" s="164" t="str">
        <f>IFERROR(COUNTIF($C$18:C125,C125)&amp;CHOOSE(MIN(4,COUNTIF($C$18:C125,C125)),"st","nd","rd","th"),"")</f>
        <v/>
      </c>
    </row>
    <row r="126" spans="12:12" x14ac:dyDescent="0.25">
      <c r="L126" s="164" t="str">
        <f>IFERROR(COUNTIF($C$18:C126,C126)&amp;CHOOSE(MIN(4,COUNTIF($C$18:C126,C126)),"st","nd","rd","th"),"")</f>
        <v/>
      </c>
    </row>
    <row r="127" spans="12:12" x14ac:dyDescent="0.25">
      <c r="L127" s="164" t="str">
        <f>IFERROR(COUNTIF($C$18:C127,C127)&amp;CHOOSE(MIN(4,COUNTIF($C$18:C127,C127)),"st","nd","rd","th"),"")</f>
        <v/>
      </c>
    </row>
    <row r="128" spans="12:12" x14ac:dyDescent="0.25">
      <c r="L128" s="164" t="str">
        <f>IFERROR(COUNTIF($C$18:C128,C128)&amp;CHOOSE(MIN(4,COUNTIF($C$18:C128,C128)),"st","nd","rd","th"),"")</f>
        <v/>
      </c>
    </row>
    <row r="129" spans="12:12" x14ac:dyDescent="0.25">
      <c r="L129" s="164" t="str">
        <f>IFERROR(COUNTIF($C$18:C129,C129)&amp;CHOOSE(MIN(4,COUNTIF($C$18:C129,C129)),"st","nd","rd","th"),"")</f>
        <v/>
      </c>
    </row>
    <row r="130" spans="12:12" x14ac:dyDescent="0.25">
      <c r="L130" s="164" t="str">
        <f>IFERROR(COUNTIF($C$18:C130,C130)&amp;CHOOSE(MIN(4,COUNTIF($C$18:C130,C130)),"st","nd","rd","th"),"")</f>
        <v/>
      </c>
    </row>
    <row r="131" spans="12:12" x14ac:dyDescent="0.25">
      <c r="L131" s="164" t="str">
        <f>IFERROR(COUNTIF($C$18:C131,C131)&amp;CHOOSE(MIN(4,COUNTIF($C$18:C131,C131)),"st","nd","rd","th"),"")</f>
        <v/>
      </c>
    </row>
    <row r="132" spans="12:12" x14ac:dyDescent="0.25">
      <c r="L132" s="164" t="str">
        <f>IFERROR(COUNTIF($C$18:C132,C132)&amp;CHOOSE(MIN(4,COUNTIF($C$18:C132,C132)),"st","nd","rd","th"),"")</f>
        <v/>
      </c>
    </row>
    <row r="133" spans="12:12" x14ac:dyDescent="0.25">
      <c r="L133" s="164" t="str">
        <f>IFERROR(COUNTIF($C$18:C133,C133)&amp;CHOOSE(MIN(4,COUNTIF($C$18:C133,C133)),"st","nd","rd","th"),"")</f>
        <v/>
      </c>
    </row>
    <row r="134" spans="12:12" x14ac:dyDescent="0.25">
      <c r="L134" s="164" t="str">
        <f>IFERROR(COUNTIF($C$18:C134,C134)&amp;CHOOSE(MIN(4,COUNTIF($C$18:C134,C134)),"st","nd","rd","th"),"")</f>
        <v/>
      </c>
    </row>
    <row r="135" spans="12:12" x14ac:dyDescent="0.25">
      <c r="L135" s="164" t="str">
        <f>IFERROR(COUNTIF($C$18:C135,C135)&amp;CHOOSE(MIN(4,COUNTIF($C$18:C135,C135)),"st","nd","rd","th"),"")</f>
        <v/>
      </c>
    </row>
    <row r="136" spans="12:12" x14ac:dyDescent="0.25">
      <c r="L136" s="164" t="str">
        <f>IFERROR(COUNTIF($C$18:C136,C136)&amp;CHOOSE(MIN(4,COUNTIF($C$18:C136,C136)),"st","nd","rd","th"),"")</f>
        <v/>
      </c>
    </row>
    <row r="137" spans="12:12" x14ac:dyDescent="0.25">
      <c r="L137" s="164" t="str">
        <f>IFERROR(COUNTIF($C$18:C137,C137)&amp;CHOOSE(MIN(4,COUNTIF($C$18:C137,C137)),"st","nd","rd","th"),"")</f>
        <v/>
      </c>
    </row>
    <row r="138" spans="12:12" x14ac:dyDescent="0.25">
      <c r="L138" s="164" t="str">
        <f>IFERROR(COUNTIF($C$18:C138,C138)&amp;CHOOSE(MIN(4,COUNTIF($C$18:C138,C138)),"st","nd","rd","th"),"")</f>
        <v/>
      </c>
    </row>
    <row r="139" spans="12:12" x14ac:dyDescent="0.25">
      <c r="L139" s="164" t="str">
        <f>IFERROR(COUNTIF($C$18:C139,C139)&amp;CHOOSE(MIN(4,COUNTIF($C$18:C139,C139)),"st","nd","rd","th"),"")</f>
        <v/>
      </c>
    </row>
    <row r="140" spans="12:12" x14ac:dyDescent="0.25">
      <c r="L140" s="164" t="str">
        <f>IFERROR(COUNTIF($C$18:C140,C140)&amp;CHOOSE(MIN(4,COUNTIF($C$18:C140,C140)),"st","nd","rd","th"),"")</f>
        <v/>
      </c>
    </row>
    <row r="141" spans="12:12" x14ac:dyDescent="0.25">
      <c r="L141" s="164" t="str">
        <f>IFERROR(COUNTIF($C$18:C141,C141)&amp;CHOOSE(MIN(4,COUNTIF($C$18:C141,C141)),"st","nd","rd","th"),"")</f>
        <v/>
      </c>
    </row>
    <row r="142" spans="12:12" x14ac:dyDescent="0.25">
      <c r="L142" s="164" t="str">
        <f>IFERROR(COUNTIF($C$18:C142,C142)&amp;CHOOSE(MIN(4,COUNTIF($C$18:C142,C142)),"st","nd","rd","th"),"")</f>
        <v/>
      </c>
    </row>
    <row r="143" spans="12:12" x14ac:dyDescent="0.25">
      <c r="L143" s="164" t="str">
        <f>IFERROR(COUNTIF($C$18:C143,C143)&amp;CHOOSE(MIN(4,COUNTIF($C$18:C143,C143)),"st","nd","rd","th"),"")</f>
        <v/>
      </c>
    </row>
    <row r="144" spans="12:12" x14ac:dyDescent="0.25">
      <c r="L144" s="164" t="str">
        <f>IFERROR(COUNTIF($C$18:C144,C144)&amp;CHOOSE(MIN(4,COUNTIF($C$18:C144,C144)),"st","nd","rd","th"),"")</f>
        <v/>
      </c>
    </row>
    <row r="145" spans="12:12" x14ac:dyDescent="0.25">
      <c r="L145" s="164" t="str">
        <f>IFERROR(COUNTIF($C$18:C145,C145)&amp;CHOOSE(MIN(4,COUNTIF($C$18:C145,C145)),"st","nd","rd","th"),"")</f>
        <v/>
      </c>
    </row>
    <row r="146" spans="12:12" x14ac:dyDescent="0.25">
      <c r="L146" s="164" t="str">
        <f>IFERROR(COUNTIF($C$18:C146,C146)&amp;CHOOSE(MIN(4,COUNTIF($C$18:C146,C146)),"st","nd","rd","th"),"")</f>
        <v/>
      </c>
    </row>
    <row r="147" spans="12:12" x14ac:dyDescent="0.25">
      <c r="L147" s="164" t="str">
        <f>IFERROR(COUNTIF($C$18:C147,C147)&amp;CHOOSE(MIN(4,COUNTIF($C$18:C147,C147)),"st","nd","rd","th"),"")</f>
        <v/>
      </c>
    </row>
    <row r="148" spans="12:12" x14ac:dyDescent="0.25">
      <c r="L148" s="164" t="str">
        <f>IFERROR(COUNTIF($C$18:C148,C148)&amp;CHOOSE(MIN(4,COUNTIF($C$18:C148,C148)),"st","nd","rd","th"),"")</f>
        <v/>
      </c>
    </row>
    <row r="149" spans="12:12" x14ac:dyDescent="0.25">
      <c r="L149" s="164" t="str">
        <f>IFERROR(COUNTIF($C$18:C149,C149)&amp;CHOOSE(MIN(4,COUNTIF($C$18:C149,C149)),"st","nd","rd","th"),"")</f>
        <v/>
      </c>
    </row>
    <row r="150" spans="12:12" x14ac:dyDescent="0.25">
      <c r="L150" s="164" t="str">
        <f>IFERROR(COUNTIF($C$18:C150,C150)&amp;CHOOSE(MIN(4,COUNTIF($C$18:C150,C150)),"st","nd","rd","th"),"")</f>
        <v/>
      </c>
    </row>
    <row r="151" spans="12:12" x14ac:dyDescent="0.25">
      <c r="L151" s="164" t="str">
        <f>IFERROR(COUNTIF($C$18:C151,C151)&amp;CHOOSE(MIN(4,COUNTIF($C$18:C151,C151)),"st","nd","rd","th"),"")</f>
        <v/>
      </c>
    </row>
    <row r="152" spans="12:12" x14ac:dyDescent="0.25">
      <c r="L152" s="164" t="str">
        <f>IFERROR(COUNTIF($C$18:C152,C152)&amp;CHOOSE(MIN(4,COUNTIF($C$18:C152,C152)),"st","nd","rd","th"),"")</f>
        <v/>
      </c>
    </row>
    <row r="153" spans="12:12" x14ac:dyDescent="0.25">
      <c r="L153" s="164" t="str">
        <f>IFERROR(COUNTIF($C$18:C153,C153)&amp;CHOOSE(MIN(4,COUNTIF($C$18:C153,C153)),"st","nd","rd","th"),"")</f>
        <v/>
      </c>
    </row>
    <row r="154" spans="12:12" x14ac:dyDescent="0.25">
      <c r="L154" s="164" t="str">
        <f>IFERROR(COUNTIF($C$18:C154,C154)&amp;CHOOSE(MIN(4,COUNTIF($C$18:C154,C154)),"st","nd","rd","th"),"")</f>
        <v/>
      </c>
    </row>
    <row r="155" spans="12:12" x14ac:dyDescent="0.25">
      <c r="L155" s="164" t="str">
        <f>IFERROR(COUNTIF($C$18:C155,C155)&amp;CHOOSE(MIN(4,COUNTIF($C$18:C155,C155)),"st","nd","rd","th"),"")</f>
        <v/>
      </c>
    </row>
    <row r="156" spans="12:12" x14ac:dyDescent="0.25">
      <c r="L156" s="164" t="str">
        <f>IFERROR(COUNTIF($C$18:C156,C156)&amp;CHOOSE(MIN(4,COUNTIF($C$18:C156,C156)),"st","nd","rd","th"),"")</f>
        <v/>
      </c>
    </row>
    <row r="157" spans="12:12" x14ac:dyDescent="0.25">
      <c r="L157" s="164" t="str">
        <f>IFERROR(COUNTIF($C$18:C157,C157)&amp;CHOOSE(MIN(4,COUNTIF($C$18:C157,C157)),"st","nd","rd","th"),"")</f>
        <v/>
      </c>
    </row>
    <row r="158" spans="12:12" x14ac:dyDescent="0.25">
      <c r="L158" s="164" t="str">
        <f>IFERROR(COUNTIF($C$18:C158,C158)&amp;CHOOSE(MIN(4,COUNTIF($C$18:C158,C158)),"st","nd","rd","th"),"")</f>
        <v/>
      </c>
    </row>
    <row r="159" spans="12:12" x14ac:dyDescent="0.25">
      <c r="L159" s="164" t="str">
        <f>IFERROR(COUNTIF($C$18:C159,C159)&amp;CHOOSE(MIN(4,COUNTIF($C$18:C159,C159)),"st","nd","rd","th"),"")</f>
        <v/>
      </c>
    </row>
    <row r="160" spans="12:12" x14ac:dyDescent="0.25">
      <c r="L160" s="164" t="str">
        <f>IFERROR(COUNTIF($C$18:C160,C160)&amp;CHOOSE(MIN(4,COUNTIF($C$18:C160,C160)),"st","nd","rd","th"),"")</f>
        <v/>
      </c>
    </row>
    <row r="161" spans="12:12" x14ac:dyDescent="0.25">
      <c r="L161" s="164" t="str">
        <f>IFERROR(COUNTIF($C$18:C161,C161)&amp;CHOOSE(MIN(4,COUNTIF($C$18:C161,C161)),"st","nd","rd","th"),"")</f>
        <v/>
      </c>
    </row>
    <row r="162" spans="12:12" x14ac:dyDescent="0.25">
      <c r="L162" s="164" t="str">
        <f>IFERROR(COUNTIF($C$18:C162,C162)&amp;CHOOSE(MIN(4,COUNTIF($C$18:C162,C162)),"st","nd","rd","th"),"")</f>
        <v/>
      </c>
    </row>
    <row r="163" spans="12:12" x14ac:dyDescent="0.25">
      <c r="L163" s="164" t="str">
        <f>IFERROR(COUNTIF($C$18:C163,C163)&amp;CHOOSE(MIN(4,COUNTIF($C$18:C163,C163)),"st","nd","rd","th"),"")</f>
        <v/>
      </c>
    </row>
    <row r="164" spans="12:12" x14ac:dyDescent="0.25">
      <c r="L164" s="164" t="str">
        <f>IFERROR(COUNTIF($C$18:C164,C164)&amp;CHOOSE(MIN(4,COUNTIF($C$18:C164,C164)),"st","nd","rd","th"),"")</f>
        <v/>
      </c>
    </row>
    <row r="165" spans="12:12" x14ac:dyDescent="0.25">
      <c r="L165" s="164" t="str">
        <f>IFERROR(COUNTIF($C$18:C165,C165)&amp;CHOOSE(MIN(4,COUNTIF($C$18:C165,C165)),"st","nd","rd","th"),"")</f>
        <v/>
      </c>
    </row>
    <row r="166" spans="12:12" x14ac:dyDescent="0.25">
      <c r="L166" s="164" t="str">
        <f>IFERROR(COUNTIF($C$18:C166,C166)&amp;CHOOSE(MIN(4,COUNTIF($C$18:C166,C166)),"st","nd","rd","th"),"")</f>
        <v/>
      </c>
    </row>
    <row r="167" spans="12:12" x14ac:dyDescent="0.25">
      <c r="L167" s="164" t="str">
        <f>IFERROR(COUNTIF($C$18:C167,C167)&amp;CHOOSE(MIN(4,COUNTIF($C$18:C167,C167)),"st","nd","rd","th"),"")</f>
        <v/>
      </c>
    </row>
    <row r="168" spans="12:12" x14ac:dyDescent="0.25">
      <c r="L168" s="164" t="str">
        <f>IFERROR(COUNTIF($C$18:C168,C168)&amp;CHOOSE(MIN(4,COUNTIF($C$18:C168,C168)),"st","nd","rd","th"),"")</f>
        <v/>
      </c>
    </row>
    <row r="169" spans="12:12" x14ac:dyDescent="0.25">
      <c r="L169" s="164" t="str">
        <f>IFERROR(COUNTIF($C$18:C169,C169)&amp;CHOOSE(MIN(4,COUNTIF($C$18:C169,C169)),"st","nd","rd","th"),"")</f>
        <v/>
      </c>
    </row>
    <row r="170" spans="12:12" x14ac:dyDescent="0.25">
      <c r="L170" s="164" t="str">
        <f>IFERROR(COUNTIF($C$18:C170,C170)&amp;CHOOSE(MIN(4,COUNTIF($C$18:C170,C170)),"st","nd","rd","th"),"")</f>
        <v/>
      </c>
    </row>
    <row r="171" spans="12:12" x14ac:dyDescent="0.25">
      <c r="L171" s="164" t="str">
        <f>IFERROR(COUNTIF($C$18:C171,C171)&amp;CHOOSE(MIN(4,COUNTIF($C$18:C171,C171)),"st","nd","rd","th"),"")</f>
        <v/>
      </c>
    </row>
    <row r="172" spans="12:12" x14ac:dyDescent="0.25">
      <c r="L172" s="164" t="str">
        <f>IFERROR(COUNTIF($C$18:C172,C172)&amp;CHOOSE(MIN(4,COUNTIF($C$18:C172,C172)),"st","nd","rd","th"),"")</f>
        <v/>
      </c>
    </row>
    <row r="173" spans="12:12" x14ac:dyDescent="0.25">
      <c r="L173" s="164" t="str">
        <f>IFERROR(COUNTIF($C$18:C173,C173)&amp;CHOOSE(MIN(4,COUNTIF($C$18:C173,C173)),"st","nd","rd","th"),"")</f>
        <v/>
      </c>
    </row>
    <row r="174" spans="12:12" x14ac:dyDescent="0.25">
      <c r="L174" s="164" t="str">
        <f>IFERROR(COUNTIF($C$18:C174,C174)&amp;CHOOSE(MIN(4,COUNTIF($C$18:C174,C174)),"st","nd","rd","th"),"")</f>
        <v/>
      </c>
    </row>
    <row r="175" spans="12:12" x14ac:dyDescent="0.25">
      <c r="L175" s="164" t="str">
        <f>IFERROR(COUNTIF($C$18:C175,C175)&amp;CHOOSE(MIN(4,COUNTIF($C$18:C175,C175)),"st","nd","rd","th"),"")</f>
        <v/>
      </c>
    </row>
    <row r="176" spans="12:12" x14ac:dyDescent="0.25">
      <c r="L176" s="164" t="str">
        <f>IFERROR(COUNTIF($C$18:C176,C176)&amp;CHOOSE(MIN(4,COUNTIF($C$18:C176,C176)),"st","nd","rd","th"),"")</f>
        <v/>
      </c>
    </row>
    <row r="177" spans="12:12" x14ac:dyDescent="0.25">
      <c r="L177" s="164" t="str">
        <f>IFERROR(COUNTIF($C$18:C177,C177)&amp;CHOOSE(MIN(4,COUNTIF($C$18:C177,C177)),"st","nd","rd","th"),"")</f>
        <v/>
      </c>
    </row>
    <row r="178" spans="12:12" x14ac:dyDescent="0.25">
      <c r="L178" s="164" t="str">
        <f>IFERROR(COUNTIF($C$18:C178,C178)&amp;CHOOSE(MIN(4,COUNTIF($C$18:C178,C178)),"st","nd","rd","th"),"")</f>
        <v/>
      </c>
    </row>
    <row r="179" spans="12:12" x14ac:dyDescent="0.25">
      <c r="L179" s="164" t="str">
        <f>IFERROR(COUNTIF($C$18:C179,C179)&amp;CHOOSE(MIN(4,COUNTIF($C$18:C179,C179)),"st","nd","rd","th"),"")</f>
        <v/>
      </c>
    </row>
    <row r="180" spans="12:12" x14ac:dyDescent="0.25">
      <c r="L180" s="164" t="str">
        <f>IFERROR(COUNTIF($C$18:C180,C180)&amp;CHOOSE(MIN(4,COUNTIF($C$18:C180,C180)),"st","nd","rd","th"),"")</f>
        <v/>
      </c>
    </row>
    <row r="181" spans="12:12" x14ac:dyDescent="0.25">
      <c r="L181" s="164" t="str">
        <f>IFERROR(COUNTIF($C$18:C181,C181)&amp;CHOOSE(MIN(4,COUNTIF($C$18:C181,C181)),"st","nd","rd","th"),"")</f>
        <v/>
      </c>
    </row>
    <row r="182" spans="12:12" x14ac:dyDescent="0.25">
      <c r="L182" s="164" t="str">
        <f>IFERROR(COUNTIF($C$18:C182,C182)&amp;CHOOSE(MIN(4,COUNTIF($C$18:C182,C182)),"st","nd","rd","th"),"")</f>
        <v/>
      </c>
    </row>
    <row r="183" spans="12:12" x14ac:dyDescent="0.25">
      <c r="L183" s="164" t="str">
        <f>IFERROR(COUNTIF($C$18:C183,C183)&amp;CHOOSE(MIN(4,COUNTIF($C$18:C183,C183)),"st","nd","rd","th"),"")</f>
        <v/>
      </c>
    </row>
    <row r="184" spans="12:12" x14ac:dyDescent="0.25">
      <c r="L184" s="164" t="str">
        <f>IFERROR(COUNTIF($C$18:C184,C184)&amp;CHOOSE(MIN(4,COUNTIF($C$18:C184,C184)),"st","nd","rd","th"),"")</f>
        <v/>
      </c>
    </row>
    <row r="185" spans="12:12" x14ac:dyDescent="0.25">
      <c r="L185" s="164" t="str">
        <f>IFERROR(COUNTIF($C$18:C185,C185)&amp;CHOOSE(MIN(4,COUNTIF($C$18:C185,C185)),"st","nd","rd","th"),"")</f>
        <v/>
      </c>
    </row>
    <row r="186" spans="12:12" x14ac:dyDescent="0.25">
      <c r="L186" s="164" t="str">
        <f>IFERROR(COUNTIF($C$18:C186,C186)&amp;CHOOSE(MIN(4,COUNTIF($C$18:C186,C186)),"st","nd","rd","th"),"")</f>
        <v/>
      </c>
    </row>
    <row r="187" spans="12:12" x14ac:dyDescent="0.25">
      <c r="L187" s="164" t="str">
        <f>IFERROR(COUNTIF($C$18:C187,C187)&amp;CHOOSE(MIN(4,COUNTIF($C$18:C187,C187)),"st","nd","rd","th"),"")</f>
        <v/>
      </c>
    </row>
    <row r="188" spans="12:12" x14ac:dyDescent="0.25">
      <c r="L188" s="164" t="str">
        <f>IFERROR(COUNTIF($C$18:C188,C188)&amp;CHOOSE(MIN(4,COUNTIF($C$18:C188,C188)),"st","nd","rd","th"),"")</f>
        <v/>
      </c>
    </row>
    <row r="189" spans="12:12" x14ac:dyDescent="0.25">
      <c r="L189" s="164" t="str">
        <f>IFERROR(COUNTIF($C$18:C189,C189)&amp;CHOOSE(MIN(4,COUNTIF($C$18:C189,C189)),"st","nd","rd","th"),"")</f>
        <v/>
      </c>
    </row>
    <row r="190" spans="12:12" x14ac:dyDescent="0.25">
      <c r="L190" s="164" t="str">
        <f>IFERROR(COUNTIF($C$18:C190,C190)&amp;CHOOSE(MIN(4,COUNTIF($C$18:C190,C190)),"st","nd","rd","th"),"")</f>
        <v/>
      </c>
    </row>
    <row r="191" spans="12:12" x14ac:dyDescent="0.25">
      <c r="L191" s="164" t="str">
        <f>IFERROR(COUNTIF($C$18:C191,C191)&amp;CHOOSE(MIN(4,COUNTIF($C$18:C191,C191)),"st","nd","rd","th"),"")</f>
        <v/>
      </c>
    </row>
    <row r="192" spans="12:12" x14ac:dyDescent="0.25">
      <c r="L192" s="164" t="str">
        <f>IFERROR(COUNTIF($C$18:C192,C192)&amp;CHOOSE(MIN(4,COUNTIF($C$18:C192,C192)),"st","nd","rd","th"),"")</f>
        <v/>
      </c>
    </row>
    <row r="193" spans="12:12" x14ac:dyDescent="0.25">
      <c r="L193" s="164" t="str">
        <f>IFERROR(COUNTIF($C$18:C193,C193)&amp;CHOOSE(MIN(4,COUNTIF($C$18:C193,C193)),"st","nd","rd","th"),"")</f>
        <v/>
      </c>
    </row>
    <row r="194" spans="12:12" x14ac:dyDescent="0.25">
      <c r="L194" s="164" t="str">
        <f>IFERROR(COUNTIF($C$18:C194,C194)&amp;CHOOSE(MIN(4,COUNTIF($C$18:C194,C194)),"st","nd","rd","th"),"")</f>
        <v/>
      </c>
    </row>
    <row r="195" spans="12:12" x14ac:dyDescent="0.25">
      <c r="L195" s="164" t="str">
        <f>IFERROR(COUNTIF($C$18:C195,C195)&amp;CHOOSE(MIN(4,COUNTIF($C$18:C195,C195)),"st","nd","rd","th"),"")</f>
        <v/>
      </c>
    </row>
    <row r="196" spans="12:12" x14ac:dyDescent="0.25">
      <c r="L196" s="164" t="str">
        <f>IFERROR(COUNTIF($C$18:C196,C196)&amp;CHOOSE(MIN(4,COUNTIF($C$18:C196,C196)),"st","nd","rd","th"),"")</f>
        <v/>
      </c>
    </row>
    <row r="197" spans="12:12" x14ac:dyDescent="0.25">
      <c r="L197" s="164" t="str">
        <f>IFERROR(COUNTIF($C$18:C197,C197)&amp;CHOOSE(MIN(4,COUNTIF($C$18:C197,C197)),"st","nd","rd","th"),"")</f>
        <v/>
      </c>
    </row>
    <row r="198" spans="12:12" x14ac:dyDescent="0.25">
      <c r="L198" s="164" t="str">
        <f>IFERROR(COUNTIF($C$18:C198,C198)&amp;CHOOSE(MIN(4,COUNTIF($C$18:C198,C198)),"st","nd","rd","th"),"")</f>
        <v/>
      </c>
    </row>
    <row r="199" spans="12:12" x14ac:dyDescent="0.25">
      <c r="L199" s="164" t="str">
        <f>IFERROR(COUNTIF($C$18:C199,C199)&amp;CHOOSE(MIN(4,COUNTIF($C$18:C199,C199)),"st","nd","rd","th"),"")</f>
        <v/>
      </c>
    </row>
    <row r="200" spans="12:12" x14ac:dyDescent="0.25">
      <c r="L200" s="164" t="str">
        <f>IFERROR(COUNTIF($C$18:C200,C200)&amp;CHOOSE(MIN(4,COUNTIF($C$18:C200,C200)),"st","nd","rd","th"),"")</f>
        <v/>
      </c>
    </row>
    <row r="201" spans="12:12" x14ac:dyDescent="0.25">
      <c r="L201" s="164" t="str">
        <f>IFERROR(COUNTIF($C$18:C201,C201)&amp;CHOOSE(MIN(4,COUNTIF($C$18:C201,C201)),"st","nd","rd","th"),"")</f>
        <v/>
      </c>
    </row>
    <row r="202" spans="12:12" x14ac:dyDescent="0.25">
      <c r="L202" s="164" t="str">
        <f>IFERROR(COUNTIF($C$18:C202,C202)&amp;CHOOSE(MIN(4,COUNTIF($C$18:C202,C202)),"st","nd","rd","th"),"")</f>
        <v/>
      </c>
    </row>
    <row r="203" spans="12:12" x14ac:dyDescent="0.25">
      <c r="L203" s="164" t="str">
        <f>IFERROR(COUNTIF($C$18:C203,C203)&amp;CHOOSE(MIN(4,COUNTIF($C$18:C203,C203)),"st","nd","rd","th"),"")</f>
        <v/>
      </c>
    </row>
    <row r="204" spans="12:12" x14ac:dyDescent="0.25">
      <c r="L204" s="164" t="str">
        <f>IFERROR(COUNTIF($C$18:C204,C204)&amp;CHOOSE(MIN(4,COUNTIF($C$18:C204,C204)),"st","nd","rd","th"),"")</f>
        <v/>
      </c>
    </row>
    <row r="205" spans="12:12" x14ac:dyDescent="0.25">
      <c r="L205" s="164" t="str">
        <f>IFERROR(COUNTIF($C$18:C205,C205)&amp;CHOOSE(MIN(4,COUNTIF($C$18:C205,C205)),"st","nd","rd","th"),"")</f>
        <v/>
      </c>
    </row>
    <row r="206" spans="12:12" x14ac:dyDescent="0.25">
      <c r="L206" s="164" t="str">
        <f>IFERROR(COUNTIF($C$18:C206,C206)&amp;CHOOSE(MIN(4,COUNTIF($C$18:C206,C206)),"st","nd","rd","th"),"")</f>
        <v/>
      </c>
    </row>
    <row r="207" spans="12:12" x14ac:dyDescent="0.25">
      <c r="L207" s="164" t="str">
        <f>IFERROR(COUNTIF($C$18:C207,C207)&amp;CHOOSE(MIN(4,COUNTIF($C$18:C207,C207)),"st","nd","rd","th"),"")</f>
        <v/>
      </c>
    </row>
    <row r="208" spans="12:12" x14ac:dyDescent="0.25">
      <c r="L208" s="164" t="str">
        <f>IFERROR(COUNTIF($C$18:C208,C208)&amp;CHOOSE(MIN(4,COUNTIF($C$18:C208,C208)),"st","nd","rd","th"),"")</f>
        <v/>
      </c>
    </row>
    <row r="209" spans="12:12" x14ac:dyDescent="0.25">
      <c r="L209" s="164" t="str">
        <f>IFERROR(COUNTIF($C$18:C209,C209)&amp;CHOOSE(MIN(4,COUNTIF($C$18:C209,C209)),"st","nd","rd","th"),"")</f>
        <v/>
      </c>
    </row>
    <row r="210" spans="12:12" x14ac:dyDescent="0.25">
      <c r="L210" s="164" t="str">
        <f>IFERROR(COUNTIF($C$18:C210,C210)&amp;CHOOSE(MIN(4,COUNTIF($C$18:C210,C210)),"st","nd","rd","th"),"")</f>
        <v/>
      </c>
    </row>
    <row r="211" spans="12:12" x14ac:dyDescent="0.25">
      <c r="L211" s="164" t="str">
        <f>IFERROR(COUNTIF($C$18:C211,C211)&amp;CHOOSE(MIN(4,COUNTIF($C$18:C211,C211)),"st","nd","rd","th"),"")</f>
        <v/>
      </c>
    </row>
    <row r="212" spans="12:12" x14ac:dyDescent="0.25">
      <c r="L212" s="164" t="str">
        <f>IFERROR(COUNTIF($C$18:C212,C212)&amp;CHOOSE(MIN(4,COUNTIF($C$18:C212,C212)),"st","nd","rd","th"),"")</f>
        <v/>
      </c>
    </row>
    <row r="213" spans="12:12" x14ac:dyDescent="0.25">
      <c r="L213" s="164" t="str">
        <f>IFERROR(COUNTIF($C$18:C213,C213)&amp;CHOOSE(MIN(4,COUNTIF($C$18:C213,C213)),"st","nd","rd","th"),"")</f>
        <v/>
      </c>
    </row>
    <row r="214" spans="12:12" x14ac:dyDescent="0.25">
      <c r="L214" s="164" t="str">
        <f>IFERROR(COUNTIF($C$18:C214,C214)&amp;CHOOSE(MIN(4,COUNTIF($C$18:C214,C214)),"st","nd","rd","th"),"")</f>
        <v/>
      </c>
    </row>
    <row r="215" spans="12:12" x14ac:dyDescent="0.25">
      <c r="L215" s="164" t="str">
        <f>IFERROR(COUNTIF($C$18:C215,C215)&amp;CHOOSE(MIN(4,COUNTIF($C$18:C215,C215)),"st","nd","rd","th"),"")</f>
        <v/>
      </c>
    </row>
    <row r="216" spans="12:12" x14ac:dyDescent="0.25">
      <c r="L216" s="164" t="str">
        <f>IFERROR(COUNTIF($C$18:C216,C216)&amp;CHOOSE(MIN(4,COUNTIF($C$18:C216,C216)),"st","nd","rd","th"),"")</f>
        <v/>
      </c>
    </row>
    <row r="217" spans="12:12" x14ac:dyDescent="0.25">
      <c r="L217" s="164" t="str">
        <f>IFERROR(COUNTIF($C$18:C217,C217)&amp;CHOOSE(MIN(4,COUNTIF($C$18:C217,C217)),"st","nd","rd","th"),"")</f>
        <v/>
      </c>
    </row>
    <row r="218" spans="12:12" x14ac:dyDescent="0.25">
      <c r="L218" s="164" t="str">
        <f>IFERROR(COUNTIF($C$18:C218,C218)&amp;CHOOSE(MIN(4,COUNTIF($C$18:C218,C218)),"st","nd","rd","th"),"")</f>
        <v/>
      </c>
    </row>
    <row r="219" spans="12:12" x14ac:dyDescent="0.25">
      <c r="L219" s="164" t="str">
        <f>IFERROR(COUNTIF($C$18:C219,C219)&amp;CHOOSE(MIN(4,COUNTIF($C$18:C219,C219)),"st","nd","rd","th"),"")</f>
        <v/>
      </c>
    </row>
    <row r="220" spans="12:12" x14ac:dyDescent="0.25">
      <c r="L220" s="164" t="str">
        <f>IFERROR(COUNTIF($C$18:C220,C220)&amp;CHOOSE(MIN(4,COUNTIF($C$18:C220,C220)),"st","nd","rd","th"),"")</f>
        <v/>
      </c>
    </row>
    <row r="221" spans="12:12" x14ac:dyDescent="0.25">
      <c r="L221" s="164" t="str">
        <f>IFERROR(COUNTIF($C$18:C221,C221)&amp;CHOOSE(MIN(4,COUNTIF($C$18:C221,C221)),"st","nd","rd","th"),"")</f>
        <v/>
      </c>
    </row>
    <row r="222" spans="12:12" x14ac:dyDescent="0.25">
      <c r="L222" s="164" t="str">
        <f>IFERROR(COUNTIF($C$18:C222,C222)&amp;CHOOSE(MIN(4,COUNTIF($C$18:C222,C222)),"st","nd","rd","th"),"")</f>
        <v/>
      </c>
    </row>
    <row r="223" spans="12:12" x14ac:dyDescent="0.25">
      <c r="L223" s="164" t="str">
        <f>IFERROR(COUNTIF($C$18:C223,C223)&amp;CHOOSE(MIN(4,COUNTIF($C$18:C223,C223)),"st","nd","rd","th"),"")</f>
        <v/>
      </c>
    </row>
    <row r="224" spans="12:12" x14ac:dyDescent="0.25">
      <c r="L224" s="164" t="str">
        <f>IFERROR(COUNTIF($C$18:C224,C224)&amp;CHOOSE(MIN(4,COUNTIF($C$18:C224,C224)),"st","nd","rd","th"),"")</f>
        <v/>
      </c>
    </row>
    <row r="225" spans="12:12" x14ac:dyDescent="0.25">
      <c r="L225" s="164" t="str">
        <f>IFERROR(COUNTIF($C$18:C225,C225)&amp;CHOOSE(MIN(4,COUNTIF($C$18:C225,C225)),"st","nd","rd","th"),"")</f>
        <v/>
      </c>
    </row>
    <row r="226" spans="12:12" x14ac:dyDescent="0.25">
      <c r="L226" s="164" t="str">
        <f>IFERROR(COUNTIF($C$18:C226,C226)&amp;CHOOSE(MIN(4,COUNTIF($C$18:C226,C226)),"st","nd","rd","th"),"")</f>
        <v/>
      </c>
    </row>
    <row r="227" spans="12:12" x14ac:dyDescent="0.25">
      <c r="L227" s="164" t="str">
        <f>IFERROR(COUNTIF($C$18:C227,C227)&amp;CHOOSE(MIN(4,COUNTIF($C$18:C227,C227)),"st","nd","rd","th"),"")</f>
        <v/>
      </c>
    </row>
    <row r="228" spans="12:12" x14ac:dyDescent="0.25">
      <c r="L228" s="164" t="str">
        <f>IFERROR(COUNTIF($C$18:C228,C228)&amp;CHOOSE(MIN(4,COUNTIF($C$18:C228,C228)),"st","nd","rd","th"),"")</f>
        <v/>
      </c>
    </row>
    <row r="229" spans="12:12" x14ac:dyDescent="0.25">
      <c r="L229" s="164" t="str">
        <f>IFERROR(COUNTIF($C$18:C229,C229)&amp;CHOOSE(MIN(4,COUNTIF($C$18:C229,C229)),"st","nd","rd","th"),"")</f>
        <v/>
      </c>
    </row>
    <row r="230" spans="12:12" x14ac:dyDescent="0.25">
      <c r="L230" s="164" t="str">
        <f>IFERROR(COUNTIF($C$18:C230,C230)&amp;CHOOSE(MIN(4,COUNTIF($C$18:C230,C230)),"st","nd","rd","th"),"")</f>
        <v/>
      </c>
    </row>
    <row r="231" spans="12:12" x14ac:dyDescent="0.25">
      <c r="L231" s="164" t="str">
        <f>IFERROR(COUNTIF($C$18:C231,C231)&amp;CHOOSE(MIN(4,COUNTIF($C$18:C231,C231)),"st","nd","rd","th"),"")</f>
        <v/>
      </c>
    </row>
    <row r="232" spans="12:12" x14ac:dyDescent="0.25">
      <c r="L232" s="164" t="str">
        <f>IFERROR(COUNTIF($C$18:C232,C232)&amp;CHOOSE(MIN(4,COUNTIF($C$18:C232,C232)),"st","nd","rd","th"),"")</f>
        <v/>
      </c>
    </row>
    <row r="233" spans="12:12" x14ac:dyDescent="0.25">
      <c r="L233" s="164" t="str">
        <f>IFERROR(COUNTIF($C$18:C233,C233)&amp;CHOOSE(MIN(4,COUNTIF($C$18:C233,C233)),"st","nd","rd","th"),"")</f>
        <v/>
      </c>
    </row>
    <row r="234" spans="12:12" x14ac:dyDescent="0.25">
      <c r="L234" s="164" t="str">
        <f>IFERROR(COUNTIF($C$18:C234,C234)&amp;CHOOSE(MIN(4,COUNTIF($C$18:C234,C234)),"st","nd","rd","th"),"")</f>
        <v/>
      </c>
    </row>
    <row r="235" spans="12:12" x14ac:dyDescent="0.25">
      <c r="L235" s="164" t="str">
        <f>IFERROR(COUNTIF($C$18:C235,C235)&amp;CHOOSE(MIN(4,COUNTIF($C$18:C235,C235)),"st","nd","rd","th"),"")</f>
        <v/>
      </c>
    </row>
    <row r="236" spans="12:12" x14ac:dyDescent="0.25">
      <c r="L236" s="164" t="str">
        <f>IFERROR(COUNTIF($C$18:C236,C236)&amp;CHOOSE(MIN(4,COUNTIF($C$18:C236,C236)),"st","nd","rd","th"),"")</f>
        <v/>
      </c>
    </row>
    <row r="237" spans="12:12" x14ac:dyDescent="0.25">
      <c r="L237" s="164" t="str">
        <f>IFERROR(COUNTIF($C$18:C237,C237)&amp;CHOOSE(MIN(4,COUNTIF($C$18:C237,C237)),"st","nd","rd","th"),"")</f>
        <v/>
      </c>
    </row>
    <row r="238" spans="12:12" x14ac:dyDescent="0.25">
      <c r="L238" s="164" t="str">
        <f>IFERROR(COUNTIF($C$18:C238,C238)&amp;CHOOSE(MIN(4,COUNTIF($C$18:C238,C238)),"st","nd","rd","th"),"")</f>
        <v/>
      </c>
    </row>
    <row r="239" spans="12:12" x14ac:dyDescent="0.25">
      <c r="L239" s="164" t="str">
        <f>IFERROR(COUNTIF($C$18:C239,C239)&amp;CHOOSE(MIN(4,COUNTIF($C$18:C239,C239)),"st","nd","rd","th"),"")</f>
        <v/>
      </c>
    </row>
    <row r="240" spans="12:12" x14ac:dyDescent="0.25">
      <c r="L240" s="164" t="str">
        <f>IFERROR(COUNTIF($C$18:C240,C240)&amp;CHOOSE(MIN(4,COUNTIF($C$18:C240,C240)),"st","nd","rd","th"),"")</f>
        <v/>
      </c>
    </row>
    <row r="241" spans="12:12" x14ac:dyDescent="0.25">
      <c r="L241" s="164" t="str">
        <f>IFERROR(COUNTIF($C$18:C241,C241)&amp;CHOOSE(MIN(4,COUNTIF($C$18:C241,C241)),"st","nd","rd","th"),"")</f>
        <v/>
      </c>
    </row>
    <row r="242" spans="12:12" x14ac:dyDescent="0.25">
      <c r="L242" s="164" t="str">
        <f>IFERROR(COUNTIF($C$18:C242,C242)&amp;CHOOSE(MIN(4,COUNTIF($C$18:C242,C242)),"st","nd","rd","th"),"")</f>
        <v/>
      </c>
    </row>
    <row r="243" spans="12:12" x14ac:dyDescent="0.25">
      <c r="L243" s="164" t="str">
        <f>IFERROR(COUNTIF($C$18:C243,C243)&amp;CHOOSE(MIN(4,COUNTIF($C$18:C243,C243)),"st","nd","rd","th"),"")</f>
        <v/>
      </c>
    </row>
    <row r="244" spans="12:12" x14ac:dyDescent="0.25">
      <c r="L244" s="164" t="str">
        <f>IFERROR(COUNTIF($C$18:C244,C244)&amp;CHOOSE(MIN(4,COUNTIF($C$18:C244,C244)),"st","nd","rd","th"),"")</f>
        <v/>
      </c>
    </row>
    <row r="245" spans="12:12" x14ac:dyDescent="0.25">
      <c r="L245" s="164" t="str">
        <f>IFERROR(COUNTIF($C$18:C245,C245)&amp;CHOOSE(MIN(4,COUNTIF($C$18:C245,C245)),"st","nd","rd","th"),"")</f>
        <v/>
      </c>
    </row>
    <row r="246" spans="12:12" x14ac:dyDescent="0.25">
      <c r="L246" s="164" t="str">
        <f>IFERROR(COUNTIF($C$18:C246,C246)&amp;CHOOSE(MIN(4,COUNTIF($C$18:C246,C246)),"st","nd","rd","th"),"")</f>
        <v/>
      </c>
    </row>
    <row r="247" spans="12:12" x14ac:dyDescent="0.25">
      <c r="L247" s="164" t="str">
        <f>IFERROR(COUNTIF($C$18:C247,C247)&amp;CHOOSE(MIN(4,COUNTIF($C$18:C247,C247)),"st","nd","rd","th"),"")</f>
        <v/>
      </c>
    </row>
    <row r="248" spans="12:12" x14ac:dyDescent="0.25">
      <c r="L248" s="164" t="str">
        <f>IFERROR(COUNTIF($C$18:C248,C248)&amp;CHOOSE(MIN(4,COUNTIF($C$18:C248,C248)),"st","nd","rd","th"),"")</f>
        <v/>
      </c>
    </row>
    <row r="249" spans="12:12" x14ac:dyDescent="0.25">
      <c r="L249" s="164" t="str">
        <f>IFERROR(COUNTIF($C$18:C249,C249)&amp;CHOOSE(MIN(4,COUNTIF($C$18:C249,C249)),"st","nd","rd","th"),"")</f>
        <v/>
      </c>
    </row>
    <row r="250" spans="12:12" x14ac:dyDescent="0.25">
      <c r="L250" s="164" t="str">
        <f>IFERROR(COUNTIF($C$18:C250,C250)&amp;CHOOSE(MIN(4,COUNTIF($C$18:C250,C250)),"st","nd","rd","th"),"")</f>
        <v/>
      </c>
    </row>
    <row r="251" spans="12:12" x14ac:dyDescent="0.25">
      <c r="L251" s="164" t="str">
        <f>IFERROR(COUNTIF($C$18:C251,C251)&amp;CHOOSE(MIN(4,COUNTIF($C$18:C251,C251)),"st","nd","rd","th"),"")</f>
        <v/>
      </c>
    </row>
    <row r="252" spans="12:12" x14ac:dyDescent="0.25">
      <c r="L252" s="164" t="str">
        <f>IFERROR(COUNTIF($C$18:C252,C252)&amp;CHOOSE(MIN(4,COUNTIF($C$18:C252,C252)),"st","nd","rd","th"),"")</f>
        <v/>
      </c>
    </row>
    <row r="253" spans="12:12" x14ac:dyDescent="0.25">
      <c r="L253" s="164" t="str">
        <f>IFERROR(COUNTIF($C$18:C253,C253)&amp;CHOOSE(MIN(4,COUNTIF($C$18:C253,C253)),"st","nd","rd","th"),"")</f>
        <v/>
      </c>
    </row>
    <row r="254" spans="12:12" x14ac:dyDescent="0.25">
      <c r="L254" s="164" t="str">
        <f>IFERROR(COUNTIF($C$18:C254,C254)&amp;CHOOSE(MIN(4,COUNTIF($C$18:C254,C254)),"st","nd","rd","th"),"")</f>
        <v/>
      </c>
    </row>
    <row r="255" spans="12:12" x14ac:dyDescent="0.25">
      <c r="L255" s="164" t="str">
        <f>IFERROR(COUNTIF($C$18:C255,C255)&amp;CHOOSE(MIN(4,COUNTIF($C$18:C255,C255)),"st","nd","rd","th"),"")</f>
        <v/>
      </c>
    </row>
    <row r="256" spans="12:12" x14ac:dyDescent="0.25">
      <c r="L256" s="164" t="str">
        <f>IFERROR(COUNTIF($C$18:C256,C256)&amp;CHOOSE(MIN(4,COUNTIF($C$18:C256,C256)),"st","nd","rd","th"),"")</f>
        <v/>
      </c>
    </row>
    <row r="257" spans="12:12" x14ac:dyDescent="0.25">
      <c r="L257" s="164" t="str">
        <f>IFERROR(COUNTIF($C$18:C257,C257)&amp;CHOOSE(MIN(4,COUNTIF($C$18:C257,C257)),"st","nd","rd","th"),"")</f>
        <v/>
      </c>
    </row>
    <row r="258" spans="12:12" x14ac:dyDescent="0.25">
      <c r="L258" s="164" t="str">
        <f>IFERROR(COUNTIF($C$18:C258,C258)&amp;CHOOSE(MIN(4,COUNTIF($C$18:C258,C258)),"st","nd","rd","th"),"")</f>
        <v/>
      </c>
    </row>
    <row r="259" spans="12:12" x14ac:dyDescent="0.25">
      <c r="L259" s="164" t="str">
        <f>IFERROR(COUNTIF($C$18:C259,C259)&amp;CHOOSE(MIN(4,COUNTIF($C$18:C259,C259)),"st","nd","rd","th"),"")</f>
        <v/>
      </c>
    </row>
    <row r="260" spans="12:12" x14ac:dyDescent="0.25">
      <c r="L260" s="164" t="str">
        <f>IFERROR(COUNTIF($C$18:C260,C260)&amp;CHOOSE(MIN(4,COUNTIF($C$18:C260,C260)),"st","nd","rd","th"),"")</f>
        <v/>
      </c>
    </row>
    <row r="261" spans="12:12" x14ac:dyDescent="0.25">
      <c r="L261" s="164" t="str">
        <f>IFERROR(COUNTIF($C$18:C261,C261)&amp;CHOOSE(MIN(4,COUNTIF($C$18:C261,C261)),"st","nd","rd","th"),"")</f>
        <v/>
      </c>
    </row>
    <row r="262" spans="12:12" x14ac:dyDescent="0.25">
      <c r="L262" s="164" t="str">
        <f>IFERROR(COUNTIF($C$18:C262,C262)&amp;CHOOSE(MIN(4,COUNTIF($C$18:C262,C262)),"st","nd","rd","th"),"")</f>
        <v/>
      </c>
    </row>
    <row r="263" spans="12:12" x14ac:dyDescent="0.25">
      <c r="L263" s="164" t="str">
        <f>IFERROR(COUNTIF($C$18:C263,C263)&amp;CHOOSE(MIN(4,COUNTIF($C$18:C263,C263)),"st","nd","rd","th"),"")</f>
        <v/>
      </c>
    </row>
    <row r="264" spans="12:12" x14ac:dyDescent="0.25">
      <c r="L264" s="164" t="str">
        <f>IFERROR(COUNTIF($C$18:C264,C264)&amp;CHOOSE(MIN(4,COUNTIF($C$18:C264,C264)),"st","nd","rd","th"),"")</f>
        <v/>
      </c>
    </row>
    <row r="265" spans="12:12" x14ac:dyDescent="0.25">
      <c r="L265" s="164" t="str">
        <f>IFERROR(COUNTIF($C$18:C265,C265)&amp;CHOOSE(MIN(4,COUNTIF($C$18:C265,C265)),"st","nd","rd","th"),"")</f>
        <v/>
      </c>
    </row>
    <row r="266" spans="12:12" x14ac:dyDescent="0.25">
      <c r="L266" s="164" t="str">
        <f>IFERROR(COUNTIF($C$18:C266,C266)&amp;CHOOSE(MIN(4,COUNTIF($C$18:C266,C266)),"st","nd","rd","th"),"")</f>
        <v/>
      </c>
    </row>
    <row r="267" spans="12:12" x14ac:dyDescent="0.25">
      <c r="L267" s="164" t="str">
        <f>IFERROR(COUNTIF($C$18:C267,C267)&amp;CHOOSE(MIN(4,COUNTIF($C$18:C267,C267)),"st","nd","rd","th"),"")</f>
        <v/>
      </c>
    </row>
    <row r="268" spans="12:12" x14ac:dyDescent="0.25">
      <c r="L268" s="164" t="str">
        <f>IFERROR(COUNTIF($C$18:C268,C268)&amp;CHOOSE(MIN(4,COUNTIF($C$18:C268,C268)),"st","nd","rd","th"),"")</f>
        <v/>
      </c>
    </row>
    <row r="269" spans="12:12" x14ac:dyDescent="0.25">
      <c r="L269" s="164" t="str">
        <f>IFERROR(COUNTIF($C$18:C269,C269)&amp;CHOOSE(MIN(4,COUNTIF($C$18:C269,C269)),"st","nd","rd","th"),"")</f>
        <v/>
      </c>
    </row>
    <row r="270" spans="12:12" x14ac:dyDescent="0.25">
      <c r="L270" s="164" t="str">
        <f>IFERROR(COUNTIF($C$18:C270,C270)&amp;CHOOSE(MIN(4,COUNTIF($C$18:C270,C270)),"st","nd","rd","th"),"")</f>
        <v/>
      </c>
    </row>
    <row r="271" spans="12:12" x14ac:dyDescent="0.25">
      <c r="L271" s="164" t="str">
        <f>IFERROR(COUNTIF($C$18:C271,C271)&amp;CHOOSE(MIN(4,COUNTIF($C$18:C271,C271)),"st","nd","rd","th"),"")</f>
        <v/>
      </c>
    </row>
    <row r="272" spans="12:12" x14ac:dyDescent="0.25">
      <c r="L272" s="164" t="str">
        <f>IFERROR(COUNTIF($C$18:C272,C272)&amp;CHOOSE(MIN(4,COUNTIF($C$18:C272,C272)),"st","nd","rd","th"),"")</f>
        <v/>
      </c>
    </row>
    <row r="273" spans="12:12" x14ac:dyDescent="0.25">
      <c r="L273" s="164" t="str">
        <f>IFERROR(COUNTIF($C$18:C273,C273)&amp;CHOOSE(MIN(4,COUNTIF($C$18:C273,C273)),"st","nd","rd","th"),"")</f>
        <v/>
      </c>
    </row>
    <row r="274" spans="12:12" x14ac:dyDescent="0.25">
      <c r="L274" s="164" t="str">
        <f>IFERROR(COUNTIF($C$18:C274,C274)&amp;CHOOSE(MIN(4,COUNTIF($C$18:C274,C274)),"st","nd","rd","th"),"")</f>
        <v/>
      </c>
    </row>
    <row r="275" spans="12:12" x14ac:dyDescent="0.25">
      <c r="L275" s="164" t="str">
        <f>IFERROR(COUNTIF($C$18:C275,C275)&amp;CHOOSE(MIN(4,COUNTIF($C$18:C275,C275)),"st","nd","rd","th"),"")</f>
        <v/>
      </c>
    </row>
    <row r="276" spans="12:12" x14ac:dyDescent="0.25">
      <c r="L276" s="164" t="str">
        <f>IFERROR(COUNTIF($C$18:C276,C276)&amp;CHOOSE(MIN(4,COUNTIF($C$18:C276,C276)),"st","nd","rd","th"),"")</f>
        <v/>
      </c>
    </row>
    <row r="277" spans="12:12" x14ac:dyDescent="0.25">
      <c r="L277" s="164" t="str">
        <f>IFERROR(COUNTIF($C$18:C277,C277)&amp;CHOOSE(MIN(4,COUNTIF($C$18:C277,C277)),"st","nd","rd","th"),"")</f>
        <v/>
      </c>
    </row>
    <row r="278" spans="12:12" x14ac:dyDescent="0.25">
      <c r="L278" s="164" t="str">
        <f>IFERROR(COUNTIF($C$18:C278,C278)&amp;CHOOSE(MIN(4,COUNTIF($C$18:C278,C278)),"st","nd","rd","th"),"")</f>
        <v/>
      </c>
    </row>
    <row r="279" spans="12:12" x14ac:dyDescent="0.25">
      <c r="L279" s="164" t="str">
        <f>IFERROR(COUNTIF($C$18:C279,C279)&amp;CHOOSE(MIN(4,COUNTIF($C$18:C279,C279)),"st","nd","rd","th"),"")</f>
        <v/>
      </c>
    </row>
    <row r="280" spans="12:12" x14ac:dyDescent="0.25">
      <c r="L280" s="164" t="str">
        <f>IFERROR(COUNTIF($C$18:C280,C280)&amp;CHOOSE(MIN(4,COUNTIF($C$18:C280,C280)),"st","nd","rd","th"),"")</f>
        <v/>
      </c>
    </row>
    <row r="281" spans="12:12" x14ac:dyDescent="0.25">
      <c r="L281" s="164" t="str">
        <f>IFERROR(COUNTIF($C$18:C281,C281)&amp;CHOOSE(MIN(4,COUNTIF($C$18:C281,C281)),"st","nd","rd","th"),"")</f>
        <v/>
      </c>
    </row>
    <row r="282" spans="12:12" x14ac:dyDescent="0.25">
      <c r="L282" s="164" t="str">
        <f>IFERROR(COUNTIF($C$18:C282,C282)&amp;CHOOSE(MIN(4,COUNTIF($C$18:C282,C282)),"st","nd","rd","th"),"")</f>
        <v/>
      </c>
    </row>
    <row r="283" spans="12:12" x14ac:dyDescent="0.25">
      <c r="L283" s="164" t="str">
        <f>IFERROR(COUNTIF($C$18:C283,C283)&amp;CHOOSE(MIN(4,COUNTIF($C$18:C283,C283)),"st","nd","rd","th"),"")</f>
        <v/>
      </c>
    </row>
    <row r="284" spans="12:12" x14ac:dyDescent="0.25">
      <c r="L284" s="164" t="str">
        <f>IFERROR(COUNTIF($C$18:C284,C284)&amp;CHOOSE(MIN(4,COUNTIF($C$18:C284,C284)),"st","nd","rd","th"),"")</f>
        <v/>
      </c>
    </row>
    <row r="285" spans="12:12" x14ac:dyDescent="0.25">
      <c r="L285" s="164" t="str">
        <f>IFERROR(COUNTIF($C$18:C285,C285)&amp;CHOOSE(MIN(4,COUNTIF($C$18:C285,C285)),"st","nd","rd","th"),"")</f>
        <v/>
      </c>
    </row>
    <row r="286" spans="12:12" x14ac:dyDescent="0.25">
      <c r="L286" s="164" t="str">
        <f>IFERROR(COUNTIF($C$18:C286,C286)&amp;CHOOSE(MIN(4,COUNTIF($C$18:C286,C286)),"st","nd","rd","th"),"")</f>
        <v/>
      </c>
    </row>
    <row r="287" spans="12:12" x14ac:dyDescent="0.25">
      <c r="L287" s="164" t="str">
        <f>IFERROR(COUNTIF($C$18:C287,C287)&amp;CHOOSE(MIN(4,COUNTIF($C$18:C287,C287)),"st","nd","rd","th"),"")</f>
        <v/>
      </c>
    </row>
    <row r="288" spans="12:12" x14ac:dyDescent="0.25">
      <c r="L288" s="164" t="str">
        <f>IFERROR(COUNTIF($C$18:C288,C288)&amp;CHOOSE(MIN(4,COUNTIF($C$18:C288,C288)),"st","nd","rd","th"),"")</f>
        <v/>
      </c>
    </row>
    <row r="289" spans="12:12" x14ac:dyDescent="0.25">
      <c r="L289" s="164" t="str">
        <f>IFERROR(COUNTIF($C$18:C289,C289)&amp;CHOOSE(MIN(4,COUNTIF($C$18:C289,C289)),"st","nd","rd","th"),"")</f>
        <v/>
      </c>
    </row>
    <row r="290" spans="12:12" x14ac:dyDescent="0.25">
      <c r="L290" s="164" t="str">
        <f>IFERROR(COUNTIF($C$18:C290,C290)&amp;CHOOSE(MIN(4,COUNTIF($C$18:C290,C290)),"st","nd","rd","th"),"")</f>
        <v/>
      </c>
    </row>
    <row r="291" spans="12:12" x14ac:dyDescent="0.25">
      <c r="L291" s="164" t="str">
        <f>IFERROR(COUNTIF($C$18:C291,C291)&amp;CHOOSE(MIN(4,COUNTIF($C$18:C291,C291)),"st","nd","rd","th"),"")</f>
        <v/>
      </c>
    </row>
    <row r="292" spans="12:12" x14ac:dyDescent="0.25">
      <c r="L292" s="164" t="str">
        <f>IFERROR(COUNTIF($C$18:C292,C292)&amp;CHOOSE(MIN(4,COUNTIF($C$18:C292,C292)),"st","nd","rd","th"),"")</f>
        <v/>
      </c>
    </row>
    <row r="293" spans="12:12" x14ac:dyDescent="0.25">
      <c r="L293" s="164" t="str">
        <f>IFERROR(COUNTIF($C$18:C293,C293)&amp;CHOOSE(MIN(4,COUNTIF($C$18:C293,C293)),"st","nd","rd","th"),"")</f>
        <v/>
      </c>
    </row>
    <row r="294" spans="12:12" x14ac:dyDescent="0.25">
      <c r="L294" s="164" t="str">
        <f>IFERROR(COUNTIF($C$18:C294,C294)&amp;CHOOSE(MIN(4,COUNTIF($C$18:C294,C294)),"st","nd","rd","th"),"")</f>
        <v/>
      </c>
    </row>
    <row r="295" spans="12:12" x14ac:dyDescent="0.25">
      <c r="L295" s="164" t="str">
        <f>IFERROR(COUNTIF($C$18:C295,C295)&amp;CHOOSE(MIN(4,COUNTIF($C$18:C295,C295)),"st","nd","rd","th"),"")</f>
        <v/>
      </c>
    </row>
    <row r="296" spans="12:12" x14ac:dyDescent="0.25">
      <c r="L296" s="164" t="str">
        <f>IFERROR(COUNTIF($C$18:C296,C296)&amp;CHOOSE(MIN(4,COUNTIF($C$18:C296,C296)),"st","nd","rd","th"),"")</f>
        <v/>
      </c>
    </row>
    <row r="297" spans="12:12" x14ac:dyDescent="0.25">
      <c r="L297" s="164" t="str">
        <f>IFERROR(COUNTIF($C$18:C297,C297)&amp;CHOOSE(MIN(4,COUNTIF($C$18:C297,C297)),"st","nd","rd","th"),"")</f>
        <v/>
      </c>
    </row>
    <row r="298" spans="12:12" x14ac:dyDescent="0.25">
      <c r="L298" s="164" t="str">
        <f>IFERROR(COUNTIF($C$18:C298,C298)&amp;CHOOSE(MIN(4,COUNTIF($C$18:C298,C298)),"st","nd","rd","th"),"")</f>
        <v/>
      </c>
    </row>
    <row r="299" spans="12:12" x14ac:dyDescent="0.25">
      <c r="L299" s="164" t="str">
        <f>IFERROR(COUNTIF($C$18:C299,C299)&amp;CHOOSE(MIN(4,COUNTIF($C$18:C299,C299)),"st","nd","rd","th"),"")</f>
        <v/>
      </c>
    </row>
    <row r="300" spans="12:12" x14ac:dyDescent="0.25">
      <c r="L300" s="164" t="str">
        <f>IFERROR(COUNTIF($C$18:C300,C300)&amp;CHOOSE(MIN(4,COUNTIF($C$18:C300,C300)),"st","nd","rd","th"),"")</f>
        <v/>
      </c>
    </row>
    <row r="301" spans="12:12" x14ac:dyDescent="0.25">
      <c r="L301" s="164" t="str">
        <f>IFERROR(COUNTIF($C$18:C301,C301)&amp;CHOOSE(MIN(4,COUNTIF($C$18:C301,C301)),"st","nd","rd","th"),"")</f>
        <v/>
      </c>
    </row>
    <row r="302" spans="12:12" x14ac:dyDescent="0.25">
      <c r="L302" s="164" t="str">
        <f>IFERROR(COUNTIF($C$18:C302,C302)&amp;CHOOSE(MIN(4,COUNTIF($C$18:C302,C302)),"st","nd","rd","th"),"")</f>
        <v/>
      </c>
    </row>
    <row r="303" spans="12:12" x14ac:dyDescent="0.25">
      <c r="L303" s="164" t="str">
        <f>IFERROR(COUNTIF($C$18:C303,C303)&amp;CHOOSE(MIN(4,COUNTIF($C$18:C303,C303)),"st","nd","rd","th"),"")</f>
        <v/>
      </c>
    </row>
    <row r="304" spans="12:12" x14ac:dyDescent="0.25">
      <c r="L304" s="164" t="str">
        <f>IFERROR(COUNTIF($C$18:C304,C304)&amp;CHOOSE(MIN(4,COUNTIF($C$18:C304,C304)),"st","nd","rd","th"),"")</f>
        <v/>
      </c>
    </row>
    <row r="305" spans="12:12" x14ac:dyDescent="0.25">
      <c r="L305" s="164" t="str">
        <f>IFERROR(COUNTIF($C$18:C305,C305)&amp;CHOOSE(MIN(4,COUNTIF($C$18:C305,C305)),"st","nd","rd","th"),"")</f>
        <v/>
      </c>
    </row>
    <row r="306" spans="12:12" x14ac:dyDescent="0.25">
      <c r="L306" s="164" t="str">
        <f>IFERROR(COUNTIF($C$18:C306,C306)&amp;CHOOSE(MIN(4,COUNTIF($C$18:C306,C306)),"st","nd","rd","th"),"")</f>
        <v/>
      </c>
    </row>
    <row r="307" spans="12:12" x14ac:dyDescent="0.25">
      <c r="L307" s="164" t="str">
        <f>IFERROR(COUNTIF($C$18:C307,C307)&amp;CHOOSE(MIN(4,COUNTIF($C$18:C307,C307)),"st","nd","rd","th"),"")</f>
        <v/>
      </c>
    </row>
    <row r="308" spans="12:12" x14ac:dyDescent="0.25">
      <c r="L308" s="164" t="str">
        <f>IFERROR(COUNTIF($C$18:C308,C308)&amp;CHOOSE(MIN(4,COUNTIF($C$18:C308,C308)),"st","nd","rd","th"),"")</f>
        <v/>
      </c>
    </row>
    <row r="309" spans="12:12" x14ac:dyDescent="0.25">
      <c r="L309" s="164" t="str">
        <f>IFERROR(COUNTIF($C$18:C309,C309)&amp;CHOOSE(MIN(4,COUNTIF($C$18:C309,C309)),"st","nd","rd","th"),"")</f>
        <v/>
      </c>
    </row>
    <row r="310" spans="12:12" x14ac:dyDescent="0.25">
      <c r="L310" s="164" t="str">
        <f>IFERROR(COUNTIF($C$18:C310,C310)&amp;CHOOSE(MIN(4,COUNTIF($C$18:C310,C310)),"st","nd","rd","th"),"")</f>
        <v/>
      </c>
    </row>
    <row r="311" spans="12:12" x14ac:dyDescent="0.25">
      <c r="L311" s="164" t="str">
        <f>IFERROR(COUNTIF($C$18:C311,C311)&amp;CHOOSE(MIN(4,COUNTIF($C$18:C311,C311)),"st","nd","rd","th"),"")</f>
        <v/>
      </c>
    </row>
    <row r="312" spans="12:12" x14ac:dyDescent="0.25">
      <c r="L312" s="164" t="str">
        <f>IFERROR(COUNTIF($C$18:C312,C312)&amp;CHOOSE(MIN(4,COUNTIF($C$18:C312,C312)),"st","nd","rd","th"),"")</f>
        <v/>
      </c>
    </row>
    <row r="313" spans="12:12" x14ac:dyDescent="0.25">
      <c r="L313" s="164" t="str">
        <f>IFERROR(COUNTIF($C$18:C313,C313)&amp;CHOOSE(MIN(4,COUNTIF($C$18:C313,C313)),"st","nd","rd","th"),"")</f>
        <v/>
      </c>
    </row>
    <row r="314" spans="12:12" x14ac:dyDescent="0.25">
      <c r="L314" s="164" t="str">
        <f>IFERROR(COUNTIF($C$18:C314,C314)&amp;CHOOSE(MIN(4,COUNTIF($C$18:C314,C314)),"st","nd","rd","th"),"")</f>
        <v/>
      </c>
    </row>
    <row r="315" spans="12:12" x14ac:dyDescent="0.25">
      <c r="L315" s="164" t="str">
        <f>IFERROR(COUNTIF($C$18:C315,C315)&amp;CHOOSE(MIN(4,COUNTIF($C$18:C315,C315)),"st","nd","rd","th"),"")</f>
        <v/>
      </c>
    </row>
    <row r="316" spans="12:12" x14ac:dyDescent="0.25">
      <c r="L316" s="164" t="str">
        <f>IFERROR(COUNTIF($C$18:C316,C316)&amp;CHOOSE(MIN(4,COUNTIF($C$18:C316,C316)),"st","nd","rd","th"),"")</f>
        <v/>
      </c>
    </row>
    <row r="317" spans="12:12" x14ac:dyDescent="0.25">
      <c r="L317" s="164" t="str">
        <f>IFERROR(COUNTIF($C$18:C317,C317)&amp;CHOOSE(MIN(4,COUNTIF($C$18:C317,C317)),"st","nd","rd","th"),"")</f>
        <v/>
      </c>
    </row>
    <row r="318" spans="12:12" x14ac:dyDescent="0.25">
      <c r="L318" s="164" t="str">
        <f>IFERROR(COUNTIF($C$18:C318,C318)&amp;CHOOSE(MIN(4,COUNTIF($C$18:C318,C318)),"st","nd","rd","th"),"")</f>
        <v/>
      </c>
    </row>
    <row r="319" spans="12:12" x14ac:dyDescent="0.25">
      <c r="L319" s="164" t="str">
        <f>IFERROR(COUNTIF($C$18:C319,C319)&amp;CHOOSE(MIN(4,COUNTIF($C$18:C319,C319)),"st","nd","rd","th"),"")</f>
        <v/>
      </c>
    </row>
    <row r="320" spans="12:12" x14ac:dyDescent="0.25">
      <c r="L320" s="164" t="str">
        <f>IFERROR(COUNTIF($C$18:C320,C320)&amp;CHOOSE(MIN(4,COUNTIF($C$18:C320,C320)),"st","nd","rd","th"),"")</f>
        <v/>
      </c>
    </row>
    <row r="321" spans="12:12" x14ac:dyDescent="0.25">
      <c r="L321" s="164" t="str">
        <f>IFERROR(COUNTIF($C$18:C321,C321)&amp;CHOOSE(MIN(4,COUNTIF($C$18:C321,C321)),"st","nd","rd","th"),"")</f>
        <v/>
      </c>
    </row>
    <row r="322" spans="12:12" x14ac:dyDescent="0.25">
      <c r="L322" s="164" t="str">
        <f>IFERROR(COUNTIF($C$18:C322,C322)&amp;CHOOSE(MIN(4,COUNTIF($C$18:C322,C322)),"st","nd","rd","th"),"")</f>
        <v/>
      </c>
    </row>
    <row r="323" spans="12:12" x14ac:dyDescent="0.25">
      <c r="L323" s="164" t="str">
        <f>IFERROR(COUNTIF($C$18:C323,C323)&amp;CHOOSE(MIN(4,COUNTIF($C$18:C323,C323)),"st","nd","rd","th"),"")</f>
        <v/>
      </c>
    </row>
    <row r="324" spans="12:12" x14ac:dyDescent="0.25">
      <c r="L324" s="164" t="str">
        <f>IFERROR(COUNTIF($C$18:C324,C324)&amp;CHOOSE(MIN(4,COUNTIF($C$18:C324,C324)),"st","nd","rd","th"),"")</f>
        <v/>
      </c>
    </row>
    <row r="325" spans="12:12" x14ac:dyDescent="0.25">
      <c r="L325" s="164" t="str">
        <f>IFERROR(COUNTIF($C$18:C325,C325)&amp;CHOOSE(MIN(4,COUNTIF($C$18:C325,C325)),"st","nd","rd","th"),"")</f>
        <v/>
      </c>
    </row>
    <row r="326" spans="12:12" x14ac:dyDescent="0.25">
      <c r="L326" s="164" t="str">
        <f>IFERROR(COUNTIF($C$18:C326,C326)&amp;CHOOSE(MIN(4,COUNTIF($C$18:C326,C326)),"st","nd","rd","th"),"")</f>
        <v/>
      </c>
    </row>
    <row r="327" spans="12:12" x14ac:dyDescent="0.25">
      <c r="L327" s="164" t="str">
        <f>IFERROR(COUNTIF($C$18:C327,C327)&amp;CHOOSE(MIN(4,COUNTIF($C$18:C327,C327)),"st","nd","rd","th"),"")</f>
        <v/>
      </c>
    </row>
    <row r="328" spans="12:12" x14ac:dyDescent="0.25">
      <c r="L328" s="164" t="str">
        <f>IFERROR(COUNTIF($C$18:C328,C328)&amp;CHOOSE(MIN(4,COUNTIF($C$18:C328,C328)),"st","nd","rd","th"),"")</f>
        <v/>
      </c>
    </row>
    <row r="329" spans="12:12" x14ac:dyDescent="0.25">
      <c r="L329" s="164" t="str">
        <f>IFERROR(COUNTIF($C$18:C329,C329)&amp;CHOOSE(MIN(4,COUNTIF($C$18:C329,C329)),"st","nd","rd","th"),"")</f>
        <v/>
      </c>
    </row>
    <row r="330" spans="12:12" x14ac:dyDescent="0.25">
      <c r="L330" s="164" t="str">
        <f>IFERROR(COUNTIF($C$18:C330,C330)&amp;CHOOSE(MIN(4,COUNTIF($C$18:C330,C330)),"st","nd","rd","th"),"")</f>
        <v/>
      </c>
    </row>
    <row r="331" spans="12:12" x14ac:dyDescent="0.25">
      <c r="L331" s="164" t="str">
        <f>IFERROR(COUNTIF($C$18:C331,C331)&amp;CHOOSE(MIN(4,COUNTIF($C$18:C331,C331)),"st","nd","rd","th"),"")</f>
        <v/>
      </c>
    </row>
    <row r="332" spans="12:12" x14ac:dyDescent="0.25">
      <c r="L332" s="164" t="str">
        <f>IFERROR(COUNTIF($C$18:C332,C332)&amp;CHOOSE(MIN(4,COUNTIF($C$18:C332,C332)),"st","nd","rd","th"),"")</f>
        <v/>
      </c>
    </row>
    <row r="333" spans="12:12" x14ac:dyDescent="0.25">
      <c r="L333" s="164" t="str">
        <f>IFERROR(COUNTIF($C$18:C333,C333)&amp;CHOOSE(MIN(4,COUNTIF($C$18:C333,C333)),"st","nd","rd","th"),"")</f>
        <v/>
      </c>
    </row>
    <row r="334" spans="12:12" x14ac:dyDescent="0.25">
      <c r="L334" s="164" t="str">
        <f>IFERROR(COUNTIF($C$18:C334,C334)&amp;CHOOSE(MIN(4,COUNTIF($C$18:C334,C334)),"st","nd","rd","th"),"")</f>
        <v/>
      </c>
    </row>
    <row r="335" spans="12:12" x14ac:dyDescent="0.25">
      <c r="L335" s="164" t="str">
        <f>IFERROR(COUNTIF($C$18:C335,C335)&amp;CHOOSE(MIN(4,COUNTIF($C$18:C335,C335)),"st","nd","rd","th"),"")</f>
        <v/>
      </c>
    </row>
    <row r="336" spans="12:12" x14ac:dyDescent="0.25">
      <c r="L336" s="164" t="str">
        <f>IFERROR(COUNTIF($C$18:C336,C336)&amp;CHOOSE(MIN(4,COUNTIF($C$18:C336,C336)),"st","nd","rd","th"),"")</f>
        <v/>
      </c>
    </row>
    <row r="337" spans="12:12" x14ac:dyDescent="0.25">
      <c r="L337" s="164" t="str">
        <f>IFERROR(COUNTIF($C$18:C337,C337)&amp;CHOOSE(MIN(4,COUNTIF($C$18:C337,C337)),"st","nd","rd","th"),"")</f>
        <v/>
      </c>
    </row>
    <row r="338" spans="12:12" x14ac:dyDescent="0.25">
      <c r="L338" s="164" t="str">
        <f>IFERROR(COUNTIF($C$18:C338,C338)&amp;CHOOSE(MIN(4,COUNTIF($C$18:C338,C338)),"st","nd","rd","th"),"")</f>
        <v/>
      </c>
    </row>
    <row r="339" spans="12:12" x14ac:dyDescent="0.25">
      <c r="L339" s="164" t="str">
        <f>IFERROR(COUNTIF($C$18:C339,C339)&amp;CHOOSE(MIN(4,COUNTIF($C$18:C339,C339)),"st","nd","rd","th"),"")</f>
        <v/>
      </c>
    </row>
    <row r="340" spans="12:12" x14ac:dyDescent="0.25">
      <c r="L340" s="164" t="str">
        <f>IFERROR(COUNTIF($C$18:C340,C340)&amp;CHOOSE(MIN(4,COUNTIF($C$18:C340,C340)),"st","nd","rd","th"),"")</f>
        <v/>
      </c>
    </row>
    <row r="341" spans="12:12" x14ac:dyDescent="0.25">
      <c r="L341" s="164" t="str">
        <f>IFERROR(COUNTIF($C$18:C341,C341)&amp;CHOOSE(MIN(4,COUNTIF($C$18:C341,C341)),"st","nd","rd","th"),"")</f>
        <v/>
      </c>
    </row>
    <row r="342" spans="12:12" x14ac:dyDescent="0.25">
      <c r="L342" s="164" t="str">
        <f>IFERROR(COUNTIF($C$18:C342,C342)&amp;CHOOSE(MIN(4,COUNTIF($C$18:C342,C342)),"st","nd","rd","th"),"")</f>
        <v/>
      </c>
    </row>
    <row r="343" spans="12:12" x14ac:dyDescent="0.25">
      <c r="L343" s="164" t="str">
        <f>IFERROR(COUNTIF($C$18:C343,C343)&amp;CHOOSE(MIN(4,COUNTIF($C$18:C343,C343)),"st","nd","rd","th"),"")</f>
        <v/>
      </c>
    </row>
    <row r="344" spans="12:12" x14ac:dyDescent="0.25">
      <c r="L344" s="164" t="str">
        <f>IFERROR(COUNTIF($C$18:C344,C344)&amp;CHOOSE(MIN(4,COUNTIF($C$18:C344,C344)),"st","nd","rd","th"),"")</f>
        <v/>
      </c>
    </row>
    <row r="345" spans="12:12" x14ac:dyDescent="0.25">
      <c r="L345" s="164" t="str">
        <f>IFERROR(COUNTIF($C$18:C345,C345)&amp;CHOOSE(MIN(4,COUNTIF($C$18:C345,C345)),"st","nd","rd","th"),"")</f>
        <v/>
      </c>
    </row>
    <row r="346" spans="12:12" x14ac:dyDescent="0.25">
      <c r="L346" s="164" t="str">
        <f>IFERROR(COUNTIF($C$18:C346,C346)&amp;CHOOSE(MIN(4,COUNTIF($C$18:C346,C346)),"st","nd","rd","th"),"")</f>
        <v/>
      </c>
    </row>
    <row r="347" spans="12:12" x14ac:dyDescent="0.25">
      <c r="L347" s="164" t="str">
        <f>IFERROR(COUNTIF($C$18:C347,C347)&amp;CHOOSE(MIN(4,COUNTIF($C$18:C347,C347)),"st","nd","rd","th"),"")</f>
        <v/>
      </c>
    </row>
    <row r="348" spans="12:12" x14ac:dyDescent="0.25">
      <c r="L348" s="164" t="str">
        <f>IFERROR(COUNTIF($C$18:C348,C348)&amp;CHOOSE(MIN(4,COUNTIF($C$18:C348,C348)),"st","nd","rd","th"),"")</f>
        <v/>
      </c>
    </row>
    <row r="349" spans="12:12" x14ac:dyDescent="0.25">
      <c r="L349" s="164" t="str">
        <f>IFERROR(COUNTIF($C$18:C349,C349)&amp;CHOOSE(MIN(4,COUNTIF($C$18:C349,C349)),"st","nd","rd","th"),"")</f>
        <v/>
      </c>
    </row>
    <row r="350" spans="12:12" x14ac:dyDescent="0.25">
      <c r="L350" s="164" t="str">
        <f>IFERROR(COUNTIF($C$18:C350,C350)&amp;CHOOSE(MIN(4,COUNTIF($C$18:C350,C350)),"st","nd","rd","th"),"")</f>
        <v/>
      </c>
    </row>
    <row r="351" spans="12:12" x14ac:dyDescent="0.25">
      <c r="L351" s="164" t="str">
        <f>IFERROR(COUNTIF($C$18:C351,C351)&amp;CHOOSE(MIN(4,COUNTIF($C$18:C351,C351)),"st","nd","rd","th"),"")</f>
        <v/>
      </c>
    </row>
    <row r="352" spans="12:12" x14ac:dyDescent="0.25">
      <c r="L352" s="164" t="str">
        <f>IFERROR(COUNTIF($C$18:C352,C352)&amp;CHOOSE(MIN(4,COUNTIF($C$18:C352,C352)),"st","nd","rd","th"),"")</f>
        <v/>
      </c>
    </row>
    <row r="353" spans="12:12" x14ac:dyDescent="0.25">
      <c r="L353" s="164" t="str">
        <f>IFERROR(COUNTIF($C$18:C353,C353)&amp;CHOOSE(MIN(4,COUNTIF($C$18:C353,C353)),"st","nd","rd","th"),"")</f>
        <v/>
      </c>
    </row>
    <row r="354" spans="12:12" x14ac:dyDescent="0.25">
      <c r="L354" s="164" t="str">
        <f>IFERROR(COUNTIF($C$18:C354,C354)&amp;CHOOSE(MIN(4,COUNTIF($C$18:C354,C354)),"st","nd","rd","th"),"")</f>
        <v/>
      </c>
    </row>
    <row r="355" spans="12:12" x14ac:dyDescent="0.25">
      <c r="L355" s="164" t="str">
        <f>IFERROR(COUNTIF($C$18:C355,C355)&amp;CHOOSE(MIN(4,COUNTIF($C$18:C355,C355)),"st","nd","rd","th"),"")</f>
        <v/>
      </c>
    </row>
    <row r="356" spans="12:12" x14ac:dyDescent="0.25">
      <c r="L356" s="164" t="str">
        <f>IFERROR(COUNTIF($C$18:C356,C356)&amp;CHOOSE(MIN(4,COUNTIF($C$18:C356,C356)),"st","nd","rd","th"),"")</f>
        <v/>
      </c>
    </row>
    <row r="357" spans="12:12" x14ac:dyDescent="0.25">
      <c r="L357" s="164" t="str">
        <f>IFERROR(COUNTIF($C$18:C357,C357)&amp;CHOOSE(MIN(4,COUNTIF($C$18:C357,C357)),"st","nd","rd","th"),"")</f>
        <v/>
      </c>
    </row>
    <row r="358" spans="12:12" x14ac:dyDescent="0.25">
      <c r="L358" s="164" t="str">
        <f>IFERROR(COUNTIF($C$18:C358,C358)&amp;CHOOSE(MIN(4,COUNTIF($C$18:C358,C358)),"st","nd","rd","th"),"")</f>
        <v/>
      </c>
    </row>
    <row r="359" spans="12:12" x14ac:dyDescent="0.25">
      <c r="L359" s="164" t="str">
        <f>IFERROR(COUNTIF($C$18:C359,C359)&amp;CHOOSE(MIN(4,COUNTIF($C$18:C359,C359)),"st","nd","rd","th"),"")</f>
        <v/>
      </c>
    </row>
    <row r="360" spans="12:12" x14ac:dyDescent="0.25">
      <c r="L360" s="164" t="str">
        <f>IFERROR(COUNTIF($C$18:C360,C360)&amp;CHOOSE(MIN(4,COUNTIF($C$18:C360,C360)),"st","nd","rd","th"),"")</f>
        <v/>
      </c>
    </row>
    <row r="361" spans="12:12" x14ac:dyDescent="0.25">
      <c r="L361" s="164" t="str">
        <f>IFERROR(COUNTIF($C$18:C361,C361)&amp;CHOOSE(MIN(4,COUNTIF($C$18:C361,C361)),"st","nd","rd","th"),"")</f>
        <v/>
      </c>
    </row>
    <row r="362" spans="12:12" x14ac:dyDescent="0.25">
      <c r="L362" s="164" t="str">
        <f>IFERROR(COUNTIF($C$18:C362,C362)&amp;CHOOSE(MIN(4,COUNTIF($C$18:C362,C362)),"st","nd","rd","th"),"")</f>
        <v/>
      </c>
    </row>
    <row r="363" spans="12:12" x14ac:dyDescent="0.25">
      <c r="L363" s="164" t="str">
        <f>IFERROR(COUNTIF($C$18:C363,C363)&amp;CHOOSE(MIN(4,COUNTIF($C$18:C363,C363)),"st","nd","rd","th"),"")</f>
        <v/>
      </c>
    </row>
    <row r="364" spans="12:12" x14ac:dyDescent="0.25">
      <c r="L364" s="164" t="str">
        <f>IFERROR(COUNTIF($C$18:C364,C364)&amp;CHOOSE(MIN(4,COUNTIF($C$18:C364,C364)),"st","nd","rd","th"),"")</f>
        <v/>
      </c>
    </row>
    <row r="365" spans="12:12" x14ac:dyDescent="0.25">
      <c r="L365" s="164" t="str">
        <f>IFERROR(COUNTIF($C$18:C365,C365)&amp;CHOOSE(MIN(4,COUNTIF($C$18:C365,C365)),"st","nd","rd","th"),"")</f>
        <v/>
      </c>
    </row>
    <row r="366" spans="12:12" x14ac:dyDescent="0.25">
      <c r="L366" s="164" t="str">
        <f>IFERROR(COUNTIF($C$18:C366,C366)&amp;CHOOSE(MIN(4,COUNTIF($C$18:C366,C366)),"st","nd","rd","th"),"")</f>
        <v/>
      </c>
    </row>
    <row r="367" spans="12:12" x14ac:dyDescent="0.25">
      <c r="L367" s="164" t="str">
        <f>IFERROR(COUNTIF($C$18:C367,C367)&amp;CHOOSE(MIN(4,COUNTIF($C$18:C367,C367)),"st","nd","rd","th"),"")</f>
        <v/>
      </c>
    </row>
    <row r="368" spans="12:12" x14ac:dyDescent="0.25">
      <c r="L368" s="164" t="str">
        <f>IFERROR(COUNTIF($C$18:C368,C368)&amp;CHOOSE(MIN(4,COUNTIF($C$18:C368,C368)),"st","nd","rd","th"),"")</f>
        <v/>
      </c>
    </row>
    <row r="369" spans="12:12" x14ac:dyDescent="0.25">
      <c r="L369" s="164" t="str">
        <f>IFERROR(COUNTIF($C$18:C369,C369)&amp;CHOOSE(MIN(4,COUNTIF($C$18:C369,C369)),"st","nd","rd","th"),"")</f>
        <v/>
      </c>
    </row>
    <row r="370" spans="12:12" x14ac:dyDescent="0.25">
      <c r="L370" s="164" t="str">
        <f>IFERROR(COUNTIF($C$18:C370,C370)&amp;CHOOSE(MIN(4,COUNTIF($C$18:C370,C370)),"st","nd","rd","th"),"")</f>
        <v/>
      </c>
    </row>
    <row r="371" spans="12:12" x14ac:dyDescent="0.25">
      <c r="L371" s="164" t="str">
        <f>IFERROR(COUNTIF($C$18:C371,C371)&amp;CHOOSE(MIN(4,COUNTIF($C$18:C371,C371)),"st","nd","rd","th"),"")</f>
        <v/>
      </c>
    </row>
    <row r="372" spans="12:12" x14ac:dyDescent="0.25">
      <c r="L372" s="164" t="str">
        <f>IFERROR(COUNTIF($C$18:C372,C372)&amp;CHOOSE(MIN(4,COUNTIF($C$18:C372,C372)),"st","nd","rd","th"),"")</f>
        <v/>
      </c>
    </row>
    <row r="373" spans="12:12" x14ac:dyDescent="0.25">
      <c r="L373" s="164" t="str">
        <f>IFERROR(COUNTIF($C$18:C373,C373)&amp;CHOOSE(MIN(4,COUNTIF($C$18:C373,C373)),"st","nd","rd","th"),"")</f>
        <v/>
      </c>
    </row>
    <row r="374" spans="12:12" x14ac:dyDescent="0.25">
      <c r="L374" s="164" t="str">
        <f>IFERROR(COUNTIF($C$18:C374,C374)&amp;CHOOSE(MIN(4,COUNTIF($C$18:C374,C374)),"st","nd","rd","th"),"")</f>
        <v/>
      </c>
    </row>
    <row r="375" spans="12:12" x14ac:dyDescent="0.25">
      <c r="L375" s="164" t="str">
        <f>IFERROR(COUNTIF($C$18:C375,C375)&amp;CHOOSE(MIN(4,COUNTIF($C$18:C375,C375)),"st","nd","rd","th"),"")</f>
        <v/>
      </c>
    </row>
    <row r="376" spans="12:12" x14ac:dyDescent="0.25">
      <c r="L376" s="164" t="str">
        <f>IFERROR(COUNTIF($C$18:C376,C376)&amp;CHOOSE(MIN(4,COUNTIF($C$18:C376,C376)),"st","nd","rd","th"),"")</f>
        <v/>
      </c>
    </row>
    <row r="377" spans="12:12" x14ac:dyDescent="0.25">
      <c r="L377" s="164" t="str">
        <f>IFERROR(COUNTIF($C$18:C377,C377)&amp;CHOOSE(MIN(4,COUNTIF($C$18:C377,C377)),"st","nd","rd","th"),"")</f>
        <v/>
      </c>
    </row>
    <row r="378" spans="12:12" x14ac:dyDescent="0.25">
      <c r="L378" s="164" t="str">
        <f>IFERROR(COUNTIF($C$18:C378,C378)&amp;CHOOSE(MIN(4,COUNTIF($C$18:C378,C378)),"st","nd","rd","th"),"")</f>
        <v/>
      </c>
    </row>
    <row r="379" spans="12:12" x14ac:dyDescent="0.25">
      <c r="L379" s="164" t="str">
        <f>IFERROR(COUNTIF($C$18:C379,C379)&amp;CHOOSE(MIN(4,COUNTIF($C$18:C379,C379)),"st","nd","rd","th"),"")</f>
        <v/>
      </c>
    </row>
    <row r="380" spans="12:12" x14ac:dyDescent="0.25">
      <c r="L380" s="164" t="str">
        <f>IFERROR(COUNTIF($C$18:C380,C380)&amp;CHOOSE(MIN(4,COUNTIF($C$18:C380,C380)),"st","nd","rd","th"),"")</f>
        <v/>
      </c>
    </row>
    <row r="381" spans="12:12" x14ac:dyDescent="0.25">
      <c r="L381" s="164" t="str">
        <f>IFERROR(COUNTIF($C$18:C381,C381)&amp;CHOOSE(MIN(4,COUNTIF($C$18:C381,C381)),"st","nd","rd","th"),"")</f>
        <v/>
      </c>
    </row>
    <row r="382" spans="12:12" x14ac:dyDescent="0.25">
      <c r="L382" s="164" t="str">
        <f>IFERROR(COUNTIF($C$18:C382,C382)&amp;CHOOSE(MIN(4,COUNTIF($C$18:C382,C382)),"st","nd","rd","th"),"")</f>
        <v/>
      </c>
    </row>
    <row r="383" spans="12:12" x14ac:dyDescent="0.25">
      <c r="L383" s="164" t="str">
        <f>IFERROR(COUNTIF($C$18:C383,C383)&amp;CHOOSE(MIN(4,COUNTIF($C$18:C383,C383)),"st","nd","rd","th"),"")</f>
        <v/>
      </c>
    </row>
    <row r="384" spans="12:12" x14ac:dyDescent="0.25">
      <c r="L384" s="164" t="str">
        <f>IFERROR(COUNTIF($C$18:C384,C384)&amp;CHOOSE(MIN(4,COUNTIF($C$18:C384,C384)),"st","nd","rd","th"),"")</f>
        <v/>
      </c>
    </row>
    <row r="385" spans="12:12" x14ac:dyDescent="0.25">
      <c r="L385" s="164" t="str">
        <f>IFERROR(COUNTIF($C$18:C385,C385)&amp;CHOOSE(MIN(4,COUNTIF($C$18:C385,C385)),"st","nd","rd","th"),"")</f>
        <v/>
      </c>
    </row>
    <row r="386" spans="12:12" x14ac:dyDescent="0.25">
      <c r="L386" s="164" t="str">
        <f>IFERROR(COUNTIF($C$18:C386,C386)&amp;CHOOSE(MIN(4,COUNTIF($C$18:C386,C386)),"st","nd","rd","th"),"")</f>
        <v/>
      </c>
    </row>
    <row r="387" spans="12:12" x14ac:dyDescent="0.25">
      <c r="L387" s="164" t="str">
        <f>IFERROR(COUNTIF($C$18:C387,C387)&amp;CHOOSE(MIN(4,COUNTIF($C$18:C387,C387)),"st","nd","rd","th"),"")</f>
        <v/>
      </c>
    </row>
    <row r="388" spans="12:12" x14ac:dyDescent="0.25">
      <c r="L388" s="164" t="str">
        <f>IFERROR(COUNTIF($C$18:C388,C388)&amp;CHOOSE(MIN(4,COUNTIF($C$18:C388,C388)),"st","nd","rd","th"),"")</f>
        <v/>
      </c>
    </row>
    <row r="389" spans="12:12" x14ac:dyDescent="0.25">
      <c r="L389" s="164" t="str">
        <f>IFERROR(COUNTIF($C$18:C389,C389)&amp;CHOOSE(MIN(4,COUNTIF($C$18:C389,C389)),"st","nd","rd","th"),"")</f>
        <v/>
      </c>
    </row>
    <row r="390" spans="12:12" x14ac:dyDescent="0.25">
      <c r="L390" s="164" t="str">
        <f>IFERROR(COUNTIF($C$18:C390,C390)&amp;CHOOSE(MIN(4,COUNTIF($C$18:C390,C390)),"st","nd","rd","th"),"")</f>
        <v/>
      </c>
    </row>
    <row r="391" spans="12:12" x14ac:dyDescent="0.25">
      <c r="L391" s="164" t="str">
        <f>IFERROR(COUNTIF($C$18:C391,C391)&amp;CHOOSE(MIN(4,COUNTIF($C$18:C391,C391)),"st","nd","rd","th"),"")</f>
        <v/>
      </c>
    </row>
    <row r="392" spans="12:12" x14ac:dyDescent="0.25">
      <c r="L392" s="164" t="str">
        <f>IFERROR(COUNTIF($C$18:C392,C392)&amp;CHOOSE(MIN(4,COUNTIF($C$18:C392,C392)),"st","nd","rd","th"),"")</f>
        <v/>
      </c>
    </row>
    <row r="393" spans="12:12" x14ac:dyDescent="0.25">
      <c r="L393" s="164" t="str">
        <f>IFERROR(COUNTIF($C$18:C393,C393)&amp;CHOOSE(MIN(4,COUNTIF($C$18:C393,C393)),"st","nd","rd","th"),"")</f>
        <v/>
      </c>
    </row>
    <row r="394" spans="12:12" x14ac:dyDescent="0.25">
      <c r="L394" s="164" t="str">
        <f>IFERROR(COUNTIF($C$18:C394,C394)&amp;CHOOSE(MIN(4,COUNTIF($C$18:C394,C394)),"st","nd","rd","th"),"")</f>
        <v/>
      </c>
    </row>
    <row r="395" spans="12:12" x14ac:dyDescent="0.25">
      <c r="L395" s="164" t="str">
        <f>IFERROR(COUNTIF($C$18:C395,C395)&amp;CHOOSE(MIN(4,COUNTIF($C$18:C395,C395)),"st","nd","rd","th"),"")</f>
        <v/>
      </c>
    </row>
    <row r="396" spans="12:12" x14ac:dyDescent="0.25">
      <c r="L396" s="164" t="str">
        <f>IFERROR(COUNTIF($C$18:C396,C396)&amp;CHOOSE(MIN(4,COUNTIF($C$18:C396,C396)),"st","nd","rd","th"),"")</f>
        <v/>
      </c>
    </row>
    <row r="397" spans="12:12" x14ac:dyDescent="0.25">
      <c r="L397" s="164" t="str">
        <f>IFERROR(COUNTIF($C$18:C397,C397)&amp;CHOOSE(MIN(4,COUNTIF($C$18:C397,C397)),"st","nd","rd","th"),"")</f>
        <v/>
      </c>
    </row>
    <row r="398" spans="12:12" x14ac:dyDescent="0.25">
      <c r="L398" s="164" t="str">
        <f>IFERROR(COUNTIF($C$18:C398,C398)&amp;CHOOSE(MIN(4,COUNTIF($C$18:C398,C398)),"st","nd","rd","th"),"")</f>
        <v/>
      </c>
    </row>
    <row r="399" spans="12:12" x14ac:dyDescent="0.25">
      <c r="L399" s="164" t="str">
        <f>IFERROR(COUNTIF($C$18:C399,C399)&amp;CHOOSE(MIN(4,COUNTIF($C$18:C399,C399)),"st","nd","rd","th"),"")</f>
        <v/>
      </c>
    </row>
    <row r="400" spans="12:12" x14ac:dyDescent="0.25">
      <c r="L400" s="164" t="str">
        <f>IFERROR(COUNTIF($C$18:C400,C400)&amp;CHOOSE(MIN(4,COUNTIF($C$18:C400,C400)),"st","nd","rd","th"),"")</f>
        <v/>
      </c>
    </row>
    <row r="401" spans="12:12" x14ac:dyDescent="0.25">
      <c r="L401" s="164" t="str">
        <f>IFERROR(COUNTIF($C$18:C401,C401)&amp;CHOOSE(MIN(4,COUNTIF($C$18:C401,C401)),"st","nd","rd","th"),"")</f>
        <v/>
      </c>
    </row>
    <row r="402" spans="12:12" x14ac:dyDescent="0.25">
      <c r="L402" s="164" t="str">
        <f>IFERROR(COUNTIF($C$18:C402,C402)&amp;CHOOSE(MIN(4,COUNTIF($C$18:C402,C402)),"st","nd","rd","th"),"")</f>
        <v/>
      </c>
    </row>
    <row r="403" spans="12:12" x14ac:dyDescent="0.25">
      <c r="L403" s="164" t="str">
        <f>IFERROR(COUNTIF($C$18:C403,C403)&amp;CHOOSE(MIN(4,COUNTIF($C$18:C403,C403)),"st","nd","rd","th"),"")</f>
        <v/>
      </c>
    </row>
    <row r="404" spans="12:12" x14ac:dyDescent="0.25">
      <c r="L404" s="164" t="str">
        <f>IFERROR(COUNTIF($C$18:C404,C404)&amp;CHOOSE(MIN(4,COUNTIF($C$18:C404,C404)),"st","nd","rd","th"),"")</f>
        <v/>
      </c>
    </row>
    <row r="405" spans="12:12" x14ac:dyDescent="0.25">
      <c r="L405" s="164" t="str">
        <f>IFERROR(COUNTIF($C$18:C405,C405)&amp;CHOOSE(MIN(4,COUNTIF($C$18:C405,C405)),"st","nd","rd","th"),"")</f>
        <v/>
      </c>
    </row>
    <row r="406" spans="12:12" x14ac:dyDescent="0.25">
      <c r="L406" s="164" t="str">
        <f>IFERROR(COUNTIF($C$18:C406,C406)&amp;CHOOSE(MIN(4,COUNTIF($C$18:C406,C406)),"st","nd","rd","th"),"")</f>
        <v/>
      </c>
    </row>
    <row r="407" spans="12:12" x14ac:dyDescent="0.25">
      <c r="L407" s="164" t="str">
        <f>IFERROR(COUNTIF($C$18:C407,C407)&amp;CHOOSE(MIN(4,COUNTIF($C$18:C407,C407)),"st","nd","rd","th"),"")</f>
        <v/>
      </c>
    </row>
    <row r="408" spans="12:12" x14ac:dyDescent="0.25">
      <c r="L408" s="164" t="str">
        <f>IFERROR(COUNTIF($C$18:C408,C408)&amp;CHOOSE(MIN(4,COUNTIF($C$18:C408,C408)),"st","nd","rd","th"),"")</f>
        <v/>
      </c>
    </row>
    <row r="409" spans="12:12" x14ac:dyDescent="0.25">
      <c r="L409" s="164" t="str">
        <f>IFERROR(COUNTIF($C$18:C409,C409)&amp;CHOOSE(MIN(4,COUNTIF($C$18:C409,C409)),"st","nd","rd","th"),"")</f>
        <v/>
      </c>
    </row>
    <row r="410" spans="12:12" x14ac:dyDescent="0.25">
      <c r="L410" s="164" t="str">
        <f>IFERROR(COUNTIF($C$18:C410,C410)&amp;CHOOSE(MIN(4,COUNTIF($C$18:C410,C410)),"st","nd","rd","th"),"")</f>
        <v/>
      </c>
    </row>
    <row r="411" spans="12:12" x14ac:dyDescent="0.25">
      <c r="L411" s="164" t="str">
        <f>IFERROR(COUNTIF($C$18:C411,C411)&amp;CHOOSE(MIN(4,COUNTIF($C$18:C411,C411)),"st","nd","rd","th"),"")</f>
        <v/>
      </c>
    </row>
    <row r="412" spans="12:12" x14ac:dyDescent="0.25">
      <c r="L412" s="164" t="str">
        <f>IFERROR(COUNTIF($C$18:C412,C412)&amp;CHOOSE(MIN(4,COUNTIF($C$18:C412,C412)),"st","nd","rd","th"),"")</f>
        <v/>
      </c>
    </row>
    <row r="413" spans="12:12" x14ac:dyDescent="0.25">
      <c r="L413" s="164" t="str">
        <f>IFERROR(COUNTIF($C$18:C413,C413)&amp;CHOOSE(MIN(4,COUNTIF($C$18:C413,C413)),"st","nd","rd","th"),"")</f>
        <v/>
      </c>
    </row>
    <row r="414" spans="12:12" x14ac:dyDescent="0.25">
      <c r="L414" s="164" t="str">
        <f>IFERROR(COUNTIF($C$18:C414,C414)&amp;CHOOSE(MIN(4,COUNTIF($C$18:C414,C414)),"st","nd","rd","th"),"")</f>
        <v/>
      </c>
    </row>
    <row r="415" spans="12:12" x14ac:dyDescent="0.25">
      <c r="L415" s="164" t="str">
        <f>IFERROR(COUNTIF($C$18:C415,C415)&amp;CHOOSE(MIN(4,COUNTIF($C$18:C415,C415)),"st","nd","rd","th"),"")</f>
        <v/>
      </c>
    </row>
    <row r="416" spans="12:12" x14ac:dyDescent="0.25">
      <c r="L416" s="164" t="str">
        <f>IFERROR(COUNTIF($C$18:C416,C416)&amp;CHOOSE(MIN(4,COUNTIF($C$18:C416,C416)),"st","nd","rd","th"),"")</f>
        <v/>
      </c>
    </row>
    <row r="417" spans="12:12" x14ac:dyDescent="0.25">
      <c r="L417" s="164" t="str">
        <f>IFERROR(COUNTIF($C$18:C417,C417)&amp;CHOOSE(MIN(4,COUNTIF($C$18:C417,C417)),"st","nd","rd","th"),"")</f>
        <v/>
      </c>
    </row>
    <row r="418" spans="12:12" x14ac:dyDescent="0.25">
      <c r="L418" s="164" t="str">
        <f>IFERROR(COUNTIF($C$18:C418,C418)&amp;CHOOSE(MIN(4,COUNTIF($C$18:C418,C418)),"st","nd","rd","th"),"")</f>
        <v/>
      </c>
    </row>
    <row r="419" spans="12:12" x14ac:dyDescent="0.25">
      <c r="L419" s="164" t="str">
        <f>IFERROR(COUNTIF($C$18:C419,C419)&amp;CHOOSE(MIN(4,COUNTIF($C$18:C419,C419)),"st","nd","rd","th"),"")</f>
        <v/>
      </c>
    </row>
    <row r="420" spans="12:12" x14ac:dyDescent="0.25">
      <c r="L420" s="164" t="str">
        <f>IFERROR(COUNTIF($C$18:C420,C420)&amp;CHOOSE(MIN(4,COUNTIF($C$18:C420,C420)),"st","nd","rd","th"),"")</f>
        <v/>
      </c>
    </row>
    <row r="421" spans="12:12" x14ac:dyDescent="0.25">
      <c r="L421" s="164" t="str">
        <f>IFERROR(COUNTIF($C$18:C421,C421)&amp;CHOOSE(MIN(4,COUNTIF($C$18:C421,C421)),"st","nd","rd","th"),"")</f>
        <v/>
      </c>
    </row>
    <row r="422" spans="12:12" x14ac:dyDescent="0.25">
      <c r="L422" s="164" t="str">
        <f>IFERROR(COUNTIF($C$18:C422,C422)&amp;CHOOSE(MIN(4,COUNTIF($C$18:C422,C422)),"st","nd","rd","th"),"")</f>
        <v/>
      </c>
    </row>
    <row r="423" spans="12:12" x14ac:dyDescent="0.25">
      <c r="L423" s="164" t="str">
        <f>IFERROR(COUNTIF($C$18:C423,C423)&amp;CHOOSE(MIN(4,COUNTIF($C$18:C423,C423)),"st","nd","rd","th"),"")</f>
        <v/>
      </c>
    </row>
    <row r="424" spans="12:12" x14ac:dyDescent="0.25">
      <c r="L424" s="164" t="str">
        <f>IFERROR(COUNTIF($C$18:C424,C424)&amp;CHOOSE(MIN(4,COUNTIF($C$18:C424,C424)),"st","nd","rd","th"),"")</f>
        <v/>
      </c>
    </row>
    <row r="425" spans="12:12" x14ac:dyDescent="0.25">
      <c r="L425" s="164" t="str">
        <f>IFERROR(COUNTIF($C$18:C425,C425)&amp;CHOOSE(MIN(4,COUNTIF($C$18:C425,C425)),"st","nd","rd","th"),"")</f>
        <v/>
      </c>
    </row>
    <row r="426" spans="12:12" x14ac:dyDescent="0.25">
      <c r="L426" s="164" t="str">
        <f>IFERROR(COUNTIF($C$18:C426,C426)&amp;CHOOSE(MIN(4,COUNTIF($C$18:C426,C426)),"st","nd","rd","th"),"")</f>
        <v/>
      </c>
    </row>
    <row r="427" spans="12:12" x14ac:dyDescent="0.25">
      <c r="L427" s="164" t="str">
        <f>IFERROR(COUNTIF($C$18:C427,C427)&amp;CHOOSE(MIN(4,COUNTIF($C$18:C427,C427)),"st","nd","rd","th"),"")</f>
        <v/>
      </c>
    </row>
    <row r="428" spans="12:12" x14ac:dyDescent="0.25">
      <c r="L428" s="164" t="str">
        <f>IFERROR(COUNTIF($C$18:C428,C428)&amp;CHOOSE(MIN(4,COUNTIF($C$18:C428,C428)),"st","nd","rd","th"),"")</f>
        <v/>
      </c>
    </row>
    <row r="429" spans="12:12" x14ac:dyDescent="0.25">
      <c r="L429" s="164" t="str">
        <f>IFERROR(COUNTIF($C$18:C429,C429)&amp;CHOOSE(MIN(4,COUNTIF($C$18:C429,C429)),"st","nd","rd","th"),"")</f>
        <v/>
      </c>
    </row>
    <row r="430" spans="12:12" x14ac:dyDescent="0.25">
      <c r="L430" s="164" t="str">
        <f>IFERROR(COUNTIF($C$18:C430,C430)&amp;CHOOSE(MIN(4,COUNTIF($C$18:C430,C430)),"st","nd","rd","th"),"")</f>
        <v/>
      </c>
    </row>
    <row r="431" spans="12:12" x14ac:dyDescent="0.25">
      <c r="L431" s="164" t="str">
        <f>IFERROR(COUNTIF($C$18:C431,C431)&amp;CHOOSE(MIN(4,COUNTIF($C$18:C431,C431)),"st","nd","rd","th"),"")</f>
        <v/>
      </c>
    </row>
    <row r="432" spans="12:12" x14ac:dyDescent="0.25">
      <c r="L432" s="164" t="str">
        <f>IFERROR(COUNTIF($C$18:C432,C432)&amp;CHOOSE(MIN(4,COUNTIF($C$18:C432,C432)),"st","nd","rd","th"),"")</f>
        <v/>
      </c>
    </row>
    <row r="433" spans="12:12" x14ac:dyDescent="0.25">
      <c r="L433" s="164" t="str">
        <f>IFERROR(COUNTIF($C$18:C433,C433)&amp;CHOOSE(MIN(4,COUNTIF($C$18:C433,C433)),"st","nd","rd","th"),"")</f>
        <v/>
      </c>
    </row>
    <row r="434" spans="12:12" x14ac:dyDescent="0.25">
      <c r="L434" s="164" t="str">
        <f>IFERROR(COUNTIF($C$18:C434,C434)&amp;CHOOSE(MIN(4,COUNTIF($C$18:C434,C434)),"st","nd","rd","th"),"")</f>
        <v/>
      </c>
    </row>
    <row r="435" spans="12:12" x14ac:dyDescent="0.25">
      <c r="L435" s="164" t="str">
        <f>IFERROR(COUNTIF($C$18:C435,C435)&amp;CHOOSE(MIN(4,COUNTIF($C$18:C435,C435)),"st","nd","rd","th"),"")</f>
        <v/>
      </c>
    </row>
    <row r="436" spans="12:12" x14ac:dyDescent="0.25">
      <c r="L436" s="164" t="str">
        <f>IFERROR(COUNTIF($C$18:C436,C436)&amp;CHOOSE(MIN(4,COUNTIF($C$18:C436,C436)),"st","nd","rd","th"),"")</f>
        <v/>
      </c>
    </row>
    <row r="437" spans="12:12" x14ac:dyDescent="0.25">
      <c r="L437" s="164" t="str">
        <f>IFERROR(COUNTIF($C$18:C437,C437)&amp;CHOOSE(MIN(4,COUNTIF($C$18:C437,C437)),"st","nd","rd","th"),"")</f>
        <v/>
      </c>
    </row>
    <row r="438" spans="12:12" x14ac:dyDescent="0.25">
      <c r="L438" s="164" t="str">
        <f>IFERROR(COUNTIF($C$18:C438,C438)&amp;CHOOSE(MIN(4,COUNTIF($C$18:C438,C438)),"st","nd","rd","th"),"")</f>
        <v/>
      </c>
    </row>
    <row r="439" spans="12:12" x14ac:dyDescent="0.25">
      <c r="L439" s="164" t="str">
        <f>IFERROR(COUNTIF($C$18:C439,C439)&amp;CHOOSE(MIN(4,COUNTIF($C$18:C439,C439)),"st","nd","rd","th"),"")</f>
        <v/>
      </c>
    </row>
    <row r="440" spans="12:12" x14ac:dyDescent="0.25">
      <c r="L440" s="164" t="str">
        <f>IFERROR(COUNTIF($C$18:C440,C440)&amp;CHOOSE(MIN(4,COUNTIF($C$18:C440,C440)),"st","nd","rd","th"),"")</f>
        <v/>
      </c>
    </row>
    <row r="441" spans="12:12" x14ac:dyDescent="0.25">
      <c r="L441" s="164" t="str">
        <f>IFERROR(COUNTIF($C$18:C441,C441)&amp;CHOOSE(MIN(4,COUNTIF($C$18:C441,C441)),"st","nd","rd","th"),"")</f>
        <v/>
      </c>
    </row>
    <row r="442" spans="12:12" x14ac:dyDescent="0.25">
      <c r="L442" s="164" t="str">
        <f>IFERROR(COUNTIF($C$18:C442,C442)&amp;CHOOSE(MIN(4,COUNTIF($C$18:C442,C442)),"st","nd","rd","th"),"")</f>
        <v/>
      </c>
    </row>
    <row r="443" spans="12:12" x14ac:dyDescent="0.25">
      <c r="L443" s="164" t="str">
        <f>IFERROR(COUNTIF($C$18:C443,C443)&amp;CHOOSE(MIN(4,COUNTIF($C$18:C443,C443)),"st","nd","rd","th"),"")</f>
        <v/>
      </c>
    </row>
    <row r="444" spans="12:12" x14ac:dyDescent="0.25">
      <c r="L444" s="164" t="str">
        <f>IFERROR(COUNTIF($C$18:C444,C444)&amp;CHOOSE(MIN(4,COUNTIF($C$18:C444,C444)),"st","nd","rd","th"),"")</f>
        <v/>
      </c>
    </row>
    <row r="445" spans="12:12" x14ac:dyDescent="0.25">
      <c r="L445" s="164" t="str">
        <f>IFERROR(COUNTIF($C$18:C445,C445)&amp;CHOOSE(MIN(4,COUNTIF($C$18:C445,C445)),"st","nd","rd","th"),"")</f>
        <v/>
      </c>
    </row>
    <row r="446" spans="12:12" x14ac:dyDescent="0.25">
      <c r="L446" s="164" t="str">
        <f>IFERROR(COUNTIF($C$18:C446,C446)&amp;CHOOSE(MIN(4,COUNTIF($C$18:C446,C446)),"st","nd","rd","th"),"")</f>
        <v/>
      </c>
    </row>
    <row r="447" spans="12:12" x14ac:dyDescent="0.25">
      <c r="L447" s="164" t="str">
        <f>IFERROR(COUNTIF($C$18:C447,C447)&amp;CHOOSE(MIN(4,COUNTIF($C$18:C447,C447)),"st","nd","rd","th"),"")</f>
        <v/>
      </c>
    </row>
    <row r="448" spans="12:12" x14ac:dyDescent="0.25">
      <c r="L448" s="164" t="str">
        <f>IFERROR(COUNTIF($C$18:C448,C448)&amp;CHOOSE(MIN(4,COUNTIF($C$18:C448,C448)),"st","nd","rd","th"),"")</f>
        <v/>
      </c>
    </row>
    <row r="449" spans="12:12" x14ac:dyDescent="0.25">
      <c r="L449" s="164" t="str">
        <f>IFERROR(COUNTIF($C$18:C449,C449)&amp;CHOOSE(MIN(4,COUNTIF($C$18:C449,C449)),"st","nd","rd","th"),"")</f>
        <v/>
      </c>
    </row>
    <row r="450" spans="12:12" x14ac:dyDescent="0.25">
      <c r="L450" s="164" t="str">
        <f>IFERROR(COUNTIF($C$18:C450,C450)&amp;CHOOSE(MIN(4,COUNTIF($C$18:C450,C450)),"st","nd","rd","th"),"")</f>
        <v/>
      </c>
    </row>
    <row r="451" spans="12:12" x14ac:dyDescent="0.25">
      <c r="L451" s="164" t="str">
        <f>IFERROR(COUNTIF($C$18:C451,C451)&amp;CHOOSE(MIN(4,COUNTIF($C$18:C451,C451)),"st","nd","rd","th"),"")</f>
        <v/>
      </c>
    </row>
    <row r="452" spans="12:12" x14ac:dyDescent="0.25">
      <c r="L452" s="164" t="str">
        <f>IFERROR(COUNTIF($C$18:C452,C452)&amp;CHOOSE(MIN(4,COUNTIF($C$18:C452,C452)),"st","nd","rd","th"),"")</f>
        <v/>
      </c>
    </row>
    <row r="453" spans="12:12" x14ac:dyDescent="0.25">
      <c r="L453" s="164" t="str">
        <f>IFERROR(COUNTIF($C$18:C453,C453)&amp;CHOOSE(MIN(4,COUNTIF($C$18:C453,C453)),"st","nd","rd","th"),"")</f>
        <v/>
      </c>
    </row>
    <row r="454" spans="12:12" x14ac:dyDescent="0.25">
      <c r="L454" s="164" t="str">
        <f>IFERROR(COUNTIF($C$18:C454,C454)&amp;CHOOSE(MIN(4,COUNTIF($C$18:C454,C454)),"st","nd","rd","th"),"")</f>
        <v/>
      </c>
    </row>
    <row r="455" spans="12:12" x14ac:dyDescent="0.25">
      <c r="L455" s="164" t="str">
        <f>IFERROR(COUNTIF($C$18:C455,C455)&amp;CHOOSE(MIN(4,COUNTIF($C$18:C455,C455)),"st","nd","rd","th"),"")</f>
        <v/>
      </c>
    </row>
    <row r="456" spans="12:12" x14ac:dyDescent="0.25">
      <c r="L456" s="164" t="str">
        <f>IFERROR(COUNTIF($C$18:C456,C456)&amp;CHOOSE(MIN(4,COUNTIF($C$18:C456,C456)),"st","nd","rd","th"),"")</f>
        <v/>
      </c>
    </row>
    <row r="457" spans="12:12" x14ac:dyDescent="0.25">
      <c r="L457" s="164" t="str">
        <f>IFERROR(COUNTIF($C$18:C457,C457)&amp;CHOOSE(MIN(4,COUNTIF($C$18:C457,C457)),"st","nd","rd","th"),"")</f>
        <v/>
      </c>
    </row>
    <row r="458" spans="12:12" x14ac:dyDescent="0.25">
      <c r="L458" s="164" t="str">
        <f>IFERROR(COUNTIF($C$18:C458,C458)&amp;CHOOSE(MIN(4,COUNTIF($C$18:C458,C458)),"st","nd","rd","th"),"")</f>
        <v/>
      </c>
    </row>
    <row r="459" spans="12:12" x14ac:dyDescent="0.25">
      <c r="L459" s="164" t="str">
        <f>IFERROR(COUNTIF($C$18:C459,C459)&amp;CHOOSE(MIN(4,COUNTIF($C$18:C459,C459)),"st","nd","rd","th"),"")</f>
        <v/>
      </c>
    </row>
    <row r="460" spans="12:12" x14ac:dyDescent="0.25">
      <c r="L460" s="164" t="str">
        <f>IFERROR(COUNTIF($C$18:C460,C460)&amp;CHOOSE(MIN(4,COUNTIF($C$18:C460,C460)),"st","nd","rd","th"),"")</f>
        <v/>
      </c>
    </row>
    <row r="461" spans="12:12" x14ac:dyDescent="0.25">
      <c r="L461" s="164" t="str">
        <f>IFERROR(COUNTIF($C$18:C461,C461)&amp;CHOOSE(MIN(4,COUNTIF($C$18:C461,C461)),"st","nd","rd","th"),"")</f>
        <v/>
      </c>
    </row>
    <row r="462" spans="12:12" x14ac:dyDescent="0.25">
      <c r="L462" s="164" t="str">
        <f>IFERROR(COUNTIF($C$18:C462,C462)&amp;CHOOSE(MIN(4,COUNTIF($C$18:C462,C462)),"st","nd","rd","th"),"")</f>
        <v/>
      </c>
    </row>
    <row r="463" spans="12:12" x14ac:dyDescent="0.25">
      <c r="L463" s="164" t="str">
        <f>IFERROR(COUNTIF($C$18:C463,C463)&amp;CHOOSE(MIN(4,COUNTIF($C$18:C463,C463)),"st","nd","rd","th"),"")</f>
        <v/>
      </c>
    </row>
    <row r="464" spans="12:12" x14ac:dyDescent="0.25">
      <c r="L464" s="164" t="str">
        <f>IFERROR(COUNTIF($C$18:C464,C464)&amp;CHOOSE(MIN(4,COUNTIF($C$18:C464,C464)),"st","nd","rd","th"),"")</f>
        <v/>
      </c>
    </row>
    <row r="465" spans="12:12" x14ac:dyDescent="0.25">
      <c r="L465" s="164" t="str">
        <f>IFERROR(COUNTIF($C$18:C465,C465)&amp;CHOOSE(MIN(4,COUNTIF($C$18:C465,C465)),"st","nd","rd","th"),"")</f>
        <v/>
      </c>
    </row>
    <row r="466" spans="12:12" x14ac:dyDescent="0.25">
      <c r="L466" s="164" t="str">
        <f>IFERROR(COUNTIF($C$18:C466,C466)&amp;CHOOSE(MIN(4,COUNTIF($C$18:C466,C466)),"st","nd","rd","th"),"")</f>
        <v/>
      </c>
    </row>
    <row r="467" spans="12:12" x14ac:dyDescent="0.25">
      <c r="L467" s="164" t="str">
        <f>IFERROR(COUNTIF($C$18:C467,C467)&amp;CHOOSE(MIN(4,COUNTIF($C$18:C467,C467)),"st","nd","rd","th"),"")</f>
        <v/>
      </c>
    </row>
    <row r="468" spans="12:12" x14ac:dyDescent="0.25">
      <c r="L468" s="164" t="str">
        <f>IFERROR(COUNTIF($C$18:C468,C468)&amp;CHOOSE(MIN(4,COUNTIF($C$18:C468,C468)),"st","nd","rd","th"),"")</f>
        <v/>
      </c>
    </row>
    <row r="469" spans="12:12" x14ac:dyDescent="0.25">
      <c r="L469" s="164" t="str">
        <f>IFERROR(COUNTIF($C$18:C469,C469)&amp;CHOOSE(MIN(4,COUNTIF($C$18:C469,C469)),"st","nd","rd","th"),"")</f>
        <v/>
      </c>
    </row>
    <row r="470" spans="12:12" x14ac:dyDescent="0.25">
      <c r="L470" s="164" t="str">
        <f>IFERROR(COUNTIF($C$18:C470,C470)&amp;CHOOSE(MIN(4,COUNTIF($C$18:C470,C470)),"st","nd","rd","th"),"")</f>
        <v/>
      </c>
    </row>
    <row r="471" spans="12:12" x14ac:dyDescent="0.25">
      <c r="L471" s="164" t="str">
        <f>IFERROR(COUNTIF($C$18:C471,C471)&amp;CHOOSE(MIN(4,COUNTIF($C$18:C471,C471)),"st","nd","rd","th"),"")</f>
        <v/>
      </c>
    </row>
    <row r="472" spans="12:12" x14ac:dyDescent="0.25">
      <c r="L472" s="164" t="str">
        <f>IFERROR(COUNTIF($C$18:C472,C472)&amp;CHOOSE(MIN(4,COUNTIF($C$18:C472,C472)),"st","nd","rd","th"),"")</f>
        <v/>
      </c>
    </row>
    <row r="473" spans="12:12" x14ac:dyDescent="0.25">
      <c r="L473" s="164" t="str">
        <f>IFERROR(COUNTIF($C$18:C473,C473)&amp;CHOOSE(MIN(4,COUNTIF($C$18:C473,C473)),"st","nd","rd","th"),"")</f>
        <v/>
      </c>
    </row>
    <row r="474" spans="12:12" x14ac:dyDescent="0.25">
      <c r="L474" s="164" t="str">
        <f>IFERROR(COUNTIF($C$18:C474,C474)&amp;CHOOSE(MIN(4,COUNTIF($C$18:C474,C474)),"st","nd","rd","th"),"")</f>
        <v/>
      </c>
    </row>
    <row r="475" spans="12:12" x14ac:dyDescent="0.25">
      <c r="L475" s="164" t="str">
        <f>IFERROR(COUNTIF($C$18:C475,C475)&amp;CHOOSE(MIN(4,COUNTIF($C$18:C475,C475)),"st","nd","rd","th"),"")</f>
        <v/>
      </c>
    </row>
    <row r="476" spans="12:12" x14ac:dyDescent="0.25">
      <c r="L476" s="164" t="str">
        <f>IFERROR(COUNTIF($C$18:C476,C476)&amp;CHOOSE(MIN(4,COUNTIF($C$18:C476,C476)),"st","nd","rd","th"),"")</f>
        <v/>
      </c>
    </row>
    <row r="477" spans="12:12" x14ac:dyDescent="0.25">
      <c r="L477" s="164" t="str">
        <f>IFERROR(COUNTIF($C$18:C477,C477)&amp;CHOOSE(MIN(4,COUNTIF($C$18:C477,C477)),"st","nd","rd","th"),"")</f>
        <v/>
      </c>
    </row>
    <row r="478" spans="12:12" x14ac:dyDescent="0.25">
      <c r="L478" s="164" t="str">
        <f>IFERROR(COUNTIF($C$18:C478,C478)&amp;CHOOSE(MIN(4,COUNTIF($C$18:C478,C478)),"st","nd","rd","th"),"")</f>
        <v/>
      </c>
    </row>
    <row r="479" spans="12:12" x14ac:dyDescent="0.25">
      <c r="L479" s="164" t="str">
        <f>IFERROR(COUNTIF($C$18:C479,C479)&amp;CHOOSE(MIN(4,COUNTIF($C$18:C479,C479)),"st","nd","rd","th"),"")</f>
        <v/>
      </c>
    </row>
    <row r="480" spans="12:12" x14ac:dyDescent="0.25">
      <c r="L480" s="164" t="str">
        <f>IFERROR(COUNTIF($C$18:C480,C480)&amp;CHOOSE(MIN(4,COUNTIF($C$18:C480,C480)),"st","nd","rd","th"),"")</f>
        <v/>
      </c>
    </row>
    <row r="481" spans="12:12" x14ac:dyDescent="0.25">
      <c r="L481" s="164" t="str">
        <f>IFERROR(COUNTIF($C$18:C481,C481)&amp;CHOOSE(MIN(4,COUNTIF($C$18:C481,C481)),"st","nd","rd","th"),"")</f>
        <v/>
      </c>
    </row>
    <row r="482" spans="12:12" x14ac:dyDescent="0.25">
      <c r="L482" s="164" t="str">
        <f>IFERROR(COUNTIF($C$18:C482,C482)&amp;CHOOSE(MIN(4,COUNTIF($C$18:C482,C482)),"st","nd","rd","th"),"")</f>
        <v/>
      </c>
    </row>
    <row r="483" spans="12:12" x14ac:dyDescent="0.25">
      <c r="L483" s="164" t="str">
        <f>IFERROR(COUNTIF($C$18:C483,C483)&amp;CHOOSE(MIN(4,COUNTIF($C$18:C483,C483)),"st","nd","rd","th"),"")</f>
        <v/>
      </c>
    </row>
    <row r="484" spans="12:12" x14ac:dyDescent="0.25">
      <c r="L484" s="164" t="str">
        <f>IFERROR(COUNTIF($C$18:C484,C484)&amp;CHOOSE(MIN(4,COUNTIF($C$18:C484,C484)),"st","nd","rd","th"),"")</f>
        <v/>
      </c>
    </row>
    <row r="485" spans="12:12" x14ac:dyDescent="0.25">
      <c r="L485" s="164" t="str">
        <f>IFERROR(COUNTIF($C$18:C485,C485)&amp;CHOOSE(MIN(4,COUNTIF($C$18:C485,C485)),"st","nd","rd","th"),"")</f>
        <v/>
      </c>
    </row>
    <row r="486" spans="12:12" x14ac:dyDescent="0.25">
      <c r="L486" s="164" t="str">
        <f>IFERROR(COUNTIF($C$18:C486,C486)&amp;CHOOSE(MIN(4,COUNTIF($C$18:C486,C486)),"st","nd","rd","th"),"")</f>
        <v/>
      </c>
    </row>
    <row r="487" spans="12:12" x14ac:dyDescent="0.25">
      <c r="L487" s="164" t="str">
        <f>IFERROR(COUNTIF($C$18:C487,C487)&amp;CHOOSE(MIN(4,COUNTIF($C$18:C487,C487)),"st","nd","rd","th"),"")</f>
        <v/>
      </c>
    </row>
    <row r="488" spans="12:12" x14ac:dyDescent="0.25">
      <c r="L488" s="164" t="str">
        <f>IFERROR(COUNTIF($C$18:C488,C488)&amp;CHOOSE(MIN(4,COUNTIF($C$18:C488,C488)),"st","nd","rd","th"),"")</f>
        <v/>
      </c>
    </row>
    <row r="489" spans="12:12" x14ac:dyDescent="0.25">
      <c r="L489" s="164" t="str">
        <f>IFERROR(COUNTIF($C$18:C489,C489)&amp;CHOOSE(MIN(4,COUNTIF($C$18:C489,C489)),"st","nd","rd","th"),"")</f>
        <v/>
      </c>
    </row>
    <row r="490" spans="12:12" x14ac:dyDescent="0.25">
      <c r="L490" s="164" t="str">
        <f>IFERROR(COUNTIF($C$18:C490,C490)&amp;CHOOSE(MIN(4,COUNTIF($C$18:C490,C490)),"st","nd","rd","th"),"")</f>
        <v/>
      </c>
    </row>
    <row r="491" spans="12:12" x14ac:dyDescent="0.25">
      <c r="L491" s="164" t="str">
        <f>IFERROR(COUNTIF($C$18:C491,C491)&amp;CHOOSE(MIN(4,COUNTIF($C$18:C491,C491)),"st","nd","rd","th"),"")</f>
        <v/>
      </c>
    </row>
    <row r="492" spans="12:12" x14ac:dyDescent="0.25">
      <c r="L492" s="164" t="str">
        <f>IFERROR(COUNTIF($C$18:C492,C492)&amp;CHOOSE(MIN(4,COUNTIF($C$18:C492,C492)),"st","nd","rd","th"),"")</f>
        <v/>
      </c>
    </row>
    <row r="493" spans="12:12" x14ac:dyDescent="0.25">
      <c r="L493" s="164" t="str">
        <f>IFERROR(COUNTIF($C$18:C493,C493)&amp;CHOOSE(MIN(4,COUNTIF($C$18:C493,C493)),"st","nd","rd","th"),"")</f>
        <v/>
      </c>
    </row>
    <row r="494" spans="12:12" x14ac:dyDescent="0.25">
      <c r="L494" s="164" t="str">
        <f>IFERROR(COUNTIF($C$18:C494,C494)&amp;CHOOSE(MIN(4,COUNTIF($C$18:C494,C494)),"st","nd","rd","th"),"")</f>
        <v/>
      </c>
    </row>
    <row r="495" spans="12:12" x14ac:dyDescent="0.25">
      <c r="L495" s="164" t="str">
        <f>IFERROR(COUNTIF($C$18:C495,C495)&amp;CHOOSE(MIN(4,COUNTIF($C$18:C495,C495)),"st","nd","rd","th"),"")</f>
        <v/>
      </c>
    </row>
    <row r="496" spans="12:12" x14ac:dyDescent="0.25">
      <c r="L496" s="164" t="str">
        <f>IFERROR(COUNTIF($C$18:C496,C496)&amp;CHOOSE(MIN(4,COUNTIF($C$18:C496,C496)),"st","nd","rd","th"),"")</f>
        <v/>
      </c>
    </row>
    <row r="497" spans="12:12" x14ac:dyDescent="0.25">
      <c r="L497" s="164" t="str">
        <f>IFERROR(COUNTIF($C$18:C497,C497)&amp;CHOOSE(MIN(4,COUNTIF($C$18:C497,C497)),"st","nd","rd","th"),"")</f>
        <v/>
      </c>
    </row>
    <row r="498" spans="12:12" x14ac:dyDescent="0.25">
      <c r="L498" s="164" t="str">
        <f>IFERROR(COUNTIF($C$18:C498,C498)&amp;CHOOSE(MIN(4,COUNTIF($C$18:C498,C498)),"st","nd","rd","th"),"")</f>
        <v/>
      </c>
    </row>
    <row r="499" spans="12:12" x14ac:dyDescent="0.25">
      <c r="L499" s="164" t="str">
        <f>IFERROR(COUNTIF($C$18:C499,C499)&amp;CHOOSE(MIN(4,COUNTIF($C$18:C499,C499)),"st","nd","rd","th"),"")</f>
        <v/>
      </c>
    </row>
    <row r="500" spans="12:12" x14ac:dyDescent="0.25">
      <c r="L500" s="164" t="str">
        <f>IFERROR(COUNTIF($C$18:C500,C500)&amp;CHOOSE(MIN(4,COUNTIF($C$18:C500,C500)),"st","nd","rd","th"),"")</f>
        <v/>
      </c>
    </row>
    <row r="501" spans="12:12" x14ac:dyDescent="0.25">
      <c r="L501" s="164" t="str">
        <f>IFERROR(COUNTIF($C$18:C501,C501)&amp;CHOOSE(MIN(4,COUNTIF($C$18:C501,C501)),"st","nd","rd","th"),"")</f>
        <v/>
      </c>
    </row>
    <row r="502" spans="12:12" x14ac:dyDescent="0.25">
      <c r="L502" s="164" t="str">
        <f>IFERROR(COUNTIF($C$18:C502,C502)&amp;CHOOSE(MIN(4,COUNTIF($C$18:C502,C502)),"st","nd","rd","th"),"")</f>
        <v/>
      </c>
    </row>
    <row r="503" spans="12:12" x14ac:dyDescent="0.25">
      <c r="L503" s="164" t="str">
        <f>IFERROR(COUNTIF($C$18:C503,C503)&amp;CHOOSE(MIN(4,COUNTIF($C$18:C503,C503)),"st","nd","rd","th"),"")</f>
        <v/>
      </c>
    </row>
    <row r="504" spans="12:12" x14ac:dyDescent="0.25">
      <c r="L504" s="164" t="str">
        <f>IFERROR(COUNTIF($C$18:C504,C504)&amp;CHOOSE(MIN(4,COUNTIF($C$18:C504,C504)),"st","nd","rd","th"),"")</f>
        <v/>
      </c>
    </row>
    <row r="505" spans="12:12" x14ac:dyDescent="0.25">
      <c r="L505" s="164" t="str">
        <f>IFERROR(COUNTIF($C$18:C505,C505)&amp;CHOOSE(MIN(4,COUNTIF($C$18:C505,C505)),"st","nd","rd","th"),"")</f>
        <v/>
      </c>
    </row>
    <row r="506" spans="12:12" x14ac:dyDescent="0.25">
      <c r="L506" s="164" t="str">
        <f>IFERROR(COUNTIF($C$18:C506,C506)&amp;CHOOSE(MIN(4,COUNTIF($C$18:C506,C506)),"st","nd","rd","th"),"")</f>
        <v/>
      </c>
    </row>
    <row r="507" spans="12:12" x14ac:dyDescent="0.25">
      <c r="L507" s="164" t="str">
        <f>IFERROR(COUNTIF($C$18:C507,C507)&amp;CHOOSE(MIN(4,COUNTIF($C$18:C507,C507)),"st","nd","rd","th"),"")</f>
        <v/>
      </c>
    </row>
    <row r="508" spans="12:12" x14ac:dyDescent="0.25">
      <c r="L508" s="164" t="str">
        <f>IFERROR(COUNTIF($C$18:C508,C508)&amp;CHOOSE(MIN(4,COUNTIF($C$18:C508,C508)),"st","nd","rd","th"),"")</f>
        <v/>
      </c>
    </row>
    <row r="509" spans="12:12" x14ac:dyDescent="0.25">
      <c r="L509" s="164" t="str">
        <f>IFERROR(COUNTIF($C$18:C509,C509)&amp;CHOOSE(MIN(4,COUNTIF($C$18:C509,C509)),"st","nd","rd","th"),"")</f>
        <v/>
      </c>
    </row>
    <row r="510" spans="12:12" x14ac:dyDescent="0.25">
      <c r="L510" s="164" t="str">
        <f>IFERROR(COUNTIF($C$18:C510,C510)&amp;CHOOSE(MIN(4,COUNTIF($C$18:C510,C510)),"st","nd","rd","th"),"")</f>
        <v/>
      </c>
    </row>
    <row r="511" spans="12:12" x14ac:dyDescent="0.25">
      <c r="L511" s="164" t="str">
        <f>IFERROR(COUNTIF($C$18:C511,C511)&amp;CHOOSE(MIN(4,COUNTIF($C$18:C511,C511)),"st","nd","rd","th"),"")</f>
        <v/>
      </c>
    </row>
    <row r="512" spans="12:12" x14ac:dyDescent="0.25">
      <c r="L512" s="164" t="str">
        <f>IFERROR(COUNTIF($C$18:C512,C512)&amp;CHOOSE(MIN(4,COUNTIF($C$18:C512,C512)),"st","nd","rd","th"),"")</f>
        <v/>
      </c>
    </row>
    <row r="513" spans="12:12" x14ac:dyDescent="0.25">
      <c r="L513" s="164" t="str">
        <f>IFERROR(COUNTIF($C$18:C513,C513)&amp;CHOOSE(MIN(4,COUNTIF($C$18:C513,C513)),"st","nd","rd","th"),"")</f>
        <v/>
      </c>
    </row>
    <row r="514" spans="12:12" x14ac:dyDescent="0.25">
      <c r="L514" s="164" t="str">
        <f>IFERROR(COUNTIF($C$18:C514,C514)&amp;CHOOSE(MIN(4,COUNTIF($C$18:C514,C514)),"st","nd","rd","th"),"")</f>
        <v/>
      </c>
    </row>
    <row r="515" spans="12:12" x14ac:dyDescent="0.25">
      <c r="L515" s="164" t="str">
        <f>IFERROR(COUNTIF($C$18:C515,C515)&amp;CHOOSE(MIN(4,COUNTIF($C$18:C515,C515)),"st","nd","rd","th"),"")</f>
        <v/>
      </c>
    </row>
    <row r="516" spans="12:12" x14ac:dyDescent="0.25">
      <c r="L516" s="164" t="str">
        <f>IFERROR(COUNTIF($C$18:C516,C516)&amp;CHOOSE(MIN(4,COUNTIF($C$18:C516,C516)),"st","nd","rd","th"),"")</f>
        <v/>
      </c>
    </row>
    <row r="517" spans="12:12" x14ac:dyDescent="0.25">
      <c r="L517" s="164" t="str">
        <f>IFERROR(COUNTIF($C$18:C517,C517)&amp;CHOOSE(MIN(4,COUNTIF($C$18:C517,C517)),"st","nd","rd","th"),"")</f>
        <v/>
      </c>
    </row>
    <row r="518" spans="12:12" x14ac:dyDescent="0.25">
      <c r="L518" s="164" t="str">
        <f>IFERROR(COUNTIF($C$18:C518,C518)&amp;CHOOSE(MIN(4,COUNTIF($C$18:C518,C518)),"st","nd","rd","th"),"")</f>
        <v/>
      </c>
    </row>
    <row r="519" spans="12:12" x14ac:dyDescent="0.25">
      <c r="L519" s="164" t="str">
        <f>IFERROR(COUNTIF($C$18:C519,C519)&amp;CHOOSE(MIN(4,COUNTIF($C$18:C519,C519)),"st","nd","rd","th"),"")</f>
        <v/>
      </c>
    </row>
    <row r="520" spans="12:12" x14ac:dyDescent="0.25">
      <c r="L520" s="164" t="str">
        <f>IFERROR(COUNTIF($C$18:C520,C520)&amp;CHOOSE(MIN(4,COUNTIF($C$18:C520,C520)),"st","nd","rd","th"),"")</f>
        <v/>
      </c>
    </row>
    <row r="521" spans="12:12" x14ac:dyDescent="0.25">
      <c r="L521" s="164" t="str">
        <f>IFERROR(COUNTIF($C$18:C521,C521)&amp;CHOOSE(MIN(4,COUNTIF($C$18:C521,C521)),"st","nd","rd","th"),"")</f>
        <v/>
      </c>
    </row>
    <row r="522" spans="12:12" x14ac:dyDescent="0.25">
      <c r="L522" s="164" t="str">
        <f>IFERROR(COUNTIF($C$18:C522,C522)&amp;CHOOSE(MIN(4,COUNTIF($C$18:C522,C522)),"st","nd","rd","th"),"")</f>
        <v/>
      </c>
    </row>
    <row r="523" spans="12:12" x14ac:dyDescent="0.25">
      <c r="L523" s="164" t="str">
        <f>IFERROR(COUNTIF($C$18:C523,C523)&amp;CHOOSE(MIN(4,COUNTIF($C$18:C523,C523)),"st","nd","rd","th"),"")</f>
        <v/>
      </c>
    </row>
    <row r="524" spans="12:12" x14ac:dyDescent="0.25">
      <c r="L524" s="164" t="str">
        <f>IFERROR(COUNTIF($C$18:C524,C524)&amp;CHOOSE(MIN(4,COUNTIF($C$18:C524,C524)),"st","nd","rd","th"),"")</f>
        <v/>
      </c>
    </row>
    <row r="525" spans="12:12" x14ac:dyDescent="0.25">
      <c r="L525" s="164" t="str">
        <f>IFERROR(COUNTIF($C$18:C525,C525)&amp;CHOOSE(MIN(4,COUNTIF($C$18:C525,C525)),"st","nd","rd","th"),"")</f>
        <v/>
      </c>
    </row>
    <row r="526" spans="12:12" x14ac:dyDescent="0.25">
      <c r="L526" s="164" t="str">
        <f>IFERROR(COUNTIF($C$18:C526,C526)&amp;CHOOSE(MIN(4,COUNTIF($C$18:C526,C526)),"st","nd","rd","th"),"")</f>
        <v/>
      </c>
    </row>
    <row r="527" spans="12:12" x14ac:dyDescent="0.25">
      <c r="L527" s="164" t="str">
        <f>IFERROR(COUNTIF($C$18:C527,C527)&amp;CHOOSE(MIN(4,COUNTIF($C$18:C527,C527)),"st","nd","rd","th"),"")</f>
        <v/>
      </c>
    </row>
    <row r="528" spans="12:12" x14ac:dyDescent="0.25">
      <c r="L528" s="164" t="str">
        <f>IFERROR(COUNTIF($C$18:C528,C528)&amp;CHOOSE(MIN(4,COUNTIF($C$18:C528,C528)),"st","nd","rd","th"),"")</f>
        <v/>
      </c>
    </row>
    <row r="529" spans="12:12" x14ac:dyDescent="0.25">
      <c r="L529" s="164" t="str">
        <f>IFERROR(COUNTIF($C$18:C529,C529)&amp;CHOOSE(MIN(4,COUNTIF($C$18:C529,C529)),"st","nd","rd","th"),"")</f>
        <v/>
      </c>
    </row>
    <row r="530" spans="12:12" x14ac:dyDescent="0.25">
      <c r="L530" s="164" t="str">
        <f>IFERROR(COUNTIF($C$18:C530,C530)&amp;CHOOSE(MIN(4,COUNTIF($C$18:C530,C530)),"st","nd","rd","th"),"")</f>
        <v/>
      </c>
    </row>
    <row r="531" spans="12:12" x14ac:dyDescent="0.25">
      <c r="L531" s="164" t="str">
        <f>IFERROR(COUNTIF($C$18:C531,C531)&amp;CHOOSE(MIN(4,COUNTIF($C$18:C531,C531)),"st","nd","rd","th"),"")</f>
        <v/>
      </c>
    </row>
    <row r="532" spans="12:12" x14ac:dyDescent="0.25">
      <c r="L532" s="164" t="str">
        <f>IFERROR(COUNTIF($C$18:C532,C532)&amp;CHOOSE(MIN(4,COUNTIF($C$18:C532,C532)),"st","nd","rd","th"),"")</f>
        <v/>
      </c>
    </row>
    <row r="533" spans="12:12" x14ac:dyDescent="0.25">
      <c r="L533" s="164" t="str">
        <f>IFERROR(COUNTIF($C$18:C533,C533)&amp;CHOOSE(MIN(4,COUNTIF($C$18:C533,C533)),"st","nd","rd","th"),"")</f>
        <v/>
      </c>
    </row>
    <row r="534" spans="12:12" x14ac:dyDescent="0.25">
      <c r="L534" s="164" t="str">
        <f>IFERROR(COUNTIF($C$18:C534,C534)&amp;CHOOSE(MIN(4,COUNTIF($C$18:C534,C534)),"st","nd","rd","th"),"")</f>
        <v/>
      </c>
    </row>
    <row r="535" spans="12:12" x14ac:dyDescent="0.25">
      <c r="L535" s="164" t="str">
        <f>IFERROR(COUNTIF($C$18:C535,C535)&amp;CHOOSE(MIN(4,COUNTIF($C$18:C535,C535)),"st","nd","rd","th"),"")</f>
        <v/>
      </c>
    </row>
    <row r="536" spans="12:12" x14ac:dyDescent="0.25">
      <c r="L536" s="164" t="str">
        <f>IFERROR(COUNTIF($C$18:C536,C536)&amp;CHOOSE(MIN(4,COUNTIF($C$18:C536,C536)),"st","nd","rd","th"),"")</f>
        <v/>
      </c>
    </row>
    <row r="537" spans="12:12" x14ac:dyDescent="0.25">
      <c r="L537" s="164" t="str">
        <f>IFERROR(COUNTIF($C$18:C537,C537)&amp;CHOOSE(MIN(4,COUNTIF($C$18:C537,C537)),"st","nd","rd","th"),"")</f>
        <v/>
      </c>
    </row>
    <row r="538" spans="12:12" x14ac:dyDescent="0.25">
      <c r="L538" s="164" t="str">
        <f>IFERROR(COUNTIF($C$18:C538,C538)&amp;CHOOSE(MIN(4,COUNTIF($C$18:C538,C538)),"st","nd","rd","th"),"")</f>
        <v/>
      </c>
    </row>
    <row r="539" spans="12:12" x14ac:dyDescent="0.25">
      <c r="L539" s="164" t="str">
        <f>IFERROR(COUNTIF($C$18:C539,C539)&amp;CHOOSE(MIN(4,COUNTIF($C$18:C539,C539)),"st","nd","rd","th"),"")</f>
        <v/>
      </c>
    </row>
    <row r="540" spans="12:12" x14ac:dyDescent="0.25">
      <c r="L540" s="164" t="str">
        <f>IFERROR(COUNTIF($C$18:C540,C540)&amp;CHOOSE(MIN(4,COUNTIF($C$18:C540,C540)),"st","nd","rd","th"),"")</f>
        <v/>
      </c>
    </row>
    <row r="541" spans="12:12" x14ac:dyDescent="0.25">
      <c r="L541" s="164" t="str">
        <f>IFERROR(COUNTIF($C$18:C541,C541)&amp;CHOOSE(MIN(4,COUNTIF($C$18:C541,C541)),"st","nd","rd","th"),"")</f>
        <v/>
      </c>
    </row>
    <row r="542" spans="12:12" x14ac:dyDescent="0.25">
      <c r="L542" s="164" t="str">
        <f>IFERROR(COUNTIF($C$18:C542,C542)&amp;CHOOSE(MIN(4,COUNTIF($C$18:C542,C542)),"st","nd","rd","th"),"")</f>
        <v/>
      </c>
    </row>
    <row r="543" spans="12:12" x14ac:dyDescent="0.25">
      <c r="L543" s="164" t="str">
        <f>IFERROR(COUNTIF($C$18:C543,C543)&amp;CHOOSE(MIN(4,COUNTIF($C$18:C543,C543)),"st","nd","rd","th"),"")</f>
        <v/>
      </c>
    </row>
    <row r="544" spans="12:12" x14ac:dyDescent="0.25">
      <c r="L544" s="164" t="str">
        <f>IFERROR(COUNTIF($C$18:C544,C544)&amp;CHOOSE(MIN(4,COUNTIF($C$18:C544,C544)),"st","nd","rd","th"),"")</f>
        <v/>
      </c>
    </row>
    <row r="545" spans="12:12" x14ac:dyDescent="0.25">
      <c r="L545" s="164" t="str">
        <f>IFERROR(COUNTIF($C$18:C545,C545)&amp;CHOOSE(MIN(4,COUNTIF($C$18:C545,C545)),"st","nd","rd","th"),"")</f>
        <v/>
      </c>
    </row>
    <row r="546" spans="12:12" x14ac:dyDescent="0.25">
      <c r="L546" s="164" t="str">
        <f>IFERROR(COUNTIF($C$18:C546,C546)&amp;CHOOSE(MIN(4,COUNTIF($C$18:C546,C546)),"st","nd","rd","th"),"")</f>
        <v/>
      </c>
    </row>
    <row r="547" spans="12:12" x14ac:dyDescent="0.25">
      <c r="L547" s="164" t="str">
        <f>IFERROR(COUNTIF($C$18:C547,C547)&amp;CHOOSE(MIN(4,COUNTIF($C$18:C547,C547)),"st","nd","rd","th"),"")</f>
        <v/>
      </c>
    </row>
    <row r="548" spans="12:12" x14ac:dyDescent="0.25">
      <c r="L548" s="164" t="str">
        <f>IFERROR(COUNTIF($C$18:C548,C548)&amp;CHOOSE(MIN(4,COUNTIF($C$18:C548,C548)),"st","nd","rd","th"),"")</f>
        <v/>
      </c>
    </row>
    <row r="549" spans="12:12" x14ac:dyDescent="0.25">
      <c r="L549" s="164" t="str">
        <f>IFERROR(COUNTIF($C$18:C549,C549)&amp;CHOOSE(MIN(4,COUNTIF($C$18:C549,C549)),"st","nd","rd","th"),"")</f>
        <v/>
      </c>
    </row>
    <row r="550" spans="12:12" x14ac:dyDescent="0.25">
      <c r="L550" s="164" t="str">
        <f>IFERROR(COUNTIF($C$18:C550,C550)&amp;CHOOSE(MIN(4,COUNTIF($C$18:C550,C550)),"st","nd","rd","th"),"")</f>
        <v/>
      </c>
    </row>
    <row r="551" spans="12:12" x14ac:dyDescent="0.25">
      <c r="L551" s="164" t="str">
        <f>IFERROR(COUNTIF($C$18:C551,C551)&amp;CHOOSE(MIN(4,COUNTIF($C$18:C551,C551)),"st","nd","rd","th"),"")</f>
        <v/>
      </c>
    </row>
    <row r="552" spans="12:12" x14ac:dyDescent="0.25">
      <c r="L552" s="164" t="str">
        <f>IFERROR(COUNTIF($C$18:C552,C552)&amp;CHOOSE(MIN(4,COUNTIF($C$18:C552,C552)),"st","nd","rd","th"),"")</f>
        <v/>
      </c>
    </row>
    <row r="553" spans="12:12" x14ac:dyDescent="0.25">
      <c r="L553" s="164" t="str">
        <f>IFERROR(COUNTIF($C$18:C553,C553)&amp;CHOOSE(MIN(4,COUNTIF($C$18:C553,C553)),"st","nd","rd","th"),"")</f>
        <v/>
      </c>
    </row>
    <row r="554" spans="12:12" x14ac:dyDescent="0.25">
      <c r="L554" s="164" t="str">
        <f>IFERROR(COUNTIF($C$18:C554,C554)&amp;CHOOSE(MIN(4,COUNTIF($C$18:C554,C554)),"st","nd","rd","th"),"")</f>
        <v/>
      </c>
    </row>
    <row r="555" spans="12:12" x14ac:dyDescent="0.25">
      <c r="L555" s="164" t="str">
        <f>IFERROR(COUNTIF($C$18:C555,C555)&amp;CHOOSE(MIN(4,COUNTIF($C$18:C555,C555)),"st","nd","rd","th"),"")</f>
        <v/>
      </c>
    </row>
    <row r="556" spans="12:12" x14ac:dyDescent="0.25">
      <c r="L556" s="164" t="str">
        <f>IFERROR(COUNTIF($C$18:C556,C556)&amp;CHOOSE(MIN(4,COUNTIF($C$18:C556,C556)),"st","nd","rd","th"),"")</f>
        <v/>
      </c>
    </row>
    <row r="557" spans="12:12" x14ac:dyDescent="0.25">
      <c r="L557" s="164" t="str">
        <f>IFERROR(COUNTIF($C$18:C557,C557)&amp;CHOOSE(MIN(4,COUNTIF($C$18:C557,C557)),"st","nd","rd","th"),"")</f>
        <v/>
      </c>
    </row>
    <row r="558" spans="12:12" x14ac:dyDescent="0.25">
      <c r="L558" s="164" t="str">
        <f>IFERROR(COUNTIF($C$18:C558,C558)&amp;CHOOSE(MIN(4,COUNTIF($C$18:C558,C558)),"st","nd","rd","th"),"")</f>
        <v/>
      </c>
    </row>
    <row r="559" spans="12:12" x14ac:dyDescent="0.25">
      <c r="L559" s="164" t="str">
        <f>IFERROR(COUNTIF($C$18:C559,C559)&amp;CHOOSE(MIN(4,COUNTIF($C$18:C559,C559)),"st","nd","rd","th"),"")</f>
        <v/>
      </c>
    </row>
    <row r="560" spans="12:12" x14ac:dyDescent="0.25">
      <c r="L560" s="164" t="str">
        <f>IFERROR(COUNTIF($C$18:C560,C560)&amp;CHOOSE(MIN(4,COUNTIF($C$18:C560,C560)),"st","nd","rd","th"),"")</f>
        <v/>
      </c>
    </row>
    <row r="561" spans="12:12" x14ac:dyDescent="0.25">
      <c r="L561" s="164" t="str">
        <f>IFERROR(COUNTIF($C$18:C561,C561)&amp;CHOOSE(MIN(4,COUNTIF($C$18:C561,C561)),"st","nd","rd","th"),"")</f>
        <v/>
      </c>
    </row>
    <row r="562" spans="12:12" x14ac:dyDescent="0.25">
      <c r="L562" s="164" t="str">
        <f>IFERROR(COUNTIF($C$18:C562,C562)&amp;CHOOSE(MIN(4,COUNTIF($C$18:C562,C562)),"st","nd","rd","th"),"")</f>
        <v/>
      </c>
    </row>
    <row r="563" spans="12:12" x14ac:dyDescent="0.25">
      <c r="L563" s="164" t="str">
        <f>IFERROR(COUNTIF($C$18:C563,C563)&amp;CHOOSE(MIN(4,COUNTIF($C$18:C563,C563)),"st","nd","rd","th"),"")</f>
        <v/>
      </c>
    </row>
    <row r="564" spans="12:12" x14ac:dyDescent="0.25">
      <c r="L564" s="164" t="str">
        <f>IFERROR(COUNTIF($C$18:C564,C564)&amp;CHOOSE(MIN(4,COUNTIF($C$18:C564,C564)),"st","nd","rd","th"),"")</f>
        <v/>
      </c>
    </row>
    <row r="565" spans="12:12" x14ac:dyDescent="0.25">
      <c r="L565" s="164" t="str">
        <f>IFERROR(COUNTIF($C$18:C565,C565)&amp;CHOOSE(MIN(4,COUNTIF($C$18:C565,C565)),"st","nd","rd","th"),"")</f>
        <v/>
      </c>
    </row>
    <row r="566" spans="12:12" x14ac:dyDescent="0.25">
      <c r="L566" s="164" t="str">
        <f>IFERROR(COUNTIF($C$18:C566,C566)&amp;CHOOSE(MIN(4,COUNTIF($C$18:C566,C566)),"st","nd","rd","th"),"")</f>
        <v/>
      </c>
    </row>
    <row r="567" spans="12:12" x14ac:dyDescent="0.25">
      <c r="L567" s="164" t="str">
        <f>IFERROR(COUNTIF($C$18:C567,C567)&amp;CHOOSE(MIN(4,COUNTIF($C$18:C567,C567)),"st","nd","rd","th"),"")</f>
        <v/>
      </c>
    </row>
    <row r="568" spans="12:12" x14ac:dyDescent="0.25">
      <c r="L568" s="164" t="str">
        <f>IFERROR(COUNTIF($C$18:C568,C568)&amp;CHOOSE(MIN(4,COUNTIF($C$18:C568,C568)),"st","nd","rd","th"),"")</f>
        <v/>
      </c>
    </row>
    <row r="569" spans="12:12" x14ac:dyDescent="0.25">
      <c r="L569" s="164" t="str">
        <f>IFERROR(COUNTIF($C$18:C569,C569)&amp;CHOOSE(MIN(4,COUNTIF($C$18:C569,C569)),"st","nd","rd","th"),"")</f>
        <v/>
      </c>
    </row>
    <row r="570" spans="12:12" x14ac:dyDescent="0.25">
      <c r="L570" s="164" t="str">
        <f>IFERROR(COUNTIF($C$18:C570,C570)&amp;CHOOSE(MIN(4,COUNTIF($C$18:C570,C570)),"st","nd","rd","th"),"")</f>
        <v/>
      </c>
    </row>
    <row r="571" spans="12:12" x14ac:dyDescent="0.25">
      <c r="L571" s="164" t="str">
        <f>IFERROR(COUNTIF($C$18:C571,C571)&amp;CHOOSE(MIN(4,COUNTIF($C$18:C571,C571)),"st","nd","rd","th"),"")</f>
        <v/>
      </c>
    </row>
    <row r="572" spans="12:12" x14ac:dyDescent="0.25">
      <c r="L572" s="164" t="str">
        <f>IFERROR(COUNTIF($C$18:C572,C572)&amp;CHOOSE(MIN(4,COUNTIF($C$18:C572,C572)),"st","nd","rd","th"),"")</f>
        <v/>
      </c>
    </row>
    <row r="573" spans="12:12" x14ac:dyDescent="0.25">
      <c r="L573" s="164" t="str">
        <f>IFERROR(COUNTIF($C$18:C573,C573)&amp;CHOOSE(MIN(4,COUNTIF($C$18:C573,C573)),"st","nd","rd","th"),"")</f>
        <v/>
      </c>
    </row>
    <row r="574" spans="12:12" x14ac:dyDescent="0.25">
      <c r="L574" s="164" t="str">
        <f>IFERROR(COUNTIF($C$18:C574,C574)&amp;CHOOSE(MIN(4,COUNTIF($C$18:C574,C574)),"st","nd","rd","th"),"")</f>
        <v/>
      </c>
    </row>
    <row r="575" spans="12:12" x14ac:dyDescent="0.25">
      <c r="L575" s="164" t="str">
        <f>IFERROR(COUNTIF($C$18:C575,C575)&amp;CHOOSE(MIN(4,COUNTIF($C$18:C575,C575)),"st","nd","rd","th"),"")</f>
        <v/>
      </c>
    </row>
    <row r="576" spans="12:12" x14ac:dyDescent="0.25">
      <c r="L576" s="164" t="str">
        <f>IFERROR(COUNTIF($C$18:C576,C576)&amp;CHOOSE(MIN(4,COUNTIF($C$18:C576,C576)),"st","nd","rd","th"),"")</f>
        <v/>
      </c>
    </row>
    <row r="577" spans="12:12" x14ac:dyDescent="0.25">
      <c r="L577" s="164" t="str">
        <f>IFERROR(COUNTIF($C$18:C577,C577)&amp;CHOOSE(MIN(4,COUNTIF($C$18:C577,C577)),"st","nd","rd","th"),"")</f>
        <v/>
      </c>
    </row>
    <row r="578" spans="12:12" x14ac:dyDescent="0.25">
      <c r="L578" s="164" t="str">
        <f>IFERROR(COUNTIF($C$18:C578,C578)&amp;CHOOSE(MIN(4,COUNTIF($C$18:C578,C578)),"st","nd","rd","th"),"")</f>
        <v/>
      </c>
    </row>
    <row r="579" spans="12:12" x14ac:dyDescent="0.25">
      <c r="L579" s="164" t="str">
        <f>IFERROR(COUNTIF($C$18:C579,C579)&amp;CHOOSE(MIN(4,COUNTIF($C$18:C579,C579)),"st","nd","rd","th"),"")</f>
        <v/>
      </c>
    </row>
    <row r="580" spans="12:12" x14ac:dyDescent="0.25">
      <c r="L580" s="164" t="str">
        <f>IFERROR(COUNTIF($C$18:C580,C580)&amp;CHOOSE(MIN(4,COUNTIF($C$18:C580,C580)),"st","nd","rd","th"),"")</f>
        <v/>
      </c>
    </row>
    <row r="581" spans="12:12" x14ac:dyDescent="0.25">
      <c r="L581" s="164" t="str">
        <f>IFERROR(COUNTIF($C$18:C581,C581)&amp;CHOOSE(MIN(4,COUNTIF($C$18:C581,C581)),"st","nd","rd","th"),"")</f>
        <v/>
      </c>
    </row>
    <row r="582" spans="12:12" x14ac:dyDescent="0.25">
      <c r="L582" s="164" t="str">
        <f>IFERROR(COUNTIF($C$18:C582,C582)&amp;CHOOSE(MIN(4,COUNTIF($C$18:C582,C582)),"st","nd","rd","th"),"")</f>
        <v/>
      </c>
    </row>
    <row r="583" spans="12:12" x14ac:dyDescent="0.25">
      <c r="L583" s="164" t="str">
        <f>IFERROR(COUNTIF($C$18:C583,C583)&amp;CHOOSE(MIN(4,COUNTIF($C$18:C583,C583)),"st","nd","rd","th"),"")</f>
        <v/>
      </c>
    </row>
    <row r="584" spans="12:12" x14ac:dyDescent="0.25">
      <c r="L584" s="164" t="str">
        <f>IFERROR(COUNTIF($C$18:C584,C584)&amp;CHOOSE(MIN(4,COUNTIF($C$18:C584,C584)),"st","nd","rd","th"),"")</f>
        <v/>
      </c>
    </row>
    <row r="585" spans="12:12" x14ac:dyDescent="0.25">
      <c r="L585" s="164" t="str">
        <f>IFERROR(COUNTIF($C$18:C585,C585)&amp;CHOOSE(MIN(4,COUNTIF($C$18:C585,C585)),"st","nd","rd","th"),"")</f>
        <v/>
      </c>
    </row>
    <row r="586" spans="12:12" x14ac:dyDescent="0.25">
      <c r="L586" s="164" t="str">
        <f>IFERROR(COUNTIF($C$18:C586,C586)&amp;CHOOSE(MIN(4,COUNTIF($C$18:C586,C586)),"st","nd","rd","th"),"")</f>
        <v/>
      </c>
    </row>
    <row r="587" spans="12:12" x14ac:dyDescent="0.25">
      <c r="L587" s="164" t="str">
        <f>IFERROR(COUNTIF($C$18:C587,C587)&amp;CHOOSE(MIN(4,COUNTIF($C$18:C587,C587)),"st","nd","rd","th"),"")</f>
        <v/>
      </c>
    </row>
    <row r="588" spans="12:12" x14ac:dyDescent="0.25">
      <c r="L588" s="164" t="str">
        <f>IFERROR(COUNTIF($C$18:C588,C588)&amp;CHOOSE(MIN(4,COUNTIF($C$18:C588,C588)),"st","nd","rd","th"),"")</f>
        <v/>
      </c>
    </row>
    <row r="589" spans="12:12" x14ac:dyDescent="0.25">
      <c r="L589" s="164" t="str">
        <f>IFERROR(COUNTIF($C$18:C589,C589)&amp;CHOOSE(MIN(4,COUNTIF($C$18:C589,C589)),"st","nd","rd","th"),"")</f>
        <v/>
      </c>
    </row>
    <row r="590" spans="12:12" x14ac:dyDescent="0.25">
      <c r="L590" s="164" t="str">
        <f>IFERROR(COUNTIF($C$18:C590,C590)&amp;CHOOSE(MIN(4,COUNTIF($C$18:C590,C590)),"st","nd","rd","th"),"")</f>
        <v/>
      </c>
    </row>
    <row r="591" spans="12:12" x14ac:dyDescent="0.25">
      <c r="L591" s="164" t="str">
        <f>IFERROR(COUNTIF($C$18:C591,C591)&amp;CHOOSE(MIN(4,COUNTIF($C$18:C591,C591)),"st","nd","rd","th"),"")</f>
        <v/>
      </c>
    </row>
    <row r="592" spans="12:12" x14ac:dyDescent="0.25">
      <c r="L592" s="164" t="str">
        <f>IFERROR(COUNTIF($C$18:C592,C592)&amp;CHOOSE(MIN(4,COUNTIF($C$18:C592,C592)),"st","nd","rd","th"),"")</f>
        <v/>
      </c>
    </row>
    <row r="593" spans="12:12" x14ac:dyDescent="0.25">
      <c r="L593" s="164" t="str">
        <f>IFERROR(COUNTIF($C$18:C593,C593)&amp;CHOOSE(MIN(4,COUNTIF($C$18:C593,C593)),"st","nd","rd","th"),"")</f>
        <v/>
      </c>
    </row>
    <row r="594" spans="12:12" x14ac:dyDescent="0.25">
      <c r="L594" s="164" t="str">
        <f>IFERROR(COUNTIF($C$18:C594,C594)&amp;CHOOSE(MIN(4,COUNTIF($C$18:C594,C594)),"st","nd","rd","th"),"")</f>
        <v/>
      </c>
    </row>
    <row r="595" spans="12:12" x14ac:dyDescent="0.25">
      <c r="L595" s="164" t="str">
        <f>IFERROR(COUNTIF($C$18:C595,C595)&amp;CHOOSE(MIN(4,COUNTIF($C$18:C595,C595)),"st","nd","rd","th"),"")</f>
        <v/>
      </c>
    </row>
    <row r="596" spans="12:12" x14ac:dyDescent="0.25">
      <c r="L596" s="164" t="str">
        <f>IFERROR(COUNTIF($C$18:C596,C596)&amp;CHOOSE(MIN(4,COUNTIF($C$18:C596,C596)),"st","nd","rd","th"),"")</f>
        <v/>
      </c>
    </row>
    <row r="597" spans="12:12" x14ac:dyDescent="0.25">
      <c r="L597" s="164" t="str">
        <f>IFERROR(COUNTIF($C$18:C597,C597)&amp;CHOOSE(MIN(4,COUNTIF($C$18:C597,C597)),"st","nd","rd","th"),"")</f>
        <v/>
      </c>
    </row>
    <row r="598" spans="12:12" x14ac:dyDescent="0.25">
      <c r="L598" s="164" t="str">
        <f>IFERROR(COUNTIF($C$18:C598,C598)&amp;CHOOSE(MIN(4,COUNTIF($C$18:C598,C598)),"st","nd","rd","th"),"")</f>
        <v/>
      </c>
    </row>
    <row r="599" spans="12:12" x14ac:dyDescent="0.25">
      <c r="L599" s="164" t="str">
        <f>IFERROR(COUNTIF($C$18:C599,C599)&amp;CHOOSE(MIN(4,COUNTIF($C$18:C599,C599)),"st","nd","rd","th"),"")</f>
        <v/>
      </c>
    </row>
    <row r="600" spans="12:12" x14ac:dyDescent="0.25">
      <c r="L600" s="164" t="str">
        <f>IFERROR(COUNTIF($C$18:C600,C600)&amp;CHOOSE(MIN(4,COUNTIF($C$18:C600,C600)),"st","nd","rd","th"),"")</f>
        <v/>
      </c>
    </row>
    <row r="601" spans="12:12" x14ac:dyDescent="0.25">
      <c r="L601" s="164" t="str">
        <f>IFERROR(COUNTIF($C$18:C601,C601)&amp;CHOOSE(MIN(4,COUNTIF($C$18:C601,C601)),"st","nd","rd","th"),"")</f>
        <v/>
      </c>
    </row>
    <row r="602" spans="12:12" x14ac:dyDescent="0.25">
      <c r="L602" s="164" t="str">
        <f>IFERROR(COUNTIF($C$18:C602,C602)&amp;CHOOSE(MIN(4,COUNTIF($C$18:C602,C602)),"st","nd","rd","th"),"")</f>
        <v/>
      </c>
    </row>
    <row r="603" spans="12:12" x14ac:dyDescent="0.25">
      <c r="L603" s="164" t="str">
        <f>IFERROR(COUNTIF($C$18:C603,C603)&amp;CHOOSE(MIN(4,COUNTIF($C$18:C603,C603)),"st","nd","rd","th"),"")</f>
        <v/>
      </c>
    </row>
    <row r="604" spans="12:12" x14ac:dyDescent="0.25">
      <c r="L604" s="164" t="str">
        <f>IFERROR(COUNTIF($C$18:C604,C604)&amp;CHOOSE(MIN(4,COUNTIF($C$18:C604,C604)),"st","nd","rd","th"),"")</f>
        <v/>
      </c>
    </row>
    <row r="605" spans="12:12" x14ac:dyDescent="0.25">
      <c r="L605" s="164" t="str">
        <f>IFERROR(COUNTIF($C$18:C605,C605)&amp;CHOOSE(MIN(4,COUNTIF($C$18:C605,C605)),"st","nd","rd","th"),"")</f>
        <v/>
      </c>
    </row>
    <row r="606" spans="12:12" x14ac:dyDescent="0.25">
      <c r="L606" s="164" t="str">
        <f>IFERROR(COUNTIF($C$18:C606,C606)&amp;CHOOSE(MIN(4,COUNTIF($C$18:C606,C606)),"st","nd","rd","th"),"")</f>
        <v/>
      </c>
    </row>
    <row r="607" spans="12:12" x14ac:dyDescent="0.25">
      <c r="L607" s="164" t="str">
        <f>IFERROR(COUNTIF($C$18:C607,C607)&amp;CHOOSE(MIN(4,COUNTIF($C$18:C607,C607)),"st","nd","rd","th"),"")</f>
        <v/>
      </c>
    </row>
    <row r="608" spans="12:12" x14ac:dyDescent="0.25">
      <c r="L608" s="164" t="str">
        <f>IFERROR(COUNTIF($C$18:C608,C608)&amp;CHOOSE(MIN(4,COUNTIF($C$18:C608,C608)),"st","nd","rd","th"),"")</f>
        <v/>
      </c>
    </row>
    <row r="609" spans="12:12" x14ac:dyDescent="0.25">
      <c r="L609" s="164" t="str">
        <f>IFERROR(COUNTIF($C$18:C609,C609)&amp;CHOOSE(MIN(4,COUNTIF($C$18:C609,C609)),"st","nd","rd","th"),"")</f>
        <v/>
      </c>
    </row>
    <row r="610" spans="12:12" x14ac:dyDescent="0.25">
      <c r="L610" s="164" t="str">
        <f>IFERROR(COUNTIF($C$18:C610,C610)&amp;CHOOSE(MIN(4,COUNTIF($C$18:C610,C610)),"st","nd","rd","th"),"")</f>
        <v/>
      </c>
    </row>
    <row r="611" spans="12:12" x14ac:dyDescent="0.25">
      <c r="L611" s="164" t="str">
        <f>IFERROR(COUNTIF($C$18:C611,C611)&amp;CHOOSE(MIN(4,COUNTIF($C$18:C611,C611)),"st","nd","rd","th"),"")</f>
        <v/>
      </c>
    </row>
    <row r="612" spans="12:12" x14ac:dyDescent="0.25">
      <c r="L612" s="164" t="str">
        <f>IFERROR(COUNTIF($C$18:C612,C612)&amp;CHOOSE(MIN(4,COUNTIF($C$18:C612,C612)),"st","nd","rd","th"),"")</f>
        <v/>
      </c>
    </row>
    <row r="613" spans="12:12" x14ac:dyDescent="0.25">
      <c r="L613" s="164" t="str">
        <f>IFERROR(COUNTIF($C$18:C613,C613)&amp;CHOOSE(MIN(4,COUNTIF($C$18:C613,C613)),"st","nd","rd","th"),"")</f>
        <v/>
      </c>
    </row>
    <row r="614" spans="12:12" x14ac:dyDescent="0.25">
      <c r="L614" s="164" t="str">
        <f>IFERROR(COUNTIF($C$18:C614,C614)&amp;CHOOSE(MIN(4,COUNTIF($C$18:C614,C614)),"st","nd","rd","th"),"")</f>
        <v/>
      </c>
    </row>
    <row r="615" spans="12:12" x14ac:dyDescent="0.25">
      <c r="L615" s="164" t="str">
        <f>IFERROR(COUNTIF($C$18:C615,C615)&amp;CHOOSE(MIN(4,COUNTIF($C$18:C615,C615)),"st","nd","rd","th"),"")</f>
        <v/>
      </c>
    </row>
    <row r="616" spans="12:12" x14ac:dyDescent="0.25">
      <c r="L616" s="164" t="str">
        <f>IFERROR(COUNTIF($C$18:C616,C616)&amp;CHOOSE(MIN(4,COUNTIF($C$18:C616,C616)),"st","nd","rd","th"),"")</f>
        <v/>
      </c>
    </row>
    <row r="617" spans="12:12" x14ac:dyDescent="0.25">
      <c r="L617" s="164" t="str">
        <f>IFERROR(COUNTIF($C$18:C617,C617)&amp;CHOOSE(MIN(4,COUNTIF($C$18:C617,C617)),"st","nd","rd","th"),"")</f>
        <v/>
      </c>
    </row>
    <row r="618" spans="12:12" x14ac:dyDescent="0.25">
      <c r="L618" s="164" t="str">
        <f>IFERROR(COUNTIF($C$18:C618,C618)&amp;CHOOSE(MIN(4,COUNTIF($C$18:C618,C618)),"st","nd","rd","th"),"")</f>
        <v/>
      </c>
    </row>
    <row r="619" spans="12:12" x14ac:dyDescent="0.25">
      <c r="L619" s="164" t="str">
        <f>IFERROR(COUNTIF($C$18:C619,C619)&amp;CHOOSE(MIN(4,COUNTIF($C$18:C619,C619)),"st","nd","rd","th"),"")</f>
        <v/>
      </c>
    </row>
    <row r="620" spans="12:12" x14ac:dyDescent="0.25">
      <c r="L620" s="164" t="str">
        <f>IFERROR(COUNTIF($C$18:C620,C620)&amp;CHOOSE(MIN(4,COUNTIF($C$18:C620,C620)),"st","nd","rd","th"),"")</f>
        <v/>
      </c>
    </row>
    <row r="621" spans="12:12" x14ac:dyDescent="0.25">
      <c r="L621" s="164" t="str">
        <f>IFERROR(COUNTIF($C$18:C621,C621)&amp;CHOOSE(MIN(4,COUNTIF($C$18:C621,C621)),"st","nd","rd","th"),"")</f>
        <v/>
      </c>
    </row>
    <row r="622" spans="12:12" x14ac:dyDescent="0.25">
      <c r="L622" s="164" t="str">
        <f>IFERROR(COUNTIF($C$18:C622,C622)&amp;CHOOSE(MIN(4,COUNTIF($C$18:C622,C622)),"st","nd","rd","th"),"")</f>
        <v/>
      </c>
    </row>
    <row r="623" spans="12:12" x14ac:dyDescent="0.25">
      <c r="L623" s="164" t="str">
        <f>IFERROR(COUNTIF($C$18:C623,C623)&amp;CHOOSE(MIN(4,COUNTIF($C$18:C623,C623)),"st","nd","rd","th"),"")</f>
        <v/>
      </c>
    </row>
    <row r="624" spans="12:12" x14ac:dyDescent="0.25">
      <c r="L624" s="164" t="str">
        <f>IFERROR(COUNTIF($C$18:C624,C624)&amp;CHOOSE(MIN(4,COUNTIF($C$18:C624,C624)),"st","nd","rd","th"),"")</f>
        <v/>
      </c>
    </row>
    <row r="625" spans="12:12" x14ac:dyDescent="0.25">
      <c r="L625" s="164" t="str">
        <f>IFERROR(COUNTIF($C$18:C625,C625)&amp;CHOOSE(MIN(4,COUNTIF($C$18:C625,C625)),"st","nd","rd","th"),"")</f>
        <v/>
      </c>
    </row>
    <row r="626" spans="12:12" x14ac:dyDescent="0.25">
      <c r="L626" s="164" t="str">
        <f>IFERROR(COUNTIF($C$18:C626,C626)&amp;CHOOSE(MIN(4,COUNTIF($C$18:C626,C626)),"st","nd","rd","th"),"")</f>
        <v/>
      </c>
    </row>
    <row r="627" spans="12:12" x14ac:dyDescent="0.25">
      <c r="L627" s="164" t="str">
        <f>IFERROR(COUNTIF($C$18:C627,C627)&amp;CHOOSE(MIN(4,COUNTIF($C$18:C627,C627)),"st","nd","rd","th"),"")</f>
        <v/>
      </c>
    </row>
    <row r="628" spans="12:12" x14ac:dyDescent="0.25">
      <c r="L628" s="164" t="str">
        <f>IFERROR(COUNTIF($C$18:C628,C628)&amp;CHOOSE(MIN(4,COUNTIF($C$18:C628,C628)),"st","nd","rd","th"),"")</f>
        <v/>
      </c>
    </row>
    <row r="629" spans="12:12" x14ac:dyDescent="0.25">
      <c r="L629" s="164" t="str">
        <f>IFERROR(COUNTIF($C$18:C629,C629)&amp;CHOOSE(MIN(4,COUNTIF($C$18:C629,C629)),"st","nd","rd","th"),"")</f>
        <v/>
      </c>
    </row>
    <row r="630" spans="12:12" x14ac:dyDescent="0.25">
      <c r="L630" s="164" t="str">
        <f>IFERROR(COUNTIF($C$18:C630,C630)&amp;CHOOSE(MIN(4,COUNTIF($C$18:C630,C630)),"st","nd","rd","th"),"")</f>
        <v/>
      </c>
    </row>
    <row r="631" spans="12:12" x14ac:dyDescent="0.25">
      <c r="L631" s="164" t="str">
        <f>IFERROR(COUNTIF($C$18:C631,C631)&amp;CHOOSE(MIN(4,COUNTIF($C$18:C631,C631)),"st","nd","rd","th"),"")</f>
        <v/>
      </c>
    </row>
    <row r="632" spans="12:12" x14ac:dyDescent="0.25">
      <c r="L632" s="164" t="str">
        <f>IFERROR(COUNTIF($C$18:C632,C632)&amp;CHOOSE(MIN(4,COUNTIF($C$18:C632,C632)),"st","nd","rd","th"),"")</f>
        <v/>
      </c>
    </row>
    <row r="633" spans="12:12" x14ac:dyDescent="0.25">
      <c r="L633" s="164" t="str">
        <f>IFERROR(COUNTIF($C$18:C633,C633)&amp;CHOOSE(MIN(4,COUNTIF($C$18:C633,C633)),"st","nd","rd","th"),"")</f>
        <v/>
      </c>
    </row>
    <row r="634" spans="12:12" x14ac:dyDescent="0.25">
      <c r="L634" s="164" t="str">
        <f>IFERROR(COUNTIF($C$18:C634,C634)&amp;CHOOSE(MIN(4,COUNTIF($C$18:C634,C634)),"st","nd","rd","th"),"")</f>
        <v/>
      </c>
    </row>
    <row r="635" spans="12:12" x14ac:dyDescent="0.25">
      <c r="L635" s="164" t="str">
        <f>IFERROR(COUNTIF($C$18:C635,C635)&amp;CHOOSE(MIN(4,COUNTIF($C$18:C635,C635)),"st","nd","rd","th"),"")</f>
        <v/>
      </c>
    </row>
    <row r="636" spans="12:12" x14ac:dyDescent="0.25">
      <c r="L636" s="164" t="str">
        <f>IFERROR(COUNTIF($C$18:C636,C636)&amp;CHOOSE(MIN(4,COUNTIF($C$18:C636,C636)),"st","nd","rd","th"),"")</f>
        <v/>
      </c>
    </row>
    <row r="637" spans="12:12" x14ac:dyDescent="0.25">
      <c r="L637" s="164" t="str">
        <f>IFERROR(COUNTIF($C$18:C637,C637)&amp;CHOOSE(MIN(4,COUNTIF($C$18:C637,C637)),"st","nd","rd","th"),"")</f>
        <v/>
      </c>
    </row>
    <row r="638" spans="12:12" x14ac:dyDescent="0.25">
      <c r="L638" s="164" t="str">
        <f>IFERROR(COUNTIF($C$18:C638,C638)&amp;CHOOSE(MIN(4,COUNTIF($C$18:C638,C638)),"st","nd","rd","th"),"")</f>
        <v/>
      </c>
    </row>
    <row r="639" spans="12:12" x14ac:dyDescent="0.25">
      <c r="L639" s="164" t="str">
        <f>IFERROR(COUNTIF($C$18:C639,C639)&amp;CHOOSE(MIN(4,COUNTIF($C$18:C639,C639)),"st","nd","rd","th"),"")</f>
        <v/>
      </c>
    </row>
    <row r="640" spans="12:12" x14ac:dyDescent="0.25">
      <c r="L640" s="164" t="str">
        <f>IFERROR(COUNTIF($C$18:C640,C640)&amp;CHOOSE(MIN(4,COUNTIF($C$18:C640,C640)),"st","nd","rd","th"),"")</f>
        <v/>
      </c>
    </row>
    <row r="641" spans="12:12" x14ac:dyDescent="0.25">
      <c r="L641" s="164" t="str">
        <f>IFERROR(COUNTIF($C$18:C641,C641)&amp;CHOOSE(MIN(4,COUNTIF($C$18:C641,C641)),"st","nd","rd","th"),"")</f>
        <v/>
      </c>
    </row>
    <row r="642" spans="12:12" x14ac:dyDescent="0.25">
      <c r="L642" s="164" t="str">
        <f>IFERROR(COUNTIF($C$18:C642,C642)&amp;CHOOSE(MIN(4,COUNTIF($C$18:C642,C642)),"st","nd","rd","th"),"")</f>
        <v/>
      </c>
    </row>
    <row r="643" spans="12:12" x14ac:dyDescent="0.25">
      <c r="L643" s="164" t="str">
        <f>IFERROR(COUNTIF($C$18:C643,C643)&amp;CHOOSE(MIN(4,COUNTIF($C$18:C643,C643)),"st","nd","rd","th"),"")</f>
        <v/>
      </c>
    </row>
    <row r="644" spans="12:12" x14ac:dyDescent="0.25">
      <c r="L644" s="164" t="str">
        <f>IFERROR(COUNTIF($C$18:C644,C644)&amp;CHOOSE(MIN(4,COUNTIF($C$18:C644,C644)),"st","nd","rd","th"),"")</f>
        <v/>
      </c>
    </row>
    <row r="645" spans="12:12" x14ac:dyDescent="0.25">
      <c r="L645" s="164" t="str">
        <f>IFERROR(COUNTIF($C$18:C645,C645)&amp;CHOOSE(MIN(4,COUNTIF($C$18:C645,C645)),"st","nd","rd","th"),"")</f>
        <v/>
      </c>
    </row>
    <row r="646" spans="12:12" x14ac:dyDescent="0.25">
      <c r="L646" s="164" t="str">
        <f>IFERROR(COUNTIF($C$18:C646,C646)&amp;CHOOSE(MIN(4,COUNTIF($C$18:C646,C646)),"st","nd","rd","th"),"")</f>
        <v/>
      </c>
    </row>
    <row r="647" spans="12:12" x14ac:dyDescent="0.25">
      <c r="L647" s="164" t="str">
        <f>IFERROR(COUNTIF($C$18:C647,C647)&amp;CHOOSE(MIN(4,COUNTIF($C$18:C647,C647)),"st","nd","rd","th"),"")</f>
        <v/>
      </c>
    </row>
    <row r="648" spans="12:12" x14ac:dyDescent="0.25">
      <c r="L648" s="164" t="str">
        <f>IFERROR(COUNTIF($C$18:C648,C648)&amp;CHOOSE(MIN(4,COUNTIF($C$18:C648,C648)),"st","nd","rd","th"),"")</f>
        <v/>
      </c>
    </row>
    <row r="649" spans="12:12" x14ac:dyDescent="0.25">
      <c r="L649" s="164" t="str">
        <f>IFERROR(COUNTIF($C$18:C649,C649)&amp;CHOOSE(MIN(4,COUNTIF($C$18:C649,C649)),"st","nd","rd","th"),"")</f>
        <v/>
      </c>
    </row>
    <row r="650" spans="12:12" x14ac:dyDescent="0.25">
      <c r="L650" s="164" t="str">
        <f>IFERROR(COUNTIF($C$18:C650,C650)&amp;CHOOSE(MIN(4,COUNTIF($C$18:C650,C650)),"st","nd","rd","th"),"")</f>
        <v/>
      </c>
    </row>
    <row r="651" spans="12:12" x14ac:dyDescent="0.25">
      <c r="L651" s="164" t="str">
        <f>IFERROR(COUNTIF($C$18:C651,C651)&amp;CHOOSE(MIN(4,COUNTIF($C$18:C651,C651)),"st","nd","rd","th"),"")</f>
        <v/>
      </c>
    </row>
    <row r="652" spans="12:12" x14ac:dyDescent="0.25">
      <c r="L652" s="164" t="str">
        <f>IFERROR(COUNTIF($C$18:C652,C652)&amp;CHOOSE(MIN(4,COUNTIF($C$18:C652,C652)),"st","nd","rd","th"),"")</f>
        <v/>
      </c>
    </row>
    <row r="653" spans="12:12" x14ac:dyDescent="0.25">
      <c r="L653" s="164" t="str">
        <f>IFERROR(COUNTIF($C$18:C653,C653)&amp;CHOOSE(MIN(4,COUNTIF($C$18:C653,C653)),"st","nd","rd","th"),"")</f>
        <v/>
      </c>
    </row>
    <row r="654" spans="12:12" x14ac:dyDescent="0.25">
      <c r="L654" s="164" t="str">
        <f>IFERROR(COUNTIF($C$18:C654,C654)&amp;CHOOSE(MIN(4,COUNTIF($C$18:C654,C654)),"st","nd","rd","th"),"")</f>
        <v/>
      </c>
    </row>
    <row r="655" spans="12:12" x14ac:dyDescent="0.25">
      <c r="L655" s="164" t="str">
        <f>IFERROR(COUNTIF($C$18:C655,C655)&amp;CHOOSE(MIN(4,COUNTIF($C$18:C655,C655)),"st","nd","rd","th"),"")</f>
        <v/>
      </c>
    </row>
    <row r="656" spans="12:12" x14ac:dyDescent="0.25">
      <c r="L656" s="164" t="str">
        <f>IFERROR(COUNTIF($C$18:C656,C656)&amp;CHOOSE(MIN(4,COUNTIF($C$18:C656,C656)),"st","nd","rd","th"),"")</f>
        <v/>
      </c>
    </row>
    <row r="657" spans="12:12" x14ac:dyDescent="0.25">
      <c r="L657" s="164" t="str">
        <f>IFERROR(COUNTIF($C$18:C657,C657)&amp;CHOOSE(MIN(4,COUNTIF($C$18:C657,C657)),"st","nd","rd","th"),"")</f>
        <v/>
      </c>
    </row>
    <row r="658" spans="12:12" x14ac:dyDescent="0.25">
      <c r="L658" s="164" t="str">
        <f>IFERROR(COUNTIF($C$18:C658,C658)&amp;CHOOSE(MIN(4,COUNTIF($C$18:C658,C658)),"st","nd","rd","th"),"")</f>
        <v/>
      </c>
    </row>
    <row r="659" spans="12:12" x14ac:dyDescent="0.25">
      <c r="L659" s="164" t="str">
        <f>IFERROR(COUNTIF($C$18:C659,C659)&amp;CHOOSE(MIN(4,COUNTIF($C$18:C659,C659)),"st","nd","rd","th"),"")</f>
        <v/>
      </c>
    </row>
    <row r="660" spans="12:12" x14ac:dyDescent="0.25">
      <c r="L660" s="164" t="str">
        <f>IFERROR(COUNTIF($C$18:C660,C660)&amp;CHOOSE(MIN(4,COUNTIF($C$18:C660,C660)),"st","nd","rd","th"),"")</f>
        <v/>
      </c>
    </row>
    <row r="661" spans="12:12" x14ac:dyDescent="0.25">
      <c r="L661" s="164" t="str">
        <f>IFERROR(COUNTIF($C$18:C661,C661)&amp;CHOOSE(MIN(4,COUNTIF($C$18:C661,C661)),"st","nd","rd","th"),"")</f>
        <v/>
      </c>
    </row>
    <row r="662" spans="12:12" x14ac:dyDescent="0.25">
      <c r="L662" s="164" t="str">
        <f>IFERROR(COUNTIF($C$18:C662,C662)&amp;CHOOSE(MIN(4,COUNTIF($C$18:C662,C662)),"st","nd","rd","th"),"")</f>
        <v/>
      </c>
    </row>
    <row r="663" spans="12:12" x14ac:dyDescent="0.25">
      <c r="L663" s="164" t="str">
        <f>IFERROR(COUNTIF($C$18:C663,C663)&amp;CHOOSE(MIN(4,COUNTIF($C$18:C663,C663)),"st","nd","rd","th"),"")</f>
        <v/>
      </c>
    </row>
    <row r="664" spans="12:12" x14ac:dyDescent="0.25">
      <c r="L664" s="164" t="str">
        <f>IFERROR(COUNTIF($C$18:C664,C664)&amp;CHOOSE(MIN(4,COUNTIF($C$18:C664,C664)),"st","nd","rd","th"),"")</f>
        <v/>
      </c>
    </row>
    <row r="665" spans="12:12" x14ac:dyDescent="0.25">
      <c r="L665" s="164" t="str">
        <f>IFERROR(COUNTIF($C$18:C665,C665)&amp;CHOOSE(MIN(4,COUNTIF($C$18:C665,C665)),"st","nd","rd","th"),"")</f>
        <v/>
      </c>
    </row>
    <row r="666" spans="12:12" x14ac:dyDescent="0.25">
      <c r="L666" s="164" t="str">
        <f>IFERROR(COUNTIF($C$18:C666,C666)&amp;CHOOSE(MIN(4,COUNTIF($C$18:C666,C666)),"st","nd","rd","th"),"")</f>
        <v/>
      </c>
    </row>
    <row r="667" spans="12:12" x14ac:dyDescent="0.25">
      <c r="L667" s="164" t="str">
        <f>IFERROR(COUNTIF($C$18:C667,C667)&amp;CHOOSE(MIN(4,COUNTIF($C$18:C667,C667)),"st","nd","rd","th"),"")</f>
        <v/>
      </c>
    </row>
    <row r="668" spans="12:12" x14ac:dyDescent="0.25">
      <c r="L668" s="164" t="str">
        <f>IFERROR(COUNTIF($C$18:C668,C668)&amp;CHOOSE(MIN(4,COUNTIF($C$18:C668,C668)),"st","nd","rd","th"),"")</f>
        <v/>
      </c>
    </row>
    <row r="669" spans="12:12" x14ac:dyDescent="0.25">
      <c r="L669" s="164" t="str">
        <f>IFERROR(COUNTIF($C$18:C669,C669)&amp;CHOOSE(MIN(4,COUNTIF($C$18:C669,C669)),"st","nd","rd","th"),"")</f>
        <v/>
      </c>
    </row>
    <row r="670" spans="12:12" x14ac:dyDescent="0.25">
      <c r="L670" s="164" t="str">
        <f>IFERROR(COUNTIF($C$18:C670,C670)&amp;CHOOSE(MIN(4,COUNTIF($C$18:C670,C670)),"st","nd","rd","th"),"")</f>
        <v/>
      </c>
    </row>
    <row r="671" spans="12:12" x14ac:dyDescent="0.25">
      <c r="L671" s="164" t="str">
        <f>IFERROR(COUNTIF($C$18:C671,C671)&amp;CHOOSE(MIN(4,COUNTIF($C$18:C671,C671)),"st","nd","rd","th"),"")</f>
        <v/>
      </c>
    </row>
    <row r="672" spans="12:12" x14ac:dyDescent="0.25">
      <c r="L672" s="164" t="str">
        <f>IFERROR(COUNTIF($C$18:C672,C672)&amp;CHOOSE(MIN(4,COUNTIF($C$18:C672,C672)),"st","nd","rd","th"),"")</f>
        <v/>
      </c>
    </row>
    <row r="673" spans="12:12" x14ac:dyDescent="0.25">
      <c r="L673" s="164" t="str">
        <f>IFERROR(COUNTIF($C$18:C673,C673)&amp;CHOOSE(MIN(4,COUNTIF($C$18:C673,C673)),"st","nd","rd","th"),"")</f>
        <v/>
      </c>
    </row>
    <row r="674" spans="12:12" x14ac:dyDescent="0.25">
      <c r="L674" s="164" t="str">
        <f>IFERROR(COUNTIF($C$18:C674,C674)&amp;CHOOSE(MIN(4,COUNTIF($C$18:C674,C674)),"st","nd","rd","th"),"")</f>
        <v/>
      </c>
    </row>
    <row r="675" spans="12:12" x14ac:dyDescent="0.25">
      <c r="L675" s="164" t="str">
        <f>IFERROR(COUNTIF($C$18:C675,C675)&amp;CHOOSE(MIN(4,COUNTIF($C$18:C675,C675)),"st","nd","rd","th"),"")</f>
        <v/>
      </c>
    </row>
    <row r="676" spans="12:12" x14ac:dyDescent="0.25">
      <c r="L676" s="164" t="str">
        <f>IFERROR(COUNTIF($C$18:C676,C676)&amp;CHOOSE(MIN(4,COUNTIF($C$18:C676,C676)),"st","nd","rd","th"),"")</f>
        <v/>
      </c>
    </row>
    <row r="677" spans="12:12" x14ac:dyDescent="0.25">
      <c r="L677" s="164" t="str">
        <f>IFERROR(COUNTIF($C$18:C677,C677)&amp;CHOOSE(MIN(4,COUNTIF($C$18:C677,C677)),"st","nd","rd","th"),"")</f>
        <v/>
      </c>
    </row>
    <row r="678" spans="12:12" x14ac:dyDescent="0.25">
      <c r="L678" s="164" t="str">
        <f>IFERROR(COUNTIF($C$18:C678,C678)&amp;CHOOSE(MIN(4,COUNTIF($C$18:C678,C678)),"st","nd","rd","th"),"")</f>
        <v/>
      </c>
    </row>
    <row r="679" spans="12:12" x14ac:dyDescent="0.25">
      <c r="L679" s="164" t="str">
        <f>IFERROR(COUNTIF($C$18:C679,C679)&amp;CHOOSE(MIN(4,COUNTIF($C$18:C679,C679)),"st","nd","rd","th"),"")</f>
        <v/>
      </c>
    </row>
    <row r="680" spans="12:12" x14ac:dyDescent="0.25">
      <c r="L680" s="164" t="str">
        <f>IFERROR(COUNTIF($C$18:C680,C680)&amp;CHOOSE(MIN(4,COUNTIF($C$18:C680,C680)),"st","nd","rd","th"),"")</f>
        <v/>
      </c>
    </row>
    <row r="681" spans="12:12" x14ac:dyDescent="0.25">
      <c r="L681" s="164" t="str">
        <f>IFERROR(COUNTIF($C$18:C681,C681)&amp;CHOOSE(MIN(4,COUNTIF($C$18:C681,C681)),"st","nd","rd","th"),"")</f>
        <v/>
      </c>
    </row>
    <row r="682" spans="12:12" x14ac:dyDescent="0.25">
      <c r="L682" s="164" t="str">
        <f>IFERROR(COUNTIF($C$18:C682,C682)&amp;CHOOSE(MIN(4,COUNTIF($C$18:C682,C682)),"st","nd","rd","th"),"")</f>
        <v/>
      </c>
    </row>
    <row r="683" spans="12:12" x14ac:dyDescent="0.25">
      <c r="L683" s="164" t="str">
        <f>IFERROR(COUNTIF($C$18:C683,C683)&amp;CHOOSE(MIN(4,COUNTIF($C$18:C683,C683)),"st","nd","rd","th"),"")</f>
        <v/>
      </c>
    </row>
    <row r="684" spans="12:12" x14ac:dyDescent="0.25">
      <c r="L684" s="164" t="str">
        <f>IFERROR(COUNTIF($C$18:C684,C684)&amp;CHOOSE(MIN(4,COUNTIF($C$18:C684,C684)),"st","nd","rd","th"),"")</f>
        <v/>
      </c>
    </row>
    <row r="685" spans="12:12" x14ac:dyDescent="0.25">
      <c r="L685" s="164" t="str">
        <f>IFERROR(COUNTIF($C$18:C685,C685)&amp;CHOOSE(MIN(4,COUNTIF($C$18:C685,C685)),"st","nd","rd","th"),"")</f>
        <v/>
      </c>
    </row>
    <row r="686" spans="12:12" x14ac:dyDescent="0.25">
      <c r="L686" s="164" t="str">
        <f>IFERROR(COUNTIF($C$18:C686,C686)&amp;CHOOSE(MIN(4,COUNTIF($C$18:C686,C686)),"st","nd","rd","th"),"")</f>
        <v/>
      </c>
    </row>
    <row r="687" spans="12:12" x14ac:dyDescent="0.25">
      <c r="L687" s="164" t="str">
        <f>IFERROR(COUNTIF($C$18:C687,C687)&amp;CHOOSE(MIN(4,COUNTIF($C$18:C687,C687)),"st","nd","rd","th"),"")</f>
        <v/>
      </c>
    </row>
    <row r="688" spans="12:12" x14ac:dyDescent="0.25">
      <c r="L688" s="164" t="str">
        <f>IFERROR(COUNTIF($C$18:C688,C688)&amp;CHOOSE(MIN(4,COUNTIF($C$18:C688,C688)),"st","nd","rd","th"),"")</f>
        <v/>
      </c>
    </row>
    <row r="689" spans="12:12" x14ac:dyDescent="0.25">
      <c r="L689" s="164" t="str">
        <f>IFERROR(COUNTIF($C$18:C689,C689)&amp;CHOOSE(MIN(4,COUNTIF($C$18:C689,C689)),"st","nd","rd","th"),"")</f>
        <v/>
      </c>
    </row>
    <row r="690" spans="12:12" x14ac:dyDescent="0.25">
      <c r="L690" s="164" t="str">
        <f>IFERROR(COUNTIF($C$18:C690,C690)&amp;CHOOSE(MIN(4,COUNTIF($C$18:C690,C690)),"st","nd","rd","th"),"")</f>
        <v/>
      </c>
    </row>
    <row r="691" spans="12:12" x14ac:dyDescent="0.25">
      <c r="L691" s="164" t="str">
        <f>IFERROR(COUNTIF($C$18:C691,C691)&amp;CHOOSE(MIN(4,COUNTIF($C$18:C691,C691)),"st","nd","rd","th"),"")</f>
        <v/>
      </c>
    </row>
    <row r="692" spans="12:12" x14ac:dyDescent="0.25">
      <c r="L692" s="164" t="str">
        <f>IFERROR(COUNTIF($C$18:C692,C692)&amp;CHOOSE(MIN(4,COUNTIF($C$18:C692,C692)),"st","nd","rd","th"),"")</f>
        <v/>
      </c>
    </row>
    <row r="693" spans="12:12" x14ac:dyDescent="0.25">
      <c r="L693" s="164" t="str">
        <f>IFERROR(COUNTIF($C$18:C693,C693)&amp;CHOOSE(MIN(4,COUNTIF($C$18:C693,C693)),"st","nd","rd","th"),"")</f>
        <v/>
      </c>
    </row>
    <row r="694" spans="12:12" x14ac:dyDescent="0.25">
      <c r="L694" s="164" t="str">
        <f>IFERROR(COUNTIF($C$18:C694,C694)&amp;CHOOSE(MIN(4,COUNTIF($C$18:C694,C694)),"st","nd","rd","th"),"")</f>
        <v/>
      </c>
    </row>
    <row r="695" spans="12:12" x14ac:dyDescent="0.25">
      <c r="L695" s="164" t="str">
        <f>IFERROR(COUNTIF($C$18:C695,C695)&amp;CHOOSE(MIN(4,COUNTIF($C$18:C695,C695)),"st","nd","rd","th"),"")</f>
        <v/>
      </c>
    </row>
    <row r="696" spans="12:12" x14ac:dyDescent="0.25">
      <c r="L696" s="164" t="str">
        <f>IFERROR(COUNTIF($C$18:C696,C696)&amp;CHOOSE(MIN(4,COUNTIF($C$18:C696,C696)),"st","nd","rd","th"),"")</f>
        <v/>
      </c>
    </row>
    <row r="697" spans="12:12" x14ac:dyDescent="0.25">
      <c r="L697" s="164" t="str">
        <f>IFERROR(COUNTIF($C$18:C697,C697)&amp;CHOOSE(MIN(4,COUNTIF($C$18:C697,C697)),"st","nd","rd","th"),"")</f>
        <v/>
      </c>
    </row>
    <row r="698" spans="12:12" x14ac:dyDescent="0.25">
      <c r="L698" s="164" t="str">
        <f>IFERROR(COUNTIF($C$18:C698,C698)&amp;CHOOSE(MIN(4,COUNTIF($C$18:C698,C698)),"st","nd","rd","th"),"")</f>
        <v/>
      </c>
    </row>
    <row r="699" spans="12:12" x14ac:dyDescent="0.25">
      <c r="L699" s="164" t="str">
        <f>IFERROR(COUNTIF($C$18:C699,C699)&amp;CHOOSE(MIN(4,COUNTIF($C$18:C699,C699)),"st","nd","rd","th"),"")</f>
        <v/>
      </c>
    </row>
    <row r="700" spans="12:12" x14ac:dyDescent="0.25">
      <c r="L700" s="164" t="str">
        <f>IFERROR(COUNTIF($C$18:C700,C700)&amp;CHOOSE(MIN(4,COUNTIF($C$18:C700,C700)),"st","nd","rd","th"),"")</f>
        <v/>
      </c>
    </row>
    <row r="701" spans="12:12" x14ac:dyDescent="0.25">
      <c r="L701" s="164" t="str">
        <f>IFERROR(COUNTIF($C$18:C701,C701)&amp;CHOOSE(MIN(4,COUNTIF($C$18:C701,C701)),"st","nd","rd","th"),"")</f>
        <v/>
      </c>
    </row>
    <row r="702" spans="12:12" x14ac:dyDescent="0.25">
      <c r="L702" s="164" t="str">
        <f>IFERROR(COUNTIF($C$18:C702,C702)&amp;CHOOSE(MIN(4,COUNTIF($C$18:C702,C702)),"st","nd","rd","th"),"")</f>
        <v/>
      </c>
    </row>
    <row r="703" spans="12:12" x14ac:dyDescent="0.25">
      <c r="L703" s="164" t="str">
        <f>IFERROR(COUNTIF($C$18:C703,C703)&amp;CHOOSE(MIN(4,COUNTIF($C$18:C703,C703)),"st","nd","rd","th"),"")</f>
        <v/>
      </c>
    </row>
    <row r="704" spans="12:12" x14ac:dyDescent="0.25">
      <c r="L704" s="164" t="str">
        <f>IFERROR(COUNTIF($C$18:C704,C704)&amp;CHOOSE(MIN(4,COUNTIF($C$18:C704,C704)),"st","nd","rd","th"),"")</f>
        <v/>
      </c>
    </row>
    <row r="705" spans="12:12" x14ac:dyDescent="0.25">
      <c r="L705" s="164" t="str">
        <f>IFERROR(COUNTIF($C$18:C705,C705)&amp;CHOOSE(MIN(4,COUNTIF($C$18:C705,C705)),"st","nd","rd","th"),"")</f>
        <v/>
      </c>
    </row>
    <row r="706" spans="12:12" x14ac:dyDescent="0.25">
      <c r="L706" s="164" t="str">
        <f>IFERROR(COUNTIF($C$18:C706,C706)&amp;CHOOSE(MIN(4,COUNTIF($C$18:C706,C706)),"st","nd","rd","th"),"")</f>
        <v/>
      </c>
    </row>
    <row r="707" spans="12:12" x14ac:dyDescent="0.25">
      <c r="L707" s="164" t="str">
        <f>IFERROR(COUNTIF($C$18:C707,C707)&amp;CHOOSE(MIN(4,COUNTIF($C$18:C707,C707)),"st","nd","rd","th"),"")</f>
        <v/>
      </c>
    </row>
    <row r="708" spans="12:12" x14ac:dyDescent="0.25">
      <c r="L708" s="164" t="str">
        <f>IFERROR(COUNTIF($C$18:C708,C708)&amp;CHOOSE(MIN(4,COUNTIF($C$18:C708,C708)),"st","nd","rd","th"),"")</f>
        <v/>
      </c>
    </row>
    <row r="709" spans="12:12" x14ac:dyDescent="0.25">
      <c r="L709" s="164" t="str">
        <f>IFERROR(COUNTIF($C$18:C709,C709)&amp;CHOOSE(MIN(4,COUNTIF($C$18:C709,C709)),"st","nd","rd","th"),"")</f>
        <v/>
      </c>
    </row>
    <row r="710" spans="12:12" x14ac:dyDescent="0.25">
      <c r="L710" s="164" t="str">
        <f>IFERROR(COUNTIF($C$18:C710,C710)&amp;CHOOSE(MIN(4,COUNTIF($C$18:C710,C710)),"st","nd","rd","th"),"")</f>
        <v/>
      </c>
    </row>
    <row r="711" spans="12:12" x14ac:dyDescent="0.25">
      <c r="L711" s="164" t="str">
        <f>IFERROR(COUNTIF($C$18:C711,C711)&amp;CHOOSE(MIN(4,COUNTIF($C$18:C711,C711)),"st","nd","rd","th"),"")</f>
        <v/>
      </c>
    </row>
    <row r="712" spans="12:12" x14ac:dyDescent="0.25">
      <c r="L712" s="164" t="str">
        <f>IFERROR(COUNTIF($C$18:C712,C712)&amp;CHOOSE(MIN(4,COUNTIF($C$18:C712,C712)),"st","nd","rd","th"),"")</f>
        <v/>
      </c>
    </row>
    <row r="713" spans="12:12" x14ac:dyDescent="0.25">
      <c r="L713" s="164" t="str">
        <f>IFERROR(COUNTIF($C$18:C713,C713)&amp;CHOOSE(MIN(4,COUNTIF($C$18:C713,C713)),"st","nd","rd","th"),"")</f>
        <v/>
      </c>
    </row>
    <row r="714" spans="12:12" x14ac:dyDescent="0.25">
      <c r="L714" s="164" t="str">
        <f>IFERROR(COUNTIF($C$18:C714,C714)&amp;CHOOSE(MIN(4,COUNTIF($C$18:C714,C714)),"st","nd","rd","th"),"")</f>
        <v/>
      </c>
    </row>
    <row r="715" spans="12:12" x14ac:dyDescent="0.25">
      <c r="L715" s="164" t="str">
        <f>IFERROR(COUNTIF($C$18:C715,C715)&amp;CHOOSE(MIN(4,COUNTIF($C$18:C715,C715)),"st","nd","rd","th"),"")</f>
        <v/>
      </c>
    </row>
    <row r="716" spans="12:12" x14ac:dyDescent="0.25">
      <c r="L716" s="164" t="str">
        <f>IFERROR(COUNTIF($C$18:C716,C716)&amp;CHOOSE(MIN(4,COUNTIF($C$18:C716,C716)),"st","nd","rd","th"),"")</f>
        <v/>
      </c>
    </row>
    <row r="717" spans="12:12" x14ac:dyDescent="0.25">
      <c r="L717" s="164" t="str">
        <f>IFERROR(COUNTIF($C$18:C717,C717)&amp;CHOOSE(MIN(4,COUNTIF($C$18:C717,C717)),"st","nd","rd","th"),"")</f>
        <v/>
      </c>
    </row>
    <row r="718" spans="12:12" x14ac:dyDescent="0.25">
      <c r="L718" s="164" t="str">
        <f>IFERROR(COUNTIF($C$18:C718,C718)&amp;CHOOSE(MIN(4,COUNTIF($C$18:C718,C718)),"st","nd","rd","th"),"")</f>
        <v/>
      </c>
    </row>
    <row r="719" spans="12:12" x14ac:dyDescent="0.25">
      <c r="L719" s="164" t="str">
        <f>IFERROR(COUNTIF($C$18:C719,C719)&amp;CHOOSE(MIN(4,COUNTIF($C$18:C719,C719)),"st","nd","rd","th"),"")</f>
        <v/>
      </c>
    </row>
    <row r="720" spans="12:12" x14ac:dyDescent="0.25">
      <c r="L720" s="164" t="str">
        <f>IFERROR(COUNTIF($C$18:C720,C720)&amp;CHOOSE(MIN(4,COUNTIF($C$18:C720,C720)),"st","nd","rd","th"),"")</f>
        <v/>
      </c>
    </row>
    <row r="721" spans="12:12" x14ac:dyDescent="0.25">
      <c r="L721" s="164" t="str">
        <f>IFERROR(COUNTIF($C$18:C721,C721)&amp;CHOOSE(MIN(4,COUNTIF($C$18:C721,C721)),"st","nd","rd","th"),"")</f>
        <v/>
      </c>
    </row>
    <row r="722" spans="12:12" x14ac:dyDescent="0.25">
      <c r="L722" s="164" t="str">
        <f>IFERROR(COUNTIF($C$18:C722,C722)&amp;CHOOSE(MIN(4,COUNTIF($C$18:C722,C722)),"st","nd","rd","th"),"")</f>
        <v/>
      </c>
    </row>
    <row r="723" spans="12:12" x14ac:dyDescent="0.25">
      <c r="L723" s="164" t="str">
        <f>IFERROR(COUNTIF($C$18:C723,C723)&amp;CHOOSE(MIN(4,COUNTIF($C$18:C723,C723)),"st","nd","rd","th"),"")</f>
        <v/>
      </c>
    </row>
    <row r="724" spans="12:12" x14ac:dyDescent="0.25">
      <c r="L724" s="164" t="str">
        <f>IFERROR(COUNTIF($C$18:C724,C724)&amp;CHOOSE(MIN(4,COUNTIF($C$18:C724,C724)),"st","nd","rd","th"),"")</f>
        <v/>
      </c>
    </row>
    <row r="725" spans="12:12" x14ac:dyDescent="0.25">
      <c r="L725" s="164" t="str">
        <f>IFERROR(COUNTIF($C$18:C725,C725)&amp;CHOOSE(MIN(4,COUNTIF($C$18:C725,C725)),"st","nd","rd","th"),"")</f>
        <v/>
      </c>
    </row>
    <row r="726" spans="12:12" x14ac:dyDescent="0.25">
      <c r="L726" s="164" t="str">
        <f>IFERROR(COUNTIF($C$18:C726,C726)&amp;CHOOSE(MIN(4,COUNTIF($C$18:C726,C726)),"st","nd","rd","th"),"")</f>
        <v/>
      </c>
    </row>
    <row r="727" spans="12:12" x14ac:dyDescent="0.25">
      <c r="L727" s="164" t="str">
        <f>IFERROR(COUNTIF($C$18:C727,C727)&amp;CHOOSE(MIN(4,COUNTIF($C$18:C727,C727)),"st","nd","rd","th"),"")</f>
        <v/>
      </c>
    </row>
    <row r="728" spans="12:12" x14ac:dyDescent="0.25">
      <c r="L728" s="164" t="str">
        <f>IFERROR(COUNTIF($C$18:C728,C728)&amp;CHOOSE(MIN(4,COUNTIF($C$18:C728,C728)),"st","nd","rd","th"),"")</f>
        <v/>
      </c>
    </row>
    <row r="729" spans="12:12" x14ac:dyDescent="0.25">
      <c r="L729" s="164" t="str">
        <f>IFERROR(COUNTIF($C$18:C729,C729)&amp;CHOOSE(MIN(4,COUNTIF($C$18:C729,C729)),"st","nd","rd","th"),"")</f>
        <v/>
      </c>
    </row>
    <row r="730" spans="12:12" x14ac:dyDescent="0.25">
      <c r="L730" s="164" t="str">
        <f>IFERROR(COUNTIF($C$18:C730,C730)&amp;CHOOSE(MIN(4,COUNTIF($C$18:C730,C730)),"st","nd","rd","th"),"")</f>
        <v/>
      </c>
    </row>
    <row r="731" spans="12:12" x14ac:dyDescent="0.25">
      <c r="L731" s="164" t="str">
        <f>IFERROR(COUNTIF($C$18:C731,C731)&amp;CHOOSE(MIN(4,COUNTIF($C$18:C731,C731)),"st","nd","rd","th"),"")</f>
        <v/>
      </c>
    </row>
    <row r="732" spans="12:12" x14ac:dyDescent="0.25">
      <c r="L732" s="164" t="str">
        <f>IFERROR(COUNTIF($C$18:C732,C732)&amp;CHOOSE(MIN(4,COUNTIF($C$18:C732,C732)),"st","nd","rd","th"),"")</f>
        <v/>
      </c>
    </row>
    <row r="733" spans="12:12" x14ac:dyDescent="0.25">
      <c r="L733" s="164" t="str">
        <f>IFERROR(COUNTIF($C$18:C733,C733)&amp;CHOOSE(MIN(4,COUNTIF($C$18:C733,C733)),"st","nd","rd","th"),"")</f>
        <v/>
      </c>
    </row>
    <row r="734" spans="12:12" x14ac:dyDescent="0.25">
      <c r="L734" s="164" t="str">
        <f>IFERROR(COUNTIF($C$18:C734,C734)&amp;CHOOSE(MIN(4,COUNTIF($C$18:C734,C734)),"st","nd","rd","th"),"")</f>
        <v/>
      </c>
    </row>
    <row r="735" spans="12:12" x14ac:dyDescent="0.25">
      <c r="L735" s="164" t="str">
        <f>IFERROR(COUNTIF($C$18:C735,C735)&amp;CHOOSE(MIN(4,COUNTIF($C$18:C735,C735)),"st","nd","rd","th"),"")</f>
        <v/>
      </c>
    </row>
    <row r="736" spans="12:12" x14ac:dyDescent="0.25">
      <c r="L736" s="164" t="str">
        <f>IFERROR(COUNTIF($C$18:C736,C736)&amp;CHOOSE(MIN(4,COUNTIF($C$18:C736,C736)),"st","nd","rd","th"),"")</f>
        <v/>
      </c>
    </row>
    <row r="737" spans="12:12" x14ac:dyDescent="0.25">
      <c r="L737" s="164" t="str">
        <f>IFERROR(COUNTIF($C$18:C737,C737)&amp;CHOOSE(MIN(4,COUNTIF($C$18:C737,C737)),"st","nd","rd","th"),"")</f>
        <v/>
      </c>
    </row>
    <row r="738" spans="12:12" x14ac:dyDescent="0.25">
      <c r="L738" s="164" t="str">
        <f>IFERROR(COUNTIF($C$18:C738,C738)&amp;CHOOSE(MIN(4,COUNTIF($C$18:C738,C738)),"st","nd","rd","th"),"")</f>
        <v/>
      </c>
    </row>
    <row r="739" spans="12:12" x14ac:dyDescent="0.25">
      <c r="L739" s="164" t="str">
        <f>IFERROR(COUNTIF($C$18:C739,C739)&amp;CHOOSE(MIN(4,COUNTIF($C$18:C739,C739)),"st","nd","rd","th"),"")</f>
        <v/>
      </c>
    </row>
    <row r="740" spans="12:12" x14ac:dyDescent="0.25">
      <c r="L740" s="164" t="str">
        <f>IFERROR(COUNTIF($C$18:C740,C740)&amp;CHOOSE(MIN(4,COUNTIF($C$18:C740,C740)),"st","nd","rd","th"),"")</f>
        <v/>
      </c>
    </row>
    <row r="741" spans="12:12" x14ac:dyDescent="0.25">
      <c r="L741" s="164" t="str">
        <f>IFERROR(COUNTIF($C$18:C741,C741)&amp;CHOOSE(MIN(4,COUNTIF($C$18:C741,C741)),"st","nd","rd","th"),"")</f>
        <v/>
      </c>
    </row>
    <row r="742" spans="12:12" x14ac:dyDescent="0.25">
      <c r="L742" s="164" t="str">
        <f>IFERROR(COUNTIF($C$18:C742,C742)&amp;CHOOSE(MIN(4,COUNTIF($C$18:C742,C742)),"st","nd","rd","th"),"")</f>
        <v/>
      </c>
    </row>
    <row r="743" spans="12:12" x14ac:dyDescent="0.25">
      <c r="L743" s="164" t="str">
        <f>IFERROR(COUNTIF($C$18:C743,C743)&amp;CHOOSE(MIN(4,COUNTIF($C$18:C743,C743)),"st","nd","rd","th"),"")</f>
        <v/>
      </c>
    </row>
    <row r="744" spans="12:12" x14ac:dyDescent="0.25">
      <c r="L744" s="164" t="str">
        <f>IFERROR(COUNTIF($C$18:C744,C744)&amp;CHOOSE(MIN(4,COUNTIF($C$18:C744,C744)),"st","nd","rd","th"),"")</f>
        <v/>
      </c>
    </row>
    <row r="745" spans="12:12" x14ac:dyDescent="0.25">
      <c r="L745" s="164" t="str">
        <f>IFERROR(COUNTIF($C$18:C745,C745)&amp;CHOOSE(MIN(4,COUNTIF($C$18:C745,C745)),"st","nd","rd","th"),"")</f>
        <v/>
      </c>
    </row>
    <row r="746" spans="12:12" x14ac:dyDescent="0.25">
      <c r="L746" s="164" t="str">
        <f>IFERROR(COUNTIF($C$18:C746,C746)&amp;CHOOSE(MIN(4,COUNTIF($C$18:C746,C746)),"st","nd","rd","th"),"")</f>
        <v/>
      </c>
    </row>
    <row r="747" spans="12:12" x14ac:dyDescent="0.25">
      <c r="L747" s="164" t="str">
        <f>IFERROR(COUNTIF($C$18:C747,C747)&amp;CHOOSE(MIN(4,COUNTIF($C$18:C747,C747)),"st","nd","rd","th"),"")</f>
        <v/>
      </c>
    </row>
    <row r="748" spans="12:12" x14ac:dyDescent="0.25">
      <c r="L748" s="164" t="str">
        <f>IFERROR(COUNTIF($C$18:C748,C748)&amp;CHOOSE(MIN(4,COUNTIF($C$18:C748,C748)),"st","nd","rd","th"),"")</f>
        <v/>
      </c>
    </row>
    <row r="749" spans="12:12" x14ac:dyDescent="0.25">
      <c r="L749" s="164" t="str">
        <f>IFERROR(COUNTIF($C$18:C749,C749)&amp;CHOOSE(MIN(4,COUNTIF($C$18:C749,C749)),"st","nd","rd","th"),"")</f>
        <v/>
      </c>
    </row>
    <row r="750" spans="12:12" x14ac:dyDescent="0.25">
      <c r="L750" s="164" t="str">
        <f>IFERROR(COUNTIF($C$18:C750,C750)&amp;CHOOSE(MIN(4,COUNTIF($C$18:C750,C750)),"st","nd","rd","th"),"")</f>
        <v/>
      </c>
    </row>
    <row r="751" spans="12:12" x14ac:dyDescent="0.25">
      <c r="L751" s="164" t="str">
        <f>IFERROR(COUNTIF($C$18:C751,C751)&amp;CHOOSE(MIN(4,COUNTIF($C$18:C751,C751)),"st","nd","rd","th"),"")</f>
        <v/>
      </c>
    </row>
    <row r="752" spans="12:12" x14ac:dyDescent="0.25">
      <c r="L752" s="164" t="str">
        <f>IFERROR(COUNTIF($C$18:C752,C752)&amp;CHOOSE(MIN(4,COUNTIF($C$18:C752,C752)),"st","nd","rd","th"),"")</f>
        <v/>
      </c>
    </row>
    <row r="753" spans="12:12" x14ac:dyDescent="0.25">
      <c r="L753" s="164" t="str">
        <f>IFERROR(COUNTIF($C$18:C753,C753)&amp;CHOOSE(MIN(4,COUNTIF($C$18:C753,C753)),"st","nd","rd","th"),"")</f>
        <v/>
      </c>
    </row>
    <row r="754" spans="12:12" x14ac:dyDescent="0.25">
      <c r="L754" s="164" t="str">
        <f>IFERROR(COUNTIF($C$18:C754,C754)&amp;CHOOSE(MIN(4,COUNTIF($C$18:C754,C754)),"st","nd","rd","th"),"")</f>
        <v/>
      </c>
    </row>
    <row r="755" spans="12:12" x14ac:dyDescent="0.25">
      <c r="L755" s="164" t="str">
        <f>IFERROR(COUNTIF($C$18:C755,C755)&amp;CHOOSE(MIN(4,COUNTIF($C$18:C755,C755)),"st","nd","rd","th"),"")</f>
        <v/>
      </c>
    </row>
    <row r="756" spans="12:12" x14ac:dyDescent="0.25">
      <c r="L756" s="164" t="str">
        <f>IFERROR(COUNTIF($C$18:C756,C756)&amp;CHOOSE(MIN(4,COUNTIF($C$18:C756,C756)),"st","nd","rd","th"),"")</f>
        <v/>
      </c>
    </row>
    <row r="757" spans="12:12" x14ac:dyDescent="0.25">
      <c r="L757" s="164" t="str">
        <f>IFERROR(COUNTIF($C$18:C757,C757)&amp;CHOOSE(MIN(4,COUNTIF($C$18:C757,C757)),"st","nd","rd","th"),"")</f>
        <v/>
      </c>
    </row>
    <row r="758" spans="12:12" x14ac:dyDescent="0.25">
      <c r="L758" s="164" t="str">
        <f>IFERROR(COUNTIF($C$18:C758,C758)&amp;CHOOSE(MIN(4,COUNTIF($C$18:C758,C758)),"st","nd","rd","th"),"")</f>
        <v/>
      </c>
    </row>
    <row r="759" spans="12:12" x14ac:dyDescent="0.25">
      <c r="L759" s="164" t="str">
        <f>IFERROR(COUNTIF($C$18:C759,C759)&amp;CHOOSE(MIN(4,COUNTIF($C$18:C759,C759)),"st","nd","rd","th"),"")</f>
        <v/>
      </c>
    </row>
    <row r="760" spans="12:12" x14ac:dyDescent="0.25">
      <c r="L760" s="164" t="str">
        <f>IFERROR(COUNTIF($C$18:C760,C760)&amp;CHOOSE(MIN(4,COUNTIF($C$18:C760,C760)),"st","nd","rd","th"),"")</f>
        <v/>
      </c>
    </row>
    <row r="761" spans="12:12" x14ac:dyDescent="0.25">
      <c r="L761" s="164" t="str">
        <f>IFERROR(COUNTIF($C$18:C761,C761)&amp;CHOOSE(MIN(4,COUNTIF($C$18:C761,C761)),"st","nd","rd","th"),"")</f>
        <v/>
      </c>
    </row>
    <row r="762" spans="12:12" x14ac:dyDescent="0.25">
      <c r="L762" s="164" t="str">
        <f>IFERROR(COUNTIF($C$18:C762,C762)&amp;CHOOSE(MIN(4,COUNTIF($C$18:C762,C762)),"st","nd","rd","th"),"")</f>
        <v/>
      </c>
    </row>
    <row r="763" spans="12:12" x14ac:dyDescent="0.25">
      <c r="L763" s="164" t="str">
        <f>IFERROR(COUNTIF($C$18:C763,C763)&amp;CHOOSE(MIN(4,COUNTIF($C$18:C763,C763)),"st","nd","rd","th"),"")</f>
        <v/>
      </c>
    </row>
    <row r="764" spans="12:12" x14ac:dyDescent="0.25">
      <c r="L764" s="164" t="str">
        <f>IFERROR(COUNTIF($C$18:C764,C764)&amp;CHOOSE(MIN(4,COUNTIF($C$18:C764,C764)),"st","nd","rd","th"),"")</f>
        <v/>
      </c>
    </row>
    <row r="765" spans="12:12" x14ac:dyDescent="0.25">
      <c r="L765" s="164" t="str">
        <f>IFERROR(COUNTIF($C$18:C765,C765)&amp;CHOOSE(MIN(4,COUNTIF($C$18:C765,C765)),"st","nd","rd","th"),"")</f>
        <v/>
      </c>
    </row>
    <row r="766" spans="12:12" x14ac:dyDescent="0.25">
      <c r="L766" s="164" t="str">
        <f>IFERROR(COUNTIF($C$18:C766,C766)&amp;CHOOSE(MIN(4,COUNTIF($C$18:C766,C766)),"st","nd","rd","th"),"")</f>
        <v/>
      </c>
    </row>
    <row r="767" spans="12:12" x14ac:dyDescent="0.25">
      <c r="L767" s="164" t="str">
        <f>IFERROR(COUNTIF($C$18:C767,C767)&amp;CHOOSE(MIN(4,COUNTIF($C$18:C767,C767)),"st","nd","rd","th"),"")</f>
        <v/>
      </c>
    </row>
    <row r="768" spans="12:12" x14ac:dyDescent="0.25">
      <c r="L768" s="164" t="str">
        <f>IFERROR(COUNTIF($C$18:C768,C768)&amp;CHOOSE(MIN(4,COUNTIF($C$18:C768,C768)),"st","nd","rd","th"),"")</f>
        <v/>
      </c>
    </row>
    <row r="769" spans="12:12" x14ac:dyDescent="0.25">
      <c r="L769" s="164" t="str">
        <f>IFERROR(COUNTIF($C$18:C769,C769)&amp;CHOOSE(MIN(4,COUNTIF($C$18:C769,C769)),"st","nd","rd","th"),"")</f>
        <v/>
      </c>
    </row>
    <row r="770" spans="12:12" x14ac:dyDescent="0.25">
      <c r="L770" s="164" t="str">
        <f>IFERROR(COUNTIF($C$18:C770,C770)&amp;CHOOSE(MIN(4,COUNTIF($C$18:C770,C770)),"st","nd","rd","th"),"")</f>
        <v/>
      </c>
    </row>
    <row r="771" spans="12:12" x14ac:dyDescent="0.25">
      <c r="L771" s="164" t="str">
        <f>IFERROR(COUNTIF($C$18:C771,C771)&amp;CHOOSE(MIN(4,COUNTIF($C$18:C771,C771)),"st","nd","rd","th"),"")</f>
        <v/>
      </c>
    </row>
    <row r="772" spans="12:12" x14ac:dyDescent="0.25">
      <c r="L772" s="164" t="str">
        <f>IFERROR(COUNTIF($C$18:C772,C772)&amp;CHOOSE(MIN(4,COUNTIF($C$18:C772,C772)),"st","nd","rd","th"),"")</f>
        <v/>
      </c>
    </row>
    <row r="773" spans="12:12" x14ac:dyDescent="0.25">
      <c r="L773" s="164" t="str">
        <f>IFERROR(COUNTIF($C$18:C773,C773)&amp;CHOOSE(MIN(4,COUNTIF($C$18:C773,C773)),"st","nd","rd","th"),"")</f>
        <v/>
      </c>
    </row>
    <row r="774" spans="12:12" x14ac:dyDescent="0.25">
      <c r="L774" s="164" t="str">
        <f>IFERROR(COUNTIF($C$18:C774,C774)&amp;CHOOSE(MIN(4,COUNTIF($C$18:C774,C774)),"st","nd","rd","th"),"")</f>
        <v/>
      </c>
    </row>
    <row r="775" spans="12:12" x14ac:dyDescent="0.25">
      <c r="L775" s="164" t="str">
        <f>IFERROR(COUNTIF($C$18:C775,C775)&amp;CHOOSE(MIN(4,COUNTIF($C$18:C775,C775)),"st","nd","rd","th"),"")</f>
        <v/>
      </c>
    </row>
    <row r="776" spans="12:12" x14ac:dyDescent="0.25">
      <c r="L776" s="164" t="str">
        <f>IFERROR(COUNTIF($C$18:C776,C776)&amp;CHOOSE(MIN(4,COUNTIF($C$18:C776,C776)),"st","nd","rd","th"),"")</f>
        <v/>
      </c>
    </row>
    <row r="777" spans="12:12" x14ac:dyDescent="0.25">
      <c r="L777" s="164" t="str">
        <f>IFERROR(COUNTIF($C$18:C777,C777)&amp;CHOOSE(MIN(4,COUNTIF($C$18:C777,C777)),"st","nd","rd","th"),"")</f>
        <v/>
      </c>
    </row>
    <row r="778" spans="12:12" x14ac:dyDescent="0.25">
      <c r="L778" s="164" t="str">
        <f>IFERROR(COUNTIF($C$18:C778,C778)&amp;CHOOSE(MIN(4,COUNTIF($C$18:C778,C778)),"st","nd","rd","th"),"")</f>
        <v/>
      </c>
    </row>
    <row r="779" spans="12:12" x14ac:dyDescent="0.25">
      <c r="L779" s="164" t="str">
        <f>IFERROR(COUNTIF($C$18:C779,C779)&amp;CHOOSE(MIN(4,COUNTIF($C$18:C779,C779)),"st","nd","rd","th"),"")</f>
        <v/>
      </c>
    </row>
    <row r="780" spans="12:12" x14ac:dyDescent="0.25">
      <c r="L780" s="164" t="str">
        <f>IFERROR(COUNTIF($C$18:C780,C780)&amp;CHOOSE(MIN(4,COUNTIF($C$18:C780,C780)),"st","nd","rd","th"),"")</f>
        <v/>
      </c>
    </row>
    <row r="781" spans="12:12" x14ac:dyDescent="0.25">
      <c r="L781" s="164" t="str">
        <f>IFERROR(COUNTIF($C$18:C781,C781)&amp;CHOOSE(MIN(4,COUNTIF($C$18:C781,C781)),"st","nd","rd","th"),"")</f>
        <v/>
      </c>
    </row>
    <row r="782" spans="12:12" x14ac:dyDescent="0.25">
      <c r="L782" s="164" t="str">
        <f>IFERROR(COUNTIF($C$18:C782,C782)&amp;CHOOSE(MIN(4,COUNTIF($C$18:C782,C782)),"st","nd","rd","th"),"")</f>
        <v/>
      </c>
    </row>
    <row r="783" spans="12:12" x14ac:dyDescent="0.25">
      <c r="L783" s="164" t="str">
        <f>IFERROR(COUNTIF($C$18:C783,C783)&amp;CHOOSE(MIN(4,COUNTIF($C$18:C783,C783)),"st","nd","rd","th"),"")</f>
        <v/>
      </c>
    </row>
    <row r="784" spans="12:12" x14ac:dyDescent="0.25">
      <c r="L784" s="164" t="str">
        <f>IFERROR(COUNTIF($C$18:C784,C784)&amp;CHOOSE(MIN(4,COUNTIF($C$18:C784,C784)),"st","nd","rd","th"),"")</f>
        <v/>
      </c>
    </row>
    <row r="785" spans="12:12" x14ac:dyDescent="0.25">
      <c r="L785" s="164" t="str">
        <f>IFERROR(COUNTIF($C$18:C785,C785)&amp;CHOOSE(MIN(4,COUNTIF($C$18:C785,C785)),"st","nd","rd","th"),"")</f>
        <v/>
      </c>
    </row>
    <row r="786" spans="12:12" x14ac:dyDescent="0.25">
      <c r="L786" s="164" t="str">
        <f>IFERROR(COUNTIF($C$18:C786,C786)&amp;CHOOSE(MIN(4,COUNTIF($C$18:C786,C786)),"st","nd","rd","th"),"")</f>
        <v/>
      </c>
    </row>
    <row r="787" spans="12:12" x14ac:dyDescent="0.25">
      <c r="L787" s="164" t="str">
        <f>IFERROR(COUNTIF($C$18:C787,C787)&amp;CHOOSE(MIN(4,COUNTIF($C$18:C787,C787)),"st","nd","rd","th"),"")</f>
        <v/>
      </c>
    </row>
    <row r="788" spans="12:12" x14ac:dyDescent="0.25">
      <c r="L788" s="164" t="str">
        <f>IFERROR(COUNTIF($C$18:C788,C788)&amp;CHOOSE(MIN(4,COUNTIF($C$18:C788,C788)),"st","nd","rd","th"),"")</f>
        <v/>
      </c>
    </row>
    <row r="789" spans="12:12" x14ac:dyDescent="0.25">
      <c r="L789" s="164" t="str">
        <f>IFERROR(COUNTIF($C$18:C789,C789)&amp;CHOOSE(MIN(4,COUNTIF($C$18:C789,C789)),"st","nd","rd","th"),"")</f>
        <v/>
      </c>
    </row>
    <row r="790" spans="12:12" x14ac:dyDescent="0.25">
      <c r="L790" s="164" t="str">
        <f>IFERROR(COUNTIF($C$18:C790,C790)&amp;CHOOSE(MIN(4,COUNTIF($C$18:C790,C790)),"st","nd","rd","th"),"")</f>
        <v/>
      </c>
    </row>
    <row r="791" spans="12:12" x14ac:dyDescent="0.25">
      <c r="L791" s="164" t="str">
        <f>IFERROR(COUNTIF($C$18:C791,C791)&amp;CHOOSE(MIN(4,COUNTIF($C$18:C791,C791)),"st","nd","rd","th"),"")</f>
        <v/>
      </c>
    </row>
    <row r="792" spans="12:12" x14ac:dyDescent="0.25">
      <c r="L792" s="164" t="str">
        <f>IFERROR(COUNTIF($C$18:C792,C792)&amp;CHOOSE(MIN(4,COUNTIF($C$18:C792,C792)),"st","nd","rd","th"),"")</f>
        <v/>
      </c>
    </row>
    <row r="793" spans="12:12" x14ac:dyDescent="0.25">
      <c r="L793" s="164" t="str">
        <f>IFERROR(COUNTIF($C$18:C793,C793)&amp;CHOOSE(MIN(4,COUNTIF($C$18:C793,C793)),"st","nd","rd","th"),"")</f>
        <v/>
      </c>
    </row>
    <row r="794" spans="12:12" x14ac:dyDescent="0.25">
      <c r="L794" s="164" t="str">
        <f>IFERROR(COUNTIF($C$18:C794,C794)&amp;CHOOSE(MIN(4,COUNTIF($C$18:C794,C794)),"st","nd","rd","th"),"")</f>
        <v/>
      </c>
    </row>
    <row r="795" spans="12:12" x14ac:dyDescent="0.25">
      <c r="L795" s="164" t="str">
        <f>IFERROR(COUNTIF($C$18:C795,C795)&amp;CHOOSE(MIN(4,COUNTIF($C$18:C795,C795)),"st","nd","rd","th"),"")</f>
        <v/>
      </c>
    </row>
    <row r="796" spans="12:12" x14ac:dyDescent="0.25">
      <c r="L796" s="164" t="str">
        <f>IFERROR(COUNTIF($C$18:C796,C796)&amp;CHOOSE(MIN(4,COUNTIF($C$18:C796,C796)),"st","nd","rd","th"),"")</f>
        <v/>
      </c>
    </row>
    <row r="797" spans="12:12" x14ac:dyDescent="0.25">
      <c r="L797" s="164" t="str">
        <f>IFERROR(COUNTIF($C$18:C797,C797)&amp;CHOOSE(MIN(4,COUNTIF($C$18:C797,C797)),"st","nd","rd","th"),"")</f>
        <v/>
      </c>
    </row>
    <row r="798" spans="12:12" x14ac:dyDescent="0.25">
      <c r="L798" s="164" t="str">
        <f>IFERROR(COUNTIF($C$18:C798,C798)&amp;CHOOSE(MIN(4,COUNTIF($C$18:C798,C798)),"st","nd","rd","th"),"")</f>
        <v/>
      </c>
    </row>
    <row r="799" spans="12:12" x14ac:dyDescent="0.25">
      <c r="L799" s="164" t="str">
        <f>IFERROR(COUNTIF($C$18:C799,C799)&amp;CHOOSE(MIN(4,COUNTIF($C$18:C799,C799)),"st","nd","rd","th"),"")</f>
        <v/>
      </c>
    </row>
    <row r="800" spans="12:12" x14ac:dyDescent="0.25">
      <c r="L800" s="164" t="str">
        <f>IFERROR(COUNTIF($C$18:C800,C800)&amp;CHOOSE(MIN(4,COUNTIF($C$18:C800,C800)),"st","nd","rd","th"),"")</f>
        <v/>
      </c>
    </row>
    <row r="801" spans="12:12" x14ac:dyDescent="0.25">
      <c r="L801" s="164" t="str">
        <f>IFERROR(COUNTIF($C$18:C801,C801)&amp;CHOOSE(MIN(4,COUNTIF($C$18:C801,C801)),"st","nd","rd","th"),"")</f>
        <v/>
      </c>
    </row>
    <row r="802" spans="12:12" x14ac:dyDescent="0.25">
      <c r="L802" s="164" t="str">
        <f>IFERROR(COUNTIF($C$18:C802,C802)&amp;CHOOSE(MIN(4,COUNTIF($C$18:C802,C802)),"st","nd","rd","th"),"")</f>
        <v/>
      </c>
    </row>
    <row r="803" spans="12:12" x14ac:dyDescent="0.25">
      <c r="L803" s="164" t="str">
        <f>IFERROR(COUNTIF($C$18:C803,C803)&amp;CHOOSE(MIN(4,COUNTIF($C$18:C803,C803)),"st","nd","rd","th"),"")</f>
        <v/>
      </c>
    </row>
    <row r="804" spans="12:12" x14ac:dyDescent="0.25">
      <c r="L804" s="164" t="str">
        <f>IFERROR(COUNTIF($C$18:C804,C804)&amp;CHOOSE(MIN(4,COUNTIF($C$18:C804,C804)),"st","nd","rd","th"),"")</f>
        <v/>
      </c>
    </row>
    <row r="805" spans="12:12" x14ac:dyDescent="0.25">
      <c r="L805" s="164" t="str">
        <f>IFERROR(COUNTIF($C$18:C805,C805)&amp;CHOOSE(MIN(4,COUNTIF($C$18:C805,C805)),"st","nd","rd","th"),"")</f>
        <v/>
      </c>
    </row>
    <row r="806" spans="12:12" x14ac:dyDescent="0.25">
      <c r="L806" s="164" t="str">
        <f>IFERROR(COUNTIF($C$18:C806,C806)&amp;CHOOSE(MIN(4,COUNTIF($C$18:C806,C806)),"st","nd","rd","th"),"")</f>
        <v/>
      </c>
    </row>
    <row r="807" spans="12:12" x14ac:dyDescent="0.25">
      <c r="L807" s="164" t="str">
        <f>IFERROR(COUNTIF($C$18:C807,C807)&amp;CHOOSE(MIN(4,COUNTIF($C$18:C807,C807)),"st","nd","rd","th"),"")</f>
        <v/>
      </c>
    </row>
    <row r="808" spans="12:12" x14ac:dyDescent="0.25">
      <c r="L808" s="164" t="str">
        <f>IFERROR(COUNTIF($C$18:C808,C808)&amp;CHOOSE(MIN(4,COUNTIF($C$18:C808,C808)),"st","nd","rd","th"),"")</f>
        <v/>
      </c>
    </row>
    <row r="809" spans="12:12" x14ac:dyDescent="0.25">
      <c r="L809" s="164" t="str">
        <f>IFERROR(COUNTIF($C$18:C809,C809)&amp;CHOOSE(MIN(4,COUNTIF($C$18:C809,C809)),"st","nd","rd","th"),"")</f>
        <v/>
      </c>
    </row>
    <row r="810" spans="12:12" x14ac:dyDescent="0.25">
      <c r="L810" s="164" t="str">
        <f>IFERROR(COUNTIF($C$18:C810,C810)&amp;CHOOSE(MIN(4,COUNTIF($C$18:C810,C810)),"st","nd","rd","th"),"")</f>
        <v/>
      </c>
    </row>
    <row r="811" spans="12:12" x14ac:dyDescent="0.25">
      <c r="L811" s="164" t="str">
        <f>IFERROR(COUNTIF($C$18:C811,C811)&amp;CHOOSE(MIN(4,COUNTIF($C$18:C811,C811)),"st","nd","rd","th"),"")</f>
        <v/>
      </c>
    </row>
    <row r="812" spans="12:12" x14ac:dyDescent="0.25">
      <c r="L812" s="164" t="str">
        <f>IFERROR(COUNTIF($C$18:C812,C812)&amp;CHOOSE(MIN(4,COUNTIF($C$18:C812,C812)),"st","nd","rd","th"),"")</f>
        <v/>
      </c>
    </row>
    <row r="813" spans="12:12" x14ac:dyDescent="0.25">
      <c r="L813" s="164" t="str">
        <f>IFERROR(COUNTIF($C$18:C813,C813)&amp;CHOOSE(MIN(4,COUNTIF($C$18:C813,C813)),"st","nd","rd","th"),"")</f>
        <v/>
      </c>
    </row>
    <row r="814" spans="12:12" x14ac:dyDescent="0.25">
      <c r="L814" s="164" t="str">
        <f>IFERROR(COUNTIF($C$18:C814,C814)&amp;CHOOSE(MIN(4,COUNTIF($C$18:C814,C814)),"st","nd","rd","th"),"")</f>
        <v/>
      </c>
    </row>
    <row r="815" spans="12:12" x14ac:dyDescent="0.25">
      <c r="L815" s="164" t="str">
        <f>IFERROR(COUNTIF($C$18:C815,C815)&amp;CHOOSE(MIN(4,COUNTIF($C$18:C815,C815)),"st","nd","rd","th"),"")</f>
        <v/>
      </c>
    </row>
    <row r="816" spans="12:12" x14ac:dyDescent="0.25">
      <c r="L816" s="164" t="str">
        <f>IFERROR(COUNTIF($C$18:C816,C816)&amp;CHOOSE(MIN(4,COUNTIF($C$18:C816,C816)),"st","nd","rd","th"),"")</f>
        <v/>
      </c>
    </row>
    <row r="817" spans="12:12" x14ac:dyDescent="0.25">
      <c r="L817" s="164" t="str">
        <f>IFERROR(COUNTIF($C$18:C817,C817)&amp;CHOOSE(MIN(4,COUNTIF($C$18:C817,C817)),"st","nd","rd","th"),"")</f>
        <v/>
      </c>
    </row>
    <row r="818" spans="12:12" x14ac:dyDescent="0.25">
      <c r="L818" s="164" t="str">
        <f>IFERROR(COUNTIF($C$18:C818,C818)&amp;CHOOSE(MIN(4,COUNTIF($C$18:C818,C818)),"st","nd","rd","th"),"")</f>
        <v/>
      </c>
    </row>
    <row r="819" spans="12:12" x14ac:dyDescent="0.25">
      <c r="L819" s="164" t="str">
        <f>IFERROR(COUNTIF($C$18:C819,C819)&amp;CHOOSE(MIN(4,COUNTIF($C$18:C819,C819)),"st","nd","rd","th"),"")</f>
        <v/>
      </c>
    </row>
    <row r="820" spans="12:12" x14ac:dyDescent="0.25">
      <c r="L820" s="164" t="str">
        <f>IFERROR(COUNTIF($C$18:C820,C820)&amp;CHOOSE(MIN(4,COUNTIF($C$18:C820,C820)),"st","nd","rd","th"),"")</f>
        <v/>
      </c>
    </row>
    <row r="821" spans="12:12" x14ac:dyDescent="0.25">
      <c r="L821" s="164" t="str">
        <f>IFERROR(COUNTIF($C$18:C821,C821)&amp;CHOOSE(MIN(4,COUNTIF($C$18:C821,C821)),"st","nd","rd","th"),"")</f>
        <v/>
      </c>
    </row>
    <row r="822" spans="12:12" x14ac:dyDescent="0.25">
      <c r="L822" s="164" t="str">
        <f>IFERROR(COUNTIF($C$18:C822,C822)&amp;CHOOSE(MIN(4,COUNTIF($C$18:C822,C822)),"st","nd","rd","th"),"")</f>
        <v/>
      </c>
    </row>
    <row r="823" spans="12:12" x14ac:dyDescent="0.25">
      <c r="L823" s="164" t="str">
        <f>IFERROR(COUNTIF($C$18:C823,C823)&amp;CHOOSE(MIN(4,COUNTIF($C$18:C823,C823)),"st","nd","rd","th"),"")</f>
        <v/>
      </c>
    </row>
    <row r="824" spans="12:12" x14ac:dyDescent="0.25">
      <c r="L824" s="164" t="str">
        <f>IFERROR(COUNTIF($C$18:C824,C824)&amp;CHOOSE(MIN(4,COUNTIF($C$18:C824,C824)),"st","nd","rd","th"),"")</f>
        <v/>
      </c>
    </row>
    <row r="825" spans="12:12" x14ac:dyDescent="0.25">
      <c r="L825" s="164" t="str">
        <f>IFERROR(COUNTIF($C$18:C825,C825)&amp;CHOOSE(MIN(4,COUNTIF($C$18:C825,C825)),"st","nd","rd","th"),"")</f>
        <v/>
      </c>
    </row>
    <row r="826" spans="12:12" x14ac:dyDescent="0.25">
      <c r="L826" s="164" t="str">
        <f>IFERROR(COUNTIF($C$18:C826,C826)&amp;CHOOSE(MIN(4,COUNTIF($C$18:C826,C826)),"st","nd","rd","th"),"")</f>
        <v/>
      </c>
    </row>
    <row r="827" spans="12:12" x14ac:dyDescent="0.25">
      <c r="L827" s="164" t="str">
        <f>IFERROR(COUNTIF($C$18:C827,C827)&amp;CHOOSE(MIN(4,COUNTIF($C$18:C827,C827)),"st","nd","rd","th"),"")</f>
        <v/>
      </c>
    </row>
    <row r="828" spans="12:12" x14ac:dyDescent="0.25">
      <c r="L828" s="164" t="str">
        <f>IFERROR(COUNTIF($C$18:C828,C828)&amp;CHOOSE(MIN(4,COUNTIF($C$18:C828,C828)),"st","nd","rd","th"),"")</f>
        <v/>
      </c>
    </row>
    <row r="829" spans="12:12" x14ac:dyDescent="0.25">
      <c r="L829" s="164" t="str">
        <f>IFERROR(COUNTIF($C$18:C829,C829)&amp;CHOOSE(MIN(4,COUNTIF($C$18:C829,C829)),"st","nd","rd","th"),"")</f>
        <v/>
      </c>
    </row>
    <row r="830" spans="12:12" x14ac:dyDescent="0.25">
      <c r="L830" s="164" t="str">
        <f>IFERROR(COUNTIF($C$18:C830,C830)&amp;CHOOSE(MIN(4,COUNTIF($C$18:C830,C830)),"st","nd","rd","th"),"")</f>
        <v/>
      </c>
    </row>
    <row r="831" spans="12:12" x14ac:dyDescent="0.25">
      <c r="L831" s="164" t="str">
        <f>IFERROR(COUNTIF($C$18:C831,C831)&amp;CHOOSE(MIN(4,COUNTIF($C$18:C831,C831)),"st","nd","rd","th"),"")</f>
        <v/>
      </c>
    </row>
    <row r="832" spans="12:12" x14ac:dyDescent="0.25">
      <c r="L832" s="164" t="str">
        <f>IFERROR(COUNTIF($C$18:C832,C832)&amp;CHOOSE(MIN(4,COUNTIF($C$18:C832,C832)),"st","nd","rd","th"),"")</f>
        <v/>
      </c>
    </row>
    <row r="833" spans="12:12" x14ac:dyDescent="0.25">
      <c r="L833" s="164" t="str">
        <f>IFERROR(COUNTIF($C$18:C833,C833)&amp;CHOOSE(MIN(4,COUNTIF($C$18:C833,C833)),"st","nd","rd","th"),"")</f>
        <v/>
      </c>
    </row>
    <row r="834" spans="12:12" x14ac:dyDescent="0.25">
      <c r="L834" s="164" t="str">
        <f>IFERROR(COUNTIF($C$18:C834,C834)&amp;CHOOSE(MIN(4,COUNTIF($C$18:C834,C834)),"st","nd","rd","th"),"")</f>
        <v/>
      </c>
    </row>
    <row r="835" spans="12:12" x14ac:dyDescent="0.25">
      <c r="L835" s="164" t="str">
        <f>IFERROR(COUNTIF($C$18:C835,C835)&amp;CHOOSE(MIN(4,COUNTIF($C$18:C835,C835)),"st","nd","rd","th"),"")</f>
        <v/>
      </c>
    </row>
    <row r="836" spans="12:12" x14ac:dyDescent="0.25">
      <c r="L836" s="164" t="str">
        <f>IFERROR(COUNTIF($C$18:C836,C836)&amp;CHOOSE(MIN(4,COUNTIF($C$18:C836,C836)),"st","nd","rd","th"),"")</f>
        <v/>
      </c>
    </row>
    <row r="837" spans="12:12" x14ac:dyDescent="0.25">
      <c r="L837" s="164" t="str">
        <f>IFERROR(COUNTIF($C$18:C837,C837)&amp;CHOOSE(MIN(4,COUNTIF($C$18:C837,C837)),"st","nd","rd","th"),"")</f>
        <v/>
      </c>
    </row>
    <row r="838" spans="12:12" x14ac:dyDescent="0.25">
      <c r="L838" s="164" t="str">
        <f>IFERROR(COUNTIF($C$18:C838,C838)&amp;CHOOSE(MIN(4,COUNTIF($C$18:C838,C838)),"st","nd","rd","th"),"")</f>
        <v/>
      </c>
    </row>
    <row r="839" spans="12:12" x14ac:dyDescent="0.25">
      <c r="L839" s="164" t="str">
        <f>IFERROR(COUNTIF($C$18:C839,C839)&amp;CHOOSE(MIN(4,COUNTIF($C$18:C839,C839)),"st","nd","rd","th"),"")</f>
        <v/>
      </c>
    </row>
    <row r="840" spans="12:12" x14ac:dyDescent="0.25">
      <c r="L840" s="164" t="str">
        <f>IFERROR(COUNTIF($C$18:C840,C840)&amp;CHOOSE(MIN(4,COUNTIF($C$18:C840,C840)),"st","nd","rd","th"),"")</f>
        <v/>
      </c>
    </row>
    <row r="841" spans="12:12" x14ac:dyDescent="0.25">
      <c r="L841" s="164" t="str">
        <f>IFERROR(COUNTIF($C$18:C841,C841)&amp;CHOOSE(MIN(4,COUNTIF($C$18:C841,C841)),"st","nd","rd","th"),"")</f>
        <v/>
      </c>
    </row>
    <row r="842" spans="12:12" x14ac:dyDescent="0.25">
      <c r="L842" s="164" t="str">
        <f>IFERROR(COUNTIF($C$18:C842,C842)&amp;CHOOSE(MIN(4,COUNTIF($C$18:C842,C842)),"st","nd","rd","th"),"")</f>
        <v/>
      </c>
    </row>
    <row r="843" spans="12:12" x14ac:dyDescent="0.25">
      <c r="L843" s="164" t="str">
        <f>IFERROR(COUNTIF($C$18:C843,C843)&amp;CHOOSE(MIN(4,COUNTIF($C$18:C843,C843)),"st","nd","rd","th"),"")</f>
        <v/>
      </c>
    </row>
    <row r="844" spans="12:12" x14ac:dyDescent="0.25">
      <c r="L844" s="164" t="str">
        <f>IFERROR(COUNTIF($C$18:C844,C844)&amp;CHOOSE(MIN(4,COUNTIF($C$18:C844,C844)),"st","nd","rd","th"),"")</f>
        <v/>
      </c>
    </row>
    <row r="845" spans="12:12" x14ac:dyDescent="0.25">
      <c r="L845" s="164" t="str">
        <f>IFERROR(COUNTIF($C$18:C845,C845)&amp;CHOOSE(MIN(4,COUNTIF($C$18:C845,C845)),"st","nd","rd","th"),"")</f>
        <v/>
      </c>
    </row>
    <row r="846" spans="12:12" x14ac:dyDescent="0.25">
      <c r="L846" s="164" t="str">
        <f>IFERROR(COUNTIF($C$18:C846,C846)&amp;CHOOSE(MIN(4,COUNTIF($C$18:C846,C846)),"st","nd","rd","th"),"")</f>
        <v/>
      </c>
    </row>
    <row r="847" spans="12:12" x14ac:dyDescent="0.25">
      <c r="L847" s="164" t="str">
        <f>IFERROR(COUNTIF($C$18:C847,C847)&amp;CHOOSE(MIN(4,COUNTIF($C$18:C847,C847)),"st","nd","rd","th"),"")</f>
        <v/>
      </c>
    </row>
    <row r="848" spans="12:12" x14ac:dyDescent="0.25">
      <c r="L848" s="164" t="str">
        <f>IFERROR(COUNTIF($C$18:C848,C848)&amp;CHOOSE(MIN(4,COUNTIF($C$18:C848,C848)),"st","nd","rd","th"),"")</f>
        <v/>
      </c>
    </row>
    <row r="849" spans="12:12" x14ac:dyDescent="0.25">
      <c r="L849" s="164" t="str">
        <f>IFERROR(COUNTIF($C$18:C849,C849)&amp;CHOOSE(MIN(4,COUNTIF($C$18:C849,C849)),"st","nd","rd","th"),"")</f>
        <v/>
      </c>
    </row>
    <row r="850" spans="12:12" x14ac:dyDescent="0.25">
      <c r="L850" s="164" t="str">
        <f>IFERROR(COUNTIF($C$18:C850,C850)&amp;CHOOSE(MIN(4,COUNTIF($C$18:C850,C850)),"st","nd","rd","th"),"")</f>
        <v/>
      </c>
    </row>
    <row r="851" spans="12:12" x14ac:dyDescent="0.25">
      <c r="L851" s="164" t="str">
        <f>IFERROR(COUNTIF($C$18:C851,C851)&amp;CHOOSE(MIN(4,COUNTIF($C$18:C851,C851)),"st","nd","rd","th"),"")</f>
        <v/>
      </c>
    </row>
    <row r="852" spans="12:12" x14ac:dyDescent="0.25">
      <c r="L852" s="164" t="str">
        <f>IFERROR(COUNTIF($C$18:C852,C852)&amp;CHOOSE(MIN(4,COUNTIF($C$18:C852,C852)),"st","nd","rd","th"),"")</f>
        <v/>
      </c>
    </row>
    <row r="853" spans="12:12" x14ac:dyDescent="0.25">
      <c r="L853" s="164" t="str">
        <f>IFERROR(COUNTIF($C$18:C853,C853)&amp;CHOOSE(MIN(4,COUNTIF($C$18:C853,C853)),"st","nd","rd","th"),"")</f>
        <v/>
      </c>
    </row>
    <row r="854" spans="12:12" x14ac:dyDescent="0.25">
      <c r="L854" s="164" t="str">
        <f>IFERROR(COUNTIF($C$18:C854,C854)&amp;CHOOSE(MIN(4,COUNTIF($C$18:C854,C854)),"st","nd","rd","th"),"")</f>
        <v/>
      </c>
    </row>
    <row r="855" spans="12:12" x14ac:dyDescent="0.25">
      <c r="L855" s="164" t="str">
        <f>IFERROR(COUNTIF($C$18:C855,C855)&amp;CHOOSE(MIN(4,COUNTIF($C$18:C855,C855)),"st","nd","rd","th"),"")</f>
        <v/>
      </c>
    </row>
    <row r="856" spans="12:12" x14ac:dyDescent="0.25">
      <c r="L856" s="164" t="str">
        <f>IFERROR(COUNTIF($C$18:C856,C856)&amp;CHOOSE(MIN(4,COUNTIF($C$18:C856,C856)),"st","nd","rd","th"),"")</f>
        <v/>
      </c>
    </row>
    <row r="857" spans="12:12" x14ac:dyDescent="0.25">
      <c r="L857" s="164" t="str">
        <f>IFERROR(COUNTIF($C$18:C857,C857)&amp;CHOOSE(MIN(4,COUNTIF($C$18:C857,C857)),"st","nd","rd","th"),"")</f>
        <v/>
      </c>
    </row>
    <row r="858" spans="12:12" x14ac:dyDescent="0.25">
      <c r="L858" s="164" t="str">
        <f>IFERROR(COUNTIF($C$18:C858,C858)&amp;CHOOSE(MIN(4,COUNTIF($C$18:C858,C858)),"st","nd","rd","th"),"")</f>
        <v/>
      </c>
    </row>
    <row r="859" spans="12:12" x14ac:dyDescent="0.25">
      <c r="L859" s="164" t="str">
        <f>IFERROR(COUNTIF($C$18:C859,C859)&amp;CHOOSE(MIN(4,COUNTIF($C$18:C859,C859)),"st","nd","rd","th"),"")</f>
        <v/>
      </c>
    </row>
    <row r="860" spans="12:12" x14ac:dyDescent="0.25">
      <c r="L860" s="164" t="str">
        <f>IFERROR(COUNTIF($C$18:C860,C860)&amp;CHOOSE(MIN(4,COUNTIF($C$18:C860,C860)),"st","nd","rd","th"),"")</f>
        <v/>
      </c>
    </row>
    <row r="861" spans="12:12" x14ac:dyDescent="0.25">
      <c r="L861" s="164" t="str">
        <f>IFERROR(COUNTIF($C$18:C861,C861)&amp;CHOOSE(MIN(4,COUNTIF($C$18:C861,C861)),"st","nd","rd","th"),"")</f>
        <v/>
      </c>
    </row>
    <row r="862" spans="12:12" x14ac:dyDescent="0.25">
      <c r="L862" s="164" t="str">
        <f>IFERROR(COUNTIF($C$18:C862,C862)&amp;CHOOSE(MIN(4,COUNTIF($C$18:C862,C862)),"st","nd","rd","th"),"")</f>
        <v/>
      </c>
    </row>
    <row r="863" spans="12:12" x14ac:dyDescent="0.25">
      <c r="L863" s="164" t="str">
        <f>IFERROR(COUNTIF($C$18:C863,C863)&amp;CHOOSE(MIN(4,COUNTIF($C$18:C863,C863)),"st","nd","rd","th"),"")</f>
        <v/>
      </c>
    </row>
    <row r="864" spans="12:12" x14ac:dyDescent="0.25">
      <c r="L864" s="164" t="str">
        <f>IFERROR(COUNTIF($C$18:C864,C864)&amp;CHOOSE(MIN(4,COUNTIF($C$18:C864,C864)),"st","nd","rd","th"),"")</f>
        <v/>
      </c>
    </row>
    <row r="865" spans="12:12" x14ac:dyDescent="0.25">
      <c r="L865" s="164" t="str">
        <f>IFERROR(COUNTIF($C$18:C865,C865)&amp;CHOOSE(MIN(4,COUNTIF($C$18:C865,C865)),"st","nd","rd","th"),"")</f>
        <v/>
      </c>
    </row>
    <row r="866" spans="12:12" x14ac:dyDescent="0.25">
      <c r="L866" s="164" t="str">
        <f>IFERROR(COUNTIF($C$18:C866,C866)&amp;CHOOSE(MIN(4,COUNTIF($C$18:C866,C866)),"st","nd","rd","th"),"")</f>
        <v/>
      </c>
    </row>
    <row r="867" spans="12:12" x14ac:dyDescent="0.25">
      <c r="L867" s="164" t="str">
        <f>IFERROR(COUNTIF($C$18:C867,C867)&amp;CHOOSE(MIN(4,COUNTIF($C$18:C867,C867)),"st","nd","rd","th"),"")</f>
        <v/>
      </c>
    </row>
    <row r="868" spans="12:12" x14ac:dyDescent="0.25">
      <c r="L868" s="164" t="str">
        <f>IFERROR(COUNTIF($C$18:C868,C868)&amp;CHOOSE(MIN(4,COUNTIF($C$18:C868,C868)),"st","nd","rd","th"),"")</f>
        <v/>
      </c>
    </row>
    <row r="869" spans="12:12" x14ac:dyDescent="0.25">
      <c r="L869" s="164" t="str">
        <f>IFERROR(COUNTIF($C$18:C869,C869)&amp;CHOOSE(MIN(4,COUNTIF($C$18:C869,C869)),"st","nd","rd","th"),"")</f>
        <v/>
      </c>
    </row>
    <row r="870" spans="12:12" x14ac:dyDescent="0.25">
      <c r="L870" s="164" t="str">
        <f>IFERROR(COUNTIF($C$18:C870,C870)&amp;CHOOSE(MIN(4,COUNTIF($C$18:C870,C870)),"st","nd","rd","th"),"")</f>
        <v/>
      </c>
    </row>
    <row r="871" spans="12:12" x14ac:dyDescent="0.25">
      <c r="L871" s="164" t="str">
        <f>IFERROR(COUNTIF($C$18:C871,C871)&amp;CHOOSE(MIN(4,COUNTIF($C$18:C871,C871)),"st","nd","rd","th"),"")</f>
        <v/>
      </c>
    </row>
    <row r="872" spans="12:12" x14ac:dyDescent="0.25">
      <c r="L872" s="164" t="str">
        <f>IFERROR(COUNTIF($C$18:C872,C872)&amp;CHOOSE(MIN(4,COUNTIF($C$18:C872,C872)),"st","nd","rd","th"),"")</f>
        <v/>
      </c>
    </row>
    <row r="873" spans="12:12" x14ac:dyDescent="0.25">
      <c r="L873" s="164" t="str">
        <f>IFERROR(COUNTIF($C$18:C873,C873)&amp;CHOOSE(MIN(4,COUNTIF($C$18:C873,C873)),"st","nd","rd","th"),"")</f>
        <v/>
      </c>
    </row>
    <row r="874" spans="12:12" x14ac:dyDescent="0.25">
      <c r="L874" s="164" t="str">
        <f>IFERROR(COUNTIF($C$18:C874,C874)&amp;CHOOSE(MIN(4,COUNTIF($C$18:C874,C874)),"st","nd","rd","th"),"")</f>
        <v/>
      </c>
    </row>
    <row r="875" spans="12:12" x14ac:dyDescent="0.25">
      <c r="L875" s="164" t="str">
        <f>IFERROR(COUNTIF($C$18:C875,C875)&amp;CHOOSE(MIN(4,COUNTIF($C$18:C875,C875)),"st","nd","rd","th"),"")</f>
        <v/>
      </c>
    </row>
    <row r="876" spans="12:12" x14ac:dyDescent="0.25">
      <c r="L876" s="164" t="str">
        <f>IFERROR(COUNTIF($C$18:C876,C876)&amp;CHOOSE(MIN(4,COUNTIF($C$18:C876,C876)),"st","nd","rd","th"),"")</f>
        <v/>
      </c>
    </row>
    <row r="877" spans="12:12" x14ac:dyDescent="0.25">
      <c r="L877" s="164" t="str">
        <f>IFERROR(COUNTIF($C$18:C877,C877)&amp;CHOOSE(MIN(4,COUNTIF($C$18:C877,C877)),"st","nd","rd","th"),"")</f>
        <v/>
      </c>
    </row>
    <row r="878" spans="12:12" x14ac:dyDescent="0.25">
      <c r="L878" s="164" t="str">
        <f>IFERROR(COUNTIF($C$18:C878,C878)&amp;CHOOSE(MIN(4,COUNTIF($C$18:C878,C878)),"st","nd","rd","th"),"")</f>
        <v/>
      </c>
    </row>
    <row r="879" spans="12:12" x14ac:dyDescent="0.25">
      <c r="L879" s="164" t="str">
        <f>IFERROR(COUNTIF($C$18:C879,C879)&amp;CHOOSE(MIN(4,COUNTIF($C$18:C879,C879)),"st","nd","rd","th"),"")</f>
        <v/>
      </c>
    </row>
    <row r="880" spans="12:12" x14ac:dyDescent="0.25">
      <c r="L880" s="164" t="str">
        <f>IFERROR(COUNTIF($C$18:C880,C880)&amp;CHOOSE(MIN(4,COUNTIF($C$18:C880,C880)),"st","nd","rd","th"),"")</f>
        <v/>
      </c>
    </row>
    <row r="881" spans="12:12" x14ac:dyDescent="0.25">
      <c r="L881" s="164" t="str">
        <f>IFERROR(COUNTIF($C$18:C881,C881)&amp;CHOOSE(MIN(4,COUNTIF($C$18:C881,C881)),"st","nd","rd","th"),"")</f>
        <v/>
      </c>
    </row>
    <row r="882" spans="12:12" x14ac:dyDescent="0.25">
      <c r="L882" s="164" t="str">
        <f>IFERROR(COUNTIF($C$18:C882,C882)&amp;CHOOSE(MIN(4,COUNTIF($C$18:C882,C882)),"st","nd","rd","th"),"")</f>
        <v/>
      </c>
    </row>
    <row r="883" spans="12:12" x14ac:dyDescent="0.25">
      <c r="L883" s="164" t="str">
        <f>IFERROR(COUNTIF($C$18:C883,C883)&amp;CHOOSE(MIN(4,COUNTIF($C$18:C883,C883)),"st","nd","rd","th"),"")</f>
        <v/>
      </c>
    </row>
    <row r="884" spans="12:12" x14ac:dyDescent="0.25">
      <c r="L884" s="164" t="str">
        <f>IFERROR(COUNTIF($C$18:C884,C884)&amp;CHOOSE(MIN(4,COUNTIF($C$18:C884,C884)),"st","nd","rd","th"),"")</f>
        <v/>
      </c>
    </row>
    <row r="885" spans="12:12" x14ac:dyDescent="0.25">
      <c r="L885" s="164" t="str">
        <f>IFERROR(COUNTIF($C$18:C885,C885)&amp;CHOOSE(MIN(4,COUNTIF($C$18:C885,C885)),"st","nd","rd","th"),"")</f>
        <v/>
      </c>
    </row>
    <row r="886" spans="12:12" x14ac:dyDescent="0.25">
      <c r="L886" s="164" t="str">
        <f>IFERROR(COUNTIF($C$18:C886,C886)&amp;CHOOSE(MIN(4,COUNTIF($C$18:C886,C886)),"st","nd","rd","th"),"")</f>
        <v/>
      </c>
    </row>
    <row r="887" spans="12:12" x14ac:dyDescent="0.25">
      <c r="L887" s="164" t="str">
        <f>IFERROR(COUNTIF($C$18:C887,C887)&amp;CHOOSE(MIN(4,COUNTIF($C$18:C887,C887)),"st","nd","rd","th"),"")</f>
        <v/>
      </c>
    </row>
    <row r="888" spans="12:12" x14ac:dyDescent="0.25">
      <c r="L888" s="164" t="str">
        <f>IFERROR(COUNTIF($C$18:C888,C888)&amp;CHOOSE(MIN(4,COUNTIF($C$18:C888,C888)),"st","nd","rd","th"),"")</f>
        <v/>
      </c>
    </row>
    <row r="889" spans="12:12" x14ac:dyDescent="0.25">
      <c r="L889" s="164" t="str">
        <f>IFERROR(COUNTIF($C$18:C889,C889)&amp;CHOOSE(MIN(4,COUNTIF($C$18:C889,C889)),"st","nd","rd","th"),"")</f>
        <v/>
      </c>
    </row>
    <row r="890" spans="12:12" x14ac:dyDescent="0.25">
      <c r="L890" s="164" t="str">
        <f>IFERROR(COUNTIF($C$18:C890,C890)&amp;CHOOSE(MIN(4,COUNTIF($C$18:C890,C890)),"st","nd","rd","th"),"")</f>
        <v/>
      </c>
    </row>
    <row r="891" spans="12:12" x14ac:dyDescent="0.25">
      <c r="L891" s="164" t="str">
        <f>IFERROR(COUNTIF($C$18:C891,C891)&amp;CHOOSE(MIN(4,COUNTIF($C$18:C891,C891)),"st","nd","rd","th"),"")</f>
        <v/>
      </c>
    </row>
    <row r="892" spans="12:12" x14ac:dyDescent="0.25">
      <c r="L892" s="164" t="str">
        <f>IFERROR(COUNTIF($C$18:C892,C892)&amp;CHOOSE(MIN(4,COUNTIF($C$18:C892,C892)),"st","nd","rd","th"),"")</f>
        <v/>
      </c>
    </row>
    <row r="893" spans="12:12" x14ac:dyDescent="0.25">
      <c r="L893" s="164" t="str">
        <f>IFERROR(COUNTIF($C$18:C893,C893)&amp;CHOOSE(MIN(4,COUNTIF($C$18:C893,C893)),"st","nd","rd","th"),"")</f>
        <v/>
      </c>
    </row>
    <row r="894" spans="12:12" x14ac:dyDescent="0.25">
      <c r="L894" s="164" t="str">
        <f>IFERROR(COUNTIF($C$18:C894,C894)&amp;CHOOSE(MIN(4,COUNTIF($C$18:C894,C894)),"st","nd","rd","th"),"")</f>
        <v/>
      </c>
    </row>
    <row r="895" spans="12:12" x14ac:dyDescent="0.25">
      <c r="L895" s="164" t="str">
        <f>IFERROR(COUNTIF($C$18:C895,C895)&amp;CHOOSE(MIN(4,COUNTIF($C$18:C895,C895)),"st","nd","rd","th"),"")</f>
        <v/>
      </c>
    </row>
    <row r="896" spans="12:12" x14ac:dyDescent="0.25">
      <c r="L896" s="164" t="str">
        <f>IFERROR(COUNTIF($C$18:C896,C896)&amp;CHOOSE(MIN(4,COUNTIF($C$18:C896,C896)),"st","nd","rd","th"),"")</f>
        <v/>
      </c>
    </row>
    <row r="897" spans="12:12" x14ac:dyDescent="0.25">
      <c r="L897" s="164" t="str">
        <f>IFERROR(COUNTIF($C$18:C897,C897)&amp;CHOOSE(MIN(4,COUNTIF($C$18:C897,C897)),"st","nd","rd","th"),"")</f>
        <v/>
      </c>
    </row>
    <row r="898" spans="12:12" x14ac:dyDescent="0.25">
      <c r="L898" s="164" t="str">
        <f>IFERROR(COUNTIF($C$18:C898,C898)&amp;CHOOSE(MIN(4,COUNTIF($C$18:C898,C898)),"st","nd","rd","th"),"")</f>
        <v/>
      </c>
    </row>
    <row r="899" spans="12:12" x14ac:dyDescent="0.25">
      <c r="L899" s="164" t="str">
        <f>IFERROR(COUNTIF($C$18:C899,C899)&amp;CHOOSE(MIN(4,COUNTIF($C$18:C899,C899)),"st","nd","rd","th"),"")</f>
        <v/>
      </c>
    </row>
    <row r="900" spans="12:12" x14ac:dyDescent="0.25">
      <c r="L900" s="164" t="str">
        <f>IFERROR(COUNTIF($C$18:C900,C900)&amp;CHOOSE(MIN(4,COUNTIF($C$18:C900,C900)),"st","nd","rd","th"),"")</f>
        <v/>
      </c>
    </row>
    <row r="901" spans="12:12" x14ac:dyDescent="0.25">
      <c r="L901" s="164" t="str">
        <f>IFERROR(COUNTIF($C$18:C901,C901)&amp;CHOOSE(MIN(4,COUNTIF($C$18:C901,C901)),"st","nd","rd","th"),"")</f>
        <v/>
      </c>
    </row>
    <row r="902" spans="12:12" x14ac:dyDescent="0.25">
      <c r="L902" s="164" t="str">
        <f>IFERROR(COUNTIF($C$18:C902,C902)&amp;CHOOSE(MIN(4,COUNTIF($C$18:C902,C902)),"st","nd","rd","th"),"")</f>
        <v/>
      </c>
    </row>
    <row r="903" spans="12:12" x14ac:dyDescent="0.25">
      <c r="L903" s="164" t="str">
        <f>IFERROR(COUNTIF($C$18:C903,C903)&amp;CHOOSE(MIN(4,COUNTIF($C$18:C903,C903)),"st","nd","rd","th"),"")</f>
        <v/>
      </c>
    </row>
    <row r="904" spans="12:12" x14ac:dyDescent="0.25">
      <c r="L904" s="164" t="str">
        <f>IFERROR(COUNTIF($C$18:C904,C904)&amp;CHOOSE(MIN(4,COUNTIF($C$18:C904,C904)),"st","nd","rd","th"),"")</f>
        <v/>
      </c>
    </row>
    <row r="905" spans="12:12" x14ac:dyDescent="0.25">
      <c r="L905" s="164" t="str">
        <f>IFERROR(COUNTIF($C$18:C905,C905)&amp;CHOOSE(MIN(4,COUNTIF($C$18:C905,C905)),"st","nd","rd","th"),"")</f>
        <v/>
      </c>
    </row>
    <row r="906" spans="12:12" x14ac:dyDescent="0.25">
      <c r="L906" s="164" t="str">
        <f>IFERROR(COUNTIF($C$18:C906,C906)&amp;CHOOSE(MIN(4,COUNTIF($C$18:C906,C906)),"st","nd","rd","th"),"")</f>
        <v/>
      </c>
    </row>
    <row r="907" spans="12:12" x14ac:dyDescent="0.25">
      <c r="L907" s="164" t="str">
        <f>IFERROR(COUNTIF($C$18:C907,C907)&amp;CHOOSE(MIN(4,COUNTIF($C$18:C907,C907)),"st","nd","rd","th"),"")</f>
        <v/>
      </c>
    </row>
    <row r="908" spans="12:12" x14ac:dyDescent="0.25">
      <c r="L908" s="164" t="str">
        <f>IFERROR(COUNTIF($C$18:C908,C908)&amp;CHOOSE(MIN(4,COUNTIF($C$18:C908,C908)),"st","nd","rd","th"),"")</f>
        <v/>
      </c>
    </row>
    <row r="909" spans="12:12" x14ac:dyDescent="0.25">
      <c r="L909" s="164" t="str">
        <f>IFERROR(COUNTIF($C$18:C909,C909)&amp;CHOOSE(MIN(4,COUNTIF($C$18:C909,C909)),"st","nd","rd","th"),"")</f>
        <v/>
      </c>
    </row>
    <row r="910" spans="12:12" x14ac:dyDescent="0.25">
      <c r="L910" s="164" t="str">
        <f>IFERROR(COUNTIF($C$18:C910,C910)&amp;CHOOSE(MIN(4,COUNTIF($C$18:C910,C910)),"st","nd","rd","th"),"")</f>
        <v/>
      </c>
    </row>
    <row r="911" spans="12:12" x14ac:dyDescent="0.25">
      <c r="L911" s="164" t="str">
        <f>IFERROR(COUNTIF($C$18:C911,C911)&amp;CHOOSE(MIN(4,COUNTIF($C$18:C911,C911)),"st","nd","rd","th"),"")</f>
        <v/>
      </c>
    </row>
    <row r="912" spans="12:12" x14ac:dyDescent="0.25">
      <c r="L912" s="164" t="str">
        <f>IFERROR(COUNTIF($C$18:C912,C912)&amp;CHOOSE(MIN(4,COUNTIF($C$18:C912,C912)),"st","nd","rd","th"),"")</f>
        <v/>
      </c>
    </row>
    <row r="913" spans="12:12" x14ac:dyDescent="0.25">
      <c r="L913" s="164" t="str">
        <f>IFERROR(COUNTIF($C$18:C913,C913)&amp;CHOOSE(MIN(4,COUNTIF($C$18:C913,C913)),"st","nd","rd","th"),"")</f>
        <v/>
      </c>
    </row>
    <row r="914" spans="12:12" x14ac:dyDescent="0.25">
      <c r="L914" s="164" t="str">
        <f>IFERROR(COUNTIF($C$18:C914,C914)&amp;CHOOSE(MIN(4,COUNTIF($C$18:C914,C914)),"st","nd","rd","th"),"")</f>
        <v/>
      </c>
    </row>
    <row r="915" spans="12:12" x14ac:dyDescent="0.25">
      <c r="L915" s="164" t="str">
        <f>IFERROR(COUNTIF($C$18:C915,C915)&amp;CHOOSE(MIN(4,COUNTIF($C$18:C915,C915)),"st","nd","rd","th"),"")</f>
        <v/>
      </c>
    </row>
    <row r="916" spans="12:12" x14ac:dyDescent="0.25">
      <c r="L916" s="164" t="str">
        <f>IFERROR(COUNTIF($C$18:C916,C916)&amp;CHOOSE(MIN(4,COUNTIF($C$18:C916,C916)),"st","nd","rd","th"),"")</f>
        <v/>
      </c>
    </row>
    <row r="917" spans="12:12" x14ac:dyDescent="0.25">
      <c r="L917" s="164" t="str">
        <f>IFERROR(COUNTIF($C$18:C917,C917)&amp;CHOOSE(MIN(4,COUNTIF($C$18:C917,C917)),"st","nd","rd","th"),"")</f>
        <v/>
      </c>
    </row>
    <row r="918" spans="12:12" x14ac:dyDescent="0.25">
      <c r="L918" s="164" t="str">
        <f>IFERROR(COUNTIF($C$18:C918,C918)&amp;CHOOSE(MIN(4,COUNTIF($C$18:C918,C918)),"st","nd","rd","th"),"")</f>
        <v/>
      </c>
    </row>
    <row r="919" spans="12:12" x14ac:dyDescent="0.25">
      <c r="L919" s="164" t="str">
        <f>IFERROR(COUNTIF($C$18:C919,C919)&amp;CHOOSE(MIN(4,COUNTIF($C$18:C919,C919)),"st","nd","rd","th"),"")</f>
        <v/>
      </c>
    </row>
    <row r="920" spans="12:12" x14ac:dyDescent="0.25">
      <c r="L920" s="164" t="str">
        <f>IFERROR(COUNTIF($C$18:C920,C920)&amp;CHOOSE(MIN(4,COUNTIF($C$18:C920,C920)),"st","nd","rd","th"),"")</f>
        <v/>
      </c>
    </row>
    <row r="921" spans="12:12" x14ac:dyDescent="0.25">
      <c r="L921" s="164" t="str">
        <f>IFERROR(COUNTIF($C$18:C921,C921)&amp;CHOOSE(MIN(4,COUNTIF($C$18:C921,C921)),"st","nd","rd","th"),"")</f>
        <v/>
      </c>
    </row>
    <row r="922" spans="12:12" x14ac:dyDescent="0.25">
      <c r="L922" s="164" t="str">
        <f>IFERROR(COUNTIF($C$18:C922,C922)&amp;CHOOSE(MIN(4,COUNTIF($C$18:C922,C922)),"st","nd","rd","th"),"")</f>
        <v/>
      </c>
    </row>
    <row r="923" spans="12:12" x14ac:dyDescent="0.25">
      <c r="L923" s="164" t="str">
        <f>IFERROR(COUNTIF($C$18:C923,C923)&amp;CHOOSE(MIN(4,COUNTIF($C$18:C923,C923)),"st","nd","rd","th"),"")</f>
        <v/>
      </c>
    </row>
    <row r="924" spans="12:12" x14ac:dyDescent="0.25">
      <c r="L924" s="164" t="str">
        <f>IFERROR(COUNTIF($C$18:C924,C924)&amp;CHOOSE(MIN(4,COUNTIF($C$18:C924,C924)),"st","nd","rd","th"),"")</f>
        <v/>
      </c>
    </row>
    <row r="925" spans="12:12" x14ac:dyDescent="0.25">
      <c r="L925" s="164" t="str">
        <f>IFERROR(COUNTIF($C$18:C925,C925)&amp;CHOOSE(MIN(4,COUNTIF($C$18:C925,C925)),"st","nd","rd","th"),"")</f>
        <v/>
      </c>
    </row>
    <row r="926" spans="12:12" x14ac:dyDescent="0.25">
      <c r="L926" s="164" t="str">
        <f>IFERROR(COUNTIF($C$18:C926,C926)&amp;CHOOSE(MIN(4,COUNTIF($C$18:C926,C926)),"st","nd","rd","th"),"")</f>
        <v/>
      </c>
    </row>
    <row r="927" spans="12:12" x14ac:dyDescent="0.25">
      <c r="L927" s="164" t="str">
        <f>IFERROR(COUNTIF($C$18:C927,C927)&amp;CHOOSE(MIN(4,COUNTIF($C$18:C927,C927)),"st","nd","rd","th"),"")</f>
        <v/>
      </c>
    </row>
    <row r="928" spans="12:12" x14ac:dyDescent="0.25">
      <c r="L928" s="164" t="str">
        <f>IFERROR(COUNTIF($C$18:C928,C928)&amp;CHOOSE(MIN(4,COUNTIF($C$18:C928,C928)),"st","nd","rd","th"),"")</f>
        <v/>
      </c>
    </row>
    <row r="929" spans="12:12" x14ac:dyDescent="0.25">
      <c r="L929" s="164" t="str">
        <f>IFERROR(COUNTIF($C$18:C929,C929)&amp;CHOOSE(MIN(4,COUNTIF($C$18:C929,C929)),"st","nd","rd","th"),"")</f>
        <v/>
      </c>
    </row>
    <row r="930" spans="12:12" x14ac:dyDescent="0.25">
      <c r="L930" s="164" t="str">
        <f>IFERROR(COUNTIF($C$18:C930,C930)&amp;CHOOSE(MIN(4,COUNTIF($C$18:C930,C930)),"st","nd","rd","th"),"")</f>
        <v/>
      </c>
    </row>
    <row r="931" spans="12:12" x14ac:dyDescent="0.25">
      <c r="L931" s="164" t="str">
        <f>IFERROR(COUNTIF($C$18:C931,C931)&amp;CHOOSE(MIN(4,COUNTIF($C$18:C931,C931)),"st","nd","rd","th"),"")</f>
        <v/>
      </c>
    </row>
    <row r="932" spans="12:12" x14ac:dyDescent="0.25">
      <c r="L932" s="164" t="str">
        <f>IFERROR(COUNTIF($C$18:C932,C932)&amp;CHOOSE(MIN(4,COUNTIF($C$18:C932,C932)),"st","nd","rd","th"),"")</f>
        <v/>
      </c>
    </row>
    <row r="933" spans="12:12" x14ac:dyDescent="0.25">
      <c r="L933" s="164" t="str">
        <f>IFERROR(COUNTIF($C$18:C933,C933)&amp;CHOOSE(MIN(4,COUNTIF($C$18:C933,C933)),"st","nd","rd","th"),"")</f>
        <v/>
      </c>
    </row>
    <row r="934" spans="12:12" x14ac:dyDescent="0.25">
      <c r="L934" s="164" t="str">
        <f>IFERROR(COUNTIF($C$18:C934,C934)&amp;CHOOSE(MIN(4,COUNTIF($C$18:C934,C934)),"st","nd","rd","th"),"")</f>
        <v/>
      </c>
    </row>
    <row r="935" spans="12:12" x14ac:dyDescent="0.25">
      <c r="L935" s="164" t="str">
        <f>IFERROR(COUNTIF($C$18:C935,C935)&amp;CHOOSE(MIN(4,COUNTIF($C$18:C935,C935)),"st","nd","rd","th"),"")</f>
        <v/>
      </c>
    </row>
    <row r="936" spans="12:12" x14ac:dyDescent="0.25">
      <c r="L936" s="164" t="str">
        <f>IFERROR(COUNTIF($C$18:C936,C936)&amp;CHOOSE(MIN(4,COUNTIF($C$18:C936,C936)),"st","nd","rd","th"),"")</f>
        <v/>
      </c>
    </row>
    <row r="937" spans="12:12" x14ac:dyDescent="0.25">
      <c r="L937" s="164" t="str">
        <f>IFERROR(COUNTIF($C$18:C937,C937)&amp;CHOOSE(MIN(4,COUNTIF($C$18:C937,C937)),"st","nd","rd","th"),"")</f>
        <v/>
      </c>
    </row>
    <row r="938" spans="12:12" x14ac:dyDescent="0.25">
      <c r="L938" s="164" t="str">
        <f>IFERROR(COUNTIF($C$18:C938,C938)&amp;CHOOSE(MIN(4,COUNTIF($C$18:C938,C938)),"st","nd","rd","th"),"")</f>
        <v/>
      </c>
    </row>
    <row r="939" spans="12:12" x14ac:dyDescent="0.25">
      <c r="L939" s="164" t="str">
        <f>IFERROR(COUNTIF($C$18:C939,C939)&amp;CHOOSE(MIN(4,COUNTIF($C$18:C939,C939)),"st","nd","rd","th"),"")</f>
        <v/>
      </c>
    </row>
    <row r="940" spans="12:12" x14ac:dyDescent="0.25">
      <c r="L940" s="164" t="str">
        <f>IFERROR(COUNTIF($C$18:C940,C940)&amp;CHOOSE(MIN(4,COUNTIF($C$18:C940,C940)),"st","nd","rd","th"),"")</f>
        <v/>
      </c>
    </row>
    <row r="941" spans="12:12" x14ac:dyDescent="0.25">
      <c r="L941" s="164" t="str">
        <f>IFERROR(COUNTIF($C$18:C941,C941)&amp;CHOOSE(MIN(4,COUNTIF($C$18:C941,C941)),"st","nd","rd","th"),"")</f>
        <v/>
      </c>
    </row>
    <row r="942" spans="12:12" x14ac:dyDescent="0.25">
      <c r="L942" s="164" t="str">
        <f>IFERROR(COUNTIF($C$18:C942,C942)&amp;CHOOSE(MIN(4,COUNTIF($C$18:C942,C942)),"st","nd","rd","th"),"")</f>
        <v/>
      </c>
    </row>
    <row r="943" spans="12:12" x14ac:dyDescent="0.25">
      <c r="L943" s="164" t="str">
        <f>IFERROR(COUNTIF($C$18:C943,C943)&amp;CHOOSE(MIN(4,COUNTIF($C$18:C943,C943)),"st","nd","rd","th"),"")</f>
        <v/>
      </c>
    </row>
    <row r="944" spans="12:12" x14ac:dyDescent="0.25">
      <c r="L944" s="164" t="str">
        <f>IFERROR(COUNTIF($C$18:C944,C944)&amp;CHOOSE(MIN(4,COUNTIF($C$18:C944,C944)),"st","nd","rd","th"),"")</f>
        <v/>
      </c>
    </row>
    <row r="945" spans="12:12" x14ac:dyDescent="0.25">
      <c r="L945" s="164" t="str">
        <f>IFERROR(COUNTIF($C$18:C945,C945)&amp;CHOOSE(MIN(4,COUNTIF($C$18:C945,C945)),"st","nd","rd","th"),"")</f>
        <v/>
      </c>
    </row>
    <row r="946" spans="12:12" x14ac:dyDescent="0.25">
      <c r="L946" s="164" t="str">
        <f>IFERROR(COUNTIF($C$18:C946,C946)&amp;CHOOSE(MIN(4,COUNTIF($C$18:C946,C946)),"st","nd","rd","th"),"")</f>
        <v/>
      </c>
    </row>
    <row r="947" spans="12:12" x14ac:dyDescent="0.25">
      <c r="L947" s="164" t="str">
        <f>IFERROR(COUNTIF($C$18:C947,C947)&amp;CHOOSE(MIN(4,COUNTIF($C$18:C947,C947)),"st","nd","rd","th"),"")</f>
        <v/>
      </c>
    </row>
    <row r="948" spans="12:12" x14ac:dyDescent="0.25">
      <c r="L948" s="164" t="str">
        <f>IFERROR(COUNTIF($C$18:C948,C948)&amp;CHOOSE(MIN(4,COUNTIF($C$18:C948,C948)),"st","nd","rd","th"),"")</f>
        <v/>
      </c>
    </row>
    <row r="949" spans="12:12" x14ac:dyDescent="0.25">
      <c r="L949" s="164" t="str">
        <f>IFERROR(COUNTIF($C$18:C949,C949)&amp;CHOOSE(MIN(4,COUNTIF($C$18:C949,C949)),"st","nd","rd","th"),"")</f>
        <v/>
      </c>
    </row>
    <row r="950" spans="12:12" x14ac:dyDescent="0.25">
      <c r="L950" s="164" t="str">
        <f>IFERROR(COUNTIF($C$18:C950,C950)&amp;CHOOSE(MIN(4,COUNTIF($C$18:C950,C950)),"st","nd","rd","th"),"")</f>
        <v/>
      </c>
    </row>
    <row r="951" spans="12:12" x14ac:dyDescent="0.25">
      <c r="L951" s="164" t="str">
        <f>IFERROR(COUNTIF($C$18:C951,C951)&amp;CHOOSE(MIN(4,COUNTIF($C$18:C951,C951)),"st","nd","rd","th"),"")</f>
        <v/>
      </c>
    </row>
    <row r="952" spans="12:12" x14ac:dyDescent="0.25">
      <c r="L952" s="164" t="str">
        <f>IFERROR(COUNTIF($C$18:C952,C952)&amp;CHOOSE(MIN(4,COUNTIF($C$18:C952,C952)),"st","nd","rd","th"),"")</f>
        <v/>
      </c>
    </row>
    <row r="953" spans="12:12" x14ac:dyDescent="0.25">
      <c r="L953" s="164" t="str">
        <f>IFERROR(COUNTIF($C$18:C953,C953)&amp;CHOOSE(MIN(4,COUNTIF($C$18:C953,C953)),"st","nd","rd","th"),"")</f>
        <v/>
      </c>
    </row>
    <row r="954" spans="12:12" x14ac:dyDescent="0.25">
      <c r="L954" s="164" t="str">
        <f>IFERROR(COUNTIF($C$18:C954,C954)&amp;CHOOSE(MIN(4,COUNTIF($C$18:C954,C954)),"st","nd","rd","th"),"")</f>
        <v/>
      </c>
    </row>
    <row r="955" spans="12:12" x14ac:dyDescent="0.25">
      <c r="L955" s="164" t="str">
        <f>IFERROR(COUNTIF($C$18:C955,C955)&amp;CHOOSE(MIN(4,COUNTIF($C$18:C955,C955)),"st","nd","rd","th"),"")</f>
        <v/>
      </c>
    </row>
    <row r="956" spans="12:12" x14ac:dyDescent="0.25">
      <c r="L956" s="164" t="str">
        <f>IFERROR(COUNTIF($C$18:C956,C956)&amp;CHOOSE(MIN(4,COUNTIF($C$18:C956,C956)),"st","nd","rd","th"),"")</f>
        <v/>
      </c>
    </row>
    <row r="957" spans="12:12" x14ac:dyDescent="0.25">
      <c r="L957" s="164" t="str">
        <f>IFERROR(COUNTIF($C$18:C957,C957)&amp;CHOOSE(MIN(4,COUNTIF($C$18:C957,C957)),"st","nd","rd","th"),"")</f>
        <v/>
      </c>
    </row>
    <row r="958" spans="12:12" x14ac:dyDescent="0.25">
      <c r="L958" s="164" t="str">
        <f>IFERROR(COUNTIF($C$18:C958,C958)&amp;CHOOSE(MIN(4,COUNTIF($C$18:C958,C958)),"st","nd","rd","th"),"")</f>
        <v/>
      </c>
    </row>
    <row r="959" spans="12:12" x14ac:dyDescent="0.25">
      <c r="L959" s="164" t="str">
        <f>IFERROR(COUNTIF($C$18:C959,C959)&amp;CHOOSE(MIN(4,COUNTIF($C$18:C959,C959)),"st","nd","rd","th"),"")</f>
        <v/>
      </c>
    </row>
    <row r="960" spans="12:12" x14ac:dyDescent="0.25">
      <c r="L960" s="164" t="str">
        <f>IFERROR(COUNTIF($C$18:C960,C960)&amp;CHOOSE(MIN(4,COUNTIF($C$18:C960,C960)),"st","nd","rd","th"),"")</f>
        <v/>
      </c>
    </row>
    <row r="961" spans="12:12" x14ac:dyDescent="0.25">
      <c r="L961" s="164" t="str">
        <f>IFERROR(COUNTIF($C$18:C961,C961)&amp;CHOOSE(MIN(4,COUNTIF($C$18:C961,C961)),"st","nd","rd","th"),"")</f>
        <v/>
      </c>
    </row>
    <row r="962" spans="12:12" x14ac:dyDescent="0.25">
      <c r="L962" s="164" t="str">
        <f>IFERROR(COUNTIF($C$18:C962,C962)&amp;CHOOSE(MIN(4,COUNTIF($C$18:C962,C962)),"st","nd","rd","th"),"")</f>
        <v/>
      </c>
    </row>
    <row r="963" spans="12:12" x14ac:dyDescent="0.25">
      <c r="L963" s="164" t="str">
        <f>IFERROR(COUNTIF($C$18:C963,C963)&amp;CHOOSE(MIN(4,COUNTIF($C$18:C963,C963)),"st","nd","rd","th"),"")</f>
        <v/>
      </c>
    </row>
    <row r="964" spans="12:12" x14ac:dyDescent="0.25">
      <c r="L964" s="164" t="str">
        <f>IFERROR(COUNTIF($C$18:C964,C964)&amp;CHOOSE(MIN(4,COUNTIF($C$18:C964,C964)),"st","nd","rd","th"),"")</f>
        <v/>
      </c>
    </row>
    <row r="965" spans="12:12" x14ac:dyDescent="0.25">
      <c r="L965" s="164" t="str">
        <f>IFERROR(COUNTIF($C$18:C965,C965)&amp;CHOOSE(MIN(4,COUNTIF($C$18:C965,C965)),"st","nd","rd","th"),"")</f>
        <v/>
      </c>
    </row>
    <row r="966" spans="12:12" x14ac:dyDescent="0.25">
      <c r="L966" s="164" t="str">
        <f>IFERROR(COUNTIF($C$18:C966,C966)&amp;CHOOSE(MIN(4,COUNTIF($C$18:C966,C966)),"st","nd","rd","th"),"")</f>
        <v/>
      </c>
    </row>
    <row r="967" spans="12:12" x14ac:dyDescent="0.25">
      <c r="L967" s="164" t="str">
        <f>IFERROR(COUNTIF($C$18:C967,C967)&amp;CHOOSE(MIN(4,COUNTIF($C$18:C967,C967)),"st","nd","rd","th"),"")</f>
        <v/>
      </c>
    </row>
    <row r="968" spans="12:12" x14ac:dyDescent="0.25">
      <c r="L968" s="164" t="str">
        <f>IFERROR(COUNTIF($C$18:C968,C968)&amp;CHOOSE(MIN(4,COUNTIF($C$18:C968,C968)),"st","nd","rd","th"),"")</f>
        <v/>
      </c>
    </row>
    <row r="969" spans="12:12" x14ac:dyDescent="0.25">
      <c r="L969" s="164" t="str">
        <f>IFERROR(COUNTIF($C$18:C969,C969)&amp;CHOOSE(MIN(4,COUNTIF($C$18:C969,C969)),"st","nd","rd","th"),"")</f>
        <v/>
      </c>
    </row>
    <row r="970" spans="12:12" x14ac:dyDescent="0.25">
      <c r="L970" s="164" t="str">
        <f>IFERROR(COUNTIF($C$18:C970,C970)&amp;CHOOSE(MIN(4,COUNTIF($C$18:C970,C970)),"st","nd","rd","th"),"")</f>
        <v/>
      </c>
    </row>
    <row r="971" spans="12:12" x14ac:dyDescent="0.25">
      <c r="L971" s="164" t="str">
        <f>IFERROR(COUNTIF($C$18:C971,C971)&amp;CHOOSE(MIN(4,COUNTIF($C$18:C971,C971)),"st","nd","rd","th"),"")</f>
        <v/>
      </c>
    </row>
    <row r="972" spans="12:12" x14ac:dyDescent="0.25">
      <c r="L972" s="164" t="str">
        <f>IFERROR(COUNTIF($C$18:C972,C972)&amp;CHOOSE(MIN(4,COUNTIF($C$18:C972,C972)),"st","nd","rd","th"),"")</f>
        <v/>
      </c>
    </row>
    <row r="973" spans="12:12" x14ac:dyDescent="0.25">
      <c r="L973" s="164" t="str">
        <f>IFERROR(COUNTIF($C$18:C973,C973)&amp;CHOOSE(MIN(4,COUNTIF($C$18:C973,C973)),"st","nd","rd","th"),"")</f>
        <v/>
      </c>
    </row>
    <row r="974" spans="12:12" x14ac:dyDescent="0.25">
      <c r="L974" s="164" t="str">
        <f>IFERROR(COUNTIF($C$18:C974,C974)&amp;CHOOSE(MIN(4,COUNTIF($C$18:C974,C974)),"st","nd","rd","th"),"")</f>
        <v/>
      </c>
    </row>
    <row r="975" spans="12:12" x14ac:dyDescent="0.25">
      <c r="L975" s="164" t="str">
        <f>IFERROR(COUNTIF($C$18:C975,C975)&amp;CHOOSE(MIN(4,COUNTIF($C$18:C975,C975)),"st","nd","rd","th"),"")</f>
        <v/>
      </c>
    </row>
    <row r="976" spans="12:12" x14ac:dyDescent="0.25">
      <c r="L976" s="164" t="str">
        <f>IFERROR(COUNTIF($C$18:C976,C976)&amp;CHOOSE(MIN(4,COUNTIF($C$18:C976,C976)),"st","nd","rd","th"),"")</f>
        <v/>
      </c>
    </row>
    <row r="977" spans="12:12" x14ac:dyDescent="0.25">
      <c r="L977" s="164" t="str">
        <f>IFERROR(COUNTIF($C$18:C977,C977)&amp;CHOOSE(MIN(4,COUNTIF($C$18:C977,C977)),"st","nd","rd","th"),"")</f>
        <v/>
      </c>
    </row>
    <row r="978" spans="12:12" x14ac:dyDescent="0.25">
      <c r="L978" s="164" t="str">
        <f>IFERROR(COUNTIF($C$18:C978,C978)&amp;CHOOSE(MIN(4,COUNTIF($C$18:C978,C978)),"st","nd","rd","th"),"")</f>
        <v/>
      </c>
    </row>
    <row r="979" spans="12:12" x14ac:dyDescent="0.25">
      <c r="L979" s="164" t="str">
        <f>IFERROR(COUNTIF($C$18:C979,C979)&amp;CHOOSE(MIN(4,COUNTIF($C$18:C979,C979)),"st","nd","rd","th"),"")</f>
        <v/>
      </c>
    </row>
    <row r="980" spans="12:12" x14ac:dyDescent="0.25">
      <c r="L980" s="164" t="str">
        <f>IFERROR(COUNTIF($C$18:C980,C980)&amp;CHOOSE(MIN(4,COUNTIF($C$18:C980,C980)),"st","nd","rd","th"),"")</f>
        <v/>
      </c>
    </row>
    <row r="981" spans="12:12" x14ac:dyDescent="0.25">
      <c r="L981" s="164" t="str">
        <f>IFERROR(COUNTIF($C$18:C981,C981)&amp;CHOOSE(MIN(4,COUNTIF($C$18:C981,C981)),"st","nd","rd","th"),"")</f>
        <v/>
      </c>
    </row>
    <row r="982" spans="12:12" x14ac:dyDescent="0.25">
      <c r="L982" s="164" t="str">
        <f>IFERROR(COUNTIF($C$18:C982,C982)&amp;CHOOSE(MIN(4,COUNTIF($C$18:C982,C982)),"st","nd","rd","th"),"")</f>
        <v/>
      </c>
    </row>
    <row r="983" spans="12:12" x14ac:dyDescent="0.25">
      <c r="L983" s="164" t="str">
        <f>IFERROR(COUNTIF($C$18:C983,C983)&amp;CHOOSE(MIN(4,COUNTIF($C$18:C983,C983)),"st","nd","rd","th"),"")</f>
        <v/>
      </c>
    </row>
    <row r="984" spans="12:12" x14ac:dyDescent="0.25">
      <c r="L984" s="164" t="str">
        <f>IFERROR(COUNTIF($C$18:C984,C984)&amp;CHOOSE(MIN(4,COUNTIF($C$18:C984,C984)),"st","nd","rd","th"),"")</f>
        <v/>
      </c>
    </row>
    <row r="985" spans="12:12" x14ac:dyDescent="0.25">
      <c r="L985" s="164" t="str">
        <f>IFERROR(COUNTIF($C$18:C985,C985)&amp;CHOOSE(MIN(4,COUNTIF($C$18:C985,C985)),"st","nd","rd","th"),"")</f>
        <v/>
      </c>
    </row>
    <row r="986" spans="12:12" x14ac:dyDescent="0.25">
      <c r="L986" s="164" t="str">
        <f>IFERROR(COUNTIF($C$18:C986,C986)&amp;CHOOSE(MIN(4,COUNTIF($C$18:C986,C986)),"st","nd","rd","th"),"")</f>
        <v/>
      </c>
    </row>
    <row r="987" spans="12:12" x14ac:dyDescent="0.25">
      <c r="L987" s="164" t="str">
        <f>IFERROR(COUNTIF($C$18:C987,C987)&amp;CHOOSE(MIN(4,COUNTIF($C$18:C987,C987)),"st","nd","rd","th"),"")</f>
        <v/>
      </c>
    </row>
    <row r="988" spans="12:12" x14ac:dyDescent="0.25">
      <c r="L988" s="164" t="str">
        <f>IFERROR(COUNTIF($C$18:C988,C988)&amp;CHOOSE(MIN(4,COUNTIF($C$18:C988,C988)),"st","nd","rd","th"),"")</f>
        <v/>
      </c>
    </row>
    <row r="989" spans="12:12" x14ac:dyDescent="0.25">
      <c r="L989" s="164" t="str">
        <f>IFERROR(COUNTIF($C$18:C989,C989)&amp;CHOOSE(MIN(4,COUNTIF($C$18:C989,C989)),"st","nd","rd","th"),"")</f>
        <v/>
      </c>
    </row>
    <row r="990" spans="12:12" x14ac:dyDescent="0.25">
      <c r="L990" s="164" t="str">
        <f>IFERROR(COUNTIF($C$18:C990,C990)&amp;CHOOSE(MIN(4,COUNTIF($C$18:C990,C990)),"st","nd","rd","th"),"")</f>
        <v/>
      </c>
    </row>
    <row r="991" spans="12:12" x14ac:dyDescent="0.25">
      <c r="L991" s="164" t="str">
        <f>IFERROR(COUNTIF($C$18:C991,C991)&amp;CHOOSE(MIN(4,COUNTIF($C$18:C991,C991)),"st","nd","rd","th"),"")</f>
        <v/>
      </c>
    </row>
    <row r="992" spans="12:12" x14ac:dyDescent="0.25">
      <c r="L992" s="164" t="str">
        <f>IFERROR(COUNTIF($C$18:C992,C992)&amp;CHOOSE(MIN(4,COUNTIF($C$18:C992,C992)),"st","nd","rd","th"),"")</f>
        <v/>
      </c>
    </row>
    <row r="993" spans="12:12" x14ac:dyDescent="0.25">
      <c r="L993" s="164" t="str">
        <f>IFERROR(COUNTIF($C$18:C993,C993)&amp;CHOOSE(MIN(4,COUNTIF($C$18:C993,C993)),"st","nd","rd","th"),"")</f>
        <v/>
      </c>
    </row>
    <row r="994" spans="12:12" x14ac:dyDescent="0.25">
      <c r="L994" s="164" t="str">
        <f>IFERROR(COUNTIF($C$18:C994,C994)&amp;CHOOSE(MIN(4,COUNTIF($C$18:C994,C994)),"st","nd","rd","th"),"")</f>
        <v/>
      </c>
    </row>
    <row r="995" spans="12:12" x14ac:dyDescent="0.25">
      <c r="L995" s="164" t="str">
        <f>IFERROR(COUNTIF($C$18:C995,C995)&amp;CHOOSE(MIN(4,COUNTIF($C$18:C995,C995)),"st","nd","rd","th"),"")</f>
        <v/>
      </c>
    </row>
    <row r="996" spans="12:12" x14ac:dyDescent="0.25">
      <c r="L996" s="164" t="str">
        <f>IFERROR(COUNTIF($C$18:C996,C996)&amp;CHOOSE(MIN(4,COUNTIF($C$18:C996,C996)),"st","nd","rd","th"),"")</f>
        <v/>
      </c>
    </row>
    <row r="997" spans="12:12" x14ac:dyDescent="0.25">
      <c r="L997" s="164" t="str">
        <f>IFERROR(COUNTIF($C$18:C997,C997)&amp;CHOOSE(MIN(4,COUNTIF($C$18:C997,C997)),"st","nd","rd","th"),"")</f>
        <v/>
      </c>
    </row>
    <row r="998" spans="12:12" x14ac:dyDescent="0.25">
      <c r="L998" s="164" t="str">
        <f>IFERROR(COUNTIF($C$18:C998,C998)&amp;CHOOSE(MIN(4,COUNTIF($C$18:C998,C998)),"st","nd","rd","th"),"")</f>
        <v/>
      </c>
    </row>
    <row r="999" spans="12:12" x14ac:dyDescent="0.25">
      <c r="L999" s="164" t="str">
        <f>IFERROR(COUNTIF($C$18:C999,C999)&amp;CHOOSE(MIN(4,COUNTIF($C$18:C999,C999)),"st","nd","rd","th"),"")</f>
        <v/>
      </c>
    </row>
    <row r="1000" spans="12:12" x14ac:dyDescent="0.25">
      <c r="L1000" s="164" t="str">
        <f>IFERROR(COUNTIF($C$18:C1000,C1000)&amp;CHOOSE(MIN(4,COUNTIF($C$18:C1000,C1000)),"st","nd","rd","th"),"")</f>
        <v/>
      </c>
    </row>
  </sheetData>
  <mergeCells count="3">
    <mergeCell ref="B5:T5"/>
    <mergeCell ref="B6:T6"/>
    <mergeCell ref="B7:T7"/>
  </mergeCells>
  <dataValidations count="1">
    <dataValidation type="list" allowBlank="1" showInputMessage="1" showErrorMessage="1" sqref="B18:C19 B23:C1048576" xr:uid="{4622162E-D503-4766-94D0-D524BF3A1A71}">
      <formula1>INDIRECT(A18)</formula1>
    </dataValidation>
  </dataValidations>
  <hyperlinks>
    <hyperlink ref="C1" location="'Accomplishment 2025'!A1" display="Back to Summary of Accomplishments 2025" xr:uid="{B8EED849-1F74-4ED0-8317-7FDEDD3EF68E}"/>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A5A2154C-C19F-4C81-9433-60496F2DDD4F}">
          <x14:formula1>
            <xm:f>Picklists!$A$26:$A$27</xm:f>
          </x14:formula1>
          <xm:sqref>H23:H1048576</xm:sqref>
        </x14:dataValidation>
        <x14:dataValidation type="list" allowBlank="1" showInputMessage="1" showErrorMessage="1" xr:uid="{25E9C7A2-FB3A-4AD2-9EBC-4CD981FF7204}">
          <x14:formula1>
            <xm:f>Picklists!$A$17:$A$23</xm:f>
          </x14:formula1>
          <xm:sqref>F23:F1048576</xm:sqref>
        </x14:dataValidation>
        <x14:dataValidation type="list" allowBlank="1" showInputMessage="1" showErrorMessage="1" xr:uid="{B8579CA7-405F-44D4-B1BE-7298D1D7E7A0}">
          <x14:formula1>
            <xm:f>Picklists!$A$3:$A$14</xm:f>
          </x14:formula1>
          <xm:sqref>J23:J1048576</xm:sqref>
        </x14:dataValidation>
        <x14:dataValidation type="list" allowBlank="1" showInputMessage="1" showErrorMessage="1" xr:uid="{0B542515-1550-45ED-B105-63741D01B460}">
          <x14:formula1>
            <xm:f>LGU_Masterlist!$C$2:$T$2</xm:f>
          </x14:formula1>
          <xm:sqref>A18:A19 A23:A1048576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7CED-1444-49A2-AAD4-533C83058C1E}">
  <sheetPr codeName="Sheet17">
    <tabColor theme="9" tint="0.39997558519241921"/>
  </sheetPr>
  <dimension ref="A1:T1000"/>
  <sheetViews>
    <sheetView zoomScale="60" zoomScaleNormal="60" workbookViewId="0">
      <selection activeCell="C23" sqref="C23"/>
    </sheetView>
  </sheetViews>
  <sheetFormatPr defaultColWidth="8.88671875" defaultRowHeight="13.8" x14ac:dyDescent="0.25"/>
  <cols>
    <col min="1" max="1" width="12.88671875" style="164" customWidth="1"/>
    <col min="2" max="2" width="34.33203125" style="164" customWidth="1"/>
    <col min="3" max="3" width="52.88671875" style="164" bestFit="1" customWidth="1"/>
    <col min="4" max="5" width="17.33203125" style="164" customWidth="1"/>
    <col min="6" max="6" width="33" style="190" customWidth="1"/>
    <col min="7" max="7" width="27.44140625" style="190" customWidth="1"/>
    <col min="8" max="8" width="24.109375" style="171" customWidth="1"/>
    <col min="9" max="9" width="23.109375" style="172" customWidth="1"/>
    <col min="10" max="10" width="20.88671875" style="164" customWidth="1"/>
    <col min="11" max="11" width="8.88671875" style="164" customWidth="1"/>
    <col min="12" max="12" width="17.33203125" style="164" customWidth="1"/>
    <col min="13" max="13" width="8.88671875" style="164" customWidth="1"/>
    <col min="14" max="16384" width="8.88671875" style="164"/>
  </cols>
  <sheetData>
    <row r="1" spans="1:20" s="32" customFormat="1" ht="14.4" x14ac:dyDescent="0.3">
      <c r="A1" s="173" t="s">
        <v>5090</v>
      </c>
      <c r="C1" s="174" t="s">
        <v>1673</v>
      </c>
      <c r="F1" s="191"/>
      <c r="G1" s="191"/>
      <c r="H1" s="185"/>
    </row>
    <row r="2" spans="1:20" s="32" customFormat="1" x14ac:dyDescent="0.25">
      <c r="A2" s="176"/>
      <c r="B2" s="35"/>
      <c r="C2" s="35"/>
      <c r="D2" s="35"/>
      <c r="E2" s="35"/>
      <c r="F2" s="192"/>
      <c r="G2" s="192"/>
    </row>
    <row r="3" spans="1:20" s="32" customFormat="1" x14ac:dyDescent="0.25">
      <c r="A3" s="363">
        <v>5</v>
      </c>
      <c r="B3" s="364" t="s">
        <v>5149</v>
      </c>
      <c r="C3" s="364"/>
      <c r="D3" s="364"/>
      <c r="E3" s="364"/>
      <c r="F3" s="370"/>
      <c r="G3" s="370"/>
    </row>
    <row r="4" spans="1:20" s="32" customFormat="1" x14ac:dyDescent="0.25">
      <c r="A4" s="178"/>
      <c r="B4" s="206" t="s">
        <v>5150</v>
      </c>
      <c r="C4" s="206"/>
      <c r="D4" s="206"/>
      <c r="E4" s="206"/>
      <c r="F4" s="371"/>
      <c r="G4" s="371"/>
    </row>
    <row r="5" spans="1:20" s="32" customFormat="1" ht="60" customHeight="1" x14ac:dyDescent="0.25">
      <c r="A5" s="178"/>
      <c r="B5" s="599" t="s">
        <v>5151</v>
      </c>
      <c r="C5" s="599"/>
      <c r="D5" s="599"/>
      <c r="E5" s="599"/>
      <c r="F5" s="599"/>
      <c r="G5" s="599"/>
      <c r="H5" s="599"/>
      <c r="I5" s="599"/>
      <c r="J5" s="599"/>
      <c r="K5" s="599"/>
      <c r="L5" s="599"/>
      <c r="M5" s="599"/>
      <c r="N5" s="599"/>
      <c r="O5" s="599"/>
      <c r="P5" s="599"/>
      <c r="Q5" s="599"/>
      <c r="R5" s="599"/>
      <c r="S5" s="599"/>
      <c r="T5" s="599"/>
    </row>
    <row r="6" spans="1:20" s="32" customFormat="1" ht="45.6" customHeight="1" x14ac:dyDescent="0.25">
      <c r="A6" s="178"/>
      <c r="B6" s="601" t="s">
        <v>5152</v>
      </c>
      <c r="C6" s="601"/>
      <c r="D6" s="601"/>
      <c r="E6" s="601"/>
      <c r="F6" s="601"/>
      <c r="G6" s="601"/>
      <c r="H6" s="601"/>
      <c r="I6" s="601"/>
      <c r="J6" s="601"/>
      <c r="K6" s="601"/>
      <c r="L6" s="601"/>
      <c r="M6" s="601"/>
      <c r="N6" s="601"/>
      <c r="O6" s="601"/>
      <c r="P6" s="601"/>
      <c r="Q6" s="601"/>
      <c r="R6" s="601"/>
      <c r="S6" s="601"/>
      <c r="T6" s="601"/>
    </row>
    <row r="7" spans="1:20" s="32" customFormat="1" x14ac:dyDescent="0.25">
      <c r="B7" s="613" t="s">
        <v>5153</v>
      </c>
      <c r="C7" s="602"/>
      <c r="D7" s="602"/>
      <c r="E7" s="602"/>
      <c r="F7" s="602"/>
      <c r="G7" s="602"/>
      <c r="H7" s="602"/>
      <c r="I7" s="602"/>
      <c r="J7" s="602"/>
      <c r="K7" s="602"/>
      <c r="L7" s="602"/>
      <c r="M7" s="602"/>
      <c r="N7" s="602"/>
      <c r="O7" s="602"/>
      <c r="P7" s="602"/>
      <c r="Q7" s="602"/>
      <c r="R7" s="602"/>
      <c r="S7" s="602"/>
      <c r="T7" s="602"/>
    </row>
    <row r="8" spans="1:20" s="32" customFormat="1" x14ac:dyDescent="0.25">
      <c r="B8" s="186" t="s">
        <v>5154</v>
      </c>
      <c r="C8" s="186"/>
      <c r="D8" s="186"/>
      <c r="E8" s="186"/>
      <c r="F8" s="186"/>
      <c r="G8" s="423"/>
      <c r="H8" s="186"/>
      <c r="I8" s="186"/>
      <c r="J8" s="186"/>
      <c r="K8" s="186"/>
      <c r="L8" s="186"/>
      <c r="M8" s="186"/>
      <c r="N8" s="186"/>
      <c r="O8" s="186"/>
      <c r="P8" s="186"/>
      <c r="Q8" s="173"/>
      <c r="R8" s="173"/>
      <c r="S8" s="173"/>
      <c r="T8" s="173"/>
    </row>
    <row r="9" spans="1:20" s="32" customFormat="1" x14ac:dyDescent="0.25">
      <c r="B9" s="173"/>
      <c r="C9" s="173"/>
      <c r="D9" s="173"/>
      <c r="E9" s="173"/>
      <c r="F9" s="193"/>
      <c r="G9" s="193"/>
      <c r="H9" s="173"/>
      <c r="I9" s="173"/>
      <c r="J9" s="173"/>
      <c r="K9" s="173"/>
      <c r="L9" s="173"/>
      <c r="M9" s="173"/>
      <c r="N9" s="173"/>
      <c r="O9" s="173"/>
      <c r="P9" s="173"/>
      <c r="Q9" s="173"/>
      <c r="R9" s="173"/>
      <c r="S9" s="173"/>
      <c r="T9" s="173"/>
    </row>
    <row r="10" spans="1:20" s="32" customFormat="1" x14ac:dyDescent="0.25">
      <c r="B10" s="179" t="s">
        <v>5155</v>
      </c>
      <c r="C10" s="179"/>
      <c r="D10" s="179"/>
      <c r="E10" s="179"/>
      <c r="F10" s="194"/>
      <c r="G10" s="194"/>
      <c r="H10" s="181">
        <f>COUNTIF(L18:L1000,"1st")</f>
        <v>5</v>
      </c>
      <c r="I10" s="195"/>
      <c r="J10" s="173"/>
      <c r="K10" s="173"/>
      <c r="L10" s="173"/>
      <c r="M10" s="173"/>
      <c r="N10" s="173"/>
      <c r="O10" s="173"/>
      <c r="P10" s="173"/>
      <c r="Q10" s="173"/>
      <c r="R10" s="173"/>
      <c r="S10" s="173"/>
      <c r="T10" s="173"/>
    </row>
    <row r="11" spans="1:20" s="32" customFormat="1" x14ac:dyDescent="0.25">
      <c r="B11" s="179" t="s">
        <v>5127</v>
      </c>
      <c r="C11" s="179"/>
      <c r="D11" s="179"/>
      <c r="E11" s="179"/>
      <c r="F11" s="194"/>
      <c r="G11" s="194"/>
      <c r="H11" s="181">
        <f>COUNTA(F18:F1000)</f>
        <v>6</v>
      </c>
      <c r="I11" s="173"/>
      <c r="J11" s="173"/>
      <c r="K11" s="173"/>
      <c r="L11" s="173"/>
      <c r="M11" s="173"/>
      <c r="N11" s="173"/>
      <c r="O11" s="173"/>
      <c r="P11" s="173"/>
      <c r="Q11" s="173"/>
      <c r="R11" s="173"/>
      <c r="S11" s="173"/>
      <c r="T11" s="173"/>
    </row>
    <row r="12" spans="1:20" s="32" customFormat="1" x14ac:dyDescent="0.25">
      <c r="B12" s="196" t="s">
        <v>5098</v>
      </c>
      <c r="C12" s="196"/>
      <c r="D12" s="196"/>
      <c r="E12" s="196"/>
      <c r="F12" s="197"/>
      <c r="G12" s="197"/>
      <c r="H12" s="198">
        <f>COUNTIF(H18:H1000,"Planned")</f>
        <v>0</v>
      </c>
      <c r="I12" s="173"/>
      <c r="J12" s="173"/>
      <c r="K12" s="173"/>
      <c r="L12" s="173"/>
      <c r="M12" s="173"/>
      <c r="N12" s="173"/>
      <c r="O12" s="173"/>
      <c r="P12" s="173"/>
      <c r="Q12" s="173"/>
      <c r="R12" s="173"/>
      <c r="S12" s="173"/>
      <c r="T12" s="173"/>
    </row>
    <row r="13" spans="1:20" s="32" customFormat="1" x14ac:dyDescent="0.25">
      <c r="B13" s="196" t="s">
        <v>5099</v>
      </c>
      <c r="C13" s="196"/>
      <c r="D13" s="196"/>
      <c r="E13" s="196"/>
      <c r="F13" s="197"/>
      <c r="G13" s="197"/>
      <c r="H13" s="198">
        <f>COUNTIF(H18:H1000,"Requested")</f>
        <v>6</v>
      </c>
      <c r="I13" s="173"/>
      <c r="J13" s="173"/>
      <c r="K13" s="173"/>
      <c r="L13" s="173"/>
      <c r="M13" s="173"/>
      <c r="N13" s="173"/>
      <c r="O13" s="173"/>
      <c r="P13" s="173"/>
      <c r="Q13" s="173"/>
      <c r="R13" s="173"/>
      <c r="S13" s="173"/>
      <c r="T13" s="173"/>
    </row>
    <row r="14" spans="1:20" s="32" customFormat="1" x14ac:dyDescent="0.25">
      <c r="B14" s="173"/>
      <c r="C14" s="173"/>
      <c r="D14" s="173"/>
      <c r="E14" s="173"/>
      <c r="F14" s="193"/>
      <c r="G14" s="193"/>
      <c r="H14" s="173"/>
      <c r="I14" s="173"/>
      <c r="J14" s="173"/>
      <c r="K14" s="173"/>
      <c r="L14" s="173"/>
      <c r="M14" s="173"/>
      <c r="N14" s="173"/>
      <c r="O14" s="173"/>
      <c r="P14" s="173"/>
      <c r="Q14" s="173"/>
      <c r="R14" s="173"/>
      <c r="S14" s="173"/>
      <c r="T14" s="173"/>
    </row>
    <row r="15" spans="1:20" s="32" customFormat="1" x14ac:dyDescent="0.25">
      <c r="B15" s="173"/>
      <c r="C15" s="173"/>
      <c r="D15" s="173"/>
      <c r="E15" s="173"/>
      <c r="F15" s="193"/>
      <c r="G15" s="193"/>
      <c r="H15" s="173"/>
      <c r="I15" s="173"/>
      <c r="J15" s="173"/>
      <c r="K15" s="173"/>
      <c r="L15" s="173"/>
      <c r="M15" s="173"/>
      <c r="N15" s="173"/>
      <c r="O15" s="173"/>
      <c r="P15" s="173"/>
      <c r="Q15" s="173"/>
      <c r="R15" s="173"/>
      <c r="S15" s="173"/>
      <c r="T15" s="173"/>
    </row>
    <row r="16" spans="1:20" s="32" customFormat="1" x14ac:dyDescent="0.25">
      <c r="F16" s="191"/>
      <c r="G16" s="191"/>
      <c r="H16" s="199"/>
    </row>
    <row r="17" spans="1:20" s="182" customFormat="1" ht="47.4" customHeight="1" x14ac:dyDescent="0.25">
      <c r="A17" s="184" t="s">
        <v>5141</v>
      </c>
      <c r="B17" s="184" t="s">
        <v>5129</v>
      </c>
      <c r="C17" s="183" t="s">
        <v>5130</v>
      </c>
      <c r="D17" s="184" t="s">
        <v>5142</v>
      </c>
      <c r="E17" s="184" t="s">
        <v>5143</v>
      </c>
      <c r="F17" s="184" t="s">
        <v>5101</v>
      </c>
      <c r="G17" s="184" t="s">
        <v>5102</v>
      </c>
      <c r="H17" s="184" t="s">
        <v>5103</v>
      </c>
      <c r="I17" s="184" t="s">
        <v>5104</v>
      </c>
      <c r="J17" s="184" t="s">
        <v>1685</v>
      </c>
      <c r="K17" s="183" t="s">
        <v>1686</v>
      </c>
      <c r="L17" s="187" t="s">
        <v>1714</v>
      </c>
    </row>
    <row r="18" spans="1:20" s="561" customFormat="1" ht="55.2" x14ac:dyDescent="0.25">
      <c r="A18" s="561" t="s">
        <v>67</v>
      </c>
      <c r="B18" s="561" t="s">
        <v>86</v>
      </c>
      <c r="C18" s="561" t="s">
        <v>631</v>
      </c>
      <c r="D18" s="561">
        <v>2013</v>
      </c>
      <c r="E18" s="561">
        <v>2023</v>
      </c>
      <c r="F18" s="564" t="s">
        <v>5105</v>
      </c>
      <c r="G18" s="564" t="s">
        <v>5156</v>
      </c>
      <c r="H18" s="566" t="s">
        <v>5107</v>
      </c>
      <c r="I18" s="563">
        <v>45677</v>
      </c>
      <c r="J18" s="561" t="s">
        <v>1498</v>
      </c>
      <c r="L18" s="561" t="str">
        <f>IFERROR(COUNTIF($C$18:C18,C18)&amp;CHOOSE(MIN(4,COUNTIF($C$18:C18,C18)),"st","nd","rd","th"),"")</f>
        <v>1st</v>
      </c>
    </row>
    <row r="19" spans="1:20" s="561" customFormat="1" ht="41.4" x14ac:dyDescent="0.25">
      <c r="A19" s="561" t="s">
        <v>67</v>
      </c>
      <c r="B19" s="561" t="s">
        <v>86</v>
      </c>
      <c r="C19" s="561" t="s">
        <v>565</v>
      </c>
      <c r="D19" s="561">
        <v>2017</v>
      </c>
      <c r="E19" s="561">
        <v>2026</v>
      </c>
      <c r="F19" s="564" t="s">
        <v>5105</v>
      </c>
      <c r="G19" s="564" t="s">
        <v>5157</v>
      </c>
      <c r="H19" s="566" t="s">
        <v>5107</v>
      </c>
      <c r="I19" s="563">
        <v>45678</v>
      </c>
      <c r="J19" s="561" t="s">
        <v>1498</v>
      </c>
      <c r="L19" s="561" t="str">
        <f>IFERROR(COUNTIF($C$18:C19,C19)&amp;CHOOSE(MIN(4,COUNTIF($C$18:C19,C19)),"st","nd","rd","th"),"")</f>
        <v>1st</v>
      </c>
    </row>
    <row r="20" spans="1:20" s="561" customFormat="1" ht="55.2" x14ac:dyDescent="0.25">
      <c r="A20" s="561" t="s">
        <v>67</v>
      </c>
      <c r="B20" s="561" t="s">
        <v>86</v>
      </c>
      <c r="C20" s="561" t="s">
        <v>1030</v>
      </c>
      <c r="D20" s="561">
        <v>2008</v>
      </c>
      <c r="E20" s="561">
        <v>2017</v>
      </c>
      <c r="F20" s="564" t="s">
        <v>5105</v>
      </c>
      <c r="G20" s="564" t="s">
        <v>5158</v>
      </c>
      <c r="H20" s="566" t="s">
        <v>5107</v>
      </c>
      <c r="I20" s="563">
        <v>45679</v>
      </c>
      <c r="J20" s="561" t="s">
        <v>1498</v>
      </c>
      <c r="L20" s="561" t="str">
        <f>IFERROR(COUNTIF($C$18:C20,C20)&amp;CHOOSE(MIN(4,COUNTIF($C$18:C20,C20)),"st","nd","rd","th"),"")</f>
        <v>1st</v>
      </c>
    </row>
    <row r="21" spans="1:20" s="561" customFormat="1" ht="41.4" x14ac:dyDescent="0.25">
      <c r="A21" s="561" t="s">
        <v>67</v>
      </c>
      <c r="B21" s="561" t="s">
        <v>86</v>
      </c>
      <c r="C21" s="561" t="s">
        <v>1381</v>
      </c>
      <c r="D21" s="561">
        <v>2001</v>
      </c>
      <c r="E21" s="561">
        <v>2010</v>
      </c>
      <c r="F21" s="564" t="s">
        <v>5105</v>
      </c>
      <c r="G21" s="564" t="s">
        <v>5159</v>
      </c>
      <c r="H21" s="566" t="s">
        <v>5107</v>
      </c>
      <c r="I21" s="563">
        <v>45684</v>
      </c>
      <c r="J21" s="561" t="s">
        <v>1498</v>
      </c>
      <c r="L21" s="561" t="str">
        <f>IFERROR(COUNTIF($C$18:C21,C21)&amp;CHOOSE(MIN(4,COUNTIF($C$18:C21,C21)),"st","nd","rd","th"),"")</f>
        <v>1st</v>
      </c>
    </row>
    <row r="22" spans="1:20" s="561" customFormat="1" ht="55.2" x14ac:dyDescent="0.25">
      <c r="A22" s="523" t="s">
        <v>67</v>
      </c>
      <c r="B22" s="523" t="s">
        <v>86</v>
      </c>
      <c r="C22" s="523" t="s">
        <v>631</v>
      </c>
      <c r="D22" s="561">
        <v>2013</v>
      </c>
      <c r="E22" s="561">
        <v>2023</v>
      </c>
      <c r="F22" s="564" t="s">
        <v>5105</v>
      </c>
      <c r="G22" s="564" t="s">
        <v>5160</v>
      </c>
      <c r="H22" s="523" t="s">
        <v>5107</v>
      </c>
      <c r="I22" s="563">
        <v>45700</v>
      </c>
      <c r="J22" s="523" t="s">
        <v>1499</v>
      </c>
      <c r="K22" s="523" t="s">
        <v>5108</v>
      </c>
      <c r="L22" s="523" t="s">
        <v>1874</v>
      </c>
      <c r="M22" s="523"/>
      <c r="N22" s="523"/>
      <c r="O22" s="523"/>
      <c r="P22" s="523"/>
      <c r="Q22" s="523"/>
      <c r="R22" s="523"/>
      <c r="S22" s="523"/>
      <c r="T22" s="523"/>
    </row>
    <row r="23" spans="1:20" s="561" customFormat="1" ht="82.8" x14ac:dyDescent="0.25">
      <c r="A23" s="523" t="s">
        <v>67</v>
      </c>
      <c r="B23" s="523" t="s">
        <v>86</v>
      </c>
      <c r="C23" s="523" t="s">
        <v>1110</v>
      </c>
      <c r="D23" s="523">
        <v>2022</v>
      </c>
      <c r="E23" s="523">
        <v>2032</v>
      </c>
      <c r="F23" s="564" t="s">
        <v>5161</v>
      </c>
      <c r="G23" s="564" t="s">
        <v>5162</v>
      </c>
      <c r="H23" s="523" t="s">
        <v>5107</v>
      </c>
      <c r="I23" s="563">
        <v>45714</v>
      </c>
      <c r="J23" s="523" t="s">
        <v>1499</v>
      </c>
      <c r="K23" s="523" t="s">
        <v>5108</v>
      </c>
      <c r="L23" s="523" t="s">
        <v>1856</v>
      </c>
      <c r="M23" s="523"/>
      <c r="N23" s="523"/>
      <c r="O23" s="523"/>
      <c r="P23" s="523"/>
      <c r="Q23" s="523"/>
      <c r="R23" s="523"/>
      <c r="S23" s="523"/>
      <c r="T23" s="523"/>
    </row>
    <row r="24" spans="1:20" x14ac:dyDescent="0.25">
      <c r="L24" s="164" t="str">
        <f>IFERROR(COUNTIF($C$18:C24,C24)&amp;CHOOSE(MIN(4,COUNTIF($C$18:C24,C24)),"st","nd","rd","th"),"")</f>
        <v/>
      </c>
    </row>
    <row r="25" spans="1:20" x14ac:dyDescent="0.25">
      <c r="L25" s="164" t="str">
        <f>IFERROR(COUNTIF($C$18:C25,C25)&amp;CHOOSE(MIN(4,COUNTIF($C$18:C25,C25)),"st","nd","rd","th"),"")</f>
        <v/>
      </c>
    </row>
    <row r="26" spans="1:20" x14ac:dyDescent="0.25">
      <c r="L26" s="164" t="str">
        <f>IFERROR(COUNTIF($C$18:C26,C26)&amp;CHOOSE(MIN(4,COUNTIF($C$18:C26,C26)),"st","nd","rd","th"),"")</f>
        <v/>
      </c>
    </row>
    <row r="27" spans="1:20" x14ac:dyDescent="0.25">
      <c r="L27" s="164" t="str">
        <f>IFERROR(COUNTIF($C$18:C27,C27)&amp;CHOOSE(MIN(4,COUNTIF($C$18:C27,C27)),"st","nd","rd","th"),"")</f>
        <v/>
      </c>
    </row>
    <row r="28" spans="1:20" x14ac:dyDescent="0.25">
      <c r="L28" s="164" t="str">
        <f>IFERROR(COUNTIF($C$18:C28,C28)&amp;CHOOSE(MIN(4,COUNTIF($C$18:C28,C28)),"st","nd","rd","th"),"")</f>
        <v/>
      </c>
    </row>
    <row r="29" spans="1:20" x14ac:dyDescent="0.25">
      <c r="L29" s="164" t="str">
        <f>IFERROR(COUNTIF($C$18:C29,C29)&amp;CHOOSE(MIN(4,COUNTIF($C$18:C29,C29)),"st","nd","rd","th"),"")</f>
        <v/>
      </c>
    </row>
    <row r="30" spans="1:20" x14ac:dyDescent="0.25">
      <c r="L30" s="164" t="str">
        <f>IFERROR(COUNTIF($C$18:C30,C30)&amp;CHOOSE(MIN(4,COUNTIF($C$18:C30,C30)),"st","nd","rd","th"),"")</f>
        <v/>
      </c>
    </row>
    <row r="31" spans="1:20" x14ac:dyDescent="0.25">
      <c r="L31" s="164" t="str">
        <f>IFERROR(COUNTIF($C$18:C31,C31)&amp;CHOOSE(MIN(4,COUNTIF($C$18:C31,C31)),"st","nd","rd","th"),"")</f>
        <v/>
      </c>
    </row>
    <row r="32" spans="1:20" x14ac:dyDescent="0.25">
      <c r="L32" s="164" t="str">
        <f>IFERROR(COUNTIF($C$18:C32,C32)&amp;CHOOSE(MIN(4,COUNTIF($C$18:C32,C32)),"st","nd","rd","th"),"")</f>
        <v/>
      </c>
    </row>
    <row r="33" spans="12:12" x14ac:dyDescent="0.25">
      <c r="L33" s="164" t="str">
        <f>IFERROR(COUNTIF($C$18:C33,C33)&amp;CHOOSE(MIN(4,COUNTIF($C$18:C33,C33)),"st","nd","rd","th"),"")</f>
        <v/>
      </c>
    </row>
    <row r="34" spans="12:12" x14ac:dyDescent="0.25">
      <c r="L34" s="164" t="str">
        <f>IFERROR(COUNTIF($C$18:C34,C34)&amp;CHOOSE(MIN(4,COUNTIF($C$18:C34,C34)),"st","nd","rd","th"),"")</f>
        <v/>
      </c>
    </row>
    <row r="35" spans="12:12" x14ac:dyDescent="0.25">
      <c r="L35" s="164" t="str">
        <f>IFERROR(COUNTIF($C$18:C35,C35)&amp;CHOOSE(MIN(4,COUNTIF($C$18:C35,C35)),"st","nd","rd","th"),"")</f>
        <v/>
      </c>
    </row>
    <row r="36" spans="12:12" x14ac:dyDescent="0.25">
      <c r="L36" s="164" t="str">
        <f>IFERROR(COUNTIF($C$18:C36,C36)&amp;CHOOSE(MIN(4,COUNTIF($C$18:C36,C36)),"st","nd","rd","th"),"")</f>
        <v/>
      </c>
    </row>
    <row r="37" spans="12:12" x14ac:dyDescent="0.25">
      <c r="L37" s="164" t="str">
        <f>IFERROR(COUNTIF($C$18:C37,C37)&amp;CHOOSE(MIN(4,COUNTIF($C$18:C37,C37)),"st","nd","rd","th"),"")</f>
        <v/>
      </c>
    </row>
    <row r="38" spans="12:12" x14ac:dyDescent="0.25">
      <c r="L38" s="164" t="str">
        <f>IFERROR(COUNTIF($C$18:C38,C38)&amp;CHOOSE(MIN(4,COUNTIF($C$18:C38,C38)),"st","nd","rd","th"),"")</f>
        <v/>
      </c>
    </row>
    <row r="39" spans="12:12" x14ac:dyDescent="0.25">
      <c r="L39" s="164" t="str">
        <f>IFERROR(COUNTIF($C$18:C39,C39)&amp;CHOOSE(MIN(4,COUNTIF($C$18:C39,C39)),"st","nd","rd","th"),"")</f>
        <v/>
      </c>
    </row>
    <row r="40" spans="12:12" x14ac:dyDescent="0.25">
      <c r="L40" s="164" t="str">
        <f>IFERROR(COUNTIF($C$18:C40,C40)&amp;CHOOSE(MIN(4,COUNTIF($C$18:C40,C40)),"st","nd","rd","th"),"")</f>
        <v/>
      </c>
    </row>
    <row r="41" spans="12:12" x14ac:dyDescent="0.25">
      <c r="L41" s="164" t="str">
        <f>IFERROR(COUNTIF($C$18:C41,C41)&amp;CHOOSE(MIN(4,COUNTIF($C$18:C41,C41)),"st","nd","rd","th"),"")</f>
        <v/>
      </c>
    </row>
    <row r="42" spans="12:12" x14ac:dyDescent="0.25">
      <c r="L42" s="164" t="str">
        <f>IFERROR(COUNTIF($C$18:C42,C42)&amp;CHOOSE(MIN(4,COUNTIF($C$18:C42,C42)),"st","nd","rd","th"),"")</f>
        <v/>
      </c>
    </row>
    <row r="43" spans="12:12" x14ac:dyDescent="0.25">
      <c r="L43" s="164" t="str">
        <f>IFERROR(COUNTIF($C$18:C43,C43)&amp;CHOOSE(MIN(4,COUNTIF($C$18:C43,C43)),"st","nd","rd","th"),"")</f>
        <v/>
      </c>
    </row>
    <row r="44" spans="12:12" x14ac:dyDescent="0.25">
      <c r="L44" s="164" t="str">
        <f>IFERROR(COUNTIF($C$18:C44,C44)&amp;CHOOSE(MIN(4,COUNTIF($C$18:C44,C44)),"st","nd","rd","th"),"")</f>
        <v/>
      </c>
    </row>
    <row r="45" spans="12:12" x14ac:dyDescent="0.25">
      <c r="L45" s="164" t="str">
        <f>IFERROR(COUNTIF($C$18:C45,C45)&amp;CHOOSE(MIN(4,COUNTIF($C$18:C45,C45)),"st","nd","rd","th"),"")</f>
        <v/>
      </c>
    </row>
    <row r="46" spans="12:12" x14ac:dyDescent="0.25">
      <c r="L46" s="164" t="str">
        <f>IFERROR(COUNTIF($C$18:C46,C46)&amp;CHOOSE(MIN(4,COUNTIF($C$18:C46,C46)),"st","nd","rd","th"),"")</f>
        <v/>
      </c>
    </row>
    <row r="47" spans="12:12" x14ac:dyDescent="0.25">
      <c r="L47" s="164" t="str">
        <f>IFERROR(COUNTIF($C$18:C47,C47)&amp;CHOOSE(MIN(4,COUNTIF($C$18:C47,C47)),"st","nd","rd","th"),"")</f>
        <v/>
      </c>
    </row>
    <row r="48" spans="12:12" x14ac:dyDescent="0.25">
      <c r="L48" s="164" t="str">
        <f>IFERROR(COUNTIF($C$18:C48,C48)&amp;CHOOSE(MIN(4,COUNTIF($C$18:C48,C48)),"st","nd","rd","th"),"")</f>
        <v/>
      </c>
    </row>
    <row r="49" spans="12:12" x14ac:dyDescent="0.25">
      <c r="L49" s="164" t="str">
        <f>IFERROR(COUNTIF($C$18:C49,C49)&amp;CHOOSE(MIN(4,COUNTIF($C$18:C49,C49)),"st","nd","rd","th"),"")</f>
        <v/>
      </c>
    </row>
    <row r="50" spans="12:12" x14ac:dyDescent="0.25">
      <c r="L50" s="164" t="str">
        <f>IFERROR(COUNTIF($C$18:C50,C50)&amp;CHOOSE(MIN(4,COUNTIF($C$18:C50,C50)),"st","nd","rd","th"),"")</f>
        <v/>
      </c>
    </row>
    <row r="51" spans="12:12" x14ac:dyDescent="0.25">
      <c r="L51" s="164" t="str">
        <f>IFERROR(COUNTIF($C$18:C51,C51)&amp;CHOOSE(MIN(4,COUNTIF($C$18:C51,C51)),"st","nd","rd","th"),"")</f>
        <v/>
      </c>
    </row>
    <row r="52" spans="12:12" x14ac:dyDescent="0.25">
      <c r="L52" s="164" t="str">
        <f>IFERROR(COUNTIF($C$18:C52,C52)&amp;CHOOSE(MIN(4,COUNTIF($C$18:C52,C52)),"st","nd","rd","th"),"")</f>
        <v/>
      </c>
    </row>
    <row r="53" spans="12:12" x14ac:dyDescent="0.25">
      <c r="L53" s="164" t="str">
        <f>IFERROR(COUNTIF($C$18:C53,C53)&amp;CHOOSE(MIN(4,COUNTIF($C$18:C53,C53)),"st","nd","rd","th"),"")</f>
        <v/>
      </c>
    </row>
    <row r="54" spans="12:12" x14ac:dyDescent="0.25">
      <c r="L54" s="164" t="str">
        <f>IFERROR(COUNTIF($C$18:C54,C54)&amp;CHOOSE(MIN(4,COUNTIF($C$18:C54,C54)),"st","nd","rd","th"),"")</f>
        <v/>
      </c>
    </row>
    <row r="55" spans="12:12" x14ac:dyDescent="0.25">
      <c r="L55" s="164" t="str">
        <f>IFERROR(COUNTIF($C$18:C55,C55)&amp;CHOOSE(MIN(4,COUNTIF($C$18:C55,C55)),"st","nd","rd","th"),"")</f>
        <v/>
      </c>
    </row>
    <row r="56" spans="12:12" x14ac:dyDescent="0.25">
      <c r="L56" s="164" t="str">
        <f>IFERROR(COUNTIF($C$18:C56,C56)&amp;CHOOSE(MIN(4,COUNTIF($C$18:C56,C56)),"st","nd","rd","th"),"")</f>
        <v/>
      </c>
    </row>
    <row r="57" spans="12:12" x14ac:dyDescent="0.25">
      <c r="L57" s="164" t="str">
        <f>IFERROR(COUNTIF($C$18:C57,C57)&amp;CHOOSE(MIN(4,COUNTIF($C$18:C57,C57)),"st","nd","rd","th"),"")</f>
        <v/>
      </c>
    </row>
    <row r="58" spans="12:12" x14ac:dyDescent="0.25">
      <c r="L58" s="164" t="str">
        <f>IFERROR(COUNTIF($C$18:C58,C58)&amp;CHOOSE(MIN(4,COUNTIF($C$18:C58,C58)),"st","nd","rd","th"),"")</f>
        <v/>
      </c>
    </row>
    <row r="59" spans="12:12" x14ac:dyDescent="0.25">
      <c r="L59" s="164" t="str">
        <f>IFERROR(COUNTIF($C$18:C59,C59)&amp;CHOOSE(MIN(4,COUNTIF($C$18:C59,C59)),"st","nd","rd","th"),"")</f>
        <v/>
      </c>
    </row>
    <row r="60" spans="12:12" x14ac:dyDescent="0.25">
      <c r="L60" s="164" t="str">
        <f>IFERROR(COUNTIF($C$18:C60,C60)&amp;CHOOSE(MIN(4,COUNTIF($C$18:C60,C60)),"st","nd","rd","th"),"")</f>
        <v/>
      </c>
    </row>
    <row r="61" spans="12:12" x14ac:dyDescent="0.25">
      <c r="L61" s="164" t="str">
        <f>IFERROR(COUNTIF($C$18:C61,C61)&amp;CHOOSE(MIN(4,COUNTIF($C$18:C61,C61)),"st","nd","rd","th"),"")</f>
        <v/>
      </c>
    </row>
    <row r="62" spans="12:12" x14ac:dyDescent="0.25">
      <c r="L62" s="164" t="str">
        <f>IFERROR(COUNTIF($C$18:C62,C62)&amp;CHOOSE(MIN(4,COUNTIF($C$18:C62,C62)),"st","nd","rd","th"),"")</f>
        <v/>
      </c>
    </row>
    <row r="63" spans="12:12" x14ac:dyDescent="0.25">
      <c r="L63" s="164" t="str">
        <f>IFERROR(COUNTIF($C$18:C63,C63)&amp;CHOOSE(MIN(4,COUNTIF($C$18:C63,C63)),"st","nd","rd","th"),"")</f>
        <v/>
      </c>
    </row>
    <row r="64" spans="12:12" x14ac:dyDescent="0.25">
      <c r="L64" s="164" t="str">
        <f>IFERROR(COUNTIF($C$18:C64,C64)&amp;CHOOSE(MIN(4,COUNTIF($C$18:C64,C64)),"st","nd","rd","th"),"")</f>
        <v/>
      </c>
    </row>
    <row r="65" spans="12:12" x14ac:dyDescent="0.25">
      <c r="L65" s="164" t="str">
        <f>IFERROR(COUNTIF($C$18:C65,C65)&amp;CHOOSE(MIN(4,COUNTIF($C$18:C65,C65)),"st","nd","rd","th"),"")</f>
        <v/>
      </c>
    </row>
    <row r="66" spans="12:12" x14ac:dyDescent="0.25">
      <c r="L66" s="164" t="str">
        <f>IFERROR(COUNTIF($C$18:C66,C66)&amp;CHOOSE(MIN(4,COUNTIF($C$18:C66,C66)),"st","nd","rd","th"),"")</f>
        <v/>
      </c>
    </row>
    <row r="67" spans="12:12" x14ac:dyDescent="0.25">
      <c r="L67" s="164" t="str">
        <f>IFERROR(COUNTIF($C$18:C67,C67)&amp;CHOOSE(MIN(4,COUNTIF($C$18:C67,C67)),"st","nd","rd","th"),"")</f>
        <v/>
      </c>
    </row>
    <row r="68" spans="12:12" x14ac:dyDescent="0.25">
      <c r="L68" s="164" t="str">
        <f>IFERROR(COUNTIF($C$18:C68,C68)&amp;CHOOSE(MIN(4,COUNTIF($C$18:C68,C68)),"st","nd","rd","th"),"")</f>
        <v/>
      </c>
    </row>
    <row r="69" spans="12:12" x14ac:dyDescent="0.25">
      <c r="L69" s="164" t="str">
        <f>IFERROR(COUNTIF($C$18:C69,C69)&amp;CHOOSE(MIN(4,COUNTIF($C$18:C69,C69)),"st","nd","rd","th"),"")</f>
        <v/>
      </c>
    </row>
    <row r="70" spans="12:12" x14ac:dyDescent="0.25">
      <c r="L70" s="164" t="str">
        <f>IFERROR(COUNTIF($C$18:C70,C70)&amp;CHOOSE(MIN(4,COUNTIF($C$18:C70,C70)),"st","nd","rd","th"),"")</f>
        <v/>
      </c>
    </row>
    <row r="71" spans="12:12" x14ac:dyDescent="0.25">
      <c r="L71" s="164" t="str">
        <f>IFERROR(COUNTIF($C$18:C71,C71)&amp;CHOOSE(MIN(4,COUNTIF($C$18:C71,C71)),"st","nd","rd","th"),"")</f>
        <v/>
      </c>
    </row>
    <row r="72" spans="12:12" x14ac:dyDescent="0.25">
      <c r="L72" s="164" t="str">
        <f>IFERROR(COUNTIF($C$18:C72,C72)&amp;CHOOSE(MIN(4,COUNTIF($C$18:C72,C72)),"st","nd","rd","th"),"")</f>
        <v/>
      </c>
    </row>
    <row r="73" spans="12:12" x14ac:dyDescent="0.25">
      <c r="L73" s="164" t="str">
        <f>IFERROR(COUNTIF($C$18:C73,C73)&amp;CHOOSE(MIN(4,COUNTIF($C$18:C73,C73)),"st","nd","rd","th"),"")</f>
        <v/>
      </c>
    </row>
    <row r="74" spans="12:12" x14ac:dyDescent="0.25">
      <c r="L74" s="164" t="str">
        <f>IFERROR(COUNTIF($C$18:C74,C74)&amp;CHOOSE(MIN(4,COUNTIF($C$18:C74,C74)),"st","nd","rd","th"),"")</f>
        <v/>
      </c>
    </row>
    <row r="75" spans="12:12" x14ac:dyDescent="0.25">
      <c r="L75" s="164" t="str">
        <f>IFERROR(COUNTIF($C$18:C75,C75)&amp;CHOOSE(MIN(4,COUNTIF($C$18:C75,C75)),"st","nd","rd","th"),"")</f>
        <v/>
      </c>
    </row>
    <row r="76" spans="12:12" x14ac:dyDescent="0.25">
      <c r="L76" s="164" t="str">
        <f>IFERROR(COUNTIF($C$18:C76,C76)&amp;CHOOSE(MIN(4,COUNTIF($C$18:C76,C76)),"st","nd","rd","th"),"")</f>
        <v/>
      </c>
    </row>
    <row r="77" spans="12:12" x14ac:dyDescent="0.25">
      <c r="L77" s="164" t="str">
        <f>IFERROR(COUNTIF($C$18:C77,C77)&amp;CHOOSE(MIN(4,COUNTIF($C$18:C77,C77)),"st","nd","rd","th"),"")</f>
        <v/>
      </c>
    </row>
    <row r="78" spans="12:12" x14ac:dyDescent="0.25">
      <c r="L78" s="164" t="str">
        <f>IFERROR(COUNTIF($C$18:C78,C78)&amp;CHOOSE(MIN(4,COUNTIF($C$18:C78,C78)),"st","nd","rd","th"),"")</f>
        <v/>
      </c>
    </row>
    <row r="79" spans="12:12" x14ac:dyDescent="0.25">
      <c r="L79" s="164" t="str">
        <f>IFERROR(COUNTIF($C$18:C79,C79)&amp;CHOOSE(MIN(4,COUNTIF($C$18:C79,C79)),"st","nd","rd","th"),"")</f>
        <v/>
      </c>
    </row>
    <row r="80" spans="12:12" x14ac:dyDescent="0.25">
      <c r="L80" s="164" t="str">
        <f>IFERROR(COUNTIF($C$18:C80,C80)&amp;CHOOSE(MIN(4,COUNTIF($C$18:C80,C80)),"st","nd","rd","th"),"")</f>
        <v/>
      </c>
    </row>
    <row r="81" spans="12:12" x14ac:dyDescent="0.25">
      <c r="L81" s="164" t="str">
        <f>IFERROR(COUNTIF($C$18:C81,C81)&amp;CHOOSE(MIN(4,COUNTIF($C$18:C81,C81)),"st","nd","rd","th"),"")</f>
        <v/>
      </c>
    </row>
    <row r="82" spans="12:12" x14ac:dyDescent="0.25">
      <c r="L82" s="164" t="str">
        <f>IFERROR(COUNTIF($C$18:C82,C82)&amp;CHOOSE(MIN(4,COUNTIF($C$18:C82,C82)),"st","nd","rd","th"),"")</f>
        <v/>
      </c>
    </row>
    <row r="83" spans="12:12" x14ac:dyDescent="0.25">
      <c r="L83" s="164" t="str">
        <f>IFERROR(COUNTIF($C$18:C83,C83)&amp;CHOOSE(MIN(4,COUNTIF($C$18:C83,C83)),"st","nd","rd","th"),"")</f>
        <v/>
      </c>
    </row>
    <row r="84" spans="12:12" x14ac:dyDescent="0.25">
      <c r="L84" s="164" t="str">
        <f>IFERROR(COUNTIF($C$18:C84,C84)&amp;CHOOSE(MIN(4,COUNTIF($C$18:C84,C84)),"st","nd","rd","th"),"")</f>
        <v/>
      </c>
    </row>
    <row r="85" spans="12:12" x14ac:dyDescent="0.25">
      <c r="L85" s="164" t="str">
        <f>IFERROR(COUNTIF($C$18:C85,C85)&amp;CHOOSE(MIN(4,COUNTIF($C$18:C85,C85)),"st","nd","rd","th"),"")</f>
        <v/>
      </c>
    </row>
    <row r="86" spans="12:12" x14ac:dyDescent="0.25">
      <c r="L86" s="164" t="str">
        <f>IFERROR(COUNTIF($C$18:C86,C86)&amp;CHOOSE(MIN(4,COUNTIF($C$18:C86,C86)),"st","nd","rd","th"),"")</f>
        <v/>
      </c>
    </row>
    <row r="87" spans="12:12" x14ac:dyDescent="0.25">
      <c r="L87" s="164" t="str">
        <f>IFERROR(COUNTIF($C$18:C87,C87)&amp;CHOOSE(MIN(4,COUNTIF($C$18:C87,C87)),"st","nd","rd","th"),"")</f>
        <v/>
      </c>
    </row>
    <row r="88" spans="12:12" x14ac:dyDescent="0.25">
      <c r="L88" s="164" t="str">
        <f>IFERROR(COUNTIF($C$18:C88,C88)&amp;CHOOSE(MIN(4,COUNTIF($C$18:C88,C88)),"st","nd","rd","th"),"")</f>
        <v/>
      </c>
    </row>
    <row r="89" spans="12:12" x14ac:dyDescent="0.25">
      <c r="L89" s="164" t="str">
        <f>IFERROR(COUNTIF($C$18:C89,C89)&amp;CHOOSE(MIN(4,COUNTIF($C$18:C89,C89)),"st","nd","rd","th"),"")</f>
        <v/>
      </c>
    </row>
    <row r="90" spans="12:12" x14ac:dyDescent="0.25">
      <c r="L90" s="164" t="str">
        <f>IFERROR(COUNTIF($C$18:C90,C90)&amp;CHOOSE(MIN(4,COUNTIF($C$18:C90,C90)),"st","nd","rd","th"),"")</f>
        <v/>
      </c>
    </row>
    <row r="91" spans="12:12" x14ac:dyDescent="0.25">
      <c r="L91" s="164" t="str">
        <f>IFERROR(COUNTIF($C$18:C91,C91)&amp;CHOOSE(MIN(4,COUNTIF($C$18:C91,C91)),"st","nd","rd","th"),"")</f>
        <v/>
      </c>
    </row>
    <row r="92" spans="12:12" x14ac:dyDescent="0.25">
      <c r="L92" s="164" t="str">
        <f>IFERROR(COUNTIF($C$18:C92,C92)&amp;CHOOSE(MIN(4,COUNTIF($C$18:C92,C92)),"st","nd","rd","th"),"")</f>
        <v/>
      </c>
    </row>
    <row r="93" spans="12:12" x14ac:dyDescent="0.25">
      <c r="L93" s="164" t="str">
        <f>IFERROR(COUNTIF($C$18:C93,C93)&amp;CHOOSE(MIN(4,COUNTIF($C$18:C93,C93)),"st","nd","rd","th"),"")</f>
        <v/>
      </c>
    </row>
    <row r="94" spans="12:12" x14ac:dyDescent="0.25">
      <c r="L94" s="164" t="str">
        <f>IFERROR(COUNTIF($C$18:C94,C94)&amp;CHOOSE(MIN(4,COUNTIF($C$18:C94,C94)),"st","nd","rd","th"),"")</f>
        <v/>
      </c>
    </row>
    <row r="95" spans="12:12" x14ac:dyDescent="0.25">
      <c r="L95" s="164" t="str">
        <f>IFERROR(COUNTIF($C$18:C95,C95)&amp;CHOOSE(MIN(4,COUNTIF($C$18:C95,C95)),"st","nd","rd","th"),"")</f>
        <v/>
      </c>
    </row>
    <row r="96" spans="12:12" x14ac:dyDescent="0.25">
      <c r="L96" s="164" t="str">
        <f>IFERROR(COUNTIF($C$18:C96,C96)&amp;CHOOSE(MIN(4,COUNTIF($C$18:C96,C96)),"st","nd","rd","th"),"")</f>
        <v/>
      </c>
    </row>
    <row r="97" spans="12:12" x14ac:dyDescent="0.25">
      <c r="L97" s="164" t="str">
        <f>IFERROR(COUNTIF($C$18:C97,C97)&amp;CHOOSE(MIN(4,COUNTIF($C$18:C97,C97)),"st","nd","rd","th"),"")</f>
        <v/>
      </c>
    </row>
    <row r="98" spans="12:12" x14ac:dyDescent="0.25">
      <c r="L98" s="164" t="str">
        <f>IFERROR(COUNTIF($C$18:C98,C98)&amp;CHOOSE(MIN(4,COUNTIF($C$18:C98,C98)),"st","nd","rd","th"),"")</f>
        <v/>
      </c>
    </row>
    <row r="99" spans="12:12" x14ac:dyDescent="0.25">
      <c r="L99" s="164" t="str">
        <f>IFERROR(COUNTIF($C$18:C99,C99)&amp;CHOOSE(MIN(4,COUNTIF($C$18:C99,C99)),"st","nd","rd","th"),"")</f>
        <v/>
      </c>
    </row>
    <row r="100" spans="12:12" x14ac:dyDescent="0.25">
      <c r="L100" s="164" t="str">
        <f>IFERROR(COUNTIF($C$18:C100,C100)&amp;CHOOSE(MIN(4,COUNTIF($C$18:C100,C100)),"st","nd","rd","th"),"")</f>
        <v/>
      </c>
    </row>
    <row r="101" spans="12:12" x14ac:dyDescent="0.25">
      <c r="L101" s="164" t="str">
        <f>IFERROR(COUNTIF($C$18:C101,C101)&amp;CHOOSE(MIN(4,COUNTIF($C$18:C101,C101)),"st","nd","rd","th"),"")</f>
        <v/>
      </c>
    </row>
    <row r="102" spans="12:12" x14ac:dyDescent="0.25">
      <c r="L102" s="164" t="str">
        <f>IFERROR(COUNTIF($C$18:C102,C102)&amp;CHOOSE(MIN(4,COUNTIF($C$18:C102,C102)),"st","nd","rd","th"),"")</f>
        <v/>
      </c>
    </row>
    <row r="103" spans="12:12" x14ac:dyDescent="0.25">
      <c r="L103" s="164" t="str">
        <f>IFERROR(COUNTIF($C$18:C103,C103)&amp;CHOOSE(MIN(4,COUNTIF($C$18:C103,C103)),"st","nd","rd","th"),"")</f>
        <v/>
      </c>
    </row>
    <row r="104" spans="12:12" x14ac:dyDescent="0.25">
      <c r="L104" s="164" t="str">
        <f>IFERROR(COUNTIF($C$18:C104,C104)&amp;CHOOSE(MIN(4,COUNTIF($C$18:C104,C104)),"st","nd","rd","th"),"")</f>
        <v/>
      </c>
    </row>
    <row r="105" spans="12:12" x14ac:dyDescent="0.25">
      <c r="L105" s="164" t="str">
        <f>IFERROR(COUNTIF($C$18:C105,C105)&amp;CHOOSE(MIN(4,COUNTIF($C$18:C105,C105)),"st","nd","rd","th"),"")</f>
        <v/>
      </c>
    </row>
    <row r="106" spans="12:12" x14ac:dyDescent="0.25">
      <c r="L106" s="164" t="str">
        <f>IFERROR(COUNTIF($C$18:C106,C106)&amp;CHOOSE(MIN(4,COUNTIF($C$18:C106,C106)),"st","nd","rd","th"),"")</f>
        <v/>
      </c>
    </row>
    <row r="107" spans="12:12" x14ac:dyDescent="0.25">
      <c r="L107" s="164" t="str">
        <f>IFERROR(COUNTIF($C$18:C107,C107)&amp;CHOOSE(MIN(4,COUNTIF($C$18:C107,C107)),"st","nd","rd","th"),"")</f>
        <v/>
      </c>
    </row>
    <row r="108" spans="12:12" x14ac:dyDescent="0.25">
      <c r="L108" s="164" t="str">
        <f>IFERROR(COUNTIF($C$18:C108,C108)&amp;CHOOSE(MIN(4,COUNTIF($C$18:C108,C108)),"st","nd","rd","th"),"")</f>
        <v/>
      </c>
    </row>
    <row r="109" spans="12:12" x14ac:dyDescent="0.25">
      <c r="L109" s="164" t="str">
        <f>IFERROR(COUNTIF($C$18:C109,C109)&amp;CHOOSE(MIN(4,COUNTIF($C$18:C109,C109)),"st","nd","rd","th"),"")</f>
        <v/>
      </c>
    </row>
    <row r="110" spans="12:12" x14ac:dyDescent="0.25">
      <c r="L110" s="164" t="str">
        <f>IFERROR(COUNTIF($C$18:C110,C110)&amp;CHOOSE(MIN(4,COUNTIF($C$18:C110,C110)),"st","nd","rd","th"),"")</f>
        <v/>
      </c>
    </row>
    <row r="111" spans="12:12" x14ac:dyDescent="0.25">
      <c r="L111" s="164" t="str">
        <f>IFERROR(COUNTIF($C$18:C111,C111)&amp;CHOOSE(MIN(4,COUNTIF($C$18:C111,C111)),"st","nd","rd","th"),"")</f>
        <v/>
      </c>
    </row>
    <row r="112" spans="12:12" x14ac:dyDescent="0.25">
      <c r="L112" s="164" t="str">
        <f>IFERROR(COUNTIF($C$18:C112,C112)&amp;CHOOSE(MIN(4,COUNTIF($C$18:C112,C112)),"st","nd","rd","th"),"")</f>
        <v/>
      </c>
    </row>
    <row r="113" spans="12:12" x14ac:dyDescent="0.25">
      <c r="L113" s="164" t="str">
        <f>IFERROR(COUNTIF($C$18:C113,C113)&amp;CHOOSE(MIN(4,COUNTIF($C$18:C113,C113)),"st","nd","rd","th"),"")</f>
        <v/>
      </c>
    </row>
    <row r="114" spans="12:12" x14ac:dyDescent="0.25">
      <c r="L114" s="164" t="str">
        <f>IFERROR(COUNTIF($C$18:C114,C114)&amp;CHOOSE(MIN(4,COUNTIF($C$18:C114,C114)),"st","nd","rd","th"),"")</f>
        <v/>
      </c>
    </row>
    <row r="115" spans="12:12" x14ac:dyDescent="0.25">
      <c r="L115" s="164" t="str">
        <f>IFERROR(COUNTIF($C$18:C115,C115)&amp;CHOOSE(MIN(4,COUNTIF($C$18:C115,C115)),"st","nd","rd","th"),"")</f>
        <v/>
      </c>
    </row>
    <row r="116" spans="12:12" x14ac:dyDescent="0.25">
      <c r="L116" s="164" t="str">
        <f>IFERROR(COUNTIF($C$18:C116,C116)&amp;CHOOSE(MIN(4,COUNTIF($C$18:C116,C116)),"st","nd","rd","th"),"")</f>
        <v/>
      </c>
    </row>
    <row r="117" spans="12:12" x14ac:dyDescent="0.25">
      <c r="L117" s="164" t="str">
        <f>IFERROR(COUNTIF($C$18:C117,C117)&amp;CHOOSE(MIN(4,COUNTIF($C$18:C117,C117)),"st","nd","rd","th"),"")</f>
        <v/>
      </c>
    </row>
    <row r="118" spans="12:12" x14ac:dyDescent="0.25">
      <c r="L118" s="164" t="str">
        <f>IFERROR(COUNTIF($C$18:C118,C118)&amp;CHOOSE(MIN(4,COUNTIF($C$18:C118,C118)),"st","nd","rd","th"),"")</f>
        <v/>
      </c>
    </row>
    <row r="119" spans="12:12" x14ac:dyDescent="0.25">
      <c r="L119" s="164" t="str">
        <f>IFERROR(COUNTIF($C$18:C119,C119)&amp;CHOOSE(MIN(4,COUNTIF($C$18:C119,C119)),"st","nd","rd","th"),"")</f>
        <v/>
      </c>
    </row>
    <row r="120" spans="12:12" x14ac:dyDescent="0.25">
      <c r="L120" s="164" t="str">
        <f>IFERROR(COUNTIF($C$18:C120,C120)&amp;CHOOSE(MIN(4,COUNTIF($C$18:C120,C120)),"st","nd","rd","th"),"")</f>
        <v/>
      </c>
    </row>
    <row r="121" spans="12:12" x14ac:dyDescent="0.25">
      <c r="L121" s="164" t="str">
        <f>IFERROR(COUNTIF($C$18:C121,C121)&amp;CHOOSE(MIN(4,COUNTIF($C$18:C121,C121)),"st","nd","rd","th"),"")</f>
        <v/>
      </c>
    </row>
    <row r="122" spans="12:12" x14ac:dyDescent="0.25">
      <c r="L122" s="164" t="str">
        <f>IFERROR(COUNTIF($C$18:C122,C122)&amp;CHOOSE(MIN(4,COUNTIF($C$18:C122,C122)),"st","nd","rd","th"),"")</f>
        <v/>
      </c>
    </row>
    <row r="123" spans="12:12" x14ac:dyDescent="0.25">
      <c r="L123" s="164" t="str">
        <f>IFERROR(COUNTIF($C$18:C123,C123)&amp;CHOOSE(MIN(4,COUNTIF($C$18:C123,C123)),"st","nd","rd","th"),"")</f>
        <v/>
      </c>
    </row>
    <row r="124" spans="12:12" x14ac:dyDescent="0.25">
      <c r="L124" s="164" t="str">
        <f>IFERROR(COUNTIF($C$18:C124,C124)&amp;CHOOSE(MIN(4,COUNTIF($C$18:C124,C124)),"st","nd","rd","th"),"")</f>
        <v/>
      </c>
    </row>
    <row r="125" spans="12:12" x14ac:dyDescent="0.25">
      <c r="L125" s="164" t="str">
        <f>IFERROR(COUNTIF($C$18:C125,C125)&amp;CHOOSE(MIN(4,COUNTIF($C$18:C125,C125)),"st","nd","rd","th"),"")</f>
        <v/>
      </c>
    </row>
    <row r="126" spans="12:12" x14ac:dyDescent="0.25">
      <c r="L126" s="164" t="str">
        <f>IFERROR(COUNTIF($C$18:C126,C126)&amp;CHOOSE(MIN(4,COUNTIF($C$18:C126,C126)),"st","nd","rd","th"),"")</f>
        <v/>
      </c>
    </row>
    <row r="127" spans="12:12" x14ac:dyDescent="0.25">
      <c r="L127" s="164" t="str">
        <f>IFERROR(COUNTIF($C$18:C127,C127)&amp;CHOOSE(MIN(4,COUNTIF($C$18:C127,C127)),"st","nd","rd","th"),"")</f>
        <v/>
      </c>
    </row>
    <row r="128" spans="12:12" x14ac:dyDescent="0.25">
      <c r="L128" s="164" t="str">
        <f>IFERROR(COUNTIF($C$18:C128,C128)&amp;CHOOSE(MIN(4,COUNTIF($C$18:C128,C128)),"st","nd","rd","th"),"")</f>
        <v/>
      </c>
    </row>
    <row r="129" spans="12:12" x14ac:dyDescent="0.25">
      <c r="L129" s="164" t="str">
        <f>IFERROR(COUNTIF($C$18:C129,C129)&amp;CHOOSE(MIN(4,COUNTIF($C$18:C129,C129)),"st","nd","rd","th"),"")</f>
        <v/>
      </c>
    </row>
    <row r="130" spans="12:12" x14ac:dyDescent="0.25">
      <c r="L130" s="164" t="str">
        <f>IFERROR(COUNTIF($C$18:C130,C130)&amp;CHOOSE(MIN(4,COUNTIF($C$18:C130,C130)),"st","nd","rd","th"),"")</f>
        <v/>
      </c>
    </row>
    <row r="131" spans="12:12" x14ac:dyDescent="0.25">
      <c r="L131" s="164" t="str">
        <f>IFERROR(COUNTIF($C$18:C131,C131)&amp;CHOOSE(MIN(4,COUNTIF($C$18:C131,C131)),"st","nd","rd","th"),"")</f>
        <v/>
      </c>
    </row>
    <row r="132" spans="12:12" x14ac:dyDescent="0.25">
      <c r="L132" s="164" t="str">
        <f>IFERROR(COUNTIF($C$18:C132,C132)&amp;CHOOSE(MIN(4,COUNTIF($C$18:C132,C132)),"st","nd","rd","th"),"")</f>
        <v/>
      </c>
    </row>
    <row r="133" spans="12:12" x14ac:dyDescent="0.25">
      <c r="L133" s="164" t="str">
        <f>IFERROR(COUNTIF($C$18:C133,C133)&amp;CHOOSE(MIN(4,COUNTIF($C$18:C133,C133)),"st","nd","rd","th"),"")</f>
        <v/>
      </c>
    </row>
    <row r="134" spans="12:12" x14ac:dyDescent="0.25">
      <c r="L134" s="164" t="str">
        <f>IFERROR(COUNTIF($C$18:C134,C134)&amp;CHOOSE(MIN(4,COUNTIF($C$18:C134,C134)),"st","nd","rd","th"),"")</f>
        <v/>
      </c>
    </row>
    <row r="135" spans="12:12" x14ac:dyDescent="0.25">
      <c r="L135" s="164" t="str">
        <f>IFERROR(COUNTIF($C$18:C135,C135)&amp;CHOOSE(MIN(4,COUNTIF($C$18:C135,C135)),"st","nd","rd","th"),"")</f>
        <v/>
      </c>
    </row>
    <row r="136" spans="12:12" x14ac:dyDescent="0.25">
      <c r="L136" s="164" t="str">
        <f>IFERROR(COUNTIF($C$18:C136,C136)&amp;CHOOSE(MIN(4,COUNTIF($C$18:C136,C136)),"st","nd","rd","th"),"")</f>
        <v/>
      </c>
    </row>
    <row r="137" spans="12:12" x14ac:dyDescent="0.25">
      <c r="L137" s="164" t="str">
        <f>IFERROR(COUNTIF($C$18:C137,C137)&amp;CHOOSE(MIN(4,COUNTIF($C$18:C137,C137)),"st","nd","rd","th"),"")</f>
        <v/>
      </c>
    </row>
    <row r="138" spans="12:12" x14ac:dyDescent="0.25">
      <c r="L138" s="164" t="str">
        <f>IFERROR(COUNTIF($C$18:C138,C138)&amp;CHOOSE(MIN(4,COUNTIF($C$18:C138,C138)),"st","nd","rd","th"),"")</f>
        <v/>
      </c>
    </row>
    <row r="139" spans="12:12" x14ac:dyDescent="0.25">
      <c r="L139" s="164" t="str">
        <f>IFERROR(COUNTIF($C$18:C139,C139)&amp;CHOOSE(MIN(4,COUNTIF($C$18:C139,C139)),"st","nd","rd","th"),"")</f>
        <v/>
      </c>
    </row>
    <row r="140" spans="12:12" x14ac:dyDescent="0.25">
      <c r="L140" s="164" t="str">
        <f>IFERROR(COUNTIF($C$18:C140,C140)&amp;CHOOSE(MIN(4,COUNTIF($C$18:C140,C140)),"st","nd","rd","th"),"")</f>
        <v/>
      </c>
    </row>
    <row r="141" spans="12:12" x14ac:dyDescent="0.25">
      <c r="L141" s="164" t="str">
        <f>IFERROR(COUNTIF($C$18:C141,C141)&amp;CHOOSE(MIN(4,COUNTIF($C$18:C141,C141)),"st","nd","rd","th"),"")</f>
        <v/>
      </c>
    </row>
    <row r="142" spans="12:12" x14ac:dyDescent="0.25">
      <c r="L142" s="164" t="str">
        <f>IFERROR(COUNTIF($C$18:C142,C142)&amp;CHOOSE(MIN(4,COUNTIF($C$18:C142,C142)),"st","nd","rd","th"),"")</f>
        <v/>
      </c>
    </row>
    <row r="143" spans="12:12" x14ac:dyDescent="0.25">
      <c r="L143" s="164" t="str">
        <f>IFERROR(COUNTIF($C$18:C143,C143)&amp;CHOOSE(MIN(4,COUNTIF($C$18:C143,C143)),"st","nd","rd","th"),"")</f>
        <v/>
      </c>
    </row>
    <row r="144" spans="12:12" x14ac:dyDescent="0.25">
      <c r="L144" s="164" t="str">
        <f>IFERROR(COUNTIF($C$18:C144,C144)&amp;CHOOSE(MIN(4,COUNTIF($C$18:C144,C144)),"st","nd","rd","th"),"")</f>
        <v/>
      </c>
    </row>
    <row r="145" spans="12:12" x14ac:dyDescent="0.25">
      <c r="L145" s="164" t="str">
        <f>IFERROR(COUNTIF($C$18:C145,C145)&amp;CHOOSE(MIN(4,COUNTIF($C$18:C145,C145)),"st","nd","rd","th"),"")</f>
        <v/>
      </c>
    </row>
    <row r="146" spans="12:12" x14ac:dyDescent="0.25">
      <c r="L146" s="164" t="str">
        <f>IFERROR(COUNTIF($C$18:C146,C146)&amp;CHOOSE(MIN(4,COUNTIF($C$18:C146,C146)),"st","nd","rd","th"),"")</f>
        <v/>
      </c>
    </row>
    <row r="147" spans="12:12" x14ac:dyDescent="0.25">
      <c r="L147" s="164" t="str">
        <f>IFERROR(COUNTIF($C$18:C147,C147)&amp;CHOOSE(MIN(4,COUNTIF($C$18:C147,C147)),"st","nd","rd","th"),"")</f>
        <v/>
      </c>
    </row>
    <row r="148" spans="12:12" x14ac:dyDescent="0.25">
      <c r="L148" s="164" t="str">
        <f>IFERROR(COUNTIF($C$18:C148,C148)&amp;CHOOSE(MIN(4,COUNTIF($C$18:C148,C148)),"st","nd","rd","th"),"")</f>
        <v/>
      </c>
    </row>
    <row r="149" spans="12:12" x14ac:dyDescent="0.25">
      <c r="L149" s="164" t="str">
        <f>IFERROR(COUNTIF($C$18:C149,C149)&amp;CHOOSE(MIN(4,COUNTIF($C$18:C149,C149)),"st","nd","rd","th"),"")</f>
        <v/>
      </c>
    </row>
    <row r="150" spans="12:12" x14ac:dyDescent="0.25">
      <c r="L150" s="164" t="str">
        <f>IFERROR(COUNTIF($C$18:C150,C150)&amp;CHOOSE(MIN(4,COUNTIF($C$18:C150,C150)),"st","nd","rd","th"),"")</f>
        <v/>
      </c>
    </row>
    <row r="151" spans="12:12" x14ac:dyDescent="0.25">
      <c r="L151" s="164" t="str">
        <f>IFERROR(COUNTIF($C$18:C151,C151)&amp;CHOOSE(MIN(4,COUNTIF($C$18:C151,C151)),"st","nd","rd","th"),"")</f>
        <v/>
      </c>
    </row>
    <row r="152" spans="12:12" x14ac:dyDescent="0.25">
      <c r="L152" s="164" t="str">
        <f>IFERROR(COUNTIF($C$18:C152,C152)&amp;CHOOSE(MIN(4,COUNTIF($C$18:C152,C152)),"st","nd","rd","th"),"")</f>
        <v/>
      </c>
    </row>
    <row r="153" spans="12:12" x14ac:dyDescent="0.25">
      <c r="L153" s="164" t="str">
        <f>IFERROR(COUNTIF($C$18:C153,C153)&amp;CHOOSE(MIN(4,COUNTIF($C$18:C153,C153)),"st","nd","rd","th"),"")</f>
        <v/>
      </c>
    </row>
    <row r="154" spans="12:12" x14ac:dyDescent="0.25">
      <c r="L154" s="164" t="str">
        <f>IFERROR(COUNTIF($C$18:C154,C154)&amp;CHOOSE(MIN(4,COUNTIF($C$18:C154,C154)),"st","nd","rd","th"),"")</f>
        <v/>
      </c>
    </row>
    <row r="155" spans="12:12" x14ac:dyDescent="0.25">
      <c r="L155" s="164" t="str">
        <f>IFERROR(COUNTIF($C$18:C155,C155)&amp;CHOOSE(MIN(4,COUNTIF($C$18:C155,C155)),"st","nd","rd","th"),"")</f>
        <v/>
      </c>
    </row>
    <row r="156" spans="12:12" x14ac:dyDescent="0.25">
      <c r="L156" s="164" t="str">
        <f>IFERROR(COUNTIF($C$18:C156,C156)&amp;CHOOSE(MIN(4,COUNTIF($C$18:C156,C156)),"st","nd","rd","th"),"")</f>
        <v/>
      </c>
    </row>
    <row r="157" spans="12:12" x14ac:dyDescent="0.25">
      <c r="L157" s="164" t="str">
        <f>IFERROR(COUNTIF($C$18:C157,C157)&amp;CHOOSE(MIN(4,COUNTIF($C$18:C157,C157)),"st","nd","rd","th"),"")</f>
        <v/>
      </c>
    </row>
    <row r="158" spans="12:12" x14ac:dyDescent="0.25">
      <c r="L158" s="164" t="str">
        <f>IFERROR(COUNTIF($C$18:C158,C158)&amp;CHOOSE(MIN(4,COUNTIF($C$18:C158,C158)),"st","nd","rd","th"),"")</f>
        <v/>
      </c>
    </row>
    <row r="159" spans="12:12" x14ac:dyDescent="0.25">
      <c r="L159" s="164" t="str">
        <f>IFERROR(COUNTIF($C$18:C159,C159)&amp;CHOOSE(MIN(4,COUNTIF($C$18:C159,C159)),"st","nd","rd","th"),"")</f>
        <v/>
      </c>
    </row>
    <row r="160" spans="12:12" x14ac:dyDescent="0.25">
      <c r="L160" s="164" t="str">
        <f>IFERROR(COUNTIF($C$18:C160,C160)&amp;CHOOSE(MIN(4,COUNTIF($C$18:C160,C160)),"st","nd","rd","th"),"")</f>
        <v/>
      </c>
    </row>
    <row r="161" spans="12:12" x14ac:dyDescent="0.25">
      <c r="L161" s="164" t="str">
        <f>IFERROR(COUNTIF($C$18:C161,C161)&amp;CHOOSE(MIN(4,COUNTIF($C$18:C161,C161)),"st","nd","rd","th"),"")</f>
        <v/>
      </c>
    </row>
    <row r="162" spans="12:12" x14ac:dyDescent="0.25">
      <c r="L162" s="164" t="str">
        <f>IFERROR(COUNTIF($C$18:C162,C162)&amp;CHOOSE(MIN(4,COUNTIF($C$18:C162,C162)),"st","nd","rd","th"),"")</f>
        <v/>
      </c>
    </row>
    <row r="163" spans="12:12" x14ac:dyDescent="0.25">
      <c r="L163" s="164" t="str">
        <f>IFERROR(COUNTIF($C$18:C163,C163)&amp;CHOOSE(MIN(4,COUNTIF($C$18:C163,C163)),"st","nd","rd","th"),"")</f>
        <v/>
      </c>
    </row>
    <row r="164" spans="12:12" x14ac:dyDescent="0.25">
      <c r="L164" s="164" t="str">
        <f>IFERROR(COUNTIF($C$18:C164,C164)&amp;CHOOSE(MIN(4,COUNTIF($C$18:C164,C164)),"st","nd","rd","th"),"")</f>
        <v/>
      </c>
    </row>
    <row r="165" spans="12:12" x14ac:dyDescent="0.25">
      <c r="L165" s="164" t="str">
        <f>IFERROR(COUNTIF($C$18:C165,C165)&amp;CHOOSE(MIN(4,COUNTIF($C$18:C165,C165)),"st","nd","rd","th"),"")</f>
        <v/>
      </c>
    </row>
    <row r="166" spans="12:12" x14ac:dyDescent="0.25">
      <c r="L166" s="164" t="str">
        <f>IFERROR(COUNTIF($C$18:C166,C166)&amp;CHOOSE(MIN(4,COUNTIF($C$18:C166,C166)),"st","nd","rd","th"),"")</f>
        <v/>
      </c>
    </row>
    <row r="167" spans="12:12" x14ac:dyDescent="0.25">
      <c r="L167" s="164" t="str">
        <f>IFERROR(COUNTIF($C$18:C167,C167)&amp;CHOOSE(MIN(4,COUNTIF($C$18:C167,C167)),"st","nd","rd","th"),"")</f>
        <v/>
      </c>
    </row>
    <row r="168" spans="12:12" x14ac:dyDescent="0.25">
      <c r="L168" s="164" t="str">
        <f>IFERROR(COUNTIF($C$18:C168,C168)&amp;CHOOSE(MIN(4,COUNTIF($C$18:C168,C168)),"st","nd","rd","th"),"")</f>
        <v/>
      </c>
    </row>
    <row r="169" spans="12:12" x14ac:dyDescent="0.25">
      <c r="L169" s="164" t="str">
        <f>IFERROR(COUNTIF($C$18:C169,C169)&amp;CHOOSE(MIN(4,COUNTIF($C$18:C169,C169)),"st","nd","rd","th"),"")</f>
        <v/>
      </c>
    </row>
    <row r="170" spans="12:12" x14ac:dyDescent="0.25">
      <c r="L170" s="164" t="str">
        <f>IFERROR(COUNTIF($C$18:C170,C170)&amp;CHOOSE(MIN(4,COUNTIF($C$18:C170,C170)),"st","nd","rd","th"),"")</f>
        <v/>
      </c>
    </row>
    <row r="171" spans="12:12" x14ac:dyDescent="0.25">
      <c r="L171" s="164" t="str">
        <f>IFERROR(COUNTIF($C$18:C171,C171)&amp;CHOOSE(MIN(4,COUNTIF($C$18:C171,C171)),"st","nd","rd","th"),"")</f>
        <v/>
      </c>
    </row>
    <row r="172" spans="12:12" x14ac:dyDescent="0.25">
      <c r="L172" s="164" t="str">
        <f>IFERROR(COUNTIF($C$18:C172,C172)&amp;CHOOSE(MIN(4,COUNTIF($C$18:C172,C172)),"st","nd","rd","th"),"")</f>
        <v/>
      </c>
    </row>
    <row r="173" spans="12:12" x14ac:dyDescent="0.25">
      <c r="L173" s="164" t="str">
        <f>IFERROR(COUNTIF($C$18:C173,C173)&amp;CHOOSE(MIN(4,COUNTIF($C$18:C173,C173)),"st","nd","rd","th"),"")</f>
        <v/>
      </c>
    </row>
    <row r="174" spans="12:12" x14ac:dyDescent="0.25">
      <c r="L174" s="164" t="str">
        <f>IFERROR(COUNTIF($C$18:C174,C174)&amp;CHOOSE(MIN(4,COUNTIF($C$18:C174,C174)),"st","nd","rd","th"),"")</f>
        <v/>
      </c>
    </row>
    <row r="175" spans="12:12" x14ac:dyDescent="0.25">
      <c r="L175" s="164" t="str">
        <f>IFERROR(COUNTIF($C$18:C175,C175)&amp;CHOOSE(MIN(4,COUNTIF($C$18:C175,C175)),"st","nd","rd","th"),"")</f>
        <v/>
      </c>
    </row>
    <row r="176" spans="12:12" x14ac:dyDescent="0.25">
      <c r="L176" s="164" t="str">
        <f>IFERROR(COUNTIF($C$18:C176,C176)&amp;CHOOSE(MIN(4,COUNTIF($C$18:C176,C176)),"st","nd","rd","th"),"")</f>
        <v/>
      </c>
    </row>
    <row r="177" spans="12:12" x14ac:dyDescent="0.25">
      <c r="L177" s="164" t="str">
        <f>IFERROR(COUNTIF($C$18:C177,C177)&amp;CHOOSE(MIN(4,COUNTIF($C$18:C177,C177)),"st","nd","rd","th"),"")</f>
        <v/>
      </c>
    </row>
    <row r="178" spans="12:12" x14ac:dyDescent="0.25">
      <c r="L178" s="164" t="str">
        <f>IFERROR(COUNTIF($C$18:C178,C178)&amp;CHOOSE(MIN(4,COUNTIF($C$18:C178,C178)),"st","nd","rd","th"),"")</f>
        <v/>
      </c>
    </row>
    <row r="179" spans="12:12" x14ac:dyDescent="0.25">
      <c r="L179" s="164" t="str">
        <f>IFERROR(COUNTIF($C$18:C179,C179)&amp;CHOOSE(MIN(4,COUNTIF($C$18:C179,C179)),"st","nd","rd","th"),"")</f>
        <v/>
      </c>
    </row>
    <row r="180" spans="12:12" x14ac:dyDescent="0.25">
      <c r="L180" s="164" t="str">
        <f>IFERROR(COUNTIF($C$18:C180,C180)&amp;CHOOSE(MIN(4,COUNTIF($C$18:C180,C180)),"st","nd","rd","th"),"")</f>
        <v/>
      </c>
    </row>
    <row r="181" spans="12:12" x14ac:dyDescent="0.25">
      <c r="L181" s="164" t="str">
        <f>IFERROR(COUNTIF($C$18:C181,C181)&amp;CHOOSE(MIN(4,COUNTIF($C$18:C181,C181)),"st","nd","rd","th"),"")</f>
        <v/>
      </c>
    </row>
    <row r="182" spans="12:12" x14ac:dyDescent="0.25">
      <c r="L182" s="164" t="str">
        <f>IFERROR(COUNTIF($C$18:C182,C182)&amp;CHOOSE(MIN(4,COUNTIF($C$18:C182,C182)),"st","nd","rd","th"),"")</f>
        <v/>
      </c>
    </row>
    <row r="183" spans="12:12" x14ac:dyDescent="0.25">
      <c r="L183" s="164" t="str">
        <f>IFERROR(COUNTIF($C$18:C183,C183)&amp;CHOOSE(MIN(4,COUNTIF($C$18:C183,C183)),"st","nd","rd","th"),"")</f>
        <v/>
      </c>
    </row>
    <row r="184" spans="12:12" x14ac:dyDescent="0.25">
      <c r="L184" s="164" t="str">
        <f>IFERROR(COUNTIF($C$18:C184,C184)&amp;CHOOSE(MIN(4,COUNTIF($C$18:C184,C184)),"st","nd","rd","th"),"")</f>
        <v/>
      </c>
    </row>
    <row r="185" spans="12:12" x14ac:dyDescent="0.25">
      <c r="L185" s="164" t="str">
        <f>IFERROR(COUNTIF($C$18:C185,C185)&amp;CHOOSE(MIN(4,COUNTIF($C$18:C185,C185)),"st","nd","rd","th"),"")</f>
        <v/>
      </c>
    </row>
    <row r="186" spans="12:12" x14ac:dyDescent="0.25">
      <c r="L186" s="164" t="str">
        <f>IFERROR(COUNTIF($C$18:C186,C186)&amp;CHOOSE(MIN(4,COUNTIF($C$18:C186,C186)),"st","nd","rd","th"),"")</f>
        <v/>
      </c>
    </row>
    <row r="187" spans="12:12" x14ac:dyDescent="0.25">
      <c r="L187" s="164" t="str">
        <f>IFERROR(COUNTIF($C$18:C187,C187)&amp;CHOOSE(MIN(4,COUNTIF($C$18:C187,C187)),"st","nd","rd","th"),"")</f>
        <v/>
      </c>
    </row>
    <row r="188" spans="12:12" x14ac:dyDescent="0.25">
      <c r="L188" s="164" t="str">
        <f>IFERROR(COUNTIF($C$18:C188,C188)&amp;CHOOSE(MIN(4,COUNTIF($C$18:C188,C188)),"st","nd","rd","th"),"")</f>
        <v/>
      </c>
    </row>
    <row r="189" spans="12:12" x14ac:dyDescent="0.25">
      <c r="L189" s="164" t="str">
        <f>IFERROR(COUNTIF($C$18:C189,C189)&amp;CHOOSE(MIN(4,COUNTIF($C$18:C189,C189)),"st","nd","rd","th"),"")</f>
        <v/>
      </c>
    </row>
    <row r="190" spans="12:12" x14ac:dyDescent="0.25">
      <c r="L190" s="164" t="str">
        <f>IFERROR(COUNTIF($C$18:C190,C190)&amp;CHOOSE(MIN(4,COUNTIF($C$18:C190,C190)),"st","nd","rd","th"),"")</f>
        <v/>
      </c>
    </row>
    <row r="191" spans="12:12" x14ac:dyDescent="0.25">
      <c r="L191" s="164" t="str">
        <f>IFERROR(COUNTIF($C$18:C191,C191)&amp;CHOOSE(MIN(4,COUNTIF($C$18:C191,C191)),"st","nd","rd","th"),"")</f>
        <v/>
      </c>
    </row>
    <row r="192" spans="12:12" x14ac:dyDescent="0.25">
      <c r="L192" s="164" t="str">
        <f>IFERROR(COUNTIF($C$18:C192,C192)&amp;CHOOSE(MIN(4,COUNTIF($C$18:C192,C192)),"st","nd","rd","th"),"")</f>
        <v/>
      </c>
    </row>
    <row r="193" spans="12:12" x14ac:dyDescent="0.25">
      <c r="L193" s="164" t="str">
        <f>IFERROR(COUNTIF($C$18:C193,C193)&amp;CHOOSE(MIN(4,COUNTIF($C$18:C193,C193)),"st","nd","rd","th"),"")</f>
        <v/>
      </c>
    </row>
    <row r="194" spans="12:12" x14ac:dyDescent="0.25">
      <c r="L194" s="164" t="str">
        <f>IFERROR(COUNTIF($C$18:C194,C194)&amp;CHOOSE(MIN(4,COUNTIF($C$18:C194,C194)),"st","nd","rd","th"),"")</f>
        <v/>
      </c>
    </row>
    <row r="195" spans="12:12" x14ac:dyDescent="0.25">
      <c r="L195" s="164" t="str">
        <f>IFERROR(COUNTIF($C$18:C195,C195)&amp;CHOOSE(MIN(4,COUNTIF($C$18:C195,C195)),"st","nd","rd","th"),"")</f>
        <v/>
      </c>
    </row>
    <row r="196" spans="12:12" x14ac:dyDescent="0.25">
      <c r="L196" s="164" t="str">
        <f>IFERROR(COUNTIF($C$18:C196,C196)&amp;CHOOSE(MIN(4,COUNTIF($C$18:C196,C196)),"st","nd","rd","th"),"")</f>
        <v/>
      </c>
    </row>
    <row r="197" spans="12:12" x14ac:dyDescent="0.25">
      <c r="L197" s="164" t="str">
        <f>IFERROR(COUNTIF($C$18:C197,C197)&amp;CHOOSE(MIN(4,COUNTIF($C$18:C197,C197)),"st","nd","rd","th"),"")</f>
        <v/>
      </c>
    </row>
    <row r="198" spans="12:12" x14ac:dyDescent="0.25">
      <c r="L198" s="164" t="str">
        <f>IFERROR(COUNTIF($C$18:C198,C198)&amp;CHOOSE(MIN(4,COUNTIF($C$18:C198,C198)),"st","nd","rd","th"),"")</f>
        <v/>
      </c>
    </row>
    <row r="199" spans="12:12" x14ac:dyDescent="0.25">
      <c r="L199" s="164" t="str">
        <f>IFERROR(COUNTIF($C$18:C199,C199)&amp;CHOOSE(MIN(4,COUNTIF($C$18:C199,C199)),"st","nd","rd","th"),"")</f>
        <v/>
      </c>
    </row>
    <row r="200" spans="12:12" x14ac:dyDescent="0.25">
      <c r="L200" s="164" t="str">
        <f>IFERROR(COUNTIF($C$18:C200,C200)&amp;CHOOSE(MIN(4,COUNTIF($C$18:C200,C200)),"st","nd","rd","th"),"")</f>
        <v/>
      </c>
    </row>
    <row r="201" spans="12:12" x14ac:dyDescent="0.25">
      <c r="L201" s="164" t="str">
        <f>IFERROR(COUNTIF($C$18:C201,C201)&amp;CHOOSE(MIN(4,COUNTIF($C$18:C201,C201)),"st","nd","rd","th"),"")</f>
        <v/>
      </c>
    </row>
    <row r="202" spans="12:12" x14ac:dyDescent="0.25">
      <c r="L202" s="164" t="str">
        <f>IFERROR(COUNTIF($C$18:C202,C202)&amp;CHOOSE(MIN(4,COUNTIF($C$18:C202,C202)),"st","nd","rd","th"),"")</f>
        <v/>
      </c>
    </row>
    <row r="203" spans="12:12" x14ac:dyDescent="0.25">
      <c r="L203" s="164" t="str">
        <f>IFERROR(COUNTIF($C$18:C203,C203)&amp;CHOOSE(MIN(4,COUNTIF($C$18:C203,C203)),"st","nd","rd","th"),"")</f>
        <v/>
      </c>
    </row>
    <row r="204" spans="12:12" x14ac:dyDescent="0.25">
      <c r="L204" s="164" t="str">
        <f>IFERROR(COUNTIF($C$18:C204,C204)&amp;CHOOSE(MIN(4,COUNTIF($C$18:C204,C204)),"st","nd","rd","th"),"")</f>
        <v/>
      </c>
    </row>
    <row r="205" spans="12:12" x14ac:dyDescent="0.25">
      <c r="L205" s="164" t="str">
        <f>IFERROR(COUNTIF($C$18:C205,C205)&amp;CHOOSE(MIN(4,COUNTIF($C$18:C205,C205)),"st","nd","rd","th"),"")</f>
        <v/>
      </c>
    </row>
    <row r="206" spans="12:12" x14ac:dyDescent="0.25">
      <c r="L206" s="164" t="str">
        <f>IFERROR(COUNTIF($C$18:C206,C206)&amp;CHOOSE(MIN(4,COUNTIF($C$18:C206,C206)),"st","nd","rd","th"),"")</f>
        <v/>
      </c>
    </row>
    <row r="207" spans="12:12" x14ac:dyDescent="0.25">
      <c r="L207" s="164" t="str">
        <f>IFERROR(COUNTIF($C$18:C207,C207)&amp;CHOOSE(MIN(4,COUNTIF($C$18:C207,C207)),"st","nd","rd","th"),"")</f>
        <v/>
      </c>
    </row>
    <row r="208" spans="12:12" x14ac:dyDescent="0.25">
      <c r="L208" s="164" t="str">
        <f>IFERROR(COUNTIF($C$18:C208,C208)&amp;CHOOSE(MIN(4,COUNTIF($C$18:C208,C208)),"st","nd","rd","th"),"")</f>
        <v/>
      </c>
    </row>
    <row r="209" spans="12:12" x14ac:dyDescent="0.25">
      <c r="L209" s="164" t="str">
        <f>IFERROR(COUNTIF($C$18:C209,C209)&amp;CHOOSE(MIN(4,COUNTIF($C$18:C209,C209)),"st","nd","rd","th"),"")</f>
        <v/>
      </c>
    </row>
    <row r="210" spans="12:12" x14ac:dyDescent="0.25">
      <c r="L210" s="164" t="str">
        <f>IFERROR(COUNTIF($C$18:C210,C210)&amp;CHOOSE(MIN(4,COUNTIF($C$18:C210,C210)),"st","nd","rd","th"),"")</f>
        <v/>
      </c>
    </row>
    <row r="211" spans="12:12" x14ac:dyDescent="0.25">
      <c r="L211" s="164" t="str">
        <f>IFERROR(COUNTIF($C$18:C211,C211)&amp;CHOOSE(MIN(4,COUNTIF($C$18:C211,C211)),"st","nd","rd","th"),"")</f>
        <v/>
      </c>
    </row>
    <row r="212" spans="12:12" x14ac:dyDescent="0.25">
      <c r="L212" s="164" t="str">
        <f>IFERROR(COUNTIF($C$18:C212,C212)&amp;CHOOSE(MIN(4,COUNTIF($C$18:C212,C212)),"st","nd","rd","th"),"")</f>
        <v/>
      </c>
    </row>
    <row r="213" spans="12:12" x14ac:dyDescent="0.25">
      <c r="L213" s="164" t="str">
        <f>IFERROR(COUNTIF($C$18:C213,C213)&amp;CHOOSE(MIN(4,COUNTIF($C$18:C213,C213)),"st","nd","rd","th"),"")</f>
        <v/>
      </c>
    </row>
    <row r="214" spans="12:12" x14ac:dyDescent="0.25">
      <c r="L214" s="164" t="str">
        <f>IFERROR(COUNTIF($C$18:C214,C214)&amp;CHOOSE(MIN(4,COUNTIF($C$18:C214,C214)),"st","nd","rd","th"),"")</f>
        <v/>
      </c>
    </row>
    <row r="215" spans="12:12" x14ac:dyDescent="0.25">
      <c r="L215" s="164" t="str">
        <f>IFERROR(COUNTIF($C$18:C215,C215)&amp;CHOOSE(MIN(4,COUNTIF($C$18:C215,C215)),"st","nd","rd","th"),"")</f>
        <v/>
      </c>
    </row>
    <row r="216" spans="12:12" x14ac:dyDescent="0.25">
      <c r="L216" s="164" t="str">
        <f>IFERROR(COUNTIF($C$18:C216,C216)&amp;CHOOSE(MIN(4,COUNTIF($C$18:C216,C216)),"st","nd","rd","th"),"")</f>
        <v/>
      </c>
    </row>
    <row r="217" spans="12:12" x14ac:dyDescent="0.25">
      <c r="L217" s="164" t="str">
        <f>IFERROR(COUNTIF($C$18:C217,C217)&amp;CHOOSE(MIN(4,COUNTIF($C$18:C217,C217)),"st","nd","rd","th"),"")</f>
        <v/>
      </c>
    </row>
    <row r="218" spans="12:12" x14ac:dyDescent="0.25">
      <c r="L218" s="164" t="str">
        <f>IFERROR(COUNTIF($C$18:C218,C218)&amp;CHOOSE(MIN(4,COUNTIF($C$18:C218,C218)),"st","nd","rd","th"),"")</f>
        <v/>
      </c>
    </row>
    <row r="219" spans="12:12" x14ac:dyDescent="0.25">
      <c r="L219" s="164" t="str">
        <f>IFERROR(COUNTIF($C$18:C219,C219)&amp;CHOOSE(MIN(4,COUNTIF($C$18:C219,C219)),"st","nd","rd","th"),"")</f>
        <v/>
      </c>
    </row>
    <row r="220" spans="12:12" x14ac:dyDescent="0.25">
      <c r="L220" s="164" t="str">
        <f>IFERROR(COUNTIF($C$18:C220,C220)&amp;CHOOSE(MIN(4,COUNTIF($C$18:C220,C220)),"st","nd","rd","th"),"")</f>
        <v/>
      </c>
    </row>
    <row r="221" spans="12:12" x14ac:dyDescent="0.25">
      <c r="L221" s="164" t="str">
        <f>IFERROR(COUNTIF($C$18:C221,C221)&amp;CHOOSE(MIN(4,COUNTIF($C$18:C221,C221)),"st","nd","rd","th"),"")</f>
        <v/>
      </c>
    </row>
    <row r="222" spans="12:12" x14ac:dyDescent="0.25">
      <c r="L222" s="164" t="str">
        <f>IFERROR(COUNTIF($C$18:C222,C222)&amp;CHOOSE(MIN(4,COUNTIF($C$18:C222,C222)),"st","nd","rd","th"),"")</f>
        <v/>
      </c>
    </row>
    <row r="223" spans="12:12" x14ac:dyDescent="0.25">
      <c r="L223" s="164" t="str">
        <f>IFERROR(COUNTIF($C$18:C223,C223)&amp;CHOOSE(MIN(4,COUNTIF($C$18:C223,C223)),"st","nd","rd","th"),"")</f>
        <v/>
      </c>
    </row>
    <row r="224" spans="12:12" x14ac:dyDescent="0.25">
      <c r="L224" s="164" t="str">
        <f>IFERROR(COUNTIF($C$18:C224,C224)&amp;CHOOSE(MIN(4,COUNTIF($C$18:C224,C224)),"st","nd","rd","th"),"")</f>
        <v/>
      </c>
    </row>
    <row r="225" spans="12:12" x14ac:dyDescent="0.25">
      <c r="L225" s="164" t="str">
        <f>IFERROR(COUNTIF($C$18:C225,C225)&amp;CHOOSE(MIN(4,COUNTIF($C$18:C225,C225)),"st","nd","rd","th"),"")</f>
        <v/>
      </c>
    </row>
    <row r="226" spans="12:12" x14ac:dyDescent="0.25">
      <c r="L226" s="164" t="str">
        <f>IFERROR(COUNTIF($C$18:C226,C226)&amp;CHOOSE(MIN(4,COUNTIF($C$18:C226,C226)),"st","nd","rd","th"),"")</f>
        <v/>
      </c>
    </row>
    <row r="227" spans="12:12" x14ac:dyDescent="0.25">
      <c r="L227" s="164" t="str">
        <f>IFERROR(COUNTIF($C$18:C227,C227)&amp;CHOOSE(MIN(4,COUNTIF($C$18:C227,C227)),"st","nd","rd","th"),"")</f>
        <v/>
      </c>
    </row>
    <row r="228" spans="12:12" x14ac:dyDescent="0.25">
      <c r="L228" s="164" t="str">
        <f>IFERROR(COUNTIF($C$18:C228,C228)&amp;CHOOSE(MIN(4,COUNTIF($C$18:C228,C228)),"st","nd","rd","th"),"")</f>
        <v/>
      </c>
    </row>
    <row r="229" spans="12:12" x14ac:dyDescent="0.25">
      <c r="L229" s="164" t="str">
        <f>IFERROR(COUNTIF($C$18:C229,C229)&amp;CHOOSE(MIN(4,COUNTIF($C$18:C229,C229)),"st","nd","rd","th"),"")</f>
        <v/>
      </c>
    </row>
    <row r="230" spans="12:12" x14ac:dyDescent="0.25">
      <c r="L230" s="164" t="str">
        <f>IFERROR(COUNTIF($C$18:C230,C230)&amp;CHOOSE(MIN(4,COUNTIF($C$18:C230,C230)),"st","nd","rd","th"),"")</f>
        <v/>
      </c>
    </row>
    <row r="231" spans="12:12" x14ac:dyDescent="0.25">
      <c r="L231" s="164" t="str">
        <f>IFERROR(COUNTIF($C$18:C231,C231)&amp;CHOOSE(MIN(4,COUNTIF($C$18:C231,C231)),"st","nd","rd","th"),"")</f>
        <v/>
      </c>
    </row>
    <row r="232" spans="12:12" x14ac:dyDescent="0.25">
      <c r="L232" s="164" t="str">
        <f>IFERROR(COUNTIF($C$18:C232,C232)&amp;CHOOSE(MIN(4,COUNTIF($C$18:C232,C232)),"st","nd","rd","th"),"")</f>
        <v/>
      </c>
    </row>
    <row r="233" spans="12:12" x14ac:dyDescent="0.25">
      <c r="L233" s="164" t="str">
        <f>IFERROR(COUNTIF($C$18:C233,C233)&amp;CHOOSE(MIN(4,COUNTIF($C$18:C233,C233)),"st","nd","rd","th"),"")</f>
        <v/>
      </c>
    </row>
    <row r="234" spans="12:12" x14ac:dyDescent="0.25">
      <c r="L234" s="164" t="str">
        <f>IFERROR(COUNTIF($C$18:C234,C234)&amp;CHOOSE(MIN(4,COUNTIF($C$18:C234,C234)),"st","nd","rd","th"),"")</f>
        <v/>
      </c>
    </row>
    <row r="235" spans="12:12" x14ac:dyDescent="0.25">
      <c r="L235" s="164" t="str">
        <f>IFERROR(COUNTIF($C$18:C235,C235)&amp;CHOOSE(MIN(4,COUNTIF($C$18:C235,C235)),"st","nd","rd","th"),"")</f>
        <v/>
      </c>
    </row>
    <row r="236" spans="12:12" x14ac:dyDescent="0.25">
      <c r="L236" s="164" t="str">
        <f>IFERROR(COUNTIF($C$18:C236,C236)&amp;CHOOSE(MIN(4,COUNTIF($C$18:C236,C236)),"st","nd","rd","th"),"")</f>
        <v/>
      </c>
    </row>
    <row r="237" spans="12:12" x14ac:dyDescent="0.25">
      <c r="L237" s="164" t="str">
        <f>IFERROR(COUNTIF($C$18:C237,C237)&amp;CHOOSE(MIN(4,COUNTIF($C$18:C237,C237)),"st","nd","rd","th"),"")</f>
        <v/>
      </c>
    </row>
    <row r="238" spans="12:12" x14ac:dyDescent="0.25">
      <c r="L238" s="164" t="str">
        <f>IFERROR(COUNTIF($C$18:C238,C238)&amp;CHOOSE(MIN(4,COUNTIF($C$18:C238,C238)),"st","nd","rd","th"),"")</f>
        <v/>
      </c>
    </row>
    <row r="239" spans="12:12" x14ac:dyDescent="0.25">
      <c r="L239" s="164" t="str">
        <f>IFERROR(COUNTIF($C$18:C239,C239)&amp;CHOOSE(MIN(4,COUNTIF($C$18:C239,C239)),"st","nd","rd","th"),"")</f>
        <v/>
      </c>
    </row>
    <row r="240" spans="12:12" x14ac:dyDescent="0.25">
      <c r="L240" s="164" t="str">
        <f>IFERROR(COUNTIF($C$18:C240,C240)&amp;CHOOSE(MIN(4,COUNTIF($C$18:C240,C240)),"st","nd","rd","th"),"")</f>
        <v/>
      </c>
    </row>
    <row r="241" spans="12:12" x14ac:dyDescent="0.25">
      <c r="L241" s="164" t="str">
        <f>IFERROR(COUNTIF($C$18:C241,C241)&amp;CHOOSE(MIN(4,COUNTIF($C$18:C241,C241)),"st","nd","rd","th"),"")</f>
        <v/>
      </c>
    </row>
    <row r="242" spans="12:12" x14ac:dyDescent="0.25">
      <c r="L242" s="164" t="str">
        <f>IFERROR(COUNTIF($C$18:C242,C242)&amp;CHOOSE(MIN(4,COUNTIF($C$18:C242,C242)),"st","nd","rd","th"),"")</f>
        <v/>
      </c>
    </row>
    <row r="243" spans="12:12" x14ac:dyDescent="0.25">
      <c r="L243" s="164" t="str">
        <f>IFERROR(COUNTIF($C$18:C243,C243)&amp;CHOOSE(MIN(4,COUNTIF($C$18:C243,C243)),"st","nd","rd","th"),"")</f>
        <v/>
      </c>
    </row>
    <row r="244" spans="12:12" x14ac:dyDescent="0.25">
      <c r="L244" s="164" t="str">
        <f>IFERROR(COUNTIF($C$18:C244,C244)&amp;CHOOSE(MIN(4,COUNTIF($C$18:C244,C244)),"st","nd","rd","th"),"")</f>
        <v/>
      </c>
    </row>
    <row r="245" spans="12:12" x14ac:dyDescent="0.25">
      <c r="L245" s="164" t="str">
        <f>IFERROR(COUNTIF($C$18:C245,C245)&amp;CHOOSE(MIN(4,COUNTIF($C$18:C245,C245)),"st","nd","rd","th"),"")</f>
        <v/>
      </c>
    </row>
    <row r="246" spans="12:12" x14ac:dyDescent="0.25">
      <c r="L246" s="164" t="str">
        <f>IFERROR(COUNTIF($C$18:C246,C246)&amp;CHOOSE(MIN(4,COUNTIF($C$18:C246,C246)),"st","nd","rd","th"),"")</f>
        <v/>
      </c>
    </row>
    <row r="247" spans="12:12" x14ac:dyDescent="0.25">
      <c r="L247" s="164" t="str">
        <f>IFERROR(COUNTIF($C$18:C247,C247)&amp;CHOOSE(MIN(4,COUNTIF($C$18:C247,C247)),"st","nd","rd","th"),"")</f>
        <v/>
      </c>
    </row>
    <row r="248" spans="12:12" x14ac:dyDescent="0.25">
      <c r="L248" s="164" t="str">
        <f>IFERROR(COUNTIF($C$18:C248,C248)&amp;CHOOSE(MIN(4,COUNTIF($C$18:C248,C248)),"st","nd","rd","th"),"")</f>
        <v/>
      </c>
    </row>
    <row r="249" spans="12:12" x14ac:dyDescent="0.25">
      <c r="L249" s="164" t="str">
        <f>IFERROR(COUNTIF($C$18:C249,C249)&amp;CHOOSE(MIN(4,COUNTIF($C$18:C249,C249)),"st","nd","rd","th"),"")</f>
        <v/>
      </c>
    </row>
    <row r="250" spans="12:12" x14ac:dyDescent="0.25">
      <c r="L250" s="164" t="str">
        <f>IFERROR(COUNTIF($C$18:C250,C250)&amp;CHOOSE(MIN(4,COUNTIF($C$18:C250,C250)),"st","nd","rd","th"),"")</f>
        <v/>
      </c>
    </row>
    <row r="251" spans="12:12" x14ac:dyDescent="0.25">
      <c r="L251" s="164" t="str">
        <f>IFERROR(COUNTIF($C$18:C251,C251)&amp;CHOOSE(MIN(4,COUNTIF($C$18:C251,C251)),"st","nd","rd","th"),"")</f>
        <v/>
      </c>
    </row>
    <row r="252" spans="12:12" x14ac:dyDescent="0.25">
      <c r="L252" s="164" t="str">
        <f>IFERROR(COUNTIF($C$18:C252,C252)&amp;CHOOSE(MIN(4,COUNTIF($C$18:C252,C252)),"st","nd","rd","th"),"")</f>
        <v/>
      </c>
    </row>
    <row r="253" spans="12:12" x14ac:dyDescent="0.25">
      <c r="L253" s="164" t="str">
        <f>IFERROR(COUNTIF($C$18:C253,C253)&amp;CHOOSE(MIN(4,COUNTIF($C$18:C253,C253)),"st","nd","rd","th"),"")</f>
        <v/>
      </c>
    </row>
    <row r="254" spans="12:12" x14ac:dyDescent="0.25">
      <c r="L254" s="164" t="str">
        <f>IFERROR(COUNTIF($C$18:C254,C254)&amp;CHOOSE(MIN(4,COUNTIF($C$18:C254,C254)),"st","nd","rd","th"),"")</f>
        <v/>
      </c>
    </row>
    <row r="255" spans="12:12" x14ac:dyDescent="0.25">
      <c r="L255" s="164" t="str">
        <f>IFERROR(COUNTIF($C$18:C255,C255)&amp;CHOOSE(MIN(4,COUNTIF($C$18:C255,C255)),"st","nd","rd","th"),"")</f>
        <v/>
      </c>
    </row>
    <row r="256" spans="12:12" x14ac:dyDescent="0.25">
      <c r="L256" s="164" t="str">
        <f>IFERROR(COUNTIF($C$18:C256,C256)&amp;CHOOSE(MIN(4,COUNTIF($C$18:C256,C256)),"st","nd","rd","th"),"")</f>
        <v/>
      </c>
    </row>
    <row r="257" spans="12:12" x14ac:dyDescent="0.25">
      <c r="L257" s="164" t="str">
        <f>IFERROR(COUNTIF($C$18:C257,C257)&amp;CHOOSE(MIN(4,COUNTIF($C$18:C257,C257)),"st","nd","rd","th"),"")</f>
        <v/>
      </c>
    </row>
    <row r="258" spans="12:12" x14ac:dyDescent="0.25">
      <c r="L258" s="164" t="str">
        <f>IFERROR(COUNTIF($C$18:C258,C258)&amp;CHOOSE(MIN(4,COUNTIF($C$18:C258,C258)),"st","nd","rd","th"),"")</f>
        <v/>
      </c>
    </row>
    <row r="259" spans="12:12" x14ac:dyDescent="0.25">
      <c r="L259" s="164" t="str">
        <f>IFERROR(COUNTIF($C$18:C259,C259)&amp;CHOOSE(MIN(4,COUNTIF($C$18:C259,C259)),"st","nd","rd","th"),"")</f>
        <v/>
      </c>
    </row>
    <row r="260" spans="12:12" x14ac:dyDescent="0.25">
      <c r="L260" s="164" t="str">
        <f>IFERROR(COUNTIF($C$18:C260,C260)&amp;CHOOSE(MIN(4,COUNTIF($C$18:C260,C260)),"st","nd","rd","th"),"")</f>
        <v/>
      </c>
    </row>
    <row r="261" spans="12:12" x14ac:dyDescent="0.25">
      <c r="L261" s="164" t="str">
        <f>IFERROR(COUNTIF($C$18:C261,C261)&amp;CHOOSE(MIN(4,COUNTIF($C$18:C261,C261)),"st","nd","rd","th"),"")</f>
        <v/>
      </c>
    </row>
    <row r="262" spans="12:12" x14ac:dyDescent="0.25">
      <c r="L262" s="164" t="str">
        <f>IFERROR(COUNTIF($C$18:C262,C262)&amp;CHOOSE(MIN(4,COUNTIF($C$18:C262,C262)),"st","nd","rd","th"),"")</f>
        <v/>
      </c>
    </row>
    <row r="263" spans="12:12" x14ac:dyDescent="0.25">
      <c r="L263" s="164" t="str">
        <f>IFERROR(COUNTIF($C$18:C263,C263)&amp;CHOOSE(MIN(4,COUNTIF($C$18:C263,C263)),"st","nd","rd","th"),"")</f>
        <v/>
      </c>
    </row>
    <row r="264" spans="12:12" x14ac:dyDescent="0.25">
      <c r="L264" s="164" t="str">
        <f>IFERROR(COUNTIF($C$18:C264,C264)&amp;CHOOSE(MIN(4,COUNTIF($C$18:C264,C264)),"st","nd","rd","th"),"")</f>
        <v/>
      </c>
    </row>
    <row r="265" spans="12:12" x14ac:dyDescent="0.25">
      <c r="L265" s="164" t="str">
        <f>IFERROR(COUNTIF($C$18:C265,C265)&amp;CHOOSE(MIN(4,COUNTIF($C$18:C265,C265)),"st","nd","rd","th"),"")</f>
        <v/>
      </c>
    </row>
    <row r="266" spans="12:12" x14ac:dyDescent="0.25">
      <c r="L266" s="164" t="str">
        <f>IFERROR(COUNTIF($C$18:C266,C266)&amp;CHOOSE(MIN(4,COUNTIF($C$18:C266,C266)),"st","nd","rd","th"),"")</f>
        <v/>
      </c>
    </row>
    <row r="267" spans="12:12" x14ac:dyDescent="0.25">
      <c r="L267" s="164" t="str">
        <f>IFERROR(COUNTIF($C$18:C267,C267)&amp;CHOOSE(MIN(4,COUNTIF($C$18:C267,C267)),"st","nd","rd","th"),"")</f>
        <v/>
      </c>
    </row>
    <row r="268" spans="12:12" x14ac:dyDescent="0.25">
      <c r="L268" s="164" t="str">
        <f>IFERROR(COUNTIF($C$18:C268,C268)&amp;CHOOSE(MIN(4,COUNTIF($C$18:C268,C268)),"st","nd","rd","th"),"")</f>
        <v/>
      </c>
    </row>
    <row r="269" spans="12:12" x14ac:dyDescent="0.25">
      <c r="L269" s="164" t="str">
        <f>IFERROR(COUNTIF($C$18:C269,C269)&amp;CHOOSE(MIN(4,COUNTIF($C$18:C269,C269)),"st","nd","rd","th"),"")</f>
        <v/>
      </c>
    </row>
    <row r="270" spans="12:12" x14ac:dyDescent="0.25">
      <c r="L270" s="164" t="str">
        <f>IFERROR(COUNTIF($C$18:C270,C270)&amp;CHOOSE(MIN(4,COUNTIF($C$18:C270,C270)),"st","nd","rd","th"),"")</f>
        <v/>
      </c>
    </row>
    <row r="271" spans="12:12" x14ac:dyDescent="0.25">
      <c r="L271" s="164" t="str">
        <f>IFERROR(COUNTIF($C$18:C271,C271)&amp;CHOOSE(MIN(4,COUNTIF($C$18:C271,C271)),"st","nd","rd","th"),"")</f>
        <v/>
      </c>
    </row>
    <row r="272" spans="12:12" x14ac:dyDescent="0.25">
      <c r="L272" s="164" t="str">
        <f>IFERROR(COUNTIF($C$18:C272,C272)&amp;CHOOSE(MIN(4,COUNTIF($C$18:C272,C272)),"st","nd","rd","th"),"")</f>
        <v/>
      </c>
    </row>
    <row r="273" spans="12:12" x14ac:dyDescent="0.25">
      <c r="L273" s="164" t="str">
        <f>IFERROR(COUNTIF($C$18:C273,C273)&amp;CHOOSE(MIN(4,COUNTIF($C$18:C273,C273)),"st","nd","rd","th"),"")</f>
        <v/>
      </c>
    </row>
    <row r="274" spans="12:12" x14ac:dyDescent="0.25">
      <c r="L274" s="164" t="str">
        <f>IFERROR(COUNTIF($C$18:C274,C274)&amp;CHOOSE(MIN(4,COUNTIF($C$18:C274,C274)),"st","nd","rd","th"),"")</f>
        <v/>
      </c>
    </row>
    <row r="275" spans="12:12" x14ac:dyDescent="0.25">
      <c r="L275" s="164" t="str">
        <f>IFERROR(COUNTIF($C$18:C275,C275)&amp;CHOOSE(MIN(4,COUNTIF($C$18:C275,C275)),"st","nd","rd","th"),"")</f>
        <v/>
      </c>
    </row>
    <row r="276" spans="12:12" x14ac:dyDescent="0.25">
      <c r="L276" s="164" t="str">
        <f>IFERROR(COUNTIF($C$18:C276,C276)&amp;CHOOSE(MIN(4,COUNTIF($C$18:C276,C276)),"st","nd","rd","th"),"")</f>
        <v/>
      </c>
    </row>
    <row r="277" spans="12:12" x14ac:dyDescent="0.25">
      <c r="L277" s="164" t="str">
        <f>IFERROR(COUNTIF($C$18:C277,C277)&amp;CHOOSE(MIN(4,COUNTIF($C$18:C277,C277)),"st","nd","rd","th"),"")</f>
        <v/>
      </c>
    </row>
    <row r="278" spans="12:12" x14ac:dyDescent="0.25">
      <c r="L278" s="164" t="str">
        <f>IFERROR(COUNTIF($C$18:C278,C278)&amp;CHOOSE(MIN(4,COUNTIF($C$18:C278,C278)),"st","nd","rd","th"),"")</f>
        <v/>
      </c>
    </row>
    <row r="279" spans="12:12" x14ac:dyDescent="0.25">
      <c r="L279" s="164" t="str">
        <f>IFERROR(COUNTIF($C$18:C279,C279)&amp;CHOOSE(MIN(4,COUNTIF($C$18:C279,C279)),"st","nd","rd","th"),"")</f>
        <v/>
      </c>
    </row>
    <row r="280" spans="12:12" x14ac:dyDescent="0.25">
      <c r="L280" s="164" t="str">
        <f>IFERROR(COUNTIF($C$18:C280,C280)&amp;CHOOSE(MIN(4,COUNTIF($C$18:C280,C280)),"st","nd","rd","th"),"")</f>
        <v/>
      </c>
    </row>
    <row r="281" spans="12:12" x14ac:dyDescent="0.25">
      <c r="L281" s="164" t="str">
        <f>IFERROR(COUNTIF($C$18:C281,C281)&amp;CHOOSE(MIN(4,COUNTIF($C$18:C281,C281)),"st","nd","rd","th"),"")</f>
        <v/>
      </c>
    </row>
    <row r="282" spans="12:12" x14ac:dyDescent="0.25">
      <c r="L282" s="164" t="str">
        <f>IFERROR(COUNTIF($C$18:C282,C282)&amp;CHOOSE(MIN(4,COUNTIF($C$18:C282,C282)),"st","nd","rd","th"),"")</f>
        <v/>
      </c>
    </row>
    <row r="283" spans="12:12" x14ac:dyDescent="0.25">
      <c r="L283" s="164" t="str">
        <f>IFERROR(COUNTIF($C$18:C283,C283)&amp;CHOOSE(MIN(4,COUNTIF($C$18:C283,C283)),"st","nd","rd","th"),"")</f>
        <v/>
      </c>
    </row>
    <row r="284" spans="12:12" x14ac:dyDescent="0.25">
      <c r="L284" s="164" t="str">
        <f>IFERROR(COUNTIF($C$18:C284,C284)&amp;CHOOSE(MIN(4,COUNTIF($C$18:C284,C284)),"st","nd","rd","th"),"")</f>
        <v/>
      </c>
    </row>
    <row r="285" spans="12:12" x14ac:dyDescent="0.25">
      <c r="L285" s="164" t="str">
        <f>IFERROR(COUNTIF($C$18:C285,C285)&amp;CHOOSE(MIN(4,COUNTIF($C$18:C285,C285)),"st","nd","rd","th"),"")</f>
        <v/>
      </c>
    </row>
    <row r="286" spans="12:12" x14ac:dyDescent="0.25">
      <c r="L286" s="164" t="str">
        <f>IFERROR(COUNTIF($C$18:C286,C286)&amp;CHOOSE(MIN(4,COUNTIF($C$18:C286,C286)),"st","nd","rd","th"),"")</f>
        <v/>
      </c>
    </row>
    <row r="287" spans="12:12" x14ac:dyDescent="0.25">
      <c r="L287" s="164" t="str">
        <f>IFERROR(COUNTIF($C$18:C287,C287)&amp;CHOOSE(MIN(4,COUNTIF($C$18:C287,C287)),"st","nd","rd","th"),"")</f>
        <v/>
      </c>
    </row>
    <row r="288" spans="12:12" x14ac:dyDescent="0.25">
      <c r="L288" s="164" t="str">
        <f>IFERROR(COUNTIF($C$18:C288,C288)&amp;CHOOSE(MIN(4,COUNTIF($C$18:C288,C288)),"st","nd","rd","th"),"")</f>
        <v/>
      </c>
    </row>
    <row r="289" spans="12:12" x14ac:dyDescent="0.25">
      <c r="L289" s="164" t="str">
        <f>IFERROR(COUNTIF($C$18:C289,C289)&amp;CHOOSE(MIN(4,COUNTIF($C$18:C289,C289)),"st","nd","rd","th"),"")</f>
        <v/>
      </c>
    </row>
    <row r="290" spans="12:12" x14ac:dyDescent="0.25">
      <c r="L290" s="164" t="str">
        <f>IFERROR(COUNTIF($C$18:C290,C290)&amp;CHOOSE(MIN(4,COUNTIF($C$18:C290,C290)),"st","nd","rd","th"),"")</f>
        <v/>
      </c>
    </row>
    <row r="291" spans="12:12" x14ac:dyDescent="0.25">
      <c r="L291" s="164" t="str">
        <f>IFERROR(COUNTIF($C$18:C291,C291)&amp;CHOOSE(MIN(4,COUNTIF($C$18:C291,C291)),"st","nd","rd","th"),"")</f>
        <v/>
      </c>
    </row>
    <row r="292" spans="12:12" x14ac:dyDescent="0.25">
      <c r="L292" s="164" t="str">
        <f>IFERROR(COUNTIF($C$18:C292,C292)&amp;CHOOSE(MIN(4,COUNTIF($C$18:C292,C292)),"st","nd","rd","th"),"")</f>
        <v/>
      </c>
    </row>
    <row r="293" spans="12:12" x14ac:dyDescent="0.25">
      <c r="L293" s="164" t="str">
        <f>IFERROR(COUNTIF($C$18:C293,C293)&amp;CHOOSE(MIN(4,COUNTIF($C$18:C293,C293)),"st","nd","rd","th"),"")</f>
        <v/>
      </c>
    </row>
    <row r="294" spans="12:12" x14ac:dyDescent="0.25">
      <c r="L294" s="164" t="str">
        <f>IFERROR(COUNTIF($C$18:C294,C294)&amp;CHOOSE(MIN(4,COUNTIF($C$18:C294,C294)),"st","nd","rd","th"),"")</f>
        <v/>
      </c>
    </row>
    <row r="295" spans="12:12" x14ac:dyDescent="0.25">
      <c r="L295" s="164" t="str">
        <f>IFERROR(COUNTIF($C$18:C295,C295)&amp;CHOOSE(MIN(4,COUNTIF($C$18:C295,C295)),"st","nd","rd","th"),"")</f>
        <v/>
      </c>
    </row>
    <row r="296" spans="12:12" x14ac:dyDescent="0.25">
      <c r="L296" s="164" t="str">
        <f>IFERROR(COUNTIF($C$18:C296,C296)&amp;CHOOSE(MIN(4,COUNTIF($C$18:C296,C296)),"st","nd","rd","th"),"")</f>
        <v/>
      </c>
    </row>
    <row r="297" spans="12:12" x14ac:dyDescent="0.25">
      <c r="L297" s="164" t="str">
        <f>IFERROR(COUNTIF($C$18:C297,C297)&amp;CHOOSE(MIN(4,COUNTIF($C$18:C297,C297)),"st","nd","rd","th"),"")</f>
        <v/>
      </c>
    </row>
    <row r="298" spans="12:12" x14ac:dyDescent="0.25">
      <c r="L298" s="164" t="str">
        <f>IFERROR(COUNTIF($C$18:C298,C298)&amp;CHOOSE(MIN(4,COUNTIF($C$18:C298,C298)),"st","nd","rd","th"),"")</f>
        <v/>
      </c>
    </row>
    <row r="299" spans="12:12" x14ac:dyDescent="0.25">
      <c r="L299" s="164" t="str">
        <f>IFERROR(COUNTIF($C$18:C299,C299)&amp;CHOOSE(MIN(4,COUNTIF($C$18:C299,C299)),"st","nd","rd","th"),"")</f>
        <v/>
      </c>
    </row>
    <row r="300" spans="12:12" x14ac:dyDescent="0.25">
      <c r="L300" s="164" t="str">
        <f>IFERROR(COUNTIF($C$18:C300,C300)&amp;CHOOSE(MIN(4,COUNTIF($C$18:C300,C300)),"st","nd","rd","th"),"")</f>
        <v/>
      </c>
    </row>
    <row r="301" spans="12:12" x14ac:dyDescent="0.25">
      <c r="L301" s="164" t="str">
        <f>IFERROR(COUNTIF($C$18:C301,C301)&amp;CHOOSE(MIN(4,COUNTIF($C$18:C301,C301)),"st","nd","rd","th"),"")</f>
        <v/>
      </c>
    </row>
    <row r="302" spans="12:12" x14ac:dyDescent="0.25">
      <c r="L302" s="164" t="str">
        <f>IFERROR(COUNTIF($C$18:C302,C302)&amp;CHOOSE(MIN(4,COUNTIF($C$18:C302,C302)),"st","nd","rd","th"),"")</f>
        <v/>
      </c>
    </row>
    <row r="303" spans="12:12" x14ac:dyDescent="0.25">
      <c r="L303" s="164" t="str">
        <f>IFERROR(COUNTIF($C$18:C303,C303)&amp;CHOOSE(MIN(4,COUNTIF($C$18:C303,C303)),"st","nd","rd","th"),"")</f>
        <v/>
      </c>
    </row>
    <row r="304" spans="12:12" x14ac:dyDescent="0.25">
      <c r="L304" s="164" t="str">
        <f>IFERROR(COUNTIF($C$18:C304,C304)&amp;CHOOSE(MIN(4,COUNTIF($C$18:C304,C304)),"st","nd","rd","th"),"")</f>
        <v/>
      </c>
    </row>
    <row r="305" spans="12:12" x14ac:dyDescent="0.25">
      <c r="L305" s="164" t="str">
        <f>IFERROR(COUNTIF($C$18:C305,C305)&amp;CHOOSE(MIN(4,COUNTIF($C$18:C305,C305)),"st","nd","rd","th"),"")</f>
        <v/>
      </c>
    </row>
    <row r="306" spans="12:12" x14ac:dyDescent="0.25">
      <c r="L306" s="164" t="str">
        <f>IFERROR(COUNTIF($C$18:C306,C306)&amp;CHOOSE(MIN(4,COUNTIF($C$18:C306,C306)),"st","nd","rd","th"),"")</f>
        <v/>
      </c>
    </row>
    <row r="307" spans="12:12" x14ac:dyDescent="0.25">
      <c r="L307" s="164" t="str">
        <f>IFERROR(COUNTIF($C$18:C307,C307)&amp;CHOOSE(MIN(4,COUNTIF($C$18:C307,C307)),"st","nd","rd","th"),"")</f>
        <v/>
      </c>
    </row>
    <row r="308" spans="12:12" x14ac:dyDescent="0.25">
      <c r="L308" s="164" t="str">
        <f>IFERROR(COUNTIF($C$18:C308,C308)&amp;CHOOSE(MIN(4,COUNTIF($C$18:C308,C308)),"st","nd","rd","th"),"")</f>
        <v/>
      </c>
    </row>
    <row r="309" spans="12:12" x14ac:dyDescent="0.25">
      <c r="L309" s="164" t="str">
        <f>IFERROR(COUNTIF($C$18:C309,C309)&amp;CHOOSE(MIN(4,COUNTIF($C$18:C309,C309)),"st","nd","rd","th"),"")</f>
        <v/>
      </c>
    </row>
    <row r="310" spans="12:12" x14ac:dyDescent="0.25">
      <c r="L310" s="164" t="str">
        <f>IFERROR(COUNTIF($C$18:C310,C310)&amp;CHOOSE(MIN(4,COUNTIF($C$18:C310,C310)),"st","nd","rd","th"),"")</f>
        <v/>
      </c>
    </row>
    <row r="311" spans="12:12" x14ac:dyDescent="0.25">
      <c r="L311" s="164" t="str">
        <f>IFERROR(COUNTIF($C$18:C311,C311)&amp;CHOOSE(MIN(4,COUNTIF($C$18:C311,C311)),"st","nd","rd","th"),"")</f>
        <v/>
      </c>
    </row>
    <row r="312" spans="12:12" x14ac:dyDescent="0.25">
      <c r="L312" s="164" t="str">
        <f>IFERROR(COUNTIF($C$18:C312,C312)&amp;CHOOSE(MIN(4,COUNTIF($C$18:C312,C312)),"st","nd","rd","th"),"")</f>
        <v/>
      </c>
    </row>
    <row r="313" spans="12:12" x14ac:dyDescent="0.25">
      <c r="L313" s="164" t="str">
        <f>IFERROR(COUNTIF($C$18:C313,C313)&amp;CHOOSE(MIN(4,COUNTIF($C$18:C313,C313)),"st","nd","rd","th"),"")</f>
        <v/>
      </c>
    </row>
    <row r="314" spans="12:12" x14ac:dyDescent="0.25">
      <c r="L314" s="164" t="str">
        <f>IFERROR(COUNTIF($C$18:C314,C314)&amp;CHOOSE(MIN(4,COUNTIF($C$18:C314,C314)),"st","nd","rd","th"),"")</f>
        <v/>
      </c>
    </row>
    <row r="315" spans="12:12" x14ac:dyDescent="0.25">
      <c r="L315" s="164" t="str">
        <f>IFERROR(COUNTIF($C$18:C315,C315)&amp;CHOOSE(MIN(4,COUNTIF($C$18:C315,C315)),"st","nd","rd","th"),"")</f>
        <v/>
      </c>
    </row>
    <row r="316" spans="12:12" x14ac:dyDescent="0.25">
      <c r="L316" s="164" t="str">
        <f>IFERROR(COUNTIF($C$18:C316,C316)&amp;CHOOSE(MIN(4,COUNTIF($C$18:C316,C316)),"st","nd","rd","th"),"")</f>
        <v/>
      </c>
    </row>
    <row r="317" spans="12:12" x14ac:dyDescent="0.25">
      <c r="L317" s="164" t="str">
        <f>IFERROR(COUNTIF($C$18:C317,C317)&amp;CHOOSE(MIN(4,COUNTIF($C$18:C317,C317)),"st","nd","rd","th"),"")</f>
        <v/>
      </c>
    </row>
    <row r="318" spans="12:12" x14ac:dyDescent="0.25">
      <c r="L318" s="164" t="str">
        <f>IFERROR(COUNTIF($C$18:C318,C318)&amp;CHOOSE(MIN(4,COUNTIF($C$18:C318,C318)),"st","nd","rd","th"),"")</f>
        <v/>
      </c>
    </row>
    <row r="319" spans="12:12" x14ac:dyDescent="0.25">
      <c r="L319" s="164" t="str">
        <f>IFERROR(COUNTIF($C$18:C319,C319)&amp;CHOOSE(MIN(4,COUNTIF($C$18:C319,C319)),"st","nd","rd","th"),"")</f>
        <v/>
      </c>
    </row>
    <row r="320" spans="12:12" x14ac:dyDescent="0.25">
      <c r="L320" s="164" t="str">
        <f>IFERROR(COUNTIF($C$18:C320,C320)&amp;CHOOSE(MIN(4,COUNTIF($C$18:C320,C320)),"st","nd","rd","th"),"")</f>
        <v/>
      </c>
    </row>
    <row r="321" spans="12:12" x14ac:dyDescent="0.25">
      <c r="L321" s="164" t="str">
        <f>IFERROR(COUNTIF($C$18:C321,C321)&amp;CHOOSE(MIN(4,COUNTIF($C$18:C321,C321)),"st","nd","rd","th"),"")</f>
        <v/>
      </c>
    </row>
    <row r="322" spans="12:12" x14ac:dyDescent="0.25">
      <c r="L322" s="164" t="str">
        <f>IFERROR(COUNTIF($C$18:C322,C322)&amp;CHOOSE(MIN(4,COUNTIF($C$18:C322,C322)),"st","nd","rd","th"),"")</f>
        <v/>
      </c>
    </row>
    <row r="323" spans="12:12" x14ac:dyDescent="0.25">
      <c r="L323" s="164" t="str">
        <f>IFERROR(COUNTIF($C$18:C323,C323)&amp;CHOOSE(MIN(4,COUNTIF($C$18:C323,C323)),"st","nd","rd","th"),"")</f>
        <v/>
      </c>
    </row>
    <row r="324" spans="12:12" x14ac:dyDescent="0.25">
      <c r="L324" s="164" t="str">
        <f>IFERROR(COUNTIF($C$18:C324,C324)&amp;CHOOSE(MIN(4,COUNTIF($C$18:C324,C324)),"st","nd","rd","th"),"")</f>
        <v/>
      </c>
    </row>
    <row r="325" spans="12:12" x14ac:dyDescent="0.25">
      <c r="L325" s="164" t="str">
        <f>IFERROR(COUNTIF($C$18:C325,C325)&amp;CHOOSE(MIN(4,COUNTIF($C$18:C325,C325)),"st","nd","rd","th"),"")</f>
        <v/>
      </c>
    </row>
    <row r="326" spans="12:12" x14ac:dyDescent="0.25">
      <c r="L326" s="164" t="str">
        <f>IFERROR(COUNTIF($C$18:C326,C326)&amp;CHOOSE(MIN(4,COUNTIF($C$18:C326,C326)),"st","nd","rd","th"),"")</f>
        <v/>
      </c>
    </row>
    <row r="327" spans="12:12" x14ac:dyDescent="0.25">
      <c r="L327" s="164" t="str">
        <f>IFERROR(COUNTIF($C$18:C327,C327)&amp;CHOOSE(MIN(4,COUNTIF($C$18:C327,C327)),"st","nd","rd","th"),"")</f>
        <v/>
      </c>
    </row>
    <row r="328" spans="12:12" x14ac:dyDescent="0.25">
      <c r="L328" s="164" t="str">
        <f>IFERROR(COUNTIF($C$18:C328,C328)&amp;CHOOSE(MIN(4,COUNTIF($C$18:C328,C328)),"st","nd","rd","th"),"")</f>
        <v/>
      </c>
    </row>
    <row r="329" spans="12:12" x14ac:dyDescent="0.25">
      <c r="L329" s="164" t="str">
        <f>IFERROR(COUNTIF($C$18:C329,C329)&amp;CHOOSE(MIN(4,COUNTIF($C$18:C329,C329)),"st","nd","rd","th"),"")</f>
        <v/>
      </c>
    </row>
    <row r="330" spans="12:12" x14ac:dyDescent="0.25">
      <c r="L330" s="164" t="str">
        <f>IFERROR(COUNTIF($C$18:C330,C330)&amp;CHOOSE(MIN(4,COUNTIF($C$18:C330,C330)),"st","nd","rd","th"),"")</f>
        <v/>
      </c>
    </row>
    <row r="331" spans="12:12" x14ac:dyDescent="0.25">
      <c r="L331" s="164" t="str">
        <f>IFERROR(COUNTIF($C$18:C331,C331)&amp;CHOOSE(MIN(4,COUNTIF($C$18:C331,C331)),"st","nd","rd","th"),"")</f>
        <v/>
      </c>
    </row>
    <row r="332" spans="12:12" x14ac:dyDescent="0.25">
      <c r="L332" s="164" t="str">
        <f>IFERROR(COUNTIF($C$18:C332,C332)&amp;CHOOSE(MIN(4,COUNTIF($C$18:C332,C332)),"st","nd","rd","th"),"")</f>
        <v/>
      </c>
    </row>
    <row r="333" spans="12:12" x14ac:dyDescent="0.25">
      <c r="L333" s="164" t="str">
        <f>IFERROR(COUNTIF($C$18:C333,C333)&amp;CHOOSE(MIN(4,COUNTIF($C$18:C333,C333)),"st","nd","rd","th"),"")</f>
        <v/>
      </c>
    </row>
    <row r="334" spans="12:12" x14ac:dyDescent="0.25">
      <c r="L334" s="164" t="str">
        <f>IFERROR(COUNTIF($C$18:C334,C334)&amp;CHOOSE(MIN(4,COUNTIF($C$18:C334,C334)),"st","nd","rd","th"),"")</f>
        <v/>
      </c>
    </row>
    <row r="335" spans="12:12" x14ac:dyDescent="0.25">
      <c r="L335" s="164" t="str">
        <f>IFERROR(COUNTIF($C$18:C335,C335)&amp;CHOOSE(MIN(4,COUNTIF($C$18:C335,C335)),"st","nd","rd","th"),"")</f>
        <v/>
      </c>
    </row>
    <row r="336" spans="12:12" x14ac:dyDescent="0.25">
      <c r="L336" s="164" t="str">
        <f>IFERROR(COUNTIF($C$18:C336,C336)&amp;CHOOSE(MIN(4,COUNTIF($C$18:C336,C336)),"st","nd","rd","th"),"")</f>
        <v/>
      </c>
    </row>
    <row r="337" spans="12:12" x14ac:dyDescent="0.25">
      <c r="L337" s="164" t="str">
        <f>IFERROR(COUNTIF($C$18:C337,C337)&amp;CHOOSE(MIN(4,COUNTIF($C$18:C337,C337)),"st","nd","rd","th"),"")</f>
        <v/>
      </c>
    </row>
    <row r="338" spans="12:12" x14ac:dyDescent="0.25">
      <c r="L338" s="164" t="str">
        <f>IFERROR(COUNTIF($C$18:C338,C338)&amp;CHOOSE(MIN(4,COUNTIF($C$18:C338,C338)),"st","nd","rd","th"),"")</f>
        <v/>
      </c>
    </row>
    <row r="339" spans="12:12" x14ac:dyDescent="0.25">
      <c r="L339" s="164" t="str">
        <f>IFERROR(COUNTIF($C$18:C339,C339)&amp;CHOOSE(MIN(4,COUNTIF($C$18:C339,C339)),"st","nd","rd","th"),"")</f>
        <v/>
      </c>
    </row>
    <row r="340" spans="12:12" x14ac:dyDescent="0.25">
      <c r="L340" s="164" t="str">
        <f>IFERROR(COUNTIF($C$18:C340,C340)&amp;CHOOSE(MIN(4,COUNTIF($C$18:C340,C340)),"st","nd","rd","th"),"")</f>
        <v/>
      </c>
    </row>
    <row r="341" spans="12:12" x14ac:dyDescent="0.25">
      <c r="L341" s="164" t="str">
        <f>IFERROR(COUNTIF($C$18:C341,C341)&amp;CHOOSE(MIN(4,COUNTIF($C$18:C341,C341)),"st","nd","rd","th"),"")</f>
        <v/>
      </c>
    </row>
    <row r="342" spans="12:12" x14ac:dyDescent="0.25">
      <c r="L342" s="164" t="str">
        <f>IFERROR(COUNTIF($C$18:C342,C342)&amp;CHOOSE(MIN(4,COUNTIF($C$18:C342,C342)),"st","nd","rd","th"),"")</f>
        <v/>
      </c>
    </row>
    <row r="343" spans="12:12" x14ac:dyDescent="0.25">
      <c r="L343" s="164" t="str">
        <f>IFERROR(COUNTIF($C$18:C343,C343)&amp;CHOOSE(MIN(4,COUNTIF($C$18:C343,C343)),"st","nd","rd","th"),"")</f>
        <v/>
      </c>
    </row>
    <row r="344" spans="12:12" x14ac:dyDescent="0.25">
      <c r="L344" s="164" t="str">
        <f>IFERROR(COUNTIF($C$18:C344,C344)&amp;CHOOSE(MIN(4,COUNTIF($C$18:C344,C344)),"st","nd","rd","th"),"")</f>
        <v/>
      </c>
    </row>
    <row r="345" spans="12:12" x14ac:dyDescent="0.25">
      <c r="L345" s="164" t="str">
        <f>IFERROR(COUNTIF($C$18:C345,C345)&amp;CHOOSE(MIN(4,COUNTIF($C$18:C345,C345)),"st","nd","rd","th"),"")</f>
        <v/>
      </c>
    </row>
    <row r="346" spans="12:12" x14ac:dyDescent="0.25">
      <c r="L346" s="164" t="str">
        <f>IFERROR(COUNTIF($C$18:C346,C346)&amp;CHOOSE(MIN(4,COUNTIF($C$18:C346,C346)),"st","nd","rd","th"),"")</f>
        <v/>
      </c>
    </row>
    <row r="347" spans="12:12" x14ac:dyDescent="0.25">
      <c r="L347" s="164" t="str">
        <f>IFERROR(COUNTIF($C$18:C347,C347)&amp;CHOOSE(MIN(4,COUNTIF($C$18:C347,C347)),"st","nd","rd","th"),"")</f>
        <v/>
      </c>
    </row>
    <row r="348" spans="12:12" x14ac:dyDescent="0.25">
      <c r="L348" s="164" t="str">
        <f>IFERROR(COUNTIF($C$18:C348,C348)&amp;CHOOSE(MIN(4,COUNTIF($C$18:C348,C348)),"st","nd","rd","th"),"")</f>
        <v/>
      </c>
    </row>
    <row r="349" spans="12:12" x14ac:dyDescent="0.25">
      <c r="L349" s="164" t="str">
        <f>IFERROR(COUNTIF($C$18:C349,C349)&amp;CHOOSE(MIN(4,COUNTIF($C$18:C349,C349)),"st","nd","rd","th"),"")</f>
        <v/>
      </c>
    </row>
    <row r="350" spans="12:12" x14ac:dyDescent="0.25">
      <c r="L350" s="164" t="str">
        <f>IFERROR(COUNTIF($C$18:C350,C350)&amp;CHOOSE(MIN(4,COUNTIF($C$18:C350,C350)),"st","nd","rd","th"),"")</f>
        <v/>
      </c>
    </row>
    <row r="351" spans="12:12" x14ac:dyDescent="0.25">
      <c r="L351" s="164" t="str">
        <f>IFERROR(COUNTIF($C$18:C351,C351)&amp;CHOOSE(MIN(4,COUNTIF($C$18:C351,C351)),"st","nd","rd","th"),"")</f>
        <v/>
      </c>
    </row>
    <row r="352" spans="12:12" x14ac:dyDescent="0.25">
      <c r="L352" s="164" t="str">
        <f>IFERROR(COUNTIF($C$18:C352,C352)&amp;CHOOSE(MIN(4,COUNTIF($C$18:C352,C352)),"st","nd","rd","th"),"")</f>
        <v/>
      </c>
    </row>
    <row r="353" spans="12:12" x14ac:dyDescent="0.25">
      <c r="L353" s="164" t="str">
        <f>IFERROR(COUNTIF($C$18:C353,C353)&amp;CHOOSE(MIN(4,COUNTIF($C$18:C353,C353)),"st","nd","rd","th"),"")</f>
        <v/>
      </c>
    </row>
    <row r="354" spans="12:12" x14ac:dyDescent="0.25">
      <c r="L354" s="164" t="str">
        <f>IFERROR(COUNTIF($C$18:C354,C354)&amp;CHOOSE(MIN(4,COUNTIF($C$18:C354,C354)),"st","nd","rd","th"),"")</f>
        <v/>
      </c>
    </row>
    <row r="355" spans="12:12" x14ac:dyDescent="0.25">
      <c r="L355" s="164" t="str">
        <f>IFERROR(COUNTIF($C$18:C355,C355)&amp;CHOOSE(MIN(4,COUNTIF($C$18:C355,C355)),"st","nd","rd","th"),"")</f>
        <v/>
      </c>
    </row>
    <row r="356" spans="12:12" x14ac:dyDescent="0.25">
      <c r="L356" s="164" t="str">
        <f>IFERROR(COUNTIF($C$18:C356,C356)&amp;CHOOSE(MIN(4,COUNTIF($C$18:C356,C356)),"st","nd","rd","th"),"")</f>
        <v/>
      </c>
    </row>
    <row r="357" spans="12:12" x14ac:dyDescent="0.25">
      <c r="L357" s="164" t="str">
        <f>IFERROR(COUNTIF($C$18:C357,C357)&amp;CHOOSE(MIN(4,COUNTIF($C$18:C357,C357)),"st","nd","rd","th"),"")</f>
        <v/>
      </c>
    </row>
    <row r="358" spans="12:12" x14ac:dyDescent="0.25">
      <c r="L358" s="164" t="str">
        <f>IFERROR(COUNTIF($C$18:C358,C358)&amp;CHOOSE(MIN(4,COUNTIF($C$18:C358,C358)),"st","nd","rd","th"),"")</f>
        <v/>
      </c>
    </row>
    <row r="359" spans="12:12" x14ac:dyDescent="0.25">
      <c r="L359" s="164" t="str">
        <f>IFERROR(COUNTIF($C$18:C359,C359)&amp;CHOOSE(MIN(4,COUNTIF($C$18:C359,C359)),"st","nd","rd","th"),"")</f>
        <v/>
      </c>
    </row>
    <row r="360" spans="12:12" x14ac:dyDescent="0.25">
      <c r="L360" s="164" t="str">
        <f>IFERROR(COUNTIF($C$18:C360,C360)&amp;CHOOSE(MIN(4,COUNTIF($C$18:C360,C360)),"st","nd","rd","th"),"")</f>
        <v/>
      </c>
    </row>
    <row r="361" spans="12:12" x14ac:dyDescent="0.25">
      <c r="L361" s="164" t="str">
        <f>IFERROR(COUNTIF($C$18:C361,C361)&amp;CHOOSE(MIN(4,COUNTIF($C$18:C361,C361)),"st","nd","rd","th"),"")</f>
        <v/>
      </c>
    </row>
    <row r="362" spans="12:12" x14ac:dyDescent="0.25">
      <c r="L362" s="164" t="str">
        <f>IFERROR(COUNTIF($C$18:C362,C362)&amp;CHOOSE(MIN(4,COUNTIF($C$18:C362,C362)),"st","nd","rd","th"),"")</f>
        <v/>
      </c>
    </row>
    <row r="363" spans="12:12" x14ac:dyDescent="0.25">
      <c r="L363" s="164" t="str">
        <f>IFERROR(COUNTIF($C$18:C363,C363)&amp;CHOOSE(MIN(4,COUNTIF($C$18:C363,C363)),"st","nd","rd","th"),"")</f>
        <v/>
      </c>
    </row>
    <row r="364" spans="12:12" x14ac:dyDescent="0.25">
      <c r="L364" s="164" t="str">
        <f>IFERROR(COUNTIF($C$18:C364,C364)&amp;CHOOSE(MIN(4,COUNTIF($C$18:C364,C364)),"st","nd","rd","th"),"")</f>
        <v/>
      </c>
    </row>
    <row r="365" spans="12:12" x14ac:dyDescent="0.25">
      <c r="L365" s="164" t="str">
        <f>IFERROR(COUNTIF($C$18:C365,C365)&amp;CHOOSE(MIN(4,COUNTIF($C$18:C365,C365)),"st","nd","rd","th"),"")</f>
        <v/>
      </c>
    </row>
    <row r="366" spans="12:12" x14ac:dyDescent="0.25">
      <c r="L366" s="164" t="str">
        <f>IFERROR(COUNTIF($C$18:C366,C366)&amp;CHOOSE(MIN(4,COUNTIF($C$18:C366,C366)),"st","nd","rd","th"),"")</f>
        <v/>
      </c>
    </row>
    <row r="367" spans="12:12" x14ac:dyDescent="0.25">
      <c r="L367" s="164" t="str">
        <f>IFERROR(COUNTIF($C$18:C367,C367)&amp;CHOOSE(MIN(4,COUNTIF($C$18:C367,C367)),"st","nd","rd","th"),"")</f>
        <v/>
      </c>
    </row>
    <row r="368" spans="12:12" x14ac:dyDescent="0.25">
      <c r="L368" s="164" t="str">
        <f>IFERROR(COUNTIF($C$18:C368,C368)&amp;CHOOSE(MIN(4,COUNTIF($C$18:C368,C368)),"st","nd","rd","th"),"")</f>
        <v/>
      </c>
    </row>
    <row r="369" spans="12:12" x14ac:dyDescent="0.25">
      <c r="L369" s="164" t="str">
        <f>IFERROR(COUNTIF($C$18:C369,C369)&amp;CHOOSE(MIN(4,COUNTIF($C$18:C369,C369)),"st","nd","rd","th"),"")</f>
        <v/>
      </c>
    </row>
    <row r="370" spans="12:12" x14ac:dyDescent="0.25">
      <c r="L370" s="164" t="str">
        <f>IFERROR(COUNTIF($C$18:C370,C370)&amp;CHOOSE(MIN(4,COUNTIF($C$18:C370,C370)),"st","nd","rd","th"),"")</f>
        <v/>
      </c>
    </row>
    <row r="371" spans="12:12" x14ac:dyDescent="0.25">
      <c r="L371" s="164" t="str">
        <f>IFERROR(COUNTIF($C$18:C371,C371)&amp;CHOOSE(MIN(4,COUNTIF($C$18:C371,C371)),"st","nd","rd","th"),"")</f>
        <v/>
      </c>
    </row>
    <row r="372" spans="12:12" x14ac:dyDescent="0.25">
      <c r="L372" s="164" t="str">
        <f>IFERROR(COUNTIF($C$18:C372,C372)&amp;CHOOSE(MIN(4,COUNTIF($C$18:C372,C372)),"st","nd","rd","th"),"")</f>
        <v/>
      </c>
    </row>
    <row r="373" spans="12:12" x14ac:dyDescent="0.25">
      <c r="L373" s="164" t="str">
        <f>IFERROR(COUNTIF($C$18:C373,C373)&amp;CHOOSE(MIN(4,COUNTIF($C$18:C373,C373)),"st","nd","rd","th"),"")</f>
        <v/>
      </c>
    </row>
    <row r="374" spans="12:12" x14ac:dyDescent="0.25">
      <c r="L374" s="164" t="str">
        <f>IFERROR(COUNTIF($C$18:C374,C374)&amp;CHOOSE(MIN(4,COUNTIF($C$18:C374,C374)),"st","nd","rd","th"),"")</f>
        <v/>
      </c>
    </row>
    <row r="375" spans="12:12" x14ac:dyDescent="0.25">
      <c r="L375" s="164" t="str">
        <f>IFERROR(COUNTIF($C$18:C375,C375)&amp;CHOOSE(MIN(4,COUNTIF($C$18:C375,C375)),"st","nd","rd","th"),"")</f>
        <v/>
      </c>
    </row>
    <row r="376" spans="12:12" x14ac:dyDescent="0.25">
      <c r="L376" s="164" t="str">
        <f>IFERROR(COUNTIF($C$18:C376,C376)&amp;CHOOSE(MIN(4,COUNTIF($C$18:C376,C376)),"st","nd","rd","th"),"")</f>
        <v/>
      </c>
    </row>
    <row r="377" spans="12:12" x14ac:dyDescent="0.25">
      <c r="L377" s="164" t="str">
        <f>IFERROR(COUNTIF($C$18:C377,C377)&amp;CHOOSE(MIN(4,COUNTIF($C$18:C377,C377)),"st","nd","rd","th"),"")</f>
        <v/>
      </c>
    </row>
    <row r="378" spans="12:12" x14ac:dyDescent="0.25">
      <c r="L378" s="164" t="str">
        <f>IFERROR(COUNTIF($C$18:C378,C378)&amp;CHOOSE(MIN(4,COUNTIF($C$18:C378,C378)),"st","nd","rd","th"),"")</f>
        <v/>
      </c>
    </row>
    <row r="379" spans="12:12" x14ac:dyDescent="0.25">
      <c r="L379" s="164" t="str">
        <f>IFERROR(COUNTIF($C$18:C379,C379)&amp;CHOOSE(MIN(4,COUNTIF($C$18:C379,C379)),"st","nd","rd","th"),"")</f>
        <v/>
      </c>
    </row>
    <row r="380" spans="12:12" x14ac:dyDescent="0.25">
      <c r="L380" s="164" t="str">
        <f>IFERROR(COUNTIF($C$18:C380,C380)&amp;CHOOSE(MIN(4,COUNTIF($C$18:C380,C380)),"st","nd","rd","th"),"")</f>
        <v/>
      </c>
    </row>
    <row r="381" spans="12:12" x14ac:dyDescent="0.25">
      <c r="L381" s="164" t="str">
        <f>IFERROR(COUNTIF($C$18:C381,C381)&amp;CHOOSE(MIN(4,COUNTIF($C$18:C381,C381)),"st","nd","rd","th"),"")</f>
        <v/>
      </c>
    </row>
    <row r="382" spans="12:12" x14ac:dyDescent="0.25">
      <c r="L382" s="164" t="str">
        <f>IFERROR(COUNTIF($C$18:C382,C382)&amp;CHOOSE(MIN(4,COUNTIF($C$18:C382,C382)),"st","nd","rd","th"),"")</f>
        <v/>
      </c>
    </row>
    <row r="383" spans="12:12" x14ac:dyDescent="0.25">
      <c r="L383" s="164" t="str">
        <f>IFERROR(COUNTIF($C$18:C383,C383)&amp;CHOOSE(MIN(4,COUNTIF($C$18:C383,C383)),"st","nd","rd","th"),"")</f>
        <v/>
      </c>
    </row>
    <row r="384" spans="12:12" x14ac:dyDescent="0.25">
      <c r="L384" s="164" t="str">
        <f>IFERROR(COUNTIF($C$18:C384,C384)&amp;CHOOSE(MIN(4,COUNTIF($C$18:C384,C384)),"st","nd","rd","th"),"")</f>
        <v/>
      </c>
    </row>
    <row r="385" spans="12:12" x14ac:dyDescent="0.25">
      <c r="L385" s="164" t="str">
        <f>IFERROR(COUNTIF($C$18:C385,C385)&amp;CHOOSE(MIN(4,COUNTIF($C$18:C385,C385)),"st","nd","rd","th"),"")</f>
        <v/>
      </c>
    </row>
    <row r="386" spans="12:12" x14ac:dyDescent="0.25">
      <c r="L386" s="164" t="str">
        <f>IFERROR(COUNTIF($C$18:C386,C386)&amp;CHOOSE(MIN(4,COUNTIF($C$18:C386,C386)),"st","nd","rd","th"),"")</f>
        <v/>
      </c>
    </row>
    <row r="387" spans="12:12" x14ac:dyDescent="0.25">
      <c r="L387" s="164" t="str">
        <f>IFERROR(COUNTIF($C$18:C387,C387)&amp;CHOOSE(MIN(4,COUNTIF($C$18:C387,C387)),"st","nd","rd","th"),"")</f>
        <v/>
      </c>
    </row>
    <row r="388" spans="12:12" x14ac:dyDescent="0.25">
      <c r="L388" s="164" t="str">
        <f>IFERROR(COUNTIF($C$18:C388,C388)&amp;CHOOSE(MIN(4,COUNTIF($C$18:C388,C388)),"st","nd","rd","th"),"")</f>
        <v/>
      </c>
    </row>
    <row r="389" spans="12:12" x14ac:dyDescent="0.25">
      <c r="L389" s="164" t="str">
        <f>IFERROR(COUNTIF($C$18:C389,C389)&amp;CHOOSE(MIN(4,COUNTIF($C$18:C389,C389)),"st","nd","rd","th"),"")</f>
        <v/>
      </c>
    </row>
    <row r="390" spans="12:12" x14ac:dyDescent="0.25">
      <c r="L390" s="164" t="str">
        <f>IFERROR(COUNTIF($C$18:C390,C390)&amp;CHOOSE(MIN(4,COUNTIF($C$18:C390,C390)),"st","nd","rd","th"),"")</f>
        <v/>
      </c>
    </row>
    <row r="391" spans="12:12" x14ac:dyDescent="0.25">
      <c r="L391" s="164" t="str">
        <f>IFERROR(COUNTIF($C$18:C391,C391)&amp;CHOOSE(MIN(4,COUNTIF($C$18:C391,C391)),"st","nd","rd","th"),"")</f>
        <v/>
      </c>
    </row>
    <row r="392" spans="12:12" x14ac:dyDescent="0.25">
      <c r="L392" s="164" t="str">
        <f>IFERROR(COUNTIF($C$18:C392,C392)&amp;CHOOSE(MIN(4,COUNTIF($C$18:C392,C392)),"st","nd","rd","th"),"")</f>
        <v/>
      </c>
    </row>
    <row r="393" spans="12:12" x14ac:dyDescent="0.25">
      <c r="L393" s="164" t="str">
        <f>IFERROR(COUNTIF($C$18:C393,C393)&amp;CHOOSE(MIN(4,COUNTIF($C$18:C393,C393)),"st","nd","rd","th"),"")</f>
        <v/>
      </c>
    </row>
    <row r="394" spans="12:12" x14ac:dyDescent="0.25">
      <c r="L394" s="164" t="str">
        <f>IFERROR(COUNTIF($C$18:C394,C394)&amp;CHOOSE(MIN(4,COUNTIF($C$18:C394,C394)),"st","nd","rd","th"),"")</f>
        <v/>
      </c>
    </row>
    <row r="395" spans="12:12" x14ac:dyDescent="0.25">
      <c r="L395" s="164" t="str">
        <f>IFERROR(COUNTIF($C$18:C395,C395)&amp;CHOOSE(MIN(4,COUNTIF($C$18:C395,C395)),"st","nd","rd","th"),"")</f>
        <v/>
      </c>
    </row>
    <row r="396" spans="12:12" x14ac:dyDescent="0.25">
      <c r="L396" s="164" t="str">
        <f>IFERROR(COUNTIF($C$18:C396,C396)&amp;CHOOSE(MIN(4,COUNTIF($C$18:C396,C396)),"st","nd","rd","th"),"")</f>
        <v/>
      </c>
    </row>
    <row r="397" spans="12:12" x14ac:dyDescent="0.25">
      <c r="L397" s="164" t="str">
        <f>IFERROR(COUNTIF($C$18:C397,C397)&amp;CHOOSE(MIN(4,COUNTIF($C$18:C397,C397)),"st","nd","rd","th"),"")</f>
        <v/>
      </c>
    </row>
    <row r="398" spans="12:12" x14ac:dyDescent="0.25">
      <c r="L398" s="164" t="str">
        <f>IFERROR(COUNTIF($C$18:C398,C398)&amp;CHOOSE(MIN(4,COUNTIF($C$18:C398,C398)),"st","nd","rd","th"),"")</f>
        <v/>
      </c>
    </row>
    <row r="399" spans="12:12" x14ac:dyDescent="0.25">
      <c r="L399" s="164" t="str">
        <f>IFERROR(COUNTIF($C$18:C399,C399)&amp;CHOOSE(MIN(4,COUNTIF($C$18:C399,C399)),"st","nd","rd","th"),"")</f>
        <v/>
      </c>
    </row>
    <row r="400" spans="12:12" x14ac:dyDescent="0.25">
      <c r="L400" s="164" t="str">
        <f>IFERROR(COUNTIF($C$18:C400,C400)&amp;CHOOSE(MIN(4,COUNTIF($C$18:C400,C400)),"st","nd","rd","th"),"")</f>
        <v/>
      </c>
    </row>
    <row r="401" spans="12:12" x14ac:dyDescent="0.25">
      <c r="L401" s="164" t="str">
        <f>IFERROR(COUNTIF($C$18:C401,C401)&amp;CHOOSE(MIN(4,COUNTIF($C$18:C401,C401)),"st","nd","rd","th"),"")</f>
        <v/>
      </c>
    </row>
    <row r="402" spans="12:12" x14ac:dyDescent="0.25">
      <c r="L402" s="164" t="str">
        <f>IFERROR(COUNTIF($C$18:C402,C402)&amp;CHOOSE(MIN(4,COUNTIF($C$18:C402,C402)),"st","nd","rd","th"),"")</f>
        <v/>
      </c>
    </row>
    <row r="403" spans="12:12" x14ac:dyDescent="0.25">
      <c r="L403" s="164" t="str">
        <f>IFERROR(COUNTIF($C$18:C403,C403)&amp;CHOOSE(MIN(4,COUNTIF($C$18:C403,C403)),"st","nd","rd","th"),"")</f>
        <v/>
      </c>
    </row>
    <row r="404" spans="12:12" x14ac:dyDescent="0.25">
      <c r="L404" s="164" t="str">
        <f>IFERROR(COUNTIF($C$18:C404,C404)&amp;CHOOSE(MIN(4,COUNTIF($C$18:C404,C404)),"st","nd","rd","th"),"")</f>
        <v/>
      </c>
    </row>
    <row r="405" spans="12:12" x14ac:dyDescent="0.25">
      <c r="L405" s="164" t="str">
        <f>IFERROR(COUNTIF($C$18:C405,C405)&amp;CHOOSE(MIN(4,COUNTIF($C$18:C405,C405)),"st","nd","rd","th"),"")</f>
        <v/>
      </c>
    </row>
    <row r="406" spans="12:12" x14ac:dyDescent="0.25">
      <c r="L406" s="164" t="str">
        <f>IFERROR(COUNTIF($C$18:C406,C406)&amp;CHOOSE(MIN(4,COUNTIF($C$18:C406,C406)),"st","nd","rd","th"),"")</f>
        <v/>
      </c>
    </row>
    <row r="407" spans="12:12" x14ac:dyDescent="0.25">
      <c r="L407" s="164" t="str">
        <f>IFERROR(COUNTIF($C$18:C407,C407)&amp;CHOOSE(MIN(4,COUNTIF($C$18:C407,C407)),"st","nd","rd","th"),"")</f>
        <v/>
      </c>
    </row>
    <row r="408" spans="12:12" x14ac:dyDescent="0.25">
      <c r="L408" s="164" t="str">
        <f>IFERROR(COUNTIF($C$18:C408,C408)&amp;CHOOSE(MIN(4,COUNTIF($C$18:C408,C408)),"st","nd","rd","th"),"")</f>
        <v/>
      </c>
    </row>
    <row r="409" spans="12:12" x14ac:dyDescent="0.25">
      <c r="L409" s="164" t="str">
        <f>IFERROR(COUNTIF($C$18:C409,C409)&amp;CHOOSE(MIN(4,COUNTIF($C$18:C409,C409)),"st","nd","rd","th"),"")</f>
        <v/>
      </c>
    </row>
    <row r="410" spans="12:12" x14ac:dyDescent="0.25">
      <c r="L410" s="164" t="str">
        <f>IFERROR(COUNTIF($C$18:C410,C410)&amp;CHOOSE(MIN(4,COUNTIF($C$18:C410,C410)),"st","nd","rd","th"),"")</f>
        <v/>
      </c>
    </row>
    <row r="411" spans="12:12" x14ac:dyDescent="0.25">
      <c r="L411" s="164" t="str">
        <f>IFERROR(COUNTIF($C$18:C411,C411)&amp;CHOOSE(MIN(4,COUNTIF($C$18:C411,C411)),"st","nd","rd","th"),"")</f>
        <v/>
      </c>
    </row>
    <row r="412" spans="12:12" x14ac:dyDescent="0.25">
      <c r="L412" s="164" t="str">
        <f>IFERROR(COUNTIF($C$18:C412,C412)&amp;CHOOSE(MIN(4,COUNTIF($C$18:C412,C412)),"st","nd","rd","th"),"")</f>
        <v/>
      </c>
    </row>
    <row r="413" spans="12:12" x14ac:dyDescent="0.25">
      <c r="L413" s="164" t="str">
        <f>IFERROR(COUNTIF($C$18:C413,C413)&amp;CHOOSE(MIN(4,COUNTIF($C$18:C413,C413)),"st","nd","rd","th"),"")</f>
        <v/>
      </c>
    </row>
    <row r="414" spans="12:12" x14ac:dyDescent="0.25">
      <c r="L414" s="164" t="str">
        <f>IFERROR(COUNTIF($C$18:C414,C414)&amp;CHOOSE(MIN(4,COUNTIF($C$18:C414,C414)),"st","nd","rd","th"),"")</f>
        <v/>
      </c>
    </row>
    <row r="415" spans="12:12" x14ac:dyDescent="0.25">
      <c r="L415" s="164" t="str">
        <f>IFERROR(COUNTIF($C$18:C415,C415)&amp;CHOOSE(MIN(4,COUNTIF($C$18:C415,C415)),"st","nd","rd","th"),"")</f>
        <v/>
      </c>
    </row>
    <row r="416" spans="12:12" x14ac:dyDescent="0.25">
      <c r="L416" s="164" t="str">
        <f>IFERROR(COUNTIF($C$18:C416,C416)&amp;CHOOSE(MIN(4,COUNTIF($C$18:C416,C416)),"st","nd","rd","th"),"")</f>
        <v/>
      </c>
    </row>
    <row r="417" spans="12:12" x14ac:dyDescent="0.25">
      <c r="L417" s="164" t="str">
        <f>IFERROR(COUNTIF($C$18:C417,C417)&amp;CHOOSE(MIN(4,COUNTIF($C$18:C417,C417)),"st","nd","rd","th"),"")</f>
        <v/>
      </c>
    </row>
    <row r="418" spans="12:12" x14ac:dyDescent="0.25">
      <c r="L418" s="164" t="str">
        <f>IFERROR(COUNTIF($C$18:C418,C418)&amp;CHOOSE(MIN(4,COUNTIF($C$18:C418,C418)),"st","nd","rd","th"),"")</f>
        <v/>
      </c>
    </row>
    <row r="419" spans="12:12" x14ac:dyDescent="0.25">
      <c r="L419" s="164" t="str">
        <f>IFERROR(COUNTIF($C$18:C419,C419)&amp;CHOOSE(MIN(4,COUNTIF($C$18:C419,C419)),"st","nd","rd","th"),"")</f>
        <v/>
      </c>
    </row>
    <row r="420" spans="12:12" x14ac:dyDescent="0.25">
      <c r="L420" s="164" t="str">
        <f>IFERROR(COUNTIF($C$18:C420,C420)&amp;CHOOSE(MIN(4,COUNTIF($C$18:C420,C420)),"st","nd","rd","th"),"")</f>
        <v/>
      </c>
    </row>
    <row r="421" spans="12:12" x14ac:dyDescent="0.25">
      <c r="L421" s="164" t="str">
        <f>IFERROR(COUNTIF($C$18:C421,C421)&amp;CHOOSE(MIN(4,COUNTIF($C$18:C421,C421)),"st","nd","rd","th"),"")</f>
        <v/>
      </c>
    </row>
    <row r="422" spans="12:12" x14ac:dyDescent="0.25">
      <c r="L422" s="164" t="str">
        <f>IFERROR(COUNTIF($C$18:C422,C422)&amp;CHOOSE(MIN(4,COUNTIF($C$18:C422,C422)),"st","nd","rd","th"),"")</f>
        <v/>
      </c>
    </row>
    <row r="423" spans="12:12" x14ac:dyDescent="0.25">
      <c r="L423" s="164" t="str">
        <f>IFERROR(COUNTIF($C$18:C423,C423)&amp;CHOOSE(MIN(4,COUNTIF($C$18:C423,C423)),"st","nd","rd","th"),"")</f>
        <v/>
      </c>
    </row>
    <row r="424" spans="12:12" x14ac:dyDescent="0.25">
      <c r="L424" s="164" t="str">
        <f>IFERROR(COUNTIF($C$18:C424,C424)&amp;CHOOSE(MIN(4,COUNTIF($C$18:C424,C424)),"st","nd","rd","th"),"")</f>
        <v/>
      </c>
    </row>
    <row r="425" spans="12:12" x14ac:dyDescent="0.25">
      <c r="L425" s="164" t="str">
        <f>IFERROR(COUNTIF($C$18:C425,C425)&amp;CHOOSE(MIN(4,COUNTIF($C$18:C425,C425)),"st","nd","rd","th"),"")</f>
        <v/>
      </c>
    </row>
    <row r="426" spans="12:12" x14ac:dyDescent="0.25">
      <c r="L426" s="164" t="str">
        <f>IFERROR(COUNTIF($C$18:C426,C426)&amp;CHOOSE(MIN(4,COUNTIF($C$18:C426,C426)),"st","nd","rd","th"),"")</f>
        <v/>
      </c>
    </row>
    <row r="427" spans="12:12" x14ac:dyDescent="0.25">
      <c r="L427" s="164" t="str">
        <f>IFERROR(COUNTIF($C$18:C427,C427)&amp;CHOOSE(MIN(4,COUNTIF($C$18:C427,C427)),"st","nd","rd","th"),"")</f>
        <v/>
      </c>
    </row>
    <row r="428" spans="12:12" x14ac:dyDescent="0.25">
      <c r="L428" s="164" t="str">
        <f>IFERROR(COUNTIF($C$18:C428,C428)&amp;CHOOSE(MIN(4,COUNTIF($C$18:C428,C428)),"st","nd","rd","th"),"")</f>
        <v/>
      </c>
    </row>
    <row r="429" spans="12:12" x14ac:dyDescent="0.25">
      <c r="L429" s="164" t="str">
        <f>IFERROR(COUNTIF($C$18:C429,C429)&amp;CHOOSE(MIN(4,COUNTIF($C$18:C429,C429)),"st","nd","rd","th"),"")</f>
        <v/>
      </c>
    </row>
    <row r="430" spans="12:12" x14ac:dyDescent="0.25">
      <c r="L430" s="164" t="str">
        <f>IFERROR(COUNTIF($C$18:C430,C430)&amp;CHOOSE(MIN(4,COUNTIF($C$18:C430,C430)),"st","nd","rd","th"),"")</f>
        <v/>
      </c>
    </row>
    <row r="431" spans="12:12" x14ac:dyDescent="0.25">
      <c r="L431" s="164" t="str">
        <f>IFERROR(COUNTIF($C$18:C431,C431)&amp;CHOOSE(MIN(4,COUNTIF($C$18:C431,C431)),"st","nd","rd","th"),"")</f>
        <v/>
      </c>
    </row>
    <row r="432" spans="12:12" x14ac:dyDescent="0.25">
      <c r="L432" s="164" t="str">
        <f>IFERROR(COUNTIF($C$18:C432,C432)&amp;CHOOSE(MIN(4,COUNTIF($C$18:C432,C432)),"st","nd","rd","th"),"")</f>
        <v/>
      </c>
    </row>
    <row r="433" spans="12:12" x14ac:dyDescent="0.25">
      <c r="L433" s="164" t="str">
        <f>IFERROR(COUNTIF($C$18:C433,C433)&amp;CHOOSE(MIN(4,COUNTIF($C$18:C433,C433)),"st","nd","rd","th"),"")</f>
        <v/>
      </c>
    </row>
    <row r="434" spans="12:12" x14ac:dyDescent="0.25">
      <c r="L434" s="164" t="str">
        <f>IFERROR(COUNTIF($C$18:C434,C434)&amp;CHOOSE(MIN(4,COUNTIF($C$18:C434,C434)),"st","nd","rd","th"),"")</f>
        <v/>
      </c>
    </row>
    <row r="435" spans="12:12" x14ac:dyDescent="0.25">
      <c r="L435" s="164" t="str">
        <f>IFERROR(COUNTIF($C$18:C435,C435)&amp;CHOOSE(MIN(4,COUNTIF($C$18:C435,C435)),"st","nd","rd","th"),"")</f>
        <v/>
      </c>
    </row>
    <row r="436" spans="12:12" x14ac:dyDescent="0.25">
      <c r="L436" s="164" t="str">
        <f>IFERROR(COUNTIF($C$18:C436,C436)&amp;CHOOSE(MIN(4,COUNTIF($C$18:C436,C436)),"st","nd","rd","th"),"")</f>
        <v/>
      </c>
    </row>
    <row r="437" spans="12:12" x14ac:dyDescent="0.25">
      <c r="L437" s="164" t="str">
        <f>IFERROR(COUNTIF($C$18:C437,C437)&amp;CHOOSE(MIN(4,COUNTIF($C$18:C437,C437)),"st","nd","rd","th"),"")</f>
        <v/>
      </c>
    </row>
    <row r="438" spans="12:12" x14ac:dyDescent="0.25">
      <c r="L438" s="164" t="str">
        <f>IFERROR(COUNTIF($C$18:C438,C438)&amp;CHOOSE(MIN(4,COUNTIF($C$18:C438,C438)),"st","nd","rd","th"),"")</f>
        <v/>
      </c>
    </row>
    <row r="439" spans="12:12" x14ac:dyDescent="0.25">
      <c r="L439" s="164" t="str">
        <f>IFERROR(COUNTIF($C$18:C439,C439)&amp;CHOOSE(MIN(4,COUNTIF($C$18:C439,C439)),"st","nd","rd","th"),"")</f>
        <v/>
      </c>
    </row>
    <row r="440" spans="12:12" x14ac:dyDescent="0.25">
      <c r="L440" s="164" t="str">
        <f>IFERROR(COUNTIF($C$18:C440,C440)&amp;CHOOSE(MIN(4,COUNTIF($C$18:C440,C440)),"st","nd","rd","th"),"")</f>
        <v/>
      </c>
    </row>
    <row r="441" spans="12:12" x14ac:dyDescent="0.25">
      <c r="L441" s="164" t="str">
        <f>IFERROR(COUNTIF($C$18:C441,C441)&amp;CHOOSE(MIN(4,COUNTIF($C$18:C441,C441)),"st","nd","rd","th"),"")</f>
        <v/>
      </c>
    </row>
    <row r="442" spans="12:12" x14ac:dyDescent="0.25">
      <c r="L442" s="164" t="str">
        <f>IFERROR(COUNTIF($C$18:C442,C442)&amp;CHOOSE(MIN(4,COUNTIF($C$18:C442,C442)),"st","nd","rd","th"),"")</f>
        <v/>
      </c>
    </row>
    <row r="443" spans="12:12" x14ac:dyDescent="0.25">
      <c r="L443" s="164" t="str">
        <f>IFERROR(COUNTIF($C$18:C443,C443)&amp;CHOOSE(MIN(4,COUNTIF($C$18:C443,C443)),"st","nd","rd","th"),"")</f>
        <v/>
      </c>
    </row>
    <row r="444" spans="12:12" x14ac:dyDescent="0.25">
      <c r="L444" s="164" t="str">
        <f>IFERROR(COUNTIF($C$18:C444,C444)&amp;CHOOSE(MIN(4,COUNTIF($C$18:C444,C444)),"st","nd","rd","th"),"")</f>
        <v/>
      </c>
    </row>
    <row r="445" spans="12:12" x14ac:dyDescent="0.25">
      <c r="L445" s="164" t="str">
        <f>IFERROR(COUNTIF($C$18:C445,C445)&amp;CHOOSE(MIN(4,COUNTIF($C$18:C445,C445)),"st","nd","rd","th"),"")</f>
        <v/>
      </c>
    </row>
    <row r="446" spans="12:12" x14ac:dyDescent="0.25">
      <c r="L446" s="164" t="str">
        <f>IFERROR(COUNTIF($C$18:C446,C446)&amp;CHOOSE(MIN(4,COUNTIF($C$18:C446,C446)),"st","nd","rd","th"),"")</f>
        <v/>
      </c>
    </row>
    <row r="447" spans="12:12" x14ac:dyDescent="0.25">
      <c r="L447" s="164" t="str">
        <f>IFERROR(COUNTIF($C$18:C447,C447)&amp;CHOOSE(MIN(4,COUNTIF($C$18:C447,C447)),"st","nd","rd","th"),"")</f>
        <v/>
      </c>
    </row>
    <row r="448" spans="12:12" x14ac:dyDescent="0.25">
      <c r="L448" s="164" t="str">
        <f>IFERROR(COUNTIF($C$18:C448,C448)&amp;CHOOSE(MIN(4,COUNTIF($C$18:C448,C448)),"st","nd","rd","th"),"")</f>
        <v/>
      </c>
    </row>
    <row r="449" spans="12:12" x14ac:dyDescent="0.25">
      <c r="L449" s="164" t="str">
        <f>IFERROR(COUNTIF($C$18:C449,C449)&amp;CHOOSE(MIN(4,COUNTIF($C$18:C449,C449)),"st","nd","rd","th"),"")</f>
        <v/>
      </c>
    </row>
    <row r="450" spans="12:12" x14ac:dyDescent="0.25">
      <c r="L450" s="164" t="str">
        <f>IFERROR(COUNTIF($C$18:C450,C450)&amp;CHOOSE(MIN(4,COUNTIF($C$18:C450,C450)),"st","nd","rd","th"),"")</f>
        <v/>
      </c>
    </row>
    <row r="451" spans="12:12" x14ac:dyDescent="0.25">
      <c r="L451" s="164" t="str">
        <f>IFERROR(COUNTIF($C$18:C451,C451)&amp;CHOOSE(MIN(4,COUNTIF($C$18:C451,C451)),"st","nd","rd","th"),"")</f>
        <v/>
      </c>
    </row>
    <row r="452" spans="12:12" x14ac:dyDescent="0.25">
      <c r="L452" s="164" t="str">
        <f>IFERROR(COUNTIF($C$18:C452,C452)&amp;CHOOSE(MIN(4,COUNTIF($C$18:C452,C452)),"st","nd","rd","th"),"")</f>
        <v/>
      </c>
    </row>
    <row r="453" spans="12:12" x14ac:dyDescent="0.25">
      <c r="L453" s="164" t="str">
        <f>IFERROR(COUNTIF($C$18:C453,C453)&amp;CHOOSE(MIN(4,COUNTIF($C$18:C453,C453)),"st","nd","rd","th"),"")</f>
        <v/>
      </c>
    </row>
    <row r="454" spans="12:12" x14ac:dyDescent="0.25">
      <c r="L454" s="164" t="str">
        <f>IFERROR(COUNTIF($C$18:C454,C454)&amp;CHOOSE(MIN(4,COUNTIF($C$18:C454,C454)),"st","nd","rd","th"),"")</f>
        <v/>
      </c>
    </row>
    <row r="455" spans="12:12" x14ac:dyDescent="0.25">
      <c r="L455" s="164" t="str">
        <f>IFERROR(COUNTIF($C$18:C455,C455)&amp;CHOOSE(MIN(4,COUNTIF($C$18:C455,C455)),"st","nd","rd","th"),"")</f>
        <v/>
      </c>
    </row>
    <row r="456" spans="12:12" x14ac:dyDescent="0.25">
      <c r="L456" s="164" t="str">
        <f>IFERROR(COUNTIF($C$18:C456,C456)&amp;CHOOSE(MIN(4,COUNTIF($C$18:C456,C456)),"st","nd","rd","th"),"")</f>
        <v/>
      </c>
    </row>
    <row r="457" spans="12:12" x14ac:dyDescent="0.25">
      <c r="L457" s="164" t="str">
        <f>IFERROR(COUNTIF($C$18:C457,C457)&amp;CHOOSE(MIN(4,COUNTIF($C$18:C457,C457)),"st","nd","rd","th"),"")</f>
        <v/>
      </c>
    </row>
    <row r="458" spans="12:12" x14ac:dyDescent="0.25">
      <c r="L458" s="164" t="str">
        <f>IFERROR(COUNTIF($C$18:C458,C458)&amp;CHOOSE(MIN(4,COUNTIF($C$18:C458,C458)),"st","nd","rd","th"),"")</f>
        <v/>
      </c>
    </row>
    <row r="459" spans="12:12" x14ac:dyDescent="0.25">
      <c r="L459" s="164" t="str">
        <f>IFERROR(COUNTIF($C$18:C459,C459)&amp;CHOOSE(MIN(4,COUNTIF($C$18:C459,C459)),"st","nd","rd","th"),"")</f>
        <v/>
      </c>
    </row>
    <row r="460" spans="12:12" x14ac:dyDescent="0.25">
      <c r="L460" s="164" t="str">
        <f>IFERROR(COUNTIF($C$18:C460,C460)&amp;CHOOSE(MIN(4,COUNTIF($C$18:C460,C460)),"st","nd","rd","th"),"")</f>
        <v/>
      </c>
    </row>
    <row r="461" spans="12:12" x14ac:dyDescent="0.25">
      <c r="L461" s="164" t="str">
        <f>IFERROR(COUNTIF($C$18:C461,C461)&amp;CHOOSE(MIN(4,COUNTIF($C$18:C461,C461)),"st","nd","rd","th"),"")</f>
        <v/>
      </c>
    </row>
    <row r="462" spans="12:12" x14ac:dyDescent="0.25">
      <c r="L462" s="164" t="str">
        <f>IFERROR(COUNTIF($C$18:C462,C462)&amp;CHOOSE(MIN(4,COUNTIF($C$18:C462,C462)),"st","nd","rd","th"),"")</f>
        <v/>
      </c>
    </row>
    <row r="463" spans="12:12" x14ac:dyDescent="0.25">
      <c r="L463" s="164" t="str">
        <f>IFERROR(COUNTIF($C$18:C463,C463)&amp;CHOOSE(MIN(4,COUNTIF($C$18:C463,C463)),"st","nd","rd","th"),"")</f>
        <v/>
      </c>
    </row>
    <row r="464" spans="12:12" x14ac:dyDescent="0.25">
      <c r="L464" s="164" t="str">
        <f>IFERROR(COUNTIF($C$18:C464,C464)&amp;CHOOSE(MIN(4,COUNTIF($C$18:C464,C464)),"st","nd","rd","th"),"")</f>
        <v/>
      </c>
    </row>
    <row r="465" spans="12:12" x14ac:dyDescent="0.25">
      <c r="L465" s="164" t="str">
        <f>IFERROR(COUNTIF($C$18:C465,C465)&amp;CHOOSE(MIN(4,COUNTIF($C$18:C465,C465)),"st","nd","rd","th"),"")</f>
        <v/>
      </c>
    </row>
    <row r="466" spans="12:12" x14ac:dyDescent="0.25">
      <c r="L466" s="164" t="str">
        <f>IFERROR(COUNTIF($C$18:C466,C466)&amp;CHOOSE(MIN(4,COUNTIF($C$18:C466,C466)),"st","nd","rd","th"),"")</f>
        <v/>
      </c>
    </row>
    <row r="467" spans="12:12" x14ac:dyDescent="0.25">
      <c r="L467" s="164" t="str">
        <f>IFERROR(COUNTIF($C$18:C467,C467)&amp;CHOOSE(MIN(4,COUNTIF($C$18:C467,C467)),"st","nd","rd","th"),"")</f>
        <v/>
      </c>
    </row>
    <row r="468" spans="12:12" x14ac:dyDescent="0.25">
      <c r="L468" s="164" t="str">
        <f>IFERROR(COUNTIF($C$18:C468,C468)&amp;CHOOSE(MIN(4,COUNTIF($C$18:C468,C468)),"st","nd","rd","th"),"")</f>
        <v/>
      </c>
    </row>
    <row r="469" spans="12:12" x14ac:dyDescent="0.25">
      <c r="L469" s="164" t="str">
        <f>IFERROR(COUNTIF($C$18:C469,C469)&amp;CHOOSE(MIN(4,COUNTIF($C$18:C469,C469)),"st","nd","rd","th"),"")</f>
        <v/>
      </c>
    </row>
    <row r="470" spans="12:12" x14ac:dyDescent="0.25">
      <c r="L470" s="164" t="str">
        <f>IFERROR(COUNTIF($C$18:C470,C470)&amp;CHOOSE(MIN(4,COUNTIF($C$18:C470,C470)),"st","nd","rd","th"),"")</f>
        <v/>
      </c>
    </row>
    <row r="471" spans="12:12" x14ac:dyDescent="0.25">
      <c r="L471" s="164" t="str">
        <f>IFERROR(COUNTIF($C$18:C471,C471)&amp;CHOOSE(MIN(4,COUNTIF($C$18:C471,C471)),"st","nd","rd","th"),"")</f>
        <v/>
      </c>
    </row>
    <row r="472" spans="12:12" x14ac:dyDescent="0.25">
      <c r="L472" s="164" t="str">
        <f>IFERROR(COUNTIF($C$18:C472,C472)&amp;CHOOSE(MIN(4,COUNTIF($C$18:C472,C472)),"st","nd","rd","th"),"")</f>
        <v/>
      </c>
    </row>
    <row r="473" spans="12:12" x14ac:dyDescent="0.25">
      <c r="L473" s="164" t="str">
        <f>IFERROR(COUNTIF($C$18:C473,C473)&amp;CHOOSE(MIN(4,COUNTIF($C$18:C473,C473)),"st","nd","rd","th"),"")</f>
        <v/>
      </c>
    </row>
    <row r="474" spans="12:12" x14ac:dyDescent="0.25">
      <c r="L474" s="164" t="str">
        <f>IFERROR(COUNTIF($C$18:C474,C474)&amp;CHOOSE(MIN(4,COUNTIF($C$18:C474,C474)),"st","nd","rd","th"),"")</f>
        <v/>
      </c>
    </row>
    <row r="475" spans="12:12" x14ac:dyDescent="0.25">
      <c r="L475" s="164" t="str">
        <f>IFERROR(COUNTIF($C$18:C475,C475)&amp;CHOOSE(MIN(4,COUNTIF($C$18:C475,C475)),"st","nd","rd","th"),"")</f>
        <v/>
      </c>
    </row>
    <row r="476" spans="12:12" x14ac:dyDescent="0.25">
      <c r="L476" s="164" t="str">
        <f>IFERROR(COUNTIF($C$18:C476,C476)&amp;CHOOSE(MIN(4,COUNTIF($C$18:C476,C476)),"st","nd","rd","th"),"")</f>
        <v/>
      </c>
    </row>
    <row r="477" spans="12:12" x14ac:dyDescent="0.25">
      <c r="L477" s="164" t="str">
        <f>IFERROR(COUNTIF($C$18:C477,C477)&amp;CHOOSE(MIN(4,COUNTIF($C$18:C477,C477)),"st","nd","rd","th"),"")</f>
        <v/>
      </c>
    </row>
    <row r="478" spans="12:12" x14ac:dyDescent="0.25">
      <c r="L478" s="164" t="str">
        <f>IFERROR(COUNTIF($C$18:C478,C478)&amp;CHOOSE(MIN(4,COUNTIF($C$18:C478,C478)),"st","nd","rd","th"),"")</f>
        <v/>
      </c>
    </row>
    <row r="479" spans="12:12" x14ac:dyDescent="0.25">
      <c r="L479" s="164" t="str">
        <f>IFERROR(COUNTIF($C$18:C479,C479)&amp;CHOOSE(MIN(4,COUNTIF($C$18:C479,C479)),"st","nd","rd","th"),"")</f>
        <v/>
      </c>
    </row>
    <row r="480" spans="12:12" x14ac:dyDescent="0.25">
      <c r="L480" s="164" t="str">
        <f>IFERROR(COUNTIF($C$18:C480,C480)&amp;CHOOSE(MIN(4,COUNTIF($C$18:C480,C480)),"st","nd","rd","th"),"")</f>
        <v/>
      </c>
    </row>
    <row r="481" spans="12:12" x14ac:dyDescent="0.25">
      <c r="L481" s="164" t="str">
        <f>IFERROR(COUNTIF($C$18:C481,C481)&amp;CHOOSE(MIN(4,COUNTIF($C$18:C481,C481)),"st","nd","rd","th"),"")</f>
        <v/>
      </c>
    </row>
    <row r="482" spans="12:12" x14ac:dyDescent="0.25">
      <c r="L482" s="164" t="str">
        <f>IFERROR(COUNTIF($C$18:C482,C482)&amp;CHOOSE(MIN(4,COUNTIF($C$18:C482,C482)),"st","nd","rd","th"),"")</f>
        <v/>
      </c>
    </row>
    <row r="483" spans="12:12" x14ac:dyDescent="0.25">
      <c r="L483" s="164" t="str">
        <f>IFERROR(COUNTIF($C$18:C483,C483)&amp;CHOOSE(MIN(4,COUNTIF($C$18:C483,C483)),"st","nd","rd","th"),"")</f>
        <v/>
      </c>
    </row>
    <row r="484" spans="12:12" x14ac:dyDescent="0.25">
      <c r="L484" s="164" t="str">
        <f>IFERROR(COUNTIF($C$18:C484,C484)&amp;CHOOSE(MIN(4,COUNTIF($C$18:C484,C484)),"st","nd","rd","th"),"")</f>
        <v/>
      </c>
    </row>
    <row r="485" spans="12:12" x14ac:dyDescent="0.25">
      <c r="L485" s="164" t="str">
        <f>IFERROR(COUNTIF($C$18:C485,C485)&amp;CHOOSE(MIN(4,COUNTIF($C$18:C485,C485)),"st","nd","rd","th"),"")</f>
        <v/>
      </c>
    </row>
    <row r="486" spans="12:12" x14ac:dyDescent="0.25">
      <c r="L486" s="164" t="str">
        <f>IFERROR(COUNTIF($C$18:C486,C486)&amp;CHOOSE(MIN(4,COUNTIF($C$18:C486,C486)),"st","nd","rd","th"),"")</f>
        <v/>
      </c>
    </row>
    <row r="487" spans="12:12" x14ac:dyDescent="0.25">
      <c r="L487" s="164" t="str">
        <f>IFERROR(COUNTIF($C$18:C487,C487)&amp;CHOOSE(MIN(4,COUNTIF($C$18:C487,C487)),"st","nd","rd","th"),"")</f>
        <v/>
      </c>
    </row>
    <row r="488" spans="12:12" x14ac:dyDescent="0.25">
      <c r="L488" s="164" t="str">
        <f>IFERROR(COUNTIF($C$18:C488,C488)&amp;CHOOSE(MIN(4,COUNTIF($C$18:C488,C488)),"st","nd","rd","th"),"")</f>
        <v/>
      </c>
    </row>
    <row r="489" spans="12:12" x14ac:dyDescent="0.25">
      <c r="L489" s="164" t="str">
        <f>IFERROR(COUNTIF($C$18:C489,C489)&amp;CHOOSE(MIN(4,COUNTIF($C$18:C489,C489)),"st","nd","rd","th"),"")</f>
        <v/>
      </c>
    </row>
    <row r="490" spans="12:12" x14ac:dyDescent="0.25">
      <c r="L490" s="164" t="str">
        <f>IFERROR(COUNTIF($C$18:C490,C490)&amp;CHOOSE(MIN(4,COUNTIF($C$18:C490,C490)),"st","nd","rd","th"),"")</f>
        <v/>
      </c>
    </row>
    <row r="491" spans="12:12" x14ac:dyDescent="0.25">
      <c r="L491" s="164" t="str">
        <f>IFERROR(COUNTIF($C$18:C491,C491)&amp;CHOOSE(MIN(4,COUNTIF($C$18:C491,C491)),"st","nd","rd","th"),"")</f>
        <v/>
      </c>
    </row>
    <row r="492" spans="12:12" x14ac:dyDescent="0.25">
      <c r="L492" s="164" t="str">
        <f>IFERROR(COUNTIF($C$18:C492,C492)&amp;CHOOSE(MIN(4,COUNTIF($C$18:C492,C492)),"st","nd","rd","th"),"")</f>
        <v/>
      </c>
    </row>
    <row r="493" spans="12:12" x14ac:dyDescent="0.25">
      <c r="L493" s="164" t="str">
        <f>IFERROR(COUNTIF($C$18:C493,C493)&amp;CHOOSE(MIN(4,COUNTIF($C$18:C493,C493)),"st","nd","rd","th"),"")</f>
        <v/>
      </c>
    </row>
    <row r="494" spans="12:12" x14ac:dyDescent="0.25">
      <c r="L494" s="164" t="str">
        <f>IFERROR(COUNTIF($C$18:C494,C494)&amp;CHOOSE(MIN(4,COUNTIF($C$18:C494,C494)),"st","nd","rd","th"),"")</f>
        <v/>
      </c>
    </row>
    <row r="495" spans="12:12" x14ac:dyDescent="0.25">
      <c r="L495" s="164" t="str">
        <f>IFERROR(COUNTIF($C$18:C495,C495)&amp;CHOOSE(MIN(4,COUNTIF($C$18:C495,C495)),"st","nd","rd","th"),"")</f>
        <v/>
      </c>
    </row>
    <row r="496" spans="12:12" x14ac:dyDescent="0.25">
      <c r="L496" s="164" t="str">
        <f>IFERROR(COUNTIF($C$18:C496,C496)&amp;CHOOSE(MIN(4,COUNTIF($C$18:C496,C496)),"st","nd","rd","th"),"")</f>
        <v/>
      </c>
    </row>
    <row r="497" spans="12:12" x14ac:dyDescent="0.25">
      <c r="L497" s="164" t="str">
        <f>IFERROR(COUNTIF($C$18:C497,C497)&amp;CHOOSE(MIN(4,COUNTIF($C$18:C497,C497)),"st","nd","rd","th"),"")</f>
        <v/>
      </c>
    </row>
    <row r="498" spans="12:12" x14ac:dyDescent="0.25">
      <c r="L498" s="164" t="str">
        <f>IFERROR(COUNTIF($C$18:C498,C498)&amp;CHOOSE(MIN(4,COUNTIF($C$18:C498,C498)),"st","nd","rd","th"),"")</f>
        <v/>
      </c>
    </row>
    <row r="499" spans="12:12" x14ac:dyDescent="0.25">
      <c r="L499" s="164" t="str">
        <f>IFERROR(COUNTIF($C$18:C499,C499)&amp;CHOOSE(MIN(4,COUNTIF($C$18:C499,C499)),"st","nd","rd","th"),"")</f>
        <v/>
      </c>
    </row>
    <row r="500" spans="12:12" x14ac:dyDescent="0.25">
      <c r="L500" s="164" t="str">
        <f>IFERROR(COUNTIF($C$18:C500,C500)&amp;CHOOSE(MIN(4,COUNTIF($C$18:C500,C500)),"st","nd","rd","th"),"")</f>
        <v/>
      </c>
    </row>
    <row r="501" spans="12:12" x14ac:dyDescent="0.25">
      <c r="L501" s="164" t="str">
        <f>IFERROR(COUNTIF($C$18:C501,C501)&amp;CHOOSE(MIN(4,COUNTIF($C$18:C501,C501)),"st","nd","rd","th"),"")</f>
        <v/>
      </c>
    </row>
    <row r="502" spans="12:12" x14ac:dyDescent="0.25">
      <c r="L502" s="164" t="str">
        <f>IFERROR(COUNTIF($C$18:C502,C502)&amp;CHOOSE(MIN(4,COUNTIF($C$18:C502,C502)),"st","nd","rd","th"),"")</f>
        <v/>
      </c>
    </row>
    <row r="503" spans="12:12" x14ac:dyDescent="0.25">
      <c r="L503" s="164" t="str">
        <f>IFERROR(COUNTIF($C$18:C503,C503)&amp;CHOOSE(MIN(4,COUNTIF($C$18:C503,C503)),"st","nd","rd","th"),"")</f>
        <v/>
      </c>
    </row>
    <row r="504" spans="12:12" x14ac:dyDescent="0.25">
      <c r="L504" s="164" t="str">
        <f>IFERROR(COUNTIF($C$18:C504,C504)&amp;CHOOSE(MIN(4,COUNTIF($C$18:C504,C504)),"st","nd","rd","th"),"")</f>
        <v/>
      </c>
    </row>
    <row r="505" spans="12:12" x14ac:dyDescent="0.25">
      <c r="L505" s="164" t="str">
        <f>IFERROR(COUNTIF($C$18:C505,C505)&amp;CHOOSE(MIN(4,COUNTIF($C$18:C505,C505)),"st","nd","rd","th"),"")</f>
        <v/>
      </c>
    </row>
    <row r="506" spans="12:12" x14ac:dyDescent="0.25">
      <c r="L506" s="164" t="str">
        <f>IFERROR(COUNTIF($C$18:C506,C506)&amp;CHOOSE(MIN(4,COUNTIF($C$18:C506,C506)),"st","nd","rd","th"),"")</f>
        <v/>
      </c>
    </row>
    <row r="507" spans="12:12" x14ac:dyDescent="0.25">
      <c r="L507" s="164" t="str">
        <f>IFERROR(COUNTIF($C$18:C507,C507)&amp;CHOOSE(MIN(4,COUNTIF($C$18:C507,C507)),"st","nd","rd","th"),"")</f>
        <v/>
      </c>
    </row>
    <row r="508" spans="12:12" x14ac:dyDescent="0.25">
      <c r="L508" s="164" t="str">
        <f>IFERROR(COUNTIF($C$18:C508,C508)&amp;CHOOSE(MIN(4,COUNTIF($C$18:C508,C508)),"st","nd","rd","th"),"")</f>
        <v/>
      </c>
    </row>
    <row r="509" spans="12:12" x14ac:dyDescent="0.25">
      <c r="L509" s="164" t="str">
        <f>IFERROR(COUNTIF($C$18:C509,C509)&amp;CHOOSE(MIN(4,COUNTIF($C$18:C509,C509)),"st","nd","rd","th"),"")</f>
        <v/>
      </c>
    </row>
    <row r="510" spans="12:12" x14ac:dyDescent="0.25">
      <c r="L510" s="164" t="str">
        <f>IFERROR(COUNTIF($C$18:C510,C510)&amp;CHOOSE(MIN(4,COUNTIF($C$18:C510,C510)),"st","nd","rd","th"),"")</f>
        <v/>
      </c>
    </row>
    <row r="511" spans="12:12" x14ac:dyDescent="0.25">
      <c r="L511" s="164" t="str">
        <f>IFERROR(COUNTIF($C$18:C511,C511)&amp;CHOOSE(MIN(4,COUNTIF($C$18:C511,C511)),"st","nd","rd","th"),"")</f>
        <v/>
      </c>
    </row>
    <row r="512" spans="12:12" x14ac:dyDescent="0.25">
      <c r="L512" s="164" t="str">
        <f>IFERROR(COUNTIF($C$18:C512,C512)&amp;CHOOSE(MIN(4,COUNTIF($C$18:C512,C512)),"st","nd","rd","th"),"")</f>
        <v/>
      </c>
    </row>
    <row r="513" spans="12:12" x14ac:dyDescent="0.25">
      <c r="L513" s="164" t="str">
        <f>IFERROR(COUNTIF($C$18:C513,C513)&amp;CHOOSE(MIN(4,COUNTIF($C$18:C513,C513)),"st","nd","rd","th"),"")</f>
        <v/>
      </c>
    </row>
    <row r="514" spans="12:12" x14ac:dyDescent="0.25">
      <c r="L514" s="164" t="str">
        <f>IFERROR(COUNTIF($C$18:C514,C514)&amp;CHOOSE(MIN(4,COUNTIF($C$18:C514,C514)),"st","nd","rd","th"),"")</f>
        <v/>
      </c>
    </row>
    <row r="515" spans="12:12" x14ac:dyDescent="0.25">
      <c r="L515" s="164" t="str">
        <f>IFERROR(COUNTIF($C$18:C515,C515)&amp;CHOOSE(MIN(4,COUNTIF($C$18:C515,C515)),"st","nd","rd","th"),"")</f>
        <v/>
      </c>
    </row>
    <row r="516" spans="12:12" x14ac:dyDescent="0.25">
      <c r="L516" s="164" t="str">
        <f>IFERROR(COUNTIF($C$18:C516,C516)&amp;CHOOSE(MIN(4,COUNTIF($C$18:C516,C516)),"st","nd","rd","th"),"")</f>
        <v/>
      </c>
    </row>
    <row r="517" spans="12:12" x14ac:dyDescent="0.25">
      <c r="L517" s="164" t="str">
        <f>IFERROR(COUNTIF($C$18:C517,C517)&amp;CHOOSE(MIN(4,COUNTIF($C$18:C517,C517)),"st","nd","rd","th"),"")</f>
        <v/>
      </c>
    </row>
    <row r="518" spans="12:12" x14ac:dyDescent="0.25">
      <c r="L518" s="164" t="str">
        <f>IFERROR(COUNTIF($C$18:C518,C518)&amp;CHOOSE(MIN(4,COUNTIF($C$18:C518,C518)),"st","nd","rd","th"),"")</f>
        <v/>
      </c>
    </row>
    <row r="519" spans="12:12" x14ac:dyDescent="0.25">
      <c r="L519" s="164" t="str">
        <f>IFERROR(COUNTIF($C$18:C519,C519)&amp;CHOOSE(MIN(4,COUNTIF($C$18:C519,C519)),"st","nd","rd","th"),"")</f>
        <v/>
      </c>
    </row>
    <row r="520" spans="12:12" x14ac:dyDescent="0.25">
      <c r="L520" s="164" t="str">
        <f>IFERROR(COUNTIF($C$18:C520,C520)&amp;CHOOSE(MIN(4,COUNTIF($C$18:C520,C520)),"st","nd","rd","th"),"")</f>
        <v/>
      </c>
    </row>
    <row r="521" spans="12:12" x14ac:dyDescent="0.25">
      <c r="L521" s="164" t="str">
        <f>IFERROR(COUNTIF($C$18:C521,C521)&amp;CHOOSE(MIN(4,COUNTIF($C$18:C521,C521)),"st","nd","rd","th"),"")</f>
        <v/>
      </c>
    </row>
    <row r="522" spans="12:12" x14ac:dyDescent="0.25">
      <c r="L522" s="164" t="str">
        <f>IFERROR(COUNTIF($C$18:C522,C522)&amp;CHOOSE(MIN(4,COUNTIF($C$18:C522,C522)),"st","nd","rd","th"),"")</f>
        <v/>
      </c>
    </row>
    <row r="523" spans="12:12" x14ac:dyDescent="0.25">
      <c r="L523" s="164" t="str">
        <f>IFERROR(COUNTIF($C$18:C523,C523)&amp;CHOOSE(MIN(4,COUNTIF($C$18:C523,C523)),"st","nd","rd","th"),"")</f>
        <v/>
      </c>
    </row>
    <row r="524" spans="12:12" x14ac:dyDescent="0.25">
      <c r="L524" s="164" t="str">
        <f>IFERROR(COUNTIF($C$18:C524,C524)&amp;CHOOSE(MIN(4,COUNTIF($C$18:C524,C524)),"st","nd","rd","th"),"")</f>
        <v/>
      </c>
    </row>
    <row r="525" spans="12:12" x14ac:dyDescent="0.25">
      <c r="L525" s="164" t="str">
        <f>IFERROR(COUNTIF($C$18:C525,C525)&amp;CHOOSE(MIN(4,COUNTIF($C$18:C525,C525)),"st","nd","rd","th"),"")</f>
        <v/>
      </c>
    </row>
    <row r="526" spans="12:12" x14ac:dyDescent="0.25">
      <c r="L526" s="164" t="str">
        <f>IFERROR(COUNTIF($C$18:C526,C526)&amp;CHOOSE(MIN(4,COUNTIF($C$18:C526,C526)),"st","nd","rd","th"),"")</f>
        <v/>
      </c>
    </row>
    <row r="527" spans="12:12" x14ac:dyDescent="0.25">
      <c r="L527" s="164" t="str">
        <f>IFERROR(COUNTIF($C$18:C527,C527)&amp;CHOOSE(MIN(4,COUNTIF($C$18:C527,C527)),"st","nd","rd","th"),"")</f>
        <v/>
      </c>
    </row>
    <row r="528" spans="12:12" x14ac:dyDescent="0.25">
      <c r="L528" s="164" t="str">
        <f>IFERROR(COUNTIF($C$18:C528,C528)&amp;CHOOSE(MIN(4,COUNTIF($C$18:C528,C528)),"st","nd","rd","th"),"")</f>
        <v/>
      </c>
    </row>
    <row r="529" spans="12:12" x14ac:dyDescent="0.25">
      <c r="L529" s="164" t="str">
        <f>IFERROR(COUNTIF($C$18:C529,C529)&amp;CHOOSE(MIN(4,COUNTIF($C$18:C529,C529)),"st","nd","rd","th"),"")</f>
        <v/>
      </c>
    </row>
    <row r="530" spans="12:12" x14ac:dyDescent="0.25">
      <c r="L530" s="164" t="str">
        <f>IFERROR(COUNTIF($C$18:C530,C530)&amp;CHOOSE(MIN(4,COUNTIF($C$18:C530,C530)),"st","nd","rd","th"),"")</f>
        <v/>
      </c>
    </row>
    <row r="531" spans="12:12" x14ac:dyDescent="0.25">
      <c r="L531" s="164" t="str">
        <f>IFERROR(COUNTIF($C$18:C531,C531)&amp;CHOOSE(MIN(4,COUNTIF($C$18:C531,C531)),"st","nd","rd","th"),"")</f>
        <v/>
      </c>
    </row>
    <row r="532" spans="12:12" x14ac:dyDescent="0.25">
      <c r="L532" s="164" t="str">
        <f>IFERROR(COUNTIF($C$18:C532,C532)&amp;CHOOSE(MIN(4,COUNTIF($C$18:C532,C532)),"st","nd","rd","th"),"")</f>
        <v/>
      </c>
    </row>
    <row r="533" spans="12:12" x14ac:dyDescent="0.25">
      <c r="L533" s="164" t="str">
        <f>IFERROR(COUNTIF($C$18:C533,C533)&amp;CHOOSE(MIN(4,COUNTIF($C$18:C533,C533)),"st","nd","rd","th"),"")</f>
        <v/>
      </c>
    </row>
    <row r="534" spans="12:12" x14ac:dyDescent="0.25">
      <c r="L534" s="164" t="str">
        <f>IFERROR(COUNTIF($C$18:C534,C534)&amp;CHOOSE(MIN(4,COUNTIF($C$18:C534,C534)),"st","nd","rd","th"),"")</f>
        <v/>
      </c>
    </row>
    <row r="535" spans="12:12" x14ac:dyDescent="0.25">
      <c r="L535" s="164" t="str">
        <f>IFERROR(COUNTIF($C$18:C535,C535)&amp;CHOOSE(MIN(4,COUNTIF($C$18:C535,C535)),"st","nd","rd","th"),"")</f>
        <v/>
      </c>
    </row>
    <row r="536" spans="12:12" x14ac:dyDescent="0.25">
      <c r="L536" s="164" t="str">
        <f>IFERROR(COUNTIF($C$18:C536,C536)&amp;CHOOSE(MIN(4,COUNTIF($C$18:C536,C536)),"st","nd","rd","th"),"")</f>
        <v/>
      </c>
    </row>
    <row r="537" spans="12:12" x14ac:dyDescent="0.25">
      <c r="L537" s="164" t="str">
        <f>IFERROR(COUNTIF($C$18:C537,C537)&amp;CHOOSE(MIN(4,COUNTIF($C$18:C537,C537)),"st","nd","rd","th"),"")</f>
        <v/>
      </c>
    </row>
    <row r="538" spans="12:12" x14ac:dyDescent="0.25">
      <c r="L538" s="164" t="str">
        <f>IFERROR(COUNTIF($C$18:C538,C538)&amp;CHOOSE(MIN(4,COUNTIF($C$18:C538,C538)),"st","nd","rd","th"),"")</f>
        <v/>
      </c>
    </row>
    <row r="539" spans="12:12" x14ac:dyDescent="0.25">
      <c r="L539" s="164" t="str">
        <f>IFERROR(COUNTIF($C$18:C539,C539)&amp;CHOOSE(MIN(4,COUNTIF($C$18:C539,C539)),"st","nd","rd","th"),"")</f>
        <v/>
      </c>
    </row>
    <row r="540" spans="12:12" x14ac:dyDescent="0.25">
      <c r="L540" s="164" t="str">
        <f>IFERROR(COUNTIF($C$18:C540,C540)&amp;CHOOSE(MIN(4,COUNTIF($C$18:C540,C540)),"st","nd","rd","th"),"")</f>
        <v/>
      </c>
    </row>
    <row r="541" spans="12:12" x14ac:dyDescent="0.25">
      <c r="L541" s="164" t="str">
        <f>IFERROR(COUNTIF($C$18:C541,C541)&amp;CHOOSE(MIN(4,COUNTIF($C$18:C541,C541)),"st","nd","rd","th"),"")</f>
        <v/>
      </c>
    </row>
    <row r="542" spans="12:12" x14ac:dyDescent="0.25">
      <c r="L542" s="164" t="str">
        <f>IFERROR(COUNTIF($C$18:C542,C542)&amp;CHOOSE(MIN(4,COUNTIF($C$18:C542,C542)),"st","nd","rd","th"),"")</f>
        <v/>
      </c>
    </row>
    <row r="543" spans="12:12" x14ac:dyDescent="0.25">
      <c r="L543" s="164" t="str">
        <f>IFERROR(COUNTIF($C$18:C543,C543)&amp;CHOOSE(MIN(4,COUNTIF($C$18:C543,C543)),"st","nd","rd","th"),"")</f>
        <v/>
      </c>
    </row>
    <row r="544" spans="12:12" x14ac:dyDescent="0.25">
      <c r="L544" s="164" t="str">
        <f>IFERROR(COUNTIF($C$18:C544,C544)&amp;CHOOSE(MIN(4,COUNTIF($C$18:C544,C544)),"st","nd","rd","th"),"")</f>
        <v/>
      </c>
    </row>
    <row r="545" spans="12:12" x14ac:dyDescent="0.25">
      <c r="L545" s="164" t="str">
        <f>IFERROR(COUNTIF($C$18:C545,C545)&amp;CHOOSE(MIN(4,COUNTIF($C$18:C545,C545)),"st","nd","rd","th"),"")</f>
        <v/>
      </c>
    </row>
    <row r="546" spans="12:12" x14ac:dyDescent="0.25">
      <c r="L546" s="164" t="str">
        <f>IFERROR(COUNTIF($C$18:C546,C546)&amp;CHOOSE(MIN(4,COUNTIF($C$18:C546,C546)),"st","nd","rd","th"),"")</f>
        <v/>
      </c>
    </row>
    <row r="547" spans="12:12" x14ac:dyDescent="0.25">
      <c r="L547" s="164" t="str">
        <f>IFERROR(COUNTIF($C$18:C547,C547)&amp;CHOOSE(MIN(4,COUNTIF($C$18:C547,C547)),"st","nd","rd","th"),"")</f>
        <v/>
      </c>
    </row>
    <row r="548" spans="12:12" x14ac:dyDescent="0.25">
      <c r="L548" s="164" t="str">
        <f>IFERROR(COUNTIF($C$18:C548,C548)&amp;CHOOSE(MIN(4,COUNTIF($C$18:C548,C548)),"st","nd","rd","th"),"")</f>
        <v/>
      </c>
    </row>
    <row r="549" spans="12:12" x14ac:dyDescent="0.25">
      <c r="L549" s="164" t="str">
        <f>IFERROR(COUNTIF($C$18:C549,C549)&amp;CHOOSE(MIN(4,COUNTIF($C$18:C549,C549)),"st","nd","rd","th"),"")</f>
        <v/>
      </c>
    </row>
    <row r="550" spans="12:12" x14ac:dyDescent="0.25">
      <c r="L550" s="164" t="str">
        <f>IFERROR(COUNTIF($C$18:C550,C550)&amp;CHOOSE(MIN(4,COUNTIF($C$18:C550,C550)),"st","nd","rd","th"),"")</f>
        <v/>
      </c>
    </row>
    <row r="551" spans="12:12" x14ac:dyDescent="0.25">
      <c r="L551" s="164" t="str">
        <f>IFERROR(COUNTIF($C$18:C551,C551)&amp;CHOOSE(MIN(4,COUNTIF($C$18:C551,C551)),"st","nd","rd","th"),"")</f>
        <v/>
      </c>
    </row>
    <row r="552" spans="12:12" x14ac:dyDescent="0.25">
      <c r="L552" s="164" t="str">
        <f>IFERROR(COUNTIF($C$18:C552,C552)&amp;CHOOSE(MIN(4,COUNTIF($C$18:C552,C552)),"st","nd","rd","th"),"")</f>
        <v/>
      </c>
    </row>
    <row r="553" spans="12:12" x14ac:dyDescent="0.25">
      <c r="L553" s="164" t="str">
        <f>IFERROR(COUNTIF($C$18:C553,C553)&amp;CHOOSE(MIN(4,COUNTIF($C$18:C553,C553)),"st","nd","rd","th"),"")</f>
        <v/>
      </c>
    </row>
    <row r="554" spans="12:12" x14ac:dyDescent="0.25">
      <c r="L554" s="164" t="str">
        <f>IFERROR(COUNTIF($C$18:C554,C554)&amp;CHOOSE(MIN(4,COUNTIF($C$18:C554,C554)),"st","nd","rd","th"),"")</f>
        <v/>
      </c>
    </row>
    <row r="555" spans="12:12" x14ac:dyDescent="0.25">
      <c r="L555" s="164" t="str">
        <f>IFERROR(COUNTIF($C$18:C555,C555)&amp;CHOOSE(MIN(4,COUNTIF($C$18:C555,C555)),"st","nd","rd","th"),"")</f>
        <v/>
      </c>
    </row>
    <row r="556" spans="12:12" x14ac:dyDescent="0.25">
      <c r="L556" s="164" t="str">
        <f>IFERROR(COUNTIF($C$18:C556,C556)&amp;CHOOSE(MIN(4,COUNTIF($C$18:C556,C556)),"st","nd","rd","th"),"")</f>
        <v/>
      </c>
    </row>
    <row r="557" spans="12:12" x14ac:dyDescent="0.25">
      <c r="L557" s="164" t="str">
        <f>IFERROR(COUNTIF($C$18:C557,C557)&amp;CHOOSE(MIN(4,COUNTIF($C$18:C557,C557)),"st","nd","rd","th"),"")</f>
        <v/>
      </c>
    </row>
    <row r="558" spans="12:12" x14ac:dyDescent="0.25">
      <c r="L558" s="164" t="str">
        <f>IFERROR(COUNTIF($C$18:C558,C558)&amp;CHOOSE(MIN(4,COUNTIF($C$18:C558,C558)),"st","nd","rd","th"),"")</f>
        <v/>
      </c>
    </row>
    <row r="559" spans="12:12" x14ac:dyDescent="0.25">
      <c r="L559" s="164" t="str">
        <f>IFERROR(COUNTIF($C$18:C559,C559)&amp;CHOOSE(MIN(4,COUNTIF($C$18:C559,C559)),"st","nd","rd","th"),"")</f>
        <v/>
      </c>
    </row>
    <row r="560" spans="12:12" x14ac:dyDescent="0.25">
      <c r="L560" s="164" t="str">
        <f>IFERROR(COUNTIF($C$18:C560,C560)&amp;CHOOSE(MIN(4,COUNTIF($C$18:C560,C560)),"st","nd","rd","th"),"")</f>
        <v/>
      </c>
    </row>
    <row r="561" spans="12:12" x14ac:dyDescent="0.25">
      <c r="L561" s="164" t="str">
        <f>IFERROR(COUNTIF($C$18:C561,C561)&amp;CHOOSE(MIN(4,COUNTIF($C$18:C561,C561)),"st","nd","rd","th"),"")</f>
        <v/>
      </c>
    </row>
    <row r="562" spans="12:12" x14ac:dyDescent="0.25">
      <c r="L562" s="164" t="str">
        <f>IFERROR(COUNTIF($C$18:C562,C562)&amp;CHOOSE(MIN(4,COUNTIF($C$18:C562,C562)),"st","nd","rd","th"),"")</f>
        <v/>
      </c>
    </row>
    <row r="563" spans="12:12" x14ac:dyDescent="0.25">
      <c r="L563" s="164" t="str">
        <f>IFERROR(COUNTIF($C$18:C563,C563)&amp;CHOOSE(MIN(4,COUNTIF($C$18:C563,C563)),"st","nd","rd","th"),"")</f>
        <v/>
      </c>
    </row>
    <row r="564" spans="12:12" x14ac:dyDescent="0.25">
      <c r="L564" s="164" t="str">
        <f>IFERROR(COUNTIF($C$18:C564,C564)&amp;CHOOSE(MIN(4,COUNTIF($C$18:C564,C564)),"st","nd","rd","th"),"")</f>
        <v/>
      </c>
    </row>
    <row r="565" spans="12:12" x14ac:dyDescent="0.25">
      <c r="L565" s="164" t="str">
        <f>IFERROR(COUNTIF($C$18:C565,C565)&amp;CHOOSE(MIN(4,COUNTIF($C$18:C565,C565)),"st","nd","rd","th"),"")</f>
        <v/>
      </c>
    </row>
    <row r="566" spans="12:12" x14ac:dyDescent="0.25">
      <c r="L566" s="164" t="str">
        <f>IFERROR(COUNTIF($C$18:C566,C566)&amp;CHOOSE(MIN(4,COUNTIF($C$18:C566,C566)),"st","nd","rd","th"),"")</f>
        <v/>
      </c>
    </row>
    <row r="567" spans="12:12" x14ac:dyDescent="0.25">
      <c r="L567" s="164" t="str">
        <f>IFERROR(COUNTIF($C$18:C567,C567)&amp;CHOOSE(MIN(4,COUNTIF($C$18:C567,C567)),"st","nd","rd","th"),"")</f>
        <v/>
      </c>
    </row>
    <row r="568" spans="12:12" x14ac:dyDescent="0.25">
      <c r="L568" s="164" t="str">
        <f>IFERROR(COUNTIF($C$18:C568,C568)&amp;CHOOSE(MIN(4,COUNTIF($C$18:C568,C568)),"st","nd","rd","th"),"")</f>
        <v/>
      </c>
    </row>
    <row r="569" spans="12:12" x14ac:dyDescent="0.25">
      <c r="L569" s="164" t="str">
        <f>IFERROR(COUNTIF($C$18:C569,C569)&amp;CHOOSE(MIN(4,COUNTIF($C$18:C569,C569)),"st","nd","rd","th"),"")</f>
        <v/>
      </c>
    </row>
    <row r="570" spans="12:12" x14ac:dyDescent="0.25">
      <c r="L570" s="164" t="str">
        <f>IFERROR(COUNTIF($C$18:C570,C570)&amp;CHOOSE(MIN(4,COUNTIF($C$18:C570,C570)),"st","nd","rd","th"),"")</f>
        <v/>
      </c>
    </row>
    <row r="571" spans="12:12" x14ac:dyDescent="0.25">
      <c r="L571" s="164" t="str">
        <f>IFERROR(COUNTIF($C$18:C571,C571)&amp;CHOOSE(MIN(4,COUNTIF($C$18:C571,C571)),"st","nd","rd","th"),"")</f>
        <v/>
      </c>
    </row>
    <row r="572" spans="12:12" x14ac:dyDescent="0.25">
      <c r="L572" s="164" t="str">
        <f>IFERROR(COUNTIF($C$18:C572,C572)&amp;CHOOSE(MIN(4,COUNTIF($C$18:C572,C572)),"st","nd","rd","th"),"")</f>
        <v/>
      </c>
    </row>
    <row r="573" spans="12:12" x14ac:dyDescent="0.25">
      <c r="L573" s="164" t="str">
        <f>IFERROR(COUNTIF($C$18:C573,C573)&amp;CHOOSE(MIN(4,COUNTIF($C$18:C573,C573)),"st","nd","rd","th"),"")</f>
        <v/>
      </c>
    </row>
    <row r="574" spans="12:12" x14ac:dyDescent="0.25">
      <c r="L574" s="164" t="str">
        <f>IFERROR(COUNTIF($C$18:C574,C574)&amp;CHOOSE(MIN(4,COUNTIF($C$18:C574,C574)),"st","nd","rd","th"),"")</f>
        <v/>
      </c>
    </row>
    <row r="575" spans="12:12" x14ac:dyDescent="0.25">
      <c r="L575" s="164" t="str">
        <f>IFERROR(COUNTIF($C$18:C575,C575)&amp;CHOOSE(MIN(4,COUNTIF($C$18:C575,C575)),"st","nd","rd","th"),"")</f>
        <v/>
      </c>
    </row>
    <row r="576" spans="12:12" x14ac:dyDescent="0.25">
      <c r="L576" s="164" t="str">
        <f>IFERROR(COUNTIF($C$18:C576,C576)&amp;CHOOSE(MIN(4,COUNTIF($C$18:C576,C576)),"st","nd","rd","th"),"")</f>
        <v/>
      </c>
    </row>
    <row r="577" spans="12:12" x14ac:dyDescent="0.25">
      <c r="L577" s="164" t="str">
        <f>IFERROR(COUNTIF($C$18:C577,C577)&amp;CHOOSE(MIN(4,COUNTIF($C$18:C577,C577)),"st","nd","rd","th"),"")</f>
        <v/>
      </c>
    </row>
    <row r="578" spans="12:12" x14ac:dyDescent="0.25">
      <c r="L578" s="164" t="str">
        <f>IFERROR(COUNTIF($C$18:C578,C578)&amp;CHOOSE(MIN(4,COUNTIF($C$18:C578,C578)),"st","nd","rd","th"),"")</f>
        <v/>
      </c>
    </row>
    <row r="579" spans="12:12" x14ac:dyDescent="0.25">
      <c r="L579" s="164" t="str">
        <f>IFERROR(COUNTIF($C$18:C579,C579)&amp;CHOOSE(MIN(4,COUNTIF($C$18:C579,C579)),"st","nd","rd","th"),"")</f>
        <v/>
      </c>
    </row>
    <row r="580" spans="12:12" x14ac:dyDescent="0.25">
      <c r="L580" s="164" t="str">
        <f>IFERROR(COUNTIF($C$18:C580,C580)&amp;CHOOSE(MIN(4,COUNTIF($C$18:C580,C580)),"st","nd","rd","th"),"")</f>
        <v/>
      </c>
    </row>
    <row r="581" spans="12:12" x14ac:dyDescent="0.25">
      <c r="L581" s="164" t="str">
        <f>IFERROR(COUNTIF($C$18:C581,C581)&amp;CHOOSE(MIN(4,COUNTIF($C$18:C581,C581)),"st","nd","rd","th"),"")</f>
        <v/>
      </c>
    </row>
    <row r="582" spans="12:12" x14ac:dyDescent="0.25">
      <c r="L582" s="164" t="str">
        <f>IFERROR(COUNTIF($C$18:C582,C582)&amp;CHOOSE(MIN(4,COUNTIF($C$18:C582,C582)),"st","nd","rd","th"),"")</f>
        <v/>
      </c>
    </row>
    <row r="583" spans="12:12" x14ac:dyDescent="0.25">
      <c r="L583" s="164" t="str">
        <f>IFERROR(COUNTIF($C$18:C583,C583)&amp;CHOOSE(MIN(4,COUNTIF($C$18:C583,C583)),"st","nd","rd","th"),"")</f>
        <v/>
      </c>
    </row>
    <row r="584" spans="12:12" x14ac:dyDescent="0.25">
      <c r="L584" s="164" t="str">
        <f>IFERROR(COUNTIF($C$18:C584,C584)&amp;CHOOSE(MIN(4,COUNTIF($C$18:C584,C584)),"st","nd","rd","th"),"")</f>
        <v/>
      </c>
    </row>
    <row r="585" spans="12:12" x14ac:dyDescent="0.25">
      <c r="L585" s="164" t="str">
        <f>IFERROR(COUNTIF($C$18:C585,C585)&amp;CHOOSE(MIN(4,COUNTIF($C$18:C585,C585)),"st","nd","rd","th"),"")</f>
        <v/>
      </c>
    </row>
    <row r="586" spans="12:12" x14ac:dyDescent="0.25">
      <c r="L586" s="164" t="str">
        <f>IFERROR(COUNTIF($C$18:C586,C586)&amp;CHOOSE(MIN(4,COUNTIF($C$18:C586,C586)),"st","nd","rd","th"),"")</f>
        <v/>
      </c>
    </row>
    <row r="587" spans="12:12" x14ac:dyDescent="0.25">
      <c r="L587" s="164" t="str">
        <f>IFERROR(COUNTIF($C$18:C587,C587)&amp;CHOOSE(MIN(4,COUNTIF($C$18:C587,C587)),"st","nd","rd","th"),"")</f>
        <v/>
      </c>
    </row>
    <row r="588" spans="12:12" x14ac:dyDescent="0.25">
      <c r="L588" s="164" t="str">
        <f>IFERROR(COUNTIF($C$18:C588,C588)&amp;CHOOSE(MIN(4,COUNTIF($C$18:C588,C588)),"st","nd","rd","th"),"")</f>
        <v/>
      </c>
    </row>
    <row r="589" spans="12:12" x14ac:dyDescent="0.25">
      <c r="L589" s="164" t="str">
        <f>IFERROR(COUNTIF($C$18:C589,C589)&amp;CHOOSE(MIN(4,COUNTIF($C$18:C589,C589)),"st","nd","rd","th"),"")</f>
        <v/>
      </c>
    </row>
    <row r="590" spans="12:12" x14ac:dyDescent="0.25">
      <c r="L590" s="164" t="str">
        <f>IFERROR(COUNTIF($C$18:C590,C590)&amp;CHOOSE(MIN(4,COUNTIF($C$18:C590,C590)),"st","nd","rd","th"),"")</f>
        <v/>
      </c>
    </row>
    <row r="591" spans="12:12" x14ac:dyDescent="0.25">
      <c r="L591" s="164" t="str">
        <f>IFERROR(COUNTIF($C$18:C591,C591)&amp;CHOOSE(MIN(4,COUNTIF($C$18:C591,C591)),"st","nd","rd","th"),"")</f>
        <v/>
      </c>
    </row>
    <row r="592" spans="12:12" x14ac:dyDescent="0.25">
      <c r="L592" s="164" t="str">
        <f>IFERROR(COUNTIF($C$18:C592,C592)&amp;CHOOSE(MIN(4,COUNTIF($C$18:C592,C592)),"st","nd","rd","th"),"")</f>
        <v/>
      </c>
    </row>
    <row r="593" spans="12:12" x14ac:dyDescent="0.25">
      <c r="L593" s="164" t="str">
        <f>IFERROR(COUNTIF($C$18:C593,C593)&amp;CHOOSE(MIN(4,COUNTIF($C$18:C593,C593)),"st","nd","rd","th"),"")</f>
        <v/>
      </c>
    </row>
    <row r="594" spans="12:12" x14ac:dyDescent="0.25">
      <c r="L594" s="164" t="str">
        <f>IFERROR(COUNTIF($C$18:C594,C594)&amp;CHOOSE(MIN(4,COUNTIF($C$18:C594,C594)),"st","nd","rd","th"),"")</f>
        <v/>
      </c>
    </row>
    <row r="595" spans="12:12" x14ac:dyDescent="0.25">
      <c r="L595" s="164" t="str">
        <f>IFERROR(COUNTIF($C$18:C595,C595)&amp;CHOOSE(MIN(4,COUNTIF($C$18:C595,C595)),"st","nd","rd","th"),"")</f>
        <v/>
      </c>
    </row>
    <row r="596" spans="12:12" x14ac:dyDescent="0.25">
      <c r="L596" s="164" t="str">
        <f>IFERROR(COUNTIF($C$18:C596,C596)&amp;CHOOSE(MIN(4,COUNTIF($C$18:C596,C596)),"st","nd","rd","th"),"")</f>
        <v/>
      </c>
    </row>
    <row r="597" spans="12:12" x14ac:dyDescent="0.25">
      <c r="L597" s="164" t="str">
        <f>IFERROR(COUNTIF($C$18:C597,C597)&amp;CHOOSE(MIN(4,COUNTIF($C$18:C597,C597)),"st","nd","rd","th"),"")</f>
        <v/>
      </c>
    </row>
    <row r="598" spans="12:12" x14ac:dyDescent="0.25">
      <c r="L598" s="164" t="str">
        <f>IFERROR(COUNTIF($C$18:C598,C598)&amp;CHOOSE(MIN(4,COUNTIF($C$18:C598,C598)),"st","nd","rd","th"),"")</f>
        <v/>
      </c>
    </row>
    <row r="599" spans="12:12" x14ac:dyDescent="0.25">
      <c r="L599" s="164" t="str">
        <f>IFERROR(COUNTIF($C$18:C599,C599)&amp;CHOOSE(MIN(4,COUNTIF($C$18:C599,C599)),"st","nd","rd","th"),"")</f>
        <v/>
      </c>
    </row>
    <row r="600" spans="12:12" x14ac:dyDescent="0.25">
      <c r="L600" s="164" t="str">
        <f>IFERROR(COUNTIF($C$18:C600,C600)&amp;CHOOSE(MIN(4,COUNTIF($C$18:C600,C600)),"st","nd","rd","th"),"")</f>
        <v/>
      </c>
    </row>
    <row r="601" spans="12:12" x14ac:dyDescent="0.25">
      <c r="L601" s="164" t="str">
        <f>IFERROR(COUNTIF($C$18:C601,C601)&amp;CHOOSE(MIN(4,COUNTIF($C$18:C601,C601)),"st","nd","rd","th"),"")</f>
        <v/>
      </c>
    </row>
    <row r="602" spans="12:12" x14ac:dyDescent="0.25">
      <c r="L602" s="164" t="str">
        <f>IFERROR(COUNTIF($C$18:C602,C602)&amp;CHOOSE(MIN(4,COUNTIF($C$18:C602,C602)),"st","nd","rd","th"),"")</f>
        <v/>
      </c>
    </row>
    <row r="603" spans="12:12" x14ac:dyDescent="0.25">
      <c r="L603" s="164" t="str">
        <f>IFERROR(COUNTIF($C$18:C603,C603)&amp;CHOOSE(MIN(4,COUNTIF($C$18:C603,C603)),"st","nd","rd","th"),"")</f>
        <v/>
      </c>
    </row>
    <row r="604" spans="12:12" x14ac:dyDescent="0.25">
      <c r="L604" s="164" t="str">
        <f>IFERROR(COUNTIF($C$18:C604,C604)&amp;CHOOSE(MIN(4,COUNTIF($C$18:C604,C604)),"st","nd","rd","th"),"")</f>
        <v/>
      </c>
    </row>
    <row r="605" spans="12:12" x14ac:dyDescent="0.25">
      <c r="L605" s="164" t="str">
        <f>IFERROR(COUNTIF($C$18:C605,C605)&amp;CHOOSE(MIN(4,COUNTIF($C$18:C605,C605)),"st","nd","rd","th"),"")</f>
        <v/>
      </c>
    </row>
    <row r="606" spans="12:12" x14ac:dyDescent="0.25">
      <c r="L606" s="164" t="str">
        <f>IFERROR(COUNTIF($C$18:C606,C606)&amp;CHOOSE(MIN(4,COUNTIF($C$18:C606,C606)),"st","nd","rd","th"),"")</f>
        <v/>
      </c>
    </row>
    <row r="607" spans="12:12" x14ac:dyDescent="0.25">
      <c r="L607" s="164" t="str">
        <f>IFERROR(COUNTIF($C$18:C607,C607)&amp;CHOOSE(MIN(4,COUNTIF($C$18:C607,C607)),"st","nd","rd","th"),"")</f>
        <v/>
      </c>
    </row>
    <row r="608" spans="12:12" x14ac:dyDescent="0.25">
      <c r="L608" s="164" t="str">
        <f>IFERROR(COUNTIF($C$18:C608,C608)&amp;CHOOSE(MIN(4,COUNTIF($C$18:C608,C608)),"st","nd","rd","th"),"")</f>
        <v/>
      </c>
    </row>
    <row r="609" spans="12:12" x14ac:dyDescent="0.25">
      <c r="L609" s="164" t="str">
        <f>IFERROR(COUNTIF($C$18:C609,C609)&amp;CHOOSE(MIN(4,COUNTIF($C$18:C609,C609)),"st","nd","rd","th"),"")</f>
        <v/>
      </c>
    </row>
    <row r="610" spans="12:12" x14ac:dyDescent="0.25">
      <c r="L610" s="164" t="str">
        <f>IFERROR(COUNTIF($C$18:C610,C610)&amp;CHOOSE(MIN(4,COUNTIF($C$18:C610,C610)),"st","nd","rd","th"),"")</f>
        <v/>
      </c>
    </row>
    <row r="611" spans="12:12" x14ac:dyDescent="0.25">
      <c r="L611" s="164" t="str">
        <f>IFERROR(COUNTIF($C$18:C611,C611)&amp;CHOOSE(MIN(4,COUNTIF($C$18:C611,C611)),"st","nd","rd","th"),"")</f>
        <v/>
      </c>
    </row>
    <row r="612" spans="12:12" x14ac:dyDescent="0.25">
      <c r="L612" s="164" t="str">
        <f>IFERROR(COUNTIF($C$18:C612,C612)&amp;CHOOSE(MIN(4,COUNTIF($C$18:C612,C612)),"st","nd","rd","th"),"")</f>
        <v/>
      </c>
    </row>
    <row r="613" spans="12:12" x14ac:dyDescent="0.25">
      <c r="L613" s="164" t="str">
        <f>IFERROR(COUNTIF($C$18:C613,C613)&amp;CHOOSE(MIN(4,COUNTIF($C$18:C613,C613)),"st","nd","rd","th"),"")</f>
        <v/>
      </c>
    </row>
    <row r="614" spans="12:12" x14ac:dyDescent="0.25">
      <c r="L614" s="164" t="str">
        <f>IFERROR(COUNTIF($C$18:C614,C614)&amp;CHOOSE(MIN(4,COUNTIF($C$18:C614,C614)),"st","nd","rd","th"),"")</f>
        <v/>
      </c>
    </row>
    <row r="615" spans="12:12" x14ac:dyDescent="0.25">
      <c r="L615" s="164" t="str">
        <f>IFERROR(COUNTIF($C$18:C615,C615)&amp;CHOOSE(MIN(4,COUNTIF($C$18:C615,C615)),"st","nd","rd","th"),"")</f>
        <v/>
      </c>
    </row>
    <row r="616" spans="12:12" x14ac:dyDescent="0.25">
      <c r="L616" s="164" t="str">
        <f>IFERROR(COUNTIF($C$18:C616,C616)&amp;CHOOSE(MIN(4,COUNTIF($C$18:C616,C616)),"st","nd","rd","th"),"")</f>
        <v/>
      </c>
    </row>
    <row r="617" spans="12:12" x14ac:dyDescent="0.25">
      <c r="L617" s="164" t="str">
        <f>IFERROR(COUNTIF($C$18:C617,C617)&amp;CHOOSE(MIN(4,COUNTIF($C$18:C617,C617)),"st","nd","rd","th"),"")</f>
        <v/>
      </c>
    </row>
    <row r="618" spans="12:12" x14ac:dyDescent="0.25">
      <c r="L618" s="164" t="str">
        <f>IFERROR(COUNTIF($C$18:C618,C618)&amp;CHOOSE(MIN(4,COUNTIF($C$18:C618,C618)),"st","nd","rd","th"),"")</f>
        <v/>
      </c>
    </row>
    <row r="619" spans="12:12" x14ac:dyDescent="0.25">
      <c r="L619" s="164" t="str">
        <f>IFERROR(COUNTIF($C$18:C619,C619)&amp;CHOOSE(MIN(4,COUNTIF($C$18:C619,C619)),"st","nd","rd","th"),"")</f>
        <v/>
      </c>
    </row>
    <row r="620" spans="12:12" x14ac:dyDescent="0.25">
      <c r="L620" s="164" t="str">
        <f>IFERROR(COUNTIF($C$18:C620,C620)&amp;CHOOSE(MIN(4,COUNTIF($C$18:C620,C620)),"st","nd","rd","th"),"")</f>
        <v/>
      </c>
    </row>
    <row r="621" spans="12:12" x14ac:dyDescent="0.25">
      <c r="L621" s="164" t="str">
        <f>IFERROR(COUNTIF($C$18:C621,C621)&amp;CHOOSE(MIN(4,COUNTIF($C$18:C621,C621)),"st","nd","rd","th"),"")</f>
        <v/>
      </c>
    </row>
    <row r="622" spans="12:12" x14ac:dyDescent="0.25">
      <c r="L622" s="164" t="str">
        <f>IFERROR(COUNTIF($C$18:C622,C622)&amp;CHOOSE(MIN(4,COUNTIF($C$18:C622,C622)),"st","nd","rd","th"),"")</f>
        <v/>
      </c>
    </row>
    <row r="623" spans="12:12" x14ac:dyDescent="0.25">
      <c r="L623" s="164" t="str">
        <f>IFERROR(COUNTIF($C$18:C623,C623)&amp;CHOOSE(MIN(4,COUNTIF($C$18:C623,C623)),"st","nd","rd","th"),"")</f>
        <v/>
      </c>
    </row>
    <row r="624" spans="12:12" x14ac:dyDescent="0.25">
      <c r="L624" s="164" t="str">
        <f>IFERROR(COUNTIF($C$18:C624,C624)&amp;CHOOSE(MIN(4,COUNTIF($C$18:C624,C624)),"st","nd","rd","th"),"")</f>
        <v/>
      </c>
    </row>
    <row r="625" spans="12:12" x14ac:dyDescent="0.25">
      <c r="L625" s="164" t="str">
        <f>IFERROR(COUNTIF($C$18:C625,C625)&amp;CHOOSE(MIN(4,COUNTIF($C$18:C625,C625)),"st","nd","rd","th"),"")</f>
        <v/>
      </c>
    </row>
    <row r="626" spans="12:12" x14ac:dyDescent="0.25">
      <c r="L626" s="164" t="str">
        <f>IFERROR(COUNTIF($C$18:C626,C626)&amp;CHOOSE(MIN(4,COUNTIF($C$18:C626,C626)),"st","nd","rd","th"),"")</f>
        <v/>
      </c>
    </row>
    <row r="627" spans="12:12" x14ac:dyDescent="0.25">
      <c r="L627" s="164" t="str">
        <f>IFERROR(COUNTIF($C$18:C627,C627)&amp;CHOOSE(MIN(4,COUNTIF($C$18:C627,C627)),"st","nd","rd","th"),"")</f>
        <v/>
      </c>
    </row>
    <row r="628" spans="12:12" x14ac:dyDescent="0.25">
      <c r="L628" s="164" t="str">
        <f>IFERROR(COUNTIF($C$18:C628,C628)&amp;CHOOSE(MIN(4,COUNTIF($C$18:C628,C628)),"st","nd","rd","th"),"")</f>
        <v/>
      </c>
    </row>
    <row r="629" spans="12:12" x14ac:dyDescent="0.25">
      <c r="L629" s="164" t="str">
        <f>IFERROR(COUNTIF($C$18:C629,C629)&amp;CHOOSE(MIN(4,COUNTIF($C$18:C629,C629)),"st","nd","rd","th"),"")</f>
        <v/>
      </c>
    </row>
    <row r="630" spans="12:12" x14ac:dyDescent="0.25">
      <c r="L630" s="164" t="str">
        <f>IFERROR(COUNTIF($C$18:C630,C630)&amp;CHOOSE(MIN(4,COUNTIF($C$18:C630,C630)),"st","nd","rd","th"),"")</f>
        <v/>
      </c>
    </row>
    <row r="631" spans="12:12" x14ac:dyDescent="0.25">
      <c r="L631" s="164" t="str">
        <f>IFERROR(COUNTIF($C$18:C631,C631)&amp;CHOOSE(MIN(4,COUNTIF($C$18:C631,C631)),"st","nd","rd","th"),"")</f>
        <v/>
      </c>
    </row>
    <row r="632" spans="12:12" x14ac:dyDescent="0.25">
      <c r="L632" s="164" t="str">
        <f>IFERROR(COUNTIF($C$18:C632,C632)&amp;CHOOSE(MIN(4,COUNTIF($C$18:C632,C632)),"st","nd","rd","th"),"")</f>
        <v/>
      </c>
    </row>
    <row r="633" spans="12:12" x14ac:dyDescent="0.25">
      <c r="L633" s="164" t="str">
        <f>IFERROR(COUNTIF($C$18:C633,C633)&amp;CHOOSE(MIN(4,COUNTIF($C$18:C633,C633)),"st","nd","rd","th"),"")</f>
        <v/>
      </c>
    </row>
    <row r="634" spans="12:12" x14ac:dyDescent="0.25">
      <c r="L634" s="164" t="str">
        <f>IFERROR(COUNTIF($C$18:C634,C634)&amp;CHOOSE(MIN(4,COUNTIF($C$18:C634,C634)),"st","nd","rd","th"),"")</f>
        <v/>
      </c>
    </row>
    <row r="635" spans="12:12" x14ac:dyDescent="0.25">
      <c r="L635" s="164" t="str">
        <f>IFERROR(COUNTIF($C$18:C635,C635)&amp;CHOOSE(MIN(4,COUNTIF($C$18:C635,C635)),"st","nd","rd","th"),"")</f>
        <v/>
      </c>
    </row>
    <row r="636" spans="12:12" x14ac:dyDescent="0.25">
      <c r="L636" s="164" t="str">
        <f>IFERROR(COUNTIF($C$18:C636,C636)&amp;CHOOSE(MIN(4,COUNTIF($C$18:C636,C636)),"st","nd","rd","th"),"")</f>
        <v/>
      </c>
    </row>
    <row r="637" spans="12:12" x14ac:dyDescent="0.25">
      <c r="L637" s="164" t="str">
        <f>IFERROR(COUNTIF($C$18:C637,C637)&amp;CHOOSE(MIN(4,COUNTIF($C$18:C637,C637)),"st","nd","rd","th"),"")</f>
        <v/>
      </c>
    </row>
    <row r="638" spans="12:12" x14ac:dyDescent="0.25">
      <c r="L638" s="164" t="str">
        <f>IFERROR(COUNTIF($C$18:C638,C638)&amp;CHOOSE(MIN(4,COUNTIF($C$18:C638,C638)),"st","nd","rd","th"),"")</f>
        <v/>
      </c>
    </row>
    <row r="639" spans="12:12" x14ac:dyDescent="0.25">
      <c r="L639" s="164" t="str">
        <f>IFERROR(COUNTIF($C$18:C639,C639)&amp;CHOOSE(MIN(4,COUNTIF($C$18:C639,C639)),"st","nd","rd","th"),"")</f>
        <v/>
      </c>
    </row>
    <row r="640" spans="12:12" x14ac:dyDescent="0.25">
      <c r="L640" s="164" t="str">
        <f>IFERROR(COUNTIF($C$18:C640,C640)&amp;CHOOSE(MIN(4,COUNTIF($C$18:C640,C640)),"st","nd","rd","th"),"")</f>
        <v/>
      </c>
    </row>
    <row r="641" spans="12:12" x14ac:dyDescent="0.25">
      <c r="L641" s="164" t="str">
        <f>IFERROR(COUNTIF($C$18:C641,C641)&amp;CHOOSE(MIN(4,COUNTIF($C$18:C641,C641)),"st","nd","rd","th"),"")</f>
        <v/>
      </c>
    </row>
    <row r="642" spans="12:12" x14ac:dyDescent="0.25">
      <c r="L642" s="164" t="str">
        <f>IFERROR(COUNTIF($C$18:C642,C642)&amp;CHOOSE(MIN(4,COUNTIF($C$18:C642,C642)),"st","nd","rd","th"),"")</f>
        <v/>
      </c>
    </row>
    <row r="643" spans="12:12" x14ac:dyDescent="0.25">
      <c r="L643" s="164" t="str">
        <f>IFERROR(COUNTIF($C$18:C643,C643)&amp;CHOOSE(MIN(4,COUNTIF($C$18:C643,C643)),"st","nd","rd","th"),"")</f>
        <v/>
      </c>
    </row>
    <row r="644" spans="12:12" x14ac:dyDescent="0.25">
      <c r="L644" s="164" t="str">
        <f>IFERROR(COUNTIF($C$18:C644,C644)&amp;CHOOSE(MIN(4,COUNTIF($C$18:C644,C644)),"st","nd","rd","th"),"")</f>
        <v/>
      </c>
    </row>
    <row r="645" spans="12:12" x14ac:dyDescent="0.25">
      <c r="L645" s="164" t="str">
        <f>IFERROR(COUNTIF($C$18:C645,C645)&amp;CHOOSE(MIN(4,COUNTIF($C$18:C645,C645)),"st","nd","rd","th"),"")</f>
        <v/>
      </c>
    </row>
    <row r="646" spans="12:12" x14ac:dyDescent="0.25">
      <c r="L646" s="164" t="str">
        <f>IFERROR(COUNTIF($C$18:C646,C646)&amp;CHOOSE(MIN(4,COUNTIF($C$18:C646,C646)),"st","nd","rd","th"),"")</f>
        <v/>
      </c>
    </row>
    <row r="647" spans="12:12" x14ac:dyDescent="0.25">
      <c r="L647" s="164" t="str">
        <f>IFERROR(COUNTIF($C$18:C647,C647)&amp;CHOOSE(MIN(4,COUNTIF($C$18:C647,C647)),"st","nd","rd","th"),"")</f>
        <v/>
      </c>
    </row>
    <row r="648" spans="12:12" x14ac:dyDescent="0.25">
      <c r="L648" s="164" t="str">
        <f>IFERROR(COUNTIF($C$18:C648,C648)&amp;CHOOSE(MIN(4,COUNTIF($C$18:C648,C648)),"st","nd","rd","th"),"")</f>
        <v/>
      </c>
    </row>
    <row r="649" spans="12:12" x14ac:dyDescent="0.25">
      <c r="L649" s="164" t="str">
        <f>IFERROR(COUNTIF($C$18:C649,C649)&amp;CHOOSE(MIN(4,COUNTIF($C$18:C649,C649)),"st","nd","rd","th"),"")</f>
        <v/>
      </c>
    </row>
    <row r="650" spans="12:12" x14ac:dyDescent="0.25">
      <c r="L650" s="164" t="str">
        <f>IFERROR(COUNTIF($C$18:C650,C650)&amp;CHOOSE(MIN(4,COUNTIF($C$18:C650,C650)),"st","nd","rd","th"),"")</f>
        <v/>
      </c>
    </row>
    <row r="651" spans="12:12" x14ac:dyDescent="0.25">
      <c r="L651" s="164" t="str">
        <f>IFERROR(COUNTIF($C$18:C651,C651)&amp;CHOOSE(MIN(4,COUNTIF($C$18:C651,C651)),"st","nd","rd","th"),"")</f>
        <v/>
      </c>
    </row>
    <row r="652" spans="12:12" x14ac:dyDescent="0.25">
      <c r="L652" s="164" t="str">
        <f>IFERROR(COUNTIF($C$18:C652,C652)&amp;CHOOSE(MIN(4,COUNTIF($C$18:C652,C652)),"st","nd","rd","th"),"")</f>
        <v/>
      </c>
    </row>
    <row r="653" spans="12:12" x14ac:dyDescent="0.25">
      <c r="L653" s="164" t="str">
        <f>IFERROR(COUNTIF($C$18:C653,C653)&amp;CHOOSE(MIN(4,COUNTIF($C$18:C653,C653)),"st","nd","rd","th"),"")</f>
        <v/>
      </c>
    </row>
    <row r="654" spans="12:12" x14ac:dyDescent="0.25">
      <c r="L654" s="164" t="str">
        <f>IFERROR(COUNTIF($C$18:C654,C654)&amp;CHOOSE(MIN(4,COUNTIF($C$18:C654,C654)),"st","nd","rd","th"),"")</f>
        <v/>
      </c>
    </row>
    <row r="655" spans="12:12" x14ac:dyDescent="0.25">
      <c r="L655" s="164" t="str">
        <f>IFERROR(COUNTIF($C$18:C655,C655)&amp;CHOOSE(MIN(4,COUNTIF($C$18:C655,C655)),"st","nd","rd","th"),"")</f>
        <v/>
      </c>
    </row>
    <row r="656" spans="12:12" x14ac:dyDescent="0.25">
      <c r="L656" s="164" t="str">
        <f>IFERROR(COUNTIF($C$18:C656,C656)&amp;CHOOSE(MIN(4,COUNTIF($C$18:C656,C656)),"st","nd","rd","th"),"")</f>
        <v/>
      </c>
    </row>
    <row r="657" spans="12:12" x14ac:dyDescent="0.25">
      <c r="L657" s="164" t="str">
        <f>IFERROR(COUNTIF($C$18:C657,C657)&amp;CHOOSE(MIN(4,COUNTIF($C$18:C657,C657)),"st","nd","rd","th"),"")</f>
        <v/>
      </c>
    </row>
    <row r="658" spans="12:12" x14ac:dyDescent="0.25">
      <c r="L658" s="164" t="str">
        <f>IFERROR(COUNTIF($C$18:C658,C658)&amp;CHOOSE(MIN(4,COUNTIF($C$18:C658,C658)),"st","nd","rd","th"),"")</f>
        <v/>
      </c>
    </row>
    <row r="659" spans="12:12" x14ac:dyDescent="0.25">
      <c r="L659" s="164" t="str">
        <f>IFERROR(COUNTIF($C$18:C659,C659)&amp;CHOOSE(MIN(4,COUNTIF($C$18:C659,C659)),"st","nd","rd","th"),"")</f>
        <v/>
      </c>
    </row>
    <row r="660" spans="12:12" x14ac:dyDescent="0.25">
      <c r="L660" s="164" t="str">
        <f>IFERROR(COUNTIF($C$18:C660,C660)&amp;CHOOSE(MIN(4,COUNTIF($C$18:C660,C660)),"st","nd","rd","th"),"")</f>
        <v/>
      </c>
    </row>
    <row r="661" spans="12:12" x14ac:dyDescent="0.25">
      <c r="L661" s="164" t="str">
        <f>IFERROR(COUNTIF($C$18:C661,C661)&amp;CHOOSE(MIN(4,COUNTIF($C$18:C661,C661)),"st","nd","rd","th"),"")</f>
        <v/>
      </c>
    </row>
    <row r="662" spans="12:12" x14ac:dyDescent="0.25">
      <c r="L662" s="164" t="str">
        <f>IFERROR(COUNTIF($C$18:C662,C662)&amp;CHOOSE(MIN(4,COUNTIF($C$18:C662,C662)),"st","nd","rd","th"),"")</f>
        <v/>
      </c>
    </row>
    <row r="663" spans="12:12" x14ac:dyDescent="0.25">
      <c r="L663" s="164" t="str">
        <f>IFERROR(COUNTIF($C$18:C663,C663)&amp;CHOOSE(MIN(4,COUNTIF($C$18:C663,C663)),"st","nd","rd","th"),"")</f>
        <v/>
      </c>
    </row>
    <row r="664" spans="12:12" x14ac:dyDescent="0.25">
      <c r="L664" s="164" t="str">
        <f>IFERROR(COUNTIF($C$18:C664,C664)&amp;CHOOSE(MIN(4,COUNTIF($C$18:C664,C664)),"st","nd","rd","th"),"")</f>
        <v/>
      </c>
    </row>
    <row r="665" spans="12:12" x14ac:dyDescent="0.25">
      <c r="L665" s="164" t="str">
        <f>IFERROR(COUNTIF($C$18:C665,C665)&amp;CHOOSE(MIN(4,COUNTIF($C$18:C665,C665)),"st","nd","rd","th"),"")</f>
        <v/>
      </c>
    </row>
    <row r="666" spans="12:12" x14ac:dyDescent="0.25">
      <c r="L666" s="164" t="str">
        <f>IFERROR(COUNTIF($C$18:C666,C666)&amp;CHOOSE(MIN(4,COUNTIF($C$18:C666,C666)),"st","nd","rd","th"),"")</f>
        <v/>
      </c>
    </row>
    <row r="667" spans="12:12" x14ac:dyDescent="0.25">
      <c r="L667" s="164" t="str">
        <f>IFERROR(COUNTIF($C$18:C667,C667)&amp;CHOOSE(MIN(4,COUNTIF($C$18:C667,C667)),"st","nd","rd","th"),"")</f>
        <v/>
      </c>
    </row>
    <row r="668" spans="12:12" x14ac:dyDescent="0.25">
      <c r="L668" s="164" t="str">
        <f>IFERROR(COUNTIF($C$18:C668,C668)&amp;CHOOSE(MIN(4,COUNTIF($C$18:C668,C668)),"st","nd","rd","th"),"")</f>
        <v/>
      </c>
    </row>
    <row r="669" spans="12:12" x14ac:dyDescent="0.25">
      <c r="L669" s="164" t="str">
        <f>IFERROR(COUNTIF($C$18:C669,C669)&amp;CHOOSE(MIN(4,COUNTIF($C$18:C669,C669)),"st","nd","rd","th"),"")</f>
        <v/>
      </c>
    </row>
    <row r="670" spans="12:12" x14ac:dyDescent="0.25">
      <c r="L670" s="164" t="str">
        <f>IFERROR(COUNTIF($C$18:C670,C670)&amp;CHOOSE(MIN(4,COUNTIF($C$18:C670,C670)),"st","nd","rd","th"),"")</f>
        <v/>
      </c>
    </row>
    <row r="671" spans="12:12" x14ac:dyDescent="0.25">
      <c r="L671" s="164" t="str">
        <f>IFERROR(COUNTIF($C$18:C671,C671)&amp;CHOOSE(MIN(4,COUNTIF($C$18:C671,C671)),"st","nd","rd","th"),"")</f>
        <v/>
      </c>
    </row>
    <row r="672" spans="12:12" x14ac:dyDescent="0.25">
      <c r="L672" s="164" t="str">
        <f>IFERROR(COUNTIF($C$18:C672,C672)&amp;CHOOSE(MIN(4,COUNTIF($C$18:C672,C672)),"st","nd","rd","th"),"")</f>
        <v/>
      </c>
    </row>
    <row r="673" spans="12:12" x14ac:dyDescent="0.25">
      <c r="L673" s="164" t="str">
        <f>IFERROR(COUNTIF($C$18:C673,C673)&amp;CHOOSE(MIN(4,COUNTIF($C$18:C673,C673)),"st","nd","rd","th"),"")</f>
        <v/>
      </c>
    </row>
    <row r="674" spans="12:12" x14ac:dyDescent="0.25">
      <c r="L674" s="164" t="str">
        <f>IFERROR(COUNTIF($C$18:C674,C674)&amp;CHOOSE(MIN(4,COUNTIF($C$18:C674,C674)),"st","nd","rd","th"),"")</f>
        <v/>
      </c>
    </row>
    <row r="675" spans="12:12" x14ac:dyDescent="0.25">
      <c r="L675" s="164" t="str">
        <f>IFERROR(COUNTIF($C$18:C675,C675)&amp;CHOOSE(MIN(4,COUNTIF($C$18:C675,C675)),"st","nd","rd","th"),"")</f>
        <v/>
      </c>
    </row>
    <row r="676" spans="12:12" x14ac:dyDescent="0.25">
      <c r="L676" s="164" t="str">
        <f>IFERROR(COUNTIF($C$18:C676,C676)&amp;CHOOSE(MIN(4,COUNTIF($C$18:C676,C676)),"st","nd","rd","th"),"")</f>
        <v/>
      </c>
    </row>
    <row r="677" spans="12:12" x14ac:dyDescent="0.25">
      <c r="L677" s="164" t="str">
        <f>IFERROR(COUNTIF($C$18:C677,C677)&amp;CHOOSE(MIN(4,COUNTIF($C$18:C677,C677)),"st","nd","rd","th"),"")</f>
        <v/>
      </c>
    </row>
    <row r="678" spans="12:12" x14ac:dyDescent="0.25">
      <c r="L678" s="164" t="str">
        <f>IFERROR(COUNTIF($C$18:C678,C678)&amp;CHOOSE(MIN(4,COUNTIF($C$18:C678,C678)),"st","nd","rd","th"),"")</f>
        <v/>
      </c>
    </row>
    <row r="679" spans="12:12" x14ac:dyDescent="0.25">
      <c r="L679" s="164" t="str">
        <f>IFERROR(COUNTIF($C$18:C679,C679)&amp;CHOOSE(MIN(4,COUNTIF($C$18:C679,C679)),"st","nd","rd","th"),"")</f>
        <v/>
      </c>
    </row>
    <row r="680" spans="12:12" x14ac:dyDescent="0.25">
      <c r="L680" s="164" t="str">
        <f>IFERROR(COUNTIF($C$18:C680,C680)&amp;CHOOSE(MIN(4,COUNTIF($C$18:C680,C680)),"st","nd","rd","th"),"")</f>
        <v/>
      </c>
    </row>
    <row r="681" spans="12:12" x14ac:dyDescent="0.25">
      <c r="L681" s="164" t="str">
        <f>IFERROR(COUNTIF($C$18:C681,C681)&amp;CHOOSE(MIN(4,COUNTIF($C$18:C681,C681)),"st","nd","rd","th"),"")</f>
        <v/>
      </c>
    </row>
    <row r="682" spans="12:12" x14ac:dyDescent="0.25">
      <c r="L682" s="164" t="str">
        <f>IFERROR(COUNTIF($C$18:C682,C682)&amp;CHOOSE(MIN(4,COUNTIF($C$18:C682,C682)),"st","nd","rd","th"),"")</f>
        <v/>
      </c>
    </row>
    <row r="683" spans="12:12" x14ac:dyDescent="0.25">
      <c r="L683" s="164" t="str">
        <f>IFERROR(COUNTIF($C$18:C683,C683)&amp;CHOOSE(MIN(4,COUNTIF($C$18:C683,C683)),"st","nd","rd","th"),"")</f>
        <v/>
      </c>
    </row>
    <row r="684" spans="12:12" x14ac:dyDescent="0.25">
      <c r="L684" s="164" t="str">
        <f>IFERROR(COUNTIF($C$18:C684,C684)&amp;CHOOSE(MIN(4,COUNTIF($C$18:C684,C684)),"st","nd","rd","th"),"")</f>
        <v/>
      </c>
    </row>
    <row r="685" spans="12:12" x14ac:dyDescent="0.25">
      <c r="L685" s="164" t="str">
        <f>IFERROR(COUNTIF($C$18:C685,C685)&amp;CHOOSE(MIN(4,COUNTIF($C$18:C685,C685)),"st","nd","rd","th"),"")</f>
        <v/>
      </c>
    </row>
    <row r="686" spans="12:12" x14ac:dyDescent="0.25">
      <c r="L686" s="164" t="str">
        <f>IFERROR(COUNTIF($C$18:C686,C686)&amp;CHOOSE(MIN(4,COUNTIF($C$18:C686,C686)),"st","nd","rd","th"),"")</f>
        <v/>
      </c>
    </row>
    <row r="687" spans="12:12" x14ac:dyDescent="0.25">
      <c r="L687" s="164" t="str">
        <f>IFERROR(COUNTIF($C$18:C687,C687)&amp;CHOOSE(MIN(4,COUNTIF($C$18:C687,C687)),"st","nd","rd","th"),"")</f>
        <v/>
      </c>
    </row>
    <row r="688" spans="12:12" x14ac:dyDescent="0.25">
      <c r="L688" s="164" t="str">
        <f>IFERROR(COUNTIF($C$18:C688,C688)&amp;CHOOSE(MIN(4,COUNTIF($C$18:C688,C688)),"st","nd","rd","th"),"")</f>
        <v/>
      </c>
    </row>
    <row r="689" spans="12:12" x14ac:dyDescent="0.25">
      <c r="L689" s="164" t="str">
        <f>IFERROR(COUNTIF($C$18:C689,C689)&amp;CHOOSE(MIN(4,COUNTIF($C$18:C689,C689)),"st","nd","rd","th"),"")</f>
        <v/>
      </c>
    </row>
    <row r="690" spans="12:12" x14ac:dyDescent="0.25">
      <c r="L690" s="164" t="str">
        <f>IFERROR(COUNTIF($C$18:C690,C690)&amp;CHOOSE(MIN(4,COUNTIF($C$18:C690,C690)),"st","nd","rd","th"),"")</f>
        <v/>
      </c>
    </row>
    <row r="691" spans="12:12" x14ac:dyDescent="0.25">
      <c r="L691" s="164" t="str">
        <f>IFERROR(COUNTIF($C$18:C691,C691)&amp;CHOOSE(MIN(4,COUNTIF($C$18:C691,C691)),"st","nd","rd","th"),"")</f>
        <v/>
      </c>
    </row>
    <row r="692" spans="12:12" x14ac:dyDescent="0.25">
      <c r="L692" s="164" t="str">
        <f>IFERROR(COUNTIF($C$18:C692,C692)&amp;CHOOSE(MIN(4,COUNTIF($C$18:C692,C692)),"st","nd","rd","th"),"")</f>
        <v/>
      </c>
    </row>
    <row r="693" spans="12:12" x14ac:dyDescent="0.25">
      <c r="L693" s="164" t="str">
        <f>IFERROR(COUNTIF($C$18:C693,C693)&amp;CHOOSE(MIN(4,COUNTIF($C$18:C693,C693)),"st","nd","rd","th"),"")</f>
        <v/>
      </c>
    </row>
    <row r="694" spans="12:12" x14ac:dyDescent="0.25">
      <c r="L694" s="164" t="str">
        <f>IFERROR(COUNTIF($C$18:C694,C694)&amp;CHOOSE(MIN(4,COUNTIF($C$18:C694,C694)),"st","nd","rd","th"),"")</f>
        <v/>
      </c>
    </row>
    <row r="695" spans="12:12" x14ac:dyDescent="0.25">
      <c r="L695" s="164" t="str">
        <f>IFERROR(COUNTIF($C$18:C695,C695)&amp;CHOOSE(MIN(4,COUNTIF($C$18:C695,C695)),"st","nd","rd","th"),"")</f>
        <v/>
      </c>
    </row>
    <row r="696" spans="12:12" x14ac:dyDescent="0.25">
      <c r="L696" s="164" t="str">
        <f>IFERROR(COUNTIF($C$18:C696,C696)&amp;CHOOSE(MIN(4,COUNTIF($C$18:C696,C696)),"st","nd","rd","th"),"")</f>
        <v/>
      </c>
    </row>
    <row r="697" spans="12:12" x14ac:dyDescent="0.25">
      <c r="L697" s="164" t="str">
        <f>IFERROR(COUNTIF($C$18:C697,C697)&amp;CHOOSE(MIN(4,COUNTIF($C$18:C697,C697)),"st","nd","rd","th"),"")</f>
        <v/>
      </c>
    </row>
    <row r="698" spans="12:12" x14ac:dyDescent="0.25">
      <c r="L698" s="164" t="str">
        <f>IFERROR(COUNTIF($C$18:C698,C698)&amp;CHOOSE(MIN(4,COUNTIF($C$18:C698,C698)),"st","nd","rd","th"),"")</f>
        <v/>
      </c>
    </row>
    <row r="699" spans="12:12" x14ac:dyDescent="0.25">
      <c r="L699" s="164" t="str">
        <f>IFERROR(COUNTIF($C$18:C699,C699)&amp;CHOOSE(MIN(4,COUNTIF($C$18:C699,C699)),"st","nd","rd","th"),"")</f>
        <v/>
      </c>
    </row>
    <row r="700" spans="12:12" x14ac:dyDescent="0.25">
      <c r="L700" s="164" t="str">
        <f>IFERROR(COUNTIF($C$18:C700,C700)&amp;CHOOSE(MIN(4,COUNTIF($C$18:C700,C700)),"st","nd","rd","th"),"")</f>
        <v/>
      </c>
    </row>
    <row r="701" spans="12:12" x14ac:dyDescent="0.25">
      <c r="L701" s="164" t="str">
        <f>IFERROR(COUNTIF($C$18:C701,C701)&amp;CHOOSE(MIN(4,COUNTIF($C$18:C701,C701)),"st","nd","rd","th"),"")</f>
        <v/>
      </c>
    </row>
    <row r="702" spans="12:12" x14ac:dyDescent="0.25">
      <c r="L702" s="164" t="str">
        <f>IFERROR(COUNTIF($C$18:C702,C702)&amp;CHOOSE(MIN(4,COUNTIF($C$18:C702,C702)),"st","nd","rd","th"),"")</f>
        <v/>
      </c>
    </row>
    <row r="703" spans="12:12" x14ac:dyDescent="0.25">
      <c r="L703" s="164" t="str">
        <f>IFERROR(COUNTIF($C$18:C703,C703)&amp;CHOOSE(MIN(4,COUNTIF($C$18:C703,C703)),"st","nd","rd","th"),"")</f>
        <v/>
      </c>
    </row>
    <row r="704" spans="12:12" x14ac:dyDescent="0.25">
      <c r="L704" s="164" t="str">
        <f>IFERROR(COUNTIF($C$18:C704,C704)&amp;CHOOSE(MIN(4,COUNTIF($C$18:C704,C704)),"st","nd","rd","th"),"")</f>
        <v/>
      </c>
    </row>
    <row r="705" spans="12:12" x14ac:dyDescent="0.25">
      <c r="L705" s="164" t="str">
        <f>IFERROR(COUNTIF($C$18:C705,C705)&amp;CHOOSE(MIN(4,COUNTIF($C$18:C705,C705)),"st","nd","rd","th"),"")</f>
        <v/>
      </c>
    </row>
    <row r="706" spans="12:12" x14ac:dyDescent="0.25">
      <c r="L706" s="164" t="str">
        <f>IFERROR(COUNTIF($C$18:C706,C706)&amp;CHOOSE(MIN(4,COUNTIF($C$18:C706,C706)),"st","nd","rd","th"),"")</f>
        <v/>
      </c>
    </row>
    <row r="707" spans="12:12" x14ac:dyDescent="0.25">
      <c r="L707" s="164" t="str">
        <f>IFERROR(COUNTIF($C$18:C707,C707)&amp;CHOOSE(MIN(4,COUNTIF($C$18:C707,C707)),"st","nd","rd","th"),"")</f>
        <v/>
      </c>
    </row>
    <row r="708" spans="12:12" x14ac:dyDescent="0.25">
      <c r="L708" s="164" t="str">
        <f>IFERROR(COUNTIF($C$18:C708,C708)&amp;CHOOSE(MIN(4,COUNTIF($C$18:C708,C708)),"st","nd","rd","th"),"")</f>
        <v/>
      </c>
    </row>
    <row r="709" spans="12:12" x14ac:dyDescent="0.25">
      <c r="L709" s="164" t="str">
        <f>IFERROR(COUNTIF($C$18:C709,C709)&amp;CHOOSE(MIN(4,COUNTIF($C$18:C709,C709)),"st","nd","rd","th"),"")</f>
        <v/>
      </c>
    </row>
    <row r="710" spans="12:12" x14ac:dyDescent="0.25">
      <c r="L710" s="164" t="str">
        <f>IFERROR(COUNTIF($C$18:C710,C710)&amp;CHOOSE(MIN(4,COUNTIF($C$18:C710,C710)),"st","nd","rd","th"),"")</f>
        <v/>
      </c>
    </row>
    <row r="711" spans="12:12" x14ac:dyDescent="0.25">
      <c r="L711" s="164" t="str">
        <f>IFERROR(COUNTIF($C$18:C711,C711)&amp;CHOOSE(MIN(4,COUNTIF($C$18:C711,C711)),"st","nd","rd","th"),"")</f>
        <v/>
      </c>
    </row>
    <row r="712" spans="12:12" x14ac:dyDescent="0.25">
      <c r="L712" s="164" t="str">
        <f>IFERROR(COUNTIF($C$18:C712,C712)&amp;CHOOSE(MIN(4,COUNTIF($C$18:C712,C712)),"st","nd","rd","th"),"")</f>
        <v/>
      </c>
    </row>
    <row r="713" spans="12:12" x14ac:dyDescent="0.25">
      <c r="L713" s="164" t="str">
        <f>IFERROR(COUNTIF($C$18:C713,C713)&amp;CHOOSE(MIN(4,COUNTIF($C$18:C713,C713)),"st","nd","rd","th"),"")</f>
        <v/>
      </c>
    </row>
    <row r="714" spans="12:12" x14ac:dyDescent="0.25">
      <c r="L714" s="164" t="str">
        <f>IFERROR(COUNTIF($C$18:C714,C714)&amp;CHOOSE(MIN(4,COUNTIF($C$18:C714,C714)),"st","nd","rd","th"),"")</f>
        <v/>
      </c>
    </row>
    <row r="715" spans="12:12" x14ac:dyDescent="0.25">
      <c r="L715" s="164" t="str">
        <f>IFERROR(COUNTIF($C$18:C715,C715)&amp;CHOOSE(MIN(4,COUNTIF($C$18:C715,C715)),"st","nd","rd","th"),"")</f>
        <v/>
      </c>
    </row>
    <row r="716" spans="12:12" x14ac:dyDescent="0.25">
      <c r="L716" s="164" t="str">
        <f>IFERROR(COUNTIF($C$18:C716,C716)&amp;CHOOSE(MIN(4,COUNTIF($C$18:C716,C716)),"st","nd","rd","th"),"")</f>
        <v/>
      </c>
    </row>
    <row r="717" spans="12:12" x14ac:dyDescent="0.25">
      <c r="L717" s="164" t="str">
        <f>IFERROR(COUNTIF($C$18:C717,C717)&amp;CHOOSE(MIN(4,COUNTIF($C$18:C717,C717)),"st","nd","rd","th"),"")</f>
        <v/>
      </c>
    </row>
    <row r="718" spans="12:12" x14ac:dyDescent="0.25">
      <c r="L718" s="164" t="str">
        <f>IFERROR(COUNTIF($C$18:C718,C718)&amp;CHOOSE(MIN(4,COUNTIF($C$18:C718,C718)),"st","nd","rd","th"),"")</f>
        <v/>
      </c>
    </row>
    <row r="719" spans="12:12" x14ac:dyDescent="0.25">
      <c r="L719" s="164" t="str">
        <f>IFERROR(COUNTIF($C$18:C719,C719)&amp;CHOOSE(MIN(4,COUNTIF($C$18:C719,C719)),"st","nd","rd","th"),"")</f>
        <v/>
      </c>
    </row>
    <row r="720" spans="12:12" x14ac:dyDescent="0.25">
      <c r="L720" s="164" t="str">
        <f>IFERROR(COUNTIF($C$18:C720,C720)&amp;CHOOSE(MIN(4,COUNTIF($C$18:C720,C720)),"st","nd","rd","th"),"")</f>
        <v/>
      </c>
    </row>
    <row r="721" spans="12:12" x14ac:dyDescent="0.25">
      <c r="L721" s="164" t="str">
        <f>IFERROR(COUNTIF($C$18:C721,C721)&amp;CHOOSE(MIN(4,COUNTIF($C$18:C721,C721)),"st","nd","rd","th"),"")</f>
        <v/>
      </c>
    </row>
    <row r="722" spans="12:12" x14ac:dyDescent="0.25">
      <c r="L722" s="164" t="str">
        <f>IFERROR(COUNTIF($C$18:C722,C722)&amp;CHOOSE(MIN(4,COUNTIF($C$18:C722,C722)),"st","nd","rd","th"),"")</f>
        <v/>
      </c>
    </row>
    <row r="723" spans="12:12" x14ac:dyDescent="0.25">
      <c r="L723" s="164" t="str">
        <f>IFERROR(COUNTIF($C$18:C723,C723)&amp;CHOOSE(MIN(4,COUNTIF($C$18:C723,C723)),"st","nd","rd","th"),"")</f>
        <v/>
      </c>
    </row>
    <row r="724" spans="12:12" x14ac:dyDescent="0.25">
      <c r="L724" s="164" t="str">
        <f>IFERROR(COUNTIF($C$18:C724,C724)&amp;CHOOSE(MIN(4,COUNTIF($C$18:C724,C724)),"st","nd","rd","th"),"")</f>
        <v/>
      </c>
    </row>
    <row r="725" spans="12:12" x14ac:dyDescent="0.25">
      <c r="L725" s="164" t="str">
        <f>IFERROR(COUNTIF($C$18:C725,C725)&amp;CHOOSE(MIN(4,COUNTIF($C$18:C725,C725)),"st","nd","rd","th"),"")</f>
        <v/>
      </c>
    </row>
    <row r="726" spans="12:12" x14ac:dyDescent="0.25">
      <c r="L726" s="164" t="str">
        <f>IFERROR(COUNTIF($C$18:C726,C726)&amp;CHOOSE(MIN(4,COUNTIF($C$18:C726,C726)),"st","nd","rd","th"),"")</f>
        <v/>
      </c>
    </row>
    <row r="727" spans="12:12" x14ac:dyDescent="0.25">
      <c r="L727" s="164" t="str">
        <f>IFERROR(COUNTIF($C$18:C727,C727)&amp;CHOOSE(MIN(4,COUNTIF($C$18:C727,C727)),"st","nd","rd","th"),"")</f>
        <v/>
      </c>
    </row>
    <row r="728" spans="12:12" x14ac:dyDescent="0.25">
      <c r="L728" s="164" t="str">
        <f>IFERROR(COUNTIF($C$18:C728,C728)&amp;CHOOSE(MIN(4,COUNTIF($C$18:C728,C728)),"st","nd","rd","th"),"")</f>
        <v/>
      </c>
    </row>
    <row r="729" spans="12:12" x14ac:dyDescent="0.25">
      <c r="L729" s="164" t="str">
        <f>IFERROR(COUNTIF($C$18:C729,C729)&amp;CHOOSE(MIN(4,COUNTIF($C$18:C729,C729)),"st","nd","rd","th"),"")</f>
        <v/>
      </c>
    </row>
    <row r="730" spans="12:12" x14ac:dyDescent="0.25">
      <c r="L730" s="164" t="str">
        <f>IFERROR(COUNTIF($C$18:C730,C730)&amp;CHOOSE(MIN(4,COUNTIF($C$18:C730,C730)),"st","nd","rd","th"),"")</f>
        <v/>
      </c>
    </row>
    <row r="731" spans="12:12" x14ac:dyDescent="0.25">
      <c r="L731" s="164" t="str">
        <f>IFERROR(COUNTIF($C$18:C731,C731)&amp;CHOOSE(MIN(4,COUNTIF($C$18:C731,C731)),"st","nd","rd","th"),"")</f>
        <v/>
      </c>
    </row>
    <row r="732" spans="12:12" x14ac:dyDescent="0.25">
      <c r="L732" s="164" t="str">
        <f>IFERROR(COUNTIF($C$18:C732,C732)&amp;CHOOSE(MIN(4,COUNTIF($C$18:C732,C732)),"st","nd","rd","th"),"")</f>
        <v/>
      </c>
    </row>
    <row r="733" spans="12:12" x14ac:dyDescent="0.25">
      <c r="L733" s="164" t="str">
        <f>IFERROR(COUNTIF($C$18:C733,C733)&amp;CHOOSE(MIN(4,COUNTIF($C$18:C733,C733)),"st","nd","rd","th"),"")</f>
        <v/>
      </c>
    </row>
    <row r="734" spans="12:12" x14ac:dyDescent="0.25">
      <c r="L734" s="164" t="str">
        <f>IFERROR(COUNTIF($C$18:C734,C734)&amp;CHOOSE(MIN(4,COUNTIF($C$18:C734,C734)),"st","nd","rd","th"),"")</f>
        <v/>
      </c>
    </row>
    <row r="735" spans="12:12" x14ac:dyDescent="0.25">
      <c r="L735" s="164" t="str">
        <f>IFERROR(COUNTIF($C$18:C735,C735)&amp;CHOOSE(MIN(4,COUNTIF($C$18:C735,C735)),"st","nd","rd","th"),"")</f>
        <v/>
      </c>
    </row>
    <row r="736" spans="12:12" x14ac:dyDescent="0.25">
      <c r="L736" s="164" t="str">
        <f>IFERROR(COUNTIF($C$18:C736,C736)&amp;CHOOSE(MIN(4,COUNTIF($C$18:C736,C736)),"st","nd","rd","th"),"")</f>
        <v/>
      </c>
    </row>
    <row r="737" spans="12:12" x14ac:dyDescent="0.25">
      <c r="L737" s="164" t="str">
        <f>IFERROR(COUNTIF($C$18:C737,C737)&amp;CHOOSE(MIN(4,COUNTIF($C$18:C737,C737)),"st","nd","rd","th"),"")</f>
        <v/>
      </c>
    </row>
    <row r="738" spans="12:12" x14ac:dyDescent="0.25">
      <c r="L738" s="164" t="str">
        <f>IFERROR(COUNTIF($C$18:C738,C738)&amp;CHOOSE(MIN(4,COUNTIF($C$18:C738,C738)),"st","nd","rd","th"),"")</f>
        <v/>
      </c>
    </row>
    <row r="739" spans="12:12" x14ac:dyDescent="0.25">
      <c r="L739" s="164" t="str">
        <f>IFERROR(COUNTIF($C$18:C739,C739)&amp;CHOOSE(MIN(4,COUNTIF($C$18:C739,C739)),"st","nd","rd","th"),"")</f>
        <v/>
      </c>
    </row>
    <row r="740" spans="12:12" x14ac:dyDescent="0.25">
      <c r="L740" s="164" t="str">
        <f>IFERROR(COUNTIF($C$18:C740,C740)&amp;CHOOSE(MIN(4,COUNTIF($C$18:C740,C740)),"st","nd","rd","th"),"")</f>
        <v/>
      </c>
    </row>
    <row r="741" spans="12:12" x14ac:dyDescent="0.25">
      <c r="L741" s="164" t="str">
        <f>IFERROR(COUNTIF($C$18:C741,C741)&amp;CHOOSE(MIN(4,COUNTIF($C$18:C741,C741)),"st","nd","rd","th"),"")</f>
        <v/>
      </c>
    </row>
    <row r="742" spans="12:12" x14ac:dyDescent="0.25">
      <c r="L742" s="164" t="str">
        <f>IFERROR(COUNTIF($C$18:C742,C742)&amp;CHOOSE(MIN(4,COUNTIF($C$18:C742,C742)),"st","nd","rd","th"),"")</f>
        <v/>
      </c>
    </row>
    <row r="743" spans="12:12" x14ac:dyDescent="0.25">
      <c r="L743" s="164" t="str">
        <f>IFERROR(COUNTIF($C$18:C743,C743)&amp;CHOOSE(MIN(4,COUNTIF($C$18:C743,C743)),"st","nd","rd","th"),"")</f>
        <v/>
      </c>
    </row>
    <row r="744" spans="12:12" x14ac:dyDescent="0.25">
      <c r="L744" s="164" t="str">
        <f>IFERROR(COUNTIF($C$18:C744,C744)&amp;CHOOSE(MIN(4,COUNTIF($C$18:C744,C744)),"st","nd","rd","th"),"")</f>
        <v/>
      </c>
    </row>
    <row r="745" spans="12:12" x14ac:dyDescent="0.25">
      <c r="L745" s="164" t="str">
        <f>IFERROR(COUNTIF($C$18:C745,C745)&amp;CHOOSE(MIN(4,COUNTIF($C$18:C745,C745)),"st","nd","rd","th"),"")</f>
        <v/>
      </c>
    </row>
    <row r="746" spans="12:12" x14ac:dyDescent="0.25">
      <c r="L746" s="164" t="str">
        <f>IFERROR(COUNTIF($C$18:C746,C746)&amp;CHOOSE(MIN(4,COUNTIF($C$18:C746,C746)),"st","nd","rd","th"),"")</f>
        <v/>
      </c>
    </row>
    <row r="747" spans="12:12" x14ac:dyDescent="0.25">
      <c r="L747" s="164" t="str">
        <f>IFERROR(COUNTIF($C$18:C747,C747)&amp;CHOOSE(MIN(4,COUNTIF($C$18:C747,C747)),"st","nd","rd","th"),"")</f>
        <v/>
      </c>
    </row>
    <row r="748" spans="12:12" x14ac:dyDescent="0.25">
      <c r="L748" s="164" t="str">
        <f>IFERROR(COUNTIF($C$18:C748,C748)&amp;CHOOSE(MIN(4,COUNTIF($C$18:C748,C748)),"st","nd","rd","th"),"")</f>
        <v/>
      </c>
    </row>
    <row r="749" spans="12:12" x14ac:dyDescent="0.25">
      <c r="L749" s="164" t="str">
        <f>IFERROR(COUNTIF($C$18:C749,C749)&amp;CHOOSE(MIN(4,COUNTIF($C$18:C749,C749)),"st","nd","rd","th"),"")</f>
        <v/>
      </c>
    </row>
    <row r="750" spans="12:12" x14ac:dyDescent="0.25">
      <c r="L750" s="164" t="str">
        <f>IFERROR(COUNTIF($C$18:C750,C750)&amp;CHOOSE(MIN(4,COUNTIF($C$18:C750,C750)),"st","nd","rd","th"),"")</f>
        <v/>
      </c>
    </row>
    <row r="751" spans="12:12" x14ac:dyDescent="0.25">
      <c r="L751" s="164" t="str">
        <f>IFERROR(COUNTIF($C$18:C751,C751)&amp;CHOOSE(MIN(4,COUNTIF($C$18:C751,C751)),"st","nd","rd","th"),"")</f>
        <v/>
      </c>
    </row>
    <row r="752" spans="12:12" x14ac:dyDescent="0.25">
      <c r="L752" s="164" t="str">
        <f>IFERROR(COUNTIF($C$18:C752,C752)&amp;CHOOSE(MIN(4,COUNTIF($C$18:C752,C752)),"st","nd","rd","th"),"")</f>
        <v/>
      </c>
    </row>
    <row r="753" spans="12:12" x14ac:dyDescent="0.25">
      <c r="L753" s="164" t="str">
        <f>IFERROR(COUNTIF($C$18:C753,C753)&amp;CHOOSE(MIN(4,COUNTIF($C$18:C753,C753)),"st","nd","rd","th"),"")</f>
        <v/>
      </c>
    </row>
    <row r="754" spans="12:12" x14ac:dyDescent="0.25">
      <c r="L754" s="164" t="str">
        <f>IFERROR(COUNTIF($C$18:C754,C754)&amp;CHOOSE(MIN(4,COUNTIF($C$18:C754,C754)),"st","nd","rd","th"),"")</f>
        <v/>
      </c>
    </row>
    <row r="755" spans="12:12" x14ac:dyDescent="0.25">
      <c r="L755" s="164" t="str">
        <f>IFERROR(COUNTIF($C$18:C755,C755)&amp;CHOOSE(MIN(4,COUNTIF($C$18:C755,C755)),"st","nd","rd","th"),"")</f>
        <v/>
      </c>
    </row>
    <row r="756" spans="12:12" x14ac:dyDescent="0.25">
      <c r="L756" s="164" t="str">
        <f>IFERROR(COUNTIF($C$18:C756,C756)&amp;CHOOSE(MIN(4,COUNTIF($C$18:C756,C756)),"st","nd","rd","th"),"")</f>
        <v/>
      </c>
    </row>
    <row r="757" spans="12:12" x14ac:dyDescent="0.25">
      <c r="L757" s="164" t="str">
        <f>IFERROR(COUNTIF($C$18:C757,C757)&amp;CHOOSE(MIN(4,COUNTIF($C$18:C757,C757)),"st","nd","rd","th"),"")</f>
        <v/>
      </c>
    </row>
    <row r="758" spans="12:12" x14ac:dyDescent="0.25">
      <c r="L758" s="164" t="str">
        <f>IFERROR(COUNTIF($C$18:C758,C758)&amp;CHOOSE(MIN(4,COUNTIF($C$18:C758,C758)),"st","nd","rd","th"),"")</f>
        <v/>
      </c>
    </row>
    <row r="759" spans="12:12" x14ac:dyDescent="0.25">
      <c r="L759" s="164" t="str">
        <f>IFERROR(COUNTIF($C$18:C759,C759)&amp;CHOOSE(MIN(4,COUNTIF($C$18:C759,C759)),"st","nd","rd","th"),"")</f>
        <v/>
      </c>
    </row>
    <row r="760" spans="12:12" x14ac:dyDescent="0.25">
      <c r="L760" s="164" t="str">
        <f>IFERROR(COUNTIF($C$18:C760,C760)&amp;CHOOSE(MIN(4,COUNTIF($C$18:C760,C760)),"st","nd","rd","th"),"")</f>
        <v/>
      </c>
    </row>
    <row r="761" spans="12:12" x14ac:dyDescent="0.25">
      <c r="L761" s="164" t="str">
        <f>IFERROR(COUNTIF($C$18:C761,C761)&amp;CHOOSE(MIN(4,COUNTIF($C$18:C761,C761)),"st","nd","rd","th"),"")</f>
        <v/>
      </c>
    </row>
    <row r="762" spans="12:12" x14ac:dyDescent="0.25">
      <c r="L762" s="164" t="str">
        <f>IFERROR(COUNTIF($C$18:C762,C762)&amp;CHOOSE(MIN(4,COUNTIF($C$18:C762,C762)),"st","nd","rd","th"),"")</f>
        <v/>
      </c>
    </row>
    <row r="763" spans="12:12" x14ac:dyDescent="0.25">
      <c r="L763" s="164" t="str">
        <f>IFERROR(COUNTIF($C$18:C763,C763)&amp;CHOOSE(MIN(4,COUNTIF($C$18:C763,C763)),"st","nd","rd","th"),"")</f>
        <v/>
      </c>
    </row>
    <row r="764" spans="12:12" x14ac:dyDescent="0.25">
      <c r="L764" s="164" t="str">
        <f>IFERROR(COUNTIF($C$18:C764,C764)&amp;CHOOSE(MIN(4,COUNTIF($C$18:C764,C764)),"st","nd","rd","th"),"")</f>
        <v/>
      </c>
    </row>
    <row r="765" spans="12:12" x14ac:dyDescent="0.25">
      <c r="L765" s="164" t="str">
        <f>IFERROR(COUNTIF($C$18:C765,C765)&amp;CHOOSE(MIN(4,COUNTIF($C$18:C765,C765)),"st","nd","rd","th"),"")</f>
        <v/>
      </c>
    </row>
    <row r="766" spans="12:12" x14ac:dyDescent="0.25">
      <c r="L766" s="164" t="str">
        <f>IFERROR(COUNTIF($C$18:C766,C766)&amp;CHOOSE(MIN(4,COUNTIF($C$18:C766,C766)),"st","nd","rd","th"),"")</f>
        <v/>
      </c>
    </row>
    <row r="767" spans="12:12" x14ac:dyDescent="0.25">
      <c r="L767" s="164" t="str">
        <f>IFERROR(COUNTIF($C$18:C767,C767)&amp;CHOOSE(MIN(4,COUNTIF($C$18:C767,C767)),"st","nd","rd","th"),"")</f>
        <v/>
      </c>
    </row>
    <row r="768" spans="12:12" x14ac:dyDescent="0.25">
      <c r="L768" s="164" t="str">
        <f>IFERROR(COUNTIF($C$18:C768,C768)&amp;CHOOSE(MIN(4,COUNTIF($C$18:C768,C768)),"st","nd","rd","th"),"")</f>
        <v/>
      </c>
    </row>
    <row r="769" spans="12:12" x14ac:dyDescent="0.25">
      <c r="L769" s="164" t="str">
        <f>IFERROR(COUNTIF($C$18:C769,C769)&amp;CHOOSE(MIN(4,COUNTIF($C$18:C769,C769)),"st","nd","rd","th"),"")</f>
        <v/>
      </c>
    </row>
    <row r="770" spans="12:12" x14ac:dyDescent="0.25">
      <c r="L770" s="164" t="str">
        <f>IFERROR(COUNTIF($C$18:C770,C770)&amp;CHOOSE(MIN(4,COUNTIF($C$18:C770,C770)),"st","nd","rd","th"),"")</f>
        <v/>
      </c>
    </row>
    <row r="771" spans="12:12" x14ac:dyDescent="0.25">
      <c r="L771" s="164" t="str">
        <f>IFERROR(COUNTIF($C$18:C771,C771)&amp;CHOOSE(MIN(4,COUNTIF($C$18:C771,C771)),"st","nd","rd","th"),"")</f>
        <v/>
      </c>
    </row>
    <row r="772" spans="12:12" x14ac:dyDescent="0.25">
      <c r="L772" s="164" t="str">
        <f>IFERROR(COUNTIF($C$18:C772,C772)&amp;CHOOSE(MIN(4,COUNTIF($C$18:C772,C772)),"st","nd","rd","th"),"")</f>
        <v/>
      </c>
    </row>
    <row r="773" spans="12:12" x14ac:dyDescent="0.25">
      <c r="L773" s="164" t="str">
        <f>IFERROR(COUNTIF($C$18:C773,C773)&amp;CHOOSE(MIN(4,COUNTIF($C$18:C773,C773)),"st","nd","rd","th"),"")</f>
        <v/>
      </c>
    </row>
    <row r="774" spans="12:12" x14ac:dyDescent="0.25">
      <c r="L774" s="164" t="str">
        <f>IFERROR(COUNTIF($C$18:C774,C774)&amp;CHOOSE(MIN(4,COUNTIF($C$18:C774,C774)),"st","nd","rd","th"),"")</f>
        <v/>
      </c>
    </row>
    <row r="775" spans="12:12" x14ac:dyDescent="0.25">
      <c r="L775" s="164" t="str">
        <f>IFERROR(COUNTIF($C$18:C775,C775)&amp;CHOOSE(MIN(4,COUNTIF($C$18:C775,C775)),"st","nd","rd","th"),"")</f>
        <v/>
      </c>
    </row>
    <row r="776" spans="12:12" x14ac:dyDescent="0.25">
      <c r="L776" s="164" t="str">
        <f>IFERROR(COUNTIF($C$18:C776,C776)&amp;CHOOSE(MIN(4,COUNTIF($C$18:C776,C776)),"st","nd","rd","th"),"")</f>
        <v/>
      </c>
    </row>
    <row r="777" spans="12:12" x14ac:dyDescent="0.25">
      <c r="L777" s="164" t="str">
        <f>IFERROR(COUNTIF($C$18:C777,C777)&amp;CHOOSE(MIN(4,COUNTIF($C$18:C777,C777)),"st","nd","rd","th"),"")</f>
        <v/>
      </c>
    </row>
    <row r="778" spans="12:12" x14ac:dyDescent="0.25">
      <c r="L778" s="164" t="str">
        <f>IFERROR(COUNTIF($C$18:C778,C778)&amp;CHOOSE(MIN(4,COUNTIF($C$18:C778,C778)),"st","nd","rd","th"),"")</f>
        <v/>
      </c>
    </row>
    <row r="779" spans="12:12" x14ac:dyDescent="0.25">
      <c r="L779" s="164" t="str">
        <f>IFERROR(COUNTIF($C$18:C779,C779)&amp;CHOOSE(MIN(4,COUNTIF($C$18:C779,C779)),"st","nd","rd","th"),"")</f>
        <v/>
      </c>
    </row>
    <row r="780" spans="12:12" x14ac:dyDescent="0.25">
      <c r="L780" s="164" t="str">
        <f>IFERROR(COUNTIF($C$18:C780,C780)&amp;CHOOSE(MIN(4,COUNTIF($C$18:C780,C780)),"st","nd","rd","th"),"")</f>
        <v/>
      </c>
    </row>
    <row r="781" spans="12:12" x14ac:dyDescent="0.25">
      <c r="L781" s="164" t="str">
        <f>IFERROR(COUNTIF($C$18:C781,C781)&amp;CHOOSE(MIN(4,COUNTIF($C$18:C781,C781)),"st","nd","rd","th"),"")</f>
        <v/>
      </c>
    </row>
    <row r="782" spans="12:12" x14ac:dyDescent="0.25">
      <c r="L782" s="164" t="str">
        <f>IFERROR(COUNTIF($C$18:C782,C782)&amp;CHOOSE(MIN(4,COUNTIF($C$18:C782,C782)),"st","nd","rd","th"),"")</f>
        <v/>
      </c>
    </row>
    <row r="783" spans="12:12" x14ac:dyDescent="0.25">
      <c r="L783" s="164" t="str">
        <f>IFERROR(COUNTIF($C$18:C783,C783)&amp;CHOOSE(MIN(4,COUNTIF($C$18:C783,C783)),"st","nd","rd","th"),"")</f>
        <v/>
      </c>
    </row>
    <row r="784" spans="12:12" x14ac:dyDescent="0.25">
      <c r="L784" s="164" t="str">
        <f>IFERROR(COUNTIF($C$18:C784,C784)&amp;CHOOSE(MIN(4,COUNTIF($C$18:C784,C784)),"st","nd","rd","th"),"")</f>
        <v/>
      </c>
    </row>
    <row r="785" spans="12:12" x14ac:dyDescent="0.25">
      <c r="L785" s="164" t="str">
        <f>IFERROR(COUNTIF($C$18:C785,C785)&amp;CHOOSE(MIN(4,COUNTIF($C$18:C785,C785)),"st","nd","rd","th"),"")</f>
        <v/>
      </c>
    </row>
    <row r="786" spans="12:12" x14ac:dyDescent="0.25">
      <c r="L786" s="164" t="str">
        <f>IFERROR(COUNTIF($C$18:C786,C786)&amp;CHOOSE(MIN(4,COUNTIF($C$18:C786,C786)),"st","nd","rd","th"),"")</f>
        <v/>
      </c>
    </row>
    <row r="787" spans="12:12" x14ac:dyDescent="0.25">
      <c r="L787" s="164" t="str">
        <f>IFERROR(COUNTIF($C$18:C787,C787)&amp;CHOOSE(MIN(4,COUNTIF($C$18:C787,C787)),"st","nd","rd","th"),"")</f>
        <v/>
      </c>
    </row>
    <row r="788" spans="12:12" x14ac:dyDescent="0.25">
      <c r="L788" s="164" t="str">
        <f>IFERROR(COUNTIF($C$18:C788,C788)&amp;CHOOSE(MIN(4,COUNTIF($C$18:C788,C788)),"st","nd","rd","th"),"")</f>
        <v/>
      </c>
    </row>
    <row r="789" spans="12:12" x14ac:dyDescent="0.25">
      <c r="L789" s="164" t="str">
        <f>IFERROR(COUNTIF($C$18:C789,C789)&amp;CHOOSE(MIN(4,COUNTIF($C$18:C789,C789)),"st","nd","rd","th"),"")</f>
        <v/>
      </c>
    </row>
    <row r="790" spans="12:12" x14ac:dyDescent="0.25">
      <c r="L790" s="164" t="str">
        <f>IFERROR(COUNTIF($C$18:C790,C790)&amp;CHOOSE(MIN(4,COUNTIF($C$18:C790,C790)),"st","nd","rd","th"),"")</f>
        <v/>
      </c>
    </row>
    <row r="791" spans="12:12" x14ac:dyDescent="0.25">
      <c r="L791" s="164" t="str">
        <f>IFERROR(COUNTIF($C$18:C791,C791)&amp;CHOOSE(MIN(4,COUNTIF($C$18:C791,C791)),"st","nd","rd","th"),"")</f>
        <v/>
      </c>
    </row>
    <row r="792" spans="12:12" x14ac:dyDescent="0.25">
      <c r="L792" s="164" t="str">
        <f>IFERROR(COUNTIF($C$18:C792,C792)&amp;CHOOSE(MIN(4,COUNTIF($C$18:C792,C792)),"st","nd","rd","th"),"")</f>
        <v/>
      </c>
    </row>
    <row r="793" spans="12:12" x14ac:dyDescent="0.25">
      <c r="L793" s="164" t="str">
        <f>IFERROR(COUNTIF($C$18:C793,C793)&amp;CHOOSE(MIN(4,COUNTIF($C$18:C793,C793)),"st","nd","rd","th"),"")</f>
        <v/>
      </c>
    </row>
    <row r="794" spans="12:12" x14ac:dyDescent="0.25">
      <c r="L794" s="164" t="str">
        <f>IFERROR(COUNTIF($C$18:C794,C794)&amp;CHOOSE(MIN(4,COUNTIF($C$18:C794,C794)),"st","nd","rd","th"),"")</f>
        <v/>
      </c>
    </row>
    <row r="795" spans="12:12" x14ac:dyDescent="0.25">
      <c r="L795" s="164" t="str">
        <f>IFERROR(COUNTIF($C$18:C795,C795)&amp;CHOOSE(MIN(4,COUNTIF($C$18:C795,C795)),"st","nd","rd","th"),"")</f>
        <v/>
      </c>
    </row>
    <row r="796" spans="12:12" x14ac:dyDescent="0.25">
      <c r="L796" s="164" t="str">
        <f>IFERROR(COUNTIF($C$18:C796,C796)&amp;CHOOSE(MIN(4,COUNTIF($C$18:C796,C796)),"st","nd","rd","th"),"")</f>
        <v/>
      </c>
    </row>
    <row r="797" spans="12:12" x14ac:dyDescent="0.25">
      <c r="L797" s="164" t="str">
        <f>IFERROR(COUNTIF($C$18:C797,C797)&amp;CHOOSE(MIN(4,COUNTIF($C$18:C797,C797)),"st","nd","rd","th"),"")</f>
        <v/>
      </c>
    </row>
    <row r="798" spans="12:12" x14ac:dyDescent="0.25">
      <c r="L798" s="164" t="str">
        <f>IFERROR(COUNTIF($C$18:C798,C798)&amp;CHOOSE(MIN(4,COUNTIF($C$18:C798,C798)),"st","nd","rd","th"),"")</f>
        <v/>
      </c>
    </row>
    <row r="799" spans="12:12" x14ac:dyDescent="0.25">
      <c r="L799" s="164" t="str">
        <f>IFERROR(COUNTIF($C$18:C799,C799)&amp;CHOOSE(MIN(4,COUNTIF($C$18:C799,C799)),"st","nd","rd","th"),"")</f>
        <v/>
      </c>
    </row>
    <row r="800" spans="12:12" x14ac:dyDescent="0.25">
      <c r="L800" s="164" t="str">
        <f>IFERROR(COUNTIF($C$18:C800,C800)&amp;CHOOSE(MIN(4,COUNTIF($C$18:C800,C800)),"st","nd","rd","th"),"")</f>
        <v/>
      </c>
    </row>
    <row r="801" spans="12:12" x14ac:dyDescent="0.25">
      <c r="L801" s="164" t="str">
        <f>IFERROR(COUNTIF($C$18:C801,C801)&amp;CHOOSE(MIN(4,COUNTIF($C$18:C801,C801)),"st","nd","rd","th"),"")</f>
        <v/>
      </c>
    </row>
    <row r="802" spans="12:12" x14ac:dyDescent="0.25">
      <c r="L802" s="164" t="str">
        <f>IFERROR(COUNTIF($C$18:C802,C802)&amp;CHOOSE(MIN(4,COUNTIF($C$18:C802,C802)),"st","nd","rd","th"),"")</f>
        <v/>
      </c>
    </row>
    <row r="803" spans="12:12" x14ac:dyDescent="0.25">
      <c r="L803" s="164" t="str">
        <f>IFERROR(COUNTIF($C$18:C803,C803)&amp;CHOOSE(MIN(4,COUNTIF($C$18:C803,C803)),"st","nd","rd","th"),"")</f>
        <v/>
      </c>
    </row>
    <row r="804" spans="12:12" x14ac:dyDescent="0.25">
      <c r="L804" s="164" t="str">
        <f>IFERROR(COUNTIF($C$18:C804,C804)&amp;CHOOSE(MIN(4,COUNTIF($C$18:C804,C804)),"st","nd","rd","th"),"")</f>
        <v/>
      </c>
    </row>
    <row r="805" spans="12:12" x14ac:dyDescent="0.25">
      <c r="L805" s="164" t="str">
        <f>IFERROR(COUNTIF($C$18:C805,C805)&amp;CHOOSE(MIN(4,COUNTIF($C$18:C805,C805)),"st","nd","rd","th"),"")</f>
        <v/>
      </c>
    </row>
    <row r="806" spans="12:12" x14ac:dyDescent="0.25">
      <c r="L806" s="164" t="str">
        <f>IFERROR(COUNTIF($C$18:C806,C806)&amp;CHOOSE(MIN(4,COUNTIF($C$18:C806,C806)),"st","nd","rd","th"),"")</f>
        <v/>
      </c>
    </row>
    <row r="807" spans="12:12" x14ac:dyDescent="0.25">
      <c r="L807" s="164" t="str">
        <f>IFERROR(COUNTIF($C$18:C807,C807)&amp;CHOOSE(MIN(4,COUNTIF($C$18:C807,C807)),"st","nd","rd","th"),"")</f>
        <v/>
      </c>
    </row>
    <row r="808" spans="12:12" x14ac:dyDescent="0.25">
      <c r="L808" s="164" t="str">
        <f>IFERROR(COUNTIF($C$18:C808,C808)&amp;CHOOSE(MIN(4,COUNTIF($C$18:C808,C808)),"st","nd","rd","th"),"")</f>
        <v/>
      </c>
    </row>
    <row r="809" spans="12:12" x14ac:dyDescent="0.25">
      <c r="L809" s="164" t="str">
        <f>IFERROR(COUNTIF($C$18:C809,C809)&amp;CHOOSE(MIN(4,COUNTIF($C$18:C809,C809)),"st","nd","rd","th"),"")</f>
        <v/>
      </c>
    </row>
    <row r="810" spans="12:12" x14ac:dyDescent="0.25">
      <c r="L810" s="164" t="str">
        <f>IFERROR(COUNTIF($C$18:C810,C810)&amp;CHOOSE(MIN(4,COUNTIF($C$18:C810,C810)),"st","nd","rd","th"),"")</f>
        <v/>
      </c>
    </row>
    <row r="811" spans="12:12" x14ac:dyDescent="0.25">
      <c r="L811" s="164" t="str">
        <f>IFERROR(COUNTIF($C$18:C811,C811)&amp;CHOOSE(MIN(4,COUNTIF($C$18:C811,C811)),"st","nd","rd","th"),"")</f>
        <v/>
      </c>
    </row>
    <row r="812" spans="12:12" x14ac:dyDescent="0.25">
      <c r="L812" s="164" t="str">
        <f>IFERROR(COUNTIF($C$18:C812,C812)&amp;CHOOSE(MIN(4,COUNTIF($C$18:C812,C812)),"st","nd","rd","th"),"")</f>
        <v/>
      </c>
    </row>
    <row r="813" spans="12:12" x14ac:dyDescent="0.25">
      <c r="L813" s="164" t="str">
        <f>IFERROR(COUNTIF($C$18:C813,C813)&amp;CHOOSE(MIN(4,COUNTIF($C$18:C813,C813)),"st","nd","rd","th"),"")</f>
        <v/>
      </c>
    </row>
    <row r="814" spans="12:12" x14ac:dyDescent="0.25">
      <c r="L814" s="164" t="str">
        <f>IFERROR(COUNTIF($C$18:C814,C814)&amp;CHOOSE(MIN(4,COUNTIF($C$18:C814,C814)),"st","nd","rd","th"),"")</f>
        <v/>
      </c>
    </row>
    <row r="815" spans="12:12" x14ac:dyDescent="0.25">
      <c r="L815" s="164" t="str">
        <f>IFERROR(COUNTIF($C$18:C815,C815)&amp;CHOOSE(MIN(4,COUNTIF($C$18:C815,C815)),"st","nd","rd","th"),"")</f>
        <v/>
      </c>
    </row>
    <row r="816" spans="12:12" x14ac:dyDescent="0.25">
      <c r="L816" s="164" t="str">
        <f>IFERROR(COUNTIF($C$18:C816,C816)&amp;CHOOSE(MIN(4,COUNTIF($C$18:C816,C816)),"st","nd","rd","th"),"")</f>
        <v/>
      </c>
    </row>
    <row r="817" spans="12:12" x14ac:dyDescent="0.25">
      <c r="L817" s="164" t="str">
        <f>IFERROR(COUNTIF($C$18:C817,C817)&amp;CHOOSE(MIN(4,COUNTIF($C$18:C817,C817)),"st","nd","rd","th"),"")</f>
        <v/>
      </c>
    </row>
    <row r="818" spans="12:12" x14ac:dyDescent="0.25">
      <c r="L818" s="164" t="str">
        <f>IFERROR(COUNTIF($C$18:C818,C818)&amp;CHOOSE(MIN(4,COUNTIF($C$18:C818,C818)),"st","nd","rd","th"),"")</f>
        <v/>
      </c>
    </row>
    <row r="819" spans="12:12" x14ac:dyDescent="0.25">
      <c r="L819" s="164" t="str">
        <f>IFERROR(COUNTIF($C$18:C819,C819)&amp;CHOOSE(MIN(4,COUNTIF($C$18:C819,C819)),"st","nd","rd","th"),"")</f>
        <v/>
      </c>
    </row>
    <row r="820" spans="12:12" x14ac:dyDescent="0.25">
      <c r="L820" s="164" t="str">
        <f>IFERROR(COUNTIF($C$18:C820,C820)&amp;CHOOSE(MIN(4,COUNTIF($C$18:C820,C820)),"st","nd","rd","th"),"")</f>
        <v/>
      </c>
    </row>
    <row r="821" spans="12:12" x14ac:dyDescent="0.25">
      <c r="L821" s="164" t="str">
        <f>IFERROR(COUNTIF($C$18:C821,C821)&amp;CHOOSE(MIN(4,COUNTIF($C$18:C821,C821)),"st","nd","rd","th"),"")</f>
        <v/>
      </c>
    </row>
    <row r="822" spans="12:12" x14ac:dyDescent="0.25">
      <c r="L822" s="164" t="str">
        <f>IFERROR(COUNTIF($C$18:C822,C822)&amp;CHOOSE(MIN(4,COUNTIF($C$18:C822,C822)),"st","nd","rd","th"),"")</f>
        <v/>
      </c>
    </row>
    <row r="823" spans="12:12" x14ac:dyDescent="0.25">
      <c r="L823" s="164" t="str">
        <f>IFERROR(COUNTIF($C$18:C823,C823)&amp;CHOOSE(MIN(4,COUNTIF($C$18:C823,C823)),"st","nd","rd","th"),"")</f>
        <v/>
      </c>
    </row>
    <row r="824" spans="12:12" x14ac:dyDescent="0.25">
      <c r="L824" s="164" t="str">
        <f>IFERROR(COUNTIF($C$18:C824,C824)&amp;CHOOSE(MIN(4,COUNTIF($C$18:C824,C824)),"st","nd","rd","th"),"")</f>
        <v/>
      </c>
    </row>
    <row r="825" spans="12:12" x14ac:dyDescent="0.25">
      <c r="L825" s="164" t="str">
        <f>IFERROR(COUNTIF($C$18:C825,C825)&amp;CHOOSE(MIN(4,COUNTIF($C$18:C825,C825)),"st","nd","rd","th"),"")</f>
        <v/>
      </c>
    </row>
    <row r="826" spans="12:12" x14ac:dyDescent="0.25">
      <c r="L826" s="164" t="str">
        <f>IFERROR(COUNTIF($C$18:C826,C826)&amp;CHOOSE(MIN(4,COUNTIF($C$18:C826,C826)),"st","nd","rd","th"),"")</f>
        <v/>
      </c>
    </row>
    <row r="827" spans="12:12" x14ac:dyDescent="0.25">
      <c r="L827" s="164" t="str">
        <f>IFERROR(COUNTIF($C$18:C827,C827)&amp;CHOOSE(MIN(4,COUNTIF($C$18:C827,C827)),"st","nd","rd","th"),"")</f>
        <v/>
      </c>
    </row>
    <row r="828" spans="12:12" x14ac:dyDescent="0.25">
      <c r="L828" s="164" t="str">
        <f>IFERROR(COUNTIF($C$18:C828,C828)&amp;CHOOSE(MIN(4,COUNTIF($C$18:C828,C828)),"st","nd","rd","th"),"")</f>
        <v/>
      </c>
    </row>
    <row r="829" spans="12:12" x14ac:dyDescent="0.25">
      <c r="L829" s="164" t="str">
        <f>IFERROR(COUNTIF($C$18:C829,C829)&amp;CHOOSE(MIN(4,COUNTIF($C$18:C829,C829)),"st","nd","rd","th"),"")</f>
        <v/>
      </c>
    </row>
    <row r="830" spans="12:12" x14ac:dyDescent="0.25">
      <c r="L830" s="164" t="str">
        <f>IFERROR(COUNTIF($C$18:C830,C830)&amp;CHOOSE(MIN(4,COUNTIF($C$18:C830,C830)),"st","nd","rd","th"),"")</f>
        <v/>
      </c>
    </row>
    <row r="831" spans="12:12" x14ac:dyDescent="0.25">
      <c r="L831" s="164" t="str">
        <f>IFERROR(COUNTIF($C$18:C831,C831)&amp;CHOOSE(MIN(4,COUNTIF($C$18:C831,C831)),"st","nd","rd","th"),"")</f>
        <v/>
      </c>
    </row>
    <row r="832" spans="12:12" x14ac:dyDescent="0.25">
      <c r="L832" s="164" t="str">
        <f>IFERROR(COUNTIF($C$18:C832,C832)&amp;CHOOSE(MIN(4,COUNTIF($C$18:C832,C832)),"st","nd","rd","th"),"")</f>
        <v/>
      </c>
    </row>
    <row r="833" spans="12:12" x14ac:dyDescent="0.25">
      <c r="L833" s="164" t="str">
        <f>IFERROR(COUNTIF($C$18:C833,C833)&amp;CHOOSE(MIN(4,COUNTIF($C$18:C833,C833)),"st","nd","rd","th"),"")</f>
        <v/>
      </c>
    </row>
    <row r="834" spans="12:12" x14ac:dyDescent="0.25">
      <c r="L834" s="164" t="str">
        <f>IFERROR(COUNTIF($C$18:C834,C834)&amp;CHOOSE(MIN(4,COUNTIF($C$18:C834,C834)),"st","nd","rd","th"),"")</f>
        <v/>
      </c>
    </row>
    <row r="835" spans="12:12" x14ac:dyDescent="0.25">
      <c r="L835" s="164" t="str">
        <f>IFERROR(COUNTIF($C$18:C835,C835)&amp;CHOOSE(MIN(4,COUNTIF($C$18:C835,C835)),"st","nd","rd","th"),"")</f>
        <v/>
      </c>
    </row>
    <row r="836" spans="12:12" x14ac:dyDescent="0.25">
      <c r="L836" s="164" t="str">
        <f>IFERROR(COUNTIF($C$18:C836,C836)&amp;CHOOSE(MIN(4,COUNTIF($C$18:C836,C836)),"st","nd","rd","th"),"")</f>
        <v/>
      </c>
    </row>
    <row r="837" spans="12:12" x14ac:dyDescent="0.25">
      <c r="L837" s="164" t="str">
        <f>IFERROR(COUNTIF($C$18:C837,C837)&amp;CHOOSE(MIN(4,COUNTIF($C$18:C837,C837)),"st","nd","rd","th"),"")</f>
        <v/>
      </c>
    </row>
    <row r="838" spans="12:12" x14ac:dyDescent="0.25">
      <c r="L838" s="164" t="str">
        <f>IFERROR(COUNTIF($C$18:C838,C838)&amp;CHOOSE(MIN(4,COUNTIF($C$18:C838,C838)),"st","nd","rd","th"),"")</f>
        <v/>
      </c>
    </row>
    <row r="839" spans="12:12" x14ac:dyDescent="0.25">
      <c r="L839" s="164" t="str">
        <f>IFERROR(COUNTIF($C$18:C839,C839)&amp;CHOOSE(MIN(4,COUNTIF($C$18:C839,C839)),"st","nd","rd","th"),"")</f>
        <v/>
      </c>
    </row>
    <row r="840" spans="12:12" x14ac:dyDescent="0.25">
      <c r="L840" s="164" t="str">
        <f>IFERROR(COUNTIF($C$18:C840,C840)&amp;CHOOSE(MIN(4,COUNTIF($C$18:C840,C840)),"st","nd","rd","th"),"")</f>
        <v/>
      </c>
    </row>
    <row r="841" spans="12:12" x14ac:dyDescent="0.25">
      <c r="L841" s="164" t="str">
        <f>IFERROR(COUNTIF($C$18:C841,C841)&amp;CHOOSE(MIN(4,COUNTIF($C$18:C841,C841)),"st","nd","rd","th"),"")</f>
        <v/>
      </c>
    </row>
    <row r="842" spans="12:12" x14ac:dyDescent="0.25">
      <c r="L842" s="164" t="str">
        <f>IFERROR(COUNTIF($C$18:C842,C842)&amp;CHOOSE(MIN(4,COUNTIF($C$18:C842,C842)),"st","nd","rd","th"),"")</f>
        <v/>
      </c>
    </row>
    <row r="843" spans="12:12" x14ac:dyDescent="0.25">
      <c r="L843" s="164" t="str">
        <f>IFERROR(COUNTIF($C$18:C843,C843)&amp;CHOOSE(MIN(4,COUNTIF($C$18:C843,C843)),"st","nd","rd","th"),"")</f>
        <v/>
      </c>
    </row>
    <row r="844" spans="12:12" x14ac:dyDescent="0.25">
      <c r="L844" s="164" t="str">
        <f>IFERROR(COUNTIF($C$18:C844,C844)&amp;CHOOSE(MIN(4,COUNTIF($C$18:C844,C844)),"st","nd","rd","th"),"")</f>
        <v/>
      </c>
    </row>
    <row r="845" spans="12:12" x14ac:dyDescent="0.25">
      <c r="L845" s="164" t="str">
        <f>IFERROR(COUNTIF($C$18:C845,C845)&amp;CHOOSE(MIN(4,COUNTIF($C$18:C845,C845)),"st","nd","rd","th"),"")</f>
        <v/>
      </c>
    </row>
    <row r="846" spans="12:12" x14ac:dyDescent="0.25">
      <c r="L846" s="164" t="str">
        <f>IFERROR(COUNTIF($C$18:C846,C846)&amp;CHOOSE(MIN(4,COUNTIF($C$18:C846,C846)),"st","nd","rd","th"),"")</f>
        <v/>
      </c>
    </row>
    <row r="847" spans="12:12" x14ac:dyDescent="0.25">
      <c r="L847" s="164" t="str">
        <f>IFERROR(COUNTIF($C$18:C847,C847)&amp;CHOOSE(MIN(4,COUNTIF($C$18:C847,C847)),"st","nd","rd","th"),"")</f>
        <v/>
      </c>
    </row>
    <row r="848" spans="12:12" x14ac:dyDescent="0.25">
      <c r="L848" s="164" t="str">
        <f>IFERROR(COUNTIF($C$18:C848,C848)&amp;CHOOSE(MIN(4,COUNTIF($C$18:C848,C848)),"st","nd","rd","th"),"")</f>
        <v/>
      </c>
    </row>
    <row r="849" spans="12:12" x14ac:dyDescent="0.25">
      <c r="L849" s="164" t="str">
        <f>IFERROR(COUNTIF($C$18:C849,C849)&amp;CHOOSE(MIN(4,COUNTIF($C$18:C849,C849)),"st","nd","rd","th"),"")</f>
        <v/>
      </c>
    </row>
    <row r="850" spans="12:12" x14ac:dyDescent="0.25">
      <c r="L850" s="164" t="str">
        <f>IFERROR(COUNTIF($C$18:C850,C850)&amp;CHOOSE(MIN(4,COUNTIF($C$18:C850,C850)),"st","nd","rd","th"),"")</f>
        <v/>
      </c>
    </row>
    <row r="851" spans="12:12" x14ac:dyDescent="0.25">
      <c r="L851" s="164" t="str">
        <f>IFERROR(COUNTIF($C$18:C851,C851)&amp;CHOOSE(MIN(4,COUNTIF($C$18:C851,C851)),"st","nd","rd","th"),"")</f>
        <v/>
      </c>
    </row>
    <row r="852" spans="12:12" x14ac:dyDescent="0.25">
      <c r="L852" s="164" t="str">
        <f>IFERROR(COUNTIF($C$18:C852,C852)&amp;CHOOSE(MIN(4,COUNTIF($C$18:C852,C852)),"st","nd","rd","th"),"")</f>
        <v/>
      </c>
    </row>
    <row r="853" spans="12:12" x14ac:dyDescent="0.25">
      <c r="L853" s="164" t="str">
        <f>IFERROR(COUNTIF($C$18:C853,C853)&amp;CHOOSE(MIN(4,COUNTIF($C$18:C853,C853)),"st","nd","rd","th"),"")</f>
        <v/>
      </c>
    </row>
    <row r="854" spans="12:12" x14ac:dyDescent="0.25">
      <c r="L854" s="164" t="str">
        <f>IFERROR(COUNTIF($C$18:C854,C854)&amp;CHOOSE(MIN(4,COUNTIF($C$18:C854,C854)),"st","nd","rd","th"),"")</f>
        <v/>
      </c>
    </row>
    <row r="855" spans="12:12" x14ac:dyDescent="0.25">
      <c r="L855" s="164" t="str">
        <f>IFERROR(COUNTIF($C$18:C855,C855)&amp;CHOOSE(MIN(4,COUNTIF($C$18:C855,C855)),"st","nd","rd","th"),"")</f>
        <v/>
      </c>
    </row>
    <row r="856" spans="12:12" x14ac:dyDescent="0.25">
      <c r="L856" s="164" t="str">
        <f>IFERROR(COUNTIF($C$18:C856,C856)&amp;CHOOSE(MIN(4,COUNTIF($C$18:C856,C856)),"st","nd","rd","th"),"")</f>
        <v/>
      </c>
    </row>
    <row r="857" spans="12:12" x14ac:dyDescent="0.25">
      <c r="L857" s="164" t="str">
        <f>IFERROR(COUNTIF($C$18:C857,C857)&amp;CHOOSE(MIN(4,COUNTIF($C$18:C857,C857)),"st","nd","rd","th"),"")</f>
        <v/>
      </c>
    </row>
    <row r="858" spans="12:12" x14ac:dyDescent="0.25">
      <c r="L858" s="164" t="str">
        <f>IFERROR(COUNTIF($C$18:C858,C858)&amp;CHOOSE(MIN(4,COUNTIF($C$18:C858,C858)),"st","nd","rd","th"),"")</f>
        <v/>
      </c>
    </row>
    <row r="859" spans="12:12" x14ac:dyDescent="0.25">
      <c r="L859" s="164" t="str">
        <f>IFERROR(COUNTIF($C$18:C859,C859)&amp;CHOOSE(MIN(4,COUNTIF($C$18:C859,C859)),"st","nd","rd","th"),"")</f>
        <v/>
      </c>
    </row>
    <row r="860" spans="12:12" x14ac:dyDescent="0.25">
      <c r="L860" s="164" t="str">
        <f>IFERROR(COUNTIF($C$18:C860,C860)&amp;CHOOSE(MIN(4,COUNTIF($C$18:C860,C860)),"st","nd","rd","th"),"")</f>
        <v/>
      </c>
    </row>
    <row r="861" spans="12:12" x14ac:dyDescent="0.25">
      <c r="L861" s="164" t="str">
        <f>IFERROR(COUNTIF($C$18:C861,C861)&amp;CHOOSE(MIN(4,COUNTIF($C$18:C861,C861)),"st","nd","rd","th"),"")</f>
        <v/>
      </c>
    </row>
    <row r="862" spans="12:12" x14ac:dyDescent="0.25">
      <c r="L862" s="164" t="str">
        <f>IFERROR(COUNTIF($C$18:C862,C862)&amp;CHOOSE(MIN(4,COUNTIF($C$18:C862,C862)),"st","nd","rd","th"),"")</f>
        <v/>
      </c>
    </row>
    <row r="863" spans="12:12" x14ac:dyDescent="0.25">
      <c r="L863" s="164" t="str">
        <f>IFERROR(COUNTIF($C$18:C863,C863)&amp;CHOOSE(MIN(4,COUNTIF($C$18:C863,C863)),"st","nd","rd","th"),"")</f>
        <v/>
      </c>
    </row>
    <row r="864" spans="12:12" x14ac:dyDescent="0.25">
      <c r="L864" s="164" t="str">
        <f>IFERROR(COUNTIF($C$18:C864,C864)&amp;CHOOSE(MIN(4,COUNTIF($C$18:C864,C864)),"st","nd","rd","th"),"")</f>
        <v/>
      </c>
    </row>
    <row r="865" spans="12:12" x14ac:dyDescent="0.25">
      <c r="L865" s="164" t="str">
        <f>IFERROR(COUNTIF($C$18:C865,C865)&amp;CHOOSE(MIN(4,COUNTIF($C$18:C865,C865)),"st","nd","rd","th"),"")</f>
        <v/>
      </c>
    </row>
    <row r="866" spans="12:12" x14ac:dyDescent="0.25">
      <c r="L866" s="164" t="str">
        <f>IFERROR(COUNTIF($C$18:C866,C866)&amp;CHOOSE(MIN(4,COUNTIF($C$18:C866,C866)),"st","nd","rd","th"),"")</f>
        <v/>
      </c>
    </row>
    <row r="867" spans="12:12" x14ac:dyDescent="0.25">
      <c r="L867" s="164" t="str">
        <f>IFERROR(COUNTIF($C$18:C867,C867)&amp;CHOOSE(MIN(4,COUNTIF($C$18:C867,C867)),"st","nd","rd","th"),"")</f>
        <v/>
      </c>
    </row>
    <row r="868" spans="12:12" x14ac:dyDescent="0.25">
      <c r="L868" s="164" t="str">
        <f>IFERROR(COUNTIF($C$18:C868,C868)&amp;CHOOSE(MIN(4,COUNTIF($C$18:C868,C868)),"st","nd","rd","th"),"")</f>
        <v/>
      </c>
    </row>
    <row r="869" spans="12:12" x14ac:dyDescent="0.25">
      <c r="L869" s="164" t="str">
        <f>IFERROR(COUNTIF($C$18:C869,C869)&amp;CHOOSE(MIN(4,COUNTIF($C$18:C869,C869)),"st","nd","rd","th"),"")</f>
        <v/>
      </c>
    </row>
    <row r="870" spans="12:12" x14ac:dyDescent="0.25">
      <c r="L870" s="164" t="str">
        <f>IFERROR(COUNTIF($C$18:C870,C870)&amp;CHOOSE(MIN(4,COUNTIF($C$18:C870,C870)),"st","nd","rd","th"),"")</f>
        <v/>
      </c>
    </row>
    <row r="871" spans="12:12" x14ac:dyDescent="0.25">
      <c r="L871" s="164" t="str">
        <f>IFERROR(COUNTIF($C$18:C871,C871)&amp;CHOOSE(MIN(4,COUNTIF($C$18:C871,C871)),"st","nd","rd","th"),"")</f>
        <v/>
      </c>
    </row>
    <row r="872" spans="12:12" x14ac:dyDescent="0.25">
      <c r="L872" s="164" t="str">
        <f>IFERROR(COUNTIF($C$18:C872,C872)&amp;CHOOSE(MIN(4,COUNTIF($C$18:C872,C872)),"st","nd","rd","th"),"")</f>
        <v/>
      </c>
    </row>
    <row r="873" spans="12:12" x14ac:dyDescent="0.25">
      <c r="L873" s="164" t="str">
        <f>IFERROR(COUNTIF($C$18:C873,C873)&amp;CHOOSE(MIN(4,COUNTIF($C$18:C873,C873)),"st","nd","rd","th"),"")</f>
        <v/>
      </c>
    </row>
    <row r="874" spans="12:12" x14ac:dyDescent="0.25">
      <c r="L874" s="164" t="str">
        <f>IFERROR(COUNTIF($C$18:C874,C874)&amp;CHOOSE(MIN(4,COUNTIF($C$18:C874,C874)),"st","nd","rd","th"),"")</f>
        <v/>
      </c>
    </row>
    <row r="875" spans="12:12" x14ac:dyDescent="0.25">
      <c r="L875" s="164" t="str">
        <f>IFERROR(COUNTIF($C$18:C875,C875)&amp;CHOOSE(MIN(4,COUNTIF($C$18:C875,C875)),"st","nd","rd","th"),"")</f>
        <v/>
      </c>
    </row>
    <row r="876" spans="12:12" x14ac:dyDescent="0.25">
      <c r="L876" s="164" t="str">
        <f>IFERROR(COUNTIF($C$18:C876,C876)&amp;CHOOSE(MIN(4,COUNTIF($C$18:C876,C876)),"st","nd","rd","th"),"")</f>
        <v/>
      </c>
    </row>
    <row r="877" spans="12:12" x14ac:dyDescent="0.25">
      <c r="L877" s="164" t="str">
        <f>IFERROR(COUNTIF($C$18:C877,C877)&amp;CHOOSE(MIN(4,COUNTIF($C$18:C877,C877)),"st","nd","rd","th"),"")</f>
        <v/>
      </c>
    </row>
    <row r="878" spans="12:12" x14ac:dyDescent="0.25">
      <c r="L878" s="164" t="str">
        <f>IFERROR(COUNTIF($C$18:C878,C878)&amp;CHOOSE(MIN(4,COUNTIF($C$18:C878,C878)),"st","nd","rd","th"),"")</f>
        <v/>
      </c>
    </row>
    <row r="879" spans="12:12" x14ac:dyDescent="0.25">
      <c r="L879" s="164" t="str">
        <f>IFERROR(COUNTIF($C$18:C879,C879)&amp;CHOOSE(MIN(4,COUNTIF($C$18:C879,C879)),"st","nd","rd","th"),"")</f>
        <v/>
      </c>
    </row>
    <row r="880" spans="12:12" x14ac:dyDescent="0.25">
      <c r="L880" s="164" t="str">
        <f>IFERROR(COUNTIF($C$18:C880,C880)&amp;CHOOSE(MIN(4,COUNTIF($C$18:C880,C880)),"st","nd","rd","th"),"")</f>
        <v/>
      </c>
    </row>
    <row r="881" spans="12:12" x14ac:dyDescent="0.25">
      <c r="L881" s="164" t="str">
        <f>IFERROR(COUNTIF($C$18:C881,C881)&amp;CHOOSE(MIN(4,COUNTIF($C$18:C881,C881)),"st","nd","rd","th"),"")</f>
        <v/>
      </c>
    </row>
    <row r="882" spans="12:12" x14ac:dyDescent="0.25">
      <c r="L882" s="164" t="str">
        <f>IFERROR(COUNTIF($C$18:C882,C882)&amp;CHOOSE(MIN(4,COUNTIF($C$18:C882,C882)),"st","nd","rd","th"),"")</f>
        <v/>
      </c>
    </row>
    <row r="883" spans="12:12" x14ac:dyDescent="0.25">
      <c r="L883" s="164" t="str">
        <f>IFERROR(COUNTIF($C$18:C883,C883)&amp;CHOOSE(MIN(4,COUNTIF($C$18:C883,C883)),"st","nd","rd","th"),"")</f>
        <v/>
      </c>
    </row>
    <row r="884" spans="12:12" x14ac:dyDescent="0.25">
      <c r="L884" s="164" t="str">
        <f>IFERROR(COUNTIF($C$18:C884,C884)&amp;CHOOSE(MIN(4,COUNTIF($C$18:C884,C884)),"st","nd","rd","th"),"")</f>
        <v/>
      </c>
    </row>
    <row r="885" spans="12:12" x14ac:dyDescent="0.25">
      <c r="L885" s="164" t="str">
        <f>IFERROR(COUNTIF($C$18:C885,C885)&amp;CHOOSE(MIN(4,COUNTIF($C$18:C885,C885)),"st","nd","rd","th"),"")</f>
        <v/>
      </c>
    </row>
    <row r="886" spans="12:12" x14ac:dyDescent="0.25">
      <c r="L886" s="164" t="str">
        <f>IFERROR(COUNTIF($C$18:C886,C886)&amp;CHOOSE(MIN(4,COUNTIF($C$18:C886,C886)),"st","nd","rd","th"),"")</f>
        <v/>
      </c>
    </row>
    <row r="887" spans="12:12" x14ac:dyDescent="0.25">
      <c r="L887" s="164" t="str">
        <f>IFERROR(COUNTIF($C$18:C887,C887)&amp;CHOOSE(MIN(4,COUNTIF($C$18:C887,C887)),"st","nd","rd","th"),"")</f>
        <v/>
      </c>
    </row>
    <row r="888" spans="12:12" x14ac:dyDescent="0.25">
      <c r="L888" s="164" t="str">
        <f>IFERROR(COUNTIF($C$18:C888,C888)&amp;CHOOSE(MIN(4,COUNTIF($C$18:C888,C888)),"st","nd","rd","th"),"")</f>
        <v/>
      </c>
    </row>
    <row r="889" spans="12:12" x14ac:dyDescent="0.25">
      <c r="L889" s="164" t="str">
        <f>IFERROR(COUNTIF($C$18:C889,C889)&amp;CHOOSE(MIN(4,COUNTIF($C$18:C889,C889)),"st","nd","rd","th"),"")</f>
        <v/>
      </c>
    </row>
    <row r="890" spans="12:12" x14ac:dyDescent="0.25">
      <c r="L890" s="164" t="str">
        <f>IFERROR(COUNTIF($C$18:C890,C890)&amp;CHOOSE(MIN(4,COUNTIF($C$18:C890,C890)),"st","nd","rd","th"),"")</f>
        <v/>
      </c>
    </row>
    <row r="891" spans="12:12" x14ac:dyDescent="0.25">
      <c r="L891" s="164" t="str">
        <f>IFERROR(COUNTIF($C$18:C891,C891)&amp;CHOOSE(MIN(4,COUNTIF($C$18:C891,C891)),"st","nd","rd","th"),"")</f>
        <v/>
      </c>
    </row>
    <row r="892" spans="12:12" x14ac:dyDescent="0.25">
      <c r="L892" s="164" t="str">
        <f>IFERROR(COUNTIF($C$18:C892,C892)&amp;CHOOSE(MIN(4,COUNTIF($C$18:C892,C892)),"st","nd","rd","th"),"")</f>
        <v/>
      </c>
    </row>
    <row r="893" spans="12:12" x14ac:dyDescent="0.25">
      <c r="L893" s="164" t="str">
        <f>IFERROR(COUNTIF($C$18:C893,C893)&amp;CHOOSE(MIN(4,COUNTIF($C$18:C893,C893)),"st","nd","rd","th"),"")</f>
        <v/>
      </c>
    </row>
    <row r="894" spans="12:12" x14ac:dyDescent="0.25">
      <c r="L894" s="164" t="str">
        <f>IFERROR(COUNTIF($C$18:C894,C894)&amp;CHOOSE(MIN(4,COUNTIF($C$18:C894,C894)),"st","nd","rd","th"),"")</f>
        <v/>
      </c>
    </row>
    <row r="895" spans="12:12" x14ac:dyDescent="0.25">
      <c r="L895" s="164" t="str">
        <f>IFERROR(COUNTIF($C$18:C895,C895)&amp;CHOOSE(MIN(4,COUNTIF($C$18:C895,C895)),"st","nd","rd","th"),"")</f>
        <v/>
      </c>
    </row>
    <row r="896" spans="12:12" x14ac:dyDescent="0.25">
      <c r="L896" s="164" t="str">
        <f>IFERROR(COUNTIF($C$18:C896,C896)&amp;CHOOSE(MIN(4,COUNTIF($C$18:C896,C896)),"st","nd","rd","th"),"")</f>
        <v/>
      </c>
    </row>
    <row r="897" spans="12:12" x14ac:dyDescent="0.25">
      <c r="L897" s="164" t="str">
        <f>IFERROR(COUNTIF($C$18:C897,C897)&amp;CHOOSE(MIN(4,COUNTIF($C$18:C897,C897)),"st","nd","rd","th"),"")</f>
        <v/>
      </c>
    </row>
    <row r="898" spans="12:12" x14ac:dyDescent="0.25">
      <c r="L898" s="164" t="str">
        <f>IFERROR(COUNTIF($C$18:C898,C898)&amp;CHOOSE(MIN(4,COUNTIF($C$18:C898,C898)),"st","nd","rd","th"),"")</f>
        <v/>
      </c>
    </row>
    <row r="899" spans="12:12" x14ac:dyDescent="0.25">
      <c r="L899" s="164" t="str">
        <f>IFERROR(COUNTIF($C$18:C899,C899)&amp;CHOOSE(MIN(4,COUNTIF($C$18:C899,C899)),"st","nd","rd","th"),"")</f>
        <v/>
      </c>
    </row>
    <row r="900" spans="12:12" x14ac:dyDescent="0.25">
      <c r="L900" s="164" t="str">
        <f>IFERROR(COUNTIF($C$18:C900,C900)&amp;CHOOSE(MIN(4,COUNTIF($C$18:C900,C900)),"st","nd","rd","th"),"")</f>
        <v/>
      </c>
    </row>
    <row r="901" spans="12:12" x14ac:dyDescent="0.25">
      <c r="L901" s="164" t="str">
        <f>IFERROR(COUNTIF($C$18:C901,C901)&amp;CHOOSE(MIN(4,COUNTIF($C$18:C901,C901)),"st","nd","rd","th"),"")</f>
        <v/>
      </c>
    </row>
    <row r="902" spans="12:12" x14ac:dyDescent="0.25">
      <c r="L902" s="164" t="str">
        <f>IFERROR(COUNTIF($C$18:C902,C902)&amp;CHOOSE(MIN(4,COUNTIF($C$18:C902,C902)),"st","nd","rd","th"),"")</f>
        <v/>
      </c>
    </row>
    <row r="903" spans="12:12" x14ac:dyDescent="0.25">
      <c r="L903" s="164" t="str">
        <f>IFERROR(COUNTIF($C$18:C903,C903)&amp;CHOOSE(MIN(4,COUNTIF($C$18:C903,C903)),"st","nd","rd","th"),"")</f>
        <v/>
      </c>
    </row>
    <row r="904" spans="12:12" x14ac:dyDescent="0.25">
      <c r="L904" s="164" t="str">
        <f>IFERROR(COUNTIF($C$18:C904,C904)&amp;CHOOSE(MIN(4,COUNTIF($C$18:C904,C904)),"st","nd","rd","th"),"")</f>
        <v/>
      </c>
    </row>
    <row r="905" spans="12:12" x14ac:dyDescent="0.25">
      <c r="L905" s="164" t="str">
        <f>IFERROR(COUNTIF($C$18:C905,C905)&amp;CHOOSE(MIN(4,COUNTIF($C$18:C905,C905)),"st","nd","rd","th"),"")</f>
        <v/>
      </c>
    </row>
    <row r="906" spans="12:12" x14ac:dyDescent="0.25">
      <c r="L906" s="164" t="str">
        <f>IFERROR(COUNTIF($C$18:C906,C906)&amp;CHOOSE(MIN(4,COUNTIF($C$18:C906,C906)),"st","nd","rd","th"),"")</f>
        <v/>
      </c>
    </row>
    <row r="907" spans="12:12" x14ac:dyDescent="0.25">
      <c r="L907" s="164" t="str">
        <f>IFERROR(COUNTIF($C$18:C907,C907)&amp;CHOOSE(MIN(4,COUNTIF($C$18:C907,C907)),"st","nd","rd","th"),"")</f>
        <v/>
      </c>
    </row>
    <row r="908" spans="12:12" x14ac:dyDescent="0.25">
      <c r="L908" s="164" t="str">
        <f>IFERROR(COUNTIF($C$18:C908,C908)&amp;CHOOSE(MIN(4,COUNTIF($C$18:C908,C908)),"st","nd","rd","th"),"")</f>
        <v/>
      </c>
    </row>
    <row r="909" spans="12:12" x14ac:dyDescent="0.25">
      <c r="L909" s="164" t="str">
        <f>IFERROR(COUNTIF($C$18:C909,C909)&amp;CHOOSE(MIN(4,COUNTIF($C$18:C909,C909)),"st","nd","rd","th"),"")</f>
        <v/>
      </c>
    </row>
    <row r="910" spans="12:12" x14ac:dyDescent="0.25">
      <c r="L910" s="164" t="str">
        <f>IFERROR(COUNTIF($C$18:C910,C910)&amp;CHOOSE(MIN(4,COUNTIF($C$18:C910,C910)),"st","nd","rd","th"),"")</f>
        <v/>
      </c>
    </row>
    <row r="911" spans="12:12" x14ac:dyDescent="0.25">
      <c r="L911" s="164" t="str">
        <f>IFERROR(COUNTIF($C$18:C911,C911)&amp;CHOOSE(MIN(4,COUNTIF($C$18:C911,C911)),"st","nd","rd","th"),"")</f>
        <v/>
      </c>
    </row>
    <row r="912" spans="12:12" x14ac:dyDescent="0.25">
      <c r="L912" s="164" t="str">
        <f>IFERROR(COUNTIF($C$18:C912,C912)&amp;CHOOSE(MIN(4,COUNTIF($C$18:C912,C912)),"st","nd","rd","th"),"")</f>
        <v/>
      </c>
    </row>
    <row r="913" spans="12:12" x14ac:dyDescent="0.25">
      <c r="L913" s="164" t="str">
        <f>IFERROR(COUNTIF($C$18:C913,C913)&amp;CHOOSE(MIN(4,COUNTIF($C$18:C913,C913)),"st","nd","rd","th"),"")</f>
        <v/>
      </c>
    </row>
    <row r="914" spans="12:12" x14ac:dyDescent="0.25">
      <c r="L914" s="164" t="str">
        <f>IFERROR(COUNTIF($C$18:C914,C914)&amp;CHOOSE(MIN(4,COUNTIF($C$18:C914,C914)),"st","nd","rd","th"),"")</f>
        <v/>
      </c>
    </row>
    <row r="915" spans="12:12" x14ac:dyDescent="0.25">
      <c r="L915" s="164" t="str">
        <f>IFERROR(COUNTIF($C$18:C915,C915)&amp;CHOOSE(MIN(4,COUNTIF($C$18:C915,C915)),"st","nd","rd","th"),"")</f>
        <v/>
      </c>
    </row>
    <row r="916" spans="12:12" x14ac:dyDescent="0.25">
      <c r="L916" s="164" t="str">
        <f>IFERROR(COUNTIF($C$18:C916,C916)&amp;CHOOSE(MIN(4,COUNTIF($C$18:C916,C916)),"st","nd","rd","th"),"")</f>
        <v/>
      </c>
    </row>
    <row r="917" spans="12:12" x14ac:dyDescent="0.25">
      <c r="L917" s="164" t="str">
        <f>IFERROR(COUNTIF($C$18:C917,C917)&amp;CHOOSE(MIN(4,COUNTIF($C$18:C917,C917)),"st","nd","rd","th"),"")</f>
        <v/>
      </c>
    </row>
    <row r="918" spans="12:12" x14ac:dyDescent="0.25">
      <c r="L918" s="164" t="str">
        <f>IFERROR(COUNTIF($C$18:C918,C918)&amp;CHOOSE(MIN(4,COUNTIF($C$18:C918,C918)),"st","nd","rd","th"),"")</f>
        <v/>
      </c>
    </row>
    <row r="919" spans="12:12" x14ac:dyDescent="0.25">
      <c r="L919" s="164" t="str">
        <f>IFERROR(COUNTIF($C$18:C919,C919)&amp;CHOOSE(MIN(4,COUNTIF($C$18:C919,C919)),"st","nd","rd","th"),"")</f>
        <v/>
      </c>
    </row>
    <row r="920" spans="12:12" x14ac:dyDescent="0.25">
      <c r="L920" s="164" t="str">
        <f>IFERROR(COUNTIF($C$18:C920,C920)&amp;CHOOSE(MIN(4,COUNTIF($C$18:C920,C920)),"st","nd","rd","th"),"")</f>
        <v/>
      </c>
    </row>
    <row r="921" spans="12:12" x14ac:dyDescent="0.25">
      <c r="L921" s="164" t="str">
        <f>IFERROR(COUNTIF($C$18:C921,C921)&amp;CHOOSE(MIN(4,COUNTIF($C$18:C921,C921)),"st","nd","rd","th"),"")</f>
        <v/>
      </c>
    </row>
    <row r="922" spans="12:12" x14ac:dyDescent="0.25">
      <c r="L922" s="164" t="str">
        <f>IFERROR(COUNTIF($C$18:C922,C922)&amp;CHOOSE(MIN(4,COUNTIF($C$18:C922,C922)),"st","nd","rd","th"),"")</f>
        <v/>
      </c>
    </row>
    <row r="923" spans="12:12" x14ac:dyDescent="0.25">
      <c r="L923" s="164" t="str">
        <f>IFERROR(COUNTIF($C$18:C923,C923)&amp;CHOOSE(MIN(4,COUNTIF($C$18:C923,C923)),"st","nd","rd","th"),"")</f>
        <v/>
      </c>
    </row>
    <row r="924" spans="12:12" x14ac:dyDescent="0.25">
      <c r="L924" s="164" t="str">
        <f>IFERROR(COUNTIF($C$18:C924,C924)&amp;CHOOSE(MIN(4,COUNTIF($C$18:C924,C924)),"st","nd","rd","th"),"")</f>
        <v/>
      </c>
    </row>
    <row r="925" spans="12:12" x14ac:dyDescent="0.25">
      <c r="L925" s="164" t="str">
        <f>IFERROR(COUNTIF($C$18:C925,C925)&amp;CHOOSE(MIN(4,COUNTIF($C$18:C925,C925)),"st","nd","rd","th"),"")</f>
        <v/>
      </c>
    </row>
    <row r="926" spans="12:12" x14ac:dyDescent="0.25">
      <c r="L926" s="164" t="str">
        <f>IFERROR(COUNTIF($C$18:C926,C926)&amp;CHOOSE(MIN(4,COUNTIF($C$18:C926,C926)),"st","nd","rd","th"),"")</f>
        <v/>
      </c>
    </row>
    <row r="927" spans="12:12" x14ac:dyDescent="0.25">
      <c r="L927" s="164" t="str">
        <f>IFERROR(COUNTIF($C$18:C927,C927)&amp;CHOOSE(MIN(4,COUNTIF($C$18:C927,C927)),"st","nd","rd","th"),"")</f>
        <v/>
      </c>
    </row>
    <row r="928" spans="12:12" x14ac:dyDescent="0.25">
      <c r="L928" s="164" t="str">
        <f>IFERROR(COUNTIF($C$18:C928,C928)&amp;CHOOSE(MIN(4,COUNTIF($C$18:C928,C928)),"st","nd","rd","th"),"")</f>
        <v/>
      </c>
    </row>
    <row r="929" spans="12:12" x14ac:dyDescent="0.25">
      <c r="L929" s="164" t="str">
        <f>IFERROR(COUNTIF($C$18:C929,C929)&amp;CHOOSE(MIN(4,COUNTIF($C$18:C929,C929)),"st","nd","rd","th"),"")</f>
        <v/>
      </c>
    </row>
    <row r="930" spans="12:12" x14ac:dyDescent="0.25">
      <c r="L930" s="164" t="str">
        <f>IFERROR(COUNTIF($C$18:C930,C930)&amp;CHOOSE(MIN(4,COUNTIF($C$18:C930,C930)),"st","nd","rd","th"),"")</f>
        <v/>
      </c>
    </row>
    <row r="931" spans="12:12" x14ac:dyDescent="0.25">
      <c r="L931" s="164" t="str">
        <f>IFERROR(COUNTIF($C$18:C931,C931)&amp;CHOOSE(MIN(4,COUNTIF($C$18:C931,C931)),"st","nd","rd","th"),"")</f>
        <v/>
      </c>
    </row>
    <row r="932" spans="12:12" x14ac:dyDescent="0.25">
      <c r="L932" s="164" t="str">
        <f>IFERROR(COUNTIF($C$18:C932,C932)&amp;CHOOSE(MIN(4,COUNTIF($C$18:C932,C932)),"st","nd","rd","th"),"")</f>
        <v/>
      </c>
    </row>
    <row r="933" spans="12:12" x14ac:dyDescent="0.25">
      <c r="L933" s="164" t="str">
        <f>IFERROR(COUNTIF($C$18:C933,C933)&amp;CHOOSE(MIN(4,COUNTIF($C$18:C933,C933)),"st","nd","rd","th"),"")</f>
        <v/>
      </c>
    </row>
    <row r="934" spans="12:12" x14ac:dyDescent="0.25">
      <c r="L934" s="164" t="str">
        <f>IFERROR(COUNTIF($C$18:C934,C934)&amp;CHOOSE(MIN(4,COUNTIF($C$18:C934,C934)),"st","nd","rd","th"),"")</f>
        <v/>
      </c>
    </row>
    <row r="935" spans="12:12" x14ac:dyDescent="0.25">
      <c r="L935" s="164" t="str">
        <f>IFERROR(COUNTIF($C$18:C935,C935)&amp;CHOOSE(MIN(4,COUNTIF($C$18:C935,C935)),"st","nd","rd","th"),"")</f>
        <v/>
      </c>
    </row>
    <row r="936" spans="12:12" x14ac:dyDescent="0.25">
      <c r="L936" s="164" t="str">
        <f>IFERROR(COUNTIF($C$18:C936,C936)&amp;CHOOSE(MIN(4,COUNTIF($C$18:C936,C936)),"st","nd","rd","th"),"")</f>
        <v/>
      </c>
    </row>
    <row r="937" spans="12:12" x14ac:dyDescent="0.25">
      <c r="L937" s="164" t="str">
        <f>IFERROR(COUNTIF($C$18:C937,C937)&amp;CHOOSE(MIN(4,COUNTIF($C$18:C937,C937)),"st","nd","rd","th"),"")</f>
        <v/>
      </c>
    </row>
    <row r="938" spans="12:12" x14ac:dyDescent="0.25">
      <c r="L938" s="164" t="str">
        <f>IFERROR(COUNTIF($C$18:C938,C938)&amp;CHOOSE(MIN(4,COUNTIF($C$18:C938,C938)),"st","nd","rd","th"),"")</f>
        <v/>
      </c>
    </row>
    <row r="939" spans="12:12" x14ac:dyDescent="0.25">
      <c r="L939" s="164" t="str">
        <f>IFERROR(COUNTIF($C$18:C939,C939)&amp;CHOOSE(MIN(4,COUNTIF($C$18:C939,C939)),"st","nd","rd","th"),"")</f>
        <v/>
      </c>
    </row>
    <row r="940" spans="12:12" x14ac:dyDescent="0.25">
      <c r="L940" s="164" t="str">
        <f>IFERROR(COUNTIF($C$18:C940,C940)&amp;CHOOSE(MIN(4,COUNTIF($C$18:C940,C940)),"st","nd","rd","th"),"")</f>
        <v/>
      </c>
    </row>
    <row r="941" spans="12:12" x14ac:dyDescent="0.25">
      <c r="L941" s="164" t="str">
        <f>IFERROR(COUNTIF($C$18:C941,C941)&amp;CHOOSE(MIN(4,COUNTIF($C$18:C941,C941)),"st","nd","rd","th"),"")</f>
        <v/>
      </c>
    </row>
    <row r="942" spans="12:12" x14ac:dyDescent="0.25">
      <c r="L942" s="164" t="str">
        <f>IFERROR(COUNTIF($C$18:C942,C942)&amp;CHOOSE(MIN(4,COUNTIF($C$18:C942,C942)),"st","nd","rd","th"),"")</f>
        <v/>
      </c>
    </row>
    <row r="943" spans="12:12" x14ac:dyDescent="0.25">
      <c r="L943" s="164" t="str">
        <f>IFERROR(COUNTIF($C$18:C943,C943)&amp;CHOOSE(MIN(4,COUNTIF($C$18:C943,C943)),"st","nd","rd","th"),"")</f>
        <v/>
      </c>
    </row>
    <row r="944" spans="12:12" x14ac:dyDescent="0.25">
      <c r="L944" s="164" t="str">
        <f>IFERROR(COUNTIF($C$18:C944,C944)&amp;CHOOSE(MIN(4,COUNTIF($C$18:C944,C944)),"st","nd","rd","th"),"")</f>
        <v/>
      </c>
    </row>
    <row r="945" spans="12:12" x14ac:dyDescent="0.25">
      <c r="L945" s="164" t="str">
        <f>IFERROR(COUNTIF($C$18:C945,C945)&amp;CHOOSE(MIN(4,COUNTIF($C$18:C945,C945)),"st","nd","rd","th"),"")</f>
        <v/>
      </c>
    </row>
    <row r="946" spans="12:12" x14ac:dyDescent="0.25">
      <c r="L946" s="164" t="str">
        <f>IFERROR(COUNTIF($C$18:C946,C946)&amp;CHOOSE(MIN(4,COUNTIF($C$18:C946,C946)),"st","nd","rd","th"),"")</f>
        <v/>
      </c>
    </row>
    <row r="947" spans="12:12" x14ac:dyDescent="0.25">
      <c r="L947" s="164" t="str">
        <f>IFERROR(COUNTIF($C$18:C947,C947)&amp;CHOOSE(MIN(4,COUNTIF($C$18:C947,C947)),"st","nd","rd","th"),"")</f>
        <v/>
      </c>
    </row>
    <row r="948" spans="12:12" x14ac:dyDescent="0.25">
      <c r="L948" s="164" t="str">
        <f>IFERROR(COUNTIF($C$18:C948,C948)&amp;CHOOSE(MIN(4,COUNTIF($C$18:C948,C948)),"st","nd","rd","th"),"")</f>
        <v/>
      </c>
    </row>
    <row r="949" spans="12:12" x14ac:dyDescent="0.25">
      <c r="L949" s="164" t="str">
        <f>IFERROR(COUNTIF($C$18:C949,C949)&amp;CHOOSE(MIN(4,COUNTIF($C$18:C949,C949)),"st","nd","rd","th"),"")</f>
        <v/>
      </c>
    </row>
    <row r="950" spans="12:12" x14ac:dyDescent="0.25">
      <c r="L950" s="164" t="str">
        <f>IFERROR(COUNTIF($C$18:C950,C950)&amp;CHOOSE(MIN(4,COUNTIF($C$18:C950,C950)),"st","nd","rd","th"),"")</f>
        <v/>
      </c>
    </row>
    <row r="951" spans="12:12" x14ac:dyDescent="0.25">
      <c r="L951" s="164" t="str">
        <f>IFERROR(COUNTIF($C$18:C951,C951)&amp;CHOOSE(MIN(4,COUNTIF($C$18:C951,C951)),"st","nd","rd","th"),"")</f>
        <v/>
      </c>
    </row>
    <row r="952" spans="12:12" x14ac:dyDescent="0.25">
      <c r="L952" s="164" t="str">
        <f>IFERROR(COUNTIF($C$18:C952,C952)&amp;CHOOSE(MIN(4,COUNTIF($C$18:C952,C952)),"st","nd","rd","th"),"")</f>
        <v/>
      </c>
    </row>
    <row r="953" spans="12:12" x14ac:dyDescent="0.25">
      <c r="L953" s="164" t="str">
        <f>IFERROR(COUNTIF($C$18:C953,C953)&amp;CHOOSE(MIN(4,COUNTIF($C$18:C953,C953)),"st","nd","rd","th"),"")</f>
        <v/>
      </c>
    </row>
    <row r="954" spans="12:12" x14ac:dyDescent="0.25">
      <c r="L954" s="164" t="str">
        <f>IFERROR(COUNTIF($C$18:C954,C954)&amp;CHOOSE(MIN(4,COUNTIF($C$18:C954,C954)),"st","nd","rd","th"),"")</f>
        <v/>
      </c>
    </row>
    <row r="955" spans="12:12" x14ac:dyDescent="0.25">
      <c r="L955" s="164" t="str">
        <f>IFERROR(COUNTIF($C$18:C955,C955)&amp;CHOOSE(MIN(4,COUNTIF($C$18:C955,C955)),"st","nd","rd","th"),"")</f>
        <v/>
      </c>
    </row>
    <row r="956" spans="12:12" x14ac:dyDescent="0.25">
      <c r="L956" s="164" t="str">
        <f>IFERROR(COUNTIF($C$18:C956,C956)&amp;CHOOSE(MIN(4,COUNTIF($C$18:C956,C956)),"st","nd","rd","th"),"")</f>
        <v/>
      </c>
    </row>
    <row r="957" spans="12:12" x14ac:dyDescent="0.25">
      <c r="L957" s="164" t="str">
        <f>IFERROR(COUNTIF($C$18:C957,C957)&amp;CHOOSE(MIN(4,COUNTIF($C$18:C957,C957)),"st","nd","rd","th"),"")</f>
        <v/>
      </c>
    </row>
    <row r="958" spans="12:12" x14ac:dyDescent="0.25">
      <c r="L958" s="164" t="str">
        <f>IFERROR(COUNTIF($C$18:C958,C958)&amp;CHOOSE(MIN(4,COUNTIF($C$18:C958,C958)),"st","nd","rd","th"),"")</f>
        <v/>
      </c>
    </row>
    <row r="959" spans="12:12" x14ac:dyDescent="0.25">
      <c r="L959" s="164" t="str">
        <f>IFERROR(COUNTIF($C$18:C959,C959)&amp;CHOOSE(MIN(4,COUNTIF($C$18:C959,C959)),"st","nd","rd","th"),"")</f>
        <v/>
      </c>
    </row>
    <row r="960" spans="12:12" x14ac:dyDescent="0.25">
      <c r="L960" s="164" t="str">
        <f>IFERROR(COUNTIF($C$18:C960,C960)&amp;CHOOSE(MIN(4,COUNTIF($C$18:C960,C960)),"st","nd","rd","th"),"")</f>
        <v/>
      </c>
    </row>
    <row r="961" spans="12:12" x14ac:dyDescent="0.25">
      <c r="L961" s="164" t="str">
        <f>IFERROR(COUNTIF($C$18:C961,C961)&amp;CHOOSE(MIN(4,COUNTIF($C$18:C961,C961)),"st","nd","rd","th"),"")</f>
        <v/>
      </c>
    </row>
    <row r="962" spans="12:12" x14ac:dyDescent="0.25">
      <c r="L962" s="164" t="str">
        <f>IFERROR(COUNTIF($C$18:C962,C962)&amp;CHOOSE(MIN(4,COUNTIF($C$18:C962,C962)),"st","nd","rd","th"),"")</f>
        <v/>
      </c>
    </row>
    <row r="963" spans="12:12" x14ac:dyDescent="0.25">
      <c r="L963" s="164" t="str">
        <f>IFERROR(COUNTIF($C$18:C963,C963)&amp;CHOOSE(MIN(4,COUNTIF($C$18:C963,C963)),"st","nd","rd","th"),"")</f>
        <v/>
      </c>
    </row>
    <row r="964" spans="12:12" x14ac:dyDescent="0.25">
      <c r="L964" s="164" t="str">
        <f>IFERROR(COUNTIF($C$18:C964,C964)&amp;CHOOSE(MIN(4,COUNTIF($C$18:C964,C964)),"st","nd","rd","th"),"")</f>
        <v/>
      </c>
    </row>
    <row r="965" spans="12:12" x14ac:dyDescent="0.25">
      <c r="L965" s="164" t="str">
        <f>IFERROR(COUNTIF($C$18:C965,C965)&amp;CHOOSE(MIN(4,COUNTIF($C$18:C965,C965)),"st","nd","rd","th"),"")</f>
        <v/>
      </c>
    </row>
    <row r="966" spans="12:12" x14ac:dyDescent="0.25">
      <c r="L966" s="164" t="str">
        <f>IFERROR(COUNTIF($C$18:C966,C966)&amp;CHOOSE(MIN(4,COUNTIF($C$18:C966,C966)),"st","nd","rd","th"),"")</f>
        <v/>
      </c>
    </row>
    <row r="967" spans="12:12" x14ac:dyDescent="0.25">
      <c r="L967" s="164" t="str">
        <f>IFERROR(COUNTIF($C$18:C967,C967)&amp;CHOOSE(MIN(4,COUNTIF($C$18:C967,C967)),"st","nd","rd","th"),"")</f>
        <v/>
      </c>
    </row>
    <row r="968" spans="12:12" x14ac:dyDescent="0.25">
      <c r="L968" s="164" t="str">
        <f>IFERROR(COUNTIF($C$18:C968,C968)&amp;CHOOSE(MIN(4,COUNTIF($C$18:C968,C968)),"st","nd","rd","th"),"")</f>
        <v/>
      </c>
    </row>
    <row r="969" spans="12:12" x14ac:dyDescent="0.25">
      <c r="L969" s="164" t="str">
        <f>IFERROR(COUNTIF($C$18:C969,C969)&amp;CHOOSE(MIN(4,COUNTIF($C$18:C969,C969)),"st","nd","rd","th"),"")</f>
        <v/>
      </c>
    </row>
    <row r="970" spans="12:12" x14ac:dyDescent="0.25">
      <c r="L970" s="164" t="str">
        <f>IFERROR(COUNTIF($C$18:C970,C970)&amp;CHOOSE(MIN(4,COUNTIF($C$18:C970,C970)),"st","nd","rd","th"),"")</f>
        <v/>
      </c>
    </row>
    <row r="971" spans="12:12" x14ac:dyDescent="0.25">
      <c r="L971" s="164" t="str">
        <f>IFERROR(COUNTIF($C$18:C971,C971)&amp;CHOOSE(MIN(4,COUNTIF($C$18:C971,C971)),"st","nd","rd","th"),"")</f>
        <v/>
      </c>
    </row>
    <row r="972" spans="12:12" x14ac:dyDescent="0.25">
      <c r="L972" s="164" t="str">
        <f>IFERROR(COUNTIF($C$18:C972,C972)&amp;CHOOSE(MIN(4,COUNTIF($C$18:C972,C972)),"st","nd","rd","th"),"")</f>
        <v/>
      </c>
    </row>
    <row r="973" spans="12:12" x14ac:dyDescent="0.25">
      <c r="L973" s="164" t="str">
        <f>IFERROR(COUNTIF($C$18:C973,C973)&amp;CHOOSE(MIN(4,COUNTIF($C$18:C973,C973)),"st","nd","rd","th"),"")</f>
        <v/>
      </c>
    </row>
    <row r="974" spans="12:12" x14ac:dyDescent="0.25">
      <c r="L974" s="164" t="str">
        <f>IFERROR(COUNTIF($C$18:C974,C974)&amp;CHOOSE(MIN(4,COUNTIF($C$18:C974,C974)),"st","nd","rd","th"),"")</f>
        <v/>
      </c>
    </row>
    <row r="975" spans="12:12" x14ac:dyDescent="0.25">
      <c r="L975" s="164" t="str">
        <f>IFERROR(COUNTIF($C$18:C975,C975)&amp;CHOOSE(MIN(4,COUNTIF($C$18:C975,C975)),"st","nd","rd","th"),"")</f>
        <v/>
      </c>
    </row>
    <row r="976" spans="12:12" x14ac:dyDescent="0.25">
      <c r="L976" s="164" t="str">
        <f>IFERROR(COUNTIF($C$18:C976,C976)&amp;CHOOSE(MIN(4,COUNTIF($C$18:C976,C976)),"st","nd","rd","th"),"")</f>
        <v/>
      </c>
    </row>
    <row r="977" spans="12:12" x14ac:dyDescent="0.25">
      <c r="L977" s="164" t="str">
        <f>IFERROR(COUNTIF($C$18:C977,C977)&amp;CHOOSE(MIN(4,COUNTIF($C$18:C977,C977)),"st","nd","rd","th"),"")</f>
        <v/>
      </c>
    </row>
    <row r="978" spans="12:12" x14ac:dyDescent="0.25">
      <c r="L978" s="164" t="str">
        <f>IFERROR(COUNTIF($C$18:C978,C978)&amp;CHOOSE(MIN(4,COUNTIF($C$18:C978,C978)),"st","nd","rd","th"),"")</f>
        <v/>
      </c>
    </row>
    <row r="979" spans="12:12" x14ac:dyDescent="0.25">
      <c r="L979" s="164" t="str">
        <f>IFERROR(COUNTIF($C$18:C979,C979)&amp;CHOOSE(MIN(4,COUNTIF($C$18:C979,C979)),"st","nd","rd","th"),"")</f>
        <v/>
      </c>
    </row>
    <row r="980" spans="12:12" x14ac:dyDescent="0.25">
      <c r="L980" s="164" t="str">
        <f>IFERROR(COUNTIF($C$18:C980,C980)&amp;CHOOSE(MIN(4,COUNTIF($C$18:C980,C980)),"st","nd","rd","th"),"")</f>
        <v/>
      </c>
    </row>
    <row r="981" spans="12:12" x14ac:dyDescent="0.25">
      <c r="L981" s="164" t="str">
        <f>IFERROR(COUNTIF($C$18:C981,C981)&amp;CHOOSE(MIN(4,COUNTIF($C$18:C981,C981)),"st","nd","rd","th"),"")</f>
        <v/>
      </c>
    </row>
    <row r="982" spans="12:12" x14ac:dyDescent="0.25">
      <c r="L982" s="164" t="str">
        <f>IFERROR(COUNTIF($C$18:C982,C982)&amp;CHOOSE(MIN(4,COUNTIF($C$18:C982,C982)),"st","nd","rd","th"),"")</f>
        <v/>
      </c>
    </row>
    <row r="983" spans="12:12" x14ac:dyDescent="0.25">
      <c r="L983" s="164" t="str">
        <f>IFERROR(COUNTIF($C$18:C983,C983)&amp;CHOOSE(MIN(4,COUNTIF($C$18:C983,C983)),"st","nd","rd","th"),"")</f>
        <v/>
      </c>
    </row>
    <row r="984" spans="12:12" x14ac:dyDescent="0.25">
      <c r="L984" s="164" t="str">
        <f>IFERROR(COUNTIF($C$18:C984,C984)&amp;CHOOSE(MIN(4,COUNTIF($C$18:C984,C984)),"st","nd","rd","th"),"")</f>
        <v/>
      </c>
    </row>
    <row r="985" spans="12:12" x14ac:dyDescent="0.25">
      <c r="L985" s="164" t="str">
        <f>IFERROR(COUNTIF($C$18:C985,C985)&amp;CHOOSE(MIN(4,COUNTIF($C$18:C985,C985)),"st","nd","rd","th"),"")</f>
        <v/>
      </c>
    </row>
    <row r="986" spans="12:12" x14ac:dyDescent="0.25">
      <c r="L986" s="164" t="str">
        <f>IFERROR(COUNTIF($C$18:C986,C986)&amp;CHOOSE(MIN(4,COUNTIF($C$18:C986,C986)),"st","nd","rd","th"),"")</f>
        <v/>
      </c>
    </row>
    <row r="987" spans="12:12" x14ac:dyDescent="0.25">
      <c r="L987" s="164" t="str">
        <f>IFERROR(COUNTIF($C$18:C987,C987)&amp;CHOOSE(MIN(4,COUNTIF($C$18:C987,C987)),"st","nd","rd","th"),"")</f>
        <v/>
      </c>
    </row>
    <row r="988" spans="12:12" x14ac:dyDescent="0.25">
      <c r="L988" s="164" t="str">
        <f>IFERROR(COUNTIF($C$18:C988,C988)&amp;CHOOSE(MIN(4,COUNTIF($C$18:C988,C988)),"st","nd","rd","th"),"")</f>
        <v/>
      </c>
    </row>
    <row r="989" spans="12:12" x14ac:dyDescent="0.25">
      <c r="L989" s="164" t="str">
        <f>IFERROR(COUNTIF($C$18:C989,C989)&amp;CHOOSE(MIN(4,COUNTIF($C$18:C989,C989)),"st","nd","rd","th"),"")</f>
        <v/>
      </c>
    </row>
    <row r="990" spans="12:12" x14ac:dyDescent="0.25">
      <c r="L990" s="164" t="str">
        <f>IFERROR(COUNTIF($C$18:C990,C990)&amp;CHOOSE(MIN(4,COUNTIF($C$18:C990,C990)),"st","nd","rd","th"),"")</f>
        <v/>
      </c>
    </row>
    <row r="991" spans="12:12" x14ac:dyDescent="0.25">
      <c r="L991" s="164" t="str">
        <f>IFERROR(COUNTIF($C$18:C991,C991)&amp;CHOOSE(MIN(4,COUNTIF($C$18:C991,C991)),"st","nd","rd","th"),"")</f>
        <v/>
      </c>
    </row>
    <row r="992" spans="12:12" x14ac:dyDescent="0.25">
      <c r="L992" s="164" t="str">
        <f>IFERROR(COUNTIF($C$18:C992,C992)&amp;CHOOSE(MIN(4,COUNTIF($C$18:C992,C992)),"st","nd","rd","th"),"")</f>
        <v/>
      </c>
    </row>
    <row r="993" spans="12:12" x14ac:dyDescent="0.25">
      <c r="L993" s="164" t="str">
        <f>IFERROR(COUNTIF($C$18:C993,C993)&amp;CHOOSE(MIN(4,COUNTIF($C$18:C993,C993)),"st","nd","rd","th"),"")</f>
        <v/>
      </c>
    </row>
    <row r="994" spans="12:12" x14ac:dyDescent="0.25">
      <c r="L994" s="164" t="str">
        <f>IFERROR(COUNTIF($C$18:C994,C994)&amp;CHOOSE(MIN(4,COUNTIF($C$18:C994,C994)),"st","nd","rd","th"),"")</f>
        <v/>
      </c>
    </row>
    <row r="995" spans="12:12" x14ac:dyDescent="0.25">
      <c r="L995" s="164" t="str">
        <f>IFERROR(COUNTIF($C$18:C995,C995)&amp;CHOOSE(MIN(4,COUNTIF($C$18:C995,C995)),"st","nd","rd","th"),"")</f>
        <v/>
      </c>
    </row>
    <row r="996" spans="12:12" x14ac:dyDescent="0.25">
      <c r="L996" s="164" t="str">
        <f>IFERROR(COUNTIF($C$18:C996,C996)&amp;CHOOSE(MIN(4,COUNTIF($C$18:C996,C996)),"st","nd","rd","th"),"")</f>
        <v/>
      </c>
    </row>
    <row r="997" spans="12:12" x14ac:dyDescent="0.25">
      <c r="L997" s="164" t="str">
        <f>IFERROR(COUNTIF($C$18:C997,C997)&amp;CHOOSE(MIN(4,COUNTIF($C$18:C997,C997)),"st","nd","rd","th"),"")</f>
        <v/>
      </c>
    </row>
    <row r="998" spans="12:12" x14ac:dyDescent="0.25">
      <c r="L998" s="164" t="str">
        <f>IFERROR(COUNTIF($C$18:C998,C998)&amp;CHOOSE(MIN(4,COUNTIF($C$18:C998,C998)),"st","nd","rd","th"),"")</f>
        <v/>
      </c>
    </row>
    <row r="999" spans="12:12" x14ac:dyDescent="0.25">
      <c r="L999" s="164" t="str">
        <f>IFERROR(COUNTIF($C$18:C999,C999)&amp;CHOOSE(MIN(4,COUNTIF($C$18:C999,C999)),"st","nd","rd","th"),"")</f>
        <v/>
      </c>
    </row>
    <row r="1000" spans="12:12" x14ac:dyDescent="0.25">
      <c r="L1000" s="164" t="str">
        <f>IFERROR(COUNTIF($C$18:C1000,C1000)&amp;CHOOSE(MIN(4,COUNTIF($C$18:C1000,C1000)),"st","nd","rd","th"),"")</f>
        <v/>
      </c>
    </row>
  </sheetData>
  <mergeCells count="3">
    <mergeCell ref="B5:T5"/>
    <mergeCell ref="B6:T6"/>
    <mergeCell ref="B7:T7"/>
  </mergeCells>
  <dataValidations count="1">
    <dataValidation type="list" allowBlank="1" showInputMessage="1" showErrorMessage="1" sqref="B18:C21 B24:C1048576" xr:uid="{ECE4D8B2-CCB3-47F5-998C-D9C44CD2C521}">
      <formula1>INDIRECT(A18)</formula1>
    </dataValidation>
  </dataValidations>
  <hyperlinks>
    <hyperlink ref="C1" location="'Accomplishment 2025'!A1" display="Back to Summary of Accomplishments 2025" xr:uid="{E1132475-F727-4230-8834-F73856C8ED2E}"/>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07254F09-5317-4630-B2DC-3F3F078E0625}">
          <x14:formula1>
            <xm:f>Picklists!$A$3:$A$14</xm:f>
          </x14:formula1>
          <xm:sqref>J18:J21 J24:J1048576</xm:sqref>
        </x14:dataValidation>
        <x14:dataValidation type="list" allowBlank="1" showInputMessage="1" showErrorMessage="1" xr:uid="{F3737CF9-91F6-45C7-9EE2-C971149764AA}">
          <x14:formula1>
            <xm:f>Picklists!$A$17:$A$23</xm:f>
          </x14:formula1>
          <xm:sqref>F24:F1048576</xm:sqref>
        </x14:dataValidation>
        <x14:dataValidation type="list" allowBlank="1" showInputMessage="1" showErrorMessage="1" xr:uid="{B8206A5F-9D78-4E75-960F-999A9CE29A57}">
          <x14:formula1>
            <xm:f>Picklists!$A$26:$A$27</xm:f>
          </x14:formula1>
          <xm:sqref>H18:H21 H24:H1048576</xm:sqref>
        </x14:dataValidation>
        <x14:dataValidation type="list" allowBlank="1" showInputMessage="1" showErrorMessage="1" xr:uid="{38B6D961-628E-4039-9CF8-24DEFF812D33}">
          <x14:formula1>
            <xm:f>LGU_Masterlist!$C$2:$T$2</xm:f>
          </x14:formula1>
          <xm:sqref>A18:A21 A24:A1048576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F473-02C9-4783-896A-597D6E13F953}">
  <sheetPr codeName="Sheet40">
    <tabColor theme="9" tint="0.39997558519241921"/>
  </sheetPr>
  <dimension ref="A1:T1001"/>
  <sheetViews>
    <sheetView topLeftCell="A19" zoomScale="60" zoomScaleNormal="60" workbookViewId="0">
      <selection activeCell="A22" sqref="A22:T23"/>
    </sheetView>
  </sheetViews>
  <sheetFormatPr defaultColWidth="8.88671875" defaultRowHeight="13.8" x14ac:dyDescent="0.25"/>
  <cols>
    <col min="1" max="1" width="3.6640625" style="164" customWidth="1"/>
    <col min="2" max="3" width="34.33203125" style="164" customWidth="1"/>
    <col min="4" max="4" width="52.88671875" style="164" bestFit="1" customWidth="1"/>
    <col min="5" max="5" width="31.6640625" style="266" customWidth="1"/>
    <col min="6" max="6" width="33" style="266" customWidth="1"/>
    <col min="7" max="7" width="27.44140625" style="164" customWidth="1"/>
    <col min="8" max="8" width="24.109375" style="171" customWidth="1"/>
    <col min="9" max="9" width="23.109375" style="172" customWidth="1"/>
    <col min="10" max="10" width="20.88671875" style="164" customWidth="1"/>
    <col min="11" max="11" width="8.88671875" style="164" customWidth="1"/>
    <col min="12" max="12" width="17.33203125" style="164" customWidth="1"/>
    <col min="13" max="13" width="8.88671875" style="164" customWidth="1"/>
    <col min="14" max="16384" width="8.88671875" style="164"/>
  </cols>
  <sheetData>
    <row r="1" spans="1:20" s="32" customFormat="1" ht="14.4" x14ac:dyDescent="0.3">
      <c r="A1" s="173" t="s">
        <v>5090</v>
      </c>
      <c r="D1" s="174" t="s">
        <v>1673</v>
      </c>
      <c r="E1" s="267"/>
      <c r="F1" s="267"/>
      <c r="H1" s="185"/>
    </row>
    <row r="2" spans="1:20" s="32" customFormat="1" x14ac:dyDescent="0.25">
      <c r="A2" s="176"/>
      <c r="B2" s="35"/>
      <c r="C2" s="35"/>
      <c r="D2" s="35"/>
      <c r="E2" s="193"/>
      <c r="F2" s="193"/>
      <c r="G2" s="35"/>
    </row>
    <row r="3" spans="1:20" s="32" customFormat="1" x14ac:dyDescent="0.25">
      <c r="A3" s="363">
        <v>6</v>
      </c>
      <c r="B3" s="364" t="s">
        <v>1557</v>
      </c>
      <c r="C3" s="364"/>
      <c r="D3" s="364"/>
      <c r="E3" s="370"/>
      <c r="F3" s="370"/>
      <c r="G3" s="364"/>
    </row>
    <row r="4" spans="1:20" s="32" customFormat="1" x14ac:dyDescent="0.25">
      <c r="A4" s="178"/>
      <c r="B4" s="206" t="s">
        <v>5163</v>
      </c>
      <c r="C4" s="206"/>
      <c r="D4" s="206"/>
      <c r="E4" s="371"/>
      <c r="F4" s="371"/>
      <c r="G4" s="206"/>
    </row>
    <row r="5" spans="1:20" s="32" customFormat="1" ht="46.2" customHeight="1" x14ac:dyDescent="0.25">
      <c r="A5" s="178"/>
      <c r="B5" s="599" t="s">
        <v>5164</v>
      </c>
      <c r="C5" s="599"/>
      <c r="D5" s="599"/>
      <c r="E5" s="599"/>
      <c r="F5" s="599"/>
      <c r="G5" s="599"/>
      <c r="H5" s="599"/>
      <c r="I5" s="599"/>
      <c r="J5" s="599"/>
      <c r="K5" s="599"/>
      <c r="L5" s="599"/>
      <c r="M5" s="599"/>
      <c r="N5" s="599"/>
      <c r="O5" s="599"/>
      <c r="P5" s="599"/>
      <c r="Q5" s="599"/>
      <c r="R5" s="599"/>
      <c r="S5" s="599"/>
      <c r="T5" s="599"/>
    </row>
    <row r="6" spans="1:20" s="32" customFormat="1" ht="56.4" customHeight="1" x14ac:dyDescent="0.25">
      <c r="A6" s="178"/>
      <c r="B6" s="601" t="s">
        <v>5165</v>
      </c>
      <c r="C6" s="601"/>
      <c r="D6" s="601"/>
      <c r="E6" s="601"/>
      <c r="F6" s="601"/>
      <c r="G6" s="601"/>
      <c r="H6" s="601"/>
      <c r="I6" s="601"/>
      <c r="J6" s="601"/>
      <c r="K6" s="601"/>
      <c r="L6" s="601"/>
      <c r="M6" s="601"/>
      <c r="N6" s="601"/>
      <c r="O6" s="601"/>
      <c r="P6" s="601"/>
      <c r="Q6" s="601"/>
      <c r="R6" s="601"/>
      <c r="S6" s="601"/>
      <c r="T6" s="601"/>
    </row>
    <row r="7" spans="1:20" s="32" customFormat="1" x14ac:dyDescent="0.25">
      <c r="B7" s="613" t="s">
        <v>5166</v>
      </c>
      <c r="C7" s="602"/>
      <c r="D7" s="602"/>
      <c r="E7" s="602"/>
      <c r="F7" s="602"/>
      <c r="G7" s="602"/>
      <c r="H7" s="602"/>
      <c r="I7" s="602"/>
      <c r="J7" s="602"/>
      <c r="K7" s="602"/>
      <c r="L7" s="602"/>
      <c r="M7" s="602"/>
      <c r="N7" s="602"/>
      <c r="O7" s="602"/>
      <c r="P7" s="602"/>
      <c r="Q7" s="602"/>
      <c r="R7" s="602"/>
      <c r="S7" s="602"/>
      <c r="T7" s="602"/>
    </row>
    <row r="8" spans="1:20" s="32" customFormat="1" x14ac:dyDescent="0.25">
      <c r="B8" s="186" t="s">
        <v>5167</v>
      </c>
      <c r="C8" s="186"/>
      <c r="D8" s="186"/>
      <c r="E8" s="260"/>
      <c r="F8" s="268"/>
      <c r="G8" s="186"/>
      <c r="H8" s="186"/>
      <c r="I8" s="186"/>
      <c r="J8" s="186"/>
      <c r="K8" s="186"/>
      <c r="L8" s="186"/>
      <c r="M8" s="186"/>
      <c r="N8" s="186"/>
      <c r="O8" s="186"/>
      <c r="P8" s="186"/>
      <c r="Q8" s="173"/>
      <c r="R8" s="173"/>
      <c r="S8" s="173"/>
      <c r="T8" s="173"/>
    </row>
    <row r="9" spans="1:20" s="32" customFormat="1" x14ac:dyDescent="0.25">
      <c r="B9" s="173"/>
      <c r="C9" s="173"/>
      <c r="D9" s="173"/>
      <c r="E9" s="193"/>
      <c r="F9" s="193"/>
      <c r="G9" s="173"/>
      <c r="H9" s="173"/>
      <c r="I9" s="173"/>
      <c r="J9" s="173"/>
      <c r="K9" s="173"/>
      <c r="L9" s="173"/>
      <c r="M9" s="173"/>
      <c r="N9" s="173"/>
      <c r="O9" s="173"/>
      <c r="P9" s="173"/>
      <c r="Q9" s="173"/>
      <c r="R9" s="173"/>
      <c r="S9" s="173"/>
      <c r="T9" s="173"/>
    </row>
    <row r="10" spans="1:20" s="32" customFormat="1" x14ac:dyDescent="0.25">
      <c r="B10" s="179" t="s">
        <v>5168</v>
      </c>
      <c r="C10" s="179"/>
      <c r="D10" s="179"/>
      <c r="E10" s="194"/>
      <c r="F10" s="194"/>
      <c r="G10" s="179"/>
      <c r="H10" s="181">
        <f>COUNTIFS(L19:L1001,"1st",C19:C1001,"LGU")</f>
        <v>3</v>
      </c>
      <c r="I10" s="195"/>
      <c r="J10" s="173"/>
      <c r="K10" s="173"/>
      <c r="L10" s="173"/>
      <c r="M10" s="173"/>
      <c r="N10" s="173"/>
      <c r="O10" s="173"/>
      <c r="P10" s="173"/>
      <c r="Q10" s="173"/>
      <c r="R10" s="173"/>
      <c r="S10" s="173"/>
      <c r="T10" s="173"/>
    </row>
    <row r="11" spans="1:20" s="32" customFormat="1" x14ac:dyDescent="0.25">
      <c r="B11" s="179" t="s">
        <v>5169</v>
      </c>
      <c r="C11" s="179"/>
      <c r="D11" s="179"/>
      <c r="E11" s="194"/>
      <c r="F11" s="194"/>
      <c r="G11" s="179"/>
      <c r="H11" s="181">
        <f>COUNTIF(L19:L1001,"1st")</f>
        <v>3</v>
      </c>
      <c r="I11" s="195"/>
      <c r="J11" s="173"/>
      <c r="K11" s="173"/>
      <c r="L11" s="173"/>
      <c r="M11" s="173"/>
      <c r="N11" s="173"/>
      <c r="O11" s="173"/>
      <c r="P11" s="173"/>
      <c r="Q11" s="173"/>
      <c r="R11" s="173"/>
      <c r="S11" s="173"/>
      <c r="T11" s="173"/>
    </row>
    <row r="12" spans="1:20" s="32" customFormat="1" x14ac:dyDescent="0.25">
      <c r="B12" s="179" t="s">
        <v>5170</v>
      </c>
      <c r="C12" s="179"/>
      <c r="D12" s="179"/>
      <c r="E12" s="194"/>
      <c r="F12" s="194"/>
      <c r="G12" s="179"/>
      <c r="H12" s="181">
        <f>COUNTA(F19:F1001)</f>
        <v>5</v>
      </c>
      <c r="I12" s="173"/>
      <c r="J12" s="173"/>
      <c r="K12" s="173"/>
      <c r="L12" s="173"/>
      <c r="M12" s="173"/>
      <c r="N12" s="173"/>
      <c r="O12" s="173"/>
      <c r="P12" s="173"/>
      <c r="Q12" s="173"/>
      <c r="R12" s="173"/>
      <c r="S12" s="173"/>
      <c r="T12" s="173"/>
    </row>
    <row r="13" spans="1:20" s="32" customFormat="1" x14ac:dyDescent="0.25">
      <c r="B13" s="196" t="s">
        <v>5098</v>
      </c>
      <c r="C13" s="196"/>
      <c r="D13" s="196"/>
      <c r="E13" s="197"/>
      <c r="F13" s="197"/>
      <c r="G13" s="196"/>
      <c r="H13" s="198">
        <f>COUNTIF(H19:H1001,"Planned")</f>
        <v>3</v>
      </c>
      <c r="I13" s="173"/>
      <c r="J13" s="173"/>
      <c r="K13" s="173"/>
      <c r="L13" s="173"/>
      <c r="M13" s="173"/>
      <c r="N13" s="173"/>
      <c r="O13" s="173"/>
      <c r="P13" s="173"/>
      <c r="Q13" s="173"/>
      <c r="R13" s="173"/>
      <c r="S13" s="173"/>
      <c r="T13" s="173"/>
    </row>
    <row r="14" spans="1:20" s="32" customFormat="1" x14ac:dyDescent="0.25">
      <c r="B14" s="196" t="s">
        <v>5099</v>
      </c>
      <c r="C14" s="196"/>
      <c r="D14" s="196"/>
      <c r="E14" s="197"/>
      <c r="F14" s="197"/>
      <c r="G14" s="196"/>
      <c r="H14" s="198">
        <f>COUNTIF(H19:H1001,"Requested")</f>
        <v>2</v>
      </c>
      <c r="I14" s="173"/>
      <c r="J14" s="173"/>
      <c r="K14" s="173"/>
      <c r="L14" s="173"/>
      <c r="M14" s="173"/>
      <c r="N14" s="173"/>
      <c r="O14" s="173"/>
      <c r="P14" s="173"/>
      <c r="Q14" s="173"/>
      <c r="R14" s="173"/>
      <c r="S14" s="173"/>
      <c r="T14" s="173"/>
    </row>
    <row r="15" spans="1:20" s="32" customFormat="1" x14ac:dyDescent="0.25">
      <c r="B15" s="173"/>
      <c r="C15" s="173"/>
      <c r="D15" s="173"/>
      <c r="E15" s="193"/>
      <c r="F15" s="193"/>
      <c r="G15" s="173"/>
      <c r="H15" s="173"/>
      <c r="I15" s="173"/>
      <c r="J15" s="173"/>
      <c r="K15" s="173"/>
      <c r="L15" s="173"/>
      <c r="M15" s="173"/>
      <c r="N15" s="173"/>
      <c r="O15" s="173"/>
      <c r="P15" s="173"/>
      <c r="Q15" s="173"/>
      <c r="R15" s="173"/>
      <c r="S15" s="173"/>
      <c r="T15" s="173"/>
    </row>
    <row r="16" spans="1:20" s="32" customFormat="1" x14ac:dyDescent="0.25">
      <c r="B16" s="173"/>
      <c r="C16" s="173"/>
      <c r="D16" s="173"/>
      <c r="E16" s="193"/>
      <c r="F16" s="193"/>
      <c r="G16" s="173"/>
      <c r="H16" s="173"/>
      <c r="I16" s="173"/>
      <c r="J16" s="173"/>
      <c r="K16" s="173"/>
      <c r="L16" s="173"/>
      <c r="M16" s="173"/>
      <c r="N16" s="173"/>
      <c r="O16" s="173"/>
      <c r="P16" s="173"/>
      <c r="Q16" s="173"/>
      <c r="R16" s="173"/>
      <c r="S16" s="173"/>
      <c r="T16" s="173"/>
    </row>
    <row r="17" spans="1:20" s="32" customFormat="1" x14ac:dyDescent="0.25">
      <c r="E17" s="267"/>
      <c r="F17" s="267"/>
      <c r="H17" s="199"/>
    </row>
    <row r="18" spans="1:20" s="182" customFormat="1" ht="47.4" customHeight="1" x14ac:dyDescent="0.25">
      <c r="B18" s="184" t="s">
        <v>5171</v>
      </c>
      <c r="C18" s="183" t="s">
        <v>5172</v>
      </c>
      <c r="D18" s="184" t="s">
        <v>5173</v>
      </c>
      <c r="E18" s="184" t="s">
        <v>5174</v>
      </c>
      <c r="F18" s="184" t="s">
        <v>5101</v>
      </c>
      <c r="G18" s="183" t="s">
        <v>5102</v>
      </c>
      <c r="H18" s="184" t="s">
        <v>5103</v>
      </c>
      <c r="I18" s="184" t="s">
        <v>5104</v>
      </c>
      <c r="J18" s="184" t="s">
        <v>1685</v>
      </c>
      <c r="K18" s="183" t="s">
        <v>1686</v>
      </c>
      <c r="L18" s="187" t="s">
        <v>1714</v>
      </c>
    </row>
    <row r="19" spans="1:20" ht="41.4" x14ac:dyDescent="0.25">
      <c r="B19" s="416" t="s">
        <v>5175</v>
      </c>
      <c r="C19" s="416" t="s">
        <v>5130</v>
      </c>
      <c r="F19" s="190" t="s">
        <v>5105</v>
      </c>
      <c r="G19" s="485" t="s">
        <v>5176</v>
      </c>
      <c r="H19" s="171" t="s">
        <v>5107</v>
      </c>
      <c r="I19" s="489">
        <v>45671</v>
      </c>
      <c r="J19" s="164" t="s">
        <v>1498</v>
      </c>
      <c r="K19" s="164" t="s">
        <v>5108</v>
      </c>
      <c r="L19" s="164" t="str">
        <f>IFERROR(COUNTIF($B$19:B19,B19)&amp;CHOOSE(MIN(4,COUNTIF($B$19:B19,B19)),"st","nd","rd","th"),"")</f>
        <v>1st</v>
      </c>
    </row>
    <row r="20" spans="1:20" ht="41.4" x14ac:dyDescent="0.25">
      <c r="B20" s="416" t="s">
        <v>5177</v>
      </c>
      <c r="C20" s="416" t="s">
        <v>5130</v>
      </c>
      <c r="E20" s="190" t="s">
        <v>5178</v>
      </c>
      <c r="F20" s="190" t="s">
        <v>5105</v>
      </c>
      <c r="G20" s="485" t="s">
        <v>5179</v>
      </c>
      <c r="H20" s="171" t="s">
        <v>5107</v>
      </c>
      <c r="I20" s="489">
        <v>45684</v>
      </c>
      <c r="J20" s="164" t="s">
        <v>1498</v>
      </c>
      <c r="K20" s="164" t="s">
        <v>5108</v>
      </c>
      <c r="L20" s="164" t="str">
        <f>IFERROR(COUNTIF($B$19:B20,B20)&amp;CHOOSE(MIN(4,COUNTIF($B$19:B20,B20)),"st","nd","rd","th"),"")</f>
        <v>1st</v>
      </c>
    </row>
    <row r="21" spans="1:20" ht="41.4" x14ac:dyDescent="0.25">
      <c r="B21" s="416" t="s">
        <v>5175</v>
      </c>
      <c r="C21" s="416" t="s">
        <v>5130</v>
      </c>
      <c r="E21" s="190"/>
      <c r="F21" s="190" t="s">
        <v>5105</v>
      </c>
      <c r="G21" s="485" t="s">
        <v>5180</v>
      </c>
      <c r="H21" s="171" t="s">
        <v>5181</v>
      </c>
      <c r="I21" s="489">
        <v>45684</v>
      </c>
      <c r="J21" s="164" t="s">
        <v>1498</v>
      </c>
      <c r="K21" s="164" t="s">
        <v>5108</v>
      </c>
      <c r="L21" s="164" t="str">
        <f>IFERROR(COUNTIF($B$19:B21,B21)&amp;CHOOSE(MIN(4,COUNTIF($B$19:B21,B21)),"st","nd","rd","th"),"")</f>
        <v>2nd</v>
      </c>
    </row>
    <row r="22" spans="1:20" ht="55.2" x14ac:dyDescent="0.25">
      <c r="A22" s="416"/>
      <c r="B22" s="416" t="s">
        <v>5177</v>
      </c>
      <c r="C22" s="416" t="s">
        <v>5130</v>
      </c>
      <c r="D22" s="416"/>
      <c r="E22" s="485"/>
      <c r="F22" s="485" t="s">
        <v>5105</v>
      </c>
      <c r="G22" s="485" t="s">
        <v>5182</v>
      </c>
      <c r="H22" s="416" t="s">
        <v>5181</v>
      </c>
      <c r="I22" s="489">
        <v>46059</v>
      </c>
      <c r="J22" s="416" t="s">
        <v>1499</v>
      </c>
      <c r="K22" s="416" t="s">
        <v>5108</v>
      </c>
      <c r="L22" s="416" t="s">
        <v>1874</v>
      </c>
      <c r="M22" s="416"/>
      <c r="N22" s="416"/>
      <c r="O22" s="416"/>
      <c r="P22" s="416"/>
      <c r="Q22" s="416"/>
      <c r="R22" s="416"/>
      <c r="S22" s="416"/>
      <c r="T22" s="416"/>
    </row>
    <row r="23" spans="1:20" ht="55.2" x14ac:dyDescent="0.25">
      <c r="A23" s="416"/>
      <c r="B23" s="416" t="s">
        <v>5183</v>
      </c>
      <c r="C23" s="416" t="s">
        <v>5130</v>
      </c>
      <c r="D23" s="416"/>
      <c r="E23" s="485"/>
      <c r="F23" s="485" t="s">
        <v>5105</v>
      </c>
      <c r="G23" s="485" t="s">
        <v>5182</v>
      </c>
      <c r="H23" s="416" t="s">
        <v>5181</v>
      </c>
      <c r="I23" s="489">
        <v>46059</v>
      </c>
      <c r="J23" s="416" t="s">
        <v>1499</v>
      </c>
      <c r="K23" s="416" t="s">
        <v>5108</v>
      </c>
      <c r="L23" s="416" t="s">
        <v>1856</v>
      </c>
      <c r="M23" s="416"/>
      <c r="N23" s="416"/>
      <c r="O23" s="416"/>
      <c r="P23" s="416"/>
      <c r="Q23" s="416"/>
      <c r="R23" s="416"/>
      <c r="S23" s="416"/>
      <c r="T23" s="416"/>
    </row>
    <row r="24" spans="1:20" x14ac:dyDescent="0.25">
      <c r="L24" s="164" t="str">
        <f>IFERROR(COUNTIF($B$19:B24,B24)&amp;CHOOSE(MIN(4,COUNTIF($B$19:B24,B24)),"st","nd","rd","th"),"")</f>
        <v/>
      </c>
    </row>
    <row r="25" spans="1:20" x14ac:dyDescent="0.25">
      <c r="L25" s="164" t="str">
        <f>IFERROR(COUNTIF($B$19:B25,B25)&amp;CHOOSE(MIN(4,COUNTIF($B$19:B25,B25)),"st","nd","rd","th"),"")</f>
        <v/>
      </c>
    </row>
    <row r="26" spans="1:20" x14ac:dyDescent="0.25">
      <c r="L26" s="164" t="str">
        <f>IFERROR(COUNTIF($B$19:B26,B26)&amp;CHOOSE(MIN(4,COUNTIF($B$19:B26,B26)),"st","nd","rd","th"),"")</f>
        <v/>
      </c>
    </row>
    <row r="27" spans="1:20" x14ac:dyDescent="0.25">
      <c r="L27" s="164" t="str">
        <f>IFERROR(COUNTIF($B$19:B27,B27)&amp;CHOOSE(MIN(4,COUNTIF($B$19:B27,B27)),"st","nd","rd","th"),"")</f>
        <v/>
      </c>
    </row>
    <row r="28" spans="1:20" x14ac:dyDescent="0.25">
      <c r="L28" s="164" t="str">
        <f>IFERROR(COUNTIF($B$19:B28,B28)&amp;CHOOSE(MIN(4,COUNTIF($B$19:B28,B28)),"st","nd","rd","th"),"")</f>
        <v/>
      </c>
    </row>
    <row r="29" spans="1:20" x14ac:dyDescent="0.25">
      <c r="L29" s="164" t="str">
        <f>IFERROR(COUNTIF($B$19:B29,B29)&amp;CHOOSE(MIN(4,COUNTIF($B$19:B29,B29)),"st","nd","rd","th"),"")</f>
        <v/>
      </c>
    </row>
    <row r="30" spans="1:20" x14ac:dyDescent="0.25">
      <c r="L30" s="164" t="str">
        <f>IFERROR(COUNTIF($B$19:B30,B30)&amp;CHOOSE(MIN(4,COUNTIF($B$19:B30,B30)),"st","nd","rd","th"),"")</f>
        <v/>
      </c>
    </row>
    <row r="31" spans="1:20" x14ac:dyDescent="0.25">
      <c r="L31" s="164" t="str">
        <f>IFERROR(COUNTIF($B$19:B31,B31)&amp;CHOOSE(MIN(4,COUNTIF($B$19:B31,B31)),"st","nd","rd","th"),"")</f>
        <v/>
      </c>
    </row>
    <row r="32" spans="1:20" x14ac:dyDescent="0.25">
      <c r="L32" s="164" t="str">
        <f>IFERROR(COUNTIF($B$19:B32,B32)&amp;CHOOSE(MIN(4,COUNTIF($B$19:B32,B32)),"st","nd","rd","th"),"")</f>
        <v/>
      </c>
    </row>
    <row r="33" spans="12:12" x14ac:dyDescent="0.25">
      <c r="L33" s="164" t="str">
        <f>IFERROR(COUNTIF($B$19:B33,B33)&amp;CHOOSE(MIN(4,COUNTIF($B$19:B33,B33)),"st","nd","rd","th"),"")</f>
        <v/>
      </c>
    </row>
    <row r="34" spans="12:12" x14ac:dyDescent="0.25">
      <c r="L34" s="164" t="str">
        <f>IFERROR(COUNTIF($B$19:B34,B34)&amp;CHOOSE(MIN(4,COUNTIF($B$19:B34,B34)),"st","nd","rd","th"),"")</f>
        <v/>
      </c>
    </row>
    <row r="35" spans="12:12" x14ac:dyDescent="0.25">
      <c r="L35" s="164" t="str">
        <f>IFERROR(COUNTIF($B$19:B35,B35)&amp;CHOOSE(MIN(4,COUNTIF($B$19:B35,B35)),"st","nd","rd","th"),"")</f>
        <v/>
      </c>
    </row>
    <row r="36" spans="12:12" x14ac:dyDescent="0.25">
      <c r="L36" s="164" t="str">
        <f>IFERROR(COUNTIF($B$19:B36,B36)&amp;CHOOSE(MIN(4,COUNTIF($B$19:B36,B36)),"st","nd","rd","th"),"")</f>
        <v/>
      </c>
    </row>
    <row r="37" spans="12:12" x14ac:dyDescent="0.25">
      <c r="L37" s="164" t="str">
        <f>IFERROR(COUNTIF($B$19:B37,B37)&amp;CHOOSE(MIN(4,COUNTIF($B$19:B37,B37)),"st","nd","rd","th"),"")</f>
        <v/>
      </c>
    </row>
    <row r="38" spans="12:12" x14ac:dyDescent="0.25">
      <c r="L38" s="164" t="str">
        <f>IFERROR(COUNTIF($B$19:B38,B38)&amp;CHOOSE(MIN(4,COUNTIF($B$19:B38,B38)),"st","nd","rd","th"),"")</f>
        <v/>
      </c>
    </row>
    <row r="39" spans="12:12" x14ac:dyDescent="0.25">
      <c r="L39" s="164" t="str">
        <f>IFERROR(COUNTIF($B$19:B39,B39)&amp;CHOOSE(MIN(4,COUNTIF($B$19:B39,B39)),"st","nd","rd","th"),"")</f>
        <v/>
      </c>
    </row>
    <row r="40" spans="12:12" x14ac:dyDescent="0.25">
      <c r="L40" s="164" t="str">
        <f>IFERROR(COUNTIF($B$19:B40,B40)&amp;CHOOSE(MIN(4,COUNTIF($B$19:B40,B40)),"st","nd","rd","th"),"")</f>
        <v/>
      </c>
    </row>
    <row r="41" spans="12:12" x14ac:dyDescent="0.25">
      <c r="L41" s="164" t="str">
        <f>IFERROR(COUNTIF($B$19:B41,B41)&amp;CHOOSE(MIN(4,COUNTIF($B$19:B41,B41)),"st","nd","rd","th"),"")</f>
        <v/>
      </c>
    </row>
    <row r="42" spans="12:12" x14ac:dyDescent="0.25">
      <c r="L42" s="164" t="str">
        <f>IFERROR(COUNTIF($B$19:B42,B42)&amp;CHOOSE(MIN(4,COUNTIF($B$19:B42,B42)),"st","nd","rd","th"),"")</f>
        <v/>
      </c>
    </row>
    <row r="43" spans="12:12" x14ac:dyDescent="0.25">
      <c r="L43" s="164" t="str">
        <f>IFERROR(COUNTIF($B$19:B43,B43)&amp;CHOOSE(MIN(4,COUNTIF($B$19:B43,B43)),"st","nd","rd","th"),"")</f>
        <v/>
      </c>
    </row>
    <row r="44" spans="12:12" x14ac:dyDescent="0.25">
      <c r="L44" s="164" t="str">
        <f>IFERROR(COUNTIF($B$19:B44,B44)&amp;CHOOSE(MIN(4,COUNTIF($B$19:B44,B44)),"st","nd","rd","th"),"")</f>
        <v/>
      </c>
    </row>
    <row r="45" spans="12:12" x14ac:dyDescent="0.25">
      <c r="L45" s="164" t="str">
        <f>IFERROR(COUNTIF($B$19:B45,B45)&amp;CHOOSE(MIN(4,COUNTIF($B$19:B45,B45)),"st","nd","rd","th"),"")</f>
        <v/>
      </c>
    </row>
    <row r="46" spans="12:12" x14ac:dyDescent="0.25">
      <c r="L46" s="164" t="str">
        <f>IFERROR(COUNTIF($B$19:B46,B46)&amp;CHOOSE(MIN(4,COUNTIF($B$19:B46,B46)),"st","nd","rd","th"),"")</f>
        <v/>
      </c>
    </row>
    <row r="47" spans="12:12" x14ac:dyDescent="0.25">
      <c r="L47" s="164" t="str">
        <f>IFERROR(COUNTIF($B$19:B47,B47)&amp;CHOOSE(MIN(4,COUNTIF($B$19:B47,B47)),"st","nd","rd","th"),"")</f>
        <v/>
      </c>
    </row>
    <row r="48" spans="12:12" x14ac:dyDescent="0.25">
      <c r="L48" s="164" t="str">
        <f>IFERROR(COUNTIF($B$19:B48,B48)&amp;CHOOSE(MIN(4,COUNTIF($B$19:B48,B48)),"st","nd","rd","th"),"")</f>
        <v/>
      </c>
    </row>
    <row r="49" spans="12:12" x14ac:dyDescent="0.25">
      <c r="L49" s="164" t="str">
        <f>IFERROR(COUNTIF($B$19:B49,B49)&amp;CHOOSE(MIN(4,COUNTIF($B$19:B49,B49)),"st","nd","rd","th"),"")</f>
        <v/>
      </c>
    </row>
    <row r="50" spans="12:12" x14ac:dyDescent="0.25">
      <c r="L50" s="164" t="str">
        <f>IFERROR(COUNTIF($B$19:B50,B50)&amp;CHOOSE(MIN(4,COUNTIF($B$19:B50,B50)),"st","nd","rd","th"),"")</f>
        <v/>
      </c>
    </row>
    <row r="51" spans="12:12" x14ac:dyDescent="0.25">
      <c r="L51" s="164" t="str">
        <f>IFERROR(COUNTIF($B$19:B51,B51)&amp;CHOOSE(MIN(4,COUNTIF($B$19:B51,B51)),"st","nd","rd","th"),"")</f>
        <v/>
      </c>
    </row>
    <row r="52" spans="12:12" x14ac:dyDescent="0.25">
      <c r="L52" s="164" t="str">
        <f>IFERROR(COUNTIF($B$19:B52,B52)&amp;CHOOSE(MIN(4,COUNTIF($B$19:B52,B52)),"st","nd","rd","th"),"")</f>
        <v/>
      </c>
    </row>
    <row r="53" spans="12:12" x14ac:dyDescent="0.25">
      <c r="L53" s="164" t="str">
        <f>IFERROR(COUNTIF($B$19:B53,B53)&amp;CHOOSE(MIN(4,COUNTIF($B$19:B53,B53)),"st","nd","rd","th"),"")</f>
        <v/>
      </c>
    </row>
    <row r="54" spans="12:12" x14ac:dyDescent="0.25">
      <c r="L54" s="164" t="str">
        <f>IFERROR(COUNTIF($B$19:B54,B54)&amp;CHOOSE(MIN(4,COUNTIF($B$19:B54,B54)),"st","nd","rd","th"),"")</f>
        <v/>
      </c>
    </row>
    <row r="55" spans="12:12" x14ac:dyDescent="0.25">
      <c r="L55" s="164" t="str">
        <f>IFERROR(COUNTIF($B$19:B55,B55)&amp;CHOOSE(MIN(4,COUNTIF($B$19:B55,B55)),"st","nd","rd","th"),"")</f>
        <v/>
      </c>
    </row>
    <row r="56" spans="12:12" x14ac:dyDescent="0.25">
      <c r="L56" s="164" t="str">
        <f>IFERROR(COUNTIF($B$19:B56,B56)&amp;CHOOSE(MIN(4,COUNTIF($B$19:B56,B56)),"st","nd","rd","th"),"")</f>
        <v/>
      </c>
    </row>
    <row r="57" spans="12:12" x14ac:dyDescent="0.25">
      <c r="L57" s="164" t="str">
        <f>IFERROR(COUNTIF($B$19:B57,B57)&amp;CHOOSE(MIN(4,COUNTIF($B$19:B57,B57)),"st","nd","rd","th"),"")</f>
        <v/>
      </c>
    </row>
    <row r="58" spans="12:12" x14ac:dyDescent="0.25">
      <c r="L58" s="164" t="str">
        <f>IFERROR(COUNTIF($B$19:B58,B58)&amp;CHOOSE(MIN(4,COUNTIF($B$19:B58,B58)),"st","nd","rd","th"),"")</f>
        <v/>
      </c>
    </row>
    <row r="59" spans="12:12" x14ac:dyDescent="0.25">
      <c r="L59" s="164" t="str">
        <f>IFERROR(COUNTIF($B$19:B59,B59)&amp;CHOOSE(MIN(4,COUNTIF($B$19:B59,B59)),"st","nd","rd","th"),"")</f>
        <v/>
      </c>
    </row>
    <row r="60" spans="12:12" x14ac:dyDescent="0.25">
      <c r="L60" s="164" t="str">
        <f>IFERROR(COUNTIF($B$19:B60,B60)&amp;CHOOSE(MIN(4,COUNTIF($B$19:B60,B60)),"st","nd","rd","th"),"")</f>
        <v/>
      </c>
    </row>
    <row r="61" spans="12:12" x14ac:dyDescent="0.25">
      <c r="L61" s="164" t="str">
        <f>IFERROR(COUNTIF($B$19:B61,B61)&amp;CHOOSE(MIN(4,COUNTIF($B$19:B61,B61)),"st","nd","rd","th"),"")</f>
        <v/>
      </c>
    </row>
    <row r="62" spans="12:12" x14ac:dyDescent="0.25">
      <c r="L62" s="164" t="str">
        <f>IFERROR(COUNTIF($B$19:B62,B62)&amp;CHOOSE(MIN(4,COUNTIF($B$19:B62,B62)),"st","nd","rd","th"),"")</f>
        <v/>
      </c>
    </row>
    <row r="63" spans="12:12" x14ac:dyDescent="0.25">
      <c r="L63" s="164" t="str">
        <f>IFERROR(COUNTIF($B$19:B63,B63)&amp;CHOOSE(MIN(4,COUNTIF($B$19:B63,B63)),"st","nd","rd","th"),"")</f>
        <v/>
      </c>
    </row>
    <row r="64" spans="12:12" x14ac:dyDescent="0.25">
      <c r="L64" s="164" t="str">
        <f>IFERROR(COUNTIF($B$19:B64,B64)&amp;CHOOSE(MIN(4,COUNTIF($B$19:B64,B64)),"st","nd","rd","th"),"")</f>
        <v/>
      </c>
    </row>
    <row r="65" spans="12:12" x14ac:dyDescent="0.25">
      <c r="L65" s="164" t="str">
        <f>IFERROR(COUNTIF($B$19:B65,B65)&amp;CHOOSE(MIN(4,COUNTIF($B$19:B65,B65)),"st","nd","rd","th"),"")</f>
        <v/>
      </c>
    </row>
    <row r="66" spans="12:12" x14ac:dyDescent="0.25">
      <c r="L66" s="164" t="str">
        <f>IFERROR(COUNTIF($B$19:B66,B66)&amp;CHOOSE(MIN(4,COUNTIF($B$19:B66,B66)),"st","nd","rd","th"),"")</f>
        <v/>
      </c>
    </row>
    <row r="67" spans="12:12" x14ac:dyDescent="0.25">
      <c r="L67" s="164" t="str">
        <f>IFERROR(COUNTIF($B$19:B67,B67)&amp;CHOOSE(MIN(4,COUNTIF($B$19:B67,B67)),"st","nd","rd","th"),"")</f>
        <v/>
      </c>
    </row>
    <row r="68" spans="12:12" x14ac:dyDescent="0.25">
      <c r="L68" s="164" t="str">
        <f>IFERROR(COUNTIF($B$19:B68,B68)&amp;CHOOSE(MIN(4,COUNTIF($B$19:B68,B68)),"st","nd","rd","th"),"")</f>
        <v/>
      </c>
    </row>
    <row r="69" spans="12:12" x14ac:dyDescent="0.25">
      <c r="L69" s="164" t="str">
        <f>IFERROR(COUNTIF($B$19:B69,B69)&amp;CHOOSE(MIN(4,COUNTIF($B$19:B69,B69)),"st","nd","rd","th"),"")</f>
        <v/>
      </c>
    </row>
    <row r="70" spans="12:12" x14ac:dyDescent="0.25">
      <c r="L70" s="164" t="str">
        <f>IFERROR(COUNTIF($B$19:B70,B70)&amp;CHOOSE(MIN(4,COUNTIF($B$19:B70,B70)),"st","nd","rd","th"),"")</f>
        <v/>
      </c>
    </row>
    <row r="71" spans="12:12" x14ac:dyDescent="0.25">
      <c r="L71" s="164" t="str">
        <f>IFERROR(COUNTIF($B$19:B71,B71)&amp;CHOOSE(MIN(4,COUNTIF($B$19:B71,B71)),"st","nd","rd","th"),"")</f>
        <v/>
      </c>
    </row>
    <row r="72" spans="12:12" x14ac:dyDescent="0.25">
      <c r="L72" s="164" t="str">
        <f>IFERROR(COUNTIF($B$19:B72,B72)&amp;CHOOSE(MIN(4,COUNTIF($B$19:B72,B72)),"st","nd","rd","th"),"")</f>
        <v/>
      </c>
    </row>
    <row r="73" spans="12:12" x14ac:dyDescent="0.25">
      <c r="L73" s="164" t="str">
        <f>IFERROR(COUNTIF($B$19:B73,B73)&amp;CHOOSE(MIN(4,COUNTIF($B$19:B73,B73)),"st","nd","rd","th"),"")</f>
        <v/>
      </c>
    </row>
    <row r="74" spans="12:12" x14ac:dyDescent="0.25">
      <c r="L74" s="164" t="str">
        <f>IFERROR(COUNTIF($B$19:B74,B74)&amp;CHOOSE(MIN(4,COUNTIF($B$19:B74,B74)),"st","nd","rd","th"),"")</f>
        <v/>
      </c>
    </row>
    <row r="75" spans="12:12" x14ac:dyDescent="0.25">
      <c r="L75" s="164" t="str">
        <f>IFERROR(COUNTIF($B$19:B75,B75)&amp;CHOOSE(MIN(4,COUNTIF($B$19:B75,B75)),"st","nd","rd","th"),"")</f>
        <v/>
      </c>
    </row>
    <row r="76" spans="12:12" x14ac:dyDescent="0.25">
      <c r="L76" s="164" t="str">
        <f>IFERROR(COUNTIF($B$19:B76,B76)&amp;CHOOSE(MIN(4,COUNTIF($B$19:B76,B76)),"st","nd","rd","th"),"")</f>
        <v/>
      </c>
    </row>
    <row r="77" spans="12:12" x14ac:dyDescent="0.25">
      <c r="L77" s="164" t="str">
        <f>IFERROR(COUNTIF($B$19:B77,B77)&amp;CHOOSE(MIN(4,COUNTIF($B$19:B77,B77)),"st","nd","rd","th"),"")</f>
        <v/>
      </c>
    </row>
    <row r="78" spans="12:12" x14ac:dyDescent="0.25">
      <c r="L78" s="164" t="str">
        <f>IFERROR(COUNTIF($B$19:B78,B78)&amp;CHOOSE(MIN(4,COUNTIF($B$19:B78,B78)),"st","nd","rd","th"),"")</f>
        <v/>
      </c>
    </row>
    <row r="79" spans="12:12" x14ac:dyDescent="0.25">
      <c r="L79" s="164" t="str">
        <f>IFERROR(COUNTIF($B$19:B79,B79)&amp;CHOOSE(MIN(4,COUNTIF($B$19:B79,B79)),"st","nd","rd","th"),"")</f>
        <v/>
      </c>
    </row>
    <row r="80" spans="12:12" x14ac:dyDescent="0.25">
      <c r="L80" s="164" t="str">
        <f>IFERROR(COUNTIF($B$19:B80,B80)&amp;CHOOSE(MIN(4,COUNTIF($B$19:B80,B80)),"st","nd","rd","th"),"")</f>
        <v/>
      </c>
    </row>
    <row r="81" spans="12:12" x14ac:dyDescent="0.25">
      <c r="L81" s="164" t="str">
        <f>IFERROR(COUNTIF($B$19:B81,B81)&amp;CHOOSE(MIN(4,COUNTIF($B$19:B81,B81)),"st","nd","rd","th"),"")</f>
        <v/>
      </c>
    </row>
    <row r="82" spans="12:12" x14ac:dyDescent="0.25">
      <c r="L82" s="164" t="str">
        <f>IFERROR(COUNTIF($B$19:B82,B82)&amp;CHOOSE(MIN(4,COUNTIF($B$19:B82,B82)),"st","nd","rd","th"),"")</f>
        <v/>
      </c>
    </row>
    <row r="83" spans="12:12" x14ac:dyDescent="0.25">
      <c r="L83" s="164" t="str">
        <f>IFERROR(COUNTIF($B$19:B83,B83)&amp;CHOOSE(MIN(4,COUNTIF($B$19:B83,B83)),"st","nd","rd","th"),"")</f>
        <v/>
      </c>
    </row>
    <row r="84" spans="12:12" x14ac:dyDescent="0.25">
      <c r="L84" s="164" t="str">
        <f>IFERROR(COUNTIF($B$19:B84,B84)&amp;CHOOSE(MIN(4,COUNTIF($B$19:B84,B84)),"st","nd","rd","th"),"")</f>
        <v/>
      </c>
    </row>
    <row r="85" spans="12:12" x14ac:dyDescent="0.25">
      <c r="L85" s="164" t="str">
        <f>IFERROR(COUNTIF($B$19:B85,B85)&amp;CHOOSE(MIN(4,COUNTIF($B$19:B85,B85)),"st","nd","rd","th"),"")</f>
        <v/>
      </c>
    </row>
    <row r="86" spans="12:12" x14ac:dyDescent="0.25">
      <c r="L86" s="164" t="str">
        <f>IFERROR(COUNTIF($B$19:B86,B86)&amp;CHOOSE(MIN(4,COUNTIF($B$19:B86,B86)),"st","nd","rd","th"),"")</f>
        <v/>
      </c>
    </row>
    <row r="87" spans="12:12" x14ac:dyDescent="0.25">
      <c r="L87" s="164" t="str">
        <f>IFERROR(COUNTIF($B$19:B87,B87)&amp;CHOOSE(MIN(4,COUNTIF($B$19:B87,B87)),"st","nd","rd","th"),"")</f>
        <v/>
      </c>
    </row>
    <row r="88" spans="12:12" x14ac:dyDescent="0.25">
      <c r="L88" s="164" t="str">
        <f>IFERROR(COUNTIF($B$19:B88,B88)&amp;CHOOSE(MIN(4,COUNTIF($B$19:B88,B88)),"st","nd","rd","th"),"")</f>
        <v/>
      </c>
    </row>
    <row r="89" spans="12:12" x14ac:dyDescent="0.25">
      <c r="L89" s="164" t="str">
        <f>IFERROR(COUNTIF($B$19:B89,B89)&amp;CHOOSE(MIN(4,COUNTIF($B$19:B89,B89)),"st","nd","rd","th"),"")</f>
        <v/>
      </c>
    </row>
    <row r="90" spans="12:12" x14ac:dyDescent="0.25">
      <c r="L90" s="164" t="str">
        <f>IFERROR(COUNTIF($B$19:B90,B90)&amp;CHOOSE(MIN(4,COUNTIF($B$19:B90,B90)),"st","nd","rd","th"),"")</f>
        <v/>
      </c>
    </row>
    <row r="91" spans="12:12" x14ac:dyDescent="0.25">
      <c r="L91" s="164" t="str">
        <f>IFERROR(COUNTIF($B$19:B91,B91)&amp;CHOOSE(MIN(4,COUNTIF($B$19:B91,B91)),"st","nd","rd","th"),"")</f>
        <v/>
      </c>
    </row>
    <row r="92" spans="12:12" x14ac:dyDescent="0.25">
      <c r="L92" s="164" t="str">
        <f>IFERROR(COUNTIF($B$19:B92,B92)&amp;CHOOSE(MIN(4,COUNTIF($B$19:B92,B92)),"st","nd","rd","th"),"")</f>
        <v/>
      </c>
    </row>
    <row r="93" spans="12:12" x14ac:dyDescent="0.25">
      <c r="L93" s="164" t="str">
        <f>IFERROR(COUNTIF($B$19:B93,B93)&amp;CHOOSE(MIN(4,COUNTIF($B$19:B93,B93)),"st","nd","rd","th"),"")</f>
        <v/>
      </c>
    </row>
    <row r="94" spans="12:12" x14ac:dyDescent="0.25">
      <c r="L94" s="164" t="str">
        <f>IFERROR(COUNTIF($B$19:B94,B94)&amp;CHOOSE(MIN(4,COUNTIF($B$19:B94,B94)),"st","nd","rd","th"),"")</f>
        <v/>
      </c>
    </row>
    <row r="95" spans="12:12" x14ac:dyDescent="0.25">
      <c r="L95" s="164" t="str">
        <f>IFERROR(COUNTIF($B$19:B95,B95)&amp;CHOOSE(MIN(4,COUNTIF($B$19:B95,B95)),"st","nd","rd","th"),"")</f>
        <v/>
      </c>
    </row>
    <row r="96" spans="12:12" x14ac:dyDescent="0.25">
      <c r="L96" s="164" t="str">
        <f>IFERROR(COUNTIF($B$19:B96,B96)&amp;CHOOSE(MIN(4,COUNTIF($B$19:B96,B96)),"st","nd","rd","th"),"")</f>
        <v/>
      </c>
    </row>
    <row r="97" spans="12:12" x14ac:dyDescent="0.25">
      <c r="L97" s="164" t="str">
        <f>IFERROR(COUNTIF($B$19:B97,B97)&amp;CHOOSE(MIN(4,COUNTIF($B$19:B97,B97)),"st","nd","rd","th"),"")</f>
        <v/>
      </c>
    </row>
    <row r="98" spans="12:12" x14ac:dyDescent="0.25">
      <c r="L98" s="164" t="str">
        <f>IFERROR(COUNTIF($B$19:B98,B98)&amp;CHOOSE(MIN(4,COUNTIF($B$19:B98,B98)),"st","nd","rd","th"),"")</f>
        <v/>
      </c>
    </row>
    <row r="99" spans="12:12" x14ac:dyDescent="0.25">
      <c r="L99" s="164" t="str">
        <f>IFERROR(COUNTIF($B$19:B99,B99)&amp;CHOOSE(MIN(4,COUNTIF($B$19:B99,B99)),"st","nd","rd","th"),"")</f>
        <v/>
      </c>
    </row>
    <row r="100" spans="12:12" x14ac:dyDescent="0.25">
      <c r="L100" s="164" t="str">
        <f>IFERROR(COUNTIF($B$19:B100,B100)&amp;CHOOSE(MIN(4,COUNTIF($B$19:B100,B100)),"st","nd","rd","th"),"")</f>
        <v/>
      </c>
    </row>
    <row r="101" spans="12:12" x14ac:dyDescent="0.25">
      <c r="L101" s="164" t="str">
        <f>IFERROR(COUNTIF($B$19:B101,B101)&amp;CHOOSE(MIN(4,COUNTIF($B$19:B101,B101)),"st","nd","rd","th"),"")</f>
        <v/>
      </c>
    </row>
    <row r="102" spans="12:12" x14ac:dyDescent="0.25">
      <c r="L102" s="164" t="str">
        <f>IFERROR(COUNTIF($B$19:B102,B102)&amp;CHOOSE(MIN(4,COUNTIF($B$19:B102,B102)),"st","nd","rd","th"),"")</f>
        <v/>
      </c>
    </row>
    <row r="103" spans="12:12" x14ac:dyDescent="0.25">
      <c r="L103" s="164" t="str">
        <f>IFERROR(COUNTIF($B$19:B103,B103)&amp;CHOOSE(MIN(4,COUNTIF($B$19:B103,B103)),"st","nd","rd","th"),"")</f>
        <v/>
      </c>
    </row>
    <row r="104" spans="12:12" x14ac:dyDescent="0.25">
      <c r="L104" s="164" t="str">
        <f>IFERROR(COUNTIF($B$19:B104,B104)&amp;CHOOSE(MIN(4,COUNTIF($B$19:B104,B104)),"st","nd","rd","th"),"")</f>
        <v/>
      </c>
    </row>
    <row r="105" spans="12:12" x14ac:dyDescent="0.25">
      <c r="L105" s="164" t="str">
        <f>IFERROR(COUNTIF($B$19:B105,B105)&amp;CHOOSE(MIN(4,COUNTIF($B$19:B105,B105)),"st","nd","rd","th"),"")</f>
        <v/>
      </c>
    </row>
    <row r="106" spans="12:12" x14ac:dyDescent="0.25">
      <c r="L106" s="164" t="str">
        <f>IFERROR(COUNTIF($B$19:B106,B106)&amp;CHOOSE(MIN(4,COUNTIF($B$19:B106,B106)),"st","nd","rd","th"),"")</f>
        <v/>
      </c>
    </row>
    <row r="107" spans="12:12" x14ac:dyDescent="0.25">
      <c r="L107" s="164" t="str">
        <f>IFERROR(COUNTIF($B$19:B107,B107)&amp;CHOOSE(MIN(4,COUNTIF($B$19:B107,B107)),"st","nd","rd","th"),"")</f>
        <v/>
      </c>
    </row>
    <row r="108" spans="12:12" x14ac:dyDescent="0.25">
      <c r="L108" s="164" t="str">
        <f>IFERROR(COUNTIF($B$19:B108,B108)&amp;CHOOSE(MIN(4,COUNTIF($B$19:B108,B108)),"st","nd","rd","th"),"")</f>
        <v/>
      </c>
    </row>
    <row r="109" spans="12:12" x14ac:dyDescent="0.25">
      <c r="L109" s="164" t="str">
        <f>IFERROR(COUNTIF($B$19:B109,B109)&amp;CHOOSE(MIN(4,COUNTIF($B$19:B109,B109)),"st","nd","rd","th"),"")</f>
        <v/>
      </c>
    </row>
    <row r="110" spans="12:12" x14ac:dyDescent="0.25">
      <c r="L110" s="164" t="str">
        <f>IFERROR(COUNTIF($B$19:B110,B110)&amp;CHOOSE(MIN(4,COUNTIF($B$19:B110,B110)),"st","nd","rd","th"),"")</f>
        <v/>
      </c>
    </row>
    <row r="111" spans="12:12" x14ac:dyDescent="0.25">
      <c r="L111" s="164" t="str">
        <f>IFERROR(COUNTIF($B$19:B111,B111)&amp;CHOOSE(MIN(4,COUNTIF($B$19:B111,B111)),"st","nd","rd","th"),"")</f>
        <v/>
      </c>
    </row>
    <row r="112" spans="12:12" x14ac:dyDescent="0.25">
      <c r="L112" s="164" t="str">
        <f>IFERROR(COUNTIF($B$19:B112,B112)&amp;CHOOSE(MIN(4,COUNTIF($B$19:B112,B112)),"st","nd","rd","th"),"")</f>
        <v/>
      </c>
    </row>
    <row r="113" spans="12:12" x14ac:dyDescent="0.25">
      <c r="L113" s="164" t="str">
        <f>IFERROR(COUNTIF($B$19:B113,B113)&amp;CHOOSE(MIN(4,COUNTIF($B$19:B113,B113)),"st","nd","rd","th"),"")</f>
        <v/>
      </c>
    </row>
    <row r="114" spans="12:12" x14ac:dyDescent="0.25">
      <c r="L114" s="164" t="str">
        <f>IFERROR(COUNTIF($B$19:B114,B114)&amp;CHOOSE(MIN(4,COUNTIF($B$19:B114,B114)),"st","nd","rd","th"),"")</f>
        <v/>
      </c>
    </row>
    <row r="115" spans="12:12" x14ac:dyDescent="0.25">
      <c r="L115" s="164" t="str">
        <f>IFERROR(COUNTIF($B$19:B115,B115)&amp;CHOOSE(MIN(4,COUNTIF($B$19:B115,B115)),"st","nd","rd","th"),"")</f>
        <v/>
      </c>
    </row>
    <row r="116" spans="12:12" x14ac:dyDescent="0.25">
      <c r="L116" s="164" t="str">
        <f>IFERROR(COUNTIF($B$19:B116,B116)&amp;CHOOSE(MIN(4,COUNTIF($B$19:B116,B116)),"st","nd","rd","th"),"")</f>
        <v/>
      </c>
    </row>
    <row r="117" spans="12:12" x14ac:dyDescent="0.25">
      <c r="L117" s="164" t="str">
        <f>IFERROR(COUNTIF($B$19:B117,B117)&amp;CHOOSE(MIN(4,COUNTIF($B$19:B117,B117)),"st","nd","rd","th"),"")</f>
        <v/>
      </c>
    </row>
    <row r="118" spans="12:12" x14ac:dyDescent="0.25">
      <c r="L118" s="164" t="str">
        <f>IFERROR(COUNTIF($B$19:B118,B118)&amp;CHOOSE(MIN(4,COUNTIF($B$19:B118,B118)),"st","nd","rd","th"),"")</f>
        <v/>
      </c>
    </row>
    <row r="119" spans="12:12" x14ac:dyDescent="0.25">
      <c r="L119" s="164" t="str">
        <f>IFERROR(COUNTIF($B$19:B119,B119)&amp;CHOOSE(MIN(4,COUNTIF($B$19:B119,B119)),"st","nd","rd","th"),"")</f>
        <v/>
      </c>
    </row>
    <row r="120" spans="12:12" x14ac:dyDescent="0.25">
      <c r="L120" s="164" t="str">
        <f>IFERROR(COUNTIF($B$19:B120,B120)&amp;CHOOSE(MIN(4,COUNTIF($B$19:B120,B120)),"st","nd","rd","th"),"")</f>
        <v/>
      </c>
    </row>
    <row r="121" spans="12:12" x14ac:dyDescent="0.25">
      <c r="L121" s="164" t="str">
        <f>IFERROR(COUNTIF($B$19:B121,B121)&amp;CHOOSE(MIN(4,COUNTIF($B$19:B121,B121)),"st","nd","rd","th"),"")</f>
        <v/>
      </c>
    </row>
    <row r="122" spans="12:12" x14ac:dyDescent="0.25">
      <c r="L122" s="164" t="str">
        <f>IFERROR(COUNTIF($B$19:B122,B122)&amp;CHOOSE(MIN(4,COUNTIF($B$19:B122,B122)),"st","nd","rd","th"),"")</f>
        <v/>
      </c>
    </row>
    <row r="123" spans="12:12" x14ac:dyDescent="0.25">
      <c r="L123" s="164" t="str">
        <f>IFERROR(COUNTIF($B$19:B123,B123)&amp;CHOOSE(MIN(4,COUNTIF($B$19:B123,B123)),"st","nd","rd","th"),"")</f>
        <v/>
      </c>
    </row>
    <row r="124" spans="12:12" x14ac:dyDescent="0.25">
      <c r="L124" s="164" t="str">
        <f>IFERROR(COUNTIF($B$19:B124,B124)&amp;CHOOSE(MIN(4,COUNTIF($B$19:B124,B124)),"st","nd","rd","th"),"")</f>
        <v/>
      </c>
    </row>
    <row r="125" spans="12:12" x14ac:dyDescent="0.25">
      <c r="L125" s="164" t="str">
        <f>IFERROR(COUNTIF($B$19:B125,B125)&amp;CHOOSE(MIN(4,COUNTIF($B$19:B125,B125)),"st","nd","rd","th"),"")</f>
        <v/>
      </c>
    </row>
    <row r="126" spans="12:12" x14ac:dyDescent="0.25">
      <c r="L126" s="164" t="str">
        <f>IFERROR(COUNTIF($B$19:B126,B126)&amp;CHOOSE(MIN(4,COUNTIF($B$19:B126,B126)),"st","nd","rd","th"),"")</f>
        <v/>
      </c>
    </row>
    <row r="127" spans="12:12" x14ac:dyDescent="0.25">
      <c r="L127" s="164" t="str">
        <f>IFERROR(COUNTIF($B$19:B127,B127)&amp;CHOOSE(MIN(4,COUNTIF($B$19:B127,B127)),"st","nd","rd","th"),"")</f>
        <v/>
      </c>
    </row>
    <row r="128" spans="12:12" x14ac:dyDescent="0.25">
      <c r="L128" s="164" t="str">
        <f>IFERROR(COUNTIF($B$19:B128,B128)&amp;CHOOSE(MIN(4,COUNTIF($B$19:B128,B128)),"st","nd","rd","th"),"")</f>
        <v/>
      </c>
    </row>
    <row r="129" spans="12:12" x14ac:dyDescent="0.25">
      <c r="L129" s="164" t="str">
        <f>IFERROR(COUNTIF($B$19:B129,B129)&amp;CHOOSE(MIN(4,COUNTIF($B$19:B129,B129)),"st","nd","rd","th"),"")</f>
        <v/>
      </c>
    </row>
    <row r="130" spans="12:12" x14ac:dyDescent="0.25">
      <c r="L130" s="164" t="str">
        <f>IFERROR(COUNTIF($B$19:B130,B130)&amp;CHOOSE(MIN(4,COUNTIF($B$19:B130,B130)),"st","nd","rd","th"),"")</f>
        <v/>
      </c>
    </row>
    <row r="131" spans="12:12" x14ac:dyDescent="0.25">
      <c r="L131" s="164" t="str">
        <f>IFERROR(COUNTIF($B$19:B131,B131)&amp;CHOOSE(MIN(4,COUNTIF($B$19:B131,B131)),"st","nd","rd","th"),"")</f>
        <v/>
      </c>
    </row>
    <row r="132" spans="12:12" x14ac:dyDescent="0.25">
      <c r="L132" s="164" t="str">
        <f>IFERROR(COUNTIF($B$19:B132,B132)&amp;CHOOSE(MIN(4,COUNTIF($B$19:B132,B132)),"st","nd","rd","th"),"")</f>
        <v/>
      </c>
    </row>
    <row r="133" spans="12:12" x14ac:dyDescent="0.25">
      <c r="L133" s="164" t="str">
        <f>IFERROR(COUNTIF($B$19:B133,B133)&amp;CHOOSE(MIN(4,COUNTIF($B$19:B133,B133)),"st","nd","rd","th"),"")</f>
        <v/>
      </c>
    </row>
    <row r="134" spans="12:12" x14ac:dyDescent="0.25">
      <c r="L134" s="164" t="str">
        <f>IFERROR(COUNTIF($B$19:B134,B134)&amp;CHOOSE(MIN(4,COUNTIF($B$19:B134,B134)),"st","nd","rd","th"),"")</f>
        <v/>
      </c>
    </row>
    <row r="135" spans="12:12" x14ac:dyDescent="0.25">
      <c r="L135" s="164" t="str">
        <f>IFERROR(COUNTIF($B$19:B135,B135)&amp;CHOOSE(MIN(4,COUNTIF($B$19:B135,B135)),"st","nd","rd","th"),"")</f>
        <v/>
      </c>
    </row>
    <row r="136" spans="12:12" x14ac:dyDescent="0.25">
      <c r="L136" s="164" t="str">
        <f>IFERROR(COUNTIF($B$19:B136,B136)&amp;CHOOSE(MIN(4,COUNTIF($B$19:B136,B136)),"st","nd","rd","th"),"")</f>
        <v/>
      </c>
    </row>
    <row r="137" spans="12:12" x14ac:dyDescent="0.25">
      <c r="L137" s="164" t="str">
        <f>IFERROR(COUNTIF($B$19:B137,B137)&amp;CHOOSE(MIN(4,COUNTIF($B$19:B137,B137)),"st","nd","rd","th"),"")</f>
        <v/>
      </c>
    </row>
    <row r="138" spans="12:12" x14ac:dyDescent="0.25">
      <c r="L138" s="164" t="str">
        <f>IFERROR(COUNTIF($B$19:B138,B138)&amp;CHOOSE(MIN(4,COUNTIF($B$19:B138,B138)),"st","nd","rd","th"),"")</f>
        <v/>
      </c>
    </row>
    <row r="139" spans="12:12" x14ac:dyDescent="0.25">
      <c r="L139" s="164" t="str">
        <f>IFERROR(COUNTIF($B$19:B139,B139)&amp;CHOOSE(MIN(4,COUNTIF($B$19:B139,B139)),"st","nd","rd","th"),"")</f>
        <v/>
      </c>
    </row>
    <row r="140" spans="12:12" x14ac:dyDescent="0.25">
      <c r="L140" s="164" t="str">
        <f>IFERROR(COUNTIF($B$19:B140,B140)&amp;CHOOSE(MIN(4,COUNTIF($B$19:B140,B140)),"st","nd","rd","th"),"")</f>
        <v/>
      </c>
    </row>
    <row r="141" spans="12:12" x14ac:dyDescent="0.25">
      <c r="L141" s="164" t="str">
        <f>IFERROR(COUNTIF($B$19:B141,B141)&amp;CHOOSE(MIN(4,COUNTIF($B$19:B141,B141)),"st","nd","rd","th"),"")</f>
        <v/>
      </c>
    </row>
    <row r="142" spans="12:12" x14ac:dyDescent="0.25">
      <c r="L142" s="164" t="str">
        <f>IFERROR(COUNTIF($B$19:B142,B142)&amp;CHOOSE(MIN(4,COUNTIF($B$19:B142,B142)),"st","nd","rd","th"),"")</f>
        <v/>
      </c>
    </row>
    <row r="143" spans="12:12" x14ac:dyDescent="0.25">
      <c r="L143" s="164" t="str">
        <f>IFERROR(COUNTIF($B$19:B143,B143)&amp;CHOOSE(MIN(4,COUNTIF($B$19:B143,B143)),"st","nd","rd","th"),"")</f>
        <v/>
      </c>
    </row>
    <row r="144" spans="12:12" x14ac:dyDescent="0.25">
      <c r="L144" s="164" t="str">
        <f>IFERROR(COUNTIF($B$19:B144,B144)&amp;CHOOSE(MIN(4,COUNTIF($B$19:B144,B144)),"st","nd","rd","th"),"")</f>
        <v/>
      </c>
    </row>
    <row r="145" spans="12:12" x14ac:dyDescent="0.25">
      <c r="L145" s="164" t="str">
        <f>IFERROR(COUNTIF($B$19:B145,B145)&amp;CHOOSE(MIN(4,COUNTIF($B$19:B145,B145)),"st","nd","rd","th"),"")</f>
        <v/>
      </c>
    </row>
    <row r="146" spans="12:12" x14ac:dyDescent="0.25">
      <c r="L146" s="164" t="str">
        <f>IFERROR(COUNTIF($B$19:B146,B146)&amp;CHOOSE(MIN(4,COUNTIF($B$19:B146,B146)),"st","nd","rd","th"),"")</f>
        <v/>
      </c>
    </row>
    <row r="147" spans="12:12" x14ac:dyDescent="0.25">
      <c r="L147" s="164" t="str">
        <f>IFERROR(COUNTIF($B$19:B147,B147)&amp;CHOOSE(MIN(4,COUNTIF($B$19:B147,B147)),"st","nd","rd","th"),"")</f>
        <v/>
      </c>
    </row>
    <row r="148" spans="12:12" x14ac:dyDescent="0.25">
      <c r="L148" s="164" t="str">
        <f>IFERROR(COUNTIF($B$19:B148,B148)&amp;CHOOSE(MIN(4,COUNTIF($B$19:B148,B148)),"st","nd","rd","th"),"")</f>
        <v/>
      </c>
    </row>
    <row r="149" spans="12:12" x14ac:dyDescent="0.25">
      <c r="L149" s="164" t="str">
        <f>IFERROR(COUNTIF($B$19:B149,B149)&amp;CHOOSE(MIN(4,COUNTIF($B$19:B149,B149)),"st","nd","rd","th"),"")</f>
        <v/>
      </c>
    </row>
    <row r="150" spans="12:12" x14ac:dyDescent="0.25">
      <c r="L150" s="164" t="str">
        <f>IFERROR(COUNTIF($B$19:B150,B150)&amp;CHOOSE(MIN(4,COUNTIF($B$19:B150,B150)),"st","nd","rd","th"),"")</f>
        <v/>
      </c>
    </row>
    <row r="151" spans="12:12" x14ac:dyDescent="0.25">
      <c r="L151" s="164" t="str">
        <f>IFERROR(COUNTIF($B$19:B151,B151)&amp;CHOOSE(MIN(4,COUNTIF($B$19:B151,B151)),"st","nd","rd","th"),"")</f>
        <v/>
      </c>
    </row>
    <row r="152" spans="12:12" x14ac:dyDescent="0.25">
      <c r="L152" s="164" t="str">
        <f>IFERROR(COUNTIF($B$19:B152,B152)&amp;CHOOSE(MIN(4,COUNTIF($B$19:B152,B152)),"st","nd","rd","th"),"")</f>
        <v/>
      </c>
    </row>
    <row r="153" spans="12:12" x14ac:dyDescent="0.25">
      <c r="L153" s="164" t="str">
        <f>IFERROR(COUNTIF($B$19:B153,B153)&amp;CHOOSE(MIN(4,COUNTIF($B$19:B153,B153)),"st","nd","rd","th"),"")</f>
        <v/>
      </c>
    </row>
    <row r="154" spans="12:12" x14ac:dyDescent="0.25">
      <c r="L154" s="164" t="str">
        <f>IFERROR(COUNTIF($B$19:B154,B154)&amp;CHOOSE(MIN(4,COUNTIF($B$19:B154,B154)),"st","nd","rd","th"),"")</f>
        <v/>
      </c>
    </row>
    <row r="155" spans="12:12" x14ac:dyDescent="0.25">
      <c r="L155" s="164" t="str">
        <f>IFERROR(COUNTIF($B$19:B155,B155)&amp;CHOOSE(MIN(4,COUNTIF($B$19:B155,B155)),"st","nd","rd","th"),"")</f>
        <v/>
      </c>
    </row>
    <row r="156" spans="12:12" x14ac:dyDescent="0.25">
      <c r="L156" s="164" t="str">
        <f>IFERROR(COUNTIF($B$19:B156,B156)&amp;CHOOSE(MIN(4,COUNTIF($B$19:B156,B156)),"st","nd","rd","th"),"")</f>
        <v/>
      </c>
    </row>
    <row r="157" spans="12:12" x14ac:dyDescent="0.25">
      <c r="L157" s="164" t="str">
        <f>IFERROR(COUNTIF($B$19:B157,B157)&amp;CHOOSE(MIN(4,COUNTIF($B$19:B157,B157)),"st","nd","rd","th"),"")</f>
        <v/>
      </c>
    </row>
    <row r="158" spans="12:12" x14ac:dyDescent="0.25">
      <c r="L158" s="164" t="str">
        <f>IFERROR(COUNTIF($B$19:B158,B158)&amp;CHOOSE(MIN(4,COUNTIF($B$19:B158,B158)),"st","nd","rd","th"),"")</f>
        <v/>
      </c>
    </row>
    <row r="159" spans="12:12" x14ac:dyDescent="0.25">
      <c r="L159" s="164" t="str">
        <f>IFERROR(COUNTIF($B$19:B159,B159)&amp;CHOOSE(MIN(4,COUNTIF($B$19:B159,B159)),"st","nd","rd","th"),"")</f>
        <v/>
      </c>
    </row>
    <row r="160" spans="12:12" x14ac:dyDescent="0.25">
      <c r="L160" s="164" t="str">
        <f>IFERROR(COUNTIF($B$19:B160,B160)&amp;CHOOSE(MIN(4,COUNTIF($B$19:B160,B160)),"st","nd","rd","th"),"")</f>
        <v/>
      </c>
    </row>
    <row r="161" spans="12:12" x14ac:dyDescent="0.25">
      <c r="L161" s="164" t="str">
        <f>IFERROR(COUNTIF($B$19:B161,B161)&amp;CHOOSE(MIN(4,COUNTIF($B$19:B161,B161)),"st","nd","rd","th"),"")</f>
        <v/>
      </c>
    </row>
    <row r="162" spans="12:12" x14ac:dyDescent="0.25">
      <c r="L162" s="164" t="str">
        <f>IFERROR(COUNTIF($B$19:B162,B162)&amp;CHOOSE(MIN(4,COUNTIF($B$19:B162,B162)),"st","nd","rd","th"),"")</f>
        <v/>
      </c>
    </row>
    <row r="163" spans="12:12" x14ac:dyDescent="0.25">
      <c r="L163" s="164" t="str">
        <f>IFERROR(COUNTIF($B$19:B163,B163)&amp;CHOOSE(MIN(4,COUNTIF($B$19:B163,B163)),"st","nd","rd","th"),"")</f>
        <v/>
      </c>
    </row>
    <row r="164" spans="12:12" x14ac:dyDescent="0.25">
      <c r="L164" s="164" t="str">
        <f>IFERROR(COUNTIF($B$19:B164,B164)&amp;CHOOSE(MIN(4,COUNTIF($B$19:B164,B164)),"st","nd","rd","th"),"")</f>
        <v/>
      </c>
    </row>
    <row r="165" spans="12:12" x14ac:dyDescent="0.25">
      <c r="L165" s="164" t="str">
        <f>IFERROR(COUNTIF($B$19:B165,B165)&amp;CHOOSE(MIN(4,COUNTIF($B$19:B165,B165)),"st","nd","rd","th"),"")</f>
        <v/>
      </c>
    </row>
    <row r="166" spans="12:12" x14ac:dyDescent="0.25">
      <c r="L166" s="164" t="str">
        <f>IFERROR(COUNTIF($B$19:B166,B166)&amp;CHOOSE(MIN(4,COUNTIF($B$19:B166,B166)),"st","nd","rd","th"),"")</f>
        <v/>
      </c>
    </row>
    <row r="167" spans="12:12" x14ac:dyDescent="0.25">
      <c r="L167" s="164" t="str">
        <f>IFERROR(COUNTIF($B$19:B167,B167)&amp;CHOOSE(MIN(4,COUNTIF($B$19:B167,B167)),"st","nd","rd","th"),"")</f>
        <v/>
      </c>
    </row>
    <row r="168" spans="12:12" x14ac:dyDescent="0.25">
      <c r="L168" s="164" t="str">
        <f>IFERROR(COUNTIF($B$19:B168,B168)&amp;CHOOSE(MIN(4,COUNTIF($B$19:B168,B168)),"st","nd","rd","th"),"")</f>
        <v/>
      </c>
    </row>
    <row r="169" spans="12:12" x14ac:dyDescent="0.25">
      <c r="L169" s="164" t="str">
        <f>IFERROR(COUNTIF($B$19:B169,B169)&amp;CHOOSE(MIN(4,COUNTIF($B$19:B169,B169)),"st","nd","rd","th"),"")</f>
        <v/>
      </c>
    </row>
    <row r="170" spans="12:12" x14ac:dyDescent="0.25">
      <c r="L170" s="164" t="str">
        <f>IFERROR(COUNTIF($B$19:B170,B170)&amp;CHOOSE(MIN(4,COUNTIF($B$19:B170,B170)),"st","nd","rd","th"),"")</f>
        <v/>
      </c>
    </row>
    <row r="171" spans="12:12" x14ac:dyDescent="0.25">
      <c r="L171" s="164" t="str">
        <f>IFERROR(COUNTIF($B$19:B171,B171)&amp;CHOOSE(MIN(4,COUNTIF($B$19:B171,B171)),"st","nd","rd","th"),"")</f>
        <v/>
      </c>
    </row>
    <row r="172" spans="12:12" x14ac:dyDescent="0.25">
      <c r="L172" s="164" t="str">
        <f>IFERROR(COUNTIF($B$19:B172,B172)&amp;CHOOSE(MIN(4,COUNTIF($B$19:B172,B172)),"st","nd","rd","th"),"")</f>
        <v/>
      </c>
    </row>
    <row r="173" spans="12:12" x14ac:dyDescent="0.25">
      <c r="L173" s="164" t="str">
        <f>IFERROR(COUNTIF($B$19:B173,B173)&amp;CHOOSE(MIN(4,COUNTIF($B$19:B173,B173)),"st","nd","rd","th"),"")</f>
        <v/>
      </c>
    </row>
    <row r="174" spans="12:12" x14ac:dyDescent="0.25">
      <c r="L174" s="164" t="str">
        <f>IFERROR(COUNTIF($B$19:B174,B174)&amp;CHOOSE(MIN(4,COUNTIF($B$19:B174,B174)),"st","nd","rd","th"),"")</f>
        <v/>
      </c>
    </row>
    <row r="175" spans="12:12" x14ac:dyDescent="0.25">
      <c r="L175" s="164" t="str">
        <f>IFERROR(COUNTIF($B$19:B175,B175)&amp;CHOOSE(MIN(4,COUNTIF($B$19:B175,B175)),"st","nd","rd","th"),"")</f>
        <v/>
      </c>
    </row>
    <row r="176" spans="12:12" x14ac:dyDescent="0.25">
      <c r="L176" s="164" t="str">
        <f>IFERROR(COUNTIF($B$19:B176,B176)&amp;CHOOSE(MIN(4,COUNTIF($B$19:B176,B176)),"st","nd","rd","th"),"")</f>
        <v/>
      </c>
    </row>
    <row r="177" spans="12:12" x14ac:dyDescent="0.25">
      <c r="L177" s="164" t="str">
        <f>IFERROR(COUNTIF($B$19:B177,B177)&amp;CHOOSE(MIN(4,COUNTIF($B$19:B177,B177)),"st","nd","rd","th"),"")</f>
        <v/>
      </c>
    </row>
    <row r="178" spans="12:12" x14ac:dyDescent="0.25">
      <c r="L178" s="164" t="str">
        <f>IFERROR(COUNTIF($B$19:B178,B178)&amp;CHOOSE(MIN(4,COUNTIF($B$19:B178,B178)),"st","nd","rd","th"),"")</f>
        <v/>
      </c>
    </row>
    <row r="179" spans="12:12" x14ac:dyDescent="0.25">
      <c r="L179" s="164" t="str">
        <f>IFERROR(COUNTIF($B$19:B179,B179)&amp;CHOOSE(MIN(4,COUNTIF($B$19:B179,B179)),"st","nd","rd","th"),"")</f>
        <v/>
      </c>
    </row>
    <row r="180" spans="12:12" x14ac:dyDescent="0.25">
      <c r="L180" s="164" t="str">
        <f>IFERROR(COUNTIF($B$19:B180,B180)&amp;CHOOSE(MIN(4,COUNTIF($B$19:B180,B180)),"st","nd","rd","th"),"")</f>
        <v/>
      </c>
    </row>
    <row r="181" spans="12:12" x14ac:dyDescent="0.25">
      <c r="L181" s="164" t="str">
        <f>IFERROR(COUNTIF($B$19:B181,B181)&amp;CHOOSE(MIN(4,COUNTIF($B$19:B181,B181)),"st","nd","rd","th"),"")</f>
        <v/>
      </c>
    </row>
    <row r="182" spans="12:12" x14ac:dyDescent="0.25">
      <c r="L182" s="164" t="str">
        <f>IFERROR(COUNTIF($B$19:B182,B182)&amp;CHOOSE(MIN(4,COUNTIF($B$19:B182,B182)),"st","nd","rd","th"),"")</f>
        <v/>
      </c>
    </row>
    <row r="183" spans="12:12" x14ac:dyDescent="0.25">
      <c r="L183" s="164" t="str">
        <f>IFERROR(COUNTIF($B$19:B183,B183)&amp;CHOOSE(MIN(4,COUNTIF($B$19:B183,B183)),"st","nd","rd","th"),"")</f>
        <v/>
      </c>
    </row>
    <row r="184" spans="12:12" x14ac:dyDescent="0.25">
      <c r="L184" s="164" t="str">
        <f>IFERROR(COUNTIF($B$19:B184,B184)&amp;CHOOSE(MIN(4,COUNTIF($B$19:B184,B184)),"st","nd","rd","th"),"")</f>
        <v/>
      </c>
    </row>
    <row r="185" spans="12:12" x14ac:dyDescent="0.25">
      <c r="L185" s="164" t="str">
        <f>IFERROR(COUNTIF($B$19:B185,B185)&amp;CHOOSE(MIN(4,COUNTIF($B$19:B185,B185)),"st","nd","rd","th"),"")</f>
        <v/>
      </c>
    </row>
    <row r="186" spans="12:12" x14ac:dyDescent="0.25">
      <c r="L186" s="164" t="str">
        <f>IFERROR(COUNTIF($B$19:B186,B186)&amp;CHOOSE(MIN(4,COUNTIF($B$19:B186,B186)),"st","nd","rd","th"),"")</f>
        <v/>
      </c>
    </row>
    <row r="187" spans="12:12" x14ac:dyDescent="0.25">
      <c r="L187" s="164" t="str">
        <f>IFERROR(COUNTIF($B$19:B187,B187)&amp;CHOOSE(MIN(4,COUNTIF($B$19:B187,B187)),"st","nd","rd","th"),"")</f>
        <v/>
      </c>
    </row>
    <row r="188" spans="12:12" x14ac:dyDescent="0.25">
      <c r="L188" s="164" t="str">
        <f>IFERROR(COUNTIF($B$19:B188,B188)&amp;CHOOSE(MIN(4,COUNTIF($B$19:B188,B188)),"st","nd","rd","th"),"")</f>
        <v/>
      </c>
    </row>
    <row r="189" spans="12:12" x14ac:dyDescent="0.25">
      <c r="L189" s="164" t="str">
        <f>IFERROR(COUNTIF($B$19:B189,B189)&amp;CHOOSE(MIN(4,COUNTIF($B$19:B189,B189)),"st","nd","rd","th"),"")</f>
        <v/>
      </c>
    </row>
    <row r="190" spans="12:12" x14ac:dyDescent="0.25">
      <c r="L190" s="164" t="str">
        <f>IFERROR(COUNTIF($B$19:B190,B190)&amp;CHOOSE(MIN(4,COUNTIF($B$19:B190,B190)),"st","nd","rd","th"),"")</f>
        <v/>
      </c>
    </row>
    <row r="191" spans="12:12" x14ac:dyDescent="0.25">
      <c r="L191" s="164" t="str">
        <f>IFERROR(COUNTIF($B$19:B191,B191)&amp;CHOOSE(MIN(4,COUNTIF($B$19:B191,B191)),"st","nd","rd","th"),"")</f>
        <v/>
      </c>
    </row>
    <row r="192" spans="12:12" x14ac:dyDescent="0.25">
      <c r="L192" s="164" t="str">
        <f>IFERROR(COUNTIF($B$19:B192,B192)&amp;CHOOSE(MIN(4,COUNTIF($B$19:B192,B192)),"st","nd","rd","th"),"")</f>
        <v/>
      </c>
    </row>
    <row r="193" spans="12:12" x14ac:dyDescent="0.25">
      <c r="L193" s="164" t="str">
        <f>IFERROR(COUNTIF($B$19:B193,B193)&amp;CHOOSE(MIN(4,COUNTIF($B$19:B193,B193)),"st","nd","rd","th"),"")</f>
        <v/>
      </c>
    </row>
    <row r="194" spans="12:12" x14ac:dyDescent="0.25">
      <c r="L194" s="164" t="str">
        <f>IFERROR(COUNTIF($B$19:B194,B194)&amp;CHOOSE(MIN(4,COUNTIF($B$19:B194,B194)),"st","nd","rd","th"),"")</f>
        <v/>
      </c>
    </row>
    <row r="195" spans="12:12" x14ac:dyDescent="0.25">
      <c r="L195" s="164" t="str">
        <f>IFERROR(COUNTIF($B$19:B195,B195)&amp;CHOOSE(MIN(4,COUNTIF($B$19:B195,B195)),"st","nd","rd","th"),"")</f>
        <v/>
      </c>
    </row>
    <row r="196" spans="12:12" x14ac:dyDescent="0.25">
      <c r="L196" s="164" t="str">
        <f>IFERROR(COUNTIF($B$19:B196,B196)&amp;CHOOSE(MIN(4,COUNTIF($B$19:B196,B196)),"st","nd","rd","th"),"")</f>
        <v/>
      </c>
    </row>
    <row r="197" spans="12:12" x14ac:dyDescent="0.25">
      <c r="L197" s="164" t="str">
        <f>IFERROR(COUNTIF($B$19:B197,B197)&amp;CHOOSE(MIN(4,COUNTIF($B$19:B197,B197)),"st","nd","rd","th"),"")</f>
        <v/>
      </c>
    </row>
    <row r="198" spans="12:12" x14ac:dyDescent="0.25">
      <c r="L198" s="164" t="str">
        <f>IFERROR(COUNTIF($B$19:B198,B198)&amp;CHOOSE(MIN(4,COUNTIF($B$19:B198,B198)),"st","nd","rd","th"),"")</f>
        <v/>
      </c>
    </row>
    <row r="199" spans="12:12" x14ac:dyDescent="0.25">
      <c r="L199" s="164" t="str">
        <f>IFERROR(COUNTIF($B$19:B199,B199)&amp;CHOOSE(MIN(4,COUNTIF($B$19:B199,B199)),"st","nd","rd","th"),"")</f>
        <v/>
      </c>
    </row>
    <row r="200" spans="12:12" x14ac:dyDescent="0.25">
      <c r="L200" s="164" t="str">
        <f>IFERROR(COUNTIF($B$19:B200,B200)&amp;CHOOSE(MIN(4,COUNTIF($B$19:B200,B200)),"st","nd","rd","th"),"")</f>
        <v/>
      </c>
    </row>
    <row r="201" spans="12:12" x14ac:dyDescent="0.25">
      <c r="L201" s="164" t="str">
        <f>IFERROR(COUNTIF($B$19:B201,B201)&amp;CHOOSE(MIN(4,COUNTIF($B$19:B201,B201)),"st","nd","rd","th"),"")</f>
        <v/>
      </c>
    </row>
    <row r="202" spans="12:12" x14ac:dyDescent="0.25">
      <c r="L202" s="164" t="str">
        <f>IFERROR(COUNTIF($B$19:B202,B202)&amp;CHOOSE(MIN(4,COUNTIF($B$19:B202,B202)),"st","nd","rd","th"),"")</f>
        <v/>
      </c>
    </row>
    <row r="203" spans="12:12" x14ac:dyDescent="0.25">
      <c r="L203" s="164" t="str">
        <f>IFERROR(COUNTIF($B$19:B203,B203)&amp;CHOOSE(MIN(4,COUNTIF($B$19:B203,B203)),"st","nd","rd","th"),"")</f>
        <v/>
      </c>
    </row>
    <row r="204" spans="12:12" x14ac:dyDescent="0.25">
      <c r="L204" s="164" t="str">
        <f>IFERROR(COUNTIF($B$19:B204,B204)&amp;CHOOSE(MIN(4,COUNTIF($B$19:B204,B204)),"st","nd","rd","th"),"")</f>
        <v/>
      </c>
    </row>
    <row r="205" spans="12:12" x14ac:dyDescent="0.25">
      <c r="L205" s="164" t="str">
        <f>IFERROR(COUNTIF($B$19:B205,B205)&amp;CHOOSE(MIN(4,COUNTIF($B$19:B205,B205)),"st","nd","rd","th"),"")</f>
        <v/>
      </c>
    </row>
    <row r="206" spans="12:12" x14ac:dyDescent="0.25">
      <c r="L206" s="164" t="str">
        <f>IFERROR(COUNTIF($B$19:B206,B206)&amp;CHOOSE(MIN(4,COUNTIF($B$19:B206,B206)),"st","nd","rd","th"),"")</f>
        <v/>
      </c>
    </row>
    <row r="207" spans="12:12" x14ac:dyDescent="0.25">
      <c r="L207" s="164" t="str">
        <f>IFERROR(COUNTIF($B$19:B207,B207)&amp;CHOOSE(MIN(4,COUNTIF($B$19:B207,B207)),"st","nd","rd","th"),"")</f>
        <v/>
      </c>
    </row>
    <row r="208" spans="12:12" x14ac:dyDescent="0.25">
      <c r="L208" s="164" t="str">
        <f>IFERROR(COUNTIF($B$19:B208,B208)&amp;CHOOSE(MIN(4,COUNTIF($B$19:B208,B208)),"st","nd","rd","th"),"")</f>
        <v/>
      </c>
    </row>
    <row r="209" spans="12:12" x14ac:dyDescent="0.25">
      <c r="L209" s="164" t="str">
        <f>IFERROR(COUNTIF($B$19:B209,B209)&amp;CHOOSE(MIN(4,COUNTIF($B$19:B209,B209)),"st","nd","rd","th"),"")</f>
        <v/>
      </c>
    </row>
    <row r="210" spans="12:12" x14ac:dyDescent="0.25">
      <c r="L210" s="164" t="str">
        <f>IFERROR(COUNTIF($B$19:B210,B210)&amp;CHOOSE(MIN(4,COUNTIF($B$19:B210,B210)),"st","nd","rd","th"),"")</f>
        <v/>
      </c>
    </row>
    <row r="211" spans="12:12" x14ac:dyDescent="0.25">
      <c r="L211" s="164" t="str">
        <f>IFERROR(COUNTIF($B$19:B211,B211)&amp;CHOOSE(MIN(4,COUNTIF($B$19:B211,B211)),"st","nd","rd","th"),"")</f>
        <v/>
      </c>
    </row>
    <row r="212" spans="12:12" x14ac:dyDescent="0.25">
      <c r="L212" s="164" t="str">
        <f>IFERROR(COUNTIF($B$19:B212,B212)&amp;CHOOSE(MIN(4,COUNTIF($B$19:B212,B212)),"st","nd","rd","th"),"")</f>
        <v/>
      </c>
    </row>
    <row r="213" spans="12:12" x14ac:dyDescent="0.25">
      <c r="L213" s="164" t="str">
        <f>IFERROR(COUNTIF($B$19:B213,B213)&amp;CHOOSE(MIN(4,COUNTIF($B$19:B213,B213)),"st","nd","rd","th"),"")</f>
        <v/>
      </c>
    </row>
    <row r="214" spans="12:12" x14ac:dyDescent="0.25">
      <c r="L214" s="164" t="str">
        <f>IFERROR(COUNTIF($B$19:B214,B214)&amp;CHOOSE(MIN(4,COUNTIF($B$19:B214,B214)),"st","nd","rd","th"),"")</f>
        <v/>
      </c>
    </row>
    <row r="215" spans="12:12" x14ac:dyDescent="0.25">
      <c r="L215" s="164" t="str">
        <f>IFERROR(COUNTIF($B$19:B215,B215)&amp;CHOOSE(MIN(4,COUNTIF($B$19:B215,B215)),"st","nd","rd","th"),"")</f>
        <v/>
      </c>
    </row>
    <row r="216" spans="12:12" x14ac:dyDescent="0.25">
      <c r="L216" s="164" t="str">
        <f>IFERROR(COUNTIF($B$19:B216,B216)&amp;CHOOSE(MIN(4,COUNTIF($B$19:B216,B216)),"st","nd","rd","th"),"")</f>
        <v/>
      </c>
    </row>
    <row r="217" spans="12:12" x14ac:dyDescent="0.25">
      <c r="L217" s="164" t="str">
        <f>IFERROR(COUNTIF($B$19:B217,B217)&amp;CHOOSE(MIN(4,COUNTIF($B$19:B217,B217)),"st","nd","rd","th"),"")</f>
        <v/>
      </c>
    </row>
    <row r="218" spans="12:12" x14ac:dyDescent="0.25">
      <c r="L218" s="164" t="str">
        <f>IFERROR(COUNTIF($B$19:B218,B218)&amp;CHOOSE(MIN(4,COUNTIF($B$19:B218,B218)),"st","nd","rd","th"),"")</f>
        <v/>
      </c>
    </row>
    <row r="219" spans="12:12" x14ac:dyDescent="0.25">
      <c r="L219" s="164" t="str">
        <f>IFERROR(COUNTIF($B$19:B219,B219)&amp;CHOOSE(MIN(4,COUNTIF($B$19:B219,B219)),"st","nd","rd","th"),"")</f>
        <v/>
      </c>
    </row>
    <row r="220" spans="12:12" x14ac:dyDescent="0.25">
      <c r="L220" s="164" t="str">
        <f>IFERROR(COUNTIF($B$19:B220,B220)&amp;CHOOSE(MIN(4,COUNTIF($B$19:B220,B220)),"st","nd","rd","th"),"")</f>
        <v/>
      </c>
    </row>
    <row r="221" spans="12:12" x14ac:dyDescent="0.25">
      <c r="L221" s="164" t="str">
        <f>IFERROR(COUNTIF($B$19:B221,B221)&amp;CHOOSE(MIN(4,COUNTIF($B$19:B221,B221)),"st","nd","rd","th"),"")</f>
        <v/>
      </c>
    </row>
    <row r="222" spans="12:12" x14ac:dyDescent="0.25">
      <c r="L222" s="164" t="str">
        <f>IFERROR(COUNTIF($B$19:B222,B222)&amp;CHOOSE(MIN(4,COUNTIF($B$19:B222,B222)),"st","nd","rd","th"),"")</f>
        <v/>
      </c>
    </row>
    <row r="223" spans="12:12" x14ac:dyDescent="0.25">
      <c r="L223" s="164" t="str">
        <f>IFERROR(COUNTIF($B$19:B223,B223)&amp;CHOOSE(MIN(4,COUNTIF($B$19:B223,B223)),"st","nd","rd","th"),"")</f>
        <v/>
      </c>
    </row>
    <row r="224" spans="12:12" x14ac:dyDescent="0.25">
      <c r="L224" s="164" t="str">
        <f>IFERROR(COUNTIF($B$19:B224,B224)&amp;CHOOSE(MIN(4,COUNTIF($B$19:B224,B224)),"st","nd","rd","th"),"")</f>
        <v/>
      </c>
    </row>
    <row r="225" spans="12:12" x14ac:dyDescent="0.25">
      <c r="L225" s="164" t="str">
        <f>IFERROR(COUNTIF($B$19:B225,B225)&amp;CHOOSE(MIN(4,COUNTIF($B$19:B225,B225)),"st","nd","rd","th"),"")</f>
        <v/>
      </c>
    </row>
    <row r="226" spans="12:12" x14ac:dyDescent="0.25">
      <c r="L226" s="164" t="str">
        <f>IFERROR(COUNTIF($B$19:B226,B226)&amp;CHOOSE(MIN(4,COUNTIF($B$19:B226,B226)),"st","nd","rd","th"),"")</f>
        <v/>
      </c>
    </row>
    <row r="227" spans="12:12" x14ac:dyDescent="0.25">
      <c r="L227" s="164" t="str">
        <f>IFERROR(COUNTIF($B$19:B227,B227)&amp;CHOOSE(MIN(4,COUNTIF($B$19:B227,B227)),"st","nd","rd","th"),"")</f>
        <v/>
      </c>
    </row>
    <row r="228" spans="12:12" x14ac:dyDescent="0.25">
      <c r="L228" s="164" t="str">
        <f>IFERROR(COUNTIF($B$19:B228,B228)&amp;CHOOSE(MIN(4,COUNTIF($B$19:B228,B228)),"st","nd","rd","th"),"")</f>
        <v/>
      </c>
    </row>
    <row r="229" spans="12:12" x14ac:dyDescent="0.25">
      <c r="L229" s="164" t="str">
        <f>IFERROR(COUNTIF($B$19:B229,B229)&amp;CHOOSE(MIN(4,COUNTIF($B$19:B229,B229)),"st","nd","rd","th"),"")</f>
        <v/>
      </c>
    </row>
    <row r="230" spans="12:12" x14ac:dyDescent="0.25">
      <c r="L230" s="164" t="str">
        <f>IFERROR(COUNTIF($B$19:B230,B230)&amp;CHOOSE(MIN(4,COUNTIF($B$19:B230,B230)),"st","nd","rd","th"),"")</f>
        <v/>
      </c>
    </row>
    <row r="231" spans="12:12" x14ac:dyDescent="0.25">
      <c r="L231" s="164" t="str">
        <f>IFERROR(COUNTIF($B$19:B231,B231)&amp;CHOOSE(MIN(4,COUNTIF($B$19:B231,B231)),"st","nd","rd","th"),"")</f>
        <v/>
      </c>
    </row>
    <row r="232" spans="12:12" x14ac:dyDescent="0.25">
      <c r="L232" s="164" t="str">
        <f>IFERROR(COUNTIF($B$19:B232,B232)&amp;CHOOSE(MIN(4,COUNTIF($B$19:B232,B232)),"st","nd","rd","th"),"")</f>
        <v/>
      </c>
    </row>
    <row r="233" spans="12:12" x14ac:dyDescent="0.25">
      <c r="L233" s="164" t="str">
        <f>IFERROR(COUNTIF($B$19:B233,B233)&amp;CHOOSE(MIN(4,COUNTIF($B$19:B233,B233)),"st","nd","rd","th"),"")</f>
        <v/>
      </c>
    </row>
    <row r="234" spans="12:12" x14ac:dyDescent="0.25">
      <c r="L234" s="164" t="str">
        <f>IFERROR(COUNTIF($B$19:B234,B234)&amp;CHOOSE(MIN(4,COUNTIF($B$19:B234,B234)),"st","nd","rd","th"),"")</f>
        <v/>
      </c>
    </row>
    <row r="235" spans="12:12" x14ac:dyDescent="0.25">
      <c r="L235" s="164" t="str">
        <f>IFERROR(COUNTIF($B$19:B235,B235)&amp;CHOOSE(MIN(4,COUNTIF($B$19:B235,B235)),"st","nd","rd","th"),"")</f>
        <v/>
      </c>
    </row>
    <row r="236" spans="12:12" x14ac:dyDescent="0.25">
      <c r="L236" s="164" t="str">
        <f>IFERROR(COUNTIF($B$19:B236,B236)&amp;CHOOSE(MIN(4,COUNTIF($B$19:B236,B236)),"st","nd","rd","th"),"")</f>
        <v/>
      </c>
    </row>
    <row r="237" spans="12:12" x14ac:dyDescent="0.25">
      <c r="L237" s="164" t="str">
        <f>IFERROR(COUNTIF($B$19:B237,B237)&amp;CHOOSE(MIN(4,COUNTIF($B$19:B237,B237)),"st","nd","rd","th"),"")</f>
        <v/>
      </c>
    </row>
    <row r="238" spans="12:12" x14ac:dyDescent="0.25">
      <c r="L238" s="164" t="str">
        <f>IFERROR(COUNTIF($B$19:B238,B238)&amp;CHOOSE(MIN(4,COUNTIF($B$19:B238,B238)),"st","nd","rd","th"),"")</f>
        <v/>
      </c>
    </row>
    <row r="239" spans="12:12" x14ac:dyDescent="0.25">
      <c r="L239" s="164" t="str">
        <f>IFERROR(COUNTIF($B$19:B239,B239)&amp;CHOOSE(MIN(4,COUNTIF($B$19:B239,B239)),"st","nd","rd","th"),"")</f>
        <v/>
      </c>
    </row>
    <row r="240" spans="12:12" x14ac:dyDescent="0.25">
      <c r="L240" s="164" t="str">
        <f>IFERROR(COUNTIF($B$19:B240,B240)&amp;CHOOSE(MIN(4,COUNTIF($B$19:B240,B240)),"st","nd","rd","th"),"")</f>
        <v/>
      </c>
    </row>
    <row r="241" spans="12:12" x14ac:dyDescent="0.25">
      <c r="L241" s="164" t="str">
        <f>IFERROR(COUNTIF($B$19:B241,B241)&amp;CHOOSE(MIN(4,COUNTIF($B$19:B241,B241)),"st","nd","rd","th"),"")</f>
        <v/>
      </c>
    </row>
    <row r="242" spans="12:12" x14ac:dyDescent="0.25">
      <c r="L242" s="164" t="str">
        <f>IFERROR(COUNTIF($B$19:B242,B242)&amp;CHOOSE(MIN(4,COUNTIF($B$19:B242,B242)),"st","nd","rd","th"),"")</f>
        <v/>
      </c>
    </row>
    <row r="243" spans="12:12" x14ac:dyDescent="0.25">
      <c r="L243" s="164" t="str">
        <f>IFERROR(COUNTIF($B$19:B243,B243)&amp;CHOOSE(MIN(4,COUNTIF($B$19:B243,B243)),"st","nd","rd","th"),"")</f>
        <v/>
      </c>
    </row>
    <row r="244" spans="12:12" x14ac:dyDescent="0.25">
      <c r="L244" s="164" t="str">
        <f>IFERROR(COUNTIF($B$19:B244,B244)&amp;CHOOSE(MIN(4,COUNTIF($B$19:B244,B244)),"st","nd","rd","th"),"")</f>
        <v/>
      </c>
    </row>
    <row r="245" spans="12:12" x14ac:dyDescent="0.25">
      <c r="L245" s="164" t="str">
        <f>IFERROR(COUNTIF($B$19:B245,B245)&amp;CHOOSE(MIN(4,COUNTIF($B$19:B245,B245)),"st","nd","rd","th"),"")</f>
        <v/>
      </c>
    </row>
    <row r="246" spans="12:12" x14ac:dyDescent="0.25">
      <c r="L246" s="164" t="str">
        <f>IFERROR(COUNTIF($B$19:B246,B246)&amp;CHOOSE(MIN(4,COUNTIF($B$19:B246,B246)),"st","nd","rd","th"),"")</f>
        <v/>
      </c>
    </row>
    <row r="247" spans="12:12" x14ac:dyDescent="0.25">
      <c r="L247" s="164" t="str">
        <f>IFERROR(COUNTIF($B$19:B247,B247)&amp;CHOOSE(MIN(4,COUNTIF($B$19:B247,B247)),"st","nd","rd","th"),"")</f>
        <v/>
      </c>
    </row>
    <row r="248" spans="12:12" x14ac:dyDescent="0.25">
      <c r="L248" s="164" t="str">
        <f>IFERROR(COUNTIF($B$19:B248,B248)&amp;CHOOSE(MIN(4,COUNTIF($B$19:B248,B248)),"st","nd","rd","th"),"")</f>
        <v/>
      </c>
    </row>
    <row r="249" spans="12:12" x14ac:dyDescent="0.25">
      <c r="L249" s="164" t="str">
        <f>IFERROR(COUNTIF($B$19:B249,B249)&amp;CHOOSE(MIN(4,COUNTIF($B$19:B249,B249)),"st","nd","rd","th"),"")</f>
        <v/>
      </c>
    </row>
    <row r="250" spans="12:12" x14ac:dyDescent="0.25">
      <c r="L250" s="164" t="str">
        <f>IFERROR(COUNTIF($B$19:B250,B250)&amp;CHOOSE(MIN(4,COUNTIF($B$19:B250,B250)),"st","nd","rd","th"),"")</f>
        <v/>
      </c>
    </row>
    <row r="251" spans="12:12" x14ac:dyDescent="0.25">
      <c r="L251" s="164" t="str">
        <f>IFERROR(COUNTIF($B$19:B251,B251)&amp;CHOOSE(MIN(4,COUNTIF($B$19:B251,B251)),"st","nd","rd","th"),"")</f>
        <v/>
      </c>
    </row>
    <row r="252" spans="12:12" x14ac:dyDescent="0.25">
      <c r="L252" s="164" t="str">
        <f>IFERROR(COUNTIF($B$19:B252,B252)&amp;CHOOSE(MIN(4,COUNTIF($B$19:B252,B252)),"st","nd","rd","th"),"")</f>
        <v/>
      </c>
    </row>
    <row r="253" spans="12:12" x14ac:dyDescent="0.25">
      <c r="L253" s="164" t="str">
        <f>IFERROR(COUNTIF($B$19:B253,B253)&amp;CHOOSE(MIN(4,COUNTIF($B$19:B253,B253)),"st","nd","rd","th"),"")</f>
        <v/>
      </c>
    </row>
    <row r="254" spans="12:12" x14ac:dyDescent="0.25">
      <c r="L254" s="164" t="str">
        <f>IFERROR(COUNTIF($B$19:B254,B254)&amp;CHOOSE(MIN(4,COUNTIF($B$19:B254,B254)),"st","nd","rd","th"),"")</f>
        <v/>
      </c>
    </row>
    <row r="255" spans="12:12" x14ac:dyDescent="0.25">
      <c r="L255" s="164" t="str">
        <f>IFERROR(COUNTIF($B$19:B255,B255)&amp;CHOOSE(MIN(4,COUNTIF($B$19:B255,B255)),"st","nd","rd","th"),"")</f>
        <v/>
      </c>
    </row>
    <row r="256" spans="12:12" x14ac:dyDescent="0.25">
      <c r="L256" s="164" t="str">
        <f>IFERROR(COUNTIF($B$19:B256,B256)&amp;CHOOSE(MIN(4,COUNTIF($B$19:B256,B256)),"st","nd","rd","th"),"")</f>
        <v/>
      </c>
    </row>
    <row r="257" spans="12:12" x14ac:dyDescent="0.25">
      <c r="L257" s="164" t="str">
        <f>IFERROR(COUNTIF($B$19:B257,B257)&amp;CHOOSE(MIN(4,COUNTIF($B$19:B257,B257)),"st","nd","rd","th"),"")</f>
        <v/>
      </c>
    </row>
    <row r="258" spans="12:12" x14ac:dyDescent="0.25">
      <c r="L258" s="164" t="str">
        <f>IFERROR(COUNTIF($B$19:B258,B258)&amp;CHOOSE(MIN(4,COUNTIF($B$19:B258,B258)),"st","nd","rd","th"),"")</f>
        <v/>
      </c>
    </row>
    <row r="259" spans="12:12" x14ac:dyDescent="0.25">
      <c r="L259" s="164" t="str">
        <f>IFERROR(COUNTIF($B$19:B259,B259)&amp;CHOOSE(MIN(4,COUNTIF($B$19:B259,B259)),"st","nd","rd","th"),"")</f>
        <v/>
      </c>
    </row>
    <row r="260" spans="12:12" x14ac:dyDescent="0.25">
      <c r="L260" s="164" t="str">
        <f>IFERROR(COUNTIF($B$19:B260,B260)&amp;CHOOSE(MIN(4,COUNTIF($B$19:B260,B260)),"st","nd","rd","th"),"")</f>
        <v/>
      </c>
    </row>
    <row r="261" spans="12:12" x14ac:dyDescent="0.25">
      <c r="L261" s="164" t="str">
        <f>IFERROR(COUNTIF($B$19:B261,B261)&amp;CHOOSE(MIN(4,COUNTIF($B$19:B261,B261)),"st","nd","rd","th"),"")</f>
        <v/>
      </c>
    </row>
    <row r="262" spans="12:12" x14ac:dyDescent="0.25">
      <c r="L262" s="164" t="str">
        <f>IFERROR(COUNTIF($B$19:B262,B262)&amp;CHOOSE(MIN(4,COUNTIF($B$19:B262,B262)),"st","nd","rd","th"),"")</f>
        <v/>
      </c>
    </row>
    <row r="263" spans="12:12" x14ac:dyDescent="0.25">
      <c r="L263" s="164" t="str">
        <f>IFERROR(COUNTIF($B$19:B263,B263)&amp;CHOOSE(MIN(4,COUNTIF($B$19:B263,B263)),"st","nd","rd","th"),"")</f>
        <v/>
      </c>
    </row>
    <row r="264" spans="12:12" x14ac:dyDescent="0.25">
      <c r="L264" s="164" t="str">
        <f>IFERROR(COUNTIF($B$19:B264,B264)&amp;CHOOSE(MIN(4,COUNTIF($B$19:B264,B264)),"st","nd","rd","th"),"")</f>
        <v/>
      </c>
    </row>
    <row r="265" spans="12:12" x14ac:dyDescent="0.25">
      <c r="L265" s="164" t="str">
        <f>IFERROR(COUNTIF($B$19:B265,B265)&amp;CHOOSE(MIN(4,COUNTIF($B$19:B265,B265)),"st","nd","rd","th"),"")</f>
        <v/>
      </c>
    </row>
    <row r="266" spans="12:12" x14ac:dyDescent="0.25">
      <c r="L266" s="164" t="str">
        <f>IFERROR(COUNTIF($B$19:B266,B266)&amp;CHOOSE(MIN(4,COUNTIF($B$19:B266,B266)),"st","nd","rd","th"),"")</f>
        <v/>
      </c>
    </row>
    <row r="267" spans="12:12" x14ac:dyDescent="0.25">
      <c r="L267" s="164" t="str">
        <f>IFERROR(COUNTIF($B$19:B267,B267)&amp;CHOOSE(MIN(4,COUNTIF($B$19:B267,B267)),"st","nd","rd","th"),"")</f>
        <v/>
      </c>
    </row>
    <row r="268" spans="12:12" x14ac:dyDescent="0.25">
      <c r="L268" s="164" t="str">
        <f>IFERROR(COUNTIF($B$19:B268,B268)&amp;CHOOSE(MIN(4,COUNTIF($B$19:B268,B268)),"st","nd","rd","th"),"")</f>
        <v/>
      </c>
    </row>
    <row r="269" spans="12:12" x14ac:dyDescent="0.25">
      <c r="L269" s="164" t="str">
        <f>IFERROR(COUNTIF($B$19:B269,B269)&amp;CHOOSE(MIN(4,COUNTIF($B$19:B269,B269)),"st","nd","rd","th"),"")</f>
        <v/>
      </c>
    </row>
    <row r="270" spans="12:12" x14ac:dyDescent="0.25">
      <c r="L270" s="164" t="str">
        <f>IFERROR(COUNTIF($B$19:B270,B270)&amp;CHOOSE(MIN(4,COUNTIF($B$19:B270,B270)),"st","nd","rd","th"),"")</f>
        <v/>
      </c>
    </row>
    <row r="271" spans="12:12" x14ac:dyDescent="0.25">
      <c r="L271" s="164" t="str">
        <f>IFERROR(COUNTIF($B$19:B271,B271)&amp;CHOOSE(MIN(4,COUNTIF($B$19:B271,B271)),"st","nd","rd","th"),"")</f>
        <v/>
      </c>
    </row>
    <row r="272" spans="12:12" x14ac:dyDescent="0.25">
      <c r="L272" s="164" t="str">
        <f>IFERROR(COUNTIF($B$19:B272,B272)&amp;CHOOSE(MIN(4,COUNTIF($B$19:B272,B272)),"st","nd","rd","th"),"")</f>
        <v/>
      </c>
    </row>
    <row r="273" spans="12:12" x14ac:dyDescent="0.25">
      <c r="L273" s="164" t="str">
        <f>IFERROR(COUNTIF($B$19:B273,B273)&amp;CHOOSE(MIN(4,COUNTIF($B$19:B273,B273)),"st","nd","rd","th"),"")</f>
        <v/>
      </c>
    </row>
    <row r="274" spans="12:12" x14ac:dyDescent="0.25">
      <c r="L274" s="164" t="str">
        <f>IFERROR(COUNTIF($B$19:B274,B274)&amp;CHOOSE(MIN(4,COUNTIF($B$19:B274,B274)),"st","nd","rd","th"),"")</f>
        <v/>
      </c>
    </row>
    <row r="275" spans="12:12" x14ac:dyDescent="0.25">
      <c r="L275" s="164" t="str">
        <f>IFERROR(COUNTIF($B$19:B275,B275)&amp;CHOOSE(MIN(4,COUNTIF($B$19:B275,B275)),"st","nd","rd","th"),"")</f>
        <v/>
      </c>
    </row>
    <row r="276" spans="12:12" x14ac:dyDescent="0.25">
      <c r="L276" s="164" t="str">
        <f>IFERROR(COUNTIF($B$19:B276,B276)&amp;CHOOSE(MIN(4,COUNTIF($B$19:B276,B276)),"st","nd","rd","th"),"")</f>
        <v/>
      </c>
    </row>
    <row r="277" spans="12:12" x14ac:dyDescent="0.25">
      <c r="L277" s="164" t="str">
        <f>IFERROR(COUNTIF($B$19:B277,B277)&amp;CHOOSE(MIN(4,COUNTIF($B$19:B277,B277)),"st","nd","rd","th"),"")</f>
        <v/>
      </c>
    </row>
    <row r="278" spans="12:12" x14ac:dyDescent="0.25">
      <c r="L278" s="164" t="str">
        <f>IFERROR(COUNTIF($B$19:B278,B278)&amp;CHOOSE(MIN(4,COUNTIF($B$19:B278,B278)),"st","nd","rd","th"),"")</f>
        <v/>
      </c>
    </row>
    <row r="279" spans="12:12" x14ac:dyDescent="0.25">
      <c r="L279" s="164" t="str">
        <f>IFERROR(COUNTIF($B$19:B279,B279)&amp;CHOOSE(MIN(4,COUNTIF($B$19:B279,B279)),"st","nd","rd","th"),"")</f>
        <v/>
      </c>
    </row>
    <row r="280" spans="12:12" x14ac:dyDescent="0.25">
      <c r="L280" s="164" t="str">
        <f>IFERROR(COUNTIF($B$19:B280,B280)&amp;CHOOSE(MIN(4,COUNTIF($B$19:B280,B280)),"st","nd","rd","th"),"")</f>
        <v/>
      </c>
    </row>
    <row r="281" spans="12:12" x14ac:dyDescent="0.25">
      <c r="L281" s="164" t="str">
        <f>IFERROR(COUNTIF($B$19:B281,B281)&amp;CHOOSE(MIN(4,COUNTIF($B$19:B281,B281)),"st","nd","rd","th"),"")</f>
        <v/>
      </c>
    </row>
    <row r="282" spans="12:12" x14ac:dyDescent="0.25">
      <c r="L282" s="164" t="str">
        <f>IFERROR(COUNTIF($B$19:B282,B282)&amp;CHOOSE(MIN(4,COUNTIF($B$19:B282,B282)),"st","nd","rd","th"),"")</f>
        <v/>
      </c>
    </row>
    <row r="283" spans="12:12" x14ac:dyDescent="0.25">
      <c r="L283" s="164" t="str">
        <f>IFERROR(COUNTIF($B$19:B283,B283)&amp;CHOOSE(MIN(4,COUNTIF($B$19:B283,B283)),"st","nd","rd","th"),"")</f>
        <v/>
      </c>
    </row>
    <row r="284" spans="12:12" x14ac:dyDescent="0.25">
      <c r="L284" s="164" t="str">
        <f>IFERROR(COUNTIF($B$19:B284,B284)&amp;CHOOSE(MIN(4,COUNTIF($B$19:B284,B284)),"st","nd","rd","th"),"")</f>
        <v/>
      </c>
    </row>
    <row r="285" spans="12:12" x14ac:dyDescent="0.25">
      <c r="L285" s="164" t="str">
        <f>IFERROR(COUNTIF($B$19:B285,B285)&amp;CHOOSE(MIN(4,COUNTIF($B$19:B285,B285)),"st","nd","rd","th"),"")</f>
        <v/>
      </c>
    </row>
    <row r="286" spans="12:12" x14ac:dyDescent="0.25">
      <c r="L286" s="164" t="str">
        <f>IFERROR(COUNTIF($B$19:B286,B286)&amp;CHOOSE(MIN(4,COUNTIF($B$19:B286,B286)),"st","nd","rd","th"),"")</f>
        <v/>
      </c>
    </row>
    <row r="287" spans="12:12" x14ac:dyDescent="0.25">
      <c r="L287" s="164" t="str">
        <f>IFERROR(COUNTIF($B$19:B287,B287)&amp;CHOOSE(MIN(4,COUNTIF($B$19:B287,B287)),"st","nd","rd","th"),"")</f>
        <v/>
      </c>
    </row>
    <row r="288" spans="12:12" x14ac:dyDescent="0.25">
      <c r="L288" s="164" t="str">
        <f>IFERROR(COUNTIF($B$19:B288,B288)&amp;CHOOSE(MIN(4,COUNTIF($B$19:B288,B288)),"st","nd","rd","th"),"")</f>
        <v/>
      </c>
    </row>
    <row r="289" spans="12:12" x14ac:dyDescent="0.25">
      <c r="L289" s="164" t="str">
        <f>IFERROR(COUNTIF($B$19:B289,B289)&amp;CHOOSE(MIN(4,COUNTIF($B$19:B289,B289)),"st","nd","rd","th"),"")</f>
        <v/>
      </c>
    </row>
    <row r="290" spans="12:12" x14ac:dyDescent="0.25">
      <c r="L290" s="164" t="str">
        <f>IFERROR(COUNTIF($B$19:B290,B290)&amp;CHOOSE(MIN(4,COUNTIF($B$19:B290,B290)),"st","nd","rd","th"),"")</f>
        <v/>
      </c>
    </row>
    <row r="291" spans="12:12" x14ac:dyDescent="0.25">
      <c r="L291" s="164" t="str">
        <f>IFERROR(COUNTIF($B$19:B291,B291)&amp;CHOOSE(MIN(4,COUNTIF($B$19:B291,B291)),"st","nd","rd","th"),"")</f>
        <v/>
      </c>
    </row>
    <row r="292" spans="12:12" x14ac:dyDescent="0.25">
      <c r="L292" s="164" t="str">
        <f>IFERROR(COUNTIF($B$19:B292,B292)&amp;CHOOSE(MIN(4,COUNTIF($B$19:B292,B292)),"st","nd","rd","th"),"")</f>
        <v/>
      </c>
    </row>
    <row r="293" spans="12:12" x14ac:dyDescent="0.25">
      <c r="L293" s="164" t="str">
        <f>IFERROR(COUNTIF($B$19:B293,B293)&amp;CHOOSE(MIN(4,COUNTIF($B$19:B293,B293)),"st","nd","rd","th"),"")</f>
        <v/>
      </c>
    </row>
    <row r="294" spans="12:12" x14ac:dyDescent="0.25">
      <c r="L294" s="164" t="str">
        <f>IFERROR(COUNTIF($B$19:B294,B294)&amp;CHOOSE(MIN(4,COUNTIF($B$19:B294,B294)),"st","nd","rd","th"),"")</f>
        <v/>
      </c>
    </row>
    <row r="295" spans="12:12" x14ac:dyDescent="0.25">
      <c r="L295" s="164" t="str">
        <f>IFERROR(COUNTIF($B$19:B295,B295)&amp;CHOOSE(MIN(4,COUNTIF($B$19:B295,B295)),"st","nd","rd","th"),"")</f>
        <v/>
      </c>
    </row>
    <row r="296" spans="12:12" x14ac:dyDescent="0.25">
      <c r="L296" s="164" t="str">
        <f>IFERROR(COUNTIF($B$19:B296,B296)&amp;CHOOSE(MIN(4,COUNTIF($B$19:B296,B296)),"st","nd","rd","th"),"")</f>
        <v/>
      </c>
    </row>
    <row r="297" spans="12:12" x14ac:dyDescent="0.25">
      <c r="L297" s="164" t="str">
        <f>IFERROR(COUNTIF($B$19:B297,B297)&amp;CHOOSE(MIN(4,COUNTIF($B$19:B297,B297)),"st","nd","rd","th"),"")</f>
        <v/>
      </c>
    </row>
    <row r="298" spans="12:12" x14ac:dyDescent="0.25">
      <c r="L298" s="164" t="str">
        <f>IFERROR(COUNTIF($B$19:B298,B298)&amp;CHOOSE(MIN(4,COUNTIF($B$19:B298,B298)),"st","nd","rd","th"),"")</f>
        <v/>
      </c>
    </row>
    <row r="299" spans="12:12" x14ac:dyDescent="0.25">
      <c r="L299" s="164" t="str">
        <f>IFERROR(COUNTIF($B$19:B299,B299)&amp;CHOOSE(MIN(4,COUNTIF($B$19:B299,B299)),"st","nd","rd","th"),"")</f>
        <v/>
      </c>
    </row>
    <row r="300" spans="12:12" x14ac:dyDescent="0.25">
      <c r="L300" s="164" t="str">
        <f>IFERROR(COUNTIF($B$19:B300,B300)&amp;CHOOSE(MIN(4,COUNTIF($B$19:B300,B300)),"st","nd","rd","th"),"")</f>
        <v/>
      </c>
    </row>
    <row r="301" spans="12:12" x14ac:dyDescent="0.25">
      <c r="L301" s="164" t="str">
        <f>IFERROR(COUNTIF($B$19:B301,B301)&amp;CHOOSE(MIN(4,COUNTIF($B$19:B301,B301)),"st","nd","rd","th"),"")</f>
        <v/>
      </c>
    </row>
    <row r="302" spans="12:12" x14ac:dyDescent="0.25">
      <c r="L302" s="164" t="str">
        <f>IFERROR(COUNTIF($B$19:B302,B302)&amp;CHOOSE(MIN(4,COUNTIF($B$19:B302,B302)),"st","nd","rd","th"),"")</f>
        <v/>
      </c>
    </row>
    <row r="303" spans="12:12" x14ac:dyDescent="0.25">
      <c r="L303" s="164" t="str">
        <f>IFERROR(COUNTIF($B$19:B303,B303)&amp;CHOOSE(MIN(4,COUNTIF($B$19:B303,B303)),"st","nd","rd","th"),"")</f>
        <v/>
      </c>
    </row>
    <row r="304" spans="12:12" x14ac:dyDescent="0.25">
      <c r="L304" s="164" t="str">
        <f>IFERROR(COUNTIF($B$19:B304,B304)&amp;CHOOSE(MIN(4,COUNTIF($B$19:B304,B304)),"st","nd","rd","th"),"")</f>
        <v/>
      </c>
    </row>
    <row r="305" spans="12:12" x14ac:dyDescent="0.25">
      <c r="L305" s="164" t="str">
        <f>IFERROR(COUNTIF($B$19:B305,B305)&amp;CHOOSE(MIN(4,COUNTIF($B$19:B305,B305)),"st","nd","rd","th"),"")</f>
        <v/>
      </c>
    </row>
    <row r="306" spans="12:12" x14ac:dyDescent="0.25">
      <c r="L306" s="164" t="str">
        <f>IFERROR(COUNTIF($B$19:B306,B306)&amp;CHOOSE(MIN(4,COUNTIF($B$19:B306,B306)),"st","nd","rd","th"),"")</f>
        <v/>
      </c>
    </row>
    <row r="307" spans="12:12" x14ac:dyDescent="0.25">
      <c r="L307" s="164" t="str">
        <f>IFERROR(COUNTIF($B$19:B307,B307)&amp;CHOOSE(MIN(4,COUNTIF($B$19:B307,B307)),"st","nd","rd","th"),"")</f>
        <v/>
      </c>
    </row>
    <row r="308" spans="12:12" x14ac:dyDescent="0.25">
      <c r="L308" s="164" t="str">
        <f>IFERROR(COUNTIF($B$19:B308,B308)&amp;CHOOSE(MIN(4,COUNTIF($B$19:B308,B308)),"st","nd","rd","th"),"")</f>
        <v/>
      </c>
    </row>
    <row r="309" spans="12:12" x14ac:dyDescent="0.25">
      <c r="L309" s="164" t="str">
        <f>IFERROR(COUNTIF($B$19:B309,B309)&amp;CHOOSE(MIN(4,COUNTIF($B$19:B309,B309)),"st","nd","rd","th"),"")</f>
        <v/>
      </c>
    </row>
    <row r="310" spans="12:12" x14ac:dyDescent="0.25">
      <c r="L310" s="164" t="str">
        <f>IFERROR(COUNTIF($B$19:B310,B310)&amp;CHOOSE(MIN(4,COUNTIF($B$19:B310,B310)),"st","nd","rd","th"),"")</f>
        <v/>
      </c>
    </row>
    <row r="311" spans="12:12" x14ac:dyDescent="0.25">
      <c r="L311" s="164" t="str">
        <f>IFERROR(COUNTIF($B$19:B311,B311)&amp;CHOOSE(MIN(4,COUNTIF($B$19:B311,B311)),"st","nd","rd","th"),"")</f>
        <v/>
      </c>
    </row>
    <row r="312" spans="12:12" x14ac:dyDescent="0.25">
      <c r="L312" s="164" t="str">
        <f>IFERROR(COUNTIF($B$19:B312,B312)&amp;CHOOSE(MIN(4,COUNTIF($B$19:B312,B312)),"st","nd","rd","th"),"")</f>
        <v/>
      </c>
    </row>
    <row r="313" spans="12:12" x14ac:dyDescent="0.25">
      <c r="L313" s="164" t="str">
        <f>IFERROR(COUNTIF($B$19:B313,B313)&amp;CHOOSE(MIN(4,COUNTIF($B$19:B313,B313)),"st","nd","rd","th"),"")</f>
        <v/>
      </c>
    </row>
    <row r="314" spans="12:12" x14ac:dyDescent="0.25">
      <c r="L314" s="164" t="str">
        <f>IFERROR(COUNTIF($B$19:B314,B314)&amp;CHOOSE(MIN(4,COUNTIF($B$19:B314,B314)),"st","nd","rd","th"),"")</f>
        <v/>
      </c>
    </row>
    <row r="315" spans="12:12" x14ac:dyDescent="0.25">
      <c r="L315" s="164" t="str">
        <f>IFERROR(COUNTIF($B$19:B315,B315)&amp;CHOOSE(MIN(4,COUNTIF($B$19:B315,B315)),"st","nd","rd","th"),"")</f>
        <v/>
      </c>
    </row>
    <row r="316" spans="12:12" x14ac:dyDescent="0.25">
      <c r="L316" s="164" t="str">
        <f>IFERROR(COUNTIF($B$19:B316,B316)&amp;CHOOSE(MIN(4,COUNTIF($B$19:B316,B316)),"st","nd","rd","th"),"")</f>
        <v/>
      </c>
    </row>
    <row r="317" spans="12:12" x14ac:dyDescent="0.25">
      <c r="L317" s="164" t="str">
        <f>IFERROR(COUNTIF($B$19:B317,B317)&amp;CHOOSE(MIN(4,COUNTIF($B$19:B317,B317)),"st","nd","rd","th"),"")</f>
        <v/>
      </c>
    </row>
    <row r="318" spans="12:12" x14ac:dyDescent="0.25">
      <c r="L318" s="164" t="str">
        <f>IFERROR(COUNTIF($B$19:B318,B318)&amp;CHOOSE(MIN(4,COUNTIF($B$19:B318,B318)),"st","nd","rd","th"),"")</f>
        <v/>
      </c>
    </row>
    <row r="319" spans="12:12" x14ac:dyDescent="0.25">
      <c r="L319" s="164" t="str">
        <f>IFERROR(COUNTIF($B$19:B319,B319)&amp;CHOOSE(MIN(4,COUNTIF($B$19:B319,B319)),"st","nd","rd","th"),"")</f>
        <v/>
      </c>
    </row>
    <row r="320" spans="12:12" x14ac:dyDescent="0.25">
      <c r="L320" s="164" t="str">
        <f>IFERROR(COUNTIF($B$19:B320,B320)&amp;CHOOSE(MIN(4,COUNTIF($B$19:B320,B320)),"st","nd","rd","th"),"")</f>
        <v/>
      </c>
    </row>
    <row r="321" spans="12:12" x14ac:dyDescent="0.25">
      <c r="L321" s="164" t="str">
        <f>IFERROR(COUNTIF($B$19:B321,B321)&amp;CHOOSE(MIN(4,COUNTIF($B$19:B321,B321)),"st","nd","rd","th"),"")</f>
        <v/>
      </c>
    </row>
    <row r="322" spans="12:12" x14ac:dyDescent="0.25">
      <c r="L322" s="164" t="str">
        <f>IFERROR(COUNTIF($B$19:B322,B322)&amp;CHOOSE(MIN(4,COUNTIF($B$19:B322,B322)),"st","nd","rd","th"),"")</f>
        <v/>
      </c>
    </row>
    <row r="323" spans="12:12" x14ac:dyDescent="0.25">
      <c r="L323" s="164" t="str">
        <f>IFERROR(COUNTIF($B$19:B323,B323)&amp;CHOOSE(MIN(4,COUNTIF($B$19:B323,B323)),"st","nd","rd","th"),"")</f>
        <v/>
      </c>
    </row>
    <row r="324" spans="12:12" x14ac:dyDescent="0.25">
      <c r="L324" s="164" t="str">
        <f>IFERROR(COUNTIF($B$19:B324,B324)&amp;CHOOSE(MIN(4,COUNTIF($B$19:B324,B324)),"st","nd","rd","th"),"")</f>
        <v/>
      </c>
    </row>
    <row r="325" spans="12:12" x14ac:dyDescent="0.25">
      <c r="L325" s="164" t="str">
        <f>IFERROR(COUNTIF($B$19:B325,B325)&amp;CHOOSE(MIN(4,COUNTIF($B$19:B325,B325)),"st","nd","rd","th"),"")</f>
        <v/>
      </c>
    </row>
    <row r="326" spans="12:12" x14ac:dyDescent="0.25">
      <c r="L326" s="164" t="str">
        <f>IFERROR(COUNTIF($B$19:B326,B326)&amp;CHOOSE(MIN(4,COUNTIF($B$19:B326,B326)),"st","nd","rd","th"),"")</f>
        <v/>
      </c>
    </row>
    <row r="327" spans="12:12" x14ac:dyDescent="0.25">
      <c r="L327" s="164" t="str">
        <f>IFERROR(COUNTIF($B$19:B327,B327)&amp;CHOOSE(MIN(4,COUNTIF($B$19:B327,B327)),"st","nd","rd","th"),"")</f>
        <v/>
      </c>
    </row>
    <row r="328" spans="12:12" x14ac:dyDescent="0.25">
      <c r="L328" s="164" t="str">
        <f>IFERROR(COUNTIF($B$19:B328,B328)&amp;CHOOSE(MIN(4,COUNTIF($B$19:B328,B328)),"st","nd","rd","th"),"")</f>
        <v/>
      </c>
    </row>
    <row r="329" spans="12:12" x14ac:dyDescent="0.25">
      <c r="L329" s="164" t="str">
        <f>IFERROR(COUNTIF($B$19:B329,B329)&amp;CHOOSE(MIN(4,COUNTIF($B$19:B329,B329)),"st","nd","rd","th"),"")</f>
        <v/>
      </c>
    </row>
    <row r="330" spans="12:12" x14ac:dyDescent="0.25">
      <c r="L330" s="164" t="str">
        <f>IFERROR(COUNTIF($B$19:B330,B330)&amp;CHOOSE(MIN(4,COUNTIF($B$19:B330,B330)),"st","nd","rd","th"),"")</f>
        <v/>
      </c>
    </row>
    <row r="331" spans="12:12" x14ac:dyDescent="0.25">
      <c r="L331" s="164" t="str">
        <f>IFERROR(COUNTIF($B$19:B331,B331)&amp;CHOOSE(MIN(4,COUNTIF($B$19:B331,B331)),"st","nd","rd","th"),"")</f>
        <v/>
      </c>
    </row>
    <row r="332" spans="12:12" x14ac:dyDescent="0.25">
      <c r="L332" s="164" t="str">
        <f>IFERROR(COUNTIF($B$19:B332,B332)&amp;CHOOSE(MIN(4,COUNTIF($B$19:B332,B332)),"st","nd","rd","th"),"")</f>
        <v/>
      </c>
    </row>
    <row r="333" spans="12:12" x14ac:dyDescent="0.25">
      <c r="L333" s="164" t="str">
        <f>IFERROR(COUNTIF($B$19:B333,B333)&amp;CHOOSE(MIN(4,COUNTIF($B$19:B333,B333)),"st","nd","rd","th"),"")</f>
        <v/>
      </c>
    </row>
    <row r="334" spans="12:12" x14ac:dyDescent="0.25">
      <c r="L334" s="164" t="str">
        <f>IFERROR(COUNTIF($B$19:B334,B334)&amp;CHOOSE(MIN(4,COUNTIF($B$19:B334,B334)),"st","nd","rd","th"),"")</f>
        <v/>
      </c>
    </row>
    <row r="335" spans="12:12" x14ac:dyDescent="0.25">
      <c r="L335" s="164" t="str">
        <f>IFERROR(COUNTIF($B$19:B335,B335)&amp;CHOOSE(MIN(4,COUNTIF($B$19:B335,B335)),"st","nd","rd","th"),"")</f>
        <v/>
      </c>
    </row>
    <row r="336" spans="12:12" x14ac:dyDescent="0.25">
      <c r="L336" s="164" t="str">
        <f>IFERROR(COUNTIF($B$19:B336,B336)&amp;CHOOSE(MIN(4,COUNTIF($B$19:B336,B336)),"st","nd","rd","th"),"")</f>
        <v/>
      </c>
    </row>
    <row r="337" spans="12:12" x14ac:dyDescent="0.25">
      <c r="L337" s="164" t="str">
        <f>IFERROR(COUNTIF($B$19:B337,B337)&amp;CHOOSE(MIN(4,COUNTIF($B$19:B337,B337)),"st","nd","rd","th"),"")</f>
        <v/>
      </c>
    </row>
    <row r="338" spans="12:12" x14ac:dyDescent="0.25">
      <c r="L338" s="164" t="str">
        <f>IFERROR(COUNTIF($B$19:B338,B338)&amp;CHOOSE(MIN(4,COUNTIF($B$19:B338,B338)),"st","nd","rd","th"),"")</f>
        <v/>
      </c>
    </row>
    <row r="339" spans="12:12" x14ac:dyDescent="0.25">
      <c r="L339" s="164" t="str">
        <f>IFERROR(COUNTIF($B$19:B339,B339)&amp;CHOOSE(MIN(4,COUNTIF($B$19:B339,B339)),"st","nd","rd","th"),"")</f>
        <v/>
      </c>
    </row>
    <row r="340" spans="12:12" x14ac:dyDescent="0.25">
      <c r="L340" s="164" t="str">
        <f>IFERROR(COUNTIF($B$19:B340,B340)&amp;CHOOSE(MIN(4,COUNTIF($B$19:B340,B340)),"st","nd","rd","th"),"")</f>
        <v/>
      </c>
    </row>
    <row r="341" spans="12:12" x14ac:dyDescent="0.25">
      <c r="L341" s="164" t="str">
        <f>IFERROR(COUNTIF($B$19:B341,B341)&amp;CHOOSE(MIN(4,COUNTIF($B$19:B341,B341)),"st","nd","rd","th"),"")</f>
        <v/>
      </c>
    </row>
    <row r="342" spans="12:12" x14ac:dyDescent="0.25">
      <c r="L342" s="164" t="str">
        <f>IFERROR(COUNTIF($B$19:B342,B342)&amp;CHOOSE(MIN(4,COUNTIF($B$19:B342,B342)),"st","nd","rd","th"),"")</f>
        <v/>
      </c>
    </row>
    <row r="343" spans="12:12" x14ac:dyDescent="0.25">
      <c r="L343" s="164" t="str">
        <f>IFERROR(COUNTIF($B$19:B343,B343)&amp;CHOOSE(MIN(4,COUNTIF($B$19:B343,B343)),"st","nd","rd","th"),"")</f>
        <v/>
      </c>
    </row>
    <row r="344" spans="12:12" x14ac:dyDescent="0.25">
      <c r="L344" s="164" t="str">
        <f>IFERROR(COUNTIF($B$19:B344,B344)&amp;CHOOSE(MIN(4,COUNTIF($B$19:B344,B344)),"st","nd","rd","th"),"")</f>
        <v/>
      </c>
    </row>
    <row r="345" spans="12:12" x14ac:dyDescent="0.25">
      <c r="L345" s="164" t="str">
        <f>IFERROR(COUNTIF($B$19:B345,B345)&amp;CHOOSE(MIN(4,COUNTIF($B$19:B345,B345)),"st","nd","rd","th"),"")</f>
        <v/>
      </c>
    </row>
    <row r="346" spans="12:12" x14ac:dyDescent="0.25">
      <c r="L346" s="164" t="str">
        <f>IFERROR(COUNTIF($B$19:B346,B346)&amp;CHOOSE(MIN(4,COUNTIF($B$19:B346,B346)),"st","nd","rd","th"),"")</f>
        <v/>
      </c>
    </row>
    <row r="347" spans="12:12" x14ac:dyDescent="0.25">
      <c r="L347" s="164" t="str">
        <f>IFERROR(COUNTIF($B$19:B347,B347)&amp;CHOOSE(MIN(4,COUNTIF($B$19:B347,B347)),"st","nd","rd","th"),"")</f>
        <v/>
      </c>
    </row>
    <row r="348" spans="12:12" x14ac:dyDescent="0.25">
      <c r="L348" s="164" t="str">
        <f>IFERROR(COUNTIF($B$19:B348,B348)&amp;CHOOSE(MIN(4,COUNTIF($B$19:B348,B348)),"st","nd","rd","th"),"")</f>
        <v/>
      </c>
    </row>
    <row r="349" spans="12:12" x14ac:dyDescent="0.25">
      <c r="L349" s="164" t="str">
        <f>IFERROR(COUNTIF($B$19:B349,B349)&amp;CHOOSE(MIN(4,COUNTIF($B$19:B349,B349)),"st","nd","rd","th"),"")</f>
        <v/>
      </c>
    </row>
    <row r="350" spans="12:12" x14ac:dyDescent="0.25">
      <c r="L350" s="164" t="str">
        <f>IFERROR(COUNTIF($B$19:B350,B350)&amp;CHOOSE(MIN(4,COUNTIF($B$19:B350,B350)),"st","nd","rd","th"),"")</f>
        <v/>
      </c>
    </row>
    <row r="351" spans="12:12" x14ac:dyDescent="0.25">
      <c r="L351" s="164" t="str">
        <f>IFERROR(COUNTIF($B$19:B351,B351)&amp;CHOOSE(MIN(4,COUNTIF($B$19:B351,B351)),"st","nd","rd","th"),"")</f>
        <v/>
      </c>
    </row>
    <row r="352" spans="12:12" x14ac:dyDescent="0.25">
      <c r="L352" s="164" t="str">
        <f>IFERROR(COUNTIF($B$19:B352,B352)&amp;CHOOSE(MIN(4,COUNTIF($B$19:B352,B352)),"st","nd","rd","th"),"")</f>
        <v/>
      </c>
    </row>
    <row r="353" spans="12:12" x14ac:dyDescent="0.25">
      <c r="L353" s="164" t="str">
        <f>IFERROR(COUNTIF($B$19:B353,B353)&amp;CHOOSE(MIN(4,COUNTIF($B$19:B353,B353)),"st","nd","rd","th"),"")</f>
        <v/>
      </c>
    </row>
    <row r="354" spans="12:12" x14ac:dyDescent="0.25">
      <c r="L354" s="164" t="str">
        <f>IFERROR(COUNTIF($B$19:B354,B354)&amp;CHOOSE(MIN(4,COUNTIF($B$19:B354,B354)),"st","nd","rd","th"),"")</f>
        <v/>
      </c>
    </row>
    <row r="355" spans="12:12" x14ac:dyDescent="0.25">
      <c r="L355" s="164" t="str">
        <f>IFERROR(COUNTIF($B$19:B355,B355)&amp;CHOOSE(MIN(4,COUNTIF($B$19:B355,B355)),"st","nd","rd","th"),"")</f>
        <v/>
      </c>
    </row>
    <row r="356" spans="12:12" x14ac:dyDescent="0.25">
      <c r="L356" s="164" t="str">
        <f>IFERROR(COUNTIF($B$19:B356,B356)&amp;CHOOSE(MIN(4,COUNTIF($B$19:B356,B356)),"st","nd","rd","th"),"")</f>
        <v/>
      </c>
    </row>
    <row r="357" spans="12:12" x14ac:dyDescent="0.25">
      <c r="L357" s="164" t="str">
        <f>IFERROR(COUNTIF($B$19:B357,B357)&amp;CHOOSE(MIN(4,COUNTIF($B$19:B357,B357)),"st","nd","rd","th"),"")</f>
        <v/>
      </c>
    </row>
    <row r="358" spans="12:12" x14ac:dyDescent="0.25">
      <c r="L358" s="164" t="str">
        <f>IFERROR(COUNTIF($B$19:B358,B358)&amp;CHOOSE(MIN(4,COUNTIF($B$19:B358,B358)),"st","nd","rd","th"),"")</f>
        <v/>
      </c>
    </row>
    <row r="359" spans="12:12" x14ac:dyDescent="0.25">
      <c r="L359" s="164" t="str">
        <f>IFERROR(COUNTIF($B$19:B359,B359)&amp;CHOOSE(MIN(4,COUNTIF($B$19:B359,B359)),"st","nd","rd","th"),"")</f>
        <v/>
      </c>
    </row>
    <row r="360" spans="12:12" x14ac:dyDescent="0.25">
      <c r="L360" s="164" t="str">
        <f>IFERROR(COUNTIF($B$19:B360,B360)&amp;CHOOSE(MIN(4,COUNTIF($B$19:B360,B360)),"st","nd","rd","th"),"")</f>
        <v/>
      </c>
    </row>
    <row r="361" spans="12:12" x14ac:dyDescent="0.25">
      <c r="L361" s="164" t="str">
        <f>IFERROR(COUNTIF($B$19:B361,B361)&amp;CHOOSE(MIN(4,COUNTIF($B$19:B361,B361)),"st","nd","rd","th"),"")</f>
        <v/>
      </c>
    </row>
    <row r="362" spans="12:12" x14ac:dyDescent="0.25">
      <c r="L362" s="164" t="str">
        <f>IFERROR(COUNTIF($B$19:B362,B362)&amp;CHOOSE(MIN(4,COUNTIF($B$19:B362,B362)),"st","nd","rd","th"),"")</f>
        <v/>
      </c>
    </row>
    <row r="363" spans="12:12" x14ac:dyDescent="0.25">
      <c r="L363" s="164" t="str">
        <f>IFERROR(COUNTIF($B$19:B363,B363)&amp;CHOOSE(MIN(4,COUNTIF($B$19:B363,B363)),"st","nd","rd","th"),"")</f>
        <v/>
      </c>
    </row>
    <row r="364" spans="12:12" x14ac:dyDescent="0.25">
      <c r="L364" s="164" t="str">
        <f>IFERROR(COUNTIF($B$19:B364,B364)&amp;CHOOSE(MIN(4,COUNTIF($B$19:B364,B364)),"st","nd","rd","th"),"")</f>
        <v/>
      </c>
    </row>
    <row r="365" spans="12:12" x14ac:dyDescent="0.25">
      <c r="L365" s="164" t="str">
        <f>IFERROR(COUNTIF($B$19:B365,B365)&amp;CHOOSE(MIN(4,COUNTIF($B$19:B365,B365)),"st","nd","rd","th"),"")</f>
        <v/>
      </c>
    </row>
    <row r="366" spans="12:12" x14ac:dyDescent="0.25">
      <c r="L366" s="164" t="str">
        <f>IFERROR(COUNTIF($B$19:B366,B366)&amp;CHOOSE(MIN(4,COUNTIF($B$19:B366,B366)),"st","nd","rd","th"),"")</f>
        <v/>
      </c>
    </row>
    <row r="367" spans="12:12" x14ac:dyDescent="0.25">
      <c r="L367" s="164" t="str">
        <f>IFERROR(COUNTIF($B$19:B367,B367)&amp;CHOOSE(MIN(4,COUNTIF($B$19:B367,B367)),"st","nd","rd","th"),"")</f>
        <v/>
      </c>
    </row>
    <row r="368" spans="12:12" x14ac:dyDescent="0.25">
      <c r="L368" s="164" t="str">
        <f>IFERROR(COUNTIF($B$19:B368,B368)&amp;CHOOSE(MIN(4,COUNTIF($B$19:B368,B368)),"st","nd","rd","th"),"")</f>
        <v/>
      </c>
    </row>
    <row r="369" spans="12:12" x14ac:dyDescent="0.25">
      <c r="L369" s="164" t="str">
        <f>IFERROR(COUNTIF($B$19:B369,B369)&amp;CHOOSE(MIN(4,COUNTIF($B$19:B369,B369)),"st","nd","rd","th"),"")</f>
        <v/>
      </c>
    </row>
    <row r="370" spans="12:12" x14ac:dyDescent="0.25">
      <c r="L370" s="164" t="str">
        <f>IFERROR(COUNTIF($B$19:B370,B370)&amp;CHOOSE(MIN(4,COUNTIF($B$19:B370,B370)),"st","nd","rd","th"),"")</f>
        <v/>
      </c>
    </row>
    <row r="371" spans="12:12" x14ac:dyDescent="0.25">
      <c r="L371" s="164" t="str">
        <f>IFERROR(COUNTIF($B$19:B371,B371)&amp;CHOOSE(MIN(4,COUNTIF($B$19:B371,B371)),"st","nd","rd","th"),"")</f>
        <v/>
      </c>
    </row>
    <row r="372" spans="12:12" x14ac:dyDescent="0.25">
      <c r="L372" s="164" t="str">
        <f>IFERROR(COUNTIF($B$19:B372,B372)&amp;CHOOSE(MIN(4,COUNTIF($B$19:B372,B372)),"st","nd","rd","th"),"")</f>
        <v/>
      </c>
    </row>
    <row r="373" spans="12:12" x14ac:dyDescent="0.25">
      <c r="L373" s="164" t="str">
        <f>IFERROR(COUNTIF($B$19:B373,B373)&amp;CHOOSE(MIN(4,COUNTIF($B$19:B373,B373)),"st","nd","rd","th"),"")</f>
        <v/>
      </c>
    </row>
    <row r="374" spans="12:12" x14ac:dyDescent="0.25">
      <c r="L374" s="164" t="str">
        <f>IFERROR(COUNTIF($B$19:B374,B374)&amp;CHOOSE(MIN(4,COUNTIF($B$19:B374,B374)),"st","nd","rd","th"),"")</f>
        <v/>
      </c>
    </row>
    <row r="375" spans="12:12" x14ac:dyDescent="0.25">
      <c r="L375" s="164" t="str">
        <f>IFERROR(COUNTIF($B$19:B375,B375)&amp;CHOOSE(MIN(4,COUNTIF($B$19:B375,B375)),"st","nd","rd","th"),"")</f>
        <v/>
      </c>
    </row>
    <row r="376" spans="12:12" x14ac:dyDescent="0.25">
      <c r="L376" s="164" t="str">
        <f>IFERROR(COUNTIF($B$19:B376,B376)&amp;CHOOSE(MIN(4,COUNTIF($B$19:B376,B376)),"st","nd","rd","th"),"")</f>
        <v/>
      </c>
    </row>
    <row r="377" spans="12:12" x14ac:dyDescent="0.25">
      <c r="L377" s="164" t="str">
        <f>IFERROR(COUNTIF($B$19:B377,B377)&amp;CHOOSE(MIN(4,COUNTIF($B$19:B377,B377)),"st","nd","rd","th"),"")</f>
        <v/>
      </c>
    </row>
    <row r="378" spans="12:12" x14ac:dyDescent="0.25">
      <c r="L378" s="164" t="str">
        <f>IFERROR(COUNTIF($B$19:B378,B378)&amp;CHOOSE(MIN(4,COUNTIF($B$19:B378,B378)),"st","nd","rd","th"),"")</f>
        <v/>
      </c>
    </row>
    <row r="379" spans="12:12" x14ac:dyDescent="0.25">
      <c r="L379" s="164" t="str">
        <f>IFERROR(COUNTIF($B$19:B379,B379)&amp;CHOOSE(MIN(4,COUNTIF($B$19:B379,B379)),"st","nd","rd","th"),"")</f>
        <v/>
      </c>
    </row>
    <row r="380" spans="12:12" x14ac:dyDescent="0.25">
      <c r="L380" s="164" t="str">
        <f>IFERROR(COUNTIF($B$19:B380,B380)&amp;CHOOSE(MIN(4,COUNTIF($B$19:B380,B380)),"st","nd","rd","th"),"")</f>
        <v/>
      </c>
    </row>
    <row r="381" spans="12:12" x14ac:dyDescent="0.25">
      <c r="L381" s="164" t="str">
        <f>IFERROR(COUNTIF($B$19:B381,B381)&amp;CHOOSE(MIN(4,COUNTIF($B$19:B381,B381)),"st","nd","rd","th"),"")</f>
        <v/>
      </c>
    </row>
    <row r="382" spans="12:12" x14ac:dyDescent="0.25">
      <c r="L382" s="164" t="str">
        <f>IFERROR(COUNTIF($B$19:B382,B382)&amp;CHOOSE(MIN(4,COUNTIF($B$19:B382,B382)),"st","nd","rd","th"),"")</f>
        <v/>
      </c>
    </row>
    <row r="383" spans="12:12" x14ac:dyDescent="0.25">
      <c r="L383" s="164" t="str">
        <f>IFERROR(COUNTIF($B$19:B383,B383)&amp;CHOOSE(MIN(4,COUNTIF($B$19:B383,B383)),"st","nd","rd","th"),"")</f>
        <v/>
      </c>
    </row>
    <row r="384" spans="12:12" x14ac:dyDescent="0.25">
      <c r="L384" s="164" t="str">
        <f>IFERROR(COUNTIF($B$19:B384,B384)&amp;CHOOSE(MIN(4,COUNTIF($B$19:B384,B384)),"st","nd","rd","th"),"")</f>
        <v/>
      </c>
    </row>
    <row r="385" spans="12:12" x14ac:dyDescent="0.25">
      <c r="L385" s="164" t="str">
        <f>IFERROR(COUNTIF($B$19:B385,B385)&amp;CHOOSE(MIN(4,COUNTIF($B$19:B385,B385)),"st","nd","rd","th"),"")</f>
        <v/>
      </c>
    </row>
    <row r="386" spans="12:12" x14ac:dyDescent="0.25">
      <c r="L386" s="164" t="str">
        <f>IFERROR(COUNTIF($B$19:B386,B386)&amp;CHOOSE(MIN(4,COUNTIF($B$19:B386,B386)),"st","nd","rd","th"),"")</f>
        <v/>
      </c>
    </row>
    <row r="387" spans="12:12" x14ac:dyDescent="0.25">
      <c r="L387" s="164" t="str">
        <f>IFERROR(COUNTIF($B$19:B387,B387)&amp;CHOOSE(MIN(4,COUNTIF($B$19:B387,B387)),"st","nd","rd","th"),"")</f>
        <v/>
      </c>
    </row>
    <row r="388" spans="12:12" x14ac:dyDescent="0.25">
      <c r="L388" s="164" t="str">
        <f>IFERROR(COUNTIF($B$19:B388,B388)&amp;CHOOSE(MIN(4,COUNTIF($B$19:B388,B388)),"st","nd","rd","th"),"")</f>
        <v/>
      </c>
    </row>
    <row r="389" spans="12:12" x14ac:dyDescent="0.25">
      <c r="L389" s="164" t="str">
        <f>IFERROR(COUNTIF($B$19:B389,B389)&amp;CHOOSE(MIN(4,COUNTIF($B$19:B389,B389)),"st","nd","rd","th"),"")</f>
        <v/>
      </c>
    </row>
    <row r="390" spans="12:12" x14ac:dyDescent="0.25">
      <c r="L390" s="164" t="str">
        <f>IFERROR(COUNTIF($B$19:B390,B390)&amp;CHOOSE(MIN(4,COUNTIF($B$19:B390,B390)),"st","nd","rd","th"),"")</f>
        <v/>
      </c>
    </row>
    <row r="391" spans="12:12" x14ac:dyDescent="0.25">
      <c r="L391" s="164" t="str">
        <f>IFERROR(COUNTIF($B$19:B391,B391)&amp;CHOOSE(MIN(4,COUNTIF($B$19:B391,B391)),"st","nd","rd","th"),"")</f>
        <v/>
      </c>
    </row>
    <row r="392" spans="12:12" x14ac:dyDescent="0.25">
      <c r="L392" s="164" t="str">
        <f>IFERROR(COUNTIF($B$19:B392,B392)&amp;CHOOSE(MIN(4,COUNTIF($B$19:B392,B392)),"st","nd","rd","th"),"")</f>
        <v/>
      </c>
    </row>
    <row r="393" spans="12:12" x14ac:dyDescent="0.25">
      <c r="L393" s="164" t="str">
        <f>IFERROR(COUNTIF($B$19:B393,B393)&amp;CHOOSE(MIN(4,COUNTIF($B$19:B393,B393)),"st","nd","rd","th"),"")</f>
        <v/>
      </c>
    </row>
    <row r="394" spans="12:12" x14ac:dyDescent="0.25">
      <c r="L394" s="164" t="str">
        <f>IFERROR(COUNTIF($B$19:B394,B394)&amp;CHOOSE(MIN(4,COUNTIF($B$19:B394,B394)),"st","nd","rd","th"),"")</f>
        <v/>
      </c>
    </row>
    <row r="395" spans="12:12" x14ac:dyDescent="0.25">
      <c r="L395" s="164" t="str">
        <f>IFERROR(COUNTIF($B$19:B395,B395)&amp;CHOOSE(MIN(4,COUNTIF($B$19:B395,B395)),"st","nd","rd","th"),"")</f>
        <v/>
      </c>
    </row>
    <row r="396" spans="12:12" x14ac:dyDescent="0.25">
      <c r="L396" s="164" t="str">
        <f>IFERROR(COUNTIF($B$19:B396,B396)&amp;CHOOSE(MIN(4,COUNTIF($B$19:B396,B396)),"st","nd","rd","th"),"")</f>
        <v/>
      </c>
    </row>
    <row r="397" spans="12:12" x14ac:dyDescent="0.25">
      <c r="L397" s="164" t="str">
        <f>IFERROR(COUNTIF($B$19:B397,B397)&amp;CHOOSE(MIN(4,COUNTIF($B$19:B397,B397)),"st","nd","rd","th"),"")</f>
        <v/>
      </c>
    </row>
    <row r="398" spans="12:12" x14ac:dyDescent="0.25">
      <c r="L398" s="164" t="str">
        <f>IFERROR(COUNTIF($B$19:B398,B398)&amp;CHOOSE(MIN(4,COUNTIF($B$19:B398,B398)),"st","nd","rd","th"),"")</f>
        <v/>
      </c>
    </row>
    <row r="399" spans="12:12" x14ac:dyDescent="0.25">
      <c r="L399" s="164" t="str">
        <f>IFERROR(COUNTIF($B$19:B399,B399)&amp;CHOOSE(MIN(4,COUNTIF($B$19:B399,B399)),"st","nd","rd","th"),"")</f>
        <v/>
      </c>
    </row>
    <row r="400" spans="12:12" x14ac:dyDescent="0.25">
      <c r="L400" s="164" t="str">
        <f>IFERROR(COUNTIF($B$19:B400,B400)&amp;CHOOSE(MIN(4,COUNTIF($B$19:B400,B400)),"st","nd","rd","th"),"")</f>
        <v/>
      </c>
    </row>
    <row r="401" spans="12:12" x14ac:dyDescent="0.25">
      <c r="L401" s="164" t="str">
        <f>IFERROR(COUNTIF($B$19:B401,B401)&amp;CHOOSE(MIN(4,COUNTIF($B$19:B401,B401)),"st","nd","rd","th"),"")</f>
        <v/>
      </c>
    </row>
    <row r="402" spans="12:12" x14ac:dyDescent="0.25">
      <c r="L402" s="164" t="str">
        <f>IFERROR(COUNTIF($B$19:B402,B402)&amp;CHOOSE(MIN(4,COUNTIF($B$19:B402,B402)),"st","nd","rd","th"),"")</f>
        <v/>
      </c>
    </row>
    <row r="403" spans="12:12" x14ac:dyDescent="0.25">
      <c r="L403" s="164" t="str">
        <f>IFERROR(COUNTIF($B$19:B403,B403)&amp;CHOOSE(MIN(4,COUNTIF($B$19:B403,B403)),"st","nd","rd","th"),"")</f>
        <v/>
      </c>
    </row>
    <row r="404" spans="12:12" x14ac:dyDescent="0.25">
      <c r="L404" s="164" t="str">
        <f>IFERROR(COUNTIF($B$19:B404,B404)&amp;CHOOSE(MIN(4,COUNTIF($B$19:B404,B404)),"st","nd","rd","th"),"")</f>
        <v/>
      </c>
    </row>
    <row r="405" spans="12:12" x14ac:dyDescent="0.25">
      <c r="L405" s="164" t="str">
        <f>IFERROR(COUNTIF($B$19:B405,B405)&amp;CHOOSE(MIN(4,COUNTIF($B$19:B405,B405)),"st","nd","rd","th"),"")</f>
        <v/>
      </c>
    </row>
    <row r="406" spans="12:12" x14ac:dyDescent="0.25">
      <c r="L406" s="164" t="str">
        <f>IFERROR(COUNTIF($B$19:B406,B406)&amp;CHOOSE(MIN(4,COUNTIF($B$19:B406,B406)),"st","nd","rd","th"),"")</f>
        <v/>
      </c>
    </row>
    <row r="407" spans="12:12" x14ac:dyDescent="0.25">
      <c r="L407" s="164" t="str">
        <f>IFERROR(COUNTIF($B$19:B407,B407)&amp;CHOOSE(MIN(4,COUNTIF($B$19:B407,B407)),"st","nd","rd","th"),"")</f>
        <v/>
      </c>
    </row>
    <row r="408" spans="12:12" x14ac:dyDescent="0.25">
      <c r="L408" s="164" t="str">
        <f>IFERROR(COUNTIF($B$19:B408,B408)&amp;CHOOSE(MIN(4,COUNTIF($B$19:B408,B408)),"st","nd","rd","th"),"")</f>
        <v/>
      </c>
    </row>
    <row r="409" spans="12:12" x14ac:dyDescent="0.25">
      <c r="L409" s="164" t="str">
        <f>IFERROR(COUNTIF($B$19:B409,B409)&amp;CHOOSE(MIN(4,COUNTIF($B$19:B409,B409)),"st","nd","rd","th"),"")</f>
        <v/>
      </c>
    </row>
    <row r="410" spans="12:12" x14ac:dyDescent="0.25">
      <c r="L410" s="164" t="str">
        <f>IFERROR(COUNTIF($B$19:B410,B410)&amp;CHOOSE(MIN(4,COUNTIF($B$19:B410,B410)),"st","nd","rd","th"),"")</f>
        <v/>
      </c>
    </row>
    <row r="411" spans="12:12" x14ac:dyDescent="0.25">
      <c r="L411" s="164" t="str">
        <f>IFERROR(COUNTIF($B$19:B411,B411)&amp;CHOOSE(MIN(4,COUNTIF($B$19:B411,B411)),"st","nd","rd","th"),"")</f>
        <v/>
      </c>
    </row>
    <row r="412" spans="12:12" x14ac:dyDescent="0.25">
      <c r="L412" s="164" t="str">
        <f>IFERROR(COUNTIF($B$19:B412,B412)&amp;CHOOSE(MIN(4,COUNTIF($B$19:B412,B412)),"st","nd","rd","th"),"")</f>
        <v/>
      </c>
    </row>
    <row r="413" spans="12:12" x14ac:dyDescent="0.25">
      <c r="L413" s="164" t="str">
        <f>IFERROR(COUNTIF($B$19:B413,B413)&amp;CHOOSE(MIN(4,COUNTIF($B$19:B413,B413)),"st","nd","rd","th"),"")</f>
        <v/>
      </c>
    </row>
    <row r="414" spans="12:12" x14ac:dyDescent="0.25">
      <c r="L414" s="164" t="str">
        <f>IFERROR(COUNTIF($B$19:B414,B414)&amp;CHOOSE(MIN(4,COUNTIF($B$19:B414,B414)),"st","nd","rd","th"),"")</f>
        <v/>
      </c>
    </row>
    <row r="415" spans="12:12" x14ac:dyDescent="0.25">
      <c r="L415" s="164" t="str">
        <f>IFERROR(COUNTIF($B$19:B415,B415)&amp;CHOOSE(MIN(4,COUNTIF($B$19:B415,B415)),"st","nd","rd","th"),"")</f>
        <v/>
      </c>
    </row>
    <row r="416" spans="12:12" x14ac:dyDescent="0.25">
      <c r="L416" s="164" t="str">
        <f>IFERROR(COUNTIF($B$19:B416,B416)&amp;CHOOSE(MIN(4,COUNTIF($B$19:B416,B416)),"st","nd","rd","th"),"")</f>
        <v/>
      </c>
    </row>
    <row r="417" spans="12:12" x14ac:dyDescent="0.25">
      <c r="L417" s="164" t="str">
        <f>IFERROR(COUNTIF($B$19:B417,B417)&amp;CHOOSE(MIN(4,COUNTIF($B$19:B417,B417)),"st","nd","rd","th"),"")</f>
        <v/>
      </c>
    </row>
    <row r="418" spans="12:12" x14ac:dyDescent="0.25">
      <c r="L418" s="164" t="str">
        <f>IFERROR(COUNTIF($B$19:B418,B418)&amp;CHOOSE(MIN(4,COUNTIF($B$19:B418,B418)),"st","nd","rd","th"),"")</f>
        <v/>
      </c>
    </row>
    <row r="419" spans="12:12" x14ac:dyDescent="0.25">
      <c r="L419" s="164" t="str">
        <f>IFERROR(COUNTIF($B$19:B419,B419)&amp;CHOOSE(MIN(4,COUNTIF($B$19:B419,B419)),"st","nd","rd","th"),"")</f>
        <v/>
      </c>
    </row>
    <row r="420" spans="12:12" x14ac:dyDescent="0.25">
      <c r="L420" s="164" t="str">
        <f>IFERROR(COUNTIF($B$19:B420,B420)&amp;CHOOSE(MIN(4,COUNTIF($B$19:B420,B420)),"st","nd","rd","th"),"")</f>
        <v/>
      </c>
    </row>
    <row r="421" spans="12:12" x14ac:dyDescent="0.25">
      <c r="L421" s="164" t="str">
        <f>IFERROR(COUNTIF($B$19:B421,B421)&amp;CHOOSE(MIN(4,COUNTIF($B$19:B421,B421)),"st","nd","rd","th"),"")</f>
        <v/>
      </c>
    </row>
    <row r="422" spans="12:12" x14ac:dyDescent="0.25">
      <c r="L422" s="164" t="str">
        <f>IFERROR(COUNTIF($B$19:B422,B422)&amp;CHOOSE(MIN(4,COUNTIF($B$19:B422,B422)),"st","nd","rd","th"),"")</f>
        <v/>
      </c>
    </row>
    <row r="423" spans="12:12" x14ac:dyDescent="0.25">
      <c r="L423" s="164" t="str">
        <f>IFERROR(COUNTIF($B$19:B423,B423)&amp;CHOOSE(MIN(4,COUNTIF($B$19:B423,B423)),"st","nd","rd","th"),"")</f>
        <v/>
      </c>
    </row>
    <row r="424" spans="12:12" x14ac:dyDescent="0.25">
      <c r="L424" s="164" t="str">
        <f>IFERROR(COUNTIF($B$19:B424,B424)&amp;CHOOSE(MIN(4,COUNTIF($B$19:B424,B424)),"st","nd","rd","th"),"")</f>
        <v/>
      </c>
    </row>
    <row r="425" spans="12:12" x14ac:dyDescent="0.25">
      <c r="L425" s="164" t="str">
        <f>IFERROR(COUNTIF($B$19:B425,B425)&amp;CHOOSE(MIN(4,COUNTIF($B$19:B425,B425)),"st","nd","rd","th"),"")</f>
        <v/>
      </c>
    </row>
    <row r="426" spans="12:12" x14ac:dyDescent="0.25">
      <c r="L426" s="164" t="str">
        <f>IFERROR(COUNTIF($B$19:B426,B426)&amp;CHOOSE(MIN(4,COUNTIF($B$19:B426,B426)),"st","nd","rd","th"),"")</f>
        <v/>
      </c>
    </row>
    <row r="427" spans="12:12" x14ac:dyDescent="0.25">
      <c r="L427" s="164" t="str">
        <f>IFERROR(COUNTIF($B$19:B427,B427)&amp;CHOOSE(MIN(4,COUNTIF($B$19:B427,B427)),"st","nd","rd","th"),"")</f>
        <v/>
      </c>
    </row>
    <row r="428" spans="12:12" x14ac:dyDescent="0.25">
      <c r="L428" s="164" t="str">
        <f>IFERROR(COUNTIF($B$19:B428,B428)&amp;CHOOSE(MIN(4,COUNTIF($B$19:B428,B428)),"st","nd","rd","th"),"")</f>
        <v/>
      </c>
    </row>
    <row r="429" spans="12:12" x14ac:dyDescent="0.25">
      <c r="L429" s="164" t="str">
        <f>IFERROR(COUNTIF($B$19:B429,B429)&amp;CHOOSE(MIN(4,COUNTIF($B$19:B429,B429)),"st","nd","rd","th"),"")</f>
        <v/>
      </c>
    </row>
    <row r="430" spans="12:12" x14ac:dyDescent="0.25">
      <c r="L430" s="164" t="str">
        <f>IFERROR(COUNTIF($B$19:B430,B430)&amp;CHOOSE(MIN(4,COUNTIF($B$19:B430,B430)),"st","nd","rd","th"),"")</f>
        <v/>
      </c>
    </row>
    <row r="431" spans="12:12" x14ac:dyDescent="0.25">
      <c r="L431" s="164" t="str">
        <f>IFERROR(COUNTIF($B$19:B431,B431)&amp;CHOOSE(MIN(4,COUNTIF($B$19:B431,B431)),"st","nd","rd","th"),"")</f>
        <v/>
      </c>
    </row>
    <row r="432" spans="12:12" x14ac:dyDescent="0.25">
      <c r="L432" s="164" t="str">
        <f>IFERROR(COUNTIF($B$19:B432,B432)&amp;CHOOSE(MIN(4,COUNTIF($B$19:B432,B432)),"st","nd","rd","th"),"")</f>
        <v/>
      </c>
    </row>
    <row r="433" spans="12:12" x14ac:dyDescent="0.25">
      <c r="L433" s="164" t="str">
        <f>IFERROR(COUNTIF($B$19:B433,B433)&amp;CHOOSE(MIN(4,COUNTIF($B$19:B433,B433)),"st","nd","rd","th"),"")</f>
        <v/>
      </c>
    </row>
    <row r="434" spans="12:12" x14ac:dyDescent="0.25">
      <c r="L434" s="164" t="str">
        <f>IFERROR(COUNTIF($B$19:B434,B434)&amp;CHOOSE(MIN(4,COUNTIF($B$19:B434,B434)),"st","nd","rd","th"),"")</f>
        <v/>
      </c>
    </row>
    <row r="435" spans="12:12" x14ac:dyDescent="0.25">
      <c r="L435" s="164" t="str">
        <f>IFERROR(COUNTIF($B$19:B435,B435)&amp;CHOOSE(MIN(4,COUNTIF($B$19:B435,B435)),"st","nd","rd","th"),"")</f>
        <v/>
      </c>
    </row>
    <row r="436" spans="12:12" x14ac:dyDescent="0.25">
      <c r="L436" s="164" t="str">
        <f>IFERROR(COUNTIF($B$19:B436,B436)&amp;CHOOSE(MIN(4,COUNTIF($B$19:B436,B436)),"st","nd","rd","th"),"")</f>
        <v/>
      </c>
    </row>
    <row r="437" spans="12:12" x14ac:dyDescent="0.25">
      <c r="L437" s="164" t="str">
        <f>IFERROR(COUNTIF($B$19:B437,B437)&amp;CHOOSE(MIN(4,COUNTIF($B$19:B437,B437)),"st","nd","rd","th"),"")</f>
        <v/>
      </c>
    </row>
    <row r="438" spans="12:12" x14ac:dyDescent="0.25">
      <c r="L438" s="164" t="str">
        <f>IFERROR(COUNTIF($B$19:B438,B438)&amp;CHOOSE(MIN(4,COUNTIF($B$19:B438,B438)),"st","nd","rd","th"),"")</f>
        <v/>
      </c>
    </row>
    <row r="439" spans="12:12" x14ac:dyDescent="0.25">
      <c r="L439" s="164" t="str">
        <f>IFERROR(COUNTIF($B$19:B439,B439)&amp;CHOOSE(MIN(4,COUNTIF($B$19:B439,B439)),"st","nd","rd","th"),"")</f>
        <v/>
      </c>
    </row>
    <row r="440" spans="12:12" x14ac:dyDescent="0.25">
      <c r="L440" s="164" t="str">
        <f>IFERROR(COUNTIF($B$19:B440,B440)&amp;CHOOSE(MIN(4,COUNTIF($B$19:B440,B440)),"st","nd","rd","th"),"")</f>
        <v/>
      </c>
    </row>
    <row r="441" spans="12:12" x14ac:dyDescent="0.25">
      <c r="L441" s="164" t="str">
        <f>IFERROR(COUNTIF($B$19:B441,B441)&amp;CHOOSE(MIN(4,COUNTIF($B$19:B441,B441)),"st","nd","rd","th"),"")</f>
        <v/>
      </c>
    </row>
    <row r="442" spans="12:12" x14ac:dyDescent="0.25">
      <c r="L442" s="164" t="str">
        <f>IFERROR(COUNTIF($B$19:B442,B442)&amp;CHOOSE(MIN(4,COUNTIF($B$19:B442,B442)),"st","nd","rd","th"),"")</f>
        <v/>
      </c>
    </row>
    <row r="443" spans="12:12" x14ac:dyDescent="0.25">
      <c r="L443" s="164" t="str">
        <f>IFERROR(COUNTIF($B$19:B443,B443)&amp;CHOOSE(MIN(4,COUNTIF($B$19:B443,B443)),"st","nd","rd","th"),"")</f>
        <v/>
      </c>
    </row>
    <row r="444" spans="12:12" x14ac:dyDescent="0.25">
      <c r="L444" s="164" t="str">
        <f>IFERROR(COUNTIF($B$19:B444,B444)&amp;CHOOSE(MIN(4,COUNTIF($B$19:B444,B444)),"st","nd","rd","th"),"")</f>
        <v/>
      </c>
    </row>
    <row r="445" spans="12:12" x14ac:dyDescent="0.25">
      <c r="L445" s="164" t="str">
        <f>IFERROR(COUNTIF($B$19:B445,B445)&amp;CHOOSE(MIN(4,COUNTIF($B$19:B445,B445)),"st","nd","rd","th"),"")</f>
        <v/>
      </c>
    </row>
    <row r="446" spans="12:12" x14ac:dyDescent="0.25">
      <c r="L446" s="164" t="str">
        <f>IFERROR(COUNTIF($B$19:B446,B446)&amp;CHOOSE(MIN(4,COUNTIF($B$19:B446,B446)),"st","nd","rd","th"),"")</f>
        <v/>
      </c>
    </row>
    <row r="447" spans="12:12" x14ac:dyDescent="0.25">
      <c r="L447" s="164" t="str">
        <f>IFERROR(COUNTIF($B$19:B447,B447)&amp;CHOOSE(MIN(4,COUNTIF($B$19:B447,B447)),"st","nd","rd","th"),"")</f>
        <v/>
      </c>
    </row>
    <row r="448" spans="12:12" x14ac:dyDescent="0.25">
      <c r="L448" s="164" t="str">
        <f>IFERROR(COUNTIF($B$19:B448,B448)&amp;CHOOSE(MIN(4,COUNTIF($B$19:B448,B448)),"st","nd","rd","th"),"")</f>
        <v/>
      </c>
    </row>
    <row r="449" spans="12:12" x14ac:dyDescent="0.25">
      <c r="L449" s="164" t="str">
        <f>IFERROR(COUNTIF($B$19:B449,B449)&amp;CHOOSE(MIN(4,COUNTIF($B$19:B449,B449)),"st","nd","rd","th"),"")</f>
        <v/>
      </c>
    </row>
    <row r="450" spans="12:12" x14ac:dyDescent="0.25">
      <c r="L450" s="164" t="str">
        <f>IFERROR(COUNTIF($B$19:B450,B450)&amp;CHOOSE(MIN(4,COUNTIF($B$19:B450,B450)),"st","nd","rd","th"),"")</f>
        <v/>
      </c>
    </row>
    <row r="451" spans="12:12" x14ac:dyDescent="0.25">
      <c r="L451" s="164" t="str">
        <f>IFERROR(COUNTIF($B$19:B451,B451)&amp;CHOOSE(MIN(4,COUNTIF($B$19:B451,B451)),"st","nd","rd","th"),"")</f>
        <v/>
      </c>
    </row>
    <row r="452" spans="12:12" x14ac:dyDescent="0.25">
      <c r="L452" s="164" t="str">
        <f>IFERROR(COUNTIF($B$19:B452,B452)&amp;CHOOSE(MIN(4,COUNTIF($B$19:B452,B452)),"st","nd","rd","th"),"")</f>
        <v/>
      </c>
    </row>
    <row r="453" spans="12:12" x14ac:dyDescent="0.25">
      <c r="L453" s="164" t="str">
        <f>IFERROR(COUNTIF($B$19:B453,B453)&amp;CHOOSE(MIN(4,COUNTIF($B$19:B453,B453)),"st","nd","rd","th"),"")</f>
        <v/>
      </c>
    </row>
    <row r="454" spans="12:12" x14ac:dyDescent="0.25">
      <c r="L454" s="164" t="str">
        <f>IFERROR(COUNTIF($B$19:B454,B454)&amp;CHOOSE(MIN(4,COUNTIF($B$19:B454,B454)),"st","nd","rd","th"),"")</f>
        <v/>
      </c>
    </row>
    <row r="455" spans="12:12" x14ac:dyDescent="0.25">
      <c r="L455" s="164" t="str">
        <f>IFERROR(COUNTIF($B$19:B455,B455)&amp;CHOOSE(MIN(4,COUNTIF($B$19:B455,B455)),"st","nd","rd","th"),"")</f>
        <v/>
      </c>
    </row>
    <row r="456" spans="12:12" x14ac:dyDescent="0.25">
      <c r="L456" s="164" t="str">
        <f>IFERROR(COUNTIF($B$19:B456,B456)&amp;CHOOSE(MIN(4,COUNTIF($B$19:B456,B456)),"st","nd","rd","th"),"")</f>
        <v/>
      </c>
    </row>
    <row r="457" spans="12:12" x14ac:dyDescent="0.25">
      <c r="L457" s="164" t="str">
        <f>IFERROR(COUNTIF($B$19:B457,B457)&amp;CHOOSE(MIN(4,COUNTIF($B$19:B457,B457)),"st","nd","rd","th"),"")</f>
        <v/>
      </c>
    </row>
    <row r="458" spans="12:12" x14ac:dyDescent="0.25">
      <c r="L458" s="164" t="str">
        <f>IFERROR(COUNTIF($B$19:B458,B458)&amp;CHOOSE(MIN(4,COUNTIF($B$19:B458,B458)),"st","nd","rd","th"),"")</f>
        <v/>
      </c>
    </row>
    <row r="459" spans="12:12" x14ac:dyDescent="0.25">
      <c r="L459" s="164" t="str">
        <f>IFERROR(COUNTIF($B$19:B459,B459)&amp;CHOOSE(MIN(4,COUNTIF($B$19:B459,B459)),"st","nd","rd","th"),"")</f>
        <v/>
      </c>
    </row>
    <row r="460" spans="12:12" x14ac:dyDescent="0.25">
      <c r="L460" s="164" t="str">
        <f>IFERROR(COUNTIF($B$19:B460,B460)&amp;CHOOSE(MIN(4,COUNTIF($B$19:B460,B460)),"st","nd","rd","th"),"")</f>
        <v/>
      </c>
    </row>
    <row r="461" spans="12:12" x14ac:dyDescent="0.25">
      <c r="L461" s="164" t="str">
        <f>IFERROR(COUNTIF($B$19:B461,B461)&amp;CHOOSE(MIN(4,COUNTIF($B$19:B461,B461)),"st","nd","rd","th"),"")</f>
        <v/>
      </c>
    </row>
    <row r="462" spans="12:12" x14ac:dyDescent="0.25">
      <c r="L462" s="164" t="str">
        <f>IFERROR(COUNTIF($B$19:B462,B462)&amp;CHOOSE(MIN(4,COUNTIF($B$19:B462,B462)),"st","nd","rd","th"),"")</f>
        <v/>
      </c>
    </row>
    <row r="463" spans="12:12" x14ac:dyDescent="0.25">
      <c r="L463" s="164" t="str">
        <f>IFERROR(COUNTIF($B$19:B463,B463)&amp;CHOOSE(MIN(4,COUNTIF($B$19:B463,B463)),"st","nd","rd","th"),"")</f>
        <v/>
      </c>
    </row>
    <row r="464" spans="12:12" x14ac:dyDescent="0.25">
      <c r="L464" s="164" t="str">
        <f>IFERROR(COUNTIF($B$19:B464,B464)&amp;CHOOSE(MIN(4,COUNTIF($B$19:B464,B464)),"st","nd","rd","th"),"")</f>
        <v/>
      </c>
    </row>
    <row r="465" spans="12:12" x14ac:dyDescent="0.25">
      <c r="L465" s="164" t="str">
        <f>IFERROR(COUNTIF($B$19:B465,B465)&amp;CHOOSE(MIN(4,COUNTIF($B$19:B465,B465)),"st","nd","rd","th"),"")</f>
        <v/>
      </c>
    </row>
    <row r="466" spans="12:12" x14ac:dyDescent="0.25">
      <c r="L466" s="164" t="str">
        <f>IFERROR(COUNTIF($B$19:B466,B466)&amp;CHOOSE(MIN(4,COUNTIF($B$19:B466,B466)),"st","nd","rd","th"),"")</f>
        <v/>
      </c>
    </row>
    <row r="467" spans="12:12" x14ac:dyDescent="0.25">
      <c r="L467" s="164" t="str">
        <f>IFERROR(COUNTIF($B$19:B467,B467)&amp;CHOOSE(MIN(4,COUNTIF($B$19:B467,B467)),"st","nd","rd","th"),"")</f>
        <v/>
      </c>
    </row>
    <row r="468" spans="12:12" x14ac:dyDescent="0.25">
      <c r="L468" s="164" t="str">
        <f>IFERROR(COUNTIF($B$19:B468,B468)&amp;CHOOSE(MIN(4,COUNTIF($B$19:B468,B468)),"st","nd","rd","th"),"")</f>
        <v/>
      </c>
    </row>
    <row r="469" spans="12:12" x14ac:dyDescent="0.25">
      <c r="L469" s="164" t="str">
        <f>IFERROR(COUNTIF($B$19:B469,B469)&amp;CHOOSE(MIN(4,COUNTIF($B$19:B469,B469)),"st","nd","rd","th"),"")</f>
        <v/>
      </c>
    </row>
    <row r="470" spans="12:12" x14ac:dyDescent="0.25">
      <c r="L470" s="164" t="str">
        <f>IFERROR(COUNTIF($B$19:B470,B470)&amp;CHOOSE(MIN(4,COUNTIF($B$19:B470,B470)),"st","nd","rd","th"),"")</f>
        <v/>
      </c>
    </row>
    <row r="471" spans="12:12" x14ac:dyDescent="0.25">
      <c r="L471" s="164" t="str">
        <f>IFERROR(COUNTIF($B$19:B471,B471)&amp;CHOOSE(MIN(4,COUNTIF($B$19:B471,B471)),"st","nd","rd","th"),"")</f>
        <v/>
      </c>
    </row>
    <row r="472" spans="12:12" x14ac:dyDescent="0.25">
      <c r="L472" s="164" t="str">
        <f>IFERROR(COUNTIF($B$19:B472,B472)&amp;CHOOSE(MIN(4,COUNTIF($B$19:B472,B472)),"st","nd","rd","th"),"")</f>
        <v/>
      </c>
    </row>
    <row r="473" spans="12:12" x14ac:dyDescent="0.25">
      <c r="L473" s="164" t="str">
        <f>IFERROR(COUNTIF($B$19:B473,B473)&amp;CHOOSE(MIN(4,COUNTIF($B$19:B473,B473)),"st","nd","rd","th"),"")</f>
        <v/>
      </c>
    </row>
    <row r="474" spans="12:12" x14ac:dyDescent="0.25">
      <c r="L474" s="164" t="str">
        <f>IFERROR(COUNTIF($B$19:B474,B474)&amp;CHOOSE(MIN(4,COUNTIF($B$19:B474,B474)),"st","nd","rd","th"),"")</f>
        <v/>
      </c>
    </row>
    <row r="475" spans="12:12" x14ac:dyDescent="0.25">
      <c r="L475" s="164" t="str">
        <f>IFERROR(COUNTIF($B$19:B475,B475)&amp;CHOOSE(MIN(4,COUNTIF($B$19:B475,B475)),"st","nd","rd","th"),"")</f>
        <v/>
      </c>
    </row>
    <row r="476" spans="12:12" x14ac:dyDescent="0.25">
      <c r="L476" s="164" t="str">
        <f>IFERROR(COUNTIF($B$19:B476,B476)&amp;CHOOSE(MIN(4,COUNTIF($B$19:B476,B476)),"st","nd","rd","th"),"")</f>
        <v/>
      </c>
    </row>
    <row r="477" spans="12:12" x14ac:dyDescent="0.25">
      <c r="L477" s="164" t="str">
        <f>IFERROR(COUNTIF($B$19:B477,B477)&amp;CHOOSE(MIN(4,COUNTIF($B$19:B477,B477)),"st","nd","rd","th"),"")</f>
        <v/>
      </c>
    </row>
    <row r="478" spans="12:12" x14ac:dyDescent="0.25">
      <c r="L478" s="164" t="str">
        <f>IFERROR(COUNTIF($B$19:B478,B478)&amp;CHOOSE(MIN(4,COUNTIF($B$19:B478,B478)),"st","nd","rd","th"),"")</f>
        <v/>
      </c>
    </row>
    <row r="479" spans="12:12" x14ac:dyDescent="0.25">
      <c r="L479" s="164" t="str">
        <f>IFERROR(COUNTIF($B$19:B479,B479)&amp;CHOOSE(MIN(4,COUNTIF($B$19:B479,B479)),"st","nd","rd","th"),"")</f>
        <v/>
      </c>
    </row>
    <row r="480" spans="12:12" x14ac:dyDescent="0.25">
      <c r="L480" s="164" t="str">
        <f>IFERROR(COUNTIF($B$19:B480,B480)&amp;CHOOSE(MIN(4,COUNTIF($B$19:B480,B480)),"st","nd","rd","th"),"")</f>
        <v/>
      </c>
    </row>
    <row r="481" spans="12:12" x14ac:dyDescent="0.25">
      <c r="L481" s="164" t="str">
        <f>IFERROR(COUNTIF($B$19:B481,B481)&amp;CHOOSE(MIN(4,COUNTIF($B$19:B481,B481)),"st","nd","rd","th"),"")</f>
        <v/>
      </c>
    </row>
    <row r="482" spans="12:12" x14ac:dyDescent="0.25">
      <c r="L482" s="164" t="str">
        <f>IFERROR(COUNTIF($B$19:B482,B482)&amp;CHOOSE(MIN(4,COUNTIF($B$19:B482,B482)),"st","nd","rd","th"),"")</f>
        <v/>
      </c>
    </row>
    <row r="483" spans="12:12" x14ac:dyDescent="0.25">
      <c r="L483" s="164" t="str">
        <f>IFERROR(COUNTIF($B$19:B483,B483)&amp;CHOOSE(MIN(4,COUNTIF($B$19:B483,B483)),"st","nd","rd","th"),"")</f>
        <v/>
      </c>
    </row>
    <row r="484" spans="12:12" x14ac:dyDescent="0.25">
      <c r="L484" s="164" t="str">
        <f>IFERROR(COUNTIF($B$19:B484,B484)&amp;CHOOSE(MIN(4,COUNTIF($B$19:B484,B484)),"st","nd","rd","th"),"")</f>
        <v/>
      </c>
    </row>
    <row r="485" spans="12:12" x14ac:dyDescent="0.25">
      <c r="L485" s="164" t="str">
        <f>IFERROR(COUNTIF($B$19:B485,B485)&amp;CHOOSE(MIN(4,COUNTIF($B$19:B485,B485)),"st","nd","rd","th"),"")</f>
        <v/>
      </c>
    </row>
    <row r="486" spans="12:12" x14ac:dyDescent="0.25">
      <c r="L486" s="164" t="str">
        <f>IFERROR(COUNTIF($B$19:B486,B486)&amp;CHOOSE(MIN(4,COUNTIF($B$19:B486,B486)),"st","nd","rd","th"),"")</f>
        <v/>
      </c>
    </row>
    <row r="487" spans="12:12" x14ac:dyDescent="0.25">
      <c r="L487" s="164" t="str">
        <f>IFERROR(COUNTIF($B$19:B487,B487)&amp;CHOOSE(MIN(4,COUNTIF($B$19:B487,B487)),"st","nd","rd","th"),"")</f>
        <v/>
      </c>
    </row>
    <row r="488" spans="12:12" x14ac:dyDescent="0.25">
      <c r="L488" s="164" t="str">
        <f>IFERROR(COUNTIF($B$19:B488,B488)&amp;CHOOSE(MIN(4,COUNTIF($B$19:B488,B488)),"st","nd","rd","th"),"")</f>
        <v/>
      </c>
    </row>
    <row r="489" spans="12:12" x14ac:dyDescent="0.25">
      <c r="L489" s="164" t="str">
        <f>IFERROR(COUNTIF($B$19:B489,B489)&amp;CHOOSE(MIN(4,COUNTIF($B$19:B489,B489)),"st","nd","rd","th"),"")</f>
        <v/>
      </c>
    </row>
    <row r="490" spans="12:12" x14ac:dyDescent="0.25">
      <c r="L490" s="164" t="str">
        <f>IFERROR(COUNTIF($B$19:B490,B490)&amp;CHOOSE(MIN(4,COUNTIF($B$19:B490,B490)),"st","nd","rd","th"),"")</f>
        <v/>
      </c>
    </row>
    <row r="491" spans="12:12" x14ac:dyDescent="0.25">
      <c r="L491" s="164" t="str">
        <f>IFERROR(COUNTIF($B$19:B491,B491)&amp;CHOOSE(MIN(4,COUNTIF($B$19:B491,B491)),"st","nd","rd","th"),"")</f>
        <v/>
      </c>
    </row>
    <row r="492" spans="12:12" x14ac:dyDescent="0.25">
      <c r="L492" s="164" t="str">
        <f>IFERROR(COUNTIF($B$19:B492,B492)&amp;CHOOSE(MIN(4,COUNTIF($B$19:B492,B492)),"st","nd","rd","th"),"")</f>
        <v/>
      </c>
    </row>
    <row r="493" spans="12:12" x14ac:dyDescent="0.25">
      <c r="L493" s="164" t="str">
        <f>IFERROR(COUNTIF($B$19:B493,B493)&amp;CHOOSE(MIN(4,COUNTIF($B$19:B493,B493)),"st","nd","rd","th"),"")</f>
        <v/>
      </c>
    </row>
    <row r="494" spans="12:12" x14ac:dyDescent="0.25">
      <c r="L494" s="164" t="str">
        <f>IFERROR(COUNTIF($B$19:B494,B494)&amp;CHOOSE(MIN(4,COUNTIF($B$19:B494,B494)),"st","nd","rd","th"),"")</f>
        <v/>
      </c>
    </row>
    <row r="495" spans="12:12" x14ac:dyDescent="0.25">
      <c r="L495" s="164" t="str">
        <f>IFERROR(COUNTIF($B$19:B495,B495)&amp;CHOOSE(MIN(4,COUNTIF($B$19:B495,B495)),"st","nd","rd","th"),"")</f>
        <v/>
      </c>
    </row>
    <row r="496" spans="12:12" x14ac:dyDescent="0.25">
      <c r="L496" s="164" t="str">
        <f>IFERROR(COUNTIF($B$19:B496,B496)&amp;CHOOSE(MIN(4,COUNTIF($B$19:B496,B496)),"st","nd","rd","th"),"")</f>
        <v/>
      </c>
    </row>
    <row r="497" spans="12:12" x14ac:dyDescent="0.25">
      <c r="L497" s="164" t="str">
        <f>IFERROR(COUNTIF($B$19:B497,B497)&amp;CHOOSE(MIN(4,COUNTIF($B$19:B497,B497)),"st","nd","rd","th"),"")</f>
        <v/>
      </c>
    </row>
    <row r="498" spans="12:12" x14ac:dyDescent="0.25">
      <c r="L498" s="164" t="str">
        <f>IFERROR(COUNTIF($B$19:B498,B498)&amp;CHOOSE(MIN(4,COUNTIF($B$19:B498,B498)),"st","nd","rd","th"),"")</f>
        <v/>
      </c>
    </row>
    <row r="499" spans="12:12" x14ac:dyDescent="0.25">
      <c r="L499" s="164" t="str">
        <f>IFERROR(COUNTIF($B$19:B499,B499)&amp;CHOOSE(MIN(4,COUNTIF($B$19:B499,B499)),"st","nd","rd","th"),"")</f>
        <v/>
      </c>
    </row>
    <row r="500" spans="12:12" x14ac:dyDescent="0.25">
      <c r="L500" s="164" t="str">
        <f>IFERROR(COUNTIF($B$19:B500,B500)&amp;CHOOSE(MIN(4,COUNTIF($B$19:B500,B500)),"st","nd","rd","th"),"")</f>
        <v/>
      </c>
    </row>
    <row r="501" spans="12:12" x14ac:dyDescent="0.25">
      <c r="L501" s="164" t="str">
        <f>IFERROR(COUNTIF($B$19:B501,B501)&amp;CHOOSE(MIN(4,COUNTIF($B$19:B501,B501)),"st","nd","rd","th"),"")</f>
        <v/>
      </c>
    </row>
    <row r="502" spans="12:12" x14ac:dyDescent="0.25">
      <c r="L502" s="164" t="str">
        <f>IFERROR(COUNTIF($B$19:B502,B502)&amp;CHOOSE(MIN(4,COUNTIF($B$19:B502,B502)),"st","nd","rd","th"),"")</f>
        <v/>
      </c>
    </row>
    <row r="503" spans="12:12" x14ac:dyDescent="0.25">
      <c r="L503" s="164" t="str">
        <f>IFERROR(COUNTIF($B$19:B503,B503)&amp;CHOOSE(MIN(4,COUNTIF($B$19:B503,B503)),"st","nd","rd","th"),"")</f>
        <v/>
      </c>
    </row>
    <row r="504" spans="12:12" x14ac:dyDescent="0.25">
      <c r="L504" s="164" t="str">
        <f>IFERROR(COUNTIF($B$19:B504,B504)&amp;CHOOSE(MIN(4,COUNTIF($B$19:B504,B504)),"st","nd","rd","th"),"")</f>
        <v/>
      </c>
    </row>
    <row r="505" spans="12:12" x14ac:dyDescent="0.25">
      <c r="L505" s="164" t="str">
        <f>IFERROR(COUNTIF($B$19:B505,B505)&amp;CHOOSE(MIN(4,COUNTIF($B$19:B505,B505)),"st","nd","rd","th"),"")</f>
        <v/>
      </c>
    </row>
    <row r="506" spans="12:12" x14ac:dyDescent="0.25">
      <c r="L506" s="164" t="str">
        <f>IFERROR(COUNTIF($B$19:B506,B506)&amp;CHOOSE(MIN(4,COUNTIF($B$19:B506,B506)),"st","nd","rd","th"),"")</f>
        <v/>
      </c>
    </row>
    <row r="507" spans="12:12" x14ac:dyDescent="0.25">
      <c r="L507" s="164" t="str">
        <f>IFERROR(COUNTIF($B$19:B507,B507)&amp;CHOOSE(MIN(4,COUNTIF($B$19:B507,B507)),"st","nd","rd","th"),"")</f>
        <v/>
      </c>
    </row>
    <row r="508" spans="12:12" x14ac:dyDescent="0.25">
      <c r="L508" s="164" t="str">
        <f>IFERROR(COUNTIF($B$19:B508,B508)&amp;CHOOSE(MIN(4,COUNTIF($B$19:B508,B508)),"st","nd","rd","th"),"")</f>
        <v/>
      </c>
    </row>
    <row r="509" spans="12:12" x14ac:dyDescent="0.25">
      <c r="L509" s="164" t="str">
        <f>IFERROR(COUNTIF($B$19:B509,B509)&amp;CHOOSE(MIN(4,COUNTIF($B$19:B509,B509)),"st","nd","rd","th"),"")</f>
        <v/>
      </c>
    </row>
    <row r="510" spans="12:12" x14ac:dyDescent="0.25">
      <c r="L510" s="164" t="str">
        <f>IFERROR(COUNTIF($B$19:B510,B510)&amp;CHOOSE(MIN(4,COUNTIF($B$19:B510,B510)),"st","nd","rd","th"),"")</f>
        <v/>
      </c>
    </row>
    <row r="511" spans="12:12" x14ac:dyDescent="0.25">
      <c r="L511" s="164" t="str">
        <f>IFERROR(COUNTIF($B$19:B511,B511)&amp;CHOOSE(MIN(4,COUNTIF($B$19:B511,B511)),"st","nd","rd","th"),"")</f>
        <v/>
      </c>
    </row>
    <row r="512" spans="12:12" x14ac:dyDescent="0.25">
      <c r="L512" s="164" t="str">
        <f>IFERROR(COUNTIF($B$19:B512,B512)&amp;CHOOSE(MIN(4,COUNTIF($B$19:B512,B512)),"st","nd","rd","th"),"")</f>
        <v/>
      </c>
    </row>
    <row r="513" spans="12:12" x14ac:dyDescent="0.25">
      <c r="L513" s="164" t="str">
        <f>IFERROR(COUNTIF($B$19:B513,B513)&amp;CHOOSE(MIN(4,COUNTIF($B$19:B513,B513)),"st","nd","rd","th"),"")</f>
        <v/>
      </c>
    </row>
    <row r="514" spans="12:12" x14ac:dyDescent="0.25">
      <c r="L514" s="164" t="str">
        <f>IFERROR(COUNTIF($B$19:B514,B514)&amp;CHOOSE(MIN(4,COUNTIF($B$19:B514,B514)),"st","nd","rd","th"),"")</f>
        <v/>
      </c>
    </row>
    <row r="515" spans="12:12" x14ac:dyDescent="0.25">
      <c r="L515" s="164" t="str">
        <f>IFERROR(COUNTIF($B$19:B515,B515)&amp;CHOOSE(MIN(4,COUNTIF($B$19:B515,B515)),"st","nd","rd","th"),"")</f>
        <v/>
      </c>
    </row>
    <row r="516" spans="12:12" x14ac:dyDescent="0.25">
      <c r="L516" s="164" t="str">
        <f>IFERROR(COUNTIF($B$19:B516,B516)&amp;CHOOSE(MIN(4,COUNTIF($B$19:B516,B516)),"st","nd","rd","th"),"")</f>
        <v/>
      </c>
    </row>
    <row r="517" spans="12:12" x14ac:dyDescent="0.25">
      <c r="L517" s="164" t="str">
        <f>IFERROR(COUNTIF($B$19:B517,B517)&amp;CHOOSE(MIN(4,COUNTIF($B$19:B517,B517)),"st","nd","rd","th"),"")</f>
        <v/>
      </c>
    </row>
    <row r="518" spans="12:12" x14ac:dyDescent="0.25">
      <c r="L518" s="164" t="str">
        <f>IFERROR(COUNTIF($B$19:B518,B518)&amp;CHOOSE(MIN(4,COUNTIF($B$19:B518,B518)),"st","nd","rd","th"),"")</f>
        <v/>
      </c>
    </row>
    <row r="519" spans="12:12" x14ac:dyDescent="0.25">
      <c r="L519" s="164" t="str">
        <f>IFERROR(COUNTIF($B$19:B519,B519)&amp;CHOOSE(MIN(4,COUNTIF($B$19:B519,B519)),"st","nd","rd","th"),"")</f>
        <v/>
      </c>
    </row>
    <row r="520" spans="12:12" x14ac:dyDescent="0.25">
      <c r="L520" s="164" t="str">
        <f>IFERROR(COUNTIF($B$19:B520,B520)&amp;CHOOSE(MIN(4,COUNTIF($B$19:B520,B520)),"st","nd","rd","th"),"")</f>
        <v/>
      </c>
    </row>
    <row r="521" spans="12:12" x14ac:dyDescent="0.25">
      <c r="L521" s="164" t="str">
        <f>IFERROR(COUNTIF($B$19:B521,B521)&amp;CHOOSE(MIN(4,COUNTIF($B$19:B521,B521)),"st","nd","rd","th"),"")</f>
        <v/>
      </c>
    </row>
    <row r="522" spans="12:12" x14ac:dyDescent="0.25">
      <c r="L522" s="164" t="str">
        <f>IFERROR(COUNTIF($B$19:B522,B522)&amp;CHOOSE(MIN(4,COUNTIF($B$19:B522,B522)),"st","nd","rd","th"),"")</f>
        <v/>
      </c>
    </row>
    <row r="523" spans="12:12" x14ac:dyDescent="0.25">
      <c r="L523" s="164" t="str">
        <f>IFERROR(COUNTIF($B$19:B523,B523)&amp;CHOOSE(MIN(4,COUNTIF($B$19:B523,B523)),"st","nd","rd","th"),"")</f>
        <v/>
      </c>
    </row>
    <row r="524" spans="12:12" x14ac:dyDescent="0.25">
      <c r="L524" s="164" t="str">
        <f>IFERROR(COUNTIF($B$19:B524,B524)&amp;CHOOSE(MIN(4,COUNTIF($B$19:B524,B524)),"st","nd","rd","th"),"")</f>
        <v/>
      </c>
    </row>
    <row r="525" spans="12:12" x14ac:dyDescent="0.25">
      <c r="L525" s="164" t="str">
        <f>IFERROR(COUNTIF($B$19:B525,B525)&amp;CHOOSE(MIN(4,COUNTIF($B$19:B525,B525)),"st","nd","rd","th"),"")</f>
        <v/>
      </c>
    </row>
    <row r="526" spans="12:12" x14ac:dyDescent="0.25">
      <c r="L526" s="164" t="str">
        <f>IFERROR(COUNTIF($B$19:B526,B526)&amp;CHOOSE(MIN(4,COUNTIF($B$19:B526,B526)),"st","nd","rd","th"),"")</f>
        <v/>
      </c>
    </row>
    <row r="527" spans="12:12" x14ac:dyDescent="0.25">
      <c r="L527" s="164" t="str">
        <f>IFERROR(COUNTIF($B$19:B527,B527)&amp;CHOOSE(MIN(4,COUNTIF($B$19:B527,B527)),"st","nd","rd","th"),"")</f>
        <v/>
      </c>
    </row>
    <row r="528" spans="12:12" x14ac:dyDescent="0.25">
      <c r="L528" s="164" t="str">
        <f>IFERROR(COUNTIF($B$19:B528,B528)&amp;CHOOSE(MIN(4,COUNTIF($B$19:B528,B528)),"st","nd","rd","th"),"")</f>
        <v/>
      </c>
    </row>
    <row r="529" spans="12:12" x14ac:dyDescent="0.25">
      <c r="L529" s="164" t="str">
        <f>IFERROR(COUNTIF($B$19:B529,B529)&amp;CHOOSE(MIN(4,COUNTIF($B$19:B529,B529)),"st","nd","rd","th"),"")</f>
        <v/>
      </c>
    </row>
    <row r="530" spans="12:12" x14ac:dyDescent="0.25">
      <c r="L530" s="164" t="str">
        <f>IFERROR(COUNTIF($B$19:B530,B530)&amp;CHOOSE(MIN(4,COUNTIF($B$19:B530,B530)),"st","nd","rd","th"),"")</f>
        <v/>
      </c>
    </row>
    <row r="531" spans="12:12" x14ac:dyDescent="0.25">
      <c r="L531" s="164" t="str">
        <f>IFERROR(COUNTIF($B$19:B531,B531)&amp;CHOOSE(MIN(4,COUNTIF($B$19:B531,B531)),"st","nd","rd","th"),"")</f>
        <v/>
      </c>
    </row>
    <row r="532" spans="12:12" x14ac:dyDescent="0.25">
      <c r="L532" s="164" t="str">
        <f>IFERROR(COUNTIF($B$19:B532,B532)&amp;CHOOSE(MIN(4,COUNTIF($B$19:B532,B532)),"st","nd","rd","th"),"")</f>
        <v/>
      </c>
    </row>
    <row r="533" spans="12:12" x14ac:dyDescent="0.25">
      <c r="L533" s="164" t="str">
        <f>IFERROR(COUNTIF($B$19:B533,B533)&amp;CHOOSE(MIN(4,COUNTIF($B$19:B533,B533)),"st","nd","rd","th"),"")</f>
        <v/>
      </c>
    </row>
    <row r="534" spans="12:12" x14ac:dyDescent="0.25">
      <c r="L534" s="164" t="str">
        <f>IFERROR(COUNTIF($B$19:B534,B534)&amp;CHOOSE(MIN(4,COUNTIF($B$19:B534,B534)),"st","nd","rd","th"),"")</f>
        <v/>
      </c>
    </row>
    <row r="535" spans="12:12" x14ac:dyDescent="0.25">
      <c r="L535" s="164" t="str">
        <f>IFERROR(COUNTIF($B$19:B535,B535)&amp;CHOOSE(MIN(4,COUNTIF($B$19:B535,B535)),"st","nd","rd","th"),"")</f>
        <v/>
      </c>
    </row>
    <row r="536" spans="12:12" x14ac:dyDescent="0.25">
      <c r="L536" s="164" t="str">
        <f>IFERROR(COUNTIF($B$19:B536,B536)&amp;CHOOSE(MIN(4,COUNTIF($B$19:B536,B536)),"st","nd","rd","th"),"")</f>
        <v/>
      </c>
    </row>
    <row r="537" spans="12:12" x14ac:dyDescent="0.25">
      <c r="L537" s="164" t="str">
        <f>IFERROR(COUNTIF($B$19:B537,B537)&amp;CHOOSE(MIN(4,COUNTIF($B$19:B537,B537)),"st","nd","rd","th"),"")</f>
        <v/>
      </c>
    </row>
    <row r="538" spans="12:12" x14ac:dyDescent="0.25">
      <c r="L538" s="164" t="str">
        <f>IFERROR(COUNTIF($B$19:B538,B538)&amp;CHOOSE(MIN(4,COUNTIF($B$19:B538,B538)),"st","nd","rd","th"),"")</f>
        <v/>
      </c>
    </row>
    <row r="539" spans="12:12" x14ac:dyDescent="0.25">
      <c r="L539" s="164" t="str">
        <f>IFERROR(COUNTIF($B$19:B539,B539)&amp;CHOOSE(MIN(4,COUNTIF($B$19:B539,B539)),"st","nd","rd","th"),"")</f>
        <v/>
      </c>
    </row>
    <row r="540" spans="12:12" x14ac:dyDescent="0.25">
      <c r="L540" s="164" t="str">
        <f>IFERROR(COUNTIF($B$19:B540,B540)&amp;CHOOSE(MIN(4,COUNTIF($B$19:B540,B540)),"st","nd","rd","th"),"")</f>
        <v/>
      </c>
    </row>
    <row r="541" spans="12:12" x14ac:dyDescent="0.25">
      <c r="L541" s="164" t="str">
        <f>IFERROR(COUNTIF($B$19:B541,B541)&amp;CHOOSE(MIN(4,COUNTIF($B$19:B541,B541)),"st","nd","rd","th"),"")</f>
        <v/>
      </c>
    </row>
    <row r="542" spans="12:12" x14ac:dyDescent="0.25">
      <c r="L542" s="164" t="str">
        <f>IFERROR(COUNTIF($B$19:B542,B542)&amp;CHOOSE(MIN(4,COUNTIF($B$19:B542,B542)),"st","nd","rd","th"),"")</f>
        <v/>
      </c>
    </row>
    <row r="543" spans="12:12" x14ac:dyDescent="0.25">
      <c r="L543" s="164" t="str">
        <f>IFERROR(COUNTIF($B$19:B543,B543)&amp;CHOOSE(MIN(4,COUNTIF($B$19:B543,B543)),"st","nd","rd","th"),"")</f>
        <v/>
      </c>
    </row>
    <row r="544" spans="12:12" x14ac:dyDescent="0.25">
      <c r="L544" s="164" t="str">
        <f>IFERROR(COUNTIF($B$19:B544,B544)&amp;CHOOSE(MIN(4,COUNTIF($B$19:B544,B544)),"st","nd","rd","th"),"")</f>
        <v/>
      </c>
    </row>
    <row r="545" spans="12:12" x14ac:dyDescent="0.25">
      <c r="L545" s="164" t="str">
        <f>IFERROR(COUNTIF($B$19:B545,B545)&amp;CHOOSE(MIN(4,COUNTIF($B$19:B545,B545)),"st","nd","rd","th"),"")</f>
        <v/>
      </c>
    </row>
    <row r="546" spans="12:12" x14ac:dyDescent="0.25">
      <c r="L546" s="164" t="str">
        <f>IFERROR(COUNTIF($B$19:B546,B546)&amp;CHOOSE(MIN(4,COUNTIF($B$19:B546,B546)),"st","nd","rd","th"),"")</f>
        <v/>
      </c>
    </row>
    <row r="547" spans="12:12" x14ac:dyDescent="0.25">
      <c r="L547" s="164" t="str">
        <f>IFERROR(COUNTIF($B$19:B547,B547)&amp;CHOOSE(MIN(4,COUNTIF($B$19:B547,B547)),"st","nd","rd","th"),"")</f>
        <v/>
      </c>
    </row>
    <row r="548" spans="12:12" x14ac:dyDescent="0.25">
      <c r="L548" s="164" t="str">
        <f>IFERROR(COUNTIF($B$19:B548,B548)&amp;CHOOSE(MIN(4,COUNTIF($B$19:B548,B548)),"st","nd","rd","th"),"")</f>
        <v/>
      </c>
    </row>
    <row r="549" spans="12:12" x14ac:dyDescent="0.25">
      <c r="L549" s="164" t="str">
        <f>IFERROR(COUNTIF($B$19:B549,B549)&amp;CHOOSE(MIN(4,COUNTIF($B$19:B549,B549)),"st","nd","rd","th"),"")</f>
        <v/>
      </c>
    </row>
    <row r="550" spans="12:12" x14ac:dyDescent="0.25">
      <c r="L550" s="164" t="str">
        <f>IFERROR(COUNTIF($B$19:B550,B550)&amp;CHOOSE(MIN(4,COUNTIF($B$19:B550,B550)),"st","nd","rd","th"),"")</f>
        <v/>
      </c>
    </row>
    <row r="551" spans="12:12" x14ac:dyDescent="0.25">
      <c r="L551" s="164" t="str">
        <f>IFERROR(COUNTIF($B$19:B551,B551)&amp;CHOOSE(MIN(4,COUNTIF($B$19:B551,B551)),"st","nd","rd","th"),"")</f>
        <v/>
      </c>
    </row>
    <row r="552" spans="12:12" x14ac:dyDescent="0.25">
      <c r="L552" s="164" t="str">
        <f>IFERROR(COUNTIF($B$19:B552,B552)&amp;CHOOSE(MIN(4,COUNTIF($B$19:B552,B552)),"st","nd","rd","th"),"")</f>
        <v/>
      </c>
    </row>
    <row r="553" spans="12:12" x14ac:dyDescent="0.25">
      <c r="L553" s="164" t="str">
        <f>IFERROR(COUNTIF($B$19:B553,B553)&amp;CHOOSE(MIN(4,COUNTIF($B$19:B553,B553)),"st","nd","rd","th"),"")</f>
        <v/>
      </c>
    </row>
    <row r="554" spans="12:12" x14ac:dyDescent="0.25">
      <c r="L554" s="164" t="str">
        <f>IFERROR(COUNTIF($B$19:B554,B554)&amp;CHOOSE(MIN(4,COUNTIF($B$19:B554,B554)),"st","nd","rd","th"),"")</f>
        <v/>
      </c>
    </row>
    <row r="555" spans="12:12" x14ac:dyDescent="0.25">
      <c r="L555" s="164" t="str">
        <f>IFERROR(COUNTIF($B$19:B555,B555)&amp;CHOOSE(MIN(4,COUNTIF($B$19:B555,B555)),"st","nd","rd","th"),"")</f>
        <v/>
      </c>
    </row>
    <row r="556" spans="12:12" x14ac:dyDescent="0.25">
      <c r="L556" s="164" t="str">
        <f>IFERROR(COUNTIF($B$19:B556,B556)&amp;CHOOSE(MIN(4,COUNTIF($B$19:B556,B556)),"st","nd","rd","th"),"")</f>
        <v/>
      </c>
    </row>
    <row r="557" spans="12:12" x14ac:dyDescent="0.25">
      <c r="L557" s="164" t="str">
        <f>IFERROR(COUNTIF($B$19:B557,B557)&amp;CHOOSE(MIN(4,COUNTIF($B$19:B557,B557)),"st","nd","rd","th"),"")</f>
        <v/>
      </c>
    </row>
    <row r="558" spans="12:12" x14ac:dyDescent="0.25">
      <c r="L558" s="164" t="str">
        <f>IFERROR(COUNTIF($B$19:B558,B558)&amp;CHOOSE(MIN(4,COUNTIF($B$19:B558,B558)),"st","nd","rd","th"),"")</f>
        <v/>
      </c>
    </row>
    <row r="559" spans="12:12" x14ac:dyDescent="0.25">
      <c r="L559" s="164" t="str">
        <f>IFERROR(COUNTIF($B$19:B559,B559)&amp;CHOOSE(MIN(4,COUNTIF($B$19:B559,B559)),"st","nd","rd","th"),"")</f>
        <v/>
      </c>
    </row>
    <row r="560" spans="12:12" x14ac:dyDescent="0.25">
      <c r="L560" s="164" t="str">
        <f>IFERROR(COUNTIF($B$19:B560,B560)&amp;CHOOSE(MIN(4,COUNTIF($B$19:B560,B560)),"st","nd","rd","th"),"")</f>
        <v/>
      </c>
    </row>
    <row r="561" spans="12:12" x14ac:dyDescent="0.25">
      <c r="L561" s="164" t="str">
        <f>IFERROR(COUNTIF($B$19:B561,B561)&amp;CHOOSE(MIN(4,COUNTIF($B$19:B561,B561)),"st","nd","rd","th"),"")</f>
        <v/>
      </c>
    </row>
    <row r="562" spans="12:12" x14ac:dyDescent="0.25">
      <c r="L562" s="164" t="str">
        <f>IFERROR(COUNTIF($B$19:B562,B562)&amp;CHOOSE(MIN(4,COUNTIF($B$19:B562,B562)),"st","nd","rd","th"),"")</f>
        <v/>
      </c>
    </row>
    <row r="563" spans="12:12" x14ac:dyDescent="0.25">
      <c r="L563" s="164" t="str">
        <f>IFERROR(COUNTIF($B$19:B563,B563)&amp;CHOOSE(MIN(4,COUNTIF($B$19:B563,B563)),"st","nd","rd","th"),"")</f>
        <v/>
      </c>
    </row>
    <row r="564" spans="12:12" x14ac:dyDescent="0.25">
      <c r="L564" s="164" t="str">
        <f>IFERROR(COUNTIF($B$19:B564,B564)&amp;CHOOSE(MIN(4,COUNTIF($B$19:B564,B564)),"st","nd","rd","th"),"")</f>
        <v/>
      </c>
    </row>
    <row r="565" spans="12:12" x14ac:dyDescent="0.25">
      <c r="L565" s="164" t="str">
        <f>IFERROR(COUNTIF($B$19:B565,B565)&amp;CHOOSE(MIN(4,COUNTIF($B$19:B565,B565)),"st","nd","rd","th"),"")</f>
        <v/>
      </c>
    </row>
    <row r="566" spans="12:12" x14ac:dyDescent="0.25">
      <c r="L566" s="164" t="str">
        <f>IFERROR(COUNTIF($B$19:B566,B566)&amp;CHOOSE(MIN(4,COUNTIF($B$19:B566,B566)),"st","nd","rd","th"),"")</f>
        <v/>
      </c>
    </row>
    <row r="567" spans="12:12" x14ac:dyDescent="0.25">
      <c r="L567" s="164" t="str">
        <f>IFERROR(COUNTIF($B$19:B567,B567)&amp;CHOOSE(MIN(4,COUNTIF($B$19:B567,B567)),"st","nd","rd","th"),"")</f>
        <v/>
      </c>
    </row>
    <row r="568" spans="12:12" x14ac:dyDescent="0.25">
      <c r="L568" s="164" t="str">
        <f>IFERROR(COUNTIF($B$19:B568,B568)&amp;CHOOSE(MIN(4,COUNTIF($B$19:B568,B568)),"st","nd","rd","th"),"")</f>
        <v/>
      </c>
    </row>
    <row r="569" spans="12:12" x14ac:dyDescent="0.25">
      <c r="L569" s="164" t="str">
        <f>IFERROR(COUNTIF($B$19:B569,B569)&amp;CHOOSE(MIN(4,COUNTIF($B$19:B569,B569)),"st","nd","rd","th"),"")</f>
        <v/>
      </c>
    </row>
    <row r="570" spans="12:12" x14ac:dyDescent="0.25">
      <c r="L570" s="164" t="str">
        <f>IFERROR(COUNTIF($B$19:B570,B570)&amp;CHOOSE(MIN(4,COUNTIF($B$19:B570,B570)),"st","nd","rd","th"),"")</f>
        <v/>
      </c>
    </row>
    <row r="571" spans="12:12" x14ac:dyDescent="0.25">
      <c r="L571" s="164" t="str">
        <f>IFERROR(COUNTIF($B$19:B571,B571)&amp;CHOOSE(MIN(4,COUNTIF($B$19:B571,B571)),"st","nd","rd","th"),"")</f>
        <v/>
      </c>
    </row>
    <row r="572" spans="12:12" x14ac:dyDescent="0.25">
      <c r="L572" s="164" t="str">
        <f>IFERROR(COUNTIF($B$19:B572,B572)&amp;CHOOSE(MIN(4,COUNTIF($B$19:B572,B572)),"st","nd","rd","th"),"")</f>
        <v/>
      </c>
    </row>
    <row r="573" spans="12:12" x14ac:dyDescent="0.25">
      <c r="L573" s="164" t="str">
        <f>IFERROR(COUNTIF($B$19:B573,B573)&amp;CHOOSE(MIN(4,COUNTIF($B$19:B573,B573)),"st","nd","rd","th"),"")</f>
        <v/>
      </c>
    </row>
    <row r="574" spans="12:12" x14ac:dyDescent="0.25">
      <c r="L574" s="164" t="str">
        <f>IFERROR(COUNTIF($B$19:B574,B574)&amp;CHOOSE(MIN(4,COUNTIF($B$19:B574,B574)),"st","nd","rd","th"),"")</f>
        <v/>
      </c>
    </row>
    <row r="575" spans="12:12" x14ac:dyDescent="0.25">
      <c r="L575" s="164" t="str">
        <f>IFERROR(COUNTIF($B$19:B575,B575)&amp;CHOOSE(MIN(4,COUNTIF($B$19:B575,B575)),"st","nd","rd","th"),"")</f>
        <v/>
      </c>
    </row>
    <row r="576" spans="12:12" x14ac:dyDescent="0.25">
      <c r="L576" s="164" t="str">
        <f>IFERROR(COUNTIF($B$19:B576,B576)&amp;CHOOSE(MIN(4,COUNTIF($B$19:B576,B576)),"st","nd","rd","th"),"")</f>
        <v/>
      </c>
    </row>
    <row r="577" spans="12:12" x14ac:dyDescent="0.25">
      <c r="L577" s="164" t="str">
        <f>IFERROR(COUNTIF($B$19:B577,B577)&amp;CHOOSE(MIN(4,COUNTIF($B$19:B577,B577)),"st","nd","rd","th"),"")</f>
        <v/>
      </c>
    </row>
    <row r="578" spans="12:12" x14ac:dyDescent="0.25">
      <c r="L578" s="164" t="str">
        <f>IFERROR(COUNTIF($B$19:B578,B578)&amp;CHOOSE(MIN(4,COUNTIF($B$19:B578,B578)),"st","nd","rd","th"),"")</f>
        <v/>
      </c>
    </row>
    <row r="579" spans="12:12" x14ac:dyDescent="0.25">
      <c r="L579" s="164" t="str">
        <f>IFERROR(COUNTIF($B$19:B579,B579)&amp;CHOOSE(MIN(4,COUNTIF($B$19:B579,B579)),"st","nd","rd","th"),"")</f>
        <v/>
      </c>
    </row>
    <row r="580" spans="12:12" x14ac:dyDescent="0.25">
      <c r="L580" s="164" t="str">
        <f>IFERROR(COUNTIF($B$19:B580,B580)&amp;CHOOSE(MIN(4,COUNTIF($B$19:B580,B580)),"st","nd","rd","th"),"")</f>
        <v/>
      </c>
    </row>
    <row r="581" spans="12:12" x14ac:dyDescent="0.25">
      <c r="L581" s="164" t="str">
        <f>IFERROR(COUNTIF($B$19:B581,B581)&amp;CHOOSE(MIN(4,COUNTIF($B$19:B581,B581)),"st","nd","rd","th"),"")</f>
        <v/>
      </c>
    </row>
    <row r="582" spans="12:12" x14ac:dyDescent="0.25">
      <c r="L582" s="164" t="str">
        <f>IFERROR(COUNTIF($B$19:B582,B582)&amp;CHOOSE(MIN(4,COUNTIF($B$19:B582,B582)),"st","nd","rd","th"),"")</f>
        <v/>
      </c>
    </row>
    <row r="583" spans="12:12" x14ac:dyDescent="0.25">
      <c r="L583" s="164" t="str">
        <f>IFERROR(COUNTIF($B$19:B583,B583)&amp;CHOOSE(MIN(4,COUNTIF($B$19:B583,B583)),"st","nd","rd","th"),"")</f>
        <v/>
      </c>
    </row>
    <row r="584" spans="12:12" x14ac:dyDescent="0.25">
      <c r="L584" s="164" t="str">
        <f>IFERROR(COUNTIF($B$19:B584,B584)&amp;CHOOSE(MIN(4,COUNTIF($B$19:B584,B584)),"st","nd","rd","th"),"")</f>
        <v/>
      </c>
    </row>
    <row r="585" spans="12:12" x14ac:dyDescent="0.25">
      <c r="L585" s="164" t="str">
        <f>IFERROR(COUNTIF($B$19:B585,B585)&amp;CHOOSE(MIN(4,COUNTIF($B$19:B585,B585)),"st","nd","rd","th"),"")</f>
        <v/>
      </c>
    </row>
    <row r="586" spans="12:12" x14ac:dyDescent="0.25">
      <c r="L586" s="164" t="str">
        <f>IFERROR(COUNTIF($B$19:B586,B586)&amp;CHOOSE(MIN(4,COUNTIF($B$19:B586,B586)),"st","nd","rd","th"),"")</f>
        <v/>
      </c>
    </row>
    <row r="587" spans="12:12" x14ac:dyDescent="0.25">
      <c r="L587" s="164" t="str">
        <f>IFERROR(COUNTIF($B$19:B587,B587)&amp;CHOOSE(MIN(4,COUNTIF($B$19:B587,B587)),"st","nd","rd","th"),"")</f>
        <v/>
      </c>
    </row>
    <row r="588" spans="12:12" x14ac:dyDescent="0.25">
      <c r="L588" s="164" t="str">
        <f>IFERROR(COUNTIF($B$19:B588,B588)&amp;CHOOSE(MIN(4,COUNTIF($B$19:B588,B588)),"st","nd","rd","th"),"")</f>
        <v/>
      </c>
    </row>
    <row r="589" spans="12:12" x14ac:dyDescent="0.25">
      <c r="L589" s="164" t="str">
        <f>IFERROR(COUNTIF($B$19:B589,B589)&amp;CHOOSE(MIN(4,COUNTIF($B$19:B589,B589)),"st","nd","rd","th"),"")</f>
        <v/>
      </c>
    </row>
    <row r="590" spans="12:12" x14ac:dyDescent="0.25">
      <c r="L590" s="164" t="str">
        <f>IFERROR(COUNTIF($B$19:B590,B590)&amp;CHOOSE(MIN(4,COUNTIF($B$19:B590,B590)),"st","nd","rd","th"),"")</f>
        <v/>
      </c>
    </row>
    <row r="591" spans="12:12" x14ac:dyDescent="0.25">
      <c r="L591" s="164" t="str">
        <f>IFERROR(COUNTIF($B$19:B591,B591)&amp;CHOOSE(MIN(4,COUNTIF($B$19:B591,B591)),"st","nd","rd","th"),"")</f>
        <v/>
      </c>
    </row>
    <row r="592" spans="12:12" x14ac:dyDescent="0.25">
      <c r="L592" s="164" t="str">
        <f>IFERROR(COUNTIF($B$19:B592,B592)&amp;CHOOSE(MIN(4,COUNTIF($B$19:B592,B592)),"st","nd","rd","th"),"")</f>
        <v/>
      </c>
    </row>
    <row r="593" spans="12:12" x14ac:dyDescent="0.25">
      <c r="L593" s="164" t="str">
        <f>IFERROR(COUNTIF($B$19:B593,B593)&amp;CHOOSE(MIN(4,COUNTIF($B$19:B593,B593)),"st","nd","rd","th"),"")</f>
        <v/>
      </c>
    </row>
    <row r="594" spans="12:12" x14ac:dyDescent="0.25">
      <c r="L594" s="164" t="str">
        <f>IFERROR(COUNTIF($B$19:B594,B594)&amp;CHOOSE(MIN(4,COUNTIF($B$19:B594,B594)),"st","nd","rd","th"),"")</f>
        <v/>
      </c>
    </row>
    <row r="595" spans="12:12" x14ac:dyDescent="0.25">
      <c r="L595" s="164" t="str">
        <f>IFERROR(COUNTIF($B$19:B595,B595)&amp;CHOOSE(MIN(4,COUNTIF($B$19:B595,B595)),"st","nd","rd","th"),"")</f>
        <v/>
      </c>
    </row>
    <row r="596" spans="12:12" x14ac:dyDescent="0.25">
      <c r="L596" s="164" t="str">
        <f>IFERROR(COUNTIF($B$19:B596,B596)&amp;CHOOSE(MIN(4,COUNTIF($B$19:B596,B596)),"st","nd","rd","th"),"")</f>
        <v/>
      </c>
    </row>
    <row r="597" spans="12:12" x14ac:dyDescent="0.25">
      <c r="L597" s="164" t="str">
        <f>IFERROR(COUNTIF($B$19:B597,B597)&amp;CHOOSE(MIN(4,COUNTIF($B$19:B597,B597)),"st","nd","rd","th"),"")</f>
        <v/>
      </c>
    </row>
    <row r="598" spans="12:12" x14ac:dyDescent="0.25">
      <c r="L598" s="164" t="str">
        <f>IFERROR(COUNTIF($B$19:B598,B598)&amp;CHOOSE(MIN(4,COUNTIF($B$19:B598,B598)),"st","nd","rd","th"),"")</f>
        <v/>
      </c>
    </row>
    <row r="599" spans="12:12" x14ac:dyDescent="0.25">
      <c r="L599" s="164" t="str">
        <f>IFERROR(COUNTIF($B$19:B599,B599)&amp;CHOOSE(MIN(4,COUNTIF($B$19:B599,B599)),"st","nd","rd","th"),"")</f>
        <v/>
      </c>
    </row>
    <row r="600" spans="12:12" x14ac:dyDescent="0.25">
      <c r="L600" s="164" t="str">
        <f>IFERROR(COUNTIF($B$19:B600,B600)&amp;CHOOSE(MIN(4,COUNTIF($B$19:B600,B600)),"st","nd","rd","th"),"")</f>
        <v/>
      </c>
    </row>
    <row r="601" spans="12:12" x14ac:dyDescent="0.25">
      <c r="L601" s="164" t="str">
        <f>IFERROR(COUNTIF($B$19:B601,B601)&amp;CHOOSE(MIN(4,COUNTIF($B$19:B601,B601)),"st","nd","rd","th"),"")</f>
        <v/>
      </c>
    </row>
    <row r="602" spans="12:12" x14ac:dyDescent="0.25">
      <c r="L602" s="164" t="str">
        <f>IFERROR(COUNTIF($B$19:B602,B602)&amp;CHOOSE(MIN(4,COUNTIF($B$19:B602,B602)),"st","nd","rd","th"),"")</f>
        <v/>
      </c>
    </row>
    <row r="603" spans="12:12" x14ac:dyDescent="0.25">
      <c r="L603" s="164" t="str">
        <f>IFERROR(COUNTIF($B$19:B603,B603)&amp;CHOOSE(MIN(4,COUNTIF($B$19:B603,B603)),"st","nd","rd","th"),"")</f>
        <v/>
      </c>
    </row>
    <row r="604" spans="12:12" x14ac:dyDescent="0.25">
      <c r="L604" s="164" t="str">
        <f>IFERROR(COUNTIF($B$19:B604,B604)&amp;CHOOSE(MIN(4,COUNTIF($B$19:B604,B604)),"st","nd","rd","th"),"")</f>
        <v/>
      </c>
    </row>
    <row r="605" spans="12:12" x14ac:dyDescent="0.25">
      <c r="L605" s="164" t="str">
        <f>IFERROR(COUNTIF($B$19:B605,B605)&amp;CHOOSE(MIN(4,COUNTIF($B$19:B605,B605)),"st","nd","rd","th"),"")</f>
        <v/>
      </c>
    </row>
    <row r="606" spans="12:12" x14ac:dyDescent="0.25">
      <c r="L606" s="164" t="str">
        <f>IFERROR(COUNTIF($B$19:B606,B606)&amp;CHOOSE(MIN(4,COUNTIF($B$19:B606,B606)),"st","nd","rd","th"),"")</f>
        <v/>
      </c>
    </row>
    <row r="607" spans="12:12" x14ac:dyDescent="0.25">
      <c r="L607" s="164" t="str">
        <f>IFERROR(COUNTIF($B$19:B607,B607)&amp;CHOOSE(MIN(4,COUNTIF($B$19:B607,B607)),"st","nd","rd","th"),"")</f>
        <v/>
      </c>
    </row>
    <row r="608" spans="12:12" x14ac:dyDescent="0.25">
      <c r="L608" s="164" t="str">
        <f>IFERROR(COUNTIF($B$19:B608,B608)&amp;CHOOSE(MIN(4,COUNTIF($B$19:B608,B608)),"st","nd","rd","th"),"")</f>
        <v/>
      </c>
    </row>
    <row r="609" spans="12:12" x14ac:dyDescent="0.25">
      <c r="L609" s="164" t="str">
        <f>IFERROR(COUNTIF($B$19:B609,B609)&amp;CHOOSE(MIN(4,COUNTIF($B$19:B609,B609)),"st","nd","rd","th"),"")</f>
        <v/>
      </c>
    </row>
    <row r="610" spans="12:12" x14ac:dyDescent="0.25">
      <c r="L610" s="164" t="str">
        <f>IFERROR(COUNTIF($B$19:B610,B610)&amp;CHOOSE(MIN(4,COUNTIF($B$19:B610,B610)),"st","nd","rd","th"),"")</f>
        <v/>
      </c>
    </row>
    <row r="611" spans="12:12" x14ac:dyDescent="0.25">
      <c r="L611" s="164" t="str">
        <f>IFERROR(COUNTIF($B$19:B611,B611)&amp;CHOOSE(MIN(4,COUNTIF($B$19:B611,B611)),"st","nd","rd","th"),"")</f>
        <v/>
      </c>
    </row>
    <row r="612" spans="12:12" x14ac:dyDescent="0.25">
      <c r="L612" s="164" t="str">
        <f>IFERROR(COUNTIF($B$19:B612,B612)&amp;CHOOSE(MIN(4,COUNTIF($B$19:B612,B612)),"st","nd","rd","th"),"")</f>
        <v/>
      </c>
    </row>
    <row r="613" spans="12:12" x14ac:dyDescent="0.25">
      <c r="L613" s="164" t="str">
        <f>IFERROR(COUNTIF($B$19:B613,B613)&amp;CHOOSE(MIN(4,COUNTIF($B$19:B613,B613)),"st","nd","rd","th"),"")</f>
        <v/>
      </c>
    </row>
    <row r="614" spans="12:12" x14ac:dyDescent="0.25">
      <c r="L614" s="164" t="str">
        <f>IFERROR(COUNTIF($B$19:B614,B614)&amp;CHOOSE(MIN(4,COUNTIF($B$19:B614,B614)),"st","nd","rd","th"),"")</f>
        <v/>
      </c>
    </row>
    <row r="615" spans="12:12" x14ac:dyDescent="0.25">
      <c r="L615" s="164" t="str">
        <f>IFERROR(COUNTIF($B$19:B615,B615)&amp;CHOOSE(MIN(4,COUNTIF($B$19:B615,B615)),"st","nd","rd","th"),"")</f>
        <v/>
      </c>
    </row>
    <row r="616" spans="12:12" x14ac:dyDescent="0.25">
      <c r="L616" s="164" t="str">
        <f>IFERROR(COUNTIF($B$19:B616,B616)&amp;CHOOSE(MIN(4,COUNTIF($B$19:B616,B616)),"st","nd","rd","th"),"")</f>
        <v/>
      </c>
    </row>
    <row r="617" spans="12:12" x14ac:dyDescent="0.25">
      <c r="L617" s="164" t="str">
        <f>IFERROR(COUNTIF($B$19:B617,B617)&amp;CHOOSE(MIN(4,COUNTIF($B$19:B617,B617)),"st","nd","rd","th"),"")</f>
        <v/>
      </c>
    </row>
    <row r="618" spans="12:12" x14ac:dyDescent="0.25">
      <c r="L618" s="164" t="str">
        <f>IFERROR(COUNTIF($B$19:B618,B618)&amp;CHOOSE(MIN(4,COUNTIF($B$19:B618,B618)),"st","nd","rd","th"),"")</f>
        <v/>
      </c>
    </row>
    <row r="619" spans="12:12" x14ac:dyDescent="0.25">
      <c r="L619" s="164" t="str">
        <f>IFERROR(COUNTIF($B$19:B619,B619)&amp;CHOOSE(MIN(4,COUNTIF($B$19:B619,B619)),"st","nd","rd","th"),"")</f>
        <v/>
      </c>
    </row>
    <row r="620" spans="12:12" x14ac:dyDescent="0.25">
      <c r="L620" s="164" t="str">
        <f>IFERROR(COUNTIF($B$19:B620,B620)&amp;CHOOSE(MIN(4,COUNTIF($B$19:B620,B620)),"st","nd","rd","th"),"")</f>
        <v/>
      </c>
    </row>
    <row r="621" spans="12:12" x14ac:dyDescent="0.25">
      <c r="L621" s="164" t="str">
        <f>IFERROR(COUNTIF($B$19:B621,B621)&amp;CHOOSE(MIN(4,COUNTIF($B$19:B621,B621)),"st","nd","rd","th"),"")</f>
        <v/>
      </c>
    </row>
    <row r="622" spans="12:12" x14ac:dyDescent="0.25">
      <c r="L622" s="164" t="str">
        <f>IFERROR(COUNTIF($B$19:B622,B622)&amp;CHOOSE(MIN(4,COUNTIF($B$19:B622,B622)),"st","nd","rd","th"),"")</f>
        <v/>
      </c>
    </row>
    <row r="623" spans="12:12" x14ac:dyDescent="0.25">
      <c r="L623" s="164" t="str">
        <f>IFERROR(COUNTIF($B$19:B623,B623)&amp;CHOOSE(MIN(4,COUNTIF($B$19:B623,B623)),"st","nd","rd","th"),"")</f>
        <v/>
      </c>
    </row>
    <row r="624" spans="12:12" x14ac:dyDescent="0.25">
      <c r="L624" s="164" t="str">
        <f>IFERROR(COUNTIF($B$19:B624,B624)&amp;CHOOSE(MIN(4,COUNTIF($B$19:B624,B624)),"st","nd","rd","th"),"")</f>
        <v/>
      </c>
    </row>
    <row r="625" spans="12:12" x14ac:dyDescent="0.25">
      <c r="L625" s="164" t="str">
        <f>IFERROR(COUNTIF($B$19:B625,B625)&amp;CHOOSE(MIN(4,COUNTIF($B$19:B625,B625)),"st","nd","rd","th"),"")</f>
        <v/>
      </c>
    </row>
    <row r="626" spans="12:12" x14ac:dyDescent="0.25">
      <c r="L626" s="164" t="str">
        <f>IFERROR(COUNTIF($B$19:B626,B626)&amp;CHOOSE(MIN(4,COUNTIF($B$19:B626,B626)),"st","nd","rd","th"),"")</f>
        <v/>
      </c>
    </row>
    <row r="627" spans="12:12" x14ac:dyDescent="0.25">
      <c r="L627" s="164" t="str">
        <f>IFERROR(COUNTIF($B$19:B627,B627)&amp;CHOOSE(MIN(4,COUNTIF($B$19:B627,B627)),"st","nd","rd","th"),"")</f>
        <v/>
      </c>
    </row>
    <row r="628" spans="12:12" x14ac:dyDescent="0.25">
      <c r="L628" s="164" t="str">
        <f>IFERROR(COUNTIF($B$19:B628,B628)&amp;CHOOSE(MIN(4,COUNTIF($B$19:B628,B628)),"st","nd","rd","th"),"")</f>
        <v/>
      </c>
    </row>
    <row r="629" spans="12:12" x14ac:dyDescent="0.25">
      <c r="L629" s="164" t="str">
        <f>IFERROR(COUNTIF($B$19:B629,B629)&amp;CHOOSE(MIN(4,COUNTIF($B$19:B629,B629)),"st","nd","rd","th"),"")</f>
        <v/>
      </c>
    </row>
    <row r="630" spans="12:12" x14ac:dyDescent="0.25">
      <c r="L630" s="164" t="str">
        <f>IFERROR(COUNTIF($B$19:B630,B630)&amp;CHOOSE(MIN(4,COUNTIF($B$19:B630,B630)),"st","nd","rd","th"),"")</f>
        <v/>
      </c>
    </row>
    <row r="631" spans="12:12" x14ac:dyDescent="0.25">
      <c r="L631" s="164" t="str">
        <f>IFERROR(COUNTIF($B$19:B631,B631)&amp;CHOOSE(MIN(4,COUNTIF($B$19:B631,B631)),"st","nd","rd","th"),"")</f>
        <v/>
      </c>
    </row>
    <row r="632" spans="12:12" x14ac:dyDescent="0.25">
      <c r="L632" s="164" t="str">
        <f>IFERROR(COUNTIF($B$19:B632,B632)&amp;CHOOSE(MIN(4,COUNTIF($B$19:B632,B632)),"st","nd","rd","th"),"")</f>
        <v/>
      </c>
    </row>
    <row r="633" spans="12:12" x14ac:dyDescent="0.25">
      <c r="L633" s="164" t="str">
        <f>IFERROR(COUNTIF($B$19:B633,B633)&amp;CHOOSE(MIN(4,COUNTIF($B$19:B633,B633)),"st","nd","rd","th"),"")</f>
        <v/>
      </c>
    </row>
    <row r="634" spans="12:12" x14ac:dyDescent="0.25">
      <c r="L634" s="164" t="str">
        <f>IFERROR(COUNTIF($B$19:B634,B634)&amp;CHOOSE(MIN(4,COUNTIF($B$19:B634,B634)),"st","nd","rd","th"),"")</f>
        <v/>
      </c>
    </row>
    <row r="635" spans="12:12" x14ac:dyDescent="0.25">
      <c r="L635" s="164" t="str">
        <f>IFERROR(COUNTIF($B$19:B635,B635)&amp;CHOOSE(MIN(4,COUNTIF($B$19:B635,B635)),"st","nd","rd","th"),"")</f>
        <v/>
      </c>
    </row>
    <row r="636" spans="12:12" x14ac:dyDescent="0.25">
      <c r="L636" s="164" t="str">
        <f>IFERROR(COUNTIF($B$19:B636,B636)&amp;CHOOSE(MIN(4,COUNTIF($B$19:B636,B636)),"st","nd","rd","th"),"")</f>
        <v/>
      </c>
    </row>
    <row r="637" spans="12:12" x14ac:dyDescent="0.25">
      <c r="L637" s="164" t="str">
        <f>IFERROR(COUNTIF($B$19:B637,B637)&amp;CHOOSE(MIN(4,COUNTIF($B$19:B637,B637)),"st","nd","rd","th"),"")</f>
        <v/>
      </c>
    </row>
    <row r="638" spans="12:12" x14ac:dyDescent="0.25">
      <c r="L638" s="164" t="str">
        <f>IFERROR(COUNTIF($B$19:B638,B638)&amp;CHOOSE(MIN(4,COUNTIF($B$19:B638,B638)),"st","nd","rd","th"),"")</f>
        <v/>
      </c>
    </row>
    <row r="639" spans="12:12" x14ac:dyDescent="0.25">
      <c r="L639" s="164" t="str">
        <f>IFERROR(COUNTIF($B$19:B639,B639)&amp;CHOOSE(MIN(4,COUNTIF($B$19:B639,B639)),"st","nd","rd","th"),"")</f>
        <v/>
      </c>
    </row>
    <row r="640" spans="12:12" x14ac:dyDescent="0.25">
      <c r="L640" s="164" t="str">
        <f>IFERROR(COUNTIF($B$19:B640,B640)&amp;CHOOSE(MIN(4,COUNTIF($B$19:B640,B640)),"st","nd","rd","th"),"")</f>
        <v/>
      </c>
    </row>
    <row r="641" spans="12:12" x14ac:dyDescent="0.25">
      <c r="L641" s="164" t="str">
        <f>IFERROR(COUNTIF($B$19:B641,B641)&amp;CHOOSE(MIN(4,COUNTIF($B$19:B641,B641)),"st","nd","rd","th"),"")</f>
        <v/>
      </c>
    </row>
    <row r="642" spans="12:12" x14ac:dyDescent="0.25">
      <c r="L642" s="164" t="str">
        <f>IFERROR(COUNTIF($B$19:B642,B642)&amp;CHOOSE(MIN(4,COUNTIF($B$19:B642,B642)),"st","nd","rd","th"),"")</f>
        <v/>
      </c>
    </row>
    <row r="643" spans="12:12" x14ac:dyDescent="0.25">
      <c r="L643" s="164" t="str">
        <f>IFERROR(COUNTIF($B$19:B643,B643)&amp;CHOOSE(MIN(4,COUNTIF($B$19:B643,B643)),"st","nd","rd","th"),"")</f>
        <v/>
      </c>
    </row>
    <row r="644" spans="12:12" x14ac:dyDescent="0.25">
      <c r="L644" s="164" t="str">
        <f>IFERROR(COUNTIF($B$19:B644,B644)&amp;CHOOSE(MIN(4,COUNTIF($B$19:B644,B644)),"st","nd","rd","th"),"")</f>
        <v/>
      </c>
    </row>
    <row r="645" spans="12:12" x14ac:dyDescent="0.25">
      <c r="L645" s="164" t="str">
        <f>IFERROR(COUNTIF($B$19:B645,B645)&amp;CHOOSE(MIN(4,COUNTIF($B$19:B645,B645)),"st","nd","rd","th"),"")</f>
        <v/>
      </c>
    </row>
    <row r="646" spans="12:12" x14ac:dyDescent="0.25">
      <c r="L646" s="164" t="str">
        <f>IFERROR(COUNTIF($B$19:B646,B646)&amp;CHOOSE(MIN(4,COUNTIF($B$19:B646,B646)),"st","nd","rd","th"),"")</f>
        <v/>
      </c>
    </row>
    <row r="647" spans="12:12" x14ac:dyDescent="0.25">
      <c r="L647" s="164" t="str">
        <f>IFERROR(COUNTIF($B$19:B647,B647)&amp;CHOOSE(MIN(4,COUNTIF($B$19:B647,B647)),"st","nd","rd","th"),"")</f>
        <v/>
      </c>
    </row>
    <row r="648" spans="12:12" x14ac:dyDescent="0.25">
      <c r="L648" s="164" t="str">
        <f>IFERROR(COUNTIF($B$19:B648,B648)&amp;CHOOSE(MIN(4,COUNTIF($B$19:B648,B648)),"st","nd","rd","th"),"")</f>
        <v/>
      </c>
    </row>
    <row r="649" spans="12:12" x14ac:dyDescent="0.25">
      <c r="L649" s="164" t="str">
        <f>IFERROR(COUNTIF($B$19:B649,B649)&amp;CHOOSE(MIN(4,COUNTIF($B$19:B649,B649)),"st","nd","rd","th"),"")</f>
        <v/>
      </c>
    </row>
    <row r="650" spans="12:12" x14ac:dyDescent="0.25">
      <c r="L650" s="164" t="str">
        <f>IFERROR(COUNTIF($B$19:B650,B650)&amp;CHOOSE(MIN(4,COUNTIF($B$19:B650,B650)),"st","nd","rd","th"),"")</f>
        <v/>
      </c>
    </row>
    <row r="651" spans="12:12" x14ac:dyDescent="0.25">
      <c r="L651" s="164" t="str">
        <f>IFERROR(COUNTIF($B$19:B651,B651)&amp;CHOOSE(MIN(4,COUNTIF($B$19:B651,B651)),"st","nd","rd","th"),"")</f>
        <v/>
      </c>
    </row>
    <row r="652" spans="12:12" x14ac:dyDescent="0.25">
      <c r="L652" s="164" t="str">
        <f>IFERROR(COUNTIF($B$19:B652,B652)&amp;CHOOSE(MIN(4,COUNTIF($B$19:B652,B652)),"st","nd","rd","th"),"")</f>
        <v/>
      </c>
    </row>
    <row r="653" spans="12:12" x14ac:dyDescent="0.25">
      <c r="L653" s="164" t="str">
        <f>IFERROR(COUNTIF($B$19:B653,B653)&amp;CHOOSE(MIN(4,COUNTIF($B$19:B653,B653)),"st","nd","rd","th"),"")</f>
        <v/>
      </c>
    </row>
    <row r="654" spans="12:12" x14ac:dyDescent="0.25">
      <c r="L654" s="164" t="str">
        <f>IFERROR(COUNTIF($B$19:B654,B654)&amp;CHOOSE(MIN(4,COUNTIF($B$19:B654,B654)),"st","nd","rd","th"),"")</f>
        <v/>
      </c>
    </row>
    <row r="655" spans="12:12" x14ac:dyDescent="0.25">
      <c r="L655" s="164" t="str">
        <f>IFERROR(COUNTIF($B$19:B655,B655)&amp;CHOOSE(MIN(4,COUNTIF($B$19:B655,B655)),"st","nd","rd","th"),"")</f>
        <v/>
      </c>
    </row>
    <row r="656" spans="12:12" x14ac:dyDescent="0.25">
      <c r="L656" s="164" t="str">
        <f>IFERROR(COUNTIF($B$19:B656,B656)&amp;CHOOSE(MIN(4,COUNTIF($B$19:B656,B656)),"st","nd","rd","th"),"")</f>
        <v/>
      </c>
    </row>
    <row r="657" spans="12:12" x14ac:dyDescent="0.25">
      <c r="L657" s="164" t="str">
        <f>IFERROR(COUNTIF($B$19:B657,B657)&amp;CHOOSE(MIN(4,COUNTIF($B$19:B657,B657)),"st","nd","rd","th"),"")</f>
        <v/>
      </c>
    </row>
    <row r="658" spans="12:12" x14ac:dyDescent="0.25">
      <c r="L658" s="164" t="str">
        <f>IFERROR(COUNTIF($B$19:B658,B658)&amp;CHOOSE(MIN(4,COUNTIF($B$19:B658,B658)),"st","nd","rd","th"),"")</f>
        <v/>
      </c>
    </row>
    <row r="659" spans="12:12" x14ac:dyDescent="0.25">
      <c r="L659" s="164" t="str">
        <f>IFERROR(COUNTIF($B$19:B659,B659)&amp;CHOOSE(MIN(4,COUNTIF($B$19:B659,B659)),"st","nd","rd","th"),"")</f>
        <v/>
      </c>
    </row>
    <row r="660" spans="12:12" x14ac:dyDescent="0.25">
      <c r="L660" s="164" t="str">
        <f>IFERROR(COUNTIF($B$19:B660,B660)&amp;CHOOSE(MIN(4,COUNTIF($B$19:B660,B660)),"st","nd","rd","th"),"")</f>
        <v/>
      </c>
    </row>
    <row r="661" spans="12:12" x14ac:dyDescent="0.25">
      <c r="L661" s="164" t="str">
        <f>IFERROR(COUNTIF($B$19:B661,B661)&amp;CHOOSE(MIN(4,COUNTIF($B$19:B661,B661)),"st","nd","rd","th"),"")</f>
        <v/>
      </c>
    </row>
    <row r="662" spans="12:12" x14ac:dyDescent="0.25">
      <c r="L662" s="164" t="str">
        <f>IFERROR(COUNTIF($B$19:B662,B662)&amp;CHOOSE(MIN(4,COUNTIF($B$19:B662,B662)),"st","nd","rd","th"),"")</f>
        <v/>
      </c>
    </row>
    <row r="663" spans="12:12" x14ac:dyDescent="0.25">
      <c r="L663" s="164" t="str">
        <f>IFERROR(COUNTIF($B$19:B663,B663)&amp;CHOOSE(MIN(4,COUNTIF($B$19:B663,B663)),"st","nd","rd","th"),"")</f>
        <v/>
      </c>
    </row>
    <row r="664" spans="12:12" x14ac:dyDescent="0.25">
      <c r="L664" s="164" t="str">
        <f>IFERROR(COUNTIF($B$19:B664,B664)&amp;CHOOSE(MIN(4,COUNTIF($B$19:B664,B664)),"st","nd","rd","th"),"")</f>
        <v/>
      </c>
    </row>
    <row r="665" spans="12:12" x14ac:dyDescent="0.25">
      <c r="L665" s="164" t="str">
        <f>IFERROR(COUNTIF($B$19:B665,B665)&amp;CHOOSE(MIN(4,COUNTIF($B$19:B665,B665)),"st","nd","rd","th"),"")</f>
        <v/>
      </c>
    </row>
    <row r="666" spans="12:12" x14ac:dyDescent="0.25">
      <c r="L666" s="164" t="str">
        <f>IFERROR(COUNTIF($B$19:B666,B666)&amp;CHOOSE(MIN(4,COUNTIF($B$19:B666,B666)),"st","nd","rd","th"),"")</f>
        <v/>
      </c>
    </row>
    <row r="667" spans="12:12" x14ac:dyDescent="0.25">
      <c r="L667" s="164" t="str">
        <f>IFERROR(COUNTIF($B$19:B667,B667)&amp;CHOOSE(MIN(4,COUNTIF($B$19:B667,B667)),"st","nd","rd","th"),"")</f>
        <v/>
      </c>
    </row>
    <row r="668" spans="12:12" x14ac:dyDescent="0.25">
      <c r="L668" s="164" t="str">
        <f>IFERROR(COUNTIF($B$19:B668,B668)&amp;CHOOSE(MIN(4,COUNTIF($B$19:B668,B668)),"st","nd","rd","th"),"")</f>
        <v/>
      </c>
    </row>
    <row r="669" spans="12:12" x14ac:dyDescent="0.25">
      <c r="L669" s="164" t="str">
        <f>IFERROR(COUNTIF($B$19:B669,B669)&amp;CHOOSE(MIN(4,COUNTIF($B$19:B669,B669)),"st","nd","rd","th"),"")</f>
        <v/>
      </c>
    </row>
    <row r="670" spans="12:12" x14ac:dyDescent="0.25">
      <c r="L670" s="164" t="str">
        <f>IFERROR(COUNTIF($B$19:B670,B670)&amp;CHOOSE(MIN(4,COUNTIF($B$19:B670,B670)),"st","nd","rd","th"),"")</f>
        <v/>
      </c>
    </row>
    <row r="671" spans="12:12" x14ac:dyDescent="0.25">
      <c r="L671" s="164" t="str">
        <f>IFERROR(COUNTIF($B$19:B671,B671)&amp;CHOOSE(MIN(4,COUNTIF($B$19:B671,B671)),"st","nd","rd","th"),"")</f>
        <v/>
      </c>
    </row>
    <row r="672" spans="12:12" x14ac:dyDescent="0.25">
      <c r="L672" s="164" t="str">
        <f>IFERROR(COUNTIF($B$19:B672,B672)&amp;CHOOSE(MIN(4,COUNTIF($B$19:B672,B672)),"st","nd","rd","th"),"")</f>
        <v/>
      </c>
    </row>
    <row r="673" spans="12:12" x14ac:dyDescent="0.25">
      <c r="L673" s="164" t="str">
        <f>IFERROR(COUNTIF($B$19:B673,B673)&amp;CHOOSE(MIN(4,COUNTIF($B$19:B673,B673)),"st","nd","rd","th"),"")</f>
        <v/>
      </c>
    </row>
    <row r="674" spans="12:12" x14ac:dyDescent="0.25">
      <c r="L674" s="164" t="str">
        <f>IFERROR(COUNTIF($B$19:B674,B674)&amp;CHOOSE(MIN(4,COUNTIF($B$19:B674,B674)),"st","nd","rd","th"),"")</f>
        <v/>
      </c>
    </row>
    <row r="675" spans="12:12" x14ac:dyDescent="0.25">
      <c r="L675" s="164" t="str">
        <f>IFERROR(COUNTIF($B$19:B675,B675)&amp;CHOOSE(MIN(4,COUNTIF($B$19:B675,B675)),"st","nd","rd","th"),"")</f>
        <v/>
      </c>
    </row>
    <row r="676" spans="12:12" x14ac:dyDescent="0.25">
      <c r="L676" s="164" t="str">
        <f>IFERROR(COUNTIF($B$19:B676,B676)&amp;CHOOSE(MIN(4,COUNTIF($B$19:B676,B676)),"st","nd","rd","th"),"")</f>
        <v/>
      </c>
    </row>
    <row r="677" spans="12:12" x14ac:dyDescent="0.25">
      <c r="L677" s="164" t="str">
        <f>IFERROR(COUNTIF($B$19:B677,B677)&amp;CHOOSE(MIN(4,COUNTIF($B$19:B677,B677)),"st","nd","rd","th"),"")</f>
        <v/>
      </c>
    </row>
    <row r="678" spans="12:12" x14ac:dyDescent="0.25">
      <c r="L678" s="164" t="str">
        <f>IFERROR(COUNTIF($B$19:B678,B678)&amp;CHOOSE(MIN(4,COUNTIF($B$19:B678,B678)),"st","nd","rd","th"),"")</f>
        <v/>
      </c>
    </row>
    <row r="679" spans="12:12" x14ac:dyDescent="0.25">
      <c r="L679" s="164" t="str">
        <f>IFERROR(COUNTIF($B$19:B679,B679)&amp;CHOOSE(MIN(4,COUNTIF($B$19:B679,B679)),"st","nd","rd","th"),"")</f>
        <v/>
      </c>
    </row>
    <row r="680" spans="12:12" x14ac:dyDescent="0.25">
      <c r="L680" s="164" t="str">
        <f>IFERROR(COUNTIF($B$19:B680,B680)&amp;CHOOSE(MIN(4,COUNTIF($B$19:B680,B680)),"st","nd","rd","th"),"")</f>
        <v/>
      </c>
    </row>
    <row r="681" spans="12:12" x14ac:dyDescent="0.25">
      <c r="L681" s="164" t="str">
        <f>IFERROR(COUNTIF($B$19:B681,B681)&amp;CHOOSE(MIN(4,COUNTIF($B$19:B681,B681)),"st","nd","rd","th"),"")</f>
        <v/>
      </c>
    </row>
    <row r="682" spans="12:12" x14ac:dyDescent="0.25">
      <c r="L682" s="164" t="str">
        <f>IFERROR(COUNTIF($B$19:B682,B682)&amp;CHOOSE(MIN(4,COUNTIF($B$19:B682,B682)),"st","nd","rd","th"),"")</f>
        <v/>
      </c>
    </row>
    <row r="683" spans="12:12" x14ac:dyDescent="0.25">
      <c r="L683" s="164" t="str">
        <f>IFERROR(COUNTIF($B$19:B683,B683)&amp;CHOOSE(MIN(4,COUNTIF($B$19:B683,B683)),"st","nd","rd","th"),"")</f>
        <v/>
      </c>
    </row>
    <row r="684" spans="12:12" x14ac:dyDescent="0.25">
      <c r="L684" s="164" t="str">
        <f>IFERROR(COUNTIF($B$19:B684,B684)&amp;CHOOSE(MIN(4,COUNTIF($B$19:B684,B684)),"st","nd","rd","th"),"")</f>
        <v/>
      </c>
    </row>
    <row r="685" spans="12:12" x14ac:dyDescent="0.25">
      <c r="L685" s="164" t="str">
        <f>IFERROR(COUNTIF($B$19:B685,B685)&amp;CHOOSE(MIN(4,COUNTIF($B$19:B685,B685)),"st","nd","rd","th"),"")</f>
        <v/>
      </c>
    </row>
    <row r="686" spans="12:12" x14ac:dyDescent="0.25">
      <c r="L686" s="164" t="str">
        <f>IFERROR(COUNTIF($B$19:B686,B686)&amp;CHOOSE(MIN(4,COUNTIF($B$19:B686,B686)),"st","nd","rd","th"),"")</f>
        <v/>
      </c>
    </row>
    <row r="687" spans="12:12" x14ac:dyDescent="0.25">
      <c r="L687" s="164" t="str">
        <f>IFERROR(COUNTIF($B$19:B687,B687)&amp;CHOOSE(MIN(4,COUNTIF($B$19:B687,B687)),"st","nd","rd","th"),"")</f>
        <v/>
      </c>
    </row>
    <row r="688" spans="12:12" x14ac:dyDescent="0.25">
      <c r="L688" s="164" t="str">
        <f>IFERROR(COUNTIF($B$19:B688,B688)&amp;CHOOSE(MIN(4,COUNTIF($B$19:B688,B688)),"st","nd","rd","th"),"")</f>
        <v/>
      </c>
    </row>
    <row r="689" spans="12:12" x14ac:dyDescent="0.25">
      <c r="L689" s="164" t="str">
        <f>IFERROR(COUNTIF($B$19:B689,B689)&amp;CHOOSE(MIN(4,COUNTIF($B$19:B689,B689)),"st","nd","rd","th"),"")</f>
        <v/>
      </c>
    </row>
    <row r="690" spans="12:12" x14ac:dyDescent="0.25">
      <c r="L690" s="164" t="str">
        <f>IFERROR(COUNTIF($B$19:B690,B690)&amp;CHOOSE(MIN(4,COUNTIF($B$19:B690,B690)),"st","nd","rd","th"),"")</f>
        <v/>
      </c>
    </row>
    <row r="691" spans="12:12" x14ac:dyDescent="0.25">
      <c r="L691" s="164" t="str">
        <f>IFERROR(COUNTIF($B$19:B691,B691)&amp;CHOOSE(MIN(4,COUNTIF($B$19:B691,B691)),"st","nd","rd","th"),"")</f>
        <v/>
      </c>
    </row>
    <row r="692" spans="12:12" x14ac:dyDescent="0.25">
      <c r="L692" s="164" t="str">
        <f>IFERROR(COUNTIF($B$19:B692,B692)&amp;CHOOSE(MIN(4,COUNTIF($B$19:B692,B692)),"st","nd","rd","th"),"")</f>
        <v/>
      </c>
    </row>
    <row r="693" spans="12:12" x14ac:dyDescent="0.25">
      <c r="L693" s="164" t="str">
        <f>IFERROR(COUNTIF($B$19:B693,B693)&amp;CHOOSE(MIN(4,COUNTIF($B$19:B693,B693)),"st","nd","rd","th"),"")</f>
        <v/>
      </c>
    </row>
    <row r="694" spans="12:12" x14ac:dyDescent="0.25">
      <c r="L694" s="164" t="str">
        <f>IFERROR(COUNTIF($B$19:B694,B694)&amp;CHOOSE(MIN(4,COUNTIF($B$19:B694,B694)),"st","nd","rd","th"),"")</f>
        <v/>
      </c>
    </row>
    <row r="695" spans="12:12" x14ac:dyDescent="0.25">
      <c r="L695" s="164" t="str">
        <f>IFERROR(COUNTIF($B$19:B695,B695)&amp;CHOOSE(MIN(4,COUNTIF($B$19:B695,B695)),"st","nd","rd","th"),"")</f>
        <v/>
      </c>
    </row>
    <row r="696" spans="12:12" x14ac:dyDescent="0.25">
      <c r="L696" s="164" t="str">
        <f>IFERROR(COUNTIF($B$19:B696,B696)&amp;CHOOSE(MIN(4,COUNTIF($B$19:B696,B696)),"st","nd","rd","th"),"")</f>
        <v/>
      </c>
    </row>
    <row r="697" spans="12:12" x14ac:dyDescent="0.25">
      <c r="L697" s="164" t="str">
        <f>IFERROR(COUNTIF($B$19:B697,B697)&amp;CHOOSE(MIN(4,COUNTIF($B$19:B697,B697)),"st","nd","rd","th"),"")</f>
        <v/>
      </c>
    </row>
    <row r="698" spans="12:12" x14ac:dyDescent="0.25">
      <c r="L698" s="164" t="str">
        <f>IFERROR(COUNTIF($B$19:B698,B698)&amp;CHOOSE(MIN(4,COUNTIF($B$19:B698,B698)),"st","nd","rd","th"),"")</f>
        <v/>
      </c>
    </row>
    <row r="699" spans="12:12" x14ac:dyDescent="0.25">
      <c r="L699" s="164" t="str">
        <f>IFERROR(COUNTIF($B$19:B699,B699)&amp;CHOOSE(MIN(4,COUNTIF($B$19:B699,B699)),"st","nd","rd","th"),"")</f>
        <v/>
      </c>
    </row>
    <row r="700" spans="12:12" x14ac:dyDescent="0.25">
      <c r="L700" s="164" t="str">
        <f>IFERROR(COUNTIF($B$19:B700,B700)&amp;CHOOSE(MIN(4,COUNTIF($B$19:B700,B700)),"st","nd","rd","th"),"")</f>
        <v/>
      </c>
    </row>
    <row r="701" spans="12:12" x14ac:dyDescent="0.25">
      <c r="L701" s="164" t="str">
        <f>IFERROR(COUNTIF($B$19:B701,B701)&amp;CHOOSE(MIN(4,COUNTIF($B$19:B701,B701)),"st","nd","rd","th"),"")</f>
        <v/>
      </c>
    </row>
    <row r="702" spans="12:12" x14ac:dyDescent="0.25">
      <c r="L702" s="164" t="str">
        <f>IFERROR(COUNTIF($B$19:B702,B702)&amp;CHOOSE(MIN(4,COUNTIF($B$19:B702,B702)),"st","nd","rd","th"),"")</f>
        <v/>
      </c>
    </row>
    <row r="703" spans="12:12" x14ac:dyDescent="0.25">
      <c r="L703" s="164" t="str">
        <f>IFERROR(COUNTIF($B$19:B703,B703)&amp;CHOOSE(MIN(4,COUNTIF($B$19:B703,B703)),"st","nd","rd","th"),"")</f>
        <v/>
      </c>
    </row>
    <row r="704" spans="12:12" x14ac:dyDescent="0.25">
      <c r="L704" s="164" t="str">
        <f>IFERROR(COUNTIF($B$19:B704,B704)&amp;CHOOSE(MIN(4,COUNTIF($B$19:B704,B704)),"st","nd","rd","th"),"")</f>
        <v/>
      </c>
    </row>
    <row r="705" spans="12:12" x14ac:dyDescent="0.25">
      <c r="L705" s="164" t="str">
        <f>IFERROR(COUNTIF($B$19:B705,B705)&amp;CHOOSE(MIN(4,COUNTIF($B$19:B705,B705)),"st","nd","rd","th"),"")</f>
        <v/>
      </c>
    </row>
    <row r="706" spans="12:12" x14ac:dyDescent="0.25">
      <c r="L706" s="164" t="str">
        <f>IFERROR(COUNTIF($B$19:B706,B706)&amp;CHOOSE(MIN(4,COUNTIF($B$19:B706,B706)),"st","nd","rd","th"),"")</f>
        <v/>
      </c>
    </row>
    <row r="707" spans="12:12" x14ac:dyDescent="0.25">
      <c r="L707" s="164" t="str">
        <f>IFERROR(COUNTIF($B$19:B707,B707)&amp;CHOOSE(MIN(4,COUNTIF($B$19:B707,B707)),"st","nd","rd","th"),"")</f>
        <v/>
      </c>
    </row>
    <row r="708" spans="12:12" x14ac:dyDescent="0.25">
      <c r="L708" s="164" t="str">
        <f>IFERROR(COUNTIF($B$19:B708,B708)&amp;CHOOSE(MIN(4,COUNTIF($B$19:B708,B708)),"st","nd","rd","th"),"")</f>
        <v/>
      </c>
    </row>
    <row r="709" spans="12:12" x14ac:dyDescent="0.25">
      <c r="L709" s="164" t="str">
        <f>IFERROR(COUNTIF($B$19:B709,B709)&amp;CHOOSE(MIN(4,COUNTIF($B$19:B709,B709)),"st","nd","rd","th"),"")</f>
        <v/>
      </c>
    </row>
    <row r="710" spans="12:12" x14ac:dyDescent="0.25">
      <c r="L710" s="164" t="str">
        <f>IFERROR(COUNTIF($B$19:B710,B710)&amp;CHOOSE(MIN(4,COUNTIF($B$19:B710,B710)),"st","nd","rd","th"),"")</f>
        <v/>
      </c>
    </row>
    <row r="711" spans="12:12" x14ac:dyDescent="0.25">
      <c r="L711" s="164" t="str">
        <f>IFERROR(COUNTIF($B$19:B711,B711)&amp;CHOOSE(MIN(4,COUNTIF($B$19:B711,B711)),"st","nd","rd","th"),"")</f>
        <v/>
      </c>
    </row>
    <row r="712" spans="12:12" x14ac:dyDescent="0.25">
      <c r="L712" s="164" t="str">
        <f>IFERROR(COUNTIF($B$19:B712,B712)&amp;CHOOSE(MIN(4,COUNTIF($B$19:B712,B712)),"st","nd","rd","th"),"")</f>
        <v/>
      </c>
    </row>
    <row r="713" spans="12:12" x14ac:dyDescent="0.25">
      <c r="L713" s="164" t="str">
        <f>IFERROR(COUNTIF($B$19:B713,B713)&amp;CHOOSE(MIN(4,COUNTIF($B$19:B713,B713)),"st","nd","rd","th"),"")</f>
        <v/>
      </c>
    </row>
    <row r="714" spans="12:12" x14ac:dyDescent="0.25">
      <c r="L714" s="164" t="str">
        <f>IFERROR(COUNTIF($B$19:B714,B714)&amp;CHOOSE(MIN(4,COUNTIF($B$19:B714,B714)),"st","nd","rd","th"),"")</f>
        <v/>
      </c>
    </row>
    <row r="715" spans="12:12" x14ac:dyDescent="0.25">
      <c r="L715" s="164" t="str">
        <f>IFERROR(COUNTIF($B$19:B715,B715)&amp;CHOOSE(MIN(4,COUNTIF($B$19:B715,B715)),"st","nd","rd","th"),"")</f>
        <v/>
      </c>
    </row>
    <row r="716" spans="12:12" x14ac:dyDescent="0.25">
      <c r="L716" s="164" t="str">
        <f>IFERROR(COUNTIF($B$19:B716,B716)&amp;CHOOSE(MIN(4,COUNTIF($B$19:B716,B716)),"st","nd","rd","th"),"")</f>
        <v/>
      </c>
    </row>
    <row r="717" spans="12:12" x14ac:dyDescent="0.25">
      <c r="L717" s="164" t="str">
        <f>IFERROR(COUNTIF($B$19:B717,B717)&amp;CHOOSE(MIN(4,COUNTIF($B$19:B717,B717)),"st","nd","rd","th"),"")</f>
        <v/>
      </c>
    </row>
    <row r="718" spans="12:12" x14ac:dyDescent="0.25">
      <c r="L718" s="164" t="str">
        <f>IFERROR(COUNTIF($B$19:B718,B718)&amp;CHOOSE(MIN(4,COUNTIF($B$19:B718,B718)),"st","nd","rd","th"),"")</f>
        <v/>
      </c>
    </row>
    <row r="719" spans="12:12" x14ac:dyDescent="0.25">
      <c r="L719" s="164" t="str">
        <f>IFERROR(COUNTIF($B$19:B719,B719)&amp;CHOOSE(MIN(4,COUNTIF($B$19:B719,B719)),"st","nd","rd","th"),"")</f>
        <v/>
      </c>
    </row>
    <row r="720" spans="12:12" x14ac:dyDescent="0.25">
      <c r="L720" s="164" t="str">
        <f>IFERROR(COUNTIF($B$19:B720,B720)&amp;CHOOSE(MIN(4,COUNTIF($B$19:B720,B720)),"st","nd","rd","th"),"")</f>
        <v/>
      </c>
    </row>
    <row r="721" spans="12:12" x14ac:dyDescent="0.25">
      <c r="L721" s="164" t="str">
        <f>IFERROR(COUNTIF($B$19:B721,B721)&amp;CHOOSE(MIN(4,COUNTIF($B$19:B721,B721)),"st","nd","rd","th"),"")</f>
        <v/>
      </c>
    </row>
    <row r="722" spans="12:12" x14ac:dyDescent="0.25">
      <c r="L722" s="164" t="str">
        <f>IFERROR(COUNTIF($B$19:B722,B722)&amp;CHOOSE(MIN(4,COUNTIF($B$19:B722,B722)),"st","nd","rd","th"),"")</f>
        <v/>
      </c>
    </row>
    <row r="723" spans="12:12" x14ac:dyDescent="0.25">
      <c r="L723" s="164" t="str">
        <f>IFERROR(COUNTIF($B$19:B723,B723)&amp;CHOOSE(MIN(4,COUNTIF($B$19:B723,B723)),"st","nd","rd","th"),"")</f>
        <v/>
      </c>
    </row>
    <row r="724" spans="12:12" x14ac:dyDescent="0.25">
      <c r="L724" s="164" t="str">
        <f>IFERROR(COUNTIF($B$19:B724,B724)&amp;CHOOSE(MIN(4,COUNTIF($B$19:B724,B724)),"st","nd","rd","th"),"")</f>
        <v/>
      </c>
    </row>
    <row r="725" spans="12:12" x14ac:dyDescent="0.25">
      <c r="L725" s="164" t="str">
        <f>IFERROR(COUNTIF($B$19:B725,B725)&amp;CHOOSE(MIN(4,COUNTIF($B$19:B725,B725)),"st","nd","rd","th"),"")</f>
        <v/>
      </c>
    </row>
    <row r="726" spans="12:12" x14ac:dyDescent="0.25">
      <c r="L726" s="164" t="str">
        <f>IFERROR(COUNTIF($B$19:B726,B726)&amp;CHOOSE(MIN(4,COUNTIF($B$19:B726,B726)),"st","nd","rd","th"),"")</f>
        <v/>
      </c>
    </row>
    <row r="727" spans="12:12" x14ac:dyDescent="0.25">
      <c r="L727" s="164" t="str">
        <f>IFERROR(COUNTIF($B$19:B727,B727)&amp;CHOOSE(MIN(4,COUNTIF($B$19:B727,B727)),"st","nd","rd","th"),"")</f>
        <v/>
      </c>
    </row>
    <row r="728" spans="12:12" x14ac:dyDescent="0.25">
      <c r="L728" s="164" t="str">
        <f>IFERROR(COUNTIF($B$19:B728,B728)&amp;CHOOSE(MIN(4,COUNTIF($B$19:B728,B728)),"st","nd","rd","th"),"")</f>
        <v/>
      </c>
    </row>
    <row r="729" spans="12:12" x14ac:dyDescent="0.25">
      <c r="L729" s="164" t="str">
        <f>IFERROR(COUNTIF($B$19:B729,B729)&amp;CHOOSE(MIN(4,COUNTIF($B$19:B729,B729)),"st","nd","rd","th"),"")</f>
        <v/>
      </c>
    </row>
    <row r="730" spans="12:12" x14ac:dyDescent="0.25">
      <c r="L730" s="164" t="str">
        <f>IFERROR(COUNTIF($B$19:B730,B730)&amp;CHOOSE(MIN(4,COUNTIF($B$19:B730,B730)),"st","nd","rd","th"),"")</f>
        <v/>
      </c>
    </row>
    <row r="731" spans="12:12" x14ac:dyDescent="0.25">
      <c r="L731" s="164" t="str">
        <f>IFERROR(COUNTIF($B$19:B731,B731)&amp;CHOOSE(MIN(4,COUNTIF($B$19:B731,B731)),"st","nd","rd","th"),"")</f>
        <v/>
      </c>
    </row>
    <row r="732" spans="12:12" x14ac:dyDescent="0.25">
      <c r="L732" s="164" t="str">
        <f>IFERROR(COUNTIF($B$19:B732,B732)&amp;CHOOSE(MIN(4,COUNTIF($B$19:B732,B732)),"st","nd","rd","th"),"")</f>
        <v/>
      </c>
    </row>
    <row r="733" spans="12:12" x14ac:dyDescent="0.25">
      <c r="L733" s="164" t="str">
        <f>IFERROR(COUNTIF($B$19:B733,B733)&amp;CHOOSE(MIN(4,COUNTIF($B$19:B733,B733)),"st","nd","rd","th"),"")</f>
        <v/>
      </c>
    </row>
    <row r="734" spans="12:12" x14ac:dyDescent="0.25">
      <c r="L734" s="164" t="str">
        <f>IFERROR(COUNTIF($B$19:B734,B734)&amp;CHOOSE(MIN(4,COUNTIF($B$19:B734,B734)),"st","nd","rd","th"),"")</f>
        <v/>
      </c>
    </row>
    <row r="735" spans="12:12" x14ac:dyDescent="0.25">
      <c r="L735" s="164" t="str">
        <f>IFERROR(COUNTIF($B$19:B735,B735)&amp;CHOOSE(MIN(4,COUNTIF($B$19:B735,B735)),"st","nd","rd","th"),"")</f>
        <v/>
      </c>
    </row>
    <row r="736" spans="12:12" x14ac:dyDescent="0.25">
      <c r="L736" s="164" t="str">
        <f>IFERROR(COUNTIF($B$19:B736,B736)&amp;CHOOSE(MIN(4,COUNTIF($B$19:B736,B736)),"st","nd","rd","th"),"")</f>
        <v/>
      </c>
    </row>
    <row r="737" spans="12:12" x14ac:dyDescent="0.25">
      <c r="L737" s="164" t="str">
        <f>IFERROR(COUNTIF($B$19:B737,B737)&amp;CHOOSE(MIN(4,COUNTIF($B$19:B737,B737)),"st","nd","rd","th"),"")</f>
        <v/>
      </c>
    </row>
    <row r="738" spans="12:12" x14ac:dyDescent="0.25">
      <c r="L738" s="164" t="str">
        <f>IFERROR(COUNTIF($B$19:B738,B738)&amp;CHOOSE(MIN(4,COUNTIF($B$19:B738,B738)),"st","nd","rd","th"),"")</f>
        <v/>
      </c>
    </row>
    <row r="739" spans="12:12" x14ac:dyDescent="0.25">
      <c r="L739" s="164" t="str">
        <f>IFERROR(COUNTIF($B$19:B739,B739)&amp;CHOOSE(MIN(4,COUNTIF($B$19:B739,B739)),"st","nd","rd","th"),"")</f>
        <v/>
      </c>
    </row>
    <row r="740" spans="12:12" x14ac:dyDescent="0.25">
      <c r="L740" s="164" t="str">
        <f>IFERROR(COUNTIF($B$19:B740,B740)&amp;CHOOSE(MIN(4,COUNTIF($B$19:B740,B740)),"st","nd","rd","th"),"")</f>
        <v/>
      </c>
    </row>
    <row r="741" spans="12:12" x14ac:dyDescent="0.25">
      <c r="L741" s="164" t="str">
        <f>IFERROR(COUNTIF($B$19:B741,B741)&amp;CHOOSE(MIN(4,COUNTIF($B$19:B741,B741)),"st","nd","rd","th"),"")</f>
        <v/>
      </c>
    </row>
    <row r="742" spans="12:12" x14ac:dyDescent="0.25">
      <c r="L742" s="164" t="str">
        <f>IFERROR(COUNTIF($B$19:B742,B742)&amp;CHOOSE(MIN(4,COUNTIF($B$19:B742,B742)),"st","nd","rd","th"),"")</f>
        <v/>
      </c>
    </row>
    <row r="743" spans="12:12" x14ac:dyDescent="0.25">
      <c r="L743" s="164" t="str">
        <f>IFERROR(COUNTIF($B$19:B743,B743)&amp;CHOOSE(MIN(4,COUNTIF($B$19:B743,B743)),"st","nd","rd","th"),"")</f>
        <v/>
      </c>
    </row>
    <row r="744" spans="12:12" x14ac:dyDescent="0.25">
      <c r="L744" s="164" t="str">
        <f>IFERROR(COUNTIF($B$19:B744,B744)&amp;CHOOSE(MIN(4,COUNTIF($B$19:B744,B744)),"st","nd","rd","th"),"")</f>
        <v/>
      </c>
    </row>
    <row r="745" spans="12:12" x14ac:dyDescent="0.25">
      <c r="L745" s="164" t="str">
        <f>IFERROR(COUNTIF($B$19:B745,B745)&amp;CHOOSE(MIN(4,COUNTIF($B$19:B745,B745)),"st","nd","rd","th"),"")</f>
        <v/>
      </c>
    </row>
    <row r="746" spans="12:12" x14ac:dyDescent="0.25">
      <c r="L746" s="164" t="str">
        <f>IFERROR(COUNTIF($B$19:B746,B746)&amp;CHOOSE(MIN(4,COUNTIF($B$19:B746,B746)),"st","nd","rd","th"),"")</f>
        <v/>
      </c>
    </row>
    <row r="747" spans="12:12" x14ac:dyDescent="0.25">
      <c r="L747" s="164" t="str">
        <f>IFERROR(COUNTIF($B$19:B747,B747)&amp;CHOOSE(MIN(4,COUNTIF($B$19:B747,B747)),"st","nd","rd","th"),"")</f>
        <v/>
      </c>
    </row>
    <row r="748" spans="12:12" x14ac:dyDescent="0.25">
      <c r="L748" s="164" t="str">
        <f>IFERROR(COUNTIF($B$19:B748,B748)&amp;CHOOSE(MIN(4,COUNTIF($B$19:B748,B748)),"st","nd","rd","th"),"")</f>
        <v/>
      </c>
    </row>
    <row r="749" spans="12:12" x14ac:dyDescent="0.25">
      <c r="L749" s="164" t="str">
        <f>IFERROR(COUNTIF($B$19:B749,B749)&amp;CHOOSE(MIN(4,COUNTIF($B$19:B749,B749)),"st","nd","rd","th"),"")</f>
        <v/>
      </c>
    </row>
    <row r="750" spans="12:12" x14ac:dyDescent="0.25">
      <c r="L750" s="164" t="str">
        <f>IFERROR(COUNTIF($B$19:B750,B750)&amp;CHOOSE(MIN(4,COUNTIF($B$19:B750,B750)),"st","nd","rd","th"),"")</f>
        <v/>
      </c>
    </row>
    <row r="751" spans="12:12" x14ac:dyDescent="0.25">
      <c r="L751" s="164" t="str">
        <f>IFERROR(COUNTIF($B$19:B751,B751)&amp;CHOOSE(MIN(4,COUNTIF($B$19:B751,B751)),"st","nd","rd","th"),"")</f>
        <v/>
      </c>
    </row>
    <row r="752" spans="12:12" x14ac:dyDescent="0.25">
      <c r="L752" s="164" t="str">
        <f>IFERROR(COUNTIF($B$19:B752,B752)&amp;CHOOSE(MIN(4,COUNTIF($B$19:B752,B752)),"st","nd","rd","th"),"")</f>
        <v/>
      </c>
    </row>
    <row r="753" spans="12:12" x14ac:dyDescent="0.25">
      <c r="L753" s="164" t="str">
        <f>IFERROR(COUNTIF($B$19:B753,B753)&amp;CHOOSE(MIN(4,COUNTIF($B$19:B753,B753)),"st","nd","rd","th"),"")</f>
        <v/>
      </c>
    </row>
    <row r="754" spans="12:12" x14ac:dyDescent="0.25">
      <c r="L754" s="164" t="str">
        <f>IFERROR(COUNTIF($B$19:B754,B754)&amp;CHOOSE(MIN(4,COUNTIF($B$19:B754,B754)),"st","nd","rd","th"),"")</f>
        <v/>
      </c>
    </row>
    <row r="755" spans="12:12" x14ac:dyDescent="0.25">
      <c r="L755" s="164" t="str">
        <f>IFERROR(COUNTIF($B$19:B755,B755)&amp;CHOOSE(MIN(4,COUNTIF($B$19:B755,B755)),"st","nd","rd","th"),"")</f>
        <v/>
      </c>
    </row>
    <row r="756" spans="12:12" x14ac:dyDescent="0.25">
      <c r="L756" s="164" t="str">
        <f>IFERROR(COUNTIF($B$19:B756,B756)&amp;CHOOSE(MIN(4,COUNTIF($B$19:B756,B756)),"st","nd","rd","th"),"")</f>
        <v/>
      </c>
    </row>
    <row r="757" spans="12:12" x14ac:dyDescent="0.25">
      <c r="L757" s="164" t="str">
        <f>IFERROR(COUNTIF($B$19:B757,B757)&amp;CHOOSE(MIN(4,COUNTIF($B$19:B757,B757)),"st","nd","rd","th"),"")</f>
        <v/>
      </c>
    </row>
    <row r="758" spans="12:12" x14ac:dyDescent="0.25">
      <c r="L758" s="164" t="str">
        <f>IFERROR(COUNTIF($B$19:B758,B758)&amp;CHOOSE(MIN(4,COUNTIF($B$19:B758,B758)),"st","nd","rd","th"),"")</f>
        <v/>
      </c>
    </row>
    <row r="759" spans="12:12" x14ac:dyDescent="0.25">
      <c r="L759" s="164" t="str">
        <f>IFERROR(COUNTIF($B$19:B759,B759)&amp;CHOOSE(MIN(4,COUNTIF($B$19:B759,B759)),"st","nd","rd","th"),"")</f>
        <v/>
      </c>
    </row>
    <row r="760" spans="12:12" x14ac:dyDescent="0.25">
      <c r="L760" s="164" t="str">
        <f>IFERROR(COUNTIF($B$19:B760,B760)&amp;CHOOSE(MIN(4,COUNTIF($B$19:B760,B760)),"st","nd","rd","th"),"")</f>
        <v/>
      </c>
    </row>
    <row r="761" spans="12:12" x14ac:dyDescent="0.25">
      <c r="L761" s="164" t="str">
        <f>IFERROR(COUNTIF($B$19:B761,B761)&amp;CHOOSE(MIN(4,COUNTIF($B$19:B761,B761)),"st","nd","rd","th"),"")</f>
        <v/>
      </c>
    </row>
    <row r="762" spans="12:12" x14ac:dyDescent="0.25">
      <c r="L762" s="164" t="str">
        <f>IFERROR(COUNTIF($B$19:B762,B762)&amp;CHOOSE(MIN(4,COUNTIF($B$19:B762,B762)),"st","nd","rd","th"),"")</f>
        <v/>
      </c>
    </row>
    <row r="763" spans="12:12" x14ac:dyDescent="0.25">
      <c r="L763" s="164" t="str">
        <f>IFERROR(COUNTIF($B$19:B763,B763)&amp;CHOOSE(MIN(4,COUNTIF($B$19:B763,B763)),"st","nd","rd","th"),"")</f>
        <v/>
      </c>
    </row>
    <row r="764" spans="12:12" x14ac:dyDescent="0.25">
      <c r="L764" s="164" t="str">
        <f>IFERROR(COUNTIF($B$19:B764,B764)&amp;CHOOSE(MIN(4,COUNTIF($B$19:B764,B764)),"st","nd","rd","th"),"")</f>
        <v/>
      </c>
    </row>
    <row r="765" spans="12:12" x14ac:dyDescent="0.25">
      <c r="L765" s="164" t="str">
        <f>IFERROR(COUNTIF($B$19:B765,B765)&amp;CHOOSE(MIN(4,COUNTIF($B$19:B765,B765)),"st","nd","rd","th"),"")</f>
        <v/>
      </c>
    </row>
    <row r="766" spans="12:12" x14ac:dyDescent="0.25">
      <c r="L766" s="164" t="str">
        <f>IFERROR(COUNTIF($B$19:B766,B766)&amp;CHOOSE(MIN(4,COUNTIF($B$19:B766,B766)),"st","nd","rd","th"),"")</f>
        <v/>
      </c>
    </row>
    <row r="767" spans="12:12" x14ac:dyDescent="0.25">
      <c r="L767" s="164" t="str">
        <f>IFERROR(COUNTIF($B$19:B767,B767)&amp;CHOOSE(MIN(4,COUNTIF($B$19:B767,B767)),"st","nd","rd","th"),"")</f>
        <v/>
      </c>
    </row>
    <row r="768" spans="12:12" x14ac:dyDescent="0.25">
      <c r="L768" s="164" t="str">
        <f>IFERROR(COUNTIF($B$19:B768,B768)&amp;CHOOSE(MIN(4,COUNTIF($B$19:B768,B768)),"st","nd","rd","th"),"")</f>
        <v/>
      </c>
    </row>
    <row r="769" spans="12:12" x14ac:dyDescent="0.25">
      <c r="L769" s="164" t="str">
        <f>IFERROR(COUNTIF($B$19:B769,B769)&amp;CHOOSE(MIN(4,COUNTIF($B$19:B769,B769)),"st","nd","rd","th"),"")</f>
        <v/>
      </c>
    </row>
    <row r="770" spans="12:12" x14ac:dyDescent="0.25">
      <c r="L770" s="164" t="str">
        <f>IFERROR(COUNTIF($B$19:B770,B770)&amp;CHOOSE(MIN(4,COUNTIF($B$19:B770,B770)),"st","nd","rd","th"),"")</f>
        <v/>
      </c>
    </row>
    <row r="771" spans="12:12" x14ac:dyDescent="0.25">
      <c r="L771" s="164" t="str">
        <f>IFERROR(COUNTIF($B$19:B771,B771)&amp;CHOOSE(MIN(4,COUNTIF($B$19:B771,B771)),"st","nd","rd","th"),"")</f>
        <v/>
      </c>
    </row>
    <row r="772" spans="12:12" x14ac:dyDescent="0.25">
      <c r="L772" s="164" t="str">
        <f>IFERROR(COUNTIF($B$19:B772,B772)&amp;CHOOSE(MIN(4,COUNTIF($B$19:B772,B772)),"st","nd","rd","th"),"")</f>
        <v/>
      </c>
    </row>
    <row r="773" spans="12:12" x14ac:dyDescent="0.25">
      <c r="L773" s="164" t="str">
        <f>IFERROR(COUNTIF($B$19:B773,B773)&amp;CHOOSE(MIN(4,COUNTIF($B$19:B773,B773)),"st","nd","rd","th"),"")</f>
        <v/>
      </c>
    </row>
    <row r="774" spans="12:12" x14ac:dyDescent="0.25">
      <c r="L774" s="164" t="str">
        <f>IFERROR(COUNTIF($B$19:B774,B774)&amp;CHOOSE(MIN(4,COUNTIF($B$19:B774,B774)),"st","nd","rd","th"),"")</f>
        <v/>
      </c>
    </row>
    <row r="775" spans="12:12" x14ac:dyDescent="0.25">
      <c r="L775" s="164" t="str">
        <f>IFERROR(COUNTIF($B$19:B775,B775)&amp;CHOOSE(MIN(4,COUNTIF($B$19:B775,B775)),"st","nd","rd","th"),"")</f>
        <v/>
      </c>
    </row>
    <row r="776" spans="12:12" x14ac:dyDescent="0.25">
      <c r="L776" s="164" t="str">
        <f>IFERROR(COUNTIF($B$19:B776,B776)&amp;CHOOSE(MIN(4,COUNTIF($B$19:B776,B776)),"st","nd","rd","th"),"")</f>
        <v/>
      </c>
    </row>
    <row r="777" spans="12:12" x14ac:dyDescent="0.25">
      <c r="L777" s="164" t="str">
        <f>IFERROR(COUNTIF($B$19:B777,B777)&amp;CHOOSE(MIN(4,COUNTIF($B$19:B777,B777)),"st","nd","rd","th"),"")</f>
        <v/>
      </c>
    </row>
    <row r="778" spans="12:12" x14ac:dyDescent="0.25">
      <c r="L778" s="164" t="str">
        <f>IFERROR(COUNTIF($B$19:B778,B778)&amp;CHOOSE(MIN(4,COUNTIF($B$19:B778,B778)),"st","nd","rd","th"),"")</f>
        <v/>
      </c>
    </row>
    <row r="779" spans="12:12" x14ac:dyDescent="0.25">
      <c r="L779" s="164" t="str">
        <f>IFERROR(COUNTIF($B$19:B779,B779)&amp;CHOOSE(MIN(4,COUNTIF($B$19:B779,B779)),"st","nd","rd","th"),"")</f>
        <v/>
      </c>
    </row>
    <row r="780" spans="12:12" x14ac:dyDescent="0.25">
      <c r="L780" s="164" t="str">
        <f>IFERROR(COUNTIF($B$19:B780,B780)&amp;CHOOSE(MIN(4,COUNTIF($B$19:B780,B780)),"st","nd","rd","th"),"")</f>
        <v/>
      </c>
    </row>
    <row r="781" spans="12:12" x14ac:dyDescent="0.25">
      <c r="L781" s="164" t="str">
        <f>IFERROR(COUNTIF($B$19:B781,B781)&amp;CHOOSE(MIN(4,COUNTIF($B$19:B781,B781)),"st","nd","rd","th"),"")</f>
        <v/>
      </c>
    </row>
    <row r="782" spans="12:12" x14ac:dyDescent="0.25">
      <c r="L782" s="164" t="str">
        <f>IFERROR(COUNTIF($B$19:B782,B782)&amp;CHOOSE(MIN(4,COUNTIF($B$19:B782,B782)),"st","nd","rd","th"),"")</f>
        <v/>
      </c>
    </row>
    <row r="783" spans="12:12" x14ac:dyDescent="0.25">
      <c r="L783" s="164" t="str">
        <f>IFERROR(COUNTIF($B$19:B783,B783)&amp;CHOOSE(MIN(4,COUNTIF($B$19:B783,B783)),"st","nd","rd","th"),"")</f>
        <v/>
      </c>
    </row>
    <row r="784" spans="12:12" x14ac:dyDescent="0.25">
      <c r="L784" s="164" t="str">
        <f>IFERROR(COUNTIF($B$19:B784,B784)&amp;CHOOSE(MIN(4,COUNTIF($B$19:B784,B784)),"st","nd","rd","th"),"")</f>
        <v/>
      </c>
    </row>
    <row r="785" spans="12:12" x14ac:dyDescent="0.25">
      <c r="L785" s="164" t="str">
        <f>IFERROR(COUNTIF($B$19:B785,B785)&amp;CHOOSE(MIN(4,COUNTIF($B$19:B785,B785)),"st","nd","rd","th"),"")</f>
        <v/>
      </c>
    </row>
    <row r="786" spans="12:12" x14ac:dyDescent="0.25">
      <c r="L786" s="164" t="str">
        <f>IFERROR(COUNTIF($B$19:B786,B786)&amp;CHOOSE(MIN(4,COUNTIF($B$19:B786,B786)),"st","nd","rd","th"),"")</f>
        <v/>
      </c>
    </row>
    <row r="787" spans="12:12" x14ac:dyDescent="0.25">
      <c r="L787" s="164" t="str">
        <f>IFERROR(COUNTIF($B$19:B787,B787)&amp;CHOOSE(MIN(4,COUNTIF($B$19:B787,B787)),"st","nd","rd","th"),"")</f>
        <v/>
      </c>
    </row>
    <row r="788" spans="12:12" x14ac:dyDescent="0.25">
      <c r="L788" s="164" t="str">
        <f>IFERROR(COUNTIF($B$19:B788,B788)&amp;CHOOSE(MIN(4,COUNTIF($B$19:B788,B788)),"st","nd","rd","th"),"")</f>
        <v/>
      </c>
    </row>
    <row r="789" spans="12:12" x14ac:dyDescent="0.25">
      <c r="L789" s="164" t="str">
        <f>IFERROR(COUNTIF($B$19:B789,B789)&amp;CHOOSE(MIN(4,COUNTIF($B$19:B789,B789)),"st","nd","rd","th"),"")</f>
        <v/>
      </c>
    </row>
    <row r="790" spans="12:12" x14ac:dyDescent="0.25">
      <c r="L790" s="164" t="str">
        <f>IFERROR(COUNTIF($B$19:B790,B790)&amp;CHOOSE(MIN(4,COUNTIF($B$19:B790,B790)),"st","nd","rd","th"),"")</f>
        <v/>
      </c>
    </row>
    <row r="791" spans="12:12" x14ac:dyDescent="0.25">
      <c r="L791" s="164" t="str">
        <f>IFERROR(COUNTIF($B$19:B791,B791)&amp;CHOOSE(MIN(4,COUNTIF($B$19:B791,B791)),"st","nd","rd","th"),"")</f>
        <v/>
      </c>
    </row>
    <row r="792" spans="12:12" x14ac:dyDescent="0.25">
      <c r="L792" s="164" t="str">
        <f>IFERROR(COUNTIF($B$19:B792,B792)&amp;CHOOSE(MIN(4,COUNTIF($B$19:B792,B792)),"st","nd","rd","th"),"")</f>
        <v/>
      </c>
    </row>
    <row r="793" spans="12:12" x14ac:dyDescent="0.25">
      <c r="L793" s="164" t="str">
        <f>IFERROR(COUNTIF($B$19:B793,B793)&amp;CHOOSE(MIN(4,COUNTIF($B$19:B793,B793)),"st","nd","rd","th"),"")</f>
        <v/>
      </c>
    </row>
    <row r="794" spans="12:12" x14ac:dyDescent="0.25">
      <c r="L794" s="164" t="str">
        <f>IFERROR(COUNTIF($B$19:B794,B794)&amp;CHOOSE(MIN(4,COUNTIF($B$19:B794,B794)),"st","nd","rd","th"),"")</f>
        <v/>
      </c>
    </row>
    <row r="795" spans="12:12" x14ac:dyDescent="0.25">
      <c r="L795" s="164" t="str">
        <f>IFERROR(COUNTIF($B$19:B795,B795)&amp;CHOOSE(MIN(4,COUNTIF($B$19:B795,B795)),"st","nd","rd","th"),"")</f>
        <v/>
      </c>
    </row>
    <row r="796" spans="12:12" x14ac:dyDescent="0.25">
      <c r="L796" s="164" t="str">
        <f>IFERROR(COUNTIF($B$19:B796,B796)&amp;CHOOSE(MIN(4,COUNTIF($B$19:B796,B796)),"st","nd","rd","th"),"")</f>
        <v/>
      </c>
    </row>
    <row r="797" spans="12:12" x14ac:dyDescent="0.25">
      <c r="L797" s="164" t="str">
        <f>IFERROR(COUNTIF($B$19:B797,B797)&amp;CHOOSE(MIN(4,COUNTIF($B$19:B797,B797)),"st","nd","rd","th"),"")</f>
        <v/>
      </c>
    </row>
    <row r="798" spans="12:12" x14ac:dyDescent="0.25">
      <c r="L798" s="164" t="str">
        <f>IFERROR(COUNTIF($B$19:B798,B798)&amp;CHOOSE(MIN(4,COUNTIF($B$19:B798,B798)),"st","nd","rd","th"),"")</f>
        <v/>
      </c>
    </row>
    <row r="799" spans="12:12" x14ac:dyDescent="0.25">
      <c r="L799" s="164" t="str">
        <f>IFERROR(COUNTIF($B$19:B799,B799)&amp;CHOOSE(MIN(4,COUNTIF($B$19:B799,B799)),"st","nd","rd","th"),"")</f>
        <v/>
      </c>
    </row>
    <row r="800" spans="12:12" x14ac:dyDescent="0.25">
      <c r="L800" s="164" t="str">
        <f>IFERROR(COUNTIF($B$19:B800,B800)&amp;CHOOSE(MIN(4,COUNTIF($B$19:B800,B800)),"st","nd","rd","th"),"")</f>
        <v/>
      </c>
    </row>
    <row r="801" spans="12:12" x14ac:dyDescent="0.25">
      <c r="L801" s="164" t="str">
        <f>IFERROR(COUNTIF($B$19:B801,B801)&amp;CHOOSE(MIN(4,COUNTIF($B$19:B801,B801)),"st","nd","rd","th"),"")</f>
        <v/>
      </c>
    </row>
    <row r="802" spans="12:12" x14ac:dyDescent="0.25">
      <c r="L802" s="164" t="str">
        <f>IFERROR(COUNTIF($B$19:B802,B802)&amp;CHOOSE(MIN(4,COUNTIF($B$19:B802,B802)),"st","nd","rd","th"),"")</f>
        <v/>
      </c>
    </row>
    <row r="803" spans="12:12" x14ac:dyDescent="0.25">
      <c r="L803" s="164" t="str">
        <f>IFERROR(COUNTIF($B$19:B803,B803)&amp;CHOOSE(MIN(4,COUNTIF($B$19:B803,B803)),"st","nd","rd","th"),"")</f>
        <v/>
      </c>
    </row>
    <row r="804" spans="12:12" x14ac:dyDescent="0.25">
      <c r="L804" s="164" t="str">
        <f>IFERROR(COUNTIF($B$19:B804,B804)&amp;CHOOSE(MIN(4,COUNTIF($B$19:B804,B804)),"st","nd","rd","th"),"")</f>
        <v/>
      </c>
    </row>
    <row r="805" spans="12:12" x14ac:dyDescent="0.25">
      <c r="L805" s="164" t="str">
        <f>IFERROR(COUNTIF($B$19:B805,B805)&amp;CHOOSE(MIN(4,COUNTIF($B$19:B805,B805)),"st","nd","rd","th"),"")</f>
        <v/>
      </c>
    </row>
    <row r="806" spans="12:12" x14ac:dyDescent="0.25">
      <c r="L806" s="164" t="str">
        <f>IFERROR(COUNTIF($B$19:B806,B806)&amp;CHOOSE(MIN(4,COUNTIF($B$19:B806,B806)),"st","nd","rd","th"),"")</f>
        <v/>
      </c>
    </row>
    <row r="807" spans="12:12" x14ac:dyDescent="0.25">
      <c r="L807" s="164" t="str">
        <f>IFERROR(COUNTIF($B$19:B807,B807)&amp;CHOOSE(MIN(4,COUNTIF($B$19:B807,B807)),"st","nd","rd","th"),"")</f>
        <v/>
      </c>
    </row>
    <row r="808" spans="12:12" x14ac:dyDescent="0.25">
      <c r="L808" s="164" t="str">
        <f>IFERROR(COUNTIF($B$19:B808,B808)&amp;CHOOSE(MIN(4,COUNTIF($B$19:B808,B808)),"st","nd","rd","th"),"")</f>
        <v/>
      </c>
    </row>
    <row r="809" spans="12:12" x14ac:dyDescent="0.25">
      <c r="L809" s="164" t="str">
        <f>IFERROR(COUNTIF($B$19:B809,B809)&amp;CHOOSE(MIN(4,COUNTIF($B$19:B809,B809)),"st","nd","rd","th"),"")</f>
        <v/>
      </c>
    </row>
    <row r="810" spans="12:12" x14ac:dyDescent="0.25">
      <c r="L810" s="164" t="str">
        <f>IFERROR(COUNTIF($B$19:B810,B810)&amp;CHOOSE(MIN(4,COUNTIF($B$19:B810,B810)),"st","nd","rd","th"),"")</f>
        <v/>
      </c>
    </row>
    <row r="811" spans="12:12" x14ac:dyDescent="0.25">
      <c r="L811" s="164" t="str">
        <f>IFERROR(COUNTIF($B$19:B811,B811)&amp;CHOOSE(MIN(4,COUNTIF($B$19:B811,B811)),"st","nd","rd","th"),"")</f>
        <v/>
      </c>
    </row>
    <row r="812" spans="12:12" x14ac:dyDescent="0.25">
      <c r="L812" s="164" t="str">
        <f>IFERROR(COUNTIF($B$19:B812,B812)&amp;CHOOSE(MIN(4,COUNTIF($B$19:B812,B812)),"st","nd","rd","th"),"")</f>
        <v/>
      </c>
    </row>
    <row r="813" spans="12:12" x14ac:dyDescent="0.25">
      <c r="L813" s="164" t="str">
        <f>IFERROR(COUNTIF($B$19:B813,B813)&amp;CHOOSE(MIN(4,COUNTIF($B$19:B813,B813)),"st","nd","rd","th"),"")</f>
        <v/>
      </c>
    </row>
    <row r="814" spans="12:12" x14ac:dyDescent="0.25">
      <c r="L814" s="164" t="str">
        <f>IFERROR(COUNTIF($B$19:B814,B814)&amp;CHOOSE(MIN(4,COUNTIF($B$19:B814,B814)),"st","nd","rd","th"),"")</f>
        <v/>
      </c>
    </row>
    <row r="815" spans="12:12" x14ac:dyDescent="0.25">
      <c r="L815" s="164" t="str">
        <f>IFERROR(COUNTIF($B$19:B815,B815)&amp;CHOOSE(MIN(4,COUNTIF($B$19:B815,B815)),"st","nd","rd","th"),"")</f>
        <v/>
      </c>
    </row>
    <row r="816" spans="12:12" x14ac:dyDescent="0.25">
      <c r="L816" s="164" t="str">
        <f>IFERROR(COUNTIF($B$19:B816,B816)&amp;CHOOSE(MIN(4,COUNTIF($B$19:B816,B816)),"st","nd","rd","th"),"")</f>
        <v/>
      </c>
    </row>
    <row r="817" spans="12:12" x14ac:dyDescent="0.25">
      <c r="L817" s="164" t="str">
        <f>IFERROR(COUNTIF($B$19:B817,B817)&amp;CHOOSE(MIN(4,COUNTIF($B$19:B817,B817)),"st","nd","rd","th"),"")</f>
        <v/>
      </c>
    </row>
    <row r="818" spans="12:12" x14ac:dyDescent="0.25">
      <c r="L818" s="164" t="str">
        <f>IFERROR(COUNTIF($B$19:B818,B818)&amp;CHOOSE(MIN(4,COUNTIF($B$19:B818,B818)),"st","nd","rd","th"),"")</f>
        <v/>
      </c>
    </row>
    <row r="819" spans="12:12" x14ac:dyDescent="0.25">
      <c r="L819" s="164" t="str">
        <f>IFERROR(COUNTIF($B$19:B819,B819)&amp;CHOOSE(MIN(4,COUNTIF($B$19:B819,B819)),"st","nd","rd","th"),"")</f>
        <v/>
      </c>
    </row>
    <row r="820" spans="12:12" x14ac:dyDescent="0.25">
      <c r="L820" s="164" t="str">
        <f>IFERROR(COUNTIF($B$19:B820,B820)&amp;CHOOSE(MIN(4,COUNTIF($B$19:B820,B820)),"st","nd","rd","th"),"")</f>
        <v/>
      </c>
    </row>
    <row r="821" spans="12:12" x14ac:dyDescent="0.25">
      <c r="L821" s="164" t="str">
        <f>IFERROR(COUNTIF($B$19:B821,B821)&amp;CHOOSE(MIN(4,COUNTIF($B$19:B821,B821)),"st","nd","rd","th"),"")</f>
        <v/>
      </c>
    </row>
    <row r="822" spans="12:12" x14ac:dyDescent="0.25">
      <c r="L822" s="164" t="str">
        <f>IFERROR(COUNTIF($B$19:B822,B822)&amp;CHOOSE(MIN(4,COUNTIF($B$19:B822,B822)),"st","nd","rd","th"),"")</f>
        <v/>
      </c>
    </row>
    <row r="823" spans="12:12" x14ac:dyDescent="0.25">
      <c r="L823" s="164" t="str">
        <f>IFERROR(COUNTIF($B$19:B823,B823)&amp;CHOOSE(MIN(4,COUNTIF($B$19:B823,B823)),"st","nd","rd","th"),"")</f>
        <v/>
      </c>
    </row>
    <row r="824" spans="12:12" x14ac:dyDescent="0.25">
      <c r="L824" s="164" t="str">
        <f>IFERROR(COUNTIF($B$19:B824,B824)&amp;CHOOSE(MIN(4,COUNTIF($B$19:B824,B824)),"st","nd","rd","th"),"")</f>
        <v/>
      </c>
    </row>
    <row r="825" spans="12:12" x14ac:dyDescent="0.25">
      <c r="L825" s="164" t="str">
        <f>IFERROR(COUNTIF($B$19:B825,B825)&amp;CHOOSE(MIN(4,COUNTIF($B$19:B825,B825)),"st","nd","rd","th"),"")</f>
        <v/>
      </c>
    </row>
    <row r="826" spans="12:12" x14ac:dyDescent="0.25">
      <c r="L826" s="164" t="str">
        <f>IFERROR(COUNTIF($B$19:B826,B826)&amp;CHOOSE(MIN(4,COUNTIF($B$19:B826,B826)),"st","nd","rd","th"),"")</f>
        <v/>
      </c>
    </row>
    <row r="827" spans="12:12" x14ac:dyDescent="0.25">
      <c r="L827" s="164" t="str">
        <f>IFERROR(COUNTIF($B$19:B827,B827)&amp;CHOOSE(MIN(4,COUNTIF($B$19:B827,B827)),"st","nd","rd","th"),"")</f>
        <v/>
      </c>
    </row>
    <row r="828" spans="12:12" x14ac:dyDescent="0.25">
      <c r="L828" s="164" t="str">
        <f>IFERROR(COUNTIF($B$19:B828,B828)&amp;CHOOSE(MIN(4,COUNTIF($B$19:B828,B828)),"st","nd","rd","th"),"")</f>
        <v/>
      </c>
    </row>
    <row r="829" spans="12:12" x14ac:dyDescent="0.25">
      <c r="L829" s="164" t="str">
        <f>IFERROR(COUNTIF($B$19:B829,B829)&amp;CHOOSE(MIN(4,COUNTIF($B$19:B829,B829)),"st","nd","rd","th"),"")</f>
        <v/>
      </c>
    </row>
    <row r="830" spans="12:12" x14ac:dyDescent="0.25">
      <c r="L830" s="164" t="str">
        <f>IFERROR(COUNTIF($B$19:B830,B830)&amp;CHOOSE(MIN(4,COUNTIF($B$19:B830,B830)),"st","nd","rd","th"),"")</f>
        <v/>
      </c>
    </row>
    <row r="831" spans="12:12" x14ac:dyDescent="0.25">
      <c r="L831" s="164" t="str">
        <f>IFERROR(COUNTIF($B$19:B831,B831)&amp;CHOOSE(MIN(4,COUNTIF($B$19:B831,B831)),"st","nd","rd","th"),"")</f>
        <v/>
      </c>
    </row>
    <row r="832" spans="12:12" x14ac:dyDescent="0.25">
      <c r="L832" s="164" t="str">
        <f>IFERROR(COUNTIF($B$19:B832,B832)&amp;CHOOSE(MIN(4,COUNTIF($B$19:B832,B832)),"st","nd","rd","th"),"")</f>
        <v/>
      </c>
    </row>
    <row r="833" spans="12:12" x14ac:dyDescent="0.25">
      <c r="L833" s="164" t="str">
        <f>IFERROR(COUNTIF($B$19:B833,B833)&amp;CHOOSE(MIN(4,COUNTIF($B$19:B833,B833)),"st","nd","rd","th"),"")</f>
        <v/>
      </c>
    </row>
    <row r="834" spans="12:12" x14ac:dyDescent="0.25">
      <c r="L834" s="164" t="str">
        <f>IFERROR(COUNTIF($B$19:B834,B834)&amp;CHOOSE(MIN(4,COUNTIF($B$19:B834,B834)),"st","nd","rd","th"),"")</f>
        <v/>
      </c>
    </row>
    <row r="835" spans="12:12" x14ac:dyDescent="0.25">
      <c r="L835" s="164" t="str">
        <f>IFERROR(COUNTIF($B$19:B835,B835)&amp;CHOOSE(MIN(4,COUNTIF($B$19:B835,B835)),"st","nd","rd","th"),"")</f>
        <v/>
      </c>
    </row>
    <row r="836" spans="12:12" x14ac:dyDescent="0.25">
      <c r="L836" s="164" t="str">
        <f>IFERROR(COUNTIF($B$19:B836,B836)&amp;CHOOSE(MIN(4,COUNTIF($B$19:B836,B836)),"st","nd","rd","th"),"")</f>
        <v/>
      </c>
    </row>
    <row r="837" spans="12:12" x14ac:dyDescent="0.25">
      <c r="L837" s="164" t="str">
        <f>IFERROR(COUNTIF($B$19:B837,B837)&amp;CHOOSE(MIN(4,COUNTIF($B$19:B837,B837)),"st","nd","rd","th"),"")</f>
        <v/>
      </c>
    </row>
    <row r="838" spans="12:12" x14ac:dyDescent="0.25">
      <c r="L838" s="164" t="str">
        <f>IFERROR(COUNTIF($B$19:B838,B838)&amp;CHOOSE(MIN(4,COUNTIF($B$19:B838,B838)),"st","nd","rd","th"),"")</f>
        <v/>
      </c>
    </row>
    <row r="839" spans="12:12" x14ac:dyDescent="0.25">
      <c r="L839" s="164" t="str">
        <f>IFERROR(COUNTIF($B$19:B839,B839)&amp;CHOOSE(MIN(4,COUNTIF($B$19:B839,B839)),"st","nd","rd","th"),"")</f>
        <v/>
      </c>
    </row>
    <row r="840" spans="12:12" x14ac:dyDescent="0.25">
      <c r="L840" s="164" t="str">
        <f>IFERROR(COUNTIF($B$19:B840,B840)&amp;CHOOSE(MIN(4,COUNTIF($B$19:B840,B840)),"st","nd","rd","th"),"")</f>
        <v/>
      </c>
    </row>
    <row r="841" spans="12:12" x14ac:dyDescent="0.25">
      <c r="L841" s="164" t="str">
        <f>IFERROR(COUNTIF($B$19:B841,B841)&amp;CHOOSE(MIN(4,COUNTIF($B$19:B841,B841)),"st","nd","rd","th"),"")</f>
        <v/>
      </c>
    </row>
    <row r="842" spans="12:12" x14ac:dyDescent="0.25">
      <c r="L842" s="164" t="str">
        <f>IFERROR(COUNTIF($B$19:B842,B842)&amp;CHOOSE(MIN(4,COUNTIF($B$19:B842,B842)),"st","nd","rd","th"),"")</f>
        <v/>
      </c>
    </row>
    <row r="843" spans="12:12" x14ac:dyDescent="0.25">
      <c r="L843" s="164" t="str">
        <f>IFERROR(COUNTIF($B$19:B843,B843)&amp;CHOOSE(MIN(4,COUNTIF($B$19:B843,B843)),"st","nd","rd","th"),"")</f>
        <v/>
      </c>
    </row>
    <row r="844" spans="12:12" x14ac:dyDescent="0.25">
      <c r="L844" s="164" t="str">
        <f>IFERROR(COUNTIF($B$19:B844,B844)&amp;CHOOSE(MIN(4,COUNTIF($B$19:B844,B844)),"st","nd","rd","th"),"")</f>
        <v/>
      </c>
    </row>
    <row r="845" spans="12:12" x14ac:dyDescent="0.25">
      <c r="L845" s="164" t="str">
        <f>IFERROR(COUNTIF($B$19:B845,B845)&amp;CHOOSE(MIN(4,COUNTIF($B$19:B845,B845)),"st","nd","rd","th"),"")</f>
        <v/>
      </c>
    </row>
    <row r="846" spans="12:12" x14ac:dyDescent="0.25">
      <c r="L846" s="164" t="str">
        <f>IFERROR(COUNTIF($B$19:B846,B846)&amp;CHOOSE(MIN(4,COUNTIF($B$19:B846,B846)),"st","nd","rd","th"),"")</f>
        <v/>
      </c>
    </row>
    <row r="847" spans="12:12" x14ac:dyDescent="0.25">
      <c r="L847" s="164" t="str">
        <f>IFERROR(COUNTIF($B$19:B847,B847)&amp;CHOOSE(MIN(4,COUNTIF($B$19:B847,B847)),"st","nd","rd","th"),"")</f>
        <v/>
      </c>
    </row>
    <row r="848" spans="12:12" x14ac:dyDescent="0.25">
      <c r="L848" s="164" t="str">
        <f>IFERROR(COUNTIF($B$19:B848,B848)&amp;CHOOSE(MIN(4,COUNTIF($B$19:B848,B848)),"st","nd","rd","th"),"")</f>
        <v/>
      </c>
    </row>
    <row r="849" spans="12:12" x14ac:dyDescent="0.25">
      <c r="L849" s="164" t="str">
        <f>IFERROR(COUNTIF($B$19:B849,B849)&amp;CHOOSE(MIN(4,COUNTIF($B$19:B849,B849)),"st","nd","rd","th"),"")</f>
        <v/>
      </c>
    </row>
    <row r="850" spans="12:12" x14ac:dyDescent="0.25">
      <c r="L850" s="164" t="str">
        <f>IFERROR(COUNTIF($B$19:B850,B850)&amp;CHOOSE(MIN(4,COUNTIF($B$19:B850,B850)),"st","nd","rd","th"),"")</f>
        <v/>
      </c>
    </row>
    <row r="851" spans="12:12" x14ac:dyDescent="0.25">
      <c r="L851" s="164" t="str">
        <f>IFERROR(COUNTIF($B$19:B851,B851)&amp;CHOOSE(MIN(4,COUNTIF($B$19:B851,B851)),"st","nd","rd","th"),"")</f>
        <v/>
      </c>
    </row>
    <row r="852" spans="12:12" x14ac:dyDescent="0.25">
      <c r="L852" s="164" t="str">
        <f>IFERROR(COUNTIF($B$19:B852,B852)&amp;CHOOSE(MIN(4,COUNTIF($B$19:B852,B852)),"st","nd","rd","th"),"")</f>
        <v/>
      </c>
    </row>
    <row r="853" spans="12:12" x14ac:dyDescent="0.25">
      <c r="L853" s="164" t="str">
        <f>IFERROR(COUNTIF($B$19:B853,B853)&amp;CHOOSE(MIN(4,COUNTIF($B$19:B853,B853)),"st","nd","rd","th"),"")</f>
        <v/>
      </c>
    </row>
    <row r="854" spans="12:12" x14ac:dyDescent="0.25">
      <c r="L854" s="164" t="str">
        <f>IFERROR(COUNTIF($B$19:B854,B854)&amp;CHOOSE(MIN(4,COUNTIF($B$19:B854,B854)),"st","nd","rd","th"),"")</f>
        <v/>
      </c>
    </row>
    <row r="855" spans="12:12" x14ac:dyDescent="0.25">
      <c r="L855" s="164" t="str">
        <f>IFERROR(COUNTIF($B$19:B855,B855)&amp;CHOOSE(MIN(4,COUNTIF($B$19:B855,B855)),"st","nd","rd","th"),"")</f>
        <v/>
      </c>
    </row>
    <row r="856" spans="12:12" x14ac:dyDescent="0.25">
      <c r="L856" s="164" t="str">
        <f>IFERROR(COUNTIF($B$19:B856,B856)&amp;CHOOSE(MIN(4,COUNTIF($B$19:B856,B856)),"st","nd","rd","th"),"")</f>
        <v/>
      </c>
    </row>
    <row r="857" spans="12:12" x14ac:dyDescent="0.25">
      <c r="L857" s="164" t="str">
        <f>IFERROR(COUNTIF($B$19:B857,B857)&amp;CHOOSE(MIN(4,COUNTIF($B$19:B857,B857)),"st","nd","rd","th"),"")</f>
        <v/>
      </c>
    </row>
    <row r="858" spans="12:12" x14ac:dyDescent="0.25">
      <c r="L858" s="164" t="str">
        <f>IFERROR(COUNTIF($B$19:B858,B858)&amp;CHOOSE(MIN(4,COUNTIF($B$19:B858,B858)),"st","nd","rd","th"),"")</f>
        <v/>
      </c>
    </row>
    <row r="859" spans="12:12" x14ac:dyDescent="0.25">
      <c r="L859" s="164" t="str">
        <f>IFERROR(COUNTIF($B$19:B859,B859)&amp;CHOOSE(MIN(4,COUNTIF($B$19:B859,B859)),"st","nd","rd","th"),"")</f>
        <v/>
      </c>
    </row>
    <row r="860" spans="12:12" x14ac:dyDescent="0.25">
      <c r="L860" s="164" t="str">
        <f>IFERROR(COUNTIF($B$19:B860,B860)&amp;CHOOSE(MIN(4,COUNTIF($B$19:B860,B860)),"st","nd","rd","th"),"")</f>
        <v/>
      </c>
    </row>
    <row r="861" spans="12:12" x14ac:dyDescent="0.25">
      <c r="L861" s="164" t="str">
        <f>IFERROR(COUNTIF($B$19:B861,B861)&amp;CHOOSE(MIN(4,COUNTIF($B$19:B861,B861)),"st","nd","rd","th"),"")</f>
        <v/>
      </c>
    </row>
    <row r="862" spans="12:12" x14ac:dyDescent="0.25">
      <c r="L862" s="164" t="str">
        <f>IFERROR(COUNTIF($B$19:B862,B862)&amp;CHOOSE(MIN(4,COUNTIF($B$19:B862,B862)),"st","nd","rd","th"),"")</f>
        <v/>
      </c>
    </row>
    <row r="863" spans="12:12" x14ac:dyDescent="0.25">
      <c r="L863" s="164" t="str">
        <f>IFERROR(COUNTIF($B$19:B863,B863)&amp;CHOOSE(MIN(4,COUNTIF($B$19:B863,B863)),"st","nd","rd","th"),"")</f>
        <v/>
      </c>
    </row>
    <row r="864" spans="12:12" x14ac:dyDescent="0.25">
      <c r="L864" s="164" t="str">
        <f>IFERROR(COUNTIF($B$19:B864,B864)&amp;CHOOSE(MIN(4,COUNTIF($B$19:B864,B864)),"st","nd","rd","th"),"")</f>
        <v/>
      </c>
    </row>
    <row r="865" spans="12:12" x14ac:dyDescent="0.25">
      <c r="L865" s="164" t="str">
        <f>IFERROR(COUNTIF($B$19:B865,B865)&amp;CHOOSE(MIN(4,COUNTIF($B$19:B865,B865)),"st","nd","rd","th"),"")</f>
        <v/>
      </c>
    </row>
    <row r="866" spans="12:12" x14ac:dyDescent="0.25">
      <c r="L866" s="164" t="str">
        <f>IFERROR(COUNTIF($B$19:B866,B866)&amp;CHOOSE(MIN(4,COUNTIF($B$19:B866,B866)),"st","nd","rd","th"),"")</f>
        <v/>
      </c>
    </row>
    <row r="867" spans="12:12" x14ac:dyDescent="0.25">
      <c r="L867" s="164" t="str">
        <f>IFERROR(COUNTIF($B$19:B867,B867)&amp;CHOOSE(MIN(4,COUNTIF($B$19:B867,B867)),"st","nd","rd","th"),"")</f>
        <v/>
      </c>
    </row>
    <row r="868" spans="12:12" x14ac:dyDescent="0.25">
      <c r="L868" s="164" t="str">
        <f>IFERROR(COUNTIF($B$19:B868,B868)&amp;CHOOSE(MIN(4,COUNTIF($B$19:B868,B868)),"st","nd","rd","th"),"")</f>
        <v/>
      </c>
    </row>
    <row r="869" spans="12:12" x14ac:dyDescent="0.25">
      <c r="L869" s="164" t="str">
        <f>IFERROR(COUNTIF($B$19:B869,B869)&amp;CHOOSE(MIN(4,COUNTIF($B$19:B869,B869)),"st","nd","rd","th"),"")</f>
        <v/>
      </c>
    </row>
    <row r="870" spans="12:12" x14ac:dyDescent="0.25">
      <c r="L870" s="164" t="str">
        <f>IFERROR(COUNTIF($B$19:B870,B870)&amp;CHOOSE(MIN(4,COUNTIF($B$19:B870,B870)),"st","nd","rd","th"),"")</f>
        <v/>
      </c>
    </row>
    <row r="871" spans="12:12" x14ac:dyDescent="0.25">
      <c r="L871" s="164" t="str">
        <f>IFERROR(COUNTIF($B$19:B871,B871)&amp;CHOOSE(MIN(4,COUNTIF($B$19:B871,B871)),"st","nd","rd","th"),"")</f>
        <v/>
      </c>
    </row>
    <row r="872" spans="12:12" x14ac:dyDescent="0.25">
      <c r="L872" s="164" t="str">
        <f>IFERROR(COUNTIF($B$19:B872,B872)&amp;CHOOSE(MIN(4,COUNTIF($B$19:B872,B872)),"st","nd","rd","th"),"")</f>
        <v/>
      </c>
    </row>
    <row r="873" spans="12:12" x14ac:dyDescent="0.25">
      <c r="L873" s="164" t="str">
        <f>IFERROR(COUNTIF($B$19:B873,B873)&amp;CHOOSE(MIN(4,COUNTIF($B$19:B873,B873)),"st","nd","rd","th"),"")</f>
        <v/>
      </c>
    </row>
    <row r="874" spans="12:12" x14ac:dyDescent="0.25">
      <c r="L874" s="164" t="str">
        <f>IFERROR(COUNTIF($B$19:B874,B874)&amp;CHOOSE(MIN(4,COUNTIF($B$19:B874,B874)),"st","nd","rd","th"),"")</f>
        <v/>
      </c>
    </row>
    <row r="875" spans="12:12" x14ac:dyDescent="0.25">
      <c r="L875" s="164" t="str">
        <f>IFERROR(COUNTIF($B$19:B875,B875)&amp;CHOOSE(MIN(4,COUNTIF($B$19:B875,B875)),"st","nd","rd","th"),"")</f>
        <v/>
      </c>
    </row>
    <row r="876" spans="12:12" x14ac:dyDescent="0.25">
      <c r="L876" s="164" t="str">
        <f>IFERROR(COUNTIF($B$19:B876,B876)&amp;CHOOSE(MIN(4,COUNTIF($B$19:B876,B876)),"st","nd","rd","th"),"")</f>
        <v/>
      </c>
    </row>
    <row r="877" spans="12:12" x14ac:dyDescent="0.25">
      <c r="L877" s="164" t="str">
        <f>IFERROR(COUNTIF($B$19:B877,B877)&amp;CHOOSE(MIN(4,COUNTIF($B$19:B877,B877)),"st","nd","rd","th"),"")</f>
        <v/>
      </c>
    </row>
    <row r="878" spans="12:12" x14ac:dyDescent="0.25">
      <c r="L878" s="164" t="str">
        <f>IFERROR(COUNTIF($B$19:B878,B878)&amp;CHOOSE(MIN(4,COUNTIF($B$19:B878,B878)),"st","nd","rd","th"),"")</f>
        <v/>
      </c>
    </row>
    <row r="879" spans="12:12" x14ac:dyDescent="0.25">
      <c r="L879" s="164" t="str">
        <f>IFERROR(COUNTIF($B$19:B879,B879)&amp;CHOOSE(MIN(4,COUNTIF($B$19:B879,B879)),"st","nd","rd","th"),"")</f>
        <v/>
      </c>
    </row>
    <row r="880" spans="12:12" x14ac:dyDescent="0.25">
      <c r="L880" s="164" t="str">
        <f>IFERROR(COUNTIF($B$19:B880,B880)&amp;CHOOSE(MIN(4,COUNTIF($B$19:B880,B880)),"st","nd","rd","th"),"")</f>
        <v/>
      </c>
    </row>
    <row r="881" spans="12:12" x14ac:dyDescent="0.25">
      <c r="L881" s="164" t="str">
        <f>IFERROR(COUNTIF($B$19:B881,B881)&amp;CHOOSE(MIN(4,COUNTIF($B$19:B881,B881)),"st","nd","rd","th"),"")</f>
        <v/>
      </c>
    </row>
    <row r="882" spans="12:12" x14ac:dyDescent="0.25">
      <c r="L882" s="164" t="str">
        <f>IFERROR(COUNTIF($B$19:B882,B882)&amp;CHOOSE(MIN(4,COUNTIF($B$19:B882,B882)),"st","nd","rd","th"),"")</f>
        <v/>
      </c>
    </row>
    <row r="883" spans="12:12" x14ac:dyDescent="0.25">
      <c r="L883" s="164" t="str">
        <f>IFERROR(COUNTIF($B$19:B883,B883)&amp;CHOOSE(MIN(4,COUNTIF($B$19:B883,B883)),"st","nd","rd","th"),"")</f>
        <v/>
      </c>
    </row>
    <row r="884" spans="12:12" x14ac:dyDescent="0.25">
      <c r="L884" s="164" t="str">
        <f>IFERROR(COUNTIF($B$19:B884,B884)&amp;CHOOSE(MIN(4,COUNTIF($B$19:B884,B884)),"st","nd","rd","th"),"")</f>
        <v/>
      </c>
    </row>
    <row r="885" spans="12:12" x14ac:dyDescent="0.25">
      <c r="L885" s="164" t="str">
        <f>IFERROR(COUNTIF($B$19:B885,B885)&amp;CHOOSE(MIN(4,COUNTIF($B$19:B885,B885)),"st","nd","rd","th"),"")</f>
        <v/>
      </c>
    </row>
    <row r="886" spans="12:12" x14ac:dyDescent="0.25">
      <c r="L886" s="164" t="str">
        <f>IFERROR(COUNTIF($B$19:B886,B886)&amp;CHOOSE(MIN(4,COUNTIF($B$19:B886,B886)),"st","nd","rd","th"),"")</f>
        <v/>
      </c>
    </row>
    <row r="887" spans="12:12" x14ac:dyDescent="0.25">
      <c r="L887" s="164" t="str">
        <f>IFERROR(COUNTIF($B$19:B887,B887)&amp;CHOOSE(MIN(4,COUNTIF($B$19:B887,B887)),"st","nd","rd","th"),"")</f>
        <v/>
      </c>
    </row>
    <row r="888" spans="12:12" x14ac:dyDescent="0.25">
      <c r="L888" s="164" t="str">
        <f>IFERROR(COUNTIF($B$19:B888,B888)&amp;CHOOSE(MIN(4,COUNTIF($B$19:B888,B888)),"st","nd","rd","th"),"")</f>
        <v/>
      </c>
    </row>
    <row r="889" spans="12:12" x14ac:dyDescent="0.25">
      <c r="L889" s="164" t="str">
        <f>IFERROR(COUNTIF($B$19:B889,B889)&amp;CHOOSE(MIN(4,COUNTIF($B$19:B889,B889)),"st","nd","rd","th"),"")</f>
        <v/>
      </c>
    </row>
    <row r="890" spans="12:12" x14ac:dyDescent="0.25">
      <c r="L890" s="164" t="str">
        <f>IFERROR(COUNTIF($B$19:B890,B890)&amp;CHOOSE(MIN(4,COUNTIF($B$19:B890,B890)),"st","nd","rd","th"),"")</f>
        <v/>
      </c>
    </row>
    <row r="891" spans="12:12" x14ac:dyDescent="0.25">
      <c r="L891" s="164" t="str">
        <f>IFERROR(COUNTIF($B$19:B891,B891)&amp;CHOOSE(MIN(4,COUNTIF($B$19:B891,B891)),"st","nd","rd","th"),"")</f>
        <v/>
      </c>
    </row>
    <row r="892" spans="12:12" x14ac:dyDescent="0.25">
      <c r="L892" s="164" t="str">
        <f>IFERROR(COUNTIF($B$19:B892,B892)&amp;CHOOSE(MIN(4,COUNTIF($B$19:B892,B892)),"st","nd","rd","th"),"")</f>
        <v/>
      </c>
    </row>
    <row r="893" spans="12:12" x14ac:dyDescent="0.25">
      <c r="L893" s="164" t="str">
        <f>IFERROR(COUNTIF($B$19:B893,B893)&amp;CHOOSE(MIN(4,COUNTIF($B$19:B893,B893)),"st","nd","rd","th"),"")</f>
        <v/>
      </c>
    </row>
    <row r="894" spans="12:12" x14ac:dyDescent="0.25">
      <c r="L894" s="164" t="str">
        <f>IFERROR(COUNTIF($B$19:B894,B894)&amp;CHOOSE(MIN(4,COUNTIF($B$19:B894,B894)),"st","nd","rd","th"),"")</f>
        <v/>
      </c>
    </row>
    <row r="895" spans="12:12" x14ac:dyDescent="0.25">
      <c r="L895" s="164" t="str">
        <f>IFERROR(COUNTIF($B$19:B895,B895)&amp;CHOOSE(MIN(4,COUNTIF($B$19:B895,B895)),"st","nd","rd","th"),"")</f>
        <v/>
      </c>
    </row>
    <row r="896" spans="12:12" x14ac:dyDescent="0.25">
      <c r="L896" s="164" t="str">
        <f>IFERROR(COUNTIF($B$19:B896,B896)&amp;CHOOSE(MIN(4,COUNTIF($B$19:B896,B896)),"st","nd","rd","th"),"")</f>
        <v/>
      </c>
    </row>
    <row r="897" spans="12:12" x14ac:dyDescent="0.25">
      <c r="L897" s="164" t="str">
        <f>IFERROR(COUNTIF($B$19:B897,B897)&amp;CHOOSE(MIN(4,COUNTIF($B$19:B897,B897)),"st","nd","rd","th"),"")</f>
        <v/>
      </c>
    </row>
    <row r="898" spans="12:12" x14ac:dyDescent="0.25">
      <c r="L898" s="164" t="str">
        <f>IFERROR(COUNTIF($B$19:B898,B898)&amp;CHOOSE(MIN(4,COUNTIF($B$19:B898,B898)),"st","nd","rd","th"),"")</f>
        <v/>
      </c>
    </row>
    <row r="899" spans="12:12" x14ac:dyDescent="0.25">
      <c r="L899" s="164" t="str">
        <f>IFERROR(COUNTIF($B$19:B899,B899)&amp;CHOOSE(MIN(4,COUNTIF($B$19:B899,B899)),"st","nd","rd","th"),"")</f>
        <v/>
      </c>
    </row>
    <row r="900" spans="12:12" x14ac:dyDescent="0.25">
      <c r="L900" s="164" t="str">
        <f>IFERROR(COUNTIF($B$19:B900,B900)&amp;CHOOSE(MIN(4,COUNTIF($B$19:B900,B900)),"st","nd","rd","th"),"")</f>
        <v/>
      </c>
    </row>
    <row r="901" spans="12:12" x14ac:dyDescent="0.25">
      <c r="L901" s="164" t="str">
        <f>IFERROR(COUNTIF($B$19:B901,B901)&amp;CHOOSE(MIN(4,COUNTIF($B$19:B901,B901)),"st","nd","rd","th"),"")</f>
        <v/>
      </c>
    </row>
    <row r="902" spans="12:12" x14ac:dyDescent="0.25">
      <c r="L902" s="164" t="str">
        <f>IFERROR(COUNTIF($B$19:B902,B902)&amp;CHOOSE(MIN(4,COUNTIF($B$19:B902,B902)),"st","nd","rd","th"),"")</f>
        <v/>
      </c>
    </row>
    <row r="903" spans="12:12" x14ac:dyDescent="0.25">
      <c r="L903" s="164" t="str">
        <f>IFERROR(COUNTIF($B$19:B903,B903)&amp;CHOOSE(MIN(4,COUNTIF($B$19:B903,B903)),"st","nd","rd","th"),"")</f>
        <v/>
      </c>
    </row>
    <row r="904" spans="12:12" x14ac:dyDescent="0.25">
      <c r="L904" s="164" t="str">
        <f>IFERROR(COUNTIF($B$19:B904,B904)&amp;CHOOSE(MIN(4,COUNTIF($B$19:B904,B904)),"st","nd","rd","th"),"")</f>
        <v/>
      </c>
    </row>
    <row r="905" spans="12:12" x14ac:dyDescent="0.25">
      <c r="L905" s="164" t="str">
        <f>IFERROR(COUNTIF($B$19:B905,B905)&amp;CHOOSE(MIN(4,COUNTIF($B$19:B905,B905)),"st","nd","rd","th"),"")</f>
        <v/>
      </c>
    </row>
    <row r="906" spans="12:12" x14ac:dyDescent="0.25">
      <c r="L906" s="164" t="str">
        <f>IFERROR(COUNTIF($B$19:B906,B906)&amp;CHOOSE(MIN(4,COUNTIF($B$19:B906,B906)),"st","nd","rd","th"),"")</f>
        <v/>
      </c>
    </row>
    <row r="907" spans="12:12" x14ac:dyDescent="0.25">
      <c r="L907" s="164" t="str">
        <f>IFERROR(COUNTIF($B$19:B907,B907)&amp;CHOOSE(MIN(4,COUNTIF($B$19:B907,B907)),"st","nd","rd","th"),"")</f>
        <v/>
      </c>
    </row>
    <row r="908" spans="12:12" x14ac:dyDescent="0.25">
      <c r="L908" s="164" t="str">
        <f>IFERROR(COUNTIF($B$19:B908,B908)&amp;CHOOSE(MIN(4,COUNTIF($B$19:B908,B908)),"st","nd","rd","th"),"")</f>
        <v/>
      </c>
    </row>
    <row r="909" spans="12:12" x14ac:dyDescent="0.25">
      <c r="L909" s="164" t="str">
        <f>IFERROR(COUNTIF($B$19:B909,B909)&amp;CHOOSE(MIN(4,COUNTIF($B$19:B909,B909)),"st","nd","rd","th"),"")</f>
        <v/>
      </c>
    </row>
    <row r="910" spans="12:12" x14ac:dyDescent="0.25">
      <c r="L910" s="164" t="str">
        <f>IFERROR(COUNTIF($B$19:B910,B910)&amp;CHOOSE(MIN(4,COUNTIF($B$19:B910,B910)),"st","nd","rd","th"),"")</f>
        <v/>
      </c>
    </row>
    <row r="911" spans="12:12" x14ac:dyDescent="0.25">
      <c r="L911" s="164" t="str">
        <f>IFERROR(COUNTIF($B$19:B911,B911)&amp;CHOOSE(MIN(4,COUNTIF($B$19:B911,B911)),"st","nd","rd","th"),"")</f>
        <v/>
      </c>
    </row>
    <row r="912" spans="12:12" x14ac:dyDescent="0.25">
      <c r="L912" s="164" t="str">
        <f>IFERROR(COUNTIF($B$19:B912,B912)&amp;CHOOSE(MIN(4,COUNTIF($B$19:B912,B912)),"st","nd","rd","th"),"")</f>
        <v/>
      </c>
    </row>
    <row r="913" spans="12:12" x14ac:dyDescent="0.25">
      <c r="L913" s="164" t="str">
        <f>IFERROR(COUNTIF($B$19:B913,B913)&amp;CHOOSE(MIN(4,COUNTIF($B$19:B913,B913)),"st","nd","rd","th"),"")</f>
        <v/>
      </c>
    </row>
    <row r="914" spans="12:12" x14ac:dyDescent="0.25">
      <c r="L914" s="164" t="str">
        <f>IFERROR(COUNTIF($B$19:B914,B914)&amp;CHOOSE(MIN(4,COUNTIF($B$19:B914,B914)),"st","nd","rd","th"),"")</f>
        <v/>
      </c>
    </row>
    <row r="915" spans="12:12" x14ac:dyDescent="0.25">
      <c r="L915" s="164" t="str">
        <f>IFERROR(COUNTIF($B$19:B915,B915)&amp;CHOOSE(MIN(4,COUNTIF($B$19:B915,B915)),"st","nd","rd","th"),"")</f>
        <v/>
      </c>
    </row>
    <row r="916" spans="12:12" x14ac:dyDescent="0.25">
      <c r="L916" s="164" t="str">
        <f>IFERROR(COUNTIF($B$19:B916,B916)&amp;CHOOSE(MIN(4,COUNTIF($B$19:B916,B916)),"st","nd","rd","th"),"")</f>
        <v/>
      </c>
    </row>
    <row r="917" spans="12:12" x14ac:dyDescent="0.25">
      <c r="L917" s="164" t="str">
        <f>IFERROR(COUNTIF($B$19:B917,B917)&amp;CHOOSE(MIN(4,COUNTIF($B$19:B917,B917)),"st","nd","rd","th"),"")</f>
        <v/>
      </c>
    </row>
    <row r="918" spans="12:12" x14ac:dyDescent="0.25">
      <c r="L918" s="164" t="str">
        <f>IFERROR(COUNTIF($B$19:B918,B918)&amp;CHOOSE(MIN(4,COUNTIF($B$19:B918,B918)),"st","nd","rd","th"),"")</f>
        <v/>
      </c>
    </row>
    <row r="919" spans="12:12" x14ac:dyDescent="0.25">
      <c r="L919" s="164" t="str">
        <f>IFERROR(COUNTIF($B$19:B919,B919)&amp;CHOOSE(MIN(4,COUNTIF($B$19:B919,B919)),"st","nd","rd","th"),"")</f>
        <v/>
      </c>
    </row>
    <row r="920" spans="12:12" x14ac:dyDescent="0.25">
      <c r="L920" s="164" t="str">
        <f>IFERROR(COUNTIF($B$19:B920,B920)&amp;CHOOSE(MIN(4,COUNTIF($B$19:B920,B920)),"st","nd","rd","th"),"")</f>
        <v/>
      </c>
    </row>
    <row r="921" spans="12:12" x14ac:dyDescent="0.25">
      <c r="L921" s="164" t="str">
        <f>IFERROR(COUNTIF($B$19:B921,B921)&amp;CHOOSE(MIN(4,COUNTIF($B$19:B921,B921)),"st","nd","rd","th"),"")</f>
        <v/>
      </c>
    </row>
    <row r="922" spans="12:12" x14ac:dyDescent="0.25">
      <c r="L922" s="164" t="str">
        <f>IFERROR(COUNTIF($B$19:B922,B922)&amp;CHOOSE(MIN(4,COUNTIF($B$19:B922,B922)),"st","nd","rd","th"),"")</f>
        <v/>
      </c>
    </row>
    <row r="923" spans="12:12" x14ac:dyDescent="0.25">
      <c r="L923" s="164" t="str">
        <f>IFERROR(COUNTIF($B$19:B923,B923)&amp;CHOOSE(MIN(4,COUNTIF($B$19:B923,B923)),"st","nd","rd","th"),"")</f>
        <v/>
      </c>
    </row>
    <row r="924" spans="12:12" x14ac:dyDescent="0.25">
      <c r="L924" s="164" t="str">
        <f>IFERROR(COUNTIF($B$19:B924,B924)&amp;CHOOSE(MIN(4,COUNTIF($B$19:B924,B924)),"st","nd","rd","th"),"")</f>
        <v/>
      </c>
    </row>
    <row r="925" spans="12:12" x14ac:dyDescent="0.25">
      <c r="L925" s="164" t="str">
        <f>IFERROR(COUNTIF($B$19:B925,B925)&amp;CHOOSE(MIN(4,COUNTIF($B$19:B925,B925)),"st","nd","rd","th"),"")</f>
        <v/>
      </c>
    </row>
    <row r="926" spans="12:12" x14ac:dyDescent="0.25">
      <c r="L926" s="164" t="str">
        <f>IFERROR(COUNTIF($B$19:B926,B926)&amp;CHOOSE(MIN(4,COUNTIF($B$19:B926,B926)),"st","nd","rd","th"),"")</f>
        <v/>
      </c>
    </row>
    <row r="927" spans="12:12" x14ac:dyDescent="0.25">
      <c r="L927" s="164" t="str">
        <f>IFERROR(COUNTIF($B$19:B927,B927)&amp;CHOOSE(MIN(4,COUNTIF($B$19:B927,B927)),"st","nd","rd","th"),"")</f>
        <v/>
      </c>
    </row>
    <row r="928" spans="12:12" x14ac:dyDescent="0.25">
      <c r="L928" s="164" t="str">
        <f>IFERROR(COUNTIF($B$19:B928,B928)&amp;CHOOSE(MIN(4,COUNTIF($B$19:B928,B928)),"st","nd","rd","th"),"")</f>
        <v/>
      </c>
    </row>
    <row r="929" spans="12:12" x14ac:dyDescent="0.25">
      <c r="L929" s="164" t="str">
        <f>IFERROR(COUNTIF($B$19:B929,B929)&amp;CHOOSE(MIN(4,COUNTIF($B$19:B929,B929)),"st","nd","rd","th"),"")</f>
        <v/>
      </c>
    </row>
    <row r="930" spans="12:12" x14ac:dyDescent="0.25">
      <c r="L930" s="164" t="str">
        <f>IFERROR(COUNTIF($B$19:B930,B930)&amp;CHOOSE(MIN(4,COUNTIF($B$19:B930,B930)),"st","nd","rd","th"),"")</f>
        <v/>
      </c>
    </row>
    <row r="931" spans="12:12" x14ac:dyDescent="0.25">
      <c r="L931" s="164" t="str">
        <f>IFERROR(COUNTIF($B$19:B931,B931)&amp;CHOOSE(MIN(4,COUNTIF($B$19:B931,B931)),"st","nd","rd","th"),"")</f>
        <v/>
      </c>
    </row>
    <row r="932" spans="12:12" x14ac:dyDescent="0.25">
      <c r="L932" s="164" t="str">
        <f>IFERROR(COUNTIF($B$19:B932,B932)&amp;CHOOSE(MIN(4,COUNTIF($B$19:B932,B932)),"st","nd","rd","th"),"")</f>
        <v/>
      </c>
    </row>
    <row r="933" spans="12:12" x14ac:dyDescent="0.25">
      <c r="L933" s="164" t="str">
        <f>IFERROR(COUNTIF($B$19:B933,B933)&amp;CHOOSE(MIN(4,COUNTIF($B$19:B933,B933)),"st","nd","rd","th"),"")</f>
        <v/>
      </c>
    </row>
    <row r="934" spans="12:12" x14ac:dyDescent="0.25">
      <c r="L934" s="164" t="str">
        <f>IFERROR(COUNTIF($B$19:B934,B934)&amp;CHOOSE(MIN(4,COUNTIF($B$19:B934,B934)),"st","nd","rd","th"),"")</f>
        <v/>
      </c>
    </row>
    <row r="935" spans="12:12" x14ac:dyDescent="0.25">
      <c r="L935" s="164" t="str">
        <f>IFERROR(COUNTIF($B$19:B935,B935)&amp;CHOOSE(MIN(4,COUNTIF($B$19:B935,B935)),"st","nd","rd","th"),"")</f>
        <v/>
      </c>
    </row>
    <row r="936" spans="12:12" x14ac:dyDescent="0.25">
      <c r="L936" s="164" t="str">
        <f>IFERROR(COUNTIF($B$19:B936,B936)&amp;CHOOSE(MIN(4,COUNTIF($B$19:B936,B936)),"st","nd","rd","th"),"")</f>
        <v/>
      </c>
    </row>
    <row r="937" spans="12:12" x14ac:dyDescent="0.25">
      <c r="L937" s="164" t="str">
        <f>IFERROR(COUNTIF($B$19:B937,B937)&amp;CHOOSE(MIN(4,COUNTIF($B$19:B937,B937)),"st","nd","rd","th"),"")</f>
        <v/>
      </c>
    </row>
    <row r="938" spans="12:12" x14ac:dyDescent="0.25">
      <c r="L938" s="164" t="str">
        <f>IFERROR(COUNTIF($B$19:B938,B938)&amp;CHOOSE(MIN(4,COUNTIF($B$19:B938,B938)),"st","nd","rd","th"),"")</f>
        <v/>
      </c>
    </row>
    <row r="939" spans="12:12" x14ac:dyDescent="0.25">
      <c r="L939" s="164" t="str">
        <f>IFERROR(COUNTIF($B$19:B939,B939)&amp;CHOOSE(MIN(4,COUNTIF($B$19:B939,B939)),"st","nd","rd","th"),"")</f>
        <v/>
      </c>
    </row>
    <row r="940" spans="12:12" x14ac:dyDescent="0.25">
      <c r="L940" s="164" t="str">
        <f>IFERROR(COUNTIF($B$19:B940,B940)&amp;CHOOSE(MIN(4,COUNTIF($B$19:B940,B940)),"st","nd","rd","th"),"")</f>
        <v/>
      </c>
    </row>
    <row r="941" spans="12:12" x14ac:dyDescent="0.25">
      <c r="L941" s="164" t="str">
        <f>IFERROR(COUNTIF($B$19:B941,B941)&amp;CHOOSE(MIN(4,COUNTIF($B$19:B941,B941)),"st","nd","rd","th"),"")</f>
        <v/>
      </c>
    </row>
    <row r="942" spans="12:12" x14ac:dyDescent="0.25">
      <c r="L942" s="164" t="str">
        <f>IFERROR(COUNTIF($B$19:B942,B942)&amp;CHOOSE(MIN(4,COUNTIF($B$19:B942,B942)),"st","nd","rd","th"),"")</f>
        <v/>
      </c>
    </row>
    <row r="943" spans="12:12" x14ac:dyDescent="0.25">
      <c r="L943" s="164" t="str">
        <f>IFERROR(COUNTIF($B$19:B943,B943)&amp;CHOOSE(MIN(4,COUNTIF($B$19:B943,B943)),"st","nd","rd","th"),"")</f>
        <v/>
      </c>
    </row>
    <row r="944" spans="12:12" x14ac:dyDescent="0.25">
      <c r="L944" s="164" t="str">
        <f>IFERROR(COUNTIF($B$19:B944,B944)&amp;CHOOSE(MIN(4,COUNTIF($B$19:B944,B944)),"st","nd","rd","th"),"")</f>
        <v/>
      </c>
    </row>
    <row r="945" spans="12:12" x14ac:dyDescent="0.25">
      <c r="L945" s="164" t="str">
        <f>IFERROR(COUNTIF($B$19:B945,B945)&amp;CHOOSE(MIN(4,COUNTIF($B$19:B945,B945)),"st","nd","rd","th"),"")</f>
        <v/>
      </c>
    </row>
    <row r="946" spans="12:12" x14ac:dyDescent="0.25">
      <c r="L946" s="164" t="str">
        <f>IFERROR(COUNTIF($B$19:B946,B946)&amp;CHOOSE(MIN(4,COUNTIF($B$19:B946,B946)),"st","nd","rd","th"),"")</f>
        <v/>
      </c>
    </row>
    <row r="947" spans="12:12" x14ac:dyDescent="0.25">
      <c r="L947" s="164" t="str">
        <f>IFERROR(COUNTIF($B$19:B947,B947)&amp;CHOOSE(MIN(4,COUNTIF($B$19:B947,B947)),"st","nd","rd","th"),"")</f>
        <v/>
      </c>
    </row>
    <row r="948" spans="12:12" x14ac:dyDescent="0.25">
      <c r="L948" s="164" t="str">
        <f>IFERROR(COUNTIF($B$19:B948,B948)&amp;CHOOSE(MIN(4,COUNTIF($B$19:B948,B948)),"st","nd","rd","th"),"")</f>
        <v/>
      </c>
    </row>
    <row r="949" spans="12:12" x14ac:dyDescent="0.25">
      <c r="L949" s="164" t="str">
        <f>IFERROR(COUNTIF($B$19:B949,B949)&amp;CHOOSE(MIN(4,COUNTIF($B$19:B949,B949)),"st","nd","rd","th"),"")</f>
        <v/>
      </c>
    </row>
    <row r="950" spans="12:12" x14ac:dyDescent="0.25">
      <c r="L950" s="164" t="str">
        <f>IFERROR(COUNTIF($B$19:B950,B950)&amp;CHOOSE(MIN(4,COUNTIF($B$19:B950,B950)),"st","nd","rd","th"),"")</f>
        <v/>
      </c>
    </row>
    <row r="951" spans="12:12" x14ac:dyDescent="0.25">
      <c r="L951" s="164" t="str">
        <f>IFERROR(COUNTIF($B$19:B951,B951)&amp;CHOOSE(MIN(4,COUNTIF($B$19:B951,B951)),"st","nd","rd","th"),"")</f>
        <v/>
      </c>
    </row>
    <row r="952" spans="12:12" x14ac:dyDescent="0.25">
      <c r="L952" s="164" t="str">
        <f>IFERROR(COUNTIF($B$19:B952,B952)&amp;CHOOSE(MIN(4,COUNTIF($B$19:B952,B952)),"st","nd","rd","th"),"")</f>
        <v/>
      </c>
    </row>
    <row r="953" spans="12:12" x14ac:dyDescent="0.25">
      <c r="L953" s="164" t="str">
        <f>IFERROR(COUNTIF($B$19:B953,B953)&amp;CHOOSE(MIN(4,COUNTIF($B$19:B953,B953)),"st","nd","rd","th"),"")</f>
        <v/>
      </c>
    </row>
    <row r="954" spans="12:12" x14ac:dyDescent="0.25">
      <c r="L954" s="164" t="str">
        <f>IFERROR(COUNTIF($B$19:B954,B954)&amp;CHOOSE(MIN(4,COUNTIF($B$19:B954,B954)),"st","nd","rd","th"),"")</f>
        <v/>
      </c>
    </row>
    <row r="955" spans="12:12" x14ac:dyDescent="0.25">
      <c r="L955" s="164" t="str">
        <f>IFERROR(COUNTIF($B$19:B955,B955)&amp;CHOOSE(MIN(4,COUNTIF($B$19:B955,B955)),"st","nd","rd","th"),"")</f>
        <v/>
      </c>
    </row>
    <row r="956" spans="12:12" x14ac:dyDescent="0.25">
      <c r="L956" s="164" t="str">
        <f>IFERROR(COUNTIF($B$19:B956,B956)&amp;CHOOSE(MIN(4,COUNTIF($B$19:B956,B956)),"st","nd","rd","th"),"")</f>
        <v/>
      </c>
    </row>
    <row r="957" spans="12:12" x14ac:dyDescent="0.25">
      <c r="L957" s="164" t="str">
        <f>IFERROR(COUNTIF($B$19:B957,B957)&amp;CHOOSE(MIN(4,COUNTIF($B$19:B957,B957)),"st","nd","rd","th"),"")</f>
        <v/>
      </c>
    </row>
    <row r="958" spans="12:12" x14ac:dyDescent="0.25">
      <c r="L958" s="164" t="str">
        <f>IFERROR(COUNTIF($B$19:B958,B958)&amp;CHOOSE(MIN(4,COUNTIF($B$19:B958,B958)),"st","nd","rd","th"),"")</f>
        <v/>
      </c>
    </row>
    <row r="959" spans="12:12" x14ac:dyDescent="0.25">
      <c r="L959" s="164" t="str">
        <f>IFERROR(COUNTIF($B$19:B959,B959)&amp;CHOOSE(MIN(4,COUNTIF($B$19:B959,B959)),"st","nd","rd","th"),"")</f>
        <v/>
      </c>
    </row>
    <row r="960" spans="12:12" x14ac:dyDescent="0.25">
      <c r="L960" s="164" t="str">
        <f>IFERROR(COUNTIF($B$19:B960,B960)&amp;CHOOSE(MIN(4,COUNTIF($B$19:B960,B960)),"st","nd","rd","th"),"")</f>
        <v/>
      </c>
    </row>
    <row r="961" spans="12:12" x14ac:dyDescent="0.25">
      <c r="L961" s="164" t="str">
        <f>IFERROR(COUNTIF($B$19:B961,B961)&amp;CHOOSE(MIN(4,COUNTIF($B$19:B961,B961)),"st","nd","rd","th"),"")</f>
        <v/>
      </c>
    </row>
    <row r="962" spans="12:12" x14ac:dyDescent="0.25">
      <c r="L962" s="164" t="str">
        <f>IFERROR(COUNTIF($B$19:B962,B962)&amp;CHOOSE(MIN(4,COUNTIF($B$19:B962,B962)),"st","nd","rd","th"),"")</f>
        <v/>
      </c>
    </row>
    <row r="963" spans="12:12" x14ac:dyDescent="0.25">
      <c r="L963" s="164" t="str">
        <f>IFERROR(COUNTIF($B$19:B963,B963)&amp;CHOOSE(MIN(4,COUNTIF($B$19:B963,B963)),"st","nd","rd","th"),"")</f>
        <v/>
      </c>
    </row>
    <row r="964" spans="12:12" x14ac:dyDescent="0.25">
      <c r="L964" s="164" t="str">
        <f>IFERROR(COUNTIF($B$19:B964,B964)&amp;CHOOSE(MIN(4,COUNTIF($B$19:B964,B964)),"st","nd","rd","th"),"")</f>
        <v/>
      </c>
    </row>
    <row r="965" spans="12:12" x14ac:dyDescent="0.25">
      <c r="L965" s="164" t="str">
        <f>IFERROR(COUNTIF($B$19:B965,B965)&amp;CHOOSE(MIN(4,COUNTIF($B$19:B965,B965)),"st","nd","rd","th"),"")</f>
        <v/>
      </c>
    </row>
    <row r="966" spans="12:12" x14ac:dyDescent="0.25">
      <c r="L966" s="164" t="str">
        <f>IFERROR(COUNTIF($B$19:B966,B966)&amp;CHOOSE(MIN(4,COUNTIF($B$19:B966,B966)),"st","nd","rd","th"),"")</f>
        <v/>
      </c>
    </row>
    <row r="967" spans="12:12" x14ac:dyDescent="0.25">
      <c r="L967" s="164" t="str">
        <f>IFERROR(COUNTIF($B$19:B967,B967)&amp;CHOOSE(MIN(4,COUNTIF($B$19:B967,B967)),"st","nd","rd","th"),"")</f>
        <v/>
      </c>
    </row>
    <row r="968" spans="12:12" x14ac:dyDescent="0.25">
      <c r="L968" s="164" t="str">
        <f>IFERROR(COUNTIF($B$19:B968,B968)&amp;CHOOSE(MIN(4,COUNTIF($B$19:B968,B968)),"st","nd","rd","th"),"")</f>
        <v/>
      </c>
    </row>
    <row r="969" spans="12:12" x14ac:dyDescent="0.25">
      <c r="L969" s="164" t="str">
        <f>IFERROR(COUNTIF($B$19:B969,B969)&amp;CHOOSE(MIN(4,COUNTIF($B$19:B969,B969)),"st","nd","rd","th"),"")</f>
        <v/>
      </c>
    </row>
    <row r="970" spans="12:12" x14ac:dyDescent="0.25">
      <c r="L970" s="164" t="str">
        <f>IFERROR(COUNTIF($B$19:B970,B970)&amp;CHOOSE(MIN(4,COUNTIF($B$19:B970,B970)),"st","nd","rd","th"),"")</f>
        <v/>
      </c>
    </row>
    <row r="971" spans="12:12" x14ac:dyDescent="0.25">
      <c r="L971" s="164" t="str">
        <f>IFERROR(COUNTIF($B$19:B971,B971)&amp;CHOOSE(MIN(4,COUNTIF($B$19:B971,B971)),"st","nd","rd","th"),"")</f>
        <v/>
      </c>
    </row>
    <row r="972" spans="12:12" x14ac:dyDescent="0.25">
      <c r="L972" s="164" t="str">
        <f>IFERROR(COUNTIF($B$19:B972,B972)&amp;CHOOSE(MIN(4,COUNTIF($B$19:B972,B972)),"st","nd","rd","th"),"")</f>
        <v/>
      </c>
    </row>
    <row r="973" spans="12:12" x14ac:dyDescent="0.25">
      <c r="L973" s="164" t="str">
        <f>IFERROR(COUNTIF($B$19:B973,B973)&amp;CHOOSE(MIN(4,COUNTIF($B$19:B973,B973)),"st","nd","rd","th"),"")</f>
        <v/>
      </c>
    </row>
    <row r="974" spans="12:12" x14ac:dyDescent="0.25">
      <c r="L974" s="164" t="str">
        <f>IFERROR(COUNTIF($B$19:B974,B974)&amp;CHOOSE(MIN(4,COUNTIF($B$19:B974,B974)),"st","nd","rd","th"),"")</f>
        <v/>
      </c>
    </row>
    <row r="975" spans="12:12" x14ac:dyDescent="0.25">
      <c r="L975" s="164" t="str">
        <f>IFERROR(COUNTIF($B$19:B975,B975)&amp;CHOOSE(MIN(4,COUNTIF($B$19:B975,B975)),"st","nd","rd","th"),"")</f>
        <v/>
      </c>
    </row>
    <row r="976" spans="12:12" x14ac:dyDescent="0.25">
      <c r="L976" s="164" t="str">
        <f>IFERROR(COUNTIF($B$19:B976,B976)&amp;CHOOSE(MIN(4,COUNTIF($B$19:B976,B976)),"st","nd","rd","th"),"")</f>
        <v/>
      </c>
    </row>
    <row r="977" spans="12:12" x14ac:dyDescent="0.25">
      <c r="L977" s="164" t="str">
        <f>IFERROR(COUNTIF($B$19:B977,B977)&amp;CHOOSE(MIN(4,COUNTIF($B$19:B977,B977)),"st","nd","rd","th"),"")</f>
        <v/>
      </c>
    </row>
    <row r="978" spans="12:12" x14ac:dyDescent="0.25">
      <c r="L978" s="164" t="str">
        <f>IFERROR(COUNTIF($B$19:B978,B978)&amp;CHOOSE(MIN(4,COUNTIF($B$19:B978,B978)),"st","nd","rd","th"),"")</f>
        <v/>
      </c>
    </row>
    <row r="979" spans="12:12" x14ac:dyDescent="0.25">
      <c r="L979" s="164" t="str">
        <f>IFERROR(COUNTIF($B$19:B979,B979)&amp;CHOOSE(MIN(4,COUNTIF($B$19:B979,B979)),"st","nd","rd","th"),"")</f>
        <v/>
      </c>
    </row>
    <row r="980" spans="12:12" x14ac:dyDescent="0.25">
      <c r="L980" s="164" t="str">
        <f>IFERROR(COUNTIF($B$19:B980,B980)&amp;CHOOSE(MIN(4,COUNTIF($B$19:B980,B980)),"st","nd","rd","th"),"")</f>
        <v/>
      </c>
    </row>
    <row r="981" spans="12:12" x14ac:dyDescent="0.25">
      <c r="L981" s="164" t="str">
        <f>IFERROR(COUNTIF($B$19:B981,B981)&amp;CHOOSE(MIN(4,COUNTIF($B$19:B981,B981)),"st","nd","rd","th"),"")</f>
        <v/>
      </c>
    </row>
    <row r="982" spans="12:12" x14ac:dyDescent="0.25">
      <c r="L982" s="164" t="str">
        <f>IFERROR(COUNTIF($B$19:B982,B982)&amp;CHOOSE(MIN(4,COUNTIF($B$19:B982,B982)),"st","nd","rd","th"),"")</f>
        <v/>
      </c>
    </row>
    <row r="983" spans="12:12" x14ac:dyDescent="0.25">
      <c r="L983" s="164" t="str">
        <f>IFERROR(COUNTIF($B$19:B983,B983)&amp;CHOOSE(MIN(4,COUNTIF($B$19:B983,B983)),"st","nd","rd","th"),"")</f>
        <v/>
      </c>
    </row>
    <row r="984" spans="12:12" x14ac:dyDescent="0.25">
      <c r="L984" s="164" t="str">
        <f>IFERROR(COUNTIF($B$19:B984,B984)&amp;CHOOSE(MIN(4,COUNTIF($B$19:B984,B984)),"st","nd","rd","th"),"")</f>
        <v/>
      </c>
    </row>
    <row r="985" spans="12:12" x14ac:dyDescent="0.25">
      <c r="L985" s="164" t="str">
        <f>IFERROR(COUNTIF($B$19:B985,B985)&amp;CHOOSE(MIN(4,COUNTIF($B$19:B985,B985)),"st","nd","rd","th"),"")</f>
        <v/>
      </c>
    </row>
    <row r="986" spans="12:12" x14ac:dyDescent="0.25">
      <c r="L986" s="164" t="str">
        <f>IFERROR(COUNTIF($B$19:B986,B986)&amp;CHOOSE(MIN(4,COUNTIF($B$19:B986,B986)),"st","nd","rd","th"),"")</f>
        <v/>
      </c>
    </row>
    <row r="987" spans="12:12" x14ac:dyDescent="0.25">
      <c r="L987" s="164" t="str">
        <f>IFERROR(COUNTIF($B$19:B987,B987)&amp;CHOOSE(MIN(4,COUNTIF($B$19:B987,B987)),"st","nd","rd","th"),"")</f>
        <v/>
      </c>
    </row>
    <row r="988" spans="12:12" x14ac:dyDescent="0.25">
      <c r="L988" s="164" t="str">
        <f>IFERROR(COUNTIF($B$19:B988,B988)&amp;CHOOSE(MIN(4,COUNTIF($B$19:B988,B988)),"st","nd","rd","th"),"")</f>
        <v/>
      </c>
    </row>
    <row r="989" spans="12:12" x14ac:dyDescent="0.25">
      <c r="L989" s="164" t="str">
        <f>IFERROR(COUNTIF($B$19:B989,B989)&amp;CHOOSE(MIN(4,COUNTIF($B$19:B989,B989)),"st","nd","rd","th"),"")</f>
        <v/>
      </c>
    </row>
    <row r="990" spans="12:12" x14ac:dyDescent="0.25">
      <c r="L990" s="164" t="str">
        <f>IFERROR(COUNTIF($B$19:B990,B990)&amp;CHOOSE(MIN(4,COUNTIF($B$19:B990,B990)),"st","nd","rd","th"),"")</f>
        <v/>
      </c>
    </row>
    <row r="991" spans="12:12" x14ac:dyDescent="0.25">
      <c r="L991" s="164" t="str">
        <f>IFERROR(COUNTIF($B$19:B991,B991)&amp;CHOOSE(MIN(4,COUNTIF($B$19:B991,B991)),"st","nd","rd","th"),"")</f>
        <v/>
      </c>
    </row>
    <row r="992" spans="12:12" x14ac:dyDescent="0.25">
      <c r="L992" s="164" t="str">
        <f>IFERROR(COUNTIF($B$19:B992,B992)&amp;CHOOSE(MIN(4,COUNTIF($B$19:B992,B992)),"st","nd","rd","th"),"")</f>
        <v/>
      </c>
    </row>
    <row r="993" spans="12:12" x14ac:dyDescent="0.25">
      <c r="L993" s="164" t="str">
        <f>IFERROR(COUNTIF($B$19:B993,B993)&amp;CHOOSE(MIN(4,COUNTIF($B$19:B993,B993)),"st","nd","rd","th"),"")</f>
        <v/>
      </c>
    </row>
    <row r="994" spans="12:12" x14ac:dyDescent="0.25">
      <c r="L994" s="164" t="str">
        <f>IFERROR(COUNTIF($B$19:B994,B994)&amp;CHOOSE(MIN(4,COUNTIF($B$19:B994,B994)),"st","nd","rd","th"),"")</f>
        <v/>
      </c>
    </row>
    <row r="995" spans="12:12" x14ac:dyDescent="0.25">
      <c r="L995" s="164" t="str">
        <f>IFERROR(COUNTIF($B$19:B995,B995)&amp;CHOOSE(MIN(4,COUNTIF($B$19:B995,B995)),"st","nd","rd","th"),"")</f>
        <v/>
      </c>
    </row>
    <row r="996" spans="12:12" x14ac:dyDescent="0.25">
      <c r="L996" s="164" t="str">
        <f>IFERROR(COUNTIF($B$19:B996,B996)&amp;CHOOSE(MIN(4,COUNTIF($B$19:B996,B996)),"st","nd","rd","th"),"")</f>
        <v/>
      </c>
    </row>
    <row r="997" spans="12:12" x14ac:dyDescent="0.25">
      <c r="L997" s="164" t="str">
        <f>IFERROR(COUNTIF($B$19:B997,B997)&amp;CHOOSE(MIN(4,COUNTIF($B$19:B997,B997)),"st","nd","rd","th"),"")</f>
        <v/>
      </c>
    </row>
    <row r="998" spans="12:12" x14ac:dyDescent="0.25">
      <c r="L998" s="164" t="str">
        <f>IFERROR(COUNTIF($B$19:B998,B998)&amp;CHOOSE(MIN(4,COUNTIF($B$19:B998,B998)),"st","nd","rd","th"),"")</f>
        <v/>
      </c>
    </row>
    <row r="999" spans="12:12" x14ac:dyDescent="0.25">
      <c r="L999" s="164" t="str">
        <f>IFERROR(COUNTIF($B$19:B999,B999)&amp;CHOOSE(MIN(4,COUNTIF($B$19:B999,B999)),"st","nd","rd","th"),"")</f>
        <v/>
      </c>
    </row>
    <row r="1000" spans="12:12" x14ac:dyDescent="0.25">
      <c r="L1000" s="164" t="str">
        <f>IFERROR(COUNTIF($B$19:B1000,B1000)&amp;CHOOSE(MIN(4,COUNTIF($B$19:B1000,B1000)),"st","nd","rd","th"),"")</f>
        <v/>
      </c>
    </row>
    <row r="1001" spans="12:12" x14ac:dyDescent="0.25">
      <c r="L1001" s="164" t="str">
        <f>IFERROR(COUNTIF($B$19:B1001,B1001)&amp;CHOOSE(MIN(4,COUNTIF($B$19:B1001,B1001)),"st","nd","rd","th"),"")</f>
        <v/>
      </c>
    </row>
  </sheetData>
  <mergeCells count="3">
    <mergeCell ref="B5:T5"/>
    <mergeCell ref="B6:T6"/>
    <mergeCell ref="B7:T7"/>
  </mergeCells>
  <hyperlinks>
    <hyperlink ref="D1" location="'Accomplishment 2025'!A1" display="Back to Summary of Accomplishments 2025" xr:uid="{DD378EE0-2B91-4AF5-8C75-419465BB24F9}"/>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xr:uid="{B7E7DD3F-8BCA-449D-A602-16B225D46C78}">
          <x14:formula1>
            <xm:f>Picklists!$A$26:$A$27</xm:f>
          </x14:formula1>
          <xm:sqref>H24:H1048576 H19:H21</xm:sqref>
        </x14:dataValidation>
        <x14:dataValidation type="list" allowBlank="1" showInputMessage="1" showErrorMessage="1" xr:uid="{2727BC4B-666F-4FA4-850A-2A823D9B4702}">
          <x14:formula1>
            <xm:f>Picklists!$A$3:$A$14</xm:f>
          </x14:formula1>
          <xm:sqref>J19:J21 J24:J1048576</xm:sqref>
        </x14:dataValidation>
        <x14:dataValidation type="list" allowBlank="1" showInputMessage="1" showErrorMessage="1" xr:uid="{29D9899A-A0B1-4184-A1A5-3D4D892214C0}">
          <x14:formula1>
            <xm:f>Definition_UDProjects!$B$98:$B$116</xm:f>
          </x14:formula1>
          <xm:sqref>E19:E20 E24:E1048576</xm:sqref>
        </x14:dataValidation>
        <x14:dataValidation type="list" allowBlank="1" showInputMessage="1" showErrorMessage="1" xr:uid="{DCBCB4F1-AF91-4A8A-8B48-320D3508826B}">
          <x14:formula1>
            <xm:f>Picklists!$A$17:$A$23</xm:f>
          </x14:formula1>
          <xm:sqref>F24:F1048576 F19:F21</xm:sqref>
        </x14:dataValidation>
        <x14:dataValidation type="list" allowBlank="1" showInputMessage="1" showErrorMessage="1" xr:uid="{DFE4617D-9A9C-41A3-8FE5-09DC1F894EFA}">
          <x14:formula1>
            <xm:f>Picklists!$A$39:$A$44</xm:f>
          </x14:formula1>
          <xm:sqref>C24:C1048576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D15E0-35C6-4772-A556-2A5219CA614E}">
  <sheetPr codeName="Sheet18">
    <tabColor theme="9" tint="0.39997558519241921"/>
  </sheetPr>
  <dimension ref="A1:R1007"/>
  <sheetViews>
    <sheetView topLeftCell="A6" zoomScale="70" zoomScaleNormal="70" workbookViewId="0">
      <selection activeCell="A19" sqref="A19:R21"/>
    </sheetView>
  </sheetViews>
  <sheetFormatPr defaultColWidth="8.88671875" defaultRowHeight="13.8" x14ac:dyDescent="0.25"/>
  <cols>
    <col min="1" max="1" width="2.88671875" style="164" customWidth="1"/>
    <col min="2" max="2" width="44.109375" style="164" customWidth="1"/>
    <col min="3" max="3" width="39.6640625" style="164" bestFit="1" customWidth="1"/>
    <col min="4" max="4" width="33" style="190" customWidth="1"/>
    <col min="5" max="5" width="27.44140625" style="164" customWidth="1"/>
    <col min="6" max="6" width="24.109375" style="171" customWidth="1"/>
    <col min="7" max="7" width="23.109375" style="172" customWidth="1"/>
    <col min="8" max="8" width="20.88671875" style="164" customWidth="1"/>
    <col min="9" max="9" width="16.5546875" style="164" customWidth="1"/>
    <col min="10" max="10" width="15.5546875" style="164" customWidth="1"/>
    <col min="11" max="11" width="8.88671875" style="164" customWidth="1"/>
    <col min="12" max="16384" width="8.88671875" style="164"/>
  </cols>
  <sheetData>
    <row r="1" spans="1:18" s="32" customFormat="1" ht="14.4" x14ac:dyDescent="0.3">
      <c r="A1" s="173" t="s">
        <v>5090</v>
      </c>
      <c r="C1" s="174" t="s">
        <v>1673</v>
      </c>
      <c r="D1" s="191"/>
      <c r="F1" s="185"/>
    </row>
    <row r="2" spans="1:18" s="32" customFormat="1" x14ac:dyDescent="0.25">
      <c r="A2" s="176"/>
      <c r="B2" s="35"/>
      <c r="C2" s="35"/>
      <c r="D2" s="192"/>
      <c r="E2" s="35"/>
    </row>
    <row r="3" spans="1:18" s="32" customFormat="1" x14ac:dyDescent="0.25">
      <c r="A3" s="363">
        <v>7</v>
      </c>
      <c r="B3" s="364" t="s">
        <v>5184</v>
      </c>
      <c r="C3" s="364"/>
      <c r="D3" s="370"/>
      <c r="E3" s="364"/>
    </row>
    <row r="4" spans="1:18" s="32" customFormat="1" x14ac:dyDescent="0.25">
      <c r="A4" s="178"/>
      <c r="B4" s="206" t="s">
        <v>5185</v>
      </c>
      <c r="C4" s="206"/>
      <c r="D4" s="371"/>
      <c r="E4" s="206"/>
    </row>
    <row r="5" spans="1:18" s="32" customFormat="1" ht="63.6" customHeight="1" x14ac:dyDescent="0.25">
      <c r="A5" s="178"/>
      <c r="B5" s="599" t="s">
        <v>5186</v>
      </c>
      <c r="C5" s="599"/>
      <c r="D5" s="599"/>
      <c r="E5" s="599"/>
      <c r="F5" s="599"/>
      <c r="G5" s="599"/>
      <c r="H5" s="599"/>
      <c r="I5" s="599"/>
      <c r="J5" s="599"/>
      <c r="K5" s="599"/>
      <c r="L5" s="599"/>
      <c r="M5" s="599"/>
      <c r="N5" s="599"/>
      <c r="O5" s="599"/>
      <c r="P5" s="599"/>
      <c r="Q5" s="599"/>
      <c r="R5" s="599"/>
    </row>
    <row r="6" spans="1:18" s="32" customFormat="1" ht="45.6" customHeight="1" x14ac:dyDescent="0.25">
      <c r="A6" s="178"/>
      <c r="B6" s="601" t="s">
        <v>5093</v>
      </c>
      <c r="C6" s="601"/>
      <c r="D6" s="601"/>
      <c r="E6" s="601"/>
      <c r="F6" s="601"/>
      <c r="G6" s="601"/>
      <c r="H6" s="601"/>
      <c r="I6" s="601"/>
      <c r="J6" s="601"/>
      <c r="K6" s="601"/>
      <c r="L6" s="601"/>
      <c r="M6" s="601"/>
      <c r="N6" s="601"/>
      <c r="O6" s="601"/>
      <c r="P6" s="601"/>
      <c r="Q6" s="601"/>
      <c r="R6" s="601"/>
    </row>
    <row r="7" spans="1:18" s="32" customFormat="1" x14ac:dyDescent="0.25">
      <c r="B7" s="602" t="s">
        <v>5187</v>
      </c>
      <c r="C7" s="602"/>
      <c r="D7" s="602"/>
      <c r="E7" s="602"/>
      <c r="F7" s="602"/>
      <c r="G7" s="602"/>
      <c r="H7" s="602"/>
      <c r="I7" s="602"/>
      <c r="J7" s="602"/>
      <c r="K7" s="602"/>
      <c r="L7" s="602"/>
      <c r="M7" s="602"/>
      <c r="N7" s="602"/>
      <c r="O7" s="602"/>
      <c r="P7" s="602"/>
      <c r="Q7" s="602"/>
      <c r="R7" s="602"/>
    </row>
    <row r="8" spans="1:18" s="32" customFormat="1" x14ac:dyDescent="0.25">
      <c r="B8" s="186" t="s">
        <v>5154</v>
      </c>
      <c r="C8" s="186"/>
      <c r="D8" s="186"/>
      <c r="E8" s="186"/>
      <c r="F8" s="186"/>
      <c r="G8" s="186"/>
      <c r="H8" s="186"/>
      <c r="I8" s="186"/>
      <c r="J8" s="186"/>
      <c r="K8" s="186"/>
      <c r="L8" s="186"/>
      <c r="M8" s="186"/>
      <c r="N8" s="186"/>
      <c r="O8" s="173"/>
      <c r="P8" s="173"/>
      <c r="Q8" s="173"/>
      <c r="R8" s="173"/>
    </row>
    <row r="9" spans="1:18" s="32" customFormat="1" x14ac:dyDescent="0.25">
      <c r="B9" s="173"/>
      <c r="C9" s="173"/>
      <c r="D9" s="193"/>
      <c r="E9" s="173"/>
      <c r="F9" s="173"/>
      <c r="G9" s="173"/>
      <c r="H9" s="173"/>
      <c r="I9" s="173"/>
      <c r="J9" s="173"/>
      <c r="K9" s="173"/>
      <c r="L9" s="173"/>
      <c r="M9" s="173"/>
      <c r="N9" s="173"/>
      <c r="O9" s="173"/>
      <c r="P9" s="173"/>
      <c r="Q9" s="173"/>
      <c r="R9" s="173"/>
    </row>
    <row r="10" spans="1:18" s="32" customFormat="1" x14ac:dyDescent="0.25">
      <c r="B10" s="179" t="s">
        <v>5188</v>
      </c>
      <c r="C10" s="179"/>
      <c r="D10" s="194"/>
      <c r="E10" s="179"/>
      <c r="F10" s="181">
        <f>COUNTIFS(J18:J1007,"1st",C18:C1007,"LGU")</f>
        <v>1</v>
      </c>
      <c r="G10" s="195"/>
      <c r="H10" s="173"/>
      <c r="I10" s="173"/>
      <c r="J10" s="173"/>
      <c r="K10" s="173"/>
      <c r="L10" s="173"/>
      <c r="M10" s="173"/>
      <c r="N10" s="173"/>
      <c r="O10" s="173"/>
      <c r="P10" s="173"/>
      <c r="Q10" s="173"/>
      <c r="R10" s="173"/>
    </row>
    <row r="11" spans="1:18" s="32" customFormat="1" x14ac:dyDescent="0.25">
      <c r="B11" s="179" t="s">
        <v>5189</v>
      </c>
      <c r="C11" s="179"/>
      <c r="D11" s="194"/>
      <c r="E11" s="179"/>
      <c r="F11" s="181">
        <f>COUNTA(D18:D1007)</f>
        <v>4</v>
      </c>
      <c r="G11" s="173"/>
      <c r="H11" s="173"/>
      <c r="I11" s="173"/>
      <c r="J11" s="173"/>
      <c r="K11" s="173"/>
      <c r="L11" s="173"/>
      <c r="M11" s="173"/>
      <c r="N11" s="173"/>
      <c r="O11" s="173"/>
      <c r="P11" s="173"/>
      <c r="Q11" s="173"/>
      <c r="R11" s="173"/>
    </row>
    <row r="12" spans="1:18" s="32" customFormat="1" x14ac:dyDescent="0.25">
      <c r="B12" s="196" t="s">
        <v>5098</v>
      </c>
      <c r="C12" s="196"/>
      <c r="D12" s="197"/>
      <c r="E12" s="196"/>
      <c r="F12" s="198">
        <f>COUNTIF(F18:F1007,"Planned")</f>
        <v>0</v>
      </c>
      <c r="G12" s="173"/>
      <c r="H12" s="173"/>
      <c r="I12" s="173"/>
      <c r="J12" s="173"/>
      <c r="K12" s="173"/>
      <c r="L12" s="173"/>
      <c r="M12" s="173"/>
      <c r="N12" s="173"/>
      <c r="O12" s="173"/>
      <c r="P12" s="173"/>
      <c r="Q12" s="173"/>
      <c r="R12" s="173"/>
    </row>
    <row r="13" spans="1:18" s="32" customFormat="1" x14ac:dyDescent="0.25">
      <c r="B13" s="196" t="s">
        <v>5099</v>
      </c>
      <c r="C13" s="196"/>
      <c r="D13" s="197"/>
      <c r="E13" s="196"/>
      <c r="F13" s="198">
        <f>COUNTIF(F18:F1007,"Requested")</f>
        <v>4</v>
      </c>
      <c r="G13" s="173"/>
      <c r="H13" s="173"/>
      <c r="I13" s="173"/>
      <c r="J13" s="173"/>
      <c r="K13" s="173"/>
      <c r="L13" s="173"/>
      <c r="M13" s="173"/>
      <c r="N13" s="173"/>
      <c r="O13" s="173"/>
      <c r="P13" s="173"/>
      <c r="Q13" s="173"/>
      <c r="R13" s="173"/>
    </row>
    <row r="14" spans="1:18" s="32" customFormat="1" x14ac:dyDescent="0.25">
      <c r="B14" s="173"/>
      <c r="C14" s="173"/>
      <c r="D14" s="193"/>
      <c r="E14" s="173"/>
      <c r="F14" s="173"/>
      <c r="G14" s="173"/>
      <c r="H14" s="173"/>
      <c r="I14" s="173"/>
      <c r="J14" s="173"/>
      <c r="K14" s="173"/>
      <c r="L14" s="173"/>
      <c r="M14" s="173"/>
      <c r="N14" s="173"/>
      <c r="O14" s="173"/>
      <c r="P14" s="173"/>
      <c r="Q14" s="173"/>
      <c r="R14" s="173"/>
    </row>
    <row r="15" spans="1:18" s="32" customFormat="1" x14ac:dyDescent="0.25">
      <c r="B15" s="173"/>
      <c r="C15" s="173"/>
      <c r="D15" s="193"/>
      <c r="E15" s="173"/>
      <c r="F15" s="173"/>
      <c r="G15" s="173"/>
      <c r="H15" s="173"/>
      <c r="I15" s="173"/>
      <c r="J15" s="173"/>
      <c r="K15" s="173"/>
      <c r="L15" s="173"/>
      <c r="M15" s="173"/>
      <c r="N15" s="173"/>
      <c r="O15" s="173"/>
      <c r="P15" s="173"/>
      <c r="Q15" s="173"/>
      <c r="R15" s="173"/>
    </row>
    <row r="16" spans="1:18" s="32" customFormat="1" x14ac:dyDescent="0.25">
      <c r="D16" s="191"/>
      <c r="F16" s="199"/>
    </row>
    <row r="17" spans="1:18" s="182" customFormat="1" ht="41.4" x14ac:dyDescent="0.25">
      <c r="B17" s="486" t="s">
        <v>5190</v>
      </c>
      <c r="C17" s="183" t="s">
        <v>5172</v>
      </c>
      <c r="D17" s="184" t="s">
        <v>5101</v>
      </c>
      <c r="E17" s="183" t="s">
        <v>5102</v>
      </c>
      <c r="F17" s="184" t="s">
        <v>5103</v>
      </c>
      <c r="G17" s="184" t="s">
        <v>5104</v>
      </c>
      <c r="H17" s="184" t="s">
        <v>1685</v>
      </c>
      <c r="I17" s="183" t="s">
        <v>1686</v>
      </c>
      <c r="J17" s="200" t="s">
        <v>5191</v>
      </c>
    </row>
    <row r="18" spans="1:18" ht="69" x14ac:dyDescent="0.25">
      <c r="B18" s="416" t="s">
        <v>5192</v>
      </c>
      <c r="C18" s="164" t="s">
        <v>5130</v>
      </c>
      <c r="D18" s="190" t="s">
        <v>5105</v>
      </c>
      <c r="E18" s="485" t="s">
        <v>5193</v>
      </c>
      <c r="F18" s="171" t="s">
        <v>5107</v>
      </c>
      <c r="G18" s="489">
        <v>45671</v>
      </c>
      <c r="H18" s="164" t="s">
        <v>1498</v>
      </c>
      <c r="I18" s="164" t="s">
        <v>5108</v>
      </c>
      <c r="J18" s="164" t="str">
        <f>IFERROR(COUNTIF($B$18:B18,B18)&amp;CHOOSE(MIN(4,COUNTIF($B$18:B18,B18)),"st","nd","rd","th"),"")</f>
        <v>1st</v>
      </c>
    </row>
    <row r="19" spans="1:18" ht="55.2" x14ac:dyDescent="0.25">
      <c r="A19" s="416"/>
      <c r="B19" s="416" t="s">
        <v>5194</v>
      </c>
      <c r="C19" s="416" t="s">
        <v>5195</v>
      </c>
      <c r="D19" s="485" t="s">
        <v>5145</v>
      </c>
      <c r="E19" s="485" t="s">
        <v>5196</v>
      </c>
      <c r="F19" s="416" t="s">
        <v>5107</v>
      </c>
      <c r="G19" s="489">
        <v>46063</v>
      </c>
      <c r="H19" s="416" t="s">
        <v>1499</v>
      </c>
      <c r="I19" s="416" t="s">
        <v>5108</v>
      </c>
      <c r="J19" s="416" t="s">
        <v>1856</v>
      </c>
      <c r="K19" s="416"/>
      <c r="L19" s="416"/>
      <c r="M19" s="416"/>
      <c r="N19" s="416"/>
      <c r="O19" s="416"/>
      <c r="P19" s="416"/>
      <c r="Q19" s="416"/>
      <c r="R19" s="416"/>
    </row>
    <row r="20" spans="1:18" ht="27.6" x14ac:dyDescent="0.25">
      <c r="A20" s="416"/>
      <c r="B20" s="416" t="s">
        <v>5197</v>
      </c>
      <c r="C20" s="416" t="s">
        <v>5195</v>
      </c>
      <c r="D20" s="485" t="s">
        <v>5145</v>
      </c>
      <c r="E20" s="485" t="s">
        <v>5198</v>
      </c>
      <c r="F20" s="416" t="s">
        <v>5107</v>
      </c>
      <c r="G20" s="489">
        <v>46071</v>
      </c>
      <c r="H20" s="416" t="s">
        <v>1499</v>
      </c>
      <c r="I20" s="416" t="s">
        <v>5108</v>
      </c>
      <c r="J20" s="416" t="s">
        <v>1856</v>
      </c>
      <c r="K20" s="416"/>
      <c r="L20" s="416"/>
      <c r="M20" s="416"/>
      <c r="N20" s="416"/>
      <c r="O20" s="416"/>
      <c r="P20" s="416"/>
      <c r="Q20" s="416"/>
      <c r="R20" s="416"/>
    </row>
    <row r="21" spans="1:18" ht="27.6" x14ac:dyDescent="0.25">
      <c r="A21" s="416"/>
      <c r="B21" s="416" t="s">
        <v>5199</v>
      </c>
      <c r="C21" s="416" t="s">
        <v>5195</v>
      </c>
      <c r="D21" s="485" t="s">
        <v>5105</v>
      </c>
      <c r="E21" s="485" t="s">
        <v>5200</v>
      </c>
      <c r="F21" s="416" t="s">
        <v>5107</v>
      </c>
      <c r="G21" s="489">
        <v>46076</v>
      </c>
      <c r="H21" s="416" t="s">
        <v>1499</v>
      </c>
      <c r="I21" s="416" t="s">
        <v>5108</v>
      </c>
      <c r="J21" s="416" t="s">
        <v>1856</v>
      </c>
      <c r="K21" s="416"/>
      <c r="L21" s="416"/>
      <c r="M21" s="416"/>
      <c r="N21" s="416"/>
      <c r="O21" s="416"/>
      <c r="P21" s="416"/>
      <c r="Q21" s="416"/>
      <c r="R21" s="416"/>
    </row>
    <row r="22" spans="1:18" x14ac:dyDescent="0.25">
      <c r="C22" s="414"/>
      <c r="D22" s="478"/>
      <c r="E22" s="414"/>
      <c r="F22" s="479"/>
      <c r="J22" s="164" t="str">
        <f>IFERROR(COUNTIF($B$18:B22,B22)&amp;CHOOSE(MIN(4,COUNTIF($B$18:B22,B22)),"st","nd","rd","th"),"")</f>
        <v/>
      </c>
    </row>
    <row r="23" spans="1:18" x14ac:dyDescent="0.25">
      <c r="C23" s="414"/>
      <c r="D23" s="478"/>
      <c r="E23" s="414"/>
      <c r="F23" s="479"/>
      <c r="J23" s="164" t="str">
        <f>IFERROR(COUNTIF($B$18:B23,B23)&amp;CHOOSE(MIN(4,COUNTIF($B$18:B23,B23)),"st","nd","rd","th"),"")</f>
        <v/>
      </c>
    </row>
    <row r="24" spans="1:18" x14ac:dyDescent="0.25">
      <c r="C24" s="414"/>
      <c r="D24" s="478"/>
      <c r="E24" s="414"/>
      <c r="F24" s="479"/>
      <c r="J24" s="164" t="str">
        <f>IFERROR(COUNTIF($B$18:B24,B24)&amp;CHOOSE(MIN(4,COUNTIF($B$18:B24,B24)),"st","nd","rd","th"),"")</f>
        <v/>
      </c>
    </row>
    <row r="25" spans="1:18" x14ac:dyDescent="0.25">
      <c r="C25" s="414"/>
      <c r="D25" s="478"/>
      <c r="E25" s="414"/>
      <c r="F25" s="479"/>
      <c r="J25" s="164" t="str">
        <f>IFERROR(COUNTIF($B$18:B25,B25)&amp;CHOOSE(MIN(4,COUNTIF($B$18:B25,B25)),"st","nd","rd","th"),"")</f>
        <v/>
      </c>
    </row>
    <row r="26" spans="1:18" x14ac:dyDescent="0.25">
      <c r="C26" s="414"/>
      <c r="D26" s="478"/>
      <c r="E26" s="414"/>
      <c r="F26" s="479"/>
      <c r="J26" s="164" t="str">
        <f>IFERROR(COUNTIF($B$18:B26,B26)&amp;CHOOSE(MIN(4,COUNTIF($B$18:B26,B26)),"st","nd","rd","th"),"")</f>
        <v/>
      </c>
    </row>
    <row r="27" spans="1:18" x14ac:dyDescent="0.25">
      <c r="C27" s="414"/>
      <c r="D27" s="478"/>
      <c r="E27" s="414"/>
      <c r="F27" s="479"/>
      <c r="J27" s="164" t="str">
        <f>IFERROR(COUNTIF($B$18:B27,B27)&amp;CHOOSE(MIN(4,COUNTIF($B$18:B27,B27)),"st","nd","rd","th"),"")</f>
        <v/>
      </c>
    </row>
    <row r="28" spans="1:18" x14ac:dyDescent="0.25">
      <c r="C28" s="414"/>
      <c r="D28" s="478"/>
      <c r="E28" s="414"/>
      <c r="F28" s="479"/>
      <c r="J28" s="164" t="str">
        <f>IFERROR(COUNTIF($B$18:B28,B28)&amp;CHOOSE(MIN(4,COUNTIF($B$18:B28,B28)),"st","nd","rd","th"),"")</f>
        <v/>
      </c>
    </row>
    <row r="29" spans="1:18" x14ac:dyDescent="0.25">
      <c r="E29" s="190"/>
      <c r="J29" s="164" t="str">
        <f>IFERROR(COUNTIF($B$18:B29,B29)&amp;CHOOSE(MIN(4,COUNTIF($B$18:B29,B29)),"st","nd","rd","th"),"")</f>
        <v/>
      </c>
    </row>
    <row r="30" spans="1:18" x14ac:dyDescent="0.25">
      <c r="E30" s="190"/>
      <c r="I30" s="190"/>
      <c r="J30" s="164" t="str">
        <f>IFERROR(COUNTIF($B$18:B30,B30)&amp;CHOOSE(MIN(4,COUNTIF($B$18:B30,B30)),"st","nd","rd","th"),"")</f>
        <v/>
      </c>
    </row>
    <row r="31" spans="1:18" x14ac:dyDescent="0.25">
      <c r="B31" s="190"/>
      <c r="E31" s="190"/>
      <c r="J31" s="164" t="str">
        <f>IFERROR(COUNTIF($B$18:B31,B31)&amp;CHOOSE(MIN(4,COUNTIF($B$18:B31,B31)),"st","nd","rd","th"),"")</f>
        <v/>
      </c>
    </row>
    <row r="32" spans="1:18" x14ac:dyDescent="0.25">
      <c r="E32" s="190"/>
      <c r="J32" s="164" t="str">
        <f>IFERROR(COUNTIF($B$18:B32,B32)&amp;CHOOSE(MIN(4,COUNTIF($B$18:B32,B32)),"st","nd","rd","th"),"")</f>
        <v/>
      </c>
    </row>
    <row r="33" spans="10:10" x14ac:dyDescent="0.25">
      <c r="J33" s="164" t="str">
        <f>IFERROR(COUNTIF($B$18:B33,B33)&amp;CHOOSE(MIN(4,COUNTIF($B$18:B33,B33)),"st","nd","rd","th"),"")</f>
        <v/>
      </c>
    </row>
    <row r="34" spans="10:10" x14ac:dyDescent="0.25">
      <c r="J34" s="164" t="str">
        <f>IFERROR(COUNTIF($B$18:B34,B34)&amp;CHOOSE(MIN(4,COUNTIF($B$18:B34,B34)),"st","nd","rd","th"),"")</f>
        <v/>
      </c>
    </row>
    <row r="35" spans="10:10" x14ac:dyDescent="0.25">
      <c r="J35" s="164" t="str">
        <f>IFERROR(COUNTIF($B$18:B35,B35)&amp;CHOOSE(MIN(4,COUNTIF($B$18:B35,B35)),"st","nd","rd","th"),"")</f>
        <v/>
      </c>
    </row>
    <row r="36" spans="10:10" x14ac:dyDescent="0.25">
      <c r="J36" s="164" t="str">
        <f>IFERROR(COUNTIF($B$18:B36,B36)&amp;CHOOSE(MIN(4,COUNTIF($B$18:B36,B36)),"st","nd","rd","th"),"")</f>
        <v/>
      </c>
    </row>
    <row r="37" spans="10:10" x14ac:dyDescent="0.25">
      <c r="J37" s="164" t="str">
        <f>IFERROR(COUNTIF($B$18:B37,B37)&amp;CHOOSE(MIN(4,COUNTIF($B$18:B37,B37)),"st","nd","rd","th"),"")</f>
        <v/>
      </c>
    </row>
    <row r="38" spans="10:10" x14ac:dyDescent="0.25">
      <c r="J38" s="164" t="str">
        <f>IFERROR(COUNTIF($B$18:B38,B38)&amp;CHOOSE(MIN(4,COUNTIF($B$18:B38,B38)),"st","nd","rd","th"),"")</f>
        <v/>
      </c>
    </row>
    <row r="39" spans="10:10" x14ac:dyDescent="0.25">
      <c r="J39" s="164" t="str">
        <f>IFERROR(COUNTIF($B$18:B39,B39)&amp;CHOOSE(MIN(4,COUNTIF($B$18:B39,B39)),"st","nd","rd","th"),"")</f>
        <v/>
      </c>
    </row>
    <row r="40" spans="10:10" x14ac:dyDescent="0.25">
      <c r="J40" s="164" t="str">
        <f>IFERROR(COUNTIF($B$18:B40,B40)&amp;CHOOSE(MIN(4,COUNTIF($B$18:B40,B40)),"st","nd","rd","th"),"")</f>
        <v/>
      </c>
    </row>
    <row r="41" spans="10:10" x14ac:dyDescent="0.25">
      <c r="J41" s="164" t="str">
        <f>IFERROR(COUNTIF($B$18:B41,B41)&amp;CHOOSE(MIN(4,COUNTIF($B$18:B41,B41)),"st","nd","rd","th"),"")</f>
        <v/>
      </c>
    </row>
    <row r="42" spans="10:10" x14ac:dyDescent="0.25">
      <c r="J42" s="164" t="str">
        <f>IFERROR(COUNTIF($B$18:B42,B42)&amp;CHOOSE(MIN(4,COUNTIF($B$18:B42,B42)),"st","nd","rd","th"),"")</f>
        <v/>
      </c>
    </row>
    <row r="43" spans="10:10" x14ac:dyDescent="0.25">
      <c r="J43" s="164" t="str">
        <f>IFERROR(COUNTIF($B$18:B43,B43)&amp;CHOOSE(MIN(4,COUNTIF($B$18:B43,B43)),"st","nd","rd","th"),"")</f>
        <v/>
      </c>
    </row>
    <row r="44" spans="10:10" x14ac:dyDescent="0.25">
      <c r="J44" s="164" t="str">
        <f>IFERROR(COUNTIF($B$18:B44,B44)&amp;CHOOSE(MIN(4,COUNTIF($B$18:B44,B44)),"st","nd","rd","th"),"")</f>
        <v/>
      </c>
    </row>
    <row r="45" spans="10:10" x14ac:dyDescent="0.25">
      <c r="J45" s="164" t="str">
        <f>IFERROR(COUNTIF($B$18:B45,B45)&amp;CHOOSE(MIN(4,COUNTIF($B$18:B45,B45)),"st","nd","rd","th"),"")</f>
        <v/>
      </c>
    </row>
    <row r="46" spans="10:10" x14ac:dyDescent="0.25">
      <c r="J46" s="164" t="str">
        <f>IFERROR(COUNTIF($B$18:B46,B46)&amp;CHOOSE(MIN(4,COUNTIF($B$18:B46,B46)),"st","nd","rd","th"),"")</f>
        <v/>
      </c>
    </row>
    <row r="47" spans="10:10" x14ac:dyDescent="0.25">
      <c r="J47" s="164" t="str">
        <f>IFERROR(COUNTIF($B$18:B47,B47)&amp;CHOOSE(MIN(4,COUNTIF($B$18:B47,B47)),"st","nd","rd","th"),"")</f>
        <v/>
      </c>
    </row>
    <row r="48" spans="10:10" x14ac:dyDescent="0.25">
      <c r="J48" s="164" t="str">
        <f>IFERROR(COUNTIF($B$18:B48,B48)&amp;CHOOSE(MIN(4,COUNTIF($B$18:B48,B48)),"st","nd","rd","th"),"")</f>
        <v/>
      </c>
    </row>
    <row r="49" spans="10:10" x14ac:dyDescent="0.25">
      <c r="J49" s="164" t="str">
        <f>IFERROR(COUNTIF($B$18:B49,B49)&amp;CHOOSE(MIN(4,COUNTIF($B$18:B49,B49)),"st","nd","rd","th"),"")</f>
        <v/>
      </c>
    </row>
    <row r="50" spans="10:10" x14ac:dyDescent="0.25">
      <c r="J50" s="164" t="str">
        <f>IFERROR(COUNTIF($B$18:B50,B50)&amp;CHOOSE(MIN(4,COUNTIF($B$18:B50,B50)),"st","nd","rd","th"),"")</f>
        <v/>
      </c>
    </row>
    <row r="51" spans="10:10" x14ac:dyDescent="0.25">
      <c r="J51" s="164" t="str">
        <f>IFERROR(COUNTIF($B$18:B51,B51)&amp;CHOOSE(MIN(4,COUNTIF($B$18:B51,B51)),"st","nd","rd","th"),"")</f>
        <v/>
      </c>
    </row>
    <row r="52" spans="10:10" x14ac:dyDescent="0.25">
      <c r="J52" s="164" t="str">
        <f>IFERROR(COUNTIF($B$18:B52,B52)&amp;CHOOSE(MIN(4,COUNTIF($B$18:B52,B52)),"st","nd","rd","th"),"")</f>
        <v/>
      </c>
    </row>
    <row r="53" spans="10:10" x14ac:dyDescent="0.25">
      <c r="J53" s="164" t="str">
        <f>IFERROR(COUNTIF($B$18:B53,B53)&amp;CHOOSE(MIN(4,COUNTIF($B$18:B53,B53)),"st","nd","rd","th"),"")</f>
        <v/>
      </c>
    </row>
    <row r="54" spans="10:10" x14ac:dyDescent="0.25">
      <c r="J54" s="164" t="str">
        <f>IFERROR(COUNTIF($B$18:B54,B54)&amp;CHOOSE(MIN(4,COUNTIF($B$18:B54,B54)),"st","nd","rd","th"),"")</f>
        <v/>
      </c>
    </row>
    <row r="55" spans="10:10" x14ac:dyDescent="0.25">
      <c r="J55" s="164" t="str">
        <f>IFERROR(COUNTIF($B$18:B55,B55)&amp;CHOOSE(MIN(4,COUNTIF($B$18:B55,B55)),"st","nd","rd","th"),"")</f>
        <v/>
      </c>
    </row>
    <row r="56" spans="10:10" x14ac:dyDescent="0.25">
      <c r="J56" s="164" t="str">
        <f>IFERROR(COUNTIF($B$18:B56,B56)&amp;CHOOSE(MIN(4,COUNTIF($B$18:B56,B56)),"st","nd","rd","th"),"")</f>
        <v/>
      </c>
    </row>
    <row r="57" spans="10:10" x14ac:dyDescent="0.25">
      <c r="J57" s="164" t="str">
        <f>IFERROR(COUNTIF($B$18:B57,B57)&amp;CHOOSE(MIN(4,COUNTIF($B$18:B57,B57)),"st","nd","rd","th"),"")</f>
        <v/>
      </c>
    </row>
    <row r="58" spans="10:10" x14ac:dyDescent="0.25">
      <c r="J58" s="164" t="str">
        <f>IFERROR(COUNTIF($B$18:B58,B58)&amp;CHOOSE(MIN(4,COUNTIF($B$18:B58,B58)),"st","nd","rd","th"),"")</f>
        <v/>
      </c>
    </row>
    <row r="59" spans="10:10" x14ac:dyDescent="0.25">
      <c r="J59" s="164" t="str">
        <f>IFERROR(COUNTIF($B$18:B59,B59)&amp;CHOOSE(MIN(4,COUNTIF($B$18:B59,B59)),"st","nd","rd","th"),"")</f>
        <v/>
      </c>
    </row>
    <row r="60" spans="10:10" x14ac:dyDescent="0.25">
      <c r="J60" s="164" t="str">
        <f>IFERROR(COUNTIF($B$18:B60,B60)&amp;CHOOSE(MIN(4,COUNTIF($B$18:B60,B60)),"st","nd","rd","th"),"")</f>
        <v/>
      </c>
    </row>
    <row r="61" spans="10:10" x14ac:dyDescent="0.25">
      <c r="J61" s="164" t="str">
        <f>IFERROR(COUNTIF($B$18:B61,B61)&amp;CHOOSE(MIN(4,COUNTIF($B$18:B61,B61)),"st","nd","rd","th"),"")</f>
        <v/>
      </c>
    </row>
    <row r="62" spans="10:10" x14ac:dyDescent="0.25">
      <c r="J62" s="164" t="str">
        <f>IFERROR(COUNTIF($B$18:B62,B62)&amp;CHOOSE(MIN(4,COUNTIF($B$18:B62,B62)),"st","nd","rd","th"),"")</f>
        <v/>
      </c>
    </row>
    <row r="63" spans="10:10" x14ac:dyDescent="0.25">
      <c r="J63" s="164" t="str">
        <f>IFERROR(COUNTIF($B$18:B63,B63)&amp;CHOOSE(MIN(4,COUNTIF($B$18:B63,B63)),"st","nd","rd","th"),"")</f>
        <v/>
      </c>
    </row>
    <row r="64" spans="10:10" x14ac:dyDescent="0.25">
      <c r="J64" s="164" t="str">
        <f>IFERROR(COUNTIF($B$18:B64,B64)&amp;CHOOSE(MIN(4,COUNTIF($B$18:B64,B64)),"st","nd","rd","th"),"")</f>
        <v/>
      </c>
    </row>
    <row r="65" spans="10:10" x14ac:dyDescent="0.25">
      <c r="J65" s="164" t="str">
        <f>IFERROR(COUNTIF($B$18:B65,B65)&amp;CHOOSE(MIN(4,COUNTIF($B$18:B65,B65)),"st","nd","rd","th"),"")</f>
        <v/>
      </c>
    </row>
    <row r="66" spans="10:10" x14ac:dyDescent="0.25">
      <c r="J66" s="164" t="str">
        <f>IFERROR(COUNTIF($B$18:B66,B66)&amp;CHOOSE(MIN(4,COUNTIF($B$18:B66,B66)),"st","nd","rd","th"),"")</f>
        <v/>
      </c>
    </row>
    <row r="67" spans="10:10" x14ac:dyDescent="0.25">
      <c r="J67" s="164" t="str">
        <f>IFERROR(COUNTIF($B$18:B67,B67)&amp;CHOOSE(MIN(4,COUNTIF($B$18:B67,B67)),"st","nd","rd","th"),"")</f>
        <v/>
      </c>
    </row>
    <row r="68" spans="10:10" x14ac:dyDescent="0.25">
      <c r="J68" s="164" t="str">
        <f>IFERROR(COUNTIF($B$18:B68,B68)&amp;CHOOSE(MIN(4,COUNTIF($B$18:B68,B68)),"st","nd","rd","th"),"")</f>
        <v/>
      </c>
    </row>
    <row r="69" spans="10:10" x14ac:dyDescent="0.25">
      <c r="J69" s="164" t="str">
        <f>IFERROR(COUNTIF($B$18:B69,B69)&amp;CHOOSE(MIN(4,COUNTIF($B$18:B69,B69)),"st","nd","rd","th"),"")</f>
        <v/>
      </c>
    </row>
    <row r="70" spans="10:10" x14ac:dyDescent="0.25">
      <c r="J70" s="164" t="str">
        <f>IFERROR(COUNTIF($B$18:B70,B70)&amp;CHOOSE(MIN(4,COUNTIF($B$18:B70,B70)),"st","nd","rd","th"),"")</f>
        <v/>
      </c>
    </row>
    <row r="71" spans="10:10" x14ac:dyDescent="0.25">
      <c r="J71" s="164" t="str">
        <f>IFERROR(COUNTIF($B$18:B71,B71)&amp;CHOOSE(MIN(4,COUNTIF($B$18:B71,B71)),"st","nd","rd","th"),"")</f>
        <v/>
      </c>
    </row>
    <row r="72" spans="10:10" x14ac:dyDescent="0.25">
      <c r="J72" s="164" t="str">
        <f>IFERROR(COUNTIF($B$18:B72,B72)&amp;CHOOSE(MIN(4,COUNTIF($B$18:B72,B72)),"st","nd","rd","th"),"")</f>
        <v/>
      </c>
    </row>
    <row r="73" spans="10:10" x14ac:dyDescent="0.25">
      <c r="J73" s="164" t="str">
        <f>IFERROR(COUNTIF($B$18:B73,B73)&amp;CHOOSE(MIN(4,COUNTIF($B$18:B73,B73)),"st","nd","rd","th"),"")</f>
        <v/>
      </c>
    </row>
    <row r="74" spans="10:10" x14ac:dyDescent="0.25">
      <c r="J74" s="164" t="str">
        <f>IFERROR(COUNTIF($B$18:B74,B74)&amp;CHOOSE(MIN(4,COUNTIF($B$18:B74,B74)),"st","nd","rd","th"),"")</f>
        <v/>
      </c>
    </row>
    <row r="75" spans="10:10" x14ac:dyDescent="0.25">
      <c r="J75" s="164" t="str">
        <f>IFERROR(COUNTIF($B$18:B75,B75)&amp;CHOOSE(MIN(4,COUNTIF($B$18:B75,B75)),"st","nd","rd","th"),"")</f>
        <v/>
      </c>
    </row>
    <row r="76" spans="10:10" x14ac:dyDescent="0.25">
      <c r="J76" s="164" t="str">
        <f>IFERROR(COUNTIF($B$18:B76,B76)&amp;CHOOSE(MIN(4,COUNTIF($B$18:B76,B76)),"st","nd","rd","th"),"")</f>
        <v/>
      </c>
    </row>
    <row r="77" spans="10:10" x14ac:dyDescent="0.25">
      <c r="J77" s="164" t="str">
        <f>IFERROR(COUNTIF($B$18:B77,B77)&amp;CHOOSE(MIN(4,COUNTIF($B$18:B77,B77)),"st","nd","rd","th"),"")</f>
        <v/>
      </c>
    </row>
    <row r="78" spans="10:10" x14ac:dyDescent="0.25">
      <c r="J78" s="164" t="str">
        <f>IFERROR(COUNTIF($B$18:B78,B78)&amp;CHOOSE(MIN(4,COUNTIF($B$18:B78,B78)),"st","nd","rd","th"),"")</f>
        <v/>
      </c>
    </row>
    <row r="79" spans="10:10" x14ac:dyDescent="0.25">
      <c r="J79" s="164" t="str">
        <f>IFERROR(COUNTIF($B$18:B79,B79)&amp;CHOOSE(MIN(4,COUNTIF($B$18:B79,B79)),"st","nd","rd","th"),"")</f>
        <v/>
      </c>
    </row>
    <row r="80" spans="10:10" x14ac:dyDescent="0.25">
      <c r="J80" s="164" t="str">
        <f>IFERROR(COUNTIF($B$18:B80,B80)&amp;CHOOSE(MIN(4,COUNTIF($B$18:B80,B80)),"st","nd","rd","th"),"")</f>
        <v/>
      </c>
    </row>
    <row r="81" spans="10:10" x14ac:dyDescent="0.25">
      <c r="J81" s="164" t="str">
        <f>IFERROR(COUNTIF($B$18:B81,B81)&amp;CHOOSE(MIN(4,COUNTIF($B$18:B81,B81)),"st","nd","rd","th"),"")</f>
        <v/>
      </c>
    </row>
    <row r="82" spans="10:10" x14ac:dyDescent="0.25">
      <c r="J82" s="164" t="str">
        <f>IFERROR(COUNTIF($B$18:B82,B82)&amp;CHOOSE(MIN(4,COUNTIF($B$18:B82,B82)),"st","nd","rd","th"),"")</f>
        <v/>
      </c>
    </row>
    <row r="83" spans="10:10" x14ac:dyDescent="0.25">
      <c r="J83" s="164" t="str">
        <f>IFERROR(COUNTIF($B$18:B83,B83)&amp;CHOOSE(MIN(4,COUNTIF($B$18:B83,B83)),"st","nd","rd","th"),"")</f>
        <v/>
      </c>
    </row>
    <row r="84" spans="10:10" x14ac:dyDescent="0.25">
      <c r="J84" s="164" t="str">
        <f>IFERROR(COUNTIF($B$18:B84,B84)&amp;CHOOSE(MIN(4,COUNTIF($B$18:B84,B84)),"st","nd","rd","th"),"")</f>
        <v/>
      </c>
    </row>
    <row r="85" spans="10:10" x14ac:dyDescent="0.25">
      <c r="J85" s="164" t="str">
        <f>IFERROR(COUNTIF($B$18:B85,B85)&amp;CHOOSE(MIN(4,COUNTIF($B$18:B85,B85)),"st","nd","rd","th"),"")</f>
        <v/>
      </c>
    </row>
    <row r="86" spans="10:10" x14ac:dyDescent="0.25">
      <c r="J86" s="164" t="str">
        <f>IFERROR(COUNTIF($B$18:B86,B86)&amp;CHOOSE(MIN(4,COUNTIF($B$18:B86,B86)),"st","nd","rd","th"),"")</f>
        <v/>
      </c>
    </row>
    <row r="87" spans="10:10" x14ac:dyDescent="0.25">
      <c r="J87" s="164" t="str">
        <f>IFERROR(COUNTIF($B$18:B87,B87)&amp;CHOOSE(MIN(4,COUNTIF($B$18:B87,B87)),"st","nd","rd","th"),"")</f>
        <v/>
      </c>
    </row>
    <row r="88" spans="10:10" x14ac:dyDescent="0.25">
      <c r="J88" s="164" t="str">
        <f>IFERROR(COUNTIF($B$18:B88,B88)&amp;CHOOSE(MIN(4,COUNTIF($B$18:B88,B88)),"st","nd","rd","th"),"")</f>
        <v/>
      </c>
    </row>
    <row r="89" spans="10:10" x14ac:dyDescent="0.25">
      <c r="J89" s="164" t="str">
        <f>IFERROR(COUNTIF($B$18:B89,B89)&amp;CHOOSE(MIN(4,COUNTIF($B$18:B89,B89)),"st","nd","rd","th"),"")</f>
        <v/>
      </c>
    </row>
    <row r="90" spans="10:10" x14ac:dyDescent="0.25">
      <c r="J90" s="164" t="str">
        <f>IFERROR(COUNTIF($B$18:B90,B90)&amp;CHOOSE(MIN(4,COUNTIF($B$18:B90,B90)),"st","nd","rd","th"),"")</f>
        <v/>
      </c>
    </row>
    <row r="91" spans="10:10" x14ac:dyDescent="0.25">
      <c r="J91" s="164" t="str">
        <f>IFERROR(COUNTIF($B$18:B91,B91)&amp;CHOOSE(MIN(4,COUNTIF($B$18:B91,B91)),"st","nd","rd","th"),"")</f>
        <v/>
      </c>
    </row>
    <row r="92" spans="10:10" x14ac:dyDescent="0.25">
      <c r="J92" s="164" t="str">
        <f>IFERROR(COUNTIF($B$18:B92,B92)&amp;CHOOSE(MIN(4,COUNTIF($B$18:B92,B92)),"st","nd","rd","th"),"")</f>
        <v/>
      </c>
    </row>
    <row r="93" spans="10:10" x14ac:dyDescent="0.25">
      <c r="J93" s="164" t="str">
        <f>IFERROR(COUNTIF($B$18:B93,B93)&amp;CHOOSE(MIN(4,COUNTIF($B$18:B93,B93)),"st","nd","rd","th"),"")</f>
        <v/>
      </c>
    </row>
    <row r="94" spans="10:10" x14ac:dyDescent="0.25">
      <c r="J94" s="164" t="str">
        <f>IFERROR(COUNTIF($B$18:B94,B94)&amp;CHOOSE(MIN(4,COUNTIF($B$18:B94,B94)),"st","nd","rd","th"),"")</f>
        <v/>
      </c>
    </row>
    <row r="95" spans="10:10" x14ac:dyDescent="0.25">
      <c r="J95" s="164" t="str">
        <f>IFERROR(COUNTIF($B$18:B95,B95)&amp;CHOOSE(MIN(4,COUNTIF($B$18:B95,B95)),"st","nd","rd","th"),"")</f>
        <v/>
      </c>
    </row>
    <row r="96" spans="10:10" x14ac:dyDescent="0.25">
      <c r="J96" s="164" t="str">
        <f>IFERROR(COUNTIF($B$18:B96,B96)&amp;CHOOSE(MIN(4,COUNTIF($B$18:B96,B96)),"st","nd","rd","th"),"")</f>
        <v/>
      </c>
    </row>
    <row r="97" spans="10:10" x14ac:dyDescent="0.25">
      <c r="J97" s="164" t="str">
        <f>IFERROR(COUNTIF($B$18:B97,B97)&amp;CHOOSE(MIN(4,COUNTIF($B$18:B97,B97)),"st","nd","rd","th"),"")</f>
        <v/>
      </c>
    </row>
    <row r="98" spans="10:10" x14ac:dyDescent="0.25">
      <c r="J98" s="164" t="str">
        <f>IFERROR(COUNTIF($B$18:B98,B98)&amp;CHOOSE(MIN(4,COUNTIF($B$18:B98,B98)),"st","nd","rd","th"),"")</f>
        <v/>
      </c>
    </row>
    <row r="99" spans="10:10" x14ac:dyDescent="0.25">
      <c r="J99" s="164" t="str">
        <f>IFERROR(COUNTIF($B$18:B99,B99)&amp;CHOOSE(MIN(4,COUNTIF($B$18:B99,B99)),"st","nd","rd","th"),"")</f>
        <v/>
      </c>
    </row>
    <row r="100" spans="10:10" x14ac:dyDescent="0.25">
      <c r="J100" s="164" t="str">
        <f>IFERROR(COUNTIF($B$18:B100,B100)&amp;CHOOSE(MIN(4,COUNTIF($B$18:B100,B100)),"st","nd","rd","th"),"")</f>
        <v/>
      </c>
    </row>
    <row r="101" spans="10:10" x14ac:dyDescent="0.25">
      <c r="J101" s="164" t="str">
        <f>IFERROR(COUNTIF($B$18:B101,B101)&amp;CHOOSE(MIN(4,COUNTIF($B$18:B101,B101)),"st","nd","rd","th"),"")</f>
        <v/>
      </c>
    </row>
    <row r="102" spans="10:10" x14ac:dyDescent="0.25">
      <c r="J102" s="164" t="str">
        <f>IFERROR(COUNTIF($B$18:B102,B102)&amp;CHOOSE(MIN(4,COUNTIF($B$18:B102,B102)),"st","nd","rd","th"),"")</f>
        <v/>
      </c>
    </row>
    <row r="103" spans="10:10" x14ac:dyDescent="0.25">
      <c r="J103" s="164" t="str">
        <f>IFERROR(COUNTIF($B$18:B103,B103)&amp;CHOOSE(MIN(4,COUNTIF($B$18:B103,B103)),"st","nd","rd","th"),"")</f>
        <v/>
      </c>
    </row>
    <row r="104" spans="10:10" x14ac:dyDescent="0.25">
      <c r="J104" s="164" t="str">
        <f>IFERROR(COUNTIF($B$18:B104,B104)&amp;CHOOSE(MIN(4,COUNTIF($B$18:B104,B104)),"st","nd","rd","th"),"")</f>
        <v/>
      </c>
    </row>
    <row r="105" spans="10:10" x14ac:dyDescent="0.25">
      <c r="J105" s="164" t="str">
        <f>IFERROR(COUNTIF($B$18:B105,B105)&amp;CHOOSE(MIN(4,COUNTIF($B$18:B105,B105)),"st","nd","rd","th"),"")</f>
        <v/>
      </c>
    </row>
    <row r="106" spans="10:10" x14ac:dyDescent="0.25">
      <c r="J106" s="164" t="str">
        <f>IFERROR(COUNTIF($B$18:B106,B106)&amp;CHOOSE(MIN(4,COUNTIF($B$18:B106,B106)),"st","nd","rd","th"),"")</f>
        <v/>
      </c>
    </row>
    <row r="107" spans="10:10" x14ac:dyDescent="0.25">
      <c r="J107" s="164" t="str">
        <f>IFERROR(COUNTIF($B$18:B107,B107)&amp;CHOOSE(MIN(4,COUNTIF($B$18:B107,B107)),"st","nd","rd","th"),"")</f>
        <v/>
      </c>
    </row>
    <row r="108" spans="10:10" x14ac:dyDescent="0.25">
      <c r="J108" s="164" t="str">
        <f>IFERROR(COUNTIF($B$18:B108,B108)&amp;CHOOSE(MIN(4,COUNTIF($B$18:B108,B108)),"st","nd","rd","th"),"")</f>
        <v/>
      </c>
    </row>
    <row r="109" spans="10:10" x14ac:dyDescent="0.25">
      <c r="J109" s="164" t="str">
        <f>IFERROR(COUNTIF($B$18:B109,B109)&amp;CHOOSE(MIN(4,COUNTIF($B$18:B109,B109)),"st","nd","rd","th"),"")</f>
        <v/>
      </c>
    </row>
    <row r="110" spans="10:10" x14ac:dyDescent="0.25">
      <c r="J110" s="164" t="str">
        <f>IFERROR(COUNTIF($B$18:B110,B110)&amp;CHOOSE(MIN(4,COUNTIF($B$18:B110,B110)),"st","nd","rd","th"),"")</f>
        <v/>
      </c>
    </row>
    <row r="111" spans="10:10" x14ac:dyDescent="0.25">
      <c r="J111" s="164" t="str">
        <f>IFERROR(COUNTIF($B$18:B111,B111)&amp;CHOOSE(MIN(4,COUNTIF($B$18:B111,B111)),"st","nd","rd","th"),"")</f>
        <v/>
      </c>
    </row>
    <row r="112" spans="10:10" x14ac:dyDescent="0.25">
      <c r="J112" s="164" t="str">
        <f>IFERROR(COUNTIF($B$18:B112,B112)&amp;CHOOSE(MIN(4,COUNTIF($B$18:B112,B112)),"st","nd","rd","th"),"")</f>
        <v/>
      </c>
    </row>
    <row r="113" spans="10:10" x14ac:dyDescent="0.25">
      <c r="J113" s="164" t="str">
        <f>IFERROR(COUNTIF($B$18:B113,B113)&amp;CHOOSE(MIN(4,COUNTIF($B$18:B113,B113)),"st","nd","rd","th"),"")</f>
        <v/>
      </c>
    </row>
    <row r="114" spans="10:10" x14ac:dyDescent="0.25">
      <c r="J114" s="164" t="str">
        <f>IFERROR(COUNTIF($B$18:B114,B114)&amp;CHOOSE(MIN(4,COUNTIF($B$18:B114,B114)),"st","nd","rd","th"),"")</f>
        <v/>
      </c>
    </row>
    <row r="115" spans="10:10" x14ac:dyDescent="0.25">
      <c r="J115" s="164" t="str">
        <f>IFERROR(COUNTIF($B$18:B115,B115)&amp;CHOOSE(MIN(4,COUNTIF($B$18:B115,B115)),"st","nd","rd","th"),"")</f>
        <v/>
      </c>
    </row>
    <row r="116" spans="10:10" x14ac:dyDescent="0.25">
      <c r="J116" s="164" t="str">
        <f>IFERROR(COUNTIF($B$18:B116,B116)&amp;CHOOSE(MIN(4,COUNTIF($B$18:B116,B116)),"st","nd","rd","th"),"")</f>
        <v/>
      </c>
    </row>
    <row r="117" spans="10:10" x14ac:dyDescent="0.25">
      <c r="J117" s="164" t="str">
        <f>IFERROR(COUNTIF($B$18:B117,B117)&amp;CHOOSE(MIN(4,COUNTIF($B$18:B117,B117)),"st","nd","rd","th"),"")</f>
        <v/>
      </c>
    </row>
    <row r="118" spans="10:10" x14ac:dyDescent="0.25">
      <c r="J118" s="164" t="str">
        <f>IFERROR(COUNTIF($B$18:B118,B118)&amp;CHOOSE(MIN(4,COUNTIF($B$18:B118,B118)),"st","nd","rd","th"),"")</f>
        <v/>
      </c>
    </row>
    <row r="119" spans="10:10" x14ac:dyDescent="0.25">
      <c r="J119" s="164" t="str">
        <f>IFERROR(COUNTIF($B$18:B119,B119)&amp;CHOOSE(MIN(4,COUNTIF($B$18:B119,B119)),"st","nd","rd","th"),"")</f>
        <v/>
      </c>
    </row>
    <row r="120" spans="10:10" x14ac:dyDescent="0.25">
      <c r="J120" s="164" t="str">
        <f>IFERROR(COUNTIF($B$18:B120,B120)&amp;CHOOSE(MIN(4,COUNTIF($B$18:B120,B120)),"st","nd","rd","th"),"")</f>
        <v/>
      </c>
    </row>
    <row r="121" spans="10:10" x14ac:dyDescent="0.25">
      <c r="J121" s="164" t="str">
        <f>IFERROR(COUNTIF($B$18:B121,B121)&amp;CHOOSE(MIN(4,COUNTIF($B$18:B121,B121)),"st","nd","rd","th"),"")</f>
        <v/>
      </c>
    </row>
    <row r="122" spans="10:10" x14ac:dyDescent="0.25">
      <c r="J122" s="164" t="str">
        <f>IFERROR(COUNTIF($B$18:B122,B122)&amp;CHOOSE(MIN(4,COUNTIF($B$18:B122,B122)),"st","nd","rd","th"),"")</f>
        <v/>
      </c>
    </row>
    <row r="123" spans="10:10" x14ac:dyDescent="0.25">
      <c r="J123" s="164" t="str">
        <f>IFERROR(COUNTIF($B$18:B123,B123)&amp;CHOOSE(MIN(4,COUNTIF($B$18:B123,B123)),"st","nd","rd","th"),"")</f>
        <v/>
      </c>
    </row>
    <row r="124" spans="10:10" x14ac:dyDescent="0.25">
      <c r="J124" s="164" t="str">
        <f>IFERROR(COUNTIF($B$18:B124,B124)&amp;CHOOSE(MIN(4,COUNTIF($B$18:B124,B124)),"st","nd","rd","th"),"")</f>
        <v/>
      </c>
    </row>
    <row r="125" spans="10:10" x14ac:dyDescent="0.25">
      <c r="J125" s="164" t="str">
        <f>IFERROR(COUNTIF($B$18:B125,B125)&amp;CHOOSE(MIN(4,COUNTIF($B$18:B125,B125)),"st","nd","rd","th"),"")</f>
        <v/>
      </c>
    </row>
    <row r="126" spans="10:10" x14ac:dyDescent="0.25">
      <c r="J126" s="164" t="str">
        <f>IFERROR(COUNTIF($B$18:B126,B126)&amp;CHOOSE(MIN(4,COUNTIF($B$18:B126,B126)),"st","nd","rd","th"),"")</f>
        <v/>
      </c>
    </row>
    <row r="127" spans="10:10" x14ac:dyDescent="0.25">
      <c r="J127" s="164" t="str">
        <f>IFERROR(COUNTIF($B$18:B127,B127)&amp;CHOOSE(MIN(4,COUNTIF($B$18:B127,B127)),"st","nd","rd","th"),"")</f>
        <v/>
      </c>
    </row>
    <row r="128" spans="10:10" x14ac:dyDescent="0.25">
      <c r="J128" s="164" t="str">
        <f>IFERROR(COUNTIF($B$18:B128,B128)&amp;CHOOSE(MIN(4,COUNTIF($B$18:B128,B128)),"st","nd","rd","th"),"")</f>
        <v/>
      </c>
    </row>
    <row r="129" spans="10:10" x14ac:dyDescent="0.25">
      <c r="J129" s="164" t="str">
        <f>IFERROR(COUNTIF($B$18:B129,B129)&amp;CHOOSE(MIN(4,COUNTIF($B$18:B129,B129)),"st","nd","rd","th"),"")</f>
        <v/>
      </c>
    </row>
    <row r="130" spans="10:10" x14ac:dyDescent="0.25">
      <c r="J130" s="164" t="str">
        <f>IFERROR(COUNTIF($B$18:B130,B130)&amp;CHOOSE(MIN(4,COUNTIF($B$18:B130,B130)),"st","nd","rd","th"),"")</f>
        <v/>
      </c>
    </row>
    <row r="131" spans="10:10" x14ac:dyDescent="0.25">
      <c r="J131" s="164" t="str">
        <f>IFERROR(COUNTIF($B$18:B131,B131)&amp;CHOOSE(MIN(4,COUNTIF($B$18:B131,B131)),"st","nd","rd","th"),"")</f>
        <v/>
      </c>
    </row>
    <row r="132" spans="10:10" x14ac:dyDescent="0.25">
      <c r="J132" s="164" t="str">
        <f>IFERROR(COUNTIF($B$18:B132,B132)&amp;CHOOSE(MIN(4,COUNTIF($B$18:B132,B132)),"st","nd","rd","th"),"")</f>
        <v/>
      </c>
    </row>
    <row r="133" spans="10:10" x14ac:dyDescent="0.25">
      <c r="J133" s="164" t="str">
        <f>IFERROR(COUNTIF($B$18:B133,B133)&amp;CHOOSE(MIN(4,COUNTIF($B$18:B133,B133)),"st","nd","rd","th"),"")</f>
        <v/>
      </c>
    </row>
    <row r="134" spans="10:10" x14ac:dyDescent="0.25">
      <c r="J134" s="164" t="str">
        <f>IFERROR(COUNTIF($B$18:B134,B134)&amp;CHOOSE(MIN(4,COUNTIF($B$18:B134,B134)),"st","nd","rd","th"),"")</f>
        <v/>
      </c>
    </row>
    <row r="135" spans="10:10" x14ac:dyDescent="0.25">
      <c r="J135" s="164" t="str">
        <f>IFERROR(COUNTIF($B$18:B135,B135)&amp;CHOOSE(MIN(4,COUNTIF($B$18:B135,B135)),"st","nd","rd","th"),"")</f>
        <v/>
      </c>
    </row>
    <row r="136" spans="10:10" x14ac:dyDescent="0.25">
      <c r="J136" s="164" t="str">
        <f>IFERROR(COUNTIF($B$18:B136,B136)&amp;CHOOSE(MIN(4,COUNTIF($B$18:B136,B136)),"st","nd","rd","th"),"")</f>
        <v/>
      </c>
    </row>
    <row r="137" spans="10:10" x14ac:dyDescent="0.25">
      <c r="J137" s="164" t="str">
        <f>IFERROR(COUNTIF($B$18:B137,B137)&amp;CHOOSE(MIN(4,COUNTIF($B$18:B137,B137)),"st","nd","rd","th"),"")</f>
        <v/>
      </c>
    </row>
    <row r="138" spans="10:10" x14ac:dyDescent="0.25">
      <c r="J138" s="164" t="str">
        <f>IFERROR(COUNTIF($B$18:B138,B138)&amp;CHOOSE(MIN(4,COUNTIF($B$18:B138,B138)),"st","nd","rd","th"),"")</f>
        <v/>
      </c>
    </row>
    <row r="139" spans="10:10" x14ac:dyDescent="0.25">
      <c r="J139" s="164" t="str">
        <f>IFERROR(COUNTIF($B$18:B139,B139)&amp;CHOOSE(MIN(4,COUNTIF($B$18:B139,B139)),"st","nd","rd","th"),"")</f>
        <v/>
      </c>
    </row>
    <row r="140" spans="10:10" x14ac:dyDescent="0.25">
      <c r="J140" s="164" t="str">
        <f>IFERROR(COUNTIF($B$18:B140,B140)&amp;CHOOSE(MIN(4,COUNTIF($B$18:B140,B140)),"st","nd","rd","th"),"")</f>
        <v/>
      </c>
    </row>
    <row r="141" spans="10:10" x14ac:dyDescent="0.25">
      <c r="J141" s="164" t="str">
        <f>IFERROR(COUNTIF($B$18:B141,B141)&amp;CHOOSE(MIN(4,COUNTIF($B$18:B141,B141)),"st","nd","rd","th"),"")</f>
        <v/>
      </c>
    </row>
    <row r="142" spans="10:10" x14ac:dyDescent="0.25">
      <c r="J142" s="164" t="str">
        <f>IFERROR(COUNTIF($B$18:B142,B142)&amp;CHOOSE(MIN(4,COUNTIF($B$18:B142,B142)),"st","nd","rd","th"),"")</f>
        <v/>
      </c>
    </row>
    <row r="143" spans="10:10" x14ac:dyDescent="0.25">
      <c r="J143" s="164" t="str">
        <f>IFERROR(COUNTIF($B$18:B143,B143)&amp;CHOOSE(MIN(4,COUNTIF($B$18:B143,B143)),"st","nd","rd","th"),"")</f>
        <v/>
      </c>
    </row>
    <row r="144" spans="10:10" x14ac:dyDescent="0.25">
      <c r="J144" s="164" t="str">
        <f>IFERROR(COUNTIF($B$18:B144,B144)&amp;CHOOSE(MIN(4,COUNTIF($B$18:B144,B144)),"st","nd","rd","th"),"")</f>
        <v/>
      </c>
    </row>
    <row r="145" spans="10:10" x14ac:dyDescent="0.25">
      <c r="J145" s="164" t="str">
        <f>IFERROR(COUNTIF($B$18:B145,B145)&amp;CHOOSE(MIN(4,COUNTIF($B$18:B145,B145)),"st","nd","rd","th"),"")</f>
        <v/>
      </c>
    </row>
    <row r="146" spans="10:10" x14ac:dyDescent="0.25">
      <c r="J146" s="164" t="str">
        <f>IFERROR(COUNTIF($B$18:B146,B146)&amp;CHOOSE(MIN(4,COUNTIF($B$18:B146,B146)),"st","nd","rd","th"),"")</f>
        <v/>
      </c>
    </row>
    <row r="147" spans="10:10" x14ac:dyDescent="0.25">
      <c r="J147" s="164" t="str">
        <f>IFERROR(COUNTIF($B$18:B147,B147)&amp;CHOOSE(MIN(4,COUNTIF($B$18:B147,B147)),"st","nd","rd","th"),"")</f>
        <v/>
      </c>
    </row>
    <row r="148" spans="10:10" x14ac:dyDescent="0.25">
      <c r="J148" s="164" t="str">
        <f>IFERROR(COUNTIF($B$18:B148,B148)&amp;CHOOSE(MIN(4,COUNTIF($B$18:B148,B148)),"st","nd","rd","th"),"")</f>
        <v/>
      </c>
    </row>
    <row r="149" spans="10:10" x14ac:dyDescent="0.25">
      <c r="J149" s="164" t="str">
        <f>IFERROR(COUNTIF($B$18:B149,B149)&amp;CHOOSE(MIN(4,COUNTIF($B$18:B149,B149)),"st","nd","rd","th"),"")</f>
        <v/>
      </c>
    </row>
    <row r="150" spans="10:10" x14ac:dyDescent="0.25">
      <c r="J150" s="164" t="str">
        <f>IFERROR(COUNTIF($B$18:B150,B150)&amp;CHOOSE(MIN(4,COUNTIF($B$18:B150,B150)),"st","nd","rd","th"),"")</f>
        <v/>
      </c>
    </row>
    <row r="151" spans="10:10" x14ac:dyDescent="0.25">
      <c r="J151" s="164" t="str">
        <f>IFERROR(COUNTIF($B$18:B151,B151)&amp;CHOOSE(MIN(4,COUNTIF($B$18:B151,B151)),"st","nd","rd","th"),"")</f>
        <v/>
      </c>
    </row>
    <row r="152" spans="10:10" x14ac:dyDescent="0.25">
      <c r="J152" s="164" t="str">
        <f>IFERROR(COUNTIF($B$18:B152,B152)&amp;CHOOSE(MIN(4,COUNTIF($B$18:B152,B152)),"st","nd","rd","th"),"")</f>
        <v/>
      </c>
    </row>
    <row r="153" spans="10:10" x14ac:dyDescent="0.25">
      <c r="J153" s="164" t="str">
        <f>IFERROR(COUNTIF($B$18:B153,B153)&amp;CHOOSE(MIN(4,COUNTIF($B$18:B153,B153)),"st","nd","rd","th"),"")</f>
        <v/>
      </c>
    </row>
    <row r="154" spans="10:10" x14ac:dyDescent="0.25">
      <c r="J154" s="164" t="str">
        <f>IFERROR(COUNTIF($B$18:B154,B154)&amp;CHOOSE(MIN(4,COUNTIF($B$18:B154,B154)),"st","nd","rd","th"),"")</f>
        <v/>
      </c>
    </row>
    <row r="155" spans="10:10" x14ac:dyDescent="0.25">
      <c r="J155" s="164" t="str">
        <f>IFERROR(COUNTIF($B$18:B155,B155)&amp;CHOOSE(MIN(4,COUNTIF($B$18:B155,B155)),"st","nd","rd","th"),"")</f>
        <v/>
      </c>
    </row>
    <row r="156" spans="10:10" x14ac:dyDescent="0.25">
      <c r="J156" s="164" t="str">
        <f>IFERROR(COUNTIF($B$18:B156,B156)&amp;CHOOSE(MIN(4,COUNTIF($B$18:B156,B156)),"st","nd","rd","th"),"")</f>
        <v/>
      </c>
    </row>
    <row r="157" spans="10:10" x14ac:dyDescent="0.25">
      <c r="J157" s="164" t="str">
        <f>IFERROR(COUNTIF($B$18:B157,B157)&amp;CHOOSE(MIN(4,COUNTIF($B$18:B157,B157)),"st","nd","rd","th"),"")</f>
        <v/>
      </c>
    </row>
    <row r="158" spans="10:10" x14ac:dyDescent="0.25">
      <c r="J158" s="164" t="str">
        <f>IFERROR(COUNTIF($B$18:B158,B158)&amp;CHOOSE(MIN(4,COUNTIF($B$18:B158,B158)),"st","nd","rd","th"),"")</f>
        <v/>
      </c>
    </row>
    <row r="159" spans="10:10" x14ac:dyDescent="0.25">
      <c r="J159" s="164" t="str">
        <f>IFERROR(COUNTIF($B$18:B159,B159)&amp;CHOOSE(MIN(4,COUNTIF($B$18:B159,B159)),"st","nd","rd","th"),"")</f>
        <v/>
      </c>
    </row>
    <row r="160" spans="10:10" x14ac:dyDescent="0.25">
      <c r="J160" s="164" t="str">
        <f>IFERROR(COUNTIF($B$18:B160,B160)&amp;CHOOSE(MIN(4,COUNTIF($B$18:B160,B160)),"st","nd","rd","th"),"")</f>
        <v/>
      </c>
    </row>
    <row r="161" spans="10:10" x14ac:dyDescent="0.25">
      <c r="J161" s="164" t="str">
        <f>IFERROR(COUNTIF($B$18:B161,B161)&amp;CHOOSE(MIN(4,COUNTIF($B$18:B161,B161)),"st","nd","rd","th"),"")</f>
        <v/>
      </c>
    </row>
    <row r="162" spans="10:10" x14ac:dyDescent="0.25">
      <c r="J162" s="164" t="str">
        <f>IFERROR(COUNTIF($B$18:B162,B162)&amp;CHOOSE(MIN(4,COUNTIF($B$18:B162,B162)),"st","nd","rd","th"),"")</f>
        <v/>
      </c>
    </row>
    <row r="163" spans="10:10" x14ac:dyDescent="0.25">
      <c r="J163" s="164" t="str">
        <f>IFERROR(COUNTIF($B$18:B163,B163)&amp;CHOOSE(MIN(4,COUNTIF($B$18:B163,B163)),"st","nd","rd","th"),"")</f>
        <v/>
      </c>
    </row>
    <row r="164" spans="10:10" x14ac:dyDescent="0.25">
      <c r="J164" s="164" t="str">
        <f>IFERROR(COUNTIF($B$18:B164,B164)&amp;CHOOSE(MIN(4,COUNTIF($B$18:B164,B164)),"st","nd","rd","th"),"")</f>
        <v/>
      </c>
    </row>
    <row r="165" spans="10:10" x14ac:dyDescent="0.25">
      <c r="J165" s="164" t="str">
        <f>IFERROR(COUNTIF($B$18:B165,B165)&amp;CHOOSE(MIN(4,COUNTIF($B$18:B165,B165)),"st","nd","rd","th"),"")</f>
        <v/>
      </c>
    </row>
    <row r="166" spans="10:10" x14ac:dyDescent="0.25">
      <c r="J166" s="164" t="str">
        <f>IFERROR(COUNTIF($B$18:B166,B166)&amp;CHOOSE(MIN(4,COUNTIF($B$18:B166,B166)),"st","nd","rd","th"),"")</f>
        <v/>
      </c>
    </row>
    <row r="167" spans="10:10" x14ac:dyDescent="0.25">
      <c r="J167" s="164" t="str">
        <f>IFERROR(COUNTIF($B$18:B167,B167)&amp;CHOOSE(MIN(4,COUNTIF($B$18:B167,B167)),"st","nd","rd","th"),"")</f>
        <v/>
      </c>
    </row>
    <row r="168" spans="10:10" x14ac:dyDescent="0.25">
      <c r="J168" s="164" t="str">
        <f>IFERROR(COUNTIF($B$18:B168,B168)&amp;CHOOSE(MIN(4,COUNTIF($B$18:B168,B168)),"st","nd","rd","th"),"")</f>
        <v/>
      </c>
    </row>
    <row r="169" spans="10:10" x14ac:dyDescent="0.25">
      <c r="J169" s="164" t="str">
        <f>IFERROR(COUNTIF($B$18:B169,B169)&amp;CHOOSE(MIN(4,COUNTIF($B$18:B169,B169)),"st","nd","rd","th"),"")</f>
        <v/>
      </c>
    </row>
    <row r="170" spans="10:10" x14ac:dyDescent="0.25">
      <c r="J170" s="164" t="str">
        <f>IFERROR(COUNTIF($B$18:B170,B170)&amp;CHOOSE(MIN(4,COUNTIF($B$18:B170,B170)),"st","nd","rd","th"),"")</f>
        <v/>
      </c>
    </row>
    <row r="171" spans="10:10" x14ac:dyDescent="0.25">
      <c r="J171" s="164" t="str">
        <f>IFERROR(COUNTIF($B$18:B171,B171)&amp;CHOOSE(MIN(4,COUNTIF($B$18:B171,B171)),"st","nd","rd","th"),"")</f>
        <v/>
      </c>
    </row>
    <row r="172" spans="10:10" x14ac:dyDescent="0.25">
      <c r="J172" s="164" t="str">
        <f>IFERROR(COUNTIF($B$18:B172,B172)&amp;CHOOSE(MIN(4,COUNTIF($B$18:B172,B172)),"st","nd","rd","th"),"")</f>
        <v/>
      </c>
    </row>
    <row r="173" spans="10:10" x14ac:dyDescent="0.25">
      <c r="J173" s="164" t="str">
        <f>IFERROR(COUNTIF($B$18:B173,B173)&amp;CHOOSE(MIN(4,COUNTIF($B$18:B173,B173)),"st","nd","rd","th"),"")</f>
        <v/>
      </c>
    </row>
    <row r="174" spans="10:10" x14ac:dyDescent="0.25">
      <c r="J174" s="164" t="str">
        <f>IFERROR(COUNTIF($B$18:B174,B174)&amp;CHOOSE(MIN(4,COUNTIF($B$18:B174,B174)),"st","nd","rd","th"),"")</f>
        <v/>
      </c>
    </row>
    <row r="175" spans="10:10" x14ac:dyDescent="0.25">
      <c r="J175" s="164" t="str">
        <f>IFERROR(COUNTIF($B$18:B175,B175)&amp;CHOOSE(MIN(4,COUNTIF($B$18:B175,B175)),"st","nd","rd","th"),"")</f>
        <v/>
      </c>
    </row>
    <row r="176" spans="10:10" x14ac:dyDescent="0.25">
      <c r="J176" s="164" t="str">
        <f>IFERROR(COUNTIF($B$18:B176,B176)&amp;CHOOSE(MIN(4,COUNTIF($B$18:B176,B176)),"st","nd","rd","th"),"")</f>
        <v/>
      </c>
    </row>
    <row r="177" spans="10:10" x14ac:dyDescent="0.25">
      <c r="J177" s="164" t="str">
        <f>IFERROR(COUNTIF($B$18:B177,B177)&amp;CHOOSE(MIN(4,COUNTIF($B$18:B177,B177)),"st","nd","rd","th"),"")</f>
        <v/>
      </c>
    </row>
    <row r="178" spans="10:10" x14ac:dyDescent="0.25">
      <c r="J178" s="164" t="str">
        <f>IFERROR(COUNTIF($B$18:B178,B178)&amp;CHOOSE(MIN(4,COUNTIF($B$18:B178,B178)),"st","nd","rd","th"),"")</f>
        <v/>
      </c>
    </row>
    <row r="179" spans="10:10" x14ac:dyDescent="0.25">
      <c r="J179" s="164" t="str">
        <f>IFERROR(COUNTIF($B$18:B179,B179)&amp;CHOOSE(MIN(4,COUNTIF($B$18:B179,B179)),"st","nd","rd","th"),"")</f>
        <v/>
      </c>
    </row>
    <row r="180" spans="10:10" x14ac:dyDescent="0.25">
      <c r="J180" s="164" t="str">
        <f>IFERROR(COUNTIF($B$18:B180,B180)&amp;CHOOSE(MIN(4,COUNTIF($B$18:B180,B180)),"st","nd","rd","th"),"")</f>
        <v/>
      </c>
    </row>
    <row r="181" spans="10:10" x14ac:dyDescent="0.25">
      <c r="J181" s="164" t="str">
        <f>IFERROR(COUNTIF($B$18:B181,B181)&amp;CHOOSE(MIN(4,COUNTIF($B$18:B181,B181)),"st","nd","rd","th"),"")</f>
        <v/>
      </c>
    </row>
    <row r="182" spans="10:10" x14ac:dyDescent="0.25">
      <c r="J182" s="164" t="str">
        <f>IFERROR(COUNTIF($B$18:B182,B182)&amp;CHOOSE(MIN(4,COUNTIF($B$18:B182,B182)),"st","nd","rd","th"),"")</f>
        <v/>
      </c>
    </row>
    <row r="183" spans="10:10" x14ac:dyDescent="0.25">
      <c r="J183" s="164" t="str">
        <f>IFERROR(COUNTIF($B$18:B183,B183)&amp;CHOOSE(MIN(4,COUNTIF($B$18:B183,B183)),"st","nd","rd","th"),"")</f>
        <v/>
      </c>
    </row>
    <row r="184" spans="10:10" x14ac:dyDescent="0.25">
      <c r="J184" s="164" t="str">
        <f>IFERROR(COUNTIF($B$18:B184,B184)&amp;CHOOSE(MIN(4,COUNTIF($B$18:B184,B184)),"st","nd","rd","th"),"")</f>
        <v/>
      </c>
    </row>
    <row r="185" spans="10:10" x14ac:dyDescent="0.25">
      <c r="J185" s="164" t="str">
        <f>IFERROR(COUNTIF($B$18:B185,B185)&amp;CHOOSE(MIN(4,COUNTIF($B$18:B185,B185)),"st","nd","rd","th"),"")</f>
        <v/>
      </c>
    </row>
    <row r="186" spans="10:10" x14ac:dyDescent="0.25">
      <c r="J186" s="164" t="str">
        <f>IFERROR(COUNTIF($B$18:B186,B186)&amp;CHOOSE(MIN(4,COUNTIF($B$18:B186,B186)),"st","nd","rd","th"),"")</f>
        <v/>
      </c>
    </row>
    <row r="187" spans="10:10" x14ac:dyDescent="0.25">
      <c r="J187" s="164" t="str">
        <f>IFERROR(COUNTIF($B$18:B187,B187)&amp;CHOOSE(MIN(4,COUNTIF($B$18:B187,B187)),"st","nd","rd","th"),"")</f>
        <v/>
      </c>
    </row>
    <row r="188" spans="10:10" x14ac:dyDescent="0.25">
      <c r="J188" s="164" t="str">
        <f>IFERROR(COUNTIF($B$18:B188,B188)&amp;CHOOSE(MIN(4,COUNTIF($B$18:B188,B188)),"st","nd","rd","th"),"")</f>
        <v/>
      </c>
    </row>
    <row r="189" spans="10:10" x14ac:dyDescent="0.25">
      <c r="J189" s="164" t="str">
        <f>IFERROR(COUNTIF($B$18:B189,B189)&amp;CHOOSE(MIN(4,COUNTIF($B$18:B189,B189)),"st","nd","rd","th"),"")</f>
        <v/>
      </c>
    </row>
    <row r="190" spans="10:10" x14ac:dyDescent="0.25">
      <c r="J190" s="164" t="str">
        <f>IFERROR(COUNTIF($B$18:B190,B190)&amp;CHOOSE(MIN(4,COUNTIF($B$18:B190,B190)),"st","nd","rd","th"),"")</f>
        <v/>
      </c>
    </row>
    <row r="191" spans="10:10" x14ac:dyDescent="0.25">
      <c r="J191" s="164" t="str">
        <f>IFERROR(COUNTIF($B$18:B191,B191)&amp;CHOOSE(MIN(4,COUNTIF($B$18:B191,B191)),"st","nd","rd","th"),"")</f>
        <v/>
      </c>
    </row>
    <row r="192" spans="10:10" x14ac:dyDescent="0.25">
      <c r="J192" s="164" t="str">
        <f>IFERROR(COUNTIF($B$18:B192,B192)&amp;CHOOSE(MIN(4,COUNTIF($B$18:B192,B192)),"st","nd","rd","th"),"")</f>
        <v/>
      </c>
    </row>
    <row r="193" spans="10:10" x14ac:dyDescent="0.25">
      <c r="J193" s="164" t="str">
        <f>IFERROR(COUNTIF($B$18:B193,B193)&amp;CHOOSE(MIN(4,COUNTIF($B$18:B193,B193)),"st","nd","rd","th"),"")</f>
        <v/>
      </c>
    </row>
    <row r="194" spans="10:10" x14ac:dyDescent="0.25">
      <c r="J194" s="164" t="str">
        <f>IFERROR(COUNTIF($B$18:B194,B194)&amp;CHOOSE(MIN(4,COUNTIF($B$18:B194,B194)),"st","nd","rd","th"),"")</f>
        <v/>
      </c>
    </row>
    <row r="195" spans="10:10" x14ac:dyDescent="0.25">
      <c r="J195" s="164" t="str">
        <f>IFERROR(COUNTIF($B$18:B195,B195)&amp;CHOOSE(MIN(4,COUNTIF($B$18:B195,B195)),"st","nd","rd","th"),"")</f>
        <v/>
      </c>
    </row>
    <row r="196" spans="10:10" x14ac:dyDescent="0.25">
      <c r="J196" s="164" t="str">
        <f>IFERROR(COUNTIF($B$18:B196,B196)&amp;CHOOSE(MIN(4,COUNTIF($B$18:B196,B196)),"st","nd","rd","th"),"")</f>
        <v/>
      </c>
    </row>
    <row r="197" spans="10:10" x14ac:dyDescent="0.25">
      <c r="J197" s="164" t="str">
        <f>IFERROR(COUNTIF($B$18:B197,B197)&amp;CHOOSE(MIN(4,COUNTIF($B$18:B197,B197)),"st","nd","rd","th"),"")</f>
        <v/>
      </c>
    </row>
    <row r="198" spans="10:10" x14ac:dyDescent="0.25">
      <c r="J198" s="164" t="str">
        <f>IFERROR(COUNTIF($B$18:B198,B198)&amp;CHOOSE(MIN(4,COUNTIF($B$18:B198,B198)),"st","nd","rd","th"),"")</f>
        <v/>
      </c>
    </row>
    <row r="199" spans="10:10" x14ac:dyDescent="0.25">
      <c r="J199" s="164" t="str">
        <f>IFERROR(COUNTIF($B$18:B199,B199)&amp;CHOOSE(MIN(4,COUNTIF($B$18:B199,B199)),"st","nd","rd","th"),"")</f>
        <v/>
      </c>
    </row>
    <row r="200" spans="10:10" x14ac:dyDescent="0.25">
      <c r="J200" s="164" t="str">
        <f>IFERROR(COUNTIF($B$18:B200,B200)&amp;CHOOSE(MIN(4,COUNTIF($B$18:B200,B200)),"st","nd","rd","th"),"")</f>
        <v/>
      </c>
    </row>
    <row r="201" spans="10:10" x14ac:dyDescent="0.25">
      <c r="J201" s="164" t="str">
        <f>IFERROR(COUNTIF($B$18:B201,B201)&amp;CHOOSE(MIN(4,COUNTIF($B$18:B201,B201)),"st","nd","rd","th"),"")</f>
        <v/>
      </c>
    </row>
    <row r="202" spans="10:10" x14ac:dyDescent="0.25">
      <c r="J202" s="164" t="str">
        <f>IFERROR(COUNTIF($B$18:B202,B202)&amp;CHOOSE(MIN(4,COUNTIF($B$18:B202,B202)),"st","nd","rd","th"),"")</f>
        <v/>
      </c>
    </row>
    <row r="203" spans="10:10" x14ac:dyDescent="0.25">
      <c r="J203" s="164" t="str">
        <f>IFERROR(COUNTIF($B$18:B203,B203)&amp;CHOOSE(MIN(4,COUNTIF($B$18:B203,B203)),"st","nd","rd","th"),"")</f>
        <v/>
      </c>
    </row>
    <row r="204" spans="10:10" x14ac:dyDescent="0.25">
      <c r="J204" s="164" t="str">
        <f>IFERROR(COUNTIF($B$18:B204,B204)&amp;CHOOSE(MIN(4,COUNTIF($B$18:B204,B204)),"st","nd","rd","th"),"")</f>
        <v/>
      </c>
    </row>
    <row r="205" spans="10:10" x14ac:dyDescent="0.25">
      <c r="J205" s="164" t="str">
        <f>IFERROR(COUNTIF($B$18:B205,B205)&amp;CHOOSE(MIN(4,COUNTIF($B$18:B205,B205)),"st","nd","rd","th"),"")</f>
        <v/>
      </c>
    </row>
    <row r="206" spans="10:10" x14ac:dyDescent="0.25">
      <c r="J206" s="164" t="str">
        <f>IFERROR(COUNTIF($B$18:B206,B206)&amp;CHOOSE(MIN(4,COUNTIF($B$18:B206,B206)),"st","nd","rd","th"),"")</f>
        <v/>
      </c>
    </row>
    <row r="207" spans="10:10" x14ac:dyDescent="0.25">
      <c r="J207" s="164" t="str">
        <f>IFERROR(COUNTIF($B$18:B207,B207)&amp;CHOOSE(MIN(4,COUNTIF($B$18:B207,B207)),"st","nd","rd","th"),"")</f>
        <v/>
      </c>
    </row>
    <row r="208" spans="10:10" x14ac:dyDescent="0.25">
      <c r="J208" s="164" t="str">
        <f>IFERROR(COUNTIF($B$18:B208,B208)&amp;CHOOSE(MIN(4,COUNTIF($B$18:B208,B208)),"st","nd","rd","th"),"")</f>
        <v/>
      </c>
    </row>
    <row r="209" spans="10:10" x14ac:dyDescent="0.25">
      <c r="J209" s="164" t="str">
        <f>IFERROR(COUNTIF($B$18:B209,B209)&amp;CHOOSE(MIN(4,COUNTIF($B$18:B209,B209)),"st","nd","rd","th"),"")</f>
        <v/>
      </c>
    </row>
    <row r="210" spans="10:10" x14ac:dyDescent="0.25">
      <c r="J210" s="164" t="str">
        <f>IFERROR(COUNTIF($B$18:B210,B210)&amp;CHOOSE(MIN(4,COUNTIF($B$18:B210,B210)),"st","nd","rd","th"),"")</f>
        <v/>
      </c>
    </row>
    <row r="211" spans="10:10" x14ac:dyDescent="0.25">
      <c r="J211" s="164" t="str">
        <f>IFERROR(COUNTIF($B$18:B211,B211)&amp;CHOOSE(MIN(4,COUNTIF($B$18:B211,B211)),"st","nd","rd","th"),"")</f>
        <v/>
      </c>
    </row>
    <row r="212" spans="10:10" x14ac:dyDescent="0.25">
      <c r="J212" s="164" t="str">
        <f>IFERROR(COUNTIF($B$18:B212,B212)&amp;CHOOSE(MIN(4,COUNTIF($B$18:B212,B212)),"st","nd","rd","th"),"")</f>
        <v/>
      </c>
    </row>
    <row r="213" spans="10:10" x14ac:dyDescent="0.25">
      <c r="J213" s="164" t="str">
        <f>IFERROR(COUNTIF($B$18:B213,B213)&amp;CHOOSE(MIN(4,COUNTIF($B$18:B213,B213)),"st","nd","rd","th"),"")</f>
        <v/>
      </c>
    </row>
    <row r="214" spans="10:10" x14ac:dyDescent="0.25">
      <c r="J214" s="164" t="str">
        <f>IFERROR(COUNTIF($B$18:B214,B214)&amp;CHOOSE(MIN(4,COUNTIF($B$18:B214,B214)),"st","nd","rd","th"),"")</f>
        <v/>
      </c>
    </row>
    <row r="215" spans="10:10" x14ac:dyDescent="0.25">
      <c r="J215" s="164" t="str">
        <f>IFERROR(COUNTIF($B$18:B215,B215)&amp;CHOOSE(MIN(4,COUNTIF($B$18:B215,B215)),"st","nd","rd","th"),"")</f>
        <v/>
      </c>
    </row>
    <row r="216" spans="10:10" x14ac:dyDescent="0.25">
      <c r="J216" s="164" t="str">
        <f>IFERROR(COUNTIF($B$18:B216,B216)&amp;CHOOSE(MIN(4,COUNTIF($B$18:B216,B216)),"st","nd","rd","th"),"")</f>
        <v/>
      </c>
    </row>
    <row r="217" spans="10:10" x14ac:dyDescent="0.25">
      <c r="J217" s="164" t="str">
        <f>IFERROR(COUNTIF($B$18:B217,B217)&amp;CHOOSE(MIN(4,COUNTIF($B$18:B217,B217)),"st","nd","rd","th"),"")</f>
        <v/>
      </c>
    </row>
    <row r="218" spans="10:10" x14ac:dyDescent="0.25">
      <c r="J218" s="164" t="str">
        <f>IFERROR(COUNTIF($B$18:B218,B218)&amp;CHOOSE(MIN(4,COUNTIF($B$18:B218,B218)),"st","nd","rd","th"),"")</f>
        <v/>
      </c>
    </row>
    <row r="219" spans="10:10" x14ac:dyDescent="0.25">
      <c r="J219" s="164" t="str">
        <f>IFERROR(COUNTIF($B$18:B219,B219)&amp;CHOOSE(MIN(4,COUNTIF($B$18:B219,B219)),"st","nd","rd","th"),"")</f>
        <v/>
      </c>
    </row>
    <row r="220" spans="10:10" x14ac:dyDescent="0.25">
      <c r="J220" s="164" t="str">
        <f>IFERROR(COUNTIF($B$18:B220,B220)&amp;CHOOSE(MIN(4,COUNTIF($B$18:B220,B220)),"st","nd","rd","th"),"")</f>
        <v/>
      </c>
    </row>
    <row r="221" spans="10:10" x14ac:dyDescent="0.25">
      <c r="J221" s="164" t="str">
        <f>IFERROR(COUNTIF($B$18:B221,B221)&amp;CHOOSE(MIN(4,COUNTIF($B$18:B221,B221)),"st","nd","rd","th"),"")</f>
        <v/>
      </c>
    </row>
    <row r="222" spans="10:10" x14ac:dyDescent="0.25">
      <c r="J222" s="164" t="str">
        <f>IFERROR(COUNTIF($B$18:B222,B222)&amp;CHOOSE(MIN(4,COUNTIF($B$18:B222,B222)),"st","nd","rd","th"),"")</f>
        <v/>
      </c>
    </row>
    <row r="223" spans="10:10" x14ac:dyDescent="0.25">
      <c r="J223" s="164" t="str">
        <f>IFERROR(COUNTIF($B$18:B223,B223)&amp;CHOOSE(MIN(4,COUNTIF($B$18:B223,B223)),"st","nd","rd","th"),"")</f>
        <v/>
      </c>
    </row>
    <row r="224" spans="10:10" x14ac:dyDescent="0.25">
      <c r="J224" s="164" t="str">
        <f>IFERROR(COUNTIF($B$18:B224,B224)&amp;CHOOSE(MIN(4,COUNTIF($B$18:B224,B224)),"st","nd","rd","th"),"")</f>
        <v/>
      </c>
    </row>
    <row r="225" spans="10:10" x14ac:dyDescent="0.25">
      <c r="J225" s="164" t="str">
        <f>IFERROR(COUNTIF($B$18:B225,B225)&amp;CHOOSE(MIN(4,COUNTIF($B$18:B225,B225)),"st","nd","rd","th"),"")</f>
        <v/>
      </c>
    </row>
    <row r="226" spans="10:10" x14ac:dyDescent="0.25">
      <c r="J226" s="164" t="str">
        <f>IFERROR(COUNTIF($B$18:B226,B226)&amp;CHOOSE(MIN(4,COUNTIF($B$18:B226,B226)),"st","nd","rd","th"),"")</f>
        <v/>
      </c>
    </row>
    <row r="227" spans="10:10" x14ac:dyDescent="0.25">
      <c r="J227" s="164" t="str">
        <f>IFERROR(COUNTIF($B$18:B227,B227)&amp;CHOOSE(MIN(4,COUNTIF($B$18:B227,B227)),"st","nd","rd","th"),"")</f>
        <v/>
      </c>
    </row>
    <row r="228" spans="10:10" x14ac:dyDescent="0.25">
      <c r="J228" s="164" t="str">
        <f>IFERROR(COUNTIF($B$18:B228,B228)&amp;CHOOSE(MIN(4,COUNTIF($B$18:B228,B228)),"st","nd","rd","th"),"")</f>
        <v/>
      </c>
    </row>
    <row r="229" spans="10:10" x14ac:dyDescent="0.25">
      <c r="J229" s="164" t="str">
        <f>IFERROR(COUNTIF($B$18:B229,B229)&amp;CHOOSE(MIN(4,COUNTIF($B$18:B229,B229)),"st","nd","rd","th"),"")</f>
        <v/>
      </c>
    </row>
    <row r="230" spans="10:10" x14ac:dyDescent="0.25">
      <c r="J230" s="164" t="str">
        <f>IFERROR(COUNTIF($B$18:B230,B230)&amp;CHOOSE(MIN(4,COUNTIF($B$18:B230,B230)),"st","nd","rd","th"),"")</f>
        <v/>
      </c>
    </row>
    <row r="231" spans="10:10" x14ac:dyDescent="0.25">
      <c r="J231" s="164" t="str">
        <f>IFERROR(COUNTIF($B$18:B231,B231)&amp;CHOOSE(MIN(4,COUNTIF($B$18:B231,B231)),"st","nd","rd","th"),"")</f>
        <v/>
      </c>
    </row>
    <row r="232" spans="10:10" x14ac:dyDescent="0.25">
      <c r="J232" s="164" t="str">
        <f>IFERROR(COUNTIF($B$18:B232,B232)&amp;CHOOSE(MIN(4,COUNTIF($B$18:B232,B232)),"st","nd","rd","th"),"")</f>
        <v/>
      </c>
    </row>
    <row r="233" spans="10:10" x14ac:dyDescent="0.25">
      <c r="J233" s="164" t="str">
        <f>IFERROR(COUNTIF($B$18:B233,B233)&amp;CHOOSE(MIN(4,COUNTIF($B$18:B233,B233)),"st","nd","rd","th"),"")</f>
        <v/>
      </c>
    </row>
    <row r="234" spans="10:10" x14ac:dyDescent="0.25">
      <c r="J234" s="164" t="str">
        <f>IFERROR(COUNTIF($B$18:B234,B234)&amp;CHOOSE(MIN(4,COUNTIF($B$18:B234,B234)),"st","nd","rd","th"),"")</f>
        <v/>
      </c>
    </row>
    <row r="235" spans="10:10" x14ac:dyDescent="0.25">
      <c r="J235" s="164" t="str">
        <f>IFERROR(COUNTIF($B$18:B235,B235)&amp;CHOOSE(MIN(4,COUNTIF($B$18:B235,B235)),"st","nd","rd","th"),"")</f>
        <v/>
      </c>
    </row>
    <row r="236" spans="10:10" x14ac:dyDescent="0.25">
      <c r="J236" s="164" t="str">
        <f>IFERROR(COUNTIF($B$18:B236,B236)&amp;CHOOSE(MIN(4,COUNTIF($B$18:B236,B236)),"st","nd","rd","th"),"")</f>
        <v/>
      </c>
    </row>
    <row r="237" spans="10:10" x14ac:dyDescent="0.25">
      <c r="J237" s="164" t="str">
        <f>IFERROR(COUNTIF($B$18:B237,B237)&amp;CHOOSE(MIN(4,COUNTIF($B$18:B237,B237)),"st","nd","rd","th"),"")</f>
        <v/>
      </c>
    </row>
    <row r="238" spans="10:10" x14ac:dyDescent="0.25">
      <c r="J238" s="164" t="str">
        <f>IFERROR(COUNTIF($B$18:B238,B238)&amp;CHOOSE(MIN(4,COUNTIF($B$18:B238,B238)),"st","nd","rd","th"),"")</f>
        <v/>
      </c>
    </row>
    <row r="239" spans="10:10" x14ac:dyDescent="0.25">
      <c r="J239" s="164" t="str">
        <f>IFERROR(COUNTIF($B$18:B239,B239)&amp;CHOOSE(MIN(4,COUNTIF($B$18:B239,B239)),"st","nd","rd","th"),"")</f>
        <v/>
      </c>
    </row>
    <row r="240" spans="10:10" x14ac:dyDescent="0.25">
      <c r="J240" s="164" t="str">
        <f>IFERROR(COUNTIF($B$18:B240,B240)&amp;CHOOSE(MIN(4,COUNTIF($B$18:B240,B240)),"st","nd","rd","th"),"")</f>
        <v/>
      </c>
    </row>
    <row r="241" spans="10:10" x14ac:dyDescent="0.25">
      <c r="J241" s="164" t="str">
        <f>IFERROR(COUNTIF($B$18:B241,B241)&amp;CHOOSE(MIN(4,COUNTIF($B$18:B241,B241)),"st","nd","rd","th"),"")</f>
        <v/>
      </c>
    </row>
    <row r="242" spans="10:10" x14ac:dyDescent="0.25">
      <c r="J242" s="164" t="str">
        <f>IFERROR(COUNTIF($B$18:B242,B242)&amp;CHOOSE(MIN(4,COUNTIF($B$18:B242,B242)),"st","nd","rd","th"),"")</f>
        <v/>
      </c>
    </row>
    <row r="243" spans="10:10" x14ac:dyDescent="0.25">
      <c r="J243" s="164" t="str">
        <f>IFERROR(COUNTIF($B$18:B243,B243)&amp;CHOOSE(MIN(4,COUNTIF($B$18:B243,B243)),"st","nd","rd","th"),"")</f>
        <v/>
      </c>
    </row>
    <row r="244" spans="10:10" x14ac:dyDescent="0.25">
      <c r="J244" s="164" t="str">
        <f>IFERROR(COUNTIF($B$18:B244,B244)&amp;CHOOSE(MIN(4,COUNTIF($B$18:B244,B244)),"st","nd","rd","th"),"")</f>
        <v/>
      </c>
    </row>
    <row r="245" spans="10:10" x14ac:dyDescent="0.25">
      <c r="J245" s="164" t="str">
        <f>IFERROR(COUNTIF($B$18:B245,B245)&amp;CHOOSE(MIN(4,COUNTIF($B$18:B245,B245)),"st","nd","rd","th"),"")</f>
        <v/>
      </c>
    </row>
    <row r="246" spans="10:10" x14ac:dyDescent="0.25">
      <c r="J246" s="164" t="str">
        <f>IFERROR(COUNTIF($B$18:B246,B246)&amp;CHOOSE(MIN(4,COUNTIF($B$18:B246,B246)),"st","nd","rd","th"),"")</f>
        <v/>
      </c>
    </row>
    <row r="247" spans="10:10" x14ac:dyDescent="0.25">
      <c r="J247" s="164" t="str">
        <f>IFERROR(COUNTIF($B$18:B247,B247)&amp;CHOOSE(MIN(4,COUNTIF($B$18:B247,B247)),"st","nd","rd","th"),"")</f>
        <v/>
      </c>
    </row>
    <row r="248" spans="10:10" x14ac:dyDescent="0.25">
      <c r="J248" s="164" t="str">
        <f>IFERROR(COUNTIF($B$18:B248,B248)&amp;CHOOSE(MIN(4,COUNTIF($B$18:B248,B248)),"st","nd","rd","th"),"")</f>
        <v/>
      </c>
    </row>
    <row r="249" spans="10:10" x14ac:dyDescent="0.25">
      <c r="J249" s="164" t="str">
        <f>IFERROR(COUNTIF($B$18:B249,B249)&amp;CHOOSE(MIN(4,COUNTIF($B$18:B249,B249)),"st","nd","rd","th"),"")</f>
        <v/>
      </c>
    </row>
    <row r="250" spans="10:10" x14ac:dyDescent="0.25">
      <c r="J250" s="164" t="str">
        <f>IFERROR(COUNTIF($B$18:B250,B250)&amp;CHOOSE(MIN(4,COUNTIF($B$18:B250,B250)),"st","nd","rd","th"),"")</f>
        <v/>
      </c>
    </row>
    <row r="251" spans="10:10" x14ac:dyDescent="0.25">
      <c r="J251" s="164" t="str">
        <f>IFERROR(COUNTIF($B$18:B251,B251)&amp;CHOOSE(MIN(4,COUNTIF($B$18:B251,B251)),"st","nd","rd","th"),"")</f>
        <v/>
      </c>
    </row>
    <row r="252" spans="10:10" x14ac:dyDescent="0.25">
      <c r="J252" s="164" t="str">
        <f>IFERROR(COUNTIF($B$18:B252,B252)&amp;CHOOSE(MIN(4,COUNTIF($B$18:B252,B252)),"st","nd","rd","th"),"")</f>
        <v/>
      </c>
    </row>
    <row r="253" spans="10:10" x14ac:dyDescent="0.25">
      <c r="J253" s="164" t="str">
        <f>IFERROR(COUNTIF($B$18:B253,B253)&amp;CHOOSE(MIN(4,COUNTIF($B$18:B253,B253)),"st","nd","rd","th"),"")</f>
        <v/>
      </c>
    </row>
    <row r="254" spans="10:10" x14ac:dyDescent="0.25">
      <c r="J254" s="164" t="str">
        <f>IFERROR(COUNTIF($B$18:B254,B254)&amp;CHOOSE(MIN(4,COUNTIF($B$18:B254,B254)),"st","nd","rd","th"),"")</f>
        <v/>
      </c>
    </row>
    <row r="255" spans="10:10" x14ac:dyDescent="0.25">
      <c r="J255" s="164" t="str">
        <f>IFERROR(COUNTIF($B$18:B255,B255)&amp;CHOOSE(MIN(4,COUNTIF($B$18:B255,B255)),"st","nd","rd","th"),"")</f>
        <v/>
      </c>
    </row>
    <row r="256" spans="10:10" x14ac:dyDescent="0.25">
      <c r="J256" s="164" t="str">
        <f>IFERROR(COUNTIF($B$18:B256,B256)&amp;CHOOSE(MIN(4,COUNTIF($B$18:B256,B256)),"st","nd","rd","th"),"")</f>
        <v/>
      </c>
    </row>
    <row r="257" spans="10:10" x14ac:dyDescent="0.25">
      <c r="J257" s="164" t="str">
        <f>IFERROR(COUNTIF($B$18:B257,B257)&amp;CHOOSE(MIN(4,COUNTIF($B$18:B257,B257)),"st","nd","rd","th"),"")</f>
        <v/>
      </c>
    </row>
    <row r="258" spans="10:10" x14ac:dyDescent="0.25">
      <c r="J258" s="164" t="str">
        <f>IFERROR(COUNTIF($B$18:B258,B258)&amp;CHOOSE(MIN(4,COUNTIF($B$18:B258,B258)),"st","nd","rd","th"),"")</f>
        <v/>
      </c>
    </row>
    <row r="259" spans="10:10" x14ac:dyDescent="0.25">
      <c r="J259" s="164" t="str">
        <f>IFERROR(COUNTIF($B$18:B259,B259)&amp;CHOOSE(MIN(4,COUNTIF($B$18:B259,B259)),"st","nd","rd","th"),"")</f>
        <v/>
      </c>
    </row>
    <row r="260" spans="10:10" x14ac:dyDescent="0.25">
      <c r="J260" s="164" t="str">
        <f>IFERROR(COUNTIF($B$18:B260,B260)&amp;CHOOSE(MIN(4,COUNTIF($B$18:B260,B260)),"st","nd","rd","th"),"")</f>
        <v/>
      </c>
    </row>
    <row r="261" spans="10:10" x14ac:dyDescent="0.25">
      <c r="J261" s="164" t="str">
        <f>IFERROR(COUNTIF($B$18:B261,B261)&amp;CHOOSE(MIN(4,COUNTIF($B$18:B261,B261)),"st","nd","rd","th"),"")</f>
        <v/>
      </c>
    </row>
    <row r="262" spans="10:10" x14ac:dyDescent="0.25">
      <c r="J262" s="164" t="str">
        <f>IFERROR(COUNTIF($B$18:B262,B262)&amp;CHOOSE(MIN(4,COUNTIF($B$18:B262,B262)),"st","nd","rd","th"),"")</f>
        <v/>
      </c>
    </row>
    <row r="263" spans="10:10" x14ac:dyDescent="0.25">
      <c r="J263" s="164" t="str">
        <f>IFERROR(COUNTIF($B$18:B263,B263)&amp;CHOOSE(MIN(4,COUNTIF($B$18:B263,B263)),"st","nd","rd","th"),"")</f>
        <v/>
      </c>
    </row>
    <row r="264" spans="10:10" x14ac:dyDescent="0.25">
      <c r="J264" s="164" t="str">
        <f>IFERROR(COUNTIF($B$18:B264,B264)&amp;CHOOSE(MIN(4,COUNTIF($B$18:B264,B264)),"st","nd","rd","th"),"")</f>
        <v/>
      </c>
    </row>
    <row r="265" spans="10:10" x14ac:dyDescent="0.25">
      <c r="J265" s="164" t="str">
        <f>IFERROR(COUNTIF($B$18:B265,B265)&amp;CHOOSE(MIN(4,COUNTIF($B$18:B265,B265)),"st","nd","rd","th"),"")</f>
        <v/>
      </c>
    </row>
    <row r="266" spans="10:10" x14ac:dyDescent="0.25">
      <c r="J266" s="164" t="str">
        <f>IFERROR(COUNTIF($B$18:B266,B266)&amp;CHOOSE(MIN(4,COUNTIF($B$18:B266,B266)),"st","nd","rd","th"),"")</f>
        <v/>
      </c>
    </row>
    <row r="267" spans="10:10" x14ac:dyDescent="0.25">
      <c r="J267" s="164" t="str">
        <f>IFERROR(COUNTIF($B$18:B267,B267)&amp;CHOOSE(MIN(4,COUNTIF($B$18:B267,B267)),"st","nd","rd","th"),"")</f>
        <v/>
      </c>
    </row>
    <row r="268" spans="10:10" x14ac:dyDescent="0.25">
      <c r="J268" s="164" t="str">
        <f>IFERROR(COUNTIF($B$18:B268,B268)&amp;CHOOSE(MIN(4,COUNTIF($B$18:B268,B268)),"st","nd","rd","th"),"")</f>
        <v/>
      </c>
    </row>
    <row r="269" spans="10:10" x14ac:dyDescent="0.25">
      <c r="J269" s="164" t="str">
        <f>IFERROR(COUNTIF($B$18:B269,B269)&amp;CHOOSE(MIN(4,COUNTIF($B$18:B269,B269)),"st","nd","rd","th"),"")</f>
        <v/>
      </c>
    </row>
    <row r="270" spans="10:10" x14ac:dyDescent="0.25">
      <c r="J270" s="164" t="str">
        <f>IFERROR(COUNTIF($B$18:B270,B270)&amp;CHOOSE(MIN(4,COUNTIF($B$18:B270,B270)),"st","nd","rd","th"),"")</f>
        <v/>
      </c>
    </row>
    <row r="271" spans="10:10" x14ac:dyDescent="0.25">
      <c r="J271" s="164" t="str">
        <f>IFERROR(COUNTIF($B$18:B271,B271)&amp;CHOOSE(MIN(4,COUNTIF($B$18:B271,B271)),"st","nd","rd","th"),"")</f>
        <v/>
      </c>
    </row>
    <row r="272" spans="10:10" x14ac:dyDescent="0.25">
      <c r="J272" s="164" t="str">
        <f>IFERROR(COUNTIF($B$18:B272,B272)&amp;CHOOSE(MIN(4,COUNTIF($B$18:B272,B272)),"st","nd","rd","th"),"")</f>
        <v/>
      </c>
    </row>
    <row r="273" spans="10:10" x14ac:dyDescent="0.25">
      <c r="J273" s="164" t="str">
        <f>IFERROR(COUNTIF($B$18:B273,B273)&amp;CHOOSE(MIN(4,COUNTIF($B$18:B273,B273)),"st","nd","rd","th"),"")</f>
        <v/>
      </c>
    </row>
    <row r="274" spans="10:10" x14ac:dyDescent="0.25">
      <c r="J274" s="164" t="str">
        <f>IFERROR(COUNTIF($B$18:B274,B274)&amp;CHOOSE(MIN(4,COUNTIF($B$18:B274,B274)),"st","nd","rd","th"),"")</f>
        <v/>
      </c>
    </row>
    <row r="275" spans="10:10" x14ac:dyDescent="0.25">
      <c r="J275" s="164" t="str">
        <f>IFERROR(COUNTIF($B$18:B275,B275)&amp;CHOOSE(MIN(4,COUNTIF($B$18:B275,B275)),"st","nd","rd","th"),"")</f>
        <v/>
      </c>
    </row>
    <row r="276" spans="10:10" x14ac:dyDescent="0.25">
      <c r="J276" s="164" t="str">
        <f>IFERROR(COUNTIF($B$18:B276,B276)&amp;CHOOSE(MIN(4,COUNTIF($B$18:B276,B276)),"st","nd","rd","th"),"")</f>
        <v/>
      </c>
    </row>
    <row r="277" spans="10:10" x14ac:dyDescent="0.25">
      <c r="J277" s="164" t="str">
        <f>IFERROR(COUNTIF($B$18:B277,B277)&amp;CHOOSE(MIN(4,COUNTIF($B$18:B277,B277)),"st","nd","rd","th"),"")</f>
        <v/>
      </c>
    </row>
    <row r="278" spans="10:10" x14ac:dyDescent="0.25">
      <c r="J278" s="164" t="str">
        <f>IFERROR(COUNTIF($B$18:B278,B278)&amp;CHOOSE(MIN(4,COUNTIF($B$18:B278,B278)),"st","nd","rd","th"),"")</f>
        <v/>
      </c>
    </row>
    <row r="279" spans="10:10" x14ac:dyDescent="0.25">
      <c r="J279" s="164" t="str">
        <f>IFERROR(COUNTIF($B$18:B279,B279)&amp;CHOOSE(MIN(4,COUNTIF($B$18:B279,B279)),"st","nd","rd","th"),"")</f>
        <v/>
      </c>
    </row>
    <row r="280" spans="10:10" x14ac:dyDescent="0.25">
      <c r="J280" s="164" t="str">
        <f>IFERROR(COUNTIF($B$18:B280,B280)&amp;CHOOSE(MIN(4,COUNTIF($B$18:B280,B280)),"st","nd","rd","th"),"")</f>
        <v/>
      </c>
    </row>
    <row r="281" spans="10:10" x14ac:dyDescent="0.25">
      <c r="J281" s="164" t="str">
        <f>IFERROR(COUNTIF($B$18:B281,B281)&amp;CHOOSE(MIN(4,COUNTIF($B$18:B281,B281)),"st","nd","rd","th"),"")</f>
        <v/>
      </c>
    </row>
    <row r="282" spans="10:10" x14ac:dyDescent="0.25">
      <c r="J282" s="164" t="str">
        <f>IFERROR(COUNTIF($B$18:B282,B282)&amp;CHOOSE(MIN(4,COUNTIF($B$18:B282,B282)),"st","nd","rd","th"),"")</f>
        <v/>
      </c>
    </row>
    <row r="283" spans="10:10" x14ac:dyDescent="0.25">
      <c r="J283" s="164" t="str">
        <f>IFERROR(COUNTIF($B$18:B283,B283)&amp;CHOOSE(MIN(4,COUNTIF($B$18:B283,B283)),"st","nd","rd","th"),"")</f>
        <v/>
      </c>
    </row>
    <row r="284" spans="10:10" x14ac:dyDescent="0.25">
      <c r="J284" s="164" t="str">
        <f>IFERROR(COUNTIF($B$18:B284,B284)&amp;CHOOSE(MIN(4,COUNTIF($B$18:B284,B284)),"st","nd","rd","th"),"")</f>
        <v/>
      </c>
    </row>
    <row r="285" spans="10:10" x14ac:dyDescent="0.25">
      <c r="J285" s="164" t="str">
        <f>IFERROR(COUNTIF($B$18:B285,B285)&amp;CHOOSE(MIN(4,COUNTIF($B$18:B285,B285)),"st","nd","rd","th"),"")</f>
        <v/>
      </c>
    </row>
    <row r="286" spans="10:10" x14ac:dyDescent="0.25">
      <c r="J286" s="164" t="str">
        <f>IFERROR(COUNTIF($B$18:B286,B286)&amp;CHOOSE(MIN(4,COUNTIF($B$18:B286,B286)),"st","nd","rd","th"),"")</f>
        <v/>
      </c>
    </row>
    <row r="287" spans="10:10" x14ac:dyDescent="0.25">
      <c r="J287" s="164" t="str">
        <f>IFERROR(COUNTIF($B$18:B287,B287)&amp;CHOOSE(MIN(4,COUNTIF($B$18:B287,B287)),"st","nd","rd","th"),"")</f>
        <v/>
      </c>
    </row>
    <row r="288" spans="10:10" x14ac:dyDescent="0.25">
      <c r="J288" s="164" t="str">
        <f>IFERROR(COUNTIF($B$18:B288,B288)&amp;CHOOSE(MIN(4,COUNTIF($B$18:B288,B288)),"st","nd","rd","th"),"")</f>
        <v/>
      </c>
    </row>
    <row r="289" spans="10:10" x14ac:dyDescent="0.25">
      <c r="J289" s="164" t="str">
        <f>IFERROR(COUNTIF($B$18:B289,B289)&amp;CHOOSE(MIN(4,COUNTIF($B$18:B289,B289)),"st","nd","rd","th"),"")</f>
        <v/>
      </c>
    </row>
    <row r="290" spans="10:10" x14ac:dyDescent="0.25">
      <c r="J290" s="164" t="str">
        <f>IFERROR(COUNTIF($B$18:B290,B290)&amp;CHOOSE(MIN(4,COUNTIF($B$18:B290,B290)),"st","nd","rd","th"),"")</f>
        <v/>
      </c>
    </row>
    <row r="291" spans="10:10" x14ac:dyDescent="0.25">
      <c r="J291" s="164" t="str">
        <f>IFERROR(COUNTIF($B$18:B291,B291)&amp;CHOOSE(MIN(4,COUNTIF($B$18:B291,B291)),"st","nd","rd","th"),"")</f>
        <v/>
      </c>
    </row>
    <row r="292" spans="10:10" x14ac:dyDescent="0.25">
      <c r="J292" s="164" t="str">
        <f>IFERROR(COUNTIF($B$18:B292,B292)&amp;CHOOSE(MIN(4,COUNTIF($B$18:B292,B292)),"st","nd","rd","th"),"")</f>
        <v/>
      </c>
    </row>
    <row r="293" spans="10:10" x14ac:dyDescent="0.25">
      <c r="J293" s="164" t="str">
        <f>IFERROR(COUNTIF($B$18:B293,B293)&amp;CHOOSE(MIN(4,COUNTIF($B$18:B293,B293)),"st","nd","rd","th"),"")</f>
        <v/>
      </c>
    </row>
    <row r="294" spans="10:10" x14ac:dyDescent="0.25">
      <c r="J294" s="164" t="str">
        <f>IFERROR(COUNTIF($B$18:B294,B294)&amp;CHOOSE(MIN(4,COUNTIF($B$18:B294,B294)),"st","nd","rd","th"),"")</f>
        <v/>
      </c>
    </row>
    <row r="295" spans="10:10" x14ac:dyDescent="0.25">
      <c r="J295" s="164" t="str">
        <f>IFERROR(COUNTIF($B$18:B295,B295)&amp;CHOOSE(MIN(4,COUNTIF($B$18:B295,B295)),"st","nd","rd","th"),"")</f>
        <v/>
      </c>
    </row>
    <row r="296" spans="10:10" x14ac:dyDescent="0.25">
      <c r="J296" s="164" t="str">
        <f>IFERROR(COUNTIF($B$18:B296,B296)&amp;CHOOSE(MIN(4,COUNTIF($B$18:B296,B296)),"st","nd","rd","th"),"")</f>
        <v/>
      </c>
    </row>
    <row r="297" spans="10:10" x14ac:dyDescent="0.25">
      <c r="J297" s="164" t="str">
        <f>IFERROR(COUNTIF($B$18:B297,B297)&amp;CHOOSE(MIN(4,COUNTIF($B$18:B297,B297)),"st","nd","rd","th"),"")</f>
        <v/>
      </c>
    </row>
    <row r="298" spans="10:10" x14ac:dyDescent="0.25">
      <c r="J298" s="164" t="str">
        <f>IFERROR(COUNTIF($B$18:B298,B298)&amp;CHOOSE(MIN(4,COUNTIF($B$18:B298,B298)),"st","nd","rd","th"),"")</f>
        <v/>
      </c>
    </row>
    <row r="299" spans="10:10" x14ac:dyDescent="0.25">
      <c r="J299" s="164" t="str">
        <f>IFERROR(COUNTIF($B$18:B299,B299)&amp;CHOOSE(MIN(4,COUNTIF($B$18:B299,B299)),"st","nd","rd","th"),"")</f>
        <v/>
      </c>
    </row>
    <row r="300" spans="10:10" x14ac:dyDescent="0.25">
      <c r="J300" s="164" t="str">
        <f>IFERROR(COUNTIF($B$18:B300,B300)&amp;CHOOSE(MIN(4,COUNTIF($B$18:B300,B300)),"st","nd","rd","th"),"")</f>
        <v/>
      </c>
    </row>
    <row r="301" spans="10:10" x14ac:dyDescent="0.25">
      <c r="J301" s="164" t="str">
        <f>IFERROR(COUNTIF($B$18:B301,B301)&amp;CHOOSE(MIN(4,COUNTIF($B$18:B301,B301)),"st","nd","rd","th"),"")</f>
        <v/>
      </c>
    </row>
    <row r="302" spans="10:10" x14ac:dyDescent="0.25">
      <c r="J302" s="164" t="str">
        <f>IFERROR(COUNTIF($B$18:B302,B302)&amp;CHOOSE(MIN(4,COUNTIF($B$18:B302,B302)),"st","nd","rd","th"),"")</f>
        <v/>
      </c>
    </row>
    <row r="303" spans="10:10" x14ac:dyDescent="0.25">
      <c r="J303" s="164" t="str">
        <f>IFERROR(COUNTIF($B$18:B303,B303)&amp;CHOOSE(MIN(4,COUNTIF($B$18:B303,B303)),"st","nd","rd","th"),"")</f>
        <v/>
      </c>
    </row>
    <row r="304" spans="10:10" x14ac:dyDescent="0.25">
      <c r="J304" s="164" t="str">
        <f>IFERROR(COUNTIF($B$18:B304,B304)&amp;CHOOSE(MIN(4,COUNTIF($B$18:B304,B304)),"st","nd","rd","th"),"")</f>
        <v/>
      </c>
    </row>
    <row r="305" spans="10:10" x14ac:dyDescent="0.25">
      <c r="J305" s="164" t="str">
        <f>IFERROR(COUNTIF($B$18:B305,B305)&amp;CHOOSE(MIN(4,COUNTIF($B$18:B305,B305)),"st","nd","rd","th"),"")</f>
        <v/>
      </c>
    </row>
    <row r="306" spans="10:10" x14ac:dyDescent="0.25">
      <c r="J306" s="164" t="str">
        <f>IFERROR(COUNTIF($B$18:B306,B306)&amp;CHOOSE(MIN(4,COUNTIF($B$18:B306,B306)),"st","nd","rd","th"),"")</f>
        <v/>
      </c>
    </row>
    <row r="307" spans="10:10" x14ac:dyDescent="0.25">
      <c r="J307" s="164" t="str">
        <f>IFERROR(COUNTIF($B$18:B307,B307)&amp;CHOOSE(MIN(4,COUNTIF($B$18:B307,B307)),"st","nd","rd","th"),"")</f>
        <v/>
      </c>
    </row>
    <row r="308" spans="10:10" x14ac:dyDescent="0.25">
      <c r="J308" s="164" t="str">
        <f>IFERROR(COUNTIF($B$18:B308,B308)&amp;CHOOSE(MIN(4,COUNTIF($B$18:B308,B308)),"st","nd","rd","th"),"")</f>
        <v/>
      </c>
    </row>
    <row r="309" spans="10:10" x14ac:dyDescent="0.25">
      <c r="J309" s="164" t="str">
        <f>IFERROR(COUNTIF($B$18:B309,B309)&amp;CHOOSE(MIN(4,COUNTIF($B$18:B309,B309)),"st","nd","rd","th"),"")</f>
        <v/>
      </c>
    </row>
    <row r="310" spans="10:10" x14ac:dyDescent="0.25">
      <c r="J310" s="164" t="str">
        <f>IFERROR(COUNTIF($B$18:B310,B310)&amp;CHOOSE(MIN(4,COUNTIF($B$18:B310,B310)),"st","nd","rd","th"),"")</f>
        <v/>
      </c>
    </row>
    <row r="311" spans="10:10" x14ac:dyDescent="0.25">
      <c r="J311" s="164" t="str">
        <f>IFERROR(COUNTIF($B$18:B311,B311)&amp;CHOOSE(MIN(4,COUNTIF($B$18:B311,B311)),"st","nd","rd","th"),"")</f>
        <v/>
      </c>
    </row>
    <row r="312" spans="10:10" x14ac:dyDescent="0.25">
      <c r="J312" s="164" t="str">
        <f>IFERROR(COUNTIF($B$18:B312,B312)&amp;CHOOSE(MIN(4,COUNTIF($B$18:B312,B312)),"st","nd","rd","th"),"")</f>
        <v/>
      </c>
    </row>
    <row r="313" spans="10:10" x14ac:dyDescent="0.25">
      <c r="J313" s="164" t="str">
        <f>IFERROR(COUNTIF($B$18:B313,B313)&amp;CHOOSE(MIN(4,COUNTIF($B$18:B313,B313)),"st","nd","rd","th"),"")</f>
        <v/>
      </c>
    </row>
    <row r="314" spans="10:10" x14ac:dyDescent="0.25">
      <c r="J314" s="164" t="str">
        <f>IFERROR(COUNTIF($B$18:B314,B314)&amp;CHOOSE(MIN(4,COUNTIF($B$18:B314,B314)),"st","nd","rd","th"),"")</f>
        <v/>
      </c>
    </row>
    <row r="315" spans="10:10" x14ac:dyDescent="0.25">
      <c r="J315" s="164" t="str">
        <f>IFERROR(COUNTIF($B$18:B315,B315)&amp;CHOOSE(MIN(4,COUNTIF($B$18:B315,B315)),"st","nd","rd","th"),"")</f>
        <v/>
      </c>
    </row>
    <row r="316" spans="10:10" x14ac:dyDescent="0.25">
      <c r="J316" s="164" t="str">
        <f>IFERROR(COUNTIF($B$18:B316,B316)&amp;CHOOSE(MIN(4,COUNTIF($B$18:B316,B316)),"st","nd","rd","th"),"")</f>
        <v/>
      </c>
    </row>
    <row r="317" spans="10:10" x14ac:dyDescent="0.25">
      <c r="J317" s="164" t="str">
        <f>IFERROR(COUNTIF($B$18:B317,B317)&amp;CHOOSE(MIN(4,COUNTIF($B$18:B317,B317)),"st","nd","rd","th"),"")</f>
        <v/>
      </c>
    </row>
    <row r="318" spans="10:10" x14ac:dyDescent="0.25">
      <c r="J318" s="164" t="str">
        <f>IFERROR(COUNTIF($B$18:B318,B318)&amp;CHOOSE(MIN(4,COUNTIF($B$18:B318,B318)),"st","nd","rd","th"),"")</f>
        <v/>
      </c>
    </row>
    <row r="319" spans="10:10" x14ac:dyDescent="0.25">
      <c r="J319" s="164" t="str">
        <f>IFERROR(COUNTIF($B$18:B319,B319)&amp;CHOOSE(MIN(4,COUNTIF($B$18:B319,B319)),"st","nd","rd","th"),"")</f>
        <v/>
      </c>
    </row>
    <row r="320" spans="10:10" x14ac:dyDescent="0.25">
      <c r="J320" s="164" t="str">
        <f>IFERROR(COUNTIF($B$18:B320,B320)&amp;CHOOSE(MIN(4,COUNTIF($B$18:B320,B320)),"st","nd","rd","th"),"")</f>
        <v/>
      </c>
    </row>
    <row r="321" spans="10:10" x14ac:dyDescent="0.25">
      <c r="J321" s="164" t="str">
        <f>IFERROR(COUNTIF($B$18:B321,B321)&amp;CHOOSE(MIN(4,COUNTIF($B$18:B321,B321)),"st","nd","rd","th"),"")</f>
        <v/>
      </c>
    </row>
    <row r="322" spans="10:10" x14ac:dyDescent="0.25">
      <c r="J322" s="164" t="str">
        <f>IFERROR(COUNTIF($B$18:B322,B322)&amp;CHOOSE(MIN(4,COUNTIF($B$18:B322,B322)),"st","nd","rd","th"),"")</f>
        <v/>
      </c>
    </row>
    <row r="323" spans="10:10" x14ac:dyDescent="0.25">
      <c r="J323" s="164" t="str">
        <f>IFERROR(COUNTIF($B$18:B323,B323)&amp;CHOOSE(MIN(4,COUNTIF($B$18:B323,B323)),"st","nd","rd","th"),"")</f>
        <v/>
      </c>
    </row>
    <row r="324" spans="10:10" x14ac:dyDescent="0.25">
      <c r="J324" s="164" t="str">
        <f>IFERROR(COUNTIF($B$18:B324,B324)&amp;CHOOSE(MIN(4,COUNTIF($B$18:B324,B324)),"st","nd","rd","th"),"")</f>
        <v/>
      </c>
    </row>
    <row r="325" spans="10:10" x14ac:dyDescent="0.25">
      <c r="J325" s="164" t="str">
        <f>IFERROR(COUNTIF($B$18:B325,B325)&amp;CHOOSE(MIN(4,COUNTIF($B$18:B325,B325)),"st","nd","rd","th"),"")</f>
        <v/>
      </c>
    </row>
    <row r="326" spans="10:10" x14ac:dyDescent="0.25">
      <c r="J326" s="164" t="str">
        <f>IFERROR(COUNTIF($B$18:B326,B326)&amp;CHOOSE(MIN(4,COUNTIF($B$18:B326,B326)),"st","nd","rd","th"),"")</f>
        <v/>
      </c>
    </row>
    <row r="327" spans="10:10" x14ac:dyDescent="0.25">
      <c r="J327" s="164" t="str">
        <f>IFERROR(COUNTIF($B$18:B327,B327)&amp;CHOOSE(MIN(4,COUNTIF($B$18:B327,B327)),"st","nd","rd","th"),"")</f>
        <v/>
      </c>
    </row>
    <row r="328" spans="10:10" x14ac:dyDescent="0.25">
      <c r="J328" s="164" t="str">
        <f>IFERROR(COUNTIF($B$18:B328,B328)&amp;CHOOSE(MIN(4,COUNTIF($B$18:B328,B328)),"st","nd","rd","th"),"")</f>
        <v/>
      </c>
    </row>
    <row r="329" spans="10:10" x14ac:dyDescent="0.25">
      <c r="J329" s="164" t="str">
        <f>IFERROR(COUNTIF($B$18:B329,B329)&amp;CHOOSE(MIN(4,COUNTIF($B$18:B329,B329)),"st","nd","rd","th"),"")</f>
        <v/>
      </c>
    </row>
    <row r="330" spans="10:10" x14ac:dyDescent="0.25">
      <c r="J330" s="164" t="str">
        <f>IFERROR(COUNTIF($B$18:B330,B330)&amp;CHOOSE(MIN(4,COUNTIF($B$18:B330,B330)),"st","nd","rd","th"),"")</f>
        <v/>
      </c>
    </row>
    <row r="331" spans="10:10" x14ac:dyDescent="0.25">
      <c r="J331" s="164" t="str">
        <f>IFERROR(COUNTIF($B$18:B331,B331)&amp;CHOOSE(MIN(4,COUNTIF($B$18:B331,B331)),"st","nd","rd","th"),"")</f>
        <v/>
      </c>
    </row>
    <row r="332" spans="10:10" x14ac:dyDescent="0.25">
      <c r="J332" s="164" t="str">
        <f>IFERROR(COUNTIF($B$18:B332,B332)&amp;CHOOSE(MIN(4,COUNTIF($B$18:B332,B332)),"st","nd","rd","th"),"")</f>
        <v/>
      </c>
    </row>
    <row r="333" spans="10:10" x14ac:dyDescent="0.25">
      <c r="J333" s="164" t="str">
        <f>IFERROR(COUNTIF($B$18:B333,B333)&amp;CHOOSE(MIN(4,COUNTIF($B$18:B333,B333)),"st","nd","rd","th"),"")</f>
        <v/>
      </c>
    </row>
    <row r="334" spans="10:10" x14ac:dyDescent="0.25">
      <c r="J334" s="164" t="str">
        <f>IFERROR(COUNTIF($B$18:B334,B334)&amp;CHOOSE(MIN(4,COUNTIF($B$18:B334,B334)),"st","nd","rd","th"),"")</f>
        <v/>
      </c>
    </row>
    <row r="335" spans="10:10" x14ac:dyDescent="0.25">
      <c r="J335" s="164" t="str">
        <f>IFERROR(COUNTIF($B$18:B335,B335)&amp;CHOOSE(MIN(4,COUNTIF($B$18:B335,B335)),"st","nd","rd","th"),"")</f>
        <v/>
      </c>
    </row>
    <row r="336" spans="10:10" x14ac:dyDescent="0.25">
      <c r="J336" s="164" t="str">
        <f>IFERROR(COUNTIF($B$18:B336,B336)&amp;CHOOSE(MIN(4,COUNTIF($B$18:B336,B336)),"st","nd","rd","th"),"")</f>
        <v/>
      </c>
    </row>
    <row r="337" spans="10:10" x14ac:dyDescent="0.25">
      <c r="J337" s="164" t="str">
        <f>IFERROR(COUNTIF($B$18:B337,B337)&amp;CHOOSE(MIN(4,COUNTIF($B$18:B337,B337)),"st","nd","rd","th"),"")</f>
        <v/>
      </c>
    </row>
    <row r="338" spans="10:10" x14ac:dyDescent="0.25">
      <c r="J338" s="164" t="str">
        <f>IFERROR(COUNTIF($B$18:B338,B338)&amp;CHOOSE(MIN(4,COUNTIF($B$18:B338,B338)),"st","nd","rd","th"),"")</f>
        <v/>
      </c>
    </row>
    <row r="339" spans="10:10" x14ac:dyDescent="0.25">
      <c r="J339" s="164" t="str">
        <f>IFERROR(COUNTIF($B$18:B339,B339)&amp;CHOOSE(MIN(4,COUNTIF($B$18:B339,B339)),"st","nd","rd","th"),"")</f>
        <v/>
      </c>
    </row>
    <row r="340" spans="10:10" x14ac:dyDescent="0.25">
      <c r="J340" s="164" t="str">
        <f>IFERROR(COUNTIF($B$18:B340,B340)&amp;CHOOSE(MIN(4,COUNTIF($B$18:B340,B340)),"st","nd","rd","th"),"")</f>
        <v/>
      </c>
    </row>
    <row r="341" spans="10:10" x14ac:dyDescent="0.25">
      <c r="J341" s="164" t="str">
        <f>IFERROR(COUNTIF($B$18:B341,B341)&amp;CHOOSE(MIN(4,COUNTIF($B$18:B341,B341)),"st","nd","rd","th"),"")</f>
        <v/>
      </c>
    </row>
    <row r="342" spans="10:10" x14ac:dyDescent="0.25">
      <c r="J342" s="164" t="str">
        <f>IFERROR(COUNTIF($B$18:B342,B342)&amp;CHOOSE(MIN(4,COUNTIF($B$18:B342,B342)),"st","nd","rd","th"),"")</f>
        <v/>
      </c>
    </row>
    <row r="343" spans="10:10" x14ac:dyDescent="0.25">
      <c r="J343" s="164" t="str">
        <f>IFERROR(COUNTIF($B$18:B343,B343)&amp;CHOOSE(MIN(4,COUNTIF($B$18:B343,B343)),"st","nd","rd","th"),"")</f>
        <v/>
      </c>
    </row>
    <row r="344" spans="10:10" x14ac:dyDescent="0.25">
      <c r="J344" s="164" t="str">
        <f>IFERROR(COUNTIF($B$18:B344,B344)&amp;CHOOSE(MIN(4,COUNTIF($B$18:B344,B344)),"st","nd","rd","th"),"")</f>
        <v/>
      </c>
    </row>
    <row r="345" spans="10:10" x14ac:dyDescent="0.25">
      <c r="J345" s="164" t="str">
        <f>IFERROR(COUNTIF($B$18:B345,B345)&amp;CHOOSE(MIN(4,COUNTIF($B$18:B345,B345)),"st","nd","rd","th"),"")</f>
        <v/>
      </c>
    </row>
    <row r="346" spans="10:10" x14ac:dyDescent="0.25">
      <c r="J346" s="164" t="str">
        <f>IFERROR(COUNTIF($B$18:B346,B346)&amp;CHOOSE(MIN(4,COUNTIF($B$18:B346,B346)),"st","nd","rd","th"),"")</f>
        <v/>
      </c>
    </row>
    <row r="347" spans="10:10" x14ac:dyDescent="0.25">
      <c r="J347" s="164" t="str">
        <f>IFERROR(COUNTIF($B$18:B347,B347)&amp;CHOOSE(MIN(4,COUNTIF($B$18:B347,B347)),"st","nd","rd","th"),"")</f>
        <v/>
      </c>
    </row>
    <row r="348" spans="10:10" x14ac:dyDescent="0.25">
      <c r="J348" s="164" t="str">
        <f>IFERROR(COUNTIF($B$18:B348,B348)&amp;CHOOSE(MIN(4,COUNTIF($B$18:B348,B348)),"st","nd","rd","th"),"")</f>
        <v/>
      </c>
    </row>
    <row r="349" spans="10:10" x14ac:dyDescent="0.25">
      <c r="J349" s="164" t="str">
        <f>IFERROR(COUNTIF($B$18:B349,B349)&amp;CHOOSE(MIN(4,COUNTIF($B$18:B349,B349)),"st","nd","rd","th"),"")</f>
        <v/>
      </c>
    </row>
    <row r="350" spans="10:10" x14ac:dyDescent="0.25">
      <c r="J350" s="164" t="str">
        <f>IFERROR(COUNTIF($B$18:B350,B350)&amp;CHOOSE(MIN(4,COUNTIF($B$18:B350,B350)),"st","nd","rd","th"),"")</f>
        <v/>
      </c>
    </row>
    <row r="351" spans="10:10" x14ac:dyDescent="0.25">
      <c r="J351" s="164" t="str">
        <f>IFERROR(COUNTIF($B$18:B351,B351)&amp;CHOOSE(MIN(4,COUNTIF($B$18:B351,B351)),"st","nd","rd","th"),"")</f>
        <v/>
      </c>
    </row>
    <row r="352" spans="10:10" x14ac:dyDescent="0.25">
      <c r="J352" s="164" t="str">
        <f>IFERROR(COUNTIF($B$18:B352,B352)&amp;CHOOSE(MIN(4,COUNTIF($B$18:B352,B352)),"st","nd","rd","th"),"")</f>
        <v/>
      </c>
    </row>
    <row r="353" spans="10:10" x14ac:dyDescent="0.25">
      <c r="J353" s="164" t="str">
        <f>IFERROR(COUNTIF($B$18:B353,B353)&amp;CHOOSE(MIN(4,COUNTIF($B$18:B353,B353)),"st","nd","rd","th"),"")</f>
        <v/>
      </c>
    </row>
    <row r="354" spans="10:10" x14ac:dyDescent="0.25">
      <c r="J354" s="164" t="str">
        <f>IFERROR(COUNTIF($B$18:B354,B354)&amp;CHOOSE(MIN(4,COUNTIF($B$18:B354,B354)),"st","nd","rd","th"),"")</f>
        <v/>
      </c>
    </row>
    <row r="355" spans="10:10" x14ac:dyDescent="0.25">
      <c r="J355" s="164" t="str">
        <f>IFERROR(COUNTIF($B$18:B355,B355)&amp;CHOOSE(MIN(4,COUNTIF($B$18:B355,B355)),"st","nd","rd","th"),"")</f>
        <v/>
      </c>
    </row>
    <row r="356" spans="10:10" x14ac:dyDescent="0.25">
      <c r="J356" s="164" t="str">
        <f>IFERROR(COUNTIF($B$18:B356,B356)&amp;CHOOSE(MIN(4,COUNTIF($B$18:B356,B356)),"st","nd","rd","th"),"")</f>
        <v/>
      </c>
    </row>
    <row r="357" spans="10:10" x14ac:dyDescent="0.25">
      <c r="J357" s="164" t="str">
        <f>IFERROR(COUNTIF($B$18:B357,B357)&amp;CHOOSE(MIN(4,COUNTIF($B$18:B357,B357)),"st","nd","rd","th"),"")</f>
        <v/>
      </c>
    </row>
    <row r="358" spans="10:10" x14ac:dyDescent="0.25">
      <c r="J358" s="164" t="str">
        <f>IFERROR(COUNTIF($B$18:B358,B358)&amp;CHOOSE(MIN(4,COUNTIF($B$18:B358,B358)),"st","nd","rd","th"),"")</f>
        <v/>
      </c>
    </row>
    <row r="359" spans="10:10" x14ac:dyDescent="0.25">
      <c r="J359" s="164" t="str">
        <f>IFERROR(COUNTIF($B$18:B359,B359)&amp;CHOOSE(MIN(4,COUNTIF($B$18:B359,B359)),"st","nd","rd","th"),"")</f>
        <v/>
      </c>
    </row>
    <row r="360" spans="10:10" x14ac:dyDescent="0.25">
      <c r="J360" s="164" t="str">
        <f>IFERROR(COUNTIF($B$18:B360,B360)&amp;CHOOSE(MIN(4,COUNTIF($B$18:B360,B360)),"st","nd","rd","th"),"")</f>
        <v/>
      </c>
    </row>
    <row r="361" spans="10:10" x14ac:dyDescent="0.25">
      <c r="J361" s="164" t="str">
        <f>IFERROR(COUNTIF($B$18:B361,B361)&amp;CHOOSE(MIN(4,COUNTIF($B$18:B361,B361)),"st","nd","rd","th"),"")</f>
        <v/>
      </c>
    </row>
    <row r="362" spans="10:10" x14ac:dyDescent="0.25">
      <c r="J362" s="164" t="str">
        <f>IFERROR(COUNTIF($B$18:B362,B362)&amp;CHOOSE(MIN(4,COUNTIF($B$18:B362,B362)),"st","nd","rd","th"),"")</f>
        <v/>
      </c>
    </row>
    <row r="363" spans="10:10" x14ac:dyDescent="0.25">
      <c r="J363" s="164" t="str">
        <f>IFERROR(COUNTIF($B$18:B363,B363)&amp;CHOOSE(MIN(4,COUNTIF($B$18:B363,B363)),"st","nd","rd","th"),"")</f>
        <v/>
      </c>
    </row>
    <row r="364" spans="10:10" x14ac:dyDescent="0.25">
      <c r="J364" s="164" t="str">
        <f>IFERROR(COUNTIF($B$18:B364,B364)&amp;CHOOSE(MIN(4,COUNTIF($B$18:B364,B364)),"st","nd","rd","th"),"")</f>
        <v/>
      </c>
    </row>
    <row r="365" spans="10:10" x14ac:dyDescent="0.25">
      <c r="J365" s="164" t="str">
        <f>IFERROR(COUNTIF($B$18:B365,B365)&amp;CHOOSE(MIN(4,COUNTIF($B$18:B365,B365)),"st","nd","rd","th"),"")</f>
        <v/>
      </c>
    </row>
    <row r="366" spans="10:10" x14ac:dyDescent="0.25">
      <c r="J366" s="164" t="str">
        <f>IFERROR(COUNTIF($B$18:B366,B366)&amp;CHOOSE(MIN(4,COUNTIF($B$18:B366,B366)),"st","nd","rd","th"),"")</f>
        <v/>
      </c>
    </row>
    <row r="367" spans="10:10" x14ac:dyDescent="0.25">
      <c r="J367" s="164" t="str">
        <f>IFERROR(COUNTIF($B$18:B367,B367)&amp;CHOOSE(MIN(4,COUNTIF($B$18:B367,B367)),"st","nd","rd","th"),"")</f>
        <v/>
      </c>
    </row>
    <row r="368" spans="10:10" x14ac:dyDescent="0.25">
      <c r="J368" s="164" t="str">
        <f>IFERROR(COUNTIF($B$18:B368,B368)&amp;CHOOSE(MIN(4,COUNTIF($B$18:B368,B368)),"st","nd","rd","th"),"")</f>
        <v/>
      </c>
    </row>
    <row r="369" spans="10:10" x14ac:dyDescent="0.25">
      <c r="J369" s="164" t="str">
        <f>IFERROR(COUNTIF($B$18:B369,B369)&amp;CHOOSE(MIN(4,COUNTIF($B$18:B369,B369)),"st","nd","rd","th"),"")</f>
        <v/>
      </c>
    </row>
    <row r="370" spans="10:10" x14ac:dyDescent="0.25">
      <c r="J370" s="164" t="str">
        <f>IFERROR(COUNTIF($B$18:B370,B370)&amp;CHOOSE(MIN(4,COUNTIF($B$18:B370,B370)),"st","nd","rd","th"),"")</f>
        <v/>
      </c>
    </row>
    <row r="371" spans="10:10" x14ac:dyDescent="0.25">
      <c r="J371" s="164" t="str">
        <f>IFERROR(COUNTIF($B$18:B371,B371)&amp;CHOOSE(MIN(4,COUNTIF($B$18:B371,B371)),"st","nd","rd","th"),"")</f>
        <v/>
      </c>
    </row>
    <row r="372" spans="10:10" x14ac:dyDescent="0.25">
      <c r="J372" s="164" t="str">
        <f>IFERROR(COUNTIF($B$18:B372,B372)&amp;CHOOSE(MIN(4,COUNTIF($B$18:B372,B372)),"st","nd","rd","th"),"")</f>
        <v/>
      </c>
    </row>
    <row r="373" spans="10:10" x14ac:dyDescent="0.25">
      <c r="J373" s="164" t="str">
        <f>IFERROR(COUNTIF($B$18:B373,B373)&amp;CHOOSE(MIN(4,COUNTIF($B$18:B373,B373)),"st","nd","rd","th"),"")</f>
        <v/>
      </c>
    </row>
    <row r="374" spans="10:10" x14ac:dyDescent="0.25">
      <c r="J374" s="164" t="str">
        <f>IFERROR(COUNTIF($B$18:B374,B374)&amp;CHOOSE(MIN(4,COUNTIF($B$18:B374,B374)),"st","nd","rd","th"),"")</f>
        <v/>
      </c>
    </row>
    <row r="375" spans="10:10" x14ac:dyDescent="0.25">
      <c r="J375" s="164" t="str">
        <f>IFERROR(COUNTIF($B$18:B375,B375)&amp;CHOOSE(MIN(4,COUNTIF($B$18:B375,B375)),"st","nd","rd","th"),"")</f>
        <v/>
      </c>
    </row>
    <row r="376" spans="10:10" x14ac:dyDescent="0.25">
      <c r="J376" s="164" t="str">
        <f>IFERROR(COUNTIF($B$18:B376,B376)&amp;CHOOSE(MIN(4,COUNTIF($B$18:B376,B376)),"st","nd","rd","th"),"")</f>
        <v/>
      </c>
    </row>
    <row r="377" spans="10:10" x14ac:dyDescent="0.25">
      <c r="J377" s="164" t="str">
        <f>IFERROR(COUNTIF($B$18:B377,B377)&amp;CHOOSE(MIN(4,COUNTIF($B$18:B377,B377)),"st","nd","rd","th"),"")</f>
        <v/>
      </c>
    </row>
    <row r="378" spans="10:10" x14ac:dyDescent="0.25">
      <c r="J378" s="164" t="str">
        <f>IFERROR(COUNTIF($B$18:B378,B378)&amp;CHOOSE(MIN(4,COUNTIF($B$18:B378,B378)),"st","nd","rd","th"),"")</f>
        <v/>
      </c>
    </row>
    <row r="379" spans="10:10" x14ac:dyDescent="0.25">
      <c r="J379" s="164" t="str">
        <f>IFERROR(COUNTIF($B$18:B379,B379)&amp;CHOOSE(MIN(4,COUNTIF($B$18:B379,B379)),"st","nd","rd","th"),"")</f>
        <v/>
      </c>
    </row>
    <row r="380" spans="10:10" x14ac:dyDescent="0.25">
      <c r="J380" s="164" t="str">
        <f>IFERROR(COUNTIF($B$18:B380,B380)&amp;CHOOSE(MIN(4,COUNTIF($B$18:B380,B380)),"st","nd","rd","th"),"")</f>
        <v/>
      </c>
    </row>
    <row r="381" spans="10:10" x14ac:dyDescent="0.25">
      <c r="J381" s="164" t="str">
        <f>IFERROR(COUNTIF($B$18:B381,B381)&amp;CHOOSE(MIN(4,COUNTIF($B$18:B381,B381)),"st","nd","rd","th"),"")</f>
        <v/>
      </c>
    </row>
    <row r="382" spans="10:10" x14ac:dyDescent="0.25">
      <c r="J382" s="164" t="str">
        <f>IFERROR(COUNTIF($B$18:B382,B382)&amp;CHOOSE(MIN(4,COUNTIF($B$18:B382,B382)),"st","nd","rd","th"),"")</f>
        <v/>
      </c>
    </row>
    <row r="383" spans="10:10" x14ac:dyDescent="0.25">
      <c r="J383" s="164" t="str">
        <f>IFERROR(COUNTIF($B$18:B383,B383)&amp;CHOOSE(MIN(4,COUNTIF($B$18:B383,B383)),"st","nd","rd","th"),"")</f>
        <v/>
      </c>
    </row>
    <row r="384" spans="10:10" x14ac:dyDescent="0.25">
      <c r="J384" s="164" t="str">
        <f>IFERROR(COUNTIF($B$18:B384,B384)&amp;CHOOSE(MIN(4,COUNTIF($B$18:B384,B384)),"st","nd","rd","th"),"")</f>
        <v/>
      </c>
    </row>
    <row r="385" spans="10:10" x14ac:dyDescent="0.25">
      <c r="J385" s="164" t="str">
        <f>IFERROR(COUNTIF($B$18:B385,B385)&amp;CHOOSE(MIN(4,COUNTIF($B$18:B385,B385)),"st","nd","rd","th"),"")</f>
        <v/>
      </c>
    </row>
    <row r="386" spans="10:10" x14ac:dyDescent="0.25">
      <c r="J386" s="164" t="str">
        <f>IFERROR(COUNTIF($B$18:B386,B386)&amp;CHOOSE(MIN(4,COUNTIF($B$18:B386,B386)),"st","nd","rd","th"),"")</f>
        <v/>
      </c>
    </row>
    <row r="387" spans="10:10" x14ac:dyDescent="0.25">
      <c r="J387" s="164" t="str">
        <f>IFERROR(COUNTIF($B$18:B387,B387)&amp;CHOOSE(MIN(4,COUNTIF($B$18:B387,B387)),"st","nd","rd","th"),"")</f>
        <v/>
      </c>
    </row>
    <row r="388" spans="10:10" x14ac:dyDescent="0.25">
      <c r="J388" s="164" t="str">
        <f>IFERROR(COUNTIF($B$18:B388,B388)&amp;CHOOSE(MIN(4,COUNTIF($B$18:B388,B388)),"st","nd","rd","th"),"")</f>
        <v/>
      </c>
    </row>
    <row r="389" spans="10:10" x14ac:dyDescent="0.25">
      <c r="J389" s="164" t="str">
        <f>IFERROR(COUNTIF($B$18:B389,B389)&amp;CHOOSE(MIN(4,COUNTIF($B$18:B389,B389)),"st","nd","rd","th"),"")</f>
        <v/>
      </c>
    </row>
    <row r="390" spans="10:10" x14ac:dyDescent="0.25">
      <c r="J390" s="164" t="str">
        <f>IFERROR(COUNTIF($B$18:B390,B390)&amp;CHOOSE(MIN(4,COUNTIF($B$18:B390,B390)),"st","nd","rd","th"),"")</f>
        <v/>
      </c>
    </row>
    <row r="391" spans="10:10" x14ac:dyDescent="0.25">
      <c r="J391" s="164" t="str">
        <f>IFERROR(COUNTIF($B$18:B391,B391)&amp;CHOOSE(MIN(4,COUNTIF($B$18:B391,B391)),"st","nd","rd","th"),"")</f>
        <v/>
      </c>
    </row>
    <row r="392" spans="10:10" x14ac:dyDescent="0.25">
      <c r="J392" s="164" t="str">
        <f>IFERROR(COUNTIF($B$18:B392,B392)&amp;CHOOSE(MIN(4,COUNTIF($B$18:B392,B392)),"st","nd","rd","th"),"")</f>
        <v/>
      </c>
    </row>
    <row r="393" spans="10:10" x14ac:dyDescent="0.25">
      <c r="J393" s="164" t="str">
        <f>IFERROR(COUNTIF($B$18:B393,B393)&amp;CHOOSE(MIN(4,COUNTIF($B$18:B393,B393)),"st","nd","rd","th"),"")</f>
        <v/>
      </c>
    </row>
    <row r="394" spans="10:10" x14ac:dyDescent="0.25">
      <c r="J394" s="164" t="str">
        <f>IFERROR(COUNTIF($B$18:B394,B394)&amp;CHOOSE(MIN(4,COUNTIF($B$18:B394,B394)),"st","nd","rd","th"),"")</f>
        <v/>
      </c>
    </row>
    <row r="395" spans="10:10" x14ac:dyDescent="0.25">
      <c r="J395" s="164" t="str">
        <f>IFERROR(COUNTIF($B$18:B395,B395)&amp;CHOOSE(MIN(4,COUNTIF($B$18:B395,B395)),"st","nd","rd","th"),"")</f>
        <v/>
      </c>
    </row>
    <row r="396" spans="10:10" x14ac:dyDescent="0.25">
      <c r="J396" s="164" t="str">
        <f>IFERROR(COUNTIF($B$18:B396,B396)&amp;CHOOSE(MIN(4,COUNTIF($B$18:B396,B396)),"st","nd","rd","th"),"")</f>
        <v/>
      </c>
    </row>
    <row r="397" spans="10:10" x14ac:dyDescent="0.25">
      <c r="J397" s="164" t="str">
        <f>IFERROR(COUNTIF($B$18:B397,B397)&amp;CHOOSE(MIN(4,COUNTIF($B$18:B397,B397)),"st","nd","rd","th"),"")</f>
        <v/>
      </c>
    </row>
    <row r="398" spans="10:10" x14ac:dyDescent="0.25">
      <c r="J398" s="164" t="str">
        <f>IFERROR(COUNTIF($B$18:B398,B398)&amp;CHOOSE(MIN(4,COUNTIF($B$18:B398,B398)),"st","nd","rd","th"),"")</f>
        <v/>
      </c>
    </row>
    <row r="399" spans="10:10" x14ac:dyDescent="0.25">
      <c r="J399" s="164" t="str">
        <f>IFERROR(COUNTIF($B$18:B399,B399)&amp;CHOOSE(MIN(4,COUNTIF($B$18:B399,B399)),"st","nd","rd","th"),"")</f>
        <v/>
      </c>
    </row>
    <row r="400" spans="10:10" x14ac:dyDescent="0.25">
      <c r="J400" s="164" t="str">
        <f>IFERROR(COUNTIF($B$18:B400,B400)&amp;CHOOSE(MIN(4,COUNTIF($B$18:B400,B400)),"st","nd","rd","th"),"")</f>
        <v/>
      </c>
    </row>
    <row r="401" spans="10:10" x14ac:dyDescent="0.25">
      <c r="J401" s="164" t="str">
        <f>IFERROR(COUNTIF($B$18:B401,B401)&amp;CHOOSE(MIN(4,COUNTIF($B$18:B401,B401)),"st","nd","rd","th"),"")</f>
        <v/>
      </c>
    </row>
    <row r="402" spans="10:10" x14ac:dyDescent="0.25">
      <c r="J402" s="164" t="str">
        <f>IFERROR(COUNTIF($B$18:B402,B402)&amp;CHOOSE(MIN(4,COUNTIF($B$18:B402,B402)),"st","nd","rd","th"),"")</f>
        <v/>
      </c>
    </row>
    <row r="403" spans="10:10" x14ac:dyDescent="0.25">
      <c r="J403" s="164" t="str">
        <f>IFERROR(COUNTIF($B$18:B403,B403)&amp;CHOOSE(MIN(4,COUNTIF($B$18:B403,B403)),"st","nd","rd","th"),"")</f>
        <v/>
      </c>
    </row>
    <row r="404" spans="10:10" x14ac:dyDescent="0.25">
      <c r="J404" s="164" t="str">
        <f>IFERROR(COUNTIF($B$18:B404,B404)&amp;CHOOSE(MIN(4,COUNTIF($B$18:B404,B404)),"st","nd","rd","th"),"")</f>
        <v/>
      </c>
    </row>
    <row r="405" spans="10:10" x14ac:dyDescent="0.25">
      <c r="J405" s="164" t="str">
        <f>IFERROR(COUNTIF($B$18:B405,B405)&amp;CHOOSE(MIN(4,COUNTIF($B$18:B405,B405)),"st","nd","rd","th"),"")</f>
        <v/>
      </c>
    </row>
    <row r="406" spans="10:10" x14ac:dyDescent="0.25">
      <c r="J406" s="164" t="str">
        <f>IFERROR(COUNTIF($B$18:B406,B406)&amp;CHOOSE(MIN(4,COUNTIF($B$18:B406,B406)),"st","nd","rd","th"),"")</f>
        <v/>
      </c>
    </row>
    <row r="407" spans="10:10" x14ac:dyDescent="0.25">
      <c r="J407" s="164" t="str">
        <f>IFERROR(COUNTIF($B$18:B407,B407)&amp;CHOOSE(MIN(4,COUNTIF($B$18:B407,B407)),"st","nd","rd","th"),"")</f>
        <v/>
      </c>
    </row>
    <row r="408" spans="10:10" x14ac:dyDescent="0.25">
      <c r="J408" s="164" t="str">
        <f>IFERROR(COUNTIF($B$18:B408,B408)&amp;CHOOSE(MIN(4,COUNTIF($B$18:B408,B408)),"st","nd","rd","th"),"")</f>
        <v/>
      </c>
    </row>
    <row r="409" spans="10:10" x14ac:dyDescent="0.25">
      <c r="J409" s="164" t="str">
        <f>IFERROR(COUNTIF($B$18:B409,B409)&amp;CHOOSE(MIN(4,COUNTIF($B$18:B409,B409)),"st","nd","rd","th"),"")</f>
        <v/>
      </c>
    </row>
    <row r="410" spans="10:10" x14ac:dyDescent="0.25">
      <c r="J410" s="164" t="str">
        <f>IFERROR(COUNTIF($B$18:B410,B410)&amp;CHOOSE(MIN(4,COUNTIF($B$18:B410,B410)),"st","nd","rd","th"),"")</f>
        <v/>
      </c>
    </row>
    <row r="411" spans="10:10" x14ac:dyDescent="0.25">
      <c r="J411" s="164" t="str">
        <f>IFERROR(COUNTIF($B$18:B411,B411)&amp;CHOOSE(MIN(4,COUNTIF($B$18:B411,B411)),"st","nd","rd","th"),"")</f>
        <v/>
      </c>
    </row>
    <row r="412" spans="10:10" x14ac:dyDescent="0.25">
      <c r="J412" s="164" t="str">
        <f>IFERROR(COUNTIF($B$18:B412,B412)&amp;CHOOSE(MIN(4,COUNTIF($B$18:B412,B412)),"st","nd","rd","th"),"")</f>
        <v/>
      </c>
    </row>
    <row r="413" spans="10:10" x14ac:dyDescent="0.25">
      <c r="J413" s="164" t="str">
        <f>IFERROR(COUNTIF($B$18:B413,B413)&amp;CHOOSE(MIN(4,COUNTIF($B$18:B413,B413)),"st","nd","rd","th"),"")</f>
        <v/>
      </c>
    </row>
    <row r="414" spans="10:10" x14ac:dyDescent="0.25">
      <c r="J414" s="164" t="str">
        <f>IFERROR(COUNTIF($B$18:B414,B414)&amp;CHOOSE(MIN(4,COUNTIF($B$18:B414,B414)),"st","nd","rd","th"),"")</f>
        <v/>
      </c>
    </row>
    <row r="415" spans="10:10" x14ac:dyDescent="0.25">
      <c r="J415" s="164" t="str">
        <f>IFERROR(COUNTIF($B$18:B415,B415)&amp;CHOOSE(MIN(4,COUNTIF($B$18:B415,B415)),"st","nd","rd","th"),"")</f>
        <v/>
      </c>
    </row>
    <row r="416" spans="10:10" x14ac:dyDescent="0.25">
      <c r="J416" s="164" t="str">
        <f>IFERROR(COUNTIF($B$18:B416,B416)&amp;CHOOSE(MIN(4,COUNTIF($B$18:B416,B416)),"st","nd","rd","th"),"")</f>
        <v/>
      </c>
    </row>
    <row r="417" spans="10:10" x14ac:dyDescent="0.25">
      <c r="J417" s="164" t="str">
        <f>IFERROR(COUNTIF($B$18:B417,B417)&amp;CHOOSE(MIN(4,COUNTIF($B$18:B417,B417)),"st","nd","rd","th"),"")</f>
        <v/>
      </c>
    </row>
    <row r="418" spans="10:10" x14ac:dyDescent="0.25">
      <c r="J418" s="164" t="str">
        <f>IFERROR(COUNTIF($B$18:B418,B418)&amp;CHOOSE(MIN(4,COUNTIF($B$18:B418,B418)),"st","nd","rd","th"),"")</f>
        <v/>
      </c>
    </row>
    <row r="419" spans="10:10" x14ac:dyDescent="0.25">
      <c r="J419" s="164" t="str">
        <f>IFERROR(COUNTIF($B$18:B419,B419)&amp;CHOOSE(MIN(4,COUNTIF($B$18:B419,B419)),"st","nd","rd","th"),"")</f>
        <v/>
      </c>
    </row>
    <row r="420" spans="10:10" x14ac:dyDescent="0.25">
      <c r="J420" s="164" t="str">
        <f>IFERROR(COUNTIF($B$18:B420,B420)&amp;CHOOSE(MIN(4,COUNTIF($B$18:B420,B420)),"st","nd","rd","th"),"")</f>
        <v/>
      </c>
    </row>
    <row r="421" spans="10:10" x14ac:dyDescent="0.25">
      <c r="J421" s="164" t="str">
        <f>IFERROR(COUNTIF($B$18:B421,B421)&amp;CHOOSE(MIN(4,COUNTIF($B$18:B421,B421)),"st","nd","rd","th"),"")</f>
        <v/>
      </c>
    </row>
    <row r="422" spans="10:10" x14ac:dyDescent="0.25">
      <c r="J422" s="164" t="str">
        <f>IFERROR(COUNTIF($B$18:B422,B422)&amp;CHOOSE(MIN(4,COUNTIF($B$18:B422,B422)),"st","nd","rd","th"),"")</f>
        <v/>
      </c>
    </row>
    <row r="423" spans="10:10" x14ac:dyDescent="0.25">
      <c r="J423" s="164" t="str">
        <f>IFERROR(COUNTIF($B$18:B423,B423)&amp;CHOOSE(MIN(4,COUNTIF($B$18:B423,B423)),"st","nd","rd","th"),"")</f>
        <v/>
      </c>
    </row>
    <row r="424" spans="10:10" x14ac:dyDescent="0.25">
      <c r="J424" s="164" t="str">
        <f>IFERROR(COUNTIF($B$18:B424,B424)&amp;CHOOSE(MIN(4,COUNTIF($B$18:B424,B424)),"st","nd","rd","th"),"")</f>
        <v/>
      </c>
    </row>
    <row r="425" spans="10:10" x14ac:dyDescent="0.25">
      <c r="J425" s="164" t="str">
        <f>IFERROR(COUNTIF($B$18:B425,B425)&amp;CHOOSE(MIN(4,COUNTIF($B$18:B425,B425)),"st","nd","rd","th"),"")</f>
        <v/>
      </c>
    </row>
    <row r="426" spans="10:10" x14ac:dyDescent="0.25">
      <c r="J426" s="164" t="str">
        <f>IFERROR(COUNTIF($B$18:B426,B426)&amp;CHOOSE(MIN(4,COUNTIF($B$18:B426,B426)),"st","nd","rd","th"),"")</f>
        <v/>
      </c>
    </row>
    <row r="427" spans="10:10" x14ac:dyDescent="0.25">
      <c r="J427" s="164" t="str">
        <f>IFERROR(COUNTIF($B$18:B427,B427)&amp;CHOOSE(MIN(4,COUNTIF($B$18:B427,B427)),"st","nd","rd","th"),"")</f>
        <v/>
      </c>
    </row>
    <row r="428" spans="10:10" x14ac:dyDescent="0.25">
      <c r="J428" s="164" t="str">
        <f>IFERROR(COUNTIF($B$18:B428,B428)&amp;CHOOSE(MIN(4,COUNTIF($B$18:B428,B428)),"st","nd","rd","th"),"")</f>
        <v/>
      </c>
    </row>
    <row r="429" spans="10:10" x14ac:dyDescent="0.25">
      <c r="J429" s="164" t="str">
        <f>IFERROR(COUNTIF($B$18:B429,B429)&amp;CHOOSE(MIN(4,COUNTIF($B$18:B429,B429)),"st","nd","rd","th"),"")</f>
        <v/>
      </c>
    </row>
    <row r="430" spans="10:10" x14ac:dyDescent="0.25">
      <c r="J430" s="164" t="str">
        <f>IFERROR(COUNTIF($B$18:B430,B430)&amp;CHOOSE(MIN(4,COUNTIF($B$18:B430,B430)),"st","nd","rd","th"),"")</f>
        <v/>
      </c>
    </row>
    <row r="431" spans="10:10" x14ac:dyDescent="0.25">
      <c r="J431" s="164" t="str">
        <f>IFERROR(COUNTIF($B$18:B431,B431)&amp;CHOOSE(MIN(4,COUNTIF($B$18:B431,B431)),"st","nd","rd","th"),"")</f>
        <v/>
      </c>
    </row>
    <row r="432" spans="10:10" x14ac:dyDescent="0.25">
      <c r="J432" s="164" t="str">
        <f>IFERROR(COUNTIF($B$18:B432,B432)&amp;CHOOSE(MIN(4,COUNTIF($B$18:B432,B432)),"st","nd","rd","th"),"")</f>
        <v/>
      </c>
    </row>
    <row r="433" spans="10:10" x14ac:dyDescent="0.25">
      <c r="J433" s="164" t="str">
        <f>IFERROR(COUNTIF($B$18:B433,B433)&amp;CHOOSE(MIN(4,COUNTIF($B$18:B433,B433)),"st","nd","rd","th"),"")</f>
        <v/>
      </c>
    </row>
    <row r="434" spans="10:10" x14ac:dyDescent="0.25">
      <c r="J434" s="164" t="str">
        <f>IFERROR(COUNTIF($B$18:B434,B434)&amp;CHOOSE(MIN(4,COUNTIF($B$18:B434,B434)),"st","nd","rd","th"),"")</f>
        <v/>
      </c>
    </row>
    <row r="435" spans="10:10" x14ac:dyDescent="0.25">
      <c r="J435" s="164" t="str">
        <f>IFERROR(COUNTIF($B$18:B435,B435)&amp;CHOOSE(MIN(4,COUNTIF($B$18:B435,B435)),"st","nd","rd","th"),"")</f>
        <v/>
      </c>
    </row>
    <row r="436" spans="10:10" x14ac:dyDescent="0.25">
      <c r="J436" s="164" t="str">
        <f>IFERROR(COUNTIF($B$18:B436,B436)&amp;CHOOSE(MIN(4,COUNTIF($B$18:B436,B436)),"st","nd","rd","th"),"")</f>
        <v/>
      </c>
    </row>
    <row r="437" spans="10:10" x14ac:dyDescent="0.25">
      <c r="J437" s="164" t="str">
        <f>IFERROR(COUNTIF($B$18:B437,B437)&amp;CHOOSE(MIN(4,COUNTIF($B$18:B437,B437)),"st","nd","rd","th"),"")</f>
        <v/>
      </c>
    </row>
    <row r="438" spans="10:10" x14ac:dyDescent="0.25">
      <c r="J438" s="164" t="str">
        <f>IFERROR(COUNTIF($B$18:B438,B438)&amp;CHOOSE(MIN(4,COUNTIF($B$18:B438,B438)),"st","nd","rd","th"),"")</f>
        <v/>
      </c>
    </row>
    <row r="439" spans="10:10" x14ac:dyDescent="0.25">
      <c r="J439" s="164" t="str">
        <f>IFERROR(COUNTIF($B$18:B439,B439)&amp;CHOOSE(MIN(4,COUNTIF($B$18:B439,B439)),"st","nd","rd","th"),"")</f>
        <v/>
      </c>
    </row>
    <row r="440" spans="10:10" x14ac:dyDescent="0.25">
      <c r="J440" s="164" t="str">
        <f>IFERROR(COUNTIF($B$18:B440,B440)&amp;CHOOSE(MIN(4,COUNTIF($B$18:B440,B440)),"st","nd","rd","th"),"")</f>
        <v/>
      </c>
    </row>
    <row r="441" spans="10:10" x14ac:dyDescent="0.25">
      <c r="J441" s="164" t="str">
        <f>IFERROR(COUNTIF($B$18:B441,B441)&amp;CHOOSE(MIN(4,COUNTIF($B$18:B441,B441)),"st","nd","rd","th"),"")</f>
        <v/>
      </c>
    </row>
    <row r="442" spans="10:10" x14ac:dyDescent="0.25">
      <c r="J442" s="164" t="str">
        <f>IFERROR(COUNTIF($B$18:B442,B442)&amp;CHOOSE(MIN(4,COUNTIF($B$18:B442,B442)),"st","nd","rd","th"),"")</f>
        <v/>
      </c>
    </row>
    <row r="443" spans="10:10" x14ac:dyDescent="0.25">
      <c r="J443" s="164" t="str">
        <f>IFERROR(COUNTIF($B$18:B443,B443)&amp;CHOOSE(MIN(4,COUNTIF($B$18:B443,B443)),"st","nd","rd","th"),"")</f>
        <v/>
      </c>
    </row>
    <row r="444" spans="10:10" x14ac:dyDescent="0.25">
      <c r="J444" s="164" t="str">
        <f>IFERROR(COUNTIF($B$18:B444,B444)&amp;CHOOSE(MIN(4,COUNTIF($B$18:B444,B444)),"st","nd","rd","th"),"")</f>
        <v/>
      </c>
    </row>
    <row r="445" spans="10:10" x14ac:dyDescent="0.25">
      <c r="J445" s="164" t="str">
        <f>IFERROR(COUNTIF($B$18:B445,B445)&amp;CHOOSE(MIN(4,COUNTIF($B$18:B445,B445)),"st","nd","rd","th"),"")</f>
        <v/>
      </c>
    </row>
    <row r="446" spans="10:10" x14ac:dyDescent="0.25">
      <c r="J446" s="164" t="str">
        <f>IFERROR(COUNTIF($B$18:B446,B446)&amp;CHOOSE(MIN(4,COUNTIF($B$18:B446,B446)),"st","nd","rd","th"),"")</f>
        <v/>
      </c>
    </row>
    <row r="447" spans="10:10" x14ac:dyDescent="0.25">
      <c r="J447" s="164" t="str">
        <f>IFERROR(COUNTIF($B$18:B447,B447)&amp;CHOOSE(MIN(4,COUNTIF($B$18:B447,B447)),"st","nd","rd","th"),"")</f>
        <v/>
      </c>
    </row>
    <row r="448" spans="10:10" x14ac:dyDescent="0.25">
      <c r="J448" s="164" t="str">
        <f>IFERROR(COUNTIF($B$18:B448,B448)&amp;CHOOSE(MIN(4,COUNTIF($B$18:B448,B448)),"st","nd","rd","th"),"")</f>
        <v/>
      </c>
    </row>
    <row r="449" spans="10:10" x14ac:dyDescent="0.25">
      <c r="J449" s="164" t="str">
        <f>IFERROR(COUNTIF($B$18:B449,B449)&amp;CHOOSE(MIN(4,COUNTIF($B$18:B449,B449)),"st","nd","rd","th"),"")</f>
        <v/>
      </c>
    </row>
    <row r="450" spans="10:10" x14ac:dyDescent="0.25">
      <c r="J450" s="164" t="str">
        <f>IFERROR(COUNTIF($B$18:B450,B450)&amp;CHOOSE(MIN(4,COUNTIF($B$18:B450,B450)),"st","nd","rd","th"),"")</f>
        <v/>
      </c>
    </row>
    <row r="451" spans="10:10" x14ac:dyDescent="0.25">
      <c r="J451" s="164" t="str">
        <f>IFERROR(COUNTIF($B$18:B451,B451)&amp;CHOOSE(MIN(4,COUNTIF($B$18:B451,B451)),"st","nd","rd","th"),"")</f>
        <v/>
      </c>
    </row>
    <row r="452" spans="10:10" x14ac:dyDescent="0.25">
      <c r="J452" s="164" t="str">
        <f>IFERROR(COUNTIF($B$18:B452,B452)&amp;CHOOSE(MIN(4,COUNTIF($B$18:B452,B452)),"st","nd","rd","th"),"")</f>
        <v/>
      </c>
    </row>
    <row r="453" spans="10:10" x14ac:dyDescent="0.25">
      <c r="J453" s="164" t="str">
        <f>IFERROR(COUNTIF($B$18:B453,B453)&amp;CHOOSE(MIN(4,COUNTIF($B$18:B453,B453)),"st","nd","rd","th"),"")</f>
        <v/>
      </c>
    </row>
    <row r="454" spans="10:10" x14ac:dyDescent="0.25">
      <c r="J454" s="164" t="str">
        <f>IFERROR(COUNTIF($B$18:B454,B454)&amp;CHOOSE(MIN(4,COUNTIF($B$18:B454,B454)),"st","nd","rd","th"),"")</f>
        <v/>
      </c>
    </row>
    <row r="455" spans="10:10" x14ac:dyDescent="0.25">
      <c r="J455" s="164" t="str">
        <f>IFERROR(COUNTIF($B$18:B455,B455)&amp;CHOOSE(MIN(4,COUNTIF($B$18:B455,B455)),"st","nd","rd","th"),"")</f>
        <v/>
      </c>
    </row>
    <row r="456" spans="10:10" x14ac:dyDescent="0.25">
      <c r="J456" s="164" t="str">
        <f>IFERROR(COUNTIF($B$18:B456,B456)&amp;CHOOSE(MIN(4,COUNTIF($B$18:B456,B456)),"st","nd","rd","th"),"")</f>
        <v/>
      </c>
    </row>
    <row r="457" spans="10:10" x14ac:dyDescent="0.25">
      <c r="J457" s="164" t="str">
        <f>IFERROR(COUNTIF($B$18:B457,B457)&amp;CHOOSE(MIN(4,COUNTIF($B$18:B457,B457)),"st","nd","rd","th"),"")</f>
        <v/>
      </c>
    </row>
    <row r="458" spans="10:10" x14ac:dyDescent="0.25">
      <c r="J458" s="164" t="str">
        <f>IFERROR(COUNTIF($B$18:B458,B458)&amp;CHOOSE(MIN(4,COUNTIF($B$18:B458,B458)),"st","nd","rd","th"),"")</f>
        <v/>
      </c>
    </row>
    <row r="459" spans="10:10" x14ac:dyDescent="0.25">
      <c r="J459" s="164" t="str">
        <f>IFERROR(COUNTIF($B$18:B459,B459)&amp;CHOOSE(MIN(4,COUNTIF($B$18:B459,B459)),"st","nd","rd","th"),"")</f>
        <v/>
      </c>
    </row>
    <row r="460" spans="10:10" x14ac:dyDescent="0.25">
      <c r="J460" s="164" t="str">
        <f>IFERROR(COUNTIF($B$18:B460,B460)&amp;CHOOSE(MIN(4,COUNTIF($B$18:B460,B460)),"st","nd","rd","th"),"")</f>
        <v/>
      </c>
    </row>
    <row r="461" spans="10:10" x14ac:dyDescent="0.25">
      <c r="J461" s="164" t="str">
        <f>IFERROR(COUNTIF($B$18:B461,B461)&amp;CHOOSE(MIN(4,COUNTIF($B$18:B461,B461)),"st","nd","rd","th"),"")</f>
        <v/>
      </c>
    </row>
    <row r="462" spans="10:10" x14ac:dyDescent="0.25">
      <c r="J462" s="164" t="str">
        <f>IFERROR(COUNTIF($B$18:B462,B462)&amp;CHOOSE(MIN(4,COUNTIF($B$18:B462,B462)),"st","nd","rd","th"),"")</f>
        <v/>
      </c>
    </row>
    <row r="463" spans="10:10" x14ac:dyDescent="0.25">
      <c r="J463" s="164" t="str">
        <f>IFERROR(COUNTIF($B$18:B463,B463)&amp;CHOOSE(MIN(4,COUNTIF($B$18:B463,B463)),"st","nd","rd","th"),"")</f>
        <v/>
      </c>
    </row>
    <row r="464" spans="10:10" x14ac:dyDescent="0.25">
      <c r="J464" s="164" t="str">
        <f>IFERROR(COUNTIF($B$18:B464,B464)&amp;CHOOSE(MIN(4,COUNTIF($B$18:B464,B464)),"st","nd","rd","th"),"")</f>
        <v/>
      </c>
    </row>
    <row r="465" spans="10:10" x14ac:dyDescent="0.25">
      <c r="J465" s="164" t="str">
        <f>IFERROR(COUNTIF($B$18:B465,B465)&amp;CHOOSE(MIN(4,COUNTIF($B$18:B465,B465)),"st","nd","rd","th"),"")</f>
        <v/>
      </c>
    </row>
    <row r="466" spans="10:10" x14ac:dyDescent="0.25">
      <c r="J466" s="164" t="str">
        <f>IFERROR(COUNTIF($B$18:B466,B466)&amp;CHOOSE(MIN(4,COUNTIF($B$18:B466,B466)),"st","nd","rd","th"),"")</f>
        <v/>
      </c>
    </row>
    <row r="467" spans="10:10" x14ac:dyDescent="0.25">
      <c r="J467" s="164" t="str">
        <f>IFERROR(COUNTIF($B$18:B467,B467)&amp;CHOOSE(MIN(4,COUNTIF($B$18:B467,B467)),"st","nd","rd","th"),"")</f>
        <v/>
      </c>
    </row>
    <row r="468" spans="10:10" x14ac:dyDescent="0.25">
      <c r="J468" s="164" t="str">
        <f>IFERROR(COUNTIF($B$18:B468,B468)&amp;CHOOSE(MIN(4,COUNTIF($B$18:B468,B468)),"st","nd","rd","th"),"")</f>
        <v/>
      </c>
    </row>
    <row r="469" spans="10:10" x14ac:dyDescent="0.25">
      <c r="J469" s="164" t="str">
        <f>IFERROR(COUNTIF($B$18:B469,B469)&amp;CHOOSE(MIN(4,COUNTIF($B$18:B469,B469)),"st","nd","rd","th"),"")</f>
        <v/>
      </c>
    </row>
    <row r="470" spans="10:10" x14ac:dyDescent="0.25">
      <c r="J470" s="164" t="str">
        <f>IFERROR(COUNTIF($B$18:B470,B470)&amp;CHOOSE(MIN(4,COUNTIF($B$18:B470,B470)),"st","nd","rd","th"),"")</f>
        <v/>
      </c>
    </row>
    <row r="471" spans="10:10" x14ac:dyDescent="0.25">
      <c r="J471" s="164" t="str">
        <f>IFERROR(COUNTIF($B$18:B471,B471)&amp;CHOOSE(MIN(4,COUNTIF($B$18:B471,B471)),"st","nd","rd","th"),"")</f>
        <v/>
      </c>
    </row>
    <row r="472" spans="10:10" x14ac:dyDescent="0.25">
      <c r="J472" s="164" t="str">
        <f>IFERROR(COUNTIF($B$18:B472,B472)&amp;CHOOSE(MIN(4,COUNTIF($B$18:B472,B472)),"st","nd","rd","th"),"")</f>
        <v/>
      </c>
    </row>
    <row r="473" spans="10:10" x14ac:dyDescent="0.25">
      <c r="J473" s="164" t="str">
        <f>IFERROR(COUNTIF($B$18:B473,B473)&amp;CHOOSE(MIN(4,COUNTIF($B$18:B473,B473)),"st","nd","rd","th"),"")</f>
        <v/>
      </c>
    </row>
    <row r="474" spans="10:10" x14ac:dyDescent="0.25">
      <c r="J474" s="164" t="str">
        <f>IFERROR(COUNTIF($B$18:B474,B474)&amp;CHOOSE(MIN(4,COUNTIF($B$18:B474,B474)),"st","nd","rd","th"),"")</f>
        <v/>
      </c>
    </row>
    <row r="475" spans="10:10" x14ac:dyDescent="0.25">
      <c r="J475" s="164" t="str">
        <f>IFERROR(COUNTIF($B$18:B475,B475)&amp;CHOOSE(MIN(4,COUNTIF($B$18:B475,B475)),"st","nd","rd","th"),"")</f>
        <v/>
      </c>
    </row>
    <row r="476" spans="10:10" x14ac:dyDescent="0.25">
      <c r="J476" s="164" t="str">
        <f>IFERROR(COUNTIF($B$18:B476,B476)&amp;CHOOSE(MIN(4,COUNTIF($B$18:B476,B476)),"st","nd","rd","th"),"")</f>
        <v/>
      </c>
    </row>
    <row r="477" spans="10:10" x14ac:dyDescent="0.25">
      <c r="J477" s="164" t="str">
        <f>IFERROR(COUNTIF($B$18:B477,B477)&amp;CHOOSE(MIN(4,COUNTIF($B$18:B477,B477)),"st","nd","rd","th"),"")</f>
        <v/>
      </c>
    </row>
    <row r="478" spans="10:10" x14ac:dyDescent="0.25">
      <c r="J478" s="164" t="str">
        <f>IFERROR(COUNTIF($B$18:B478,B478)&amp;CHOOSE(MIN(4,COUNTIF($B$18:B478,B478)),"st","nd","rd","th"),"")</f>
        <v/>
      </c>
    </row>
    <row r="479" spans="10:10" x14ac:dyDescent="0.25">
      <c r="J479" s="164" t="str">
        <f>IFERROR(COUNTIF($B$18:B479,B479)&amp;CHOOSE(MIN(4,COUNTIF($B$18:B479,B479)),"st","nd","rd","th"),"")</f>
        <v/>
      </c>
    </row>
    <row r="480" spans="10:10" x14ac:dyDescent="0.25">
      <c r="J480" s="164" t="str">
        <f>IFERROR(COUNTIF($B$18:B480,B480)&amp;CHOOSE(MIN(4,COUNTIF($B$18:B480,B480)),"st","nd","rd","th"),"")</f>
        <v/>
      </c>
    </row>
    <row r="481" spans="10:10" x14ac:dyDescent="0.25">
      <c r="J481" s="164" t="str">
        <f>IFERROR(COUNTIF($B$18:B481,B481)&amp;CHOOSE(MIN(4,COUNTIF($B$18:B481,B481)),"st","nd","rd","th"),"")</f>
        <v/>
      </c>
    </row>
    <row r="482" spans="10:10" x14ac:dyDescent="0.25">
      <c r="J482" s="164" t="str">
        <f>IFERROR(COUNTIF($B$18:B482,B482)&amp;CHOOSE(MIN(4,COUNTIF($B$18:B482,B482)),"st","nd","rd","th"),"")</f>
        <v/>
      </c>
    </row>
    <row r="483" spans="10:10" x14ac:dyDescent="0.25">
      <c r="J483" s="164" t="str">
        <f>IFERROR(COUNTIF($B$18:B483,B483)&amp;CHOOSE(MIN(4,COUNTIF($B$18:B483,B483)),"st","nd","rd","th"),"")</f>
        <v/>
      </c>
    </row>
    <row r="484" spans="10:10" x14ac:dyDescent="0.25">
      <c r="J484" s="164" t="str">
        <f>IFERROR(COUNTIF($B$18:B484,B484)&amp;CHOOSE(MIN(4,COUNTIF($B$18:B484,B484)),"st","nd","rd","th"),"")</f>
        <v/>
      </c>
    </row>
    <row r="485" spans="10:10" x14ac:dyDescent="0.25">
      <c r="J485" s="164" t="str">
        <f>IFERROR(COUNTIF($B$18:B485,B485)&amp;CHOOSE(MIN(4,COUNTIF($B$18:B485,B485)),"st","nd","rd","th"),"")</f>
        <v/>
      </c>
    </row>
    <row r="486" spans="10:10" x14ac:dyDescent="0.25">
      <c r="J486" s="164" t="str">
        <f>IFERROR(COUNTIF($B$18:B486,B486)&amp;CHOOSE(MIN(4,COUNTIF($B$18:B486,B486)),"st","nd","rd","th"),"")</f>
        <v/>
      </c>
    </row>
    <row r="487" spans="10:10" x14ac:dyDescent="0.25">
      <c r="J487" s="164" t="str">
        <f>IFERROR(COUNTIF($B$18:B487,B487)&amp;CHOOSE(MIN(4,COUNTIF($B$18:B487,B487)),"st","nd","rd","th"),"")</f>
        <v/>
      </c>
    </row>
    <row r="488" spans="10:10" x14ac:dyDescent="0.25">
      <c r="J488" s="164" t="str">
        <f>IFERROR(COUNTIF($B$18:B488,B488)&amp;CHOOSE(MIN(4,COUNTIF($B$18:B488,B488)),"st","nd","rd","th"),"")</f>
        <v/>
      </c>
    </row>
    <row r="489" spans="10:10" x14ac:dyDescent="0.25">
      <c r="J489" s="164" t="str">
        <f>IFERROR(COUNTIF($B$18:B489,B489)&amp;CHOOSE(MIN(4,COUNTIF($B$18:B489,B489)),"st","nd","rd","th"),"")</f>
        <v/>
      </c>
    </row>
    <row r="490" spans="10:10" x14ac:dyDescent="0.25">
      <c r="J490" s="164" t="str">
        <f>IFERROR(COUNTIF($B$18:B490,B490)&amp;CHOOSE(MIN(4,COUNTIF($B$18:B490,B490)),"st","nd","rd","th"),"")</f>
        <v/>
      </c>
    </row>
    <row r="491" spans="10:10" x14ac:dyDescent="0.25">
      <c r="J491" s="164" t="str">
        <f>IFERROR(COUNTIF($B$18:B491,B491)&amp;CHOOSE(MIN(4,COUNTIF($B$18:B491,B491)),"st","nd","rd","th"),"")</f>
        <v/>
      </c>
    </row>
    <row r="492" spans="10:10" x14ac:dyDescent="0.25">
      <c r="J492" s="164" t="str">
        <f>IFERROR(COUNTIF($B$18:B492,B492)&amp;CHOOSE(MIN(4,COUNTIF($B$18:B492,B492)),"st","nd","rd","th"),"")</f>
        <v/>
      </c>
    </row>
    <row r="493" spans="10:10" x14ac:dyDescent="0.25">
      <c r="J493" s="164" t="str">
        <f>IFERROR(COUNTIF($B$18:B493,B493)&amp;CHOOSE(MIN(4,COUNTIF($B$18:B493,B493)),"st","nd","rd","th"),"")</f>
        <v/>
      </c>
    </row>
    <row r="494" spans="10:10" x14ac:dyDescent="0.25">
      <c r="J494" s="164" t="str">
        <f>IFERROR(COUNTIF($B$18:B494,B494)&amp;CHOOSE(MIN(4,COUNTIF($B$18:B494,B494)),"st","nd","rd","th"),"")</f>
        <v/>
      </c>
    </row>
    <row r="495" spans="10:10" x14ac:dyDescent="0.25">
      <c r="J495" s="164" t="str">
        <f>IFERROR(COUNTIF($B$18:B495,B495)&amp;CHOOSE(MIN(4,COUNTIF($B$18:B495,B495)),"st","nd","rd","th"),"")</f>
        <v/>
      </c>
    </row>
    <row r="496" spans="10:10" x14ac:dyDescent="0.25">
      <c r="J496" s="164" t="str">
        <f>IFERROR(COUNTIF($B$18:B496,B496)&amp;CHOOSE(MIN(4,COUNTIF($B$18:B496,B496)),"st","nd","rd","th"),"")</f>
        <v/>
      </c>
    </row>
    <row r="497" spans="10:10" x14ac:dyDescent="0.25">
      <c r="J497" s="164" t="str">
        <f>IFERROR(COUNTIF($B$18:B497,B497)&amp;CHOOSE(MIN(4,COUNTIF($B$18:B497,B497)),"st","nd","rd","th"),"")</f>
        <v/>
      </c>
    </row>
    <row r="498" spans="10:10" x14ac:dyDescent="0.25">
      <c r="J498" s="164" t="str">
        <f>IFERROR(COUNTIF($B$18:B498,B498)&amp;CHOOSE(MIN(4,COUNTIF($B$18:B498,B498)),"st","nd","rd","th"),"")</f>
        <v/>
      </c>
    </row>
    <row r="499" spans="10:10" x14ac:dyDescent="0.25">
      <c r="J499" s="164" t="str">
        <f>IFERROR(COUNTIF($B$18:B499,B499)&amp;CHOOSE(MIN(4,COUNTIF($B$18:B499,B499)),"st","nd","rd","th"),"")</f>
        <v/>
      </c>
    </row>
    <row r="500" spans="10:10" x14ac:dyDescent="0.25">
      <c r="J500" s="164" t="str">
        <f>IFERROR(COUNTIF($B$18:B500,B500)&amp;CHOOSE(MIN(4,COUNTIF($B$18:B500,B500)),"st","nd","rd","th"),"")</f>
        <v/>
      </c>
    </row>
    <row r="501" spans="10:10" x14ac:dyDescent="0.25">
      <c r="J501" s="164" t="str">
        <f>IFERROR(COUNTIF($B$18:B501,B501)&amp;CHOOSE(MIN(4,COUNTIF($B$18:B501,B501)),"st","nd","rd","th"),"")</f>
        <v/>
      </c>
    </row>
    <row r="502" spans="10:10" x14ac:dyDescent="0.25">
      <c r="J502" s="164" t="str">
        <f>IFERROR(COUNTIF($B$18:B502,B502)&amp;CHOOSE(MIN(4,COUNTIF($B$18:B502,B502)),"st","nd","rd","th"),"")</f>
        <v/>
      </c>
    </row>
    <row r="503" spans="10:10" x14ac:dyDescent="0.25">
      <c r="J503" s="164" t="str">
        <f>IFERROR(COUNTIF($B$18:B503,B503)&amp;CHOOSE(MIN(4,COUNTIF($B$18:B503,B503)),"st","nd","rd","th"),"")</f>
        <v/>
      </c>
    </row>
    <row r="504" spans="10:10" x14ac:dyDescent="0.25">
      <c r="J504" s="164" t="str">
        <f>IFERROR(COUNTIF($B$18:B504,B504)&amp;CHOOSE(MIN(4,COUNTIF($B$18:B504,B504)),"st","nd","rd","th"),"")</f>
        <v/>
      </c>
    </row>
    <row r="505" spans="10:10" x14ac:dyDescent="0.25">
      <c r="J505" s="164" t="str">
        <f>IFERROR(COUNTIF($B$18:B505,B505)&amp;CHOOSE(MIN(4,COUNTIF($B$18:B505,B505)),"st","nd","rd","th"),"")</f>
        <v/>
      </c>
    </row>
    <row r="506" spans="10:10" x14ac:dyDescent="0.25">
      <c r="J506" s="164" t="str">
        <f>IFERROR(COUNTIF($B$18:B506,B506)&amp;CHOOSE(MIN(4,COUNTIF($B$18:B506,B506)),"st","nd","rd","th"),"")</f>
        <v/>
      </c>
    </row>
    <row r="507" spans="10:10" x14ac:dyDescent="0.25">
      <c r="J507" s="164" t="str">
        <f>IFERROR(COUNTIF($B$18:B507,B507)&amp;CHOOSE(MIN(4,COUNTIF($B$18:B507,B507)),"st","nd","rd","th"),"")</f>
        <v/>
      </c>
    </row>
    <row r="508" spans="10:10" x14ac:dyDescent="0.25">
      <c r="J508" s="164" t="str">
        <f>IFERROR(COUNTIF($B$18:B508,B508)&amp;CHOOSE(MIN(4,COUNTIF($B$18:B508,B508)),"st","nd","rd","th"),"")</f>
        <v/>
      </c>
    </row>
    <row r="509" spans="10:10" x14ac:dyDescent="0.25">
      <c r="J509" s="164" t="str">
        <f>IFERROR(COUNTIF($B$18:B509,B509)&amp;CHOOSE(MIN(4,COUNTIF($B$18:B509,B509)),"st","nd","rd","th"),"")</f>
        <v/>
      </c>
    </row>
    <row r="510" spans="10:10" x14ac:dyDescent="0.25">
      <c r="J510" s="164" t="str">
        <f>IFERROR(COUNTIF($B$18:B510,B510)&amp;CHOOSE(MIN(4,COUNTIF($B$18:B510,B510)),"st","nd","rd","th"),"")</f>
        <v/>
      </c>
    </row>
    <row r="511" spans="10:10" x14ac:dyDescent="0.25">
      <c r="J511" s="164" t="str">
        <f>IFERROR(COUNTIF($B$18:B511,B511)&amp;CHOOSE(MIN(4,COUNTIF($B$18:B511,B511)),"st","nd","rd","th"),"")</f>
        <v/>
      </c>
    </row>
    <row r="512" spans="10:10" x14ac:dyDescent="0.25">
      <c r="J512" s="164" t="str">
        <f>IFERROR(COUNTIF($B$18:B512,B512)&amp;CHOOSE(MIN(4,COUNTIF($B$18:B512,B512)),"st","nd","rd","th"),"")</f>
        <v/>
      </c>
    </row>
    <row r="513" spans="10:10" x14ac:dyDescent="0.25">
      <c r="J513" s="164" t="str">
        <f>IFERROR(COUNTIF($B$18:B513,B513)&amp;CHOOSE(MIN(4,COUNTIF($B$18:B513,B513)),"st","nd","rd","th"),"")</f>
        <v/>
      </c>
    </row>
    <row r="514" spans="10:10" x14ac:dyDescent="0.25">
      <c r="J514" s="164" t="str">
        <f>IFERROR(COUNTIF($B$18:B514,B514)&amp;CHOOSE(MIN(4,COUNTIF($B$18:B514,B514)),"st","nd","rd","th"),"")</f>
        <v/>
      </c>
    </row>
    <row r="515" spans="10:10" x14ac:dyDescent="0.25">
      <c r="J515" s="164" t="str">
        <f>IFERROR(COUNTIF($B$18:B515,B515)&amp;CHOOSE(MIN(4,COUNTIF($B$18:B515,B515)),"st","nd","rd","th"),"")</f>
        <v/>
      </c>
    </row>
    <row r="516" spans="10:10" x14ac:dyDescent="0.25">
      <c r="J516" s="164" t="str">
        <f>IFERROR(COUNTIF($B$18:B516,B516)&amp;CHOOSE(MIN(4,COUNTIF($B$18:B516,B516)),"st","nd","rd","th"),"")</f>
        <v/>
      </c>
    </row>
    <row r="517" spans="10:10" x14ac:dyDescent="0.25">
      <c r="J517" s="164" t="str">
        <f>IFERROR(COUNTIF($B$18:B517,B517)&amp;CHOOSE(MIN(4,COUNTIF($B$18:B517,B517)),"st","nd","rd","th"),"")</f>
        <v/>
      </c>
    </row>
    <row r="518" spans="10:10" x14ac:dyDescent="0.25">
      <c r="J518" s="164" t="str">
        <f>IFERROR(COUNTIF($B$18:B518,B518)&amp;CHOOSE(MIN(4,COUNTIF($B$18:B518,B518)),"st","nd","rd","th"),"")</f>
        <v/>
      </c>
    </row>
    <row r="519" spans="10:10" x14ac:dyDescent="0.25">
      <c r="J519" s="164" t="str">
        <f>IFERROR(COUNTIF($B$18:B519,B519)&amp;CHOOSE(MIN(4,COUNTIF($B$18:B519,B519)),"st","nd","rd","th"),"")</f>
        <v/>
      </c>
    </row>
    <row r="520" spans="10:10" x14ac:dyDescent="0.25">
      <c r="J520" s="164" t="str">
        <f>IFERROR(COUNTIF($B$18:B520,B520)&amp;CHOOSE(MIN(4,COUNTIF($B$18:B520,B520)),"st","nd","rd","th"),"")</f>
        <v/>
      </c>
    </row>
    <row r="521" spans="10:10" x14ac:dyDescent="0.25">
      <c r="J521" s="164" t="str">
        <f>IFERROR(COUNTIF($B$18:B521,B521)&amp;CHOOSE(MIN(4,COUNTIF($B$18:B521,B521)),"st","nd","rd","th"),"")</f>
        <v/>
      </c>
    </row>
    <row r="522" spans="10:10" x14ac:dyDescent="0.25">
      <c r="J522" s="164" t="str">
        <f>IFERROR(COUNTIF($B$18:B522,B522)&amp;CHOOSE(MIN(4,COUNTIF($B$18:B522,B522)),"st","nd","rd","th"),"")</f>
        <v/>
      </c>
    </row>
    <row r="523" spans="10:10" x14ac:dyDescent="0.25">
      <c r="J523" s="164" t="str">
        <f>IFERROR(COUNTIF($B$18:B523,B523)&amp;CHOOSE(MIN(4,COUNTIF($B$18:B523,B523)),"st","nd","rd","th"),"")</f>
        <v/>
      </c>
    </row>
    <row r="524" spans="10:10" x14ac:dyDescent="0.25">
      <c r="J524" s="164" t="str">
        <f>IFERROR(COUNTIF($B$18:B524,B524)&amp;CHOOSE(MIN(4,COUNTIF($B$18:B524,B524)),"st","nd","rd","th"),"")</f>
        <v/>
      </c>
    </row>
    <row r="525" spans="10:10" x14ac:dyDescent="0.25">
      <c r="J525" s="164" t="str">
        <f>IFERROR(COUNTIF($B$18:B525,B525)&amp;CHOOSE(MIN(4,COUNTIF($B$18:B525,B525)),"st","nd","rd","th"),"")</f>
        <v/>
      </c>
    </row>
    <row r="526" spans="10:10" x14ac:dyDescent="0.25">
      <c r="J526" s="164" t="str">
        <f>IFERROR(COUNTIF($B$18:B526,B526)&amp;CHOOSE(MIN(4,COUNTIF($B$18:B526,B526)),"st","nd","rd","th"),"")</f>
        <v/>
      </c>
    </row>
    <row r="527" spans="10:10" x14ac:dyDescent="0.25">
      <c r="J527" s="164" t="str">
        <f>IFERROR(COUNTIF($B$18:B527,B527)&amp;CHOOSE(MIN(4,COUNTIF($B$18:B527,B527)),"st","nd","rd","th"),"")</f>
        <v/>
      </c>
    </row>
    <row r="528" spans="10:10" x14ac:dyDescent="0.25">
      <c r="J528" s="164" t="str">
        <f>IFERROR(COUNTIF($B$18:B528,B528)&amp;CHOOSE(MIN(4,COUNTIF($B$18:B528,B528)),"st","nd","rd","th"),"")</f>
        <v/>
      </c>
    </row>
    <row r="529" spans="10:10" x14ac:dyDescent="0.25">
      <c r="J529" s="164" t="str">
        <f>IFERROR(COUNTIF($B$18:B529,B529)&amp;CHOOSE(MIN(4,COUNTIF($B$18:B529,B529)),"st","nd","rd","th"),"")</f>
        <v/>
      </c>
    </row>
    <row r="530" spans="10:10" x14ac:dyDescent="0.25">
      <c r="J530" s="164" t="str">
        <f>IFERROR(COUNTIF($B$18:B530,B530)&amp;CHOOSE(MIN(4,COUNTIF($B$18:B530,B530)),"st","nd","rd","th"),"")</f>
        <v/>
      </c>
    </row>
    <row r="531" spans="10:10" x14ac:dyDescent="0.25">
      <c r="J531" s="164" t="str">
        <f>IFERROR(COUNTIF($B$18:B531,B531)&amp;CHOOSE(MIN(4,COUNTIF($B$18:B531,B531)),"st","nd","rd","th"),"")</f>
        <v/>
      </c>
    </row>
    <row r="532" spans="10:10" x14ac:dyDescent="0.25">
      <c r="J532" s="164" t="str">
        <f>IFERROR(COUNTIF($B$18:B532,B532)&amp;CHOOSE(MIN(4,COUNTIF($B$18:B532,B532)),"st","nd","rd","th"),"")</f>
        <v/>
      </c>
    </row>
    <row r="533" spans="10:10" x14ac:dyDescent="0.25">
      <c r="J533" s="164" t="str">
        <f>IFERROR(COUNTIF($B$18:B533,B533)&amp;CHOOSE(MIN(4,COUNTIF($B$18:B533,B533)),"st","nd","rd","th"),"")</f>
        <v/>
      </c>
    </row>
    <row r="534" spans="10:10" x14ac:dyDescent="0.25">
      <c r="J534" s="164" t="str">
        <f>IFERROR(COUNTIF($B$18:B534,B534)&amp;CHOOSE(MIN(4,COUNTIF($B$18:B534,B534)),"st","nd","rd","th"),"")</f>
        <v/>
      </c>
    </row>
    <row r="535" spans="10:10" x14ac:dyDescent="0.25">
      <c r="J535" s="164" t="str">
        <f>IFERROR(COUNTIF($B$18:B535,B535)&amp;CHOOSE(MIN(4,COUNTIF($B$18:B535,B535)),"st","nd","rd","th"),"")</f>
        <v/>
      </c>
    </row>
    <row r="536" spans="10:10" x14ac:dyDescent="0.25">
      <c r="J536" s="164" t="str">
        <f>IFERROR(COUNTIF($B$18:B536,B536)&amp;CHOOSE(MIN(4,COUNTIF($B$18:B536,B536)),"st","nd","rd","th"),"")</f>
        <v/>
      </c>
    </row>
    <row r="537" spans="10:10" x14ac:dyDescent="0.25">
      <c r="J537" s="164" t="str">
        <f>IFERROR(COUNTIF($B$18:B537,B537)&amp;CHOOSE(MIN(4,COUNTIF($B$18:B537,B537)),"st","nd","rd","th"),"")</f>
        <v/>
      </c>
    </row>
    <row r="538" spans="10:10" x14ac:dyDescent="0.25">
      <c r="J538" s="164" t="str">
        <f>IFERROR(COUNTIF($B$18:B538,B538)&amp;CHOOSE(MIN(4,COUNTIF($B$18:B538,B538)),"st","nd","rd","th"),"")</f>
        <v/>
      </c>
    </row>
    <row r="539" spans="10:10" x14ac:dyDescent="0.25">
      <c r="J539" s="164" t="str">
        <f>IFERROR(COUNTIF($B$18:B539,B539)&amp;CHOOSE(MIN(4,COUNTIF($B$18:B539,B539)),"st","nd","rd","th"),"")</f>
        <v/>
      </c>
    </row>
    <row r="540" spans="10:10" x14ac:dyDescent="0.25">
      <c r="J540" s="164" t="str">
        <f>IFERROR(COUNTIF($B$18:B540,B540)&amp;CHOOSE(MIN(4,COUNTIF($B$18:B540,B540)),"st","nd","rd","th"),"")</f>
        <v/>
      </c>
    </row>
    <row r="541" spans="10:10" x14ac:dyDescent="0.25">
      <c r="J541" s="164" t="str">
        <f>IFERROR(COUNTIF($B$18:B541,B541)&amp;CHOOSE(MIN(4,COUNTIF($B$18:B541,B541)),"st","nd","rd","th"),"")</f>
        <v/>
      </c>
    </row>
    <row r="542" spans="10:10" x14ac:dyDescent="0.25">
      <c r="J542" s="164" t="str">
        <f>IFERROR(COUNTIF($B$18:B542,B542)&amp;CHOOSE(MIN(4,COUNTIF($B$18:B542,B542)),"st","nd","rd","th"),"")</f>
        <v/>
      </c>
    </row>
    <row r="543" spans="10:10" x14ac:dyDescent="0.25">
      <c r="J543" s="164" t="str">
        <f>IFERROR(COUNTIF($B$18:B543,B543)&amp;CHOOSE(MIN(4,COUNTIF($B$18:B543,B543)),"st","nd","rd","th"),"")</f>
        <v/>
      </c>
    </row>
    <row r="544" spans="10:10" x14ac:dyDescent="0.25">
      <c r="J544" s="164" t="str">
        <f>IFERROR(COUNTIF($B$18:B544,B544)&amp;CHOOSE(MIN(4,COUNTIF($B$18:B544,B544)),"st","nd","rd","th"),"")</f>
        <v/>
      </c>
    </row>
    <row r="545" spans="10:10" x14ac:dyDescent="0.25">
      <c r="J545" s="164" t="str">
        <f>IFERROR(COUNTIF($B$18:B545,B545)&amp;CHOOSE(MIN(4,COUNTIF($B$18:B545,B545)),"st","nd","rd","th"),"")</f>
        <v/>
      </c>
    </row>
    <row r="546" spans="10:10" x14ac:dyDescent="0.25">
      <c r="J546" s="164" t="str">
        <f>IFERROR(COUNTIF($B$18:B546,B546)&amp;CHOOSE(MIN(4,COUNTIF($B$18:B546,B546)),"st","nd","rd","th"),"")</f>
        <v/>
      </c>
    </row>
    <row r="547" spans="10:10" x14ac:dyDescent="0.25">
      <c r="J547" s="164" t="str">
        <f>IFERROR(COUNTIF($B$18:B547,B547)&amp;CHOOSE(MIN(4,COUNTIF($B$18:B547,B547)),"st","nd","rd","th"),"")</f>
        <v/>
      </c>
    </row>
    <row r="548" spans="10:10" x14ac:dyDescent="0.25">
      <c r="J548" s="164" t="str">
        <f>IFERROR(COUNTIF($B$18:B548,B548)&amp;CHOOSE(MIN(4,COUNTIF($B$18:B548,B548)),"st","nd","rd","th"),"")</f>
        <v/>
      </c>
    </row>
    <row r="549" spans="10:10" x14ac:dyDescent="0.25">
      <c r="J549" s="164" t="str">
        <f>IFERROR(COUNTIF($B$18:B549,B549)&amp;CHOOSE(MIN(4,COUNTIF($B$18:B549,B549)),"st","nd","rd","th"),"")</f>
        <v/>
      </c>
    </row>
    <row r="550" spans="10:10" x14ac:dyDescent="0.25">
      <c r="J550" s="164" t="str">
        <f>IFERROR(COUNTIF($B$18:B550,B550)&amp;CHOOSE(MIN(4,COUNTIF($B$18:B550,B550)),"st","nd","rd","th"),"")</f>
        <v/>
      </c>
    </row>
    <row r="551" spans="10:10" x14ac:dyDescent="0.25">
      <c r="J551" s="164" t="str">
        <f>IFERROR(COUNTIF($B$18:B551,B551)&amp;CHOOSE(MIN(4,COUNTIF($B$18:B551,B551)),"st","nd","rd","th"),"")</f>
        <v/>
      </c>
    </row>
    <row r="552" spans="10:10" x14ac:dyDescent="0.25">
      <c r="J552" s="164" t="str">
        <f>IFERROR(COUNTIF($B$18:B552,B552)&amp;CHOOSE(MIN(4,COUNTIF($B$18:B552,B552)),"st","nd","rd","th"),"")</f>
        <v/>
      </c>
    </row>
    <row r="553" spans="10:10" x14ac:dyDescent="0.25">
      <c r="J553" s="164" t="str">
        <f>IFERROR(COUNTIF($B$18:B553,B553)&amp;CHOOSE(MIN(4,COUNTIF($B$18:B553,B553)),"st","nd","rd","th"),"")</f>
        <v/>
      </c>
    </row>
    <row r="554" spans="10:10" x14ac:dyDescent="0.25">
      <c r="J554" s="164" t="str">
        <f>IFERROR(COUNTIF($B$18:B554,B554)&amp;CHOOSE(MIN(4,COUNTIF($B$18:B554,B554)),"st","nd","rd","th"),"")</f>
        <v/>
      </c>
    </row>
    <row r="555" spans="10:10" x14ac:dyDescent="0.25">
      <c r="J555" s="164" t="str">
        <f>IFERROR(COUNTIF($B$18:B555,B555)&amp;CHOOSE(MIN(4,COUNTIF($B$18:B555,B555)),"st","nd","rd","th"),"")</f>
        <v/>
      </c>
    </row>
    <row r="556" spans="10:10" x14ac:dyDescent="0.25">
      <c r="J556" s="164" t="str">
        <f>IFERROR(COUNTIF($B$18:B556,B556)&amp;CHOOSE(MIN(4,COUNTIF($B$18:B556,B556)),"st","nd","rd","th"),"")</f>
        <v/>
      </c>
    </row>
    <row r="557" spans="10:10" x14ac:dyDescent="0.25">
      <c r="J557" s="164" t="str">
        <f>IFERROR(COUNTIF($B$18:B557,B557)&amp;CHOOSE(MIN(4,COUNTIF($B$18:B557,B557)),"st","nd","rd","th"),"")</f>
        <v/>
      </c>
    </row>
    <row r="558" spans="10:10" x14ac:dyDescent="0.25">
      <c r="J558" s="164" t="str">
        <f>IFERROR(COUNTIF($B$18:B558,B558)&amp;CHOOSE(MIN(4,COUNTIF($B$18:B558,B558)),"st","nd","rd","th"),"")</f>
        <v/>
      </c>
    </row>
    <row r="559" spans="10:10" x14ac:dyDescent="0.25">
      <c r="J559" s="164" t="str">
        <f>IFERROR(COUNTIF($B$18:B559,B559)&amp;CHOOSE(MIN(4,COUNTIF($B$18:B559,B559)),"st","nd","rd","th"),"")</f>
        <v/>
      </c>
    </row>
    <row r="560" spans="10:10" x14ac:dyDescent="0.25">
      <c r="J560" s="164" t="str">
        <f>IFERROR(COUNTIF($B$18:B560,B560)&amp;CHOOSE(MIN(4,COUNTIF($B$18:B560,B560)),"st","nd","rd","th"),"")</f>
        <v/>
      </c>
    </row>
    <row r="561" spans="10:10" x14ac:dyDescent="0.25">
      <c r="J561" s="164" t="str">
        <f>IFERROR(COUNTIF($B$18:B561,B561)&amp;CHOOSE(MIN(4,COUNTIF($B$18:B561,B561)),"st","nd","rd","th"),"")</f>
        <v/>
      </c>
    </row>
    <row r="562" spans="10:10" x14ac:dyDescent="0.25">
      <c r="J562" s="164" t="str">
        <f>IFERROR(COUNTIF($B$18:B562,B562)&amp;CHOOSE(MIN(4,COUNTIF($B$18:B562,B562)),"st","nd","rd","th"),"")</f>
        <v/>
      </c>
    </row>
    <row r="563" spans="10:10" x14ac:dyDescent="0.25">
      <c r="J563" s="164" t="str">
        <f>IFERROR(COUNTIF($B$18:B563,B563)&amp;CHOOSE(MIN(4,COUNTIF($B$18:B563,B563)),"st","nd","rd","th"),"")</f>
        <v/>
      </c>
    </row>
    <row r="564" spans="10:10" x14ac:dyDescent="0.25">
      <c r="J564" s="164" t="str">
        <f>IFERROR(COUNTIF($B$18:B564,B564)&amp;CHOOSE(MIN(4,COUNTIF($B$18:B564,B564)),"st","nd","rd","th"),"")</f>
        <v/>
      </c>
    </row>
    <row r="565" spans="10:10" x14ac:dyDescent="0.25">
      <c r="J565" s="164" t="str">
        <f>IFERROR(COUNTIF($B$18:B565,B565)&amp;CHOOSE(MIN(4,COUNTIF($B$18:B565,B565)),"st","nd","rd","th"),"")</f>
        <v/>
      </c>
    </row>
    <row r="566" spans="10:10" x14ac:dyDescent="0.25">
      <c r="J566" s="164" t="str">
        <f>IFERROR(COUNTIF($B$18:B566,B566)&amp;CHOOSE(MIN(4,COUNTIF($B$18:B566,B566)),"st","nd","rd","th"),"")</f>
        <v/>
      </c>
    </row>
    <row r="567" spans="10:10" x14ac:dyDescent="0.25">
      <c r="J567" s="164" t="str">
        <f>IFERROR(COUNTIF($B$18:B567,B567)&amp;CHOOSE(MIN(4,COUNTIF($B$18:B567,B567)),"st","nd","rd","th"),"")</f>
        <v/>
      </c>
    </row>
    <row r="568" spans="10:10" x14ac:dyDescent="0.25">
      <c r="J568" s="164" t="str">
        <f>IFERROR(COUNTIF($B$18:B568,B568)&amp;CHOOSE(MIN(4,COUNTIF($B$18:B568,B568)),"st","nd","rd","th"),"")</f>
        <v/>
      </c>
    </row>
    <row r="569" spans="10:10" x14ac:dyDescent="0.25">
      <c r="J569" s="164" t="str">
        <f>IFERROR(COUNTIF($B$18:B569,B569)&amp;CHOOSE(MIN(4,COUNTIF($B$18:B569,B569)),"st","nd","rd","th"),"")</f>
        <v/>
      </c>
    </row>
    <row r="570" spans="10:10" x14ac:dyDescent="0.25">
      <c r="J570" s="164" t="str">
        <f>IFERROR(COUNTIF($B$18:B570,B570)&amp;CHOOSE(MIN(4,COUNTIF($B$18:B570,B570)),"st","nd","rd","th"),"")</f>
        <v/>
      </c>
    </row>
    <row r="571" spans="10:10" x14ac:dyDescent="0.25">
      <c r="J571" s="164" t="str">
        <f>IFERROR(COUNTIF($B$18:B571,B571)&amp;CHOOSE(MIN(4,COUNTIF($B$18:B571,B571)),"st","nd","rd","th"),"")</f>
        <v/>
      </c>
    </row>
    <row r="572" spans="10:10" x14ac:dyDescent="0.25">
      <c r="J572" s="164" t="str">
        <f>IFERROR(COUNTIF($B$18:B572,B572)&amp;CHOOSE(MIN(4,COUNTIF($B$18:B572,B572)),"st","nd","rd","th"),"")</f>
        <v/>
      </c>
    </row>
    <row r="573" spans="10:10" x14ac:dyDescent="0.25">
      <c r="J573" s="164" t="str">
        <f>IFERROR(COUNTIF($B$18:B573,B573)&amp;CHOOSE(MIN(4,COUNTIF($B$18:B573,B573)),"st","nd","rd","th"),"")</f>
        <v/>
      </c>
    </row>
    <row r="574" spans="10:10" x14ac:dyDescent="0.25">
      <c r="J574" s="164" t="str">
        <f>IFERROR(COUNTIF($B$18:B574,B574)&amp;CHOOSE(MIN(4,COUNTIF($B$18:B574,B574)),"st","nd","rd","th"),"")</f>
        <v/>
      </c>
    </row>
    <row r="575" spans="10:10" x14ac:dyDescent="0.25">
      <c r="J575" s="164" t="str">
        <f>IFERROR(COUNTIF($B$18:B575,B575)&amp;CHOOSE(MIN(4,COUNTIF($B$18:B575,B575)),"st","nd","rd","th"),"")</f>
        <v/>
      </c>
    </row>
    <row r="576" spans="10:10" x14ac:dyDescent="0.25">
      <c r="J576" s="164" t="str">
        <f>IFERROR(COUNTIF($B$18:B576,B576)&amp;CHOOSE(MIN(4,COUNTIF($B$18:B576,B576)),"st","nd","rd","th"),"")</f>
        <v/>
      </c>
    </row>
    <row r="577" spans="10:10" x14ac:dyDescent="0.25">
      <c r="J577" s="164" t="str">
        <f>IFERROR(COUNTIF($B$18:B577,B577)&amp;CHOOSE(MIN(4,COUNTIF($B$18:B577,B577)),"st","nd","rd","th"),"")</f>
        <v/>
      </c>
    </row>
    <row r="578" spans="10:10" x14ac:dyDescent="0.25">
      <c r="J578" s="164" t="str">
        <f>IFERROR(COUNTIF($B$18:B578,B578)&amp;CHOOSE(MIN(4,COUNTIF($B$18:B578,B578)),"st","nd","rd","th"),"")</f>
        <v/>
      </c>
    </row>
    <row r="579" spans="10:10" x14ac:dyDescent="0.25">
      <c r="J579" s="164" t="str">
        <f>IFERROR(COUNTIF($B$18:B579,B579)&amp;CHOOSE(MIN(4,COUNTIF($B$18:B579,B579)),"st","nd","rd","th"),"")</f>
        <v/>
      </c>
    </row>
    <row r="580" spans="10:10" x14ac:dyDescent="0.25">
      <c r="J580" s="164" t="str">
        <f>IFERROR(COUNTIF($B$18:B580,B580)&amp;CHOOSE(MIN(4,COUNTIF($B$18:B580,B580)),"st","nd","rd","th"),"")</f>
        <v/>
      </c>
    </row>
    <row r="581" spans="10:10" x14ac:dyDescent="0.25">
      <c r="J581" s="164" t="str">
        <f>IFERROR(COUNTIF($B$18:B581,B581)&amp;CHOOSE(MIN(4,COUNTIF($B$18:B581,B581)),"st","nd","rd","th"),"")</f>
        <v/>
      </c>
    </row>
    <row r="582" spans="10:10" x14ac:dyDescent="0.25">
      <c r="J582" s="164" t="str">
        <f>IFERROR(COUNTIF($B$18:B582,B582)&amp;CHOOSE(MIN(4,COUNTIF($B$18:B582,B582)),"st","nd","rd","th"),"")</f>
        <v/>
      </c>
    </row>
    <row r="583" spans="10:10" x14ac:dyDescent="0.25">
      <c r="J583" s="164" t="str">
        <f>IFERROR(COUNTIF($B$18:B583,B583)&amp;CHOOSE(MIN(4,COUNTIF($B$18:B583,B583)),"st","nd","rd","th"),"")</f>
        <v/>
      </c>
    </row>
    <row r="584" spans="10:10" x14ac:dyDescent="0.25">
      <c r="J584" s="164" t="str">
        <f>IFERROR(COUNTIF($B$18:B584,B584)&amp;CHOOSE(MIN(4,COUNTIF($B$18:B584,B584)),"st","nd","rd","th"),"")</f>
        <v/>
      </c>
    </row>
    <row r="585" spans="10:10" x14ac:dyDescent="0.25">
      <c r="J585" s="164" t="str">
        <f>IFERROR(COUNTIF($B$18:B585,B585)&amp;CHOOSE(MIN(4,COUNTIF($B$18:B585,B585)),"st","nd","rd","th"),"")</f>
        <v/>
      </c>
    </row>
    <row r="586" spans="10:10" x14ac:dyDescent="0.25">
      <c r="J586" s="164" t="str">
        <f>IFERROR(COUNTIF($B$18:B586,B586)&amp;CHOOSE(MIN(4,COUNTIF($B$18:B586,B586)),"st","nd","rd","th"),"")</f>
        <v/>
      </c>
    </row>
    <row r="587" spans="10:10" x14ac:dyDescent="0.25">
      <c r="J587" s="164" t="str">
        <f>IFERROR(COUNTIF($B$18:B587,B587)&amp;CHOOSE(MIN(4,COUNTIF($B$18:B587,B587)),"st","nd","rd","th"),"")</f>
        <v/>
      </c>
    </row>
    <row r="588" spans="10:10" x14ac:dyDescent="0.25">
      <c r="J588" s="164" t="str">
        <f>IFERROR(COUNTIF($B$18:B588,B588)&amp;CHOOSE(MIN(4,COUNTIF($B$18:B588,B588)),"st","nd","rd","th"),"")</f>
        <v/>
      </c>
    </row>
    <row r="589" spans="10:10" x14ac:dyDescent="0.25">
      <c r="J589" s="164" t="str">
        <f>IFERROR(COUNTIF($B$18:B589,B589)&amp;CHOOSE(MIN(4,COUNTIF($B$18:B589,B589)),"st","nd","rd","th"),"")</f>
        <v/>
      </c>
    </row>
    <row r="590" spans="10:10" x14ac:dyDescent="0.25">
      <c r="J590" s="164" t="str">
        <f>IFERROR(COUNTIF($B$18:B590,B590)&amp;CHOOSE(MIN(4,COUNTIF($B$18:B590,B590)),"st","nd","rd","th"),"")</f>
        <v/>
      </c>
    </row>
    <row r="591" spans="10:10" x14ac:dyDescent="0.25">
      <c r="J591" s="164" t="str">
        <f>IFERROR(COUNTIF($B$18:B591,B591)&amp;CHOOSE(MIN(4,COUNTIF($B$18:B591,B591)),"st","nd","rd","th"),"")</f>
        <v/>
      </c>
    </row>
    <row r="592" spans="10:10" x14ac:dyDescent="0.25">
      <c r="J592" s="164" t="str">
        <f>IFERROR(COUNTIF($B$18:B592,B592)&amp;CHOOSE(MIN(4,COUNTIF($B$18:B592,B592)),"st","nd","rd","th"),"")</f>
        <v/>
      </c>
    </row>
    <row r="593" spans="10:10" x14ac:dyDescent="0.25">
      <c r="J593" s="164" t="str">
        <f>IFERROR(COUNTIF($B$18:B593,B593)&amp;CHOOSE(MIN(4,COUNTIF($B$18:B593,B593)),"st","nd","rd","th"),"")</f>
        <v/>
      </c>
    </row>
    <row r="594" spans="10:10" x14ac:dyDescent="0.25">
      <c r="J594" s="164" t="str">
        <f>IFERROR(COUNTIF($B$18:B594,B594)&amp;CHOOSE(MIN(4,COUNTIF($B$18:B594,B594)),"st","nd","rd","th"),"")</f>
        <v/>
      </c>
    </row>
    <row r="595" spans="10:10" x14ac:dyDescent="0.25">
      <c r="J595" s="164" t="str">
        <f>IFERROR(COUNTIF($B$18:B595,B595)&amp;CHOOSE(MIN(4,COUNTIF($B$18:B595,B595)),"st","nd","rd","th"),"")</f>
        <v/>
      </c>
    </row>
    <row r="596" spans="10:10" x14ac:dyDescent="0.25">
      <c r="J596" s="164" t="str">
        <f>IFERROR(COUNTIF($B$18:B596,B596)&amp;CHOOSE(MIN(4,COUNTIF($B$18:B596,B596)),"st","nd","rd","th"),"")</f>
        <v/>
      </c>
    </row>
    <row r="597" spans="10:10" x14ac:dyDescent="0.25">
      <c r="J597" s="164" t="str">
        <f>IFERROR(COUNTIF($B$18:B597,B597)&amp;CHOOSE(MIN(4,COUNTIF($B$18:B597,B597)),"st","nd","rd","th"),"")</f>
        <v/>
      </c>
    </row>
    <row r="598" spans="10:10" x14ac:dyDescent="0.25">
      <c r="J598" s="164" t="str">
        <f>IFERROR(COUNTIF($B$18:B598,B598)&amp;CHOOSE(MIN(4,COUNTIF($B$18:B598,B598)),"st","nd","rd","th"),"")</f>
        <v/>
      </c>
    </row>
    <row r="599" spans="10:10" x14ac:dyDescent="0.25">
      <c r="J599" s="164" t="str">
        <f>IFERROR(COUNTIF($B$18:B599,B599)&amp;CHOOSE(MIN(4,COUNTIF($B$18:B599,B599)),"st","nd","rd","th"),"")</f>
        <v/>
      </c>
    </row>
    <row r="600" spans="10:10" x14ac:dyDescent="0.25">
      <c r="J600" s="164" t="str">
        <f>IFERROR(COUNTIF($B$18:B600,B600)&amp;CHOOSE(MIN(4,COUNTIF($B$18:B600,B600)),"st","nd","rd","th"),"")</f>
        <v/>
      </c>
    </row>
    <row r="601" spans="10:10" x14ac:dyDescent="0.25">
      <c r="J601" s="164" t="str">
        <f>IFERROR(COUNTIF($B$18:B601,B601)&amp;CHOOSE(MIN(4,COUNTIF($B$18:B601,B601)),"st","nd","rd","th"),"")</f>
        <v/>
      </c>
    </row>
    <row r="602" spans="10:10" x14ac:dyDescent="0.25">
      <c r="J602" s="164" t="str">
        <f>IFERROR(COUNTIF($B$18:B602,B602)&amp;CHOOSE(MIN(4,COUNTIF($B$18:B602,B602)),"st","nd","rd","th"),"")</f>
        <v/>
      </c>
    </row>
    <row r="603" spans="10:10" x14ac:dyDescent="0.25">
      <c r="J603" s="164" t="str">
        <f>IFERROR(COUNTIF($B$18:B603,B603)&amp;CHOOSE(MIN(4,COUNTIF($B$18:B603,B603)),"st","nd","rd","th"),"")</f>
        <v/>
      </c>
    </row>
    <row r="604" spans="10:10" x14ac:dyDescent="0.25">
      <c r="J604" s="164" t="str">
        <f>IFERROR(COUNTIF($B$18:B604,B604)&amp;CHOOSE(MIN(4,COUNTIF($B$18:B604,B604)),"st","nd","rd","th"),"")</f>
        <v/>
      </c>
    </row>
    <row r="605" spans="10:10" x14ac:dyDescent="0.25">
      <c r="J605" s="164" t="str">
        <f>IFERROR(COUNTIF($B$18:B605,B605)&amp;CHOOSE(MIN(4,COUNTIF($B$18:B605,B605)),"st","nd","rd","th"),"")</f>
        <v/>
      </c>
    </row>
    <row r="606" spans="10:10" x14ac:dyDescent="0.25">
      <c r="J606" s="164" t="str">
        <f>IFERROR(COUNTIF($B$18:B606,B606)&amp;CHOOSE(MIN(4,COUNTIF($B$18:B606,B606)),"st","nd","rd","th"),"")</f>
        <v/>
      </c>
    </row>
    <row r="607" spans="10:10" x14ac:dyDescent="0.25">
      <c r="J607" s="164" t="str">
        <f>IFERROR(COUNTIF($B$18:B607,B607)&amp;CHOOSE(MIN(4,COUNTIF($B$18:B607,B607)),"st","nd","rd","th"),"")</f>
        <v/>
      </c>
    </row>
    <row r="608" spans="10:10" x14ac:dyDescent="0.25">
      <c r="J608" s="164" t="str">
        <f>IFERROR(COUNTIF($B$18:B608,B608)&amp;CHOOSE(MIN(4,COUNTIF($B$18:B608,B608)),"st","nd","rd","th"),"")</f>
        <v/>
      </c>
    </row>
    <row r="609" spans="10:10" x14ac:dyDescent="0.25">
      <c r="J609" s="164" t="str">
        <f>IFERROR(COUNTIF($B$18:B609,B609)&amp;CHOOSE(MIN(4,COUNTIF($B$18:B609,B609)),"st","nd","rd","th"),"")</f>
        <v/>
      </c>
    </row>
    <row r="610" spans="10:10" x14ac:dyDescent="0.25">
      <c r="J610" s="164" t="str">
        <f>IFERROR(COUNTIF($B$18:B610,B610)&amp;CHOOSE(MIN(4,COUNTIF($B$18:B610,B610)),"st","nd","rd","th"),"")</f>
        <v/>
      </c>
    </row>
    <row r="611" spans="10:10" x14ac:dyDescent="0.25">
      <c r="J611" s="164" t="str">
        <f>IFERROR(COUNTIF($B$18:B611,B611)&amp;CHOOSE(MIN(4,COUNTIF($B$18:B611,B611)),"st","nd","rd","th"),"")</f>
        <v/>
      </c>
    </row>
    <row r="612" spans="10:10" x14ac:dyDescent="0.25">
      <c r="J612" s="164" t="str">
        <f>IFERROR(COUNTIF($B$18:B612,B612)&amp;CHOOSE(MIN(4,COUNTIF($B$18:B612,B612)),"st","nd","rd","th"),"")</f>
        <v/>
      </c>
    </row>
    <row r="613" spans="10:10" x14ac:dyDescent="0.25">
      <c r="J613" s="164" t="str">
        <f>IFERROR(COUNTIF($B$18:B613,B613)&amp;CHOOSE(MIN(4,COUNTIF($B$18:B613,B613)),"st","nd","rd","th"),"")</f>
        <v/>
      </c>
    </row>
    <row r="614" spans="10:10" x14ac:dyDescent="0.25">
      <c r="J614" s="164" t="str">
        <f>IFERROR(COUNTIF($B$18:B614,B614)&amp;CHOOSE(MIN(4,COUNTIF($B$18:B614,B614)),"st","nd","rd","th"),"")</f>
        <v/>
      </c>
    </row>
    <row r="615" spans="10:10" x14ac:dyDescent="0.25">
      <c r="J615" s="164" t="str">
        <f>IFERROR(COUNTIF($B$18:B615,B615)&amp;CHOOSE(MIN(4,COUNTIF($B$18:B615,B615)),"st","nd","rd","th"),"")</f>
        <v/>
      </c>
    </row>
    <row r="616" spans="10:10" x14ac:dyDescent="0.25">
      <c r="J616" s="164" t="str">
        <f>IFERROR(COUNTIF($B$18:B616,B616)&amp;CHOOSE(MIN(4,COUNTIF($B$18:B616,B616)),"st","nd","rd","th"),"")</f>
        <v/>
      </c>
    </row>
    <row r="617" spans="10:10" x14ac:dyDescent="0.25">
      <c r="J617" s="164" t="str">
        <f>IFERROR(COUNTIF($B$18:B617,B617)&amp;CHOOSE(MIN(4,COUNTIF($B$18:B617,B617)),"st","nd","rd","th"),"")</f>
        <v/>
      </c>
    </row>
    <row r="618" spans="10:10" x14ac:dyDescent="0.25">
      <c r="J618" s="164" t="str">
        <f>IFERROR(COUNTIF($B$18:B618,B618)&amp;CHOOSE(MIN(4,COUNTIF($B$18:B618,B618)),"st","nd","rd","th"),"")</f>
        <v/>
      </c>
    </row>
    <row r="619" spans="10:10" x14ac:dyDescent="0.25">
      <c r="J619" s="164" t="str">
        <f>IFERROR(COUNTIF($B$18:B619,B619)&amp;CHOOSE(MIN(4,COUNTIF($B$18:B619,B619)),"st","nd","rd","th"),"")</f>
        <v/>
      </c>
    </row>
    <row r="620" spans="10:10" x14ac:dyDescent="0.25">
      <c r="J620" s="164" t="str">
        <f>IFERROR(COUNTIF($B$18:B620,B620)&amp;CHOOSE(MIN(4,COUNTIF($B$18:B620,B620)),"st","nd","rd","th"),"")</f>
        <v/>
      </c>
    </row>
    <row r="621" spans="10:10" x14ac:dyDescent="0.25">
      <c r="J621" s="164" t="str">
        <f>IFERROR(COUNTIF($B$18:B621,B621)&amp;CHOOSE(MIN(4,COUNTIF($B$18:B621,B621)),"st","nd","rd","th"),"")</f>
        <v/>
      </c>
    </row>
    <row r="622" spans="10:10" x14ac:dyDescent="0.25">
      <c r="J622" s="164" t="str">
        <f>IFERROR(COUNTIF($B$18:B622,B622)&amp;CHOOSE(MIN(4,COUNTIF($B$18:B622,B622)),"st","nd","rd","th"),"")</f>
        <v/>
      </c>
    </row>
    <row r="623" spans="10:10" x14ac:dyDescent="0.25">
      <c r="J623" s="164" t="str">
        <f>IFERROR(COUNTIF($B$18:B623,B623)&amp;CHOOSE(MIN(4,COUNTIF($B$18:B623,B623)),"st","nd","rd","th"),"")</f>
        <v/>
      </c>
    </row>
    <row r="624" spans="10:10" x14ac:dyDescent="0.25">
      <c r="J624" s="164" t="str">
        <f>IFERROR(COUNTIF($B$18:B624,B624)&amp;CHOOSE(MIN(4,COUNTIF($B$18:B624,B624)),"st","nd","rd","th"),"")</f>
        <v/>
      </c>
    </row>
    <row r="625" spans="10:10" x14ac:dyDescent="0.25">
      <c r="J625" s="164" t="str">
        <f>IFERROR(COUNTIF($B$18:B625,B625)&amp;CHOOSE(MIN(4,COUNTIF($B$18:B625,B625)),"st","nd","rd","th"),"")</f>
        <v/>
      </c>
    </row>
    <row r="626" spans="10:10" x14ac:dyDescent="0.25">
      <c r="J626" s="164" t="str">
        <f>IFERROR(COUNTIF($B$18:B626,B626)&amp;CHOOSE(MIN(4,COUNTIF($B$18:B626,B626)),"st","nd","rd","th"),"")</f>
        <v/>
      </c>
    </row>
    <row r="627" spans="10:10" x14ac:dyDescent="0.25">
      <c r="J627" s="164" t="str">
        <f>IFERROR(COUNTIF($B$18:B627,B627)&amp;CHOOSE(MIN(4,COUNTIF($B$18:B627,B627)),"st","nd","rd","th"),"")</f>
        <v/>
      </c>
    </row>
    <row r="628" spans="10:10" x14ac:dyDescent="0.25">
      <c r="J628" s="164" t="str">
        <f>IFERROR(COUNTIF($B$18:B628,B628)&amp;CHOOSE(MIN(4,COUNTIF($B$18:B628,B628)),"st","nd","rd","th"),"")</f>
        <v/>
      </c>
    </row>
    <row r="629" spans="10:10" x14ac:dyDescent="0.25">
      <c r="J629" s="164" t="str">
        <f>IFERROR(COUNTIF($B$18:B629,B629)&amp;CHOOSE(MIN(4,COUNTIF($B$18:B629,B629)),"st","nd","rd","th"),"")</f>
        <v/>
      </c>
    </row>
    <row r="630" spans="10:10" x14ac:dyDescent="0.25">
      <c r="J630" s="164" t="str">
        <f>IFERROR(COUNTIF($B$18:B630,B630)&amp;CHOOSE(MIN(4,COUNTIF($B$18:B630,B630)),"st","nd","rd","th"),"")</f>
        <v/>
      </c>
    </row>
    <row r="631" spans="10:10" x14ac:dyDescent="0.25">
      <c r="J631" s="164" t="str">
        <f>IFERROR(COUNTIF($B$18:B631,B631)&amp;CHOOSE(MIN(4,COUNTIF($B$18:B631,B631)),"st","nd","rd","th"),"")</f>
        <v/>
      </c>
    </row>
    <row r="632" spans="10:10" x14ac:dyDescent="0.25">
      <c r="J632" s="164" t="str">
        <f>IFERROR(COUNTIF($B$18:B632,B632)&amp;CHOOSE(MIN(4,COUNTIF($B$18:B632,B632)),"st","nd","rd","th"),"")</f>
        <v/>
      </c>
    </row>
    <row r="633" spans="10:10" x14ac:dyDescent="0.25">
      <c r="J633" s="164" t="str">
        <f>IFERROR(COUNTIF($B$18:B633,B633)&amp;CHOOSE(MIN(4,COUNTIF($B$18:B633,B633)),"st","nd","rd","th"),"")</f>
        <v/>
      </c>
    </row>
    <row r="634" spans="10:10" x14ac:dyDescent="0.25">
      <c r="J634" s="164" t="str">
        <f>IFERROR(COUNTIF($B$18:B634,B634)&amp;CHOOSE(MIN(4,COUNTIF($B$18:B634,B634)),"st","nd","rd","th"),"")</f>
        <v/>
      </c>
    </row>
    <row r="635" spans="10:10" x14ac:dyDescent="0.25">
      <c r="J635" s="164" t="str">
        <f>IFERROR(COUNTIF($B$18:B635,B635)&amp;CHOOSE(MIN(4,COUNTIF($B$18:B635,B635)),"st","nd","rd","th"),"")</f>
        <v/>
      </c>
    </row>
    <row r="636" spans="10:10" x14ac:dyDescent="0.25">
      <c r="J636" s="164" t="str">
        <f>IFERROR(COUNTIF($B$18:B636,B636)&amp;CHOOSE(MIN(4,COUNTIF($B$18:B636,B636)),"st","nd","rd","th"),"")</f>
        <v/>
      </c>
    </row>
    <row r="637" spans="10:10" x14ac:dyDescent="0.25">
      <c r="J637" s="164" t="str">
        <f>IFERROR(COUNTIF($B$18:B637,B637)&amp;CHOOSE(MIN(4,COUNTIF($B$18:B637,B637)),"st","nd","rd","th"),"")</f>
        <v/>
      </c>
    </row>
    <row r="638" spans="10:10" x14ac:dyDescent="0.25">
      <c r="J638" s="164" t="str">
        <f>IFERROR(COUNTIF($B$18:B638,B638)&amp;CHOOSE(MIN(4,COUNTIF($B$18:B638,B638)),"st","nd","rd","th"),"")</f>
        <v/>
      </c>
    </row>
    <row r="639" spans="10:10" x14ac:dyDescent="0.25">
      <c r="J639" s="164" t="str">
        <f>IFERROR(COUNTIF($B$18:B639,B639)&amp;CHOOSE(MIN(4,COUNTIF($B$18:B639,B639)),"st","nd","rd","th"),"")</f>
        <v/>
      </c>
    </row>
    <row r="640" spans="10:10" x14ac:dyDescent="0.25">
      <c r="J640" s="164" t="str">
        <f>IFERROR(COUNTIF($B$18:B640,B640)&amp;CHOOSE(MIN(4,COUNTIF($B$18:B640,B640)),"st","nd","rd","th"),"")</f>
        <v/>
      </c>
    </row>
    <row r="641" spans="10:10" x14ac:dyDescent="0.25">
      <c r="J641" s="164" t="str">
        <f>IFERROR(COUNTIF($B$18:B641,B641)&amp;CHOOSE(MIN(4,COUNTIF($B$18:B641,B641)),"st","nd","rd","th"),"")</f>
        <v/>
      </c>
    </row>
    <row r="642" spans="10:10" x14ac:dyDescent="0.25">
      <c r="J642" s="164" t="str">
        <f>IFERROR(COUNTIF($B$18:B642,B642)&amp;CHOOSE(MIN(4,COUNTIF($B$18:B642,B642)),"st","nd","rd","th"),"")</f>
        <v/>
      </c>
    </row>
    <row r="643" spans="10:10" x14ac:dyDescent="0.25">
      <c r="J643" s="164" t="str">
        <f>IFERROR(COUNTIF($B$18:B643,B643)&amp;CHOOSE(MIN(4,COUNTIF($B$18:B643,B643)),"st","nd","rd","th"),"")</f>
        <v/>
      </c>
    </row>
    <row r="644" spans="10:10" x14ac:dyDescent="0.25">
      <c r="J644" s="164" t="str">
        <f>IFERROR(COUNTIF($B$18:B644,B644)&amp;CHOOSE(MIN(4,COUNTIF($B$18:B644,B644)),"st","nd","rd","th"),"")</f>
        <v/>
      </c>
    </row>
    <row r="645" spans="10:10" x14ac:dyDescent="0.25">
      <c r="J645" s="164" t="str">
        <f>IFERROR(COUNTIF($B$18:B645,B645)&amp;CHOOSE(MIN(4,COUNTIF($B$18:B645,B645)),"st","nd","rd","th"),"")</f>
        <v/>
      </c>
    </row>
    <row r="646" spans="10:10" x14ac:dyDescent="0.25">
      <c r="J646" s="164" t="str">
        <f>IFERROR(COUNTIF($B$18:B646,B646)&amp;CHOOSE(MIN(4,COUNTIF($B$18:B646,B646)),"st","nd","rd","th"),"")</f>
        <v/>
      </c>
    </row>
    <row r="647" spans="10:10" x14ac:dyDescent="0.25">
      <c r="J647" s="164" t="str">
        <f>IFERROR(COUNTIF($B$18:B647,B647)&amp;CHOOSE(MIN(4,COUNTIF($B$18:B647,B647)),"st","nd","rd","th"),"")</f>
        <v/>
      </c>
    </row>
    <row r="648" spans="10:10" x14ac:dyDescent="0.25">
      <c r="J648" s="164" t="str">
        <f>IFERROR(COUNTIF($B$18:B648,B648)&amp;CHOOSE(MIN(4,COUNTIF($B$18:B648,B648)),"st","nd","rd","th"),"")</f>
        <v/>
      </c>
    </row>
    <row r="649" spans="10:10" x14ac:dyDescent="0.25">
      <c r="J649" s="164" t="str">
        <f>IFERROR(COUNTIF($B$18:B649,B649)&amp;CHOOSE(MIN(4,COUNTIF($B$18:B649,B649)),"st","nd","rd","th"),"")</f>
        <v/>
      </c>
    </row>
    <row r="650" spans="10:10" x14ac:dyDescent="0.25">
      <c r="J650" s="164" t="str">
        <f>IFERROR(COUNTIF($B$18:B650,B650)&amp;CHOOSE(MIN(4,COUNTIF($B$18:B650,B650)),"st","nd","rd","th"),"")</f>
        <v/>
      </c>
    </row>
    <row r="651" spans="10:10" x14ac:dyDescent="0.25">
      <c r="J651" s="164" t="str">
        <f>IFERROR(COUNTIF($B$18:B651,B651)&amp;CHOOSE(MIN(4,COUNTIF($B$18:B651,B651)),"st","nd","rd","th"),"")</f>
        <v/>
      </c>
    </row>
    <row r="652" spans="10:10" x14ac:dyDescent="0.25">
      <c r="J652" s="164" t="str">
        <f>IFERROR(COUNTIF($B$18:B652,B652)&amp;CHOOSE(MIN(4,COUNTIF($B$18:B652,B652)),"st","nd","rd","th"),"")</f>
        <v/>
      </c>
    </row>
    <row r="653" spans="10:10" x14ac:dyDescent="0.25">
      <c r="J653" s="164" t="str">
        <f>IFERROR(COUNTIF($B$18:B653,B653)&amp;CHOOSE(MIN(4,COUNTIF($B$18:B653,B653)),"st","nd","rd","th"),"")</f>
        <v/>
      </c>
    </row>
    <row r="654" spans="10:10" x14ac:dyDescent="0.25">
      <c r="J654" s="164" t="str">
        <f>IFERROR(COUNTIF($B$18:B654,B654)&amp;CHOOSE(MIN(4,COUNTIF($B$18:B654,B654)),"st","nd","rd","th"),"")</f>
        <v/>
      </c>
    </row>
    <row r="655" spans="10:10" x14ac:dyDescent="0.25">
      <c r="J655" s="164" t="str">
        <f>IFERROR(COUNTIF($B$18:B655,B655)&amp;CHOOSE(MIN(4,COUNTIF($B$18:B655,B655)),"st","nd","rd","th"),"")</f>
        <v/>
      </c>
    </row>
    <row r="656" spans="10:10" x14ac:dyDescent="0.25">
      <c r="J656" s="164" t="str">
        <f>IFERROR(COUNTIF($B$18:B656,B656)&amp;CHOOSE(MIN(4,COUNTIF($B$18:B656,B656)),"st","nd","rd","th"),"")</f>
        <v/>
      </c>
    </row>
    <row r="657" spans="10:10" x14ac:dyDescent="0.25">
      <c r="J657" s="164" t="str">
        <f>IFERROR(COUNTIF($B$18:B657,B657)&amp;CHOOSE(MIN(4,COUNTIF($B$18:B657,B657)),"st","nd","rd","th"),"")</f>
        <v/>
      </c>
    </row>
    <row r="658" spans="10:10" x14ac:dyDescent="0.25">
      <c r="J658" s="164" t="str">
        <f>IFERROR(COUNTIF($B$18:B658,B658)&amp;CHOOSE(MIN(4,COUNTIF($B$18:B658,B658)),"st","nd","rd","th"),"")</f>
        <v/>
      </c>
    </row>
    <row r="659" spans="10:10" x14ac:dyDescent="0.25">
      <c r="J659" s="164" t="str">
        <f>IFERROR(COUNTIF($B$18:B659,B659)&amp;CHOOSE(MIN(4,COUNTIF($B$18:B659,B659)),"st","nd","rd","th"),"")</f>
        <v/>
      </c>
    </row>
    <row r="660" spans="10:10" x14ac:dyDescent="0.25">
      <c r="J660" s="164" t="str">
        <f>IFERROR(COUNTIF($B$18:B660,B660)&amp;CHOOSE(MIN(4,COUNTIF($B$18:B660,B660)),"st","nd","rd","th"),"")</f>
        <v/>
      </c>
    </row>
    <row r="661" spans="10:10" x14ac:dyDescent="0.25">
      <c r="J661" s="164" t="str">
        <f>IFERROR(COUNTIF($B$18:B661,B661)&amp;CHOOSE(MIN(4,COUNTIF($B$18:B661,B661)),"st","nd","rd","th"),"")</f>
        <v/>
      </c>
    </row>
    <row r="662" spans="10:10" x14ac:dyDescent="0.25">
      <c r="J662" s="164" t="str">
        <f>IFERROR(COUNTIF($B$18:B662,B662)&amp;CHOOSE(MIN(4,COUNTIF($B$18:B662,B662)),"st","nd","rd","th"),"")</f>
        <v/>
      </c>
    </row>
    <row r="663" spans="10:10" x14ac:dyDescent="0.25">
      <c r="J663" s="164" t="str">
        <f>IFERROR(COUNTIF($B$18:B663,B663)&amp;CHOOSE(MIN(4,COUNTIF($B$18:B663,B663)),"st","nd","rd","th"),"")</f>
        <v/>
      </c>
    </row>
    <row r="664" spans="10:10" x14ac:dyDescent="0.25">
      <c r="J664" s="164" t="str">
        <f>IFERROR(COUNTIF($B$18:B664,B664)&amp;CHOOSE(MIN(4,COUNTIF($B$18:B664,B664)),"st","nd","rd","th"),"")</f>
        <v/>
      </c>
    </row>
    <row r="665" spans="10:10" x14ac:dyDescent="0.25">
      <c r="J665" s="164" t="str">
        <f>IFERROR(COUNTIF($B$18:B665,B665)&amp;CHOOSE(MIN(4,COUNTIF($B$18:B665,B665)),"st","nd","rd","th"),"")</f>
        <v/>
      </c>
    </row>
    <row r="666" spans="10:10" x14ac:dyDescent="0.25">
      <c r="J666" s="164" t="str">
        <f>IFERROR(COUNTIF($B$18:B666,B666)&amp;CHOOSE(MIN(4,COUNTIF($B$18:B666,B666)),"st","nd","rd","th"),"")</f>
        <v/>
      </c>
    </row>
    <row r="667" spans="10:10" x14ac:dyDescent="0.25">
      <c r="J667" s="164" t="str">
        <f>IFERROR(COUNTIF($B$18:B667,B667)&amp;CHOOSE(MIN(4,COUNTIF($B$18:B667,B667)),"st","nd","rd","th"),"")</f>
        <v/>
      </c>
    </row>
    <row r="668" spans="10:10" x14ac:dyDescent="0.25">
      <c r="J668" s="164" t="str">
        <f>IFERROR(COUNTIF($B$18:B668,B668)&amp;CHOOSE(MIN(4,COUNTIF($B$18:B668,B668)),"st","nd","rd","th"),"")</f>
        <v/>
      </c>
    </row>
    <row r="669" spans="10:10" x14ac:dyDescent="0.25">
      <c r="J669" s="164" t="str">
        <f>IFERROR(COUNTIF($B$18:B669,B669)&amp;CHOOSE(MIN(4,COUNTIF($B$18:B669,B669)),"st","nd","rd","th"),"")</f>
        <v/>
      </c>
    </row>
    <row r="670" spans="10:10" x14ac:dyDescent="0.25">
      <c r="J670" s="164" t="str">
        <f>IFERROR(COUNTIF($B$18:B670,B670)&amp;CHOOSE(MIN(4,COUNTIF($B$18:B670,B670)),"st","nd","rd","th"),"")</f>
        <v/>
      </c>
    </row>
    <row r="671" spans="10:10" x14ac:dyDescent="0.25">
      <c r="J671" s="164" t="str">
        <f>IFERROR(COUNTIF($B$18:B671,B671)&amp;CHOOSE(MIN(4,COUNTIF($B$18:B671,B671)),"st","nd","rd","th"),"")</f>
        <v/>
      </c>
    </row>
    <row r="672" spans="10:10" x14ac:dyDescent="0.25">
      <c r="J672" s="164" t="str">
        <f>IFERROR(COUNTIF($B$18:B672,B672)&amp;CHOOSE(MIN(4,COUNTIF($B$18:B672,B672)),"st","nd","rd","th"),"")</f>
        <v/>
      </c>
    </row>
    <row r="673" spans="10:10" x14ac:dyDescent="0.25">
      <c r="J673" s="164" t="str">
        <f>IFERROR(COUNTIF($B$18:B673,B673)&amp;CHOOSE(MIN(4,COUNTIF($B$18:B673,B673)),"st","nd","rd","th"),"")</f>
        <v/>
      </c>
    </row>
    <row r="674" spans="10:10" x14ac:dyDescent="0.25">
      <c r="J674" s="164" t="str">
        <f>IFERROR(COUNTIF($B$18:B674,B674)&amp;CHOOSE(MIN(4,COUNTIF($B$18:B674,B674)),"st","nd","rd","th"),"")</f>
        <v/>
      </c>
    </row>
    <row r="675" spans="10:10" x14ac:dyDescent="0.25">
      <c r="J675" s="164" t="str">
        <f>IFERROR(COUNTIF($B$18:B675,B675)&amp;CHOOSE(MIN(4,COUNTIF($B$18:B675,B675)),"st","nd","rd","th"),"")</f>
        <v/>
      </c>
    </row>
    <row r="676" spans="10:10" x14ac:dyDescent="0.25">
      <c r="J676" s="164" t="str">
        <f>IFERROR(COUNTIF($B$18:B676,B676)&amp;CHOOSE(MIN(4,COUNTIF($B$18:B676,B676)),"st","nd","rd","th"),"")</f>
        <v/>
      </c>
    </row>
    <row r="677" spans="10:10" x14ac:dyDescent="0.25">
      <c r="J677" s="164" t="str">
        <f>IFERROR(COUNTIF($B$18:B677,B677)&amp;CHOOSE(MIN(4,COUNTIF($B$18:B677,B677)),"st","nd","rd","th"),"")</f>
        <v/>
      </c>
    </row>
    <row r="678" spans="10:10" x14ac:dyDescent="0.25">
      <c r="J678" s="164" t="str">
        <f>IFERROR(COUNTIF($B$18:B678,B678)&amp;CHOOSE(MIN(4,COUNTIF($B$18:B678,B678)),"st","nd","rd","th"),"")</f>
        <v/>
      </c>
    </row>
    <row r="679" spans="10:10" x14ac:dyDescent="0.25">
      <c r="J679" s="164" t="str">
        <f>IFERROR(COUNTIF($B$18:B679,B679)&amp;CHOOSE(MIN(4,COUNTIF($B$18:B679,B679)),"st","nd","rd","th"),"")</f>
        <v/>
      </c>
    </row>
    <row r="680" spans="10:10" x14ac:dyDescent="0.25">
      <c r="J680" s="164" t="str">
        <f>IFERROR(COUNTIF($B$18:B680,B680)&amp;CHOOSE(MIN(4,COUNTIF($B$18:B680,B680)),"st","nd","rd","th"),"")</f>
        <v/>
      </c>
    </row>
    <row r="681" spans="10:10" x14ac:dyDescent="0.25">
      <c r="J681" s="164" t="str">
        <f>IFERROR(COUNTIF($B$18:B681,B681)&amp;CHOOSE(MIN(4,COUNTIF($B$18:B681,B681)),"st","nd","rd","th"),"")</f>
        <v/>
      </c>
    </row>
    <row r="682" spans="10:10" x14ac:dyDescent="0.25">
      <c r="J682" s="164" t="str">
        <f>IFERROR(COUNTIF($B$18:B682,B682)&amp;CHOOSE(MIN(4,COUNTIF($B$18:B682,B682)),"st","nd","rd","th"),"")</f>
        <v/>
      </c>
    </row>
    <row r="683" spans="10:10" x14ac:dyDescent="0.25">
      <c r="J683" s="164" t="str">
        <f>IFERROR(COUNTIF($B$18:B683,B683)&amp;CHOOSE(MIN(4,COUNTIF($B$18:B683,B683)),"st","nd","rd","th"),"")</f>
        <v/>
      </c>
    </row>
    <row r="684" spans="10:10" x14ac:dyDescent="0.25">
      <c r="J684" s="164" t="str">
        <f>IFERROR(COUNTIF($B$18:B684,B684)&amp;CHOOSE(MIN(4,COUNTIF($B$18:B684,B684)),"st","nd","rd","th"),"")</f>
        <v/>
      </c>
    </row>
    <row r="685" spans="10:10" x14ac:dyDescent="0.25">
      <c r="J685" s="164" t="str">
        <f>IFERROR(COUNTIF($B$18:B685,B685)&amp;CHOOSE(MIN(4,COUNTIF($B$18:B685,B685)),"st","nd","rd","th"),"")</f>
        <v/>
      </c>
    </row>
    <row r="686" spans="10:10" x14ac:dyDescent="0.25">
      <c r="J686" s="164" t="str">
        <f>IFERROR(COUNTIF($B$18:B686,B686)&amp;CHOOSE(MIN(4,COUNTIF($B$18:B686,B686)),"st","nd","rd","th"),"")</f>
        <v/>
      </c>
    </row>
    <row r="687" spans="10:10" x14ac:dyDescent="0.25">
      <c r="J687" s="164" t="str">
        <f>IFERROR(COUNTIF($B$18:B687,B687)&amp;CHOOSE(MIN(4,COUNTIF($B$18:B687,B687)),"st","nd","rd","th"),"")</f>
        <v/>
      </c>
    </row>
    <row r="688" spans="10:10" x14ac:dyDescent="0.25">
      <c r="J688" s="164" t="str">
        <f>IFERROR(COUNTIF($B$18:B688,B688)&amp;CHOOSE(MIN(4,COUNTIF($B$18:B688,B688)),"st","nd","rd","th"),"")</f>
        <v/>
      </c>
    </row>
    <row r="689" spans="10:10" x14ac:dyDescent="0.25">
      <c r="J689" s="164" t="str">
        <f>IFERROR(COUNTIF($B$18:B689,B689)&amp;CHOOSE(MIN(4,COUNTIF($B$18:B689,B689)),"st","nd","rd","th"),"")</f>
        <v/>
      </c>
    </row>
    <row r="690" spans="10:10" x14ac:dyDescent="0.25">
      <c r="J690" s="164" t="str">
        <f>IFERROR(COUNTIF($B$18:B690,B690)&amp;CHOOSE(MIN(4,COUNTIF($B$18:B690,B690)),"st","nd","rd","th"),"")</f>
        <v/>
      </c>
    </row>
    <row r="691" spans="10:10" x14ac:dyDescent="0.25">
      <c r="J691" s="164" t="str">
        <f>IFERROR(COUNTIF($B$18:B691,B691)&amp;CHOOSE(MIN(4,COUNTIF($B$18:B691,B691)),"st","nd","rd","th"),"")</f>
        <v/>
      </c>
    </row>
    <row r="692" spans="10:10" x14ac:dyDescent="0.25">
      <c r="J692" s="164" t="str">
        <f>IFERROR(COUNTIF($B$18:B692,B692)&amp;CHOOSE(MIN(4,COUNTIF($B$18:B692,B692)),"st","nd","rd","th"),"")</f>
        <v/>
      </c>
    </row>
    <row r="693" spans="10:10" x14ac:dyDescent="0.25">
      <c r="J693" s="164" t="str">
        <f>IFERROR(COUNTIF($B$18:B693,B693)&amp;CHOOSE(MIN(4,COUNTIF($B$18:B693,B693)),"st","nd","rd","th"),"")</f>
        <v/>
      </c>
    </row>
    <row r="694" spans="10:10" x14ac:dyDescent="0.25">
      <c r="J694" s="164" t="str">
        <f>IFERROR(COUNTIF($B$18:B694,B694)&amp;CHOOSE(MIN(4,COUNTIF($B$18:B694,B694)),"st","nd","rd","th"),"")</f>
        <v/>
      </c>
    </row>
    <row r="695" spans="10:10" x14ac:dyDescent="0.25">
      <c r="J695" s="164" t="str">
        <f>IFERROR(COUNTIF($B$18:B695,B695)&amp;CHOOSE(MIN(4,COUNTIF($B$18:B695,B695)),"st","nd","rd","th"),"")</f>
        <v/>
      </c>
    </row>
    <row r="696" spans="10:10" x14ac:dyDescent="0.25">
      <c r="J696" s="164" t="str">
        <f>IFERROR(COUNTIF($B$18:B696,B696)&amp;CHOOSE(MIN(4,COUNTIF($B$18:B696,B696)),"st","nd","rd","th"),"")</f>
        <v/>
      </c>
    </row>
    <row r="697" spans="10:10" x14ac:dyDescent="0.25">
      <c r="J697" s="164" t="str">
        <f>IFERROR(COUNTIF($B$18:B697,B697)&amp;CHOOSE(MIN(4,COUNTIF($B$18:B697,B697)),"st","nd","rd","th"),"")</f>
        <v/>
      </c>
    </row>
    <row r="698" spans="10:10" x14ac:dyDescent="0.25">
      <c r="J698" s="164" t="str">
        <f>IFERROR(COUNTIF($B$18:B698,B698)&amp;CHOOSE(MIN(4,COUNTIF($B$18:B698,B698)),"st","nd","rd","th"),"")</f>
        <v/>
      </c>
    </row>
    <row r="699" spans="10:10" x14ac:dyDescent="0.25">
      <c r="J699" s="164" t="str">
        <f>IFERROR(COUNTIF($B$18:B699,B699)&amp;CHOOSE(MIN(4,COUNTIF($B$18:B699,B699)),"st","nd","rd","th"),"")</f>
        <v/>
      </c>
    </row>
    <row r="700" spans="10:10" x14ac:dyDescent="0.25">
      <c r="J700" s="164" t="str">
        <f>IFERROR(COUNTIF($B$18:B700,B700)&amp;CHOOSE(MIN(4,COUNTIF($B$18:B700,B700)),"st","nd","rd","th"),"")</f>
        <v/>
      </c>
    </row>
    <row r="701" spans="10:10" x14ac:dyDescent="0.25">
      <c r="J701" s="164" t="str">
        <f>IFERROR(COUNTIF($B$18:B701,B701)&amp;CHOOSE(MIN(4,COUNTIF($B$18:B701,B701)),"st","nd","rd","th"),"")</f>
        <v/>
      </c>
    </row>
    <row r="702" spans="10:10" x14ac:dyDescent="0.25">
      <c r="J702" s="164" t="str">
        <f>IFERROR(COUNTIF($B$18:B702,B702)&amp;CHOOSE(MIN(4,COUNTIF($B$18:B702,B702)),"st","nd","rd","th"),"")</f>
        <v/>
      </c>
    </row>
    <row r="703" spans="10:10" x14ac:dyDescent="0.25">
      <c r="J703" s="164" t="str">
        <f>IFERROR(COUNTIF($B$18:B703,B703)&amp;CHOOSE(MIN(4,COUNTIF($B$18:B703,B703)),"st","nd","rd","th"),"")</f>
        <v/>
      </c>
    </row>
    <row r="704" spans="10:10" x14ac:dyDescent="0.25">
      <c r="J704" s="164" t="str">
        <f>IFERROR(COUNTIF($B$18:B704,B704)&amp;CHOOSE(MIN(4,COUNTIF($B$18:B704,B704)),"st","nd","rd","th"),"")</f>
        <v/>
      </c>
    </row>
    <row r="705" spans="10:10" x14ac:dyDescent="0.25">
      <c r="J705" s="164" t="str">
        <f>IFERROR(COUNTIF($B$18:B705,B705)&amp;CHOOSE(MIN(4,COUNTIF($B$18:B705,B705)),"st","nd","rd","th"),"")</f>
        <v/>
      </c>
    </row>
    <row r="706" spans="10:10" x14ac:dyDescent="0.25">
      <c r="J706" s="164" t="str">
        <f>IFERROR(COUNTIF($B$18:B706,B706)&amp;CHOOSE(MIN(4,COUNTIF($B$18:B706,B706)),"st","nd","rd","th"),"")</f>
        <v/>
      </c>
    </row>
    <row r="707" spans="10:10" x14ac:dyDescent="0.25">
      <c r="J707" s="164" t="str">
        <f>IFERROR(COUNTIF($B$18:B707,B707)&amp;CHOOSE(MIN(4,COUNTIF($B$18:B707,B707)),"st","nd","rd","th"),"")</f>
        <v/>
      </c>
    </row>
    <row r="708" spans="10:10" x14ac:dyDescent="0.25">
      <c r="J708" s="164" t="str">
        <f>IFERROR(COUNTIF($B$18:B708,B708)&amp;CHOOSE(MIN(4,COUNTIF($B$18:B708,B708)),"st","nd","rd","th"),"")</f>
        <v/>
      </c>
    </row>
    <row r="709" spans="10:10" x14ac:dyDescent="0.25">
      <c r="J709" s="164" t="str">
        <f>IFERROR(COUNTIF($B$18:B709,B709)&amp;CHOOSE(MIN(4,COUNTIF($B$18:B709,B709)),"st","nd","rd","th"),"")</f>
        <v/>
      </c>
    </row>
    <row r="710" spans="10:10" x14ac:dyDescent="0.25">
      <c r="J710" s="164" t="str">
        <f>IFERROR(COUNTIF($B$18:B710,B710)&amp;CHOOSE(MIN(4,COUNTIF($B$18:B710,B710)),"st","nd","rd","th"),"")</f>
        <v/>
      </c>
    </row>
    <row r="711" spans="10:10" x14ac:dyDescent="0.25">
      <c r="J711" s="164" t="str">
        <f>IFERROR(COUNTIF($B$18:B711,B711)&amp;CHOOSE(MIN(4,COUNTIF($B$18:B711,B711)),"st","nd","rd","th"),"")</f>
        <v/>
      </c>
    </row>
    <row r="712" spans="10:10" x14ac:dyDescent="0.25">
      <c r="J712" s="164" t="str">
        <f>IFERROR(COUNTIF($B$18:B712,B712)&amp;CHOOSE(MIN(4,COUNTIF($B$18:B712,B712)),"st","nd","rd","th"),"")</f>
        <v/>
      </c>
    </row>
    <row r="713" spans="10:10" x14ac:dyDescent="0.25">
      <c r="J713" s="164" t="str">
        <f>IFERROR(COUNTIF($B$18:B713,B713)&amp;CHOOSE(MIN(4,COUNTIF($B$18:B713,B713)),"st","nd","rd","th"),"")</f>
        <v/>
      </c>
    </row>
    <row r="714" spans="10:10" x14ac:dyDescent="0.25">
      <c r="J714" s="164" t="str">
        <f>IFERROR(COUNTIF($B$18:B714,B714)&amp;CHOOSE(MIN(4,COUNTIF($B$18:B714,B714)),"st","nd","rd","th"),"")</f>
        <v/>
      </c>
    </row>
    <row r="715" spans="10:10" x14ac:dyDescent="0.25">
      <c r="J715" s="164" t="str">
        <f>IFERROR(COUNTIF($B$18:B715,B715)&amp;CHOOSE(MIN(4,COUNTIF($B$18:B715,B715)),"st","nd","rd","th"),"")</f>
        <v/>
      </c>
    </row>
    <row r="716" spans="10:10" x14ac:dyDescent="0.25">
      <c r="J716" s="164" t="str">
        <f>IFERROR(COUNTIF($B$18:B716,B716)&amp;CHOOSE(MIN(4,COUNTIF($B$18:B716,B716)),"st","nd","rd","th"),"")</f>
        <v/>
      </c>
    </row>
    <row r="717" spans="10:10" x14ac:dyDescent="0.25">
      <c r="J717" s="164" t="str">
        <f>IFERROR(COUNTIF($B$18:B717,B717)&amp;CHOOSE(MIN(4,COUNTIF($B$18:B717,B717)),"st","nd","rd","th"),"")</f>
        <v/>
      </c>
    </row>
    <row r="718" spans="10:10" x14ac:dyDescent="0.25">
      <c r="J718" s="164" t="str">
        <f>IFERROR(COUNTIF($B$18:B718,B718)&amp;CHOOSE(MIN(4,COUNTIF($B$18:B718,B718)),"st","nd","rd","th"),"")</f>
        <v/>
      </c>
    </row>
    <row r="719" spans="10:10" x14ac:dyDescent="0.25">
      <c r="J719" s="164" t="str">
        <f>IFERROR(COUNTIF($B$18:B719,B719)&amp;CHOOSE(MIN(4,COUNTIF($B$18:B719,B719)),"st","nd","rd","th"),"")</f>
        <v/>
      </c>
    </row>
    <row r="720" spans="10:10" x14ac:dyDescent="0.25">
      <c r="J720" s="164" t="str">
        <f>IFERROR(COUNTIF($B$18:B720,B720)&amp;CHOOSE(MIN(4,COUNTIF($B$18:B720,B720)),"st","nd","rd","th"),"")</f>
        <v/>
      </c>
    </row>
    <row r="721" spans="10:10" x14ac:dyDescent="0.25">
      <c r="J721" s="164" t="str">
        <f>IFERROR(COUNTIF($B$18:B721,B721)&amp;CHOOSE(MIN(4,COUNTIF($B$18:B721,B721)),"st","nd","rd","th"),"")</f>
        <v/>
      </c>
    </row>
    <row r="722" spans="10:10" x14ac:dyDescent="0.25">
      <c r="J722" s="164" t="str">
        <f>IFERROR(COUNTIF($B$18:B722,B722)&amp;CHOOSE(MIN(4,COUNTIF($B$18:B722,B722)),"st","nd","rd","th"),"")</f>
        <v/>
      </c>
    </row>
    <row r="723" spans="10:10" x14ac:dyDescent="0.25">
      <c r="J723" s="164" t="str">
        <f>IFERROR(COUNTIF($B$18:B723,B723)&amp;CHOOSE(MIN(4,COUNTIF($B$18:B723,B723)),"st","nd","rd","th"),"")</f>
        <v/>
      </c>
    </row>
    <row r="724" spans="10:10" x14ac:dyDescent="0.25">
      <c r="J724" s="164" t="str">
        <f>IFERROR(COUNTIF($B$18:B724,B724)&amp;CHOOSE(MIN(4,COUNTIF($B$18:B724,B724)),"st","nd","rd","th"),"")</f>
        <v/>
      </c>
    </row>
    <row r="725" spans="10:10" x14ac:dyDescent="0.25">
      <c r="J725" s="164" t="str">
        <f>IFERROR(COUNTIF($B$18:B725,B725)&amp;CHOOSE(MIN(4,COUNTIF($B$18:B725,B725)),"st","nd","rd","th"),"")</f>
        <v/>
      </c>
    </row>
    <row r="726" spans="10:10" x14ac:dyDescent="0.25">
      <c r="J726" s="164" t="str">
        <f>IFERROR(COUNTIF($B$18:B726,B726)&amp;CHOOSE(MIN(4,COUNTIF($B$18:B726,B726)),"st","nd","rd","th"),"")</f>
        <v/>
      </c>
    </row>
    <row r="727" spans="10:10" x14ac:dyDescent="0.25">
      <c r="J727" s="164" t="str">
        <f>IFERROR(COUNTIF($B$18:B727,B727)&amp;CHOOSE(MIN(4,COUNTIF($B$18:B727,B727)),"st","nd","rd","th"),"")</f>
        <v/>
      </c>
    </row>
    <row r="728" spans="10:10" x14ac:dyDescent="0.25">
      <c r="J728" s="164" t="str">
        <f>IFERROR(COUNTIF($B$18:B728,B728)&amp;CHOOSE(MIN(4,COUNTIF($B$18:B728,B728)),"st","nd","rd","th"),"")</f>
        <v/>
      </c>
    </row>
    <row r="729" spans="10:10" x14ac:dyDescent="0.25">
      <c r="J729" s="164" t="str">
        <f>IFERROR(COUNTIF($B$18:B729,B729)&amp;CHOOSE(MIN(4,COUNTIF($B$18:B729,B729)),"st","nd","rd","th"),"")</f>
        <v/>
      </c>
    </row>
    <row r="730" spans="10:10" x14ac:dyDescent="0.25">
      <c r="J730" s="164" t="str">
        <f>IFERROR(COUNTIF($B$18:B730,B730)&amp;CHOOSE(MIN(4,COUNTIF($B$18:B730,B730)),"st","nd","rd","th"),"")</f>
        <v/>
      </c>
    </row>
    <row r="731" spans="10:10" x14ac:dyDescent="0.25">
      <c r="J731" s="164" t="str">
        <f>IFERROR(COUNTIF($B$18:B731,B731)&amp;CHOOSE(MIN(4,COUNTIF($B$18:B731,B731)),"st","nd","rd","th"),"")</f>
        <v/>
      </c>
    </row>
    <row r="732" spans="10:10" x14ac:dyDescent="0.25">
      <c r="J732" s="164" t="str">
        <f>IFERROR(COUNTIF($B$18:B732,B732)&amp;CHOOSE(MIN(4,COUNTIF($B$18:B732,B732)),"st","nd","rd","th"),"")</f>
        <v/>
      </c>
    </row>
    <row r="733" spans="10:10" x14ac:dyDescent="0.25">
      <c r="J733" s="164" t="str">
        <f>IFERROR(COUNTIF($B$18:B733,B733)&amp;CHOOSE(MIN(4,COUNTIF($B$18:B733,B733)),"st","nd","rd","th"),"")</f>
        <v/>
      </c>
    </row>
    <row r="734" spans="10:10" x14ac:dyDescent="0.25">
      <c r="J734" s="164" t="str">
        <f>IFERROR(COUNTIF($B$18:B734,B734)&amp;CHOOSE(MIN(4,COUNTIF($B$18:B734,B734)),"st","nd","rd","th"),"")</f>
        <v/>
      </c>
    </row>
    <row r="735" spans="10:10" x14ac:dyDescent="0.25">
      <c r="J735" s="164" t="str">
        <f>IFERROR(COUNTIF($B$18:B735,B735)&amp;CHOOSE(MIN(4,COUNTIF($B$18:B735,B735)),"st","nd","rd","th"),"")</f>
        <v/>
      </c>
    </row>
    <row r="736" spans="10:10" x14ac:dyDescent="0.25">
      <c r="J736" s="164" t="str">
        <f>IFERROR(COUNTIF($B$18:B736,B736)&amp;CHOOSE(MIN(4,COUNTIF($B$18:B736,B736)),"st","nd","rd","th"),"")</f>
        <v/>
      </c>
    </row>
    <row r="737" spans="10:10" x14ac:dyDescent="0.25">
      <c r="J737" s="164" t="str">
        <f>IFERROR(COUNTIF($B$18:B737,B737)&amp;CHOOSE(MIN(4,COUNTIF($B$18:B737,B737)),"st","nd","rd","th"),"")</f>
        <v/>
      </c>
    </row>
    <row r="738" spans="10:10" x14ac:dyDescent="0.25">
      <c r="J738" s="164" t="str">
        <f>IFERROR(COUNTIF($B$18:B738,B738)&amp;CHOOSE(MIN(4,COUNTIF($B$18:B738,B738)),"st","nd","rd","th"),"")</f>
        <v/>
      </c>
    </row>
    <row r="739" spans="10:10" x14ac:dyDescent="0.25">
      <c r="J739" s="164" t="str">
        <f>IFERROR(COUNTIF($B$18:B739,B739)&amp;CHOOSE(MIN(4,COUNTIF($B$18:B739,B739)),"st","nd","rd","th"),"")</f>
        <v/>
      </c>
    </row>
    <row r="740" spans="10:10" x14ac:dyDescent="0.25">
      <c r="J740" s="164" t="str">
        <f>IFERROR(COUNTIF($B$18:B740,B740)&amp;CHOOSE(MIN(4,COUNTIF($B$18:B740,B740)),"st","nd","rd","th"),"")</f>
        <v/>
      </c>
    </row>
    <row r="741" spans="10:10" x14ac:dyDescent="0.25">
      <c r="J741" s="164" t="str">
        <f>IFERROR(COUNTIF($B$18:B741,B741)&amp;CHOOSE(MIN(4,COUNTIF($B$18:B741,B741)),"st","nd","rd","th"),"")</f>
        <v/>
      </c>
    </row>
    <row r="742" spans="10:10" x14ac:dyDescent="0.25">
      <c r="J742" s="164" t="str">
        <f>IFERROR(COUNTIF($B$18:B742,B742)&amp;CHOOSE(MIN(4,COUNTIF($B$18:B742,B742)),"st","nd","rd","th"),"")</f>
        <v/>
      </c>
    </row>
    <row r="743" spans="10:10" x14ac:dyDescent="0.25">
      <c r="J743" s="164" t="str">
        <f>IFERROR(COUNTIF($B$18:B743,B743)&amp;CHOOSE(MIN(4,COUNTIF($B$18:B743,B743)),"st","nd","rd","th"),"")</f>
        <v/>
      </c>
    </row>
    <row r="744" spans="10:10" x14ac:dyDescent="0.25">
      <c r="J744" s="164" t="str">
        <f>IFERROR(COUNTIF($B$18:B744,B744)&amp;CHOOSE(MIN(4,COUNTIF($B$18:B744,B744)),"st","nd","rd","th"),"")</f>
        <v/>
      </c>
    </row>
    <row r="745" spans="10:10" x14ac:dyDescent="0.25">
      <c r="J745" s="164" t="str">
        <f>IFERROR(COUNTIF($B$18:B745,B745)&amp;CHOOSE(MIN(4,COUNTIF($B$18:B745,B745)),"st","nd","rd","th"),"")</f>
        <v/>
      </c>
    </row>
    <row r="746" spans="10:10" x14ac:dyDescent="0.25">
      <c r="J746" s="164" t="str">
        <f>IFERROR(COUNTIF($B$18:B746,B746)&amp;CHOOSE(MIN(4,COUNTIF($B$18:B746,B746)),"st","nd","rd","th"),"")</f>
        <v/>
      </c>
    </row>
    <row r="747" spans="10:10" x14ac:dyDescent="0.25">
      <c r="J747" s="164" t="str">
        <f>IFERROR(COUNTIF($B$18:B747,B747)&amp;CHOOSE(MIN(4,COUNTIF($B$18:B747,B747)),"st","nd","rd","th"),"")</f>
        <v/>
      </c>
    </row>
    <row r="748" spans="10:10" x14ac:dyDescent="0.25">
      <c r="J748" s="164" t="str">
        <f>IFERROR(COUNTIF($B$18:B748,B748)&amp;CHOOSE(MIN(4,COUNTIF($B$18:B748,B748)),"st","nd","rd","th"),"")</f>
        <v/>
      </c>
    </row>
    <row r="749" spans="10:10" x14ac:dyDescent="0.25">
      <c r="J749" s="164" t="str">
        <f>IFERROR(COUNTIF($B$18:B749,B749)&amp;CHOOSE(MIN(4,COUNTIF($B$18:B749,B749)),"st","nd","rd","th"),"")</f>
        <v/>
      </c>
    </row>
    <row r="750" spans="10:10" x14ac:dyDescent="0.25">
      <c r="J750" s="164" t="str">
        <f>IFERROR(COUNTIF($B$18:B750,B750)&amp;CHOOSE(MIN(4,COUNTIF($B$18:B750,B750)),"st","nd","rd","th"),"")</f>
        <v/>
      </c>
    </row>
    <row r="751" spans="10:10" x14ac:dyDescent="0.25">
      <c r="J751" s="164" t="str">
        <f>IFERROR(COUNTIF($B$18:B751,B751)&amp;CHOOSE(MIN(4,COUNTIF($B$18:B751,B751)),"st","nd","rd","th"),"")</f>
        <v/>
      </c>
    </row>
    <row r="752" spans="10:10" x14ac:dyDescent="0.25">
      <c r="J752" s="164" t="str">
        <f>IFERROR(COUNTIF($B$18:B752,B752)&amp;CHOOSE(MIN(4,COUNTIF($B$18:B752,B752)),"st","nd","rd","th"),"")</f>
        <v/>
      </c>
    </row>
    <row r="753" spans="10:10" x14ac:dyDescent="0.25">
      <c r="J753" s="164" t="str">
        <f>IFERROR(COUNTIF($B$18:B753,B753)&amp;CHOOSE(MIN(4,COUNTIF($B$18:B753,B753)),"st","nd","rd","th"),"")</f>
        <v/>
      </c>
    </row>
    <row r="754" spans="10:10" x14ac:dyDescent="0.25">
      <c r="J754" s="164" t="str">
        <f>IFERROR(COUNTIF($B$18:B754,B754)&amp;CHOOSE(MIN(4,COUNTIF($B$18:B754,B754)),"st","nd","rd","th"),"")</f>
        <v/>
      </c>
    </row>
    <row r="755" spans="10:10" x14ac:dyDescent="0.25">
      <c r="J755" s="164" t="str">
        <f>IFERROR(COUNTIF($B$18:B755,B755)&amp;CHOOSE(MIN(4,COUNTIF($B$18:B755,B755)),"st","nd","rd","th"),"")</f>
        <v/>
      </c>
    </row>
    <row r="756" spans="10:10" x14ac:dyDescent="0.25">
      <c r="J756" s="164" t="str">
        <f>IFERROR(COUNTIF($B$18:B756,B756)&amp;CHOOSE(MIN(4,COUNTIF($B$18:B756,B756)),"st","nd","rd","th"),"")</f>
        <v/>
      </c>
    </row>
    <row r="757" spans="10:10" x14ac:dyDescent="0.25">
      <c r="J757" s="164" t="str">
        <f>IFERROR(COUNTIF($B$18:B757,B757)&amp;CHOOSE(MIN(4,COUNTIF($B$18:B757,B757)),"st","nd","rd","th"),"")</f>
        <v/>
      </c>
    </row>
    <row r="758" spans="10:10" x14ac:dyDescent="0.25">
      <c r="J758" s="164" t="str">
        <f>IFERROR(COUNTIF($B$18:B758,B758)&amp;CHOOSE(MIN(4,COUNTIF($B$18:B758,B758)),"st","nd","rd","th"),"")</f>
        <v/>
      </c>
    </row>
    <row r="759" spans="10:10" x14ac:dyDescent="0.25">
      <c r="J759" s="164" t="str">
        <f>IFERROR(COUNTIF($B$18:B759,B759)&amp;CHOOSE(MIN(4,COUNTIF($B$18:B759,B759)),"st","nd","rd","th"),"")</f>
        <v/>
      </c>
    </row>
    <row r="760" spans="10:10" x14ac:dyDescent="0.25">
      <c r="J760" s="164" t="str">
        <f>IFERROR(COUNTIF($B$18:B760,B760)&amp;CHOOSE(MIN(4,COUNTIF($B$18:B760,B760)),"st","nd","rd","th"),"")</f>
        <v/>
      </c>
    </row>
    <row r="761" spans="10:10" x14ac:dyDescent="0.25">
      <c r="J761" s="164" t="str">
        <f>IFERROR(COUNTIF($B$18:B761,B761)&amp;CHOOSE(MIN(4,COUNTIF($B$18:B761,B761)),"st","nd","rd","th"),"")</f>
        <v/>
      </c>
    </row>
    <row r="762" spans="10:10" x14ac:dyDescent="0.25">
      <c r="J762" s="164" t="str">
        <f>IFERROR(COUNTIF($B$18:B762,B762)&amp;CHOOSE(MIN(4,COUNTIF($B$18:B762,B762)),"st","nd","rd","th"),"")</f>
        <v/>
      </c>
    </row>
    <row r="763" spans="10:10" x14ac:dyDescent="0.25">
      <c r="J763" s="164" t="str">
        <f>IFERROR(COUNTIF($B$18:B763,B763)&amp;CHOOSE(MIN(4,COUNTIF($B$18:B763,B763)),"st","nd","rd","th"),"")</f>
        <v/>
      </c>
    </row>
    <row r="764" spans="10:10" x14ac:dyDescent="0.25">
      <c r="J764" s="164" t="str">
        <f>IFERROR(COUNTIF($B$18:B764,B764)&amp;CHOOSE(MIN(4,COUNTIF($B$18:B764,B764)),"st","nd","rd","th"),"")</f>
        <v/>
      </c>
    </row>
    <row r="765" spans="10:10" x14ac:dyDescent="0.25">
      <c r="J765" s="164" t="str">
        <f>IFERROR(COUNTIF($B$18:B765,B765)&amp;CHOOSE(MIN(4,COUNTIF($B$18:B765,B765)),"st","nd","rd","th"),"")</f>
        <v/>
      </c>
    </row>
    <row r="766" spans="10:10" x14ac:dyDescent="0.25">
      <c r="J766" s="164" t="str">
        <f>IFERROR(COUNTIF($B$18:B766,B766)&amp;CHOOSE(MIN(4,COUNTIF($B$18:B766,B766)),"st","nd","rd","th"),"")</f>
        <v/>
      </c>
    </row>
    <row r="767" spans="10:10" x14ac:dyDescent="0.25">
      <c r="J767" s="164" t="str">
        <f>IFERROR(COUNTIF($B$18:B767,B767)&amp;CHOOSE(MIN(4,COUNTIF($B$18:B767,B767)),"st","nd","rd","th"),"")</f>
        <v/>
      </c>
    </row>
    <row r="768" spans="10:10" x14ac:dyDescent="0.25">
      <c r="J768" s="164" t="str">
        <f>IFERROR(COUNTIF($B$18:B768,B768)&amp;CHOOSE(MIN(4,COUNTIF($B$18:B768,B768)),"st","nd","rd","th"),"")</f>
        <v/>
      </c>
    </row>
    <row r="769" spans="10:10" x14ac:dyDescent="0.25">
      <c r="J769" s="164" t="str">
        <f>IFERROR(COUNTIF($B$18:B769,B769)&amp;CHOOSE(MIN(4,COUNTIF($B$18:B769,B769)),"st","nd","rd","th"),"")</f>
        <v/>
      </c>
    </row>
    <row r="770" spans="10:10" x14ac:dyDescent="0.25">
      <c r="J770" s="164" t="str">
        <f>IFERROR(COUNTIF($B$18:B770,B770)&amp;CHOOSE(MIN(4,COUNTIF($B$18:B770,B770)),"st","nd","rd","th"),"")</f>
        <v/>
      </c>
    </row>
    <row r="771" spans="10:10" x14ac:dyDescent="0.25">
      <c r="J771" s="164" t="str">
        <f>IFERROR(COUNTIF($B$18:B771,B771)&amp;CHOOSE(MIN(4,COUNTIF($B$18:B771,B771)),"st","nd","rd","th"),"")</f>
        <v/>
      </c>
    </row>
    <row r="772" spans="10:10" x14ac:dyDescent="0.25">
      <c r="J772" s="164" t="str">
        <f>IFERROR(COUNTIF($B$18:B772,B772)&amp;CHOOSE(MIN(4,COUNTIF($B$18:B772,B772)),"st","nd","rd","th"),"")</f>
        <v/>
      </c>
    </row>
    <row r="773" spans="10:10" x14ac:dyDescent="0.25">
      <c r="J773" s="164" t="str">
        <f>IFERROR(COUNTIF($B$18:B773,B773)&amp;CHOOSE(MIN(4,COUNTIF($B$18:B773,B773)),"st","nd","rd","th"),"")</f>
        <v/>
      </c>
    </row>
    <row r="774" spans="10:10" x14ac:dyDescent="0.25">
      <c r="J774" s="164" t="str">
        <f>IFERROR(COUNTIF($B$18:B774,B774)&amp;CHOOSE(MIN(4,COUNTIF($B$18:B774,B774)),"st","nd","rd","th"),"")</f>
        <v/>
      </c>
    </row>
    <row r="775" spans="10:10" x14ac:dyDescent="0.25">
      <c r="J775" s="164" t="str">
        <f>IFERROR(COUNTIF($B$18:B775,B775)&amp;CHOOSE(MIN(4,COUNTIF($B$18:B775,B775)),"st","nd","rd","th"),"")</f>
        <v/>
      </c>
    </row>
    <row r="776" spans="10:10" x14ac:dyDescent="0.25">
      <c r="J776" s="164" t="str">
        <f>IFERROR(COUNTIF($B$18:B776,B776)&amp;CHOOSE(MIN(4,COUNTIF($B$18:B776,B776)),"st","nd","rd","th"),"")</f>
        <v/>
      </c>
    </row>
    <row r="777" spans="10:10" x14ac:dyDescent="0.25">
      <c r="J777" s="164" t="str">
        <f>IFERROR(COUNTIF($B$18:B777,B777)&amp;CHOOSE(MIN(4,COUNTIF($B$18:B777,B777)),"st","nd","rd","th"),"")</f>
        <v/>
      </c>
    </row>
    <row r="778" spans="10:10" x14ac:dyDescent="0.25">
      <c r="J778" s="164" t="str">
        <f>IFERROR(COUNTIF($B$18:B778,B778)&amp;CHOOSE(MIN(4,COUNTIF($B$18:B778,B778)),"st","nd","rd","th"),"")</f>
        <v/>
      </c>
    </row>
    <row r="779" spans="10:10" x14ac:dyDescent="0.25">
      <c r="J779" s="164" t="str">
        <f>IFERROR(COUNTIF($B$18:B779,B779)&amp;CHOOSE(MIN(4,COUNTIF($B$18:B779,B779)),"st","nd","rd","th"),"")</f>
        <v/>
      </c>
    </row>
    <row r="780" spans="10:10" x14ac:dyDescent="0.25">
      <c r="J780" s="164" t="str">
        <f>IFERROR(COUNTIF($B$18:B780,B780)&amp;CHOOSE(MIN(4,COUNTIF($B$18:B780,B780)),"st","nd","rd","th"),"")</f>
        <v/>
      </c>
    </row>
    <row r="781" spans="10:10" x14ac:dyDescent="0.25">
      <c r="J781" s="164" t="str">
        <f>IFERROR(COUNTIF($B$18:B781,B781)&amp;CHOOSE(MIN(4,COUNTIF($B$18:B781,B781)),"st","nd","rd","th"),"")</f>
        <v/>
      </c>
    </row>
    <row r="782" spans="10:10" x14ac:dyDescent="0.25">
      <c r="J782" s="164" t="str">
        <f>IFERROR(COUNTIF($B$18:B782,B782)&amp;CHOOSE(MIN(4,COUNTIF($B$18:B782,B782)),"st","nd","rd","th"),"")</f>
        <v/>
      </c>
    </row>
    <row r="783" spans="10:10" x14ac:dyDescent="0.25">
      <c r="J783" s="164" t="str">
        <f>IFERROR(COUNTIF($B$18:B783,B783)&amp;CHOOSE(MIN(4,COUNTIF($B$18:B783,B783)),"st","nd","rd","th"),"")</f>
        <v/>
      </c>
    </row>
    <row r="784" spans="10:10" x14ac:dyDescent="0.25">
      <c r="J784" s="164" t="str">
        <f>IFERROR(COUNTIF($B$18:B784,B784)&amp;CHOOSE(MIN(4,COUNTIF($B$18:B784,B784)),"st","nd","rd","th"),"")</f>
        <v/>
      </c>
    </row>
    <row r="785" spans="10:10" x14ac:dyDescent="0.25">
      <c r="J785" s="164" t="str">
        <f>IFERROR(COUNTIF($B$18:B785,B785)&amp;CHOOSE(MIN(4,COUNTIF($B$18:B785,B785)),"st","nd","rd","th"),"")</f>
        <v/>
      </c>
    </row>
    <row r="786" spans="10:10" x14ac:dyDescent="0.25">
      <c r="J786" s="164" t="str">
        <f>IFERROR(COUNTIF($B$18:B786,B786)&amp;CHOOSE(MIN(4,COUNTIF($B$18:B786,B786)),"st","nd","rd","th"),"")</f>
        <v/>
      </c>
    </row>
    <row r="787" spans="10:10" x14ac:dyDescent="0.25">
      <c r="J787" s="164" t="str">
        <f>IFERROR(COUNTIF($B$18:B787,B787)&amp;CHOOSE(MIN(4,COUNTIF($B$18:B787,B787)),"st","nd","rd","th"),"")</f>
        <v/>
      </c>
    </row>
    <row r="788" spans="10:10" x14ac:dyDescent="0.25">
      <c r="J788" s="164" t="str">
        <f>IFERROR(COUNTIF($B$18:B788,B788)&amp;CHOOSE(MIN(4,COUNTIF($B$18:B788,B788)),"st","nd","rd","th"),"")</f>
        <v/>
      </c>
    </row>
    <row r="789" spans="10:10" x14ac:dyDescent="0.25">
      <c r="J789" s="164" t="str">
        <f>IFERROR(COUNTIF($B$18:B789,B789)&amp;CHOOSE(MIN(4,COUNTIF($B$18:B789,B789)),"st","nd","rd","th"),"")</f>
        <v/>
      </c>
    </row>
    <row r="790" spans="10:10" x14ac:dyDescent="0.25">
      <c r="J790" s="164" t="str">
        <f>IFERROR(COUNTIF($B$18:B790,B790)&amp;CHOOSE(MIN(4,COUNTIF($B$18:B790,B790)),"st","nd","rd","th"),"")</f>
        <v/>
      </c>
    </row>
    <row r="791" spans="10:10" x14ac:dyDescent="0.25">
      <c r="J791" s="164" t="str">
        <f>IFERROR(COUNTIF($B$18:B791,B791)&amp;CHOOSE(MIN(4,COUNTIF($B$18:B791,B791)),"st","nd","rd","th"),"")</f>
        <v/>
      </c>
    </row>
    <row r="792" spans="10:10" x14ac:dyDescent="0.25">
      <c r="J792" s="164" t="str">
        <f>IFERROR(COUNTIF($B$18:B792,B792)&amp;CHOOSE(MIN(4,COUNTIF($B$18:B792,B792)),"st","nd","rd","th"),"")</f>
        <v/>
      </c>
    </row>
    <row r="793" spans="10:10" x14ac:dyDescent="0.25">
      <c r="J793" s="164" t="str">
        <f>IFERROR(COUNTIF($B$18:B793,B793)&amp;CHOOSE(MIN(4,COUNTIF($B$18:B793,B793)),"st","nd","rd","th"),"")</f>
        <v/>
      </c>
    </row>
    <row r="794" spans="10:10" x14ac:dyDescent="0.25">
      <c r="J794" s="164" t="str">
        <f>IFERROR(COUNTIF($B$18:B794,B794)&amp;CHOOSE(MIN(4,COUNTIF($B$18:B794,B794)),"st","nd","rd","th"),"")</f>
        <v/>
      </c>
    </row>
    <row r="795" spans="10:10" x14ac:dyDescent="0.25">
      <c r="J795" s="164" t="str">
        <f>IFERROR(COUNTIF($B$18:B795,B795)&amp;CHOOSE(MIN(4,COUNTIF($B$18:B795,B795)),"st","nd","rd","th"),"")</f>
        <v/>
      </c>
    </row>
    <row r="796" spans="10:10" x14ac:dyDescent="0.25">
      <c r="J796" s="164" t="str">
        <f>IFERROR(COUNTIF($B$18:B796,B796)&amp;CHOOSE(MIN(4,COUNTIF($B$18:B796,B796)),"st","nd","rd","th"),"")</f>
        <v/>
      </c>
    </row>
    <row r="797" spans="10:10" x14ac:dyDescent="0.25">
      <c r="J797" s="164" t="str">
        <f>IFERROR(COUNTIF($B$18:B797,B797)&amp;CHOOSE(MIN(4,COUNTIF($B$18:B797,B797)),"st","nd","rd","th"),"")</f>
        <v/>
      </c>
    </row>
    <row r="798" spans="10:10" x14ac:dyDescent="0.25">
      <c r="J798" s="164" t="str">
        <f>IFERROR(COUNTIF($B$18:B798,B798)&amp;CHOOSE(MIN(4,COUNTIF($B$18:B798,B798)),"st","nd","rd","th"),"")</f>
        <v/>
      </c>
    </row>
    <row r="799" spans="10:10" x14ac:dyDescent="0.25">
      <c r="J799" s="164" t="str">
        <f>IFERROR(COUNTIF($B$18:B799,B799)&amp;CHOOSE(MIN(4,COUNTIF($B$18:B799,B799)),"st","nd","rd","th"),"")</f>
        <v/>
      </c>
    </row>
    <row r="800" spans="10:10" x14ac:dyDescent="0.25">
      <c r="J800" s="164" t="str">
        <f>IFERROR(COUNTIF($B$18:B800,B800)&amp;CHOOSE(MIN(4,COUNTIF($B$18:B800,B800)),"st","nd","rd","th"),"")</f>
        <v/>
      </c>
    </row>
    <row r="801" spans="10:10" x14ac:dyDescent="0.25">
      <c r="J801" s="164" t="str">
        <f>IFERROR(COUNTIF($B$18:B801,B801)&amp;CHOOSE(MIN(4,COUNTIF($B$18:B801,B801)),"st","nd","rd","th"),"")</f>
        <v/>
      </c>
    </row>
    <row r="802" spans="10:10" x14ac:dyDescent="0.25">
      <c r="J802" s="164" t="str">
        <f>IFERROR(COUNTIF($B$18:B802,B802)&amp;CHOOSE(MIN(4,COUNTIF($B$18:B802,B802)),"st","nd","rd","th"),"")</f>
        <v/>
      </c>
    </row>
    <row r="803" spans="10:10" x14ac:dyDescent="0.25">
      <c r="J803" s="164" t="str">
        <f>IFERROR(COUNTIF($B$18:B803,B803)&amp;CHOOSE(MIN(4,COUNTIF($B$18:B803,B803)),"st","nd","rd","th"),"")</f>
        <v/>
      </c>
    </row>
    <row r="804" spans="10:10" x14ac:dyDescent="0.25">
      <c r="J804" s="164" t="str">
        <f>IFERROR(COUNTIF($B$18:B804,B804)&amp;CHOOSE(MIN(4,COUNTIF($B$18:B804,B804)),"st","nd","rd","th"),"")</f>
        <v/>
      </c>
    </row>
    <row r="805" spans="10:10" x14ac:dyDescent="0.25">
      <c r="J805" s="164" t="str">
        <f>IFERROR(COUNTIF($B$18:B805,B805)&amp;CHOOSE(MIN(4,COUNTIF($B$18:B805,B805)),"st","nd","rd","th"),"")</f>
        <v/>
      </c>
    </row>
    <row r="806" spans="10:10" x14ac:dyDescent="0.25">
      <c r="J806" s="164" t="str">
        <f>IFERROR(COUNTIF($B$18:B806,B806)&amp;CHOOSE(MIN(4,COUNTIF($B$18:B806,B806)),"st","nd","rd","th"),"")</f>
        <v/>
      </c>
    </row>
    <row r="807" spans="10:10" x14ac:dyDescent="0.25">
      <c r="J807" s="164" t="str">
        <f>IFERROR(COUNTIF($B$18:B807,B807)&amp;CHOOSE(MIN(4,COUNTIF($B$18:B807,B807)),"st","nd","rd","th"),"")</f>
        <v/>
      </c>
    </row>
    <row r="808" spans="10:10" x14ac:dyDescent="0.25">
      <c r="J808" s="164" t="str">
        <f>IFERROR(COUNTIF($B$18:B808,B808)&amp;CHOOSE(MIN(4,COUNTIF($B$18:B808,B808)),"st","nd","rd","th"),"")</f>
        <v/>
      </c>
    </row>
    <row r="809" spans="10:10" x14ac:dyDescent="0.25">
      <c r="J809" s="164" t="str">
        <f>IFERROR(COUNTIF($B$18:B809,B809)&amp;CHOOSE(MIN(4,COUNTIF($B$18:B809,B809)),"st","nd","rd","th"),"")</f>
        <v/>
      </c>
    </row>
    <row r="810" spans="10:10" x14ac:dyDescent="0.25">
      <c r="J810" s="164" t="str">
        <f>IFERROR(COUNTIF($B$18:B810,B810)&amp;CHOOSE(MIN(4,COUNTIF($B$18:B810,B810)),"st","nd","rd","th"),"")</f>
        <v/>
      </c>
    </row>
    <row r="811" spans="10:10" x14ac:dyDescent="0.25">
      <c r="J811" s="164" t="str">
        <f>IFERROR(COUNTIF($B$18:B811,B811)&amp;CHOOSE(MIN(4,COUNTIF($B$18:B811,B811)),"st","nd","rd","th"),"")</f>
        <v/>
      </c>
    </row>
    <row r="812" spans="10:10" x14ac:dyDescent="0.25">
      <c r="J812" s="164" t="str">
        <f>IFERROR(COUNTIF($B$18:B812,B812)&amp;CHOOSE(MIN(4,COUNTIF($B$18:B812,B812)),"st","nd","rd","th"),"")</f>
        <v/>
      </c>
    </row>
    <row r="813" spans="10:10" x14ac:dyDescent="0.25">
      <c r="J813" s="164" t="str">
        <f>IFERROR(COUNTIF($B$18:B813,B813)&amp;CHOOSE(MIN(4,COUNTIF($B$18:B813,B813)),"st","nd","rd","th"),"")</f>
        <v/>
      </c>
    </row>
    <row r="814" spans="10:10" x14ac:dyDescent="0.25">
      <c r="J814" s="164" t="str">
        <f>IFERROR(COUNTIF($B$18:B814,B814)&amp;CHOOSE(MIN(4,COUNTIF($B$18:B814,B814)),"st","nd","rd","th"),"")</f>
        <v/>
      </c>
    </row>
    <row r="815" spans="10:10" x14ac:dyDescent="0.25">
      <c r="J815" s="164" t="str">
        <f>IFERROR(COUNTIF($B$18:B815,B815)&amp;CHOOSE(MIN(4,COUNTIF($B$18:B815,B815)),"st","nd","rd","th"),"")</f>
        <v/>
      </c>
    </row>
    <row r="816" spans="10:10" x14ac:dyDescent="0.25">
      <c r="J816" s="164" t="str">
        <f>IFERROR(COUNTIF($B$18:B816,B816)&amp;CHOOSE(MIN(4,COUNTIF($B$18:B816,B816)),"st","nd","rd","th"),"")</f>
        <v/>
      </c>
    </row>
    <row r="817" spans="10:10" x14ac:dyDescent="0.25">
      <c r="J817" s="164" t="str">
        <f>IFERROR(COUNTIF($B$18:B817,B817)&amp;CHOOSE(MIN(4,COUNTIF($B$18:B817,B817)),"st","nd","rd","th"),"")</f>
        <v/>
      </c>
    </row>
    <row r="818" spans="10:10" x14ac:dyDescent="0.25">
      <c r="J818" s="164" t="str">
        <f>IFERROR(COUNTIF($B$18:B818,B818)&amp;CHOOSE(MIN(4,COUNTIF($B$18:B818,B818)),"st","nd","rd","th"),"")</f>
        <v/>
      </c>
    </row>
    <row r="819" spans="10:10" x14ac:dyDescent="0.25">
      <c r="J819" s="164" t="str">
        <f>IFERROR(COUNTIF($B$18:B819,B819)&amp;CHOOSE(MIN(4,COUNTIF($B$18:B819,B819)),"st","nd","rd","th"),"")</f>
        <v/>
      </c>
    </row>
    <row r="820" spans="10:10" x14ac:dyDescent="0.25">
      <c r="J820" s="164" t="str">
        <f>IFERROR(COUNTIF($B$18:B820,B820)&amp;CHOOSE(MIN(4,COUNTIF($B$18:B820,B820)),"st","nd","rd","th"),"")</f>
        <v/>
      </c>
    </row>
    <row r="821" spans="10:10" x14ac:dyDescent="0.25">
      <c r="J821" s="164" t="str">
        <f>IFERROR(COUNTIF($B$18:B821,B821)&amp;CHOOSE(MIN(4,COUNTIF($B$18:B821,B821)),"st","nd","rd","th"),"")</f>
        <v/>
      </c>
    </row>
    <row r="822" spans="10:10" x14ac:dyDescent="0.25">
      <c r="J822" s="164" t="str">
        <f>IFERROR(COUNTIF($B$18:B822,B822)&amp;CHOOSE(MIN(4,COUNTIF($B$18:B822,B822)),"st","nd","rd","th"),"")</f>
        <v/>
      </c>
    </row>
    <row r="823" spans="10:10" x14ac:dyDescent="0.25">
      <c r="J823" s="164" t="str">
        <f>IFERROR(COUNTIF($B$18:B823,B823)&amp;CHOOSE(MIN(4,COUNTIF($B$18:B823,B823)),"st","nd","rd","th"),"")</f>
        <v/>
      </c>
    </row>
    <row r="824" spans="10:10" x14ac:dyDescent="0.25">
      <c r="J824" s="164" t="str">
        <f>IFERROR(COUNTIF($B$18:B824,B824)&amp;CHOOSE(MIN(4,COUNTIF($B$18:B824,B824)),"st","nd","rd","th"),"")</f>
        <v/>
      </c>
    </row>
    <row r="825" spans="10:10" x14ac:dyDescent="0.25">
      <c r="J825" s="164" t="str">
        <f>IFERROR(COUNTIF($B$18:B825,B825)&amp;CHOOSE(MIN(4,COUNTIF($B$18:B825,B825)),"st","nd","rd","th"),"")</f>
        <v/>
      </c>
    </row>
    <row r="826" spans="10:10" x14ac:dyDescent="0.25">
      <c r="J826" s="164" t="str">
        <f>IFERROR(COUNTIF($B$18:B826,B826)&amp;CHOOSE(MIN(4,COUNTIF($B$18:B826,B826)),"st","nd","rd","th"),"")</f>
        <v/>
      </c>
    </row>
    <row r="827" spans="10:10" x14ac:dyDescent="0.25">
      <c r="J827" s="164" t="str">
        <f>IFERROR(COUNTIF($B$18:B827,B827)&amp;CHOOSE(MIN(4,COUNTIF($B$18:B827,B827)),"st","nd","rd","th"),"")</f>
        <v/>
      </c>
    </row>
    <row r="828" spans="10:10" x14ac:dyDescent="0.25">
      <c r="J828" s="164" t="str">
        <f>IFERROR(COUNTIF($B$18:B828,B828)&amp;CHOOSE(MIN(4,COUNTIF($B$18:B828,B828)),"st","nd","rd","th"),"")</f>
        <v/>
      </c>
    </row>
    <row r="829" spans="10:10" x14ac:dyDescent="0.25">
      <c r="J829" s="164" t="str">
        <f>IFERROR(COUNTIF($B$18:B829,B829)&amp;CHOOSE(MIN(4,COUNTIF($B$18:B829,B829)),"st","nd","rd","th"),"")</f>
        <v/>
      </c>
    </row>
    <row r="830" spans="10:10" x14ac:dyDescent="0.25">
      <c r="J830" s="164" t="str">
        <f>IFERROR(COUNTIF($B$18:B830,B830)&amp;CHOOSE(MIN(4,COUNTIF($B$18:B830,B830)),"st","nd","rd","th"),"")</f>
        <v/>
      </c>
    </row>
    <row r="831" spans="10:10" x14ac:dyDescent="0.25">
      <c r="J831" s="164" t="str">
        <f>IFERROR(COUNTIF($B$18:B831,B831)&amp;CHOOSE(MIN(4,COUNTIF($B$18:B831,B831)),"st","nd","rd","th"),"")</f>
        <v/>
      </c>
    </row>
    <row r="832" spans="10:10" x14ac:dyDescent="0.25">
      <c r="J832" s="164" t="str">
        <f>IFERROR(COUNTIF($B$18:B832,B832)&amp;CHOOSE(MIN(4,COUNTIF($B$18:B832,B832)),"st","nd","rd","th"),"")</f>
        <v/>
      </c>
    </row>
    <row r="833" spans="10:10" x14ac:dyDescent="0.25">
      <c r="J833" s="164" t="str">
        <f>IFERROR(COUNTIF($B$18:B833,B833)&amp;CHOOSE(MIN(4,COUNTIF($B$18:B833,B833)),"st","nd","rd","th"),"")</f>
        <v/>
      </c>
    </row>
    <row r="834" spans="10:10" x14ac:dyDescent="0.25">
      <c r="J834" s="164" t="str">
        <f>IFERROR(COUNTIF($B$18:B834,B834)&amp;CHOOSE(MIN(4,COUNTIF($B$18:B834,B834)),"st","nd","rd","th"),"")</f>
        <v/>
      </c>
    </row>
    <row r="835" spans="10:10" x14ac:dyDescent="0.25">
      <c r="J835" s="164" t="str">
        <f>IFERROR(COUNTIF($B$18:B835,B835)&amp;CHOOSE(MIN(4,COUNTIF($B$18:B835,B835)),"st","nd","rd","th"),"")</f>
        <v/>
      </c>
    </row>
    <row r="836" spans="10:10" x14ac:dyDescent="0.25">
      <c r="J836" s="164" t="str">
        <f>IFERROR(COUNTIF($B$18:B836,B836)&amp;CHOOSE(MIN(4,COUNTIF($B$18:B836,B836)),"st","nd","rd","th"),"")</f>
        <v/>
      </c>
    </row>
    <row r="837" spans="10:10" x14ac:dyDescent="0.25">
      <c r="J837" s="164" t="str">
        <f>IFERROR(COUNTIF($B$18:B837,B837)&amp;CHOOSE(MIN(4,COUNTIF($B$18:B837,B837)),"st","nd","rd","th"),"")</f>
        <v/>
      </c>
    </row>
    <row r="838" spans="10:10" x14ac:dyDescent="0.25">
      <c r="J838" s="164" t="str">
        <f>IFERROR(COUNTIF($B$18:B838,B838)&amp;CHOOSE(MIN(4,COUNTIF($B$18:B838,B838)),"st","nd","rd","th"),"")</f>
        <v/>
      </c>
    </row>
    <row r="839" spans="10:10" x14ac:dyDescent="0.25">
      <c r="J839" s="164" t="str">
        <f>IFERROR(COUNTIF($B$18:B839,B839)&amp;CHOOSE(MIN(4,COUNTIF($B$18:B839,B839)),"st","nd","rd","th"),"")</f>
        <v/>
      </c>
    </row>
    <row r="840" spans="10:10" x14ac:dyDescent="0.25">
      <c r="J840" s="164" t="str">
        <f>IFERROR(COUNTIF($B$18:B840,B840)&amp;CHOOSE(MIN(4,COUNTIF($B$18:B840,B840)),"st","nd","rd","th"),"")</f>
        <v/>
      </c>
    </row>
    <row r="841" spans="10:10" x14ac:dyDescent="0.25">
      <c r="J841" s="164" t="str">
        <f>IFERROR(COUNTIF($B$18:B841,B841)&amp;CHOOSE(MIN(4,COUNTIF($B$18:B841,B841)),"st","nd","rd","th"),"")</f>
        <v/>
      </c>
    </row>
    <row r="842" spans="10:10" x14ac:dyDescent="0.25">
      <c r="J842" s="164" t="str">
        <f>IFERROR(COUNTIF($B$18:B842,B842)&amp;CHOOSE(MIN(4,COUNTIF($B$18:B842,B842)),"st","nd","rd","th"),"")</f>
        <v/>
      </c>
    </row>
    <row r="843" spans="10:10" x14ac:dyDescent="0.25">
      <c r="J843" s="164" t="str">
        <f>IFERROR(COUNTIF($B$18:B843,B843)&amp;CHOOSE(MIN(4,COUNTIF($B$18:B843,B843)),"st","nd","rd","th"),"")</f>
        <v/>
      </c>
    </row>
    <row r="844" spans="10:10" x14ac:dyDescent="0.25">
      <c r="J844" s="164" t="str">
        <f>IFERROR(COUNTIF($B$18:B844,B844)&amp;CHOOSE(MIN(4,COUNTIF($B$18:B844,B844)),"st","nd","rd","th"),"")</f>
        <v/>
      </c>
    </row>
    <row r="845" spans="10:10" x14ac:dyDescent="0.25">
      <c r="J845" s="164" t="str">
        <f>IFERROR(COUNTIF($B$18:B845,B845)&amp;CHOOSE(MIN(4,COUNTIF($B$18:B845,B845)),"st","nd","rd","th"),"")</f>
        <v/>
      </c>
    </row>
    <row r="846" spans="10:10" x14ac:dyDescent="0.25">
      <c r="J846" s="164" t="str">
        <f>IFERROR(COUNTIF($B$18:B846,B846)&amp;CHOOSE(MIN(4,COUNTIF($B$18:B846,B846)),"st","nd","rd","th"),"")</f>
        <v/>
      </c>
    </row>
    <row r="847" spans="10:10" x14ac:dyDescent="0.25">
      <c r="J847" s="164" t="str">
        <f>IFERROR(COUNTIF($B$18:B847,B847)&amp;CHOOSE(MIN(4,COUNTIF($B$18:B847,B847)),"st","nd","rd","th"),"")</f>
        <v/>
      </c>
    </row>
    <row r="848" spans="10:10" x14ac:dyDescent="0.25">
      <c r="J848" s="164" t="str">
        <f>IFERROR(COUNTIF($B$18:B848,B848)&amp;CHOOSE(MIN(4,COUNTIF($B$18:B848,B848)),"st","nd","rd","th"),"")</f>
        <v/>
      </c>
    </row>
    <row r="849" spans="10:10" x14ac:dyDescent="0.25">
      <c r="J849" s="164" t="str">
        <f>IFERROR(COUNTIF($B$18:B849,B849)&amp;CHOOSE(MIN(4,COUNTIF($B$18:B849,B849)),"st","nd","rd","th"),"")</f>
        <v/>
      </c>
    </row>
    <row r="850" spans="10:10" x14ac:dyDescent="0.25">
      <c r="J850" s="164" t="str">
        <f>IFERROR(COUNTIF($B$18:B850,B850)&amp;CHOOSE(MIN(4,COUNTIF($B$18:B850,B850)),"st","nd","rd","th"),"")</f>
        <v/>
      </c>
    </row>
    <row r="851" spans="10:10" x14ac:dyDescent="0.25">
      <c r="J851" s="164" t="str">
        <f>IFERROR(COUNTIF($B$18:B851,B851)&amp;CHOOSE(MIN(4,COUNTIF($B$18:B851,B851)),"st","nd","rd","th"),"")</f>
        <v/>
      </c>
    </row>
    <row r="852" spans="10:10" x14ac:dyDescent="0.25">
      <c r="J852" s="164" t="str">
        <f>IFERROR(COUNTIF($B$18:B852,B852)&amp;CHOOSE(MIN(4,COUNTIF($B$18:B852,B852)),"st","nd","rd","th"),"")</f>
        <v/>
      </c>
    </row>
    <row r="853" spans="10:10" x14ac:dyDescent="0.25">
      <c r="J853" s="164" t="str">
        <f>IFERROR(COUNTIF($B$18:B853,B853)&amp;CHOOSE(MIN(4,COUNTIF($B$18:B853,B853)),"st","nd","rd","th"),"")</f>
        <v/>
      </c>
    </row>
    <row r="854" spans="10:10" x14ac:dyDescent="0.25">
      <c r="J854" s="164" t="str">
        <f>IFERROR(COUNTIF($B$18:B854,B854)&amp;CHOOSE(MIN(4,COUNTIF($B$18:B854,B854)),"st","nd","rd","th"),"")</f>
        <v/>
      </c>
    </row>
    <row r="855" spans="10:10" x14ac:dyDescent="0.25">
      <c r="J855" s="164" t="str">
        <f>IFERROR(COUNTIF($B$18:B855,B855)&amp;CHOOSE(MIN(4,COUNTIF($B$18:B855,B855)),"st","nd","rd","th"),"")</f>
        <v/>
      </c>
    </row>
    <row r="856" spans="10:10" x14ac:dyDescent="0.25">
      <c r="J856" s="164" t="str">
        <f>IFERROR(COUNTIF($B$18:B856,B856)&amp;CHOOSE(MIN(4,COUNTIF($B$18:B856,B856)),"st","nd","rd","th"),"")</f>
        <v/>
      </c>
    </row>
    <row r="857" spans="10:10" x14ac:dyDescent="0.25">
      <c r="J857" s="164" t="str">
        <f>IFERROR(COUNTIF($B$18:B857,B857)&amp;CHOOSE(MIN(4,COUNTIF($B$18:B857,B857)),"st","nd","rd","th"),"")</f>
        <v/>
      </c>
    </row>
    <row r="858" spans="10:10" x14ac:dyDescent="0.25">
      <c r="J858" s="164" t="str">
        <f>IFERROR(COUNTIF($B$18:B858,B858)&amp;CHOOSE(MIN(4,COUNTIF($B$18:B858,B858)),"st","nd","rd","th"),"")</f>
        <v/>
      </c>
    </row>
    <row r="859" spans="10:10" x14ac:dyDescent="0.25">
      <c r="J859" s="164" t="str">
        <f>IFERROR(COUNTIF($B$18:B859,B859)&amp;CHOOSE(MIN(4,COUNTIF($B$18:B859,B859)),"st","nd","rd","th"),"")</f>
        <v/>
      </c>
    </row>
    <row r="860" spans="10:10" x14ac:dyDescent="0.25">
      <c r="J860" s="164" t="str">
        <f>IFERROR(COUNTIF($B$18:B860,B860)&amp;CHOOSE(MIN(4,COUNTIF($B$18:B860,B860)),"st","nd","rd","th"),"")</f>
        <v/>
      </c>
    </row>
    <row r="861" spans="10:10" x14ac:dyDescent="0.25">
      <c r="J861" s="164" t="str">
        <f>IFERROR(COUNTIF($B$18:B861,B861)&amp;CHOOSE(MIN(4,COUNTIF($B$18:B861,B861)),"st","nd","rd","th"),"")</f>
        <v/>
      </c>
    </row>
    <row r="862" spans="10:10" x14ac:dyDescent="0.25">
      <c r="J862" s="164" t="str">
        <f>IFERROR(COUNTIF($B$18:B862,B862)&amp;CHOOSE(MIN(4,COUNTIF($B$18:B862,B862)),"st","nd","rd","th"),"")</f>
        <v/>
      </c>
    </row>
    <row r="863" spans="10:10" x14ac:dyDescent="0.25">
      <c r="J863" s="164" t="str">
        <f>IFERROR(COUNTIF($B$18:B863,B863)&amp;CHOOSE(MIN(4,COUNTIF($B$18:B863,B863)),"st","nd","rd","th"),"")</f>
        <v/>
      </c>
    </row>
    <row r="864" spans="10:10" x14ac:dyDescent="0.25">
      <c r="J864" s="164" t="str">
        <f>IFERROR(COUNTIF($B$18:B864,B864)&amp;CHOOSE(MIN(4,COUNTIF($B$18:B864,B864)),"st","nd","rd","th"),"")</f>
        <v/>
      </c>
    </row>
    <row r="865" spans="10:10" x14ac:dyDescent="0.25">
      <c r="J865" s="164" t="str">
        <f>IFERROR(COUNTIF($B$18:B865,B865)&amp;CHOOSE(MIN(4,COUNTIF($B$18:B865,B865)),"st","nd","rd","th"),"")</f>
        <v/>
      </c>
    </row>
    <row r="866" spans="10:10" x14ac:dyDescent="0.25">
      <c r="J866" s="164" t="str">
        <f>IFERROR(COUNTIF($B$18:B866,B866)&amp;CHOOSE(MIN(4,COUNTIF($B$18:B866,B866)),"st","nd","rd","th"),"")</f>
        <v/>
      </c>
    </row>
    <row r="867" spans="10:10" x14ac:dyDescent="0.25">
      <c r="J867" s="164" t="str">
        <f>IFERROR(COUNTIF($B$18:B867,B867)&amp;CHOOSE(MIN(4,COUNTIF($B$18:B867,B867)),"st","nd","rd","th"),"")</f>
        <v/>
      </c>
    </row>
    <row r="868" spans="10:10" x14ac:dyDescent="0.25">
      <c r="J868" s="164" t="str">
        <f>IFERROR(COUNTIF($B$18:B868,B868)&amp;CHOOSE(MIN(4,COUNTIF($B$18:B868,B868)),"st","nd","rd","th"),"")</f>
        <v/>
      </c>
    </row>
    <row r="869" spans="10:10" x14ac:dyDescent="0.25">
      <c r="J869" s="164" t="str">
        <f>IFERROR(COUNTIF($B$18:B869,B869)&amp;CHOOSE(MIN(4,COUNTIF($B$18:B869,B869)),"st","nd","rd","th"),"")</f>
        <v/>
      </c>
    </row>
    <row r="870" spans="10:10" x14ac:dyDescent="0.25">
      <c r="J870" s="164" t="str">
        <f>IFERROR(COUNTIF($B$18:B870,B870)&amp;CHOOSE(MIN(4,COUNTIF($B$18:B870,B870)),"st","nd","rd","th"),"")</f>
        <v/>
      </c>
    </row>
    <row r="871" spans="10:10" x14ac:dyDescent="0.25">
      <c r="J871" s="164" t="str">
        <f>IFERROR(COUNTIF($B$18:B871,B871)&amp;CHOOSE(MIN(4,COUNTIF($B$18:B871,B871)),"st","nd","rd","th"),"")</f>
        <v/>
      </c>
    </row>
    <row r="872" spans="10:10" x14ac:dyDescent="0.25">
      <c r="J872" s="164" t="str">
        <f>IFERROR(COUNTIF($B$18:B872,B872)&amp;CHOOSE(MIN(4,COUNTIF($B$18:B872,B872)),"st","nd","rd","th"),"")</f>
        <v/>
      </c>
    </row>
    <row r="873" spans="10:10" x14ac:dyDescent="0.25">
      <c r="J873" s="164" t="str">
        <f>IFERROR(COUNTIF($B$18:B873,B873)&amp;CHOOSE(MIN(4,COUNTIF($B$18:B873,B873)),"st","nd","rd","th"),"")</f>
        <v/>
      </c>
    </row>
    <row r="874" spans="10:10" x14ac:dyDescent="0.25">
      <c r="J874" s="164" t="str">
        <f>IFERROR(COUNTIF($B$18:B874,B874)&amp;CHOOSE(MIN(4,COUNTIF($B$18:B874,B874)),"st","nd","rd","th"),"")</f>
        <v/>
      </c>
    </row>
    <row r="875" spans="10:10" x14ac:dyDescent="0.25">
      <c r="J875" s="164" t="str">
        <f>IFERROR(COUNTIF($B$18:B875,B875)&amp;CHOOSE(MIN(4,COUNTIF($B$18:B875,B875)),"st","nd","rd","th"),"")</f>
        <v/>
      </c>
    </row>
    <row r="876" spans="10:10" x14ac:dyDescent="0.25">
      <c r="J876" s="164" t="str">
        <f>IFERROR(COUNTIF($B$18:B876,B876)&amp;CHOOSE(MIN(4,COUNTIF($B$18:B876,B876)),"st","nd","rd","th"),"")</f>
        <v/>
      </c>
    </row>
    <row r="877" spans="10:10" x14ac:dyDescent="0.25">
      <c r="J877" s="164" t="str">
        <f>IFERROR(COUNTIF($B$18:B877,B877)&amp;CHOOSE(MIN(4,COUNTIF($B$18:B877,B877)),"st","nd","rd","th"),"")</f>
        <v/>
      </c>
    </row>
    <row r="878" spans="10:10" x14ac:dyDescent="0.25">
      <c r="J878" s="164" t="str">
        <f>IFERROR(COUNTIF($B$18:B878,B878)&amp;CHOOSE(MIN(4,COUNTIF($B$18:B878,B878)),"st","nd","rd","th"),"")</f>
        <v/>
      </c>
    </row>
    <row r="879" spans="10:10" x14ac:dyDescent="0.25">
      <c r="J879" s="164" t="str">
        <f>IFERROR(COUNTIF($B$18:B879,B879)&amp;CHOOSE(MIN(4,COUNTIF($B$18:B879,B879)),"st","nd","rd","th"),"")</f>
        <v/>
      </c>
    </row>
    <row r="880" spans="10:10" x14ac:dyDescent="0.25">
      <c r="J880" s="164" t="str">
        <f>IFERROR(COUNTIF($B$18:B880,B880)&amp;CHOOSE(MIN(4,COUNTIF($B$18:B880,B880)),"st","nd","rd","th"),"")</f>
        <v/>
      </c>
    </row>
    <row r="881" spans="10:10" x14ac:dyDescent="0.25">
      <c r="J881" s="164" t="str">
        <f>IFERROR(COUNTIF($B$18:B881,B881)&amp;CHOOSE(MIN(4,COUNTIF($B$18:B881,B881)),"st","nd","rd","th"),"")</f>
        <v/>
      </c>
    </row>
    <row r="882" spans="10:10" x14ac:dyDescent="0.25">
      <c r="J882" s="164" t="str">
        <f>IFERROR(COUNTIF($B$18:B882,B882)&amp;CHOOSE(MIN(4,COUNTIF($B$18:B882,B882)),"st","nd","rd","th"),"")</f>
        <v/>
      </c>
    </row>
    <row r="883" spans="10:10" x14ac:dyDescent="0.25">
      <c r="J883" s="164" t="str">
        <f>IFERROR(COUNTIF($B$18:B883,B883)&amp;CHOOSE(MIN(4,COUNTIF($B$18:B883,B883)),"st","nd","rd","th"),"")</f>
        <v/>
      </c>
    </row>
    <row r="884" spans="10:10" x14ac:dyDescent="0.25">
      <c r="J884" s="164" t="str">
        <f>IFERROR(COUNTIF($B$18:B884,B884)&amp;CHOOSE(MIN(4,COUNTIF($B$18:B884,B884)),"st","nd","rd","th"),"")</f>
        <v/>
      </c>
    </row>
    <row r="885" spans="10:10" x14ac:dyDescent="0.25">
      <c r="J885" s="164" t="str">
        <f>IFERROR(COUNTIF($B$18:B885,B885)&amp;CHOOSE(MIN(4,COUNTIF($B$18:B885,B885)),"st","nd","rd","th"),"")</f>
        <v/>
      </c>
    </row>
    <row r="886" spans="10:10" x14ac:dyDescent="0.25">
      <c r="J886" s="164" t="str">
        <f>IFERROR(COUNTIF($B$18:B886,B886)&amp;CHOOSE(MIN(4,COUNTIF($B$18:B886,B886)),"st","nd","rd","th"),"")</f>
        <v/>
      </c>
    </row>
    <row r="887" spans="10:10" x14ac:dyDescent="0.25">
      <c r="J887" s="164" t="str">
        <f>IFERROR(COUNTIF($B$18:B887,B887)&amp;CHOOSE(MIN(4,COUNTIF($B$18:B887,B887)),"st","nd","rd","th"),"")</f>
        <v/>
      </c>
    </row>
    <row r="888" spans="10:10" x14ac:dyDescent="0.25">
      <c r="J888" s="164" t="str">
        <f>IFERROR(COUNTIF($B$18:B888,B888)&amp;CHOOSE(MIN(4,COUNTIF($B$18:B888,B888)),"st","nd","rd","th"),"")</f>
        <v/>
      </c>
    </row>
    <row r="889" spans="10:10" x14ac:dyDescent="0.25">
      <c r="J889" s="164" t="str">
        <f>IFERROR(COUNTIF($B$18:B889,B889)&amp;CHOOSE(MIN(4,COUNTIF($B$18:B889,B889)),"st","nd","rd","th"),"")</f>
        <v/>
      </c>
    </row>
    <row r="890" spans="10:10" x14ac:dyDescent="0.25">
      <c r="J890" s="164" t="str">
        <f>IFERROR(COUNTIF($B$18:B890,B890)&amp;CHOOSE(MIN(4,COUNTIF($B$18:B890,B890)),"st","nd","rd","th"),"")</f>
        <v/>
      </c>
    </row>
    <row r="891" spans="10:10" x14ac:dyDescent="0.25">
      <c r="J891" s="164" t="str">
        <f>IFERROR(COUNTIF($B$18:B891,B891)&amp;CHOOSE(MIN(4,COUNTIF($B$18:B891,B891)),"st","nd","rd","th"),"")</f>
        <v/>
      </c>
    </row>
    <row r="892" spans="10:10" x14ac:dyDescent="0.25">
      <c r="J892" s="164" t="str">
        <f>IFERROR(COUNTIF($B$18:B892,B892)&amp;CHOOSE(MIN(4,COUNTIF($B$18:B892,B892)),"st","nd","rd","th"),"")</f>
        <v/>
      </c>
    </row>
    <row r="893" spans="10:10" x14ac:dyDescent="0.25">
      <c r="J893" s="164" t="str">
        <f>IFERROR(COUNTIF($B$18:B893,B893)&amp;CHOOSE(MIN(4,COUNTIF($B$18:B893,B893)),"st","nd","rd","th"),"")</f>
        <v/>
      </c>
    </row>
    <row r="894" spans="10:10" x14ac:dyDescent="0.25">
      <c r="J894" s="164" t="str">
        <f>IFERROR(COUNTIF($B$18:B894,B894)&amp;CHOOSE(MIN(4,COUNTIF($B$18:B894,B894)),"st","nd","rd","th"),"")</f>
        <v/>
      </c>
    </row>
    <row r="895" spans="10:10" x14ac:dyDescent="0.25">
      <c r="J895" s="164" t="str">
        <f>IFERROR(COUNTIF($B$18:B895,B895)&amp;CHOOSE(MIN(4,COUNTIF($B$18:B895,B895)),"st","nd","rd","th"),"")</f>
        <v/>
      </c>
    </row>
    <row r="896" spans="10:10" x14ac:dyDescent="0.25">
      <c r="J896" s="164" t="str">
        <f>IFERROR(COUNTIF($B$18:B896,B896)&amp;CHOOSE(MIN(4,COUNTIF($B$18:B896,B896)),"st","nd","rd","th"),"")</f>
        <v/>
      </c>
    </row>
    <row r="897" spans="10:10" x14ac:dyDescent="0.25">
      <c r="J897" s="164" t="str">
        <f>IFERROR(COUNTIF($B$18:B897,B897)&amp;CHOOSE(MIN(4,COUNTIF($B$18:B897,B897)),"st","nd","rd","th"),"")</f>
        <v/>
      </c>
    </row>
    <row r="898" spans="10:10" x14ac:dyDescent="0.25">
      <c r="J898" s="164" t="str">
        <f>IFERROR(COUNTIF($B$18:B898,B898)&amp;CHOOSE(MIN(4,COUNTIF($B$18:B898,B898)),"st","nd","rd","th"),"")</f>
        <v/>
      </c>
    </row>
    <row r="899" spans="10:10" x14ac:dyDescent="0.25">
      <c r="J899" s="164" t="str">
        <f>IFERROR(COUNTIF($B$18:B899,B899)&amp;CHOOSE(MIN(4,COUNTIF($B$18:B899,B899)),"st","nd","rd","th"),"")</f>
        <v/>
      </c>
    </row>
    <row r="900" spans="10:10" x14ac:dyDescent="0.25">
      <c r="J900" s="164" t="str">
        <f>IFERROR(COUNTIF($B$18:B900,B900)&amp;CHOOSE(MIN(4,COUNTIF($B$18:B900,B900)),"st","nd","rd","th"),"")</f>
        <v/>
      </c>
    </row>
    <row r="901" spans="10:10" x14ac:dyDescent="0.25">
      <c r="J901" s="164" t="str">
        <f>IFERROR(COUNTIF($B$18:B901,B901)&amp;CHOOSE(MIN(4,COUNTIF($B$18:B901,B901)),"st","nd","rd","th"),"")</f>
        <v/>
      </c>
    </row>
    <row r="902" spans="10:10" x14ac:dyDescent="0.25">
      <c r="J902" s="164" t="str">
        <f>IFERROR(COUNTIF($B$18:B902,B902)&amp;CHOOSE(MIN(4,COUNTIF($B$18:B902,B902)),"st","nd","rd","th"),"")</f>
        <v/>
      </c>
    </row>
    <row r="903" spans="10:10" x14ac:dyDescent="0.25">
      <c r="J903" s="164" t="str">
        <f>IFERROR(COUNTIF($B$18:B903,B903)&amp;CHOOSE(MIN(4,COUNTIF($B$18:B903,B903)),"st","nd","rd","th"),"")</f>
        <v/>
      </c>
    </row>
    <row r="904" spans="10:10" x14ac:dyDescent="0.25">
      <c r="J904" s="164" t="str">
        <f>IFERROR(COUNTIF($B$18:B904,B904)&amp;CHOOSE(MIN(4,COUNTIF($B$18:B904,B904)),"st","nd","rd","th"),"")</f>
        <v/>
      </c>
    </row>
    <row r="905" spans="10:10" x14ac:dyDescent="0.25">
      <c r="J905" s="164" t="str">
        <f>IFERROR(COUNTIF($B$18:B905,B905)&amp;CHOOSE(MIN(4,COUNTIF($B$18:B905,B905)),"st","nd","rd","th"),"")</f>
        <v/>
      </c>
    </row>
    <row r="906" spans="10:10" x14ac:dyDescent="0.25">
      <c r="J906" s="164" t="str">
        <f>IFERROR(COUNTIF($B$18:B906,B906)&amp;CHOOSE(MIN(4,COUNTIF($B$18:B906,B906)),"st","nd","rd","th"),"")</f>
        <v/>
      </c>
    </row>
    <row r="907" spans="10:10" x14ac:dyDescent="0.25">
      <c r="J907" s="164" t="str">
        <f>IFERROR(COUNTIF($B$18:B907,B907)&amp;CHOOSE(MIN(4,COUNTIF($B$18:B907,B907)),"st","nd","rd","th"),"")</f>
        <v/>
      </c>
    </row>
    <row r="908" spans="10:10" x14ac:dyDescent="0.25">
      <c r="J908" s="164" t="str">
        <f>IFERROR(COUNTIF($B$18:B908,B908)&amp;CHOOSE(MIN(4,COUNTIF($B$18:B908,B908)),"st","nd","rd","th"),"")</f>
        <v/>
      </c>
    </row>
    <row r="909" spans="10:10" x14ac:dyDescent="0.25">
      <c r="J909" s="164" t="str">
        <f>IFERROR(COUNTIF($B$18:B909,B909)&amp;CHOOSE(MIN(4,COUNTIF($B$18:B909,B909)),"st","nd","rd","th"),"")</f>
        <v/>
      </c>
    </row>
    <row r="910" spans="10:10" x14ac:dyDescent="0.25">
      <c r="J910" s="164" t="str">
        <f>IFERROR(COUNTIF($B$18:B910,B910)&amp;CHOOSE(MIN(4,COUNTIF($B$18:B910,B910)),"st","nd","rd","th"),"")</f>
        <v/>
      </c>
    </row>
    <row r="911" spans="10:10" x14ac:dyDescent="0.25">
      <c r="J911" s="164" t="str">
        <f>IFERROR(COUNTIF($B$18:B911,B911)&amp;CHOOSE(MIN(4,COUNTIF($B$18:B911,B911)),"st","nd","rd","th"),"")</f>
        <v/>
      </c>
    </row>
    <row r="912" spans="10:10" x14ac:dyDescent="0.25">
      <c r="J912" s="164" t="str">
        <f>IFERROR(COUNTIF($B$18:B912,B912)&amp;CHOOSE(MIN(4,COUNTIF($B$18:B912,B912)),"st","nd","rd","th"),"")</f>
        <v/>
      </c>
    </row>
    <row r="913" spans="10:10" x14ac:dyDescent="0.25">
      <c r="J913" s="164" t="str">
        <f>IFERROR(COUNTIF($B$18:B913,B913)&amp;CHOOSE(MIN(4,COUNTIF($B$18:B913,B913)),"st","nd","rd","th"),"")</f>
        <v/>
      </c>
    </row>
    <row r="914" spans="10:10" x14ac:dyDescent="0.25">
      <c r="J914" s="164" t="str">
        <f>IFERROR(COUNTIF($B$18:B914,B914)&amp;CHOOSE(MIN(4,COUNTIF($B$18:B914,B914)),"st","nd","rd","th"),"")</f>
        <v/>
      </c>
    </row>
    <row r="915" spans="10:10" x14ac:dyDescent="0.25">
      <c r="J915" s="164" t="str">
        <f>IFERROR(COUNTIF($B$18:B915,B915)&amp;CHOOSE(MIN(4,COUNTIF($B$18:B915,B915)),"st","nd","rd","th"),"")</f>
        <v/>
      </c>
    </row>
    <row r="916" spans="10:10" x14ac:dyDescent="0.25">
      <c r="J916" s="164" t="str">
        <f>IFERROR(COUNTIF($B$18:B916,B916)&amp;CHOOSE(MIN(4,COUNTIF($B$18:B916,B916)),"st","nd","rd","th"),"")</f>
        <v/>
      </c>
    </row>
    <row r="917" spans="10:10" x14ac:dyDescent="0.25">
      <c r="J917" s="164" t="str">
        <f>IFERROR(COUNTIF($B$18:B917,B917)&amp;CHOOSE(MIN(4,COUNTIF($B$18:B917,B917)),"st","nd","rd","th"),"")</f>
        <v/>
      </c>
    </row>
    <row r="918" spans="10:10" x14ac:dyDescent="0.25">
      <c r="J918" s="164" t="str">
        <f>IFERROR(COUNTIF($B$18:B918,B918)&amp;CHOOSE(MIN(4,COUNTIF($B$18:B918,B918)),"st","nd","rd","th"),"")</f>
        <v/>
      </c>
    </row>
    <row r="919" spans="10:10" x14ac:dyDescent="0.25">
      <c r="J919" s="164" t="str">
        <f>IFERROR(COUNTIF($B$18:B919,B919)&amp;CHOOSE(MIN(4,COUNTIF($B$18:B919,B919)),"st","nd","rd","th"),"")</f>
        <v/>
      </c>
    </row>
    <row r="920" spans="10:10" x14ac:dyDescent="0.25">
      <c r="J920" s="164" t="str">
        <f>IFERROR(COUNTIF($B$18:B920,B920)&amp;CHOOSE(MIN(4,COUNTIF($B$18:B920,B920)),"st","nd","rd","th"),"")</f>
        <v/>
      </c>
    </row>
    <row r="921" spans="10:10" x14ac:dyDescent="0.25">
      <c r="J921" s="164" t="str">
        <f>IFERROR(COUNTIF($B$18:B921,B921)&amp;CHOOSE(MIN(4,COUNTIF($B$18:B921,B921)),"st","nd","rd","th"),"")</f>
        <v/>
      </c>
    </row>
    <row r="922" spans="10:10" x14ac:dyDescent="0.25">
      <c r="J922" s="164" t="str">
        <f>IFERROR(COUNTIF($B$18:B922,B922)&amp;CHOOSE(MIN(4,COUNTIF($B$18:B922,B922)),"st","nd","rd","th"),"")</f>
        <v/>
      </c>
    </row>
    <row r="923" spans="10:10" x14ac:dyDescent="0.25">
      <c r="J923" s="164" t="str">
        <f>IFERROR(COUNTIF($B$18:B923,B923)&amp;CHOOSE(MIN(4,COUNTIF($B$18:B923,B923)),"st","nd","rd","th"),"")</f>
        <v/>
      </c>
    </row>
    <row r="924" spans="10:10" x14ac:dyDescent="0.25">
      <c r="J924" s="164" t="str">
        <f>IFERROR(COUNTIF($B$18:B924,B924)&amp;CHOOSE(MIN(4,COUNTIF($B$18:B924,B924)),"st","nd","rd","th"),"")</f>
        <v/>
      </c>
    </row>
    <row r="925" spans="10:10" x14ac:dyDescent="0.25">
      <c r="J925" s="164" t="str">
        <f>IFERROR(COUNTIF($B$18:B925,B925)&amp;CHOOSE(MIN(4,COUNTIF($B$18:B925,B925)),"st","nd","rd","th"),"")</f>
        <v/>
      </c>
    </row>
    <row r="926" spans="10:10" x14ac:dyDescent="0.25">
      <c r="J926" s="164" t="str">
        <f>IFERROR(COUNTIF($B$18:B926,B926)&amp;CHOOSE(MIN(4,COUNTIF($B$18:B926,B926)),"st","nd","rd","th"),"")</f>
        <v/>
      </c>
    </row>
    <row r="927" spans="10:10" x14ac:dyDescent="0.25">
      <c r="J927" s="164" t="str">
        <f>IFERROR(COUNTIF($B$18:B927,B927)&amp;CHOOSE(MIN(4,COUNTIF($B$18:B927,B927)),"st","nd","rd","th"),"")</f>
        <v/>
      </c>
    </row>
    <row r="928" spans="10:10" x14ac:dyDescent="0.25">
      <c r="J928" s="164" t="str">
        <f>IFERROR(COUNTIF($B$18:B928,B928)&amp;CHOOSE(MIN(4,COUNTIF($B$18:B928,B928)),"st","nd","rd","th"),"")</f>
        <v/>
      </c>
    </row>
    <row r="929" spans="10:10" x14ac:dyDescent="0.25">
      <c r="J929" s="164" t="str">
        <f>IFERROR(COUNTIF($B$18:B929,B929)&amp;CHOOSE(MIN(4,COUNTIF($B$18:B929,B929)),"st","nd","rd","th"),"")</f>
        <v/>
      </c>
    </row>
    <row r="930" spans="10:10" x14ac:dyDescent="0.25">
      <c r="J930" s="164" t="str">
        <f>IFERROR(COUNTIF($B$18:B930,B930)&amp;CHOOSE(MIN(4,COUNTIF($B$18:B930,B930)),"st","nd","rd","th"),"")</f>
        <v/>
      </c>
    </row>
    <row r="931" spans="10:10" x14ac:dyDescent="0.25">
      <c r="J931" s="164" t="str">
        <f>IFERROR(COUNTIF($B$18:B931,B931)&amp;CHOOSE(MIN(4,COUNTIF($B$18:B931,B931)),"st","nd","rd","th"),"")</f>
        <v/>
      </c>
    </row>
    <row r="932" spans="10:10" x14ac:dyDescent="0.25">
      <c r="J932" s="164" t="str">
        <f>IFERROR(COUNTIF($B$18:B932,B932)&amp;CHOOSE(MIN(4,COUNTIF($B$18:B932,B932)),"st","nd","rd","th"),"")</f>
        <v/>
      </c>
    </row>
    <row r="933" spans="10:10" x14ac:dyDescent="0.25">
      <c r="J933" s="164" t="str">
        <f>IFERROR(COUNTIF($B$18:B933,B933)&amp;CHOOSE(MIN(4,COUNTIF($B$18:B933,B933)),"st","nd","rd","th"),"")</f>
        <v/>
      </c>
    </row>
    <row r="934" spans="10:10" x14ac:dyDescent="0.25">
      <c r="J934" s="164" t="str">
        <f>IFERROR(COUNTIF($B$18:B934,B934)&amp;CHOOSE(MIN(4,COUNTIF($B$18:B934,B934)),"st","nd","rd","th"),"")</f>
        <v/>
      </c>
    </row>
    <row r="935" spans="10:10" x14ac:dyDescent="0.25">
      <c r="J935" s="164" t="str">
        <f>IFERROR(COUNTIF($B$18:B935,B935)&amp;CHOOSE(MIN(4,COUNTIF($B$18:B935,B935)),"st","nd","rd","th"),"")</f>
        <v/>
      </c>
    </row>
    <row r="936" spans="10:10" x14ac:dyDescent="0.25">
      <c r="J936" s="164" t="str">
        <f>IFERROR(COUNTIF($B$18:B936,B936)&amp;CHOOSE(MIN(4,COUNTIF($B$18:B936,B936)),"st","nd","rd","th"),"")</f>
        <v/>
      </c>
    </row>
    <row r="937" spans="10:10" x14ac:dyDescent="0.25">
      <c r="J937" s="164" t="str">
        <f>IFERROR(COUNTIF($B$18:B937,B937)&amp;CHOOSE(MIN(4,COUNTIF($B$18:B937,B937)),"st","nd","rd","th"),"")</f>
        <v/>
      </c>
    </row>
    <row r="938" spans="10:10" x14ac:dyDescent="0.25">
      <c r="J938" s="164" t="str">
        <f>IFERROR(COUNTIF($B$18:B938,B938)&amp;CHOOSE(MIN(4,COUNTIF($B$18:B938,B938)),"st","nd","rd","th"),"")</f>
        <v/>
      </c>
    </row>
    <row r="939" spans="10:10" x14ac:dyDescent="0.25">
      <c r="J939" s="164" t="str">
        <f>IFERROR(COUNTIF($B$18:B939,B939)&amp;CHOOSE(MIN(4,COUNTIF($B$18:B939,B939)),"st","nd","rd","th"),"")</f>
        <v/>
      </c>
    </row>
    <row r="940" spans="10:10" x14ac:dyDescent="0.25">
      <c r="J940" s="164" t="str">
        <f>IFERROR(COUNTIF($B$18:B940,B940)&amp;CHOOSE(MIN(4,COUNTIF($B$18:B940,B940)),"st","nd","rd","th"),"")</f>
        <v/>
      </c>
    </row>
    <row r="941" spans="10:10" x14ac:dyDescent="0.25">
      <c r="J941" s="164" t="str">
        <f>IFERROR(COUNTIF($B$18:B941,B941)&amp;CHOOSE(MIN(4,COUNTIF($B$18:B941,B941)),"st","nd","rd","th"),"")</f>
        <v/>
      </c>
    </row>
    <row r="942" spans="10:10" x14ac:dyDescent="0.25">
      <c r="J942" s="164" t="str">
        <f>IFERROR(COUNTIF($B$18:B942,B942)&amp;CHOOSE(MIN(4,COUNTIF($B$18:B942,B942)),"st","nd","rd","th"),"")</f>
        <v/>
      </c>
    </row>
    <row r="943" spans="10:10" x14ac:dyDescent="0.25">
      <c r="J943" s="164" t="str">
        <f>IFERROR(COUNTIF($B$18:B943,B943)&amp;CHOOSE(MIN(4,COUNTIF($B$18:B943,B943)),"st","nd","rd","th"),"")</f>
        <v/>
      </c>
    </row>
    <row r="944" spans="10:10" x14ac:dyDescent="0.25">
      <c r="J944" s="164" t="str">
        <f>IFERROR(COUNTIF($B$18:B944,B944)&amp;CHOOSE(MIN(4,COUNTIF($B$18:B944,B944)),"st","nd","rd","th"),"")</f>
        <v/>
      </c>
    </row>
    <row r="945" spans="10:10" x14ac:dyDescent="0.25">
      <c r="J945" s="164" t="str">
        <f>IFERROR(COUNTIF($B$18:B945,B945)&amp;CHOOSE(MIN(4,COUNTIF($B$18:B945,B945)),"st","nd","rd","th"),"")</f>
        <v/>
      </c>
    </row>
    <row r="946" spans="10:10" x14ac:dyDescent="0.25">
      <c r="J946" s="164" t="str">
        <f>IFERROR(COUNTIF($B$18:B946,B946)&amp;CHOOSE(MIN(4,COUNTIF($B$18:B946,B946)),"st","nd","rd","th"),"")</f>
        <v/>
      </c>
    </row>
    <row r="947" spans="10:10" x14ac:dyDescent="0.25">
      <c r="J947" s="164" t="str">
        <f>IFERROR(COUNTIF($B$18:B947,B947)&amp;CHOOSE(MIN(4,COUNTIF($B$18:B947,B947)),"st","nd","rd","th"),"")</f>
        <v/>
      </c>
    </row>
    <row r="948" spans="10:10" x14ac:dyDescent="0.25">
      <c r="J948" s="164" t="str">
        <f>IFERROR(COUNTIF($B$18:B948,B948)&amp;CHOOSE(MIN(4,COUNTIF($B$18:B948,B948)),"st","nd","rd","th"),"")</f>
        <v/>
      </c>
    </row>
    <row r="949" spans="10:10" x14ac:dyDescent="0.25">
      <c r="J949" s="164" t="str">
        <f>IFERROR(COUNTIF($B$18:B949,B949)&amp;CHOOSE(MIN(4,COUNTIF($B$18:B949,B949)),"st","nd","rd","th"),"")</f>
        <v/>
      </c>
    </row>
    <row r="950" spans="10:10" x14ac:dyDescent="0.25">
      <c r="J950" s="164" t="str">
        <f>IFERROR(COUNTIF($B$18:B950,B950)&amp;CHOOSE(MIN(4,COUNTIF($B$18:B950,B950)),"st","nd","rd","th"),"")</f>
        <v/>
      </c>
    </row>
    <row r="951" spans="10:10" x14ac:dyDescent="0.25">
      <c r="J951" s="164" t="str">
        <f>IFERROR(COUNTIF($B$18:B951,B951)&amp;CHOOSE(MIN(4,COUNTIF($B$18:B951,B951)),"st","nd","rd","th"),"")</f>
        <v/>
      </c>
    </row>
    <row r="952" spans="10:10" x14ac:dyDescent="0.25">
      <c r="J952" s="164" t="str">
        <f>IFERROR(COUNTIF($B$18:B952,B952)&amp;CHOOSE(MIN(4,COUNTIF($B$18:B952,B952)),"st","nd","rd","th"),"")</f>
        <v/>
      </c>
    </row>
    <row r="953" spans="10:10" x14ac:dyDescent="0.25">
      <c r="J953" s="164" t="str">
        <f>IFERROR(COUNTIF($B$18:B953,B953)&amp;CHOOSE(MIN(4,COUNTIF($B$18:B953,B953)),"st","nd","rd","th"),"")</f>
        <v/>
      </c>
    </row>
    <row r="954" spans="10:10" x14ac:dyDescent="0.25">
      <c r="J954" s="164" t="str">
        <f>IFERROR(COUNTIF($B$18:B954,B954)&amp;CHOOSE(MIN(4,COUNTIF($B$18:B954,B954)),"st","nd","rd","th"),"")</f>
        <v/>
      </c>
    </row>
    <row r="955" spans="10:10" x14ac:dyDescent="0.25">
      <c r="J955" s="164" t="str">
        <f>IFERROR(COUNTIF($B$18:B955,B955)&amp;CHOOSE(MIN(4,COUNTIF($B$18:B955,B955)),"st","nd","rd","th"),"")</f>
        <v/>
      </c>
    </row>
    <row r="956" spans="10:10" x14ac:dyDescent="0.25">
      <c r="J956" s="164" t="str">
        <f>IFERROR(COUNTIF($B$18:B956,B956)&amp;CHOOSE(MIN(4,COUNTIF($B$18:B956,B956)),"st","nd","rd","th"),"")</f>
        <v/>
      </c>
    </row>
    <row r="957" spans="10:10" x14ac:dyDescent="0.25">
      <c r="J957" s="164" t="str">
        <f>IFERROR(COUNTIF($B$18:B957,B957)&amp;CHOOSE(MIN(4,COUNTIF($B$18:B957,B957)),"st","nd","rd","th"),"")</f>
        <v/>
      </c>
    </row>
    <row r="958" spans="10:10" x14ac:dyDescent="0.25">
      <c r="J958" s="164" t="str">
        <f>IFERROR(COUNTIF($B$18:B958,B958)&amp;CHOOSE(MIN(4,COUNTIF($B$18:B958,B958)),"st","nd","rd","th"),"")</f>
        <v/>
      </c>
    </row>
    <row r="959" spans="10:10" x14ac:dyDescent="0.25">
      <c r="J959" s="164" t="str">
        <f>IFERROR(COUNTIF($B$18:B959,B959)&amp;CHOOSE(MIN(4,COUNTIF($B$18:B959,B959)),"st","nd","rd","th"),"")</f>
        <v/>
      </c>
    </row>
    <row r="960" spans="10:10" x14ac:dyDescent="0.25">
      <c r="J960" s="164" t="str">
        <f>IFERROR(COUNTIF($B$18:B960,B960)&amp;CHOOSE(MIN(4,COUNTIF($B$18:B960,B960)),"st","nd","rd","th"),"")</f>
        <v/>
      </c>
    </row>
    <row r="961" spans="10:10" x14ac:dyDescent="0.25">
      <c r="J961" s="164" t="str">
        <f>IFERROR(COUNTIF($B$18:B961,B961)&amp;CHOOSE(MIN(4,COUNTIF($B$18:B961,B961)),"st","nd","rd","th"),"")</f>
        <v/>
      </c>
    </row>
    <row r="962" spans="10:10" x14ac:dyDescent="0.25">
      <c r="J962" s="164" t="str">
        <f>IFERROR(COUNTIF($B$18:B962,B962)&amp;CHOOSE(MIN(4,COUNTIF($B$18:B962,B962)),"st","nd","rd","th"),"")</f>
        <v/>
      </c>
    </row>
    <row r="963" spans="10:10" x14ac:dyDescent="0.25">
      <c r="J963" s="164" t="str">
        <f>IFERROR(COUNTIF($B$18:B963,B963)&amp;CHOOSE(MIN(4,COUNTIF($B$18:B963,B963)),"st","nd","rd","th"),"")</f>
        <v/>
      </c>
    </row>
    <row r="964" spans="10:10" x14ac:dyDescent="0.25">
      <c r="J964" s="164" t="str">
        <f>IFERROR(COUNTIF($B$18:B964,B964)&amp;CHOOSE(MIN(4,COUNTIF($B$18:B964,B964)),"st","nd","rd","th"),"")</f>
        <v/>
      </c>
    </row>
    <row r="965" spans="10:10" x14ac:dyDescent="0.25">
      <c r="J965" s="164" t="str">
        <f>IFERROR(COUNTIF($B$18:B965,B965)&amp;CHOOSE(MIN(4,COUNTIF($B$18:B965,B965)),"st","nd","rd","th"),"")</f>
        <v/>
      </c>
    </row>
    <row r="966" spans="10:10" x14ac:dyDescent="0.25">
      <c r="J966" s="164" t="str">
        <f>IFERROR(COUNTIF($B$18:B966,B966)&amp;CHOOSE(MIN(4,COUNTIF($B$18:B966,B966)),"st","nd","rd","th"),"")</f>
        <v/>
      </c>
    </row>
    <row r="967" spans="10:10" x14ac:dyDescent="0.25">
      <c r="J967" s="164" t="str">
        <f>IFERROR(COUNTIF($B$18:B967,B967)&amp;CHOOSE(MIN(4,COUNTIF($B$18:B967,B967)),"st","nd","rd","th"),"")</f>
        <v/>
      </c>
    </row>
    <row r="968" spans="10:10" x14ac:dyDescent="0.25">
      <c r="J968" s="164" t="str">
        <f>IFERROR(COUNTIF($B$18:B968,B968)&amp;CHOOSE(MIN(4,COUNTIF($B$18:B968,B968)),"st","nd","rd","th"),"")</f>
        <v/>
      </c>
    </row>
    <row r="969" spans="10:10" x14ac:dyDescent="0.25">
      <c r="J969" s="164" t="str">
        <f>IFERROR(COUNTIF($B$18:B969,B969)&amp;CHOOSE(MIN(4,COUNTIF($B$18:B969,B969)),"st","nd","rd","th"),"")</f>
        <v/>
      </c>
    </row>
    <row r="970" spans="10:10" x14ac:dyDescent="0.25">
      <c r="J970" s="164" t="str">
        <f>IFERROR(COUNTIF($B$18:B970,B970)&amp;CHOOSE(MIN(4,COUNTIF($B$18:B970,B970)),"st","nd","rd","th"),"")</f>
        <v/>
      </c>
    </row>
    <row r="971" spans="10:10" x14ac:dyDescent="0.25">
      <c r="J971" s="164" t="str">
        <f>IFERROR(COUNTIF($B$18:B971,B971)&amp;CHOOSE(MIN(4,COUNTIF($B$18:B971,B971)),"st","nd","rd","th"),"")</f>
        <v/>
      </c>
    </row>
    <row r="972" spans="10:10" x14ac:dyDescent="0.25">
      <c r="J972" s="164" t="str">
        <f>IFERROR(COUNTIF($B$18:B972,B972)&amp;CHOOSE(MIN(4,COUNTIF($B$18:B972,B972)),"st","nd","rd","th"),"")</f>
        <v/>
      </c>
    </row>
    <row r="973" spans="10:10" x14ac:dyDescent="0.25">
      <c r="J973" s="164" t="str">
        <f>IFERROR(COUNTIF($B$18:B973,B973)&amp;CHOOSE(MIN(4,COUNTIF($B$18:B973,B973)),"st","nd","rd","th"),"")</f>
        <v/>
      </c>
    </row>
    <row r="974" spans="10:10" x14ac:dyDescent="0.25">
      <c r="J974" s="164" t="str">
        <f>IFERROR(COUNTIF($B$18:B974,B974)&amp;CHOOSE(MIN(4,COUNTIF($B$18:B974,B974)),"st","nd","rd","th"),"")</f>
        <v/>
      </c>
    </row>
    <row r="975" spans="10:10" x14ac:dyDescent="0.25">
      <c r="J975" s="164" t="str">
        <f>IFERROR(COUNTIF($B$18:B975,B975)&amp;CHOOSE(MIN(4,COUNTIF($B$18:B975,B975)),"st","nd","rd","th"),"")</f>
        <v/>
      </c>
    </row>
    <row r="976" spans="10:10" x14ac:dyDescent="0.25">
      <c r="J976" s="164" t="str">
        <f>IFERROR(COUNTIF($B$18:B976,B976)&amp;CHOOSE(MIN(4,COUNTIF($B$18:B976,B976)),"st","nd","rd","th"),"")</f>
        <v/>
      </c>
    </row>
    <row r="977" spans="10:10" x14ac:dyDescent="0.25">
      <c r="J977" s="164" t="str">
        <f>IFERROR(COUNTIF($B$18:B977,B977)&amp;CHOOSE(MIN(4,COUNTIF($B$18:B977,B977)),"st","nd","rd","th"),"")</f>
        <v/>
      </c>
    </row>
    <row r="978" spans="10:10" x14ac:dyDescent="0.25">
      <c r="J978" s="164" t="str">
        <f>IFERROR(COUNTIF($B$18:B978,B978)&amp;CHOOSE(MIN(4,COUNTIF($B$18:B978,B978)),"st","nd","rd","th"),"")</f>
        <v/>
      </c>
    </row>
    <row r="979" spans="10:10" x14ac:dyDescent="0.25">
      <c r="J979" s="164" t="str">
        <f>IFERROR(COUNTIF($B$18:B979,B979)&amp;CHOOSE(MIN(4,COUNTIF($B$18:B979,B979)),"st","nd","rd","th"),"")</f>
        <v/>
      </c>
    </row>
    <row r="980" spans="10:10" x14ac:dyDescent="0.25">
      <c r="J980" s="164" t="str">
        <f>IFERROR(COUNTIF($B$18:B980,B980)&amp;CHOOSE(MIN(4,COUNTIF($B$18:B980,B980)),"st","nd","rd","th"),"")</f>
        <v/>
      </c>
    </row>
    <row r="981" spans="10:10" x14ac:dyDescent="0.25">
      <c r="J981" s="164" t="str">
        <f>IFERROR(COUNTIF($B$18:B981,B981)&amp;CHOOSE(MIN(4,COUNTIF($B$18:B981,B981)),"st","nd","rd","th"),"")</f>
        <v/>
      </c>
    </row>
    <row r="982" spans="10:10" x14ac:dyDescent="0.25">
      <c r="J982" s="164" t="str">
        <f>IFERROR(COUNTIF($B$18:B982,B982)&amp;CHOOSE(MIN(4,COUNTIF($B$18:B982,B982)),"st","nd","rd","th"),"")</f>
        <v/>
      </c>
    </row>
    <row r="983" spans="10:10" x14ac:dyDescent="0.25">
      <c r="J983" s="164" t="str">
        <f>IFERROR(COUNTIF($B$18:B983,B983)&amp;CHOOSE(MIN(4,COUNTIF($B$18:B983,B983)),"st","nd","rd","th"),"")</f>
        <v/>
      </c>
    </row>
    <row r="984" spans="10:10" x14ac:dyDescent="0.25">
      <c r="J984" s="164" t="str">
        <f>IFERROR(COUNTIF($B$18:B984,B984)&amp;CHOOSE(MIN(4,COUNTIF($B$18:B984,B984)),"st","nd","rd","th"),"")</f>
        <v/>
      </c>
    </row>
    <row r="985" spans="10:10" x14ac:dyDescent="0.25">
      <c r="J985" s="164" t="str">
        <f>IFERROR(COUNTIF($B$18:B985,B985)&amp;CHOOSE(MIN(4,COUNTIF($B$18:B985,B985)),"st","nd","rd","th"),"")</f>
        <v/>
      </c>
    </row>
    <row r="986" spans="10:10" x14ac:dyDescent="0.25">
      <c r="J986" s="164" t="str">
        <f>IFERROR(COUNTIF($B$18:B986,B986)&amp;CHOOSE(MIN(4,COUNTIF($B$18:B986,B986)),"st","nd","rd","th"),"")</f>
        <v/>
      </c>
    </row>
    <row r="987" spans="10:10" x14ac:dyDescent="0.25">
      <c r="J987" s="164" t="str">
        <f>IFERROR(COUNTIF($B$18:B987,B987)&amp;CHOOSE(MIN(4,COUNTIF($B$18:B987,B987)),"st","nd","rd","th"),"")</f>
        <v/>
      </c>
    </row>
    <row r="988" spans="10:10" x14ac:dyDescent="0.25">
      <c r="J988" s="164" t="str">
        <f>IFERROR(COUNTIF($B$18:B988,B988)&amp;CHOOSE(MIN(4,COUNTIF($B$18:B988,B988)),"st","nd","rd","th"),"")</f>
        <v/>
      </c>
    </row>
    <row r="989" spans="10:10" x14ac:dyDescent="0.25">
      <c r="J989" s="164" t="str">
        <f>IFERROR(COUNTIF($B$18:B989,B989)&amp;CHOOSE(MIN(4,COUNTIF($B$18:B989,B989)),"st","nd","rd","th"),"")</f>
        <v/>
      </c>
    </row>
    <row r="990" spans="10:10" x14ac:dyDescent="0.25">
      <c r="J990" s="164" t="str">
        <f>IFERROR(COUNTIF($B$18:B990,B990)&amp;CHOOSE(MIN(4,COUNTIF($B$18:B990,B990)),"st","nd","rd","th"),"")</f>
        <v/>
      </c>
    </row>
    <row r="991" spans="10:10" x14ac:dyDescent="0.25">
      <c r="J991" s="164" t="str">
        <f>IFERROR(COUNTIF($B$18:B991,B991)&amp;CHOOSE(MIN(4,COUNTIF($B$18:B991,B991)),"st","nd","rd","th"),"")</f>
        <v/>
      </c>
    </row>
    <row r="992" spans="10:10" x14ac:dyDescent="0.25">
      <c r="J992" s="164" t="str">
        <f>IFERROR(COUNTIF($B$18:B992,B992)&amp;CHOOSE(MIN(4,COUNTIF($B$18:B992,B992)),"st","nd","rd","th"),"")</f>
        <v/>
      </c>
    </row>
    <row r="993" spans="10:10" x14ac:dyDescent="0.25">
      <c r="J993" s="164" t="str">
        <f>IFERROR(COUNTIF($B$18:B993,B993)&amp;CHOOSE(MIN(4,COUNTIF($B$18:B993,B993)),"st","nd","rd","th"),"")</f>
        <v/>
      </c>
    </row>
    <row r="994" spans="10:10" x14ac:dyDescent="0.25">
      <c r="J994" s="164" t="str">
        <f>IFERROR(COUNTIF($B$18:B994,B994)&amp;CHOOSE(MIN(4,COUNTIF($B$18:B994,B994)),"st","nd","rd","th"),"")</f>
        <v/>
      </c>
    </row>
    <row r="995" spans="10:10" x14ac:dyDescent="0.25">
      <c r="J995" s="164" t="str">
        <f>IFERROR(COUNTIF($B$18:B995,B995)&amp;CHOOSE(MIN(4,COUNTIF($B$18:B995,B995)),"st","nd","rd","th"),"")</f>
        <v/>
      </c>
    </row>
    <row r="996" spans="10:10" x14ac:dyDescent="0.25">
      <c r="J996" s="164" t="str">
        <f>IFERROR(COUNTIF($B$18:B996,B996)&amp;CHOOSE(MIN(4,COUNTIF($B$18:B996,B996)),"st","nd","rd","th"),"")</f>
        <v/>
      </c>
    </row>
    <row r="997" spans="10:10" x14ac:dyDescent="0.25">
      <c r="J997" s="164" t="str">
        <f>IFERROR(COUNTIF($B$18:B997,B997)&amp;CHOOSE(MIN(4,COUNTIF($B$18:B997,B997)),"st","nd","rd","th"),"")</f>
        <v/>
      </c>
    </row>
    <row r="998" spans="10:10" x14ac:dyDescent="0.25">
      <c r="J998" s="164" t="str">
        <f>IFERROR(COUNTIF($B$18:B998,B998)&amp;CHOOSE(MIN(4,COUNTIF($B$18:B998,B998)),"st","nd","rd","th"),"")</f>
        <v/>
      </c>
    </row>
    <row r="999" spans="10:10" x14ac:dyDescent="0.25">
      <c r="J999" s="164" t="str">
        <f>IFERROR(COUNTIF($B$18:B999,B999)&amp;CHOOSE(MIN(4,COUNTIF($B$18:B999,B999)),"st","nd","rd","th"),"")</f>
        <v/>
      </c>
    </row>
    <row r="1000" spans="10:10" x14ac:dyDescent="0.25">
      <c r="J1000" s="164" t="str">
        <f>IFERROR(COUNTIF($B$18:B1000,B1000)&amp;CHOOSE(MIN(4,COUNTIF($B$18:B1000,B1000)),"st","nd","rd","th"),"")</f>
        <v/>
      </c>
    </row>
    <row r="1001" spans="10:10" x14ac:dyDescent="0.25">
      <c r="J1001" s="164" t="str">
        <f>IFERROR(COUNTIF($B$18:B1001,B1001)&amp;CHOOSE(MIN(4,COUNTIF($B$18:B1001,B1001)),"st","nd","rd","th"),"")</f>
        <v/>
      </c>
    </row>
    <row r="1002" spans="10:10" x14ac:dyDescent="0.25">
      <c r="J1002" s="164" t="str">
        <f>IFERROR(COUNTIF($B$18:B1002,B1002)&amp;CHOOSE(MIN(4,COUNTIF($B$18:B1002,B1002)),"st","nd","rd","th"),"")</f>
        <v/>
      </c>
    </row>
    <row r="1003" spans="10:10" x14ac:dyDescent="0.25">
      <c r="J1003" s="164" t="str">
        <f>IFERROR(COUNTIF($B$18:B1003,B1003)&amp;CHOOSE(MIN(4,COUNTIF($B$18:B1003,B1003)),"st","nd","rd","th"),"")</f>
        <v/>
      </c>
    </row>
    <row r="1004" spans="10:10" x14ac:dyDescent="0.25">
      <c r="J1004" s="164" t="str">
        <f>IFERROR(COUNTIF($B$18:B1004,B1004)&amp;CHOOSE(MIN(4,COUNTIF($B$18:B1004,B1004)),"st","nd","rd","th"),"")</f>
        <v/>
      </c>
    </row>
    <row r="1005" spans="10:10" x14ac:dyDescent="0.25">
      <c r="J1005" s="164" t="str">
        <f>IFERROR(COUNTIF($B$18:B1005,B1005)&amp;CHOOSE(MIN(4,COUNTIF($B$18:B1005,B1005)),"st","nd","rd","th"),"")</f>
        <v/>
      </c>
    </row>
    <row r="1006" spans="10:10" x14ac:dyDescent="0.25">
      <c r="J1006" s="164" t="str">
        <f>IFERROR(COUNTIF($B$18:B1006,B1006)&amp;CHOOSE(MIN(4,COUNTIF($B$18:B1006,B1006)),"st","nd","rd","th"),"")</f>
        <v/>
      </c>
    </row>
    <row r="1007" spans="10:10" x14ac:dyDescent="0.25">
      <c r="J1007" s="164" t="str">
        <f>IFERROR(COUNTIF($B$18:B1007,B1007)&amp;CHOOSE(MIN(4,COUNTIF($B$18:B1007,B1007)),"st","nd","rd","th"),"")</f>
        <v/>
      </c>
    </row>
  </sheetData>
  <autoFilter ref="B17:J1007" xr:uid="{0AED15E0-35C6-4772-A556-2A5219CA614E}"/>
  <mergeCells count="3">
    <mergeCell ref="B5:R5"/>
    <mergeCell ref="B6:R6"/>
    <mergeCell ref="B7:R7"/>
  </mergeCells>
  <hyperlinks>
    <hyperlink ref="C1" location="'Accomplishment 2025'!A1" display="Back to Summary of Accomplishments 2025" xr:uid="{6BD00BB0-4C9D-4A38-A910-82F746288F43}"/>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E565FD6D-0322-4A55-80D6-01C658974572}">
          <x14:formula1>
            <xm:f>Picklists!$A$26:$A$27</xm:f>
          </x14:formula1>
          <xm:sqref>F29:F1048576 F18</xm:sqref>
        </x14:dataValidation>
        <x14:dataValidation type="list" allowBlank="1" showInputMessage="1" showErrorMessage="1" xr:uid="{EDA0D351-0DBA-4FFD-8788-E0A7FFEF78F5}">
          <x14:formula1>
            <xm:f>Picklists!$A$17:$A$23</xm:f>
          </x14:formula1>
          <xm:sqref>D29:D1048576 D18</xm:sqref>
        </x14:dataValidation>
        <x14:dataValidation type="list" allowBlank="1" showInputMessage="1" showErrorMessage="1" xr:uid="{8192B009-6B60-422A-AD85-A20DE9706AA1}">
          <x14:formula1>
            <xm:f>Picklists!$A$3:$A$14</xm:f>
          </x14:formula1>
          <xm:sqref>H18 H22:H1048576</xm:sqref>
        </x14:dataValidation>
        <x14:dataValidation type="list" allowBlank="1" showInputMessage="1" showErrorMessage="1" xr:uid="{BC5AF4AB-7AD4-405B-ABAD-57131284C7A7}">
          <x14:formula1>
            <xm:f>Picklists!$A$39:$A$44</xm:f>
          </x14:formula1>
          <xm:sqref>D31 C32:C1048576 C18 C22:C30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1901-EBCA-482A-9C37-C8CD9C954E2A}">
  <sheetPr codeName="Sheet19">
    <tabColor theme="7" tint="-0.249977111117893"/>
  </sheetPr>
  <dimension ref="A1:V1001"/>
  <sheetViews>
    <sheetView topLeftCell="A8" zoomScale="60" zoomScaleNormal="60" workbookViewId="0">
      <selection activeCell="A18" sqref="A18:V19"/>
    </sheetView>
  </sheetViews>
  <sheetFormatPr defaultColWidth="8.88671875" defaultRowHeight="13.8" x14ac:dyDescent="0.3"/>
  <cols>
    <col min="1" max="1" width="9.6640625" style="384" customWidth="1"/>
    <col min="2" max="2" width="34.33203125" style="384" customWidth="1"/>
    <col min="3" max="3" width="52.88671875" style="384" bestFit="1" customWidth="1"/>
    <col min="4" max="4" width="25.33203125" style="384" customWidth="1"/>
    <col min="5" max="5" width="27.44140625" style="384" customWidth="1"/>
    <col min="6" max="6" width="23.44140625" style="380" customWidth="1"/>
    <col min="7" max="7" width="20.44140625" style="380" customWidth="1"/>
    <col min="8" max="8" width="13.33203125" style="380" customWidth="1"/>
    <col min="9" max="9" width="16.33203125" style="378" customWidth="1"/>
    <col min="10" max="10" width="26.6640625" style="378" customWidth="1"/>
    <col min="11" max="11" width="31.33203125" style="378" customWidth="1"/>
    <col min="12" max="12" width="20.88671875" style="384" customWidth="1"/>
    <col min="13" max="13" width="13.5546875" style="384" customWidth="1"/>
    <col min="14" max="14" width="15.5546875" style="384" customWidth="1"/>
    <col min="15" max="15" width="8.88671875" style="384" customWidth="1"/>
    <col min="16" max="16384" width="8.88671875" style="384"/>
  </cols>
  <sheetData>
    <row r="1" spans="1:22" s="402" customFormat="1" ht="14.4" x14ac:dyDescent="0.3">
      <c r="A1" s="364" t="s">
        <v>5090</v>
      </c>
      <c r="C1" s="403" t="s">
        <v>1673</v>
      </c>
    </row>
    <row r="2" spans="1:22" s="402" customFormat="1" x14ac:dyDescent="0.3">
      <c r="A2" s="404"/>
      <c r="B2" s="405"/>
      <c r="C2" s="405"/>
      <c r="D2" s="405"/>
      <c r="E2" s="405"/>
    </row>
    <row r="3" spans="1:22" s="402" customFormat="1" x14ac:dyDescent="0.3">
      <c r="A3" s="363">
        <v>8</v>
      </c>
      <c r="B3" s="364" t="s">
        <v>1571</v>
      </c>
      <c r="C3" s="364"/>
      <c r="D3" s="364"/>
      <c r="E3" s="364"/>
    </row>
    <row r="4" spans="1:22" s="402" customFormat="1" x14ac:dyDescent="0.3">
      <c r="A4" s="406"/>
      <c r="B4" s="206" t="s">
        <v>5201</v>
      </c>
      <c r="C4" s="206"/>
      <c r="D4" s="206"/>
      <c r="E4" s="206"/>
    </row>
    <row r="5" spans="1:22" s="402" customFormat="1" ht="94.2" customHeight="1" x14ac:dyDescent="0.3">
      <c r="A5" s="406"/>
      <c r="B5" s="614" t="s">
        <v>5202</v>
      </c>
      <c r="C5" s="614"/>
      <c r="D5" s="614"/>
      <c r="E5" s="614"/>
      <c r="F5" s="614"/>
      <c r="G5" s="614"/>
      <c r="H5" s="614"/>
      <c r="I5" s="614"/>
      <c r="J5" s="614"/>
      <c r="K5" s="614"/>
      <c r="L5" s="614"/>
      <c r="M5" s="614"/>
      <c r="N5" s="614"/>
      <c r="O5" s="614"/>
      <c r="P5" s="614"/>
      <c r="Q5" s="614"/>
      <c r="R5" s="614"/>
      <c r="S5" s="614"/>
      <c r="T5" s="614"/>
      <c r="U5" s="614"/>
      <c r="V5" s="614"/>
    </row>
    <row r="6" spans="1:22" s="402" customFormat="1" ht="60.6" customHeight="1" x14ac:dyDescent="0.3">
      <c r="A6" s="406"/>
      <c r="B6" s="615" t="s">
        <v>5203</v>
      </c>
      <c r="C6" s="615"/>
      <c r="D6" s="615"/>
      <c r="E6" s="615"/>
      <c r="F6" s="615"/>
      <c r="G6" s="615"/>
      <c r="H6" s="615"/>
      <c r="I6" s="615"/>
      <c r="J6" s="615"/>
      <c r="K6" s="615"/>
      <c r="L6" s="615"/>
      <c r="M6" s="615"/>
      <c r="N6" s="615"/>
      <c r="O6" s="615"/>
      <c r="P6" s="615"/>
      <c r="Q6" s="615"/>
      <c r="R6" s="615"/>
      <c r="S6" s="615"/>
      <c r="T6" s="615"/>
      <c r="U6" s="615"/>
      <c r="V6" s="615"/>
    </row>
    <row r="7" spans="1:22" s="402" customFormat="1" x14ac:dyDescent="0.3">
      <c r="B7" s="616" t="s">
        <v>5204</v>
      </c>
      <c r="C7" s="617"/>
      <c r="D7" s="617"/>
      <c r="E7" s="617"/>
      <c r="F7" s="617"/>
      <c r="G7" s="617"/>
      <c r="H7" s="617"/>
      <c r="I7" s="617"/>
      <c r="J7" s="617"/>
      <c r="K7" s="617"/>
      <c r="L7" s="617"/>
      <c r="M7" s="617"/>
      <c r="N7" s="617"/>
      <c r="O7" s="617"/>
      <c r="P7" s="617"/>
      <c r="Q7" s="617"/>
      <c r="R7" s="617"/>
      <c r="S7" s="617"/>
      <c r="T7" s="617"/>
      <c r="U7" s="617"/>
      <c r="V7" s="617"/>
    </row>
    <row r="8" spans="1:22" s="402" customFormat="1" ht="45" customHeight="1" x14ac:dyDescent="0.3">
      <c r="B8" s="618" t="s">
        <v>5205</v>
      </c>
      <c r="C8" s="618"/>
      <c r="D8" s="618"/>
      <c r="E8" s="618"/>
      <c r="F8" s="618"/>
      <c r="G8" s="618"/>
      <c r="H8" s="618"/>
      <c r="I8" s="618"/>
      <c r="J8" s="618"/>
      <c r="K8" s="618"/>
      <c r="L8" s="618"/>
      <c r="M8" s="618"/>
      <c r="N8" s="618"/>
      <c r="O8" s="618"/>
      <c r="P8" s="618"/>
      <c r="Q8" s="618"/>
      <c r="R8" s="618"/>
      <c r="S8" s="618"/>
      <c r="T8" s="618"/>
      <c r="U8" s="618"/>
      <c r="V8" s="618"/>
    </row>
    <row r="9" spans="1:22" s="402" customFormat="1" x14ac:dyDescent="0.3">
      <c r="B9" s="364"/>
      <c r="C9" s="364"/>
      <c r="D9" s="364"/>
      <c r="E9" s="364"/>
      <c r="F9" s="364"/>
      <c r="G9" s="364"/>
      <c r="H9" s="364"/>
      <c r="I9" s="364"/>
      <c r="J9" s="364"/>
      <c r="K9" s="364"/>
      <c r="L9" s="364"/>
      <c r="M9" s="364"/>
      <c r="N9" s="364"/>
      <c r="O9" s="364"/>
      <c r="P9" s="364"/>
      <c r="Q9" s="364"/>
      <c r="R9" s="364"/>
      <c r="S9" s="364"/>
      <c r="T9" s="364"/>
      <c r="U9" s="364"/>
      <c r="V9" s="364"/>
    </row>
    <row r="10" spans="1:22" s="402" customFormat="1" x14ac:dyDescent="0.3">
      <c r="B10" s="407" t="s">
        <v>5206</v>
      </c>
      <c r="C10" s="407"/>
      <c r="D10" s="407"/>
      <c r="E10" s="407"/>
      <c r="F10" s="408">
        <f>COUNTIF(N18:N1000,"1st")</f>
        <v>2</v>
      </c>
      <c r="G10" s="206"/>
      <c r="H10" s="206"/>
      <c r="I10" s="206"/>
      <c r="J10" s="206"/>
      <c r="K10" s="206"/>
      <c r="L10" s="364"/>
      <c r="M10" s="364"/>
      <c r="N10" s="364"/>
      <c r="O10" s="364"/>
      <c r="P10" s="364"/>
      <c r="Q10" s="364"/>
      <c r="R10" s="364"/>
      <c r="S10" s="364"/>
      <c r="T10" s="364"/>
      <c r="U10" s="364"/>
      <c r="V10" s="364"/>
    </row>
    <row r="11" spans="1:22" s="402" customFormat="1" x14ac:dyDescent="0.3">
      <c r="B11" s="407" t="s">
        <v>5207</v>
      </c>
      <c r="C11" s="407"/>
      <c r="D11" s="407"/>
      <c r="E11" s="407"/>
      <c r="F11" s="408">
        <f>COUNTA(D18:D1000)</f>
        <v>2</v>
      </c>
      <c r="G11" s="364"/>
      <c r="H11" s="364"/>
      <c r="I11" s="364"/>
      <c r="J11" s="364"/>
      <c r="K11" s="364"/>
      <c r="L11" s="364"/>
      <c r="M11" s="364"/>
      <c r="N11" s="364"/>
      <c r="O11" s="364"/>
      <c r="P11" s="364"/>
      <c r="Q11" s="364"/>
      <c r="R11" s="364"/>
      <c r="S11" s="364"/>
      <c r="T11" s="364"/>
      <c r="U11" s="364"/>
      <c r="V11" s="364"/>
    </row>
    <row r="12" spans="1:22" s="402" customFormat="1" x14ac:dyDescent="0.3">
      <c r="B12" s="409" t="s">
        <v>5208</v>
      </c>
      <c r="C12" s="409"/>
      <c r="D12" s="409"/>
      <c r="E12" s="409"/>
      <c r="F12" s="410">
        <f>SUM(H18:H1000)</f>
        <v>2</v>
      </c>
      <c r="G12" s="411"/>
      <c r="H12" s="364"/>
      <c r="I12" s="364"/>
      <c r="J12" s="364"/>
      <c r="K12" s="364"/>
      <c r="L12" s="364"/>
      <c r="M12" s="364"/>
      <c r="N12" s="364"/>
      <c r="O12" s="364"/>
      <c r="P12" s="364"/>
      <c r="Q12" s="364"/>
      <c r="R12" s="364"/>
      <c r="S12" s="364"/>
      <c r="T12" s="364"/>
      <c r="U12" s="364"/>
      <c r="V12" s="364"/>
    </row>
    <row r="13" spans="1:22" s="402" customFormat="1" x14ac:dyDescent="0.3">
      <c r="B13" s="412" t="s">
        <v>5209</v>
      </c>
      <c r="C13" s="409"/>
      <c r="D13" s="409"/>
      <c r="E13" s="409"/>
      <c r="F13" s="410">
        <f>SUM(I18:I1001)</f>
        <v>60</v>
      </c>
      <c r="G13" s="364"/>
      <c r="H13" s="364"/>
      <c r="I13" s="364"/>
      <c r="J13" s="364"/>
      <c r="K13" s="364"/>
      <c r="L13" s="364"/>
      <c r="M13" s="364"/>
      <c r="N13" s="364"/>
      <c r="O13" s="364"/>
      <c r="P13" s="364"/>
      <c r="Q13" s="364"/>
      <c r="R13" s="364"/>
      <c r="S13" s="364"/>
      <c r="T13" s="364"/>
      <c r="U13" s="364"/>
      <c r="V13" s="364"/>
    </row>
    <row r="14" spans="1:22" s="402" customFormat="1" x14ac:dyDescent="0.3">
      <c r="B14" s="364"/>
      <c r="C14" s="364"/>
      <c r="D14" s="364"/>
      <c r="E14" s="364"/>
      <c r="F14" s="364"/>
      <c r="G14" s="364"/>
      <c r="H14" s="364"/>
      <c r="I14" s="364"/>
      <c r="J14" s="364"/>
      <c r="K14" s="364"/>
      <c r="L14" s="364"/>
      <c r="M14" s="364"/>
      <c r="N14" s="364"/>
      <c r="O14" s="364"/>
      <c r="P14" s="364"/>
      <c r="Q14" s="364"/>
      <c r="R14" s="364"/>
      <c r="S14" s="364"/>
      <c r="T14" s="364"/>
      <c r="U14" s="364"/>
      <c r="V14" s="364"/>
    </row>
    <row r="15" spans="1:22" s="402" customFormat="1" x14ac:dyDescent="0.3">
      <c r="B15" s="364"/>
      <c r="C15" s="364"/>
      <c r="D15" s="364"/>
      <c r="E15" s="364"/>
      <c r="F15" s="364"/>
      <c r="G15" s="364"/>
      <c r="H15" s="364"/>
      <c r="I15" s="364"/>
      <c r="J15" s="364"/>
      <c r="K15" s="364"/>
      <c r="L15" s="364"/>
      <c r="M15" s="364"/>
      <c r="N15" s="364"/>
      <c r="O15" s="364"/>
      <c r="P15" s="364"/>
      <c r="Q15" s="364"/>
      <c r="R15" s="364"/>
      <c r="S15" s="364"/>
      <c r="T15" s="364"/>
      <c r="U15" s="364"/>
      <c r="V15" s="364"/>
    </row>
    <row r="16" spans="1:22" s="402" customFormat="1" x14ac:dyDescent="0.3"/>
    <row r="17" spans="1:22" s="365" customFormat="1" ht="54.6" customHeight="1" x14ac:dyDescent="0.3">
      <c r="A17" s="184" t="s">
        <v>1678</v>
      </c>
      <c r="B17" s="183" t="s">
        <v>1679</v>
      </c>
      <c r="C17" s="183" t="s">
        <v>5130</v>
      </c>
      <c r="D17" s="184" t="s">
        <v>5210</v>
      </c>
      <c r="E17" s="183" t="s">
        <v>5211</v>
      </c>
      <c r="F17" s="184" t="s">
        <v>5212</v>
      </c>
      <c r="G17" s="184" t="s">
        <v>5213</v>
      </c>
      <c r="H17" s="200" t="s">
        <v>5214</v>
      </c>
      <c r="I17" s="184" t="s">
        <v>5215</v>
      </c>
      <c r="J17" s="184" t="s">
        <v>5216</v>
      </c>
      <c r="K17" s="184" t="s">
        <v>5217</v>
      </c>
      <c r="L17" s="184" t="s">
        <v>1685</v>
      </c>
      <c r="M17" s="184" t="s">
        <v>5218</v>
      </c>
      <c r="N17" s="200" t="s">
        <v>5191</v>
      </c>
    </row>
    <row r="18" spans="1:22" s="378" customFormat="1" ht="41.4" x14ac:dyDescent="0.25">
      <c r="A18" s="416" t="s">
        <v>67</v>
      </c>
      <c r="B18" s="416" t="s">
        <v>86</v>
      </c>
      <c r="C18" s="416" t="s">
        <v>932</v>
      </c>
      <c r="D18" s="485" t="s">
        <v>5219</v>
      </c>
      <c r="E18" s="485" t="s">
        <v>5220</v>
      </c>
      <c r="F18" s="555">
        <v>46175</v>
      </c>
      <c r="G18" s="555">
        <v>46175</v>
      </c>
      <c r="H18" s="416">
        <v>1</v>
      </c>
      <c r="I18" s="416">
        <v>30</v>
      </c>
      <c r="J18" s="416" t="s">
        <v>5221</v>
      </c>
      <c r="K18" s="416" t="s">
        <v>5221</v>
      </c>
      <c r="L18" s="416" t="s">
        <v>1499</v>
      </c>
      <c r="M18" s="485" t="s">
        <v>5108</v>
      </c>
      <c r="N18" s="416" t="s">
        <v>1856</v>
      </c>
      <c r="O18" s="416"/>
      <c r="P18" s="416"/>
      <c r="Q18" s="416"/>
      <c r="R18" s="416"/>
      <c r="S18" s="416"/>
      <c r="T18" s="416"/>
      <c r="U18" s="416"/>
      <c r="V18" s="416"/>
    </row>
    <row r="19" spans="1:22" ht="55.2" x14ac:dyDescent="0.25">
      <c r="A19" s="416" t="s">
        <v>67</v>
      </c>
      <c r="B19" s="416" t="s">
        <v>86</v>
      </c>
      <c r="C19" s="416" t="s">
        <v>1298</v>
      </c>
      <c r="D19" s="485" t="s">
        <v>5222</v>
      </c>
      <c r="E19" s="485" t="s">
        <v>5223</v>
      </c>
      <c r="F19" s="555">
        <v>46079</v>
      </c>
      <c r="G19" s="555">
        <v>46079</v>
      </c>
      <c r="H19" s="416">
        <v>1</v>
      </c>
      <c r="I19" s="416">
        <v>30</v>
      </c>
      <c r="J19" s="416" t="s">
        <v>5224</v>
      </c>
      <c r="K19" s="416" t="s">
        <v>5224</v>
      </c>
      <c r="L19" s="416" t="s">
        <v>1499</v>
      </c>
      <c r="M19" s="485" t="s">
        <v>5108</v>
      </c>
      <c r="N19" s="416" t="s">
        <v>1856</v>
      </c>
      <c r="O19" s="416"/>
      <c r="P19" s="416"/>
      <c r="Q19" s="416"/>
      <c r="R19" s="416"/>
      <c r="S19" s="416"/>
      <c r="T19" s="416"/>
      <c r="U19" s="416"/>
      <c r="V19" s="416"/>
    </row>
    <row r="20" spans="1:22" x14ac:dyDescent="0.3">
      <c r="D20" s="204"/>
      <c r="E20" s="204"/>
      <c r="H20" s="384" t="str">
        <f t="shared" ref="H20:H82" si="0">IF(OR(ISBLANK(G20), ISBLANK(F20)), "", IF(G20=F20, 1, SUM(_xlfn.DAYS(G20, F20), 1)))</f>
        <v/>
      </c>
      <c r="J20" s="384"/>
      <c r="K20" s="384"/>
      <c r="M20" s="388"/>
      <c r="N20" s="378" t="str">
        <f>IFERROR(COUNTIF($C$18:C20,C20)&amp;CHOOSE(MIN(4,COUNTIF($C$18:C20,C20)),"st","nd","rd","th"),"")</f>
        <v/>
      </c>
    </row>
    <row r="21" spans="1:22" ht="14.25" customHeight="1" x14ac:dyDescent="0.3">
      <c r="D21" s="388"/>
      <c r="E21" s="388"/>
      <c r="F21" s="415"/>
      <c r="G21" s="415"/>
      <c r="H21" s="384" t="str">
        <f t="shared" si="0"/>
        <v/>
      </c>
      <c r="I21" s="384"/>
      <c r="J21" s="384"/>
      <c r="K21" s="384"/>
      <c r="M21" s="388"/>
      <c r="N21" s="378" t="str">
        <f>IFERROR(COUNTIF($C$18:C21,C21)&amp;CHOOSE(MIN(4,COUNTIF($C$18:C21,C21)),"st","nd","rd","th"),"")</f>
        <v/>
      </c>
    </row>
    <row r="22" spans="1:22" x14ac:dyDescent="0.3">
      <c r="D22" s="388"/>
      <c r="E22" s="388"/>
      <c r="F22" s="415"/>
      <c r="G22" s="415"/>
      <c r="H22" s="384" t="str">
        <f t="shared" si="0"/>
        <v/>
      </c>
      <c r="I22" s="384"/>
      <c r="J22" s="384"/>
      <c r="K22" s="384"/>
      <c r="M22" s="388"/>
      <c r="N22" s="378" t="str">
        <f>IFERROR(COUNTIF($C$18:C22,C22)&amp;CHOOSE(MIN(4,COUNTIF($C$18:C22,C22)),"st","nd","rd","th"),"")</f>
        <v/>
      </c>
    </row>
    <row r="23" spans="1:22" x14ac:dyDescent="0.3">
      <c r="D23" s="388"/>
      <c r="E23" s="388"/>
      <c r="F23" s="415"/>
      <c r="G23" s="415"/>
      <c r="H23" s="384" t="str">
        <f t="shared" si="0"/>
        <v/>
      </c>
      <c r="I23" s="384"/>
      <c r="J23" s="384"/>
      <c r="K23" s="384"/>
      <c r="M23" s="388"/>
      <c r="N23" s="378" t="str">
        <f>IFERROR(COUNTIF($C$18:C23,C23)&amp;CHOOSE(MIN(4,COUNTIF($C$18:C23,C23)),"st","nd","rd","th"),"")</f>
        <v/>
      </c>
    </row>
    <row r="24" spans="1:22" x14ac:dyDescent="0.3">
      <c r="D24" s="388"/>
      <c r="E24" s="388"/>
      <c r="F24" s="415"/>
      <c r="G24" s="415"/>
      <c r="H24" s="384" t="str">
        <f t="shared" si="0"/>
        <v/>
      </c>
      <c r="I24" s="384"/>
      <c r="J24" s="384"/>
      <c r="K24" s="384"/>
      <c r="M24" s="388"/>
      <c r="N24" s="378" t="str">
        <f>IFERROR(COUNTIF($C$18:C24,C24)&amp;CHOOSE(MIN(4,COUNTIF($C$18:C24,C24)),"st","nd","rd","th"),"")</f>
        <v/>
      </c>
    </row>
    <row r="25" spans="1:22" x14ac:dyDescent="0.3">
      <c r="D25" s="388"/>
      <c r="E25" s="388"/>
      <c r="F25" s="415"/>
      <c r="G25" s="415"/>
      <c r="H25" s="384" t="str">
        <f t="shared" si="0"/>
        <v/>
      </c>
      <c r="I25" s="384"/>
      <c r="J25" s="384"/>
      <c r="K25" s="384"/>
      <c r="M25" s="388"/>
      <c r="N25" s="378" t="str">
        <f>IFERROR(COUNTIF($C$18:C25,C25)&amp;CHOOSE(MIN(4,COUNTIF($C$18:C25,C25)),"st","nd","rd","th"),"")</f>
        <v/>
      </c>
    </row>
    <row r="26" spans="1:22" x14ac:dyDescent="0.3">
      <c r="D26" s="388"/>
      <c r="E26" s="388"/>
      <c r="F26" s="415"/>
      <c r="G26" s="415"/>
      <c r="H26" s="384" t="str">
        <f t="shared" si="0"/>
        <v/>
      </c>
      <c r="I26" s="384"/>
      <c r="J26" s="384"/>
      <c r="K26" s="384"/>
      <c r="M26" s="388"/>
      <c r="N26" s="378" t="str">
        <f>IFERROR(COUNTIF($C$18:C26,C26)&amp;CHOOSE(MIN(4,COUNTIF($C$18:C26,C26)),"st","nd","rd","th"),"")</f>
        <v/>
      </c>
    </row>
    <row r="27" spans="1:22" x14ac:dyDescent="0.3">
      <c r="D27" s="388"/>
      <c r="E27" s="388"/>
      <c r="F27" s="415"/>
      <c r="G27" s="415"/>
      <c r="H27" s="384" t="str">
        <f t="shared" si="0"/>
        <v/>
      </c>
      <c r="I27" s="384"/>
      <c r="J27" s="384"/>
      <c r="K27" s="384"/>
      <c r="M27" s="388"/>
      <c r="N27" s="378" t="str">
        <f>IFERROR(COUNTIF($C$18:C27,C27)&amp;CHOOSE(MIN(4,COUNTIF($C$18:C27,C27)),"st","nd","rd","th"),"")</f>
        <v/>
      </c>
    </row>
    <row r="28" spans="1:22" x14ac:dyDescent="0.3">
      <c r="D28" s="388"/>
      <c r="E28" s="388"/>
      <c r="F28" s="415"/>
      <c r="G28" s="415"/>
      <c r="H28" s="384" t="str">
        <f t="shared" si="0"/>
        <v/>
      </c>
      <c r="I28" s="384"/>
      <c r="J28" s="384"/>
      <c r="K28" s="384"/>
      <c r="M28" s="388"/>
      <c r="N28" s="378" t="str">
        <f>IFERROR(COUNTIF($C$18:C28,C28)&amp;CHOOSE(MIN(4,COUNTIF($C$18:C28,C28)),"st","nd","rd","th"),"")</f>
        <v/>
      </c>
    </row>
    <row r="29" spans="1:22" x14ac:dyDescent="0.3">
      <c r="D29" s="388"/>
      <c r="E29" s="388"/>
      <c r="F29" s="415"/>
      <c r="G29" s="415"/>
      <c r="H29" s="384" t="str">
        <f t="shared" si="0"/>
        <v/>
      </c>
      <c r="I29" s="384"/>
      <c r="J29" s="384"/>
      <c r="K29" s="384"/>
      <c r="M29" s="388"/>
      <c r="N29" s="378" t="str">
        <f>IFERROR(COUNTIF($C$18:C29,C29)&amp;CHOOSE(MIN(4,COUNTIF($C$18:C29,C29)),"st","nd","rd","th"),"")</f>
        <v/>
      </c>
    </row>
    <row r="30" spans="1:22" ht="13.95" customHeight="1" x14ac:dyDescent="0.3">
      <c r="D30" s="388"/>
      <c r="E30" s="388"/>
      <c r="F30" s="415"/>
      <c r="G30" s="415"/>
      <c r="H30" s="384" t="str">
        <f t="shared" si="0"/>
        <v/>
      </c>
      <c r="I30" s="384"/>
      <c r="N30" s="378" t="str">
        <f>IFERROR(COUNTIF($C$18:C30,C30)&amp;CHOOSE(MIN(4,COUNTIF($C$18:C30,C30)),"st","nd","rd","th"),"")</f>
        <v/>
      </c>
    </row>
    <row r="31" spans="1:22" x14ac:dyDescent="0.3">
      <c r="D31" s="388"/>
      <c r="E31" s="388"/>
      <c r="F31" s="415"/>
      <c r="G31" s="415"/>
      <c r="H31" s="384" t="str">
        <f t="shared" si="0"/>
        <v/>
      </c>
      <c r="I31" s="384"/>
      <c r="N31" s="378" t="str">
        <f>IFERROR(COUNTIF($C$18:C31,C31)&amp;CHOOSE(MIN(4,COUNTIF($C$18:C31,C31)),"st","nd","rd","th"),"")</f>
        <v/>
      </c>
    </row>
    <row r="32" spans="1:22" x14ac:dyDescent="0.3">
      <c r="D32" s="388"/>
      <c r="E32" s="388"/>
      <c r="F32" s="415"/>
      <c r="G32" s="415"/>
      <c r="H32" s="384" t="str">
        <f t="shared" si="0"/>
        <v/>
      </c>
      <c r="I32" s="384"/>
      <c r="N32" s="378" t="str">
        <f>IFERROR(COUNTIF($C$18:C32,C32)&amp;CHOOSE(MIN(4,COUNTIF($C$18:C32,C32)),"st","nd","rd","th"),"")</f>
        <v/>
      </c>
    </row>
    <row r="33" spans="4:14" x14ac:dyDescent="0.3">
      <c r="D33" s="388"/>
      <c r="E33" s="388"/>
      <c r="F33" s="415"/>
      <c r="G33" s="415"/>
      <c r="H33" s="384" t="str">
        <f t="shared" si="0"/>
        <v/>
      </c>
      <c r="I33" s="384"/>
      <c r="N33" s="378" t="str">
        <f>IFERROR(COUNTIF($C$18:C33,C33)&amp;CHOOSE(MIN(4,COUNTIF($C$18:C33,C33)),"st","nd","rd","th"),"")</f>
        <v/>
      </c>
    </row>
    <row r="34" spans="4:14" x14ac:dyDescent="0.3">
      <c r="D34" s="388"/>
      <c r="E34" s="388"/>
      <c r="F34" s="415"/>
      <c r="G34" s="415"/>
      <c r="H34" s="384" t="str">
        <f t="shared" si="0"/>
        <v/>
      </c>
      <c r="I34" s="384"/>
      <c r="N34" s="378" t="str">
        <f>IFERROR(COUNTIF($C$18:C34,C34)&amp;CHOOSE(MIN(4,COUNTIF($C$18:C34,C34)),"st","nd","rd","th"),"")</f>
        <v/>
      </c>
    </row>
    <row r="35" spans="4:14" x14ac:dyDescent="0.3">
      <c r="H35" s="384" t="str">
        <f t="shared" si="0"/>
        <v/>
      </c>
      <c r="N35" s="378" t="str">
        <f>IFERROR(COUNTIF($C$18:C35,C35)&amp;CHOOSE(MIN(4,COUNTIF($C$18:C35,C35)),"st","nd","rd","th"),"")</f>
        <v/>
      </c>
    </row>
    <row r="36" spans="4:14" x14ac:dyDescent="0.3">
      <c r="H36" s="384" t="str">
        <f t="shared" si="0"/>
        <v/>
      </c>
      <c r="N36" s="378" t="str">
        <f>IFERROR(COUNTIF($C$18:C36,C36)&amp;CHOOSE(MIN(4,COUNTIF($C$18:C36,C36)),"st","nd","rd","th"),"")</f>
        <v/>
      </c>
    </row>
    <row r="37" spans="4:14" x14ac:dyDescent="0.3">
      <c r="H37" s="384" t="str">
        <f t="shared" si="0"/>
        <v/>
      </c>
      <c r="N37" s="378" t="str">
        <f>IFERROR(COUNTIF($C$18:C37,C37)&amp;CHOOSE(MIN(4,COUNTIF($C$18:C37,C37)),"st","nd","rd","th"),"")</f>
        <v/>
      </c>
    </row>
    <row r="38" spans="4:14" ht="13.95" customHeight="1" x14ac:dyDescent="0.3">
      <c r="F38" s="415"/>
      <c r="G38" s="415"/>
      <c r="H38" s="384" t="str">
        <f t="shared" si="0"/>
        <v/>
      </c>
      <c r="I38" s="384"/>
      <c r="J38" s="384"/>
      <c r="K38" s="384"/>
      <c r="N38" s="378" t="str">
        <f>IFERROR(COUNTIF($C$18:C38,C38)&amp;CHOOSE(MIN(4,COUNTIF($C$18:C38,C38)),"st","nd","rd","th"),"")</f>
        <v/>
      </c>
    </row>
    <row r="39" spans="4:14" ht="13.95" customHeight="1" x14ac:dyDescent="0.3">
      <c r="F39" s="415"/>
      <c r="G39" s="415"/>
      <c r="H39" s="384" t="str">
        <f t="shared" si="0"/>
        <v/>
      </c>
      <c r="I39" s="384"/>
      <c r="J39" s="384"/>
      <c r="K39" s="384"/>
      <c r="N39" s="378" t="str">
        <f>IFERROR(COUNTIF($C$18:C39,C39)&amp;CHOOSE(MIN(4,COUNTIF($C$18:C39,C39)),"st","nd","rd","th"),"")</f>
        <v/>
      </c>
    </row>
    <row r="40" spans="4:14" ht="13.95" customHeight="1" x14ac:dyDescent="0.3">
      <c r="F40" s="415"/>
      <c r="G40" s="415"/>
      <c r="H40" s="384" t="str">
        <f t="shared" si="0"/>
        <v/>
      </c>
      <c r="I40" s="384"/>
      <c r="J40" s="384"/>
      <c r="K40" s="384"/>
      <c r="N40" s="378" t="str">
        <f>IFERROR(COUNTIF($C$18:C40,C40)&amp;CHOOSE(MIN(4,COUNTIF($C$18:C40,C40)),"st","nd","rd","th"),"")</f>
        <v/>
      </c>
    </row>
    <row r="41" spans="4:14" ht="13.95" customHeight="1" x14ac:dyDescent="0.3">
      <c r="F41" s="415"/>
      <c r="G41" s="415"/>
      <c r="H41" s="384" t="str">
        <f t="shared" si="0"/>
        <v/>
      </c>
      <c r="I41" s="384"/>
      <c r="J41" s="384"/>
      <c r="K41" s="384"/>
      <c r="N41" s="378" t="str">
        <f>IFERROR(COUNTIF($C$18:C41,C41)&amp;CHOOSE(MIN(4,COUNTIF($C$18:C41,C41)),"st","nd","rd","th"),"")</f>
        <v/>
      </c>
    </row>
    <row r="42" spans="4:14" ht="13.95" customHeight="1" x14ac:dyDescent="0.3">
      <c r="F42" s="415"/>
      <c r="G42" s="415"/>
      <c r="H42" s="384" t="str">
        <f t="shared" si="0"/>
        <v/>
      </c>
      <c r="I42" s="384"/>
      <c r="J42" s="384"/>
      <c r="K42" s="384"/>
      <c r="N42" s="378" t="str">
        <f>IFERROR(COUNTIF($C$18:C42,C42)&amp;CHOOSE(MIN(4,COUNTIF($C$18:C42,C42)),"st","nd","rd","th"),"")</f>
        <v/>
      </c>
    </row>
    <row r="43" spans="4:14" ht="13.95" customHeight="1" x14ac:dyDescent="0.3">
      <c r="F43" s="415"/>
      <c r="G43" s="415"/>
      <c r="H43" s="384" t="str">
        <f t="shared" si="0"/>
        <v/>
      </c>
      <c r="I43" s="384"/>
      <c r="J43" s="384"/>
      <c r="K43" s="384"/>
      <c r="N43" s="378" t="str">
        <f>IFERROR(COUNTIF($C$18:C43,C43)&amp;CHOOSE(MIN(4,COUNTIF($C$18:C43,C43)),"st","nd","rd","th"),"")</f>
        <v/>
      </c>
    </row>
    <row r="44" spans="4:14" ht="13.95" customHeight="1" x14ac:dyDescent="0.3">
      <c r="F44" s="415"/>
      <c r="G44" s="415"/>
      <c r="H44" s="384" t="str">
        <f t="shared" si="0"/>
        <v/>
      </c>
      <c r="I44" s="384"/>
      <c r="J44" s="384"/>
      <c r="K44" s="384"/>
      <c r="N44" s="378" t="str">
        <f>IFERROR(COUNTIF($C$18:C44,C44)&amp;CHOOSE(MIN(4,COUNTIF($C$18:C44,C44)),"st","nd","rd","th"),"")</f>
        <v/>
      </c>
    </row>
    <row r="45" spans="4:14" ht="13.95" customHeight="1" x14ac:dyDescent="0.3">
      <c r="F45" s="415"/>
      <c r="G45" s="415"/>
      <c r="H45" s="384" t="str">
        <f t="shared" si="0"/>
        <v/>
      </c>
      <c r="I45" s="384"/>
      <c r="J45" s="384"/>
      <c r="K45" s="384"/>
      <c r="N45" s="378" t="str">
        <f>IFERROR(COUNTIF($C$18:C45,C45)&amp;CHOOSE(MIN(4,COUNTIF($C$18:C45,C45)),"st","nd","rd","th"),"")</f>
        <v/>
      </c>
    </row>
    <row r="46" spans="4:14" x14ac:dyDescent="0.3">
      <c r="H46" s="384" t="str">
        <f t="shared" si="0"/>
        <v/>
      </c>
      <c r="N46" s="378" t="str">
        <f>IFERROR(COUNTIF($C$18:C46,C46)&amp;CHOOSE(MIN(4,COUNTIF($C$18:C46,C46)),"st","nd","rd","th"),"")</f>
        <v/>
      </c>
    </row>
    <row r="47" spans="4:14" x14ac:dyDescent="0.3">
      <c r="H47" s="384" t="str">
        <f t="shared" si="0"/>
        <v/>
      </c>
      <c r="N47" s="378" t="str">
        <f>IFERROR(COUNTIF($C$18:C47,C47)&amp;CHOOSE(MIN(4,COUNTIF($C$18:C47,C47)),"st","nd","rd","th"),"")</f>
        <v/>
      </c>
    </row>
    <row r="48" spans="4:14" x14ac:dyDescent="0.3">
      <c r="H48" s="384" t="str">
        <f t="shared" si="0"/>
        <v/>
      </c>
      <c r="N48" s="378" t="str">
        <f>IFERROR(COUNTIF($C$18:C48,C48)&amp;CHOOSE(MIN(4,COUNTIF($C$18:C48,C48)),"st","nd","rd","th"),"")</f>
        <v/>
      </c>
    </row>
    <row r="49" spans="4:14" x14ac:dyDescent="0.3">
      <c r="H49" s="384" t="str">
        <f t="shared" si="0"/>
        <v/>
      </c>
      <c r="N49" s="378" t="str">
        <f>IFERROR(COUNTIF($C$18:C49,C49)&amp;CHOOSE(MIN(4,COUNTIF($C$18:C49,C49)),"st","nd","rd","th"),"")</f>
        <v/>
      </c>
    </row>
    <row r="50" spans="4:14" x14ac:dyDescent="0.3">
      <c r="H50" s="384" t="str">
        <f t="shared" si="0"/>
        <v/>
      </c>
      <c r="N50" s="378" t="str">
        <f>IFERROR(COUNTIF($C$18:C50,C50)&amp;CHOOSE(MIN(4,COUNTIF($C$18:C50,C50)),"st","nd","rd","th"),"")</f>
        <v/>
      </c>
    </row>
    <row r="51" spans="4:14" ht="13.95" customHeight="1" x14ac:dyDescent="0.3">
      <c r="D51" s="388"/>
      <c r="E51" s="388"/>
      <c r="F51" s="415"/>
      <c r="G51" s="415"/>
      <c r="H51" s="384" t="str">
        <f t="shared" si="0"/>
        <v/>
      </c>
      <c r="I51" s="384"/>
      <c r="J51" s="384"/>
      <c r="N51" s="378" t="str">
        <f>IFERROR(COUNTIF($C$18:C51,C51)&amp;CHOOSE(MIN(4,COUNTIF($C$18:C51,C51)),"st","nd","rd","th"),"")</f>
        <v/>
      </c>
    </row>
    <row r="52" spans="4:14" ht="13.95" customHeight="1" x14ac:dyDescent="0.3">
      <c r="D52" s="388"/>
      <c r="E52" s="388"/>
      <c r="F52" s="415"/>
      <c r="G52" s="415"/>
      <c r="H52" s="384" t="str">
        <f t="shared" si="0"/>
        <v/>
      </c>
      <c r="I52" s="384"/>
      <c r="J52" s="384"/>
      <c r="N52" s="378" t="str">
        <f>IFERROR(COUNTIF($C$18:C52,C52)&amp;CHOOSE(MIN(4,COUNTIF($C$18:C52,C52)),"st","nd","rd","th"),"")</f>
        <v/>
      </c>
    </row>
    <row r="53" spans="4:14" ht="13.95" customHeight="1" x14ac:dyDescent="0.3">
      <c r="D53" s="388"/>
      <c r="E53" s="388"/>
      <c r="F53" s="415"/>
      <c r="G53" s="415"/>
      <c r="H53" s="384" t="str">
        <f t="shared" si="0"/>
        <v/>
      </c>
      <c r="I53" s="384"/>
      <c r="J53" s="384"/>
      <c r="N53" s="378" t="str">
        <f>IFERROR(COUNTIF($C$18:C53,C53)&amp;CHOOSE(MIN(4,COUNTIF($C$18:C53,C53)),"st","nd","rd","th"),"")</f>
        <v/>
      </c>
    </row>
    <row r="54" spans="4:14" ht="13.95" customHeight="1" x14ac:dyDescent="0.3">
      <c r="D54" s="388"/>
      <c r="E54" s="388"/>
      <c r="F54" s="415"/>
      <c r="G54" s="415"/>
      <c r="H54" s="384" t="str">
        <f t="shared" si="0"/>
        <v/>
      </c>
      <c r="I54" s="384"/>
      <c r="J54" s="384"/>
      <c r="N54" s="378" t="str">
        <f>IFERROR(COUNTIF($C$18:C54,C54)&amp;CHOOSE(MIN(4,COUNTIF($C$18:C54,C54)),"st","nd","rd","th"),"")</f>
        <v/>
      </c>
    </row>
    <row r="55" spans="4:14" ht="13.95" customHeight="1" x14ac:dyDescent="0.3">
      <c r="D55" s="388"/>
      <c r="E55" s="388"/>
      <c r="F55" s="415"/>
      <c r="G55" s="415"/>
      <c r="H55" s="384" t="str">
        <f t="shared" si="0"/>
        <v/>
      </c>
      <c r="I55" s="384"/>
      <c r="J55" s="384"/>
      <c r="N55" s="378" t="str">
        <f>IFERROR(COUNTIF($C$18:C55,C55)&amp;CHOOSE(MIN(4,COUNTIF($C$18:C55,C55)),"st","nd","rd","th"),"")</f>
        <v/>
      </c>
    </row>
    <row r="56" spans="4:14" x14ac:dyDescent="0.3">
      <c r="H56" s="384" t="str">
        <f t="shared" si="0"/>
        <v/>
      </c>
      <c r="N56" s="378" t="str">
        <f>IFERROR(COUNTIF($C$18:C56,C56)&amp;CHOOSE(MIN(4,COUNTIF($C$18:C56,C56)),"st","nd","rd","th"),"")</f>
        <v/>
      </c>
    </row>
    <row r="57" spans="4:14" x14ac:dyDescent="0.3">
      <c r="H57" s="384" t="str">
        <f t="shared" si="0"/>
        <v/>
      </c>
      <c r="N57" s="378" t="str">
        <f>IFERROR(COUNTIF($C$18:C57,C57)&amp;CHOOSE(MIN(4,COUNTIF($C$18:C57,C57)),"st","nd","rd","th"),"")</f>
        <v/>
      </c>
    </row>
    <row r="58" spans="4:14" x14ac:dyDescent="0.3">
      <c r="H58" s="384" t="str">
        <f t="shared" si="0"/>
        <v/>
      </c>
      <c r="N58" s="378" t="str">
        <f>IFERROR(COUNTIF($C$18:C58,C58)&amp;CHOOSE(MIN(4,COUNTIF($C$18:C58,C58)),"st","nd","rd","th"),"")</f>
        <v/>
      </c>
    </row>
    <row r="59" spans="4:14" x14ac:dyDescent="0.3">
      <c r="H59" s="384" t="str">
        <f t="shared" si="0"/>
        <v/>
      </c>
      <c r="N59" s="378" t="str">
        <f>IFERROR(COUNTIF($C$18:C59,C59)&amp;CHOOSE(MIN(4,COUNTIF($C$18:C59,C59)),"st","nd","rd","th"),"")</f>
        <v/>
      </c>
    </row>
    <row r="60" spans="4:14" x14ac:dyDescent="0.3">
      <c r="H60" s="384" t="str">
        <f t="shared" si="0"/>
        <v/>
      </c>
      <c r="N60" s="378" t="str">
        <f>IFERROR(COUNTIF($C$18:C60,C60)&amp;CHOOSE(MIN(4,COUNTIF($C$18:C60,C60)),"st","nd","rd","th"),"")</f>
        <v/>
      </c>
    </row>
    <row r="61" spans="4:14" x14ac:dyDescent="0.3">
      <c r="H61" s="384" t="str">
        <f t="shared" si="0"/>
        <v/>
      </c>
      <c r="N61" s="378" t="str">
        <f>IFERROR(COUNTIF($C$18:C61,C61)&amp;CHOOSE(MIN(4,COUNTIF($C$18:C61,C61)),"st","nd","rd","th"),"")</f>
        <v/>
      </c>
    </row>
    <row r="62" spans="4:14" x14ac:dyDescent="0.3">
      <c r="H62" s="384" t="str">
        <f t="shared" si="0"/>
        <v/>
      </c>
      <c r="N62" s="378" t="str">
        <f>IFERROR(COUNTIF($C$18:C62,C62)&amp;CHOOSE(MIN(4,COUNTIF($C$18:C62,C62)),"st","nd","rd","th"),"")</f>
        <v/>
      </c>
    </row>
    <row r="63" spans="4:14" x14ac:dyDescent="0.3">
      <c r="H63" s="384" t="str">
        <f t="shared" si="0"/>
        <v/>
      </c>
      <c r="N63" s="378" t="str">
        <f>IFERROR(COUNTIF($C$18:C63,C63)&amp;CHOOSE(MIN(4,COUNTIF($C$18:C63,C63)),"st","nd","rd","th"),"")</f>
        <v/>
      </c>
    </row>
    <row r="64" spans="4:14" x14ac:dyDescent="0.3">
      <c r="H64" s="384" t="str">
        <f t="shared" si="0"/>
        <v/>
      </c>
      <c r="N64" s="378" t="str">
        <f>IFERROR(COUNTIF($C$18:C64,C64)&amp;CHOOSE(MIN(4,COUNTIF($C$18:C64,C64)),"st","nd","rd","th"),"")</f>
        <v/>
      </c>
    </row>
    <row r="65" spans="8:14" x14ac:dyDescent="0.3">
      <c r="H65" s="384" t="str">
        <f t="shared" si="0"/>
        <v/>
      </c>
      <c r="N65" s="378" t="str">
        <f>IFERROR(COUNTIF($C$18:C65,C65)&amp;CHOOSE(MIN(4,COUNTIF($C$18:C65,C65)),"st","nd","rd","th"),"")</f>
        <v/>
      </c>
    </row>
    <row r="66" spans="8:14" x14ac:dyDescent="0.3">
      <c r="H66" s="384" t="str">
        <f t="shared" si="0"/>
        <v/>
      </c>
      <c r="N66" s="378" t="str">
        <f>IFERROR(COUNTIF($C$18:C66,C66)&amp;CHOOSE(MIN(4,COUNTIF($C$18:C66,C66)),"st","nd","rd","th"),"")</f>
        <v/>
      </c>
    </row>
    <row r="67" spans="8:14" x14ac:dyDescent="0.3">
      <c r="H67" s="384" t="str">
        <f t="shared" si="0"/>
        <v/>
      </c>
      <c r="N67" s="378" t="str">
        <f>IFERROR(COUNTIF($C$18:C67,C67)&amp;CHOOSE(MIN(4,COUNTIF($C$18:C67,C67)),"st","nd","rd","th"),"")</f>
        <v/>
      </c>
    </row>
    <row r="68" spans="8:14" x14ac:dyDescent="0.3">
      <c r="H68" s="384" t="str">
        <f t="shared" si="0"/>
        <v/>
      </c>
      <c r="N68" s="378" t="str">
        <f>IFERROR(COUNTIF($C$18:C68,C68)&amp;CHOOSE(MIN(4,COUNTIF($C$18:C68,C68)),"st","nd","rd","th"),"")</f>
        <v/>
      </c>
    </row>
    <row r="69" spans="8:14" x14ac:dyDescent="0.3">
      <c r="H69" s="384" t="str">
        <f t="shared" si="0"/>
        <v/>
      </c>
      <c r="N69" s="378" t="str">
        <f>IFERROR(COUNTIF($C$18:C69,C69)&amp;CHOOSE(MIN(4,COUNTIF($C$18:C69,C69)),"st","nd","rd","th"),"")</f>
        <v/>
      </c>
    </row>
    <row r="70" spans="8:14" x14ac:dyDescent="0.3">
      <c r="H70" s="384" t="str">
        <f t="shared" si="0"/>
        <v/>
      </c>
      <c r="N70" s="378" t="str">
        <f>IFERROR(COUNTIF($C$18:C70,C70)&amp;CHOOSE(MIN(4,COUNTIF($C$18:C70,C70)),"st","nd","rd","th"),"")</f>
        <v/>
      </c>
    </row>
    <row r="71" spans="8:14" x14ac:dyDescent="0.3">
      <c r="H71" s="384" t="str">
        <f t="shared" si="0"/>
        <v/>
      </c>
      <c r="N71" s="378" t="str">
        <f>IFERROR(COUNTIF($C$18:C71,C71)&amp;CHOOSE(MIN(4,COUNTIF($C$18:C71,C71)),"st","nd","rd","th"),"")</f>
        <v/>
      </c>
    </row>
    <row r="72" spans="8:14" x14ac:dyDescent="0.3">
      <c r="H72" s="384" t="str">
        <f t="shared" si="0"/>
        <v/>
      </c>
      <c r="N72" s="378" t="str">
        <f>IFERROR(COUNTIF($C$18:C72,C72)&amp;CHOOSE(MIN(4,COUNTIF($C$18:C72,C72)),"st","nd","rd","th"),"")</f>
        <v/>
      </c>
    </row>
    <row r="73" spans="8:14" x14ac:dyDescent="0.3">
      <c r="H73" s="384" t="str">
        <f t="shared" si="0"/>
        <v/>
      </c>
      <c r="N73" s="378" t="str">
        <f>IFERROR(COUNTIF($C$18:C73,C73)&amp;CHOOSE(MIN(4,COUNTIF($C$18:C73,C73)),"st","nd","rd","th"),"")</f>
        <v/>
      </c>
    </row>
    <row r="74" spans="8:14" x14ac:dyDescent="0.3">
      <c r="H74" s="384" t="str">
        <f t="shared" si="0"/>
        <v/>
      </c>
      <c r="N74" s="378" t="str">
        <f>IFERROR(COUNTIF($C$18:C74,C74)&amp;CHOOSE(MIN(4,COUNTIF($C$18:C74,C74)),"st","nd","rd","th"),"")</f>
        <v/>
      </c>
    </row>
    <row r="75" spans="8:14" x14ac:dyDescent="0.3">
      <c r="H75" s="384" t="str">
        <f t="shared" si="0"/>
        <v/>
      </c>
      <c r="N75" s="378" t="str">
        <f>IFERROR(COUNTIF($C$18:C75,C75)&amp;CHOOSE(MIN(4,COUNTIF($C$18:C75,C75)),"st","nd","rd","th"),"")</f>
        <v/>
      </c>
    </row>
    <row r="76" spans="8:14" x14ac:dyDescent="0.3">
      <c r="H76" s="384" t="str">
        <f t="shared" si="0"/>
        <v/>
      </c>
      <c r="N76" s="378" t="str">
        <f>IFERROR(COUNTIF($C$18:C76,C76)&amp;CHOOSE(MIN(4,COUNTIF($C$18:C76,C76)),"st","nd","rd","th"),"")</f>
        <v/>
      </c>
    </row>
    <row r="77" spans="8:14" x14ac:dyDescent="0.3">
      <c r="H77" s="384" t="str">
        <f t="shared" si="0"/>
        <v/>
      </c>
      <c r="N77" s="378" t="str">
        <f>IFERROR(COUNTIF($C$18:C77,C77)&amp;CHOOSE(MIN(4,COUNTIF($C$18:C77,C77)),"st","nd","rd","th"),"")</f>
        <v/>
      </c>
    </row>
    <row r="78" spans="8:14" x14ac:dyDescent="0.3">
      <c r="H78" s="384" t="str">
        <f t="shared" si="0"/>
        <v/>
      </c>
      <c r="N78" s="378" t="str">
        <f>IFERROR(COUNTIF($C$18:C78,C78)&amp;CHOOSE(MIN(4,COUNTIF($C$18:C78,C78)),"st","nd","rd","th"),"")</f>
        <v/>
      </c>
    </row>
    <row r="79" spans="8:14" x14ac:dyDescent="0.3">
      <c r="H79" s="384" t="str">
        <f t="shared" si="0"/>
        <v/>
      </c>
      <c r="N79" s="378" t="str">
        <f>IFERROR(COUNTIF($C$18:C79,C79)&amp;CHOOSE(MIN(4,COUNTIF($C$18:C79,C79)),"st","nd","rd","th"),"")</f>
        <v/>
      </c>
    </row>
    <row r="80" spans="8:14" x14ac:dyDescent="0.3">
      <c r="H80" s="384" t="str">
        <f t="shared" si="0"/>
        <v/>
      </c>
      <c r="N80" s="378" t="str">
        <f>IFERROR(COUNTIF($C$18:C80,C80)&amp;CHOOSE(MIN(4,COUNTIF($C$18:C80,C80)),"st","nd","rd","th"),"")</f>
        <v/>
      </c>
    </row>
    <row r="81" spans="8:14" x14ac:dyDescent="0.3">
      <c r="H81" s="384" t="str">
        <f t="shared" si="0"/>
        <v/>
      </c>
      <c r="N81" s="378" t="str">
        <f>IFERROR(COUNTIF($C$18:C81,C81)&amp;CHOOSE(MIN(4,COUNTIF($C$18:C81,C81)),"st","nd","rd","th"),"")</f>
        <v/>
      </c>
    </row>
    <row r="82" spans="8:14" x14ac:dyDescent="0.3">
      <c r="H82" s="384" t="str">
        <f t="shared" si="0"/>
        <v/>
      </c>
      <c r="N82" s="378" t="str">
        <f>IFERROR(COUNTIF($C$18:C82,C82)&amp;CHOOSE(MIN(4,COUNTIF($C$18:C82,C82)),"st","nd","rd","th"),"")</f>
        <v/>
      </c>
    </row>
    <row r="83" spans="8:14" x14ac:dyDescent="0.3">
      <c r="H83" s="384" t="str">
        <f t="shared" ref="H83:H146" si="1">IF(OR(ISBLANK(G83), ISBLANK(F83)), "", IF(G83=F83, 1, SUM(_xlfn.DAYS(G83, F83), 1)))</f>
        <v/>
      </c>
      <c r="N83" s="378" t="str">
        <f>IFERROR(COUNTIF($C$18:C83,C83)&amp;CHOOSE(MIN(4,COUNTIF($C$18:C83,C83)),"st","nd","rd","th"),"")</f>
        <v/>
      </c>
    </row>
    <row r="84" spans="8:14" x14ac:dyDescent="0.3">
      <c r="H84" s="384" t="str">
        <f t="shared" si="1"/>
        <v/>
      </c>
      <c r="N84" s="378" t="str">
        <f>IFERROR(COUNTIF($C$18:C84,C84)&amp;CHOOSE(MIN(4,COUNTIF($C$18:C84,C84)),"st","nd","rd","th"),"")</f>
        <v/>
      </c>
    </row>
    <row r="85" spans="8:14" x14ac:dyDescent="0.3">
      <c r="H85" s="384" t="str">
        <f t="shared" si="1"/>
        <v/>
      </c>
      <c r="N85" s="378" t="str">
        <f>IFERROR(COUNTIF($C$18:C85,C85)&amp;CHOOSE(MIN(4,COUNTIF($C$18:C85,C85)),"st","nd","rd","th"),"")</f>
        <v/>
      </c>
    </row>
    <row r="86" spans="8:14" x14ac:dyDescent="0.3">
      <c r="H86" s="384" t="str">
        <f t="shared" si="1"/>
        <v/>
      </c>
      <c r="N86" s="378" t="str">
        <f>IFERROR(COUNTIF($C$18:C86,C86)&amp;CHOOSE(MIN(4,COUNTIF($C$18:C86,C86)),"st","nd","rd","th"),"")</f>
        <v/>
      </c>
    </row>
    <row r="87" spans="8:14" x14ac:dyDescent="0.3">
      <c r="H87" s="384" t="str">
        <f t="shared" si="1"/>
        <v/>
      </c>
      <c r="N87" s="378" t="str">
        <f>IFERROR(COUNTIF($C$18:C87,C87)&amp;CHOOSE(MIN(4,COUNTIF($C$18:C87,C87)),"st","nd","rd","th"),"")</f>
        <v/>
      </c>
    </row>
    <row r="88" spans="8:14" x14ac:dyDescent="0.3">
      <c r="H88" s="384" t="str">
        <f t="shared" si="1"/>
        <v/>
      </c>
      <c r="N88" s="378" t="str">
        <f>IFERROR(COUNTIF($C$18:C88,C88)&amp;CHOOSE(MIN(4,COUNTIF($C$18:C88,C88)),"st","nd","rd","th"),"")</f>
        <v/>
      </c>
    </row>
    <row r="89" spans="8:14" x14ac:dyDescent="0.3">
      <c r="H89" s="384" t="str">
        <f t="shared" si="1"/>
        <v/>
      </c>
      <c r="N89" s="378" t="str">
        <f>IFERROR(COUNTIF($C$18:C89,C89)&amp;CHOOSE(MIN(4,COUNTIF($C$18:C89,C89)),"st","nd","rd","th"),"")</f>
        <v/>
      </c>
    </row>
    <row r="90" spans="8:14" x14ac:dyDescent="0.3">
      <c r="H90" s="384" t="str">
        <f t="shared" si="1"/>
        <v/>
      </c>
      <c r="N90" s="378" t="str">
        <f>IFERROR(COUNTIF($C$18:C90,C90)&amp;CHOOSE(MIN(4,COUNTIF($C$18:C90,C90)),"st","nd","rd","th"),"")</f>
        <v/>
      </c>
    </row>
    <row r="91" spans="8:14" x14ac:dyDescent="0.3">
      <c r="H91" s="384" t="str">
        <f t="shared" si="1"/>
        <v/>
      </c>
      <c r="N91" s="378" t="str">
        <f>IFERROR(COUNTIF($C$18:C91,C91)&amp;CHOOSE(MIN(4,COUNTIF($C$18:C91,C91)),"st","nd","rd","th"),"")</f>
        <v/>
      </c>
    </row>
    <row r="92" spans="8:14" x14ac:dyDescent="0.3">
      <c r="H92" s="384" t="str">
        <f t="shared" si="1"/>
        <v/>
      </c>
      <c r="N92" s="378" t="str">
        <f>IFERROR(COUNTIF($C$18:C92,C92)&amp;CHOOSE(MIN(4,COUNTIF($C$18:C92,C92)),"st","nd","rd","th"),"")</f>
        <v/>
      </c>
    </row>
    <row r="93" spans="8:14" x14ac:dyDescent="0.3">
      <c r="H93" s="384" t="str">
        <f t="shared" si="1"/>
        <v/>
      </c>
      <c r="N93" s="378" t="str">
        <f>IFERROR(COUNTIF($C$18:C93,C93)&amp;CHOOSE(MIN(4,COUNTIF($C$18:C93,C93)),"st","nd","rd","th"),"")</f>
        <v/>
      </c>
    </row>
    <row r="94" spans="8:14" x14ac:dyDescent="0.3">
      <c r="H94" s="384" t="str">
        <f t="shared" si="1"/>
        <v/>
      </c>
      <c r="N94" s="378" t="str">
        <f>IFERROR(COUNTIF($C$18:C94,C94)&amp;CHOOSE(MIN(4,COUNTIF($C$18:C94,C94)),"st","nd","rd","th"),"")</f>
        <v/>
      </c>
    </row>
    <row r="95" spans="8:14" x14ac:dyDescent="0.3">
      <c r="H95" s="384" t="str">
        <f t="shared" si="1"/>
        <v/>
      </c>
      <c r="N95" s="378" t="str">
        <f>IFERROR(COUNTIF($C$18:C95,C95)&amp;CHOOSE(MIN(4,COUNTIF($C$18:C95,C95)),"st","nd","rd","th"),"")</f>
        <v/>
      </c>
    </row>
    <row r="96" spans="8:14" x14ac:dyDescent="0.3">
      <c r="H96" s="384" t="str">
        <f t="shared" si="1"/>
        <v/>
      </c>
      <c r="N96" s="378" t="str">
        <f>IFERROR(COUNTIF($C$18:C96,C96)&amp;CHOOSE(MIN(4,COUNTIF($C$18:C96,C96)),"st","nd","rd","th"),"")</f>
        <v/>
      </c>
    </row>
    <row r="97" spans="8:14" x14ac:dyDescent="0.3">
      <c r="H97" s="384" t="str">
        <f t="shared" si="1"/>
        <v/>
      </c>
      <c r="N97" s="378" t="str">
        <f>IFERROR(COUNTIF($C$18:C97,C97)&amp;CHOOSE(MIN(4,COUNTIF($C$18:C97,C97)),"st","nd","rd","th"),"")</f>
        <v/>
      </c>
    </row>
    <row r="98" spans="8:14" x14ac:dyDescent="0.3">
      <c r="H98" s="384" t="str">
        <f t="shared" si="1"/>
        <v/>
      </c>
      <c r="N98" s="378" t="str">
        <f>IFERROR(COUNTIF($C$18:C98,C98)&amp;CHOOSE(MIN(4,COUNTIF($C$18:C98,C98)),"st","nd","rd","th"),"")</f>
        <v/>
      </c>
    </row>
    <row r="99" spans="8:14" x14ac:dyDescent="0.3">
      <c r="H99" s="384" t="str">
        <f t="shared" si="1"/>
        <v/>
      </c>
      <c r="N99" s="378" t="str">
        <f>IFERROR(COUNTIF($C$18:C99,C99)&amp;CHOOSE(MIN(4,COUNTIF($C$18:C99,C99)),"st","nd","rd","th"),"")</f>
        <v/>
      </c>
    </row>
    <row r="100" spans="8:14" x14ac:dyDescent="0.3">
      <c r="H100" s="384" t="str">
        <f t="shared" si="1"/>
        <v/>
      </c>
      <c r="N100" s="378" t="str">
        <f>IFERROR(COUNTIF($C$18:C100,C100)&amp;CHOOSE(MIN(4,COUNTIF($C$18:C100,C100)),"st","nd","rd","th"),"")</f>
        <v/>
      </c>
    </row>
    <row r="101" spans="8:14" x14ac:dyDescent="0.3">
      <c r="H101" s="384" t="str">
        <f t="shared" si="1"/>
        <v/>
      </c>
      <c r="N101" s="378" t="str">
        <f>IFERROR(COUNTIF($C$18:C101,C101)&amp;CHOOSE(MIN(4,COUNTIF($C$18:C101,C101)),"st","nd","rd","th"),"")</f>
        <v/>
      </c>
    </row>
    <row r="102" spans="8:14" x14ac:dyDescent="0.3">
      <c r="H102" s="384" t="str">
        <f t="shared" si="1"/>
        <v/>
      </c>
      <c r="N102" s="378" t="str">
        <f>IFERROR(COUNTIF($C$18:C102,C102)&amp;CHOOSE(MIN(4,COUNTIF($C$18:C102,C102)),"st","nd","rd","th"),"")</f>
        <v/>
      </c>
    </row>
    <row r="103" spans="8:14" x14ac:dyDescent="0.3">
      <c r="H103" s="384" t="str">
        <f t="shared" si="1"/>
        <v/>
      </c>
      <c r="N103" s="378" t="str">
        <f>IFERROR(COUNTIF($C$18:C103,C103)&amp;CHOOSE(MIN(4,COUNTIF($C$18:C103,C103)),"st","nd","rd","th"),"")</f>
        <v/>
      </c>
    </row>
    <row r="104" spans="8:14" x14ac:dyDescent="0.3">
      <c r="H104" s="384" t="str">
        <f t="shared" si="1"/>
        <v/>
      </c>
      <c r="N104" s="378" t="str">
        <f>IFERROR(COUNTIF($C$18:C104,C104)&amp;CHOOSE(MIN(4,COUNTIF($C$18:C104,C104)),"st","nd","rd","th"),"")</f>
        <v/>
      </c>
    </row>
    <row r="105" spans="8:14" x14ac:dyDescent="0.3">
      <c r="H105" s="384" t="str">
        <f t="shared" si="1"/>
        <v/>
      </c>
      <c r="N105" s="378" t="str">
        <f>IFERROR(COUNTIF($C$18:C105,C105)&amp;CHOOSE(MIN(4,COUNTIF($C$18:C105,C105)),"st","nd","rd","th"),"")</f>
        <v/>
      </c>
    </row>
    <row r="106" spans="8:14" x14ac:dyDescent="0.3">
      <c r="H106" s="384" t="str">
        <f t="shared" si="1"/>
        <v/>
      </c>
      <c r="N106" s="378" t="str">
        <f>IFERROR(COUNTIF($C$18:C106,C106)&amp;CHOOSE(MIN(4,COUNTIF($C$18:C106,C106)),"st","nd","rd","th"),"")</f>
        <v/>
      </c>
    </row>
    <row r="107" spans="8:14" x14ac:dyDescent="0.3">
      <c r="H107" s="384" t="str">
        <f t="shared" si="1"/>
        <v/>
      </c>
      <c r="N107" s="378" t="str">
        <f>IFERROR(COUNTIF($C$18:C107,C107)&amp;CHOOSE(MIN(4,COUNTIF($C$18:C107,C107)),"st","nd","rd","th"),"")</f>
        <v/>
      </c>
    </row>
    <row r="108" spans="8:14" x14ac:dyDescent="0.3">
      <c r="H108" s="384" t="str">
        <f t="shared" si="1"/>
        <v/>
      </c>
      <c r="N108" s="378" t="str">
        <f>IFERROR(COUNTIF($C$18:C108,C108)&amp;CHOOSE(MIN(4,COUNTIF($C$18:C108,C108)),"st","nd","rd","th"),"")</f>
        <v/>
      </c>
    </row>
    <row r="109" spans="8:14" x14ac:dyDescent="0.3">
      <c r="H109" s="384" t="str">
        <f t="shared" si="1"/>
        <v/>
      </c>
      <c r="N109" s="378" t="str">
        <f>IFERROR(COUNTIF($C$18:C109,C109)&amp;CHOOSE(MIN(4,COUNTIF($C$18:C109,C109)),"st","nd","rd","th"),"")</f>
        <v/>
      </c>
    </row>
    <row r="110" spans="8:14" x14ac:dyDescent="0.3">
      <c r="H110" s="384" t="str">
        <f t="shared" si="1"/>
        <v/>
      </c>
      <c r="N110" s="378" t="str">
        <f>IFERROR(COUNTIF($C$18:C110,C110)&amp;CHOOSE(MIN(4,COUNTIF($C$18:C110,C110)),"st","nd","rd","th"),"")</f>
        <v/>
      </c>
    </row>
    <row r="111" spans="8:14" x14ac:dyDescent="0.3">
      <c r="H111" s="384" t="str">
        <f t="shared" si="1"/>
        <v/>
      </c>
      <c r="N111" s="378" t="str">
        <f>IFERROR(COUNTIF($C$18:C111,C111)&amp;CHOOSE(MIN(4,COUNTIF($C$18:C111,C111)),"st","nd","rd","th"),"")</f>
        <v/>
      </c>
    </row>
    <row r="112" spans="8:14" x14ac:dyDescent="0.3">
      <c r="H112" s="384" t="str">
        <f t="shared" si="1"/>
        <v/>
      </c>
      <c r="N112" s="378" t="str">
        <f>IFERROR(COUNTIF($C$18:C112,C112)&amp;CHOOSE(MIN(4,COUNTIF($C$18:C112,C112)),"st","nd","rd","th"),"")</f>
        <v/>
      </c>
    </row>
    <row r="113" spans="8:14" x14ac:dyDescent="0.3">
      <c r="H113" s="384" t="str">
        <f t="shared" si="1"/>
        <v/>
      </c>
      <c r="N113" s="378" t="str">
        <f>IFERROR(COUNTIF($C$18:C113,C113)&amp;CHOOSE(MIN(4,COUNTIF($C$18:C113,C113)),"st","nd","rd","th"),"")</f>
        <v/>
      </c>
    </row>
    <row r="114" spans="8:14" x14ac:dyDescent="0.3">
      <c r="H114" s="384" t="str">
        <f t="shared" si="1"/>
        <v/>
      </c>
      <c r="N114" s="378" t="str">
        <f>IFERROR(COUNTIF($C$18:C114,C114)&amp;CHOOSE(MIN(4,COUNTIF($C$18:C114,C114)),"st","nd","rd","th"),"")</f>
        <v/>
      </c>
    </row>
    <row r="115" spans="8:14" x14ac:dyDescent="0.3">
      <c r="H115" s="384" t="str">
        <f t="shared" si="1"/>
        <v/>
      </c>
      <c r="N115" s="378" t="str">
        <f>IFERROR(COUNTIF($C$18:C115,C115)&amp;CHOOSE(MIN(4,COUNTIF($C$18:C115,C115)),"st","nd","rd","th"),"")</f>
        <v/>
      </c>
    </row>
    <row r="116" spans="8:14" x14ac:dyDescent="0.3">
      <c r="H116" s="384" t="str">
        <f t="shared" si="1"/>
        <v/>
      </c>
      <c r="N116" s="378" t="str">
        <f>IFERROR(COUNTIF($C$18:C116,C116)&amp;CHOOSE(MIN(4,COUNTIF($C$18:C116,C116)),"st","nd","rd","th"),"")</f>
        <v/>
      </c>
    </row>
    <row r="117" spans="8:14" x14ac:dyDescent="0.3">
      <c r="H117" s="384" t="str">
        <f t="shared" si="1"/>
        <v/>
      </c>
      <c r="N117" s="378" t="str">
        <f>IFERROR(COUNTIF($C$18:C117,C117)&amp;CHOOSE(MIN(4,COUNTIF($C$18:C117,C117)),"st","nd","rd","th"),"")</f>
        <v/>
      </c>
    </row>
    <row r="118" spans="8:14" x14ac:dyDescent="0.3">
      <c r="H118" s="384" t="str">
        <f t="shared" si="1"/>
        <v/>
      </c>
      <c r="N118" s="378" t="str">
        <f>IFERROR(COUNTIF($C$18:C118,C118)&amp;CHOOSE(MIN(4,COUNTIF($C$18:C118,C118)),"st","nd","rd","th"),"")</f>
        <v/>
      </c>
    </row>
    <row r="119" spans="8:14" x14ac:dyDescent="0.3">
      <c r="H119" s="384" t="str">
        <f t="shared" si="1"/>
        <v/>
      </c>
      <c r="N119" s="378" t="str">
        <f>IFERROR(COUNTIF($C$18:C119,C119)&amp;CHOOSE(MIN(4,COUNTIF($C$18:C119,C119)),"st","nd","rd","th"),"")</f>
        <v/>
      </c>
    </row>
    <row r="120" spans="8:14" x14ac:dyDescent="0.3">
      <c r="H120" s="384" t="str">
        <f t="shared" si="1"/>
        <v/>
      </c>
      <c r="N120" s="378" t="str">
        <f>IFERROR(COUNTIF($C$18:C120,C120)&amp;CHOOSE(MIN(4,COUNTIF($C$18:C120,C120)),"st","nd","rd","th"),"")</f>
        <v/>
      </c>
    </row>
    <row r="121" spans="8:14" x14ac:dyDescent="0.3">
      <c r="H121" s="384" t="str">
        <f t="shared" si="1"/>
        <v/>
      </c>
      <c r="N121" s="378" t="str">
        <f>IFERROR(COUNTIF($C$18:C121,C121)&amp;CHOOSE(MIN(4,COUNTIF($C$18:C121,C121)),"st","nd","rd","th"),"")</f>
        <v/>
      </c>
    </row>
    <row r="122" spans="8:14" x14ac:dyDescent="0.3">
      <c r="H122" s="384" t="str">
        <f t="shared" si="1"/>
        <v/>
      </c>
      <c r="N122" s="378" t="str">
        <f>IFERROR(COUNTIF($C$18:C122,C122)&amp;CHOOSE(MIN(4,COUNTIF($C$18:C122,C122)),"st","nd","rd","th"),"")</f>
        <v/>
      </c>
    </row>
    <row r="123" spans="8:14" x14ac:dyDescent="0.3">
      <c r="H123" s="384" t="str">
        <f t="shared" si="1"/>
        <v/>
      </c>
      <c r="N123" s="378" t="str">
        <f>IFERROR(COUNTIF($C$18:C123,C123)&amp;CHOOSE(MIN(4,COUNTIF($C$18:C123,C123)),"st","nd","rd","th"),"")</f>
        <v/>
      </c>
    </row>
    <row r="124" spans="8:14" x14ac:dyDescent="0.3">
      <c r="H124" s="384" t="str">
        <f t="shared" si="1"/>
        <v/>
      </c>
      <c r="N124" s="378" t="str">
        <f>IFERROR(COUNTIF($C$18:C124,C124)&amp;CHOOSE(MIN(4,COUNTIF($C$18:C124,C124)),"st","nd","rd","th"),"")</f>
        <v/>
      </c>
    </row>
    <row r="125" spans="8:14" x14ac:dyDescent="0.3">
      <c r="H125" s="384" t="str">
        <f t="shared" si="1"/>
        <v/>
      </c>
      <c r="N125" s="378" t="str">
        <f>IFERROR(COUNTIF($C$18:C125,C125)&amp;CHOOSE(MIN(4,COUNTIF($C$18:C125,C125)),"st","nd","rd","th"),"")</f>
        <v/>
      </c>
    </row>
    <row r="126" spans="8:14" x14ac:dyDescent="0.3">
      <c r="H126" s="384" t="str">
        <f t="shared" si="1"/>
        <v/>
      </c>
      <c r="N126" s="378" t="str">
        <f>IFERROR(COUNTIF($C$18:C126,C126)&amp;CHOOSE(MIN(4,COUNTIF($C$18:C126,C126)),"st","nd","rd","th"),"")</f>
        <v/>
      </c>
    </row>
    <row r="127" spans="8:14" x14ac:dyDescent="0.3">
      <c r="H127" s="384" t="str">
        <f t="shared" si="1"/>
        <v/>
      </c>
      <c r="N127" s="378" t="str">
        <f>IFERROR(COUNTIF($C$18:C127,C127)&amp;CHOOSE(MIN(4,COUNTIF($C$18:C127,C127)),"st","nd","rd","th"),"")</f>
        <v/>
      </c>
    </row>
    <row r="128" spans="8:14" x14ac:dyDescent="0.3">
      <c r="H128" s="384" t="str">
        <f t="shared" si="1"/>
        <v/>
      </c>
      <c r="N128" s="378" t="str">
        <f>IFERROR(COUNTIF($C$18:C128,C128)&amp;CHOOSE(MIN(4,COUNTIF($C$18:C128,C128)),"st","nd","rd","th"),"")</f>
        <v/>
      </c>
    </row>
    <row r="129" spans="8:14" x14ac:dyDescent="0.3">
      <c r="H129" s="384" t="str">
        <f t="shared" si="1"/>
        <v/>
      </c>
      <c r="N129" s="378" t="str">
        <f>IFERROR(COUNTIF($C$18:C129,C129)&amp;CHOOSE(MIN(4,COUNTIF($C$18:C129,C129)),"st","nd","rd","th"),"")</f>
        <v/>
      </c>
    </row>
    <row r="130" spans="8:14" x14ac:dyDescent="0.3">
      <c r="H130" s="384" t="str">
        <f t="shared" si="1"/>
        <v/>
      </c>
      <c r="N130" s="378" t="str">
        <f>IFERROR(COUNTIF($C$18:C130,C130)&amp;CHOOSE(MIN(4,COUNTIF($C$18:C130,C130)),"st","nd","rd","th"),"")</f>
        <v/>
      </c>
    </row>
    <row r="131" spans="8:14" x14ac:dyDescent="0.3">
      <c r="H131" s="384" t="str">
        <f t="shared" si="1"/>
        <v/>
      </c>
      <c r="N131" s="378" t="str">
        <f>IFERROR(COUNTIF($C$18:C131,C131)&amp;CHOOSE(MIN(4,COUNTIF($C$18:C131,C131)),"st","nd","rd","th"),"")</f>
        <v/>
      </c>
    </row>
    <row r="132" spans="8:14" x14ac:dyDescent="0.3">
      <c r="H132" s="384" t="str">
        <f t="shared" si="1"/>
        <v/>
      </c>
      <c r="N132" s="378" t="str">
        <f>IFERROR(COUNTIF($C$18:C132,C132)&amp;CHOOSE(MIN(4,COUNTIF($C$18:C132,C132)),"st","nd","rd","th"),"")</f>
        <v/>
      </c>
    </row>
    <row r="133" spans="8:14" x14ac:dyDescent="0.3">
      <c r="H133" s="384" t="str">
        <f t="shared" si="1"/>
        <v/>
      </c>
      <c r="N133" s="378" t="str">
        <f>IFERROR(COUNTIF($C$18:C133,C133)&amp;CHOOSE(MIN(4,COUNTIF($C$18:C133,C133)),"st","nd","rd","th"),"")</f>
        <v/>
      </c>
    </row>
    <row r="134" spans="8:14" x14ac:dyDescent="0.3">
      <c r="H134" s="384" t="str">
        <f t="shared" si="1"/>
        <v/>
      </c>
      <c r="N134" s="378" t="str">
        <f>IFERROR(COUNTIF($C$18:C134,C134)&amp;CHOOSE(MIN(4,COUNTIF($C$18:C134,C134)),"st","nd","rd","th"),"")</f>
        <v/>
      </c>
    </row>
    <row r="135" spans="8:14" x14ac:dyDescent="0.3">
      <c r="H135" s="384" t="str">
        <f t="shared" si="1"/>
        <v/>
      </c>
      <c r="N135" s="378" t="str">
        <f>IFERROR(COUNTIF($C$18:C135,C135)&amp;CHOOSE(MIN(4,COUNTIF($C$18:C135,C135)),"st","nd","rd","th"),"")</f>
        <v/>
      </c>
    </row>
    <row r="136" spans="8:14" x14ac:dyDescent="0.3">
      <c r="H136" s="384" t="str">
        <f t="shared" si="1"/>
        <v/>
      </c>
      <c r="N136" s="378" t="str">
        <f>IFERROR(COUNTIF($C$18:C136,C136)&amp;CHOOSE(MIN(4,COUNTIF($C$18:C136,C136)),"st","nd","rd","th"),"")</f>
        <v/>
      </c>
    </row>
    <row r="137" spans="8:14" x14ac:dyDescent="0.3">
      <c r="H137" s="384" t="str">
        <f t="shared" si="1"/>
        <v/>
      </c>
      <c r="N137" s="378" t="str">
        <f>IFERROR(COUNTIF($C$18:C137,C137)&amp;CHOOSE(MIN(4,COUNTIF($C$18:C137,C137)),"st","nd","rd","th"),"")</f>
        <v/>
      </c>
    </row>
    <row r="138" spans="8:14" x14ac:dyDescent="0.3">
      <c r="H138" s="384" t="str">
        <f t="shared" si="1"/>
        <v/>
      </c>
      <c r="N138" s="378" t="str">
        <f>IFERROR(COUNTIF($C$18:C138,C138)&amp;CHOOSE(MIN(4,COUNTIF($C$18:C138,C138)),"st","nd","rd","th"),"")</f>
        <v/>
      </c>
    </row>
    <row r="139" spans="8:14" x14ac:dyDescent="0.3">
      <c r="H139" s="384" t="str">
        <f t="shared" si="1"/>
        <v/>
      </c>
      <c r="N139" s="378" t="str">
        <f>IFERROR(COUNTIF($C$18:C139,C139)&amp;CHOOSE(MIN(4,COUNTIF($C$18:C139,C139)),"st","nd","rd","th"),"")</f>
        <v/>
      </c>
    </row>
    <row r="140" spans="8:14" x14ac:dyDescent="0.3">
      <c r="H140" s="384" t="str">
        <f t="shared" si="1"/>
        <v/>
      </c>
      <c r="N140" s="378" t="str">
        <f>IFERROR(COUNTIF($C$18:C140,C140)&amp;CHOOSE(MIN(4,COUNTIF($C$18:C140,C140)),"st","nd","rd","th"),"")</f>
        <v/>
      </c>
    </row>
    <row r="141" spans="8:14" x14ac:dyDescent="0.3">
      <c r="H141" s="384" t="str">
        <f t="shared" si="1"/>
        <v/>
      </c>
      <c r="N141" s="378" t="str">
        <f>IFERROR(COUNTIF($C$18:C141,C141)&amp;CHOOSE(MIN(4,COUNTIF($C$18:C141,C141)),"st","nd","rd","th"),"")</f>
        <v/>
      </c>
    </row>
    <row r="142" spans="8:14" x14ac:dyDescent="0.3">
      <c r="H142" s="384" t="str">
        <f t="shared" si="1"/>
        <v/>
      </c>
      <c r="N142" s="378" t="str">
        <f>IFERROR(COUNTIF($C$18:C142,C142)&amp;CHOOSE(MIN(4,COUNTIF($C$18:C142,C142)),"st","nd","rd","th"),"")</f>
        <v/>
      </c>
    </row>
    <row r="143" spans="8:14" x14ac:dyDescent="0.3">
      <c r="H143" s="384" t="str">
        <f t="shared" si="1"/>
        <v/>
      </c>
      <c r="N143" s="378" t="str">
        <f>IFERROR(COUNTIF($C$18:C143,C143)&amp;CHOOSE(MIN(4,COUNTIF($C$18:C143,C143)),"st","nd","rd","th"),"")</f>
        <v/>
      </c>
    </row>
    <row r="144" spans="8:14" x14ac:dyDescent="0.3">
      <c r="H144" s="384" t="str">
        <f t="shared" si="1"/>
        <v/>
      </c>
      <c r="N144" s="378" t="str">
        <f>IFERROR(COUNTIF($C$18:C144,C144)&amp;CHOOSE(MIN(4,COUNTIF($C$18:C144,C144)),"st","nd","rd","th"),"")</f>
        <v/>
      </c>
    </row>
    <row r="145" spans="8:14" x14ac:dyDescent="0.3">
      <c r="H145" s="384" t="str">
        <f t="shared" si="1"/>
        <v/>
      </c>
      <c r="N145" s="378" t="str">
        <f>IFERROR(COUNTIF($C$18:C145,C145)&amp;CHOOSE(MIN(4,COUNTIF($C$18:C145,C145)),"st","nd","rd","th"),"")</f>
        <v/>
      </c>
    </row>
    <row r="146" spans="8:14" x14ac:dyDescent="0.3">
      <c r="H146" s="384" t="str">
        <f t="shared" si="1"/>
        <v/>
      </c>
      <c r="N146" s="378" t="str">
        <f>IFERROR(COUNTIF($C$18:C146,C146)&amp;CHOOSE(MIN(4,COUNTIF($C$18:C146,C146)),"st","nd","rd","th"),"")</f>
        <v/>
      </c>
    </row>
    <row r="147" spans="8:14" x14ac:dyDescent="0.3">
      <c r="H147" s="384" t="str">
        <f t="shared" ref="H147:H210" si="2">IF(OR(ISBLANK(G147), ISBLANK(F147)), "", IF(G147=F147, 1, SUM(_xlfn.DAYS(G147, F147), 1)))</f>
        <v/>
      </c>
      <c r="N147" s="378" t="str">
        <f>IFERROR(COUNTIF($C$18:C147,C147)&amp;CHOOSE(MIN(4,COUNTIF($C$18:C147,C147)),"st","nd","rd","th"),"")</f>
        <v/>
      </c>
    </row>
    <row r="148" spans="8:14" x14ac:dyDescent="0.3">
      <c r="H148" s="384" t="str">
        <f t="shared" si="2"/>
        <v/>
      </c>
      <c r="N148" s="378" t="str">
        <f>IFERROR(COUNTIF($C$18:C148,C148)&amp;CHOOSE(MIN(4,COUNTIF($C$18:C148,C148)),"st","nd","rd","th"),"")</f>
        <v/>
      </c>
    </row>
    <row r="149" spans="8:14" x14ac:dyDescent="0.3">
      <c r="H149" s="384" t="str">
        <f t="shared" si="2"/>
        <v/>
      </c>
      <c r="N149" s="378" t="str">
        <f>IFERROR(COUNTIF($C$18:C149,C149)&amp;CHOOSE(MIN(4,COUNTIF($C$18:C149,C149)),"st","nd","rd","th"),"")</f>
        <v/>
      </c>
    </row>
    <row r="150" spans="8:14" x14ac:dyDescent="0.3">
      <c r="H150" s="384" t="str">
        <f t="shared" si="2"/>
        <v/>
      </c>
      <c r="N150" s="378" t="str">
        <f>IFERROR(COUNTIF($C$18:C150,C150)&amp;CHOOSE(MIN(4,COUNTIF($C$18:C150,C150)),"st","nd","rd","th"),"")</f>
        <v/>
      </c>
    </row>
    <row r="151" spans="8:14" x14ac:dyDescent="0.3">
      <c r="H151" s="384" t="str">
        <f t="shared" si="2"/>
        <v/>
      </c>
      <c r="N151" s="378" t="str">
        <f>IFERROR(COUNTIF($C$18:C151,C151)&amp;CHOOSE(MIN(4,COUNTIF($C$18:C151,C151)),"st","nd","rd","th"),"")</f>
        <v/>
      </c>
    </row>
    <row r="152" spans="8:14" x14ac:dyDescent="0.3">
      <c r="H152" s="384" t="str">
        <f t="shared" si="2"/>
        <v/>
      </c>
      <c r="N152" s="378" t="str">
        <f>IFERROR(COUNTIF($C$18:C152,C152)&amp;CHOOSE(MIN(4,COUNTIF($C$18:C152,C152)),"st","nd","rd","th"),"")</f>
        <v/>
      </c>
    </row>
    <row r="153" spans="8:14" x14ac:dyDescent="0.3">
      <c r="H153" s="384" t="str">
        <f t="shared" si="2"/>
        <v/>
      </c>
      <c r="N153" s="378" t="str">
        <f>IFERROR(COUNTIF($C$18:C153,C153)&amp;CHOOSE(MIN(4,COUNTIF($C$18:C153,C153)),"st","nd","rd","th"),"")</f>
        <v/>
      </c>
    </row>
    <row r="154" spans="8:14" x14ac:dyDescent="0.3">
      <c r="H154" s="384" t="str">
        <f t="shared" si="2"/>
        <v/>
      </c>
      <c r="N154" s="378" t="str">
        <f>IFERROR(COUNTIF($C$18:C154,C154)&amp;CHOOSE(MIN(4,COUNTIF($C$18:C154,C154)),"st","nd","rd","th"),"")</f>
        <v/>
      </c>
    </row>
    <row r="155" spans="8:14" x14ac:dyDescent="0.3">
      <c r="H155" s="384" t="str">
        <f t="shared" si="2"/>
        <v/>
      </c>
      <c r="N155" s="378" t="str">
        <f>IFERROR(COUNTIF($C$18:C155,C155)&amp;CHOOSE(MIN(4,COUNTIF($C$18:C155,C155)),"st","nd","rd","th"),"")</f>
        <v/>
      </c>
    </row>
    <row r="156" spans="8:14" x14ac:dyDescent="0.3">
      <c r="H156" s="384" t="str">
        <f t="shared" si="2"/>
        <v/>
      </c>
      <c r="N156" s="378" t="str">
        <f>IFERROR(COUNTIF($C$18:C156,C156)&amp;CHOOSE(MIN(4,COUNTIF($C$18:C156,C156)),"st","nd","rd","th"),"")</f>
        <v/>
      </c>
    </row>
    <row r="157" spans="8:14" x14ac:dyDescent="0.3">
      <c r="H157" s="384" t="str">
        <f t="shared" si="2"/>
        <v/>
      </c>
      <c r="N157" s="378" t="str">
        <f>IFERROR(COUNTIF($C$18:C157,C157)&amp;CHOOSE(MIN(4,COUNTIF($C$18:C157,C157)),"st","nd","rd","th"),"")</f>
        <v/>
      </c>
    </row>
    <row r="158" spans="8:14" x14ac:dyDescent="0.3">
      <c r="H158" s="384" t="str">
        <f t="shared" si="2"/>
        <v/>
      </c>
      <c r="N158" s="378" t="str">
        <f>IFERROR(COUNTIF($C$18:C158,C158)&amp;CHOOSE(MIN(4,COUNTIF($C$18:C158,C158)),"st","nd","rd","th"),"")</f>
        <v/>
      </c>
    </row>
    <row r="159" spans="8:14" x14ac:dyDescent="0.3">
      <c r="H159" s="384" t="str">
        <f t="shared" si="2"/>
        <v/>
      </c>
      <c r="N159" s="378" t="str">
        <f>IFERROR(COUNTIF($C$18:C159,C159)&amp;CHOOSE(MIN(4,COUNTIF($C$18:C159,C159)),"st","nd","rd","th"),"")</f>
        <v/>
      </c>
    </row>
    <row r="160" spans="8:14" x14ac:dyDescent="0.3">
      <c r="H160" s="384" t="str">
        <f t="shared" si="2"/>
        <v/>
      </c>
      <c r="N160" s="378" t="str">
        <f>IFERROR(COUNTIF($C$18:C160,C160)&amp;CHOOSE(MIN(4,COUNTIF($C$18:C160,C160)),"st","nd","rd","th"),"")</f>
        <v/>
      </c>
    </row>
    <row r="161" spans="8:14" x14ac:dyDescent="0.3">
      <c r="H161" s="384" t="str">
        <f t="shared" si="2"/>
        <v/>
      </c>
      <c r="N161" s="378" t="str">
        <f>IFERROR(COUNTIF($C$18:C161,C161)&amp;CHOOSE(MIN(4,COUNTIF($C$18:C161,C161)),"st","nd","rd","th"),"")</f>
        <v/>
      </c>
    </row>
    <row r="162" spans="8:14" x14ac:dyDescent="0.3">
      <c r="H162" s="384" t="str">
        <f t="shared" si="2"/>
        <v/>
      </c>
      <c r="N162" s="378" t="str">
        <f>IFERROR(COUNTIF($C$18:C162,C162)&amp;CHOOSE(MIN(4,COUNTIF($C$18:C162,C162)),"st","nd","rd","th"),"")</f>
        <v/>
      </c>
    </row>
    <row r="163" spans="8:14" x14ac:dyDescent="0.3">
      <c r="H163" s="384" t="str">
        <f t="shared" si="2"/>
        <v/>
      </c>
      <c r="N163" s="378" t="str">
        <f>IFERROR(COUNTIF($C$18:C163,C163)&amp;CHOOSE(MIN(4,COUNTIF($C$18:C163,C163)),"st","nd","rd","th"),"")</f>
        <v/>
      </c>
    </row>
    <row r="164" spans="8:14" x14ac:dyDescent="0.3">
      <c r="H164" s="384" t="str">
        <f t="shared" si="2"/>
        <v/>
      </c>
      <c r="N164" s="378" t="str">
        <f>IFERROR(COUNTIF($C$18:C164,C164)&amp;CHOOSE(MIN(4,COUNTIF($C$18:C164,C164)),"st","nd","rd","th"),"")</f>
        <v/>
      </c>
    </row>
    <row r="165" spans="8:14" x14ac:dyDescent="0.3">
      <c r="H165" s="384" t="str">
        <f t="shared" si="2"/>
        <v/>
      </c>
      <c r="N165" s="378" t="str">
        <f>IFERROR(COUNTIF($C$18:C165,C165)&amp;CHOOSE(MIN(4,COUNTIF($C$18:C165,C165)),"st","nd","rd","th"),"")</f>
        <v/>
      </c>
    </row>
    <row r="166" spans="8:14" x14ac:dyDescent="0.3">
      <c r="H166" s="384" t="str">
        <f t="shared" si="2"/>
        <v/>
      </c>
      <c r="N166" s="378" t="str">
        <f>IFERROR(COUNTIF($C$18:C166,C166)&amp;CHOOSE(MIN(4,COUNTIF($C$18:C166,C166)),"st","nd","rd","th"),"")</f>
        <v/>
      </c>
    </row>
    <row r="167" spans="8:14" x14ac:dyDescent="0.3">
      <c r="H167" s="384" t="str">
        <f t="shared" si="2"/>
        <v/>
      </c>
      <c r="N167" s="378" t="str">
        <f>IFERROR(COUNTIF($C$18:C167,C167)&amp;CHOOSE(MIN(4,COUNTIF($C$18:C167,C167)),"st","nd","rd","th"),"")</f>
        <v/>
      </c>
    </row>
    <row r="168" spans="8:14" x14ac:dyDescent="0.3">
      <c r="H168" s="384" t="str">
        <f t="shared" si="2"/>
        <v/>
      </c>
      <c r="N168" s="378" t="str">
        <f>IFERROR(COUNTIF($C$18:C168,C168)&amp;CHOOSE(MIN(4,COUNTIF($C$18:C168,C168)),"st","nd","rd","th"),"")</f>
        <v/>
      </c>
    </row>
    <row r="169" spans="8:14" x14ac:dyDescent="0.3">
      <c r="H169" s="384" t="str">
        <f t="shared" si="2"/>
        <v/>
      </c>
      <c r="N169" s="378" t="str">
        <f>IFERROR(COUNTIF($C$18:C169,C169)&amp;CHOOSE(MIN(4,COUNTIF($C$18:C169,C169)),"st","nd","rd","th"),"")</f>
        <v/>
      </c>
    </row>
    <row r="170" spans="8:14" x14ac:dyDescent="0.3">
      <c r="H170" s="384" t="str">
        <f t="shared" si="2"/>
        <v/>
      </c>
      <c r="N170" s="378" t="str">
        <f>IFERROR(COUNTIF($C$18:C170,C170)&amp;CHOOSE(MIN(4,COUNTIF($C$18:C170,C170)),"st","nd","rd","th"),"")</f>
        <v/>
      </c>
    </row>
    <row r="171" spans="8:14" x14ac:dyDescent="0.3">
      <c r="H171" s="384" t="str">
        <f t="shared" si="2"/>
        <v/>
      </c>
      <c r="N171" s="378" t="str">
        <f>IFERROR(COUNTIF($C$18:C171,C171)&amp;CHOOSE(MIN(4,COUNTIF($C$18:C171,C171)),"st","nd","rd","th"),"")</f>
        <v/>
      </c>
    </row>
    <row r="172" spans="8:14" x14ac:dyDescent="0.3">
      <c r="H172" s="384" t="str">
        <f t="shared" si="2"/>
        <v/>
      </c>
      <c r="N172" s="378" t="str">
        <f>IFERROR(COUNTIF($C$18:C172,C172)&amp;CHOOSE(MIN(4,COUNTIF($C$18:C172,C172)),"st","nd","rd","th"),"")</f>
        <v/>
      </c>
    </row>
    <row r="173" spans="8:14" x14ac:dyDescent="0.3">
      <c r="H173" s="384" t="str">
        <f t="shared" si="2"/>
        <v/>
      </c>
      <c r="N173" s="378" t="str">
        <f>IFERROR(COUNTIF($C$18:C173,C173)&amp;CHOOSE(MIN(4,COUNTIF($C$18:C173,C173)),"st","nd","rd","th"),"")</f>
        <v/>
      </c>
    </row>
    <row r="174" spans="8:14" x14ac:dyDescent="0.3">
      <c r="H174" s="384" t="str">
        <f t="shared" si="2"/>
        <v/>
      </c>
      <c r="N174" s="378" t="str">
        <f>IFERROR(COUNTIF($C$18:C174,C174)&amp;CHOOSE(MIN(4,COUNTIF($C$18:C174,C174)),"st","nd","rd","th"),"")</f>
        <v/>
      </c>
    </row>
    <row r="175" spans="8:14" x14ac:dyDescent="0.3">
      <c r="H175" s="384" t="str">
        <f t="shared" si="2"/>
        <v/>
      </c>
      <c r="N175" s="378" t="str">
        <f>IFERROR(COUNTIF($C$18:C175,C175)&amp;CHOOSE(MIN(4,COUNTIF($C$18:C175,C175)),"st","nd","rd","th"),"")</f>
        <v/>
      </c>
    </row>
    <row r="176" spans="8:14" x14ac:dyDescent="0.3">
      <c r="H176" s="384" t="str">
        <f t="shared" si="2"/>
        <v/>
      </c>
      <c r="N176" s="378" t="str">
        <f>IFERROR(COUNTIF($C$18:C176,C176)&amp;CHOOSE(MIN(4,COUNTIF($C$18:C176,C176)),"st","nd","rd","th"),"")</f>
        <v/>
      </c>
    </row>
    <row r="177" spans="8:14" x14ac:dyDescent="0.3">
      <c r="H177" s="384" t="str">
        <f t="shared" si="2"/>
        <v/>
      </c>
      <c r="N177" s="378" t="str">
        <f>IFERROR(COUNTIF($C$18:C177,C177)&amp;CHOOSE(MIN(4,COUNTIF($C$18:C177,C177)),"st","nd","rd","th"),"")</f>
        <v/>
      </c>
    </row>
    <row r="178" spans="8:14" x14ac:dyDescent="0.3">
      <c r="H178" s="384" t="str">
        <f t="shared" si="2"/>
        <v/>
      </c>
      <c r="N178" s="378" t="str">
        <f>IFERROR(COUNTIF($C$18:C178,C178)&amp;CHOOSE(MIN(4,COUNTIF($C$18:C178,C178)),"st","nd","rd","th"),"")</f>
        <v/>
      </c>
    </row>
    <row r="179" spans="8:14" x14ac:dyDescent="0.3">
      <c r="H179" s="384" t="str">
        <f t="shared" si="2"/>
        <v/>
      </c>
      <c r="N179" s="378" t="str">
        <f>IFERROR(COUNTIF($C$18:C179,C179)&amp;CHOOSE(MIN(4,COUNTIF($C$18:C179,C179)),"st","nd","rd","th"),"")</f>
        <v/>
      </c>
    </row>
    <row r="180" spans="8:14" x14ac:dyDescent="0.3">
      <c r="H180" s="384" t="str">
        <f t="shared" si="2"/>
        <v/>
      </c>
      <c r="N180" s="378" t="str">
        <f>IFERROR(COUNTIF($C$18:C180,C180)&amp;CHOOSE(MIN(4,COUNTIF($C$18:C180,C180)),"st","nd","rd","th"),"")</f>
        <v/>
      </c>
    </row>
    <row r="181" spans="8:14" x14ac:dyDescent="0.3">
      <c r="H181" s="384" t="str">
        <f t="shared" si="2"/>
        <v/>
      </c>
      <c r="N181" s="378" t="str">
        <f>IFERROR(COUNTIF($C$18:C181,C181)&amp;CHOOSE(MIN(4,COUNTIF($C$18:C181,C181)),"st","nd","rd","th"),"")</f>
        <v/>
      </c>
    </row>
    <row r="182" spans="8:14" x14ac:dyDescent="0.3">
      <c r="H182" s="384" t="str">
        <f t="shared" si="2"/>
        <v/>
      </c>
      <c r="N182" s="378" t="str">
        <f>IFERROR(COUNTIF($C$18:C182,C182)&amp;CHOOSE(MIN(4,COUNTIF($C$18:C182,C182)),"st","nd","rd","th"),"")</f>
        <v/>
      </c>
    </row>
    <row r="183" spans="8:14" x14ac:dyDescent="0.3">
      <c r="H183" s="384" t="str">
        <f t="shared" si="2"/>
        <v/>
      </c>
      <c r="N183" s="378" t="str">
        <f>IFERROR(COUNTIF($C$18:C183,C183)&amp;CHOOSE(MIN(4,COUNTIF($C$18:C183,C183)),"st","nd","rd","th"),"")</f>
        <v/>
      </c>
    </row>
    <row r="184" spans="8:14" x14ac:dyDescent="0.3">
      <c r="H184" s="384" t="str">
        <f t="shared" si="2"/>
        <v/>
      </c>
      <c r="N184" s="378" t="str">
        <f>IFERROR(COUNTIF($C$18:C184,C184)&amp;CHOOSE(MIN(4,COUNTIF($C$18:C184,C184)),"st","nd","rd","th"),"")</f>
        <v/>
      </c>
    </row>
    <row r="185" spans="8:14" x14ac:dyDescent="0.3">
      <c r="H185" s="384" t="str">
        <f t="shared" si="2"/>
        <v/>
      </c>
      <c r="N185" s="378" t="str">
        <f>IFERROR(COUNTIF($C$18:C185,C185)&amp;CHOOSE(MIN(4,COUNTIF($C$18:C185,C185)),"st","nd","rd","th"),"")</f>
        <v/>
      </c>
    </row>
    <row r="186" spans="8:14" x14ac:dyDescent="0.3">
      <c r="H186" s="384" t="str">
        <f t="shared" si="2"/>
        <v/>
      </c>
      <c r="N186" s="378" t="str">
        <f>IFERROR(COUNTIF($C$18:C186,C186)&amp;CHOOSE(MIN(4,COUNTIF($C$18:C186,C186)),"st","nd","rd","th"),"")</f>
        <v/>
      </c>
    </row>
    <row r="187" spans="8:14" x14ac:dyDescent="0.3">
      <c r="H187" s="384" t="str">
        <f t="shared" si="2"/>
        <v/>
      </c>
      <c r="N187" s="378" t="str">
        <f>IFERROR(COUNTIF($C$18:C187,C187)&amp;CHOOSE(MIN(4,COUNTIF($C$18:C187,C187)),"st","nd","rd","th"),"")</f>
        <v/>
      </c>
    </row>
    <row r="188" spans="8:14" x14ac:dyDescent="0.3">
      <c r="H188" s="384" t="str">
        <f t="shared" si="2"/>
        <v/>
      </c>
      <c r="N188" s="378" t="str">
        <f>IFERROR(COUNTIF($C$18:C188,C188)&amp;CHOOSE(MIN(4,COUNTIF($C$18:C188,C188)),"st","nd","rd","th"),"")</f>
        <v/>
      </c>
    </row>
    <row r="189" spans="8:14" x14ac:dyDescent="0.3">
      <c r="H189" s="384" t="str">
        <f t="shared" si="2"/>
        <v/>
      </c>
      <c r="N189" s="378" t="str">
        <f>IFERROR(COUNTIF($C$18:C189,C189)&amp;CHOOSE(MIN(4,COUNTIF($C$18:C189,C189)),"st","nd","rd","th"),"")</f>
        <v/>
      </c>
    </row>
    <row r="190" spans="8:14" x14ac:dyDescent="0.3">
      <c r="H190" s="384" t="str">
        <f t="shared" si="2"/>
        <v/>
      </c>
      <c r="N190" s="378" t="str">
        <f>IFERROR(COUNTIF($C$18:C190,C190)&amp;CHOOSE(MIN(4,COUNTIF($C$18:C190,C190)),"st","nd","rd","th"),"")</f>
        <v/>
      </c>
    </row>
    <row r="191" spans="8:14" x14ac:dyDescent="0.3">
      <c r="H191" s="384" t="str">
        <f t="shared" si="2"/>
        <v/>
      </c>
      <c r="N191" s="378" t="str">
        <f>IFERROR(COUNTIF($C$18:C191,C191)&amp;CHOOSE(MIN(4,COUNTIF($C$18:C191,C191)),"st","nd","rd","th"),"")</f>
        <v/>
      </c>
    </row>
    <row r="192" spans="8:14" x14ac:dyDescent="0.3">
      <c r="H192" s="384" t="str">
        <f t="shared" si="2"/>
        <v/>
      </c>
      <c r="N192" s="378" t="str">
        <f>IFERROR(COUNTIF($C$18:C192,C192)&amp;CHOOSE(MIN(4,COUNTIF($C$18:C192,C192)),"st","nd","rd","th"),"")</f>
        <v/>
      </c>
    </row>
    <row r="193" spans="8:14" x14ac:dyDescent="0.3">
      <c r="H193" s="384" t="str">
        <f t="shared" si="2"/>
        <v/>
      </c>
      <c r="N193" s="378" t="str">
        <f>IFERROR(COUNTIF($C$18:C193,C193)&amp;CHOOSE(MIN(4,COUNTIF($C$18:C193,C193)),"st","nd","rd","th"),"")</f>
        <v/>
      </c>
    </row>
    <row r="194" spans="8:14" x14ac:dyDescent="0.3">
      <c r="H194" s="384" t="str">
        <f t="shared" si="2"/>
        <v/>
      </c>
      <c r="N194" s="378" t="str">
        <f>IFERROR(COUNTIF($C$18:C194,C194)&amp;CHOOSE(MIN(4,COUNTIF($C$18:C194,C194)),"st","nd","rd","th"),"")</f>
        <v/>
      </c>
    </row>
    <row r="195" spans="8:14" x14ac:dyDescent="0.3">
      <c r="H195" s="384" t="str">
        <f t="shared" si="2"/>
        <v/>
      </c>
      <c r="N195" s="378" t="str">
        <f>IFERROR(COUNTIF($C$18:C195,C195)&amp;CHOOSE(MIN(4,COUNTIF($C$18:C195,C195)),"st","nd","rd","th"),"")</f>
        <v/>
      </c>
    </row>
    <row r="196" spans="8:14" x14ac:dyDescent="0.3">
      <c r="H196" s="384" t="str">
        <f t="shared" si="2"/>
        <v/>
      </c>
      <c r="N196" s="378" t="str">
        <f>IFERROR(COUNTIF($C$18:C196,C196)&amp;CHOOSE(MIN(4,COUNTIF($C$18:C196,C196)),"st","nd","rd","th"),"")</f>
        <v/>
      </c>
    </row>
    <row r="197" spans="8:14" x14ac:dyDescent="0.3">
      <c r="H197" s="384" t="str">
        <f t="shared" si="2"/>
        <v/>
      </c>
      <c r="N197" s="378" t="str">
        <f>IFERROR(COUNTIF($C$18:C197,C197)&amp;CHOOSE(MIN(4,COUNTIF($C$18:C197,C197)),"st","nd","rd","th"),"")</f>
        <v/>
      </c>
    </row>
    <row r="198" spans="8:14" x14ac:dyDescent="0.3">
      <c r="H198" s="384" t="str">
        <f t="shared" si="2"/>
        <v/>
      </c>
      <c r="N198" s="378" t="str">
        <f>IFERROR(COUNTIF($C$18:C198,C198)&amp;CHOOSE(MIN(4,COUNTIF($C$18:C198,C198)),"st","nd","rd","th"),"")</f>
        <v/>
      </c>
    </row>
    <row r="199" spans="8:14" x14ac:dyDescent="0.3">
      <c r="H199" s="384" t="str">
        <f t="shared" si="2"/>
        <v/>
      </c>
      <c r="N199" s="378" t="str">
        <f>IFERROR(COUNTIF($C$18:C199,C199)&amp;CHOOSE(MIN(4,COUNTIF($C$18:C199,C199)),"st","nd","rd","th"),"")</f>
        <v/>
      </c>
    </row>
    <row r="200" spans="8:14" x14ac:dyDescent="0.3">
      <c r="H200" s="384" t="str">
        <f t="shared" si="2"/>
        <v/>
      </c>
      <c r="N200" s="378" t="str">
        <f>IFERROR(COUNTIF($C$18:C200,C200)&amp;CHOOSE(MIN(4,COUNTIF($C$18:C200,C200)),"st","nd","rd","th"),"")</f>
        <v/>
      </c>
    </row>
    <row r="201" spans="8:14" x14ac:dyDescent="0.3">
      <c r="H201" s="384" t="str">
        <f t="shared" si="2"/>
        <v/>
      </c>
      <c r="N201" s="378" t="str">
        <f>IFERROR(COUNTIF($C$18:C201,C201)&amp;CHOOSE(MIN(4,COUNTIF($C$18:C201,C201)),"st","nd","rd","th"),"")</f>
        <v/>
      </c>
    </row>
    <row r="202" spans="8:14" x14ac:dyDescent="0.3">
      <c r="H202" s="384" t="str">
        <f t="shared" si="2"/>
        <v/>
      </c>
      <c r="N202" s="378" t="str">
        <f>IFERROR(COUNTIF($C$18:C202,C202)&amp;CHOOSE(MIN(4,COUNTIF($C$18:C202,C202)),"st","nd","rd","th"),"")</f>
        <v/>
      </c>
    </row>
    <row r="203" spans="8:14" x14ac:dyDescent="0.3">
      <c r="H203" s="384" t="str">
        <f t="shared" si="2"/>
        <v/>
      </c>
      <c r="N203" s="378" t="str">
        <f>IFERROR(COUNTIF($C$18:C203,C203)&amp;CHOOSE(MIN(4,COUNTIF($C$18:C203,C203)),"st","nd","rd","th"),"")</f>
        <v/>
      </c>
    </row>
    <row r="204" spans="8:14" x14ac:dyDescent="0.3">
      <c r="H204" s="384" t="str">
        <f t="shared" si="2"/>
        <v/>
      </c>
      <c r="N204" s="378" t="str">
        <f>IFERROR(COUNTIF($C$18:C204,C204)&amp;CHOOSE(MIN(4,COUNTIF($C$18:C204,C204)),"st","nd","rd","th"),"")</f>
        <v/>
      </c>
    </row>
    <row r="205" spans="8:14" x14ac:dyDescent="0.3">
      <c r="H205" s="384" t="str">
        <f t="shared" si="2"/>
        <v/>
      </c>
      <c r="N205" s="378" t="str">
        <f>IFERROR(COUNTIF($C$18:C205,C205)&amp;CHOOSE(MIN(4,COUNTIF($C$18:C205,C205)),"st","nd","rd","th"),"")</f>
        <v/>
      </c>
    </row>
    <row r="206" spans="8:14" x14ac:dyDescent="0.3">
      <c r="H206" s="384" t="str">
        <f t="shared" si="2"/>
        <v/>
      </c>
      <c r="N206" s="378" t="str">
        <f>IFERROR(COUNTIF($C$18:C206,C206)&amp;CHOOSE(MIN(4,COUNTIF($C$18:C206,C206)),"st","nd","rd","th"),"")</f>
        <v/>
      </c>
    </row>
    <row r="207" spans="8:14" x14ac:dyDescent="0.3">
      <c r="H207" s="384" t="str">
        <f t="shared" si="2"/>
        <v/>
      </c>
      <c r="N207" s="378" t="str">
        <f>IFERROR(COUNTIF($C$18:C207,C207)&amp;CHOOSE(MIN(4,COUNTIF($C$18:C207,C207)),"st","nd","rd","th"),"")</f>
        <v/>
      </c>
    </row>
    <row r="208" spans="8:14" x14ac:dyDescent="0.3">
      <c r="H208" s="384" t="str">
        <f t="shared" si="2"/>
        <v/>
      </c>
      <c r="N208" s="378" t="str">
        <f>IFERROR(COUNTIF($C$18:C208,C208)&amp;CHOOSE(MIN(4,COUNTIF($C$18:C208,C208)),"st","nd","rd","th"),"")</f>
        <v/>
      </c>
    </row>
    <row r="209" spans="8:14" x14ac:dyDescent="0.3">
      <c r="H209" s="384" t="str">
        <f t="shared" si="2"/>
        <v/>
      </c>
      <c r="N209" s="378" t="str">
        <f>IFERROR(COUNTIF($C$18:C209,C209)&amp;CHOOSE(MIN(4,COUNTIF($C$18:C209,C209)),"st","nd","rd","th"),"")</f>
        <v/>
      </c>
    </row>
    <row r="210" spans="8:14" x14ac:dyDescent="0.3">
      <c r="H210" s="384" t="str">
        <f t="shared" si="2"/>
        <v/>
      </c>
      <c r="N210" s="378" t="str">
        <f>IFERROR(COUNTIF($C$18:C210,C210)&amp;CHOOSE(MIN(4,COUNTIF($C$18:C210,C210)),"st","nd","rd","th"),"")</f>
        <v/>
      </c>
    </row>
    <row r="211" spans="8:14" x14ac:dyDescent="0.3">
      <c r="H211" s="384" t="str">
        <f t="shared" ref="H211:H223" si="3">IF(OR(ISBLANK(G211), ISBLANK(F211)), "", IF(G211=F211, 1, SUM(_xlfn.DAYS(G211, F211), 1)))</f>
        <v/>
      </c>
      <c r="N211" s="378" t="str">
        <f>IFERROR(COUNTIF($C$18:C211,C211)&amp;CHOOSE(MIN(4,COUNTIF($C$18:C211,C211)),"st","nd","rd","th"),"")</f>
        <v/>
      </c>
    </row>
    <row r="212" spans="8:14" x14ac:dyDescent="0.3">
      <c r="H212" s="384" t="str">
        <f t="shared" si="3"/>
        <v/>
      </c>
      <c r="N212" s="378" t="str">
        <f>IFERROR(COUNTIF($C$18:C212,C212)&amp;CHOOSE(MIN(4,COUNTIF($C$18:C212,C212)),"st","nd","rd","th"),"")</f>
        <v/>
      </c>
    </row>
    <row r="213" spans="8:14" x14ac:dyDescent="0.3">
      <c r="H213" s="384" t="str">
        <f t="shared" si="3"/>
        <v/>
      </c>
      <c r="N213" s="378" t="str">
        <f>IFERROR(COUNTIF($C$18:C213,C213)&amp;CHOOSE(MIN(4,COUNTIF($C$18:C213,C213)),"st","nd","rd","th"),"")</f>
        <v/>
      </c>
    </row>
    <row r="214" spans="8:14" x14ac:dyDescent="0.3">
      <c r="H214" s="384" t="str">
        <f t="shared" si="3"/>
        <v/>
      </c>
      <c r="N214" s="378" t="str">
        <f>IFERROR(COUNTIF($C$18:C214,C214)&amp;CHOOSE(MIN(4,COUNTIF($C$18:C214,C214)),"st","nd","rd","th"),"")</f>
        <v/>
      </c>
    </row>
    <row r="215" spans="8:14" x14ac:dyDescent="0.3">
      <c r="H215" s="384" t="str">
        <f t="shared" si="3"/>
        <v/>
      </c>
      <c r="N215" s="378" t="str">
        <f>IFERROR(COUNTIF($C$18:C215,C215)&amp;CHOOSE(MIN(4,COUNTIF($C$18:C215,C215)),"st","nd","rd","th"),"")</f>
        <v/>
      </c>
    </row>
    <row r="216" spans="8:14" x14ac:dyDescent="0.3">
      <c r="H216" s="384" t="str">
        <f t="shared" si="3"/>
        <v/>
      </c>
      <c r="N216" s="378" t="str">
        <f>IFERROR(COUNTIF($C$18:C216,C216)&amp;CHOOSE(MIN(4,COUNTIF($C$18:C216,C216)),"st","nd","rd","th"),"")</f>
        <v/>
      </c>
    </row>
    <row r="217" spans="8:14" x14ac:dyDescent="0.3">
      <c r="H217" s="384" t="str">
        <f t="shared" si="3"/>
        <v/>
      </c>
      <c r="N217" s="378" t="str">
        <f>IFERROR(COUNTIF($C$18:C217,C217)&amp;CHOOSE(MIN(4,COUNTIF($C$18:C217,C217)),"st","nd","rd","th"),"")</f>
        <v/>
      </c>
    </row>
    <row r="218" spans="8:14" x14ac:dyDescent="0.3">
      <c r="H218" s="384" t="str">
        <f t="shared" si="3"/>
        <v/>
      </c>
      <c r="N218" s="378" t="str">
        <f>IFERROR(COUNTIF($C$18:C218,C218)&amp;CHOOSE(MIN(4,COUNTIF($C$18:C218,C218)),"st","nd","rd","th"),"")</f>
        <v/>
      </c>
    </row>
    <row r="219" spans="8:14" x14ac:dyDescent="0.3">
      <c r="H219" s="384" t="str">
        <f t="shared" si="3"/>
        <v/>
      </c>
      <c r="N219" s="378" t="str">
        <f>IFERROR(COUNTIF($C$18:C219,C219)&amp;CHOOSE(MIN(4,COUNTIF($C$18:C219,C219)),"st","nd","rd","th"),"")</f>
        <v/>
      </c>
    </row>
    <row r="220" spans="8:14" x14ac:dyDescent="0.3">
      <c r="H220" s="384" t="str">
        <f t="shared" si="3"/>
        <v/>
      </c>
      <c r="N220" s="378" t="str">
        <f>IFERROR(COUNTIF($C$18:C220,C220)&amp;CHOOSE(MIN(4,COUNTIF($C$18:C220,C220)),"st","nd","rd","th"),"")</f>
        <v/>
      </c>
    </row>
    <row r="221" spans="8:14" x14ac:dyDescent="0.3">
      <c r="H221" s="384" t="str">
        <f t="shared" si="3"/>
        <v/>
      </c>
      <c r="N221" s="378" t="str">
        <f>IFERROR(COUNTIF($C$18:C221,C221)&amp;CHOOSE(MIN(4,COUNTIF($C$18:C221,C221)),"st","nd","rd","th"),"")</f>
        <v/>
      </c>
    </row>
    <row r="222" spans="8:14" x14ac:dyDescent="0.3">
      <c r="H222" s="384" t="str">
        <f t="shared" si="3"/>
        <v/>
      </c>
      <c r="N222" s="378" t="str">
        <f>IFERROR(COUNTIF($C$18:C222,C222)&amp;CHOOSE(MIN(4,COUNTIF($C$18:C222,C222)),"st","nd","rd","th"),"")</f>
        <v/>
      </c>
    </row>
    <row r="223" spans="8:14" x14ac:dyDescent="0.3">
      <c r="H223" s="384" t="str">
        <f t="shared" si="3"/>
        <v/>
      </c>
      <c r="N223" s="378" t="str">
        <f>IFERROR(COUNTIF($C$18:C223,C223)&amp;CHOOSE(MIN(4,COUNTIF($C$18:C223,C223)),"st","nd","rd","th"),"")</f>
        <v/>
      </c>
    </row>
    <row r="224" spans="8:14" x14ac:dyDescent="0.3">
      <c r="H224" s="384" t="str">
        <f t="shared" ref="H224:H273" si="4">IF(OR(ISBLANK(G224), ISBLANK(F224)), "", IF(G224=F224, 1, SUM(_xlfn.DAYS(G224, F224), 1)))</f>
        <v/>
      </c>
      <c r="N224" s="378" t="str">
        <f>IFERROR(COUNTIF($C$18:C224,C224)&amp;CHOOSE(MIN(4,COUNTIF($C$18:C224,C224)),"st","nd","rd","th"),"")</f>
        <v/>
      </c>
    </row>
    <row r="225" spans="8:14" x14ac:dyDescent="0.3">
      <c r="H225" s="384" t="str">
        <f t="shared" si="4"/>
        <v/>
      </c>
      <c r="N225" s="378" t="str">
        <f>IFERROR(COUNTIF($C$18:C225,C225)&amp;CHOOSE(MIN(4,COUNTIF($C$18:C225,C225)),"st","nd","rd","th"),"")</f>
        <v/>
      </c>
    </row>
    <row r="226" spans="8:14" x14ac:dyDescent="0.3">
      <c r="H226" s="384" t="str">
        <f t="shared" si="4"/>
        <v/>
      </c>
      <c r="N226" s="378" t="str">
        <f>IFERROR(COUNTIF($C$18:C226,C226)&amp;CHOOSE(MIN(4,COUNTIF($C$18:C226,C226)),"st","nd","rd","th"),"")</f>
        <v/>
      </c>
    </row>
    <row r="227" spans="8:14" x14ac:dyDescent="0.3">
      <c r="H227" s="384" t="str">
        <f t="shared" si="4"/>
        <v/>
      </c>
      <c r="N227" s="378" t="str">
        <f>IFERROR(COUNTIF($C$18:C227,C227)&amp;CHOOSE(MIN(4,COUNTIF($C$18:C227,C227)),"st","nd","rd","th"),"")</f>
        <v/>
      </c>
    </row>
    <row r="228" spans="8:14" x14ac:dyDescent="0.3">
      <c r="H228" s="384" t="str">
        <f t="shared" si="4"/>
        <v/>
      </c>
      <c r="N228" s="378" t="str">
        <f>IFERROR(COUNTIF($C$18:C228,C228)&amp;CHOOSE(MIN(4,COUNTIF($C$18:C228,C228)),"st","nd","rd","th"),"")</f>
        <v/>
      </c>
    </row>
    <row r="229" spans="8:14" x14ac:dyDescent="0.3">
      <c r="H229" s="384" t="str">
        <f t="shared" si="4"/>
        <v/>
      </c>
      <c r="N229" s="378" t="str">
        <f>IFERROR(COUNTIF($C$18:C229,C229)&amp;CHOOSE(MIN(4,COUNTIF($C$18:C229,C229)),"st","nd","rd","th"),"")</f>
        <v/>
      </c>
    </row>
    <row r="230" spans="8:14" x14ac:dyDescent="0.3">
      <c r="H230" s="384" t="str">
        <f t="shared" si="4"/>
        <v/>
      </c>
      <c r="N230" s="378" t="str">
        <f>IFERROR(COUNTIF($C$18:C230,C230)&amp;CHOOSE(MIN(4,COUNTIF($C$18:C230,C230)),"st","nd","rd","th"),"")</f>
        <v/>
      </c>
    </row>
    <row r="231" spans="8:14" x14ac:dyDescent="0.3">
      <c r="H231" s="384" t="str">
        <f t="shared" si="4"/>
        <v/>
      </c>
      <c r="N231" s="378" t="str">
        <f>IFERROR(COUNTIF($C$18:C231,C231)&amp;CHOOSE(MIN(4,COUNTIF($C$18:C231,C231)),"st","nd","rd","th"),"")</f>
        <v/>
      </c>
    </row>
    <row r="232" spans="8:14" x14ac:dyDescent="0.3">
      <c r="H232" s="384" t="str">
        <f t="shared" si="4"/>
        <v/>
      </c>
      <c r="N232" s="378" t="str">
        <f>IFERROR(COUNTIF($C$18:C232,C232)&amp;CHOOSE(MIN(4,COUNTIF($C$18:C232,C232)),"st","nd","rd","th"),"")</f>
        <v/>
      </c>
    </row>
    <row r="233" spans="8:14" x14ac:dyDescent="0.3">
      <c r="H233" s="384" t="str">
        <f t="shared" si="4"/>
        <v/>
      </c>
      <c r="N233" s="378" t="str">
        <f>IFERROR(COUNTIF($C$18:C233,C233)&amp;CHOOSE(MIN(4,COUNTIF($C$18:C233,C233)),"st","nd","rd","th"),"")</f>
        <v/>
      </c>
    </row>
    <row r="234" spans="8:14" x14ac:dyDescent="0.3">
      <c r="H234" s="384" t="str">
        <f t="shared" si="4"/>
        <v/>
      </c>
      <c r="N234" s="378" t="str">
        <f>IFERROR(COUNTIF($C$18:C234,C234)&amp;CHOOSE(MIN(4,COUNTIF($C$18:C234,C234)),"st","nd","rd","th"),"")</f>
        <v/>
      </c>
    </row>
    <row r="235" spans="8:14" x14ac:dyDescent="0.3">
      <c r="H235" s="384" t="str">
        <f t="shared" si="4"/>
        <v/>
      </c>
      <c r="N235" s="378" t="str">
        <f>IFERROR(COUNTIF($C$18:C235,C235)&amp;CHOOSE(MIN(4,COUNTIF($C$18:C235,C235)),"st","nd","rd","th"),"")</f>
        <v/>
      </c>
    </row>
    <row r="236" spans="8:14" x14ac:dyDescent="0.3">
      <c r="H236" s="384" t="str">
        <f t="shared" si="4"/>
        <v/>
      </c>
      <c r="N236" s="378" t="str">
        <f>IFERROR(COUNTIF($C$18:C236,C236)&amp;CHOOSE(MIN(4,COUNTIF($C$18:C236,C236)),"st","nd","rd","th"),"")</f>
        <v/>
      </c>
    </row>
    <row r="237" spans="8:14" x14ac:dyDescent="0.3">
      <c r="H237" s="384" t="str">
        <f t="shared" si="4"/>
        <v/>
      </c>
      <c r="N237" s="378" t="str">
        <f>IFERROR(COUNTIF($C$18:C237,C237)&amp;CHOOSE(MIN(4,COUNTIF($C$18:C237,C237)),"st","nd","rd","th"),"")</f>
        <v/>
      </c>
    </row>
    <row r="238" spans="8:14" x14ac:dyDescent="0.3">
      <c r="H238" s="384" t="str">
        <f t="shared" si="4"/>
        <v/>
      </c>
      <c r="N238" s="378" t="str">
        <f>IFERROR(COUNTIF($C$18:C238,C238)&amp;CHOOSE(MIN(4,COUNTIF($C$18:C238,C238)),"st","nd","rd","th"),"")</f>
        <v/>
      </c>
    </row>
    <row r="239" spans="8:14" x14ac:dyDescent="0.3">
      <c r="H239" s="384" t="str">
        <f t="shared" si="4"/>
        <v/>
      </c>
      <c r="N239" s="378" t="str">
        <f>IFERROR(COUNTIF($C$18:C239,C239)&amp;CHOOSE(MIN(4,COUNTIF($C$18:C239,C239)),"st","nd","rd","th"),"")</f>
        <v/>
      </c>
    </row>
    <row r="240" spans="8:14" x14ac:dyDescent="0.3">
      <c r="H240" s="384" t="str">
        <f t="shared" si="4"/>
        <v/>
      </c>
      <c r="N240" s="378" t="str">
        <f>IFERROR(COUNTIF($C$18:C240,C240)&amp;CHOOSE(MIN(4,COUNTIF($C$18:C240,C240)),"st","nd","rd","th"),"")</f>
        <v/>
      </c>
    </row>
    <row r="241" spans="8:14" x14ac:dyDescent="0.3">
      <c r="H241" s="384" t="str">
        <f t="shared" si="4"/>
        <v/>
      </c>
      <c r="N241" s="378" t="str">
        <f>IFERROR(COUNTIF($C$18:C241,C241)&amp;CHOOSE(MIN(4,COUNTIF($C$18:C241,C241)),"st","nd","rd","th"),"")</f>
        <v/>
      </c>
    </row>
    <row r="242" spans="8:14" x14ac:dyDescent="0.3">
      <c r="H242" s="384" t="str">
        <f t="shared" si="4"/>
        <v/>
      </c>
      <c r="N242" s="378" t="str">
        <f>IFERROR(COUNTIF($C$18:C242,C242)&amp;CHOOSE(MIN(4,COUNTIF($C$18:C242,C242)),"st","nd","rd","th"),"")</f>
        <v/>
      </c>
    </row>
    <row r="243" spans="8:14" x14ac:dyDescent="0.3">
      <c r="H243" s="384" t="str">
        <f t="shared" si="4"/>
        <v/>
      </c>
      <c r="N243" s="378" t="str">
        <f>IFERROR(COUNTIF($C$18:C243,C243)&amp;CHOOSE(MIN(4,COUNTIF($C$18:C243,C243)),"st","nd","rd","th"),"")</f>
        <v/>
      </c>
    </row>
    <row r="244" spans="8:14" x14ac:dyDescent="0.3">
      <c r="H244" s="384" t="str">
        <f t="shared" si="4"/>
        <v/>
      </c>
      <c r="N244" s="378" t="str">
        <f>IFERROR(COUNTIF($C$18:C244,C244)&amp;CHOOSE(MIN(4,COUNTIF($C$18:C244,C244)),"st","nd","rd","th"),"")</f>
        <v/>
      </c>
    </row>
    <row r="245" spans="8:14" x14ac:dyDescent="0.3">
      <c r="H245" s="384" t="str">
        <f t="shared" si="4"/>
        <v/>
      </c>
      <c r="N245" s="378" t="str">
        <f>IFERROR(COUNTIF($C$18:C245,C245)&amp;CHOOSE(MIN(4,COUNTIF($C$18:C245,C245)),"st","nd","rd","th"),"")</f>
        <v/>
      </c>
    </row>
    <row r="246" spans="8:14" x14ac:dyDescent="0.3">
      <c r="H246" s="384" t="str">
        <f t="shared" si="4"/>
        <v/>
      </c>
      <c r="N246" s="378" t="str">
        <f>IFERROR(COUNTIF($C$18:C246,C246)&amp;CHOOSE(MIN(4,COUNTIF($C$18:C246,C246)),"st","nd","rd","th"),"")</f>
        <v/>
      </c>
    </row>
    <row r="247" spans="8:14" x14ac:dyDescent="0.3">
      <c r="H247" s="384" t="str">
        <f t="shared" si="4"/>
        <v/>
      </c>
      <c r="N247" s="378" t="str">
        <f>IFERROR(COUNTIF($C$18:C247,C247)&amp;CHOOSE(MIN(4,COUNTIF($C$18:C247,C247)),"st","nd","rd","th"),"")</f>
        <v/>
      </c>
    </row>
    <row r="248" spans="8:14" x14ac:dyDescent="0.3">
      <c r="H248" s="384" t="str">
        <f t="shared" si="4"/>
        <v/>
      </c>
      <c r="N248" s="378" t="str">
        <f>IFERROR(COUNTIF($C$18:C248,C248)&amp;CHOOSE(MIN(4,COUNTIF($C$18:C248,C248)),"st","nd","rd","th"),"")</f>
        <v/>
      </c>
    </row>
    <row r="249" spans="8:14" x14ac:dyDescent="0.3">
      <c r="H249" s="384" t="str">
        <f t="shared" si="4"/>
        <v/>
      </c>
      <c r="N249" s="378" t="str">
        <f>IFERROR(COUNTIF($C$18:C249,C249)&amp;CHOOSE(MIN(4,COUNTIF($C$18:C249,C249)),"st","nd","rd","th"),"")</f>
        <v/>
      </c>
    </row>
    <row r="250" spans="8:14" x14ac:dyDescent="0.3">
      <c r="H250" s="384" t="str">
        <f t="shared" si="4"/>
        <v/>
      </c>
      <c r="N250" s="378" t="str">
        <f>IFERROR(COUNTIF($C$18:C250,C250)&amp;CHOOSE(MIN(4,COUNTIF($C$18:C250,C250)),"st","nd","rd","th"),"")</f>
        <v/>
      </c>
    </row>
    <row r="251" spans="8:14" x14ac:dyDescent="0.3">
      <c r="H251" s="384" t="str">
        <f t="shared" si="4"/>
        <v/>
      </c>
      <c r="N251" s="378" t="str">
        <f>IFERROR(COUNTIF($C$18:C251,C251)&amp;CHOOSE(MIN(4,COUNTIF($C$18:C251,C251)),"st","nd","rd","th"),"")</f>
        <v/>
      </c>
    </row>
    <row r="252" spans="8:14" x14ac:dyDescent="0.3">
      <c r="H252" s="384" t="str">
        <f t="shared" si="4"/>
        <v/>
      </c>
      <c r="N252" s="378" t="str">
        <f>IFERROR(COUNTIF($C$18:C252,C252)&amp;CHOOSE(MIN(4,COUNTIF($C$18:C252,C252)),"st","nd","rd","th"),"")</f>
        <v/>
      </c>
    </row>
    <row r="253" spans="8:14" x14ac:dyDescent="0.3">
      <c r="H253" s="384" t="str">
        <f t="shared" si="4"/>
        <v/>
      </c>
      <c r="N253" s="378" t="str">
        <f>IFERROR(COUNTIF($C$18:C253,C253)&amp;CHOOSE(MIN(4,COUNTIF($C$18:C253,C253)),"st","nd","rd","th"),"")</f>
        <v/>
      </c>
    </row>
    <row r="254" spans="8:14" x14ac:dyDescent="0.3">
      <c r="H254" s="384" t="str">
        <f t="shared" si="4"/>
        <v/>
      </c>
      <c r="N254" s="378" t="str">
        <f>IFERROR(COUNTIF($C$18:C254,C254)&amp;CHOOSE(MIN(4,COUNTIF($C$18:C254,C254)),"st","nd","rd","th"),"")</f>
        <v/>
      </c>
    </row>
    <row r="255" spans="8:14" x14ac:dyDescent="0.3">
      <c r="H255" s="384" t="str">
        <f t="shared" si="4"/>
        <v/>
      </c>
      <c r="N255" s="378" t="str">
        <f>IFERROR(COUNTIF($C$18:C255,C255)&amp;CHOOSE(MIN(4,COUNTIF($C$18:C255,C255)),"st","nd","rd","th"),"")</f>
        <v/>
      </c>
    </row>
    <row r="256" spans="8:14" x14ac:dyDescent="0.3">
      <c r="H256" s="384" t="str">
        <f t="shared" si="4"/>
        <v/>
      </c>
      <c r="N256" s="378" t="str">
        <f>IFERROR(COUNTIF($C$18:C256,C256)&amp;CHOOSE(MIN(4,COUNTIF($C$18:C256,C256)),"st","nd","rd","th"),"")</f>
        <v/>
      </c>
    </row>
    <row r="257" spans="8:14" x14ac:dyDescent="0.3">
      <c r="H257" s="384" t="str">
        <f t="shared" si="4"/>
        <v/>
      </c>
      <c r="N257" s="378" t="str">
        <f>IFERROR(COUNTIF($C$18:C257,C257)&amp;CHOOSE(MIN(4,COUNTIF($C$18:C257,C257)),"st","nd","rd","th"),"")</f>
        <v/>
      </c>
    </row>
    <row r="258" spans="8:14" x14ac:dyDescent="0.3">
      <c r="H258" s="384" t="str">
        <f t="shared" si="4"/>
        <v/>
      </c>
      <c r="N258" s="378" t="str">
        <f>IFERROR(COUNTIF($C$18:C258,C258)&amp;CHOOSE(MIN(4,COUNTIF($C$18:C258,C258)),"st","nd","rd","th"),"")</f>
        <v/>
      </c>
    </row>
    <row r="259" spans="8:14" x14ac:dyDescent="0.3">
      <c r="H259" s="384" t="str">
        <f t="shared" si="4"/>
        <v/>
      </c>
      <c r="N259" s="378" t="str">
        <f>IFERROR(COUNTIF($C$18:C259,C259)&amp;CHOOSE(MIN(4,COUNTIF($C$18:C259,C259)),"st","nd","rd","th"),"")</f>
        <v/>
      </c>
    </row>
    <row r="260" spans="8:14" x14ac:dyDescent="0.3">
      <c r="H260" s="384" t="str">
        <f t="shared" si="4"/>
        <v/>
      </c>
      <c r="N260" s="378" t="str">
        <f>IFERROR(COUNTIF($C$18:C260,C260)&amp;CHOOSE(MIN(4,COUNTIF($C$18:C260,C260)),"st","nd","rd","th"),"")</f>
        <v/>
      </c>
    </row>
    <row r="261" spans="8:14" x14ac:dyDescent="0.3">
      <c r="H261" s="384" t="str">
        <f t="shared" si="4"/>
        <v/>
      </c>
      <c r="N261" s="378" t="str">
        <f>IFERROR(COUNTIF($C$18:C261,C261)&amp;CHOOSE(MIN(4,COUNTIF($C$18:C261,C261)),"st","nd","rd","th"),"")</f>
        <v/>
      </c>
    </row>
    <row r="262" spans="8:14" x14ac:dyDescent="0.3">
      <c r="H262" s="384" t="str">
        <f t="shared" si="4"/>
        <v/>
      </c>
      <c r="N262" s="378" t="str">
        <f>IFERROR(COUNTIF($C$18:C262,C262)&amp;CHOOSE(MIN(4,COUNTIF($C$18:C262,C262)),"st","nd","rd","th"),"")</f>
        <v/>
      </c>
    </row>
    <row r="263" spans="8:14" x14ac:dyDescent="0.3">
      <c r="H263" s="384" t="str">
        <f t="shared" si="4"/>
        <v/>
      </c>
      <c r="N263" s="378" t="str">
        <f>IFERROR(COUNTIF($C$18:C263,C263)&amp;CHOOSE(MIN(4,COUNTIF($C$18:C263,C263)),"st","nd","rd","th"),"")</f>
        <v/>
      </c>
    </row>
    <row r="264" spans="8:14" x14ac:dyDescent="0.3">
      <c r="H264" s="384" t="str">
        <f t="shared" si="4"/>
        <v/>
      </c>
      <c r="N264" s="378" t="str">
        <f>IFERROR(COUNTIF($C$18:C264,C264)&amp;CHOOSE(MIN(4,COUNTIF($C$18:C264,C264)),"st","nd","rd","th"),"")</f>
        <v/>
      </c>
    </row>
    <row r="265" spans="8:14" x14ac:dyDescent="0.3">
      <c r="H265" s="384" t="str">
        <f t="shared" si="4"/>
        <v/>
      </c>
      <c r="N265" s="378" t="str">
        <f>IFERROR(COUNTIF($C$18:C265,C265)&amp;CHOOSE(MIN(4,COUNTIF($C$18:C265,C265)),"st","nd","rd","th"),"")</f>
        <v/>
      </c>
    </row>
    <row r="266" spans="8:14" x14ac:dyDescent="0.3">
      <c r="H266" s="384" t="str">
        <f t="shared" si="4"/>
        <v/>
      </c>
      <c r="N266" s="378" t="str">
        <f>IFERROR(COUNTIF($C$18:C266,C266)&amp;CHOOSE(MIN(4,COUNTIF($C$18:C266,C266)),"st","nd","rd","th"),"")</f>
        <v/>
      </c>
    </row>
    <row r="267" spans="8:14" x14ac:dyDescent="0.3">
      <c r="H267" s="384" t="str">
        <f t="shared" si="4"/>
        <v/>
      </c>
      <c r="N267" s="378" t="str">
        <f>IFERROR(COUNTIF($C$18:C267,C267)&amp;CHOOSE(MIN(4,COUNTIF($C$18:C267,C267)),"st","nd","rd","th"),"")</f>
        <v/>
      </c>
    </row>
    <row r="268" spans="8:14" x14ac:dyDescent="0.3">
      <c r="H268" s="384" t="str">
        <f t="shared" si="4"/>
        <v/>
      </c>
      <c r="N268" s="378" t="str">
        <f>IFERROR(COUNTIF($C$18:C268,C268)&amp;CHOOSE(MIN(4,COUNTIF($C$18:C268,C268)),"st","nd","rd","th"),"")</f>
        <v/>
      </c>
    </row>
    <row r="269" spans="8:14" x14ac:dyDescent="0.3">
      <c r="H269" s="384" t="str">
        <f t="shared" si="4"/>
        <v/>
      </c>
      <c r="N269" s="378" t="str">
        <f>IFERROR(COUNTIF($C$18:C269,C269)&amp;CHOOSE(MIN(4,COUNTIF($C$18:C269,C269)),"st","nd","rd","th"),"")</f>
        <v/>
      </c>
    </row>
    <row r="270" spans="8:14" x14ac:dyDescent="0.3">
      <c r="H270" s="384" t="str">
        <f t="shared" si="4"/>
        <v/>
      </c>
      <c r="N270" s="378" t="str">
        <f>IFERROR(COUNTIF($C$18:C270,C270)&amp;CHOOSE(MIN(4,COUNTIF($C$18:C270,C270)),"st","nd","rd","th"),"")</f>
        <v/>
      </c>
    </row>
    <row r="271" spans="8:14" x14ac:dyDescent="0.3">
      <c r="H271" s="384" t="str">
        <f t="shared" si="4"/>
        <v/>
      </c>
      <c r="N271" s="378" t="str">
        <f>IFERROR(COUNTIF($C$18:C271,C271)&amp;CHOOSE(MIN(4,COUNTIF($C$18:C271,C271)),"st","nd","rd","th"),"")</f>
        <v/>
      </c>
    </row>
    <row r="272" spans="8:14" x14ac:dyDescent="0.3">
      <c r="H272" s="384" t="str">
        <f t="shared" si="4"/>
        <v/>
      </c>
      <c r="N272" s="378" t="str">
        <f>IFERROR(COUNTIF($C$18:C272,C272)&amp;CHOOSE(MIN(4,COUNTIF($C$18:C272,C272)),"st","nd","rd","th"),"")</f>
        <v/>
      </c>
    </row>
    <row r="273" spans="8:14" x14ac:dyDescent="0.3">
      <c r="H273" s="384" t="str">
        <f t="shared" si="4"/>
        <v/>
      </c>
      <c r="N273" s="378" t="str">
        <f>IFERROR(COUNTIF($C$18:C273,C273)&amp;CHOOSE(MIN(4,COUNTIF($C$18:C273,C273)),"st","nd","rd","th"),"")</f>
        <v/>
      </c>
    </row>
    <row r="274" spans="8:14" x14ac:dyDescent="0.3">
      <c r="H274" s="384" t="str">
        <f t="shared" ref="H274:H337" si="5">IF(OR(ISBLANK(G274), ISBLANK(F274)), "", IF(G274=F274, 1, SUM(_xlfn.DAYS(G274, F274), 1)))</f>
        <v/>
      </c>
      <c r="N274" s="378" t="str">
        <f>IFERROR(COUNTIF($C$18:C274,C274)&amp;CHOOSE(MIN(4,COUNTIF($C$18:C274,C274)),"st","nd","rd","th"),"")</f>
        <v/>
      </c>
    </row>
    <row r="275" spans="8:14" x14ac:dyDescent="0.3">
      <c r="H275" s="384" t="str">
        <f t="shared" si="5"/>
        <v/>
      </c>
      <c r="N275" s="378" t="str">
        <f>IFERROR(COUNTIF($C$18:C275,C275)&amp;CHOOSE(MIN(4,COUNTIF($C$18:C275,C275)),"st","nd","rd","th"),"")</f>
        <v/>
      </c>
    </row>
    <row r="276" spans="8:14" x14ac:dyDescent="0.3">
      <c r="H276" s="384" t="str">
        <f t="shared" si="5"/>
        <v/>
      </c>
      <c r="N276" s="378" t="str">
        <f>IFERROR(COUNTIF($C$18:C276,C276)&amp;CHOOSE(MIN(4,COUNTIF($C$18:C276,C276)),"st","nd","rd","th"),"")</f>
        <v/>
      </c>
    </row>
    <row r="277" spans="8:14" x14ac:dyDescent="0.3">
      <c r="H277" s="384" t="str">
        <f t="shared" si="5"/>
        <v/>
      </c>
      <c r="N277" s="378" t="str">
        <f>IFERROR(COUNTIF($C$18:C277,C277)&amp;CHOOSE(MIN(4,COUNTIF($C$18:C277,C277)),"st","nd","rd","th"),"")</f>
        <v/>
      </c>
    </row>
    <row r="278" spans="8:14" x14ac:dyDescent="0.3">
      <c r="H278" s="384" t="str">
        <f t="shared" si="5"/>
        <v/>
      </c>
      <c r="N278" s="378" t="str">
        <f>IFERROR(COUNTIF($C$18:C278,C278)&amp;CHOOSE(MIN(4,COUNTIF($C$18:C278,C278)),"st","nd","rd","th"),"")</f>
        <v/>
      </c>
    </row>
    <row r="279" spans="8:14" x14ac:dyDescent="0.3">
      <c r="H279" s="384" t="str">
        <f t="shared" si="5"/>
        <v/>
      </c>
      <c r="N279" s="378" t="str">
        <f>IFERROR(COUNTIF($C$18:C279,C279)&amp;CHOOSE(MIN(4,COUNTIF($C$18:C279,C279)),"st","nd","rd","th"),"")</f>
        <v/>
      </c>
    </row>
    <row r="280" spans="8:14" x14ac:dyDescent="0.3">
      <c r="H280" s="384" t="str">
        <f t="shared" si="5"/>
        <v/>
      </c>
      <c r="N280" s="378" t="str">
        <f>IFERROR(COUNTIF($C$18:C280,C280)&amp;CHOOSE(MIN(4,COUNTIF($C$18:C280,C280)),"st","nd","rd","th"),"")</f>
        <v/>
      </c>
    </row>
    <row r="281" spans="8:14" x14ac:dyDescent="0.3">
      <c r="H281" s="384" t="str">
        <f t="shared" si="5"/>
        <v/>
      </c>
      <c r="N281" s="378" t="str">
        <f>IFERROR(COUNTIF($C$18:C281,C281)&amp;CHOOSE(MIN(4,COUNTIF($C$18:C281,C281)),"st","nd","rd","th"),"")</f>
        <v/>
      </c>
    </row>
    <row r="282" spans="8:14" x14ac:dyDescent="0.3">
      <c r="H282" s="384" t="str">
        <f t="shared" si="5"/>
        <v/>
      </c>
      <c r="N282" s="378" t="str">
        <f>IFERROR(COUNTIF($C$18:C282,C282)&amp;CHOOSE(MIN(4,COUNTIF($C$18:C282,C282)),"st","nd","rd","th"),"")</f>
        <v/>
      </c>
    </row>
    <row r="283" spans="8:14" x14ac:dyDescent="0.3">
      <c r="H283" s="384" t="str">
        <f t="shared" si="5"/>
        <v/>
      </c>
      <c r="N283" s="378" t="str">
        <f>IFERROR(COUNTIF($C$18:C283,C283)&amp;CHOOSE(MIN(4,COUNTIF($C$18:C283,C283)),"st","nd","rd","th"),"")</f>
        <v/>
      </c>
    </row>
    <row r="284" spans="8:14" x14ac:dyDescent="0.3">
      <c r="H284" s="384" t="str">
        <f t="shared" si="5"/>
        <v/>
      </c>
      <c r="N284" s="378" t="str">
        <f>IFERROR(COUNTIF($C$18:C284,C284)&amp;CHOOSE(MIN(4,COUNTIF($C$18:C284,C284)),"st","nd","rd","th"),"")</f>
        <v/>
      </c>
    </row>
    <row r="285" spans="8:14" x14ac:dyDescent="0.3">
      <c r="H285" s="384" t="str">
        <f t="shared" si="5"/>
        <v/>
      </c>
      <c r="N285" s="378" t="str">
        <f>IFERROR(COUNTIF($C$18:C285,C285)&amp;CHOOSE(MIN(4,COUNTIF($C$18:C285,C285)),"st","nd","rd","th"),"")</f>
        <v/>
      </c>
    </row>
    <row r="286" spans="8:14" x14ac:dyDescent="0.3">
      <c r="H286" s="384" t="str">
        <f t="shared" si="5"/>
        <v/>
      </c>
      <c r="N286" s="378" t="str">
        <f>IFERROR(COUNTIF($C$18:C286,C286)&amp;CHOOSE(MIN(4,COUNTIF($C$18:C286,C286)),"st","nd","rd","th"),"")</f>
        <v/>
      </c>
    </row>
    <row r="287" spans="8:14" x14ac:dyDescent="0.3">
      <c r="H287" s="384" t="str">
        <f t="shared" si="5"/>
        <v/>
      </c>
      <c r="N287" s="378" t="str">
        <f>IFERROR(COUNTIF($C$18:C287,C287)&amp;CHOOSE(MIN(4,COUNTIF($C$18:C287,C287)),"st","nd","rd","th"),"")</f>
        <v/>
      </c>
    </row>
    <row r="288" spans="8:14" x14ac:dyDescent="0.3">
      <c r="H288" s="384" t="str">
        <f t="shared" si="5"/>
        <v/>
      </c>
      <c r="N288" s="378" t="str">
        <f>IFERROR(COUNTIF($C$18:C288,C288)&amp;CHOOSE(MIN(4,COUNTIF($C$18:C288,C288)),"st","nd","rd","th"),"")</f>
        <v/>
      </c>
    </row>
    <row r="289" spans="8:14" x14ac:dyDescent="0.3">
      <c r="H289" s="384" t="str">
        <f t="shared" si="5"/>
        <v/>
      </c>
      <c r="N289" s="378" t="str">
        <f>IFERROR(COUNTIF($C$18:C289,C289)&amp;CHOOSE(MIN(4,COUNTIF($C$18:C289,C289)),"st","nd","rd","th"),"")</f>
        <v/>
      </c>
    </row>
    <row r="290" spans="8:14" x14ac:dyDescent="0.3">
      <c r="H290" s="384" t="str">
        <f t="shared" si="5"/>
        <v/>
      </c>
      <c r="N290" s="378" t="str">
        <f>IFERROR(COUNTIF($C$18:C290,C290)&amp;CHOOSE(MIN(4,COUNTIF($C$18:C290,C290)),"st","nd","rd","th"),"")</f>
        <v/>
      </c>
    </row>
    <row r="291" spans="8:14" x14ac:dyDescent="0.3">
      <c r="H291" s="384" t="str">
        <f t="shared" si="5"/>
        <v/>
      </c>
      <c r="N291" s="378" t="str">
        <f>IFERROR(COUNTIF($C$18:C291,C291)&amp;CHOOSE(MIN(4,COUNTIF($C$18:C291,C291)),"st","nd","rd","th"),"")</f>
        <v/>
      </c>
    </row>
    <row r="292" spans="8:14" x14ac:dyDescent="0.3">
      <c r="H292" s="384" t="str">
        <f t="shared" si="5"/>
        <v/>
      </c>
      <c r="N292" s="378" t="str">
        <f>IFERROR(COUNTIF($C$18:C292,C292)&amp;CHOOSE(MIN(4,COUNTIF($C$18:C292,C292)),"st","nd","rd","th"),"")</f>
        <v/>
      </c>
    </row>
    <row r="293" spans="8:14" x14ac:dyDescent="0.3">
      <c r="H293" s="384" t="str">
        <f t="shared" si="5"/>
        <v/>
      </c>
      <c r="N293" s="378" t="str">
        <f>IFERROR(COUNTIF($C$18:C293,C293)&amp;CHOOSE(MIN(4,COUNTIF($C$18:C293,C293)),"st","nd","rd","th"),"")</f>
        <v/>
      </c>
    </row>
    <row r="294" spans="8:14" x14ac:dyDescent="0.3">
      <c r="H294" s="384" t="str">
        <f t="shared" si="5"/>
        <v/>
      </c>
      <c r="N294" s="378" t="str">
        <f>IFERROR(COUNTIF($C$18:C294,C294)&amp;CHOOSE(MIN(4,COUNTIF($C$18:C294,C294)),"st","nd","rd","th"),"")</f>
        <v/>
      </c>
    </row>
    <row r="295" spans="8:14" x14ac:dyDescent="0.3">
      <c r="H295" s="384" t="str">
        <f t="shared" si="5"/>
        <v/>
      </c>
      <c r="N295" s="378" t="str">
        <f>IFERROR(COUNTIF($C$18:C295,C295)&amp;CHOOSE(MIN(4,COUNTIF($C$18:C295,C295)),"st","nd","rd","th"),"")</f>
        <v/>
      </c>
    </row>
    <row r="296" spans="8:14" x14ac:dyDescent="0.3">
      <c r="H296" s="384" t="str">
        <f t="shared" si="5"/>
        <v/>
      </c>
      <c r="N296" s="378" t="str">
        <f>IFERROR(COUNTIF($C$18:C296,C296)&amp;CHOOSE(MIN(4,COUNTIF($C$18:C296,C296)),"st","nd","rd","th"),"")</f>
        <v/>
      </c>
    </row>
    <row r="297" spans="8:14" x14ac:dyDescent="0.3">
      <c r="H297" s="384" t="str">
        <f t="shared" si="5"/>
        <v/>
      </c>
      <c r="N297" s="378" t="str">
        <f>IFERROR(COUNTIF($C$18:C297,C297)&amp;CHOOSE(MIN(4,COUNTIF($C$18:C297,C297)),"st","nd","rd","th"),"")</f>
        <v/>
      </c>
    </row>
    <row r="298" spans="8:14" x14ac:dyDescent="0.3">
      <c r="H298" s="384" t="str">
        <f t="shared" si="5"/>
        <v/>
      </c>
      <c r="N298" s="378" t="str">
        <f>IFERROR(COUNTIF($C$18:C298,C298)&amp;CHOOSE(MIN(4,COUNTIF($C$18:C298,C298)),"st","nd","rd","th"),"")</f>
        <v/>
      </c>
    </row>
    <row r="299" spans="8:14" x14ac:dyDescent="0.3">
      <c r="H299" s="384" t="str">
        <f t="shared" si="5"/>
        <v/>
      </c>
      <c r="N299" s="378" t="str">
        <f>IFERROR(COUNTIF($C$18:C299,C299)&amp;CHOOSE(MIN(4,COUNTIF($C$18:C299,C299)),"st","nd","rd","th"),"")</f>
        <v/>
      </c>
    </row>
    <row r="300" spans="8:14" x14ac:dyDescent="0.3">
      <c r="H300" s="384" t="str">
        <f t="shared" si="5"/>
        <v/>
      </c>
      <c r="N300" s="378" t="str">
        <f>IFERROR(COUNTIF($C$18:C300,C300)&amp;CHOOSE(MIN(4,COUNTIF($C$18:C300,C300)),"st","nd","rd","th"),"")</f>
        <v/>
      </c>
    </row>
    <row r="301" spans="8:14" x14ac:dyDescent="0.3">
      <c r="H301" s="384" t="str">
        <f t="shared" si="5"/>
        <v/>
      </c>
      <c r="N301" s="378" t="str">
        <f>IFERROR(COUNTIF($C$18:C301,C301)&amp;CHOOSE(MIN(4,COUNTIF($C$18:C301,C301)),"st","nd","rd","th"),"")</f>
        <v/>
      </c>
    </row>
    <row r="302" spans="8:14" x14ac:dyDescent="0.3">
      <c r="H302" s="384" t="str">
        <f t="shared" si="5"/>
        <v/>
      </c>
      <c r="N302" s="378" t="str">
        <f>IFERROR(COUNTIF($C$18:C302,C302)&amp;CHOOSE(MIN(4,COUNTIF($C$18:C302,C302)),"st","nd","rd","th"),"")</f>
        <v/>
      </c>
    </row>
    <row r="303" spans="8:14" x14ac:dyDescent="0.3">
      <c r="H303" s="384" t="str">
        <f t="shared" si="5"/>
        <v/>
      </c>
      <c r="N303" s="378" t="str">
        <f>IFERROR(COUNTIF($C$18:C303,C303)&amp;CHOOSE(MIN(4,COUNTIF($C$18:C303,C303)),"st","nd","rd","th"),"")</f>
        <v/>
      </c>
    </row>
    <row r="304" spans="8:14" x14ac:dyDescent="0.3">
      <c r="H304" s="384" t="str">
        <f t="shared" si="5"/>
        <v/>
      </c>
      <c r="N304" s="378" t="str">
        <f>IFERROR(COUNTIF($C$18:C304,C304)&amp;CHOOSE(MIN(4,COUNTIF($C$18:C304,C304)),"st","nd","rd","th"),"")</f>
        <v/>
      </c>
    </row>
    <row r="305" spans="8:14" x14ac:dyDescent="0.3">
      <c r="H305" s="384" t="str">
        <f t="shared" si="5"/>
        <v/>
      </c>
      <c r="N305" s="378" t="str">
        <f>IFERROR(COUNTIF($C$18:C305,C305)&amp;CHOOSE(MIN(4,COUNTIF($C$18:C305,C305)),"st","nd","rd","th"),"")</f>
        <v/>
      </c>
    </row>
    <row r="306" spans="8:14" x14ac:dyDescent="0.3">
      <c r="H306" s="384" t="str">
        <f t="shared" si="5"/>
        <v/>
      </c>
      <c r="N306" s="378" t="str">
        <f>IFERROR(COUNTIF($C$18:C306,C306)&amp;CHOOSE(MIN(4,COUNTIF($C$18:C306,C306)),"st","nd","rd","th"),"")</f>
        <v/>
      </c>
    </row>
    <row r="307" spans="8:14" x14ac:dyDescent="0.3">
      <c r="H307" s="384" t="str">
        <f t="shared" si="5"/>
        <v/>
      </c>
      <c r="N307" s="378" t="str">
        <f>IFERROR(COUNTIF($C$18:C307,C307)&amp;CHOOSE(MIN(4,COUNTIF($C$18:C307,C307)),"st","nd","rd","th"),"")</f>
        <v/>
      </c>
    </row>
    <row r="308" spans="8:14" x14ac:dyDescent="0.3">
      <c r="H308" s="384" t="str">
        <f t="shared" si="5"/>
        <v/>
      </c>
      <c r="N308" s="378" t="str">
        <f>IFERROR(COUNTIF($C$18:C308,C308)&amp;CHOOSE(MIN(4,COUNTIF($C$18:C308,C308)),"st","nd","rd","th"),"")</f>
        <v/>
      </c>
    </row>
    <row r="309" spans="8:14" x14ac:dyDescent="0.3">
      <c r="H309" s="384" t="str">
        <f t="shared" si="5"/>
        <v/>
      </c>
      <c r="N309" s="378" t="str">
        <f>IFERROR(COUNTIF($C$18:C309,C309)&amp;CHOOSE(MIN(4,COUNTIF($C$18:C309,C309)),"st","nd","rd","th"),"")</f>
        <v/>
      </c>
    </row>
    <row r="310" spans="8:14" x14ac:dyDescent="0.3">
      <c r="H310" s="384" t="str">
        <f t="shared" si="5"/>
        <v/>
      </c>
      <c r="N310" s="378" t="str">
        <f>IFERROR(COUNTIF($C$18:C310,C310)&amp;CHOOSE(MIN(4,COUNTIF($C$18:C310,C310)),"st","nd","rd","th"),"")</f>
        <v/>
      </c>
    </row>
    <row r="311" spans="8:14" x14ac:dyDescent="0.3">
      <c r="H311" s="384" t="str">
        <f t="shared" si="5"/>
        <v/>
      </c>
      <c r="N311" s="378" t="str">
        <f>IFERROR(COUNTIF($C$18:C311,C311)&amp;CHOOSE(MIN(4,COUNTIF($C$18:C311,C311)),"st","nd","rd","th"),"")</f>
        <v/>
      </c>
    </row>
    <row r="312" spans="8:14" x14ac:dyDescent="0.3">
      <c r="H312" s="384" t="str">
        <f t="shared" si="5"/>
        <v/>
      </c>
      <c r="N312" s="378" t="str">
        <f>IFERROR(COUNTIF($C$18:C312,C312)&amp;CHOOSE(MIN(4,COUNTIF($C$18:C312,C312)),"st","nd","rd","th"),"")</f>
        <v/>
      </c>
    </row>
    <row r="313" spans="8:14" x14ac:dyDescent="0.3">
      <c r="H313" s="384" t="str">
        <f t="shared" si="5"/>
        <v/>
      </c>
      <c r="N313" s="378" t="str">
        <f>IFERROR(COUNTIF($C$18:C313,C313)&amp;CHOOSE(MIN(4,COUNTIF($C$18:C313,C313)),"st","nd","rd","th"),"")</f>
        <v/>
      </c>
    </row>
    <row r="314" spans="8:14" x14ac:dyDescent="0.3">
      <c r="H314" s="384" t="str">
        <f t="shared" si="5"/>
        <v/>
      </c>
      <c r="N314" s="378" t="str">
        <f>IFERROR(COUNTIF($C$18:C314,C314)&amp;CHOOSE(MIN(4,COUNTIF($C$18:C314,C314)),"st","nd","rd","th"),"")</f>
        <v/>
      </c>
    </row>
    <row r="315" spans="8:14" x14ac:dyDescent="0.3">
      <c r="H315" s="384" t="str">
        <f t="shared" si="5"/>
        <v/>
      </c>
      <c r="N315" s="378" t="str">
        <f>IFERROR(COUNTIF($C$18:C315,C315)&amp;CHOOSE(MIN(4,COUNTIF($C$18:C315,C315)),"st","nd","rd","th"),"")</f>
        <v/>
      </c>
    </row>
    <row r="316" spans="8:14" x14ac:dyDescent="0.3">
      <c r="H316" s="384" t="str">
        <f t="shared" si="5"/>
        <v/>
      </c>
      <c r="N316" s="378" t="str">
        <f>IFERROR(COUNTIF($C$18:C316,C316)&amp;CHOOSE(MIN(4,COUNTIF($C$18:C316,C316)),"st","nd","rd","th"),"")</f>
        <v/>
      </c>
    </row>
    <row r="317" spans="8:14" x14ac:dyDescent="0.3">
      <c r="H317" s="384" t="str">
        <f t="shared" si="5"/>
        <v/>
      </c>
      <c r="N317" s="378" t="str">
        <f>IFERROR(COUNTIF($C$18:C317,C317)&amp;CHOOSE(MIN(4,COUNTIF($C$18:C317,C317)),"st","nd","rd","th"),"")</f>
        <v/>
      </c>
    </row>
    <row r="318" spans="8:14" x14ac:dyDescent="0.3">
      <c r="H318" s="384" t="str">
        <f t="shared" si="5"/>
        <v/>
      </c>
      <c r="N318" s="378" t="str">
        <f>IFERROR(COUNTIF($C$18:C318,C318)&amp;CHOOSE(MIN(4,COUNTIF($C$18:C318,C318)),"st","nd","rd","th"),"")</f>
        <v/>
      </c>
    </row>
    <row r="319" spans="8:14" x14ac:dyDescent="0.3">
      <c r="H319" s="384" t="str">
        <f t="shared" si="5"/>
        <v/>
      </c>
      <c r="N319" s="378" t="str">
        <f>IFERROR(COUNTIF($C$18:C319,C319)&amp;CHOOSE(MIN(4,COUNTIF($C$18:C319,C319)),"st","nd","rd","th"),"")</f>
        <v/>
      </c>
    </row>
    <row r="320" spans="8:14" x14ac:dyDescent="0.3">
      <c r="H320" s="384" t="str">
        <f t="shared" si="5"/>
        <v/>
      </c>
      <c r="N320" s="378" t="str">
        <f>IFERROR(COUNTIF($C$18:C320,C320)&amp;CHOOSE(MIN(4,COUNTIF($C$18:C320,C320)),"st","nd","rd","th"),"")</f>
        <v/>
      </c>
    </row>
    <row r="321" spans="8:14" x14ac:dyDescent="0.3">
      <c r="H321" s="384" t="str">
        <f t="shared" si="5"/>
        <v/>
      </c>
      <c r="N321" s="378" t="str">
        <f>IFERROR(COUNTIF($C$18:C321,C321)&amp;CHOOSE(MIN(4,COUNTIF($C$18:C321,C321)),"st","nd","rd","th"),"")</f>
        <v/>
      </c>
    </row>
    <row r="322" spans="8:14" x14ac:dyDescent="0.3">
      <c r="H322" s="384" t="str">
        <f t="shared" si="5"/>
        <v/>
      </c>
      <c r="N322" s="378" t="str">
        <f>IFERROR(COUNTIF($C$18:C322,C322)&amp;CHOOSE(MIN(4,COUNTIF($C$18:C322,C322)),"st","nd","rd","th"),"")</f>
        <v/>
      </c>
    </row>
    <row r="323" spans="8:14" x14ac:dyDescent="0.3">
      <c r="H323" s="384" t="str">
        <f t="shared" si="5"/>
        <v/>
      </c>
      <c r="N323" s="378" t="str">
        <f>IFERROR(COUNTIF($C$18:C323,C323)&amp;CHOOSE(MIN(4,COUNTIF($C$18:C323,C323)),"st","nd","rd","th"),"")</f>
        <v/>
      </c>
    </row>
    <row r="324" spans="8:14" x14ac:dyDescent="0.3">
      <c r="H324" s="384" t="str">
        <f t="shared" si="5"/>
        <v/>
      </c>
      <c r="N324" s="378" t="str">
        <f>IFERROR(COUNTIF($C$18:C324,C324)&amp;CHOOSE(MIN(4,COUNTIF($C$18:C324,C324)),"st","nd","rd","th"),"")</f>
        <v/>
      </c>
    </row>
    <row r="325" spans="8:14" x14ac:dyDescent="0.3">
      <c r="H325" s="384" t="str">
        <f t="shared" si="5"/>
        <v/>
      </c>
      <c r="N325" s="378" t="str">
        <f>IFERROR(COUNTIF($C$18:C325,C325)&amp;CHOOSE(MIN(4,COUNTIF($C$18:C325,C325)),"st","nd","rd","th"),"")</f>
        <v/>
      </c>
    </row>
    <row r="326" spans="8:14" x14ac:dyDescent="0.3">
      <c r="H326" s="384" t="str">
        <f t="shared" si="5"/>
        <v/>
      </c>
      <c r="N326" s="378" t="str">
        <f>IFERROR(COUNTIF($C$18:C326,C326)&amp;CHOOSE(MIN(4,COUNTIF($C$18:C326,C326)),"st","nd","rd","th"),"")</f>
        <v/>
      </c>
    </row>
    <row r="327" spans="8:14" x14ac:dyDescent="0.3">
      <c r="H327" s="384" t="str">
        <f t="shared" si="5"/>
        <v/>
      </c>
      <c r="N327" s="378" t="str">
        <f>IFERROR(COUNTIF($C$18:C327,C327)&amp;CHOOSE(MIN(4,COUNTIF($C$18:C327,C327)),"st","nd","rd","th"),"")</f>
        <v/>
      </c>
    </row>
    <row r="328" spans="8:14" x14ac:dyDescent="0.3">
      <c r="H328" s="384" t="str">
        <f t="shared" si="5"/>
        <v/>
      </c>
      <c r="N328" s="378" t="str">
        <f>IFERROR(COUNTIF($C$18:C328,C328)&amp;CHOOSE(MIN(4,COUNTIF($C$18:C328,C328)),"st","nd","rd","th"),"")</f>
        <v/>
      </c>
    </row>
    <row r="329" spans="8:14" x14ac:dyDescent="0.3">
      <c r="H329" s="384" t="str">
        <f t="shared" si="5"/>
        <v/>
      </c>
      <c r="N329" s="378" t="str">
        <f>IFERROR(COUNTIF($C$18:C329,C329)&amp;CHOOSE(MIN(4,COUNTIF($C$18:C329,C329)),"st","nd","rd","th"),"")</f>
        <v/>
      </c>
    </row>
    <row r="330" spans="8:14" x14ac:dyDescent="0.3">
      <c r="H330" s="384" t="str">
        <f t="shared" si="5"/>
        <v/>
      </c>
      <c r="N330" s="378" t="str">
        <f>IFERROR(COUNTIF($C$18:C330,C330)&amp;CHOOSE(MIN(4,COUNTIF($C$18:C330,C330)),"st","nd","rd","th"),"")</f>
        <v/>
      </c>
    </row>
    <row r="331" spans="8:14" x14ac:dyDescent="0.3">
      <c r="H331" s="384" t="str">
        <f t="shared" si="5"/>
        <v/>
      </c>
      <c r="N331" s="378" t="str">
        <f>IFERROR(COUNTIF($C$18:C331,C331)&amp;CHOOSE(MIN(4,COUNTIF($C$18:C331,C331)),"st","nd","rd","th"),"")</f>
        <v/>
      </c>
    </row>
    <row r="332" spans="8:14" x14ac:dyDescent="0.3">
      <c r="H332" s="384" t="str">
        <f t="shared" si="5"/>
        <v/>
      </c>
      <c r="N332" s="378" t="str">
        <f>IFERROR(COUNTIF($C$18:C332,C332)&amp;CHOOSE(MIN(4,COUNTIF($C$18:C332,C332)),"st","nd","rd","th"),"")</f>
        <v/>
      </c>
    </row>
    <row r="333" spans="8:14" x14ac:dyDescent="0.3">
      <c r="H333" s="384" t="str">
        <f t="shared" si="5"/>
        <v/>
      </c>
      <c r="N333" s="378" t="str">
        <f>IFERROR(COUNTIF($C$18:C333,C333)&amp;CHOOSE(MIN(4,COUNTIF($C$18:C333,C333)),"st","nd","rd","th"),"")</f>
        <v/>
      </c>
    </row>
    <row r="334" spans="8:14" x14ac:dyDescent="0.3">
      <c r="H334" s="384" t="str">
        <f t="shared" si="5"/>
        <v/>
      </c>
      <c r="N334" s="378" t="str">
        <f>IFERROR(COUNTIF($C$18:C334,C334)&amp;CHOOSE(MIN(4,COUNTIF($C$18:C334,C334)),"st","nd","rd","th"),"")</f>
        <v/>
      </c>
    </row>
    <row r="335" spans="8:14" x14ac:dyDescent="0.3">
      <c r="H335" s="384" t="str">
        <f t="shared" si="5"/>
        <v/>
      </c>
      <c r="N335" s="378" t="str">
        <f>IFERROR(COUNTIF($C$18:C335,C335)&amp;CHOOSE(MIN(4,COUNTIF($C$18:C335,C335)),"st","nd","rd","th"),"")</f>
        <v/>
      </c>
    </row>
    <row r="336" spans="8:14" x14ac:dyDescent="0.3">
      <c r="H336" s="384" t="str">
        <f t="shared" si="5"/>
        <v/>
      </c>
      <c r="N336" s="378" t="str">
        <f>IFERROR(COUNTIF($C$18:C336,C336)&amp;CHOOSE(MIN(4,COUNTIF($C$18:C336,C336)),"st","nd","rd","th"),"")</f>
        <v/>
      </c>
    </row>
    <row r="337" spans="8:14" x14ac:dyDescent="0.3">
      <c r="H337" s="384" t="str">
        <f t="shared" si="5"/>
        <v/>
      </c>
      <c r="N337" s="378" t="str">
        <f>IFERROR(COUNTIF($C$18:C337,C337)&amp;CHOOSE(MIN(4,COUNTIF($C$18:C337,C337)),"st","nd","rd","th"),"")</f>
        <v/>
      </c>
    </row>
    <row r="338" spans="8:14" x14ac:dyDescent="0.3">
      <c r="H338" s="384" t="str">
        <f t="shared" ref="H338:H401" si="6">IF(OR(ISBLANK(G338), ISBLANK(F338)), "", IF(G338=F338, 1, SUM(_xlfn.DAYS(G338, F338), 1)))</f>
        <v/>
      </c>
      <c r="N338" s="378" t="str">
        <f>IFERROR(COUNTIF($C$18:C338,C338)&amp;CHOOSE(MIN(4,COUNTIF($C$18:C338,C338)),"st","nd","rd","th"),"")</f>
        <v/>
      </c>
    </row>
    <row r="339" spans="8:14" x14ac:dyDescent="0.3">
      <c r="H339" s="384" t="str">
        <f t="shared" si="6"/>
        <v/>
      </c>
      <c r="N339" s="378" t="str">
        <f>IFERROR(COUNTIF($C$18:C339,C339)&amp;CHOOSE(MIN(4,COUNTIF($C$18:C339,C339)),"st","nd","rd","th"),"")</f>
        <v/>
      </c>
    </row>
    <row r="340" spans="8:14" x14ac:dyDescent="0.3">
      <c r="H340" s="384" t="str">
        <f t="shared" si="6"/>
        <v/>
      </c>
      <c r="N340" s="378" t="str">
        <f>IFERROR(COUNTIF($C$18:C340,C340)&amp;CHOOSE(MIN(4,COUNTIF($C$18:C340,C340)),"st","nd","rd","th"),"")</f>
        <v/>
      </c>
    </row>
    <row r="341" spans="8:14" x14ac:dyDescent="0.3">
      <c r="H341" s="384" t="str">
        <f t="shared" si="6"/>
        <v/>
      </c>
      <c r="N341" s="378" t="str">
        <f>IFERROR(COUNTIF($C$18:C341,C341)&amp;CHOOSE(MIN(4,COUNTIF($C$18:C341,C341)),"st","nd","rd","th"),"")</f>
        <v/>
      </c>
    </row>
    <row r="342" spans="8:14" x14ac:dyDescent="0.3">
      <c r="H342" s="384" t="str">
        <f t="shared" si="6"/>
        <v/>
      </c>
      <c r="N342" s="378" t="str">
        <f>IFERROR(COUNTIF($C$18:C342,C342)&amp;CHOOSE(MIN(4,COUNTIF($C$18:C342,C342)),"st","nd","rd","th"),"")</f>
        <v/>
      </c>
    </row>
    <row r="343" spans="8:14" x14ac:dyDescent="0.3">
      <c r="H343" s="384" t="str">
        <f t="shared" si="6"/>
        <v/>
      </c>
      <c r="N343" s="378" t="str">
        <f>IFERROR(COUNTIF($C$18:C343,C343)&amp;CHOOSE(MIN(4,COUNTIF($C$18:C343,C343)),"st","nd","rd","th"),"")</f>
        <v/>
      </c>
    </row>
    <row r="344" spans="8:14" x14ac:dyDescent="0.3">
      <c r="H344" s="384" t="str">
        <f t="shared" si="6"/>
        <v/>
      </c>
      <c r="N344" s="378" t="str">
        <f>IFERROR(COUNTIF($C$18:C344,C344)&amp;CHOOSE(MIN(4,COUNTIF($C$18:C344,C344)),"st","nd","rd","th"),"")</f>
        <v/>
      </c>
    </row>
    <row r="345" spans="8:14" x14ac:dyDescent="0.3">
      <c r="H345" s="384" t="str">
        <f t="shared" si="6"/>
        <v/>
      </c>
      <c r="N345" s="378" t="str">
        <f>IFERROR(COUNTIF($C$18:C345,C345)&amp;CHOOSE(MIN(4,COUNTIF($C$18:C345,C345)),"st","nd","rd","th"),"")</f>
        <v/>
      </c>
    </row>
    <row r="346" spans="8:14" x14ac:dyDescent="0.3">
      <c r="H346" s="384" t="str">
        <f t="shared" si="6"/>
        <v/>
      </c>
      <c r="N346" s="378" t="str">
        <f>IFERROR(COUNTIF($C$18:C346,C346)&amp;CHOOSE(MIN(4,COUNTIF($C$18:C346,C346)),"st","nd","rd","th"),"")</f>
        <v/>
      </c>
    </row>
    <row r="347" spans="8:14" x14ac:dyDescent="0.3">
      <c r="H347" s="384" t="str">
        <f t="shared" si="6"/>
        <v/>
      </c>
      <c r="N347" s="378" t="str">
        <f>IFERROR(COUNTIF($C$18:C347,C347)&amp;CHOOSE(MIN(4,COUNTIF($C$18:C347,C347)),"st","nd","rd","th"),"")</f>
        <v/>
      </c>
    </row>
    <row r="348" spans="8:14" x14ac:dyDescent="0.3">
      <c r="H348" s="384" t="str">
        <f t="shared" si="6"/>
        <v/>
      </c>
      <c r="N348" s="378" t="str">
        <f>IFERROR(COUNTIF($C$18:C348,C348)&amp;CHOOSE(MIN(4,COUNTIF($C$18:C348,C348)),"st","nd","rd","th"),"")</f>
        <v/>
      </c>
    </row>
    <row r="349" spans="8:14" x14ac:dyDescent="0.3">
      <c r="H349" s="384" t="str">
        <f t="shared" si="6"/>
        <v/>
      </c>
      <c r="N349" s="378" t="str">
        <f>IFERROR(COUNTIF($C$18:C349,C349)&amp;CHOOSE(MIN(4,COUNTIF($C$18:C349,C349)),"st","nd","rd","th"),"")</f>
        <v/>
      </c>
    </row>
    <row r="350" spans="8:14" x14ac:dyDescent="0.3">
      <c r="H350" s="384" t="str">
        <f t="shared" si="6"/>
        <v/>
      </c>
      <c r="N350" s="378" t="str">
        <f>IFERROR(COUNTIF($C$18:C350,C350)&amp;CHOOSE(MIN(4,COUNTIF($C$18:C350,C350)),"st","nd","rd","th"),"")</f>
        <v/>
      </c>
    </row>
    <row r="351" spans="8:14" x14ac:dyDescent="0.3">
      <c r="H351" s="384" t="str">
        <f t="shared" si="6"/>
        <v/>
      </c>
      <c r="N351" s="378" t="str">
        <f>IFERROR(COUNTIF($C$18:C351,C351)&amp;CHOOSE(MIN(4,COUNTIF($C$18:C351,C351)),"st","nd","rd","th"),"")</f>
        <v/>
      </c>
    </row>
    <row r="352" spans="8:14" x14ac:dyDescent="0.3">
      <c r="H352" s="384" t="str">
        <f t="shared" si="6"/>
        <v/>
      </c>
      <c r="N352" s="378" t="str">
        <f>IFERROR(COUNTIF($C$18:C352,C352)&amp;CHOOSE(MIN(4,COUNTIF($C$18:C352,C352)),"st","nd","rd","th"),"")</f>
        <v/>
      </c>
    </row>
    <row r="353" spans="8:14" x14ac:dyDescent="0.3">
      <c r="H353" s="384" t="str">
        <f t="shared" si="6"/>
        <v/>
      </c>
      <c r="N353" s="378" t="str">
        <f>IFERROR(COUNTIF($C$18:C353,C353)&amp;CHOOSE(MIN(4,COUNTIF($C$18:C353,C353)),"st","nd","rd","th"),"")</f>
        <v/>
      </c>
    </row>
    <row r="354" spans="8:14" x14ac:dyDescent="0.3">
      <c r="H354" s="384" t="str">
        <f t="shared" si="6"/>
        <v/>
      </c>
      <c r="N354" s="378" t="str">
        <f>IFERROR(COUNTIF($C$18:C354,C354)&amp;CHOOSE(MIN(4,COUNTIF($C$18:C354,C354)),"st","nd","rd","th"),"")</f>
        <v/>
      </c>
    </row>
    <row r="355" spans="8:14" x14ac:dyDescent="0.3">
      <c r="H355" s="384" t="str">
        <f t="shared" si="6"/>
        <v/>
      </c>
      <c r="N355" s="378" t="str">
        <f>IFERROR(COUNTIF($C$18:C355,C355)&amp;CHOOSE(MIN(4,COUNTIF($C$18:C355,C355)),"st","nd","rd","th"),"")</f>
        <v/>
      </c>
    </row>
    <row r="356" spans="8:14" x14ac:dyDescent="0.3">
      <c r="H356" s="384" t="str">
        <f t="shared" si="6"/>
        <v/>
      </c>
      <c r="N356" s="378" t="str">
        <f>IFERROR(COUNTIF($C$18:C356,C356)&amp;CHOOSE(MIN(4,COUNTIF($C$18:C356,C356)),"st","nd","rd","th"),"")</f>
        <v/>
      </c>
    </row>
    <row r="357" spans="8:14" x14ac:dyDescent="0.3">
      <c r="H357" s="384" t="str">
        <f t="shared" si="6"/>
        <v/>
      </c>
      <c r="N357" s="378" t="str">
        <f>IFERROR(COUNTIF($C$18:C357,C357)&amp;CHOOSE(MIN(4,COUNTIF($C$18:C357,C357)),"st","nd","rd","th"),"")</f>
        <v/>
      </c>
    </row>
    <row r="358" spans="8:14" x14ac:dyDescent="0.3">
      <c r="H358" s="384" t="str">
        <f t="shared" si="6"/>
        <v/>
      </c>
      <c r="N358" s="378" t="str">
        <f>IFERROR(COUNTIF($C$18:C358,C358)&amp;CHOOSE(MIN(4,COUNTIF($C$18:C358,C358)),"st","nd","rd","th"),"")</f>
        <v/>
      </c>
    </row>
    <row r="359" spans="8:14" x14ac:dyDescent="0.3">
      <c r="H359" s="384" t="str">
        <f t="shared" si="6"/>
        <v/>
      </c>
      <c r="N359" s="378" t="str">
        <f>IFERROR(COUNTIF($C$18:C359,C359)&amp;CHOOSE(MIN(4,COUNTIF($C$18:C359,C359)),"st","nd","rd","th"),"")</f>
        <v/>
      </c>
    </row>
    <row r="360" spans="8:14" x14ac:dyDescent="0.3">
      <c r="H360" s="384" t="str">
        <f t="shared" si="6"/>
        <v/>
      </c>
      <c r="N360" s="378" t="str">
        <f>IFERROR(COUNTIF($C$18:C360,C360)&amp;CHOOSE(MIN(4,COUNTIF($C$18:C360,C360)),"st","nd","rd","th"),"")</f>
        <v/>
      </c>
    </row>
    <row r="361" spans="8:14" x14ac:dyDescent="0.3">
      <c r="H361" s="384" t="str">
        <f t="shared" si="6"/>
        <v/>
      </c>
      <c r="N361" s="378" t="str">
        <f>IFERROR(COUNTIF($C$18:C361,C361)&amp;CHOOSE(MIN(4,COUNTIF($C$18:C361,C361)),"st","nd","rd","th"),"")</f>
        <v/>
      </c>
    </row>
    <row r="362" spans="8:14" x14ac:dyDescent="0.3">
      <c r="H362" s="384" t="str">
        <f t="shared" si="6"/>
        <v/>
      </c>
      <c r="N362" s="378" t="str">
        <f>IFERROR(COUNTIF($C$18:C362,C362)&amp;CHOOSE(MIN(4,COUNTIF($C$18:C362,C362)),"st","nd","rd","th"),"")</f>
        <v/>
      </c>
    </row>
    <row r="363" spans="8:14" x14ac:dyDescent="0.3">
      <c r="H363" s="384" t="str">
        <f t="shared" si="6"/>
        <v/>
      </c>
      <c r="N363" s="378" t="str">
        <f>IFERROR(COUNTIF($C$18:C363,C363)&amp;CHOOSE(MIN(4,COUNTIF($C$18:C363,C363)),"st","nd","rd","th"),"")</f>
        <v/>
      </c>
    </row>
    <row r="364" spans="8:14" x14ac:dyDescent="0.3">
      <c r="H364" s="384" t="str">
        <f t="shared" si="6"/>
        <v/>
      </c>
      <c r="N364" s="378" t="str">
        <f>IFERROR(COUNTIF($C$18:C364,C364)&amp;CHOOSE(MIN(4,COUNTIF($C$18:C364,C364)),"st","nd","rd","th"),"")</f>
        <v/>
      </c>
    </row>
    <row r="365" spans="8:14" x14ac:dyDescent="0.3">
      <c r="H365" s="384" t="str">
        <f t="shared" si="6"/>
        <v/>
      </c>
      <c r="N365" s="378" t="str">
        <f>IFERROR(COUNTIF($C$18:C365,C365)&amp;CHOOSE(MIN(4,COUNTIF($C$18:C365,C365)),"st","nd","rd","th"),"")</f>
        <v/>
      </c>
    </row>
    <row r="366" spans="8:14" x14ac:dyDescent="0.3">
      <c r="H366" s="384" t="str">
        <f t="shared" si="6"/>
        <v/>
      </c>
      <c r="N366" s="378" t="str">
        <f>IFERROR(COUNTIF($C$18:C366,C366)&amp;CHOOSE(MIN(4,COUNTIF($C$18:C366,C366)),"st","nd","rd","th"),"")</f>
        <v/>
      </c>
    </row>
    <row r="367" spans="8:14" x14ac:dyDescent="0.3">
      <c r="H367" s="384" t="str">
        <f t="shared" si="6"/>
        <v/>
      </c>
      <c r="N367" s="378" t="str">
        <f>IFERROR(COUNTIF($C$18:C367,C367)&amp;CHOOSE(MIN(4,COUNTIF($C$18:C367,C367)),"st","nd","rd","th"),"")</f>
        <v/>
      </c>
    </row>
    <row r="368" spans="8:14" x14ac:dyDescent="0.3">
      <c r="H368" s="384" t="str">
        <f t="shared" si="6"/>
        <v/>
      </c>
      <c r="N368" s="378" t="str">
        <f>IFERROR(COUNTIF($C$18:C368,C368)&amp;CHOOSE(MIN(4,COUNTIF($C$18:C368,C368)),"st","nd","rd","th"),"")</f>
        <v/>
      </c>
    </row>
    <row r="369" spans="8:14" x14ac:dyDescent="0.3">
      <c r="H369" s="384" t="str">
        <f t="shared" si="6"/>
        <v/>
      </c>
      <c r="N369" s="378" t="str">
        <f>IFERROR(COUNTIF($C$18:C369,C369)&amp;CHOOSE(MIN(4,COUNTIF($C$18:C369,C369)),"st","nd","rd","th"),"")</f>
        <v/>
      </c>
    </row>
    <row r="370" spans="8:14" x14ac:dyDescent="0.3">
      <c r="H370" s="384" t="str">
        <f t="shared" si="6"/>
        <v/>
      </c>
      <c r="N370" s="378" t="str">
        <f>IFERROR(COUNTIF($C$18:C370,C370)&amp;CHOOSE(MIN(4,COUNTIF($C$18:C370,C370)),"st","nd","rd","th"),"")</f>
        <v/>
      </c>
    </row>
    <row r="371" spans="8:14" x14ac:dyDescent="0.3">
      <c r="H371" s="384" t="str">
        <f t="shared" si="6"/>
        <v/>
      </c>
      <c r="N371" s="378" t="str">
        <f>IFERROR(COUNTIF($C$18:C371,C371)&amp;CHOOSE(MIN(4,COUNTIF($C$18:C371,C371)),"st","nd","rd","th"),"")</f>
        <v/>
      </c>
    </row>
    <row r="372" spans="8:14" x14ac:dyDescent="0.3">
      <c r="H372" s="384" t="str">
        <f t="shared" si="6"/>
        <v/>
      </c>
      <c r="N372" s="378" t="str">
        <f>IFERROR(COUNTIF($C$18:C372,C372)&amp;CHOOSE(MIN(4,COUNTIF($C$18:C372,C372)),"st","nd","rd","th"),"")</f>
        <v/>
      </c>
    </row>
    <row r="373" spans="8:14" x14ac:dyDescent="0.3">
      <c r="H373" s="384" t="str">
        <f t="shared" si="6"/>
        <v/>
      </c>
      <c r="N373" s="378" t="str">
        <f>IFERROR(COUNTIF($C$18:C373,C373)&amp;CHOOSE(MIN(4,COUNTIF($C$18:C373,C373)),"st","nd","rd","th"),"")</f>
        <v/>
      </c>
    </row>
    <row r="374" spans="8:14" x14ac:dyDescent="0.3">
      <c r="H374" s="384" t="str">
        <f t="shared" si="6"/>
        <v/>
      </c>
      <c r="N374" s="378" t="str">
        <f>IFERROR(COUNTIF($C$18:C374,C374)&amp;CHOOSE(MIN(4,COUNTIF($C$18:C374,C374)),"st","nd","rd","th"),"")</f>
        <v/>
      </c>
    </row>
    <row r="375" spans="8:14" x14ac:dyDescent="0.3">
      <c r="H375" s="384" t="str">
        <f t="shared" si="6"/>
        <v/>
      </c>
      <c r="N375" s="378" t="str">
        <f>IFERROR(COUNTIF($C$18:C375,C375)&amp;CHOOSE(MIN(4,COUNTIF($C$18:C375,C375)),"st","nd","rd","th"),"")</f>
        <v/>
      </c>
    </row>
    <row r="376" spans="8:14" x14ac:dyDescent="0.3">
      <c r="H376" s="384" t="str">
        <f t="shared" si="6"/>
        <v/>
      </c>
      <c r="N376" s="378" t="str">
        <f>IFERROR(COUNTIF($C$18:C376,C376)&amp;CHOOSE(MIN(4,COUNTIF($C$18:C376,C376)),"st","nd","rd","th"),"")</f>
        <v/>
      </c>
    </row>
    <row r="377" spans="8:14" x14ac:dyDescent="0.3">
      <c r="H377" s="384" t="str">
        <f t="shared" si="6"/>
        <v/>
      </c>
      <c r="N377" s="378" t="str">
        <f>IFERROR(COUNTIF($C$18:C377,C377)&amp;CHOOSE(MIN(4,COUNTIF($C$18:C377,C377)),"st","nd","rd","th"),"")</f>
        <v/>
      </c>
    </row>
    <row r="378" spans="8:14" x14ac:dyDescent="0.3">
      <c r="H378" s="384" t="str">
        <f t="shared" si="6"/>
        <v/>
      </c>
      <c r="N378" s="378" t="str">
        <f>IFERROR(COUNTIF($C$18:C378,C378)&amp;CHOOSE(MIN(4,COUNTIF($C$18:C378,C378)),"st","nd","rd","th"),"")</f>
        <v/>
      </c>
    </row>
    <row r="379" spans="8:14" x14ac:dyDescent="0.3">
      <c r="H379" s="384" t="str">
        <f t="shared" si="6"/>
        <v/>
      </c>
      <c r="N379" s="378" t="str">
        <f>IFERROR(COUNTIF($C$18:C379,C379)&amp;CHOOSE(MIN(4,COUNTIF($C$18:C379,C379)),"st","nd","rd","th"),"")</f>
        <v/>
      </c>
    </row>
    <row r="380" spans="8:14" x14ac:dyDescent="0.3">
      <c r="H380" s="384" t="str">
        <f t="shared" si="6"/>
        <v/>
      </c>
      <c r="N380" s="378" t="str">
        <f>IFERROR(COUNTIF($C$18:C380,C380)&amp;CHOOSE(MIN(4,COUNTIF($C$18:C380,C380)),"st","nd","rd","th"),"")</f>
        <v/>
      </c>
    </row>
    <row r="381" spans="8:14" x14ac:dyDescent="0.3">
      <c r="H381" s="384" t="str">
        <f t="shared" si="6"/>
        <v/>
      </c>
      <c r="N381" s="378" t="str">
        <f>IFERROR(COUNTIF($C$18:C381,C381)&amp;CHOOSE(MIN(4,COUNTIF($C$18:C381,C381)),"st","nd","rd","th"),"")</f>
        <v/>
      </c>
    </row>
    <row r="382" spans="8:14" x14ac:dyDescent="0.3">
      <c r="H382" s="384" t="str">
        <f t="shared" si="6"/>
        <v/>
      </c>
      <c r="N382" s="378" t="str">
        <f>IFERROR(COUNTIF($C$18:C382,C382)&amp;CHOOSE(MIN(4,COUNTIF($C$18:C382,C382)),"st","nd","rd","th"),"")</f>
        <v/>
      </c>
    </row>
    <row r="383" spans="8:14" x14ac:dyDescent="0.3">
      <c r="H383" s="384" t="str">
        <f t="shared" si="6"/>
        <v/>
      </c>
      <c r="N383" s="378" t="str">
        <f>IFERROR(COUNTIF($C$18:C383,C383)&amp;CHOOSE(MIN(4,COUNTIF($C$18:C383,C383)),"st","nd","rd","th"),"")</f>
        <v/>
      </c>
    </row>
    <row r="384" spans="8:14" x14ac:dyDescent="0.3">
      <c r="H384" s="384" t="str">
        <f t="shared" si="6"/>
        <v/>
      </c>
      <c r="N384" s="378" t="str">
        <f>IFERROR(COUNTIF($C$18:C384,C384)&amp;CHOOSE(MIN(4,COUNTIF($C$18:C384,C384)),"st","nd","rd","th"),"")</f>
        <v/>
      </c>
    </row>
    <row r="385" spans="8:14" x14ac:dyDescent="0.3">
      <c r="H385" s="384" t="str">
        <f t="shared" si="6"/>
        <v/>
      </c>
      <c r="N385" s="378" t="str">
        <f>IFERROR(COUNTIF($C$18:C385,C385)&amp;CHOOSE(MIN(4,COUNTIF($C$18:C385,C385)),"st","nd","rd","th"),"")</f>
        <v/>
      </c>
    </row>
    <row r="386" spans="8:14" x14ac:dyDescent="0.3">
      <c r="H386" s="384" t="str">
        <f t="shared" si="6"/>
        <v/>
      </c>
      <c r="N386" s="378" t="str">
        <f>IFERROR(COUNTIF($C$18:C386,C386)&amp;CHOOSE(MIN(4,COUNTIF($C$18:C386,C386)),"st","nd","rd","th"),"")</f>
        <v/>
      </c>
    </row>
    <row r="387" spans="8:14" x14ac:dyDescent="0.3">
      <c r="H387" s="384" t="str">
        <f t="shared" si="6"/>
        <v/>
      </c>
      <c r="N387" s="378" t="str">
        <f>IFERROR(COUNTIF($C$18:C387,C387)&amp;CHOOSE(MIN(4,COUNTIF($C$18:C387,C387)),"st","nd","rd","th"),"")</f>
        <v/>
      </c>
    </row>
    <row r="388" spans="8:14" x14ac:dyDescent="0.3">
      <c r="H388" s="384" t="str">
        <f t="shared" si="6"/>
        <v/>
      </c>
      <c r="N388" s="378" t="str">
        <f>IFERROR(COUNTIF($C$18:C388,C388)&amp;CHOOSE(MIN(4,COUNTIF($C$18:C388,C388)),"st","nd","rd","th"),"")</f>
        <v/>
      </c>
    </row>
    <row r="389" spans="8:14" x14ac:dyDescent="0.3">
      <c r="H389" s="384" t="str">
        <f t="shared" si="6"/>
        <v/>
      </c>
      <c r="N389" s="378" t="str">
        <f>IFERROR(COUNTIF($C$18:C389,C389)&amp;CHOOSE(MIN(4,COUNTIF($C$18:C389,C389)),"st","nd","rd","th"),"")</f>
        <v/>
      </c>
    </row>
    <row r="390" spans="8:14" x14ac:dyDescent="0.3">
      <c r="H390" s="384" t="str">
        <f t="shared" si="6"/>
        <v/>
      </c>
      <c r="N390" s="378" t="str">
        <f>IFERROR(COUNTIF($C$18:C390,C390)&amp;CHOOSE(MIN(4,COUNTIF($C$18:C390,C390)),"st","nd","rd","th"),"")</f>
        <v/>
      </c>
    </row>
    <row r="391" spans="8:14" x14ac:dyDescent="0.3">
      <c r="H391" s="384" t="str">
        <f t="shared" si="6"/>
        <v/>
      </c>
      <c r="N391" s="378" t="str">
        <f>IFERROR(COUNTIF($C$18:C391,C391)&amp;CHOOSE(MIN(4,COUNTIF($C$18:C391,C391)),"st","nd","rd","th"),"")</f>
        <v/>
      </c>
    </row>
    <row r="392" spans="8:14" x14ac:dyDescent="0.3">
      <c r="H392" s="384" t="str">
        <f t="shared" si="6"/>
        <v/>
      </c>
      <c r="N392" s="378" t="str">
        <f>IFERROR(COUNTIF($C$18:C392,C392)&amp;CHOOSE(MIN(4,COUNTIF($C$18:C392,C392)),"st","nd","rd","th"),"")</f>
        <v/>
      </c>
    </row>
    <row r="393" spans="8:14" x14ac:dyDescent="0.3">
      <c r="H393" s="384" t="str">
        <f t="shared" si="6"/>
        <v/>
      </c>
      <c r="N393" s="378" t="str">
        <f>IFERROR(COUNTIF($C$18:C393,C393)&amp;CHOOSE(MIN(4,COUNTIF($C$18:C393,C393)),"st","nd","rd","th"),"")</f>
        <v/>
      </c>
    </row>
    <row r="394" spans="8:14" x14ac:dyDescent="0.3">
      <c r="H394" s="384" t="str">
        <f t="shared" si="6"/>
        <v/>
      </c>
      <c r="N394" s="378" t="str">
        <f>IFERROR(COUNTIF($C$18:C394,C394)&amp;CHOOSE(MIN(4,COUNTIF($C$18:C394,C394)),"st","nd","rd","th"),"")</f>
        <v/>
      </c>
    </row>
    <row r="395" spans="8:14" x14ac:dyDescent="0.3">
      <c r="H395" s="384" t="str">
        <f t="shared" si="6"/>
        <v/>
      </c>
      <c r="N395" s="378" t="str">
        <f>IFERROR(COUNTIF($C$18:C395,C395)&amp;CHOOSE(MIN(4,COUNTIF($C$18:C395,C395)),"st","nd","rd","th"),"")</f>
        <v/>
      </c>
    </row>
    <row r="396" spans="8:14" x14ac:dyDescent="0.3">
      <c r="H396" s="384" t="str">
        <f t="shared" si="6"/>
        <v/>
      </c>
      <c r="N396" s="378" t="str">
        <f>IFERROR(COUNTIF($C$18:C396,C396)&amp;CHOOSE(MIN(4,COUNTIF($C$18:C396,C396)),"st","nd","rd","th"),"")</f>
        <v/>
      </c>
    </row>
    <row r="397" spans="8:14" x14ac:dyDescent="0.3">
      <c r="H397" s="384" t="str">
        <f t="shared" si="6"/>
        <v/>
      </c>
      <c r="N397" s="378" t="str">
        <f>IFERROR(COUNTIF($C$18:C397,C397)&amp;CHOOSE(MIN(4,COUNTIF($C$18:C397,C397)),"st","nd","rd","th"),"")</f>
        <v/>
      </c>
    </row>
    <row r="398" spans="8:14" x14ac:dyDescent="0.3">
      <c r="H398" s="384" t="str">
        <f t="shared" si="6"/>
        <v/>
      </c>
      <c r="N398" s="378" t="str">
        <f>IFERROR(COUNTIF($C$18:C398,C398)&amp;CHOOSE(MIN(4,COUNTIF($C$18:C398,C398)),"st","nd","rd","th"),"")</f>
        <v/>
      </c>
    </row>
    <row r="399" spans="8:14" x14ac:dyDescent="0.3">
      <c r="H399" s="384" t="str">
        <f t="shared" si="6"/>
        <v/>
      </c>
      <c r="N399" s="378" t="str">
        <f>IFERROR(COUNTIF($C$18:C399,C399)&amp;CHOOSE(MIN(4,COUNTIF($C$18:C399,C399)),"st","nd","rd","th"),"")</f>
        <v/>
      </c>
    </row>
    <row r="400" spans="8:14" x14ac:dyDescent="0.3">
      <c r="H400" s="384" t="str">
        <f t="shared" si="6"/>
        <v/>
      </c>
      <c r="N400" s="378" t="str">
        <f>IFERROR(COUNTIF($C$18:C400,C400)&amp;CHOOSE(MIN(4,COUNTIF($C$18:C400,C400)),"st","nd","rd","th"),"")</f>
        <v/>
      </c>
    </row>
    <row r="401" spans="8:14" x14ac:dyDescent="0.3">
      <c r="H401" s="384" t="str">
        <f t="shared" si="6"/>
        <v/>
      </c>
      <c r="N401" s="378" t="str">
        <f>IFERROR(COUNTIF($C$18:C401,C401)&amp;CHOOSE(MIN(4,COUNTIF($C$18:C401,C401)),"st","nd","rd","th"),"")</f>
        <v/>
      </c>
    </row>
    <row r="402" spans="8:14" x14ac:dyDescent="0.3">
      <c r="H402" s="384" t="str">
        <f t="shared" ref="H402:H465" si="7">IF(OR(ISBLANK(G402), ISBLANK(F402)), "", IF(G402=F402, 1, SUM(_xlfn.DAYS(G402, F402), 1)))</f>
        <v/>
      </c>
      <c r="N402" s="378" t="str">
        <f>IFERROR(COUNTIF($C$18:C402,C402)&amp;CHOOSE(MIN(4,COUNTIF($C$18:C402,C402)),"st","nd","rd","th"),"")</f>
        <v/>
      </c>
    </row>
    <row r="403" spans="8:14" x14ac:dyDescent="0.3">
      <c r="H403" s="384" t="str">
        <f t="shared" si="7"/>
        <v/>
      </c>
      <c r="N403" s="378" t="str">
        <f>IFERROR(COUNTIF($C$18:C403,C403)&amp;CHOOSE(MIN(4,COUNTIF($C$18:C403,C403)),"st","nd","rd","th"),"")</f>
        <v/>
      </c>
    </row>
    <row r="404" spans="8:14" x14ac:dyDescent="0.3">
      <c r="H404" s="384" t="str">
        <f t="shared" si="7"/>
        <v/>
      </c>
      <c r="N404" s="378" t="str">
        <f>IFERROR(COUNTIF($C$18:C404,C404)&amp;CHOOSE(MIN(4,COUNTIF($C$18:C404,C404)),"st","nd","rd","th"),"")</f>
        <v/>
      </c>
    </row>
    <row r="405" spans="8:14" x14ac:dyDescent="0.3">
      <c r="H405" s="384" t="str">
        <f t="shared" si="7"/>
        <v/>
      </c>
      <c r="N405" s="378" t="str">
        <f>IFERROR(COUNTIF($C$18:C405,C405)&amp;CHOOSE(MIN(4,COUNTIF($C$18:C405,C405)),"st","nd","rd","th"),"")</f>
        <v/>
      </c>
    </row>
    <row r="406" spans="8:14" x14ac:dyDescent="0.3">
      <c r="H406" s="384" t="str">
        <f t="shared" si="7"/>
        <v/>
      </c>
      <c r="N406" s="378" t="str">
        <f>IFERROR(COUNTIF($C$18:C406,C406)&amp;CHOOSE(MIN(4,COUNTIF($C$18:C406,C406)),"st","nd","rd","th"),"")</f>
        <v/>
      </c>
    </row>
    <row r="407" spans="8:14" x14ac:dyDescent="0.3">
      <c r="H407" s="384" t="str">
        <f t="shared" si="7"/>
        <v/>
      </c>
      <c r="N407" s="378" t="str">
        <f>IFERROR(COUNTIF($C$18:C407,C407)&amp;CHOOSE(MIN(4,COUNTIF($C$18:C407,C407)),"st","nd","rd","th"),"")</f>
        <v/>
      </c>
    </row>
    <row r="408" spans="8:14" x14ac:dyDescent="0.3">
      <c r="H408" s="384" t="str">
        <f t="shared" si="7"/>
        <v/>
      </c>
      <c r="N408" s="378" t="str">
        <f>IFERROR(COUNTIF($C$18:C408,C408)&amp;CHOOSE(MIN(4,COUNTIF($C$18:C408,C408)),"st","nd","rd","th"),"")</f>
        <v/>
      </c>
    </row>
    <row r="409" spans="8:14" x14ac:dyDescent="0.3">
      <c r="H409" s="384" t="str">
        <f t="shared" si="7"/>
        <v/>
      </c>
      <c r="N409" s="378" t="str">
        <f>IFERROR(COUNTIF($C$18:C409,C409)&amp;CHOOSE(MIN(4,COUNTIF($C$18:C409,C409)),"st","nd","rd","th"),"")</f>
        <v/>
      </c>
    </row>
    <row r="410" spans="8:14" x14ac:dyDescent="0.3">
      <c r="H410" s="384" t="str">
        <f t="shared" si="7"/>
        <v/>
      </c>
      <c r="N410" s="378" t="str">
        <f>IFERROR(COUNTIF($C$18:C410,C410)&amp;CHOOSE(MIN(4,COUNTIF($C$18:C410,C410)),"st","nd","rd","th"),"")</f>
        <v/>
      </c>
    </row>
    <row r="411" spans="8:14" x14ac:dyDescent="0.3">
      <c r="H411" s="384" t="str">
        <f t="shared" si="7"/>
        <v/>
      </c>
      <c r="N411" s="378" t="str">
        <f>IFERROR(COUNTIF($C$18:C411,C411)&amp;CHOOSE(MIN(4,COUNTIF($C$18:C411,C411)),"st","nd","rd","th"),"")</f>
        <v/>
      </c>
    </row>
    <row r="412" spans="8:14" x14ac:dyDescent="0.3">
      <c r="H412" s="384" t="str">
        <f t="shared" si="7"/>
        <v/>
      </c>
      <c r="N412" s="378" t="str">
        <f>IFERROR(COUNTIF($C$18:C412,C412)&amp;CHOOSE(MIN(4,COUNTIF($C$18:C412,C412)),"st","nd","rd","th"),"")</f>
        <v/>
      </c>
    </row>
    <row r="413" spans="8:14" x14ac:dyDescent="0.3">
      <c r="H413" s="384" t="str">
        <f t="shared" si="7"/>
        <v/>
      </c>
      <c r="N413" s="378" t="str">
        <f>IFERROR(COUNTIF($C$18:C413,C413)&amp;CHOOSE(MIN(4,COUNTIF($C$18:C413,C413)),"st","nd","rd","th"),"")</f>
        <v/>
      </c>
    </row>
    <row r="414" spans="8:14" x14ac:dyDescent="0.3">
      <c r="H414" s="384" t="str">
        <f t="shared" si="7"/>
        <v/>
      </c>
      <c r="N414" s="378" t="str">
        <f>IFERROR(COUNTIF($C$18:C414,C414)&amp;CHOOSE(MIN(4,COUNTIF($C$18:C414,C414)),"st","nd","rd","th"),"")</f>
        <v/>
      </c>
    </row>
    <row r="415" spans="8:14" x14ac:dyDescent="0.3">
      <c r="H415" s="384" t="str">
        <f t="shared" si="7"/>
        <v/>
      </c>
      <c r="N415" s="378" t="str">
        <f>IFERROR(COUNTIF($C$18:C415,C415)&amp;CHOOSE(MIN(4,COUNTIF($C$18:C415,C415)),"st","nd","rd","th"),"")</f>
        <v/>
      </c>
    </row>
    <row r="416" spans="8:14" x14ac:dyDescent="0.3">
      <c r="H416" s="384" t="str">
        <f t="shared" si="7"/>
        <v/>
      </c>
      <c r="N416" s="378" t="str">
        <f>IFERROR(COUNTIF($C$18:C416,C416)&amp;CHOOSE(MIN(4,COUNTIF($C$18:C416,C416)),"st","nd","rd","th"),"")</f>
        <v/>
      </c>
    </row>
    <row r="417" spans="8:14" x14ac:dyDescent="0.3">
      <c r="H417" s="384" t="str">
        <f t="shared" si="7"/>
        <v/>
      </c>
      <c r="N417" s="378" t="str">
        <f>IFERROR(COUNTIF($C$18:C417,C417)&amp;CHOOSE(MIN(4,COUNTIF($C$18:C417,C417)),"st","nd","rd","th"),"")</f>
        <v/>
      </c>
    </row>
    <row r="418" spans="8:14" x14ac:dyDescent="0.3">
      <c r="H418" s="384" t="str">
        <f t="shared" si="7"/>
        <v/>
      </c>
      <c r="N418" s="378" t="str">
        <f>IFERROR(COUNTIF($C$18:C418,C418)&amp;CHOOSE(MIN(4,COUNTIF($C$18:C418,C418)),"st","nd","rd","th"),"")</f>
        <v/>
      </c>
    </row>
    <row r="419" spans="8:14" x14ac:dyDescent="0.3">
      <c r="H419" s="384" t="str">
        <f t="shared" si="7"/>
        <v/>
      </c>
      <c r="N419" s="378" t="str">
        <f>IFERROR(COUNTIF($C$18:C419,C419)&amp;CHOOSE(MIN(4,COUNTIF($C$18:C419,C419)),"st","nd","rd","th"),"")</f>
        <v/>
      </c>
    </row>
    <row r="420" spans="8:14" x14ac:dyDescent="0.3">
      <c r="H420" s="384" t="str">
        <f t="shared" si="7"/>
        <v/>
      </c>
      <c r="N420" s="378" t="str">
        <f>IFERROR(COUNTIF($C$18:C420,C420)&amp;CHOOSE(MIN(4,COUNTIF($C$18:C420,C420)),"st","nd","rd","th"),"")</f>
        <v/>
      </c>
    </row>
    <row r="421" spans="8:14" x14ac:dyDescent="0.3">
      <c r="H421" s="384" t="str">
        <f t="shared" si="7"/>
        <v/>
      </c>
      <c r="N421" s="378" t="str">
        <f>IFERROR(COUNTIF($C$18:C421,C421)&amp;CHOOSE(MIN(4,COUNTIF($C$18:C421,C421)),"st","nd","rd","th"),"")</f>
        <v/>
      </c>
    </row>
    <row r="422" spans="8:14" x14ac:dyDescent="0.3">
      <c r="H422" s="384" t="str">
        <f t="shared" si="7"/>
        <v/>
      </c>
      <c r="N422" s="378" t="str">
        <f>IFERROR(COUNTIF($C$18:C422,C422)&amp;CHOOSE(MIN(4,COUNTIF($C$18:C422,C422)),"st","nd","rd","th"),"")</f>
        <v/>
      </c>
    </row>
    <row r="423" spans="8:14" x14ac:dyDescent="0.3">
      <c r="H423" s="384" t="str">
        <f t="shared" si="7"/>
        <v/>
      </c>
      <c r="N423" s="378" t="str">
        <f>IFERROR(COUNTIF($C$18:C423,C423)&amp;CHOOSE(MIN(4,COUNTIF($C$18:C423,C423)),"st","nd","rd","th"),"")</f>
        <v/>
      </c>
    </row>
    <row r="424" spans="8:14" x14ac:dyDescent="0.3">
      <c r="H424" s="384" t="str">
        <f t="shared" si="7"/>
        <v/>
      </c>
      <c r="N424" s="378" t="str">
        <f>IFERROR(COUNTIF($C$18:C424,C424)&amp;CHOOSE(MIN(4,COUNTIF($C$18:C424,C424)),"st","nd","rd","th"),"")</f>
        <v/>
      </c>
    </row>
    <row r="425" spans="8:14" x14ac:dyDescent="0.3">
      <c r="H425" s="384" t="str">
        <f t="shared" si="7"/>
        <v/>
      </c>
      <c r="N425" s="378" t="str">
        <f>IFERROR(COUNTIF($C$18:C425,C425)&amp;CHOOSE(MIN(4,COUNTIF($C$18:C425,C425)),"st","nd","rd","th"),"")</f>
        <v/>
      </c>
    </row>
    <row r="426" spans="8:14" x14ac:dyDescent="0.3">
      <c r="H426" s="384" t="str">
        <f t="shared" si="7"/>
        <v/>
      </c>
      <c r="N426" s="378" t="str">
        <f>IFERROR(COUNTIF($C$18:C426,C426)&amp;CHOOSE(MIN(4,COUNTIF($C$18:C426,C426)),"st","nd","rd","th"),"")</f>
        <v/>
      </c>
    </row>
    <row r="427" spans="8:14" x14ac:dyDescent="0.3">
      <c r="H427" s="384" t="str">
        <f t="shared" si="7"/>
        <v/>
      </c>
      <c r="N427" s="378" t="str">
        <f>IFERROR(COUNTIF($C$18:C427,C427)&amp;CHOOSE(MIN(4,COUNTIF($C$18:C427,C427)),"st","nd","rd","th"),"")</f>
        <v/>
      </c>
    </row>
    <row r="428" spans="8:14" x14ac:dyDescent="0.3">
      <c r="H428" s="384" t="str">
        <f t="shared" si="7"/>
        <v/>
      </c>
      <c r="N428" s="378" t="str">
        <f>IFERROR(COUNTIF($C$18:C428,C428)&amp;CHOOSE(MIN(4,COUNTIF($C$18:C428,C428)),"st","nd","rd","th"),"")</f>
        <v/>
      </c>
    </row>
    <row r="429" spans="8:14" x14ac:dyDescent="0.3">
      <c r="H429" s="384" t="str">
        <f t="shared" si="7"/>
        <v/>
      </c>
      <c r="N429" s="378" t="str">
        <f>IFERROR(COUNTIF($C$18:C429,C429)&amp;CHOOSE(MIN(4,COUNTIF($C$18:C429,C429)),"st","nd","rd","th"),"")</f>
        <v/>
      </c>
    </row>
    <row r="430" spans="8:14" x14ac:dyDescent="0.3">
      <c r="H430" s="384" t="str">
        <f t="shared" si="7"/>
        <v/>
      </c>
      <c r="N430" s="378" t="str">
        <f>IFERROR(COUNTIF($C$18:C430,C430)&amp;CHOOSE(MIN(4,COUNTIF($C$18:C430,C430)),"st","nd","rd","th"),"")</f>
        <v/>
      </c>
    </row>
    <row r="431" spans="8:14" x14ac:dyDescent="0.3">
      <c r="H431" s="384" t="str">
        <f t="shared" si="7"/>
        <v/>
      </c>
      <c r="N431" s="378" t="str">
        <f>IFERROR(COUNTIF($C$18:C431,C431)&amp;CHOOSE(MIN(4,COUNTIF($C$18:C431,C431)),"st","nd","rd","th"),"")</f>
        <v/>
      </c>
    </row>
    <row r="432" spans="8:14" x14ac:dyDescent="0.3">
      <c r="H432" s="384" t="str">
        <f t="shared" si="7"/>
        <v/>
      </c>
      <c r="N432" s="378" t="str">
        <f>IFERROR(COUNTIF($C$18:C432,C432)&amp;CHOOSE(MIN(4,COUNTIF($C$18:C432,C432)),"st","nd","rd","th"),"")</f>
        <v/>
      </c>
    </row>
    <row r="433" spans="8:14" x14ac:dyDescent="0.3">
      <c r="H433" s="384" t="str">
        <f t="shared" si="7"/>
        <v/>
      </c>
      <c r="N433" s="378" t="str">
        <f>IFERROR(COUNTIF($C$18:C433,C433)&amp;CHOOSE(MIN(4,COUNTIF($C$18:C433,C433)),"st","nd","rd","th"),"")</f>
        <v/>
      </c>
    </row>
    <row r="434" spans="8:14" x14ac:dyDescent="0.3">
      <c r="H434" s="384" t="str">
        <f t="shared" si="7"/>
        <v/>
      </c>
      <c r="N434" s="378" t="str">
        <f>IFERROR(COUNTIF($C$18:C434,C434)&amp;CHOOSE(MIN(4,COUNTIF($C$18:C434,C434)),"st","nd","rd","th"),"")</f>
        <v/>
      </c>
    </row>
    <row r="435" spans="8:14" x14ac:dyDescent="0.3">
      <c r="H435" s="384" t="str">
        <f t="shared" si="7"/>
        <v/>
      </c>
      <c r="N435" s="378" t="str">
        <f>IFERROR(COUNTIF($C$18:C435,C435)&amp;CHOOSE(MIN(4,COUNTIF($C$18:C435,C435)),"st","nd","rd","th"),"")</f>
        <v/>
      </c>
    </row>
    <row r="436" spans="8:14" x14ac:dyDescent="0.3">
      <c r="H436" s="384" t="str">
        <f t="shared" si="7"/>
        <v/>
      </c>
      <c r="N436" s="378" t="str">
        <f>IFERROR(COUNTIF($C$18:C436,C436)&amp;CHOOSE(MIN(4,COUNTIF($C$18:C436,C436)),"st","nd","rd","th"),"")</f>
        <v/>
      </c>
    </row>
    <row r="437" spans="8:14" x14ac:dyDescent="0.3">
      <c r="H437" s="384" t="str">
        <f t="shared" si="7"/>
        <v/>
      </c>
      <c r="N437" s="378" t="str">
        <f>IFERROR(COUNTIF($C$18:C437,C437)&amp;CHOOSE(MIN(4,COUNTIF($C$18:C437,C437)),"st","nd","rd","th"),"")</f>
        <v/>
      </c>
    </row>
    <row r="438" spans="8:14" x14ac:dyDescent="0.3">
      <c r="H438" s="384" t="str">
        <f t="shared" si="7"/>
        <v/>
      </c>
      <c r="N438" s="378" t="str">
        <f>IFERROR(COUNTIF($C$18:C438,C438)&amp;CHOOSE(MIN(4,COUNTIF($C$18:C438,C438)),"st","nd","rd","th"),"")</f>
        <v/>
      </c>
    </row>
    <row r="439" spans="8:14" x14ac:dyDescent="0.3">
      <c r="H439" s="384" t="str">
        <f t="shared" si="7"/>
        <v/>
      </c>
      <c r="N439" s="378" t="str">
        <f>IFERROR(COUNTIF($C$18:C439,C439)&amp;CHOOSE(MIN(4,COUNTIF($C$18:C439,C439)),"st","nd","rd","th"),"")</f>
        <v/>
      </c>
    </row>
    <row r="440" spans="8:14" x14ac:dyDescent="0.3">
      <c r="H440" s="384" t="str">
        <f t="shared" si="7"/>
        <v/>
      </c>
      <c r="N440" s="378" t="str">
        <f>IFERROR(COUNTIF($C$18:C440,C440)&amp;CHOOSE(MIN(4,COUNTIF($C$18:C440,C440)),"st","nd","rd","th"),"")</f>
        <v/>
      </c>
    </row>
    <row r="441" spans="8:14" x14ac:dyDescent="0.3">
      <c r="H441" s="384" t="str">
        <f t="shared" si="7"/>
        <v/>
      </c>
      <c r="N441" s="378" t="str">
        <f>IFERROR(COUNTIF($C$18:C441,C441)&amp;CHOOSE(MIN(4,COUNTIF($C$18:C441,C441)),"st","nd","rd","th"),"")</f>
        <v/>
      </c>
    </row>
    <row r="442" spans="8:14" x14ac:dyDescent="0.3">
      <c r="H442" s="384" t="str">
        <f t="shared" si="7"/>
        <v/>
      </c>
      <c r="N442" s="378" t="str">
        <f>IFERROR(COUNTIF($C$18:C442,C442)&amp;CHOOSE(MIN(4,COUNTIF($C$18:C442,C442)),"st","nd","rd","th"),"")</f>
        <v/>
      </c>
    </row>
    <row r="443" spans="8:14" x14ac:dyDescent="0.3">
      <c r="H443" s="384" t="str">
        <f t="shared" si="7"/>
        <v/>
      </c>
      <c r="N443" s="378" t="str">
        <f>IFERROR(COUNTIF($C$18:C443,C443)&amp;CHOOSE(MIN(4,COUNTIF($C$18:C443,C443)),"st","nd","rd","th"),"")</f>
        <v/>
      </c>
    </row>
    <row r="444" spans="8:14" x14ac:dyDescent="0.3">
      <c r="H444" s="384" t="str">
        <f t="shared" si="7"/>
        <v/>
      </c>
      <c r="N444" s="378" t="str">
        <f>IFERROR(COUNTIF($C$18:C444,C444)&amp;CHOOSE(MIN(4,COUNTIF($C$18:C444,C444)),"st","nd","rd","th"),"")</f>
        <v/>
      </c>
    </row>
    <row r="445" spans="8:14" x14ac:dyDescent="0.3">
      <c r="H445" s="384" t="str">
        <f t="shared" si="7"/>
        <v/>
      </c>
      <c r="N445" s="378" t="str">
        <f>IFERROR(COUNTIF($C$18:C445,C445)&amp;CHOOSE(MIN(4,COUNTIF($C$18:C445,C445)),"st","nd","rd","th"),"")</f>
        <v/>
      </c>
    </row>
    <row r="446" spans="8:14" x14ac:dyDescent="0.3">
      <c r="H446" s="384" t="str">
        <f t="shared" si="7"/>
        <v/>
      </c>
      <c r="N446" s="378" t="str">
        <f>IFERROR(COUNTIF($C$18:C446,C446)&amp;CHOOSE(MIN(4,COUNTIF($C$18:C446,C446)),"st","nd","rd","th"),"")</f>
        <v/>
      </c>
    </row>
    <row r="447" spans="8:14" x14ac:dyDescent="0.3">
      <c r="H447" s="384" t="str">
        <f t="shared" si="7"/>
        <v/>
      </c>
      <c r="N447" s="378" t="str">
        <f>IFERROR(COUNTIF($C$18:C447,C447)&amp;CHOOSE(MIN(4,COUNTIF($C$18:C447,C447)),"st","nd","rd","th"),"")</f>
        <v/>
      </c>
    </row>
    <row r="448" spans="8:14" x14ac:dyDescent="0.3">
      <c r="H448" s="384" t="str">
        <f t="shared" si="7"/>
        <v/>
      </c>
      <c r="N448" s="378" t="str">
        <f>IFERROR(COUNTIF($C$18:C448,C448)&amp;CHOOSE(MIN(4,COUNTIF($C$18:C448,C448)),"st","nd","rd","th"),"")</f>
        <v/>
      </c>
    </row>
    <row r="449" spans="8:14" x14ac:dyDescent="0.3">
      <c r="H449" s="384" t="str">
        <f t="shared" si="7"/>
        <v/>
      </c>
      <c r="N449" s="378" t="str">
        <f>IFERROR(COUNTIF($C$18:C449,C449)&amp;CHOOSE(MIN(4,COUNTIF($C$18:C449,C449)),"st","nd","rd","th"),"")</f>
        <v/>
      </c>
    </row>
    <row r="450" spans="8:14" x14ac:dyDescent="0.3">
      <c r="H450" s="384" t="str">
        <f t="shared" si="7"/>
        <v/>
      </c>
      <c r="N450" s="378" t="str">
        <f>IFERROR(COUNTIF($C$18:C450,C450)&amp;CHOOSE(MIN(4,COUNTIF($C$18:C450,C450)),"st","nd","rd","th"),"")</f>
        <v/>
      </c>
    </row>
    <row r="451" spans="8:14" x14ac:dyDescent="0.3">
      <c r="H451" s="384" t="str">
        <f t="shared" si="7"/>
        <v/>
      </c>
      <c r="N451" s="378" t="str">
        <f>IFERROR(COUNTIF($C$18:C451,C451)&amp;CHOOSE(MIN(4,COUNTIF($C$18:C451,C451)),"st","nd","rd","th"),"")</f>
        <v/>
      </c>
    </row>
    <row r="452" spans="8:14" x14ac:dyDescent="0.3">
      <c r="H452" s="384" t="str">
        <f t="shared" si="7"/>
        <v/>
      </c>
      <c r="N452" s="378" t="str">
        <f>IFERROR(COUNTIF($C$18:C452,C452)&amp;CHOOSE(MIN(4,COUNTIF($C$18:C452,C452)),"st","nd","rd","th"),"")</f>
        <v/>
      </c>
    </row>
    <row r="453" spans="8:14" x14ac:dyDescent="0.3">
      <c r="H453" s="384" t="str">
        <f t="shared" si="7"/>
        <v/>
      </c>
      <c r="N453" s="378" t="str">
        <f>IFERROR(COUNTIF($C$18:C453,C453)&amp;CHOOSE(MIN(4,COUNTIF($C$18:C453,C453)),"st","nd","rd","th"),"")</f>
        <v/>
      </c>
    </row>
    <row r="454" spans="8:14" x14ac:dyDescent="0.3">
      <c r="H454" s="384" t="str">
        <f t="shared" si="7"/>
        <v/>
      </c>
      <c r="N454" s="378" t="str">
        <f>IFERROR(COUNTIF($C$18:C454,C454)&amp;CHOOSE(MIN(4,COUNTIF($C$18:C454,C454)),"st","nd","rd","th"),"")</f>
        <v/>
      </c>
    </row>
    <row r="455" spans="8:14" x14ac:dyDescent="0.3">
      <c r="H455" s="384" t="str">
        <f t="shared" si="7"/>
        <v/>
      </c>
      <c r="N455" s="378" t="str">
        <f>IFERROR(COUNTIF($C$18:C455,C455)&amp;CHOOSE(MIN(4,COUNTIF($C$18:C455,C455)),"st","nd","rd","th"),"")</f>
        <v/>
      </c>
    </row>
    <row r="456" spans="8:14" x14ac:dyDescent="0.3">
      <c r="H456" s="384" t="str">
        <f t="shared" si="7"/>
        <v/>
      </c>
      <c r="N456" s="378" t="str">
        <f>IFERROR(COUNTIF($C$18:C456,C456)&amp;CHOOSE(MIN(4,COUNTIF($C$18:C456,C456)),"st","nd","rd","th"),"")</f>
        <v/>
      </c>
    </row>
    <row r="457" spans="8:14" x14ac:dyDescent="0.3">
      <c r="H457" s="384" t="str">
        <f t="shared" si="7"/>
        <v/>
      </c>
      <c r="N457" s="378" t="str">
        <f>IFERROR(COUNTIF($C$18:C457,C457)&amp;CHOOSE(MIN(4,COUNTIF($C$18:C457,C457)),"st","nd","rd","th"),"")</f>
        <v/>
      </c>
    </row>
    <row r="458" spans="8:14" x14ac:dyDescent="0.3">
      <c r="H458" s="384" t="str">
        <f t="shared" si="7"/>
        <v/>
      </c>
      <c r="N458" s="378" t="str">
        <f>IFERROR(COUNTIF($C$18:C458,C458)&amp;CHOOSE(MIN(4,COUNTIF($C$18:C458,C458)),"st","nd","rd","th"),"")</f>
        <v/>
      </c>
    </row>
    <row r="459" spans="8:14" x14ac:dyDescent="0.3">
      <c r="H459" s="384" t="str">
        <f t="shared" si="7"/>
        <v/>
      </c>
      <c r="N459" s="378" t="str">
        <f>IFERROR(COUNTIF($C$18:C459,C459)&amp;CHOOSE(MIN(4,COUNTIF($C$18:C459,C459)),"st","nd","rd","th"),"")</f>
        <v/>
      </c>
    </row>
    <row r="460" spans="8:14" x14ac:dyDescent="0.3">
      <c r="H460" s="384" t="str">
        <f t="shared" si="7"/>
        <v/>
      </c>
      <c r="N460" s="378" t="str">
        <f>IFERROR(COUNTIF($C$18:C460,C460)&amp;CHOOSE(MIN(4,COUNTIF($C$18:C460,C460)),"st","nd","rd","th"),"")</f>
        <v/>
      </c>
    </row>
    <row r="461" spans="8:14" x14ac:dyDescent="0.3">
      <c r="H461" s="384" t="str">
        <f t="shared" si="7"/>
        <v/>
      </c>
      <c r="N461" s="378" t="str">
        <f>IFERROR(COUNTIF($C$18:C461,C461)&amp;CHOOSE(MIN(4,COUNTIF($C$18:C461,C461)),"st","nd","rd","th"),"")</f>
        <v/>
      </c>
    </row>
    <row r="462" spans="8:14" x14ac:dyDescent="0.3">
      <c r="H462" s="384" t="str">
        <f t="shared" si="7"/>
        <v/>
      </c>
      <c r="N462" s="378" t="str">
        <f>IFERROR(COUNTIF($C$18:C462,C462)&amp;CHOOSE(MIN(4,COUNTIF($C$18:C462,C462)),"st","nd","rd","th"),"")</f>
        <v/>
      </c>
    </row>
    <row r="463" spans="8:14" x14ac:dyDescent="0.3">
      <c r="H463" s="384" t="str">
        <f t="shared" si="7"/>
        <v/>
      </c>
      <c r="N463" s="378" t="str">
        <f>IFERROR(COUNTIF($C$18:C463,C463)&amp;CHOOSE(MIN(4,COUNTIF($C$18:C463,C463)),"st","nd","rd","th"),"")</f>
        <v/>
      </c>
    </row>
    <row r="464" spans="8:14" x14ac:dyDescent="0.3">
      <c r="H464" s="384" t="str">
        <f t="shared" si="7"/>
        <v/>
      </c>
      <c r="N464" s="378" t="str">
        <f>IFERROR(COUNTIF($C$18:C464,C464)&amp;CHOOSE(MIN(4,COUNTIF($C$18:C464,C464)),"st","nd","rd","th"),"")</f>
        <v/>
      </c>
    </row>
    <row r="465" spans="8:14" x14ac:dyDescent="0.3">
      <c r="H465" s="384" t="str">
        <f t="shared" si="7"/>
        <v/>
      </c>
      <c r="N465" s="378" t="str">
        <f>IFERROR(COUNTIF($C$18:C465,C465)&amp;CHOOSE(MIN(4,COUNTIF($C$18:C465,C465)),"st","nd","rd","th"),"")</f>
        <v/>
      </c>
    </row>
    <row r="466" spans="8:14" x14ac:dyDescent="0.3">
      <c r="H466" s="384" t="str">
        <f t="shared" ref="H466:H529" si="8">IF(OR(ISBLANK(G466), ISBLANK(F466)), "", IF(G466=F466, 1, SUM(_xlfn.DAYS(G466, F466), 1)))</f>
        <v/>
      </c>
      <c r="N466" s="378" t="str">
        <f>IFERROR(COUNTIF($C$18:C466,C466)&amp;CHOOSE(MIN(4,COUNTIF($C$18:C466,C466)),"st","nd","rd","th"),"")</f>
        <v/>
      </c>
    </row>
    <row r="467" spans="8:14" x14ac:dyDescent="0.3">
      <c r="H467" s="384" t="str">
        <f t="shared" si="8"/>
        <v/>
      </c>
      <c r="N467" s="378" t="str">
        <f>IFERROR(COUNTIF($C$18:C467,C467)&amp;CHOOSE(MIN(4,COUNTIF($C$18:C467,C467)),"st","nd","rd","th"),"")</f>
        <v/>
      </c>
    </row>
    <row r="468" spans="8:14" x14ac:dyDescent="0.3">
      <c r="H468" s="384" t="str">
        <f t="shared" si="8"/>
        <v/>
      </c>
      <c r="N468" s="378" t="str">
        <f>IFERROR(COUNTIF($C$18:C468,C468)&amp;CHOOSE(MIN(4,COUNTIF($C$18:C468,C468)),"st","nd","rd","th"),"")</f>
        <v/>
      </c>
    </row>
    <row r="469" spans="8:14" x14ac:dyDescent="0.3">
      <c r="H469" s="384" t="str">
        <f t="shared" si="8"/>
        <v/>
      </c>
      <c r="N469" s="378" t="str">
        <f>IFERROR(COUNTIF($C$18:C469,C469)&amp;CHOOSE(MIN(4,COUNTIF($C$18:C469,C469)),"st","nd","rd","th"),"")</f>
        <v/>
      </c>
    </row>
    <row r="470" spans="8:14" x14ac:dyDescent="0.3">
      <c r="H470" s="384" t="str">
        <f t="shared" si="8"/>
        <v/>
      </c>
      <c r="N470" s="378" t="str">
        <f>IFERROR(COUNTIF($C$18:C470,C470)&amp;CHOOSE(MIN(4,COUNTIF($C$18:C470,C470)),"st","nd","rd","th"),"")</f>
        <v/>
      </c>
    </row>
    <row r="471" spans="8:14" x14ac:dyDescent="0.3">
      <c r="H471" s="384" t="str">
        <f t="shared" si="8"/>
        <v/>
      </c>
      <c r="N471" s="378" t="str">
        <f>IFERROR(COUNTIF($C$18:C471,C471)&amp;CHOOSE(MIN(4,COUNTIF($C$18:C471,C471)),"st","nd","rd","th"),"")</f>
        <v/>
      </c>
    </row>
    <row r="472" spans="8:14" x14ac:dyDescent="0.3">
      <c r="H472" s="384" t="str">
        <f t="shared" si="8"/>
        <v/>
      </c>
      <c r="N472" s="378" t="str">
        <f>IFERROR(COUNTIF($C$18:C472,C472)&amp;CHOOSE(MIN(4,COUNTIF($C$18:C472,C472)),"st","nd","rd","th"),"")</f>
        <v/>
      </c>
    </row>
    <row r="473" spans="8:14" x14ac:dyDescent="0.3">
      <c r="H473" s="384" t="str">
        <f t="shared" si="8"/>
        <v/>
      </c>
      <c r="N473" s="378" t="str">
        <f>IFERROR(COUNTIF($C$18:C473,C473)&amp;CHOOSE(MIN(4,COUNTIF($C$18:C473,C473)),"st","nd","rd","th"),"")</f>
        <v/>
      </c>
    </row>
    <row r="474" spans="8:14" x14ac:dyDescent="0.3">
      <c r="H474" s="384" t="str">
        <f t="shared" si="8"/>
        <v/>
      </c>
      <c r="N474" s="378" t="str">
        <f>IFERROR(COUNTIF($C$18:C474,C474)&amp;CHOOSE(MIN(4,COUNTIF($C$18:C474,C474)),"st","nd","rd","th"),"")</f>
        <v/>
      </c>
    </row>
    <row r="475" spans="8:14" x14ac:dyDescent="0.3">
      <c r="H475" s="384" t="str">
        <f t="shared" si="8"/>
        <v/>
      </c>
      <c r="N475" s="378" t="str">
        <f>IFERROR(COUNTIF($C$18:C475,C475)&amp;CHOOSE(MIN(4,COUNTIF($C$18:C475,C475)),"st","nd","rd","th"),"")</f>
        <v/>
      </c>
    </row>
    <row r="476" spans="8:14" x14ac:dyDescent="0.3">
      <c r="H476" s="384" t="str">
        <f t="shared" si="8"/>
        <v/>
      </c>
      <c r="N476" s="378" t="str">
        <f>IFERROR(COUNTIF($C$18:C476,C476)&amp;CHOOSE(MIN(4,COUNTIF($C$18:C476,C476)),"st","nd","rd","th"),"")</f>
        <v/>
      </c>
    </row>
    <row r="477" spans="8:14" x14ac:dyDescent="0.3">
      <c r="H477" s="384" t="str">
        <f t="shared" si="8"/>
        <v/>
      </c>
      <c r="N477" s="378" t="str">
        <f>IFERROR(COUNTIF($C$18:C477,C477)&amp;CHOOSE(MIN(4,COUNTIF($C$18:C477,C477)),"st","nd","rd","th"),"")</f>
        <v/>
      </c>
    </row>
    <row r="478" spans="8:14" x14ac:dyDescent="0.3">
      <c r="H478" s="384" t="str">
        <f t="shared" si="8"/>
        <v/>
      </c>
      <c r="N478" s="378" t="str">
        <f>IFERROR(COUNTIF($C$18:C478,C478)&amp;CHOOSE(MIN(4,COUNTIF($C$18:C478,C478)),"st","nd","rd","th"),"")</f>
        <v/>
      </c>
    </row>
    <row r="479" spans="8:14" x14ac:dyDescent="0.3">
      <c r="H479" s="384" t="str">
        <f t="shared" si="8"/>
        <v/>
      </c>
      <c r="N479" s="378" t="str">
        <f>IFERROR(COUNTIF($C$18:C479,C479)&amp;CHOOSE(MIN(4,COUNTIF($C$18:C479,C479)),"st","nd","rd","th"),"")</f>
        <v/>
      </c>
    </row>
    <row r="480" spans="8:14" x14ac:dyDescent="0.3">
      <c r="H480" s="384" t="str">
        <f t="shared" si="8"/>
        <v/>
      </c>
      <c r="N480" s="378" t="str">
        <f>IFERROR(COUNTIF($C$18:C480,C480)&amp;CHOOSE(MIN(4,COUNTIF($C$18:C480,C480)),"st","nd","rd","th"),"")</f>
        <v/>
      </c>
    </row>
    <row r="481" spans="8:14" x14ac:dyDescent="0.3">
      <c r="H481" s="384" t="str">
        <f t="shared" si="8"/>
        <v/>
      </c>
      <c r="N481" s="378" t="str">
        <f>IFERROR(COUNTIF($C$18:C481,C481)&amp;CHOOSE(MIN(4,COUNTIF($C$18:C481,C481)),"st","nd","rd","th"),"")</f>
        <v/>
      </c>
    </row>
    <row r="482" spans="8:14" x14ac:dyDescent="0.3">
      <c r="H482" s="384" t="str">
        <f t="shared" si="8"/>
        <v/>
      </c>
      <c r="N482" s="378" t="str">
        <f>IFERROR(COUNTIF($C$18:C482,C482)&amp;CHOOSE(MIN(4,COUNTIF($C$18:C482,C482)),"st","nd","rd","th"),"")</f>
        <v/>
      </c>
    </row>
    <row r="483" spans="8:14" x14ac:dyDescent="0.3">
      <c r="H483" s="384" t="str">
        <f t="shared" si="8"/>
        <v/>
      </c>
      <c r="N483" s="378" t="str">
        <f>IFERROR(COUNTIF($C$18:C483,C483)&amp;CHOOSE(MIN(4,COUNTIF($C$18:C483,C483)),"st","nd","rd","th"),"")</f>
        <v/>
      </c>
    </row>
    <row r="484" spans="8:14" x14ac:dyDescent="0.3">
      <c r="H484" s="384" t="str">
        <f t="shared" si="8"/>
        <v/>
      </c>
      <c r="N484" s="378" t="str">
        <f>IFERROR(COUNTIF($C$18:C484,C484)&amp;CHOOSE(MIN(4,COUNTIF($C$18:C484,C484)),"st","nd","rd","th"),"")</f>
        <v/>
      </c>
    </row>
    <row r="485" spans="8:14" x14ac:dyDescent="0.3">
      <c r="H485" s="384" t="str">
        <f t="shared" si="8"/>
        <v/>
      </c>
      <c r="N485" s="378" t="str">
        <f>IFERROR(COUNTIF($C$18:C485,C485)&amp;CHOOSE(MIN(4,COUNTIF($C$18:C485,C485)),"st","nd","rd","th"),"")</f>
        <v/>
      </c>
    </row>
    <row r="486" spans="8:14" x14ac:dyDescent="0.3">
      <c r="H486" s="384" t="str">
        <f t="shared" si="8"/>
        <v/>
      </c>
      <c r="N486" s="378" t="str">
        <f>IFERROR(COUNTIF($C$18:C486,C486)&amp;CHOOSE(MIN(4,COUNTIF($C$18:C486,C486)),"st","nd","rd","th"),"")</f>
        <v/>
      </c>
    </row>
    <row r="487" spans="8:14" x14ac:dyDescent="0.3">
      <c r="H487" s="384" t="str">
        <f t="shared" si="8"/>
        <v/>
      </c>
      <c r="N487" s="378" t="str">
        <f>IFERROR(COUNTIF($C$18:C487,C487)&amp;CHOOSE(MIN(4,COUNTIF($C$18:C487,C487)),"st","nd","rd","th"),"")</f>
        <v/>
      </c>
    </row>
    <row r="488" spans="8:14" x14ac:dyDescent="0.3">
      <c r="H488" s="384" t="str">
        <f t="shared" si="8"/>
        <v/>
      </c>
      <c r="N488" s="378" t="str">
        <f>IFERROR(COUNTIF($C$18:C488,C488)&amp;CHOOSE(MIN(4,COUNTIF($C$18:C488,C488)),"st","nd","rd","th"),"")</f>
        <v/>
      </c>
    </row>
    <row r="489" spans="8:14" x14ac:dyDescent="0.3">
      <c r="H489" s="384" t="str">
        <f t="shared" si="8"/>
        <v/>
      </c>
      <c r="N489" s="378" t="str">
        <f>IFERROR(COUNTIF($C$18:C489,C489)&amp;CHOOSE(MIN(4,COUNTIF($C$18:C489,C489)),"st","nd","rd","th"),"")</f>
        <v/>
      </c>
    </row>
    <row r="490" spans="8:14" x14ac:dyDescent="0.3">
      <c r="H490" s="384" t="str">
        <f t="shared" si="8"/>
        <v/>
      </c>
      <c r="N490" s="378" t="str">
        <f>IFERROR(COUNTIF($C$18:C490,C490)&amp;CHOOSE(MIN(4,COUNTIF($C$18:C490,C490)),"st","nd","rd","th"),"")</f>
        <v/>
      </c>
    </row>
    <row r="491" spans="8:14" x14ac:dyDescent="0.3">
      <c r="H491" s="384" t="str">
        <f t="shared" si="8"/>
        <v/>
      </c>
      <c r="N491" s="378" t="str">
        <f>IFERROR(COUNTIF($C$18:C491,C491)&amp;CHOOSE(MIN(4,COUNTIF($C$18:C491,C491)),"st","nd","rd","th"),"")</f>
        <v/>
      </c>
    </row>
    <row r="492" spans="8:14" x14ac:dyDescent="0.3">
      <c r="H492" s="384" t="str">
        <f t="shared" si="8"/>
        <v/>
      </c>
      <c r="N492" s="378" t="str">
        <f>IFERROR(COUNTIF($C$18:C492,C492)&amp;CHOOSE(MIN(4,COUNTIF($C$18:C492,C492)),"st","nd","rd","th"),"")</f>
        <v/>
      </c>
    </row>
    <row r="493" spans="8:14" x14ac:dyDescent="0.3">
      <c r="H493" s="384" t="str">
        <f t="shared" si="8"/>
        <v/>
      </c>
      <c r="N493" s="378" t="str">
        <f>IFERROR(COUNTIF($C$18:C493,C493)&amp;CHOOSE(MIN(4,COUNTIF($C$18:C493,C493)),"st","nd","rd","th"),"")</f>
        <v/>
      </c>
    </row>
    <row r="494" spans="8:14" x14ac:dyDescent="0.3">
      <c r="H494" s="384" t="str">
        <f t="shared" si="8"/>
        <v/>
      </c>
      <c r="N494" s="378" t="str">
        <f>IFERROR(COUNTIF($C$18:C494,C494)&amp;CHOOSE(MIN(4,COUNTIF($C$18:C494,C494)),"st","nd","rd","th"),"")</f>
        <v/>
      </c>
    </row>
    <row r="495" spans="8:14" x14ac:dyDescent="0.3">
      <c r="H495" s="384" t="str">
        <f t="shared" si="8"/>
        <v/>
      </c>
      <c r="N495" s="378" t="str">
        <f>IFERROR(COUNTIF($C$18:C495,C495)&amp;CHOOSE(MIN(4,COUNTIF($C$18:C495,C495)),"st","nd","rd","th"),"")</f>
        <v/>
      </c>
    </row>
    <row r="496" spans="8:14" x14ac:dyDescent="0.3">
      <c r="H496" s="384" t="str">
        <f t="shared" si="8"/>
        <v/>
      </c>
      <c r="N496" s="378" t="str">
        <f>IFERROR(COUNTIF($C$18:C496,C496)&amp;CHOOSE(MIN(4,COUNTIF($C$18:C496,C496)),"st","nd","rd","th"),"")</f>
        <v/>
      </c>
    </row>
    <row r="497" spans="8:14" x14ac:dyDescent="0.3">
      <c r="H497" s="384" t="str">
        <f t="shared" si="8"/>
        <v/>
      </c>
      <c r="N497" s="378" t="str">
        <f>IFERROR(COUNTIF($C$18:C497,C497)&amp;CHOOSE(MIN(4,COUNTIF($C$18:C497,C497)),"st","nd","rd","th"),"")</f>
        <v/>
      </c>
    </row>
    <row r="498" spans="8:14" x14ac:dyDescent="0.3">
      <c r="H498" s="384" t="str">
        <f t="shared" si="8"/>
        <v/>
      </c>
      <c r="N498" s="378" t="str">
        <f>IFERROR(COUNTIF($C$18:C498,C498)&amp;CHOOSE(MIN(4,COUNTIF($C$18:C498,C498)),"st","nd","rd","th"),"")</f>
        <v/>
      </c>
    </row>
    <row r="499" spans="8:14" x14ac:dyDescent="0.3">
      <c r="H499" s="384" t="str">
        <f t="shared" si="8"/>
        <v/>
      </c>
      <c r="N499" s="378" t="str">
        <f>IFERROR(COUNTIF($C$18:C499,C499)&amp;CHOOSE(MIN(4,COUNTIF($C$18:C499,C499)),"st","nd","rd","th"),"")</f>
        <v/>
      </c>
    </row>
    <row r="500" spans="8:14" x14ac:dyDescent="0.3">
      <c r="H500" s="384" t="str">
        <f t="shared" si="8"/>
        <v/>
      </c>
      <c r="N500" s="378" t="str">
        <f>IFERROR(COUNTIF($C$18:C500,C500)&amp;CHOOSE(MIN(4,COUNTIF($C$18:C500,C500)),"st","nd","rd","th"),"")</f>
        <v/>
      </c>
    </row>
    <row r="501" spans="8:14" x14ac:dyDescent="0.3">
      <c r="H501" s="384" t="str">
        <f t="shared" si="8"/>
        <v/>
      </c>
      <c r="N501" s="378" t="str">
        <f>IFERROR(COUNTIF($C$18:C501,C501)&amp;CHOOSE(MIN(4,COUNTIF($C$18:C501,C501)),"st","nd","rd","th"),"")</f>
        <v/>
      </c>
    </row>
    <row r="502" spans="8:14" x14ac:dyDescent="0.3">
      <c r="H502" s="384" t="str">
        <f t="shared" si="8"/>
        <v/>
      </c>
      <c r="N502" s="378" t="str">
        <f>IFERROR(COUNTIF($C$18:C502,C502)&amp;CHOOSE(MIN(4,COUNTIF($C$18:C502,C502)),"st","nd","rd","th"),"")</f>
        <v/>
      </c>
    </row>
    <row r="503" spans="8:14" x14ac:dyDescent="0.3">
      <c r="H503" s="384" t="str">
        <f t="shared" si="8"/>
        <v/>
      </c>
      <c r="N503" s="378" t="str">
        <f>IFERROR(COUNTIF($C$18:C503,C503)&amp;CHOOSE(MIN(4,COUNTIF($C$18:C503,C503)),"st","nd","rd","th"),"")</f>
        <v/>
      </c>
    </row>
    <row r="504" spans="8:14" x14ac:dyDescent="0.3">
      <c r="H504" s="384" t="str">
        <f t="shared" si="8"/>
        <v/>
      </c>
      <c r="N504" s="378" t="str">
        <f>IFERROR(COUNTIF($C$18:C504,C504)&amp;CHOOSE(MIN(4,COUNTIF($C$18:C504,C504)),"st","nd","rd","th"),"")</f>
        <v/>
      </c>
    </row>
    <row r="505" spans="8:14" x14ac:dyDescent="0.3">
      <c r="H505" s="384" t="str">
        <f t="shared" si="8"/>
        <v/>
      </c>
      <c r="N505" s="378" t="str">
        <f>IFERROR(COUNTIF($C$18:C505,C505)&amp;CHOOSE(MIN(4,COUNTIF($C$18:C505,C505)),"st","nd","rd","th"),"")</f>
        <v/>
      </c>
    </row>
    <row r="506" spans="8:14" x14ac:dyDescent="0.3">
      <c r="H506" s="384" t="str">
        <f t="shared" si="8"/>
        <v/>
      </c>
      <c r="N506" s="378" t="str">
        <f>IFERROR(COUNTIF($C$18:C506,C506)&amp;CHOOSE(MIN(4,COUNTIF($C$18:C506,C506)),"st","nd","rd","th"),"")</f>
        <v/>
      </c>
    </row>
    <row r="507" spans="8:14" x14ac:dyDescent="0.3">
      <c r="H507" s="384" t="str">
        <f t="shared" si="8"/>
        <v/>
      </c>
      <c r="N507" s="378" t="str">
        <f>IFERROR(COUNTIF($C$18:C507,C507)&amp;CHOOSE(MIN(4,COUNTIF($C$18:C507,C507)),"st","nd","rd","th"),"")</f>
        <v/>
      </c>
    </row>
    <row r="508" spans="8:14" x14ac:dyDescent="0.3">
      <c r="H508" s="384" t="str">
        <f t="shared" si="8"/>
        <v/>
      </c>
      <c r="N508" s="378" t="str">
        <f>IFERROR(COUNTIF($C$18:C508,C508)&amp;CHOOSE(MIN(4,COUNTIF($C$18:C508,C508)),"st","nd","rd","th"),"")</f>
        <v/>
      </c>
    </row>
    <row r="509" spans="8:14" x14ac:dyDescent="0.3">
      <c r="H509" s="384" t="str">
        <f t="shared" si="8"/>
        <v/>
      </c>
      <c r="N509" s="378" t="str">
        <f>IFERROR(COUNTIF($C$18:C509,C509)&amp;CHOOSE(MIN(4,COUNTIF($C$18:C509,C509)),"st","nd","rd","th"),"")</f>
        <v/>
      </c>
    </row>
    <row r="510" spans="8:14" x14ac:dyDescent="0.3">
      <c r="H510" s="384" t="str">
        <f t="shared" si="8"/>
        <v/>
      </c>
      <c r="N510" s="378" t="str">
        <f>IFERROR(COUNTIF($C$18:C510,C510)&amp;CHOOSE(MIN(4,COUNTIF($C$18:C510,C510)),"st","nd","rd","th"),"")</f>
        <v/>
      </c>
    </row>
    <row r="511" spans="8:14" x14ac:dyDescent="0.3">
      <c r="H511" s="384" t="str">
        <f t="shared" si="8"/>
        <v/>
      </c>
      <c r="N511" s="378" t="str">
        <f>IFERROR(COUNTIF($C$18:C511,C511)&amp;CHOOSE(MIN(4,COUNTIF($C$18:C511,C511)),"st","nd","rd","th"),"")</f>
        <v/>
      </c>
    </row>
    <row r="512" spans="8:14" x14ac:dyDescent="0.3">
      <c r="H512" s="384" t="str">
        <f t="shared" si="8"/>
        <v/>
      </c>
      <c r="N512" s="378" t="str">
        <f>IFERROR(COUNTIF($C$18:C512,C512)&amp;CHOOSE(MIN(4,COUNTIF($C$18:C512,C512)),"st","nd","rd","th"),"")</f>
        <v/>
      </c>
    </row>
    <row r="513" spans="8:14" x14ac:dyDescent="0.3">
      <c r="H513" s="384" t="str">
        <f t="shared" si="8"/>
        <v/>
      </c>
      <c r="N513" s="378" t="str">
        <f>IFERROR(COUNTIF($C$18:C513,C513)&amp;CHOOSE(MIN(4,COUNTIF($C$18:C513,C513)),"st","nd","rd","th"),"")</f>
        <v/>
      </c>
    </row>
    <row r="514" spans="8:14" x14ac:dyDescent="0.3">
      <c r="H514" s="384" t="str">
        <f t="shared" si="8"/>
        <v/>
      </c>
      <c r="N514" s="378" t="str">
        <f>IFERROR(COUNTIF($C$18:C514,C514)&amp;CHOOSE(MIN(4,COUNTIF($C$18:C514,C514)),"st","nd","rd","th"),"")</f>
        <v/>
      </c>
    </row>
    <row r="515" spans="8:14" x14ac:dyDescent="0.3">
      <c r="H515" s="384" t="str">
        <f t="shared" si="8"/>
        <v/>
      </c>
      <c r="N515" s="378" t="str">
        <f>IFERROR(COUNTIF($C$18:C515,C515)&amp;CHOOSE(MIN(4,COUNTIF($C$18:C515,C515)),"st","nd","rd","th"),"")</f>
        <v/>
      </c>
    </row>
    <row r="516" spans="8:14" x14ac:dyDescent="0.3">
      <c r="H516" s="384" t="str">
        <f t="shared" si="8"/>
        <v/>
      </c>
      <c r="N516" s="378" t="str">
        <f>IFERROR(COUNTIF($C$18:C516,C516)&amp;CHOOSE(MIN(4,COUNTIF($C$18:C516,C516)),"st","nd","rd","th"),"")</f>
        <v/>
      </c>
    </row>
    <row r="517" spans="8:14" x14ac:dyDescent="0.3">
      <c r="H517" s="384" t="str">
        <f t="shared" si="8"/>
        <v/>
      </c>
      <c r="N517" s="378" t="str">
        <f>IFERROR(COUNTIF($C$18:C517,C517)&amp;CHOOSE(MIN(4,COUNTIF($C$18:C517,C517)),"st","nd","rd","th"),"")</f>
        <v/>
      </c>
    </row>
    <row r="518" spans="8:14" x14ac:dyDescent="0.3">
      <c r="H518" s="384" t="str">
        <f t="shared" si="8"/>
        <v/>
      </c>
      <c r="N518" s="378" t="str">
        <f>IFERROR(COUNTIF($C$18:C518,C518)&amp;CHOOSE(MIN(4,COUNTIF($C$18:C518,C518)),"st","nd","rd","th"),"")</f>
        <v/>
      </c>
    </row>
    <row r="519" spans="8:14" x14ac:dyDescent="0.3">
      <c r="H519" s="384" t="str">
        <f t="shared" si="8"/>
        <v/>
      </c>
      <c r="N519" s="378" t="str">
        <f>IFERROR(COUNTIF($C$18:C519,C519)&amp;CHOOSE(MIN(4,COUNTIF($C$18:C519,C519)),"st","nd","rd","th"),"")</f>
        <v/>
      </c>
    </row>
    <row r="520" spans="8:14" x14ac:dyDescent="0.3">
      <c r="H520" s="384" t="str">
        <f t="shared" si="8"/>
        <v/>
      </c>
      <c r="N520" s="378" t="str">
        <f>IFERROR(COUNTIF($C$18:C520,C520)&amp;CHOOSE(MIN(4,COUNTIF($C$18:C520,C520)),"st","nd","rd","th"),"")</f>
        <v/>
      </c>
    </row>
    <row r="521" spans="8:14" x14ac:dyDescent="0.3">
      <c r="H521" s="384" t="str">
        <f t="shared" si="8"/>
        <v/>
      </c>
      <c r="N521" s="378" t="str">
        <f>IFERROR(COUNTIF($C$18:C521,C521)&amp;CHOOSE(MIN(4,COUNTIF($C$18:C521,C521)),"st","nd","rd","th"),"")</f>
        <v/>
      </c>
    </row>
    <row r="522" spans="8:14" x14ac:dyDescent="0.3">
      <c r="H522" s="384" t="str">
        <f t="shared" si="8"/>
        <v/>
      </c>
      <c r="N522" s="378" t="str">
        <f>IFERROR(COUNTIF($C$18:C522,C522)&amp;CHOOSE(MIN(4,COUNTIF($C$18:C522,C522)),"st","nd","rd","th"),"")</f>
        <v/>
      </c>
    </row>
    <row r="523" spans="8:14" x14ac:dyDescent="0.3">
      <c r="H523" s="384" t="str">
        <f t="shared" si="8"/>
        <v/>
      </c>
      <c r="N523" s="378" t="str">
        <f>IFERROR(COUNTIF($C$18:C523,C523)&amp;CHOOSE(MIN(4,COUNTIF($C$18:C523,C523)),"st","nd","rd","th"),"")</f>
        <v/>
      </c>
    </row>
    <row r="524" spans="8:14" x14ac:dyDescent="0.3">
      <c r="H524" s="384" t="str">
        <f t="shared" si="8"/>
        <v/>
      </c>
      <c r="N524" s="378" t="str">
        <f>IFERROR(COUNTIF($C$18:C524,C524)&amp;CHOOSE(MIN(4,COUNTIF($C$18:C524,C524)),"st","nd","rd","th"),"")</f>
        <v/>
      </c>
    </row>
    <row r="525" spans="8:14" x14ac:dyDescent="0.3">
      <c r="H525" s="384" t="str">
        <f t="shared" si="8"/>
        <v/>
      </c>
      <c r="N525" s="378" t="str">
        <f>IFERROR(COUNTIF($C$18:C525,C525)&amp;CHOOSE(MIN(4,COUNTIF($C$18:C525,C525)),"st","nd","rd","th"),"")</f>
        <v/>
      </c>
    </row>
    <row r="526" spans="8:14" x14ac:dyDescent="0.3">
      <c r="H526" s="384" t="str">
        <f t="shared" si="8"/>
        <v/>
      </c>
      <c r="N526" s="378" t="str">
        <f>IFERROR(COUNTIF($C$18:C526,C526)&amp;CHOOSE(MIN(4,COUNTIF($C$18:C526,C526)),"st","nd","rd","th"),"")</f>
        <v/>
      </c>
    </row>
    <row r="527" spans="8:14" x14ac:dyDescent="0.3">
      <c r="H527" s="384" t="str">
        <f t="shared" si="8"/>
        <v/>
      </c>
      <c r="N527" s="378" t="str">
        <f>IFERROR(COUNTIF($C$18:C527,C527)&amp;CHOOSE(MIN(4,COUNTIF($C$18:C527,C527)),"st","nd","rd","th"),"")</f>
        <v/>
      </c>
    </row>
    <row r="528" spans="8:14" x14ac:dyDescent="0.3">
      <c r="H528" s="384" t="str">
        <f t="shared" si="8"/>
        <v/>
      </c>
      <c r="N528" s="378" t="str">
        <f>IFERROR(COUNTIF($C$18:C528,C528)&amp;CHOOSE(MIN(4,COUNTIF($C$18:C528,C528)),"st","nd","rd","th"),"")</f>
        <v/>
      </c>
    </row>
    <row r="529" spans="8:14" x14ac:dyDescent="0.3">
      <c r="H529" s="384" t="str">
        <f t="shared" si="8"/>
        <v/>
      </c>
      <c r="N529" s="378" t="str">
        <f>IFERROR(COUNTIF($C$18:C529,C529)&amp;CHOOSE(MIN(4,COUNTIF($C$18:C529,C529)),"st","nd","rd","th"),"")</f>
        <v/>
      </c>
    </row>
    <row r="530" spans="8:14" x14ac:dyDescent="0.3">
      <c r="H530" s="384" t="str">
        <f t="shared" ref="H530:H593" si="9">IF(OR(ISBLANK(G530), ISBLANK(F530)), "", IF(G530=F530, 1, SUM(_xlfn.DAYS(G530, F530), 1)))</f>
        <v/>
      </c>
      <c r="N530" s="378" t="str">
        <f>IFERROR(COUNTIF($C$18:C530,C530)&amp;CHOOSE(MIN(4,COUNTIF($C$18:C530,C530)),"st","nd","rd","th"),"")</f>
        <v/>
      </c>
    </row>
    <row r="531" spans="8:14" x14ac:dyDescent="0.3">
      <c r="H531" s="384" t="str">
        <f t="shared" si="9"/>
        <v/>
      </c>
      <c r="N531" s="378" t="str">
        <f>IFERROR(COUNTIF($C$18:C531,C531)&amp;CHOOSE(MIN(4,COUNTIF($C$18:C531,C531)),"st","nd","rd","th"),"")</f>
        <v/>
      </c>
    </row>
    <row r="532" spans="8:14" x14ac:dyDescent="0.3">
      <c r="H532" s="384" t="str">
        <f t="shared" si="9"/>
        <v/>
      </c>
      <c r="N532" s="378" t="str">
        <f>IFERROR(COUNTIF($C$18:C532,C532)&amp;CHOOSE(MIN(4,COUNTIF($C$18:C532,C532)),"st","nd","rd","th"),"")</f>
        <v/>
      </c>
    </row>
    <row r="533" spans="8:14" x14ac:dyDescent="0.3">
      <c r="H533" s="384" t="str">
        <f t="shared" si="9"/>
        <v/>
      </c>
      <c r="N533" s="378" t="str">
        <f>IFERROR(COUNTIF($C$18:C533,C533)&amp;CHOOSE(MIN(4,COUNTIF($C$18:C533,C533)),"st","nd","rd","th"),"")</f>
        <v/>
      </c>
    </row>
    <row r="534" spans="8:14" x14ac:dyDescent="0.3">
      <c r="H534" s="384" t="str">
        <f t="shared" si="9"/>
        <v/>
      </c>
      <c r="N534" s="378" t="str">
        <f>IFERROR(COUNTIF($C$18:C534,C534)&amp;CHOOSE(MIN(4,COUNTIF($C$18:C534,C534)),"st","nd","rd","th"),"")</f>
        <v/>
      </c>
    </row>
    <row r="535" spans="8:14" x14ac:dyDescent="0.3">
      <c r="H535" s="384" t="str">
        <f t="shared" si="9"/>
        <v/>
      </c>
      <c r="N535" s="378" t="str">
        <f>IFERROR(COUNTIF($C$18:C535,C535)&amp;CHOOSE(MIN(4,COUNTIF($C$18:C535,C535)),"st","nd","rd","th"),"")</f>
        <v/>
      </c>
    </row>
    <row r="536" spans="8:14" x14ac:dyDescent="0.3">
      <c r="H536" s="384" t="str">
        <f t="shared" si="9"/>
        <v/>
      </c>
      <c r="N536" s="378" t="str">
        <f>IFERROR(COUNTIF($C$18:C536,C536)&amp;CHOOSE(MIN(4,COUNTIF($C$18:C536,C536)),"st","nd","rd","th"),"")</f>
        <v/>
      </c>
    </row>
    <row r="537" spans="8:14" x14ac:dyDescent="0.3">
      <c r="H537" s="384" t="str">
        <f t="shared" si="9"/>
        <v/>
      </c>
      <c r="N537" s="378" t="str">
        <f>IFERROR(COUNTIF($C$18:C537,C537)&amp;CHOOSE(MIN(4,COUNTIF($C$18:C537,C537)),"st","nd","rd","th"),"")</f>
        <v/>
      </c>
    </row>
    <row r="538" spans="8:14" x14ac:dyDescent="0.3">
      <c r="H538" s="384" t="str">
        <f t="shared" si="9"/>
        <v/>
      </c>
      <c r="N538" s="378" t="str">
        <f>IFERROR(COUNTIF($C$18:C538,C538)&amp;CHOOSE(MIN(4,COUNTIF($C$18:C538,C538)),"st","nd","rd","th"),"")</f>
        <v/>
      </c>
    </row>
    <row r="539" spans="8:14" x14ac:dyDescent="0.3">
      <c r="H539" s="384" t="str">
        <f t="shared" si="9"/>
        <v/>
      </c>
      <c r="N539" s="378" t="str">
        <f>IFERROR(COUNTIF($C$18:C539,C539)&amp;CHOOSE(MIN(4,COUNTIF($C$18:C539,C539)),"st","nd","rd","th"),"")</f>
        <v/>
      </c>
    </row>
    <row r="540" spans="8:14" x14ac:dyDescent="0.3">
      <c r="H540" s="384" t="str">
        <f t="shared" si="9"/>
        <v/>
      </c>
      <c r="N540" s="378" t="str">
        <f>IFERROR(COUNTIF($C$18:C540,C540)&amp;CHOOSE(MIN(4,COUNTIF($C$18:C540,C540)),"st","nd","rd","th"),"")</f>
        <v/>
      </c>
    </row>
    <row r="541" spans="8:14" x14ac:dyDescent="0.3">
      <c r="H541" s="384" t="str">
        <f t="shared" si="9"/>
        <v/>
      </c>
      <c r="N541" s="378" t="str">
        <f>IFERROR(COUNTIF($C$18:C541,C541)&amp;CHOOSE(MIN(4,COUNTIF($C$18:C541,C541)),"st","nd","rd","th"),"")</f>
        <v/>
      </c>
    </row>
    <row r="542" spans="8:14" x14ac:dyDescent="0.3">
      <c r="H542" s="384" t="str">
        <f t="shared" si="9"/>
        <v/>
      </c>
      <c r="N542" s="378" t="str">
        <f>IFERROR(COUNTIF($C$18:C542,C542)&amp;CHOOSE(MIN(4,COUNTIF($C$18:C542,C542)),"st","nd","rd","th"),"")</f>
        <v/>
      </c>
    </row>
    <row r="543" spans="8:14" x14ac:dyDescent="0.3">
      <c r="H543" s="384" t="str">
        <f t="shared" si="9"/>
        <v/>
      </c>
      <c r="N543" s="378" t="str">
        <f>IFERROR(COUNTIF($C$18:C543,C543)&amp;CHOOSE(MIN(4,COUNTIF($C$18:C543,C543)),"st","nd","rd","th"),"")</f>
        <v/>
      </c>
    </row>
    <row r="544" spans="8:14" x14ac:dyDescent="0.3">
      <c r="H544" s="384" t="str">
        <f t="shared" si="9"/>
        <v/>
      </c>
      <c r="N544" s="378" t="str">
        <f>IFERROR(COUNTIF($C$18:C544,C544)&amp;CHOOSE(MIN(4,COUNTIF($C$18:C544,C544)),"st","nd","rd","th"),"")</f>
        <v/>
      </c>
    </row>
    <row r="545" spans="8:14" x14ac:dyDescent="0.3">
      <c r="H545" s="384" t="str">
        <f t="shared" si="9"/>
        <v/>
      </c>
      <c r="N545" s="378" t="str">
        <f>IFERROR(COUNTIF($C$18:C545,C545)&amp;CHOOSE(MIN(4,COUNTIF($C$18:C545,C545)),"st","nd","rd","th"),"")</f>
        <v/>
      </c>
    </row>
    <row r="546" spans="8:14" x14ac:dyDescent="0.3">
      <c r="H546" s="384" t="str">
        <f t="shared" si="9"/>
        <v/>
      </c>
      <c r="N546" s="378" t="str">
        <f>IFERROR(COUNTIF($C$18:C546,C546)&amp;CHOOSE(MIN(4,COUNTIF($C$18:C546,C546)),"st","nd","rd","th"),"")</f>
        <v/>
      </c>
    </row>
    <row r="547" spans="8:14" x14ac:dyDescent="0.3">
      <c r="H547" s="384" t="str">
        <f t="shared" si="9"/>
        <v/>
      </c>
      <c r="N547" s="378" t="str">
        <f>IFERROR(COUNTIF($C$18:C547,C547)&amp;CHOOSE(MIN(4,COUNTIF($C$18:C547,C547)),"st","nd","rd","th"),"")</f>
        <v/>
      </c>
    </row>
    <row r="548" spans="8:14" x14ac:dyDescent="0.3">
      <c r="H548" s="384" t="str">
        <f t="shared" si="9"/>
        <v/>
      </c>
      <c r="N548" s="378" t="str">
        <f>IFERROR(COUNTIF($C$18:C548,C548)&amp;CHOOSE(MIN(4,COUNTIF($C$18:C548,C548)),"st","nd","rd","th"),"")</f>
        <v/>
      </c>
    </row>
    <row r="549" spans="8:14" x14ac:dyDescent="0.3">
      <c r="H549" s="384" t="str">
        <f t="shared" si="9"/>
        <v/>
      </c>
      <c r="N549" s="378" t="str">
        <f>IFERROR(COUNTIF($C$18:C549,C549)&amp;CHOOSE(MIN(4,COUNTIF($C$18:C549,C549)),"st","nd","rd","th"),"")</f>
        <v/>
      </c>
    </row>
    <row r="550" spans="8:14" x14ac:dyDescent="0.3">
      <c r="H550" s="384" t="str">
        <f t="shared" si="9"/>
        <v/>
      </c>
      <c r="N550" s="378" t="str">
        <f>IFERROR(COUNTIF($C$18:C550,C550)&amp;CHOOSE(MIN(4,COUNTIF($C$18:C550,C550)),"st","nd","rd","th"),"")</f>
        <v/>
      </c>
    </row>
    <row r="551" spans="8:14" x14ac:dyDescent="0.3">
      <c r="H551" s="384" t="str">
        <f t="shared" si="9"/>
        <v/>
      </c>
      <c r="N551" s="378" t="str">
        <f>IFERROR(COUNTIF($C$18:C551,C551)&amp;CHOOSE(MIN(4,COUNTIF($C$18:C551,C551)),"st","nd","rd","th"),"")</f>
        <v/>
      </c>
    </row>
    <row r="552" spans="8:14" x14ac:dyDescent="0.3">
      <c r="H552" s="384" t="str">
        <f t="shared" si="9"/>
        <v/>
      </c>
      <c r="N552" s="378" t="str">
        <f>IFERROR(COUNTIF($C$18:C552,C552)&amp;CHOOSE(MIN(4,COUNTIF($C$18:C552,C552)),"st","nd","rd","th"),"")</f>
        <v/>
      </c>
    </row>
    <row r="553" spans="8:14" x14ac:dyDescent="0.3">
      <c r="H553" s="384" t="str">
        <f t="shared" si="9"/>
        <v/>
      </c>
      <c r="N553" s="378" t="str">
        <f>IFERROR(COUNTIF($C$18:C553,C553)&amp;CHOOSE(MIN(4,COUNTIF($C$18:C553,C553)),"st","nd","rd","th"),"")</f>
        <v/>
      </c>
    </row>
    <row r="554" spans="8:14" x14ac:dyDescent="0.3">
      <c r="H554" s="384" t="str">
        <f t="shared" si="9"/>
        <v/>
      </c>
      <c r="N554" s="378" t="str">
        <f>IFERROR(COUNTIF($C$18:C554,C554)&amp;CHOOSE(MIN(4,COUNTIF($C$18:C554,C554)),"st","nd","rd","th"),"")</f>
        <v/>
      </c>
    </row>
    <row r="555" spans="8:14" x14ac:dyDescent="0.3">
      <c r="H555" s="384" t="str">
        <f t="shared" si="9"/>
        <v/>
      </c>
      <c r="N555" s="378" t="str">
        <f>IFERROR(COUNTIF($C$18:C555,C555)&amp;CHOOSE(MIN(4,COUNTIF($C$18:C555,C555)),"st","nd","rd","th"),"")</f>
        <v/>
      </c>
    </row>
    <row r="556" spans="8:14" x14ac:dyDescent="0.3">
      <c r="H556" s="384" t="str">
        <f t="shared" si="9"/>
        <v/>
      </c>
      <c r="N556" s="378" t="str">
        <f>IFERROR(COUNTIF($C$18:C556,C556)&amp;CHOOSE(MIN(4,COUNTIF($C$18:C556,C556)),"st","nd","rd","th"),"")</f>
        <v/>
      </c>
    </row>
    <row r="557" spans="8:14" x14ac:dyDescent="0.3">
      <c r="H557" s="384" t="str">
        <f t="shared" si="9"/>
        <v/>
      </c>
      <c r="N557" s="378" t="str">
        <f>IFERROR(COUNTIF($C$18:C557,C557)&amp;CHOOSE(MIN(4,COUNTIF($C$18:C557,C557)),"st","nd","rd","th"),"")</f>
        <v/>
      </c>
    </row>
    <row r="558" spans="8:14" x14ac:dyDescent="0.3">
      <c r="H558" s="384" t="str">
        <f t="shared" si="9"/>
        <v/>
      </c>
      <c r="N558" s="378" t="str">
        <f>IFERROR(COUNTIF($C$18:C558,C558)&amp;CHOOSE(MIN(4,COUNTIF($C$18:C558,C558)),"st","nd","rd","th"),"")</f>
        <v/>
      </c>
    </row>
    <row r="559" spans="8:14" x14ac:dyDescent="0.3">
      <c r="H559" s="384" t="str">
        <f t="shared" si="9"/>
        <v/>
      </c>
      <c r="N559" s="378" t="str">
        <f>IFERROR(COUNTIF($C$18:C559,C559)&amp;CHOOSE(MIN(4,COUNTIF($C$18:C559,C559)),"st","nd","rd","th"),"")</f>
        <v/>
      </c>
    </row>
    <row r="560" spans="8:14" x14ac:dyDescent="0.3">
      <c r="H560" s="384" t="str">
        <f t="shared" si="9"/>
        <v/>
      </c>
      <c r="N560" s="378" t="str">
        <f>IFERROR(COUNTIF($C$18:C560,C560)&amp;CHOOSE(MIN(4,COUNTIF($C$18:C560,C560)),"st","nd","rd","th"),"")</f>
        <v/>
      </c>
    </row>
    <row r="561" spans="8:14" x14ac:dyDescent="0.3">
      <c r="H561" s="384" t="str">
        <f t="shared" si="9"/>
        <v/>
      </c>
      <c r="N561" s="378" t="str">
        <f>IFERROR(COUNTIF($C$18:C561,C561)&amp;CHOOSE(MIN(4,COUNTIF($C$18:C561,C561)),"st","nd","rd","th"),"")</f>
        <v/>
      </c>
    </row>
    <row r="562" spans="8:14" x14ac:dyDescent="0.3">
      <c r="H562" s="384" t="str">
        <f t="shared" si="9"/>
        <v/>
      </c>
      <c r="N562" s="378" t="str">
        <f>IFERROR(COUNTIF($C$18:C562,C562)&amp;CHOOSE(MIN(4,COUNTIF($C$18:C562,C562)),"st","nd","rd","th"),"")</f>
        <v/>
      </c>
    </row>
    <row r="563" spans="8:14" x14ac:dyDescent="0.3">
      <c r="H563" s="384" t="str">
        <f t="shared" si="9"/>
        <v/>
      </c>
      <c r="N563" s="378" t="str">
        <f>IFERROR(COUNTIF($C$18:C563,C563)&amp;CHOOSE(MIN(4,COUNTIF($C$18:C563,C563)),"st","nd","rd","th"),"")</f>
        <v/>
      </c>
    </row>
    <row r="564" spans="8:14" x14ac:dyDescent="0.3">
      <c r="H564" s="384" t="str">
        <f t="shared" si="9"/>
        <v/>
      </c>
      <c r="N564" s="378" t="str">
        <f>IFERROR(COUNTIF($C$18:C564,C564)&amp;CHOOSE(MIN(4,COUNTIF($C$18:C564,C564)),"st","nd","rd","th"),"")</f>
        <v/>
      </c>
    </row>
    <row r="565" spans="8:14" x14ac:dyDescent="0.3">
      <c r="H565" s="384" t="str">
        <f t="shared" si="9"/>
        <v/>
      </c>
      <c r="N565" s="378" t="str">
        <f>IFERROR(COUNTIF($C$18:C565,C565)&amp;CHOOSE(MIN(4,COUNTIF($C$18:C565,C565)),"st","nd","rd","th"),"")</f>
        <v/>
      </c>
    </row>
    <row r="566" spans="8:14" x14ac:dyDescent="0.3">
      <c r="H566" s="384" t="str">
        <f t="shared" si="9"/>
        <v/>
      </c>
      <c r="N566" s="378" t="str">
        <f>IFERROR(COUNTIF($C$18:C566,C566)&amp;CHOOSE(MIN(4,COUNTIF($C$18:C566,C566)),"st","nd","rd","th"),"")</f>
        <v/>
      </c>
    </row>
    <row r="567" spans="8:14" x14ac:dyDescent="0.3">
      <c r="H567" s="384" t="str">
        <f t="shared" si="9"/>
        <v/>
      </c>
      <c r="N567" s="378" t="str">
        <f>IFERROR(COUNTIF($C$18:C567,C567)&amp;CHOOSE(MIN(4,COUNTIF($C$18:C567,C567)),"st","nd","rd","th"),"")</f>
        <v/>
      </c>
    </row>
    <row r="568" spans="8:14" x14ac:dyDescent="0.3">
      <c r="H568" s="384" t="str">
        <f t="shared" si="9"/>
        <v/>
      </c>
      <c r="N568" s="378" t="str">
        <f>IFERROR(COUNTIF($C$18:C568,C568)&amp;CHOOSE(MIN(4,COUNTIF($C$18:C568,C568)),"st","nd","rd","th"),"")</f>
        <v/>
      </c>
    </row>
    <row r="569" spans="8:14" x14ac:dyDescent="0.3">
      <c r="H569" s="384" t="str">
        <f t="shared" si="9"/>
        <v/>
      </c>
      <c r="N569" s="378" t="str">
        <f>IFERROR(COUNTIF($C$18:C569,C569)&amp;CHOOSE(MIN(4,COUNTIF($C$18:C569,C569)),"st","nd","rd","th"),"")</f>
        <v/>
      </c>
    </row>
    <row r="570" spans="8:14" x14ac:dyDescent="0.3">
      <c r="H570" s="384" t="str">
        <f t="shared" si="9"/>
        <v/>
      </c>
      <c r="N570" s="378" t="str">
        <f>IFERROR(COUNTIF($C$18:C570,C570)&amp;CHOOSE(MIN(4,COUNTIF($C$18:C570,C570)),"st","nd","rd","th"),"")</f>
        <v/>
      </c>
    </row>
    <row r="571" spans="8:14" x14ac:dyDescent="0.3">
      <c r="H571" s="384" t="str">
        <f t="shared" si="9"/>
        <v/>
      </c>
      <c r="N571" s="378" t="str">
        <f>IFERROR(COUNTIF($C$18:C571,C571)&amp;CHOOSE(MIN(4,COUNTIF($C$18:C571,C571)),"st","nd","rd","th"),"")</f>
        <v/>
      </c>
    </row>
    <row r="572" spans="8:14" x14ac:dyDescent="0.3">
      <c r="H572" s="384" t="str">
        <f t="shared" si="9"/>
        <v/>
      </c>
      <c r="N572" s="378" t="str">
        <f>IFERROR(COUNTIF($C$18:C572,C572)&amp;CHOOSE(MIN(4,COUNTIF($C$18:C572,C572)),"st","nd","rd","th"),"")</f>
        <v/>
      </c>
    </row>
    <row r="573" spans="8:14" x14ac:dyDescent="0.3">
      <c r="H573" s="384" t="str">
        <f t="shared" si="9"/>
        <v/>
      </c>
      <c r="N573" s="378" t="str">
        <f>IFERROR(COUNTIF($C$18:C573,C573)&amp;CHOOSE(MIN(4,COUNTIF($C$18:C573,C573)),"st","nd","rd","th"),"")</f>
        <v/>
      </c>
    </row>
    <row r="574" spans="8:14" x14ac:dyDescent="0.3">
      <c r="H574" s="384" t="str">
        <f t="shared" si="9"/>
        <v/>
      </c>
      <c r="N574" s="378" t="str">
        <f>IFERROR(COUNTIF($C$18:C574,C574)&amp;CHOOSE(MIN(4,COUNTIF($C$18:C574,C574)),"st","nd","rd","th"),"")</f>
        <v/>
      </c>
    </row>
    <row r="575" spans="8:14" x14ac:dyDescent="0.3">
      <c r="H575" s="384" t="str">
        <f t="shared" si="9"/>
        <v/>
      </c>
      <c r="N575" s="378" t="str">
        <f>IFERROR(COUNTIF($C$18:C575,C575)&amp;CHOOSE(MIN(4,COUNTIF($C$18:C575,C575)),"st","nd","rd","th"),"")</f>
        <v/>
      </c>
    </row>
    <row r="576" spans="8:14" x14ac:dyDescent="0.3">
      <c r="H576" s="384" t="str">
        <f t="shared" si="9"/>
        <v/>
      </c>
      <c r="N576" s="378" t="str">
        <f>IFERROR(COUNTIF($C$18:C576,C576)&amp;CHOOSE(MIN(4,COUNTIF($C$18:C576,C576)),"st","nd","rd","th"),"")</f>
        <v/>
      </c>
    </row>
    <row r="577" spans="8:14" x14ac:dyDescent="0.3">
      <c r="H577" s="384" t="str">
        <f t="shared" si="9"/>
        <v/>
      </c>
      <c r="N577" s="378" t="str">
        <f>IFERROR(COUNTIF($C$18:C577,C577)&amp;CHOOSE(MIN(4,COUNTIF($C$18:C577,C577)),"st","nd","rd","th"),"")</f>
        <v/>
      </c>
    </row>
    <row r="578" spans="8:14" x14ac:dyDescent="0.3">
      <c r="H578" s="384" t="str">
        <f t="shared" si="9"/>
        <v/>
      </c>
      <c r="N578" s="378" t="str">
        <f>IFERROR(COUNTIF($C$18:C578,C578)&amp;CHOOSE(MIN(4,COUNTIF($C$18:C578,C578)),"st","nd","rd","th"),"")</f>
        <v/>
      </c>
    </row>
    <row r="579" spans="8:14" x14ac:dyDescent="0.3">
      <c r="H579" s="384" t="str">
        <f t="shared" si="9"/>
        <v/>
      </c>
      <c r="N579" s="378" t="str">
        <f>IFERROR(COUNTIF($C$18:C579,C579)&amp;CHOOSE(MIN(4,COUNTIF($C$18:C579,C579)),"st","nd","rd","th"),"")</f>
        <v/>
      </c>
    </row>
    <row r="580" spans="8:14" x14ac:dyDescent="0.3">
      <c r="H580" s="384" t="str">
        <f t="shared" si="9"/>
        <v/>
      </c>
      <c r="N580" s="378" t="str">
        <f>IFERROR(COUNTIF($C$18:C580,C580)&amp;CHOOSE(MIN(4,COUNTIF($C$18:C580,C580)),"st","nd","rd","th"),"")</f>
        <v/>
      </c>
    </row>
    <row r="581" spans="8:14" x14ac:dyDescent="0.3">
      <c r="H581" s="384" t="str">
        <f t="shared" si="9"/>
        <v/>
      </c>
      <c r="N581" s="378" t="str">
        <f>IFERROR(COUNTIF($C$18:C581,C581)&amp;CHOOSE(MIN(4,COUNTIF($C$18:C581,C581)),"st","nd","rd","th"),"")</f>
        <v/>
      </c>
    </row>
    <row r="582" spans="8:14" x14ac:dyDescent="0.3">
      <c r="H582" s="384" t="str">
        <f t="shared" si="9"/>
        <v/>
      </c>
      <c r="N582" s="378" t="str">
        <f>IFERROR(COUNTIF($C$18:C582,C582)&amp;CHOOSE(MIN(4,COUNTIF($C$18:C582,C582)),"st","nd","rd","th"),"")</f>
        <v/>
      </c>
    </row>
    <row r="583" spans="8:14" x14ac:dyDescent="0.3">
      <c r="H583" s="384" t="str">
        <f t="shared" si="9"/>
        <v/>
      </c>
      <c r="N583" s="378" t="str">
        <f>IFERROR(COUNTIF($C$18:C583,C583)&amp;CHOOSE(MIN(4,COUNTIF($C$18:C583,C583)),"st","nd","rd","th"),"")</f>
        <v/>
      </c>
    </row>
    <row r="584" spans="8:14" x14ac:dyDescent="0.3">
      <c r="H584" s="384" t="str">
        <f t="shared" si="9"/>
        <v/>
      </c>
      <c r="N584" s="378" t="str">
        <f>IFERROR(COUNTIF($C$18:C584,C584)&amp;CHOOSE(MIN(4,COUNTIF($C$18:C584,C584)),"st","nd","rd","th"),"")</f>
        <v/>
      </c>
    </row>
    <row r="585" spans="8:14" x14ac:dyDescent="0.3">
      <c r="H585" s="384" t="str">
        <f t="shared" si="9"/>
        <v/>
      </c>
      <c r="N585" s="378" t="str">
        <f>IFERROR(COUNTIF($C$18:C585,C585)&amp;CHOOSE(MIN(4,COUNTIF($C$18:C585,C585)),"st","nd","rd","th"),"")</f>
        <v/>
      </c>
    </row>
    <row r="586" spans="8:14" x14ac:dyDescent="0.3">
      <c r="H586" s="384" t="str">
        <f t="shared" si="9"/>
        <v/>
      </c>
      <c r="N586" s="378" t="str">
        <f>IFERROR(COUNTIF($C$18:C586,C586)&amp;CHOOSE(MIN(4,COUNTIF($C$18:C586,C586)),"st","nd","rd","th"),"")</f>
        <v/>
      </c>
    </row>
    <row r="587" spans="8:14" x14ac:dyDescent="0.3">
      <c r="H587" s="384" t="str">
        <f t="shared" si="9"/>
        <v/>
      </c>
      <c r="N587" s="378" t="str">
        <f>IFERROR(COUNTIF($C$18:C587,C587)&amp;CHOOSE(MIN(4,COUNTIF($C$18:C587,C587)),"st","nd","rd","th"),"")</f>
        <v/>
      </c>
    </row>
    <row r="588" spans="8:14" x14ac:dyDescent="0.3">
      <c r="H588" s="384" t="str">
        <f t="shared" si="9"/>
        <v/>
      </c>
      <c r="N588" s="378" t="str">
        <f>IFERROR(COUNTIF($C$18:C588,C588)&amp;CHOOSE(MIN(4,COUNTIF($C$18:C588,C588)),"st","nd","rd","th"),"")</f>
        <v/>
      </c>
    </row>
    <row r="589" spans="8:14" x14ac:dyDescent="0.3">
      <c r="H589" s="384" t="str">
        <f t="shared" si="9"/>
        <v/>
      </c>
      <c r="N589" s="378" t="str">
        <f>IFERROR(COUNTIF($C$18:C589,C589)&amp;CHOOSE(MIN(4,COUNTIF($C$18:C589,C589)),"st","nd","rd","th"),"")</f>
        <v/>
      </c>
    </row>
    <row r="590" spans="8:14" x14ac:dyDescent="0.3">
      <c r="H590" s="384" t="str">
        <f t="shared" si="9"/>
        <v/>
      </c>
      <c r="N590" s="378" t="str">
        <f>IFERROR(COUNTIF($C$18:C590,C590)&amp;CHOOSE(MIN(4,COUNTIF($C$18:C590,C590)),"st","nd","rd","th"),"")</f>
        <v/>
      </c>
    </row>
    <row r="591" spans="8:14" x14ac:dyDescent="0.3">
      <c r="H591" s="384" t="str">
        <f t="shared" si="9"/>
        <v/>
      </c>
      <c r="N591" s="378" t="str">
        <f>IFERROR(COUNTIF($C$18:C591,C591)&amp;CHOOSE(MIN(4,COUNTIF($C$18:C591,C591)),"st","nd","rd","th"),"")</f>
        <v/>
      </c>
    </row>
    <row r="592" spans="8:14" x14ac:dyDescent="0.3">
      <c r="H592" s="384" t="str">
        <f t="shared" si="9"/>
        <v/>
      </c>
      <c r="N592" s="378" t="str">
        <f>IFERROR(COUNTIF($C$18:C592,C592)&amp;CHOOSE(MIN(4,COUNTIF($C$18:C592,C592)),"st","nd","rd","th"),"")</f>
        <v/>
      </c>
    </row>
    <row r="593" spans="8:14" x14ac:dyDescent="0.3">
      <c r="H593" s="384" t="str">
        <f t="shared" si="9"/>
        <v/>
      </c>
      <c r="N593" s="378" t="str">
        <f>IFERROR(COUNTIF($C$18:C593,C593)&amp;CHOOSE(MIN(4,COUNTIF($C$18:C593,C593)),"st","nd","rd","th"),"")</f>
        <v/>
      </c>
    </row>
    <row r="594" spans="8:14" x14ac:dyDescent="0.3">
      <c r="H594" s="384" t="str">
        <f t="shared" ref="H594:H657" si="10">IF(OR(ISBLANK(G594), ISBLANK(F594)), "", IF(G594=F594, 1, SUM(_xlfn.DAYS(G594, F594), 1)))</f>
        <v/>
      </c>
      <c r="N594" s="378" t="str">
        <f>IFERROR(COUNTIF($C$18:C594,C594)&amp;CHOOSE(MIN(4,COUNTIF($C$18:C594,C594)),"st","nd","rd","th"),"")</f>
        <v/>
      </c>
    </row>
    <row r="595" spans="8:14" x14ac:dyDescent="0.3">
      <c r="H595" s="384" t="str">
        <f t="shared" si="10"/>
        <v/>
      </c>
      <c r="N595" s="378" t="str">
        <f>IFERROR(COUNTIF($C$18:C595,C595)&amp;CHOOSE(MIN(4,COUNTIF($C$18:C595,C595)),"st","nd","rd","th"),"")</f>
        <v/>
      </c>
    </row>
    <row r="596" spans="8:14" x14ac:dyDescent="0.3">
      <c r="H596" s="384" t="str">
        <f t="shared" si="10"/>
        <v/>
      </c>
      <c r="N596" s="378" t="str">
        <f>IFERROR(COUNTIF($C$18:C596,C596)&amp;CHOOSE(MIN(4,COUNTIF($C$18:C596,C596)),"st","nd","rd","th"),"")</f>
        <v/>
      </c>
    </row>
    <row r="597" spans="8:14" x14ac:dyDescent="0.3">
      <c r="H597" s="384" t="str">
        <f t="shared" si="10"/>
        <v/>
      </c>
      <c r="N597" s="378" t="str">
        <f>IFERROR(COUNTIF($C$18:C597,C597)&amp;CHOOSE(MIN(4,COUNTIF($C$18:C597,C597)),"st","nd","rd","th"),"")</f>
        <v/>
      </c>
    </row>
    <row r="598" spans="8:14" x14ac:dyDescent="0.3">
      <c r="H598" s="384" t="str">
        <f t="shared" si="10"/>
        <v/>
      </c>
      <c r="N598" s="378" t="str">
        <f>IFERROR(COUNTIF($C$18:C598,C598)&amp;CHOOSE(MIN(4,COUNTIF($C$18:C598,C598)),"st","nd","rd","th"),"")</f>
        <v/>
      </c>
    </row>
    <row r="599" spans="8:14" x14ac:dyDescent="0.3">
      <c r="H599" s="384" t="str">
        <f t="shared" si="10"/>
        <v/>
      </c>
      <c r="N599" s="378" t="str">
        <f>IFERROR(COUNTIF($C$18:C599,C599)&amp;CHOOSE(MIN(4,COUNTIF($C$18:C599,C599)),"st","nd","rd","th"),"")</f>
        <v/>
      </c>
    </row>
    <row r="600" spans="8:14" x14ac:dyDescent="0.3">
      <c r="H600" s="384" t="str">
        <f t="shared" si="10"/>
        <v/>
      </c>
      <c r="N600" s="378" t="str">
        <f>IFERROR(COUNTIF($C$18:C600,C600)&amp;CHOOSE(MIN(4,COUNTIF($C$18:C600,C600)),"st","nd","rd","th"),"")</f>
        <v/>
      </c>
    </row>
    <row r="601" spans="8:14" x14ac:dyDescent="0.3">
      <c r="H601" s="384" t="str">
        <f t="shared" si="10"/>
        <v/>
      </c>
      <c r="N601" s="378" t="str">
        <f>IFERROR(COUNTIF($C$18:C601,C601)&amp;CHOOSE(MIN(4,COUNTIF($C$18:C601,C601)),"st","nd","rd","th"),"")</f>
        <v/>
      </c>
    </row>
    <row r="602" spans="8:14" x14ac:dyDescent="0.3">
      <c r="H602" s="384" t="str">
        <f t="shared" si="10"/>
        <v/>
      </c>
      <c r="N602" s="378" t="str">
        <f>IFERROR(COUNTIF($C$18:C602,C602)&amp;CHOOSE(MIN(4,COUNTIF($C$18:C602,C602)),"st","nd","rd","th"),"")</f>
        <v/>
      </c>
    </row>
    <row r="603" spans="8:14" x14ac:dyDescent="0.3">
      <c r="H603" s="384" t="str">
        <f t="shared" si="10"/>
        <v/>
      </c>
      <c r="N603" s="378" t="str">
        <f>IFERROR(COUNTIF($C$18:C603,C603)&amp;CHOOSE(MIN(4,COUNTIF($C$18:C603,C603)),"st","nd","rd","th"),"")</f>
        <v/>
      </c>
    </row>
    <row r="604" spans="8:14" x14ac:dyDescent="0.3">
      <c r="H604" s="384" t="str">
        <f t="shared" si="10"/>
        <v/>
      </c>
      <c r="N604" s="378" t="str">
        <f>IFERROR(COUNTIF($C$18:C604,C604)&amp;CHOOSE(MIN(4,COUNTIF($C$18:C604,C604)),"st","nd","rd","th"),"")</f>
        <v/>
      </c>
    </row>
    <row r="605" spans="8:14" x14ac:dyDescent="0.3">
      <c r="H605" s="384" t="str">
        <f t="shared" si="10"/>
        <v/>
      </c>
      <c r="N605" s="378" t="str">
        <f>IFERROR(COUNTIF($C$18:C605,C605)&amp;CHOOSE(MIN(4,COUNTIF($C$18:C605,C605)),"st","nd","rd","th"),"")</f>
        <v/>
      </c>
    </row>
    <row r="606" spans="8:14" x14ac:dyDescent="0.3">
      <c r="H606" s="384" t="str">
        <f t="shared" si="10"/>
        <v/>
      </c>
      <c r="N606" s="378" t="str">
        <f>IFERROR(COUNTIF($C$18:C606,C606)&amp;CHOOSE(MIN(4,COUNTIF($C$18:C606,C606)),"st","nd","rd","th"),"")</f>
        <v/>
      </c>
    </row>
    <row r="607" spans="8:14" x14ac:dyDescent="0.3">
      <c r="H607" s="384" t="str">
        <f t="shared" si="10"/>
        <v/>
      </c>
      <c r="N607" s="378" t="str">
        <f>IFERROR(COUNTIF($C$18:C607,C607)&amp;CHOOSE(MIN(4,COUNTIF($C$18:C607,C607)),"st","nd","rd","th"),"")</f>
        <v/>
      </c>
    </row>
    <row r="608" spans="8:14" x14ac:dyDescent="0.3">
      <c r="H608" s="384" t="str">
        <f t="shared" si="10"/>
        <v/>
      </c>
      <c r="N608" s="378" t="str">
        <f>IFERROR(COUNTIF($C$18:C608,C608)&amp;CHOOSE(MIN(4,COUNTIF($C$18:C608,C608)),"st","nd","rd","th"),"")</f>
        <v/>
      </c>
    </row>
    <row r="609" spans="8:14" x14ac:dyDescent="0.3">
      <c r="H609" s="384" t="str">
        <f t="shared" si="10"/>
        <v/>
      </c>
      <c r="N609" s="378" t="str">
        <f>IFERROR(COUNTIF($C$18:C609,C609)&amp;CHOOSE(MIN(4,COUNTIF($C$18:C609,C609)),"st","nd","rd","th"),"")</f>
        <v/>
      </c>
    </row>
    <row r="610" spans="8:14" x14ac:dyDescent="0.3">
      <c r="H610" s="384" t="str">
        <f t="shared" si="10"/>
        <v/>
      </c>
      <c r="N610" s="378" t="str">
        <f>IFERROR(COUNTIF($C$18:C610,C610)&amp;CHOOSE(MIN(4,COUNTIF($C$18:C610,C610)),"st","nd","rd","th"),"")</f>
        <v/>
      </c>
    </row>
    <row r="611" spans="8:14" x14ac:dyDescent="0.3">
      <c r="H611" s="384" t="str">
        <f t="shared" si="10"/>
        <v/>
      </c>
      <c r="N611" s="378" t="str">
        <f>IFERROR(COUNTIF($C$18:C611,C611)&amp;CHOOSE(MIN(4,COUNTIF($C$18:C611,C611)),"st","nd","rd","th"),"")</f>
        <v/>
      </c>
    </row>
    <row r="612" spans="8:14" x14ac:dyDescent="0.3">
      <c r="H612" s="384" t="str">
        <f t="shared" si="10"/>
        <v/>
      </c>
      <c r="N612" s="378" t="str">
        <f>IFERROR(COUNTIF($C$18:C612,C612)&amp;CHOOSE(MIN(4,COUNTIF($C$18:C612,C612)),"st","nd","rd","th"),"")</f>
        <v/>
      </c>
    </row>
    <row r="613" spans="8:14" x14ac:dyDescent="0.3">
      <c r="H613" s="384" t="str">
        <f t="shared" si="10"/>
        <v/>
      </c>
      <c r="N613" s="378" t="str">
        <f>IFERROR(COUNTIF($C$18:C613,C613)&amp;CHOOSE(MIN(4,COUNTIF($C$18:C613,C613)),"st","nd","rd","th"),"")</f>
        <v/>
      </c>
    </row>
    <row r="614" spans="8:14" x14ac:dyDescent="0.3">
      <c r="H614" s="384" t="str">
        <f t="shared" si="10"/>
        <v/>
      </c>
      <c r="N614" s="378" t="str">
        <f>IFERROR(COUNTIF($C$18:C614,C614)&amp;CHOOSE(MIN(4,COUNTIF($C$18:C614,C614)),"st","nd","rd","th"),"")</f>
        <v/>
      </c>
    </row>
    <row r="615" spans="8:14" x14ac:dyDescent="0.3">
      <c r="H615" s="384" t="str">
        <f t="shared" si="10"/>
        <v/>
      </c>
      <c r="N615" s="378" t="str">
        <f>IFERROR(COUNTIF($C$18:C615,C615)&amp;CHOOSE(MIN(4,COUNTIF($C$18:C615,C615)),"st","nd","rd","th"),"")</f>
        <v/>
      </c>
    </row>
    <row r="616" spans="8:14" x14ac:dyDescent="0.3">
      <c r="H616" s="384" t="str">
        <f t="shared" si="10"/>
        <v/>
      </c>
      <c r="N616" s="378" t="str">
        <f>IFERROR(COUNTIF($C$18:C616,C616)&amp;CHOOSE(MIN(4,COUNTIF($C$18:C616,C616)),"st","nd","rd","th"),"")</f>
        <v/>
      </c>
    </row>
    <row r="617" spans="8:14" x14ac:dyDescent="0.3">
      <c r="H617" s="384" t="str">
        <f t="shared" si="10"/>
        <v/>
      </c>
      <c r="N617" s="378" t="str">
        <f>IFERROR(COUNTIF($C$18:C617,C617)&amp;CHOOSE(MIN(4,COUNTIF($C$18:C617,C617)),"st","nd","rd","th"),"")</f>
        <v/>
      </c>
    </row>
    <row r="618" spans="8:14" x14ac:dyDescent="0.3">
      <c r="H618" s="384" t="str">
        <f t="shared" si="10"/>
        <v/>
      </c>
      <c r="N618" s="378" t="str">
        <f>IFERROR(COUNTIF($C$18:C618,C618)&amp;CHOOSE(MIN(4,COUNTIF($C$18:C618,C618)),"st","nd","rd","th"),"")</f>
        <v/>
      </c>
    </row>
    <row r="619" spans="8:14" x14ac:dyDescent="0.3">
      <c r="H619" s="384" t="str">
        <f t="shared" si="10"/>
        <v/>
      </c>
      <c r="N619" s="378" t="str">
        <f>IFERROR(COUNTIF($C$18:C619,C619)&amp;CHOOSE(MIN(4,COUNTIF($C$18:C619,C619)),"st","nd","rd","th"),"")</f>
        <v/>
      </c>
    </row>
    <row r="620" spans="8:14" x14ac:dyDescent="0.3">
      <c r="H620" s="384" t="str">
        <f t="shared" si="10"/>
        <v/>
      </c>
      <c r="N620" s="378" t="str">
        <f>IFERROR(COUNTIF($C$18:C620,C620)&amp;CHOOSE(MIN(4,COUNTIF($C$18:C620,C620)),"st","nd","rd","th"),"")</f>
        <v/>
      </c>
    </row>
    <row r="621" spans="8:14" x14ac:dyDescent="0.3">
      <c r="H621" s="384" t="str">
        <f t="shared" si="10"/>
        <v/>
      </c>
      <c r="N621" s="378" t="str">
        <f>IFERROR(COUNTIF($C$18:C621,C621)&amp;CHOOSE(MIN(4,COUNTIF($C$18:C621,C621)),"st","nd","rd","th"),"")</f>
        <v/>
      </c>
    </row>
    <row r="622" spans="8:14" x14ac:dyDescent="0.3">
      <c r="H622" s="384" t="str">
        <f t="shared" si="10"/>
        <v/>
      </c>
      <c r="N622" s="378" t="str">
        <f>IFERROR(COUNTIF($C$18:C622,C622)&amp;CHOOSE(MIN(4,COUNTIF($C$18:C622,C622)),"st","nd","rd","th"),"")</f>
        <v/>
      </c>
    </row>
    <row r="623" spans="8:14" x14ac:dyDescent="0.3">
      <c r="H623" s="384" t="str">
        <f t="shared" si="10"/>
        <v/>
      </c>
      <c r="N623" s="378" t="str">
        <f>IFERROR(COUNTIF($C$18:C623,C623)&amp;CHOOSE(MIN(4,COUNTIF($C$18:C623,C623)),"st","nd","rd","th"),"")</f>
        <v/>
      </c>
    </row>
    <row r="624" spans="8:14" x14ac:dyDescent="0.3">
      <c r="H624" s="384" t="str">
        <f t="shared" si="10"/>
        <v/>
      </c>
      <c r="N624" s="378" t="str">
        <f>IFERROR(COUNTIF($C$18:C624,C624)&amp;CHOOSE(MIN(4,COUNTIF($C$18:C624,C624)),"st","nd","rd","th"),"")</f>
        <v/>
      </c>
    </row>
    <row r="625" spans="8:14" x14ac:dyDescent="0.3">
      <c r="H625" s="384" t="str">
        <f t="shared" si="10"/>
        <v/>
      </c>
      <c r="N625" s="378" t="str">
        <f>IFERROR(COUNTIF($C$18:C625,C625)&amp;CHOOSE(MIN(4,COUNTIF($C$18:C625,C625)),"st","nd","rd","th"),"")</f>
        <v/>
      </c>
    </row>
    <row r="626" spans="8:14" x14ac:dyDescent="0.3">
      <c r="H626" s="384" t="str">
        <f t="shared" si="10"/>
        <v/>
      </c>
      <c r="N626" s="378" t="str">
        <f>IFERROR(COUNTIF($C$18:C626,C626)&amp;CHOOSE(MIN(4,COUNTIF($C$18:C626,C626)),"st","nd","rd","th"),"")</f>
        <v/>
      </c>
    </row>
    <row r="627" spans="8:14" x14ac:dyDescent="0.3">
      <c r="H627" s="384" t="str">
        <f t="shared" si="10"/>
        <v/>
      </c>
      <c r="N627" s="378" t="str">
        <f>IFERROR(COUNTIF($C$18:C627,C627)&amp;CHOOSE(MIN(4,COUNTIF($C$18:C627,C627)),"st","nd","rd","th"),"")</f>
        <v/>
      </c>
    </row>
    <row r="628" spans="8:14" x14ac:dyDescent="0.3">
      <c r="H628" s="384" t="str">
        <f t="shared" si="10"/>
        <v/>
      </c>
      <c r="N628" s="378" t="str">
        <f>IFERROR(COUNTIF($C$18:C628,C628)&amp;CHOOSE(MIN(4,COUNTIF($C$18:C628,C628)),"st","nd","rd","th"),"")</f>
        <v/>
      </c>
    </row>
    <row r="629" spans="8:14" x14ac:dyDescent="0.3">
      <c r="H629" s="384" t="str">
        <f t="shared" si="10"/>
        <v/>
      </c>
      <c r="N629" s="378" t="str">
        <f>IFERROR(COUNTIF($C$18:C629,C629)&amp;CHOOSE(MIN(4,COUNTIF($C$18:C629,C629)),"st","nd","rd","th"),"")</f>
        <v/>
      </c>
    </row>
    <row r="630" spans="8:14" x14ac:dyDescent="0.3">
      <c r="H630" s="384" t="str">
        <f t="shared" si="10"/>
        <v/>
      </c>
      <c r="N630" s="378" t="str">
        <f>IFERROR(COUNTIF($C$18:C630,C630)&amp;CHOOSE(MIN(4,COUNTIF($C$18:C630,C630)),"st","nd","rd","th"),"")</f>
        <v/>
      </c>
    </row>
    <row r="631" spans="8:14" x14ac:dyDescent="0.3">
      <c r="H631" s="384" t="str">
        <f t="shared" si="10"/>
        <v/>
      </c>
      <c r="N631" s="378" t="str">
        <f>IFERROR(COUNTIF($C$18:C631,C631)&amp;CHOOSE(MIN(4,COUNTIF($C$18:C631,C631)),"st","nd","rd","th"),"")</f>
        <v/>
      </c>
    </row>
    <row r="632" spans="8:14" x14ac:dyDescent="0.3">
      <c r="H632" s="384" t="str">
        <f t="shared" si="10"/>
        <v/>
      </c>
      <c r="N632" s="378" t="str">
        <f>IFERROR(COUNTIF($C$18:C632,C632)&amp;CHOOSE(MIN(4,COUNTIF($C$18:C632,C632)),"st","nd","rd","th"),"")</f>
        <v/>
      </c>
    </row>
    <row r="633" spans="8:14" x14ac:dyDescent="0.3">
      <c r="H633" s="384" t="str">
        <f t="shared" si="10"/>
        <v/>
      </c>
      <c r="N633" s="378" t="str">
        <f>IFERROR(COUNTIF($C$18:C633,C633)&amp;CHOOSE(MIN(4,COUNTIF($C$18:C633,C633)),"st","nd","rd","th"),"")</f>
        <v/>
      </c>
    </row>
    <row r="634" spans="8:14" x14ac:dyDescent="0.3">
      <c r="H634" s="384" t="str">
        <f t="shared" si="10"/>
        <v/>
      </c>
      <c r="N634" s="378" t="str">
        <f>IFERROR(COUNTIF($C$18:C634,C634)&amp;CHOOSE(MIN(4,COUNTIF($C$18:C634,C634)),"st","nd","rd","th"),"")</f>
        <v/>
      </c>
    </row>
    <row r="635" spans="8:14" x14ac:dyDescent="0.3">
      <c r="H635" s="384" t="str">
        <f t="shared" si="10"/>
        <v/>
      </c>
      <c r="N635" s="378" t="str">
        <f>IFERROR(COUNTIF($C$18:C635,C635)&amp;CHOOSE(MIN(4,COUNTIF($C$18:C635,C635)),"st","nd","rd","th"),"")</f>
        <v/>
      </c>
    </row>
    <row r="636" spans="8:14" x14ac:dyDescent="0.3">
      <c r="H636" s="384" t="str">
        <f t="shared" si="10"/>
        <v/>
      </c>
      <c r="N636" s="378" t="str">
        <f>IFERROR(COUNTIF($C$18:C636,C636)&amp;CHOOSE(MIN(4,COUNTIF($C$18:C636,C636)),"st","nd","rd","th"),"")</f>
        <v/>
      </c>
    </row>
    <row r="637" spans="8:14" x14ac:dyDescent="0.3">
      <c r="H637" s="384" t="str">
        <f t="shared" si="10"/>
        <v/>
      </c>
      <c r="N637" s="378" t="str">
        <f>IFERROR(COUNTIF($C$18:C637,C637)&amp;CHOOSE(MIN(4,COUNTIF($C$18:C637,C637)),"st","nd","rd","th"),"")</f>
        <v/>
      </c>
    </row>
    <row r="638" spans="8:14" x14ac:dyDescent="0.3">
      <c r="H638" s="384" t="str">
        <f t="shared" si="10"/>
        <v/>
      </c>
      <c r="N638" s="378" t="str">
        <f>IFERROR(COUNTIF($C$18:C638,C638)&amp;CHOOSE(MIN(4,COUNTIF($C$18:C638,C638)),"st","nd","rd","th"),"")</f>
        <v/>
      </c>
    </row>
    <row r="639" spans="8:14" x14ac:dyDescent="0.3">
      <c r="H639" s="384" t="str">
        <f t="shared" si="10"/>
        <v/>
      </c>
      <c r="N639" s="378" t="str">
        <f>IFERROR(COUNTIF($C$18:C639,C639)&amp;CHOOSE(MIN(4,COUNTIF($C$18:C639,C639)),"st","nd","rd","th"),"")</f>
        <v/>
      </c>
    </row>
    <row r="640" spans="8:14" x14ac:dyDescent="0.3">
      <c r="H640" s="384" t="str">
        <f t="shared" si="10"/>
        <v/>
      </c>
      <c r="N640" s="378" t="str">
        <f>IFERROR(COUNTIF($C$18:C640,C640)&amp;CHOOSE(MIN(4,COUNTIF($C$18:C640,C640)),"st","nd","rd","th"),"")</f>
        <v/>
      </c>
    </row>
    <row r="641" spans="8:14" x14ac:dyDescent="0.3">
      <c r="H641" s="384" t="str">
        <f t="shared" si="10"/>
        <v/>
      </c>
      <c r="N641" s="378" t="str">
        <f>IFERROR(COUNTIF($C$18:C641,C641)&amp;CHOOSE(MIN(4,COUNTIF($C$18:C641,C641)),"st","nd","rd","th"),"")</f>
        <v/>
      </c>
    </row>
    <row r="642" spans="8:14" x14ac:dyDescent="0.3">
      <c r="H642" s="384" t="str">
        <f t="shared" si="10"/>
        <v/>
      </c>
      <c r="N642" s="378" t="str">
        <f>IFERROR(COUNTIF($C$18:C642,C642)&amp;CHOOSE(MIN(4,COUNTIF($C$18:C642,C642)),"st","nd","rd","th"),"")</f>
        <v/>
      </c>
    </row>
    <row r="643" spans="8:14" x14ac:dyDescent="0.3">
      <c r="H643" s="384" t="str">
        <f t="shared" si="10"/>
        <v/>
      </c>
      <c r="N643" s="378" t="str">
        <f>IFERROR(COUNTIF($C$18:C643,C643)&amp;CHOOSE(MIN(4,COUNTIF($C$18:C643,C643)),"st","nd","rd","th"),"")</f>
        <v/>
      </c>
    </row>
    <row r="644" spans="8:14" x14ac:dyDescent="0.3">
      <c r="H644" s="384" t="str">
        <f t="shared" si="10"/>
        <v/>
      </c>
      <c r="N644" s="378" t="str">
        <f>IFERROR(COUNTIF($C$18:C644,C644)&amp;CHOOSE(MIN(4,COUNTIF($C$18:C644,C644)),"st","nd","rd","th"),"")</f>
        <v/>
      </c>
    </row>
    <row r="645" spans="8:14" x14ac:dyDescent="0.3">
      <c r="H645" s="384" t="str">
        <f t="shared" si="10"/>
        <v/>
      </c>
      <c r="N645" s="378" t="str">
        <f>IFERROR(COUNTIF($C$18:C645,C645)&amp;CHOOSE(MIN(4,COUNTIF($C$18:C645,C645)),"st","nd","rd","th"),"")</f>
        <v/>
      </c>
    </row>
    <row r="646" spans="8:14" x14ac:dyDescent="0.3">
      <c r="H646" s="384" t="str">
        <f t="shared" si="10"/>
        <v/>
      </c>
      <c r="N646" s="378" t="str">
        <f>IFERROR(COUNTIF($C$18:C646,C646)&amp;CHOOSE(MIN(4,COUNTIF($C$18:C646,C646)),"st","nd","rd","th"),"")</f>
        <v/>
      </c>
    </row>
    <row r="647" spans="8:14" x14ac:dyDescent="0.3">
      <c r="H647" s="384" t="str">
        <f t="shared" si="10"/>
        <v/>
      </c>
      <c r="N647" s="378" t="str">
        <f>IFERROR(COUNTIF($C$18:C647,C647)&amp;CHOOSE(MIN(4,COUNTIF($C$18:C647,C647)),"st","nd","rd","th"),"")</f>
        <v/>
      </c>
    </row>
    <row r="648" spans="8:14" x14ac:dyDescent="0.3">
      <c r="H648" s="384" t="str">
        <f t="shared" si="10"/>
        <v/>
      </c>
      <c r="N648" s="378" t="str">
        <f>IFERROR(COUNTIF($C$18:C648,C648)&amp;CHOOSE(MIN(4,COUNTIF($C$18:C648,C648)),"st","nd","rd","th"),"")</f>
        <v/>
      </c>
    </row>
    <row r="649" spans="8:14" x14ac:dyDescent="0.3">
      <c r="H649" s="384" t="str">
        <f t="shared" si="10"/>
        <v/>
      </c>
      <c r="N649" s="378" t="str">
        <f>IFERROR(COUNTIF($C$18:C649,C649)&amp;CHOOSE(MIN(4,COUNTIF($C$18:C649,C649)),"st","nd","rd","th"),"")</f>
        <v/>
      </c>
    </row>
    <row r="650" spans="8:14" x14ac:dyDescent="0.3">
      <c r="H650" s="384" t="str">
        <f t="shared" si="10"/>
        <v/>
      </c>
      <c r="N650" s="378" t="str">
        <f>IFERROR(COUNTIF($C$18:C650,C650)&amp;CHOOSE(MIN(4,COUNTIF($C$18:C650,C650)),"st","nd","rd","th"),"")</f>
        <v/>
      </c>
    </row>
    <row r="651" spans="8:14" x14ac:dyDescent="0.3">
      <c r="H651" s="384" t="str">
        <f t="shared" si="10"/>
        <v/>
      </c>
      <c r="N651" s="378" t="str">
        <f>IFERROR(COUNTIF($C$18:C651,C651)&amp;CHOOSE(MIN(4,COUNTIF($C$18:C651,C651)),"st","nd","rd","th"),"")</f>
        <v/>
      </c>
    </row>
    <row r="652" spans="8:14" x14ac:dyDescent="0.3">
      <c r="H652" s="384" t="str">
        <f t="shared" si="10"/>
        <v/>
      </c>
      <c r="N652" s="378" t="str">
        <f>IFERROR(COUNTIF($C$18:C652,C652)&amp;CHOOSE(MIN(4,COUNTIF($C$18:C652,C652)),"st","nd","rd","th"),"")</f>
        <v/>
      </c>
    </row>
    <row r="653" spans="8:14" x14ac:dyDescent="0.3">
      <c r="H653" s="384" t="str">
        <f t="shared" si="10"/>
        <v/>
      </c>
      <c r="N653" s="378" t="str">
        <f>IFERROR(COUNTIF($C$18:C653,C653)&amp;CHOOSE(MIN(4,COUNTIF($C$18:C653,C653)),"st","nd","rd","th"),"")</f>
        <v/>
      </c>
    </row>
    <row r="654" spans="8:14" x14ac:dyDescent="0.3">
      <c r="H654" s="384" t="str">
        <f t="shared" si="10"/>
        <v/>
      </c>
      <c r="N654" s="378" t="str">
        <f>IFERROR(COUNTIF($C$18:C654,C654)&amp;CHOOSE(MIN(4,COUNTIF($C$18:C654,C654)),"st","nd","rd","th"),"")</f>
        <v/>
      </c>
    </row>
    <row r="655" spans="8:14" x14ac:dyDescent="0.3">
      <c r="H655" s="384" t="str">
        <f t="shared" si="10"/>
        <v/>
      </c>
      <c r="N655" s="378" t="str">
        <f>IFERROR(COUNTIF($C$18:C655,C655)&amp;CHOOSE(MIN(4,COUNTIF($C$18:C655,C655)),"st","nd","rd","th"),"")</f>
        <v/>
      </c>
    </row>
    <row r="656" spans="8:14" x14ac:dyDescent="0.3">
      <c r="H656" s="384" t="str">
        <f t="shared" si="10"/>
        <v/>
      </c>
      <c r="N656" s="378" t="str">
        <f>IFERROR(COUNTIF($C$18:C656,C656)&amp;CHOOSE(MIN(4,COUNTIF($C$18:C656,C656)),"st","nd","rd","th"),"")</f>
        <v/>
      </c>
    </row>
    <row r="657" spans="8:14" x14ac:dyDescent="0.3">
      <c r="H657" s="384" t="str">
        <f t="shared" si="10"/>
        <v/>
      </c>
      <c r="N657" s="378" t="str">
        <f>IFERROR(COUNTIF($C$18:C657,C657)&amp;CHOOSE(MIN(4,COUNTIF($C$18:C657,C657)),"st","nd","rd","th"),"")</f>
        <v/>
      </c>
    </row>
    <row r="658" spans="8:14" x14ac:dyDescent="0.3">
      <c r="H658" s="384" t="str">
        <f t="shared" ref="H658:H721" si="11">IF(OR(ISBLANK(G658), ISBLANK(F658)), "", IF(G658=F658, 1, SUM(_xlfn.DAYS(G658, F658), 1)))</f>
        <v/>
      </c>
      <c r="N658" s="378" t="str">
        <f>IFERROR(COUNTIF($C$18:C658,C658)&amp;CHOOSE(MIN(4,COUNTIF($C$18:C658,C658)),"st","nd","rd","th"),"")</f>
        <v/>
      </c>
    </row>
    <row r="659" spans="8:14" x14ac:dyDescent="0.3">
      <c r="H659" s="384" t="str">
        <f t="shared" si="11"/>
        <v/>
      </c>
      <c r="N659" s="378" t="str">
        <f>IFERROR(COUNTIF($C$18:C659,C659)&amp;CHOOSE(MIN(4,COUNTIF($C$18:C659,C659)),"st","nd","rd","th"),"")</f>
        <v/>
      </c>
    </row>
    <row r="660" spans="8:14" x14ac:dyDescent="0.3">
      <c r="H660" s="384" t="str">
        <f t="shared" si="11"/>
        <v/>
      </c>
      <c r="N660" s="378" t="str">
        <f>IFERROR(COUNTIF($C$18:C660,C660)&amp;CHOOSE(MIN(4,COUNTIF($C$18:C660,C660)),"st","nd","rd","th"),"")</f>
        <v/>
      </c>
    </row>
    <row r="661" spans="8:14" x14ac:dyDescent="0.3">
      <c r="H661" s="384" t="str">
        <f t="shared" si="11"/>
        <v/>
      </c>
      <c r="N661" s="378" t="str">
        <f>IFERROR(COUNTIF($C$18:C661,C661)&amp;CHOOSE(MIN(4,COUNTIF($C$18:C661,C661)),"st","nd","rd","th"),"")</f>
        <v/>
      </c>
    </row>
    <row r="662" spans="8:14" x14ac:dyDescent="0.3">
      <c r="H662" s="384" t="str">
        <f t="shared" si="11"/>
        <v/>
      </c>
      <c r="N662" s="378" t="str">
        <f>IFERROR(COUNTIF($C$18:C662,C662)&amp;CHOOSE(MIN(4,COUNTIF($C$18:C662,C662)),"st","nd","rd","th"),"")</f>
        <v/>
      </c>
    </row>
    <row r="663" spans="8:14" x14ac:dyDescent="0.3">
      <c r="H663" s="384" t="str">
        <f t="shared" si="11"/>
        <v/>
      </c>
      <c r="N663" s="378" t="str">
        <f>IFERROR(COUNTIF($C$18:C663,C663)&amp;CHOOSE(MIN(4,COUNTIF($C$18:C663,C663)),"st","nd","rd","th"),"")</f>
        <v/>
      </c>
    </row>
    <row r="664" spans="8:14" x14ac:dyDescent="0.3">
      <c r="H664" s="384" t="str">
        <f t="shared" si="11"/>
        <v/>
      </c>
      <c r="N664" s="378" t="str">
        <f>IFERROR(COUNTIF($C$18:C664,C664)&amp;CHOOSE(MIN(4,COUNTIF($C$18:C664,C664)),"st","nd","rd","th"),"")</f>
        <v/>
      </c>
    </row>
    <row r="665" spans="8:14" x14ac:dyDescent="0.3">
      <c r="H665" s="384" t="str">
        <f t="shared" si="11"/>
        <v/>
      </c>
      <c r="N665" s="378" t="str">
        <f>IFERROR(COUNTIF($C$18:C665,C665)&amp;CHOOSE(MIN(4,COUNTIF($C$18:C665,C665)),"st","nd","rd","th"),"")</f>
        <v/>
      </c>
    </row>
    <row r="666" spans="8:14" x14ac:dyDescent="0.3">
      <c r="H666" s="384" t="str">
        <f t="shared" si="11"/>
        <v/>
      </c>
      <c r="N666" s="378" t="str">
        <f>IFERROR(COUNTIF($C$18:C666,C666)&amp;CHOOSE(MIN(4,COUNTIF($C$18:C666,C666)),"st","nd","rd","th"),"")</f>
        <v/>
      </c>
    </row>
    <row r="667" spans="8:14" x14ac:dyDescent="0.3">
      <c r="H667" s="384" t="str">
        <f t="shared" si="11"/>
        <v/>
      </c>
      <c r="N667" s="378" t="str">
        <f>IFERROR(COUNTIF($C$18:C667,C667)&amp;CHOOSE(MIN(4,COUNTIF($C$18:C667,C667)),"st","nd","rd","th"),"")</f>
        <v/>
      </c>
    </row>
    <row r="668" spans="8:14" x14ac:dyDescent="0.3">
      <c r="H668" s="384" t="str">
        <f t="shared" si="11"/>
        <v/>
      </c>
      <c r="N668" s="378" t="str">
        <f>IFERROR(COUNTIF($C$18:C668,C668)&amp;CHOOSE(MIN(4,COUNTIF($C$18:C668,C668)),"st","nd","rd","th"),"")</f>
        <v/>
      </c>
    </row>
    <row r="669" spans="8:14" x14ac:dyDescent="0.3">
      <c r="H669" s="384" t="str">
        <f t="shared" si="11"/>
        <v/>
      </c>
      <c r="N669" s="378" t="str">
        <f>IFERROR(COUNTIF($C$18:C669,C669)&amp;CHOOSE(MIN(4,COUNTIF($C$18:C669,C669)),"st","nd","rd","th"),"")</f>
        <v/>
      </c>
    </row>
    <row r="670" spans="8:14" x14ac:dyDescent="0.3">
      <c r="H670" s="384" t="str">
        <f t="shared" si="11"/>
        <v/>
      </c>
      <c r="N670" s="378" t="str">
        <f>IFERROR(COUNTIF($C$18:C670,C670)&amp;CHOOSE(MIN(4,COUNTIF($C$18:C670,C670)),"st","nd","rd","th"),"")</f>
        <v/>
      </c>
    </row>
    <row r="671" spans="8:14" x14ac:dyDescent="0.3">
      <c r="H671" s="384" t="str">
        <f t="shared" si="11"/>
        <v/>
      </c>
      <c r="N671" s="378" t="str">
        <f>IFERROR(COUNTIF($C$18:C671,C671)&amp;CHOOSE(MIN(4,COUNTIF($C$18:C671,C671)),"st","nd","rd","th"),"")</f>
        <v/>
      </c>
    </row>
    <row r="672" spans="8:14" x14ac:dyDescent="0.3">
      <c r="H672" s="384" t="str">
        <f t="shared" si="11"/>
        <v/>
      </c>
      <c r="N672" s="378" t="str">
        <f>IFERROR(COUNTIF($C$18:C672,C672)&amp;CHOOSE(MIN(4,COUNTIF($C$18:C672,C672)),"st","nd","rd","th"),"")</f>
        <v/>
      </c>
    </row>
    <row r="673" spans="8:14" x14ac:dyDescent="0.3">
      <c r="H673" s="384" t="str">
        <f t="shared" si="11"/>
        <v/>
      </c>
      <c r="N673" s="378" t="str">
        <f>IFERROR(COUNTIF($C$18:C673,C673)&amp;CHOOSE(MIN(4,COUNTIF($C$18:C673,C673)),"st","nd","rd","th"),"")</f>
        <v/>
      </c>
    </row>
    <row r="674" spans="8:14" x14ac:dyDescent="0.3">
      <c r="H674" s="384" t="str">
        <f t="shared" si="11"/>
        <v/>
      </c>
      <c r="N674" s="378" t="str">
        <f>IFERROR(COUNTIF($C$18:C674,C674)&amp;CHOOSE(MIN(4,COUNTIF($C$18:C674,C674)),"st","nd","rd","th"),"")</f>
        <v/>
      </c>
    </row>
    <row r="675" spans="8:14" x14ac:dyDescent="0.3">
      <c r="H675" s="384" t="str">
        <f t="shared" si="11"/>
        <v/>
      </c>
      <c r="N675" s="378" t="str">
        <f>IFERROR(COUNTIF($C$18:C675,C675)&amp;CHOOSE(MIN(4,COUNTIF($C$18:C675,C675)),"st","nd","rd","th"),"")</f>
        <v/>
      </c>
    </row>
    <row r="676" spans="8:14" x14ac:dyDescent="0.3">
      <c r="H676" s="384" t="str">
        <f t="shared" si="11"/>
        <v/>
      </c>
      <c r="N676" s="378" t="str">
        <f>IFERROR(COUNTIF($C$18:C676,C676)&amp;CHOOSE(MIN(4,COUNTIF($C$18:C676,C676)),"st","nd","rd","th"),"")</f>
        <v/>
      </c>
    </row>
    <row r="677" spans="8:14" x14ac:dyDescent="0.3">
      <c r="H677" s="384" t="str">
        <f t="shared" si="11"/>
        <v/>
      </c>
      <c r="N677" s="378" t="str">
        <f>IFERROR(COUNTIF($C$18:C677,C677)&amp;CHOOSE(MIN(4,COUNTIF($C$18:C677,C677)),"st","nd","rd","th"),"")</f>
        <v/>
      </c>
    </row>
    <row r="678" spans="8:14" x14ac:dyDescent="0.3">
      <c r="H678" s="384" t="str">
        <f t="shared" si="11"/>
        <v/>
      </c>
      <c r="N678" s="378" t="str">
        <f>IFERROR(COUNTIF($C$18:C678,C678)&amp;CHOOSE(MIN(4,COUNTIF($C$18:C678,C678)),"st","nd","rd","th"),"")</f>
        <v/>
      </c>
    </row>
    <row r="679" spans="8:14" x14ac:dyDescent="0.3">
      <c r="H679" s="384" t="str">
        <f t="shared" si="11"/>
        <v/>
      </c>
      <c r="N679" s="378" t="str">
        <f>IFERROR(COUNTIF($C$18:C679,C679)&amp;CHOOSE(MIN(4,COUNTIF($C$18:C679,C679)),"st","nd","rd","th"),"")</f>
        <v/>
      </c>
    </row>
    <row r="680" spans="8:14" x14ac:dyDescent="0.3">
      <c r="H680" s="384" t="str">
        <f t="shared" si="11"/>
        <v/>
      </c>
      <c r="N680" s="378" t="str">
        <f>IFERROR(COUNTIF($C$18:C680,C680)&amp;CHOOSE(MIN(4,COUNTIF($C$18:C680,C680)),"st","nd","rd","th"),"")</f>
        <v/>
      </c>
    </row>
    <row r="681" spans="8:14" x14ac:dyDescent="0.3">
      <c r="H681" s="384" t="str">
        <f t="shared" si="11"/>
        <v/>
      </c>
      <c r="N681" s="378" t="str">
        <f>IFERROR(COUNTIF($C$18:C681,C681)&amp;CHOOSE(MIN(4,COUNTIF($C$18:C681,C681)),"st","nd","rd","th"),"")</f>
        <v/>
      </c>
    </row>
    <row r="682" spans="8:14" x14ac:dyDescent="0.3">
      <c r="H682" s="384" t="str">
        <f t="shared" si="11"/>
        <v/>
      </c>
      <c r="N682" s="378" t="str">
        <f>IFERROR(COUNTIF($C$18:C682,C682)&amp;CHOOSE(MIN(4,COUNTIF($C$18:C682,C682)),"st","nd","rd","th"),"")</f>
        <v/>
      </c>
    </row>
    <row r="683" spans="8:14" x14ac:dyDescent="0.3">
      <c r="H683" s="384" t="str">
        <f t="shared" si="11"/>
        <v/>
      </c>
      <c r="N683" s="378" t="str">
        <f>IFERROR(COUNTIF($C$18:C683,C683)&amp;CHOOSE(MIN(4,COUNTIF($C$18:C683,C683)),"st","nd","rd","th"),"")</f>
        <v/>
      </c>
    </row>
    <row r="684" spans="8:14" x14ac:dyDescent="0.3">
      <c r="H684" s="384" t="str">
        <f t="shared" si="11"/>
        <v/>
      </c>
      <c r="N684" s="378" t="str">
        <f>IFERROR(COUNTIF($C$18:C684,C684)&amp;CHOOSE(MIN(4,COUNTIF($C$18:C684,C684)),"st","nd","rd","th"),"")</f>
        <v/>
      </c>
    </row>
    <row r="685" spans="8:14" x14ac:dyDescent="0.3">
      <c r="H685" s="384" t="str">
        <f t="shared" si="11"/>
        <v/>
      </c>
      <c r="N685" s="378" t="str">
        <f>IFERROR(COUNTIF($C$18:C685,C685)&amp;CHOOSE(MIN(4,COUNTIF($C$18:C685,C685)),"st","nd","rd","th"),"")</f>
        <v/>
      </c>
    </row>
    <row r="686" spans="8:14" x14ac:dyDescent="0.3">
      <c r="H686" s="384" t="str">
        <f t="shared" si="11"/>
        <v/>
      </c>
      <c r="N686" s="378" t="str">
        <f>IFERROR(COUNTIF($C$18:C686,C686)&amp;CHOOSE(MIN(4,COUNTIF($C$18:C686,C686)),"st","nd","rd","th"),"")</f>
        <v/>
      </c>
    </row>
    <row r="687" spans="8:14" x14ac:dyDescent="0.3">
      <c r="H687" s="384" t="str">
        <f t="shared" si="11"/>
        <v/>
      </c>
      <c r="N687" s="378" t="str">
        <f>IFERROR(COUNTIF($C$18:C687,C687)&amp;CHOOSE(MIN(4,COUNTIF($C$18:C687,C687)),"st","nd","rd","th"),"")</f>
        <v/>
      </c>
    </row>
    <row r="688" spans="8:14" x14ac:dyDescent="0.3">
      <c r="H688" s="384" t="str">
        <f t="shared" si="11"/>
        <v/>
      </c>
      <c r="N688" s="378" t="str">
        <f>IFERROR(COUNTIF($C$18:C688,C688)&amp;CHOOSE(MIN(4,COUNTIF($C$18:C688,C688)),"st","nd","rd","th"),"")</f>
        <v/>
      </c>
    </row>
    <row r="689" spans="8:14" x14ac:dyDescent="0.3">
      <c r="H689" s="384" t="str">
        <f t="shared" si="11"/>
        <v/>
      </c>
      <c r="N689" s="378" t="str">
        <f>IFERROR(COUNTIF($C$18:C689,C689)&amp;CHOOSE(MIN(4,COUNTIF($C$18:C689,C689)),"st","nd","rd","th"),"")</f>
        <v/>
      </c>
    </row>
    <row r="690" spans="8:14" x14ac:dyDescent="0.3">
      <c r="H690" s="384" t="str">
        <f t="shared" si="11"/>
        <v/>
      </c>
      <c r="N690" s="378" t="str">
        <f>IFERROR(COUNTIF($C$18:C690,C690)&amp;CHOOSE(MIN(4,COUNTIF($C$18:C690,C690)),"st","nd","rd","th"),"")</f>
        <v/>
      </c>
    </row>
    <row r="691" spans="8:14" x14ac:dyDescent="0.3">
      <c r="H691" s="384" t="str">
        <f t="shared" si="11"/>
        <v/>
      </c>
      <c r="N691" s="378" t="str">
        <f>IFERROR(COUNTIF($C$18:C691,C691)&amp;CHOOSE(MIN(4,COUNTIF($C$18:C691,C691)),"st","nd","rd","th"),"")</f>
        <v/>
      </c>
    </row>
    <row r="692" spans="8:14" x14ac:dyDescent="0.3">
      <c r="H692" s="384" t="str">
        <f t="shared" si="11"/>
        <v/>
      </c>
      <c r="N692" s="378" t="str">
        <f>IFERROR(COUNTIF($C$18:C692,C692)&amp;CHOOSE(MIN(4,COUNTIF($C$18:C692,C692)),"st","nd","rd","th"),"")</f>
        <v/>
      </c>
    </row>
    <row r="693" spans="8:14" x14ac:dyDescent="0.3">
      <c r="H693" s="384" t="str">
        <f t="shared" si="11"/>
        <v/>
      </c>
      <c r="N693" s="378" t="str">
        <f>IFERROR(COUNTIF($C$18:C693,C693)&amp;CHOOSE(MIN(4,COUNTIF($C$18:C693,C693)),"st","nd","rd","th"),"")</f>
        <v/>
      </c>
    </row>
    <row r="694" spans="8:14" x14ac:dyDescent="0.3">
      <c r="H694" s="384" t="str">
        <f t="shared" si="11"/>
        <v/>
      </c>
      <c r="N694" s="378" t="str">
        <f>IFERROR(COUNTIF($C$18:C694,C694)&amp;CHOOSE(MIN(4,COUNTIF($C$18:C694,C694)),"st","nd","rd","th"),"")</f>
        <v/>
      </c>
    </row>
    <row r="695" spans="8:14" x14ac:dyDescent="0.3">
      <c r="H695" s="384" t="str">
        <f t="shared" si="11"/>
        <v/>
      </c>
      <c r="N695" s="378" t="str">
        <f>IFERROR(COUNTIF($C$18:C695,C695)&amp;CHOOSE(MIN(4,COUNTIF($C$18:C695,C695)),"st","nd","rd","th"),"")</f>
        <v/>
      </c>
    </row>
    <row r="696" spans="8:14" x14ac:dyDescent="0.3">
      <c r="H696" s="384" t="str">
        <f t="shared" si="11"/>
        <v/>
      </c>
      <c r="N696" s="378" t="str">
        <f>IFERROR(COUNTIF($C$18:C696,C696)&amp;CHOOSE(MIN(4,COUNTIF($C$18:C696,C696)),"st","nd","rd","th"),"")</f>
        <v/>
      </c>
    </row>
    <row r="697" spans="8:14" x14ac:dyDescent="0.3">
      <c r="H697" s="384" t="str">
        <f t="shared" si="11"/>
        <v/>
      </c>
      <c r="N697" s="378" t="str">
        <f>IFERROR(COUNTIF($C$18:C697,C697)&amp;CHOOSE(MIN(4,COUNTIF($C$18:C697,C697)),"st","nd","rd","th"),"")</f>
        <v/>
      </c>
    </row>
    <row r="698" spans="8:14" x14ac:dyDescent="0.3">
      <c r="H698" s="384" t="str">
        <f t="shared" si="11"/>
        <v/>
      </c>
      <c r="N698" s="378" t="str">
        <f>IFERROR(COUNTIF($C$18:C698,C698)&amp;CHOOSE(MIN(4,COUNTIF($C$18:C698,C698)),"st","nd","rd","th"),"")</f>
        <v/>
      </c>
    </row>
    <row r="699" spans="8:14" x14ac:dyDescent="0.3">
      <c r="H699" s="384" t="str">
        <f t="shared" si="11"/>
        <v/>
      </c>
      <c r="N699" s="378" t="str">
        <f>IFERROR(COUNTIF($C$18:C699,C699)&amp;CHOOSE(MIN(4,COUNTIF($C$18:C699,C699)),"st","nd","rd","th"),"")</f>
        <v/>
      </c>
    </row>
    <row r="700" spans="8:14" x14ac:dyDescent="0.3">
      <c r="H700" s="384" t="str">
        <f t="shared" si="11"/>
        <v/>
      </c>
      <c r="N700" s="378" t="str">
        <f>IFERROR(COUNTIF($C$18:C700,C700)&amp;CHOOSE(MIN(4,COUNTIF($C$18:C700,C700)),"st","nd","rd","th"),"")</f>
        <v/>
      </c>
    </row>
    <row r="701" spans="8:14" x14ac:dyDescent="0.3">
      <c r="H701" s="384" t="str">
        <f t="shared" si="11"/>
        <v/>
      </c>
      <c r="N701" s="378" t="str">
        <f>IFERROR(COUNTIF($C$18:C701,C701)&amp;CHOOSE(MIN(4,COUNTIF($C$18:C701,C701)),"st","nd","rd","th"),"")</f>
        <v/>
      </c>
    </row>
    <row r="702" spans="8:14" x14ac:dyDescent="0.3">
      <c r="H702" s="384" t="str">
        <f t="shared" si="11"/>
        <v/>
      </c>
      <c r="N702" s="378" t="str">
        <f>IFERROR(COUNTIF($C$18:C702,C702)&amp;CHOOSE(MIN(4,COUNTIF($C$18:C702,C702)),"st","nd","rd","th"),"")</f>
        <v/>
      </c>
    </row>
    <row r="703" spans="8:14" x14ac:dyDescent="0.3">
      <c r="H703" s="384" t="str">
        <f t="shared" si="11"/>
        <v/>
      </c>
      <c r="N703" s="378" t="str">
        <f>IFERROR(COUNTIF($C$18:C703,C703)&amp;CHOOSE(MIN(4,COUNTIF($C$18:C703,C703)),"st","nd","rd","th"),"")</f>
        <v/>
      </c>
    </row>
    <row r="704" spans="8:14" x14ac:dyDescent="0.3">
      <c r="H704" s="384" t="str">
        <f t="shared" si="11"/>
        <v/>
      </c>
      <c r="N704" s="378" t="str">
        <f>IFERROR(COUNTIF($C$18:C704,C704)&amp;CHOOSE(MIN(4,COUNTIF($C$18:C704,C704)),"st","nd","rd","th"),"")</f>
        <v/>
      </c>
    </row>
    <row r="705" spans="8:14" x14ac:dyDescent="0.3">
      <c r="H705" s="384" t="str">
        <f t="shared" si="11"/>
        <v/>
      </c>
      <c r="N705" s="378" t="str">
        <f>IFERROR(COUNTIF($C$18:C705,C705)&amp;CHOOSE(MIN(4,COUNTIF($C$18:C705,C705)),"st","nd","rd","th"),"")</f>
        <v/>
      </c>
    </row>
    <row r="706" spans="8:14" x14ac:dyDescent="0.3">
      <c r="H706" s="384" t="str">
        <f t="shared" si="11"/>
        <v/>
      </c>
      <c r="N706" s="378" t="str">
        <f>IFERROR(COUNTIF($C$18:C706,C706)&amp;CHOOSE(MIN(4,COUNTIF($C$18:C706,C706)),"st","nd","rd","th"),"")</f>
        <v/>
      </c>
    </row>
    <row r="707" spans="8:14" x14ac:dyDescent="0.3">
      <c r="H707" s="384" t="str">
        <f t="shared" si="11"/>
        <v/>
      </c>
      <c r="N707" s="378" t="str">
        <f>IFERROR(COUNTIF($C$18:C707,C707)&amp;CHOOSE(MIN(4,COUNTIF($C$18:C707,C707)),"st","nd","rd","th"),"")</f>
        <v/>
      </c>
    </row>
    <row r="708" spans="8:14" x14ac:dyDescent="0.3">
      <c r="H708" s="384" t="str">
        <f t="shared" si="11"/>
        <v/>
      </c>
      <c r="N708" s="378" t="str">
        <f>IFERROR(COUNTIF($C$18:C708,C708)&amp;CHOOSE(MIN(4,COUNTIF($C$18:C708,C708)),"st","nd","rd","th"),"")</f>
        <v/>
      </c>
    </row>
    <row r="709" spans="8:14" x14ac:dyDescent="0.3">
      <c r="H709" s="384" t="str">
        <f t="shared" si="11"/>
        <v/>
      </c>
      <c r="N709" s="378" t="str">
        <f>IFERROR(COUNTIF($C$18:C709,C709)&amp;CHOOSE(MIN(4,COUNTIF($C$18:C709,C709)),"st","nd","rd","th"),"")</f>
        <v/>
      </c>
    </row>
    <row r="710" spans="8:14" x14ac:dyDescent="0.3">
      <c r="H710" s="384" t="str">
        <f t="shared" si="11"/>
        <v/>
      </c>
      <c r="N710" s="378" t="str">
        <f>IFERROR(COUNTIF($C$18:C710,C710)&amp;CHOOSE(MIN(4,COUNTIF($C$18:C710,C710)),"st","nd","rd","th"),"")</f>
        <v/>
      </c>
    </row>
    <row r="711" spans="8:14" x14ac:dyDescent="0.3">
      <c r="H711" s="384" t="str">
        <f t="shared" si="11"/>
        <v/>
      </c>
      <c r="N711" s="378" t="str">
        <f>IFERROR(COUNTIF($C$18:C711,C711)&amp;CHOOSE(MIN(4,COUNTIF($C$18:C711,C711)),"st","nd","rd","th"),"")</f>
        <v/>
      </c>
    </row>
    <row r="712" spans="8:14" x14ac:dyDescent="0.3">
      <c r="H712" s="384" t="str">
        <f t="shared" si="11"/>
        <v/>
      </c>
      <c r="N712" s="378" t="str">
        <f>IFERROR(COUNTIF($C$18:C712,C712)&amp;CHOOSE(MIN(4,COUNTIF($C$18:C712,C712)),"st","nd","rd","th"),"")</f>
        <v/>
      </c>
    </row>
    <row r="713" spans="8:14" x14ac:dyDescent="0.3">
      <c r="H713" s="384" t="str">
        <f t="shared" si="11"/>
        <v/>
      </c>
      <c r="N713" s="378" t="str">
        <f>IFERROR(COUNTIF($C$18:C713,C713)&amp;CHOOSE(MIN(4,COUNTIF($C$18:C713,C713)),"st","nd","rd","th"),"")</f>
        <v/>
      </c>
    </row>
    <row r="714" spans="8:14" x14ac:dyDescent="0.3">
      <c r="H714" s="384" t="str">
        <f t="shared" si="11"/>
        <v/>
      </c>
      <c r="N714" s="378" t="str">
        <f>IFERROR(COUNTIF($C$18:C714,C714)&amp;CHOOSE(MIN(4,COUNTIF($C$18:C714,C714)),"st","nd","rd","th"),"")</f>
        <v/>
      </c>
    </row>
    <row r="715" spans="8:14" x14ac:dyDescent="0.3">
      <c r="H715" s="384" t="str">
        <f t="shared" si="11"/>
        <v/>
      </c>
      <c r="N715" s="378" t="str">
        <f>IFERROR(COUNTIF($C$18:C715,C715)&amp;CHOOSE(MIN(4,COUNTIF($C$18:C715,C715)),"st","nd","rd","th"),"")</f>
        <v/>
      </c>
    </row>
    <row r="716" spans="8:14" x14ac:dyDescent="0.3">
      <c r="H716" s="384" t="str">
        <f t="shared" si="11"/>
        <v/>
      </c>
      <c r="N716" s="378" t="str">
        <f>IFERROR(COUNTIF($C$18:C716,C716)&amp;CHOOSE(MIN(4,COUNTIF($C$18:C716,C716)),"st","nd","rd","th"),"")</f>
        <v/>
      </c>
    </row>
    <row r="717" spans="8:14" x14ac:dyDescent="0.3">
      <c r="H717" s="384" t="str">
        <f t="shared" si="11"/>
        <v/>
      </c>
      <c r="N717" s="378" t="str">
        <f>IFERROR(COUNTIF($C$18:C717,C717)&amp;CHOOSE(MIN(4,COUNTIF($C$18:C717,C717)),"st","nd","rd","th"),"")</f>
        <v/>
      </c>
    </row>
    <row r="718" spans="8:14" x14ac:dyDescent="0.3">
      <c r="H718" s="384" t="str">
        <f t="shared" si="11"/>
        <v/>
      </c>
      <c r="N718" s="378" t="str">
        <f>IFERROR(COUNTIF($C$18:C718,C718)&amp;CHOOSE(MIN(4,COUNTIF($C$18:C718,C718)),"st","nd","rd","th"),"")</f>
        <v/>
      </c>
    </row>
    <row r="719" spans="8:14" x14ac:dyDescent="0.3">
      <c r="H719" s="384" t="str">
        <f t="shared" si="11"/>
        <v/>
      </c>
      <c r="N719" s="378" t="str">
        <f>IFERROR(COUNTIF($C$18:C719,C719)&amp;CHOOSE(MIN(4,COUNTIF($C$18:C719,C719)),"st","nd","rd","th"),"")</f>
        <v/>
      </c>
    </row>
    <row r="720" spans="8:14" x14ac:dyDescent="0.3">
      <c r="H720" s="384" t="str">
        <f t="shared" si="11"/>
        <v/>
      </c>
      <c r="N720" s="378" t="str">
        <f>IFERROR(COUNTIF($C$18:C720,C720)&amp;CHOOSE(MIN(4,COUNTIF($C$18:C720,C720)),"st","nd","rd","th"),"")</f>
        <v/>
      </c>
    </row>
    <row r="721" spans="8:14" x14ac:dyDescent="0.3">
      <c r="H721" s="384" t="str">
        <f t="shared" si="11"/>
        <v/>
      </c>
      <c r="N721" s="378" t="str">
        <f>IFERROR(COUNTIF($C$18:C721,C721)&amp;CHOOSE(MIN(4,COUNTIF($C$18:C721,C721)),"st","nd","rd","th"),"")</f>
        <v/>
      </c>
    </row>
    <row r="722" spans="8:14" x14ac:dyDescent="0.3">
      <c r="H722" s="384" t="str">
        <f t="shared" ref="H722:H785" si="12">IF(OR(ISBLANK(G722), ISBLANK(F722)), "", IF(G722=F722, 1, SUM(_xlfn.DAYS(G722, F722), 1)))</f>
        <v/>
      </c>
      <c r="N722" s="378" t="str">
        <f>IFERROR(COUNTIF($C$18:C722,C722)&amp;CHOOSE(MIN(4,COUNTIF($C$18:C722,C722)),"st","nd","rd","th"),"")</f>
        <v/>
      </c>
    </row>
    <row r="723" spans="8:14" x14ac:dyDescent="0.3">
      <c r="H723" s="384" t="str">
        <f t="shared" si="12"/>
        <v/>
      </c>
      <c r="N723" s="378" t="str">
        <f>IFERROR(COUNTIF($C$18:C723,C723)&amp;CHOOSE(MIN(4,COUNTIF($C$18:C723,C723)),"st","nd","rd","th"),"")</f>
        <v/>
      </c>
    </row>
    <row r="724" spans="8:14" x14ac:dyDescent="0.3">
      <c r="H724" s="384" t="str">
        <f t="shared" si="12"/>
        <v/>
      </c>
      <c r="N724" s="378" t="str">
        <f>IFERROR(COUNTIF($C$18:C724,C724)&amp;CHOOSE(MIN(4,COUNTIF($C$18:C724,C724)),"st","nd","rd","th"),"")</f>
        <v/>
      </c>
    </row>
    <row r="725" spans="8:14" x14ac:dyDescent="0.3">
      <c r="H725" s="384" t="str">
        <f t="shared" si="12"/>
        <v/>
      </c>
      <c r="N725" s="378" t="str">
        <f>IFERROR(COUNTIF($C$18:C725,C725)&amp;CHOOSE(MIN(4,COUNTIF($C$18:C725,C725)),"st","nd","rd","th"),"")</f>
        <v/>
      </c>
    </row>
    <row r="726" spans="8:14" x14ac:dyDescent="0.3">
      <c r="H726" s="384" t="str">
        <f t="shared" si="12"/>
        <v/>
      </c>
      <c r="N726" s="378" t="str">
        <f>IFERROR(COUNTIF($C$18:C726,C726)&amp;CHOOSE(MIN(4,COUNTIF($C$18:C726,C726)),"st","nd","rd","th"),"")</f>
        <v/>
      </c>
    </row>
    <row r="727" spans="8:14" x14ac:dyDescent="0.3">
      <c r="H727" s="384" t="str">
        <f t="shared" si="12"/>
        <v/>
      </c>
      <c r="N727" s="378" t="str">
        <f>IFERROR(COUNTIF($C$18:C727,C727)&amp;CHOOSE(MIN(4,COUNTIF($C$18:C727,C727)),"st","nd","rd","th"),"")</f>
        <v/>
      </c>
    </row>
    <row r="728" spans="8:14" x14ac:dyDescent="0.3">
      <c r="H728" s="384" t="str">
        <f t="shared" si="12"/>
        <v/>
      </c>
      <c r="N728" s="378" t="str">
        <f>IFERROR(COUNTIF($C$18:C728,C728)&amp;CHOOSE(MIN(4,COUNTIF($C$18:C728,C728)),"st","nd","rd","th"),"")</f>
        <v/>
      </c>
    </row>
    <row r="729" spans="8:14" x14ac:dyDescent="0.3">
      <c r="H729" s="384" t="str">
        <f t="shared" si="12"/>
        <v/>
      </c>
      <c r="N729" s="378" t="str">
        <f>IFERROR(COUNTIF($C$18:C729,C729)&amp;CHOOSE(MIN(4,COUNTIF($C$18:C729,C729)),"st","nd","rd","th"),"")</f>
        <v/>
      </c>
    </row>
    <row r="730" spans="8:14" x14ac:dyDescent="0.3">
      <c r="H730" s="384" t="str">
        <f t="shared" si="12"/>
        <v/>
      </c>
      <c r="N730" s="378" t="str">
        <f>IFERROR(COUNTIF($C$18:C730,C730)&amp;CHOOSE(MIN(4,COUNTIF($C$18:C730,C730)),"st","nd","rd","th"),"")</f>
        <v/>
      </c>
    </row>
    <row r="731" spans="8:14" x14ac:dyDescent="0.3">
      <c r="H731" s="384" t="str">
        <f t="shared" si="12"/>
        <v/>
      </c>
      <c r="N731" s="378" t="str">
        <f>IFERROR(COUNTIF($C$18:C731,C731)&amp;CHOOSE(MIN(4,COUNTIF($C$18:C731,C731)),"st","nd","rd","th"),"")</f>
        <v/>
      </c>
    </row>
    <row r="732" spans="8:14" x14ac:dyDescent="0.3">
      <c r="H732" s="384" t="str">
        <f t="shared" si="12"/>
        <v/>
      </c>
      <c r="N732" s="378" t="str">
        <f>IFERROR(COUNTIF($C$18:C732,C732)&amp;CHOOSE(MIN(4,COUNTIF($C$18:C732,C732)),"st","nd","rd","th"),"")</f>
        <v/>
      </c>
    </row>
    <row r="733" spans="8:14" x14ac:dyDescent="0.3">
      <c r="H733" s="384" t="str">
        <f t="shared" si="12"/>
        <v/>
      </c>
      <c r="N733" s="378" t="str">
        <f>IFERROR(COUNTIF($C$18:C733,C733)&amp;CHOOSE(MIN(4,COUNTIF($C$18:C733,C733)),"st","nd","rd","th"),"")</f>
        <v/>
      </c>
    </row>
    <row r="734" spans="8:14" x14ac:dyDescent="0.3">
      <c r="H734" s="384" t="str">
        <f t="shared" si="12"/>
        <v/>
      </c>
      <c r="N734" s="378" t="str">
        <f>IFERROR(COUNTIF($C$18:C734,C734)&amp;CHOOSE(MIN(4,COUNTIF($C$18:C734,C734)),"st","nd","rd","th"),"")</f>
        <v/>
      </c>
    </row>
    <row r="735" spans="8:14" x14ac:dyDescent="0.3">
      <c r="H735" s="384" t="str">
        <f t="shared" si="12"/>
        <v/>
      </c>
      <c r="N735" s="378" t="str">
        <f>IFERROR(COUNTIF($C$18:C735,C735)&amp;CHOOSE(MIN(4,COUNTIF($C$18:C735,C735)),"st","nd","rd","th"),"")</f>
        <v/>
      </c>
    </row>
    <row r="736" spans="8:14" x14ac:dyDescent="0.3">
      <c r="H736" s="384" t="str">
        <f t="shared" si="12"/>
        <v/>
      </c>
      <c r="N736" s="378" t="str">
        <f>IFERROR(COUNTIF($C$18:C736,C736)&amp;CHOOSE(MIN(4,COUNTIF($C$18:C736,C736)),"st","nd","rd","th"),"")</f>
        <v/>
      </c>
    </row>
    <row r="737" spans="8:14" x14ac:dyDescent="0.3">
      <c r="H737" s="384" t="str">
        <f t="shared" si="12"/>
        <v/>
      </c>
      <c r="N737" s="378" t="str">
        <f>IFERROR(COUNTIF($C$18:C737,C737)&amp;CHOOSE(MIN(4,COUNTIF($C$18:C737,C737)),"st","nd","rd","th"),"")</f>
        <v/>
      </c>
    </row>
    <row r="738" spans="8:14" x14ac:dyDescent="0.3">
      <c r="H738" s="384" t="str">
        <f t="shared" si="12"/>
        <v/>
      </c>
      <c r="N738" s="378" t="str">
        <f>IFERROR(COUNTIF($C$18:C738,C738)&amp;CHOOSE(MIN(4,COUNTIF($C$18:C738,C738)),"st","nd","rd","th"),"")</f>
        <v/>
      </c>
    </row>
    <row r="739" spans="8:14" x14ac:dyDescent="0.3">
      <c r="H739" s="384" t="str">
        <f t="shared" si="12"/>
        <v/>
      </c>
      <c r="N739" s="378" t="str">
        <f>IFERROR(COUNTIF($C$18:C739,C739)&amp;CHOOSE(MIN(4,COUNTIF($C$18:C739,C739)),"st","nd","rd","th"),"")</f>
        <v/>
      </c>
    </row>
    <row r="740" spans="8:14" x14ac:dyDescent="0.3">
      <c r="H740" s="384" t="str">
        <f t="shared" si="12"/>
        <v/>
      </c>
      <c r="N740" s="378" t="str">
        <f>IFERROR(COUNTIF($C$18:C740,C740)&amp;CHOOSE(MIN(4,COUNTIF($C$18:C740,C740)),"st","nd","rd","th"),"")</f>
        <v/>
      </c>
    </row>
    <row r="741" spans="8:14" x14ac:dyDescent="0.3">
      <c r="H741" s="384" t="str">
        <f t="shared" si="12"/>
        <v/>
      </c>
      <c r="N741" s="378" t="str">
        <f>IFERROR(COUNTIF($C$18:C741,C741)&amp;CHOOSE(MIN(4,COUNTIF($C$18:C741,C741)),"st","nd","rd","th"),"")</f>
        <v/>
      </c>
    </row>
    <row r="742" spans="8:14" x14ac:dyDescent="0.3">
      <c r="H742" s="384" t="str">
        <f t="shared" si="12"/>
        <v/>
      </c>
      <c r="N742" s="378" t="str">
        <f>IFERROR(COUNTIF($C$18:C742,C742)&amp;CHOOSE(MIN(4,COUNTIF($C$18:C742,C742)),"st","nd","rd","th"),"")</f>
        <v/>
      </c>
    </row>
    <row r="743" spans="8:14" x14ac:dyDescent="0.3">
      <c r="H743" s="384" t="str">
        <f t="shared" si="12"/>
        <v/>
      </c>
      <c r="N743" s="378" t="str">
        <f>IFERROR(COUNTIF($C$18:C743,C743)&amp;CHOOSE(MIN(4,COUNTIF($C$18:C743,C743)),"st","nd","rd","th"),"")</f>
        <v/>
      </c>
    </row>
    <row r="744" spans="8:14" x14ac:dyDescent="0.3">
      <c r="H744" s="384" t="str">
        <f t="shared" si="12"/>
        <v/>
      </c>
      <c r="N744" s="378" t="str">
        <f>IFERROR(COUNTIF($C$18:C744,C744)&amp;CHOOSE(MIN(4,COUNTIF($C$18:C744,C744)),"st","nd","rd","th"),"")</f>
        <v/>
      </c>
    </row>
    <row r="745" spans="8:14" x14ac:dyDescent="0.3">
      <c r="H745" s="384" t="str">
        <f t="shared" si="12"/>
        <v/>
      </c>
      <c r="N745" s="378" t="str">
        <f>IFERROR(COUNTIF($C$18:C745,C745)&amp;CHOOSE(MIN(4,COUNTIF($C$18:C745,C745)),"st","nd","rd","th"),"")</f>
        <v/>
      </c>
    </row>
    <row r="746" spans="8:14" x14ac:dyDescent="0.3">
      <c r="H746" s="384" t="str">
        <f t="shared" si="12"/>
        <v/>
      </c>
      <c r="N746" s="378" t="str">
        <f>IFERROR(COUNTIF($C$18:C746,C746)&amp;CHOOSE(MIN(4,COUNTIF($C$18:C746,C746)),"st","nd","rd","th"),"")</f>
        <v/>
      </c>
    </row>
    <row r="747" spans="8:14" x14ac:dyDescent="0.3">
      <c r="H747" s="384" t="str">
        <f t="shared" si="12"/>
        <v/>
      </c>
      <c r="N747" s="378" t="str">
        <f>IFERROR(COUNTIF($C$18:C747,C747)&amp;CHOOSE(MIN(4,COUNTIF($C$18:C747,C747)),"st","nd","rd","th"),"")</f>
        <v/>
      </c>
    </row>
    <row r="748" spans="8:14" x14ac:dyDescent="0.3">
      <c r="H748" s="384" t="str">
        <f t="shared" si="12"/>
        <v/>
      </c>
      <c r="N748" s="378" t="str">
        <f>IFERROR(COUNTIF($C$18:C748,C748)&amp;CHOOSE(MIN(4,COUNTIF($C$18:C748,C748)),"st","nd","rd","th"),"")</f>
        <v/>
      </c>
    </row>
    <row r="749" spans="8:14" x14ac:dyDescent="0.3">
      <c r="H749" s="384" t="str">
        <f t="shared" si="12"/>
        <v/>
      </c>
      <c r="N749" s="378" t="str">
        <f>IFERROR(COUNTIF($C$18:C749,C749)&amp;CHOOSE(MIN(4,COUNTIF($C$18:C749,C749)),"st","nd","rd","th"),"")</f>
        <v/>
      </c>
    </row>
    <row r="750" spans="8:14" x14ac:dyDescent="0.3">
      <c r="H750" s="384" t="str">
        <f t="shared" si="12"/>
        <v/>
      </c>
      <c r="N750" s="378" t="str">
        <f>IFERROR(COUNTIF($C$18:C750,C750)&amp;CHOOSE(MIN(4,COUNTIF($C$18:C750,C750)),"st","nd","rd","th"),"")</f>
        <v/>
      </c>
    </row>
    <row r="751" spans="8:14" x14ac:dyDescent="0.3">
      <c r="H751" s="384" t="str">
        <f t="shared" si="12"/>
        <v/>
      </c>
      <c r="N751" s="378" t="str">
        <f>IFERROR(COUNTIF($C$18:C751,C751)&amp;CHOOSE(MIN(4,COUNTIF($C$18:C751,C751)),"st","nd","rd","th"),"")</f>
        <v/>
      </c>
    </row>
    <row r="752" spans="8:14" x14ac:dyDescent="0.3">
      <c r="H752" s="384" t="str">
        <f t="shared" si="12"/>
        <v/>
      </c>
      <c r="N752" s="378" t="str">
        <f>IFERROR(COUNTIF($C$18:C752,C752)&amp;CHOOSE(MIN(4,COUNTIF($C$18:C752,C752)),"st","nd","rd","th"),"")</f>
        <v/>
      </c>
    </row>
    <row r="753" spans="8:14" x14ac:dyDescent="0.3">
      <c r="H753" s="384" t="str">
        <f t="shared" si="12"/>
        <v/>
      </c>
      <c r="N753" s="378" t="str">
        <f>IFERROR(COUNTIF($C$18:C753,C753)&amp;CHOOSE(MIN(4,COUNTIF($C$18:C753,C753)),"st","nd","rd","th"),"")</f>
        <v/>
      </c>
    </row>
    <row r="754" spans="8:14" x14ac:dyDescent="0.3">
      <c r="H754" s="384" t="str">
        <f t="shared" si="12"/>
        <v/>
      </c>
      <c r="N754" s="378" t="str">
        <f>IFERROR(COUNTIF($C$18:C754,C754)&amp;CHOOSE(MIN(4,COUNTIF($C$18:C754,C754)),"st","nd","rd","th"),"")</f>
        <v/>
      </c>
    </row>
    <row r="755" spans="8:14" x14ac:dyDescent="0.3">
      <c r="H755" s="384" t="str">
        <f t="shared" si="12"/>
        <v/>
      </c>
      <c r="N755" s="378" t="str">
        <f>IFERROR(COUNTIF($C$18:C755,C755)&amp;CHOOSE(MIN(4,COUNTIF($C$18:C755,C755)),"st","nd","rd","th"),"")</f>
        <v/>
      </c>
    </row>
    <row r="756" spans="8:14" x14ac:dyDescent="0.3">
      <c r="H756" s="384" t="str">
        <f t="shared" si="12"/>
        <v/>
      </c>
      <c r="N756" s="378" t="str">
        <f>IFERROR(COUNTIF($C$18:C756,C756)&amp;CHOOSE(MIN(4,COUNTIF($C$18:C756,C756)),"st","nd","rd","th"),"")</f>
        <v/>
      </c>
    </row>
    <row r="757" spans="8:14" x14ac:dyDescent="0.3">
      <c r="H757" s="384" t="str">
        <f t="shared" si="12"/>
        <v/>
      </c>
      <c r="N757" s="378" t="str">
        <f>IFERROR(COUNTIF($C$18:C757,C757)&amp;CHOOSE(MIN(4,COUNTIF($C$18:C757,C757)),"st","nd","rd","th"),"")</f>
        <v/>
      </c>
    </row>
    <row r="758" spans="8:14" x14ac:dyDescent="0.3">
      <c r="H758" s="384" t="str">
        <f t="shared" si="12"/>
        <v/>
      </c>
      <c r="N758" s="378" t="str">
        <f>IFERROR(COUNTIF($C$18:C758,C758)&amp;CHOOSE(MIN(4,COUNTIF($C$18:C758,C758)),"st","nd","rd","th"),"")</f>
        <v/>
      </c>
    </row>
    <row r="759" spans="8:14" x14ac:dyDescent="0.3">
      <c r="H759" s="384" t="str">
        <f t="shared" si="12"/>
        <v/>
      </c>
      <c r="N759" s="378" t="str">
        <f>IFERROR(COUNTIF($C$18:C759,C759)&amp;CHOOSE(MIN(4,COUNTIF($C$18:C759,C759)),"st","nd","rd","th"),"")</f>
        <v/>
      </c>
    </row>
    <row r="760" spans="8:14" x14ac:dyDescent="0.3">
      <c r="H760" s="384" t="str">
        <f t="shared" si="12"/>
        <v/>
      </c>
      <c r="N760" s="378" t="str">
        <f>IFERROR(COUNTIF($C$18:C760,C760)&amp;CHOOSE(MIN(4,COUNTIF($C$18:C760,C760)),"st","nd","rd","th"),"")</f>
        <v/>
      </c>
    </row>
    <row r="761" spans="8:14" x14ac:dyDescent="0.3">
      <c r="H761" s="384" t="str">
        <f t="shared" si="12"/>
        <v/>
      </c>
      <c r="N761" s="378" t="str">
        <f>IFERROR(COUNTIF($C$18:C761,C761)&amp;CHOOSE(MIN(4,COUNTIF($C$18:C761,C761)),"st","nd","rd","th"),"")</f>
        <v/>
      </c>
    </row>
    <row r="762" spans="8:14" x14ac:dyDescent="0.3">
      <c r="H762" s="384" t="str">
        <f t="shared" si="12"/>
        <v/>
      </c>
      <c r="N762" s="378" t="str">
        <f>IFERROR(COUNTIF($C$18:C762,C762)&amp;CHOOSE(MIN(4,COUNTIF($C$18:C762,C762)),"st","nd","rd","th"),"")</f>
        <v/>
      </c>
    </row>
    <row r="763" spans="8:14" x14ac:dyDescent="0.3">
      <c r="H763" s="384" t="str">
        <f t="shared" si="12"/>
        <v/>
      </c>
      <c r="N763" s="378" t="str">
        <f>IFERROR(COUNTIF($C$18:C763,C763)&amp;CHOOSE(MIN(4,COUNTIF($C$18:C763,C763)),"st","nd","rd","th"),"")</f>
        <v/>
      </c>
    </row>
    <row r="764" spans="8:14" x14ac:dyDescent="0.3">
      <c r="H764" s="384" t="str">
        <f t="shared" si="12"/>
        <v/>
      </c>
      <c r="N764" s="378" t="str">
        <f>IFERROR(COUNTIF($C$18:C764,C764)&amp;CHOOSE(MIN(4,COUNTIF($C$18:C764,C764)),"st","nd","rd","th"),"")</f>
        <v/>
      </c>
    </row>
    <row r="765" spans="8:14" x14ac:dyDescent="0.3">
      <c r="H765" s="384" t="str">
        <f t="shared" si="12"/>
        <v/>
      </c>
      <c r="N765" s="378" t="str">
        <f>IFERROR(COUNTIF($C$18:C765,C765)&amp;CHOOSE(MIN(4,COUNTIF($C$18:C765,C765)),"st","nd","rd","th"),"")</f>
        <v/>
      </c>
    </row>
    <row r="766" spans="8:14" x14ac:dyDescent="0.3">
      <c r="H766" s="384" t="str">
        <f t="shared" si="12"/>
        <v/>
      </c>
      <c r="N766" s="378" t="str">
        <f>IFERROR(COUNTIF($C$18:C766,C766)&amp;CHOOSE(MIN(4,COUNTIF($C$18:C766,C766)),"st","nd","rd","th"),"")</f>
        <v/>
      </c>
    </row>
    <row r="767" spans="8:14" x14ac:dyDescent="0.3">
      <c r="H767" s="384" t="str">
        <f t="shared" si="12"/>
        <v/>
      </c>
      <c r="N767" s="378" t="str">
        <f>IFERROR(COUNTIF($C$18:C767,C767)&amp;CHOOSE(MIN(4,COUNTIF($C$18:C767,C767)),"st","nd","rd","th"),"")</f>
        <v/>
      </c>
    </row>
    <row r="768" spans="8:14" x14ac:dyDescent="0.3">
      <c r="H768" s="384" t="str">
        <f t="shared" si="12"/>
        <v/>
      </c>
      <c r="N768" s="378" t="str">
        <f>IFERROR(COUNTIF($C$18:C768,C768)&amp;CHOOSE(MIN(4,COUNTIF($C$18:C768,C768)),"st","nd","rd","th"),"")</f>
        <v/>
      </c>
    </row>
    <row r="769" spans="8:14" x14ac:dyDescent="0.3">
      <c r="H769" s="384" t="str">
        <f t="shared" si="12"/>
        <v/>
      </c>
      <c r="N769" s="378" t="str">
        <f>IFERROR(COUNTIF($C$18:C769,C769)&amp;CHOOSE(MIN(4,COUNTIF($C$18:C769,C769)),"st","nd","rd","th"),"")</f>
        <v/>
      </c>
    </row>
    <row r="770" spans="8:14" x14ac:dyDescent="0.3">
      <c r="H770" s="384" t="str">
        <f t="shared" si="12"/>
        <v/>
      </c>
      <c r="N770" s="378" t="str">
        <f>IFERROR(COUNTIF($C$18:C770,C770)&amp;CHOOSE(MIN(4,COUNTIF($C$18:C770,C770)),"st","nd","rd","th"),"")</f>
        <v/>
      </c>
    </row>
    <row r="771" spans="8:14" x14ac:dyDescent="0.3">
      <c r="H771" s="384" t="str">
        <f t="shared" si="12"/>
        <v/>
      </c>
      <c r="N771" s="378" t="str">
        <f>IFERROR(COUNTIF($C$18:C771,C771)&amp;CHOOSE(MIN(4,COUNTIF($C$18:C771,C771)),"st","nd","rd","th"),"")</f>
        <v/>
      </c>
    </row>
    <row r="772" spans="8:14" x14ac:dyDescent="0.3">
      <c r="H772" s="384" t="str">
        <f t="shared" si="12"/>
        <v/>
      </c>
      <c r="N772" s="378" t="str">
        <f>IFERROR(COUNTIF($C$18:C772,C772)&amp;CHOOSE(MIN(4,COUNTIF($C$18:C772,C772)),"st","nd","rd","th"),"")</f>
        <v/>
      </c>
    </row>
    <row r="773" spans="8:14" x14ac:dyDescent="0.3">
      <c r="H773" s="384" t="str">
        <f t="shared" si="12"/>
        <v/>
      </c>
      <c r="N773" s="378" t="str">
        <f>IFERROR(COUNTIF($C$18:C773,C773)&amp;CHOOSE(MIN(4,COUNTIF($C$18:C773,C773)),"st","nd","rd","th"),"")</f>
        <v/>
      </c>
    </row>
    <row r="774" spans="8:14" x14ac:dyDescent="0.3">
      <c r="H774" s="384" t="str">
        <f t="shared" si="12"/>
        <v/>
      </c>
      <c r="N774" s="378" t="str">
        <f>IFERROR(COUNTIF($C$18:C774,C774)&amp;CHOOSE(MIN(4,COUNTIF($C$18:C774,C774)),"st","nd","rd","th"),"")</f>
        <v/>
      </c>
    </row>
    <row r="775" spans="8:14" x14ac:dyDescent="0.3">
      <c r="H775" s="384" t="str">
        <f t="shared" si="12"/>
        <v/>
      </c>
      <c r="N775" s="378" t="str">
        <f>IFERROR(COUNTIF($C$18:C775,C775)&amp;CHOOSE(MIN(4,COUNTIF($C$18:C775,C775)),"st","nd","rd","th"),"")</f>
        <v/>
      </c>
    </row>
    <row r="776" spans="8:14" x14ac:dyDescent="0.3">
      <c r="H776" s="384" t="str">
        <f t="shared" si="12"/>
        <v/>
      </c>
      <c r="N776" s="378" t="str">
        <f>IFERROR(COUNTIF($C$18:C776,C776)&amp;CHOOSE(MIN(4,COUNTIF($C$18:C776,C776)),"st","nd","rd","th"),"")</f>
        <v/>
      </c>
    </row>
    <row r="777" spans="8:14" x14ac:dyDescent="0.3">
      <c r="H777" s="384" t="str">
        <f t="shared" si="12"/>
        <v/>
      </c>
      <c r="N777" s="378" t="str">
        <f>IFERROR(COUNTIF($C$18:C777,C777)&amp;CHOOSE(MIN(4,COUNTIF($C$18:C777,C777)),"st","nd","rd","th"),"")</f>
        <v/>
      </c>
    </row>
    <row r="778" spans="8:14" x14ac:dyDescent="0.3">
      <c r="H778" s="384" t="str">
        <f t="shared" si="12"/>
        <v/>
      </c>
      <c r="N778" s="378" t="str">
        <f>IFERROR(COUNTIF($C$18:C778,C778)&amp;CHOOSE(MIN(4,COUNTIF($C$18:C778,C778)),"st","nd","rd","th"),"")</f>
        <v/>
      </c>
    </row>
    <row r="779" spans="8:14" x14ac:dyDescent="0.3">
      <c r="H779" s="384" t="str">
        <f t="shared" si="12"/>
        <v/>
      </c>
      <c r="N779" s="378" t="str">
        <f>IFERROR(COUNTIF($C$18:C779,C779)&amp;CHOOSE(MIN(4,COUNTIF($C$18:C779,C779)),"st","nd","rd","th"),"")</f>
        <v/>
      </c>
    </row>
    <row r="780" spans="8:14" x14ac:dyDescent="0.3">
      <c r="H780" s="384" t="str">
        <f t="shared" si="12"/>
        <v/>
      </c>
      <c r="N780" s="378" t="str">
        <f>IFERROR(COUNTIF($C$18:C780,C780)&amp;CHOOSE(MIN(4,COUNTIF($C$18:C780,C780)),"st","nd","rd","th"),"")</f>
        <v/>
      </c>
    </row>
    <row r="781" spans="8:14" x14ac:dyDescent="0.3">
      <c r="H781" s="384" t="str">
        <f t="shared" si="12"/>
        <v/>
      </c>
      <c r="N781" s="378" t="str">
        <f>IFERROR(COUNTIF($C$18:C781,C781)&amp;CHOOSE(MIN(4,COUNTIF($C$18:C781,C781)),"st","nd","rd","th"),"")</f>
        <v/>
      </c>
    </row>
    <row r="782" spans="8:14" x14ac:dyDescent="0.3">
      <c r="H782" s="384" t="str">
        <f t="shared" si="12"/>
        <v/>
      </c>
      <c r="N782" s="378" t="str">
        <f>IFERROR(COUNTIF($C$18:C782,C782)&amp;CHOOSE(MIN(4,COUNTIF($C$18:C782,C782)),"st","nd","rd","th"),"")</f>
        <v/>
      </c>
    </row>
    <row r="783" spans="8:14" x14ac:dyDescent="0.3">
      <c r="H783" s="384" t="str">
        <f t="shared" si="12"/>
        <v/>
      </c>
      <c r="N783" s="378" t="str">
        <f>IFERROR(COUNTIF($C$18:C783,C783)&amp;CHOOSE(MIN(4,COUNTIF($C$18:C783,C783)),"st","nd","rd","th"),"")</f>
        <v/>
      </c>
    </row>
    <row r="784" spans="8:14" x14ac:dyDescent="0.3">
      <c r="H784" s="384" t="str">
        <f t="shared" si="12"/>
        <v/>
      </c>
      <c r="N784" s="378" t="str">
        <f>IFERROR(COUNTIF($C$18:C784,C784)&amp;CHOOSE(MIN(4,COUNTIF($C$18:C784,C784)),"st","nd","rd","th"),"")</f>
        <v/>
      </c>
    </row>
    <row r="785" spans="8:14" x14ac:dyDescent="0.3">
      <c r="H785" s="384" t="str">
        <f t="shared" si="12"/>
        <v/>
      </c>
      <c r="N785" s="378" t="str">
        <f>IFERROR(COUNTIF($C$18:C785,C785)&amp;CHOOSE(MIN(4,COUNTIF($C$18:C785,C785)),"st","nd","rd","th"),"")</f>
        <v/>
      </c>
    </row>
    <row r="786" spans="8:14" x14ac:dyDescent="0.3">
      <c r="H786" s="384" t="str">
        <f t="shared" ref="H786:H849" si="13">IF(OR(ISBLANK(G786), ISBLANK(F786)), "", IF(G786=F786, 1, SUM(_xlfn.DAYS(G786, F786), 1)))</f>
        <v/>
      </c>
      <c r="N786" s="378" t="str">
        <f>IFERROR(COUNTIF($C$18:C786,C786)&amp;CHOOSE(MIN(4,COUNTIF($C$18:C786,C786)),"st","nd","rd","th"),"")</f>
        <v/>
      </c>
    </row>
    <row r="787" spans="8:14" x14ac:dyDescent="0.3">
      <c r="H787" s="384" t="str">
        <f t="shared" si="13"/>
        <v/>
      </c>
      <c r="N787" s="378" t="str">
        <f>IFERROR(COUNTIF($C$18:C787,C787)&amp;CHOOSE(MIN(4,COUNTIF($C$18:C787,C787)),"st","nd","rd","th"),"")</f>
        <v/>
      </c>
    </row>
    <row r="788" spans="8:14" x14ac:dyDescent="0.3">
      <c r="H788" s="384" t="str">
        <f t="shared" si="13"/>
        <v/>
      </c>
      <c r="N788" s="378" t="str">
        <f>IFERROR(COUNTIF($C$18:C788,C788)&amp;CHOOSE(MIN(4,COUNTIF($C$18:C788,C788)),"st","nd","rd","th"),"")</f>
        <v/>
      </c>
    </row>
    <row r="789" spans="8:14" x14ac:dyDescent="0.3">
      <c r="H789" s="384" t="str">
        <f t="shared" si="13"/>
        <v/>
      </c>
      <c r="N789" s="378" t="str">
        <f>IFERROR(COUNTIF($C$18:C789,C789)&amp;CHOOSE(MIN(4,COUNTIF($C$18:C789,C789)),"st","nd","rd","th"),"")</f>
        <v/>
      </c>
    </row>
    <row r="790" spans="8:14" x14ac:dyDescent="0.3">
      <c r="H790" s="384" t="str">
        <f t="shared" si="13"/>
        <v/>
      </c>
      <c r="N790" s="378" t="str">
        <f>IFERROR(COUNTIF($C$18:C790,C790)&amp;CHOOSE(MIN(4,COUNTIF($C$18:C790,C790)),"st","nd","rd","th"),"")</f>
        <v/>
      </c>
    </row>
    <row r="791" spans="8:14" x14ac:dyDescent="0.3">
      <c r="H791" s="384" t="str">
        <f t="shared" si="13"/>
        <v/>
      </c>
      <c r="N791" s="378" t="str">
        <f>IFERROR(COUNTIF($C$18:C791,C791)&amp;CHOOSE(MIN(4,COUNTIF($C$18:C791,C791)),"st","nd","rd","th"),"")</f>
        <v/>
      </c>
    </row>
    <row r="792" spans="8:14" x14ac:dyDescent="0.3">
      <c r="H792" s="384" t="str">
        <f t="shared" si="13"/>
        <v/>
      </c>
      <c r="N792" s="378" t="str">
        <f>IFERROR(COUNTIF($C$18:C792,C792)&amp;CHOOSE(MIN(4,COUNTIF($C$18:C792,C792)),"st","nd","rd","th"),"")</f>
        <v/>
      </c>
    </row>
    <row r="793" spans="8:14" x14ac:dyDescent="0.3">
      <c r="H793" s="384" t="str">
        <f t="shared" si="13"/>
        <v/>
      </c>
      <c r="N793" s="378" t="str">
        <f>IFERROR(COUNTIF($C$18:C793,C793)&amp;CHOOSE(MIN(4,COUNTIF($C$18:C793,C793)),"st","nd","rd","th"),"")</f>
        <v/>
      </c>
    </row>
    <row r="794" spans="8:14" x14ac:dyDescent="0.3">
      <c r="H794" s="384" t="str">
        <f t="shared" si="13"/>
        <v/>
      </c>
      <c r="N794" s="378" t="str">
        <f>IFERROR(COUNTIF($C$18:C794,C794)&amp;CHOOSE(MIN(4,COUNTIF($C$18:C794,C794)),"st","nd","rd","th"),"")</f>
        <v/>
      </c>
    </row>
    <row r="795" spans="8:14" x14ac:dyDescent="0.3">
      <c r="H795" s="384" t="str">
        <f t="shared" si="13"/>
        <v/>
      </c>
      <c r="N795" s="378" t="str">
        <f>IFERROR(COUNTIF($C$18:C795,C795)&amp;CHOOSE(MIN(4,COUNTIF($C$18:C795,C795)),"st","nd","rd","th"),"")</f>
        <v/>
      </c>
    </row>
    <row r="796" spans="8:14" x14ac:dyDescent="0.3">
      <c r="H796" s="384" t="str">
        <f t="shared" si="13"/>
        <v/>
      </c>
      <c r="N796" s="378" t="str">
        <f>IFERROR(COUNTIF($C$18:C796,C796)&amp;CHOOSE(MIN(4,COUNTIF($C$18:C796,C796)),"st","nd","rd","th"),"")</f>
        <v/>
      </c>
    </row>
    <row r="797" spans="8:14" x14ac:dyDescent="0.3">
      <c r="H797" s="384" t="str">
        <f t="shared" si="13"/>
        <v/>
      </c>
      <c r="N797" s="378" t="str">
        <f>IFERROR(COUNTIF($C$18:C797,C797)&amp;CHOOSE(MIN(4,COUNTIF($C$18:C797,C797)),"st","nd","rd","th"),"")</f>
        <v/>
      </c>
    </row>
    <row r="798" spans="8:14" x14ac:dyDescent="0.3">
      <c r="H798" s="384" t="str">
        <f t="shared" si="13"/>
        <v/>
      </c>
      <c r="N798" s="378" t="str">
        <f>IFERROR(COUNTIF($C$18:C798,C798)&amp;CHOOSE(MIN(4,COUNTIF($C$18:C798,C798)),"st","nd","rd","th"),"")</f>
        <v/>
      </c>
    </row>
    <row r="799" spans="8:14" x14ac:dyDescent="0.3">
      <c r="H799" s="384" t="str">
        <f t="shared" si="13"/>
        <v/>
      </c>
      <c r="N799" s="378" t="str">
        <f>IFERROR(COUNTIF($C$18:C799,C799)&amp;CHOOSE(MIN(4,COUNTIF($C$18:C799,C799)),"st","nd","rd","th"),"")</f>
        <v/>
      </c>
    </row>
    <row r="800" spans="8:14" x14ac:dyDescent="0.3">
      <c r="H800" s="384" t="str">
        <f t="shared" si="13"/>
        <v/>
      </c>
      <c r="N800" s="378" t="str">
        <f>IFERROR(COUNTIF($C$18:C800,C800)&amp;CHOOSE(MIN(4,COUNTIF($C$18:C800,C800)),"st","nd","rd","th"),"")</f>
        <v/>
      </c>
    </row>
    <row r="801" spans="8:14" x14ac:dyDescent="0.3">
      <c r="H801" s="384" t="str">
        <f t="shared" si="13"/>
        <v/>
      </c>
      <c r="N801" s="378" t="str">
        <f>IFERROR(COUNTIF($C$18:C801,C801)&amp;CHOOSE(MIN(4,COUNTIF($C$18:C801,C801)),"st","nd","rd","th"),"")</f>
        <v/>
      </c>
    </row>
    <row r="802" spans="8:14" x14ac:dyDescent="0.3">
      <c r="H802" s="384" t="str">
        <f t="shared" si="13"/>
        <v/>
      </c>
      <c r="N802" s="378" t="str">
        <f>IFERROR(COUNTIF($C$18:C802,C802)&amp;CHOOSE(MIN(4,COUNTIF($C$18:C802,C802)),"st","nd","rd","th"),"")</f>
        <v/>
      </c>
    </row>
    <row r="803" spans="8:14" x14ac:dyDescent="0.3">
      <c r="H803" s="384" t="str">
        <f t="shared" si="13"/>
        <v/>
      </c>
      <c r="N803" s="378" t="str">
        <f>IFERROR(COUNTIF($C$18:C803,C803)&amp;CHOOSE(MIN(4,COUNTIF($C$18:C803,C803)),"st","nd","rd","th"),"")</f>
        <v/>
      </c>
    </row>
    <row r="804" spans="8:14" x14ac:dyDescent="0.3">
      <c r="H804" s="384" t="str">
        <f t="shared" si="13"/>
        <v/>
      </c>
      <c r="N804" s="378" t="str">
        <f>IFERROR(COUNTIF($C$18:C804,C804)&amp;CHOOSE(MIN(4,COUNTIF($C$18:C804,C804)),"st","nd","rd","th"),"")</f>
        <v/>
      </c>
    </row>
    <row r="805" spans="8:14" x14ac:dyDescent="0.3">
      <c r="H805" s="384" t="str">
        <f t="shared" si="13"/>
        <v/>
      </c>
      <c r="N805" s="378" t="str">
        <f>IFERROR(COUNTIF($C$18:C805,C805)&amp;CHOOSE(MIN(4,COUNTIF($C$18:C805,C805)),"st","nd","rd","th"),"")</f>
        <v/>
      </c>
    </row>
    <row r="806" spans="8:14" x14ac:dyDescent="0.3">
      <c r="H806" s="384" t="str">
        <f t="shared" si="13"/>
        <v/>
      </c>
      <c r="N806" s="378" t="str">
        <f>IFERROR(COUNTIF($C$18:C806,C806)&amp;CHOOSE(MIN(4,COUNTIF($C$18:C806,C806)),"st","nd","rd","th"),"")</f>
        <v/>
      </c>
    </row>
    <row r="807" spans="8:14" x14ac:dyDescent="0.3">
      <c r="H807" s="384" t="str">
        <f t="shared" si="13"/>
        <v/>
      </c>
      <c r="N807" s="378" t="str">
        <f>IFERROR(COUNTIF($C$18:C807,C807)&amp;CHOOSE(MIN(4,COUNTIF($C$18:C807,C807)),"st","nd","rd","th"),"")</f>
        <v/>
      </c>
    </row>
    <row r="808" spans="8:14" x14ac:dyDescent="0.3">
      <c r="H808" s="384" t="str">
        <f t="shared" si="13"/>
        <v/>
      </c>
      <c r="N808" s="378" t="str">
        <f>IFERROR(COUNTIF($C$18:C808,C808)&amp;CHOOSE(MIN(4,COUNTIF($C$18:C808,C808)),"st","nd","rd","th"),"")</f>
        <v/>
      </c>
    </row>
    <row r="809" spans="8:14" x14ac:dyDescent="0.3">
      <c r="H809" s="384" t="str">
        <f t="shared" si="13"/>
        <v/>
      </c>
      <c r="N809" s="378" t="str">
        <f>IFERROR(COUNTIF($C$18:C809,C809)&amp;CHOOSE(MIN(4,COUNTIF($C$18:C809,C809)),"st","nd","rd","th"),"")</f>
        <v/>
      </c>
    </row>
    <row r="810" spans="8:14" x14ac:dyDescent="0.3">
      <c r="H810" s="384" t="str">
        <f t="shared" si="13"/>
        <v/>
      </c>
      <c r="N810" s="378" t="str">
        <f>IFERROR(COUNTIF($C$18:C810,C810)&amp;CHOOSE(MIN(4,COUNTIF($C$18:C810,C810)),"st","nd","rd","th"),"")</f>
        <v/>
      </c>
    </row>
    <row r="811" spans="8:14" x14ac:dyDescent="0.3">
      <c r="H811" s="384" t="str">
        <f t="shared" si="13"/>
        <v/>
      </c>
      <c r="N811" s="378" t="str">
        <f>IFERROR(COUNTIF($C$18:C811,C811)&amp;CHOOSE(MIN(4,COUNTIF($C$18:C811,C811)),"st","nd","rd","th"),"")</f>
        <v/>
      </c>
    </row>
    <row r="812" spans="8:14" x14ac:dyDescent="0.3">
      <c r="H812" s="384" t="str">
        <f t="shared" si="13"/>
        <v/>
      </c>
      <c r="N812" s="378" t="str">
        <f>IFERROR(COUNTIF($C$18:C812,C812)&amp;CHOOSE(MIN(4,COUNTIF($C$18:C812,C812)),"st","nd","rd","th"),"")</f>
        <v/>
      </c>
    </row>
    <row r="813" spans="8:14" x14ac:dyDescent="0.3">
      <c r="H813" s="384" t="str">
        <f t="shared" si="13"/>
        <v/>
      </c>
      <c r="N813" s="378" t="str">
        <f>IFERROR(COUNTIF($C$18:C813,C813)&amp;CHOOSE(MIN(4,COUNTIF($C$18:C813,C813)),"st","nd","rd","th"),"")</f>
        <v/>
      </c>
    </row>
    <row r="814" spans="8:14" x14ac:dyDescent="0.3">
      <c r="H814" s="384" t="str">
        <f t="shared" si="13"/>
        <v/>
      </c>
      <c r="N814" s="378" t="str">
        <f>IFERROR(COUNTIF($C$18:C814,C814)&amp;CHOOSE(MIN(4,COUNTIF($C$18:C814,C814)),"st","nd","rd","th"),"")</f>
        <v/>
      </c>
    </row>
    <row r="815" spans="8:14" x14ac:dyDescent="0.3">
      <c r="H815" s="384" t="str">
        <f t="shared" si="13"/>
        <v/>
      </c>
      <c r="N815" s="378" t="str">
        <f>IFERROR(COUNTIF($C$18:C815,C815)&amp;CHOOSE(MIN(4,COUNTIF($C$18:C815,C815)),"st","nd","rd","th"),"")</f>
        <v/>
      </c>
    </row>
    <row r="816" spans="8:14" x14ac:dyDescent="0.3">
      <c r="H816" s="384" t="str">
        <f t="shared" si="13"/>
        <v/>
      </c>
      <c r="N816" s="378" t="str">
        <f>IFERROR(COUNTIF($C$18:C816,C816)&amp;CHOOSE(MIN(4,COUNTIF($C$18:C816,C816)),"st","nd","rd","th"),"")</f>
        <v/>
      </c>
    </row>
    <row r="817" spans="8:14" x14ac:dyDescent="0.3">
      <c r="H817" s="384" t="str">
        <f t="shared" si="13"/>
        <v/>
      </c>
      <c r="N817" s="378" t="str">
        <f>IFERROR(COUNTIF($C$18:C817,C817)&amp;CHOOSE(MIN(4,COUNTIF($C$18:C817,C817)),"st","nd","rd","th"),"")</f>
        <v/>
      </c>
    </row>
    <row r="818" spans="8:14" x14ac:dyDescent="0.3">
      <c r="H818" s="384" t="str">
        <f t="shared" si="13"/>
        <v/>
      </c>
      <c r="N818" s="378" t="str">
        <f>IFERROR(COUNTIF($C$18:C818,C818)&amp;CHOOSE(MIN(4,COUNTIF($C$18:C818,C818)),"st","nd","rd","th"),"")</f>
        <v/>
      </c>
    </row>
    <row r="819" spans="8:14" x14ac:dyDescent="0.3">
      <c r="H819" s="384" t="str">
        <f t="shared" si="13"/>
        <v/>
      </c>
      <c r="N819" s="378" t="str">
        <f>IFERROR(COUNTIF($C$18:C819,C819)&amp;CHOOSE(MIN(4,COUNTIF($C$18:C819,C819)),"st","nd","rd","th"),"")</f>
        <v/>
      </c>
    </row>
    <row r="820" spans="8:14" x14ac:dyDescent="0.3">
      <c r="H820" s="384" t="str">
        <f t="shared" si="13"/>
        <v/>
      </c>
      <c r="N820" s="378" t="str">
        <f>IFERROR(COUNTIF($C$18:C820,C820)&amp;CHOOSE(MIN(4,COUNTIF($C$18:C820,C820)),"st","nd","rd","th"),"")</f>
        <v/>
      </c>
    </row>
    <row r="821" spans="8:14" x14ac:dyDescent="0.3">
      <c r="H821" s="384" t="str">
        <f t="shared" si="13"/>
        <v/>
      </c>
      <c r="N821" s="378" t="str">
        <f>IFERROR(COUNTIF($C$18:C821,C821)&amp;CHOOSE(MIN(4,COUNTIF($C$18:C821,C821)),"st","nd","rd","th"),"")</f>
        <v/>
      </c>
    </row>
    <row r="822" spans="8:14" x14ac:dyDescent="0.3">
      <c r="H822" s="384" t="str">
        <f t="shared" si="13"/>
        <v/>
      </c>
      <c r="N822" s="378" t="str">
        <f>IFERROR(COUNTIF($C$18:C822,C822)&amp;CHOOSE(MIN(4,COUNTIF($C$18:C822,C822)),"st","nd","rd","th"),"")</f>
        <v/>
      </c>
    </row>
    <row r="823" spans="8:14" x14ac:dyDescent="0.3">
      <c r="H823" s="384" t="str">
        <f t="shared" si="13"/>
        <v/>
      </c>
      <c r="N823" s="378" t="str">
        <f>IFERROR(COUNTIF($C$18:C823,C823)&amp;CHOOSE(MIN(4,COUNTIF($C$18:C823,C823)),"st","nd","rd","th"),"")</f>
        <v/>
      </c>
    </row>
    <row r="824" spans="8:14" x14ac:dyDescent="0.3">
      <c r="H824" s="384" t="str">
        <f t="shared" si="13"/>
        <v/>
      </c>
      <c r="N824" s="378" t="str">
        <f>IFERROR(COUNTIF($C$18:C824,C824)&amp;CHOOSE(MIN(4,COUNTIF($C$18:C824,C824)),"st","nd","rd","th"),"")</f>
        <v/>
      </c>
    </row>
    <row r="825" spans="8:14" x14ac:dyDescent="0.3">
      <c r="H825" s="384" t="str">
        <f t="shared" si="13"/>
        <v/>
      </c>
      <c r="N825" s="378" t="str">
        <f>IFERROR(COUNTIF($C$18:C825,C825)&amp;CHOOSE(MIN(4,COUNTIF($C$18:C825,C825)),"st","nd","rd","th"),"")</f>
        <v/>
      </c>
    </row>
    <row r="826" spans="8:14" x14ac:dyDescent="0.3">
      <c r="H826" s="384" t="str">
        <f t="shared" si="13"/>
        <v/>
      </c>
      <c r="N826" s="378" t="str">
        <f>IFERROR(COUNTIF($C$18:C826,C826)&amp;CHOOSE(MIN(4,COUNTIF($C$18:C826,C826)),"st","nd","rd","th"),"")</f>
        <v/>
      </c>
    </row>
    <row r="827" spans="8:14" x14ac:dyDescent="0.3">
      <c r="H827" s="384" t="str">
        <f t="shared" si="13"/>
        <v/>
      </c>
      <c r="N827" s="378" t="str">
        <f>IFERROR(COUNTIF($C$18:C827,C827)&amp;CHOOSE(MIN(4,COUNTIF($C$18:C827,C827)),"st","nd","rd","th"),"")</f>
        <v/>
      </c>
    </row>
    <row r="828" spans="8:14" x14ac:dyDescent="0.3">
      <c r="H828" s="384" t="str">
        <f t="shared" si="13"/>
        <v/>
      </c>
      <c r="N828" s="378" t="str">
        <f>IFERROR(COUNTIF($C$18:C828,C828)&amp;CHOOSE(MIN(4,COUNTIF($C$18:C828,C828)),"st","nd","rd","th"),"")</f>
        <v/>
      </c>
    </row>
    <row r="829" spans="8:14" x14ac:dyDescent="0.3">
      <c r="H829" s="384" t="str">
        <f t="shared" si="13"/>
        <v/>
      </c>
      <c r="N829" s="378" t="str">
        <f>IFERROR(COUNTIF($C$18:C829,C829)&amp;CHOOSE(MIN(4,COUNTIF($C$18:C829,C829)),"st","nd","rd","th"),"")</f>
        <v/>
      </c>
    </row>
    <row r="830" spans="8:14" x14ac:dyDescent="0.3">
      <c r="H830" s="384" t="str">
        <f t="shared" si="13"/>
        <v/>
      </c>
      <c r="N830" s="378" t="str">
        <f>IFERROR(COUNTIF($C$18:C830,C830)&amp;CHOOSE(MIN(4,COUNTIF($C$18:C830,C830)),"st","nd","rd","th"),"")</f>
        <v/>
      </c>
    </row>
    <row r="831" spans="8:14" x14ac:dyDescent="0.3">
      <c r="H831" s="384" t="str">
        <f t="shared" si="13"/>
        <v/>
      </c>
      <c r="N831" s="378" t="str">
        <f>IFERROR(COUNTIF($C$18:C831,C831)&amp;CHOOSE(MIN(4,COUNTIF($C$18:C831,C831)),"st","nd","rd","th"),"")</f>
        <v/>
      </c>
    </row>
    <row r="832" spans="8:14" x14ac:dyDescent="0.3">
      <c r="H832" s="384" t="str">
        <f t="shared" si="13"/>
        <v/>
      </c>
      <c r="N832" s="378" t="str">
        <f>IFERROR(COUNTIF($C$18:C832,C832)&amp;CHOOSE(MIN(4,COUNTIF($C$18:C832,C832)),"st","nd","rd","th"),"")</f>
        <v/>
      </c>
    </row>
    <row r="833" spans="8:14" x14ac:dyDescent="0.3">
      <c r="H833" s="384" t="str">
        <f t="shared" si="13"/>
        <v/>
      </c>
      <c r="N833" s="378" t="str">
        <f>IFERROR(COUNTIF($C$18:C833,C833)&amp;CHOOSE(MIN(4,COUNTIF($C$18:C833,C833)),"st","nd","rd","th"),"")</f>
        <v/>
      </c>
    </row>
    <row r="834" spans="8:14" x14ac:dyDescent="0.3">
      <c r="H834" s="384" t="str">
        <f t="shared" si="13"/>
        <v/>
      </c>
      <c r="N834" s="378" t="str">
        <f>IFERROR(COUNTIF($C$18:C834,C834)&amp;CHOOSE(MIN(4,COUNTIF($C$18:C834,C834)),"st","nd","rd","th"),"")</f>
        <v/>
      </c>
    </row>
    <row r="835" spans="8:14" x14ac:dyDescent="0.3">
      <c r="H835" s="384" t="str">
        <f t="shared" si="13"/>
        <v/>
      </c>
      <c r="N835" s="378" t="str">
        <f>IFERROR(COUNTIF($C$18:C835,C835)&amp;CHOOSE(MIN(4,COUNTIF($C$18:C835,C835)),"st","nd","rd","th"),"")</f>
        <v/>
      </c>
    </row>
    <row r="836" spans="8:14" x14ac:dyDescent="0.3">
      <c r="H836" s="384" t="str">
        <f t="shared" si="13"/>
        <v/>
      </c>
      <c r="N836" s="378" t="str">
        <f>IFERROR(COUNTIF($C$18:C836,C836)&amp;CHOOSE(MIN(4,COUNTIF($C$18:C836,C836)),"st","nd","rd","th"),"")</f>
        <v/>
      </c>
    </row>
    <row r="837" spans="8:14" x14ac:dyDescent="0.3">
      <c r="H837" s="384" t="str">
        <f t="shared" si="13"/>
        <v/>
      </c>
      <c r="N837" s="378" t="str">
        <f>IFERROR(COUNTIF($C$18:C837,C837)&amp;CHOOSE(MIN(4,COUNTIF($C$18:C837,C837)),"st","nd","rd","th"),"")</f>
        <v/>
      </c>
    </row>
    <row r="838" spans="8:14" x14ac:dyDescent="0.3">
      <c r="H838" s="384" t="str">
        <f t="shared" si="13"/>
        <v/>
      </c>
      <c r="N838" s="378" t="str">
        <f>IFERROR(COUNTIF($C$18:C838,C838)&amp;CHOOSE(MIN(4,COUNTIF($C$18:C838,C838)),"st","nd","rd","th"),"")</f>
        <v/>
      </c>
    </row>
    <row r="839" spans="8:14" x14ac:dyDescent="0.3">
      <c r="H839" s="384" t="str">
        <f t="shared" si="13"/>
        <v/>
      </c>
      <c r="N839" s="378" t="str">
        <f>IFERROR(COUNTIF($C$18:C839,C839)&amp;CHOOSE(MIN(4,COUNTIF($C$18:C839,C839)),"st","nd","rd","th"),"")</f>
        <v/>
      </c>
    </row>
    <row r="840" spans="8:14" x14ac:dyDescent="0.3">
      <c r="H840" s="384" t="str">
        <f t="shared" si="13"/>
        <v/>
      </c>
      <c r="N840" s="378" t="str">
        <f>IFERROR(COUNTIF($C$18:C840,C840)&amp;CHOOSE(MIN(4,COUNTIF($C$18:C840,C840)),"st","nd","rd","th"),"")</f>
        <v/>
      </c>
    </row>
    <row r="841" spans="8:14" x14ac:dyDescent="0.3">
      <c r="H841" s="384" t="str">
        <f t="shared" si="13"/>
        <v/>
      </c>
      <c r="N841" s="378" t="str">
        <f>IFERROR(COUNTIF($C$18:C841,C841)&amp;CHOOSE(MIN(4,COUNTIF($C$18:C841,C841)),"st","nd","rd","th"),"")</f>
        <v/>
      </c>
    </row>
    <row r="842" spans="8:14" x14ac:dyDescent="0.3">
      <c r="H842" s="384" t="str">
        <f t="shared" si="13"/>
        <v/>
      </c>
      <c r="N842" s="378" t="str">
        <f>IFERROR(COUNTIF($C$18:C842,C842)&amp;CHOOSE(MIN(4,COUNTIF($C$18:C842,C842)),"st","nd","rd","th"),"")</f>
        <v/>
      </c>
    </row>
    <row r="843" spans="8:14" x14ac:dyDescent="0.3">
      <c r="H843" s="384" t="str">
        <f t="shared" si="13"/>
        <v/>
      </c>
      <c r="N843" s="378" t="str">
        <f>IFERROR(COUNTIF($C$18:C843,C843)&amp;CHOOSE(MIN(4,COUNTIF($C$18:C843,C843)),"st","nd","rd","th"),"")</f>
        <v/>
      </c>
    </row>
    <row r="844" spans="8:14" x14ac:dyDescent="0.3">
      <c r="H844" s="384" t="str">
        <f t="shared" si="13"/>
        <v/>
      </c>
      <c r="N844" s="378" t="str">
        <f>IFERROR(COUNTIF($C$18:C844,C844)&amp;CHOOSE(MIN(4,COUNTIF($C$18:C844,C844)),"st","nd","rd","th"),"")</f>
        <v/>
      </c>
    </row>
    <row r="845" spans="8:14" x14ac:dyDescent="0.3">
      <c r="H845" s="384" t="str">
        <f t="shared" si="13"/>
        <v/>
      </c>
      <c r="N845" s="378" t="str">
        <f>IFERROR(COUNTIF($C$18:C845,C845)&amp;CHOOSE(MIN(4,COUNTIF($C$18:C845,C845)),"st","nd","rd","th"),"")</f>
        <v/>
      </c>
    </row>
    <row r="846" spans="8:14" x14ac:dyDescent="0.3">
      <c r="H846" s="384" t="str">
        <f t="shared" si="13"/>
        <v/>
      </c>
      <c r="N846" s="378" t="str">
        <f>IFERROR(COUNTIF($C$18:C846,C846)&amp;CHOOSE(MIN(4,COUNTIF($C$18:C846,C846)),"st","nd","rd","th"),"")</f>
        <v/>
      </c>
    </row>
    <row r="847" spans="8:14" x14ac:dyDescent="0.3">
      <c r="H847" s="384" t="str">
        <f t="shared" si="13"/>
        <v/>
      </c>
      <c r="N847" s="378" t="str">
        <f>IFERROR(COUNTIF($C$18:C847,C847)&amp;CHOOSE(MIN(4,COUNTIF($C$18:C847,C847)),"st","nd","rd","th"),"")</f>
        <v/>
      </c>
    </row>
    <row r="848" spans="8:14" x14ac:dyDescent="0.3">
      <c r="H848" s="384" t="str">
        <f t="shared" si="13"/>
        <v/>
      </c>
      <c r="N848" s="378" t="str">
        <f>IFERROR(COUNTIF($C$18:C848,C848)&amp;CHOOSE(MIN(4,COUNTIF($C$18:C848,C848)),"st","nd","rd","th"),"")</f>
        <v/>
      </c>
    </row>
    <row r="849" spans="8:14" x14ac:dyDescent="0.3">
      <c r="H849" s="384" t="str">
        <f t="shared" si="13"/>
        <v/>
      </c>
      <c r="N849" s="378" t="str">
        <f>IFERROR(COUNTIF($C$18:C849,C849)&amp;CHOOSE(MIN(4,COUNTIF($C$18:C849,C849)),"st","nd","rd","th"),"")</f>
        <v/>
      </c>
    </row>
    <row r="850" spans="8:14" x14ac:dyDescent="0.3">
      <c r="H850" s="384" t="str">
        <f t="shared" ref="H850:H913" si="14">IF(OR(ISBLANK(G850), ISBLANK(F850)), "", IF(G850=F850, 1, SUM(_xlfn.DAYS(G850, F850), 1)))</f>
        <v/>
      </c>
      <c r="N850" s="378" t="str">
        <f>IFERROR(COUNTIF($C$18:C850,C850)&amp;CHOOSE(MIN(4,COUNTIF($C$18:C850,C850)),"st","nd","rd","th"),"")</f>
        <v/>
      </c>
    </row>
    <row r="851" spans="8:14" x14ac:dyDescent="0.3">
      <c r="H851" s="384" t="str">
        <f t="shared" si="14"/>
        <v/>
      </c>
      <c r="N851" s="378" t="str">
        <f>IFERROR(COUNTIF($C$18:C851,C851)&amp;CHOOSE(MIN(4,COUNTIF($C$18:C851,C851)),"st","nd","rd","th"),"")</f>
        <v/>
      </c>
    </row>
    <row r="852" spans="8:14" x14ac:dyDescent="0.3">
      <c r="H852" s="384" t="str">
        <f t="shared" si="14"/>
        <v/>
      </c>
      <c r="N852" s="378" t="str">
        <f>IFERROR(COUNTIF($C$18:C852,C852)&amp;CHOOSE(MIN(4,COUNTIF($C$18:C852,C852)),"st","nd","rd","th"),"")</f>
        <v/>
      </c>
    </row>
    <row r="853" spans="8:14" x14ac:dyDescent="0.3">
      <c r="H853" s="384" t="str">
        <f t="shared" si="14"/>
        <v/>
      </c>
      <c r="N853" s="378" t="str">
        <f>IFERROR(COUNTIF($C$18:C853,C853)&amp;CHOOSE(MIN(4,COUNTIF($C$18:C853,C853)),"st","nd","rd","th"),"")</f>
        <v/>
      </c>
    </row>
    <row r="854" spans="8:14" x14ac:dyDescent="0.3">
      <c r="H854" s="384" t="str">
        <f t="shared" si="14"/>
        <v/>
      </c>
      <c r="N854" s="378" t="str">
        <f>IFERROR(COUNTIF($C$18:C854,C854)&amp;CHOOSE(MIN(4,COUNTIF($C$18:C854,C854)),"st","nd","rd","th"),"")</f>
        <v/>
      </c>
    </row>
    <row r="855" spans="8:14" x14ac:dyDescent="0.3">
      <c r="H855" s="384" t="str">
        <f t="shared" si="14"/>
        <v/>
      </c>
      <c r="N855" s="378" t="str">
        <f>IFERROR(COUNTIF($C$18:C855,C855)&amp;CHOOSE(MIN(4,COUNTIF($C$18:C855,C855)),"st","nd","rd","th"),"")</f>
        <v/>
      </c>
    </row>
    <row r="856" spans="8:14" x14ac:dyDescent="0.3">
      <c r="H856" s="384" t="str">
        <f t="shared" si="14"/>
        <v/>
      </c>
      <c r="N856" s="378" t="str">
        <f>IFERROR(COUNTIF($C$18:C856,C856)&amp;CHOOSE(MIN(4,COUNTIF($C$18:C856,C856)),"st","nd","rd","th"),"")</f>
        <v/>
      </c>
    </row>
    <row r="857" spans="8:14" x14ac:dyDescent="0.3">
      <c r="H857" s="384" t="str">
        <f t="shared" si="14"/>
        <v/>
      </c>
      <c r="N857" s="378" t="str">
        <f>IFERROR(COUNTIF($C$18:C857,C857)&amp;CHOOSE(MIN(4,COUNTIF($C$18:C857,C857)),"st","nd","rd","th"),"")</f>
        <v/>
      </c>
    </row>
    <row r="858" spans="8:14" x14ac:dyDescent="0.3">
      <c r="H858" s="384" t="str">
        <f t="shared" si="14"/>
        <v/>
      </c>
      <c r="N858" s="378" t="str">
        <f>IFERROR(COUNTIF($C$18:C858,C858)&amp;CHOOSE(MIN(4,COUNTIF($C$18:C858,C858)),"st","nd","rd","th"),"")</f>
        <v/>
      </c>
    </row>
    <row r="859" spans="8:14" x14ac:dyDescent="0.3">
      <c r="H859" s="384" t="str">
        <f t="shared" si="14"/>
        <v/>
      </c>
      <c r="N859" s="378" t="str">
        <f>IFERROR(COUNTIF($C$18:C859,C859)&amp;CHOOSE(MIN(4,COUNTIF($C$18:C859,C859)),"st","nd","rd","th"),"")</f>
        <v/>
      </c>
    </row>
    <row r="860" spans="8:14" x14ac:dyDescent="0.3">
      <c r="H860" s="384" t="str">
        <f t="shared" si="14"/>
        <v/>
      </c>
      <c r="N860" s="378" t="str">
        <f>IFERROR(COUNTIF($C$18:C860,C860)&amp;CHOOSE(MIN(4,COUNTIF($C$18:C860,C860)),"st","nd","rd","th"),"")</f>
        <v/>
      </c>
    </row>
    <row r="861" spans="8:14" x14ac:dyDescent="0.3">
      <c r="H861" s="384" t="str">
        <f t="shared" si="14"/>
        <v/>
      </c>
      <c r="N861" s="378" t="str">
        <f>IFERROR(COUNTIF($C$18:C861,C861)&amp;CHOOSE(MIN(4,COUNTIF($C$18:C861,C861)),"st","nd","rd","th"),"")</f>
        <v/>
      </c>
    </row>
    <row r="862" spans="8:14" x14ac:dyDescent="0.3">
      <c r="H862" s="384" t="str">
        <f t="shared" si="14"/>
        <v/>
      </c>
      <c r="N862" s="378" t="str">
        <f>IFERROR(COUNTIF($C$18:C862,C862)&amp;CHOOSE(MIN(4,COUNTIF($C$18:C862,C862)),"st","nd","rd","th"),"")</f>
        <v/>
      </c>
    </row>
    <row r="863" spans="8:14" x14ac:dyDescent="0.3">
      <c r="H863" s="384" t="str">
        <f t="shared" si="14"/>
        <v/>
      </c>
      <c r="N863" s="378" t="str">
        <f>IFERROR(COUNTIF($C$18:C863,C863)&amp;CHOOSE(MIN(4,COUNTIF($C$18:C863,C863)),"st","nd","rd","th"),"")</f>
        <v/>
      </c>
    </row>
    <row r="864" spans="8:14" x14ac:dyDescent="0.3">
      <c r="H864" s="384" t="str">
        <f t="shared" si="14"/>
        <v/>
      </c>
      <c r="N864" s="378" t="str">
        <f>IFERROR(COUNTIF($C$18:C864,C864)&amp;CHOOSE(MIN(4,COUNTIF($C$18:C864,C864)),"st","nd","rd","th"),"")</f>
        <v/>
      </c>
    </row>
    <row r="865" spans="8:14" x14ac:dyDescent="0.3">
      <c r="H865" s="384" t="str">
        <f t="shared" si="14"/>
        <v/>
      </c>
      <c r="N865" s="378" t="str">
        <f>IFERROR(COUNTIF($C$18:C865,C865)&amp;CHOOSE(MIN(4,COUNTIF($C$18:C865,C865)),"st","nd","rd","th"),"")</f>
        <v/>
      </c>
    </row>
    <row r="866" spans="8:14" x14ac:dyDescent="0.3">
      <c r="H866" s="384" t="str">
        <f t="shared" si="14"/>
        <v/>
      </c>
      <c r="N866" s="378" t="str">
        <f>IFERROR(COUNTIF($C$18:C866,C866)&amp;CHOOSE(MIN(4,COUNTIF($C$18:C866,C866)),"st","nd","rd","th"),"")</f>
        <v/>
      </c>
    </row>
    <row r="867" spans="8:14" x14ac:dyDescent="0.3">
      <c r="H867" s="384" t="str">
        <f t="shared" si="14"/>
        <v/>
      </c>
      <c r="N867" s="378" t="str">
        <f>IFERROR(COUNTIF($C$18:C867,C867)&amp;CHOOSE(MIN(4,COUNTIF($C$18:C867,C867)),"st","nd","rd","th"),"")</f>
        <v/>
      </c>
    </row>
    <row r="868" spans="8:14" x14ac:dyDescent="0.3">
      <c r="H868" s="384" t="str">
        <f t="shared" si="14"/>
        <v/>
      </c>
      <c r="N868" s="378" t="str">
        <f>IFERROR(COUNTIF($C$18:C868,C868)&amp;CHOOSE(MIN(4,COUNTIF($C$18:C868,C868)),"st","nd","rd","th"),"")</f>
        <v/>
      </c>
    </row>
    <row r="869" spans="8:14" x14ac:dyDescent="0.3">
      <c r="H869" s="384" t="str">
        <f t="shared" si="14"/>
        <v/>
      </c>
      <c r="N869" s="378" t="str">
        <f>IFERROR(COUNTIF($C$18:C869,C869)&amp;CHOOSE(MIN(4,COUNTIF($C$18:C869,C869)),"st","nd","rd","th"),"")</f>
        <v/>
      </c>
    </row>
    <row r="870" spans="8:14" x14ac:dyDescent="0.3">
      <c r="H870" s="384" t="str">
        <f t="shared" si="14"/>
        <v/>
      </c>
      <c r="N870" s="378" t="str">
        <f>IFERROR(COUNTIF($C$18:C870,C870)&amp;CHOOSE(MIN(4,COUNTIF($C$18:C870,C870)),"st","nd","rd","th"),"")</f>
        <v/>
      </c>
    </row>
    <row r="871" spans="8:14" x14ac:dyDescent="0.3">
      <c r="H871" s="384" t="str">
        <f t="shared" si="14"/>
        <v/>
      </c>
      <c r="N871" s="378" t="str">
        <f>IFERROR(COUNTIF($C$18:C871,C871)&amp;CHOOSE(MIN(4,COUNTIF($C$18:C871,C871)),"st","nd","rd","th"),"")</f>
        <v/>
      </c>
    </row>
    <row r="872" spans="8:14" x14ac:dyDescent="0.3">
      <c r="H872" s="384" t="str">
        <f t="shared" si="14"/>
        <v/>
      </c>
      <c r="N872" s="378" t="str">
        <f>IFERROR(COUNTIF($C$18:C872,C872)&amp;CHOOSE(MIN(4,COUNTIF($C$18:C872,C872)),"st","nd","rd","th"),"")</f>
        <v/>
      </c>
    </row>
    <row r="873" spans="8:14" x14ac:dyDescent="0.3">
      <c r="H873" s="384" t="str">
        <f t="shared" si="14"/>
        <v/>
      </c>
      <c r="N873" s="378" t="str">
        <f>IFERROR(COUNTIF($C$18:C873,C873)&amp;CHOOSE(MIN(4,COUNTIF($C$18:C873,C873)),"st","nd","rd","th"),"")</f>
        <v/>
      </c>
    </row>
    <row r="874" spans="8:14" x14ac:dyDescent="0.3">
      <c r="H874" s="384" t="str">
        <f t="shared" si="14"/>
        <v/>
      </c>
      <c r="N874" s="378" t="str">
        <f>IFERROR(COUNTIF($C$18:C874,C874)&amp;CHOOSE(MIN(4,COUNTIF($C$18:C874,C874)),"st","nd","rd","th"),"")</f>
        <v/>
      </c>
    </row>
    <row r="875" spans="8:14" x14ac:dyDescent="0.3">
      <c r="H875" s="384" t="str">
        <f t="shared" si="14"/>
        <v/>
      </c>
      <c r="N875" s="378" t="str">
        <f>IFERROR(COUNTIF($C$18:C875,C875)&amp;CHOOSE(MIN(4,COUNTIF($C$18:C875,C875)),"st","nd","rd","th"),"")</f>
        <v/>
      </c>
    </row>
    <row r="876" spans="8:14" x14ac:dyDescent="0.3">
      <c r="H876" s="384" t="str">
        <f t="shared" si="14"/>
        <v/>
      </c>
      <c r="N876" s="378" t="str">
        <f>IFERROR(COUNTIF($C$18:C876,C876)&amp;CHOOSE(MIN(4,COUNTIF($C$18:C876,C876)),"st","nd","rd","th"),"")</f>
        <v/>
      </c>
    </row>
    <row r="877" spans="8:14" x14ac:dyDescent="0.3">
      <c r="H877" s="384" t="str">
        <f t="shared" si="14"/>
        <v/>
      </c>
      <c r="N877" s="378" t="str">
        <f>IFERROR(COUNTIF($C$18:C877,C877)&amp;CHOOSE(MIN(4,COUNTIF($C$18:C877,C877)),"st","nd","rd","th"),"")</f>
        <v/>
      </c>
    </row>
    <row r="878" spans="8:14" x14ac:dyDescent="0.3">
      <c r="H878" s="384" t="str">
        <f t="shared" si="14"/>
        <v/>
      </c>
      <c r="N878" s="378" t="str">
        <f>IFERROR(COUNTIF($C$18:C878,C878)&amp;CHOOSE(MIN(4,COUNTIF($C$18:C878,C878)),"st","nd","rd","th"),"")</f>
        <v/>
      </c>
    </row>
    <row r="879" spans="8:14" x14ac:dyDescent="0.3">
      <c r="H879" s="384" t="str">
        <f t="shared" si="14"/>
        <v/>
      </c>
      <c r="N879" s="378" t="str">
        <f>IFERROR(COUNTIF($C$18:C879,C879)&amp;CHOOSE(MIN(4,COUNTIF($C$18:C879,C879)),"st","nd","rd","th"),"")</f>
        <v/>
      </c>
    </row>
    <row r="880" spans="8:14" x14ac:dyDescent="0.3">
      <c r="H880" s="384" t="str">
        <f t="shared" si="14"/>
        <v/>
      </c>
      <c r="N880" s="378" t="str">
        <f>IFERROR(COUNTIF($C$18:C880,C880)&amp;CHOOSE(MIN(4,COUNTIF($C$18:C880,C880)),"st","nd","rd","th"),"")</f>
        <v/>
      </c>
    </row>
    <row r="881" spans="8:14" x14ac:dyDescent="0.3">
      <c r="H881" s="384" t="str">
        <f t="shared" si="14"/>
        <v/>
      </c>
      <c r="N881" s="378" t="str">
        <f>IFERROR(COUNTIF($C$18:C881,C881)&amp;CHOOSE(MIN(4,COUNTIF($C$18:C881,C881)),"st","nd","rd","th"),"")</f>
        <v/>
      </c>
    </row>
    <row r="882" spans="8:14" x14ac:dyDescent="0.3">
      <c r="H882" s="384" t="str">
        <f t="shared" si="14"/>
        <v/>
      </c>
      <c r="N882" s="378" t="str">
        <f>IFERROR(COUNTIF($C$18:C882,C882)&amp;CHOOSE(MIN(4,COUNTIF($C$18:C882,C882)),"st","nd","rd","th"),"")</f>
        <v/>
      </c>
    </row>
    <row r="883" spans="8:14" x14ac:dyDescent="0.3">
      <c r="H883" s="384" t="str">
        <f t="shared" si="14"/>
        <v/>
      </c>
      <c r="N883" s="378" t="str">
        <f>IFERROR(COUNTIF($C$18:C883,C883)&amp;CHOOSE(MIN(4,COUNTIF($C$18:C883,C883)),"st","nd","rd","th"),"")</f>
        <v/>
      </c>
    </row>
    <row r="884" spans="8:14" x14ac:dyDescent="0.3">
      <c r="H884" s="384" t="str">
        <f t="shared" si="14"/>
        <v/>
      </c>
      <c r="N884" s="378" t="str">
        <f>IFERROR(COUNTIF($C$18:C884,C884)&amp;CHOOSE(MIN(4,COUNTIF($C$18:C884,C884)),"st","nd","rd","th"),"")</f>
        <v/>
      </c>
    </row>
    <row r="885" spans="8:14" x14ac:dyDescent="0.3">
      <c r="H885" s="384" t="str">
        <f t="shared" si="14"/>
        <v/>
      </c>
      <c r="N885" s="378" t="str">
        <f>IFERROR(COUNTIF($C$18:C885,C885)&amp;CHOOSE(MIN(4,COUNTIF($C$18:C885,C885)),"st","nd","rd","th"),"")</f>
        <v/>
      </c>
    </row>
    <row r="886" spans="8:14" x14ac:dyDescent="0.3">
      <c r="H886" s="384" t="str">
        <f t="shared" si="14"/>
        <v/>
      </c>
      <c r="N886" s="378" t="str">
        <f>IFERROR(COUNTIF($C$18:C886,C886)&amp;CHOOSE(MIN(4,COUNTIF($C$18:C886,C886)),"st","nd","rd","th"),"")</f>
        <v/>
      </c>
    </row>
    <row r="887" spans="8:14" x14ac:dyDescent="0.3">
      <c r="H887" s="384" t="str">
        <f t="shared" si="14"/>
        <v/>
      </c>
      <c r="N887" s="378" t="str">
        <f>IFERROR(COUNTIF($C$18:C887,C887)&amp;CHOOSE(MIN(4,COUNTIF($C$18:C887,C887)),"st","nd","rd","th"),"")</f>
        <v/>
      </c>
    </row>
    <row r="888" spans="8:14" x14ac:dyDescent="0.3">
      <c r="H888" s="384" t="str">
        <f t="shared" si="14"/>
        <v/>
      </c>
      <c r="N888" s="378" t="str">
        <f>IFERROR(COUNTIF($C$18:C888,C888)&amp;CHOOSE(MIN(4,COUNTIF($C$18:C888,C888)),"st","nd","rd","th"),"")</f>
        <v/>
      </c>
    </row>
    <row r="889" spans="8:14" x14ac:dyDescent="0.3">
      <c r="H889" s="384" t="str">
        <f t="shared" si="14"/>
        <v/>
      </c>
      <c r="N889" s="378" t="str">
        <f>IFERROR(COUNTIF($C$18:C889,C889)&amp;CHOOSE(MIN(4,COUNTIF($C$18:C889,C889)),"st","nd","rd","th"),"")</f>
        <v/>
      </c>
    </row>
    <row r="890" spans="8:14" x14ac:dyDescent="0.3">
      <c r="H890" s="384" t="str">
        <f t="shared" si="14"/>
        <v/>
      </c>
      <c r="N890" s="378" t="str">
        <f>IFERROR(COUNTIF($C$18:C890,C890)&amp;CHOOSE(MIN(4,COUNTIF($C$18:C890,C890)),"st","nd","rd","th"),"")</f>
        <v/>
      </c>
    </row>
    <row r="891" spans="8:14" x14ac:dyDescent="0.3">
      <c r="H891" s="384" t="str">
        <f t="shared" si="14"/>
        <v/>
      </c>
      <c r="N891" s="378" t="str">
        <f>IFERROR(COUNTIF($C$18:C891,C891)&amp;CHOOSE(MIN(4,COUNTIF($C$18:C891,C891)),"st","nd","rd","th"),"")</f>
        <v/>
      </c>
    </row>
    <row r="892" spans="8:14" x14ac:dyDescent="0.3">
      <c r="H892" s="384" t="str">
        <f t="shared" si="14"/>
        <v/>
      </c>
      <c r="N892" s="378" t="str">
        <f>IFERROR(COUNTIF($C$18:C892,C892)&amp;CHOOSE(MIN(4,COUNTIF($C$18:C892,C892)),"st","nd","rd","th"),"")</f>
        <v/>
      </c>
    </row>
    <row r="893" spans="8:14" x14ac:dyDescent="0.3">
      <c r="H893" s="384" t="str">
        <f t="shared" si="14"/>
        <v/>
      </c>
      <c r="N893" s="378" t="str">
        <f>IFERROR(COUNTIF($C$18:C893,C893)&amp;CHOOSE(MIN(4,COUNTIF($C$18:C893,C893)),"st","nd","rd","th"),"")</f>
        <v/>
      </c>
    </row>
    <row r="894" spans="8:14" x14ac:dyDescent="0.3">
      <c r="H894" s="384" t="str">
        <f t="shared" si="14"/>
        <v/>
      </c>
      <c r="N894" s="378" t="str">
        <f>IFERROR(COUNTIF($C$18:C894,C894)&amp;CHOOSE(MIN(4,COUNTIF($C$18:C894,C894)),"st","nd","rd","th"),"")</f>
        <v/>
      </c>
    </row>
    <row r="895" spans="8:14" x14ac:dyDescent="0.3">
      <c r="H895" s="384" t="str">
        <f t="shared" si="14"/>
        <v/>
      </c>
      <c r="N895" s="378" t="str">
        <f>IFERROR(COUNTIF($C$18:C895,C895)&amp;CHOOSE(MIN(4,COUNTIF($C$18:C895,C895)),"st","nd","rd","th"),"")</f>
        <v/>
      </c>
    </row>
    <row r="896" spans="8:14" x14ac:dyDescent="0.3">
      <c r="H896" s="384" t="str">
        <f t="shared" si="14"/>
        <v/>
      </c>
      <c r="N896" s="378" t="str">
        <f>IFERROR(COUNTIF($C$18:C896,C896)&amp;CHOOSE(MIN(4,COUNTIF($C$18:C896,C896)),"st","nd","rd","th"),"")</f>
        <v/>
      </c>
    </row>
    <row r="897" spans="8:14" x14ac:dyDescent="0.3">
      <c r="H897" s="384" t="str">
        <f t="shared" si="14"/>
        <v/>
      </c>
      <c r="N897" s="378" t="str">
        <f>IFERROR(COUNTIF($C$18:C897,C897)&amp;CHOOSE(MIN(4,COUNTIF($C$18:C897,C897)),"st","nd","rd","th"),"")</f>
        <v/>
      </c>
    </row>
    <row r="898" spans="8:14" x14ac:dyDescent="0.3">
      <c r="H898" s="384" t="str">
        <f t="shared" si="14"/>
        <v/>
      </c>
      <c r="N898" s="378" t="str">
        <f>IFERROR(COUNTIF($C$18:C898,C898)&amp;CHOOSE(MIN(4,COUNTIF($C$18:C898,C898)),"st","nd","rd","th"),"")</f>
        <v/>
      </c>
    </row>
    <row r="899" spans="8:14" x14ac:dyDescent="0.3">
      <c r="H899" s="384" t="str">
        <f t="shared" si="14"/>
        <v/>
      </c>
      <c r="N899" s="378" t="str">
        <f>IFERROR(COUNTIF($C$18:C899,C899)&amp;CHOOSE(MIN(4,COUNTIF($C$18:C899,C899)),"st","nd","rd","th"),"")</f>
        <v/>
      </c>
    </row>
    <row r="900" spans="8:14" x14ac:dyDescent="0.3">
      <c r="H900" s="384" t="str">
        <f t="shared" si="14"/>
        <v/>
      </c>
      <c r="N900" s="378" t="str">
        <f>IFERROR(COUNTIF($C$18:C900,C900)&amp;CHOOSE(MIN(4,COUNTIF($C$18:C900,C900)),"st","nd","rd","th"),"")</f>
        <v/>
      </c>
    </row>
    <row r="901" spans="8:14" x14ac:dyDescent="0.3">
      <c r="H901" s="384" t="str">
        <f t="shared" si="14"/>
        <v/>
      </c>
      <c r="N901" s="378" t="str">
        <f>IFERROR(COUNTIF($C$18:C901,C901)&amp;CHOOSE(MIN(4,COUNTIF($C$18:C901,C901)),"st","nd","rd","th"),"")</f>
        <v/>
      </c>
    </row>
    <row r="902" spans="8:14" x14ac:dyDescent="0.3">
      <c r="H902" s="384" t="str">
        <f t="shared" si="14"/>
        <v/>
      </c>
      <c r="N902" s="378" t="str">
        <f>IFERROR(COUNTIF($C$18:C902,C902)&amp;CHOOSE(MIN(4,COUNTIF($C$18:C902,C902)),"st","nd","rd","th"),"")</f>
        <v/>
      </c>
    </row>
    <row r="903" spans="8:14" x14ac:dyDescent="0.3">
      <c r="H903" s="384" t="str">
        <f t="shared" si="14"/>
        <v/>
      </c>
      <c r="N903" s="378" t="str">
        <f>IFERROR(COUNTIF($C$18:C903,C903)&amp;CHOOSE(MIN(4,COUNTIF($C$18:C903,C903)),"st","nd","rd","th"),"")</f>
        <v/>
      </c>
    </row>
    <row r="904" spans="8:14" x14ac:dyDescent="0.3">
      <c r="H904" s="384" t="str">
        <f t="shared" si="14"/>
        <v/>
      </c>
      <c r="N904" s="378" t="str">
        <f>IFERROR(COUNTIF($C$18:C904,C904)&amp;CHOOSE(MIN(4,COUNTIF($C$18:C904,C904)),"st","nd","rd","th"),"")</f>
        <v/>
      </c>
    </row>
    <row r="905" spans="8:14" x14ac:dyDescent="0.3">
      <c r="H905" s="384" t="str">
        <f t="shared" si="14"/>
        <v/>
      </c>
      <c r="N905" s="378" t="str">
        <f>IFERROR(COUNTIF($C$18:C905,C905)&amp;CHOOSE(MIN(4,COUNTIF($C$18:C905,C905)),"st","nd","rd","th"),"")</f>
        <v/>
      </c>
    </row>
    <row r="906" spans="8:14" x14ac:dyDescent="0.3">
      <c r="H906" s="384" t="str">
        <f t="shared" si="14"/>
        <v/>
      </c>
      <c r="N906" s="378" t="str">
        <f>IFERROR(COUNTIF($C$18:C906,C906)&amp;CHOOSE(MIN(4,COUNTIF($C$18:C906,C906)),"st","nd","rd","th"),"")</f>
        <v/>
      </c>
    </row>
    <row r="907" spans="8:14" x14ac:dyDescent="0.3">
      <c r="H907" s="384" t="str">
        <f t="shared" si="14"/>
        <v/>
      </c>
      <c r="N907" s="378" t="str">
        <f>IFERROR(COUNTIF($C$18:C907,C907)&amp;CHOOSE(MIN(4,COUNTIF($C$18:C907,C907)),"st","nd","rd","th"),"")</f>
        <v/>
      </c>
    </row>
    <row r="908" spans="8:14" x14ac:dyDescent="0.3">
      <c r="H908" s="384" t="str">
        <f t="shared" si="14"/>
        <v/>
      </c>
      <c r="N908" s="378" t="str">
        <f>IFERROR(COUNTIF($C$18:C908,C908)&amp;CHOOSE(MIN(4,COUNTIF($C$18:C908,C908)),"st","nd","rd","th"),"")</f>
        <v/>
      </c>
    </row>
    <row r="909" spans="8:14" x14ac:dyDescent="0.3">
      <c r="H909" s="384" t="str">
        <f t="shared" si="14"/>
        <v/>
      </c>
      <c r="N909" s="378" t="str">
        <f>IFERROR(COUNTIF($C$18:C909,C909)&amp;CHOOSE(MIN(4,COUNTIF($C$18:C909,C909)),"st","nd","rd","th"),"")</f>
        <v/>
      </c>
    </row>
    <row r="910" spans="8:14" x14ac:dyDescent="0.3">
      <c r="H910" s="384" t="str">
        <f t="shared" si="14"/>
        <v/>
      </c>
      <c r="N910" s="378" t="str">
        <f>IFERROR(COUNTIF($C$18:C910,C910)&amp;CHOOSE(MIN(4,COUNTIF($C$18:C910,C910)),"st","nd","rd","th"),"")</f>
        <v/>
      </c>
    </row>
    <row r="911" spans="8:14" x14ac:dyDescent="0.3">
      <c r="H911" s="384" t="str">
        <f t="shared" si="14"/>
        <v/>
      </c>
      <c r="N911" s="378" t="str">
        <f>IFERROR(COUNTIF($C$18:C911,C911)&amp;CHOOSE(MIN(4,COUNTIF($C$18:C911,C911)),"st","nd","rd","th"),"")</f>
        <v/>
      </c>
    </row>
    <row r="912" spans="8:14" x14ac:dyDescent="0.3">
      <c r="H912" s="384" t="str">
        <f t="shared" si="14"/>
        <v/>
      </c>
      <c r="N912" s="378" t="str">
        <f>IFERROR(COUNTIF($C$18:C912,C912)&amp;CHOOSE(MIN(4,COUNTIF($C$18:C912,C912)),"st","nd","rd","th"),"")</f>
        <v/>
      </c>
    </row>
    <row r="913" spans="8:14" x14ac:dyDescent="0.3">
      <c r="H913" s="384" t="str">
        <f t="shared" si="14"/>
        <v/>
      </c>
      <c r="N913" s="378" t="str">
        <f>IFERROR(COUNTIF($C$18:C913,C913)&amp;CHOOSE(MIN(4,COUNTIF($C$18:C913,C913)),"st","nd","rd","th"),"")</f>
        <v/>
      </c>
    </row>
    <row r="914" spans="8:14" x14ac:dyDescent="0.3">
      <c r="H914" s="384" t="str">
        <f t="shared" ref="H914:H977" si="15">IF(OR(ISBLANK(G914), ISBLANK(F914)), "", IF(G914=F914, 1, SUM(_xlfn.DAYS(G914, F914), 1)))</f>
        <v/>
      </c>
      <c r="N914" s="378" t="str">
        <f>IFERROR(COUNTIF($C$18:C914,C914)&amp;CHOOSE(MIN(4,COUNTIF($C$18:C914,C914)),"st","nd","rd","th"),"")</f>
        <v/>
      </c>
    </row>
    <row r="915" spans="8:14" x14ac:dyDescent="0.3">
      <c r="H915" s="384" t="str">
        <f t="shared" si="15"/>
        <v/>
      </c>
      <c r="N915" s="378" t="str">
        <f>IFERROR(COUNTIF($C$18:C915,C915)&amp;CHOOSE(MIN(4,COUNTIF($C$18:C915,C915)),"st","nd","rd","th"),"")</f>
        <v/>
      </c>
    </row>
    <row r="916" spans="8:14" x14ac:dyDescent="0.3">
      <c r="H916" s="384" t="str">
        <f t="shared" si="15"/>
        <v/>
      </c>
      <c r="N916" s="378" t="str">
        <f>IFERROR(COUNTIF($C$18:C916,C916)&amp;CHOOSE(MIN(4,COUNTIF($C$18:C916,C916)),"st","nd","rd","th"),"")</f>
        <v/>
      </c>
    </row>
    <row r="917" spans="8:14" x14ac:dyDescent="0.3">
      <c r="H917" s="384" t="str">
        <f t="shared" si="15"/>
        <v/>
      </c>
      <c r="N917" s="378" t="str">
        <f>IFERROR(COUNTIF($C$18:C917,C917)&amp;CHOOSE(MIN(4,COUNTIF($C$18:C917,C917)),"st","nd","rd","th"),"")</f>
        <v/>
      </c>
    </row>
    <row r="918" spans="8:14" x14ac:dyDescent="0.3">
      <c r="H918" s="384" t="str">
        <f t="shared" si="15"/>
        <v/>
      </c>
      <c r="N918" s="378" t="str">
        <f>IFERROR(COUNTIF($C$18:C918,C918)&amp;CHOOSE(MIN(4,COUNTIF($C$18:C918,C918)),"st","nd","rd","th"),"")</f>
        <v/>
      </c>
    </row>
    <row r="919" spans="8:14" x14ac:dyDescent="0.3">
      <c r="H919" s="384" t="str">
        <f t="shared" si="15"/>
        <v/>
      </c>
      <c r="N919" s="378" t="str">
        <f>IFERROR(COUNTIF($C$18:C919,C919)&amp;CHOOSE(MIN(4,COUNTIF($C$18:C919,C919)),"st","nd","rd","th"),"")</f>
        <v/>
      </c>
    </row>
    <row r="920" spans="8:14" x14ac:dyDescent="0.3">
      <c r="H920" s="384" t="str">
        <f t="shared" si="15"/>
        <v/>
      </c>
      <c r="N920" s="378" t="str">
        <f>IFERROR(COUNTIF($C$18:C920,C920)&amp;CHOOSE(MIN(4,COUNTIF($C$18:C920,C920)),"st","nd","rd","th"),"")</f>
        <v/>
      </c>
    </row>
    <row r="921" spans="8:14" x14ac:dyDescent="0.3">
      <c r="H921" s="384" t="str">
        <f t="shared" si="15"/>
        <v/>
      </c>
      <c r="N921" s="378" t="str">
        <f>IFERROR(COUNTIF($C$18:C921,C921)&amp;CHOOSE(MIN(4,COUNTIF($C$18:C921,C921)),"st","nd","rd","th"),"")</f>
        <v/>
      </c>
    </row>
    <row r="922" spans="8:14" x14ac:dyDescent="0.3">
      <c r="H922" s="384" t="str">
        <f t="shared" si="15"/>
        <v/>
      </c>
      <c r="N922" s="378" t="str">
        <f>IFERROR(COUNTIF($C$18:C922,C922)&amp;CHOOSE(MIN(4,COUNTIF($C$18:C922,C922)),"st","nd","rd","th"),"")</f>
        <v/>
      </c>
    </row>
    <row r="923" spans="8:14" x14ac:dyDescent="0.3">
      <c r="H923" s="384" t="str">
        <f t="shared" si="15"/>
        <v/>
      </c>
      <c r="N923" s="378" t="str">
        <f>IFERROR(COUNTIF($C$18:C923,C923)&amp;CHOOSE(MIN(4,COUNTIF($C$18:C923,C923)),"st","nd","rd","th"),"")</f>
        <v/>
      </c>
    </row>
    <row r="924" spans="8:14" x14ac:dyDescent="0.3">
      <c r="H924" s="384" t="str">
        <f t="shared" si="15"/>
        <v/>
      </c>
      <c r="N924" s="378" t="str">
        <f>IFERROR(COUNTIF($C$18:C924,C924)&amp;CHOOSE(MIN(4,COUNTIF($C$18:C924,C924)),"st","nd","rd","th"),"")</f>
        <v/>
      </c>
    </row>
    <row r="925" spans="8:14" x14ac:dyDescent="0.3">
      <c r="H925" s="384" t="str">
        <f t="shared" si="15"/>
        <v/>
      </c>
      <c r="N925" s="378" t="str">
        <f>IFERROR(COUNTIF($C$18:C925,C925)&amp;CHOOSE(MIN(4,COUNTIF($C$18:C925,C925)),"st","nd","rd","th"),"")</f>
        <v/>
      </c>
    </row>
    <row r="926" spans="8:14" x14ac:dyDescent="0.3">
      <c r="H926" s="384" t="str">
        <f t="shared" si="15"/>
        <v/>
      </c>
      <c r="N926" s="378" t="str">
        <f>IFERROR(COUNTIF($C$18:C926,C926)&amp;CHOOSE(MIN(4,COUNTIF($C$18:C926,C926)),"st","nd","rd","th"),"")</f>
        <v/>
      </c>
    </row>
    <row r="927" spans="8:14" x14ac:dyDescent="0.3">
      <c r="H927" s="384" t="str">
        <f t="shared" si="15"/>
        <v/>
      </c>
      <c r="N927" s="378" t="str">
        <f>IFERROR(COUNTIF($C$18:C927,C927)&amp;CHOOSE(MIN(4,COUNTIF($C$18:C927,C927)),"st","nd","rd","th"),"")</f>
        <v/>
      </c>
    </row>
    <row r="928" spans="8:14" x14ac:dyDescent="0.3">
      <c r="H928" s="384" t="str">
        <f t="shared" si="15"/>
        <v/>
      </c>
      <c r="N928" s="378" t="str">
        <f>IFERROR(COUNTIF($C$18:C928,C928)&amp;CHOOSE(MIN(4,COUNTIF($C$18:C928,C928)),"st","nd","rd","th"),"")</f>
        <v/>
      </c>
    </row>
    <row r="929" spans="8:14" x14ac:dyDescent="0.3">
      <c r="H929" s="384" t="str">
        <f t="shared" si="15"/>
        <v/>
      </c>
      <c r="N929" s="378" t="str">
        <f>IFERROR(COUNTIF($C$18:C929,C929)&amp;CHOOSE(MIN(4,COUNTIF($C$18:C929,C929)),"st","nd","rd","th"),"")</f>
        <v/>
      </c>
    </row>
    <row r="930" spans="8:14" x14ac:dyDescent="0.3">
      <c r="H930" s="384" t="str">
        <f t="shared" si="15"/>
        <v/>
      </c>
      <c r="N930" s="378" t="str">
        <f>IFERROR(COUNTIF($C$18:C930,C930)&amp;CHOOSE(MIN(4,COUNTIF($C$18:C930,C930)),"st","nd","rd","th"),"")</f>
        <v/>
      </c>
    </row>
    <row r="931" spans="8:14" x14ac:dyDescent="0.3">
      <c r="H931" s="384" t="str">
        <f t="shared" si="15"/>
        <v/>
      </c>
      <c r="N931" s="378" t="str">
        <f>IFERROR(COUNTIF($C$18:C931,C931)&amp;CHOOSE(MIN(4,COUNTIF($C$18:C931,C931)),"st","nd","rd","th"),"")</f>
        <v/>
      </c>
    </row>
    <row r="932" spans="8:14" x14ac:dyDescent="0.3">
      <c r="H932" s="384" t="str">
        <f t="shared" si="15"/>
        <v/>
      </c>
      <c r="N932" s="378" t="str">
        <f>IFERROR(COUNTIF($C$18:C932,C932)&amp;CHOOSE(MIN(4,COUNTIF($C$18:C932,C932)),"st","nd","rd","th"),"")</f>
        <v/>
      </c>
    </row>
    <row r="933" spans="8:14" x14ac:dyDescent="0.3">
      <c r="H933" s="384" t="str">
        <f t="shared" si="15"/>
        <v/>
      </c>
      <c r="N933" s="378" t="str">
        <f>IFERROR(COUNTIF($C$18:C933,C933)&amp;CHOOSE(MIN(4,COUNTIF($C$18:C933,C933)),"st","nd","rd","th"),"")</f>
        <v/>
      </c>
    </row>
    <row r="934" spans="8:14" x14ac:dyDescent="0.3">
      <c r="H934" s="384" t="str">
        <f t="shared" si="15"/>
        <v/>
      </c>
      <c r="N934" s="378" t="str">
        <f>IFERROR(COUNTIF($C$18:C934,C934)&amp;CHOOSE(MIN(4,COUNTIF($C$18:C934,C934)),"st","nd","rd","th"),"")</f>
        <v/>
      </c>
    </row>
    <row r="935" spans="8:14" x14ac:dyDescent="0.3">
      <c r="H935" s="384" t="str">
        <f t="shared" si="15"/>
        <v/>
      </c>
      <c r="N935" s="378" t="str">
        <f>IFERROR(COUNTIF($C$18:C935,C935)&amp;CHOOSE(MIN(4,COUNTIF($C$18:C935,C935)),"st","nd","rd","th"),"")</f>
        <v/>
      </c>
    </row>
    <row r="936" spans="8:14" x14ac:dyDescent="0.3">
      <c r="H936" s="384" t="str">
        <f t="shared" si="15"/>
        <v/>
      </c>
      <c r="N936" s="378" t="str">
        <f>IFERROR(COUNTIF($C$18:C936,C936)&amp;CHOOSE(MIN(4,COUNTIF($C$18:C936,C936)),"st","nd","rd","th"),"")</f>
        <v/>
      </c>
    </row>
    <row r="937" spans="8:14" x14ac:dyDescent="0.3">
      <c r="H937" s="384" t="str">
        <f t="shared" si="15"/>
        <v/>
      </c>
      <c r="N937" s="378" t="str">
        <f>IFERROR(COUNTIF($C$18:C937,C937)&amp;CHOOSE(MIN(4,COUNTIF($C$18:C937,C937)),"st","nd","rd","th"),"")</f>
        <v/>
      </c>
    </row>
    <row r="938" spans="8:14" x14ac:dyDescent="0.3">
      <c r="H938" s="384" t="str">
        <f t="shared" si="15"/>
        <v/>
      </c>
      <c r="N938" s="378" t="str">
        <f>IFERROR(COUNTIF($C$18:C938,C938)&amp;CHOOSE(MIN(4,COUNTIF($C$18:C938,C938)),"st","nd","rd","th"),"")</f>
        <v/>
      </c>
    </row>
    <row r="939" spans="8:14" x14ac:dyDescent="0.3">
      <c r="H939" s="384" t="str">
        <f t="shared" si="15"/>
        <v/>
      </c>
      <c r="N939" s="378" t="str">
        <f>IFERROR(COUNTIF($C$18:C939,C939)&amp;CHOOSE(MIN(4,COUNTIF($C$18:C939,C939)),"st","nd","rd","th"),"")</f>
        <v/>
      </c>
    </row>
    <row r="940" spans="8:14" x14ac:dyDescent="0.3">
      <c r="H940" s="384" t="str">
        <f t="shared" si="15"/>
        <v/>
      </c>
      <c r="N940" s="378" t="str">
        <f>IFERROR(COUNTIF($C$18:C940,C940)&amp;CHOOSE(MIN(4,COUNTIF($C$18:C940,C940)),"st","nd","rd","th"),"")</f>
        <v/>
      </c>
    </row>
    <row r="941" spans="8:14" x14ac:dyDescent="0.3">
      <c r="H941" s="384" t="str">
        <f t="shared" si="15"/>
        <v/>
      </c>
      <c r="N941" s="378" t="str">
        <f>IFERROR(COUNTIF($C$18:C941,C941)&amp;CHOOSE(MIN(4,COUNTIF($C$18:C941,C941)),"st","nd","rd","th"),"")</f>
        <v/>
      </c>
    </row>
    <row r="942" spans="8:14" x14ac:dyDescent="0.3">
      <c r="H942" s="384" t="str">
        <f t="shared" si="15"/>
        <v/>
      </c>
      <c r="N942" s="378" t="str">
        <f>IFERROR(COUNTIF($C$18:C942,C942)&amp;CHOOSE(MIN(4,COUNTIF($C$18:C942,C942)),"st","nd","rd","th"),"")</f>
        <v/>
      </c>
    </row>
    <row r="943" spans="8:14" x14ac:dyDescent="0.3">
      <c r="H943" s="384" t="str">
        <f t="shared" si="15"/>
        <v/>
      </c>
      <c r="N943" s="378" t="str">
        <f>IFERROR(COUNTIF($C$18:C943,C943)&amp;CHOOSE(MIN(4,COUNTIF($C$18:C943,C943)),"st","nd","rd","th"),"")</f>
        <v/>
      </c>
    </row>
    <row r="944" spans="8:14" x14ac:dyDescent="0.3">
      <c r="H944" s="384" t="str">
        <f t="shared" si="15"/>
        <v/>
      </c>
      <c r="N944" s="378" t="str">
        <f>IFERROR(COUNTIF($C$18:C944,C944)&amp;CHOOSE(MIN(4,COUNTIF($C$18:C944,C944)),"st","nd","rd","th"),"")</f>
        <v/>
      </c>
    </row>
    <row r="945" spans="8:14" x14ac:dyDescent="0.3">
      <c r="H945" s="384" t="str">
        <f t="shared" si="15"/>
        <v/>
      </c>
      <c r="N945" s="378" t="str">
        <f>IFERROR(COUNTIF($C$18:C945,C945)&amp;CHOOSE(MIN(4,COUNTIF($C$18:C945,C945)),"st","nd","rd","th"),"")</f>
        <v/>
      </c>
    </row>
    <row r="946" spans="8:14" x14ac:dyDescent="0.3">
      <c r="H946" s="384" t="str">
        <f t="shared" si="15"/>
        <v/>
      </c>
      <c r="N946" s="378" t="str">
        <f>IFERROR(COUNTIF($C$18:C946,C946)&amp;CHOOSE(MIN(4,COUNTIF($C$18:C946,C946)),"st","nd","rd","th"),"")</f>
        <v/>
      </c>
    </row>
    <row r="947" spans="8:14" x14ac:dyDescent="0.3">
      <c r="H947" s="384" t="str">
        <f t="shared" si="15"/>
        <v/>
      </c>
      <c r="N947" s="378" t="str">
        <f>IFERROR(COUNTIF($C$18:C947,C947)&amp;CHOOSE(MIN(4,COUNTIF($C$18:C947,C947)),"st","nd","rd","th"),"")</f>
        <v/>
      </c>
    </row>
    <row r="948" spans="8:14" x14ac:dyDescent="0.3">
      <c r="H948" s="384" t="str">
        <f t="shared" si="15"/>
        <v/>
      </c>
      <c r="N948" s="378" t="str">
        <f>IFERROR(COUNTIF($C$18:C948,C948)&amp;CHOOSE(MIN(4,COUNTIF($C$18:C948,C948)),"st","nd","rd","th"),"")</f>
        <v/>
      </c>
    </row>
    <row r="949" spans="8:14" x14ac:dyDescent="0.3">
      <c r="H949" s="384" t="str">
        <f t="shared" si="15"/>
        <v/>
      </c>
      <c r="N949" s="378" t="str">
        <f>IFERROR(COUNTIF($C$18:C949,C949)&amp;CHOOSE(MIN(4,COUNTIF($C$18:C949,C949)),"st","nd","rd","th"),"")</f>
        <v/>
      </c>
    </row>
    <row r="950" spans="8:14" x14ac:dyDescent="0.3">
      <c r="H950" s="384" t="str">
        <f t="shared" si="15"/>
        <v/>
      </c>
      <c r="N950" s="378" t="str">
        <f>IFERROR(COUNTIF($C$18:C950,C950)&amp;CHOOSE(MIN(4,COUNTIF($C$18:C950,C950)),"st","nd","rd","th"),"")</f>
        <v/>
      </c>
    </row>
    <row r="951" spans="8:14" x14ac:dyDescent="0.3">
      <c r="H951" s="384" t="str">
        <f t="shared" si="15"/>
        <v/>
      </c>
      <c r="N951" s="378" t="str">
        <f>IFERROR(COUNTIF($C$18:C951,C951)&amp;CHOOSE(MIN(4,COUNTIF($C$18:C951,C951)),"st","nd","rd","th"),"")</f>
        <v/>
      </c>
    </row>
    <row r="952" spans="8:14" x14ac:dyDescent="0.3">
      <c r="H952" s="384" t="str">
        <f t="shared" si="15"/>
        <v/>
      </c>
      <c r="N952" s="378" t="str">
        <f>IFERROR(COUNTIF($C$18:C952,C952)&amp;CHOOSE(MIN(4,COUNTIF($C$18:C952,C952)),"st","nd","rd","th"),"")</f>
        <v/>
      </c>
    </row>
    <row r="953" spans="8:14" x14ac:dyDescent="0.3">
      <c r="H953" s="384" t="str">
        <f t="shared" si="15"/>
        <v/>
      </c>
      <c r="N953" s="378" t="str">
        <f>IFERROR(COUNTIF($C$18:C953,C953)&amp;CHOOSE(MIN(4,COUNTIF($C$18:C953,C953)),"st","nd","rd","th"),"")</f>
        <v/>
      </c>
    </row>
    <row r="954" spans="8:14" x14ac:dyDescent="0.3">
      <c r="H954" s="384" t="str">
        <f t="shared" si="15"/>
        <v/>
      </c>
      <c r="N954" s="378" t="str">
        <f>IFERROR(COUNTIF($C$18:C954,C954)&amp;CHOOSE(MIN(4,COUNTIF($C$18:C954,C954)),"st","nd","rd","th"),"")</f>
        <v/>
      </c>
    </row>
    <row r="955" spans="8:14" x14ac:dyDescent="0.3">
      <c r="H955" s="384" t="str">
        <f t="shared" si="15"/>
        <v/>
      </c>
      <c r="N955" s="378" t="str">
        <f>IFERROR(COUNTIF($C$18:C955,C955)&amp;CHOOSE(MIN(4,COUNTIF($C$18:C955,C955)),"st","nd","rd","th"),"")</f>
        <v/>
      </c>
    </row>
    <row r="956" spans="8:14" x14ac:dyDescent="0.3">
      <c r="H956" s="384" t="str">
        <f t="shared" si="15"/>
        <v/>
      </c>
      <c r="N956" s="378" t="str">
        <f>IFERROR(COUNTIF($C$18:C956,C956)&amp;CHOOSE(MIN(4,COUNTIF($C$18:C956,C956)),"st","nd","rd","th"),"")</f>
        <v/>
      </c>
    </row>
    <row r="957" spans="8:14" x14ac:dyDescent="0.3">
      <c r="H957" s="384" t="str">
        <f t="shared" si="15"/>
        <v/>
      </c>
      <c r="N957" s="378" t="str">
        <f>IFERROR(COUNTIF($C$18:C957,C957)&amp;CHOOSE(MIN(4,COUNTIF($C$18:C957,C957)),"st","nd","rd","th"),"")</f>
        <v/>
      </c>
    </row>
    <row r="958" spans="8:14" x14ac:dyDescent="0.3">
      <c r="H958" s="384" t="str">
        <f t="shared" si="15"/>
        <v/>
      </c>
      <c r="N958" s="378" t="str">
        <f>IFERROR(COUNTIF($C$18:C958,C958)&amp;CHOOSE(MIN(4,COUNTIF($C$18:C958,C958)),"st","nd","rd","th"),"")</f>
        <v/>
      </c>
    </row>
    <row r="959" spans="8:14" x14ac:dyDescent="0.3">
      <c r="H959" s="384" t="str">
        <f t="shared" si="15"/>
        <v/>
      </c>
      <c r="N959" s="378" t="str">
        <f>IFERROR(COUNTIF($C$18:C959,C959)&amp;CHOOSE(MIN(4,COUNTIF($C$18:C959,C959)),"st","nd","rd","th"),"")</f>
        <v/>
      </c>
    </row>
    <row r="960" spans="8:14" x14ac:dyDescent="0.3">
      <c r="H960" s="384" t="str">
        <f t="shared" si="15"/>
        <v/>
      </c>
      <c r="N960" s="378" t="str">
        <f>IFERROR(COUNTIF($C$18:C960,C960)&amp;CHOOSE(MIN(4,COUNTIF($C$18:C960,C960)),"st","nd","rd","th"),"")</f>
        <v/>
      </c>
    </row>
    <row r="961" spans="8:14" x14ac:dyDescent="0.3">
      <c r="H961" s="384" t="str">
        <f t="shared" si="15"/>
        <v/>
      </c>
      <c r="N961" s="378" t="str">
        <f>IFERROR(COUNTIF($C$18:C961,C961)&amp;CHOOSE(MIN(4,COUNTIF($C$18:C961,C961)),"st","nd","rd","th"),"")</f>
        <v/>
      </c>
    </row>
    <row r="962" spans="8:14" x14ac:dyDescent="0.3">
      <c r="H962" s="384" t="str">
        <f t="shared" si="15"/>
        <v/>
      </c>
      <c r="N962" s="378" t="str">
        <f>IFERROR(COUNTIF($C$18:C962,C962)&amp;CHOOSE(MIN(4,COUNTIF($C$18:C962,C962)),"st","nd","rd","th"),"")</f>
        <v/>
      </c>
    </row>
    <row r="963" spans="8:14" x14ac:dyDescent="0.3">
      <c r="H963" s="384" t="str">
        <f t="shared" si="15"/>
        <v/>
      </c>
      <c r="N963" s="378" t="str">
        <f>IFERROR(COUNTIF($C$18:C963,C963)&amp;CHOOSE(MIN(4,COUNTIF($C$18:C963,C963)),"st","nd","rd","th"),"")</f>
        <v/>
      </c>
    </row>
    <row r="964" spans="8:14" x14ac:dyDescent="0.3">
      <c r="H964" s="384" t="str">
        <f t="shared" si="15"/>
        <v/>
      </c>
      <c r="N964" s="378" t="str">
        <f>IFERROR(COUNTIF($C$18:C964,C964)&amp;CHOOSE(MIN(4,COUNTIF($C$18:C964,C964)),"st","nd","rd","th"),"")</f>
        <v/>
      </c>
    </row>
    <row r="965" spans="8:14" x14ac:dyDescent="0.3">
      <c r="H965" s="384" t="str">
        <f t="shared" si="15"/>
        <v/>
      </c>
      <c r="N965" s="378" t="str">
        <f>IFERROR(COUNTIF($C$18:C965,C965)&amp;CHOOSE(MIN(4,COUNTIF($C$18:C965,C965)),"st","nd","rd","th"),"")</f>
        <v/>
      </c>
    </row>
    <row r="966" spans="8:14" x14ac:dyDescent="0.3">
      <c r="H966" s="384" t="str">
        <f t="shared" si="15"/>
        <v/>
      </c>
      <c r="N966" s="378" t="str">
        <f>IFERROR(COUNTIF($C$18:C966,C966)&amp;CHOOSE(MIN(4,COUNTIF($C$18:C966,C966)),"st","nd","rd","th"),"")</f>
        <v/>
      </c>
    </row>
    <row r="967" spans="8:14" x14ac:dyDescent="0.3">
      <c r="H967" s="384" t="str">
        <f t="shared" si="15"/>
        <v/>
      </c>
      <c r="N967" s="378" t="str">
        <f>IFERROR(COUNTIF($C$18:C967,C967)&amp;CHOOSE(MIN(4,COUNTIF($C$18:C967,C967)),"st","nd","rd","th"),"")</f>
        <v/>
      </c>
    </row>
    <row r="968" spans="8:14" x14ac:dyDescent="0.3">
      <c r="H968" s="384" t="str">
        <f t="shared" si="15"/>
        <v/>
      </c>
      <c r="N968" s="378" t="str">
        <f>IFERROR(COUNTIF($C$18:C968,C968)&amp;CHOOSE(MIN(4,COUNTIF($C$18:C968,C968)),"st","nd","rd","th"),"")</f>
        <v/>
      </c>
    </row>
    <row r="969" spans="8:14" x14ac:dyDescent="0.3">
      <c r="H969" s="384" t="str">
        <f t="shared" si="15"/>
        <v/>
      </c>
      <c r="N969" s="378" t="str">
        <f>IFERROR(COUNTIF($C$18:C969,C969)&amp;CHOOSE(MIN(4,COUNTIF($C$18:C969,C969)),"st","nd","rd","th"),"")</f>
        <v/>
      </c>
    </row>
    <row r="970" spans="8:14" x14ac:dyDescent="0.3">
      <c r="H970" s="384" t="str">
        <f t="shared" si="15"/>
        <v/>
      </c>
      <c r="N970" s="378" t="str">
        <f>IFERROR(COUNTIF($C$18:C970,C970)&amp;CHOOSE(MIN(4,COUNTIF($C$18:C970,C970)),"st","nd","rd","th"),"")</f>
        <v/>
      </c>
    </row>
    <row r="971" spans="8:14" x14ac:dyDescent="0.3">
      <c r="H971" s="384" t="str">
        <f t="shared" si="15"/>
        <v/>
      </c>
      <c r="N971" s="378" t="str">
        <f>IFERROR(COUNTIF($C$18:C971,C971)&amp;CHOOSE(MIN(4,COUNTIF($C$18:C971,C971)),"st","nd","rd","th"),"")</f>
        <v/>
      </c>
    </row>
    <row r="972" spans="8:14" x14ac:dyDescent="0.3">
      <c r="H972" s="384" t="str">
        <f t="shared" si="15"/>
        <v/>
      </c>
      <c r="N972" s="378" t="str">
        <f>IFERROR(COUNTIF($C$18:C972,C972)&amp;CHOOSE(MIN(4,COUNTIF($C$18:C972,C972)),"st","nd","rd","th"),"")</f>
        <v/>
      </c>
    </row>
    <row r="973" spans="8:14" x14ac:dyDescent="0.3">
      <c r="H973" s="384" t="str">
        <f t="shared" si="15"/>
        <v/>
      </c>
      <c r="N973" s="378" t="str">
        <f>IFERROR(COUNTIF($C$18:C973,C973)&amp;CHOOSE(MIN(4,COUNTIF($C$18:C973,C973)),"st","nd","rd","th"),"")</f>
        <v/>
      </c>
    </row>
    <row r="974" spans="8:14" x14ac:dyDescent="0.3">
      <c r="H974" s="384" t="str">
        <f t="shared" si="15"/>
        <v/>
      </c>
      <c r="N974" s="378" t="str">
        <f>IFERROR(COUNTIF($C$18:C974,C974)&amp;CHOOSE(MIN(4,COUNTIF($C$18:C974,C974)),"st","nd","rd","th"),"")</f>
        <v/>
      </c>
    </row>
    <row r="975" spans="8:14" x14ac:dyDescent="0.3">
      <c r="H975" s="384" t="str">
        <f t="shared" si="15"/>
        <v/>
      </c>
      <c r="N975" s="378" t="str">
        <f>IFERROR(COUNTIF($C$18:C975,C975)&amp;CHOOSE(MIN(4,COUNTIF($C$18:C975,C975)),"st","nd","rd","th"),"")</f>
        <v/>
      </c>
    </row>
    <row r="976" spans="8:14" x14ac:dyDescent="0.3">
      <c r="H976" s="384" t="str">
        <f t="shared" si="15"/>
        <v/>
      </c>
      <c r="N976" s="378" t="str">
        <f>IFERROR(COUNTIF($C$18:C976,C976)&amp;CHOOSE(MIN(4,COUNTIF($C$18:C976,C976)),"st","nd","rd","th"),"")</f>
        <v/>
      </c>
    </row>
    <row r="977" spans="8:14" x14ac:dyDescent="0.3">
      <c r="H977" s="384" t="str">
        <f t="shared" si="15"/>
        <v/>
      </c>
      <c r="N977" s="378" t="str">
        <f>IFERROR(COUNTIF($C$18:C977,C977)&amp;CHOOSE(MIN(4,COUNTIF($C$18:C977,C977)),"st","nd","rd","th"),"")</f>
        <v/>
      </c>
    </row>
    <row r="978" spans="8:14" x14ac:dyDescent="0.3">
      <c r="H978" s="384" t="str">
        <f t="shared" ref="H978:H1000" si="16">IF(OR(ISBLANK(G978), ISBLANK(F978)), "", IF(G978=F978, 1, SUM(_xlfn.DAYS(G978, F978), 1)))</f>
        <v/>
      </c>
      <c r="N978" s="378" t="str">
        <f>IFERROR(COUNTIF($C$18:C978,C978)&amp;CHOOSE(MIN(4,COUNTIF($C$18:C978,C978)),"st","nd","rd","th"),"")</f>
        <v/>
      </c>
    </row>
    <row r="979" spans="8:14" x14ac:dyDescent="0.3">
      <c r="H979" s="384" t="str">
        <f t="shared" si="16"/>
        <v/>
      </c>
      <c r="N979" s="378" t="str">
        <f>IFERROR(COUNTIF($C$18:C979,C979)&amp;CHOOSE(MIN(4,COUNTIF($C$18:C979,C979)),"st","nd","rd","th"),"")</f>
        <v/>
      </c>
    </row>
    <row r="980" spans="8:14" x14ac:dyDescent="0.3">
      <c r="H980" s="384" t="str">
        <f t="shared" si="16"/>
        <v/>
      </c>
      <c r="N980" s="378" t="str">
        <f>IFERROR(COUNTIF($C$18:C980,C980)&amp;CHOOSE(MIN(4,COUNTIF($C$18:C980,C980)),"st","nd","rd","th"),"")</f>
        <v/>
      </c>
    </row>
    <row r="981" spans="8:14" x14ac:dyDescent="0.3">
      <c r="H981" s="384" t="str">
        <f t="shared" si="16"/>
        <v/>
      </c>
      <c r="N981" s="378" t="str">
        <f>IFERROR(COUNTIF($C$18:C981,C981)&amp;CHOOSE(MIN(4,COUNTIF($C$18:C981,C981)),"st","nd","rd","th"),"")</f>
        <v/>
      </c>
    </row>
    <row r="982" spans="8:14" x14ac:dyDescent="0.3">
      <c r="H982" s="384" t="str">
        <f t="shared" si="16"/>
        <v/>
      </c>
      <c r="N982" s="378" t="str">
        <f>IFERROR(COUNTIF($C$18:C982,C982)&amp;CHOOSE(MIN(4,COUNTIF($C$18:C982,C982)),"st","nd","rd","th"),"")</f>
        <v/>
      </c>
    </row>
    <row r="983" spans="8:14" x14ac:dyDescent="0.3">
      <c r="H983" s="384" t="str">
        <f t="shared" si="16"/>
        <v/>
      </c>
      <c r="N983" s="378" t="str">
        <f>IFERROR(COUNTIF($C$18:C983,C983)&amp;CHOOSE(MIN(4,COUNTIF($C$18:C983,C983)),"st","nd","rd","th"),"")</f>
        <v/>
      </c>
    </row>
    <row r="984" spans="8:14" x14ac:dyDescent="0.3">
      <c r="H984" s="384" t="str">
        <f t="shared" si="16"/>
        <v/>
      </c>
      <c r="N984" s="378" t="str">
        <f>IFERROR(COUNTIF($C$18:C984,C984)&amp;CHOOSE(MIN(4,COUNTIF($C$18:C984,C984)),"st","nd","rd","th"),"")</f>
        <v/>
      </c>
    </row>
    <row r="985" spans="8:14" x14ac:dyDescent="0.3">
      <c r="H985" s="384" t="str">
        <f t="shared" si="16"/>
        <v/>
      </c>
      <c r="N985" s="378" t="str">
        <f>IFERROR(COUNTIF($C$18:C985,C985)&amp;CHOOSE(MIN(4,COUNTIF($C$18:C985,C985)),"st","nd","rd","th"),"")</f>
        <v/>
      </c>
    </row>
    <row r="986" spans="8:14" x14ac:dyDescent="0.3">
      <c r="H986" s="384" t="str">
        <f t="shared" si="16"/>
        <v/>
      </c>
      <c r="N986" s="378" t="str">
        <f>IFERROR(COUNTIF($C$18:C986,C986)&amp;CHOOSE(MIN(4,COUNTIF($C$18:C986,C986)),"st","nd","rd","th"),"")</f>
        <v/>
      </c>
    </row>
    <row r="987" spans="8:14" x14ac:dyDescent="0.3">
      <c r="H987" s="384" t="str">
        <f t="shared" si="16"/>
        <v/>
      </c>
      <c r="N987" s="378" t="str">
        <f>IFERROR(COUNTIF($C$18:C987,C987)&amp;CHOOSE(MIN(4,COUNTIF($C$18:C987,C987)),"st","nd","rd","th"),"")</f>
        <v/>
      </c>
    </row>
    <row r="988" spans="8:14" x14ac:dyDescent="0.3">
      <c r="H988" s="384" t="str">
        <f t="shared" si="16"/>
        <v/>
      </c>
      <c r="N988" s="378" t="str">
        <f>IFERROR(COUNTIF($C$18:C988,C988)&amp;CHOOSE(MIN(4,COUNTIF($C$18:C988,C988)),"st","nd","rd","th"),"")</f>
        <v/>
      </c>
    </row>
    <row r="989" spans="8:14" x14ac:dyDescent="0.3">
      <c r="H989" s="384" t="str">
        <f t="shared" si="16"/>
        <v/>
      </c>
      <c r="N989" s="378" t="str">
        <f>IFERROR(COUNTIF($C$18:C989,C989)&amp;CHOOSE(MIN(4,COUNTIF($C$18:C989,C989)),"st","nd","rd","th"),"")</f>
        <v/>
      </c>
    </row>
    <row r="990" spans="8:14" x14ac:dyDescent="0.3">
      <c r="H990" s="384" t="str">
        <f t="shared" si="16"/>
        <v/>
      </c>
      <c r="N990" s="378" t="str">
        <f>IFERROR(COUNTIF($C$18:C990,C990)&amp;CHOOSE(MIN(4,COUNTIF($C$18:C990,C990)),"st","nd","rd","th"),"")</f>
        <v/>
      </c>
    </row>
    <row r="991" spans="8:14" x14ac:dyDescent="0.3">
      <c r="H991" s="384" t="str">
        <f t="shared" si="16"/>
        <v/>
      </c>
      <c r="N991" s="378" t="str">
        <f>IFERROR(COUNTIF($C$18:C991,C991)&amp;CHOOSE(MIN(4,COUNTIF($C$18:C991,C991)),"st","nd","rd","th"),"")</f>
        <v/>
      </c>
    </row>
    <row r="992" spans="8:14" x14ac:dyDescent="0.3">
      <c r="H992" s="384" t="str">
        <f t="shared" si="16"/>
        <v/>
      </c>
      <c r="N992" s="378" t="str">
        <f>IFERROR(COUNTIF($C$18:C992,C992)&amp;CHOOSE(MIN(4,COUNTIF($C$18:C992,C992)),"st","nd","rd","th"),"")</f>
        <v/>
      </c>
    </row>
    <row r="993" spans="8:14" x14ac:dyDescent="0.3">
      <c r="H993" s="384" t="str">
        <f t="shared" si="16"/>
        <v/>
      </c>
      <c r="N993" s="378" t="str">
        <f>IFERROR(COUNTIF($C$18:C993,C993)&amp;CHOOSE(MIN(4,COUNTIF($C$18:C993,C993)),"st","nd","rd","th"),"")</f>
        <v/>
      </c>
    </row>
    <row r="994" spans="8:14" x14ac:dyDescent="0.3">
      <c r="H994" s="384" t="str">
        <f t="shared" si="16"/>
        <v/>
      </c>
      <c r="N994" s="378" t="str">
        <f>IFERROR(COUNTIF($C$18:C994,C994)&amp;CHOOSE(MIN(4,COUNTIF($C$18:C994,C994)),"st","nd","rd","th"),"")</f>
        <v/>
      </c>
    </row>
    <row r="995" spans="8:14" x14ac:dyDescent="0.3">
      <c r="H995" s="384" t="str">
        <f t="shared" si="16"/>
        <v/>
      </c>
      <c r="N995" s="378" t="str">
        <f>IFERROR(COUNTIF($C$18:C995,C995)&amp;CHOOSE(MIN(4,COUNTIF($C$18:C995,C995)),"st","nd","rd","th"),"")</f>
        <v/>
      </c>
    </row>
    <row r="996" spans="8:14" x14ac:dyDescent="0.3">
      <c r="H996" s="384" t="str">
        <f t="shared" si="16"/>
        <v/>
      </c>
      <c r="N996" s="378" t="str">
        <f>IFERROR(COUNTIF($C$18:C996,C996)&amp;CHOOSE(MIN(4,COUNTIF($C$18:C996,C996)),"st","nd","rd","th"),"")</f>
        <v/>
      </c>
    </row>
    <row r="997" spans="8:14" x14ac:dyDescent="0.3">
      <c r="H997" s="384" t="str">
        <f t="shared" si="16"/>
        <v/>
      </c>
      <c r="N997" s="378" t="str">
        <f>IFERROR(COUNTIF($C$18:C997,C997)&amp;CHOOSE(MIN(4,COUNTIF($C$18:C997,C997)),"st","nd","rd","th"),"")</f>
        <v/>
      </c>
    </row>
    <row r="998" spans="8:14" x14ac:dyDescent="0.3">
      <c r="H998" s="384" t="str">
        <f t="shared" si="16"/>
        <v/>
      </c>
      <c r="N998" s="378" t="str">
        <f>IFERROR(COUNTIF($C$18:C998,C998)&amp;CHOOSE(MIN(4,COUNTIF($C$18:C998,C998)),"st","nd","rd","th"),"")</f>
        <v/>
      </c>
    </row>
    <row r="999" spans="8:14" x14ac:dyDescent="0.3">
      <c r="H999" s="384" t="str">
        <f t="shared" si="16"/>
        <v/>
      </c>
      <c r="N999" s="378" t="str">
        <f>IFERROR(COUNTIF($C$18:C999,C999)&amp;CHOOSE(MIN(4,COUNTIF($C$18:C999,C999)),"st","nd","rd","th"),"")</f>
        <v/>
      </c>
    </row>
    <row r="1000" spans="8:14" x14ac:dyDescent="0.3">
      <c r="H1000" s="384" t="str">
        <f t="shared" si="16"/>
        <v/>
      </c>
      <c r="N1000" s="378" t="str">
        <f>IFERROR(COUNTIF($C$18:C1000,C1000)&amp;CHOOSE(MIN(4,COUNTIF($C$18:C1000,C1000)),"st","nd","rd","th"),"")</f>
        <v/>
      </c>
    </row>
    <row r="1001" spans="8:14" x14ac:dyDescent="0.3">
      <c r="H1001" s="384"/>
    </row>
  </sheetData>
  <autoFilter ref="A17:N1000" xr:uid="{C1BA1901-EBCA-482A-9C37-C8CD9C954E2A}"/>
  <mergeCells count="4">
    <mergeCell ref="B5:V5"/>
    <mergeCell ref="B6:V6"/>
    <mergeCell ref="B7:V7"/>
    <mergeCell ref="B8:V8"/>
  </mergeCells>
  <dataValidations count="1">
    <dataValidation type="list" allowBlank="1" showInputMessage="1" showErrorMessage="1" sqref="B20:C1048576" xr:uid="{4414D870-C8F0-4210-8066-5392D3C0D471}">
      <formula1>INDIRECT(A20)</formula1>
    </dataValidation>
  </dataValidations>
  <hyperlinks>
    <hyperlink ref="C1" location="'Accomplishment 2025'!A1" display="Back to Summary of Accomplishments 2025" xr:uid="{AC05BE78-6AC0-4E28-863D-57C3B567C833}"/>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4E47903D-76AF-4D3B-B50F-FF593276F3FE}">
          <x14:formula1>
            <xm:f>Picklists!$A$3:$A$14</xm:f>
          </x14:formula1>
          <xm:sqref>L20:L1048576</xm:sqref>
        </x14:dataValidation>
        <x14:dataValidation type="list" allowBlank="1" showInputMessage="1" showErrorMessage="1" xr:uid="{A8C8CDC6-FE12-4A68-8E65-773D0B1B7B1C}">
          <x14:formula1>
            <xm:f>LGU_Masterlist!$D$2:$T$2</xm:f>
          </x14:formula1>
          <xm:sqref>A20:A1048576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65999-26D5-424D-B900-8C979A98AC74}">
  <sheetPr codeName="Sheet22">
    <tabColor theme="7" tint="-0.249977111117893"/>
  </sheetPr>
  <dimension ref="A1:V996"/>
  <sheetViews>
    <sheetView topLeftCell="C11" zoomScale="70" zoomScaleNormal="70" workbookViewId="0">
      <selection activeCell="H27" sqref="H27"/>
    </sheetView>
  </sheetViews>
  <sheetFormatPr defaultColWidth="8.88671875" defaultRowHeight="13.8" x14ac:dyDescent="0.25"/>
  <cols>
    <col min="1" max="1" width="12.6640625" style="164" customWidth="1"/>
    <col min="2" max="2" width="34.33203125" style="233" customWidth="1"/>
    <col min="3" max="3" width="52.88671875" style="233" bestFit="1" customWidth="1"/>
    <col min="4" max="4" width="25.33203125" style="233" customWidth="1"/>
    <col min="5" max="5" width="27.44140625" style="233" customWidth="1"/>
    <col min="6" max="6" width="23.44140625" style="246" customWidth="1"/>
    <col min="7" max="7" width="20.44140625" style="246" customWidth="1"/>
    <col min="8" max="8" width="19.109375" style="247" customWidth="1"/>
    <col min="9" max="9" width="16.33203125" style="245" customWidth="1"/>
    <col min="10" max="10" width="26.6640625" style="245" customWidth="1"/>
    <col min="11" max="11" width="31.33203125" style="245" customWidth="1"/>
    <col min="12" max="12" width="20.88671875" style="233" customWidth="1"/>
    <col min="13" max="13" width="20" style="233" customWidth="1"/>
    <col min="14" max="14" width="16.88671875" style="233" customWidth="1"/>
    <col min="15" max="15" width="8.88671875" style="233" customWidth="1"/>
    <col min="16" max="16384" width="8.88671875" style="233"/>
  </cols>
  <sheetData>
    <row r="1" spans="1:22" s="249" customFormat="1" ht="14.4" x14ac:dyDescent="0.3">
      <c r="A1" s="248" t="s">
        <v>5090</v>
      </c>
      <c r="C1" s="250" t="s">
        <v>1673</v>
      </c>
    </row>
    <row r="2" spans="1:22" s="249" customFormat="1" x14ac:dyDescent="0.25">
      <c r="A2" s="251"/>
      <c r="B2" s="252"/>
      <c r="C2" s="252"/>
      <c r="D2" s="252"/>
      <c r="E2" s="252"/>
    </row>
    <row r="3" spans="1:22" s="249" customFormat="1" x14ac:dyDescent="0.25">
      <c r="A3" s="367">
        <v>9</v>
      </c>
      <c r="B3" s="368" t="s">
        <v>1576</v>
      </c>
      <c r="C3" s="368"/>
      <c r="D3" s="368"/>
      <c r="E3" s="368"/>
    </row>
    <row r="4" spans="1:22" s="249" customFormat="1" x14ac:dyDescent="0.25">
      <c r="A4" s="253"/>
      <c r="B4" s="369" t="s">
        <v>5225</v>
      </c>
      <c r="C4" s="369"/>
      <c r="D4" s="369"/>
      <c r="E4" s="369"/>
    </row>
    <row r="5" spans="1:22" s="249" customFormat="1" ht="66" customHeight="1" x14ac:dyDescent="0.25">
      <c r="A5" s="253"/>
      <c r="B5" s="619" t="s">
        <v>5226</v>
      </c>
      <c r="C5" s="619"/>
      <c r="D5" s="619"/>
      <c r="E5" s="619"/>
      <c r="F5" s="619"/>
      <c r="G5" s="619"/>
      <c r="H5" s="619"/>
      <c r="I5" s="619"/>
      <c r="J5" s="619"/>
      <c r="K5" s="619"/>
      <c r="L5" s="619"/>
      <c r="M5" s="619"/>
      <c r="N5" s="619"/>
      <c r="O5" s="619"/>
      <c r="P5" s="619"/>
      <c r="Q5" s="619"/>
      <c r="R5" s="619"/>
      <c r="S5" s="619"/>
      <c r="T5" s="619"/>
      <c r="U5" s="619"/>
      <c r="V5" s="619"/>
    </row>
    <row r="6" spans="1:22" s="249" customFormat="1" ht="48.6" customHeight="1" x14ac:dyDescent="0.25">
      <c r="A6" s="253"/>
      <c r="B6" s="620" t="s">
        <v>5227</v>
      </c>
      <c r="C6" s="620"/>
      <c r="D6" s="620"/>
      <c r="E6" s="620"/>
      <c r="F6" s="620"/>
      <c r="G6" s="620"/>
      <c r="H6" s="620"/>
      <c r="I6" s="620"/>
      <c r="J6" s="620"/>
      <c r="K6" s="620"/>
      <c r="L6" s="620"/>
      <c r="M6" s="620"/>
      <c r="N6" s="620"/>
      <c r="O6" s="620"/>
      <c r="P6" s="620"/>
      <c r="Q6" s="620"/>
      <c r="R6" s="620"/>
      <c r="S6" s="620"/>
      <c r="T6" s="620"/>
      <c r="U6" s="620"/>
      <c r="V6" s="620"/>
    </row>
    <row r="7" spans="1:22" s="249" customFormat="1" x14ac:dyDescent="0.25">
      <c r="B7" s="621" t="s">
        <v>5228</v>
      </c>
      <c r="C7" s="621"/>
      <c r="D7" s="621"/>
      <c r="E7" s="621"/>
      <c r="F7" s="621"/>
      <c r="G7" s="621"/>
      <c r="H7" s="621"/>
      <c r="I7" s="621"/>
      <c r="J7" s="621"/>
      <c r="K7" s="621"/>
      <c r="L7" s="621"/>
      <c r="M7" s="621"/>
      <c r="N7" s="621"/>
      <c r="O7" s="621"/>
      <c r="P7" s="621"/>
      <c r="Q7" s="621"/>
      <c r="R7" s="621"/>
      <c r="S7" s="621"/>
      <c r="T7" s="621"/>
      <c r="U7" s="621"/>
      <c r="V7" s="621"/>
    </row>
    <row r="8" spans="1:22" s="249" customFormat="1" ht="43.2" customHeight="1" x14ac:dyDescent="0.25">
      <c r="B8" s="622" t="s">
        <v>5205</v>
      </c>
      <c r="C8" s="622"/>
      <c r="D8" s="622"/>
      <c r="E8" s="622"/>
      <c r="F8" s="622"/>
      <c r="G8" s="622"/>
      <c r="H8" s="622"/>
      <c r="I8" s="622"/>
      <c r="J8" s="622"/>
      <c r="K8" s="622"/>
      <c r="L8" s="622"/>
      <c r="M8" s="622"/>
      <c r="N8" s="622"/>
      <c r="O8" s="622"/>
      <c r="P8" s="622"/>
      <c r="Q8" s="622"/>
      <c r="R8" s="622"/>
      <c r="S8" s="622"/>
      <c r="T8" s="622"/>
      <c r="U8" s="622"/>
      <c r="V8" s="622"/>
    </row>
    <row r="9" spans="1:22" s="249" customFormat="1" x14ac:dyDescent="0.25">
      <c r="B9" s="248"/>
      <c r="C9" s="248"/>
      <c r="D9" s="248"/>
      <c r="E9" s="248"/>
      <c r="F9" s="248"/>
      <c r="G9" s="248"/>
      <c r="H9" s="248"/>
      <c r="I9" s="248"/>
      <c r="J9" s="248"/>
      <c r="K9" s="248"/>
      <c r="L9" s="248"/>
      <c r="M9" s="248"/>
      <c r="N9" s="248"/>
      <c r="O9" s="248"/>
      <c r="P9" s="248"/>
      <c r="Q9" s="248"/>
      <c r="R9" s="248"/>
      <c r="S9" s="248"/>
      <c r="T9" s="248"/>
      <c r="U9" s="248"/>
      <c r="V9" s="248"/>
    </row>
    <row r="10" spans="1:22" s="249" customFormat="1" x14ac:dyDescent="0.25">
      <c r="B10" s="254" t="s">
        <v>5229</v>
      </c>
      <c r="C10" s="254"/>
      <c r="D10" s="254"/>
      <c r="E10" s="254"/>
      <c r="F10" s="255">
        <f>COUNTIF(N18:N996,"1st")</f>
        <v>0</v>
      </c>
      <c r="G10" s="256"/>
      <c r="H10" s="256"/>
      <c r="I10" s="256"/>
      <c r="J10" s="256"/>
      <c r="K10" s="256"/>
      <c r="L10" s="248"/>
      <c r="M10" s="248"/>
      <c r="N10" s="248"/>
      <c r="O10" s="248"/>
      <c r="P10" s="248"/>
      <c r="Q10" s="248"/>
      <c r="R10" s="248"/>
      <c r="S10" s="248"/>
      <c r="T10" s="248"/>
      <c r="U10" s="248"/>
      <c r="V10" s="248"/>
    </row>
    <row r="11" spans="1:22" s="249" customFormat="1" x14ac:dyDescent="0.25">
      <c r="B11" s="254" t="s">
        <v>5230</v>
      </c>
      <c r="C11" s="254"/>
      <c r="D11" s="254"/>
      <c r="E11" s="254"/>
      <c r="F11" s="255">
        <f>COUNTA(D18:D996)</f>
        <v>0</v>
      </c>
      <c r="G11" s="252"/>
      <c r="H11" s="252"/>
      <c r="I11" s="252"/>
      <c r="J11" s="248"/>
      <c r="K11" s="248"/>
      <c r="L11" s="248"/>
      <c r="M11" s="248"/>
      <c r="N11" s="248"/>
      <c r="O11" s="248"/>
      <c r="P11" s="248"/>
      <c r="Q11" s="248"/>
      <c r="R11" s="248"/>
      <c r="S11" s="248"/>
      <c r="T11" s="248"/>
      <c r="U11" s="248"/>
      <c r="V11" s="248"/>
    </row>
    <row r="12" spans="1:22" s="249" customFormat="1" x14ac:dyDescent="0.25">
      <c r="B12" s="257" t="s">
        <v>5231</v>
      </c>
      <c r="C12" s="257"/>
      <c r="D12" s="257"/>
      <c r="E12" s="257"/>
      <c r="F12" s="258">
        <f>SUM(H18:H996)</f>
        <v>0</v>
      </c>
      <c r="G12" s="252"/>
      <c r="H12" s="252"/>
      <c r="I12" s="252"/>
      <c r="J12" s="248"/>
      <c r="K12" s="248"/>
      <c r="L12" s="248"/>
      <c r="M12" s="248"/>
      <c r="N12" s="248"/>
      <c r="O12" s="248"/>
      <c r="P12" s="248"/>
      <c r="Q12" s="248"/>
      <c r="R12" s="248"/>
      <c r="S12" s="248"/>
      <c r="T12" s="248"/>
      <c r="U12" s="248"/>
      <c r="V12" s="248"/>
    </row>
    <row r="13" spans="1:22" s="249" customFormat="1" x14ac:dyDescent="0.25">
      <c r="B13" s="257" t="s">
        <v>5232</v>
      </c>
      <c r="C13" s="257"/>
      <c r="D13" s="257"/>
      <c r="E13" s="257"/>
      <c r="F13" s="258">
        <f>SUM(I18:I997)</f>
        <v>0</v>
      </c>
      <c r="G13" s="248"/>
      <c r="H13" s="248"/>
      <c r="I13" s="248"/>
      <c r="J13" s="248"/>
      <c r="K13" s="248"/>
      <c r="L13" s="248"/>
      <c r="M13" s="248"/>
      <c r="N13" s="248"/>
      <c r="O13" s="248"/>
      <c r="P13" s="248"/>
      <c r="Q13" s="248"/>
      <c r="R13" s="248"/>
      <c r="S13" s="248"/>
      <c r="T13" s="248"/>
      <c r="U13" s="248"/>
      <c r="V13" s="248"/>
    </row>
    <row r="14" spans="1:22" x14ac:dyDescent="0.25">
      <c r="A14" s="233"/>
      <c r="B14" s="237"/>
      <c r="C14" s="237"/>
      <c r="D14" s="237"/>
      <c r="E14" s="237"/>
      <c r="F14" s="237"/>
      <c r="G14" s="237"/>
      <c r="H14" s="237"/>
      <c r="I14" s="237"/>
      <c r="J14" s="237"/>
      <c r="K14" s="237"/>
      <c r="L14" s="237"/>
      <c r="M14" s="237"/>
      <c r="N14" s="237"/>
      <c r="O14" s="237"/>
      <c r="P14" s="237"/>
      <c r="Q14" s="237"/>
      <c r="R14" s="237"/>
      <c r="S14" s="237"/>
      <c r="T14" s="237"/>
      <c r="U14" s="237"/>
      <c r="V14" s="237"/>
    </row>
    <row r="15" spans="1:22" x14ac:dyDescent="0.25">
      <c r="A15" s="233"/>
      <c r="B15" s="237"/>
      <c r="C15" s="237"/>
      <c r="D15" s="237"/>
      <c r="E15" s="237"/>
      <c r="F15" s="237"/>
      <c r="G15" s="237"/>
      <c r="H15" s="237"/>
      <c r="I15" s="237"/>
      <c r="J15" s="237"/>
      <c r="K15" s="237"/>
      <c r="L15" s="237"/>
      <c r="M15" s="237"/>
      <c r="N15" s="237"/>
      <c r="O15" s="237"/>
      <c r="P15" s="237"/>
      <c r="Q15" s="237"/>
      <c r="R15" s="237"/>
      <c r="S15" s="237"/>
      <c r="T15" s="237"/>
      <c r="U15" s="237"/>
      <c r="V15" s="237"/>
    </row>
    <row r="16" spans="1:22" x14ac:dyDescent="0.25">
      <c r="A16" s="233"/>
      <c r="F16" s="233"/>
      <c r="G16" s="233"/>
      <c r="H16" s="233"/>
      <c r="I16" s="233"/>
      <c r="J16" s="233"/>
      <c r="K16" s="233"/>
    </row>
    <row r="17" spans="1:14" s="244" customFormat="1" ht="54.6" customHeight="1" x14ac:dyDescent="0.25">
      <c r="A17" s="184" t="s">
        <v>5233</v>
      </c>
      <c r="B17" s="241" t="s">
        <v>5234</v>
      </c>
      <c r="C17" s="242" t="s">
        <v>5130</v>
      </c>
      <c r="D17" s="241" t="s">
        <v>5210</v>
      </c>
      <c r="E17" s="242" t="s">
        <v>5211</v>
      </c>
      <c r="F17" s="241" t="s">
        <v>5212</v>
      </c>
      <c r="G17" s="241" t="s">
        <v>5213</v>
      </c>
      <c r="H17" s="243" t="s">
        <v>5214</v>
      </c>
      <c r="I17" s="241" t="s">
        <v>5215</v>
      </c>
      <c r="J17" s="241" t="s">
        <v>5216</v>
      </c>
      <c r="K17" s="241" t="s">
        <v>5217</v>
      </c>
      <c r="L17" s="241" t="s">
        <v>1685</v>
      </c>
      <c r="M17" s="184" t="s">
        <v>5218</v>
      </c>
      <c r="N17" s="243" t="s">
        <v>5191</v>
      </c>
    </row>
    <row r="18" spans="1:14" x14ac:dyDescent="0.25">
      <c r="D18" s="381"/>
      <c r="E18" s="378"/>
      <c r="H18" s="245" t="str">
        <f t="shared" ref="H18:H78" si="0">IF(OR(ISBLANK(G18), ISBLANK(F18)), "", IF(G18=F18, 1, SUM(_xlfn.DAYS(G18, F18), 1)))</f>
        <v/>
      </c>
      <c r="I18" s="204"/>
      <c r="J18" s="204"/>
      <c r="M18" s="388"/>
      <c r="N18" s="233" t="str">
        <f>IFERROR(COUNTIF($C$18:C18,C18)&amp;CHOOSE(MIN(4,COUNTIF($C$18:C18,C18)),"st","nd","rd","th"),"")</f>
        <v/>
      </c>
    </row>
    <row r="19" spans="1:14" x14ac:dyDescent="0.25">
      <c r="D19" s="381"/>
      <c r="E19" s="378"/>
      <c r="H19" s="245" t="str">
        <f t="shared" si="0"/>
        <v/>
      </c>
      <c r="I19" s="382"/>
      <c r="J19" s="382"/>
      <c r="M19" s="388"/>
      <c r="N19" s="233" t="str">
        <f>IFERROR(COUNTIF($C$18:C19,C19)&amp;CHOOSE(MIN(4,COUNTIF($C$18:C19,C19)),"st","nd","rd","th"),"")</f>
        <v/>
      </c>
    </row>
    <row r="20" spans="1:14" x14ac:dyDescent="0.25">
      <c r="E20" s="245"/>
      <c r="H20" s="245" t="str">
        <f t="shared" si="0"/>
        <v/>
      </c>
      <c r="I20" s="233"/>
      <c r="M20" s="388"/>
      <c r="N20" s="233" t="str">
        <f>IFERROR(COUNTIF($C$18:C20,C20)&amp;CHOOSE(MIN(4,COUNTIF($C$18:C20,C20)),"st","nd","rd","th"),"")</f>
        <v/>
      </c>
    </row>
    <row r="21" spans="1:14" s="413" customFormat="1" ht="13.95" customHeight="1" x14ac:dyDescent="0.25">
      <c r="A21" s="414"/>
      <c r="D21" s="478"/>
      <c r="F21" s="480"/>
      <c r="G21" s="480"/>
      <c r="H21" s="245" t="str">
        <f t="shared" si="0"/>
        <v/>
      </c>
      <c r="M21" s="388"/>
      <c r="N21" s="413" t="str">
        <f>IFERROR(COUNTIF($C$18:C21,C21)&amp;CHOOSE(MIN(4,COUNTIF($C$18:C21,C21)),"st","nd","rd","th"),"")</f>
        <v/>
      </c>
    </row>
    <row r="22" spans="1:14" s="413" customFormat="1" ht="13.95" customHeight="1" x14ac:dyDescent="0.25">
      <c r="A22" s="414"/>
      <c r="D22" s="478"/>
      <c r="F22" s="480"/>
      <c r="G22" s="480"/>
      <c r="H22" s="245" t="str">
        <f t="shared" si="0"/>
        <v/>
      </c>
      <c r="M22" s="388"/>
      <c r="N22" s="413" t="str">
        <f>IFERROR(COUNTIF($C$18:C22,C22)&amp;CHOOSE(MIN(4,COUNTIF($C$18:C22,C22)),"st","nd","rd","th"),"")</f>
        <v/>
      </c>
    </row>
    <row r="23" spans="1:14" s="413" customFormat="1" ht="13.95" customHeight="1" x14ac:dyDescent="0.25">
      <c r="A23" s="414"/>
      <c r="D23" s="478"/>
      <c r="F23" s="480"/>
      <c r="G23" s="480"/>
      <c r="H23" s="245" t="str">
        <f t="shared" si="0"/>
        <v/>
      </c>
      <c r="M23" s="388"/>
      <c r="N23" s="413" t="str">
        <f>IFERROR(COUNTIF($C$18:C23,C23)&amp;CHOOSE(MIN(4,COUNTIF($C$18:C23,C23)),"st","nd","rd","th"),"")</f>
        <v/>
      </c>
    </row>
    <row r="24" spans="1:14" s="413" customFormat="1" ht="13.95" customHeight="1" x14ac:dyDescent="0.25">
      <c r="A24" s="414"/>
      <c r="D24" s="478"/>
      <c r="F24" s="480"/>
      <c r="G24" s="480"/>
      <c r="H24" s="245" t="str">
        <f t="shared" si="0"/>
        <v/>
      </c>
      <c r="M24" s="388"/>
      <c r="N24" s="413" t="str">
        <f>IFERROR(COUNTIF($C$18:C24,C24)&amp;CHOOSE(MIN(4,COUNTIF($C$18:C24,C24)),"st","nd","rd","th"),"")</f>
        <v/>
      </c>
    </row>
    <row r="25" spans="1:14" s="413" customFormat="1" ht="13.95" customHeight="1" x14ac:dyDescent="0.25">
      <c r="A25" s="414"/>
      <c r="D25" s="478"/>
      <c r="F25" s="480"/>
      <c r="G25" s="480"/>
      <c r="H25" s="245" t="str">
        <f t="shared" si="0"/>
        <v/>
      </c>
      <c r="M25" s="388"/>
      <c r="N25" s="413" t="str">
        <f>IFERROR(COUNTIF($C$18:C25,C25)&amp;CHOOSE(MIN(4,COUNTIF($C$18:C25,C25)),"st","nd","rd","th"),"")</f>
        <v/>
      </c>
    </row>
    <row r="26" spans="1:14" x14ac:dyDescent="0.25">
      <c r="D26" s="388"/>
      <c r="E26" s="245"/>
      <c r="H26" s="245" t="str">
        <f t="shared" si="0"/>
        <v/>
      </c>
      <c r="M26" s="388"/>
      <c r="N26" s="413" t="str">
        <f>IFERROR(COUNTIF($C$18:C26,C26)&amp;CHOOSE(MIN(4,COUNTIF($C$18:C26,C26)),"st","nd","rd","th"),"")</f>
        <v/>
      </c>
    </row>
    <row r="27" spans="1:14" x14ac:dyDescent="0.25">
      <c r="D27" s="388"/>
      <c r="H27" s="245" t="str">
        <f t="shared" si="0"/>
        <v/>
      </c>
      <c r="N27" s="413" t="str">
        <f>IFERROR(COUNTIF($C$18:C27,C27)&amp;CHOOSE(MIN(4,COUNTIF($C$18:C27,C27)),"st","nd","rd","th"),"")</f>
        <v/>
      </c>
    </row>
    <row r="28" spans="1:14" ht="14.25" customHeight="1" x14ac:dyDescent="0.25">
      <c r="D28" s="388"/>
      <c r="H28" s="245" t="str">
        <f t="shared" si="0"/>
        <v/>
      </c>
      <c r="N28" s="233" t="str">
        <f>IFERROR(COUNTIF($C$18:C28,C28)&amp;CHOOSE(MIN(4,COUNTIF($C$18:C28,C28)),"st","nd","rd","th"),"")</f>
        <v/>
      </c>
    </row>
    <row r="29" spans="1:14" ht="14.25" customHeight="1" x14ac:dyDescent="0.25">
      <c r="D29" s="388"/>
      <c r="H29" s="245" t="str">
        <f t="shared" si="0"/>
        <v/>
      </c>
      <c r="N29" s="233" t="str">
        <f>IFERROR(COUNTIF($C$18:C29,C29)&amp;CHOOSE(MIN(4,COUNTIF($C$18:C29,C29)),"st","nd","rd","th"),"")</f>
        <v/>
      </c>
    </row>
    <row r="30" spans="1:14" x14ac:dyDescent="0.25">
      <c r="H30" s="245" t="str">
        <f t="shared" si="0"/>
        <v/>
      </c>
      <c r="N30" s="233" t="str">
        <f>IFERROR(COUNTIF($C$18:C30,C30)&amp;CHOOSE(MIN(4,COUNTIF($C$18:C30,C30)),"st","nd","rd","th"),"")</f>
        <v/>
      </c>
    </row>
    <row r="31" spans="1:14" x14ac:dyDescent="0.25">
      <c r="H31" s="245" t="str">
        <f t="shared" si="0"/>
        <v/>
      </c>
      <c r="N31" s="233" t="str">
        <f>IFERROR(COUNTIF($C$18:C31,C31)&amp;CHOOSE(MIN(4,COUNTIF($C$18:C31,C31)),"st","nd","rd","th"),"")</f>
        <v/>
      </c>
    </row>
    <row r="32" spans="1:14" x14ac:dyDescent="0.25">
      <c r="H32" s="245" t="str">
        <f t="shared" si="0"/>
        <v/>
      </c>
      <c r="N32" s="233" t="str">
        <f>IFERROR(COUNTIF($C$18:C32,C32)&amp;CHOOSE(MIN(4,COUNTIF($C$18:C32,C32)),"st","nd","rd","th"),"")</f>
        <v/>
      </c>
    </row>
    <row r="33" spans="8:14" x14ac:dyDescent="0.25">
      <c r="H33" s="245" t="str">
        <f t="shared" si="0"/>
        <v/>
      </c>
      <c r="N33" s="233" t="str">
        <f>IFERROR(COUNTIF($C$18:C33,C33)&amp;CHOOSE(MIN(4,COUNTIF($C$18:C33,C33)),"st","nd","rd","th"),"")</f>
        <v/>
      </c>
    </row>
    <row r="34" spans="8:14" x14ac:dyDescent="0.25">
      <c r="H34" s="245" t="str">
        <f t="shared" si="0"/>
        <v/>
      </c>
      <c r="N34" s="233" t="str">
        <f>IFERROR(COUNTIF($C$18:C34,C34)&amp;CHOOSE(MIN(4,COUNTIF($C$18:C34,C34)),"st","nd","rd","th"),"")</f>
        <v/>
      </c>
    </row>
    <row r="35" spans="8:14" x14ac:dyDescent="0.25">
      <c r="H35" s="245" t="str">
        <f t="shared" si="0"/>
        <v/>
      </c>
      <c r="N35" s="233" t="str">
        <f>IFERROR(COUNTIF($C$18:C35,C35)&amp;CHOOSE(MIN(4,COUNTIF($C$18:C35,C35)),"st","nd","rd","th"),"")</f>
        <v/>
      </c>
    </row>
    <row r="36" spans="8:14" x14ac:dyDescent="0.25">
      <c r="H36" s="245" t="str">
        <f t="shared" si="0"/>
        <v/>
      </c>
      <c r="N36" s="233" t="str">
        <f>IFERROR(COUNTIF($C$18:C36,C36)&amp;CHOOSE(MIN(4,COUNTIF($C$18:C36,C36)),"st","nd","rd","th"),"")</f>
        <v/>
      </c>
    </row>
    <row r="37" spans="8:14" x14ac:dyDescent="0.25">
      <c r="H37" s="245" t="str">
        <f t="shared" si="0"/>
        <v/>
      </c>
      <c r="N37" s="233" t="str">
        <f>IFERROR(COUNTIF($C$18:C37,C37)&amp;CHOOSE(MIN(4,COUNTIF($C$18:C37,C37)),"st","nd","rd","th"),"")</f>
        <v/>
      </c>
    </row>
    <row r="38" spans="8:14" x14ac:dyDescent="0.25">
      <c r="H38" s="245" t="str">
        <f t="shared" si="0"/>
        <v/>
      </c>
      <c r="N38" s="233" t="str">
        <f>IFERROR(COUNTIF($C$18:C38,C38)&amp;CHOOSE(MIN(4,COUNTIF($C$18:C38,C38)),"st","nd","rd","th"),"")</f>
        <v/>
      </c>
    </row>
    <row r="39" spans="8:14" x14ac:dyDescent="0.25">
      <c r="H39" s="245" t="str">
        <f t="shared" si="0"/>
        <v/>
      </c>
      <c r="N39" s="233" t="str">
        <f>IFERROR(COUNTIF($C$18:C39,C39)&amp;CHOOSE(MIN(4,COUNTIF($C$18:C39,C39)),"st","nd","rd","th"),"")</f>
        <v/>
      </c>
    </row>
    <row r="40" spans="8:14" x14ac:dyDescent="0.25">
      <c r="H40" s="245" t="str">
        <f t="shared" si="0"/>
        <v/>
      </c>
      <c r="N40" s="233" t="str">
        <f>IFERROR(COUNTIF($C$18:C40,C40)&amp;CHOOSE(MIN(4,COUNTIF($C$18:C40,C40)),"st","nd","rd","th"),"")</f>
        <v/>
      </c>
    </row>
    <row r="41" spans="8:14" x14ac:dyDescent="0.25">
      <c r="H41" s="245" t="str">
        <f t="shared" si="0"/>
        <v/>
      </c>
      <c r="N41" s="233" t="str">
        <f>IFERROR(COUNTIF($C$18:C41,C41)&amp;CHOOSE(MIN(4,COUNTIF($C$18:C41,C41)),"st","nd","rd","th"),"")</f>
        <v/>
      </c>
    </row>
    <row r="42" spans="8:14" x14ac:dyDescent="0.25">
      <c r="H42" s="245" t="str">
        <f t="shared" si="0"/>
        <v/>
      </c>
      <c r="N42" s="233" t="str">
        <f>IFERROR(COUNTIF($C$18:C42,C42)&amp;CHOOSE(MIN(4,COUNTIF($C$18:C42,C42)),"st","nd","rd","th"),"")</f>
        <v/>
      </c>
    </row>
    <row r="43" spans="8:14" x14ac:dyDescent="0.25">
      <c r="H43" s="245" t="str">
        <f t="shared" si="0"/>
        <v/>
      </c>
      <c r="N43" s="233" t="str">
        <f>IFERROR(COUNTIF($C$18:C43,C43)&amp;CHOOSE(MIN(4,COUNTIF($C$18:C43,C43)),"st","nd","rd","th"),"")</f>
        <v/>
      </c>
    </row>
    <row r="44" spans="8:14" x14ac:dyDescent="0.25">
      <c r="H44" s="245" t="str">
        <f t="shared" si="0"/>
        <v/>
      </c>
      <c r="N44" s="233" t="str">
        <f>IFERROR(COUNTIF($C$18:C44,C44)&amp;CHOOSE(MIN(4,COUNTIF($C$18:C44,C44)),"st","nd","rd","th"),"")</f>
        <v/>
      </c>
    </row>
    <row r="45" spans="8:14" x14ac:dyDescent="0.25">
      <c r="H45" s="245" t="str">
        <f t="shared" si="0"/>
        <v/>
      </c>
      <c r="N45" s="233" t="str">
        <f>IFERROR(COUNTIF($C$18:C45,C45)&amp;CHOOSE(MIN(4,COUNTIF($C$18:C45,C45)),"st","nd","rd","th"),"")</f>
        <v/>
      </c>
    </row>
    <row r="46" spans="8:14" x14ac:dyDescent="0.25">
      <c r="H46" s="245" t="str">
        <f t="shared" si="0"/>
        <v/>
      </c>
      <c r="N46" s="233" t="str">
        <f>IFERROR(COUNTIF($C$18:C46,C46)&amp;CHOOSE(MIN(4,COUNTIF($C$18:C46,C46)),"st","nd","rd","th"),"")</f>
        <v/>
      </c>
    </row>
    <row r="47" spans="8:14" x14ac:dyDescent="0.25">
      <c r="H47" s="245" t="str">
        <f t="shared" si="0"/>
        <v/>
      </c>
      <c r="N47" s="233" t="str">
        <f>IFERROR(COUNTIF($C$18:C47,C47)&amp;CHOOSE(MIN(4,COUNTIF($C$18:C47,C47)),"st","nd","rd","th"),"")</f>
        <v/>
      </c>
    </row>
    <row r="48" spans="8:14" x14ac:dyDescent="0.25">
      <c r="H48" s="245" t="str">
        <f t="shared" si="0"/>
        <v/>
      </c>
      <c r="N48" s="233" t="str">
        <f>IFERROR(COUNTIF($C$18:C48,C48)&amp;CHOOSE(MIN(4,COUNTIF($C$18:C48,C48)),"st","nd","rd","th"),"")</f>
        <v/>
      </c>
    </row>
    <row r="49" spans="8:14" x14ac:dyDescent="0.25">
      <c r="H49" s="245" t="str">
        <f t="shared" si="0"/>
        <v/>
      </c>
      <c r="N49" s="233" t="str">
        <f>IFERROR(COUNTIF($C$18:C49,C49)&amp;CHOOSE(MIN(4,COUNTIF($C$18:C49,C49)),"st","nd","rd","th"),"")</f>
        <v/>
      </c>
    </row>
    <row r="50" spans="8:14" x14ac:dyDescent="0.25">
      <c r="H50" s="245" t="str">
        <f t="shared" si="0"/>
        <v/>
      </c>
      <c r="N50" s="233" t="str">
        <f>IFERROR(COUNTIF($C$18:C50,C50)&amp;CHOOSE(MIN(4,COUNTIF($C$18:C50,C50)),"st","nd","rd","th"),"")</f>
        <v/>
      </c>
    </row>
    <row r="51" spans="8:14" x14ac:dyDescent="0.25">
      <c r="H51" s="245" t="str">
        <f t="shared" si="0"/>
        <v/>
      </c>
      <c r="N51" s="233" t="str">
        <f>IFERROR(COUNTIF($C$18:C51,C51)&amp;CHOOSE(MIN(4,COUNTIF($C$18:C51,C51)),"st","nd","rd","th"),"")</f>
        <v/>
      </c>
    </row>
    <row r="52" spans="8:14" x14ac:dyDescent="0.25">
      <c r="H52" s="245" t="str">
        <f t="shared" si="0"/>
        <v/>
      </c>
      <c r="N52" s="233" t="str">
        <f>IFERROR(COUNTIF($C$18:C52,C52)&amp;CHOOSE(MIN(4,COUNTIF($C$18:C52,C52)),"st","nd","rd","th"),"")</f>
        <v/>
      </c>
    </row>
    <row r="53" spans="8:14" x14ac:dyDescent="0.25">
      <c r="H53" s="245" t="str">
        <f t="shared" si="0"/>
        <v/>
      </c>
      <c r="N53" s="233" t="str">
        <f>IFERROR(COUNTIF($C$18:C53,C53)&amp;CHOOSE(MIN(4,COUNTIF($C$18:C53,C53)),"st","nd","rd","th"),"")</f>
        <v/>
      </c>
    </row>
    <row r="54" spans="8:14" x14ac:dyDescent="0.25">
      <c r="H54" s="245" t="str">
        <f t="shared" si="0"/>
        <v/>
      </c>
      <c r="N54" s="233" t="str">
        <f>IFERROR(COUNTIF($C$18:C54,C54)&amp;CHOOSE(MIN(4,COUNTIF($C$18:C54,C54)),"st","nd","rd","th"),"")</f>
        <v/>
      </c>
    </row>
    <row r="55" spans="8:14" x14ac:dyDescent="0.25">
      <c r="H55" s="245" t="str">
        <f t="shared" si="0"/>
        <v/>
      </c>
      <c r="N55" s="233" t="str">
        <f>IFERROR(COUNTIF($C$18:C55,C55)&amp;CHOOSE(MIN(4,COUNTIF($C$18:C55,C55)),"st","nd","rd","th"),"")</f>
        <v/>
      </c>
    </row>
    <row r="56" spans="8:14" x14ac:dyDescent="0.25">
      <c r="H56" s="245" t="str">
        <f t="shared" si="0"/>
        <v/>
      </c>
      <c r="N56" s="233" t="str">
        <f>IFERROR(COUNTIF($C$18:C56,C56)&amp;CHOOSE(MIN(4,COUNTIF($C$18:C56,C56)),"st","nd","rd","th"),"")</f>
        <v/>
      </c>
    </row>
    <row r="57" spans="8:14" x14ac:dyDescent="0.25">
      <c r="H57" s="245" t="str">
        <f t="shared" si="0"/>
        <v/>
      </c>
      <c r="N57" s="233" t="str">
        <f>IFERROR(COUNTIF($C$18:C57,C57)&amp;CHOOSE(MIN(4,COUNTIF($C$18:C57,C57)),"st","nd","rd","th"),"")</f>
        <v/>
      </c>
    </row>
    <row r="58" spans="8:14" x14ac:dyDescent="0.25">
      <c r="H58" s="245" t="str">
        <f t="shared" si="0"/>
        <v/>
      </c>
      <c r="N58" s="233" t="str">
        <f>IFERROR(COUNTIF($C$18:C58,C58)&amp;CHOOSE(MIN(4,COUNTIF($C$18:C58,C58)),"st","nd","rd","th"),"")</f>
        <v/>
      </c>
    </row>
    <row r="59" spans="8:14" x14ac:dyDescent="0.25">
      <c r="H59" s="245" t="str">
        <f t="shared" si="0"/>
        <v/>
      </c>
      <c r="N59" s="233" t="str">
        <f>IFERROR(COUNTIF($C$18:C59,C59)&amp;CHOOSE(MIN(4,COUNTIF($C$18:C59,C59)),"st","nd","rd","th"),"")</f>
        <v/>
      </c>
    </row>
    <row r="60" spans="8:14" x14ac:dyDescent="0.25">
      <c r="H60" s="245" t="str">
        <f t="shared" si="0"/>
        <v/>
      </c>
      <c r="N60" s="233" t="str">
        <f>IFERROR(COUNTIF($C$18:C60,C60)&amp;CHOOSE(MIN(4,COUNTIF($C$18:C60,C60)),"st","nd","rd","th"),"")</f>
        <v/>
      </c>
    </row>
    <row r="61" spans="8:14" x14ac:dyDescent="0.25">
      <c r="H61" s="245" t="str">
        <f t="shared" si="0"/>
        <v/>
      </c>
      <c r="N61" s="233" t="str">
        <f>IFERROR(COUNTIF($C$18:C61,C61)&amp;CHOOSE(MIN(4,COUNTIF($C$18:C61,C61)),"st","nd","rd","th"),"")</f>
        <v/>
      </c>
    </row>
    <row r="62" spans="8:14" x14ac:dyDescent="0.25">
      <c r="H62" s="245" t="str">
        <f t="shared" si="0"/>
        <v/>
      </c>
      <c r="N62" s="233" t="str">
        <f>IFERROR(COUNTIF($C$18:C62,C62)&amp;CHOOSE(MIN(4,COUNTIF($C$18:C62,C62)),"st","nd","rd","th"),"")</f>
        <v/>
      </c>
    </row>
    <row r="63" spans="8:14" x14ac:dyDescent="0.25">
      <c r="H63" s="245" t="str">
        <f t="shared" si="0"/>
        <v/>
      </c>
      <c r="N63" s="233" t="str">
        <f>IFERROR(COUNTIF($C$18:C63,C63)&amp;CHOOSE(MIN(4,COUNTIF($C$18:C63,C63)),"st","nd","rd","th"),"")</f>
        <v/>
      </c>
    </row>
    <row r="64" spans="8:14" x14ac:dyDescent="0.25">
      <c r="H64" s="245" t="str">
        <f t="shared" si="0"/>
        <v/>
      </c>
      <c r="N64" s="233" t="str">
        <f>IFERROR(COUNTIF($C$18:C64,C64)&amp;CHOOSE(MIN(4,COUNTIF($C$18:C64,C64)),"st","nd","rd","th"),"")</f>
        <v/>
      </c>
    </row>
    <row r="65" spans="8:14" x14ac:dyDescent="0.25">
      <c r="H65" s="245" t="str">
        <f t="shared" si="0"/>
        <v/>
      </c>
      <c r="N65" s="233" t="str">
        <f>IFERROR(COUNTIF($C$18:C65,C65)&amp;CHOOSE(MIN(4,COUNTIF($C$18:C65,C65)),"st","nd","rd","th"),"")</f>
        <v/>
      </c>
    </row>
    <row r="66" spans="8:14" x14ac:dyDescent="0.25">
      <c r="H66" s="245" t="str">
        <f t="shared" si="0"/>
        <v/>
      </c>
      <c r="N66" s="233" t="str">
        <f>IFERROR(COUNTIF($C$18:C66,C66)&amp;CHOOSE(MIN(4,COUNTIF($C$18:C66,C66)),"st","nd","rd","th"),"")</f>
        <v/>
      </c>
    </row>
    <row r="67" spans="8:14" x14ac:dyDescent="0.25">
      <c r="H67" s="245" t="str">
        <f t="shared" si="0"/>
        <v/>
      </c>
      <c r="N67" s="233" t="str">
        <f>IFERROR(COUNTIF($C$18:C67,C67)&amp;CHOOSE(MIN(4,COUNTIF($C$18:C67,C67)),"st","nd","rd","th"),"")</f>
        <v/>
      </c>
    </row>
    <row r="68" spans="8:14" x14ac:dyDescent="0.25">
      <c r="H68" s="245" t="str">
        <f t="shared" si="0"/>
        <v/>
      </c>
      <c r="N68" s="233" t="str">
        <f>IFERROR(COUNTIF($C$18:C68,C68)&amp;CHOOSE(MIN(4,COUNTIF($C$18:C68,C68)),"st","nd","rd","th"),"")</f>
        <v/>
      </c>
    </row>
    <row r="69" spans="8:14" x14ac:dyDescent="0.25">
      <c r="H69" s="245" t="str">
        <f t="shared" si="0"/>
        <v/>
      </c>
      <c r="N69" s="233" t="str">
        <f>IFERROR(COUNTIF($C$18:C69,C69)&amp;CHOOSE(MIN(4,COUNTIF($C$18:C69,C69)),"st","nd","rd","th"),"")</f>
        <v/>
      </c>
    </row>
    <row r="70" spans="8:14" x14ac:dyDescent="0.25">
      <c r="H70" s="245" t="str">
        <f t="shared" si="0"/>
        <v/>
      </c>
      <c r="N70" s="233" t="str">
        <f>IFERROR(COUNTIF($C$18:C70,C70)&amp;CHOOSE(MIN(4,COUNTIF($C$18:C70,C70)),"st","nd","rd","th"),"")</f>
        <v/>
      </c>
    </row>
    <row r="71" spans="8:14" x14ac:dyDescent="0.25">
      <c r="H71" s="245" t="str">
        <f t="shared" si="0"/>
        <v/>
      </c>
      <c r="N71" s="233" t="str">
        <f>IFERROR(COUNTIF($C$18:C71,C71)&amp;CHOOSE(MIN(4,COUNTIF($C$18:C71,C71)),"st","nd","rd","th"),"")</f>
        <v/>
      </c>
    </row>
    <row r="72" spans="8:14" x14ac:dyDescent="0.25">
      <c r="H72" s="245" t="str">
        <f t="shared" si="0"/>
        <v/>
      </c>
      <c r="N72" s="233" t="str">
        <f>IFERROR(COUNTIF($C$18:C72,C72)&amp;CHOOSE(MIN(4,COUNTIF($C$18:C72,C72)),"st","nd","rd","th"),"")</f>
        <v/>
      </c>
    </row>
    <row r="73" spans="8:14" x14ac:dyDescent="0.25">
      <c r="H73" s="245" t="str">
        <f t="shared" si="0"/>
        <v/>
      </c>
      <c r="N73" s="233" t="str">
        <f>IFERROR(COUNTIF($C$18:C73,C73)&amp;CHOOSE(MIN(4,COUNTIF($C$18:C73,C73)),"st","nd","rd","th"),"")</f>
        <v/>
      </c>
    </row>
    <row r="74" spans="8:14" x14ac:dyDescent="0.25">
      <c r="H74" s="245" t="str">
        <f t="shared" si="0"/>
        <v/>
      </c>
      <c r="N74" s="233" t="str">
        <f>IFERROR(COUNTIF($C$18:C74,C74)&amp;CHOOSE(MIN(4,COUNTIF($C$18:C74,C74)),"st","nd","rd","th"),"")</f>
        <v/>
      </c>
    </row>
    <row r="75" spans="8:14" x14ac:dyDescent="0.25">
      <c r="H75" s="245" t="str">
        <f t="shared" si="0"/>
        <v/>
      </c>
      <c r="N75" s="233" t="str">
        <f>IFERROR(COUNTIF($C$18:C75,C75)&amp;CHOOSE(MIN(4,COUNTIF($C$18:C75,C75)),"st","nd","rd","th"),"")</f>
        <v/>
      </c>
    </row>
    <row r="76" spans="8:14" x14ac:dyDescent="0.25">
      <c r="H76" s="245" t="str">
        <f t="shared" si="0"/>
        <v/>
      </c>
      <c r="N76" s="233" t="str">
        <f>IFERROR(COUNTIF($C$18:C76,C76)&amp;CHOOSE(MIN(4,COUNTIF($C$18:C76,C76)),"st","nd","rd","th"),"")</f>
        <v/>
      </c>
    </row>
    <row r="77" spans="8:14" x14ac:dyDescent="0.25">
      <c r="H77" s="245" t="str">
        <f t="shared" si="0"/>
        <v/>
      </c>
      <c r="N77" s="233" t="str">
        <f>IFERROR(COUNTIF($C$18:C77,C77)&amp;CHOOSE(MIN(4,COUNTIF($C$18:C77,C77)),"st","nd","rd","th"),"")</f>
        <v/>
      </c>
    </row>
    <row r="78" spans="8:14" x14ac:dyDescent="0.25">
      <c r="H78" s="245" t="str">
        <f t="shared" si="0"/>
        <v/>
      </c>
      <c r="N78" s="233" t="str">
        <f>IFERROR(COUNTIF($C$18:C78,C78)&amp;CHOOSE(MIN(4,COUNTIF($C$18:C78,C78)),"st","nd","rd","th"),"")</f>
        <v/>
      </c>
    </row>
    <row r="79" spans="8:14" x14ac:dyDescent="0.25">
      <c r="H79" s="245" t="str">
        <f t="shared" ref="H79:H142" si="1">IF(OR(ISBLANK(G79), ISBLANK(F79)), "", IF(G79=F79, 1, SUM(_xlfn.DAYS(G79, F79), 1)))</f>
        <v/>
      </c>
      <c r="N79" s="233" t="str">
        <f>IFERROR(COUNTIF($C$18:C79,C79)&amp;CHOOSE(MIN(4,COUNTIF($C$18:C79,C79)),"st","nd","rd","th"),"")</f>
        <v/>
      </c>
    </row>
    <row r="80" spans="8:14" x14ac:dyDescent="0.25">
      <c r="H80" s="245" t="str">
        <f t="shared" si="1"/>
        <v/>
      </c>
      <c r="N80" s="233" t="str">
        <f>IFERROR(COUNTIF($C$18:C80,C80)&amp;CHOOSE(MIN(4,COUNTIF($C$18:C80,C80)),"st","nd","rd","th"),"")</f>
        <v/>
      </c>
    </row>
    <row r="81" spans="8:14" x14ac:dyDescent="0.25">
      <c r="H81" s="245" t="str">
        <f t="shared" si="1"/>
        <v/>
      </c>
      <c r="N81" s="233" t="str">
        <f>IFERROR(COUNTIF($C$18:C81,C81)&amp;CHOOSE(MIN(4,COUNTIF($C$18:C81,C81)),"st","nd","rd","th"),"")</f>
        <v/>
      </c>
    </row>
    <row r="82" spans="8:14" x14ac:dyDescent="0.25">
      <c r="H82" s="245" t="str">
        <f t="shared" si="1"/>
        <v/>
      </c>
      <c r="N82" s="233" t="str">
        <f>IFERROR(COUNTIF($C$18:C82,C82)&amp;CHOOSE(MIN(4,COUNTIF($C$18:C82,C82)),"st","nd","rd","th"),"")</f>
        <v/>
      </c>
    </row>
    <row r="83" spans="8:14" x14ac:dyDescent="0.25">
      <c r="H83" s="245" t="str">
        <f t="shared" si="1"/>
        <v/>
      </c>
      <c r="N83" s="233" t="str">
        <f>IFERROR(COUNTIF($C$18:C83,C83)&amp;CHOOSE(MIN(4,COUNTIF($C$18:C83,C83)),"st","nd","rd","th"),"")</f>
        <v/>
      </c>
    </row>
    <row r="84" spans="8:14" x14ac:dyDescent="0.25">
      <c r="H84" s="245" t="str">
        <f t="shared" si="1"/>
        <v/>
      </c>
      <c r="N84" s="233" t="str">
        <f>IFERROR(COUNTIF($C$18:C84,C84)&amp;CHOOSE(MIN(4,COUNTIF($C$18:C84,C84)),"st","nd","rd","th"),"")</f>
        <v/>
      </c>
    </row>
    <row r="85" spans="8:14" x14ac:dyDescent="0.25">
      <c r="H85" s="245" t="str">
        <f t="shared" si="1"/>
        <v/>
      </c>
      <c r="N85" s="233" t="str">
        <f>IFERROR(COUNTIF($C$18:C85,C85)&amp;CHOOSE(MIN(4,COUNTIF($C$18:C85,C85)),"st","nd","rd","th"),"")</f>
        <v/>
      </c>
    </row>
    <row r="86" spans="8:14" x14ac:dyDescent="0.25">
      <c r="H86" s="245" t="str">
        <f t="shared" si="1"/>
        <v/>
      </c>
      <c r="N86" s="233" t="str">
        <f>IFERROR(COUNTIF($C$18:C86,C86)&amp;CHOOSE(MIN(4,COUNTIF($C$18:C86,C86)),"st","nd","rd","th"),"")</f>
        <v/>
      </c>
    </row>
    <row r="87" spans="8:14" x14ac:dyDescent="0.25">
      <c r="H87" s="245" t="str">
        <f t="shared" si="1"/>
        <v/>
      </c>
      <c r="N87" s="233" t="str">
        <f>IFERROR(COUNTIF($C$18:C87,C87)&amp;CHOOSE(MIN(4,COUNTIF($C$18:C87,C87)),"st","nd","rd","th"),"")</f>
        <v/>
      </c>
    </row>
    <row r="88" spans="8:14" x14ac:dyDescent="0.25">
      <c r="H88" s="245" t="str">
        <f t="shared" si="1"/>
        <v/>
      </c>
      <c r="N88" s="233" t="str">
        <f>IFERROR(COUNTIF($C$18:C88,C88)&amp;CHOOSE(MIN(4,COUNTIF($C$18:C88,C88)),"st","nd","rd","th"),"")</f>
        <v/>
      </c>
    </row>
    <row r="89" spans="8:14" x14ac:dyDescent="0.25">
      <c r="H89" s="245" t="str">
        <f t="shared" si="1"/>
        <v/>
      </c>
      <c r="N89" s="233" t="str">
        <f>IFERROR(COUNTIF($C$18:C89,C89)&amp;CHOOSE(MIN(4,COUNTIF($C$18:C89,C89)),"st","nd","rd","th"),"")</f>
        <v/>
      </c>
    </row>
    <row r="90" spans="8:14" x14ac:dyDescent="0.25">
      <c r="H90" s="245" t="str">
        <f t="shared" si="1"/>
        <v/>
      </c>
      <c r="N90" s="233" t="str">
        <f>IFERROR(COUNTIF($C$18:C90,C90)&amp;CHOOSE(MIN(4,COUNTIF($C$18:C90,C90)),"st","nd","rd","th"),"")</f>
        <v/>
      </c>
    </row>
    <row r="91" spans="8:14" x14ac:dyDescent="0.25">
      <c r="H91" s="245" t="str">
        <f t="shared" si="1"/>
        <v/>
      </c>
      <c r="N91" s="233" t="str">
        <f>IFERROR(COUNTIF($C$18:C91,C91)&amp;CHOOSE(MIN(4,COUNTIF($C$18:C91,C91)),"st","nd","rd","th"),"")</f>
        <v/>
      </c>
    </row>
    <row r="92" spans="8:14" x14ac:dyDescent="0.25">
      <c r="H92" s="245" t="str">
        <f t="shared" si="1"/>
        <v/>
      </c>
      <c r="N92" s="233" t="str">
        <f>IFERROR(COUNTIF($C$18:C92,C92)&amp;CHOOSE(MIN(4,COUNTIF($C$18:C92,C92)),"st","nd","rd","th"),"")</f>
        <v/>
      </c>
    </row>
    <row r="93" spans="8:14" x14ac:dyDescent="0.25">
      <c r="H93" s="245" t="str">
        <f t="shared" si="1"/>
        <v/>
      </c>
      <c r="N93" s="233" t="str">
        <f>IFERROR(COUNTIF($C$18:C93,C93)&amp;CHOOSE(MIN(4,COUNTIF($C$18:C93,C93)),"st","nd","rd","th"),"")</f>
        <v/>
      </c>
    </row>
    <row r="94" spans="8:14" x14ac:dyDescent="0.25">
      <c r="H94" s="245" t="str">
        <f t="shared" si="1"/>
        <v/>
      </c>
      <c r="N94" s="233" t="str">
        <f>IFERROR(COUNTIF($C$18:C94,C94)&amp;CHOOSE(MIN(4,COUNTIF($C$18:C94,C94)),"st","nd","rd","th"),"")</f>
        <v/>
      </c>
    </row>
    <row r="95" spans="8:14" x14ac:dyDescent="0.25">
      <c r="H95" s="245" t="str">
        <f t="shared" si="1"/>
        <v/>
      </c>
      <c r="N95" s="233" t="str">
        <f>IFERROR(COUNTIF($C$18:C95,C95)&amp;CHOOSE(MIN(4,COUNTIF($C$18:C95,C95)),"st","nd","rd","th"),"")</f>
        <v/>
      </c>
    </row>
    <row r="96" spans="8:14" x14ac:dyDescent="0.25">
      <c r="H96" s="245" t="str">
        <f t="shared" si="1"/>
        <v/>
      </c>
      <c r="N96" s="233" t="str">
        <f>IFERROR(COUNTIF($C$18:C96,C96)&amp;CHOOSE(MIN(4,COUNTIF($C$18:C96,C96)),"st","nd","rd","th"),"")</f>
        <v/>
      </c>
    </row>
    <row r="97" spans="8:14" x14ac:dyDescent="0.25">
      <c r="H97" s="245" t="str">
        <f t="shared" si="1"/>
        <v/>
      </c>
      <c r="N97" s="233" t="str">
        <f>IFERROR(COUNTIF($C$18:C97,C97)&amp;CHOOSE(MIN(4,COUNTIF($C$18:C97,C97)),"st","nd","rd","th"),"")</f>
        <v/>
      </c>
    </row>
    <row r="98" spans="8:14" x14ac:dyDescent="0.25">
      <c r="H98" s="245" t="str">
        <f t="shared" si="1"/>
        <v/>
      </c>
      <c r="N98" s="233" t="str">
        <f>IFERROR(COUNTIF($C$18:C98,C98)&amp;CHOOSE(MIN(4,COUNTIF($C$18:C98,C98)),"st","nd","rd","th"),"")</f>
        <v/>
      </c>
    </row>
    <row r="99" spans="8:14" x14ac:dyDescent="0.25">
      <c r="H99" s="245" t="str">
        <f t="shared" si="1"/>
        <v/>
      </c>
      <c r="N99" s="233" t="str">
        <f>IFERROR(COUNTIF($C$18:C99,C99)&amp;CHOOSE(MIN(4,COUNTIF($C$18:C99,C99)),"st","nd","rd","th"),"")</f>
        <v/>
      </c>
    </row>
    <row r="100" spans="8:14" x14ac:dyDescent="0.25">
      <c r="H100" s="245" t="str">
        <f t="shared" si="1"/>
        <v/>
      </c>
      <c r="N100" s="233" t="str">
        <f>IFERROR(COUNTIF($C$18:C100,C100)&amp;CHOOSE(MIN(4,COUNTIF($C$18:C100,C100)),"st","nd","rd","th"),"")</f>
        <v/>
      </c>
    </row>
    <row r="101" spans="8:14" x14ac:dyDescent="0.25">
      <c r="H101" s="245" t="str">
        <f t="shared" si="1"/>
        <v/>
      </c>
      <c r="N101" s="233" t="str">
        <f>IFERROR(COUNTIF($C$18:C101,C101)&amp;CHOOSE(MIN(4,COUNTIF($C$18:C101,C101)),"st","nd","rd","th"),"")</f>
        <v/>
      </c>
    </row>
    <row r="102" spans="8:14" x14ac:dyDescent="0.25">
      <c r="H102" s="245" t="str">
        <f t="shared" si="1"/>
        <v/>
      </c>
      <c r="N102" s="233" t="str">
        <f>IFERROR(COUNTIF($C$18:C102,C102)&amp;CHOOSE(MIN(4,COUNTIF($C$18:C102,C102)),"st","nd","rd","th"),"")</f>
        <v/>
      </c>
    </row>
    <row r="103" spans="8:14" x14ac:dyDescent="0.25">
      <c r="H103" s="245" t="str">
        <f t="shared" si="1"/>
        <v/>
      </c>
      <c r="N103" s="233" t="str">
        <f>IFERROR(COUNTIF($C$18:C103,C103)&amp;CHOOSE(MIN(4,COUNTIF($C$18:C103,C103)),"st","nd","rd","th"),"")</f>
        <v/>
      </c>
    </row>
    <row r="104" spans="8:14" x14ac:dyDescent="0.25">
      <c r="H104" s="245" t="str">
        <f t="shared" si="1"/>
        <v/>
      </c>
      <c r="N104" s="233" t="str">
        <f>IFERROR(COUNTIF($C$18:C104,C104)&amp;CHOOSE(MIN(4,COUNTIF($C$18:C104,C104)),"st","nd","rd","th"),"")</f>
        <v/>
      </c>
    </row>
    <row r="105" spans="8:14" x14ac:dyDescent="0.25">
      <c r="H105" s="245" t="str">
        <f t="shared" si="1"/>
        <v/>
      </c>
      <c r="N105" s="233" t="str">
        <f>IFERROR(COUNTIF($C$18:C105,C105)&amp;CHOOSE(MIN(4,COUNTIF($C$18:C105,C105)),"st","nd","rd","th"),"")</f>
        <v/>
      </c>
    </row>
    <row r="106" spans="8:14" x14ac:dyDescent="0.25">
      <c r="H106" s="245" t="str">
        <f t="shared" si="1"/>
        <v/>
      </c>
      <c r="N106" s="233" t="str">
        <f>IFERROR(COUNTIF($C$18:C106,C106)&amp;CHOOSE(MIN(4,COUNTIF($C$18:C106,C106)),"st","nd","rd","th"),"")</f>
        <v/>
      </c>
    </row>
    <row r="107" spans="8:14" x14ac:dyDescent="0.25">
      <c r="H107" s="245" t="str">
        <f t="shared" si="1"/>
        <v/>
      </c>
      <c r="N107" s="233" t="str">
        <f>IFERROR(COUNTIF($C$18:C107,C107)&amp;CHOOSE(MIN(4,COUNTIF($C$18:C107,C107)),"st","nd","rd","th"),"")</f>
        <v/>
      </c>
    </row>
    <row r="108" spans="8:14" x14ac:dyDescent="0.25">
      <c r="H108" s="245" t="str">
        <f t="shared" si="1"/>
        <v/>
      </c>
      <c r="N108" s="233" t="str">
        <f>IFERROR(COUNTIF($C$18:C108,C108)&amp;CHOOSE(MIN(4,COUNTIF($C$18:C108,C108)),"st","nd","rd","th"),"")</f>
        <v/>
      </c>
    </row>
    <row r="109" spans="8:14" x14ac:dyDescent="0.25">
      <c r="H109" s="245" t="str">
        <f t="shared" si="1"/>
        <v/>
      </c>
      <c r="N109" s="233" t="str">
        <f>IFERROR(COUNTIF($C$18:C109,C109)&amp;CHOOSE(MIN(4,COUNTIF($C$18:C109,C109)),"st","nd","rd","th"),"")</f>
        <v/>
      </c>
    </row>
    <row r="110" spans="8:14" x14ac:dyDescent="0.25">
      <c r="H110" s="245" t="str">
        <f t="shared" si="1"/>
        <v/>
      </c>
      <c r="N110" s="233" t="str">
        <f>IFERROR(COUNTIF($C$18:C110,C110)&amp;CHOOSE(MIN(4,COUNTIF($C$18:C110,C110)),"st","nd","rd","th"),"")</f>
        <v/>
      </c>
    </row>
    <row r="111" spans="8:14" x14ac:dyDescent="0.25">
      <c r="H111" s="245" t="str">
        <f t="shared" si="1"/>
        <v/>
      </c>
      <c r="N111" s="233" t="str">
        <f>IFERROR(COUNTIF($C$18:C111,C111)&amp;CHOOSE(MIN(4,COUNTIF($C$18:C111,C111)),"st","nd","rd","th"),"")</f>
        <v/>
      </c>
    </row>
    <row r="112" spans="8:14" x14ac:dyDescent="0.25">
      <c r="H112" s="245" t="str">
        <f t="shared" si="1"/>
        <v/>
      </c>
      <c r="N112" s="233" t="str">
        <f>IFERROR(COUNTIF($C$18:C112,C112)&amp;CHOOSE(MIN(4,COUNTIF($C$18:C112,C112)),"st","nd","rd","th"),"")</f>
        <v/>
      </c>
    </row>
    <row r="113" spans="8:14" x14ac:dyDescent="0.25">
      <c r="H113" s="245" t="str">
        <f t="shared" si="1"/>
        <v/>
      </c>
      <c r="N113" s="233" t="str">
        <f>IFERROR(COUNTIF($C$18:C113,C113)&amp;CHOOSE(MIN(4,COUNTIF($C$18:C113,C113)),"st","nd","rd","th"),"")</f>
        <v/>
      </c>
    </row>
    <row r="114" spans="8:14" x14ac:dyDescent="0.25">
      <c r="H114" s="245" t="str">
        <f t="shared" si="1"/>
        <v/>
      </c>
      <c r="N114" s="233" t="str">
        <f>IFERROR(COUNTIF($C$18:C114,C114)&amp;CHOOSE(MIN(4,COUNTIF($C$18:C114,C114)),"st","nd","rd","th"),"")</f>
        <v/>
      </c>
    </row>
    <row r="115" spans="8:14" x14ac:dyDescent="0.25">
      <c r="H115" s="245" t="str">
        <f t="shared" si="1"/>
        <v/>
      </c>
      <c r="N115" s="233" t="str">
        <f>IFERROR(COUNTIF($C$18:C115,C115)&amp;CHOOSE(MIN(4,COUNTIF($C$18:C115,C115)),"st","nd","rd","th"),"")</f>
        <v/>
      </c>
    </row>
    <row r="116" spans="8:14" x14ac:dyDescent="0.25">
      <c r="H116" s="245" t="str">
        <f t="shared" si="1"/>
        <v/>
      </c>
      <c r="N116" s="233" t="str">
        <f>IFERROR(COUNTIF($C$18:C116,C116)&amp;CHOOSE(MIN(4,COUNTIF($C$18:C116,C116)),"st","nd","rd","th"),"")</f>
        <v/>
      </c>
    </row>
    <row r="117" spans="8:14" x14ac:dyDescent="0.25">
      <c r="H117" s="245" t="str">
        <f t="shared" si="1"/>
        <v/>
      </c>
      <c r="N117" s="233" t="str">
        <f>IFERROR(COUNTIF($C$18:C117,C117)&amp;CHOOSE(MIN(4,COUNTIF($C$18:C117,C117)),"st","nd","rd","th"),"")</f>
        <v/>
      </c>
    </row>
    <row r="118" spans="8:14" x14ac:dyDescent="0.25">
      <c r="H118" s="245" t="str">
        <f t="shared" si="1"/>
        <v/>
      </c>
      <c r="N118" s="233" t="str">
        <f>IFERROR(COUNTIF($C$18:C118,C118)&amp;CHOOSE(MIN(4,COUNTIF($C$18:C118,C118)),"st","nd","rd","th"),"")</f>
        <v/>
      </c>
    </row>
    <row r="119" spans="8:14" x14ac:dyDescent="0.25">
      <c r="H119" s="245" t="str">
        <f t="shared" si="1"/>
        <v/>
      </c>
      <c r="N119" s="233" t="str">
        <f>IFERROR(COUNTIF($C$18:C119,C119)&amp;CHOOSE(MIN(4,COUNTIF($C$18:C119,C119)),"st","nd","rd","th"),"")</f>
        <v/>
      </c>
    </row>
    <row r="120" spans="8:14" x14ac:dyDescent="0.25">
      <c r="H120" s="245" t="str">
        <f t="shared" si="1"/>
        <v/>
      </c>
      <c r="N120" s="233" t="str">
        <f>IFERROR(COUNTIF($C$18:C120,C120)&amp;CHOOSE(MIN(4,COUNTIF($C$18:C120,C120)),"st","nd","rd","th"),"")</f>
        <v/>
      </c>
    </row>
    <row r="121" spans="8:14" x14ac:dyDescent="0.25">
      <c r="H121" s="245" t="str">
        <f t="shared" si="1"/>
        <v/>
      </c>
      <c r="N121" s="233" t="str">
        <f>IFERROR(COUNTIF($C$18:C121,C121)&amp;CHOOSE(MIN(4,COUNTIF($C$18:C121,C121)),"st","nd","rd","th"),"")</f>
        <v/>
      </c>
    </row>
    <row r="122" spans="8:14" x14ac:dyDescent="0.25">
      <c r="H122" s="245" t="str">
        <f t="shared" si="1"/>
        <v/>
      </c>
      <c r="N122" s="233" t="str">
        <f>IFERROR(COUNTIF($C$18:C122,C122)&amp;CHOOSE(MIN(4,COUNTIF($C$18:C122,C122)),"st","nd","rd","th"),"")</f>
        <v/>
      </c>
    </row>
    <row r="123" spans="8:14" x14ac:dyDescent="0.25">
      <c r="H123" s="245" t="str">
        <f t="shared" si="1"/>
        <v/>
      </c>
      <c r="N123" s="233" t="str">
        <f>IFERROR(COUNTIF($C$18:C123,C123)&amp;CHOOSE(MIN(4,COUNTIF($C$18:C123,C123)),"st","nd","rd","th"),"")</f>
        <v/>
      </c>
    </row>
    <row r="124" spans="8:14" x14ac:dyDescent="0.25">
      <c r="H124" s="245" t="str">
        <f t="shared" si="1"/>
        <v/>
      </c>
      <c r="N124" s="233" t="str">
        <f>IFERROR(COUNTIF($C$18:C124,C124)&amp;CHOOSE(MIN(4,COUNTIF($C$18:C124,C124)),"st","nd","rd","th"),"")</f>
        <v/>
      </c>
    </row>
    <row r="125" spans="8:14" x14ac:dyDescent="0.25">
      <c r="H125" s="245" t="str">
        <f t="shared" si="1"/>
        <v/>
      </c>
      <c r="N125" s="233" t="str">
        <f>IFERROR(COUNTIF($C$18:C125,C125)&amp;CHOOSE(MIN(4,COUNTIF($C$18:C125,C125)),"st","nd","rd","th"),"")</f>
        <v/>
      </c>
    </row>
    <row r="126" spans="8:14" x14ac:dyDescent="0.25">
      <c r="H126" s="245" t="str">
        <f t="shared" si="1"/>
        <v/>
      </c>
      <c r="N126" s="233" t="str">
        <f>IFERROR(COUNTIF($C$18:C126,C126)&amp;CHOOSE(MIN(4,COUNTIF($C$18:C126,C126)),"st","nd","rd","th"),"")</f>
        <v/>
      </c>
    </row>
    <row r="127" spans="8:14" x14ac:dyDescent="0.25">
      <c r="H127" s="245" t="str">
        <f t="shared" si="1"/>
        <v/>
      </c>
      <c r="N127" s="233" t="str">
        <f>IFERROR(COUNTIF($C$18:C127,C127)&amp;CHOOSE(MIN(4,COUNTIF($C$18:C127,C127)),"st","nd","rd","th"),"")</f>
        <v/>
      </c>
    </row>
    <row r="128" spans="8:14" x14ac:dyDescent="0.25">
      <c r="H128" s="245" t="str">
        <f t="shared" si="1"/>
        <v/>
      </c>
      <c r="N128" s="233" t="str">
        <f>IFERROR(COUNTIF($C$18:C128,C128)&amp;CHOOSE(MIN(4,COUNTIF($C$18:C128,C128)),"st","nd","rd","th"),"")</f>
        <v/>
      </c>
    </row>
    <row r="129" spans="8:14" x14ac:dyDescent="0.25">
      <c r="H129" s="245" t="str">
        <f t="shared" si="1"/>
        <v/>
      </c>
      <c r="N129" s="233" t="str">
        <f>IFERROR(COUNTIF($C$18:C129,C129)&amp;CHOOSE(MIN(4,COUNTIF($C$18:C129,C129)),"st","nd","rd","th"),"")</f>
        <v/>
      </c>
    </row>
    <row r="130" spans="8:14" x14ac:dyDescent="0.25">
      <c r="H130" s="245" t="str">
        <f t="shared" si="1"/>
        <v/>
      </c>
      <c r="N130" s="233" t="str">
        <f>IFERROR(COUNTIF($C$18:C130,C130)&amp;CHOOSE(MIN(4,COUNTIF($C$18:C130,C130)),"st","nd","rd","th"),"")</f>
        <v/>
      </c>
    </row>
    <row r="131" spans="8:14" x14ac:dyDescent="0.25">
      <c r="H131" s="245" t="str">
        <f t="shared" si="1"/>
        <v/>
      </c>
      <c r="N131" s="233" t="str">
        <f>IFERROR(COUNTIF($C$18:C131,C131)&amp;CHOOSE(MIN(4,COUNTIF($C$18:C131,C131)),"st","nd","rd","th"),"")</f>
        <v/>
      </c>
    </row>
    <row r="132" spans="8:14" x14ac:dyDescent="0.25">
      <c r="H132" s="245" t="str">
        <f t="shared" si="1"/>
        <v/>
      </c>
      <c r="N132" s="233" t="str">
        <f>IFERROR(COUNTIF($C$18:C132,C132)&amp;CHOOSE(MIN(4,COUNTIF($C$18:C132,C132)),"st","nd","rd","th"),"")</f>
        <v/>
      </c>
    </row>
    <row r="133" spans="8:14" x14ac:dyDescent="0.25">
      <c r="H133" s="245" t="str">
        <f t="shared" si="1"/>
        <v/>
      </c>
      <c r="N133" s="233" t="str">
        <f>IFERROR(COUNTIF($C$18:C133,C133)&amp;CHOOSE(MIN(4,COUNTIF($C$18:C133,C133)),"st","nd","rd","th"),"")</f>
        <v/>
      </c>
    </row>
    <row r="134" spans="8:14" x14ac:dyDescent="0.25">
      <c r="H134" s="245" t="str">
        <f t="shared" si="1"/>
        <v/>
      </c>
      <c r="N134" s="233" t="str">
        <f>IFERROR(COUNTIF($C$18:C134,C134)&amp;CHOOSE(MIN(4,COUNTIF($C$18:C134,C134)),"st","nd","rd","th"),"")</f>
        <v/>
      </c>
    </row>
    <row r="135" spans="8:14" x14ac:dyDescent="0.25">
      <c r="H135" s="245" t="str">
        <f t="shared" si="1"/>
        <v/>
      </c>
      <c r="N135" s="233" t="str">
        <f>IFERROR(COUNTIF($C$18:C135,C135)&amp;CHOOSE(MIN(4,COUNTIF($C$18:C135,C135)),"st","nd","rd","th"),"")</f>
        <v/>
      </c>
    </row>
    <row r="136" spans="8:14" x14ac:dyDescent="0.25">
      <c r="H136" s="245" t="str">
        <f t="shared" si="1"/>
        <v/>
      </c>
      <c r="N136" s="233" t="str">
        <f>IFERROR(COUNTIF($C$18:C136,C136)&amp;CHOOSE(MIN(4,COUNTIF($C$18:C136,C136)),"st","nd","rd","th"),"")</f>
        <v/>
      </c>
    </row>
    <row r="137" spans="8:14" x14ac:dyDescent="0.25">
      <c r="H137" s="245" t="str">
        <f t="shared" si="1"/>
        <v/>
      </c>
      <c r="N137" s="233" t="str">
        <f>IFERROR(COUNTIF($C$18:C137,C137)&amp;CHOOSE(MIN(4,COUNTIF($C$18:C137,C137)),"st","nd","rd","th"),"")</f>
        <v/>
      </c>
    </row>
    <row r="138" spans="8:14" x14ac:dyDescent="0.25">
      <c r="H138" s="245" t="str">
        <f t="shared" si="1"/>
        <v/>
      </c>
      <c r="N138" s="233" t="str">
        <f>IFERROR(COUNTIF($C$18:C138,C138)&amp;CHOOSE(MIN(4,COUNTIF($C$18:C138,C138)),"st","nd","rd","th"),"")</f>
        <v/>
      </c>
    </row>
    <row r="139" spans="8:14" x14ac:dyDescent="0.25">
      <c r="H139" s="245" t="str">
        <f t="shared" si="1"/>
        <v/>
      </c>
      <c r="N139" s="233" t="str">
        <f>IFERROR(COUNTIF($C$18:C139,C139)&amp;CHOOSE(MIN(4,COUNTIF($C$18:C139,C139)),"st","nd","rd","th"),"")</f>
        <v/>
      </c>
    </row>
    <row r="140" spans="8:14" x14ac:dyDescent="0.25">
      <c r="H140" s="245" t="str">
        <f t="shared" si="1"/>
        <v/>
      </c>
      <c r="N140" s="233" t="str">
        <f>IFERROR(COUNTIF($C$18:C140,C140)&amp;CHOOSE(MIN(4,COUNTIF($C$18:C140,C140)),"st","nd","rd","th"),"")</f>
        <v/>
      </c>
    </row>
    <row r="141" spans="8:14" x14ac:dyDescent="0.25">
      <c r="H141" s="245" t="str">
        <f t="shared" si="1"/>
        <v/>
      </c>
      <c r="N141" s="233" t="str">
        <f>IFERROR(COUNTIF($C$18:C141,C141)&amp;CHOOSE(MIN(4,COUNTIF($C$18:C141,C141)),"st","nd","rd","th"),"")</f>
        <v/>
      </c>
    </row>
    <row r="142" spans="8:14" x14ac:dyDescent="0.25">
      <c r="H142" s="245" t="str">
        <f t="shared" si="1"/>
        <v/>
      </c>
      <c r="N142" s="233" t="str">
        <f>IFERROR(COUNTIF($C$18:C142,C142)&amp;CHOOSE(MIN(4,COUNTIF($C$18:C142,C142)),"st","nd","rd","th"),"")</f>
        <v/>
      </c>
    </row>
    <row r="143" spans="8:14" x14ac:dyDescent="0.25">
      <c r="H143" s="245" t="str">
        <f t="shared" ref="H143:H206" si="2">IF(OR(ISBLANK(G143), ISBLANK(F143)), "", IF(G143=F143, 1, SUM(_xlfn.DAYS(G143, F143), 1)))</f>
        <v/>
      </c>
      <c r="N143" s="233" t="str">
        <f>IFERROR(COUNTIF($C$18:C143,C143)&amp;CHOOSE(MIN(4,COUNTIF($C$18:C143,C143)),"st","nd","rd","th"),"")</f>
        <v/>
      </c>
    </row>
    <row r="144" spans="8:14" x14ac:dyDescent="0.25">
      <c r="H144" s="245" t="str">
        <f t="shared" si="2"/>
        <v/>
      </c>
      <c r="N144" s="233" t="str">
        <f>IFERROR(COUNTIF($C$18:C144,C144)&amp;CHOOSE(MIN(4,COUNTIF($C$18:C144,C144)),"st","nd","rd","th"),"")</f>
        <v/>
      </c>
    </row>
    <row r="145" spans="8:14" x14ac:dyDescent="0.25">
      <c r="H145" s="245" t="str">
        <f t="shared" si="2"/>
        <v/>
      </c>
      <c r="N145" s="233" t="str">
        <f>IFERROR(COUNTIF($C$18:C145,C145)&amp;CHOOSE(MIN(4,COUNTIF($C$18:C145,C145)),"st","nd","rd","th"),"")</f>
        <v/>
      </c>
    </row>
    <row r="146" spans="8:14" x14ac:dyDescent="0.25">
      <c r="H146" s="245" t="str">
        <f t="shared" si="2"/>
        <v/>
      </c>
      <c r="N146" s="233" t="str">
        <f>IFERROR(COUNTIF($C$18:C146,C146)&amp;CHOOSE(MIN(4,COUNTIF($C$18:C146,C146)),"st","nd","rd","th"),"")</f>
        <v/>
      </c>
    </row>
    <row r="147" spans="8:14" x14ac:dyDescent="0.25">
      <c r="H147" s="245" t="str">
        <f t="shared" si="2"/>
        <v/>
      </c>
      <c r="N147" s="233" t="str">
        <f>IFERROR(COUNTIF($C$18:C147,C147)&amp;CHOOSE(MIN(4,COUNTIF($C$18:C147,C147)),"st","nd","rd","th"),"")</f>
        <v/>
      </c>
    </row>
    <row r="148" spans="8:14" x14ac:dyDescent="0.25">
      <c r="H148" s="245" t="str">
        <f t="shared" si="2"/>
        <v/>
      </c>
      <c r="N148" s="233" t="str">
        <f>IFERROR(COUNTIF($C$18:C148,C148)&amp;CHOOSE(MIN(4,COUNTIF($C$18:C148,C148)),"st","nd","rd","th"),"")</f>
        <v/>
      </c>
    </row>
    <row r="149" spans="8:14" x14ac:dyDescent="0.25">
      <c r="H149" s="245" t="str">
        <f t="shared" si="2"/>
        <v/>
      </c>
      <c r="N149" s="233" t="str">
        <f>IFERROR(COUNTIF($C$18:C149,C149)&amp;CHOOSE(MIN(4,COUNTIF($C$18:C149,C149)),"st","nd","rd","th"),"")</f>
        <v/>
      </c>
    </row>
    <row r="150" spans="8:14" x14ac:dyDescent="0.25">
      <c r="H150" s="245" t="str">
        <f t="shared" si="2"/>
        <v/>
      </c>
      <c r="N150" s="233" t="str">
        <f>IFERROR(COUNTIF($C$18:C150,C150)&amp;CHOOSE(MIN(4,COUNTIF($C$18:C150,C150)),"st","nd","rd","th"),"")</f>
        <v/>
      </c>
    </row>
    <row r="151" spans="8:14" x14ac:dyDescent="0.25">
      <c r="H151" s="245" t="str">
        <f t="shared" si="2"/>
        <v/>
      </c>
      <c r="N151" s="233" t="str">
        <f>IFERROR(COUNTIF($C$18:C151,C151)&amp;CHOOSE(MIN(4,COUNTIF($C$18:C151,C151)),"st","nd","rd","th"),"")</f>
        <v/>
      </c>
    </row>
    <row r="152" spans="8:14" x14ac:dyDescent="0.25">
      <c r="H152" s="245" t="str">
        <f t="shared" si="2"/>
        <v/>
      </c>
      <c r="N152" s="233" t="str">
        <f>IFERROR(COUNTIF($C$18:C152,C152)&amp;CHOOSE(MIN(4,COUNTIF($C$18:C152,C152)),"st","nd","rd","th"),"")</f>
        <v/>
      </c>
    </row>
    <row r="153" spans="8:14" x14ac:dyDescent="0.25">
      <c r="H153" s="245" t="str">
        <f t="shared" si="2"/>
        <v/>
      </c>
      <c r="N153" s="233" t="str">
        <f>IFERROR(COUNTIF($C$18:C153,C153)&amp;CHOOSE(MIN(4,COUNTIF($C$18:C153,C153)),"st","nd","rd","th"),"")</f>
        <v/>
      </c>
    </row>
    <row r="154" spans="8:14" x14ac:dyDescent="0.25">
      <c r="H154" s="245" t="str">
        <f t="shared" si="2"/>
        <v/>
      </c>
      <c r="N154" s="233" t="str">
        <f>IFERROR(COUNTIF($C$18:C154,C154)&amp;CHOOSE(MIN(4,COUNTIF($C$18:C154,C154)),"st","nd","rd","th"),"")</f>
        <v/>
      </c>
    </row>
    <row r="155" spans="8:14" x14ac:dyDescent="0.25">
      <c r="H155" s="245" t="str">
        <f t="shared" si="2"/>
        <v/>
      </c>
      <c r="N155" s="233" t="str">
        <f>IFERROR(COUNTIF($C$18:C155,C155)&amp;CHOOSE(MIN(4,COUNTIF($C$18:C155,C155)),"st","nd","rd","th"),"")</f>
        <v/>
      </c>
    </row>
    <row r="156" spans="8:14" x14ac:dyDescent="0.25">
      <c r="H156" s="245" t="str">
        <f t="shared" si="2"/>
        <v/>
      </c>
      <c r="N156" s="233" t="str">
        <f>IFERROR(COUNTIF($C$18:C156,C156)&amp;CHOOSE(MIN(4,COUNTIF($C$18:C156,C156)),"st","nd","rd","th"),"")</f>
        <v/>
      </c>
    </row>
    <row r="157" spans="8:14" x14ac:dyDescent="0.25">
      <c r="H157" s="245" t="str">
        <f t="shared" si="2"/>
        <v/>
      </c>
      <c r="N157" s="233" t="str">
        <f>IFERROR(COUNTIF($C$18:C157,C157)&amp;CHOOSE(MIN(4,COUNTIF($C$18:C157,C157)),"st","nd","rd","th"),"")</f>
        <v/>
      </c>
    </row>
    <row r="158" spans="8:14" x14ac:dyDescent="0.25">
      <c r="H158" s="245" t="str">
        <f t="shared" si="2"/>
        <v/>
      </c>
      <c r="N158" s="233" t="str">
        <f>IFERROR(COUNTIF($C$18:C158,C158)&amp;CHOOSE(MIN(4,COUNTIF($C$18:C158,C158)),"st","nd","rd","th"),"")</f>
        <v/>
      </c>
    </row>
    <row r="159" spans="8:14" x14ac:dyDescent="0.25">
      <c r="H159" s="245" t="str">
        <f t="shared" si="2"/>
        <v/>
      </c>
      <c r="N159" s="233" t="str">
        <f>IFERROR(COUNTIF($C$18:C159,C159)&amp;CHOOSE(MIN(4,COUNTIF($C$18:C159,C159)),"st","nd","rd","th"),"")</f>
        <v/>
      </c>
    </row>
    <row r="160" spans="8:14" x14ac:dyDescent="0.25">
      <c r="H160" s="245" t="str">
        <f t="shared" si="2"/>
        <v/>
      </c>
      <c r="N160" s="233" t="str">
        <f>IFERROR(COUNTIF($C$18:C160,C160)&amp;CHOOSE(MIN(4,COUNTIF($C$18:C160,C160)),"st","nd","rd","th"),"")</f>
        <v/>
      </c>
    </row>
    <row r="161" spans="8:14" x14ac:dyDescent="0.25">
      <c r="H161" s="245" t="str">
        <f t="shared" si="2"/>
        <v/>
      </c>
      <c r="N161" s="233" t="str">
        <f>IFERROR(COUNTIF($C$18:C161,C161)&amp;CHOOSE(MIN(4,COUNTIF($C$18:C161,C161)),"st","nd","rd","th"),"")</f>
        <v/>
      </c>
    </row>
    <row r="162" spans="8:14" x14ac:dyDescent="0.25">
      <c r="H162" s="245" t="str">
        <f t="shared" si="2"/>
        <v/>
      </c>
      <c r="N162" s="233" t="str">
        <f>IFERROR(COUNTIF($C$18:C162,C162)&amp;CHOOSE(MIN(4,COUNTIF($C$18:C162,C162)),"st","nd","rd","th"),"")</f>
        <v/>
      </c>
    </row>
    <row r="163" spans="8:14" x14ac:dyDescent="0.25">
      <c r="H163" s="245" t="str">
        <f t="shared" si="2"/>
        <v/>
      </c>
      <c r="N163" s="233" t="str">
        <f>IFERROR(COUNTIF($C$18:C163,C163)&amp;CHOOSE(MIN(4,COUNTIF($C$18:C163,C163)),"st","nd","rd","th"),"")</f>
        <v/>
      </c>
    </row>
    <row r="164" spans="8:14" x14ac:dyDescent="0.25">
      <c r="H164" s="245" t="str">
        <f t="shared" si="2"/>
        <v/>
      </c>
      <c r="N164" s="233" t="str">
        <f>IFERROR(COUNTIF($C$18:C164,C164)&amp;CHOOSE(MIN(4,COUNTIF($C$18:C164,C164)),"st","nd","rd","th"),"")</f>
        <v/>
      </c>
    </row>
    <row r="165" spans="8:14" x14ac:dyDescent="0.25">
      <c r="H165" s="245" t="str">
        <f t="shared" si="2"/>
        <v/>
      </c>
      <c r="N165" s="233" t="str">
        <f>IFERROR(COUNTIF($C$18:C165,C165)&amp;CHOOSE(MIN(4,COUNTIF($C$18:C165,C165)),"st","nd","rd","th"),"")</f>
        <v/>
      </c>
    </row>
    <row r="166" spans="8:14" x14ac:dyDescent="0.25">
      <c r="H166" s="245" t="str">
        <f t="shared" si="2"/>
        <v/>
      </c>
      <c r="N166" s="233" t="str">
        <f>IFERROR(COUNTIF($C$18:C166,C166)&amp;CHOOSE(MIN(4,COUNTIF($C$18:C166,C166)),"st","nd","rd","th"),"")</f>
        <v/>
      </c>
    </row>
    <row r="167" spans="8:14" x14ac:dyDescent="0.25">
      <c r="H167" s="245" t="str">
        <f t="shared" si="2"/>
        <v/>
      </c>
      <c r="N167" s="233" t="str">
        <f>IFERROR(COUNTIF($C$18:C167,C167)&amp;CHOOSE(MIN(4,COUNTIF($C$18:C167,C167)),"st","nd","rd","th"),"")</f>
        <v/>
      </c>
    </row>
    <row r="168" spans="8:14" x14ac:dyDescent="0.25">
      <c r="H168" s="245" t="str">
        <f t="shared" si="2"/>
        <v/>
      </c>
      <c r="N168" s="233" t="str">
        <f>IFERROR(COUNTIF($C$18:C168,C168)&amp;CHOOSE(MIN(4,COUNTIF($C$18:C168,C168)),"st","nd","rd","th"),"")</f>
        <v/>
      </c>
    </row>
    <row r="169" spans="8:14" x14ac:dyDescent="0.25">
      <c r="H169" s="245" t="str">
        <f t="shared" si="2"/>
        <v/>
      </c>
      <c r="N169" s="233" t="str">
        <f>IFERROR(COUNTIF($C$18:C169,C169)&amp;CHOOSE(MIN(4,COUNTIF($C$18:C169,C169)),"st","nd","rd","th"),"")</f>
        <v/>
      </c>
    </row>
    <row r="170" spans="8:14" x14ac:dyDescent="0.25">
      <c r="H170" s="245" t="str">
        <f t="shared" si="2"/>
        <v/>
      </c>
      <c r="N170" s="233" t="str">
        <f>IFERROR(COUNTIF($C$18:C170,C170)&amp;CHOOSE(MIN(4,COUNTIF($C$18:C170,C170)),"st","nd","rd","th"),"")</f>
        <v/>
      </c>
    </row>
    <row r="171" spans="8:14" x14ac:dyDescent="0.25">
      <c r="H171" s="245" t="str">
        <f t="shared" si="2"/>
        <v/>
      </c>
      <c r="N171" s="233" t="str">
        <f>IFERROR(COUNTIF($C$18:C171,C171)&amp;CHOOSE(MIN(4,COUNTIF($C$18:C171,C171)),"st","nd","rd","th"),"")</f>
        <v/>
      </c>
    </row>
    <row r="172" spans="8:14" x14ac:dyDescent="0.25">
      <c r="H172" s="245" t="str">
        <f t="shared" si="2"/>
        <v/>
      </c>
      <c r="N172" s="233" t="str">
        <f>IFERROR(COUNTIF($C$18:C172,C172)&amp;CHOOSE(MIN(4,COUNTIF($C$18:C172,C172)),"st","nd","rd","th"),"")</f>
        <v/>
      </c>
    </row>
    <row r="173" spans="8:14" x14ac:dyDescent="0.25">
      <c r="H173" s="245" t="str">
        <f t="shared" si="2"/>
        <v/>
      </c>
      <c r="N173" s="233" t="str">
        <f>IFERROR(COUNTIF($C$18:C173,C173)&amp;CHOOSE(MIN(4,COUNTIF($C$18:C173,C173)),"st","nd","rd","th"),"")</f>
        <v/>
      </c>
    </row>
    <row r="174" spans="8:14" x14ac:dyDescent="0.25">
      <c r="H174" s="245" t="str">
        <f t="shared" si="2"/>
        <v/>
      </c>
      <c r="N174" s="233" t="str">
        <f>IFERROR(COUNTIF($C$18:C174,C174)&amp;CHOOSE(MIN(4,COUNTIF($C$18:C174,C174)),"st","nd","rd","th"),"")</f>
        <v/>
      </c>
    </row>
    <row r="175" spans="8:14" x14ac:dyDescent="0.25">
      <c r="H175" s="245" t="str">
        <f t="shared" si="2"/>
        <v/>
      </c>
      <c r="N175" s="233" t="str">
        <f>IFERROR(COUNTIF($C$18:C175,C175)&amp;CHOOSE(MIN(4,COUNTIF($C$18:C175,C175)),"st","nd","rd","th"),"")</f>
        <v/>
      </c>
    </row>
    <row r="176" spans="8:14" x14ac:dyDescent="0.25">
      <c r="H176" s="245" t="str">
        <f t="shared" si="2"/>
        <v/>
      </c>
      <c r="N176" s="233" t="str">
        <f>IFERROR(COUNTIF($C$18:C176,C176)&amp;CHOOSE(MIN(4,COUNTIF($C$18:C176,C176)),"st","nd","rd","th"),"")</f>
        <v/>
      </c>
    </row>
    <row r="177" spans="8:14" x14ac:dyDescent="0.25">
      <c r="H177" s="245" t="str">
        <f t="shared" si="2"/>
        <v/>
      </c>
      <c r="N177" s="233" t="str">
        <f>IFERROR(COUNTIF($C$18:C177,C177)&amp;CHOOSE(MIN(4,COUNTIF($C$18:C177,C177)),"st","nd","rd","th"),"")</f>
        <v/>
      </c>
    </row>
    <row r="178" spans="8:14" x14ac:dyDescent="0.25">
      <c r="H178" s="245" t="str">
        <f t="shared" si="2"/>
        <v/>
      </c>
      <c r="N178" s="233" t="str">
        <f>IFERROR(COUNTIF($C$18:C178,C178)&amp;CHOOSE(MIN(4,COUNTIF($C$18:C178,C178)),"st","nd","rd","th"),"")</f>
        <v/>
      </c>
    </row>
    <row r="179" spans="8:14" x14ac:dyDescent="0.25">
      <c r="H179" s="245" t="str">
        <f t="shared" si="2"/>
        <v/>
      </c>
      <c r="N179" s="233" t="str">
        <f>IFERROR(COUNTIF($C$18:C179,C179)&amp;CHOOSE(MIN(4,COUNTIF($C$18:C179,C179)),"st","nd","rd","th"),"")</f>
        <v/>
      </c>
    </row>
    <row r="180" spans="8:14" x14ac:dyDescent="0.25">
      <c r="H180" s="245" t="str">
        <f t="shared" si="2"/>
        <v/>
      </c>
      <c r="N180" s="233" t="str">
        <f>IFERROR(COUNTIF($C$18:C180,C180)&amp;CHOOSE(MIN(4,COUNTIF($C$18:C180,C180)),"st","nd","rd","th"),"")</f>
        <v/>
      </c>
    </row>
    <row r="181" spans="8:14" x14ac:dyDescent="0.25">
      <c r="H181" s="245" t="str">
        <f t="shared" si="2"/>
        <v/>
      </c>
      <c r="N181" s="233" t="str">
        <f>IFERROR(COUNTIF($C$18:C181,C181)&amp;CHOOSE(MIN(4,COUNTIF($C$18:C181,C181)),"st","nd","rd","th"),"")</f>
        <v/>
      </c>
    </row>
    <row r="182" spans="8:14" x14ac:dyDescent="0.25">
      <c r="H182" s="245" t="str">
        <f t="shared" si="2"/>
        <v/>
      </c>
      <c r="N182" s="233" t="str">
        <f>IFERROR(COUNTIF($C$18:C182,C182)&amp;CHOOSE(MIN(4,COUNTIF($C$18:C182,C182)),"st","nd","rd","th"),"")</f>
        <v/>
      </c>
    </row>
    <row r="183" spans="8:14" x14ac:dyDescent="0.25">
      <c r="H183" s="245" t="str">
        <f t="shared" si="2"/>
        <v/>
      </c>
      <c r="N183" s="233" t="str">
        <f>IFERROR(COUNTIF($C$18:C183,C183)&amp;CHOOSE(MIN(4,COUNTIF($C$18:C183,C183)),"st","nd","rd","th"),"")</f>
        <v/>
      </c>
    </row>
    <row r="184" spans="8:14" x14ac:dyDescent="0.25">
      <c r="H184" s="245" t="str">
        <f t="shared" si="2"/>
        <v/>
      </c>
      <c r="N184" s="233" t="str">
        <f>IFERROR(COUNTIF($C$18:C184,C184)&amp;CHOOSE(MIN(4,COUNTIF($C$18:C184,C184)),"st","nd","rd","th"),"")</f>
        <v/>
      </c>
    </row>
    <row r="185" spans="8:14" x14ac:dyDescent="0.25">
      <c r="H185" s="245" t="str">
        <f t="shared" si="2"/>
        <v/>
      </c>
      <c r="N185" s="233" t="str">
        <f>IFERROR(COUNTIF($C$18:C185,C185)&amp;CHOOSE(MIN(4,COUNTIF($C$18:C185,C185)),"st","nd","rd","th"),"")</f>
        <v/>
      </c>
    </row>
    <row r="186" spans="8:14" x14ac:dyDescent="0.25">
      <c r="H186" s="245" t="str">
        <f t="shared" si="2"/>
        <v/>
      </c>
      <c r="N186" s="233" t="str">
        <f>IFERROR(COUNTIF($C$18:C186,C186)&amp;CHOOSE(MIN(4,COUNTIF($C$18:C186,C186)),"st","nd","rd","th"),"")</f>
        <v/>
      </c>
    </row>
    <row r="187" spans="8:14" x14ac:dyDescent="0.25">
      <c r="H187" s="245" t="str">
        <f t="shared" si="2"/>
        <v/>
      </c>
      <c r="N187" s="233" t="str">
        <f>IFERROR(COUNTIF($C$18:C187,C187)&amp;CHOOSE(MIN(4,COUNTIF($C$18:C187,C187)),"st","nd","rd","th"),"")</f>
        <v/>
      </c>
    </row>
    <row r="188" spans="8:14" x14ac:dyDescent="0.25">
      <c r="H188" s="245" t="str">
        <f t="shared" si="2"/>
        <v/>
      </c>
      <c r="N188" s="233" t="str">
        <f>IFERROR(COUNTIF($C$18:C188,C188)&amp;CHOOSE(MIN(4,COUNTIF($C$18:C188,C188)),"st","nd","rd","th"),"")</f>
        <v/>
      </c>
    </row>
    <row r="189" spans="8:14" x14ac:dyDescent="0.25">
      <c r="H189" s="245" t="str">
        <f t="shared" si="2"/>
        <v/>
      </c>
      <c r="N189" s="233" t="str">
        <f>IFERROR(COUNTIF($C$18:C189,C189)&amp;CHOOSE(MIN(4,COUNTIF($C$18:C189,C189)),"st","nd","rd","th"),"")</f>
        <v/>
      </c>
    </row>
    <row r="190" spans="8:14" x14ac:dyDescent="0.25">
      <c r="H190" s="245" t="str">
        <f t="shared" si="2"/>
        <v/>
      </c>
      <c r="N190" s="233" t="str">
        <f>IFERROR(COUNTIF($C$18:C190,C190)&amp;CHOOSE(MIN(4,COUNTIF($C$18:C190,C190)),"st","nd","rd","th"),"")</f>
        <v/>
      </c>
    </row>
    <row r="191" spans="8:14" x14ac:dyDescent="0.25">
      <c r="H191" s="245" t="str">
        <f t="shared" si="2"/>
        <v/>
      </c>
      <c r="N191" s="233" t="str">
        <f>IFERROR(COUNTIF($C$18:C191,C191)&amp;CHOOSE(MIN(4,COUNTIF($C$18:C191,C191)),"st","nd","rd","th"),"")</f>
        <v/>
      </c>
    </row>
    <row r="192" spans="8:14" x14ac:dyDescent="0.25">
      <c r="H192" s="245" t="str">
        <f t="shared" si="2"/>
        <v/>
      </c>
      <c r="N192" s="233" t="str">
        <f>IFERROR(COUNTIF($C$18:C192,C192)&amp;CHOOSE(MIN(4,COUNTIF($C$18:C192,C192)),"st","nd","rd","th"),"")</f>
        <v/>
      </c>
    </row>
    <row r="193" spans="8:14" x14ac:dyDescent="0.25">
      <c r="H193" s="245" t="str">
        <f t="shared" si="2"/>
        <v/>
      </c>
      <c r="N193" s="233" t="str">
        <f>IFERROR(COUNTIF($C$18:C193,C193)&amp;CHOOSE(MIN(4,COUNTIF($C$18:C193,C193)),"st","nd","rd","th"),"")</f>
        <v/>
      </c>
    </row>
    <row r="194" spans="8:14" x14ac:dyDescent="0.25">
      <c r="H194" s="245" t="str">
        <f t="shared" si="2"/>
        <v/>
      </c>
      <c r="N194" s="233" t="str">
        <f>IFERROR(COUNTIF($C$18:C194,C194)&amp;CHOOSE(MIN(4,COUNTIF($C$18:C194,C194)),"st","nd","rd","th"),"")</f>
        <v/>
      </c>
    </row>
    <row r="195" spans="8:14" x14ac:dyDescent="0.25">
      <c r="H195" s="245" t="str">
        <f t="shared" si="2"/>
        <v/>
      </c>
      <c r="N195" s="233" t="str">
        <f>IFERROR(COUNTIF($C$18:C195,C195)&amp;CHOOSE(MIN(4,COUNTIF($C$18:C195,C195)),"st","nd","rd","th"),"")</f>
        <v/>
      </c>
    </row>
    <row r="196" spans="8:14" x14ac:dyDescent="0.25">
      <c r="H196" s="245" t="str">
        <f t="shared" si="2"/>
        <v/>
      </c>
      <c r="N196" s="233" t="str">
        <f>IFERROR(COUNTIF($C$18:C196,C196)&amp;CHOOSE(MIN(4,COUNTIF($C$18:C196,C196)),"st","nd","rd","th"),"")</f>
        <v/>
      </c>
    </row>
    <row r="197" spans="8:14" x14ac:dyDescent="0.25">
      <c r="H197" s="245" t="str">
        <f t="shared" si="2"/>
        <v/>
      </c>
      <c r="N197" s="233" t="str">
        <f>IFERROR(COUNTIF($C$18:C197,C197)&amp;CHOOSE(MIN(4,COUNTIF($C$18:C197,C197)),"st","nd","rd","th"),"")</f>
        <v/>
      </c>
    </row>
    <row r="198" spans="8:14" x14ac:dyDescent="0.25">
      <c r="H198" s="245" t="str">
        <f t="shared" si="2"/>
        <v/>
      </c>
      <c r="N198" s="233" t="str">
        <f>IFERROR(COUNTIF($C$18:C198,C198)&amp;CHOOSE(MIN(4,COUNTIF($C$18:C198,C198)),"st","nd","rd","th"),"")</f>
        <v/>
      </c>
    </row>
    <row r="199" spans="8:14" x14ac:dyDescent="0.25">
      <c r="H199" s="245" t="str">
        <f t="shared" si="2"/>
        <v/>
      </c>
      <c r="N199" s="233" t="str">
        <f>IFERROR(COUNTIF($C$18:C199,C199)&amp;CHOOSE(MIN(4,COUNTIF($C$18:C199,C199)),"st","nd","rd","th"),"")</f>
        <v/>
      </c>
    </row>
    <row r="200" spans="8:14" x14ac:dyDescent="0.25">
      <c r="H200" s="245" t="str">
        <f t="shared" si="2"/>
        <v/>
      </c>
      <c r="N200" s="233" t="str">
        <f>IFERROR(COUNTIF($C$18:C200,C200)&amp;CHOOSE(MIN(4,COUNTIF($C$18:C200,C200)),"st","nd","rd","th"),"")</f>
        <v/>
      </c>
    </row>
    <row r="201" spans="8:14" x14ac:dyDescent="0.25">
      <c r="H201" s="245" t="str">
        <f t="shared" si="2"/>
        <v/>
      </c>
      <c r="N201" s="233" t="str">
        <f>IFERROR(COUNTIF($C$18:C201,C201)&amp;CHOOSE(MIN(4,COUNTIF($C$18:C201,C201)),"st","nd","rd","th"),"")</f>
        <v/>
      </c>
    </row>
    <row r="202" spans="8:14" x14ac:dyDescent="0.25">
      <c r="H202" s="245" t="str">
        <f t="shared" si="2"/>
        <v/>
      </c>
      <c r="N202" s="233" t="str">
        <f>IFERROR(COUNTIF($C$18:C202,C202)&amp;CHOOSE(MIN(4,COUNTIF($C$18:C202,C202)),"st","nd","rd","th"),"")</f>
        <v/>
      </c>
    </row>
    <row r="203" spans="8:14" x14ac:dyDescent="0.25">
      <c r="H203" s="245" t="str">
        <f t="shared" si="2"/>
        <v/>
      </c>
      <c r="N203" s="233" t="str">
        <f>IFERROR(COUNTIF($C$18:C203,C203)&amp;CHOOSE(MIN(4,COUNTIF($C$18:C203,C203)),"st","nd","rd","th"),"")</f>
        <v/>
      </c>
    </row>
    <row r="204" spans="8:14" x14ac:dyDescent="0.25">
      <c r="H204" s="245" t="str">
        <f t="shared" si="2"/>
        <v/>
      </c>
      <c r="N204" s="233" t="str">
        <f>IFERROR(COUNTIF($C$18:C204,C204)&amp;CHOOSE(MIN(4,COUNTIF($C$18:C204,C204)),"st","nd","rd","th"),"")</f>
        <v/>
      </c>
    </row>
    <row r="205" spans="8:14" x14ac:dyDescent="0.25">
      <c r="H205" s="245" t="str">
        <f t="shared" si="2"/>
        <v/>
      </c>
      <c r="N205" s="233" t="str">
        <f>IFERROR(COUNTIF($C$18:C205,C205)&amp;CHOOSE(MIN(4,COUNTIF($C$18:C205,C205)),"st","nd","rd","th"),"")</f>
        <v/>
      </c>
    </row>
    <row r="206" spans="8:14" x14ac:dyDescent="0.25">
      <c r="H206" s="245" t="str">
        <f t="shared" si="2"/>
        <v/>
      </c>
      <c r="N206" s="233" t="str">
        <f>IFERROR(COUNTIF($C$18:C206,C206)&amp;CHOOSE(MIN(4,COUNTIF($C$18:C206,C206)),"st","nd","rd","th"),"")</f>
        <v/>
      </c>
    </row>
    <row r="207" spans="8:14" x14ac:dyDescent="0.25">
      <c r="H207" s="245" t="str">
        <f t="shared" ref="H207:H270" si="3">IF(OR(ISBLANK(G207), ISBLANK(F207)), "", IF(G207=F207, 1, SUM(_xlfn.DAYS(G207, F207), 1)))</f>
        <v/>
      </c>
      <c r="N207" s="233" t="str">
        <f>IFERROR(COUNTIF($C$18:C207,C207)&amp;CHOOSE(MIN(4,COUNTIF($C$18:C207,C207)),"st","nd","rd","th"),"")</f>
        <v/>
      </c>
    </row>
    <row r="208" spans="8:14" x14ac:dyDescent="0.25">
      <c r="H208" s="245" t="str">
        <f t="shared" si="3"/>
        <v/>
      </c>
      <c r="N208" s="233" t="str">
        <f>IFERROR(COUNTIF($C$18:C208,C208)&amp;CHOOSE(MIN(4,COUNTIF($C$18:C208,C208)),"st","nd","rd","th"),"")</f>
        <v/>
      </c>
    </row>
    <row r="209" spans="8:14" x14ac:dyDescent="0.25">
      <c r="H209" s="245" t="str">
        <f t="shared" si="3"/>
        <v/>
      </c>
      <c r="N209" s="233" t="str">
        <f>IFERROR(COUNTIF($C$18:C209,C209)&amp;CHOOSE(MIN(4,COUNTIF($C$18:C209,C209)),"st","nd","rd","th"),"")</f>
        <v/>
      </c>
    </row>
    <row r="210" spans="8:14" x14ac:dyDescent="0.25">
      <c r="H210" s="245" t="str">
        <f t="shared" si="3"/>
        <v/>
      </c>
      <c r="N210" s="233" t="str">
        <f>IFERROR(COUNTIF($C$18:C210,C210)&amp;CHOOSE(MIN(4,COUNTIF($C$18:C210,C210)),"st","nd","rd","th"),"")</f>
        <v/>
      </c>
    </row>
    <row r="211" spans="8:14" x14ac:dyDescent="0.25">
      <c r="H211" s="245" t="str">
        <f t="shared" si="3"/>
        <v/>
      </c>
      <c r="N211" s="233" t="str">
        <f>IFERROR(COUNTIF($C$18:C211,C211)&amp;CHOOSE(MIN(4,COUNTIF($C$18:C211,C211)),"st","nd","rd","th"),"")</f>
        <v/>
      </c>
    </row>
    <row r="212" spans="8:14" x14ac:dyDescent="0.25">
      <c r="H212" s="245" t="str">
        <f t="shared" si="3"/>
        <v/>
      </c>
      <c r="N212" s="233" t="str">
        <f>IFERROR(COUNTIF($C$18:C212,C212)&amp;CHOOSE(MIN(4,COUNTIF($C$18:C212,C212)),"st","nd","rd","th"),"")</f>
        <v/>
      </c>
    </row>
    <row r="213" spans="8:14" x14ac:dyDescent="0.25">
      <c r="H213" s="245" t="str">
        <f t="shared" si="3"/>
        <v/>
      </c>
      <c r="N213" s="233" t="str">
        <f>IFERROR(COUNTIF($C$18:C213,C213)&amp;CHOOSE(MIN(4,COUNTIF($C$18:C213,C213)),"st","nd","rd","th"),"")</f>
        <v/>
      </c>
    </row>
    <row r="214" spans="8:14" x14ac:dyDescent="0.25">
      <c r="H214" s="245" t="str">
        <f t="shared" si="3"/>
        <v/>
      </c>
      <c r="N214" s="233" t="str">
        <f>IFERROR(COUNTIF($C$18:C214,C214)&amp;CHOOSE(MIN(4,COUNTIF($C$18:C214,C214)),"st","nd","rd","th"),"")</f>
        <v/>
      </c>
    </row>
    <row r="215" spans="8:14" x14ac:dyDescent="0.25">
      <c r="H215" s="245" t="str">
        <f t="shared" si="3"/>
        <v/>
      </c>
      <c r="N215" s="233" t="str">
        <f>IFERROR(COUNTIF($C$18:C215,C215)&amp;CHOOSE(MIN(4,COUNTIF($C$18:C215,C215)),"st","nd","rd","th"),"")</f>
        <v/>
      </c>
    </row>
    <row r="216" spans="8:14" x14ac:dyDescent="0.25">
      <c r="H216" s="245" t="str">
        <f t="shared" si="3"/>
        <v/>
      </c>
      <c r="N216" s="233" t="str">
        <f>IFERROR(COUNTIF($C$18:C216,C216)&amp;CHOOSE(MIN(4,COUNTIF($C$18:C216,C216)),"st","nd","rd","th"),"")</f>
        <v/>
      </c>
    </row>
    <row r="217" spans="8:14" x14ac:dyDescent="0.25">
      <c r="H217" s="245" t="str">
        <f t="shared" si="3"/>
        <v/>
      </c>
      <c r="N217" s="233" t="str">
        <f>IFERROR(COUNTIF($C$18:C217,C217)&amp;CHOOSE(MIN(4,COUNTIF($C$18:C217,C217)),"st","nd","rd","th"),"")</f>
        <v/>
      </c>
    </row>
    <row r="218" spans="8:14" x14ac:dyDescent="0.25">
      <c r="H218" s="245" t="str">
        <f t="shared" si="3"/>
        <v/>
      </c>
      <c r="N218" s="233" t="str">
        <f>IFERROR(COUNTIF($C$18:C218,C218)&amp;CHOOSE(MIN(4,COUNTIF($C$18:C218,C218)),"st","nd","rd","th"),"")</f>
        <v/>
      </c>
    </row>
    <row r="219" spans="8:14" x14ac:dyDescent="0.25">
      <c r="H219" s="245" t="str">
        <f t="shared" si="3"/>
        <v/>
      </c>
      <c r="N219" s="233" t="str">
        <f>IFERROR(COUNTIF($C$18:C219,C219)&amp;CHOOSE(MIN(4,COUNTIF($C$18:C219,C219)),"st","nd","rd","th"),"")</f>
        <v/>
      </c>
    </row>
    <row r="220" spans="8:14" x14ac:dyDescent="0.25">
      <c r="H220" s="245" t="str">
        <f t="shared" si="3"/>
        <v/>
      </c>
      <c r="N220" s="233" t="str">
        <f>IFERROR(COUNTIF($C$18:C220,C220)&amp;CHOOSE(MIN(4,COUNTIF($C$18:C220,C220)),"st","nd","rd","th"),"")</f>
        <v/>
      </c>
    </row>
    <row r="221" spans="8:14" x14ac:dyDescent="0.25">
      <c r="H221" s="245" t="str">
        <f t="shared" si="3"/>
        <v/>
      </c>
      <c r="N221" s="233" t="str">
        <f>IFERROR(COUNTIF($C$18:C221,C221)&amp;CHOOSE(MIN(4,COUNTIF($C$18:C221,C221)),"st","nd","rd","th"),"")</f>
        <v/>
      </c>
    </row>
    <row r="222" spans="8:14" x14ac:dyDescent="0.25">
      <c r="H222" s="245" t="str">
        <f t="shared" si="3"/>
        <v/>
      </c>
      <c r="N222" s="233" t="str">
        <f>IFERROR(COUNTIF($C$18:C222,C222)&amp;CHOOSE(MIN(4,COUNTIF($C$18:C222,C222)),"st","nd","rd","th"),"")</f>
        <v/>
      </c>
    </row>
    <row r="223" spans="8:14" x14ac:dyDescent="0.25">
      <c r="H223" s="245" t="str">
        <f t="shared" si="3"/>
        <v/>
      </c>
      <c r="N223" s="233" t="str">
        <f>IFERROR(COUNTIF($C$18:C223,C223)&amp;CHOOSE(MIN(4,COUNTIF($C$18:C223,C223)),"st","nd","rd","th"),"")</f>
        <v/>
      </c>
    </row>
    <row r="224" spans="8:14" x14ac:dyDescent="0.25">
      <c r="H224" s="245" t="str">
        <f t="shared" si="3"/>
        <v/>
      </c>
      <c r="N224" s="233" t="str">
        <f>IFERROR(COUNTIF($C$18:C224,C224)&amp;CHOOSE(MIN(4,COUNTIF($C$18:C224,C224)),"st","nd","rd","th"),"")</f>
        <v/>
      </c>
    </row>
    <row r="225" spans="8:14" x14ac:dyDescent="0.25">
      <c r="H225" s="245" t="str">
        <f t="shared" si="3"/>
        <v/>
      </c>
      <c r="N225" s="233" t="str">
        <f>IFERROR(COUNTIF($C$18:C225,C225)&amp;CHOOSE(MIN(4,COUNTIF($C$18:C225,C225)),"st","nd","rd","th"),"")</f>
        <v/>
      </c>
    </row>
    <row r="226" spans="8:14" x14ac:dyDescent="0.25">
      <c r="H226" s="245" t="str">
        <f t="shared" si="3"/>
        <v/>
      </c>
      <c r="N226" s="233" t="str">
        <f>IFERROR(COUNTIF($C$18:C226,C226)&amp;CHOOSE(MIN(4,COUNTIF($C$18:C226,C226)),"st","nd","rd","th"),"")</f>
        <v/>
      </c>
    </row>
    <row r="227" spans="8:14" x14ac:dyDescent="0.25">
      <c r="H227" s="245" t="str">
        <f t="shared" si="3"/>
        <v/>
      </c>
      <c r="N227" s="233" t="str">
        <f>IFERROR(COUNTIF($C$18:C227,C227)&amp;CHOOSE(MIN(4,COUNTIF($C$18:C227,C227)),"st","nd","rd","th"),"")</f>
        <v/>
      </c>
    </row>
    <row r="228" spans="8:14" x14ac:dyDescent="0.25">
      <c r="H228" s="245" t="str">
        <f t="shared" si="3"/>
        <v/>
      </c>
      <c r="N228" s="233" t="str">
        <f>IFERROR(COUNTIF($C$18:C228,C228)&amp;CHOOSE(MIN(4,COUNTIF($C$18:C228,C228)),"st","nd","rd","th"),"")</f>
        <v/>
      </c>
    </row>
    <row r="229" spans="8:14" x14ac:dyDescent="0.25">
      <c r="H229" s="245" t="str">
        <f t="shared" si="3"/>
        <v/>
      </c>
      <c r="N229" s="233" t="str">
        <f>IFERROR(COUNTIF($C$18:C229,C229)&amp;CHOOSE(MIN(4,COUNTIF($C$18:C229,C229)),"st","nd","rd","th"),"")</f>
        <v/>
      </c>
    </row>
    <row r="230" spans="8:14" x14ac:dyDescent="0.25">
      <c r="H230" s="245" t="str">
        <f t="shared" si="3"/>
        <v/>
      </c>
      <c r="N230" s="233" t="str">
        <f>IFERROR(COUNTIF($C$18:C230,C230)&amp;CHOOSE(MIN(4,COUNTIF($C$18:C230,C230)),"st","nd","rd","th"),"")</f>
        <v/>
      </c>
    </row>
    <row r="231" spans="8:14" x14ac:dyDescent="0.25">
      <c r="H231" s="245" t="str">
        <f t="shared" si="3"/>
        <v/>
      </c>
      <c r="N231" s="233" t="str">
        <f>IFERROR(COUNTIF($C$18:C231,C231)&amp;CHOOSE(MIN(4,COUNTIF($C$18:C231,C231)),"st","nd","rd","th"),"")</f>
        <v/>
      </c>
    </row>
    <row r="232" spans="8:14" x14ac:dyDescent="0.25">
      <c r="H232" s="245" t="str">
        <f t="shared" si="3"/>
        <v/>
      </c>
      <c r="N232" s="233" t="str">
        <f>IFERROR(COUNTIF($C$18:C232,C232)&amp;CHOOSE(MIN(4,COUNTIF($C$18:C232,C232)),"st","nd","rd","th"),"")</f>
        <v/>
      </c>
    </row>
    <row r="233" spans="8:14" x14ac:dyDescent="0.25">
      <c r="H233" s="245" t="str">
        <f t="shared" si="3"/>
        <v/>
      </c>
      <c r="N233" s="233" t="str">
        <f>IFERROR(COUNTIF($C$18:C233,C233)&amp;CHOOSE(MIN(4,COUNTIF($C$18:C233,C233)),"st","nd","rd","th"),"")</f>
        <v/>
      </c>
    </row>
    <row r="234" spans="8:14" x14ac:dyDescent="0.25">
      <c r="H234" s="245" t="str">
        <f t="shared" si="3"/>
        <v/>
      </c>
      <c r="N234" s="233" t="str">
        <f>IFERROR(COUNTIF($C$18:C234,C234)&amp;CHOOSE(MIN(4,COUNTIF($C$18:C234,C234)),"st","nd","rd","th"),"")</f>
        <v/>
      </c>
    </row>
    <row r="235" spans="8:14" x14ac:dyDescent="0.25">
      <c r="H235" s="245" t="str">
        <f t="shared" si="3"/>
        <v/>
      </c>
      <c r="N235" s="233" t="str">
        <f>IFERROR(COUNTIF($C$18:C235,C235)&amp;CHOOSE(MIN(4,COUNTIF($C$18:C235,C235)),"st","nd","rd","th"),"")</f>
        <v/>
      </c>
    </row>
    <row r="236" spans="8:14" x14ac:dyDescent="0.25">
      <c r="H236" s="245" t="str">
        <f t="shared" si="3"/>
        <v/>
      </c>
      <c r="N236" s="233" t="str">
        <f>IFERROR(COUNTIF($C$18:C236,C236)&amp;CHOOSE(MIN(4,COUNTIF($C$18:C236,C236)),"st","nd","rd","th"),"")</f>
        <v/>
      </c>
    </row>
    <row r="237" spans="8:14" x14ac:dyDescent="0.25">
      <c r="H237" s="245" t="str">
        <f t="shared" si="3"/>
        <v/>
      </c>
      <c r="N237" s="233" t="str">
        <f>IFERROR(COUNTIF($C$18:C237,C237)&amp;CHOOSE(MIN(4,COUNTIF($C$18:C237,C237)),"st","nd","rd","th"),"")</f>
        <v/>
      </c>
    </row>
    <row r="238" spans="8:14" x14ac:dyDescent="0.25">
      <c r="H238" s="245" t="str">
        <f t="shared" si="3"/>
        <v/>
      </c>
      <c r="N238" s="233" t="str">
        <f>IFERROR(COUNTIF($C$18:C238,C238)&amp;CHOOSE(MIN(4,COUNTIF($C$18:C238,C238)),"st","nd","rd","th"),"")</f>
        <v/>
      </c>
    </row>
    <row r="239" spans="8:14" x14ac:dyDescent="0.25">
      <c r="H239" s="245" t="str">
        <f t="shared" si="3"/>
        <v/>
      </c>
      <c r="N239" s="233" t="str">
        <f>IFERROR(COUNTIF($C$18:C239,C239)&amp;CHOOSE(MIN(4,COUNTIF($C$18:C239,C239)),"st","nd","rd","th"),"")</f>
        <v/>
      </c>
    </row>
    <row r="240" spans="8:14" x14ac:dyDescent="0.25">
      <c r="H240" s="245" t="str">
        <f t="shared" si="3"/>
        <v/>
      </c>
      <c r="N240" s="233" t="str">
        <f>IFERROR(COUNTIF($C$18:C240,C240)&amp;CHOOSE(MIN(4,COUNTIF($C$18:C240,C240)),"st","nd","rd","th"),"")</f>
        <v/>
      </c>
    </row>
    <row r="241" spans="8:14" x14ac:dyDescent="0.25">
      <c r="H241" s="245" t="str">
        <f t="shared" si="3"/>
        <v/>
      </c>
      <c r="N241" s="233" t="str">
        <f>IFERROR(COUNTIF($C$18:C241,C241)&amp;CHOOSE(MIN(4,COUNTIF($C$18:C241,C241)),"st","nd","rd","th"),"")</f>
        <v/>
      </c>
    </row>
    <row r="242" spans="8:14" x14ac:dyDescent="0.25">
      <c r="H242" s="245" t="str">
        <f t="shared" si="3"/>
        <v/>
      </c>
      <c r="N242" s="233" t="str">
        <f>IFERROR(COUNTIF($C$18:C242,C242)&amp;CHOOSE(MIN(4,COUNTIF($C$18:C242,C242)),"st","nd","rd","th"),"")</f>
        <v/>
      </c>
    </row>
    <row r="243" spans="8:14" x14ac:dyDescent="0.25">
      <c r="H243" s="245" t="str">
        <f t="shared" si="3"/>
        <v/>
      </c>
      <c r="N243" s="233" t="str">
        <f>IFERROR(COUNTIF($C$18:C243,C243)&amp;CHOOSE(MIN(4,COUNTIF($C$18:C243,C243)),"st","nd","rd","th"),"")</f>
        <v/>
      </c>
    </row>
    <row r="244" spans="8:14" x14ac:dyDescent="0.25">
      <c r="H244" s="245" t="str">
        <f t="shared" si="3"/>
        <v/>
      </c>
      <c r="N244" s="233" t="str">
        <f>IFERROR(COUNTIF($C$18:C244,C244)&amp;CHOOSE(MIN(4,COUNTIF($C$18:C244,C244)),"st","nd","rd","th"),"")</f>
        <v/>
      </c>
    </row>
    <row r="245" spans="8:14" x14ac:dyDescent="0.25">
      <c r="H245" s="245" t="str">
        <f t="shared" si="3"/>
        <v/>
      </c>
      <c r="N245" s="233" t="str">
        <f>IFERROR(COUNTIF($C$18:C245,C245)&amp;CHOOSE(MIN(4,COUNTIF($C$18:C245,C245)),"st","nd","rd","th"),"")</f>
        <v/>
      </c>
    </row>
    <row r="246" spans="8:14" x14ac:dyDescent="0.25">
      <c r="H246" s="245" t="str">
        <f t="shared" si="3"/>
        <v/>
      </c>
      <c r="N246" s="233" t="str">
        <f>IFERROR(COUNTIF($C$18:C246,C246)&amp;CHOOSE(MIN(4,COUNTIF($C$18:C246,C246)),"st","nd","rd","th"),"")</f>
        <v/>
      </c>
    </row>
    <row r="247" spans="8:14" x14ac:dyDescent="0.25">
      <c r="H247" s="245" t="str">
        <f t="shared" si="3"/>
        <v/>
      </c>
      <c r="N247" s="233" t="str">
        <f>IFERROR(COUNTIF($C$18:C247,C247)&amp;CHOOSE(MIN(4,COUNTIF($C$18:C247,C247)),"st","nd","rd","th"),"")</f>
        <v/>
      </c>
    </row>
    <row r="248" spans="8:14" x14ac:dyDescent="0.25">
      <c r="H248" s="245" t="str">
        <f t="shared" si="3"/>
        <v/>
      </c>
      <c r="N248" s="233" t="str">
        <f>IFERROR(COUNTIF($C$18:C248,C248)&amp;CHOOSE(MIN(4,COUNTIF($C$18:C248,C248)),"st","nd","rd","th"),"")</f>
        <v/>
      </c>
    </row>
    <row r="249" spans="8:14" x14ac:dyDescent="0.25">
      <c r="H249" s="245" t="str">
        <f t="shared" si="3"/>
        <v/>
      </c>
      <c r="N249" s="233" t="str">
        <f>IFERROR(COUNTIF($C$18:C249,C249)&amp;CHOOSE(MIN(4,COUNTIF($C$18:C249,C249)),"st","nd","rd","th"),"")</f>
        <v/>
      </c>
    </row>
    <row r="250" spans="8:14" x14ac:dyDescent="0.25">
      <c r="H250" s="245" t="str">
        <f t="shared" si="3"/>
        <v/>
      </c>
      <c r="N250" s="233" t="str">
        <f>IFERROR(COUNTIF($C$18:C250,C250)&amp;CHOOSE(MIN(4,COUNTIF($C$18:C250,C250)),"st","nd","rd","th"),"")</f>
        <v/>
      </c>
    </row>
    <row r="251" spans="8:14" x14ac:dyDescent="0.25">
      <c r="H251" s="245" t="str">
        <f t="shared" si="3"/>
        <v/>
      </c>
      <c r="N251" s="233" t="str">
        <f>IFERROR(COUNTIF($C$18:C251,C251)&amp;CHOOSE(MIN(4,COUNTIF($C$18:C251,C251)),"st","nd","rd","th"),"")</f>
        <v/>
      </c>
    </row>
    <row r="252" spans="8:14" x14ac:dyDescent="0.25">
      <c r="H252" s="245" t="str">
        <f t="shared" si="3"/>
        <v/>
      </c>
      <c r="N252" s="233" t="str">
        <f>IFERROR(COUNTIF($C$18:C252,C252)&amp;CHOOSE(MIN(4,COUNTIF($C$18:C252,C252)),"st","nd","rd","th"),"")</f>
        <v/>
      </c>
    </row>
    <row r="253" spans="8:14" x14ac:dyDescent="0.25">
      <c r="H253" s="245" t="str">
        <f t="shared" si="3"/>
        <v/>
      </c>
      <c r="N253" s="233" t="str">
        <f>IFERROR(COUNTIF($C$18:C253,C253)&amp;CHOOSE(MIN(4,COUNTIF($C$18:C253,C253)),"st","nd","rd","th"),"")</f>
        <v/>
      </c>
    </row>
    <row r="254" spans="8:14" x14ac:dyDescent="0.25">
      <c r="H254" s="245" t="str">
        <f t="shared" si="3"/>
        <v/>
      </c>
      <c r="N254" s="233" t="str">
        <f>IFERROR(COUNTIF($C$18:C254,C254)&amp;CHOOSE(MIN(4,COUNTIF($C$18:C254,C254)),"st","nd","rd","th"),"")</f>
        <v/>
      </c>
    </row>
    <row r="255" spans="8:14" x14ac:dyDescent="0.25">
      <c r="H255" s="245" t="str">
        <f t="shared" si="3"/>
        <v/>
      </c>
      <c r="N255" s="233" t="str">
        <f>IFERROR(COUNTIF($C$18:C255,C255)&amp;CHOOSE(MIN(4,COUNTIF($C$18:C255,C255)),"st","nd","rd","th"),"")</f>
        <v/>
      </c>
    </row>
    <row r="256" spans="8:14" x14ac:dyDescent="0.25">
      <c r="H256" s="245" t="str">
        <f t="shared" si="3"/>
        <v/>
      </c>
      <c r="N256" s="233" t="str">
        <f>IFERROR(COUNTIF($C$18:C256,C256)&amp;CHOOSE(MIN(4,COUNTIF($C$18:C256,C256)),"st","nd","rd","th"),"")</f>
        <v/>
      </c>
    </row>
    <row r="257" spans="8:14" x14ac:dyDescent="0.25">
      <c r="H257" s="245" t="str">
        <f t="shared" si="3"/>
        <v/>
      </c>
      <c r="N257" s="233" t="str">
        <f>IFERROR(COUNTIF($C$18:C257,C257)&amp;CHOOSE(MIN(4,COUNTIF($C$18:C257,C257)),"st","nd","rd","th"),"")</f>
        <v/>
      </c>
    </row>
    <row r="258" spans="8:14" x14ac:dyDescent="0.25">
      <c r="H258" s="245" t="str">
        <f t="shared" si="3"/>
        <v/>
      </c>
      <c r="N258" s="233" t="str">
        <f>IFERROR(COUNTIF($C$18:C258,C258)&amp;CHOOSE(MIN(4,COUNTIF($C$18:C258,C258)),"st","nd","rd","th"),"")</f>
        <v/>
      </c>
    </row>
    <row r="259" spans="8:14" x14ac:dyDescent="0.25">
      <c r="H259" s="245" t="str">
        <f t="shared" si="3"/>
        <v/>
      </c>
      <c r="N259" s="233" t="str">
        <f>IFERROR(COUNTIF($C$18:C259,C259)&amp;CHOOSE(MIN(4,COUNTIF($C$18:C259,C259)),"st","nd","rd","th"),"")</f>
        <v/>
      </c>
    </row>
    <row r="260" spans="8:14" x14ac:dyDescent="0.25">
      <c r="H260" s="245" t="str">
        <f t="shared" si="3"/>
        <v/>
      </c>
      <c r="N260" s="233" t="str">
        <f>IFERROR(COUNTIF($C$18:C260,C260)&amp;CHOOSE(MIN(4,COUNTIF($C$18:C260,C260)),"st","nd","rd","th"),"")</f>
        <v/>
      </c>
    </row>
    <row r="261" spans="8:14" x14ac:dyDescent="0.25">
      <c r="H261" s="245" t="str">
        <f t="shared" si="3"/>
        <v/>
      </c>
      <c r="N261" s="233" t="str">
        <f>IFERROR(COUNTIF($C$18:C261,C261)&amp;CHOOSE(MIN(4,COUNTIF($C$18:C261,C261)),"st","nd","rd","th"),"")</f>
        <v/>
      </c>
    </row>
    <row r="262" spans="8:14" x14ac:dyDescent="0.25">
      <c r="H262" s="245" t="str">
        <f t="shared" si="3"/>
        <v/>
      </c>
      <c r="N262" s="233" t="str">
        <f>IFERROR(COUNTIF($C$18:C262,C262)&amp;CHOOSE(MIN(4,COUNTIF($C$18:C262,C262)),"st","nd","rd","th"),"")</f>
        <v/>
      </c>
    </row>
    <row r="263" spans="8:14" x14ac:dyDescent="0.25">
      <c r="H263" s="245" t="str">
        <f t="shared" si="3"/>
        <v/>
      </c>
      <c r="N263" s="233" t="str">
        <f>IFERROR(COUNTIF($C$18:C263,C263)&amp;CHOOSE(MIN(4,COUNTIF($C$18:C263,C263)),"st","nd","rd","th"),"")</f>
        <v/>
      </c>
    </row>
    <row r="264" spans="8:14" x14ac:dyDescent="0.25">
      <c r="H264" s="245" t="str">
        <f t="shared" si="3"/>
        <v/>
      </c>
      <c r="N264" s="233" t="str">
        <f>IFERROR(COUNTIF($C$18:C264,C264)&amp;CHOOSE(MIN(4,COUNTIF($C$18:C264,C264)),"st","nd","rd","th"),"")</f>
        <v/>
      </c>
    </row>
    <row r="265" spans="8:14" x14ac:dyDescent="0.25">
      <c r="H265" s="245" t="str">
        <f t="shared" si="3"/>
        <v/>
      </c>
      <c r="N265" s="233" t="str">
        <f>IFERROR(COUNTIF($C$18:C265,C265)&amp;CHOOSE(MIN(4,COUNTIF($C$18:C265,C265)),"st","nd","rd","th"),"")</f>
        <v/>
      </c>
    </row>
    <row r="266" spans="8:14" x14ac:dyDescent="0.25">
      <c r="H266" s="245" t="str">
        <f t="shared" si="3"/>
        <v/>
      </c>
      <c r="N266" s="233" t="str">
        <f>IFERROR(COUNTIF($C$18:C266,C266)&amp;CHOOSE(MIN(4,COUNTIF($C$18:C266,C266)),"st","nd","rd","th"),"")</f>
        <v/>
      </c>
    </row>
    <row r="267" spans="8:14" x14ac:dyDescent="0.25">
      <c r="H267" s="245" t="str">
        <f t="shared" si="3"/>
        <v/>
      </c>
      <c r="N267" s="233" t="str">
        <f>IFERROR(COUNTIF($C$18:C267,C267)&amp;CHOOSE(MIN(4,COUNTIF($C$18:C267,C267)),"st","nd","rd","th"),"")</f>
        <v/>
      </c>
    </row>
    <row r="268" spans="8:14" x14ac:dyDescent="0.25">
      <c r="H268" s="245" t="str">
        <f t="shared" si="3"/>
        <v/>
      </c>
      <c r="N268" s="233" t="str">
        <f>IFERROR(COUNTIF($C$18:C268,C268)&amp;CHOOSE(MIN(4,COUNTIF($C$18:C268,C268)),"st","nd","rd","th"),"")</f>
        <v/>
      </c>
    </row>
    <row r="269" spans="8:14" x14ac:dyDescent="0.25">
      <c r="H269" s="245" t="str">
        <f t="shared" si="3"/>
        <v/>
      </c>
      <c r="N269" s="233" t="str">
        <f>IFERROR(COUNTIF($C$18:C269,C269)&amp;CHOOSE(MIN(4,COUNTIF($C$18:C269,C269)),"st","nd","rd","th"),"")</f>
        <v/>
      </c>
    </row>
    <row r="270" spans="8:14" x14ac:dyDescent="0.25">
      <c r="H270" s="245" t="str">
        <f t="shared" si="3"/>
        <v/>
      </c>
      <c r="N270" s="233" t="str">
        <f>IFERROR(COUNTIF($C$18:C270,C270)&amp;CHOOSE(MIN(4,COUNTIF($C$18:C270,C270)),"st","nd","rd","th"),"")</f>
        <v/>
      </c>
    </row>
    <row r="271" spans="8:14" x14ac:dyDescent="0.25">
      <c r="H271" s="245" t="str">
        <f t="shared" ref="H271:H334" si="4">IF(OR(ISBLANK(G271), ISBLANK(F271)), "", IF(G271=F271, 1, SUM(_xlfn.DAYS(G271, F271), 1)))</f>
        <v/>
      </c>
      <c r="N271" s="233" t="str">
        <f>IFERROR(COUNTIF($C$18:C271,C271)&amp;CHOOSE(MIN(4,COUNTIF($C$18:C271,C271)),"st","nd","rd","th"),"")</f>
        <v/>
      </c>
    </row>
    <row r="272" spans="8:14" x14ac:dyDescent="0.25">
      <c r="H272" s="245" t="str">
        <f t="shared" si="4"/>
        <v/>
      </c>
      <c r="N272" s="233" t="str">
        <f>IFERROR(COUNTIF($C$18:C272,C272)&amp;CHOOSE(MIN(4,COUNTIF($C$18:C272,C272)),"st","nd","rd","th"),"")</f>
        <v/>
      </c>
    </row>
    <row r="273" spans="8:14" x14ac:dyDescent="0.25">
      <c r="H273" s="245" t="str">
        <f t="shared" si="4"/>
        <v/>
      </c>
      <c r="N273" s="233" t="str">
        <f>IFERROR(COUNTIF($C$18:C273,C273)&amp;CHOOSE(MIN(4,COUNTIF($C$18:C273,C273)),"st","nd","rd","th"),"")</f>
        <v/>
      </c>
    </row>
    <row r="274" spans="8:14" x14ac:dyDescent="0.25">
      <c r="H274" s="245" t="str">
        <f t="shared" si="4"/>
        <v/>
      </c>
      <c r="N274" s="233" t="str">
        <f>IFERROR(COUNTIF($C$18:C274,C274)&amp;CHOOSE(MIN(4,COUNTIF($C$18:C274,C274)),"st","nd","rd","th"),"")</f>
        <v/>
      </c>
    </row>
    <row r="275" spans="8:14" x14ac:dyDescent="0.25">
      <c r="H275" s="245" t="str">
        <f t="shared" si="4"/>
        <v/>
      </c>
      <c r="N275" s="233" t="str">
        <f>IFERROR(COUNTIF($C$18:C275,C275)&amp;CHOOSE(MIN(4,COUNTIF($C$18:C275,C275)),"st","nd","rd","th"),"")</f>
        <v/>
      </c>
    </row>
    <row r="276" spans="8:14" x14ac:dyDescent="0.25">
      <c r="H276" s="245" t="str">
        <f t="shared" si="4"/>
        <v/>
      </c>
      <c r="N276" s="233" t="str">
        <f>IFERROR(COUNTIF($C$18:C276,C276)&amp;CHOOSE(MIN(4,COUNTIF($C$18:C276,C276)),"st","nd","rd","th"),"")</f>
        <v/>
      </c>
    </row>
    <row r="277" spans="8:14" x14ac:dyDescent="0.25">
      <c r="H277" s="245" t="str">
        <f t="shared" si="4"/>
        <v/>
      </c>
      <c r="N277" s="233" t="str">
        <f>IFERROR(COUNTIF($C$18:C277,C277)&amp;CHOOSE(MIN(4,COUNTIF($C$18:C277,C277)),"st","nd","rd","th"),"")</f>
        <v/>
      </c>
    </row>
    <row r="278" spans="8:14" x14ac:dyDescent="0.25">
      <c r="H278" s="245" t="str">
        <f t="shared" si="4"/>
        <v/>
      </c>
      <c r="N278" s="233" t="str">
        <f>IFERROR(COUNTIF($C$18:C278,C278)&amp;CHOOSE(MIN(4,COUNTIF($C$18:C278,C278)),"st","nd","rd","th"),"")</f>
        <v/>
      </c>
    </row>
    <row r="279" spans="8:14" x14ac:dyDescent="0.25">
      <c r="H279" s="245" t="str">
        <f t="shared" si="4"/>
        <v/>
      </c>
      <c r="N279" s="233" t="str">
        <f>IFERROR(COUNTIF($C$18:C279,C279)&amp;CHOOSE(MIN(4,COUNTIF($C$18:C279,C279)),"st","nd","rd","th"),"")</f>
        <v/>
      </c>
    </row>
    <row r="280" spans="8:14" x14ac:dyDescent="0.25">
      <c r="H280" s="245" t="str">
        <f t="shared" si="4"/>
        <v/>
      </c>
      <c r="N280" s="233" t="str">
        <f>IFERROR(COUNTIF($C$18:C280,C280)&amp;CHOOSE(MIN(4,COUNTIF($C$18:C280,C280)),"st","nd","rd","th"),"")</f>
        <v/>
      </c>
    </row>
    <row r="281" spans="8:14" x14ac:dyDescent="0.25">
      <c r="H281" s="245" t="str">
        <f t="shared" si="4"/>
        <v/>
      </c>
      <c r="N281" s="233" t="str">
        <f>IFERROR(COUNTIF($C$18:C281,C281)&amp;CHOOSE(MIN(4,COUNTIF($C$18:C281,C281)),"st","nd","rd","th"),"")</f>
        <v/>
      </c>
    </row>
    <row r="282" spans="8:14" x14ac:dyDescent="0.25">
      <c r="H282" s="245" t="str">
        <f t="shared" si="4"/>
        <v/>
      </c>
      <c r="N282" s="233" t="str">
        <f>IFERROR(COUNTIF($C$18:C282,C282)&amp;CHOOSE(MIN(4,COUNTIF($C$18:C282,C282)),"st","nd","rd","th"),"")</f>
        <v/>
      </c>
    </row>
    <row r="283" spans="8:14" x14ac:dyDescent="0.25">
      <c r="H283" s="245" t="str">
        <f t="shared" si="4"/>
        <v/>
      </c>
      <c r="N283" s="233" t="str">
        <f>IFERROR(COUNTIF($C$18:C283,C283)&amp;CHOOSE(MIN(4,COUNTIF($C$18:C283,C283)),"st","nd","rd","th"),"")</f>
        <v/>
      </c>
    </row>
    <row r="284" spans="8:14" x14ac:dyDescent="0.25">
      <c r="H284" s="245" t="str">
        <f t="shared" si="4"/>
        <v/>
      </c>
      <c r="N284" s="233" t="str">
        <f>IFERROR(COUNTIF($C$18:C284,C284)&amp;CHOOSE(MIN(4,COUNTIF($C$18:C284,C284)),"st","nd","rd","th"),"")</f>
        <v/>
      </c>
    </row>
    <row r="285" spans="8:14" x14ac:dyDescent="0.25">
      <c r="H285" s="245" t="str">
        <f t="shared" si="4"/>
        <v/>
      </c>
      <c r="N285" s="233" t="str">
        <f>IFERROR(COUNTIF($C$18:C285,C285)&amp;CHOOSE(MIN(4,COUNTIF($C$18:C285,C285)),"st","nd","rd","th"),"")</f>
        <v/>
      </c>
    </row>
    <row r="286" spans="8:14" x14ac:dyDescent="0.25">
      <c r="H286" s="245" t="str">
        <f t="shared" si="4"/>
        <v/>
      </c>
      <c r="N286" s="233" t="str">
        <f>IFERROR(COUNTIF($C$18:C286,C286)&amp;CHOOSE(MIN(4,COUNTIF($C$18:C286,C286)),"st","nd","rd","th"),"")</f>
        <v/>
      </c>
    </row>
    <row r="287" spans="8:14" x14ac:dyDescent="0.25">
      <c r="H287" s="245" t="str">
        <f t="shared" si="4"/>
        <v/>
      </c>
      <c r="N287" s="233" t="str">
        <f>IFERROR(COUNTIF($C$18:C287,C287)&amp;CHOOSE(MIN(4,COUNTIF($C$18:C287,C287)),"st","nd","rd","th"),"")</f>
        <v/>
      </c>
    </row>
    <row r="288" spans="8:14" x14ac:dyDescent="0.25">
      <c r="H288" s="245" t="str">
        <f t="shared" si="4"/>
        <v/>
      </c>
      <c r="N288" s="233" t="str">
        <f>IFERROR(COUNTIF($C$18:C288,C288)&amp;CHOOSE(MIN(4,COUNTIF($C$18:C288,C288)),"st","nd","rd","th"),"")</f>
        <v/>
      </c>
    </row>
    <row r="289" spans="8:14" x14ac:dyDescent="0.25">
      <c r="H289" s="245" t="str">
        <f t="shared" si="4"/>
        <v/>
      </c>
      <c r="N289" s="233" t="str">
        <f>IFERROR(COUNTIF($C$18:C289,C289)&amp;CHOOSE(MIN(4,COUNTIF($C$18:C289,C289)),"st","nd","rd","th"),"")</f>
        <v/>
      </c>
    </row>
    <row r="290" spans="8:14" x14ac:dyDescent="0.25">
      <c r="H290" s="245" t="str">
        <f t="shared" si="4"/>
        <v/>
      </c>
      <c r="N290" s="233" t="str">
        <f>IFERROR(COUNTIF($C$18:C290,C290)&amp;CHOOSE(MIN(4,COUNTIF($C$18:C290,C290)),"st","nd","rd","th"),"")</f>
        <v/>
      </c>
    </row>
    <row r="291" spans="8:14" x14ac:dyDescent="0.25">
      <c r="H291" s="245" t="str">
        <f t="shared" si="4"/>
        <v/>
      </c>
      <c r="N291" s="233" t="str">
        <f>IFERROR(COUNTIF($C$18:C291,C291)&amp;CHOOSE(MIN(4,COUNTIF($C$18:C291,C291)),"st","nd","rd","th"),"")</f>
        <v/>
      </c>
    </row>
    <row r="292" spans="8:14" x14ac:dyDescent="0.25">
      <c r="H292" s="245" t="str">
        <f t="shared" si="4"/>
        <v/>
      </c>
      <c r="N292" s="233" t="str">
        <f>IFERROR(COUNTIF($C$18:C292,C292)&amp;CHOOSE(MIN(4,COUNTIF($C$18:C292,C292)),"st","nd","rd","th"),"")</f>
        <v/>
      </c>
    </row>
    <row r="293" spans="8:14" x14ac:dyDescent="0.25">
      <c r="H293" s="245" t="str">
        <f t="shared" si="4"/>
        <v/>
      </c>
      <c r="N293" s="233" t="str">
        <f>IFERROR(COUNTIF($C$18:C293,C293)&amp;CHOOSE(MIN(4,COUNTIF($C$18:C293,C293)),"st","nd","rd","th"),"")</f>
        <v/>
      </c>
    </row>
    <row r="294" spans="8:14" x14ac:dyDescent="0.25">
      <c r="H294" s="245" t="str">
        <f t="shared" si="4"/>
        <v/>
      </c>
      <c r="N294" s="233" t="str">
        <f>IFERROR(COUNTIF($C$18:C294,C294)&amp;CHOOSE(MIN(4,COUNTIF($C$18:C294,C294)),"st","nd","rd","th"),"")</f>
        <v/>
      </c>
    </row>
    <row r="295" spans="8:14" x14ac:dyDescent="0.25">
      <c r="H295" s="245" t="str">
        <f t="shared" si="4"/>
        <v/>
      </c>
      <c r="N295" s="233" t="str">
        <f>IFERROR(COUNTIF($C$18:C295,C295)&amp;CHOOSE(MIN(4,COUNTIF($C$18:C295,C295)),"st","nd","rd","th"),"")</f>
        <v/>
      </c>
    </row>
    <row r="296" spans="8:14" x14ac:dyDescent="0.25">
      <c r="H296" s="245" t="str">
        <f t="shared" si="4"/>
        <v/>
      </c>
      <c r="N296" s="233" t="str">
        <f>IFERROR(COUNTIF($C$18:C296,C296)&amp;CHOOSE(MIN(4,COUNTIF($C$18:C296,C296)),"st","nd","rd","th"),"")</f>
        <v/>
      </c>
    </row>
    <row r="297" spans="8:14" x14ac:dyDescent="0.25">
      <c r="H297" s="245" t="str">
        <f t="shared" si="4"/>
        <v/>
      </c>
      <c r="N297" s="233" t="str">
        <f>IFERROR(COUNTIF($C$18:C297,C297)&amp;CHOOSE(MIN(4,COUNTIF($C$18:C297,C297)),"st","nd","rd","th"),"")</f>
        <v/>
      </c>
    </row>
    <row r="298" spans="8:14" x14ac:dyDescent="0.25">
      <c r="H298" s="245" t="str">
        <f t="shared" si="4"/>
        <v/>
      </c>
      <c r="N298" s="233" t="str">
        <f>IFERROR(COUNTIF($C$18:C298,C298)&amp;CHOOSE(MIN(4,COUNTIF($C$18:C298,C298)),"st","nd","rd","th"),"")</f>
        <v/>
      </c>
    </row>
    <row r="299" spans="8:14" x14ac:dyDescent="0.25">
      <c r="H299" s="245" t="str">
        <f t="shared" si="4"/>
        <v/>
      </c>
      <c r="N299" s="233" t="str">
        <f>IFERROR(COUNTIF($C$18:C299,C299)&amp;CHOOSE(MIN(4,COUNTIF($C$18:C299,C299)),"st","nd","rd","th"),"")</f>
        <v/>
      </c>
    </row>
    <row r="300" spans="8:14" x14ac:dyDescent="0.25">
      <c r="H300" s="245" t="str">
        <f t="shared" si="4"/>
        <v/>
      </c>
      <c r="N300" s="233" t="str">
        <f>IFERROR(COUNTIF($C$18:C300,C300)&amp;CHOOSE(MIN(4,COUNTIF($C$18:C300,C300)),"st","nd","rd","th"),"")</f>
        <v/>
      </c>
    </row>
    <row r="301" spans="8:14" x14ac:dyDescent="0.25">
      <c r="H301" s="245" t="str">
        <f t="shared" si="4"/>
        <v/>
      </c>
      <c r="N301" s="233" t="str">
        <f>IFERROR(COUNTIF($C$18:C301,C301)&amp;CHOOSE(MIN(4,COUNTIF($C$18:C301,C301)),"st","nd","rd","th"),"")</f>
        <v/>
      </c>
    </row>
    <row r="302" spans="8:14" x14ac:dyDescent="0.25">
      <c r="H302" s="245" t="str">
        <f t="shared" si="4"/>
        <v/>
      </c>
      <c r="N302" s="233" t="str">
        <f>IFERROR(COUNTIF($C$18:C302,C302)&amp;CHOOSE(MIN(4,COUNTIF($C$18:C302,C302)),"st","nd","rd","th"),"")</f>
        <v/>
      </c>
    </row>
    <row r="303" spans="8:14" x14ac:dyDescent="0.25">
      <c r="H303" s="245" t="str">
        <f t="shared" si="4"/>
        <v/>
      </c>
      <c r="N303" s="233" t="str">
        <f>IFERROR(COUNTIF($C$18:C303,C303)&amp;CHOOSE(MIN(4,COUNTIF($C$18:C303,C303)),"st","nd","rd","th"),"")</f>
        <v/>
      </c>
    </row>
    <row r="304" spans="8:14" x14ac:dyDescent="0.25">
      <c r="H304" s="245" t="str">
        <f t="shared" si="4"/>
        <v/>
      </c>
      <c r="N304" s="233" t="str">
        <f>IFERROR(COUNTIF($C$18:C304,C304)&amp;CHOOSE(MIN(4,COUNTIF($C$18:C304,C304)),"st","nd","rd","th"),"")</f>
        <v/>
      </c>
    </row>
    <row r="305" spans="8:14" x14ac:dyDescent="0.25">
      <c r="H305" s="245" t="str">
        <f t="shared" si="4"/>
        <v/>
      </c>
      <c r="N305" s="233" t="str">
        <f>IFERROR(COUNTIF($C$18:C305,C305)&amp;CHOOSE(MIN(4,COUNTIF($C$18:C305,C305)),"st","nd","rd","th"),"")</f>
        <v/>
      </c>
    </row>
    <row r="306" spans="8:14" x14ac:dyDescent="0.25">
      <c r="H306" s="245" t="str">
        <f t="shared" si="4"/>
        <v/>
      </c>
      <c r="N306" s="233" t="str">
        <f>IFERROR(COUNTIF($C$18:C306,C306)&amp;CHOOSE(MIN(4,COUNTIF($C$18:C306,C306)),"st","nd","rd","th"),"")</f>
        <v/>
      </c>
    </row>
    <row r="307" spans="8:14" x14ac:dyDescent="0.25">
      <c r="H307" s="245" t="str">
        <f t="shared" si="4"/>
        <v/>
      </c>
      <c r="N307" s="233" t="str">
        <f>IFERROR(COUNTIF($C$18:C307,C307)&amp;CHOOSE(MIN(4,COUNTIF($C$18:C307,C307)),"st","nd","rd","th"),"")</f>
        <v/>
      </c>
    </row>
    <row r="308" spans="8:14" x14ac:dyDescent="0.25">
      <c r="H308" s="245" t="str">
        <f t="shared" si="4"/>
        <v/>
      </c>
      <c r="N308" s="233" t="str">
        <f>IFERROR(COUNTIF($C$18:C308,C308)&amp;CHOOSE(MIN(4,COUNTIF($C$18:C308,C308)),"st","nd","rd","th"),"")</f>
        <v/>
      </c>
    </row>
    <row r="309" spans="8:14" x14ac:dyDescent="0.25">
      <c r="H309" s="245" t="str">
        <f t="shared" si="4"/>
        <v/>
      </c>
      <c r="N309" s="233" t="str">
        <f>IFERROR(COUNTIF($C$18:C309,C309)&amp;CHOOSE(MIN(4,COUNTIF($C$18:C309,C309)),"st","nd","rd","th"),"")</f>
        <v/>
      </c>
    </row>
    <row r="310" spans="8:14" x14ac:dyDescent="0.25">
      <c r="H310" s="245" t="str">
        <f t="shared" si="4"/>
        <v/>
      </c>
      <c r="N310" s="233" t="str">
        <f>IFERROR(COUNTIF($C$18:C310,C310)&amp;CHOOSE(MIN(4,COUNTIF($C$18:C310,C310)),"st","nd","rd","th"),"")</f>
        <v/>
      </c>
    </row>
    <row r="311" spans="8:14" x14ac:dyDescent="0.25">
      <c r="H311" s="245" t="str">
        <f t="shared" si="4"/>
        <v/>
      </c>
      <c r="N311" s="233" t="str">
        <f>IFERROR(COUNTIF($C$18:C311,C311)&amp;CHOOSE(MIN(4,COUNTIF($C$18:C311,C311)),"st","nd","rd","th"),"")</f>
        <v/>
      </c>
    </row>
    <row r="312" spans="8:14" x14ac:dyDescent="0.25">
      <c r="H312" s="245" t="str">
        <f t="shared" si="4"/>
        <v/>
      </c>
      <c r="N312" s="233" t="str">
        <f>IFERROR(COUNTIF($C$18:C312,C312)&amp;CHOOSE(MIN(4,COUNTIF($C$18:C312,C312)),"st","nd","rd","th"),"")</f>
        <v/>
      </c>
    </row>
    <row r="313" spans="8:14" x14ac:dyDescent="0.25">
      <c r="H313" s="245" t="str">
        <f t="shared" si="4"/>
        <v/>
      </c>
      <c r="N313" s="233" t="str">
        <f>IFERROR(COUNTIF($C$18:C313,C313)&amp;CHOOSE(MIN(4,COUNTIF($C$18:C313,C313)),"st","nd","rd","th"),"")</f>
        <v/>
      </c>
    </row>
    <row r="314" spans="8:14" x14ac:dyDescent="0.25">
      <c r="H314" s="245" t="str">
        <f t="shared" si="4"/>
        <v/>
      </c>
      <c r="N314" s="233" t="str">
        <f>IFERROR(COUNTIF($C$18:C314,C314)&amp;CHOOSE(MIN(4,COUNTIF($C$18:C314,C314)),"st","nd","rd","th"),"")</f>
        <v/>
      </c>
    </row>
    <row r="315" spans="8:14" x14ac:dyDescent="0.25">
      <c r="H315" s="245" t="str">
        <f t="shared" si="4"/>
        <v/>
      </c>
      <c r="N315" s="233" t="str">
        <f>IFERROR(COUNTIF($C$18:C315,C315)&amp;CHOOSE(MIN(4,COUNTIF($C$18:C315,C315)),"st","nd","rd","th"),"")</f>
        <v/>
      </c>
    </row>
    <row r="316" spans="8:14" x14ac:dyDescent="0.25">
      <c r="H316" s="245" t="str">
        <f t="shared" si="4"/>
        <v/>
      </c>
      <c r="N316" s="233" t="str">
        <f>IFERROR(COUNTIF($C$18:C316,C316)&amp;CHOOSE(MIN(4,COUNTIF($C$18:C316,C316)),"st","nd","rd","th"),"")</f>
        <v/>
      </c>
    </row>
    <row r="317" spans="8:14" x14ac:dyDescent="0.25">
      <c r="H317" s="245" t="str">
        <f t="shared" si="4"/>
        <v/>
      </c>
      <c r="N317" s="233" t="str">
        <f>IFERROR(COUNTIF($C$18:C317,C317)&amp;CHOOSE(MIN(4,COUNTIF($C$18:C317,C317)),"st","nd","rd","th"),"")</f>
        <v/>
      </c>
    </row>
    <row r="318" spans="8:14" x14ac:dyDescent="0.25">
      <c r="H318" s="245" t="str">
        <f t="shared" si="4"/>
        <v/>
      </c>
      <c r="N318" s="233" t="str">
        <f>IFERROR(COUNTIF($C$18:C318,C318)&amp;CHOOSE(MIN(4,COUNTIF($C$18:C318,C318)),"st","nd","rd","th"),"")</f>
        <v/>
      </c>
    </row>
    <row r="319" spans="8:14" x14ac:dyDescent="0.25">
      <c r="H319" s="245" t="str">
        <f t="shared" si="4"/>
        <v/>
      </c>
      <c r="N319" s="233" t="str">
        <f>IFERROR(COUNTIF($C$18:C319,C319)&amp;CHOOSE(MIN(4,COUNTIF($C$18:C319,C319)),"st","nd","rd","th"),"")</f>
        <v/>
      </c>
    </row>
    <row r="320" spans="8:14" x14ac:dyDescent="0.25">
      <c r="H320" s="245" t="str">
        <f t="shared" si="4"/>
        <v/>
      </c>
      <c r="N320" s="233" t="str">
        <f>IFERROR(COUNTIF($C$18:C320,C320)&amp;CHOOSE(MIN(4,COUNTIF($C$18:C320,C320)),"st","nd","rd","th"),"")</f>
        <v/>
      </c>
    </row>
    <row r="321" spans="8:14" x14ac:dyDescent="0.25">
      <c r="H321" s="245" t="str">
        <f t="shared" si="4"/>
        <v/>
      </c>
      <c r="N321" s="233" t="str">
        <f>IFERROR(COUNTIF($C$18:C321,C321)&amp;CHOOSE(MIN(4,COUNTIF($C$18:C321,C321)),"st","nd","rd","th"),"")</f>
        <v/>
      </c>
    </row>
    <row r="322" spans="8:14" x14ac:dyDescent="0.25">
      <c r="H322" s="245" t="str">
        <f t="shared" si="4"/>
        <v/>
      </c>
      <c r="N322" s="233" t="str">
        <f>IFERROR(COUNTIF($C$18:C322,C322)&amp;CHOOSE(MIN(4,COUNTIF($C$18:C322,C322)),"st","nd","rd","th"),"")</f>
        <v/>
      </c>
    </row>
    <row r="323" spans="8:14" x14ac:dyDescent="0.25">
      <c r="H323" s="245" t="str">
        <f t="shared" si="4"/>
        <v/>
      </c>
      <c r="N323" s="233" t="str">
        <f>IFERROR(COUNTIF($C$18:C323,C323)&amp;CHOOSE(MIN(4,COUNTIF($C$18:C323,C323)),"st","nd","rd","th"),"")</f>
        <v/>
      </c>
    </row>
    <row r="324" spans="8:14" x14ac:dyDescent="0.25">
      <c r="H324" s="245" t="str">
        <f t="shared" si="4"/>
        <v/>
      </c>
      <c r="N324" s="233" t="str">
        <f>IFERROR(COUNTIF($C$18:C324,C324)&amp;CHOOSE(MIN(4,COUNTIF($C$18:C324,C324)),"st","nd","rd","th"),"")</f>
        <v/>
      </c>
    </row>
    <row r="325" spans="8:14" x14ac:dyDescent="0.25">
      <c r="H325" s="245" t="str">
        <f t="shared" si="4"/>
        <v/>
      </c>
      <c r="N325" s="233" t="str">
        <f>IFERROR(COUNTIF($C$18:C325,C325)&amp;CHOOSE(MIN(4,COUNTIF($C$18:C325,C325)),"st","nd","rd","th"),"")</f>
        <v/>
      </c>
    </row>
    <row r="326" spans="8:14" x14ac:dyDescent="0.25">
      <c r="H326" s="245" t="str">
        <f t="shared" si="4"/>
        <v/>
      </c>
      <c r="N326" s="233" t="str">
        <f>IFERROR(COUNTIF($C$18:C326,C326)&amp;CHOOSE(MIN(4,COUNTIF($C$18:C326,C326)),"st","nd","rd","th"),"")</f>
        <v/>
      </c>
    </row>
    <row r="327" spans="8:14" x14ac:dyDescent="0.25">
      <c r="H327" s="245" t="str">
        <f t="shared" si="4"/>
        <v/>
      </c>
      <c r="N327" s="233" t="str">
        <f>IFERROR(COUNTIF($C$18:C327,C327)&amp;CHOOSE(MIN(4,COUNTIF($C$18:C327,C327)),"st","nd","rd","th"),"")</f>
        <v/>
      </c>
    </row>
    <row r="328" spans="8:14" x14ac:dyDescent="0.25">
      <c r="H328" s="245" t="str">
        <f t="shared" si="4"/>
        <v/>
      </c>
      <c r="N328" s="233" t="str">
        <f>IFERROR(COUNTIF($C$18:C328,C328)&amp;CHOOSE(MIN(4,COUNTIF($C$18:C328,C328)),"st","nd","rd","th"),"")</f>
        <v/>
      </c>
    </row>
    <row r="329" spans="8:14" x14ac:dyDescent="0.25">
      <c r="H329" s="245" t="str">
        <f t="shared" si="4"/>
        <v/>
      </c>
      <c r="N329" s="233" t="str">
        <f>IFERROR(COUNTIF($C$18:C329,C329)&amp;CHOOSE(MIN(4,COUNTIF($C$18:C329,C329)),"st","nd","rd","th"),"")</f>
        <v/>
      </c>
    </row>
    <row r="330" spans="8:14" x14ac:dyDescent="0.25">
      <c r="H330" s="245" t="str">
        <f t="shared" si="4"/>
        <v/>
      </c>
      <c r="N330" s="233" t="str">
        <f>IFERROR(COUNTIF($C$18:C330,C330)&amp;CHOOSE(MIN(4,COUNTIF($C$18:C330,C330)),"st","nd","rd","th"),"")</f>
        <v/>
      </c>
    </row>
    <row r="331" spans="8:14" x14ac:dyDescent="0.25">
      <c r="H331" s="245" t="str">
        <f t="shared" si="4"/>
        <v/>
      </c>
      <c r="N331" s="233" t="str">
        <f>IFERROR(COUNTIF($C$18:C331,C331)&amp;CHOOSE(MIN(4,COUNTIF($C$18:C331,C331)),"st","nd","rd","th"),"")</f>
        <v/>
      </c>
    </row>
    <row r="332" spans="8:14" x14ac:dyDescent="0.25">
      <c r="H332" s="245" t="str">
        <f t="shared" si="4"/>
        <v/>
      </c>
      <c r="N332" s="233" t="str">
        <f>IFERROR(COUNTIF($C$18:C332,C332)&amp;CHOOSE(MIN(4,COUNTIF($C$18:C332,C332)),"st","nd","rd","th"),"")</f>
        <v/>
      </c>
    </row>
    <row r="333" spans="8:14" x14ac:dyDescent="0.25">
      <c r="H333" s="245" t="str">
        <f t="shared" si="4"/>
        <v/>
      </c>
      <c r="N333" s="233" t="str">
        <f>IFERROR(COUNTIF($C$18:C333,C333)&amp;CHOOSE(MIN(4,COUNTIF($C$18:C333,C333)),"st","nd","rd","th"),"")</f>
        <v/>
      </c>
    </row>
    <row r="334" spans="8:14" x14ac:dyDescent="0.25">
      <c r="H334" s="245" t="str">
        <f t="shared" si="4"/>
        <v/>
      </c>
      <c r="N334" s="233" t="str">
        <f>IFERROR(COUNTIF($C$18:C334,C334)&amp;CHOOSE(MIN(4,COUNTIF($C$18:C334,C334)),"st","nd","rd","th"),"")</f>
        <v/>
      </c>
    </row>
    <row r="335" spans="8:14" x14ac:dyDescent="0.25">
      <c r="H335" s="245" t="str">
        <f t="shared" ref="H335:H398" si="5">IF(OR(ISBLANK(G335), ISBLANK(F335)), "", IF(G335=F335, 1, SUM(_xlfn.DAYS(G335, F335), 1)))</f>
        <v/>
      </c>
      <c r="N335" s="233" t="str">
        <f>IFERROR(COUNTIF($C$18:C335,C335)&amp;CHOOSE(MIN(4,COUNTIF($C$18:C335,C335)),"st","nd","rd","th"),"")</f>
        <v/>
      </c>
    </row>
    <row r="336" spans="8:14" x14ac:dyDescent="0.25">
      <c r="H336" s="245" t="str">
        <f t="shared" si="5"/>
        <v/>
      </c>
      <c r="N336" s="233" t="str">
        <f>IFERROR(COUNTIF($C$18:C336,C336)&amp;CHOOSE(MIN(4,COUNTIF($C$18:C336,C336)),"st","nd","rd","th"),"")</f>
        <v/>
      </c>
    </row>
    <row r="337" spans="8:14" x14ac:dyDescent="0.25">
      <c r="H337" s="245" t="str">
        <f t="shared" si="5"/>
        <v/>
      </c>
      <c r="N337" s="233" t="str">
        <f>IFERROR(COUNTIF($C$18:C337,C337)&amp;CHOOSE(MIN(4,COUNTIF($C$18:C337,C337)),"st","nd","rd","th"),"")</f>
        <v/>
      </c>
    </row>
    <row r="338" spans="8:14" x14ac:dyDescent="0.25">
      <c r="H338" s="245" t="str">
        <f t="shared" si="5"/>
        <v/>
      </c>
      <c r="N338" s="233" t="str">
        <f>IFERROR(COUNTIF($C$18:C338,C338)&amp;CHOOSE(MIN(4,COUNTIF($C$18:C338,C338)),"st","nd","rd","th"),"")</f>
        <v/>
      </c>
    </row>
    <row r="339" spans="8:14" x14ac:dyDescent="0.25">
      <c r="H339" s="245" t="str">
        <f t="shared" si="5"/>
        <v/>
      </c>
      <c r="N339" s="233" t="str">
        <f>IFERROR(COUNTIF($C$18:C339,C339)&amp;CHOOSE(MIN(4,COUNTIF($C$18:C339,C339)),"st","nd","rd","th"),"")</f>
        <v/>
      </c>
    </row>
    <row r="340" spans="8:14" x14ac:dyDescent="0.25">
      <c r="H340" s="245" t="str">
        <f t="shared" si="5"/>
        <v/>
      </c>
      <c r="N340" s="233" t="str">
        <f>IFERROR(COUNTIF($C$18:C340,C340)&amp;CHOOSE(MIN(4,COUNTIF($C$18:C340,C340)),"st","nd","rd","th"),"")</f>
        <v/>
      </c>
    </row>
    <row r="341" spans="8:14" x14ac:dyDescent="0.25">
      <c r="H341" s="245" t="str">
        <f t="shared" si="5"/>
        <v/>
      </c>
      <c r="N341" s="233" t="str">
        <f>IFERROR(COUNTIF($C$18:C341,C341)&amp;CHOOSE(MIN(4,COUNTIF($C$18:C341,C341)),"st","nd","rd","th"),"")</f>
        <v/>
      </c>
    </row>
    <row r="342" spans="8:14" x14ac:dyDescent="0.25">
      <c r="H342" s="245" t="str">
        <f t="shared" si="5"/>
        <v/>
      </c>
      <c r="N342" s="233" t="str">
        <f>IFERROR(COUNTIF($C$18:C342,C342)&amp;CHOOSE(MIN(4,COUNTIF($C$18:C342,C342)),"st","nd","rd","th"),"")</f>
        <v/>
      </c>
    </row>
    <row r="343" spans="8:14" x14ac:dyDescent="0.25">
      <c r="H343" s="245" t="str">
        <f t="shared" si="5"/>
        <v/>
      </c>
      <c r="N343" s="233" t="str">
        <f>IFERROR(COUNTIF($C$18:C343,C343)&amp;CHOOSE(MIN(4,COUNTIF($C$18:C343,C343)),"st","nd","rd","th"),"")</f>
        <v/>
      </c>
    </row>
    <row r="344" spans="8:14" x14ac:dyDescent="0.25">
      <c r="H344" s="245" t="str">
        <f t="shared" si="5"/>
        <v/>
      </c>
      <c r="N344" s="233" t="str">
        <f>IFERROR(COUNTIF($C$18:C344,C344)&amp;CHOOSE(MIN(4,COUNTIF($C$18:C344,C344)),"st","nd","rd","th"),"")</f>
        <v/>
      </c>
    </row>
    <row r="345" spans="8:14" x14ac:dyDescent="0.25">
      <c r="H345" s="245" t="str">
        <f t="shared" si="5"/>
        <v/>
      </c>
      <c r="N345" s="233" t="str">
        <f>IFERROR(COUNTIF($C$18:C345,C345)&amp;CHOOSE(MIN(4,COUNTIF($C$18:C345,C345)),"st","nd","rd","th"),"")</f>
        <v/>
      </c>
    </row>
    <row r="346" spans="8:14" x14ac:dyDescent="0.25">
      <c r="H346" s="245" t="str">
        <f t="shared" si="5"/>
        <v/>
      </c>
      <c r="N346" s="233" t="str">
        <f>IFERROR(COUNTIF($C$18:C346,C346)&amp;CHOOSE(MIN(4,COUNTIF($C$18:C346,C346)),"st","nd","rd","th"),"")</f>
        <v/>
      </c>
    </row>
    <row r="347" spans="8:14" x14ac:dyDescent="0.25">
      <c r="H347" s="245" t="str">
        <f t="shared" si="5"/>
        <v/>
      </c>
      <c r="N347" s="233" t="str">
        <f>IFERROR(COUNTIF($C$18:C347,C347)&amp;CHOOSE(MIN(4,COUNTIF($C$18:C347,C347)),"st","nd","rd","th"),"")</f>
        <v/>
      </c>
    </row>
    <row r="348" spans="8:14" x14ac:dyDescent="0.25">
      <c r="H348" s="245" t="str">
        <f t="shared" si="5"/>
        <v/>
      </c>
      <c r="N348" s="233" t="str">
        <f>IFERROR(COUNTIF($C$18:C348,C348)&amp;CHOOSE(MIN(4,COUNTIF($C$18:C348,C348)),"st","nd","rd","th"),"")</f>
        <v/>
      </c>
    </row>
    <row r="349" spans="8:14" x14ac:dyDescent="0.25">
      <c r="H349" s="245" t="str">
        <f t="shared" si="5"/>
        <v/>
      </c>
      <c r="N349" s="233" t="str">
        <f>IFERROR(COUNTIF($C$18:C349,C349)&amp;CHOOSE(MIN(4,COUNTIF($C$18:C349,C349)),"st","nd","rd","th"),"")</f>
        <v/>
      </c>
    </row>
    <row r="350" spans="8:14" x14ac:dyDescent="0.25">
      <c r="H350" s="245" t="str">
        <f t="shared" si="5"/>
        <v/>
      </c>
      <c r="N350" s="233" t="str">
        <f>IFERROR(COUNTIF($C$18:C350,C350)&amp;CHOOSE(MIN(4,COUNTIF($C$18:C350,C350)),"st","nd","rd","th"),"")</f>
        <v/>
      </c>
    </row>
    <row r="351" spans="8:14" x14ac:dyDescent="0.25">
      <c r="H351" s="245" t="str">
        <f t="shared" si="5"/>
        <v/>
      </c>
      <c r="N351" s="233" t="str">
        <f>IFERROR(COUNTIF($C$18:C351,C351)&amp;CHOOSE(MIN(4,COUNTIF($C$18:C351,C351)),"st","nd","rd","th"),"")</f>
        <v/>
      </c>
    </row>
    <row r="352" spans="8:14" x14ac:dyDescent="0.25">
      <c r="H352" s="245" t="str">
        <f t="shared" si="5"/>
        <v/>
      </c>
      <c r="N352" s="233" t="str">
        <f>IFERROR(COUNTIF($C$18:C352,C352)&amp;CHOOSE(MIN(4,COUNTIF($C$18:C352,C352)),"st","nd","rd","th"),"")</f>
        <v/>
      </c>
    </row>
    <row r="353" spans="8:14" x14ac:dyDescent="0.25">
      <c r="H353" s="245" t="str">
        <f t="shared" si="5"/>
        <v/>
      </c>
      <c r="N353" s="233" t="str">
        <f>IFERROR(COUNTIF($C$18:C353,C353)&amp;CHOOSE(MIN(4,COUNTIF($C$18:C353,C353)),"st","nd","rd","th"),"")</f>
        <v/>
      </c>
    </row>
    <row r="354" spans="8:14" x14ac:dyDescent="0.25">
      <c r="H354" s="245" t="str">
        <f t="shared" si="5"/>
        <v/>
      </c>
      <c r="N354" s="233" t="str">
        <f>IFERROR(COUNTIF($C$18:C354,C354)&amp;CHOOSE(MIN(4,COUNTIF($C$18:C354,C354)),"st","nd","rd","th"),"")</f>
        <v/>
      </c>
    </row>
    <row r="355" spans="8:14" x14ac:dyDescent="0.25">
      <c r="H355" s="245" t="str">
        <f t="shared" si="5"/>
        <v/>
      </c>
      <c r="N355" s="233" t="str">
        <f>IFERROR(COUNTIF($C$18:C355,C355)&amp;CHOOSE(MIN(4,COUNTIF($C$18:C355,C355)),"st","nd","rd","th"),"")</f>
        <v/>
      </c>
    </row>
    <row r="356" spans="8:14" x14ac:dyDescent="0.25">
      <c r="H356" s="245" t="str">
        <f t="shared" si="5"/>
        <v/>
      </c>
      <c r="N356" s="233" t="str">
        <f>IFERROR(COUNTIF($C$18:C356,C356)&amp;CHOOSE(MIN(4,COUNTIF($C$18:C356,C356)),"st","nd","rd","th"),"")</f>
        <v/>
      </c>
    </row>
    <row r="357" spans="8:14" x14ac:dyDescent="0.25">
      <c r="H357" s="245" t="str">
        <f t="shared" si="5"/>
        <v/>
      </c>
      <c r="N357" s="233" t="str">
        <f>IFERROR(COUNTIF($C$18:C357,C357)&amp;CHOOSE(MIN(4,COUNTIF($C$18:C357,C357)),"st","nd","rd","th"),"")</f>
        <v/>
      </c>
    </row>
    <row r="358" spans="8:14" x14ac:dyDescent="0.25">
      <c r="H358" s="245" t="str">
        <f t="shared" si="5"/>
        <v/>
      </c>
      <c r="N358" s="233" t="str">
        <f>IFERROR(COUNTIF($C$18:C358,C358)&amp;CHOOSE(MIN(4,COUNTIF($C$18:C358,C358)),"st","nd","rd","th"),"")</f>
        <v/>
      </c>
    </row>
    <row r="359" spans="8:14" x14ac:dyDescent="0.25">
      <c r="H359" s="245" t="str">
        <f t="shared" si="5"/>
        <v/>
      </c>
      <c r="N359" s="233" t="str">
        <f>IFERROR(COUNTIF($C$18:C359,C359)&amp;CHOOSE(MIN(4,COUNTIF($C$18:C359,C359)),"st","nd","rd","th"),"")</f>
        <v/>
      </c>
    </row>
    <row r="360" spans="8:14" x14ac:dyDescent="0.25">
      <c r="H360" s="245" t="str">
        <f t="shared" si="5"/>
        <v/>
      </c>
      <c r="N360" s="233" t="str">
        <f>IFERROR(COUNTIF($C$18:C360,C360)&amp;CHOOSE(MIN(4,COUNTIF($C$18:C360,C360)),"st","nd","rd","th"),"")</f>
        <v/>
      </c>
    </row>
    <row r="361" spans="8:14" x14ac:dyDescent="0.25">
      <c r="H361" s="245" t="str">
        <f t="shared" si="5"/>
        <v/>
      </c>
      <c r="N361" s="233" t="str">
        <f>IFERROR(COUNTIF($C$18:C361,C361)&amp;CHOOSE(MIN(4,COUNTIF($C$18:C361,C361)),"st","nd","rd","th"),"")</f>
        <v/>
      </c>
    </row>
    <row r="362" spans="8:14" x14ac:dyDescent="0.25">
      <c r="H362" s="245" t="str">
        <f t="shared" si="5"/>
        <v/>
      </c>
      <c r="N362" s="233" t="str">
        <f>IFERROR(COUNTIF($C$18:C362,C362)&amp;CHOOSE(MIN(4,COUNTIF($C$18:C362,C362)),"st","nd","rd","th"),"")</f>
        <v/>
      </c>
    </row>
    <row r="363" spans="8:14" x14ac:dyDescent="0.25">
      <c r="H363" s="245" t="str">
        <f t="shared" si="5"/>
        <v/>
      </c>
      <c r="N363" s="233" t="str">
        <f>IFERROR(COUNTIF($C$18:C363,C363)&amp;CHOOSE(MIN(4,COUNTIF($C$18:C363,C363)),"st","nd","rd","th"),"")</f>
        <v/>
      </c>
    </row>
    <row r="364" spans="8:14" x14ac:dyDescent="0.25">
      <c r="H364" s="245" t="str">
        <f t="shared" si="5"/>
        <v/>
      </c>
      <c r="N364" s="233" t="str">
        <f>IFERROR(COUNTIF($C$18:C364,C364)&amp;CHOOSE(MIN(4,COUNTIF($C$18:C364,C364)),"st","nd","rd","th"),"")</f>
        <v/>
      </c>
    </row>
    <row r="365" spans="8:14" x14ac:dyDescent="0.25">
      <c r="H365" s="245" t="str">
        <f t="shared" si="5"/>
        <v/>
      </c>
      <c r="N365" s="233" t="str">
        <f>IFERROR(COUNTIF($C$18:C365,C365)&amp;CHOOSE(MIN(4,COUNTIF($C$18:C365,C365)),"st","nd","rd","th"),"")</f>
        <v/>
      </c>
    </row>
    <row r="366" spans="8:14" x14ac:dyDescent="0.25">
      <c r="H366" s="245" t="str">
        <f t="shared" si="5"/>
        <v/>
      </c>
      <c r="N366" s="233" t="str">
        <f>IFERROR(COUNTIF($C$18:C366,C366)&amp;CHOOSE(MIN(4,COUNTIF($C$18:C366,C366)),"st","nd","rd","th"),"")</f>
        <v/>
      </c>
    </row>
    <row r="367" spans="8:14" x14ac:dyDescent="0.25">
      <c r="H367" s="245" t="str">
        <f t="shared" si="5"/>
        <v/>
      </c>
      <c r="N367" s="233" t="str">
        <f>IFERROR(COUNTIF($C$18:C367,C367)&amp;CHOOSE(MIN(4,COUNTIF($C$18:C367,C367)),"st","nd","rd","th"),"")</f>
        <v/>
      </c>
    </row>
    <row r="368" spans="8:14" x14ac:dyDescent="0.25">
      <c r="H368" s="245" t="str">
        <f t="shared" si="5"/>
        <v/>
      </c>
      <c r="N368" s="233" t="str">
        <f>IFERROR(COUNTIF($C$18:C368,C368)&amp;CHOOSE(MIN(4,COUNTIF($C$18:C368,C368)),"st","nd","rd","th"),"")</f>
        <v/>
      </c>
    </row>
    <row r="369" spans="8:14" x14ac:dyDescent="0.25">
      <c r="H369" s="245" t="str">
        <f t="shared" si="5"/>
        <v/>
      </c>
      <c r="N369" s="233" t="str">
        <f>IFERROR(COUNTIF($C$18:C369,C369)&amp;CHOOSE(MIN(4,COUNTIF($C$18:C369,C369)),"st","nd","rd","th"),"")</f>
        <v/>
      </c>
    </row>
    <row r="370" spans="8:14" x14ac:dyDescent="0.25">
      <c r="H370" s="245" t="str">
        <f t="shared" si="5"/>
        <v/>
      </c>
      <c r="N370" s="233" t="str">
        <f>IFERROR(COUNTIF($C$18:C370,C370)&amp;CHOOSE(MIN(4,COUNTIF($C$18:C370,C370)),"st","nd","rd","th"),"")</f>
        <v/>
      </c>
    </row>
    <row r="371" spans="8:14" x14ac:dyDescent="0.25">
      <c r="H371" s="245" t="str">
        <f t="shared" si="5"/>
        <v/>
      </c>
      <c r="N371" s="233" t="str">
        <f>IFERROR(COUNTIF($C$18:C371,C371)&amp;CHOOSE(MIN(4,COUNTIF($C$18:C371,C371)),"st","nd","rd","th"),"")</f>
        <v/>
      </c>
    </row>
    <row r="372" spans="8:14" x14ac:dyDescent="0.25">
      <c r="H372" s="245" t="str">
        <f t="shared" si="5"/>
        <v/>
      </c>
      <c r="N372" s="233" t="str">
        <f>IFERROR(COUNTIF($C$18:C372,C372)&amp;CHOOSE(MIN(4,COUNTIF($C$18:C372,C372)),"st","nd","rd","th"),"")</f>
        <v/>
      </c>
    </row>
    <row r="373" spans="8:14" x14ac:dyDescent="0.25">
      <c r="H373" s="245" t="str">
        <f t="shared" si="5"/>
        <v/>
      </c>
      <c r="N373" s="233" t="str">
        <f>IFERROR(COUNTIF($C$18:C373,C373)&amp;CHOOSE(MIN(4,COUNTIF($C$18:C373,C373)),"st","nd","rd","th"),"")</f>
        <v/>
      </c>
    </row>
    <row r="374" spans="8:14" x14ac:dyDescent="0.25">
      <c r="H374" s="245" t="str">
        <f t="shared" si="5"/>
        <v/>
      </c>
      <c r="N374" s="233" t="str">
        <f>IFERROR(COUNTIF($C$18:C374,C374)&amp;CHOOSE(MIN(4,COUNTIF($C$18:C374,C374)),"st","nd","rd","th"),"")</f>
        <v/>
      </c>
    </row>
    <row r="375" spans="8:14" x14ac:dyDescent="0.25">
      <c r="H375" s="245" t="str">
        <f t="shared" si="5"/>
        <v/>
      </c>
      <c r="N375" s="233" t="str">
        <f>IFERROR(COUNTIF($C$18:C375,C375)&amp;CHOOSE(MIN(4,COUNTIF($C$18:C375,C375)),"st","nd","rd","th"),"")</f>
        <v/>
      </c>
    </row>
    <row r="376" spans="8:14" x14ac:dyDescent="0.25">
      <c r="H376" s="245" t="str">
        <f t="shared" si="5"/>
        <v/>
      </c>
      <c r="N376" s="233" t="str">
        <f>IFERROR(COUNTIF($C$18:C376,C376)&amp;CHOOSE(MIN(4,COUNTIF($C$18:C376,C376)),"st","nd","rd","th"),"")</f>
        <v/>
      </c>
    </row>
    <row r="377" spans="8:14" x14ac:dyDescent="0.25">
      <c r="H377" s="245" t="str">
        <f t="shared" si="5"/>
        <v/>
      </c>
      <c r="N377" s="233" t="str">
        <f>IFERROR(COUNTIF($C$18:C377,C377)&amp;CHOOSE(MIN(4,COUNTIF($C$18:C377,C377)),"st","nd","rd","th"),"")</f>
        <v/>
      </c>
    </row>
    <row r="378" spans="8:14" x14ac:dyDescent="0.25">
      <c r="H378" s="245" t="str">
        <f t="shared" si="5"/>
        <v/>
      </c>
      <c r="N378" s="233" t="str">
        <f>IFERROR(COUNTIF($C$18:C378,C378)&amp;CHOOSE(MIN(4,COUNTIF($C$18:C378,C378)),"st","nd","rd","th"),"")</f>
        <v/>
      </c>
    </row>
    <row r="379" spans="8:14" x14ac:dyDescent="0.25">
      <c r="H379" s="245" t="str">
        <f t="shared" si="5"/>
        <v/>
      </c>
      <c r="N379" s="233" t="str">
        <f>IFERROR(COUNTIF($C$18:C379,C379)&amp;CHOOSE(MIN(4,COUNTIF($C$18:C379,C379)),"st","nd","rd","th"),"")</f>
        <v/>
      </c>
    </row>
    <row r="380" spans="8:14" x14ac:dyDescent="0.25">
      <c r="H380" s="245" t="str">
        <f t="shared" si="5"/>
        <v/>
      </c>
      <c r="N380" s="233" t="str">
        <f>IFERROR(COUNTIF($C$18:C380,C380)&amp;CHOOSE(MIN(4,COUNTIF($C$18:C380,C380)),"st","nd","rd","th"),"")</f>
        <v/>
      </c>
    </row>
    <row r="381" spans="8:14" x14ac:dyDescent="0.25">
      <c r="H381" s="245" t="str">
        <f t="shared" si="5"/>
        <v/>
      </c>
      <c r="N381" s="233" t="str">
        <f>IFERROR(COUNTIF($C$18:C381,C381)&amp;CHOOSE(MIN(4,COUNTIF($C$18:C381,C381)),"st","nd","rd","th"),"")</f>
        <v/>
      </c>
    </row>
    <row r="382" spans="8:14" x14ac:dyDescent="0.25">
      <c r="H382" s="245" t="str">
        <f t="shared" si="5"/>
        <v/>
      </c>
      <c r="N382" s="233" t="str">
        <f>IFERROR(COUNTIF($C$18:C382,C382)&amp;CHOOSE(MIN(4,COUNTIF($C$18:C382,C382)),"st","nd","rd","th"),"")</f>
        <v/>
      </c>
    </row>
    <row r="383" spans="8:14" x14ac:dyDescent="0.25">
      <c r="H383" s="245" t="str">
        <f t="shared" si="5"/>
        <v/>
      </c>
      <c r="N383" s="233" t="str">
        <f>IFERROR(COUNTIF($C$18:C383,C383)&amp;CHOOSE(MIN(4,COUNTIF($C$18:C383,C383)),"st","nd","rd","th"),"")</f>
        <v/>
      </c>
    </row>
    <row r="384" spans="8:14" x14ac:dyDescent="0.25">
      <c r="H384" s="245" t="str">
        <f t="shared" si="5"/>
        <v/>
      </c>
      <c r="N384" s="233" t="str">
        <f>IFERROR(COUNTIF($C$18:C384,C384)&amp;CHOOSE(MIN(4,COUNTIF($C$18:C384,C384)),"st","nd","rd","th"),"")</f>
        <v/>
      </c>
    </row>
    <row r="385" spans="8:14" x14ac:dyDescent="0.25">
      <c r="H385" s="245" t="str">
        <f t="shared" si="5"/>
        <v/>
      </c>
      <c r="N385" s="233" t="str">
        <f>IFERROR(COUNTIF($C$18:C385,C385)&amp;CHOOSE(MIN(4,COUNTIF($C$18:C385,C385)),"st","nd","rd","th"),"")</f>
        <v/>
      </c>
    </row>
    <row r="386" spans="8:14" x14ac:dyDescent="0.25">
      <c r="H386" s="245" t="str">
        <f t="shared" si="5"/>
        <v/>
      </c>
      <c r="N386" s="233" t="str">
        <f>IFERROR(COUNTIF($C$18:C386,C386)&amp;CHOOSE(MIN(4,COUNTIF($C$18:C386,C386)),"st","nd","rd","th"),"")</f>
        <v/>
      </c>
    </row>
    <row r="387" spans="8:14" x14ac:dyDescent="0.25">
      <c r="H387" s="245" t="str">
        <f t="shared" si="5"/>
        <v/>
      </c>
      <c r="N387" s="233" t="str">
        <f>IFERROR(COUNTIF($C$18:C387,C387)&amp;CHOOSE(MIN(4,COUNTIF($C$18:C387,C387)),"st","nd","rd","th"),"")</f>
        <v/>
      </c>
    </row>
    <row r="388" spans="8:14" x14ac:dyDescent="0.25">
      <c r="H388" s="245" t="str">
        <f t="shared" si="5"/>
        <v/>
      </c>
      <c r="N388" s="233" t="str">
        <f>IFERROR(COUNTIF($C$18:C388,C388)&amp;CHOOSE(MIN(4,COUNTIF($C$18:C388,C388)),"st","nd","rd","th"),"")</f>
        <v/>
      </c>
    </row>
    <row r="389" spans="8:14" x14ac:dyDescent="0.25">
      <c r="H389" s="245" t="str">
        <f t="shared" si="5"/>
        <v/>
      </c>
      <c r="N389" s="233" t="str">
        <f>IFERROR(COUNTIF($C$18:C389,C389)&amp;CHOOSE(MIN(4,COUNTIF($C$18:C389,C389)),"st","nd","rd","th"),"")</f>
        <v/>
      </c>
    </row>
    <row r="390" spans="8:14" x14ac:dyDescent="0.25">
      <c r="H390" s="245" t="str">
        <f t="shared" si="5"/>
        <v/>
      </c>
      <c r="N390" s="233" t="str">
        <f>IFERROR(COUNTIF($C$18:C390,C390)&amp;CHOOSE(MIN(4,COUNTIF($C$18:C390,C390)),"st","nd","rd","th"),"")</f>
        <v/>
      </c>
    </row>
    <row r="391" spans="8:14" x14ac:dyDescent="0.25">
      <c r="H391" s="245" t="str">
        <f t="shared" si="5"/>
        <v/>
      </c>
      <c r="N391" s="233" t="str">
        <f>IFERROR(COUNTIF($C$18:C391,C391)&amp;CHOOSE(MIN(4,COUNTIF($C$18:C391,C391)),"st","nd","rd","th"),"")</f>
        <v/>
      </c>
    </row>
    <row r="392" spans="8:14" x14ac:dyDescent="0.25">
      <c r="H392" s="245" t="str">
        <f t="shared" si="5"/>
        <v/>
      </c>
      <c r="N392" s="233" t="str">
        <f>IFERROR(COUNTIF($C$18:C392,C392)&amp;CHOOSE(MIN(4,COUNTIF($C$18:C392,C392)),"st","nd","rd","th"),"")</f>
        <v/>
      </c>
    </row>
    <row r="393" spans="8:14" x14ac:dyDescent="0.25">
      <c r="H393" s="245" t="str">
        <f t="shared" si="5"/>
        <v/>
      </c>
      <c r="N393" s="233" t="str">
        <f>IFERROR(COUNTIF($C$18:C393,C393)&amp;CHOOSE(MIN(4,COUNTIF($C$18:C393,C393)),"st","nd","rd","th"),"")</f>
        <v/>
      </c>
    </row>
    <row r="394" spans="8:14" x14ac:dyDescent="0.25">
      <c r="H394" s="245" t="str">
        <f t="shared" si="5"/>
        <v/>
      </c>
      <c r="N394" s="233" t="str">
        <f>IFERROR(COUNTIF($C$18:C394,C394)&amp;CHOOSE(MIN(4,COUNTIF($C$18:C394,C394)),"st","nd","rd","th"),"")</f>
        <v/>
      </c>
    </row>
    <row r="395" spans="8:14" x14ac:dyDescent="0.25">
      <c r="H395" s="245" t="str">
        <f t="shared" si="5"/>
        <v/>
      </c>
      <c r="N395" s="233" t="str">
        <f>IFERROR(COUNTIF($C$18:C395,C395)&amp;CHOOSE(MIN(4,COUNTIF($C$18:C395,C395)),"st","nd","rd","th"),"")</f>
        <v/>
      </c>
    </row>
    <row r="396" spans="8:14" x14ac:dyDescent="0.25">
      <c r="H396" s="245" t="str">
        <f t="shared" si="5"/>
        <v/>
      </c>
      <c r="N396" s="233" t="str">
        <f>IFERROR(COUNTIF($C$18:C396,C396)&amp;CHOOSE(MIN(4,COUNTIF($C$18:C396,C396)),"st","nd","rd","th"),"")</f>
        <v/>
      </c>
    </row>
    <row r="397" spans="8:14" x14ac:dyDescent="0.25">
      <c r="H397" s="245" t="str">
        <f t="shared" si="5"/>
        <v/>
      </c>
      <c r="N397" s="233" t="str">
        <f>IFERROR(COUNTIF($C$18:C397,C397)&amp;CHOOSE(MIN(4,COUNTIF($C$18:C397,C397)),"st","nd","rd","th"),"")</f>
        <v/>
      </c>
    </row>
    <row r="398" spans="8:14" x14ac:dyDescent="0.25">
      <c r="H398" s="245" t="str">
        <f t="shared" si="5"/>
        <v/>
      </c>
      <c r="N398" s="233" t="str">
        <f>IFERROR(COUNTIF($C$18:C398,C398)&amp;CHOOSE(MIN(4,COUNTIF($C$18:C398,C398)),"st","nd","rd","th"),"")</f>
        <v/>
      </c>
    </row>
    <row r="399" spans="8:14" x14ac:dyDescent="0.25">
      <c r="H399" s="245" t="str">
        <f t="shared" ref="H399:H462" si="6">IF(OR(ISBLANK(G399), ISBLANK(F399)), "", IF(G399=F399, 1, SUM(_xlfn.DAYS(G399, F399), 1)))</f>
        <v/>
      </c>
      <c r="N399" s="233" t="str">
        <f>IFERROR(COUNTIF($C$18:C399,C399)&amp;CHOOSE(MIN(4,COUNTIF($C$18:C399,C399)),"st","nd","rd","th"),"")</f>
        <v/>
      </c>
    </row>
    <row r="400" spans="8:14" x14ac:dyDescent="0.25">
      <c r="H400" s="245" t="str">
        <f t="shared" si="6"/>
        <v/>
      </c>
      <c r="N400" s="233" t="str">
        <f>IFERROR(COUNTIF($C$18:C400,C400)&amp;CHOOSE(MIN(4,COUNTIF($C$18:C400,C400)),"st","nd","rd","th"),"")</f>
        <v/>
      </c>
    </row>
    <row r="401" spans="8:14" x14ac:dyDescent="0.25">
      <c r="H401" s="245" t="str">
        <f t="shared" si="6"/>
        <v/>
      </c>
      <c r="N401" s="233" t="str">
        <f>IFERROR(COUNTIF($C$18:C401,C401)&amp;CHOOSE(MIN(4,COUNTIF($C$18:C401,C401)),"st","nd","rd","th"),"")</f>
        <v/>
      </c>
    </row>
    <row r="402" spans="8:14" x14ac:dyDescent="0.25">
      <c r="H402" s="245" t="str">
        <f t="shared" si="6"/>
        <v/>
      </c>
      <c r="N402" s="233" t="str">
        <f>IFERROR(COUNTIF($C$18:C402,C402)&amp;CHOOSE(MIN(4,COUNTIF($C$18:C402,C402)),"st","nd","rd","th"),"")</f>
        <v/>
      </c>
    </row>
    <row r="403" spans="8:14" x14ac:dyDescent="0.25">
      <c r="H403" s="245" t="str">
        <f t="shared" si="6"/>
        <v/>
      </c>
      <c r="N403" s="233" t="str">
        <f>IFERROR(COUNTIF($C$18:C403,C403)&amp;CHOOSE(MIN(4,COUNTIF($C$18:C403,C403)),"st","nd","rd","th"),"")</f>
        <v/>
      </c>
    </row>
    <row r="404" spans="8:14" x14ac:dyDescent="0.25">
      <c r="H404" s="245" t="str">
        <f t="shared" si="6"/>
        <v/>
      </c>
      <c r="N404" s="233" t="str">
        <f>IFERROR(COUNTIF($C$18:C404,C404)&amp;CHOOSE(MIN(4,COUNTIF($C$18:C404,C404)),"st","nd","rd","th"),"")</f>
        <v/>
      </c>
    </row>
    <row r="405" spans="8:14" x14ac:dyDescent="0.25">
      <c r="H405" s="245" t="str">
        <f t="shared" si="6"/>
        <v/>
      </c>
      <c r="N405" s="233" t="str">
        <f>IFERROR(COUNTIF($C$18:C405,C405)&amp;CHOOSE(MIN(4,COUNTIF($C$18:C405,C405)),"st","nd","rd","th"),"")</f>
        <v/>
      </c>
    </row>
    <row r="406" spans="8:14" x14ac:dyDescent="0.25">
      <c r="H406" s="245" t="str">
        <f t="shared" si="6"/>
        <v/>
      </c>
      <c r="N406" s="233" t="str">
        <f>IFERROR(COUNTIF($C$18:C406,C406)&amp;CHOOSE(MIN(4,COUNTIF($C$18:C406,C406)),"st","nd","rd","th"),"")</f>
        <v/>
      </c>
    </row>
    <row r="407" spans="8:14" x14ac:dyDescent="0.25">
      <c r="H407" s="245" t="str">
        <f t="shared" si="6"/>
        <v/>
      </c>
      <c r="N407" s="233" t="str">
        <f>IFERROR(COUNTIF($C$18:C407,C407)&amp;CHOOSE(MIN(4,COUNTIF($C$18:C407,C407)),"st","nd","rd","th"),"")</f>
        <v/>
      </c>
    </row>
    <row r="408" spans="8:14" x14ac:dyDescent="0.25">
      <c r="H408" s="245" t="str">
        <f t="shared" si="6"/>
        <v/>
      </c>
      <c r="N408" s="233" t="str">
        <f>IFERROR(COUNTIF($C$18:C408,C408)&amp;CHOOSE(MIN(4,COUNTIF($C$18:C408,C408)),"st","nd","rd","th"),"")</f>
        <v/>
      </c>
    </row>
    <row r="409" spans="8:14" x14ac:dyDescent="0.25">
      <c r="H409" s="245" t="str">
        <f t="shared" si="6"/>
        <v/>
      </c>
      <c r="N409" s="233" t="str">
        <f>IFERROR(COUNTIF($C$18:C409,C409)&amp;CHOOSE(MIN(4,COUNTIF($C$18:C409,C409)),"st","nd","rd","th"),"")</f>
        <v/>
      </c>
    </row>
    <row r="410" spans="8:14" x14ac:dyDescent="0.25">
      <c r="H410" s="245" t="str">
        <f t="shared" si="6"/>
        <v/>
      </c>
      <c r="N410" s="233" t="str">
        <f>IFERROR(COUNTIF($C$18:C410,C410)&amp;CHOOSE(MIN(4,COUNTIF($C$18:C410,C410)),"st","nd","rd","th"),"")</f>
        <v/>
      </c>
    </row>
    <row r="411" spans="8:14" x14ac:dyDescent="0.25">
      <c r="H411" s="245" t="str">
        <f t="shared" si="6"/>
        <v/>
      </c>
      <c r="N411" s="233" t="str">
        <f>IFERROR(COUNTIF($C$18:C411,C411)&amp;CHOOSE(MIN(4,COUNTIF($C$18:C411,C411)),"st","nd","rd","th"),"")</f>
        <v/>
      </c>
    </row>
    <row r="412" spans="8:14" x14ac:dyDescent="0.25">
      <c r="H412" s="245" t="str">
        <f t="shared" si="6"/>
        <v/>
      </c>
      <c r="N412" s="233" t="str">
        <f>IFERROR(COUNTIF($C$18:C412,C412)&amp;CHOOSE(MIN(4,COUNTIF($C$18:C412,C412)),"st","nd","rd","th"),"")</f>
        <v/>
      </c>
    </row>
    <row r="413" spans="8:14" x14ac:dyDescent="0.25">
      <c r="H413" s="245" t="str">
        <f t="shared" si="6"/>
        <v/>
      </c>
      <c r="N413" s="233" t="str">
        <f>IFERROR(COUNTIF($C$18:C413,C413)&amp;CHOOSE(MIN(4,COUNTIF($C$18:C413,C413)),"st","nd","rd","th"),"")</f>
        <v/>
      </c>
    </row>
    <row r="414" spans="8:14" x14ac:dyDescent="0.25">
      <c r="H414" s="245" t="str">
        <f t="shared" si="6"/>
        <v/>
      </c>
      <c r="N414" s="233" t="str">
        <f>IFERROR(COUNTIF($C$18:C414,C414)&amp;CHOOSE(MIN(4,COUNTIF($C$18:C414,C414)),"st","nd","rd","th"),"")</f>
        <v/>
      </c>
    </row>
    <row r="415" spans="8:14" x14ac:dyDescent="0.25">
      <c r="H415" s="245" t="str">
        <f t="shared" si="6"/>
        <v/>
      </c>
      <c r="N415" s="233" t="str">
        <f>IFERROR(COUNTIF($C$18:C415,C415)&amp;CHOOSE(MIN(4,COUNTIF($C$18:C415,C415)),"st","nd","rd","th"),"")</f>
        <v/>
      </c>
    </row>
    <row r="416" spans="8:14" x14ac:dyDescent="0.25">
      <c r="H416" s="245" t="str">
        <f t="shared" si="6"/>
        <v/>
      </c>
      <c r="N416" s="233" t="str">
        <f>IFERROR(COUNTIF($C$18:C416,C416)&amp;CHOOSE(MIN(4,COUNTIF($C$18:C416,C416)),"st","nd","rd","th"),"")</f>
        <v/>
      </c>
    </row>
    <row r="417" spans="8:14" x14ac:dyDescent="0.25">
      <c r="H417" s="245" t="str">
        <f t="shared" si="6"/>
        <v/>
      </c>
      <c r="N417" s="233" t="str">
        <f>IFERROR(COUNTIF($C$18:C417,C417)&amp;CHOOSE(MIN(4,COUNTIF($C$18:C417,C417)),"st","nd","rd","th"),"")</f>
        <v/>
      </c>
    </row>
    <row r="418" spans="8:14" x14ac:dyDescent="0.25">
      <c r="H418" s="245" t="str">
        <f t="shared" si="6"/>
        <v/>
      </c>
      <c r="N418" s="233" t="str">
        <f>IFERROR(COUNTIF($C$18:C418,C418)&amp;CHOOSE(MIN(4,COUNTIF($C$18:C418,C418)),"st","nd","rd","th"),"")</f>
        <v/>
      </c>
    </row>
    <row r="419" spans="8:14" x14ac:dyDescent="0.25">
      <c r="H419" s="245" t="str">
        <f t="shared" si="6"/>
        <v/>
      </c>
      <c r="N419" s="233" t="str">
        <f>IFERROR(COUNTIF($C$18:C419,C419)&amp;CHOOSE(MIN(4,COUNTIF($C$18:C419,C419)),"st","nd","rd","th"),"")</f>
        <v/>
      </c>
    </row>
    <row r="420" spans="8:14" x14ac:dyDescent="0.25">
      <c r="H420" s="245" t="str">
        <f t="shared" si="6"/>
        <v/>
      </c>
      <c r="N420" s="233" t="str">
        <f>IFERROR(COUNTIF($C$18:C420,C420)&amp;CHOOSE(MIN(4,COUNTIF($C$18:C420,C420)),"st","nd","rd","th"),"")</f>
        <v/>
      </c>
    </row>
    <row r="421" spans="8:14" x14ac:dyDescent="0.25">
      <c r="H421" s="245" t="str">
        <f t="shared" si="6"/>
        <v/>
      </c>
      <c r="N421" s="233" t="str">
        <f>IFERROR(COUNTIF($C$18:C421,C421)&amp;CHOOSE(MIN(4,COUNTIF($C$18:C421,C421)),"st","nd","rd","th"),"")</f>
        <v/>
      </c>
    </row>
    <row r="422" spans="8:14" x14ac:dyDescent="0.25">
      <c r="H422" s="245" t="str">
        <f t="shared" si="6"/>
        <v/>
      </c>
      <c r="N422" s="233" t="str">
        <f>IFERROR(COUNTIF($C$18:C422,C422)&amp;CHOOSE(MIN(4,COUNTIF($C$18:C422,C422)),"st","nd","rd","th"),"")</f>
        <v/>
      </c>
    </row>
    <row r="423" spans="8:14" x14ac:dyDescent="0.25">
      <c r="H423" s="245" t="str">
        <f t="shared" si="6"/>
        <v/>
      </c>
      <c r="N423" s="233" t="str">
        <f>IFERROR(COUNTIF($C$18:C423,C423)&amp;CHOOSE(MIN(4,COUNTIF($C$18:C423,C423)),"st","nd","rd","th"),"")</f>
        <v/>
      </c>
    </row>
    <row r="424" spans="8:14" x14ac:dyDescent="0.25">
      <c r="H424" s="245" t="str">
        <f t="shared" si="6"/>
        <v/>
      </c>
      <c r="N424" s="233" t="str">
        <f>IFERROR(COUNTIF($C$18:C424,C424)&amp;CHOOSE(MIN(4,COUNTIF($C$18:C424,C424)),"st","nd","rd","th"),"")</f>
        <v/>
      </c>
    </row>
    <row r="425" spans="8:14" x14ac:dyDescent="0.25">
      <c r="H425" s="245" t="str">
        <f t="shared" si="6"/>
        <v/>
      </c>
      <c r="N425" s="233" t="str">
        <f>IFERROR(COUNTIF($C$18:C425,C425)&amp;CHOOSE(MIN(4,COUNTIF($C$18:C425,C425)),"st","nd","rd","th"),"")</f>
        <v/>
      </c>
    </row>
    <row r="426" spans="8:14" x14ac:dyDescent="0.25">
      <c r="H426" s="245" t="str">
        <f t="shared" si="6"/>
        <v/>
      </c>
      <c r="N426" s="233" t="str">
        <f>IFERROR(COUNTIF($C$18:C426,C426)&amp;CHOOSE(MIN(4,COUNTIF($C$18:C426,C426)),"st","nd","rd","th"),"")</f>
        <v/>
      </c>
    </row>
    <row r="427" spans="8:14" x14ac:dyDescent="0.25">
      <c r="H427" s="245" t="str">
        <f t="shared" si="6"/>
        <v/>
      </c>
      <c r="N427" s="233" t="str">
        <f>IFERROR(COUNTIF($C$18:C427,C427)&amp;CHOOSE(MIN(4,COUNTIF($C$18:C427,C427)),"st","nd","rd","th"),"")</f>
        <v/>
      </c>
    </row>
    <row r="428" spans="8:14" x14ac:dyDescent="0.25">
      <c r="H428" s="245" t="str">
        <f t="shared" si="6"/>
        <v/>
      </c>
      <c r="N428" s="233" t="str">
        <f>IFERROR(COUNTIF($C$18:C428,C428)&amp;CHOOSE(MIN(4,COUNTIF($C$18:C428,C428)),"st","nd","rd","th"),"")</f>
        <v/>
      </c>
    </row>
    <row r="429" spans="8:14" x14ac:dyDescent="0.25">
      <c r="H429" s="245" t="str">
        <f t="shared" si="6"/>
        <v/>
      </c>
      <c r="N429" s="233" t="str">
        <f>IFERROR(COUNTIF($C$18:C429,C429)&amp;CHOOSE(MIN(4,COUNTIF($C$18:C429,C429)),"st","nd","rd","th"),"")</f>
        <v/>
      </c>
    </row>
    <row r="430" spans="8:14" x14ac:dyDescent="0.25">
      <c r="H430" s="245" t="str">
        <f t="shared" si="6"/>
        <v/>
      </c>
      <c r="N430" s="233" t="str">
        <f>IFERROR(COUNTIF($C$18:C430,C430)&amp;CHOOSE(MIN(4,COUNTIF($C$18:C430,C430)),"st","nd","rd","th"),"")</f>
        <v/>
      </c>
    </row>
    <row r="431" spans="8:14" x14ac:dyDescent="0.25">
      <c r="H431" s="245" t="str">
        <f t="shared" si="6"/>
        <v/>
      </c>
      <c r="N431" s="233" t="str">
        <f>IFERROR(COUNTIF($C$18:C431,C431)&amp;CHOOSE(MIN(4,COUNTIF($C$18:C431,C431)),"st","nd","rd","th"),"")</f>
        <v/>
      </c>
    </row>
    <row r="432" spans="8:14" x14ac:dyDescent="0.25">
      <c r="H432" s="245" t="str">
        <f t="shared" si="6"/>
        <v/>
      </c>
      <c r="N432" s="233" t="str">
        <f>IFERROR(COUNTIF($C$18:C432,C432)&amp;CHOOSE(MIN(4,COUNTIF($C$18:C432,C432)),"st","nd","rd","th"),"")</f>
        <v/>
      </c>
    </row>
    <row r="433" spans="8:14" x14ac:dyDescent="0.25">
      <c r="H433" s="245" t="str">
        <f t="shared" si="6"/>
        <v/>
      </c>
      <c r="N433" s="233" t="str">
        <f>IFERROR(COUNTIF($C$18:C433,C433)&amp;CHOOSE(MIN(4,COUNTIF($C$18:C433,C433)),"st","nd","rd","th"),"")</f>
        <v/>
      </c>
    </row>
    <row r="434" spans="8:14" x14ac:dyDescent="0.25">
      <c r="H434" s="245" t="str">
        <f t="shared" si="6"/>
        <v/>
      </c>
      <c r="N434" s="233" t="str">
        <f>IFERROR(COUNTIF($C$18:C434,C434)&amp;CHOOSE(MIN(4,COUNTIF($C$18:C434,C434)),"st","nd","rd","th"),"")</f>
        <v/>
      </c>
    </row>
    <row r="435" spans="8:14" x14ac:dyDescent="0.25">
      <c r="H435" s="245" t="str">
        <f t="shared" si="6"/>
        <v/>
      </c>
      <c r="N435" s="233" t="str">
        <f>IFERROR(COUNTIF($C$18:C435,C435)&amp;CHOOSE(MIN(4,COUNTIF($C$18:C435,C435)),"st","nd","rd","th"),"")</f>
        <v/>
      </c>
    </row>
    <row r="436" spans="8:14" x14ac:dyDescent="0.25">
      <c r="H436" s="245" t="str">
        <f t="shared" si="6"/>
        <v/>
      </c>
      <c r="N436" s="233" t="str">
        <f>IFERROR(COUNTIF($C$18:C436,C436)&amp;CHOOSE(MIN(4,COUNTIF($C$18:C436,C436)),"st","nd","rd","th"),"")</f>
        <v/>
      </c>
    </row>
    <row r="437" spans="8:14" x14ac:dyDescent="0.25">
      <c r="H437" s="245" t="str">
        <f t="shared" si="6"/>
        <v/>
      </c>
      <c r="N437" s="233" t="str">
        <f>IFERROR(COUNTIF($C$18:C437,C437)&amp;CHOOSE(MIN(4,COUNTIF($C$18:C437,C437)),"st","nd","rd","th"),"")</f>
        <v/>
      </c>
    </row>
    <row r="438" spans="8:14" x14ac:dyDescent="0.25">
      <c r="H438" s="245" t="str">
        <f t="shared" si="6"/>
        <v/>
      </c>
      <c r="N438" s="233" t="str">
        <f>IFERROR(COUNTIF($C$18:C438,C438)&amp;CHOOSE(MIN(4,COUNTIF($C$18:C438,C438)),"st","nd","rd","th"),"")</f>
        <v/>
      </c>
    </row>
    <row r="439" spans="8:14" x14ac:dyDescent="0.25">
      <c r="H439" s="245" t="str">
        <f t="shared" si="6"/>
        <v/>
      </c>
      <c r="N439" s="233" t="str">
        <f>IFERROR(COUNTIF($C$18:C439,C439)&amp;CHOOSE(MIN(4,COUNTIF($C$18:C439,C439)),"st","nd","rd","th"),"")</f>
        <v/>
      </c>
    </row>
    <row r="440" spans="8:14" x14ac:dyDescent="0.25">
      <c r="H440" s="245" t="str">
        <f t="shared" si="6"/>
        <v/>
      </c>
      <c r="N440" s="233" t="str">
        <f>IFERROR(COUNTIF($C$18:C440,C440)&amp;CHOOSE(MIN(4,COUNTIF($C$18:C440,C440)),"st","nd","rd","th"),"")</f>
        <v/>
      </c>
    </row>
    <row r="441" spans="8:14" x14ac:dyDescent="0.25">
      <c r="H441" s="245" t="str">
        <f t="shared" si="6"/>
        <v/>
      </c>
      <c r="N441" s="233" t="str">
        <f>IFERROR(COUNTIF($C$18:C441,C441)&amp;CHOOSE(MIN(4,COUNTIF($C$18:C441,C441)),"st","nd","rd","th"),"")</f>
        <v/>
      </c>
    </row>
    <row r="442" spans="8:14" x14ac:dyDescent="0.25">
      <c r="H442" s="245" t="str">
        <f t="shared" si="6"/>
        <v/>
      </c>
      <c r="N442" s="233" t="str">
        <f>IFERROR(COUNTIF($C$18:C442,C442)&amp;CHOOSE(MIN(4,COUNTIF($C$18:C442,C442)),"st","nd","rd","th"),"")</f>
        <v/>
      </c>
    </row>
    <row r="443" spans="8:14" x14ac:dyDescent="0.25">
      <c r="H443" s="245" t="str">
        <f t="shared" si="6"/>
        <v/>
      </c>
      <c r="N443" s="233" t="str">
        <f>IFERROR(COUNTIF($C$18:C443,C443)&amp;CHOOSE(MIN(4,COUNTIF($C$18:C443,C443)),"st","nd","rd","th"),"")</f>
        <v/>
      </c>
    </row>
    <row r="444" spans="8:14" x14ac:dyDescent="0.25">
      <c r="H444" s="245" t="str">
        <f t="shared" si="6"/>
        <v/>
      </c>
      <c r="N444" s="233" t="str">
        <f>IFERROR(COUNTIF($C$18:C444,C444)&amp;CHOOSE(MIN(4,COUNTIF($C$18:C444,C444)),"st","nd","rd","th"),"")</f>
        <v/>
      </c>
    </row>
    <row r="445" spans="8:14" x14ac:dyDescent="0.25">
      <c r="H445" s="245" t="str">
        <f t="shared" si="6"/>
        <v/>
      </c>
      <c r="N445" s="233" t="str">
        <f>IFERROR(COUNTIF($C$18:C445,C445)&amp;CHOOSE(MIN(4,COUNTIF($C$18:C445,C445)),"st","nd","rd","th"),"")</f>
        <v/>
      </c>
    </row>
    <row r="446" spans="8:14" x14ac:dyDescent="0.25">
      <c r="H446" s="245" t="str">
        <f t="shared" si="6"/>
        <v/>
      </c>
      <c r="N446" s="233" t="str">
        <f>IFERROR(COUNTIF($C$18:C446,C446)&amp;CHOOSE(MIN(4,COUNTIF($C$18:C446,C446)),"st","nd","rd","th"),"")</f>
        <v/>
      </c>
    </row>
    <row r="447" spans="8:14" x14ac:dyDescent="0.25">
      <c r="H447" s="245" t="str">
        <f t="shared" si="6"/>
        <v/>
      </c>
      <c r="N447" s="233" t="str">
        <f>IFERROR(COUNTIF($C$18:C447,C447)&amp;CHOOSE(MIN(4,COUNTIF($C$18:C447,C447)),"st","nd","rd","th"),"")</f>
        <v/>
      </c>
    </row>
    <row r="448" spans="8:14" x14ac:dyDescent="0.25">
      <c r="H448" s="245" t="str">
        <f t="shared" si="6"/>
        <v/>
      </c>
      <c r="N448" s="233" t="str">
        <f>IFERROR(COUNTIF($C$18:C448,C448)&amp;CHOOSE(MIN(4,COUNTIF($C$18:C448,C448)),"st","nd","rd","th"),"")</f>
        <v/>
      </c>
    </row>
    <row r="449" spans="8:14" x14ac:dyDescent="0.25">
      <c r="H449" s="245" t="str">
        <f t="shared" si="6"/>
        <v/>
      </c>
      <c r="N449" s="233" t="str">
        <f>IFERROR(COUNTIF($C$18:C449,C449)&amp;CHOOSE(MIN(4,COUNTIF($C$18:C449,C449)),"st","nd","rd","th"),"")</f>
        <v/>
      </c>
    </row>
    <row r="450" spans="8:14" x14ac:dyDescent="0.25">
      <c r="H450" s="245" t="str">
        <f t="shared" si="6"/>
        <v/>
      </c>
      <c r="N450" s="233" t="str">
        <f>IFERROR(COUNTIF($C$18:C450,C450)&amp;CHOOSE(MIN(4,COUNTIF($C$18:C450,C450)),"st","nd","rd","th"),"")</f>
        <v/>
      </c>
    </row>
    <row r="451" spans="8:14" x14ac:dyDescent="0.25">
      <c r="H451" s="245" t="str">
        <f t="shared" si="6"/>
        <v/>
      </c>
      <c r="N451" s="233" t="str">
        <f>IFERROR(COUNTIF($C$18:C451,C451)&amp;CHOOSE(MIN(4,COUNTIF($C$18:C451,C451)),"st","nd","rd","th"),"")</f>
        <v/>
      </c>
    </row>
    <row r="452" spans="8:14" x14ac:dyDescent="0.25">
      <c r="H452" s="245" t="str">
        <f t="shared" si="6"/>
        <v/>
      </c>
      <c r="N452" s="233" t="str">
        <f>IFERROR(COUNTIF($C$18:C452,C452)&amp;CHOOSE(MIN(4,COUNTIF($C$18:C452,C452)),"st","nd","rd","th"),"")</f>
        <v/>
      </c>
    </row>
    <row r="453" spans="8:14" x14ac:dyDescent="0.25">
      <c r="H453" s="245" t="str">
        <f t="shared" si="6"/>
        <v/>
      </c>
      <c r="N453" s="233" t="str">
        <f>IFERROR(COUNTIF($C$18:C453,C453)&amp;CHOOSE(MIN(4,COUNTIF($C$18:C453,C453)),"st","nd","rd","th"),"")</f>
        <v/>
      </c>
    </row>
    <row r="454" spans="8:14" x14ac:dyDescent="0.25">
      <c r="H454" s="245" t="str">
        <f t="shared" si="6"/>
        <v/>
      </c>
      <c r="N454" s="233" t="str">
        <f>IFERROR(COUNTIF($C$18:C454,C454)&amp;CHOOSE(MIN(4,COUNTIF($C$18:C454,C454)),"st","nd","rd","th"),"")</f>
        <v/>
      </c>
    </row>
    <row r="455" spans="8:14" x14ac:dyDescent="0.25">
      <c r="H455" s="245" t="str">
        <f t="shared" si="6"/>
        <v/>
      </c>
      <c r="N455" s="233" t="str">
        <f>IFERROR(COUNTIF($C$18:C455,C455)&amp;CHOOSE(MIN(4,COUNTIF($C$18:C455,C455)),"st","nd","rd","th"),"")</f>
        <v/>
      </c>
    </row>
    <row r="456" spans="8:14" x14ac:dyDescent="0.25">
      <c r="H456" s="245" t="str">
        <f t="shared" si="6"/>
        <v/>
      </c>
      <c r="N456" s="233" t="str">
        <f>IFERROR(COUNTIF($C$18:C456,C456)&amp;CHOOSE(MIN(4,COUNTIF($C$18:C456,C456)),"st","nd","rd","th"),"")</f>
        <v/>
      </c>
    </row>
    <row r="457" spans="8:14" x14ac:dyDescent="0.25">
      <c r="H457" s="245" t="str">
        <f t="shared" si="6"/>
        <v/>
      </c>
      <c r="N457" s="233" t="str">
        <f>IFERROR(COUNTIF($C$18:C457,C457)&amp;CHOOSE(MIN(4,COUNTIF($C$18:C457,C457)),"st","nd","rd","th"),"")</f>
        <v/>
      </c>
    </row>
    <row r="458" spans="8:14" x14ac:dyDescent="0.25">
      <c r="H458" s="245" t="str">
        <f t="shared" si="6"/>
        <v/>
      </c>
      <c r="N458" s="233" t="str">
        <f>IFERROR(COUNTIF($C$18:C458,C458)&amp;CHOOSE(MIN(4,COUNTIF($C$18:C458,C458)),"st","nd","rd","th"),"")</f>
        <v/>
      </c>
    </row>
    <row r="459" spans="8:14" x14ac:dyDescent="0.25">
      <c r="H459" s="245" t="str">
        <f t="shared" si="6"/>
        <v/>
      </c>
      <c r="N459" s="233" t="str">
        <f>IFERROR(COUNTIF($C$18:C459,C459)&amp;CHOOSE(MIN(4,COUNTIF($C$18:C459,C459)),"st","nd","rd","th"),"")</f>
        <v/>
      </c>
    </row>
    <row r="460" spans="8:14" x14ac:dyDescent="0.25">
      <c r="H460" s="245" t="str">
        <f t="shared" si="6"/>
        <v/>
      </c>
      <c r="N460" s="233" t="str">
        <f>IFERROR(COUNTIF($C$18:C460,C460)&amp;CHOOSE(MIN(4,COUNTIF($C$18:C460,C460)),"st","nd","rd","th"),"")</f>
        <v/>
      </c>
    </row>
    <row r="461" spans="8:14" x14ac:dyDescent="0.25">
      <c r="H461" s="245" t="str">
        <f t="shared" si="6"/>
        <v/>
      </c>
      <c r="N461" s="233" t="str">
        <f>IFERROR(COUNTIF($C$18:C461,C461)&amp;CHOOSE(MIN(4,COUNTIF($C$18:C461,C461)),"st","nd","rd","th"),"")</f>
        <v/>
      </c>
    </row>
    <row r="462" spans="8:14" x14ac:dyDescent="0.25">
      <c r="H462" s="245" t="str">
        <f t="shared" si="6"/>
        <v/>
      </c>
      <c r="N462" s="233" t="str">
        <f>IFERROR(COUNTIF($C$18:C462,C462)&amp;CHOOSE(MIN(4,COUNTIF($C$18:C462,C462)),"st","nd","rd","th"),"")</f>
        <v/>
      </c>
    </row>
    <row r="463" spans="8:14" x14ac:dyDescent="0.25">
      <c r="H463" s="245" t="str">
        <f t="shared" ref="H463:H526" si="7">IF(OR(ISBLANK(G463), ISBLANK(F463)), "", IF(G463=F463, 1, SUM(_xlfn.DAYS(G463, F463), 1)))</f>
        <v/>
      </c>
      <c r="N463" s="233" t="str">
        <f>IFERROR(COUNTIF($C$18:C463,C463)&amp;CHOOSE(MIN(4,COUNTIF($C$18:C463,C463)),"st","nd","rd","th"),"")</f>
        <v/>
      </c>
    </row>
    <row r="464" spans="8:14" x14ac:dyDescent="0.25">
      <c r="H464" s="245" t="str">
        <f t="shared" si="7"/>
        <v/>
      </c>
      <c r="N464" s="233" t="str">
        <f>IFERROR(COUNTIF($C$18:C464,C464)&amp;CHOOSE(MIN(4,COUNTIF($C$18:C464,C464)),"st","nd","rd","th"),"")</f>
        <v/>
      </c>
    </row>
    <row r="465" spans="8:14" x14ac:dyDescent="0.25">
      <c r="H465" s="245" t="str">
        <f t="shared" si="7"/>
        <v/>
      </c>
      <c r="N465" s="233" t="str">
        <f>IFERROR(COUNTIF($C$18:C465,C465)&amp;CHOOSE(MIN(4,COUNTIF($C$18:C465,C465)),"st","nd","rd","th"),"")</f>
        <v/>
      </c>
    </row>
    <row r="466" spans="8:14" x14ac:dyDescent="0.25">
      <c r="H466" s="245" t="str">
        <f t="shared" si="7"/>
        <v/>
      </c>
      <c r="N466" s="233" t="str">
        <f>IFERROR(COUNTIF($C$18:C466,C466)&amp;CHOOSE(MIN(4,COUNTIF($C$18:C466,C466)),"st","nd","rd","th"),"")</f>
        <v/>
      </c>
    </row>
    <row r="467" spans="8:14" x14ac:dyDescent="0.25">
      <c r="H467" s="245" t="str">
        <f t="shared" si="7"/>
        <v/>
      </c>
      <c r="N467" s="233" t="str">
        <f>IFERROR(COUNTIF($C$18:C467,C467)&amp;CHOOSE(MIN(4,COUNTIF($C$18:C467,C467)),"st","nd","rd","th"),"")</f>
        <v/>
      </c>
    </row>
    <row r="468" spans="8:14" x14ac:dyDescent="0.25">
      <c r="H468" s="245" t="str">
        <f t="shared" si="7"/>
        <v/>
      </c>
      <c r="N468" s="233" t="str">
        <f>IFERROR(COUNTIF($C$18:C468,C468)&amp;CHOOSE(MIN(4,COUNTIF($C$18:C468,C468)),"st","nd","rd","th"),"")</f>
        <v/>
      </c>
    </row>
    <row r="469" spans="8:14" x14ac:dyDescent="0.25">
      <c r="H469" s="245" t="str">
        <f t="shared" si="7"/>
        <v/>
      </c>
      <c r="N469" s="233" t="str">
        <f>IFERROR(COUNTIF($C$18:C469,C469)&amp;CHOOSE(MIN(4,COUNTIF($C$18:C469,C469)),"st","nd","rd","th"),"")</f>
        <v/>
      </c>
    </row>
    <row r="470" spans="8:14" x14ac:dyDescent="0.25">
      <c r="H470" s="245" t="str">
        <f t="shared" si="7"/>
        <v/>
      </c>
      <c r="N470" s="233" t="str">
        <f>IFERROR(COUNTIF($C$18:C470,C470)&amp;CHOOSE(MIN(4,COUNTIF($C$18:C470,C470)),"st","nd","rd","th"),"")</f>
        <v/>
      </c>
    </row>
    <row r="471" spans="8:14" x14ac:dyDescent="0.25">
      <c r="H471" s="245" t="str">
        <f t="shared" si="7"/>
        <v/>
      </c>
      <c r="N471" s="233" t="str">
        <f>IFERROR(COUNTIF($C$18:C471,C471)&amp;CHOOSE(MIN(4,COUNTIF($C$18:C471,C471)),"st","nd","rd","th"),"")</f>
        <v/>
      </c>
    </row>
    <row r="472" spans="8:14" x14ac:dyDescent="0.25">
      <c r="H472" s="245" t="str">
        <f t="shared" si="7"/>
        <v/>
      </c>
      <c r="N472" s="233" t="str">
        <f>IFERROR(COUNTIF($C$18:C472,C472)&amp;CHOOSE(MIN(4,COUNTIF($C$18:C472,C472)),"st","nd","rd","th"),"")</f>
        <v/>
      </c>
    </row>
    <row r="473" spans="8:14" x14ac:dyDescent="0.25">
      <c r="H473" s="245" t="str">
        <f t="shared" si="7"/>
        <v/>
      </c>
      <c r="N473" s="233" t="str">
        <f>IFERROR(COUNTIF($C$18:C473,C473)&amp;CHOOSE(MIN(4,COUNTIF($C$18:C473,C473)),"st","nd","rd","th"),"")</f>
        <v/>
      </c>
    </row>
    <row r="474" spans="8:14" x14ac:dyDescent="0.25">
      <c r="H474" s="245" t="str">
        <f t="shared" si="7"/>
        <v/>
      </c>
      <c r="N474" s="233" t="str">
        <f>IFERROR(COUNTIF($C$18:C474,C474)&amp;CHOOSE(MIN(4,COUNTIF($C$18:C474,C474)),"st","nd","rd","th"),"")</f>
        <v/>
      </c>
    </row>
    <row r="475" spans="8:14" x14ac:dyDescent="0.25">
      <c r="H475" s="245" t="str">
        <f t="shared" si="7"/>
        <v/>
      </c>
      <c r="N475" s="233" t="str">
        <f>IFERROR(COUNTIF($C$18:C475,C475)&amp;CHOOSE(MIN(4,COUNTIF($C$18:C475,C475)),"st","nd","rd","th"),"")</f>
        <v/>
      </c>
    </row>
    <row r="476" spans="8:14" x14ac:dyDescent="0.25">
      <c r="H476" s="245" t="str">
        <f t="shared" si="7"/>
        <v/>
      </c>
      <c r="N476" s="233" t="str">
        <f>IFERROR(COUNTIF($C$18:C476,C476)&amp;CHOOSE(MIN(4,COUNTIF($C$18:C476,C476)),"st","nd","rd","th"),"")</f>
        <v/>
      </c>
    </row>
    <row r="477" spans="8:14" x14ac:dyDescent="0.25">
      <c r="H477" s="245" t="str">
        <f t="shared" si="7"/>
        <v/>
      </c>
      <c r="N477" s="233" t="str">
        <f>IFERROR(COUNTIF($C$18:C477,C477)&amp;CHOOSE(MIN(4,COUNTIF($C$18:C477,C477)),"st","nd","rd","th"),"")</f>
        <v/>
      </c>
    </row>
    <row r="478" spans="8:14" x14ac:dyDescent="0.25">
      <c r="H478" s="245" t="str">
        <f t="shared" si="7"/>
        <v/>
      </c>
      <c r="N478" s="233" t="str">
        <f>IFERROR(COUNTIF($C$18:C478,C478)&amp;CHOOSE(MIN(4,COUNTIF($C$18:C478,C478)),"st","nd","rd","th"),"")</f>
        <v/>
      </c>
    </row>
    <row r="479" spans="8:14" x14ac:dyDescent="0.25">
      <c r="H479" s="245" t="str">
        <f t="shared" si="7"/>
        <v/>
      </c>
      <c r="N479" s="233" t="str">
        <f>IFERROR(COUNTIF($C$18:C479,C479)&amp;CHOOSE(MIN(4,COUNTIF($C$18:C479,C479)),"st","nd","rd","th"),"")</f>
        <v/>
      </c>
    </row>
    <row r="480" spans="8:14" x14ac:dyDescent="0.25">
      <c r="H480" s="245" t="str">
        <f t="shared" si="7"/>
        <v/>
      </c>
      <c r="N480" s="233" t="str">
        <f>IFERROR(COUNTIF($C$18:C480,C480)&amp;CHOOSE(MIN(4,COUNTIF($C$18:C480,C480)),"st","nd","rd","th"),"")</f>
        <v/>
      </c>
    </row>
    <row r="481" spans="8:14" x14ac:dyDescent="0.25">
      <c r="H481" s="245" t="str">
        <f t="shared" si="7"/>
        <v/>
      </c>
      <c r="N481" s="233" t="str">
        <f>IFERROR(COUNTIF($C$18:C481,C481)&amp;CHOOSE(MIN(4,COUNTIF($C$18:C481,C481)),"st","nd","rd","th"),"")</f>
        <v/>
      </c>
    </row>
    <row r="482" spans="8:14" x14ac:dyDescent="0.25">
      <c r="H482" s="245" t="str">
        <f t="shared" si="7"/>
        <v/>
      </c>
      <c r="N482" s="233" t="str">
        <f>IFERROR(COUNTIF($C$18:C482,C482)&amp;CHOOSE(MIN(4,COUNTIF($C$18:C482,C482)),"st","nd","rd","th"),"")</f>
        <v/>
      </c>
    </row>
    <row r="483" spans="8:14" x14ac:dyDescent="0.25">
      <c r="H483" s="245" t="str">
        <f t="shared" si="7"/>
        <v/>
      </c>
      <c r="N483" s="233" t="str">
        <f>IFERROR(COUNTIF($C$18:C483,C483)&amp;CHOOSE(MIN(4,COUNTIF($C$18:C483,C483)),"st","nd","rd","th"),"")</f>
        <v/>
      </c>
    </row>
    <row r="484" spans="8:14" x14ac:dyDescent="0.25">
      <c r="H484" s="245" t="str">
        <f t="shared" si="7"/>
        <v/>
      </c>
      <c r="N484" s="233" t="str">
        <f>IFERROR(COUNTIF($C$18:C484,C484)&amp;CHOOSE(MIN(4,COUNTIF($C$18:C484,C484)),"st","nd","rd","th"),"")</f>
        <v/>
      </c>
    </row>
    <row r="485" spans="8:14" x14ac:dyDescent="0.25">
      <c r="H485" s="245" t="str">
        <f t="shared" si="7"/>
        <v/>
      </c>
      <c r="N485" s="233" t="str">
        <f>IFERROR(COUNTIF($C$18:C485,C485)&amp;CHOOSE(MIN(4,COUNTIF($C$18:C485,C485)),"st","nd","rd","th"),"")</f>
        <v/>
      </c>
    </row>
    <row r="486" spans="8:14" x14ac:dyDescent="0.25">
      <c r="H486" s="245" t="str">
        <f t="shared" si="7"/>
        <v/>
      </c>
      <c r="N486" s="233" t="str">
        <f>IFERROR(COUNTIF($C$18:C486,C486)&amp;CHOOSE(MIN(4,COUNTIF($C$18:C486,C486)),"st","nd","rd","th"),"")</f>
        <v/>
      </c>
    </row>
    <row r="487" spans="8:14" x14ac:dyDescent="0.25">
      <c r="H487" s="245" t="str">
        <f t="shared" si="7"/>
        <v/>
      </c>
      <c r="N487" s="233" t="str">
        <f>IFERROR(COUNTIF($C$18:C487,C487)&amp;CHOOSE(MIN(4,COUNTIF($C$18:C487,C487)),"st","nd","rd","th"),"")</f>
        <v/>
      </c>
    </row>
    <row r="488" spans="8:14" x14ac:dyDescent="0.25">
      <c r="H488" s="245" t="str">
        <f t="shared" si="7"/>
        <v/>
      </c>
      <c r="N488" s="233" t="str">
        <f>IFERROR(COUNTIF($C$18:C488,C488)&amp;CHOOSE(MIN(4,COUNTIF($C$18:C488,C488)),"st","nd","rd","th"),"")</f>
        <v/>
      </c>
    </row>
    <row r="489" spans="8:14" x14ac:dyDescent="0.25">
      <c r="H489" s="245" t="str">
        <f t="shared" si="7"/>
        <v/>
      </c>
      <c r="N489" s="233" t="str">
        <f>IFERROR(COUNTIF($C$18:C489,C489)&amp;CHOOSE(MIN(4,COUNTIF($C$18:C489,C489)),"st","nd","rd","th"),"")</f>
        <v/>
      </c>
    </row>
    <row r="490" spans="8:14" x14ac:dyDescent="0.25">
      <c r="H490" s="245" t="str">
        <f t="shared" si="7"/>
        <v/>
      </c>
      <c r="N490" s="233" t="str">
        <f>IFERROR(COUNTIF($C$18:C490,C490)&amp;CHOOSE(MIN(4,COUNTIF($C$18:C490,C490)),"st","nd","rd","th"),"")</f>
        <v/>
      </c>
    </row>
    <row r="491" spans="8:14" x14ac:dyDescent="0.25">
      <c r="H491" s="245" t="str">
        <f t="shared" si="7"/>
        <v/>
      </c>
      <c r="N491" s="233" t="str">
        <f>IFERROR(COUNTIF($C$18:C491,C491)&amp;CHOOSE(MIN(4,COUNTIF($C$18:C491,C491)),"st","nd","rd","th"),"")</f>
        <v/>
      </c>
    </row>
    <row r="492" spans="8:14" x14ac:dyDescent="0.25">
      <c r="H492" s="245" t="str">
        <f t="shared" si="7"/>
        <v/>
      </c>
      <c r="N492" s="233" t="str">
        <f>IFERROR(COUNTIF($C$18:C492,C492)&amp;CHOOSE(MIN(4,COUNTIF($C$18:C492,C492)),"st","nd","rd","th"),"")</f>
        <v/>
      </c>
    </row>
    <row r="493" spans="8:14" x14ac:dyDescent="0.25">
      <c r="H493" s="245" t="str">
        <f t="shared" si="7"/>
        <v/>
      </c>
      <c r="N493" s="233" t="str">
        <f>IFERROR(COUNTIF($C$18:C493,C493)&amp;CHOOSE(MIN(4,COUNTIF($C$18:C493,C493)),"st","nd","rd","th"),"")</f>
        <v/>
      </c>
    </row>
    <row r="494" spans="8:14" x14ac:dyDescent="0.25">
      <c r="H494" s="245" t="str">
        <f t="shared" si="7"/>
        <v/>
      </c>
      <c r="N494" s="233" t="str">
        <f>IFERROR(COUNTIF($C$18:C494,C494)&amp;CHOOSE(MIN(4,COUNTIF($C$18:C494,C494)),"st","nd","rd","th"),"")</f>
        <v/>
      </c>
    </row>
    <row r="495" spans="8:14" x14ac:dyDescent="0.25">
      <c r="H495" s="245" t="str">
        <f t="shared" si="7"/>
        <v/>
      </c>
      <c r="N495" s="233" t="str">
        <f>IFERROR(COUNTIF($C$18:C495,C495)&amp;CHOOSE(MIN(4,COUNTIF($C$18:C495,C495)),"st","nd","rd","th"),"")</f>
        <v/>
      </c>
    </row>
    <row r="496" spans="8:14" x14ac:dyDescent="0.25">
      <c r="H496" s="245" t="str">
        <f t="shared" si="7"/>
        <v/>
      </c>
      <c r="N496" s="233" t="str">
        <f>IFERROR(COUNTIF($C$18:C496,C496)&amp;CHOOSE(MIN(4,COUNTIF($C$18:C496,C496)),"st","nd","rd","th"),"")</f>
        <v/>
      </c>
    </row>
    <row r="497" spans="8:14" x14ac:dyDescent="0.25">
      <c r="H497" s="245" t="str">
        <f t="shared" si="7"/>
        <v/>
      </c>
      <c r="N497" s="233" t="str">
        <f>IFERROR(COUNTIF($C$18:C497,C497)&amp;CHOOSE(MIN(4,COUNTIF($C$18:C497,C497)),"st","nd","rd","th"),"")</f>
        <v/>
      </c>
    </row>
    <row r="498" spans="8:14" x14ac:dyDescent="0.25">
      <c r="H498" s="245" t="str">
        <f t="shared" si="7"/>
        <v/>
      </c>
      <c r="N498" s="233" t="str">
        <f>IFERROR(COUNTIF($C$18:C498,C498)&amp;CHOOSE(MIN(4,COUNTIF($C$18:C498,C498)),"st","nd","rd","th"),"")</f>
        <v/>
      </c>
    </row>
    <row r="499" spans="8:14" x14ac:dyDescent="0.25">
      <c r="H499" s="245" t="str">
        <f t="shared" si="7"/>
        <v/>
      </c>
      <c r="N499" s="233" t="str">
        <f>IFERROR(COUNTIF($C$18:C499,C499)&amp;CHOOSE(MIN(4,COUNTIF($C$18:C499,C499)),"st","nd","rd","th"),"")</f>
        <v/>
      </c>
    </row>
    <row r="500" spans="8:14" x14ac:dyDescent="0.25">
      <c r="H500" s="245" t="str">
        <f t="shared" si="7"/>
        <v/>
      </c>
      <c r="N500" s="233" t="str">
        <f>IFERROR(COUNTIF($C$18:C500,C500)&amp;CHOOSE(MIN(4,COUNTIF($C$18:C500,C500)),"st","nd","rd","th"),"")</f>
        <v/>
      </c>
    </row>
    <row r="501" spans="8:14" x14ac:dyDescent="0.25">
      <c r="H501" s="245" t="str">
        <f t="shared" si="7"/>
        <v/>
      </c>
      <c r="N501" s="233" t="str">
        <f>IFERROR(COUNTIF($C$18:C501,C501)&amp;CHOOSE(MIN(4,COUNTIF($C$18:C501,C501)),"st","nd","rd","th"),"")</f>
        <v/>
      </c>
    </row>
    <row r="502" spans="8:14" x14ac:dyDescent="0.25">
      <c r="H502" s="245" t="str">
        <f t="shared" si="7"/>
        <v/>
      </c>
      <c r="N502" s="233" t="str">
        <f>IFERROR(COUNTIF($C$18:C502,C502)&amp;CHOOSE(MIN(4,COUNTIF($C$18:C502,C502)),"st","nd","rd","th"),"")</f>
        <v/>
      </c>
    </row>
    <row r="503" spans="8:14" x14ac:dyDescent="0.25">
      <c r="H503" s="245" t="str">
        <f t="shared" si="7"/>
        <v/>
      </c>
      <c r="N503" s="233" t="str">
        <f>IFERROR(COUNTIF($C$18:C503,C503)&amp;CHOOSE(MIN(4,COUNTIF($C$18:C503,C503)),"st","nd","rd","th"),"")</f>
        <v/>
      </c>
    </row>
    <row r="504" spans="8:14" x14ac:dyDescent="0.25">
      <c r="H504" s="245" t="str">
        <f t="shared" si="7"/>
        <v/>
      </c>
      <c r="N504" s="233" t="str">
        <f>IFERROR(COUNTIF($C$18:C504,C504)&amp;CHOOSE(MIN(4,COUNTIF($C$18:C504,C504)),"st","nd","rd","th"),"")</f>
        <v/>
      </c>
    </row>
    <row r="505" spans="8:14" x14ac:dyDescent="0.25">
      <c r="H505" s="245" t="str">
        <f t="shared" si="7"/>
        <v/>
      </c>
      <c r="N505" s="233" t="str">
        <f>IFERROR(COUNTIF($C$18:C505,C505)&amp;CHOOSE(MIN(4,COUNTIF($C$18:C505,C505)),"st","nd","rd","th"),"")</f>
        <v/>
      </c>
    </row>
    <row r="506" spans="8:14" x14ac:dyDescent="0.25">
      <c r="H506" s="245" t="str">
        <f t="shared" si="7"/>
        <v/>
      </c>
      <c r="N506" s="233" t="str">
        <f>IFERROR(COUNTIF($C$18:C506,C506)&amp;CHOOSE(MIN(4,COUNTIF($C$18:C506,C506)),"st","nd","rd","th"),"")</f>
        <v/>
      </c>
    </row>
    <row r="507" spans="8:14" x14ac:dyDescent="0.25">
      <c r="H507" s="245" t="str">
        <f t="shared" si="7"/>
        <v/>
      </c>
      <c r="N507" s="233" t="str">
        <f>IFERROR(COUNTIF($C$18:C507,C507)&amp;CHOOSE(MIN(4,COUNTIF($C$18:C507,C507)),"st","nd","rd","th"),"")</f>
        <v/>
      </c>
    </row>
    <row r="508" spans="8:14" x14ac:dyDescent="0.25">
      <c r="H508" s="245" t="str">
        <f t="shared" si="7"/>
        <v/>
      </c>
      <c r="N508" s="233" t="str">
        <f>IFERROR(COUNTIF($C$18:C508,C508)&amp;CHOOSE(MIN(4,COUNTIF($C$18:C508,C508)),"st","nd","rd","th"),"")</f>
        <v/>
      </c>
    </row>
    <row r="509" spans="8:14" x14ac:dyDescent="0.25">
      <c r="H509" s="245" t="str">
        <f t="shared" si="7"/>
        <v/>
      </c>
      <c r="N509" s="233" t="str">
        <f>IFERROR(COUNTIF($C$18:C509,C509)&amp;CHOOSE(MIN(4,COUNTIF($C$18:C509,C509)),"st","nd","rd","th"),"")</f>
        <v/>
      </c>
    </row>
    <row r="510" spans="8:14" x14ac:dyDescent="0.25">
      <c r="H510" s="245" t="str">
        <f t="shared" si="7"/>
        <v/>
      </c>
      <c r="N510" s="233" t="str">
        <f>IFERROR(COUNTIF($C$18:C510,C510)&amp;CHOOSE(MIN(4,COUNTIF($C$18:C510,C510)),"st","nd","rd","th"),"")</f>
        <v/>
      </c>
    </row>
    <row r="511" spans="8:14" x14ac:dyDescent="0.25">
      <c r="H511" s="245" t="str">
        <f t="shared" si="7"/>
        <v/>
      </c>
      <c r="N511" s="233" t="str">
        <f>IFERROR(COUNTIF($C$18:C511,C511)&amp;CHOOSE(MIN(4,COUNTIF($C$18:C511,C511)),"st","nd","rd","th"),"")</f>
        <v/>
      </c>
    </row>
    <row r="512" spans="8:14" x14ac:dyDescent="0.25">
      <c r="H512" s="245" t="str">
        <f t="shared" si="7"/>
        <v/>
      </c>
      <c r="N512" s="233" t="str">
        <f>IFERROR(COUNTIF($C$18:C512,C512)&amp;CHOOSE(MIN(4,COUNTIF($C$18:C512,C512)),"st","nd","rd","th"),"")</f>
        <v/>
      </c>
    </row>
    <row r="513" spans="8:14" x14ac:dyDescent="0.25">
      <c r="H513" s="245" t="str">
        <f t="shared" si="7"/>
        <v/>
      </c>
      <c r="N513" s="233" t="str">
        <f>IFERROR(COUNTIF($C$18:C513,C513)&amp;CHOOSE(MIN(4,COUNTIF($C$18:C513,C513)),"st","nd","rd","th"),"")</f>
        <v/>
      </c>
    </row>
    <row r="514" spans="8:14" x14ac:dyDescent="0.25">
      <c r="H514" s="245" t="str">
        <f t="shared" si="7"/>
        <v/>
      </c>
      <c r="N514" s="233" t="str">
        <f>IFERROR(COUNTIF($C$18:C514,C514)&amp;CHOOSE(MIN(4,COUNTIF($C$18:C514,C514)),"st","nd","rd","th"),"")</f>
        <v/>
      </c>
    </row>
    <row r="515" spans="8:14" x14ac:dyDescent="0.25">
      <c r="H515" s="245" t="str">
        <f t="shared" si="7"/>
        <v/>
      </c>
      <c r="N515" s="233" t="str">
        <f>IFERROR(COUNTIF($C$18:C515,C515)&amp;CHOOSE(MIN(4,COUNTIF($C$18:C515,C515)),"st","nd","rd","th"),"")</f>
        <v/>
      </c>
    </row>
    <row r="516" spans="8:14" x14ac:dyDescent="0.25">
      <c r="H516" s="245" t="str">
        <f t="shared" si="7"/>
        <v/>
      </c>
      <c r="N516" s="233" t="str">
        <f>IFERROR(COUNTIF($C$18:C516,C516)&amp;CHOOSE(MIN(4,COUNTIF($C$18:C516,C516)),"st","nd","rd","th"),"")</f>
        <v/>
      </c>
    </row>
    <row r="517" spans="8:14" x14ac:dyDescent="0.25">
      <c r="H517" s="245" t="str">
        <f t="shared" si="7"/>
        <v/>
      </c>
      <c r="N517" s="233" t="str">
        <f>IFERROR(COUNTIF($C$18:C517,C517)&amp;CHOOSE(MIN(4,COUNTIF($C$18:C517,C517)),"st","nd","rd","th"),"")</f>
        <v/>
      </c>
    </row>
    <row r="518" spans="8:14" x14ac:dyDescent="0.25">
      <c r="H518" s="245" t="str">
        <f t="shared" si="7"/>
        <v/>
      </c>
      <c r="N518" s="233" t="str">
        <f>IFERROR(COUNTIF($C$18:C518,C518)&amp;CHOOSE(MIN(4,COUNTIF($C$18:C518,C518)),"st","nd","rd","th"),"")</f>
        <v/>
      </c>
    </row>
    <row r="519" spans="8:14" x14ac:dyDescent="0.25">
      <c r="H519" s="245" t="str">
        <f t="shared" si="7"/>
        <v/>
      </c>
      <c r="N519" s="233" t="str">
        <f>IFERROR(COUNTIF($C$18:C519,C519)&amp;CHOOSE(MIN(4,COUNTIF($C$18:C519,C519)),"st","nd","rd","th"),"")</f>
        <v/>
      </c>
    </row>
    <row r="520" spans="8:14" x14ac:dyDescent="0.25">
      <c r="H520" s="245" t="str">
        <f t="shared" si="7"/>
        <v/>
      </c>
      <c r="N520" s="233" t="str">
        <f>IFERROR(COUNTIF($C$18:C520,C520)&amp;CHOOSE(MIN(4,COUNTIF($C$18:C520,C520)),"st","nd","rd","th"),"")</f>
        <v/>
      </c>
    </row>
    <row r="521" spans="8:14" x14ac:dyDescent="0.25">
      <c r="H521" s="245" t="str">
        <f t="shared" si="7"/>
        <v/>
      </c>
      <c r="N521" s="233" t="str">
        <f>IFERROR(COUNTIF($C$18:C521,C521)&amp;CHOOSE(MIN(4,COUNTIF($C$18:C521,C521)),"st","nd","rd","th"),"")</f>
        <v/>
      </c>
    </row>
    <row r="522" spans="8:14" x14ac:dyDescent="0.25">
      <c r="H522" s="245" t="str">
        <f t="shared" si="7"/>
        <v/>
      </c>
      <c r="N522" s="233" t="str">
        <f>IFERROR(COUNTIF($C$18:C522,C522)&amp;CHOOSE(MIN(4,COUNTIF($C$18:C522,C522)),"st","nd","rd","th"),"")</f>
        <v/>
      </c>
    </row>
    <row r="523" spans="8:14" x14ac:dyDescent="0.25">
      <c r="H523" s="245" t="str">
        <f t="shared" si="7"/>
        <v/>
      </c>
      <c r="N523" s="233" t="str">
        <f>IFERROR(COUNTIF($C$18:C523,C523)&amp;CHOOSE(MIN(4,COUNTIF($C$18:C523,C523)),"st","nd","rd","th"),"")</f>
        <v/>
      </c>
    </row>
    <row r="524" spans="8:14" x14ac:dyDescent="0.25">
      <c r="H524" s="245" t="str">
        <f t="shared" si="7"/>
        <v/>
      </c>
      <c r="N524" s="233" t="str">
        <f>IFERROR(COUNTIF($C$18:C524,C524)&amp;CHOOSE(MIN(4,COUNTIF($C$18:C524,C524)),"st","nd","rd","th"),"")</f>
        <v/>
      </c>
    </row>
    <row r="525" spans="8:14" x14ac:dyDescent="0.25">
      <c r="H525" s="245" t="str">
        <f t="shared" si="7"/>
        <v/>
      </c>
      <c r="N525" s="233" t="str">
        <f>IFERROR(COUNTIF($C$18:C525,C525)&amp;CHOOSE(MIN(4,COUNTIF($C$18:C525,C525)),"st","nd","rd","th"),"")</f>
        <v/>
      </c>
    </row>
    <row r="526" spans="8:14" x14ac:dyDescent="0.25">
      <c r="H526" s="245" t="str">
        <f t="shared" si="7"/>
        <v/>
      </c>
      <c r="N526" s="233" t="str">
        <f>IFERROR(COUNTIF($C$18:C526,C526)&amp;CHOOSE(MIN(4,COUNTIF($C$18:C526,C526)),"st","nd","rd","th"),"")</f>
        <v/>
      </c>
    </row>
    <row r="527" spans="8:14" x14ac:dyDescent="0.25">
      <c r="H527" s="245" t="str">
        <f t="shared" ref="H527:H590" si="8">IF(OR(ISBLANK(G527), ISBLANK(F527)), "", IF(G527=F527, 1, SUM(_xlfn.DAYS(G527, F527), 1)))</f>
        <v/>
      </c>
      <c r="N527" s="233" t="str">
        <f>IFERROR(COUNTIF($C$18:C527,C527)&amp;CHOOSE(MIN(4,COUNTIF($C$18:C527,C527)),"st","nd","rd","th"),"")</f>
        <v/>
      </c>
    </row>
    <row r="528" spans="8:14" x14ac:dyDescent="0.25">
      <c r="H528" s="245" t="str">
        <f t="shared" si="8"/>
        <v/>
      </c>
      <c r="N528" s="233" t="str">
        <f>IFERROR(COUNTIF($C$18:C528,C528)&amp;CHOOSE(MIN(4,COUNTIF($C$18:C528,C528)),"st","nd","rd","th"),"")</f>
        <v/>
      </c>
    </row>
    <row r="529" spans="8:14" x14ac:dyDescent="0.25">
      <c r="H529" s="245" t="str">
        <f t="shared" si="8"/>
        <v/>
      </c>
      <c r="N529" s="233" t="str">
        <f>IFERROR(COUNTIF($C$18:C529,C529)&amp;CHOOSE(MIN(4,COUNTIF($C$18:C529,C529)),"st","nd","rd","th"),"")</f>
        <v/>
      </c>
    </row>
    <row r="530" spans="8:14" x14ac:dyDescent="0.25">
      <c r="H530" s="245" t="str">
        <f t="shared" si="8"/>
        <v/>
      </c>
      <c r="N530" s="233" t="str">
        <f>IFERROR(COUNTIF($C$18:C530,C530)&amp;CHOOSE(MIN(4,COUNTIF($C$18:C530,C530)),"st","nd","rd","th"),"")</f>
        <v/>
      </c>
    </row>
    <row r="531" spans="8:14" x14ac:dyDescent="0.25">
      <c r="H531" s="245" t="str">
        <f t="shared" si="8"/>
        <v/>
      </c>
      <c r="N531" s="233" t="str">
        <f>IFERROR(COUNTIF($C$18:C531,C531)&amp;CHOOSE(MIN(4,COUNTIF($C$18:C531,C531)),"st","nd","rd","th"),"")</f>
        <v/>
      </c>
    </row>
    <row r="532" spans="8:14" x14ac:dyDescent="0.25">
      <c r="H532" s="245" t="str">
        <f t="shared" si="8"/>
        <v/>
      </c>
      <c r="N532" s="233" t="str">
        <f>IFERROR(COUNTIF($C$18:C532,C532)&amp;CHOOSE(MIN(4,COUNTIF($C$18:C532,C532)),"st","nd","rd","th"),"")</f>
        <v/>
      </c>
    </row>
    <row r="533" spans="8:14" x14ac:dyDescent="0.25">
      <c r="H533" s="245" t="str">
        <f t="shared" si="8"/>
        <v/>
      </c>
      <c r="N533" s="233" t="str">
        <f>IFERROR(COUNTIF($C$18:C533,C533)&amp;CHOOSE(MIN(4,COUNTIF($C$18:C533,C533)),"st","nd","rd","th"),"")</f>
        <v/>
      </c>
    </row>
    <row r="534" spans="8:14" x14ac:dyDescent="0.25">
      <c r="H534" s="245" t="str">
        <f t="shared" si="8"/>
        <v/>
      </c>
      <c r="N534" s="233" t="str">
        <f>IFERROR(COUNTIF($C$18:C534,C534)&amp;CHOOSE(MIN(4,COUNTIF($C$18:C534,C534)),"st","nd","rd","th"),"")</f>
        <v/>
      </c>
    </row>
    <row r="535" spans="8:14" x14ac:dyDescent="0.25">
      <c r="H535" s="245" t="str">
        <f t="shared" si="8"/>
        <v/>
      </c>
      <c r="N535" s="233" t="str">
        <f>IFERROR(COUNTIF($C$18:C535,C535)&amp;CHOOSE(MIN(4,COUNTIF($C$18:C535,C535)),"st","nd","rd","th"),"")</f>
        <v/>
      </c>
    </row>
    <row r="536" spans="8:14" x14ac:dyDescent="0.25">
      <c r="H536" s="245" t="str">
        <f t="shared" si="8"/>
        <v/>
      </c>
      <c r="N536" s="233" t="str">
        <f>IFERROR(COUNTIF($C$18:C536,C536)&amp;CHOOSE(MIN(4,COUNTIF($C$18:C536,C536)),"st","nd","rd","th"),"")</f>
        <v/>
      </c>
    </row>
    <row r="537" spans="8:14" x14ac:dyDescent="0.25">
      <c r="H537" s="245" t="str">
        <f t="shared" si="8"/>
        <v/>
      </c>
      <c r="N537" s="233" t="str">
        <f>IFERROR(COUNTIF($C$18:C537,C537)&amp;CHOOSE(MIN(4,COUNTIF($C$18:C537,C537)),"st","nd","rd","th"),"")</f>
        <v/>
      </c>
    </row>
    <row r="538" spans="8:14" x14ac:dyDescent="0.25">
      <c r="H538" s="245" t="str">
        <f t="shared" si="8"/>
        <v/>
      </c>
      <c r="N538" s="233" t="str">
        <f>IFERROR(COUNTIF($C$18:C538,C538)&amp;CHOOSE(MIN(4,COUNTIF($C$18:C538,C538)),"st","nd","rd","th"),"")</f>
        <v/>
      </c>
    </row>
    <row r="539" spans="8:14" x14ac:dyDescent="0.25">
      <c r="H539" s="245" t="str">
        <f t="shared" si="8"/>
        <v/>
      </c>
      <c r="N539" s="233" t="str">
        <f>IFERROR(COUNTIF($C$18:C539,C539)&amp;CHOOSE(MIN(4,COUNTIF($C$18:C539,C539)),"st","nd","rd","th"),"")</f>
        <v/>
      </c>
    </row>
    <row r="540" spans="8:14" x14ac:dyDescent="0.25">
      <c r="H540" s="245" t="str">
        <f t="shared" si="8"/>
        <v/>
      </c>
      <c r="N540" s="233" t="str">
        <f>IFERROR(COUNTIF($C$18:C540,C540)&amp;CHOOSE(MIN(4,COUNTIF($C$18:C540,C540)),"st","nd","rd","th"),"")</f>
        <v/>
      </c>
    </row>
    <row r="541" spans="8:14" x14ac:dyDescent="0.25">
      <c r="H541" s="245" t="str">
        <f t="shared" si="8"/>
        <v/>
      </c>
      <c r="N541" s="233" t="str">
        <f>IFERROR(COUNTIF($C$18:C541,C541)&amp;CHOOSE(MIN(4,COUNTIF($C$18:C541,C541)),"st","nd","rd","th"),"")</f>
        <v/>
      </c>
    </row>
    <row r="542" spans="8:14" x14ac:dyDescent="0.25">
      <c r="H542" s="245" t="str">
        <f t="shared" si="8"/>
        <v/>
      </c>
      <c r="N542" s="233" t="str">
        <f>IFERROR(COUNTIF($C$18:C542,C542)&amp;CHOOSE(MIN(4,COUNTIF($C$18:C542,C542)),"st","nd","rd","th"),"")</f>
        <v/>
      </c>
    </row>
    <row r="543" spans="8:14" x14ac:dyDescent="0.25">
      <c r="H543" s="245" t="str">
        <f t="shared" si="8"/>
        <v/>
      </c>
      <c r="N543" s="233" t="str">
        <f>IFERROR(COUNTIF($C$18:C543,C543)&amp;CHOOSE(MIN(4,COUNTIF($C$18:C543,C543)),"st","nd","rd","th"),"")</f>
        <v/>
      </c>
    </row>
    <row r="544" spans="8:14" x14ac:dyDescent="0.25">
      <c r="H544" s="245" t="str">
        <f t="shared" si="8"/>
        <v/>
      </c>
      <c r="N544" s="233" t="str">
        <f>IFERROR(COUNTIF($C$18:C544,C544)&amp;CHOOSE(MIN(4,COUNTIF($C$18:C544,C544)),"st","nd","rd","th"),"")</f>
        <v/>
      </c>
    </row>
    <row r="545" spans="8:14" x14ac:dyDescent="0.25">
      <c r="H545" s="245" t="str">
        <f t="shared" si="8"/>
        <v/>
      </c>
      <c r="N545" s="233" t="str">
        <f>IFERROR(COUNTIF($C$18:C545,C545)&amp;CHOOSE(MIN(4,COUNTIF($C$18:C545,C545)),"st","nd","rd","th"),"")</f>
        <v/>
      </c>
    </row>
    <row r="546" spans="8:14" x14ac:dyDescent="0.25">
      <c r="H546" s="245" t="str">
        <f t="shared" si="8"/>
        <v/>
      </c>
      <c r="N546" s="233" t="str">
        <f>IFERROR(COUNTIF($C$18:C546,C546)&amp;CHOOSE(MIN(4,COUNTIF($C$18:C546,C546)),"st","nd","rd","th"),"")</f>
        <v/>
      </c>
    </row>
    <row r="547" spans="8:14" x14ac:dyDescent="0.25">
      <c r="H547" s="245" t="str">
        <f t="shared" si="8"/>
        <v/>
      </c>
      <c r="N547" s="233" t="str">
        <f>IFERROR(COUNTIF($C$18:C547,C547)&amp;CHOOSE(MIN(4,COUNTIF($C$18:C547,C547)),"st","nd","rd","th"),"")</f>
        <v/>
      </c>
    </row>
    <row r="548" spans="8:14" x14ac:dyDescent="0.25">
      <c r="H548" s="245" t="str">
        <f t="shared" si="8"/>
        <v/>
      </c>
      <c r="N548" s="233" t="str">
        <f>IFERROR(COUNTIF($C$18:C548,C548)&amp;CHOOSE(MIN(4,COUNTIF($C$18:C548,C548)),"st","nd","rd","th"),"")</f>
        <v/>
      </c>
    </row>
    <row r="549" spans="8:14" x14ac:dyDescent="0.25">
      <c r="H549" s="245" t="str">
        <f t="shared" si="8"/>
        <v/>
      </c>
      <c r="N549" s="233" t="str">
        <f>IFERROR(COUNTIF($C$18:C549,C549)&amp;CHOOSE(MIN(4,COUNTIF($C$18:C549,C549)),"st","nd","rd","th"),"")</f>
        <v/>
      </c>
    </row>
    <row r="550" spans="8:14" x14ac:dyDescent="0.25">
      <c r="H550" s="245" t="str">
        <f t="shared" si="8"/>
        <v/>
      </c>
      <c r="N550" s="233" t="str">
        <f>IFERROR(COUNTIF($C$18:C550,C550)&amp;CHOOSE(MIN(4,COUNTIF($C$18:C550,C550)),"st","nd","rd","th"),"")</f>
        <v/>
      </c>
    </row>
    <row r="551" spans="8:14" x14ac:dyDescent="0.25">
      <c r="H551" s="245" t="str">
        <f t="shared" si="8"/>
        <v/>
      </c>
      <c r="N551" s="233" t="str">
        <f>IFERROR(COUNTIF($C$18:C551,C551)&amp;CHOOSE(MIN(4,COUNTIF($C$18:C551,C551)),"st","nd","rd","th"),"")</f>
        <v/>
      </c>
    </row>
    <row r="552" spans="8:14" x14ac:dyDescent="0.25">
      <c r="H552" s="245" t="str">
        <f t="shared" si="8"/>
        <v/>
      </c>
      <c r="N552" s="233" t="str">
        <f>IFERROR(COUNTIF($C$18:C552,C552)&amp;CHOOSE(MIN(4,COUNTIF($C$18:C552,C552)),"st","nd","rd","th"),"")</f>
        <v/>
      </c>
    </row>
    <row r="553" spans="8:14" x14ac:dyDescent="0.25">
      <c r="H553" s="245" t="str">
        <f t="shared" si="8"/>
        <v/>
      </c>
      <c r="N553" s="233" t="str">
        <f>IFERROR(COUNTIF($C$18:C553,C553)&amp;CHOOSE(MIN(4,COUNTIF($C$18:C553,C553)),"st","nd","rd","th"),"")</f>
        <v/>
      </c>
    </row>
    <row r="554" spans="8:14" x14ac:dyDescent="0.25">
      <c r="H554" s="245" t="str">
        <f t="shared" si="8"/>
        <v/>
      </c>
      <c r="N554" s="233" t="str">
        <f>IFERROR(COUNTIF($C$18:C554,C554)&amp;CHOOSE(MIN(4,COUNTIF($C$18:C554,C554)),"st","nd","rd","th"),"")</f>
        <v/>
      </c>
    </row>
    <row r="555" spans="8:14" x14ac:dyDescent="0.25">
      <c r="H555" s="245" t="str">
        <f t="shared" si="8"/>
        <v/>
      </c>
      <c r="N555" s="233" t="str">
        <f>IFERROR(COUNTIF($C$18:C555,C555)&amp;CHOOSE(MIN(4,COUNTIF($C$18:C555,C555)),"st","nd","rd","th"),"")</f>
        <v/>
      </c>
    </row>
    <row r="556" spans="8:14" x14ac:dyDescent="0.25">
      <c r="H556" s="245" t="str">
        <f t="shared" si="8"/>
        <v/>
      </c>
      <c r="N556" s="233" t="str">
        <f>IFERROR(COUNTIF($C$18:C556,C556)&amp;CHOOSE(MIN(4,COUNTIF($C$18:C556,C556)),"st","nd","rd","th"),"")</f>
        <v/>
      </c>
    </row>
    <row r="557" spans="8:14" x14ac:dyDescent="0.25">
      <c r="H557" s="245" t="str">
        <f t="shared" si="8"/>
        <v/>
      </c>
      <c r="N557" s="233" t="str">
        <f>IFERROR(COUNTIF($C$18:C557,C557)&amp;CHOOSE(MIN(4,COUNTIF($C$18:C557,C557)),"st","nd","rd","th"),"")</f>
        <v/>
      </c>
    </row>
    <row r="558" spans="8:14" x14ac:dyDescent="0.25">
      <c r="H558" s="245" t="str">
        <f t="shared" si="8"/>
        <v/>
      </c>
      <c r="N558" s="233" t="str">
        <f>IFERROR(COUNTIF($C$18:C558,C558)&amp;CHOOSE(MIN(4,COUNTIF($C$18:C558,C558)),"st","nd","rd","th"),"")</f>
        <v/>
      </c>
    </row>
    <row r="559" spans="8:14" x14ac:dyDescent="0.25">
      <c r="H559" s="245" t="str">
        <f t="shared" si="8"/>
        <v/>
      </c>
      <c r="N559" s="233" t="str">
        <f>IFERROR(COUNTIF($C$18:C559,C559)&amp;CHOOSE(MIN(4,COUNTIF($C$18:C559,C559)),"st","nd","rd","th"),"")</f>
        <v/>
      </c>
    </row>
    <row r="560" spans="8:14" x14ac:dyDescent="0.25">
      <c r="H560" s="245" t="str">
        <f t="shared" si="8"/>
        <v/>
      </c>
      <c r="N560" s="233" t="str">
        <f>IFERROR(COUNTIF($C$18:C560,C560)&amp;CHOOSE(MIN(4,COUNTIF($C$18:C560,C560)),"st","nd","rd","th"),"")</f>
        <v/>
      </c>
    </row>
    <row r="561" spans="8:14" x14ac:dyDescent="0.25">
      <c r="H561" s="245" t="str">
        <f t="shared" si="8"/>
        <v/>
      </c>
      <c r="N561" s="233" t="str">
        <f>IFERROR(COUNTIF($C$18:C561,C561)&amp;CHOOSE(MIN(4,COUNTIF($C$18:C561,C561)),"st","nd","rd","th"),"")</f>
        <v/>
      </c>
    </row>
    <row r="562" spans="8:14" x14ac:dyDescent="0.25">
      <c r="H562" s="245" t="str">
        <f t="shared" si="8"/>
        <v/>
      </c>
      <c r="N562" s="233" t="str">
        <f>IFERROR(COUNTIF($C$18:C562,C562)&amp;CHOOSE(MIN(4,COUNTIF($C$18:C562,C562)),"st","nd","rd","th"),"")</f>
        <v/>
      </c>
    </row>
    <row r="563" spans="8:14" x14ac:dyDescent="0.25">
      <c r="H563" s="245" t="str">
        <f t="shared" si="8"/>
        <v/>
      </c>
      <c r="N563" s="233" t="str">
        <f>IFERROR(COUNTIF($C$18:C563,C563)&amp;CHOOSE(MIN(4,COUNTIF($C$18:C563,C563)),"st","nd","rd","th"),"")</f>
        <v/>
      </c>
    </row>
    <row r="564" spans="8:14" x14ac:dyDescent="0.25">
      <c r="H564" s="245" t="str">
        <f t="shared" si="8"/>
        <v/>
      </c>
      <c r="N564" s="233" t="str">
        <f>IFERROR(COUNTIF($C$18:C564,C564)&amp;CHOOSE(MIN(4,COUNTIF($C$18:C564,C564)),"st","nd","rd","th"),"")</f>
        <v/>
      </c>
    </row>
    <row r="565" spans="8:14" x14ac:dyDescent="0.25">
      <c r="H565" s="245" t="str">
        <f t="shared" si="8"/>
        <v/>
      </c>
      <c r="N565" s="233" t="str">
        <f>IFERROR(COUNTIF($C$18:C565,C565)&amp;CHOOSE(MIN(4,COUNTIF($C$18:C565,C565)),"st","nd","rd","th"),"")</f>
        <v/>
      </c>
    </row>
    <row r="566" spans="8:14" x14ac:dyDescent="0.25">
      <c r="H566" s="245" t="str">
        <f t="shared" si="8"/>
        <v/>
      </c>
      <c r="N566" s="233" t="str">
        <f>IFERROR(COUNTIF($C$18:C566,C566)&amp;CHOOSE(MIN(4,COUNTIF($C$18:C566,C566)),"st","nd","rd","th"),"")</f>
        <v/>
      </c>
    </row>
    <row r="567" spans="8:14" x14ac:dyDescent="0.25">
      <c r="H567" s="245" t="str">
        <f t="shared" si="8"/>
        <v/>
      </c>
      <c r="N567" s="233" t="str">
        <f>IFERROR(COUNTIF($C$18:C567,C567)&amp;CHOOSE(MIN(4,COUNTIF($C$18:C567,C567)),"st","nd","rd","th"),"")</f>
        <v/>
      </c>
    </row>
    <row r="568" spans="8:14" x14ac:dyDescent="0.25">
      <c r="H568" s="245" t="str">
        <f t="shared" si="8"/>
        <v/>
      </c>
      <c r="N568" s="233" t="str">
        <f>IFERROR(COUNTIF($C$18:C568,C568)&amp;CHOOSE(MIN(4,COUNTIF($C$18:C568,C568)),"st","nd","rd","th"),"")</f>
        <v/>
      </c>
    </row>
    <row r="569" spans="8:14" x14ac:dyDescent="0.25">
      <c r="H569" s="245" t="str">
        <f t="shared" si="8"/>
        <v/>
      </c>
      <c r="N569" s="233" t="str">
        <f>IFERROR(COUNTIF($C$18:C569,C569)&amp;CHOOSE(MIN(4,COUNTIF($C$18:C569,C569)),"st","nd","rd","th"),"")</f>
        <v/>
      </c>
    </row>
    <row r="570" spans="8:14" x14ac:dyDescent="0.25">
      <c r="H570" s="245" t="str">
        <f t="shared" si="8"/>
        <v/>
      </c>
      <c r="N570" s="233" t="str">
        <f>IFERROR(COUNTIF($C$18:C570,C570)&amp;CHOOSE(MIN(4,COUNTIF($C$18:C570,C570)),"st","nd","rd","th"),"")</f>
        <v/>
      </c>
    </row>
    <row r="571" spans="8:14" x14ac:dyDescent="0.25">
      <c r="H571" s="245" t="str">
        <f t="shared" si="8"/>
        <v/>
      </c>
      <c r="N571" s="233" t="str">
        <f>IFERROR(COUNTIF($C$18:C571,C571)&amp;CHOOSE(MIN(4,COUNTIF($C$18:C571,C571)),"st","nd","rd","th"),"")</f>
        <v/>
      </c>
    </row>
    <row r="572" spans="8:14" x14ac:dyDescent="0.25">
      <c r="H572" s="245" t="str">
        <f t="shared" si="8"/>
        <v/>
      </c>
      <c r="N572" s="233" t="str">
        <f>IFERROR(COUNTIF($C$18:C572,C572)&amp;CHOOSE(MIN(4,COUNTIF($C$18:C572,C572)),"st","nd","rd","th"),"")</f>
        <v/>
      </c>
    </row>
    <row r="573" spans="8:14" x14ac:dyDescent="0.25">
      <c r="H573" s="245" t="str">
        <f t="shared" si="8"/>
        <v/>
      </c>
      <c r="N573" s="233" t="str">
        <f>IFERROR(COUNTIF($C$18:C573,C573)&amp;CHOOSE(MIN(4,COUNTIF($C$18:C573,C573)),"st","nd","rd","th"),"")</f>
        <v/>
      </c>
    </row>
    <row r="574" spans="8:14" x14ac:dyDescent="0.25">
      <c r="H574" s="245" t="str">
        <f t="shared" si="8"/>
        <v/>
      </c>
      <c r="N574" s="233" t="str">
        <f>IFERROR(COUNTIF($C$18:C574,C574)&amp;CHOOSE(MIN(4,COUNTIF($C$18:C574,C574)),"st","nd","rd","th"),"")</f>
        <v/>
      </c>
    </row>
    <row r="575" spans="8:14" x14ac:dyDescent="0.25">
      <c r="H575" s="245" t="str">
        <f t="shared" si="8"/>
        <v/>
      </c>
      <c r="N575" s="233" t="str">
        <f>IFERROR(COUNTIF($C$18:C575,C575)&amp;CHOOSE(MIN(4,COUNTIF($C$18:C575,C575)),"st","nd","rd","th"),"")</f>
        <v/>
      </c>
    </row>
    <row r="576" spans="8:14" x14ac:dyDescent="0.25">
      <c r="H576" s="245" t="str">
        <f t="shared" si="8"/>
        <v/>
      </c>
      <c r="N576" s="233" t="str">
        <f>IFERROR(COUNTIF($C$18:C576,C576)&amp;CHOOSE(MIN(4,COUNTIF($C$18:C576,C576)),"st","nd","rd","th"),"")</f>
        <v/>
      </c>
    </row>
    <row r="577" spans="8:14" x14ac:dyDescent="0.25">
      <c r="H577" s="245" t="str">
        <f t="shared" si="8"/>
        <v/>
      </c>
      <c r="N577" s="233" t="str">
        <f>IFERROR(COUNTIF($C$18:C577,C577)&amp;CHOOSE(MIN(4,COUNTIF($C$18:C577,C577)),"st","nd","rd","th"),"")</f>
        <v/>
      </c>
    </row>
    <row r="578" spans="8:14" x14ac:dyDescent="0.25">
      <c r="H578" s="245" t="str">
        <f t="shared" si="8"/>
        <v/>
      </c>
      <c r="N578" s="233" t="str">
        <f>IFERROR(COUNTIF($C$18:C578,C578)&amp;CHOOSE(MIN(4,COUNTIF($C$18:C578,C578)),"st","nd","rd","th"),"")</f>
        <v/>
      </c>
    </row>
    <row r="579" spans="8:14" x14ac:dyDescent="0.25">
      <c r="H579" s="245" t="str">
        <f t="shared" si="8"/>
        <v/>
      </c>
      <c r="N579" s="233" t="str">
        <f>IFERROR(COUNTIF($C$18:C579,C579)&amp;CHOOSE(MIN(4,COUNTIF($C$18:C579,C579)),"st","nd","rd","th"),"")</f>
        <v/>
      </c>
    </row>
    <row r="580" spans="8:14" x14ac:dyDescent="0.25">
      <c r="H580" s="245" t="str">
        <f t="shared" si="8"/>
        <v/>
      </c>
      <c r="N580" s="233" t="str">
        <f>IFERROR(COUNTIF($C$18:C580,C580)&amp;CHOOSE(MIN(4,COUNTIF($C$18:C580,C580)),"st","nd","rd","th"),"")</f>
        <v/>
      </c>
    </row>
    <row r="581" spans="8:14" x14ac:dyDescent="0.25">
      <c r="H581" s="245" t="str">
        <f t="shared" si="8"/>
        <v/>
      </c>
      <c r="N581" s="233" t="str">
        <f>IFERROR(COUNTIF($C$18:C581,C581)&amp;CHOOSE(MIN(4,COUNTIF($C$18:C581,C581)),"st","nd","rd","th"),"")</f>
        <v/>
      </c>
    </row>
    <row r="582" spans="8:14" x14ac:dyDescent="0.25">
      <c r="H582" s="245" t="str">
        <f t="shared" si="8"/>
        <v/>
      </c>
      <c r="N582" s="233" t="str">
        <f>IFERROR(COUNTIF($C$18:C582,C582)&amp;CHOOSE(MIN(4,COUNTIF($C$18:C582,C582)),"st","nd","rd","th"),"")</f>
        <v/>
      </c>
    </row>
    <row r="583" spans="8:14" x14ac:dyDescent="0.25">
      <c r="H583" s="245" t="str">
        <f t="shared" si="8"/>
        <v/>
      </c>
      <c r="N583" s="233" t="str">
        <f>IFERROR(COUNTIF($C$18:C583,C583)&amp;CHOOSE(MIN(4,COUNTIF($C$18:C583,C583)),"st","nd","rd","th"),"")</f>
        <v/>
      </c>
    </row>
    <row r="584" spans="8:14" x14ac:dyDescent="0.25">
      <c r="H584" s="245" t="str">
        <f t="shared" si="8"/>
        <v/>
      </c>
      <c r="N584" s="233" t="str">
        <f>IFERROR(COUNTIF($C$18:C584,C584)&amp;CHOOSE(MIN(4,COUNTIF($C$18:C584,C584)),"st","nd","rd","th"),"")</f>
        <v/>
      </c>
    </row>
    <row r="585" spans="8:14" x14ac:dyDescent="0.25">
      <c r="H585" s="245" t="str">
        <f t="shared" si="8"/>
        <v/>
      </c>
      <c r="N585" s="233" t="str">
        <f>IFERROR(COUNTIF($C$18:C585,C585)&amp;CHOOSE(MIN(4,COUNTIF($C$18:C585,C585)),"st","nd","rd","th"),"")</f>
        <v/>
      </c>
    </row>
    <row r="586" spans="8:14" x14ac:dyDescent="0.25">
      <c r="H586" s="245" t="str">
        <f t="shared" si="8"/>
        <v/>
      </c>
      <c r="N586" s="233" t="str">
        <f>IFERROR(COUNTIF($C$18:C586,C586)&amp;CHOOSE(MIN(4,COUNTIF($C$18:C586,C586)),"st","nd","rd","th"),"")</f>
        <v/>
      </c>
    </row>
    <row r="587" spans="8:14" x14ac:dyDescent="0.25">
      <c r="H587" s="245" t="str">
        <f t="shared" si="8"/>
        <v/>
      </c>
      <c r="N587" s="233" t="str">
        <f>IFERROR(COUNTIF($C$18:C587,C587)&amp;CHOOSE(MIN(4,COUNTIF($C$18:C587,C587)),"st","nd","rd","th"),"")</f>
        <v/>
      </c>
    </row>
    <row r="588" spans="8:14" x14ac:dyDescent="0.25">
      <c r="H588" s="245" t="str">
        <f t="shared" si="8"/>
        <v/>
      </c>
      <c r="N588" s="233" t="str">
        <f>IFERROR(COUNTIF($C$18:C588,C588)&amp;CHOOSE(MIN(4,COUNTIF($C$18:C588,C588)),"st","nd","rd","th"),"")</f>
        <v/>
      </c>
    </row>
    <row r="589" spans="8:14" x14ac:dyDescent="0.25">
      <c r="H589" s="245" t="str">
        <f t="shared" si="8"/>
        <v/>
      </c>
      <c r="N589" s="233" t="str">
        <f>IFERROR(COUNTIF($C$18:C589,C589)&amp;CHOOSE(MIN(4,COUNTIF($C$18:C589,C589)),"st","nd","rd","th"),"")</f>
        <v/>
      </c>
    </row>
    <row r="590" spans="8:14" x14ac:dyDescent="0.25">
      <c r="H590" s="245" t="str">
        <f t="shared" si="8"/>
        <v/>
      </c>
      <c r="N590" s="233" t="str">
        <f>IFERROR(COUNTIF($C$18:C590,C590)&amp;CHOOSE(MIN(4,COUNTIF($C$18:C590,C590)),"st","nd","rd","th"),"")</f>
        <v/>
      </c>
    </row>
    <row r="591" spans="8:14" x14ac:dyDescent="0.25">
      <c r="H591" s="245" t="str">
        <f t="shared" ref="H591:H654" si="9">IF(OR(ISBLANK(G591), ISBLANK(F591)), "", IF(G591=F591, 1, SUM(_xlfn.DAYS(G591, F591), 1)))</f>
        <v/>
      </c>
      <c r="N591" s="233" t="str">
        <f>IFERROR(COUNTIF($C$18:C591,C591)&amp;CHOOSE(MIN(4,COUNTIF($C$18:C591,C591)),"st","nd","rd","th"),"")</f>
        <v/>
      </c>
    </row>
    <row r="592" spans="8:14" x14ac:dyDescent="0.25">
      <c r="H592" s="245" t="str">
        <f t="shared" si="9"/>
        <v/>
      </c>
      <c r="N592" s="233" t="str">
        <f>IFERROR(COUNTIF($C$18:C592,C592)&amp;CHOOSE(MIN(4,COUNTIF($C$18:C592,C592)),"st","nd","rd","th"),"")</f>
        <v/>
      </c>
    </row>
    <row r="593" spans="8:14" x14ac:dyDescent="0.25">
      <c r="H593" s="245" t="str">
        <f t="shared" si="9"/>
        <v/>
      </c>
      <c r="N593" s="233" t="str">
        <f>IFERROR(COUNTIF($C$18:C593,C593)&amp;CHOOSE(MIN(4,COUNTIF($C$18:C593,C593)),"st","nd","rd","th"),"")</f>
        <v/>
      </c>
    </row>
    <row r="594" spans="8:14" x14ac:dyDescent="0.25">
      <c r="H594" s="245" t="str">
        <f t="shared" si="9"/>
        <v/>
      </c>
      <c r="N594" s="233" t="str">
        <f>IFERROR(COUNTIF($C$18:C594,C594)&amp;CHOOSE(MIN(4,COUNTIF($C$18:C594,C594)),"st","nd","rd","th"),"")</f>
        <v/>
      </c>
    </row>
    <row r="595" spans="8:14" x14ac:dyDescent="0.25">
      <c r="H595" s="245" t="str">
        <f t="shared" si="9"/>
        <v/>
      </c>
      <c r="N595" s="233" t="str">
        <f>IFERROR(COUNTIF($C$18:C595,C595)&amp;CHOOSE(MIN(4,COUNTIF($C$18:C595,C595)),"st","nd","rd","th"),"")</f>
        <v/>
      </c>
    </row>
    <row r="596" spans="8:14" x14ac:dyDescent="0.25">
      <c r="H596" s="245" t="str">
        <f t="shared" si="9"/>
        <v/>
      </c>
      <c r="N596" s="233" t="str">
        <f>IFERROR(COUNTIF($C$18:C596,C596)&amp;CHOOSE(MIN(4,COUNTIF($C$18:C596,C596)),"st","nd","rd","th"),"")</f>
        <v/>
      </c>
    </row>
    <row r="597" spans="8:14" x14ac:dyDescent="0.25">
      <c r="H597" s="245" t="str">
        <f t="shared" si="9"/>
        <v/>
      </c>
      <c r="N597" s="233" t="str">
        <f>IFERROR(COUNTIF($C$18:C597,C597)&amp;CHOOSE(MIN(4,COUNTIF($C$18:C597,C597)),"st","nd","rd","th"),"")</f>
        <v/>
      </c>
    </row>
    <row r="598" spans="8:14" x14ac:dyDescent="0.25">
      <c r="H598" s="245" t="str">
        <f t="shared" si="9"/>
        <v/>
      </c>
      <c r="N598" s="233" t="str">
        <f>IFERROR(COUNTIF($C$18:C598,C598)&amp;CHOOSE(MIN(4,COUNTIF($C$18:C598,C598)),"st","nd","rd","th"),"")</f>
        <v/>
      </c>
    </row>
    <row r="599" spans="8:14" x14ac:dyDescent="0.25">
      <c r="H599" s="245" t="str">
        <f t="shared" si="9"/>
        <v/>
      </c>
      <c r="N599" s="233" t="str">
        <f>IFERROR(COUNTIF($C$18:C599,C599)&amp;CHOOSE(MIN(4,COUNTIF($C$18:C599,C599)),"st","nd","rd","th"),"")</f>
        <v/>
      </c>
    </row>
    <row r="600" spans="8:14" x14ac:dyDescent="0.25">
      <c r="H600" s="245" t="str">
        <f t="shared" si="9"/>
        <v/>
      </c>
      <c r="N600" s="233" t="str">
        <f>IFERROR(COUNTIF($C$18:C600,C600)&amp;CHOOSE(MIN(4,COUNTIF($C$18:C600,C600)),"st","nd","rd","th"),"")</f>
        <v/>
      </c>
    </row>
    <row r="601" spans="8:14" x14ac:dyDescent="0.25">
      <c r="H601" s="245" t="str">
        <f t="shared" si="9"/>
        <v/>
      </c>
      <c r="N601" s="233" t="str">
        <f>IFERROR(COUNTIF($C$18:C601,C601)&amp;CHOOSE(MIN(4,COUNTIF($C$18:C601,C601)),"st","nd","rd","th"),"")</f>
        <v/>
      </c>
    </row>
    <row r="602" spans="8:14" x14ac:dyDescent="0.25">
      <c r="H602" s="245" t="str">
        <f t="shared" si="9"/>
        <v/>
      </c>
      <c r="N602" s="233" t="str">
        <f>IFERROR(COUNTIF($C$18:C602,C602)&amp;CHOOSE(MIN(4,COUNTIF($C$18:C602,C602)),"st","nd","rd","th"),"")</f>
        <v/>
      </c>
    </row>
    <row r="603" spans="8:14" x14ac:dyDescent="0.25">
      <c r="H603" s="245" t="str">
        <f t="shared" si="9"/>
        <v/>
      </c>
      <c r="N603" s="233" t="str">
        <f>IFERROR(COUNTIF($C$18:C603,C603)&amp;CHOOSE(MIN(4,COUNTIF($C$18:C603,C603)),"st","nd","rd","th"),"")</f>
        <v/>
      </c>
    </row>
    <row r="604" spans="8:14" x14ac:dyDescent="0.25">
      <c r="H604" s="245" t="str">
        <f t="shared" si="9"/>
        <v/>
      </c>
      <c r="N604" s="233" t="str">
        <f>IFERROR(COUNTIF($C$18:C604,C604)&amp;CHOOSE(MIN(4,COUNTIF($C$18:C604,C604)),"st","nd","rd","th"),"")</f>
        <v/>
      </c>
    </row>
    <row r="605" spans="8:14" x14ac:dyDescent="0.25">
      <c r="H605" s="245" t="str">
        <f t="shared" si="9"/>
        <v/>
      </c>
      <c r="N605" s="233" t="str">
        <f>IFERROR(COUNTIF($C$18:C605,C605)&amp;CHOOSE(MIN(4,COUNTIF($C$18:C605,C605)),"st","nd","rd","th"),"")</f>
        <v/>
      </c>
    </row>
    <row r="606" spans="8:14" x14ac:dyDescent="0.25">
      <c r="H606" s="245" t="str">
        <f t="shared" si="9"/>
        <v/>
      </c>
      <c r="N606" s="233" t="str">
        <f>IFERROR(COUNTIF($C$18:C606,C606)&amp;CHOOSE(MIN(4,COUNTIF($C$18:C606,C606)),"st","nd","rd","th"),"")</f>
        <v/>
      </c>
    </row>
    <row r="607" spans="8:14" x14ac:dyDescent="0.25">
      <c r="H607" s="245" t="str">
        <f t="shared" si="9"/>
        <v/>
      </c>
      <c r="N607" s="233" t="str">
        <f>IFERROR(COUNTIF($C$18:C607,C607)&amp;CHOOSE(MIN(4,COUNTIF($C$18:C607,C607)),"st","nd","rd","th"),"")</f>
        <v/>
      </c>
    </row>
    <row r="608" spans="8:14" x14ac:dyDescent="0.25">
      <c r="H608" s="245" t="str">
        <f t="shared" si="9"/>
        <v/>
      </c>
      <c r="N608" s="233" t="str">
        <f>IFERROR(COUNTIF($C$18:C608,C608)&amp;CHOOSE(MIN(4,COUNTIF($C$18:C608,C608)),"st","nd","rd","th"),"")</f>
        <v/>
      </c>
    </row>
    <row r="609" spans="8:14" x14ac:dyDescent="0.25">
      <c r="H609" s="245" t="str">
        <f t="shared" si="9"/>
        <v/>
      </c>
      <c r="N609" s="233" t="str">
        <f>IFERROR(COUNTIF($C$18:C609,C609)&amp;CHOOSE(MIN(4,COUNTIF($C$18:C609,C609)),"st","nd","rd","th"),"")</f>
        <v/>
      </c>
    </row>
    <row r="610" spans="8:14" x14ac:dyDescent="0.25">
      <c r="H610" s="245" t="str">
        <f t="shared" si="9"/>
        <v/>
      </c>
      <c r="N610" s="233" t="str">
        <f>IFERROR(COUNTIF($C$18:C610,C610)&amp;CHOOSE(MIN(4,COUNTIF($C$18:C610,C610)),"st","nd","rd","th"),"")</f>
        <v/>
      </c>
    </row>
    <row r="611" spans="8:14" x14ac:dyDescent="0.25">
      <c r="H611" s="245" t="str">
        <f t="shared" si="9"/>
        <v/>
      </c>
      <c r="N611" s="233" t="str">
        <f>IFERROR(COUNTIF($C$18:C611,C611)&amp;CHOOSE(MIN(4,COUNTIF($C$18:C611,C611)),"st","nd","rd","th"),"")</f>
        <v/>
      </c>
    </row>
    <row r="612" spans="8:14" x14ac:dyDescent="0.25">
      <c r="H612" s="245" t="str">
        <f t="shared" si="9"/>
        <v/>
      </c>
      <c r="N612" s="233" t="str">
        <f>IFERROR(COUNTIF($C$18:C612,C612)&amp;CHOOSE(MIN(4,COUNTIF($C$18:C612,C612)),"st","nd","rd","th"),"")</f>
        <v/>
      </c>
    </row>
    <row r="613" spans="8:14" x14ac:dyDescent="0.25">
      <c r="H613" s="245" t="str">
        <f t="shared" si="9"/>
        <v/>
      </c>
      <c r="N613" s="233" t="str">
        <f>IFERROR(COUNTIF($C$18:C613,C613)&amp;CHOOSE(MIN(4,COUNTIF($C$18:C613,C613)),"st","nd","rd","th"),"")</f>
        <v/>
      </c>
    </row>
    <row r="614" spans="8:14" x14ac:dyDescent="0.25">
      <c r="H614" s="245" t="str">
        <f t="shared" si="9"/>
        <v/>
      </c>
      <c r="N614" s="233" t="str">
        <f>IFERROR(COUNTIF($C$18:C614,C614)&amp;CHOOSE(MIN(4,COUNTIF($C$18:C614,C614)),"st","nd","rd","th"),"")</f>
        <v/>
      </c>
    </row>
    <row r="615" spans="8:14" x14ac:dyDescent="0.25">
      <c r="H615" s="245" t="str">
        <f t="shared" si="9"/>
        <v/>
      </c>
      <c r="N615" s="233" t="str">
        <f>IFERROR(COUNTIF($C$18:C615,C615)&amp;CHOOSE(MIN(4,COUNTIF($C$18:C615,C615)),"st","nd","rd","th"),"")</f>
        <v/>
      </c>
    </row>
    <row r="616" spans="8:14" x14ac:dyDescent="0.25">
      <c r="H616" s="245" t="str">
        <f t="shared" si="9"/>
        <v/>
      </c>
      <c r="N616" s="233" t="str">
        <f>IFERROR(COUNTIF($C$18:C616,C616)&amp;CHOOSE(MIN(4,COUNTIF($C$18:C616,C616)),"st","nd","rd","th"),"")</f>
        <v/>
      </c>
    </row>
    <row r="617" spans="8:14" x14ac:dyDescent="0.25">
      <c r="H617" s="245" t="str">
        <f t="shared" si="9"/>
        <v/>
      </c>
      <c r="N617" s="233" t="str">
        <f>IFERROR(COUNTIF($C$18:C617,C617)&amp;CHOOSE(MIN(4,COUNTIF($C$18:C617,C617)),"st","nd","rd","th"),"")</f>
        <v/>
      </c>
    </row>
    <row r="618" spans="8:14" x14ac:dyDescent="0.25">
      <c r="H618" s="245" t="str">
        <f t="shared" si="9"/>
        <v/>
      </c>
      <c r="N618" s="233" t="str">
        <f>IFERROR(COUNTIF($C$18:C618,C618)&amp;CHOOSE(MIN(4,COUNTIF($C$18:C618,C618)),"st","nd","rd","th"),"")</f>
        <v/>
      </c>
    </row>
    <row r="619" spans="8:14" x14ac:dyDescent="0.25">
      <c r="H619" s="245" t="str">
        <f t="shared" si="9"/>
        <v/>
      </c>
      <c r="N619" s="233" t="str">
        <f>IFERROR(COUNTIF($C$18:C619,C619)&amp;CHOOSE(MIN(4,COUNTIF($C$18:C619,C619)),"st","nd","rd","th"),"")</f>
        <v/>
      </c>
    </row>
    <row r="620" spans="8:14" x14ac:dyDescent="0.25">
      <c r="H620" s="245" t="str">
        <f t="shared" si="9"/>
        <v/>
      </c>
      <c r="N620" s="233" t="str">
        <f>IFERROR(COUNTIF($C$18:C620,C620)&amp;CHOOSE(MIN(4,COUNTIF($C$18:C620,C620)),"st","nd","rd","th"),"")</f>
        <v/>
      </c>
    </row>
    <row r="621" spans="8:14" x14ac:dyDescent="0.25">
      <c r="H621" s="245" t="str">
        <f t="shared" si="9"/>
        <v/>
      </c>
      <c r="N621" s="233" t="str">
        <f>IFERROR(COUNTIF($C$18:C621,C621)&amp;CHOOSE(MIN(4,COUNTIF($C$18:C621,C621)),"st","nd","rd","th"),"")</f>
        <v/>
      </c>
    </row>
    <row r="622" spans="8:14" x14ac:dyDescent="0.25">
      <c r="H622" s="245" t="str">
        <f t="shared" si="9"/>
        <v/>
      </c>
      <c r="N622" s="233" t="str">
        <f>IFERROR(COUNTIF($C$18:C622,C622)&amp;CHOOSE(MIN(4,COUNTIF($C$18:C622,C622)),"st","nd","rd","th"),"")</f>
        <v/>
      </c>
    </row>
    <row r="623" spans="8:14" x14ac:dyDescent="0.25">
      <c r="H623" s="245" t="str">
        <f t="shared" si="9"/>
        <v/>
      </c>
      <c r="N623" s="233" t="str">
        <f>IFERROR(COUNTIF($C$18:C623,C623)&amp;CHOOSE(MIN(4,COUNTIF($C$18:C623,C623)),"st","nd","rd","th"),"")</f>
        <v/>
      </c>
    </row>
    <row r="624" spans="8:14" x14ac:dyDescent="0.25">
      <c r="H624" s="245" t="str">
        <f t="shared" si="9"/>
        <v/>
      </c>
      <c r="N624" s="233" t="str">
        <f>IFERROR(COUNTIF($C$18:C624,C624)&amp;CHOOSE(MIN(4,COUNTIF($C$18:C624,C624)),"st","nd","rd","th"),"")</f>
        <v/>
      </c>
    </row>
    <row r="625" spans="8:14" x14ac:dyDescent="0.25">
      <c r="H625" s="245" t="str">
        <f t="shared" si="9"/>
        <v/>
      </c>
      <c r="N625" s="233" t="str">
        <f>IFERROR(COUNTIF($C$18:C625,C625)&amp;CHOOSE(MIN(4,COUNTIF($C$18:C625,C625)),"st","nd","rd","th"),"")</f>
        <v/>
      </c>
    </row>
    <row r="626" spans="8:14" x14ac:dyDescent="0.25">
      <c r="H626" s="245" t="str">
        <f t="shared" si="9"/>
        <v/>
      </c>
      <c r="N626" s="233" t="str">
        <f>IFERROR(COUNTIF($C$18:C626,C626)&amp;CHOOSE(MIN(4,COUNTIF($C$18:C626,C626)),"st","nd","rd","th"),"")</f>
        <v/>
      </c>
    </row>
    <row r="627" spans="8:14" x14ac:dyDescent="0.25">
      <c r="H627" s="245" t="str">
        <f t="shared" si="9"/>
        <v/>
      </c>
      <c r="N627" s="233" t="str">
        <f>IFERROR(COUNTIF($C$18:C627,C627)&amp;CHOOSE(MIN(4,COUNTIF($C$18:C627,C627)),"st","nd","rd","th"),"")</f>
        <v/>
      </c>
    </row>
    <row r="628" spans="8:14" x14ac:dyDescent="0.25">
      <c r="H628" s="245" t="str">
        <f t="shared" si="9"/>
        <v/>
      </c>
      <c r="N628" s="233" t="str">
        <f>IFERROR(COUNTIF($C$18:C628,C628)&amp;CHOOSE(MIN(4,COUNTIF($C$18:C628,C628)),"st","nd","rd","th"),"")</f>
        <v/>
      </c>
    </row>
    <row r="629" spans="8:14" x14ac:dyDescent="0.25">
      <c r="H629" s="245" t="str">
        <f t="shared" si="9"/>
        <v/>
      </c>
      <c r="N629" s="233" t="str">
        <f>IFERROR(COUNTIF($C$18:C629,C629)&amp;CHOOSE(MIN(4,COUNTIF($C$18:C629,C629)),"st","nd","rd","th"),"")</f>
        <v/>
      </c>
    </row>
    <row r="630" spans="8:14" x14ac:dyDescent="0.25">
      <c r="H630" s="245" t="str">
        <f t="shared" si="9"/>
        <v/>
      </c>
      <c r="N630" s="233" t="str">
        <f>IFERROR(COUNTIF($C$18:C630,C630)&amp;CHOOSE(MIN(4,COUNTIF($C$18:C630,C630)),"st","nd","rd","th"),"")</f>
        <v/>
      </c>
    </row>
    <row r="631" spans="8:14" x14ac:dyDescent="0.25">
      <c r="H631" s="245" t="str">
        <f t="shared" si="9"/>
        <v/>
      </c>
      <c r="N631" s="233" t="str">
        <f>IFERROR(COUNTIF($C$18:C631,C631)&amp;CHOOSE(MIN(4,COUNTIF($C$18:C631,C631)),"st","nd","rd","th"),"")</f>
        <v/>
      </c>
    </row>
    <row r="632" spans="8:14" x14ac:dyDescent="0.25">
      <c r="H632" s="245" t="str">
        <f t="shared" si="9"/>
        <v/>
      </c>
      <c r="N632" s="233" t="str">
        <f>IFERROR(COUNTIF($C$18:C632,C632)&amp;CHOOSE(MIN(4,COUNTIF($C$18:C632,C632)),"st","nd","rd","th"),"")</f>
        <v/>
      </c>
    </row>
    <row r="633" spans="8:14" x14ac:dyDescent="0.25">
      <c r="H633" s="245" t="str">
        <f t="shared" si="9"/>
        <v/>
      </c>
      <c r="N633" s="233" t="str">
        <f>IFERROR(COUNTIF($C$18:C633,C633)&amp;CHOOSE(MIN(4,COUNTIF($C$18:C633,C633)),"st","nd","rd","th"),"")</f>
        <v/>
      </c>
    </row>
    <row r="634" spans="8:14" x14ac:dyDescent="0.25">
      <c r="H634" s="245" t="str">
        <f t="shared" si="9"/>
        <v/>
      </c>
      <c r="N634" s="233" t="str">
        <f>IFERROR(COUNTIF($C$18:C634,C634)&amp;CHOOSE(MIN(4,COUNTIF($C$18:C634,C634)),"st","nd","rd","th"),"")</f>
        <v/>
      </c>
    </row>
    <row r="635" spans="8:14" x14ac:dyDescent="0.25">
      <c r="H635" s="245" t="str">
        <f t="shared" si="9"/>
        <v/>
      </c>
      <c r="N635" s="233" t="str">
        <f>IFERROR(COUNTIF($C$18:C635,C635)&amp;CHOOSE(MIN(4,COUNTIF($C$18:C635,C635)),"st","nd","rd","th"),"")</f>
        <v/>
      </c>
    </row>
    <row r="636" spans="8:14" x14ac:dyDescent="0.25">
      <c r="H636" s="245" t="str">
        <f t="shared" si="9"/>
        <v/>
      </c>
      <c r="N636" s="233" t="str">
        <f>IFERROR(COUNTIF($C$18:C636,C636)&amp;CHOOSE(MIN(4,COUNTIF($C$18:C636,C636)),"st","nd","rd","th"),"")</f>
        <v/>
      </c>
    </row>
    <row r="637" spans="8:14" x14ac:dyDescent="0.25">
      <c r="H637" s="245" t="str">
        <f t="shared" si="9"/>
        <v/>
      </c>
      <c r="N637" s="233" t="str">
        <f>IFERROR(COUNTIF($C$18:C637,C637)&amp;CHOOSE(MIN(4,COUNTIF($C$18:C637,C637)),"st","nd","rd","th"),"")</f>
        <v/>
      </c>
    </row>
    <row r="638" spans="8:14" x14ac:dyDescent="0.25">
      <c r="H638" s="245" t="str">
        <f t="shared" si="9"/>
        <v/>
      </c>
      <c r="N638" s="233" t="str">
        <f>IFERROR(COUNTIF($C$18:C638,C638)&amp;CHOOSE(MIN(4,COUNTIF($C$18:C638,C638)),"st","nd","rd","th"),"")</f>
        <v/>
      </c>
    </row>
    <row r="639" spans="8:14" x14ac:dyDescent="0.25">
      <c r="H639" s="245" t="str">
        <f t="shared" si="9"/>
        <v/>
      </c>
      <c r="N639" s="233" t="str">
        <f>IFERROR(COUNTIF($C$18:C639,C639)&amp;CHOOSE(MIN(4,COUNTIF($C$18:C639,C639)),"st","nd","rd","th"),"")</f>
        <v/>
      </c>
    </row>
    <row r="640" spans="8:14" x14ac:dyDescent="0.25">
      <c r="H640" s="245" t="str">
        <f t="shared" si="9"/>
        <v/>
      </c>
      <c r="N640" s="233" t="str">
        <f>IFERROR(COUNTIF($C$18:C640,C640)&amp;CHOOSE(MIN(4,COUNTIF($C$18:C640,C640)),"st","nd","rd","th"),"")</f>
        <v/>
      </c>
    </row>
    <row r="641" spans="8:14" x14ac:dyDescent="0.25">
      <c r="H641" s="245" t="str">
        <f t="shared" si="9"/>
        <v/>
      </c>
      <c r="N641" s="233" t="str">
        <f>IFERROR(COUNTIF($C$18:C641,C641)&amp;CHOOSE(MIN(4,COUNTIF($C$18:C641,C641)),"st","nd","rd","th"),"")</f>
        <v/>
      </c>
    </row>
    <row r="642" spans="8:14" x14ac:dyDescent="0.25">
      <c r="H642" s="245" t="str">
        <f t="shared" si="9"/>
        <v/>
      </c>
      <c r="N642" s="233" t="str">
        <f>IFERROR(COUNTIF($C$18:C642,C642)&amp;CHOOSE(MIN(4,COUNTIF($C$18:C642,C642)),"st","nd","rd","th"),"")</f>
        <v/>
      </c>
    </row>
    <row r="643" spans="8:14" x14ac:dyDescent="0.25">
      <c r="H643" s="245" t="str">
        <f t="shared" si="9"/>
        <v/>
      </c>
      <c r="N643" s="233" t="str">
        <f>IFERROR(COUNTIF($C$18:C643,C643)&amp;CHOOSE(MIN(4,COUNTIF($C$18:C643,C643)),"st","nd","rd","th"),"")</f>
        <v/>
      </c>
    </row>
    <row r="644" spans="8:14" x14ac:dyDescent="0.25">
      <c r="H644" s="245" t="str">
        <f t="shared" si="9"/>
        <v/>
      </c>
      <c r="N644" s="233" t="str">
        <f>IFERROR(COUNTIF($C$18:C644,C644)&amp;CHOOSE(MIN(4,COUNTIF($C$18:C644,C644)),"st","nd","rd","th"),"")</f>
        <v/>
      </c>
    </row>
    <row r="645" spans="8:14" x14ac:dyDescent="0.25">
      <c r="H645" s="245" t="str">
        <f t="shared" si="9"/>
        <v/>
      </c>
      <c r="N645" s="233" t="str">
        <f>IFERROR(COUNTIF($C$18:C645,C645)&amp;CHOOSE(MIN(4,COUNTIF($C$18:C645,C645)),"st","nd","rd","th"),"")</f>
        <v/>
      </c>
    </row>
    <row r="646" spans="8:14" x14ac:dyDescent="0.25">
      <c r="H646" s="245" t="str">
        <f t="shared" si="9"/>
        <v/>
      </c>
      <c r="N646" s="233" t="str">
        <f>IFERROR(COUNTIF($C$18:C646,C646)&amp;CHOOSE(MIN(4,COUNTIF($C$18:C646,C646)),"st","nd","rd","th"),"")</f>
        <v/>
      </c>
    </row>
    <row r="647" spans="8:14" x14ac:dyDescent="0.25">
      <c r="H647" s="245" t="str">
        <f t="shared" si="9"/>
        <v/>
      </c>
      <c r="N647" s="233" t="str">
        <f>IFERROR(COUNTIF($C$18:C647,C647)&amp;CHOOSE(MIN(4,COUNTIF($C$18:C647,C647)),"st","nd","rd","th"),"")</f>
        <v/>
      </c>
    </row>
    <row r="648" spans="8:14" x14ac:dyDescent="0.25">
      <c r="H648" s="245" t="str">
        <f t="shared" si="9"/>
        <v/>
      </c>
      <c r="N648" s="233" t="str">
        <f>IFERROR(COUNTIF($C$18:C648,C648)&amp;CHOOSE(MIN(4,COUNTIF($C$18:C648,C648)),"st","nd","rd","th"),"")</f>
        <v/>
      </c>
    </row>
    <row r="649" spans="8:14" x14ac:dyDescent="0.25">
      <c r="H649" s="245" t="str">
        <f t="shared" si="9"/>
        <v/>
      </c>
      <c r="N649" s="233" t="str">
        <f>IFERROR(COUNTIF($C$18:C649,C649)&amp;CHOOSE(MIN(4,COUNTIF($C$18:C649,C649)),"st","nd","rd","th"),"")</f>
        <v/>
      </c>
    </row>
    <row r="650" spans="8:14" x14ac:dyDescent="0.25">
      <c r="H650" s="245" t="str">
        <f t="shared" si="9"/>
        <v/>
      </c>
      <c r="N650" s="233" t="str">
        <f>IFERROR(COUNTIF($C$18:C650,C650)&amp;CHOOSE(MIN(4,COUNTIF($C$18:C650,C650)),"st","nd","rd","th"),"")</f>
        <v/>
      </c>
    </row>
    <row r="651" spans="8:14" x14ac:dyDescent="0.25">
      <c r="H651" s="245" t="str">
        <f t="shared" si="9"/>
        <v/>
      </c>
      <c r="N651" s="233" t="str">
        <f>IFERROR(COUNTIF($C$18:C651,C651)&amp;CHOOSE(MIN(4,COUNTIF($C$18:C651,C651)),"st","nd","rd","th"),"")</f>
        <v/>
      </c>
    </row>
    <row r="652" spans="8:14" x14ac:dyDescent="0.25">
      <c r="H652" s="245" t="str">
        <f t="shared" si="9"/>
        <v/>
      </c>
      <c r="N652" s="233" t="str">
        <f>IFERROR(COUNTIF($C$18:C652,C652)&amp;CHOOSE(MIN(4,COUNTIF($C$18:C652,C652)),"st","nd","rd","th"),"")</f>
        <v/>
      </c>
    </row>
    <row r="653" spans="8:14" x14ac:dyDescent="0.25">
      <c r="H653" s="245" t="str">
        <f t="shared" si="9"/>
        <v/>
      </c>
      <c r="N653" s="233" t="str">
        <f>IFERROR(COUNTIF($C$18:C653,C653)&amp;CHOOSE(MIN(4,COUNTIF($C$18:C653,C653)),"st","nd","rd","th"),"")</f>
        <v/>
      </c>
    </row>
    <row r="654" spans="8:14" x14ac:dyDescent="0.25">
      <c r="H654" s="245" t="str">
        <f t="shared" si="9"/>
        <v/>
      </c>
      <c r="N654" s="233" t="str">
        <f>IFERROR(COUNTIF($C$18:C654,C654)&amp;CHOOSE(MIN(4,COUNTIF($C$18:C654,C654)),"st","nd","rd","th"),"")</f>
        <v/>
      </c>
    </row>
    <row r="655" spans="8:14" x14ac:dyDescent="0.25">
      <c r="H655" s="245" t="str">
        <f t="shared" ref="H655:H718" si="10">IF(OR(ISBLANK(G655), ISBLANK(F655)), "", IF(G655=F655, 1, SUM(_xlfn.DAYS(G655, F655), 1)))</f>
        <v/>
      </c>
      <c r="N655" s="233" t="str">
        <f>IFERROR(COUNTIF($C$18:C655,C655)&amp;CHOOSE(MIN(4,COUNTIF($C$18:C655,C655)),"st","nd","rd","th"),"")</f>
        <v/>
      </c>
    </row>
    <row r="656" spans="8:14" x14ac:dyDescent="0.25">
      <c r="H656" s="245" t="str">
        <f t="shared" si="10"/>
        <v/>
      </c>
      <c r="N656" s="233" t="str">
        <f>IFERROR(COUNTIF($C$18:C656,C656)&amp;CHOOSE(MIN(4,COUNTIF($C$18:C656,C656)),"st","nd","rd","th"),"")</f>
        <v/>
      </c>
    </row>
    <row r="657" spans="8:14" x14ac:dyDescent="0.25">
      <c r="H657" s="245" t="str">
        <f t="shared" si="10"/>
        <v/>
      </c>
      <c r="N657" s="233" t="str">
        <f>IFERROR(COUNTIF($C$18:C657,C657)&amp;CHOOSE(MIN(4,COUNTIF($C$18:C657,C657)),"st","nd","rd","th"),"")</f>
        <v/>
      </c>
    </row>
    <row r="658" spans="8:14" x14ac:dyDescent="0.25">
      <c r="H658" s="245" t="str">
        <f t="shared" si="10"/>
        <v/>
      </c>
      <c r="N658" s="233" t="str">
        <f>IFERROR(COUNTIF($C$18:C658,C658)&amp;CHOOSE(MIN(4,COUNTIF($C$18:C658,C658)),"st","nd","rd","th"),"")</f>
        <v/>
      </c>
    </row>
    <row r="659" spans="8:14" x14ac:dyDescent="0.25">
      <c r="H659" s="245" t="str">
        <f t="shared" si="10"/>
        <v/>
      </c>
      <c r="N659" s="233" t="str">
        <f>IFERROR(COUNTIF($C$18:C659,C659)&amp;CHOOSE(MIN(4,COUNTIF($C$18:C659,C659)),"st","nd","rd","th"),"")</f>
        <v/>
      </c>
    </row>
    <row r="660" spans="8:14" x14ac:dyDescent="0.25">
      <c r="H660" s="245" t="str">
        <f t="shared" si="10"/>
        <v/>
      </c>
      <c r="N660" s="233" t="str">
        <f>IFERROR(COUNTIF($C$18:C660,C660)&amp;CHOOSE(MIN(4,COUNTIF($C$18:C660,C660)),"st","nd","rd","th"),"")</f>
        <v/>
      </c>
    </row>
    <row r="661" spans="8:14" x14ac:dyDescent="0.25">
      <c r="H661" s="245" t="str">
        <f t="shared" si="10"/>
        <v/>
      </c>
      <c r="N661" s="233" t="str">
        <f>IFERROR(COUNTIF($C$18:C661,C661)&amp;CHOOSE(MIN(4,COUNTIF($C$18:C661,C661)),"st","nd","rd","th"),"")</f>
        <v/>
      </c>
    </row>
    <row r="662" spans="8:14" x14ac:dyDescent="0.25">
      <c r="H662" s="245" t="str">
        <f t="shared" si="10"/>
        <v/>
      </c>
      <c r="N662" s="233" t="str">
        <f>IFERROR(COUNTIF($C$18:C662,C662)&amp;CHOOSE(MIN(4,COUNTIF($C$18:C662,C662)),"st","nd","rd","th"),"")</f>
        <v/>
      </c>
    </row>
    <row r="663" spans="8:14" x14ac:dyDescent="0.25">
      <c r="H663" s="245" t="str">
        <f t="shared" si="10"/>
        <v/>
      </c>
      <c r="N663" s="233" t="str">
        <f>IFERROR(COUNTIF($C$18:C663,C663)&amp;CHOOSE(MIN(4,COUNTIF($C$18:C663,C663)),"st","nd","rd","th"),"")</f>
        <v/>
      </c>
    </row>
    <row r="664" spans="8:14" x14ac:dyDescent="0.25">
      <c r="H664" s="245" t="str">
        <f t="shared" si="10"/>
        <v/>
      </c>
      <c r="N664" s="233" t="str">
        <f>IFERROR(COUNTIF($C$18:C664,C664)&amp;CHOOSE(MIN(4,COUNTIF($C$18:C664,C664)),"st","nd","rd","th"),"")</f>
        <v/>
      </c>
    </row>
    <row r="665" spans="8:14" x14ac:dyDescent="0.25">
      <c r="H665" s="245" t="str">
        <f t="shared" si="10"/>
        <v/>
      </c>
      <c r="N665" s="233" t="str">
        <f>IFERROR(COUNTIF($C$18:C665,C665)&amp;CHOOSE(MIN(4,COUNTIF($C$18:C665,C665)),"st","nd","rd","th"),"")</f>
        <v/>
      </c>
    </row>
    <row r="666" spans="8:14" x14ac:dyDescent="0.25">
      <c r="H666" s="245" t="str">
        <f t="shared" si="10"/>
        <v/>
      </c>
      <c r="N666" s="233" t="str">
        <f>IFERROR(COUNTIF($C$18:C666,C666)&amp;CHOOSE(MIN(4,COUNTIF($C$18:C666,C666)),"st","nd","rd","th"),"")</f>
        <v/>
      </c>
    </row>
    <row r="667" spans="8:14" x14ac:dyDescent="0.25">
      <c r="H667" s="245" t="str">
        <f t="shared" si="10"/>
        <v/>
      </c>
      <c r="N667" s="233" t="str">
        <f>IFERROR(COUNTIF($C$18:C667,C667)&amp;CHOOSE(MIN(4,COUNTIF($C$18:C667,C667)),"st","nd","rd","th"),"")</f>
        <v/>
      </c>
    </row>
    <row r="668" spans="8:14" x14ac:dyDescent="0.25">
      <c r="H668" s="245" t="str">
        <f t="shared" si="10"/>
        <v/>
      </c>
      <c r="N668" s="233" t="str">
        <f>IFERROR(COUNTIF($C$18:C668,C668)&amp;CHOOSE(MIN(4,COUNTIF($C$18:C668,C668)),"st","nd","rd","th"),"")</f>
        <v/>
      </c>
    </row>
    <row r="669" spans="8:14" x14ac:dyDescent="0.25">
      <c r="H669" s="245" t="str">
        <f t="shared" si="10"/>
        <v/>
      </c>
      <c r="N669" s="233" t="str">
        <f>IFERROR(COUNTIF($C$18:C669,C669)&amp;CHOOSE(MIN(4,COUNTIF($C$18:C669,C669)),"st","nd","rd","th"),"")</f>
        <v/>
      </c>
    </row>
    <row r="670" spans="8:14" x14ac:dyDescent="0.25">
      <c r="H670" s="245" t="str">
        <f t="shared" si="10"/>
        <v/>
      </c>
      <c r="N670" s="233" t="str">
        <f>IFERROR(COUNTIF($C$18:C670,C670)&amp;CHOOSE(MIN(4,COUNTIF($C$18:C670,C670)),"st","nd","rd","th"),"")</f>
        <v/>
      </c>
    </row>
    <row r="671" spans="8:14" x14ac:dyDescent="0.25">
      <c r="H671" s="245" t="str">
        <f t="shared" si="10"/>
        <v/>
      </c>
      <c r="N671" s="233" t="str">
        <f>IFERROR(COUNTIF($C$18:C671,C671)&amp;CHOOSE(MIN(4,COUNTIF($C$18:C671,C671)),"st","nd","rd","th"),"")</f>
        <v/>
      </c>
    </row>
    <row r="672" spans="8:14" x14ac:dyDescent="0.25">
      <c r="H672" s="245" t="str">
        <f t="shared" si="10"/>
        <v/>
      </c>
      <c r="N672" s="233" t="str">
        <f>IFERROR(COUNTIF($C$18:C672,C672)&amp;CHOOSE(MIN(4,COUNTIF($C$18:C672,C672)),"st","nd","rd","th"),"")</f>
        <v/>
      </c>
    </row>
    <row r="673" spans="8:14" x14ac:dyDescent="0.25">
      <c r="H673" s="245" t="str">
        <f t="shared" si="10"/>
        <v/>
      </c>
      <c r="N673" s="233" t="str">
        <f>IFERROR(COUNTIF($C$18:C673,C673)&amp;CHOOSE(MIN(4,COUNTIF($C$18:C673,C673)),"st","nd","rd","th"),"")</f>
        <v/>
      </c>
    </row>
    <row r="674" spans="8:14" x14ac:dyDescent="0.25">
      <c r="H674" s="245" t="str">
        <f t="shared" si="10"/>
        <v/>
      </c>
      <c r="N674" s="233" t="str">
        <f>IFERROR(COUNTIF($C$18:C674,C674)&amp;CHOOSE(MIN(4,COUNTIF($C$18:C674,C674)),"st","nd","rd","th"),"")</f>
        <v/>
      </c>
    </row>
    <row r="675" spans="8:14" x14ac:dyDescent="0.25">
      <c r="H675" s="245" t="str">
        <f t="shared" si="10"/>
        <v/>
      </c>
      <c r="N675" s="233" t="str">
        <f>IFERROR(COUNTIF($C$18:C675,C675)&amp;CHOOSE(MIN(4,COUNTIF($C$18:C675,C675)),"st","nd","rd","th"),"")</f>
        <v/>
      </c>
    </row>
    <row r="676" spans="8:14" x14ac:dyDescent="0.25">
      <c r="H676" s="245" t="str">
        <f t="shared" si="10"/>
        <v/>
      </c>
      <c r="N676" s="233" t="str">
        <f>IFERROR(COUNTIF($C$18:C676,C676)&amp;CHOOSE(MIN(4,COUNTIF($C$18:C676,C676)),"st","nd","rd","th"),"")</f>
        <v/>
      </c>
    </row>
    <row r="677" spans="8:14" x14ac:dyDescent="0.25">
      <c r="H677" s="245" t="str">
        <f t="shared" si="10"/>
        <v/>
      </c>
      <c r="N677" s="233" t="str">
        <f>IFERROR(COUNTIF($C$18:C677,C677)&amp;CHOOSE(MIN(4,COUNTIF($C$18:C677,C677)),"st","nd","rd","th"),"")</f>
        <v/>
      </c>
    </row>
    <row r="678" spans="8:14" x14ac:dyDescent="0.25">
      <c r="H678" s="245" t="str">
        <f t="shared" si="10"/>
        <v/>
      </c>
      <c r="N678" s="233" t="str">
        <f>IFERROR(COUNTIF($C$18:C678,C678)&amp;CHOOSE(MIN(4,COUNTIF($C$18:C678,C678)),"st","nd","rd","th"),"")</f>
        <v/>
      </c>
    </row>
    <row r="679" spans="8:14" x14ac:dyDescent="0.25">
      <c r="H679" s="245" t="str">
        <f t="shared" si="10"/>
        <v/>
      </c>
      <c r="N679" s="233" t="str">
        <f>IFERROR(COUNTIF($C$18:C679,C679)&amp;CHOOSE(MIN(4,COUNTIF($C$18:C679,C679)),"st","nd","rd","th"),"")</f>
        <v/>
      </c>
    </row>
    <row r="680" spans="8:14" x14ac:dyDescent="0.25">
      <c r="H680" s="245" t="str">
        <f t="shared" si="10"/>
        <v/>
      </c>
      <c r="N680" s="233" t="str">
        <f>IFERROR(COUNTIF($C$18:C680,C680)&amp;CHOOSE(MIN(4,COUNTIF($C$18:C680,C680)),"st","nd","rd","th"),"")</f>
        <v/>
      </c>
    </row>
    <row r="681" spans="8:14" x14ac:dyDescent="0.25">
      <c r="H681" s="245" t="str">
        <f t="shared" si="10"/>
        <v/>
      </c>
      <c r="N681" s="233" t="str">
        <f>IFERROR(COUNTIF($C$18:C681,C681)&amp;CHOOSE(MIN(4,COUNTIF($C$18:C681,C681)),"st","nd","rd","th"),"")</f>
        <v/>
      </c>
    </row>
    <row r="682" spans="8:14" x14ac:dyDescent="0.25">
      <c r="H682" s="245" t="str">
        <f t="shared" si="10"/>
        <v/>
      </c>
      <c r="N682" s="233" t="str">
        <f>IFERROR(COUNTIF($C$18:C682,C682)&amp;CHOOSE(MIN(4,COUNTIF($C$18:C682,C682)),"st","nd","rd","th"),"")</f>
        <v/>
      </c>
    </row>
    <row r="683" spans="8:14" x14ac:dyDescent="0.25">
      <c r="H683" s="245" t="str">
        <f t="shared" si="10"/>
        <v/>
      </c>
      <c r="N683" s="233" t="str">
        <f>IFERROR(COUNTIF($C$18:C683,C683)&amp;CHOOSE(MIN(4,COUNTIF($C$18:C683,C683)),"st","nd","rd","th"),"")</f>
        <v/>
      </c>
    </row>
    <row r="684" spans="8:14" x14ac:dyDescent="0.25">
      <c r="H684" s="245" t="str">
        <f t="shared" si="10"/>
        <v/>
      </c>
      <c r="N684" s="233" t="str">
        <f>IFERROR(COUNTIF($C$18:C684,C684)&amp;CHOOSE(MIN(4,COUNTIF($C$18:C684,C684)),"st","nd","rd","th"),"")</f>
        <v/>
      </c>
    </row>
    <row r="685" spans="8:14" x14ac:dyDescent="0.25">
      <c r="H685" s="245" t="str">
        <f t="shared" si="10"/>
        <v/>
      </c>
      <c r="N685" s="233" t="str">
        <f>IFERROR(COUNTIF($C$18:C685,C685)&amp;CHOOSE(MIN(4,COUNTIF($C$18:C685,C685)),"st","nd","rd","th"),"")</f>
        <v/>
      </c>
    </row>
    <row r="686" spans="8:14" x14ac:dyDescent="0.25">
      <c r="H686" s="245" t="str">
        <f t="shared" si="10"/>
        <v/>
      </c>
      <c r="N686" s="233" t="str">
        <f>IFERROR(COUNTIF($C$18:C686,C686)&amp;CHOOSE(MIN(4,COUNTIF($C$18:C686,C686)),"st","nd","rd","th"),"")</f>
        <v/>
      </c>
    </row>
    <row r="687" spans="8:14" x14ac:dyDescent="0.25">
      <c r="H687" s="245" t="str">
        <f t="shared" si="10"/>
        <v/>
      </c>
      <c r="N687" s="233" t="str">
        <f>IFERROR(COUNTIF($C$18:C687,C687)&amp;CHOOSE(MIN(4,COUNTIF($C$18:C687,C687)),"st","nd","rd","th"),"")</f>
        <v/>
      </c>
    </row>
    <row r="688" spans="8:14" x14ac:dyDescent="0.25">
      <c r="H688" s="245" t="str">
        <f t="shared" si="10"/>
        <v/>
      </c>
      <c r="N688" s="233" t="str">
        <f>IFERROR(COUNTIF($C$18:C688,C688)&amp;CHOOSE(MIN(4,COUNTIF($C$18:C688,C688)),"st","nd","rd","th"),"")</f>
        <v/>
      </c>
    </row>
    <row r="689" spans="8:14" x14ac:dyDescent="0.25">
      <c r="H689" s="245" t="str">
        <f t="shared" si="10"/>
        <v/>
      </c>
      <c r="N689" s="233" t="str">
        <f>IFERROR(COUNTIF($C$18:C689,C689)&amp;CHOOSE(MIN(4,COUNTIF($C$18:C689,C689)),"st","nd","rd","th"),"")</f>
        <v/>
      </c>
    </row>
    <row r="690" spans="8:14" x14ac:dyDescent="0.25">
      <c r="H690" s="245" t="str">
        <f t="shared" si="10"/>
        <v/>
      </c>
      <c r="N690" s="233" t="str">
        <f>IFERROR(COUNTIF($C$18:C690,C690)&amp;CHOOSE(MIN(4,COUNTIF($C$18:C690,C690)),"st","nd","rd","th"),"")</f>
        <v/>
      </c>
    </row>
    <row r="691" spans="8:14" x14ac:dyDescent="0.25">
      <c r="H691" s="245" t="str">
        <f t="shared" si="10"/>
        <v/>
      </c>
      <c r="N691" s="233" t="str">
        <f>IFERROR(COUNTIF($C$18:C691,C691)&amp;CHOOSE(MIN(4,COUNTIF($C$18:C691,C691)),"st","nd","rd","th"),"")</f>
        <v/>
      </c>
    </row>
    <row r="692" spans="8:14" x14ac:dyDescent="0.25">
      <c r="H692" s="245" t="str">
        <f t="shared" si="10"/>
        <v/>
      </c>
      <c r="N692" s="233" t="str">
        <f>IFERROR(COUNTIF($C$18:C692,C692)&amp;CHOOSE(MIN(4,COUNTIF($C$18:C692,C692)),"st","nd","rd","th"),"")</f>
        <v/>
      </c>
    </row>
    <row r="693" spans="8:14" x14ac:dyDescent="0.25">
      <c r="H693" s="245" t="str">
        <f t="shared" si="10"/>
        <v/>
      </c>
      <c r="N693" s="233" t="str">
        <f>IFERROR(COUNTIF($C$18:C693,C693)&amp;CHOOSE(MIN(4,COUNTIF($C$18:C693,C693)),"st","nd","rd","th"),"")</f>
        <v/>
      </c>
    </row>
    <row r="694" spans="8:14" x14ac:dyDescent="0.25">
      <c r="H694" s="245" t="str">
        <f t="shared" si="10"/>
        <v/>
      </c>
      <c r="N694" s="233" t="str">
        <f>IFERROR(COUNTIF($C$18:C694,C694)&amp;CHOOSE(MIN(4,COUNTIF($C$18:C694,C694)),"st","nd","rd","th"),"")</f>
        <v/>
      </c>
    </row>
    <row r="695" spans="8:14" x14ac:dyDescent="0.25">
      <c r="H695" s="245" t="str">
        <f t="shared" si="10"/>
        <v/>
      </c>
      <c r="N695" s="233" t="str">
        <f>IFERROR(COUNTIF($C$18:C695,C695)&amp;CHOOSE(MIN(4,COUNTIF($C$18:C695,C695)),"st","nd","rd","th"),"")</f>
        <v/>
      </c>
    </row>
    <row r="696" spans="8:14" x14ac:dyDescent="0.25">
      <c r="H696" s="245" t="str">
        <f t="shared" si="10"/>
        <v/>
      </c>
      <c r="N696" s="233" t="str">
        <f>IFERROR(COUNTIF($C$18:C696,C696)&amp;CHOOSE(MIN(4,COUNTIF($C$18:C696,C696)),"st","nd","rd","th"),"")</f>
        <v/>
      </c>
    </row>
    <row r="697" spans="8:14" x14ac:dyDescent="0.25">
      <c r="H697" s="245" t="str">
        <f t="shared" si="10"/>
        <v/>
      </c>
      <c r="N697" s="233" t="str">
        <f>IFERROR(COUNTIF($C$18:C697,C697)&amp;CHOOSE(MIN(4,COUNTIF($C$18:C697,C697)),"st","nd","rd","th"),"")</f>
        <v/>
      </c>
    </row>
    <row r="698" spans="8:14" x14ac:dyDescent="0.25">
      <c r="H698" s="245" t="str">
        <f t="shared" si="10"/>
        <v/>
      </c>
      <c r="N698" s="233" t="str">
        <f>IFERROR(COUNTIF($C$18:C698,C698)&amp;CHOOSE(MIN(4,COUNTIF($C$18:C698,C698)),"st","nd","rd","th"),"")</f>
        <v/>
      </c>
    </row>
    <row r="699" spans="8:14" x14ac:dyDescent="0.25">
      <c r="H699" s="245" t="str">
        <f t="shared" si="10"/>
        <v/>
      </c>
      <c r="N699" s="233" t="str">
        <f>IFERROR(COUNTIF($C$18:C699,C699)&amp;CHOOSE(MIN(4,COUNTIF($C$18:C699,C699)),"st","nd","rd","th"),"")</f>
        <v/>
      </c>
    </row>
    <row r="700" spans="8:14" x14ac:dyDescent="0.25">
      <c r="H700" s="245" t="str">
        <f t="shared" si="10"/>
        <v/>
      </c>
      <c r="N700" s="233" t="str">
        <f>IFERROR(COUNTIF($C$18:C700,C700)&amp;CHOOSE(MIN(4,COUNTIF($C$18:C700,C700)),"st","nd","rd","th"),"")</f>
        <v/>
      </c>
    </row>
    <row r="701" spans="8:14" x14ac:dyDescent="0.25">
      <c r="H701" s="245" t="str">
        <f t="shared" si="10"/>
        <v/>
      </c>
      <c r="N701" s="233" t="str">
        <f>IFERROR(COUNTIF($C$18:C701,C701)&amp;CHOOSE(MIN(4,COUNTIF($C$18:C701,C701)),"st","nd","rd","th"),"")</f>
        <v/>
      </c>
    </row>
    <row r="702" spans="8:14" x14ac:dyDescent="0.25">
      <c r="H702" s="245" t="str">
        <f t="shared" si="10"/>
        <v/>
      </c>
      <c r="N702" s="233" t="str">
        <f>IFERROR(COUNTIF($C$18:C702,C702)&amp;CHOOSE(MIN(4,COUNTIF($C$18:C702,C702)),"st","nd","rd","th"),"")</f>
        <v/>
      </c>
    </row>
    <row r="703" spans="8:14" x14ac:dyDescent="0.25">
      <c r="H703" s="245" t="str">
        <f t="shared" si="10"/>
        <v/>
      </c>
      <c r="N703" s="233" t="str">
        <f>IFERROR(COUNTIF($C$18:C703,C703)&amp;CHOOSE(MIN(4,COUNTIF($C$18:C703,C703)),"st","nd","rd","th"),"")</f>
        <v/>
      </c>
    </row>
    <row r="704" spans="8:14" x14ac:dyDescent="0.25">
      <c r="H704" s="245" t="str">
        <f t="shared" si="10"/>
        <v/>
      </c>
      <c r="N704" s="233" t="str">
        <f>IFERROR(COUNTIF($C$18:C704,C704)&amp;CHOOSE(MIN(4,COUNTIF($C$18:C704,C704)),"st","nd","rd","th"),"")</f>
        <v/>
      </c>
    </row>
    <row r="705" spans="8:14" x14ac:dyDescent="0.25">
      <c r="H705" s="245" t="str">
        <f t="shared" si="10"/>
        <v/>
      </c>
      <c r="N705" s="233" t="str">
        <f>IFERROR(COUNTIF($C$18:C705,C705)&amp;CHOOSE(MIN(4,COUNTIF($C$18:C705,C705)),"st","nd","rd","th"),"")</f>
        <v/>
      </c>
    </row>
    <row r="706" spans="8:14" x14ac:dyDescent="0.25">
      <c r="H706" s="245" t="str">
        <f t="shared" si="10"/>
        <v/>
      </c>
      <c r="N706" s="233" t="str">
        <f>IFERROR(COUNTIF($C$18:C706,C706)&amp;CHOOSE(MIN(4,COUNTIF($C$18:C706,C706)),"st","nd","rd","th"),"")</f>
        <v/>
      </c>
    </row>
    <row r="707" spans="8:14" x14ac:dyDescent="0.25">
      <c r="H707" s="245" t="str">
        <f t="shared" si="10"/>
        <v/>
      </c>
      <c r="N707" s="233" t="str">
        <f>IFERROR(COUNTIF($C$18:C707,C707)&amp;CHOOSE(MIN(4,COUNTIF($C$18:C707,C707)),"st","nd","rd","th"),"")</f>
        <v/>
      </c>
    </row>
    <row r="708" spans="8:14" x14ac:dyDescent="0.25">
      <c r="H708" s="245" t="str">
        <f t="shared" si="10"/>
        <v/>
      </c>
      <c r="N708" s="233" t="str">
        <f>IFERROR(COUNTIF($C$18:C708,C708)&amp;CHOOSE(MIN(4,COUNTIF($C$18:C708,C708)),"st","nd","rd","th"),"")</f>
        <v/>
      </c>
    </row>
    <row r="709" spans="8:14" x14ac:dyDescent="0.25">
      <c r="H709" s="245" t="str">
        <f t="shared" si="10"/>
        <v/>
      </c>
      <c r="N709" s="233" t="str">
        <f>IFERROR(COUNTIF($C$18:C709,C709)&amp;CHOOSE(MIN(4,COUNTIF($C$18:C709,C709)),"st","nd","rd","th"),"")</f>
        <v/>
      </c>
    </row>
    <row r="710" spans="8:14" x14ac:dyDescent="0.25">
      <c r="H710" s="245" t="str">
        <f t="shared" si="10"/>
        <v/>
      </c>
      <c r="N710" s="233" t="str">
        <f>IFERROR(COUNTIF($C$18:C710,C710)&amp;CHOOSE(MIN(4,COUNTIF($C$18:C710,C710)),"st","nd","rd","th"),"")</f>
        <v/>
      </c>
    </row>
    <row r="711" spans="8:14" x14ac:dyDescent="0.25">
      <c r="H711" s="245" t="str">
        <f t="shared" si="10"/>
        <v/>
      </c>
      <c r="N711" s="233" t="str">
        <f>IFERROR(COUNTIF($C$18:C711,C711)&amp;CHOOSE(MIN(4,COUNTIF($C$18:C711,C711)),"st","nd","rd","th"),"")</f>
        <v/>
      </c>
    </row>
    <row r="712" spans="8:14" x14ac:dyDescent="0.25">
      <c r="H712" s="245" t="str">
        <f t="shared" si="10"/>
        <v/>
      </c>
      <c r="N712" s="233" t="str">
        <f>IFERROR(COUNTIF($C$18:C712,C712)&amp;CHOOSE(MIN(4,COUNTIF($C$18:C712,C712)),"st","nd","rd","th"),"")</f>
        <v/>
      </c>
    </row>
    <row r="713" spans="8:14" x14ac:dyDescent="0.25">
      <c r="H713" s="245" t="str">
        <f t="shared" si="10"/>
        <v/>
      </c>
      <c r="N713" s="233" t="str">
        <f>IFERROR(COUNTIF($C$18:C713,C713)&amp;CHOOSE(MIN(4,COUNTIF($C$18:C713,C713)),"st","nd","rd","th"),"")</f>
        <v/>
      </c>
    </row>
    <row r="714" spans="8:14" x14ac:dyDescent="0.25">
      <c r="H714" s="245" t="str">
        <f t="shared" si="10"/>
        <v/>
      </c>
      <c r="N714" s="233" t="str">
        <f>IFERROR(COUNTIF($C$18:C714,C714)&amp;CHOOSE(MIN(4,COUNTIF($C$18:C714,C714)),"st","nd","rd","th"),"")</f>
        <v/>
      </c>
    </row>
    <row r="715" spans="8:14" x14ac:dyDescent="0.25">
      <c r="H715" s="245" t="str">
        <f t="shared" si="10"/>
        <v/>
      </c>
      <c r="N715" s="233" t="str">
        <f>IFERROR(COUNTIF($C$18:C715,C715)&amp;CHOOSE(MIN(4,COUNTIF($C$18:C715,C715)),"st","nd","rd","th"),"")</f>
        <v/>
      </c>
    </row>
    <row r="716" spans="8:14" x14ac:dyDescent="0.25">
      <c r="H716" s="245" t="str">
        <f t="shared" si="10"/>
        <v/>
      </c>
      <c r="N716" s="233" t="str">
        <f>IFERROR(COUNTIF($C$18:C716,C716)&amp;CHOOSE(MIN(4,COUNTIF($C$18:C716,C716)),"st","nd","rd","th"),"")</f>
        <v/>
      </c>
    </row>
    <row r="717" spans="8:14" x14ac:dyDescent="0.25">
      <c r="H717" s="245" t="str">
        <f t="shared" si="10"/>
        <v/>
      </c>
      <c r="N717" s="233" t="str">
        <f>IFERROR(COUNTIF($C$18:C717,C717)&amp;CHOOSE(MIN(4,COUNTIF($C$18:C717,C717)),"st","nd","rd","th"),"")</f>
        <v/>
      </c>
    </row>
    <row r="718" spans="8:14" x14ac:dyDescent="0.25">
      <c r="H718" s="245" t="str">
        <f t="shared" si="10"/>
        <v/>
      </c>
      <c r="N718" s="233" t="str">
        <f>IFERROR(COUNTIF($C$18:C718,C718)&amp;CHOOSE(MIN(4,COUNTIF($C$18:C718,C718)),"st","nd","rd","th"),"")</f>
        <v/>
      </c>
    </row>
    <row r="719" spans="8:14" x14ac:dyDescent="0.25">
      <c r="H719" s="245" t="str">
        <f t="shared" ref="H719:H782" si="11">IF(OR(ISBLANK(G719), ISBLANK(F719)), "", IF(G719=F719, 1, SUM(_xlfn.DAYS(G719, F719), 1)))</f>
        <v/>
      </c>
      <c r="N719" s="233" t="str">
        <f>IFERROR(COUNTIF($C$18:C719,C719)&amp;CHOOSE(MIN(4,COUNTIF($C$18:C719,C719)),"st","nd","rd","th"),"")</f>
        <v/>
      </c>
    </row>
    <row r="720" spans="8:14" x14ac:dyDescent="0.25">
      <c r="H720" s="245" t="str">
        <f t="shared" si="11"/>
        <v/>
      </c>
      <c r="N720" s="233" t="str">
        <f>IFERROR(COUNTIF($C$18:C720,C720)&amp;CHOOSE(MIN(4,COUNTIF($C$18:C720,C720)),"st","nd","rd","th"),"")</f>
        <v/>
      </c>
    </row>
    <row r="721" spans="8:14" x14ac:dyDescent="0.25">
      <c r="H721" s="245" t="str">
        <f t="shared" si="11"/>
        <v/>
      </c>
      <c r="N721" s="233" t="str">
        <f>IFERROR(COUNTIF($C$18:C721,C721)&amp;CHOOSE(MIN(4,COUNTIF($C$18:C721,C721)),"st","nd","rd","th"),"")</f>
        <v/>
      </c>
    </row>
    <row r="722" spans="8:14" x14ac:dyDescent="0.25">
      <c r="H722" s="245" t="str">
        <f t="shared" si="11"/>
        <v/>
      </c>
      <c r="N722" s="233" t="str">
        <f>IFERROR(COUNTIF($C$18:C722,C722)&amp;CHOOSE(MIN(4,COUNTIF($C$18:C722,C722)),"st","nd","rd","th"),"")</f>
        <v/>
      </c>
    </row>
    <row r="723" spans="8:14" x14ac:dyDescent="0.25">
      <c r="H723" s="245" t="str">
        <f t="shared" si="11"/>
        <v/>
      </c>
      <c r="N723" s="233" t="str">
        <f>IFERROR(COUNTIF($C$18:C723,C723)&amp;CHOOSE(MIN(4,COUNTIF($C$18:C723,C723)),"st","nd","rd","th"),"")</f>
        <v/>
      </c>
    </row>
    <row r="724" spans="8:14" x14ac:dyDescent="0.25">
      <c r="H724" s="245" t="str">
        <f t="shared" si="11"/>
        <v/>
      </c>
      <c r="N724" s="233" t="str">
        <f>IFERROR(COUNTIF($C$18:C724,C724)&amp;CHOOSE(MIN(4,COUNTIF($C$18:C724,C724)),"st","nd","rd","th"),"")</f>
        <v/>
      </c>
    </row>
    <row r="725" spans="8:14" x14ac:dyDescent="0.25">
      <c r="H725" s="245" t="str">
        <f t="shared" si="11"/>
        <v/>
      </c>
      <c r="N725" s="233" t="str">
        <f>IFERROR(COUNTIF($C$18:C725,C725)&amp;CHOOSE(MIN(4,COUNTIF($C$18:C725,C725)),"st","nd","rd","th"),"")</f>
        <v/>
      </c>
    </row>
    <row r="726" spans="8:14" x14ac:dyDescent="0.25">
      <c r="H726" s="245" t="str">
        <f t="shared" si="11"/>
        <v/>
      </c>
      <c r="N726" s="233" t="str">
        <f>IFERROR(COUNTIF($C$18:C726,C726)&amp;CHOOSE(MIN(4,COUNTIF($C$18:C726,C726)),"st","nd","rd","th"),"")</f>
        <v/>
      </c>
    </row>
    <row r="727" spans="8:14" x14ac:dyDescent="0.25">
      <c r="H727" s="245" t="str">
        <f t="shared" si="11"/>
        <v/>
      </c>
      <c r="N727" s="233" t="str">
        <f>IFERROR(COUNTIF($C$18:C727,C727)&amp;CHOOSE(MIN(4,COUNTIF($C$18:C727,C727)),"st","nd","rd","th"),"")</f>
        <v/>
      </c>
    </row>
    <row r="728" spans="8:14" x14ac:dyDescent="0.25">
      <c r="H728" s="245" t="str">
        <f t="shared" si="11"/>
        <v/>
      </c>
      <c r="N728" s="233" t="str">
        <f>IFERROR(COUNTIF($C$18:C728,C728)&amp;CHOOSE(MIN(4,COUNTIF($C$18:C728,C728)),"st","nd","rd","th"),"")</f>
        <v/>
      </c>
    </row>
    <row r="729" spans="8:14" x14ac:dyDescent="0.25">
      <c r="H729" s="245" t="str">
        <f t="shared" si="11"/>
        <v/>
      </c>
      <c r="N729" s="233" t="str">
        <f>IFERROR(COUNTIF($C$18:C729,C729)&amp;CHOOSE(MIN(4,COUNTIF($C$18:C729,C729)),"st","nd","rd","th"),"")</f>
        <v/>
      </c>
    </row>
    <row r="730" spans="8:14" x14ac:dyDescent="0.25">
      <c r="H730" s="245" t="str">
        <f t="shared" si="11"/>
        <v/>
      </c>
      <c r="N730" s="233" t="str">
        <f>IFERROR(COUNTIF($C$18:C730,C730)&amp;CHOOSE(MIN(4,COUNTIF($C$18:C730,C730)),"st","nd","rd","th"),"")</f>
        <v/>
      </c>
    </row>
    <row r="731" spans="8:14" x14ac:dyDescent="0.25">
      <c r="H731" s="245" t="str">
        <f t="shared" si="11"/>
        <v/>
      </c>
      <c r="N731" s="233" t="str">
        <f>IFERROR(COUNTIF($C$18:C731,C731)&amp;CHOOSE(MIN(4,COUNTIF($C$18:C731,C731)),"st","nd","rd","th"),"")</f>
        <v/>
      </c>
    </row>
    <row r="732" spans="8:14" x14ac:dyDescent="0.25">
      <c r="H732" s="245" t="str">
        <f t="shared" si="11"/>
        <v/>
      </c>
      <c r="N732" s="233" t="str">
        <f>IFERROR(COUNTIF($C$18:C732,C732)&amp;CHOOSE(MIN(4,COUNTIF($C$18:C732,C732)),"st","nd","rd","th"),"")</f>
        <v/>
      </c>
    </row>
    <row r="733" spans="8:14" x14ac:dyDescent="0.25">
      <c r="H733" s="245" t="str">
        <f t="shared" si="11"/>
        <v/>
      </c>
      <c r="N733" s="233" t="str">
        <f>IFERROR(COUNTIF($C$18:C733,C733)&amp;CHOOSE(MIN(4,COUNTIF($C$18:C733,C733)),"st","nd","rd","th"),"")</f>
        <v/>
      </c>
    </row>
    <row r="734" spans="8:14" x14ac:dyDescent="0.25">
      <c r="H734" s="245" t="str">
        <f t="shared" si="11"/>
        <v/>
      </c>
      <c r="N734" s="233" t="str">
        <f>IFERROR(COUNTIF($C$18:C734,C734)&amp;CHOOSE(MIN(4,COUNTIF($C$18:C734,C734)),"st","nd","rd","th"),"")</f>
        <v/>
      </c>
    </row>
    <row r="735" spans="8:14" x14ac:dyDescent="0.25">
      <c r="H735" s="245" t="str">
        <f t="shared" si="11"/>
        <v/>
      </c>
      <c r="N735" s="233" t="str">
        <f>IFERROR(COUNTIF($C$18:C735,C735)&amp;CHOOSE(MIN(4,COUNTIF($C$18:C735,C735)),"st","nd","rd","th"),"")</f>
        <v/>
      </c>
    </row>
    <row r="736" spans="8:14" x14ac:dyDescent="0.25">
      <c r="H736" s="245" t="str">
        <f t="shared" si="11"/>
        <v/>
      </c>
      <c r="N736" s="233" t="str">
        <f>IFERROR(COUNTIF($C$18:C736,C736)&amp;CHOOSE(MIN(4,COUNTIF($C$18:C736,C736)),"st","nd","rd","th"),"")</f>
        <v/>
      </c>
    </row>
    <row r="737" spans="8:14" x14ac:dyDescent="0.25">
      <c r="H737" s="245" t="str">
        <f t="shared" si="11"/>
        <v/>
      </c>
      <c r="N737" s="233" t="str">
        <f>IFERROR(COUNTIF($C$18:C737,C737)&amp;CHOOSE(MIN(4,COUNTIF($C$18:C737,C737)),"st","nd","rd","th"),"")</f>
        <v/>
      </c>
    </row>
    <row r="738" spans="8:14" x14ac:dyDescent="0.25">
      <c r="H738" s="245" t="str">
        <f t="shared" si="11"/>
        <v/>
      </c>
      <c r="N738" s="233" t="str">
        <f>IFERROR(COUNTIF($C$18:C738,C738)&amp;CHOOSE(MIN(4,COUNTIF($C$18:C738,C738)),"st","nd","rd","th"),"")</f>
        <v/>
      </c>
    </row>
    <row r="739" spans="8:14" x14ac:dyDescent="0.25">
      <c r="H739" s="245" t="str">
        <f t="shared" si="11"/>
        <v/>
      </c>
      <c r="N739" s="233" t="str">
        <f>IFERROR(COUNTIF($C$18:C739,C739)&amp;CHOOSE(MIN(4,COUNTIF($C$18:C739,C739)),"st","nd","rd","th"),"")</f>
        <v/>
      </c>
    </row>
    <row r="740" spans="8:14" x14ac:dyDescent="0.25">
      <c r="H740" s="245" t="str">
        <f t="shared" si="11"/>
        <v/>
      </c>
      <c r="N740" s="233" t="str">
        <f>IFERROR(COUNTIF($C$18:C740,C740)&amp;CHOOSE(MIN(4,COUNTIF($C$18:C740,C740)),"st","nd","rd","th"),"")</f>
        <v/>
      </c>
    </row>
    <row r="741" spans="8:14" x14ac:dyDescent="0.25">
      <c r="H741" s="245" t="str">
        <f t="shared" si="11"/>
        <v/>
      </c>
      <c r="N741" s="233" t="str">
        <f>IFERROR(COUNTIF($C$18:C741,C741)&amp;CHOOSE(MIN(4,COUNTIF($C$18:C741,C741)),"st","nd","rd","th"),"")</f>
        <v/>
      </c>
    </row>
    <row r="742" spans="8:14" x14ac:dyDescent="0.25">
      <c r="H742" s="245" t="str">
        <f t="shared" si="11"/>
        <v/>
      </c>
      <c r="N742" s="233" t="str">
        <f>IFERROR(COUNTIF($C$18:C742,C742)&amp;CHOOSE(MIN(4,COUNTIF($C$18:C742,C742)),"st","nd","rd","th"),"")</f>
        <v/>
      </c>
    </row>
    <row r="743" spans="8:14" x14ac:dyDescent="0.25">
      <c r="H743" s="245" t="str">
        <f t="shared" si="11"/>
        <v/>
      </c>
      <c r="N743" s="233" t="str">
        <f>IFERROR(COUNTIF($C$18:C743,C743)&amp;CHOOSE(MIN(4,COUNTIF($C$18:C743,C743)),"st","nd","rd","th"),"")</f>
        <v/>
      </c>
    </row>
    <row r="744" spans="8:14" x14ac:dyDescent="0.25">
      <c r="H744" s="245" t="str">
        <f t="shared" si="11"/>
        <v/>
      </c>
      <c r="N744" s="233" t="str">
        <f>IFERROR(COUNTIF($C$18:C744,C744)&amp;CHOOSE(MIN(4,COUNTIF($C$18:C744,C744)),"st","nd","rd","th"),"")</f>
        <v/>
      </c>
    </row>
    <row r="745" spans="8:14" x14ac:dyDescent="0.25">
      <c r="H745" s="245" t="str">
        <f t="shared" si="11"/>
        <v/>
      </c>
      <c r="N745" s="233" t="str">
        <f>IFERROR(COUNTIF($C$18:C745,C745)&amp;CHOOSE(MIN(4,COUNTIF($C$18:C745,C745)),"st","nd","rd","th"),"")</f>
        <v/>
      </c>
    </row>
    <row r="746" spans="8:14" x14ac:dyDescent="0.25">
      <c r="H746" s="245" t="str">
        <f t="shared" si="11"/>
        <v/>
      </c>
      <c r="N746" s="233" t="str">
        <f>IFERROR(COUNTIF($C$18:C746,C746)&amp;CHOOSE(MIN(4,COUNTIF($C$18:C746,C746)),"st","nd","rd","th"),"")</f>
        <v/>
      </c>
    </row>
    <row r="747" spans="8:14" x14ac:dyDescent="0.25">
      <c r="H747" s="245" t="str">
        <f t="shared" si="11"/>
        <v/>
      </c>
      <c r="N747" s="233" t="str">
        <f>IFERROR(COUNTIF($C$18:C747,C747)&amp;CHOOSE(MIN(4,COUNTIF($C$18:C747,C747)),"st","nd","rd","th"),"")</f>
        <v/>
      </c>
    </row>
    <row r="748" spans="8:14" x14ac:dyDescent="0.25">
      <c r="H748" s="245" t="str">
        <f t="shared" si="11"/>
        <v/>
      </c>
      <c r="N748" s="233" t="str">
        <f>IFERROR(COUNTIF($C$18:C748,C748)&amp;CHOOSE(MIN(4,COUNTIF($C$18:C748,C748)),"st","nd","rd","th"),"")</f>
        <v/>
      </c>
    </row>
    <row r="749" spans="8:14" x14ac:dyDescent="0.25">
      <c r="H749" s="245" t="str">
        <f t="shared" si="11"/>
        <v/>
      </c>
      <c r="N749" s="233" t="str">
        <f>IFERROR(COUNTIF($C$18:C749,C749)&amp;CHOOSE(MIN(4,COUNTIF($C$18:C749,C749)),"st","nd","rd","th"),"")</f>
        <v/>
      </c>
    </row>
    <row r="750" spans="8:14" x14ac:dyDescent="0.25">
      <c r="H750" s="245" t="str">
        <f t="shared" si="11"/>
        <v/>
      </c>
      <c r="N750" s="233" t="str">
        <f>IFERROR(COUNTIF($C$18:C750,C750)&amp;CHOOSE(MIN(4,COUNTIF($C$18:C750,C750)),"st","nd","rd","th"),"")</f>
        <v/>
      </c>
    </row>
    <row r="751" spans="8:14" x14ac:dyDescent="0.25">
      <c r="H751" s="245" t="str">
        <f t="shared" si="11"/>
        <v/>
      </c>
      <c r="N751" s="233" t="str">
        <f>IFERROR(COUNTIF($C$18:C751,C751)&amp;CHOOSE(MIN(4,COUNTIF($C$18:C751,C751)),"st","nd","rd","th"),"")</f>
        <v/>
      </c>
    </row>
    <row r="752" spans="8:14" x14ac:dyDescent="0.25">
      <c r="H752" s="245" t="str">
        <f t="shared" si="11"/>
        <v/>
      </c>
      <c r="N752" s="233" t="str">
        <f>IFERROR(COUNTIF($C$18:C752,C752)&amp;CHOOSE(MIN(4,COUNTIF($C$18:C752,C752)),"st","nd","rd","th"),"")</f>
        <v/>
      </c>
    </row>
    <row r="753" spans="8:14" x14ac:dyDescent="0.25">
      <c r="H753" s="245" t="str">
        <f t="shared" si="11"/>
        <v/>
      </c>
      <c r="N753" s="233" t="str">
        <f>IFERROR(COUNTIF($C$18:C753,C753)&amp;CHOOSE(MIN(4,COUNTIF($C$18:C753,C753)),"st","nd","rd","th"),"")</f>
        <v/>
      </c>
    </row>
    <row r="754" spans="8:14" x14ac:dyDescent="0.25">
      <c r="H754" s="245" t="str">
        <f t="shared" si="11"/>
        <v/>
      </c>
      <c r="N754" s="233" t="str">
        <f>IFERROR(COUNTIF($C$18:C754,C754)&amp;CHOOSE(MIN(4,COUNTIF($C$18:C754,C754)),"st","nd","rd","th"),"")</f>
        <v/>
      </c>
    </row>
    <row r="755" spans="8:14" x14ac:dyDescent="0.25">
      <c r="H755" s="245" t="str">
        <f t="shared" si="11"/>
        <v/>
      </c>
      <c r="N755" s="233" t="str">
        <f>IFERROR(COUNTIF($C$18:C755,C755)&amp;CHOOSE(MIN(4,COUNTIF($C$18:C755,C755)),"st","nd","rd","th"),"")</f>
        <v/>
      </c>
    </row>
    <row r="756" spans="8:14" x14ac:dyDescent="0.25">
      <c r="H756" s="245" t="str">
        <f t="shared" si="11"/>
        <v/>
      </c>
      <c r="N756" s="233" t="str">
        <f>IFERROR(COUNTIF($C$18:C756,C756)&amp;CHOOSE(MIN(4,COUNTIF($C$18:C756,C756)),"st","nd","rd","th"),"")</f>
        <v/>
      </c>
    </row>
    <row r="757" spans="8:14" x14ac:dyDescent="0.25">
      <c r="H757" s="245" t="str">
        <f t="shared" si="11"/>
        <v/>
      </c>
      <c r="N757" s="233" t="str">
        <f>IFERROR(COUNTIF($C$18:C757,C757)&amp;CHOOSE(MIN(4,COUNTIF($C$18:C757,C757)),"st","nd","rd","th"),"")</f>
        <v/>
      </c>
    </row>
    <row r="758" spans="8:14" x14ac:dyDescent="0.25">
      <c r="H758" s="245" t="str">
        <f t="shared" si="11"/>
        <v/>
      </c>
      <c r="N758" s="233" t="str">
        <f>IFERROR(COUNTIF($C$18:C758,C758)&amp;CHOOSE(MIN(4,COUNTIF($C$18:C758,C758)),"st","nd","rd","th"),"")</f>
        <v/>
      </c>
    </row>
    <row r="759" spans="8:14" x14ac:dyDescent="0.25">
      <c r="H759" s="245" t="str">
        <f t="shared" si="11"/>
        <v/>
      </c>
      <c r="N759" s="233" t="str">
        <f>IFERROR(COUNTIF($C$18:C759,C759)&amp;CHOOSE(MIN(4,COUNTIF($C$18:C759,C759)),"st","nd","rd","th"),"")</f>
        <v/>
      </c>
    </row>
    <row r="760" spans="8:14" x14ac:dyDescent="0.25">
      <c r="H760" s="245" t="str">
        <f t="shared" si="11"/>
        <v/>
      </c>
      <c r="N760" s="233" t="str">
        <f>IFERROR(COUNTIF($C$18:C760,C760)&amp;CHOOSE(MIN(4,COUNTIF($C$18:C760,C760)),"st","nd","rd","th"),"")</f>
        <v/>
      </c>
    </row>
    <row r="761" spans="8:14" x14ac:dyDescent="0.25">
      <c r="H761" s="245" t="str">
        <f t="shared" si="11"/>
        <v/>
      </c>
      <c r="N761" s="233" t="str">
        <f>IFERROR(COUNTIF($C$18:C761,C761)&amp;CHOOSE(MIN(4,COUNTIF($C$18:C761,C761)),"st","nd","rd","th"),"")</f>
        <v/>
      </c>
    </row>
    <row r="762" spans="8:14" x14ac:dyDescent="0.25">
      <c r="H762" s="245" t="str">
        <f t="shared" si="11"/>
        <v/>
      </c>
      <c r="N762" s="233" t="str">
        <f>IFERROR(COUNTIF($C$18:C762,C762)&amp;CHOOSE(MIN(4,COUNTIF($C$18:C762,C762)),"st","nd","rd","th"),"")</f>
        <v/>
      </c>
    </row>
    <row r="763" spans="8:14" x14ac:dyDescent="0.25">
      <c r="H763" s="245" t="str">
        <f t="shared" si="11"/>
        <v/>
      </c>
      <c r="N763" s="233" t="str">
        <f>IFERROR(COUNTIF($C$18:C763,C763)&amp;CHOOSE(MIN(4,COUNTIF($C$18:C763,C763)),"st","nd","rd","th"),"")</f>
        <v/>
      </c>
    </row>
    <row r="764" spans="8:14" x14ac:dyDescent="0.25">
      <c r="H764" s="245" t="str">
        <f t="shared" si="11"/>
        <v/>
      </c>
      <c r="N764" s="233" t="str">
        <f>IFERROR(COUNTIF($C$18:C764,C764)&amp;CHOOSE(MIN(4,COUNTIF($C$18:C764,C764)),"st","nd","rd","th"),"")</f>
        <v/>
      </c>
    </row>
    <row r="765" spans="8:14" x14ac:dyDescent="0.25">
      <c r="H765" s="245" t="str">
        <f t="shared" si="11"/>
        <v/>
      </c>
      <c r="N765" s="233" t="str">
        <f>IFERROR(COUNTIF($C$18:C765,C765)&amp;CHOOSE(MIN(4,COUNTIF($C$18:C765,C765)),"st","nd","rd","th"),"")</f>
        <v/>
      </c>
    </row>
    <row r="766" spans="8:14" x14ac:dyDescent="0.25">
      <c r="H766" s="245" t="str">
        <f t="shared" si="11"/>
        <v/>
      </c>
      <c r="N766" s="233" t="str">
        <f>IFERROR(COUNTIF($C$18:C766,C766)&amp;CHOOSE(MIN(4,COUNTIF($C$18:C766,C766)),"st","nd","rd","th"),"")</f>
        <v/>
      </c>
    </row>
    <row r="767" spans="8:14" x14ac:dyDescent="0.25">
      <c r="H767" s="245" t="str">
        <f t="shared" si="11"/>
        <v/>
      </c>
      <c r="N767" s="233" t="str">
        <f>IFERROR(COUNTIF($C$18:C767,C767)&amp;CHOOSE(MIN(4,COUNTIF($C$18:C767,C767)),"st","nd","rd","th"),"")</f>
        <v/>
      </c>
    </row>
    <row r="768" spans="8:14" x14ac:dyDescent="0.25">
      <c r="H768" s="245" t="str">
        <f t="shared" si="11"/>
        <v/>
      </c>
      <c r="N768" s="233" t="str">
        <f>IFERROR(COUNTIF($C$18:C768,C768)&amp;CHOOSE(MIN(4,COUNTIF($C$18:C768,C768)),"st","nd","rd","th"),"")</f>
        <v/>
      </c>
    </row>
    <row r="769" spans="8:14" x14ac:dyDescent="0.25">
      <c r="H769" s="245" t="str">
        <f t="shared" si="11"/>
        <v/>
      </c>
      <c r="N769" s="233" t="str">
        <f>IFERROR(COUNTIF($C$18:C769,C769)&amp;CHOOSE(MIN(4,COUNTIF($C$18:C769,C769)),"st","nd","rd","th"),"")</f>
        <v/>
      </c>
    </row>
    <row r="770" spans="8:14" x14ac:dyDescent="0.25">
      <c r="H770" s="245" t="str">
        <f t="shared" si="11"/>
        <v/>
      </c>
      <c r="N770" s="233" t="str">
        <f>IFERROR(COUNTIF($C$18:C770,C770)&amp;CHOOSE(MIN(4,COUNTIF($C$18:C770,C770)),"st","nd","rd","th"),"")</f>
        <v/>
      </c>
    </row>
    <row r="771" spans="8:14" x14ac:dyDescent="0.25">
      <c r="H771" s="245" t="str">
        <f t="shared" si="11"/>
        <v/>
      </c>
      <c r="N771" s="233" t="str">
        <f>IFERROR(COUNTIF($C$18:C771,C771)&amp;CHOOSE(MIN(4,COUNTIF($C$18:C771,C771)),"st","nd","rd","th"),"")</f>
        <v/>
      </c>
    </row>
    <row r="772" spans="8:14" x14ac:dyDescent="0.25">
      <c r="H772" s="245" t="str">
        <f t="shared" si="11"/>
        <v/>
      </c>
      <c r="N772" s="233" t="str">
        <f>IFERROR(COUNTIF($C$18:C772,C772)&amp;CHOOSE(MIN(4,COUNTIF($C$18:C772,C772)),"st","nd","rd","th"),"")</f>
        <v/>
      </c>
    </row>
    <row r="773" spans="8:14" x14ac:dyDescent="0.25">
      <c r="H773" s="245" t="str">
        <f t="shared" si="11"/>
        <v/>
      </c>
      <c r="N773" s="233" t="str">
        <f>IFERROR(COUNTIF($C$18:C773,C773)&amp;CHOOSE(MIN(4,COUNTIF($C$18:C773,C773)),"st","nd","rd","th"),"")</f>
        <v/>
      </c>
    </row>
    <row r="774" spans="8:14" x14ac:dyDescent="0.25">
      <c r="H774" s="245" t="str">
        <f t="shared" si="11"/>
        <v/>
      </c>
      <c r="N774" s="233" t="str">
        <f>IFERROR(COUNTIF($C$18:C774,C774)&amp;CHOOSE(MIN(4,COUNTIF($C$18:C774,C774)),"st","nd","rd","th"),"")</f>
        <v/>
      </c>
    </row>
    <row r="775" spans="8:14" x14ac:dyDescent="0.25">
      <c r="H775" s="245" t="str">
        <f t="shared" si="11"/>
        <v/>
      </c>
      <c r="N775" s="233" t="str">
        <f>IFERROR(COUNTIF($C$18:C775,C775)&amp;CHOOSE(MIN(4,COUNTIF($C$18:C775,C775)),"st","nd","rd","th"),"")</f>
        <v/>
      </c>
    </row>
    <row r="776" spans="8:14" x14ac:dyDescent="0.25">
      <c r="H776" s="245" t="str">
        <f t="shared" si="11"/>
        <v/>
      </c>
      <c r="N776" s="233" t="str">
        <f>IFERROR(COUNTIF($C$18:C776,C776)&amp;CHOOSE(MIN(4,COUNTIF($C$18:C776,C776)),"st","nd","rd","th"),"")</f>
        <v/>
      </c>
    </row>
    <row r="777" spans="8:14" x14ac:dyDescent="0.25">
      <c r="H777" s="245" t="str">
        <f t="shared" si="11"/>
        <v/>
      </c>
      <c r="N777" s="233" t="str">
        <f>IFERROR(COUNTIF($C$18:C777,C777)&amp;CHOOSE(MIN(4,COUNTIF($C$18:C777,C777)),"st","nd","rd","th"),"")</f>
        <v/>
      </c>
    </row>
    <row r="778" spans="8:14" x14ac:dyDescent="0.25">
      <c r="H778" s="245" t="str">
        <f t="shared" si="11"/>
        <v/>
      </c>
      <c r="N778" s="233" t="str">
        <f>IFERROR(COUNTIF($C$18:C778,C778)&amp;CHOOSE(MIN(4,COUNTIF($C$18:C778,C778)),"st","nd","rd","th"),"")</f>
        <v/>
      </c>
    </row>
    <row r="779" spans="8:14" x14ac:dyDescent="0.25">
      <c r="H779" s="245" t="str">
        <f t="shared" si="11"/>
        <v/>
      </c>
      <c r="N779" s="233" t="str">
        <f>IFERROR(COUNTIF($C$18:C779,C779)&amp;CHOOSE(MIN(4,COUNTIF($C$18:C779,C779)),"st","nd","rd","th"),"")</f>
        <v/>
      </c>
    </row>
    <row r="780" spans="8:14" x14ac:dyDescent="0.25">
      <c r="H780" s="245" t="str">
        <f t="shared" si="11"/>
        <v/>
      </c>
      <c r="N780" s="233" t="str">
        <f>IFERROR(COUNTIF($C$18:C780,C780)&amp;CHOOSE(MIN(4,COUNTIF($C$18:C780,C780)),"st","nd","rd","th"),"")</f>
        <v/>
      </c>
    </row>
    <row r="781" spans="8:14" x14ac:dyDescent="0.25">
      <c r="H781" s="245" t="str">
        <f t="shared" si="11"/>
        <v/>
      </c>
      <c r="N781" s="233" t="str">
        <f>IFERROR(COUNTIF($C$18:C781,C781)&amp;CHOOSE(MIN(4,COUNTIF($C$18:C781,C781)),"st","nd","rd","th"),"")</f>
        <v/>
      </c>
    </row>
    <row r="782" spans="8:14" x14ac:dyDescent="0.25">
      <c r="H782" s="245" t="str">
        <f t="shared" si="11"/>
        <v/>
      </c>
      <c r="N782" s="233" t="str">
        <f>IFERROR(COUNTIF($C$18:C782,C782)&amp;CHOOSE(MIN(4,COUNTIF($C$18:C782,C782)),"st","nd","rd","th"),"")</f>
        <v/>
      </c>
    </row>
    <row r="783" spans="8:14" x14ac:dyDescent="0.25">
      <c r="H783" s="245" t="str">
        <f t="shared" ref="H783:H846" si="12">IF(OR(ISBLANK(G783), ISBLANK(F783)), "", IF(G783=F783, 1, SUM(_xlfn.DAYS(G783, F783), 1)))</f>
        <v/>
      </c>
      <c r="N783" s="233" t="str">
        <f>IFERROR(COUNTIF($C$18:C783,C783)&amp;CHOOSE(MIN(4,COUNTIF($C$18:C783,C783)),"st","nd","rd","th"),"")</f>
        <v/>
      </c>
    </row>
    <row r="784" spans="8:14" x14ac:dyDescent="0.25">
      <c r="H784" s="245" t="str">
        <f t="shared" si="12"/>
        <v/>
      </c>
      <c r="N784" s="233" t="str">
        <f>IFERROR(COUNTIF($C$18:C784,C784)&amp;CHOOSE(MIN(4,COUNTIF($C$18:C784,C784)),"st","nd","rd","th"),"")</f>
        <v/>
      </c>
    </row>
    <row r="785" spans="8:14" x14ac:dyDescent="0.25">
      <c r="H785" s="245" t="str">
        <f t="shared" si="12"/>
        <v/>
      </c>
      <c r="N785" s="233" t="str">
        <f>IFERROR(COUNTIF($C$18:C785,C785)&amp;CHOOSE(MIN(4,COUNTIF($C$18:C785,C785)),"st","nd","rd","th"),"")</f>
        <v/>
      </c>
    </row>
    <row r="786" spans="8:14" x14ac:dyDescent="0.25">
      <c r="H786" s="245" t="str">
        <f t="shared" si="12"/>
        <v/>
      </c>
      <c r="N786" s="233" t="str">
        <f>IFERROR(COUNTIF($C$18:C786,C786)&amp;CHOOSE(MIN(4,COUNTIF($C$18:C786,C786)),"st","nd","rd","th"),"")</f>
        <v/>
      </c>
    </row>
    <row r="787" spans="8:14" x14ac:dyDescent="0.25">
      <c r="H787" s="245" t="str">
        <f t="shared" si="12"/>
        <v/>
      </c>
      <c r="N787" s="233" t="str">
        <f>IFERROR(COUNTIF($C$18:C787,C787)&amp;CHOOSE(MIN(4,COUNTIF($C$18:C787,C787)),"st","nd","rd","th"),"")</f>
        <v/>
      </c>
    </row>
    <row r="788" spans="8:14" x14ac:dyDescent="0.25">
      <c r="H788" s="245" t="str">
        <f t="shared" si="12"/>
        <v/>
      </c>
      <c r="N788" s="233" t="str">
        <f>IFERROR(COUNTIF($C$18:C788,C788)&amp;CHOOSE(MIN(4,COUNTIF($C$18:C788,C788)),"st","nd","rd","th"),"")</f>
        <v/>
      </c>
    </row>
    <row r="789" spans="8:14" x14ac:dyDescent="0.25">
      <c r="H789" s="245" t="str">
        <f t="shared" si="12"/>
        <v/>
      </c>
      <c r="N789" s="233" t="str">
        <f>IFERROR(COUNTIF($C$18:C789,C789)&amp;CHOOSE(MIN(4,COUNTIF($C$18:C789,C789)),"st","nd","rd","th"),"")</f>
        <v/>
      </c>
    </row>
    <row r="790" spans="8:14" x14ac:dyDescent="0.25">
      <c r="H790" s="245" t="str">
        <f t="shared" si="12"/>
        <v/>
      </c>
      <c r="N790" s="233" t="str">
        <f>IFERROR(COUNTIF($C$18:C790,C790)&amp;CHOOSE(MIN(4,COUNTIF($C$18:C790,C790)),"st","nd","rd","th"),"")</f>
        <v/>
      </c>
    </row>
    <row r="791" spans="8:14" x14ac:dyDescent="0.25">
      <c r="H791" s="245" t="str">
        <f t="shared" si="12"/>
        <v/>
      </c>
      <c r="N791" s="233" t="str">
        <f>IFERROR(COUNTIF($C$18:C791,C791)&amp;CHOOSE(MIN(4,COUNTIF($C$18:C791,C791)),"st","nd","rd","th"),"")</f>
        <v/>
      </c>
    </row>
    <row r="792" spans="8:14" x14ac:dyDescent="0.25">
      <c r="H792" s="245" t="str">
        <f t="shared" si="12"/>
        <v/>
      </c>
      <c r="N792" s="233" t="str">
        <f>IFERROR(COUNTIF($C$18:C792,C792)&amp;CHOOSE(MIN(4,COUNTIF($C$18:C792,C792)),"st","nd","rd","th"),"")</f>
        <v/>
      </c>
    </row>
    <row r="793" spans="8:14" x14ac:dyDescent="0.25">
      <c r="H793" s="245" t="str">
        <f t="shared" si="12"/>
        <v/>
      </c>
      <c r="N793" s="233" t="str">
        <f>IFERROR(COUNTIF($C$18:C793,C793)&amp;CHOOSE(MIN(4,COUNTIF($C$18:C793,C793)),"st","nd","rd","th"),"")</f>
        <v/>
      </c>
    </row>
    <row r="794" spans="8:14" x14ac:dyDescent="0.25">
      <c r="H794" s="245" t="str">
        <f t="shared" si="12"/>
        <v/>
      </c>
      <c r="N794" s="233" t="str">
        <f>IFERROR(COUNTIF($C$18:C794,C794)&amp;CHOOSE(MIN(4,COUNTIF($C$18:C794,C794)),"st","nd","rd","th"),"")</f>
        <v/>
      </c>
    </row>
    <row r="795" spans="8:14" x14ac:dyDescent="0.25">
      <c r="H795" s="245" t="str">
        <f t="shared" si="12"/>
        <v/>
      </c>
      <c r="N795" s="233" t="str">
        <f>IFERROR(COUNTIF($C$18:C795,C795)&amp;CHOOSE(MIN(4,COUNTIF($C$18:C795,C795)),"st","nd","rd","th"),"")</f>
        <v/>
      </c>
    </row>
    <row r="796" spans="8:14" x14ac:dyDescent="0.25">
      <c r="H796" s="245" t="str">
        <f t="shared" si="12"/>
        <v/>
      </c>
      <c r="N796" s="233" t="str">
        <f>IFERROR(COUNTIF($C$18:C796,C796)&amp;CHOOSE(MIN(4,COUNTIF($C$18:C796,C796)),"st","nd","rd","th"),"")</f>
        <v/>
      </c>
    </row>
    <row r="797" spans="8:14" x14ac:dyDescent="0.25">
      <c r="H797" s="245" t="str">
        <f t="shared" si="12"/>
        <v/>
      </c>
      <c r="N797" s="233" t="str">
        <f>IFERROR(COUNTIF($C$18:C797,C797)&amp;CHOOSE(MIN(4,COUNTIF($C$18:C797,C797)),"st","nd","rd","th"),"")</f>
        <v/>
      </c>
    </row>
    <row r="798" spans="8:14" x14ac:dyDescent="0.25">
      <c r="H798" s="245" t="str">
        <f t="shared" si="12"/>
        <v/>
      </c>
      <c r="N798" s="233" t="str">
        <f>IFERROR(COUNTIF($C$18:C798,C798)&amp;CHOOSE(MIN(4,COUNTIF($C$18:C798,C798)),"st","nd","rd","th"),"")</f>
        <v/>
      </c>
    </row>
    <row r="799" spans="8:14" x14ac:dyDescent="0.25">
      <c r="H799" s="245" t="str">
        <f t="shared" si="12"/>
        <v/>
      </c>
      <c r="N799" s="233" t="str">
        <f>IFERROR(COUNTIF($C$18:C799,C799)&amp;CHOOSE(MIN(4,COUNTIF($C$18:C799,C799)),"st","nd","rd","th"),"")</f>
        <v/>
      </c>
    </row>
    <row r="800" spans="8:14" x14ac:dyDescent="0.25">
      <c r="H800" s="245" t="str">
        <f t="shared" si="12"/>
        <v/>
      </c>
      <c r="N800" s="233" t="str">
        <f>IFERROR(COUNTIF($C$18:C800,C800)&amp;CHOOSE(MIN(4,COUNTIF($C$18:C800,C800)),"st","nd","rd","th"),"")</f>
        <v/>
      </c>
    </row>
    <row r="801" spans="8:14" x14ac:dyDescent="0.25">
      <c r="H801" s="245" t="str">
        <f t="shared" si="12"/>
        <v/>
      </c>
      <c r="N801" s="233" t="str">
        <f>IFERROR(COUNTIF($C$18:C801,C801)&amp;CHOOSE(MIN(4,COUNTIF($C$18:C801,C801)),"st","nd","rd","th"),"")</f>
        <v/>
      </c>
    </row>
    <row r="802" spans="8:14" x14ac:dyDescent="0.25">
      <c r="H802" s="245" t="str">
        <f t="shared" si="12"/>
        <v/>
      </c>
      <c r="N802" s="233" t="str">
        <f>IFERROR(COUNTIF($C$18:C802,C802)&amp;CHOOSE(MIN(4,COUNTIF($C$18:C802,C802)),"st","nd","rd","th"),"")</f>
        <v/>
      </c>
    </row>
    <row r="803" spans="8:14" x14ac:dyDescent="0.25">
      <c r="H803" s="245" t="str">
        <f t="shared" si="12"/>
        <v/>
      </c>
      <c r="N803" s="233" t="str">
        <f>IFERROR(COUNTIF($C$18:C803,C803)&amp;CHOOSE(MIN(4,COUNTIF($C$18:C803,C803)),"st","nd","rd","th"),"")</f>
        <v/>
      </c>
    </row>
    <row r="804" spans="8:14" x14ac:dyDescent="0.25">
      <c r="H804" s="245" t="str">
        <f t="shared" si="12"/>
        <v/>
      </c>
      <c r="N804" s="233" t="str">
        <f>IFERROR(COUNTIF($C$18:C804,C804)&amp;CHOOSE(MIN(4,COUNTIF($C$18:C804,C804)),"st","nd","rd","th"),"")</f>
        <v/>
      </c>
    </row>
    <row r="805" spans="8:14" x14ac:dyDescent="0.25">
      <c r="H805" s="245" t="str">
        <f t="shared" si="12"/>
        <v/>
      </c>
      <c r="N805" s="233" t="str">
        <f>IFERROR(COUNTIF($C$18:C805,C805)&amp;CHOOSE(MIN(4,COUNTIF($C$18:C805,C805)),"st","nd","rd","th"),"")</f>
        <v/>
      </c>
    </row>
    <row r="806" spans="8:14" x14ac:dyDescent="0.25">
      <c r="H806" s="245" t="str">
        <f t="shared" si="12"/>
        <v/>
      </c>
      <c r="N806" s="233" t="str">
        <f>IFERROR(COUNTIF($C$18:C806,C806)&amp;CHOOSE(MIN(4,COUNTIF($C$18:C806,C806)),"st","nd","rd","th"),"")</f>
        <v/>
      </c>
    </row>
    <row r="807" spans="8:14" x14ac:dyDescent="0.25">
      <c r="H807" s="245" t="str">
        <f t="shared" si="12"/>
        <v/>
      </c>
      <c r="N807" s="233" t="str">
        <f>IFERROR(COUNTIF($C$18:C807,C807)&amp;CHOOSE(MIN(4,COUNTIF($C$18:C807,C807)),"st","nd","rd","th"),"")</f>
        <v/>
      </c>
    </row>
    <row r="808" spans="8:14" x14ac:dyDescent="0.25">
      <c r="H808" s="245" t="str">
        <f t="shared" si="12"/>
        <v/>
      </c>
      <c r="N808" s="233" t="str">
        <f>IFERROR(COUNTIF($C$18:C808,C808)&amp;CHOOSE(MIN(4,COUNTIF($C$18:C808,C808)),"st","nd","rd","th"),"")</f>
        <v/>
      </c>
    </row>
    <row r="809" spans="8:14" x14ac:dyDescent="0.25">
      <c r="H809" s="245" t="str">
        <f t="shared" si="12"/>
        <v/>
      </c>
      <c r="N809" s="233" t="str">
        <f>IFERROR(COUNTIF($C$18:C809,C809)&amp;CHOOSE(MIN(4,COUNTIF($C$18:C809,C809)),"st","nd","rd","th"),"")</f>
        <v/>
      </c>
    </row>
    <row r="810" spans="8:14" x14ac:dyDescent="0.25">
      <c r="H810" s="245" t="str">
        <f t="shared" si="12"/>
        <v/>
      </c>
      <c r="N810" s="233" t="str">
        <f>IFERROR(COUNTIF($C$18:C810,C810)&amp;CHOOSE(MIN(4,COUNTIF($C$18:C810,C810)),"st","nd","rd","th"),"")</f>
        <v/>
      </c>
    </row>
    <row r="811" spans="8:14" x14ac:dyDescent="0.25">
      <c r="H811" s="245" t="str">
        <f t="shared" si="12"/>
        <v/>
      </c>
      <c r="N811" s="233" t="str">
        <f>IFERROR(COUNTIF($C$18:C811,C811)&amp;CHOOSE(MIN(4,COUNTIF($C$18:C811,C811)),"st","nd","rd","th"),"")</f>
        <v/>
      </c>
    </row>
    <row r="812" spans="8:14" x14ac:dyDescent="0.25">
      <c r="H812" s="245" t="str">
        <f t="shared" si="12"/>
        <v/>
      </c>
      <c r="N812" s="233" t="str">
        <f>IFERROR(COUNTIF($C$18:C812,C812)&amp;CHOOSE(MIN(4,COUNTIF($C$18:C812,C812)),"st","nd","rd","th"),"")</f>
        <v/>
      </c>
    </row>
    <row r="813" spans="8:14" x14ac:dyDescent="0.25">
      <c r="H813" s="245" t="str">
        <f t="shared" si="12"/>
        <v/>
      </c>
      <c r="N813" s="233" t="str">
        <f>IFERROR(COUNTIF($C$18:C813,C813)&amp;CHOOSE(MIN(4,COUNTIF($C$18:C813,C813)),"st","nd","rd","th"),"")</f>
        <v/>
      </c>
    </row>
    <row r="814" spans="8:14" x14ac:dyDescent="0.25">
      <c r="H814" s="245" t="str">
        <f t="shared" si="12"/>
        <v/>
      </c>
      <c r="N814" s="233" t="str">
        <f>IFERROR(COUNTIF($C$18:C814,C814)&amp;CHOOSE(MIN(4,COUNTIF($C$18:C814,C814)),"st","nd","rd","th"),"")</f>
        <v/>
      </c>
    </row>
    <row r="815" spans="8:14" x14ac:dyDescent="0.25">
      <c r="H815" s="245" t="str">
        <f t="shared" si="12"/>
        <v/>
      </c>
      <c r="N815" s="233" t="str">
        <f>IFERROR(COUNTIF($C$18:C815,C815)&amp;CHOOSE(MIN(4,COUNTIF($C$18:C815,C815)),"st","nd","rd","th"),"")</f>
        <v/>
      </c>
    </row>
    <row r="816" spans="8:14" x14ac:dyDescent="0.25">
      <c r="H816" s="245" t="str">
        <f t="shared" si="12"/>
        <v/>
      </c>
      <c r="N816" s="233" t="str">
        <f>IFERROR(COUNTIF($C$18:C816,C816)&amp;CHOOSE(MIN(4,COUNTIF($C$18:C816,C816)),"st","nd","rd","th"),"")</f>
        <v/>
      </c>
    </row>
    <row r="817" spans="8:14" x14ac:dyDescent="0.25">
      <c r="H817" s="245" t="str">
        <f t="shared" si="12"/>
        <v/>
      </c>
      <c r="N817" s="233" t="str">
        <f>IFERROR(COUNTIF($C$18:C817,C817)&amp;CHOOSE(MIN(4,COUNTIF($C$18:C817,C817)),"st","nd","rd","th"),"")</f>
        <v/>
      </c>
    </row>
    <row r="818" spans="8:14" x14ac:dyDescent="0.25">
      <c r="H818" s="245" t="str">
        <f t="shared" si="12"/>
        <v/>
      </c>
      <c r="N818" s="233" t="str">
        <f>IFERROR(COUNTIF($C$18:C818,C818)&amp;CHOOSE(MIN(4,COUNTIF($C$18:C818,C818)),"st","nd","rd","th"),"")</f>
        <v/>
      </c>
    </row>
    <row r="819" spans="8:14" x14ac:dyDescent="0.25">
      <c r="H819" s="245" t="str">
        <f t="shared" si="12"/>
        <v/>
      </c>
      <c r="N819" s="233" t="str">
        <f>IFERROR(COUNTIF($C$18:C819,C819)&amp;CHOOSE(MIN(4,COUNTIF($C$18:C819,C819)),"st","nd","rd","th"),"")</f>
        <v/>
      </c>
    </row>
    <row r="820" spans="8:14" x14ac:dyDescent="0.25">
      <c r="H820" s="245" t="str">
        <f t="shared" si="12"/>
        <v/>
      </c>
      <c r="N820" s="233" t="str">
        <f>IFERROR(COUNTIF($C$18:C820,C820)&amp;CHOOSE(MIN(4,COUNTIF($C$18:C820,C820)),"st","nd","rd","th"),"")</f>
        <v/>
      </c>
    </row>
    <row r="821" spans="8:14" x14ac:dyDescent="0.25">
      <c r="H821" s="245" t="str">
        <f t="shared" si="12"/>
        <v/>
      </c>
      <c r="N821" s="233" t="str">
        <f>IFERROR(COUNTIF($C$18:C821,C821)&amp;CHOOSE(MIN(4,COUNTIF($C$18:C821,C821)),"st","nd","rd","th"),"")</f>
        <v/>
      </c>
    </row>
    <row r="822" spans="8:14" x14ac:dyDescent="0.25">
      <c r="H822" s="245" t="str">
        <f t="shared" si="12"/>
        <v/>
      </c>
      <c r="N822" s="233" t="str">
        <f>IFERROR(COUNTIF($C$18:C822,C822)&amp;CHOOSE(MIN(4,COUNTIF($C$18:C822,C822)),"st","nd","rd","th"),"")</f>
        <v/>
      </c>
    </row>
    <row r="823" spans="8:14" x14ac:dyDescent="0.25">
      <c r="H823" s="245" t="str">
        <f t="shared" si="12"/>
        <v/>
      </c>
      <c r="N823" s="233" t="str">
        <f>IFERROR(COUNTIF($C$18:C823,C823)&amp;CHOOSE(MIN(4,COUNTIF($C$18:C823,C823)),"st","nd","rd","th"),"")</f>
        <v/>
      </c>
    </row>
    <row r="824" spans="8:14" x14ac:dyDescent="0.25">
      <c r="H824" s="245" t="str">
        <f t="shared" si="12"/>
        <v/>
      </c>
      <c r="N824" s="233" t="str">
        <f>IFERROR(COUNTIF($C$18:C824,C824)&amp;CHOOSE(MIN(4,COUNTIF($C$18:C824,C824)),"st","nd","rd","th"),"")</f>
        <v/>
      </c>
    </row>
    <row r="825" spans="8:14" x14ac:dyDescent="0.25">
      <c r="H825" s="245" t="str">
        <f t="shared" si="12"/>
        <v/>
      </c>
      <c r="N825" s="233" t="str">
        <f>IFERROR(COUNTIF($C$18:C825,C825)&amp;CHOOSE(MIN(4,COUNTIF($C$18:C825,C825)),"st","nd","rd","th"),"")</f>
        <v/>
      </c>
    </row>
    <row r="826" spans="8:14" x14ac:dyDescent="0.25">
      <c r="H826" s="245" t="str">
        <f t="shared" si="12"/>
        <v/>
      </c>
      <c r="N826" s="233" t="str">
        <f>IFERROR(COUNTIF($C$18:C826,C826)&amp;CHOOSE(MIN(4,COUNTIF($C$18:C826,C826)),"st","nd","rd","th"),"")</f>
        <v/>
      </c>
    </row>
    <row r="827" spans="8:14" x14ac:dyDescent="0.25">
      <c r="H827" s="245" t="str">
        <f t="shared" si="12"/>
        <v/>
      </c>
      <c r="N827" s="233" t="str">
        <f>IFERROR(COUNTIF($C$18:C827,C827)&amp;CHOOSE(MIN(4,COUNTIF($C$18:C827,C827)),"st","nd","rd","th"),"")</f>
        <v/>
      </c>
    </row>
    <row r="828" spans="8:14" x14ac:dyDescent="0.25">
      <c r="H828" s="245" t="str">
        <f t="shared" si="12"/>
        <v/>
      </c>
      <c r="N828" s="233" t="str">
        <f>IFERROR(COUNTIF($C$18:C828,C828)&amp;CHOOSE(MIN(4,COUNTIF($C$18:C828,C828)),"st","nd","rd","th"),"")</f>
        <v/>
      </c>
    </row>
    <row r="829" spans="8:14" x14ac:dyDescent="0.25">
      <c r="H829" s="245" t="str">
        <f t="shared" si="12"/>
        <v/>
      </c>
      <c r="N829" s="233" t="str">
        <f>IFERROR(COUNTIF($C$18:C829,C829)&amp;CHOOSE(MIN(4,COUNTIF($C$18:C829,C829)),"st","nd","rd","th"),"")</f>
        <v/>
      </c>
    </row>
    <row r="830" spans="8:14" x14ac:dyDescent="0.25">
      <c r="H830" s="245" t="str">
        <f t="shared" si="12"/>
        <v/>
      </c>
      <c r="N830" s="233" t="str">
        <f>IFERROR(COUNTIF($C$18:C830,C830)&amp;CHOOSE(MIN(4,COUNTIF($C$18:C830,C830)),"st","nd","rd","th"),"")</f>
        <v/>
      </c>
    </row>
    <row r="831" spans="8:14" x14ac:dyDescent="0.25">
      <c r="H831" s="245" t="str">
        <f t="shared" si="12"/>
        <v/>
      </c>
      <c r="N831" s="233" t="str">
        <f>IFERROR(COUNTIF($C$18:C831,C831)&amp;CHOOSE(MIN(4,COUNTIF($C$18:C831,C831)),"st","nd","rd","th"),"")</f>
        <v/>
      </c>
    </row>
    <row r="832" spans="8:14" x14ac:dyDescent="0.25">
      <c r="H832" s="245" t="str">
        <f t="shared" si="12"/>
        <v/>
      </c>
      <c r="N832" s="233" t="str">
        <f>IFERROR(COUNTIF($C$18:C832,C832)&amp;CHOOSE(MIN(4,COUNTIF($C$18:C832,C832)),"st","nd","rd","th"),"")</f>
        <v/>
      </c>
    </row>
    <row r="833" spans="8:14" x14ac:dyDescent="0.25">
      <c r="H833" s="245" t="str">
        <f t="shared" si="12"/>
        <v/>
      </c>
      <c r="N833" s="233" t="str">
        <f>IFERROR(COUNTIF($C$18:C833,C833)&amp;CHOOSE(MIN(4,COUNTIF($C$18:C833,C833)),"st","nd","rd","th"),"")</f>
        <v/>
      </c>
    </row>
    <row r="834" spans="8:14" x14ac:dyDescent="0.25">
      <c r="H834" s="245" t="str">
        <f t="shared" si="12"/>
        <v/>
      </c>
      <c r="N834" s="233" t="str">
        <f>IFERROR(COUNTIF($C$18:C834,C834)&amp;CHOOSE(MIN(4,COUNTIF($C$18:C834,C834)),"st","nd","rd","th"),"")</f>
        <v/>
      </c>
    </row>
    <row r="835" spans="8:14" x14ac:dyDescent="0.25">
      <c r="H835" s="245" t="str">
        <f t="shared" si="12"/>
        <v/>
      </c>
      <c r="N835" s="233" t="str">
        <f>IFERROR(COUNTIF($C$18:C835,C835)&amp;CHOOSE(MIN(4,COUNTIF($C$18:C835,C835)),"st","nd","rd","th"),"")</f>
        <v/>
      </c>
    </row>
    <row r="836" spans="8:14" x14ac:dyDescent="0.25">
      <c r="H836" s="245" t="str">
        <f t="shared" si="12"/>
        <v/>
      </c>
      <c r="N836" s="233" t="str">
        <f>IFERROR(COUNTIF($C$18:C836,C836)&amp;CHOOSE(MIN(4,COUNTIF($C$18:C836,C836)),"st","nd","rd","th"),"")</f>
        <v/>
      </c>
    </row>
    <row r="837" spans="8:14" x14ac:dyDescent="0.25">
      <c r="H837" s="245" t="str">
        <f t="shared" si="12"/>
        <v/>
      </c>
      <c r="N837" s="233" t="str">
        <f>IFERROR(COUNTIF($C$18:C837,C837)&amp;CHOOSE(MIN(4,COUNTIF($C$18:C837,C837)),"st","nd","rd","th"),"")</f>
        <v/>
      </c>
    </row>
    <row r="838" spans="8:14" x14ac:dyDescent="0.25">
      <c r="H838" s="245" t="str">
        <f t="shared" si="12"/>
        <v/>
      </c>
      <c r="N838" s="233" t="str">
        <f>IFERROR(COUNTIF($C$18:C838,C838)&amp;CHOOSE(MIN(4,COUNTIF($C$18:C838,C838)),"st","nd","rd","th"),"")</f>
        <v/>
      </c>
    </row>
    <row r="839" spans="8:14" x14ac:dyDescent="0.25">
      <c r="H839" s="245" t="str">
        <f t="shared" si="12"/>
        <v/>
      </c>
      <c r="N839" s="233" t="str">
        <f>IFERROR(COUNTIF($C$18:C839,C839)&amp;CHOOSE(MIN(4,COUNTIF($C$18:C839,C839)),"st","nd","rd","th"),"")</f>
        <v/>
      </c>
    </row>
    <row r="840" spans="8:14" x14ac:dyDescent="0.25">
      <c r="H840" s="245" t="str">
        <f t="shared" si="12"/>
        <v/>
      </c>
      <c r="N840" s="233" t="str">
        <f>IFERROR(COUNTIF($C$18:C840,C840)&amp;CHOOSE(MIN(4,COUNTIF($C$18:C840,C840)),"st","nd","rd","th"),"")</f>
        <v/>
      </c>
    </row>
    <row r="841" spans="8:14" x14ac:dyDescent="0.25">
      <c r="H841" s="245" t="str">
        <f t="shared" si="12"/>
        <v/>
      </c>
      <c r="N841" s="233" t="str">
        <f>IFERROR(COUNTIF($C$18:C841,C841)&amp;CHOOSE(MIN(4,COUNTIF($C$18:C841,C841)),"st","nd","rd","th"),"")</f>
        <v/>
      </c>
    </row>
    <row r="842" spans="8:14" x14ac:dyDescent="0.25">
      <c r="H842" s="245" t="str">
        <f t="shared" si="12"/>
        <v/>
      </c>
      <c r="N842" s="233" t="str">
        <f>IFERROR(COUNTIF($C$18:C842,C842)&amp;CHOOSE(MIN(4,COUNTIF($C$18:C842,C842)),"st","nd","rd","th"),"")</f>
        <v/>
      </c>
    </row>
    <row r="843" spans="8:14" x14ac:dyDescent="0.25">
      <c r="H843" s="245" t="str">
        <f t="shared" si="12"/>
        <v/>
      </c>
      <c r="N843" s="233" t="str">
        <f>IFERROR(COUNTIF($C$18:C843,C843)&amp;CHOOSE(MIN(4,COUNTIF($C$18:C843,C843)),"st","nd","rd","th"),"")</f>
        <v/>
      </c>
    </row>
    <row r="844" spans="8:14" x14ac:dyDescent="0.25">
      <c r="H844" s="245" t="str">
        <f t="shared" si="12"/>
        <v/>
      </c>
      <c r="N844" s="233" t="str">
        <f>IFERROR(COUNTIF($C$18:C844,C844)&amp;CHOOSE(MIN(4,COUNTIF($C$18:C844,C844)),"st","nd","rd","th"),"")</f>
        <v/>
      </c>
    </row>
    <row r="845" spans="8:14" x14ac:dyDescent="0.25">
      <c r="H845" s="245" t="str">
        <f t="shared" si="12"/>
        <v/>
      </c>
      <c r="N845" s="233" t="str">
        <f>IFERROR(COUNTIF($C$18:C845,C845)&amp;CHOOSE(MIN(4,COUNTIF($C$18:C845,C845)),"st","nd","rd","th"),"")</f>
        <v/>
      </c>
    </row>
    <row r="846" spans="8:14" x14ac:dyDescent="0.25">
      <c r="H846" s="245" t="str">
        <f t="shared" si="12"/>
        <v/>
      </c>
      <c r="N846" s="233" t="str">
        <f>IFERROR(COUNTIF($C$18:C846,C846)&amp;CHOOSE(MIN(4,COUNTIF($C$18:C846,C846)),"st","nd","rd","th"),"")</f>
        <v/>
      </c>
    </row>
    <row r="847" spans="8:14" x14ac:dyDescent="0.25">
      <c r="H847" s="245" t="str">
        <f t="shared" ref="H847:H910" si="13">IF(OR(ISBLANK(G847), ISBLANK(F847)), "", IF(G847=F847, 1, SUM(_xlfn.DAYS(G847, F847), 1)))</f>
        <v/>
      </c>
      <c r="N847" s="233" t="str">
        <f>IFERROR(COUNTIF($C$18:C847,C847)&amp;CHOOSE(MIN(4,COUNTIF($C$18:C847,C847)),"st","nd","rd","th"),"")</f>
        <v/>
      </c>
    </row>
    <row r="848" spans="8:14" x14ac:dyDescent="0.25">
      <c r="H848" s="245" t="str">
        <f t="shared" si="13"/>
        <v/>
      </c>
      <c r="N848" s="233" t="str">
        <f>IFERROR(COUNTIF($C$18:C848,C848)&amp;CHOOSE(MIN(4,COUNTIF($C$18:C848,C848)),"st","nd","rd","th"),"")</f>
        <v/>
      </c>
    </row>
    <row r="849" spans="8:14" x14ac:dyDescent="0.25">
      <c r="H849" s="245" t="str">
        <f t="shared" si="13"/>
        <v/>
      </c>
      <c r="N849" s="233" t="str">
        <f>IFERROR(COUNTIF($C$18:C849,C849)&amp;CHOOSE(MIN(4,COUNTIF($C$18:C849,C849)),"st","nd","rd","th"),"")</f>
        <v/>
      </c>
    </row>
    <row r="850" spans="8:14" x14ac:dyDescent="0.25">
      <c r="H850" s="245" t="str">
        <f t="shared" si="13"/>
        <v/>
      </c>
      <c r="N850" s="233" t="str">
        <f>IFERROR(COUNTIF($C$18:C850,C850)&amp;CHOOSE(MIN(4,COUNTIF($C$18:C850,C850)),"st","nd","rd","th"),"")</f>
        <v/>
      </c>
    </row>
    <row r="851" spans="8:14" x14ac:dyDescent="0.25">
      <c r="H851" s="245" t="str">
        <f t="shared" si="13"/>
        <v/>
      </c>
      <c r="N851" s="233" t="str">
        <f>IFERROR(COUNTIF($C$18:C851,C851)&amp;CHOOSE(MIN(4,COUNTIF($C$18:C851,C851)),"st","nd","rd","th"),"")</f>
        <v/>
      </c>
    </row>
    <row r="852" spans="8:14" x14ac:dyDescent="0.25">
      <c r="H852" s="245" t="str">
        <f t="shared" si="13"/>
        <v/>
      </c>
      <c r="N852" s="233" t="str">
        <f>IFERROR(COUNTIF($C$18:C852,C852)&amp;CHOOSE(MIN(4,COUNTIF($C$18:C852,C852)),"st","nd","rd","th"),"")</f>
        <v/>
      </c>
    </row>
    <row r="853" spans="8:14" x14ac:dyDescent="0.25">
      <c r="H853" s="245" t="str">
        <f t="shared" si="13"/>
        <v/>
      </c>
      <c r="N853" s="233" t="str">
        <f>IFERROR(COUNTIF($C$18:C853,C853)&amp;CHOOSE(MIN(4,COUNTIF($C$18:C853,C853)),"st","nd","rd","th"),"")</f>
        <v/>
      </c>
    </row>
    <row r="854" spans="8:14" x14ac:dyDescent="0.25">
      <c r="H854" s="245" t="str">
        <f t="shared" si="13"/>
        <v/>
      </c>
      <c r="N854" s="233" t="str">
        <f>IFERROR(COUNTIF($C$18:C854,C854)&amp;CHOOSE(MIN(4,COUNTIF($C$18:C854,C854)),"st","nd","rd","th"),"")</f>
        <v/>
      </c>
    </row>
    <row r="855" spans="8:14" x14ac:dyDescent="0.25">
      <c r="H855" s="245" t="str">
        <f t="shared" si="13"/>
        <v/>
      </c>
      <c r="N855" s="233" t="str">
        <f>IFERROR(COUNTIF($C$18:C855,C855)&amp;CHOOSE(MIN(4,COUNTIF($C$18:C855,C855)),"st","nd","rd","th"),"")</f>
        <v/>
      </c>
    </row>
    <row r="856" spans="8:14" x14ac:dyDescent="0.25">
      <c r="H856" s="245" t="str">
        <f t="shared" si="13"/>
        <v/>
      </c>
      <c r="N856" s="233" t="str">
        <f>IFERROR(COUNTIF($C$18:C856,C856)&amp;CHOOSE(MIN(4,COUNTIF($C$18:C856,C856)),"st","nd","rd","th"),"")</f>
        <v/>
      </c>
    </row>
    <row r="857" spans="8:14" x14ac:dyDescent="0.25">
      <c r="H857" s="245" t="str">
        <f t="shared" si="13"/>
        <v/>
      </c>
      <c r="N857" s="233" t="str">
        <f>IFERROR(COUNTIF($C$18:C857,C857)&amp;CHOOSE(MIN(4,COUNTIF($C$18:C857,C857)),"st","nd","rd","th"),"")</f>
        <v/>
      </c>
    </row>
    <row r="858" spans="8:14" x14ac:dyDescent="0.25">
      <c r="H858" s="245" t="str">
        <f t="shared" si="13"/>
        <v/>
      </c>
      <c r="N858" s="233" t="str">
        <f>IFERROR(COUNTIF($C$18:C858,C858)&amp;CHOOSE(MIN(4,COUNTIF($C$18:C858,C858)),"st","nd","rd","th"),"")</f>
        <v/>
      </c>
    </row>
    <row r="859" spans="8:14" x14ac:dyDescent="0.25">
      <c r="H859" s="245" t="str">
        <f t="shared" si="13"/>
        <v/>
      </c>
      <c r="N859" s="233" t="str">
        <f>IFERROR(COUNTIF($C$18:C859,C859)&amp;CHOOSE(MIN(4,COUNTIF($C$18:C859,C859)),"st","nd","rd","th"),"")</f>
        <v/>
      </c>
    </row>
    <row r="860" spans="8:14" x14ac:dyDescent="0.25">
      <c r="H860" s="245" t="str">
        <f t="shared" si="13"/>
        <v/>
      </c>
      <c r="N860" s="233" t="str">
        <f>IFERROR(COUNTIF($C$18:C860,C860)&amp;CHOOSE(MIN(4,COUNTIF($C$18:C860,C860)),"st","nd","rd","th"),"")</f>
        <v/>
      </c>
    </row>
    <row r="861" spans="8:14" x14ac:dyDescent="0.25">
      <c r="H861" s="245" t="str">
        <f t="shared" si="13"/>
        <v/>
      </c>
      <c r="N861" s="233" t="str">
        <f>IFERROR(COUNTIF($C$18:C861,C861)&amp;CHOOSE(MIN(4,COUNTIF($C$18:C861,C861)),"st","nd","rd","th"),"")</f>
        <v/>
      </c>
    </row>
    <row r="862" spans="8:14" x14ac:dyDescent="0.25">
      <c r="H862" s="245" t="str">
        <f t="shared" si="13"/>
        <v/>
      </c>
      <c r="N862" s="233" t="str">
        <f>IFERROR(COUNTIF($C$18:C862,C862)&amp;CHOOSE(MIN(4,COUNTIF($C$18:C862,C862)),"st","nd","rd","th"),"")</f>
        <v/>
      </c>
    </row>
    <row r="863" spans="8:14" x14ac:dyDescent="0.25">
      <c r="H863" s="245" t="str">
        <f t="shared" si="13"/>
        <v/>
      </c>
      <c r="N863" s="233" t="str">
        <f>IFERROR(COUNTIF($C$18:C863,C863)&amp;CHOOSE(MIN(4,COUNTIF($C$18:C863,C863)),"st","nd","rd","th"),"")</f>
        <v/>
      </c>
    </row>
    <row r="864" spans="8:14" x14ac:dyDescent="0.25">
      <c r="H864" s="245" t="str">
        <f t="shared" si="13"/>
        <v/>
      </c>
      <c r="N864" s="233" t="str">
        <f>IFERROR(COUNTIF($C$18:C864,C864)&amp;CHOOSE(MIN(4,COUNTIF($C$18:C864,C864)),"st","nd","rd","th"),"")</f>
        <v/>
      </c>
    </row>
    <row r="865" spans="8:14" x14ac:dyDescent="0.25">
      <c r="H865" s="245" t="str">
        <f t="shared" si="13"/>
        <v/>
      </c>
      <c r="N865" s="233" t="str">
        <f>IFERROR(COUNTIF($C$18:C865,C865)&amp;CHOOSE(MIN(4,COUNTIF($C$18:C865,C865)),"st","nd","rd","th"),"")</f>
        <v/>
      </c>
    </row>
    <row r="866" spans="8:14" x14ac:dyDescent="0.25">
      <c r="H866" s="245" t="str">
        <f t="shared" si="13"/>
        <v/>
      </c>
      <c r="N866" s="233" t="str">
        <f>IFERROR(COUNTIF($C$18:C866,C866)&amp;CHOOSE(MIN(4,COUNTIF($C$18:C866,C866)),"st","nd","rd","th"),"")</f>
        <v/>
      </c>
    </row>
    <row r="867" spans="8:14" x14ac:dyDescent="0.25">
      <c r="H867" s="245" t="str">
        <f t="shared" si="13"/>
        <v/>
      </c>
      <c r="N867" s="233" t="str">
        <f>IFERROR(COUNTIF($C$18:C867,C867)&amp;CHOOSE(MIN(4,COUNTIF($C$18:C867,C867)),"st","nd","rd","th"),"")</f>
        <v/>
      </c>
    </row>
    <row r="868" spans="8:14" x14ac:dyDescent="0.25">
      <c r="H868" s="245" t="str">
        <f t="shared" si="13"/>
        <v/>
      </c>
      <c r="N868" s="233" t="str">
        <f>IFERROR(COUNTIF($C$18:C868,C868)&amp;CHOOSE(MIN(4,COUNTIF($C$18:C868,C868)),"st","nd","rd","th"),"")</f>
        <v/>
      </c>
    </row>
    <row r="869" spans="8:14" x14ac:dyDescent="0.25">
      <c r="H869" s="245" t="str">
        <f t="shared" si="13"/>
        <v/>
      </c>
      <c r="N869" s="233" t="str">
        <f>IFERROR(COUNTIF($C$18:C869,C869)&amp;CHOOSE(MIN(4,COUNTIF($C$18:C869,C869)),"st","nd","rd","th"),"")</f>
        <v/>
      </c>
    </row>
    <row r="870" spans="8:14" x14ac:dyDescent="0.25">
      <c r="H870" s="245" t="str">
        <f t="shared" si="13"/>
        <v/>
      </c>
      <c r="N870" s="233" t="str">
        <f>IFERROR(COUNTIF($C$18:C870,C870)&amp;CHOOSE(MIN(4,COUNTIF($C$18:C870,C870)),"st","nd","rd","th"),"")</f>
        <v/>
      </c>
    </row>
    <row r="871" spans="8:14" x14ac:dyDescent="0.25">
      <c r="H871" s="245" t="str">
        <f t="shared" si="13"/>
        <v/>
      </c>
      <c r="N871" s="233" t="str">
        <f>IFERROR(COUNTIF($C$18:C871,C871)&amp;CHOOSE(MIN(4,COUNTIF($C$18:C871,C871)),"st","nd","rd","th"),"")</f>
        <v/>
      </c>
    </row>
    <row r="872" spans="8:14" x14ac:dyDescent="0.25">
      <c r="H872" s="245" t="str">
        <f t="shared" si="13"/>
        <v/>
      </c>
      <c r="N872" s="233" t="str">
        <f>IFERROR(COUNTIF($C$18:C872,C872)&amp;CHOOSE(MIN(4,COUNTIF($C$18:C872,C872)),"st","nd","rd","th"),"")</f>
        <v/>
      </c>
    </row>
    <row r="873" spans="8:14" x14ac:dyDescent="0.25">
      <c r="H873" s="245" t="str">
        <f t="shared" si="13"/>
        <v/>
      </c>
      <c r="N873" s="233" t="str">
        <f>IFERROR(COUNTIF($C$18:C873,C873)&amp;CHOOSE(MIN(4,COUNTIF($C$18:C873,C873)),"st","nd","rd","th"),"")</f>
        <v/>
      </c>
    </row>
    <row r="874" spans="8:14" x14ac:dyDescent="0.25">
      <c r="H874" s="245" t="str">
        <f t="shared" si="13"/>
        <v/>
      </c>
      <c r="N874" s="233" t="str">
        <f>IFERROR(COUNTIF($C$18:C874,C874)&amp;CHOOSE(MIN(4,COUNTIF($C$18:C874,C874)),"st","nd","rd","th"),"")</f>
        <v/>
      </c>
    </row>
    <row r="875" spans="8:14" x14ac:dyDescent="0.25">
      <c r="H875" s="245" t="str">
        <f t="shared" si="13"/>
        <v/>
      </c>
      <c r="N875" s="233" t="str">
        <f>IFERROR(COUNTIF($C$18:C875,C875)&amp;CHOOSE(MIN(4,COUNTIF($C$18:C875,C875)),"st","nd","rd","th"),"")</f>
        <v/>
      </c>
    </row>
    <row r="876" spans="8:14" x14ac:dyDescent="0.25">
      <c r="H876" s="245" t="str">
        <f t="shared" si="13"/>
        <v/>
      </c>
      <c r="N876" s="233" t="str">
        <f>IFERROR(COUNTIF($C$18:C876,C876)&amp;CHOOSE(MIN(4,COUNTIF($C$18:C876,C876)),"st","nd","rd","th"),"")</f>
        <v/>
      </c>
    </row>
    <row r="877" spans="8:14" x14ac:dyDescent="0.25">
      <c r="H877" s="245" t="str">
        <f t="shared" si="13"/>
        <v/>
      </c>
      <c r="N877" s="233" t="str">
        <f>IFERROR(COUNTIF($C$18:C877,C877)&amp;CHOOSE(MIN(4,COUNTIF($C$18:C877,C877)),"st","nd","rd","th"),"")</f>
        <v/>
      </c>
    </row>
    <row r="878" spans="8:14" x14ac:dyDescent="0.25">
      <c r="H878" s="245" t="str">
        <f t="shared" si="13"/>
        <v/>
      </c>
      <c r="N878" s="233" t="str">
        <f>IFERROR(COUNTIF($C$18:C878,C878)&amp;CHOOSE(MIN(4,COUNTIF($C$18:C878,C878)),"st","nd","rd","th"),"")</f>
        <v/>
      </c>
    </row>
    <row r="879" spans="8:14" x14ac:dyDescent="0.25">
      <c r="H879" s="245" t="str">
        <f t="shared" si="13"/>
        <v/>
      </c>
      <c r="N879" s="233" t="str">
        <f>IFERROR(COUNTIF($C$18:C879,C879)&amp;CHOOSE(MIN(4,COUNTIF($C$18:C879,C879)),"st","nd","rd","th"),"")</f>
        <v/>
      </c>
    </row>
    <row r="880" spans="8:14" x14ac:dyDescent="0.25">
      <c r="H880" s="245" t="str">
        <f t="shared" si="13"/>
        <v/>
      </c>
      <c r="N880" s="233" t="str">
        <f>IFERROR(COUNTIF($C$18:C880,C880)&amp;CHOOSE(MIN(4,COUNTIF($C$18:C880,C880)),"st","nd","rd","th"),"")</f>
        <v/>
      </c>
    </row>
    <row r="881" spans="8:14" x14ac:dyDescent="0.25">
      <c r="H881" s="245" t="str">
        <f t="shared" si="13"/>
        <v/>
      </c>
      <c r="N881" s="233" t="str">
        <f>IFERROR(COUNTIF($C$18:C881,C881)&amp;CHOOSE(MIN(4,COUNTIF($C$18:C881,C881)),"st","nd","rd","th"),"")</f>
        <v/>
      </c>
    </row>
    <row r="882" spans="8:14" x14ac:dyDescent="0.25">
      <c r="H882" s="245" t="str">
        <f t="shared" si="13"/>
        <v/>
      </c>
      <c r="N882" s="233" t="str">
        <f>IFERROR(COUNTIF($C$18:C882,C882)&amp;CHOOSE(MIN(4,COUNTIF($C$18:C882,C882)),"st","nd","rd","th"),"")</f>
        <v/>
      </c>
    </row>
    <row r="883" spans="8:14" x14ac:dyDescent="0.25">
      <c r="H883" s="245" t="str">
        <f t="shared" si="13"/>
        <v/>
      </c>
      <c r="N883" s="233" t="str">
        <f>IFERROR(COUNTIF($C$18:C883,C883)&amp;CHOOSE(MIN(4,COUNTIF($C$18:C883,C883)),"st","nd","rd","th"),"")</f>
        <v/>
      </c>
    </row>
    <row r="884" spans="8:14" x14ac:dyDescent="0.25">
      <c r="H884" s="245" t="str">
        <f t="shared" si="13"/>
        <v/>
      </c>
      <c r="N884" s="233" t="str">
        <f>IFERROR(COUNTIF($C$18:C884,C884)&amp;CHOOSE(MIN(4,COUNTIF($C$18:C884,C884)),"st","nd","rd","th"),"")</f>
        <v/>
      </c>
    </row>
    <row r="885" spans="8:14" x14ac:dyDescent="0.25">
      <c r="H885" s="245" t="str">
        <f t="shared" si="13"/>
        <v/>
      </c>
      <c r="N885" s="233" t="str">
        <f>IFERROR(COUNTIF($C$18:C885,C885)&amp;CHOOSE(MIN(4,COUNTIF($C$18:C885,C885)),"st","nd","rd","th"),"")</f>
        <v/>
      </c>
    </row>
    <row r="886" spans="8:14" x14ac:dyDescent="0.25">
      <c r="H886" s="245" t="str">
        <f t="shared" si="13"/>
        <v/>
      </c>
      <c r="N886" s="233" t="str">
        <f>IFERROR(COUNTIF($C$18:C886,C886)&amp;CHOOSE(MIN(4,COUNTIF($C$18:C886,C886)),"st","nd","rd","th"),"")</f>
        <v/>
      </c>
    </row>
    <row r="887" spans="8:14" x14ac:dyDescent="0.25">
      <c r="H887" s="245" t="str">
        <f t="shared" si="13"/>
        <v/>
      </c>
      <c r="N887" s="233" t="str">
        <f>IFERROR(COUNTIF($C$18:C887,C887)&amp;CHOOSE(MIN(4,COUNTIF($C$18:C887,C887)),"st","nd","rd","th"),"")</f>
        <v/>
      </c>
    </row>
    <row r="888" spans="8:14" x14ac:dyDescent="0.25">
      <c r="H888" s="245" t="str">
        <f t="shared" si="13"/>
        <v/>
      </c>
      <c r="N888" s="233" t="str">
        <f>IFERROR(COUNTIF($C$18:C888,C888)&amp;CHOOSE(MIN(4,COUNTIF($C$18:C888,C888)),"st","nd","rd","th"),"")</f>
        <v/>
      </c>
    </row>
    <row r="889" spans="8:14" x14ac:dyDescent="0.25">
      <c r="H889" s="245" t="str">
        <f t="shared" si="13"/>
        <v/>
      </c>
      <c r="N889" s="233" t="str">
        <f>IFERROR(COUNTIF($C$18:C889,C889)&amp;CHOOSE(MIN(4,COUNTIF($C$18:C889,C889)),"st","nd","rd","th"),"")</f>
        <v/>
      </c>
    </row>
    <row r="890" spans="8:14" x14ac:dyDescent="0.25">
      <c r="H890" s="245" t="str">
        <f t="shared" si="13"/>
        <v/>
      </c>
      <c r="N890" s="233" t="str">
        <f>IFERROR(COUNTIF($C$18:C890,C890)&amp;CHOOSE(MIN(4,COUNTIF($C$18:C890,C890)),"st","nd","rd","th"),"")</f>
        <v/>
      </c>
    </row>
    <row r="891" spans="8:14" x14ac:dyDescent="0.25">
      <c r="H891" s="245" t="str">
        <f t="shared" si="13"/>
        <v/>
      </c>
      <c r="N891" s="233" t="str">
        <f>IFERROR(COUNTIF($C$18:C891,C891)&amp;CHOOSE(MIN(4,COUNTIF($C$18:C891,C891)),"st","nd","rd","th"),"")</f>
        <v/>
      </c>
    </row>
    <row r="892" spans="8:14" x14ac:dyDescent="0.25">
      <c r="H892" s="245" t="str">
        <f t="shared" si="13"/>
        <v/>
      </c>
      <c r="N892" s="233" t="str">
        <f>IFERROR(COUNTIF($C$18:C892,C892)&amp;CHOOSE(MIN(4,COUNTIF($C$18:C892,C892)),"st","nd","rd","th"),"")</f>
        <v/>
      </c>
    </row>
    <row r="893" spans="8:14" x14ac:dyDescent="0.25">
      <c r="H893" s="245" t="str">
        <f t="shared" si="13"/>
        <v/>
      </c>
      <c r="N893" s="233" t="str">
        <f>IFERROR(COUNTIF($C$18:C893,C893)&amp;CHOOSE(MIN(4,COUNTIF($C$18:C893,C893)),"st","nd","rd","th"),"")</f>
        <v/>
      </c>
    </row>
    <row r="894" spans="8:14" x14ac:dyDescent="0.25">
      <c r="H894" s="245" t="str">
        <f t="shared" si="13"/>
        <v/>
      </c>
      <c r="N894" s="233" t="str">
        <f>IFERROR(COUNTIF($C$18:C894,C894)&amp;CHOOSE(MIN(4,COUNTIF($C$18:C894,C894)),"st","nd","rd","th"),"")</f>
        <v/>
      </c>
    </row>
    <row r="895" spans="8:14" x14ac:dyDescent="0.25">
      <c r="H895" s="245" t="str">
        <f t="shared" si="13"/>
        <v/>
      </c>
      <c r="N895" s="233" t="str">
        <f>IFERROR(COUNTIF($C$18:C895,C895)&amp;CHOOSE(MIN(4,COUNTIF($C$18:C895,C895)),"st","nd","rd","th"),"")</f>
        <v/>
      </c>
    </row>
    <row r="896" spans="8:14" x14ac:dyDescent="0.25">
      <c r="H896" s="245" t="str">
        <f t="shared" si="13"/>
        <v/>
      </c>
      <c r="N896" s="233" t="str">
        <f>IFERROR(COUNTIF($C$18:C896,C896)&amp;CHOOSE(MIN(4,COUNTIF($C$18:C896,C896)),"st","nd","rd","th"),"")</f>
        <v/>
      </c>
    </row>
    <row r="897" spans="8:14" x14ac:dyDescent="0.25">
      <c r="H897" s="245" t="str">
        <f t="shared" si="13"/>
        <v/>
      </c>
      <c r="N897" s="233" t="str">
        <f>IFERROR(COUNTIF($C$18:C897,C897)&amp;CHOOSE(MIN(4,COUNTIF($C$18:C897,C897)),"st","nd","rd","th"),"")</f>
        <v/>
      </c>
    </row>
    <row r="898" spans="8:14" x14ac:dyDescent="0.25">
      <c r="H898" s="245" t="str">
        <f t="shared" si="13"/>
        <v/>
      </c>
      <c r="N898" s="233" t="str">
        <f>IFERROR(COUNTIF($C$18:C898,C898)&amp;CHOOSE(MIN(4,COUNTIF($C$18:C898,C898)),"st","nd","rd","th"),"")</f>
        <v/>
      </c>
    </row>
    <row r="899" spans="8:14" x14ac:dyDescent="0.25">
      <c r="H899" s="245" t="str">
        <f t="shared" si="13"/>
        <v/>
      </c>
      <c r="N899" s="233" t="str">
        <f>IFERROR(COUNTIF($C$18:C899,C899)&amp;CHOOSE(MIN(4,COUNTIF($C$18:C899,C899)),"st","nd","rd","th"),"")</f>
        <v/>
      </c>
    </row>
    <row r="900" spans="8:14" x14ac:dyDescent="0.25">
      <c r="H900" s="245" t="str">
        <f t="shared" si="13"/>
        <v/>
      </c>
      <c r="N900" s="233" t="str">
        <f>IFERROR(COUNTIF($C$18:C900,C900)&amp;CHOOSE(MIN(4,COUNTIF($C$18:C900,C900)),"st","nd","rd","th"),"")</f>
        <v/>
      </c>
    </row>
    <row r="901" spans="8:14" x14ac:dyDescent="0.25">
      <c r="H901" s="245" t="str">
        <f t="shared" si="13"/>
        <v/>
      </c>
      <c r="N901" s="233" t="str">
        <f>IFERROR(COUNTIF($C$18:C901,C901)&amp;CHOOSE(MIN(4,COUNTIF($C$18:C901,C901)),"st","nd","rd","th"),"")</f>
        <v/>
      </c>
    </row>
    <row r="902" spans="8:14" x14ac:dyDescent="0.25">
      <c r="H902" s="245" t="str">
        <f t="shared" si="13"/>
        <v/>
      </c>
      <c r="N902" s="233" t="str">
        <f>IFERROR(COUNTIF($C$18:C902,C902)&amp;CHOOSE(MIN(4,COUNTIF($C$18:C902,C902)),"st","nd","rd","th"),"")</f>
        <v/>
      </c>
    </row>
    <row r="903" spans="8:14" x14ac:dyDescent="0.25">
      <c r="H903" s="245" t="str">
        <f t="shared" si="13"/>
        <v/>
      </c>
      <c r="N903" s="233" t="str">
        <f>IFERROR(COUNTIF($C$18:C903,C903)&amp;CHOOSE(MIN(4,COUNTIF($C$18:C903,C903)),"st","nd","rd","th"),"")</f>
        <v/>
      </c>
    </row>
    <row r="904" spans="8:14" x14ac:dyDescent="0.25">
      <c r="H904" s="245" t="str">
        <f t="shared" si="13"/>
        <v/>
      </c>
      <c r="N904" s="233" t="str">
        <f>IFERROR(COUNTIF($C$18:C904,C904)&amp;CHOOSE(MIN(4,COUNTIF($C$18:C904,C904)),"st","nd","rd","th"),"")</f>
        <v/>
      </c>
    </row>
    <row r="905" spans="8:14" x14ac:dyDescent="0.25">
      <c r="H905" s="245" t="str">
        <f t="shared" si="13"/>
        <v/>
      </c>
      <c r="N905" s="233" t="str">
        <f>IFERROR(COUNTIF($C$18:C905,C905)&amp;CHOOSE(MIN(4,COUNTIF($C$18:C905,C905)),"st","nd","rd","th"),"")</f>
        <v/>
      </c>
    </row>
    <row r="906" spans="8:14" x14ac:dyDescent="0.25">
      <c r="H906" s="245" t="str">
        <f t="shared" si="13"/>
        <v/>
      </c>
      <c r="N906" s="233" t="str">
        <f>IFERROR(COUNTIF($C$18:C906,C906)&amp;CHOOSE(MIN(4,COUNTIF($C$18:C906,C906)),"st","nd","rd","th"),"")</f>
        <v/>
      </c>
    </row>
    <row r="907" spans="8:14" x14ac:dyDescent="0.25">
      <c r="H907" s="245" t="str">
        <f t="shared" si="13"/>
        <v/>
      </c>
      <c r="N907" s="233" t="str">
        <f>IFERROR(COUNTIF($C$18:C907,C907)&amp;CHOOSE(MIN(4,COUNTIF($C$18:C907,C907)),"st","nd","rd","th"),"")</f>
        <v/>
      </c>
    </row>
    <row r="908" spans="8:14" x14ac:dyDescent="0.25">
      <c r="H908" s="245" t="str">
        <f t="shared" si="13"/>
        <v/>
      </c>
      <c r="N908" s="233" t="str">
        <f>IFERROR(COUNTIF($C$18:C908,C908)&amp;CHOOSE(MIN(4,COUNTIF($C$18:C908,C908)),"st","nd","rd","th"),"")</f>
        <v/>
      </c>
    </row>
    <row r="909" spans="8:14" x14ac:dyDescent="0.25">
      <c r="H909" s="245" t="str">
        <f t="shared" si="13"/>
        <v/>
      </c>
      <c r="N909" s="233" t="str">
        <f>IFERROR(COUNTIF($C$18:C909,C909)&amp;CHOOSE(MIN(4,COUNTIF($C$18:C909,C909)),"st","nd","rd","th"),"")</f>
        <v/>
      </c>
    </row>
    <row r="910" spans="8:14" x14ac:dyDescent="0.25">
      <c r="H910" s="245" t="str">
        <f t="shared" si="13"/>
        <v/>
      </c>
      <c r="N910" s="233" t="str">
        <f>IFERROR(COUNTIF($C$18:C910,C910)&amp;CHOOSE(MIN(4,COUNTIF($C$18:C910,C910)),"st","nd","rd","th"),"")</f>
        <v/>
      </c>
    </row>
    <row r="911" spans="8:14" x14ac:dyDescent="0.25">
      <c r="H911" s="245" t="str">
        <f t="shared" ref="H911:H974" si="14">IF(OR(ISBLANK(G911), ISBLANK(F911)), "", IF(G911=F911, 1, SUM(_xlfn.DAYS(G911, F911), 1)))</f>
        <v/>
      </c>
      <c r="N911" s="233" t="str">
        <f>IFERROR(COUNTIF($C$18:C911,C911)&amp;CHOOSE(MIN(4,COUNTIF($C$18:C911,C911)),"st","nd","rd","th"),"")</f>
        <v/>
      </c>
    </row>
    <row r="912" spans="8:14" x14ac:dyDescent="0.25">
      <c r="H912" s="245" t="str">
        <f t="shared" si="14"/>
        <v/>
      </c>
      <c r="N912" s="233" t="str">
        <f>IFERROR(COUNTIF($C$18:C912,C912)&amp;CHOOSE(MIN(4,COUNTIF($C$18:C912,C912)),"st","nd","rd","th"),"")</f>
        <v/>
      </c>
    </row>
    <row r="913" spans="8:14" x14ac:dyDescent="0.25">
      <c r="H913" s="245" t="str">
        <f t="shared" si="14"/>
        <v/>
      </c>
      <c r="N913" s="233" t="str">
        <f>IFERROR(COUNTIF($C$18:C913,C913)&amp;CHOOSE(MIN(4,COUNTIF($C$18:C913,C913)),"st","nd","rd","th"),"")</f>
        <v/>
      </c>
    </row>
    <row r="914" spans="8:14" x14ac:dyDescent="0.25">
      <c r="H914" s="245" t="str">
        <f t="shared" si="14"/>
        <v/>
      </c>
      <c r="N914" s="233" t="str">
        <f>IFERROR(COUNTIF($C$18:C914,C914)&amp;CHOOSE(MIN(4,COUNTIF($C$18:C914,C914)),"st","nd","rd","th"),"")</f>
        <v/>
      </c>
    </row>
    <row r="915" spans="8:14" x14ac:dyDescent="0.25">
      <c r="H915" s="245" t="str">
        <f t="shared" si="14"/>
        <v/>
      </c>
      <c r="N915" s="233" t="str">
        <f>IFERROR(COUNTIF($C$18:C915,C915)&amp;CHOOSE(MIN(4,COUNTIF($C$18:C915,C915)),"st","nd","rd","th"),"")</f>
        <v/>
      </c>
    </row>
    <row r="916" spans="8:14" x14ac:dyDescent="0.25">
      <c r="H916" s="245" t="str">
        <f t="shared" si="14"/>
        <v/>
      </c>
      <c r="N916" s="233" t="str">
        <f>IFERROR(COUNTIF($C$18:C916,C916)&amp;CHOOSE(MIN(4,COUNTIF($C$18:C916,C916)),"st","nd","rd","th"),"")</f>
        <v/>
      </c>
    </row>
    <row r="917" spans="8:14" x14ac:dyDescent="0.25">
      <c r="H917" s="245" t="str">
        <f t="shared" si="14"/>
        <v/>
      </c>
      <c r="N917" s="233" t="str">
        <f>IFERROR(COUNTIF($C$18:C917,C917)&amp;CHOOSE(MIN(4,COUNTIF($C$18:C917,C917)),"st","nd","rd","th"),"")</f>
        <v/>
      </c>
    </row>
    <row r="918" spans="8:14" x14ac:dyDescent="0.25">
      <c r="H918" s="245" t="str">
        <f t="shared" si="14"/>
        <v/>
      </c>
      <c r="N918" s="233" t="str">
        <f>IFERROR(COUNTIF($C$18:C918,C918)&amp;CHOOSE(MIN(4,COUNTIF($C$18:C918,C918)),"st","nd","rd","th"),"")</f>
        <v/>
      </c>
    </row>
    <row r="919" spans="8:14" x14ac:dyDescent="0.25">
      <c r="H919" s="245" t="str">
        <f t="shared" si="14"/>
        <v/>
      </c>
      <c r="N919" s="233" t="str">
        <f>IFERROR(COUNTIF($C$18:C919,C919)&amp;CHOOSE(MIN(4,COUNTIF($C$18:C919,C919)),"st","nd","rd","th"),"")</f>
        <v/>
      </c>
    </row>
    <row r="920" spans="8:14" x14ac:dyDescent="0.25">
      <c r="H920" s="245" t="str">
        <f t="shared" si="14"/>
        <v/>
      </c>
      <c r="N920" s="233" t="str">
        <f>IFERROR(COUNTIF($C$18:C920,C920)&amp;CHOOSE(MIN(4,COUNTIF($C$18:C920,C920)),"st","nd","rd","th"),"")</f>
        <v/>
      </c>
    </row>
    <row r="921" spans="8:14" x14ac:dyDescent="0.25">
      <c r="H921" s="245" t="str">
        <f t="shared" si="14"/>
        <v/>
      </c>
      <c r="N921" s="233" t="str">
        <f>IFERROR(COUNTIF($C$18:C921,C921)&amp;CHOOSE(MIN(4,COUNTIF($C$18:C921,C921)),"st","nd","rd","th"),"")</f>
        <v/>
      </c>
    </row>
    <row r="922" spans="8:14" x14ac:dyDescent="0.25">
      <c r="H922" s="245" t="str">
        <f t="shared" si="14"/>
        <v/>
      </c>
      <c r="N922" s="233" t="str">
        <f>IFERROR(COUNTIF($C$18:C922,C922)&amp;CHOOSE(MIN(4,COUNTIF($C$18:C922,C922)),"st","nd","rd","th"),"")</f>
        <v/>
      </c>
    </row>
    <row r="923" spans="8:14" x14ac:dyDescent="0.25">
      <c r="H923" s="245" t="str">
        <f t="shared" si="14"/>
        <v/>
      </c>
      <c r="N923" s="233" t="str">
        <f>IFERROR(COUNTIF($C$18:C923,C923)&amp;CHOOSE(MIN(4,COUNTIF($C$18:C923,C923)),"st","nd","rd","th"),"")</f>
        <v/>
      </c>
    </row>
    <row r="924" spans="8:14" x14ac:dyDescent="0.25">
      <c r="H924" s="245" t="str">
        <f t="shared" si="14"/>
        <v/>
      </c>
      <c r="N924" s="233" t="str">
        <f>IFERROR(COUNTIF($C$18:C924,C924)&amp;CHOOSE(MIN(4,COUNTIF($C$18:C924,C924)),"st","nd","rd","th"),"")</f>
        <v/>
      </c>
    </row>
    <row r="925" spans="8:14" x14ac:dyDescent="0.25">
      <c r="H925" s="245" t="str">
        <f t="shared" si="14"/>
        <v/>
      </c>
      <c r="N925" s="233" t="str">
        <f>IFERROR(COUNTIF($C$18:C925,C925)&amp;CHOOSE(MIN(4,COUNTIF($C$18:C925,C925)),"st","nd","rd","th"),"")</f>
        <v/>
      </c>
    </row>
    <row r="926" spans="8:14" x14ac:dyDescent="0.25">
      <c r="H926" s="245" t="str">
        <f t="shared" si="14"/>
        <v/>
      </c>
      <c r="N926" s="233" t="str">
        <f>IFERROR(COUNTIF($C$18:C926,C926)&amp;CHOOSE(MIN(4,COUNTIF($C$18:C926,C926)),"st","nd","rd","th"),"")</f>
        <v/>
      </c>
    </row>
    <row r="927" spans="8:14" x14ac:dyDescent="0.25">
      <c r="H927" s="245" t="str">
        <f t="shared" si="14"/>
        <v/>
      </c>
      <c r="N927" s="233" t="str">
        <f>IFERROR(COUNTIF($C$18:C927,C927)&amp;CHOOSE(MIN(4,COUNTIF($C$18:C927,C927)),"st","nd","rd","th"),"")</f>
        <v/>
      </c>
    </row>
    <row r="928" spans="8:14" x14ac:dyDescent="0.25">
      <c r="H928" s="245" t="str">
        <f t="shared" si="14"/>
        <v/>
      </c>
      <c r="N928" s="233" t="str">
        <f>IFERROR(COUNTIF($C$18:C928,C928)&amp;CHOOSE(MIN(4,COUNTIF($C$18:C928,C928)),"st","nd","rd","th"),"")</f>
        <v/>
      </c>
    </row>
    <row r="929" spans="8:14" x14ac:dyDescent="0.25">
      <c r="H929" s="245" t="str">
        <f t="shared" si="14"/>
        <v/>
      </c>
      <c r="N929" s="233" t="str">
        <f>IFERROR(COUNTIF($C$18:C929,C929)&amp;CHOOSE(MIN(4,COUNTIF($C$18:C929,C929)),"st","nd","rd","th"),"")</f>
        <v/>
      </c>
    </row>
    <row r="930" spans="8:14" x14ac:dyDescent="0.25">
      <c r="H930" s="245" t="str">
        <f t="shared" si="14"/>
        <v/>
      </c>
      <c r="N930" s="233" t="str">
        <f>IFERROR(COUNTIF($C$18:C930,C930)&amp;CHOOSE(MIN(4,COUNTIF($C$18:C930,C930)),"st","nd","rd","th"),"")</f>
        <v/>
      </c>
    </row>
    <row r="931" spans="8:14" x14ac:dyDescent="0.25">
      <c r="H931" s="245" t="str">
        <f t="shared" si="14"/>
        <v/>
      </c>
      <c r="N931" s="233" t="str">
        <f>IFERROR(COUNTIF($C$18:C931,C931)&amp;CHOOSE(MIN(4,COUNTIF($C$18:C931,C931)),"st","nd","rd","th"),"")</f>
        <v/>
      </c>
    </row>
    <row r="932" spans="8:14" x14ac:dyDescent="0.25">
      <c r="H932" s="245" t="str">
        <f t="shared" si="14"/>
        <v/>
      </c>
      <c r="N932" s="233" t="str">
        <f>IFERROR(COUNTIF($C$18:C932,C932)&amp;CHOOSE(MIN(4,COUNTIF($C$18:C932,C932)),"st","nd","rd","th"),"")</f>
        <v/>
      </c>
    </row>
    <row r="933" spans="8:14" x14ac:dyDescent="0.25">
      <c r="H933" s="245" t="str">
        <f t="shared" si="14"/>
        <v/>
      </c>
      <c r="N933" s="233" t="str">
        <f>IFERROR(COUNTIF($C$18:C933,C933)&amp;CHOOSE(MIN(4,COUNTIF($C$18:C933,C933)),"st","nd","rd","th"),"")</f>
        <v/>
      </c>
    </row>
    <row r="934" spans="8:14" x14ac:dyDescent="0.25">
      <c r="H934" s="245" t="str">
        <f t="shared" si="14"/>
        <v/>
      </c>
      <c r="N934" s="233" t="str">
        <f>IFERROR(COUNTIF($C$18:C934,C934)&amp;CHOOSE(MIN(4,COUNTIF($C$18:C934,C934)),"st","nd","rd","th"),"")</f>
        <v/>
      </c>
    </row>
    <row r="935" spans="8:14" x14ac:dyDescent="0.25">
      <c r="H935" s="245" t="str">
        <f t="shared" si="14"/>
        <v/>
      </c>
      <c r="N935" s="233" t="str">
        <f>IFERROR(COUNTIF($C$18:C935,C935)&amp;CHOOSE(MIN(4,COUNTIF($C$18:C935,C935)),"st","nd","rd","th"),"")</f>
        <v/>
      </c>
    </row>
    <row r="936" spans="8:14" x14ac:dyDescent="0.25">
      <c r="H936" s="245" t="str">
        <f t="shared" si="14"/>
        <v/>
      </c>
      <c r="N936" s="233" t="str">
        <f>IFERROR(COUNTIF($C$18:C936,C936)&amp;CHOOSE(MIN(4,COUNTIF($C$18:C936,C936)),"st","nd","rd","th"),"")</f>
        <v/>
      </c>
    </row>
    <row r="937" spans="8:14" x14ac:dyDescent="0.25">
      <c r="H937" s="245" t="str">
        <f t="shared" si="14"/>
        <v/>
      </c>
      <c r="N937" s="233" t="str">
        <f>IFERROR(COUNTIF($C$18:C937,C937)&amp;CHOOSE(MIN(4,COUNTIF($C$18:C937,C937)),"st","nd","rd","th"),"")</f>
        <v/>
      </c>
    </row>
    <row r="938" spans="8:14" x14ac:dyDescent="0.25">
      <c r="H938" s="245" t="str">
        <f t="shared" si="14"/>
        <v/>
      </c>
      <c r="N938" s="233" t="str">
        <f>IFERROR(COUNTIF($C$18:C938,C938)&amp;CHOOSE(MIN(4,COUNTIF($C$18:C938,C938)),"st","nd","rd","th"),"")</f>
        <v/>
      </c>
    </row>
    <row r="939" spans="8:14" x14ac:dyDescent="0.25">
      <c r="H939" s="245" t="str">
        <f t="shared" si="14"/>
        <v/>
      </c>
      <c r="N939" s="233" t="str">
        <f>IFERROR(COUNTIF($C$18:C939,C939)&amp;CHOOSE(MIN(4,COUNTIF($C$18:C939,C939)),"st","nd","rd","th"),"")</f>
        <v/>
      </c>
    </row>
    <row r="940" spans="8:14" x14ac:dyDescent="0.25">
      <c r="H940" s="245" t="str">
        <f t="shared" si="14"/>
        <v/>
      </c>
      <c r="N940" s="233" t="str">
        <f>IFERROR(COUNTIF($C$18:C940,C940)&amp;CHOOSE(MIN(4,COUNTIF($C$18:C940,C940)),"st","nd","rd","th"),"")</f>
        <v/>
      </c>
    </row>
    <row r="941" spans="8:14" x14ac:dyDescent="0.25">
      <c r="H941" s="245" t="str">
        <f t="shared" si="14"/>
        <v/>
      </c>
      <c r="N941" s="233" t="str">
        <f>IFERROR(COUNTIF($C$18:C941,C941)&amp;CHOOSE(MIN(4,COUNTIF($C$18:C941,C941)),"st","nd","rd","th"),"")</f>
        <v/>
      </c>
    </row>
    <row r="942" spans="8:14" x14ac:dyDescent="0.25">
      <c r="H942" s="245" t="str">
        <f t="shared" si="14"/>
        <v/>
      </c>
      <c r="N942" s="233" t="str">
        <f>IFERROR(COUNTIF($C$18:C942,C942)&amp;CHOOSE(MIN(4,COUNTIF($C$18:C942,C942)),"st","nd","rd","th"),"")</f>
        <v/>
      </c>
    </row>
    <row r="943" spans="8:14" x14ac:dyDescent="0.25">
      <c r="H943" s="245" t="str">
        <f t="shared" si="14"/>
        <v/>
      </c>
      <c r="N943" s="233" t="str">
        <f>IFERROR(COUNTIF($C$18:C943,C943)&amp;CHOOSE(MIN(4,COUNTIF($C$18:C943,C943)),"st","nd","rd","th"),"")</f>
        <v/>
      </c>
    </row>
    <row r="944" spans="8:14" x14ac:dyDescent="0.25">
      <c r="H944" s="245" t="str">
        <f t="shared" si="14"/>
        <v/>
      </c>
      <c r="N944" s="233" t="str">
        <f>IFERROR(COUNTIF($C$18:C944,C944)&amp;CHOOSE(MIN(4,COUNTIF($C$18:C944,C944)),"st","nd","rd","th"),"")</f>
        <v/>
      </c>
    </row>
    <row r="945" spans="8:14" x14ac:dyDescent="0.25">
      <c r="H945" s="245" t="str">
        <f t="shared" si="14"/>
        <v/>
      </c>
      <c r="N945" s="233" t="str">
        <f>IFERROR(COUNTIF($C$18:C945,C945)&amp;CHOOSE(MIN(4,COUNTIF($C$18:C945,C945)),"st","nd","rd","th"),"")</f>
        <v/>
      </c>
    </row>
    <row r="946" spans="8:14" x14ac:dyDescent="0.25">
      <c r="H946" s="245" t="str">
        <f t="shared" si="14"/>
        <v/>
      </c>
      <c r="N946" s="233" t="str">
        <f>IFERROR(COUNTIF($C$18:C946,C946)&amp;CHOOSE(MIN(4,COUNTIF($C$18:C946,C946)),"st","nd","rd","th"),"")</f>
        <v/>
      </c>
    </row>
    <row r="947" spans="8:14" x14ac:dyDescent="0.25">
      <c r="H947" s="245" t="str">
        <f t="shared" si="14"/>
        <v/>
      </c>
      <c r="N947" s="233" t="str">
        <f>IFERROR(COUNTIF($C$18:C947,C947)&amp;CHOOSE(MIN(4,COUNTIF($C$18:C947,C947)),"st","nd","rd","th"),"")</f>
        <v/>
      </c>
    </row>
    <row r="948" spans="8:14" x14ac:dyDescent="0.25">
      <c r="H948" s="245" t="str">
        <f t="shared" si="14"/>
        <v/>
      </c>
      <c r="N948" s="233" t="str">
        <f>IFERROR(COUNTIF($C$18:C948,C948)&amp;CHOOSE(MIN(4,COUNTIF($C$18:C948,C948)),"st","nd","rd","th"),"")</f>
        <v/>
      </c>
    </row>
    <row r="949" spans="8:14" x14ac:dyDescent="0.25">
      <c r="H949" s="245" t="str">
        <f t="shared" si="14"/>
        <v/>
      </c>
      <c r="N949" s="233" t="str">
        <f>IFERROR(COUNTIF($C$18:C949,C949)&amp;CHOOSE(MIN(4,COUNTIF($C$18:C949,C949)),"st","nd","rd","th"),"")</f>
        <v/>
      </c>
    </row>
    <row r="950" spans="8:14" x14ac:dyDescent="0.25">
      <c r="H950" s="245" t="str">
        <f t="shared" si="14"/>
        <v/>
      </c>
      <c r="N950" s="233" t="str">
        <f>IFERROR(COUNTIF($C$18:C950,C950)&amp;CHOOSE(MIN(4,COUNTIF($C$18:C950,C950)),"st","nd","rd","th"),"")</f>
        <v/>
      </c>
    </row>
    <row r="951" spans="8:14" x14ac:dyDescent="0.25">
      <c r="H951" s="245" t="str">
        <f t="shared" si="14"/>
        <v/>
      </c>
      <c r="N951" s="233" t="str">
        <f>IFERROR(COUNTIF($C$18:C951,C951)&amp;CHOOSE(MIN(4,COUNTIF($C$18:C951,C951)),"st","nd","rd","th"),"")</f>
        <v/>
      </c>
    </row>
    <row r="952" spans="8:14" x14ac:dyDescent="0.25">
      <c r="H952" s="245" t="str">
        <f t="shared" si="14"/>
        <v/>
      </c>
      <c r="N952" s="233" t="str">
        <f>IFERROR(COUNTIF($C$18:C952,C952)&amp;CHOOSE(MIN(4,COUNTIF($C$18:C952,C952)),"st","nd","rd","th"),"")</f>
        <v/>
      </c>
    </row>
    <row r="953" spans="8:14" x14ac:dyDescent="0.25">
      <c r="H953" s="245" t="str">
        <f t="shared" si="14"/>
        <v/>
      </c>
      <c r="N953" s="233" t="str">
        <f>IFERROR(COUNTIF($C$18:C953,C953)&amp;CHOOSE(MIN(4,COUNTIF($C$18:C953,C953)),"st","nd","rd","th"),"")</f>
        <v/>
      </c>
    </row>
    <row r="954" spans="8:14" x14ac:dyDescent="0.25">
      <c r="H954" s="245" t="str">
        <f t="shared" si="14"/>
        <v/>
      </c>
      <c r="N954" s="233" t="str">
        <f>IFERROR(COUNTIF($C$18:C954,C954)&amp;CHOOSE(MIN(4,COUNTIF($C$18:C954,C954)),"st","nd","rd","th"),"")</f>
        <v/>
      </c>
    </row>
    <row r="955" spans="8:14" x14ac:dyDescent="0.25">
      <c r="H955" s="245" t="str">
        <f t="shared" si="14"/>
        <v/>
      </c>
      <c r="N955" s="233" t="str">
        <f>IFERROR(COUNTIF($C$18:C955,C955)&amp;CHOOSE(MIN(4,COUNTIF($C$18:C955,C955)),"st","nd","rd","th"),"")</f>
        <v/>
      </c>
    </row>
    <row r="956" spans="8:14" x14ac:dyDescent="0.25">
      <c r="H956" s="245" t="str">
        <f t="shared" si="14"/>
        <v/>
      </c>
      <c r="N956" s="233" t="str">
        <f>IFERROR(COUNTIF($C$18:C956,C956)&amp;CHOOSE(MIN(4,COUNTIF($C$18:C956,C956)),"st","nd","rd","th"),"")</f>
        <v/>
      </c>
    </row>
    <row r="957" spans="8:14" x14ac:dyDescent="0.25">
      <c r="H957" s="245" t="str">
        <f t="shared" si="14"/>
        <v/>
      </c>
      <c r="N957" s="233" t="str">
        <f>IFERROR(COUNTIF($C$18:C957,C957)&amp;CHOOSE(MIN(4,COUNTIF($C$18:C957,C957)),"st","nd","rd","th"),"")</f>
        <v/>
      </c>
    </row>
    <row r="958" spans="8:14" x14ac:dyDescent="0.25">
      <c r="H958" s="245" t="str">
        <f t="shared" si="14"/>
        <v/>
      </c>
      <c r="N958" s="233" t="str">
        <f>IFERROR(COUNTIF($C$18:C958,C958)&amp;CHOOSE(MIN(4,COUNTIF($C$18:C958,C958)),"st","nd","rd","th"),"")</f>
        <v/>
      </c>
    </row>
    <row r="959" spans="8:14" x14ac:dyDescent="0.25">
      <c r="H959" s="245" t="str">
        <f t="shared" si="14"/>
        <v/>
      </c>
      <c r="N959" s="233" t="str">
        <f>IFERROR(COUNTIF($C$18:C959,C959)&amp;CHOOSE(MIN(4,COUNTIF($C$18:C959,C959)),"st","nd","rd","th"),"")</f>
        <v/>
      </c>
    </row>
    <row r="960" spans="8:14" x14ac:dyDescent="0.25">
      <c r="H960" s="245" t="str">
        <f t="shared" si="14"/>
        <v/>
      </c>
      <c r="N960" s="233" t="str">
        <f>IFERROR(COUNTIF($C$18:C960,C960)&amp;CHOOSE(MIN(4,COUNTIF($C$18:C960,C960)),"st","nd","rd","th"),"")</f>
        <v/>
      </c>
    </row>
    <row r="961" spans="8:14" x14ac:dyDescent="0.25">
      <c r="H961" s="245" t="str">
        <f t="shared" si="14"/>
        <v/>
      </c>
      <c r="N961" s="233" t="str">
        <f>IFERROR(COUNTIF($C$18:C961,C961)&amp;CHOOSE(MIN(4,COUNTIF($C$18:C961,C961)),"st","nd","rd","th"),"")</f>
        <v/>
      </c>
    </row>
    <row r="962" spans="8:14" x14ac:dyDescent="0.25">
      <c r="H962" s="245" t="str">
        <f t="shared" si="14"/>
        <v/>
      </c>
      <c r="N962" s="233" t="str">
        <f>IFERROR(COUNTIF($C$18:C962,C962)&amp;CHOOSE(MIN(4,COUNTIF($C$18:C962,C962)),"st","nd","rd","th"),"")</f>
        <v/>
      </c>
    </row>
    <row r="963" spans="8:14" x14ac:dyDescent="0.25">
      <c r="H963" s="245" t="str">
        <f t="shared" si="14"/>
        <v/>
      </c>
      <c r="N963" s="233" t="str">
        <f>IFERROR(COUNTIF($C$18:C963,C963)&amp;CHOOSE(MIN(4,COUNTIF($C$18:C963,C963)),"st","nd","rd","th"),"")</f>
        <v/>
      </c>
    </row>
    <row r="964" spans="8:14" x14ac:dyDescent="0.25">
      <c r="H964" s="245" t="str">
        <f t="shared" si="14"/>
        <v/>
      </c>
      <c r="N964" s="233" t="str">
        <f>IFERROR(COUNTIF($C$18:C964,C964)&amp;CHOOSE(MIN(4,COUNTIF($C$18:C964,C964)),"st","nd","rd","th"),"")</f>
        <v/>
      </c>
    </row>
    <row r="965" spans="8:14" x14ac:dyDescent="0.25">
      <c r="H965" s="245" t="str">
        <f t="shared" si="14"/>
        <v/>
      </c>
      <c r="N965" s="233" t="str">
        <f>IFERROR(COUNTIF($C$18:C965,C965)&amp;CHOOSE(MIN(4,COUNTIF($C$18:C965,C965)),"st","nd","rd","th"),"")</f>
        <v/>
      </c>
    </row>
    <row r="966" spans="8:14" x14ac:dyDescent="0.25">
      <c r="H966" s="245" t="str">
        <f t="shared" si="14"/>
        <v/>
      </c>
      <c r="N966" s="233" t="str">
        <f>IFERROR(COUNTIF($C$18:C966,C966)&amp;CHOOSE(MIN(4,COUNTIF($C$18:C966,C966)),"st","nd","rd","th"),"")</f>
        <v/>
      </c>
    </row>
    <row r="967" spans="8:14" x14ac:dyDescent="0.25">
      <c r="H967" s="245" t="str">
        <f t="shared" si="14"/>
        <v/>
      </c>
      <c r="N967" s="233" t="str">
        <f>IFERROR(COUNTIF($C$18:C967,C967)&amp;CHOOSE(MIN(4,COUNTIF($C$18:C967,C967)),"st","nd","rd","th"),"")</f>
        <v/>
      </c>
    </row>
    <row r="968" spans="8:14" x14ac:dyDescent="0.25">
      <c r="H968" s="245" t="str">
        <f t="shared" si="14"/>
        <v/>
      </c>
      <c r="N968" s="233" t="str">
        <f>IFERROR(COUNTIF($C$18:C968,C968)&amp;CHOOSE(MIN(4,COUNTIF($C$18:C968,C968)),"st","nd","rd","th"),"")</f>
        <v/>
      </c>
    </row>
    <row r="969" spans="8:14" x14ac:dyDescent="0.25">
      <c r="H969" s="245" t="str">
        <f t="shared" si="14"/>
        <v/>
      </c>
      <c r="N969" s="233" t="str">
        <f>IFERROR(COUNTIF($C$18:C969,C969)&amp;CHOOSE(MIN(4,COUNTIF($C$18:C969,C969)),"st","nd","rd","th"),"")</f>
        <v/>
      </c>
    </row>
    <row r="970" spans="8:14" x14ac:dyDescent="0.25">
      <c r="H970" s="245" t="str">
        <f t="shared" si="14"/>
        <v/>
      </c>
      <c r="N970" s="233" t="str">
        <f>IFERROR(COUNTIF($C$18:C970,C970)&amp;CHOOSE(MIN(4,COUNTIF($C$18:C970,C970)),"st","nd","rd","th"),"")</f>
        <v/>
      </c>
    </row>
    <row r="971" spans="8:14" x14ac:dyDescent="0.25">
      <c r="H971" s="245" t="str">
        <f t="shared" si="14"/>
        <v/>
      </c>
      <c r="N971" s="233" t="str">
        <f>IFERROR(COUNTIF($C$18:C971,C971)&amp;CHOOSE(MIN(4,COUNTIF($C$18:C971,C971)),"st","nd","rd","th"),"")</f>
        <v/>
      </c>
    </row>
    <row r="972" spans="8:14" x14ac:dyDescent="0.25">
      <c r="H972" s="245" t="str">
        <f t="shared" si="14"/>
        <v/>
      </c>
      <c r="N972" s="233" t="str">
        <f>IFERROR(COUNTIF($C$18:C972,C972)&amp;CHOOSE(MIN(4,COUNTIF($C$18:C972,C972)),"st","nd","rd","th"),"")</f>
        <v/>
      </c>
    </row>
    <row r="973" spans="8:14" x14ac:dyDescent="0.25">
      <c r="H973" s="245" t="str">
        <f t="shared" si="14"/>
        <v/>
      </c>
      <c r="N973" s="233" t="str">
        <f>IFERROR(COUNTIF($C$18:C973,C973)&amp;CHOOSE(MIN(4,COUNTIF($C$18:C973,C973)),"st","nd","rd","th"),"")</f>
        <v/>
      </c>
    </row>
    <row r="974" spans="8:14" x14ac:dyDescent="0.25">
      <c r="H974" s="245" t="str">
        <f t="shared" si="14"/>
        <v/>
      </c>
      <c r="N974" s="233" t="str">
        <f>IFERROR(COUNTIF($C$18:C974,C974)&amp;CHOOSE(MIN(4,COUNTIF($C$18:C974,C974)),"st","nd","rd","th"),"")</f>
        <v/>
      </c>
    </row>
    <row r="975" spans="8:14" x14ac:dyDescent="0.25">
      <c r="H975" s="245" t="str">
        <f t="shared" ref="H975:H996" si="15">IF(OR(ISBLANK(G975), ISBLANK(F975)), "", IF(G975=F975, 1, SUM(_xlfn.DAYS(G975, F975), 1)))</f>
        <v/>
      </c>
      <c r="N975" s="233" t="str">
        <f>IFERROR(COUNTIF($C$18:C975,C975)&amp;CHOOSE(MIN(4,COUNTIF($C$18:C975,C975)),"st","nd","rd","th"),"")</f>
        <v/>
      </c>
    </row>
    <row r="976" spans="8:14" x14ac:dyDescent="0.25">
      <c r="H976" s="245" t="str">
        <f t="shared" si="15"/>
        <v/>
      </c>
      <c r="N976" s="233" t="str">
        <f>IFERROR(COUNTIF($C$18:C976,C976)&amp;CHOOSE(MIN(4,COUNTIF($C$18:C976,C976)),"st","nd","rd","th"),"")</f>
        <v/>
      </c>
    </row>
    <row r="977" spans="8:14" x14ac:dyDescent="0.25">
      <c r="H977" s="245" t="str">
        <f t="shared" si="15"/>
        <v/>
      </c>
      <c r="N977" s="233" t="str">
        <f>IFERROR(COUNTIF($C$18:C977,C977)&amp;CHOOSE(MIN(4,COUNTIF($C$18:C977,C977)),"st","nd","rd","th"),"")</f>
        <v/>
      </c>
    </row>
    <row r="978" spans="8:14" x14ac:dyDescent="0.25">
      <c r="H978" s="245" t="str">
        <f t="shared" si="15"/>
        <v/>
      </c>
      <c r="N978" s="233" t="str">
        <f>IFERROR(COUNTIF($C$18:C978,C978)&amp;CHOOSE(MIN(4,COUNTIF($C$18:C978,C978)),"st","nd","rd","th"),"")</f>
        <v/>
      </c>
    </row>
    <row r="979" spans="8:14" x14ac:dyDescent="0.25">
      <c r="H979" s="245" t="str">
        <f t="shared" si="15"/>
        <v/>
      </c>
      <c r="N979" s="233" t="str">
        <f>IFERROR(COUNTIF($C$18:C979,C979)&amp;CHOOSE(MIN(4,COUNTIF($C$18:C979,C979)),"st","nd","rd","th"),"")</f>
        <v/>
      </c>
    </row>
    <row r="980" spans="8:14" x14ac:dyDescent="0.25">
      <c r="H980" s="245" t="str">
        <f t="shared" si="15"/>
        <v/>
      </c>
      <c r="N980" s="233" t="str">
        <f>IFERROR(COUNTIF($C$18:C980,C980)&amp;CHOOSE(MIN(4,COUNTIF($C$18:C980,C980)),"st","nd","rd","th"),"")</f>
        <v/>
      </c>
    </row>
    <row r="981" spans="8:14" x14ac:dyDescent="0.25">
      <c r="H981" s="245" t="str">
        <f t="shared" si="15"/>
        <v/>
      </c>
      <c r="N981" s="233" t="str">
        <f>IFERROR(COUNTIF($C$18:C981,C981)&amp;CHOOSE(MIN(4,COUNTIF($C$18:C981,C981)),"st","nd","rd","th"),"")</f>
        <v/>
      </c>
    </row>
    <row r="982" spans="8:14" x14ac:dyDescent="0.25">
      <c r="H982" s="245" t="str">
        <f t="shared" si="15"/>
        <v/>
      </c>
      <c r="N982" s="233" t="str">
        <f>IFERROR(COUNTIF($C$18:C982,C982)&amp;CHOOSE(MIN(4,COUNTIF($C$18:C982,C982)),"st","nd","rd","th"),"")</f>
        <v/>
      </c>
    </row>
    <row r="983" spans="8:14" x14ac:dyDescent="0.25">
      <c r="H983" s="245" t="str">
        <f t="shared" si="15"/>
        <v/>
      </c>
      <c r="N983" s="233" t="str">
        <f>IFERROR(COUNTIF($C$18:C983,C983)&amp;CHOOSE(MIN(4,COUNTIF($C$18:C983,C983)),"st","nd","rd","th"),"")</f>
        <v/>
      </c>
    </row>
    <row r="984" spans="8:14" x14ac:dyDescent="0.25">
      <c r="H984" s="245" t="str">
        <f t="shared" si="15"/>
        <v/>
      </c>
      <c r="N984" s="233" t="str">
        <f>IFERROR(COUNTIF($C$18:C984,C984)&amp;CHOOSE(MIN(4,COUNTIF($C$18:C984,C984)),"st","nd","rd","th"),"")</f>
        <v/>
      </c>
    </row>
    <row r="985" spans="8:14" x14ac:dyDescent="0.25">
      <c r="H985" s="245" t="str">
        <f t="shared" si="15"/>
        <v/>
      </c>
      <c r="N985" s="233" t="str">
        <f>IFERROR(COUNTIF($C$18:C985,C985)&amp;CHOOSE(MIN(4,COUNTIF($C$18:C985,C985)),"st","nd","rd","th"),"")</f>
        <v/>
      </c>
    </row>
    <row r="986" spans="8:14" x14ac:dyDescent="0.25">
      <c r="H986" s="245" t="str">
        <f t="shared" si="15"/>
        <v/>
      </c>
      <c r="N986" s="233" t="str">
        <f>IFERROR(COUNTIF($C$18:C986,C986)&amp;CHOOSE(MIN(4,COUNTIF($C$18:C986,C986)),"st","nd","rd","th"),"")</f>
        <v/>
      </c>
    </row>
    <row r="987" spans="8:14" x14ac:dyDescent="0.25">
      <c r="H987" s="245" t="str">
        <f t="shared" si="15"/>
        <v/>
      </c>
      <c r="N987" s="233" t="str">
        <f>IFERROR(COUNTIF($C$18:C987,C987)&amp;CHOOSE(MIN(4,COUNTIF($C$18:C987,C987)),"st","nd","rd","th"),"")</f>
        <v/>
      </c>
    </row>
    <row r="988" spans="8:14" x14ac:dyDescent="0.25">
      <c r="H988" s="245" t="str">
        <f t="shared" si="15"/>
        <v/>
      </c>
      <c r="N988" s="233" t="str">
        <f>IFERROR(COUNTIF($C$18:C988,C988)&amp;CHOOSE(MIN(4,COUNTIF($C$18:C988,C988)),"st","nd","rd","th"),"")</f>
        <v/>
      </c>
    </row>
    <row r="989" spans="8:14" x14ac:dyDescent="0.25">
      <c r="H989" s="245" t="str">
        <f t="shared" si="15"/>
        <v/>
      </c>
      <c r="N989" s="233" t="str">
        <f>IFERROR(COUNTIF($C$18:C989,C989)&amp;CHOOSE(MIN(4,COUNTIF($C$18:C989,C989)),"st","nd","rd","th"),"")</f>
        <v/>
      </c>
    </row>
    <row r="990" spans="8:14" x14ac:dyDescent="0.25">
      <c r="H990" s="245" t="str">
        <f t="shared" si="15"/>
        <v/>
      </c>
      <c r="N990" s="233" t="str">
        <f>IFERROR(COUNTIF($C$18:C990,C990)&amp;CHOOSE(MIN(4,COUNTIF($C$18:C990,C990)),"st","nd","rd","th"),"")</f>
        <v/>
      </c>
    </row>
    <row r="991" spans="8:14" x14ac:dyDescent="0.25">
      <c r="H991" s="245" t="str">
        <f t="shared" si="15"/>
        <v/>
      </c>
      <c r="N991" s="233" t="str">
        <f>IFERROR(COUNTIF($C$18:C991,C991)&amp;CHOOSE(MIN(4,COUNTIF($C$18:C991,C991)),"st","nd","rd","th"),"")</f>
        <v/>
      </c>
    </row>
    <row r="992" spans="8:14" x14ac:dyDescent="0.25">
      <c r="H992" s="245" t="str">
        <f t="shared" si="15"/>
        <v/>
      </c>
      <c r="N992" s="233" t="str">
        <f>IFERROR(COUNTIF($C$18:C992,C992)&amp;CHOOSE(MIN(4,COUNTIF($C$18:C992,C992)),"st","nd","rd","th"),"")</f>
        <v/>
      </c>
    </row>
    <row r="993" spans="8:14" x14ac:dyDescent="0.25">
      <c r="H993" s="245" t="str">
        <f t="shared" si="15"/>
        <v/>
      </c>
      <c r="N993" s="233" t="str">
        <f>IFERROR(COUNTIF($C$18:C993,C993)&amp;CHOOSE(MIN(4,COUNTIF($C$18:C993,C993)),"st","nd","rd","th"),"")</f>
        <v/>
      </c>
    </row>
    <row r="994" spans="8:14" x14ac:dyDescent="0.25">
      <c r="H994" s="245" t="str">
        <f t="shared" si="15"/>
        <v/>
      </c>
      <c r="N994" s="233" t="str">
        <f>IFERROR(COUNTIF($C$18:C994,C994)&amp;CHOOSE(MIN(4,COUNTIF($C$18:C994,C994)),"st","nd","rd","th"),"")</f>
        <v/>
      </c>
    </row>
    <row r="995" spans="8:14" x14ac:dyDescent="0.25">
      <c r="H995" s="245" t="str">
        <f t="shared" si="15"/>
        <v/>
      </c>
      <c r="N995" s="233" t="str">
        <f>IFERROR(COUNTIF($C$18:C995,C995)&amp;CHOOSE(MIN(4,COUNTIF($C$18:C995,C995)),"st","nd","rd","th"),"")</f>
        <v/>
      </c>
    </row>
    <row r="996" spans="8:14" x14ac:dyDescent="0.25">
      <c r="H996" s="245" t="str">
        <f t="shared" si="15"/>
        <v/>
      </c>
      <c r="N996" s="233" t="str">
        <f>IFERROR(COUNTIF($C$18:C996,C996)&amp;CHOOSE(MIN(4,COUNTIF($C$18:C996,C996)),"st","nd","rd","th"),"")</f>
        <v/>
      </c>
    </row>
  </sheetData>
  <sheetProtection formatCells="0" selectLockedCells="1"/>
  <mergeCells count="4">
    <mergeCell ref="B5:V5"/>
    <mergeCell ref="B6:V6"/>
    <mergeCell ref="B7:V7"/>
    <mergeCell ref="B8:V8"/>
  </mergeCells>
  <dataValidations count="1">
    <dataValidation type="list" allowBlank="1" showInputMessage="1" showErrorMessage="1" sqref="B18:C1048576" xr:uid="{9CB20219-6F32-4429-8D98-75C0E8AAA31E}">
      <formula1>INDIRECT(A18)</formula1>
    </dataValidation>
  </dataValidations>
  <hyperlinks>
    <hyperlink ref="C1" location="'Accomplishment 2025'!A1" display="Back to Summary of Accomplishments 2025" xr:uid="{BA429DDB-BF54-43D8-89D4-9F88DAF63DB6}"/>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13C2A754-2B25-4363-8EE7-920E8B386E8E}">
          <x14:formula1>
            <xm:f>Picklists!$A$3:$A$14</xm:f>
          </x14:formula1>
          <xm:sqref>L18:L996</xm:sqref>
        </x14:dataValidation>
        <x14:dataValidation type="list" allowBlank="1" showInputMessage="1" showErrorMessage="1" xr:uid="{B98FAB15-F9AD-4CE1-91CD-B15593F30DA7}">
          <x14:formula1>
            <xm:f>LGU_Masterlist!$C$2:$T$2</xm:f>
          </x14:formula1>
          <xm:sqref>A18:A1048576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FB77C-3AED-4860-BBD7-413AEDE7A47B}">
  <sheetPr codeName="Sheet23">
    <tabColor theme="7" tint="-0.249977111117893"/>
  </sheetPr>
  <dimension ref="A1:V998"/>
  <sheetViews>
    <sheetView topLeftCell="A15" zoomScale="60" zoomScaleNormal="60" workbookViewId="0">
      <selection activeCell="M19" sqref="M19:M23"/>
    </sheetView>
  </sheetViews>
  <sheetFormatPr defaultColWidth="8.88671875" defaultRowHeight="13.8" x14ac:dyDescent="0.25"/>
  <cols>
    <col min="1" max="1" width="12.6640625" style="164" customWidth="1"/>
    <col min="2" max="2" width="34.33203125" style="164" customWidth="1"/>
    <col min="3" max="3" width="52.88671875" style="164" bestFit="1" customWidth="1"/>
    <col min="4" max="4" width="25.33203125" style="164" customWidth="1"/>
    <col min="5" max="5" width="34" style="164" customWidth="1"/>
    <col min="6" max="6" width="23.44140625" style="172" customWidth="1"/>
    <col min="7" max="7" width="20.44140625" style="172" customWidth="1"/>
    <col min="8" max="8" width="19.109375" style="202" customWidth="1"/>
    <col min="9" max="9" width="16.33203125" style="201" customWidth="1"/>
    <col min="10" max="10" width="26.6640625" style="201" customWidth="1"/>
    <col min="11" max="11" width="31.33203125" style="201" customWidth="1"/>
    <col min="12" max="12" width="20.88671875" style="164" customWidth="1"/>
    <col min="13" max="13" width="11.88671875" style="164" customWidth="1"/>
    <col min="14" max="14" width="16.88671875" style="164" customWidth="1"/>
    <col min="15" max="15" width="8.88671875" style="164" customWidth="1"/>
    <col min="16" max="16384" width="8.88671875" style="164"/>
  </cols>
  <sheetData>
    <row r="1" spans="1:22" s="32" customFormat="1" ht="14.4" x14ac:dyDescent="0.3">
      <c r="A1" s="173" t="s">
        <v>5090</v>
      </c>
      <c r="C1" s="174" t="s">
        <v>1673</v>
      </c>
    </row>
    <row r="2" spans="1:22" s="32" customFormat="1" x14ac:dyDescent="0.25">
      <c r="A2" s="176"/>
      <c r="B2" s="35"/>
      <c r="C2" s="35"/>
      <c r="D2" s="35"/>
      <c r="E2" s="35"/>
    </row>
    <row r="3" spans="1:22" s="32" customFormat="1" x14ac:dyDescent="0.25">
      <c r="A3" s="363">
        <v>10</v>
      </c>
      <c r="B3" s="364" t="s">
        <v>1580</v>
      </c>
      <c r="C3" s="364"/>
      <c r="D3" s="364"/>
      <c r="E3" s="364"/>
    </row>
    <row r="4" spans="1:22" s="32" customFormat="1" x14ac:dyDescent="0.25">
      <c r="A4" s="178"/>
      <c r="B4" s="206" t="s">
        <v>5235</v>
      </c>
      <c r="C4" s="206"/>
      <c r="D4" s="206"/>
      <c r="E4" s="206"/>
    </row>
    <row r="5" spans="1:22" s="32" customFormat="1" ht="66" customHeight="1" x14ac:dyDescent="0.25">
      <c r="A5" s="178"/>
      <c r="B5" s="599" t="s">
        <v>5236</v>
      </c>
      <c r="C5" s="599"/>
      <c r="D5" s="599"/>
      <c r="E5" s="599"/>
      <c r="F5" s="599"/>
      <c r="G5" s="599"/>
      <c r="H5" s="599"/>
      <c r="I5" s="599"/>
      <c r="J5" s="599"/>
      <c r="K5" s="599"/>
      <c r="L5" s="599"/>
      <c r="M5" s="599"/>
      <c r="N5" s="599"/>
      <c r="O5" s="599"/>
      <c r="P5" s="599"/>
      <c r="Q5" s="599"/>
      <c r="R5" s="599"/>
      <c r="S5" s="599"/>
      <c r="T5" s="599"/>
      <c r="U5" s="599"/>
      <c r="V5" s="599"/>
    </row>
    <row r="6" spans="1:22" s="32" customFormat="1" ht="48.6" customHeight="1" x14ac:dyDescent="0.25">
      <c r="A6" s="178"/>
      <c r="B6" s="601" t="s">
        <v>5237</v>
      </c>
      <c r="C6" s="601"/>
      <c r="D6" s="601"/>
      <c r="E6" s="601"/>
      <c r="F6" s="601"/>
      <c r="G6" s="601"/>
      <c r="H6" s="601"/>
      <c r="I6" s="601"/>
      <c r="J6" s="601"/>
      <c r="K6" s="601"/>
      <c r="L6" s="601"/>
      <c r="M6" s="601"/>
      <c r="N6" s="601"/>
      <c r="O6" s="601"/>
      <c r="P6" s="601"/>
      <c r="Q6" s="601"/>
      <c r="R6" s="601"/>
      <c r="S6" s="601"/>
      <c r="T6" s="601"/>
      <c r="U6" s="601"/>
      <c r="V6" s="601"/>
    </row>
    <row r="7" spans="1:22" s="32" customFormat="1" x14ac:dyDescent="0.25">
      <c r="B7" s="602" t="s">
        <v>5238</v>
      </c>
      <c r="C7" s="602"/>
      <c r="D7" s="602"/>
      <c r="E7" s="602"/>
      <c r="F7" s="602"/>
      <c r="G7" s="602"/>
      <c r="H7" s="602"/>
      <c r="I7" s="602"/>
      <c r="J7" s="602"/>
      <c r="K7" s="602"/>
      <c r="L7" s="602"/>
      <c r="M7" s="602"/>
      <c r="N7" s="602"/>
      <c r="O7" s="602"/>
      <c r="P7" s="602"/>
      <c r="Q7" s="602"/>
      <c r="R7" s="602"/>
      <c r="S7" s="602"/>
      <c r="T7" s="602"/>
      <c r="U7" s="602"/>
      <c r="V7" s="602"/>
    </row>
    <row r="8" spans="1:22" s="32" customFormat="1" ht="61.2" customHeight="1" x14ac:dyDescent="0.25">
      <c r="B8" s="622" t="s">
        <v>5205</v>
      </c>
      <c r="C8" s="622"/>
      <c r="D8" s="622"/>
      <c r="E8" s="622"/>
      <c r="F8" s="622"/>
      <c r="G8" s="622"/>
      <c r="H8" s="622"/>
      <c r="I8" s="622"/>
      <c r="J8" s="622"/>
      <c r="K8" s="622"/>
      <c r="L8" s="622"/>
      <c r="M8" s="622"/>
      <c r="N8" s="622"/>
      <c r="O8" s="622"/>
      <c r="P8" s="622"/>
      <c r="Q8" s="622"/>
      <c r="R8" s="622"/>
      <c r="S8" s="622"/>
      <c r="T8" s="622"/>
      <c r="U8" s="622"/>
      <c r="V8" s="622"/>
    </row>
    <row r="9" spans="1:22" s="32" customFormat="1" x14ac:dyDescent="0.25">
      <c r="B9" s="173"/>
      <c r="C9" s="173"/>
      <c r="D9" s="173"/>
      <c r="E9" s="173"/>
      <c r="F9" s="173"/>
      <c r="G9" s="173"/>
      <c r="H9" s="173"/>
      <c r="I9" s="173"/>
      <c r="J9" s="173"/>
      <c r="K9" s="173"/>
      <c r="L9" s="173"/>
      <c r="M9" s="173"/>
      <c r="N9" s="173"/>
      <c r="O9" s="173"/>
      <c r="P9" s="173"/>
      <c r="Q9" s="173"/>
      <c r="R9" s="173"/>
      <c r="S9" s="173"/>
      <c r="T9" s="173"/>
      <c r="U9" s="173"/>
      <c r="V9" s="173"/>
    </row>
    <row r="10" spans="1:22" s="32" customFormat="1" x14ac:dyDescent="0.25">
      <c r="B10" s="179" t="s">
        <v>5239</v>
      </c>
      <c r="C10" s="179"/>
      <c r="D10" s="179"/>
      <c r="E10" s="179"/>
      <c r="F10" s="181">
        <f>COUNTIF(N18:N998,"1st")</f>
        <v>0</v>
      </c>
      <c r="G10" s="195"/>
      <c r="H10" s="195"/>
      <c r="I10" s="195"/>
      <c r="J10" s="195"/>
      <c r="K10" s="195"/>
      <c r="L10" s="173"/>
      <c r="M10" s="173"/>
      <c r="N10" s="173"/>
      <c r="O10" s="173"/>
      <c r="P10" s="173"/>
      <c r="Q10" s="173"/>
      <c r="R10" s="173"/>
      <c r="S10" s="173"/>
      <c r="T10" s="173"/>
      <c r="U10" s="173"/>
      <c r="V10" s="173"/>
    </row>
    <row r="11" spans="1:22" s="32" customFormat="1" x14ac:dyDescent="0.25">
      <c r="B11" s="179" t="s">
        <v>5240</v>
      </c>
      <c r="C11" s="179"/>
      <c r="D11" s="179"/>
      <c r="E11" s="179"/>
      <c r="F11" s="181">
        <f>COUNTA(D18:D998)</f>
        <v>0</v>
      </c>
      <c r="G11" s="173"/>
      <c r="H11" s="173"/>
      <c r="I11" s="173"/>
      <c r="J11" s="173"/>
      <c r="K11" s="173"/>
      <c r="L11" s="173"/>
      <c r="M11" s="173"/>
      <c r="N11" s="173"/>
      <c r="O11" s="173"/>
      <c r="P11" s="173"/>
      <c r="Q11" s="173"/>
      <c r="R11" s="173"/>
      <c r="S11" s="173"/>
      <c r="T11" s="173"/>
      <c r="U11" s="173"/>
      <c r="V11" s="173"/>
    </row>
    <row r="12" spans="1:22" s="32" customFormat="1" x14ac:dyDescent="0.25">
      <c r="B12" s="196" t="s">
        <v>5231</v>
      </c>
      <c r="C12" s="196"/>
      <c r="D12" s="196"/>
      <c r="E12" s="196"/>
      <c r="F12" s="198">
        <f>SUM(H18:H998)</f>
        <v>0</v>
      </c>
      <c r="G12" s="173"/>
      <c r="H12" s="173"/>
      <c r="I12" s="173"/>
      <c r="J12" s="173"/>
      <c r="K12" s="173"/>
      <c r="L12" s="173"/>
      <c r="M12" s="173"/>
      <c r="N12" s="173"/>
      <c r="O12" s="173"/>
      <c r="P12" s="173"/>
      <c r="Q12" s="173"/>
      <c r="R12" s="173"/>
      <c r="S12" s="173"/>
      <c r="T12" s="173"/>
      <c r="U12" s="173"/>
      <c r="V12" s="173"/>
    </row>
    <row r="13" spans="1:22" s="32" customFormat="1" x14ac:dyDescent="0.25">
      <c r="B13" s="196" t="s">
        <v>5232</v>
      </c>
      <c r="C13" s="196"/>
      <c r="D13" s="196"/>
      <c r="E13" s="196"/>
      <c r="F13" s="198">
        <f>SUM(I18:I999)</f>
        <v>0</v>
      </c>
      <c r="G13" s="173"/>
      <c r="H13" s="173"/>
      <c r="I13" s="173"/>
      <c r="J13" s="173"/>
      <c r="K13" s="173"/>
      <c r="L13" s="173"/>
      <c r="M13" s="173"/>
      <c r="N13" s="173"/>
      <c r="O13" s="173"/>
      <c r="P13" s="173"/>
      <c r="Q13" s="173"/>
      <c r="R13" s="173"/>
      <c r="S13" s="173"/>
      <c r="T13" s="173"/>
      <c r="U13" s="173"/>
      <c r="V13" s="173"/>
    </row>
    <row r="14" spans="1:22" s="32" customFormat="1" x14ac:dyDescent="0.25">
      <c r="B14" s="173"/>
      <c r="C14" s="173"/>
      <c r="D14" s="173"/>
      <c r="E14" s="173"/>
      <c r="F14" s="173"/>
      <c r="G14" s="173"/>
      <c r="H14" s="173"/>
      <c r="I14" s="173"/>
      <c r="J14" s="173"/>
      <c r="K14" s="173"/>
      <c r="L14" s="173"/>
      <c r="M14" s="173"/>
      <c r="N14" s="173"/>
      <c r="O14" s="173"/>
      <c r="P14" s="173"/>
      <c r="Q14" s="173"/>
      <c r="R14" s="173"/>
      <c r="S14" s="173"/>
      <c r="T14" s="173"/>
      <c r="U14" s="173"/>
      <c r="V14" s="173"/>
    </row>
    <row r="15" spans="1:22" s="32" customFormat="1" x14ac:dyDescent="0.25">
      <c r="B15" s="173"/>
      <c r="C15" s="173"/>
      <c r="D15" s="173"/>
      <c r="E15" s="173"/>
      <c r="F15" s="173"/>
      <c r="G15" s="173"/>
      <c r="H15" s="173"/>
      <c r="I15" s="173"/>
      <c r="J15" s="173"/>
      <c r="K15" s="173"/>
      <c r="L15" s="173"/>
      <c r="M15" s="173"/>
      <c r="N15" s="173"/>
      <c r="O15" s="173"/>
      <c r="P15" s="173"/>
      <c r="Q15" s="173"/>
      <c r="R15" s="173"/>
      <c r="S15" s="173"/>
      <c r="T15" s="173"/>
      <c r="U15" s="173"/>
      <c r="V15" s="173"/>
    </row>
    <row r="16" spans="1:22" s="32" customFormat="1" x14ac:dyDescent="0.25"/>
    <row r="17" spans="1:14" s="182" customFormat="1" ht="54.6" customHeight="1" x14ac:dyDescent="0.25">
      <c r="A17" s="184" t="s">
        <v>5233</v>
      </c>
      <c r="B17" s="184" t="s">
        <v>5234</v>
      </c>
      <c r="C17" s="183" t="s">
        <v>5130</v>
      </c>
      <c r="D17" s="184" t="s">
        <v>5210</v>
      </c>
      <c r="E17" s="183" t="s">
        <v>5211</v>
      </c>
      <c r="F17" s="184" t="s">
        <v>5212</v>
      </c>
      <c r="G17" s="184" t="s">
        <v>5213</v>
      </c>
      <c r="H17" s="200" t="s">
        <v>5214</v>
      </c>
      <c r="I17" s="184" t="s">
        <v>5215</v>
      </c>
      <c r="J17" s="184" t="s">
        <v>5216</v>
      </c>
      <c r="K17" s="184" t="s">
        <v>5217</v>
      </c>
      <c r="L17" s="184" t="s">
        <v>1685</v>
      </c>
      <c r="M17" s="184" t="s">
        <v>5218</v>
      </c>
      <c r="N17" s="200" t="s">
        <v>5191</v>
      </c>
    </row>
    <row r="18" spans="1:14" x14ac:dyDescent="0.25">
      <c r="D18" s="190"/>
      <c r="E18" s="190"/>
      <c r="F18" s="415"/>
      <c r="G18" s="415"/>
      <c r="H18" s="201" t="str">
        <f t="shared" ref="H18:H80" si="0">IF(OR(ISBLANK(G18), ISBLANK(F18)), "", IF(G18=F18, 1, SUM(_xlfn.DAYS(G18, F18), 1)))</f>
        <v/>
      </c>
      <c r="M18" s="190"/>
      <c r="N18" s="233" t="str">
        <f>IFERROR(COUNTIF($C$18:C18,C18)&amp;CHOOSE(MIN(4,COUNTIF($C$18:C18,C18)),"st","nd","rd","th"),"")</f>
        <v/>
      </c>
    </row>
    <row r="19" spans="1:14" ht="13.95" customHeight="1" x14ac:dyDescent="0.25">
      <c r="D19" s="478"/>
      <c r="E19" s="414"/>
      <c r="F19" s="415"/>
      <c r="G19" s="415"/>
      <c r="H19" s="201" t="str">
        <f t="shared" si="0"/>
        <v/>
      </c>
      <c r="I19" s="388"/>
      <c r="J19" s="164"/>
      <c r="K19" s="164"/>
      <c r="M19" s="478"/>
      <c r="N19" s="164" t="str">
        <f>IFERROR(COUNTIF($C$18:C19,C19)&amp;CHOOSE(MIN(4,COUNTIF($C$18:C19,C19)),"st","nd","rd","th"),"")</f>
        <v/>
      </c>
    </row>
    <row r="20" spans="1:14" ht="13.95" customHeight="1" x14ac:dyDescent="0.25">
      <c r="D20" s="478"/>
      <c r="E20" s="414"/>
      <c r="F20" s="415"/>
      <c r="G20" s="415"/>
      <c r="H20" s="201" t="str">
        <f t="shared" si="0"/>
        <v/>
      </c>
      <c r="I20" s="388"/>
      <c r="J20" s="164"/>
      <c r="K20" s="164"/>
      <c r="M20" s="478"/>
      <c r="N20" s="164" t="str">
        <f>IFERROR(COUNTIF($C$18:C20,C20)&amp;CHOOSE(MIN(4,COUNTIF($C$18:C20,C20)),"st","nd","rd","th"),"")</f>
        <v/>
      </c>
    </row>
    <row r="21" spans="1:14" ht="13.95" customHeight="1" x14ac:dyDescent="0.25">
      <c r="D21" s="478"/>
      <c r="E21" s="414"/>
      <c r="F21" s="415"/>
      <c r="G21" s="415"/>
      <c r="H21" s="201" t="str">
        <f t="shared" si="0"/>
        <v/>
      </c>
      <c r="I21" s="388"/>
      <c r="J21" s="164"/>
      <c r="K21" s="164"/>
      <c r="M21" s="478"/>
      <c r="N21" s="164" t="str">
        <f>IFERROR(COUNTIF($C$18:C21,C21)&amp;CHOOSE(MIN(4,COUNTIF($C$18:C21,C21)),"st","nd","rd","th"),"")</f>
        <v/>
      </c>
    </row>
    <row r="22" spans="1:14" ht="13.95" customHeight="1" x14ac:dyDescent="0.25">
      <c r="D22" s="478"/>
      <c r="E22" s="414"/>
      <c r="F22" s="415"/>
      <c r="G22" s="415"/>
      <c r="H22" s="201" t="str">
        <f t="shared" si="0"/>
        <v/>
      </c>
      <c r="I22" s="388"/>
      <c r="J22" s="164"/>
      <c r="K22" s="164"/>
      <c r="M22" s="478"/>
      <c r="N22" s="164" t="str">
        <f>IFERROR(COUNTIF($C$18:C22,C22)&amp;CHOOSE(MIN(4,COUNTIF($C$18:C22,C22)),"st","nd","rd","th"),"")</f>
        <v/>
      </c>
    </row>
    <row r="23" spans="1:14" ht="13.95" customHeight="1" x14ac:dyDescent="0.25">
      <c r="D23" s="478"/>
      <c r="E23" s="414"/>
      <c r="F23" s="415"/>
      <c r="G23" s="415"/>
      <c r="H23" s="201" t="str">
        <f t="shared" si="0"/>
        <v/>
      </c>
      <c r="I23" s="388"/>
      <c r="J23" s="164"/>
      <c r="K23" s="164"/>
      <c r="M23" s="478"/>
      <c r="N23" s="164" t="str">
        <f>IFERROR(COUNTIF($C$18:C23,C23)&amp;CHOOSE(MIN(4,COUNTIF($C$18:C23,C23)),"st","nd","rd","th"),"")</f>
        <v/>
      </c>
    </row>
    <row r="24" spans="1:14" x14ac:dyDescent="0.25">
      <c r="H24" s="201" t="str">
        <f t="shared" si="0"/>
        <v/>
      </c>
      <c r="N24" s="164" t="str">
        <f>IFERROR(COUNTIF($C$18:C24,C24)&amp;CHOOSE(MIN(4,COUNTIF($C$18:C24,C24)),"st","nd","rd","th"),"")</f>
        <v/>
      </c>
    </row>
    <row r="25" spans="1:14" x14ac:dyDescent="0.25">
      <c r="H25" s="201" t="str">
        <f t="shared" si="0"/>
        <v/>
      </c>
      <c r="N25" s="164" t="str">
        <f>IFERROR(COUNTIF($C$18:C25,C25)&amp;CHOOSE(MIN(4,COUNTIF($C$18:C25,C25)),"st","nd","rd","th"),"")</f>
        <v/>
      </c>
    </row>
    <row r="26" spans="1:14" x14ac:dyDescent="0.25">
      <c r="D26" s="190"/>
      <c r="E26" s="190"/>
      <c r="H26" s="201" t="str">
        <f t="shared" si="0"/>
        <v/>
      </c>
      <c r="M26" s="190"/>
      <c r="N26" s="164" t="str">
        <f>IFERROR(COUNTIF($C$18:C26,C26)&amp;CHOOSE(MIN(4,COUNTIF($C$18:C26,C26)),"st","nd","rd","th"),"")</f>
        <v/>
      </c>
    </row>
    <row r="27" spans="1:14" x14ac:dyDescent="0.25">
      <c r="D27" s="190"/>
      <c r="H27" s="201" t="str">
        <f t="shared" si="0"/>
        <v/>
      </c>
      <c r="N27" s="164" t="str">
        <f>IFERROR(COUNTIF($C$18:C27,C27)&amp;CHOOSE(MIN(4,COUNTIF($C$18:C27,C27)),"st","nd","rd","th"),"")</f>
        <v/>
      </c>
    </row>
    <row r="28" spans="1:14" x14ac:dyDescent="0.25">
      <c r="H28" s="201" t="str">
        <f t="shared" si="0"/>
        <v/>
      </c>
      <c r="N28" s="164" t="str">
        <f>IFERROR(COUNTIF($C$18:C28,C28)&amp;CHOOSE(MIN(4,COUNTIF($C$18:C28,C28)),"st","nd","rd","th"),"")</f>
        <v/>
      </c>
    </row>
    <row r="29" spans="1:14" x14ac:dyDescent="0.25">
      <c r="H29" s="201" t="str">
        <f t="shared" si="0"/>
        <v/>
      </c>
      <c r="N29" s="164" t="str">
        <f>IFERROR(COUNTIF($C$18:C29,C29)&amp;CHOOSE(MIN(4,COUNTIF($C$18:C29,C29)),"st","nd","rd","th"),"")</f>
        <v/>
      </c>
    </row>
    <row r="30" spans="1:14" x14ac:dyDescent="0.25">
      <c r="H30" s="201" t="str">
        <f t="shared" si="0"/>
        <v/>
      </c>
      <c r="N30" s="164" t="str">
        <f>IFERROR(COUNTIF($C$18:C30,C30)&amp;CHOOSE(MIN(4,COUNTIF($C$18:C30,C30)),"st","nd","rd","th"),"")</f>
        <v/>
      </c>
    </row>
    <row r="31" spans="1:14" x14ac:dyDescent="0.25">
      <c r="H31" s="201" t="str">
        <f t="shared" si="0"/>
        <v/>
      </c>
      <c r="N31" s="164" t="str">
        <f>IFERROR(COUNTIF($C$18:C31,C31)&amp;CHOOSE(MIN(4,COUNTIF($C$18:C31,C31)),"st","nd","rd","th"),"")</f>
        <v/>
      </c>
    </row>
    <row r="32" spans="1:14" x14ac:dyDescent="0.25">
      <c r="H32" s="201" t="str">
        <f t="shared" si="0"/>
        <v/>
      </c>
      <c r="N32" s="164" t="str">
        <f>IFERROR(COUNTIF($C$18:C32,C32)&amp;CHOOSE(MIN(4,COUNTIF($C$18:C32,C32)),"st","nd","rd","th"),"")</f>
        <v/>
      </c>
    </row>
    <row r="33" spans="8:14" x14ac:dyDescent="0.25">
      <c r="H33" s="201" t="str">
        <f t="shared" si="0"/>
        <v/>
      </c>
      <c r="N33" s="164" t="str">
        <f>IFERROR(COUNTIF($C$18:C33,C33)&amp;CHOOSE(MIN(4,COUNTIF($C$18:C33,C33)),"st","nd","rd","th"),"")</f>
        <v/>
      </c>
    </row>
    <row r="34" spans="8:14" x14ac:dyDescent="0.25">
      <c r="H34" s="201" t="str">
        <f t="shared" si="0"/>
        <v/>
      </c>
      <c r="N34" s="164" t="str">
        <f>IFERROR(COUNTIF($C$18:C34,C34)&amp;CHOOSE(MIN(4,COUNTIF($C$18:C34,C34)),"st","nd","rd","th"),"")</f>
        <v/>
      </c>
    </row>
    <row r="35" spans="8:14" x14ac:dyDescent="0.25">
      <c r="H35" s="201" t="str">
        <f t="shared" si="0"/>
        <v/>
      </c>
      <c r="N35" s="164" t="str">
        <f>IFERROR(COUNTIF($C$18:C35,C35)&amp;CHOOSE(MIN(4,COUNTIF($C$18:C35,C35)),"st","nd","rd","th"),"")</f>
        <v/>
      </c>
    </row>
    <row r="36" spans="8:14" x14ac:dyDescent="0.25">
      <c r="H36" s="201" t="str">
        <f t="shared" si="0"/>
        <v/>
      </c>
      <c r="N36" s="164" t="str">
        <f>IFERROR(COUNTIF($C$18:C36,C36)&amp;CHOOSE(MIN(4,COUNTIF($C$18:C36,C36)),"st","nd","rd","th"),"")</f>
        <v/>
      </c>
    </row>
    <row r="37" spans="8:14" x14ac:dyDescent="0.25">
      <c r="H37" s="201" t="str">
        <f t="shared" si="0"/>
        <v/>
      </c>
      <c r="N37" s="164" t="str">
        <f>IFERROR(COUNTIF($C$18:C37,C37)&amp;CHOOSE(MIN(4,COUNTIF($C$18:C37,C37)),"st","nd","rd","th"),"")</f>
        <v/>
      </c>
    </row>
    <row r="38" spans="8:14" x14ac:dyDescent="0.25">
      <c r="H38" s="201" t="str">
        <f t="shared" si="0"/>
        <v/>
      </c>
      <c r="N38" s="164" t="str">
        <f>IFERROR(COUNTIF($C$18:C38,C38)&amp;CHOOSE(MIN(4,COUNTIF($C$18:C38,C38)),"st","nd","rd","th"),"")</f>
        <v/>
      </c>
    </row>
    <row r="39" spans="8:14" x14ac:dyDescent="0.25">
      <c r="H39" s="201" t="str">
        <f t="shared" si="0"/>
        <v/>
      </c>
      <c r="N39" s="164" t="str">
        <f>IFERROR(COUNTIF($C$18:C39,C39)&amp;CHOOSE(MIN(4,COUNTIF($C$18:C39,C39)),"st","nd","rd","th"),"")</f>
        <v/>
      </c>
    </row>
    <row r="40" spans="8:14" x14ac:dyDescent="0.25">
      <c r="H40" s="201" t="str">
        <f t="shared" si="0"/>
        <v/>
      </c>
      <c r="N40" s="164" t="str">
        <f>IFERROR(COUNTIF($C$18:C40,C40)&amp;CHOOSE(MIN(4,COUNTIF($C$18:C40,C40)),"st","nd","rd","th"),"")</f>
        <v/>
      </c>
    </row>
    <row r="41" spans="8:14" x14ac:dyDescent="0.25">
      <c r="H41" s="201" t="str">
        <f t="shared" si="0"/>
        <v/>
      </c>
      <c r="N41" s="164" t="str">
        <f>IFERROR(COUNTIF($C$18:C41,C41)&amp;CHOOSE(MIN(4,COUNTIF($C$18:C41,C41)),"st","nd","rd","th"),"")</f>
        <v/>
      </c>
    </row>
    <row r="42" spans="8:14" x14ac:dyDescent="0.25">
      <c r="H42" s="201" t="str">
        <f t="shared" si="0"/>
        <v/>
      </c>
      <c r="N42" s="164" t="str">
        <f>IFERROR(COUNTIF($C$18:C42,C42)&amp;CHOOSE(MIN(4,COUNTIF($C$18:C42,C42)),"st","nd","rd","th"),"")</f>
        <v/>
      </c>
    </row>
    <row r="43" spans="8:14" x14ac:dyDescent="0.25">
      <c r="H43" s="201" t="str">
        <f t="shared" si="0"/>
        <v/>
      </c>
      <c r="N43" s="164" t="str">
        <f>IFERROR(COUNTIF($C$18:C43,C43)&amp;CHOOSE(MIN(4,COUNTIF($C$18:C43,C43)),"st","nd","rd","th"),"")</f>
        <v/>
      </c>
    </row>
    <row r="44" spans="8:14" x14ac:dyDescent="0.25">
      <c r="H44" s="201" t="str">
        <f t="shared" si="0"/>
        <v/>
      </c>
      <c r="N44" s="164" t="str">
        <f>IFERROR(COUNTIF($C$18:C44,C44)&amp;CHOOSE(MIN(4,COUNTIF($C$18:C44,C44)),"st","nd","rd","th"),"")</f>
        <v/>
      </c>
    </row>
    <row r="45" spans="8:14" x14ac:dyDescent="0.25">
      <c r="H45" s="201" t="str">
        <f t="shared" si="0"/>
        <v/>
      </c>
      <c r="N45" s="164" t="str">
        <f>IFERROR(COUNTIF($C$18:C45,C45)&amp;CHOOSE(MIN(4,COUNTIF($C$18:C45,C45)),"st","nd","rd","th"),"")</f>
        <v/>
      </c>
    </row>
    <row r="46" spans="8:14" x14ac:dyDescent="0.25">
      <c r="H46" s="201" t="str">
        <f t="shared" si="0"/>
        <v/>
      </c>
      <c r="N46" s="164" t="str">
        <f>IFERROR(COUNTIF($C$18:C46,C46)&amp;CHOOSE(MIN(4,COUNTIF($C$18:C46,C46)),"st","nd","rd","th"),"")</f>
        <v/>
      </c>
    </row>
    <row r="47" spans="8:14" x14ac:dyDescent="0.25">
      <c r="H47" s="201" t="str">
        <f t="shared" si="0"/>
        <v/>
      </c>
      <c r="N47" s="164" t="str">
        <f>IFERROR(COUNTIF($C$18:C47,C47)&amp;CHOOSE(MIN(4,COUNTIF($C$18:C47,C47)),"st","nd","rd","th"),"")</f>
        <v/>
      </c>
    </row>
    <row r="48" spans="8:14" x14ac:dyDescent="0.25">
      <c r="H48" s="201" t="str">
        <f t="shared" si="0"/>
        <v/>
      </c>
      <c r="N48" s="164" t="str">
        <f>IFERROR(COUNTIF($C$18:C48,C48)&amp;CHOOSE(MIN(4,COUNTIF($C$18:C48,C48)),"st","nd","rd","th"),"")</f>
        <v/>
      </c>
    </row>
    <row r="49" spans="8:14" x14ac:dyDescent="0.25">
      <c r="H49" s="201" t="str">
        <f t="shared" si="0"/>
        <v/>
      </c>
      <c r="N49" s="164" t="str">
        <f>IFERROR(COUNTIF($C$18:C49,C49)&amp;CHOOSE(MIN(4,COUNTIF($C$18:C49,C49)),"st","nd","rd","th"),"")</f>
        <v/>
      </c>
    </row>
    <row r="50" spans="8:14" x14ac:dyDescent="0.25">
      <c r="H50" s="201" t="str">
        <f t="shared" si="0"/>
        <v/>
      </c>
      <c r="N50" s="164" t="str">
        <f>IFERROR(COUNTIF($C$18:C50,C50)&amp;CHOOSE(MIN(4,COUNTIF($C$18:C50,C50)),"st","nd","rd","th"),"")</f>
        <v/>
      </c>
    </row>
    <row r="51" spans="8:14" x14ac:dyDescent="0.25">
      <c r="H51" s="201" t="str">
        <f t="shared" si="0"/>
        <v/>
      </c>
      <c r="N51" s="164" t="str">
        <f>IFERROR(COUNTIF($C$18:C51,C51)&amp;CHOOSE(MIN(4,COUNTIF($C$18:C51,C51)),"st","nd","rd","th"),"")</f>
        <v/>
      </c>
    </row>
    <row r="52" spans="8:14" x14ac:dyDescent="0.25">
      <c r="H52" s="201" t="str">
        <f t="shared" si="0"/>
        <v/>
      </c>
      <c r="N52" s="164" t="str">
        <f>IFERROR(COUNTIF($C$18:C52,C52)&amp;CHOOSE(MIN(4,COUNTIF($C$18:C52,C52)),"st","nd","rd","th"),"")</f>
        <v/>
      </c>
    </row>
    <row r="53" spans="8:14" x14ac:dyDescent="0.25">
      <c r="H53" s="201" t="str">
        <f t="shared" si="0"/>
        <v/>
      </c>
      <c r="N53" s="164" t="str">
        <f>IFERROR(COUNTIF($C$18:C53,C53)&amp;CHOOSE(MIN(4,COUNTIF($C$18:C53,C53)),"st","nd","rd","th"),"")</f>
        <v/>
      </c>
    </row>
    <row r="54" spans="8:14" x14ac:dyDescent="0.25">
      <c r="H54" s="201" t="str">
        <f t="shared" si="0"/>
        <v/>
      </c>
      <c r="N54" s="164" t="str">
        <f>IFERROR(COUNTIF($C$18:C54,C54)&amp;CHOOSE(MIN(4,COUNTIF($C$18:C54,C54)),"st","nd","rd","th"),"")</f>
        <v/>
      </c>
    </row>
    <row r="55" spans="8:14" x14ac:dyDescent="0.25">
      <c r="H55" s="201" t="str">
        <f t="shared" si="0"/>
        <v/>
      </c>
      <c r="N55" s="164" t="str">
        <f>IFERROR(COUNTIF($C$18:C55,C55)&amp;CHOOSE(MIN(4,COUNTIF($C$18:C55,C55)),"st","nd","rd","th"),"")</f>
        <v/>
      </c>
    </row>
    <row r="56" spans="8:14" x14ac:dyDescent="0.25">
      <c r="H56" s="201" t="str">
        <f t="shared" si="0"/>
        <v/>
      </c>
      <c r="N56" s="164" t="str">
        <f>IFERROR(COUNTIF($C$18:C56,C56)&amp;CHOOSE(MIN(4,COUNTIF($C$18:C56,C56)),"st","nd","rd","th"),"")</f>
        <v/>
      </c>
    </row>
    <row r="57" spans="8:14" x14ac:dyDescent="0.25">
      <c r="H57" s="201" t="str">
        <f t="shared" si="0"/>
        <v/>
      </c>
      <c r="N57" s="164" t="str">
        <f>IFERROR(COUNTIF($C$18:C57,C57)&amp;CHOOSE(MIN(4,COUNTIF($C$18:C57,C57)),"st","nd","rd","th"),"")</f>
        <v/>
      </c>
    </row>
    <row r="58" spans="8:14" x14ac:dyDescent="0.25">
      <c r="H58" s="201" t="str">
        <f t="shared" si="0"/>
        <v/>
      </c>
      <c r="N58" s="164" t="str">
        <f>IFERROR(COUNTIF($C$18:C58,C58)&amp;CHOOSE(MIN(4,COUNTIF($C$18:C58,C58)),"st","nd","rd","th"),"")</f>
        <v/>
      </c>
    </row>
    <row r="59" spans="8:14" x14ac:dyDescent="0.25">
      <c r="H59" s="201" t="str">
        <f t="shared" si="0"/>
        <v/>
      </c>
      <c r="N59" s="164" t="str">
        <f>IFERROR(COUNTIF($C$18:C59,C59)&amp;CHOOSE(MIN(4,COUNTIF($C$18:C59,C59)),"st","nd","rd","th"),"")</f>
        <v/>
      </c>
    </row>
    <row r="60" spans="8:14" x14ac:dyDescent="0.25">
      <c r="H60" s="201" t="str">
        <f t="shared" si="0"/>
        <v/>
      </c>
      <c r="N60" s="164" t="str">
        <f>IFERROR(COUNTIF($C$18:C60,C60)&amp;CHOOSE(MIN(4,COUNTIF($C$18:C60,C60)),"st","nd","rd","th"),"")</f>
        <v/>
      </c>
    </row>
    <row r="61" spans="8:14" x14ac:dyDescent="0.25">
      <c r="H61" s="201" t="str">
        <f t="shared" si="0"/>
        <v/>
      </c>
      <c r="N61" s="164" t="str">
        <f>IFERROR(COUNTIF($C$18:C61,C61)&amp;CHOOSE(MIN(4,COUNTIF($C$18:C61,C61)),"st","nd","rd","th"),"")</f>
        <v/>
      </c>
    </row>
    <row r="62" spans="8:14" x14ac:dyDescent="0.25">
      <c r="H62" s="201" t="str">
        <f t="shared" si="0"/>
        <v/>
      </c>
      <c r="N62" s="164" t="str">
        <f>IFERROR(COUNTIF($C$18:C62,C62)&amp;CHOOSE(MIN(4,COUNTIF($C$18:C62,C62)),"st","nd","rd","th"),"")</f>
        <v/>
      </c>
    </row>
    <row r="63" spans="8:14" x14ac:dyDescent="0.25">
      <c r="H63" s="201" t="str">
        <f t="shared" si="0"/>
        <v/>
      </c>
      <c r="N63" s="164" t="str">
        <f>IFERROR(COUNTIF($C$18:C63,C63)&amp;CHOOSE(MIN(4,COUNTIF($C$18:C63,C63)),"st","nd","rd","th"),"")</f>
        <v/>
      </c>
    </row>
    <row r="64" spans="8:14" x14ac:dyDescent="0.25">
      <c r="H64" s="201" t="str">
        <f t="shared" si="0"/>
        <v/>
      </c>
      <c r="N64" s="164" t="str">
        <f>IFERROR(COUNTIF($C$18:C64,C64)&amp;CHOOSE(MIN(4,COUNTIF($C$18:C64,C64)),"st","nd","rd","th"),"")</f>
        <v/>
      </c>
    </row>
    <row r="65" spans="8:14" x14ac:dyDescent="0.25">
      <c r="H65" s="201" t="str">
        <f t="shared" si="0"/>
        <v/>
      </c>
      <c r="N65" s="164" t="str">
        <f>IFERROR(COUNTIF($C$18:C65,C65)&amp;CHOOSE(MIN(4,COUNTIF($C$18:C65,C65)),"st","nd","rd","th"),"")</f>
        <v/>
      </c>
    </row>
    <row r="66" spans="8:14" x14ac:dyDescent="0.25">
      <c r="H66" s="201" t="str">
        <f t="shared" si="0"/>
        <v/>
      </c>
      <c r="N66" s="164" t="str">
        <f>IFERROR(COUNTIF($C$18:C66,C66)&amp;CHOOSE(MIN(4,COUNTIF($C$18:C66,C66)),"st","nd","rd","th"),"")</f>
        <v/>
      </c>
    </row>
    <row r="67" spans="8:14" x14ac:dyDescent="0.25">
      <c r="H67" s="201" t="str">
        <f t="shared" si="0"/>
        <v/>
      </c>
      <c r="N67" s="164" t="str">
        <f>IFERROR(COUNTIF($C$18:C67,C67)&amp;CHOOSE(MIN(4,COUNTIF($C$18:C67,C67)),"st","nd","rd","th"),"")</f>
        <v/>
      </c>
    </row>
    <row r="68" spans="8:14" x14ac:dyDescent="0.25">
      <c r="H68" s="201" t="str">
        <f t="shared" si="0"/>
        <v/>
      </c>
      <c r="N68" s="164" t="str">
        <f>IFERROR(COUNTIF($C$18:C68,C68)&amp;CHOOSE(MIN(4,COUNTIF($C$18:C68,C68)),"st","nd","rd","th"),"")</f>
        <v/>
      </c>
    </row>
    <row r="69" spans="8:14" x14ac:dyDescent="0.25">
      <c r="H69" s="201" t="str">
        <f t="shared" si="0"/>
        <v/>
      </c>
      <c r="N69" s="164" t="str">
        <f>IFERROR(COUNTIF($C$18:C69,C69)&amp;CHOOSE(MIN(4,COUNTIF($C$18:C69,C69)),"st","nd","rd","th"),"")</f>
        <v/>
      </c>
    </row>
    <row r="70" spans="8:14" x14ac:dyDescent="0.25">
      <c r="H70" s="201" t="str">
        <f t="shared" si="0"/>
        <v/>
      </c>
      <c r="N70" s="164" t="str">
        <f>IFERROR(COUNTIF($C$18:C70,C70)&amp;CHOOSE(MIN(4,COUNTIF($C$18:C70,C70)),"st","nd","rd","th"),"")</f>
        <v/>
      </c>
    </row>
    <row r="71" spans="8:14" x14ac:dyDescent="0.25">
      <c r="H71" s="201" t="str">
        <f t="shared" si="0"/>
        <v/>
      </c>
      <c r="N71" s="164" t="str">
        <f>IFERROR(COUNTIF($C$18:C71,C71)&amp;CHOOSE(MIN(4,COUNTIF($C$18:C71,C71)),"st","nd","rd","th"),"")</f>
        <v/>
      </c>
    </row>
    <row r="72" spans="8:14" x14ac:dyDescent="0.25">
      <c r="H72" s="201" t="str">
        <f t="shared" si="0"/>
        <v/>
      </c>
      <c r="N72" s="164" t="str">
        <f>IFERROR(COUNTIF($C$18:C72,C72)&amp;CHOOSE(MIN(4,COUNTIF($C$18:C72,C72)),"st","nd","rd","th"),"")</f>
        <v/>
      </c>
    </row>
    <row r="73" spans="8:14" x14ac:dyDescent="0.25">
      <c r="H73" s="201" t="str">
        <f t="shared" si="0"/>
        <v/>
      </c>
      <c r="N73" s="164" t="str">
        <f>IFERROR(COUNTIF($C$18:C73,C73)&amp;CHOOSE(MIN(4,COUNTIF($C$18:C73,C73)),"st","nd","rd","th"),"")</f>
        <v/>
      </c>
    </row>
    <row r="74" spans="8:14" x14ac:dyDescent="0.25">
      <c r="H74" s="201" t="str">
        <f t="shared" si="0"/>
        <v/>
      </c>
      <c r="N74" s="164" t="str">
        <f>IFERROR(COUNTIF($C$18:C74,C74)&amp;CHOOSE(MIN(4,COUNTIF($C$18:C74,C74)),"st","nd","rd","th"),"")</f>
        <v/>
      </c>
    </row>
    <row r="75" spans="8:14" x14ac:dyDescent="0.25">
      <c r="H75" s="201" t="str">
        <f t="shared" si="0"/>
        <v/>
      </c>
      <c r="N75" s="164" t="str">
        <f>IFERROR(COUNTIF($C$18:C75,C75)&amp;CHOOSE(MIN(4,COUNTIF($C$18:C75,C75)),"st","nd","rd","th"),"")</f>
        <v/>
      </c>
    </row>
    <row r="76" spans="8:14" x14ac:dyDescent="0.25">
      <c r="H76" s="201" t="str">
        <f t="shared" si="0"/>
        <v/>
      </c>
      <c r="N76" s="164" t="str">
        <f>IFERROR(COUNTIF($C$18:C76,C76)&amp;CHOOSE(MIN(4,COUNTIF($C$18:C76,C76)),"st","nd","rd","th"),"")</f>
        <v/>
      </c>
    </row>
    <row r="77" spans="8:14" x14ac:dyDescent="0.25">
      <c r="H77" s="201" t="str">
        <f t="shared" si="0"/>
        <v/>
      </c>
      <c r="N77" s="164" t="str">
        <f>IFERROR(COUNTIF($C$18:C77,C77)&amp;CHOOSE(MIN(4,COUNTIF($C$18:C77,C77)),"st","nd","rd","th"),"")</f>
        <v/>
      </c>
    </row>
    <row r="78" spans="8:14" x14ac:dyDescent="0.25">
      <c r="H78" s="201" t="str">
        <f t="shared" si="0"/>
        <v/>
      </c>
      <c r="N78" s="164" t="str">
        <f>IFERROR(COUNTIF($C$18:C78,C78)&amp;CHOOSE(MIN(4,COUNTIF($C$18:C78,C78)),"st","nd","rd","th"),"")</f>
        <v/>
      </c>
    </row>
    <row r="79" spans="8:14" x14ac:dyDescent="0.25">
      <c r="H79" s="201" t="str">
        <f t="shared" si="0"/>
        <v/>
      </c>
      <c r="N79" s="164" t="str">
        <f>IFERROR(COUNTIF($C$18:C79,C79)&amp;CHOOSE(MIN(4,COUNTIF($C$18:C79,C79)),"st","nd","rd","th"),"")</f>
        <v/>
      </c>
    </row>
    <row r="80" spans="8:14" x14ac:dyDescent="0.25">
      <c r="H80" s="201" t="str">
        <f t="shared" si="0"/>
        <v/>
      </c>
      <c r="N80" s="164" t="str">
        <f>IFERROR(COUNTIF($C$18:C80,C80)&amp;CHOOSE(MIN(4,COUNTIF($C$18:C80,C80)),"st","nd","rd","th"),"")</f>
        <v/>
      </c>
    </row>
    <row r="81" spans="8:14" x14ac:dyDescent="0.25">
      <c r="H81" s="201" t="str">
        <f t="shared" ref="H81:H144" si="1">IF(OR(ISBLANK(G81), ISBLANK(F81)), "", IF(G81=F81, 1, SUM(_xlfn.DAYS(G81, F81), 1)))</f>
        <v/>
      </c>
      <c r="N81" s="164" t="str">
        <f>IFERROR(COUNTIF($C$18:C81,C81)&amp;CHOOSE(MIN(4,COUNTIF($C$18:C81,C81)),"st","nd","rd","th"),"")</f>
        <v/>
      </c>
    </row>
    <row r="82" spans="8:14" x14ac:dyDescent="0.25">
      <c r="H82" s="201" t="str">
        <f t="shared" si="1"/>
        <v/>
      </c>
      <c r="N82" s="164" t="str">
        <f>IFERROR(COUNTIF($C$18:C82,C82)&amp;CHOOSE(MIN(4,COUNTIF($C$18:C82,C82)),"st","nd","rd","th"),"")</f>
        <v/>
      </c>
    </row>
    <row r="83" spans="8:14" x14ac:dyDescent="0.25">
      <c r="H83" s="201" t="str">
        <f t="shared" si="1"/>
        <v/>
      </c>
      <c r="N83" s="164" t="str">
        <f>IFERROR(COUNTIF($C$18:C83,C83)&amp;CHOOSE(MIN(4,COUNTIF($C$18:C83,C83)),"st","nd","rd","th"),"")</f>
        <v/>
      </c>
    </row>
    <row r="84" spans="8:14" x14ac:dyDescent="0.25">
      <c r="H84" s="201" t="str">
        <f t="shared" si="1"/>
        <v/>
      </c>
      <c r="N84" s="164" t="str">
        <f>IFERROR(COUNTIF($C$18:C84,C84)&amp;CHOOSE(MIN(4,COUNTIF($C$18:C84,C84)),"st","nd","rd","th"),"")</f>
        <v/>
      </c>
    </row>
    <row r="85" spans="8:14" x14ac:dyDescent="0.25">
      <c r="H85" s="201" t="str">
        <f t="shared" si="1"/>
        <v/>
      </c>
      <c r="N85" s="164" t="str">
        <f>IFERROR(COUNTIF($C$18:C85,C85)&amp;CHOOSE(MIN(4,COUNTIF($C$18:C85,C85)),"st","nd","rd","th"),"")</f>
        <v/>
      </c>
    </row>
    <row r="86" spans="8:14" x14ac:dyDescent="0.25">
      <c r="H86" s="201" t="str">
        <f t="shared" si="1"/>
        <v/>
      </c>
      <c r="N86" s="164" t="str">
        <f>IFERROR(COUNTIF($C$18:C86,C86)&amp;CHOOSE(MIN(4,COUNTIF($C$18:C86,C86)),"st","nd","rd","th"),"")</f>
        <v/>
      </c>
    </row>
    <row r="87" spans="8:14" x14ac:dyDescent="0.25">
      <c r="H87" s="201" t="str">
        <f t="shared" si="1"/>
        <v/>
      </c>
      <c r="N87" s="164" t="str">
        <f>IFERROR(COUNTIF($C$18:C87,C87)&amp;CHOOSE(MIN(4,COUNTIF($C$18:C87,C87)),"st","nd","rd","th"),"")</f>
        <v/>
      </c>
    </row>
    <row r="88" spans="8:14" x14ac:dyDescent="0.25">
      <c r="H88" s="201" t="str">
        <f t="shared" si="1"/>
        <v/>
      </c>
      <c r="N88" s="164" t="str">
        <f>IFERROR(COUNTIF($C$18:C88,C88)&amp;CHOOSE(MIN(4,COUNTIF($C$18:C88,C88)),"st","nd","rd","th"),"")</f>
        <v/>
      </c>
    </row>
    <row r="89" spans="8:14" x14ac:dyDescent="0.25">
      <c r="H89" s="201" t="str">
        <f t="shared" si="1"/>
        <v/>
      </c>
      <c r="N89" s="164" t="str">
        <f>IFERROR(COUNTIF($C$18:C89,C89)&amp;CHOOSE(MIN(4,COUNTIF($C$18:C89,C89)),"st","nd","rd","th"),"")</f>
        <v/>
      </c>
    </row>
    <row r="90" spans="8:14" x14ac:dyDescent="0.25">
      <c r="H90" s="201" t="str">
        <f t="shared" si="1"/>
        <v/>
      </c>
      <c r="N90" s="164" t="str">
        <f>IFERROR(COUNTIF($C$18:C90,C90)&amp;CHOOSE(MIN(4,COUNTIF($C$18:C90,C90)),"st","nd","rd","th"),"")</f>
        <v/>
      </c>
    </row>
    <row r="91" spans="8:14" x14ac:dyDescent="0.25">
      <c r="H91" s="201" t="str">
        <f t="shared" si="1"/>
        <v/>
      </c>
      <c r="N91" s="164" t="str">
        <f>IFERROR(COUNTIF($C$18:C91,C91)&amp;CHOOSE(MIN(4,COUNTIF($C$18:C91,C91)),"st","nd","rd","th"),"")</f>
        <v/>
      </c>
    </row>
    <row r="92" spans="8:14" x14ac:dyDescent="0.25">
      <c r="H92" s="201" t="str">
        <f t="shared" si="1"/>
        <v/>
      </c>
      <c r="N92" s="164" t="str">
        <f>IFERROR(COUNTIF($C$18:C92,C92)&amp;CHOOSE(MIN(4,COUNTIF($C$18:C92,C92)),"st","nd","rd","th"),"")</f>
        <v/>
      </c>
    </row>
    <row r="93" spans="8:14" x14ac:dyDescent="0.25">
      <c r="H93" s="201" t="str">
        <f t="shared" si="1"/>
        <v/>
      </c>
      <c r="N93" s="164" t="str">
        <f>IFERROR(COUNTIF($C$18:C93,C93)&amp;CHOOSE(MIN(4,COUNTIF($C$18:C93,C93)),"st","nd","rd","th"),"")</f>
        <v/>
      </c>
    </row>
    <row r="94" spans="8:14" x14ac:dyDescent="0.25">
      <c r="H94" s="201" t="str">
        <f t="shared" si="1"/>
        <v/>
      </c>
      <c r="N94" s="164" t="str">
        <f>IFERROR(COUNTIF($C$18:C94,C94)&amp;CHOOSE(MIN(4,COUNTIF($C$18:C94,C94)),"st","nd","rd","th"),"")</f>
        <v/>
      </c>
    </row>
    <row r="95" spans="8:14" x14ac:dyDescent="0.25">
      <c r="H95" s="201" t="str">
        <f t="shared" si="1"/>
        <v/>
      </c>
      <c r="N95" s="164" t="str">
        <f>IFERROR(COUNTIF($C$18:C95,C95)&amp;CHOOSE(MIN(4,COUNTIF($C$18:C95,C95)),"st","nd","rd","th"),"")</f>
        <v/>
      </c>
    </row>
    <row r="96" spans="8:14" x14ac:dyDescent="0.25">
      <c r="H96" s="201" t="str">
        <f t="shared" si="1"/>
        <v/>
      </c>
      <c r="N96" s="164" t="str">
        <f>IFERROR(COUNTIF($C$18:C96,C96)&amp;CHOOSE(MIN(4,COUNTIF($C$18:C96,C96)),"st","nd","rd","th"),"")</f>
        <v/>
      </c>
    </row>
    <row r="97" spans="8:14" x14ac:dyDescent="0.25">
      <c r="H97" s="201" t="str">
        <f t="shared" si="1"/>
        <v/>
      </c>
      <c r="N97" s="164" t="str">
        <f>IFERROR(COUNTIF($C$18:C97,C97)&amp;CHOOSE(MIN(4,COUNTIF($C$18:C97,C97)),"st","nd","rd","th"),"")</f>
        <v/>
      </c>
    </row>
    <row r="98" spans="8:14" x14ac:dyDescent="0.25">
      <c r="H98" s="201" t="str">
        <f t="shared" si="1"/>
        <v/>
      </c>
      <c r="N98" s="164" t="str">
        <f>IFERROR(COUNTIF($C$18:C98,C98)&amp;CHOOSE(MIN(4,COUNTIF($C$18:C98,C98)),"st","nd","rd","th"),"")</f>
        <v/>
      </c>
    </row>
    <row r="99" spans="8:14" x14ac:dyDescent="0.25">
      <c r="H99" s="201" t="str">
        <f t="shared" si="1"/>
        <v/>
      </c>
      <c r="N99" s="164" t="str">
        <f>IFERROR(COUNTIF($C$18:C99,C99)&amp;CHOOSE(MIN(4,COUNTIF($C$18:C99,C99)),"st","nd","rd","th"),"")</f>
        <v/>
      </c>
    </row>
    <row r="100" spans="8:14" x14ac:dyDescent="0.25">
      <c r="H100" s="201" t="str">
        <f t="shared" si="1"/>
        <v/>
      </c>
      <c r="N100" s="164" t="str">
        <f>IFERROR(COUNTIF($C$18:C100,C100)&amp;CHOOSE(MIN(4,COUNTIF($C$18:C100,C100)),"st","nd","rd","th"),"")</f>
        <v/>
      </c>
    </row>
    <row r="101" spans="8:14" x14ac:dyDescent="0.25">
      <c r="H101" s="201" t="str">
        <f t="shared" si="1"/>
        <v/>
      </c>
      <c r="N101" s="164" t="str">
        <f>IFERROR(COUNTIF($C$18:C101,C101)&amp;CHOOSE(MIN(4,COUNTIF($C$18:C101,C101)),"st","nd","rd","th"),"")</f>
        <v/>
      </c>
    </row>
    <row r="102" spans="8:14" x14ac:dyDescent="0.25">
      <c r="H102" s="201" t="str">
        <f t="shared" si="1"/>
        <v/>
      </c>
      <c r="N102" s="164" t="str">
        <f>IFERROR(COUNTIF($C$18:C102,C102)&amp;CHOOSE(MIN(4,COUNTIF($C$18:C102,C102)),"st","nd","rd","th"),"")</f>
        <v/>
      </c>
    </row>
    <row r="103" spans="8:14" x14ac:dyDescent="0.25">
      <c r="H103" s="201" t="str">
        <f t="shared" si="1"/>
        <v/>
      </c>
      <c r="N103" s="164" t="str">
        <f>IFERROR(COUNTIF($C$18:C103,C103)&amp;CHOOSE(MIN(4,COUNTIF($C$18:C103,C103)),"st","nd","rd","th"),"")</f>
        <v/>
      </c>
    </row>
    <row r="104" spans="8:14" x14ac:dyDescent="0.25">
      <c r="H104" s="201" t="str">
        <f t="shared" si="1"/>
        <v/>
      </c>
      <c r="N104" s="164" t="str">
        <f>IFERROR(COUNTIF($C$18:C104,C104)&amp;CHOOSE(MIN(4,COUNTIF($C$18:C104,C104)),"st","nd","rd","th"),"")</f>
        <v/>
      </c>
    </row>
    <row r="105" spans="8:14" x14ac:dyDescent="0.25">
      <c r="H105" s="201" t="str">
        <f t="shared" si="1"/>
        <v/>
      </c>
      <c r="N105" s="164" t="str">
        <f>IFERROR(COUNTIF($C$18:C105,C105)&amp;CHOOSE(MIN(4,COUNTIF($C$18:C105,C105)),"st","nd","rd","th"),"")</f>
        <v/>
      </c>
    </row>
    <row r="106" spans="8:14" x14ac:dyDescent="0.25">
      <c r="H106" s="201" t="str">
        <f t="shared" si="1"/>
        <v/>
      </c>
      <c r="N106" s="164" t="str">
        <f>IFERROR(COUNTIF($C$18:C106,C106)&amp;CHOOSE(MIN(4,COUNTIF($C$18:C106,C106)),"st","nd","rd","th"),"")</f>
        <v/>
      </c>
    </row>
    <row r="107" spans="8:14" x14ac:dyDescent="0.25">
      <c r="H107" s="201" t="str">
        <f t="shared" si="1"/>
        <v/>
      </c>
      <c r="N107" s="164" t="str">
        <f>IFERROR(COUNTIF($C$18:C107,C107)&amp;CHOOSE(MIN(4,COUNTIF($C$18:C107,C107)),"st","nd","rd","th"),"")</f>
        <v/>
      </c>
    </row>
    <row r="108" spans="8:14" x14ac:dyDescent="0.25">
      <c r="H108" s="201" t="str">
        <f t="shared" si="1"/>
        <v/>
      </c>
      <c r="N108" s="164" t="str">
        <f>IFERROR(COUNTIF($C$18:C108,C108)&amp;CHOOSE(MIN(4,COUNTIF($C$18:C108,C108)),"st","nd","rd","th"),"")</f>
        <v/>
      </c>
    </row>
    <row r="109" spans="8:14" x14ac:dyDescent="0.25">
      <c r="H109" s="201" t="str">
        <f t="shared" si="1"/>
        <v/>
      </c>
      <c r="N109" s="164" t="str">
        <f>IFERROR(COUNTIF($C$18:C109,C109)&amp;CHOOSE(MIN(4,COUNTIF($C$18:C109,C109)),"st","nd","rd","th"),"")</f>
        <v/>
      </c>
    </row>
    <row r="110" spans="8:14" x14ac:dyDescent="0.25">
      <c r="H110" s="201" t="str">
        <f t="shared" si="1"/>
        <v/>
      </c>
      <c r="N110" s="164" t="str">
        <f>IFERROR(COUNTIF($C$18:C110,C110)&amp;CHOOSE(MIN(4,COUNTIF($C$18:C110,C110)),"st","nd","rd","th"),"")</f>
        <v/>
      </c>
    </row>
    <row r="111" spans="8:14" x14ac:dyDescent="0.25">
      <c r="H111" s="201" t="str">
        <f t="shared" si="1"/>
        <v/>
      </c>
      <c r="N111" s="164" t="str">
        <f>IFERROR(COUNTIF($C$18:C111,C111)&amp;CHOOSE(MIN(4,COUNTIF($C$18:C111,C111)),"st","nd","rd","th"),"")</f>
        <v/>
      </c>
    </row>
    <row r="112" spans="8:14" x14ac:dyDescent="0.25">
      <c r="H112" s="201" t="str">
        <f t="shared" si="1"/>
        <v/>
      </c>
      <c r="N112" s="164" t="str">
        <f>IFERROR(COUNTIF($C$18:C112,C112)&amp;CHOOSE(MIN(4,COUNTIF($C$18:C112,C112)),"st","nd","rd","th"),"")</f>
        <v/>
      </c>
    </row>
    <row r="113" spans="8:14" x14ac:dyDescent="0.25">
      <c r="H113" s="201" t="str">
        <f t="shared" si="1"/>
        <v/>
      </c>
      <c r="N113" s="164" t="str">
        <f>IFERROR(COUNTIF($C$18:C113,C113)&amp;CHOOSE(MIN(4,COUNTIF($C$18:C113,C113)),"st","nd","rd","th"),"")</f>
        <v/>
      </c>
    </row>
    <row r="114" spans="8:14" x14ac:dyDescent="0.25">
      <c r="H114" s="201" t="str">
        <f t="shared" si="1"/>
        <v/>
      </c>
      <c r="N114" s="164" t="str">
        <f>IFERROR(COUNTIF($C$18:C114,C114)&amp;CHOOSE(MIN(4,COUNTIF($C$18:C114,C114)),"st","nd","rd","th"),"")</f>
        <v/>
      </c>
    </row>
    <row r="115" spans="8:14" x14ac:dyDescent="0.25">
      <c r="H115" s="201" t="str">
        <f t="shared" si="1"/>
        <v/>
      </c>
      <c r="N115" s="164" t="str">
        <f>IFERROR(COUNTIF($C$18:C115,C115)&amp;CHOOSE(MIN(4,COUNTIF($C$18:C115,C115)),"st","nd","rd","th"),"")</f>
        <v/>
      </c>
    </row>
    <row r="116" spans="8:14" x14ac:dyDescent="0.25">
      <c r="H116" s="201" t="str">
        <f t="shared" si="1"/>
        <v/>
      </c>
      <c r="N116" s="164" t="str">
        <f>IFERROR(COUNTIF($C$18:C116,C116)&amp;CHOOSE(MIN(4,COUNTIF($C$18:C116,C116)),"st","nd","rd","th"),"")</f>
        <v/>
      </c>
    </row>
    <row r="117" spans="8:14" x14ac:dyDescent="0.25">
      <c r="H117" s="201" t="str">
        <f t="shared" si="1"/>
        <v/>
      </c>
      <c r="N117" s="164" t="str">
        <f>IFERROR(COUNTIF($C$18:C117,C117)&amp;CHOOSE(MIN(4,COUNTIF($C$18:C117,C117)),"st","nd","rd","th"),"")</f>
        <v/>
      </c>
    </row>
    <row r="118" spans="8:14" x14ac:dyDescent="0.25">
      <c r="H118" s="201" t="str">
        <f t="shared" si="1"/>
        <v/>
      </c>
      <c r="N118" s="164" t="str">
        <f>IFERROR(COUNTIF($C$18:C118,C118)&amp;CHOOSE(MIN(4,COUNTIF($C$18:C118,C118)),"st","nd","rd","th"),"")</f>
        <v/>
      </c>
    </row>
    <row r="119" spans="8:14" x14ac:dyDescent="0.25">
      <c r="H119" s="201" t="str">
        <f t="shared" si="1"/>
        <v/>
      </c>
      <c r="N119" s="164" t="str">
        <f>IFERROR(COUNTIF($C$18:C119,C119)&amp;CHOOSE(MIN(4,COUNTIF($C$18:C119,C119)),"st","nd","rd","th"),"")</f>
        <v/>
      </c>
    </row>
    <row r="120" spans="8:14" x14ac:dyDescent="0.25">
      <c r="H120" s="201" t="str">
        <f t="shared" si="1"/>
        <v/>
      </c>
      <c r="N120" s="164" t="str">
        <f>IFERROR(COUNTIF($C$18:C120,C120)&amp;CHOOSE(MIN(4,COUNTIF($C$18:C120,C120)),"st","nd","rd","th"),"")</f>
        <v/>
      </c>
    </row>
    <row r="121" spans="8:14" x14ac:dyDescent="0.25">
      <c r="H121" s="201" t="str">
        <f t="shared" si="1"/>
        <v/>
      </c>
      <c r="N121" s="164" t="str">
        <f>IFERROR(COUNTIF($C$18:C121,C121)&amp;CHOOSE(MIN(4,COUNTIF($C$18:C121,C121)),"st","nd","rd","th"),"")</f>
        <v/>
      </c>
    </row>
    <row r="122" spans="8:14" x14ac:dyDescent="0.25">
      <c r="H122" s="201" t="str">
        <f t="shared" si="1"/>
        <v/>
      </c>
      <c r="N122" s="164" t="str">
        <f>IFERROR(COUNTIF($C$18:C122,C122)&amp;CHOOSE(MIN(4,COUNTIF($C$18:C122,C122)),"st","nd","rd","th"),"")</f>
        <v/>
      </c>
    </row>
    <row r="123" spans="8:14" x14ac:dyDescent="0.25">
      <c r="H123" s="201" t="str">
        <f t="shared" si="1"/>
        <v/>
      </c>
      <c r="N123" s="164" t="str">
        <f>IFERROR(COUNTIF($C$18:C123,C123)&amp;CHOOSE(MIN(4,COUNTIF($C$18:C123,C123)),"st","nd","rd","th"),"")</f>
        <v/>
      </c>
    </row>
    <row r="124" spans="8:14" x14ac:dyDescent="0.25">
      <c r="H124" s="201" t="str">
        <f t="shared" si="1"/>
        <v/>
      </c>
      <c r="N124" s="164" t="str">
        <f>IFERROR(COUNTIF($C$18:C124,C124)&amp;CHOOSE(MIN(4,COUNTIF($C$18:C124,C124)),"st","nd","rd","th"),"")</f>
        <v/>
      </c>
    </row>
    <row r="125" spans="8:14" x14ac:dyDescent="0.25">
      <c r="H125" s="201" t="str">
        <f t="shared" si="1"/>
        <v/>
      </c>
      <c r="N125" s="164" t="str">
        <f>IFERROR(COUNTIF($C$18:C125,C125)&amp;CHOOSE(MIN(4,COUNTIF($C$18:C125,C125)),"st","nd","rd","th"),"")</f>
        <v/>
      </c>
    </row>
    <row r="126" spans="8:14" x14ac:dyDescent="0.25">
      <c r="H126" s="201" t="str">
        <f t="shared" si="1"/>
        <v/>
      </c>
      <c r="N126" s="164" t="str">
        <f>IFERROR(COUNTIF($C$18:C126,C126)&amp;CHOOSE(MIN(4,COUNTIF($C$18:C126,C126)),"st","nd","rd","th"),"")</f>
        <v/>
      </c>
    </row>
    <row r="127" spans="8:14" x14ac:dyDescent="0.25">
      <c r="H127" s="201" t="str">
        <f t="shared" si="1"/>
        <v/>
      </c>
      <c r="N127" s="164" t="str">
        <f>IFERROR(COUNTIF($C$18:C127,C127)&amp;CHOOSE(MIN(4,COUNTIF($C$18:C127,C127)),"st","nd","rd","th"),"")</f>
        <v/>
      </c>
    </row>
    <row r="128" spans="8:14" x14ac:dyDescent="0.25">
      <c r="H128" s="201" t="str">
        <f t="shared" si="1"/>
        <v/>
      </c>
      <c r="N128" s="164" t="str">
        <f>IFERROR(COUNTIF($C$18:C128,C128)&amp;CHOOSE(MIN(4,COUNTIF($C$18:C128,C128)),"st","nd","rd","th"),"")</f>
        <v/>
      </c>
    </row>
    <row r="129" spans="8:14" x14ac:dyDescent="0.25">
      <c r="H129" s="201" t="str">
        <f t="shared" si="1"/>
        <v/>
      </c>
      <c r="N129" s="164" t="str">
        <f>IFERROR(COUNTIF($C$18:C129,C129)&amp;CHOOSE(MIN(4,COUNTIF($C$18:C129,C129)),"st","nd","rd","th"),"")</f>
        <v/>
      </c>
    </row>
    <row r="130" spans="8:14" x14ac:dyDescent="0.25">
      <c r="H130" s="201" t="str">
        <f t="shared" si="1"/>
        <v/>
      </c>
      <c r="N130" s="164" t="str">
        <f>IFERROR(COUNTIF($C$18:C130,C130)&amp;CHOOSE(MIN(4,COUNTIF($C$18:C130,C130)),"st","nd","rd","th"),"")</f>
        <v/>
      </c>
    </row>
    <row r="131" spans="8:14" x14ac:dyDescent="0.25">
      <c r="H131" s="201" t="str">
        <f t="shared" si="1"/>
        <v/>
      </c>
      <c r="N131" s="164" t="str">
        <f>IFERROR(COUNTIF($C$18:C131,C131)&amp;CHOOSE(MIN(4,COUNTIF($C$18:C131,C131)),"st","nd","rd","th"),"")</f>
        <v/>
      </c>
    </row>
    <row r="132" spans="8:14" x14ac:dyDescent="0.25">
      <c r="H132" s="201" t="str">
        <f t="shared" si="1"/>
        <v/>
      </c>
      <c r="N132" s="164" t="str">
        <f>IFERROR(COUNTIF($C$18:C132,C132)&amp;CHOOSE(MIN(4,COUNTIF($C$18:C132,C132)),"st","nd","rd","th"),"")</f>
        <v/>
      </c>
    </row>
    <row r="133" spans="8:14" x14ac:dyDescent="0.25">
      <c r="H133" s="201" t="str">
        <f t="shared" si="1"/>
        <v/>
      </c>
      <c r="N133" s="164" t="str">
        <f>IFERROR(COUNTIF($C$18:C133,C133)&amp;CHOOSE(MIN(4,COUNTIF($C$18:C133,C133)),"st","nd","rd","th"),"")</f>
        <v/>
      </c>
    </row>
    <row r="134" spans="8:14" x14ac:dyDescent="0.25">
      <c r="H134" s="201" t="str">
        <f t="shared" si="1"/>
        <v/>
      </c>
      <c r="N134" s="164" t="str">
        <f>IFERROR(COUNTIF($C$18:C134,C134)&amp;CHOOSE(MIN(4,COUNTIF($C$18:C134,C134)),"st","nd","rd","th"),"")</f>
        <v/>
      </c>
    </row>
    <row r="135" spans="8:14" x14ac:dyDescent="0.25">
      <c r="H135" s="201" t="str">
        <f t="shared" si="1"/>
        <v/>
      </c>
      <c r="N135" s="164" t="str">
        <f>IFERROR(COUNTIF($C$18:C135,C135)&amp;CHOOSE(MIN(4,COUNTIF($C$18:C135,C135)),"st","nd","rd","th"),"")</f>
        <v/>
      </c>
    </row>
    <row r="136" spans="8:14" x14ac:dyDescent="0.25">
      <c r="H136" s="201" t="str">
        <f t="shared" si="1"/>
        <v/>
      </c>
      <c r="N136" s="164" t="str">
        <f>IFERROR(COUNTIF($C$18:C136,C136)&amp;CHOOSE(MIN(4,COUNTIF($C$18:C136,C136)),"st","nd","rd","th"),"")</f>
        <v/>
      </c>
    </row>
    <row r="137" spans="8:14" x14ac:dyDescent="0.25">
      <c r="H137" s="201" t="str">
        <f t="shared" si="1"/>
        <v/>
      </c>
      <c r="N137" s="164" t="str">
        <f>IFERROR(COUNTIF($C$18:C137,C137)&amp;CHOOSE(MIN(4,COUNTIF($C$18:C137,C137)),"st","nd","rd","th"),"")</f>
        <v/>
      </c>
    </row>
    <row r="138" spans="8:14" x14ac:dyDescent="0.25">
      <c r="H138" s="201" t="str">
        <f t="shared" si="1"/>
        <v/>
      </c>
      <c r="N138" s="164" t="str">
        <f>IFERROR(COUNTIF($C$18:C138,C138)&amp;CHOOSE(MIN(4,COUNTIF($C$18:C138,C138)),"st","nd","rd","th"),"")</f>
        <v/>
      </c>
    </row>
    <row r="139" spans="8:14" x14ac:dyDescent="0.25">
      <c r="H139" s="201" t="str">
        <f t="shared" si="1"/>
        <v/>
      </c>
      <c r="N139" s="164" t="str">
        <f>IFERROR(COUNTIF($C$18:C139,C139)&amp;CHOOSE(MIN(4,COUNTIF($C$18:C139,C139)),"st","nd","rd","th"),"")</f>
        <v/>
      </c>
    </row>
    <row r="140" spans="8:14" x14ac:dyDescent="0.25">
      <c r="H140" s="201" t="str">
        <f t="shared" si="1"/>
        <v/>
      </c>
      <c r="N140" s="164" t="str">
        <f>IFERROR(COUNTIF($C$18:C140,C140)&amp;CHOOSE(MIN(4,COUNTIF($C$18:C140,C140)),"st","nd","rd","th"),"")</f>
        <v/>
      </c>
    </row>
    <row r="141" spans="8:14" x14ac:dyDescent="0.25">
      <c r="H141" s="201" t="str">
        <f t="shared" si="1"/>
        <v/>
      </c>
      <c r="N141" s="164" t="str">
        <f>IFERROR(COUNTIF($C$18:C141,C141)&amp;CHOOSE(MIN(4,COUNTIF($C$18:C141,C141)),"st","nd","rd","th"),"")</f>
        <v/>
      </c>
    </row>
    <row r="142" spans="8:14" x14ac:dyDescent="0.25">
      <c r="H142" s="201" t="str">
        <f t="shared" si="1"/>
        <v/>
      </c>
      <c r="N142" s="164" t="str">
        <f>IFERROR(COUNTIF($C$18:C142,C142)&amp;CHOOSE(MIN(4,COUNTIF($C$18:C142,C142)),"st","nd","rd","th"),"")</f>
        <v/>
      </c>
    </row>
    <row r="143" spans="8:14" x14ac:dyDescent="0.25">
      <c r="H143" s="201" t="str">
        <f t="shared" si="1"/>
        <v/>
      </c>
      <c r="N143" s="164" t="str">
        <f>IFERROR(COUNTIF($C$18:C143,C143)&amp;CHOOSE(MIN(4,COUNTIF($C$18:C143,C143)),"st","nd","rd","th"),"")</f>
        <v/>
      </c>
    </row>
    <row r="144" spans="8:14" x14ac:dyDescent="0.25">
      <c r="H144" s="201" t="str">
        <f t="shared" si="1"/>
        <v/>
      </c>
      <c r="N144" s="164" t="str">
        <f>IFERROR(COUNTIF($C$18:C144,C144)&amp;CHOOSE(MIN(4,COUNTIF($C$18:C144,C144)),"st","nd","rd","th"),"")</f>
        <v/>
      </c>
    </row>
    <row r="145" spans="8:14" x14ac:dyDescent="0.25">
      <c r="H145" s="201" t="str">
        <f t="shared" ref="H145:H208" si="2">IF(OR(ISBLANK(G145), ISBLANK(F145)), "", IF(G145=F145, 1, SUM(_xlfn.DAYS(G145, F145), 1)))</f>
        <v/>
      </c>
      <c r="N145" s="164" t="str">
        <f>IFERROR(COUNTIF($C$18:C145,C145)&amp;CHOOSE(MIN(4,COUNTIF($C$18:C145,C145)),"st","nd","rd","th"),"")</f>
        <v/>
      </c>
    </row>
    <row r="146" spans="8:14" x14ac:dyDescent="0.25">
      <c r="H146" s="201" t="str">
        <f t="shared" si="2"/>
        <v/>
      </c>
      <c r="N146" s="164" t="str">
        <f>IFERROR(COUNTIF($C$18:C146,C146)&amp;CHOOSE(MIN(4,COUNTIF($C$18:C146,C146)),"st","nd","rd","th"),"")</f>
        <v/>
      </c>
    </row>
    <row r="147" spans="8:14" x14ac:dyDescent="0.25">
      <c r="H147" s="201" t="str">
        <f t="shared" si="2"/>
        <v/>
      </c>
      <c r="N147" s="164" t="str">
        <f>IFERROR(COUNTIF($C$18:C147,C147)&amp;CHOOSE(MIN(4,COUNTIF($C$18:C147,C147)),"st","nd","rd","th"),"")</f>
        <v/>
      </c>
    </row>
    <row r="148" spans="8:14" x14ac:dyDescent="0.25">
      <c r="H148" s="201" t="str">
        <f t="shared" si="2"/>
        <v/>
      </c>
      <c r="N148" s="164" t="str">
        <f>IFERROR(COUNTIF($C$18:C148,C148)&amp;CHOOSE(MIN(4,COUNTIF($C$18:C148,C148)),"st","nd","rd","th"),"")</f>
        <v/>
      </c>
    </row>
    <row r="149" spans="8:14" x14ac:dyDescent="0.25">
      <c r="H149" s="201" t="str">
        <f t="shared" si="2"/>
        <v/>
      </c>
      <c r="N149" s="164" t="str">
        <f>IFERROR(COUNTIF($C$18:C149,C149)&amp;CHOOSE(MIN(4,COUNTIF($C$18:C149,C149)),"st","nd","rd","th"),"")</f>
        <v/>
      </c>
    </row>
    <row r="150" spans="8:14" x14ac:dyDescent="0.25">
      <c r="H150" s="201" t="str">
        <f t="shared" si="2"/>
        <v/>
      </c>
      <c r="N150" s="164" t="str">
        <f>IFERROR(COUNTIF($C$18:C150,C150)&amp;CHOOSE(MIN(4,COUNTIF($C$18:C150,C150)),"st","nd","rd","th"),"")</f>
        <v/>
      </c>
    </row>
    <row r="151" spans="8:14" x14ac:dyDescent="0.25">
      <c r="H151" s="201" t="str">
        <f t="shared" si="2"/>
        <v/>
      </c>
      <c r="N151" s="164" t="str">
        <f>IFERROR(COUNTIF($C$18:C151,C151)&amp;CHOOSE(MIN(4,COUNTIF($C$18:C151,C151)),"st","nd","rd","th"),"")</f>
        <v/>
      </c>
    </row>
    <row r="152" spans="8:14" x14ac:dyDescent="0.25">
      <c r="H152" s="201" t="str">
        <f t="shared" si="2"/>
        <v/>
      </c>
      <c r="N152" s="164" t="str">
        <f>IFERROR(COUNTIF($C$18:C152,C152)&amp;CHOOSE(MIN(4,COUNTIF($C$18:C152,C152)),"st","nd","rd","th"),"")</f>
        <v/>
      </c>
    </row>
    <row r="153" spans="8:14" x14ac:dyDescent="0.25">
      <c r="H153" s="201" t="str">
        <f t="shared" si="2"/>
        <v/>
      </c>
      <c r="N153" s="164" t="str">
        <f>IFERROR(COUNTIF($C$18:C153,C153)&amp;CHOOSE(MIN(4,COUNTIF($C$18:C153,C153)),"st","nd","rd","th"),"")</f>
        <v/>
      </c>
    </row>
    <row r="154" spans="8:14" x14ac:dyDescent="0.25">
      <c r="H154" s="201" t="str">
        <f t="shared" si="2"/>
        <v/>
      </c>
      <c r="N154" s="164" t="str">
        <f>IFERROR(COUNTIF($C$18:C154,C154)&amp;CHOOSE(MIN(4,COUNTIF($C$18:C154,C154)),"st","nd","rd","th"),"")</f>
        <v/>
      </c>
    </row>
    <row r="155" spans="8:14" x14ac:dyDescent="0.25">
      <c r="H155" s="201" t="str">
        <f t="shared" si="2"/>
        <v/>
      </c>
      <c r="N155" s="164" t="str">
        <f>IFERROR(COUNTIF($C$18:C155,C155)&amp;CHOOSE(MIN(4,COUNTIF($C$18:C155,C155)),"st","nd","rd","th"),"")</f>
        <v/>
      </c>
    </row>
    <row r="156" spans="8:14" x14ac:dyDescent="0.25">
      <c r="H156" s="201" t="str">
        <f t="shared" si="2"/>
        <v/>
      </c>
      <c r="N156" s="164" t="str">
        <f>IFERROR(COUNTIF($C$18:C156,C156)&amp;CHOOSE(MIN(4,COUNTIF($C$18:C156,C156)),"st","nd","rd","th"),"")</f>
        <v/>
      </c>
    </row>
    <row r="157" spans="8:14" x14ac:dyDescent="0.25">
      <c r="H157" s="201" t="str">
        <f t="shared" si="2"/>
        <v/>
      </c>
      <c r="N157" s="164" t="str">
        <f>IFERROR(COUNTIF($C$18:C157,C157)&amp;CHOOSE(MIN(4,COUNTIF($C$18:C157,C157)),"st","nd","rd","th"),"")</f>
        <v/>
      </c>
    </row>
    <row r="158" spans="8:14" x14ac:dyDescent="0.25">
      <c r="H158" s="201" t="str">
        <f t="shared" si="2"/>
        <v/>
      </c>
      <c r="N158" s="164" t="str">
        <f>IFERROR(COUNTIF($C$18:C158,C158)&amp;CHOOSE(MIN(4,COUNTIF($C$18:C158,C158)),"st","nd","rd","th"),"")</f>
        <v/>
      </c>
    </row>
    <row r="159" spans="8:14" x14ac:dyDescent="0.25">
      <c r="H159" s="201" t="str">
        <f t="shared" si="2"/>
        <v/>
      </c>
      <c r="N159" s="164" t="str">
        <f>IFERROR(COUNTIF($C$18:C159,C159)&amp;CHOOSE(MIN(4,COUNTIF($C$18:C159,C159)),"st","nd","rd","th"),"")</f>
        <v/>
      </c>
    </row>
    <row r="160" spans="8:14" x14ac:dyDescent="0.25">
      <c r="H160" s="201" t="str">
        <f t="shared" si="2"/>
        <v/>
      </c>
      <c r="N160" s="164" t="str">
        <f>IFERROR(COUNTIF($C$18:C160,C160)&amp;CHOOSE(MIN(4,COUNTIF($C$18:C160,C160)),"st","nd","rd","th"),"")</f>
        <v/>
      </c>
    </row>
    <row r="161" spans="8:14" x14ac:dyDescent="0.25">
      <c r="H161" s="201" t="str">
        <f t="shared" si="2"/>
        <v/>
      </c>
      <c r="N161" s="164" t="str">
        <f>IFERROR(COUNTIF($C$18:C161,C161)&amp;CHOOSE(MIN(4,COUNTIF($C$18:C161,C161)),"st","nd","rd","th"),"")</f>
        <v/>
      </c>
    </row>
    <row r="162" spans="8:14" x14ac:dyDescent="0.25">
      <c r="H162" s="201" t="str">
        <f t="shared" si="2"/>
        <v/>
      </c>
      <c r="N162" s="164" t="str">
        <f>IFERROR(COUNTIF($C$18:C162,C162)&amp;CHOOSE(MIN(4,COUNTIF($C$18:C162,C162)),"st","nd","rd","th"),"")</f>
        <v/>
      </c>
    </row>
    <row r="163" spans="8:14" x14ac:dyDescent="0.25">
      <c r="H163" s="201" t="str">
        <f t="shared" si="2"/>
        <v/>
      </c>
      <c r="N163" s="164" t="str">
        <f>IFERROR(COUNTIF($C$18:C163,C163)&amp;CHOOSE(MIN(4,COUNTIF($C$18:C163,C163)),"st","nd","rd","th"),"")</f>
        <v/>
      </c>
    </row>
    <row r="164" spans="8:14" x14ac:dyDescent="0.25">
      <c r="H164" s="201" t="str">
        <f t="shared" si="2"/>
        <v/>
      </c>
      <c r="N164" s="164" t="str">
        <f>IFERROR(COUNTIF($C$18:C164,C164)&amp;CHOOSE(MIN(4,COUNTIF($C$18:C164,C164)),"st","nd","rd","th"),"")</f>
        <v/>
      </c>
    </row>
    <row r="165" spans="8:14" x14ac:dyDescent="0.25">
      <c r="H165" s="201" t="str">
        <f t="shared" si="2"/>
        <v/>
      </c>
      <c r="N165" s="164" t="str">
        <f>IFERROR(COUNTIF($C$18:C165,C165)&amp;CHOOSE(MIN(4,COUNTIF($C$18:C165,C165)),"st","nd","rd","th"),"")</f>
        <v/>
      </c>
    </row>
    <row r="166" spans="8:14" x14ac:dyDescent="0.25">
      <c r="H166" s="201" t="str">
        <f t="shared" si="2"/>
        <v/>
      </c>
      <c r="N166" s="164" t="str">
        <f>IFERROR(COUNTIF($C$18:C166,C166)&amp;CHOOSE(MIN(4,COUNTIF($C$18:C166,C166)),"st","nd","rd","th"),"")</f>
        <v/>
      </c>
    </row>
    <row r="167" spans="8:14" x14ac:dyDescent="0.25">
      <c r="H167" s="201" t="str">
        <f t="shared" si="2"/>
        <v/>
      </c>
      <c r="N167" s="164" t="str">
        <f>IFERROR(COUNTIF($C$18:C167,C167)&amp;CHOOSE(MIN(4,COUNTIF($C$18:C167,C167)),"st","nd","rd","th"),"")</f>
        <v/>
      </c>
    </row>
    <row r="168" spans="8:14" x14ac:dyDescent="0.25">
      <c r="H168" s="201" t="str">
        <f t="shared" si="2"/>
        <v/>
      </c>
      <c r="N168" s="164" t="str">
        <f>IFERROR(COUNTIF($C$18:C168,C168)&amp;CHOOSE(MIN(4,COUNTIF($C$18:C168,C168)),"st","nd","rd","th"),"")</f>
        <v/>
      </c>
    </row>
    <row r="169" spans="8:14" x14ac:dyDescent="0.25">
      <c r="H169" s="201" t="str">
        <f t="shared" si="2"/>
        <v/>
      </c>
      <c r="N169" s="164" t="str">
        <f>IFERROR(COUNTIF($C$18:C169,C169)&amp;CHOOSE(MIN(4,COUNTIF($C$18:C169,C169)),"st","nd","rd","th"),"")</f>
        <v/>
      </c>
    </row>
    <row r="170" spans="8:14" x14ac:dyDescent="0.25">
      <c r="H170" s="201" t="str">
        <f t="shared" si="2"/>
        <v/>
      </c>
      <c r="N170" s="164" t="str">
        <f>IFERROR(COUNTIF($C$18:C170,C170)&amp;CHOOSE(MIN(4,COUNTIF($C$18:C170,C170)),"st","nd","rd","th"),"")</f>
        <v/>
      </c>
    </row>
    <row r="171" spans="8:14" x14ac:dyDescent="0.25">
      <c r="H171" s="201" t="str">
        <f t="shared" si="2"/>
        <v/>
      </c>
      <c r="N171" s="164" t="str">
        <f>IFERROR(COUNTIF($C$18:C171,C171)&amp;CHOOSE(MIN(4,COUNTIF($C$18:C171,C171)),"st","nd","rd","th"),"")</f>
        <v/>
      </c>
    </row>
    <row r="172" spans="8:14" x14ac:dyDescent="0.25">
      <c r="H172" s="201" t="str">
        <f t="shared" si="2"/>
        <v/>
      </c>
      <c r="N172" s="164" t="str">
        <f>IFERROR(COUNTIF($C$18:C172,C172)&amp;CHOOSE(MIN(4,COUNTIF($C$18:C172,C172)),"st","nd","rd","th"),"")</f>
        <v/>
      </c>
    </row>
    <row r="173" spans="8:14" x14ac:dyDescent="0.25">
      <c r="H173" s="201" t="str">
        <f t="shared" si="2"/>
        <v/>
      </c>
      <c r="N173" s="164" t="str">
        <f>IFERROR(COUNTIF($C$18:C173,C173)&amp;CHOOSE(MIN(4,COUNTIF($C$18:C173,C173)),"st","nd","rd","th"),"")</f>
        <v/>
      </c>
    </row>
    <row r="174" spans="8:14" x14ac:dyDescent="0.25">
      <c r="H174" s="201" t="str">
        <f t="shared" si="2"/>
        <v/>
      </c>
      <c r="N174" s="164" t="str">
        <f>IFERROR(COUNTIF($C$18:C174,C174)&amp;CHOOSE(MIN(4,COUNTIF($C$18:C174,C174)),"st","nd","rd","th"),"")</f>
        <v/>
      </c>
    </row>
    <row r="175" spans="8:14" x14ac:dyDescent="0.25">
      <c r="H175" s="201" t="str">
        <f t="shared" si="2"/>
        <v/>
      </c>
      <c r="N175" s="164" t="str">
        <f>IFERROR(COUNTIF($C$18:C175,C175)&amp;CHOOSE(MIN(4,COUNTIF($C$18:C175,C175)),"st","nd","rd","th"),"")</f>
        <v/>
      </c>
    </row>
    <row r="176" spans="8:14" x14ac:dyDescent="0.25">
      <c r="H176" s="201" t="str">
        <f t="shared" si="2"/>
        <v/>
      </c>
      <c r="N176" s="164" t="str">
        <f>IFERROR(COUNTIF($C$18:C176,C176)&amp;CHOOSE(MIN(4,COUNTIF($C$18:C176,C176)),"st","nd","rd","th"),"")</f>
        <v/>
      </c>
    </row>
    <row r="177" spans="8:14" x14ac:dyDescent="0.25">
      <c r="H177" s="201" t="str">
        <f t="shared" si="2"/>
        <v/>
      </c>
      <c r="N177" s="164" t="str">
        <f>IFERROR(COUNTIF($C$18:C177,C177)&amp;CHOOSE(MIN(4,COUNTIF($C$18:C177,C177)),"st","nd","rd","th"),"")</f>
        <v/>
      </c>
    </row>
    <row r="178" spans="8:14" x14ac:dyDescent="0.25">
      <c r="H178" s="201" t="str">
        <f t="shared" si="2"/>
        <v/>
      </c>
      <c r="N178" s="164" t="str">
        <f>IFERROR(COUNTIF($C$18:C178,C178)&amp;CHOOSE(MIN(4,COUNTIF($C$18:C178,C178)),"st","nd","rd","th"),"")</f>
        <v/>
      </c>
    </row>
    <row r="179" spans="8:14" x14ac:dyDescent="0.25">
      <c r="H179" s="201" t="str">
        <f t="shared" si="2"/>
        <v/>
      </c>
      <c r="N179" s="164" t="str">
        <f>IFERROR(COUNTIF($C$18:C179,C179)&amp;CHOOSE(MIN(4,COUNTIF($C$18:C179,C179)),"st","nd","rd","th"),"")</f>
        <v/>
      </c>
    </row>
    <row r="180" spans="8:14" x14ac:dyDescent="0.25">
      <c r="H180" s="201" t="str">
        <f t="shared" si="2"/>
        <v/>
      </c>
      <c r="N180" s="164" t="str">
        <f>IFERROR(COUNTIF($C$18:C180,C180)&amp;CHOOSE(MIN(4,COUNTIF($C$18:C180,C180)),"st","nd","rd","th"),"")</f>
        <v/>
      </c>
    </row>
    <row r="181" spans="8:14" x14ac:dyDescent="0.25">
      <c r="H181" s="201" t="str">
        <f t="shared" si="2"/>
        <v/>
      </c>
      <c r="N181" s="164" t="str">
        <f>IFERROR(COUNTIF($C$18:C181,C181)&amp;CHOOSE(MIN(4,COUNTIF($C$18:C181,C181)),"st","nd","rd","th"),"")</f>
        <v/>
      </c>
    </row>
    <row r="182" spans="8:14" x14ac:dyDescent="0.25">
      <c r="H182" s="201" t="str">
        <f t="shared" si="2"/>
        <v/>
      </c>
      <c r="N182" s="164" t="str">
        <f>IFERROR(COUNTIF($C$18:C182,C182)&amp;CHOOSE(MIN(4,COUNTIF($C$18:C182,C182)),"st","nd","rd","th"),"")</f>
        <v/>
      </c>
    </row>
    <row r="183" spans="8:14" x14ac:dyDescent="0.25">
      <c r="H183" s="201" t="str">
        <f t="shared" si="2"/>
        <v/>
      </c>
      <c r="N183" s="164" t="str">
        <f>IFERROR(COUNTIF($C$18:C183,C183)&amp;CHOOSE(MIN(4,COUNTIF($C$18:C183,C183)),"st","nd","rd","th"),"")</f>
        <v/>
      </c>
    </row>
    <row r="184" spans="8:14" x14ac:dyDescent="0.25">
      <c r="H184" s="201" t="str">
        <f t="shared" si="2"/>
        <v/>
      </c>
      <c r="N184" s="164" t="str">
        <f>IFERROR(COUNTIF($C$18:C184,C184)&amp;CHOOSE(MIN(4,COUNTIF($C$18:C184,C184)),"st","nd","rd","th"),"")</f>
        <v/>
      </c>
    </row>
    <row r="185" spans="8:14" x14ac:dyDescent="0.25">
      <c r="H185" s="201" t="str">
        <f t="shared" si="2"/>
        <v/>
      </c>
      <c r="N185" s="164" t="str">
        <f>IFERROR(COUNTIF($C$18:C185,C185)&amp;CHOOSE(MIN(4,COUNTIF($C$18:C185,C185)),"st","nd","rd","th"),"")</f>
        <v/>
      </c>
    </row>
    <row r="186" spans="8:14" x14ac:dyDescent="0.25">
      <c r="H186" s="201" t="str">
        <f t="shared" si="2"/>
        <v/>
      </c>
      <c r="N186" s="164" t="str">
        <f>IFERROR(COUNTIF($C$18:C186,C186)&amp;CHOOSE(MIN(4,COUNTIF($C$18:C186,C186)),"st","nd","rd","th"),"")</f>
        <v/>
      </c>
    </row>
    <row r="187" spans="8:14" x14ac:dyDescent="0.25">
      <c r="H187" s="201" t="str">
        <f t="shared" si="2"/>
        <v/>
      </c>
      <c r="N187" s="164" t="str">
        <f>IFERROR(COUNTIF($C$18:C187,C187)&amp;CHOOSE(MIN(4,COUNTIF($C$18:C187,C187)),"st","nd","rd","th"),"")</f>
        <v/>
      </c>
    </row>
    <row r="188" spans="8:14" x14ac:dyDescent="0.25">
      <c r="H188" s="201" t="str">
        <f t="shared" si="2"/>
        <v/>
      </c>
      <c r="N188" s="164" t="str">
        <f>IFERROR(COUNTIF($C$18:C188,C188)&amp;CHOOSE(MIN(4,COUNTIF($C$18:C188,C188)),"st","nd","rd","th"),"")</f>
        <v/>
      </c>
    </row>
    <row r="189" spans="8:14" x14ac:dyDescent="0.25">
      <c r="H189" s="201" t="str">
        <f t="shared" si="2"/>
        <v/>
      </c>
      <c r="N189" s="164" t="str">
        <f>IFERROR(COUNTIF($C$18:C189,C189)&amp;CHOOSE(MIN(4,COUNTIF($C$18:C189,C189)),"st","nd","rd","th"),"")</f>
        <v/>
      </c>
    </row>
    <row r="190" spans="8:14" x14ac:dyDescent="0.25">
      <c r="H190" s="201" t="str">
        <f t="shared" si="2"/>
        <v/>
      </c>
      <c r="N190" s="164" t="str">
        <f>IFERROR(COUNTIF($C$18:C190,C190)&amp;CHOOSE(MIN(4,COUNTIF($C$18:C190,C190)),"st","nd","rd","th"),"")</f>
        <v/>
      </c>
    </row>
    <row r="191" spans="8:14" x14ac:dyDescent="0.25">
      <c r="H191" s="201" t="str">
        <f t="shared" si="2"/>
        <v/>
      </c>
      <c r="N191" s="164" t="str">
        <f>IFERROR(COUNTIF($C$18:C191,C191)&amp;CHOOSE(MIN(4,COUNTIF($C$18:C191,C191)),"st","nd","rd","th"),"")</f>
        <v/>
      </c>
    </row>
    <row r="192" spans="8:14" x14ac:dyDescent="0.25">
      <c r="H192" s="201" t="str">
        <f t="shared" si="2"/>
        <v/>
      </c>
      <c r="N192" s="164" t="str">
        <f>IFERROR(COUNTIF($C$18:C192,C192)&amp;CHOOSE(MIN(4,COUNTIF($C$18:C192,C192)),"st","nd","rd","th"),"")</f>
        <v/>
      </c>
    </row>
    <row r="193" spans="8:14" x14ac:dyDescent="0.25">
      <c r="H193" s="201" t="str">
        <f t="shared" si="2"/>
        <v/>
      </c>
      <c r="N193" s="164" t="str">
        <f>IFERROR(COUNTIF($C$18:C193,C193)&amp;CHOOSE(MIN(4,COUNTIF($C$18:C193,C193)),"st","nd","rd","th"),"")</f>
        <v/>
      </c>
    </row>
    <row r="194" spans="8:14" x14ac:dyDescent="0.25">
      <c r="H194" s="201" t="str">
        <f t="shared" si="2"/>
        <v/>
      </c>
      <c r="N194" s="164" t="str">
        <f>IFERROR(COUNTIF($C$18:C194,C194)&amp;CHOOSE(MIN(4,COUNTIF($C$18:C194,C194)),"st","nd","rd","th"),"")</f>
        <v/>
      </c>
    </row>
    <row r="195" spans="8:14" x14ac:dyDescent="0.25">
      <c r="H195" s="201" t="str">
        <f t="shared" si="2"/>
        <v/>
      </c>
      <c r="N195" s="164" t="str">
        <f>IFERROR(COUNTIF($C$18:C195,C195)&amp;CHOOSE(MIN(4,COUNTIF($C$18:C195,C195)),"st","nd","rd","th"),"")</f>
        <v/>
      </c>
    </row>
    <row r="196" spans="8:14" x14ac:dyDescent="0.25">
      <c r="H196" s="201" t="str">
        <f t="shared" si="2"/>
        <v/>
      </c>
      <c r="N196" s="164" t="str">
        <f>IFERROR(COUNTIF($C$18:C196,C196)&amp;CHOOSE(MIN(4,COUNTIF($C$18:C196,C196)),"st","nd","rd","th"),"")</f>
        <v/>
      </c>
    </row>
    <row r="197" spans="8:14" x14ac:dyDescent="0.25">
      <c r="H197" s="201" t="str">
        <f t="shared" si="2"/>
        <v/>
      </c>
      <c r="N197" s="164" t="str">
        <f>IFERROR(COUNTIF($C$18:C197,C197)&amp;CHOOSE(MIN(4,COUNTIF($C$18:C197,C197)),"st","nd","rd","th"),"")</f>
        <v/>
      </c>
    </row>
    <row r="198" spans="8:14" x14ac:dyDescent="0.25">
      <c r="H198" s="201" t="str">
        <f t="shared" si="2"/>
        <v/>
      </c>
      <c r="N198" s="164" t="str">
        <f>IFERROR(COUNTIF($C$18:C198,C198)&amp;CHOOSE(MIN(4,COUNTIF($C$18:C198,C198)),"st","nd","rd","th"),"")</f>
        <v/>
      </c>
    </row>
    <row r="199" spans="8:14" x14ac:dyDescent="0.25">
      <c r="H199" s="201" t="str">
        <f t="shared" si="2"/>
        <v/>
      </c>
      <c r="N199" s="164" t="str">
        <f>IFERROR(COUNTIF($C$18:C199,C199)&amp;CHOOSE(MIN(4,COUNTIF($C$18:C199,C199)),"st","nd","rd","th"),"")</f>
        <v/>
      </c>
    </row>
    <row r="200" spans="8:14" x14ac:dyDescent="0.25">
      <c r="H200" s="201" t="str">
        <f t="shared" si="2"/>
        <v/>
      </c>
      <c r="N200" s="164" t="str">
        <f>IFERROR(COUNTIF($C$18:C200,C200)&amp;CHOOSE(MIN(4,COUNTIF($C$18:C200,C200)),"st","nd","rd","th"),"")</f>
        <v/>
      </c>
    </row>
    <row r="201" spans="8:14" x14ac:dyDescent="0.25">
      <c r="H201" s="201" t="str">
        <f t="shared" si="2"/>
        <v/>
      </c>
      <c r="N201" s="164" t="str">
        <f>IFERROR(COUNTIF($C$18:C201,C201)&amp;CHOOSE(MIN(4,COUNTIF($C$18:C201,C201)),"st","nd","rd","th"),"")</f>
        <v/>
      </c>
    </row>
    <row r="202" spans="8:14" x14ac:dyDescent="0.25">
      <c r="H202" s="201" t="str">
        <f t="shared" si="2"/>
        <v/>
      </c>
      <c r="N202" s="164" t="str">
        <f>IFERROR(COUNTIF($C$18:C202,C202)&amp;CHOOSE(MIN(4,COUNTIF($C$18:C202,C202)),"st","nd","rd","th"),"")</f>
        <v/>
      </c>
    </row>
    <row r="203" spans="8:14" x14ac:dyDescent="0.25">
      <c r="H203" s="201" t="str">
        <f t="shared" si="2"/>
        <v/>
      </c>
      <c r="N203" s="164" t="str">
        <f>IFERROR(COUNTIF($C$18:C203,C203)&amp;CHOOSE(MIN(4,COUNTIF($C$18:C203,C203)),"st","nd","rd","th"),"")</f>
        <v/>
      </c>
    </row>
    <row r="204" spans="8:14" x14ac:dyDescent="0.25">
      <c r="H204" s="201" t="str">
        <f t="shared" si="2"/>
        <v/>
      </c>
      <c r="N204" s="164" t="str">
        <f>IFERROR(COUNTIF($C$18:C204,C204)&amp;CHOOSE(MIN(4,COUNTIF($C$18:C204,C204)),"st","nd","rd","th"),"")</f>
        <v/>
      </c>
    </row>
    <row r="205" spans="8:14" x14ac:dyDescent="0.25">
      <c r="H205" s="201" t="str">
        <f t="shared" si="2"/>
        <v/>
      </c>
      <c r="N205" s="164" t="str">
        <f>IFERROR(COUNTIF($C$18:C205,C205)&amp;CHOOSE(MIN(4,COUNTIF($C$18:C205,C205)),"st","nd","rd","th"),"")</f>
        <v/>
      </c>
    </row>
    <row r="206" spans="8:14" x14ac:dyDescent="0.25">
      <c r="H206" s="201" t="str">
        <f t="shared" si="2"/>
        <v/>
      </c>
      <c r="N206" s="164" t="str">
        <f>IFERROR(COUNTIF($C$18:C206,C206)&amp;CHOOSE(MIN(4,COUNTIF($C$18:C206,C206)),"st","nd","rd","th"),"")</f>
        <v/>
      </c>
    </row>
    <row r="207" spans="8:14" x14ac:dyDescent="0.25">
      <c r="H207" s="201" t="str">
        <f t="shared" si="2"/>
        <v/>
      </c>
      <c r="N207" s="164" t="str">
        <f>IFERROR(COUNTIF($C$18:C207,C207)&amp;CHOOSE(MIN(4,COUNTIF($C$18:C207,C207)),"st","nd","rd","th"),"")</f>
        <v/>
      </c>
    </row>
    <row r="208" spans="8:14" x14ac:dyDescent="0.25">
      <c r="H208" s="201" t="str">
        <f t="shared" si="2"/>
        <v/>
      </c>
      <c r="N208" s="164" t="str">
        <f>IFERROR(COUNTIF($C$18:C208,C208)&amp;CHOOSE(MIN(4,COUNTIF($C$18:C208,C208)),"st","nd","rd","th"),"")</f>
        <v/>
      </c>
    </row>
    <row r="209" spans="8:14" x14ac:dyDescent="0.25">
      <c r="H209" s="201" t="str">
        <f t="shared" ref="H209:H272" si="3">IF(OR(ISBLANK(G209), ISBLANK(F209)), "", IF(G209=F209, 1, SUM(_xlfn.DAYS(G209, F209), 1)))</f>
        <v/>
      </c>
      <c r="N209" s="164" t="str">
        <f>IFERROR(COUNTIF($C$18:C209,C209)&amp;CHOOSE(MIN(4,COUNTIF($C$18:C209,C209)),"st","nd","rd","th"),"")</f>
        <v/>
      </c>
    </row>
    <row r="210" spans="8:14" x14ac:dyDescent="0.25">
      <c r="H210" s="201" t="str">
        <f t="shared" si="3"/>
        <v/>
      </c>
      <c r="N210" s="164" t="str">
        <f>IFERROR(COUNTIF($C$18:C210,C210)&amp;CHOOSE(MIN(4,COUNTIF($C$18:C210,C210)),"st","nd","rd","th"),"")</f>
        <v/>
      </c>
    </row>
    <row r="211" spans="8:14" x14ac:dyDescent="0.25">
      <c r="H211" s="201" t="str">
        <f t="shared" si="3"/>
        <v/>
      </c>
      <c r="N211" s="164" t="str">
        <f>IFERROR(COUNTIF($C$18:C211,C211)&amp;CHOOSE(MIN(4,COUNTIF($C$18:C211,C211)),"st","nd","rd","th"),"")</f>
        <v/>
      </c>
    </row>
    <row r="212" spans="8:14" x14ac:dyDescent="0.25">
      <c r="H212" s="201" t="str">
        <f t="shared" si="3"/>
        <v/>
      </c>
      <c r="N212" s="164" t="str">
        <f>IFERROR(COUNTIF($C$18:C212,C212)&amp;CHOOSE(MIN(4,COUNTIF($C$18:C212,C212)),"st","nd","rd","th"),"")</f>
        <v/>
      </c>
    </row>
    <row r="213" spans="8:14" x14ac:dyDescent="0.25">
      <c r="H213" s="201" t="str">
        <f t="shared" si="3"/>
        <v/>
      </c>
      <c r="N213" s="164" t="str">
        <f>IFERROR(COUNTIF($C$18:C213,C213)&amp;CHOOSE(MIN(4,COUNTIF($C$18:C213,C213)),"st","nd","rd","th"),"")</f>
        <v/>
      </c>
    </row>
    <row r="214" spans="8:14" x14ac:dyDescent="0.25">
      <c r="H214" s="201" t="str">
        <f t="shared" si="3"/>
        <v/>
      </c>
      <c r="N214" s="164" t="str">
        <f>IFERROR(COUNTIF($C$18:C214,C214)&amp;CHOOSE(MIN(4,COUNTIF($C$18:C214,C214)),"st","nd","rd","th"),"")</f>
        <v/>
      </c>
    </row>
    <row r="215" spans="8:14" x14ac:dyDescent="0.25">
      <c r="H215" s="201" t="str">
        <f t="shared" si="3"/>
        <v/>
      </c>
      <c r="N215" s="164" t="str">
        <f>IFERROR(COUNTIF($C$18:C215,C215)&amp;CHOOSE(MIN(4,COUNTIF($C$18:C215,C215)),"st","nd","rd","th"),"")</f>
        <v/>
      </c>
    </row>
    <row r="216" spans="8:14" x14ac:dyDescent="0.25">
      <c r="H216" s="201" t="str">
        <f t="shared" si="3"/>
        <v/>
      </c>
      <c r="N216" s="164" t="str">
        <f>IFERROR(COUNTIF($C$18:C216,C216)&amp;CHOOSE(MIN(4,COUNTIF($C$18:C216,C216)),"st","nd","rd","th"),"")</f>
        <v/>
      </c>
    </row>
    <row r="217" spans="8:14" x14ac:dyDescent="0.25">
      <c r="H217" s="201" t="str">
        <f t="shared" si="3"/>
        <v/>
      </c>
      <c r="N217" s="164" t="str">
        <f>IFERROR(COUNTIF($C$18:C217,C217)&amp;CHOOSE(MIN(4,COUNTIF($C$18:C217,C217)),"st","nd","rd","th"),"")</f>
        <v/>
      </c>
    </row>
    <row r="218" spans="8:14" x14ac:dyDescent="0.25">
      <c r="H218" s="201" t="str">
        <f t="shared" si="3"/>
        <v/>
      </c>
      <c r="N218" s="164" t="str">
        <f>IFERROR(COUNTIF($C$18:C218,C218)&amp;CHOOSE(MIN(4,COUNTIF($C$18:C218,C218)),"st","nd","rd","th"),"")</f>
        <v/>
      </c>
    </row>
    <row r="219" spans="8:14" x14ac:dyDescent="0.25">
      <c r="H219" s="201" t="str">
        <f t="shared" si="3"/>
        <v/>
      </c>
      <c r="N219" s="164" t="str">
        <f>IFERROR(COUNTIF($C$18:C219,C219)&amp;CHOOSE(MIN(4,COUNTIF($C$18:C219,C219)),"st","nd","rd","th"),"")</f>
        <v/>
      </c>
    </row>
    <row r="220" spans="8:14" x14ac:dyDescent="0.25">
      <c r="H220" s="201" t="str">
        <f t="shared" si="3"/>
        <v/>
      </c>
      <c r="N220" s="164" t="str">
        <f>IFERROR(COUNTIF($C$18:C220,C220)&amp;CHOOSE(MIN(4,COUNTIF($C$18:C220,C220)),"st","nd","rd","th"),"")</f>
        <v/>
      </c>
    </row>
    <row r="221" spans="8:14" x14ac:dyDescent="0.25">
      <c r="H221" s="201" t="str">
        <f t="shared" si="3"/>
        <v/>
      </c>
      <c r="N221" s="164" t="str">
        <f>IFERROR(COUNTIF($C$18:C221,C221)&amp;CHOOSE(MIN(4,COUNTIF($C$18:C221,C221)),"st","nd","rd","th"),"")</f>
        <v/>
      </c>
    </row>
    <row r="222" spans="8:14" x14ac:dyDescent="0.25">
      <c r="H222" s="201" t="str">
        <f t="shared" si="3"/>
        <v/>
      </c>
      <c r="N222" s="164" t="str">
        <f>IFERROR(COUNTIF($C$18:C222,C222)&amp;CHOOSE(MIN(4,COUNTIF($C$18:C222,C222)),"st","nd","rd","th"),"")</f>
        <v/>
      </c>
    </row>
    <row r="223" spans="8:14" x14ac:dyDescent="0.25">
      <c r="H223" s="201" t="str">
        <f t="shared" si="3"/>
        <v/>
      </c>
      <c r="N223" s="164" t="str">
        <f>IFERROR(COUNTIF($C$18:C223,C223)&amp;CHOOSE(MIN(4,COUNTIF($C$18:C223,C223)),"st","nd","rd","th"),"")</f>
        <v/>
      </c>
    </row>
    <row r="224" spans="8:14" x14ac:dyDescent="0.25">
      <c r="H224" s="201" t="str">
        <f t="shared" si="3"/>
        <v/>
      </c>
      <c r="N224" s="164" t="str">
        <f>IFERROR(COUNTIF($C$18:C224,C224)&amp;CHOOSE(MIN(4,COUNTIF($C$18:C224,C224)),"st","nd","rd","th"),"")</f>
        <v/>
      </c>
    </row>
    <row r="225" spans="8:14" x14ac:dyDescent="0.25">
      <c r="H225" s="201" t="str">
        <f t="shared" si="3"/>
        <v/>
      </c>
      <c r="N225" s="164" t="str">
        <f>IFERROR(COUNTIF($C$18:C225,C225)&amp;CHOOSE(MIN(4,COUNTIF($C$18:C225,C225)),"st","nd","rd","th"),"")</f>
        <v/>
      </c>
    </row>
    <row r="226" spans="8:14" x14ac:dyDescent="0.25">
      <c r="H226" s="201" t="str">
        <f t="shared" si="3"/>
        <v/>
      </c>
      <c r="N226" s="164" t="str">
        <f>IFERROR(COUNTIF($C$18:C226,C226)&amp;CHOOSE(MIN(4,COUNTIF($C$18:C226,C226)),"st","nd","rd","th"),"")</f>
        <v/>
      </c>
    </row>
    <row r="227" spans="8:14" x14ac:dyDescent="0.25">
      <c r="H227" s="201" t="str">
        <f t="shared" si="3"/>
        <v/>
      </c>
      <c r="N227" s="164" t="str">
        <f>IFERROR(COUNTIF($C$18:C227,C227)&amp;CHOOSE(MIN(4,COUNTIF($C$18:C227,C227)),"st","nd","rd","th"),"")</f>
        <v/>
      </c>
    </row>
    <row r="228" spans="8:14" x14ac:dyDescent="0.25">
      <c r="H228" s="201" t="str">
        <f t="shared" si="3"/>
        <v/>
      </c>
      <c r="N228" s="164" t="str">
        <f>IFERROR(COUNTIF($C$18:C228,C228)&amp;CHOOSE(MIN(4,COUNTIF($C$18:C228,C228)),"st","nd","rd","th"),"")</f>
        <v/>
      </c>
    </row>
    <row r="229" spans="8:14" x14ac:dyDescent="0.25">
      <c r="H229" s="201" t="str">
        <f t="shared" si="3"/>
        <v/>
      </c>
      <c r="N229" s="164" t="str">
        <f>IFERROR(COUNTIF($C$18:C229,C229)&amp;CHOOSE(MIN(4,COUNTIF($C$18:C229,C229)),"st","nd","rd","th"),"")</f>
        <v/>
      </c>
    </row>
    <row r="230" spans="8:14" x14ac:dyDescent="0.25">
      <c r="H230" s="201" t="str">
        <f t="shared" si="3"/>
        <v/>
      </c>
      <c r="N230" s="164" t="str">
        <f>IFERROR(COUNTIF($C$18:C230,C230)&amp;CHOOSE(MIN(4,COUNTIF($C$18:C230,C230)),"st","nd","rd","th"),"")</f>
        <v/>
      </c>
    </row>
    <row r="231" spans="8:14" x14ac:dyDescent="0.25">
      <c r="H231" s="201" t="str">
        <f t="shared" si="3"/>
        <v/>
      </c>
      <c r="N231" s="164" t="str">
        <f>IFERROR(COUNTIF($C$18:C231,C231)&amp;CHOOSE(MIN(4,COUNTIF($C$18:C231,C231)),"st","nd","rd","th"),"")</f>
        <v/>
      </c>
    </row>
    <row r="232" spans="8:14" x14ac:dyDescent="0.25">
      <c r="H232" s="201" t="str">
        <f t="shared" si="3"/>
        <v/>
      </c>
      <c r="N232" s="164" t="str">
        <f>IFERROR(COUNTIF($C$18:C232,C232)&amp;CHOOSE(MIN(4,COUNTIF($C$18:C232,C232)),"st","nd","rd","th"),"")</f>
        <v/>
      </c>
    </row>
    <row r="233" spans="8:14" x14ac:dyDescent="0.25">
      <c r="H233" s="201" t="str">
        <f t="shared" si="3"/>
        <v/>
      </c>
      <c r="N233" s="164" t="str">
        <f>IFERROR(COUNTIF($C$18:C233,C233)&amp;CHOOSE(MIN(4,COUNTIF($C$18:C233,C233)),"st","nd","rd","th"),"")</f>
        <v/>
      </c>
    </row>
    <row r="234" spans="8:14" x14ac:dyDescent="0.25">
      <c r="H234" s="201" t="str">
        <f t="shared" si="3"/>
        <v/>
      </c>
      <c r="N234" s="164" t="str">
        <f>IFERROR(COUNTIF($C$18:C234,C234)&amp;CHOOSE(MIN(4,COUNTIF($C$18:C234,C234)),"st","nd","rd","th"),"")</f>
        <v/>
      </c>
    </row>
    <row r="235" spans="8:14" x14ac:dyDescent="0.25">
      <c r="H235" s="201" t="str">
        <f t="shared" si="3"/>
        <v/>
      </c>
      <c r="N235" s="164" t="str">
        <f>IFERROR(COUNTIF($C$18:C235,C235)&amp;CHOOSE(MIN(4,COUNTIF($C$18:C235,C235)),"st","nd","rd","th"),"")</f>
        <v/>
      </c>
    </row>
    <row r="236" spans="8:14" x14ac:dyDescent="0.25">
      <c r="H236" s="201" t="str">
        <f t="shared" si="3"/>
        <v/>
      </c>
      <c r="N236" s="164" t="str">
        <f>IFERROR(COUNTIF($C$18:C236,C236)&amp;CHOOSE(MIN(4,COUNTIF($C$18:C236,C236)),"st","nd","rd","th"),"")</f>
        <v/>
      </c>
    </row>
    <row r="237" spans="8:14" x14ac:dyDescent="0.25">
      <c r="H237" s="201" t="str">
        <f t="shared" si="3"/>
        <v/>
      </c>
      <c r="N237" s="164" t="str">
        <f>IFERROR(COUNTIF($C$18:C237,C237)&amp;CHOOSE(MIN(4,COUNTIF($C$18:C237,C237)),"st","nd","rd","th"),"")</f>
        <v/>
      </c>
    </row>
    <row r="238" spans="8:14" x14ac:dyDescent="0.25">
      <c r="H238" s="201" t="str">
        <f t="shared" si="3"/>
        <v/>
      </c>
      <c r="N238" s="164" t="str">
        <f>IFERROR(COUNTIF($C$18:C238,C238)&amp;CHOOSE(MIN(4,COUNTIF($C$18:C238,C238)),"st","nd","rd","th"),"")</f>
        <v/>
      </c>
    </row>
    <row r="239" spans="8:14" x14ac:dyDescent="0.25">
      <c r="H239" s="201" t="str">
        <f t="shared" si="3"/>
        <v/>
      </c>
      <c r="N239" s="164" t="str">
        <f>IFERROR(COUNTIF($C$18:C239,C239)&amp;CHOOSE(MIN(4,COUNTIF($C$18:C239,C239)),"st","nd","rd","th"),"")</f>
        <v/>
      </c>
    </row>
    <row r="240" spans="8:14" x14ac:dyDescent="0.25">
      <c r="H240" s="201" t="str">
        <f t="shared" si="3"/>
        <v/>
      </c>
      <c r="N240" s="164" t="str">
        <f>IFERROR(COUNTIF($C$18:C240,C240)&amp;CHOOSE(MIN(4,COUNTIF($C$18:C240,C240)),"st","nd","rd","th"),"")</f>
        <v/>
      </c>
    </row>
    <row r="241" spans="8:14" x14ac:dyDescent="0.25">
      <c r="H241" s="201" t="str">
        <f t="shared" si="3"/>
        <v/>
      </c>
      <c r="N241" s="164" t="str">
        <f>IFERROR(COUNTIF($C$18:C241,C241)&amp;CHOOSE(MIN(4,COUNTIF($C$18:C241,C241)),"st","nd","rd","th"),"")</f>
        <v/>
      </c>
    </row>
    <row r="242" spans="8:14" x14ac:dyDescent="0.25">
      <c r="H242" s="201" t="str">
        <f t="shared" si="3"/>
        <v/>
      </c>
      <c r="N242" s="164" t="str">
        <f>IFERROR(COUNTIF($C$18:C242,C242)&amp;CHOOSE(MIN(4,COUNTIF($C$18:C242,C242)),"st","nd","rd","th"),"")</f>
        <v/>
      </c>
    </row>
    <row r="243" spans="8:14" x14ac:dyDescent="0.25">
      <c r="H243" s="201" t="str">
        <f t="shared" si="3"/>
        <v/>
      </c>
      <c r="N243" s="164" t="str">
        <f>IFERROR(COUNTIF($C$18:C243,C243)&amp;CHOOSE(MIN(4,COUNTIF($C$18:C243,C243)),"st","nd","rd","th"),"")</f>
        <v/>
      </c>
    </row>
    <row r="244" spans="8:14" x14ac:dyDescent="0.25">
      <c r="H244" s="201" t="str">
        <f t="shared" si="3"/>
        <v/>
      </c>
      <c r="N244" s="164" t="str">
        <f>IFERROR(COUNTIF($C$18:C244,C244)&amp;CHOOSE(MIN(4,COUNTIF($C$18:C244,C244)),"st","nd","rd","th"),"")</f>
        <v/>
      </c>
    </row>
    <row r="245" spans="8:14" x14ac:dyDescent="0.25">
      <c r="H245" s="201" t="str">
        <f t="shared" si="3"/>
        <v/>
      </c>
      <c r="N245" s="164" t="str">
        <f>IFERROR(COUNTIF($C$18:C245,C245)&amp;CHOOSE(MIN(4,COUNTIF($C$18:C245,C245)),"st","nd","rd","th"),"")</f>
        <v/>
      </c>
    </row>
    <row r="246" spans="8:14" x14ac:dyDescent="0.25">
      <c r="H246" s="201" t="str">
        <f t="shared" si="3"/>
        <v/>
      </c>
      <c r="N246" s="164" t="str">
        <f>IFERROR(COUNTIF($C$18:C246,C246)&amp;CHOOSE(MIN(4,COUNTIF($C$18:C246,C246)),"st","nd","rd","th"),"")</f>
        <v/>
      </c>
    </row>
    <row r="247" spans="8:14" x14ac:dyDescent="0.25">
      <c r="H247" s="201" t="str">
        <f t="shared" si="3"/>
        <v/>
      </c>
      <c r="N247" s="164" t="str">
        <f>IFERROR(COUNTIF($C$18:C247,C247)&amp;CHOOSE(MIN(4,COUNTIF($C$18:C247,C247)),"st","nd","rd","th"),"")</f>
        <v/>
      </c>
    </row>
    <row r="248" spans="8:14" x14ac:dyDescent="0.25">
      <c r="H248" s="201" t="str">
        <f t="shared" si="3"/>
        <v/>
      </c>
      <c r="N248" s="164" t="str">
        <f>IFERROR(COUNTIF($C$18:C248,C248)&amp;CHOOSE(MIN(4,COUNTIF($C$18:C248,C248)),"st","nd","rd","th"),"")</f>
        <v/>
      </c>
    </row>
    <row r="249" spans="8:14" x14ac:dyDescent="0.25">
      <c r="H249" s="201" t="str">
        <f t="shared" si="3"/>
        <v/>
      </c>
      <c r="N249" s="164" t="str">
        <f>IFERROR(COUNTIF($C$18:C249,C249)&amp;CHOOSE(MIN(4,COUNTIF($C$18:C249,C249)),"st","nd","rd","th"),"")</f>
        <v/>
      </c>
    </row>
    <row r="250" spans="8:14" x14ac:dyDescent="0.25">
      <c r="H250" s="201" t="str">
        <f t="shared" si="3"/>
        <v/>
      </c>
      <c r="N250" s="164" t="str">
        <f>IFERROR(COUNTIF($C$18:C250,C250)&amp;CHOOSE(MIN(4,COUNTIF($C$18:C250,C250)),"st","nd","rd","th"),"")</f>
        <v/>
      </c>
    </row>
    <row r="251" spans="8:14" x14ac:dyDescent="0.25">
      <c r="H251" s="201" t="str">
        <f t="shared" si="3"/>
        <v/>
      </c>
      <c r="N251" s="164" t="str">
        <f>IFERROR(COUNTIF($C$18:C251,C251)&amp;CHOOSE(MIN(4,COUNTIF($C$18:C251,C251)),"st","nd","rd","th"),"")</f>
        <v/>
      </c>
    </row>
    <row r="252" spans="8:14" x14ac:dyDescent="0.25">
      <c r="H252" s="201" t="str">
        <f t="shared" si="3"/>
        <v/>
      </c>
      <c r="N252" s="164" t="str">
        <f>IFERROR(COUNTIF($C$18:C252,C252)&amp;CHOOSE(MIN(4,COUNTIF($C$18:C252,C252)),"st","nd","rd","th"),"")</f>
        <v/>
      </c>
    </row>
    <row r="253" spans="8:14" x14ac:dyDescent="0.25">
      <c r="H253" s="201" t="str">
        <f t="shared" si="3"/>
        <v/>
      </c>
      <c r="N253" s="164" t="str">
        <f>IFERROR(COUNTIF($C$18:C253,C253)&amp;CHOOSE(MIN(4,COUNTIF($C$18:C253,C253)),"st","nd","rd","th"),"")</f>
        <v/>
      </c>
    </row>
    <row r="254" spans="8:14" x14ac:dyDescent="0.25">
      <c r="H254" s="201" t="str">
        <f t="shared" si="3"/>
        <v/>
      </c>
      <c r="N254" s="164" t="str">
        <f>IFERROR(COUNTIF($C$18:C254,C254)&amp;CHOOSE(MIN(4,COUNTIF($C$18:C254,C254)),"st","nd","rd","th"),"")</f>
        <v/>
      </c>
    </row>
    <row r="255" spans="8:14" x14ac:dyDescent="0.25">
      <c r="H255" s="201" t="str">
        <f t="shared" si="3"/>
        <v/>
      </c>
      <c r="N255" s="164" t="str">
        <f>IFERROR(COUNTIF($C$18:C255,C255)&amp;CHOOSE(MIN(4,COUNTIF($C$18:C255,C255)),"st","nd","rd","th"),"")</f>
        <v/>
      </c>
    </row>
    <row r="256" spans="8:14" x14ac:dyDescent="0.25">
      <c r="H256" s="201" t="str">
        <f t="shared" si="3"/>
        <v/>
      </c>
      <c r="N256" s="164" t="str">
        <f>IFERROR(COUNTIF($C$18:C256,C256)&amp;CHOOSE(MIN(4,COUNTIF($C$18:C256,C256)),"st","nd","rd","th"),"")</f>
        <v/>
      </c>
    </row>
    <row r="257" spans="8:14" x14ac:dyDescent="0.25">
      <c r="H257" s="201" t="str">
        <f t="shared" si="3"/>
        <v/>
      </c>
      <c r="N257" s="164" t="str">
        <f>IFERROR(COUNTIF($C$18:C257,C257)&amp;CHOOSE(MIN(4,COUNTIF($C$18:C257,C257)),"st","nd","rd","th"),"")</f>
        <v/>
      </c>
    </row>
    <row r="258" spans="8:14" x14ac:dyDescent="0.25">
      <c r="H258" s="201" t="str">
        <f t="shared" si="3"/>
        <v/>
      </c>
      <c r="N258" s="164" t="str">
        <f>IFERROR(COUNTIF($C$18:C258,C258)&amp;CHOOSE(MIN(4,COUNTIF($C$18:C258,C258)),"st","nd","rd","th"),"")</f>
        <v/>
      </c>
    </row>
    <row r="259" spans="8:14" x14ac:dyDescent="0.25">
      <c r="H259" s="201" t="str">
        <f t="shared" si="3"/>
        <v/>
      </c>
      <c r="N259" s="164" t="str">
        <f>IFERROR(COUNTIF($C$18:C259,C259)&amp;CHOOSE(MIN(4,COUNTIF($C$18:C259,C259)),"st","nd","rd","th"),"")</f>
        <v/>
      </c>
    </row>
    <row r="260" spans="8:14" x14ac:dyDescent="0.25">
      <c r="H260" s="201" t="str">
        <f t="shared" si="3"/>
        <v/>
      </c>
      <c r="N260" s="164" t="str">
        <f>IFERROR(COUNTIF($C$18:C260,C260)&amp;CHOOSE(MIN(4,COUNTIF($C$18:C260,C260)),"st","nd","rd","th"),"")</f>
        <v/>
      </c>
    </row>
    <row r="261" spans="8:14" x14ac:dyDescent="0.25">
      <c r="H261" s="201" t="str">
        <f t="shared" si="3"/>
        <v/>
      </c>
      <c r="N261" s="164" t="str">
        <f>IFERROR(COUNTIF($C$18:C261,C261)&amp;CHOOSE(MIN(4,COUNTIF($C$18:C261,C261)),"st","nd","rd","th"),"")</f>
        <v/>
      </c>
    </row>
    <row r="262" spans="8:14" x14ac:dyDescent="0.25">
      <c r="H262" s="201" t="str">
        <f t="shared" si="3"/>
        <v/>
      </c>
      <c r="N262" s="164" t="str">
        <f>IFERROR(COUNTIF($C$18:C262,C262)&amp;CHOOSE(MIN(4,COUNTIF($C$18:C262,C262)),"st","nd","rd","th"),"")</f>
        <v/>
      </c>
    </row>
    <row r="263" spans="8:14" x14ac:dyDescent="0.25">
      <c r="H263" s="201" t="str">
        <f t="shared" si="3"/>
        <v/>
      </c>
      <c r="N263" s="164" t="str">
        <f>IFERROR(COUNTIF($C$18:C263,C263)&amp;CHOOSE(MIN(4,COUNTIF($C$18:C263,C263)),"st","nd","rd","th"),"")</f>
        <v/>
      </c>
    </row>
    <row r="264" spans="8:14" x14ac:dyDescent="0.25">
      <c r="H264" s="201" t="str">
        <f t="shared" si="3"/>
        <v/>
      </c>
      <c r="N264" s="164" t="str">
        <f>IFERROR(COUNTIF($C$18:C264,C264)&amp;CHOOSE(MIN(4,COUNTIF($C$18:C264,C264)),"st","nd","rd","th"),"")</f>
        <v/>
      </c>
    </row>
    <row r="265" spans="8:14" x14ac:dyDescent="0.25">
      <c r="H265" s="201" t="str">
        <f t="shared" si="3"/>
        <v/>
      </c>
      <c r="N265" s="164" t="str">
        <f>IFERROR(COUNTIF($C$18:C265,C265)&amp;CHOOSE(MIN(4,COUNTIF($C$18:C265,C265)),"st","nd","rd","th"),"")</f>
        <v/>
      </c>
    </row>
    <row r="266" spans="8:14" x14ac:dyDescent="0.25">
      <c r="H266" s="201" t="str">
        <f t="shared" si="3"/>
        <v/>
      </c>
      <c r="N266" s="164" t="str">
        <f>IFERROR(COUNTIF($C$18:C266,C266)&amp;CHOOSE(MIN(4,COUNTIF($C$18:C266,C266)),"st","nd","rd","th"),"")</f>
        <v/>
      </c>
    </row>
    <row r="267" spans="8:14" x14ac:dyDescent="0.25">
      <c r="H267" s="201" t="str">
        <f t="shared" si="3"/>
        <v/>
      </c>
      <c r="N267" s="164" t="str">
        <f>IFERROR(COUNTIF($C$18:C267,C267)&amp;CHOOSE(MIN(4,COUNTIF($C$18:C267,C267)),"st","nd","rd","th"),"")</f>
        <v/>
      </c>
    </row>
    <row r="268" spans="8:14" x14ac:dyDescent="0.25">
      <c r="H268" s="201" t="str">
        <f t="shared" si="3"/>
        <v/>
      </c>
      <c r="N268" s="164" t="str">
        <f>IFERROR(COUNTIF($C$18:C268,C268)&amp;CHOOSE(MIN(4,COUNTIF($C$18:C268,C268)),"st","nd","rd","th"),"")</f>
        <v/>
      </c>
    </row>
    <row r="269" spans="8:14" x14ac:dyDescent="0.25">
      <c r="H269" s="201" t="str">
        <f t="shared" si="3"/>
        <v/>
      </c>
      <c r="N269" s="164" t="str">
        <f>IFERROR(COUNTIF($C$18:C269,C269)&amp;CHOOSE(MIN(4,COUNTIF($C$18:C269,C269)),"st","nd","rd","th"),"")</f>
        <v/>
      </c>
    </row>
    <row r="270" spans="8:14" x14ac:dyDescent="0.25">
      <c r="H270" s="201" t="str">
        <f t="shared" si="3"/>
        <v/>
      </c>
      <c r="N270" s="164" t="str">
        <f>IFERROR(COUNTIF($C$18:C270,C270)&amp;CHOOSE(MIN(4,COUNTIF($C$18:C270,C270)),"st","nd","rd","th"),"")</f>
        <v/>
      </c>
    </row>
    <row r="271" spans="8:14" x14ac:dyDescent="0.25">
      <c r="H271" s="201" t="str">
        <f t="shared" si="3"/>
        <v/>
      </c>
      <c r="N271" s="164" t="str">
        <f>IFERROR(COUNTIF($C$18:C271,C271)&amp;CHOOSE(MIN(4,COUNTIF($C$18:C271,C271)),"st","nd","rd","th"),"")</f>
        <v/>
      </c>
    </row>
    <row r="272" spans="8:14" x14ac:dyDescent="0.25">
      <c r="H272" s="201" t="str">
        <f t="shared" si="3"/>
        <v/>
      </c>
      <c r="N272" s="164" t="str">
        <f>IFERROR(COUNTIF($C$18:C272,C272)&amp;CHOOSE(MIN(4,COUNTIF($C$18:C272,C272)),"st","nd","rd","th"),"")</f>
        <v/>
      </c>
    </row>
    <row r="273" spans="8:14" x14ac:dyDescent="0.25">
      <c r="H273" s="201" t="str">
        <f t="shared" ref="H273:H336" si="4">IF(OR(ISBLANK(G273), ISBLANK(F273)), "", IF(G273=F273, 1, SUM(_xlfn.DAYS(G273, F273), 1)))</f>
        <v/>
      </c>
      <c r="N273" s="164" t="str">
        <f>IFERROR(COUNTIF($C$18:C273,C273)&amp;CHOOSE(MIN(4,COUNTIF($C$18:C273,C273)),"st","nd","rd","th"),"")</f>
        <v/>
      </c>
    </row>
    <row r="274" spans="8:14" x14ac:dyDescent="0.25">
      <c r="H274" s="201" t="str">
        <f t="shared" si="4"/>
        <v/>
      </c>
      <c r="N274" s="164" t="str">
        <f>IFERROR(COUNTIF($C$18:C274,C274)&amp;CHOOSE(MIN(4,COUNTIF($C$18:C274,C274)),"st","nd","rd","th"),"")</f>
        <v/>
      </c>
    </row>
    <row r="275" spans="8:14" x14ac:dyDescent="0.25">
      <c r="H275" s="201" t="str">
        <f t="shared" si="4"/>
        <v/>
      </c>
      <c r="N275" s="164" t="str">
        <f>IFERROR(COUNTIF($C$18:C275,C275)&amp;CHOOSE(MIN(4,COUNTIF($C$18:C275,C275)),"st","nd","rd","th"),"")</f>
        <v/>
      </c>
    </row>
    <row r="276" spans="8:14" x14ac:dyDescent="0.25">
      <c r="H276" s="201" t="str">
        <f t="shared" si="4"/>
        <v/>
      </c>
      <c r="N276" s="164" t="str">
        <f>IFERROR(COUNTIF($C$18:C276,C276)&amp;CHOOSE(MIN(4,COUNTIF($C$18:C276,C276)),"st","nd","rd","th"),"")</f>
        <v/>
      </c>
    </row>
    <row r="277" spans="8:14" x14ac:dyDescent="0.25">
      <c r="H277" s="201" t="str">
        <f t="shared" si="4"/>
        <v/>
      </c>
      <c r="N277" s="164" t="str">
        <f>IFERROR(COUNTIF($C$18:C277,C277)&amp;CHOOSE(MIN(4,COUNTIF($C$18:C277,C277)),"st","nd","rd","th"),"")</f>
        <v/>
      </c>
    </row>
    <row r="278" spans="8:14" x14ac:dyDescent="0.25">
      <c r="H278" s="201" t="str">
        <f t="shared" si="4"/>
        <v/>
      </c>
      <c r="N278" s="164" t="str">
        <f>IFERROR(COUNTIF($C$18:C278,C278)&amp;CHOOSE(MIN(4,COUNTIF($C$18:C278,C278)),"st","nd","rd","th"),"")</f>
        <v/>
      </c>
    </row>
    <row r="279" spans="8:14" x14ac:dyDescent="0.25">
      <c r="H279" s="201" t="str">
        <f t="shared" si="4"/>
        <v/>
      </c>
      <c r="N279" s="164" t="str">
        <f>IFERROR(COUNTIF($C$18:C279,C279)&amp;CHOOSE(MIN(4,COUNTIF($C$18:C279,C279)),"st","nd","rd","th"),"")</f>
        <v/>
      </c>
    </row>
    <row r="280" spans="8:14" x14ac:dyDescent="0.25">
      <c r="H280" s="201" t="str">
        <f t="shared" si="4"/>
        <v/>
      </c>
      <c r="N280" s="164" t="str">
        <f>IFERROR(COUNTIF($C$18:C280,C280)&amp;CHOOSE(MIN(4,COUNTIF($C$18:C280,C280)),"st","nd","rd","th"),"")</f>
        <v/>
      </c>
    </row>
    <row r="281" spans="8:14" x14ac:dyDescent="0.25">
      <c r="H281" s="201" t="str">
        <f t="shared" si="4"/>
        <v/>
      </c>
      <c r="N281" s="164" t="str">
        <f>IFERROR(COUNTIF($C$18:C281,C281)&amp;CHOOSE(MIN(4,COUNTIF($C$18:C281,C281)),"st","nd","rd","th"),"")</f>
        <v/>
      </c>
    </row>
    <row r="282" spans="8:14" x14ac:dyDescent="0.25">
      <c r="H282" s="201" t="str">
        <f t="shared" si="4"/>
        <v/>
      </c>
      <c r="N282" s="164" t="str">
        <f>IFERROR(COUNTIF($C$18:C282,C282)&amp;CHOOSE(MIN(4,COUNTIF($C$18:C282,C282)),"st","nd","rd","th"),"")</f>
        <v/>
      </c>
    </row>
    <row r="283" spans="8:14" x14ac:dyDescent="0.25">
      <c r="H283" s="201" t="str">
        <f t="shared" si="4"/>
        <v/>
      </c>
      <c r="N283" s="164" t="str">
        <f>IFERROR(COUNTIF($C$18:C283,C283)&amp;CHOOSE(MIN(4,COUNTIF($C$18:C283,C283)),"st","nd","rd","th"),"")</f>
        <v/>
      </c>
    </row>
    <row r="284" spans="8:14" x14ac:dyDescent="0.25">
      <c r="H284" s="201" t="str">
        <f t="shared" si="4"/>
        <v/>
      </c>
      <c r="N284" s="164" t="str">
        <f>IFERROR(COUNTIF($C$18:C284,C284)&amp;CHOOSE(MIN(4,COUNTIF($C$18:C284,C284)),"st","nd","rd","th"),"")</f>
        <v/>
      </c>
    </row>
    <row r="285" spans="8:14" x14ac:dyDescent="0.25">
      <c r="H285" s="201" t="str">
        <f t="shared" si="4"/>
        <v/>
      </c>
      <c r="N285" s="164" t="str">
        <f>IFERROR(COUNTIF($C$18:C285,C285)&amp;CHOOSE(MIN(4,COUNTIF($C$18:C285,C285)),"st","nd","rd","th"),"")</f>
        <v/>
      </c>
    </row>
    <row r="286" spans="8:14" x14ac:dyDescent="0.25">
      <c r="H286" s="201" t="str">
        <f t="shared" si="4"/>
        <v/>
      </c>
      <c r="N286" s="164" t="str">
        <f>IFERROR(COUNTIF($C$18:C286,C286)&amp;CHOOSE(MIN(4,COUNTIF($C$18:C286,C286)),"st","nd","rd","th"),"")</f>
        <v/>
      </c>
    </row>
    <row r="287" spans="8:14" x14ac:dyDescent="0.25">
      <c r="H287" s="201" t="str">
        <f t="shared" si="4"/>
        <v/>
      </c>
      <c r="N287" s="164" t="str">
        <f>IFERROR(COUNTIF($C$18:C287,C287)&amp;CHOOSE(MIN(4,COUNTIF($C$18:C287,C287)),"st","nd","rd","th"),"")</f>
        <v/>
      </c>
    </row>
    <row r="288" spans="8:14" x14ac:dyDescent="0.25">
      <c r="H288" s="201" t="str">
        <f t="shared" si="4"/>
        <v/>
      </c>
      <c r="N288" s="164" t="str">
        <f>IFERROR(COUNTIF($C$18:C288,C288)&amp;CHOOSE(MIN(4,COUNTIF($C$18:C288,C288)),"st","nd","rd","th"),"")</f>
        <v/>
      </c>
    </row>
    <row r="289" spans="8:14" x14ac:dyDescent="0.25">
      <c r="H289" s="201" t="str">
        <f t="shared" si="4"/>
        <v/>
      </c>
      <c r="N289" s="164" t="str">
        <f>IFERROR(COUNTIF($C$18:C289,C289)&amp;CHOOSE(MIN(4,COUNTIF($C$18:C289,C289)),"st","nd","rd","th"),"")</f>
        <v/>
      </c>
    </row>
    <row r="290" spans="8:14" x14ac:dyDescent="0.25">
      <c r="H290" s="201" t="str">
        <f t="shared" si="4"/>
        <v/>
      </c>
      <c r="N290" s="164" t="str">
        <f>IFERROR(COUNTIF($C$18:C290,C290)&amp;CHOOSE(MIN(4,COUNTIF($C$18:C290,C290)),"st","nd","rd","th"),"")</f>
        <v/>
      </c>
    </row>
    <row r="291" spans="8:14" x14ac:dyDescent="0.25">
      <c r="H291" s="201" t="str">
        <f t="shared" si="4"/>
        <v/>
      </c>
      <c r="N291" s="164" t="str">
        <f>IFERROR(COUNTIF($C$18:C291,C291)&amp;CHOOSE(MIN(4,COUNTIF($C$18:C291,C291)),"st","nd","rd","th"),"")</f>
        <v/>
      </c>
    </row>
    <row r="292" spans="8:14" x14ac:dyDescent="0.25">
      <c r="H292" s="201" t="str">
        <f t="shared" si="4"/>
        <v/>
      </c>
      <c r="N292" s="164" t="str">
        <f>IFERROR(COUNTIF($C$18:C292,C292)&amp;CHOOSE(MIN(4,COUNTIF($C$18:C292,C292)),"st","nd","rd","th"),"")</f>
        <v/>
      </c>
    </row>
    <row r="293" spans="8:14" x14ac:dyDescent="0.25">
      <c r="H293" s="201" t="str">
        <f t="shared" si="4"/>
        <v/>
      </c>
      <c r="N293" s="164" t="str">
        <f>IFERROR(COUNTIF($C$18:C293,C293)&amp;CHOOSE(MIN(4,COUNTIF($C$18:C293,C293)),"st","nd","rd","th"),"")</f>
        <v/>
      </c>
    </row>
    <row r="294" spans="8:14" x14ac:dyDescent="0.25">
      <c r="H294" s="201" t="str">
        <f t="shared" si="4"/>
        <v/>
      </c>
      <c r="N294" s="164" t="str">
        <f>IFERROR(COUNTIF($C$18:C294,C294)&amp;CHOOSE(MIN(4,COUNTIF($C$18:C294,C294)),"st","nd","rd","th"),"")</f>
        <v/>
      </c>
    </row>
    <row r="295" spans="8:14" x14ac:dyDescent="0.25">
      <c r="H295" s="201" t="str">
        <f t="shared" si="4"/>
        <v/>
      </c>
      <c r="N295" s="164" t="str">
        <f>IFERROR(COUNTIF($C$18:C295,C295)&amp;CHOOSE(MIN(4,COUNTIF($C$18:C295,C295)),"st","nd","rd","th"),"")</f>
        <v/>
      </c>
    </row>
    <row r="296" spans="8:14" x14ac:dyDescent="0.25">
      <c r="H296" s="201" t="str">
        <f t="shared" si="4"/>
        <v/>
      </c>
      <c r="N296" s="164" t="str">
        <f>IFERROR(COUNTIF($C$18:C296,C296)&amp;CHOOSE(MIN(4,COUNTIF($C$18:C296,C296)),"st","nd","rd","th"),"")</f>
        <v/>
      </c>
    </row>
    <row r="297" spans="8:14" x14ac:dyDescent="0.25">
      <c r="H297" s="201" t="str">
        <f t="shared" si="4"/>
        <v/>
      </c>
      <c r="N297" s="164" t="str">
        <f>IFERROR(COUNTIF($C$18:C297,C297)&amp;CHOOSE(MIN(4,COUNTIF($C$18:C297,C297)),"st","nd","rd","th"),"")</f>
        <v/>
      </c>
    </row>
    <row r="298" spans="8:14" x14ac:dyDescent="0.25">
      <c r="H298" s="201" t="str">
        <f t="shared" si="4"/>
        <v/>
      </c>
      <c r="N298" s="164" t="str">
        <f>IFERROR(COUNTIF($C$18:C298,C298)&amp;CHOOSE(MIN(4,COUNTIF($C$18:C298,C298)),"st","nd","rd","th"),"")</f>
        <v/>
      </c>
    </row>
    <row r="299" spans="8:14" x14ac:dyDescent="0.25">
      <c r="H299" s="201" t="str">
        <f t="shared" si="4"/>
        <v/>
      </c>
      <c r="N299" s="164" t="str">
        <f>IFERROR(COUNTIF($C$18:C299,C299)&amp;CHOOSE(MIN(4,COUNTIF($C$18:C299,C299)),"st","nd","rd","th"),"")</f>
        <v/>
      </c>
    </row>
    <row r="300" spans="8:14" x14ac:dyDescent="0.25">
      <c r="H300" s="201" t="str">
        <f t="shared" si="4"/>
        <v/>
      </c>
      <c r="N300" s="164" t="str">
        <f>IFERROR(COUNTIF($C$18:C300,C300)&amp;CHOOSE(MIN(4,COUNTIF($C$18:C300,C300)),"st","nd","rd","th"),"")</f>
        <v/>
      </c>
    </row>
    <row r="301" spans="8:14" x14ac:dyDescent="0.25">
      <c r="H301" s="201" t="str">
        <f t="shared" si="4"/>
        <v/>
      </c>
      <c r="N301" s="164" t="str">
        <f>IFERROR(COUNTIF($C$18:C301,C301)&amp;CHOOSE(MIN(4,COUNTIF($C$18:C301,C301)),"st","nd","rd","th"),"")</f>
        <v/>
      </c>
    </row>
    <row r="302" spans="8:14" x14ac:dyDescent="0.25">
      <c r="H302" s="201" t="str">
        <f t="shared" si="4"/>
        <v/>
      </c>
      <c r="N302" s="164" t="str">
        <f>IFERROR(COUNTIF($C$18:C302,C302)&amp;CHOOSE(MIN(4,COUNTIF($C$18:C302,C302)),"st","nd","rd","th"),"")</f>
        <v/>
      </c>
    </row>
    <row r="303" spans="8:14" x14ac:dyDescent="0.25">
      <c r="H303" s="201" t="str">
        <f t="shared" si="4"/>
        <v/>
      </c>
      <c r="N303" s="164" t="str">
        <f>IFERROR(COUNTIF($C$18:C303,C303)&amp;CHOOSE(MIN(4,COUNTIF($C$18:C303,C303)),"st","nd","rd","th"),"")</f>
        <v/>
      </c>
    </row>
    <row r="304" spans="8:14" x14ac:dyDescent="0.25">
      <c r="H304" s="201" t="str">
        <f t="shared" si="4"/>
        <v/>
      </c>
      <c r="N304" s="164" t="str">
        <f>IFERROR(COUNTIF($C$18:C304,C304)&amp;CHOOSE(MIN(4,COUNTIF($C$18:C304,C304)),"st","nd","rd","th"),"")</f>
        <v/>
      </c>
    </row>
    <row r="305" spans="8:14" x14ac:dyDescent="0.25">
      <c r="H305" s="201" t="str">
        <f t="shared" si="4"/>
        <v/>
      </c>
      <c r="N305" s="164" t="str">
        <f>IFERROR(COUNTIF($C$18:C305,C305)&amp;CHOOSE(MIN(4,COUNTIF($C$18:C305,C305)),"st","nd","rd","th"),"")</f>
        <v/>
      </c>
    </row>
    <row r="306" spans="8:14" x14ac:dyDescent="0.25">
      <c r="H306" s="201" t="str">
        <f t="shared" si="4"/>
        <v/>
      </c>
      <c r="N306" s="164" t="str">
        <f>IFERROR(COUNTIF($C$18:C306,C306)&amp;CHOOSE(MIN(4,COUNTIF($C$18:C306,C306)),"st","nd","rd","th"),"")</f>
        <v/>
      </c>
    </row>
    <row r="307" spans="8:14" x14ac:dyDescent="0.25">
      <c r="H307" s="201" t="str">
        <f t="shared" si="4"/>
        <v/>
      </c>
      <c r="N307" s="164" t="str">
        <f>IFERROR(COUNTIF($C$18:C307,C307)&amp;CHOOSE(MIN(4,COUNTIF($C$18:C307,C307)),"st","nd","rd","th"),"")</f>
        <v/>
      </c>
    </row>
    <row r="308" spans="8:14" x14ac:dyDescent="0.25">
      <c r="H308" s="201" t="str">
        <f t="shared" si="4"/>
        <v/>
      </c>
      <c r="N308" s="164" t="str">
        <f>IFERROR(COUNTIF($C$18:C308,C308)&amp;CHOOSE(MIN(4,COUNTIF($C$18:C308,C308)),"st","nd","rd","th"),"")</f>
        <v/>
      </c>
    </row>
    <row r="309" spans="8:14" x14ac:dyDescent="0.25">
      <c r="H309" s="201" t="str">
        <f t="shared" si="4"/>
        <v/>
      </c>
      <c r="N309" s="164" t="str">
        <f>IFERROR(COUNTIF($C$18:C309,C309)&amp;CHOOSE(MIN(4,COUNTIF($C$18:C309,C309)),"st","nd","rd","th"),"")</f>
        <v/>
      </c>
    </row>
    <row r="310" spans="8:14" x14ac:dyDescent="0.25">
      <c r="H310" s="201" t="str">
        <f t="shared" si="4"/>
        <v/>
      </c>
      <c r="N310" s="164" t="str">
        <f>IFERROR(COUNTIF($C$18:C310,C310)&amp;CHOOSE(MIN(4,COUNTIF($C$18:C310,C310)),"st","nd","rd","th"),"")</f>
        <v/>
      </c>
    </row>
    <row r="311" spans="8:14" x14ac:dyDescent="0.25">
      <c r="H311" s="201" t="str">
        <f t="shared" si="4"/>
        <v/>
      </c>
      <c r="N311" s="164" t="str">
        <f>IFERROR(COUNTIF($C$18:C311,C311)&amp;CHOOSE(MIN(4,COUNTIF($C$18:C311,C311)),"st","nd","rd","th"),"")</f>
        <v/>
      </c>
    </row>
    <row r="312" spans="8:14" x14ac:dyDescent="0.25">
      <c r="H312" s="201" t="str">
        <f t="shared" si="4"/>
        <v/>
      </c>
      <c r="N312" s="164" t="str">
        <f>IFERROR(COUNTIF($C$18:C312,C312)&amp;CHOOSE(MIN(4,COUNTIF($C$18:C312,C312)),"st","nd","rd","th"),"")</f>
        <v/>
      </c>
    </row>
    <row r="313" spans="8:14" x14ac:dyDescent="0.25">
      <c r="H313" s="201" t="str">
        <f t="shared" si="4"/>
        <v/>
      </c>
      <c r="N313" s="164" t="str">
        <f>IFERROR(COUNTIF($C$18:C313,C313)&amp;CHOOSE(MIN(4,COUNTIF($C$18:C313,C313)),"st","nd","rd","th"),"")</f>
        <v/>
      </c>
    </row>
    <row r="314" spans="8:14" x14ac:dyDescent="0.25">
      <c r="H314" s="201" t="str">
        <f t="shared" si="4"/>
        <v/>
      </c>
      <c r="N314" s="164" t="str">
        <f>IFERROR(COUNTIF($C$18:C314,C314)&amp;CHOOSE(MIN(4,COUNTIF($C$18:C314,C314)),"st","nd","rd","th"),"")</f>
        <v/>
      </c>
    </row>
    <row r="315" spans="8:14" x14ac:dyDescent="0.25">
      <c r="H315" s="201" t="str">
        <f t="shared" si="4"/>
        <v/>
      </c>
      <c r="N315" s="164" t="str">
        <f>IFERROR(COUNTIF($C$18:C315,C315)&amp;CHOOSE(MIN(4,COUNTIF($C$18:C315,C315)),"st","nd","rd","th"),"")</f>
        <v/>
      </c>
    </row>
    <row r="316" spans="8:14" x14ac:dyDescent="0.25">
      <c r="H316" s="201" t="str">
        <f t="shared" si="4"/>
        <v/>
      </c>
      <c r="N316" s="164" t="str">
        <f>IFERROR(COUNTIF($C$18:C316,C316)&amp;CHOOSE(MIN(4,COUNTIF($C$18:C316,C316)),"st","nd","rd","th"),"")</f>
        <v/>
      </c>
    </row>
    <row r="317" spans="8:14" x14ac:dyDescent="0.25">
      <c r="H317" s="201" t="str">
        <f t="shared" si="4"/>
        <v/>
      </c>
      <c r="N317" s="164" t="str">
        <f>IFERROR(COUNTIF($C$18:C317,C317)&amp;CHOOSE(MIN(4,COUNTIF($C$18:C317,C317)),"st","nd","rd","th"),"")</f>
        <v/>
      </c>
    </row>
    <row r="318" spans="8:14" x14ac:dyDescent="0.25">
      <c r="H318" s="201" t="str">
        <f t="shared" si="4"/>
        <v/>
      </c>
      <c r="N318" s="164" t="str">
        <f>IFERROR(COUNTIF($C$18:C318,C318)&amp;CHOOSE(MIN(4,COUNTIF($C$18:C318,C318)),"st","nd","rd","th"),"")</f>
        <v/>
      </c>
    </row>
    <row r="319" spans="8:14" x14ac:dyDescent="0.25">
      <c r="H319" s="201" t="str">
        <f t="shared" si="4"/>
        <v/>
      </c>
      <c r="N319" s="164" t="str">
        <f>IFERROR(COUNTIF($C$18:C319,C319)&amp;CHOOSE(MIN(4,COUNTIF($C$18:C319,C319)),"st","nd","rd","th"),"")</f>
        <v/>
      </c>
    </row>
    <row r="320" spans="8:14" x14ac:dyDescent="0.25">
      <c r="H320" s="201" t="str">
        <f t="shared" si="4"/>
        <v/>
      </c>
      <c r="N320" s="164" t="str">
        <f>IFERROR(COUNTIF($C$18:C320,C320)&amp;CHOOSE(MIN(4,COUNTIF($C$18:C320,C320)),"st","nd","rd","th"),"")</f>
        <v/>
      </c>
    </row>
    <row r="321" spans="8:14" x14ac:dyDescent="0.25">
      <c r="H321" s="201" t="str">
        <f t="shared" si="4"/>
        <v/>
      </c>
      <c r="N321" s="164" t="str">
        <f>IFERROR(COUNTIF($C$18:C321,C321)&amp;CHOOSE(MIN(4,COUNTIF($C$18:C321,C321)),"st","nd","rd","th"),"")</f>
        <v/>
      </c>
    </row>
    <row r="322" spans="8:14" x14ac:dyDescent="0.25">
      <c r="H322" s="201" t="str">
        <f t="shared" si="4"/>
        <v/>
      </c>
      <c r="N322" s="164" t="str">
        <f>IFERROR(COUNTIF($C$18:C322,C322)&amp;CHOOSE(MIN(4,COUNTIF($C$18:C322,C322)),"st","nd","rd","th"),"")</f>
        <v/>
      </c>
    </row>
    <row r="323" spans="8:14" x14ac:dyDescent="0.25">
      <c r="H323" s="201" t="str">
        <f t="shared" si="4"/>
        <v/>
      </c>
      <c r="N323" s="164" t="str">
        <f>IFERROR(COUNTIF($C$18:C323,C323)&amp;CHOOSE(MIN(4,COUNTIF($C$18:C323,C323)),"st","nd","rd","th"),"")</f>
        <v/>
      </c>
    </row>
    <row r="324" spans="8:14" x14ac:dyDescent="0.25">
      <c r="H324" s="201" t="str">
        <f t="shared" si="4"/>
        <v/>
      </c>
      <c r="N324" s="164" t="str">
        <f>IFERROR(COUNTIF($C$18:C324,C324)&amp;CHOOSE(MIN(4,COUNTIF($C$18:C324,C324)),"st","nd","rd","th"),"")</f>
        <v/>
      </c>
    </row>
    <row r="325" spans="8:14" x14ac:dyDescent="0.25">
      <c r="H325" s="201" t="str">
        <f t="shared" si="4"/>
        <v/>
      </c>
      <c r="N325" s="164" t="str">
        <f>IFERROR(COUNTIF($C$18:C325,C325)&amp;CHOOSE(MIN(4,COUNTIF($C$18:C325,C325)),"st","nd","rd","th"),"")</f>
        <v/>
      </c>
    </row>
    <row r="326" spans="8:14" x14ac:dyDescent="0.25">
      <c r="H326" s="201" t="str">
        <f t="shared" si="4"/>
        <v/>
      </c>
      <c r="N326" s="164" t="str">
        <f>IFERROR(COUNTIF($C$18:C326,C326)&amp;CHOOSE(MIN(4,COUNTIF($C$18:C326,C326)),"st","nd","rd","th"),"")</f>
        <v/>
      </c>
    </row>
    <row r="327" spans="8:14" x14ac:dyDescent="0.25">
      <c r="H327" s="201" t="str">
        <f t="shared" si="4"/>
        <v/>
      </c>
      <c r="N327" s="164" t="str">
        <f>IFERROR(COUNTIF($C$18:C327,C327)&amp;CHOOSE(MIN(4,COUNTIF($C$18:C327,C327)),"st","nd","rd","th"),"")</f>
        <v/>
      </c>
    </row>
    <row r="328" spans="8:14" x14ac:dyDescent="0.25">
      <c r="H328" s="201" t="str">
        <f t="shared" si="4"/>
        <v/>
      </c>
      <c r="N328" s="164" t="str">
        <f>IFERROR(COUNTIF($C$18:C328,C328)&amp;CHOOSE(MIN(4,COUNTIF($C$18:C328,C328)),"st","nd","rd","th"),"")</f>
        <v/>
      </c>
    </row>
    <row r="329" spans="8:14" x14ac:dyDescent="0.25">
      <c r="H329" s="201" t="str">
        <f t="shared" si="4"/>
        <v/>
      </c>
      <c r="N329" s="164" t="str">
        <f>IFERROR(COUNTIF($C$18:C329,C329)&amp;CHOOSE(MIN(4,COUNTIF($C$18:C329,C329)),"st","nd","rd","th"),"")</f>
        <v/>
      </c>
    </row>
    <row r="330" spans="8:14" x14ac:dyDescent="0.25">
      <c r="H330" s="201" t="str">
        <f t="shared" si="4"/>
        <v/>
      </c>
      <c r="N330" s="164" t="str">
        <f>IFERROR(COUNTIF($C$18:C330,C330)&amp;CHOOSE(MIN(4,COUNTIF($C$18:C330,C330)),"st","nd","rd","th"),"")</f>
        <v/>
      </c>
    </row>
    <row r="331" spans="8:14" x14ac:dyDescent="0.25">
      <c r="H331" s="201" t="str">
        <f t="shared" si="4"/>
        <v/>
      </c>
      <c r="N331" s="164" t="str">
        <f>IFERROR(COUNTIF($C$18:C331,C331)&amp;CHOOSE(MIN(4,COUNTIF($C$18:C331,C331)),"st","nd","rd","th"),"")</f>
        <v/>
      </c>
    </row>
    <row r="332" spans="8:14" x14ac:dyDescent="0.25">
      <c r="H332" s="201" t="str">
        <f t="shared" si="4"/>
        <v/>
      </c>
      <c r="N332" s="164" t="str">
        <f>IFERROR(COUNTIF($C$18:C332,C332)&amp;CHOOSE(MIN(4,COUNTIF($C$18:C332,C332)),"st","nd","rd","th"),"")</f>
        <v/>
      </c>
    </row>
    <row r="333" spans="8:14" x14ac:dyDescent="0.25">
      <c r="H333" s="201" t="str">
        <f t="shared" si="4"/>
        <v/>
      </c>
      <c r="N333" s="164" t="str">
        <f>IFERROR(COUNTIF($C$18:C333,C333)&amp;CHOOSE(MIN(4,COUNTIF($C$18:C333,C333)),"st","nd","rd","th"),"")</f>
        <v/>
      </c>
    </row>
    <row r="334" spans="8:14" x14ac:dyDescent="0.25">
      <c r="H334" s="201" t="str">
        <f t="shared" si="4"/>
        <v/>
      </c>
      <c r="N334" s="164" t="str">
        <f>IFERROR(COUNTIF($C$18:C334,C334)&amp;CHOOSE(MIN(4,COUNTIF($C$18:C334,C334)),"st","nd","rd","th"),"")</f>
        <v/>
      </c>
    </row>
    <row r="335" spans="8:14" x14ac:dyDescent="0.25">
      <c r="H335" s="201" t="str">
        <f t="shared" si="4"/>
        <v/>
      </c>
      <c r="N335" s="164" t="str">
        <f>IFERROR(COUNTIF($C$18:C335,C335)&amp;CHOOSE(MIN(4,COUNTIF($C$18:C335,C335)),"st","nd","rd","th"),"")</f>
        <v/>
      </c>
    </row>
    <row r="336" spans="8:14" x14ac:dyDescent="0.25">
      <c r="H336" s="201" t="str">
        <f t="shared" si="4"/>
        <v/>
      </c>
      <c r="N336" s="164" t="str">
        <f>IFERROR(COUNTIF($C$18:C336,C336)&amp;CHOOSE(MIN(4,COUNTIF($C$18:C336,C336)),"st","nd","rd","th"),"")</f>
        <v/>
      </c>
    </row>
    <row r="337" spans="8:14" x14ac:dyDescent="0.25">
      <c r="H337" s="201" t="str">
        <f t="shared" ref="H337:H400" si="5">IF(OR(ISBLANK(G337), ISBLANK(F337)), "", IF(G337=F337, 1, SUM(_xlfn.DAYS(G337, F337), 1)))</f>
        <v/>
      </c>
      <c r="N337" s="164" t="str">
        <f>IFERROR(COUNTIF($C$18:C337,C337)&amp;CHOOSE(MIN(4,COUNTIF($C$18:C337,C337)),"st","nd","rd","th"),"")</f>
        <v/>
      </c>
    </row>
    <row r="338" spans="8:14" x14ac:dyDescent="0.25">
      <c r="H338" s="201" t="str">
        <f t="shared" si="5"/>
        <v/>
      </c>
      <c r="N338" s="164" t="str">
        <f>IFERROR(COUNTIF($C$18:C338,C338)&amp;CHOOSE(MIN(4,COUNTIF($C$18:C338,C338)),"st","nd","rd","th"),"")</f>
        <v/>
      </c>
    </row>
    <row r="339" spans="8:14" x14ac:dyDescent="0.25">
      <c r="H339" s="201" t="str">
        <f t="shared" si="5"/>
        <v/>
      </c>
      <c r="N339" s="164" t="str">
        <f>IFERROR(COUNTIF($C$18:C339,C339)&amp;CHOOSE(MIN(4,COUNTIF($C$18:C339,C339)),"st","nd","rd","th"),"")</f>
        <v/>
      </c>
    </row>
    <row r="340" spans="8:14" x14ac:dyDescent="0.25">
      <c r="H340" s="201" t="str">
        <f t="shared" si="5"/>
        <v/>
      </c>
      <c r="N340" s="164" t="str">
        <f>IFERROR(COUNTIF($C$18:C340,C340)&amp;CHOOSE(MIN(4,COUNTIF($C$18:C340,C340)),"st","nd","rd","th"),"")</f>
        <v/>
      </c>
    </row>
    <row r="341" spans="8:14" x14ac:dyDescent="0.25">
      <c r="H341" s="201" t="str">
        <f t="shared" si="5"/>
        <v/>
      </c>
      <c r="N341" s="164" t="str">
        <f>IFERROR(COUNTIF($C$18:C341,C341)&amp;CHOOSE(MIN(4,COUNTIF($C$18:C341,C341)),"st","nd","rd","th"),"")</f>
        <v/>
      </c>
    </row>
    <row r="342" spans="8:14" x14ac:dyDescent="0.25">
      <c r="H342" s="201" t="str">
        <f t="shared" si="5"/>
        <v/>
      </c>
      <c r="N342" s="164" t="str">
        <f>IFERROR(COUNTIF($C$18:C342,C342)&amp;CHOOSE(MIN(4,COUNTIF($C$18:C342,C342)),"st","nd","rd","th"),"")</f>
        <v/>
      </c>
    </row>
    <row r="343" spans="8:14" x14ac:dyDescent="0.25">
      <c r="H343" s="201" t="str">
        <f t="shared" si="5"/>
        <v/>
      </c>
      <c r="N343" s="164" t="str">
        <f>IFERROR(COUNTIF($C$18:C343,C343)&amp;CHOOSE(MIN(4,COUNTIF($C$18:C343,C343)),"st","nd","rd","th"),"")</f>
        <v/>
      </c>
    </row>
    <row r="344" spans="8:14" x14ac:dyDescent="0.25">
      <c r="H344" s="201" t="str">
        <f t="shared" si="5"/>
        <v/>
      </c>
      <c r="N344" s="164" t="str">
        <f>IFERROR(COUNTIF($C$18:C344,C344)&amp;CHOOSE(MIN(4,COUNTIF($C$18:C344,C344)),"st","nd","rd","th"),"")</f>
        <v/>
      </c>
    </row>
    <row r="345" spans="8:14" x14ac:dyDescent="0.25">
      <c r="H345" s="201" t="str">
        <f t="shared" si="5"/>
        <v/>
      </c>
      <c r="N345" s="164" t="str">
        <f>IFERROR(COUNTIF($C$18:C345,C345)&amp;CHOOSE(MIN(4,COUNTIF($C$18:C345,C345)),"st","nd","rd","th"),"")</f>
        <v/>
      </c>
    </row>
    <row r="346" spans="8:14" x14ac:dyDescent="0.25">
      <c r="H346" s="201" t="str">
        <f t="shared" si="5"/>
        <v/>
      </c>
      <c r="N346" s="164" t="str">
        <f>IFERROR(COUNTIF($C$18:C346,C346)&amp;CHOOSE(MIN(4,COUNTIF($C$18:C346,C346)),"st","nd","rd","th"),"")</f>
        <v/>
      </c>
    </row>
    <row r="347" spans="8:14" x14ac:dyDescent="0.25">
      <c r="H347" s="201" t="str">
        <f t="shared" si="5"/>
        <v/>
      </c>
      <c r="N347" s="164" t="str">
        <f>IFERROR(COUNTIF($C$18:C347,C347)&amp;CHOOSE(MIN(4,COUNTIF($C$18:C347,C347)),"st","nd","rd","th"),"")</f>
        <v/>
      </c>
    </row>
    <row r="348" spans="8:14" x14ac:dyDescent="0.25">
      <c r="H348" s="201" t="str">
        <f t="shared" si="5"/>
        <v/>
      </c>
      <c r="N348" s="164" t="str">
        <f>IFERROR(COUNTIF($C$18:C348,C348)&amp;CHOOSE(MIN(4,COUNTIF($C$18:C348,C348)),"st","nd","rd","th"),"")</f>
        <v/>
      </c>
    </row>
    <row r="349" spans="8:14" x14ac:dyDescent="0.25">
      <c r="H349" s="201" t="str">
        <f t="shared" si="5"/>
        <v/>
      </c>
      <c r="N349" s="164" t="str">
        <f>IFERROR(COUNTIF($C$18:C349,C349)&amp;CHOOSE(MIN(4,COUNTIF($C$18:C349,C349)),"st","nd","rd","th"),"")</f>
        <v/>
      </c>
    </row>
    <row r="350" spans="8:14" x14ac:dyDescent="0.25">
      <c r="H350" s="201" t="str">
        <f t="shared" si="5"/>
        <v/>
      </c>
      <c r="N350" s="164" t="str">
        <f>IFERROR(COUNTIF($C$18:C350,C350)&amp;CHOOSE(MIN(4,COUNTIF($C$18:C350,C350)),"st","nd","rd","th"),"")</f>
        <v/>
      </c>
    </row>
    <row r="351" spans="8:14" x14ac:dyDescent="0.25">
      <c r="H351" s="201" t="str">
        <f t="shared" si="5"/>
        <v/>
      </c>
      <c r="N351" s="164" t="str">
        <f>IFERROR(COUNTIF($C$18:C351,C351)&amp;CHOOSE(MIN(4,COUNTIF($C$18:C351,C351)),"st","nd","rd","th"),"")</f>
        <v/>
      </c>
    </row>
    <row r="352" spans="8:14" x14ac:dyDescent="0.25">
      <c r="H352" s="201" t="str">
        <f t="shared" si="5"/>
        <v/>
      </c>
      <c r="N352" s="164" t="str">
        <f>IFERROR(COUNTIF($C$18:C352,C352)&amp;CHOOSE(MIN(4,COUNTIF($C$18:C352,C352)),"st","nd","rd","th"),"")</f>
        <v/>
      </c>
    </row>
    <row r="353" spans="8:14" x14ac:dyDescent="0.25">
      <c r="H353" s="201" t="str">
        <f t="shared" si="5"/>
        <v/>
      </c>
      <c r="N353" s="164" t="str">
        <f>IFERROR(COUNTIF($C$18:C353,C353)&amp;CHOOSE(MIN(4,COUNTIF($C$18:C353,C353)),"st","nd","rd","th"),"")</f>
        <v/>
      </c>
    </row>
    <row r="354" spans="8:14" x14ac:dyDescent="0.25">
      <c r="H354" s="201" t="str">
        <f t="shared" si="5"/>
        <v/>
      </c>
      <c r="N354" s="164" t="str">
        <f>IFERROR(COUNTIF($C$18:C354,C354)&amp;CHOOSE(MIN(4,COUNTIF($C$18:C354,C354)),"st","nd","rd","th"),"")</f>
        <v/>
      </c>
    </row>
    <row r="355" spans="8:14" x14ac:dyDescent="0.25">
      <c r="H355" s="201" t="str">
        <f t="shared" si="5"/>
        <v/>
      </c>
      <c r="N355" s="164" t="str">
        <f>IFERROR(COUNTIF($C$18:C355,C355)&amp;CHOOSE(MIN(4,COUNTIF($C$18:C355,C355)),"st","nd","rd","th"),"")</f>
        <v/>
      </c>
    </row>
    <row r="356" spans="8:14" x14ac:dyDescent="0.25">
      <c r="H356" s="201" t="str">
        <f t="shared" si="5"/>
        <v/>
      </c>
      <c r="N356" s="164" t="str">
        <f>IFERROR(COUNTIF($C$18:C356,C356)&amp;CHOOSE(MIN(4,COUNTIF($C$18:C356,C356)),"st","nd","rd","th"),"")</f>
        <v/>
      </c>
    </row>
    <row r="357" spans="8:14" x14ac:dyDescent="0.25">
      <c r="H357" s="201" t="str">
        <f t="shared" si="5"/>
        <v/>
      </c>
      <c r="N357" s="164" t="str">
        <f>IFERROR(COUNTIF($C$18:C357,C357)&amp;CHOOSE(MIN(4,COUNTIF($C$18:C357,C357)),"st","nd","rd","th"),"")</f>
        <v/>
      </c>
    </row>
    <row r="358" spans="8:14" x14ac:dyDescent="0.25">
      <c r="H358" s="201" t="str">
        <f t="shared" si="5"/>
        <v/>
      </c>
      <c r="N358" s="164" t="str">
        <f>IFERROR(COUNTIF($C$18:C358,C358)&amp;CHOOSE(MIN(4,COUNTIF($C$18:C358,C358)),"st","nd","rd","th"),"")</f>
        <v/>
      </c>
    </row>
    <row r="359" spans="8:14" x14ac:dyDescent="0.25">
      <c r="H359" s="201" t="str">
        <f t="shared" si="5"/>
        <v/>
      </c>
      <c r="N359" s="164" t="str">
        <f>IFERROR(COUNTIF($C$18:C359,C359)&amp;CHOOSE(MIN(4,COUNTIF($C$18:C359,C359)),"st","nd","rd","th"),"")</f>
        <v/>
      </c>
    </row>
    <row r="360" spans="8:14" x14ac:dyDescent="0.25">
      <c r="H360" s="201" t="str">
        <f t="shared" si="5"/>
        <v/>
      </c>
      <c r="N360" s="164" t="str">
        <f>IFERROR(COUNTIF($C$18:C360,C360)&amp;CHOOSE(MIN(4,COUNTIF($C$18:C360,C360)),"st","nd","rd","th"),"")</f>
        <v/>
      </c>
    </row>
    <row r="361" spans="8:14" x14ac:dyDescent="0.25">
      <c r="H361" s="201" t="str">
        <f t="shared" si="5"/>
        <v/>
      </c>
      <c r="N361" s="164" t="str">
        <f>IFERROR(COUNTIF($C$18:C361,C361)&amp;CHOOSE(MIN(4,COUNTIF($C$18:C361,C361)),"st","nd","rd","th"),"")</f>
        <v/>
      </c>
    </row>
    <row r="362" spans="8:14" x14ac:dyDescent="0.25">
      <c r="H362" s="201" t="str">
        <f t="shared" si="5"/>
        <v/>
      </c>
      <c r="N362" s="164" t="str">
        <f>IFERROR(COUNTIF($C$18:C362,C362)&amp;CHOOSE(MIN(4,COUNTIF($C$18:C362,C362)),"st","nd","rd","th"),"")</f>
        <v/>
      </c>
    </row>
    <row r="363" spans="8:14" x14ac:dyDescent="0.25">
      <c r="H363" s="201" t="str">
        <f t="shared" si="5"/>
        <v/>
      </c>
      <c r="N363" s="164" t="str">
        <f>IFERROR(COUNTIF($C$18:C363,C363)&amp;CHOOSE(MIN(4,COUNTIF($C$18:C363,C363)),"st","nd","rd","th"),"")</f>
        <v/>
      </c>
    </row>
    <row r="364" spans="8:14" x14ac:dyDescent="0.25">
      <c r="H364" s="201" t="str">
        <f t="shared" si="5"/>
        <v/>
      </c>
      <c r="N364" s="164" t="str">
        <f>IFERROR(COUNTIF($C$18:C364,C364)&amp;CHOOSE(MIN(4,COUNTIF($C$18:C364,C364)),"st","nd","rd","th"),"")</f>
        <v/>
      </c>
    </row>
    <row r="365" spans="8:14" x14ac:dyDescent="0.25">
      <c r="H365" s="201" t="str">
        <f t="shared" si="5"/>
        <v/>
      </c>
      <c r="N365" s="164" t="str">
        <f>IFERROR(COUNTIF($C$18:C365,C365)&amp;CHOOSE(MIN(4,COUNTIF($C$18:C365,C365)),"st","nd","rd","th"),"")</f>
        <v/>
      </c>
    </row>
    <row r="366" spans="8:14" x14ac:dyDescent="0.25">
      <c r="H366" s="201" t="str">
        <f t="shared" si="5"/>
        <v/>
      </c>
      <c r="N366" s="164" t="str">
        <f>IFERROR(COUNTIF($C$18:C366,C366)&amp;CHOOSE(MIN(4,COUNTIF($C$18:C366,C366)),"st","nd","rd","th"),"")</f>
        <v/>
      </c>
    </row>
    <row r="367" spans="8:14" x14ac:dyDescent="0.25">
      <c r="H367" s="201" t="str">
        <f t="shared" si="5"/>
        <v/>
      </c>
      <c r="N367" s="164" t="str">
        <f>IFERROR(COUNTIF($C$18:C367,C367)&amp;CHOOSE(MIN(4,COUNTIF($C$18:C367,C367)),"st","nd","rd","th"),"")</f>
        <v/>
      </c>
    </row>
    <row r="368" spans="8:14" x14ac:dyDescent="0.25">
      <c r="H368" s="201" t="str">
        <f t="shared" si="5"/>
        <v/>
      </c>
      <c r="N368" s="164" t="str">
        <f>IFERROR(COUNTIF($C$18:C368,C368)&amp;CHOOSE(MIN(4,COUNTIF($C$18:C368,C368)),"st","nd","rd","th"),"")</f>
        <v/>
      </c>
    </row>
    <row r="369" spans="8:14" x14ac:dyDescent="0.25">
      <c r="H369" s="201" t="str">
        <f t="shared" si="5"/>
        <v/>
      </c>
      <c r="N369" s="164" t="str">
        <f>IFERROR(COUNTIF($C$18:C369,C369)&amp;CHOOSE(MIN(4,COUNTIF($C$18:C369,C369)),"st","nd","rd","th"),"")</f>
        <v/>
      </c>
    </row>
    <row r="370" spans="8:14" x14ac:dyDescent="0.25">
      <c r="H370" s="201" t="str">
        <f t="shared" si="5"/>
        <v/>
      </c>
      <c r="N370" s="164" t="str">
        <f>IFERROR(COUNTIF($C$18:C370,C370)&amp;CHOOSE(MIN(4,COUNTIF($C$18:C370,C370)),"st","nd","rd","th"),"")</f>
        <v/>
      </c>
    </row>
    <row r="371" spans="8:14" x14ac:dyDescent="0.25">
      <c r="H371" s="201" t="str">
        <f t="shared" si="5"/>
        <v/>
      </c>
      <c r="N371" s="164" t="str">
        <f>IFERROR(COUNTIF($C$18:C371,C371)&amp;CHOOSE(MIN(4,COUNTIF($C$18:C371,C371)),"st","nd","rd","th"),"")</f>
        <v/>
      </c>
    </row>
    <row r="372" spans="8:14" x14ac:dyDescent="0.25">
      <c r="H372" s="201" t="str">
        <f t="shared" si="5"/>
        <v/>
      </c>
      <c r="N372" s="164" t="str">
        <f>IFERROR(COUNTIF($C$18:C372,C372)&amp;CHOOSE(MIN(4,COUNTIF($C$18:C372,C372)),"st","nd","rd","th"),"")</f>
        <v/>
      </c>
    </row>
    <row r="373" spans="8:14" x14ac:dyDescent="0.25">
      <c r="H373" s="201" t="str">
        <f t="shared" si="5"/>
        <v/>
      </c>
      <c r="N373" s="164" t="str">
        <f>IFERROR(COUNTIF($C$18:C373,C373)&amp;CHOOSE(MIN(4,COUNTIF($C$18:C373,C373)),"st","nd","rd","th"),"")</f>
        <v/>
      </c>
    </row>
    <row r="374" spans="8:14" x14ac:dyDescent="0.25">
      <c r="H374" s="201" t="str">
        <f t="shared" si="5"/>
        <v/>
      </c>
      <c r="N374" s="164" t="str">
        <f>IFERROR(COUNTIF($C$18:C374,C374)&amp;CHOOSE(MIN(4,COUNTIF($C$18:C374,C374)),"st","nd","rd","th"),"")</f>
        <v/>
      </c>
    </row>
    <row r="375" spans="8:14" x14ac:dyDescent="0.25">
      <c r="H375" s="201" t="str">
        <f t="shared" si="5"/>
        <v/>
      </c>
      <c r="N375" s="164" t="str">
        <f>IFERROR(COUNTIF($C$18:C375,C375)&amp;CHOOSE(MIN(4,COUNTIF($C$18:C375,C375)),"st","nd","rd","th"),"")</f>
        <v/>
      </c>
    </row>
    <row r="376" spans="8:14" x14ac:dyDescent="0.25">
      <c r="H376" s="201" t="str">
        <f t="shared" si="5"/>
        <v/>
      </c>
      <c r="N376" s="164" t="str">
        <f>IFERROR(COUNTIF($C$18:C376,C376)&amp;CHOOSE(MIN(4,COUNTIF($C$18:C376,C376)),"st","nd","rd","th"),"")</f>
        <v/>
      </c>
    </row>
    <row r="377" spans="8:14" x14ac:dyDescent="0.25">
      <c r="H377" s="201" t="str">
        <f t="shared" si="5"/>
        <v/>
      </c>
      <c r="N377" s="164" t="str">
        <f>IFERROR(COUNTIF($C$18:C377,C377)&amp;CHOOSE(MIN(4,COUNTIF($C$18:C377,C377)),"st","nd","rd","th"),"")</f>
        <v/>
      </c>
    </row>
    <row r="378" spans="8:14" x14ac:dyDescent="0.25">
      <c r="H378" s="201" t="str">
        <f t="shared" si="5"/>
        <v/>
      </c>
      <c r="N378" s="164" t="str">
        <f>IFERROR(COUNTIF($C$18:C378,C378)&amp;CHOOSE(MIN(4,COUNTIF($C$18:C378,C378)),"st","nd","rd","th"),"")</f>
        <v/>
      </c>
    </row>
    <row r="379" spans="8:14" x14ac:dyDescent="0.25">
      <c r="H379" s="201" t="str">
        <f t="shared" si="5"/>
        <v/>
      </c>
      <c r="N379" s="164" t="str">
        <f>IFERROR(COUNTIF($C$18:C379,C379)&amp;CHOOSE(MIN(4,COUNTIF($C$18:C379,C379)),"st","nd","rd","th"),"")</f>
        <v/>
      </c>
    </row>
    <row r="380" spans="8:14" x14ac:dyDescent="0.25">
      <c r="H380" s="201" t="str">
        <f t="shared" si="5"/>
        <v/>
      </c>
      <c r="N380" s="164" t="str">
        <f>IFERROR(COUNTIF($C$18:C380,C380)&amp;CHOOSE(MIN(4,COUNTIF($C$18:C380,C380)),"st","nd","rd","th"),"")</f>
        <v/>
      </c>
    </row>
    <row r="381" spans="8:14" x14ac:dyDescent="0.25">
      <c r="H381" s="201" t="str">
        <f t="shared" si="5"/>
        <v/>
      </c>
      <c r="N381" s="164" t="str">
        <f>IFERROR(COUNTIF($C$18:C381,C381)&amp;CHOOSE(MIN(4,COUNTIF($C$18:C381,C381)),"st","nd","rd","th"),"")</f>
        <v/>
      </c>
    </row>
    <row r="382" spans="8:14" x14ac:dyDescent="0.25">
      <c r="H382" s="201" t="str">
        <f t="shared" si="5"/>
        <v/>
      </c>
      <c r="N382" s="164" t="str">
        <f>IFERROR(COUNTIF($C$18:C382,C382)&amp;CHOOSE(MIN(4,COUNTIF($C$18:C382,C382)),"st","nd","rd","th"),"")</f>
        <v/>
      </c>
    </row>
    <row r="383" spans="8:14" x14ac:dyDescent="0.25">
      <c r="H383" s="201" t="str">
        <f t="shared" si="5"/>
        <v/>
      </c>
      <c r="N383" s="164" t="str">
        <f>IFERROR(COUNTIF($C$18:C383,C383)&amp;CHOOSE(MIN(4,COUNTIF($C$18:C383,C383)),"st","nd","rd","th"),"")</f>
        <v/>
      </c>
    </row>
    <row r="384" spans="8:14" x14ac:dyDescent="0.25">
      <c r="H384" s="201" t="str">
        <f t="shared" si="5"/>
        <v/>
      </c>
      <c r="N384" s="164" t="str">
        <f>IFERROR(COUNTIF($C$18:C384,C384)&amp;CHOOSE(MIN(4,COUNTIF($C$18:C384,C384)),"st","nd","rd","th"),"")</f>
        <v/>
      </c>
    </row>
    <row r="385" spans="8:14" x14ac:dyDescent="0.25">
      <c r="H385" s="201" t="str">
        <f t="shared" si="5"/>
        <v/>
      </c>
      <c r="N385" s="164" t="str">
        <f>IFERROR(COUNTIF($C$18:C385,C385)&amp;CHOOSE(MIN(4,COUNTIF($C$18:C385,C385)),"st","nd","rd","th"),"")</f>
        <v/>
      </c>
    </row>
    <row r="386" spans="8:14" x14ac:dyDescent="0.25">
      <c r="H386" s="201" t="str">
        <f t="shared" si="5"/>
        <v/>
      </c>
      <c r="N386" s="164" t="str">
        <f>IFERROR(COUNTIF($C$18:C386,C386)&amp;CHOOSE(MIN(4,COUNTIF($C$18:C386,C386)),"st","nd","rd","th"),"")</f>
        <v/>
      </c>
    </row>
    <row r="387" spans="8:14" x14ac:dyDescent="0.25">
      <c r="H387" s="201" t="str">
        <f t="shared" si="5"/>
        <v/>
      </c>
      <c r="N387" s="164" t="str">
        <f>IFERROR(COUNTIF($C$18:C387,C387)&amp;CHOOSE(MIN(4,COUNTIF($C$18:C387,C387)),"st","nd","rd","th"),"")</f>
        <v/>
      </c>
    </row>
    <row r="388" spans="8:14" x14ac:dyDescent="0.25">
      <c r="H388" s="201" t="str">
        <f t="shared" si="5"/>
        <v/>
      </c>
      <c r="N388" s="164" t="str">
        <f>IFERROR(COUNTIF($C$18:C388,C388)&amp;CHOOSE(MIN(4,COUNTIF($C$18:C388,C388)),"st","nd","rd","th"),"")</f>
        <v/>
      </c>
    </row>
    <row r="389" spans="8:14" x14ac:dyDescent="0.25">
      <c r="H389" s="201" t="str">
        <f t="shared" si="5"/>
        <v/>
      </c>
      <c r="N389" s="164" t="str">
        <f>IFERROR(COUNTIF($C$18:C389,C389)&amp;CHOOSE(MIN(4,COUNTIF($C$18:C389,C389)),"st","nd","rd","th"),"")</f>
        <v/>
      </c>
    </row>
    <row r="390" spans="8:14" x14ac:dyDescent="0.25">
      <c r="H390" s="201" t="str">
        <f t="shared" si="5"/>
        <v/>
      </c>
      <c r="N390" s="164" t="str">
        <f>IFERROR(COUNTIF($C$18:C390,C390)&amp;CHOOSE(MIN(4,COUNTIF($C$18:C390,C390)),"st","nd","rd","th"),"")</f>
        <v/>
      </c>
    </row>
    <row r="391" spans="8:14" x14ac:dyDescent="0.25">
      <c r="H391" s="201" t="str">
        <f t="shared" si="5"/>
        <v/>
      </c>
      <c r="N391" s="164" t="str">
        <f>IFERROR(COUNTIF($C$18:C391,C391)&amp;CHOOSE(MIN(4,COUNTIF($C$18:C391,C391)),"st","nd","rd","th"),"")</f>
        <v/>
      </c>
    </row>
    <row r="392" spans="8:14" x14ac:dyDescent="0.25">
      <c r="H392" s="201" t="str">
        <f t="shared" si="5"/>
        <v/>
      </c>
      <c r="N392" s="164" t="str">
        <f>IFERROR(COUNTIF($C$18:C392,C392)&amp;CHOOSE(MIN(4,COUNTIF($C$18:C392,C392)),"st","nd","rd","th"),"")</f>
        <v/>
      </c>
    </row>
    <row r="393" spans="8:14" x14ac:dyDescent="0.25">
      <c r="H393" s="201" t="str">
        <f t="shared" si="5"/>
        <v/>
      </c>
      <c r="N393" s="164" t="str">
        <f>IFERROR(COUNTIF($C$18:C393,C393)&amp;CHOOSE(MIN(4,COUNTIF($C$18:C393,C393)),"st","nd","rd","th"),"")</f>
        <v/>
      </c>
    </row>
    <row r="394" spans="8:14" x14ac:dyDescent="0.25">
      <c r="H394" s="201" t="str">
        <f t="shared" si="5"/>
        <v/>
      </c>
      <c r="N394" s="164" t="str">
        <f>IFERROR(COUNTIF($C$18:C394,C394)&amp;CHOOSE(MIN(4,COUNTIF($C$18:C394,C394)),"st","nd","rd","th"),"")</f>
        <v/>
      </c>
    </row>
    <row r="395" spans="8:14" x14ac:dyDescent="0.25">
      <c r="H395" s="201" t="str">
        <f t="shared" si="5"/>
        <v/>
      </c>
      <c r="N395" s="164" t="str">
        <f>IFERROR(COUNTIF($C$18:C395,C395)&amp;CHOOSE(MIN(4,COUNTIF($C$18:C395,C395)),"st","nd","rd","th"),"")</f>
        <v/>
      </c>
    </row>
    <row r="396" spans="8:14" x14ac:dyDescent="0.25">
      <c r="H396" s="201" t="str">
        <f t="shared" si="5"/>
        <v/>
      </c>
      <c r="N396" s="164" t="str">
        <f>IFERROR(COUNTIF($C$18:C396,C396)&amp;CHOOSE(MIN(4,COUNTIF($C$18:C396,C396)),"st","nd","rd","th"),"")</f>
        <v/>
      </c>
    </row>
    <row r="397" spans="8:14" x14ac:dyDescent="0.25">
      <c r="H397" s="201" t="str">
        <f t="shared" si="5"/>
        <v/>
      </c>
      <c r="N397" s="164" t="str">
        <f>IFERROR(COUNTIF($C$18:C397,C397)&amp;CHOOSE(MIN(4,COUNTIF($C$18:C397,C397)),"st","nd","rd","th"),"")</f>
        <v/>
      </c>
    </row>
    <row r="398" spans="8:14" x14ac:dyDescent="0.25">
      <c r="H398" s="201" t="str">
        <f t="shared" si="5"/>
        <v/>
      </c>
      <c r="N398" s="164" t="str">
        <f>IFERROR(COUNTIF($C$18:C398,C398)&amp;CHOOSE(MIN(4,COUNTIF($C$18:C398,C398)),"st","nd","rd","th"),"")</f>
        <v/>
      </c>
    </row>
    <row r="399" spans="8:14" x14ac:dyDescent="0.25">
      <c r="H399" s="201" t="str">
        <f t="shared" si="5"/>
        <v/>
      </c>
      <c r="N399" s="164" t="str">
        <f>IFERROR(COUNTIF($C$18:C399,C399)&amp;CHOOSE(MIN(4,COUNTIF($C$18:C399,C399)),"st","nd","rd","th"),"")</f>
        <v/>
      </c>
    </row>
    <row r="400" spans="8:14" x14ac:dyDescent="0.25">
      <c r="H400" s="201" t="str">
        <f t="shared" si="5"/>
        <v/>
      </c>
      <c r="N400" s="164" t="str">
        <f>IFERROR(COUNTIF($C$18:C400,C400)&amp;CHOOSE(MIN(4,COUNTIF($C$18:C400,C400)),"st","nd","rd","th"),"")</f>
        <v/>
      </c>
    </row>
    <row r="401" spans="8:14" x14ac:dyDescent="0.25">
      <c r="H401" s="201" t="str">
        <f t="shared" ref="H401:H464" si="6">IF(OR(ISBLANK(G401), ISBLANK(F401)), "", IF(G401=F401, 1, SUM(_xlfn.DAYS(G401, F401), 1)))</f>
        <v/>
      </c>
      <c r="N401" s="164" t="str">
        <f>IFERROR(COUNTIF($C$18:C401,C401)&amp;CHOOSE(MIN(4,COUNTIF($C$18:C401,C401)),"st","nd","rd","th"),"")</f>
        <v/>
      </c>
    </row>
    <row r="402" spans="8:14" x14ac:dyDescent="0.25">
      <c r="H402" s="201" t="str">
        <f t="shared" si="6"/>
        <v/>
      </c>
      <c r="N402" s="164" t="str">
        <f>IFERROR(COUNTIF($C$18:C402,C402)&amp;CHOOSE(MIN(4,COUNTIF($C$18:C402,C402)),"st","nd","rd","th"),"")</f>
        <v/>
      </c>
    </row>
    <row r="403" spans="8:14" x14ac:dyDescent="0.25">
      <c r="H403" s="201" t="str">
        <f t="shared" si="6"/>
        <v/>
      </c>
      <c r="N403" s="164" t="str">
        <f>IFERROR(COUNTIF($C$18:C403,C403)&amp;CHOOSE(MIN(4,COUNTIF($C$18:C403,C403)),"st","nd","rd","th"),"")</f>
        <v/>
      </c>
    </row>
    <row r="404" spans="8:14" x14ac:dyDescent="0.25">
      <c r="H404" s="201" t="str">
        <f t="shared" si="6"/>
        <v/>
      </c>
      <c r="N404" s="164" t="str">
        <f>IFERROR(COUNTIF($C$18:C404,C404)&amp;CHOOSE(MIN(4,COUNTIF($C$18:C404,C404)),"st","nd","rd","th"),"")</f>
        <v/>
      </c>
    </row>
    <row r="405" spans="8:14" x14ac:dyDescent="0.25">
      <c r="H405" s="201" t="str">
        <f t="shared" si="6"/>
        <v/>
      </c>
      <c r="N405" s="164" t="str">
        <f>IFERROR(COUNTIF($C$18:C405,C405)&amp;CHOOSE(MIN(4,COUNTIF($C$18:C405,C405)),"st","nd","rd","th"),"")</f>
        <v/>
      </c>
    </row>
    <row r="406" spans="8:14" x14ac:dyDescent="0.25">
      <c r="H406" s="201" t="str">
        <f t="shared" si="6"/>
        <v/>
      </c>
      <c r="N406" s="164" t="str">
        <f>IFERROR(COUNTIF($C$18:C406,C406)&amp;CHOOSE(MIN(4,COUNTIF($C$18:C406,C406)),"st","nd","rd","th"),"")</f>
        <v/>
      </c>
    </row>
    <row r="407" spans="8:14" x14ac:dyDescent="0.25">
      <c r="H407" s="201" t="str">
        <f t="shared" si="6"/>
        <v/>
      </c>
      <c r="N407" s="164" t="str">
        <f>IFERROR(COUNTIF($C$18:C407,C407)&amp;CHOOSE(MIN(4,COUNTIF($C$18:C407,C407)),"st","nd","rd","th"),"")</f>
        <v/>
      </c>
    </row>
    <row r="408" spans="8:14" x14ac:dyDescent="0.25">
      <c r="H408" s="201" t="str">
        <f t="shared" si="6"/>
        <v/>
      </c>
      <c r="N408" s="164" t="str">
        <f>IFERROR(COUNTIF($C$18:C408,C408)&amp;CHOOSE(MIN(4,COUNTIF($C$18:C408,C408)),"st","nd","rd","th"),"")</f>
        <v/>
      </c>
    </row>
    <row r="409" spans="8:14" x14ac:dyDescent="0.25">
      <c r="H409" s="201" t="str">
        <f t="shared" si="6"/>
        <v/>
      </c>
      <c r="N409" s="164" t="str">
        <f>IFERROR(COUNTIF($C$18:C409,C409)&amp;CHOOSE(MIN(4,COUNTIF($C$18:C409,C409)),"st","nd","rd","th"),"")</f>
        <v/>
      </c>
    </row>
    <row r="410" spans="8:14" x14ac:dyDescent="0.25">
      <c r="H410" s="201" t="str">
        <f t="shared" si="6"/>
        <v/>
      </c>
      <c r="N410" s="164" t="str">
        <f>IFERROR(COUNTIF($C$18:C410,C410)&amp;CHOOSE(MIN(4,COUNTIF($C$18:C410,C410)),"st","nd","rd","th"),"")</f>
        <v/>
      </c>
    </row>
    <row r="411" spans="8:14" x14ac:dyDescent="0.25">
      <c r="H411" s="201" t="str">
        <f t="shared" si="6"/>
        <v/>
      </c>
      <c r="N411" s="164" t="str">
        <f>IFERROR(COUNTIF($C$18:C411,C411)&amp;CHOOSE(MIN(4,COUNTIF($C$18:C411,C411)),"st","nd","rd","th"),"")</f>
        <v/>
      </c>
    </row>
    <row r="412" spans="8:14" x14ac:dyDescent="0.25">
      <c r="H412" s="201" t="str">
        <f t="shared" si="6"/>
        <v/>
      </c>
      <c r="N412" s="164" t="str">
        <f>IFERROR(COUNTIF($C$18:C412,C412)&amp;CHOOSE(MIN(4,COUNTIF($C$18:C412,C412)),"st","nd","rd","th"),"")</f>
        <v/>
      </c>
    </row>
    <row r="413" spans="8:14" x14ac:dyDescent="0.25">
      <c r="H413" s="201" t="str">
        <f t="shared" si="6"/>
        <v/>
      </c>
      <c r="N413" s="164" t="str">
        <f>IFERROR(COUNTIF($C$18:C413,C413)&amp;CHOOSE(MIN(4,COUNTIF($C$18:C413,C413)),"st","nd","rd","th"),"")</f>
        <v/>
      </c>
    </row>
    <row r="414" spans="8:14" x14ac:dyDescent="0.25">
      <c r="H414" s="201" t="str">
        <f t="shared" si="6"/>
        <v/>
      </c>
      <c r="N414" s="164" t="str">
        <f>IFERROR(COUNTIF($C$18:C414,C414)&amp;CHOOSE(MIN(4,COUNTIF($C$18:C414,C414)),"st","nd","rd","th"),"")</f>
        <v/>
      </c>
    </row>
    <row r="415" spans="8:14" x14ac:dyDescent="0.25">
      <c r="H415" s="201" t="str">
        <f t="shared" si="6"/>
        <v/>
      </c>
      <c r="N415" s="164" t="str">
        <f>IFERROR(COUNTIF($C$18:C415,C415)&amp;CHOOSE(MIN(4,COUNTIF($C$18:C415,C415)),"st","nd","rd","th"),"")</f>
        <v/>
      </c>
    </row>
    <row r="416" spans="8:14" x14ac:dyDescent="0.25">
      <c r="H416" s="201" t="str">
        <f t="shared" si="6"/>
        <v/>
      </c>
      <c r="N416" s="164" t="str">
        <f>IFERROR(COUNTIF($C$18:C416,C416)&amp;CHOOSE(MIN(4,COUNTIF($C$18:C416,C416)),"st","nd","rd","th"),"")</f>
        <v/>
      </c>
    </row>
    <row r="417" spans="8:14" x14ac:dyDescent="0.25">
      <c r="H417" s="201" t="str">
        <f t="shared" si="6"/>
        <v/>
      </c>
      <c r="N417" s="164" t="str">
        <f>IFERROR(COUNTIF($C$18:C417,C417)&amp;CHOOSE(MIN(4,COUNTIF($C$18:C417,C417)),"st","nd","rd","th"),"")</f>
        <v/>
      </c>
    </row>
    <row r="418" spans="8:14" x14ac:dyDescent="0.25">
      <c r="H418" s="201" t="str">
        <f t="shared" si="6"/>
        <v/>
      </c>
      <c r="N418" s="164" t="str">
        <f>IFERROR(COUNTIF($C$18:C418,C418)&amp;CHOOSE(MIN(4,COUNTIF($C$18:C418,C418)),"st","nd","rd","th"),"")</f>
        <v/>
      </c>
    </row>
    <row r="419" spans="8:14" x14ac:dyDescent="0.25">
      <c r="H419" s="201" t="str">
        <f t="shared" si="6"/>
        <v/>
      </c>
      <c r="N419" s="164" t="str">
        <f>IFERROR(COUNTIF($C$18:C419,C419)&amp;CHOOSE(MIN(4,COUNTIF($C$18:C419,C419)),"st","nd","rd","th"),"")</f>
        <v/>
      </c>
    </row>
    <row r="420" spans="8:14" x14ac:dyDescent="0.25">
      <c r="H420" s="201" t="str">
        <f t="shared" si="6"/>
        <v/>
      </c>
      <c r="N420" s="164" t="str">
        <f>IFERROR(COUNTIF($C$18:C420,C420)&amp;CHOOSE(MIN(4,COUNTIF($C$18:C420,C420)),"st","nd","rd","th"),"")</f>
        <v/>
      </c>
    </row>
    <row r="421" spans="8:14" x14ac:dyDescent="0.25">
      <c r="H421" s="201" t="str">
        <f t="shared" si="6"/>
        <v/>
      </c>
      <c r="N421" s="164" t="str">
        <f>IFERROR(COUNTIF($C$18:C421,C421)&amp;CHOOSE(MIN(4,COUNTIF($C$18:C421,C421)),"st","nd","rd","th"),"")</f>
        <v/>
      </c>
    </row>
    <row r="422" spans="8:14" x14ac:dyDescent="0.25">
      <c r="H422" s="201" t="str">
        <f t="shared" si="6"/>
        <v/>
      </c>
      <c r="N422" s="164" t="str">
        <f>IFERROR(COUNTIF($C$18:C422,C422)&amp;CHOOSE(MIN(4,COUNTIF($C$18:C422,C422)),"st","nd","rd","th"),"")</f>
        <v/>
      </c>
    </row>
    <row r="423" spans="8:14" x14ac:dyDescent="0.25">
      <c r="H423" s="201" t="str">
        <f t="shared" si="6"/>
        <v/>
      </c>
      <c r="N423" s="164" t="str">
        <f>IFERROR(COUNTIF($C$18:C423,C423)&amp;CHOOSE(MIN(4,COUNTIF($C$18:C423,C423)),"st","nd","rd","th"),"")</f>
        <v/>
      </c>
    </row>
    <row r="424" spans="8:14" x14ac:dyDescent="0.25">
      <c r="H424" s="201" t="str">
        <f t="shared" si="6"/>
        <v/>
      </c>
      <c r="N424" s="164" t="str">
        <f>IFERROR(COUNTIF($C$18:C424,C424)&amp;CHOOSE(MIN(4,COUNTIF($C$18:C424,C424)),"st","nd","rd","th"),"")</f>
        <v/>
      </c>
    </row>
    <row r="425" spans="8:14" x14ac:dyDescent="0.25">
      <c r="H425" s="201" t="str">
        <f t="shared" si="6"/>
        <v/>
      </c>
      <c r="N425" s="164" t="str">
        <f>IFERROR(COUNTIF($C$18:C425,C425)&amp;CHOOSE(MIN(4,COUNTIF($C$18:C425,C425)),"st","nd","rd","th"),"")</f>
        <v/>
      </c>
    </row>
    <row r="426" spans="8:14" x14ac:dyDescent="0.25">
      <c r="H426" s="201" t="str">
        <f t="shared" si="6"/>
        <v/>
      </c>
      <c r="N426" s="164" t="str">
        <f>IFERROR(COUNTIF($C$18:C426,C426)&amp;CHOOSE(MIN(4,COUNTIF($C$18:C426,C426)),"st","nd","rd","th"),"")</f>
        <v/>
      </c>
    </row>
    <row r="427" spans="8:14" x14ac:dyDescent="0.25">
      <c r="H427" s="201" t="str">
        <f t="shared" si="6"/>
        <v/>
      </c>
      <c r="N427" s="164" t="str">
        <f>IFERROR(COUNTIF($C$18:C427,C427)&amp;CHOOSE(MIN(4,COUNTIF($C$18:C427,C427)),"st","nd","rd","th"),"")</f>
        <v/>
      </c>
    </row>
    <row r="428" spans="8:14" x14ac:dyDescent="0.25">
      <c r="H428" s="201" t="str">
        <f t="shared" si="6"/>
        <v/>
      </c>
      <c r="N428" s="164" t="str">
        <f>IFERROR(COUNTIF($C$18:C428,C428)&amp;CHOOSE(MIN(4,COUNTIF($C$18:C428,C428)),"st","nd","rd","th"),"")</f>
        <v/>
      </c>
    </row>
    <row r="429" spans="8:14" x14ac:dyDescent="0.25">
      <c r="H429" s="201" t="str">
        <f t="shared" si="6"/>
        <v/>
      </c>
      <c r="N429" s="164" t="str">
        <f>IFERROR(COUNTIF($C$18:C429,C429)&amp;CHOOSE(MIN(4,COUNTIF($C$18:C429,C429)),"st","nd","rd","th"),"")</f>
        <v/>
      </c>
    </row>
    <row r="430" spans="8:14" x14ac:dyDescent="0.25">
      <c r="H430" s="201" t="str">
        <f t="shared" si="6"/>
        <v/>
      </c>
      <c r="N430" s="164" t="str">
        <f>IFERROR(COUNTIF($C$18:C430,C430)&amp;CHOOSE(MIN(4,COUNTIF($C$18:C430,C430)),"st","nd","rd","th"),"")</f>
        <v/>
      </c>
    </row>
    <row r="431" spans="8:14" x14ac:dyDescent="0.25">
      <c r="H431" s="201" t="str">
        <f t="shared" si="6"/>
        <v/>
      </c>
      <c r="N431" s="164" t="str">
        <f>IFERROR(COUNTIF($C$18:C431,C431)&amp;CHOOSE(MIN(4,COUNTIF($C$18:C431,C431)),"st","nd","rd","th"),"")</f>
        <v/>
      </c>
    </row>
    <row r="432" spans="8:14" x14ac:dyDescent="0.25">
      <c r="H432" s="201" t="str">
        <f t="shared" si="6"/>
        <v/>
      </c>
      <c r="N432" s="164" t="str">
        <f>IFERROR(COUNTIF($C$18:C432,C432)&amp;CHOOSE(MIN(4,COUNTIF($C$18:C432,C432)),"st","nd","rd","th"),"")</f>
        <v/>
      </c>
    </row>
    <row r="433" spans="8:14" x14ac:dyDescent="0.25">
      <c r="H433" s="201" t="str">
        <f t="shared" si="6"/>
        <v/>
      </c>
      <c r="N433" s="164" t="str">
        <f>IFERROR(COUNTIF($C$18:C433,C433)&amp;CHOOSE(MIN(4,COUNTIF($C$18:C433,C433)),"st","nd","rd","th"),"")</f>
        <v/>
      </c>
    </row>
    <row r="434" spans="8:14" x14ac:dyDescent="0.25">
      <c r="H434" s="201" t="str">
        <f t="shared" si="6"/>
        <v/>
      </c>
      <c r="N434" s="164" t="str">
        <f>IFERROR(COUNTIF($C$18:C434,C434)&amp;CHOOSE(MIN(4,COUNTIF($C$18:C434,C434)),"st","nd","rd","th"),"")</f>
        <v/>
      </c>
    </row>
    <row r="435" spans="8:14" x14ac:dyDescent="0.25">
      <c r="H435" s="201" t="str">
        <f t="shared" si="6"/>
        <v/>
      </c>
      <c r="N435" s="164" t="str">
        <f>IFERROR(COUNTIF($C$18:C435,C435)&amp;CHOOSE(MIN(4,COUNTIF($C$18:C435,C435)),"st","nd","rd","th"),"")</f>
        <v/>
      </c>
    </row>
    <row r="436" spans="8:14" x14ac:dyDescent="0.25">
      <c r="H436" s="201" t="str">
        <f t="shared" si="6"/>
        <v/>
      </c>
      <c r="N436" s="164" t="str">
        <f>IFERROR(COUNTIF($C$18:C436,C436)&amp;CHOOSE(MIN(4,COUNTIF($C$18:C436,C436)),"st","nd","rd","th"),"")</f>
        <v/>
      </c>
    </row>
    <row r="437" spans="8:14" x14ac:dyDescent="0.25">
      <c r="H437" s="201" t="str">
        <f t="shared" si="6"/>
        <v/>
      </c>
      <c r="N437" s="164" t="str">
        <f>IFERROR(COUNTIF($C$18:C437,C437)&amp;CHOOSE(MIN(4,COUNTIF($C$18:C437,C437)),"st","nd","rd","th"),"")</f>
        <v/>
      </c>
    </row>
    <row r="438" spans="8:14" x14ac:dyDescent="0.25">
      <c r="H438" s="201" t="str">
        <f t="shared" si="6"/>
        <v/>
      </c>
      <c r="N438" s="164" t="str">
        <f>IFERROR(COUNTIF($C$18:C438,C438)&amp;CHOOSE(MIN(4,COUNTIF($C$18:C438,C438)),"st","nd","rd","th"),"")</f>
        <v/>
      </c>
    </row>
    <row r="439" spans="8:14" x14ac:dyDescent="0.25">
      <c r="H439" s="201" t="str">
        <f t="shared" si="6"/>
        <v/>
      </c>
      <c r="N439" s="164" t="str">
        <f>IFERROR(COUNTIF($C$18:C439,C439)&amp;CHOOSE(MIN(4,COUNTIF($C$18:C439,C439)),"st","nd","rd","th"),"")</f>
        <v/>
      </c>
    </row>
    <row r="440" spans="8:14" x14ac:dyDescent="0.25">
      <c r="H440" s="201" t="str">
        <f t="shared" si="6"/>
        <v/>
      </c>
      <c r="N440" s="164" t="str">
        <f>IFERROR(COUNTIF($C$18:C440,C440)&amp;CHOOSE(MIN(4,COUNTIF($C$18:C440,C440)),"st","nd","rd","th"),"")</f>
        <v/>
      </c>
    </row>
    <row r="441" spans="8:14" x14ac:dyDescent="0.25">
      <c r="H441" s="201" t="str">
        <f t="shared" si="6"/>
        <v/>
      </c>
      <c r="N441" s="164" t="str">
        <f>IFERROR(COUNTIF($C$18:C441,C441)&amp;CHOOSE(MIN(4,COUNTIF($C$18:C441,C441)),"st","nd","rd","th"),"")</f>
        <v/>
      </c>
    </row>
    <row r="442" spans="8:14" x14ac:dyDescent="0.25">
      <c r="H442" s="201" t="str">
        <f t="shared" si="6"/>
        <v/>
      </c>
      <c r="N442" s="164" t="str">
        <f>IFERROR(COUNTIF($C$18:C442,C442)&amp;CHOOSE(MIN(4,COUNTIF($C$18:C442,C442)),"st","nd","rd","th"),"")</f>
        <v/>
      </c>
    </row>
    <row r="443" spans="8:14" x14ac:dyDescent="0.25">
      <c r="H443" s="201" t="str">
        <f t="shared" si="6"/>
        <v/>
      </c>
      <c r="N443" s="164" t="str">
        <f>IFERROR(COUNTIF($C$18:C443,C443)&amp;CHOOSE(MIN(4,COUNTIF($C$18:C443,C443)),"st","nd","rd","th"),"")</f>
        <v/>
      </c>
    </row>
    <row r="444" spans="8:14" x14ac:dyDescent="0.25">
      <c r="H444" s="201" t="str">
        <f t="shared" si="6"/>
        <v/>
      </c>
      <c r="N444" s="164" t="str">
        <f>IFERROR(COUNTIF($C$18:C444,C444)&amp;CHOOSE(MIN(4,COUNTIF($C$18:C444,C444)),"st","nd","rd","th"),"")</f>
        <v/>
      </c>
    </row>
    <row r="445" spans="8:14" x14ac:dyDescent="0.25">
      <c r="H445" s="201" t="str">
        <f t="shared" si="6"/>
        <v/>
      </c>
      <c r="N445" s="164" t="str">
        <f>IFERROR(COUNTIF($C$18:C445,C445)&amp;CHOOSE(MIN(4,COUNTIF($C$18:C445,C445)),"st","nd","rd","th"),"")</f>
        <v/>
      </c>
    </row>
    <row r="446" spans="8:14" x14ac:dyDescent="0.25">
      <c r="H446" s="201" t="str">
        <f t="shared" si="6"/>
        <v/>
      </c>
      <c r="N446" s="164" t="str">
        <f>IFERROR(COUNTIF($C$18:C446,C446)&amp;CHOOSE(MIN(4,COUNTIF($C$18:C446,C446)),"st","nd","rd","th"),"")</f>
        <v/>
      </c>
    </row>
    <row r="447" spans="8:14" x14ac:dyDescent="0.25">
      <c r="H447" s="201" t="str">
        <f t="shared" si="6"/>
        <v/>
      </c>
      <c r="N447" s="164" t="str">
        <f>IFERROR(COUNTIF($C$18:C447,C447)&amp;CHOOSE(MIN(4,COUNTIF($C$18:C447,C447)),"st","nd","rd","th"),"")</f>
        <v/>
      </c>
    </row>
    <row r="448" spans="8:14" x14ac:dyDescent="0.25">
      <c r="H448" s="201" t="str">
        <f t="shared" si="6"/>
        <v/>
      </c>
      <c r="N448" s="164" t="str">
        <f>IFERROR(COUNTIF($C$18:C448,C448)&amp;CHOOSE(MIN(4,COUNTIF($C$18:C448,C448)),"st","nd","rd","th"),"")</f>
        <v/>
      </c>
    </row>
    <row r="449" spans="8:14" x14ac:dyDescent="0.25">
      <c r="H449" s="201" t="str">
        <f t="shared" si="6"/>
        <v/>
      </c>
      <c r="N449" s="164" t="str">
        <f>IFERROR(COUNTIF($C$18:C449,C449)&amp;CHOOSE(MIN(4,COUNTIF($C$18:C449,C449)),"st","nd","rd","th"),"")</f>
        <v/>
      </c>
    </row>
    <row r="450" spans="8:14" x14ac:dyDescent="0.25">
      <c r="H450" s="201" t="str">
        <f t="shared" si="6"/>
        <v/>
      </c>
      <c r="N450" s="164" t="str">
        <f>IFERROR(COUNTIF($C$18:C450,C450)&amp;CHOOSE(MIN(4,COUNTIF($C$18:C450,C450)),"st","nd","rd","th"),"")</f>
        <v/>
      </c>
    </row>
    <row r="451" spans="8:14" x14ac:dyDescent="0.25">
      <c r="H451" s="201" t="str">
        <f t="shared" si="6"/>
        <v/>
      </c>
      <c r="N451" s="164" t="str">
        <f>IFERROR(COUNTIF($C$18:C451,C451)&amp;CHOOSE(MIN(4,COUNTIF($C$18:C451,C451)),"st","nd","rd","th"),"")</f>
        <v/>
      </c>
    </row>
    <row r="452" spans="8:14" x14ac:dyDescent="0.25">
      <c r="H452" s="201" t="str">
        <f t="shared" si="6"/>
        <v/>
      </c>
      <c r="N452" s="164" t="str">
        <f>IFERROR(COUNTIF($C$18:C452,C452)&amp;CHOOSE(MIN(4,COUNTIF($C$18:C452,C452)),"st","nd","rd","th"),"")</f>
        <v/>
      </c>
    </row>
    <row r="453" spans="8:14" x14ac:dyDescent="0.25">
      <c r="H453" s="201" t="str">
        <f t="shared" si="6"/>
        <v/>
      </c>
      <c r="N453" s="164" t="str">
        <f>IFERROR(COUNTIF($C$18:C453,C453)&amp;CHOOSE(MIN(4,COUNTIF($C$18:C453,C453)),"st","nd","rd","th"),"")</f>
        <v/>
      </c>
    </row>
    <row r="454" spans="8:14" x14ac:dyDescent="0.25">
      <c r="H454" s="201" t="str">
        <f t="shared" si="6"/>
        <v/>
      </c>
      <c r="N454" s="164" t="str">
        <f>IFERROR(COUNTIF($C$18:C454,C454)&amp;CHOOSE(MIN(4,COUNTIF($C$18:C454,C454)),"st","nd","rd","th"),"")</f>
        <v/>
      </c>
    </row>
    <row r="455" spans="8:14" x14ac:dyDescent="0.25">
      <c r="H455" s="201" t="str">
        <f t="shared" si="6"/>
        <v/>
      </c>
      <c r="N455" s="164" t="str">
        <f>IFERROR(COUNTIF($C$18:C455,C455)&amp;CHOOSE(MIN(4,COUNTIF($C$18:C455,C455)),"st","nd","rd","th"),"")</f>
        <v/>
      </c>
    </row>
    <row r="456" spans="8:14" x14ac:dyDescent="0.25">
      <c r="H456" s="201" t="str">
        <f t="shared" si="6"/>
        <v/>
      </c>
      <c r="N456" s="164" t="str">
        <f>IFERROR(COUNTIF($C$18:C456,C456)&amp;CHOOSE(MIN(4,COUNTIF($C$18:C456,C456)),"st","nd","rd","th"),"")</f>
        <v/>
      </c>
    </row>
    <row r="457" spans="8:14" x14ac:dyDescent="0.25">
      <c r="H457" s="201" t="str">
        <f t="shared" si="6"/>
        <v/>
      </c>
      <c r="N457" s="164" t="str">
        <f>IFERROR(COUNTIF($C$18:C457,C457)&amp;CHOOSE(MIN(4,COUNTIF($C$18:C457,C457)),"st","nd","rd","th"),"")</f>
        <v/>
      </c>
    </row>
    <row r="458" spans="8:14" x14ac:dyDescent="0.25">
      <c r="H458" s="201" t="str">
        <f t="shared" si="6"/>
        <v/>
      </c>
      <c r="N458" s="164" t="str">
        <f>IFERROR(COUNTIF($C$18:C458,C458)&amp;CHOOSE(MIN(4,COUNTIF($C$18:C458,C458)),"st","nd","rd","th"),"")</f>
        <v/>
      </c>
    </row>
    <row r="459" spans="8:14" x14ac:dyDescent="0.25">
      <c r="H459" s="201" t="str">
        <f t="shared" si="6"/>
        <v/>
      </c>
      <c r="N459" s="164" t="str">
        <f>IFERROR(COUNTIF($C$18:C459,C459)&amp;CHOOSE(MIN(4,COUNTIF($C$18:C459,C459)),"st","nd","rd","th"),"")</f>
        <v/>
      </c>
    </row>
    <row r="460" spans="8:14" x14ac:dyDescent="0.25">
      <c r="H460" s="201" t="str">
        <f t="shared" si="6"/>
        <v/>
      </c>
      <c r="N460" s="164" t="str">
        <f>IFERROR(COUNTIF($C$18:C460,C460)&amp;CHOOSE(MIN(4,COUNTIF($C$18:C460,C460)),"st","nd","rd","th"),"")</f>
        <v/>
      </c>
    </row>
    <row r="461" spans="8:14" x14ac:dyDescent="0.25">
      <c r="H461" s="201" t="str">
        <f t="shared" si="6"/>
        <v/>
      </c>
      <c r="N461" s="164" t="str">
        <f>IFERROR(COUNTIF($C$18:C461,C461)&amp;CHOOSE(MIN(4,COUNTIF($C$18:C461,C461)),"st","nd","rd","th"),"")</f>
        <v/>
      </c>
    </row>
    <row r="462" spans="8:14" x14ac:dyDescent="0.25">
      <c r="H462" s="201" t="str">
        <f t="shared" si="6"/>
        <v/>
      </c>
      <c r="N462" s="164" t="str">
        <f>IFERROR(COUNTIF($C$18:C462,C462)&amp;CHOOSE(MIN(4,COUNTIF($C$18:C462,C462)),"st","nd","rd","th"),"")</f>
        <v/>
      </c>
    </row>
    <row r="463" spans="8:14" x14ac:dyDescent="0.25">
      <c r="H463" s="201" t="str">
        <f t="shared" si="6"/>
        <v/>
      </c>
      <c r="N463" s="164" t="str">
        <f>IFERROR(COUNTIF($C$18:C463,C463)&amp;CHOOSE(MIN(4,COUNTIF($C$18:C463,C463)),"st","nd","rd","th"),"")</f>
        <v/>
      </c>
    </row>
    <row r="464" spans="8:14" x14ac:dyDescent="0.25">
      <c r="H464" s="201" t="str">
        <f t="shared" si="6"/>
        <v/>
      </c>
      <c r="N464" s="164" t="str">
        <f>IFERROR(COUNTIF($C$18:C464,C464)&amp;CHOOSE(MIN(4,COUNTIF($C$18:C464,C464)),"st","nd","rd","th"),"")</f>
        <v/>
      </c>
    </row>
    <row r="465" spans="8:14" x14ac:dyDescent="0.25">
      <c r="H465" s="201" t="str">
        <f t="shared" ref="H465:H528" si="7">IF(OR(ISBLANK(G465), ISBLANK(F465)), "", IF(G465=F465, 1, SUM(_xlfn.DAYS(G465, F465), 1)))</f>
        <v/>
      </c>
      <c r="N465" s="164" t="str">
        <f>IFERROR(COUNTIF($C$18:C465,C465)&amp;CHOOSE(MIN(4,COUNTIF($C$18:C465,C465)),"st","nd","rd","th"),"")</f>
        <v/>
      </c>
    </row>
    <row r="466" spans="8:14" x14ac:dyDescent="0.25">
      <c r="H466" s="201" t="str">
        <f t="shared" si="7"/>
        <v/>
      </c>
      <c r="N466" s="164" t="str">
        <f>IFERROR(COUNTIF($C$18:C466,C466)&amp;CHOOSE(MIN(4,COUNTIF($C$18:C466,C466)),"st","nd","rd","th"),"")</f>
        <v/>
      </c>
    </row>
    <row r="467" spans="8:14" x14ac:dyDescent="0.25">
      <c r="H467" s="201" t="str">
        <f t="shared" si="7"/>
        <v/>
      </c>
      <c r="N467" s="164" t="str">
        <f>IFERROR(COUNTIF($C$18:C467,C467)&amp;CHOOSE(MIN(4,COUNTIF($C$18:C467,C467)),"st","nd","rd","th"),"")</f>
        <v/>
      </c>
    </row>
    <row r="468" spans="8:14" x14ac:dyDescent="0.25">
      <c r="H468" s="201" t="str">
        <f t="shared" si="7"/>
        <v/>
      </c>
      <c r="N468" s="164" t="str">
        <f>IFERROR(COUNTIF($C$18:C468,C468)&amp;CHOOSE(MIN(4,COUNTIF($C$18:C468,C468)),"st","nd","rd","th"),"")</f>
        <v/>
      </c>
    </row>
    <row r="469" spans="8:14" x14ac:dyDescent="0.25">
      <c r="H469" s="201" t="str">
        <f t="shared" si="7"/>
        <v/>
      </c>
      <c r="N469" s="164" t="str">
        <f>IFERROR(COUNTIF($C$18:C469,C469)&amp;CHOOSE(MIN(4,COUNTIF($C$18:C469,C469)),"st","nd","rd","th"),"")</f>
        <v/>
      </c>
    </row>
    <row r="470" spans="8:14" x14ac:dyDescent="0.25">
      <c r="H470" s="201" t="str">
        <f t="shared" si="7"/>
        <v/>
      </c>
      <c r="N470" s="164" t="str">
        <f>IFERROR(COUNTIF($C$18:C470,C470)&amp;CHOOSE(MIN(4,COUNTIF($C$18:C470,C470)),"st","nd","rd","th"),"")</f>
        <v/>
      </c>
    </row>
    <row r="471" spans="8:14" x14ac:dyDescent="0.25">
      <c r="H471" s="201" t="str">
        <f t="shared" si="7"/>
        <v/>
      </c>
      <c r="N471" s="164" t="str">
        <f>IFERROR(COUNTIF($C$18:C471,C471)&amp;CHOOSE(MIN(4,COUNTIF($C$18:C471,C471)),"st","nd","rd","th"),"")</f>
        <v/>
      </c>
    </row>
    <row r="472" spans="8:14" x14ac:dyDescent="0.25">
      <c r="H472" s="201" t="str">
        <f t="shared" si="7"/>
        <v/>
      </c>
      <c r="N472" s="164" t="str">
        <f>IFERROR(COUNTIF($C$18:C472,C472)&amp;CHOOSE(MIN(4,COUNTIF($C$18:C472,C472)),"st","nd","rd","th"),"")</f>
        <v/>
      </c>
    </row>
    <row r="473" spans="8:14" x14ac:dyDescent="0.25">
      <c r="H473" s="201" t="str">
        <f t="shared" si="7"/>
        <v/>
      </c>
      <c r="N473" s="164" t="str">
        <f>IFERROR(COUNTIF($C$18:C473,C473)&amp;CHOOSE(MIN(4,COUNTIF($C$18:C473,C473)),"st","nd","rd","th"),"")</f>
        <v/>
      </c>
    </row>
    <row r="474" spans="8:14" x14ac:dyDescent="0.25">
      <c r="H474" s="201" t="str">
        <f t="shared" si="7"/>
        <v/>
      </c>
      <c r="N474" s="164" t="str">
        <f>IFERROR(COUNTIF($C$18:C474,C474)&amp;CHOOSE(MIN(4,COUNTIF($C$18:C474,C474)),"st","nd","rd","th"),"")</f>
        <v/>
      </c>
    </row>
    <row r="475" spans="8:14" x14ac:dyDescent="0.25">
      <c r="H475" s="201" t="str">
        <f t="shared" si="7"/>
        <v/>
      </c>
      <c r="N475" s="164" t="str">
        <f>IFERROR(COUNTIF($C$18:C475,C475)&amp;CHOOSE(MIN(4,COUNTIF($C$18:C475,C475)),"st","nd","rd","th"),"")</f>
        <v/>
      </c>
    </row>
    <row r="476" spans="8:14" x14ac:dyDescent="0.25">
      <c r="H476" s="201" t="str">
        <f t="shared" si="7"/>
        <v/>
      </c>
      <c r="N476" s="164" t="str">
        <f>IFERROR(COUNTIF($C$18:C476,C476)&amp;CHOOSE(MIN(4,COUNTIF($C$18:C476,C476)),"st","nd","rd","th"),"")</f>
        <v/>
      </c>
    </row>
    <row r="477" spans="8:14" x14ac:dyDescent="0.25">
      <c r="H477" s="201" t="str">
        <f t="shared" si="7"/>
        <v/>
      </c>
      <c r="N477" s="164" t="str">
        <f>IFERROR(COUNTIF($C$18:C477,C477)&amp;CHOOSE(MIN(4,COUNTIF($C$18:C477,C477)),"st","nd","rd","th"),"")</f>
        <v/>
      </c>
    </row>
    <row r="478" spans="8:14" x14ac:dyDescent="0.25">
      <c r="H478" s="201" t="str">
        <f t="shared" si="7"/>
        <v/>
      </c>
      <c r="N478" s="164" t="str">
        <f>IFERROR(COUNTIF($C$18:C478,C478)&amp;CHOOSE(MIN(4,COUNTIF($C$18:C478,C478)),"st","nd","rd","th"),"")</f>
        <v/>
      </c>
    </row>
    <row r="479" spans="8:14" x14ac:dyDescent="0.25">
      <c r="H479" s="201" t="str">
        <f t="shared" si="7"/>
        <v/>
      </c>
      <c r="N479" s="164" t="str">
        <f>IFERROR(COUNTIF($C$18:C479,C479)&amp;CHOOSE(MIN(4,COUNTIF($C$18:C479,C479)),"st","nd","rd","th"),"")</f>
        <v/>
      </c>
    </row>
    <row r="480" spans="8:14" x14ac:dyDescent="0.25">
      <c r="H480" s="201" t="str">
        <f t="shared" si="7"/>
        <v/>
      </c>
      <c r="N480" s="164" t="str">
        <f>IFERROR(COUNTIF($C$18:C480,C480)&amp;CHOOSE(MIN(4,COUNTIF($C$18:C480,C480)),"st","nd","rd","th"),"")</f>
        <v/>
      </c>
    </row>
    <row r="481" spans="8:14" x14ac:dyDescent="0.25">
      <c r="H481" s="201" t="str">
        <f t="shared" si="7"/>
        <v/>
      </c>
      <c r="N481" s="164" t="str">
        <f>IFERROR(COUNTIF($C$18:C481,C481)&amp;CHOOSE(MIN(4,COUNTIF($C$18:C481,C481)),"st","nd","rd","th"),"")</f>
        <v/>
      </c>
    </row>
    <row r="482" spans="8:14" x14ac:dyDescent="0.25">
      <c r="H482" s="201" t="str">
        <f t="shared" si="7"/>
        <v/>
      </c>
      <c r="N482" s="164" t="str">
        <f>IFERROR(COUNTIF($C$18:C482,C482)&amp;CHOOSE(MIN(4,COUNTIF($C$18:C482,C482)),"st","nd","rd","th"),"")</f>
        <v/>
      </c>
    </row>
    <row r="483" spans="8:14" x14ac:dyDescent="0.25">
      <c r="H483" s="201" t="str">
        <f t="shared" si="7"/>
        <v/>
      </c>
      <c r="N483" s="164" t="str">
        <f>IFERROR(COUNTIF($C$18:C483,C483)&amp;CHOOSE(MIN(4,COUNTIF($C$18:C483,C483)),"st","nd","rd","th"),"")</f>
        <v/>
      </c>
    </row>
    <row r="484" spans="8:14" x14ac:dyDescent="0.25">
      <c r="H484" s="201" t="str">
        <f t="shared" si="7"/>
        <v/>
      </c>
      <c r="N484" s="164" t="str">
        <f>IFERROR(COUNTIF($C$18:C484,C484)&amp;CHOOSE(MIN(4,COUNTIF($C$18:C484,C484)),"st","nd","rd","th"),"")</f>
        <v/>
      </c>
    </row>
    <row r="485" spans="8:14" x14ac:dyDescent="0.25">
      <c r="H485" s="201" t="str">
        <f t="shared" si="7"/>
        <v/>
      </c>
      <c r="N485" s="164" t="str">
        <f>IFERROR(COUNTIF($C$18:C485,C485)&amp;CHOOSE(MIN(4,COUNTIF($C$18:C485,C485)),"st","nd","rd","th"),"")</f>
        <v/>
      </c>
    </row>
    <row r="486" spans="8:14" x14ac:dyDescent="0.25">
      <c r="H486" s="201" t="str">
        <f t="shared" si="7"/>
        <v/>
      </c>
      <c r="N486" s="164" t="str">
        <f>IFERROR(COUNTIF($C$18:C486,C486)&amp;CHOOSE(MIN(4,COUNTIF($C$18:C486,C486)),"st","nd","rd","th"),"")</f>
        <v/>
      </c>
    </row>
    <row r="487" spans="8:14" x14ac:dyDescent="0.25">
      <c r="H487" s="201" t="str">
        <f t="shared" si="7"/>
        <v/>
      </c>
      <c r="N487" s="164" t="str">
        <f>IFERROR(COUNTIF($C$18:C487,C487)&amp;CHOOSE(MIN(4,COUNTIF($C$18:C487,C487)),"st","nd","rd","th"),"")</f>
        <v/>
      </c>
    </row>
    <row r="488" spans="8:14" x14ac:dyDescent="0.25">
      <c r="H488" s="201" t="str">
        <f t="shared" si="7"/>
        <v/>
      </c>
      <c r="N488" s="164" t="str">
        <f>IFERROR(COUNTIF($C$18:C488,C488)&amp;CHOOSE(MIN(4,COUNTIF($C$18:C488,C488)),"st","nd","rd","th"),"")</f>
        <v/>
      </c>
    </row>
    <row r="489" spans="8:14" x14ac:dyDescent="0.25">
      <c r="H489" s="201" t="str">
        <f t="shared" si="7"/>
        <v/>
      </c>
      <c r="N489" s="164" t="str">
        <f>IFERROR(COUNTIF($C$18:C489,C489)&amp;CHOOSE(MIN(4,COUNTIF($C$18:C489,C489)),"st","nd","rd","th"),"")</f>
        <v/>
      </c>
    </row>
    <row r="490" spans="8:14" x14ac:dyDescent="0.25">
      <c r="H490" s="201" t="str">
        <f t="shared" si="7"/>
        <v/>
      </c>
      <c r="N490" s="164" t="str">
        <f>IFERROR(COUNTIF($C$18:C490,C490)&amp;CHOOSE(MIN(4,COUNTIF($C$18:C490,C490)),"st","nd","rd","th"),"")</f>
        <v/>
      </c>
    </row>
    <row r="491" spans="8:14" x14ac:dyDescent="0.25">
      <c r="H491" s="201" t="str">
        <f t="shared" si="7"/>
        <v/>
      </c>
      <c r="N491" s="164" t="str">
        <f>IFERROR(COUNTIF($C$18:C491,C491)&amp;CHOOSE(MIN(4,COUNTIF($C$18:C491,C491)),"st","nd","rd","th"),"")</f>
        <v/>
      </c>
    </row>
    <row r="492" spans="8:14" x14ac:dyDescent="0.25">
      <c r="H492" s="201" t="str">
        <f t="shared" si="7"/>
        <v/>
      </c>
      <c r="N492" s="164" t="str">
        <f>IFERROR(COUNTIF($C$18:C492,C492)&amp;CHOOSE(MIN(4,COUNTIF($C$18:C492,C492)),"st","nd","rd","th"),"")</f>
        <v/>
      </c>
    </row>
    <row r="493" spans="8:14" x14ac:dyDescent="0.25">
      <c r="H493" s="201" t="str">
        <f t="shared" si="7"/>
        <v/>
      </c>
      <c r="N493" s="164" t="str">
        <f>IFERROR(COUNTIF($C$18:C493,C493)&amp;CHOOSE(MIN(4,COUNTIF($C$18:C493,C493)),"st","nd","rd","th"),"")</f>
        <v/>
      </c>
    </row>
    <row r="494" spans="8:14" x14ac:dyDescent="0.25">
      <c r="H494" s="201" t="str">
        <f t="shared" si="7"/>
        <v/>
      </c>
      <c r="N494" s="164" t="str">
        <f>IFERROR(COUNTIF($C$18:C494,C494)&amp;CHOOSE(MIN(4,COUNTIF($C$18:C494,C494)),"st","nd","rd","th"),"")</f>
        <v/>
      </c>
    </row>
    <row r="495" spans="8:14" x14ac:dyDescent="0.25">
      <c r="H495" s="201" t="str">
        <f t="shared" si="7"/>
        <v/>
      </c>
      <c r="N495" s="164" t="str">
        <f>IFERROR(COUNTIF($C$18:C495,C495)&amp;CHOOSE(MIN(4,COUNTIF($C$18:C495,C495)),"st","nd","rd","th"),"")</f>
        <v/>
      </c>
    </row>
    <row r="496" spans="8:14" x14ac:dyDescent="0.25">
      <c r="H496" s="201" t="str">
        <f t="shared" si="7"/>
        <v/>
      </c>
      <c r="N496" s="164" t="str">
        <f>IFERROR(COUNTIF($C$18:C496,C496)&amp;CHOOSE(MIN(4,COUNTIF($C$18:C496,C496)),"st","nd","rd","th"),"")</f>
        <v/>
      </c>
    </row>
    <row r="497" spans="8:14" x14ac:dyDescent="0.25">
      <c r="H497" s="201" t="str">
        <f t="shared" si="7"/>
        <v/>
      </c>
      <c r="N497" s="164" t="str">
        <f>IFERROR(COUNTIF($C$18:C497,C497)&amp;CHOOSE(MIN(4,COUNTIF($C$18:C497,C497)),"st","nd","rd","th"),"")</f>
        <v/>
      </c>
    </row>
    <row r="498" spans="8:14" x14ac:dyDescent="0.25">
      <c r="H498" s="201" t="str">
        <f t="shared" si="7"/>
        <v/>
      </c>
      <c r="N498" s="164" t="str">
        <f>IFERROR(COUNTIF($C$18:C498,C498)&amp;CHOOSE(MIN(4,COUNTIF($C$18:C498,C498)),"st","nd","rd","th"),"")</f>
        <v/>
      </c>
    </row>
    <row r="499" spans="8:14" x14ac:dyDescent="0.25">
      <c r="H499" s="201" t="str">
        <f t="shared" si="7"/>
        <v/>
      </c>
      <c r="N499" s="164" t="str">
        <f>IFERROR(COUNTIF($C$18:C499,C499)&amp;CHOOSE(MIN(4,COUNTIF($C$18:C499,C499)),"st","nd","rd","th"),"")</f>
        <v/>
      </c>
    </row>
    <row r="500" spans="8:14" x14ac:dyDescent="0.25">
      <c r="H500" s="201" t="str">
        <f t="shared" si="7"/>
        <v/>
      </c>
      <c r="N500" s="164" t="str">
        <f>IFERROR(COUNTIF($C$18:C500,C500)&amp;CHOOSE(MIN(4,COUNTIF($C$18:C500,C500)),"st","nd","rd","th"),"")</f>
        <v/>
      </c>
    </row>
    <row r="501" spans="8:14" x14ac:dyDescent="0.25">
      <c r="H501" s="201" t="str">
        <f t="shared" si="7"/>
        <v/>
      </c>
      <c r="N501" s="164" t="str">
        <f>IFERROR(COUNTIF($C$18:C501,C501)&amp;CHOOSE(MIN(4,COUNTIF($C$18:C501,C501)),"st","nd","rd","th"),"")</f>
        <v/>
      </c>
    </row>
    <row r="502" spans="8:14" x14ac:dyDescent="0.25">
      <c r="H502" s="201" t="str">
        <f t="shared" si="7"/>
        <v/>
      </c>
      <c r="N502" s="164" t="str">
        <f>IFERROR(COUNTIF($C$18:C502,C502)&amp;CHOOSE(MIN(4,COUNTIF($C$18:C502,C502)),"st","nd","rd","th"),"")</f>
        <v/>
      </c>
    </row>
    <row r="503" spans="8:14" x14ac:dyDescent="0.25">
      <c r="H503" s="201" t="str">
        <f t="shared" si="7"/>
        <v/>
      </c>
      <c r="N503" s="164" t="str">
        <f>IFERROR(COUNTIF($C$18:C503,C503)&amp;CHOOSE(MIN(4,COUNTIF($C$18:C503,C503)),"st","nd","rd","th"),"")</f>
        <v/>
      </c>
    </row>
    <row r="504" spans="8:14" x14ac:dyDescent="0.25">
      <c r="H504" s="201" t="str">
        <f t="shared" si="7"/>
        <v/>
      </c>
      <c r="N504" s="164" t="str">
        <f>IFERROR(COUNTIF($C$18:C504,C504)&amp;CHOOSE(MIN(4,COUNTIF($C$18:C504,C504)),"st","nd","rd","th"),"")</f>
        <v/>
      </c>
    </row>
    <row r="505" spans="8:14" x14ac:dyDescent="0.25">
      <c r="H505" s="201" t="str">
        <f t="shared" si="7"/>
        <v/>
      </c>
      <c r="N505" s="164" t="str">
        <f>IFERROR(COUNTIF($C$18:C505,C505)&amp;CHOOSE(MIN(4,COUNTIF($C$18:C505,C505)),"st","nd","rd","th"),"")</f>
        <v/>
      </c>
    </row>
    <row r="506" spans="8:14" x14ac:dyDescent="0.25">
      <c r="H506" s="201" t="str">
        <f t="shared" si="7"/>
        <v/>
      </c>
      <c r="N506" s="164" t="str">
        <f>IFERROR(COUNTIF($C$18:C506,C506)&amp;CHOOSE(MIN(4,COUNTIF($C$18:C506,C506)),"st","nd","rd","th"),"")</f>
        <v/>
      </c>
    </row>
    <row r="507" spans="8:14" x14ac:dyDescent="0.25">
      <c r="H507" s="201" t="str">
        <f t="shared" si="7"/>
        <v/>
      </c>
      <c r="N507" s="164" t="str">
        <f>IFERROR(COUNTIF($C$18:C507,C507)&amp;CHOOSE(MIN(4,COUNTIF($C$18:C507,C507)),"st","nd","rd","th"),"")</f>
        <v/>
      </c>
    </row>
    <row r="508" spans="8:14" x14ac:dyDescent="0.25">
      <c r="H508" s="201" t="str">
        <f t="shared" si="7"/>
        <v/>
      </c>
      <c r="N508" s="164" t="str">
        <f>IFERROR(COUNTIF($C$18:C508,C508)&amp;CHOOSE(MIN(4,COUNTIF($C$18:C508,C508)),"st","nd","rd","th"),"")</f>
        <v/>
      </c>
    </row>
    <row r="509" spans="8:14" x14ac:dyDescent="0.25">
      <c r="H509" s="201" t="str">
        <f t="shared" si="7"/>
        <v/>
      </c>
      <c r="N509" s="164" t="str">
        <f>IFERROR(COUNTIF($C$18:C509,C509)&amp;CHOOSE(MIN(4,COUNTIF($C$18:C509,C509)),"st","nd","rd","th"),"")</f>
        <v/>
      </c>
    </row>
    <row r="510" spans="8:14" x14ac:dyDescent="0.25">
      <c r="H510" s="201" t="str">
        <f t="shared" si="7"/>
        <v/>
      </c>
      <c r="N510" s="164" t="str">
        <f>IFERROR(COUNTIF($C$18:C510,C510)&amp;CHOOSE(MIN(4,COUNTIF($C$18:C510,C510)),"st","nd","rd","th"),"")</f>
        <v/>
      </c>
    </row>
    <row r="511" spans="8:14" x14ac:dyDescent="0.25">
      <c r="H511" s="201" t="str">
        <f t="shared" si="7"/>
        <v/>
      </c>
      <c r="N511" s="164" t="str">
        <f>IFERROR(COUNTIF($C$18:C511,C511)&amp;CHOOSE(MIN(4,COUNTIF($C$18:C511,C511)),"st","nd","rd","th"),"")</f>
        <v/>
      </c>
    </row>
    <row r="512" spans="8:14" x14ac:dyDescent="0.25">
      <c r="H512" s="201" t="str">
        <f t="shared" si="7"/>
        <v/>
      </c>
      <c r="N512" s="164" t="str">
        <f>IFERROR(COUNTIF($C$18:C512,C512)&amp;CHOOSE(MIN(4,COUNTIF($C$18:C512,C512)),"st","nd","rd","th"),"")</f>
        <v/>
      </c>
    </row>
    <row r="513" spans="8:14" x14ac:dyDescent="0.25">
      <c r="H513" s="201" t="str">
        <f t="shared" si="7"/>
        <v/>
      </c>
      <c r="N513" s="164" t="str">
        <f>IFERROR(COUNTIF($C$18:C513,C513)&amp;CHOOSE(MIN(4,COUNTIF($C$18:C513,C513)),"st","nd","rd","th"),"")</f>
        <v/>
      </c>
    </row>
    <row r="514" spans="8:14" x14ac:dyDescent="0.25">
      <c r="H514" s="201" t="str">
        <f t="shared" si="7"/>
        <v/>
      </c>
      <c r="N514" s="164" t="str">
        <f>IFERROR(COUNTIF($C$18:C514,C514)&amp;CHOOSE(MIN(4,COUNTIF($C$18:C514,C514)),"st","nd","rd","th"),"")</f>
        <v/>
      </c>
    </row>
    <row r="515" spans="8:14" x14ac:dyDescent="0.25">
      <c r="H515" s="201" t="str">
        <f t="shared" si="7"/>
        <v/>
      </c>
      <c r="N515" s="164" t="str">
        <f>IFERROR(COUNTIF($C$18:C515,C515)&amp;CHOOSE(MIN(4,COUNTIF($C$18:C515,C515)),"st","nd","rd","th"),"")</f>
        <v/>
      </c>
    </row>
    <row r="516" spans="8:14" x14ac:dyDescent="0.25">
      <c r="H516" s="201" t="str">
        <f t="shared" si="7"/>
        <v/>
      </c>
      <c r="N516" s="164" t="str">
        <f>IFERROR(COUNTIF($C$18:C516,C516)&amp;CHOOSE(MIN(4,COUNTIF($C$18:C516,C516)),"st","nd","rd","th"),"")</f>
        <v/>
      </c>
    </row>
    <row r="517" spans="8:14" x14ac:dyDescent="0.25">
      <c r="H517" s="201" t="str">
        <f t="shared" si="7"/>
        <v/>
      </c>
      <c r="N517" s="164" t="str">
        <f>IFERROR(COUNTIF($C$18:C517,C517)&amp;CHOOSE(MIN(4,COUNTIF($C$18:C517,C517)),"st","nd","rd","th"),"")</f>
        <v/>
      </c>
    </row>
    <row r="518" spans="8:14" x14ac:dyDescent="0.25">
      <c r="H518" s="201" t="str">
        <f t="shared" si="7"/>
        <v/>
      </c>
      <c r="N518" s="164" t="str">
        <f>IFERROR(COUNTIF($C$18:C518,C518)&amp;CHOOSE(MIN(4,COUNTIF($C$18:C518,C518)),"st","nd","rd","th"),"")</f>
        <v/>
      </c>
    </row>
    <row r="519" spans="8:14" x14ac:dyDescent="0.25">
      <c r="H519" s="201" t="str">
        <f t="shared" si="7"/>
        <v/>
      </c>
      <c r="N519" s="164" t="str">
        <f>IFERROR(COUNTIF($C$18:C519,C519)&amp;CHOOSE(MIN(4,COUNTIF($C$18:C519,C519)),"st","nd","rd","th"),"")</f>
        <v/>
      </c>
    </row>
    <row r="520" spans="8:14" x14ac:dyDescent="0.25">
      <c r="H520" s="201" t="str">
        <f t="shared" si="7"/>
        <v/>
      </c>
      <c r="N520" s="164" t="str">
        <f>IFERROR(COUNTIF($C$18:C520,C520)&amp;CHOOSE(MIN(4,COUNTIF($C$18:C520,C520)),"st","nd","rd","th"),"")</f>
        <v/>
      </c>
    </row>
    <row r="521" spans="8:14" x14ac:dyDescent="0.25">
      <c r="H521" s="201" t="str">
        <f t="shared" si="7"/>
        <v/>
      </c>
      <c r="N521" s="164" t="str">
        <f>IFERROR(COUNTIF($C$18:C521,C521)&amp;CHOOSE(MIN(4,COUNTIF($C$18:C521,C521)),"st","nd","rd","th"),"")</f>
        <v/>
      </c>
    </row>
    <row r="522" spans="8:14" x14ac:dyDescent="0.25">
      <c r="H522" s="201" t="str">
        <f t="shared" si="7"/>
        <v/>
      </c>
      <c r="N522" s="164" t="str">
        <f>IFERROR(COUNTIF($C$18:C522,C522)&amp;CHOOSE(MIN(4,COUNTIF($C$18:C522,C522)),"st","nd","rd","th"),"")</f>
        <v/>
      </c>
    </row>
    <row r="523" spans="8:14" x14ac:dyDescent="0.25">
      <c r="H523" s="201" t="str">
        <f t="shared" si="7"/>
        <v/>
      </c>
      <c r="N523" s="164" t="str">
        <f>IFERROR(COUNTIF($C$18:C523,C523)&amp;CHOOSE(MIN(4,COUNTIF($C$18:C523,C523)),"st","nd","rd","th"),"")</f>
        <v/>
      </c>
    </row>
    <row r="524" spans="8:14" x14ac:dyDescent="0.25">
      <c r="H524" s="201" t="str">
        <f t="shared" si="7"/>
        <v/>
      </c>
      <c r="N524" s="164" t="str">
        <f>IFERROR(COUNTIF($C$18:C524,C524)&amp;CHOOSE(MIN(4,COUNTIF($C$18:C524,C524)),"st","nd","rd","th"),"")</f>
        <v/>
      </c>
    </row>
    <row r="525" spans="8:14" x14ac:dyDescent="0.25">
      <c r="H525" s="201" t="str">
        <f t="shared" si="7"/>
        <v/>
      </c>
      <c r="N525" s="164" t="str">
        <f>IFERROR(COUNTIF($C$18:C525,C525)&amp;CHOOSE(MIN(4,COUNTIF($C$18:C525,C525)),"st","nd","rd","th"),"")</f>
        <v/>
      </c>
    </row>
    <row r="526" spans="8:14" x14ac:dyDescent="0.25">
      <c r="H526" s="201" t="str">
        <f t="shared" si="7"/>
        <v/>
      </c>
      <c r="N526" s="164" t="str">
        <f>IFERROR(COUNTIF($C$18:C526,C526)&amp;CHOOSE(MIN(4,COUNTIF($C$18:C526,C526)),"st","nd","rd","th"),"")</f>
        <v/>
      </c>
    </row>
    <row r="527" spans="8:14" x14ac:dyDescent="0.25">
      <c r="H527" s="201" t="str">
        <f t="shared" si="7"/>
        <v/>
      </c>
      <c r="N527" s="164" t="str">
        <f>IFERROR(COUNTIF($C$18:C527,C527)&amp;CHOOSE(MIN(4,COUNTIF($C$18:C527,C527)),"st","nd","rd","th"),"")</f>
        <v/>
      </c>
    </row>
    <row r="528" spans="8:14" x14ac:dyDescent="0.25">
      <c r="H528" s="201" t="str">
        <f t="shared" si="7"/>
        <v/>
      </c>
      <c r="N528" s="164" t="str">
        <f>IFERROR(COUNTIF($C$18:C528,C528)&amp;CHOOSE(MIN(4,COUNTIF($C$18:C528,C528)),"st","nd","rd","th"),"")</f>
        <v/>
      </c>
    </row>
    <row r="529" spans="8:14" x14ac:dyDescent="0.25">
      <c r="H529" s="201" t="str">
        <f t="shared" ref="H529:H592" si="8">IF(OR(ISBLANK(G529), ISBLANK(F529)), "", IF(G529=F529, 1, SUM(_xlfn.DAYS(G529, F529), 1)))</f>
        <v/>
      </c>
      <c r="N529" s="164" t="str">
        <f>IFERROR(COUNTIF($C$18:C529,C529)&amp;CHOOSE(MIN(4,COUNTIF($C$18:C529,C529)),"st","nd","rd","th"),"")</f>
        <v/>
      </c>
    </row>
    <row r="530" spans="8:14" x14ac:dyDescent="0.25">
      <c r="H530" s="201" t="str">
        <f t="shared" si="8"/>
        <v/>
      </c>
      <c r="N530" s="164" t="str">
        <f>IFERROR(COUNTIF($C$18:C530,C530)&amp;CHOOSE(MIN(4,COUNTIF($C$18:C530,C530)),"st","nd","rd","th"),"")</f>
        <v/>
      </c>
    </row>
    <row r="531" spans="8:14" x14ac:dyDescent="0.25">
      <c r="H531" s="201" t="str">
        <f t="shared" si="8"/>
        <v/>
      </c>
      <c r="N531" s="164" t="str">
        <f>IFERROR(COUNTIF($C$18:C531,C531)&amp;CHOOSE(MIN(4,COUNTIF($C$18:C531,C531)),"st","nd","rd","th"),"")</f>
        <v/>
      </c>
    </row>
    <row r="532" spans="8:14" x14ac:dyDescent="0.25">
      <c r="H532" s="201" t="str">
        <f t="shared" si="8"/>
        <v/>
      </c>
      <c r="N532" s="164" t="str">
        <f>IFERROR(COUNTIF($C$18:C532,C532)&amp;CHOOSE(MIN(4,COUNTIF($C$18:C532,C532)),"st","nd","rd","th"),"")</f>
        <v/>
      </c>
    </row>
    <row r="533" spans="8:14" x14ac:dyDescent="0.25">
      <c r="H533" s="201" t="str">
        <f t="shared" si="8"/>
        <v/>
      </c>
      <c r="N533" s="164" t="str">
        <f>IFERROR(COUNTIF($C$18:C533,C533)&amp;CHOOSE(MIN(4,COUNTIF($C$18:C533,C533)),"st","nd","rd","th"),"")</f>
        <v/>
      </c>
    </row>
    <row r="534" spans="8:14" x14ac:dyDescent="0.25">
      <c r="H534" s="201" t="str">
        <f t="shared" si="8"/>
        <v/>
      </c>
      <c r="N534" s="164" t="str">
        <f>IFERROR(COUNTIF($C$18:C534,C534)&amp;CHOOSE(MIN(4,COUNTIF($C$18:C534,C534)),"st","nd","rd","th"),"")</f>
        <v/>
      </c>
    </row>
    <row r="535" spans="8:14" x14ac:dyDescent="0.25">
      <c r="H535" s="201" t="str">
        <f t="shared" si="8"/>
        <v/>
      </c>
      <c r="N535" s="164" t="str">
        <f>IFERROR(COUNTIF($C$18:C535,C535)&amp;CHOOSE(MIN(4,COUNTIF($C$18:C535,C535)),"st","nd","rd","th"),"")</f>
        <v/>
      </c>
    </row>
    <row r="536" spans="8:14" x14ac:dyDescent="0.25">
      <c r="H536" s="201" t="str">
        <f t="shared" si="8"/>
        <v/>
      </c>
      <c r="N536" s="164" t="str">
        <f>IFERROR(COUNTIF($C$18:C536,C536)&amp;CHOOSE(MIN(4,COUNTIF($C$18:C536,C536)),"st","nd","rd","th"),"")</f>
        <v/>
      </c>
    </row>
    <row r="537" spans="8:14" x14ac:dyDescent="0.25">
      <c r="H537" s="201" t="str">
        <f t="shared" si="8"/>
        <v/>
      </c>
      <c r="N537" s="164" t="str">
        <f>IFERROR(COUNTIF($C$18:C537,C537)&amp;CHOOSE(MIN(4,COUNTIF($C$18:C537,C537)),"st","nd","rd","th"),"")</f>
        <v/>
      </c>
    </row>
    <row r="538" spans="8:14" x14ac:dyDescent="0.25">
      <c r="H538" s="201" t="str">
        <f t="shared" si="8"/>
        <v/>
      </c>
      <c r="N538" s="164" t="str">
        <f>IFERROR(COUNTIF($C$18:C538,C538)&amp;CHOOSE(MIN(4,COUNTIF($C$18:C538,C538)),"st","nd","rd","th"),"")</f>
        <v/>
      </c>
    </row>
    <row r="539" spans="8:14" x14ac:dyDescent="0.25">
      <c r="H539" s="201" t="str">
        <f t="shared" si="8"/>
        <v/>
      </c>
      <c r="N539" s="164" t="str">
        <f>IFERROR(COUNTIF($C$18:C539,C539)&amp;CHOOSE(MIN(4,COUNTIF($C$18:C539,C539)),"st","nd","rd","th"),"")</f>
        <v/>
      </c>
    </row>
    <row r="540" spans="8:14" x14ac:dyDescent="0.25">
      <c r="H540" s="201" t="str">
        <f t="shared" si="8"/>
        <v/>
      </c>
      <c r="N540" s="164" t="str">
        <f>IFERROR(COUNTIF($C$18:C540,C540)&amp;CHOOSE(MIN(4,COUNTIF($C$18:C540,C540)),"st","nd","rd","th"),"")</f>
        <v/>
      </c>
    </row>
    <row r="541" spans="8:14" x14ac:dyDescent="0.25">
      <c r="H541" s="201" t="str">
        <f t="shared" si="8"/>
        <v/>
      </c>
      <c r="N541" s="164" t="str">
        <f>IFERROR(COUNTIF($C$18:C541,C541)&amp;CHOOSE(MIN(4,COUNTIF($C$18:C541,C541)),"st","nd","rd","th"),"")</f>
        <v/>
      </c>
    </row>
    <row r="542" spans="8:14" x14ac:dyDescent="0.25">
      <c r="H542" s="201" t="str">
        <f t="shared" si="8"/>
        <v/>
      </c>
      <c r="N542" s="164" t="str">
        <f>IFERROR(COUNTIF($C$18:C542,C542)&amp;CHOOSE(MIN(4,COUNTIF($C$18:C542,C542)),"st","nd","rd","th"),"")</f>
        <v/>
      </c>
    </row>
    <row r="543" spans="8:14" x14ac:dyDescent="0.25">
      <c r="H543" s="201" t="str">
        <f t="shared" si="8"/>
        <v/>
      </c>
      <c r="N543" s="164" t="str">
        <f>IFERROR(COUNTIF($C$18:C543,C543)&amp;CHOOSE(MIN(4,COUNTIF($C$18:C543,C543)),"st","nd","rd","th"),"")</f>
        <v/>
      </c>
    </row>
    <row r="544" spans="8:14" x14ac:dyDescent="0.25">
      <c r="H544" s="201" t="str">
        <f t="shared" si="8"/>
        <v/>
      </c>
      <c r="N544" s="164" t="str">
        <f>IFERROR(COUNTIF($C$18:C544,C544)&amp;CHOOSE(MIN(4,COUNTIF($C$18:C544,C544)),"st","nd","rd","th"),"")</f>
        <v/>
      </c>
    </row>
    <row r="545" spans="8:14" x14ac:dyDescent="0.25">
      <c r="H545" s="201" t="str">
        <f t="shared" si="8"/>
        <v/>
      </c>
      <c r="N545" s="164" t="str">
        <f>IFERROR(COUNTIF($C$18:C545,C545)&amp;CHOOSE(MIN(4,COUNTIF($C$18:C545,C545)),"st","nd","rd","th"),"")</f>
        <v/>
      </c>
    </row>
    <row r="546" spans="8:14" x14ac:dyDescent="0.25">
      <c r="H546" s="201" t="str">
        <f t="shared" si="8"/>
        <v/>
      </c>
      <c r="N546" s="164" t="str">
        <f>IFERROR(COUNTIF($C$18:C546,C546)&amp;CHOOSE(MIN(4,COUNTIF($C$18:C546,C546)),"st","nd","rd","th"),"")</f>
        <v/>
      </c>
    </row>
    <row r="547" spans="8:14" x14ac:dyDescent="0.25">
      <c r="H547" s="201" t="str">
        <f t="shared" si="8"/>
        <v/>
      </c>
      <c r="N547" s="164" t="str">
        <f>IFERROR(COUNTIF($C$18:C547,C547)&amp;CHOOSE(MIN(4,COUNTIF($C$18:C547,C547)),"st","nd","rd","th"),"")</f>
        <v/>
      </c>
    </row>
    <row r="548" spans="8:14" x14ac:dyDescent="0.25">
      <c r="H548" s="201" t="str">
        <f t="shared" si="8"/>
        <v/>
      </c>
      <c r="N548" s="164" t="str">
        <f>IFERROR(COUNTIF($C$18:C548,C548)&amp;CHOOSE(MIN(4,COUNTIF($C$18:C548,C548)),"st","nd","rd","th"),"")</f>
        <v/>
      </c>
    </row>
    <row r="549" spans="8:14" x14ac:dyDescent="0.25">
      <c r="H549" s="201" t="str">
        <f t="shared" si="8"/>
        <v/>
      </c>
      <c r="N549" s="164" t="str">
        <f>IFERROR(COUNTIF($C$18:C549,C549)&amp;CHOOSE(MIN(4,COUNTIF($C$18:C549,C549)),"st","nd","rd","th"),"")</f>
        <v/>
      </c>
    </row>
    <row r="550" spans="8:14" x14ac:dyDescent="0.25">
      <c r="H550" s="201" t="str">
        <f t="shared" si="8"/>
        <v/>
      </c>
      <c r="N550" s="164" t="str">
        <f>IFERROR(COUNTIF($C$18:C550,C550)&amp;CHOOSE(MIN(4,COUNTIF($C$18:C550,C550)),"st","nd","rd","th"),"")</f>
        <v/>
      </c>
    </row>
    <row r="551" spans="8:14" x14ac:dyDescent="0.25">
      <c r="H551" s="201" t="str">
        <f t="shared" si="8"/>
        <v/>
      </c>
      <c r="N551" s="164" t="str">
        <f>IFERROR(COUNTIF($C$18:C551,C551)&amp;CHOOSE(MIN(4,COUNTIF($C$18:C551,C551)),"st","nd","rd","th"),"")</f>
        <v/>
      </c>
    </row>
    <row r="552" spans="8:14" x14ac:dyDescent="0.25">
      <c r="H552" s="201" t="str">
        <f t="shared" si="8"/>
        <v/>
      </c>
      <c r="N552" s="164" t="str">
        <f>IFERROR(COUNTIF($C$18:C552,C552)&amp;CHOOSE(MIN(4,COUNTIF($C$18:C552,C552)),"st","nd","rd","th"),"")</f>
        <v/>
      </c>
    </row>
    <row r="553" spans="8:14" x14ac:dyDescent="0.25">
      <c r="H553" s="201" t="str">
        <f t="shared" si="8"/>
        <v/>
      </c>
      <c r="N553" s="164" t="str">
        <f>IFERROR(COUNTIF($C$18:C553,C553)&amp;CHOOSE(MIN(4,COUNTIF($C$18:C553,C553)),"st","nd","rd","th"),"")</f>
        <v/>
      </c>
    </row>
    <row r="554" spans="8:14" x14ac:dyDescent="0.25">
      <c r="H554" s="201" t="str">
        <f t="shared" si="8"/>
        <v/>
      </c>
      <c r="N554" s="164" t="str">
        <f>IFERROR(COUNTIF($C$18:C554,C554)&amp;CHOOSE(MIN(4,COUNTIF($C$18:C554,C554)),"st","nd","rd","th"),"")</f>
        <v/>
      </c>
    </row>
    <row r="555" spans="8:14" x14ac:dyDescent="0.25">
      <c r="H555" s="201" t="str">
        <f t="shared" si="8"/>
        <v/>
      </c>
      <c r="N555" s="164" t="str">
        <f>IFERROR(COUNTIF($C$18:C555,C555)&amp;CHOOSE(MIN(4,COUNTIF($C$18:C555,C555)),"st","nd","rd","th"),"")</f>
        <v/>
      </c>
    </row>
    <row r="556" spans="8:14" x14ac:dyDescent="0.25">
      <c r="H556" s="201" t="str">
        <f t="shared" si="8"/>
        <v/>
      </c>
      <c r="N556" s="164" t="str">
        <f>IFERROR(COUNTIF($C$18:C556,C556)&amp;CHOOSE(MIN(4,COUNTIF($C$18:C556,C556)),"st","nd","rd","th"),"")</f>
        <v/>
      </c>
    </row>
    <row r="557" spans="8:14" x14ac:dyDescent="0.25">
      <c r="H557" s="201" t="str">
        <f t="shared" si="8"/>
        <v/>
      </c>
      <c r="N557" s="164" t="str">
        <f>IFERROR(COUNTIF($C$18:C557,C557)&amp;CHOOSE(MIN(4,COUNTIF($C$18:C557,C557)),"st","nd","rd","th"),"")</f>
        <v/>
      </c>
    </row>
    <row r="558" spans="8:14" x14ac:dyDescent="0.25">
      <c r="H558" s="201" t="str">
        <f t="shared" si="8"/>
        <v/>
      </c>
      <c r="N558" s="164" t="str">
        <f>IFERROR(COUNTIF($C$18:C558,C558)&amp;CHOOSE(MIN(4,COUNTIF($C$18:C558,C558)),"st","nd","rd","th"),"")</f>
        <v/>
      </c>
    </row>
    <row r="559" spans="8:14" x14ac:dyDescent="0.25">
      <c r="H559" s="201" t="str">
        <f t="shared" si="8"/>
        <v/>
      </c>
      <c r="N559" s="164" t="str">
        <f>IFERROR(COUNTIF($C$18:C559,C559)&amp;CHOOSE(MIN(4,COUNTIF($C$18:C559,C559)),"st","nd","rd","th"),"")</f>
        <v/>
      </c>
    </row>
    <row r="560" spans="8:14" x14ac:dyDescent="0.25">
      <c r="H560" s="201" t="str">
        <f t="shared" si="8"/>
        <v/>
      </c>
      <c r="N560" s="164" t="str">
        <f>IFERROR(COUNTIF($C$18:C560,C560)&amp;CHOOSE(MIN(4,COUNTIF($C$18:C560,C560)),"st","nd","rd","th"),"")</f>
        <v/>
      </c>
    </row>
    <row r="561" spans="8:14" x14ac:dyDescent="0.25">
      <c r="H561" s="201" t="str">
        <f t="shared" si="8"/>
        <v/>
      </c>
      <c r="N561" s="164" t="str">
        <f>IFERROR(COUNTIF($C$18:C561,C561)&amp;CHOOSE(MIN(4,COUNTIF($C$18:C561,C561)),"st","nd","rd","th"),"")</f>
        <v/>
      </c>
    </row>
    <row r="562" spans="8:14" x14ac:dyDescent="0.25">
      <c r="H562" s="201" t="str">
        <f t="shared" si="8"/>
        <v/>
      </c>
      <c r="N562" s="164" t="str">
        <f>IFERROR(COUNTIF($C$18:C562,C562)&amp;CHOOSE(MIN(4,COUNTIF($C$18:C562,C562)),"st","nd","rd","th"),"")</f>
        <v/>
      </c>
    </row>
    <row r="563" spans="8:14" x14ac:dyDescent="0.25">
      <c r="H563" s="201" t="str">
        <f t="shared" si="8"/>
        <v/>
      </c>
      <c r="N563" s="164" t="str">
        <f>IFERROR(COUNTIF($C$18:C563,C563)&amp;CHOOSE(MIN(4,COUNTIF($C$18:C563,C563)),"st","nd","rd","th"),"")</f>
        <v/>
      </c>
    </row>
    <row r="564" spans="8:14" x14ac:dyDescent="0.25">
      <c r="H564" s="201" t="str">
        <f t="shared" si="8"/>
        <v/>
      </c>
      <c r="N564" s="164" t="str">
        <f>IFERROR(COUNTIF($C$18:C564,C564)&amp;CHOOSE(MIN(4,COUNTIF($C$18:C564,C564)),"st","nd","rd","th"),"")</f>
        <v/>
      </c>
    </row>
    <row r="565" spans="8:14" x14ac:dyDescent="0.25">
      <c r="H565" s="201" t="str">
        <f t="shared" si="8"/>
        <v/>
      </c>
      <c r="N565" s="164" t="str">
        <f>IFERROR(COUNTIF($C$18:C565,C565)&amp;CHOOSE(MIN(4,COUNTIF($C$18:C565,C565)),"st","nd","rd","th"),"")</f>
        <v/>
      </c>
    </row>
    <row r="566" spans="8:14" x14ac:dyDescent="0.25">
      <c r="H566" s="201" t="str">
        <f t="shared" si="8"/>
        <v/>
      </c>
      <c r="N566" s="164" t="str">
        <f>IFERROR(COUNTIF($C$18:C566,C566)&amp;CHOOSE(MIN(4,COUNTIF($C$18:C566,C566)),"st","nd","rd","th"),"")</f>
        <v/>
      </c>
    </row>
    <row r="567" spans="8:14" x14ac:dyDescent="0.25">
      <c r="H567" s="201" t="str">
        <f t="shared" si="8"/>
        <v/>
      </c>
      <c r="N567" s="164" t="str">
        <f>IFERROR(COUNTIF($C$18:C567,C567)&amp;CHOOSE(MIN(4,COUNTIF($C$18:C567,C567)),"st","nd","rd","th"),"")</f>
        <v/>
      </c>
    </row>
    <row r="568" spans="8:14" x14ac:dyDescent="0.25">
      <c r="H568" s="201" t="str">
        <f t="shared" si="8"/>
        <v/>
      </c>
      <c r="N568" s="164" t="str">
        <f>IFERROR(COUNTIF($C$18:C568,C568)&amp;CHOOSE(MIN(4,COUNTIF($C$18:C568,C568)),"st","nd","rd","th"),"")</f>
        <v/>
      </c>
    </row>
    <row r="569" spans="8:14" x14ac:dyDescent="0.25">
      <c r="H569" s="201" t="str">
        <f t="shared" si="8"/>
        <v/>
      </c>
      <c r="N569" s="164" t="str">
        <f>IFERROR(COUNTIF($C$18:C569,C569)&amp;CHOOSE(MIN(4,COUNTIF($C$18:C569,C569)),"st","nd","rd","th"),"")</f>
        <v/>
      </c>
    </row>
    <row r="570" spans="8:14" x14ac:dyDescent="0.25">
      <c r="H570" s="201" t="str">
        <f t="shared" si="8"/>
        <v/>
      </c>
      <c r="N570" s="164" t="str">
        <f>IFERROR(COUNTIF($C$18:C570,C570)&amp;CHOOSE(MIN(4,COUNTIF($C$18:C570,C570)),"st","nd","rd","th"),"")</f>
        <v/>
      </c>
    </row>
    <row r="571" spans="8:14" x14ac:dyDescent="0.25">
      <c r="H571" s="201" t="str">
        <f t="shared" si="8"/>
        <v/>
      </c>
      <c r="N571" s="164" t="str">
        <f>IFERROR(COUNTIF($C$18:C571,C571)&amp;CHOOSE(MIN(4,COUNTIF($C$18:C571,C571)),"st","nd","rd","th"),"")</f>
        <v/>
      </c>
    </row>
    <row r="572" spans="8:14" x14ac:dyDescent="0.25">
      <c r="H572" s="201" t="str">
        <f t="shared" si="8"/>
        <v/>
      </c>
      <c r="N572" s="164" t="str">
        <f>IFERROR(COUNTIF($C$18:C572,C572)&amp;CHOOSE(MIN(4,COUNTIF($C$18:C572,C572)),"st","nd","rd","th"),"")</f>
        <v/>
      </c>
    </row>
    <row r="573" spans="8:14" x14ac:dyDescent="0.25">
      <c r="H573" s="201" t="str">
        <f t="shared" si="8"/>
        <v/>
      </c>
      <c r="N573" s="164" t="str">
        <f>IFERROR(COUNTIF($C$18:C573,C573)&amp;CHOOSE(MIN(4,COUNTIF($C$18:C573,C573)),"st","nd","rd","th"),"")</f>
        <v/>
      </c>
    </row>
    <row r="574" spans="8:14" x14ac:dyDescent="0.25">
      <c r="H574" s="201" t="str">
        <f t="shared" si="8"/>
        <v/>
      </c>
      <c r="N574" s="164" t="str">
        <f>IFERROR(COUNTIF($C$18:C574,C574)&amp;CHOOSE(MIN(4,COUNTIF($C$18:C574,C574)),"st","nd","rd","th"),"")</f>
        <v/>
      </c>
    </row>
    <row r="575" spans="8:14" x14ac:dyDescent="0.25">
      <c r="H575" s="201" t="str">
        <f t="shared" si="8"/>
        <v/>
      </c>
      <c r="N575" s="164" t="str">
        <f>IFERROR(COUNTIF($C$18:C575,C575)&amp;CHOOSE(MIN(4,COUNTIF($C$18:C575,C575)),"st","nd","rd","th"),"")</f>
        <v/>
      </c>
    </row>
    <row r="576" spans="8:14" x14ac:dyDescent="0.25">
      <c r="H576" s="201" t="str">
        <f t="shared" si="8"/>
        <v/>
      </c>
      <c r="N576" s="164" t="str">
        <f>IFERROR(COUNTIF($C$18:C576,C576)&amp;CHOOSE(MIN(4,COUNTIF($C$18:C576,C576)),"st","nd","rd","th"),"")</f>
        <v/>
      </c>
    </row>
    <row r="577" spans="8:14" x14ac:dyDescent="0.25">
      <c r="H577" s="201" t="str">
        <f t="shared" si="8"/>
        <v/>
      </c>
      <c r="N577" s="164" t="str">
        <f>IFERROR(COUNTIF($C$18:C577,C577)&amp;CHOOSE(MIN(4,COUNTIF($C$18:C577,C577)),"st","nd","rd","th"),"")</f>
        <v/>
      </c>
    </row>
    <row r="578" spans="8:14" x14ac:dyDescent="0.25">
      <c r="H578" s="201" t="str">
        <f t="shared" si="8"/>
        <v/>
      </c>
      <c r="N578" s="164" t="str">
        <f>IFERROR(COUNTIF($C$18:C578,C578)&amp;CHOOSE(MIN(4,COUNTIF($C$18:C578,C578)),"st","nd","rd","th"),"")</f>
        <v/>
      </c>
    </row>
    <row r="579" spans="8:14" x14ac:dyDescent="0.25">
      <c r="H579" s="201" t="str">
        <f t="shared" si="8"/>
        <v/>
      </c>
      <c r="N579" s="164" t="str">
        <f>IFERROR(COUNTIF($C$18:C579,C579)&amp;CHOOSE(MIN(4,COUNTIF($C$18:C579,C579)),"st","nd","rd","th"),"")</f>
        <v/>
      </c>
    </row>
    <row r="580" spans="8:14" x14ac:dyDescent="0.25">
      <c r="H580" s="201" t="str">
        <f t="shared" si="8"/>
        <v/>
      </c>
      <c r="N580" s="164" t="str">
        <f>IFERROR(COUNTIF($C$18:C580,C580)&amp;CHOOSE(MIN(4,COUNTIF($C$18:C580,C580)),"st","nd","rd","th"),"")</f>
        <v/>
      </c>
    </row>
    <row r="581" spans="8:14" x14ac:dyDescent="0.25">
      <c r="H581" s="201" t="str">
        <f t="shared" si="8"/>
        <v/>
      </c>
      <c r="N581" s="164" t="str">
        <f>IFERROR(COUNTIF($C$18:C581,C581)&amp;CHOOSE(MIN(4,COUNTIF($C$18:C581,C581)),"st","nd","rd","th"),"")</f>
        <v/>
      </c>
    </row>
    <row r="582" spans="8:14" x14ac:dyDescent="0.25">
      <c r="H582" s="201" t="str">
        <f t="shared" si="8"/>
        <v/>
      </c>
      <c r="N582" s="164" t="str">
        <f>IFERROR(COUNTIF($C$18:C582,C582)&amp;CHOOSE(MIN(4,COUNTIF($C$18:C582,C582)),"st","nd","rd","th"),"")</f>
        <v/>
      </c>
    </row>
    <row r="583" spans="8:14" x14ac:dyDescent="0.25">
      <c r="H583" s="201" t="str">
        <f t="shared" si="8"/>
        <v/>
      </c>
      <c r="N583" s="164" t="str">
        <f>IFERROR(COUNTIF($C$18:C583,C583)&amp;CHOOSE(MIN(4,COUNTIF($C$18:C583,C583)),"st","nd","rd","th"),"")</f>
        <v/>
      </c>
    </row>
    <row r="584" spans="8:14" x14ac:dyDescent="0.25">
      <c r="H584" s="201" t="str">
        <f t="shared" si="8"/>
        <v/>
      </c>
      <c r="N584" s="164" t="str">
        <f>IFERROR(COUNTIF($C$18:C584,C584)&amp;CHOOSE(MIN(4,COUNTIF($C$18:C584,C584)),"st","nd","rd","th"),"")</f>
        <v/>
      </c>
    </row>
    <row r="585" spans="8:14" x14ac:dyDescent="0.25">
      <c r="H585" s="201" t="str">
        <f t="shared" si="8"/>
        <v/>
      </c>
      <c r="N585" s="164" t="str">
        <f>IFERROR(COUNTIF($C$18:C585,C585)&amp;CHOOSE(MIN(4,COUNTIF($C$18:C585,C585)),"st","nd","rd","th"),"")</f>
        <v/>
      </c>
    </row>
    <row r="586" spans="8:14" x14ac:dyDescent="0.25">
      <c r="H586" s="201" t="str">
        <f t="shared" si="8"/>
        <v/>
      </c>
      <c r="N586" s="164" t="str">
        <f>IFERROR(COUNTIF($C$18:C586,C586)&amp;CHOOSE(MIN(4,COUNTIF($C$18:C586,C586)),"st","nd","rd","th"),"")</f>
        <v/>
      </c>
    </row>
    <row r="587" spans="8:14" x14ac:dyDescent="0.25">
      <c r="H587" s="201" t="str">
        <f t="shared" si="8"/>
        <v/>
      </c>
      <c r="N587" s="164" t="str">
        <f>IFERROR(COUNTIF($C$18:C587,C587)&amp;CHOOSE(MIN(4,COUNTIF($C$18:C587,C587)),"st","nd","rd","th"),"")</f>
        <v/>
      </c>
    </row>
    <row r="588" spans="8:14" x14ac:dyDescent="0.25">
      <c r="H588" s="201" t="str">
        <f t="shared" si="8"/>
        <v/>
      </c>
      <c r="N588" s="164" t="str">
        <f>IFERROR(COUNTIF($C$18:C588,C588)&amp;CHOOSE(MIN(4,COUNTIF($C$18:C588,C588)),"st","nd","rd","th"),"")</f>
        <v/>
      </c>
    </row>
    <row r="589" spans="8:14" x14ac:dyDescent="0.25">
      <c r="H589" s="201" t="str">
        <f t="shared" si="8"/>
        <v/>
      </c>
      <c r="N589" s="164" t="str">
        <f>IFERROR(COUNTIF($C$18:C589,C589)&amp;CHOOSE(MIN(4,COUNTIF($C$18:C589,C589)),"st","nd","rd","th"),"")</f>
        <v/>
      </c>
    </row>
    <row r="590" spans="8:14" x14ac:dyDescent="0.25">
      <c r="H590" s="201" t="str">
        <f t="shared" si="8"/>
        <v/>
      </c>
      <c r="N590" s="164" t="str">
        <f>IFERROR(COUNTIF($C$18:C590,C590)&amp;CHOOSE(MIN(4,COUNTIF($C$18:C590,C590)),"st","nd","rd","th"),"")</f>
        <v/>
      </c>
    </row>
    <row r="591" spans="8:14" x14ac:dyDescent="0.25">
      <c r="H591" s="201" t="str">
        <f t="shared" si="8"/>
        <v/>
      </c>
      <c r="N591" s="164" t="str">
        <f>IFERROR(COUNTIF($C$18:C591,C591)&amp;CHOOSE(MIN(4,COUNTIF($C$18:C591,C591)),"st","nd","rd","th"),"")</f>
        <v/>
      </c>
    </row>
    <row r="592" spans="8:14" x14ac:dyDescent="0.25">
      <c r="H592" s="201" t="str">
        <f t="shared" si="8"/>
        <v/>
      </c>
      <c r="N592" s="164" t="str">
        <f>IFERROR(COUNTIF($C$18:C592,C592)&amp;CHOOSE(MIN(4,COUNTIF($C$18:C592,C592)),"st","nd","rd","th"),"")</f>
        <v/>
      </c>
    </row>
    <row r="593" spans="8:14" x14ac:dyDescent="0.25">
      <c r="H593" s="201" t="str">
        <f t="shared" ref="H593:H656" si="9">IF(OR(ISBLANK(G593), ISBLANK(F593)), "", IF(G593=F593, 1, SUM(_xlfn.DAYS(G593, F593), 1)))</f>
        <v/>
      </c>
      <c r="N593" s="164" t="str">
        <f>IFERROR(COUNTIF($C$18:C593,C593)&amp;CHOOSE(MIN(4,COUNTIF($C$18:C593,C593)),"st","nd","rd","th"),"")</f>
        <v/>
      </c>
    </row>
    <row r="594" spans="8:14" x14ac:dyDescent="0.25">
      <c r="H594" s="201" t="str">
        <f t="shared" si="9"/>
        <v/>
      </c>
      <c r="N594" s="164" t="str">
        <f>IFERROR(COUNTIF($C$18:C594,C594)&amp;CHOOSE(MIN(4,COUNTIF($C$18:C594,C594)),"st","nd","rd","th"),"")</f>
        <v/>
      </c>
    </row>
    <row r="595" spans="8:14" x14ac:dyDescent="0.25">
      <c r="H595" s="201" t="str">
        <f t="shared" si="9"/>
        <v/>
      </c>
      <c r="N595" s="164" t="str">
        <f>IFERROR(COUNTIF($C$18:C595,C595)&amp;CHOOSE(MIN(4,COUNTIF($C$18:C595,C595)),"st","nd","rd","th"),"")</f>
        <v/>
      </c>
    </row>
    <row r="596" spans="8:14" x14ac:dyDescent="0.25">
      <c r="H596" s="201" t="str">
        <f t="shared" si="9"/>
        <v/>
      </c>
      <c r="N596" s="164" t="str">
        <f>IFERROR(COUNTIF($C$18:C596,C596)&amp;CHOOSE(MIN(4,COUNTIF($C$18:C596,C596)),"st","nd","rd","th"),"")</f>
        <v/>
      </c>
    </row>
    <row r="597" spans="8:14" x14ac:dyDescent="0.25">
      <c r="H597" s="201" t="str">
        <f t="shared" si="9"/>
        <v/>
      </c>
      <c r="N597" s="164" t="str">
        <f>IFERROR(COUNTIF($C$18:C597,C597)&amp;CHOOSE(MIN(4,COUNTIF($C$18:C597,C597)),"st","nd","rd","th"),"")</f>
        <v/>
      </c>
    </row>
    <row r="598" spans="8:14" x14ac:dyDescent="0.25">
      <c r="H598" s="201" t="str">
        <f t="shared" si="9"/>
        <v/>
      </c>
      <c r="N598" s="164" t="str">
        <f>IFERROR(COUNTIF($C$18:C598,C598)&amp;CHOOSE(MIN(4,COUNTIF($C$18:C598,C598)),"st","nd","rd","th"),"")</f>
        <v/>
      </c>
    </row>
    <row r="599" spans="8:14" x14ac:dyDescent="0.25">
      <c r="H599" s="201" t="str">
        <f t="shared" si="9"/>
        <v/>
      </c>
      <c r="N599" s="164" t="str">
        <f>IFERROR(COUNTIF($C$18:C599,C599)&amp;CHOOSE(MIN(4,COUNTIF($C$18:C599,C599)),"st","nd","rd","th"),"")</f>
        <v/>
      </c>
    </row>
    <row r="600" spans="8:14" x14ac:dyDescent="0.25">
      <c r="H600" s="201" t="str">
        <f t="shared" si="9"/>
        <v/>
      </c>
      <c r="N600" s="164" t="str">
        <f>IFERROR(COUNTIF($C$18:C600,C600)&amp;CHOOSE(MIN(4,COUNTIF($C$18:C600,C600)),"st","nd","rd","th"),"")</f>
        <v/>
      </c>
    </row>
    <row r="601" spans="8:14" x14ac:dyDescent="0.25">
      <c r="H601" s="201" t="str">
        <f t="shared" si="9"/>
        <v/>
      </c>
      <c r="N601" s="164" t="str">
        <f>IFERROR(COUNTIF($C$18:C601,C601)&amp;CHOOSE(MIN(4,COUNTIF($C$18:C601,C601)),"st","nd","rd","th"),"")</f>
        <v/>
      </c>
    </row>
    <row r="602" spans="8:14" x14ac:dyDescent="0.25">
      <c r="H602" s="201" t="str">
        <f t="shared" si="9"/>
        <v/>
      </c>
      <c r="N602" s="164" t="str">
        <f>IFERROR(COUNTIF($C$18:C602,C602)&amp;CHOOSE(MIN(4,COUNTIF($C$18:C602,C602)),"st","nd","rd","th"),"")</f>
        <v/>
      </c>
    </row>
    <row r="603" spans="8:14" x14ac:dyDescent="0.25">
      <c r="H603" s="201" t="str">
        <f t="shared" si="9"/>
        <v/>
      </c>
      <c r="N603" s="164" t="str">
        <f>IFERROR(COUNTIF($C$18:C603,C603)&amp;CHOOSE(MIN(4,COUNTIF($C$18:C603,C603)),"st","nd","rd","th"),"")</f>
        <v/>
      </c>
    </row>
    <row r="604" spans="8:14" x14ac:dyDescent="0.25">
      <c r="H604" s="201" t="str">
        <f t="shared" si="9"/>
        <v/>
      </c>
      <c r="N604" s="164" t="str">
        <f>IFERROR(COUNTIF($C$18:C604,C604)&amp;CHOOSE(MIN(4,COUNTIF($C$18:C604,C604)),"st","nd","rd","th"),"")</f>
        <v/>
      </c>
    </row>
    <row r="605" spans="8:14" x14ac:dyDescent="0.25">
      <c r="H605" s="201" t="str">
        <f t="shared" si="9"/>
        <v/>
      </c>
      <c r="N605" s="164" t="str">
        <f>IFERROR(COUNTIF($C$18:C605,C605)&amp;CHOOSE(MIN(4,COUNTIF($C$18:C605,C605)),"st","nd","rd","th"),"")</f>
        <v/>
      </c>
    </row>
    <row r="606" spans="8:14" x14ac:dyDescent="0.25">
      <c r="H606" s="201" t="str">
        <f t="shared" si="9"/>
        <v/>
      </c>
      <c r="N606" s="164" t="str">
        <f>IFERROR(COUNTIF($C$18:C606,C606)&amp;CHOOSE(MIN(4,COUNTIF($C$18:C606,C606)),"st","nd","rd","th"),"")</f>
        <v/>
      </c>
    </row>
    <row r="607" spans="8:14" x14ac:dyDescent="0.25">
      <c r="H607" s="201" t="str">
        <f t="shared" si="9"/>
        <v/>
      </c>
      <c r="N607" s="164" t="str">
        <f>IFERROR(COUNTIF($C$18:C607,C607)&amp;CHOOSE(MIN(4,COUNTIF($C$18:C607,C607)),"st","nd","rd","th"),"")</f>
        <v/>
      </c>
    </row>
    <row r="608" spans="8:14" x14ac:dyDescent="0.25">
      <c r="H608" s="201" t="str">
        <f t="shared" si="9"/>
        <v/>
      </c>
      <c r="N608" s="164" t="str">
        <f>IFERROR(COUNTIF($C$18:C608,C608)&amp;CHOOSE(MIN(4,COUNTIF($C$18:C608,C608)),"st","nd","rd","th"),"")</f>
        <v/>
      </c>
    </row>
    <row r="609" spans="8:14" x14ac:dyDescent="0.25">
      <c r="H609" s="201" t="str">
        <f t="shared" si="9"/>
        <v/>
      </c>
      <c r="N609" s="164" t="str">
        <f>IFERROR(COUNTIF($C$18:C609,C609)&amp;CHOOSE(MIN(4,COUNTIF($C$18:C609,C609)),"st","nd","rd","th"),"")</f>
        <v/>
      </c>
    </row>
    <row r="610" spans="8:14" x14ac:dyDescent="0.25">
      <c r="H610" s="201" t="str">
        <f t="shared" si="9"/>
        <v/>
      </c>
      <c r="N610" s="164" t="str">
        <f>IFERROR(COUNTIF($C$18:C610,C610)&amp;CHOOSE(MIN(4,COUNTIF($C$18:C610,C610)),"st","nd","rd","th"),"")</f>
        <v/>
      </c>
    </row>
    <row r="611" spans="8:14" x14ac:dyDescent="0.25">
      <c r="H611" s="201" t="str">
        <f t="shared" si="9"/>
        <v/>
      </c>
      <c r="N611" s="164" t="str">
        <f>IFERROR(COUNTIF($C$18:C611,C611)&amp;CHOOSE(MIN(4,COUNTIF($C$18:C611,C611)),"st","nd","rd","th"),"")</f>
        <v/>
      </c>
    </row>
    <row r="612" spans="8:14" x14ac:dyDescent="0.25">
      <c r="H612" s="201" t="str">
        <f t="shared" si="9"/>
        <v/>
      </c>
      <c r="N612" s="164" t="str">
        <f>IFERROR(COUNTIF($C$18:C612,C612)&amp;CHOOSE(MIN(4,COUNTIF($C$18:C612,C612)),"st","nd","rd","th"),"")</f>
        <v/>
      </c>
    </row>
    <row r="613" spans="8:14" x14ac:dyDescent="0.25">
      <c r="H613" s="201" t="str">
        <f t="shared" si="9"/>
        <v/>
      </c>
      <c r="N613" s="164" t="str">
        <f>IFERROR(COUNTIF($C$18:C613,C613)&amp;CHOOSE(MIN(4,COUNTIF($C$18:C613,C613)),"st","nd","rd","th"),"")</f>
        <v/>
      </c>
    </row>
    <row r="614" spans="8:14" x14ac:dyDescent="0.25">
      <c r="H614" s="201" t="str">
        <f t="shared" si="9"/>
        <v/>
      </c>
      <c r="N614" s="164" t="str">
        <f>IFERROR(COUNTIF($C$18:C614,C614)&amp;CHOOSE(MIN(4,COUNTIF($C$18:C614,C614)),"st","nd","rd","th"),"")</f>
        <v/>
      </c>
    </row>
    <row r="615" spans="8:14" x14ac:dyDescent="0.25">
      <c r="H615" s="201" t="str">
        <f t="shared" si="9"/>
        <v/>
      </c>
      <c r="N615" s="164" t="str">
        <f>IFERROR(COUNTIF($C$18:C615,C615)&amp;CHOOSE(MIN(4,COUNTIF($C$18:C615,C615)),"st","nd","rd","th"),"")</f>
        <v/>
      </c>
    </row>
    <row r="616" spans="8:14" x14ac:dyDescent="0.25">
      <c r="H616" s="201" t="str">
        <f t="shared" si="9"/>
        <v/>
      </c>
      <c r="N616" s="164" t="str">
        <f>IFERROR(COUNTIF($C$18:C616,C616)&amp;CHOOSE(MIN(4,COUNTIF($C$18:C616,C616)),"st","nd","rd","th"),"")</f>
        <v/>
      </c>
    </row>
    <row r="617" spans="8:14" x14ac:dyDescent="0.25">
      <c r="H617" s="201" t="str">
        <f t="shared" si="9"/>
        <v/>
      </c>
      <c r="N617" s="164" t="str">
        <f>IFERROR(COUNTIF($C$18:C617,C617)&amp;CHOOSE(MIN(4,COUNTIF($C$18:C617,C617)),"st","nd","rd","th"),"")</f>
        <v/>
      </c>
    </row>
    <row r="618" spans="8:14" x14ac:dyDescent="0.25">
      <c r="H618" s="201" t="str">
        <f t="shared" si="9"/>
        <v/>
      </c>
      <c r="N618" s="164" t="str">
        <f>IFERROR(COUNTIF($C$18:C618,C618)&amp;CHOOSE(MIN(4,COUNTIF($C$18:C618,C618)),"st","nd","rd","th"),"")</f>
        <v/>
      </c>
    </row>
    <row r="619" spans="8:14" x14ac:dyDescent="0.25">
      <c r="H619" s="201" t="str">
        <f t="shared" si="9"/>
        <v/>
      </c>
      <c r="N619" s="164" t="str">
        <f>IFERROR(COUNTIF($C$18:C619,C619)&amp;CHOOSE(MIN(4,COUNTIF($C$18:C619,C619)),"st","nd","rd","th"),"")</f>
        <v/>
      </c>
    </row>
    <row r="620" spans="8:14" x14ac:dyDescent="0.25">
      <c r="H620" s="201" t="str">
        <f t="shared" si="9"/>
        <v/>
      </c>
      <c r="N620" s="164" t="str">
        <f>IFERROR(COUNTIF($C$18:C620,C620)&amp;CHOOSE(MIN(4,COUNTIF($C$18:C620,C620)),"st","nd","rd","th"),"")</f>
        <v/>
      </c>
    </row>
    <row r="621" spans="8:14" x14ac:dyDescent="0.25">
      <c r="H621" s="201" t="str">
        <f t="shared" si="9"/>
        <v/>
      </c>
      <c r="N621" s="164" t="str">
        <f>IFERROR(COUNTIF($C$18:C621,C621)&amp;CHOOSE(MIN(4,COUNTIF($C$18:C621,C621)),"st","nd","rd","th"),"")</f>
        <v/>
      </c>
    </row>
    <row r="622" spans="8:14" x14ac:dyDescent="0.25">
      <c r="H622" s="201" t="str">
        <f t="shared" si="9"/>
        <v/>
      </c>
      <c r="N622" s="164" t="str">
        <f>IFERROR(COUNTIF($C$18:C622,C622)&amp;CHOOSE(MIN(4,COUNTIF($C$18:C622,C622)),"st","nd","rd","th"),"")</f>
        <v/>
      </c>
    </row>
    <row r="623" spans="8:14" x14ac:dyDescent="0.25">
      <c r="H623" s="201" t="str">
        <f t="shared" si="9"/>
        <v/>
      </c>
      <c r="N623" s="164" t="str">
        <f>IFERROR(COUNTIF($C$18:C623,C623)&amp;CHOOSE(MIN(4,COUNTIF($C$18:C623,C623)),"st","nd","rd","th"),"")</f>
        <v/>
      </c>
    </row>
    <row r="624" spans="8:14" x14ac:dyDescent="0.25">
      <c r="H624" s="201" t="str">
        <f t="shared" si="9"/>
        <v/>
      </c>
      <c r="N624" s="164" t="str">
        <f>IFERROR(COUNTIF($C$18:C624,C624)&amp;CHOOSE(MIN(4,COUNTIF($C$18:C624,C624)),"st","nd","rd","th"),"")</f>
        <v/>
      </c>
    </row>
    <row r="625" spans="8:14" x14ac:dyDescent="0.25">
      <c r="H625" s="201" t="str">
        <f t="shared" si="9"/>
        <v/>
      </c>
      <c r="N625" s="164" t="str">
        <f>IFERROR(COUNTIF($C$18:C625,C625)&amp;CHOOSE(MIN(4,COUNTIF($C$18:C625,C625)),"st","nd","rd","th"),"")</f>
        <v/>
      </c>
    </row>
    <row r="626" spans="8:14" x14ac:dyDescent="0.25">
      <c r="H626" s="201" t="str">
        <f t="shared" si="9"/>
        <v/>
      </c>
      <c r="N626" s="164" t="str">
        <f>IFERROR(COUNTIF($C$18:C626,C626)&amp;CHOOSE(MIN(4,COUNTIF($C$18:C626,C626)),"st","nd","rd","th"),"")</f>
        <v/>
      </c>
    </row>
    <row r="627" spans="8:14" x14ac:dyDescent="0.25">
      <c r="H627" s="201" t="str">
        <f t="shared" si="9"/>
        <v/>
      </c>
      <c r="N627" s="164" t="str">
        <f>IFERROR(COUNTIF($C$18:C627,C627)&amp;CHOOSE(MIN(4,COUNTIF($C$18:C627,C627)),"st","nd","rd","th"),"")</f>
        <v/>
      </c>
    </row>
    <row r="628" spans="8:14" x14ac:dyDescent="0.25">
      <c r="H628" s="201" t="str">
        <f t="shared" si="9"/>
        <v/>
      </c>
      <c r="N628" s="164" t="str">
        <f>IFERROR(COUNTIF($C$18:C628,C628)&amp;CHOOSE(MIN(4,COUNTIF($C$18:C628,C628)),"st","nd","rd","th"),"")</f>
        <v/>
      </c>
    </row>
    <row r="629" spans="8:14" x14ac:dyDescent="0.25">
      <c r="H629" s="201" t="str">
        <f t="shared" si="9"/>
        <v/>
      </c>
      <c r="N629" s="164" t="str">
        <f>IFERROR(COUNTIF($C$18:C629,C629)&amp;CHOOSE(MIN(4,COUNTIF($C$18:C629,C629)),"st","nd","rd","th"),"")</f>
        <v/>
      </c>
    </row>
    <row r="630" spans="8:14" x14ac:dyDescent="0.25">
      <c r="H630" s="201" t="str">
        <f t="shared" si="9"/>
        <v/>
      </c>
      <c r="N630" s="164" t="str">
        <f>IFERROR(COUNTIF($C$18:C630,C630)&amp;CHOOSE(MIN(4,COUNTIF($C$18:C630,C630)),"st","nd","rd","th"),"")</f>
        <v/>
      </c>
    </row>
    <row r="631" spans="8:14" x14ac:dyDescent="0.25">
      <c r="H631" s="201" t="str">
        <f t="shared" si="9"/>
        <v/>
      </c>
      <c r="N631" s="164" t="str">
        <f>IFERROR(COUNTIF($C$18:C631,C631)&amp;CHOOSE(MIN(4,COUNTIF($C$18:C631,C631)),"st","nd","rd","th"),"")</f>
        <v/>
      </c>
    </row>
    <row r="632" spans="8:14" x14ac:dyDescent="0.25">
      <c r="H632" s="201" t="str">
        <f t="shared" si="9"/>
        <v/>
      </c>
      <c r="N632" s="164" t="str">
        <f>IFERROR(COUNTIF($C$18:C632,C632)&amp;CHOOSE(MIN(4,COUNTIF($C$18:C632,C632)),"st","nd","rd","th"),"")</f>
        <v/>
      </c>
    </row>
    <row r="633" spans="8:14" x14ac:dyDescent="0.25">
      <c r="H633" s="201" t="str">
        <f t="shared" si="9"/>
        <v/>
      </c>
      <c r="N633" s="164" t="str">
        <f>IFERROR(COUNTIF($C$18:C633,C633)&amp;CHOOSE(MIN(4,COUNTIF($C$18:C633,C633)),"st","nd","rd","th"),"")</f>
        <v/>
      </c>
    </row>
    <row r="634" spans="8:14" x14ac:dyDescent="0.25">
      <c r="H634" s="201" t="str">
        <f t="shared" si="9"/>
        <v/>
      </c>
      <c r="N634" s="164" t="str">
        <f>IFERROR(COUNTIF($C$18:C634,C634)&amp;CHOOSE(MIN(4,COUNTIF($C$18:C634,C634)),"st","nd","rd","th"),"")</f>
        <v/>
      </c>
    </row>
    <row r="635" spans="8:14" x14ac:dyDescent="0.25">
      <c r="H635" s="201" t="str">
        <f t="shared" si="9"/>
        <v/>
      </c>
      <c r="N635" s="164" t="str">
        <f>IFERROR(COUNTIF($C$18:C635,C635)&amp;CHOOSE(MIN(4,COUNTIF($C$18:C635,C635)),"st","nd","rd","th"),"")</f>
        <v/>
      </c>
    </row>
    <row r="636" spans="8:14" x14ac:dyDescent="0.25">
      <c r="H636" s="201" t="str">
        <f t="shared" si="9"/>
        <v/>
      </c>
      <c r="N636" s="164" t="str">
        <f>IFERROR(COUNTIF($C$18:C636,C636)&amp;CHOOSE(MIN(4,COUNTIF($C$18:C636,C636)),"st","nd","rd","th"),"")</f>
        <v/>
      </c>
    </row>
    <row r="637" spans="8:14" x14ac:dyDescent="0.25">
      <c r="H637" s="201" t="str">
        <f t="shared" si="9"/>
        <v/>
      </c>
      <c r="N637" s="164" t="str">
        <f>IFERROR(COUNTIF($C$18:C637,C637)&amp;CHOOSE(MIN(4,COUNTIF($C$18:C637,C637)),"st","nd","rd","th"),"")</f>
        <v/>
      </c>
    </row>
    <row r="638" spans="8:14" x14ac:dyDescent="0.25">
      <c r="H638" s="201" t="str">
        <f t="shared" si="9"/>
        <v/>
      </c>
      <c r="N638" s="164" t="str">
        <f>IFERROR(COUNTIF($C$18:C638,C638)&amp;CHOOSE(MIN(4,COUNTIF($C$18:C638,C638)),"st","nd","rd","th"),"")</f>
        <v/>
      </c>
    </row>
    <row r="639" spans="8:14" x14ac:dyDescent="0.25">
      <c r="H639" s="201" t="str">
        <f t="shared" si="9"/>
        <v/>
      </c>
      <c r="N639" s="164" t="str">
        <f>IFERROR(COUNTIF($C$18:C639,C639)&amp;CHOOSE(MIN(4,COUNTIF($C$18:C639,C639)),"st","nd","rd","th"),"")</f>
        <v/>
      </c>
    </row>
    <row r="640" spans="8:14" x14ac:dyDescent="0.25">
      <c r="H640" s="201" t="str">
        <f t="shared" si="9"/>
        <v/>
      </c>
      <c r="N640" s="164" t="str">
        <f>IFERROR(COUNTIF($C$18:C640,C640)&amp;CHOOSE(MIN(4,COUNTIF($C$18:C640,C640)),"st","nd","rd","th"),"")</f>
        <v/>
      </c>
    </row>
    <row r="641" spans="8:14" x14ac:dyDescent="0.25">
      <c r="H641" s="201" t="str">
        <f t="shared" si="9"/>
        <v/>
      </c>
      <c r="N641" s="164" t="str">
        <f>IFERROR(COUNTIF($C$18:C641,C641)&amp;CHOOSE(MIN(4,COUNTIF($C$18:C641,C641)),"st","nd","rd","th"),"")</f>
        <v/>
      </c>
    </row>
    <row r="642" spans="8:14" x14ac:dyDescent="0.25">
      <c r="H642" s="201" t="str">
        <f t="shared" si="9"/>
        <v/>
      </c>
      <c r="N642" s="164" t="str">
        <f>IFERROR(COUNTIF($C$18:C642,C642)&amp;CHOOSE(MIN(4,COUNTIF($C$18:C642,C642)),"st","nd","rd","th"),"")</f>
        <v/>
      </c>
    </row>
    <row r="643" spans="8:14" x14ac:dyDescent="0.25">
      <c r="H643" s="201" t="str">
        <f t="shared" si="9"/>
        <v/>
      </c>
      <c r="N643" s="164" t="str">
        <f>IFERROR(COUNTIF($C$18:C643,C643)&amp;CHOOSE(MIN(4,COUNTIF($C$18:C643,C643)),"st","nd","rd","th"),"")</f>
        <v/>
      </c>
    </row>
    <row r="644" spans="8:14" x14ac:dyDescent="0.25">
      <c r="H644" s="201" t="str">
        <f t="shared" si="9"/>
        <v/>
      </c>
      <c r="N644" s="164" t="str">
        <f>IFERROR(COUNTIF($C$18:C644,C644)&amp;CHOOSE(MIN(4,COUNTIF($C$18:C644,C644)),"st","nd","rd","th"),"")</f>
        <v/>
      </c>
    </row>
    <row r="645" spans="8:14" x14ac:dyDescent="0.25">
      <c r="H645" s="201" t="str">
        <f t="shared" si="9"/>
        <v/>
      </c>
      <c r="N645" s="164" t="str">
        <f>IFERROR(COUNTIF($C$18:C645,C645)&amp;CHOOSE(MIN(4,COUNTIF($C$18:C645,C645)),"st","nd","rd","th"),"")</f>
        <v/>
      </c>
    </row>
    <row r="646" spans="8:14" x14ac:dyDescent="0.25">
      <c r="H646" s="201" t="str">
        <f t="shared" si="9"/>
        <v/>
      </c>
      <c r="N646" s="164" t="str">
        <f>IFERROR(COUNTIF($C$18:C646,C646)&amp;CHOOSE(MIN(4,COUNTIF($C$18:C646,C646)),"st","nd","rd","th"),"")</f>
        <v/>
      </c>
    </row>
    <row r="647" spans="8:14" x14ac:dyDescent="0.25">
      <c r="H647" s="201" t="str">
        <f t="shared" si="9"/>
        <v/>
      </c>
      <c r="N647" s="164" t="str">
        <f>IFERROR(COUNTIF($C$18:C647,C647)&amp;CHOOSE(MIN(4,COUNTIF($C$18:C647,C647)),"st","nd","rd","th"),"")</f>
        <v/>
      </c>
    </row>
    <row r="648" spans="8:14" x14ac:dyDescent="0.25">
      <c r="H648" s="201" t="str">
        <f t="shared" si="9"/>
        <v/>
      </c>
      <c r="N648" s="164" t="str">
        <f>IFERROR(COUNTIF($C$18:C648,C648)&amp;CHOOSE(MIN(4,COUNTIF($C$18:C648,C648)),"st","nd","rd","th"),"")</f>
        <v/>
      </c>
    </row>
    <row r="649" spans="8:14" x14ac:dyDescent="0.25">
      <c r="H649" s="201" t="str">
        <f t="shared" si="9"/>
        <v/>
      </c>
      <c r="N649" s="164" t="str">
        <f>IFERROR(COUNTIF($C$18:C649,C649)&amp;CHOOSE(MIN(4,COUNTIF($C$18:C649,C649)),"st","nd","rd","th"),"")</f>
        <v/>
      </c>
    </row>
    <row r="650" spans="8:14" x14ac:dyDescent="0.25">
      <c r="H650" s="201" t="str">
        <f t="shared" si="9"/>
        <v/>
      </c>
      <c r="N650" s="164" t="str">
        <f>IFERROR(COUNTIF($C$18:C650,C650)&amp;CHOOSE(MIN(4,COUNTIF($C$18:C650,C650)),"st","nd","rd","th"),"")</f>
        <v/>
      </c>
    </row>
    <row r="651" spans="8:14" x14ac:dyDescent="0.25">
      <c r="H651" s="201" t="str">
        <f t="shared" si="9"/>
        <v/>
      </c>
      <c r="N651" s="164" t="str">
        <f>IFERROR(COUNTIF($C$18:C651,C651)&amp;CHOOSE(MIN(4,COUNTIF($C$18:C651,C651)),"st","nd","rd","th"),"")</f>
        <v/>
      </c>
    </row>
    <row r="652" spans="8:14" x14ac:dyDescent="0.25">
      <c r="H652" s="201" t="str">
        <f t="shared" si="9"/>
        <v/>
      </c>
      <c r="N652" s="164" t="str">
        <f>IFERROR(COUNTIF($C$18:C652,C652)&amp;CHOOSE(MIN(4,COUNTIF($C$18:C652,C652)),"st","nd","rd","th"),"")</f>
        <v/>
      </c>
    </row>
    <row r="653" spans="8:14" x14ac:dyDescent="0.25">
      <c r="H653" s="201" t="str">
        <f t="shared" si="9"/>
        <v/>
      </c>
      <c r="N653" s="164" t="str">
        <f>IFERROR(COUNTIF($C$18:C653,C653)&amp;CHOOSE(MIN(4,COUNTIF($C$18:C653,C653)),"st","nd","rd","th"),"")</f>
        <v/>
      </c>
    </row>
    <row r="654" spans="8:14" x14ac:dyDescent="0.25">
      <c r="H654" s="201" t="str">
        <f t="shared" si="9"/>
        <v/>
      </c>
      <c r="N654" s="164" t="str">
        <f>IFERROR(COUNTIF($C$18:C654,C654)&amp;CHOOSE(MIN(4,COUNTIF($C$18:C654,C654)),"st","nd","rd","th"),"")</f>
        <v/>
      </c>
    </row>
    <row r="655" spans="8:14" x14ac:dyDescent="0.25">
      <c r="H655" s="201" t="str">
        <f t="shared" si="9"/>
        <v/>
      </c>
      <c r="N655" s="164" t="str">
        <f>IFERROR(COUNTIF($C$18:C655,C655)&amp;CHOOSE(MIN(4,COUNTIF($C$18:C655,C655)),"st","nd","rd","th"),"")</f>
        <v/>
      </c>
    </row>
    <row r="656" spans="8:14" x14ac:dyDescent="0.25">
      <c r="H656" s="201" t="str">
        <f t="shared" si="9"/>
        <v/>
      </c>
      <c r="N656" s="164" t="str">
        <f>IFERROR(COUNTIF($C$18:C656,C656)&amp;CHOOSE(MIN(4,COUNTIF($C$18:C656,C656)),"st","nd","rd","th"),"")</f>
        <v/>
      </c>
    </row>
    <row r="657" spans="8:14" x14ac:dyDescent="0.25">
      <c r="H657" s="201" t="str">
        <f t="shared" ref="H657:H720" si="10">IF(OR(ISBLANK(G657), ISBLANK(F657)), "", IF(G657=F657, 1, SUM(_xlfn.DAYS(G657, F657), 1)))</f>
        <v/>
      </c>
      <c r="N657" s="164" t="str">
        <f>IFERROR(COUNTIF($C$18:C657,C657)&amp;CHOOSE(MIN(4,COUNTIF($C$18:C657,C657)),"st","nd","rd","th"),"")</f>
        <v/>
      </c>
    </row>
    <row r="658" spans="8:14" x14ac:dyDescent="0.25">
      <c r="H658" s="201" t="str">
        <f t="shared" si="10"/>
        <v/>
      </c>
      <c r="N658" s="164" t="str">
        <f>IFERROR(COUNTIF($C$18:C658,C658)&amp;CHOOSE(MIN(4,COUNTIF($C$18:C658,C658)),"st","nd","rd","th"),"")</f>
        <v/>
      </c>
    </row>
    <row r="659" spans="8:14" x14ac:dyDescent="0.25">
      <c r="H659" s="201" t="str">
        <f t="shared" si="10"/>
        <v/>
      </c>
      <c r="N659" s="164" t="str">
        <f>IFERROR(COUNTIF($C$18:C659,C659)&amp;CHOOSE(MIN(4,COUNTIF($C$18:C659,C659)),"st","nd","rd","th"),"")</f>
        <v/>
      </c>
    </row>
    <row r="660" spans="8:14" x14ac:dyDescent="0.25">
      <c r="H660" s="201" t="str">
        <f t="shared" si="10"/>
        <v/>
      </c>
      <c r="N660" s="164" t="str">
        <f>IFERROR(COUNTIF($C$18:C660,C660)&amp;CHOOSE(MIN(4,COUNTIF($C$18:C660,C660)),"st","nd","rd","th"),"")</f>
        <v/>
      </c>
    </row>
    <row r="661" spans="8:14" x14ac:dyDescent="0.25">
      <c r="H661" s="201" t="str">
        <f t="shared" si="10"/>
        <v/>
      </c>
      <c r="N661" s="164" t="str">
        <f>IFERROR(COUNTIF($C$18:C661,C661)&amp;CHOOSE(MIN(4,COUNTIF($C$18:C661,C661)),"st","nd","rd","th"),"")</f>
        <v/>
      </c>
    </row>
    <row r="662" spans="8:14" x14ac:dyDescent="0.25">
      <c r="H662" s="201" t="str">
        <f t="shared" si="10"/>
        <v/>
      </c>
      <c r="N662" s="164" t="str">
        <f>IFERROR(COUNTIF($C$18:C662,C662)&amp;CHOOSE(MIN(4,COUNTIF($C$18:C662,C662)),"st","nd","rd","th"),"")</f>
        <v/>
      </c>
    </row>
    <row r="663" spans="8:14" x14ac:dyDescent="0.25">
      <c r="H663" s="201" t="str">
        <f t="shared" si="10"/>
        <v/>
      </c>
      <c r="N663" s="164" t="str">
        <f>IFERROR(COUNTIF($C$18:C663,C663)&amp;CHOOSE(MIN(4,COUNTIF($C$18:C663,C663)),"st","nd","rd","th"),"")</f>
        <v/>
      </c>
    </row>
    <row r="664" spans="8:14" x14ac:dyDescent="0.25">
      <c r="H664" s="201" t="str">
        <f t="shared" si="10"/>
        <v/>
      </c>
      <c r="N664" s="164" t="str">
        <f>IFERROR(COUNTIF($C$18:C664,C664)&amp;CHOOSE(MIN(4,COUNTIF($C$18:C664,C664)),"st","nd","rd","th"),"")</f>
        <v/>
      </c>
    </row>
    <row r="665" spans="8:14" x14ac:dyDescent="0.25">
      <c r="H665" s="201" t="str">
        <f t="shared" si="10"/>
        <v/>
      </c>
      <c r="N665" s="164" t="str">
        <f>IFERROR(COUNTIF($C$18:C665,C665)&amp;CHOOSE(MIN(4,COUNTIF($C$18:C665,C665)),"st","nd","rd","th"),"")</f>
        <v/>
      </c>
    </row>
    <row r="666" spans="8:14" x14ac:dyDescent="0.25">
      <c r="H666" s="201" t="str">
        <f t="shared" si="10"/>
        <v/>
      </c>
      <c r="N666" s="164" t="str">
        <f>IFERROR(COUNTIF($C$18:C666,C666)&amp;CHOOSE(MIN(4,COUNTIF($C$18:C666,C666)),"st","nd","rd","th"),"")</f>
        <v/>
      </c>
    </row>
    <row r="667" spans="8:14" x14ac:dyDescent="0.25">
      <c r="H667" s="201" t="str">
        <f t="shared" si="10"/>
        <v/>
      </c>
      <c r="N667" s="164" t="str">
        <f>IFERROR(COUNTIF($C$18:C667,C667)&amp;CHOOSE(MIN(4,COUNTIF($C$18:C667,C667)),"st","nd","rd","th"),"")</f>
        <v/>
      </c>
    </row>
    <row r="668" spans="8:14" x14ac:dyDescent="0.25">
      <c r="H668" s="201" t="str">
        <f t="shared" si="10"/>
        <v/>
      </c>
      <c r="N668" s="164" t="str">
        <f>IFERROR(COUNTIF($C$18:C668,C668)&amp;CHOOSE(MIN(4,COUNTIF($C$18:C668,C668)),"st","nd","rd","th"),"")</f>
        <v/>
      </c>
    </row>
    <row r="669" spans="8:14" x14ac:dyDescent="0.25">
      <c r="H669" s="201" t="str">
        <f t="shared" si="10"/>
        <v/>
      </c>
      <c r="N669" s="164" t="str">
        <f>IFERROR(COUNTIF($C$18:C669,C669)&amp;CHOOSE(MIN(4,COUNTIF($C$18:C669,C669)),"st","nd","rd","th"),"")</f>
        <v/>
      </c>
    </row>
    <row r="670" spans="8:14" x14ac:dyDescent="0.25">
      <c r="H670" s="201" t="str">
        <f t="shared" si="10"/>
        <v/>
      </c>
      <c r="N670" s="164" t="str">
        <f>IFERROR(COUNTIF($C$18:C670,C670)&amp;CHOOSE(MIN(4,COUNTIF($C$18:C670,C670)),"st","nd","rd","th"),"")</f>
        <v/>
      </c>
    </row>
    <row r="671" spans="8:14" x14ac:dyDescent="0.25">
      <c r="H671" s="201" t="str">
        <f t="shared" si="10"/>
        <v/>
      </c>
      <c r="N671" s="164" t="str">
        <f>IFERROR(COUNTIF($C$18:C671,C671)&amp;CHOOSE(MIN(4,COUNTIF($C$18:C671,C671)),"st","nd","rd","th"),"")</f>
        <v/>
      </c>
    </row>
    <row r="672" spans="8:14" x14ac:dyDescent="0.25">
      <c r="H672" s="201" t="str">
        <f t="shared" si="10"/>
        <v/>
      </c>
      <c r="N672" s="164" t="str">
        <f>IFERROR(COUNTIF($C$18:C672,C672)&amp;CHOOSE(MIN(4,COUNTIF($C$18:C672,C672)),"st","nd","rd","th"),"")</f>
        <v/>
      </c>
    </row>
    <row r="673" spans="8:14" x14ac:dyDescent="0.25">
      <c r="H673" s="201" t="str">
        <f t="shared" si="10"/>
        <v/>
      </c>
      <c r="N673" s="164" t="str">
        <f>IFERROR(COUNTIF($C$18:C673,C673)&amp;CHOOSE(MIN(4,COUNTIF($C$18:C673,C673)),"st","nd","rd","th"),"")</f>
        <v/>
      </c>
    </row>
    <row r="674" spans="8:14" x14ac:dyDescent="0.25">
      <c r="H674" s="201" t="str">
        <f t="shared" si="10"/>
        <v/>
      </c>
      <c r="N674" s="164" t="str">
        <f>IFERROR(COUNTIF($C$18:C674,C674)&amp;CHOOSE(MIN(4,COUNTIF($C$18:C674,C674)),"st","nd","rd","th"),"")</f>
        <v/>
      </c>
    </row>
    <row r="675" spans="8:14" x14ac:dyDescent="0.25">
      <c r="H675" s="201" t="str">
        <f t="shared" si="10"/>
        <v/>
      </c>
      <c r="N675" s="164" t="str">
        <f>IFERROR(COUNTIF($C$18:C675,C675)&amp;CHOOSE(MIN(4,COUNTIF($C$18:C675,C675)),"st","nd","rd","th"),"")</f>
        <v/>
      </c>
    </row>
    <row r="676" spans="8:14" x14ac:dyDescent="0.25">
      <c r="H676" s="201" t="str">
        <f t="shared" si="10"/>
        <v/>
      </c>
      <c r="N676" s="164" t="str">
        <f>IFERROR(COUNTIF($C$18:C676,C676)&amp;CHOOSE(MIN(4,COUNTIF($C$18:C676,C676)),"st","nd","rd","th"),"")</f>
        <v/>
      </c>
    </row>
    <row r="677" spans="8:14" x14ac:dyDescent="0.25">
      <c r="H677" s="201" t="str">
        <f t="shared" si="10"/>
        <v/>
      </c>
      <c r="N677" s="164" t="str">
        <f>IFERROR(COUNTIF($C$18:C677,C677)&amp;CHOOSE(MIN(4,COUNTIF($C$18:C677,C677)),"st","nd","rd","th"),"")</f>
        <v/>
      </c>
    </row>
    <row r="678" spans="8:14" x14ac:dyDescent="0.25">
      <c r="H678" s="201" t="str">
        <f t="shared" si="10"/>
        <v/>
      </c>
      <c r="N678" s="164" t="str">
        <f>IFERROR(COUNTIF($C$18:C678,C678)&amp;CHOOSE(MIN(4,COUNTIF($C$18:C678,C678)),"st","nd","rd","th"),"")</f>
        <v/>
      </c>
    </row>
    <row r="679" spans="8:14" x14ac:dyDescent="0.25">
      <c r="H679" s="201" t="str">
        <f t="shared" si="10"/>
        <v/>
      </c>
      <c r="N679" s="164" t="str">
        <f>IFERROR(COUNTIF($C$18:C679,C679)&amp;CHOOSE(MIN(4,COUNTIF($C$18:C679,C679)),"st","nd","rd","th"),"")</f>
        <v/>
      </c>
    </row>
    <row r="680" spans="8:14" x14ac:dyDescent="0.25">
      <c r="H680" s="201" t="str">
        <f t="shared" si="10"/>
        <v/>
      </c>
      <c r="N680" s="164" t="str">
        <f>IFERROR(COUNTIF($C$18:C680,C680)&amp;CHOOSE(MIN(4,COUNTIF($C$18:C680,C680)),"st","nd","rd","th"),"")</f>
        <v/>
      </c>
    </row>
    <row r="681" spans="8:14" x14ac:dyDescent="0.25">
      <c r="H681" s="201" t="str">
        <f t="shared" si="10"/>
        <v/>
      </c>
      <c r="N681" s="164" t="str">
        <f>IFERROR(COUNTIF($C$18:C681,C681)&amp;CHOOSE(MIN(4,COUNTIF($C$18:C681,C681)),"st","nd","rd","th"),"")</f>
        <v/>
      </c>
    </row>
    <row r="682" spans="8:14" x14ac:dyDescent="0.25">
      <c r="H682" s="201" t="str">
        <f t="shared" si="10"/>
        <v/>
      </c>
      <c r="N682" s="164" t="str">
        <f>IFERROR(COUNTIF($C$18:C682,C682)&amp;CHOOSE(MIN(4,COUNTIF($C$18:C682,C682)),"st","nd","rd","th"),"")</f>
        <v/>
      </c>
    </row>
    <row r="683" spans="8:14" x14ac:dyDescent="0.25">
      <c r="H683" s="201" t="str">
        <f t="shared" si="10"/>
        <v/>
      </c>
      <c r="N683" s="164" t="str">
        <f>IFERROR(COUNTIF($C$18:C683,C683)&amp;CHOOSE(MIN(4,COUNTIF($C$18:C683,C683)),"st","nd","rd","th"),"")</f>
        <v/>
      </c>
    </row>
    <row r="684" spans="8:14" x14ac:dyDescent="0.25">
      <c r="H684" s="201" t="str">
        <f t="shared" si="10"/>
        <v/>
      </c>
      <c r="N684" s="164" t="str">
        <f>IFERROR(COUNTIF($C$18:C684,C684)&amp;CHOOSE(MIN(4,COUNTIF($C$18:C684,C684)),"st","nd","rd","th"),"")</f>
        <v/>
      </c>
    </row>
    <row r="685" spans="8:14" x14ac:dyDescent="0.25">
      <c r="H685" s="201" t="str">
        <f t="shared" si="10"/>
        <v/>
      </c>
      <c r="N685" s="164" t="str">
        <f>IFERROR(COUNTIF($C$18:C685,C685)&amp;CHOOSE(MIN(4,COUNTIF($C$18:C685,C685)),"st","nd","rd","th"),"")</f>
        <v/>
      </c>
    </row>
    <row r="686" spans="8:14" x14ac:dyDescent="0.25">
      <c r="H686" s="201" t="str">
        <f t="shared" si="10"/>
        <v/>
      </c>
      <c r="N686" s="164" t="str">
        <f>IFERROR(COUNTIF($C$18:C686,C686)&amp;CHOOSE(MIN(4,COUNTIF($C$18:C686,C686)),"st","nd","rd","th"),"")</f>
        <v/>
      </c>
    </row>
    <row r="687" spans="8:14" x14ac:dyDescent="0.25">
      <c r="H687" s="201" t="str">
        <f t="shared" si="10"/>
        <v/>
      </c>
      <c r="N687" s="164" t="str">
        <f>IFERROR(COUNTIF($C$18:C687,C687)&amp;CHOOSE(MIN(4,COUNTIF($C$18:C687,C687)),"st","nd","rd","th"),"")</f>
        <v/>
      </c>
    </row>
    <row r="688" spans="8:14" x14ac:dyDescent="0.25">
      <c r="H688" s="201" t="str">
        <f t="shared" si="10"/>
        <v/>
      </c>
      <c r="N688" s="164" t="str">
        <f>IFERROR(COUNTIF($C$18:C688,C688)&amp;CHOOSE(MIN(4,COUNTIF($C$18:C688,C688)),"st","nd","rd","th"),"")</f>
        <v/>
      </c>
    </row>
    <row r="689" spans="8:14" x14ac:dyDescent="0.25">
      <c r="H689" s="201" t="str">
        <f t="shared" si="10"/>
        <v/>
      </c>
      <c r="N689" s="164" t="str">
        <f>IFERROR(COUNTIF($C$18:C689,C689)&amp;CHOOSE(MIN(4,COUNTIF($C$18:C689,C689)),"st","nd","rd","th"),"")</f>
        <v/>
      </c>
    </row>
    <row r="690" spans="8:14" x14ac:dyDescent="0.25">
      <c r="H690" s="201" t="str">
        <f t="shared" si="10"/>
        <v/>
      </c>
      <c r="N690" s="164" t="str">
        <f>IFERROR(COUNTIF($C$18:C690,C690)&amp;CHOOSE(MIN(4,COUNTIF($C$18:C690,C690)),"st","nd","rd","th"),"")</f>
        <v/>
      </c>
    </row>
    <row r="691" spans="8:14" x14ac:dyDescent="0.25">
      <c r="H691" s="201" t="str">
        <f t="shared" si="10"/>
        <v/>
      </c>
      <c r="N691" s="164" t="str">
        <f>IFERROR(COUNTIF($C$18:C691,C691)&amp;CHOOSE(MIN(4,COUNTIF($C$18:C691,C691)),"st","nd","rd","th"),"")</f>
        <v/>
      </c>
    </row>
    <row r="692" spans="8:14" x14ac:dyDescent="0.25">
      <c r="H692" s="201" t="str">
        <f t="shared" si="10"/>
        <v/>
      </c>
      <c r="N692" s="164" t="str">
        <f>IFERROR(COUNTIF($C$18:C692,C692)&amp;CHOOSE(MIN(4,COUNTIF($C$18:C692,C692)),"st","nd","rd","th"),"")</f>
        <v/>
      </c>
    </row>
    <row r="693" spans="8:14" x14ac:dyDescent="0.25">
      <c r="H693" s="201" t="str">
        <f t="shared" si="10"/>
        <v/>
      </c>
      <c r="N693" s="164" t="str">
        <f>IFERROR(COUNTIF($C$18:C693,C693)&amp;CHOOSE(MIN(4,COUNTIF($C$18:C693,C693)),"st","nd","rd","th"),"")</f>
        <v/>
      </c>
    </row>
    <row r="694" spans="8:14" x14ac:dyDescent="0.25">
      <c r="H694" s="201" t="str">
        <f t="shared" si="10"/>
        <v/>
      </c>
      <c r="N694" s="164" t="str">
        <f>IFERROR(COUNTIF($C$18:C694,C694)&amp;CHOOSE(MIN(4,COUNTIF($C$18:C694,C694)),"st","nd","rd","th"),"")</f>
        <v/>
      </c>
    </row>
    <row r="695" spans="8:14" x14ac:dyDescent="0.25">
      <c r="H695" s="201" t="str">
        <f t="shared" si="10"/>
        <v/>
      </c>
      <c r="N695" s="164" t="str">
        <f>IFERROR(COUNTIF($C$18:C695,C695)&amp;CHOOSE(MIN(4,COUNTIF($C$18:C695,C695)),"st","nd","rd","th"),"")</f>
        <v/>
      </c>
    </row>
    <row r="696" spans="8:14" x14ac:dyDescent="0.25">
      <c r="H696" s="201" t="str">
        <f t="shared" si="10"/>
        <v/>
      </c>
      <c r="N696" s="164" t="str">
        <f>IFERROR(COUNTIF($C$18:C696,C696)&amp;CHOOSE(MIN(4,COUNTIF($C$18:C696,C696)),"st","nd","rd","th"),"")</f>
        <v/>
      </c>
    </row>
    <row r="697" spans="8:14" x14ac:dyDescent="0.25">
      <c r="H697" s="201" t="str">
        <f t="shared" si="10"/>
        <v/>
      </c>
      <c r="N697" s="164" t="str">
        <f>IFERROR(COUNTIF($C$18:C697,C697)&amp;CHOOSE(MIN(4,COUNTIF($C$18:C697,C697)),"st","nd","rd","th"),"")</f>
        <v/>
      </c>
    </row>
    <row r="698" spans="8:14" x14ac:dyDescent="0.25">
      <c r="H698" s="201" t="str">
        <f t="shared" si="10"/>
        <v/>
      </c>
      <c r="N698" s="164" t="str">
        <f>IFERROR(COUNTIF($C$18:C698,C698)&amp;CHOOSE(MIN(4,COUNTIF($C$18:C698,C698)),"st","nd","rd","th"),"")</f>
        <v/>
      </c>
    </row>
    <row r="699" spans="8:14" x14ac:dyDescent="0.25">
      <c r="H699" s="201" t="str">
        <f t="shared" si="10"/>
        <v/>
      </c>
      <c r="N699" s="164" t="str">
        <f>IFERROR(COUNTIF($C$18:C699,C699)&amp;CHOOSE(MIN(4,COUNTIF($C$18:C699,C699)),"st","nd","rd","th"),"")</f>
        <v/>
      </c>
    </row>
    <row r="700" spans="8:14" x14ac:dyDescent="0.25">
      <c r="H700" s="201" t="str">
        <f t="shared" si="10"/>
        <v/>
      </c>
      <c r="N700" s="164" t="str">
        <f>IFERROR(COUNTIF($C$18:C700,C700)&amp;CHOOSE(MIN(4,COUNTIF($C$18:C700,C700)),"st","nd","rd","th"),"")</f>
        <v/>
      </c>
    </row>
    <row r="701" spans="8:14" x14ac:dyDescent="0.25">
      <c r="H701" s="201" t="str">
        <f t="shared" si="10"/>
        <v/>
      </c>
      <c r="N701" s="164" t="str">
        <f>IFERROR(COUNTIF($C$18:C701,C701)&amp;CHOOSE(MIN(4,COUNTIF($C$18:C701,C701)),"st","nd","rd","th"),"")</f>
        <v/>
      </c>
    </row>
    <row r="702" spans="8:14" x14ac:dyDescent="0.25">
      <c r="H702" s="201" t="str">
        <f t="shared" si="10"/>
        <v/>
      </c>
      <c r="N702" s="164" t="str">
        <f>IFERROR(COUNTIF($C$18:C702,C702)&amp;CHOOSE(MIN(4,COUNTIF($C$18:C702,C702)),"st","nd","rd","th"),"")</f>
        <v/>
      </c>
    </row>
    <row r="703" spans="8:14" x14ac:dyDescent="0.25">
      <c r="H703" s="201" t="str">
        <f t="shared" si="10"/>
        <v/>
      </c>
      <c r="N703" s="164" t="str">
        <f>IFERROR(COUNTIF($C$18:C703,C703)&amp;CHOOSE(MIN(4,COUNTIF($C$18:C703,C703)),"st","nd","rd","th"),"")</f>
        <v/>
      </c>
    </row>
    <row r="704" spans="8:14" x14ac:dyDescent="0.25">
      <c r="H704" s="201" t="str">
        <f t="shared" si="10"/>
        <v/>
      </c>
      <c r="N704" s="164" t="str">
        <f>IFERROR(COUNTIF($C$18:C704,C704)&amp;CHOOSE(MIN(4,COUNTIF($C$18:C704,C704)),"st","nd","rd","th"),"")</f>
        <v/>
      </c>
    </row>
    <row r="705" spans="8:14" x14ac:dyDescent="0.25">
      <c r="H705" s="201" t="str">
        <f t="shared" si="10"/>
        <v/>
      </c>
      <c r="N705" s="164" t="str">
        <f>IFERROR(COUNTIF($C$18:C705,C705)&amp;CHOOSE(MIN(4,COUNTIF($C$18:C705,C705)),"st","nd","rd","th"),"")</f>
        <v/>
      </c>
    </row>
    <row r="706" spans="8:14" x14ac:dyDescent="0.25">
      <c r="H706" s="201" t="str">
        <f t="shared" si="10"/>
        <v/>
      </c>
      <c r="N706" s="164" t="str">
        <f>IFERROR(COUNTIF($C$18:C706,C706)&amp;CHOOSE(MIN(4,COUNTIF($C$18:C706,C706)),"st","nd","rd","th"),"")</f>
        <v/>
      </c>
    </row>
    <row r="707" spans="8:14" x14ac:dyDescent="0.25">
      <c r="H707" s="201" t="str">
        <f t="shared" si="10"/>
        <v/>
      </c>
      <c r="N707" s="164" t="str">
        <f>IFERROR(COUNTIF($C$18:C707,C707)&amp;CHOOSE(MIN(4,COUNTIF($C$18:C707,C707)),"st","nd","rd","th"),"")</f>
        <v/>
      </c>
    </row>
    <row r="708" spans="8:14" x14ac:dyDescent="0.25">
      <c r="H708" s="201" t="str">
        <f t="shared" si="10"/>
        <v/>
      </c>
      <c r="N708" s="164" t="str">
        <f>IFERROR(COUNTIF($C$18:C708,C708)&amp;CHOOSE(MIN(4,COUNTIF($C$18:C708,C708)),"st","nd","rd","th"),"")</f>
        <v/>
      </c>
    </row>
    <row r="709" spans="8:14" x14ac:dyDescent="0.25">
      <c r="H709" s="201" t="str">
        <f t="shared" si="10"/>
        <v/>
      </c>
      <c r="N709" s="164" t="str">
        <f>IFERROR(COUNTIF($C$18:C709,C709)&amp;CHOOSE(MIN(4,COUNTIF($C$18:C709,C709)),"st","nd","rd","th"),"")</f>
        <v/>
      </c>
    </row>
    <row r="710" spans="8:14" x14ac:dyDescent="0.25">
      <c r="H710" s="201" t="str">
        <f t="shared" si="10"/>
        <v/>
      </c>
      <c r="N710" s="164" t="str">
        <f>IFERROR(COUNTIF($C$18:C710,C710)&amp;CHOOSE(MIN(4,COUNTIF($C$18:C710,C710)),"st","nd","rd","th"),"")</f>
        <v/>
      </c>
    </row>
    <row r="711" spans="8:14" x14ac:dyDescent="0.25">
      <c r="H711" s="201" t="str">
        <f t="shared" si="10"/>
        <v/>
      </c>
      <c r="N711" s="164" t="str">
        <f>IFERROR(COUNTIF($C$18:C711,C711)&amp;CHOOSE(MIN(4,COUNTIF($C$18:C711,C711)),"st","nd","rd","th"),"")</f>
        <v/>
      </c>
    </row>
    <row r="712" spans="8:14" x14ac:dyDescent="0.25">
      <c r="H712" s="201" t="str">
        <f t="shared" si="10"/>
        <v/>
      </c>
      <c r="N712" s="164" t="str">
        <f>IFERROR(COUNTIF($C$18:C712,C712)&amp;CHOOSE(MIN(4,COUNTIF($C$18:C712,C712)),"st","nd","rd","th"),"")</f>
        <v/>
      </c>
    </row>
    <row r="713" spans="8:14" x14ac:dyDescent="0.25">
      <c r="H713" s="201" t="str">
        <f t="shared" si="10"/>
        <v/>
      </c>
      <c r="N713" s="164" t="str">
        <f>IFERROR(COUNTIF($C$18:C713,C713)&amp;CHOOSE(MIN(4,COUNTIF($C$18:C713,C713)),"st","nd","rd","th"),"")</f>
        <v/>
      </c>
    </row>
    <row r="714" spans="8:14" x14ac:dyDescent="0.25">
      <c r="H714" s="201" t="str">
        <f t="shared" si="10"/>
        <v/>
      </c>
      <c r="N714" s="164" t="str">
        <f>IFERROR(COUNTIF($C$18:C714,C714)&amp;CHOOSE(MIN(4,COUNTIF($C$18:C714,C714)),"st","nd","rd","th"),"")</f>
        <v/>
      </c>
    </row>
    <row r="715" spans="8:14" x14ac:dyDescent="0.25">
      <c r="H715" s="201" t="str">
        <f t="shared" si="10"/>
        <v/>
      </c>
      <c r="N715" s="164" t="str">
        <f>IFERROR(COUNTIF($C$18:C715,C715)&amp;CHOOSE(MIN(4,COUNTIF($C$18:C715,C715)),"st","nd","rd","th"),"")</f>
        <v/>
      </c>
    </row>
    <row r="716" spans="8:14" x14ac:dyDescent="0.25">
      <c r="H716" s="201" t="str">
        <f t="shared" si="10"/>
        <v/>
      </c>
      <c r="N716" s="164" t="str">
        <f>IFERROR(COUNTIF($C$18:C716,C716)&amp;CHOOSE(MIN(4,COUNTIF($C$18:C716,C716)),"st","nd","rd","th"),"")</f>
        <v/>
      </c>
    </row>
    <row r="717" spans="8:14" x14ac:dyDescent="0.25">
      <c r="H717" s="201" t="str">
        <f t="shared" si="10"/>
        <v/>
      </c>
      <c r="N717" s="164" t="str">
        <f>IFERROR(COUNTIF($C$18:C717,C717)&amp;CHOOSE(MIN(4,COUNTIF($C$18:C717,C717)),"st","nd","rd","th"),"")</f>
        <v/>
      </c>
    </row>
    <row r="718" spans="8:14" x14ac:dyDescent="0.25">
      <c r="H718" s="201" t="str">
        <f t="shared" si="10"/>
        <v/>
      </c>
      <c r="N718" s="164" t="str">
        <f>IFERROR(COUNTIF($C$18:C718,C718)&amp;CHOOSE(MIN(4,COUNTIF($C$18:C718,C718)),"st","nd","rd","th"),"")</f>
        <v/>
      </c>
    </row>
    <row r="719" spans="8:14" x14ac:dyDescent="0.25">
      <c r="H719" s="201" t="str">
        <f t="shared" si="10"/>
        <v/>
      </c>
      <c r="N719" s="164" t="str">
        <f>IFERROR(COUNTIF($C$18:C719,C719)&amp;CHOOSE(MIN(4,COUNTIF($C$18:C719,C719)),"st","nd","rd","th"),"")</f>
        <v/>
      </c>
    </row>
    <row r="720" spans="8:14" x14ac:dyDescent="0.25">
      <c r="H720" s="201" t="str">
        <f t="shared" si="10"/>
        <v/>
      </c>
      <c r="N720" s="164" t="str">
        <f>IFERROR(COUNTIF($C$18:C720,C720)&amp;CHOOSE(MIN(4,COUNTIF($C$18:C720,C720)),"st","nd","rd","th"),"")</f>
        <v/>
      </c>
    </row>
    <row r="721" spans="8:14" x14ac:dyDescent="0.25">
      <c r="H721" s="201" t="str">
        <f t="shared" ref="H721:H784" si="11">IF(OR(ISBLANK(G721), ISBLANK(F721)), "", IF(G721=F721, 1, SUM(_xlfn.DAYS(G721, F721), 1)))</f>
        <v/>
      </c>
      <c r="N721" s="164" t="str">
        <f>IFERROR(COUNTIF($C$18:C721,C721)&amp;CHOOSE(MIN(4,COUNTIF($C$18:C721,C721)),"st","nd","rd","th"),"")</f>
        <v/>
      </c>
    </row>
    <row r="722" spans="8:14" x14ac:dyDescent="0.25">
      <c r="H722" s="201" t="str">
        <f t="shared" si="11"/>
        <v/>
      </c>
      <c r="N722" s="164" t="str">
        <f>IFERROR(COUNTIF($C$18:C722,C722)&amp;CHOOSE(MIN(4,COUNTIF($C$18:C722,C722)),"st","nd","rd","th"),"")</f>
        <v/>
      </c>
    </row>
    <row r="723" spans="8:14" x14ac:dyDescent="0.25">
      <c r="H723" s="201" t="str">
        <f t="shared" si="11"/>
        <v/>
      </c>
      <c r="N723" s="164" t="str">
        <f>IFERROR(COUNTIF($C$18:C723,C723)&amp;CHOOSE(MIN(4,COUNTIF($C$18:C723,C723)),"st","nd","rd","th"),"")</f>
        <v/>
      </c>
    </row>
    <row r="724" spans="8:14" x14ac:dyDescent="0.25">
      <c r="H724" s="201" t="str">
        <f t="shared" si="11"/>
        <v/>
      </c>
      <c r="N724" s="164" t="str">
        <f>IFERROR(COUNTIF($C$18:C724,C724)&amp;CHOOSE(MIN(4,COUNTIF($C$18:C724,C724)),"st","nd","rd","th"),"")</f>
        <v/>
      </c>
    </row>
    <row r="725" spans="8:14" x14ac:dyDescent="0.25">
      <c r="H725" s="201" t="str">
        <f t="shared" si="11"/>
        <v/>
      </c>
      <c r="N725" s="164" t="str">
        <f>IFERROR(COUNTIF($C$18:C725,C725)&amp;CHOOSE(MIN(4,COUNTIF($C$18:C725,C725)),"st","nd","rd","th"),"")</f>
        <v/>
      </c>
    </row>
    <row r="726" spans="8:14" x14ac:dyDescent="0.25">
      <c r="H726" s="201" t="str">
        <f t="shared" si="11"/>
        <v/>
      </c>
      <c r="N726" s="164" t="str">
        <f>IFERROR(COUNTIF($C$18:C726,C726)&amp;CHOOSE(MIN(4,COUNTIF($C$18:C726,C726)),"st","nd","rd","th"),"")</f>
        <v/>
      </c>
    </row>
    <row r="727" spans="8:14" x14ac:dyDescent="0.25">
      <c r="H727" s="201" t="str">
        <f t="shared" si="11"/>
        <v/>
      </c>
      <c r="N727" s="164" t="str">
        <f>IFERROR(COUNTIF($C$18:C727,C727)&amp;CHOOSE(MIN(4,COUNTIF($C$18:C727,C727)),"st","nd","rd","th"),"")</f>
        <v/>
      </c>
    </row>
    <row r="728" spans="8:14" x14ac:dyDescent="0.25">
      <c r="H728" s="201" t="str">
        <f t="shared" si="11"/>
        <v/>
      </c>
      <c r="N728" s="164" t="str">
        <f>IFERROR(COUNTIF($C$18:C728,C728)&amp;CHOOSE(MIN(4,COUNTIF($C$18:C728,C728)),"st","nd","rd","th"),"")</f>
        <v/>
      </c>
    </row>
    <row r="729" spans="8:14" x14ac:dyDescent="0.25">
      <c r="H729" s="201" t="str">
        <f t="shared" si="11"/>
        <v/>
      </c>
      <c r="N729" s="164" t="str">
        <f>IFERROR(COUNTIF($C$18:C729,C729)&amp;CHOOSE(MIN(4,COUNTIF($C$18:C729,C729)),"st","nd","rd","th"),"")</f>
        <v/>
      </c>
    </row>
    <row r="730" spans="8:14" x14ac:dyDescent="0.25">
      <c r="H730" s="201" t="str">
        <f t="shared" si="11"/>
        <v/>
      </c>
      <c r="N730" s="164" t="str">
        <f>IFERROR(COUNTIF($C$18:C730,C730)&amp;CHOOSE(MIN(4,COUNTIF($C$18:C730,C730)),"st","nd","rd","th"),"")</f>
        <v/>
      </c>
    </row>
    <row r="731" spans="8:14" x14ac:dyDescent="0.25">
      <c r="H731" s="201" t="str">
        <f t="shared" si="11"/>
        <v/>
      </c>
      <c r="N731" s="164" t="str">
        <f>IFERROR(COUNTIF($C$18:C731,C731)&amp;CHOOSE(MIN(4,COUNTIF($C$18:C731,C731)),"st","nd","rd","th"),"")</f>
        <v/>
      </c>
    </row>
    <row r="732" spans="8:14" x14ac:dyDescent="0.25">
      <c r="H732" s="201" t="str">
        <f t="shared" si="11"/>
        <v/>
      </c>
      <c r="N732" s="164" t="str">
        <f>IFERROR(COUNTIF($C$18:C732,C732)&amp;CHOOSE(MIN(4,COUNTIF($C$18:C732,C732)),"st","nd","rd","th"),"")</f>
        <v/>
      </c>
    </row>
    <row r="733" spans="8:14" x14ac:dyDescent="0.25">
      <c r="H733" s="201" t="str">
        <f t="shared" si="11"/>
        <v/>
      </c>
      <c r="N733" s="164" t="str">
        <f>IFERROR(COUNTIF($C$18:C733,C733)&amp;CHOOSE(MIN(4,COUNTIF($C$18:C733,C733)),"st","nd","rd","th"),"")</f>
        <v/>
      </c>
    </row>
    <row r="734" spans="8:14" x14ac:dyDescent="0.25">
      <c r="H734" s="201" t="str">
        <f t="shared" si="11"/>
        <v/>
      </c>
      <c r="N734" s="164" t="str">
        <f>IFERROR(COUNTIF($C$18:C734,C734)&amp;CHOOSE(MIN(4,COUNTIF($C$18:C734,C734)),"st","nd","rd","th"),"")</f>
        <v/>
      </c>
    </row>
    <row r="735" spans="8:14" x14ac:dyDescent="0.25">
      <c r="H735" s="201" t="str">
        <f t="shared" si="11"/>
        <v/>
      </c>
      <c r="N735" s="164" t="str">
        <f>IFERROR(COUNTIF($C$18:C735,C735)&amp;CHOOSE(MIN(4,COUNTIF($C$18:C735,C735)),"st","nd","rd","th"),"")</f>
        <v/>
      </c>
    </row>
    <row r="736" spans="8:14" x14ac:dyDescent="0.25">
      <c r="H736" s="201" t="str">
        <f t="shared" si="11"/>
        <v/>
      </c>
      <c r="N736" s="164" t="str">
        <f>IFERROR(COUNTIF($C$18:C736,C736)&amp;CHOOSE(MIN(4,COUNTIF($C$18:C736,C736)),"st","nd","rd","th"),"")</f>
        <v/>
      </c>
    </row>
    <row r="737" spans="8:14" x14ac:dyDescent="0.25">
      <c r="H737" s="201" t="str">
        <f t="shared" si="11"/>
        <v/>
      </c>
      <c r="N737" s="164" t="str">
        <f>IFERROR(COUNTIF($C$18:C737,C737)&amp;CHOOSE(MIN(4,COUNTIF($C$18:C737,C737)),"st","nd","rd","th"),"")</f>
        <v/>
      </c>
    </row>
    <row r="738" spans="8:14" x14ac:dyDescent="0.25">
      <c r="H738" s="201" t="str">
        <f t="shared" si="11"/>
        <v/>
      </c>
      <c r="N738" s="164" t="str">
        <f>IFERROR(COUNTIF($C$18:C738,C738)&amp;CHOOSE(MIN(4,COUNTIF($C$18:C738,C738)),"st","nd","rd","th"),"")</f>
        <v/>
      </c>
    </row>
    <row r="739" spans="8:14" x14ac:dyDescent="0.25">
      <c r="H739" s="201" t="str">
        <f t="shared" si="11"/>
        <v/>
      </c>
      <c r="N739" s="164" t="str">
        <f>IFERROR(COUNTIF($C$18:C739,C739)&amp;CHOOSE(MIN(4,COUNTIF($C$18:C739,C739)),"st","nd","rd","th"),"")</f>
        <v/>
      </c>
    </row>
    <row r="740" spans="8:14" x14ac:dyDescent="0.25">
      <c r="H740" s="201" t="str">
        <f t="shared" si="11"/>
        <v/>
      </c>
      <c r="N740" s="164" t="str">
        <f>IFERROR(COUNTIF($C$18:C740,C740)&amp;CHOOSE(MIN(4,COUNTIF($C$18:C740,C740)),"st","nd","rd","th"),"")</f>
        <v/>
      </c>
    </row>
    <row r="741" spans="8:14" x14ac:dyDescent="0.25">
      <c r="H741" s="201" t="str">
        <f t="shared" si="11"/>
        <v/>
      </c>
      <c r="N741" s="164" t="str">
        <f>IFERROR(COUNTIF($C$18:C741,C741)&amp;CHOOSE(MIN(4,COUNTIF($C$18:C741,C741)),"st","nd","rd","th"),"")</f>
        <v/>
      </c>
    </row>
    <row r="742" spans="8:14" x14ac:dyDescent="0.25">
      <c r="H742" s="201" t="str">
        <f t="shared" si="11"/>
        <v/>
      </c>
      <c r="N742" s="164" t="str">
        <f>IFERROR(COUNTIF($C$18:C742,C742)&amp;CHOOSE(MIN(4,COUNTIF($C$18:C742,C742)),"st","nd","rd","th"),"")</f>
        <v/>
      </c>
    </row>
    <row r="743" spans="8:14" x14ac:dyDescent="0.25">
      <c r="H743" s="201" t="str">
        <f t="shared" si="11"/>
        <v/>
      </c>
      <c r="N743" s="164" t="str">
        <f>IFERROR(COUNTIF($C$18:C743,C743)&amp;CHOOSE(MIN(4,COUNTIF($C$18:C743,C743)),"st","nd","rd","th"),"")</f>
        <v/>
      </c>
    </row>
    <row r="744" spans="8:14" x14ac:dyDescent="0.25">
      <c r="H744" s="201" t="str">
        <f t="shared" si="11"/>
        <v/>
      </c>
      <c r="N744" s="164" t="str">
        <f>IFERROR(COUNTIF($C$18:C744,C744)&amp;CHOOSE(MIN(4,COUNTIF($C$18:C744,C744)),"st","nd","rd","th"),"")</f>
        <v/>
      </c>
    </row>
    <row r="745" spans="8:14" x14ac:dyDescent="0.25">
      <c r="H745" s="201" t="str">
        <f t="shared" si="11"/>
        <v/>
      </c>
      <c r="N745" s="164" t="str">
        <f>IFERROR(COUNTIF($C$18:C745,C745)&amp;CHOOSE(MIN(4,COUNTIF($C$18:C745,C745)),"st","nd","rd","th"),"")</f>
        <v/>
      </c>
    </row>
    <row r="746" spans="8:14" x14ac:dyDescent="0.25">
      <c r="H746" s="201" t="str">
        <f t="shared" si="11"/>
        <v/>
      </c>
      <c r="N746" s="164" t="str">
        <f>IFERROR(COUNTIF($C$18:C746,C746)&amp;CHOOSE(MIN(4,COUNTIF($C$18:C746,C746)),"st","nd","rd","th"),"")</f>
        <v/>
      </c>
    </row>
    <row r="747" spans="8:14" x14ac:dyDescent="0.25">
      <c r="H747" s="201" t="str">
        <f t="shared" si="11"/>
        <v/>
      </c>
      <c r="N747" s="164" t="str">
        <f>IFERROR(COUNTIF($C$18:C747,C747)&amp;CHOOSE(MIN(4,COUNTIF($C$18:C747,C747)),"st","nd","rd","th"),"")</f>
        <v/>
      </c>
    </row>
    <row r="748" spans="8:14" x14ac:dyDescent="0.25">
      <c r="H748" s="201" t="str">
        <f t="shared" si="11"/>
        <v/>
      </c>
      <c r="N748" s="164" t="str">
        <f>IFERROR(COUNTIF($C$18:C748,C748)&amp;CHOOSE(MIN(4,COUNTIF($C$18:C748,C748)),"st","nd","rd","th"),"")</f>
        <v/>
      </c>
    </row>
    <row r="749" spans="8:14" x14ac:dyDescent="0.25">
      <c r="H749" s="201" t="str">
        <f t="shared" si="11"/>
        <v/>
      </c>
      <c r="N749" s="164" t="str">
        <f>IFERROR(COUNTIF($C$18:C749,C749)&amp;CHOOSE(MIN(4,COUNTIF($C$18:C749,C749)),"st","nd","rd","th"),"")</f>
        <v/>
      </c>
    </row>
    <row r="750" spans="8:14" x14ac:dyDescent="0.25">
      <c r="H750" s="201" t="str">
        <f t="shared" si="11"/>
        <v/>
      </c>
      <c r="N750" s="164" t="str">
        <f>IFERROR(COUNTIF($C$18:C750,C750)&amp;CHOOSE(MIN(4,COUNTIF($C$18:C750,C750)),"st","nd","rd","th"),"")</f>
        <v/>
      </c>
    </row>
    <row r="751" spans="8:14" x14ac:dyDescent="0.25">
      <c r="H751" s="201" t="str">
        <f t="shared" si="11"/>
        <v/>
      </c>
      <c r="N751" s="164" t="str">
        <f>IFERROR(COUNTIF($C$18:C751,C751)&amp;CHOOSE(MIN(4,COUNTIF($C$18:C751,C751)),"st","nd","rd","th"),"")</f>
        <v/>
      </c>
    </row>
    <row r="752" spans="8:14" x14ac:dyDescent="0.25">
      <c r="H752" s="201" t="str">
        <f t="shared" si="11"/>
        <v/>
      </c>
      <c r="N752" s="164" t="str">
        <f>IFERROR(COUNTIF($C$18:C752,C752)&amp;CHOOSE(MIN(4,COUNTIF($C$18:C752,C752)),"st","nd","rd","th"),"")</f>
        <v/>
      </c>
    </row>
    <row r="753" spans="8:14" x14ac:dyDescent="0.25">
      <c r="H753" s="201" t="str">
        <f t="shared" si="11"/>
        <v/>
      </c>
      <c r="N753" s="164" t="str">
        <f>IFERROR(COUNTIF($C$18:C753,C753)&amp;CHOOSE(MIN(4,COUNTIF($C$18:C753,C753)),"st","nd","rd","th"),"")</f>
        <v/>
      </c>
    </row>
    <row r="754" spans="8:14" x14ac:dyDescent="0.25">
      <c r="H754" s="201" t="str">
        <f t="shared" si="11"/>
        <v/>
      </c>
      <c r="N754" s="164" t="str">
        <f>IFERROR(COUNTIF($C$18:C754,C754)&amp;CHOOSE(MIN(4,COUNTIF($C$18:C754,C754)),"st","nd","rd","th"),"")</f>
        <v/>
      </c>
    </row>
    <row r="755" spans="8:14" x14ac:dyDescent="0.25">
      <c r="H755" s="201" t="str">
        <f t="shared" si="11"/>
        <v/>
      </c>
      <c r="N755" s="164" t="str">
        <f>IFERROR(COUNTIF($C$18:C755,C755)&amp;CHOOSE(MIN(4,COUNTIF($C$18:C755,C755)),"st","nd","rd","th"),"")</f>
        <v/>
      </c>
    </row>
    <row r="756" spans="8:14" x14ac:dyDescent="0.25">
      <c r="H756" s="201" t="str">
        <f t="shared" si="11"/>
        <v/>
      </c>
      <c r="N756" s="164" t="str">
        <f>IFERROR(COUNTIF($C$18:C756,C756)&amp;CHOOSE(MIN(4,COUNTIF($C$18:C756,C756)),"st","nd","rd","th"),"")</f>
        <v/>
      </c>
    </row>
    <row r="757" spans="8:14" x14ac:dyDescent="0.25">
      <c r="H757" s="201" t="str">
        <f t="shared" si="11"/>
        <v/>
      </c>
      <c r="N757" s="164" t="str">
        <f>IFERROR(COUNTIF($C$18:C757,C757)&amp;CHOOSE(MIN(4,COUNTIF($C$18:C757,C757)),"st","nd","rd","th"),"")</f>
        <v/>
      </c>
    </row>
    <row r="758" spans="8:14" x14ac:dyDescent="0.25">
      <c r="H758" s="201" t="str">
        <f t="shared" si="11"/>
        <v/>
      </c>
      <c r="N758" s="164" t="str">
        <f>IFERROR(COUNTIF($C$18:C758,C758)&amp;CHOOSE(MIN(4,COUNTIF($C$18:C758,C758)),"st","nd","rd","th"),"")</f>
        <v/>
      </c>
    </row>
    <row r="759" spans="8:14" x14ac:dyDescent="0.25">
      <c r="H759" s="201" t="str">
        <f t="shared" si="11"/>
        <v/>
      </c>
      <c r="N759" s="164" t="str">
        <f>IFERROR(COUNTIF($C$18:C759,C759)&amp;CHOOSE(MIN(4,COUNTIF($C$18:C759,C759)),"st","nd","rd","th"),"")</f>
        <v/>
      </c>
    </row>
    <row r="760" spans="8:14" x14ac:dyDescent="0.25">
      <c r="H760" s="201" t="str">
        <f t="shared" si="11"/>
        <v/>
      </c>
      <c r="N760" s="164" t="str">
        <f>IFERROR(COUNTIF($C$18:C760,C760)&amp;CHOOSE(MIN(4,COUNTIF($C$18:C760,C760)),"st","nd","rd","th"),"")</f>
        <v/>
      </c>
    </row>
    <row r="761" spans="8:14" x14ac:dyDescent="0.25">
      <c r="H761" s="201" t="str">
        <f t="shared" si="11"/>
        <v/>
      </c>
      <c r="N761" s="164" t="str">
        <f>IFERROR(COUNTIF($C$18:C761,C761)&amp;CHOOSE(MIN(4,COUNTIF($C$18:C761,C761)),"st","nd","rd","th"),"")</f>
        <v/>
      </c>
    </row>
    <row r="762" spans="8:14" x14ac:dyDescent="0.25">
      <c r="H762" s="201" t="str">
        <f t="shared" si="11"/>
        <v/>
      </c>
      <c r="N762" s="164" t="str">
        <f>IFERROR(COUNTIF($C$18:C762,C762)&amp;CHOOSE(MIN(4,COUNTIF($C$18:C762,C762)),"st","nd","rd","th"),"")</f>
        <v/>
      </c>
    </row>
    <row r="763" spans="8:14" x14ac:dyDescent="0.25">
      <c r="H763" s="201" t="str">
        <f t="shared" si="11"/>
        <v/>
      </c>
      <c r="N763" s="164" t="str">
        <f>IFERROR(COUNTIF($C$18:C763,C763)&amp;CHOOSE(MIN(4,COUNTIF($C$18:C763,C763)),"st","nd","rd","th"),"")</f>
        <v/>
      </c>
    </row>
    <row r="764" spans="8:14" x14ac:dyDescent="0.25">
      <c r="H764" s="201" t="str">
        <f t="shared" si="11"/>
        <v/>
      </c>
      <c r="N764" s="164" t="str">
        <f>IFERROR(COUNTIF($C$18:C764,C764)&amp;CHOOSE(MIN(4,COUNTIF($C$18:C764,C764)),"st","nd","rd","th"),"")</f>
        <v/>
      </c>
    </row>
    <row r="765" spans="8:14" x14ac:dyDescent="0.25">
      <c r="H765" s="201" t="str">
        <f t="shared" si="11"/>
        <v/>
      </c>
      <c r="N765" s="164" t="str">
        <f>IFERROR(COUNTIF($C$18:C765,C765)&amp;CHOOSE(MIN(4,COUNTIF($C$18:C765,C765)),"st","nd","rd","th"),"")</f>
        <v/>
      </c>
    </row>
    <row r="766" spans="8:14" x14ac:dyDescent="0.25">
      <c r="H766" s="201" t="str">
        <f t="shared" si="11"/>
        <v/>
      </c>
      <c r="N766" s="164" t="str">
        <f>IFERROR(COUNTIF($C$18:C766,C766)&amp;CHOOSE(MIN(4,COUNTIF($C$18:C766,C766)),"st","nd","rd","th"),"")</f>
        <v/>
      </c>
    </row>
    <row r="767" spans="8:14" x14ac:dyDescent="0.25">
      <c r="H767" s="201" t="str">
        <f t="shared" si="11"/>
        <v/>
      </c>
      <c r="N767" s="164" t="str">
        <f>IFERROR(COUNTIF($C$18:C767,C767)&amp;CHOOSE(MIN(4,COUNTIF($C$18:C767,C767)),"st","nd","rd","th"),"")</f>
        <v/>
      </c>
    </row>
    <row r="768" spans="8:14" x14ac:dyDescent="0.25">
      <c r="H768" s="201" t="str">
        <f t="shared" si="11"/>
        <v/>
      </c>
      <c r="N768" s="164" t="str">
        <f>IFERROR(COUNTIF($C$18:C768,C768)&amp;CHOOSE(MIN(4,COUNTIF($C$18:C768,C768)),"st","nd","rd","th"),"")</f>
        <v/>
      </c>
    </row>
    <row r="769" spans="8:14" x14ac:dyDescent="0.25">
      <c r="H769" s="201" t="str">
        <f t="shared" si="11"/>
        <v/>
      </c>
      <c r="N769" s="164" t="str">
        <f>IFERROR(COUNTIF($C$18:C769,C769)&amp;CHOOSE(MIN(4,COUNTIF($C$18:C769,C769)),"st","nd","rd","th"),"")</f>
        <v/>
      </c>
    </row>
    <row r="770" spans="8:14" x14ac:dyDescent="0.25">
      <c r="H770" s="201" t="str">
        <f t="shared" si="11"/>
        <v/>
      </c>
      <c r="N770" s="164" t="str">
        <f>IFERROR(COUNTIF($C$18:C770,C770)&amp;CHOOSE(MIN(4,COUNTIF($C$18:C770,C770)),"st","nd","rd","th"),"")</f>
        <v/>
      </c>
    </row>
    <row r="771" spans="8:14" x14ac:dyDescent="0.25">
      <c r="H771" s="201" t="str">
        <f t="shared" si="11"/>
        <v/>
      </c>
      <c r="N771" s="164" t="str">
        <f>IFERROR(COUNTIF($C$18:C771,C771)&amp;CHOOSE(MIN(4,COUNTIF($C$18:C771,C771)),"st","nd","rd","th"),"")</f>
        <v/>
      </c>
    </row>
    <row r="772" spans="8:14" x14ac:dyDescent="0.25">
      <c r="H772" s="201" t="str">
        <f t="shared" si="11"/>
        <v/>
      </c>
      <c r="N772" s="164" t="str">
        <f>IFERROR(COUNTIF($C$18:C772,C772)&amp;CHOOSE(MIN(4,COUNTIF($C$18:C772,C772)),"st","nd","rd","th"),"")</f>
        <v/>
      </c>
    </row>
    <row r="773" spans="8:14" x14ac:dyDescent="0.25">
      <c r="H773" s="201" t="str">
        <f t="shared" si="11"/>
        <v/>
      </c>
      <c r="N773" s="164" t="str">
        <f>IFERROR(COUNTIF($C$18:C773,C773)&amp;CHOOSE(MIN(4,COUNTIF($C$18:C773,C773)),"st","nd","rd","th"),"")</f>
        <v/>
      </c>
    </row>
    <row r="774" spans="8:14" x14ac:dyDescent="0.25">
      <c r="H774" s="201" t="str">
        <f t="shared" si="11"/>
        <v/>
      </c>
      <c r="N774" s="164" t="str">
        <f>IFERROR(COUNTIF($C$18:C774,C774)&amp;CHOOSE(MIN(4,COUNTIF($C$18:C774,C774)),"st","nd","rd","th"),"")</f>
        <v/>
      </c>
    </row>
    <row r="775" spans="8:14" x14ac:dyDescent="0.25">
      <c r="H775" s="201" t="str">
        <f t="shared" si="11"/>
        <v/>
      </c>
      <c r="N775" s="164" t="str">
        <f>IFERROR(COUNTIF($C$18:C775,C775)&amp;CHOOSE(MIN(4,COUNTIF($C$18:C775,C775)),"st","nd","rd","th"),"")</f>
        <v/>
      </c>
    </row>
    <row r="776" spans="8:14" x14ac:dyDescent="0.25">
      <c r="H776" s="201" t="str">
        <f t="shared" si="11"/>
        <v/>
      </c>
      <c r="N776" s="164" t="str">
        <f>IFERROR(COUNTIF($C$18:C776,C776)&amp;CHOOSE(MIN(4,COUNTIF($C$18:C776,C776)),"st","nd","rd","th"),"")</f>
        <v/>
      </c>
    </row>
    <row r="777" spans="8:14" x14ac:dyDescent="0.25">
      <c r="H777" s="201" t="str">
        <f t="shared" si="11"/>
        <v/>
      </c>
      <c r="N777" s="164" t="str">
        <f>IFERROR(COUNTIF($C$18:C777,C777)&amp;CHOOSE(MIN(4,COUNTIF($C$18:C777,C777)),"st","nd","rd","th"),"")</f>
        <v/>
      </c>
    </row>
    <row r="778" spans="8:14" x14ac:dyDescent="0.25">
      <c r="H778" s="201" t="str">
        <f t="shared" si="11"/>
        <v/>
      </c>
      <c r="N778" s="164" t="str">
        <f>IFERROR(COUNTIF($C$18:C778,C778)&amp;CHOOSE(MIN(4,COUNTIF($C$18:C778,C778)),"st","nd","rd","th"),"")</f>
        <v/>
      </c>
    </row>
    <row r="779" spans="8:14" x14ac:dyDescent="0.25">
      <c r="H779" s="201" t="str">
        <f t="shared" si="11"/>
        <v/>
      </c>
      <c r="N779" s="164" t="str">
        <f>IFERROR(COUNTIF($C$18:C779,C779)&amp;CHOOSE(MIN(4,COUNTIF($C$18:C779,C779)),"st","nd","rd","th"),"")</f>
        <v/>
      </c>
    </row>
    <row r="780" spans="8:14" x14ac:dyDescent="0.25">
      <c r="H780" s="201" t="str">
        <f t="shared" si="11"/>
        <v/>
      </c>
      <c r="N780" s="164" t="str">
        <f>IFERROR(COUNTIF($C$18:C780,C780)&amp;CHOOSE(MIN(4,COUNTIF($C$18:C780,C780)),"st","nd","rd","th"),"")</f>
        <v/>
      </c>
    </row>
    <row r="781" spans="8:14" x14ac:dyDescent="0.25">
      <c r="H781" s="201" t="str">
        <f t="shared" si="11"/>
        <v/>
      </c>
      <c r="N781" s="164" t="str">
        <f>IFERROR(COUNTIF($C$18:C781,C781)&amp;CHOOSE(MIN(4,COUNTIF($C$18:C781,C781)),"st","nd","rd","th"),"")</f>
        <v/>
      </c>
    </row>
    <row r="782" spans="8:14" x14ac:dyDescent="0.25">
      <c r="H782" s="201" t="str">
        <f t="shared" si="11"/>
        <v/>
      </c>
      <c r="N782" s="164" t="str">
        <f>IFERROR(COUNTIF($C$18:C782,C782)&amp;CHOOSE(MIN(4,COUNTIF($C$18:C782,C782)),"st","nd","rd","th"),"")</f>
        <v/>
      </c>
    </row>
    <row r="783" spans="8:14" x14ac:dyDescent="0.25">
      <c r="H783" s="201" t="str">
        <f t="shared" si="11"/>
        <v/>
      </c>
      <c r="N783" s="164" t="str">
        <f>IFERROR(COUNTIF($C$18:C783,C783)&amp;CHOOSE(MIN(4,COUNTIF($C$18:C783,C783)),"st","nd","rd","th"),"")</f>
        <v/>
      </c>
    </row>
    <row r="784" spans="8:14" x14ac:dyDescent="0.25">
      <c r="H784" s="201" t="str">
        <f t="shared" si="11"/>
        <v/>
      </c>
      <c r="N784" s="164" t="str">
        <f>IFERROR(COUNTIF($C$18:C784,C784)&amp;CHOOSE(MIN(4,COUNTIF($C$18:C784,C784)),"st","nd","rd","th"),"")</f>
        <v/>
      </c>
    </row>
    <row r="785" spans="8:14" x14ac:dyDescent="0.25">
      <c r="H785" s="201" t="str">
        <f t="shared" ref="H785:H848" si="12">IF(OR(ISBLANK(G785), ISBLANK(F785)), "", IF(G785=F785, 1, SUM(_xlfn.DAYS(G785, F785), 1)))</f>
        <v/>
      </c>
      <c r="N785" s="164" t="str">
        <f>IFERROR(COUNTIF($C$18:C785,C785)&amp;CHOOSE(MIN(4,COUNTIF($C$18:C785,C785)),"st","nd","rd","th"),"")</f>
        <v/>
      </c>
    </row>
    <row r="786" spans="8:14" x14ac:dyDescent="0.25">
      <c r="H786" s="201" t="str">
        <f t="shared" si="12"/>
        <v/>
      </c>
      <c r="N786" s="164" t="str">
        <f>IFERROR(COUNTIF($C$18:C786,C786)&amp;CHOOSE(MIN(4,COUNTIF($C$18:C786,C786)),"st","nd","rd","th"),"")</f>
        <v/>
      </c>
    </row>
    <row r="787" spans="8:14" x14ac:dyDescent="0.25">
      <c r="H787" s="201" t="str">
        <f t="shared" si="12"/>
        <v/>
      </c>
      <c r="N787" s="164" t="str">
        <f>IFERROR(COUNTIF($C$18:C787,C787)&amp;CHOOSE(MIN(4,COUNTIF($C$18:C787,C787)),"st","nd","rd","th"),"")</f>
        <v/>
      </c>
    </row>
    <row r="788" spans="8:14" x14ac:dyDescent="0.25">
      <c r="H788" s="201" t="str">
        <f t="shared" si="12"/>
        <v/>
      </c>
      <c r="N788" s="164" t="str">
        <f>IFERROR(COUNTIF($C$18:C788,C788)&amp;CHOOSE(MIN(4,COUNTIF($C$18:C788,C788)),"st","nd","rd","th"),"")</f>
        <v/>
      </c>
    </row>
    <row r="789" spans="8:14" x14ac:dyDescent="0.25">
      <c r="H789" s="201" t="str">
        <f t="shared" si="12"/>
        <v/>
      </c>
      <c r="N789" s="164" t="str">
        <f>IFERROR(COUNTIF($C$18:C789,C789)&amp;CHOOSE(MIN(4,COUNTIF($C$18:C789,C789)),"st","nd","rd","th"),"")</f>
        <v/>
      </c>
    </row>
    <row r="790" spans="8:14" x14ac:dyDescent="0.25">
      <c r="H790" s="201" t="str">
        <f t="shared" si="12"/>
        <v/>
      </c>
      <c r="N790" s="164" t="str">
        <f>IFERROR(COUNTIF($C$18:C790,C790)&amp;CHOOSE(MIN(4,COUNTIF($C$18:C790,C790)),"st","nd","rd","th"),"")</f>
        <v/>
      </c>
    </row>
    <row r="791" spans="8:14" x14ac:dyDescent="0.25">
      <c r="H791" s="201" t="str">
        <f t="shared" si="12"/>
        <v/>
      </c>
      <c r="N791" s="164" t="str">
        <f>IFERROR(COUNTIF($C$18:C791,C791)&amp;CHOOSE(MIN(4,COUNTIF($C$18:C791,C791)),"st","nd","rd","th"),"")</f>
        <v/>
      </c>
    </row>
    <row r="792" spans="8:14" x14ac:dyDescent="0.25">
      <c r="H792" s="201" t="str">
        <f t="shared" si="12"/>
        <v/>
      </c>
      <c r="N792" s="164" t="str">
        <f>IFERROR(COUNTIF($C$18:C792,C792)&amp;CHOOSE(MIN(4,COUNTIF($C$18:C792,C792)),"st","nd","rd","th"),"")</f>
        <v/>
      </c>
    </row>
    <row r="793" spans="8:14" x14ac:dyDescent="0.25">
      <c r="H793" s="201" t="str">
        <f t="shared" si="12"/>
        <v/>
      </c>
      <c r="N793" s="164" t="str">
        <f>IFERROR(COUNTIF($C$18:C793,C793)&amp;CHOOSE(MIN(4,COUNTIF($C$18:C793,C793)),"st","nd","rd","th"),"")</f>
        <v/>
      </c>
    </row>
    <row r="794" spans="8:14" x14ac:dyDescent="0.25">
      <c r="H794" s="201" t="str">
        <f t="shared" si="12"/>
        <v/>
      </c>
      <c r="N794" s="164" t="str">
        <f>IFERROR(COUNTIF($C$18:C794,C794)&amp;CHOOSE(MIN(4,COUNTIF($C$18:C794,C794)),"st","nd","rd","th"),"")</f>
        <v/>
      </c>
    </row>
    <row r="795" spans="8:14" x14ac:dyDescent="0.25">
      <c r="H795" s="201" t="str">
        <f t="shared" si="12"/>
        <v/>
      </c>
      <c r="N795" s="164" t="str">
        <f>IFERROR(COUNTIF($C$18:C795,C795)&amp;CHOOSE(MIN(4,COUNTIF($C$18:C795,C795)),"st","nd","rd","th"),"")</f>
        <v/>
      </c>
    </row>
    <row r="796" spans="8:14" x14ac:dyDescent="0.25">
      <c r="H796" s="201" t="str">
        <f t="shared" si="12"/>
        <v/>
      </c>
      <c r="N796" s="164" t="str">
        <f>IFERROR(COUNTIF($C$18:C796,C796)&amp;CHOOSE(MIN(4,COUNTIF($C$18:C796,C796)),"st","nd","rd","th"),"")</f>
        <v/>
      </c>
    </row>
    <row r="797" spans="8:14" x14ac:dyDescent="0.25">
      <c r="H797" s="201" t="str">
        <f t="shared" si="12"/>
        <v/>
      </c>
      <c r="N797" s="164" t="str">
        <f>IFERROR(COUNTIF($C$18:C797,C797)&amp;CHOOSE(MIN(4,COUNTIF($C$18:C797,C797)),"st","nd","rd","th"),"")</f>
        <v/>
      </c>
    </row>
    <row r="798" spans="8:14" x14ac:dyDescent="0.25">
      <c r="H798" s="201" t="str">
        <f t="shared" si="12"/>
        <v/>
      </c>
      <c r="N798" s="164" t="str">
        <f>IFERROR(COUNTIF($C$18:C798,C798)&amp;CHOOSE(MIN(4,COUNTIF($C$18:C798,C798)),"st","nd","rd","th"),"")</f>
        <v/>
      </c>
    </row>
    <row r="799" spans="8:14" x14ac:dyDescent="0.25">
      <c r="H799" s="201" t="str">
        <f t="shared" si="12"/>
        <v/>
      </c>
      <c r="N799" s="164" t="str">
        <f>IFERROR(COUNTIF($C$18:C799,C799)&amp;CHOOSE(MIN(4,COUNTIF($C$18:C799,C799)),"st","nd","rd","th"),"")</f>
        <v/>
      </c>
    </row>
    <row r="800" spans="8:14" x14ac:dyDescent="0.25">
      <c r="H800" s="201" t="str">
        <f t="shared" si="12"/>
        <v/>
      </c>
      <c r="N800" s="164" t="str">
        <f>IFERROR(COUNTIF($C$18:C800,C800)&amp;CHOOSE(MIN(4,COUNTIF($C$18:C800,C800)),"st","nd","rd","th"),"")</f>
        <v/>
      </c>
    </row>
    <row r="801" spans="8:14" x14ac:dyDescent="0.25">
      <c r="H801" s="201" t="str">
        <f t="shared" si="12"/>
        <v/>
      </c>
      <c r="N801" s="164" t="str">
        <f>IFERROR(COUNTIF($C$18:C801,C801)&amp;CHOOSE(MIN(4,COUNTIF($C$18:C801,C801)),"st","nd","rd","th"),"")</f>
        <v/>
      </c>
    </row>
    <row r="802" spans="8:14" x14ac:dyDescent="0.25">
      <c r="H802" s="201" t="str">
        <f t="shared" si="12"/>
        <v/>
      </c>
      <c r="N802" s="164" t="str">
        <f>IFERROR(COUNTIF($C$18:C802,C802)&amp;CHOOSE(MIN(4,COUNTIF($C$18:C802,C802)),"st","nd","rd","th"),"")</f>
        <v/>
      </c>
    </row>
    <row r="803" spans="8:14" x14ac:dyDescent="0.25">
      <c r="H803" s="201" t="str">
        <f t="shared" si="12"/>
        <v/>
      </c>
      <c r="N803" s="164" t="str">
        <f>IFERROR(COUNTIF($C$18:C803,C803)&amp;CHOOSE(MIN(4,COUNTIF($C$18:C803,C803)),"st","nd","rd","th"),"")</f>
        <v/>
      </c>
    </row>
    <row r="804" spans="8:14" x14ac:dyDescent="0.25">
      <c r="H804" s="201" t="str">
        <f t="shared" si="12"/>
        <v/>
      </c>
      <c r="N804" s="164" t="str">
        <f>IFERROR(COUNTIF($C$18:C804,C804)&amp;CHOOSE(MIN(4,COUNTIF($C$18:C804,C804)),"st","nd","rd","th"),"")</f>
        <v/>
      </c>
    </row>
    <row r="805" spans="8:14" x14ac:dyDescent="0.25">
      <c r="H805" s="201" t="str">
        <f t="shared" si="12"/>
        <v/>
      </c>
      <c r="N805" s="164" t="str">
        <f>IFERROR(COUNTIF($C$18:C805,C805)&amp;CHOOSE(MIN(4,COUNTIF($C$18:C805,C805)),"st","nd","rd","th"),"")</f>
        <v/>
      </c>
    </row>
    <row r="806" spans="8:14" x14ac:dyDescent="0.25">
      <c r="H806" s="201" t="str">
        <f t="shared" si="12"/>
        <v/>
      </c>
      <c r="N806" s="164" t="str">
        <f>IFERROR(COUNTIF($C$18:C806,C806)&amp;CHOOSE(MIN(4,COUNTIF($C$18:C806,C806)),"st","nd","rd","th"),"")</f>
        <v/>
      </c>
    </row>
    <row r="807" spans="8:14" x14ac:dyDescent="0.25">
      <c r="H807" s="201" t="str">
        <f t="shared" si="12"/>
        <v/>
      </c>
      <c r="N807" s="164" t="str">
        <f>IFERROR(COUNTIF($C$18:C807,C807)&amp;CHOOSE(MIN(4,COUNTIF($C$18:C807,C807)),"st","nd","rd","th"),"")</f>
        <v/>
      </c>
    </row>
    <row r="808" spans="8:14" x14ac:dyDescent="0.25">
      <c r="H808" s="201" t="str">
        <f t="shared" si="12"/>
        <v/>
      </c>
      <c r="N808" s="164" t="str">
        <f>IFERROR(COUNTIF($C$18:C808,C808)&amp;CHOOSE(MIN(4,COUNTIF($C$18:C808,C808)),"st","nd","rd","th"),"")</f>
        <v/>
      </c>
    </row>
    <row r="809" spans="8:14" x14ac:dyDescent="0.25">
      <c r="H809" s="201" t="str">
        <f t="shared" si="12"/>
        <v/>
      </c>
      <c r="N809" s="164" t="str">
        <f>IFERROR(COUNTIF($C$18:C809,C809)&amp;CHOOSE(MIN(4,COUNTIF($C$18:C809,C809)),"st","nd","rd","th"),"")</f>
        <v/>
      </c>
    </row>
    <row r="810" spans="8:14" x14ac:dyDescent="0.25">
      <c r="H810" s="201" t="str">
        <f t="shared" si="12"/>
        <v/>
      </c>
      <c r="N810" s="164" t="str">
        <f>IFERROR(COUNTIF($C$18:C810,C810)&amp;CHOOSE(MIN(4,COUNTIF($C$18:C810,C810)),"st","nd","rd","th"),"")</f>
        <v/>
      </c>
    </row>
    <row r="811" spans="8:14" x14ac:dyDescent="0.25">
      <c r="H811" s="201" t="str">
        <f t="shared" si="12"/>
        <v/>
      </c>
      <c r="N811" s="164" t="str">
        <f>IFERROR(COUNTIF($C$18:C811,C811)&amp;CHOOSE(MIN(4,COUNTIF($C$18:C811,C811)),"st","nd","rd","th"),"")</f>
        <v/>
      </c>
    </row>
    <row r="812" spans="8:14" x14ac:dyDescent="0.25">
      <c r="H812" s="201" t="str">
        <f t="shared" si="12"/>
        <v/>
      </c>
      <c r="N812" s="164" t="str">
        <f>IFERROR(COUNTIF($C$18:C812,C812)&amp;CHOOSE(MIN(4,COUNTIF($C$18:C812,C812)),"st","nd","rd","th"),"")</f>
        <v/>
      </c>
    </row>
    <row r="813" spans="8:14" x14ac:dyDescent="0.25">
      <c r="H813" s="201" t="str">
        <f t="shared" si="12"/>
        <v/>
      </c>
      <c r="N813" s="164" t="str">
        <f>IFERROR(COUNTIF($C$18:C813,C813)&amp;CHOOSE(MIN(4,COUNTIF($C$18:C813,C813)),"st","nd","rd","th"),"")</f>
        <v/>
      </c>
    </row>
    <row r="814" spans="8:14" x14ac:dyDescent="0.25">
      <c r="H814" s="201" t="str">
        <f t="shared" si="12"/>
        <v/>
      </c>
      <c r="N814" s="164" t="str">
        <f>IFERROR(COUNTIF($C$18:C814,C814)&amp;CHOOSE(MIN(4,COUNTIF($C$18:C814,C814)),"st","nd","rd","th"),"")</f>
        <v/>
      </c>
    </row>
    <row r="815" spans="8:14" x14ac:dyDescent="0.25">
      <c r="H815" s="201" t="str">
        <f t="shared" si="12"/>
        <v/>
      </c>
      <c r="N815" s="164" t="str">
        <f>IFERROR(COUNTIF($C$18:C815,C815)&amp;CHOOSE(MIN(4,COUNTIF($C$18:C815,C815)),"st","nd","rd","th"),"")</f>
        <v/>
      </c>
    </row>
    <row r="816" spans="8:14" x14ac:dyDescent="0.25">
      <c r="H816" s="201" t="str">
        <f t="shared" si="12"/>
        <v/>
      </c>
      <c r="N816" s="164" t="str">
        <f>IFERROR(COUNTIF($C$18:C816,C816)&amp;CHOOSE(MIN(4,COUNTIF($C$18:C816,C816)),"st","nd","rd","th"),"")</f>
        <v/>
      </c>
    </row>
    <row r="817" spans="8:14" x14ac:dyDescent="0.25">
      <c r="H817" s="201" t="str">
        <f t="shared" si="12"/>
        <v/>
      </c>
      <c r="N817" s="164" t="str">
        <f>IFERROR(COUNTIF($C$18:C817,C817)&amp;CHOOSE(MIN(4,COUNTIF($C$18:C817,C817)),"st","nd","rd","th"),"")</f>
        <v/>
      </c>
    </row>
    <row r="818" spans="8:14" x14ac:dyDescent="0.25">
      <c r="H818" s="201" t="str">
        <f t="shared" si="12"/>
        <v/>
      </c>
      <c r="N818" s="164" t="str">
        <f>IFERROR(COUNTIF($C$18:C818,C818)&amp;CHOOSE(MIN(4,COUNTIF($C$18:C818,C818)),"st","nd","rd","th"),"")</f>
        <v/>
      </c>
    </row>
    <row r="819" spans="8:14" x14ac:dyDescent="0.25">
      <c r="H819" s="201" t="str">
        <f t="shared" si="12"/>
        <v/>
      </c>
      <c r="N819" s="164" t="str">
        <f>IFERROR(COUNTIF($C$18:C819,C819)&amp;CHOOSE(MIN(4,COUNTIF($C$18:C819,C819)),"st","nd","rd","th"),"")</f>
        <v/>
      </c>
    </row>
    <row r="820" spans="8:14" x14ac:dyDescent="0.25">
      <c r="H820" s="201" t="str">
        <f t="shared" si="12"/>
        <v/>
      </c>
      <c r="N820" s="164" t="str">
        <f>IFERROR(COUNTIF($C$18:C820,C820)&amp;CHOOSE(MIN(4,COUNTIF($C$18:C820,C820)),"st","nd","rd","th"),"")</f>
        <v/>
      </c>
    </row>
    <row r="821" spans="8:14" x14ac:dyDescent="0.25">
      <c r="H821" s="201" t="str">
        <f t="shared" si="12"/>
        <v/>
      </c>
      <c r="N821" s="164" t="str">
        <f>IFERROR(COUNTIF($C$18:C821,C821)&amp;CHOOSE(MIN(4,COUNTIF($C$18:C821,C821)),"st","nd","rd","th"),"")</f>
        <v/>
      </c>
    </row>
    <row r="822" spans="8:14" x14ac:dyDescent="0.25">
      <c r="H822" s="201" t="str">
        <f t="shared" si="12"/>
        <v/>
      </c>
      <c r="N822" s="164" t="str">
        <f>IFERROR(COUNTIF($C$18:C822,C822)&amp;CHOOSE(MIN(4,COUNTIF($C$18:C822,C822)),"st","nd","rd","th"),"")</f>
        <v/>
      </c>
    </row>
    <row r="823" spans="8:14" x14ac:dyDescent="0.25">
      <c r="H823" s="201" t="str">
        <f t="shared" si="12"/>
        <v/>
      </c>
      <c r="N823" s="164" t="str">
        <f>IFERROR(COUNTIF($C$18:C823,C823)&amp;CHOOSE(MIN(4,COUNTIF($C$18:C823,C823)),"st","nd","rd","th"),"")</f>
        <v/>
      </c>
    </row>
    <row r="824" spans="8:14" x14ac:dyDescent="0.25">
      <c r="H824" s="201" t="str">
        <f t="shared" si="12"/>
        <v/>
      </c>
      <c r="N824" s="164" t="str">
        <f>IFERROR(COUNTIF($C$18:C824,C824)&amp;CHOOSE(MIN(4,COUNTIF($C$18:C824,C824)),"st","nd","rd","th"),"")</f>
        <v/>
      </c>
    </row>
    <row r="825" spans="8:14" x14ac:dyDescent="0.25">
      <c r="H825" s="201" t="str">
        <f t="shared" si="12"/>
        <v/>
      </c>
      <c r="N825" s="164" t="str">
        <f>IFERROR(COUNTIF($C$18:C825,C825)&amp;CHOOSE(MIN(4,COUNTIF($C$18:C825,C825)),"st","nd","rd","th"),"")</f>
        <v/>
      </c>
    </row>
    <row r="826" spans="8:14" x14ac:dyDescent="0.25">
      <c r="H826" s="201" t="str">
        <f t="shared" si="12"/>
        <v/>
      </c>
      <c r="N826" s="164" t="str">
        <f>IFERROR(COUNTIF($C$18:C826,C826)&amp;CHOOSE(MIN(4,COUNTIF($C$18:C826,C826)),"st","nd","rd","th"),"")</f>
        <v/>
      </c>
    </row>
    <row r="827" spans="8:14" x14ac:dyDescent="0.25">
      <c r="H827" s="201" t="str">
        <f t="shared" si="12"/>
        <v/>
      </c>
      <c r="N827" s="164" t="str">
        <f>IFERROR(COUNTIF($C$18:C827,C827)&amp;CHOOSE(MIN(4,COUNTIF($C$18:C827,C827)),"st","nd","rd","th"),"")</f>
        <v/>
      </c>
    </row>
    <row r="828" spans="8:14" x14ac:dyDescent="0.25">
      <c r="H828" s="201" t="str">
        <f t="shared" si="12"/>
        <v/>
      </c>
      <c r="N828" s="164" t="str">
        <f>IFERROR(COUNTIF($C$18:C828,C828)&amp;CHOOSE(MIN(4,COUNTIF($C$18:C828,C828)),"st","nd","rd","th"),"")</f>
        <v/>
      </c>
    </row>
    <row r="829" spans="8:14" x14ac:dyDescent="0.25">
      <c r="H829" s="201" t="str">
        <f t="shared" si="12"/>
        <v/>
      </c>
      <c r="N829" s="164" t="str">
        <f>IFERROR(COUNTIF($C$18:C829,C829)&amp;CHOOSE(MIN(4,COUNTIF($C$18:C829,C829)),"st","nd","rd","th"),"")</f>
        <v/>
      </c>
    </row>
    <row r="830" spans="8:14" x14ac:dyDescent="0.25">
      <c r="H830" s="201" t="str">
        <f t="shared" si="12"/>
        <v/>
      </c>
      <c r="N830" s="164" t="str">
        <f>IFERROR(COUNTIF($C$18:C830,C830)&amp;CHOOSE(MIN(4,COUNTIF($C$18:C830,C830)),"st","nd","rd","th"),"")</f>
        <v/>
      </c>
    </row>
    <row r="831" spans="8:14" x14ac:dyDescent="0.25">
      <c r="H831" s="201" t="str">
        <f t="shared" si="12"/>
        <v/>
      </c>
      <c r="N831" s="164" t="str">
        <f>IFERROR(COUNTIF($C$18:C831,C831)&amp;CHOOSE(MIN(4,COUNTIF($C$18:C831,C831)),"st","nd","rd","th"),"")</f>
        <v/>
      </c>
    </row>
    <row r="832" spans="8:14" x14ac:dyDescent="0.25">
      <c r="H832" s="201" t="str">
        <f t="shared" si="12"/>
        <v/>
      </c>
      <c r="N832" s="164" t="str">
        <f>IFERROR(COUNTIF($C$18:C832,C832)&amp;CHOOSE(MIN(4,COUNTIF($C$18:C832,C832)),"st","nd","rd","th"),"")</f>
        <v/>
      </c>
    </row>
    <row r="833" spans="8:14" x14ac:dyDescent="0.25">
      <c r="H833" s="201" t="str">
        <f t="shared" si="12"/>
        <v/>
      </c>
      <c r="N833" s="164" t="str">
        <f>IFERROR(COUNTIF($C$18:C833,C833)&amp;CHOOSE(MIN(4,COUNTIF($C$18:C833,C833)),"st","nd","rd","th"),"")</f>
        <v/>
      </c>
    </row>
    <row r="834" spans="8:14" x14ac:dyDescent="0.25">
      <c r="H834" s="201" t="str">
        <f t="shared" si="12"/>
        <v/>
      </c>
      <c r="N834" s="164" t="str">
        <f>IFERROR(COUNTIF($C$18:C834,C834)&amp;CHOOSE(MIN(4,COUNTIF($C$18:C834,C834)),"st","nd","rd","th"),"")</f>
        <v/>
      </c>
    </row>
    <row r="835" spans="8:14" x14ac:dyDescent="0.25">
      <c r="H835" s="201" t="str">
        <f t="shared" si="12"/>
        <v/>
      </c>
      <c r="N835" s="164" t="str">
        <f>IFERROR(COUNTIF($C$18:C835,C835)&amp;CHOOSE(MIN(4,COUNTIF($C$18:C835,C835)),"st","nd","rd","th"),"")</f>
        <v/>
      </c>
    </row>
    <row r="836" spans="8:14" x14ac:dyDescent="0.25">
      <c r="H836" s="201" t="str">
        <f t="shared" si="12"/>
        <v/>
      </c>
      <c r="N836" s="164" t="str">
        <f>IFERROR(COUNTIF($C$18:C836,C836)&amp;CHOOSE(MIN(4,COUNTIF($C$18:C836,C836)),"st","nd","rd","th"),"")</f>
        <v/>
      </c>
    </row>
    <row r="837" spans="8:14" x14ac:dyDescent="0.25">
      <c r="H837" s="201" t="str">
        <f t="shared" si="12"/>
        <v/>
      </c>
      <c r="N837" s="164" t="str">
        <f>IFERROR(COUNTIF($C$18:C837,C837)&amp;CHOOSE(MIN(4,COUNTIF($C$18:C837,C837)),"st","nd","rd","th"),"")</f>
        <v/>
      </c>
    </row>
    <row r="838" spans="8:14" x14ac:dyDescent="0.25">
      <c r="H838" s="201" t="str">
        <f t="shared" si="12"/>
        <v/>
      </c>
      <c r="N838" s="164" t="str">
        <f>IFERROR(COUNTIF($C$18:C838,C838)&amp;CHOOSE(MIN(4,COUNTIF($C$18:C838,C838)),"st","nd","rd","th"),"")</f>
        <v/>
      </c>
    </row>
    <row r="839" spans="8:14" x14ac:dyDescent="0.25">
      <c r="H839" s="201" t="str">
        <f t="shared" si="12"/>
        <v/>
      </c>
      <c r="N839" s="164" t="str">
        <f>IFERROR(COUNTIF($C$18:C839,C839)&amp;CHOOSE(MIN(4,COUNTIF($C$18:C839,C839)),"st","nd","rd","th"),"")</f>
        <v/>
      </c>
    </row>
    <row r="840" spans="8:14" x14ac:dyDescent="0.25">
      <c r="H840" s="201" t="str">
        <f t="shared" si="12"/>
        <v/>
      </c>
      <c r="N840" s="164" t="str">
        <f>IFERROR(COUNTIF($C$18:C840,C840)&amp;CHOOSE(MIN(4,COUNTIF($C$18:C840,C840)),"st","nd","rd","th"),"")</f>
        <v/>
      </c>
    </row>
    <row r="841" spans="8:14" x14ac:dyDescent="0.25">
      <c r="H841" s="201" t="str">
        <f t="shared" si="12"/>
        <v/>
      </c>
      <c r="N841" s="164" t="str">
        <f>IFERROR(COUNTIF($C$18:C841,C841)&amp;CHOOSE(MIN(4,COUNTIF($C$18:C841,C841)),"st","nd","rd","th"),"")</f>
        <v/>
      </c>
    </row>
    <row r="842" spans="8:14" x14ac:dyDescent="0.25">
      <c r="H842" s="201" t="str">
        <f t="shared" si="12"/>
        <v/>
      </c>
      <c r="N842" s="164" t="str">
        <f>IFERROR(COUNTIF($C$18:C842,C842)&amp;CHOOSE(MIN(4,COUNTIF($C$18:C842,C842)),"st","nd","rd","th"),"")</f>
        <v/>
      </c>
    </row>
    <row r="843" spans="8:14" x14ac:dyDescent="0.25">
      <c r="H843" s="201" t="str">
        <f t="shared" si="12"/>
        <v/>
      </c>
      <c r="N843" s="164" t="str">
        <f>IFERROR(COUNTIF($C$18:C843,C843)&amp;CHOOSE(MIN(4,COUNTIF($C$18:C843,C843)),"st","nd","rd","th"),"")</f>
        <v/>
      </c>
    </row>
    <row r="844" spans="8:14" x14ac:dyDescent="0.25">
      <c r="H844" s="201" t="str">
        <f t="shared" si="12"/>
        <v/>
      </c>
      <c r="N844" s="164" t="str">
        <f>IFERROR(COUNTIF($C$18:C844,C844)&amp;CHOOSE(MIN(4,COUNTIF($C$18:C844,C844)),"st","nd","rd","th"),"")</f>
        <v/>
      </c>
    </row>
    <row r="845" spans="8:14" x14ac:dyDescent="0.25">
      <c r="H845" s="201" t="str">
        <f t="shared" si="12"/>
        <v/>
      </c>
      <c r="N845" s="164" t="str">
        <f>IFERROR(COUNTIF($C$18:C845,C845)&amp;CHOOSE(MIN(4,COUNTIF($C$18:C845,C845)),"st","nd","rd","th"),"")</f>
        <v/>
      </c>
    </row>
    <row r="846" spans="8:14" x14ac:dyDescent="0.25">
      <c r="H846" s="201" t="str">
        <f t="shared" si="12"/>
        <v/>
      </c>
      <c r="N846" s="164" t="str">
        <f>IFERROR(COUNTIF($C$18:C846,C846)&amp;CHOOSE(MIN(4,COUNTIF($C$18:C846,C846)),"st","nd","rd","th"),"")</f>
        <v/>
      </c>
    </row>
    <row r="847" spans="8:14" x14ac:dyDescent="0.25">
      <c r="H847" s="201" t="str">
        <f t="shared" si="12"/>
        <v/>
      </c>
      <c r="N847" s="164" t="str">
        <f>IFERROR(COUNTIF($C$18:C847,C847)&amp;CHOOSE(MIN(4,COUNTIF($C$18:C847,C847)),"st","nd","rd","th"),"")</f>
        <v/>
      </c>
    </row>
    <row r="848" spans="8:14" x14ac:dyDescent="0.25">
      <c r="H848" s="201" t="str">
        <f t="shared" si="12"/>
        <v/>
      </c>
      <c r="N848" s="164" t="str">
        <f>IFERROR(COUNTIF($C$18:C848,C848)&amp;CHOOSE(MIN(4,COUNTIF($C$18:C848,C848)),"st","nd","rd","th"),"")</f>
        <v/>
      </c>
    </row>
    <row r="849" spans="8:14" x14ac:dyDescent="0.25">
      <c r="H849" s="201" t="str">
        <f t="shared" ref="H849:H912" si="13">IF(OR(ISBLANK(G849), ISBLANK(F849)), "", IF(G849=F849, 1, SUM(_xlfn.DAYS(G849, F849), 1)))</f>
        <v/>
      </c>
      <c r="N849" s="164" t="str">
        <f>IFERROR(COUNTIF($C$18:C849,C849)&amp;CHOOSE(MIN(4,COUNTIF($C$18:C849,C849)),"st","nd","rd","th"),"")</f>
        <v/>
      </c>
    </row>
    <row r="850" spans="8:14" x14ac:dyDescent="0.25">
      <c r="H850" s="201" t="str">
        <f t="shared" si="13"/>
        <v/>
      </c>
      <c r="N850" s="164" t="str">
        <f>IFERROR(COUNTIF($C$18:C850,C850)&amp;CHOOSE(MIN(4,COUNTIF($C$18:C850,C850)),"st","nd","rd","th"),"")</f>
        <v/>
      </c>
    </row>
    <row r="851" spans="8:14" x14ac:dyDescent="0.25">
      <c r="H851" s="201" t="str">
        <f t="shared" si="13"/>
        <v/>
      </c>
      <c r="N851" s="164" t="str">
        <f>IFERROR(COUNTIF($C$18:C851,C851)&amp;CHOOSE(MIN(4,COUNTIF($C$18:C851,C851)),"st","nd","rd","th"),"")</f>
        <v/>
      </c>
    </row>
    <row r="852" spans="8:14" x14ac:dyDescent="0.25">
      <c r="H852" s="201" t="str">
        <f t="shared" si="13"/>
        <v/>
      </c>
      <c r="N852" s="164" t="str">
        <f>IFERROR(COUNTIF($C$18:C852,C852)&amp;CHOOSE(MIN(4,COUNTIF($C$18:C852,C852)),"st","nd","rd","th"),"")</f>
        <v/>
      </c>
    </row>
    <row r="853" spans="8:14" x14ac:dyDescent="0.25">
      <c r="H853" s="201" t="str">
        <f t="shared" si="13"/>
        <v/>
      </c>
      <c r="N853" s="164" t="str">
        <f>IFERROR(COUNTIF($C$18:C853,C853)&amp;CHOOSE(MIN(4,COUNTIF($C$18:C853,C853)),"st","nd","rd","th"),"")</f>
        <v/>
      </c>
    </row>
    <row r="854" spans="8:14" x14ac:dyDescent="0.25">
      <c r="H854" s="201" t="str">
        <f t="shared" si="13"/>
        <v/>
      </c>
      <c r="N854" s="164" t="str">
        <f>IFERROR(COUNTIF($C$18:C854,C854)&amp;CHOOSE(MIN(4,COUNTIF($C$18:C854,C854)),"st","nd","rd","th"),"")</f>
        <v/>
      </c>
    </row>
    <row r="855" spans="8:14" x14ac:dyDescent="0.25">
      <c r="H855" s="201" t="str">
        <f t="shared" si="13"/>
        <v/>
      </c>
      <c r="N855" s="164" t="str">
        <f>IFERROR(COUNTIF($C$18:C855,C855)&amp;CHOOSE(MIN(4,COUNTIF($C$18:C855,C855)),"st","nd","rd","th"),"")</f>
        <v/>
      </c>
    </row>
    <row r="856" spans="8:14" x14ac:dyDescent="0.25">
      <c r="H856" s="201" t="str">
        <f t="shared" si="13"/>
        <v/>
      </c>
      <c r="N856" s="164" t="str">
        <f>IFERROR(COUNTIF($C$18:C856,C856)&amp;CHOOSE(MIN(4,COUNTIF($C$18:C856,C856)),"st","nd","rd","th"),"")</f>
        <v/>
      </c>
    </row>
    <row r="857" spans="8:14" x14ac:dyDescent="0.25">
      <c r="H857" s="201" t="str">
        <f t="shared" si="13"/>
        <v/>
      </c>
      <c r="N857" s="164" t="str">
        <f>IFERROR(COUNTIF($C$18:C857,C857)&amp;CHOOSE(MIN(4,COUNTIF($C$18:C857,C857)),"st","nd","rd","th"),"")</f>
        <v/>
      </c>
    </row>
    <row r="858" spans="8:14" x14ac:dyDescent="0.25">
      <c r="H858" s="201" t="str">
        <f t="shared" si="13"/>
        <v/>
      </c>
      <c r="N858" s="164" t="str">
        <f>IFERROR(COUNTIF($C$18:C858,C858)&amp;CHOOSE(MIN(4,COUNTIF($C$18:C858,C858)),"st","nd","rd","th"),"")</f>
        <v/>
      </c>
    </row>
    <row r="859" spans="8:14" x14ac:dyDescent="0.25">
      <c r="H859" s="201" t="str">
        <f t="shared" si="13"/>
        <v/>
      </c>
      <c r="N859" s="164" t="str">
        <f>IFERROR(COUNTIF($C$18:C859,C859)&amp;CHOOSE(MIN(4,COUNTIF($C$18:C859,C859)),"st","nd","rd","th"),"")</f>
        <v/>
      </c>
    </row>
    <row r="860" spans="8:14" x14ac:dyDescent="0.25">
      <c r="H860" s="201" t="str">
        <f t="shared" si="13"/>
        <v/>
      </c>
      <c r="N860" s="164" t="str">
        <f>IFERROR(COUNTIF($C$18:C860,C860)&amp;CHOOSE(MIN(4,COUNTIF($C$18:C860,C860)),"st","nd","rd","th"),"")</f>
        <v/>
      </c>
    </row>
    <row r="861" spans="8:14" x14ac:dyDescent="0.25">
      <c r="H861" s="201" t="str">
        <f t="shared" si="13"/>
        <v/>
      </c>
      <c r="N861" s="164" t="str">
        <f>IFERROR(COUNTIF($C$18:C861,C861)&amp;CHOOSE(MIN(4,COUNTIF($C$18:C861,C861)),"st","nd","rd","th"),"")</f>
        <v/>
      </c>
    </row>
    <row r="862" spans="8:14" x14ac:dyDescent="0.25">
      <c r="H862" s="201" t="str">
        <f t="shared" si="13"/>
        <v/>
      </c>
      <c r="N862" s="164" t="str">
        <f>IFERROR(COUNTIF($C$18:C862,C862)&amp;CHOOSE(MIN(4,COUNTIF($C$18:C862,C862)),"st","nd","rd","th"),"")</f>
        <v/>
      </c>
    </row>
    <row r="863" spans="8:14" x14ac:dyDescent="0.25">
      <c r="H863" s="201" t="str">
        <f t="shared" si="13"/>
        <v/>
      </c>
      <c r="N863" s="164" t="str">
        <f>IFERROR(COUNTIF($C$18:C863,C863)&amp;CHOOSE(MIN(4,COUNTIF($C$18:C863,C863)),"st","nd","rd","th"),"")</f>
        <v/>
      </c>
    </row>
    <row r="864" spans="8:14" x14ac:dyDescent="0.25">
      <c r="H864" s="201" t="str">
        <f t="shared" si="13"/>
        <v/>
      </c>
      <c r="N864" s="164" t="str">
        <f>IFERROR(COUNTIF($C$18:C864,C864)&amp;CHOOSE(MIN(4,COUNTIF($C$18:C864,C864)),"st","nd","rd","th"),"")</f>
        <v/>
      </c>
    </row>
    <row r="865" spans="8:14" x14ac:dyDescent="0.25">
      <c r="H865" s="201" t="str">
        <f t="shared" si="13"/>
        <v/>
      </c>
      <c r="N865" s="164" t="str">
        <f>IFERROR(COUNTIF($C$18:C865,C865)&amp;CHOOSE(MIN(4,COUNTIF($C$18:C865,C865)),"st","nd","rd","th"),"")</f>
        <v/>
      </c>
    </row>
    <row r="866" spans="8:14" x14ac:dyDescent="0.25">
      <c r="H866" s="201" t="str">
        <f t="shared" si="13"/>
        <v/>
      </c>
      <c r="N866" s="164" t="str">
        <f>IFERROR(COUNTIF($C$18:C866,C866)&amp;CHOOSE(MIN(4,COUNTIF($C$18:C866,C866)),"st","nd","rd","th"),"")</f>
        <v/>
      </c>
    </row>
    <row r="867" spans="8:14" x14ac:dyDescent="0.25">
      <c r="H867" s="201" t="str">
        <f t="shared" si="13"/>
        <v/>
      </c>
      <c r="N867" s="164" t="str">
        <f>IFERROR(COUNTIF($C$18:C867,C867)&amp;CHOOSE(MIN(4,COUNTIF($C$18:C867,C867)),"st","nd","rd","th"),"")</f>
        <v/>
      </c>
    </row>
    <row r="868" spans="8:14" x14ac:dyDescent="0.25">
      <c r="H868" s="201" t="str">
        <f t="shared" si="13"/>
        <v/>
      </c>
      <c r="N868" s="164" t="str">
        <f>IFERROR(COUNTIF($C$18:C868,C868)&amp;CHOOSE(MIN(4,COUNTIF($C$18:C868,C868)),"st","nd","rd","th"),"")</f>
        <v/>
      </c>
    </row>
    <row r="869" spans="8:14" x14ac:dyDescent="0.25">
      <c r="H869" s="201" t="str">
        <f t="shared" si="13"/>
        <v/>
      </c>
      <c r="N869" s="164" t="str">
        <f>IFERROR(COUNTIF($C$18:C869,C869)&amp;CHOOSE(MIN(4,COUNTIF($C$18:C869,C869)),"st","nd","rd","th"),"")</f>
        <v/>
      </c>
    </row>
    <row r="870" spans="8:14" x14ac:dyDescent="0.25">
      <c r="H870" s="201" t="str">
        <f t="shared" si="13"/>
        <v/>
      </c>
      <c r="N870" s="164" t="str">
        <f>IFERROR(COUNTIF($C$18:C870,C870)&amp;CHOOSE(MIN(4,COUNTIF($C$18:C870,C870)),"st","nd","rd","th"),"")</f>
        <v/>
      </c>
    </row>
    <row r="871" spans="8:14" x14ac:dyDescent="0.25">
      <c r="H871" s="201" t="str">
        <f t="shared" si="13"/>
        <v/>
      </c>
      <c r="N871" s="164" t="str">
        <f>IFERROR(COUNTIF($C$18:C871,C871)&amp;CHOOSE(MIN(4,COUNTIF($C$18:C871,C871)),"st","nd","rd","th"),"")</f>
        <v/>
      </c>
    </row>
    <row r="872" spans="8:14" x14ac:dyDescent="0.25">
      <c r="H872" s="201" t="str">
        <f t="shared" si="13"/>
        <v/>
      </c>
      <c r="N872" s="164" t="str">
        <f>IFERROR(COUNTIF($C$18:C872,C872)&amp;CHOOSE(MIN(4,COUNTIF($C$18:C872,C872)),"st","nd","rd","th"),"")</f>
        <v/>
      </c>
    </row>
    <row r="873" spans="8:14" x14ac:dyDescent="0.25">
      <c r="H873" s="201" t="str">
        <f t="shared" si="13"/>
        <v/>
      </c>
      <c r="N873" s="164" t="str">
        <f>IFERROR(COUNTIF($C$18:C873,C873)&amp;CHOOSE(MIN(4,COUNTIF($C$18:C873,C873)),"st","nd","rd","th"),"")</f>
        <v/>
      </c>
    </row>
    <row r="874" spans="8:14" x14ac:dyDescent="0.25">
      <c r="H874" s="201" t="str">
        <f t="shared" si="13"/>
        <v/>
      </c>
      <c r="N874" s="164" t="str">
        <f>IFERROR(COUNTIF($C$18:C874,C874)&amp;CHOOSE(MIN(4,COUNTIF($C$18:C874,C874)),"st","nd","rd","th"),"")</f>
        <v/>
      </c>
    </row>
    <row r="875" spans="8:14" x14ac:dyDescent="0.25">
      <c r="H875" s="201" t="str">
        <f t="shared" si="13"/>
        <v/>
      </c>
      <c r="N875" s="164" t="str">
        <f>IFERROR(COUNTIF($C$18:C875,C875)&amp;CHOOSE(MIN(4,COUNTIF($C$18:C875,C875)),"st","nd","rd","th"),"")</f>
        <v/>
      </c>
    </row>
    <row r="876" spans="8:14" x14ac:dyDescent="0.25">
      <c r="H876" s="201" t="str">
        <f t="shared" si="13"/>
        <v/>
      </c>
      <c r="N876" s="164" t="str">
        <f>IFERROR(COUNTIF($C$18:C876,C876)&amp;CHOOSE(MIN(4,COUNTIF($C$18:C876,C876)),"st","nd","rd","th"),"")</f>
        <v/>
      </c>
    </row>
    <row r="877" spans="8:14" x14ac:dyDescent="0.25">
      <c r="H877" s="201" t="str">
        <f t="shared" si="13"/>
        <v/>
      </c>
      <c r="N877" s="164" t="str">
        <f>IFERROR(COUNTIF($C$18:C877,C877)&amp;CHOOSE(MIN(4,COUNTIF($C$18:C877,C877)),"st","nd","rd","th"),"")</f>
        <v/>
      </c>
    </row>
    <row r="878" spans="8:14" x14ac:dyDescent="0.25">
      <c r="H878" s="201" t="str">
        <f t="shared" si="13"/>
        <v/>
      </c>
      <c r="N878" s="164" t="str">
        <f>IFERROR(COUNTIF($C$18:C878,C878)&amp;CHOOSE(MIN(4,COUNTIF($C$18:C878,C878)),"st","nd","rd","th"),"")</f>
        <v/>
      </c>
    </row>
    <row r="879" spans="8:14" x14ac:dyDescent="0.25">
      <c r="H879" s="201" t="str">
        <f t="shared" si="13"/>
        <v/>
      </c>
      <c r="N879" s="164" t="str">
        <f>IFERROR(COUNTIF($C$18:C879,C879)&amp;CHOOSE(MIN(4,COUNTIF($C$18:C879,C879)),"st","nd","rd","th"),"")</f>
        <v/>
      </c>
    </row>
    <row r="880" spans="8:14" x14ac:dyDescent="0.25">
      <c r="H880" s="201" t="str">
        <f t="shared" si="13"/>
        <v/>
      </c>
      <c r="N880" s="164" t="str">
        <f>IFERROR(COUNTIF($C$18:C880,C880)&amp;CHOOSE(MIN(4,COUNTIF($C$18:C880,C880)),"st","nd","rd","th"),"")</f>
        <v/>
      </c>
    </row>
    <row r="881" spans="8:14" x14ac:dyDescent="0.25">
      <c r="H881" s="201" t="str">
        <f t="shared" si="13"/>
        <v/>
      </c>
      <c r="N881" s="164" t="str">
        <f>IFERROR(COUNTIF($C$18:C881,C881)&amp;CHOOSE(MIN(4,COUNTIF($C$18:C881,C881)),"st","nd","rd","th"),"")</f>
        <v/>
      </c>
    </row>
    <row r="882" spans="8:14" x14ac:dyDescent="0.25">
      <c r="H882" s="201" t="str">
        <f t="shared" si="13"/>
        <v/>
      </c>
      <c r="N882" s="164" t="str">
        <f>IFERROR(COUNTIF($C$18:C882,C882)&amp;CHOOSE(MIN(4,COUNTIF($C$18:C882,C882)),"st","nd","rd","th"),"")</f>
        <v/>
      </c>
    </row>
    <row r="883" spans="8:14" x14ac:dyDescent="0.25">
      <c r="H883" s="201" t="str">
        <f t="shared" si="13"/>
        <v/>
      </c>
      <c r="N883" s="164" t="str">
        <f>IFERROR(COUNTIF($C$18:C883,C883)&amp;CHOOSE(MIN(4,COUNTIF($C$18:C883,C883)),"st","nd","rd","th"),"")</f>
        <v/>
      </c>
    </row>
    <row r="884" spans="8:14" x14ac:dyDescent="0.25">
      <c r="H884" s="201" t="str">
        <f t="shared" si="13"/>
        <v/>
      </c>
      <c r="N884" s="164" t="str">
        <f>IFERROR(COUNTIF($C$18:C884,C884)&amp;CHOOSE(MIN(4,COUNTIF($C$18:C884,C884)),"st","nd","rd","th"),"")</f>
        <v/>
      </c>
    </row>
    <row r="885" spans="8:14" x14ac:dyDescent="0.25">
      <c r="H885" s="201" t="str">
        <f t="shared" si="13"/>
        <v/>
      </c>
      <c r="N885" s="164" t="str">
        <f>IFERROR(COUNTIF($C$18:C885,C885)&amp;CHOOSE(MIN(4,COUNTIF($C$18:C885,C885)),"st","nd","rd","th"),"")</f>
        <v/>
      </c>
    </row>
    <row r="886" spans="8:14" x14ac:dyDescent="0.25">
      <c r="H886" s="201" t="str">
        <f t="shared" si="13"/>
        <v/>
      </c>
      <c r="N886" s="164" t="str">
        <f>IFERROR(COUNTIF($C$18:C886,C886)&amp;CHOOSE(MIN(4,COUNTIF($C$18:C886,C886)),"st","nd","rd","th"),"")</f>
        <v/>
      </c>
    </row>
    <row r="887" spans="8:14" x14ac:dyDescent="0.25">
      <c r="H887" s="201" t="str">
        <f t="shared" si="13"/>
        <v/>
      </c>
      <c r="N887" s="164" t="str">
        <f>IFERROR(COUNTIF($C$18:C887,C887)&amp;CHOOSE(MIN(4,COUNTIF($C$18:C887,C887)),"st","nd","rd","th"),"")</f>
        <v/>
      </c>
    </row>
    <row r="888" spans="8:14" x14ac:dyDescent="0.25">
      <c r="H888" s="201" t="str">
        <f t="shared" si="13"/>
        <v/>
      </c>
      <c r="N888" s="164" t="str">
        <f>IFERROR(COUNTIF($C$18:C888,C888)&amp;CHOOSE(MIN(4,COUNTIF($C$18:C888,C888)),"st","nd","rd","th"),"")</f>
        <v/>
      </c>
    </row>
    <row r="889" spans="8:14" x14ac:dyDescent="0.25">
      <c r="H889" s="201" t="str">
        <f t="shared" si="13"/>
        <v/>
      </c>
      <c r="N889" s="164" t="str">
        <f>IFERROR(COUNTIF($C$18:C889,C889)&amp;CHOOSE(MIN(4,COUNTIF($C$18:C889,C889)),"st","nd","rd","th"),"")</f>
        <v/>
      </c>
    </row>
    <row r="890" spans="8:14" x14ac:dyDescent="0.25">
      <c r="H890" s="201" t="str">
        <f t="shared" si="13"/>
        <v/>
      </c>
      <c r="N890" s="164" t="str">
        <f>IFERROR(COUNTIF($C$18:C890,C890)&amp;CHOOSE(MIN(4,COUNTIF($C$18:C890,C890)),"st","nd","rd","th"),"")</f>
        <v/>
      </c>
    </row>
    <row r="891" spans="8:14" x14ac:dyDescent="0.25">
      <c r="H891" s="201" t="str">
        <f t="shared" si="13"/>
        <v/>
      </c>
      <c r="N891" s="164" t="str">
        <f>IFERROR(COUNTIF($C$18:C891,C891)&amp;CHOOSE(MIN(4,COUNTIF($C$18:C891,C891)),"st","nd","rd","th"),"")</f>
        <v/>
      </c>
    </row>
    <row r="892" spans="8:14" x14ac:dyDescent="0.25">
      <c r="H892" s="201" t="str">
        <f t="shared" si="13"/>
        <v/>
      </c>
      <c r="N892" s="164" t="str">
        <f>IFERROR(COUNTIF($C$18:C892,C892)&amp;CHOOSE(MIN(4,COUNTIF($C$18:C892,C892)),"st","nd","rd","th"),"")</f>
        <v/>
      </c>
    </row>
    <row r="893" spans="8:14" x14ac:dyDescent="0.25">
      <c r="H893" s="201" t="str">
        <f t="shared" si="13"/>
        <v/>
      </c>
      <c r="N893" s="164" t="str">
        <f>IFERROR(COUNTIF($C$18:C893,C893)&amp;CHOOSE(MIN(4,COUNTIF($C$18:C893,C893)),"st","nd","rd","th"),"")</f>
        <v/>
      </c>
    </row>
    <row r="894" spans="8:14" x14ac:dyDescent="0.25">
      <c r="H894" s="201" t="str">
        <f t="shared" si="13"/>
        <v/>
      </c>
      <c r="N894" s="164" t="str">
        <f>IFERROR(COUNTIF($C$18:C894,C894)&amp;CHOOSE(MIN(4,COUNTIF($C$18:C894,C894)),"st","nd","rd","th"),"")</f>
        <v/>
      </c>
    </row>
    <row r="895" spans="8:14" x14ac:dyDescent="0.25">
      <c r="H895" s="201" t="str">
        <f t="shared" si="13"/>
        <v/>
      </c>
      <c r="N895" s="164" t="str">
        <f>IFERROR(COUNTIF($C$18:C895,C895)&amp;CHOOSE(MIN(4,COUNTIF($C$18:C895,C895)),"st","nd","rd","th"),"")</f>
        <v/>
      </c>
    </row>
    <row r="896" spans="8:14" x14ac:dyDescent="0.25">
      <c r="H896" s="201" t="str">
        <f t="shared" si="13"/>
        <v/>
      </c>
      <c r="N896" s="164" t="str">
        <f>IFERROR(COUNTIF($C$18:C896,C896)&amp;CHOOSE(MIN(4,COUNTIF($C$18:C896,C896)),"st","nd","rd","th"),"")</f>
        <v/>
      </c>
    </row>
    <row r="897" spans="8:14" x14ac:dyDescent="0.25">
      <c r="H897" s="201" t="str">
        <f t="shared" si="13"/>
        <v/>
      </c>
      <c r="N897" s="164" t="str">
        <f>IFERROR(COUNTIF($C$18:C897,C897)&amp;CHOOSE(MIN(4,COUNTIF($C$18:C897,C897)),"st","nd","rd","th"),"")</f>
        <v/>
      </c>
    </row>
    <row r="898" spans="8:14" x14ac:dyDescent="0.25">
      <c r="H898" s="201" t="str">
        <f t="shared" si="13"/>
        <v/>
      </c>
      <c r="N898" s="164" t="str">
        <f>IFERROR(COUNTIF($C$18:C898,C898)&amp;CHOOSE(MIN(4,COUNTIF($C$18:C898,C898)),"st","nd","rd","th"),"")</f>
        <v/>
      </c>
    </row>
    <row r="899" spans="8:14" x14ac:dyDescent="0.25">
      <c r="H899" s="201" t="str">
        <f t="shared" si="13"/>
        <v/>
      </c>
      <c r="N899" s="164" t="str">
        <f>IFERROR(COUNTIF($C$18:C899,C899)&amp;CHOOSE(MIN(4,COUNTIF($C$18:C899,C899)),"st","nd","rd","th"),"")</f>
        <v/>
      </c>
    </row>
    <row r="900" spans="8:14" x14ac:dyDescent="0.25">
      <c r="H900" s="201" t="str">
        <f t="shared" si="13"/>
        <v/>
      </c>
      <c r="N900" s="164" t="str">
        <f>IFERROR(COUNTIF($C$18:C900,C900)&amp;CHOOSE(MIN(4,COUNTIF($C$18:C900,C900)),"st","nd","rd","th"),"")</f>
        <v/>
      </c>
    </row>
    <row r="901" spans="8:14" x14ac:dyDescent="0.25">
      <c r="H901" s="201" t="str">
        <f t="shared" si="13"/>
        <v/>
      </c>
      <c r="N901" s="164" t="str">
        <f>IFERROR(COUNTIF($C$18:C901,C901)&amp;CHOOSE(MIN(4,COUNTIF($C$18:C901,C901)),"st","nd","rd","th"),"")</f>
        <v/>
      </c>
    </row>
    <row r="902" spans="8:14" x14ac:dyDescent="0.25">
      <c r="H902" s="201" t="str">
        <f t="shared" si="13"/>
        <v/>
      </c>
      <c r="N902" s="164" t="str">
        <f>IFERROR(COUNTIF($C$18:C902,C902)&amp;CHOOSE(MIN(4,COUNTIF($C$18:C902,C902)),"st","nd","rd","th"),"")</f>
        <v/>
      </c>
    </row>
    <row r="903" spans="8:14" x14ac:dyDescent="0.25">
      <c r="H903" s="201" t="str">
        <f t="shared" si="13"/>
        <v/>
      </c>
      <c r="N903" s="164" t="str">
        <f>IFERROR(COUNTIF($C$18:C903,C903)&amp;CHOOSE(MIN(4,COUNTIF($C$18:C903,C903)),"st","nd","rd","th"),"")</f>
        <v/>
      </c>
    </row>
    <row r="904" spans="8:14" x14ac:dyDescent="0.25">
      <c r="H904" s="201" t="str">
        <f t="shared" si="13"/>
        <v/>
      </c>
      <c r="N904" s="164" t="str">
        <f>IFERROR(COUNTIF($C$18:C904,C904)&amp;CHOOSE(MIN(4,COUNTIF($C$18:C904,C904)),"st","nd","rd","th"),"")</f>
        <v/>
      </c>
    </row>
    <row r="905" spans="8:14" x14ac:dyDescent="0.25">
      <c r="H905" s="201" t="str">
        <f t="shared" si="13"/>
        <v/>
      </c>
      <c r="N905" s="164" t="str">
        <f>IFERROR(COUNTIF($C$18:C905,C905)&amp;CHOOSE(MIN(4,COUNTIF($C$18:C905,C905)),"st","nd","rd","th"),"")</f>
        <v/>
      </c>
    </row>
    <row r="906" spans="8:14" x14ac:dyDescent="0.25">
      <c r="H906" s="201" t="str">
        <f t="shared" si="13"/>
        <v/>
      </c>
      <c r="N906" s="164" t="str">
        <f>IFERROR(COUNTIF($C$18:C906,C906)&amp;CHOOSE(MIN(4,COUNTIF($C$18:C906,C906)),"st","nd","rd","th"),"")</f>
        <v/>
      </c>
    </row>
    <row r="907" spans="8:14" x14ac:dyDescent="0.25">
      <c r="H907" s="201" t="str">
        <f t="shared" si="13"/>
        <v/>
      </c>
      <c r="N907" s="164" t="str">
        <f>IFERROR(COUNTIF($C$18:C907,C907)&amp;CHOOSE(MIN(4,COUNTIF($C$18:C907,C907)),"st","nd","rd","th"),"")</f>
        <v/>
      </c>
    </row>
    <row r="908" spans="8:14" x14ac:dyDescent="0.25">
      <c r="H908" s="201" t="str">
        <f t="shared" si="13"/>
        <v/>
      </c>
      <c r="N908" s="164" t="str">
        <f>IFERROR(COUNTIF($C$18:C908,C908)&amp;CHOOSE(MIN(4,COUNTIF($C$18:C908,C908)),"st","nd","rd","th"),"")</f>
        <v/>
      </c>
    </row>
    <row r="909" spans="8:14" x14ac:dyDescent="0.25">
      <c r="H909" s="201" t="str">
        <f t="shared" si="13"/>
        <v/>
      </c>
      <c r="N909" s="164" t="str">
        <f>IFERROR(COUNTIF($C$18:C909,C909)&amp;CHOOSE(MIN(4,COUNTIF($C$18:C909,C909)),"st","nd","rd","th"),"")</f>
        <v/>
      </c>
    </row>
    <row r="910" spans="8:14" x14ac:dyDescent="0.25">
      <c r="H910" s="201" t="str">
        <f t="shared" si="13"/>
        <v/>
      </c>
      <c r="N910" s="164" t="str">
        <f>IFERROR(COUNTIF($C$18:C910,C910)&amp;CHOOSE(MIN(4,COUNTIF($C$18:C910,C910)),"st","nd","rd","th"),"")</f>
        <v/>
      </c>
    </row>
    <row r="911" spans="8:14" x14ac:dyDescent="0.25">
      <c r="H911" s="201" t="str">
        <f t="shared" si="13"/>
        <v/>
      </c>
      <c r="N911" s="164" t="str">
        <f>IFERROR(COUNTIF($C$18:C911,C911)&amp;CHOOSE(MIN(4,COUNTIF($C$18:C911,C911)),"st","nd","rd","th"),"")</f>
        <v/>
      </c>
    </row>
    <row r="912" spans="8:14" x14ac:dyDescent="0.25">
      <c r="H912" s="201" t="str">
        <f t="shared" si="13"/>
        <v/>
      </c>
      <c r="N912" s="164" t="str">
        <f>IFERROR(COUNTIF($C$18:C912,C912)&amp;CHOOSE(MIN(4,COUNTIF($C$18:C912,C912)),"st","nd","rd","th"),"")</f>
        <v/>
      </c>
    </row>
    <row r="913" spans="8:14" x14ac:dyDescent="0.25">
      <c r="H913" s="201" t="str">
        <f t="shared" ref="H913:H976" si="14">IF(OR(ISBLANK(G913), ISBLANK(F913)), "", IF(G913=F913, 1, SUM(_xlfn.DAYS(G913, F913), 1)))</f>
        <v/>
      </c>
      <c r="N913" s="164" t="str">
        <f>IFERROR(COUNTIF($C$18:C913,C913)&amp;CHOOSE(MIN(4,COUNTIF($C$18:C913,C913)),"st","nd","rd","th"),"")</f>
        <v/>
      </c>
    </row>
    <row r="914" spans="8:14" x14ac:dyDescent="0.25">
      <c r="H914" s="201" t="str">
        <f t="shared" si="14"/>
        <v/>
      </c>
      <c r="N914" s="164" t="str">
        <f>IFERROR(COUNTIF($C$18:C914,C914)&amp;CHOOSE(MIN(4,COUNTIF($C$18:C914,C914)),"st","nd","rd","th"),"")</f>
        <v/>
      </c>
    </row>
    <row r="915" spans="8:14" x14ac:dyDescent="0.25">
      <c r="H915" s="201" t="str">
        <f t="shared" si="14"/>
        <v/>
      </c>
      <c r="N915" s="164" t="str">
        <f>IFERROR(COUNTIF($C$18:C915,C915)&amp;CHOOSE(MIN(4,COUNTIF($C$18:C915,C915)),"st","nd","rd","th"),"")</f>
        <v/>
      </c>
    </row>
    <row r="916" spans="8:14" x14ac:dyDescent="0.25">
      <c r="H916" s="201" t="str">
        <f t="shared" si="14"/>
        <v/>
      </c>
      <c r="N916" s="164" t="str">
        <f>IFERROR(COUNTIF($C$18:C916,C916)&amp;CHOOSE(MIN(4,COUNTIF($C$18:C916,C916)),"st","nd","rd","th"),"")</f>
        <v/>
      </c>
    </row>
    <row r="917" spans="8:14" x14ac:dyDescent="0.25">
      <c r="H917" s="201" t="str">
        <f t="shared" si="14"/>
        <v/>
      </c>
      <c r="N917" s="164" t="str">
        <f>IFERROR(COUNTIF($C$18:C917,C917)&amp;CHOOSE(MIN(4,COUNTIF($C$18:C917,C917)),"st","nd","rd","th"),"")</f>
        <v/>
      </c>
    </row>
    <row r="918" spans="8:14" x14ac:dyDescent="0.25">
      <c r="H918" s="201" t="str">
        <f t="shared" si="14"/>
        <v/>
      </c>
      <c r="N918" s="164" t="str">
        <f>IFERROR(COUNTIF($C$18:C918,C918)&amp;CHOOSE(MIN(4,COUNTIF($C$18:C918,C918)),"st","nd","rd","th"),"")</f>
        <v/>
      </c>
    </row>
    <row r="919" spans="8:14" x14ac:dyDescent="0.25">
      <c r="H919" s="201" t="str">
        <f t="shared" si="14"/>
        <v/>
      </c>
      <c r="N919" s="164" t="str">
        <f>IFERROR(COUNTIF($C$18:C919,C919)&amp;CHOOSE(MIN(4,COUNTIF($C$18:C919,C919)),"st","nd","rd","th"),"")</f>
        <v/>
      </c>
    </row>
    <row r="920" spans="8:14" x14ac:dyDescent="0.25">
      <c r="H920" s="201" t="str">
        <f t="shared" si="14"/>
        <v/>
      </c>
      <c r="N920" s="164" t="str">
        <f>IFERROR(COUNTIF($C$18:C920,C920)&amp;CHOOSE(MIN(4,COUNTIF($C$18:C920,C920)),"st","nd","rd","th"),"")</f>
        <v/>
      </c>
    </row>
    <row r="921" spans="8:14" x14ac:dyDescent="0.25">
      <c r="H921" s="201" t="str">
        <f t="shared" si="14"/>
        <v/>
      </c>
      <c r="N921" s="164" t="str">
        <f>IFERROR(COUNTIF($C$18:C921,C921)&amp;CHOOSE(MIN(4,COUNTIF($C$18:C921,C921)),"st","nd","rd","th"),"")</f>
        <v/>
      </c>
    </row>
    <row r="922" spans="8:14" x14ac:dyDescent="0.25">
      <c r="H922" s="201" t="str">
        <f t="shared" si="14"/>
        <v/>
      </c>
      <c r="N922" s="164" t="str">
        <f>IFERROR(COUNTIF($C$18:C922,C922)&amp;CHOOSE(MIN(4,COUNTIF($C$18:C922,C922)),"st","nd","rd","th"),"")</f>
        <v/>
      </c>
    </row>
    <row r="923" spans="8:14" x14ac:dyDescent="0.25">
      <c r="H923" s="201" t="str">
        <f t="shared" si="14"/>
        <v/>
      </c>
      <c r="N923" s="164" t="str">
        <f>IFERROR(COUNTIF($C$18:C923,C923)&amp;CHOOSE(MIN(4,COUNTIF($C$18:C923,C923)),"st","nd","rd","th"),"")</f>
        <v/>
      </c>
    </row>
    <row r="924" spans="8:14" x14ac:dyDescent="0.25">
      <c r="H924" s="201" t="str">
        <f t="shared" si="14"/>
        <v/>
      </c>
      <c r="N924" s="164" t="str">
        <f>IFERROR(COUNTIF($C$18:C924,C924)&amp;CHOOSE(MIN(4,COUNTIF($C$18:C924,C924)),"st","nd","rd","th"),"")</f>
        <v/>
      </c>
    </row>
    <row r="925" spans="8:14" x14ac:dyDescent="0.25">
      <c r="H925" s="201" t="str">
        <f t="shared" si="14"/>
        <v/>
      </c>
      <c r="N925" s="164" t="str">
        <f>IFERROR(COUNTIF($C$18:C925,C925)&amp;CHOOSE(MIN(4,COUNTIF($C$18:C925,C925)),"st","nd","rd","th"),"")</f>
        <v/>
      </c>
    </row>
    <row r="926" spans="8:14" x14ac:dyDescent="0.25">
      <c r="H926" s="201" t="str">
        <f t="shared" si="14"/>
        <v/>
      </c>
      <c r="N926" s="164" t="str">
        <f>IFERROR(COUNTIF($C$18:C926,C926)&amp;CHOOSE(MIN(4,COUNTIF($C$18:C926,C926)),"st","nd","rd","th"),"")</f>
        <v/>
      </c>
    </row>
    <row r="927" spans="8:14" x14ac:dyDescent="0.25">
      <c r="H927" s="201" t="str">
        <f t="shared" si="14"/>
        <v/>
      </c>
      <c r="N927" s="164" t="str">
        <f>IFERROR(COUNTIF($C$18:C927,C927)&amp;CHOOSE(MIN(4,COUNTIF($C$18:C927,C927)),"st","nd","rd","th"),"")</f>
        <v/>
      </c>
    </row>
    <row r="928" spans="8:14" x14ac:dyDescent="0.25">
      <c r="H928" s="201" t="str">
        <f t="shared" si="14"/>
        <v/>
      </c>
      <c r="N928" s="164" t="str">
        <f>IFERROR(COUNTIF($C$18:C928,C928)&amp;CHOOSE(MIN(4,COUNTIF($C$18:C928,C928)),"st","nd","rd","th"),"")</f>
        <v/>
      </c>
    </row>
    <row r="929" spans="8:14" x14ac:dyDescent="0.25">
      <c r="H929" s="201" t="str">
        <f t="shared" si="14"/>
        <v/>
      </c>
      <c r="N929" s="164" t="str">
        <f>IFERROR(COUNTIF($C$18:C929,C929)&amp;CHOOSE(MIN(4,COUNTIF($C$18:C929,C929)),"st","nd","rd","th"),"")</f>
        <v/>
      </c>
    </row>
    <row r="930" spans="8:14" x14ac:dyDescent="0.25">
      <c r="H930" s="201" t="str">
        <f t="shared" si="14"/>
        <v/>
      </c>
      <c r="N930" s="164" t="str">
        <f>IFERROR(COUNTIF($C$18:C930,C930)&amp;CHOOSE(MIN(4,COUNTIF($C$18:C930,C930)),"st","nd","rd","th"),"")</f>
        <v/>
      </c>
    </row>
    <row r="931" spans="8:14" x14ac:dyDescent="0.25">
      <c r="H931" s="201" t="str">
        <f t="shared" si="14"/>
        <v/>
      </c>
      <c r="N931" s="164" t="str">
        <f>IFERROR(COUNTIF($C$18:C931,C931)&amp;CHOOSE(MIN(4,COUNTIF($C$18:C931,C931)),"st","nd","rd","th"),"")</f>
        <v/>
      </c>
    </row>
    <row r="932" spans="8:14" x14ac:dyDescent="0.25">
      <c r="H932" s="201" t="str">
        <f t="shared" si="14"/>
        <v/>
      </c>
      <c r="N932" s="164" t="str">
        <f>IFERROR(COUNTIF($C$18:C932,C932)&amp;CHOOSE(MIN(4,COUNTIF($C$18:C932,C932)),"st","nd","rd","th"),"")</f>
        <v/>
      </c>
    </row>
    <row r="933" spans="8:14" x14ac:dyDescent="0.25">
      <c r="H933" s="201" t="str">
        <f t="shared" si="14"/>
        <v/>
      </c>
      <c r="N933" s="164" t="str">
        <f>IFERROR(COUNTIF($C$18:C933,C933)&amp;CHOOSE(MIN(4,COUNTIF($C$18:C933,C933)),"st","nd","rd","th"),"")</f>
        <v/>
      </c>
    </row>
    <row r="934" spans="8:14" x14ac:dyDescent="0.25">
      <c r="H934" s="201" t="str">
        <f t="shared" si="14"/>
        <v/>
      </c>
      <c r="N934" s="164" t="str">
        <f>IFERROR(COUNTIF($C$18:C934,C934)&amp;CHOOSE(MIN(4,COUNTIF($C$18:C934,C934)),"st","nd","rd","th"),"")</f>
        <v/>
      </c>
    </row>
    <row r="935" spans="8:14" x14ac:dyDescent="0.25">
      <c r="H935" s="201" t="str">
        <f t="shared" si="14"/>
        <v/>
      </c>
      <c r="N935" s="164" t="str">
        <f>IFERROR(COUNTIF($C$18:C935,C935)&amp;CHOOSE(MIN(4,COUNTIF($C$18:C935,C935)),"st","nd","rd","th"),"")</f>
        <v/>
      </c>
    </row>
    <row r="936" spans="8:14" x14ac:dyDescent="0.25">
      <c r="H936" s="201" t="str">
        <f t="shared" si="14"/>
        <v/>
      </c>
      <c r="N936" s="164" t="str">
        <f>IFERROR(COUNTIF($C$18:C936,C936)&amp;CHOOSE(MIN(4,COUNTIF($C$18:C936,C936)),"st","nd","rd","th"),"")</f>
        <v/>
      </c>
    </row>
    <row r="937" spans="8:14" x14ac:dyDescent="0.25">
      <c r="H937" s="201" t="str">
        <f t="shared" si="14"/>
        <v/>
      </c>
      <c r="N937" s="164" t="str">
        <f>IFERROR(COUNTIF($C$18:C937,C937)&amp;CHOOSE(MIN(4,COUNTIF($C$18:C937,C937)),"st","nd","rd","th"),"")</f>
        <v/>
      </c>
    </row>
    <row r="938" spans="8:14" x14ac:dyDescent="0.25">
      <c r="H938" s="201" t="str">
        <f t="shared" si="14"/>
        <v/>
      </c>
      <c r="N938" s="164" t="str">
        <f>IFERROR(COUNTIF($C$18:C938,C938)&amp;CHOOSE(MIN(4,COUNTIF($C$18:C938,C938)),"st","nd","rd","th"),"")</f>
        <v/>
      </c>
    </row>
    <row r="939" spans="8:14" x14ac:dyDescent="0.25">
      <c r="H939" s="201" t="str">
        <f t="shared" si="14"/>
        <v/>
      </c>
      <c r="N939" s="164" t="str">
        <f>IFERROR(COUNTIF($C$18:C939,C939)&amp;CHOOSE(MIN(4,COUNTIF($C$18:C939,C939)),"st","nd","rd","th"),"")</f>
        <v/>
      </c>
    </row>
    <row r="940" spans="8:14" x14ac:dyDescent="0.25">
      <c r="H940" s="201" t="str">
        <f t="shared" si="14"/>
        <v/>
      </c>
      <c r="N940" s="164" t="str">
        <f>IFERROR(COUNTIF($C$18:C940,C940)&amp;CHOOSE(MIN(4,COUNTIF($C$18:C940,C940)),"st","nd","rd","th"),"")</f>
        <v/>
      </c>
    </row>
    <row r="941" spans="8:14" x14ac:dyDescent="0.25">
      <c r="H941" s="201" t="str">
        <f t="shared" si="14"/>
        <v/>
      </c>
      <c r="N941" s="164" t="str">
        <f>IFERROR(COUNTIF($C$18:C941,C941)&amp;CHOOSE(MIN(4,COUNTIF($C$18:C941,C941)),"st","nd","rd","th"),"")</f>
        <v/>
      </c>
    </row>
    <row r="942" spans="8:14" x14ac:dyDescent="0.25">
      <c r="H942" s="201" t="str">
        <f t="shared" si="14"/>
        <v/>
      </c>
      <c r="N942" s="164" t="str">
        <f>IFERROR(COUNTIF($C$18:C942,C942)&amp;CHOOSE(MIN(4,COUNTIF($C$18:C942,C942)),"st","nd","rd","th"),"")</f>
        <v/>
      </c>
    </row>
    <row r="943" spans="8:14" x14ac:dyDescent="0.25">
      <c r="H943" s="201" t="str">
        <f t="shared" si="14"/>
        <v/>
      </c>
      <c r="N943" s="164" t="str">
        <f>IFERROR(COUNTIF($C$18:C943,C943)&amp;CHOOSE(MIN(4,COUNTIF($C$18:C943,C943)),"st","nd","rd","th"),"")</f>
        <v/>
      </c>
    </row>
    <row r="944" spans="8:14" x14ac:dyDescent="0.25">
      <c r="H944" s="201" t="str">
        <f t="shared" si="14"/>
        <v/>
      </c>
      <c r="N944" s="164" t="str">
        <f>IFERROR(COUNTIF($C$18:C944,C944)&amp;CHOOSE(MIN(4,COUNTIF($C$18:C944,C944)),"st","nd","rd","th"),"")</f>
        <v/>
      </c>
    </row>
    <row r="945" spans="8:14" x14ac:dyDescent="0.25">
      <c r="H945" s="201" t="str">
        <f t="shared" si="14"/>
        <v/>
      </c>
      <c r="N945" s="164" t="str">
        <f>IFERROR(COUNTIF($C$18:C945,C945)&amp;CHOOSE(MIN(4,COUNTIF($C$18:C945,C945)),"st","nd","rd","th"),"")</f>
        <v/>
      </c>
    </row>
    <row r="946" spans="8:14" x14ac:dyDescent="0.25">
      <c r="H946" s="201" t="str">
        <f t="shared" si="14"/>
        <v/>
      </c>
      <c r="N946" s="164" t="str">
        <f>IFERROR(COUNTIF($C$18:C946,C946)&amp;CHOOSE(MIN(4,COUNTIF($C$18:C946,C946)),"st","nd","rd","th"),"")</f>
        <v/>
      </c>
    </row>
    <row r="947" spans="8:14" x14ac:dyDescent="0.25">
      <c r="H947" s="201" t="str">
        <f t="shared" si="14"/>
        <v/>
      </c>
      <c r="N947" s="164" t="str">
        <f>IFERROR(COUNTIF($C$18:C947,C947)&amp;CHOOSE(MIN(4,COUNTIF($C$18:C947,C947)),"st","nd","rd","th"),"")</f>
        <v/>
      </c>
    </row>
    <row r="948" spans="8:14" x14ac:dyDescent="0.25">
      <c r="H948" s="201" t="str">
        <f t="shared" si="14"/>
        <v/>
      </c>
      <c r="N948" s="164" t="str">
        <f>IFERROR(COUNTIF($C$18:C948,C948)&amp;CHOOSE(MIN(4,COUNTIF($C$18:C948,C948)),"st","nd","rd","th"),"")</f>
        <v/>
      </c>
    </row>
    <row r="949" spans="8:14" x14ac:dyDescent="0.25">
      <c r="H949" s="201" t="str">
        <f t="shared" si="14"/>
        <v/>
      </c>
      <c r="N949" s="164" t="str">
        <f>IFERROR(COUNTIF($C$18:C949,C949)&amp;CHOOSE(MIN(4,COUNTIF($C$18:C949,C949)),"st","nd","rd","th"),"")</f>
        <v/>
      </c>
    </row>
    <row r="950" spans="8:14" x14ac:dyDescent="0.25">
      <c r="H950" s="201" t="str">
        <f t="shared" si="14"/>
        <v/>
      </c>
      <c r="N950" s="164" t="str">
        <f>IFERROR(COUNTIF($C$18:C950,C950)&amp;CHOOSE(MIN(4,COUNTIF($C$18:C950,C950)),"st","nd","rd","th"),"")</f>
        <v/>
      </c>
    </row>
    <row r="951" spans="8:14" x14ac:dyDescent="0.25">
      <c r="H951" s="201" t="str">
        <f t="shared" si="14"/>
        <v/>
      </c>
      <c r="N951" s="164" t="str">
        <f>IFERROR(COUNTIF($C$18:C951,C951)&amp;CHOOSE(MIN(4,COUNTIF($C$18:C951,C951)),"st","nd","rd","th"),"")</f>
        <v/>
      </c>
    </row>
    <row r="952" spans="8:14" x14ac:dyDescent="0.25">
      <c r="H952" s="201" t="str">
        <f t="shared" si="14"/>
        <v/>
      </c>
      <c r="N952" s="164" t="str">
        <f>IFERROR(COUNTIF($C$18:C952,C952)&amp;CHOOSE(MIN(4,COUNTIF($C$18:C952,C952)),"st","nd","rd","th"),"")</f>
        <v/>
      </c>
    </row>
    <row r="953" spans="8:14" x14ac:dyDescent="0.25">
      <c r="H953" s="201" t="str">
        <f t="shared" si="14"/>
        <v/>
      </c>
      <c r="N953" s="164" t="str">
        <f>IFERROR(COUNTIF($C$18:C953,C953)&amp;CHOOSE(MIN(4,COUNTIF($C$18:C953,C953)),"st","nd","rd","th"),"")</f>
        <v/>
      </c>
    </row>
    <row r="954" spans="8:14" x14ac:dyDescent="0.25">
      <c r="H954" s="201" t="str">
        <f t="shared" si="14"/>
        <v/>
      </c>
      <c r="N954" s="164" t="str">
        <f>IFERROR(COUNTIF($C$18:C954,C954)&amp;CHOOSE(MIN(4,COUNTIF($C$18:C954,C954)),"st","nd","rd","th"),"")</f>
        <v/>
      </c>
    </row>
    <row r="955" spans="8:14" x14ac:dyDescent="0.25">
      <c r="H955" s="201" t="str">
        <f t="shared" si="14"/>
        <v/>
      </c>
      <c r="N955" s="164" t="str">
        <f>IFERROR(COUNTIF($C$18:C955,C955)&amp;CHOOSE(MIN(4,COUNTIF($C$18:C955,C955)),"st","nd","rd","th"),"")</f>
        <v/>
      </c>
    </row>
    <row r="956" spans="8:14" x14ac:dyDescent="0.25">
      <c r="H956" s="201" t="str">
        <f t="shared" si="14"/>
        <v/>
      </c>
      <c r="N956" s="164" t="str">
        <f>IFERROR(COUNTIF($C$18:C956,C956)&amp;CHOOSE(MIN(4,COUNTIF($C$18:C956,C956)),"st","nd","rd","th"),"")</f>
        <v/>
      </c>
    </row>
    <row r="957" spans="8:14" x14ac:dyDescent="0.25">
      <c r="H957" s="201" t="str">
        <f t="shared" si="14"/>
        <v/>
      </c>
      <c r="N957" s="164" t="str">
        <f>IFERROR(COUNTIF($C$18:C957,C957)&amp;CHOOSE(MIN(4,COUNTIF($C$18:C957,C957)),"st","nd","rd","th"),"")</f>
        <v/>
      </c>
    </row>
    <row r="958" spans="8:14" x14ac:dyDescent="0.25">
      <c r="H958" s="201" t="str">
        <f t="shared" si="14"/>
        <v/>
      </c>
      <c r="N958" s="164" t="str">
        <f>IFERROR(COUNTIF($C$18:C958,C958)&amp;CHOOSE(MIN(4,COUNTIF($C$18:C958,C958)),"st","nd","rd","th"),"")</f>
        <v/>
      </c>
    </row>
    <row r="959" spans="8:14" x14ac:dyDescent="0.25">
      <c r="H959" s="201" t="str">
        <f t="shared" si="14"/>
        <v/>
      </c>
      <c r="N959" s="164" t="str">
        <f>IFERROR(COUNTIF($C$18:C959,C959)&amp;CHOOSE(MIN(4,COUNTIF($C$18:C959,C959)),"st","nd","rd","th"),"")</f>
        <v/>
      </c>
    </row>
    <row r="960" spans="8:14" x14ac:dyDescent="0.25">
      <c r="H960" s="201" t="str">
        <f t="shared" si="14"/>
        <v/>
      </c>
      <c r="N960" s="164" t="str">
        <f>IFERROR(COUNTIF($C$18:C960,C960)&amp;CHOOSE(MIN(4,COUNTIF($C$18:C960,C960)),"st","nd","rd","th"),"")</f>
        <v/>
      </c>
    </row>
    <row r="961" spans="8:14" x14ac:dyDescent="0.25">
      <c r="H961" s="201" t="str">
        <f t="shared" si="14"/>
        <v/>
      </c>
      <c r="N961" s="164" t="str">
        <f>IFERROR(COUNTIF($C$18:C961,C961)&amp;CHOOSE(MIN(4,COUNTIF($C$18:C961,C961)),"st","nd","rd","th"),"")</f>
        <v/>
      </c>
    </row>
    <row r="962" spans="8:14" x14ac:dyDescent="0.25">
      <c r="H962" s="201" t="str">
        <f t="shared" si="14"/>
        <v/>
      </c>
      <c r="N962" s="164" t="str">
        <f>IFERROR(COUNTIF($C$18:C962,C962)&amp;CHOOSE(MIN(4,COUNTIF($C$18:C962,C962)),"st","nd","rd","th"),"")</f>
        <v/>
      </c>
    </row>
    <row r="963" spans="8:14" x14ac:dyDescent="0.25">
      <c r="H963" s="201" t="str">
        <f t="shared" si="14"/>
        <v/>
      </c>
      <c r="N963" s="164" t="str">
        <f>IFERROR(COUNTIF($C$18:C963,C963)&amp;CHOOSE(MIN(4,COUNTIF($C$18:C963,C963)),"st","nd","rd","th"),"")</f>
        <v/>
      </c>
    </row>
    <row r="964" spans="8:14" x14ac:dyDescent="0.25">
      <c r="H964" s="201" t="str">
        <f t="shared" si="14"/>
        <v/>
      </c>
      <c r="N964" s="164" t="str">
        <f>IFERROR(COUNTIF($C$18:C964,C964)&amp;CHOOSE(MIN(4,COUNTIF($C$18:C964,C964)),"st","nd","rd","th"),"")</f>
        <v/>
      </c>
    </row>
    <row r="965" spans="8:14" x14ac:dyDescent="0.25">
      <c r="H965" s="201" t="str">
        <f t="shared" si="14"/>
        <v/>
      </c>
      <c r="N965" s="164" t="str">
        <f>IFERROR(COUNTIF($C$18:C965,C965)&amp;CHOOSE(MIN(4,COUNTIF($C$18:C965,C965)),"st","nd","rd","th"),"")</f>
        <v/>
      </c>
    </row>
    <row r="966" spans="8:14" x14ac:dyDescent="0.25">
      <c r="H966" s="201" t="str">
        <f t="shared" si="14"/>
        <v/>
      </c>
      <c r="N966" s="164" t="str">
        <f>IFERROR(COUNTIF($C$18:C966,C966)&amp;CHOOSE(MIN(4,COUNTIF($C$18:C966,C966)),"st","nd","rd","th"),"")</f>
        <v/>
      </c>
    </row>
    <row r="967" spans="8:14" x14ac:dyDescent="0.25">
      <c r="H967" s="201" t="str">
        <f t="shared" si="14"/>
        <v/>
      </c>
      <c r="N967" s="164" t="str">
        <f>IFERROR(COUNTIF($C$18:C967,C967)&amp;CHOOSE(MIN(4,COUNTIF($C$18:C967,C967)),"st","nd","rd","th"),"")</f>
        <v/>
      </c>
    </row>
    <row r="968" spans="8:14" x14ac:dyDescent="0.25">
      <c r="H968" s="201" t="str">
        <f t="shared" si="14"/>
        <v/>
      </c>
      <c r="N968" s="164" t="str">
        <f>IFERROR(COUNTIF($C$18:C968,C968)&amp;CHOOSE(MIN(4,COUNTIF($C$18:C968,C968)),"st","nd","rd","th"),"")</f>
        <v/>
      </c>
    </row>
    <row r="969" spans="8:14" x14ac:dyDescent="0.25">
      <c r="H969" s="201" t="str">
        <f t="shared" si="14"/>
        <v/>
      </c>
      <c r="N969" s="164" t="str">
        <f>IFERROR(COUNTIF($C$18:C969,C969)&amp;CHOOSE(MIN(4,COUNTIF($C$18:C969,C969)),"st","nd","rd","th"),"")</f>
        <v/>
      </c>
    </row>
    <row r="970" spans="8:14" x14ac:dyDescent="0.25">
      <c r="H970" s="201" t="str">
        <f t="shared" si="14"/>
        <v/>
      </c>
      <c r="N970" s="164" t="str">
        <f>IFERROR(COUNTIF($C$18:C970,C970)&amp;CHOOSE(MIN(4,COUNTIF($C$18:C970,C970)),"st","nd","rd","th"),"")</f>
        <v/>
      </c>
    </row>
    <row r="971" spans="8:14" x14ac:dyDescent="0.25">
      <c r="H971" s="201" t="str">
        <f t="shared" si="14"/>
        <v/>
      </c>
      <c r="N971" s="164" t="str">
        <f>IFERROR(COUNTIF($C$18:C971,C971)&amp;CHOOSE(MIN(4,COUNTIF($C$18:C971,C971)),"st","nd","rd","th"),"")</f>
        <v/>
      </c>
    </row>
    <row r="972" spans="8:14" x14ac:dyDescent="0.25">
      <c r="H972" s="201" t="str">
        <f t="shared" si="14"/>
        <v/>
      </c>
      <c r="N972" s="164" t="str">
        <f>IFERROR(COUNTIF($C$18:C972,C972)&amp;CHOOSE(MIN(4,COUNTIF($C$18:C972,C972)),"st","nd","rd","th"),"")</f>
        <v/>
      </c>
    </row>
    <row r="973" spans="8:14" x14ac:dyDescent="0.25">
      <c r="H973" s="201" t="str">
        <f t="shared" si="14"/>
        <v/>
      </c>
      <c r="N973" s="164" t="str">
        <f>IFERROR(COUNTIF($C$18:C973,C973)&amp;CHOOSE(MIN(4,COUNTIF($C$18:C973,C973)),"st","nd","rd","th"),"")</f>
        <v/>
      </c>
    </row>
    <row r="974" spans="8:14" x14ac:dyDescent="0.25">
      <c r="H974" s="201" t="str">
        <f t="shared" si="14"/>
        <v/>
      </c>
      <c r="N974" s="164" t="str">
        <f>IFERROR(COUNTIF($C$18:C974,C974)&amp;CHOOSE(MIN(4,COUNTIF($C$18:C974,C974)),"st","nd","rd","th"),"")</f>
        <v/>
      </c>
    </row>
    <row r="975" spans="8:14" x14ac:dyDescent="0.25">
      <c r="H975" s="201" t="str">
        <f t="shared" si="14"/>
        <v/>
      </c>
      <c r="N975" s="164" t="str">
        <f>IFERROR(COUNTIF($C$18:C975,C975)&amp;CHOOSE(MIN(4,COUNTIF($C$18:C975,C975)),"st","nd","rd","th"),"")</f>
        <v/>
      </c>
    </row>
    <row r="976" spans="8:14" x14ac:dyDescent="0.25">
      <c r="H976" s="201" t="str">
        <f t="shared" si="14"/>
        <v/>
      </c>
      <c r="N976" s="164" t="str">
        <f>IFERROR(COUNTIF($C$18:C976,C976)&amp;CHOOSE(MIN(4,COUNTIF($C$18:C976,C976)),"st","nd","rd","th"),"")</f>
        <v/>
      </c>
    </row>
    <row r="977" spans="8:14" x14ac:dyDescent="0.25">
      <c r="H977" s="201" t="str">
        <f t="shared" ref="H977:H998" si="15">IF(OR(ISBLANK(G977), ISBLANK(F977)), "", IF(G977=F977, 1, SUM(_xlfn.DAYS(G977, F977), 1)))</f>
        <v/>
      </c>
      <c r="N977" s="164" t="str">
        <f>IFERROR(COUNTIF($C$18:C977,C977)&amp;CHOOSE(MIN(4,COUNTIF($C$18:C977,C977)),"st","nd","rd","th"),"")</f>
        <v/>
      </c>
    </row>
    <row r="978" spans="8:14" x14ac:dyDescent="0.25">
      <c r="H978" s="201" t="str">
        <f t="shared" si="15"/>
        <v/>
      </c>
      <c r="N978" s="164" t="str">
        <f>IFERROR(COUNTIF($C$18:C978,C978)&amp;CHOOSE(MIN(4,COUNTIF($C$18:C978,C978)),"st","nd","rd","th"),"")</f>
        <v/>
      </c>
    </row>
    <row r="979" spans="8:14" x14ac:dyDescent="0.25">
      <c r="H979" s="201" t="str">
        <f t="shared" si="15"/>
        <v/>
      </c>
      <c r="N979" s="164" t="str">
        <f>IFERROR(COUNTIF($C$18:C979,C979)&amp;CHOOSE(MIN(4,COUNTIF($C$18:C979,C979)),"st","nd","rd","th"),"")</f>
        <v/>
      </c>
    </row>
    <row r="980" spans="8:14" x14ac:dyDescent="0.25">
      <c r="H980" s="201" t="str">
        <f t="shared" si="15"/>
        <v/>
      </c>
      <c r="N980" s="164" t="str">
        <f>IFERROR(COUNTIF($C$18:C980,C980)&amp;CHOOSE(MIN(4,COUNTIF($C$18:C980,C980)),"st","nd","rd","th"),"")</f>
        <v/>
      </c>
    </row>
    <row r="981" spans="8:14" x14ac:dyDescent="0.25">
      <c r="H981" s="201" t="str">
        <f t="shared" si="15"/>
        <v/>
      </c>
      <c r="N981" s="164" t="str">
        <f>IFERROR(COUNTIF($C$18:C981,C981)&amp;CHOOSE(MIN(4,COUNTIF($C$18:C981,C981)),"st","nd","rd","th"),"")</f>
        <v/>
      </c>
    </row>
    <row r="982" spans="8:14" x14ac:dyDescent="0.25">
      <c r="H982" s="201" t="str">
        <f t="shared" si="15"/>
        <v/>
      </c>
      <c r="N982" s="164" t="str">
        <f>IFERROR(COUNTIF($C$18:C982,C982)&amp;CHOOSE(MIN(4,COUNTIF($C$18:C982,C982)),"st","nd","rd","th"),"")</f>
        <v/>
      </c>
    </row>
    <row r="983" spans="8:14" x14ac:dyDescent="0.25">
      <c r="H983" s="201" t="str">
        <f t="shared" si="15"/>
        <v/>
      </c>
      <c r="N983" s="164" t="str">
        <f>IFERROR(COUNTIF($C$18:C983,C983)&amp;CHOOSE(MIN(4,COUNTIF($C$18:C983,C983)),"st","nd","rd","th"),"")</f>
        <v/>
      </c>
    </row>
    <row r="984" spans="8:14" x14ac:dyDescent="0.25">
      <c r="H984" s="201" t="str">
        <f t="shared" si="15"/>
        <v/>
      </c>
      <c r="N984" s="164" t="str">
        <f>IFERROR(COUNTIF($C$18:C984,C984)&amp;CHOOSE(MIN(4,COUNTIF($C$18:C984,C984)),"st","nd","rd","th"),"")</f>
        <v/>
      </c>
    </row>
    <row r="985" spans="8:14" x14ac:dyDescent="0.25">
      <c r="H985" s="201" t="str">
        <f t="shared" si="15"/>
        <v/>
      </c>
      <c r="N985" s="164" t="str">
        <f>IFERROR(COUNTIF($C$18:C985,C985)&amp;CHOOSE(MIN(4,COUNTIF($C$18:C985,C985)),"st","nd","rd","th"),"")</f>
        <v/>
      </c>
    </row>
    <row r="986" spans="8:14" x14ac:dyDescent="0.25">
      <c r="H986" s="201" t="str">
        <f t="shared" si="15"/>
        <v/>
      </c>
      <c r="N986" s="164" t="str">
        <f>IFERROR(COUNTIF($C$18:C986,C986)&amp;CHOOSE(MIN(4,COUNTIF($C$18:C986,C986)),"st","nd","rd","th"),"")</f>
        <v/>
      </c>
    </row>
    <row r="987" spans="8:14" x14ac:dyDescent="0.25">
      <c r="H987" s="201" t="str">
        <f t="shared" si="15"/>
        <v/>
      </c>
      <c r="N987" s="164" t="str">
        <f>IFERROR(COUNTIF($C$18:C987,C987)&amp;CHOOSE(MIN(4,COUNTIF($C$18:C987,C987)),"st","nd","rd","th"),"")</f>
        <v/>
      </c>
    </row>
    <row r="988" spans="8:14" x14ac:dyDescent="0.25">
      <c r="H988" s="201" t="str">
        <f t="shared" si="15"/>
        <v/>
      </c>
      <c r="N988" s="164" t="str">
        <f>IFERROR(COUNTIF($C$18:C988,C988)&amp;CHOOSE(MIN(4,COUNTIF($C$18:C988,C988)),"st","nd","rd","th"),"")</f>
        <v/>
      </c>
    </row>
    <row r="989" spans="8:14" x14ac:dyDescent="0.25">
      <c r="H989" s="201" t="str">
        <f t="shared" si="15"/>
        <v/>
      </c>
      <c r="N989" s="164" t="str">
        <f>IFERROR(COUNTIF($C$18:C989,C989)&amp;CHOOSE(MIN(4,COUNTIF($C$18:C989,C989)),"st","nd","rd","th"),"")</f>
        <v/>
      </c>
    </row>
    <row r="990" spans="8:14" x14ac:dyDescent="0.25">
      <c r="H990" s="201" t="str">
        <f t="shared" si="15"/>
        <v/>
      </c>
      <c r="N990" s="164" t="str">
        <f>IFERROR(COUNTIF($C$18:C990,C990)&amp;CHOOSE(MIN(4,COUNTIF($C$18:C990,C990)),"st","nd","rd","th"),"")</f>
        <v/>
      </c>
    </row>
    <row r="991" spans="8:14" x14ac:dyDescent="0.25">
      <c r="H991" s="201" t="str">
        <f t="shared" si="15"/>
        <v/>
      </c>
      <c r="N991" s="164" t="str">
        <f>IFERROR(COUNTIF($C$18:C991,C991)&amp;CHOOSE(MIN(4,COUNTIF($C$18:C991,C991)),"st","nd","rd","th"),"")</f>
        <v/>
      </c>
    </row>
    <row r="992" spans="8:14" x14ac:dyDescent="0.25">
      <c r="H992" s="201" t="str">
        <f t="shared" si="15"/>
        <v/>
      </c>
      <c r="N992" s="164" t="str">
        <f>IFERROR(COUNTIF($C$18:C992,C992)&amp;CHOOSE(MIN(4,COUNTIF($C$18:C992,C992)),"st","nd","rd","th"),"")</f>
        <v/>
      </c>
    </row>
    <row r="993" spans="8:14" x14ac:dyDescent="0.25">
      <c r="H993" s="201" t="str">
        <f t="shared" si="15"/>
        <v/>
      </c>
      <c r="N993" s="164" t="str">
        <f>IFERROR(COUNTIF($C$18:C993,C993)&amp;CHOOSE(MIN(4,COUNTIF($C$18:C993,C993)),"st","nd","rd","th"),"")</f>
        <v/>
      </c>
    </row>
    <row r="994" spans="8:14" x14ac:dyDescent="0.25">
      <c r="H994" s="201" t="str">
        <f t="shared" si="15"/>
        <v/>
      </c>
      <c r="N994" s="164" t="str">
        <f>IFERROR(COUNTIF($C$18:C994,C994)&amp;CHOOSE(MIN(4,COUNTIF($C$18:C994,C994)),"st","nd","rd","th"),"")</f>
        <v/>
      </c>
    </row>
    <row r="995" spans="8:14" x14ac:dyDescent="0.25">
      <c r="H995" s="201" t="str">
        <f t="shared" si="15"/>
        <v/>
      </c>
      <c r="N995" s="164" t="str">
        <f>IFERROR(COUNTIF($C$18:C995,C995)&amp;CHOOSE(MIN(4,COUNTIF($C$18:C995,C995)),"st","nd","rd","th"),"")</f>
        <v/>
      </c>
    </row>
    <row r="996" spans="8:14" x14ac:dyDescent="0.25">
      <c r="H996" s="201" t="str">
        <f t="shared" si="15"/>
        <v/>
      </c>
      <c r="N996" s="164" t="str">
        <f>IFERROR(COUNTIF($C$18:C996,C996)&amp;CHOOSE(MIN(4,COUNTIF($C$18:C996,C996)),"st","nd","rd","th"),"")</f>
        <v/>
      </c>
    </row>
    <row r="997" spans="8:14" x14ac:dyDescent="0.25">
      <c r="H997" s="201" t="str">
        <f t="shared" si="15"/>
        <v/>
      </c>
      <c r="N997" s="164" t="str">
        <f>IFERROR(COUNTIF($C$18:C997,C997)&amp;CHOOSE(MIN(4,COUNTIF($C$18:C997,C997)),"st","nd","rd","th"),"")</f>
        <v/>
      </c>
    </row>
    <row r="998" spans="8:14" x14ac:dyDescent="0.25">
      <c r="H998" s="201" t="str">
        <f t="shared" si="15"/>
        <v/>
      </c>
      <c r="N998" s="164" t="str">
        <f>IFERROR(COUNTIF($C$18:C998,C998)&amp;CHOOSE(MIN(4,COUNTIF($C$18:C998,C998)),"st","nd","rd","th"),"")</f>
        <v/>
      </c>
    </row>
  </sheetData>
  <mergeCells count="4">
    <mergeCell ref="B5:V5"/>
    <mergeCell ref="B6:V6"/>
    <mergeCell ref="B7:V7"/>
    <mergeCell ref="B8:V8"/>
  </mergeCells>
  <dataValidations count="1">
    <dataValidation type="list" allowBlank="1" showInputMessage="1" showErrorMessage="1" sqref="B18:C1048576" xr:uid="{64CA7FEE-7B63-4F21-96AE-A328820F70F0}">
      <formula1>INDIRECT(A18)</formula1>
    </dataValidation>
  </dataValidations>
  <hyperlinks>
    <hyperlink ref="C1" location="'Accomplishment 2025'!A1" display="Back to Summary of Accomplishments 2025" xr:uid="{6526048E-0EC9-40D6-89FF-37084C492511}"/>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B20C45C5-BEF8-4433-96D1-830433F17F9B}">
          <x14:formula1>
            <xm:f>Picklists!$A$3:$A$14</xm:f>
          </x14:formula1>
          <xm:sqref>L18:L998</xm:sqref>
        </x14:dataValidation>
        <x14:dataValidation type="list" allowBlank="1" showInputMessage="1" showErrorMessage="1" xr:uid="{9BEC0A49-01A5-4232-85DD-730F86121009}">
          <x14:formula1>
            <xm:f>LGU_Masterlist!$C$2:$T$2</xm:f>
          </x14:formula1>
          <xm:sqref>A18:A1048576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AECD-B3A9-4F41-9945-66171E334622}">
  <sheetPr codeName="Sheet24">
    <tabColor theme="7" tint="-0.249977111117893"/>
  </sheetPr>
  <dimension ref="A1:V1000"/>
  <sheetViews>
    <sheetView topLeftCell="A8" zoomScale="60" zoomScaleNormal="60" workbookViewId="0">
      <selection activeCell="J29" sqref="J29"/>
    </sheetView>
  </sheetViews>
  <sheetFormatPr defaultColWidth="8.88671875" defaultRowHeight="13.8" x14ac:dyDescent="0.25"/>
  <cols>
    <col min="1" max="1" width="12.33203125" style="164" customWidth="1"/>
    <col min="2" max="2" width="34.33203125" style="164" customWidth="1"/>
    <col min="3" max="3" width="52.88671875" style="164" bestFit="1" customWidth="1"/>
    <col min="4" max="4" width="25.33203125" style="164" customWidth="1"/>
    <col min="5" max="5" width="33.33203125" style="164" customWidth="1"/>
    <col min="6" max="6" width="23.44140625" style="172" customWidth="1"/>
    <col min="7" max="7" width="19.5546875" style="172" customWidth="1"/>
    <col min="8" max="8" width="19.109375" style="202" customWidth="1"/>
    <col min="9" max="9" width="16.33203125" style="201" customWidth="1"/>
    <col min="10" max="10" width="26.6640625" style="201" customWidth="1"/>
    <col min="11" max="11" width="31.33203125" style="201" customWidth="1"/>
    <col min="12" max="12" width="20.88671875" style="164" customWidth="1"/>
    <col min="13" max="13" width="14" style="164" customWidth="1"/>
    <col min="14" max="14" width="16.88671875" style="164" customWidth="1"/>
    <col min="15" max="15" width="8.88671875" style="164" customWidth="1"/>
    <col min="16" max="16384" width="8.88671875" style="164"/>
  </cols>
  <sheetData>
    <row r="1" spans="1:22" s="32" customFormat="1" ht="14.4" x14ac:dyDescent="0.3">
      <c r="A1" s="173" t="s">
        <v>5090</v>
      </c>
      <c r="C1" s="174" t="s">
        <v>1673</v>
      </c>
    </row>
    <row r="2" spans="1:22" s="32" customFormat="1" x14ac:dyDescent="0.25">
      <c r="A2" s="176"/>
      <c r="B2" s="35"/>
      <c r="C2" s="35"/>
      <c r="D2" s="35"/>
      <c r="E2" s="35"/>
    </row>
    <row r="3" spans="1:22" s="32" customFormat="1" x14ac:dyDescent="0.25">
      <c r="A3" s="363">
        <v>11</v>
      </c>
      <c r="B3" s="364" t="s">
        <v>1584</v>
      </c>
      <c r="C3" s="364"/>
      <c r="D3" s="364"/>
      <c r="E3" s="364"/>
    </row>
    <row r="4" spans="1:22" s="32" customFormat="1" x14ac:dyDescent="0.25">
      <c r="A4" s="178"/>
      <c r="B4" s="206" t="s">
        <v>5241</v>
      </c>
      <c r="C4" s="206"/>
      <c r="D4" s="206"/>
      <c r="E4" s="206"/>
    </row>
    <row r="5" spans="1:22" s="32" customFormat="1" ht="75" customHeight="1" x14ac:dyDescent="0.25">
      <c r="A5" s="178"/>
      <c r="B5" s="599" t="s">
        <v>5242</v>
      </c>
      <c r="C5" s="599"/>
      <c r="D5" s="599"/>
      <c r="E5" s="599"/>
      <c r="F5" s="599"/>
      <c r="G5" s="599"/>
      <c r="H5" s="599"/>
      <c r="I5" s="599"/>
      <c r="J5" s="599"/>
      <c r="K5" s="599"/>
      <c r="L5" s="599"/>
      <c r="M5" s="599"/>
      <c r="N5" s="599"/>
      <c r="O5" s="599"/>
      <c r="P5" s="599"/>
      <c r="Q5" s="599"/>
      <c r="R5" s="599"/>
      <c r="S5" s="599"/>
      <c r="T5" s="599"/>
      <c r="U5" s="599"/>
      <c r="V5" s="599"/>
    </row>
    <row r="6" spans="1:22" s="32" customFormat="1" ht="48.6" customHeight="1" x14ac:dyDescent="0.25">
      <c r="A6" s="178"/>
      <c r="B6" s="601" t="s">
        <v>5243</v>
      </c>
      <c r="C6" s="601"/>
      <c r="D6" s="601"/>
      <c r="E6" s="601"/>
      <c r="F6" s="601"/>
      <c r="G6" s="601"/>
      <c r="H6" s="601"/>
      <c r="I6" s="601"/>
      <c r="J6" s="601"/>
      <c r="K6" s="601"/>
      <c r="L6" s="601"/>
      <c r="M6" s="601"/>
      <c r="N6" s="601"/>
      <c r="O6" s="601"/>
      <c r="P6" s="601"/>
      <c r="Q6" s="601"/>
      <c r="R6" s="601"/>
      <c r="S6" s="601"/>
      <c r="T6" s="601"/>
      <c r="U6" s="601"/>
      <c r="V6" s="601"/>
    </row>
    <row r="7" spans="1:22" s="32" customFormat="1" x14ac:dyDescent="0.25">
      <c r="B7" s="602" t="s">
        <v>5244</v>
      </c>
      <c r="C7" s="602"/>
      <c r="D7" s="602"/>
      <c r="E7" s="602"/>
      <c r="F7" s="602"/>
      <c r="G7" s="602"/>
      <c r="H7" s="602"/>
      <c r="I7" s="602"/>
      <c r="J7" s="602"/>
      <c r="K7" s="602"/>
      <c r="L7" s="602"/>
      <c r="M7" s="602"/>
      <c r="N7" s="602"/>
      <c r="O7" s="602"/>
      <c r="P7" s="602"/>
      <c r="Q7" s="602"/>
      <c r="R7" s="602"/>
      <c r="S7" s="602"/>
      <c r="T7" s="602"/>
      <c r="U7" s="602"/>
      <c r="V7" s="602"/>
    </row>
    <row r="8" spans="1:22" s="32" customFormat="1" ht="57.6" customHeight="1" x14ac:dyDescent="0.25">
      <c r="B8" s="622" t="s">
        <v>5205</v>
      </c>
      <c r="C8" s="622"/>
      <c r="D8" s="622"/>
      <c r="E8" s="622"/>
      <c r="F8" s="622"/>
      <c r="G8" s="622"/>
      <c r="H8" s="622"/>
      <c r="I8" s="622"/>
      <c r="J8" s="622"/>
      <c r="K8" s="622"/>
      <c r="L8" s="622"/>
      <c r="M8" s="622"/>
      <c r="N8" s="622"/>
      <c r="O8" s="622"/>
      <c r="P8" s="622"/>
      <c r="Q8" s="622"/>
      <c r="R8" s="622"/>
      <c r="S8" s="622"/>
      <c r="T8" s="622"/>
      <c r="U8" s="622"/>
      <c r="V8" s="622"/>
    </row>
    <row r="9" spans="1:22" s="32" customFormat="1" x14ac:dyDescent="0.25">
      <c r="B9" s="173"/>
      <c r="C9" s="173"/>
      <c r="D9" s="173"/>
      <c r="E9" s="173"/>
      <c r="F9" s="173"/>
      <c r="G9" s="173"/>
      <c r="H9" s="173"/>
      <c r="I9" s="173"/>
      <c r="J9" s="173"/>
      <c r="K9" s="173"/>
      <c r="L9" s="173"/>
      <c r="M9" s="173"/>
      <c r="N9" s="173"/>
      <c r="O9" s="173"/>
      <c r="P9" s="173"/>
      <c r="Q9" s="173"/>
      <c r="R9" s="173"/>
      <c r="S9" s="173"/>
      <c r="T9" s="173"/>
      <c r="U9" s="173"/>
      <c r="V9" s="173"/>
    </row>
    <row r="10" spans="1:22" s="32" customFormat="1" x14ac:dyDescent="0.25">
      <c r="B10" s="179" t="s">
        <v>5245</v>
      </c>
      <c r="C10" s="179"/>
      <c r="D10" s="179"/>
      <c r="E10" s="179"/>
      <c r="F10" s="181">
        <f>COUNTIF(N18:N1000,"1st")</f>
        <v>0</v>
      </c>
      <c r="G10" s="195"/>
      <c r="H10" s="195"/>
      <c r="I10" s="195"/>
      <c r="J10" s="195"/>
      <c r="K10" s="195"/>
      <c r="L10" s="173"/>
      <c r="M10" s="173"/>
      <c r="N10" s="173"/>
      <c r="O10" s="173"/>
      <c r="P10" s="173"/>
      <c r="Q10" s="173"/>
      <c r="R10" s="173"/>
      <c r="S10" s="173"/>
      <c r="T10" s="173"/>
      <c r="U10" s="173"/>
      <c r="V10" s="173"/>
    </row>
    <row r="11" spans="1:22" s="32" customFormat="1" x14ac:dyDescent="0.25">
      <c r="B11" s="179" t="s">
        <v>5246</v>
      </c>
      <c r="C11" s="179"/>
      <c r="D11" s="179"/>
      <c r="E11" s="179"/>
      <c r="F11" s="181">
        <f>COUNTA(D18:D1000)</f>
        <v>0</v>
      </c>
      <c r="G11" s="173"/>
      <c r="H11" s="173"/>
      <c r="I11" s="173"/>
      <c r="J11" s="173"/>
      <c r="K11" s="173"/>
      <c r="L11" s="173"/>
      <c r="M11" s="173"/>
      <c r="N11" s="173"/>
      <c r="O11" s="173"/>
      <c r="P11" s="173"/>
      <c r="Q11" s="173"/>
      <c r="R11" s="173"/>
      <c r="S11" s="173"/>
      <c r="T11" s="173"/>
      <c r="U11" s="173"/>
      <c r="V11" s="173"/>
    </row>
    <row r="12" spans="1:22" s="32" customFormat="1" x14ac:dyDescent="0.25">
      <c r="B12" s="196" t="s">
        <v>5231</v>
      </c>
      <c r="C12" s="196"/>
      <c r="D12" s="196"/>
      <c r="E12" s="196"/>
      <c r="F12" s="198">
        <f>SUM(H18:H1000)</f>
        <v>0</v>
      </c>
      <c r="G12" s="173"/>
      <c r="H12" s="173"/>
      <c r="I12" s="173"/>
      <c r="J12" s="173"/>
      <c r="K12" s="173"/>
      <c r="L12" s="173"/>
      <c r="M12" s="173"/>
      <c r="N12" s="173"/>
      <c r="O12" s="173"/>
      <c r="P12" s="173"/>
      <c r="Q12" s="173"/>
      <c r="R12" s="173"/>
      <c r="S12" s="173"/>
      <c r="T12" s="173"/>
      <c r="U12" s="173"/>
      <c r="V12" s="173"/>
    </row>
    <row r="13" spans="1:22" s="32" customFormat="1" x14ac:dyDescent="0.25">
      <c r="B13" s="196" t="s">
        <v>5232</v>
      </c>
      <c r="C13" s="196"/>
      <c r="D13" s="196"/>
      <c r="E13" s="196"/>
      <c r="F13" s="198">
        <f>SUM(I18:I1001)</f>
        <v>0</v>
      </c>
      <c r="G13" s="173"/>
      <c r="H13" s="173"/>
      <c r="I13" s="173"/>
      <c r="J13" s="173"/>
      <c r="K13" s="173"/>
      <c r="L13" s="173"/>
      <c r="M13" s="173"/>
      <c r="N13" s="173"/>
      <c r="O13" s="173"/>
      <c r="P13" s="173"/>
      <c r="Q13" s="173"/>
      <c r="R13" s="173"/>
      <c r="S13" s="173"/>
      <c r="T13" s="173"/>
      <c r="U13" s="173"/>
      <c r="V13" s="173"/>
    </row>
    <row r="14" spans="1:22" s="32" customFormat="1" x14ac:dyDescent="0.25">
      <c r="B14" s="173"/>
      <c r="C14" s="173"/>
      <c r="D14" s="173"/>
      <c r="E14" s="173"/>
      <c r="F14" s="173"/>
      <c r="G14" s="173"/>
      <c r="H14" s="173"/>
      <c r="I14" s="173"/>
      <c r="J14" s="173"/>
      <c r="K14" s="173"/>
      <c r="L14" s="173"/>
      <c r="M14" s="173"/>
      <c r="N14" s="173"/>
      <c r="O14" s="173"/>
      <c r="P14" s="173"/>
      <c r="Q14" s="173"/>
      <c r="R14" s="173"/>
      <c r="S14" s="173"/>
      <c r="T14" s="173"/>
      <c r="U14" s="173"/>
      <c r="V14" s="173"/>
    </row>
    <row r="15" spans="1:22" s="32" customFormat="1" x14ac:dyDescent="0.25">
      <c r="B15" s="173"/>
      <c r="C15" s="173"/>
      <c r="D15" s="173"/>
      <c r="E15" s="173"/>
      <c r="F15" s="173"/>
      <c r="G15" s="173"/>
      <c r="H15" s="173"/>
      <c r="I15" s="173"/>
      <c r="J15" s="173"/>
      <c r="K15" s="173"/>
      <c r="L15" s="173"/>
      <c r="M15" s="173"/>
      <c r="N15" s="173"/>
      <c r="O15" s="173"/>
      <c r="P15" s="173"/>
      <c r="Q15" s="173"/>
      <c r="R15" s="173"/>
      <c r="S15" s="173"/>
      <c r="T15" s="173"/>
      <c r="U15" s="173"/>
      <c r="V15" s="173"/>
    </row>
    <row r="16" spans="1:22" s="32" customFormat="1" x14ac:dyDescent="0.25"/>
    <row r="17" spans="1:14" s="182" customFormat="1" ht="54.6" customHeight="1" x14ac:dyDescent="0.25">
      <c r="A17" s="184" t="s">
        <v>5233</v>
      </c>
      <c r="B17" s="184" t="s">
        <v>5234</v>
      </c>
      <c r="C17" s="183" t="s">
        <v>5130</v>
      </c>
      <c r="D17" s="184" t="s">
        <v>5210</v>
      </c>
      <c r="E17" s="183" t="s">
        <v>5211</v>
      </c>
      <c r="F17" s="184" t="s">
        <v>5212</v>
      </c>
      <c r="G17" s="184" t="s">
        <v>5213</v>
      </c>
      <c r="H17" s="200" t="s">
        <v>5214</v>
      </c>
      <c r="I17" s="184" t="s">
        <v>5215</v>
      </c>
      <c r="J17" s="184" t="s">
        <v>5216</v>
      </c>
      <c r="K17" s="184" t="s">
        <v>5217</v>
      </c>
      <c r="L17" s="184" t="s">
        <v>1685</v>
      </c>
      <c r="M17" s="184" t="s">
        <v>5218</v>
      </c>
      <c r="N17" s="200" t="s">
        <v>5191</v>
      </c>
    </row>
    <row r="18" spans="1:14" x14ac:dyDescent="0.25">
      <c r="A18" s="384"/>
      <c r="B18" s="384"/>
      <c r="C18" s="384"/>
      <c r="D18" s="388"/>
      <c r="E18" s="190"/>
      <c r="F18" s="415"/>
      <c r="G18" s="415"/>
      <c r="H18" s="201" t="str">
        <f t="shared" ref="H18:H82" si="0">IF(OR(ISBLANK(G18), ISBLANK(F18)), "", IF(G18=F18, 1, SUM(_xlfn.DAYS(G18, F18), 1)))</f>
        <v/>
      </c>
      <c r="I18" s="384"/>
      <c r="J18" s="384"/>
      <c r="K18" s="384"/>
      <c r="L18" s="384"/>
      <c r="M18" s="388"/>
      <c r="N18" s="164" t="str">
        <f>IFERROR(COUNTIF($C$18:C18,C18)&amp;CHOOSE(MIN(4,COUNTIF($C$18:C18,C18)),"st","nd","rd","th"),"")</f>
        <v/>
      </c>
    </row>
    <row r="19" spans="1:14" x14ac:dyDescent="0.25">
      <c r="A19" s="384"/>
      <c r="B19" s="384"/>
      <c r="C19" s="384"/>
      <c r="D19" s="388"/>
      <c r="E19" s="190"/>
      <c r="F19" s="415"/>
      <c r="G19" s="415"/>
      <c r="H19" s="201" t="str">
        <f t="shared" si="0"/>
        <v/>
      </c>
      <c r="I19" s="384"/>
      <c r="J19" s="384"/>
      <c r="K19" s="384"/>
      <c r="L19" s="384"/>
      <c r="M19" s="388"/>
      <c r="N19" s="164" t="str">
        <f>IFERROR(COUNTIF($C$18:C19,C19)&amp;CHOOSE(MIN(4,COUNTIF($C$18:C19,C19)),"st","nd","rd","th"),"")</f>
        <v/>
      </c>
    </row>
    <row r="20" spans="1:14" x14ac:dyDescent="0.25">
      <c r="A20" s="384"/>
      <c r="B20" s="384"/>
      <c r="C20" s="384"/>
      <c r="D20" s="388"/>
      <c r="E20" s="190"/>
      <c r="F20" s="415"/>
      <c r="G20" s="415"/>
      <c r="H20" s="201" t="str">
        <f t="shared" si="0"/>
        <v/>
      </c>
      <c r="I20" s="384"/>
      <c r="J20" s="384"/>
      <c r="K20" s="384"/>
      <c r="L20" s="384"/>
      <c r="M20" s="388"/>
      <c r="N20" s="164" t="str">
        <f>IFERROR(COUNTIF($C$18:C20,C20)&amp;CHOOSE(MIN(4,COUNTIF($C$18:C20,C20)),"st","nd","rd","th"),"")</f>
        <v/>
      </c>
    </row>
    <row r="21" spans="1:14" x14ac:dyDescent="0.25">
      <c r="A21" s="384"/>
      <c r="B21" s="384"/>
      <c r="C21" s="384"/>
      <c r="D21" s="388"/>
      <c r="E21" s="190"/>
      <c r="F21" s="415"/>
      <c r="G21" s="415"/>
      <c r="H21" s="201" t="str">
        <f t="shared" si="0"/>
        <v/>
      </c>
      <c r="I21" s="384"/>
      <c r="J21" s="384"/>
      <c r="K21" s="384"/>
      <c r="L21" s="384"/>
      <c r="M21" s="388"/>
      <c r="N21" s="164" t="str">
        <f>IFERROR(COUNTIF($C$18:C21,C21)&amp;CHOOSE(MIN(4,COUNTIF($C$18:C21,C21)),"st","nd","rd","th"),"")</f>
        <v/>
      </c>
    </row>
    <row r="22" spans="1:14" x14ac:dyDescent="0.25">
      <c r="A22" s="384"/>
      <c r="B22" s="384"/>
      <c r="C22" s="384"/>
      <c r="D22" s="388"/>
      <c r="E22" s="190"/>
      <c r="F22" s="415"/>
      <c r="G22" s="415"/>
      <c r="H22" s="201" t="str">
        <f t="shared" si="0"/>
        <v/>
      </c>
      <c r="I22" s="384"/>
      <c r="J22" s="384"/>
      <c r="K22" s="384"/>
      <c r="L22" s="384"/>
      <c r="M22" s="388"/>
      <c r="N22" s="164" t="str">
        <f>IFERROR(COUNTIF($C$18:C22,C22)&amp;CHOOSE(MIN(4,COUNTIF($C$18:C22,C22)),"st","nd","rd","th"),"")</f>
        <v/>
      </c>
    </row>
    <row r="23" spans="1:14" x14ac:dyDescent="0.25">
      <c r="A23" s="384"/>
      <c r="B23" s="384"/>
      <c r="C23" s="384"/>
      <c r="D23" s="388"/>
      <c r="E23" s="190"/>
      <c r="F23" s="415"/>
      <c r="G23" s="415"/>
      <c r="H23" s="201" t="str">
        <f t="shared" si="0"/>
        <v/>
      </c>
      <c r="I23" s="384"/>
      <c r="J23" s="384"/>
      <c r="K23" s="384"/>
      <c r="L23" s="384"/>
      <c r="M23" s="388"/>
      <c r="N23" s="164" t="str">
        <f>IFERROR(COUNTIF($C$18:C23,C23)&amp;CHOOSE(MIN(4,COUNTIF($C$18:C23,C23)),"st","nd","rd","th"),"")</f>
        <v/>
      </c>
    </row>
    <row r="24" spans="1:14" x14ac:dyDescent="0.25">
      <c r="A24" s="384"/>
      <c r="B24" s="384"/>
      <c r="C24" s="384"/>
      <c r="D24" s="388"/>
      <c r="E24" s="190"/>
      <c r="F24" s="415"/>
      <c r="G24" s="415"/>
      <c r="H24" s="201" t="str">
        <f t="shared" si="0"/>
        <v/>
      </c>
      <c r="I24" s="384"/>
      <c r="J24" s="384"/>
      <c r="K24" s="384"/>
      <c r="L24" s="384"/>
      <c r="M24" s="388"/>
      <c r="N24" s="164" t="str">
        <f>IFERROR(COUNTIF($C$18:C24,C24)&amp;CHOOSE(MIN(4,COUNTIF($C$18:C24,C24)),"st","nd","rd","th"),"")</f>
        <v/>
      </c>
    </row>
    <row r="25" spans="1:14" x14ac:dyDescent="0.25">
      <c r="A25" s="384"/>
      <c r="B25" s="384"/>
      <c r="C25" s="384"/>
      <c r="D25" s="388"/>
      <c r="E25" s="190"/>
      <c r="F25" s="415"/>
      <c r="G25" s="415"/>
      <c r="H25" s="201" t="str">
        <f t="shared" si="0"/>
        <v/>
      </c>
      <c r="I25" s="384"/>
      <c r="J25" s="384"/>
      <c r="K25" s="384"/>
      <c r="L25" s="384"/>
      <c r="M25" s="388"/>
      <c r="N25" s="164" t="str">
        <f>IFERROR(COUNTIF($C$18:C25,C25)&amp;CHOOSE(MIN(4,COUNTIF($C$18:C25,C25)),"st","nd","rd","th"),"")</f>
        <v/>
      </c>
    </row>
    <row r="26" spans="1:14" x14ac:dyDescent="0.25">
      <c r="A26" s="384"/>
      <c r="B26" s="384"/>
      <c r="C26" s="384"/>
      <c r="D26" s="388"/>
      <c r="E26" s="190"/>
      <c r="F26" s="415"/>
      <c r="G26" s="415"/>
      <c r="H26" s="201" t="str">
        <f t="shared" si="0"/>
        <v/>
      </c>
      <c r="I26" s="384"/>
      <c r="J26" s="384"/>
      <c r="K26" s="384"/>
      <c r="L26" s="384"/>
      <c r="M26" s="388"/>
      <c r="N26" s="164" t="str">
        <f>IFERROR(COUNTIF($C$18:C26,C26)&amp;CHOOSE(MIN(4,COUNTIF($C$18:C26,C26)),"st","nd","rd","th"),"")</f>
        <v/>
      </c>
    </row>
    <row r="27" spans="1:14" x14ac:dyDescent="0.25">
      <c r="A27" s="384"/>
      <c r="B27" s="384"/>
      <c r="C27" s="384"/>
      <c r="D27" s="388"/>
      <c r="E27" s="190"/>
      <c r="F27" s="415"/>
      <c r="G27" s="415"/>
      <c r="H27" s="201" t="str">
        <f t="shared" si="0"/>
        <v/>
      </c>
      <c r="I27" s="384"/>
      <c r="J27" s="384"/>
      <c r="K27" s="384"/>
      <c r="L27" s="384"/>
      <c r="M27" s="388"/>
      <c r="N27" s="164" t="str">
        <f>IFERROR(COUNTIF($C$18:C27,C27)&amp;CHOOSE(MIN(4,COUNTIF($C$18:C27,C27)),"st","nd","rd","th"),"")</f>
        <v/>
      </c>
    </row>
    <row r="28" spans="1:14" x14ac:dyDescent="0.25">
      <c r="A28" s="384"/>
      <c r="B28" s="384"/>
      <c r="C28" s="384"/>
      <c r="D28" s="388"/>
      <c r="E28" s="190"/>
      <c r="F28" s="415"/>
      <c r="G28" s="415"/>
      <c r="H28" s="201" t="str">
        <f t="shared" si="0"/>
        <v/>
      </c>
      <c r="I28" s="384"/>
      <c r="J28" s="384"/>
      <c r="K28" s="384"/>
      <c r="L28" s="384"/>
      <c r="M28" s="388"/>
      <c r="N28" s="164" t="str">
        <f>IFERROR(COUNTIF($C$18:C28,C28)&amp;CHOOSE(MIN(4,COUNTIF($C$18:C28,C28)),"st","nd","rd","th"),"")</f>
        <v/>
      </c>
    </row>
    <row r="29" spans="1:14" x14ac:dyDescent="0.25">
      <c r="A29" s="384"/>
      <c r="B29" s="384"/>
      <c r="C29" s="384"/>
      <c r="D29" s="388"/>
      <c r="E29" s="190"/>
      <c r="F29" s="415"/>
      <c r="G29" s="415"/>
      <c r="H29" s="201" t="str">
        <f t="shared" si="0"/>
        <v/>
      </c>
      <c r="I29" s="384"/>
      <c r="J29" s="384"/>
      <c r="K29" s="384"/>
      <c r="L29" s="384"/>
      <c r="M29" s="388"/>
      <c r="N29" s="164" t="str">
        <f>IFERROR(COUNTIF($C$18:C29,C29)&amp;CHOOSE(MIN(4,COUNTIF($C$18:C29,C29)),"st","nd","rd","th"),"")</f>
        <v/>
      </c>
    </row>
    <row r="30" spans="1:14" x14ac:dyDescent="0.25">
      <c r="A30" s="384"/>
      <c r="B30" s="384"/>
      <c r="C30" s="384"/>
      <c r="D30" s="388"/>
      <c r="E30" s="190"/>
      <c r="F30" s="415"/>
      <c r="G30" s="415"/>
      <c r="H30" s="201" t="str">
        <f t="shared" si="0"/>
        <v/>
      </c>
      <c r="I30" s="384"/>
      <c r="J30" s="384"/>
      <c r="K30" s="384"/>
      <c r="L30" s="384"/>
      <c r="M30" s="388"/>
      <c r="N30" s="164" t="str">
        <f>IFERROR(COUNTIF($C$18:C30,C30)&amp;CHOOSE(MIN(4,COUNTIF($C$18:C30,C30)),"st","nd","rd","th"),"")</f>
        <v/>
      </c>
    </row>
    <row r="31" spans="1:14" x14ac:dyDescent="0.25">
      <c r="A31" s="384"/>
      <c r="B31" s="384"/>
      <c r="C31" s="384"/>
      <c r="D31" s="388"/>
      <c r="E31" s="190"/>
      <c r="F31" s="415"/>
      <c r="G31" s="415"/>
      <c r="H31" s="201" t="str">
        <f t="shared" si="0"/>
        <v/>
      </c>
      <c r="I31" s="384"/>
      <c r="J31" s="384"/>
      <c r="K31" s="384"/>
      <c r="L31" s="384"/>
      <c r="M31" s="388"/>
      <c r="N31" s="164" t="str">
        <f>IFERROR(COUNTIF($C$18:C31,C31)&amp;CHOOSE(MIN(4,COUNTIF($C$18:C31,C31)),"st","nd","rd","th"),"")</f>
        <v/>
      </c>
    </row>
    <row r="32" spans="1:14" x14ac:dyDescent="0.25">
      <c r="D32" s="388"/>
      <c r="E32" s="190"/>
      <c r="F32" s="415"/>
      <c r="G32" s="415"/>
      <c r="H32" s="201" t="str">
        <f t="shared" si="0"/>
        <v/>
      </c>
      <c r="I32" s="384"/>
      <c r="J32" s="384"/>
      <c r="K32" s="384"/>
      <c r="L32" s="384"/>
      <c r="M32" s="388"/>
      <c r="N32" s="164" t="str">
        <f>IFERROR(COUNTIF($C$18:C32,C32)&amp;CHOOSE(MIN(4,COUNTIF($C$18:C32,C32)),"st","nd","rd","th"),"")</f>
        <v/>
      </c>
    </row>
    <row r="33" spans="4:14" x14ac:dyDescent="0.25">
      <c r="D33" s="384"/>
      <c r="E33" s="388"/>
      <c r="H33" s="201" t="str">
        <f t="shared" si="0"/>
        <v/>
      </c>
      <c r="N33" s="164" t="str">
        <f>IFERROR(COUNTIF($C$18:C33,C33)&amp;CHOOSE(MIN(4,COUNTIF($C$18:C33,C33)),"st","nd","rd","th"),"")</f>
        <v/>
      </c>
    </row>
    <row r="34" spans="4:14" x14ac:dyDescent="0.25">
      <c r="D34" s="384"/>
      <c r="E34" s="388"/>
      <c r="H34" s="201" t="str">
        <f t="shared" si="0"/>
        <v/>
      </c>
      <c r="N34" s="164" t="str">
        <f>IFERROR(COUNTIF($C$18:C34,C34)&amp;CHOOSE(MIN(4,COUNTIF($C$18:C34,C34)),"st","nd","rd","th"),"")</f>
        <v/>
      </c>
    </row>
    <row r="35" spans="4:14" x14ac:dyDescent="0.25">
      <c r="D35" s="384"/>
      <c r="E35" s="388"/>
      <c r="H35" s="201" t="str">
        <f t="shared" si="0"/>
        <v/>
      </c>
      <c r="N35" s="164" t="str">
        <f>IFERROR(COUNTIF($C$18:C35,C35)&amp;CHOOSE(MIN(4,COUNTIF($C$18:C35,C35)),"st","nd","rd","th"),"")</f>
        <v/>
      </c>
    </row>
    <row r="36" spans="4:14" x14ac:dyDescent="0.25">
      <c r="H36" s="201" t="str">
        <f t="shared" si="0"/>
        <v/>
      </c>
      <c r="N36" s="164" t="str">
        <f>IFERROR(COUNTIF($C$18:C36,C36)&amp;CHOOSE(MIN(4,COUNTIF($C$18:C36,C36)),"st","nd","rd","th"),"")</f>
        <v/>
      </c>
    </row>
    <row r="37" spans="4:14" x14ac:dyDescent="0.25">
      <c r="H37" s="201" t="str">
        <f t="shared" si="0"/>
        <v/>
      </c>
      <c r="N37" s="164" t="str">
        <f>IFERROR(COUNTIF($C$18:C37,C37)&amp;CHOOSE(MIN(4,COUNTIF($C$18:C37,C37)),"st","nd","rd","th"),"")</f>
        <v/>
      </c>
    </row>
    <row r="38" spans="4:14" x14ac:dyDescent="0.25">
      <c r="H38" s="201" t="str">
        <f t="shared" si="0"/>
        <v/>
      </c>
      <c r="N38" s="164" t="str">
        <f>IFERROR(COUNTIF($C$18:C38,C38)&amp;CHOOSE(MIN(4,COUNTIF($C$18:C38,C38)),"st","nd","rd","th"),"")</f>
        <v/>
      </c>
    </row>
    <row r="39" spans="4:14" x14ac:dyDescent="0.25">
      <c r="H39" s="201" t="str">
        <f t="shared" si="0"/>
        <v/>
      </c>
      <c r="N39" s="164" t="str">
        <f>IFERROR(COUNTIF($C$18:C39,C39)&amp;CHOOSE(MIN(4,COUNTIF($C$18:C39,C39)),"st","nd","rd","th"),"")</f>
        <v/>
      </c>
    </row>
    <row r="40" spans="4:14" x14ac:dyDescent="0.25">
      <c r="H40" s="201" t="str">
        <f t="shared" si="0"/>
        <v/>
      </c>
      <c r="N40" s="164" t="str">
        <f>IFERROR(COUNTIF($C$18:C40,C40)&amp;CHOOSE(MIN(4,COUNTIF($C$18:C40,C40)),"st","nd","rd","th"),"")</f>
        <v/>
      </c>
    </row>
    <row r="41" spans="4:14" x14ac:dyDescent="0.25">
      <c r="H41" s="201" t="str">
        <f t="shared" si="0"/>
        <v/>
      </c>
      <c r="N41" s="164" t="str">
        <f>IFERROR(COUNTIF($C$18:C41,C41)&amp;CHOOSE(MIN(4,COUNTIF($C$18:C41,C41)),"st","nd","rd","th"),"")</f>
        <v/>
      </c>
    </row>
    <row r="42" spans="4:14" x14ac:dyDescent="0.25">
      <c r="H42" s="201" t="str">
        <f t="shared" si="0"/>
        <v/>
      </c>
      <c r="N42" s="164" t="str">
        <f>IFERROR(COUNTIF($C$18:C42,C42)&amp;CHOOSE(MIN(4,COUNTIF($C$18:C42,C42)),"st","nd","rd","th"),"")</f>
        <v/>
      </c>
    </row>
    <row r="43" spans="4:14" x14ac:dyDescent="0.25">
      <c r="H43" s="201" t="str">
        <f t="shared" si="0"/>
        <v/>
      </c>
      <c r="N43" s="164" t="str">
        <f>IFERROR(COUNTIF($C$18:C43,C43)&amp;CHOOSE(MIN(4,COUNTIF($C$18:C43,C43)),"st","nd","rd","th"),"")</f>
        <v/>
      </c>
    </row>
    <row r="44" spans="4:14" x14ac:dyDescent="0.25">
      <c r="H44" s="201" t="str">
        <f t="shared" si="0"/>
        <v/>
      </c>
      <c r="N44" s="164" t="str">
        <f>IFERROR(COUNTIF($C$18:C44,C44)&amp;CHOOSE(MIN(4,COUNTIF($C$18:C44,C44)),"st","nd","rd","th"),"")</f>
        <v/>
      </c>
    </row>
    <row r="45" spans="4:14" x14ac:dyDescent="0.25">
      <c r="H45" s="201" t="str">
        <f t="shared" si="0"/>
        <v/>
      </c>
      <c r="N45" s="164" t="str">
        <f>IFERROR(COUNTIF($C$18:C45,C45)&amp;CHOOSE(MIN(4,COUNTIF($C$18:C45,C45)),"st","nd","rd","th"),"")</f>
        <v/>
      </c>
    </row>
    <row r="46" spans="4:14" x14ac:dyDescent="0.25">
      <c r="H46" s="201" t="str">
        <f t="shared" si="0"/>
        <v/>
      </c>
      <c r="N46" s="164" t="str">
        <f>IFERROR(COUNTIF($C$18:C46,C46)&amp;CHOOSE(MIN(4,COUNTIF($C$18:C46,C46)),"st","nd","rd","th"),"")</f>
        <v/>
      </c>
    </row>
    <row r="47" spans="4:14" x14ac:dyDescent="0.25">
      <c r="H47" s="201" t="str">
        <f t="shared" si="0"/>
        <v/>
      </c>
      <c r="N47" s="164" t="str">
        <f>IFERROR(COUNTIF($C$18:C47,C47)&amp;CHOOSE(MIN(4,COUNTIF($C$18:C47,C47)),"st","nd","rd","th"),"")</f>
        <v/>
      </c>
    </row>
    <row r="48" spans="4:14" x14ac:dyDescent="0.25">
      <c r="H48" s="201" t="str">
        <f t="shared" si="0"/>
        <v/>
      </c>
      <c r="N48" s="164" t="str">
        <f>IFERROR(COUNTIF($C$18:C48,C48)&amp;CHOOSE(MIN(4,COUNTIF($C$18:C48,C48)),"st","nd","rd","th"),"")</f>
        <v/>
      </c>
    </row>
    <row r="49" spans="8:14" x14ac:dyDescent="0.25">
      <c r="H49" s="201" t="str">
        <f t="shared" si="0"/>
        <v/>
      </c>
      <c r="N49" s="164" t="str">
        <f>IFERROR(COUNTIF($C$18:C49,C49)&amp;CHOOSE(MIN(4,COUNTIF($C$18:C49,C49)),"st","nd","rd","th"),"")</f>
        <v/>
      </c>
    </row>
    <row r="50" spans="8:14" x14ac:dyDescent="0.25">
      <c r="H50" s="201" t="str">
        <f t="shared" si="0"/>
        <v/>
      </c>
      <c r="N50" s="164" t="str">
        <f>IFERROR(COUNTIF($C$18:C50,C50)&amp;CHOOSE(MIN(4,COUNTIF($C$18:C50,C50)),"st","nd","rd","th"),"")</f>
        <v/>
      </c>
    </row>
    <row r="51" spans="8:14" x14ac:dyDescent="0.25">
      <c r="H51" s="201" t="str">
        <f t="shared" si="0"/>
        <v/>
      </c>
      <c r="N51" s="164" t="str">
        <f>IFERROR(COUNTIF($C$18:C51,C51)&amp;CHOOSE(MIN(4,COUNTIF($C$18:C51,C51)),"st","nd","rd","th"),"")</f>
        <v/>
      </c>
    </row>
    <row r="52" spans="8:14" x14ac:dyDescent="0.25">
      <c r="H52" s="201" t="str">
        <f t="shared" si="0"/>
        <v/>
      </c>
      <c r="N52" s="164" t="str">
        <f>IFERROR(COUNTIF($C$18:C52,C52)&amp;CHOOSE(MIN(4,COUNTIF($C$18:C52,C52)),"st","nd","rd","th"),"")</f>
        <v/>
      </c>
    </row>
    <row r="53" spans="8:14" x14ac:dyDescent="0.25">
      <c r="H53" s="201" t="str">
        <f t="shared" si="0"/>
        <v/>
      </c>
      <c r="N53" s="164" t="str">
        <f>IFERROR(COUNTIF($C$18:C53,C53)&amp;CHOOSE(MIN(4,COUNTIF($C$18:C53,C53)),"st","nd","rd","th"),"")</f>
        <v/>
      </c>
    </row>
    <row r="54" spans="8:14" x14ac:dyDescent="0.25">
      <c r="H54" s="201" t="str">
        <f t="shared" si="0"/>
        <v/>
      </c>
      <c r="N54" s="164" t="str">
        <f>IFERROR(COUNTIF($C$18:C54,C54)&amp;CHOOSE(MIN(4,COUNTIF($C$18:C54,C54)),"st","nd","rd","th"),"")</f>
        <v/>
      </c>
    </row>
    <row r="55" spans="8:14" x14ac:dyDescent="0.25">
      <c r="H55" s="201" t="str">
        <f t="shared" si="0"/>
        <v/>
      </c>
      <c r="N55" s="164" t="str">
        <f>IFERROR(COUNTIF($C$18:C55,C55)&amp;CHOOSE(MIN(4,COUNTIF($C$18:C55,C55)),"st","nd","rd","th"),"")</f>
        <v/>
      </c>
    </row>
    <row r="56" spans="8:14" x14ac:dyDescent="0.25">
      <c r="H56" s="201" t="str">
        <f t="shared" si="0"/>
        <v/>
      </c>
      <c r="N56" s="164" t="str">
        <f>IFERROR(COUNTIF($C$18:C56,C56)&amp;CHOOSE(MIN(4,COUNTIF($C$18:C56,C56)),"st","nd","rd","th"),"")</f>
        <v/>
      </c>
    </row>
    <row r="57" spans="8:14" x14ac:dyDescent="0.25">
      <c r="H57" s="201" t="str">
        <f t="shared" si="0"/>
        <v/>
      </c>
      <c r="N57" s="164" t="str">
        <f>IFERROR(COUNTIF($C$18:C57,C57)&amp;CHOOSE(MIN(4,COUNTIF($C$18:C57,C57)),"st","nd","rd","th"),"")</f>
        <v/>
      </c>
    </row>
    <row r="58" spans="8:14" x14ac:dyDescent="0.25">
      <c r="H58" s="201" t="str">
        <f t="shared" si="0"/>
        <v/>
      </c>
      <c r="N58" s="164" t="str">
        <f>IFERROR(COUNTIF($C$18:C58,C58)&amp;CHOOSE(MIN(4,COUNTIF($C$18:C58,C58)),"st","nd","rd","th"),"")</f>
        <v/>
      </c>
    </row>
    <row r="59" spans="8:14" x14ac:dyDescent="0.25">
      <c r="H59" s="201" t="str">
        <f t="shared" si="0"/>
        <v/>
      </c>
      <c r="N59" s="164" t="str">
        <f>IFERROR(COUNTIF($C$18:C59,C59)&amp;CHOOSE(MIN(4,COUNTIF($C$18:C59,C59)),"st","nd","rd","th"),"")</f>
        <v/>
      </c>
    </row>
    <row r="60" spans="8:14" x14ac:dyDescent="0.25">
      <c r="H60" s="201" t="str">
        <f t="shared" si="0"/>
        <v/>
      </c>
      <c r="N60" s="164" t="str">
        <f>IFERROR(COUNTIF($C$18:C60,C60)&amp;CHOOSE(MIN(4,COUNTIF($C$18:C60,C60)),"st","nd","rd","th"),"")</f>
        <v/>
      </c>
    </row>
    <row r="61" spans="8:14" x14ac:dyDescent="0.25">
      <c r="H61" s="201" t="str">
        <f t="shared" si="0"/>
        <v/>
      </c>
      <c r="N61" s="164" t="str">
        <f>IFERROR(COUNTIF($C$18:C61,C61)&amp;CHOOSE(MIN(4,COUNTIF($C$18:C61,C61)),"st","nd","rd","th"),"")</f>
        <v/>
      </c>
    </row>
    <row r="62" spans="8:14" x14ac:dyDescent="0.25">
      <c r="H62" s="201" t="str">
        <f t="shared" si="0"/>
        <v/>
      </c>
      <c r="N62" s="164" t="str">
        <f>IFERROR(COUNTIF($C$18:C62,C62)&amp;CHOOSE(MIN(4,COUNTIF($C$18:C62,C62)),"st","nd","rd","th"),"")</f>
        <v/>
      </c>
    </row>
    <row r="63" spans="8:14" x14ac:dyDescent="0.25">
      <c r="H63" s="201" t="str">
        <f t="shared" si="0"/>
        <v/>
      </c>
      <c r="N63" s="164" t="str">
        <f>IFERROR(COUNTIF($C$18:C63,C63)&amp;CHOOSE(MIN(4,COUNTIF($C$18:C63,C63)),"st","nd","rd","th"),"")</f>
        <v/>
      </c>
    </row>
    <row r="64" spans="8:14" x14ac:dyDescent="0.25">
      <c r="H64" s="201" t="str">
        <f t="shared" si="0"/>
        <v/>
      </c>
      <c r="N64" s="164" t="str">
        <f>IFERROR(COUNTIF($C$18:C64,C64)&amp;CHOOSE(MIN(4,COUNTIF($C$18:C64,C64)),"st","nd","rd","th"),"")</f>
        <v/>
      </c>
    </row>
    <row r="65" spans="8:14" x14ac:dyDescent="0.25">
      <c r="H65" s="201" t="str">
        <f t="shared" si="0"/>
        <v/>
      </c>
      <c r="N65" s="164" t="str">
        <f>IFERROR(COUNTIF($C$18:C65,C65)&amp;CHOOSE(MIN(4,COUNTIF($C$18:C65,C65)),"st","nd","rd","th"),"")</f>
        <v/>
      </c>
    </row>
    <row r="66" spans="8:14" x14ac:dyDescent="0.25">
      <c r="H66" s="201" t="str">
        <f t="shared" si="0"/>
        <v/>
      </c>
      <c r="N66" s="164" t="str">
        <f>IFERROR(COUNTIF($C$18:C66,C66)&amp;CHOOSE(MIN(4,COUNTIF($C$18:C66,C66)),"st","nd","rd","th"),"")</f>
        <v/>
      </c>
    </row>
    <row r="67" spans="8:14" x14ac:dyDescent="0.25">
      <c r="H67" s="201" t="str">
        <f t="shared" si="0"/>
        <v/>
      </c>
      <c r="N67" s="164" t="str">
        <f>IFERROR(COUNTIF($C$18:C67,C67)&amp;CHOOSE(MIN(4,COUNTIF($C$18:C67,C67)),"st","nd","rd","th"),"")</f>
        <v/>
      </c>
    </row>
    <row r="68" spans="8:14" x14ac:dyDescent="0.25">
      <c r="H68" s="201" t="str">
        <f t="shared" si="0"/>
        <v/>
      </c>
      <c r="N68" s="164" t="str">
        <f>IFERROR(COUNTIF($C$18:C68,C68)&amp;CHOOSE(MIN(4,COUNTIF($C$18:C68,C68)),"st","nd","rd","th"),"")</f>
        <v/>
      </c>
    </row>
    <row r="69" spans="8:14" x14ac:dyDescent="0.25">
      <c r="H69" s="201" t="str">
        <f t="shared" si="0"/>
        <v/>
      </c>
      <c r="N69" s="164" t="str">
        <f>IFERROR(COUNTIF($C$18:C69,C69)&amp;CHOOSE(MIN(4,COUNTIF($C$18:C69,C69)),"st","nd","rd","th"),"")</f>
        <v/>
      </c>
    </row>
    <row r="70" spans="8:14" x14ac:dyDescent="0.25">
      <c r="H70" s="201" t="str">
        <f t="shared" si="0"/>
        <v/>
      </c>
      <c r="N70" s="164" t="str">
        <f>IFERROR(COUNTIF($C$18:C70,C70)&amp;CHOOSE(MIN(4,COUNTIF($C$18:C70,C70)),"st","nd","rd","th"),"")</f>
        <v/>
      </c>
    </row>
    <row r="71" spans="8:14" x14ac:dyDescent="0.25">
      <c r="H71" s="201" t="str">
        <f t="shared" si="0"/>
        <v/>
      </c>
      <c r="N71" s="164" t="str">
        <f>IFERROR(COUNTIF($C$18:C71,C71)&amp;CHOOSE(MIN(4,COUNTIF($C$18:C71,C71)),"st","nd","rd","th"),"")</f>
        <v/>
      </c>
    </row>
    <row r="72" spans="8:14" x14ac:dyDescent="0.25">
      <c r="H72" s="201" t="str">
        <f t="shared" si="0"/>
        <v/>
      </c>
      <c r="N72" s="164" t="str">
        <f>IFERROR(COUNTIF($C$18:C72,C72)&amp;CHOOSE(MIN(4,COUNTIF($C$18:C72,C72)),"st","nd","rd","th"),"")</f>
        <v/>
      </c>
    </row>
    <row r="73" spans="8:14" x14ac:dyDescent="0.25">
      <c r="H73" s="201" t="str">
        <f t="shared" si="0"/>
        <v/>
      </c>
      <c r="N73" s="164" t="str">
        <f>IFERROR(COUNTIF($C$18:C73,C73)&amp;CHOOSE(MIN(4,COUNTIF($C$18:C73,C73)),"st","nd","rd","th"),"")</f>
        <v/>
      </c>
    </row>
    <row r="74" spans="8:14" x14ac:dyDescent="0.25">
      <c r="H74" s="201" t="str">
        <f t="shared" si="0"/>
        <v/>
      </c>
      <c r="N74" s="164" t="str">
        <f>IFERROR(COUNTIF($C$18:C74,C74)&amp;CHOOSE(MIN(4,COUNTIF($C$18:C74,C74)),"st","nd","rd","th"),"")</f>
        <v/>
      </c>
    </row>
    <row r="75" spans="8:14" x14ac:dyDescent="0.25">
      <c r="H75" s="201" t="str">
        <f t="shared" si="0"/>
        <v/>
      </c>
      <c r="N75" s="164" t="str">
        <f>IFERROR(COUNTIF($C$18:C75,C75)&amp;CHOOSE(MIN(4,COUNTIF($C$18:C75,C75)),"st","nd","rd","th"),"")</f>
        <v/>
      </c>
    </row>
    <row r="76" spans="8:14" x14ac:dyDescent="0.25">
      <c r="H76" s="201" t="str">
        <f t="shared" si="0"/>
        <v/>
      </c>
      <c r="N76" s="164" t="str">
        <f>IFERROR(COUNTIF($C$18:C76,C76)&amp;CHOOSE(MIN(4,COUNTIF($C$18:C76,C76)),"st","nd","rd","th"),"")</f>
        <v/>
      </c>
    </row>
    <row r="77" spans="8:14" x14ac:dyDescent="0.25">
      <c r="H77" s="201" t="str">
        <f t="shared" si="0"/>
        <v/>
      </c>
      <c r="N77" s="164" t="str">
        <f>IFERROR(COUNTIF($C$18:C77,C77)&amp;CHOOSE(MIN(4,COUNTIF($C$18:C77,C77)),"st","nd","rd","th"),"")</f>
        <v/>
      </c>
    </row>
    <row r="78" spans="8:14" x14ac:dyDescent="0.25">
      <c r="H78" s="201" t="str">
        <f t="shared" si="0"/>
        <v/>
      </c>
      <c r="N78" s="164" t="str">
        <f>IFERROR(COUNTIF($C$18:C78,C78)&amp;CHOOSE(MIN(4,COUNTIF($C$18:C78,C78)),"st","nd","rd","th"),"")</f>
        <v/>
      </c>
    </row>
    <row r="79" spans="8:14" x14ac:dyDescent="0.25">
      <c r="H79" s="201" t="str">
        <f t="shared" si="0"/>
        <v/>
      </c>
      <c r="N79" s="164" t="str">
        <f>IFERROR(COUNTIF($C$18:C79,C79)&amp;CHOOSE(MIN(4,COUNTIF($C$18:C79,C79)),"st","nd","rd","th"),"")</f>
        <v/>
      </c>
    </row>
    <row r="80" spans="8:14" x14ac:dyDescent="0.25">
      <c r="H80" s="201" t="str">
        <f t="shared" si="0"/>
        <v/>
      </c>
      <c r="N80" s="164" t="str">
        <f>IFERROR(COUNTIF($C$18:C80,C80)&amp;CHOOSE(MIN(4,COUNTIF($C$18:C80,C80)),"st","nd","rd","th"),"")</f>
        <v/>
      </c>
    </row>
    <row r="81" spans="8:14" x14ac:dyDescent="0.25">
      <c r="H81" s="201" t="str">
        <f t="shared" si="0"/>
        <v/>
      </c>
      <c r="N81" s="164" t="str">
        <f>IFERROR(COUNTIF($C$18:C81,C81)&amp;CHOOSE(MIN(4,COUNTIF($C$18:C81,C81)),"st","nd","rd","th"),"")</f>
        <v/>
      </c>
    </row>
    <row r="82" spans="8:14" x14ac:dyDescent="0.25">
      <c r="H82" s="201" t="str">
        <f t="shared" si="0"/>
        <v/>
      </c>
      <c r="N82" s="164" t="str">
        <f>IFERROR(COUNTIF($C$18:C82,C82)&amp;CHOOSE(MIN(4,COUNTIF($C$18:C82,C82)),"st","nd","rd","th"),"")</f>
        <v/>
      </c>
    </row>
    <row r="83" spans="8:14" x14ac:dyDescent="0.25">
      <c r="H83" s="201" t="str">
        <f t="shared" ref="H83:H146" si="1">IF(OR(ISBLANK(G83), ISBLANK(F83)), "", IF(G83=F83, 1, SUM(_xlfn.DAYS(G83, F83), 1)))</f>
        <v/>
      </c>
      <c r="N83" s="164" t="str">
        <f>IFERROR(COUNTIF($C$18:C83,C83)&amp;CHOOSE(MIN(4,COUNTIF($C$18:C83,C83)),"st","nd","rd","th"),"")</f>
        <v/>
      </c>
    </row>
    <row r="84" spans="8:14" x14ac:dyDescent="0.25">
      <c r="H84" s="201" t="str">
        <f t="shared" si="1"/>
        <v/>
      </c>
      <c r="N84" s="164" t="str">
        <f>IFERROR(COUNTIF($C$18:C84,C84)&amp;CHOOSE(MIN(4,COUNTIF($C$18:C84,C84)),"st","nd","rd","th"),"")</f>
        <v/>
      </c>
    </row>
    <row r="85" spans="8:14" x14ac:dyDescent="0.25">
      <c r="H85" s="201" t="str">
        <f t="shared" si="1"/>
        <v/>
      </c>
      <c r="N85" s="164" t="str">
        <f>IFERROR(COUNTIF($C$18:C85,C85)&amp;CHOOSE(MIN(4,COUNTIF($C$18:C85,C85)),"st","nd","rd","th"),"")</f>
        <v/>
      </c>
    </row>
    <row r="86" spans="8:14" x14ac:dyDescent="0.25">
      <c r="H86" s="201" t="str">
        <f t="shared" si="1"/>
        <v/>
      </c>
      <c r="N86" s="164" t="str">
        <f>IFERROR(COUNTIF($C$18:C86,C86)&amp;CHOOSE(MIN(4,COUNTIF($C$18:C86,C86)),"st","nd","rd","th"),"")</f>
        <v/>
      </c>
    </row>
    <row r="87" spans="8:14" x14ac:dyDescent="0.25">
      <c r="H87" s="201" t="str">
        <f t="shared" si="1"/>
        <v/>
      </c>
      <c r="N87" s="164" t="str">
        <f>IFERROR(COUNTIF($C$18:C87,C87)&amp;CHOOSE(MIN(4,COUNTIF($C$18:C87,C87)),"st","nd","rd","th"),"")</f>
        <v/>
      </c>
    </row>
    <row r="88" spans="8:14" x14ac:dyDescent="0.25">
      <c r="H88" s="201" t="str">
        <f t="shared" si="1"/>
        <v/>
      </c>
      <c r="N88" s="164" t="str">
        <f>IFERROR(COUNTIF($C$18:C88,C88)&amp;CHOOSE(MIN(4,COUNTIF($C$18:C88,C88)),"st","nd","rd","th"),"")</f>
        <v/>
      </c>
    </row>
    <row r="89" spans="8:14" x14ac:dyDescent="0.25">
      <c r="H89" s="201" t="str">
        <f t="shared" si="1"/>
        <v/>
      </c>
      <c r="N89" s="164" t="str">
        <f>IFERROR(COUNTIF($C$18:C89,C89)&amp;CHOOSE(MIN(4,COUNTIF($C$18:C89,C89)),"st","nd","rd","th"),"")</f>
        <v/>
      </c>
    </row>
    <row r="90" spans="8:14" x14ac:dyDescent="0.25">
      <c r="H90" s="201" t="str">
        <f t="shared" si="1"/>
        <v/>
      </c>
      <c r="N90" s="164" t="str">
        <f>IFERROR(COUNTIF($C$18:C90,C90)&amp;CHOOSE(MIN(4,COUNTIF($C$18:C90,C90)),"st","nd","rd","th"),"")</f>
        <v/>
      </c>
    </row>
    <row r="91" spans="8:14" x14ac:dyDescent="0.25">
      <c r="H91" s="201" t="str">
        <f t="shared" si="1"/>
        <v/>
      </c>
      <c r="N91" s="164" t="str">
        <f>IFERROR(COUNTIF($C$18:C91,C91)&amp;CHOOSE(MIN(4,COUNTIF($C$18:C91,C91)),"st","nd","rd","th"),"")</f>
        <v/>
      </c>
    </row>
    <row r="92" spans="8:14" x14ac:dyDescent="0.25">
      <c r="H92" s="201" t="str">
        <f t="shared" si="1"/>
        <v/>
      </c>
      <c r="N92" s="164" t="str">
        <f>IFERROR(COUNTIF($C$18:C92,C92)&amp;CHOOSE(MIN(4,COUNTIF($C$18:C92,C92)),"st","nd","rd","th"),"")</f>
        <v/>
      </c>
    </row>
    <row r="93" spans="8:14" x14ac:dyDescent="0.25">
      <c r="H93" s="201" t="str">
        <f t="shared" si="1"/>
        <v/>
      </c>
      <c r="N93" s="164" t="str">
        <f>IFERROR(COUNTIF($C$18:C93,C93)&amp;CHOOSE(MIN(4,COUNTIF($C$18:C93,C93)),"st","nd","rd","th"),"")</f>
        <v/>
      </c>
    </row>
    <row r="94" spans="8:14" x14ac:dyDescent="0.25">
      <c r="H94" s="201" t="str">
        <f t="shared" si="1"/>
        <v/>
      </c>
      <c r="N94" s="164" t="str">
        <f>IFERROR(COUNTIF($C$18:C94,C94)&amp;CHOOSE(MIN(4,COUNTIF($C$18:C94,C94)),"st","nd","rd","th"),"")</f>
        <v/>
      </c>
    </row>
    <row r="95" spans="8:14" x14ac:dyDescent="0.25">
      <c r="H95" s="201" t="str">
        <f t="shared" si="1"/>
        <v/>
      </c>
      <c r="N95" s="164" t="str">
        <f>IFERROR(COUNTIF($C$18:C95,C95)&amp;CHOOSE(MIN(4,COUNTIF($C$18:C95,C95)),"st","nd","rd","th"),"")</f>
        <v/>
      </c>
    </row>
    <row r="96" spans="8:14" x14ac:dyDescent="0.25">
      <c r="H96" s="201" t="str">
        <f t="shared" si="1"/>
        <v/>
      </c>
      <c r="N96" s="164" t="str">
        <f>IFERROR(COUNTIF($C$18:C96,C96)&amp;CHOOSE(MIN(4,COUNTIF($C$18:C96,C96)),"st","nd","rd","th"),"")</f>
        <v/>
      </c>
    </row>
    <row r="97" spans="8:14" x14ac:dyDescent="0.25">
      <c r="H97" s="201" t="str">
        <f t="shared" si="1"/>
        <v/>
      </c>
      <c r="N97" s="164" t="str">
        <f>IFERROR(COUNTIF($C$18:C97,C97)&amp;CHOOSE(MIN(4,COUNTIF($C$18:C97,C97)),"st","nd","rd","th"),"")</f>
        <v/>
      </c>
    </row>
    <row r="98" spans="8:14" x14ac:dyDescent="0.25">
      <c r="H98" s="201" t="str">
        <f t="shared" si="1"/>
        <v/>
      </c>
      <c r="N98" s="164" t="str">
        <f>IFERROR(COUNTIF($C$18:C98,C98)&amp;CHOOSE(MIN(4,COUNTIF($C$18:C98,C98)),"st","nd","rd","th"),"")</f>
        <v/>
      </c>
    </row>
    <row r="99" spans="8:14" x14ac:dyDescent="0.25">
      <c r="H99" s="201" t="str">
        <f t="shared" si="1"/>
        <v/>
      </c>
      <c r="N99" s="164" t="str">
        <f>IFERROR(COUNTIF($C$18:C99,C99)&amp;CHOOSE(MIN(4,COUNTIF($C$18:C99,C99)),"st","nd","rd","th"),"")</f>
        <v/>
      </c>
    </row>
    <row r="100" spans="8:14" x14ac:dyDescent="0.25">
      <c r="H100" s="201" t="str">
        <f t="shared" si="1"/>
        <v/>
      </c>
      <c r="N100" s="164" t="str">
        <f>IFERROR(COUNTIF($C$18:C100,C100)&amp;CHOOSE(MIN(4,COUNTIF($C$18:C100,C100)),"st","nd","rd","th"),"")</f>
        <v/>
      </c>
    </row>
    <row r="101" spans="8:14" x14ac:dyDescent="0.25">
      <c r="H101" s="201" t="str">
        <f t="shared" si="1"/>
        <v/>
      </c>
      <c r="N101" s="164" t="str">
        <f>IFERROR(COUNTIF($C$18:C101,C101)&amp;CHOOSE(MIN(4,COUNTIF($C$18:C101,C101)),"st","nd","rd","th"),"")</f>
        <v/>
      </c>
    </row>
    <row r="102" spans="8:14" x14ac:dyDescent="0.25">
      <c r="H102" s="201" t="str">
        <f t="shared" si="1"/>
        <v/>
      </c>
      <c r="N102" s="164" t="str">
        <f>IFERROR(COUNTIF($C$18:C102,C102)&amp;CHOOSE(MIN(4,COUNTIF($C$18:C102,C102)),"st","nd","rd","th"),"")</f>
        <v/>
      </c>
    </row>
    <row r="103" spans="8:14" x14ac:dyDescent="0.25">
      <c r="H103" s="201" t="str">
        <f t="shared" si="1"/>
        <v/>
      </c>
      <c r="N103" s="164" t="str">
        <f>IFERROR(COUNTIF($C$18:C103,C103)&amp;CHOOSE(MIN(4,COUNTIF($C$18:C103,C103)),"st","nd","rd","th"),"")</f>
        <v/>
      </c>
    </row>
    <row r="104" spans="8:14" x14ac:dyDescent="0.25">
      <c r="H104" s="201" t="str">
        <f t="shared" si="1"/>
        <v/>
      </c>
      <c r="N104" s="164" t="str">
        <f>IFERROR(COUNTIF($C$18:C104,C104)&amp;CHOOSE(MIN(4,COUNTIF($C$18:C104,C104)),"st","nd","rd","th"),"")</f>
        <v/>
      </c>
    </row>
    <row r="105" spans="8:14" x14ac:dyDescent="0.25">
      <c r="H105" s="201" t="str">
        <f t="shared" si="1"/>
        <v/>
      </c>
      <c r="N105" s="164" t="str">
        <f>IFERROR(COUNTIF($C$18:C105,C105)&amp;CHOOSE(MIN(4,COUNTIF($C$18:C105,C105)),"st","nd","rd","th"),"")</f>
        <v/>
      </c>
    </row>
    <row r="106" spans="8:14" x14ac:dyDescent="0.25">
      <c r="H106" s="201" t="str">
        <f t="shared" si="1"/>
        <v/>
      </c>
      <c r="N106" s="164" t="str">
        <f>IFERROR(COUNTIF($C$18:C106,C106)&amp;CHOOSE(MIN(4,COUNTIF($C$18:C106,C106)),"st","nd","rd","th"),"")</f>
        <v/>
      </c>
    </row>
    <row r="107" spans="8:14" x14ac:dyDescent="0.25">
      <c r="H107" s="201" t="str">
        <f t="shared" si="1"/>
        <v/>
      </c>
      <c r="N107" s="164" t="str">
        <f>IFERROR(COUNTIF($C$18:C107,C107)&amp;CHOOSE(MIN(4,COUNTIF($C$18:C107,C107)),"st","nd","rd","th"),"")</f>
        <v/>
      </c>
    </row>
    <row r="108" spans="8:14" x14ac:dyDescent="0.25">
      <c r="H108" s="201" t="str">
        <f t="shared" si="1"/>
        <v/>
      </c>
      <c r="N108" s="164" t="str">
        <f>IFERROR(COUNTIF($C$18:C108,C108)&amp;CHOOSE(MIN(4,COUNTIF($C$18:C108,C108)),"st","nd","rd","th"),"")</f>
        <v/>
      </c>
    </row>
    <row r="109" spans="8:14" x14ac:dyDescent="0.25">
      <c r="H109" s="201" t="str">
        <f t="shared" si="1"/>
        <v/>
      </c>
      <c r="N109" s="164" t="str">
        <f>IFERROR(COUNTIF($C$18:C109,C109)&amp;CHOOSE(MIN(4,COUNTIF($C$18:C109,C109)),"st","nd","rd","th"),"")</f>
        <v/>
      </c>
    </row>
    <row r="110" spans="8:14" x14ac:dyDescent="0.25">
      <c r="H110" s="201" t="str">
        <f t="shared" si="1"/>
        <v/>
      </c>
      <c r="N110" s="164" t="str">
        <f>IFERROR(COUNTIF($C$18:C110,C110)&amp;CHOOSE(MIN(4,COUNTIF($C$18:C110,C110)),"st","nd","rd","th"),"")</f>
        <v/>
      </c>
    </row>
    <row r="111" spans="8:14" x14ac:dyDescent="0.25">
      <c r="H111" s="201" t="str">
        <f t="shared" si="1"/>
        <v/>
      </c>
      <c r="N111" s="164" t="str">
        <f>IFERROR(COUNTIF($C$18:C111,C111)&amp;CHOOSE(MIN(4,COUNTIF($C$18:C111,C111)),"st","nd","rd","th"),"")</f>
        <v/>
      </c>
    </row>
    <row r="112" spans="8:14" x14ac:dyDescent="0.25">
      <c r="H112" s="201" t="str">
        <f t="shared" si="1"/>
        <v/>
      </c>
      <c r="N112" s="164" t="str">
        <f>IFERROR(COUNTIF($C$18:C112,C112)&amp;CHOOSE(MIN(4,COUNTIF($C$18:C112,C112)),"st","nd","rd","th"),"")</f>
        <v/>
      </c>
    </row>
    <row r="113" spans="8:14" x14ac:dyDescent="0.25">
      <c r="H113" s="201" t="str">
        <f t="shared" si="1"/>
        <v/>
      </c>
      <c r="N113" s="164" t="str">
        <f>IFERROR(COUNTIF($C$18:C113,C113)&amp;CHOOSE(MIN(4,COUNTIF($C$18:C113,C113)),"st","nd","rd","th"),"")</f>
        <v/>
      </c>
    </row>
    <row r="114" spans="8:14" x14ac:dyDescent="0.25">
      <c r="H114" s="201" t="str">
        <f t="shared" si="1"/>
        <v/>
      </c>
      <c r="N114" s="164" t="str">
        <f>IFERROR(COUNTIF($C$18:C114,C114)&amp;CHOOSE(MIN(4,COUNTIF($C$18:C114,C114)),"st","nd","rd","th"),"")</f>
        <v/>
      </c>
    </row>
    <row r="115" spans="8:14" x14ac:dyDescent="0.25">
      <c r="H115" s="201" t="str">
        <f t="shared" si="1"/>
        <v/>
      </c>
      <c r="N115" s="164" t="str">
        <f>IFERROR(COUNTIF($C$18:C115,C115)&amp;CHOOSE(MIN(4,COUNTIF($C$18:C115,C115)),"st","nd","rd","th"),"")</f>
        <v/>
      </c>
    </row>
    <row r="116" spans="8:14" x14ac:dyDescent="0.25">
      <c r="H116" s="201" t="str">
        <f t="shared" si="1"/>
        <v/>
      </c>
      <c r="N116" s="164" t="str">
        <f>IFERROR(COUNTIF($C$18:C116,C116)&amp;CHOOSE(MIN(4,COUNTIF($C$18:C116,C116)),"st","nd","rd","th"),"")</f>
        <v/>
      </c>
    </row>
    <row r="117" spans="8:14" x14ac:dyDescent="0.25">
      <c r="H117" s="201" t="str">
        <f t="shared" si="1"/>
        <v/>
      </c>
      <c r="N117" s="164" t="str">
        <f>IFERROR(COUNTIF($C$18:C117,C117)&amp;CHOOSE(MIN(4,COUNTIF($C$18:C117,C117)),"st","nd","rd","th"),"")</f>
        <v/>
      </c>
    </row>
    <row r="118" spans="8:14" x14ac:dyDescent="0.25">
      <c r="H118" s="201" t="str">
        <f t="shared" si="1"/>
        <v/>
      </c>
      <c r="N118" s="164" t="str">
        <f>IFERROR(COUNTIF($C$18:C118,C118)&amp;CHOOSE(MIN(4,COUNTIF($C$18:C118,C118)),"st","nd","rd","th"),"")</f>
        <v/>
      </c>
    </row>
    <row r="119" spans="8:14" x14ac:dyDescent="0.25">
      <c r="H119" s="201" t="str">
        <f t="shared" si="1"/>
        <v/>
      </c>
      <c r="N119" s="164" t="str">
        <f>IFERROR(COUNTIF($C$18:C119,C119)&amp;CHOOSE(MIN(4,COUNTIF($C$18:C119,C119)),"st","nd","rd","th"),"")</f>
        <v/>
      </c>
    </row>
    <row r="120" spans="8:14" x14ac:dyDescent="0.25">
      <c r="H120" s="201" t="str">
        <f t="shared" si="1"/>
        <v/>
      </c>
      <c r="N120" s="164" t="str">
        <f>IFERROR(COUNTIF($C$18:C120,C120)&amp;CHOOSE(MIN(4,COUNTIF($C$18:C120,C120)),"st","nd","rd","th"),"")</f>
        <v/>
      </c>
    </row>
    <row r="121" spans="8:14" x14ac:dyDescent="0.25">
      <c r="H121" s="201" t="str">
        <f t="shared" si="1"/>
        <v/>
      </c>
      <c r="N121" s="164" t="str">
        <f>IFERROR(COUNTIF($C$18:C121,C121)&amp;CHOOSE(MIN(4,COUNTIF($C$18:C121,C121)),"st","nd","rd","th"),"")</f>
        <v/>
      </c>
    </row>
    <row r="122" spans="8:14" x14ac:dyDescent="0.25">
      <c r="H122" s="201" t="str">
        <f t="shared" si="1"/>
        <v/>
      </c>
      <c r="N122" s="164" t="str">
        <f>IFERROR(COUNTIF($C$18:C122,C122)&amp;CHOOSE(MIN(4,COUNTIF($C$18:C122,C122)),"st","nd","rd","th"),"")</f>
        <v/>
      </c>
    </row>
    <row r="123" spans="8:14" x14ac:dyDescent="0.25">
      <c r="H123" s="201" t="str">
        <f t="shared" si="1"/>
        <v/>
      </c>
      <c r="N123" s="164" t="str">
        <f>IFERROR(COUNTIF($C$18:C123,C123)&amp;CHOOSE(MIN(4,COUNTIF($C$18:C123,C123)),"st","nd","rd","th"),"")</f>
        <v/>
      </c>
    </row>
    <row r="124" spans="8:14" x14ac:dyDescent="0.25">
      <c r="H124" s="201" t="str">
        <f t="shared" si="1"/>
        <v/>
      </c>
      <c r="N124" s="164" t="str">
        <f>IFERROR(COUNTIF($C$18:C124,C124)&amp;CHOOSE(MIN(4,COUNTIF($C$18:C124,C124)),"st","nd","rd","th"),"")</f>
        <v/>
      </c>
    </row>
    <row r="125" spans="8:14" x14ac:dyDescent="0.25">
      <c r="H125" s="201" t="str">
        <f t="shared" si="1"/>
        <v/>
      </c>
      <c r="N125" s="164" t="str">
        <f>IFERROR(COUNTIF($C$18:C125,C125)&amp;CHOOSE(MIN(4,COUNTIF($C$18:C125,C125)),"st","nd","rd","th"),"")</f>
        <v/>
      </c>
    </row>
    <row r="126" spans="8:14" x14ac:dyDescent="0.25">
      <c r="H126" s="201" t="str">
        <f t="shared" si="1"/>
        <v/>
      </c>
      <c r="N126" s="164" t="str">
        <f>IFERROR(COUNTIF($C$18:C126,C126)&amp;CHOOSE(MIN(4,COUNTIF($C$18:C126,C126)),"st","nd","rd","th"),"")</f>
        <v/>
      </c>
    </row>
    <row r="127" spans="8:14" x14ac:dyDescent="0.25">
      <c r="H127" s="201" t="str">
        <f t="shared" si="1"/>
        <v/>
      </c>
      <c r="N127" s="164" t="str">
        <f>IFERROR(COUNTIF($C$18:C127,C127)&amp;CHOOSE(MIN(4,COUNTIF($C$18:C127,C127)),"st","nd","rd","th"),"")</f>
        <v/>
      </c>
    </row>
    <row r="128" spans="8:14" x14ac:dyDescent="0.25">
      <c r="H128" s="201" t="str">
        <f t="shared" si="1"/>
        <v/>
      </c>
      <c r="N128" s="164" t="str">
        <f>IFERROR(COUNTIF($C$18:C128,C128)&amp;CHOOSE(MIN(4,COUNTIF($C$18:C128,C128)),"st","nd","rd","th"),"")</f>
        <v/>
      </c>
    </row>
    <row r="129" spans="8:14" x14ac:dyDescent="0.25">
      <c r="H129" s="201" t="str">
        <f t="shared" si="1"/>
        <v/>
      </c>
      <c r="N129" s="164" t="str">
        <f>IFERROR(COUNTIF($C$18:C129,C129)&amp;CHOOSE(MIN(4,COUNTIF($C$18:C129,C129)),"st","nd","rd","th"),"")</f>
        <v/>
      </c>
    </row>
    <row r="130" spans="8:14" x14ac:dyDescent="0.25">
      <c r="H130" s="201" t="str">
        <f t="shared" si="1"/>
        <v/>
      </c>
      <c r="N130" s="164" t="str">
        <f>IFERROR(COUNTIF($C$18:C130,C130)&amp;CHOOSE(MIN(4,COUNTIF($C$18:C130,C130)),"st","nd","rd","th"),"")</f>
        <v/>
      </c>
    </row>
    <row r="131" spans="8:14" x14ac:dyDescent="0.25">
      <c r="H131" s="201" t="str">
        <f t="shared" si="1"/>
        <v/>
      </c>
      <c r="N131" s="164" t="str">
        <f>IFERROR(COUNTIF($C$18:C131,C131)&amp;CHOOSE(MIN(4,COUNTIF($C$18:C131,C131)),"st","nd","rd","th"),"")</f>
        <v/>
      </c>
    </row>
    <row r="132" spans="8:14" x14ac:dyDescent="0.25">
      <c r="H132" s="201" t="str">
        <f t="shared" si="1"/>
        <v/>
      </c>
      <c r="N132" s="164" t="str">
        <f>IFERROR(COUNTIF($C$18:C132,C132)&amp;CHOOSE(MIN(4,COUNTIF($C$18:C132,C132)),"st","nd","rd","th"),"")</f>
        <v/>
      </c>
    </row>
    <row r="133" spans="8:14" x14ac:dyDescent="0.25">
      <c r="H133" s="201" t="str">
        <f t="shared" si="1"/>
        <v/>
      </c>
      <c r="N133" s="164" t="str">
        <f>IFERROR(COUNTIF($C$18:C133,C133)&amp;CHOOSE(MIN(4,COUNTIF($C$18:C133,C133)),"st","nd","rd","th"),"")</f>
        <v/>
      </c>
    </row>
    <row r="134" spans="8:14" x14ac:dyDescent="0.25">
      <c r="H134" s="201" t="str">
        <f t="shared" si="1"/>
        <v/>
      </c>
      <c r="N134" s="164" t="str">
        <f>IFERROR(COUNTIF($C$18:C134,C134)&amp;CHOOSE(MIN(4,COUNTIF($C$18:C134,C134)),"st","nd","rd","th"),"")</f>
        <v/>
      </c>
    </row>
    <row r="135" spans="8:14" x14ac:dyDescent="0.25">
      <c r="H135" s="201" t="str">
        <f t="shared" si="1"/>
        <v/>
      </c>
      <c r="N135" s="164" t="str">
        <f>IFERROR(COUNTIF($C$18:C135,C135)&amp;CHOOSE(MIN(4,COUNTIF($C$18:C135,C135)),"st","nd","rd","th"),"")</f>
        <v/>
      </c>
    </row>
    <row r="136" spans="8:14" x14ac:dyDescent="0.25">
      <c r="H136" s="201" t="str">
        <f t="shared" si="1"/>
        <v/>
      </c>
      <c r="N136" s="164" t="str">
        <f>IFERROR(COUNTIF($C$18:C136,C136)&amp;CHOOSE(MIN(4,COUNTIF($C$18:C136,C136)),"st","nd","rd","th"),"")</f>
        <v/>
      </c>
    </row>
    <row r="137" spans="8:14" x14ac:dyDescent="0.25">
      <c r="H137" s="201" t="str">
        <f t="shared" si="1"/>
        <v/>
      </c>
      <c r="N137" s="164" t="str">
        <f>IFERROR(COUNTIF($C$18:C137,C137)&amp;CHOOSE(MIN(4,COUNTIF($C$18:C137,C137)),"st","nd","rd","th"),"")</f>
        <v/>
      </c>
    </row>
    <row r="138" spans="8:14" x14ac:dyDescent="0.25">
      <c r="H138" s="201" t="str">
        <f t="shared" si="1"/>
        <v/>
      </c>
      <c r="N138" s="164" t="str">
        <f>IFERROR(COUNTIF($C$18:C138,C138)&amp;CHOOSE(MIN(4,COUNTIF($C$18:C138,C138)),"st","nd","rd","th"),"")</f>
        <v/>
      </c>
    </row>
    <row r="139" spans="8:14" x14ac:dyDescent="0.25">
      <c r="H139" s="201" t="str">
        <f t="shared" si="1"/>
        <v/>
      </c>
      <c r="N139" s="164" t="str">
        <f>IFERROR(COUNTIF($C$18:C139,C139)&amp;CHOOSE(MIN(4,COUNTIF($C$18:C139,C139)),"st","nd","rd","th"),"")</f>
        <v/>
      </c>
    </row>
    <row r="140" spans="8:14" x14ac:dyDescent="0.25">
      <c r="H140" s="201" t="str">
        <f t="shared" si="1"/>
        <v/>
      </c>
      <c r="N140" s="164" t="str">
        <f>IFERROR(COUNTIF($C$18:C140,C140)&amp;CHOOSE(MIN(4,COUNTIF($C$18:C140,C140)),"st","nd","rd","th"),"")</f>
        <v/>
      </c>
    </row>
    <row r="141" spans="8:14" x14ac:dyDescent="0.25">
      <c r="H141" s="201" t="str">
        <f t="shared" si="1"/>
        <v/>
      </c>
      <c r="N141" s="164" t="str">
        <f>IFERROR(COUNTIF($C$18:C141,C141)&amp;CHOOSE(MIN(4,COUNTIF($C$18:C141,C141)),"st","nd","rd","th"),"")</f>
        <v/>
      </c>
    </row>
    <row r="142" spans="8:14" x14ac:dyDescent="0.25">
      <c r="H142" s="201" t="str">
        <f t="shared" si="1"/>
        <v/>
      </c>
      <c r="N142" s="164" t="str">
        <f>IFERROR(COUNTIF($C$18:C142,C142)&amp;CHOOSE(MIN(4,COUNTIF($C$18:C142,C142)),"st","nd","rd","th"),"")</f>
        <v/>
      </c>
    </row>
    <row r="143" spans="8:14" x14ac:dyDescent="0.25">
      <c r="H143" s="201" t="str">
        <f t="shared" si="1"/>
        <v/>
      </c>
      <c r="N143" s="164" t="str">
        <f>IFERROR(COUNTIF($C$18:C143,C143)&amp;CHOOSE(MIN(4,COUNTIF($C$18:C143,C143)),"st","nd","rd","th"),"")</f>
        <v/>
      </c>
    </row>
    <row r="144" spans="8:14" x14ac:dyDescent="0.25">
      <c r="H144" s="201" t="str">
        <f t="shared" si="1"/>
        <v/>
      </c>
      <c r="N144" s="164" t="str">
        <f>IFERROR(COUNTIF($C$18:C144,C144)&amp;CHOOSE(MIN(4,COUNTIF($C$18:C144,C144)),"st","nd","rd","th"),"")</f>
        <v/>
      </c>
    </row>
    <row r="145" spans="8:14" x14ac:dyDescent="0.25">
      <c r="H145" s="201" t="str">
        <f t="shared" si="1"/>
        <v/>
      </c>
      <c r="N145" s="164" t="str">
        <f>IFERROR(COUNTIF($C$18:C145,C145)&amp;CHOOSE(MIN(4,COUNTIF($C$18:C145,C145)),"st","nd","rd","th"),"")</f>
        <v/>
      </c>
    </row>
    <row r="146" spans="8:14" x14ac:dyDescent="0.25">
      <c r="H146" s="201" t="str">
        <f t="shared" si="1"/>
        <v/>
      </c>
      <c r="N146" s="164" t="str">
        <f>IFERROR(COUNTIF($C$18:C146,C146)&amp;CHOOSE(MIN(4,COUNTIF($C$18:C146,C146)),"st","nd","rd","th"),"")</f>
        <v/>
      </c>
    </row>
    <row r="147" spans="8:14" x14ac:dyDescent="0.25">
      <c r="H147" s="201" t="str">
        <f t="shared" ref="H147:H210" si="2">IF(OR(ISBLANK(G147), ISBLANK(F147)), "", IF(G147=F147, 1, SUM(_xlfn.DAYS(G147, F147), 1)))</f>
        <v/>
      </c>
      <c r="N147" s="164" t="str">
        <f>IFERROR(COUNTIF($C$18:C147,C147)&amp;CHOOSE(MIN(4,COUNTIF($C$18:C147,C147)),"st","nd","rd","th"),"")</f>
        <v/>
      </c>
    </row>
    <row r="148" spans="8:14" x14ac:dyDescent="0.25">
      <c r="H148" s="201" t="str">
        <f t="shared" si="2"/>
        <v/>
      </c>
      <c r="N148" s="164" t="str">
        <f>IFERROR(COUNTIF($C$18:C148,C148)&amp;CHOOSE(MIN(4,COUNTIF($C$18:C148,C148)),"st","nd","rd","th"),"")</f>
        <v/>
      </c>
    </row>
    <row r="149" spans="8:14" x14ac:dyDescent="0.25">
      <c r="H149" s="201" t="str">
        <f t="shared" si="2"/>
        <v/>
      </c>
      <c r="N149" s="164" t="str">
        <f>IFERROR(COUNTIF($C$18:C149,C149)&amp;CHOOSE(MIN(4,COUNTIF($C$18:C149,C149)),"st","nd","rd","th"),"")</f>
        <v/>
      </c>
    </row>
    <row r="150" spans="8:14" x14ac:dyDescent="0.25">
      <c r="H150" s="201" t="str">
        <f t="shared" si="2"/>
        <v/>
      </c>
      <c r="N150" s="164" t="str">
        <f>IFERROR(COUNTIF($C$18:C150,C150)&amp;CHOOSE(MIN(4,COUNTIF($C$18:C150,C150)),"st","nd","rd","th"),"")</f>
        <v/>
      </c>
    </row>
    <row r="151" spans="8:14" x14ac:dyDescent="0.25">
      <c r="H151" s="201" t="str">
        <f t="shared" si="2"/>
        <v/>
      </c>
      <c r="N151" s="164" t="str">
        <f>IFERROR(COUNTIF($C$18:C151,C151)&amp;CHOOSE(MIN(4,COUNTIF($C$18:C151,C151)),"st","nd","rd","th"),"")</f>
        <v/>
      </c>
    </row>
    <row r="152" spans="8:14" x14ac:dyDescent="0.25">
      <c r="H152" s="201" t="str">
        <f t="shared" si="2"/>
        <v/>
      </c>
      <c r="N152" s="164" t="str">
        <f>IFERROR(COUNTIF($C$18:C152,C152)&amp;CHOOSE(MIN(4,COUNTIF($C$18:C152,C152)),"st","nd","rd","th"),"")</f>
        <v/>
      </c>
    </row>
    <row r="153" spans="8:14" x14ac:dyDescent="0.25">
      <c r="H153" s="201" t="str">
        <f t="shared" si="2"/>
        <v/>
      </c>
      <c r="N153" s="164" t="str">
        <f>IFERROR(COUNTIF($C$18:C153,C153)&amp;CHOOSE(MIN(4,COUNTIF($C$18:C153,C153)),"st","nd","rd","th"),"")</f>
        <v/>
      </c>
    </row>
    <row r="154" spans="8:14" x14ac:dyDescent="0.25">
      <c r="H154" s="201" t="str">
        <f t="shared" si="2"/>
        <v/>
      </c>
      <c r="N154" s="164" t="str">
        <f>IFERROR(COUNTIF($C$18:C154,C154)&amp;CHOOSE(MIN(4,COUNTIF($C$18:C154,C154)),"st","nd","rd","th"),"")</f>
        <v/>
      </c>
    </row>
    <row r="155" spans="8:14" x14ac:dyDescent="0.25">
      <c r="H155" s="201" t="str">
        <f t="shared" si="2"/>
        <v/>
      </c>
      <c r="N155" s="164" t="str">
        <f>IFERROR(COUNTIF($C$18:C155,C155)&amp;CHOOSE(MIN(4,COUNTIF($C$18:C155,C155)),"st","nd","rd","th"),"")</f>
        <v/>
      </c>
    </row>
    <row r="156" spans="8:14" x14ac:dyDescent="0.25">
      <c r="H156" s="201" t="str">
        <f t="shared" si="2"/>
        <v/>
      </c>
      <c r="N156" s="164" t="str">
        <f>IFERROR(COUNTIF($C$18:C156,C156)&amp;CHOOSE(MIN(4,COUNTIF($C$18:C156,C156)),"st","nd","rd","th"),"")</f>
        <v/>
      </c>
    </row>
    <row r="157" spans="8:14" x14ac:dyDescent="0.25">
      <c r="H157" s="201" t="str">
        <f t="shared" si="2"/>
        <v/>
      </c>
      <c r="N157" s="164" t="str">
        <f>IFERROR(COUNTIF($C$18:C157,C157)&amp;CHOOSE(MIN(4,COUNTIF($C$18:C157,C157)),"st","nd","rd","th"),"")</f>
        <v/>
      </c>
    </row>
    <row r="158" spans="8:14" x14ac:dyDescent="0.25">
      <c r="H158" s="201" t="str">
        <f t="shared" si="2"/>
        <v/>
      </c>
      <c r="N158" s="164" t="str">
        <f>IFERROR(COUNTIF($C$18:C158,C158)&amp;CHOOSE(MIN(4,COUNTIF($C$18:C158,C158)),"st","nd","rd","th"),"")</f>
        <v/>
      </c>
    </row>
    <row r="159" spans="8:14" x14ac:dyDescent="0.25">
      <c r="H159" s="201" t="str">
        <f t="shared" si="2"/>
        <v/>
      </c>
      <c r="N159" s="164" t="str">
        <f>IFERROR(COUNTIF($C$18:C159,C159)&amp;CHOOSE(MIN(4,COUNTIF($C$18:C159,C159)),"st","nd","rd","th"),"")</f>
        <v/>
      </c>
    </row>
    <row r="160" spans="8:14" x14ac:dyDescent="0.25">
      <c r="H160" s="201" t="str">
        <f t="shared" si="2"/>
        <v/>
      </c>
      <c r="N160" s="164" t="str">
        <f>IFERROR(COUNTIF($C$18:C160,C160)&amp;CHOOSE(MIN(4,COUNTIF($C$18:C160,C160)),"st","nd","rd","th"),"")</f>
        <v/>
      </c>
    </row>
    <row r="161" spans="8:14" x14ac:dyDescent="0.25">
      <c r="H161" s="201" t="str">
        <f t="shared" si="2"/>
        <v/>
      </c>
      <c r="N161" s="164" t="str">
        <f>IFERROR(COUNTIF($C$18:C161,C161)&amp;CHOOSE(MIN(4,COUNTIF($C$18:C161,C161)),"st","nd","rd","th"),"")</f>
        <v/>
      </c>
    </row>
    <row r="162" spans="8:14" x14ac:dyDescent="0.25">
      <c r="H162" s="201" t="str">
        <f t="shared" si="2"/>
        <v/>
      </c>
      <c r="N162" s="164" t="str">
        <f>IFERROR(COUNTIF($C$18:C162,C162)&amp;CHOOSE(MIN(4,COUNTIF($C$18:C162,C162)),"st","nd","rd","th"),"")</f>
        <v/>
      </c>
    </row>
    <row r="163" spans="8:14" x14ac:dyDescent="0.25">
      <c r="H163" s="201" t="str">
        <f t="shared" si="2"/>
        <v/>
      </c>
      <c r="N163" s="164" t="str">
        <f>IFERROR(COUNTIF($C$18:C163,C163)&amp;CHOOSE(MIN(4,COUNTIF($C$18:C163,C163)),"st","nd","rd","th"),"")</f>
        <v/>
      </c>
    </row>
    <row r="164" spans="8:14" x14ac:dyDescent="0.25">
      <c r="H164" s="201" t="str">
        <f t="shared" si="2"/>
        <v/>
      </c>
      <c r="N164" s="164" t="str">
        <f>IFERROR(COUNTIF($C$18:C164,C164)&amp;CHOOSE(MIN(4,COUNTIF($C$18:C164,C164)),"st","nd","rd","th"),"")</f>
        <v/>
      </c>
    </row>
    <row r="165" spans="8:14" x14ac:dyDescent="0.25">
      <c r="H165" s="201" t="str">
        <f t="shared" si="2"/>
        <v/>
      </c>
      <c r="N165" s="164" t="str">
        <f>IFERROR(COUNTIF($C$18:C165,C165)&amp;CHOOSE(MIN(4,COUNTIF($C$18:C165,C165)),"st","nd","rd","th"),"")</f>
        <v/>
      </c>
    </row>
    <row r="166" spans="8:14" x14ac:dyDescent="0.25">
      <c r="H166" s="201" t="str">
        <f t="shared" si="2"/>
        <v/>
      </c>
      <c r="N166" s="164" t="str">
        <f>IFERROR(COUNTIF($C$18:C166,C166)&amp;CHOOSE(MIN(4,COUNTIF($C$18:C166,C166)),"st","nd","rd","th"),"")</f>
        <v/>
      </c>
    </row>
    <row r="167" spans="8:14" x14ac:dyDescent="0.25">
      <c r="H167" s="201" t="str">
        <f t="shared" si="2"/>
        <v/>
      </c>
      <c r="N167" s="164" t="str">
        <f>IFERROR(COUNTIF($C$18:C167,C167)&amp;CHOOSE(MIN(4,COUNTIF($C$18:C167,C167)),"st","nd","rd","th"),"")</f>
        <v/>
      </c>
    </row>
    <row r="168" spans="8:14" x14ac:dyDescent="0.25">
      <c r="H168" s="201" t="str">
        <f t="shared" si="2"/>
        <v/>
      </c>
      <c r="N168" s="164" t="str">
        <f>IFERROR(COUNTIF($C$18:C168,C168)&amp;CHOOSE(MIN(4,COUNTIF($C$18:C168,C168)),"st","nd","rd","th"),"")</f>
        <v/>
      </c>
    </row>
    <row r="169" spans="8:14" x14ac:dyDescent="0.25">
      <c r="H169" s="201" t="str">
        <f t="shared" si="2"/>
        <v/>
      </c>
      <c r="N169" s="164" t="str">
        <f>IFERROR(COUNTIF($C$18:C169,C169)&amp;CHOOSE(MIN(4,COUNTIF($C$18:C169,C169)),"st","nd","rd","th"),"")</f>
        <v/>
      </c>
    </row>
    <row r="170" spans="8:14" x14ac:dyDescent="0.25">
      <c r="H170" s="201" t="str">
        <f t="shared" si="2"/>
        <v/>
      </c>
      <c r="N170" s="164" t="str">
        <f>IFERROR(COUNTIF($C$18:C170,C170)&amp;CHOOSE(MIN(4,COUNTIF($C$18:C170,C170)),"st","nd","rd","th"),"")</f>
        <v/>
      </c>
    </row>
    <row r="171" spans="8:14" x14ac:dyDescent="0.25">
      <c r="H171" s="201" t="str">
        <f t="shared" si="2"/>
        <v/>
      </c>
      <c r="N171" s="164" t="str">
        <f>IFERROR(COUNTIF($C$18:C171,C171)&amp;CHOOSE(MIN(4,COUNTIF($C$18:C171,C171)),"st","nd","rd","th"),"")</f>
        <v/>
      </c>
    </row>
    <row r="172" spans="8:14" x14ac:dyDescent="0.25">
      <c r="H172" s="201" t="str">
        <f t="shared" si="2"/>
        <v/>
      </c>
      <c r="N172" s="164" t="str">
        <f>IFERROR(COUNTIF($C$18:C172,C172)&amp;CHOOSE(MIN(4,COUNTIF($C$18:C172,C172)),"st","nd","rd","th"),"")</f>
        <v/>
      </c>
    </row>
    <row r="173" spans="8:14" x14ac:dyDescent="0.25">
      <c r="H173" s="201" t="str">
        <f t="shared" si="2"/>
        <v/>
      </c>
      <c r="N173" s="164" t="str">
        <f>IFERROR(COUNTIF($C$18:C173,C173)&amp;CHOOSE(MIN(4,COUNTIF($C$18:C173,C173)),"st","nd","rd","th"),"")</f>
        <v/>
      </c>
    </row>
    <row r="174" spans="8:14" x14ac:dyDescent="0.25">
      <c r="H174" s="201" t="str">
        <f t="shared" si="2"/>
        <v/>
      </c>
      <c r="N174" s="164" t="str">
        <f>IFERROR(COUNTIF($C$18:C174,C174)&amp;CHOOSE(MIN(4,COUNTIF($C$18:C174,C174)),"st","nd","rd","th"),"")</f>
        <v/>
      </c>
    </row>
    <row r="175" spans="8:14" x14ac:dyDescent="0.25">
      <c r="H175" s="201" t="str">
        <f t="shared" si="2"/>
        <v/>
      </c>
      <c r="N175" s="164" t="str">
        <f>IFERROR(COUNTIF($C$18:C175,C175)&amp;CHOOSE(MIN(4,COUNTIF($C$18:C175,C175)),"st","nd","rd","th"),"")</f>
        <v/>
      </c>
    </row>
    <row r="176" spans="8:14" x14ac:dyDescent="0.25">
      <c r="H176" s="201" t="str">
        <f t="shared" si="2"/>
        <v/>
      </c>
      <c r="N176" s="164" t="str">
        <f>IFERROR(COUNTIF($C$18:C176,C176)&amp;CHOOSE(MIN(4,COUNTIF($C$18:C176,C176)),"st","nd","rd","th"),"")</f>
        <v/>
      </c>
    </row>
    <row r="177" spans="8:14" x14ac:dyDescent="0.25">
      <c r="H177" s="201" t="str">
        <f t="shared" si="2"/>
        <v/>
      </c>
      <c r="N177" s="164" t="str">
        <f>IFERROR(COUNTIF($C$18:C177,C177)&amp;CHOOSE(MIN(4,COUNTIF($C$18:C177,C177)),"st","nd","rd","th"),"")</f>
        <v/>
      </c>
    </row>
    <row r="178" spans="8:14" x14ac:dyDescent="0.25">
      <c r="H178" s="201" t="str">
        <f t="shared" si="2"/>
        <v/>
      </c>
      <c r="N178" s="164" t="str">
        <f>IFERROR(COUNTIF($C$18:C178,C178)&amp;CHOOSE(MIN(4,COUNTIF($C$18:C178,C178)),"st","nd","rd","th"),"")</f>
        <v/>
      </c>
    </row>
    <row r="179" spans="8:14" x14ac:dyDescent="0.25">
      <c r="H179" s="201" t="str">
        <f t="shared" si="2"/>
        <v/>
      </c>
      <c r="N179" s="164" t="str">
        <f>IFERROR(COUNTIF($C$18:C179,C179)&amp;CHOOSE(MIN(4,COUNTIF($C$18:C179,C179)),"st","nd","rd","th"),"")</f>
        <v/>
      </c>
    </row>
    <row r="180" spans="8:14" x14ac:dyDescent="0.25">
      <c r="H180" s="201" t="str">
        <f t="shared" si="2"/>
        <v/>
      </c>
      <c r="N180" s="164" t="str">
        <f>IFERROR(COUNTIF($C$18:C180,C180)&amp;CHOOSE(MIN(4,COUNTIF($C$18:C180,C180)),"st","nd","rd","th"),"")</f>
        <v/>
      </c>
    </row>
    <row r="181" spans="8:14" x14ac:dyDescent="0.25">
      <c r="H181" s="201" t="str">
        <f t="shared" si="2"/>
        <v/>
      </c>
      <c r="N181" s="164" t="str">
        <f>IFERROR(COUNTIF($C$18:C181,C181)&amp;CHOOSE(MIN(4,COUNTIF($C$18:C181,C181)),"st","nd","rd","th"),"")</f>
        <v/>
      </c>
    </row>
    <row r="182" spans="8:14" x14ac:dyDescent="0.25">
      <c r="H182" s="201" t="str">
        <f t="shared" si="2"/>
        <v/>
      </c>
      <c r="N182" s="164" t="str">
        <f>IFERROR(COUNTIF($C$18:C182,C182)&amp;CHOOSE(MIN(4,COUNTIF($C$18:C182,C182)),"st","nd","rd","th"),"")</f>
        <v/>
      </c>
    </row>
    <row r="183" spans="8:14" x14ac:dyDescent="0.25">
      <c r="H183" s="201" t="str">
        <f t="shared" si="2"/>
        <v/>
      </c>
      <c r="N183" s="164" t="str">
        <f>IFERROR(COUNTIF($C$18:C183,C183)&amp;CHOOSE(MIN(4,COUNTIF($C$18:C183,C183)),"st","nd","rd","th"),"")</f>
        <v/>
      </c>
    </row>
    <row r="184" spans="8:14" x14ac:dyDescent="0.25">
      <c r="H184" s="201" t="str">
        <f t="shared" si="2"/>
        <v/>
      </c>
      <c r="N184" s="164" t="str">
        <f>IFERROR(COUNTIF($C$18:C184,C184)&amp;CHOOSE(MIN(4,COUNTIF($C$18:C184,C184)),"st","nd","rd","th"),"")</f>
        <v/>
      </c>
    </row>
    <row r="185" spans="8:14" x14ac:dyDescent="0.25">
      <c r="H185" s="201" t="str">
        <f t="shared" si="2"/>
        <v/>
      </c>
      <c r="N185" s="164" t="str">
        <f>IFERROR(COUNTIF($C$18:C185,C185)&amp;CHOOSE(MIN(4,COUNTIF($C$18:C185,C185)),"st","nd","rd","th"),"")</f>
        <v/>
      </c>
    </row>
    <row r="186" spans="8:14" x14ac:dyDescent="0.25">
      <c r="H186" s="201" t="str">
        <f t="shared" si="2"/>
        <v/>
      </c>
      <c r="N186" s="164" t="str">
        <f>IFERROR(COUNTIF($C$18:C186,C186)&amp;CHOOSE(MIN(4,COUNTIF($C$18:C186,C186)),"st","nd","rd","th"),"")</f>
        <v/>
      </c>
    </row>
    <row r="187" spans="8:14" x14ac:dyDescent="0.25">
      <c r="H187" s="201" t="str">
        <f t="shared" si="2"/>
        <v/>
      </c>
      <c r="N187" s="164" t="str">
        <f>IFERROR(COUNTIF($C$18:C187,C187)&amp;CHOOSE(MIN(4,COUNTIF($C$18:C187,C187)),"st","nd","rd","th"),"")</f>
        <v/>
      </c>
    </row>
    <row r="188" spans="8:14" x14ac:dyDescent="0.25">
      <c r="H188" s="201" t="str">
        <f t="shared" si="2"/>
        <v/>
      </c>
      <c r="N188" s="164" t="str">
        <f>IFERROR(COUNTIF($C$18:C188,C188)&amp;CHOOSE(MIN(4,COUNTIF($C$18:C188,C188)),"st","nd","rd","th"),"")</f>
        <v/>
      </c>
    </row>
    <row r="189" spans="8:14" x14ac:dyDescent="0.25">
      <c r="H189" s="201" t="str">
        <f t="shared" si="2"/>
        <v/>
      </c>
      <c r="N189" s="164" t="str">
        <f>IFERROR(COUNTIF($C$18:C189,C189)&amp;CHOOSE(MIN(4,COUNTIF($C$18:C189,C189)),"st","nd","rd","th"),"")</f>
        <v/>
      </c>
    </row>
    <row r="190" spans="8:14" x14ac:dyDescent="0.25">
      <c r="H190" s="201" t="str">
        <f t="shared" si="2"/>
        <v/>
      </c>
      <c r="N190" s="164" t="str">
        <f>IFERROR(COUNTIF($C$18:C190,C190)&amp;CHOOSE(MIN(4,COUNTIF($C$18:C190,C190)),"st","nd","rd","th"),"")</f>
        <v/>
      </c>
    </row>
    <row r="191" spans="8:14" x14ac:dyDescent="0.25">
      <c r="H191" s="201" t="str">
        <f t="shared" si="2"/>
        <v/>
      </c>
      <c r="N191" s="164" t="str">
        <f>IFERROR(COUNTIF($C$18:C191,C191)&amp;CHOOSE(MIN(4,COUNTIF($C$18:C191,C191)),"st","nd","rd","th"),"")</f>
        <v/>
      </c>
    </row>
    <row r="192" spans="8:14" x14ac:dyDescent="0.25">
      <c r="H192" s="201" t="str">
        <f t="shared" si="2"/>
        <v/>
      </c>
      <c r="N192" s="164" t="str">
        <f>IFERROR(COUNTIF($C$18:C192,C192)&amp;CHOOSE(MIN(4,COUNTIF($C$18:C192,C192)),"st","nd","rd","th"),"")</f>
        <v/>
      </c>
    </row>
    <row r="193" spans="8:14" x14ac:dyDescent="0.25">
      <c r="H193" s="201" t="str">
        <f t="shared" si="2"/>
        <v/>
      </c>
      <c r="N193" s="164" t="str">
        <f>IFERROR(COUNTIF($C$18:C193,C193)&amp;CHOOSE(MIN(4,COUNTIF($C$18:C193,C193)),"st","nd","rd","th"),"")</f>
        <v/>
      </c>
    </row>
    <row r="194" spans="8:14" x14ac:dyDescent="0.25">
      <c r="H194" s="201" t="str">
        <f t="shared" si="2"/>
        <v/>
      </c>
      <c r="N194" s="164" t="str">
        <f>IFERROR(COUNTIF($C$18:C194,C194)&amp;CHOOSE(MIN(4,COUNTIF($C$18:C194,C194)),"st","nd","rd","th"),"")</f>
        <v/>
      </c>
    </row>
    <row r="195" spans="8:14" x14ac:dyDescent="0.25">
      <c r="H195" s="201" t="str">
        <f t="shared" si="2"/>
        <v/>
      </c>
      <c r="N195" s="164" t="str">
        <f>IFERROR(COUNTIF($C$18:C195,C195)&amp;CHOOSE(MIN(4,COUNTIF($C$18:C195,C195)),"st","nd","rd","th"),"")</f>
        <v/>
      </c>
    </row>
    <row r="196" spans="8:14" x14ac:dyDescent="0.25">
      <c r="H196" s="201" t="str">
        <f t="shared" si="2"/>
        <v/>
      </c>
      <c r="N196" s="164" t="str">
        <f>IFERROR(COUNTIF($C$18:C196,C196)&amp;CHOOSE(MIN(4,COUNTIF($C$18:C196,C196)),"st","nd","rd","th"),"")</f>
        <v/>
      </c>
    </row>
    <row r="197" spans="8:14" x14ac:dyDescent="0.25">
      <c r="H197" s="201" t="str">
        <f t="shared" si="2"/>
        <v/>
      </c>
      <c r="N197" s="164" t="str">
        <f>IFERROR(COUNTIF($C$18:C197,C197)&amp;CHOOSE(MIN(4,COUNTIF($C$18:C197,C197)),"st","nd","rd","th"),"")</f>
        <v/>
      </c>
    </row>
    <row r="198" spans="8:14" x14ac:dyDescent="0.25">
      <c r="H198" s="201" t="str">
        <f t="shared" si="2"/>
        <v/>
      </c>
      <c r="N198" s="164" t="str">
        <f>IFERROR(COUNTIF($C$18:C198,C198)&amp;CHOOSE(MIN(4,COUNTIF($C$18:C198,C198)),"st","nd","rd","th"),"")</f>
        <v/>
      </c>
    </row>
    <row r="199" spans="8:14" x14ac:dyDescent="0.25">
      <c r="H199" s="201" t="str">
        <f t="shared" si="2"/>
        <v/>
      </c>
      <c r="N199" s="164" t="str">
        <f>IFERROR(COUNTIF($C$18:C199,C199)&amp;CHOOSE(MIN(4,COUNTIF($C$18:C199,C199)),"st","nd","rd","th"),"")</f>
        <v/>
      </c>
    </row>
    <row r="200" spans="8:14" x14ac:dyDescent="0.25">
      <c r="H200" s="201" t="str">
        <f t="shared" si="2"/>
        <v/>
      </c>
      <c r="N200" s="164" t="str">
        <f>IFERROR(COUNTIF($C$18:C200,C200)&amp;CHOOSE(MIN(4,COUNTIF($C$18:C200,C200)),"st","nd","rd","th"),"")</f>
        <v/>
      </c>
    </row>
    <row r="201" spans="8:14" x14ac:dyDescent="0.25">
      <c r="H201" s="201" t="str">
        <f t="shared" si="2"/>
        <v/>
      </c>
      <c r="N201" s="164" t="str">
        <f>IFERROR(COUNTIF($C$18:C201,C201)&amp;CHOOSE(MIN(4,COUNTIF($C$18:C201,C201)),"st","nd","rd","th"),"")</f>
        <v/>
      </c>
    </row>
    <row r="202" spans="8:14" x14ac:dyDescent="0.25">
      <c r="H202" s="201" t="str">
        <f t="shared" si="2"/>
        <v/>
      </c>
      <c r="N202" s="164" t="str">
        <f>IFERROR(COUNTIF($C$18:C202,C202)&amp;CHOOSE(MIN(4,COUNTIF($C$18:C202,C202)),"st","nd","rd","th"),"")</f>
        <v/>
      </c>
    </row>
    <row r="203" spans="8:14" x14ac:dyDescent="0.25">
      <c r="H203" s="201" t="str">
        <f t="shared" si="2"/>
        <v/>
      </c>
      <c r="N203" s="164" t="str">
        <f>IFERROR(COUNTIF($C$18:C203,C203)&amp;CHOOSE(MIN(4,COUNTIF($C$18:C203,C203)),"st","nd","rd","th"),"")</f>
        <v/>
      </c>
    </row>
    <row r="204" spans="8:14" x14ac:dyDescent="0.25">
      <c r="H204" s="201" t="str">
        <f t="shared" si="2"/>
        <v/>
      </c>
      <c r="N204" s="164" t="str">
        <f>IFERROR(COUNTIF($C$18:C204,C204)&amp;CHOOSE(MIN(4,COUNTIF($C$18:C204,C204)),"st","nd","rd","th"),"")</f>
        <v/>
      </c>
    </row>
    <row r="205" spans="8:14" x14ac:dyDescent="0.25">
      <c r="H205" s="201" t="str">
        <f t="shared" si="2"/>
        <v/>
      </c>
      <c r="N205" s="164" t="str">
        <f>IFERROR(COUNTIF($C$18:C205,C205)&amp;CHOOSE(MIN(4,COUNTIF($C$18:C205,C205)),"st","nd","rd","th"),"")</f>
        <v/>
      </c>
    </row>
    <row r="206" spans="8:14" x14ac:dyDescent="0.25">
      <c r="H206" s="201" t="str">
        <f t="shared" si="2"/>
        <v/>
      </c>
      <c r="N206" s="164" t="str">
        <f>IFERROR(COUNTIF($C$18:C206,C206)&amp;CHOOSE(MIN(4,COUNTIF($C$18:C206,C206)),"st","nd","rd","th"),"")</f>
        <v/>
      </c>
    </row>
    <row r="207" spans="8:14" x14ac:dyDescent="0.25">
      <c r="H207" s="201" t="str">
        <f t="shared" si="2"/>
        <v/>
      </c>
      <c r="N207" s="164" t="str">
        <f>IFERROR(COUNTIF($C$18:C207,C207)&amp;CHOOSE(MIN(4,COUNTIF($C$18:C207,C207)),"st","nd","rd","th"),"")</f>
        <v/>
      </c>
    </row>
    <row r="208" spans="8:14" x14ac:dyDescent="0.25">
      <c r="H208" s="201" t="str">
        <f t="shared" si="2"/>
        <v/>
      </c>
      <c r="N208" s="164" t="str">
        <f>IFERROR(COUNTIF($C$18:C208,C208)&amp;CHOOSE(MIN(4,COUNTIF($C$18:C208,C208)),"st","nd","rd","th"),"")</f>
        <v/>
      </c>
    </row>
    <row r="209" spans="8:14" x14ac:dyDescent="0.25">
      <c r="H209" s="201" t="str">
        <f t="shared" si="2"/>
        <v/>
      </c>
      <c r="N209" s="164" t="str">
        <f>IFERROR(COUNTIF($C$18:C209,C209)&amp;CHOOSE(MIN(4,COUNTIF($C$18:C209,C209)),"st","nd","rd","th"),"")</f>
        <v/>
      </c>
    </row>
    <row r="210" spans="8:14" x14ac:dyDescent="0.25">
      <c r="H210" s="201" t="str">
        <f t="shared" si="2"/>
        <v/>
      </c>
      <c r="N210" s="164" t="str">
        <f>IFERROR(COUNTIF($C$18:C210,C210)&amp;CHOOSE(MIN(4,COUNTIF($C$18:C210,C210)),"st","nd","rd","th"),"")</f>
        <v/>
      </c>
    </row>
    <row r="211" spans="8:14" x14ac:dyDescent="0.25">
      <c r="H211" s="201" t="str">
        <f t="shared" ref="H211:H274" si="3">IF(OR(ISBLANK(G211), ISBLANK(F211)), "", IF(G211=F211, 1, SUM(_xlfn.DAYS(G211, F211), 1)))</f>
        <v/>
      </c>
      <c r="N211" s="164" t="str">
        <f>IFERROR(COUNTIF($C$18:C211,C211)&amp;CHOOSE(MIN(4,COUNTIF($C$18:C211,C211)),"st","nd","rd","th"),"")</f>
        <v/>
      </c>
    </row>
    <row r="212" spans="8:14" x14ac:dyDescent="0.25">
      <c r="H212" s="201" t="str">
        <f t="shared" si="3"/>
        <v/>
      </c>
      <c r="N212" s="164" t="str">
        <f>IFERROR(COUNTIF($C$18:C212,C212)&amp;CHOOSE(MIN(4,COUNTIF($C$18:C212,C212)),"st","nd","rd","th"),"")</f>
        <v/>
      </c>
    </row>
    <row r="213" spans="8:14" x14ac:dyDescent="0.25">
      <c r="H213" s="201" t="str">
        <f t="shared" si="3"/>
        <v/>
      </c>
      <c r="N213" s="164" t="str">
        <f>IFERROR(COUNTIF($C$18:C213,C213)&amp;CHOOSE(MIN(4,COUNTIF($C$18:C213,C213)),"st","nd","rd","th"),"")</f>
        <v/>
      </c>
    </row>
    <row r="214" spans="8:14" x14ac:dyDescent="0.25">
      <c r="H214" s="201" t="str">
        <f t="shared" si="3"/>
        <v/>
      </c>
      <c r="N214" s="164" t="str">
        <f>IFERROR(COUNTIF($C$18:C214,C214)&amp;CHOOSE(MIN(4,COUNTIF($C$18:C214,C214)),"st","nd","rd","th"),"")</f>
        <v/>
      </c>
    </row>
    <row r="215" spans="8:14" x14ac:dyDescent="0.25">
      <c r="H215" s="201" t="str">
        <f t="shared" si="3"/>
        <v/>
      </c>
      <c r="N215" s="164" t="str">
        <f>IFERROR(COUNTIF($C$18:C215,C215)&amp;CHOOSE(MIN(4,COUNTIF($C$18:C215,C215)),"st","nd","rd","th"),"")</f>
        <v/>
      </c>
    </row>
    <row r="216" spans="8:14" x14ac:dyDescent="0.25">
      <c r="H216" s="201" t="str">
        <f t="shared" si="3"/>
        <v/>
      </c>
      <c r="N216" s="164" t="str">
        <f>IFERROR(COUNTIF($C$18:C216,C216)&amp;CHOOSE(MIN(4,COUNTIF($C$18:C216,C216)),"st","nd","rd","th"),"")</f>
        <v/>
      </c>
    </row>
    <row r="217" spans="8:14" x14ac:dyDescent="0.25">
      <c r="H217" s="201" t="str">
        <f t="shared" si="3"/>
        <v/>
      </c>
      <c r="N217" s="164" t="str">
        <f>IFERROR(COUNTIF($C$18:C217,C217)&amp;CHOOSE(MIN(4,COUNTIF($C$18:C217,C217)),"st","nd","rd","th"),"")</f>
        <v/>
      </c>
    </row>
    <row r="218" spans="8:14" x14ac:dyDescent="0.25">
      <c r="H218" s="201" t="str">
        <f t="shared" si="3"/>
        <v/>
      </c>
      <c r="N218" s="164" t="str">
        <f>IFERROR(COUNTIF($C$18:C218,C218)&amp;CHOOSE(MIN(4,COUNTIF($C$18:C218,C218)),"st","nd","rd","th"),"")</f>
        <v/>
      </c>
    </row>
    <row r="219" spans="8:14" x14ac:dyDescent="0.25">
      <c r="H219" s="201" t="str">
        <f t="shared" si="3"/>
        <v/>
      </c>
      <c r="N219" s="164" t="str">
        <f>IFERROR(COUNTIF($C$18:C219,C219)&amp;CHOOSE(MIN(4,COUNTIF($C$18:C219,C219)),"st","nd","rd","th"),"")</f>
        <v/>
      </c>
    </row>
    <row r="220" spans="8:14" x14ac:dyDescent="0.25">
      <c r="H220" s="201" t="str">
        <f t="shared" si="3"/>
        <v/>
      </c>
      <c r="N220" s="164" t="str">
        <f>IFERROR(COUNTIF($C$18:C220,C220)&amp;CHOOSE(MIN(4,COUNTIF($C$18:C220,C220)),"st","nd","rd","th"),"")</f>
        <v/>
      </c>
    </row>
    <row r="221" spans="8:14" x14ac:dyDescent="0.25">
      <c r="H221" s="201" t="str">
        <f t="shared" si="3"/>
        <v/>
      </c>
      <c r="N221" s="164" t="str">
        <f>IFERROR(COUNTIF($C$18:C221,C221)&amp;CHOOSE(MIN(4,COUNTIF($C$18:C221,C221)),"st","nd","rd","th"),"")</f>
        <v/>
      </c>
    </row>
    <row r="222" spans="8:14" x14ac:dyDescent="0.25">
      <c r="H222" s="201" t="str">
        <f t="shared" si="3"/>
        <v/>
      </c>
      <c r="N222" s="164" t="str">
        <f>IFERROR(COUNTIF($C$18:C222,C222)&amp;CHOOSE(MIN(4,COUNTIF($C$18:C222,C222)),"st","nd","rd","th"),"")</f>
        <v/>
      </c>
    </row>
    <row r="223" spans="8:14" x14ac:dyDescent="0.25">
      <c r="H223" s="201" t="str">
        <f t="shared" si="3"/>
        <v/>
      </c>
      <c r="N223" s="164" t="str">
        <f>IFERROR(COUNTIF($C$18:C223,C223)&amp;CHOOSE(MIN(4,COUNTIF($C$18:C223,C223)),"st","nd","rd","th"),"")</f>
        <v/>
      </c>
    </row>
    <row r="224" spans="8:14" x14ac:dyDescent="0.25">
      <c r="H224" s="201" t="str">
        <f t="shared" si="3"/>
        <v/>
      </c>
      <c r="N224" s="164" t="str">
        <f>IFERROR(COUNTIF($C$18:C224,C224)&amp;CHOOSE(MIN(4,COUNTIF($C$18:C224,C224)),"st","nd","rd","th"),"")</f>
        <v/>
      </c>
    </row>
    <row r="225" spans="8:14" x14ac:dyDescent="0.25">
      <c r="H225" s="201" t="str">
        <f t="shared" si="3"/>
        <v/>
      </c>
      <c r="N225" s="164" t="str">
        <f>IFERROR(COUNTIF($C$18:C225,C225)&amp;CHOOSE(MIN(4,COUNTIF($C$18:C225,C225)),"st","nd","rd","th"),"")</f>
        <v/>
      </c>
    </row>
    <row r="226" spans="8:14" x14ac:dyDescent="0.25">
      <c r="H226" s="201" t="str">
        <f t="shared" si="3"/>
        <v/>
      </c>
      <c r="N226" s="164" t="str">
        <f>IFERROR(COUNTIF($C$18:C226,C226)&amp;CHOOSE(MIN(4,COUNTIF($C$18:C226,C226)),"st","nd","rd","th"),"")</f>
        <v/>
      </c>
    </row>
    <row r="227" spans="8:14" x14ac:dyDescent="0.25">
      <c r="H227" s="201" t="str">
        <f t="shared" si="3"/>
        <v/>
      </c>
      <c r="N227" s="164" t="str">
        <f>IFERROR(COUNTIF($C$18:C227,C227)&amp;CHOOSE(MIN(4,COUNTIF($C$18:C227,C227)),"st","nd","rd","th"),"")</f>
        <v/>
      </c>
    </row>
    <row r="228" spans="8:14" x14ac:dyDescent="0.25">
      <c r="H228" s="201" t="str">
        <f t="shared" si="3"/>
        <v/>
      </c>
      <c r="N228" s="164" t="str">
        <f>IFERROR(COUNTIF($C$18:C228,C228)&amp;CHOOSE(MIN(4,COUNTIF($C$18:C228,C228)),"st","nd","rd","th"),"")</f>
        <v/>
      </c>
    </row>
    <row r="229" spans="8:14" x14ac:dyDescent="0.25">
      <c r="H229" s="201" t="str">
        <f t="shared" si="3"/>
        <v/>
      </c>
      <c r="N229" s="164" t="str">
        <f>IFERROR(COUNTIF($C$18:C229,C229)&amp;CHOOSE(MIN(4,COUNTIF($C$18:C229,C229)),"st","nd","rd","th"),"")</f>
        <v/>
      </c>
    </row>
    <row r="230" spans="8:14" x14ac:dyDescent="0.25">
      <c r="H230" s="201" t="str">
        <f t="shared" si="3"/>
        <v/>
      </c>
      <c r="N230" s="164" t="str">
        <f>IFERROR(COUNTIF($C$18:C230,C230)&amp;CHOOSE(MIN(4,COUNTIF($C$18:C230,C230)),"st","nd","rd","th"),"")</f>
        <v/>
      </c>
    </row>
    <row r="231" spans="8:14" x14ac:dyDescent="0.25">
      <c r="H231" s="201" t="str">
        <f t="shared" si="3"/>
        <v/>
      </c>
      <c r="N231" s="164" t="str">
        <f>IFERROR(COUNTIF($C$18:C231,C231)&amp;CHOOSE(MIN(4,COUNTIF($C$18:C231,C231)),"st","nd","rd","th"),"")</f>
        <v/>
      </c>
    </row>
    <row r="232" spans="8:14" x14ac:dyDescent="0.25">
      <c r="H232" s="201" t="str">
        <f t="shared" si="3"/>
        <v/>
      </c>
      <c r="N232" s="164" t="str">
        <f>IFERROR(COUNTIF($C$18:C232,C232)&amp;CHOOSE(MIN(4,COUNTIF($C$18:C232,C232)),"st","nd","rd","th"),"")</f>
        <v/>
      </c>
    </row>
    <row r="233" spans="8:14" x14ac:dyDescent="0.25">
      <c r="H233" s="201" t="str">
        <f t="shared" si="3"/>
        <v/>
      </c>
      <c r="N233" s="164" t="str">
        <f>IFERROR(COUNTIF($C$18:C233,C233)&amp;CHOOSE(MIN(4,COUNTIF($C$18:C233,C233)),"st","nd","rd","th"),"")</f>
        <v/>
      </c>
    </row>
    <row r="234" spans="8:14" x14ac:dyDescent="0.25">
      <c r="H234" s="201" t="str">
        <f t="shared" si="3"/>
        <v/>
      </c>
      <c r="N234" s="164" t="str">
        <f>IFERROR(COUNTIF($C$18:C234,C234)&amp;CHOOSE(MIN(4,COUNTIF($C$18:C234,C234)),"st","nd","rd","th"),"")</f>
        <v/>
      </c>
    </row>
    <row r="235" spans="8:14" x14ac:dyDescent="0.25">
      <c r="H235" s="201" t="str">
        <f t="shared" si="3"/>
        <v/>
      </c>
      <c r="N235" s="164" t="str">
        <f>IFERROR(COUNTIF($C$18:C235,C235)&amp;CHOOSE(MIN(4,COUNTIF($C$18:C235,C235)),"st","nd","rd","th"),"")</f>
        <v/>
      </c>
    </row>
    <row r="236" spans="8:14" x14ac:dyDescent="0.25">
      <c r="H236" s="201" t="str">
        <f t="shared" si="3"/>
        <v/>
      </c>
      <c r="N236" s="164" t="str">
        <f>IFERROR(COUNTIF($C$18:C236,C236)&amp;CHOOSE(MIN(4,COUNTIF($C$18:C236,C236)),"st","nd","rd","th"),"")</f>
        <v/>
      </c>
    </row>
    <row r="237" spans="8:14" x14ac:dyDescent="0.25">
      <c r="H237" s="201" t="str">
        <f t="shared" si="3"/>
        <v/>
      </c>
      <c r="N237" s="164" t="str">
        <f>IFERROR(COUNTIF($C$18:C237,C237)&amp;CHOOSE(MIN(4,COUNTIF($C$18:C237,C237)),"st","nd","rd","th"),"")</f>
        <v/>
      </c>
    </row>
    <row r="238" spans="8:14" x14ac:dyDescent="0.25">
      <c r="H238" s="201" t="str">
        <f t="shared" si="3"/>
        <v/>
      </c>
      <c r="N238" s="164" t="str">
        <f>IFERROR(COUNTIF($C$18:C238,C238)&amp;CHOOSE(MIN(4,COUNTIF($C$18:C238,C238)),"st","nd","rd","th"),"")</f>
        <v/>
      </c>
    </row>
    <row r="239" spans="8:14" x14ac:dyDescent="0.25">
      <c r="H239" s="201" t="str">
        <f t="shared" si="3"/>
        <v/>
      </c>
      <c r="N239" s="164" t="str">
        <f>IFERROR(COUNTIF($C$18:C239,C239)&amp;CHOOSE(MIN(4,COUNTIF($C$18:C239,C239)),"st","nd","rd","th"),"")</f>
        <v/>
      </c>
    </row>
    <row r="240" spans="8:14" x14ac:dyDescent="0.25">
      <c r="H240" s="201" t="str">
        <f t="shared" si="3"/>
        <v/>
      </c>
      <c r="N240" s="164" t="str">
        <f>IFERROR(COUNTIF($C$18:C240,C240)&amp;CHOOSE(MIN(4,COUNTIF($C$18:C240,C240)),"st","nd","rd","th"),"")</f>
        <v/>
      </c>
    </row>
    <row r="241" spans="8:14" x14ac:dyDescent="0.25">
      <c r="H241" s="201" t="str">
        <f t="shared" si="3"/>
        <v/>
      </c>
      <c r="N241" s="164" t="str">
        <f>IFERROR(COUNTIF($C$18:C241,C241)&amp;CHOOSE(MIN(4,COUNTIF($C$18:C241,C241)),"st","nd","rd","th"),"")</f>
        <v/>
      </c>
    </row>
    <row r="242" spans="8:14" x14ac:dyDescent="0.25">
      <c r="H242" s="201" t="str">
        <f t="shared" si="3"/>
        <v/>
      </c>
      <c r="N242" s="164" t="str">
        <f>IFERROR(COUNTIF($C$18:C242,C242)&amp;CHOOSE(MIN(4,COUNTIF($C$18:C242,C242)),"st","nd","rd","th"),"")</f>
        <v/>
      </c>
    </row>
    <row r="243" spans="8:14" x14ac:dyDescent="0.25">
      <c r="H243" s="201" t="str">
        <f t="shared" si="3"/>
        <v/>
      </c>
      <c r="N243" s="164" t="str">
        <f>IFERROR(COUNTIF($C$18:C243,C243)&amp;CHOOSE(MIN(4,COUNTIF($C$18:C243,C243)),"st","nd","rd","th"),"")</f>
        <v/>
      </c>
    </row>
    <row r="244" spans="8:14" x14ac:dyDescent="0.25">
      <c r="H244" s="201" t="str">
        <f t="shared" si="3"/>
        <v/>
      </c>
      <c r="N244" s="164" t="str">
        <f>IFERROR(COUNTIF($C$18:C244,C244)&amp;CHOOSE(MIN(4,COUNTIF($C$18:C244,C244)),"st","nd","rd","th"),"")</f>
        <v/>
      </c>
    </row>
    <row r="245" spans="8:14" x14ac:dyDescent="0.25">
      <c r="H245" s="201" t="str">
        <f t="shared" si="3"/>
        <v/>
      </c>
      <c r="N245" s="164" t="str">
        <f>IFERROR(COUNTIF($C$18:C245,C245)&amp;CHOOSE(MIN(4,COUNTIF($C$18:C245,C245)),"st","nd","rd","th"),"")</f>
        <v/>
      </c>
    </row>
    <row r="246" spans="8:14" x14ac:dyDescent="0.25">
      <c r="H246" s="201" t="str">
        <f t="shared" si="3"/>
        <v/>
      </c>
      <c r="N246" s="164" t="str">
        <f>IFERROR(COUNTIF($C$18:C246,C246)&amp;CHOOSE(MIN(4,COUNTIF($C$18:C246,C246)),"st","nd","rd","th"),"")</f>
        <v/>
      </c>
    </row>
    <row r="247" spans="8:14" x14ac:dyDescent="0.25">
      <c r="H247" s="201" t="str">
        <f t="shared" si="3"/>
        <v/>
      </c>
      <c r="N247" s="164" t="str">
        <f>IFERROR(COUNTIF($C$18:C247,C247)&amp;CHOOSE(MIN(4,COUNTIF($C$18:C247,C247)),"st","nd","rd","th"),"")</f>
        <v/>
      </c>
    </row>
    <row r="248" spans="8:14" x14ac:dyDescent="0.25">
      <c r="H248" s="201" t="str">
        <f t="shared" si="3"/>
        <v/>
      </c>
      <c r="N248" s="164" t="str">
        <f>IFERROR(COUNTIF($C$18:C248,C248)&amp;CHOOSE(MIN(4,COUNTIF($C$18:C248,C248)),"st","nd","rd","th"),"")</f>
        <v/>
      </c>
    </row>
    <row r="249" spans="8:14" x14ac:dyDescent="0.25">
      <c r="H249" s="201" t="str">
        <f t="shared" si="3"/>
        <v/>
      </c>
      <c r="N249" s="164" t="str">
        <f>IFERROR(COUNTIF($C$18:C249,C249)&amp;CHOOSE(MIN(4,COUNTIF($C$18:C249,C249)),"st","nd","rd","th"),"")</f>
        <v/>
      </c>
    </row>
    <row r="250" spans="8:14" x14ac:dyDescent="0.25">
      <c r="H250" s="201" t="str">
        <f t="shared" si="3"/>
        <v/>
      </c>
      <c r="N250" s="164" t="str">
        <f>IFERROR(COUNTIF($C$18:C250,C250)&amp;CHOOSE(MIN(4,COUNTIF($C$18:C250,C250)),"st","nd","rd","th"),"")</f>
        <v/>
      </c>
    </row>
    <row r="251" spans="8:14" x14ac:dyDescent="0.25">
      <c r="H251" s="201" t="str">
        <f t="shared" si="3"/>
        <v/>
      </c>
      <c r="N251" s="164" t="str">
        <f>IFERROR(COUNTIF($C$18:C251,C251)&amp;CHOOSE(MIN(4,COUNTIF($C$18:C251,C251)),"st","nd","rd","th"),"")</f>
        <v/>
      </c>
    </row>
    <row r="252" spans="8:14" x14ac:dyDescent="0.25">
      <c r="H252" s="201" t="str">
        <f t="shared" si="3"/>
        <v/>
      </c>
      <c r="N252" s="164" t="str">
        <f>IFERROR(COUNTIF($C$18:C252,C252)&amp;CHOOSE(MIN(4,COUNTIF($C$18:C252,C252)),"st","nd","rd","th"),"")</f>
        <v/>
      </c>
    </row>
    <row r="253" spans="8:14" x14ac:dyDescent="0.25">
      <c r="H253" s="201" t="str">
        <f t="shared" si="3"/>
        <v/>
      </c>
      <c r="N253" s="164" t="str">
        <f>IFERROR(COUNTIF($C$18:C253,C253)&amp;CHOOSE(MIN(4,COUNTIF($C$18:C253,C253)),"st","nd","rd","th"),"")</f>
        <v/>
      </c>
    </row>
    <row r="254" spans="8:14" x14ac:dyDescent="0.25">
      <c r="H254" s="201" t="str">
        <f t="shared" si="3"/>
        <v/>
      </c>
      <c r="N254" s="164" t="str">
        <f>IFERROR(COUNTIF($C$18:C254,C254)&amp;CHOOSE(MIN(4,COUNTIF($C$18:C254,C254)),"st","nd","rd","th"),"")</f>
        <v/>
      </c>
    </row>
    <row r="255" spans="8:14" x14ac:dyDescent="0.25">
      <c r="H255" s="201" t="str">
        <f t="shared" si="3"/>
        <v/>
      </c>
      <c r="N255" s="164" t="str">
        <f>IFERROR(COUNTIF($C$18:C255,C255)&amp;CHOOSE(MIN(4,COUNTIF($C$18:C255,C255)),"st","nd","rd","th"),"")</f>
        <v/>
      </c>
    </row>
    <row r="256" spans="8:14" x14ac:dyDescent="0.25">
      <c r="H256" s="201" t="str">
        <f t="shared" si="3"/>
        <v/>
      </c>
      <c r="N256" s="164" t="str">
        <f>IFERROR(COUNTIF($C$18:C256,C256)&amp;CHOOSE(MIN(4,COUNTIF($C$18:C256,C256)),"st","nd","rd","th"),"")</f>
        <v/>
      </c>
    </row>
    <row r="257" spans="8:14" x14ac:dyDescent="0.25">
      <c r="H257" s="201" t="str">
        <f t="shared" si="3"/>
        <v/>
      </c>
      <c r="N257" s="164" t="str">
        <f>IFERROR(COUNTIF($C$18:C257,C257)&amp;CHOOSE(MIN(4,COUNTIF($C$18:C257,C257)),"st","nd","rd","th"),"")</f>
        <v/>
      </c>
    </row>
    <row r="258" spans="8:14" x14ac:dyDescent="0.25">
      <c r="H258" s="201" t="str">
        <f t="shared" si="3"/>
        <v/>
      </c>
      <c r="N258" s="164" t="str">
        <f>IFERROR(COUNTIF($C$18:C258,C258)&amp;CHOOSE(MIN(4,COUNTIF($C$18:C258,C258)),"st","nd","rd","th"),"")</f>
        <v/>
      </c>
    </row>
    <row r="259" spans="8:14" x14ac:dyDescent="0.25">
      <c r="H259" s="201" t="str">
        <f t="shared" si="3"/>
        <v/>
      </c>
      <c r="N259" s="164" t="str">
        <f>IFERROR(COUNTIF($C$18:C259,C259)&amp;CHOOSE(MIN(4,COUNTIF($C$18:C259,C259)),"st","nd","rd","th"),"")</f>
        <v/>
      </c>
    </row>
    <row r="260" spans="8:14" x14ac:dyDescent="0.25">
      <c r="H260" s="201" t="str">
        <f t="shared" si="3"/>
        <v/>
      </c>
      <c r="N260" s="164" t="str">
        <f>IFERROR(COUNTIF($C$18:C260,C260)&amp;CHOOSE(MIN(4,COUNTIF($C$18:C260,C260)),"st","nd","rd","th"),"")</f>
        <v/>
      </c>
    </row>
    <row r="261" spans="8:14" x14ac:dyDescent="0.25">
      <c r="H261" s="201" t="str">
        <f t="shared" si="3"/>
        <v/>
      </c>
      <c r="N261" s="164" t="str">
        <f>IFERROR(COUNTIF($C$18:C261,C261)&amp;CHOOSE(MIN(4,COUNTIF($C$18:C261,C261)),"st","nd","rd","th"),"")</f>
        <v/>
      </c>
    </row>
    <row r="262" spans="8:14" x14ac:dyDescent="0.25">
      <c r="H262" s="201" t="str">
        <f t="shared" si="3"/>
        <v/>
      </c>
      <c r="N262" s="164" t="str">
        <f>IFERROR(COUNTIF($C$18:C262,C262)&amp;CHOOSE(MIN(4,COUNTIF($C$18:C262,C262)),"st","nd","rd","th"),"")</f>
        <v/>
      </c>
    </row>
    <row r="263" spans="8:14" x14ac:dyDescent="0.25">
      <c r="H263" s="201" t="str">
        <f t="shared" si="3"/>
        <v/>
      </c>
      <c r="N263" s="164" t="str">
        <f>IFERROR(COUNTIF($C$18:C263,C263)&amp;CHOOSE(MIN(4,COUNTIF($C$18:C263,C263)),"st","nd","rd","th"),"")</f>
        <v/>
      </c>
    </row>
    <row r="264" spans="8:14" x14ac:dyDescent="0.25">
      <c r="H264" s="201" t="str">
        <f t="shared" si="3"/>
        <v/>
      </c>
      <c r="N264" s="164" t="str">
        <f>IFERROR(COUNTIF($C$18:C264,C264)&amp;CHOOSE(MIN(4,COUNTIF($C$18:C264,C264)),"st","nd","rd","th"),"")</f>
        <v/>
      </c>
    </row>
    <row r="265" spans="8:14" x14ac:dyDescent="0.25">
      <c r="H265" s="201" t="str">
        <f t="shared" si="3"/>
        <v/>
      </c>
      <c r="N265" s="164" t="str">
        <f>IFERROR(COUNTIF($C$18:C265,C265)&amp;CHOOSE(MIN(4,COUNTIF($C$18:C265,C265)),"st","nd","rd","th"),"")</f>
        <v/>
      </c>
    </row>
    <row r="266" spans="8:14" x14ac:dyDescent="0.25">
      <c r="H266" s="201" t="str">
        <f t="shared" si="3"/>
        <v/>
      </c>
      <c r="N266" s="164" t="str">
        <f>IFERROR(COUNTIF($C$18:C266,C266)&amp;CHOOSE(MIN(4,COUNTIF($C$18:C266,C266)),"st","nd","rd","th"),"")</f>
        <v/>
      </c>
    </row>
    <row r="267" spans="8:14" x14ac:dyDescent="0.25">
      <c r="H267" s="201" t="str">
        <f t="shared" si="3"/>
        <v/>
      </c>
      <c r="N267" s="164" t="str">
        <f>IFERROR(COUNTIF($C$18:C267,C267)&amp;CHOOSE(MIN(4,COUNTIF($C$18:C267,C267)),"st","nd","rd","th"),"")</f>
        <v/>
      </c>
    </row>
    <row r="268" spans="8:14" x14ac:dyDescent="0.25">
      <c r="H268" s="201" t="str">
        <f t="shared" si="3"/>
        <v/>
      </c>
      <c r="N268" s="164" t="str">
        <f>IFERROR(COUNTIF($C$18:C268,C268)&amp;CHOOSE(MIN(4,COUNTIF($C$18:C268,C268)),"st","nd","rd","th"),"")</f>
        <v/>
      </c>
    </row>
    <row r="269" spans="8:14" x14ac:dyDescent="0.25">
      <c r="H269" s="201" t="str">
        <f t="shared" si="3"/>
        <v/>
      </c>
      <c r="N269" s="164" t="str">
        <f>IFERROR(COUNTIF($C$18:C269,C269)&amp;CHOOSE(MIN(4,COUNTIF($C$18:C269,C269)),"st","nd","rd","th"),"")</f>
        <v/>
      </c>
    </row>
    <row r="270" spans="8:14" x14ac:dyDescent="0.25">
      <c r="H270" s="201" t="str">
        <f t="shared" si="3"/>
        <v/>
      </c>
      <c r="N270" s="164" t="str">
        <f>IFERROR(COUNTIF($C$18:C270,C270)&amp;CHOOSE(MIN(4,COUNTIF($C$18:C270,C270)),"st","nd","rd","th"),"")</f>
        <v/>
      </c>
    </row>
    <row r="271" spans="8:14" x14ac:dyDescent="0.25">
      <c r="H271" s="201" t="str">
        <f t="shared" si="3"/>
        <v/>
      </c>
      <c r="N271" s="164" t="str">
        <f>IFERROR(COUNTIF($C$18:C271,C271)&amp;CHOOSE(MIN(4,COUNTIF($C$18:C271,C271)),"st","nd","rd","th"),"")</f>
        <v/>
      </c>
    </row>
    <row r="272" spans="8:14" x14ac:dyDescent="0.25">
      <c r="H272" s="201" t="str">
        <f t="shared" si="3"/>
        <v/>
      </c>
      <c r="N272" s="164" t="str">
        <f>IFERROR(COUNTIF($C$18:C272,C272)&amp;CHOOSE(MIN(4,COUNTIF($C$18:C272,C272)),"st","nd","rd","th"),"")</f>
        <v/>
      </c>
    </row>
    <row r="273" spans="8:14" x14ac:dyDescent="0.25">
      <c r="H273" s="201" t="str">
        <f t="shared" si="3"/>
        <v/>
      </c>
      <c r="N273" s="164" t="str">
        <f>IFERROR(COUNTIF($C$18:C273,C273)&amp;CHOOSE(MIN(4,COUNTIF($C$18:C273,C273)),"st","nd","rd","th"),"")</f>
        <v/>
      </c>
    </row>
    <row r="274" spans="8:14" x14ac:dyDescent="0.25">
      <c r="H274" s="201" t="str">
        <f t="shared" si="3"/>
        <v/>
      </c>
      <c r="N274" s="164" t="str">
        <f>IFERROR(COUNTIF($C$18:C274,C274)&amp;CHOOSE(MIN(4,COUNTIF($C$18:C274,C274)),"st","nd","rd","th"),"")</f>
        <v/>
      </c>
    </row>
    <row r="275" spans="8:14" x14ac:dyDescent="0.25">
      <c r="H275" s="201" t="str">
        <f t="shared" ref="H275:H338" si="4">IF(OR(ISBLANK(G275), ISBLANK(F275)), "", IF(G275=F275, 1, SUM(_xlfn.DAYS(G275, F275), 1)))</f>
        <v/>
      </c>
      <c r="N275" s="164" t="str">
        <f>IFERROR(COUNTIF($C$18:C275,C275)&amp;CHOOSE(MIN(4,COUNTIF($C$18:C275,C275)),"st","nd","rd","th"),"")</f>
        <v/>
      </c>
    </row>
    <row r="276" spans="8:14" x14ac:dyDescent="0.25">
      <c r="H276" s="201" t="str">
        <f t="shared" si="4"/>
        <v/>
      </c>
      <c r="N276" s="164" t="str">
        <f>IFERROR(COUNTIF($C$18:C276,C276)&amp;CHOOSE(MIN(4,COUNTIF($C$18:C276,C276)),"st","nd","rd","th"),"")</f>
        <v/>
      </c>
    </row>
    <row r="277" spans="8:14" x14ac:dyDescent="0.25">
      <c r="H277" s="201" t="str">
        <f t="shared" si="4"/>
        <v/>
      </c>
      <c r="N277" s="164" t="str">
        <f>IFERROR(COUNTIF($C$18:C277,C277)&amp;CHOOSE(MIN(4,COUNTIF($C$18:C277,C277)),"st","nd","rd","th"),"")</f>
        <v/>
      </c>
    </row>
    <row r="278" spans="8:14" x14ac:dyDescent="0.25">
      <c r="H278" s="201" t="str">
        <f t="shared" si="4"/>
        <v/>
      </c>
      <c r="N278" s="164" t="str">
        <f>IFERROR(COUNTIF($C$18:C278,C278)&amp;CHOOSE(MIN(4,COUNTIF($C$18:C278,C278)),"st","nd","rd","th"),"")</f>
        <v/>
      </c>
    </row>
    <row r="279" spans="8:14" x14ac:dyDescent="0.25">
      <c r="H279" s="201" t="str">
        <f t="shared" si="4"/>
        <v/>
      </c>
      <c r="N279" s="164" t="str">
        <f>IFERROR(COUNTIF($C$18:C279,C279)&amp;CHOOSE(MIN(4,COUNTIF($C$18:C279,C279)),"st","nd","rd","th"),"")</f>
        <v/>
      </c>
    </row>
    <row r="280" spans="8:14" x14ac:dyDescent="0.25">
      <c r="H280" s="201" t="str">
        <f t="shared" si="4"/>
        <v/>
      </c>
      <c r="N280" s="164" t="str">
        <f>IFERROR(COUNTIF($C$18:C280,C280)&amp;CHOOSE(MIN(4,COUNTIF($C$18:C280,C280)),"st","nd","rd","th"),"")</f>
        <v/>
      </c>
    </row>
    <row r="281" spans="8:14" x14ac:dyDescent="0.25">
      <c r="H281" s="201" t="str">
        <f t="shared" si="4"/>
        <v/>
      </c>
      <c r="N281" s="164" t="str">
        <f>IFERROR(COUNTIF($C$18:C281,C281)&amp;CHOOSE(MIN(4,COUNTIF($C$18:C281,C281)),"st","nd","rd","th"),"")</f>
        <v/>
      </c>
    </row>
    <row r="282" spans="8:14" x14ac:dyDescent="0.25">
      <c r="H282" s="201" t="str">
        <f t="shared" si="4"/>
        <v/>
      </c>
      <c r="N282" s="164" t="str">
        <f>IFERROR(COUNTIF($C$18:C282,C282)&amp;CHOOSE(MIN(4,COUNTIF($C$18:C282,C282)),"st","nd","rd","th"),"")</f>
        <v/>
      </c>
    </row>
    <row r="283" spans="8:14" x14ac:dyDescent="0.25">
      <c r="H283" s="201" t="str">
        <f t="shared" si="4"/>
        <v/>
      </c>
      <c r="N283" s="164" t="str">
        <f>IFERROR(COUNTIF($C$18:C283,C283)&amp;CHOOSE(MIN(4,COUNTIF($C$18:C283,C283)),"st","nd","rd","th"),"")</f>
        <v/>
      </c>
    </row>
    <row r="284" spans="8:14" x14ac:dyDescent="0.25">
      <c r="H284" s="201" t="str">
        <f t="shared" si="4"/>
        <v/>
      </c>
      <c r="N284" s="164" t="str">
        <f>IFERROR(COUNTIF($C$18:C284,C284)&amp;CHOOSE(MIN(4,COUNTIF($C$18:C284,C284)),"st","nd","rd","th"),"")</f>
        <v/>
      </c>
    </row>
    <row r="285" spans="8:14" x14ac:dyDescent="0.25">
      <c r="H285" s="201" t="str">
        <f t="shared" si="4"/>
        <v/>
      </c>
      <c r="N285" s="164" t="str">
        <f>IFERROR(COUNTIF($C$18:C285,C285)&amp;CHOOSE(MIN(4,COUNTIF($C$18:C285,C285)),"st","nd","rd","th"),"")</f>
        <v/>
      </c>
    </row>
    <row r="286" spans="8:14" x14ac:dyDescent="0.25">
      <c r="H286" s="201" t="str">
        <f t="shared" si="4"/>
        <v/>
      </c>
      <c r="N286" s="164" t="str">
        <f>IFERROR(COUNTIF($C$18:C286,C286)&amp;CHOOSE(MIN(4,COUNTIF($C$18:C286,C286)),"st","nd","rd","th"),"")</f>
        <v/>
      </c>
    </row>
    <row r="287" spans="8:14" x14ac:dyDescent="0.25">
      <c r="H287" s="201" t="str">
        <f t="shared" si="4"/>
        <v/>
      </c>
      <c r="N287" s="164" t="str">
        <f>IFERROR(COUNTIF($C$18:C287,C287)&amp;CHOOSE(MIN(4,COUNTIF($C$18:C287,C287)),"st","nd","rd","th"),"")</f>
        <v/>
      </c>
    </row>
    <row r="288" spans="8:14" x14ac:dyDescent="0.25">
      <c r="H288" s="201" t="str">
        <f t="shared" si="4"/>
        <v/>
      </c>
      <c r="N288" s="164" t="str">
        <f>IFERROR(COUNTIF($C$18:C288,C288)&amp;CHOOSE(MIN(4,COUNTIF($C$18:C288,C288)),"st","nd","rd","th"),"")</f>
        <v/>
      </c>
    </row>
    <row r="289" spans="8:14" x14ac:dyDescent="0.25">
      <c r="H289" s="201" t="str">
        <f t="shared" si="4"/>
        <v/>
      </c>
      <c r="N289" s="164" t="str">
        <f>IFERROR(COUNTIF($C$18:C289,C289)&amp;CHOOSE(MIN(4,COUNTIF($C$18:C289,C289)),"st","nd","rd","th"),"")</f>
        <v/>
      </c>
    </row>
    <row r="290" spans="8:14" x14ac:dyDescent="0.25">
      <c r="H290" s="201" t="str">
        <f t="shared" si="4"/>
        <v/>
      </c>
      <c r="N290" s="164" t="str">
        <f>IFERROR(COUNTIF($C$18:C290,C290)&amp;CHOOSE(MIN(4,COUNTIF($C$18:C290,C290)),"st","nd","rd","th"),"")</f>
        <v/>
      </c>
    </row>
    <row r="291" spans="8:14" x14ac:dyDescent="0.25">
      <c r="H291" s="201" t="str">
        <f t="shared" si="4"/>
        <v/>
      </c>
      <c r="N291" s="164" t="str">
        <f>IFERROR(COUNTIF($C$18:C291,C291)&amp;CHOOSE(MIN(4,COUNTIF($C$18:C291,C291)),"st","nd","rd","th"),"")</f>
        <v/>
      </c>
    </row>
    <row r="292" spans="8:14" x14ac:dyDescent="0.25">
      <c r="H292" s="201" t="str">
        <f t="shared" si="4"/>
        <v/>
      </c>
      <c r="N292" s="164" t="str">
        <f>IFERROR(COUNTIF($C$18:C292,C292)&amp;CHOOSE(MIN(4,COUNTIF($C$18:C292,C292)),"st","nd","rd","th"),"")</f>
        <v/>
      </c>
    </row>
    <row r="293" spans="8:14" x14ac:dyDescent="0.25">
      <c r="H293" s="201" t="str">
        <f t="shared" si="4"/>
        <v/>
      </c>
      <c r="N293" s="164" t="str">
        <f>IFERROR(COUNTIF($C$18:C293,C293)&amp;CHOOSE(MIN(4,COUNTIF($C$18:C293,C293)),"st","nd","rd","th"),"")</f>
        <v/>
      </c>
    </row>
    <row r="294" spans="8:14" x14ac:dyDescent="0.25">
      <c r="H294" s="201" t="str">
        <f t="shared" si="4"/>
        <v/>
      </c>
      <c r="N294" s="164" t="str">
        <f>IFERROR(COUNTIF($C$18:C294,C294)&amp;CHOOSE(MIN(4,COUNTIF($C$18:C294,C294)),"st","nd","rd","th"),"")</f>
        <v/>
      </c>
    </row>
    <row r="295" spans="8:14" x14ac:dyDescent="0.25">
      <c r="H295" s="201" t="str">
        <f t="shared" si="4"/>
        <v/>
      </c>
      <c r="N295" s="164" t="str">
        <f>IFERROR(COUNTIF($C$18:C295,C295)&amp;CHOOSE(MIN(4,COUNTIF($C$18:C295,C295)),"st","nd","rd","th"),"")</f>
        <v/>
      </c>
    </row>
    <row r="296" spans="8:14" x14ac:dyDescent="0.25">
      <c r="H296" s="201" t="str">
        <f t="shared" si="4"/>
        <v/>
      </c>
      <c r="N296" s="164" t="str">
        <f>IFERROR(COUNTIF($C$18:C296,C296)&amp;CHOOSE(MIN(4,COUNTIF($C$18:C296,C296)),"st","nd","rd","th"),"")</f>
        <v/>
      </c>
    </row>
    <row r="297" spans="8:14" x14ac:dyDescent="0.25">
      <c r="H297" s="201" t="str">
        <f t="shared" si="4"/>
        <v/>
      </c>
      <c r="N297" s="164" t="str">
        <f>IFERROR(COUNTIF($C$18:C297,C297)&amp;CHOOSE(MIN(4,COUNTIF($C$18:C297,C297)),"st","nd","rd","th"),"")</f>
        <v/>
      </c>
    </row>
    <row r="298" spans="8:14" x14ac:dyDescent="0.25">
      <c r="H298" s="201" t="str">
        <f t="shared" si="4"/>
        <v/>
      </c>
      <c r="N298" s="164" t="str">
        <f>IFERROR(COUNTIF($C$18:C298,C298)&amp;CHOOSE(MIN(4,COUNTIF($C$18:C298,C298)),"st","nd","rd","th"),"")</f>
        <v/>
      </c>
    </row>
    <row r="299" spans="8:14" x14ac:dyDescent="0.25">
      <c r="H299" s="201" t="str">
        <f t="shared" si="4"/>
        <v/>
      </c>
      <c r="N299" s="164" t="str">
        <f>IFERROR(COUNTIF($C$18:C299,C299)&amp;CHOOSE(MIN(4,COUNTIF($C$18:C299,C299)),"st","nd","rd","th"),"")</f>
        <v/>
      </c>
    </row>
    <row r="300" spans="8:14" x14ac:dyDescent="0.25">
      <c r="H300" s="201" t="str">
        <f t="shared" si="4"/>
        <v/>
      </c>
      <c r="N300" s="164" t="str">
        <f>IFERROR(COUNTIF($C$18:C300,C300)&amp;CHOOSE(MIN(4,COUNTIF($C$18:C300,C300)),"st","nd","rd","th"),"")</f>
        <v/>
      </c>
    </row>
    <row r="301" spans="8:14" x14ac:dyDescent="0.25">
      <c r="H301" s="201" t="str">
        <f t="shared" si="4"/>
        <v/>
      </c>
      <c r="N301" s="164" t="str">
        <f>IFERROR(COUNTIF($C$18:C301,C301)&amp;CHOOSE(MIN(4,COUNTIF($C$18:C301,C301)),"st","nd","rd","th"),"")</f>
        <v/>
      </c>
    </row>
    <row r="302" spans="8:14" x14ac:dyDescent="0.25">
      <c r="H302" s="201" t="str">
        <f t="shared" si="4"/>
        <v/>
      </c>
      <c r="N302" s="164" t="str">
        <f>IFERROR(COUNTIF($C$18:C302,C302)&amp;CHOOSE(MIN(4,COUNTIF($C$18:C302,C302)),"st","nd","rd","th"),"")</f>
        <v/>
      </c>
    </row>
    <row r="303" spans="8:14" x14ac:dyDescent="0.25">
      <c r="H303" s="201" t="str">
        <f t="shared" si="4"/>
        <v/>
      </c>
      <c r="N303" s="164" t="str">
        <f>IFERROR(COUNTIF($C$18:C303,C303)&amp;CHOOSE(MIN(4,COUNTIF($C$18:C303,C303)),"st","nd","rd","th"),"")</f>
        <v/>
      </c>
    </row>
    <row r="304" spans="8:14" x14ac:dyDescent="0.25">
      <c r="H304" s="201" t="str">
        <f t="shared" si="4"/>
        <v/>
      </c>
      <c r="N304" s="164" t="str">
        <f>IFERROR(COUNTIF($C$18:C304,C304)&amp;CHOOSE(MIN(4,COUNTIF($C$18:C304,C304)),"st","nd","rd","th"),"")</f>
        <v/>
      </c>
    </row>
    <row r="305" spans="8:14" x14ac:dyDescent="0.25">
      <c r="H305" s="201" t="str">
        <f t="shared" si="4"/>
        <v/>
      </c>
      <c r="N305" s="164" t="str">
        <f>IFERROR(COUNTIF($C$18:C305,C305)&amp;CHOOSE(MIN(4,COUNTIF($C$18:C305,C305)),"st","nd","rd","th"),"")</f>
        <v/>
      </c>
    </row>
    <row r="306" spans="8:14" x14ac:dyDescent="0.25">
      <c r="H306" s="201" t="str">
        <f t="shared" si="4"/>
        <v/>
      </c>
      <c r="N306" s="164" t="str">
        <f>IFERROR(COUNTIF($C$18:C306,C306)&amp;CHOOSE(MIN(4,COUNTIF($C$18:C306,C306)),"st","nd","rd","th"),"")</f>
        <v/>
      </c>
    </row>
    <row r="307" spans="8:14" x14ac:dyDescent="0.25">
      <c r="H307" s="201" t="str">
        <f t="shared" si="4"/>
        <v/>
      </c>
      <c r="N307" s="164" t="str">
        <f>IFERROR(COUNTIF($C$18:C307,C307)&amp;CHOOSE(MIN(4,COUNTIF($C$18:C307,C307)),"st","nd","rd","th"),"")</f>
        <v/>
      </c>
    </row>
    <row r="308" spans="8:14" x14ac:dyDescent="0.25">
      <c r="H308" s="201" t="str">
        <f t="shared" si="4"/>
        <v/>
      </c>
      <c r="N308" s="164" t="str">
        <f>IFERROR(COUNTIF($C$18:C308,C308)&amp;CHOOSE(MIN(4,COUNTIF($C$18:C308,C308)),"st","nd","rd","th"),"")</f>
        <v/>
      </c>
    </row>
    <row r="309" spans="8:14" x14ac:dyDescent="0.25">
      <c r="H309" s="201" t="str">
        <f t="shared" si="4"/>
        <v/>
      </c>
      <c r="N309" s="164" t="str">
        <f>IFERROR(COUNTIF($C$18:C309,C309)&amp;CHOOSE(MIN(4,COUNTIF($C$18:C309,C309)),"st","nd","rd","th"),"")</f>
        <v/>
      </c>
    </row>
    <row r="310" spans="8:14" x14ac:dyDescent="0.25">
      <c r="H310" s="201" t="str">
        <f t="shared" si="4"/>
        <v/>
      </c>
      <c r="N310" s="164" t="str">
        <f>IFERROR(COUNTIF($C$18:C310,C310)&amp;CHOOSE(MIN(4,COUNTIF($C$18:C310,C310)),"st","nd","rd","th"),"")</f>
        <v/>
      </c>
    </row>
    <row r="311" spans="8:14" x14ac:dyDescent="0.25">
      <c r="H311" s="201" t="str">
        <f t="shared" si="4"/>
        <v/>
      </c>
      <c r="N311" s="164" t="str">
        <f>IFERROR(COUNTIF($C$18:C311,C311)&amp;CHOOSE(MIN(4,COUNTIF($C$18:C311,C311)),"st","nd","rd","th"),"")</f>
        <v/>
      </c>
    </row>
    <row r="312" spans="8:14" x14ac:dyDescent="0.25">
      <c r="H312" s="201" t="str">
        <f t="shared" si="4"/>
        <v/>
      </c>
      <c r="N312" s="164" t="str">
        <f>IFERROR(COUNTIF($C$18:C312,C312)&amp;CHOOSE(MIN(4,COUNTIF($C$18:C312,C312)),"st","nd","rd","th"),"")</f>
        <v/>
      </c>
    </row>
    <row r="313" spans="8:14" x14ac:dyDescent="0.25">
      <c r="H313" s="201" t="str">
        <f t="shared" si="4"/>
        <v/>
      </c>
      <c r="N313" s="164" t="str">
        <f>IFERROR(COUNTIF($C$18:C313,C313)&amp;CHOOSE(MIN(4,COUNTIF($C$18:C313,C313)),"st","nd","rd","th"),"")</f>
        <v/>
      </c>
    </row>
    <row r="314" spans="8:14" x14ac:dyDescent="0.25">
      <c r="H314" s="201" t="str">
        <f t="shared" si="4"/>
        <v/>
      </c>
      <c r="N314" s="164" t="str">
        <f>IFERROR(COUNTIF($C$18:C314,C314)&amp;CHOOSE(MIN(4,COUNTIF($C$18:C314,C314)),"st","nd","rd","th"),"")</f>
        <v/>
      </c>
    </row>
    <row r="315" spans="8:14" x14ac:dyDescent="0.25">
      <c r="H315" s="201" t="str">
        <f t="shared" si="4"/>
        <v/>
      </c>
      <c r="N315" s="164" t="str">
        <f>IFERROR(COUNTIF($C$18:C315,C315)&amp;CHOOSE(MIN(4,COUNTIF($C$18:C315,C315)),"st","nd","rd","th"),"")</f>
        <v/>
      </c>
    </row>
    <row r="316" spans="8:14" x14ac:dyDescent="0.25">
      <c r="H316" s="201" t="str">
        <f t="shared" si="4"/>
        <v/>
      </c>
      <c r="N316" s="164" t="str">
        <f>IFERROR(COUNTIF($C$18:C316,C316)&amp;CHOOSE(MIN(4,COUNTIF($C$18:C316,C316)),"st","nd","rd","th"),"")</f>
        <v/>
      </c>
    </row>
    <row r="317" spans="8:14" x14ac:dyDescent="0.25">
      <c r="H317" s="201" t="str">
        <f t="shared" si="4"/>
        <v/>
      </c>
      <c r="N317" s="164" t="str">
        <f>IFERROR(COUNTIF($C$18:C317,C317)&amp;CHOOSE(MIN(4,COUNTIF($C$18:C317,C317)),"st","nd","rd","th"),"")</f>
        <v/>
      </c>
    </row>
    <row r="318" spans="8:14" x14ac:dyDescent="0.25">
      <c r="H318" s="201" t="str">
        <f t="shared" si="4"/>
        <v/>
      </c>
      <c r="N318" s="164" t="str">
        <f>IFERROR(COUNTIF($C$18:C318,C318)&amp;CHOOSE(MIN(4,COUNTIF($C$18:C318,C318)),"st","nd","rd","th"),"")</f>
        <v/>
      </c>
    </row>
    <row r="319" spans="8:14" x14ac:dyDescent="0.25">
      <c r="H319" s="201" t="str">
        <f t="shared" si="4"/>
        <v/>
      </c>
      <c r="N319" s="164" t="str">
        <f>IFERROR(COUNTIF($C$18:C319,C319)&amp;CHOOSE(MIN(4,COUNTIF($C$18:C319,C319)),"st","nd","rd","th"),"")</f>
        <v/>
      </c>
    </row>
    <row r="320" spans="8:14" x14ac:dyDescent="0.25">
      <c r="H320" s="201" t="str">
        <f t="shared" si="4"/>
        <v/>
      </c>
      <c r="N320" s="164" t="str">
        <f>IFERROR(COUNTIF($C$18:C320,C320)&amp;CHOOSE(MIN(4,COUNTIF($C$18:C320,C320)),"st","nd","rd","th"),"")</f>
        <v/>
      </c>
    </row>
    <row r="321" spans="8:14" x14ac:dyDescent="0.25">
      <c r="H321" s="201" t="str">
        <f t="shared" si="4"/>
        <v/>
      </c>
      <c r="N321" s="164" t="str">
        <f>IFERROR(COUNTIF($C$18:C321,C321)&amp;CHOOSE(MIN(4,COUNTIF($C$18:C321,C321)),"st","nd","rd","th"),"")</f>
        <v/>
      </c>
    </row>
    <row r="322" spans="8:14" x14ac:dyDescent="0.25">
      <c r="H322" s="201" t="str">
        <f t="shared" si="4"/>
        <v/>
      </c>
      <c r="N322" s="164" t="str">
        <f>IFERROR(COUNTIF($C$18:C322,C322)&amp;CHOOSE(MIN(4,COUNTIF($C$18:C322,C322)),"st","nd","rd","th"),"")</f>
        <v/>
      </c>
    </row>
    <row r="323" spans="8:14" x14ac:dyDescent="0.25">
      <c r="H323" s="201" t="str">
        <f t="shared" si="4"/>
        <v/>
      </c>
      <c r="N323" s="164" t="str">
        <f>IFERROR(COUNTIF($C$18:C323,C323)&amp;CHOOSE(MIN(4,COUNTIF($C$18:C323,C323)),"st","nd","rd","th"),"")</f>
        <v/>
      </c>
    </row>
    <row r="324" spans="8:14" x14ac:dyDescent="0.25">
      <c r="H324" s="201" t="str">
        <f t="shared" si="4"/>
        <v/>
      </c>
      <c r="N324" s="164" t="str">
        <f>IFERROR(COUNTIF($C$18:C324,C324)&amp;CHOOSE(MIN(4,COUNTIF($C$18:C324,C324)),"st","nd","rd","th"),"")</f>
        <v/>
      </c>
    </row>
    <row r="325" spans="8:14" x14ac:dyDescent="0.25">
      <c r="H325" s="201" t="str">
        <f t="shared" si="4"/>
        <v/>
      </c>
      <c r="N325" s="164" t="str">
        <f>IFERROR(COUNTIF($C$18:C325,C325)&amp;CHOOSE(MIN(4,COUNTIF($C$18:C325,C325)),"st","nd","rd","th"),"")</f>
        <v/>
      </c>
    </row>
    <row r="326" spans="8:14" x14ac:dyDescent="0.25">
      <c r="H326" s="201" t="str">
        <f t="shared" si="4"/>
        <v/>
      </c>
      <c r="N326" s="164" t="str">
        <f>IFERROR(COUNTIF($C$18:C326,C326)&amp;CHOOSE(MIN(4,COUNTIF($C$18:C326,C326)),"st","nd","rd","th"),"")</f>
        <v/>
      </c>
    </row>
    <row r="327" spans="8:14" x14ac:dyDescent="0.25">
      <c r="H327" s="201" t="str">
        <f t="shared" si="4"/>
        <v/>
      </c>
      <c r="N327" s="164" t="str">
        <f>IFERROR(COUNTIF($C$18:C327,C327)&amp;CHOOSE(MIN(4,COUNTIF($C$18:C327,C327)),"st","nd","rd","th"),"")</f>
        <v/>
      </c>
    </row>
    <row r="328" spans="8:14" x14ac:dyDescent="0.25">
      <c r="H328" s="201" t="str">
        <f t="shared" si="4"/>
        <v/>
      </c>
      <c r="N328" s="164" t="str">
        <f>IFERROR(COUNTIF($C$18:C328,C328)&amp;CHOOSE(MIN(4,COUNTIF($C$18:C328,C328)),"st","nd","rd","th"),"")</f>
        <v/>
      </c>
    </row>
    <row r="329" spans="8:14" x14ac:dyDescent="0.25">
      <c r="H329" s="201" t="str">
        <f t="shared" si="4"/>
        <v/>
      </c>
      <c r="N329" s="164" t="str">
        <f>IFERROR(COUNTIF($C$18:C329,C329)&amp;CHOOSE(MIN(4,COUNTIF($C$18:C329,C329)),"st","nd","rd","th"),"")</f>
        <v/>
      </c>
    </row>
    <row r="330" spans="8:14" x14ac:dyDescent="0.25">
      <c r="H330" s="201" t="str">
        <f t="shared" si="4"/>
        <v/>
      </c>
      <c r="N330" s="164" t="str">
        <f>IFERROR(COUNTIF($C$18:C330,C330)&amp;CHOOSE(MIN(4,COUNTIF($C$18:C330,C330)),"st","nd","rd","th"),"")</f>
        <v/>
      </c>
    </row>
    <row r="331" spans="8:14" x14ac:dyDescent="0.25">
      <c r="H331" s="201" t="str">
        <f t="shared" si="4"/>
        <v/>
      </c>
      <c r="N331" s="164" t="str">
        <f>IFERROR(COUNTIF($C$18:C331,C331)&amp;CHOOSE(MIN(4,COUNTIF($C$18:C331,C331)),"st","nd","rd","th"),"")</f>
        <v/>
      </c>
    </row>
    <row r="332" spans="8:14" x14ac:dyDescent="0.25">
      <c r="H332" s="201" t="str">
        <f t="shared" si="4"/>
        <v/>
      </c>
      <c r="N332" s="164" t="str">
        <f>IFERROR(COUNTIF($C$18:C332,C332)&amp;CHOOSE(MIN(4,COUNTIF($C$18:C332,C332)),"st","nd","rd","th"),"")</f>
        <v/>
      </c>
    </row>
    <row r="333" spans="8:14" x14ac:dyDescent="0.25">
      <c r="H333" s="201" t="str">
        <f t="shared" si="4"/>
        <v/>
      </c>
      <c r="N333" s="164" t="str">
        <f>IFERROR(COUNTIF($C$18:C333,C333)&amp;CHOOSE(MIN(4,COUNTIF($C$18:C333,C333)),"st","nd","rd","th"),"")</f>
        <v/>
      </c>
    </row>
    <row r="334" spans="8:14" x14ac:dyDescent="0.25">
      <c r="H334" s="201" t="str">
        <f t="shared" si="4"/>
        <v/>
      </c>
      <c r="N334" s="164" t="str">
        <f>IFERROR(COUNTIF($C$18:C334,C334)&amp;CHOOSE(MIN(4,COUNTIF($C$18:C334,C334)),"st","nd","rd","th"),"")</f>
        <v/>
      </c>
    </row>
    <row r="335" spans="8:14" x14ac:dyDescent="0.25">
      <c r="H335" s="201" t="str">
        <f t="shared" si="4"/>
        <v/>
      </c>
      <c r="N335" s="164" t="str">
        <f>IFERROR(COUNTIF($C$18:C335,C335)&amp;CHOOSE(MIN(4,COUNTIF($C$18:C335,C335)),"st","nd","rd","th"),"")</f>
        <v/>
      </c>
    </row>
    <row r="336" spans="8:14" x14ac:dyDescent="0.25">
      <c r="H336" s="201" t="str">
        <f t="shared" si="4"/>
        <v/>
      </c>
      <c r="N336" s="164" t="str">
        <f>IFERROR(COUNTIF($C$18:C336,C336)&amp;CHOOSE(MIN(4,COUNTIF($C$18:C336,C336)),"st","nd","rd","th"),"")</f>
        <v/>
      </c>
    </row>
    <row r="337" spans="8:14" x14ac:dyDescent="0.25">
      <c r="H337" s="201" t="str">
        <f t="shared" si="4"/>
        <v/>
      </c>
      <c r="N337" s="164" t="str">
        <f>IFERROR(COUNTIF($C$18:C337,C337)&amp;CHOOSE(MIN(4,COUNTIF($C$18:C337,C337)),"st","nd","rd","th"),"")</f>
        <v/>
      </c>
    </row>
    <row r="338" spans="8:14" x14ac:dyDescent="0.25">
      <c r="H338" s="201" t="str">
        <f t="shared" si="4"/>
        <v/>
      </c>
      <c r="N338" s="164" t="str">
        <f>IFERROR(COUNTIF($C$18:C338,C338)&amp;CHOOSE(MIN(4,COUNTIF($C$18:C338,C338)),"st","nd","rd","th"),"")</f>
        <v/>
      </c>
    </row>
    <row r="339" spans="8:14" x14ac:dyDescent="0.25">
      <c r="H339" s="201" t="str">
        <f t="shared" ref="H339:H402" si="5">IF(OR(ISBLANK(G339), ISBLANK(F339)), "", IF(G339=F339, 1, SUM(_xlfn.DAYS(G339, F339), 1)))</f>
        <v/>
      </c>
      <c r="N339" s="164" t="str">
        <f>IFERROR(COUNTIF($C$18:C339,C339)&amp;CHOOSE(MIN(4,COUNTIF($C$18:C339,C339)),"st","nd","rd","th"),"")</f>
        <v/>
      </c>
    </row>
    <row r="340" spans="8:14" x14ac:dyDescent="0.25">
      <c r="H340" s="201" t="str">
        <f t="shared" si="5"/>
        <v/>
      </c>
      <c r="N340" s="164" t="str">
        <f>IFERROR(COUNTIF($C$18:C340,C340)&amp;CHOOSE(MIN(4,COUNTIF($C$18:C340,C340)),"st","nd","rd","th"),"")</f>
        <v/>
      </c>
    </row>
    <row r="341" spans="8:14" x14ac:dyDescent="0.25">
      <c r="H341" s="201" t="str">
        <f t="shared" si="5"/>
        <v/>
      </c>
      <c r="N341" s="164" t="str">
        <f>IFERROR(COUNTIF($C$18:C341,C341)&amp;CHOOSE(MIN(4,COUNTIF($C$18:C341,C341)),"st","nd","rd","th"),"")</f>
        <v/>
      </c>
    </row>
    <row r="342" spans="8:14" x14ac:dyDescent="0.25">
      <c r="H342" s="201" t="str">
        <f t="shared" si="5"/>
        <v/>
      </c>
      <c r="N342" s="164" t="str">
        <f>IFERROR(COUNTIF($C$18:C342,C342)&amp;CHOOSE(MIN(4,COUNTIF($C$18:C342,C342)),"st","nd","rd","th"),"")</f>
        <v/>
      </c>
    </row>
    <row r="343" spans="8:14" x14ac:dyDescent="0.25">
      <c r="H343" s="201" t="str">
        <f t="shared" si="5"/>
        <v/>
      </c>
      <c r="N343" s="164" t="str">
        <f>IFERROR(COUNTIF($C$18:C343,C343)&amp;CHOOSE(MIN(4,COUNTIF($C$18:C343,C343)),"st","nd","rd","th"),"")</f>
        <v/>
      </c>
    </row>
    <row r="344" spans="8:14" x14ac:dyDescent="0.25">
      <c r="H344" s="201" t="str">
        <f t="shared" si="5"/>
        <v/>
      </c>
      <c r="N344" s="164" t="str">
        <f>IFERROR(COUNTIF($C$18:C344,C344)&amp;CHOOSE(MIN(4,COUNTIF($C$18:C344,C344)),"st","nd","rd","th"),"")</f>
        <v/>
      </c>
    </row>
    <row r="345" spans="8:14" x14ac:dyDescent="0.25">
      <c r="H345" s="201" t="str">
        <f t="shared" si="5"/>
        <v/>
      </c>
      <c r="N345" s="164" t="str">
        <f>IFERROR(COUNTIF($C$18:C345,C345)&amp;CHOOSE(MIN(4,COUNTIF($C$18:C345,C345)),"st","nd","rd","th"),"")</f>
        <v/>
      </c>
    </row>
    <row r="346" spans="8:14" x14ac:dyDescent="0.25">
      <c r="H346" s="201" t="str">
        <f t="shared" si="5"/>
        <v/>
      </c>
      <c r="N346" s="164" t="str">
        <f>IFERROR(COUNTIF($C$18:C346,C346)&amp;CHOOSE(MIN(4,COUNTIF($C$18:C346,C346)),"st","nd","rd","th"),"")</f>
        <v/>
      </c>
    </row>
    <row r="347" spans="8:14" x14ac:dyDescent="0.25">
      <c r="H347" s="201" t="str">
        <f t="shared" si="5"/>
        <v/>
      </c>
      <c r="N347" s="164" t="str">
        <f>IFERROR(COUNTIF($C$18:C347,C347)&amp;CHOOSE(MIN(4,COUNTIF($C$18:C347,C347)),"st","nd","rd","th"),"")</f>
        <v/>
      </c>
    </row>
    <row r="348" spans="8:14" x14ac:dyDescent="0.25">
      <c r="H348" s="201" t="str">
        <f t="shared" si="5"/>
        <v/>
      </c>
      <c r="N348" s="164" t="str">
        <f>IFERROR(COUNTIF($C$18:C348,C348)&amp;CHOOSE(MIN(4,COUNTIF($C$18:C348,C348)),"st","nd","rd","th"),"")</f>
        <v/>
      </c>
    </row>
    <row r="349" spans="8:14" x14ac:dyDescent="0.25">
      <c r="H349" s="201" t="str">
        <f t="shared" si="5"/>
        <v/>
      </c>
      <c r="N349" s="164" t="str">
        <f>IFERROR(COUNTIF($C$18:C349,C349)&amp;CHOOSE(MIN(4,COUNTIF($C$18:C349,C349)),"st","nd","rd","th"),"")</f>
        <v/>
      </c>
    </row>
    <row r="350" spans="8:14" x14ac:dyDescent="0.25">
      <c r="H350" s="201" t="str">
        <f t="shared" si="5"/>
        <v/>
      </c>
      <c r="N350" s="164" t="str">
        <f>IFERROR(COUNTIF($C$18:C350,C350)&amp;CHOOSE(MIN(4,COUNTIF($C$18:C350,C350)),"st","nd","rd","th"),"")</f>
        <v/>
      </c>
    </row>
    <row r="351" spans="8:14" x14ac:dyDescent="0.25">
      <c r="H351" s="201" t="str">
        <f t="shared" si="5"/>
        <v/>
      </c>
      <c r="N351" s="164" t="str">
        <f>IFERROR(COUNTIF($C$18:C351,C351)&amp;CHOOSE(MIN(4,COUNTIF($C$18:C351,C351)),"st","nd","rd","th"),"")</f>
        <v/>
      </c>
    </row>
    <row r="352" spans="8:14" x14ac:dyDescent="0.25">
      <c r="H352" s="201" t="str">
        <f t="shared" si="5"/>
        <v/>
      </c>
      <c r="N352" s="164" t="str">
        <f>IFERROR(COUNTIF($C$18:C352,C352)&amp;CHOOSE(MIN(4,COUNTIF($C$18:C352,C352)),"st","nd","rd","th"),"")</f>
        <v/>
      </c>
    </row>
    <row r="353" spans="8:14" x14ac:dyDescent="0.25">
      <c r="H353" s="201" t="str">
        <f t="shared" si="5"/>
        <v/>
      </c>
      <c r="N353" s="164" t="str">
        <f>IFERROR(COUNTIF($C$18:C353,C353)&amp;CHOOSE(MIN(4,COUNTIF($C$18:C353,C353)),"st","nd","rd","th"),"")</f>
        <v/>
      </c>
    </row>
    <row r="354" spans="8:14" x14ac:dyDescent="0.25">
      <c r="H354" s="201" t="str">
        <f t="shared" si="5"/>
        <v/>
      </c>
      <c r="N354" s="164" t="str">
        <f>IFERROR(COUNTIF($C$18:C354,C354)&amp;CHOOSE(MIN(4,COUNTIF($C$18:C354,C354)),"st","nd","rd","th"),"")</f>
        <v/>
      </c>
    </row>
    <row r="355" spans="8:14" x14ac:dyDescent="0.25">
      <c r="H355" s="201" t="str">
        <f t="shared" si="5"/>
        <v/>
      </c>
      <c r="N355" s="164" t="str">
        <f>IFERROR(COUNTIF($C$18:C355,C355)&amp;CHOOSE(MIN(4,COUNTIF($C$18:C355,C355)),"st","nd","rd","th"),"")</f>
        <v/>
      </c>
    </row>
    <row r="356" spans="8:14" x14ac:dyDescent="0.25">
      <c r="H356" s="201" t="str">
        <f t="shared" si="5"/>
        <v/>
      </c>
      <c r="N356" s="164" t="str">
        <f>IFERROR(COUNTIF($C$18:C356,C356)&amp;CHOOSE(MIN(4,COUNTIF($C$18:C356,C356)),"st","nd","rd","th"),"")</f>
        <v/>
      </c>
    </row>
    <row r="357" spans="8:14" x14ac:dyDescent="0.25">
      <c r="H357" s="201" t="str">
        <f t="shared" si="5"/>
        <v/>
      </c>
      <c r="N357" s="164" t="str">
        <f>IFERROR(COUNTIF($C$18:C357,C357)&amp;CHOOSE(MIN(4,COUNTIF($C$18:C357,C357)),"st","nd","rd","th"),"")</f>
        <v/>
      </c>
    </row>
    <row r="358" spans="8:14" x14ac:dyDescent="0.25">
      <c r="H358" s="201" t="str">
        <f t="shared" si="5"/>
        <v/>
      </c>
      <c r="N358" s="164" t="str">
        <f>IFERROR(COUNTIF($C$18:C358,C358)&amp;CHOOSE(MIN(4,COUNTIF($C$18:C358,C358)),"st","nd","rd","th"),"")</f>
        <v/>
      </c>
    </row>
    <row r="359" spans="8:14" x14ac:dyDescent="0.25">
      <c r="H359" s="201" t="str">
        <f t="shared" si="5"/>
        <v/>
      </c>
      <c r="N359" s="164" t="str">
        <f>IFERROR(COUNTIF($C$18:C359,C359)&amp;CHOOSE(MIN(4,COUNTIF($C$18:C359,C359)),"st","nd","rd","th"),"")</f>
        <v/>
      </c>
    </row>
    <row r="360" spans="8:14" x14ac:dyDescent="0.25">
      <c r="H360" s="201" t="str">
        <f t="shared" si="5"/>
        <v/>
      </c>
      <c r="N360" s="164" t="str">
        <f>IFERROR(COUNTIF($C$18:C360,C360)&amp;CHOOSE(MIN(4,COUNTIF($C$18:C360,C360)),"st","nd","rd","th"),"")</f>
        <v/>
      </c>
    </row>
    <row r="361" spans="8:14" x14ac:dyDescent="0.25">
      <c r="H361" s="201" t="str">
        <f t="shared" si="5"/>
        <v/>
      </c>
      <c r="N361" s="164" t="str">
        <f>IFERROR(COUNTIF($C$18:C361,C361)&amp;CHOOSE(MIN(4,COUNTIF($C$18:C361,C361)),"st","nd","rd","th"),"")</f>
        <v/>
      </c>
    </row>
    <row r="362" spans="8:14" x14ac:dyDescent="0.25">
      <c r="H362" s="201" t="str">
        <f t="shared" si="5"/>
        <v/>
      </c>
      <c r="N362" s="164" t="str">
        <f>IFERROR(COUNTIF($C$18:C362,C362)&amp;CHOOSE(MIN(4,COUNTIF($C$18:C362,C362)),"st","nd","rd","th"),"")</f>
        <v/>
      </c>
    </row>
    <row r="363" spans="8:14" x14ac:dyDescent="0.25">
      <c r="H363" s="201" t="str">
        <f t="shared" si="5"/>
        <v/>
      </c>
      <c r="N363" s="164" t="str">
        <f>IFERROR(COUNTIF($C$18:C363,C363)&amp;CHOOSE(MIN(4,COUNTIF($C$18:C363,C363)),"st","nd","rd","th"),"")</f>
        <v/>
      </c>
    </row>
    <row r="364" spans="8:14" x14ac:dyDescent="0.25">
      <c r="H364" s="201" t="str">
        <f t="shared" si="5"/>
        <v/>
      </c>
      <c r="N364" s="164" t="str">
        <f>IFERROR(COUNTIF($C$18:C364,C364)&amp;CHOOSE(MIN(4,COUNTIF($C$18:C364,C364)),"st","nd","rd","th"),"")</f>
        <v/>
      </c>
    </row>
    <row r="365" spans="8:14" x14ac:dyDescent="0.25">
      <c r="H365" s="201" t="str">
        <f t="shared" si="5"/>
        <v/>
      </c>
      <c r="N365" s="164" t="str">
        <f>IFERROR(COUNTIF($C$18:C365,C365)&amp;CHOOSE(MIN(4,COUNTIF($C$18:C365,C365)),"st","nd","rd","th"),"")</f>
        <v/>
      </c>
    </row>
    <row r="366" spans="8:14" x14ac:dyDescent="0.25">
      <c r="H366" s="201" t="str">
        <f t="shared" si="5"/>
        <v/>
      </c>
      <c r="N366" s="164" t="str">
        <f>IFERROR(COUNTIF($C$18:C366,C366)&amp;CHOOSE(MIN(4,COUNTIF($C$18:C366,C366)),"st","nd","rd","th"),"")</f>
        <v/>
      </c>
    </row>
    <row r="367" spans="8:14" x14ac:dyDescent="0.25">
      <c r="H367" s="201" t="str">
        <f t="shared" si="5"/>
        <v/>
      </c>
      <c r="N367" s="164" t="str">
        <f>IFERROR(COUNTIF($C$18:C367,C367)&amp;CHOOSE(MIN(4,COUNTIF($C$18:C367,C367)),"st","nd","rd","th"),"")</f>
        <v/>
      </c>
    </row>
    <row r="368" spans="8:14" x14ac:dyDescent="0.25">
      <c r="H368" s="201" t="str">
        <f t="shared" si="5"/>
        <v/>
      </c>
      <c r="N368" s="164" t="str">
        <f>IFERROR(COUNTIF($C$18:C368,C368)&amp;CHOOSE(MIN(4,COUNTIF($C$18:C368,C368)),"st","nd","rd","th"),"")</f>
        <v/>
      </c>
    </row>
    <row r="369" spans="8:14" x14ac:dyDescent="0.25">
      <c r="H369" s="201" t="str">
        <f t="shared" si="5"/>
        <v/>
      </c>
      <c r="N369" s="164" t="str">
        <f>IFERROR(COUNTIF($C$18:C369,C369)&amp;CHOOSE(MIN(4,COUNTIF($C$18:C369,C369)),"st","nd","rd","th"),"")</f>
        <v/>
      </c>
    </row>
    <row r="370" spans="8:14" x14ac:dyDescent="0.25">
      <c r="H370" s="201" t="str">
        <f t="shared" si="5"/>
        <v/>
      </c>
      <c r="N370" s="164" t="str">
        <f>IFERROR(COUNTIF($C$18:C370,C370)&amp;CHOOSE(MIN(4,COUNTIF($C$18:C370,C370)),"st","nd","rd","th"),"")</f>
        <v/>
      </c>
    </row>
    <row r="371" spans="8:14" x14ac:dyDescent="0.25">
      <c r="H371" s="201" t="str">
        <f t="shared" si="5"/>
        <v/>
      </c>
      <c r="N371" s="164" t="str">
        <f>IFERROR(COUNTIF($C$18:C371,C371)&amp;CHOOSE(MIN(4,COUNTIF($C$18:C371,C371)),"st","nd","rd","th"),"")</f>
        <v/>
      </c>
    </row>
    <row r="372" spans="8:14" x14ac:dyDescent="0.25">
      <c r="H372" s="201" t="str">
        <f t="shared" si="5"/>
        <v/>
      </c>
      <c r="N372" s="164" t="str">
        <f>IFERROR(COUNTIF($C$18:C372,C372)&amp;CHOOSE(MIN(4,COUNTIF($C$18:C372,C372)),"st","nd","rd","th"),"")</f>
        <v/>
      </c>
    </row>
    <row r="373" spans="8:14" x14ac:dyDescent="0.25">
      <c r="H373" s="201" t="str">
        <f t="shared" si="5"/>
        <v/>
      </c>
      <c r="N373" s="164" t="str">
        <f>IFERROR(COUNTIF($C$18:C373,C373)&amp;CHOOSE(MIN(4,COUNTIF($C$18:C373,C373)),"st","nd","rd","th"),"")</f>
        <v/>
      </c>
    </row>
    <row r="374" spans="8:14" x14ac:dyDescent="0.25">
      <c r="H374" s="201" t="str">
        <f t="shared" si="5"/>
        <v/>
      </c>
      <c r="N374" s="164" t="str">
        <f>IFERROR(COUNTIF($C$18:C374,C374)&amp;CHOOSE(MIN(4,COUNTIF($C$18:C374,C374)),"st","nd","rd","th"),"")</f>
        <v/>
      </c>
    </row>
    <row r="375" spans="8:14" x14ac:dyDescent="0.25">
      <c r="H375" s="201" t="str">
        <f t="shared" si="5"/>
        <v/>
      </c>
      <c r="N375" s="164" t="str">
        <f>IFERROR(COUNTIF($C$18:C375,C375)&amp;CHOOSE(MIN(4,COUNTIF($C$18:C375,C375)),"st","nd","rd","th"),"")</f>
        <v/>
      </c>
    </row>
    <row r="376" spans="8:14" x14ac:dyDescent="0.25">
      <c r="H376" s="201" t="str">
        <f t="shared" si="5"/>
        <v/>
      </c>
      <c r="N376" s="164" t="str">
        <f>IFERROR(COUNTIF($C$18:C376,C376)&amp;CHOOSE(MIN(4,COUNTIF($C$18:C376,C376)),"st","nd","rd","th"),"")</f>
        <v/>
      </c>
    </row>
    <row r="377" spans="8:14" x14ac:dyDescent="0.25">
      <c r="H377" s="201" t="str">
        <f t="shared" si="5"/>
        <v/>
      </c>
      <c r="N377" s="164" t="str">
        <f>IFERROR(COUNTIF($C$18:C377,C377)&amp;CHOOSE(MIN(4,COUNTIF($C$18:C377,C377)),"st","nd","rd","th"),"")</f>
        <v/>
      </c>
    </row>
    <row r="378" spans="8:14" x14ac:dyDescent="0.25">
      <c r="H378" s="201" t="str">
        <f t="shared" si="5"/>
        <v/>
      </c>
      <c r="N378" s="164" t="str">
        <f>IFERROR(COUNTIF($C$18:C378,C378)&amp;CHOOSE(MIN(4,COUNTIF($C$18:C378,C378)),"st","nd","rd","th"),"")</f>
        <v/>
      </c>
    </row>
    <row r="379" spans="8:14" x14ac:dyDescent="0.25">
      <c r="H379" s="201" t="str">
        <f t="shared" si="5"/>
        <v/>
      </c>
      <c r="N379" s="164" t="str">
        <f>IFERROR(COUNTIF($C$18:C379,C379)&amp;CHOOSE(MIN(4,COUNTIF($C$18:C379,C379)),"st","nd","rd","th"),"")</f>
        <v/>
      </c>
    </row>
    <row r="380" spans="8:14" x14ac:dyDescent="0.25">
      <c r="H380" s="201" t="str">
        <f t="shared" si="5"/>
        <v/>
      </c>
      <c r="N380" s="164" t="str">
        <f>IFERROR(COUNTIF($C$18:C380,C380)&amp;CHOOSE(MIN(4,COUNTIF($C$18:C380,C380)),"st","nd","rd","th"),"")</f>
        <v/>
      </c>
    </row>
    <row r="381" spans="8:14" x14ac:dyDescent="0.25">
      <c r="H381" s="201" t="str">
        <f t="shared" si="5"/>
        <v/>
      </c>
      <c r="N381" s="164" t="str">
        <f>IFERROR(COUNTIF($C$18:C381,C381)&amp;CHOOSE(MIN(4,COUNTIF($C$18:C381,C381)),"st","nd","rd","th"),"")</f>
        <v/>
      </c>
    </row>
    <row r="382" spans="8:14" x14ac:dyDescent="0.25">
      <c r="H382" s="201" t="str">
        <f t="shared" si="5"/>
        <v/>
      </c>
      <c r="N382" s="164" t="str">
        <f>IFERROR(COUNTIF($C$18:C382,C382)&amp;CHOOSE(MIN(4,COUNTIF($C$18:C382,C382)),"st","nd","rd","th"),"")</f>
        <v/>
      </c>
    </row>
    <row r="383" spans="8:14" x14ac:dyDescent="0.25">
      <c r="H383" s="201" t="str">
        <f t="shared" si="5"/>
        <v/>
      </c>
      <c r="N383" s="164" t="str">
        <f>IFERROR(COUNTIF($C$18:C383,C383)&amp;CHOOSE(MIN(4,COUNTIF($C$18:C383,C383)),"st","nd","rd","th"),"")</f>
        <v/>
      </c>
    </row>
    <row r="384" spans="8:14" x14ac:dyDescent="0.25">
      <c r="H384" s="201" t="str">
        <f t="shared" si="5"/>
        <v/>
      </c>
      <c r="N384" s="164" t="str">
        <f>IFERROR(COUNTIF($C$18:C384,C384)&amp;CHOOSE(MIN(4,COUNTIF($C$18:C384,C384)),"st","nd","rd","th"),"")</f>
        <v/>
      </c>
    </row>
    <row r="385" spans="8:14" x14ac:dyDescent="0.25">
      <c r="H385" s="201" t="str">
        <f t="shared" si="5"/>
        <v/>
      </c>
      <c r="N385" s="164" t="str">
        <f>IFERROR(COUNTIF($C$18:C385,C385)&amp;CHOOSE(MIN(4,COUNTIF($C$18:C385,C385)),"st","nd","rd","th"),"")</f>
        <v/>
      </c>
    </row>
    <row r="386" spans="8:14" x14ac:dyDescent="0.25">
      <c r="H386" s="201" t="str">
        <f t="shared" si="5"/>
        <v/>
      </c>
      <c r="N386" s="164" t="str">
        <f>IFERROR(COUNTIF($C$18:C386,C386)&amp;CHOOSE(MIN(4,COUNTIF($C$18:C386,C386)),"st","nd","rd","th"),"")</f>
        <v/>
      </c>
    </row>
    <row r="387" spans="8:14" x14ac:dyDescent="0.25">
      <c r="H387" s="201" t="str">
        <f t="shared" si="5"/>
        <v/>
      </c>
      <c r="N387" s="164" t="str">
        <f>IFERROR(COUNTIF($C$18:C387,C387)&amp;CHOOSE(MIN(4,COUNTIF($C$18:C387,C387)),"st","nd","rd","th"),"")</f>
        <v/>
      </c>
    </row>
    <row r="388" spans="8:14" x14ac:dyDescent="0.25">
      <c r="H388" s="201" t="str">
        <f t="shared" si="5"/>
        <v/>
      </c>
      <c r="N388" s="164" t="str">
        <f>IFERROR(COUNTIF($C$18:C388,C388)&amp;CHOOSE(MIN(4,COUNTIF($C$18:C388,C388)),"st","nd","rd","th"),"")</f>
        <v/>
      </c>
    </row>
    <row r="389" spans="8:14" x14ac:dyDescent="0.25">
      <c r="H389" s="201" t="str">
        <f t="shared" si="5"/>
        <v/>
      </c>
      <c r="N389" s="164" t="str">
        <f>IFERROR(COUNTIF($C$18:C389,C389)&amp;CHOOSE(MIN(4,COUNTIF($C$18:C389,C389)),"st","nd","rd","th"),"")</f>
        <v/>
      </c>
    </row>
    <row r="390" spans="8:14" x14ac:dyDescent="0.25">
      <c r="H390" s="201" t="str">
        <f t="shared" si="5"/>
        <v/>
      </c>
      <c r="N390" s="164" t="str">
        <f>IFERROR(COUNTIF($C$18:C390,C390)&amp;CHOOSE(MIN(4,COUNTIF($C$18:C390,C390)),"st","nd","rd","th"),"")</f>
        <v/>
      </c>
    </row>
    <row r="391" spans="8:14" x14ac:dyDescent="0.25">
      <c r="H391" s="201" t="str">
        <f t="shared" si="5"/>
        <v/>
      </c>
      <c r="N391" s="164" t="str">
        <f>IFERROR(COUNTIF($C$18:C391,C391)&amp;CHOOSE(MIN(4,COUNTIF($C$18:C391,C391)),"st","nd","rd","th"),"")</f>
        <v/>
      </c>
    </row>
    <row r="392" spans="8:14" x14ac:dyDescent="0.25">
      <c r="H392" s="201" t="str">
        <f t="shared" si="5"/>
        <v/>
      </c>
      <c r="N392" s="164" t="str">
        <f>IFERROR(COUNTIF($C$18:C392,C392)&amp;CHOOSE(MIN(4,COUNTIF($C$18:C392,C392)),"st","nd","rd","th"),"")</f>
        <v/>
      </c>
    </row>
    <row r="393" spans="8:14" x14ac:dyDescent="0.25">
      <c r="H393" s="201" t="str">
        <f t="shared" si="5"/>
        <v/>
      </c>
      <c r="N393" s="164" t="str">
        <f>IFERROR(COUNTIF($C$18:C393,C393)&amp;CHOOSE(MIN(4,COUNTIF($C$18:C393,C393)),"st","nd","rd","th"),"")</f>
        <v/>
      </c>
    </row>
    <row r="394" spans="8:14" x14ac:dyDescent="0.25">
      <c r="H394" s="201" t="str">
        <f t="shared" si="5"/>
        <v/>
      </c>
      <c r="N394" s="164" t="str">
        <f>IFERROR(COUNTIF($C$18:C394,C394)&amp;CHOOSE(MIN(4,COUNTIF($C$18:C394,C394)),"st","nd","rd","th"),"")</f>
        <v/>
      </c>
    </row>
    <row r="395" spans="8:14" x14ac:dyDescent="0.25">
      <c r="H395" s="201" t="str">
        <f t="shared" si="5"/>
        <v/>
      </c>
      <c r="N395" s="164" t="str">
        <f>IFERROR(COUNTIF($C$18:C395,C395)&amp;CHOOSE(MIN(4,COUNTIF($C$18:C395,C395)),"st","nd","rd","th"),"")</f>
        <v/>
      </c>
    </row>
    <row r="396" spans="8:14" x14ac:dyDescent="0.25">
      <c r="H396" s="201" t="str">
        <f t="shared" si="5"/>
        <v/>
      </c>
      <c r="N396" s="164" t="str">
        <f>IFERROR(COUNTIF($C$18:C396,C396)&amp;CHOOSE(MIN(4,COUNTIF($C$18:C396,C396)),"st","nd","rd","th"),"")</f>
        <v/>
      </c>
    </row>
    <row r="397" spans="8:14" x14ac:dyDescent="0.25">
      <c r="H397" s="201" t="str">
        <f t="shared" si="5"/>
        <v/>
      </c>
      <c r="N397" s="164" t="str">
        <f>IFERROR(COUNTIF($C$18:C397,C397)&amp;CHOOSE(MIN(4,COUNTIF($C$18:C397,C397)),"st","nd","rd","th"),"")</f>
        <v/>
      </c>
    </row>
    <row r="398" spans="8:14" x14ac:dyDescent="0.25">
      <c r="H398" s="201" t="str">
        <f t="shared" si="5"/>
        <v/>
      </c>
      <c r="N398" s="164" t="str">
        <f>IFERROR(COUNTIF($C$18:C398,C398)&amp;CHOOSE(MIN(4,COUNTIF($C$18:C398,C398)),"st","nd","rd","th"),"")</f>
        <v/>
      </c>
    </row>
    <row r="399" spans="8:14" x14ac:dyDescent="0.25">
      <c r="H399" s="201" t="str">
        <f t="shared" si="5"/>
        <v/>
      </c>
      <c r="N399" s="164" t="str">
        <f>IFERROR(COUNTIF($C$18:C399,C399)&amp;CHOOSE(MIN(4,COUNTIF($C$18:C399,C399)),"st","nd","rd","th"),"")</f>
        <v/>
      </c>
    </row>
    <row r="400" spans="8:14" x14ac:dyDescent="0.25">
      <c r="H400" s="201" t="str">
        <f t="shared" si="5"/>
        <v/>
      </c>
      <c r="N400" s="164" t="str">
        <f>IFERROR(COUNTIF($C$18:C400,C400)&amp;CHOOSE(MIN(4,COUNTIF($C$18:C400,C400)),"st","nd","rd","th"),"")</f>
        <v/>
      </c>
    </row>
    <row r="401" spans="8:14" x14ac:dyDescent="0.25">
      <c r="H401" s="201" t="str">
        <f t="shared" si="5"/>
        <v/>
      </c>
      <c r="N401" s="164" t="str">
        <f>IFERROR(COUNTIF($C$18:C401,C401)&amp;CHOOSE(MIN(4,COUNTIF($C$18:C401,C401)),"st","nd","rd","th"),"")</f>
        <v/>
      </c>
    </row>
    <row r="402" spans="8:14" x14ac:dyDescent="0.25">
      <c r="H402" s="201" t="str">
        <f t="shared" si="5"/>
        <v/>
      </c>
      <c r="N402" s="164" t="str">
        <f>IFERROR(COUNTIF($C$18:C402,C402)&amp;CHOOSE(MIN(4,COUNTIF($C$18:C402,C402)),"st","nd","rd","th"),"")</f>
        <v/>
      </c>
    </row>
    <row r="403" spans="8:14" x14ac:dyDescent="0.25">
      <c r="H403" s="201" t="str">
        <f t="shared" ref="H403:H466" si="6">IF(OR(ISBLANK(G403), ISBLANK(F403)), "", IF(G403=F403, 1, SUM(_xlfn.DAYS(G403, F403), 1)))</f>
        <v/>
      </c>
      <c r="N403" s="164" t="str">
        <f>IFERROR(COUNTIF($C$18:C403,C403)&amp;CHOOSE(MIN(4,COUNTIF($C$18:C403,C403)),"st","nd","rd","th"),"")</f>
        <v/>
      </c>
    </row>
    <row r="404" spans="8:14" x14ac:dyDescent="0.25">
      <c r="H404" s="201" t="str">
        <f t="shared" si="6"/>
        <v/>
      </c>
      <c r="N404" s="164" t="str">
        <f>IFERROR(COUNTIF($C$18:C404,C404)&amp;CHOOSE(MIN(4,COUNTIF($C$18:C404,C404)),"st","nd","rd","th"),"")</f>
        <v/>
      </c>
    </row>
    <row r="405" spans="8:14" x14ac:dyDescent="0.25">
      <c r="H405" s="201" t="str">
        <f t="shared" si="6"/>
        <v/>
      </c>
      <c r="N405" s="164" t="str">
        <f>IFERROR(COUNTIF($C$18:C405,C405)&amp;CHOOSE(MIN(4,COUNTIF($C$18:C405,C405)),"st","nd","rd","th"),"")</f>
        <v/>
      </c>
    </row>
    <row r="406" spans="8:14" x14ac:dyDescent="0.25">
      <c r="H406" s="201" t="str">
        <f t="shared" si="6"/>
        <v/>
      </c>
      <c r="N406" s="164" t="str">
        <f>IFERROR(COUNTIF($C$18:C406,C406)&amp;CHOOSE(MIN(4,COUNTIF($C$18:C406,C406)),"st","nd","rd","th"),"")</f>
        <v/>
      </c>
    </row>
    <row r="407" spans="8:14" x14ac:dyDescent="0.25">
      <c r="H407" s="201" t="str">
        <f t="shared" si="6"/>
        <v/>
      </c>
      <c r="N407" s="164" t="str">
        <f>IFERROR(COUNTIF($C$18:C407,C407)&amp;CHOOSE(MIN(4,COUNTIF($C$18:C407,C407)),"st","nd","rd","th"),"")</f>
        <v/>
      </c>
    </row>
    <row r="408" spans="8:14" x14ac:dyDescent="0.25">
      <c r="H408" s="201" t="str">
        <f t="shared" si="6"/>
        <v/>
      </c>
      <c r="N408" s="164" t="str">
        <f>IFERROR(COUNTIF($C$18:C408,C408)&amp;CHOOSE(MIN(4,COUNTIF($C$18:C408,C408)),"st","nd","rd","th"),"")</f>
        <v/>
      </c>
    </row>
    <row r="409" spans="8:14" x14ac:dyDescent="0.25">
      <c r="H409" s="201" t="str">
        <f t="shared" si="6"/>
        <v/>
      </c>
      <c r="N409" s="164" t="str">
        <f>IFERROR(COUNTIF($C$18:C409,C409)&amp;CHOOSE(MIN(4,COUNTIF($C$18:C409,C409)),"st","nd","rd","th"),"")</f>
        <v/>
      </c>
    </row>
    <row r="410" spans="8:14" x14ac:dyDescent="0.25">
      <c r="H410" s="201" t="str">
        <f t="shared" si="6"/>
        <v/>
      </c>
      <c r="N410" s="164" t="str">
        <f>IFERROR(COUNTIF($C$18:C410,C410)&amp;CHOOSE(MIN(4,COUNTIF($C$18:C410,C410)),"st","nd","rd","th"),"")</f>
        <v/>
      </c>
    </row>
    <row r="411" spans="8:14" x14ac:dyDescent="0.25">
      <c r="H411" s="201" t="str">
        <f t="shared" si="6"/>
        <v/>
      </c>
      <c r="N411" s="164" t="str">
        <f>IFERROR(COUNTIF($C$18:C411,C411)&amp;CHOOSE(MIN(4,COUNTIF($C$18:C411,C411)),"st","nd","rd","th"),"")</f>
        <v/>
      </c>
    </row>
    <row r="412" spans="8:14" x14ac:dyDescent="0.25">
      <c r="H412" s="201" t="str">
        <f t="shared" si="6"/>
        <v/>
      </c>
      <c r="N412" s="164" t="str">
        <f>IFERROR(COUNTIF($C$18:C412,C412)&amp;CHOOSE(MIN(4,COUNTIF($C$18:C412,C412)),"st","nd","rd","th"),"")</f>
        <v/>
      </c>
    </row>
    <row r="413" spans="8:14" x14ac:dyDescent="0.25">
      <c r="H413" s="201" t="str">
        <f t="shared" si="6"/>
        <v/>
      </c>
      <c r="N413" s="164" t="str">
        <f>IFERROR(COUNTIF($C$18:C413,C413)&amp;CHOOSE(MIN(4,COUNTIF($C$18:C413,C413)),"st","nd","rd","th"),"")</f>
        <v/>
      </c>
    </row>
    <row r="414" spans="8:14" x14ac:dyDescent="0.25">
      <c r="H414" s="201" t="str">
        <f t="shared" si="6"/>
        <v/>
      </c>
      <c r="N414" s="164" t="str">
        <f>IFERROR(COUNTIF($C$18:C414,C414)&amp;CHOOSE(MIN(4,COUNTIF($C$18:C414,C414)),"st","nd","rd","th"),"")</f>
        <v/>
      </c>
    </row>
    <row r="415" spans="8:14" x14ac:dyDescent="0.25">
      <c r="H415" s="201" t="str">
        <f t="shared" si="6"/>
        <v/>
      </c>
      <c r="N415" s="164" t="str">
        <f>IFERROR(COUNTIF($C$18:C415,C415)&amp;CHOOSE(MIN(4,COUNTIF($C$18:C415,C415)),"st","nd","rd","th"),"")</f>
        <v/>
      </c>
    </row>
    <row r="416" spans="8:14" x14ac:dyDescent="0.25">
      <c r="H416" s="201" t="str">
        <f t="shared" si="6"/>
        <v/>
      </c>
      <c r="N416" s="164" t="str">
        <f>IFERROR(COUNTIF($C$18:C416,C416)&amp;CHOOSE(MIN(4,COUNTIF($C$18:C416,C416)),"st","nd","rd","th"),"")</f>
        <v/>
      </c>
    </row>
    <row r="417" spans="8:14" x14ac:dyDescent="0.25">
      <c r="H417" s="201" t="str">
        <f t="shared" si="6"/>
        <v/>
      </c>
      <c r="N417" s="164" t="str">
        <f>IFERROR(COUNTIF($C$18:C417,C417)&amp;CHOOSE(MIN(4,COUNTIF($C$18:C417,C417)),"st","nd","rd","th"),"")</f>
        <v/>
      </c>
    </row>
    <row r="418" spans="8:14" x14ac:dyDescent="0.25">
      <c r="H418" s="201" t="str">
        <f t="shared" si="6"/>
        <v/>
      </c>
      <c r="N418" s="164" t="str">
        <f>IFERROR(COUNTIF($C$18:C418,C418)&amp;CHOOSE(MIN(4,COUNTIF($C$18:C418,C418)),"st","nd","rd","th"),"")</f>
        <v/>
      </c>
    </row>
    <row r="419" spans="8:14" x14ac:dyDescent="0.25">
      <c r="H419" s="201" t="str">
        <f t="shared" si="6"/>
        <v/>
      </c>
      <c r="N419" s="164" t="str">
        <f>IFERROR(COUNTIF($C$18:C419,C419)&amp;CHOOSE(MIN(4,COUNTIF($C$18:C419,C419)),"st","nd","rd","th"),"")</f>
        <v/>
      </c>
    </row>
    <row r="420" spans="8:14" x14ac:dyDescent="0.25">
      <c r="H420" s="201" t="str">
        <f t="shared" si="6"/>
        <v/>
      </c>
      <c r="N420" s="164" t="str">
        <f>IFERROR(COUNTIF($C$18:C420,C420)&amp;CHOOSE(MIN(4,COUNTIF($C$18:C420,C420)),"st","nd","rd","th"),"")</f>
        <v/>
      </c>
    </row>
    <row r="421" spans="8:14" x14ac:dyDescent="0.25">
      <c r="H421" s="201" t="str">
        <f t="shared" si="6"/>
        <v/>
      </c>
      <c r="N421" s="164" t="str">
        <f>IFERROR(COUNTIF($C$18:C421,C421)&amp;CHOOSE(MIN(4,COUNTIF($C$18:C421,C421)),"st","nd","rd","th"),"")</f>
        <v/>
      </c>
    </row>
    <row r="422" spans="8:14" x14ac:dyDescent="0.25">
      <c r="H422" s="201" t="str">
        <f t="shared" si="6"/>
        <v/>
      </c>
      <c r="N422" s="164" t="str">
        <f>IFERROR(COUNTIF($C$18:C422,C422)&amp;CHOOSE(MIN(4,COUNTIF($C$18:C422,C422)),"st","nd","rd","th"),"")</f>
        <v/>
      </c>
    </row>
    <row r="423" spans="8:14" x14ac:dyDescent="0.25">
      <c r="H423" s="201" t="str">
        <f t="shared" si="6"/>
        <v/>
      </c>
      <c r="N423" s="164" t="str">
        <f>IFERROR(COUNTIF($C$18:C423,C423)&amp;CHOOSE(MIN(4,COUNTIF($C$18:C423,C423)),"st","nd","rd","th"),"")</f>
        <v/>
      </c>
    </row>
    <row r="424" spans="8:14" x14ac:dyDescent="0.25">
      <c r="H424" s="201" t="str">
        <f t="shared" si="6"/>
        <v/>
      </c>
      <c r="N424" s="164" t="str">
        <f>IFERROR(COUNTIF($C$18:C424,C424)&amp;CHOOSE(MIN(4,COUNTIF($C$18:C424,C424)),"st","nd","rd","th"),"")</f>
        <v/>
      </c>
    </row>
    <row r="425" spans="8:14" x14ac:dyDescent="0.25">
      <c r="H425" s="201" t="str">
        <f t="shared" si="6"/>
        <v/>
      </c>
      <c r="N425" s="164" t="str">
        <f>IFERROR(COUNTIF($C$18:C425,C425)&amp;CHOOSE(MIN(4,COUNTIF($C$18:C425,C425)),"st","nd","rd","th"),"")</f>
        <v/>
      </c>
    </row>
    <row r="426" spans="8:14" x14ac:dyDescent="0.25">
      <c r="H426" s="201" t="str">
        <f t="shared" si="6"/>
        <v/>
      </c>
      <c r="N426" s="164" t="str">
        <f>IFERROR(COUNTIF($C$18:C426,C426)&amp;CHOOSE(MIN(4,COUNTIF($C$18:C426,C426)),"st","nd","rd","th"),"")</f>
        <v/>
      </c>
    </row>
    <row r="427" spans="8:14" x14ac:dyDescent="0.25">
      <c r="H427" s="201" t="str">
        <f t="shared" si="6"/>
        <v/>
      </c>
      <c r="N427" s="164" t="str">
        <f>IFERROR(COUNTIF($C$18:C427,C427)&amp;CHOOSE(MIN(4,COUNTIF($C$18:C427,C427)),"st","nd","rd","th"),"")</f>
        <v/>
      </c>
    </row>
    <row r="428" spans="8:14" x14ac:dyDescent="0.25">
      <c r="H428" s="201" t="str">
        <f t="shared" si="6"/>
        <v/>
      </c>
      <c r="N428" s="164" t="str">
        <f>IFERROR(COUNTIF($C$18:C428,C428)&amp;CHOOSE(MIN(4,COUNTIF($C$18:C428,C428)),"st","nd","rd","th"),"")</f>
        <v/>
      </c>
    </row>
    <row r="429" spans="8:14" x14ac:dyDescent="0.25">
      <c r="H429" s="201" t="str">
        <f t="shared" si="6"/>
        <v/>
      </c>
      <c r="N429" s="164" t="str">
        <f>IFERROR(COUNTIF($C$18:C429,C429)&amp;CHOOSE(MIN(4,COUNTIF($C$18:C429,C429)),"st","nd","rd","th"),"")</f>
        <v/>
      </c>
    </row>
    <row r="430" spans="8:14" x14ac:dyDescent="0.25">
      <c r="H430" s="201" t="str">
        <f t="shared" si="6"/>
        <v/>
      </c>
      <c r="N430" s="164" t="str">
        <f>IFERROR(COUNTIF($C$18:C430,C430)&amp;CHOOSE(MIN(4,COUNTIF($C$18:C430,C430)),"st","nd","rd","th"),"")</f>
        <v/>
      </c>
    </row>
    <row r="431" spans="8:14" x14ac:dyDescent="0.25">
      <c r="H431" s="201" t="str">
        <f t="shared" si="6"/>
        <v/>
      </c>
      <c r="N431" s="164" t="str">
        <f>IFERROR(COUNTIF($C$18:C431,C431)&amp;CHOOSE(MIN(4,COUNTIF($C$18:C431,C431)),"st","nd","rd","th"),"")</f>
        <v/>
      </c>
    </row>
    <row r="432" spans="8:14" x14ac:dyDescent="0.25">
      <c r="H432" s="201" t="str">
        <f t="shared" si="6"/>
        <v/>
      </c>
      <c r="N432" s="164" t="str">
        <f>IFERROR(COUNTIF($C$18:C432,C432)&amp;CHOOSE(MIN(4,COUNTIF($C$18:C432,C432)),"st","nd","rd","th"),"")</f>
        <v/>
      </c>
    </row>
    <row r="433" spans="8:14" x14ac:dyDescent="0.25">
      <c r="H433" s="201" t="str">
        <f t="shared" si="6"/>
        <v/>
      </c>
      <c r="N433" s="164" t="str">
        <f>IFERROR(COUNTIF($C$18:C433,C433)&amp;CHOOSE(MIN(4,COUNTIF($C$18:C433,C433)),"st","nd","rd","th"),"")</f>
        <v/>
      </c>
    </row>
    <row r="434" spans="8:14" x14ac:dyDescent="0.25">
      <c r="H434" s="201" t="str">
        <f t="shared" si="6"/>
        <v/>
      </c>
      <c r="N434" s="164" t="str">
        <f>IFERROR(COUNTIF($C$18:C434,C434)&amp;CHOOSE(MIN(4,COUNTIF($C$18:C434,C434)),"st","nd","rd","th"),"")</f>
        <v/>
      </c>
    </row>
    <row r="435" spans="8:14" x14ac:dyDescent="0.25">
      <c r="H435" s="201" t="str">
        <f t="shared" si="6"/>
        <v/>
      </c>
      <c r="N435" s="164" t="str">
        <f>IFERROR(COUNTIF($C$18:C435,C435)&amp;CHOOSE(MIN(4,COUNTIF($C$18:C435,C435)),"st","nd","rd","th"),"")</f>
        <v/>
      </c>
    </row>
    <row r="436" spans="8:14" x14ac:dyDescent="0.25">
      <c r="H436" s="201" t="str">
        <f t="shared" si="6"/>
        <v/>
      </c>
      <c r="N436" s="164" t="str">
        <f>IFERROR(COUNTIF($C$18:C436,C436)&amp;CHOOSE(MIN(4,COUNTIF($C$18:C436,C436)),"st","nd","rd","th"),"")</f>
        <v/>
      </c>
    </row>
    <row r="437" spans="8:14" x14ac:dyDescent="0.25">
      <c r="H437" s="201" t="str">
        <f t="shared" si="6"/>
        <v/>
      </c>
      <c r="N437" s="164" t="str">
        <f>IFERROR(COUNTIF($C$18:C437,C437)&amp;CHOOSE(MIN(4,COUNTIF($C$18:C437,C437)),"st","nd","rd","th"),"")</f>
        <v/>
      </c>
    </row>
    <row r="438" spans="8:14" x14ac:dyDescent="0.25">
      <c r="H438" s="201" t="str">
        <f t="shared" si="6"/>
        <v/>
      </c>
      <c r="N438" s="164" t="str">
        <f>IFERROR(COUNTIF($C$18:C438,C438)&amp;CHOOSE(MIN(4,COUNTIF($C$18:C438,C438)),"st","nd","rd","th"),"")</f>
        <v/>
      </c>
    </row>
    <row r="439" spans="8:14" x14ac:dyDescent="0.25">
      <c r="H439" s="201" t="str">
        <f t="shared" si="6"/>
        <v/>
      </c>
      <c r="N439" s="164" t="str">
        <f>IFERROR(COUNTIF($C$18:C439,C439)&amp;CHOOSE(MIN(4,COUNTIF($C$18:C439,C439)),"st","nd","rd","th"),"")</f>
        <v/>
      </c>
    </row>
    <row r="440" spans="8:14" x14ac:dyDescent="0.25">
      <c r="H440" s="201" t="str">
        <f t="shared" si="6"/>
        <v/>
      </c>
      <c r="N440" s="164" t="str">
        <f>IFERROR(COUNTIF($C$18:C440,C440)&amp;CHOOSE(MIN(4,COUNTIF($C$18:C440,C440)),"st","nd","rd","th"),"")</f>
        <v/>
      </c>
    </row>
    <row r="441" spans="8:14" x14ac:dyDescent="0.25">
      <c r="H441" s="201" t="str">
        <f t="shared" si="6"/>
        <v/>
      </c>
      <c r="N441" s="164" t="str">
        <f>IFERROR(COUNTIF($C$18:C441,C441)&amp;CHOOSE(MIN(4,COUNTIF($C$18:C441,C441)),"st","nd","rd","th"),"")</f>
        <v/>
      </c>
    </row>
    <row r="442" spans="8:14" x14ac:dyDescent="0.25">
      <c r="H442" s="201" t="str">
        <f t="shared" si="6"/>
        <v/>
      </c>
      <c r="N442" s="164" t="str">
        <f>IFERROR(COUNTIF($C$18:C442,C442)&amp;CHOOSE(MIN(4,COUNTIF($C$18:C442,C442)),"st","nd","rd","th"),"")</f>
        <v/>
      </c>
    </row>
    <row r="443" spans="8:14" x14ac:dyDescent="0.25">
      <c r="H443" s="201" t="str">
        <f t="shared" si="6"/>
        <v/>
      </c>
      <c r="N443" s="164" t="str">
        <f>IFERROR(COUNTIF($C$18:C443,C443)&amp;CHOOSE(MIN(4,COUNTIF($C$18:C443,C443)),"st","nd","rd","th"),"")</f>
        <v/>
      </c>
    </row>
    <row r="444" spans="8:14" x14ac:dyDescent="0.25">
      <c r="H444" s="201" t="str">
        <f t="shared" si="6"/>
        <v/>
      </c>
      <c r="N444" s="164" t="str">
        <f>IFERROR(COUNTIF($C$18:C444,C444)&amp;CHOOSE(MIN(4,COUNTIF($C$18:C444,C444)),"st","nd","rd","th"),"")</f>
        <v/>
      </c>
    </row>
    <row r="445" spans="8:14" x14ac:dyDescent="0.25">
      <c r="H445" s="201" t="str">
        <f t="shared" si="6"/>
        <v/>
      </c>
      <c r="N445" s="164" t="str">
        <f>IFERROR(COUNTIF($C$18:C445,C445)&amp;CHOOSE(MIN(4,COUNTIF($C$18:C445,C445)),"st","nd","rd","th"),"")</f>
        <v/>
      </c>
    </row>
    <row r="446" spans="8:14" x14ac:dyDescent="0.25">
      <c r="H446" s="201" t="str">
        <f t="shared" si="6"/>
        <v/>
      </c>
      <c r="N446" s="164" t="str">
        <f>IFERROR(COUNTIF($C$18:C446,C446)&amp;CHOOSE(MIN(4,COUNTIF($C$18:C446,C446)),"st","nd","rd","th"),"")</f>
        <v/>
      </c>
    </row>
    <row r="447" spans="8:14" x14ac:dyDescent="0.25">
      <c r="H447" s="201" t="str">
        <f t="shared" si="6"/>
        <v/>
      </c>
      <c r="N447" s="164" t="str">
        <f>IFERROR(COUNTIF($C$18:C447,C447)&amp;CHOOSE(MIN(4,COUNTIF($C$18:C447,C447)),"st","nd","rd","th"),"")</f>
        <v/>
      </c>
    </row>
    <row r="448" spans="8:14" x14ac:dyDescent="0.25">
      <c r="H448" s="201" t="str">
        <f t="shared" si="6"/>
        <v/>
      </c>
      <c r="N448" s="164" t="str">
        <f>IFERROR(COUNTIF($C$18:C448,C448)&amp;CHOOSE(MIN(4,COUNTIF($C$18:C448,C448)),"st","nd","rd","th"),"")</f>
        <v/>
      </c>
    </row>
    <row r="449" spans="8:14" x14ac:dyDescent="0.25">
      <c r="H449" s="201" t="str">
        <f t="shared" si="6"/>
        <v/>
      </c>
      <c r="N449" s="164" t="str">
        <f>IFERROR(COUNTIF($C$18:C449,C449)&amp;CHOOSE(MIN(4,COUNTIF($C$18:C449,C449)),"st","nd","rd","th"),"")</f>
        <v/>
      </c>
    </row>
    <row r="450" spans="8:14" x14ac:dyDescent="0.25">
      <c r="H450" s="201" t="str">
        <f t="shared" si="6"/>
        <v/>
      </c>
      <c r="N450" s="164" t="str">
        <f>IFERROR(COUNTIF($C$18:C450,C450)&amp;CHOOSE(MIN(4,COUNTIF($C$18:C450,C450)),"st","nd","rd","th"),"")</f>
        <v/>
      </c>
    </row>
    <row r="451" spans="8:14" x14ac:dyDescent="0.25">
      <c r="H451" s="201" t="str">
        <f t="shared" si="6"/>
        <v/>
      </c>
      <c r="N451" s="164" t="str">
        <f>IFERROR(COUNTIF($C$18:C451,C451)&amp;CHOOSE(MIN(4,COUNTIF($C$18:C451,C451)),"st","nd","rd","th"),"")</f>
        <v/>
      </c>
    </row>
    <row r="452" spans="8:14" x14ac:dyDescent="0.25">
      <c r="H452" s="201" t="str">
        <f t="shared" si="6"/>
        <v/>
      </c>
      <c r="N452" s="164" t="str">
        <f>IFERROR(COUNTIF($C$18:C452,C452)&amp;CHOOSE(MIN(4,COUNTIF($C$18:C452,C452)),"st","nd","rd","th"),"")</f>
        <v/>
      </c>
    </row>
    <row r="453" spans="8:14" x14ac:dyDescent="0.25">
      <c r="H453" s="201" t="str">
        <f t="shared" si="6"/>
        <v/>
      </c>
      <c r="N453" s="164" t="str">
        <f>IFERROR(COUNTIF($C$18:C453,C453)&amp;CHOOSE(MIN(4,COUNTIF($C$18:C453,C453)),"st","nd","rd","th"),"")</f>
        <v/>
      </c>
    </row>
    <row r="454" spans="8:14" x14ac:dyDescent="0.25">
      <c r="H454" s="201" t="str">
        <f t="shared" si="6"/>
        <v/>
      </c>
      <c r="N454" s="164" t="str">
        <f>IFERROR(COUNTIF($C$18:C454,C454)&amp;CHOOSE(MIN(4,COUNTIF($C$18:C454,C454)),"st","nd","rd","th"),"")</f>
        <v/>
      </c>
    </row>
    <row r="455" spans="8:14" x14ac:dyDescent="0.25">
      <c r="H455" s="201" t="str">
        <f t="shared" si="6"/>
        <v/>
      </c>
      <c r="N455" s="164" t="str">
        <f>IFERROR(COUNTIF($C$18:C455,C455)&amp;CHOOSE(MIN(4,COUNTIF($C$18:C455,C455)),"st","nd","rd","th"),"")</f>
        <v/>
      </c>
    </row>
    <row r="456" spans="8:14" x14ac:dyDescent="0.25">
      <c r="H456" s="201" t="str">
        <f t="shared" si="6"/>
        <v/>
      </c>
      <c r="N456" s="164" t="str">
        <f>IFERROR(COUNTIF($C$18:C456,C456)&amp;CHOOSE(MIN(4,COUNTIF($C$18:C456,C456)),"st","nd","rd","th"),"")</f>
        <v/>
      </c>
    </row>
    <row r="457" spans="8:14" x14ac:dyDescent="0.25">
      <c r="H457" s="201" t="str">
        <f t="shared" si="6"/>
        <v/>
      </c>
      <c r="N457" s="164" t="str">
        <f>IFERROR(COUNTIF($C$18:C457,C457)&amp;CHOOSE(MIN(4,COUNTIF($C$18:C457,C457)),"st","nd","rd","th"),"")</f>
        <v/>
      </c>
    </row>
    <row r="458" spans="8:14" x14ac:dyDescent="0.25">
      <c r="H458" s="201" t="str">
        <f t="shared" si="6"/>
        <v/>
      </c>
      <c r="N458" s="164" t="str">
        <f>IFERROR(COUNTIF($C$18:C458,C458)&amp;CHOOSE(MIN(4,COUNTIF($C$18:C458,C458)),"st","nd","rd","th"),"")</f>
        <v/>
      </c>
    </row>
    <row r="459" spans="8:14" x14ac:dyDescent="0.25">
      <c r="H459" s="201" t="str">
        <f t="shared" si="6"/>
        <v/>
      </c>
      <c r="N459" s="164" t="str">
        <f>IFERROR(COUNTIF($C$18:C459,C459)&amp;CHOOSE(MIN(4,COUNTIF($C$18:C459,C459)),"st","nd","rd","th"),"")</f>
        <v/>
      </c>
    </row>
    <row r="460" spans="8:14" x14ac:dyDescent="0.25">
      <c r="H460" s="201" t="str">
        <f t="shared" si="6"/>
        <v/>
      </c>
      <c r="N460" s="164" t="str">
        <f>IFERROR(COUNTIF($C$18:C460,C460)&amp;CHOOSE(MIN(4,COUNTIF($C$18:C460,C460)),"st","nd","rd","th"),"")</f>
        <v/>
      </c>
    </row>
    <row r="461" spans="8:14" x14ac:dyDescent="0.25">
      <c r="H461" s="201" t="str">
        <f t="shared" si="6"/>
        <v/>
      </c>
      <c r="N461" s="164" t="str">
        <f>IFERROR(COUNTIF($C$18:C461,C461)&amp;CHOOSE(MIN(4,COUNTIF($C$18:C461,C461)),"st","nd","rd","th"),"")</f>
        <v/>
      </c>
    </row>
    <row r="462" spans="8:14" x14ac:dyDescent="0.25">
      <c r="H462" s="201" t="str">
        <f t="shared" si="6"/>
        <v/>
      </c>
      <c r="N462" s="164" t="str">
        <f>IFERROR(COUNTIF($C$18:C462,C462)&amp;CHOOSE(MIN(4,COUNTIF($C$18:C462,C462)),"st","nd","rd","th"),"")</f>
        <v/>
      </c>
    </row>
    <row r="463" spans="8:14" x14ac:dyDescent="0.25">
      <c r="H463" s="201" t="str">
        <f t="shared" si="6"/>
        <v/>
      </c>
      <c r="N463" s="164" t="str">
        <f>IFERROR(COUNTIF($C$18:C463,C463)&amp;CHOOSE(MIN(4,COUNTIF($C$18:C463,C463)),"st","nd","rd","th"),"")</f>
        <v/>
      </c>
    </row>
    <row r="464" spans="8:14" x14ac:dyDescent="0.25">
      <c r="H464" s="201" t="str">
        <f t="shared" si="6"/>
        <v/>
      </c>
      <c r="N464" s="164" t="str">
        <f>IFERROR(COUNTIF($C$18:C464,C464)&amp;CHOOSE(MIN(4,COUNTIF($C$18:C464,C464)),"st","nd","rd","th"),"")</f>
        <v/>
      </c>
    </row>
    <row r="465" spans="8:14" x14ac:dyDescent="0.25">
      <c r="H465" s="201" t="str">
        <f t="shared" si="6"/>
        <v/>
      </c>
      <c r="N465" s="164" t="str">
        <f>IFERROR(COUNTIF($C$18:C465,C465)&amp;CHOOSE(MIN(4,COUNTIF($C$18:C465,C465)),"st","nd","rd","th"),"")</f>
        <v/>
      </c>
    </row>
    <row r="466" spans="8:14" x14ac:dyDescent="0.25">
      <c r="H466" s="201" t="str">
        <f t="shared" si="6"/>
        <v/>
      </c>
      <c r="N466" s="164" t="str">
        <f>IFERROR(COUNTIF($C$18:C466,C466)&amp;CHOOSE(MIN(4,COUNTIF($C$18:C466,C466)),"st","nd","rd","th"),"")</f>
        <v/>
      </c>
    </row>
    <row r="467" spans="8:14" x14ac:dyDescent="0.25">
      <c r="H467" s="201" t="str">
        <f t="shared" ref="H467:H530" si="7">IF(OR(ISBLANK(G467), ISBLANK(F467)), "", IF(G467=F467, 1, SUM(_xlfn.DAYS(G467, F467), 1)))</f>
        <v/>
      </c>
      <c r="N467" s="164" t="str">
        <f>IFERROR(COUNTIF($C$18:C467,C467)&amp;CHOOSE(MIN(4,COUNTIF($C$18:C467,C467)),"st","nd","rd","th"),"")</f>
        <v/>
      </c>
    </row>
    <row r="468" spans="8:14" x14ac:dyDescent="0.25">
      <c r="H468" s="201" t="str">
        <f t="shared" si="7"/>
        <v/>
      </c>
      <c r="N468" s="164" t="str">
        <f>IFERROR(COUNTIF($C$18:C468,C468)&amp;CHOOSE(MIN(4,COUNTIF($C$18:C468,C468)),"st","nd","rd","th"),"")</f>
        <v/>
      </c>
    </row>
    <row r="469" spans="8:14" x14ac:dyDescent="0.25">
      <c r="H469" s="201" t="str">
        <f t="shared" si="7"/>
        <v/>
      </c>
      <c r="N469" s="164" t="str">
        <f>IFERROR(COUNTIF($C$18:C469,C469)&amp;CHOOSE(MIN(4,COUNTIF($C$18:C469,C469)),"st","nd","rd","th"),"")</f>
        <v/>
      </c>
    </row>
    <row r="470" spans="8:14" x14ac:dyDescent="0.25">
      <c r="H470" s="201" t="str">
        <f t="shared" si="7"/>
        <v/>
      </c>
      <c r="N470" s="164" t="str">
        <f>IFERROR(COUNTIF($C$18:C470,C470)&amp;CHOOSE(MIN(4,COUNTIF($C$18:C470,C470)),"st","nd","rd","th"),"")</f>
        <v/>
      </c>
    </row>
    <row r="471" spans="8:14" x14ac:dyDescent="0.25">
      <c r="H471" s="201" t="str">
        <f t="shared" si="7"/>
        <v/>
      </c>
      <c r="N471" s="164" t="str">
        <f>IFERROR(COUNTIF($C$18:C471,C471)&amp;CHOOSE(MIN(4,COUNTIF($C$18:C471,C471)),"st","nd","rd","th"),"")</f>
        <v/>
      </c>
    </row>
    <row r="472" spans="8:14" x14ac:dyDescent="0.25">
      <c r="H472" s="201" t="str">
        <f t="shared" si="7"/>
        <v/>
      </c>
      <c r="N472" s="164" t="str">
        <f>IFERROR(COUNTIF($C$18:C472,C472)&amp;CHOOSE(MIN(4,COUNTIF($C$18:C472,C472)),"st","nd","rd","th"),"")</f>
        <v/>
      </c>
    </row>
    <row r="473" spans="8:14" x14ac:dyDescent="0.25">
      <c r="H473" s="201" t="str">
        <f t="shared" si="7"/>
        <v/>
      </c>
      <c r="N473" s="164" t="str">
        <f>IFERROR(COUNTIF($C$18:C473,C473)&amp;CHOOSE(MIN(4,COUNTIF($C$18:C473,C473)),"st","nd","rd","th"),"")</f>
        <v/>
      </c>
    </row>
    <row r="474" spans="8:14" x14ac:dyDescent="0.25">
      <c r="H474" s="201" t="str">
        <f t="shared" si="7"/>
        <v/>
      </c>
      <c r="N474" s="164" t="str">
        <f>IFERROR(COUNTIF($C$18:C474,C474)&amp;CHOOSE(MIN(4,COUNTIF($C$18:C474,C474)),"st","nd","rd","th"),"")</f>
        <v/>
      </c>
    </row>
    <row r="475" spans="8:14" x14ac:dyDescent="0.25">
      <c r="H475" s="201" t="str">
        <f t="shared" si="7"/>
        <v/>
      </c>
      <c r="N475" s="164" t="str">
        <f>IFERROR(COUNTIF($C$18:C475,C475)&amp;CHOOSE(MIN(4,COUNTIF($C$18:C475,C475)),"st","nd","rd","th"),"")</f>
        <v/>
      </c>
    </row>
    <row r="476" spans="8:14" x14ac:dyDescent="0.25">
      <c r="H476" s="201" t="str">
        <f t="shared" si="7"/>
        <v/>
      </c>
      <c r="N476" s="164" t="str">
        <f>IFERROR(COUNTIF($C$18:C476,C476)&amp;CHOOSE(MIN(4,COUNTIF($C$18:C476,C476)),"st","nd","rd","th"),"")</f>
        <v/>
      </c>
    </row>
    <row r="477" spans="8:14" x14ac:dyDescent="0.25">
      <c r="H477" s="201" t="str">
        <f t="shared" si="7"/>
        <v/>
      </c>
      <c r="N477" s="164" t="str">
        <f>IFERROR(COUNTIF($C$18:C477,C477)&amp;CHOOSE(MIN(4,COUNTIF($C$18:C477,C477)),"st","nd","rd","th"),"")</f>
        <v/>
      </c>
    </row>
    <row r="478" spans="8:14" x14ac:dyDescent="0.25">
      <c r="H478" s="201" t="str">
        <f t="shared" si="7"/>
        <v/>
      </c>
      <c r="N478" s="164" t="str">
        <f>IFERROR(COUNTIF($C$18:C478,C478)&amp;CHOOSE(MIN(4,COUNTIF($C$18:C478,C478)),"st","nd","rd","th"),"")</f>
        <v/>
      </c>
    </row>
    <row r="479" spans="8:14" x14ac:dyDescent="0.25">
      <c r="H479" s="201" t="str">
        <f t="shared" si="7"/>
        <v/>
      </c>
      <c r="N479" s="164" t="str">
        <f>IFERROR(COUNTIF($C$18:C479,C479)&amp;CHOOSE(MIN(4,COUNTIF($C$18:C479,C479)),"st","nd","rd","th"),"")</f>
        <v/>
      </c>
    </row>
    <row r="480" spans="8:14" x14ac:dyDescent="0.25">
      <c r="H480" s="201" t="str">
        <f t="shared" si="7"/>
        <v/>
      </c>
      <c r="N480" s="164" t="str">
        <f>IFERROR(COUNTIF($C$18:C480,C480)&amp;CHOOSE(MIN(4,COUNTIF($C$18:C480,C480)),"st","nd","rd","th"),"")</f>
        <v/>
      </c>
    </row>
    <row r="481" spans="8:14" x14ac:dyDescent="0.25">
      <c r="H481" s="201" t="str">
        <f t="shared" si="7"/>
        <v/>
      </c>
      <c r="N481" s="164" t="str">
        <f>IFERROR(COUNTIF($C$18:C481,C481)&amp;CHOOSE(MIN(4,COUNTIF($C$18:C481,C481)),"st","nd","rd","th"),"")</f>
        <v/>
      </c>
    </row>
    <row r="482" spans="8:14" x14ac:dyDescent="0.25">
      <c r="H482" s="201" t="str">
        <f t="shared" si="7"/>
        <v/>
      </c>
      <c r="N482" s="164" t="str">
        <f>IFERROR(COUNTIF($C$18:C482,C482)&amp;CHOOSE(MIN(4,COUNTIF($C$18:C482,C482)),"st","nd","rd","th"),"")</f>
        <v/>
      </c>
    </row>
    <row r="483" spans="8:14" x14ac:dyDescent="0.25">
      <c r="H483" s="201" t="str">
        <f t="shared" si="7"/>
        <v/>
      </c>
      <c r="N483" s="164" t="str">
        <f>IFERROR(COUNTIF($C$18:C483,C483)&amp;CHOOSE(MIN(4,COUNTIF($C$18:C483,C483)),"st","nd","rd","th"),"")</f>
        <v/>
      </c>
    </row>
    <row r="484" spans="8:14" x14ac:dyDescent="0.25">
      <c r="H484" s="201" t="str">
        <f t="shared" si="7"/>
        <v/>
      </c>
      <c r="N484" s="164" t="str">
        <f>IFERROR(COUNTIF($C$18:C484,C484)&amp;CHOOSE(MIN(4,COUNTIF($C$18:C484,C484)),"st","nd","rd","th"),"")</f>
        <v/>
      </c>
    </row>
    <row r="485" spans="8:14" x14ac:dyDescent="0.25">
      <c r="H485" s="201" t="str">
        <f t="shared" si="7"/>
        <v/>
      </c>
      <c r="N485" s="164" t="str">
        <f>IFERROR(COUNTIF($C$18:C485,C485)&amp;CHOOSE(MIN(4,COUNTIF($C$18:C485,C485)),"st","nd","rd","th"),"")</f>
        <v/>
      </c>
    </row>
    <row r="486" spans="8:14" x14ac:dyDescent="0.25">
      <c r="H486" s="201" t="str">
        <f t="shared" si="7"/>
        <v/>
      </c>
      <c r="N486" s="164" t="str">
        <f>IFERROR(COUNTIF($C$18:C486,C486)&amp;CHOOSE(MIN(4,COUNTIF($C$18:C486,C486)),"st","nd","rd","th"),"")</f>
        <v/>
      </c>
    </row>
    <row r="487" spans="8:14" x14ac:dyDescent="0.25">
      <c r="H487" s="201" t="str">
        <f t="shared" si="7"/>
        <v/>
      </c>
      <c r="N487" s="164" t="str">
        <f>IFERROR(COUNTIF($C$18:C487,C487)&amp;CHOOSE(MIN(4,COUNTIF($C$18:C487,C487)),"st","nd","rd","th"),"")</f>
        <v/>
      </c>
    </row>
    <row r="488" spans="8:14" x14ac:dyDescent="0.25">
      <c r="H488" s="201" t="str">
        <f t="shared" si="7"/>
        <v/>
      </c>
      <c r="N488" s="164" t="str">
        <f>IFERROR(COUNTIF($C$18:C488,C488)&amp;CHOOSE(MIN(4,COUNTIF($C$18:C488,C488)),"st","nd","rd","th"),"")</f>
        <v/>
      </c>
    </row>
    <row r="489" spans="8:14" x14ac:dyDescent="0.25">
      <c r="H489" s="201" t="str">
        <f t="shared" si="7"/>
        <v/>
      </c>
      <c r="N489" s="164" t="str">
        <f>IFERROR(COUNTIF($C$18:C489,C489)&amp;CHOOSE(MIN(4,COUNTIF($C$18:C489,C489)),"st","nd","rd","th"),"")</f>
        <v/>
      </c>
    </row>
    <row r="490" spans="8:14" x14ac:dyDescent="0.25">
      <c r="H490" s="201" t="str">
        <f t="shared" si="7"/>
        <v/>
      </c>
      <c r="N490" s="164" t="str">
        <f>IFERROR(COUNTIF($C$18:C490,C490)&amp;CHOOSE(MIN(4,COUNTIF($C$18:C490,C490)),"st","nd","rd","th"),"")</f>
        <v/>
      </c>
    </row>
    <row r="491" spans="8:14" x14ac:dyDescent="0.25">
      <c r="H491" s="201" t="str">
        <f t="shared" si="7"/>
        <v/>
      </c>
      <c r="N491" s="164" t="str">
        <f>IFERROR(COUNTIF($C$18:C491,C491)&amp;CHOOSE(MIN(4,COUNTIF($C$18:C491,C491)),"st","nd","rd","th"),"")</f>
        <v/>
      </c>
    </row>
    <row r="492" spans="8:14" x14ac:dyDescent="0.25">
      <c r="H492" s="201" t="str">
        <f t="shared" si="7"/>
        <v/>
      </c>
      <c r="N492" s="164" t="str">
        <f>IFERROR(COUNTIF($C$18:C492,C492)&amp;CHOOSE(MIN(4,COUNTIF($C$18:C492,C492)),"st","nd","rd","th"),"")</f>
        <v/>
      </c>
    </row>
    <row r="493" spans="8:14" x14ac:dyDescent="0.25">
      <c r="H493" s="201" t="str">
        <f t="shared" si="7"/>
        <v/>
      </c>
      <c r="N493" s="164" t="str">
        <f>IFERROR(COUNTIF($C$18:C493,C493)&amp;CHOOSE(MIN(4,COUNTIF($C$18:C493,C493)),"st","nd","rd","th"),"")</f>
        <v/>
      </c>
    </row>
    <row r="494" spans="8:14" x14ac:dyDescent="0.25">
      <c r="H494" s="201" t="str">
        <f t="shared" si="7"/>
        <v/>
      </c>
      <c r="N494" s="164" t="str">
        <f>IFERROR(COUNTIF($C$18:C494,C494)&amp;CHOOSE(MIN(4,COUNTIF($C$18:C494,C494)),"st","nd","rd","th"),"")</f>
        <v/>
      </c>
    </row>
    <row r="495" spans="8:14" x14ac:dyDescent="0.25">
      <c r="H495" s="201" t="str">
        <f t="shared" si="7"/>
        <v/>
      </c>
      <c r="N495" s="164" t="str">
        <f>IFERROR(COUNTIF($C$18:C495,C495)&amp;CHOOSE(MIN(4,COUNTIF($C$18:C495,C495)),"st","nd","rd","th"),"")</f>
        <v/>
      </c>
    </row>
    <row r="496" spans="8:14" x14ac:dyDescent="0.25">
      <c r="H496" s="201" t="str">
        <f t="shared" si="7"/>
        <v/>
      </c>
      <c r="N496" s="164" t="str">
        <f>IFERROR(COUNTIF($C$18:C496,C496)&amp;CHOOSE(MIN(4,COUNTIF($C$18:C496,C496)),"st","nd","rd","th"),"")</f>
        <v/>
      </c>
    </row>
    <row r="497" spans="8:14" x14ac:dyDescent="0.25">
      <c r="H497" s="201" t="str">
        <f t="shared" si="7"/>
        <v/>
      </c>
      <c r="N497" s="164" t="str">
        <f>IFERROR(COUNTIF($C$18:C497,C497)&amp;CHOOSE(MIN(4,COUNTIF($C$18:C497,C497)),"st","nd","rd","th"),"")</f>
        <v/>
      </c>
    </row>
    <row r="498" spans="8:14" x14ac:dyDescent="0.25">
      <c r="H498" s="201" t="str">
        <f t="shared" si="7"/>
        <v/>
      </c>
      <c r="N498" s="164" t="str">
        <f>IFERROR(COUNTIF($C$18:C498,C498)&amp;CHOOSE(MIN(4,COUNTIF($C$18:C498,C498)),"st","nd","rd","th"),"")</f>
        <v/>
      </c>
    </row>
    <row r="499" spans="8:14" x14ac:dyDescent="0.25">
      <c r="H499" s="201" t="str">
        <f t="shared" si="7"/>
        <v/>
      </c>
      <c r="N499" s="164" t="str">
        <f>IFERROR(COUNTIF($C$18:C499,C499)&amp;CHOOSE(MIN(4,COUNTIF($C$18:C499,C499)),"st","nd","rd","th"),"")</f>
        <v/>
      </c>
    </row>
    <row r="500" spans="8:14" x14ac:dyDescent="0.25">
      <c r="H500" s="201" t="str">
        <f t="shared" si="7"/>
        <v/>
      </c>
      <c r="N500" s="164" t="str">
        <f>IFERROR(COUNTIF($C$18:C500,C500)&amp;CHOOSE(MIN(4,COUNTIF($C$18:C500,C500)),"st","nd","rd","th"),"")</f>
        <v/>
      </c>
    </row>
    <row r="501" spans="8:14" x14ac:dyDescent="0.25">
      <c r="H501" s="201" t="str">
        <f t="shared" si="7"/>
        <v/>
      </c>
      <c r="N501" s="164" t="str">
        <f>IFERROR(COUNTIF($C$18:C501,C501)&amp;CHOOSE(MIN(4,COUNTIF($C$18:C501,C501)),"st","nd","rd","th"),"")</f>
        <v/>
      </c>
    </row>
    <row r="502" spans="8:14" x14ac:dyDescent="0.25">
      <c r="H502" s="201" t="str">
        <f t="shared" si="7"/>
        <v/>
      </c>
      <c r="N502" s="164" t="str">
        <f>IFERROR(COUNTIF($C$18:C502,C502)&amp;CHOOSE(MIN(4,COUNTIF($C$18:C502,C502)),"st","nd","rd","th"),"")</f>
        <v/>
      </c>
    </row>
    <row r="503" spans="8:14" x14ac:dyDescent="0.25">
      <c r="H503" s="201" t="str">
        <f t="shared" si="7"/>
        <v/>
      </c>
      <c r="N503" s="164" t="str">
        <f>IFERROR(COUNTIF($C$18:C503,C503)&amp;CHOOSE(MIN(4,COUNTIF($C$18:C503,C503)),"st","nd","rd","th"),"")</f>
        <v/>
      </c>
    </row>
    <row r="504" spans="8:14" x14ac:dyDescent="0.25">
      <c r="H504" s="201" t="str">
        <f t="shared" si="7"/>
        <v/>
      </c>
      <c r="N504" s="164" t="str">
        <f>IFERROR(COUNTIF($C$18:C504,C504)&amp;CHOOSE(MIN(4,COUNTIF($C$18:C504,C504)),"st","nd","rd","th"),"")</f>
        <v/>
      </c>
    </row>
    <row r="505" spans="8:14" x14ac:dyDescent="0.25">
      <c r="H505" s="201" t="str">
        <f t="shared" si="7"/>
        <v/>
      </c>
      <c r="N505" s="164" t="str">
        <f>IFERROR(COUNTIF($C$18:C505,C505)&amp;CHOOSE(MIN(4,COUNTIF($C$18:C505,C505)),"st","nd","rd","th"),"")</f>
        <v/>
      </c>
    </row>
    <row r="506" spans="8:14" x14ac:dyDescent="0.25">
      <c r="H506" s="201" t="str">
        <f t="shared" si="7"/>
        <v/>
      </c>
      <c r="N506" s="164" t="str">
        <f>IFERROR(COUNTIF($C$18:C506,C506)&amp;CHOOSE(MIN(4,COUNTIF($C$18:C506,C506)),"st","nd","rd","th"),"")</f>
        <v/>
      </c>
    </row>
    <row r="507" spans="8:14" x14ac:dyDescent="0.25">
      <c r="H507" s="201" t="str">
        <f t="shared" si="7"/>
        <v/>
      </c>
      <c r="N507" s="164" t="str">
        <f>IFERROR(COUNTIF($C$18:C507,C507)&amp;CHOOSE(MIN(4,COUNTIF($C$18:C507,C507)),"st","nd","rd","th"),"")</f>
        <v/>
      </c>
    </row>
    <row r="508" spans="8:14" x14ac:dyDescent="0.25">
      <c r="H508" s="201" t="str">
        <f t="shared" si="7"/>
        <v/>
      </c>
      <c r="N508" s="164" t="str">
        <f>IFERROR(COUNTIF($C$18:C508,C508)&amp;CHOOSE(MIN(4,COUNTIF($C$18:C508,C508)),"st","nd","rd","th"),"")</f>
        <v/>
      </c>
    </row>
    <row r="509" spans="8:14" x14ac:dyDescent="0.25">
      <c r="H509" s="201" t="str">
        <f t="shared" si="7"/>
        <v/>
      </c>
      <c r="N509" s="164" t="str">
        <f>IFERROR(COUNTIF($C$18:C509,C509)&amp;CHOOSE(MIN(4,COUNTIF($C$18:C509,C509)),"st","nd","rd","th"),"")</f>
        <v/>
      </c>
    </row>
    <row r="510" spans="8:14" x14ac:dyDescent="0.25">
      <c r="H510" s="201" t="str">
        <f t="shared" si="7"/>
        <v/>
      </c>
      <c r="N510" s="164" t="str">
        <f>IFERROR(COUNTIF($C$18:C510,C510)&amp;CHOOSE(MIN(4,COUNTIF($C$18:C510,C510)),"st","nd","rd","th"),"")</f>
        <v/>
      </c>
    </row>
    <row r="511" spans="8:14" x14ac:dyDescent="0.25">
      <c r="H511" s="201" t="str">
        <f t="shared" si="7"/>
        <v/>
      </c>
      <c r="N511" s="164" t="str">
        <f>IFERROR(COUNTIF($C$18:C511,C511)&amp;CHOOSE(MIN(4,COUNTIF($C$18:C511,C511)),"st","nd","rd","th"),"")</f>
        <v/>
      </c>
    </row>
    <row r="512" spans="8:14" x14ac:dyDescent="0.25">
      <c r="H512" s="201" t="str">
        <f t="shared" si="7"/>
        <v/>
      </c>
      <c r="N512" s="164" t="str">
        <f>IFERROR(COUNTIF($C$18:C512,C512)&amp;CHOOSE(MIN(4,COUNTIF($C$18:C512,C512)),"st","nd","rd","th"),"")</f>
        <v/>
      </c>
    </row>
    <row r="513" spans="8:14" x14ac:dyDescent="0.25">
      <c r="H513" s="201" t="str">
        <f t="shared" si="7"/>
        <v/>
      </c>
      <c r="N513" s="164" t="str">
        <f>IFERROR(COUNTIF($C$18:C513,C513)&amp;CHOOSE(MIN(4,COUNTIF($C$18:C513,C513)),"st","nd","rd","th"),"")</f>
        <v/>
      </c>
    </row>
    <row r="514" spans="8:14" x14ac:dyDescent="0.25">
      <c r="H514" s="201" t="str">
        <f t="shared" si="7"/>
        <v/>
      </c>
      <c r="N514" s="164" t="str">
        <f>IFERROR(COUNTIF($C$18:C514,C514)&amp;CHOOSE(MIN(4,COUNTIF($C$18:C514,C514)),"st","nd","rd","th"),"")</f>
        <v/>
      </c>
    </row>
    <row r="515" spans="8:14" x14ac:dyDescent="0.25">
      <c r="H515" s="201" t="str">
        <f t="shared" si="7"/>
        <v/>
      </c>
      <c r="N515" s="164" t="str">
        <f>IFERROR(COUNTIF($C$18:C515,C515)&amp;CHOOSE(MIN(4,COUNTIF($C$18:C515,C515)),"st","nd","rd","th"),"")</f>
        <v/>
      </c>
    </row>
    <row r="516" spans="8:14" x14ac:dyDescent="0.25">
      <c r="H516" s="201" t="str">
        <f t="shared" si="7"/>
        <v/>
      </c>
      <c r="N516" s="164" t="str">
        <f>IFERROR(COUNTIF($C$18:C516,C516)&amp;CHOOSE(MIN(4,COUNTIF($C$18:C516,C516)),"st","nd","rd","th"),"")</f>
        <v/>
      </c>
    </row>
    <row r="517" spans="8:14" x14ac:dyDescent="0.25">
      <c r="H517" s="201" t="str">
        <f t="shared" si="7"/>
        <v/>
      </c>
      <c r="N517" s="164" t="str">
        <f>IFERROR(COUNTIF($C$18:C517,C517)&amp;CHOOSE(MIN(4,COUNTIF($C$18:C517,C517)),"st","nd","rd","th"),"")</f>
        <v/>
      </c>
    </row>
    <row r="518" spans="8:14" x14ac:dyDescent="0.25">
      <c r="H518" s="201" t="str">
        <f t="shared" si="7"/>
        <v/>
      </c>
      <c r="N518" s="164" t="str">
        <f>IFERROR(COUNTIF($C$18:C518,C518)&amp;CHOOSE(MIN(4,COUNTIF($C$18:C518,C518)),"st","nd","rd","th"),"")</f>
        <v/>
      </c>
    </row>
    <row r="519" spans="8:14" x14ac:dyDescent="0.25">
      <c r="H519" s="201" t="str">
        <f t="shared" si="7"/>
        <v/>
      </c>
      <c r="N519" s="164" t="str">
        <f>IFERROR(COUNTIF($C$18:C519,C519)&amp;CHOOSE(MIN(4,COUNTIF($C$18:C519,C519)),"st","nd","rd","th"),"")</f>
        <v/>
      </c>
    </row>
    <row r="520" spans="8:14" x14ac:dyDescent="0.25">
      <c r="H520" s="201" t="str">
        <f t="shared" si="7"/>
        <v/>
      </c>
      <c r="N520" s="164" t="str">
        <f>IFERROR(COUNTIF($C$18:C520,C520)&amp;CHOOSE(MIN(4,COUNTIF($C$18:C520,C520)),"st","nd","rd","th"),"")</f>
        <v/>
      </c>
    </row>
    <row r="521" spans="8:14" x14ac:dyDescent="0.25">
      <c r="H521" s="201" t="str">
        <f t="shared" si="7"/>
        <v/>
      </c>
      <c r="N521" s="164" t="str">
        <f>IFERROR(COUNTIF($C$18:C521,C521)&amp;CHOOSE(MIN(4,COUNTIF($C$18:C521,C521)),"st","nd","rd","th"),"")</f>
        <v/>
      </c>
    </row>
    <row r="522" spans="8:14" x14ac:dyDescent="0.25">
      <c r="H522" s="201" t="str">
        <f t="shared" si="7"/>
        <v/>
      </c>
      <c r="N522" s="164" t="str">
        <f>IFERROR(COUNTIF($C$18:C522,C522)&amp;CHOOSE(MIN(4,COUNTIF($C$18:C522,C522)),"st","nd","rd","th"),"")</f>
        <v/>
      </c>
    </row>
    <row r="523" spans="8:14" x14ac:dyDescent="0.25">
      <c r="H523" s="201" t="str">
        <f t="shared" si="7"/>
        <v/>
      </c>
      <c r="N523" s="164" t="str">
        <f>IFERROR(COUNTIF($C$18:C523,C523)&amp;CHOOSE(MIN(4,COUNTIF($C$18:C523,C523)),"st","nd","rd","th"),"")</f>
        <v/>
      </c>
    </row>
    <row r="524" spans="8:14" x14ac:dyDescent="0.25">
      <c r="H524" s="201" t="str">
        <f t="shared" si="7"/>
        <v/>
      </c>
      <c r="N524" s="164" t="str">
        <f>IFERROR(COUNTIF($C$18:C524,C524)&amp;CHOOSE(MIN(4,COUNTIF($C$18:C524,C524)),"st","nd","rd","th"),"")</f>
        <v/>
      </c>
    </row>
    <row r="525" spans="8:14" x14ac:dyDescent="0.25">
      <c r="H525" s="201" t="str">
        <f t="shared" si="7"/>
        <v/>
      </c>
      <c r="N525" s="164" t="str">
        <f>IFERROR(COUNTIF($C$18:C525,C525)&amp;CHOOSE(MIN(4,COUNTIF($C$18:C525,C525)),"st","nd","rd","th"),"")</f>
        <v/>
      </c>
    </row>
    <row r="526" spans="8:14" x14ac:dyDescent="0.25">
      <c r="H526" s="201" t="str">
        <f t="shared" si="7"/>
        <v/>
      </c>
      <c r="N526" s="164" t="str">
        <f>IFERROR(COUNTIF($C$18:C526,C526)&amp;CHOOSE(MIN(4,COUNTIF($C$18:C526,C526)),"st","nd","rd","th"),"")</f>
        <v/>
      </c>
    </row>
    <row r="527" spans="8:14" x14ac:dyDescent="0.25">
      <c r="H527" s="201" t="str">
        <f t="shared" si="7"/>
        <v/>
      </c>
      <c r="N527" s="164" t="str">
        <f>IFERROR(COUNTIF($C$18:C527,C527)&amp;CHOOSE(MIN(4,COUNTIF($C$18:C527,C527)),"st","nd","rd","th"),"")</f>
        <v/>
      </c>
    </row>
    <row r="528" spans="8:14" x14ac:dyDescent="0.25">
      <c r="H528" s="201" t="str">
        <f t="shared" si="7"/>
        <v/>
      </c>
      <c r="N528" s="164" t="str">
        <f>IFERROR(COUNTIF($C$18:C528,C528)&amp;CHOOSE(MIN(4,COUNTIF($C$18:C528,C528)),"st","nd","rd","th"),"")</f>
        <v/>
      </c>
    </row>
    <row r="529" spans="8:14" x14ac:dyDescent="0.25">
      <c r="H529" s="201" t="str">
        <f t="shared" si="7"/>
        <v/>
      </c>
      <c r="N529" s="164" t="str">
        <f>IFERROR(COUNTIF($C$18:C529,C529)&amp;CHOOSE(MIN(4,COUNTIF($C$18:C529,C529)),"st","nd","rd","th"),"")</f>
        <v/>
      </c>
    </row>
    <row r="530" spans="8:14" x14ac:dyDescent="0.25">
      <c r="H530" s="201" t="str">
        <f t="shared" si="7"/>
        <v/>
      </c>
      <c r="N530" s="164" t="str">
        <f>IFERROR(COUNTIF($C$18:C530,C530)&amp;CHOOSE(MIN(4,COUNTIF($C$18:C530,C530)),"st","nd","rd","th"),"")</f>
        <v/>
      </c>
    </row>
    <row r="531" spans="8:14" x14ac:dyDescent="0.25">
      <c r="H531" s="201" t="str">
        <f t="shared" ref="H531:H594" si="8">IF(OR(ISBLANK(G531), ISBLANK(F531)), "", IF(G531=F531, 1, SUM(_xlfn.DAYS(G531, F531), 1)))</f>
        <v/>
      </c>
      <c r="N531" s="164" t="str">
        <f>IFERROR(COUNTIF($C$18:C531,C531)&amp;CHOOSE(MIN(4,COUNTIF($C$18:C531,C531)),"st","nd","rd","th"),"")</f>
        <v/>
      </c>
    </row>
    <row r="532" spans="8:14" x14ac:dyDescent="0.25">
      <c r="H532" s="201" t="str">
        <f t="shared" si="8"/>
        <v/>
      </c>
      <c r="N532" s="164" t="str">
        <f>IFERROR(COUNTIF($C$18:C532,C532)&amp;CHOOSE(MIN(4,COUNTIF($C$18:C532,C532)),"st","nd","rd","th"),"")</f>
        <v/>
      </c>
    </row>
    <row r="533" spans="8:14" x14ac:dyDescent="0.25">
      <c r="H533" s="201" t="str">
        <f t="shared" si="8"/>
        <v/>
      </c>
      <c r="N533" s="164" t="str">
        <f>IFERROR(COUNTIF($C$18:C533,C533)&amp;CHOOSE(MIN(4,COUNTIF($C$18:C533,C533)),"st","nd","rd","th"),"")</f>
        <v/>
      </c>
    </row>
    <row r="534" spans="8:14" x14ac:dyDescent="0.25">
      <c r="H534" s="201" t="str">
        <f t="shared" si="8"/>
        <v/>
      </c>
      <c r="N534" s="164" t="str">
        <f>IFERROR(COUNTIF($C$18:C534,C534)&amp;CHOOSE(MIN(4,COUNTIF($C$18:C534,C534)),"st","nd","rd","th"),"")</f>
        <v/>
      </c>
    </row>
    <row r="535" spans="8:14" x14ac:dyDescent="0.25">
      <c r="H535" s="201" t="str">
        <f t="shared" si="8"/>
        <v/>
      </c>
      <c r="N535" s="164" t="str">
        <f>IFERROR(COUNTIF($C$18:C535,C535)&amp;CHOOSE(MIN(4,COUNTIF($C$18:C535,C535)),"st","nd","rd","th"),"")</f>
        <v/>
      </c>
    </row>
    <row r="536" spans="8:14" x14ac:dyDescent="0.25">
      <c r="H536" s="201" t="str">
        <f t="shared" si="8"/>
        <v/>
      </c>
      <c r="N536" s="164" t="str">
        <f>IFERROR(COUNTIF($C$18:C536,C536)&amp;CHOOSE(MIN(4,COUNTIF($C$18:C536,C536)),"st","nd","rd","th"),"")</f>
        <v/>
      </c>
    </row>
    <row r="537" spans="8:14" x14ac:dyDescent="0.25">
      <c r="H537" s="201" t="str">
        <f t="shared" si="8"/>
        <v/>
      </c>
      <c r="N537" s="164" t="str">
        <f>IFERROR(COUNTIF($C$18:C537,C537)&amp;CHOOSE(MIN(4,COUNTIF($C$18:C537,C537)),"st","nd","rd","th"),"")</f>
        <v/>
      </c>
    </row>
    <row r="538" spans="8:14" x14ac:dyDescent="0.25">
      <c r="H538" s="201" t="str">
        <f t="shared" si="8"/>
        <v/>
      </c>
      <c r="N538" s="164" t="str">
        <f>IFERROR(COUNTIF($C$18:C538,C538)&amp;CHOOSE(MIN(4,COUNTIF($C$18:C538,C538)),"st","nd","rd","th"),"")</f>
        <v/>
      </c>
    </row>
    <row r="539" spans="8:14" x14ac:dyDescent="0.25">
      <c r="H539" s="201" t="str">
        <f t="shared" si="8"/>
        <v/>
      </c>
      <c r="N539" s="164" t="str">
        <f>IFERROR(COUNTIF($C$18:C539,C539)&amp;CHOOSE(MIN(4,COUNTIF($C$18:C539,C539)),"st","nd","rd","th"),"")</f>
        <v/>
      </c>
    </row>
    <row r="540" spans="8:14" x14ac:dyDescent="0.25">
      <c r="H540" s="201" t="str">
        <f t="shared" si="8"/>
        <v/>
      </c>
      <c r="N540" s="164" t="str">
        <f>IFERROR(COUNTIF($C$18:C540,C540)&amp;CHOOSE(MIN(4,COUNTIF($C$18:C540,C540)),"st","nd","rd","th"),"")</f>
        <v/>
      </c>
    </row>
    <row r="541" spans="8:14" x14ac:dyDescent="0.25">
      <c r="H541" s="201" t="str">
        <f t="shared" si="8"/>
        <v/>
      </c>
      <c r="N541" s="164" t="str">
        <f>IFERROR(COUNTIF($C$18:C541,C541)&amp;CHOOSE(MIN(4,COUNTIF($C$18:C541,C541)),"st","nd","rd","th"),"")</f>
        <v/>
      </c>
    </row>
    <row r="542" spans="8:14" x14ac:dyDescent="0.25">
      <c r="H542" s="201" t="str">
        <f t="shared" si="8"/>
        <v/>
      </c>
      <c r="N542" s="164" t="str">
        <f>IFERROR(COUNTIF($C$18:C542,C542)&amp;CHOOSE(MIN(4,COUNTIF($C$18:C542,C542)),"st","nd","rd","th"),"")</f>
        <v/>
      </c>
    </row>
    <row r="543" spans="8:14" x14ac:dyDescent="0.25">
      <c r="H543" s="201" t="str">
        <f t="shared" si="8"/>
        <v/>
      </c>
      <c r="N543" s="164" t="str">
        <f>IFERROR(COUNTIF($C$18:C543,C543)&amp;CHOOSE(MIN(4,COUNTIF($C$18:C543,C543)),"st","nd","rd","th"),"")</f>
        <v/>
      </c>
    </row>
    <row r="544" spans="8:14" x14ac:dyDescent="0.25">
      <c r="H544" s="201" t="str">
        <f t="shared" si="8"/>
        <v/>
      </c>
      <c r="N544" s="164" t="str">
        <f>IFERROR(COUNTIF($C$18:C544,C544)&amp;CHOOSE(MIN(4,COUNTIF($C$18:C544,C544)),"st","nd","rd","th"),"")</f>
        <v/>
      </c>
    </row>
    <row r="545" spans="8:14" x14ac:dyDescent="0.25">
      <c r="H545" s="201" t="str">
        <f t="shared" si="8"/>
        <v/>
      </c>
      <c r="N545" s="164" t="str">
        <f>IFERROR(COUNTIF($C$18:C545,C545)&amp;CHOOSE(MIN(4,COUNTIF($C$18:C545,C545)),"st","nd","rd","th"),"")</f>
        <v/>
      </c>
    </row>
    <row r="546" spans="8:14" x14ac:dyDescent="0.25">
      <c r="H546" s="201" t="str">
        <f t="shared" si="8"/>
        <v/>
      </c>
      <c r="N546" s="164" t="str">
        <f>IFERROR(COUNTIF($C$18:C546,C546)&amp;CHOOSE(MIN(4,COUNTIF($C$18:C546,C546)),"st","nd","rd","th"),"")</f>
        <v/>
      </c>
    </row>
    <row r="547" spans="8:14" x14ac:dyDescent="0.25">
      <c r="H547" s="201" t="str">
        <f t="shared" si="8"/>
        <v/>
      </c>
      <c r="N547" s="164" t="str">
        <f>IFERROR(COUNTIF($C$18:C547,C547)&amp;CHOOSE(MIN(4,COUNTIF($C$18:C547,C547)),"st","nd","rd","th"),"")</f>
        <v/>
      </c>
    </row>
    <row r="548" spans="8:14" x14ac:dyDescent="0.25">
      <c r="H548" s="201" t="str">
        <f t="shared" si="8"/>
        <v/>
      </c>
      <c r="N548" s="164" t="str">
        <f>IFERROR(COUNTIF($C$18:C548,C548)&amp;CHOOSE(MIN(4,COUNTIF($C$18:C548,C548)),"st","nd","rd","th"),"")</f>
        <v/>
      </c>
    </row>
    <row r="549" spans="8:14" x14ac:dyDescent="0.25">
      <c r="H549" s="201" t="str">
        <f t="shared" si="8"/>
        <v/>
      </c>
      <c r="N549" s="164" t="str">
        <f>IFERROR(COUNTIF($C$18:C549,C549)&amp;CHOOSE(MIN(4,COUNTIF($C$18:C549,C549)),"st","nd","rd","th"),"")</f>
        <v/>
      </c>
    </row>
    <row r="550" spans="8:14" x14ac:dyDescent="0.25">
      <c r="H550" s="201" t="str">
        <f t="shared" si="8"/>
        <v/>
      </c>
      <c r="N550" s="164" t="str">
        <f>IFERROR(COUNTIF($C$18:C550,C550)&amp;CHOOSE(MIN(4,COUNTIF($C$18:C550,C550)),"st","nd","rd","th"),"")</f>
        <v/>
      </c>
    </row>
    <row r="551" spans="8:14" x14ac:dyDescent="0.25">
      <c r="H551" s="201" t="str">
        <f t="shared" si="8"/>
        <v/>
      </c>
      <c r="N551" s="164" t="str">
        <f>IFERROR(COUNTIF($C$18:C551,C551)&amp;CHOOSE(MIN(4,COUNTIF($C$18:C551,C551)),"st","nd","rd","th"),"")</f>
        <v/>
      </c>
    </row>
    <row r="552" spans="8:14" x14ac:dyDescent="0.25">
      <c r="H552" s="201" t="str">
        <f t="shared" si="8"/>
        <v/>
      </c>
      <c r="N552" s="164" t="str">
        <f>IFERROR(COUNTIF($C$18:C552,C552)&amp;CHOOSE(MIN(4,COUNTIF($C$18:C552,C552)),"st","nd","rd","th"),"")</f>
        <v/>
      </c>
    </row>
    <row r="553" spans="8:14" x14ac:dyDescent="0.25">
      <c r="H553" s="201" t="str">
        <f t="shared" si="8"/>
        <v/>
      </c>
      <c r="N553" s="164" t="str">
        <f>IFERROR(COUNTIF($C$18:C553,C553)&amp;CHOOSE(MIN(4,COUNTIF($C$18:C553,C553)),"st","nd","rd","th"),"")</f>
        <v/>
      </c>
    </row>
    <row r="554" spans="8:14" x14ac:dyDescent="0.25">
      <c r="H554" s="201" t="str">
        <f t="shared" si="8"/>
        <v/>
      </c>
      <c r="N554" s="164" t="str">
        <f>IFERROR(COUNTIF($C$18:C554,C554)&amp;CHOOSE(MIN(4,COUNTIF($C$18:C554,C554)),"st","nd","rd","th"),"")</f>
        <v/>
      </c>
    </row>
    <row r="555" spans="8:14" x14ac:dyDescent="0.25">
      <c r="H555" s="201" t="str">
        <f t="shared" si="8"/>
        <v/>
      </c>
      <c r="N555" s="164" t="str">
        <f>IFERROR(COUNTIF($C$18:C555,C555)&amp;CHOOSE(MIN(4,COUNTIF($C$18:C555,C555)),"st","nd","rd","th"),"")</f>
        <v/>
      </c>
    </row>
    <row r="556" spans="8:14" x14ac:dyDescent="0.25">
      <c r="H556" s="201" t="str">
        <f t="shared" si="8"/>
        <v/>
      </c>
      <c r="N556" s="164" t="str">
        <f>IFERROR(COUNTIF($C$18:C556,C556)&amp;CHOOSE(MIN(4,COUNTIF($C$18:C556,C556)),"st","nd","rd","th"),"")</f>
        <v/>
      </c>
    </row>
    <row r="557" spans="8:14" x14ac:dyDescent="0.25">
      <c r="H557" s="201" t="str">
        <f t="shared" si="8"/>
        <v/>
      </c>
      <c r="N557" s="164" t="str">
        <f>IFERROR(COUNTIF($C$18:C557,C557)&amp;CHOOSE(MIN(4,COUNTIF($C$18:C557,C557)),"st","nd","rd","th"),"")</f>
        <v/>
      </c>
    </row>
    <row r="558" spans="8:14" x14ac:dyDescent="0.25">
      <c r="H558" s="201" t="str">
        <f t="shared" si="8"/>
        <v/>
      </c>
      <c r="N558" s="164" t="str">
        <f>IFERROR(COUNTIF($C$18:C558,C558)&amp;CHOOSE(MIN(4,COUNTIF($C$18:C558,C558)),"st","nd","rd","th"),"")</f>
        <v/>
      </c>
    </row>
    <row r="559" spans="8:14" x14ac:dyDescent="0.25">
      <c r="H559" s="201" t="str">
        <f t="shared" si="8"/>
        <v/>
      </c>
      <c r="N559" s="164" t="str">
        <f>IFERROR(COUNTIF($C$18:C559,C559)&amp;CHOOSE(MIN(4,COUNTIF($C$18:C559,C559)),"st","nd","rd","th"),"")</f>
        <v/>
      </c>
    </row>
    <row r="560" spans="8:14" x14ac:dyDescent="0.25">
      <c r="H560" s="201" t="str">
        <f t="shared" si="8"/>
        <v/>
      </c>
      <c r="N560" s="164" t="str">
        <f>IFERROR(COUNTIF($C$18:C560,C560)&amp;CHOOSE(MIN(4,COUNTIF($C$18:C560,C560)),"st","nd","rd","th"),"")</f>
        <v/>
      </c>
    </row>
    <row r="561" spans="8:14" x14ac:dyDescent="0.25">
      <c r="H561" s="201" t="str">
        <f t="shared" si="8"/>
        <v/>
      </c>
      <c r="N561" s="164" t="str">
        <f>IFERROR(COUNTIF($C$18:C561,C561)&amp;CHOOSE(MIN(4,COUNTIF($C$18:C561,C561)),"st","nd","rd","th"),"")</f>
        <v/>
      </c>
    </row>
    <row r="562" spans="8:14" x14ac:dyDescent="0.25">
      <c r="H562" s="201" t="str">
        <f t="shared" si="8"/>
        <v/>
      </c>
      <c r="N562" s="164" t="str">
        <f>IFERROR(COUNTIF($C$18:C562,C562)&amp;CHOOSE(MIN(4,COUNTIF($C$18:C562,C562)),"st","nd","rd","th"),"")</f>
        <v/>
      </c>
    </row>
    <row r="563" spans="8:14" x14ac:dyDescent="0.25">
      <c r="H563" s="201" t="str">
        <f t="shared" si="8"/>
        <v/>
      </c>
      <c r="N563" s="164" t="str">
        <f>IFERROR(COUNTIF($C$18:C563,C563)&amp;CHOOSE(MIN(4,COUNTIF($C$18:C563,C563)),"st","nd","rd","th"),"")</f>
        <v/>
      </c>
    </row>
    <row r="564" spans="8:14" x14ac:dyDescent="0.25">
      <c r="H564" s="201" t="str">
        <f t="shared" si="8"/>
        <v/>
      </c>
      <c r="N564" s="164" t="str">
        <f>IFERROR(COUNTIF($C$18:C564,C564)&amp;CHOOSE(MIN(4,COUNTIF($C$18:C564,C564)),"st","nd","rd","th"),"")</f>
        <v/>
      </c>
    </row>
    <row r="565" spans="8:14" x14ac:dyDescent="0.25">
      <c r="H565" s="201" t="str">
        <f t="shared" si="8"/>
        <v/>
      </c>
      <c r="N565" s="164" t="str">
        <f>IFERROR(COUNTIF($C$18:C565,C565)&amp;CHOOSE(MIN(4,COUNTIF($C$18:C565,C565)),"st","nd","rd","th"),"")</f>
        <v/>
      </c>
    </row>
    <row r="566" spans="8:14" x14ac:dyDescent="0.25">
      <c r="H566" s="201" t="str">
        <f t="shared" si="8"/>
        <v/>
      </c>
      <c r="N566" s="164" t="str">
        <f>IFERROR(COUNTIF($C$18:C566,C566)&amp;CHOOSE(MIN(4,COUNTIF($C$18:C566,C566)),"st","nd","rd","th"),"")</f>
        <v/>
      </c>
    </row>
    <row r="567" spans="8:14" x14ac:dyDescent="0.25">
      <c r="H567" s="201" t="str">
        <f t="shared" si="8"/>
        <v/>
      </c>
      <c r="N567" s="164" t="str">
        <f>IFERROR(COUNTIF($C$18:C567,C567)&amp;CHOOSE(MIN(4,COUNTIF($C$18:C567,C567)),"st","nd","rd","th"),"")</f>
        <v/>
      </c>
    </row>
    <row r="568" spans="8:14" x14ac:dyDescent="0.25">
      <c r="H568" s="201" t="str">
        <f t="shared" si="8"/>
        <v/>
      </c>
      <c r="N568" s="164" t="str">
        <f>IFERROR(COUNTIF($C$18:C568,C568)&amp;CHOOSE(MIN(4,COUNTIF($C$18:C568,C568)),"st","nd","rd","th"),"")</f>
        <v/>
      </c>
    </row>
    <row r="569" spans="8:14" x14ac:dyDescent="0.25">
      <c r="H569" s="201" t="str">
        <f t="shared" si="8"/>
        <v/>
      </c>
      <c r="N569" s="164" t="str">
        <f>IFERROR(COUNTIF($C$18:C569,C569)&amp;CHOOSE(MIN(4,COUNTIF($C$18:C569,C569)),"st","nd","rd","th"),"")</f>
        <v/>
      </c>
    </row>
    <row r="570" spans="8:14" x14ac:dyDescent="0.25">
      <c r="H570" s="201" t="str">
        <f t="shared" si="8"/>
        <v/>
      </c>
      <c r="N570" s="164" t="str">
        <f>IFERROR(COUNTIF($C$18:C570,C570)&amp;CHOOSE(MIN(4,COUNTIF($C$18:C570,C570)),"st","nd","rd","th"),"")</f>
        <v/>
      </c>
    </row>
    <row r="571" spans="8:14" x14ac:dyDescent="0.25">
      <c r="H571" s="201" t="str">
        <f t="shared" si="8"/>
        <v/>
      </c>
      <c r="N571" s="164" t="str">
        <f>IFERROR(COUNTIF($C$18:C571,C571)&amp;CHOOSE(MIN(4,COUNTIF($C$18:C571,C571)),"st","nd","rd","th"),"")</f>
        <v/>
      </c>
    </row>
    <row r="572" spans="8:14" x14ac:dyDescent="0.25">
      <c r="H572" s="201" t="str">
        <f t="shared" si="8"/>
        <v/>
      </c>
      <c r="N572" s="164" t="str">
        <f>IFERROR(COUNTIF($C$18:C572,C572)&amp;CHOOSE(MIN(4,COUNTIF($C$18:C572,C572)),"st","nd","rd","th"),"")</f>
        <v/>
      </c>
    </row>
    <row r="573" spans="8:14" x14ac:dyDescent="0.25">
      <c r="H573" s="201" t="str">
        <f t="shared" si="8"/>
        <v/>
      </c>
      <c r="N573" s="164" t="str">
        <f>IFERROR(COUNTIF($C$18:C573,C573)&amp;CHOOSE(MIN(4,COUNTIF($C$18:C573,C573)),"st","nd","rd","th"),"")</f>
        <v/>
      </c>
    </row>
    <row r="574" spans="8:14" x14ac:dyDescent="0.25">
      <c r="H574" s="201" t="str">
        <f t="shared" si="8"/>
        <v/>
      </c>
      <c r="N574" s="164" t="str">
        <f>IFERROR(COUNTIF($C$18:C574,C574)&amp;CHOOSE(MIN(4,COUNTIF($C$18:C574,C574)),"st","nd","rd","th"),"")</f>
        <v/>
      </c>
    </row>
    <row r="575" spans="8:14" x14ac:dyDescent="0.25">
      <c r="H575" s="201" t="str">
        <f t="shared" si="8"/>
        <v/>
      </c>
      <c r="N575" s="164" t="str">
        <f>IFERROR(COUNTIF($C$18:C575,C575)&amp;CHOOSE(MIN(4,COUNTIF($C$18:C575,C575)),"st","nd","rd","th"),"")</f>
        <v/>
      </c>
    </row>
    <row r="576" spans="8:14" x14ac:dyDescent="0.25">
      <c r="H576" s="201" t="str">
        <f t="shared" si="8"/>
        <v/>
      </c>
      <c r="N576" s="164" t="str">
        <f>IFERROR(COUNTIF($C$18:C576,C576)&amp;CHOOSE(MIN(4,COUNTIF($C$18:C576,C576)),"st","nd","rd","th"),"")</f>
        <v/>
      </c>
    </row>
    <row r="577" spans="8:14" x14ac:dyDescent="0.25">
      <c r="H577" s="201" t="str">
        <f t="shared" si="8"/>
        <v/>
      </c>
      <c r="N577" s="164" t="str">
        <f>IFERROR(COUNTIF($C$18:C577,C577)&amp;CHOOSE(MIN(4,COUNTIF($C$18:C577,C577)),"st","nd","rd","th"),"")</f>
        <v/>
      </c>
    </row>
    <row r="578" spans="8:14" x14ac:dyDescent="0.25">
      <c r="H578" s="201" t="str">
        <f t="shared" si="8"/>
        <v/>
      </c>
      <c r="N578" s="164" t="str">
        <f>IFERROR(COUNTIF($C$18:C578,C578)&amp;CHOOSE(MIN(4,COUNTIF($C$18:C578,C578)),"st","nd","rd","th"),"")</f>
        <v/>
      </c>
    </row>
    <row r="579" spans="8:14" x14ac:dyDescent="0.25">
      <c r="H579" s="201" t="str">
        <f t="shared" si="8"/>
        <v/>
      </c>
      <c r="N579" s="164" t="str">
        <f>IFERROR(COUNTIF($C$18:C579,C579)&amp;CHOOSE(MIN(4,COUNTIF($C$18:C579,C579)),"st","nd","rd","th"),"")</f>
        <v/>
      </c>
    </row>
    <row r="580" spans="8:14" x14ac:dyDescent="0.25">
      <c r="H580" s="201" t="str">
        <f t="shared" si="8"/>
        <v/>
      </c>
      <c r="N580" s="164" t="str">
        <f>IFERROR(COUNTIF($C$18:C580,C580)&amp;CHOOSE(MIN(4,COUNTIF($C$18:C580,C580)),"st","nd","rd","th"),"")</f>
        <v/>
      </c>
    </row>
    <row r="581" spans="8:14" x14ac:dyDescent="0.25">
      <c r="H581" s="201" t="str">
        <f t="shared" si="8"/>
        <v/>
      </c>
      <c r="N581" s="164" t="str">
        <f>IFERROR(COUNTIF($C$18:C581,C581)&amp;CHOOSE(MIN(4,COUNTIF($C$18:C581,C581)),"st","nd","rd","th"),"")</f>
        <v/>
      </c>
    </row>
    <row r="582" spans="8:14" x14ac:dyDescent="0.25">
      <c r="H582" s="201" t="str">
        <f t="shared" si="8"/>
        <v/>
      </c>
      <c r="N582" s="164" t="str">
        <f>IFERROR(COUNTIF($C$18:C582,C582)&amp;CHOOSE(MIN(4,COUNTIF($C$18:C582,C582)),"st","nd","rd","th"),"")</f>
        <v/>
      </c>
    </row>
    <row r="583" spans="8:14" x14ac:dyDescent="0.25">
      <c r="H583" s="201" t="str">
        <f t="shared" si="8"/>
        <v/>
      </c>
      <c r="N583" s="164" t="str">
        <f>IFERROR(COUNTIF($C$18:C583,C583)&amp;CHOOSE(MIN(4,COUNTIF($C$18:C583,C583)),"st","nd","rd","th"),"")</f>
        <v/>
      </c>
    </row>
    <row r="584" spans="8:14" x14ac:dyDescent="0.25">
      <c r="H584" s="201" t="str">
        <f t="shared" si="8"/>
        <v/>
      </c>
      <c r="N584" s="164" t="str">
        <f>IFERROR(COUNTIF($C$18:C584,C584)&amp;CHOOSE(MIN(4,COUNTIF($C$18:C584,C584)),"st","nd","rd","th"),"")</f>
        <v/>
      </c>
    </row>
    <row r="585" spans="8:14" x14ac:dyDescent="0.25">
      <c r="H585" s="201" t="str">
        <f t="shared" si="8"/>
        <v/>
      </c>
      <c r="N585" s="164" t="str">
        <f>IFERROR(COUNTIF($C$18:C585,C585)&amp;CHOOSE(MIN(4,COUNTIF($C$18:C585,C585)),"st","nd","rd","th"),"")</f>
        <v/>
      </c>
    </row>
    <row r="586" spans="8:14" x14ac:dyDescent="0.25">
      <c r="H586" s="201" t="str">
        <f t="shared" si="8"/>
        <v/>
      </c>
      <c r="N586" s="164" t="str">
        <f>IFERROR(COUNTIF($C$18:C586,C586)&amp;CHOOSE(MIN(4,COUNTIF($C$18:C586,C586)),"st","nd","rd","th"),"")</f>
        <v/>
      </c>
    </row>
    <row r="587" spans="8:14" x14ac:dyDescent="0.25">
      <c r="H587" s="201" t="str">
        <f t="shared" si="8"/>
        <v/>
      </c>
      <c r="N587" s="164" t="str">
        <f>IFERROR(COUNTIF($C$18:C587,C587)&amp;CHOOSE(MIN(4,COUNTIF($C$18:C587,C587)),"st","nd","rd","th"),"")</f>
        <v/>
      </c>
    </row>
    <row r="588" spans="8:14" x14ac:dyDescent="0.25">
      <c r="H588" s="201" t="str">
        <f t="shared" si="8"/>
        <v/>
      </c>
      <c r="N588" s="164" t="str">
        <f>IFERROR(COUNTIF($C$18:C588,C588)&amp;CHOOSE(MIN(4,COUNTIF($C$18:C588,C588)),"st","nd","rd","th"),"")</f>
        <v/>
      </c>
    </row>
    <row r="589" spans="8:14" x14ac:dyDescent="0.25">
      <c r="H589" s="201" t="str">
        <f t="shared" si="8"/>
        <v/>
      </c>
      <c r="N589" s="164" t="str">
        <f>IFERROR(COUNTIF($C$18:C589,C589)&amp;CHOOSE(MIN(4,COUNTIF($C$18:C589,C589)),"st","nd","rd","th"),"")</f>
        <v/>
      </c>
    </row>
    <row r="590" spans="8:14" x14ac:dyDescent="0.25">
      <c r="H590" s="201" t="str">
        <f t="shared" si="8"/>
        <v/>
      </c>
      <c r="N590" s="164" t="str">
        <f>IFERROR(COUNTIF($C$18:C590,C590)&amp;CHOOSE(MIN(4,COUNTIF($C$18:C590,C590)),"st","nd","rd","th"),"")</f>
        <v/>
      </c>
    </row>
    <row r="591" spans="8:14" x14ac:dyDescent="0.25">
      <c r="H591" s="201" t="str">
        <f t="shared" si="8"/>
        <v/>
      </c>
      <c r="N591" s="164" t="str">
        <f>IFERROR(COUNTIF($C$18:C591,C591)&amp;CHOOSE(MIN(4,COUNTIF($C$18:C591,C591)),"st","nd","rd","th"),"")</f>
        <v/>
      </c>
    </row>
    <row r="592" spans="8:14" x14ac:dyDescent="0.25">
      <c r="H592" s="201" t="str">
        <f t="shared" si="8"/>
        <v/>
      </c>
      <c r="N592" s="164" t="str">
        <f>IFERROR(COUNTIF($C$18:C592,C592)&amp;CHOOSE(MIN(4,COUNTIF($C$18:C592,C592)),"st","nd","rd","th"),"")</f>
        <v/>
      </c>
    </row>
    <row r="593" spans="8:14" x14ac:dyDescent="0.25">
      <c r="H593" s="201" t="str">
        <f t="shared" si="8"/>
        <v/>
      </c>
      <c r="N593" s="164" t="str">
        <f>IFERROR(COUNTIF($C$18:C593,C593)&amp;CHOOSE(MIN(4,COUNTIF($C$18:C593,C593)),"st","nd","rd","th"),"")</f>
        <v/>
      </c>
    </row>
    <row r="594" spans="8:14" x14ac:dyDescent="0.25">
      <c r="H594" s="201" t="str">
        <f t="shared" si="8"/>
        <v/>
      </c>
      <c r="N594" s="164" t="str">
        <f>IFERROR(COUNTIF($C$18:C594,C594)&amp;CHOOSE(MIN(4,COUNTIF($C$18:C594,C594)),"st","nd","rd","th"),"")</f>
        <v/>
      </c>
    </row>
    <row r="595" spans="8:14" x14ac:dyDescent="0.25">
      <c r="H595" s="201" t="str">
        <f t="shared" ref="H595:H658" si="9">IF(OR(ISBLANK(G595), ISBLANK(F595)), "", IF(G595=F595, 1, SUM(_xlfn.DAYS(G595, F595), 1)))</f>
        <v/>
      </c>
      <c r="N595" s="164" t="str">
        <f>IFERROR(COUNTIF($C$18:C595,C595)&amp;CHOOSE(MIN(4,COUNTIF($C$18:C595,C595)),"st","nd","rd","th"),"")</f>
        <v/>
      </c>
    </row>
    <row r="596" spans="8:14" x14ac:dyDescent="0.25">
      <c r="H596" s="201" t="str">
        <f t="shared" si="9"/>
        <v/>
      </c>
      <c r="N596" s="164" t="str">
        <f>IFERROR(COUNTIF($C$18:C596,C596)&amp;CHOOSE(MIN(4,COUNTIF($C$18:C596,C596)),"st","nd","rd","th"),"")</f>
        <v/>
      </c>
    </row>
    <row r="597" spans="8:14" x14ac:dyDescent="0.25">
      <c r="H597" s="201" t="str">
        <f t="shared" si="9"/>
        <v/>
      </c>
      <c r="N597" s="164" t="str">
        <f>IFERROR(COUNTIF($C$18:C597,C597)&amp;CHOOSE(MIN(4,COUNTIF($C$18:C597,C597)),"st","nd","rd","th"),"")</f>
        <v/>
      </c>
    </row>
    <row r="598" spans="8:14" x14ac:dyDescent="0.25">
      <c r="H598" s="201" t="str">
        <f t="shared" si="9"/>
        <v/>
      </c>
      <c r="N598" s="164" t="str">
        <f>IFERROR(COUNTIF($C$18:C598,C598)&amp;CHOOSE(MIN(4,COUNTIF($C$18:C598,C598)),"st","nd","rd","th"),"")</f>
        <v/>
      </c>
    </row>
    <row r="599" spans="8:14" x14ac:dyDescent="0.25">
      <c r="H599" s="201" t="str">
        <f t="shared" si="9"/>
        <v/>
      </c>
      <c r="N599" s="164" t="str">
        <f>IFERROR(COUNTIF($C$18:C599,C599)&amp;CHOOSE(MIN(4,COUNTIF($C$18:C599,C599)),"st","nd","rd","th"),"")</f>
        <v/>
      </c>
    </row>
    <row r="600" spans="8:14" x14ac:dyDescent="0.25">
      <c r="H600" s="201" t="str">
        <f t="shared" si="9"/>
        <v/>
      </c>
      <c r="N600" s="164" t="str">
        <f>IFERROR(COUNTIF($C$18:C600,C600)&amp;CHOOSE(MIN(4,COUNTIF($C$18:C600,C600)),"st","nd","rd","th"),"")</f>
        <v/>
      </c>
    </row>
    <row r="601" spans="8:14" x14ac:dyDescent="0.25">
      <c r="H601" s="201" t="str">
        <f t="shared" si="9"/>
        <v/>
      </c>
      <c r="N601" s="164" t="str">
        <f>IFERROR(COUNTIF($C$18:C601,C601)&amp;CHOOSE(MIN(4,COUNTIF($C$18:C601,C601)),"st","nd","rd","th"),"")</f>
        <v/>
      </c>
    </row>
    <row r="602" spans="8:14" x14ac:dyDescent="0.25">
      <c r="H602" s="201" t="str">
        <f t="shared" si="9"/>
        <v/>
      </c>
      <c r="N602" s="164" t="str">
        <f>IFERROR(COUNTIF($C$18:C602,C602)&amp;CHOOSE(MIN(4,COUNTIF($C$18:C602,C602)),"st","nd","rd","th"),"")</f>
        <v/>
      </c>
    </row>
    <row r="603" spans="8:14" x14ac:dyDescent="0.25">
      <c r="H603" s="201" t="str">
        <f t="shared" si="9"/>
        <v/>
      </c>
      <c r="N603" s="164" t="str">
        <f>IFERROR(COUNTIF($C$18:C603,C603)&amp;CHOOSE(MIN(4,COUNTIF($C$18:C603,C603)),"st","nd","rd","th"),"")</f>
        <v/>
      </c>
    </row>
    <row r="604" spans="8:14" x14ac:dyDescent="0.25">
      <c r="H604" s="201" t="str">
        <f t="shared" si="9"/>
        <v/>
      </c>
      <c r="N604" s="164" t="str">
        <f>IFERROR(COUNTIF($C$18:C604,C604)&amp;CHOOSE(MIN(4,COUNTIF($C$18:C604,C604)),"st","nd","rd","th"),"")</f>
        <v/>
      </c>
    </row>
    <row r="605" spans="8:14" x14ac:dyDescent="0.25">
      <c r="H605" s="201" t="str">
        <f t="shared" si="9"/>
        <v/>
      </c>
      <c r="N605" s="164" t="str">
        <f>IFERROR(COUNTIF($C$18:C605,C605)&amp;CHOOSE(MIN(4,COUNTIF($C$18:C605,C605)),"st","nd","rd","th"),"")</f>
        <v/>
      </c>
    </row>
    <row r="606" spans="8:14" x14ac:dyDescent="0.25">
      <c r="H606" s="201" t="str">
        <f t="shared" si="9"/>
        <v/>
      </c>
      <c r="N606" s="164" t="str">
        <f>IFERROR(COUNTIF($C$18:C606,C606)&amp;CHOOSE(MIN(4,COUNTIF($C$18:C606,C606)),"st","nd","rd","th"),"")</f>
        <v/>
      </c>
    </row>
    <row r="607" spans="8:14" x14ac:dyDescent="0.25">
      <c r="H607" s="201" t="str">
        <f t="shared" si="9"/>
        <v/>
      </c>
      <c r="N607" s="164" t="str">
        <f>IFERROR(COUNTIF($C$18:C607,C607)&amp;CHOOSE(MIN(4,COUNTIF($C$18:C607,C607)),"st","nd","rd","th"),"")</f>
        <v/>
      </c>
    </row>
    <row r="608" spans="8:14" x14ac:dyDescent="0.25">
      <c r="H608" s="201" t="str">
        <f t="shared" si="9"/>
        <v/>
      </c>
      <c r="N608" s="164" t="str">
        <f>IFERROR(COUNTIF($C$18:C608,C608)&amp;CHOOSE(MIN(4,COUNTIF($C$18:C608,C608)),"st","nd","rd","th"),"")</f>
        <v/>
      </c>
    </row>
    <row r="609" spans="8:14" x14ac:dyDescent="0.25">
      <c r="H609" s="201" t="str">
        <f t="shared" si="9"/>
        <v/>
      </c>
      <c r="N609" s="164" t="str">
        <f>IFERROR(COUNTIF($C$18:C609,C609)&amp;CHOOSE(MIN(4,COUNTIF($C$18:C609,C609)),"st","nd","rd","th"),"")</f>
        <v/>
      </c>
    </row>
    <row r="610" spans="8:14" x14ac:dyDescent="0.25">
      <c r="H610" s="201" t="str">
        <f t="shared" si="9"/>
        <v/>
      </c>
      <c r="N610" s="164" t="str">
        <f>IFERROR(COUNTIF($C$18:C610,C610)&amp;CHOOSE(MIN(4,COUNTIF($C$18:C610,C610)),"st","nd","rd","th"),"")</f>
        <v/>
      </c>
    </row>
    <row r="611" spans="8:14" x14ac:dyDescent="0.25">
      <c r="H611" s="201" t="str">
        <f t="shared" si="9"/>
        <v/>
      </c>
      <c r="N611" s="164" t="str">
        <f>IFERROR(COUNTIF($C$18:C611,C611)&amp;CHOOSE(MIN(4,COUNTIF($C$18:C611,C611)),"st","nd","rd","th"),"")</f>
        <v/>
      </c>
    </row>
    <row r="612" spans="8:14" x14ac:dyDescent="0.25">
      <c r="H612" s="201" t="str">
        <f t="shared" si="9"/>
        <v/>
      </c>
      <c r="N612" s="164" t="str">
        <f>IFERROR(COUNTIF($C$18:C612,C612)&amp;CHOOSE(MIN(4,COUNTIF($C$18:C612,C612)),"st","nd","rd","th"),"")</f>
        <v/>
      </c>
    </row>
    <row r="613" spans="8:14" x14ac:dyDescent="0.25">
      <c r="H613" s="201" t="str">
        <f t="shared" si="9"/>
        <v/>
      </c>
      <c r="N613" s="164" t="str">
        <f>IFERROR(COUNTIF($C$18:C613,C613)&amp;CHOOSE(MIN(4,COUNTIF($C$18:C613,C613)),"st","nd","rd","th"),"")</f>
        <v/>
      </c>
    </row>
    <row r="614" spans="8:14" x14ac:dyDescent="0.25">
      <c r="H614" s="201" t="str">
        <f t="shared" si="9"/>
        <v/>
      </c>
      <c r="N614" s="164" t="str">
        <f>IFERROR(COUNTIF($C$18:C614,C614)&amp;CHOOSE(MIN(4,COUNTIF($C$18:C614,C614)),"st","nd","rd","th"),"")</f>
        <v/>
      </c>
    </row>
    <row r="615" spans="8:14" x14ac:dyDescent="0.25">
      <c r="H615" s="201" t="str">
        <f t="shared" si="9"/>
        <v/>
      </c>
      <c r="N615" s="164" t="str">
        <f>IFERROR(COUNTIF($C$18:C615,C615)&amp;CHOOSE(MIN(4,COUNTIF($C$18:C615,C615)),"st","nd","rd","th"),"")</f>
        <v/>
      </c>
    </row>
    <row r="616" spans="8:14" x14ac:dyDescent="0.25">
      <c r="H616" s="201" t="str">
        <f t="shared" si="9"/>
        <v/>
      </c>
      <c r="N616" s="164" t="str">
        <f>IFERROR(COUNTIF($C$18:C616,C616)&amp;CHOOSE(MIN(4,COUNTIF($C$18:C616,C616)),"st","nd","rd","th"),"")</f>
        <v/>
      </c>
    </row>
    <row r="617" spans="8:14" x14ac:dyDescent="0.25">
      <c r="H617" s="201" t="str">
        <f t="shared" si="9"/>
        <v/>
      </c>
      <c r="N617" s="164" t="str">
        <f>IFERROR(COUNTIF($C$18:C617,C617)&amp;CHOOSE(MIN(4,COUNTIF($C$18:C617,C617)),"st","nd","rd","th"),"")</f>
        <v/>
      </c>
    </row>
    <row r="618" spans="8:14" x14ac:dyDescent="0.25">
      <c r="H618" s="201" t="str">
        <f t="shared" si="9"/>
        <v/>
      </c>
      <c r="N618" s="164" t="str">
        <f>IFERROR(COUNTIF($C$18:C618,C618)&amp;CHOOSE(MIN(4,COUNTIF($C$18:C618,C618)),"st","nd","rd","th"),"")</f>
        <v/>
      </c>
    </row>
    <row r="619" spans="8:14" x14ac:dyDescent="0.25">
      <c r="H619" s="201" t="str">
        <f t="shared" si="9"/>
        <v/>
      </c>
      <c r="N619" s="164" t="str">
        <f>IFERROR(COUNTIF($C$18:C619,C619)&amp;CHOOSE(MIN(4,COUNTIF($C$18:C619,C619)),"st","nd","rd","th"),"")</f>
        <v/>
      </c>
    </row>
    <row r="620" spans="8:14" x14ac:dyDescent="0.25">
      <c r="H620" s="201" t="str">
        <f t="shared" si="9"/>
        <v/>
      </c>
      <c r="N620" s="164" t="str">
        <f>IFERROR(COUNTIF($C$18:C620,C620)&amp;CHOOSE(MIN(4,COUNTIF($C$18:C620,C620)),"st","nd","rd","th"),"")</f>
        <v/>
      </c>
    </row>
    <row r="621" spans="8:14" x14ac:dyDescent="0.25">
      <c r="H621" s="201" t="str">
        <f t="shared" si="9"/>
        <v/>
      </c>
      <c r="N621" s="164" t="str">
        <f>IFERROR(COUNTIF($C$18:C621,C621)&amp;CHOOSE(MIN(4,COUNTIF($C$18:C621,C621)),"st","nd","rd","th"),"")</f>
        <v/>
      </c>
    </row>
    <row r="622" spans="8:14" x14ac:dyDescent="0.25">
      <c r="H622" s="201" t="str">
        <f t="shared" si="9"/>
        <v/>
      </c>
      <c r="N622" s="164" t="str">
        <f>IFERROR(COUNTIF($C$18:C622,C622)&amp;CHOOSE(MIN(4,COUNTIF($C$18:C622,C622)),"st","nd","rd","th"),"")</f>
        <v/>
      </c>
    </row>
    <row r="623" spans="8:14" x14ac:dyDescent="0.25">
      <c r="H623" s="201" t="str">
        <f t="shared" si="9"/>
        <v/>
      </c>
      <c r="N623" s="164" t="str">
        <f>IFERROR(COUNTIF($C$18:C623,C623)&amp;CHOOSE(MIN(4,COUNTIF($C$18:C623,C623)),"st","nd","rd","th"),"")</f>
        <v/>
      </c>
    </row>
    <row r="624" spans="8:14" x14ac:dyDescent="0.25">
      <c r="H624" s="201" t="str">
        <f t="shared" si="9"/>
        <v/>
      </c>
      <c r="N624" s="164" t="str">
        <f>IFERROR(COUNTIF($C$18:C624,C624)&amp;CHOOSE(MIN(4,COUNTIF($C$18:C624,C624)),"st","nd","rd","th"),"")</f>
        <v/>
      </c>
    </row>
    <row r="625" spans="8:14" x14ac:dyDescent="0.25">
      <c r="H625" s="201" t="str">
        <f t="shared" si="9"/>
        <v/>
      </c>
      <c r="N625" s="164" t="str">
        <f>IFERROR(COUNTIF($C$18:C625,C625)&amp;CHOOSE(MIN(4,COUNTIF($C$18:C625,C625)),"st","nd","rd","th"),"")</f>
        <v/>
      </c>
    </row>
    <row r="626" spans="8:14" x14ac:dyDescent="0.25">
      <c r="H626" s="201" t="str">
        <f t="shared" si="9"/>
        <v/>
      </c>
      <c r="N626" s="164" t="str">
        <f>IFERROR(COUNTIF($C$18:C626,C626)&amp;CHOOSE(MIN(4,COUNTIF($C$18:C626,C626)),"st","nd","rd","th"),"")</f>
        <v/>
      </c>
    </row>
    <row r="627" spans="8:14" x14ac:dyDescent="0.25">
      <c r="H627" s="201" t="str">
        <f t="shared" si="9"/>
        <v/>
      </c>
      <c r="N627" s="164" t="str">
        <f>IFERROR(COUNTIF($C$18:C627,C627)&amp;CHOOSE(MIN(4,COUNTIF($C$18:C627,C627)),"st","nd","rd","th"),"")</f>
        <v/>
      </c>
    </row>
    <row r="628" spans="8:14" x14ac:dyDescent="0.25">
      <c r="H628" s="201" t="str">
        <f t="shared" si="9"/>
        <v/>
      </c>
      <c r="N628" s="164" t="str">
        <f>IFERROR(COUNTIF($C$18:C628,C628)&amp;CHOOSE(MIN(4,COUNTIF($C$18:C628,C628)),"st","nd","rd","th"),"")</f>
        <v/>
      </c>
    </row>
    <row r="629" spans="8:14" x14ac:dyDescent="0.25">
      <c r="H629" s="201" t="str">
        <f t="shared" si="9"/>
        <v/>
      </c>
      <c r="N629" s="164" t="str">
        <f>IFERROR(COUNTIF($C$18:C629,C629)&amp;CHOOSE(MIN(4,COUNTIF($C$18:C629,C629)),"st","nd","rd","th"),"")</f>
        <v/>
      </c>
    </row>
    <row r="630" spans="8:14" x14ac:dyDescent="0.25">
      <c r="H630" s="201" t="str">
        <f t="shared" si="9"/>
        <v/>
      </c>
      <c r="N630" s="164" t="str">
        <f>IFERROR(COUNTIF($C$18:C630,C630)&amp;CHOOSE(MIN(4,COUNTIF($C$18:C630,C630)),"st","nd","rd","th"),"")</f>
        <v/>
      </c>
    </row>
    <row r="631" spans="8:14" x14ac:dyDescent="0.25">
      <c r="H631" s="201" t="str">
        <f t="shared" si="9"/>
        <v/>
      </c>
      <c r="N631" s="164" t="str">
        <f>IFERROR(COUNTIF($C$18:C631,C631)&amp;CHOOSE(MIN(4,COUNTIF($C$18:C631,C631)),"st","nd","rd","th"),"")</f>
        <v/>
      </c>
    </row>
    <row r="632" spans="8:14" x14ac:dyDescent="0.25">
      <c r="H632" s="201" t="str">
        <f t="shared" si="9"/>
        <v/>
      </c>
      <c r="N632" s="164" t="str">
        <f>IFERROR(COUNTIF($C$18:C632,C632)&amp;CHOOSE(MIN(4,COUNTIF($C$18:C632,C632)),"st","nd","rd","th"),"")</f>
        <v/>
      </c>
    </row>
    <row r="633" spans="8:14" x14ac:dyDescent="0.25">
      <c r="H633" s="201" t="str">
        <f t="shared" si="9"/>
        <v/>
      </c>
      <c r="N633" s="164" t="str">
        <f>IFERROR(COUNTIF($C$18:C633,C633)&amp;CHOOSE(MIN(4,COUNTIF($C$18:C633,C633)),"st","nd","rd","th"),"")</f>
        <v/>
      </c>
    </row>
    <row r="634" spans="8:14" x14ac:dyDescent="0.25">
      <c r="H634" s="201" t="str">
        <f t="shared" si="9"/>
        <v/>
      </c>
      <c r="N634" s="164" t="str">
        <f>IFERROR(COUNTIF($C$18:C634,C634)&amp;CHOOSE(MIN(4,COUNTIF($C$18:C634,C634)),"st","nd","rd","th"),"")</f>
        <v/>
      </c>
    </row>
    <row r="635" spans="8:14" x14ac:dyDescent="0.25">
      <c r="H635" s="201" t="str">
        <f t="shared" si="9"/>
        <v/>
      </c>
      <c r="N635" s="164" t="str">
        <f>IFERROR(COUNTIF($C$18:C635,C635)&amp;CHOOSE(MIN(4,COUNTIF($C$18:C635,C635)),"st","nd","rd","th"),"")</f>
        <v/>
      </c>
    </row>
    <row r="636" spans="8:14" x14ac:dyDescent="0.25">
      <c r="H636" s="201" t="str">
        <f t="shared" si="9"/>
        <v/>
      </c>
      <c r="N636" s="164" t="str">
        <f>IFERROR(COUNTIF($C$18:C636,C636)&amp;CHOOSE(MIN(4,COUNTIF($C$18:C636,C636)),"st","nd","rd","th"),"")</f>
        <v/>
      </c>
    </row>
    <row r="637" spans="8:14" x14ac:dyDescent="0.25">
      <c r="H637" s="201" t="str">
        <f t="shared" si="9"/>
        <v/>
      </c>
      <c r="N637" s="164" t="str">
        <f>IFERROR(COUNTIF($C$18:C637,C637)&amp;CHOOSE(MIN(4,COUNTIF($C$18:C637,C637)),"st","nd","rd","th"),"")</f>
        <v/>
      </c>
    </row>
    <row r="638" spans="8:14" x14ac:dyDescent="0.25">
      <c r="H638" s="201" t="str">
        <f t="shared" si="9"/>
        <v/>
      </c>
      <c r="N638" s="164" t="str">
        <f>IFERROR(COUNTIF($C$18:C638,C638)&amp;CHOOSE(MIN(4,COUNTIF($C$18:C638,C638)),"st","nd","rd","th"),"")</f>
        <v/>
      </c>
    </row>
    <row r="639" spans="8:14" x14ac:dyDescent="0.25">
      <c r="H639" s="201" t="str">
        <f t="shared" si="9"/>
        <v/>
      </c>
      <c r="N639" s="164" t="str">
        <f>IFERROR(COUNTIF($C$18:C639,C639)&amp;CHOOSE(MIN(4,COUNTIF($C$18:C639,C639)),"st","nd","rd","th"),"")</f>
        <v/>
      </c>
    </row>
    <row r="640" spans="8:14" x14ac:dyDescent="0.25">
      <c r="H640" s="201" t="str">
        <f t="shared" si="9"/>
        <v/>
      </c>
      <c r="N640" s="164" t="str">
        <f>IFERROR(COUNTIF($C$18:C640,C640)&amp;CHOOSE(MIN(4,COUNTIF($C$18:C640,C640)),"st","nd","rd","th"),"")</f>
        <v/>
      </c>
    </row>
    <row r="641" spans="8:14" x14ac:dyDescent="0.25">
      <c r="H641" s="201" t="str">
        <f t="shared" si="9"/>
        <v/>
      </c>
      <c r="N641" s="164" t="str">
        <f>IFERROR(COUNTIF($C$18:C641,C641)&amp;CHOOSE(MIN(4,COUNTIF($C$18:C641,C641)),"st","nd","rd","th"),"")</f>
        <v/>
      </c>
    </row>
    <row r="642" spans="8:14" x14ac:dyDescent="0.25">
      <c r="H642" s="201" t="str">
        <f t="shared" si="9"/>
        <v/>
      </c>
      <c r="N642" s="164" t="str">
        <f>IFERROR(COUNTIF($C$18:C642,C642)&amp;CHOOSE(MIN(4,COUNTIF($C$18:C642,C642)),"st","nd","rd","th"),"")</f>
        <v/>
      </c>
    </row>
    <row r="643" spans="8:14" x14ac:dyDescent="0.25">
      <c r="H643" s="201" t="str">
        <f t="shared" si="9"/>
        <v/>
      </c>
      <c r="N643" s="164" t="str">
        <f>IFERROR(COUNTIF($C$18:C643,C643)&amp;CHOOSE(MIN(4,COUNTIF($C$18:C643,C643)),"st","nd","rd","th"),"")</f>
        <v/>
      </c>
    </row>
    <row r="644" spans="8:14" x14ac:dyDescent="0.25">
      <c r="H644" s="201" t="str">
        <f t="shared" si="9"/>
        <v/>
      </c>
      <c r="N644" s="164" t="str">
        <f>IFERROR(COUNTIF($C$18:C644,C644)&amp;CHOOSE(MIN(4,COUNTIF($C$18:C644,C644)),"st","nd","rd","th"),"")</f>
        <v/>
      </c>
    </row>
    <row r="645" spans="8:14" x14ac:dyDescent="0.25">
      <c r="H645" s="201" t="str">
        <f t="shared" si="9"/>
        <v/>
      </c>
      <c r="N645" s="164" t="str">
        <f>IFERROR(COUNTIF($C$18:C645,C645)&amp;CHOOSE(MIN(4,COUNTIF($C$18:C645,C645)),"st","nd","rd","th"),"")</f>
        <v/>
      </c>
    </row>
    <row r="646" spans="8:14" x14ac:dyDescent="0.25">
      <c r="H646" s="201" t="str">
        <f t="shared" si="9"/>
        <v/>
      </c>
      <c r="N646" s="164" t="str">
        <f>IFERROR(COUNTIF($C$18:C646,C646)&amp;CHOOSE(MIN(4,COUNTIF($C$18:C646,C646)),"st","nd","rd","th"),"")</f>
        <v/>
      </c>
    </row>
    <row r="647" spans="8:14" x14ac:dyDescent="0.25">
      <c r="H647" s="201" t="str">
        <f t="shared" si="9"/>
        <v/>
      </c>
      <c r="N647" s="164" t="str">
        <f>IFERROR(COUNTIF($C$18:C647,C647)&amp;CHOOSE(MIN(4,COUNTIF($C$18:C647,C647)),"st","nd","rd","th"),"")</f>
        <v/>
      </c>
    </row>
    <row r="648" spans="8:14" x14ac:dyDescent="0.25">
      <c r="H648" s="201" t="str">
        <f t="shared" si="9"/>
        <v/>
      </c>
      <c r="N648" s="164" t="str">
        <f>IFERROR(COUNTIF($C$18:C648,C648)&amp;CHOOSE(MIN(4,COUNTIF($C$18:C648,C648)),"st","nd","rd","th"),"")</f>
        <v/>
      </c>
    </row>
    <row r="649" spans="8:14" x14ac:dyDescent="0.25">
      <c r="H649" s="201" t="str">
        <f t="shared" si="9"/>
        <v/>
      </c>
      <c r="N649" s="164" t="str">
        <f>IFERROR(COUNTIF($C$18:C649,C649)&amp;CHOOSE(MIN(4,COUNTIF($C$18:C649,C649)),"st","nd","rd","th"),"")</f>
        <v/>
      </c>
    </row>
    <row r="650" spans="8:14" x14ac:dyDescent="0.25">
      <c r="H650" s="201" t="str">
        <f t="shared" si="9"/>
        <v/>
      </c>
      <c r="N650" s="164" t="str">
        <f>IFERROR(COUNTIF($C$18:C650,C650)&amp;CHOOSE(MIN(4,COUNTIF($C$18:C650,C650)),"st","nd","rd","th"),"")</f>
        <v/>
      </c>
    </row>
    <row r="651" spans="8:14" x14ac:dyDescent="0.25">
      <c r="H651" s="201" t="str">
        <f t="shared" si="9"/>
        <v/>
      </c>
      <c r="N651" s="164" t="str">
        <f>IFERROR(COUNTIF($C$18:C651,C651)&amp;CHOOSE(MIN(4,COUNTIF($C$18:C651,C651)),"st","nd","rd","th"),"")</f>
        <v/>
      </c>
    </row>
    <row r="652" spans="8:14" x14ac:dyDescent="0.25">
      <c r="H652" s="201" t="str">
        <f t="shared" si="9"/>
        <v/>
      </c>
      <c r="N652" s="164" t="str">
        <f>IFERROR(COUNTIF($C$18:C652,C652)&amp;CHOOSE(MIN(4,COUNTIF($C$18:C652,C652)),"st","nd","rd","th"),"")</f>
        <v/>
      </c>
    </row>
    <row r="653" spans="8:14" x14ac:dyDescent="0.25">
      <c r="H653" s="201" t="str">
        <f t="shared" si="9"/>
        <v/>
      </c>
      <c r="N653" s="164" t="str">
        <f>IFERROR(COUNTIF($C$18:C653,C653)&amp;CHOOSE(MIN(4,COUNTIF($C$18:C653,C653)),"st","nd","rd","th"),"")</f>
        <v/>
      </c>
    </row>
    <row r="654" spans="8:14" x14ac:dyDescent="0.25">
      <c r="H654" s="201" t="str">
        <f t="shared" si="9"/>
        <v/>
      </c>
      <c r="N654" s="164" t="str">
        <f>IFERROR(COUNTIF($C$18:C654,C654)&amp;CHOOSE(MIN(4,COUNTIF($C$18:C654,C654)),"st","nd","rd","th"),"")</f>
        <v/>
      </c>
    </row>
    <row r="655" spans="8:14" x14ac:dyDescent="0.25">
      <c r="H655" s="201" t="str">
        <f t="shared" si="9"/>
        <v/>
      </c>
      <c r="N655" s="164" t="str">
        <f>IFERROR(COUNTIF($C$18:C655,C655)&amp;CHOOSE(MIN(4,COUNTIF($C$18:C655,C655)),"st","nd","rd","th"),"")</f>
        <v/>
      </c>
    </row>
    <row r="656" spans="8:14" x14ac:dyDescent="0.25">
      <c r="H656" s="201" t="str">
        <f t="shared" si="9"/>
        <v/>
      </c>
      <c r="N656" s="164" t="str">
        <f>IFERROR(COUNTIF($C$18:C656,C656)&amp;CHOOSE(MIN(4,COUNTIF($C$18:C656,C656)),"st","nd","rd","th"),"")</f>
        <v/>
      </c>
    </row>
    <row r="657" spans="8:14" x14ac:dyDescent="0.25">
      <c r="H657" s="201" t="str">
        <f t="shared" si="9"/>
        <v/>
      </c>
      <c r="N657" s="164" t="str">
        <f>IFERROR(COUNTIF($C$18:C657,C657)&amp;CHOOSE(MIN(4,COUNTIF($C$18:C657,C657)),"st","nd","rd","th"),"")</f>
        <v/>
      </c>
    </row>
    <row r="658" spans="8:14" x14ac:dyDescent="0.25">
      <c r="H658" s="201" t="str">
        <f t="shared" si="9"/>
        <v/>
      </c>
      <c r="N658" s="164" t="str">
        <f>IFERROR(COUNTIF($C$18:C658,C658)&amp;CHOOSE(MIN(4,COUNTIF($C$18:C658,C658)),"st","nd","rd","th"),"")</f>
        <v/>
      </c>
    </row>
    <row r="659" spans="8:14" x14ac:dyDescent="0.25">
      <c r="H659" s="201" t="str">
        <f t="shared" ref="H659:H722" si="10">IF(OR(ISBLANK(G659), ISBLANK(F659)), "", IF(G659=F659, 1, SUM(_xlfn.DAYS(G659, F659), 1)))</f>
        <v/>
      </c>
      <c r="N659" s="164" t="str">
        <f>IFERROR(COUNTIF($C$18:C659,C659)&amp;CHOOSE(MIN(4,COUNTIF($C$18:C659,C659)),"st","nd","rd","th"),"")</f>
        <v/>
      </c>
    </row>
    <row r="660" spans="8:14" x14ac:dyDescent="0.25">
      <c r="H660" s="201" t="str">
        <f t="shared" si="10"/>
        <v/>
      </c>
      <c r="N660" s="164" t="str">
        <f>IFERROR(COUNTIF($C$18:C660,C660)&amp;CHOOSE(MIN(4,COUNTIF($C$18:C660,C660)),"st","nd","rd","th"),"")</f>
        <v/>
      </c>
    </row>
    <row r="661" spans="8:14" x14ac:dyDescent="0.25">
      <c r="H661" s="201" t="str">
        <f t="shared" si="10"/>
        <v/>
      </c>
      <c r="N661" s="164" t="str">
        <f>IFERROR(COUNTIF($C$18:C661,C661)&amp;CHOOSE(MIN(4,COUNTIF($C$18:C661,C661)),"st","nd","rd","th"),"")</f>
        <v/>
      </c>
    </row>
    <row r="662" spans="8:14" x14ac:dyDescent="0.25">
      <c r="H662" s="201" t="str">
        <f t="shared" si="10"/>
        <v/>
      </c>
      <c r="N662" s="164" t="str">
        <f>IFERROR(COUNTIF($C$18:C662,C662)&amp;CHOOSE(MIN(4,COUNTIF($C$18:C662,C662)),"st","nd","rd","th"),"")</f>
        <v/>
      </c>
    </row>
    <row r="663" spans="8:14" x14ac:dyDescent="0.25">
      <c r="H663" s="201" t="str">
        <f t="shared" si="10"/>
        <v/>
      </c>
      <c r="N663" s="164" t="str">
        <f>IFERROR(COUNTIF($C$18:C663,C663)&amp;CHOOSE(MIN(4,COUNTIF($C$18:C663,C663)),"st","nd","rd","th"),"")</f>
        <v/>
      </c>
    </row>
    <row r="664" spans="8:14" x14ac:dyDescent="0.25">
      <c r="H664" s="201" t="str">
        <f t="shared" si="10"/>
        <v/>
      </c>
      <c r="N664" s="164" t="str">
        <f>IFERROR(COUNTIF($C$18:C664,C664)&amp;CHOOSE(MIN(4,COUNTIF($C$18:C664,C664)),"st","nd","rd","th"),"")</f>
        <v/>
      </c>
    </row>
    <row r="665" spans="8:14" x14ac:dyDescent="0.25">
      <c r="H665" s="201" t="str">
        <f t="shared" si="10"/>
        <v/>
      </c>
      <c r="N665" s="164" t="str">
        <f>IFERROR(COUNTIF($C$18:C665,C665)&amp;CHOOSE(MIN(4,COUNTIF($C$18:C665,C665)),"st","nd","rd","th"),"")</f>
        <v/>
      </c>
    </row>
    <row r="666" spans="8:14" x14ac:dyDescent="0.25">
      <c r="H666" s="201" t="str">
        <f t="shared" si="10"/>
        <v/>
      </c>
      <c r="N666" s="164" t="str">
        <f>IFERROR(COUNTIF($C$18:C666,C666)&amp;CHOOSE(MIN(4,COUNTIF($C$18:C666,C666)),"st","nd","rd","th"),"")</f>
        <v/>
      </c>
    </row>
    <row r="667" spans="8:14" x14ac:dyDescent="0.25">
      <c r="H667" s="201" t="str">
        <f t="shared" si="10"/>
        <v/>
      </c>
      <c r="N667" s="164" t="str">
        <f>IFERROR(COUNTIF($C$18:C667,C667)&amp;CHOOSE(MIN(4,COUNTIF($C$18:C667,C667)),"st","nd","rd","th"),"")</f>
        <v/>
      </c>
    </row>
    <row r="668" spans="8:14" x14ac:dyDescent="0.25">
      <c r="H668" s="201" t="str">
        <f t="shared" si="10"/>
        <v/>
      </c>
      <c r="N668" s="164" t="str">
        <f>IFERROR(COUNTIF($C$18:C668,C668)&amp;CHOOSE(MIN(4,COUNTIF($C$18:C668,C668)),"st","nd","rd","th"),"")</f>
        <v/>
      </c>
    </row>
    <row r="669" spans="8:14" x14ac:dyDescent="0.25">
      <c r="H669" s="201" t="str">
        <f t="shared" si="10"/>
        <v/>
      </c>
      <c r="N669" s="164" t="str">
        <f>IFERROR(COUNTIF($C$18:C669,C669)&amp;CHOOSE(MIN(4,COUNTIF($C$18:C669,C669)),"st","nd","rd","th"),"")</f>
        <v/>
      </c>
    </row>
    <row r="670" spans="8:14" x14ac:dyDescent="0.25">
      <c r="H670" s="201" t="str">
        <f t="shared" si="10"/>
        <v/>
      </c>
      <c r="N670" s="164" t="str">
        <f>IFERROR(COUNTIF($C$18:C670,C670)&amp;CHOOSE(MIN(4,COUNTIF($C$18:C670,C670)),"st","nd","rd","th"),"")</f>
        <v/>
      </c>
    </row>
    <row r="671" spans="8:14" x14ac:dyDescent="0.25">
      <c r="H671" s="201" t="str">
        <f t="shared" si="10"/>
        <v/>
      </c>
      <c r="N671" s="164" t="str">
        <f>IFERROR(COUNTIF($C$18:C671,C671)&amp;CHOOSE(MIN(4,COUNTIF($C$18:C671,C671)),"st","nd","rd","th"),"")</f>
        <v/>
      </c>
    </row>
    <row r="672" spans="8:14" x14ac:dyDescent="0.25">
      <c r="H672" s="201" t="str">
        <f t="shared" si="10"/>
        <v/>
      </c>
      <c r="N672" s="164" t="str">
        <f>IFERROR(COUNTIF($C$18:C672,C672)&amp;CHOOSE(MIN(4,COUNTIF($C$18:C672,C672)),"st","nd","rd","th"),"")</f>
        <v/>
      </c>
    </row>
    <row r="673" spans="8:14" x14ac:dyDescent="0.25">
      <c r="H673" s="201" t="str">
        <f t="shared" si="10"/>
        <v/>
      </c>
      <c r="N673" s="164" t="str">
        <f>IFERROR(COUNTIF($C$18:C673,C673)&amp;CHOOSE(MIN(4,COUNTIF($C$18:C673,C673)),"st","nd","rd","th"),"")</f>
        <v/>
      </c>
    </row>
    <row r="674" spans="8:14" x14ac:dyDescent="0.25">
      <c r="H674" s="201" t="str">
        <f t="shared" si="10"/>
        <v/>
      </c>
      <c r="N674" s="164" t="str">
        <f>IFERROR(COUNTIF($C$18:C674,C674)&amp;CHOOSE(MIN(4,COUNTIF($C$18:C674,C674)),"st","nd","rd","th"),"")</f>
        <v/>
      </c>
    </row>
    <row r="675" spans="8:14" x14ac:dyDescent="0.25">
      <c r="H675" s="201" t="str">
        <f t="shared" si="10"/>
        <v/>
      </c>
      <c r="N675" s="164" t="str">
        <f>IFERROR(COUNTIF($C$18:C675,C675)&amp;CHOOSE(MIN(4,COUNTIF($C$18:C675,C675)),"st","nd","rd","th"),"")</f>
        <v/>
      </c>
    </row>
    <row r="676" spans="8:14" x14ac:dyDescent="0.25">
      <c r="H676" s="201" t="str">
        <f t="shared" si="10"/>
        <v/>
      </c>
      <c r="N676" s="164" t="str">
        <f>IFERROR(COUNTIF($C$18:C676,C676)&amp;CHOOSE(MIN(4,COUNTIF($C$18:C676,C676)),"st","nd","rd","th"),"")</f>
        <v/>
      </c>
    </row>
    <row r="677" spans="8:14" x14ac:dyDescent="0.25">
      <c r="H677" s="201" t="str">
        <f t="shared" si="10"/>
        <v/>
      </c>
      <c r="N677" s="164" t="str">
        <f>IFERROR(COUNTIF($C$18:C677,C677)&amp;CHOOSE(MIN(4,COUNTIF($C$18:C677,C677)),"st","nd","rd","th"),"")</f>
        <v/>
      </c>
    </row>
    <row r="678" spans="8:14" x14ac:dyDescent="0.25">
      <c r="H678" s="201" t="str">
        <f t="shared" si="10"/>
        <v/>
      </c>
      <c r="N678" s="164" t="str">
        <f>IFERROR(COUNTIF($C$18:C678,C678)&amp;CHOOSE(MIN(4,COUNTIF($C$18:C678,C678)),"st","nd","rd","th"),"")</f>
        <v/>
      </c>
    </row>
    <row r="679" spans="8:14" x14ac:dyDescent="0.25">
      <c r="H679" s="201" t="str">
        <f t="shared" si="10"/>
        <v/>
      </c>
      <c r="N679" s="164" t="str">
        <f>IFERROR(COUNTIF($C$18:C679,C679)&amp;CHOOSE(MIN(4,COUNTIF($C$18:C679,C679)),"st","nd","rd","th"),"")</f>
        <v/>
      </c>
    </row>
    <row r="680" spans="8:14" x14ac:dyDescent="0.25">
      <c r="H680" s="201" t="str">
        <f t="shared" si="10"/>
        <v/>
      </c>
      <c r="N680" s="164" t="str">
        <f>IFERROR(COUNTIF($C$18:C680,C680)&amp;CHOOSE(MIN(4,COUNTIF($C$18:C680,C680)),"st","nd","rd","th"),"")</f>
        <v/>
      </c>
    </row>
    <row r="681" spans="8:14" x14ac:dyDescent="0.25">
      <c r="H681" s="201" t="str">
        <f t="shared" si="10"/>
        <v/>
      </c>
      <c r="N681" s="164" t="str">
        <f>IFERROR(COUNTIF($C$18:C681,C681)&amp;CHOOSE(MIN(4,COUNTIF($C$18:C681,C681)),"st","nd","rd","th"),"")</f>
        <v/>
      </c>
    </row>
    <row r="682" spans="8:14" x14ac:dyDescent="0.25">
      <c r="H682" s="201" t="str">
        <f t="shared" si="10"/>
        <v/>
      </c>
      <c r="N682" s="164" t="str">
        <f>IFERROR(COUNTIF($C$18:C682,C682)&amp;CHOOSE(MIN(4,COUNTIF($C$18:C682,C682)),"st","nd","rd","th"),"")</f>
        <v/>
      </c>
    </row>
    <row r="683" spans="8:14" x14ac:dyDescent="0.25">
      <c r="H683" s="201" t="str">
        <f t="shared" si="10"/>
        <v/>
      </c>
      <c r="N683" s="164" t="str">
        <f>IFERROR(COUNTIF($C$18:C683,C683)&amp;CHOOSE(MIN(4,COUNTIF($C$18:C683,C683)),"st","nd","rd","th"),"")</f>
        <v/>
      </c>
    </row>
    <row r="684" spans="8:14" x14ac:dyDescent="0.25">
      <c r="H684" s="201" t="str">
        <f t="shared" si="10"/>
        <v/>
      </c>
      <c r="N684" s="164" t="str">
        <f>IFERROR(COUNTIF($C$18:C684,C684)&amp;CHOOSE(MIN(4,COUNTIF($C$18:C684,C684)),"st","nd","rd","th"),"")</f>
        <v/>
      </c>
    </row>
    <row r="685" spans="8:14" x14ac:dyDescent="0.25">
      <c r="H685" s="201" t="str">
        <f t="shared" si="10"/>
        <v/>
      </c>
      <c r="N685" s="164" t="str">
        <f>IFERROR(COUNTIF($C$18:C685,C685)&amp;CHOOSE(MIN(4,COUNTIF($C$18:C685,C685)),"st","nd","rd","th"),"")</f>
        <v/>
      </c>
    </row>
    <row r="686" spans="8:14" x14ac:dyDescent="0.25">
      <c r="H686" s="201" t="str">
        <f t="shared" si="10"/>
        <v/>
      </c>
      <c r="N686" s="164" t="str">
        <f>IFERROR(COUNTIF($C$18:C686,C686)&amp;CHOOSE(MIN(4,COUNTIF($C$18:C686,C686)),"st","nd","rd","th"),"")</f>
        <v/>
      </c>
    </row>
    <row r="687" spans="8:14" x14ac:dyDescent="0.25">
      <c r="H687" s="201" t="str">
        <f t="shared" si="10"/>
        <v/>
      </c>
      <c r="N687" s="164" t="str">
        <f>IFERROR(COUNTIF($C$18:C687,C687)&amp;CHOOSE(MIN(4,COUNTIF($C$18:C687,C687)),"st","nd","rd","th"),"")</f>
        <v/>
      </c>
    </row>
    <row r="688" spans="8:14" x14ac:dyDescent="0.25">
      <c r="H688" s="201" t="str">
        <f t="shared" si="10"/>
        <v/>
      </c>
      <c r="N688" s="164" t="str">
        <f>IFERROR(COUNTIF($C$18:C688,C688)&amp;CHOOSE(MIN(4,COUNTIF($C$18:C688,C688)),"st","nd","rd","th"),"")</f>
        <v/>
      </c>
    </row>
    <row r="689" spans="8:14" x14ac:dyDescent="0.25">
      <c r="H689" s="201" t="str">
        <f t="shared" si="10"/>
        <v/>
      </c>
      <c r="N689" s="164" t="str">
        <f>IFERROR(COUNTIF($C$18:C689,C689)&amp;CHOOSE(MIN(4,COUNTIF($C$18:C689,C689)),"st","nd","rd","th"),"")</f>
        <v/>
      </c>
    </row>
    <row r="690" spans="8:14" x14ac:dyDescent="0.25">
      <c r="H690" s="201" t="str">
        <f t="shared" si="10"/>
        <v/>
      </c>
      <c r="N690" s="164" t="str">
        <f>IFERROR(COUNTIF($C$18:C690,C690)&amp;CHOOSE(MIN(4,COUNTIF($C$18:C690,C690)),"st","nd","rd","th"),"")</f>
        <v/>
      </c>
    </row>
    <row r="691" spans="8:14" x14ac:dyDescent="0.25">
      <c r="H691" s="201" t="str">
        <f t="shared" si="10"/>
        <v/>
      </c>
      <c r="N691" s="164" t="str">
        <f>IFERROR(COUNTIF($C$18:C691,C691)&amp;CHOOSE(MIN(4,COUNTIF($C$18:C691,C691)),"st","nd","rd","th"),"")</f>
        <v/>
      </c>
    </row>
    <row r="692" spans="8:14" x14ac:dyDescent="0.25">
      <c r="H692" s="201" t="str">
        <f t="shared" si="10"/>
        <v/>
      </c>
      <c r="N692" s="164" t="str">
        <f>IFERROR(COUNTIF($C$18:C692,C692)&amp;CHOOSE(MIN(4,COUNTIF($C$18:C692,C692)),"st","nd","rd","th"),"")</f>
        <v/>
      </c>
    </row>
    <row r="693" spans="8:14" x14ac:dyDescent="0.25">
      <c r="H693" s="201" t="str">
        <f t="shared" si="10"/>
        <v/>
      </c>
      <c r="N693" s="164" t="str">
        <f>IFERROR(COUNTIF($C$18:C693,C693)&amp;CHOOSE(MIN(4,COUNTIF($C$18:C693,C693)),"st","nd","rd","th"),"")</f>
        <v/>
      </c>
    </row>
    <row r="694" spans="8:14" x14ac:dyDescent="0.25">
      <c r="H694" s="201" t="str">
        <f t="shared" si="10"/>
        <v/>
      </c>
      <c r="N694" s="164" t="str">
        <f>IFERROR(COUNTIF($C$18:C694,C694)&amp;CHOOSE(MIN(4,COUNTIF($C$18:C694,C694)),"st","nd","rd","th"),"")</f>
        <v/>
      </c>
    </row>
    <row r="695" spans="8:14" x14ac:dyDescent="0.25">
      <c r="H695" s="201" t="str">
        <f t="shared" si="10"/>
        <v/>
      </c>
      <c r="N695" s="164" t="str">
        <f>IFERROR(COUNTIF($C$18:C695,C695)&amp;CHOOSE(MIN(4,COUNTIF($C$18:C695,C695)),"st","nd","rd","th"),"")</f>
        <v/>
      </c>
    </row>
    <row r="696" spans="8:14" x14ac:dyDescent="0.25">
      <c r="H696" s="201" t="str">
        <f t="shared" si="10"/>
        <v/>
      </c>
      <c r="N696" s="164" t="str">
        <f>IFERROR(COUNTIF($C$18:C696,C696)&amp;CHOOSE(MIN(4,COUNTIF($C$18:C696,C696)),"st","nd","rd","th"),"")</f>
        <v/>
      </c>
    </row>
    <row r="697" spans="8:14" x14ac:dyDescent="0.25">
      <c r="H697" s="201" t="str">
        <f t="shared" si="10"/>
        <v/>
      </c>
      <c r="N697" s="164" t="str">
        <f>IFERROR(COUNTIF($C$18:C697,C697)&amp;CHOOSE(MIN(4,COUNTIF($C$18:C697,C697)),"st","nd","rd","th"),"")</f>
        <v/>
      </c>
    </row>
    <row r="698" spans="8:14" x14ac:dyDescent="0.25">
      <c r="H698" s="201" t="str">
        <f t="shared" si="10"/>
        <v/>
      </c>
      <c r="N698" s="164" t="str">
        <f>IFERROR(COUNTIF($C$18:C698,C698)&amp;CHOOSE(MIN(4,COUNTIF($C$18:C698,C698)),"st","nd","rd","th"),"")</f>
        <v/>
      </c>
    </row>
    <row r="699" spans="8:14" x14ac:dyDescent="0.25">
      <c r="H699" s="201" t="str">
        <f t="shared" si="10"/>
        <v/>
      </c>
      <c r="N699" s="164" t="str">
        <f>IFERROR(COUNTIF($C$18:C699,C699)&amp;CHOOSE(MIN(4,COUNTIF($C$18:C699,C699)),"st","nd","rd","th"),"")</f>
        <v/>
      </c>
    </row>
    <row r="700" spans="8:14" x14ac:dyDescent="0.25">
      <c r="H700" s="201" t="str">
        <f t="shared" si="10"/>
        <v/>
      </c>
      <c r="N700" s="164" t="str">
        <f>IFERROR(COUNTIF($C$18:C700,C700)&amp;CHOOSE(MIN(4,COUNTIF($C$18:C700,C700)),"st","nd","rd","th"),"")</f>
        <v/>
      </c>
    </row>
    <row r="701" spans="8:14" x14ac:dyDescent="0.25">
      <c r="H701" s="201" t="str">
        <f t="shared" si="10"/>
        <v/>
      </c>
      <c r="N701" s="164" t="str">
        <f>IFERROR(COUNTIF($C$18:C701,C701)&amp;CHOOSE(MIN(4,COUNTIF($C$18:C701,C701)),"st","nd","rd","th"),"")</f>
        <v/>
      </c>
    </row>
    <row r="702" spans="8:14" x14ac:dyDescent="0.25">
      <c r="H702" s="201" t="str">
        <f t="shared" si="10"/>
        <v/>
      </c>
      <c r="N702" s="164" t="str">
        <f>IFERROR(COUNTIF($C$18:C702,C702)&amp;CHOOSE(MIN(4,COUNTIF($C$18:C702,C702)),"st","nd","rd","th"),"")</f>
        <v/>
      </c>
    </row>
    <row r="703" spans="8:14" x14ac:dyDescent="0.25">
      <c r="H703" s="201" t="str">
        <f t="shared" si="10"/>
        <v/>
      </c>
      <c r="N703" s="164" t="str">
        <f>IFERROR(COUNTIF($C$18:C703,C703)&amp;CHOOSE(MIN(4,COUNTIF($C$18:C703,C703)),"st","nd","rd","th"),"")</f>
        <v/>
      </c>
    </row>
    <row r="704" spans="8:14" x14ac:dyDescent="0.25">
      <c r="H704" s="201" t="str">
        <f t="shared" si="10"/>
        <v/>
      </c>
      <c r="N704" s="164" t="str">
        <f>IFERROR(COUNTIF($C$18:C704,C704)&amp;CHOOSE(MIN(4,COUNTIF($C$18:C704,C704)),"st","nd","rd","th"),"")</f>
        <v/>
      </c>
    </row>
    <row r="705" spans="8:14" x14ac:dyDescent="0.25">
      <c r="H705" s="201" t="str">
        <f t="shared" si="10"/>
        <v/>
      </c>
      <c r="N705" s="164" t="str">
        <f>IFERROR(COUNTIF($C$18:C705,C705)&amp;CHOOSE(MIN(4,COUNTIF($C$18:C705,C705)),"st","nd","rd","th"),"")</f>
        <v/>
      </c>
    </row>
    <row r="706" spans="8:14" x14ac:dyDescent="0.25">
      <c r="H706" s="201" t="str">
        <f t="shared" si="10"/>
        <v/>
      </c>
      <c r="N706" s="164" t="str">
        <f>IFERROR(COUNTIF($C$18:C706,C706)&amp;CHOOSE(MIN(4,COUNTIF($C$18:C706,C706)),"st","nd","rd","th"),"")</f>
        <v/>
      </c>
    </row>
    <row r="707" spans="8:14" x14ac:dyDescent="0.25">
      <c r="H707" s="201" t="str">
        <f t="shared" si="10"/>
        <v/>
      </c>
      <c r="N707" s="164" t="str">
        <f>IFERROR(COUNTIF($C$18:C707,C707)&amp;CHOOSE(MIN(4,COUNTIF($C$18:C707,C707)),"st","nd","rd","th"),"")</f>
        <v/>
      </c>
    </row>
    <row r="708" spans="8:14" x14ac:dyDescent="0.25">
      <c r="H708" s="201" t="str">
        <f t="shared" si="10"/>
        <v/>
      </c>
      <c r="N708" s="164" t="str">
        <f>IFERROR(COUNTIF($C$18:C708,C708)&amp;CHOOSE(MIN(4,COUNTIF($C$18:C708,C708)),"st","nd","rd","th"),"")</f>
        <v/>
      </c>
    </row>
    <row r="709" spans="8:14" x14ac:dyDescent="0.25">
      <c r="H709" s="201" t="str">
        <f t="shared" si="10"/>
        <v/>
      </c>
      <c r="N709" s="164" t="str">
        <f>IFERROR(COUNTIF($C$18:C709,C709)&amp;CHOOSE(MIN(4,COUNTIF($C$18:C709,C709)),"st","nd","rd","th"),"")</f>
        <v/>
      </c>
    </row>
    <row r="710" spans="8:14" x14ac:dyDescent="0.25">
      <c r="H710" s="201" t="str">
        <f t="shared" si="10"/>
        <v/>
      </c>
      <c r="N710" s="164" t="str">
        <f>IFERROR(COUNTIF($C$18:C710,C710)&amp;CHOOSE(MIN(4,COUNTIF($C$18:C710,C710)),"st","nd","rd","th"),"")</f>
        <v/>
      </c>
    </row>
    <row r="711" spans="8:14" x14ac:dyDescent="0.25">
      <c r="H711" s="201" t="str">
        <f t="shared" si="10"/>
        <v/>
      </c>
      <c r="N711" s="164" t="str">
        <f>IFERROR(COUNTIF($C$18:C711,C711)&amp;CHOOSE(MIN(4,COUNTIF($C$18:C711,C711)),"st","nd","rd","th"),"")</f>
        <v/>
      </c>
    </row>
    <row r="712" spans="8:14" x14ac:dyDescent="0.25">
      <c r="H712" s="201" t="str">
        <f t="shared" si="10"/>
        <v/>
      </c>
      <c r="N712" s="164" t="str">
        <f>IFERROR(COUNTIF($C$18:C712,C712)&amp;CHOOSE(MIN(4,COUNTIF($C$18:C712,C712)),"st","nd","rd","th"),"")</f>
        <v/>
      </c>
    </row>
    <row r="713" spans="8:14" x14ac:dyDescent="0.25">
      <c r="H713" s="201" t="str">
        <f t="shared" si="10"/>
        <v/>
      </c>
      <c r="N713" s="164" t="str">
        <f>IFERROR(COUNTIF($C$18:C713,C713)&amp;CHOOSE(MIN(4,COUNTIF($C$18:C713,C713)),"st","nd","rd","th"),"")</f>
        <v/>
      </c>
    </row>
    <row r="714" spans="8:14" x14ac:dyDescent="0.25">
      <c r="H714" s="201" t="str">
        <f t="shared" si="10"/>
        <v/>
      </c>
      <c r="N714" s="164" t="str">
        <f>IFERROR(COUNTIF($C$18:C714,C714)&amp;CHOOSE(MIN(4,COUNTIF($C$18:C714,C714)),"st","nd","rd","th"),"")</f>
        <v/>
      </c>
    </row>
    <row r="715" spans="8:14" x14ac:dyDescent="0.25">
      <c r="H715" s="201" t="str">
        <f t="shared" si="10"/>
        <v/>
      </c>
      <c r="N715" s="164" t="str">
        <f>IFERROR(COUNTIF($C$18:C715,C715)&amp;CHOOSE(MIN(4,COUNTIF($C$18:C715,C715)),"st","nd","rd","th"),"")</f>
        <v/>
      </c>
    </row>
    <row r="716" spans="8:14" x14ac:dyDescent="0.25">
      <c r="H716" s="201" t="str">
        <f t="shared" si="10"/>
        <v/>
      </c>
      <c r="N716" s="164" t="str">
        <f>IFERROR(COUNTIF($C$18:C716,C716)&amp;CHOOSE(MIN(4,COUNTIF($C$18:C716,C716)),"st","nd","rd","th"),"")</f>
        <v/>
      </c>
    </row>
    <row r="717" spans="8:14" x14ac:dyDescent="0.25">
      <c r="H717" s="201" t="str">
        <f t="shared" si="10"/>
        <v/>
      </c>
      <c r="N717" s="164" t="str">
        <f>IFERROR(COUNTIF($C$18:C717,C717)&amp;CHOOSE(MIN(4,COUNTIF($C$18:C717,C717)),"st","nd","rd","th"),"")</f>
        <v/>
      </c>
    </row>
    <row r="718" spans="8:14" x14ac:dyDescent="0.25">
      <c r="H718" s="201" t="str">
        <f t="shared" si="10"/>
        <v/>
      </c>
      <c r="N718" s="164" t="str">
        <f>IFERROR(COUNTIF($C$18:C718,C718)&amp;CHOOSE(MIN(4,COUNTIF($C$18:C718,C718)),"st","nd","rd","th"),"")</f>
        <v/>
      </c>
    </row>
    <row r="719" spans="8:14" x14ac:dyDescent="0.25">
      <c r="H719" s="201" t="str">
        <f t="shared" si="10"/>
        <v/>
      </c>
      <c r="N719" s="164" t="str">
        <f>IFERROR(COUNTIF($C$18:C719,C719)&amp;CHOOSE(MIN(4,COUNTIF($C$18:C719,C719)),"st","nd","rd","th"),"")</f>
        <v/>
      </c>
    </row>
    <row r="720" spans="8:14" x14ac:dyDescent="0.25">
      <c r="H720" s="201" t="str">
        <f t="shared" si="10"/>
        <v/>
      </c>
      <c r="N720" s="164" t="str">
        <f>IFERROR(COUNTIF($C$18:C720,C720)&amp;CHOOSE(MIN(4,COUNTIF($C$18:C720,C720)),"st","nd","rd","th"),"")</f>
        <v/>
      </c>
    </row>
    <row r="721" spans="8:14" x14ac:dyDescent="0.25">
      <c r="H721" s="201" t="str">
        <f t="shared" si="10"/>
        <v/>
      </c>
      <c r="N721" s="164" t="str">
        <f>IFERROR(COUNTIF($C$18:C721,C721)&amp;CHOOSE(MIN(4,COUNTIF($C$18:C721,C721)),"st","nd","rd","th"),"")</f>
        <v/>
      </c>
    </row>
    <row r="722" spans="8:14" x14ac:dyDescent="0.25">
      <c r="H722" s="201" t="str">
        <f t="shared" si="10"/>
        <v/>
      </c>
      <c r="N722" s="164" t="str">
        <f>IFERROR(COUNTIF($C$18:C722,C722)&amp;CHOOSE(MIN(4,COUNTIF($C$18:C722,C722)),"st","nd","rd","th"),"")</f>
        <v/>
      </c>
    </row>
    <row r="723" spans="8:14" x14ac:dyDescent="0.25">
      <c r="H723" s="201" t="str">
        <f t="shared" ref="H723:H786" si="11">IF(OR(ISBLANK(G723), ISBLANK(F723)), "", IF(G723=F723, 1, SUM(_xlfn.DAYS(G723, F723), 1)))</f>
        <v/>
      </c>
      <c r="N723" s="164" t="str">
        <f>IFERROR(COUNTIF($C$18:C723,C723)&amp;CHOOSE(MIN(4,COUNTIF($C$18:C723,C723)),"st","nd","rd","th"),"")</f>
        <v/>
      </c>
    </row>
    <row r="724" spans="8:14" x14ac:dyDescent="0.25">
      <c r="H724" s="201" t="str">
        <f t="shared" si="11"/>
        <v/>
      </c>
      <c r="N724" s="164" t="str">
        <f>IFERROR(COUNTIF($C$18:C724,C724)&amp;CHOOSE(MIN(4,COUNTIF($C$18:C724,C724)),"st","nd","rd","th"),"")</f>
        <v/>
      </c>
    </row>
    <row r="725" spans="8:14" x14ac:dyDescent="0.25">
      <c r="H725" s="201" t="str">
        <f t="shared" si="11"/>
        <v/>
      </c>
      <c r="N725" s="164" t="str">
        <f>IFERROR(COUNTIF($C$18:C725,C725)&amp;CHOOSE(MIN(4,COUNTIF($C$18:C725,C725)),"st","nd","rd","th"),"")</f>
        <v/>
      </c>
    </row>
    <row r="726" spans="8:14" x14ac:dyDescent="0.25">
      <c r="H726" s="201" t="str">
        <f t="shared" si="11"/>
        <v/>
      </c>
      <c r="N726" s="164" t="str">
        <f>IFERROR(COUNTIF($C$18:C726,C726)&amp;CHOOSE(MIN(4,COUNTIF($C$18:C726,C726)),"st","nd","rd","th"),"")</f>
        <v/>
      </c>
    </row>
    <row r="727" spans="8:14" x14ac:dyDescent="0.25">
      <c r="H727" s="201" t="str">
        <f t="shared" si="11"/>
        <v/>
      </c>
      <c r="N727" s="164" t="str">
        <f>IFERROR(COUNTIF($C$18:C727,C727)&amp;CHOOSE(MIN(4,COUNTIF($C$18:C727,C727)),"st","nd","rd","th"),"")</f>
        <v/>
      </c>
    </row>
    <row r="728" spans="8:14" x14ac:dyDescent="0.25">
      <c r="H728" s="201" t="str">
        <f t="shared" si="11"/>
        <v/>
      </c>
      <c r="N728" s="164" t="str">
        <f>IFERROR(COUNTIF($C$18:C728,C728)&amp;CHOOSE(MIN(4,COUNTIF($C$18:C728,C728)),"st","nd","rd","th"),"")</f>
        <v/>
      </c>
    </row>
    <row r="729" spans="8:14" x14ac:dyDescent="0.25">
      <c r="H729" s="201" t="str">
        <f t="shared" si="11"/>
        <v/>
      </c>
      <c r="N729" s="164" t="str">
        <f>IFERROR(COUNTIF($C$18:C729,C729)&amp;CHOOSE(MIN(4,COUNTIF($C$18:C729,C729)),"st","nd","rd","th"),"")</f>
        <v/>
      </c>
    </row>
    <row r="730" spans="8:14" x14ac:dyDescent="0.25">
      <c r="H730" s="201" t="str">
        <f t="shared" si="11"/>
        <v/>
      </c>
      <c r="N730" s="164" t="str">
        <f>IFERROR(COUNTIF($C$18:C730,C730)&amp;CHOOSE(MIN(4,COUNTIF($C$18:C730,C730)),"st","nd","rd","th"),"")</f>
        <v/>
      </c>
    </row>
    <row r="731" spans="8:14" x14ac:dyDescent="0.25">
      <c r="H731" s="201" t="str">
        <f t="shared" si="11"/>
        <v/>
      </c>
      <c r="N731" s="164" t="str">
        <f>IFERROR(COUNTIF($C$18:C731,C731)&amp;CHOOSE(MIN(4,COUNTIF($C$18:C731,C731)),"st","nd","rd","th"),"")</f>
        <v/>
      </c>
    </row>
    <row r="732" spans="8:14" x14ac:dyDescent="0.25">
      <c r="H732" s="201" t="str">
        <f t="shared" si="11"/>
        <v/>
      </c>
      <c r="N732" s="164" t="str">
        <f>IFERROR(COUNTIF($C$18:C732,C732)&amp;CHOOSE(MIN(4,COUNTIF($C$18:C732,C732)),"st","nd","rd","th"),"")</f>
        <v/>
      </c>
    </row>
    <row r="733" spans="8:14" x14ac:dyDescent="0.25">
      <c r="H733" s="201" t="str">
        <f t="shared" si="11"/>
        <v/>
      </c>
      <c r="N733" s="164" t="str">
        <f>IFERROR(COUNTIF($C$18:C733,C733)&amp;CHOOSE(MIN(4,COUNTIF($C$18:C733,C733)),"st","nd","rd","th"),"")</f>
        <v/>
      </c>
    </row>
    <row r="734" spans="8:14" x14ac:dyDescent="0.25">
      <c r="H734" s="201" t="str">
        <f t="shared" si="11"/>
        <v/>
      </c>
      <c r="N734" s="164" t="str">
        <f>IFERROR(COUNTIF($C$18:C734,C734)&amp;CHOOSE(MIN(4,COUNTIF($C$18:C734,C734)),"st","nd","rd","th"),"")</f>
        <v/>
      </c>
    </row>
    <row r="735" spans="8:14" x14ac:dyDescent="0.25">
      <c r="H735" s="201" t="str">
        <f t="shared" si="11"/>
        <v/>
      </c>
      <c r="N735" s="164" t="str">
        <f>IFERROR(COUNTIF($C$18:C735,C735)&amp;CHOOSE(MIN(4,COUNTIF($C$18:C735,C735)),"st","nd","rd","th"),"")</f>
        <v/>
      </c>
    </row>
    <row r="736" spans="8:14" x14ac:dyDescent="0.25">
      <c r="H736" s="201" t="str">
        <f t="shared" si="11"/>
        <v/>
      </c>
      <c r="N736" s="164" t="str">
        <f>IFERROR(COUNTIF($C$18:C736,C736)&amp;CHOOSE(MIN(4,COUNTIF($C$18:C736,C736)),"st","nd","rd","th"),"")</f>
        <v/>
      </c>
    </row>
    <row r="737" spans="8:14" x14ac:dyDescent="0.25">
      <c r="H737" s="201" t="str">
        <f t="shared" si="11"/>
        <v/>
      </c>
      <c r="N737" s="164" t="str">
        <f>IFERROR(COUNTIF($C$18:C737,C737)&amp;CHOOSE(MIN(4,COUNTIF($C$18:C737,C737)),"st","nd","rd","th"),"")</f>
        <v/>
      </c>
    </row>
    <row r="738" spans="8:14" x14ac:dyDescent="0.25">
      <c r="H738" s="201" t="str">
        <f t="shared" si="11"/>
        <v/>
      </c>
      <c r="N738" s="164" t="str">
        <f>IFERROR(COUNTIF($C$18:C738,C738)&amp;CHOOSE(MIN(4,COUNTIF($C$18:C738,C738)),"st","nd","rd","th"),"")</f>
        <v/>
      </c>
    </row>
    <row r="739" spans="8:14" x14ac:dyDescent="0.25">
      <c r="H739" s="201" t="str">
        <f t="shared" si="11"/>
        <v/>
      </c>
      <c r="N739" s="164" t="str">
        <f>IFERROR(COUNTIF($C$18:C739,C739)&amp;CHOOSE(MIN(4,COUNTIF($C$18:C739,C739)),"st","nd","rd","th"),"")</f>
        <v/>
      </c>
    </row>
    <row r="740" spans="8:14" x14ac:dyDescent="0.25">
      <c r="H740" s="201" t="str">
        <f t="shared" si="11"/>
        <v/>
      </c>
      <c r="N740" s="164" t="str">
        <f>IFERROR(COUNTIF($C$18:C740,C740)&amp;CHOOSE(MIN(4,COUNTIF($C$18:C740,C740)),"st","nd","rd","th"),"")</f>
        <v/>
      </c>
    </row>
    <row r="741" spans="8:14" x14ac:dyDescent="0.25">
      <c r="H741" s="201" t="str">
        <f t="shared" si="11"/>
        <v/>
      </c>
      <c r="N741" s="164" t="str">
        <f>IFERROR(COUNTIF($C$18:C741,C741)&amp;CHOOSE(MIN(4,COUNTIF($C$18:C741,C741)),"st","nd","rd","th"),"")</f>
        <v/>
      </c>
    </row>
    <row r="742" spans="8:14" x14ac:dyDescent="0.25">
      <c r="H742" s="201" t="str">
        <f t="shared" si="11"/>
        <v/>
      </c>
      <c r="N742" s="164" t="str">
        <f>IFERROR(COUNTIF($C$18:C742,C742)&amp;CHOOSE(MIN(4,COUNTIF($C$18:C742,C742)),"st","nd","rd","th"),"")</f>
        <v/>
      </c>
    </row>
    <row r="743" spans="8:14" x14ac:dyDescent="0.25">
      <c r="H743" s="201" t="str">
        <f t="shared" si="11"/>
        <v/>
      </c>
      <c r="N743" s="164" t="str">
        <f>IFERROR(COUNTIF($C$18:C743,C743)&amp;CHOOSE(MIN(4,COUNTIF($C$18:C743,C743)),"st","nd","rd","th"),"")</f>
        <v/>
      </c>
    </row>
    <row r="744" spans="8:14" x14ac:dyDescent="0.25">
      <c r="H744" s="201" t="str">
        <f t="shared" si="11"/>
        <v/>
      </c>
      <c r="N744" s="164" t="str">
        <f>IFERROR(COUNTIF($C$18:C744,C744)&amp;CHOOSE(MIN(4,COUNTIF($C$18:C744,C744)),"st","nd","rd","th"),"")</f>
        <v/>
      </c>
    </row>
    <row r="745" spans="8:14" x14ac:dyDescent="0.25">
      <c r="H745" s="201" t="str">
        <f t="shared" si="11"/>
        <v/>
      </c>
      <c r="N745" s="164" t="str">
        <f>IFERROR(COUNTIF($C$18:C745,C745)&amp;CHOOSE(MIN(4,COUNTIF($C$18:C745,C745)),"st","nd","rd","th"),"")</f>
        <v/>
      </c>
    </row>
    <row r="746" spans="8:14" x14ac:dyDescent="0.25">
      <c r="H746" s="201" t="str">
        <f t="shared" si="11"/>
        <v/>
      </c>
      <c r="N746" s="164" t="str">
        <f>IFERROR(COUNTIF($C$18:C746,C746)&amp;CHOOSE(MIN(4,COUNTIF($C$18:C746,C746)),"st","nd","rd","th"),"")</f>
        <v/>
      </c>
    </row>
    <row r="747" spans="8:14" x14ac:dyDescent="0.25">
      <c r="H747" s="201" t="str">
        <f t="shared" si="11"/>
        <v/>
      </c>
      <c r="N747" s="164" t="str">
        <f>IFERROR(COUNTIF($C$18:C747,C747)&amp;CHOOSE(MIN(4,COUNTIF($C$18:C747,C747)),"st","nd","rd","th"),"")</f>
        <v/>
      </c>
    </row>
    <row r="748" spans="8:14" x14ac:dyDescent="0.25">
      <c r="H748" s="201" t="str">
        <f t="shared" si="11"/>
        <v/>
      </c>
      <c r="N748" s="164" t="str">
        <f>IFERROR(COUNTIF($C$18:C748,C748)&amp;CHOOSE(MIN(4,COUNTIF($C$18:C748,C748)),"st","nd","rd","th"),"")</f>
        <v/>
      </c>
    </row>
    <row r="749" spans="8:14" x14ac:dyDescent="0.25">
      <c r="H749" s="201" t="str">
        <f t="shared" si="11"/>
        <v/>
      </c>
      <c r="N749" s="164" t="str">
        <f>IFERROR(COUNTIF($C$18:C749,C749)&amp;CHOOSE(MIN(4,COUNTIF($C$18:C749,C749)),"st","nd","rd","th"),"")</f>
        <v/>
      </c>
    </row>
    <row r="750" spans="8:14" x14ac:dyDescent="0.25">
      <c r="H750" s="201" t="str">
        <f t="shared" si="11"/>
        <v/>
      </c>
      <c r="N750" s="164" t="str">
        <f>IFERROR(COUNTIF($C$18:C750,C750)&amp;CHOOSE(MIN(4,COUNTIF($C$18:C750,C750)),"st","nd","rd","th"),"")</f>
        <v/>
      </c>
    </row>
    <row r="751" spans="8:14" x14ac:dyDescent="0.25">
      <c r="H751" s="201" t="str">
        <f t="shared" si="11"/>
        <v/>
      </c>
      <c r="N751" s="164" t="str">
        <f>IFERROR(COUNTIF($C$18:C751,C751)&amp;CHOOSE(MIN(4,COUNTIF($C$18:C751,C751)),"st","nd","rd","th"),"")</f>
        <v/>
      </c>
    </row>
    <row r="752" spans="8:14" x14ac:dyDescent="0.25">
      <c r="H752" s="201" t="str">
        <f t="shared" si="11"/>
        <v/>
      </c>
      <c r="N752" s="164" t="str">
        <f>IFERROR(COUNTIF($C$18:C752,C752)&amp;CHOOSE(MIN(4,COUNTIF($C$18:C752,C752)),"st","nd","rd","th"),"")</f>
        <v/>
      </c>
    </row>
    <row r="753" spans="8:14" x14ac:dyDescent="0.25">
      <c r="H753" s="201" t="str">
        <f t="shared" si="11"/>
        <v/>
      </c>
      <c r="N753" s="164" t="str">
        <f>IFERROR(COUNTIF($C$18:C753,C753)&amp;CHOOSE(MIN(4,COUNTIF($C$18:C753,C753)),"st","nd","rd","th"),"")</f>
        <v/>
      </c>
    </row>
    <row r="754" spans="8:14" x14ac:dyDescent="0.25">
      <c r="H754" s="201" t="str">
        <f t="shared" si="11"/>
        <v/>
      </c>
      <c r="N754" s="164" t="str">
        <f>IFERROR(COUNTIF($C$18:C754,C754)&amp;CHOOSE(MIN(4,COUNTIF($C$18:C754,C754)),"st","nd","rd","th"),"")</f>
        <v/>
      </c>
    </row>
    <row r="755" spans="8:14" x14ac:dyDescent="0.25">
      <c r="H755" s="201" t="str">
        <f t="shared" si="11"/>
        <v/>
      </c>
      <c r="N755" s="164" t="str">
        <f>IFERROR(COUNTIF($C$18:C755,C755)&amp;CHOOSE(MIN(4,COUNTIF($C$18:C755,C755)),"st","nd","rd","th"),"")</f>
        <v/>
      </c>
    </row>
    <row r="756" spans="8:14" x14ac:dyDescent="0.25">
      <c r="H756" s="201" t="str">
        <f t="shared" si="11"/>
        <v/>
      </c>
      <c r="N756" s="164" t="str">
        <f>IFERROR(COUNTIF($C$18:C756,C756)&amp;CHOOSE(MIN(4,COUNTIF($C$18:C756,C756)),"st","nd","rd","th"),"")</f>
        <v/>
      </c>
    </row>
    <row r="757" spans="8:14" x14ac:dyDescent="0.25">
      <c r="H757" s="201" t="str">
        <f t="shared" si="11"/>
        <v/>
      </c>
      <c r="N757" s="164" t="str">
        <f>IFERROR(COUNTIF($C$18:C757,C757)&amp;CHOOSE(MIN(4,COUNTIF($C$18:C757,C757)),"st","nd","rd","th"),"")</f>
        <v/>
      </c>
    </row>
    <row r="758" spans="8:14" x14ac:dyDescent="0.25">
      <c r="H758" s="201" t="str">
        <f t="shared" si="11"/>
        <v/>
      </c>
      <c r="N758" s="164" t="str">
        <f>IFERROR(COUNTIF($C$18:C758,C758)&amp;CHOOSE(MIN(4,COUNTIF($C$18:C758,C758)),"st","nd","rd","th"),"")</f>
        <v/>
      </c>
    </row>
    <row r="759" spans="8:14" x14ac:dyDescent="0.25">
      <c r="H759" s="201" t="str">
        <f t="shared" si="11"/>
        <v/>
      </c>
      <c r="N759" s="164" t="str">
        <f>IFERROR(COUNTIF($C$18:C759,C759)&amp;CHOOSE(MIN(4,COUNTIF($C$18:C759,C759)),"st","nd","rd","th"),"")</f>
        <v/>
      </c>
    </row>
    <row r="760" spans="8:14" x14ac:dyDescent="0.25">
      <c r="H760" s="201" t="str">
        <f t="shared" si="11"/>
        <v/>
      </c>
      <c r="N760" s="164" t="str">
        <f>IFERROR(COUNTIF($C$18:C760,C760)&amp;CHOOSE(MIN(4,COUNTIF($C$18:C760,C760)),"st","nd","rd","th"),"")</f>
        <v/>
      </c>
    </row>
    <row r="761" spans="8:14" x14ac:dyDescent="0.25">
      <c r="H761" s="201" t="str">
        <f t="shared" si="11"/>
        <v/>
      </c>
      <c r="N761" s="164" t="str">
        <f>IFERROR(COUNTIF($C$18:C761,C761)&amp;CHOOSE(MIN(4,COUNTIF($C$18:C761,C761)),"st","nd","rd","th"),"")</f>
        <v/>
      </c>
    </row>
    <row r="762" spans="8:14" x14ac:dyDescent="0.25">
      <c r="H762" s="201" t="str">
        <f t="shared" si="11"/>
        <v/>
      </c>
      <c r="N762" s="164" t="str">
        <f>IFERROR(COUNTIF($C$18:C762,C762)&amp;CHOOSE(MIN(4,COUNTIF($C$18:C762,C762)),"st","nd","rd","th"),"")</f>
        <v/>
      </c>
    </row>
    <row r="763" spans="8:14" x14ac:dyDescent="0.25">
      <c r="H763" s="201" t="str">
        <f t="shared" si="11"/>
        <v/>
      </c>
      <c r="N763" s="164" t="str">
        <f>IFERROR(COUNTIF($C$18:C763,C763)&amp;CHOOSE(MIN(4,COUNTIF($C$18:C763,C763)),"st","nd","rd","th"),"")</f>
        <v/>
      </c>
    </row>
    <row r="764" spans="8:14" x14ac:dyDescent="0.25">
      <c r="H764" s="201" t="str">
        <f t="shared" si="11"/>
        <v/>
      </c>
      <c r="N764" s="164" t="str">
        <f>IFERROR(COUNTIF($C$18:C764,C764)&amp;CHOOSE(MIN(4,COUNTIF($C$18:C764,C764)),"st","nd","rd","th"),"")</f>
        <v/>
      </c>
    </row>
    <row r="765" spans="8:14" x14ac:dyDescent="0.25">
      <c r="H765" s="201" t="str">
        <f t="shared" si="11"/>
        <v/>
      </c>
      <c r="N765" s="164" t="str">
        <f>IFERROR(COUNTIF($C$18:C765,C765)&amp;CHOOSE(MIN(4,COUNTIF($C$18:C765,C765)),"st","nd","rd","th"),"")</f>
        <v/>
      </c>
    </row>
    <row r="766" spans="8:14" x14ac:dyDescent="0.25">
      <c r="H766" s="201" t="str">
        <f t="shared" si="11"/>
        <v/>
      </c>
      <c r="N766" s="164" t="str">
        <f>IFERROR(COUNTIF($C$18:C766,C766)&amp;CHOOSE(MIN(4,COUNTIF($C$18:C766,C766)),"st","nd","rd","th"),"")</f>
        <v/>
      </c>
    </row>
    <row r="767" spans="8:14" x14ac:dyDescent="0.25">
      <c r="H767" s="201" t="str">
        <f t="shared" si="11"/>
        <v/>
      </c>
      <c r="N767" s="164" t="str">
        <f>IFERROR(COUNTIF($C$18:C767,C767)&amp;CHOOSE(MIN(4,COUNTIF($C$18:C767,C767)),"st","nd","rd","th"),"")</f>
        <v/>
      </c>
    </row>
    <row r="768" spans="8:14" x14ac:dyDescent="0.25">
      <c r="H768" s="201" t="str">
        <f t="shared" si="11"/>
        <v/>
      </c>
      <c r="N768" s="164" t="str">
        <f>IFERROR(COUNTIF($C$18:C768,C768)&amp;CHOOSE(MIN(4,COUNTIF($C$18:C768,C768)),"st","nd","rd","th"),"")</f>
        <v/>
      </c>
    </row>
    <row r="769" spans="8:14" x14ac:dyDescent="0.25">
      <c r="H769" s="201" t="str">
        <f t="shared" si="11"/>
        <v/>
      </c>
      <c r="N769" s="164" t="str">
        <f>IFERROR(COUNTIF($C$18:C769,C769)&amp;CHOOSE(MIN(4,COUNTIF($C$18:C769,C769)),"st","nd","rd","th"),"")</f>
        <v/>
      </c>
    </row>
    <row r="770" spans="8:14" x14ac:dyDescent="0.25">
      <c r="H770" s="201" t="str">
        <f t="shared" si="11"/>
        <v/>
      </c>
      <c r="N770" s="164" t="str">
        <f>IFERROR(COUNTIF($C$18:C770,C770)&amp;CHOOSE(MIN(4,COUNTIF($C$18:C770,C770)),"st","nd","rd","th"),"")</f>
        <v/>
      </c>
    </row>
    <row r="771" spans="8:14" x14ac:dyDescent="0.25">
      <c r="H771" s="201" t="str">
        <f t="shared" si="11"/>
        <v/>
      </c>
      <c r="N771" s="164" t="str">
        <f>IFERROR(COUNTIF($C$18:C771,C771)&amp;CHOOSE(MIN(4,COUNTIF($C$18:C771,C771)),"st","nd","rd","th"),"")</f>
        <v/>
      </c>
    </row>
    <row r="772" spans="8:14" x14ac:dyDescent="0.25">
      <c r="H772" s="201" t="str">
        <f t="shared" si="11"/>
        <v/>
      </c>
      <c r="N772" s="164" t="str">
        <f>IFERROR(COUNTIF($C$18:C772,C772)&amp;CHOOSE(MIN(4,COUNTIF($C$18:C772,C772)),"st","nd","rd","th"),"")</f>
        <v/>
      </c>
    </row>
    <row r="773" spans="8:14" x14ac:dyDescent="0.25">
      <c r="H773" s="201" t="str">
        <f t="shared" si="11"/>
        <v/>
      </c>
      <c r="N773" s="164" t="str">
        <f>IFERROR(COUNTIF($C$18:C773,C773)&amp;CHOOSE(MIN(4,COUNTIF($C$18:C773,C773)),"st","nd","rd","th"),"")</f>
        <v/>
      </c>
    </row>
    <row r="774" spans="8:14" x14ac:dyDescent="0.25">
      <c r="H774" s="201" t="str">
        <f t="shared" si="11"/>
        <v/>
      </c>
      <c r="N774" s="164" t="str">
        <f>IFERROR(COUNTIF($C$18:C774,C774)&amp;CHOOSE(MIN(4,COUNTIF($C$18:C774,C774)),"st","nd","rd","th"),"")</f>
        <v/>
      </c>
    </row>
    <row r="775" spans="8:14" x14ac:dyDescent="0.25">
      <c r="H775" s="201" t="str">
        <f t="shared" si="11"/>
        <v/>
      </c>
      <c r="N775" s="164" t="str">
        <f>IFERROR(COUNTIF($C$18:C775,C775)&amp;CHOOSE(MIN(4,COUNTIF($C$18:C775,C775)),"st","nd","rd","th"),"")</f>
        <v/>
      </c>
    </row>
    <row r="776" spans="8:14" x14ac:dyDescent="0.25">
      <c r="H776" s="201" t="str">
        <f t="shared" si="11"/>
        <v/>
      </c>
      <c r="N776" s="164" t="str">
        <f>IFERROR(COUNTIF($C$18:C776,C776)&amp;CHOOSE(MIN(4,COUNTIF($C$18:C776,C776)),"st","nd","rd","th"),"")</f>
        <v/>
      </c>
    </row>
    <row r="777" spans="8:14" x14ac:dyDescent="0.25">
      <c r="H777" s="201" t="str">
        <f t="shared" si="11"/>
        <v/>
      </c>
      <c r="N777" s="164" t="str">
        <f>IFERROR(COUNTIF($C$18:C777,C777)&amp;CHOOSE(MIN(4,COUNTIF($C$18:C777,C777)),"st","nd","rd","th"),"")</f>
        <v/>
      </c>
    </row>
    <row r="778" spans="8:14" x14ac:dyDescent="0.25">
      <c r="H778" s="201" t="str">
        <f t="shared" si="11"/>
        <v/>
      </c>
      <c r="N778" s="164" t="str">
        <f>IFERROR(COUNTIF($C$18:C778,C778)&amp;CHOOSE(MIN(4,COUNTIF($C$18:C778,C778)),"st","nd","rd","th"),"")</f>
        <v/>
      </c>
    </row>
    <row r="779" spans="8:14" x14ac:dyDescent="0.25">
      <c r="H779" s="201" t="str">
        <f t="shared" si="11"/>
        <v/>
      </c>
      <c r="N779" s="164" t="str">
        <f>IFERROR(COUNTIF($C$18:C779,C779)&amp;CHOOSE(MIN(4,COUNTIF($C$18:C779,C779)),"st","nd","rd","th"),"")</f>
        <v/>
      </c>
    </row>
    <row r="780" spans="8:14" x14ac:dyDescent="0.25">
      <c r="H780" s="201" t="str">
        <f t="shared" si="11"/>
        <v/>
      </c>
      <c r="N780" s="164" t="str">
        <f>IFERROR(COUNTIF($C$18:C780,C780)&amp;CHOOSE(MIN(4,COUNTIF($C$18:C780,C780)),"st","nd","rd","th"),"")</f>
        <v/>
      </c>
    </row>
    <row r="781" spans="8:14" x14ac:dyDescent="0.25">
      <c r="H781" s="201" t="str">
        <f t="shared" si="11"/>
        <v/>
      </c>
      <c r="N781" s="164" t="str">
        <f>IFERROR(COUNTIF($C$18:C781,C781)&amp;CHOOSE(MIN(4,COUNTIF($C$18:C781,C781)),"st","nd","rd","th"),"")</f>
        <v/>
      </c>
    </row>
    <row r="782" spans="8:14" x14ac:dyDescent="0.25">
      <c r="H782" s="201" t="str">
        <f t="shared" si="11"/>
        <v/>
      </c>
      <c r="N782" s="164" t="str">
        <f>IFERROR(COUNTIF($C$18:C782,C782)&amp;CHOOSE(MIN(4,COUNTIF($C$18:C782,C782)),"st","nd","rd","th"),"")</f>
        <v/>
      </c>
    </row>
    <row r="783" spans="8:14" x14ac:dyDescent="0.25">
      <c r="H783" s="201" t="str">
        <f t="shared" si="11"/>
        <v/>
      </c>
      <c r="N783" s="164" t="str">
        <f>IFERROR(COUNTIF($C$18:C783,C783)&amp;CHOOSE(MIN(4,COUNTIF($C$18:C783,C783)),"st","nd","rd","th"),"")</f>
        <v/>
      </c>
    </row>
    <row r="784" spans="8:14" x14ac:dyDescent="0.25">
      <c r="H784" s="201" t="str">
        <f t="shared" si="11"/>
        <v/>
      </c>
      <c r="N784" s="164" t="str">
        <f>IFERROR(COUNTIF($C$18:C784,C784)&amp;CHOOSE(MIN(4,COUNTIF($C$18:C784,C784)),"st","nd","rd","th"),"")</f>
        <v/>
      </c>
    </row>
    <row r="785" spans="8:14" x14ac:dyDescent="0.25">
      <c r="H785" s="201" t="str">
        <f t="shared" si="11"/>
        <v/>
      </c>
      <c r="N785" s="164" t="str">
        <f>IFERROR(COUNTIF($C$18:C785,C785)&amp;CHOOSE(MIN(4,COUNTIF($C$18:C785,C785)),"st","nd","rd","th"),"")</f>
        <v/>
      </c>
    </row>
    <row r="786" spans="8:14" x14ac:dyDescent="0.25">
      <c r="H786" s="201" t="str">
        <f t="shared" si="11"/>
        <v/>
      </c>
      <c r="N786" s="164" t="str">
        <f>IFERROR(COUNTIF($C$18:C786,C786)&amp;CHOOSE(MIN(4,COUNTIF($C$18:C786,C786)),"st","nd","rd","th"),"")</f>
        <v/>
      </c>
    </row>
    <row r="787" spans="8:14" x14ac:dyDescent="0.25">
      <c r="H787" s="201" t="str">
        <f t="shared" ref="H787:H850" si="12">IF(OR(ISBLANK(G787), ISBLANK(F787)), "", IF(G787=F787, 1, SUM(_xlfn.DAYS(G787, F787), 1)))</f>
        <v/>
      </c>
      <c r="N787" s="164" t="str">
        <f>IFERROR(COUNTIF($C$18:C787,C787)&amp;CHOOSE(MIN(4,COUNTIF($C$18:C787,C787)),"st","nd","rd","th"),"")</f>
        <v/>
      </c>
    </row>
    <row r="788" spans="8:14" x14ac:dyDescent="0.25">
      <c r="H788" s="201" t="str">
        <f t="shared" si="12"/>
        <v/>
      </c>
      <c r="N788" s="164" t="str">
        <f>IFERROR(COUNTIF($C$18:C788,C788)&amp;CHOOSE(MIN(4,COUNTIF($C$18:C788,C788)),"st","nd","rd","th"),"")</f>
        <v/>
      </c>
    </row>
    <row r="789" spans="8:14" x14ac:dyDescent="0.25">
      <c r="H789" s="201" t="str">
        <f t="shared" si="12"/>
        <v/>
      </c>
      <c r="N789" s="164" t="str">
        <f>IFERROR(COUNTIF($C$18:C789,C789)&amp;CHOOSE(MIN(4,COUNTIF($C$18:C789,C789)),"st","nd","rd","th"),"")</f>
        <v/>
      </c>
    </row>
    <row r="790" spans="8:14" x14ac:dyDescent="0.25">
      <c r="H790" s="201" t="str">
        <f t="shared" si="12"/>
        <v/>
      </c>
      <c r="N790" s="164" t="str">
        <f>IFERROR(COUNTIF($C$18:C790,C790)&amp;CHOOSE(MIN(4,COUNTIF($C$18:C790,C790)),"st","nd","rd","th"),"")</f>
        <v/>
      </c>
    </row>
    <row r="791" spans="8:14" x14ac:dyDescent="0.25">
      <c r="H791" s="201" t="str">
        <f t="shared" si="12"/>
        <v/>
      </c>
      <c r="N791" s="164" t="str">
        <f>IFERROR(COUNTIF($C$18:C791,C791)&amp;CHOOSE(MIN(4,COUNTIF($C$18:C791,C791)),"st","nd","rd","th"),"")</f>
        <v/>
      </c>
    </row>
    <row r="792" spans="8:14" x14ac:dyDescent="0.25">
      <c r="H792" s="201" t="str">
        <f t="shared" si="12"/>
        <v/>
      </c>
      <c r="N792" s="164" t="str">
        <f>IFERROR(COUNTIF($C$18:C792,C792)&amp;CHOOSE(MIN(4,COUNTIF($C$18:C792,C792)),"st","nd","rd","th"),"")</f>
        <v/>
      </c>
    </row>
    <row r="793" spans="8:14" x14ac:dyDescent="0.25">
      <c r="H793" s="201" t="str">
        <f t="shared" si="12"/>
        <v/>
      </c>
      <c r="N793" s="164" t="str">
        <f>IFERROR(COUNTIF($C$18:C793,C793)&amp;CHOOSE(MIN(4,COUNTIF($C$18:C793,C793)),"st","nd","rd","th"),"")</f>
        <v/>
      </c>
    </row>
    <row r="794" spans="8:14" x14ac:dyDescent="0.25">
      <c r="H794" s="201" t="str">
        <f t="shared" si="12"/>
        <v/>
      </c>
      <c r="N794" s="164" t="str">
        <f>IFERROR(COUNTIF($C$18:C794,C794)&amp;CHOOSE(MIN(4,COUNTIF($C$18:C794,C794)),"st","nd","rd","th"),"")</f>
        <v/>
      </c>
    </row>
    <row r="795" spans="8:14" x14ac:dyDescent="0.25">
      <c r="H795" s="201" t="str">
        <f t="shared" si="12"/>
        <v/>
      </c>
      <c r="N795" s="164" t="str">
        <f>IFERROR(COUNTIF($C$18:C795,C795)&amp;CHOOSE(MIN(4,COUNTIF($C$18:C795,C795)),"st","nd","rd","th"),"")</f>
        <v/>
      </c>
    </row>
    <row r="796" spans="8:14" x14ac:dyDescent="0.25">
      <c r="H796" s="201" t="str">
        <f t="shared" si="12"/>
        <v/>
      </c>
      <c r="N796" s="164" t="str">
        <f>IFERROR(COUNTIF($C$18:C796,C796)&amp;CHOOSE(MIN(4,COUNTIF($C$18:C796,C796)),"st","nd","rd","th"),"")</f>
        <v/>
      </c>
    </row>
    <row r="797" spans="8:14" x14ac:dyDescent="0.25">
      <c r="H797" s="201" t="str">
        <f t="shared" si="12"/>
        <v/>
      </c>
      <c r="N797" s="164" t="str">
        <f>IFERROR(COUNTIF($C$18:C797,C797)&amp;CHOOSE(MIN(4,COUNTIF($C$18:C797,C797)),"st","nd","rd","th"),"")</f>
        <v/>
      </c>
    </row>
    <row r="798" spans="8:14" x14ac:dyDescent="0.25">
      <c r="H798" s="201" t="str">
        <f t="shared" si="12"/>
        <v/>
      </c>
      <c r="N798" s="164" t="str">
        <f>IFERROR(COUNTIF($C$18:C798,C798)&amp;CHOOSE(MIN(4,COUNTIF($C$18:C798,C798)),"st","nd","rd","th"),"")</f>
        <v/>
      </c>
    </row>
    <row r="799" spans="8:14" x14ac:dyDescent="0.25">
      <c r="H799" s="201" t="str">
        <f t="shared" si="12"/>
        <v/>
      </c>
      <c r="N799" s="164" t="str">
        <f>IFERROR(COUNTIF($C$18:C799,C799)&amp;CHOOSE(MIN(4,COUNTIF($C$18:C799,C799)),"st","nd","rd","th"),"")</f>
        <v/>
      </c>
    </row>
    <row r="800" spans="8:14" x14ac:dyDescent="0.25">
      <c r="H800" s="201" t="str">
        <f t="shared" si="12"/>
        <v/>
      </c>
      <c r="N800" s="164" t="str">
        <f>IFERROR(COUNTIF($C$18:C800,C800)&amp;CHOOSE(MIN(4,COUNTIF($C$18:C800,C800)),"st","nd","rd","th"),"")</f>
        <v/>
      </c>
    </row>
    <row r="801" spans="8:14" x14ac:dyDescent="0.25">
      <c r="H801" s="201" t="str">
        <f t="shared" si="12"/>
        <v/>
      </c>
      <c r="N801" s="164" t="str">
        <f>IFERROR(COUNTIF($C$18:C801,C801)&amp;CHOOSE(MIN(4,COUNTIF($C$18:C801,C801)),"st","nd","rd","th"),"")</f>
        <v/>
      </c>
    </row>
    <row r="802" spans="8:14" x14ac:dyDescent="0.25">
      <c r="H802" s="201" t="str">
        <f t="shared" si="12"/>
        <v/>
      </c>
      <c r="N802" s="164" t="str">
        <f>IFERROR(COUNTIF($C$18:C802,C802)&amp;CHOOSE(MIN(4,COUNTIF($C$18:C802,C802)),"st","nd","rd","th"),"")</f>
        <v/>
      </c>
    </row>
    <row r="803" spans="8:14" x14ac:dyDescent="0.25">
      <c r="H803" s="201" t="str">
        <f t="shared" si="12"/>
        <v/>
      </c>
      <c r="N803" s="164" t="str">
        <f>IFERROR(COUNTIF($C$18:C803,C803)&amp;CHOOSE(MIN(4,COUNTIF($C$18:C803,C803)),"st","nd","rd","th"),"")</f>
        <v/>
      </c>
    </row>
    <row r="804" spans="8:14" x14ac:dyDescent="0.25">
      <c r="H804" s="201" t="str">
        <f t="shared" si="12"/>
        <v/>
      </c>
      <c r="N804" s="164" t="str">
        <f>IFERROR(COUNTIF($C$18:C804,C804)&amp;CHOOSE(MIN(4,COUNTIF($C$18:C804,C804)),"st","nd","rd","th"),"")</f>
        <v/>
      </c>
    </row>
    <row r="805" spans="8:14" x14ac:dyDescent="0.25">
      <c r="H805" s="201" t="str">
        <f t="shared" si="12"/>
        <v/>
      </c>
      <c r="N805" s="164" t="str">
        <f>IFERROR(COUNTIF($C$18:C805,C805)&amp;CHOOSE(MIN(4,COUNTIF($C$18:C805,C805)),"st","nd","rd","th"),"")</f>
        <v/>
      </c>
    </row>
    <row r="806" spans="8:14" x14ac:dyDescent="0.25">
      <c r="H806" s="201" t="str">
        <f t="shared" si="12"/>
        <v/>
      </c>
      <c r="N806" s="164" t="str">
        <f>IFERROR(COUNTIF($C$18:C806,C806)&amp;CHOOSE(MIN(4,COUNTIF($C$18:C806,C806)),"st","nd","rd","th"),"")</f>
        <v/>
      </c>
    </row>
    <row r="807" spans="8:14" x14ac:dyDescent="0.25">
      <c r="H807" s="201" t="str">
        <f t="shared" si="12"/>
        <v/>
      </c>
      <c r="N807" s="164" t="str">
        <f>IFERROR(COUNTIF($C$18:C807,C807)&amp;CHOOSE(MIN(4,COUNTIF($C$18:C807,C807)),"st","nd","rd","th"),"")</f>
        <v/>
      </c>
    </row>
    <row r="808" spans="8:14" x14ac:dyDescent="0.25">
      <c r="H808" s="201" t="str">
        <f t="shared" si="12"/>
        <v/>
      </c>
      <c r="N808" s="164" t="str">
        <f>IFERROR(COUNTIF($C$18:C808,C808)&amp;CHOOSE(MIN(4,COUNTIF($C$18:C808,C808)),"st","nd","rd","th"),"")</f>
        <v/>
      </c>
    </row>
    <row r="809" spans="8:14" x14ac:dyDescent="0.25">
      <c r="H809" s="201" t="str">
        <f t="shared" si="12"/>
        <v/>
      </c>
      <c r="N809" s="164" t="str">
        <f>IFERROR(COUNTIF($C$18:C809,C809)&amp;CHOOSE(MIN(4,COUNTIF($C$18:C809,C809)),"st","nd","rd","th"),"")</f>
        <v/>
      </c>
    </row>
    <row r="810" spans="8:14" x14ac:dyDescent="0.25">
      <c r="H810" s="201" t="str">
        <f t="shared" si="12"/>
        <v/>
      </c>
      <c r="N810" s="164" t="str">
        <f>IFERROR(COUNTIF($C$18:C810,C810)&amp;CHOOSE(MIN(4,COUNTIF($C$18:C810,C810)),"st","nd","rd","th"),"")</f>
        <v/>
      </c>
    </row>
    <row r="811" spans="8:14" x14ac:dyDescent="0.25">
      <c r="H811" s="201" t="str">
        <f t="shared" si="12"/>
        <v/>
      </c>
      <c r="N811" s="164" t="str">
        <f>IFERROR(COUNTIF($C$18:C811,C811)&amp;CHOOSE(MIN(4,COUNTIF($C$18:C811,C811)),"st","nd","rd","th"),"")</f>
        <v/>
      </c>
    </row>
    <row r="812" spans="8:14" x14ac:dyDescent="0.25">
      <c r="H812" s="201" t="str">
        <f t="shared" si="12"/>
        <v/>
      </c>
      <c r="N812" s="164" t="str">
        <f>IFERROR(COUNTIF($C$18:C812,C812)&amp;CHOOSE(MIN(4,COUNTIF($C$18:C812,C812)),"st","nd","rd","th"),"")</f>
        <v/>
      </c>
    </row>
    <row r="813" spans="8:14" x14ac:dyDescent="0.25">
      <c r="H813" s="201" t="str">
        <f t="shared" si="12"/>
        <v/>
      </c>
      <c r="N813" s="164" t="str">
        <f>IFERROR(COUNTIF($C$18:C813,C813)&amp;CHOOSE(MIN(4,COUNTIF($C$18:C813,C813)),"st","nd","rd","th"),"")</f>
        <v/>
      </c>
    </row>
    <row r="814" spans="8:14" x14ac:dyDescent="0.25">
      <c r="H814" s="201" t="str">
        <f t="shared" si="12"/>
        <v/>
      </c>
      <c r="N814" s="164" t="str">
        <f>IFERROR(COUNTIF($C$18:C814,C814)&amp;CHOOSE(MIN(4,COUNTIF($C$18:C814,C814)),"st","nd","rd","th"),"")</f>
        <v/>
      </c>
    </row>
    <row r="815" spans="8:14" x14ac:dyDescent="0.25">
      <c r="H815" s="201" t="str">
        <f t="shared" si="12"/>
        <v/>
      </c>
      <c r="N815" s="164" t="str">
        <f>IFERROR(COUNTIF($C$18:C815,C815)&amp;CHOOSE(MIN(4,COUNTIF($C$18:C815,C815)),"st","nd","rd","th"),"")</f>
        <v/>
      </c>
    </row>
    <row r="816" spans="8:14" x14ac:dyDescent="0.25">
      <c r="H816" s="201" t="str">
        <f t="shared" si="12"/>
        <v/>
      </c>
      <c r="N816" s="164" t="str">
        <f>IFERROR(COUNTIF($C$18:C816,C816)&amp;CHOOSE(MIN(4,COUNTIF($C$18:C816,C816)),"st","nd","rd","th"),"")</f>
        <v/>
      </c>
    </row>
    <row r="817" spans="8:14" x14ac:dyDescent="0.25">
      <c r="H817" s="201" t="str">
        <f t="shared" si="12"/>
        <v/>
      </c>
      <c r="N817" s="164" t="str">
        <f>IFERROR(COUNTIF($C$18:C817,C817)&amp;CHOOSE(MIN(4,COUNTIF($C$18:C817,C817)),"st","nd","rd","th"),"")</f>
        <v/>
      </c>
    </row>
    <row r="818" spans="8:14" x14ac:dyDescent="0.25">
      <c r="H818" s="201" t="str">
        <f t="shared" si="12"/>
        <v/>
      </c>
      <c r="N818" s="164" t="str">
        <f>IFERROR(COUNTIF($C$18:C818,C818)&amp;CHOOSE(MIN(4,COUNTIF($C$18:C818,C818)),"st","nd","rd","th"),"")</f>
        <v/>
      </c>
    </row>
    <row r="819" spans="8:14" x14ac:dyDescent="0.25">
      <c r="H819" s="201" t="str">
        <f t="shared" si="12"/>
        <v/>
      </c>
      <c r="N819" s="164" t="str">
        <f>IFERROR(COUNTIF($C$18:C819,C819)&amp;CHOOSE(MIN(4,COUNTIF($C$18:C819,C819)),"st","nd","rd","th"),"")</f>
        <v/>
      </c>
    </row>
    <row r="820" spans="8:14" x14ac:dyDescent="0.25">
      <c r="H820" s="201" t="str">
        <f t="shared" si="12"/>
        <v/>
      </c>
      <c r="N820" s="164" t="str">
        <f>IFERROR(COUNTIF($C$18:C820,C820)&amp;CHOOSE(MIN(4,COUNTIF($C$18:C820,C820)),"st","nd","rd","th"),"")</f>
        <v/>
      </c>
    </row>
    <row r="821" spans="8:14" x14ac:dyDescent="0.25">
      <c r="H821" s="201" t="str">
        <f t="shared" si="12"/>
        <v/>
      </c>
      <c r="N821" s="164" t="str">
        <f>IFERROR(COUNTIF($C$18:C821,C821)&amp;CHOOSE(MIN(4,COUNTIF($C$18:C821,C821)),"st","nd","rd","th"),"")</f>
        <v/>
      </c>
    </row>
    <row r="822" spans="8:14" x14ac:dyDescent="0.25">
      <c r="H822" s="201" t="str">
        <f t="shared" si="12"/>
        <v/>
      </c>
      <c r="N822" s="164" t="str">
        <f>IFERROR(COUNTIF($C$18:C822,C822)&amp;CHOOSE(MIN(4,COUNTIF($C$18:C822,C822)),"st","nd","rd","th"),"")</f>
        <v/>
      </c>
    </row>
    <row r="823" spans="8:14" x14ac:dyDescent="0.25">
      <c r="H823" s="201" t="str">
        <f t="shared" si="12"/>
        <v/>
      </c>
      <c r="N823" s="164" t="str">
        <f>IFERROR(COUNTIF($C$18:C823,C823)&amp;CHOOSE(MIN(4,COUNTIF($C$18:C823,C823)),"st","nd","rd","th"),"")</f>
        <v/>
      </c>
    </row>
    <row r="824" spans="8:14" x14ac:dyDescent="0.25">
      <c r="H824" s="201" t="str">
        <f t="shared" si="12"/>
        <v/>
      </c>
      <c r="N824" s="164" t="str">
        <f>IFERROR(COUNTIF($C$18:C824,C824)&amp;CHOOSE(MIN(4,COUNTIF($C$18:C824,C824)),"st","nd","rd","th"),"")</f>
        <v/>
      </c>
    </row>
    <row r="825" spans="8:14" x14ac:dyDescent="0.25">
      <c r="H825" s="201" t="str">
        <f t="shared" si="12"/>
        <v/>
      </c>
      <c r="N825" s="164" t="str">
        <f>IFERROR(COUNTIF($C$18:C825,C825)&amp;CHOOSE(MIN(4,COUNTIF($C$18:C825,C825)),"st","nd","rd","th"),"")</f>
        <v/>
      </c>
    </row>
    <row r="826" spans="8:14" x14ac:dyDescent="0.25">
      <c r="H826" s="201" t="str">
        <f t="shared" si="12"/>
        <v/>
      </c>
      <c r="N826" s="164" t="str">
        <f>IFERROR(COUNTIF($C$18:C826,C826)&amp;CHOOSE(MIN(4,COUNTIF($C$18:C826,C826)),"st","nd","rd","th"),"")</f>
        <v/>
      </c>
    </row>
    <row r="827" spans="8:14" x14ac:dyDescent="0.25">
      <c r="H827" s="201" t="str">
        <f t="shared" si="12"/>
        <v/>
      </c>
      <c r="N827" s="164" t="str">
        <f>IFERROR(COUNTIF($C$18:C827,C827)&amp;CHOOSE(MIN(4,COUNTIF($C$18:C827,C827)),"st","nd","rd","th"),"")</f>
        <v/>
      </c>
    </row>
    <row r="828" spans="8:14" x14ac:dyDescent="0.25">
      <c r="H828" s="201" t="str">
        <f t="shared" si="12"/>
        <v/>
      </c>
      <c r="N828" s="164" t="str">
        <f>IFERROR(COUNTIF($C$18:C828,C828)&amp;CHOOSE(MIN(4,COUNTIF($C$18:C828,C828)),"st","nd","rd","th"),"")</f>
        <v/>
      </c>
    </row>
    <row r="829" spans="8:14" x14ac:dyDescent="0.25">
      <c r="H829" s="201" t="str">
        <f t="shared" si="12"/>
        <v/>
      </c>
      <c r="N829" s="164" t="str">
        <f>IFERROR(COUNTIF($C$18:C829,C829)&amp;CHOOSE(MIN(4,COUNTIF($C$18:C829,C829)),"st","nd","rd","th"),"")</f>
        <v/>
      </c>
    </row>
    <row r="830" spans="8:14" x14ac:dyDescent="0.25">
      <c r="H830" s="201" t="str">
        <f t="shared" si="12"/>
        <v/>
      </c>
      <c r="N830" s="164" t="str">
        <f>IFERROR(COUNTIF($C$18:C830,C830)&amp;CHOOSE(MIN(4,COUNTIF($C$18:C830,C830)),"st","nd","rd","th"),"")</f>
        <v/>
      </c>
    </row>
    <row r="831" spans="8:14" x14ac:dyDescent="0.25">
      <c r="H831" s="201" t="str">
        <f t="shared" si="12"/>
        <v/>
      </c>
      <c r="N831" s="164" t="str">
        <f>IFERROR(COUNTIF($C$18:C831,C831)&amp;CHOOSE(MIN(4,COUNTIF($C$18:C831,C831)),"st","nd","rd","th"),"")</f>
        <v/>
      </c>
    </row>
    <row r="832" spans="8:14" x14ac:dyDescent="0.25">
      <c r="H832" s="201" t="str">
        <f t="shared" si="12"/>
        <v/>
      </c>
      <c r="N832" s="164" t="str">
        <f>IFERROR(COUNTIF($C$18:C832,C832)&amp;CHOOSE(MIN(4,COUNTIF($C$18:C832,C832)),"st","nd","rd","th"),"")</f>
        <v/>
      </c>
    </row>
    <row r="833" spans="8:14" x14ac:dyDescent="0.25">
      <c r="H833" s="201" t="str">
        <f t="shared" si="12"/>
        <v/>
      </c>
      <c r="N833" s="164" t="str">
        <f>IFERROR(COUNTIF($C$18:C833,C833)&amp;CHOOSE(MIN(4,COUNTIF($C$18:C833,C833)),"st","nd","rd","th"),"")</f>
        <v/>
      </c>
    </row>
    <row r="834" spans="8:14" x14ac:dyDescent="0.25">
      <c r="H834" s="201" t="str">
        <f t="shared" si="12"/>
        <v/>
      </c>
      <c r="N834" s="164" t="str">
        <f>IFERROR(COUNTIF($C$18:C834,C834)&amp;CHOOSE(MIN(4,COUNTIF($C$18:C834,C834)),"st","nd","rd","th"),"")</f>
        <v/>
      </c>
    </row>
    <row r="835" spans="8:14" x14ac:dyDescent="0.25">
      <c r="H835" s="201" t="str">
        <f t="shared" si="12"/>
        <v/>
      </c>
      <c r="N835" s="164" t="str">
        <f>IFERROR(COUNTIF($C$18:C835,C835)&amp;CHOOSE(MIN(4,COUNTIF($C$18:C835,C835)),"st","nd","rd","th"),"")</f>
        <v/>
      </c>
    </row>
    <row r="836" spans="8:14" x14ac:dyDescent="0.25">
      <c r="H836" s="201" t="str">
        <f t="shared" si="12"/>
        <v/>
      </c>
      <c r="N836" s="164" t="str">
        <f>IFERROR(COUNTIF($C$18:C836,C836)&amp;CHOOSE(MIN(4,COUNTIF($C$18:C836,C836)),"st","nd","rd","th"),"")</f>
        <v/>
      </c>
    </row>
    <row r="837" spans="8:14" x14ac:dyDescent="0.25">
      <c r="H837" s="201" t="str">
        <f t="shared" si="12"/>
        <v/>
      </c>
      <c r="N837" s="164" t="str">
        <f>IFERROR(COUNTIF($C$18:C837,C837)&amp;CHOOSE(MIN(4,COUNTIF($C$18:C837,C837)),"st","nd","rd","th"),"")</f>
        <v/>
      </c>
    </row>
    <row r="838" spans="8:14" x14ac:dyDescent="0.25">
      <c r="H838" s="201" t="str">
        <f t="shared" si="12"/>
        <v/>
      </c>
      <c r="N838" s="164" t="str">
        <f>IFERROR(COUNTIF($C$18:C838,C838)&amp;CHOOSE(MIN(4,COUNTIF($C$18:C838,C838)),"st","nd","rd","th"),"")</f>
        <v/>
      </c>
    </row>
    <row r="839" spans="8:14" x14ac:dyDescent="0.25">
      <c r="H839" s="201" t="str">
        <f t="shared" si="12"/>
        <v/>
      </c>
      <c r="N839" s="164" t="str">
        <f>IFERROR(COUNTIF($C$18:C839,C839)&amp;CHOOSE(MIN(4,COUNTIF($C$18:C839,C839)),"st","nd","rd","th"),"")</f>
        <v/>
      </c>
    </row>
    <row r="840" spans="8:14" x14ac:dyDescent="0.25">
      <c r="H840" s="201" t="str">
        <f t="shared" si="12"/>
        <v/>
      </c>
      <c r="N840" s="164" t="str">
        <f>IFERROR(COUNTIF($C$18:C840,C840)&amp;CHOOSE(MIN(4,COUNTIF($C$18:C840,C840)),"st","nd","rd","th"),"")</f>
        <v/>
      </c>
    </row>
    <row r="841" spans="8:14" x14ac:dyDescent="0.25">
      <c r="H841" s="201" t="str">
        <f t="shared" si="12"/>
        <v/>
      </c>
      <c r="N841" s="164" t="str">
        <f>IFERROR(COUNTIF($C$18:C841,C841)&amp;CHOOSE(MIN(4,COUNTIF($C$18:C841,C841)),"st","nd","rd","th"),"")</f>
        <v/>
      </c>
    </row>
    <row r="842" spans="8:14" x14ac:dyDescent="0.25">
      <c r="H842" s="201" t="str">
        <f t="shared" si="12"/>
        <v/>
      </c>
      <c r="N842" s="164" t="str">
        <f>IFERROR(COUNTIF($C$18:C842,C842)&amp;CHOOSE(MIN(4,COUNTIF($C$18:C842,C842)),"st","nd","rd","th"),"")</f>
        <v/>
      </c>
    </row>
    <row r="843" spans="8:14" x14ac:dyDescent="0.25">
      <c r="H843" s="201" t="str">
        <f t="shared" si="12"/>
        <v/>
      </c>
      <c r="N843" s="164" t="str">
        <f>IFERROR(COUNTIF($C$18:C843,C843)&amp;CHOOSE(MIN(4,COUNTIF($C$18:C843,C843)),"st","nd","rd","th"),"")</f>
        <v/>
      </c>
    </row>
    <row r="844" spans="8:14" x14ac:dyDescent="0.25">
      <c r="H844" s="201" t="str">
        <f t="shared" si="12"/>
        <v/>
      </c>
      <c r="N844" s="164" t="str">
        <f>IFERROR(COUNTIF($C$18:C844,C844)&amp;CHOOSE(MIN(4,COUNTIF($C$18:C844,C844)),"st","nd","rd","th"),"")</f>
        <v/>
      </c>
    </row>
    <row r="845" spans="8:14" x14ac:dyDescent="0.25">
      <c r="H845" s="201" t="str">
        <f t="shared" si="12"/>
        <v/>
      </c>
      <c r="N845" s="164" t="str">
        <f>IFERROR(COUNTIF($C$18:C845,C845)&amp;CHOOSE(MIN(4,COUNTIF($C$18:C845,C845)),"st","nd","rd","th"),"")</f>
        <v/>
      </c>
    </row>
    <row r="846" spans="8:14" x14ac:dyDescent="0.25">
      <c r="H846" s="201" t="str">
        <f t="shared" si="12"/>
        <v/>
      </c>
      <c r="N846" s="164" t="str">
        <f>IFERROR(COUNTIF($C$18:C846,C846)&amp;CHOOSE(MIN(4,COUNTIF($C$18:C846,C846)),"st","nd","rd","th"),"")</f>
        <v/>
      </c>
    </row>
    <row r="847" spans="8:14" x14ac:dyDescent="0.25">
      <c r="H847" s="201" t="str">
        <f t="shared" si="12"/>
        <v/>
      </c>
      <c r="N847" s="164" t="str">
        <f>IFERROR(COUNTIF($C$18:C847,C847)&amp;CHOOSE(MIN(4,COUNTIF($C$18:C847,C847)),"st","nd","rd","th"),"")</f>
        <v/>
      </c>
    </row>
    <row r="848" spans="8:14" x14ac:dyDescent="0.25">
      <c r="H848" s="201" t="str">
        <f t="shared" si="12"/>
        <v/>
      </c>
      <c r="N848" s="164" t="str">
        <f>IFERROR(COUNTIF($C$18:C848,C848)&amp;CHOOSE(MIN(4,COUNTIF($C$18:C848,C848)),"st","nd","rd","th"),"")</f>
        <v/>
      </c>
    </row>
    <row r="849" spans="8:14" x14ac:dyDescent="0.25">
      <c r="H849" s="201" t="str">
        <f t="shared" si="12"/>
        <v/>
      </c>
      <c r="N849" s="164" t="str">
        <f>IFERROR(COUNTIF($C$18:C849,C849)&amp;CHOOSE(MIN(4,COUNTIF($C$18:C849,C849)),"st","nd","rd","th"),"")</f>
        <v/>
      </c>
    </row>
    <row r="850" spans="8:14" x14ac:dyDescent="0.25">
      <c r="H850" s="201" t="str">
        <f t="shared" si="12"/>
        <v/>
      </c>
      <c r="N850" s="164" t="str">
        <f>IFERROR(COUNTIF($C$18:C850,C850)&amp;CHOOSE(MIN(4,COUNTIF($C$18:C850,C850)),"st","nd","rd","th"),"")</f>
        <v/>
      </c>
    </row>
    <row r="851" spans="8:14" x14ac:dyDescent="0.25">
      <c r="H851" s="201" t="str">
        <f t="shared" ref="H851:H914" si="13">IF(OR(ISBLANK(G851), ISBLANK(F851)), "", IF(G851=F851, 1, SUM(_xlfn.DAYS(G851, F851), 1)))</f>
        <v/>
      </c>
      <c r="N851" s="164" t="str">
        <f>IFERROR(COUNTIF($C$18:C851,C851)&amp;CHOOSE(MIN(4,COUNTIF($C$18:C851,C851)),"st","nd","rd","th"),"")</f>
        <v/>
      </c>
    </row>
    <row r="852" spans="8:14" x14ac:dyDescent="0.25">
      <c r="H852" s="201" t="str">
        <f t="shared" si="13"/>
        <v/>
      </c>
      <c r="N852" s="164" t="str">
        <f>IFERROR(COUNTIF($C$18:C852,C852)&amp;CHOOSE(MIN(4,COUNTIF($C$18:C852,C852)),"st","nd","rd","th"),"")</f>
        <v/>
      </c>
    </row>
    <row r="853" spans="8:14" x14ac:dyDescent="0.25">
      <c r="H853" s="201" t="str">
        <f t="shared" si="13"/>
        <v/>
      </c>
      <c r="N853" s="164" t="str">
        <f>IFERROR(COUNTIF($C$18:C853,C853)&amp;CHOOSE(MIN(4,COUNTIF($C$18:C853,C853)),"st","nd","rd","th"),"")</f>
        <v/>
      </c>
    </row>
    <row r="854" spans="8:14" x14ac:dyDescent="0.25">
      <c r="H854" s="201" t="str">
        <f t="shared" si="13"/>
        <v/>
      </c>
      <c r="N854" s="164" t="str">
        <f>IFERROR(COUNTIF($C$18:C854,C854)&amp;CHOOSE(MIN(4,COUNTIF($C$18:C854,C854)),"st","nd","rd","th"),"")</f>
        <v/>
      </c>
    </row>
    <row r="855" spans="8:14" x14ac:dyDescent="0.25">
      <c r="H855" s="201" t="str">
        <f t="shared" si="13"/>
        <v/>
      </c>
      <c r="N855" s="164" t="str">
        <f>IFERROR(COUNTIF($C$18:C855,C855)&amp;CHOOSE(MIN(4,COUNTIF($C$18:C855,C855)),"st","nd","rd","th"),"")</f>
        <v/>
      </c>
    </row>
    <row r="856" spans="8:14" x14ac:dyDescent="0.25">
      <c r="H856" s="201" t="str">
        <f t="shared" si="13"/>
        <v/>
      </c>
      <c r="N856" s="164" t="str">
        <f>IFERROR(COUNTIF($C$18:C856,C856)&amp;CHOOSE(MIN(4,COUNTIF($C$18:C856,C856)),"st","nd","rd","th"),"")</f>
        <v/>
      </c>
    </row>
    <row r="857" spans="8:14" x14ac:dyDescent="0.25">
      <c r="H857" s="201" t="str">
        <f t="shared" si="13"/>
        <v/>
      </c>
      <c r="N857" s="164" t="str">
        <f>IFERROR(COUNTIF($C$18:C857,C857)&amp;CHOOSE(MIN(4,COUNTIF($C$18:C857,C857)),"st","nd","rd","th"),"")</f>
        <v/>
      </c>
    </row>
    <row r="858" spans="8:14" x14ac:dyDescent="0.25">
      <c r="H858" s="201" t="str">
        <f t="shared" si="13"/>
        <v/>
      </c>
      <c r="N858" s="164" t="str">
        <f>IFERROR(COUNTIF($C$18:C858,C858)&amp;CHOOSE(MIN(4,COUNTIF($C$18:C858,C858)),"st","nd","rd","th"),"")</f>
        <v/>
      </c>
    </row>
    <row r="859" spans="8:14" x14ac:dyDescent="0.25">
      <c r="H859" s="201" t="str">
        <f t="shared" si="13"/>
        <v/>
      </c>
      <c r="N859" s="164" t="str">
        <f>IFERROR(COUNTIF($C$18:C859,C859)&amp;CHOOSE(MIN(4,COUNTIF($C$18:C859,C859)),"st","nd","rd","th"),"")</f>
        <v/>
      </c>
    </row>
    <row r="860" spans="8:14" x14ac:dyDescent="0.25">
      <c r="H860" s="201" t="str">
        <f t="shared" si="13"/>
        <v/>
      </c>
      <c r="N860" s="164" t="str">
        <f>IFERROR(COUNTIF($C$18:C860,C860)&amp;CHOOSE(MIN(4,COUNTIF($C$18:C860,C860)),"st","nd","rd","th"),"")</f>
        <v/>
      </c>
    </row>
    <row r="861" spans="8:14" x14ac:dyDescent="0.25">
      <c r="H861" s="201" t="str">
        <f t="shared" si="13"/>
        <v/>
      </c>
      <c r="N861" s="164" t="str">
        <f>IFERROR(COUNTIF($C$18:C861,C861)&amp;CHOOSE(MIN(4,COUNTIF($C$18:C861,C861)),"st","nd","rd","th"),"")</f>
        <v/>
      </c>
    </row>
    <row r="862" spans="8:14" x14ac:dyDescent="0.25">
      <c r="H862" s="201" t="str">
        <f t="shared" si="13"/>
        <v/>
      </c>
      <c r="N862" s="164" t="str">
        <f>IFERROR(COUNTIF($C$18:C862,C862)&amp;CHOOSE(MIN(4,COUNTIF($C$18:C862,C862)),"st","nd","rd","th"),"")</f>
        <v/>
      </c>
    </row>
    <row r="863" spans="8:14" x14ac:dyDescent="0.25">
      <c r="H863" s="201" t="str">
        <f t="shared" si="13"/>
        <v/>
      </c>
      <c r="N863" s="164" t="str">
        <f>IFERROR(COUNTIF($C$18:C863,C863)&amp;CHOOSE(MIN(4,COUNTIF($C$18:C863,C863)),"st","nd","rd","th"),"")</f>
        <v/>
      </c>
    </row>
    <row r="864" spans="8:14" x14ac:dyDescent="0.25">
      <c r="H864" s="201" t="str">
        <f t="shared" si="13"/>
        <v/>
      </c>
      <c r="N864" s="164" t="str">
        <f>IFERROR(COUNTIF($C$18:C864,C864)&amp;CHOOSE(MIN(4,COUNTIF($C$18:C864,C864)),"st","nd","rd","th"),"")</f>
        <v/>
      </c>
    </row>
    <row r="865" spans="8:14" x14ac:dyDescent="0.25">
      <c r="H865" s="201" t="str">
        <f t="shared" si="13"/>
        <v/>
      </c>
      <c r="N865" s="164" t="str">
        <f>IFERROR(COUNTIF($C$18:C865,C865)&amp;CHOOSE(MIN(4,COUNTIF($C$18:C865,C865)),"st","nd","rd","th"),"")</f>
        <v/>
      </c>
    </row>
    <row r="866" spans="8:14" x14ac:dyDescent="0.25">
      <c r="H866" s="201" t="str">
        <f t="shared" si="13"/>
        <v/>
      </c>
      <c r="N866" s="164" t="str">
        <f>IFERROR(COUNTIF($C$18:C866,C866)&amp;CHOOSE(MIN(4,COUNTIF($C$18:C866,C866)),"st","nd","rd","th"),"")</f>
        <v/>
      </c>
    </row>
    <row r="867" spans="8:14" x14ac:dyDescent="0.25">
      <c r="H867" s="201" t="str">
        <f t="shared" si="13"/>
        <v/>
      </c>
      <c r="N867" s="164" t="str">
        <f>IFERROR(COUNTIF($C$18:C867,C867)&amp;CHOOSE(MIN(4,COUNTIF($C$18:C867,C867)),"st","nd","rd","th"),"")</f>
        <v/>
      </c>
    </row>
    <row r="868" spans="8:14" x14ac:dyDescent="0.25">
      <c r="H868" s="201" t="str">
        <f t="shared" si="13"/>
        <v/>
      </c>
      <c r="N868" s="164" t="str">
        <f>IFERROR(COUNTIF($C$18:C868,C868)&amp;CHOOSE(MIN(4,COUNTIF($C$18:C868,C868)),"st","nd","rd","th"),"")</f>
        <v/>
      </c>
    </row>
    <row r="869" spans="8:14" x14ac:dyDescent="0.25">
      <c r="H869" s="201" t="str">
        <f t="shared" si="13"/>
        <v/>
      </c>
      <c r="N869" s="164" t="str">
        <f>IFERROR(COUNTIF($C$18:C869,C869)&amp;CHOOSE(MIN(4,COUNTIF($C$18:C869,C869)),"st","nd","rd","th"),"")</f>
        <v/>
      </c>
    </row>
    <row r="870" spans="8:14" x14ac:dyDescent="0.25">
      <c r="H870" s="201" t="str">
        <f t="shared" si="13"/>
        <v/>
      </c>
      <c r="N870" s="164" t="str">
        <f>IFERROR(COUNTIF($C$18:C870,C870)&amp;CHOOSE(MIN(4,COUNTIF($C$18:C870,C870)),"st","nd","rd","th"),"")</f>
        <v/>
      </c>
    </row>
    <row r="871" spans="8:14" x14ac:dyDescent="0.25">
      <c r="H871" s="201" t="str">
        <f t="shared" si="13"/>
        <v/>
      </c>
      <c r="N871" s="164" t="str">
        <f>IFERROR(COUNTIF($C$18:C871,C871)&amp;CHOOSE(MIN(4,COUNTIF($C$18:C871,C871)),"st","nd","rd","th"),"")</f>
        <v/>
      </c>
    </row>
    <row r="872" spans="8:14" x14ac:dyDescent="0.25">
      <c r="H872" s="201" t="str">
        <f t="shared" si="13"/>
        <v/>
      </c>
      <c r="N872" s="164" t="str">
        <f>IFERROR(COUNTIF($C$18:C872,C872)&amp;CHOOSE(MIN(4,COUNTIF($C$18:C872,C872)),"st","nd","rd","th"),"")</f>
        <v/>
      </c>
    </row>
    <row r="873" spans="8:14" x14ac:dyDescent="0.25">
      <c r="H873" s="201" t="str">
        <f t="shared" si="13"/>
        <v/>
      </c>
      <c r="N873" s="164" t="str">
        <f>IFERROR(COUNTIF($C$18:C873,C873)&amp;CHOOSE(MIN(4,COUNTIF($C$18:C873,C873)),"st","nd","rd","th"),"")</f>
        <v/>
      </c>
    </row>
    <row r="874" spans="8:14" x14ac:dyDescent="0.25">
      <c r="H874" s="201" t="str">
        <f t="shared" si="13"/>
        <v/>
      </c>
      <c r="N874" s="164" t="str">
        <f>IFERROR(COUNTIF($C$18:C874,C874)&amp;CHOOSE(MIN(4,COUNTIF($C$18:C874,C874)),"st","nd","rd","th"),"")</f>
        <v/>
      </c>
    </row>
    <row r="875" spans="8:14" x14ac:dyDescent="0.25">
      <c r="H875" s="201" t="str">
        <f t="shared" si="13"/>
        <v/>
      </c>
      <c r="N875" s="164" t="str">
        <f>IFERROR(COUNTIF($C$18:C875,C875)&amp;CHOOSE(MIN(4,COUNTIF($C$18:C875,C875)),"st","nd","rd","th"),"")</f>
        <v/>
      </c>
    </row>
    <row r="876" spans="8:14" x14ac:dyDescent="0.25">
      <c r="H876" s="201" t="str">
        <f t="shared" si="13"/>
        <v/>
      </c>
      <c r="N876" s="164" t="str">
        <f>IFERROR(COUNTIF($C$18:C876,C876)&amp;CHOOSE(MIN(4,COUNTIF($C$18:C876,C876)),"st","nd","rd","th"),"")</f>
        <v/>
      </c>
    </row>
    <row r="877" spans="8:14" x14ac:dyDescent="0.25">
      <c r="H877" s="201" t="str">
        <f t="shared" si="13"/>
        <v/>
      </c>
      <c r="N877" s="164" t="str">
        <f>IFERROR(COUNTIF($C$18:C877,C877)&amp;CHOOSE(MIN(4,COUNTIF($C$18:C877,C877)),"st","nd","rd","th"),"")</f>
        <v/>
      </c>
    </row>
    <row r="878" spans="8:14" x14ac:dyDescent="0.25">
      <c r="H878" s="201" t="str">
        <f t="shared" si="13"/>
        <v/>
      </c>
      <c r="N878" s="164" t="str">
        <f>IFERROR(COUNTIF($C$18:C878,C878)&amp;CHOOSE(MIN(4,COUNTIF($C$18:C878,C878)),"st","nd","rd","th"),"")</f>
        <v/>
      </c>
    </row>
    <row r="879" spans="8:14" x14ac:dyDescent="0.25">
      <c r="H879" s="201" t="str">
        <f t="shared" si="13"/>
        <v/>
      </c>
      <c r="N879" s="164" t="str">
        <f>IFERROR(COUNTIF($C$18:C879,C879)&amp;CHOOSE(MIN(4,COUNTIF($C$18:C879,C879)),"st","nd","rd","th"),"")</f>
        <v/>
      </c>
    </row>
    <row r="880" spans="8:14" x14ac:dyDescent="0.25">
      <c r="H880" s="201" t="str">
        <f t="shared" si="13"/>
        <v/>
      </c>
      <c r="N880" s="164" t="str">
        <f>IFERROR(COUNTIF($C$18:C880,C880)&amp;CHOOSE(MIN(4,COUNTIF($C$18:C880,C880)),"st","nd","rd","th"),"")</f>
        <v/>
      </c>
    </row>
    <row r="881" spans="8:14" x14ac:dyDescent="0.25">
      <c r="H881" s="201" t="str">
        <f t="shared" si="13"/>
        <v/>
      </c>
      <c r="N881" s="164" t="str">
        <f>IFERROR(COUNTIF($C$18:C881,C881)&amp;CHOOSE(MIN(4,COUNTIF($C$18:C881,C881)),"st","nd","rd","th"),"")</f>
        <v/>
      </c>
    </row>
    <row r="882" spans="8:14" x14ac:dyDescent="0.25">
      <c r="H882" s="201" t="str">
        <f t="shared" si="13"/>
        <v/>
      </c>
      <c r="N882" s="164" t="str">
        <f>IFERROR(COUNTIF($C$18:C882,C882)&amp;CHOOSE(MIN(4,COUNTIF($C$18:C882,C882)),"st","nd","rd","th"),"")</f>
        <v/>
      </c>
    </row>
    <row r="883" spans="8:14" x14ac:dyDescent="0.25">
      <c r="H883" s="201" t="str">
        <f t="shared" si="13"/>
        <v/>
      </c>
      <c r="N883" s="164" t="str">
        <f>IFERROR(COUNTIF($C$18:C883,C883)&amp;CHOOSE(MIN(4,COUNTIF($C$18:C883,C883)),"st","nd","rd","th"),"")</f>
        <v/>
      </c>
    </row>
    <row r="884" spans="8:14" x14ac:dyDescent="0.25">
      <c r="H884" s="201" t="str">
        <f t="shared" si="13"/>
        <v/>
      </c>
      <c r="N884" s="164" t="str">
        <f>IFERROR(COUNTIF($C$18:C884,C884)&amp;CHOOSE(MIN(4,COUNTIF($C$18:C884,C884)),"st","nd","rd","th"),"")</f>
        <v/>
      </c>
    </row>
    <row r="885" spans="8:14" x14ac:dyDescent="0.25">
      <c r="H885" s="201" t="str">
        <f t="shared" si="13"/>
        <v/>
      </c>
      <c r="N885" s="164" t="str">
        <f>IFERROR(COUNTIF($C$18:C885,C885)&amp;CHOOSE(MIN(4,COUNTIF($C$18:C885,C885)),"st","nd","rd","th"),"")</f>
        <v/>
      </c>
    </row>
    <row r="886" spans="8:14" x14ac:dyDescent="0.25">
      <c r="H886" s="201" t="str">
        <f t="shared" si="13"/>
        <v/>
      </c>
      <c r="N886" s="164" t="str">
        <f>IFERROR(COUNTIF($C$18:C886,C886)&amp;CHOOSE(MIN(4,COUNTIF($C$18:C886,C886)),"st","nd","rd","th"),"")</f>
        <v/>
      </c>
    </row>
    <row r="887" spans="8:14" x14ac:dyDescent="0.25">
      <c r="H887" s="201" t="str">
        <f t="shared" si="13"/>
        <v/>
      </c>
      <c r="N887" s="164" t="str">
        <f>IFERROR(COUNTIF($C$18:C887,C887)&amp;CHOOSE(MIN(4,COUNTIF($C$18:C887,C887)),"st","nd","rd","th"),"")</f>
        <v/>
      </c>
    </row>
    <row r="888" spans="8:14" x14ac:dyDescent="0.25">
      <c r="H888" s="201" t="str">
        <f t="shared" si="13"/>
        <v/>
      </c>
      <c r="N888" s="164" t="str">
        <f>IFERROR(COUNTIF($C$18:C888,C888)&amp;CHOOSE(MIN(4,COUNTIF($C$18:C888,C888)),"st","nd","rd","th"),"")</f>
        <v/>
      </c>
    </row>
    <row r="889" spans="8:14" x14ac:dyDescent="0.25">
      <c r="H889" s="201" t="str">
        <f t="shared" si="13"/>
        <v/>
      </c>
      <c r="N889" s="164" t="str">
        <f>IFERROR(COUNTIF($C$18:C889,C889)&amp;CHOOSE(MIN(4,COUNTIF($C$18:C889,C889)),"st","nd","rd","th"),"")</f>
        <v/>
      </c>
    </row>
    <row r="890" spans="8:14" x14ac:dyDescent="0.25">
      <c r="H890" s="201" t="str">
        <f t="shared" si="13"/>
        <v/>
      </c>
      <c r="N890" s="164" t="str">
        <f>IFERROR(COUNTIF($C$18:C890,C890)&amp;CHOOSE(MIN(4,COUNTIF($C$18:C890,C890)),"st","nd","rd","th"),"")</f>
        <v/>
      </c>
    </row>
    <row r="891" spans="8:14" x14ac:dyDescent="0.25">
      <c r="H891" s="201" t="str">
        <f t="shared" si="13"/>
        <v/>
      </c>
      <c r="N891" s="164" t="str">
        <f>IFERROR(COUNTIF($C$18:C891,C891)&amp;CHOOSE(MIN(4,COUNTIF($C$18:C891,C891)),"st","nd","rd","th"),"")</f>
        <v/>
      </c>
    </row>
    <row r="892" spans="8:14" x14ac:dyDescent="0.25">
      <c r="H892" s="201" t="str">
        <f t="shared" si="13"/>
        <v/>
      </c>
      <c r="N892" s="164" t="str">
        <f>IFERROR(COUNTIF($C$18:C892,C892)&amp;CHOOSE(MIN(4,COUNTIF($C$18:C892,C892)),"st","nd","rd","th"),"")</f>
        <v/>
      </c>
    </row>
    <row r="893" spans="8:14" x14ac:dyDescent="0.25">
      <c r="H893" s="201" t="str">
        <f t="shared" si="13"/>
        <v/>
      </c>
      <c r="N893" s="164" t="str">
        <f>IFERROR(COUNTIF($C$18:C893,C893)&amp;CHOOSE(MIN(4,COUNTIF($C$18:C893,C893)),"st","nd","rd","th"),"")</f>
        <v/>
      </c>
    </row>
    <row r="894" spans="8:14" x14ac:dyDescent="0.25">
      <c r="H894" s="201" t="str">
        <f t="shared" si="13"/>
        <v/>
      </c>
      <c r="N894" s="164" t="str">
        <f>IFERROR(COUNTIF($C$18:C894,C894)&amp;CHOOSE(MIN(4,COUNTIF($C$18:C894,C894)),"st","nd","rd","th"),"")</f>
        <v/>
      </c>
    </row>
    <row r="895" spans="8:14" x14ac:dyDescent="0.25">
      <c r="H895" s="201" t="str">
        <f t="shared" si="13"/>
        <v/>
      </c>
      <c r="N895" s="164" t="str">
        <f>IFERROR(COUNTIF($C$18:C895,C895)&amp;CHOOSE(MIN(4,COUNTIF($C$18:C895,C895)),"st","nd","rd","th"),"")</f>
        <v/>
      </c>
    </row>
    <row r="896" spans="8:14" x14ac:dyDescent="0.25">
      <c r="H896" s="201" t="str">
        <f t="shared" si="13"/>
        <v/>
      </c>
      <c r="N896" s="164" t="str">
        <f>IFERROR(COUNTIF($C$18:C896,C896)&amp;CHOOSE(MIN(4,COUNTIF($C$18:C896,C896)),"st","nd","rd","th"),"")</f>
        <v/>
      </c>
    </row>
    <row r="897" spans="8:14" x14ac:dyDescent="0.25">
      <c r="H897" s="201" t="str">
        <f t="shared" si="13"/>
        <v/>
      </c>
      <c r="N897" s="164" t="str">
        <f>IFERROR(COUNTIF($C$18:C897,C897)&amp;CHOOSE(MIN(4,COUNTIF($C$18:C897,C897)),"st","nd","rd","th"),"")</f>
        <v/>
      </c>
    </row>
    <row r="898" spans="8:14" x14ac:dyDescent="0.25">
      <c r="H898" s="201" t="str">
        <f t="shared" si="13"/>
        <v/>
      </c>
      <c r="N898" s="164" t="str">
        <f>IFERROR(COUNTIF($C$18:C898,C898)&amp;CHOOSE(MIN(4,COUNTIF($C$18:C898,C898)),"st","nd","rd","th"),"")</f>
        <v/>
      </c>
    </row>
    <row r="899" spans="8:14" x14ac:dyDescent="0.25">
      <c r="H899" s="201" t="str">
        <f t="shared" si="13"/>
        <v/>
      </c>
      <c r="N899" s="164" t="str">
        <f>IFERROR(COUNTIF($C$18:C899,C899)&amp;CHOOSE(MIN(4,COUNTIF($C$18:C899,C899)),"st","nd","rd","th"),"")</f>
        <v/>
      </c>
    </row>
    <row r="900" spans="8:14" x14ac:dyDescent="0.25">
      <c r="H900" s="201" t="str">
        <f t="shared" si="13"/>
        <v/>
      </c>
      <c r="N900" s="164" t="str">
        <f>IFERROR(COUNTIF($C$18:C900,C900)&amp;CHOOSE(MIN(4,COUNTIF($C$18:C900,C900)),"st","nd","rd","th"),"")</f>
        <v/>
      </c>
    </row>
    <row r="901" spans="8:14" x14ac:dyDescent="0.25">
      <c r="H901" s="201" t="str">
        <f t="shared" si="13"/>
        <v/>
      </c>
      <c r="N901" s="164" t="str">
        <f>IFERROR(COUNTIF($C$18:C901,C901)&amp;CHOOSE(MIN(4,COUNTIF($C$18:C901,C901)),"st","nd","rd","th"),"")</f>
        <v/>
      </c>
    </row>
    <row r="902" spans="8:14" x14ac:dyDescent="0.25">
      <c r="H902" s="201" t="str">
        <f t="shared" si="13"/>
        <v/>
      </c>
      <c r="N902" s="164" t="str">
        <f>IFERROR(COUNTIF($C$18:C902,C902)&amp;CHOOSE(MIN(4,COUNTIF($C$18:C902,C902)),"st","nd","rd","th"),"")</f>
        <v/>
      </c>
    </row>
    <row r="903" spans="8:14" x14ac:dyDescent="0.25">
      <c r="H903" s="201" t="str">
        <f t="shared" si="13"/>
        <v/>
      </c>
      <c r="N903" s="164" t="str">
        <f>IFERROR(COUNTIF($C$18:C903,C903)&amp;CHOOSE(MIN(4,COUNTIF($C$18:C903,C903)),"st","nd","rd","th"),"")</f>
        <v/>
      </c>
    </row>
    <row r="904" spans="8:14" x14ac:dyDescent="0.25">
      <c r="H904" s="201" t="str">
        <f t="shared" si="13"/>
        <v/>
      </c>
      <c r="N904" s="164" t="str">
        <f>IFERROR(COUNTIF($C$18:C904,C904)&amp;CHOOSE(MIN(4,COUNTIF($C$18:C904,C904)),"st","nd","rd","th"),"")</f>
        <v/>
      </c>
    </row>
    <row r="905" spans="8:14" x14ac:dyDescent="0.25">
      <c r="H905" s="201" t="str">
        <f t="shared" si="13"/>
        <v/>
      </c>
      <c r="N905" s="164" t="str">
        <f>IFERROR(COUNTIF($C$18:C905,C905)&amp;CHOOSE(MIN(4,COUNTIF($C$18:C905,C905)),"st","nd","rd","th"),"")</f>
        <v/>
      </c>
    </row>
    <row r="906" spans="8:14" x14ac:dyDescent="0.25">
      <c r="H906" s="201" t="str">
        <f t="shared" si="13"/>
        <v/>
      </c>
      <c r="N906" s="164" t="str">
        <f>IFERROR(COUNTIF($C$18:C906,C906)&amp;CHOOSE(MIN(4,COUNTIF($C$18:C906,C906)),"st","nd","rd","th"),"")</f>
        <v/>
      </c>
    </row>
    <row r="907" spans="8:14" x14ac:dyDescent="0.25">
      <c r="H907" s="201" t="str">
        <f t="shared" si="13"/>
        <v/>
      </c>
      <c r="N907" s="164" t="str">
        <f>IFERROR(COUNTIF($C$18:C907,C907)&amp;CHOOSE(MIN(4,COUNTIF($C$18:C907,C907)),"st","nd","rd","th"),"")</f>
        <v/>
      </c>
    </row>
    <row r="908" spans="8:14" x14ac:dyDescent="0.25">
      <c r="H908" s="201" t="str">
        <f t="shared" si="13"/>
        <v/>
      </c>
      <c r="N908" s="164" t="str">
        <f>IFERROR(COUNTIF($C$18:C908,C908)&amp;CHOOSE(MIN(4,COUNTIF($C$18:C908,C908)),"st","nd","rd","th"),"")</f>
        <v/>
      </c>
    </row>
    <row r="909" spans="8:14" x14ac:dyDescent="0.25">
      <c r="H909" s="201" t="str">
        <f t="shared" si="13"/>
        <v/>
      </c>
      <c r="N909" s="164" t="str">
        <f>IFERROR(COUNTIF($C$18:C909,C909)&amp;CHOOSE(MIN(4,COUNTIF($C$18:C909,C909)),"st","nd","rd","th"),"")</f>
        <v/>
      </c>
    </row>
    <row r="910" spans="8:14" x14ac:dyDescent="0.25">
      <c r="H910" s="201" t="str">
        <f t="shared" si="13"/>
        <v/>
      </c>
      <c r="N910" s="164" t="str">
        <f>IFERROR(COUNTIF($C$18:C910,C910)&amp;CHOOSE(MIN(4,COUNTIF($C$18:C910,C910)),"st","nd","rd","th"),"")</f>
        <v/>
      </c>
    </row>
    <row r="911" spans="8:14" x14ac:dyDescent="0.25">
      <c r="H911" s="201" t="str">
        <f t="shared" si="13"/>
        <v/>
      </c>
      <c r="N911" s="164" t="str">
        <f>IFERROR(COUNTIF($C$18:C911,C911)&amp;CHOOSE(MIN(4,COUNTIF($C$18:C911,C911)),"st","nd","rd","th"),"")</f>
        <v/>
      </c>
    </row>
    <row r="912" spans="8:14" x14ac:dyDescent="0.25">
      <c r="H912" s="201" t="str">
        <f t="shared" si="13"/>
        <v/>
      </c>
      <c r="N912" s="164" t="str">
        <f>IFERROR(COUNTIF($C$18:C912,C912)&amp;CHOOSE(MIN(4,COUNTIF($C$18:C912,C912)),"st","nd","rd","th"),"")</f>
        <v/>
      </c>
    </row>
    <row r="913" spans="8:14" x14ac:dyDescent="0.25">
      <c r="H913" s="201" t="str">
        <f t="shared" si="13"/>
        <v/>
      </c>
      <c r="N913" s="164" t="str">
        <f>IFERROR(COUNTIF($C$18:C913,C913)&amp;CHOOSE(MIN(4,COUNTIF($C$18:C913,C913)),"st","nd","rd","th"),"")</f>
        <v/>
      </c>
    </row>
    <row r="914" spans="8:14" x14ac:dyDescent="0.25">
      <c r="H914" s="201" t="str">
        <f t="shared" si="13"/>
        <v/>
      </c>
      <c r="N914" s="164" t="str">
        <f>IFERROR(COUNTIF($C$18:C914,C914)&amp;CHOOSE(MIN(4,COUNTIF($C$18:C914,C914)),"st","nd","rd","th"),"")</f>
        <v/>
      </c>
    </row>
    <row r="915" spans="8:14" x14ac:dyDescent="0.25">
      <c r="H915" s="201" t="str">
        <f t="shared" ref="H915:H978" si="14">IF(OR(ISBLANK(G915), ISBLANK(F915)), "", IF(G915=F915, 1, SUM(_xlfn.DAYS(G915, F915), 1)))</f>
        <v/>
      </c>
      <c r="N915" s="164" t="str">
        <f>IFERROR(COUNTIF($C$18:C915,C915)&amp;CHOOSE(MIN(4,COUNTIF($C$18:C915,C915)),"st","nd","rd","th"),"")</f>
        <v/>
      </c>
    </row>
    <row r="916" spans="8:14" x14ac:dyDescent="0.25">
      <c r="H916" s="201" t="str">
        <f t="shared" si="14"/>
        <v/>
      </c>
      <c r="N916" s="164" t="str">
        <f>IFERROR(COUNTIF($C$18:C916,C916)&amp;CHOOSE(MIN(4,COUNTIF($C$18:C916,C916)),"st","nd","rd","th"),"")</f>
        <v/>
      </c>
    </row>
    <row r="917" spans="8:14" x14ac:dyDescent="0.25">
      <c r="H917" s="201" t="str">
        <f t="shared" si="14"/>
        <v/>
      </c>
      <c r="N917" s="164" t="str">
        <f>IFERROR(COUNTIF($C$18:C917,C917)&amp;CHOOSE(MIN(4,COUNTIF($C$18:C917,C917)),"st","nd","rd","th"),"")</f>
        <v/>
      </c>
    </row>
    <row r="918" spans="8:14" x14ac:dyDescent="0.25">
      <c r="H918" s="201" t="str">
        <f t="shared" si="14"/>
        <v/>
      </c>
      <c r="N918" s="164" t="str">
        <f>IFERROR(COUNTIF($C$18:C918,C918)&amp;CHOOSE(MIN(4,COUNTIF($C$18:C918,C918)),"st","nd","rd","th"),"")</f>
        <v/>
      </c>
    </row>
    <row r="919" spans="8:14" x14ac:dyDescent="0.25">
      <c r="H919" s="201" t="str">
        <f t="shared" si="14"/>
        <v/>
      </c>
      <c r="N919" s="164" t="str">
        <f>IFERROR(COUNTIF($C$18:C919,C919)&amp;CHOOSE(MIN(4,COUNTIF($C$18:C919,C919)),"st","nd","rd","th"),"")</f>
        <v/>
      </c>
    </row>
    <row r="920" spans="8:14" x14ac:dyDescent="0.25">
      <c r="H920" s="201" t="str">
        <f t="shared" si="14"/>
        <v/>
      </c>
      <c r="N920" s="164" t="str">
        <f>IFERROR(COUNTIF($C$18:C920,C920)&amp;CHOOSE(MIN(4,COUNTIF($C$18:C920,C920)),"st","nd","rd","th"),"")</f>
        <v/>
      </c>
    </row>
    <row r="921" spans="8:14" x14ac:dyDescent="0.25">
      <c r="H921" s="201" t="str">
        <f t="shared" si="14"/>
        <v/>
      </c>
      <c r="N921" s="164" t="str">
        <f>IFERROR(COUNTIF($C$18:C921,C921)&amp;CHOOSE(MIN(4,COUNTIF($C$18:C921,C921)),"st","nd","rd","th"),"")</f>
        <v/>
      </c>
    </row>
    <row r="922" spans="8:14" x14ac:dyDescent="0.25">
      <c r="H922" s="201" t="str">
        <f t="shared" si="14"/>
        <v/>
      </c>
      <c r="N922" s="164" t="str">
        <f>IFERROR(COUNTIF($C$18:C922,C922)&amp;CHOOSE(MIN(4,COUNTIF($C$18:C922,C922)),"st","nd","rd","th"),"")</f>
        <v/>
      </c>
    </row>
    <row r="923" spans="8:14" x14ac:dyDescent="0.25">
      <c r="H923" s="201" t="str">
        <f t="shared" si="14"/>
        <v/>
      </c>
      <c r="N923" s="164" t="str">
        <f>IFERROR(COUNTIF($C$18:C923,C923)&amp;CHOOSE(MIN(4,COUNTIF($C$18:C923,C923)),"st","nd","rd","th"),"")</f>
        <v/>
      </c>
    </row>
    <row r="924" spans="8:14" x14ac:dyDescent="0.25">
      <c r="H924" s="201" t="str">
        <f t="shared" si="14"/>
        <v/>
      </c>
      <c r="N924" s="164" t="str">
        <f>IFERROR(COUNTIF($C$18:C924,C924)&amp;CHOOSE(MIN(4,COUNTIF($C$18:C924,C924)),"st","nd","rd","th"),"")</f>
        <v/>
      </c>
    </row>
    <row r="925" spans="8:14" x14ac:dyDescent="0.25">
      <c r="H925" s="201" t="str">
        <f t="shared" si="14"/>
        <v/>
      </c>
      <c r="N925" s="164" t="str">
        <f>IFERROR(COUNTIF($C$18:C925,C925)&amp;CHOOSE(MIN(4,COUNTIF($C$18:C925,C925)),"st","nd","rd","th"),"")</f>
        <v/>
      </c>
    </row>
    <row r="926" spans="8:14" x14ac:dyDescent="0.25">
      <c r="H926" s="201" t="str">
        <f t="shared" si="14"/>
        <v/>
      </c>
      <c r="N926" s="164" t="str">
        <f>IFERROR(COUNTIF($C$18:C926,C926)&amp;CHOOSE(MIN(4,COUNTIF($C$18:C926,C926)),"st","nd","rd","th"),"")</f>
        <v/>
      </c>
    </row>
    <row r="927" spans="8:14" x14ac:dyDescent="0.25">
      <c r="H927" s="201" t="str">
        <f t="shared" si="14"/>
        <v/>
      </c>
      <c r="N927" s="164" t="str">
        <f>IFERROR(COUNTIF($C$18:C927,C927)&amp;CHOOSE(MIN(4,COUNTIF($C$18:C927,C927)),"st","nd","rd","th"),"")</f>
        <v/>
      </c>
    </row>
    <row r="928" spans="8:14" x14ac:dyDescent="0.25">
      <c r="H928" s="201" t="str">
        <f t="shared" si="14"/>
        <v/>
      </c>
      <c r="N928" s="164" t="str">
        <f>IFERROR(COUNTIF($C$18:C928,C928)&amp;CHOOSE(MIN(4,COUNTIF($C$18:C928,C928)),"st","nd","rd","th"),"")</f>
        <v/>
      </c>
    </row>
    <row r="929" spans="8:14" x14ac:dyDescent="0.25">
      <c r="H929" s="201" t="str">
        <f t="shared" si="14"/>
        <v/>
      </c>
      <c r="N929" s="164" t="str">
        <f>IFERROR(COUNTIF($C$18:C929,C929)&amp;CHOOSE(MIN(4,COUNTIF($C$18:C929,C929)),"st","nd","rd","th"),"")</f>
        <v/>
      </c>
    </row>
    <row r="930" spans="8:14" x14ac:dyDescent="0.25">
      <c r="H930" s="201" t="str">
        <f t="shared" si="14"/>
        <v/>
      </c>
      <c r="N930" s="164" t="str">
        <f>IFERROR(COUNTIF($C$18:C930,C930)&amp;CHOOSE(MIN(4,COUNTIF($C$18:C930,C930)),"st","nd","rd","th"),"")</f>
        <v/>
      </c>
    </row>
    <row r="931" spans="8:14" x14ac:dyDescent="0.25">
      <c r="H931" s="201" t="str">
        <f t="shared" si="14"/>
        <v/>
      </c>
      <c r="N931" s="164" t="str">
        <f>IFERROR(COUNTIF($C$18:C931,C931)&amp;CHOOSE(MIN(4,COUNTIF($C$18:C931,C931)),"st","nd","rd","th"),"")</f>
        <v/>
      </c>
    </row>
    <row r="932" spans="8:14" x14ac:dyDescent="0.25">
      <c r="H932" s="201" t="str">
        <f t="shared" si="14"/>
        <v/>
      </c>
      <c r="N932" s="164" t="str">
        <f>IFERROR(COUNTIF($C$18:C932,C932)&amp;CHOOSE(MIN(4,COUNTIF($C$18:C932,C932)),"st","nd","rd","th"),"")</f>
        <v/>
      </c>
    </row>
    <row r="933" spans="8:14" x14ac:dyDescent="0.25">
      <c r="H933" s="201" t="str">
        <f t="shared" si="14"/>
        <v/>
      </c>
      <c r="N933" s="164" t="str">
        <f>IFERROR(COUNTIF($C$18:C933,C933)&amp;CHOOSE(MIN(4,COUNTIF($C$18:C933,C933)),"st","nd","rd","th"),"")</f>
        <v/>
      </c>
    </row>
    <row r="934" spans="8:14" x14ac:dyDescent="0.25">
      <c r="H934" s="201" t="str">
        <f t="shared" si="14"/>
        <v/>
      </c>
      <c r="N934" s="164" t="str">
        <f>IFERROR(COUNTIF($C$18:C934,C934)&amp;CHOOSE(MIN(4,COUNTIF($C$18:C934,C934)),"st","nd","rd","th"),"")</f>
        <v/>
      </c>
    </row>
    <row r="935" spans="8:14" x14ac:dyDescent="0.25">
      <c r="H935" s="201" t="str">
        <f t="shared" si="14"/>
        <v/>
      </c>
      <c r="N935" s="164" t="str">
        <f>IFERROR(COUNTIF($C$18:C935,C935)&amp;CHOOSE(MIN(4,COUNTIF($C$18:C935,C935)),"st","nd","rd","th"),"")</f>
        <v/>
      </c>
    </row>
    <row r="936" spans="8:14" x14ac:dyDescent="0.25">
      <c r="H936" s="201" t="str">
        <f t="shared" si="14"/>
        <v/>
      </c>
      <c r="N936" s="164" t="str">
        <f>IFERROR(COUNTIF($C$18:C936,C936)&amp;CHOOSE(MIN(4,COUNTIF($C$18:C936,C936)),"st","nd","rd","th"),"")</f>
        <v/>
      </c>
    </row>
    <row r="937" spans="8:14" x14ac:dyDescent="0.25">
      <c r="H937" s="201" t="str">
        <f t="shared" si="14"/>
        <v/>
      </c>
      <c r="N937" s="164" t="str">
        <f>IFERROR(COUNTIF($C$18:C937,C937)&amp;CHOOSE(MIN(4,COUNTIF($C$18:C937,C937)),"st","nd","rd","th"),"")</f>
        <v/>
      </c>
    </row>
    <row r="938" spans="8:14" x14ac:dyDescent="0.25">
      <c r="H938" s="201" t="str">
        <f t="shared" si="14"/>
        <v/>
      </c>
      <c r="N938" s="164" t="str">
        <f>IFERROR(COUNTIF($C$18:C938,C938)&amp;CHOOSE(MIN(4,COUNTIF($C$18:C938,C938)),"st","nd","rd","th"),"")</f>
        <v/>
      </c>
    </row>
    <row r="939" spans="8:14" x14ac:dyDescent="0.25">
      <c r="H939" s="201" t="str">
        <f t="shared" si="14"/>
        <v/>
      </c>
      <c r="N939" s="164" t="str">
        <f>IFERROR(COUNTIF($C$18:C939,C939)&amp;CHOOSE(MIN(4,COUNTIF($C$18:C939,C939)),"st","nd","rd","th"),"")</f>
        <v/>
      </c>
    </row>
    <row r="940" spans="8:14" x14ac:dyDescent="0.25">
      <c r="H940" s="201" t="str">
        <f t="shared" si="14"/>
        <v/>
      </c>
      <c r="N940" s="164" t="str">
        <f>IFERROR(COUNTIF($C$18:C940,C940)&amp;CHOOSE(MIN(4,COUNTIF($C$18:C940,C940)),"st","nd","rd","th"),"")</f>
        <v/>
      </c>
    </row>
    <row r="941" spans="8:14" x14ac:dyDescent="0.25">
      <c r="H941" s="201" t="str">
        <f t="shared" si="14"/>
        <v/>
      </c>
      <c r="N941" s="164" t="str">
        <f>IFERROR(COUNTIF($C$18:C941,C941)&amp;CHOOSE(MIN(4,COUNTIF($C$18:C941,C941)),"st","nd","rd","th"),"")</f>
        <v/>
      </c>
    </row>
    <row r="942" spans="8:14" x14ac:dyDescent="0.25">
      <c r="H942" s="201" t="str">
        <f t="shared" si="14"/>
        <v/>
      </c>
      <c r="N942" s="164" t="str">
        <f>IFERROR(COUNTIF($C$18:C942,C942)&amp;CHOOSE(MIN(4,COUNTIF($C$18:C942,C942)),"st","nd","rd","th"),"")</f>
        <v/>
      </c>
    </row>
    <row r="943" spans="8:14" x14ac:dyDescent="0.25">
      <c r="H943" s="201" t="str">
        <f t="shared" si="14"/>
        <v/>
      </c>
      <c r="N943" s="164" t="str">
        <f>IFERROR(COUNTIF($C$18:C943,C943)&amp;CHOOSE(MIN(4,COUNTIF($C$18:C943,C943)),"st","nd","rd","th"),"")</f>
        <v/>
      </c>
    </row>
    <row r="944" spans="8:14" x14ac:dyDescent="0.25">
      <c r="H944" s="201" t="str">
        <f t="shared" si="14"/>
        <v/>
      </c>
      <c r="N944" s="164" t="str">
        <f>IFERROR(COUNTIF($C$18:C944,C944)&amp;CHOOSE(MIN(4,COUNTIF($C$18:C944,C944)),"st","nd","rd","th"),"")</f>
        <v/>
      </c>
    </row>
    <row r="945" spans="8:14" x14ac:dyDescent="0.25">
      <c r="H945" s="201" t="str">
        <f t="shared" si="14"/>
        <v/>
      </c>
      <c r="N945" s="164" t="str">
        <f>IFERROR(COUNTIF($C$18:C945,C945)&amp;CHOOSE(MIN(4,COUNTIF($C$18:C945,C945)),"st","nd","rd","th"),"")</f>
        <v/>
      </c>
    </row>
    <row r="946" spans="8:14" x14ac:dyDescent="0.25">
      <c r="H946" s="201" t="str">
        <f t="shared" si="14"/>
        <v/>
      </c>
      <c r="N946" s="164" t="str">
        <f>IFERROR(COUNTIF($C$18:C946,C946)&amp;CHOOSE(MIN(4,COUNTIF($C$18:C946,C946)),"st","nd","rd","th"),"")</f>
        <v/>
      </c>
    </row>
    <row r="947" spans="8:14" x14ac:dyDescent="0.25">
      <c r="H947" s="201" t="str">
        <f t="shared" si="14"/>
        <v/>
      </c>
      <c r="N947" s="164" t="str">
        <f>IFERROR(COUNTIF($C$18:C947,C947)&amp;CHOOSE(MIN(4,COUNTIF($C$18:C947,C947)),"st","nd","rd","th"),"")</f>
        <v/>
      </c>
    </row>
    <row r="948" spans="8:14" x14ac:dyDescent="0.25">
      <c r="H948" s="201" t="str">
        <f t="shared" si="14"/>
        <v/>
      </c>
      <c r="N948" s="164" t="str">
        <f>IFERROR(COUNTIF($C$18:C948,C948)&amp;CHOOSE(MIN(4,COUNTIF($C$18:C948,C948)),"st","nd","rd","th"),"")</f>
        <v/>
      </c>
    </row>
    <row r="949" spans="8:14" x14ac:dyDescent="0.25">
      <c r="H949" s="201" t="str">
        <f t="shared" si="14"/>
        <v/>
      </c>
      <c r="N949" s="164" t="str">
        <f>IFERROR(COUNTIF($C$18:C949,C949)&amp;CHOOSE(MIN(4,COUNTIF($C$18:C949,C949)),"st","nd","rd","th"),"")</f>
        <v/>
      </c>
    </row>
    <row r="950" spans="8:14" x14ac:dyDescent="0.25">
      <c r="H950" s="201" t="str">
        <f t="shared" si="14"/>
        <v/>
      </c>
      <c r="N950" s="164" t="str">
        <f>IFERROR(COUNTIF($C$18:C950,C950)&amp;CHOOSE(MIN(4,COUNTIF($C$18:C950,C950)),"st","nd","rd","th"),"")</f>
        <v/>
      </c>
    </row>
    <row r="951" spans="8:14" x14ac:dyDescent="0.25">
      <c r="H951" s="201" t="str">
        <f t="shared" si="14"/>
        <v/>
      </c>
      <c r="N951" s="164" t="str">
        <f>IFERROR(COUNTIF($C$18:C951,C951)&amp;CHOOSE(MIN(4,COUNTIF($C$18:C951,C951)),"st","nd","rd","th"),"")</f>
        <v/>
      </c>
    </row>
    <row r="952" spans="8:14" x14ac:dyDescent="0.25">
      <c r="H952" s="201" t="str">
        <f t="shared" si="14"/>
        <v/>
      </c>
      <c r="N952" s="164" t="str">
        <f>IFERROR(COUNTIF($C$18:C952,C952)&amp;CHOOSE(MIN(4,COUNTIF($C$18:C952,C952)),"st","nd","rd","th"),"")</f>
        <v/>
      </c>
    </row>
    <row r="953" spans="8:14" x14ac:dyDescent="0.25">
      <c r="H953" s="201" t="str">
        <f t="shared" si="14"/>
        <v/>
      </c>
      <c r="N953" s="164" t="str">
        <f>IFERROR(COUNTIF($C$18:C953,C953)&amp;CHOOSE(MIN(4,COUNTIF($C$18:C953,C953)),"st","nd","rd","th"),"")</f>
        <v/>
      </c>
    </row>
    <row r="954" spans="8:14" x14ac:dyDescent="0.25">
      <c r="H954" s="201" t="str">
        <f t="shared" si="14"/>
        <v/>
      </c>
      <c r="N954" s="164" t="str">
        <f>IFERROR(COUNTIF($C$18:C954,C954)&amp;CHOOSE(MIN(4,COUNTIF($C$18:C954,C954)),"st","nd","rd","th"),"")</f>
        <v/>
      </c>
    </row>
    <row r="955" spans="8:14" x14ac:dyDescent="0.25">
      <c r="H955" s="201" t="str">
        <f t="shared" si="14"/>
        <v/>
      </c>
      <c r="N955" s="164" t="str">
        <f>IFERROR(COUNTIF($C$18:C955,C955)&amp;CHOOSE(MIN(4,COUNTIF($C$18:C955,C955)),"st","nd","rd","th"),"")</f>
        <v/>
      </c>
    </row>
    <row r="956" spans="8:14" x14ac:dyDescent="0.25">
      <c r="H956" s="201" t="str">
        <f t="shared" si="14"/>
        <v/>
      </c>
      <c r="N956" s="164" t="str">
        <f>IFERROR(COUNTIF($C$18:C956,C956)&amp;CHOOSE(MIN(4,COUNTIF($C$18:C956,C956)),"st","nd","rd","th"),"")</f>
        <v/>
      </c>
    </row>
    <row r="957" spans="8:14" x14ac:dyDescent="0.25">
      <c r="H957" s="201" t="str">
        <f t="shared" si="14"/>
        <v/>
      </c>
      <c r="N957" s="164" t="str">
        <f>IFERROR(COUNTIF($C$18:C957,C957)&amp;CHOOSE(MIN(4,COUNTIF($C$18:C957,C957)),"st","nd","rd","th"),"")</f>
        <v/>
      </c>
    </row>
    <row r="958" spans="8:14" x14ac:dyDescent="0.25">
      <c r="H958" s="201" t="str">
        <f t="shared" si="14"/>
        <v/>
      </c>
      <c r="N958" s="164" t="str">
        <f>IFERROR(COUNTIF($C$18:C958,C958)&amp;CHOOSE(MIN(4,COUNTIF($C$18:C958,C958)),"st","nd","rd","th"),"")</f>
        <v/>
      </c>
    </row>
    <row r="959" spans="8:14" x14ac:dyDescent="0.25">
      <c r="H959" s="201" t="str">
        <f t="shared" si="14"/>
        <v/>
      </c>
      <c r="N959" s="164" t="str">
        <f>IFERROR(COUNTIF($C$18:C959,C959)&amp;CHOOSE(MIN(4,COUNTIF($C$18:C959,C959)),"st","nd","rd","th"),"")</f>
        <v/>
      </c>
    </row>
    <row r="960" spans="8:14" x14ac:dyDescent="0.25">
      <c r="H960" s="201" t="str">
        <f t="shared" si="14"/>
        <v/>
      </c>
      <c r="N960" s="164" t="str">
        <f>IFERROR(COUNTIF($C$18:C960,C960)&amp;CHOOSE(MIN(4,COUNTIF($C$18:C960,C960)),"st","nd","rd","th"),"")</f>
        <v/>
      </c>
    </row>
    <row r="961" spans="8:14" x14ac:dyDescent="0.25">
      <c r="H961" s="201" t="str">
        <f t="shared" si="14"/>
        <v/>
      </c>
      <c r="N961" s="164" t="str">
        <f>IFERROR(COUNTIF($C$18:C961,C961)&amp;CHOOSE(MIN(4,COUNTIF($C$18:C961,C961)),"st","nd","rd","th"),"")</f>
        <v/>
      </c>
    </row>
    <row r="962" spans="8:14" x14ac:dyDescent="0.25">
      <c r="H962" s="201" t="str">
        <f t="shared" si="14"/>
        <v/>
      </c>
      <c r="N962" s="164" t="str">
        <f>IFERROR(COUNTIF($C$18:C962,C962)&amp;CHOOSE(MIN(4,COUNTIF($C$18:C962,C962)),"st","nd","rd","th"),"")</f>
        <v/>
      </c>
    </row>
    <row r="963" spans="8:14" x14ac:dyDescent="0.25">
      <c r="H963" s="201" t="str">
        <f t="shared" si="14"/>
        <v/>
      </c>
      <c r="N963" s="164" t="str">
        <f>IFERROR(COUNTIF($C$18:C963,C963)&amp;CHOOSE(MIN(4,COUNTIF($C$18:C963,C963)),"st","nd","rd","th"),"")</f>
        <v/>
      </c>
    </row>
    <row r="964" spans="8:14" x14ac:dyDescent="0.25">
      <c r="H964" s="201" t="str">
        <f t="shared" si="14"/>
        <v/>
      </c>
      <c r="N964" s="164" t="str">
        <f>IFERROR(COUNTIF($C$18:C964,C964)&amp;CHOOSE(MIN(4,COUNTIF($C$18:C964,C964)),"st","nd","rd","th"),"")</f>
        <v/>
      </c>
    </row>
    <row r="965" spans="8:14" x14ac:dyDescent="0.25">
      <c r="H965" s="201" t="str">
        <f t="shared" si="14"/>
        <v/>
      </c>
      <c r="N965" s="164" t="str">
        <f>IFERROR(COUNTIF($C$18:C965,C965)&amp;CHOOSE(MIN(4,COUNTIF($C$18:C965,C965)),"st","nd","rd","th"),"")</f>
        <v/>
      </c>
    </row>
    <row r="966" spans="8:14" x14ac:dyDescent="0.25">
      <c r="H966" s="201" t="str">
        <f t="shared" si="14"/>
        <v/>
      </c>
      <c r="N966" s="164" t="str">
        <f>IFERROR(COUNTIF($C$18:C966,C966)&amp;CHOOSE(MIN(4,COUNTIF($C$18:C966,C966)),"st","nd","rd","th"),"")</f>
        <v/>
      </c>
    </row>
    <row r="967" spans="8:14" x14ac:dyDescent="0.25">
      <c r="H967" s="201" t="str">
        <f t="shared" si="14"/>
        <v/>
      </c>
      <c r="N967" s="164" t="str">
        <f>IFERROR(COUNTIF($C$18:C967,C967)&amp;CHOOSE(MIN(4,COUNTIF($C$18:C967,C967)),"st","nd","rd","th"),"")</f>
        <v/>
      </c>
    </row>
    <row r="968" spans="8:14" x14ac:dyDescent="0.25">
      <c r="H968" s="201" t="str">
        <f t="shared" si="14"/>
        <v/>
      </c>
      <c r="N968" s="164" t="str">
        <f>IFERROR(COUNTIF($C$18:C968,C968)&amp;CHOOSE(MIN(4,COUNTIF($C$18:C968,C968)),"st","nd","rd","th"),"")</f>
        <v/>
      </c>
    </row>
    <row r="969" spans="8:14" x14ac:dyDescent="0.25">
      <c r="H969" s="201" t="str">
        <f t="shared" si="14"/>
        <v/>
      </c>
      <c r="N969" s="164" t="str">
        <f>IFERROR(COUNTIF($C$18:C969,C969)&amp;CHOOSE(MIN(4,COUNTIF($C$18:C969,C969)),"st","nd","rd","th"),"")</f>
        <v/>
      </c>
    </row>
    <row r="970" spans="8:14" x14ac:dyDescent="0.25">
      <c r="H970" s="201" t="str">
        <f t="shared" si="14"/>
        <v/>
      </c>
      <c r="N970" s="164" t="str">
        <f>IFERROR(COUNTIF($C$18:C970,C970)&amp;CHOOSE(MIN(4,COUNTIF($C$18:C970,C970)),"st","nd","rd","th"),"")</f>
        <v/>
      </c>
    </row>
    <row r="971" spans="8:14" x14ac:dyDescent="0.25">
      <c r="H971" s="201" t="str">
        <f t="shared" si="14"/>
        <v/>
      </c>
      <c r="N971" s="164" t="str">
        <f>IFERROR(COUNTIF($C$18:C971,C971)&amp;CHOOSE(MIN(4,COUNTIF($C$18:C971,C971)),"st","nd","rd","th"),"")</f>
        <v/>
      </c>
    </row>
    <row r="972" spans="8:14" x14ac:dyDescent="0.25">
      <c r="H972" s="201" t="str">
        <f t="shared" si="14"/>
        <v/>
      </c>
      <c r="N972" s="164" t="str">
        <f>IFERROR(COUNTIF($C$18:C972,C972)&amp;CHOOSE(MIN(4,COUNTIF($C$18:C972,C972)),"st","nd","rd","th"),"")</f>
        <v/>
      </c>
    </row>
    <row r="973" spans="8:14" x14ac:dyDescent="0.25">
      <c r="H973" s="201" t="str">
        <f t="shared" si="14"/>
        <v/>
      </c>
      <c r="N973" s="164" t="str">
        <f>IFERROR(COUNTIF($C$18:C973,C973)&amp;CHOOSE(MIN(4,COUNTIF($C$18:C973,C973)),"st","nd","rd","th"),"")</f>
        <v/>
      </c>
    </row>
    <row r="974" spans="8:14" x14ac:dyDescent="0.25">
      <c r="H974" s="201" t="str">
        <f t="shared" si="14"/>
        <v/>
      </c>
      <c r="N974" s="164" t="str">
        <f>IFERROR(COUNTIF($C$18:C974,C974)&amp;CHOOSE(MIN(4,COUNTIF($C$18:C974,C974)),"st","nd","rd","th"),"")</f>
        <v/>
      </c>
    </row>
    <row r="975" spans="8:14" x14ac:dyDescent="0.25">
      <c r="H975" s="201" t="str">
        <f t="shared" si="14"/>
        <v/>
      </c>
      <c r="N975" s="164" t="str">
        <f>IFERROR(COUNTIF($C$18:C975,C975)&amp;CHOOSE(MIN(4,COUNTIF($C$18:C975,C975)),"st","nd","rd","th"),"")</f>
        <v/>
      </c>
    </row>
    <row r="976" spans="8:14" x14ac:dyDescent="0.25">
      <c r="H976" s="201" t="str">
        <f t="shared" si="14"/>
        <v/>
      </c>
      <c r="N976" s="164" t="str">
        <f>IFERROR(COUNTIF($C$18:C976,C976)&amp;CHOOSE(MIN(4,COUNTIF($C$18:C976,C976)),"st","nd","rd","th"),"")</f>
        <v/>
      </c>
    </row>
    <row r="977" spans="8:14" x14ac:dyDescent="0.25">
      <c r="H977" s="201" t="str">
        <f t="shared" si="14"/>
        <v/>
      </c>
      <c r="N977" s="164" t="str">
        <f>IFERROR(COUNTIF($C$18:C977,C977)&amp;CHOOSE(MIN(4,COUNTIF($C$18:C977,C977)),"st","nd","rd","th"),"")</f>
        <v/>
      </c>
    </row>
    <row r="978" spans="8:14" x14ac:dyDescent="0.25">
      <c r="H978" s="201" t="str">
        <f t="shared" si="14"/>
        <v/>
      </c>
      <c r="N978" s="164" t="str">
        <f>IFERROR(COUNTIF($C$18:C978,C978)&amp;CHOOSE(MIN(4,COUNTIF($C$18:C978,C978)),"st","nd","rd","th"),"")</f>
        <v/>
      </c>
    </row>
    <row r="979" spans="8:14" x14ac:dyDescent="0.25">
      <c r="H979" s="201" t="str">
        <f t="shared" ref="H979:H1000" si="15">IF(OR(ISBLANK(G979), ISBLANK(F979)), "", IF(G979=F979, 1, SUM(_xlfn.DAYS(G979, F979), 1)))</f>
        <v/>
      </c>
      <c r="N979" s="164" t="str">
        <f>IFERROR(COUNTIF($C$18:C979,C979)&amp;CHOOSE(MIN(4,COUNTIF($C$18:C979,C979)),"st","nd","rd","th"),"")</f>
        <v/>
      </c>
    </row>
    <row r="980" spans="8:14" x14ac:dyDescent="0.25">
      <c r="H980" s="201" t="str">
        <f t="shared" si="15"/>
        <v/>
      </c>
      <c r="N980" s="164" t="str">
        <f>IFERROR(COUNTIF($C$18:C980,C980)&amp;CHOOSE(MIN(4,COUNTIF($C$18:C980,C980)),"st","nd","rd","th"),"")</f>
        <v/>
      </c>
    </row>
    <row r="981" spans="8:14" x14ac:dyDescent="0.25">
      <c r="H981" s="201" t="str">
        <f t="shared" si="15"/>
        <v/>
      </c>
      <c r="N981" s="164" t="str">
        <f>IFERROR(COUNTIF($C$18:C981,C981)&amp;CHOOSE(MIN(4,COUNTIF($C$18:C981,C981)),"st","nd","rd","th"),"")</f>
        <v/>
      </c>
    </row>
    <row r="982" spans="8:14" x14ac:dyDescent="0.25">
      <c r="H982" s="201" t="str">
        <f t="shared" si="15"/>
        <v/>
      </c>
      <c r="N982" s="164" t="str">
        <f>IFERROR(COUNTIF($C$18:C982,C982)&amp;CHOOSE(MIN(4,COUNTIF($C$18:C982,C982)),"st","nd","rd","th"),"")</f>
        <v/>
      </c>
    </row>
    <row r="983" spans="8:14" x14ac:dyDescent="0.25">
      <c r="H983" s="201" t="str">
        <f t="shared" si="15"/>
        <v/>
      </c>
      <c r="N983" s="164" t="str">
        <f>IFERROR(COUNTIF($C$18:C983,C983)&amp;CHOOSE(MIN(4,COUNTIF($C$18:C983,C983)),"st","nd","rd","th"),"")</f>
        <v/>
      </c>
    </row>
    <row r="984" spans="8:14" x14ac:dyDescent="0.25">
      <c r="H984" s="201" t="str">
        <f t="shared" si="15"/>
        <v/>
      </c>
      <c r="N984" s="164" t="str">
        <f>IFERROR(COUNTIF($C$18:C984,C984)&amp;CHOOSE(MIN(4,COUNTIF($C$18:C984,C984)),"st","nd","rd","th"),"")</f>
        <v/>
      </c>
    </row>
    <row r="985" spans="8:14" x14ac:dyDescent="0.25">
      <c r="H985" s="201" t="str">
        <f t="shared" si="15"/>
        <v/>
      </c>
      <c r="N985" s="164" t="str">
        <f>IFERROR(COUNTIF($C$18:C985,C985)&amp;CHOOSE(MIN(4,COUNTIF($C$18:C985,C985)),"st","nd","rd","th"),"")</f>
        <v/>
      </c>
    </row>
    <row r="986" spans="8:14" x14ac:dyDescent="0.25">
      <c r="H986" s="201" t="str">
        <f t="shared" si="15"/>
        <v/>
      </c>
      <c r="N986" s="164" t="str">
        <f>IFERROR(COUNTIF($C$18:C986,C986)&amp;CHOOSE(MIN(4,COUNTIF($C$18:C986,C986)),"st","nd","rd","th"),"")</f>
        <v/>
      </c>
    </row>
    <row r="987" spans="8:14" x14ac:dyDescent="0.25">
      <c r="H987" s="201" t="str">
        <f t="shared" si="15"/>
        <v/>
      </c>
      <c r="N987" s="164" t="str">
        <f>IFERROR(COUNTIF($C$18:C987,C987)&amp;CHOOSE(MIN(4,COUNTIF($C$18:C987,C987)),"st","nd","rd","th"),"")</f>
        <v/>
      </c>
    </row>
    <row r="988" spans="8:14" x14ac:dyDescent="0.25">
      <c r="H988" s="201" t="str">
        <f t="shared" si="15"/>
        <v/>
      </c>
      <c r="N988" s="164" t="str">
        <f>IFERROR(COUNTIF($C$18:C988,C988)&amp;CHOOSE(MIN(4,COUNTIF($C$18:C988,C988)),"st","nd","rd","th"),"")</f>
        <v/>
      </c>
    </row>
    <row r="989" spans="8:14" x14ac:dyDescent="0.25">
      <c r="H989" s="201" t="str">
        <f t="shared" si="15"/>
        <v/>
      </c>
      <c r="N989" s="164" t="str">
        <f>IFERROR(COUNTIF($C$18:C989,C989)&amp;CHOOSE(MIN(4,COUNTIF($C$18:C989,C989)),"st","nd","rd","th"),"")</f>
        <v/>
      </c>
    </row>
    <row r="990" spans="8:14" x14ac:dyDescent="0.25">
      <c r="H990" s="201" t="str">
        <f t="shared" si="15"/>
        <v/>
      </c>
      <c r="N990" s="164" t="str">
        <f>IFERROR(COUNTIF($C$18:C990,C990)&amp;CHOOSE(MIN(4,COUNTIF($C$18:C990,C990)),"st","nd","rd","th"),"")</f>
        <v/>
      </c>
    </row>
    <row r="991" spans="8:14" x14ac:dyDescent="0.25">
      <c r="H991" s="201" t="str">
        <f t="shared" si="15"/>
        <v/>
      </c>
      <c r="N991" s="164" t="str">
        <f>IFERROR(COUNTIF($C$18:C991,C991)&amp;CHOOSE(MIN(4,COUNTIF($C$18:C991,C991)),"st","nd","rd","th"),"")</f>
        <v/>
      </c>
    </row>
    <row r="992" spans="8:14" x14ac:dyDescent="0.25">
      <c r="H992" s="201" t="str">
        <f t="shared" si="15"/>
        <v/>
      </c>
      <c r="N992" s="164" t="str">
        <f>IFERROR(COUNTIF($C$18:C992,C992)&amp;CHOOSE(MIN(4,COUNTIF($C$18:C992,C992)),"st","nd","rd","th"),"")</f>
        <v/>
      </c>
    </row>
    <row r="993" spans="8:14" x14ac:dyDescent="0.25">
      <c r="H993" s="201" t="str">
        <f t="shared" si="15"/>
        <v/>
      </c>
      <c r="N993" s="164" t="str">
        <f>IFERROR(COUNTIF($C$18:C993,C993)&amp;CHOOSE(MIN(4,COUNTIF($C$18:C993,C993)),"st","nd","rd","th"),"")</f>
        <v/>
      </c>
    </row>
    <row r="994" spans="8:14" x14ac:dyDescent="0.25">
      <c r="H994" s="201" t="str">
        <f t="shared" si="15"/>
        <v/>
      </c>
      <c r="N994" s="164" t="str">
        <f>IFERROR(COUNTIF($C$18:C994,C994)&amp;CHOOSE(MIN(4,COUNTIF($C$18:C994,C994)),"st","nd","rd","th"),"")</f>
        <v/>
      </c>
    </row>
    <row r="995" spans="8:14" x14ac:dyDescent="0.25">
      <c r="H995" s="201" t="str">
        <f t="shared" si="15"/>
        <v/>
      </c>
      <c r="N995" s="164" t="str">
        <f>IFERROR(COUNTIF($C$18:C995,C995)&amp;CHOOSE(MIN(4,COUNTIF($C$18:C995,C995)),"st","nd","rd","th"),"")</f>
        <v/>
      </c>
    </row>
    <row r="996" spans="8:14" x14ac:dyDescent="0.25">
      <c r="H996" s="201" t="str">
        <f t="shared" si="15"/>
        <v/>
      </c>
      <c r="N996" s="164" t="str">
        <f>IFERROR(COUNTIF($C$18:C996,C996)&amp;CHOOSE(MIN(4,COUNTIF($C$18:C996,C996)),"st","nd","rd","th"),"")</f>
        <v/>
      </c>
    </row>
    <row r="997" spans="8:14" x14ac:dyDescent="0.25">
      <c r="H997" s="201" t="str">
        <f t="shared" si="15"/>
        <v/>
      </c>
      <c r="N997" s="164" t="str">
        <f>IFERROR(COUNTIF($C$18:C997,C997)&amp;CHOOSE(MIN(4,COUNTIF($C$18:C997,C997)),"st","nd","rd","th"),"")</f>
        <v/>
      </c>
    </row>
    <row r="998" spans="8:14" x14ac:dyDescent="0.25">
      <c r="H998" s="201" t="str">
        <f t="shared" si="15"/>
        <v/>
      </c>
      <c r="N998" s="164" t="str">
        <f>IFERROR(COUNTIF($C$18:C998,C998)&amp;CHOOSE(MIN(4,COUNTIF($C$18:C998,C998)),"st","nd","rd","th"),"")</f>
        <v/>
      </c>
    </row>
    <row r="999" spans="8:14" x14ac:dyDescent="0.25">
      <c r="H999" s="201" t="str">
        <f t="shared" si="15"/>
        <v/>
      </c>
      <c r="N999" s="164" t="str">
        <f>IFERROR(COUNTIF($C$18:C999,C999)&amp;CHOOSE(MIN(4,COUNTIF($C$18:C999,C999)),"st","nd","rd","th"),"")</f>
        <v/>
      </c>
    </row>
    <row r="1000" spans="8:14" x14ac:dyDescent="0.25">
      <c r="H1000" s="201" t="str">
        <f t="shared" si="15"/>
        <v/>
      </c>
      <c r="N1000" s="164" t="str">
        <f>IFERROR(COUNTIF($C$18:C1000,C1000)&amp;CHOOSE(MIN(4,COUNTIF($C$18:C1000,C1000)),"st","nd","rd","th"),"")</f>
        <v/>
      </c>
    </row>
  </sheetData>
  <mergeCells count="4">
    <mergeCell ref="B5:V5"/>
    <mergeCell ref="B6:V6"/>
    <mergeCell ref="B7:V7"/>
    <mergeCell ref="B8:V8"/>
  </mergeCells>
  <dataValidations count="1">
    <dataValidation type="list" allowBlank="1" showInputMessage="1" showErrorMessage="1" sqref="B18:C1048576" xr:uid="{7B4EFCE0-719C-461E-9987-EC9ADD9B8959}">
      <formula1>INDIRECT(A18)</formula1>
    </dataValidation>
  </dataValidations>
  <hyperlinks>
    <hyperlink ref="C1" location="'Accomplishment 2025'!A1" display="Back to Summary of Accomplishments 2025" xr:uid="{9D9B0E01-4A4E-44DE-AA94-563113821F45}"/>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46CCEEA-DA34-4ACF-9B99-60CFEBECA55A}">
          <x14:formula1>
            <xm:f>LGU_Masterlist!$C$2:$T$2</xm:f>
          </x14:formula1>
          <xm:sqref>A18:A1048576</xm:sqref>
        </x14:dataValidation>
        <x14:dataValidation type="list" allowBlank="1" showInputMessage="1" showErrorMessage="1" xr:uid="{8C516781-4EAE-4FA8-977F-2F928CC7B730}">
          <x14:formula1>
            <xm:f>Picklists!$A$3:$A$14</xm:f>
          </x14:formula1>
          <xm:sqref>L18:L1000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2109-694B-496E-A5A7-656ECFA26889}">
  <sheetPr codeName="Sheet25">
    <tabColor theme="7" tint="-0.249977111117893"/>
  </sheetPr>
  <dimension ref="A1:V999"/>
  <sheetViews>
    <sheetView topLeftCell="A8" zoomScale="60" zoomScaleNormal="60" workbookViewId="0">
      <selection activeCell="H29" sqref="H18:H29"/>
    </sheetView>
  </sheetViews>
  <sheetFormatPr defaultColWidth="8.88671875" defaultRowHeight="13.8" x14ac:dyDescent="0.25"/>
  <cols>
    <col min="1" max="1" width="13.33203125" style="164" customWidth="1"/>
    <col min="2" max="3" width="34.33203125" style="164" customWidth="1"/>
    <col min="4" max="4" width="52.88671875" style="164" bestFit="1" customWidth="1"/>
    <col min="5" max="5" width="33" style="164" customWidth="1"/>
    <col min="6" max="6" width="23.44140625" style="172" customWidth="1"/>
    <col min="7" max="7" width="20.44140625" style="172" customWidth="1"/>
    <col min="8" max="8" width="19.109375" style="202" customWidth="1"/>
    <col min="9" max="9" width="16.33203125" style="201" customWidth="1"/>
    <col min="10" max="10" width="26.6640625" style="201" customWidth="1"/>
    <col min="11" max="11" width="31.33203125" style="201" customWidth="1"/>
    <col min="12" max="12" width="20.88671875" style="164" customWidth="1"/>
    <col min="13" max="13" width="8.88671875" style="164" customWidth="1"/>
    <col min="14" max="14" width="16.88671875" style="164" customWidth="1"/>
    <col min="15" max="15" width="8.88671875" style="164" customWidth="1"/>
    <col min="16" max="16384" width="8.88671875" style="164"/>
  </cols>
  <sheetData>
    <row r="1" spans="1:22" s="32" customFormat="1" ht="14.4" x14ac:dyDescent="0.3">
      <c r="A1" s="173" t="s">
        <v>5090</v>
      </c>
      <c r="D1" s="174" t="s">
        <v>1673</v>
      </c>
    </row>
    <row r="2" spans="1:22" s="32" customFormat="1" x14ac:dyDescent="0.25">
      <c r="A2" s="176"/>
      <c r="B2" s="35"/>
      <c r="C2" s="35"/>
      <c r="D2" s="35"/>
      <c r="E2" s="35"/>
    </row>
    <row r="3" spans="1:22" s="32" customFormat="1" x14ac:dyDescent="0.25">
      <c r="A3" s="177">
        <v>12</v>
      </c>
      <c r="B3" s="364" t="s">
        <v>5247</v>
      </c>
      <c r="C3" s="364"/>
      <c r="D3" s="364"/>
      <c r="E3" s="364"/>
    </row>
    <row r="4" spans="1:22" s="32" customFormat="1" x14ac:dyDescent="0.25">
      <c r="A4" s="178"/>
      <c r="B4" s="206" t="s">
        <v>5248</v>
      </c>
      <c r="C4" s="206"/>
      <c r="D4" s="206"/>
      <c r="E4" s="206"/>
    </row>
    <row r="5" spans="1:22" s="32" customFormat="1" ht="58.95" customHeight="1" x14ac:dyDescent="0.25">
      <c r="A5" s="178"/>
      <c r="B5" s="599" t="s">
        <v>5249</v>
      </c>
      <c r="C5" s="599"/>
      <c r="D5" s="599"/>
      <c r="E5" s="599"/>
      <c r="F5" s="599"/>
      <c r="G5" s="599"/>
      <c r="H5" s="599"/>
      <c r="I5" s="599"/>
      <c r="J5" s="599"/>
      <c r="K5" s="599"/>
      <c r="L5" s="599"/>
      <c r="M5" s="599"/>
      <c r="N5" s="599"/>
      <c r="O5" s="599"/>
      <c r="P5" s="599"/>
      <c r="Q5" s="599"/>
      <c r="R5" s="599"/>
      <c r="S5" s="599"/>
      <c r="T5" s="599"/>
      <c r="U5" s="599"/>
      <c r="V5" s="599"/>
    </row>
    <row r="6" spans="1:22" s="32" customFormat="1" ht="48.6" customHeight="1" x14ac:dyDescent="0.25">
      <c r="A6" s="178"/>
      <c r="B6" s="601" t="s">
        <v>5250</v>
      </c>
      <c r="C6" s="601"/>
      <c r="D6" s="601"/>
      <c r="E6" s="601"/>
      <c r="F6" s="601"/>
      <c r="G6" s="601"/>
      <c r="H6" s="601"/>
      <c r="I6" s="601"/>
      <c r="J6" s="601"/>
      <c r="K6" s="601"/>
      <c r="L6" s="601"/>
      <c r="M6" s="601"/>
      <c r="N6" s="601"/>
      <c r="O6" s="601"/>
      <c r="P6" s="601"/>
      <c r="Q6" s="601"/>
      <c r="R6" s="601"/>
      <c r="S6" s="601"/>
      <c r="T6" s="601"/>
      <c r="U6" s="601"/>
      <c r="V6" s="601"/>
    </row>
    <row r="7" spans="1:22" s="32" customFormat="1" x14ac:dyDescent="0.25">
      <c r="B7" s="602" t="s">
        <v>5251</v>
      </c>
      <c r="C7" s="602"/>
      <c r="D7" s="602"/>
      <c r="E7" s="602"/>
      <c r="F7" s="602"/>
      <c r="G7" s="602"/>
      <c r="H7" s="602"/>
      <c r="I7" s="602"/>
      <c r="J7" s="602"/>
      <c r="K7" s="602"/>
      <c r="L7" s="602"/>
      <c r="M7" s="602"/>
      <c r="N7" s="602"/>
      <c r="O7" s="602"/>
      <c r="P7" s="602"/>
      <c r="Q7" s="602"/>
      <c r="R7" s="602"/>
      <c r="S7" s="602"/>
      <c r="T7" s="602"/>
      <c r="U7" s="602"/>
      <c r="V7" s="602"/>
    </row>
    <row r="8" spans="1:22" s="32" customFormat="1" ht="59.4" customHeight="1" x14ac:dyDescent="0.25">
      <c r="B8" s="622" t="s">
        <v>5205</v>
      </c>
      <c r="C8" s="622"/>
      <c r="D8" s="622"/>
      <c r="E8" s="622"/>
      <c r="F8" s="622"/>
      <c r="G8" s="622"/>
      <c r="H8" s="622"/>
      <c r="I8" s="622"/>
      <c r="J8" s="622"/>
      <c r="K8" s="622"/>
      <c r="L8" s="622"/>
      <c r="M8" s="622"/>
      <c r="N8" s="622"/>
      <c r="O8" s="622"/>
      <c r="P8" s="622"/>
      <c r="Q8" s="622"/>
      <c r="R8" s="622"/>
      <c r="S8" s="622"/>
      <c r="T8" s="622"/>
      <c r="U8" s="622"/>
      <c r="V8" s="622"/>
    </row>
    <row r="9" spans="1:22" s="32" customFormat="1" x14ac:dyDescent="0.25">
      <c r="B9" s="173"/>
      <c r="C9" s="173"/>
      <c r="D9" s="173"/>
      <c r="E9" s="173"/>
      <c r="F9" s="173"/>
      <c r="G9" s="173"/>
      <c r="H9" s="173"/>
      <c r="I9" s="173"/>
      <c r="J9" s="173"/>
      <c r="K9" s="173"/>
      <c r="L9" s="173"/>
      <c r="M9" s="173"/>
      <c r="N9" s="173"/>
      <c r="O9" s="173"/>
      <c r="P9" s="173"/>
      <c r="Q9" s="173"/>
      <c r="R9" s="173"/>
      <c r="S9" s="173"/>
      <c r="T9" s="173"/>
      <c r="U9" s="173"/>
      <c r="V9" s="173"/>
    </row>
    <row r="10" spans="1:22" s="32" customFormat="1" x14ac:dyDescent="0.25">
      <c r="B10" s="179" t="s">
        <v>5252</v>
      </c>
      <c r="C10" s="179"/>
      <c r="D10" s="179"/>
      <c r="E10" s="179"/>
      <c r="F10" s="181">
        <f>COUNTIF(N18:N999,"1st")</f>
        <v>0</v>
      </c>
      <c r="G10" s="195"/>
      <c r="H10" s="195"/>
      <c r="I10" s="195"/>
      <c r="J10" s="195"/>
      <c r="K10" s="195"/>
      <c r="L10" s="173"/>
      <c r="M10" s="173"/>
      <c r="N10" s="173"/>
      <c r="O10" s="173"/>
      <c r="P10" s="173"/>
      <c r="Q10" s="173"/>
      <c r="R10" s="173"/>
      <c r="S10" s="173"/>
      <c r="T10" s="173"/>
      <c r="U10" s="173"/>
      <c r="V10" s="173"/>
    </row>
    <row r="11" spans="1:22" s="32" customFormat="1" x14ac:dyDescent="0.25">
      <c r="B11" s="179" t="s">
        <v>5253</v>
      </c>
      <c r="C11" s="179"/>
      <c r="D11" s="179"/>
      <c r="E11" s="179"/>
      <c r="F11" s="181">
        <f>COUNTA(D18:D999)</f>
        <v>0</v>
      </c>
      <c r="G11" s="173"/>
      <c r="H11" s="173"/>
      <c r="I11" s="173"/>
      <c r="J11" s="173"/>
      <c r="K11" s="173"/>
      <c r="L11" s="173"/>
      <c r="M11" s="173"/>
      <c r="N11" s="173"/>
      <c r="O11" s="173"/>
      <c r="P11" s="173"/>
      <c r="Q11" s="173"/>
      <c r="R11" s="173"/>
      <c r="S11" s="173"/>
      <c r="T11" s="173"/>
      <c r="U11" s="173"/>
      <c r="V11" s="173"/>
    </row>
    <row r="12" spans="1:22" s="32" customFormat="1" x14ac:dyDescent="0.25">
      <c r="B12" s="196" t="s">
        <v>5231</v>
      </c>
      <c r="C12" s="196"/>
      <c r="D12" s="196"/>
      <c r="E12" s="196"/>
      <c r="F12" s="198">
        <f>SUM(H18:H999)</f>
        <v>0</v>
      </c>
      <c r="G12" s="173"/>
      <c r="H12" s="173"/>
      <c r="I12" s="173"/>
      <c r="J12" s="173"/>
      <c r="K12" s="173"/>
      <c r="L12" s="173"/>
      <c r="M12" s="173"/>
      <c r="N12" s="173"/>
      <c r="O12" s="173"/>
      <c r="P12" s="173"/>
      <c r="Q12" s="173"/>
      <c r="R12" s="173"/>
      <c r="S12" s="173"/>
      <c r="T12" s="173"/>
      <c r="U12" s="173"/>
      <c r="V12" s="173"/>
    </row>
    <row r="13" spans="1:22" s="32" customFormat="1" x14ac:dyDescent="0.25">
      <c r="B13" s="196" t="s">
        <v>5232</v>
      </c>
      <c r="C13" s="196"/>
      <c r="D13" s="196"/>
      <c r="E13" s="196"/>
      <c r="F13" s="198">
        <f>SUM(I18:I1000)</f>
        <v>0</v>
      </c>
      <c r="G13" s="173"/>
      <c r="H13" s="173"/>
      <c r="I13" s="173"/>
      <c r="J13" s="173"/>
      <c r="K13" s="173"/>
      <c r="L13" s="173"/>
      <c r="M13" s="173"/>
      <c r="N13" s="173"/>
      <c r="O13" s="173"/>
      <c r="P13" s="173"/>
      <c r="Q13" s="173"/>
      <c r="R13" s="173"/>
      <c r="S13" s="173"/>
      <c r="T13" s="173"/>
      <c r="U13" s="173"/>
      <c r="V13" s="173"/>
    </row>
    <row r="14" spans="1:22" s="32" customFormat="1" x14ac:dyDescent="0.25">
      <c r="B14" s="173"/>
      <c r="C14" s="173"/>
      <c r="D14" s="173"/>
      <c r="E14" s="173"/>
      <c r="F14" s="173"/>
      <c r="G14" s="173"/>
      <c r="H14" s="173"/>
      <c r="I14" s="173"/>
      <c r="J14" s="173"/>
      <c r="K14" s="173"/>
      <c r="L14" s="173"/>
      <c r="M14" s="173"/>
      <c r="N14" s="173"/>
      <c r="O14" s="173"/>
      <c r="P14" s="173"/>
      <c r="Q14" s="173"/>
      <c r="R14" s="173"/>
      <c r="S14" s="173"/>
      <c r="T14" s="173"/>
      <c r="U14" s="173"/>
      <c r="V14" s="173"/>
    </row>
    <row r="15" spans="1:22" s="32" customFormat="1" x14ac:dyDescent="0.25">
      <c r="B15" s="173"/>
      <c r="C15" s="173"/>
      <c r="D15" s="173"/>
      <c r="E15" s="173"/>
      <c r="F15" s="173"/>
      <c r="G15" s="173"/>
      <c r="H15" s="173"/>
      <c r="I15" s="173"/>
      <c r="J15" s="173"/>
      <c r="K15" s="173"/>
      <c r="L15" s="173"/>
      <c r="M15" s="173"/>
      <c r="N15" s="173"/>
      <c r="O15" s="173"/>
      <c r="P15" s="173"/>
      <c r="Q15" s="173"/>
      <c r="R15" s="173"/>
      <c r="S15" s="173"/>
      <c r="T15" s="173"/>
      <c r="U15" s="173"/>
      <c r="V15" s="173"/>
    </row>
    <row r="16" spans="1:22" s="32" customFormat="1" x14ac:dyDescent="0.25"/>
    <row r="17" spans="1:14" s="182" customFormat="1" ht="54.6" customHeight="1" x14ac:dyDescent="0.25">
      <c r="A17" s="184" t="s">
        <v>5233</v>
      </c>
      <c r="B17" s="184" t="s">
        <v>5234</v>
      </c>
      <c r="C17" s="183" t="s">
        <v>5130</v>
      </c>
      <c r="D17" s="184" t="s">
        <v>5210</v>
      </c>
      <c r="E17" s="183" t="s">
        <v>5211</v>
      </c>
      <c r="F17" s="184" t="s">
        <v>5212</v>
      </c>
      <c r="G17" s="184" t="s">
        <v>5213</v>
      </c>
      <c r="H17" s="200" t="s">
        <v>5214</v>
      </c>
      <c r="I17" s="184" t="s">
        <v>5215</v>
      </c>
      <c r="J17" s="184" t="s">
        <v>5216</v>
      </c>
      <c r="K17" s="184" t="s">
        <v>5217</v>
      </c>
      <c r="L17" s="184" t="s">
        <v>1685</v>
      </c>
      <c r="M17" s="184" t="s">
        <v>5218</v>
      </c>
      <c r="N17" s="200" t="s">
        <v>5191</v>
      </c>
    </row>
    <row r="18" spans="1:14" x14ac:dyDescent="0.25">
      <c r="H18" s="201" t="str">
        <f t="shared" ref="H18:H81" si="0">IF(OR(ISBLANK(G18), ISBLANK(F18)), "", IF(G18=F18, 1, SUM(_xlfn.DAYS(G18, F18), 1)))</f>
        <v/>
      </c>
      <c r="N18" s="164" t="str">
        <f>IFERROR(COUNTIF($C$18:C18,C18)&amp;CHOOSE(MIN(4,COUNTIF($C$18:C18,C18)),"st","nd","rd","th"),"")</f>
        <v/>
      </c>
    </row>
    <row r="19" spans="1:14" ht="13.95" customHeight="1" x14ac:dyDescent="0.25">
      <c r="D19" s="414"/>
      <c r="E19" s="414"/>
      <c r="F19" s="481"/>
      <c r="G19" s="481"/>
      <c r="H19" s="201" t="str">
        <f t="shared" si="0"/>
        <v/>
      </c>
      <c r="I19" s="414"/>
      <c r="N19" s="164" t="str">
        <f>IFERROR(COUNTIF($C$18:C19,C19)&amp;CHOOSE(MIN(4,COUNTIF($C$18:C19,C19)),"st","nd","rd","th"),"")</f>
        <v/>
      </c>
    </row>
    <row r="20" spans="1:14" ht="13.95" customHeight="1" x14ac:dyDescent="0.25">
      <c r="D20" s="414"/>
      <c r="E20" s="414"/>
      <c r="F20" s="481"/>
      <c r="G20" s="481"/>
      <c r="H20" s="201" t="str">
        <f t="shared" si="0"/>
        <v/>
      </c>
      <c r="I20" s="414"/>
      <c r="N20" s="164" t="str">
        <f>IFERROR(COUNTIF($C$18:C20,C20)&amp;CHOOSE(MIN(4,COUNTIF($C$18:C20,C20)),"st","nd","rd","th"),"")</f>
        <v/>
      </c>
    </row>
    <row r="21" spans="1:14" ht="13.95" customHeight="1" x14ac:dyDescent="0.25">
      <c r="D21" s="414"/>
      <c r="E21" s="414"/>
      <c r="F21" s="481"/>
      <c r="G21" s="481"/>
      <c r="H21" s="201" t="str">
        <f t="shared" si="0"/>
        <v/>
      </c>
      <c r="I21" s="414"/>
      <c r="N21" s="164" t="str">
        <f>IFERROR(COUNTIF($C$18:C21,C21)&amp;CHOOSE(MIN(4,COUNTIF($C$18:C21,C21)),"st","nd","rd","th"),"")</f>
        <v/>
      </c>
    </row>
    <row r="22" spans="1:14" ht="13.95" customHeight="1" x14ac:dyDescent="0.25">
      <c r="D22" s="414"/>
      <c r="E22" s="414"/>
      <c r="F22" s="481"/>
      <c r="G22" s="481"/>
      <c r="H22" s="201" t="str">
        <f t="shared" si="0"/>
        <v/>
      </c>
      <c r="I22" s="414"/>
      <c r="N22" s="164" t="str">
        <f>IFERROR(COUNTIF($C$18:C22,C22)&amp;CHOOSE(MIN(4,COUNTIF($C$18:C22,C22)),"st","nd","rd","th"),"")</f>
        <v/>
      </c>
    </row>
    <row r="23" spans="1:14" ht="13.95" customHeight="1" x14ac:dyDescent="0.25">
      <c r="D23" s="414"/>
      <c r="E23" s="414"/>
      <c r="F23" s="481"/>
      <c r="G23" s="481"/>
      <c r="H23" s="201" t="str">
        <f t="shared" si="0"/>
        <v/>
      </c>
      <c r="I23" s="414"/>
      <c r="N23" s="164" t="str">
        <f>IFERROR(COUNTIF($C$18:C23,C23)&amp;CHOOSE(MIN(4,COUNTIF($C$18:C23,C23)),"st","nd","rd","th"),"")</f>
        <v/>
      </c>
    </row>
    <row r="24" spans="1:14" ht="13.95" customHeight="1" x14ac:dyDescent="0.25">
      <c r="D24" s="414"/>
      <c r="E24" s="414"/>
      <c r="F24" s="481"/>
      <c r="G24" s="481"/>
      <c r="H24" s="201" t="str">
        <f t="shared" si="0"/>
        <v/>
      </c>
      <c r="I24" s="414"/>
      <c r="N24" s="164" t="str">
        <f>IFERROR(COUNTIF($C$18:C24,C24)&amp;CHOOSE(MIN(4,COUNTIF($C$18:C24,C24)),"st","nd","rd","th"),"")</f>
        <v/>
      </c>
    </row>
    <row r="25" spans="1:14" ht="13.95" customHeight="1" x14ac:dyDescent="0.25">
      <c r="D25" s="414"/>
      <c r="E25" s="414"/>
      <c r="F25" s="481"/>
      <c r="G25" s="481"/>
      <c r="H25" s="201" t="str">
        <f t="shared" si="0"/>
        <v/>
      </c>
      <c r="I25" s="414"/>
      <c r="N25" s="164" t="str">
        <f>IFERROR(COUNTIF($C$18:C25,C25)&amp;CHOOSE(MIN(4,COUNTIF($C$18:C25,C25)),"st","nd","rd","th"),"")</f>
        <v/>
      </c>
    </row>
    <row r="26" spans="1:14" ht="13.95" customHeight="1" x14ac:dyDescent="0.25">
      <c r="D26" s="414"/>
      <c r="E26" s="414"/>
      <c r="F26" s="481"/>
      <c r="G26" s="481"/>
      <c r="H26" s="201" t="str">
        <f t="shared" si="0"/>
        <v/>
      </c>
      <c r="I26" s="414"/>
      <c r="N26" s="164" t="str">
        <f>IFERROR(COUNTIF($C$18:C26,C26)&amp;CHOOSE(MIN(4,COUNTIF($C$18:C26,C26)),"st","nd","rd","th"),"")</f>
        <v/>
      </c>
    </row>
    <row r="27" spans="1:14" ht="13.95" customHeight="1" x14ac:dyDescent="0.25">
      <c r="D27" s="414"/>
      <c r="E27" s="414"/>
      <c r="F27" s="481"/>
      <c r="G27" s="481"/>
      <c r="H27" s="201" t="str">
        <f t="shared" si="0"/>
        <v/>
      </c>
      <c r="I27" s="414"/>
      <c r="N27" s="164" t="str">
        <f>IFERROR(COUNTIF($C$18:C27,C27)&amp;CHOOSE(MIN(4,COUNTIF($C$18:C27,C27)),"st","nd","rd","th"),"")</f>
        <v/>
      </c>
    </row>
    <row r="28" spans="1:14" x14ac:dyDescent="0.25">
      <c r="H28" s="201" t="str">
        <f t="shared" si="0"/>
        <v/>
      </c>
      <c r="N28" s="164" t="str">
        <f>IFERROR(COUNTIF($C$18:C28,C28)&amp;CHOOSE(MIN(4,COUNTIF($C$18:C28,C28)),"st","nd","rd","th"),"")</f>
        <v/>
      </c>
    </row>
    <row r="29" spans="1:14" x14ac:dyDescent="0.25">
      <c r="H29" s="201" t="str">
        <f t="shared" si="0"/>
        <v/>
      </c>
      <c r="N29" s="164" t="str">
        <f>IFERROR(COUNTIF($C$18:C29,C29)&amp;CHOOSE(MIN(4,COUNTIF($C$18:C29,C29)),"st","nd","rd","th"),"")</f>
        <v/>
      </c>
    </row>
    <row r="30" spans="1:14" x14ac:dyDescent="0.25">
      <c r="H30" s="201" t="str">
        <f t="shared" si="0"/>
        <v/>
      </c>
      <c r="N30" s="164" t="str">
        <f>IFERROR(COUNTIF($C$18:C30,C30)&amp;CHOOSE(MIN(4,COUNTIF($C$18:C30,C30)),"st","nd","rd","th"),"")</f>
        <v/>
      </c>
    </row>
    <row r="31" spans="1:14" x14ac:dyDescent="0.25">
      <c r="H31" s="201" t="str">
        <f t="shared" si="0"/>
        <v/>
      </c>
      <c r="N31" s="164" t="str">
        <f>IFERROR(COUNTIF($C$18:C31,C31)&amp;CHOOSE(MIN(4,COUNTIF($C$18:C31,C31)),"st","nd","rd","th"),"")</f>
        <v/>
      </c>
    </row>
    <row r="32" spans="1:14" x14ac:dyDescent="0.25">
      <c r="H32" s="201" t="str">
        <f t="shared" si="0"/>
        <v/>
      </c>
      <c r="N32" s="164" t="str">
        <f>IFERROR(COUNTIF($C$18:C32,C32)&amp;CHOOSE(MIN(4,COUNTIF($C$18:C32,C32)),"st","nd","rd","th"),"")</f>
        <v/>
      </c>
    </row>
    <row r="33" spans="8:14" x14ac:dyDescent="0.25">
      <c r="H33" s="201" t="str">
        <f t="shared" si="0"/>
        <v/>
      </c>
      <c r="N33" s="164" t="str">
        <f>IFERROR(COUNTIF($C$18:C33,C33)&amp;CHOOSE(MIN(4,COUNTIF($C$18:C33,C33)),"st","nd","rd","th"),"")</f>
        <v/>
      </c>
    </row>
    <row r="34" spans="8:14" x14ac:dyDescent="0.25">
      <c r="H34" s="201" t="str">
        <f t="shared" si="0"/>
        <v/>
      </c>
      <c r="N34" s="164" t="str">
        <f>IFERROR(COUNTIF($C$18:C34,C34)&amp;CHOOSE(MIN(4,COUNTIF($C$18:C34,C34)),"st","nd","rd","th"),"")</f>
        <v/>
      </c>
    </row>
    <row r="35" spans="8:14" x14ac:dyDescent="0.25">
      <c r="H35" s="201" t="str">
        <f t="shared" si="0"/>
        <v/>
      </c>
      <c r="N35" s="164" t="str">
        <f>IFERROR(COUNTIF($C$18:C35,C35)&amp;CHOOSE(MIN(4,COUNTIF($C$18:C35,C35)),"st","nd","rd","th"),"")</f>
        <v/>
      </c>
    </row>
    <row r="36" spans="8:14" x14ac:dyDescent="0.25">
      <c r="H36" s="201" t="str">
        <f t="shared" si="0"/>
        <v/>
      </c>
      <c r="N36" s="164" t="str">
        <f>IFERROR(COUNTIF($C$18:C36,C36)&amp;CHOOSE(MIN(4,COUNTIF($C$18:C36,C36)),"st","nd","rd","th"),"")</f>
        <v/>
      </c>
    </row>
    <row r="37" spans="8:14" x14ac:dyDescent="0.25">
      <c r="H37" s="201" t="str">
        <f t="shared" si="0"/>
        <v/>
      </c>
      <c r="N37" s="164" t="str">
        <f>IFERROR(COUNTIF($C$18:C37,C37)&amp;CHOOSE(MIN(4,COUNTIF($C$18:C37,C37)),"st","nd","rd","th"),"")</f>
        <v/>
      </c>
    </row>
    <row r="38" spans="8:14" x14ac:dyDescent="0.25">
      <c r="H38" s="201" t="str">
        <f t="shared" si="0"/>
        <v/>
      </c>
      <c r="N38" s="164" t="str">
        <f>IFERROR(COUNTIF($C$18:C38,C38)&amp;CHOOSE(MIN(4,COUNTIF($C$18:C38,C38)),"st","nd","rd","th"),"")</f>
        <v/>
      </c>
    </row>
    <row r="39" spans="8:14" x14ac:dyDescent="0.25">
      <c r="H39" s="201" t="str">
        <f t="shared" si="0"/>
        <v/>
      </c>
      <c r="N39" s="164" t="str">
        <f>IFERROR(COUNTIF($C$18:C39,C39)&amp;CHOOSE(MIN(4,COUNTIF($C$18:C39,C39)),"st","nd","rd","th"),"")</f>
        <v/>
      </c>
    </row>
    <row r="40" spans="8:14" x14ac:dyDescent="0.25">
      <c r="H40" s="201" t="str">
        <f t="shared" si="0"/>
        <v/>
      </c>
      <c r="N40" s="164" t="str">
        <f>IFERROR(COUNTIF($C$18:C40,C40)&amp;CHOOSE(MIN(4,COUNTIF($C$18:C40,C40)),"st","nd","rd","th"),"")</f>
        <v/>
      </c>
    </row>
    <row r="41" spans="8:14" x14ac:dyDescent="0.25">
      <c r="H41" s="201" t="str">
        <f t="shared" si="0"/>
        <v/>
      </c>
      <c r="N41" s="164" t="str">
        <f>IFERROR(COUNTIF($C$18:C41,C41)&amp;CHOOSE(MIN(4,COUNTIF($C$18:C41,C41)),"st","nd","rd","th"),"")</f>
        <v/>
      </c>
    </row>
    <row r="42" spans="8:14" x14ac:dyDescent="0.25">
      <c r="H42" s="201" t="str">
        <f t="shared" si="0"/>
        <v/>
      </c>
      <c r="N42" s="164" t="str">
        <f>IFERROR(COUNTIF($C$18:C42,C42)&amp;CHOOSE(MIN(4,COUNTIF($C$18:C42,C42)),"st","nd","rd","th"),"")</f>
        <v/>
      </c>
    </row>
    <row r="43" spans="8:14" x14ac:dyDescent="0.25">
      <c r="H43" s="201" t="str">
        <f t="shared" si="0"/>
        <v/>
      </c>
      <c r="N43" s="164" t="str">
        <f>IFERROR(COUNTIF($C$18:C43,C43)&amp;CHOOSE(MIN(4,COUNTIF($C$18:C43,C43)),"st","nd","rd","th"),"")</f>
        <v/>
      </c>
    </row>
    <row r="44" spans="8:14" x14ac:dyDescent="0.25">
      <c r="H44" s="201" t="str">
        <f t="shared" si="0"/>
        <v/>
      </c>
      <c r="N44" s="164" t="str">
        <f>IFERROR(COUNTIF($C$18:C44,C44)&amp;CHOOSE(MIN(4,COUNTIF($C$18:C44,C44)),"st","nd","rd","th"),"")</f>
        <v/>
      </c>
    </row>
    <row r="45" spans="8:14" x14ac:dyDescent="0.25">
      <c r="H45" s="201" t="str">
        <f t="shared" si="0"/>
        <v/>
      </c>
      <c r="N45" s="164" t="str">
        <f>IFERROR(COUNTIF($C$18:C45,C45)&amp;CHOOSE(MIN(4,COUNTIF($C$18:C45,C45)),"st","nd","rd","th"),"")</f>
        <v/>
      </c>
    </row>
    <row r="46" spans="8:14" x14ac:dyDescent="0.25">
      <c r="H46" s="201" t="str">
        <f t="shared" si="0"/>
        <v/>
      </c>
      <c r="N46" s="164" t="str">
        <f>IFERROR(COUNTIF($C$18:C46,C46)&amp;CHOOSE(MIN(4,COUNTIF($C$18:C46,C46)),"st","nd","rd","th"),"")</f>
        <v/>
      </c>
    </row>
    <row r="47" spans="8:14" x14ac:dyDescent="0.25">
      <c r="H47" s="201" t="str">
        <f t="shared" si="0"/>
        <v/>
      </c>
      <c r="N47" s="164" t="str">
        <f>IFERROR(COUNTIF($C$18:C47,C47)&amp;CHOOSE(MIN(4,COUNTIF($C$18:C47,C47)),"st","nd","rd","th"),"")</f>
        <v/>
      </c>
    </row>
    <row r="48" spans="8:14" x14ac:dyDescent="0.25">
      <c r="H48" s="201" t="str">
        <f t="shared" si="0"/>
        <v/>
      </c>
      <c r="N48" s="164" t="str">
        <f>IFERROR(COUNTIF($C$18:C48,C48)&amp;CHOOSE(MIN(4,COUNTIF($C$18:C48,C48)),"st","nd","rd","th"),"")</f>
        <v/>
      </c>
    </row>
    <row r="49" spans="8:14" x14ac:dyDescent="0.25">
      <c r="H49" s="201" t="str">
        <f t="shared" si="0"/>
        <v/>
      </c>
      <c r="N49" s="164" t="str">
        <f>IFERROR(COUNTIF($C$18:C49,C49)&amp;CHOOSE(MIN(4,COUNTIF($C$18:C49,C49)),"st","nd","rd","th"),"")</f>
        <v/>
      </c>
    </row>
    <row r="50" spans="8:14" x14ac:dyDescent="0.25">
      <c r="H50" s="201" t="str">
        <f t="shared" si="0"/>
        <v/>
      </c>
      <c r="N50" s="164" t="str">
        <f>IFERROR(COUNTIF($C$18:C50,C50)&amp;CHOOSE(MIN(4,COUNTIF($C$18:C50,C50)),"st","nd","rd","th"),"")</f>
        <v/>
      </c>
    </row>
    <row r="51" spans="8:14" x14ac:dyDescent="0.25">
      <c r="H51" s="201" t="str">
        <f t="shared" si="0"/>
        <v/>
      </c>
      <c r="N51" s="164" t="str">
        <f>IFERROR(COUNTIF($C$18:C51,C51)&amp;CHOOSE(MIN(4,COUNTIF($C$18:C51,C51)),"st","nd","rd","th"),"")</f>
        <v/>
      </c>
    </row>
    <row r="52" spans="8:14" x14ac:dyDescent="0.25">
      <c r="H52" s="201" t="str">
        <f t="shared" si="0"/>
        <v/>
      </c>
      <c r="N52" s="164" t="str">
        <f>IFERROR(COUNTIF($C$18:C52,C52)&amp;CHOOSE(MIN(4,COUNTIF($C$18:C52,C52)),"st","nd","rd","th"),"")</f>
        <v/>
      </c>
    </row>
    <row r="53" spans="8:14" x14ac:dyDescent="0.25">
      <c r="H53" s="201" t="str">
        <f t="shared" si="0"/>
        <v/>
      </c>
      <c r="N53" s="164" t="str">
        <f>IFERROR(COUNTIF($C$18:C53,C53)&amp;CHOOSE(MIN(4,COUNTIF($C$18:C53,C53)),"st","nd","rd","th"),"")</f>
        <v/>
      </c>
    </row>
    <row r="54" spans="8:14" x14ac:dyDescent="0.25">
      <c r="H54" s="201" t="str">
        <f t="shared" si="0"/>
        <v/>
      </c>
      <c r="N54" s="164" t="str">
        <f>IFERROR(COUNTIF($C$18:C54,C54)&amp;CHOOSE(MIN(4,COUNTIF($C$18:C54,C54)),"st","nd","rd","th"),"")</f>
        <v/>
      </c>
    </row>
    <row r="55" spans="8:14" x14ac:dyDescent="0.25">
      <c r="H55" s="201" t="str">
        <f t="shared" si="0"/>
        <v/>
      </c>
      <c r="N55" s="164" t="str">
        <f>IFERROR(COUNTIF($C$18:C55,C55)&amp;CHOOSE(MIN(4,COUNTIF($C$18:C55,C55)),"st","nd","rd","th"),"")</f>
        <v/>
      </c>
    </row>
    <row r="56" spans="8:14" x14ac:dyDescent="0.25">
      <c r="H56" s="201" t="str">
        <f t="shared" si="0"/>
        <v/>
      </c>
      <c r="N56" s="164" t="str">
        <f>IFERROR(COUNTIF($C$18:C56,C56)&amp;CHOOSE(MIN(4,COUNTIF($C$18:C56,C56)),"st","nd","rd","th"),"")</f>
        <v/>
      </c>
    </row>
    <row r="57" spans="8:14" x14ac:dyDescent="0.25">
      <c r="H57" s="201" t="str">
        <f t="shared" si="0"/>
        <v/>
      </c>
      <c r="N57" s="164" t="str">
        <f>IFERROR(COUNTIF($C$18:C57,C57)&amp;CHOOSE(MIN(4,COUNTIF($C$18:C57,C57)),"st","nd","rd","th"),"")</f>
        <v/>
      </c>
    </row>
    <row r="58" spans="8:14" x14ac:dyDescent="0.25">
      <c r="H58" s="201" t="str">
        <f t="shared" si="0"/>
        <v/>
      </c>
      <c r="N58" s="164" t="str">
        <f>IFERROR(COUNTIF($C$18:C58,C58)&amp;CHOOSE(MIN(4,COUNTIF($C$18:C58,C58)),"st","nd","rd","th"),"")</f>
        <v/>
      </c>
    </row>
    <row r="59" spans="8:14" x14ac:dyDescent="0.25">
      <c r="H59" s="201" t="str">
        <f t="shared" si="0"/>
        <v/>
      </c>
      <c r="N59" s="164" t="str">
        <f>IFERROR(COUNTIF($C$18:C59,C59)&amp;CHOOSE(MIN(4,COUNTIF($C$18:C59,C59)),"st","nd","rd","th"),"")</f>
        <v/>
      </c>
    </row>
    <row r="60" spans="8:14" x14ac:dyDescent="0.25">
      <c r="H60" s="201" t="str">
        <f t="shared" si="0"/>
        <v/>
      </c>
      <c r="N60" s="164" t="str">
        <f>IFERROR(COUNTIF($C$18:C60,C60)&amp;CHOOSE(MIN(4,COUNTIF($C$18:C60,C60)),"st","nd","rd","th"),"")</f>
        <v/>
      </c>
    </row>
    <row r="61" spans="8:14" x14ac:dyDescent="0.25">
      <c r="H61" s="201" t="str">
        <f t="shared" si="0"/>
        <v/>
      </c>
      <c r="N61" s="164" t="str">
        <f>IFERROR(COUNTIF($C$18:C61,C61)&amp;CHOOSE(MIN(4,COUNTIF($C$18:C61,C61)),"st","nd","rd","th"),"")</f>
        <v/>
      </c>
    </row>
    <row r="62" spans="8:14" x14ac:dyDescent="0.25">
      <c r="H62" s="201" t="str">
        <f t="shared" si="0"/>
        <v/>
      </c>
      <c r="N62" s="164" t="str">
        <f>IFERROR(COUNTIF($C$18:C62,C62)&amp;CHOOSE(MIN(4,COUNTIF($C$18:C62,C62)),"st","nd","rd","th"),"")</f>
        <v/>
      </c>
    </row>
    <row r="63" spans="8:14" x14ac:dyDescent="0.25">
      <c r="H63" s="201" t="str">
        <f t="shared" si="0"/>
        <v/>
      </c>
      <c r="N63" s="164" t="str">
        <f>IFERROR(COUNTIF($C$18:C63,C63)&amp;CHOOSE(MIN(4,COUNTIF($C$18:C63,C63)),"st","nd","rd","th"),"")</f>
        <v/>
      </c>
    </row>
    <row r="64" spans="8:14" x14ac:dyDescent="0.25">
      <c r="H64" s="201" t="str">
        <f t="shared" si="0"/>
        <v/>
      </c>
      <c r="N64" s="164" t="str">
        <f>IFERROR(COUNTIF($C$18:C64,C64)&amp;CHOOSE(MIN(4,COUNTIF($C$18:C64,C64)),"st","nd","rd","th"),"")</f>
        <v/>
      </c>
    </row>
    <row r="65" spans="8:14" x14ac:dyDescent="0.25">
      <c r="H65" s="201" t="str">
        <f t="shared" si="0"/>
        <v/>
      </c>
      <c r="N65" s="164" t="str">
        <f>IFERROR(COUNTIF($C$18:C65,C65)&amp;CHOOSE(MIN(4,COUNTIF($C$18:C65,C65)),"st","nd","rd","th"),"")</f>
        <v/>
      </c>
    </row>
    <row r="66" spans="8:14" x14ac:dyDescent="0.25">
      <c r="H66" s="201" t="str">
        <f t="shared" si="0"/>
        <v/>
      </c>
      <c r="N66" s="164" t="str">
        <f>IFERROR(COUNTIF($C$18:C66,C66)&amp;CHOOSE(MIN(4,COUNTIF($C$18:C66,C66)),"st","nd","rd","th"),"")</f>
        <v/>
      </c>
    </row>
    <row r="67" spans="8:14" x14ac:dyDescent="0.25">
      <c r="H67" s="201" t="str">
        <f t="shared" si="0"/>
        <v/>
      </c>
      <c r="N67" s="164" t="str">
        <f>IFERROR(COUNTIF($C$18:C67,C67)&amp;CHOOSE(MIN(4,COUNTIF($C$18:C67,C67)),"st","nd","rd","th"),"")</f>
        <v/>
      </c>
    </row>
    <row r="68" spans="8:14" x14ac:dyDescent="0.25">
      <c r="H68" s="201" t="str">
        <f t="shared" si="0"/>
        <v/>
      </c>
      <c r="N68" s="164" t="str">
        <f>IFERROR(COUNTIF($C$18:C68,C68)&amp;CHOOSE(MIN(4,COUNTIF($C$18:C68,C68)),"st","nd","rd","th"),"")</f>
        <v/>
      </c>
    </row>
    <row r="69" spans="8:14" x14ac:dyDescent="0.25">
      <c r="H69" s="201" t="str">
        <f t="shared" si="0"/>
        <v/>
      </c>
      <c r="N69" s="164" t="str">
        <f>IFERROR(COUNTIF($C$18:C69,C69)&amp;CHOOSE(MIN(4,COUNTIF($C$18:C69,C69)),"st","nd","rd","th"),"")</f>
        <v/>
      </c>
    </row>
    <row r="70" spans="8:14" x14ac:dyDescent="0.25">
      <c r="H70" s="201" t="str">
        <f t="shared" si="0"/>
        <v/>
      </c>
      <c r="N70" s="164" t="str">
        <f>IFERROR(COUNTIF($C$18:C70,C70)&amp;CHOOSE(MIN(4,COUNTIF($C$18:C70,C70)),"st","nd","rd","th"),"")</f>
        <v/>
      </c>
    </row>
    <row r="71" spans="8:14" x14ac:dyDescent="0.25">
      <c r="H71" s="201" t="str">
        <f t="shared" si="0"/>
        <v/>
      </c>
      <c r="N71" s="164" t="str">
        <f>IFERROR(COUNTIF($C$18:C71,C71)&amp;CHOOSE(MIN(4,COUNTIF($C$18:C71,C71)),"st","nd","rd","th"),"")</f>
        <v/>
      </c>
    </row>
    <row r="72" spans="8:14" x14ac:dyDescent="0.25">
      <c r="H72" s="201" t="str">
        <f t="shared" si="0"/>
        <v/>
      </c>
      <c r="N72" s="164" t="str">
        <f>IFERROR(COUNTIF($C$18:C72,C72)&amp;CHOOSE(MIN(4,COUNTIF($C$18:C72,C72)),"st","nd","rd","th"),"")</f>
        <v/>
      </c>
    </row>
    <row r="73" spans="8:14" x14ac:dyDescent="0.25">
      <c r="H73" s="201" t="str">
        <f t="shared" si="0"/>
        <v/>
      </c>
      <c r="N73" s="164" t="str">
        <f>IFERROR(COUNTIF($C$18:C73,C73)&amp;CHOOSE(MIN(4,COUNTIF($C$18:C73,C73)),"st","nd","rd","th"),"")</f>
        <v/>
      </c>
    </row>
    <row r="74" spans="8:14" x14ac:dyDescent="0.25">
      <c r="H74" s="201" t="str">
        <f t="shared" si="0"/>
        <v/>
      </c>
      <c r="N74" s="164" t="str">
        <f>IFERROR(COUNTIF($C$18:C74,C74)&amp;CHOOSE(MIN(4,COUNTIF($C$18:C74,C74)),"st","nd","rd","th"),"")</f>
        <v/>
      </c>
    </row>
    <row r="75" spans="8:14" x14ac:dyDescent="0.25">
      <c r="H75" s="201" t="str">
        <f t="shared" si="0"/>
        <v/>
      </c>
      <c r="N75" s="164" t="str">
        <f>IFERROR(COUNTIF($C$18:C75,C75)&amp;CHOOSE(MIN(4,COUNTIF($C$18:C75,C75)),"st","nd","rd","th"),"")</f>
        <v/>
      </c>
    </row>
    <row r="76" spans="8:14" x14ac:dyDescent="0.25">
      <c r="H76" s="201" t="str">
        <f t="shared" si="0"/>
        <v/>
      </c>
      <c r="N76" s="164" t="str">
        <f>IFERROR(COUNTIF($C$18:C76,C76)&amp;CHOOSE(MIN(4,COUNTIF($C$18:C76,C76)),"st","nd","rd","th"),"")</f>
        <v/>
      </c>
    </row>
    <row r="77" spans="8:14" x14ac:dyDescent="0.25">
      <c r="H77" s="201" t="str">
        <f t="shared" si="0"/>
        <v/>
      </c>
      <c r="N77" s="164" t="str">
        <f>IFERROR(COUNTIF($C$18:C77,C77)&amp;CHOOSE(MIN(4,COUNTIF($C$18:C77,C77)),"st","nd","rd","th"),"")</f>
        <v/>
      </c>
    </row>
    <row r="78" spans="8:14" x14ac:dyDescent="0.25">
      <c r="H78" s="201" t="str">
        <f t="shared" si="0"/>
        <v/>
      </c>
      <c r="N78" s="164" t="str">
        <f>IFERROR(COUNTIF($C$18:C78,C78)&amp;CHOOSE(MIN(4,COUNTIF($C$18:C78,C78)),"st","nd","rd","th"),"")</f>
        <v/>
      </c>
    </row>
    <row r="79" spans="8:14" x14ac:dyDescent="0.25">
      <c r="H79" s="201" t="str">
        <f t="shared" si="0"/>
        <v/>
      </c>
      <c r="N79" s="164" t="str">
        <f>IFERROR(COUNTIF($C$18:C79,C79)&amp;CHOOSE(MIN(4,COUNTIF($C$18:C79,C79)),"st","nd","rd","th"),"")</f>
        <v/>
      </c>
    </row>
    <row r="80" spans="8:14" x14ac:dyDescent="0.25">
      <c r="H80" s="201" t="str">
        <f t="shared" si="0"/>
        <v/>
      </c>
      <c r="N80" s="164" t="str">
        <f>IFERROR(COUNTIF($C$18:C80,C80)&amp;CHOOSE(MIN(4,COUNTIF($C$18:C80,C80)),"st","nd","rd","th"),"")</f>
        <v/>
      </c>
    </row>
    <row r="81" spans="8:14" x14ac:dyDescent="0.25">
      <c r="H81" s="201" t="str">
        <f t="shared" si="0"/>
        <v/>
      </c>
      <c r="N81" s="164" t="str">
        <f>IFERROR(COUNTIF($C$18:C81,C81)&amp;CHOOSE(MIN(4,COUNTIF($C$18:C81,C81)),"st","nd","rd","th"),"")</f>
        <v/>
      </c>
    </row>
    <row r="82" spans="8:14" x14ac:dyDescent="0.25">
      <c r="H82" s="201" t="str">
        <f t="shared" ref="H82:H145" si="1">IF(OR(ISBLANK(G82), ISBLANK(F82)), "", IF(G82=F82, 1, SUM(_xlfn.DAYS(G82, F82), 1)))</f>
        <v/>
      </c>
      <c r="N82" s="164" t="str">
        <f>IFERROR(COUNTIF($C$18:C82,C82)&amp;CHOOSE(MIN(4,COUNTIF($C$18:C82,C82)),"st","nd","rd","th"),"")</f>
        <v/>
      </c>
    </row>
    <row r="83" spans="8:14" x14ac:dyDescent="0.25">
      <c r="H83" s="201" t="str">
        <f t="shared" si="1"/>
        <v/>
      </c>
      <c r="N83" s="164" t="str">
        <f>IFERROR(COUNTIF($C$18:C83,C83)&amp;CHOOSE(MIN(4,COUNTIF($C$18:C83,C83)),"st","nd","rd","th"),"")</f>
        <v/>
      </c>
    </row>
    <row r="84" spans="8:14" x14ac:dyDescent="0.25">
      <c r="H84" s="201" t="str">
        <f t="shared" si="1"/>
        <v/>
      </c>
      <c r="N84" s="164" t="str">
        <f>IFERROR(COUNTIF($C$18:C84,C84)&amp;CHOOSE(MIN(4,COUNTIF($C$18:C84,C84)),"st","nd","rd","th"),"")</f>
        <v/>
      </c>
    </row>
    <row r="85" spans="8:14" x14ac:dyDescent="0.25">
      <c r="H85" s="201" t="str">
        <f t="shared" si="1"/>
        <v/>
      </c>
      <c r="N85" s="164" t="str">
        <f>IFERROR(COUNTIF($C$18:C85,C85)&amp;CHOOSE(MIN(4,COUNTIF($C$18:C85,C85)),"st","nd","rd","th"),"")</f>
        <v/>
      </c>
    </row>
    <row r="86" spans="8:14" x14ac:dyDescent="0.25">
      <c r="H86" s="201" t="str">
        <f t="shared" si="1"/>
        <v/>
      </c>
      <c r="N86" s="164" t="str">
        <f>IFERROR(COUNTIF($C$18:C86,C86)&amp;CHOOSE(MIN(4,COUNTIF($C$18:C86,C86)),"st","nd","rd","th"),"")</f>
        <v/>
      </c>
    </row>
    <row r="87" spans="8:14" x14ac:dyDescent="0.25">
      <c r="H87" s="201" t="str">
        <f t="shared" si="1"/>
        <v/>
      </c>
      <c r="N87" s="164" t="str">
        <f>IFERROR(COUNTIF($C$18:C87,C87)&amp;CHOOSE(MIN(4,COUNTIF($C$18:C87,C87)),"st","nd","rd","th"),"")</f>
        <v/>
      </c>
    </row>
    <row r="88" spans="8:14" x14ac:dyDescent="0.25">
      <c r="H88" s="201" t="str">
        <f t="shared" si="1"/>
        <v/>
      </c>
      <c r="N88" s="164" t="str">
        <f>IFERROR(COUNTIF($C$18:C88,C88)&amp;CHOOSE(MIN(4,COUNTIF($C$18:C88,C88)),"st","nd","rd","th"),"")</f>
        <v/>
      </c>
    </row>
    <row r="89" spans="8:14" x14ac:dyDescent="0.25">
      <c r="H89" s="201" t="str">
        <f t="shared" si="1"/>
        <v/>
      </c>
      <c r="N89" s="164" t="str">
        <f>IFERROR(COUNTIF($C$18:C89,C89)&amp;CHOOSE(MIN(4,COUNTIF($C$18:C89,C89)),"st","nd","rd","th"),"")</f>
        <v/>
      </c>
    </row>
    <row r="90" spans="8:14" x14ac:dyDescent="0.25">
      <c r="H90" s="201" t="str">
        <f t="shared" si="1"/>
        <v/>
      </c>
      <c r="N90" s="164" t="str">
        <f>IFERROR(COUNTIF($C$18:C90,C90)&amp;CHOOSE(MIN(4,COUNTIF($C$18:C90,C90)),"st","nd","rd","th"),"")</f>
        <v/>
      </c>
    </row>
    <row r="91" spans="8:14" x14ac:dyDescent="0.25">
      <c r="H91" s="201" t="str">
        <f t="shared" si="1"/>
        <v/>
      </c>
      <c r="N91" s="164" t="str">
        <f>IFERROR(COUNTIF($C$18:C91,C91)&amp;CHOOSE(MIN(4,COUNTIF($C$18:C91,C91)),"st","nd","rd","th"),"")</f>
        <v/>
      </c>
    </row>
    <row r="92" spans="8:14" x14ac:dyDescent="0.25">
      <c r="H92" s="201" t="str">
        <f t="shared" si="1"/>
        <v/>
      </c>
      <c r="N92" s="164" t="str">
        <f>IFERROR(COUNTIF($C$18:C92,C92)&amp;CHOOSE(MIN(4,COUNTIF($C$18:C92,C92)),"st","nd","rd","th"),"")</f>
        <v/>
      </c>
    </row>
    <row r="93" spans="8:14" x14ac:dyDescent="0.25">
      <c r="H93" s="201" t="str">
        <f t="shared" si="1"/>
        <v/>
      </c>
      <c r="N93" s="164" t="str">
        <f>IFERROR(COUNTIF($C$18:C93,C93)&amp;CHOOSE(MIN(4,COUNTIF($C$18:C93,C93)),"st","nd","rd","th"),"")</f>
        <v/>
      </c>
    </row>
    <row r="94" spans="8:14" x14ac:dyDescent="0.25">
      <c r="H94" s="201" t="str">
        <f t="shared" si="1"/>
        <v/>
      </c>
      <c r="N94" s="164" t="str">
        <f>IFERROR(COUNTIF($C$18:C94,C94)&amp;CHOOSE(MIN(4,COUNTIF($C$18:C94,C94)),"st","nd","rd","th"),"")</f>
        <v/>
      </c>
    </row>
    <row r="95" spans="8:14" x14ac:dyDescent="0.25">
      <c r="H95" s="201" t="str">
        <f t="shared" si="1"/>
        <v/>
      </c>
      <c r="N95" s="164" t="str">
        <f>IFERROR(COUNTIF($C$18:C95,C95)&amp;CHOOSE(MIN(4,COUNTIF($C$18:C95,C95)),"st","nd","rd","th"),"")</f>
        <v/>
      </c>
    </row>
    <row r="96" spans="8:14" x14ac:dyDescent="0.25">
      <c r="H96" s="201" t="str">
        <f t="shared" si="1"/>
        <v/>
      </c>
      <c r="N96" s="164" t="str">
        <f>IFERROR(COUNTIF($C$18:C96,C96)&amp;CHOOSE(MIN(4,COUNTIF($C$18:C96,C96)),"st","nd","rd","th"),"")</f>
        <v/>
      </c>
    </row>
    <row r="97" spans="8:14" x14ac:dyDescent="0.25">
      <c r="H97" s="201" t="str">
        <f t="shared" si="1"/>
        <v/>
      </c>
      <c r="N97" s="164" t="str">
        <f>IFERROR(COUNTIF($C$18:C97,C97)&amp;CHOOSE(MIN(4,COUNTIF($C$18:C97,C97)),"st","nd","rd","th"),"")</f>
        <v/>
      </c>
    </row>
    <row r="98" spans="8:14" x14ac:dyDescent="0.25">
      <c r="H98" s="201" t="str">
        <f t="shared" si="1"/>
        <v/>
      </c>
      <c r="N98" s="164" t="str">
        <f>IFERROR(COUNTIF($C$18:C98,C98)&amp;CHOOSE(MIN(4,COUNTIF($C$18:C98,C98)),"st","nd","rd","th"),"")</f>
        <v/>
      </c>
    </row>
    <row r="99" spans="8:14" x14ac:dyDescent="0.25">
      <c r="H99" s="201" t="str">
        <f t="shared" si="1"/>
        <v/>
      </c>
      <c r="N99" s="164" t="str">
        <f>IFERROR(COUNTIF($C$18:C99,C99)&amp;CHOOSE(MIN(4,COUNTIF($C$18:C99,C99)),"st","nd","rd","th"),"")</f>
        <v/>
      </c>
    </row>
    <row r="100" spans="8:14" x14ac:dyDescent="0.25">
      <c r="H100" s="201" t="str">
        <f t="shared" si="1"/>
        <v/>
      </c>
      <c r="N100" s="164" t="str">
        <f>IFERROR(COUNTIF($C$18:C100,C100)&amp;CHOOSE(MIN(4,COUNTIF($C$18:C100,C100)),"st","nd","rd","th"),"")</f>
        <v/>
      </c>
    </row>
    <row r="101" spans="8:14" x14ac:dyDescent="0.25">
      <c r="H101" s="201" t="str">
        <f t="shared" si="1"/>
        <v/>
      </c>
      <c r="N101" s="164" t="str">
        <f>IFERROR(COUNTIF($C$18:C101,C101)&amp;CHOOSE(MIN(4,COUNTIF($C$18:C101,C101)),"st","nd","rd","th"),"")</f>
        <v/>
      </c>
    </row>
    <row r="102" spans="8:14" x14ac:dyDescent="0.25">
      <c r="H102" s="201" t="str">
        <f t="shared" si="1"/>
        <v/>
      </c>
      <c r="N102" s="164" t="str">
        <f>IFERROR(COUNTIF($C$18:C102,C102)&amp;CHOOSE(MIN(4,COUNTIF($C$18:C102,C102)),"st","nd","rd","th"),"")</f>
        <v/>
      </c>
    </row>
    <row r="103" spans="8:14" x14ac:dyDescent="0.25">
      <c r="H103" s="201" t="str">
        <f t="shared" si="1"/>
        <v/>
      </c>
      <c r="N103" s="164" t="str">
        <f>IFERROR(COUNTIF($C$18:C103,C103)&amp;CHOOSE(MIN(4,COUNTIF($C$18:C103,C103)),"st","nd","rd","th"),"")</f>
        <v/>
      </c>
    </row>
    <row r="104" spans="8:14" x14ac:dyDescent="0.25">
      <c r="H104" s="201" t="str">
        <f t="shared" si="1"/>
        <v/>
      </c>
      <c r="N104" s="164" t="str">
        <f>IFERROR(COUNTIF($C$18:C104,C104)&amp;CHOOSE(MIN(4,COUNTIF($C$18:C104,C104)),"st","nd","rd","th"),"")</f>
        <v/>
      </c>
    </row>
    <row r="105" spans="8:14" x14ac:dyDescent="0.25">
      <c r="H105" s="201" t="str">
        <f t="shared" si="1"/>
        <v/>
      </c>
      <c r="N105" s="164" t="str">
        <f>IFERROR(COUNTIF($C$18:C105,C105)&amp;CHOOSE(MIN(4,COUNTIF($C$18:C105,C105)),"st","nd","rd","th"),"")</f>
        <v/>
      </c>
    </row>
    <row r="106" spans="8:14" x14ac:dyDescent="0.25">
      <c r="H106" s="201" t="str">
        <f t="shared" si="1"/>
        <v/>
      </c>
      <c r="N106" s="164" t="str">
        <f>IFERROR(COUNTIF($C$18:C106,C106)&amp;CHOOSE(MIN(4,COUNTIF($C$18:C106,C106)),"st","nd","rd","th"),"")</f>
        <v/>
      </c>
    </row>
    <row r="107" spans="8:14" x14ac:dyDescent="0.25">
      <c r="H107" s="201" t="str">
        <f t="shared" si="1"/>
        <v/>
      </c>
      <c r="N107" s="164" t="str">
        <f>IFERROR(COUNTIF($C$18:C107,C107)&amp;CHOOSE(MIN(4,COUNTIF($C$18:C107,C107)),"st","nd","rd","th"),"")</f>
        <v/>
      </c>
    </row>
    <row r="108" spans="8:14" x14ac:dyDescent="0.25">
      <c r="H108" s="201" t="str">
        <f t="shared" si="1"/>
        <v/>
      </c>
      <c r="N108" s="164" t="str">
        <f>IFERROR(COUNTIF($C$18:C108,C108)&amp;CHOOSE(MIN(4,COUNTIF($C$18:C108,C108)),"st","nd","rd","th"),"")</f>
        <v/>
      </c>
    </row>
    <row r="109" spans="8:14" x14ac:dyDescent="0.25">
      <c r="H109" s="201" t="str">
        <f t="shared" si="1"/>
        <v/>
      </c>
      <c r="N109" s="164" t="str">
        <f>IFERROR(COUNTIF($C$18:C109,C109)&amp;CHOOSE(MIN(4,COUNTIF($C$18:C109,C109)),"st","nd","rd","th"),"")</f>
        <v/>
      </c>
    </row>
    <row r="110" spans="8:14" x14ac:dyDescent="0.25">
      <c r="H110" s="201" t="str">
        <f t="shared" si="1"/>
        <v/>
      </c>
      <c r="N110" s="164" t="str">
        <f>IFERROR(COUNTIF($C$18:C110,C110)&amp;CHOOSE(MIN(4,COUNTIF($C$18:C110,C110)),"st","nd","rd","th"),"")</f>
        <v/>
      </c>
    </row>
    <row r="111" spans="8:14" x14ac:dyDescent="0.25">
      <c r="H111" s="201" t="str">
        <f t="shared" si="1"/>
        <v/>
      </c>
      <c r="N111" s="164" t="str">
        <f>IFERROR(COUNTIF($C$18:C111,C111)&amp;CHOOSE(MIN(4,COUNTIF($C$18:C111,C111)),"st","nd","rd","th"),"")</f>
        <v/>
      </c>
    </row>
    <row r="112" spans="8:14" x14ac:dyDescent="0.25">
      <c r="H112" s="201" t="str">
        <f t="shared" si="1"/>
        <v/>
      </c>
      <c r="N112" s="164" t="str">
        <f>IFERROR(COUNTIF($C$18:C112,C112)&amp;CHOOSE(MIN(4,COUNTIF($C$18:C112,C112)),"st","nd","rd","th"),"")</f>
        <v/>
      </c>
    </row>
    <row r="113" spans="8:14" x14ac:dyDescent="0.25">
      <c r="H113" s="201" t="str">
        <f t="shared" si="1"/>
        <v/>
      </c>
      <c r="N113" s="164" t="str">
        <f>IFERROR(COUNTIF($C$18:C113,C113)&amp;CHOOSE(MIN(4,COUNTIF($C$18:C113,C113)),"st","nd","rd","th"),"")</f>
        <v/>
      </c>
    </row>
    <row r="114" spans="8:14" x14ac:dyDescent="0.25">
      <c r="H114" s="201" t="str">
        <f t="shared" si="1"/>
        <v/>
      </c>
      <c r="N114" s="164" t="str">
        <f>IFERROR(COUNTIF($C$18:C114,C114)&amp;CHOOSE(MIN(4,COUNTIF($C$18:C114,C114)),"st","nd","rd","th"),"")</f>
        <v/>
      </c>
    </row>
    <row r="115" spans="8:14" x14ac:dyDescent="0.25">
      <c r="H115" s="201" t="str">
        <f t="shared" si="1"/>
        <v/>
      </c>
      <c r="N115" s="164" t="str">
        <f>IFERROR(COUNTIF($C$18:C115,C115)&amp;CHOOSE(MIN(4,COUNTIF($C$18:C115,C115)),"st","nd","rd","th"),"")</f>
        <v/>
      </c>
    </row>
    <row r="116" spans="8:14" x14ac:dyDescent="0.25">
      <c r="H116" s="201" t="str">
        <f t="shared" si="1"/>
        <v/>
      </c>
      <c r="N116" s="164" t="str">
        <f>IFERROR(COUNTIF($C$18:C116,C116)&amp;CHOOSE(MIN(4,COUNTIF($C$18:C116,C116)),"st","nd","rd","th"),"")</f>
        <v/>
      </c>
    </row>
    <row r="117" spans="8:14" x14ac:dyDescent="0.25">
      <c r="H117" s="201" t="str">
        <f t="shared" si="1"/>
        <v/>
      </c>
      <c r="N117" s="164" t="str">
        <f>IFERROR(COUNTIF($C$18:C117,C117)&amp;CHOOSE(MIN(4,COUNTIF($C$18:C117,C117)),"st","nd","rd","th"),"")</f>
        <v/>
      </c>
    </row>
    <row r="118" spans="8:14" x14ac:dyDescent="0.25">
      <c r="H118" s="201" t="str">
        <f t="shared" si="1"/>
        <v/>
      </c>
      <c r="N118" s="164" t="str">
        <f>IFERROR(COUNTIF($C$18:C118,C118)&amp;CHOOSE(MIN(4,COUNTIF($C$18:C118,C118)),"st","nd","rd","th"),"")</f>
        <v/>
      </c>
    </row>
    <row r="119" spans="8:14" x14ac:dyDescent="0.25">
      <c r="H119" s="201" t="str">
        <f t="shared" si="1"/>
        <v/>
      </c>
      <c r="N119" s="164" t="str">
        <f>IFERROR(COUNTIF($C$18:C119,C119)&amp;CHOOSE(MIN(4,COUNTIF($C$18:C119,C119)),"st","nd","rd","th"),"")</f>
        <v/>
      </c>
    </row>
    <row r="120" spans="8:14" x14ac:dyDescent="0.25">
      <c r="H120" s="201" t="str">
        <f t="shared" si="1"/>
        <v/>
      </c>
      <c r="N120" s="164" t="str">
        <f>IFERROR(COUNTIF($C$18:C120,C120)&amp;CHOOSE(MIN(4,COUNTIF($C$18:C120,C120)),"st","nd","rd","th"),"")</f>
        <v/>
      </c>
    </row>
    <row r="121" spans="8:14" x14ac:dyDescent="0.25">
      <c r="H121" s="201" t="str">
        <f t="shared" si="1"/>
        <v/>
      </c>
      <c r="N121" s="164" t="str">
        <f>IFERROR(COUNTIF($C$18:C121,C121)&amp;CHOOSE(MIN(4,COUNTIF($C$18:C121,C121)),"st","nd","rd","th"),"")</f>
        <v/>
      </c>
    </row>
    <row r="122" spans="8:14" x14ac:dyDescent="0.25">
      <c r="H122" s="201" t="str">
        <f t="shared" si="1"/>
        <v/>
      </c>
      <c r="N122" s="164" t="str">
        <f>IFERROR(COUNTIF($C$18:C122,C122)&amp;CHOOSE(MIN(4,COUNTIF($C$18:C122,C122)),"st","nd","rd","th"),"")</f>
        <v/>
      </c>
    </row>
    <row r="123" spans="8:14" x14ac:dyDescent="0.25">
      <c r="H123" s="201" t="str">
        <f t="shared" si="1"/>
        <v/>
      </c>
      <c r="N123" s="164" t="str">
        <f>IFERROR(COUNTIF($C$18:C123,C123)&amp;CHOOSE(MIN(4,COUNTIF($C$18:C123,C123)),"st","nd","rd","th"),"")</f>
        <v/>
      </c>
    </row>
    <row r="124" spans="8:14" x14ac:dyDescent="0.25">
      <c r="H124" s="201" t="str">
        <f t="shared" si="1"/>
        <v/>
      </c>
      <c r="N124" s="164" t="str">
        <f>IFERROR(COUNTIF($C$18:C124,C124)&amp;CHOOSE(MIN(4,COUNTIF($C$18:C124,C124)),"st","nd","rd","th"),"")</f>
        <v/>
      </c>
    </row>
    <row r="125" spans="8:14" x14ac:dyDescent="0.25">
      <c r="H125" s="201" t="str">
        <f t="shared" si="1"/>
        <v/>
      </c>
      <c r="N125" s="164" t="str">
        <f>IFERROR(COUNTIF($C$18:C125,C125)&amp;CHOOSE(MIN(4,COUNTIF($C$18:C125,C125)),"st","nd","rd","th"),"")</f>
        <v/>
      </c>
    </row>
    <row r="126" spans="8:14" x14ac:dyDescent="0.25">
      <c r="H126" s="201" t="str">
        <f t="shared" si="1"/>
        <v/>
      </c>
      <c r="N126" s="164" t="str">
        <f>IFERROR(COUNTIF($C$18:C126,C126)&amp;CHOOSE(MIN(4,COUNTIF($C$18:C126,C126)),"st","nd","rd","th"),"")</f>
        <v/>
      </c>
    </row>
    <row r="127" spans="8:14" x14ac:dyDescent="0.25">
      <c r="H127" s="201" t="str">
        <f t="shared" si="1"/>
        <v/>
      </c>
      <c r="N127" s="164" t="str">
        <f>IFERROR(COUNTIF($C$18:C127,C127)&amp;CHOOSE(MIN(4,COUNTIF($C$18:C127,C127)),"st","nd","rd","th"),"")</f>
        <v/>
      </c>
    </row>
    <row r="128" spans="8:14" x14ac:dyDescent="0.25">
      <c r="H128" s="201" t="str">
        <f t="shared" si="1"/>
        <v/>
      </c>
      <c r="N128" s="164" t="str">
        <f>IFERROR(COUNTIF($C$18:C128,C128)&amp;CHOOSE(MIN(4,COUNTIF($C$18:C128,C128)),"st","nd","rd","th"),"")</f>
        <v/>
      </c>
    </row>
    <row r="129" spans="8:14" x14ac:dyDescent="0.25">
      <c r="H129" s="201" t="str">
        <f t="shared" si="1"/>
        <v/>
      </c>
      <c r="N129" s="164" t="str">
        <f>IFERROR(COUNTIF($C$18:C129,C129)&amp;CHOOSE(MIN(4,COUNTIF($C$18:C129,C129)),"st","nd","rd","th"),"")</f>
        <v/>
      </c>
    </row>
    <row r="130" spans="8:14" x14ac:dyDescent="0.25">
      <c r="H130" s="201" t="str">
        <f t="shared" si="1"/>
        <v/>
      </c>
      <c r="N130" s="164" t="str">
        <f>IFERROR(COUNTIF($C$18:C130,C130)&amp;CHOOSE(MIN(4,COUNTIF($C$18:C130,C130)),"st","nd","rd","th"),"")</f>
        <v/>
      </c>
    </row>
    <row r="131" spans="8:14" x14ac:dyDescent="0.25">
      <c r="H131" s="201" t="str">
        <f t="shared" si="1"/>
        <v/>
      </c>
      <c r="N131" s="164" t="str">
        <f>IFERROR(COUNTIF($C$18:C131,C131)&amp;CHOOSE(MIN(4,COUNTIF($C$18:C131,C131)),"st","nd","rd","th"),"")</f>
        <v/>
      </c>
    </row>
    <row r="132" spans="8:14" x14ac:dyDescent="0.25">
      <c r="H132" s="201" t="str">
        <f t="shared" si="1"/>
        <v/>
      </c>
      <c r="N132" s="164" t="str">
        <f>IFERROR(COUNTIF($C$18:C132,C132)&amp;CHOOSE(MIN(4,COUNTIF($C$18:C132,C132)),"st","nd","rd","th"),"")</f>
        <v/>
      </c>
    </row>
    <row r="133" spans="8:14" x14ac:dyDescent="0.25">
      <c r="H133" s="201" t="str">
        <f t="shared" si="1"/>
        <v/>
      </c>
      <c r="N133" s="164" t="str">
        <f>IFERROR(COUNTIF($C$18:C133,C133)&amp;CHOOSE(MIN(4,COUNTIF($C$18:C133,C133)),"st","nd","rd","th"),"")</f>
        <v/>
      </c>
    </row>
    <row r="134" spans="8:14" x14ac:dyDescent="0.25">
      <c r="H134" s="201" t="str">
        <f t="shared" si="1"/>
        <v/>
      </c>
      <c r="N134" s="164" t="str">
        <f>IFERROR(COUNTIF($C$18:C134,C134)&amp;CHOOSE(MIN(4,COUNTIF($C$18:C134,C134)),"st","nd","rd","th"),"")</f>
        <v/>
      </c>
    </row>
    <row r="135" spans="8:14" x14ac:dyDescent="0.25">
      <c r="H135" s="201" t="str">
        <f t="shared" si="1"/>
        <v/>
      </c>
      <c r="N135" s="164" t="str">
        <f>IFERROR(COUNTIF($C$18:C135,C135)&amp;CHOOSE(MIN(4,COUNTIF($C$18:C135,C135)),"st","nd","rd","th"),"")</f>
        <v/>
      </c>
    </row>
    <row r="136" spans="8:14" x14ac:dyDescent="0.25">
      <c r="H136" s="201" t="str">
        <f t="shared" si="1"/>
        <v/>
      </c>
      <c r="N136" s="164" t="str">
        <f>IFERROR(COUNTIF($C$18:C136,C136)&amp;CHOOSE(MIN(4,COUNTIF($C$18:C136,C136)),"st","nd","rd","th"),"")</f>
        <v/>
      </c>
    </row>
    <row r="137" spans="8:14" x14ac:dyDescent="0.25">
      <c r="H137" s="201" t="str">
        <f t="shared" si="1"/>
        <v/>
      </c>
      <c r="N137" s="164" t="str">
        <f>IFERROR(COUNTIF($C$18:C137,C137)&amp;CHOOSE(MIN(4,COUNTIF($C$18:C137,C137)),"st","nd","rd","th"),"")</f>
        <v/>
      </c>
    </row>
    <row r="138" spans="8:14" x14ac:dyDescent="0.25">
      <c r="H138" s="201" t="str">
        <f t="shared" si="1"/>
        <v/>
      </c>
      <c r="N138" s="164" t="str">
        <f>IFERROR(COUNTIF($C$18:C138,C138)&amp;CHOOSE(MIN(4,COUNTIF($C$18:C138,C138)),"st","nd","rd","th"),"")</f>
        <v/>
      </c>
    </row>
    <row r="139" spans="8:14" x14ac:dyDescent="0.25">
      <c r="H139" s="201" t="str">
        <f t="shared" si="1"/>
        <v/>
      </c>
      <c r="N139" s="164" t="str">
        <f>IFERROR(COUNTIF($C$18:C139,C139)&amp;CHOOSE(MIN(4,COUNTIF($C$18:C139,C139)),"st","nd","rd","th"),"")</f>
        <v/>
      </c>
    </row>
    <row r="140" spans="8:14" x14ac:dyDescent="0.25">
      <c r="H140" s="201" t="str">
        <f t="shared" si="1"/>
        <v/>
      </c>
      <c r="N140" s="164" t="str">
        <f>IFERROR(COUNTIF($C$18:C140,C140)&amp;CHOOSE(MIN(4,COUNTIF($C$18:C140,C140)),"st","nd","rd","th"),"")</f>
        <v/>
      </c>
    </row>
    <row r="141" spans="8:14" x14ac:dyDescent="0.25">
      <c r="H141" s="201" t="str">
        <f t="shared" si="1"/>
        <v/>
      </c>
      <c r="N141" s="164" t="str">
        <f>IFERROR(COUNTIF($C$18:C141,C141)&amp;CHOOSE(MIN(4,COUNTIF($C$18:C141,C141)),"st","nd","rd","th"),"")</f>
        <v/>
      </c>
    </row>
    <row r="142" spans="8:14" x14ac:dyDescent="0.25">
      <c r="H142" s="201" t="str">
        <f t="shared" si="1"/>
        <v/>
      </c>
      <c r="N142" s="164" t="str">
        <f>IFERROR(COUNTIF($C$18:C142,C142)&amp;CHOOSE(MIN(4,COUNTIF($C$18:C142,C142)),"st","nd","rd","th"),"")</f>
        <v/>
      </c>
    </row>
    <row r="143" spans="8:14" x14ac:dyDescent="0.25">
      <c r="H143" s="201" t="str">
        <f t="shared" si="1"/>
        <v/>
      </c>
      <c r="N143" s="164" t="str">
        <f>IFERROR(COUNTIF($C$18:C143,C143)&amp;CHOOSE(MIN(4,COUNTIF($C$18:C143,C143)),"st","nd","rd","th"),"")</f>
        <v/>
      </c>
    </row>
    <row r="144" spans="8:14" x14ac:dyDescent="0.25">
      <c r="H144" s="201" t="str">
        <f t="shared" si="1"/>
        <v/>
      </c>
      <c r="N144" s="164" t="str">
        <f>IFERROR(COUNTIF($C$18:C144,C144)&amp;CHOOSE(MIN(4,COUNTIF($C$18:C144,C144)),"st","nd","rd","th"),"")</f>
        <v/>
      </c>
    </row>
    <row r="145" spans="8:14" x14ac:dyDescent="0.25">
      <c r="H145" s="201" t="str">
        <f t="shared" si="1"/>
        <v/>
      </c>
      <c r="N145" s="164" t="str">
        <f>IFERROR(COUNTIF($C$18:C145,C145)&amp;CHOOSE(MIN(4,COUNTIF($C$18:C145,C145)),"st","nd","rd","th"),"")</f>
        <v/>
      </c>
    </row>
    <row r="146" spans="8:14" x14ac:dyDescent="0.25">
      <c r="H146" s="201" t="str">
        <f t="shared" ref="H146:H209" si="2">IF(OR(ISBLANK(G146), ISBLANK(F146)), "", IF(G146=F146, 1, SUM(_xlfn.DAYS(G146, F146), 1)))</f>
        <v/>
      </c>
      <c r="N146" s="164" t="str">
        <f>IFERROR(COUNTIF($C$18:C146,C146)&amp;CHOOSE(MIN(4,COUNTIF($C$18:C146,C146)),"st","nd","rd","th"),"")</f>
        <v/>
      </c>
    </row>
    <row r="147" spans="8:14" x14ac:dyDescent="0.25">
      <c r="H147" s="201" t="str">
        <f t="shared" si="2"/>
        <v/>
      </c>
      <c r="N147" s="164" t="str">
        <f>IFERROR(COUNTIF($C$18:C147,C147)&amp;CHOOSE(MIN(4,COUNTIF($C$18:C147,C147)),"st","nd","rd","th"),"")</f>
        <v/>
      </c>
    </row>
    <row r="148" spans="8:14" x14ac:dyDescent="0.25">
      <c r="H148" s="201" t="str">
        <f t="shared" si="2"/>
        <v/>
      </c>
      <c r="N148" s="164" t="str">
        <f>IFERROR(COUNTIF($C$18:C148,C148)&amp;CHOOSE(MIN(4,COUNTIF($C$18:C148,C148)),"st","nd","rd","th"),"")</f>
        <v/>
      </c>
    </row>
    <row r="149" spans="8:14" x14ac:dyDescent="0.25">
      <c r="H149" s="201" t="str">
        <f t="shared" si="2"/>
        <v/>
      </c>
      <c r="N149" s="164" t="str">
        <f>IFERROR(COUNTIF($C$18:C149,C149)&amp;CHOOSE(MIN(4,COUNTIF($C$18:C149,C149)),"st","nd","rd","th"),"")</f>
        <v/>
      </c>
    </row>
    <row r="150" spans="8:14" x14ac:dyDescent="0.25">
      <c r="H150" s="201" t="str">
        <f t="shared" si="2"/>
        <v/>
      </c>
      <c r="N150" s="164" t="str">
        <f>IFERROR(COUNTIF($C$18:C150,C150)&amp;CHOOSE(MIN(4,COUNTIF($C$18:C150,C150)),"st","nd","rd","th"),"")</f>
        <v/>
      </c>
    </row>
    <row r="151" spans="8:14" x14ac:dyDescent="0.25">
      <c r="H151" s="201" t="str">
        <f t="shared" si="2"/>
        <v/>
      </c>
      <c r="N151" s="164" t="str">
        <f>IFERROR(COUNTIF($C$18:C151,C151)&amp;CHOOSE(MIN(4,COUNTIF($C$18:C151,C151)),"st","nd","rd","th"),"")</f>
        <v/>
      </c>
    </row>
    <row r="152" spans="8:14" x14ac:dyDescent="0.25">
      <c r="H152" s="201" t="str">
        <f t="shared" si="2"/>
        <v/>
      </c>
      <c r="N152" s="164" t="str">
        <f>IFERROR(COUNTIF($C$18:C152,C152)&amp;CHOOSE(MIN(4,COUNTIF($C$18:C152,C152)),"st","nd","rd","th"),"")</f>
        <v/>
      </c>
    </row>
    <row r="153" spans="8:14" x14ac:dyDescent="0.25">
      <c r="H153" s="201" t="str">
        <f t="shared" si="2"/>
        <v/>
      </c>
      <c r="N153" s="164" t="str">
        <f>IFERROR(COUNTIF($C$18:C153,C153)&amp;CHOOSE(MIN(4,COUNTIF($C$18:C153,C153)),"st","nd","rd","th"),"")</f>
        <v/>
      </c>
    </row>
    <row r="154" spans="8:14" x14ac:dyDescent="0.25">
      <c r="H154" s="201" t="str">
        <f t="shared" si="2"/>
        <v/>
      </c>
      <c r="N154" s="164" t="str">
        <f>IFERROR(COUNTIF($C$18:C154,C154)&amp;CHOOSE(MIN(4,COUNTIF($C$18:C154,C154)),"st","nd","rd","th"),"")</f>
        <v/>
      </c>
    </row>
    <row r="155" spans="8:14" x14ac:dyDescent="0.25">
      <c r="H155" s="201" t="str">
        <f t="shared" si="2"/>
        <v/>
      </c>
      <c r="N155" s="164" t="str">
        <f>IFERROR(COUNTIF($C$18:C155,C155)&amp;CHOOSE(MIN(4,COUNTIF($C$18:C155,C155)),"st","nd","rd","th"),"")</f>
        <v/>
      </c>
    </row>
    <row r="156" spans="8:14" x14ac:dyDescent="0.25">
      <c r="H156" s="201" t="str">
        <f t="shared" si="2"/>
        <v/>
      </c>
      <c r="N156" s="164" t="str">
        <f>IFERROR(COUNTIF($C$18:C156,C156)&amp;CHOOSE(MIN(4,COUNTIF($C$18:C156,C156)),"st","nd","rd","th"),"")</f>
        <v/>
      </c>
    </row>
    <row r="157" spans="8:14" x14ac:dyDescent="0.25">
      <c r="H157" s="201" t="str">
        <f t="shared" si="2"/>
        <v/>
      </c>
      <c r="N157" s="164" t="str">
        <f>IFERROR(COUNTIF($C$18:C157,C157)&amp;CHOOSE(MIN(4,COUNTIF($C$18:C157,C157)),"st","nd","rd","th"),"")</f>
        <v/>
      </c>
    </row>
    <row r="158" spans="8:14" x14ac:dyDescent="0.25">
      <c r="H158" s="201" t="str">
        <f t="shared" si="2"/>
        <v/>
      </c>
      <c r="N158" s="164" t="str">
        <f>IFERROR(COUNTIF($C$18:C158,C158)&amp;CHOOSE(MIN(4,COUNTIF($C$18:C158,C158)),"st","nd","rd","th"),"")</f>
        <v/>
      </c>
    </row>
    <row r="159" spans="8:14" x14ac:dyDescent="0.25">
      <c r="H159" s="201" t="str">
        <f t="shared" si="2"/>
        <v/>
      </c>
      <c r="N159" s="164" t="str">
        <f>IFERROR(COUNTIF($C$18:C159,C159)&amp;CHOOSE(MIN(4,COUNTIF($C$18:C159,C159)),"st","nd","rd","th"),"")</f>
        <v/>
      </c>
    </row>
    <row r="160" spans="8:14" x14ac:dyDescent="0.25">
      <c r="H160" s="201" t="str">
        <f t="shared" si="2"/>
        <v/>
      </c>
      <c r="N160" s="164" t="str">
        <f>IFERROR(COUNTIF($C$18:C160,C160)&amp;CHOOSE(MIN(4,COUNTIF($C$18:C160,C160)),"st","nd","rd","th"),"")</f>
        <v/>
      </c>
    </row>
    <row r="161" spans="8:14" x14ac:dyDescent="0.25">
      <c r="H161" s="201" t="str">
        <f t="shared" si="2"/>
        <v/>
      </c>
      <c r="N161" s="164" t="str">
        <f>IFERROR(COUNTIF($C$18:C161,C161)&amp;CHOOSE(MIN(4,COUNTIF($C$18:C161,C161)),"st","nd","rd","th"),"")</f>
        <v/>
      </c>
    </row>
    <row r="162" spans="8:14" x14ac:dyDescent="0.25">
      <c r="H162" s="201" t="str">
        <f t="shared" si="2"/>
        <v/>
      </c>
      <c r="N162" s="164" t="str">
        <f>IFERROR(COUNTIF($C$18:C162,C162)&amp;CHOOSE(MIN(4,COUNTIF($C$18:C162,C162)),"st","nd","rd","th"),"")</f>
        <v/>
      </c>
    </row>
    <row r="163" spans="8:14" x14ac:dyDescent="0.25">
      <c r="H163" s="201" t="str">
        <f t="shared" si="2"/>
        <v/>
      </c>
      <c r="N163" s="164" t="str">
        <f>IFERROR(COUNTIF($C$18:C163,C163)&amp;CHOOSE(MIN(4,COUNTIF($C$18:C163,C163)),"st","nd","rd","th"),"")</f>
        <v/>
      </c>
    </row>
    <row r="164" spans="8:14" x14ac:dyDescent="0.25">
      <c r="H164" s="201" t="str">
        <f t="shared" si="2"/>
        <v/>
      </c>
      <c r="N164" s="164" t="str">
        <f>IFERROR(COUNTIF($C$18:C164,C164)&amp;CHOOSE(MIN(4,COUNTIF($C$18:C164,C164)),"st","nd","rd","th"),"")</f>
        <v/>
      </c>
    </row>
    <row r="165" spans="8:14" x14ac:dyDescent="0.25">
      <c r="H165" s="201" t="str">
        <f t="shared" si="2"/>
        <v/>
      </c>
      <c r="N165" s="164" t="str">
        <f>IFERROR(COUNTIF($C$18:C165,C165)&amp;CHOOSE(MIN(4,COUNTIF($C$18:C165,C165)),"st","nd","rd","th"),"")</f>
        <v/>
      </c>
    </row>
    <row r="166" spans="8:14" x14ac:dyDescent="0.25">
      <c r="H166" s="201" t="str">
        <f t="shared" si="2"/>
        <v/>
      </c>
      <c r="N166" s="164" t="str">
        <f>IFERROR(COUNTIF($C$18:C166,C166)&amp;CHOOSE(MIN(4,COUNTIF($C$18:C166,C166)),"st","nd","rd","th"),"")</f>
        <v/>
      </c>
    </row>
    <row r="167" spans="8:14" x14ac:dyDescent="0.25">
      <c r="H167" s="201" t="str">
        <f t="shared" si="2"/>
        <v/>
      </c>
      <c r="N167" s="164" t="str">
        <f>IFERROR(COUNTIF($C$18:C167,C167)&amp;CHOOSE(MIN(4,COUNTIF($C$18:C167,C167)),"st","nd","rd","th"),"")</f>
        <v/>
      </c>
    </row>
    <row r="168" spans="8:14" x14ac:dyDescent="0.25">
      <c r="H168" s="201" t="str">
        <f t="shared" si="2"/>
        <v/>
      </c>
      <c r="N168" s="164" t="str">
        <f>IFERROR(COUNTIF($C$18:C168,C168)&amp;CHOOSE(MIN(4,COUNTIF($C$18:C168,C168)),"st","nd","rd","th"),"")</f>
        <v/>
      </c>
    </row>
    <row r="169" spans="8:14" x14ac:dyDescent="0.25">
      <c r="H169" s="201" t="str">
        <f t="shared" si="2"/>
        <v/>
      </c>
      <c r="N169" s="164" t="str">
        <f>IFERROR(COUNTIF($C$18:C169,C169)&amp;CHOOSE(MIN(4,COUNTIF($C$18:C169,C169)),"st","nd","rd","th"),"")</f>
        <v/>
      </c>
    </row>
    <row r="170" spans="8:14" x14ac:dyDescent="0.25">
      <c r="H170" s="201" t="str">
        <f t="shared" si="2"/>
        <v/>
      </c>
      <c r="N170" s="164" t="str">
        <f>IFERROR(COUNTIF($C$18:C170,C170)&amp;CHOOSE(MIN(4,COUNTIF($C$18:C170,C170)),"st","nd","rd","th"),"")</f>
        <v/>
      </c>
    </row>
    <row r="171" spans="8:14" x14ac:dyDescent="0.25">
      <c r="H171" s="201" t="str">
        <f t="shared" si="2"/>
        <v/>
      </c>
      <c r="N171" s="164" t="str">
        <f>IFERROR(COUNTIF($C$18:C171,C171)&amp;CHOOSE(MIN(4,COUNTIF($C$18:C171,C171)),"st","nd","rd","th"),"")</f>
        <v/>
      </c>
    </row>
    <row r="172" spans="8:14" x14ac:dyDescent="0.25">
      <c r="H172" s="201" t="str">
        <f t="shared" si="2"/>
        <v/>
      </c>
      <c r="N172" s="164" t="str">
        <f>IFERROR(COUNTIF($C$18:C172,C172)&amp;CHOOSE(MIN(4,COUNTIF($C$18:C172,C172)),"st","nd","rd","th"),"")</f>
        <v/>
      </c>
    </row>
    <row r="173" spans="8:14" x14ac:dyDescent="0.25">
      <c r="H173" s="201" t="str">
        <f t="shared" si="2"/>
        <v/>
      </c>
      <c r="N173" s="164" t="str">
        <f>IFERROR(COUNTIF($C$18:C173,C173)&amp;CHOOSE(MIN(4,COUNTIF($C$18:C173,C173)),"st","nd","rd","th"),"")</f>
        <v/>
      </c>
    </row>
    <row r="174" spans="8:14" x14ac:dyDescent="0.25">
      <c r="H174" s="201" t="str">
        <f t="shared" si="2"/>
        <v/>
      </c>
      <c r="N174" s="164" t="str">
        <f>IFERROR(COUNTIF($C$18:C174,C174)&amp;CHOOSE(MIN(4,COUNTIF($C$18:C174,C174)),"st","nd","rd","th"),"")</f>
        <v/>
      </c>
    </row>
    <row r="175" spans="8:14" x14ac:dyDescent="0.25">
      <c r="H175" s="201" t="str">
        <f t="shared" si="2"/>
        <v/>
      </c>
      <c r="N175" s="164" t="str">
        <f>IFERROR(COUNTIF($C$18:C175,C175)&amp;CHOOSE(MIN(4,COUNTIF($C$18:C175,C175)),"st","nd","rd","th"),"")</f>
        <v/>
      </c>
    </row>
    <row r="176" spans="8:14" x14ac:dyDescent="0.25">
      <c r="H176" s="201" t="str">
        <f t="shared" si="2"/>
        <v/>
      </c>
      <c r="N176" s="164" t="str">
        <f>IFERROR(COUNTIF($C$18:C176,C176)&amp;CHOOSE(MIN(4,COUNTIF($C$18:C176,C176)),"st","nd","rd","th"),"")</f>
        <v/>
      </c>
    </row>
    <row r="177" spans="8:14" x14ac:dyDescent="0.25">
      <c r="H177" s="201" t="str">
        <f t="shared" si="2"/>
        <v/>
      </c>
      <c r="N177" s="164" t="str">
        <f>IFERROR(COUNTIF($C$18:C177,C177)&amp;CHOOSE(MIN(4,COUNTIF($C$18:C177,C177)),"st","nd","rd","th"),"")</f>
        <v/>
      </c>
    </row>
    <row r="178" spans="8:14" x14ac:dyDescent="0.25">
      <c r="H178" s="201" t="str">
        <f t="shared" si="2"/>
        <v/>
      </c>
      <c r="N178" s="164" t="str">
        <f>IFERROR(COUNTIF($C$18:C178,C178)&amp;CHOOSE(MIN(4,COUNTIF($C$18:C178,C178)),"st","nd","rd","th"),"")</f>
        <v/>
      </c>
    </row>
    <row r="179" spans="8:14" x14ac:dyDescent="0.25">
      <c r="H179" s="201" t="str">
        <f t="shared" si="2"/>
        <v/>
      </c>
      <c r="N179" s="164" t="str">
        <f>IFERROR(COUNTIF($C$18:C179,C179)&amp;CHOOSE(MIN(4,COUNTIF($C$18:C179,C179)),"st","nd","rd","th"),"")</f>
        <v/>
      </c>
    </row>
    <row r="180" spans="8:14" x14ac:dyDescent="0.25">
      <c r="H180" s="201" t="str">
        <f t="shared" si="2"/>
        <v/>
      </c>
      <c r="N180" s="164" t="str">
        <f>IFERROR(COUNTIF($C$18:C180,C180)&amp;CHOOSE(MIN(4,COUNTIF($C$18:C180,C180)),"st","nd","rd","th"),"")</f>
        <v/>
      </c>
    </row>
    <row r="181" spans="8:14" x14ac:dyDescent="0.25">
      <c r="H181" s="201" t="str">
        <f t="shared" si="2"/>
        <v/>
      </c>
      <c r="N181" s="164" t="str">
        <f>IFERROR(COUNTIF($C$18:C181,C181)&amp;CHOOSE(MIN(4,COUNTIF($C$18:C181,C181)),"st","nd","rd","th"),"")</f>
        <v/>
      </c>
    </row>
    <row r="182" spans="8:14" x14ac:dyDescent="0.25">
      <c r="H182" s="201" t="str">
        <f t="shared" si="2"/>
        <v/>
      </c>
      <c r="N182" s="164" t="str">
        <f>IFERROR(COUNTIF($C$18:C182,C182)&amp;CHOOSE(MIN(4,COUNTIF($C$18:C182,C182)),"st","nd","rd","th"),"")</f>
        <v/>
      </c>
    </row>
    <row r="183" spans="8:14" x14ac:dyDescent="0.25">
      <c r="H183" s="201" t="str">
        <f t="shared" si="2"/>
        <v/>
      </c>
      <c r="N183" s="164" t="str">
        <f>IFERROR(COUNTIF($C$18:C183,C183)&amp;CHOOSE(MIN(4,COUNTIF($C$18:C183,C183)),"st","nd","rd","th"),"")</f>
        <v/>
      </c>
    </row>
    <row r="184" spans="8:14" x14ac:dyDescent="0.25">
      <c r="H184" s="201" t="str">
        <f t="shared" si="2"/>
        <v/>
      </c>
      <c r="N184" s="164" t="str">
        <f>IFERROR(COUNTIF($C$18:C184,C184)&amp;CHOOSE(MIN(4,COUNTIF($C$18:C184,C184)),"st","nd","rd","th"),"")</f>
        <v/>
      </c>
    </row>
    <row r="185" spans="8:14" x14ac:dyDescent="0.25">
      <c r="H185" s="201" t="str">
        <f t="shared" si="2"/>
        <v/>
      </c>
      <c r="N185" s="164" t="str">
        <f>IFERROR(COUNTIF($C$18:C185,C185)&amp;CHOOSE(MIN(4,COUNTIF($C$18:C185,C185)),"st","nd","rd","th"),"")</f>
        <v/>
      </c>
    </row>
    <row r="186" spans="8:14" x14ac:dyDescent="0.25">
      <c r="H186" s="201" t="str">
        <f t="shared" si="2"/>
        <v/>
      </c>
      <c r="N186" s="164" t="str">
        <f>IFERROR(COUNTIF($C$18:C186,C186)&amp;CHOOSE(MIN(4,COUNTIF($C$18:C186,C186)),"st","nd","rd","th"),"")</f>
        <v/>
      </c>
    </row>
    <row r="187" spans="8:14" x14ac:dyDescent="0.25">
      <c r="H187" s="201" t="str">
        <f t="shared" si="2"/>
        <v/>
      </c>
      <c r="N187" s="164" t="str">
        <f>IFERROR(COUNTIF($C$18:C187,C187)&amp;CHOOSE(MIN(4,COUNTIF($C$18:C187,C187)),"st","nd","rd","th"),"")</f>
        <v/>
      </c>
    </row>
    <row r="188" spans="8:14" x14ac:dyDescent="0.25">
      <c r="H188" s="201" t="str">
        <f t="shared" si="2"/>
        <v/>
      </c>
      <c r="N188" s="164" t="str">
        <f>IFERROR(COUNTIF($C$18:C188,C188)&amp;CHOOSE(MIN(4,COUNTIF($C$18:C188,C188)),"st","nd","rd","th"),"")</f>
        <v/>
      </c>
    </row>
    <row r="189" spans="8:14" x14ac:dyDescent="0.25">
      <c r="H189" s="201" t="str">
        <f t="shared" si="2"/>
        <v/>
      </c>
      <c r="N189" s="164" t="str">
        <f>IFERROR(COUNTIF($C$18:C189,C189)&amp;CHOOSE(MIN(4,COUNTIF($C$18:C189,C189)),"st","nd","rd","th"),"")</f>
        <v/>
      </c>
    </row>
    <row r="190" spans="8:14" x14ac:dyDescent="0.25">
      <c r="H190" s="201" t="str">
        <f t="shared" si="2"/>
        <v/>
      </c>
      <c r="N190" s="164" t="str">
        <f>IFERROR(COUNTIF($C$18:C190,C190)&amp;CHOOSE(MIN(4,COUNTIF($C$18:C190,C190)),"st","nd","rd","th"),"")</f>
        <v/>
      </c>
    </row>
    <row r="191" spans="8:14" x14ac:dyDescent="0.25">
      <c r="H191" s="201" t="str">
        <f t="shared" si="2"/>
        <v/>
      </c>
      <c r="N191" s="164" t="str">
        <f>IFERROR(COUNTIF($C$18:C191,C191)&amp;CHOOSE(MIN(4,COUNTIF($C$18:C191,C191)),"st","nd","rd","th"),"")</f>
        <v/>
      </c>
    </row>
    <row r="192" spans="8:14" x14ac:dyDescent="0.25">
      <c r="H192" s="201" t="str">
        <f t="shared" si="2"/>
        <v/>
      </c>
      <c r="N192" s="164" t="str">
        <f>IFERROR(COUNTIF($C$18:C192,C192)&amp;CHOOSE(MIN(4,COUNTIF($C$18:C192,C192)),"st","nd","rd","th"),"")</f>
        <v/>
      </c>
    </row>
    <row r="193" spans="8:14" x14ac:dyDescent="0.25">
      <c r="H193" s="201" t="str">
        <f t="shared" si="2"/>
        <v/>
      </c>
      <c r="N193" s="164" t="str">
        <f>IFERROR(COUNTIF($C$18:C193,C193)&amp;CHOOSE(MIN(4,COUNTIF($C$18:C193,C193)),"st","nd","rd","th"),"")</f>
        <v/>
      </c>
    </row>
    <row r="194" spans="8:14" x14ac:dyDescent="0.25">
      <c r="H194" s="201" t="str">
        <f t="shared" si="2"/>
        <v/>
      </c>
      <c r="N194" s="164" t="str">
        <f>IFERROR(COUNTIF($C$18:C194,C194)&amp;CHOOSE(MIN(4,COUNTIF($C$18:C194,C194)),"st","nd","rd","th"),"")</f>
        <v/>
      </c>
    </row>
    <row r="195" spans="8:14" x14ac:dyDescent="0.25">
      <c r="H195" s="201" t="str">
        <f t="shared" si="2"/>
        <v/>
      </c>
      <c r="N195" s="164" t="str">
        <f>IFERROR(COUNTIF($C$18:C195,C195)&amp;CHOOSE(MIN(4,COUNTIF($C$18:C195,C195)),"st","nd","rd","th"),"")</f>
        <v/>
      </c>
    </row>
    <row r="196" spans="8:14" x14ac:dyDescent="0.25">
      <c r="H196" s="201" t="str">
        <f t="shared" si="2"/>
        <v/>
      </c>
      <c r="N196" s="164" t="str">
        <f>IFERROR(COUNTIF($C$18:C196,C196)&amp;CHOOSE(MIN(4,COUNTIF($C$18:C196,C196)),"st","nd","rd","th"),"")</f>
        <v/>
      </c>
    </row>
    <row r="197" spans="8:14" x14ac:dyDescent="0.25">
      <c r="H197" s="201" t="str">
        <f t="shared" si="2"/>
        <v/>
      </c>
      <c r="N197" s="164" t="str">
        <f>IFERROR(COUNTIF($C$18:C197,C197)&amp;CHOOSE(MIN(4,COUNTIF($C$18:C197,C197)),"st","nd","rd","th"),"")</f>
        <v/>
      </c>
    </row>
    <row r="198" spans="8:14" x14ac:dyDescent="0.25">
      <c r="H198" s="201" t="str">
        <f t="shared" si="2"/>
        <v/>
      </c>
      <c r="N198" s="164" t="str">
        <f>IFERROR(COUNTIF($C$18:C198,C198)&amp;CHOOSE(MIN(4,COUNTIF($C$18:C198,C198)),"st","nd","rd","th"),"")</f>
        <v/>
      </c>
    </row>
    <row r="199" spans="8:14" x14ac:dyDescent="0.25">
      <c r="H199" s="201" t="str">
        <f t="shared" si="2"/>
        <v/>
      </c>
      <c r="N199" s="164" t="str">
        <f>IFERROR(COUNTIF($C$18:C199,C199)&amp;CHOOSE(MIN(4,COUNTIF($C$18:C199,C199)),"st","nd","rd","th"),"")</f>
        <v/>
      </c>
    </row>
    <row r="200" spans="8:14" x14ac:dyDescent="0.25">
      <c r="H200" s="201" t="str">
        <f t="shared" si="2"/>
        <v/>
      </c>
      <c r="N200" s="164" t="str">
        <f>IFERROR(COUNTIF($C$18:C200,C200)&amp;CHOOSE(MIN(4,COUNTIF($C$18:C200,C200)),"st","nd","rd","th"),"")</f>
        <v/>
      </c>
    </row>
    <row r="201" spans="8:14" x14ac:dyDescent="0.25">
      <c r="H201" s="201" t="str">
        <f t="shared" si="2"/>
        <v/>
      </c>
      <c r="N201" s="164" t="str">
        <f>IFERROR(COUNTIF($C$18:C201,C201)&amp;CHOOSE(MIN(4,COUNTIF($C$18:C201,C201)),"st","nd","rd","th"),"")</f>
        <v/>
      </c>
    </row>
    <row r="202" spans="8:14" x14ac:dyDescent="0.25">
      <c r="H202" s="201" t="str">
        <f t="shared" si="2"/>
        <v/>
      </c>
      <c r="N202" s="164" t="str">
        <f>IFERROR(COUNTIF($C$18:C202,C202)&amp;CHOOSE(MIN(4,COUNTIF($C$18:C202,C202)),"st","nd","rd","th"),"")</f>
        <v/>
      </c>
    </row>
    <row r="203" spans="8:14" x14ac:dyDescent="0.25">
      <c r="H203" s="201" t="str">
        <f t="shared" si="2"/>
        <v/>
      </c>
      <c r="N203" s="164" t="str">
        <f>IFERROR(COUNTIF($C$18:C203,C203)&amp;CHOOSE(MIN(4,COUNTIF($C$18:C203,C203)),"st","nd","rd","th"),"")</f>
        <v/>
      </c>
    </row>
    <row r="204" spans="8:14" x14ac:dyDescent="0.25">
      <c r="H204" s="201" t="str">
        <f t="shared" si="2"/>
        <v/>
      </c>
      <c r="N204" s="164" t="str">
        <f>IFERROR(COUNTIF($C$18:C204,C204)&amp;CHOOSE(MIN(4,COUNTIF($C$18:C204,C204)),"st","nd","rd","th"),"")</f>
        <v/>
      </c>
    </row>
    <row r="205" spans="8:14" x14ac:dyDescent="0.25">
      <c r="H205" s="201" t="str">
        <f t="shared" si="2"/>
        <v/>
      </c>
      <c r="N205" s="164" t="str">
        <f>IFERROR(COUNTIF($C$18:C205,C205)&amp;CHOOSE(MIN(4,COUNTIF($C$18:C205,C205)),"st","nd","rd","th"),"")</f>
        <v/>
      </c>
    </row>
    <row r="206" spans="8:14" x14ac:dyDescent="0.25">
      <c r="H206" s="201" t="str">
        <f t="shared" si="2"/>
        <v/>
      </c>
      <c r="N206" s="164" t="str">
        <f>IFERROR(COUNTIF($C$18:C206,C206)&amp;CHOOSE(MIN(4,COUNTIF($C$18:C206,C206)),"st","nd","rd","th"),"")</f>
        <v/>
      </c>
    </row>
    <row r="207" spans="8:14" x14ac:dyDescent="0.25">
      <c r="H207" s="201" t="str">
        <f t="shared" si="2"/>
        <v/>
      </c>
      <c r="N207" s="164" t="str">
        <f>IFERROR(COUNTIF($C$18:C207,C207)&amp;CHOOSE(MIN(4,COUNTIF($C$18:C207,C207)),"st","nd","rd","th"),"")</f>
        <v/>
      </c>
    </row>
    <row r="208" spans="8:14" x14ac:dyDescent="0.25">
      <c r="H208" s="201" t="str">
        <f t="shared" si="2"/>
        <v/>
      </c>
      <c r="N208" s="164" t="str">
        <f>IFERROR(COUNTIF($C$18:C208,C208)&amp;CHOOSE(MIN(4,COUNTIF($C$18:C208,C208)),"st","nd","rd","th"),"")</f>
        <v/>
      </c>
    </row>
    <row r="209" spans="8:14" x14ac:dyDescent="0.25">
      <c r="H209" s="201" t="str">
        <f t="shared" si="2"/>
        <v/>
      </c>
      <c r="N209" s="164" t="str">
        <f>IFERROR(COUNTIF($C$18:C209,C209)&amp;CHOOSE(MIN(4,COUNTIF($C$18:C209,C209)),"st","nd","rd","th"),"")</f>
        <v/>
      </c>
    </row>
    <row r="210" spans="8:14" x14ac:dyDescent="0.25">
      <c r="H210" s="201" t="str">
        <f t="shared" ref="H210:H273" si="3">IF(OR(ISBLANK(G210), ISBLANK(F210)), "", IF(G210=F210, 1, SUM(_xlfn.DAYS(G210, F210), 1)))</f>
        <v/>
      </c>
      <c r="N210" s="164" t="str">
        <f>IFERROR(COUNTIF($C$18:C210,C210)&amp;CHOOSE(MIN(4,COUNTIF($C$18:C210,C210)),"st","nd","rd","th"),"")</f>
        <v/>
      </c>
    </row>
    <row r="211" spans="8:14" x14ac:dyDescent="0.25">
      <c r="H211" s="201" t="str">
        <f t="shared" si="3"/>
        <v/>
      </c>
      <c r="N211" s="164" t="str">
        <f>IFERROR(COUNTIF($C$18:C211,C211)&amp;CHOOSE(MIN(4,COUNTIF($C$18:C211,C211)),"st","nd","rd","th"),"")</f>
        <v/>
      </c>
    </row>
    <row r="212" spans="8:14" x14ac:dyDescent="0.25">
      <c r="H212" s="201" t="str">
        <f t="shared" si="3"/>
        <v/>
      </c>
      <c r="N212" s="164" t="str">
        <f>IFERROR(COUNTIF($C$18:C212,C212)&amp;CHOOSE(MIN(4,COUNTIF($C$18:C212,C212)),"st","nd","rd","th"),"")</f>
        <v/>
      </c>
    </row>
    <row r="213" spans="8:14" x14ac:dyDescent="0.25">
      <c r="H213" s="201" t="str">
        <f t="shared" si="3"/>
        <v/>
      </c>
      <c r="N213" s="164" t="str">
        <f>IFERROR(COUNTIF($C$18:C213,C213)&amp;CHOOSE(MIN(4,COUNTIF($C$18:C213,C213)),"st","nd","rd","th"),"")</f>
        <v/>
      </c>
    </row>
    <row r="214" spans="8:14" x14ac:dyDescent="0.25">
      <c r="H214" s="201" t="str">
        <f t="shared" si="3"/>
        <v/>
      </c>
      <c r="N214" s="164" t="str">
        <f>IFERROR(COUNTIF($C$18:C214,C214)&amp;CHOOSE(MIN(4,COUNTIF($C$18:C214,C214)),"st","nd","rd","th"),"")</f>
        <v/>
      </c>
    </row>
    <row r="215" spans="8:14" x14ac:dyDescent="0.25">
      <c r="H215" s="201" t="str">
        <f t="shared" si="3"/>
        <v/>
      </c>
      <c r="N215" s="164" t="str">
        <f>IFERROR(COUNTIF($C$18:C215,C215)&amp;CHOOSE(MIN(4,COUNTIF($C$18:C215,C215)),"st","nd","rd","th"),"")</f>
        <v/>
      </c>
    </row>
    <row r="216" spans="8:14" x14ac:dyDescent="0.25">
      <c r="H216" s="201" t="str">
        <f t="shared" si="3"/>
        <v/>
      </c>
      <c r="N216" s="164" t="str">
        <f>IFERROR(COUNTIF($C$18:C216,C216)&amp;CHOOSE(MIN(4,COUNTIF($C$18:C216,C216)),"st","nd","rd","th"),"")</f>
        <v/>
      </c>
    </row>
    <row r="217" spans="8:14" x14ac:dyDescent="0.25">
      <c r="H217" s="201" t="str">
        <f t="shared" si="3"/>
        <v/>
      </c>
      <c r="N217" s="164" t="str">
        <f>IFERROR(COUNTIF($C$18:C217,C217)&amp;CHOOSE(MIN(4,COUNTIF($C$18:C217,C217)),"st","nd","rd","th"),"")</f>
        <v/>
      </c>
    </row>
    <row r="218" spans="8:14" x14ac:dyDescent="0.25">
      <c r="H218" s="201" t="str">
        <f t="shared" si="3"/>
        <v/>
      </c>
      <c r="N218" s="164" t="str">
        <f>IFERROR(COUNTIF($C$18:C218,C218)&amp;CHOOSE(MIN(4,COUNTIF($C$18:C218,C218)),"st","nd","rd","th"),"")</f>
        <v/>
      </c>
    </row>
    <row r="219" spans="8:14" x14ac:dyDescent="0.25">
      <c r="H219" s="201" t="str">
        <f t="shared" si="3"/>
        <v/>
      </c>
      <c r="N219" s="164" t="str">
        <f>IFERROR(COUNTIF($C$18:C219,C219)&amp;CHOOSE(MIN(4,COUNTIF($C$18:C219,C219)),"st","nd","rd","th"),"")</f>
        <v/>
      </c>
    </row>
    <row r="220" spans="8:14" x14ac:dyDescent="0.25">
      <c r="H220" s="201" t="str">
        <f t="shared" si="3"/>
        <v/>
      </c>
      <c r="N220" s="164" t="str">
        <f>IFERROR(COUNTIF($C$18:C220,C220)&amp;CHOOSE(MIN(4,COUNTIF($C$18:C220,C220)),"st","nd","rd","th"),"")</f>
        <v/>
      </c>
    </row>
    <row r="221" spans="8:14" x14ac:dyDescent="0.25">
      <c r="H221" s="201" t="str">
        <f t="shared" si="3"/>
        <v/>
      </c>
      <c r="N221" s="164" t="str">
        <f>IFERROR(COUNTIF($C$18:C221,C221)&amp;CHOOSE(MIN(4,COUNTIF($C$18:C221,C221)),"st","nd","rd","th"),"")</f>
        <v/>
      </c>
    </row>
    <row r="222" spans="8:14" x14ac:dyDescent="0.25">
      <c r="H222" s="201" t="str">
        <f t="shared" si="3"/>
        <v/>
      </c>
      <c r="N222" s="164" t="str">
        <f>IFERROR(COUNTIF($C$18:C222,C222)&amp;CHOOSE(MIN(4,COUNTIF($C$18:C222,C222)),"st","nd","rd","th"),"")</f>
        <v/>
      </c>
    </row>
    <row r="223" spans="8:14" x14ac:dyDescent="0.25">
      <c r="H223" s="201" t="str">
        <f t="shared" si="3"/>
        <v/>
      </c>
      <c r="N223" s="164" t="str">
        <f>IFERROR(COUNTIF($C$18:C223,C223)&amp;CHOOSE(MIN(4,COUNTIF($C$18:C223,C223)),"st","nd","rd","th"),"")</f>
        <v/>
      </c>
    </row>
    <row r="224" spans="8:14" x14ac:dyDescent="0.25">
      <c r="H224" s="201" t="str">
        <f t="shared" si="3"/>
        <v/>
      </c>
      <c r="N224" s="164" t="str">
        <f>IFERROR(COUNTIF($C$18:C224,C224)&amp;CHOOSE(MIN(4,COUNTIF($C$18:C224,C224)),"st","nd","rd","th"),"")</f>
        <v/>
      </c>
    </row>
    <row r="225" spans="8:14" x14ac:dyDescent="0.25">
      <c r="H225" s="201" t="str">
        <f t="shared" si="3"/>
        <v/>
      </c>
      <c r="N225" s="164" t="str">
        <f>IFERROR(COUNTIF($C$18:C225,C225)&amp;CHOOSE(MIN(4,COUNTIF($C$18:C225,C225)),"st","nd","rd","th"),"")</f>
        <v/>
      </c>
    </row>
    <row r="226" spans="8:14" x14ac:dyDescent="0.25">
      <c r="H226" s="201" t="str">
        <f t="shared" si="3"/>
        <v/>
      </c>
      <c r="N226" s="164" t="str">
        <f>IFERROR(COUNTIF($C$18:C226,C226)&amp;CHOOSE(MIN(4,COUNTIF($C$18:C226,C226)),"st","nd","rd","th"),"")</f>
        <v/>
      </c>
    </row>
    <row r="227" spans="8:14" x14ac:dyDescent="0.25">
      <c r="H227" s="201" t="str">
        <f t="shared" si="3"/>
        <v/>
      </c>
      <c r="N227" s="164" t="str">
        <f>IFERROR(COUNTIF($C$18:C227,C227)&amp;CHOOSE(MIN(4,COUNTIF($C$18:C227,C227)),"st","nd","rd","th"),"")</f>
        <v/>
      </c>
    </row>
    <row r="228" spans="8:14" x14ac:dyDescent="0.25">
      <c r="H228" s="201" t="str">
        <f t="shared" si="3"/>
        <v/>
      </c>
      <c r="N228" s="164" t="str">
        <f>IFERROR(COUNTIF($C$18:C228,C228)&amp;CHOOSE(MIN(4,COUNTIF($C$18:C228,C228)),"st","nd","rd","th"),"")</f>
        <v/>
      </c>
    </row>
    <row r="229" spans="8:14" x14ac:dyDescent="0.25">
      <c r="H229" s="201" t="str">
        <f t="shared" si="3"/>
        <v/>
      </c>
      <c r="N229" s="164" t="str">
        <f>IFERROR(COUNTIF($C$18:C229,C229)&amp;CHOOSE(MIN(4,COUNTIF($C$18:C229,C229)),"st","nd","rd","th"),"")</f>
        <v/>
      </c>
    </row>
    <row r="230" spans="8:14" x14ac:dyDescent="0.25">
      <c r="H230" s="201" t="str">
        <f t="shared" si="3"/>
        <v/>
      </c>
      <c r="N230" s="164" t="str">
        <f>IFERROR(COUNTIF($C$18:C230,C230)&amp;CHOOSE(MIN(4,COUNTIF($C$18:C230,C230)),"st","nd","rd","th"),"")</f>
        <v/>
      </c>
    </row>
    <row r="231" spans="8:14" x14ac:dyDescent="0.25">
      <c r="H231" s="201" t="str">
        <f t="shared" si="3"/>
        <v/>
      </c>
      <c r="N231" s="164" t="str">
        <f>IFERROR(COUNTIF($C$18:C231,C231)&amp;CHOOSE(MIN(4,COUNTIF($C$18:C231,C231)),"st","nd","rd","th"),"")</f>
        <v/>
      </c>
    </row>
    <row r="232" spans="8:14" x14ac:dyDescent="0.25">
      <c r="H232" s="201" t="str">
        <f t="shared" si="3"/>
        <v/>
      </c>
      <c r="N232" s="164" t="str">
        <f>IFERROR(COUNTIF($C$18:C232,C232)&amp;CHOOSE(MIN(4,COUNTIF($C$18:C232,C232)),"st","nd","rd","th"),"")</f>
        <v/>
      </c>
    </row>
    <row r="233" spans="8:14" x14ac:dyDescent="0.25">
      <c r="H233" s="201" t="str">
        <f t="shared" si="3"/>
        <v/>
      </c>
      <c r="N233" s="164" t="str">
        <f>IFERROR(COUNTIF($C$18:C233,C233)&amp;CHOOSE(MIN(4,COUNTIF($C$18:C233,C233)),"st","nd","rd","th"),"")</f>
        <v/>
      </c>
    </row>
    <row r="234" spans="8:14" x14ac:dyDescent="0.25">
      <c r="H234" s="201" t="str">
        <f t="shared" si="3"/>
        <v/>
      </c>
      <c r="N234" s="164" t="str">
        <f>IFERROR(COUNTIF($C$18:C234,C234)&amp;CHOOSE(MIN(4,COUNTIF($C$18:C234,C234)),"st","nd","rd","th"),"")</f>
        <v/>
      </c>
    </row>
    <row r="235" spans="8:14" x14ac:dyDescent="0.25">
      <c r="H235" s="201" t="str">
        <f t="shared" si="3"/>
        <v/>
      </c>
      <c r="N235" s="164" t="str">
        <f>IFERROR(COUNTIF($C$18:C235,C235)&amp;CHOOSE(MIN(4,COUNTIF($C$18:C235,C235)),"st","nd","rd","th"),"")</f>
        <v/>
      </c>
    </row>
    <row r="236" spans="8:14" x14ac:dyDescent="0.25">
      <c r="H236" s="201" t="str">
        <f t="shared" si="3"/>
        <v/>
      </c>
      <c r="N236" s="164" t="str">
        <f>IFERROR(COUNTIF($C$18:C236,C236)&amp;CHOOSE(MIN(4,COUNTIF($C$18:C236,C236)),"st","nd","rd","th"),"")</f>
        <v/>
      </c>
    </row>
    <row r="237" spans="8:14" x14ac:dyDescent="0.25">
      <c r="H237" s="201" t="str">
        <f t="shared" si="3"/>
        <v/>
      </c>
      <c r="N237" s="164" t="str">
        <f>IFERROR(COUNTIF($C$18:C237,C237)&amp;CHOOSE(MIN(4,COUNTIF($C$18:C237,C237)),"st","nd","rd","th"),"")</f>
        <v/>
      </c>
    </row>
    <row r="238" spans="8:14" x14ac:dyDescent="0.25">
      <c r="H238" s="201" t="str">
        <f t="shared" si="3"/>
        <v/>
      </c>
      <c r="N238" s="164" t="str">
        <f>IFERROR(COUNTIF($C$18:C238,C238)&amp;CHOOSE(MIN(4,COUNTIF($C$18:C238,C238)),"st","nd","rd","th"),"")</f>
        <v/>
      </c>
    </row>
    <row r="239" spans="8:14" x14ac:dyDescent="0.25">
      <c r="H239" s="201" t="str">
        <f t="shared" si="3"/>
        <v/>
      </c>
      <c r="N239" s="164" t="str">
        <f>IFERROR(COUNTIF($C$18:C239,C239)&amp;CHOOSE(MIN(4,COUNTIF($C$18:C239,C239)),"st","nd","rd","th"),"")</f>
        <v/>
      </c>
    </row>
    <row r="240" spans="8:14" x14ac:dyDescent="0.25">
      <c r="H240" s="201" t="str">
        <f t="shared" si="3"/>
        <v/>
      </c>
      <c r="N240" s="164" t="str">
        <f>IFERROR(COUNTIF($C$18:C240,C240)&amp;CHOOSE(MIN(4,COUNTIF($C$18:C240,C240)),"st","nd","rd","th"),"")</f>
        <v/>
      </c>
    </row>
    <row r="241" spans="8:14" x14ac:dyDescent="0.25">
      <c r="H241" s="201" t="str">
        <f t="shared" si="3"/>
        <v/>
      </c>
      <c r="N241" s="164" t="str">
        <f>IFERROR(COUNTIF($C$18:C241,C241)&amp;CHOOSE(MIN(4,COUNTIF($C$18:C241,C241)),"st","nd","rd","th"),"")</f>
        <v/>
      </c>
    </row>
    <row r="242" spans="8:14" x14ac:dyDescent="0.25">
      <c r="H242" s="201" t="str">
        <f t="shared" si="3"/>
        <v/>
      </c>
      <c r="N242" s="164" t="str">
        <f>IFERROR(COUNTIF($C$18:C242,C242)&amp;CHOOSE(MIN(4,COUNTIF($C$18:C242,C242)),"st","nd","rd","th"),"")</f>
        <v/>
      </c>
    </row>
    <row r="243" spans="8:14" x14ac:dyDescent="0.25">
      <c r="H243" s="201" t="str">
        <f t="shared" si="3"/>
        <v/>
      </c>
      <c r="N243" s="164" t="str">
        <f>IFERROR(COUNTIF($C$18:C243,C243)&amp;CHOOSE(MIN(4,COUNTIF($C$18:C243,C243)),"st","nd","rd","th"),"")</f>
        <v/>
      </c>
    </row>
    <row r="244" spans="8:14" x14ac:dyDescent="0.25">
      <c r="H244" s="201" t="str">
        <f t="shared" si="3"/>
        <v/>
      </c>
      <c r="N244" s="164" t="str">
        <f>IFERROR(COUNTIF($C$18:C244,C244)&amp;CHOOSE(MIN(4,COUNTIF($C$18:C244,C244)),"st","nd","rd","th"),"")</f>
        <v/>
      </c>
    </row>
    <row r="245" spans="8:14" x14ac:dyDescent="0.25">
      <c r="H245" s="201" t="str">
        <f t="shared" si="3"/>
        <v/>
      </c>
      <c r="N245" s="164" t="str">
        <f>IFERROR(COUNTIF($C$18:C245,C245)&amp;CHOOSE(MIN(4,COUNTIF($C$18:C245,C245)),"st","nd","rd","th"),"")</f>
        <v/>
      </c>
    </row>
    <row r="246" spans="8:14" x14ac:dyDescent="0.25">
      <c r="H246" s="201" t="str">
        <f t="shared" si="3"/>
        <v/>
      </c>
      <c r="N246" s="164" t="str">
        <f>IFERROR(COUNTIF($C$18:C246,C246)&amp;CHOOSE(MIN(4,COUNTIF($C$18:C246,C246)),"st","nd","rd","th"),"")</f>
        <v/>
      </c>
    </row>
    <row r="247" spans="8:14" x14ac:dyDescent="0.25">
      <c r="H247" s="201" t="str">
        <f t="shared" si="3"/>
        <v/>
      </c>
      <c r="N247" s="164" t="str">
        <f>IFERROR(COUNTIF($C$18:C247,C247)&amp;CHOOSE(MIN(4,COUNTIF($C$18:C247,C247)),"st","nd","rd","th"),"")</f>
        <v/>
      </c>
    </row>
    <row r="248" spans="8:14" x14ac:dyDescent="0.25">
      <c r="H248" s="201" t="str">
        <f t="shared" si="3"/>
        <v/>
      </c>
      <c r="N248" s="164" t="str">
        <f>IFERROR(COUNTIF($C$18:C248,C248)&amp;CHOOSE(MIN(4,COUNTIF($C$18:C248,C248)),"st","nd","rd","th"),"")</f>
        <v/>
      </c>
    </row>
    <row r="249" spans="8:14" x14ac:dyDescent="0.25">
      <c r="H249" s="201" t="str">
        <f t="shared" si="3"/>
        <v/>
      </c>
      <c r="N249" s="164" t="str">
        <f>IFERROR(COUNTIF($C$18:C249,C249)&amp;CHOOSE(MIN(4,COUNTIF($C$18:C249,C249)),"st","nd","rd","th"),"")</f>
        <v/>
      </c>
    </row>
    <row r="250" spans="8:14" x14ac:dyDescent="0.25">
      <c r="H250" s="201" t="str">
        <f t="shared" si="3"/>
        <v/>
      </c>
      <c r="N250" s="164" t="str">
        <f>IFERROR(COUNTIF($C$18:C250,C250)&amp;CHOOSE(MIN(4,COUNTIF($C$18:C250,C250)),"st","nd","rd","th"),"")</f>
        <v/>
      </c>
    </row>
    <row r="251" spans="8:14" x14ac:dyDescent="0.25">
      <c r="H251" s="201" t="str">
        <f t="shared" si="3"/>
        <v/>
      </c>
      <c r="N251" s="164" t="str">
        <f>IFERROR(COUNTIF($C$18:C251,C251)&amp;CHOOSE(MIN(4,COUNTIF($C$18:C251,C251)),"st","nd","rd","th"),"")</f>
        <v/>
      </c>
    </row>
    <row r="252" spans="8:14" x14ac:dyDescent="0.25">
      <c r="H252" s="201" t="str">
        <f t="shared" si="3"/>
        <v/>
      </c>
      <c r="N252" s="164" t="str">
        <f>IFERROR(COUNTIF($C$18:C252,C252)&amp;CHOOSE(MIN(4,COUNTIF($C$18:C252,C252)),"st","nd","rd","th"),"")</f>
        <v/>
      </c>
    </row>
    <row r="253" spans="8:14" x14ac:dyDescent="0.25">
      <c r="H253" s="201" t="str">
        <f t="shared" si="3"/>
        <v/>
      </c>
      <c r="N253" s="164" t="str">
        <f>IFERROR(COUNTIF($C$18:C253,C253)&amp;CHOOSE(MIN(4,COUNTIF($C$18:C253,C253)),"st","nd","rd","th"),"")</f>
        <v/>
      </c>
    </row>
    <row r="254" spans="8:14" x14ac:dyDescent="0.25">
      <c r="H254" s="201" t="str">
        <f t="shared" si="3"/>
        <v/>
      </c>
      <c r="N254" s="164" t="str">
        <f>IFERROR(COUNTIF($C$18:C254,C254)&amp;CHOOSE(MIN(4,COUNTIF($C$18:C254,C254)),"st","nd","rd","th"),"")</f>
        <v/>
      </c>
    </row>
    <row r="255" spans="8:14" x14ac:dyDescent="0.25">
      <c r="H255" s="201" t="str">
        <f t="shared" si="3"/>
        <v/>
      </c>
      <c r="N255" s="164" t="str">
        <f>IFERROR(COUNTIF($C$18:C255,C255)&amp;CHOOSE(MIN(4,COUNTIF($C$18:C255,C255)),"st","nd","rd","th"),"")</f>
        <v/>
      </c>
    </row>
    <row r="256" spans="8:14" x14ac:dyDescent="0.25">
      <c r="H256" s="201" t="str">
        <f t="shared" si="3"/>
        <v/>
      </c>
      <c r="N256" s="164" t="str">
        <f>IFERROR(COUNTIF($C$18:C256,C256)&amp;CHOOSE(MIN(4,COUNTIF($C$18:C256,C256)),"st","nd","rd","th"),"")</f>
        <v/>
      </c>
    </row>
    <row r="257" spans="8:14" x14ac:dyDescent="0.25">
      <c r="H257" s="201" t="str">
        <f t="shared" si="3"/>
        <v/>
      </c>
      <c r="N257" s="164" t="str">
        <f>IFERROR(COUNTIF($C$18:C257,C257)&amp;CHOOSE(MIN(4,COUNTIF($C$18:C257,C257)),"st","nd","rd","th"),"")</f>
        <v/>
      </c>
    </row>
    <row r="258" spans="8:14" x14ac:dyDescent="0.25">
      <c r="H258" s="201" t="str">
        <f t="shared" si="3"/>
        <v/>
      </c>
      <c r="N258" s="164" t="str">
        <f>IFERROR(COUNTIF($C$18:C258,C258)&amp;CHOOSE(MIN(4,COUNTIF($C$18:C258,C258)),"st","nd","rd","th"),"")</f>
        <v/>
      </c>
    </row>
    <row r="259" spans="8:14" x14ac:dyDescent="0.25">
      <c r="H259" s="201" t="str">
        <f t="shared" si="3"/>
        <v/>
      </c>
      <c r="N259" s="164" t="str">
        <f>IFERROR(COUNTIF($C$18:C259,C259)&amp;CHOOSE(MIN(4,COUNTIF($C$18:C259,C259)),"st","nd","rd","th"),"")</f>
        <v/>
      </c>
    </row>
    <row r="260" spans="8:14" x14ac:dyDescent="0.25">
      <c r="H260" s="201" t="str">
        <f t="shared" si="3"/>
        <v/>
      </c>
      <c r="N260" s="164" t="str">
        <f>IFERROR(COUNTIF($C$18:C260,C260)&amp;CHOOSE(MIN(4,COUNTIF($C$18:C260,C260)),"st","nd","rd","th"),"")</f>
        <v/>
      </c>
    </row>
    <row r="261" spans="8:14" x14ac:dyDescent="0.25">
      <c r="H261" s="201" t="str">
        <f t="shared" si="3"/>
        <v/>
      </c>
      <c r="N261" s="164" t="str">
        <f>IFERROR(COUNTIF($C$18:C261,C261)&amp;CHOOSE(MIN(4,COUNTIF($C$18:C261,C261)),"st","nd","rd","th"),"")</f>
        <v/>
      </c>
    </row>
    <row r="262" spans="8:14" x14ac:dyDescent="0.25">
      <c r="H262" s="201" t="str">
        <f t="shared" si="3"/>
        <v/>
      </c>
      <c r="N262" s="164" t="str">
        <f>IFERROR(COUNTIF($C$18:C262,C262)&amp;CHOOSE(MIN(4,COUNTIF($C$18:C262,C262)),"st","nd","rd","th"),"")</f>
        <v/>
      </c>
    </row>
    <row r="263" spans="8:14" x14ac:dyDescent="0.25">
      <c r="H263" s="201" t="str">
        <f t="shared" si="3"/>
        <v/>
      </c>
      <c r="N263" s="164" t="str">
        <f>IFERROR(COUNTIF($C$18:C263,C263)&amp;CHOOSE(MIN(4,COUNTIF($C$18:C263,C263)),"st","nd","rd","th"),"")</f>
        <v/>
      </c>
    </row>
    <row r="264" spans="8:14" x14ac:dyDescent="0.25">
      <c r="H264" s="201" t="str">
        <f t="shared" si="3"/>
        <v/>
      </c>
      <c r="N264" s="164" t="str">
        <f>IFERROR(COUNTIF($C$18:C264,C264)&amp;CHOOSE(MIN(4,COUNTIF($C$18:C264,C264)),"st","nd","rd","th"),"")</f>
        <v/>
      </c>
    </row>
    <row r="265" spans="8:14" x14ac:dyDescent="0.25">
      <c r="H265" s="201" t="str">
        <f t="shared" si="3"/>
        <v/>
      </c>
      <c r="N265" s="164" t="str">
        <f>IFERROR(COUNTIF($C$18:C265,C265)&amp;CHOOSE(MIN(4,COUNTIF($C$18:C265,C265)),"st","nd","rd","th"),"")</f>
        <v/>
      </c>
    </row>
    <row r="266" spans="8:14" x14ac:dyDescent="0.25">
      <c r="H266" s="201" t="str">
        <f t="shared" si="3"/>
        <v/>
      </c>
      <c r="N266" s="164" t="str">
        <f>IFERROR(COUNTIF($C$18:C266,C266)&amp;CHOOSE(MIN(4,COUNTIF($C$18:C266,C266)),"st","nd","rd","th"),"")</f>
        <v/>
      </c>
    </row>
    <row r="267" spans="8:14" x14ac:dyDescent="0.25">
      <c r="H267" s="201" t="str">
        <f t="shared" si="3"/>
        <v/>
      </c>
      <c r="N267" s="164" t="str">
        <f>IFERROR(COUNTIF($C$18:C267,C267)&amp;CHOOSE(MIN(4,COUNTIF($C$18:C267,C267)),"st","nd","rd","th"),"")</f>
        <v/>
      </c>
    </row>
    <row r="268" spans="8:14" x14ac:dyDescent="0.25">
      <c r="H268" s="201" t="str">
        <f t="shared" si="3"/>
        <v/>
      </c>
      <c r="N268" s="164" t="str">
        <f>IFERROR(COUNTIF($C$18:C268,C268)&amp;CHOOSE(MIN(4,COUNTIF($C$18:C268,C268)),"st","nd","rd","th"),"")</f>
        <v/>
      </c>
    </row>
    <row r="269" spans="8:14" x14ac:dyDescent="0.25">
      <c r="H269" s="201" t="str">
        <f t="shared" si="3"/>
        <v/>
      </c>
      <c r="N269" s="164" t="str">
        <f>IFERROR(COUNTIF($C$18:C269,C269)&amp;CHOOSE(MIN(4,COUNTIF($C$18:C269,C269)),"st","nd","rd","th"),"")</f>
        <v/>
      </c>
    </row>
    <row r="270" spans="8:14" x14ac:dyDescent="0.25">
      <c r="H270" s="201" t="str">
        <f t="shared" si="3"/>
        <v/>
      </c>
      <c r="N270" s="164" t="str">
        <f>IFERROR(COUNTIF($C$18:C270,C270)&amp;CHOOSE(MIN(4,COUNTIF($C$18:C270,C270)),"st","nd","rd","th"),"")</f>
        <v/>
      </c>
    </row>
    <row r="271" spans="8:14" x14ac:dyDescent="0.25">
      <c r="H271" s="201" t="str">
        <f t="shared" si="3"/>
        <v/>
      </c>
      <c r="N271" s="164" t="str">
        <f>IFERROR(COUNTIF($C$18:C271,C271)&amp;CHOOSE(MIN(4,COUNTIF($C$18:C271,C271)),"st","nd","rd","th"),"")</f>
        <v/>
      </c>
    </row>
    <row r="272" spans="8:14" x14ac:dyDescent="0.25">
      <c r="H272" s="201" t="str">
        <f t="shared" si="3"/>
        <v/>
      </c>
      <c r="N272" s="164" t="str">
        <f>IFERROR(COUNTIF($C$18:C272,C272)&amp;CHOOSE(MIN(4,COUNTIF($C$18:C272,C272)),"st","nd","rd","th"),"")</f>
        <v/>
      </c>
    </row>
    <row r="273" spans="8:14" x14ac:dyDescent="0.25">
      <c r="H273" s="201" t="str">
        <f t="shared" si="3"/>
        <v/>
      </c>
      <c r="N273" s="164" t="str">
        <f>IFERROR(COUNTIF($C$18:C273,C273)&amp;CHOOSE(MIN(4,COUNTIF($C$18:C273,C273)),"st","nd","rd","th"),"")</f>
        <v/>
      </c>
    </row>
    <row r="274" spans="8:14" x14ac:dyDescent="0.25">
      <c r="H274" s="201" t="str">
        <f t="shared" ref="H274:H337" si="4">IF(OR(ISBLANK(G274), ISBLANK(F274)), "", IF(G274=F274, 1, SUM(_xlfn.DAYS(G274, F274), 1)))</f>
        <v/>
      </c>
      <c r="N274" s="164" t="str">
        <f>IFERROR(COUNTIF($C$18:C274,C274)&amp;CHOOSE(MIN(4,COUNTIF($C$18:C274,C274)),"st","nd","rd","th"),"")</f>
        <v/>
      </c>
    </row>
    <row r="275" spans="8:14" x14ac:dyDescent="0.25">
      <c r="H275" s="201" t="str">
        <f t="shared" si="4"/>
        <v/>
      </c>
      <c r="N275" s="164" t="str">
        <f>IFERROR(COUNTIF($C$18:C275,C275)&amp;CHOOSE(MIN(4,COUNTIF($C$18:C275,C275)),"st","nd","rd","th"),"")</f>
        <v/>
      </c>
    </row>
    <row r="276" spans="8:14" x14ac:dyDescent="0.25">
      <c r="H276" s="201" t="str">
        <f t="shared" si="4"/>
        <v/>
      </c>
      <c r="N276" s="164" t="str">
        <f>IFERROR(COUNTIF($C$18:C276,C276)&amp;CHOOSE(MIN(4,COUNTIF($C$18:C276,C276)),"st","nd","rd","th"),"")</f>
        <v/>
      </c>
    </row>
    <row r="277" spans="8:14" x14ac:dyDescent="0.25">
      <c r="H277" s="201" t="str">
        <f t="shared" si="4"/>
        <v/>
      </c>
      <c r="N277" s="164" t="str">
        <f>IFERROR(COUNTIF($C$18:C277,C277)&amp;CHOOSE(MIN(4,COUNTIF($C$18:C277,C277)),"st","nd","rd","th"),"")</f>
        <v/>
      </c>
    </row>
    <row r="278" spans="8:14" x14ac:dyDescent="0.25">
      <c r="H278" s="201" t="str">
        <f t="shared" si="4"/>
        <v/>
      </c>
      <c r="N278" s="164" t="str">
        <f>IFERROR(COUNTIF($C$18:C278,C278)&amp;CHOOSE(MIN(4,COUNTIF($C$18:C278,C278)),"st","nd","rd","th"),"")</f>
        <v/>
      </c>
    </row>
    <row r="279" spans="8:14" x14ac:dyDescent="0.25">
      <c r="H279" s="201" t="str">
        <f t="shared" si="4"/>
        <v/>
      </c>
      <c r="N279" s="164" t="str">
        <f>IFERROR(COUNTIF($C$18:C279,C279)&amp;CHOOSE(MIN(4,COUNTIF($C$18:C279,C279)),"st","nd","rd","th"),"")</f>
        <v/>
      </c>
    </row>
    <row r="280" spans="8:14" x14ac:dyDescent="0.25">
      <c r="H280" s="201" t="str">
        <f t="shared" si="4"/>
        <v/>
      </c>
      <c r="N280" s="164" t="str">
        <f>IFERROR(COUNTIF($C$18:C280,C280)&amp;CHOOSE(MIN(4,COUNTIF($C$18:C280,C280)),"st","nd","rd","th"),"")</f>
        <v/>
      </c>
    </row>
    <row r="281" spans="8:14" x14ac:dyDescent="0.25">
      <c r="H281" s="201" t="str">
        <f t="shared" si="4"/>
        <v/>
      </c>
      <c r="N281" s="164" t="str">
        <f>IFERROR(COUNTIF($C$18:C281,C281)&amp;CHOOSE(MIN(4,COUNTIF($C$18:C281,C281)),"st","nd","rd","th"),"")</f>
        <v/>
      </c>
    </row>
    <row r="282" spans="8:14" x14ac:dyDescent="0.25">
      <c r="H282" s="201" t="str">
        <f t="shared" si="4"/>
        <v/>
      </c>
      <c r="N282" s="164" t="str">
        <f>IFERROR(COUNTIF($C$18:C282,C282)&amp;CHOOSE(MIN(4,COUNTIF($C$18:C282,C282)),"st","nd","rd","th"),"")</f>
        <v/>
      </c>
    </row>
    <row r="283" spans="8:14" x14ac:dyDescent="0.25">
      <c r="H283" s="201" t="str">
        <f t="shared" si="4"/>
        <v/>
      </c>
      <c r="N283" s="164" t="str">
        <f>IFERROR(COUNTIF($C$18:C283,C283)&amp;CHOOSE(MIN(4,COUNTIF($C$18:C283,C283)),"st","nd","rd","th"),"")</f>
        <v/>
      </c>
    </row>
    <row r="284" spans="8:14" x14ac:dyDescent="0.25">
      <c r="H284" s="201" t="str">
        <f t="shared" si="4"/>
        <v/>
      </c>
      <c r="N284" s="164" t="str">
        <f>IFERROR(COUNTIF($C$18:C284,C284)&amp;CHOOSE(MIN(4,COUNTIF($C$18:C284,C284)),"st","nd","rd","th"),"")</f>
        <v/>
      </c>
    </row>
    <row r="285" spans="8:14" x14ac:dyDescent="0.25">
      <c r="H285" s="201" t="str">
        <f t="shared" si="4"/>
        <v/>
      </c>
      <c r="N285" s="164" t="str">
        <f>IFERROR(COUNTIF($C$18:C285,C285)&amp;CHOOSE(MIN(4,COUNTIF($C$18:C285,C285)),"st","nd","rd","th"),"")</f>
        <v/>
      </c>
    </row>
    <row r="286" spans="8:14" x14ac:dyDescent="0.25">
      <c r="H286" s="201" t="str">
        <f t="shared" si="4"/>
        <v/>
      </c>
      <c r="N286" s="164" t="str">
        <f>IFERROR(COUNTIF($C$18:C286,C286)&amp;CHOOSE(MIN(4,COUNTIF($C$18:C286,C286)),"st","nd","rd","th"),"")</f>
        <v/>
      </c>
    </row>
    <row r="287" spans="8:14" x14ac:dyDescent="0.25">
      <c r="H287" s="201" t="str">
        <f t="shared" si="4"/>
        <v/>
      </c>
      <c r="N287" s="164" t="str">
        <f>IFERROR(COUNTIF($C$18:C287,C287)&amp;CHOOSE(MIN(4,COUNTIF($C$18:C287,C287)),"st","nd","rd","th"),"")</f>
        <v/>
      </c>
    </row>
    <row r="288" spans="8:14" x14ac:dyDescent="0.25">
      <c r="H288" s="201" t="str">
        <f t="shared" si="4"/>
        <v/>
      </c>
      <c r="N288" s="164" t="str">
        <f>IFERROR(COUNTIF($C$18:C288,C288)&amp;CHOOSE(MIN(4,COUNTIF($C$18:C288,C288)),"st","nd","rd","th"),"")</f>
        <v/>
      </c>
    </row>
    <row r="289" spans="8:14" x14ac:dyDescent="0.25">
      <c r="H289" s="201" t="str">
        <f t="shared" si="4"/>
        <v/>
      </c>
      <c r="N289" s="164" t="str">
        <f>IFERROR(COUNTIF($C$18:C289,C289)&amp;CHOOSE(MIN(4,COUNTIF($C$18:C289,C289)),"st","nd","rd","th"),"")</f>
        <v/>
      </c>
    </row>
    <row r="290" spans="8:14" x14ac:dyDescent="0.25">
      <c r="H290" s="201" t="str">
        <f t="shared" si="4"/>
        <v/>
      </c>
      <c r="N290" s="164" t="str">
        <f>IFERROR(COUNTIF($C$18:C290,C290)&amp;CHOOSE(MIN(4,COUNTIF($C$18:C290,C290)),"st","nd","rd","th"),"")</f>
        <v/>
      </c>
    </row>
    <row r="291" spans="8:14" x14ac:dyDescent="0.25">
      <c r="H291" s="201" t="str">
        <f t="shared" si="4"/>
        <v/>
      </c>
      <c r="N291" s="164" t="str">
        <f>IFERROR(COUNTIF($C$18:C291,C291)&amp;CHOOSE(MIN(4,COUNTIF($C$18:C291,C291)),"st","nd","rd","th"),"")</f>
        <v/>
      </c>
    </row>
    <row r="292" spans="8:14" x14ac:dyDescent="0.25">
      <c r="H292" s="201" t="str">
        <f t="shared" si="4"/>
        <v/>
      </c>
      <c r="N292" s="164" t="str">
        <f>IFERROR(COUNTIF($C$18:C292,C292)&amp;CHOOSE(MIN(4,COUNTIF($C$18:C292,C292)),"st","nd","rd","th"),"")</f>
        <v/>
      </c>
    </row>
    <row r="293" spans="8:14" x14ac:dyDescent="0.25">
      <c r="H293" s="201" t="str">
        <f t="shared" si="4"/>
        <v/>
      </c>
      <c r="N293" s="164" t="str">
        <f>IFERROR(COUNTIF($C$18:C293,C293)&amp;CHOOSE(MIN(4,COUNTIF($C$18:C293,C293)),"st","nd","rd","th"),"")</f>
        <v/>
      </c>
    </row>
    <row r="294" spans="8:14" x14ac:dyDescent="0.25">
      <c r="H294" s="201" t="str">
        <f t="shared" si="4"/>
        <v/>
      </c>
      <c r="N294" s="164" t="str">
        <f>IFERROR(COUNTIF($C$18:C294,C294)&amp;CHOOSE(MIN(4,COUNTIF($C$18:C294,C294)),"st","nd","rd","th"),"")</f>
        <v/>
      </c>
    </row>
    <row r="295" spans="8:14" x14ac:dyDescent="0.25">
      <c r="H295" s="201" t="str">
        <f t="shared" si="4"/>
        <v/>
      </c>
      <c r="N295" s="164" t="str">
        <f>IFERROR(COUNTIF($C$18:C295,C295)&amp;CHOOSE(MIN(4,COUNTIF($C$18:C295,C295)),"st","nd","rd","th"),"")</f>
        <v/>
      </c>
    </row>
    <row r="296" spans="8:14" x14ac:dyDescent="0.25">
      <c r="H296" s="201" t="str">
        <f t="shared" si="4"/>
        <v/>
      </c>
      <c r="N296" s="164" t="str">
        <f>IFERROR(COUNTIF($C$18:C296,C296)&amp;CHOOSE(MIN(4,COUNTIF($C$18:C296,C296)),"st","nd","rd","th"),"")</f>
        <v/>
      </c>
    </row>
    <row r="297" spans="8:14" x14ac:dyDescent="0.25">
      <c r="H297" s="201" t="str">
        <f t="shared" si="4"/>
        <v/>
      </c>
      <c r="N297" s="164" t="str">
        <f>IFERROR(COUNTIF($C$18:C297,C297)&amp;CHOOSE(MIN(4,COUNTIF($C$18:C297,C297)),"st","nd","rd","th"),"")</f>
        <v/>
      </c>
    </row>
    <row r="298" spans="8:14" x14ac:dyDescent="0.25">
      <c r="H298" s="201" t="str">
        <f t="shared" si="4"/>
        <v/>
      </c>
      <c r="N298" s="164" t="str">
        <f>IFERROR(COUNTIF($C$18:C298,C298)&amp;CHOOSE(MIN(4,COUNTIF($C$18:C298,C298)),"st","nd","rd","th"),"")</f>
        <v/>
      </c>
    </row>
    <row r="299" spans="8:14" x14ac:dyDescent="0.25">
      <c r="H299" s="201" t="str">
        <f t="shared" si="4"/>
        <v/>
      </c>
      <c r="N299" s="164" t="str">
        <f>IFERROR(COUNTIF($C$18:C299,C299)&amp;CHOOSE(MIN(4,COUNTIF($C$18:C299,C299)),"st","nd","rd","th"),"")</f>
        <v/>
      </c>
    </row>
    <row r="300" spans="8:14" x14ac:dyDescent="0.25">
      <c r="H300" s="201" t="str">
        <f t="shared" si="4"/>
        <v/>
      </c>
      <c r="N300" s="164" t="str">
        <f>IFERROR(COUNTIF($C$18:C300,C300)&amp;CHOOSE(MIN(4,COUNTIF($C$18:C300,C300)),"st","nd","rd","th"),"")</f>
        <v/>
      </c>
    </row>
    <row r="301" spans="8:14" x14ac:dyDescent="0.25">
      <c r="H301" s="201" t="str">
        <f t="shared" si="4"/>
        <v/>
      </c>
      <c r="N301" s="164" t="str">
        <f>IFERROR(COUNTIF($C$18:C301,C301)&amp;CHOOSE(MIN(4,COUNTIF($C$18:C301,C301)),"st","nd","rd","th"),"")</f>
        <v/>
      </c>
    </row>
    <row r="302" spans="8:14" x14ac:dyDescent="0.25">
      <c r="H302" s="201" t="str">
        <f t="shared" si="4"/>
        <v/>
      </c>
      <c r="N302" s="164" t="str">
        <f>IFERROR(COUNTIF($C$18:C302,C302)&amp;CHOOSE(MIN(4,COUNTIF($C$18:C302,C302)),"st","nd","rd","th"),"")</f>
        <v/>
      </c>
    </row>
    <row r="303" spans="8:14" x14ac:dyDescent="0.25">
      <c r="H303" s="201" t="str">
        <f t="shared" si="4"/>
        <v/>
      </c>
      <c r="N303" s="164" t="str">
        <f>IFERROR(COUNTIF($C$18:C303,C303)&amp;CHOOSE(MIN(4,COUNTIF($C$18:C303,C303)),"st","nd","rd","th"),"")</f>
        <v/>
      </c>
    </row>
    <row r="304" spans="8:14" x14ac:dyDescent="0.25">
      <c r="H304" s="201" t="str">
        <f t="shared" si="4"/>
        <v/>
      </c>
      <c r="N304" s="164" t="str">
        <f>IFERROR(COUNTIF($C$18:C304,C304)&amp;CHOOSE(MIN(4,COUNTIF($C$18:C304,C304)),"st","nd","rd","th"),"")</f>
        <v/>
      </c>
    </row>
    <row r="305" spans="8:14" x14ac:dyDescent="0.25">
      <c r="H305" s="201" t="str">
        <f t="shared" si="4"/>
        <v/>
      </c>
      <c r="N305" s="164" t="str">
        <f>IFERROR(COUNTIF($C$18:C305,C305)&amp;CHOOSE(MIN(4,COUNTIF($C$18:C305,C305)),"st","nd","rd","th"),"")</f>
        <v/>
      </c>
    </row>
    <row r="306" spans="8:14" x14ac:dyDescent="0.25">
      <c r="H306" s="201" t="str">
        <f t="shared" si="4"/>
        <v/>
      </c>
      <c r="N306" s="164" t="str">
        <f>IFERROR(COUNTIF($C$18:C306,C306)&amp;CHOOSE(MIN(4,COUNTIF($C$18:C306,C306)),"st","nd","rd","th"),"")</f>
        <v/>
      </c>
    </row>
    <row r="307" spans="8:14" x14ac:dyDescent="0.25">
      <c r="H307" s="201" t="str">
        <f t="shared" si="4"/>
        <v/>
      </c>
      <c r="N307" s="164" t="str">
        <f>IFERROR(COUNTIF($C$18:C307,C307)&amp;CHOOSE(MIN(4,COUNTIF($C$18:C307,C307)),"st","nd","rd","th"),"")</f>
        <v/>
      </c>
    </row>
    <row r="308" spans="8:14" x14ac:dyDescent="0.25">
      <c r="H308" s="201" t="str">
        <f t="shared" si="4"/>
        <v/>
      </c>
      <c r="N308" s="164" t="str">
        <f>IFERROR(COUNTIF($C$18:C308,C308)&amp;CHOOSE(MIN(4,COUNTIF($C$18:C308,C308)),"st","nd","rd","th"),"")</f>
        <v/>
      </c>
    </row>
    <row r="309" spans="8:14" x14ac:dyDescent="0.25">
      <c r="H309" s="201" t="str">
        <f t="shared" si="4"/>
        <v/>
      </c>
      <c r="N309" s="164" t="str">
        <f>IFERROR(COUNTIF($C$18:C309,C309)&amp;CHOOSE(MIN(4,COUNTIF($C$18:C309,C309)),"st","nd","rd","th"),"")</f>
        <v/>
      </c>
    </row>
    <row r="310" spans="8:14" x14ac:dyDescent="0.25">
      <c r="H310" s="201" t="str">
        <f t="shared" si="4"/>
        <v/>
      </c>
      <c r="N310" s="164" t="str">
        <f>IFERROR(COUNTIF($C$18:C310,C310)&amp;CHOOSE(MIN(4,COUNTIF($C$18:C310,C310)),"st","nd","rd","th"),"")</f>
        <v/>
      </c>
    </row>
    <row r="311" spans="8:14" x14ac:dyDescent="0.25">
      <c r="H311" s="201" t="str">
        <f t="shared" si="4"/>
        <v/>
      </c>
      <c r="N311" s="164" t="str">
        <f>IFERROR(COUNTIF($C$18:C311,C311)&amp;CHOOSE(MIN(4,COUNTIF($C$18:C311,C311)),"st","nd","rd","th"),"")</f>
        <v/>
      </c>
    </row>
    <row r="312" spans="8:14" x14ac:dyDescent="0.25">
      <c r="H312" s="201" t="str">
        <f t="shared" si="4"/>
        <v/>
      </c>
      <c r="N312" s="164" t="str">
        <f>IFERROR(COUNTIF($C$18:C312,C312)&amp;CHOOSE(MIN(4,COUNTIF($C$18:C312,C312)),"st","nd","rd","th"),"")</f>
        <v/>
      </c>
    </row>
    <row r="313" spans="8:14" x14ac:dyDescent="0.25">
      <c r="H313" s="201" t="str">
        <f t="shared" si="4"/>
        <v/>
      </c>
      <c r="N313" s="164" t="str">
        <f>IFERROR(COUNTIF($C$18:C313,C313)&amp;CHOOSE(MIN(4,COUNTIF($C$18:C313,C313)),"st","nd","rd","th"),"")</f>
        <v/>
      </c>
    </row>
    <row r="314" spans="8:14" x14ac:dyDescent="0.25">
      <c r="H314" s="201" t="str">
        <f t="shared" si="4"/>
        <v/>
      </c>
      <c r="N314" s="164" t="str">
        <f>IFERROR(COUNTIF($C$18:C314,C314)&amp;CHOOSE(MIN(4,COUNTIF($C$18:C314,C314)),"st","nd","rd","th"),"")</f>
        <v/>
      </c>
    </row>
    <row r="315" spans="8:14" x14ac:dyDescent="0.25">
      <c r="H315" s="201" t="str">
        <f t="shared" si="4"/>
        <v/>
      </c>
      <c r="N315" s="164" t="str">
        <f>IFERROR(COUNTIF($C$18:C315,C315)&amp;CHOOSE(MIN(4,COUNTIF($C$18:C315,C315)),"st","nd","rd","th"),"")</f>
        <v/>
      </c>
    </row>
    <row r="316" spans="8:14" x14ac:dyDescent="0.25">
      <c r="H316" s="201" t="str">
        <f t="shared" si="4"/>
        <v/>
      </c>
      <c r="N316" s="164" t="str">
        <f>IFERROR(COUNTIF($C$18:C316,C316)&amp;CHOOSE(MIN(4,COUNTIF($C$18:C316,C316)),"st","nd","rd","th"),"")</f>
        <v/>
      </c>
    </row>
    <row r="317" spans="8:14" x14ac:dyDescent="0.25">
      <c r="H317" s="201" t="str">
        <f t="shared" si="4"/>
        <v/>
      </c>
      <c r="N317" s="164" t="str">
        <f>IFERROR(COUNTIF($C$18:C317,C317)&amp;CHOOSE(MIN(4,COUNTIF($C$18:C317,C317)),"st","nd","rd","th"),"")</f>
        <v/>
      </c>
    </row>
    <row r="318" spans="8:14" x14ac:dyDescent="0.25">
      <c r="H318" s="201" t="str">
        <f t="shared" si="4"/>
        <v/>
      </c>
      <c r="N318" s="164" t="str">
        <f>IFERROR(COUNTIF($C$18:C318,C318)&amp;CHOOSE(MIN(4,COUNTIF($C$18:C318,C318)),"st","nd","rd","th"),"")</f>
        <v/>
      </c>
    </row>
    <row r="319" spans="8:14" x14ac:dyDescent="0.25">
      <c r="H319" s="201" t="str">
        <f t="shared" si="4"/>
        <v/>
      </c>
      <c r="N319" s="164" t="str">
        <f>IFERROR(COUNTIF($C$18:C319,C319)&amp;CHOOSE(MIN(4,COUNTIF($C$18:C319,C319)),"st","nd","rd","th"),"")</f>
        <v/>
      </c>
    </row>
    <row r="320" spans="8:14" x14ac:dyDescent="0.25">
      <c r="H320" s="201" t="str">
        <f t="shared" si="4"/>
        <v/>
      </c>
      <c r="N320" s="164" t="str">
        <f>IFERROR(COUNTIF($C$18:C320,C320)&amp;CHOOSE(MIN(4,COUNTIF($C$18:C320,C320)),"st","nd","rd","th"),"")</f>
        <v/>
      </c>
    </row>
    <row r="321" spans="8:14" x14ac:dyDescent="0.25">
      <c r="H321" s="201" t="str">
        <f t="shared" si="4"/>
        <v/>
      </c>
      <c r="N321" s="164" t="str">
        <f>IFERROR(COUNTIF($C$18:C321,C321)&amp;CHOOSE(MIN(4,COUNTIF($C$18:C321,C321)),"st","nd","rd","th"),"")</f>
        <v/>
      </c>
    </row>
    <row r="322" spans="8:14" x14ac:dyDescent="0.25">
      <c r="H322" s="201" t="str">
        <f t="shared" si="4"/>
        <v/>
      </c>
      <c r="N322" s="164" t="str">
        <f>IFERROR(COUNTIF($C$18:C322,C322)&amp;CHOOSE(MIN(4,COUNTIF($C$18:C322,C322)),"st","nd","rd","th"),"")</f>
        <v/>
      </c>
    </row>
    <row r="323" spans="8:14" x14ac:dyDescent="0.25">
      <c r="H323" s="201" t="str">
        <f t="shared" si="4"/>
        <v/>
      </c>
      <c r="N323" s="164" t="str">
        <f>IFERROR(COUNTIF($C$18:C323,C323)&amp;CHOOSE(MIN(4,COUNTIF($C$18:C323,C323)),"st","nd","rd","th"),"")</f>
        <v/>
      </c>
    </row>
    <row r="324" spans="8:14" x14ac:dyDescent="0.25">
      <c r="H324" s="201" t="str">
        <f t="shared" si="4"/>
        <v/>
      </c>
      <c r="N324" s="164" t="str">
        <f>IFERROR(COUNTIF($C$18:C324,C324)&amp;CHOOSE(MIN(4,COUNTIF($C$18:C324,C324)),"st","nd","rd","th"),"")</f>
        <v/>
      </c>
    </row>
    <row r="325" spans="8:14" x14ac:dyDescent="0.25">
      <c r="H325" s="201" t="str">
        <f t="shared" si="4"/>
        <v/>
      </c>
      <c r="N325" s="164" t="str">
        <f>IFERROR(COUNTIF($C$18:C325,C325)&amp;CHOOSE(MIN(4,COUNTIF($C$18:C325,C325)),"st","nd","rd","th"),"")</f>
        <v/>
      </c>
    </row>
    <row r="326" spans="8:14" x14ac:dyDescent="0.25">
      <c r="H326" s="201" t="str">
        <f t="shared" si="4"/>
        <v/>
      </c>
      <c r="N326" s="164" t="str">
        <f>IFERROR(COUNTIF($C$18:C326,C326)&amp;CHOOSE(MIN(4,COUNTIF($C$18:C326,C326)),"st","nd","rd","th"),"")</f>
        <v/>
      </c>
    </row>
    <row r="327" spans="8:14" x14ac:dyDescent="0.25">
      <c r="H327" s="201" t="str">
        <f t="shared" si="4"/>
        <v/>
      </c>
      <c r="N327" s="164" t="str">
        <f>IFERROR(COUNTIF($C$18:C327,C327)&amp;CHOOSE(MIN(4,COUNTIF($C$18:C327,C327)),"st","nd","rd","th"),"")</f>
        <v/>
      </c>
    </row>
    <row r="328" spans="8:14" x14ac:dyDescent="0.25">
      <c r="H328" s="201" t="str">
        <f t="shared" si="4"/>
        <v/>
      </c>
      <c r="N328" s="164" t="str">
        <f>IFERROR(COUNTIF($C$18:C328,C328)&amp;CHOOSE(MIN(4,COUNTIF($C$18:C328,C328)),"st","nd","rd","th"),"")</f>
        <v/>
      </c>
    </row>
    <row r="329" spans="8:14" x14ac:dyDescent="0.25">
      <c r="H329" s="201" t="str">
        <f t="shared" si="4"/>
        <v/>
      </c>
      <c r="N329" s="164" t="str">
        <f>IFERROR(COUNTIF($C$18:C329,C329)&amp;CHOOSE(MIN(4,COUNTIF($C$18:C329,C329)),"st","nd","rd","th"),"")</f>
        <v/>
      </c>
    </row>
    <row r="330" spans="8:14" x14ac:dyDescent="0.25">
      <c r="H330" s="201" t="str">
        <f t="shared" si="4"/>
        <v/>
      </c>
      <c r="N330" s="164" t="str">
        <f>IFERROR(COUNTIF($C$18:C330,C330)&amp;CHOOSE(MIN(4,COUNTIF($C$18:C330,C330)),"st","nd","rd","th"),"")</f>
        <v/>
      </c>
    </row>
    <row r="331" spans="8:14" x14ac:dyDescent="0.25">
      <c r="H331" s="201" t="str">
        <f t="shared" si="4"/>
        <v/>
      </c>
      <c r="N331" s="164" t="str">
        <f>IFERROR(COUNTIF($C$18:C331,C331)&amp;CHOOSE(MIN(4,COUNTIF($C$18:C331,C331)),"st","nd","rd","th"),"")</f>
        <v/>
      </c>
    </row>
    <row r="332" spans="8:14" x14ac:dyDescent="0.25">
      <c r="H332" s="201" t="str">
        <f t="shared" si="4"/>
        <v/>
      </c>
      <c r="N332" s="164" t="str">
        <f>IFERROR(COUNTIF($C$18:C332,C332)&amp;CHOOSE(MIN(4,COUNTIF($C$18:C332,C332)),"st","nd","rd","th"),"")</f>
        <v/>
      </c>
    </row>
    <row r="333" spans="8:14" x14ac:dyDescent="0.25">
      <c r="H333" s="201" t="str">
        <f t="shared" si="4"/>
        <v/>
      </c>
      <c r="N333" s="164" t="str">
        <f>IFERROR(COUNTIF($C$18:C333,C333)&amp;CHOOSE(MIN(4,COUNTIF($C$18:C333,C333)),"st","nd","rd","th"),"")</f>
        <v/>
      </c>
    </row>
    <row r="334" spans="8:14" x14ac:dyDescent="0.25">
      <c r="H334" s="201" t="str">
        <f t="shared" si="4"/>
        <v/>
      </c>
      <c r="N334" s="164" t="str">
        <f>IFERROR(COUNTIF($C$18:C334,C334)&amp;CHOOSE(MIN(4,COUNTIF($C$18:C334,C334)),"st","nd","rd","th"),"")</f>
        <v/>
      </c>
    </row>
    <row r="335" spans="8:14" x14ac:dyDescent="0.25">
      <c r="H335" s="201" t="str">
        <f t="shared" si="4"/>
        <v/>
      </c>
      <c r="N335" s="164" t="str">
        <f>IFERROR(COUNTIF($C$18:C335,C335)&amp;CHOOSE(MIN(4,COUNTIF($C$18:C335,C335)),"st","nd","rd","th"),"")</f>
        <v/>
      </c>
    </row>
    <row r="336" spans="8:14" x14ac:dyDescent="0.25">
      <c r="H336" s="201" t="str">
        <f t="shared" si="4"/>
        <v/>
      </c>
      <c r="N336" s="164" t="str">
        <f>IFERROR(COUNTIF($C$18:C336,C336)&amp;CHOOSE(MIN(4,COUNTIF($C$18:C336,C336)),"st","nd","rd","th"),"")</f>
        <v/>
      </c>
    </row>
    <row r="337" spans="8:14" x14ac:dyDescent="0.25">
      <c r="H337" s="201" t="str">
        <f t="shared" si="4"/>
        <v/>
      </c>
      <c r="N337" s="164" t="str">
        <f>IFERROR(COUNTIF($C$18:C337,C337)&amp;CHOOSE(MIN(4,COUNTIF($C$18:C337,C337)),"st","nd","rd","th"),"")</f>
        <v/>
      </c>
    </row>
    <row r="338" spans="8:14" x14ac:dyDescent="0.25">
      <c r="H338" s="201" t="str">
        <f t="shared" ref="H338:H401" si="5">IF(OR(ISBLANK(G338), ISBLANK(F338)), "", IF(G338=F338, 1, SUM(_xlfn.DAYS(G338, F338), 1)))</f>
        <v/>
      </c>
      <c r="N338" s="164" t="str">
        <f>IFERROR(COUNTIF($C$18:C338,C338)&amp;CHOOSE(MIN(4,COUNTIF($C$18:C338,C338)),"st","nd","rd","th"),"")</f>
        <v/>
      </c>
    </row>
    <row r="339" spans="8:14" x14ac:dyDescent="0.25">
      <c r="H339" s="201" t="str">
        <f t="shared" si="5"/>
        <v/>
      </c>
      <c r="N339" s="164" t="str">
        <f>IFERROR(COUNTIF($C$18:C339,C339)&amp;CHOOSE(MIN(4,COUNTIF($C$18:C339,C339)),"st","nd","rd","th"),"")</f>
        <v/>
      </c>
    </row>
    <row r="340" spans="8:14" x14ac:dyDescent="0.25">
      <c r="H340" s="201" t="str">
        <f t="shared" si="5"/>
        <v/>
      </c>
      <c r="N340" s="164" t="str">
        <f>IFERROR(COUNTIF($C$18:C340,C340)&amp;CHOOSE(MIN(4,COUNTIF($C$18:C340,C340)),"st","nd","rd","th"),"")</f>
        <v/>
      </c>
    </row>
    <row r="341" spans="8:14" x14ac:dyDescent="0.25">
      <c r="H341" s="201" t="str">
        <f t="shared" si="5"/>
        <v/>
      </c>
      <c r="N341" s="164" t="str">
        <f>IFERROR(COUNTIF($C$18:C341,C341)&amp;CHOOSE(MIN(4,COUNTIF($C$18:C341,C341)),"st","nd","rd","th"),"")</f>
        <v/>
      </c>
    </row>
    <row r="342" spans="8:14" x14ac:dyDescent="0.25">
      <c r="H342" s="201" t="str">
        <f t="shared" si="5"/>
        <v/>
      </c>
      <c r="N342" s="164" t="str">
        <f>IFERROR(COUNTIF($C$18:C342,C342)&amp;CHOOSE(MIN(4,COUNTIF($C$18:C342,C342)),"st","nd","rd","th"),"")</f>
        <v/>
      </c>
    </row>
    <row r="343" spans="8:14" x14ac:dyDescent="0.25">
      <c r="H343" s="201" t="str">
        <f t="shared" si="5"/>
        <v/>
      </c>
      <c r="N343" s="164" t="str">
        <f>IFERROR(COUNTIF($C$18:C343,C343)&amp;CHOOSE(MIN(4,COUNTIF($C$18:C343,C343)),"st","nd","rd","th"),"")</f>
        <v/>
      </c>
    </row>
    <row r="344" spans="8:14" x14ac:dyDescent="0.25">
      <c r="H344" s="201" t="str">
        <f t="shared" si="5"/>
        <v/>
      </c>
      <c r="N344" s="164" t="str">
        <f>IFERROR(COUNTIF($C$18:C344,C344)&amp;CHOOSE(MIN(4,COUNTIF($C$18:C344,C344)),"st","nd","rd","th"),"")</f>
        <v/>
      </c>
    </row>
    <row r="345" spans="8:14" x14ac:dyDescent="0.25">
      <c r="H345" s="201" t="str">
        <f t="shared" si="5"/>
        <v/>
      </c>
      <c r="N345" s="164" t="str">
        <f>IFERROR(COUNTIF($C$18:C345,C345)&amp;CHOOSE(MIN(4,COUNTIF($C$18:C345,C345)),"st","nd","rd","th"),"")</f>
        <v/>
      </c>
    </row>
    <row r="346" spans="8:14" x14ac:dyDescent="0.25">
      <c r="H346" s="201" t="str">
        <f t="shared" si="5"/>
        <v/>
      </c>
      <c r="N346" s="164" t="str">
        <f>IFERROR(COUNTIF($C$18:C346,C346)&amp;CHOOSE(MIN(4,COUNTIF($C$18:C346,C346)),"st","nd","rd","th"),"")</f>
        <v/>
      </c>
    </row>
    <row r="347" spans="8:14" x14ac:dyDescent="0.25">
      <c r="H347" s="201" t="str">
        <f t="shared" si="5"/>
        <v/>
      </c>
      <c r="N347" s="164" t="str">
        <f>IFERROR(COUNTIF($C$18:C347,C347)&amp;CHOOSE(MIN(4,COUNTIF($C$18:C347,C347)),"st","nd","rd","th"),"")</f>
        <v/>
      </c>
    </row>
    <row r="348" spans="8:14" x14ac:dyDescent="0.25">
      <c r="H348" s="201" t="str">
        <f t="shared" si="5"/>
        <v/>
      </c>
      <c r="N348" s="164" t="str">
        <f>IFERROR(COUNTIF($C$18:C348,C348)&amp;CHOOSE(MIN(4,COUNTIF($C$18:C348,C348)),"st","nd","rd","th"),"")</f>
        <v/>
      </c>
    </row>
    <row r="349" spans="8:14" x14ac:dyDescent="0.25">
      <c r="H349" s="201" t="str">
        <f t="shared" si="5"/>
        <v/>
      </c>
      <c r="N349" s="164" t="str">
        <f>IFERROR(COUNTIF($C$18:C349,C349)&amp;CHOOSE(MIN(4,COUNTIF($C$18:C349,C349)),"st","nd","rd","th"),"")</f>
        <v/>
      </c>
    </row>
    <row r="350" spans="8:14" x14ac:dyDescent="0.25">
      <c r="H350" s="201" t="str">
        <f t="shared" si="5"/>
        <v/>
      </c>
      <c r="N350" s="164" t="str">
        <f>IFERROR(COUNTIF($C$18:C350,C350)&amp;CHOOSE(MIN(4,COUNTIF($C$18:C350,C350)),"st","nd","rd","th"),"")</f>
        <v/>
      </c>
    </row>
    <row r="351" spans="8:14" x14ac:dyDescent="0.25">
      <c r="H351" s="201" t="str">
        <f t="shared" si="5"/>
        <v/>
      </c>
      <c r="N351" s="164" t="str">
        <f>IFERROR(COUNTIF($C$18:C351,C351)&amp;CHOOSE(MIN(4,COUNTIF($C$18:C351,C351)),"st","nd","rd","th"),"")</f>
        <v/>
      </c>
    </row>
    <row r="352" spans="8:14" x14ac:dyDescent="0.25">
      <c r="H352" s="201" t="str">
        <f t="shared" si="5"/>
        <v/>
      </c>
      <c r="N352" s="164" t="str">
        <f>IFERROR(COUNTIF($C$18:C352,C352)&amp;CHOOSE(MIN(4,COUNTIF($C$18:C352,C352)),"st","nd","rd","th"),"")</f>
        <v/>
      </c>
    </row>
    <row r="353" spans="8:14" x14ac:dyDescent="0.25">
      <c r="H353" s="201" t="str">
        <f t="shared" si="5"/>
        <v/>
      </c>
      <c r="N353" s="164" t="str">
        <f>IFERROR(COUNTIF($C$18:C353,C353)&amp;CHOOSE(MIN(4,COUNTIF($C$18:C353,C353)),"st","nd","rd","th"),"")</f>
        <v/>
      </c>
    </row>
    <row r="354" spans="8:14" x14ac:dyDescent="0.25">
      <c r="H354" s="201" t="str">
        <f t="shared" si="5"/>
        <v/>
      </c>
      <c r="N354" s="164" t="str">
        <f>IFERROR(COUNTIF($C$18:C354,C354)&amp;CHOOSE(MIN(4,COUNTIF($C$18:C354,C354)),"st","nd","rd","th"),"")</f>
        <v/>
      </c>
    </row>
    <row r="355" spans="8:14" x14ac:dyDescent="0.25">
      <c r="H355" s="201" t="str">
        <f t="shared" si="5"/>
        <v/>
      </c>
      <c r="N355" s="164" t="str">
        <f>IFERROR(COUNTIF($C$18:C355,C355)&amp;CHOOSE(MIN(4,COUNTIF($C$18:C355,C355)),"st","nd","rd","th"),"")</f>
        <v/>
      </c>
    </row>
    <row r="356" spans="8:14" x14ac:dyDescent="0.25">
      <c r="H356" s="201" t="str">
        <f t="shared" si="5"/>
        <v/>
      </c>
      <c r="N356" s="164" t="str">
        <f>IFERROR(COUNTIF($C$18:C356,C356)&amp;CHOOSE(MIN(4,COUNTIF($C$18:C356,C356)),"st","nd","rd","th"),"")</f>
        <v/>
      </c>
    </row>
    <row r="357" spans="8:14" x14ac:dyDescent="0.25">
      <c r="H357" s="201" t="str">
        <f t="shared" si="5"/>
        <v/>
      </c>
      <c r="N357" s="164" t="str">
        <f>IFERROR(COUNTIF($C$18:C357,C357)&amp;CHOOSE(MIN(4,COUNTIF($C$18:C357,C357)),"st","nd","rd","th"),"")</f>
        <v/>
      </c>
    </row>
    <row r="358" spans="8:14" x14ac:dyDescent="0.25">
      <c r="H358" s="201" t="str">
        <f t="shared" si="5"/>
        <v/>
      </c>
      <c r="N358" s="164" t="str">
        <f>IFERROR(COUNTIF($C$18:C358,C358)&amp;CHOOSE(MIN(4,COUNTIF($C$18:C358,C358)),"st","nd","rd","th"),"")</f>
        <v/>
      </c>
    </row>
    <row r="359" spans="8:14" x14ac:dyDescent="0.25">
      <c r="H359" s="201" t="str">
        <f t="shared" si="5"/>
        <v/>
      </c>
      <c r="N359" s="164" t="str">
        <f>IFERROR(COUNTIF($C$18:C359,C359)&amp;CHOOSE(MIN(4,COUNTIF($C$18:C359,C359)),"st","nd","rd","th"),"")</f>
        <v/>
      </c>
    </row>
    <row r="360" spans="8:14" x14ac:dyDescent="0.25">
      <c r="H360" s="201" t="str">
        <f t="shared" si="5"/>
        <v/>
      </c>
      <c r="N360" s="164" t="str">
        <f>IFERROR(COUNTIF($C$18:C360,C360)&amp;CHOOSE(MIN(4,COUNTIF($C$18:C360,C360)),"st","nd","rd","th"),"")</f>
        <v/>
      </c>
    </row>
    <row r="361" spans="8:14" x14ac:dyDescent="0.25">
      <c r="H361" s="201" t="str">
        <f t="shared" si="5"/>
        <v/>
      </c>
      <c r="N361" s="164" t="str">
        <f>IFERROR(COUNTIF($C$18:C361,C361)&amp;CHOOSE(MIN(4,COUNTIF($C$18:C361,C361)),"st","nd","rd","th"),"")</f>
        <v/>
      </c>
    </row>
    <row r="362" spans="8:14" x14ac:dyDescent="0.25">
      <c r="H362" s="201" t="str">
        <f t="shared" si="5"/>
        <v/>
      </c>
      <c r="N362" s="164" t="str">
        <f>IFERROR(COUNTIF($C$18:C362,C362)&amp;CHOOSE(MIN(4,COUNTIF($C$18:C362,C362)),"st","nd","rd","th"),"")</f>
        <v/>
      </c>
    </row>
    <row r="363" spans="8:14" x14ac:dyDescent="0.25">
      <c r="H363" s="201" t="str">
        <f t="shared" si="5"/>
        <v/>
      </c>
      <c r="N363" s="164" t="str">
        <f>IFERROR(COUNTIF($C$18:C363,C363)&amp;CHOOSE(MIN(4,COUNTIF($C$18:C363,C363)),"st","nd","rd","th"),"")</f>
        <v/>
      </c>
    </row>
    <row r="364" spans="8:14" x14ac:dyDescent="0.25">
      <c r="H364" s="201" t="str">
        <f t="shared" si="5"/>
        <v/>
      </c>
      <c r="N364" s="164" t="str">
        <f>IFERROR(COUNTIF($C$18:C364,C364)&amp;CHOOSE(MIN(4,COUNTIF($C$18:C364,C364)),"st","nd","rd","th"),"")</f>
        <v/>
      </c>
    </row>
    <row r="365" spans="8:14" x14ac:dyDescent="0.25">
      <c r="H365" s="201" t="str">
        <f t="shared" si="5"/>
        <v/>
      </c>
      <c r="N365" s="164" t="str">
        <f>IFERROR(COUNTIF($C$18:C365,C365)&amp;CHOOSE(MIN(4,COUNTIF($C$18:C365,C365)),"st","nd","rd","th"),"")</f>
        <v/>
      </c>
    </row>
    <row r="366" spans="8:14" x14ac:dyDescent="0.25">
      <c r="H366" s="201" t="str">
        <f t="shared" si="5"/>
        <v/>
      </c>
      <c r="N366" s="164" t="str">
        <f>IFERROR(COUNTIF($C$18:C366,C366)&amp;CHOOSE(MIN(4,COUNTIF($C$18:C366,C366)),"st","nd","rd","th"),"")</f>
        <v/>
      </c>
    </row>
    <row r="367" spans="8:14" x14ac:dyDescent="0.25">
      <c r="H367" s="201" t="str">
        <f t="shared" si="5"/>
        <v/>
      </c>
      <c r="N367" s="164" t="str">
        <f>IFERROR(COUNTIF($C$18:C367,C367)&amp;CHOOSE(MIN(4,COUNTIF($C$18:C367,C367)),"st","nd","rd","th"),"")</f>
        <v/>
      </c>
    </row>
    <row r="368" spans="8:14" x14ac:dyDescent="0.25">
      <c r="H368" s="201" t="str">
        <f t="shared" si="5"/>
        <v/>
      </c>
      <c r="N368" s="164" t="str">
        <f>IFERROR(COUNTIF($C$18:C368,C368)&amp;CHOOSE(MIN(4,COUNTIF($C$18:C368,C368)),"st","nd","rd","th"),"")</f>
        <v/>
      </c>
    </row>
    <row r="369" spans="8:14" x14ac:dyDescent="0.25">
      <c r="H369" s="201" t="str">
        <f t="shared" si="5"/>
        <v/>
      </c>
      <c r="N369" s="164" t="str">
        <f>IFERROR(COUNTIF($C$18:C369,C369)&amp;CHOOSE(MIN(4,COUNTIF($C$18:C369,C369)),"st","nd","rd","th"),"")</f>
        <v/>
      </c>
    </row>
    <row r="370" spans="8:14" x14ac:dyDescent="0.25">
      <c r="H370" s="201" t="str">
        <f t="shared" si="5"/>
        <v/>
      </c>
      <c r="N370" s="164" t="str">
        <f>IFERROR(COUNTIF($C$18:C370,C370)&amp;CHOOSE(MIN(4,COUNTIF($C$18:C370,C370)),"st","nd","rd","th"),"")</f>
        <v/>
      </c>
    </row>
    <row r="371" spans="8:14" x14ac:dyDescent="0.25">
      <c r="H371" s="201" t="str">
        <f t="shared" si="5"/>
        <v/>
      </c>
      <c r="N371" s="164" t="str">
        <f>IFERROR(COUNTIF($C$18:C371,C371)&amp;CHOOSE(MIN(4,COUNTIF($C$18:C371,C371)),"st","nd","rd","th"),"")</f>
        <v/>
      </c>
    </row>
    <row r="372" spans="8:14" x14ac:dyDescent="0.25">
      <c r="H372" s="201" t="str">
        <f t="shared" si="5"/>
        <v/>
      </c>
      <c r="N372" s="164" t="str">
        <f>IFERROR(COUNTIF($C$18:C372,C372)&amp;CHOOSE(MIN(4,COUNTIF($C$18:C372,C372)),"st","nd","rd","th"),"")</f>
        <v/>
      </c>
    </row>
    <row r="373" spans="8:14" x14ac:dyDescent="0.25">
      <c r="H373" s="201" t="str">
        <f t="shared" si="5"/>
        <v/>
      </c>
      <c r="N373" s="164" t="str">
        <f>IFERROR(COUNTIF($C$18:C373,C373)&amp;CHOOSE(MIN(4,COUNTIF($C$18:C373,C373)),"st","nd","rd","th"),"")</f>
        <v/>
      </c>
    </row>
    <row r="374" spans="8:14" x14ac:dyDescent="0.25">
      <c r="H374" s="201" t="str">
        <f t="shared" si="5"/>
        <v/>
      </c>
      <c r="N374" s="164" t="str">
        <f>IFERROR(COUNTIF($C$18:C374,C374)&amp;CHOOSE(MIN(4,COUNTIF($C$18:C374,C374)),"st","nd","rd","th"),"")</f>
        <v/>
      </c>
    </row>
    <row r="375" spans="8:14" x14ac:dyDescent="0.25">
      <c r="H375" s="201" t="str">
        <f t="shared" si="5"/>
        <v/>
      </c>
      <c r="N375" s="164" t="str">
        <f>IFERROR(COUNTIF($C$18:C375,C375)&amp;CHOOSE(MIN(4,COUNTIF($C$18:C375,C375)),"st","nd","rd","th"),"")</f>
        <v/>
      </c>
    </row>
    <row r="376" spans="8:14" x14ac:dyDescent="0.25">
      <c r="H376" s="201" t="str">
        <f t="shared" si="5"/>
        <v/>
      </c>
      <c r="N376" s="164" t="str">
        <f>IFERROR(COUNTIF($C$18:C376,C376)&amp;CHOOSE(MIN(4,COUNTIF($C$18:C376,C376)),"st","nd","rd","th"),"")</f>
        <v/>
      </c>
    </row>
    <row r="377" spans="8:14" x14ac:dyDescent="0.25">
      <c r="H377" s="201" t="str">
        <f t="shared" si="5"/>
        <v/>
      </c>
      <c r="N377" s="164" t="str">
        <f>IFERROR(COUNTIF($C$18:C377,C377)&amp;CHOOSE(MIN(4,COUNTIF($C$18:C377,C377)),"st","nd","rd","th"),"")</f>
        <v/>
      </c>
    </row>
    <row r="378" spans="8:14" x14ac:dyDescent="0.25">
      <c r="H378" s="201" t="str">
        <f t="shared" si="5"/>
        <v/>
      </c>
      <c r="N378" s="164" t="str">
        <f>IFERROR(COUNTIF($C$18:C378,C378)&amp;CHOOSE(MIN(4,COUNTIF($C$18:C378,C378)),"st","nd","rd","th"),"")</f>
        <v/>
      </c>
    </row>
    <row r="379" spans="8:14" x14ac:dyDescent="0.25">
      <c r="H379" s="201" t="str">
        <f t="shared" si="5"/>
        <v/>
      </c>
      <c r="N379" s="164" t="str">
        <f>IFERROR(COUNTIF($C$18:C379,C379)&amp;CHOOSE(MIN(4,COUNTIF($C$18:C379,C379)),"st","nd","rd","th"),"")</f>
        <v/>
      </c>
    </row>
    <row r="380" spans="8:14" x14ac:dyDescent="0.25">
      <c r="H380" s="201" t="str">
        <f t="shared" si="5"/>
        <v/>
      </c>
      <c r="N380" s="164" t="str">
        <f>IFERROR(COUNTIF($C$18:C380,C380)&amp;CHOOSE(MIN(4,COUNTIF($C$18:C380,C380)),"st","nd","rd","th"),"")</f>
        <v/>
      </c>
    </row>
    <row r="381" spans="8:14" x14ac:dyDescent="0.25">
      <c r="H381" s="201" t="str">
        <f t="shared" si="5"/>
        <v/>
      </c>
      <c r="N381" s="164" t="str">
        <f>IFERROR(COUNTIF($C$18:C381,C381)&amp;CHOOSE(MIN(4,COUNTIF($C$18:C381,C381)),"st","nd","rd","th"),"")</f>
        <v/>
      </c>
    </row>
    <row r="382" spans="8:14" x14ac:dyDescent="0.25">
      <c r="H382" s="201" t="str">
        <f t="shared" si="5"/>
        <v/>
      </c>
      <c r="N382" s="164" t="str">
        <f>IFERROR(COUNTIF($C$18:C382,C382)&amp;CHOOSE(MIN(4,COUNTIF($C$18:C382,C382)),"st","nd","rd","th"),"")</f>
        <v/>
      </c>
    </row>
    <row r="383" spans="8:14" x14ac:dyDescent="0.25">
      <c r="H383" s="201" t="str">
        <f t="shared" si="5"/>
        <v/>
      </c>
      <c r="N383" s="164" t="str">
        <f>IFERROR(COUNTIF($C$18:C383,C383)&amp;CHOOSE(MIN(4,COUNTIF($C$18:C383,C383)),"st","nd","rd","th"),"")</f>
        <v/>
      </c>
    </row>
    <row r="384" spans="8:14" x14ac:dyDescent="0.25">
      <c r="H384" s="201" t="str">
        <f t="shared" si="5"/>
        <v/>
      </c>
      <c r="N384" s="164" t="str">
        <f>IFERROR(COUNTIF($C$18:C384,C384)&amp;CHOOSE(MIN(4,COUNTIF($C$18:C384,C384)),"st","nd","rd","th"),"")</f>
        <v/>
      </c>
    </row>
    <row r="385" spans="8:14" x14ac:dyDescent="0.25">
      <c r="H385" s="201" t="str">
        <f t="shared" si="5"/>
        <v/>
      </c>
      <c r="N385" s="164" t="str">
        <f>IFERROR(COUNTIF($C$18:C385,C385)&amp;CHOOSE(MIN(4,COUNTIF($C$18:C385,C385)),"st","nd","rd","th"),"")</f>
        <v/>
      </c>
    </row>
    <row r="386" spans="8:14" x14ac:dyDescent="0.25">
      <c r="H386" s="201" t="str">
        <f t="shared" si="5"/>
        <v/>
      </c>
      <c r="N386" s="164" t="str">
        <f>IFERROR(COUNTIF($C$18:C386,C386)&amp;CHOOSE(MIN(4,COUNTIF($C$18:C386,C386)),"st","nd","rd","th"),"")</f>
        <v/>
      </c>
    </row>
    <row r="387" spans="8:14" x14ac:dyDescent="0.25">
      <c r="H387" s="201" t="str">
        <f t="shared" si="5"/>
        <v/>
      </c>
      <c r="N387" s="164" t="str">
        <f>IFERROR(COUNTIF($C$18:C387,C387)&amp;CHOOSE(MIN(4,COUNTIF($C$18:C387,C387)),"st","nd","rd","th"),"")</f>
        <v/>
      </c>
    </row>
    <row r="388" spans="8:14" x14ac:dyDescent="0.25">
      <c r="H388" s="201" t="str">
        <f t="shared" si="5"/>
        <v/>
      </c>
      <c r="N388" s="164" t="str">
        <f>IFERROR(COUNTIF($C$18:C388,C388)&amp;CHOOSE(MIN(4,COUNTIF($C$18:C388,C388)),"st","nd","rd","th"),"")</f>
        <v/>
      </c>
    </row>
    <row r="389" spans="8:14" x14ac:dyDescent="0.25">
      <c r="H389" s="201" t="str">
        <f t="shared" si="5"/>
        <v/>
      </c>
      <c r="N389" s="164" t="str">
        <f>IFERROR(COUNTIF($C$18:C389,C389)&amp;CHOOSE(MIN(4,COUNTIF($C$18:C389,C389)),"st","nd","rd","th"),"")</f>
        <v/>
      </c>
    </row>
    <row r="390" spans="8:14" x14ac:dyDescent="0.25">
      <c r="H390" s="201" t="str">
        <f t="shared" si="5"/>
        <v/>
      </c>
      <c r="N390" s="164" t="str">
        <f>IFERROR(COUNTIF($C$18:C390,C390)&amp;CHOOSE(MIN(4,COUNTIF($C$18:C390,C390)),"st","nd","rd","th"),"")</f>
        <v/>
      </c>
    </row>
    <row r="391" spans="8:14" x14ac:dyDescent="0.25">
      <c r="H391" s="201" t="str">
        <f t="shared" si="5"/>
        <v/>
      </c>
      <c r="N391" s="164" t="str">
        <f>IFERROR(COUNTIF($C$18:C391,C391)&amp;CHOOSE(MIN(4,COUNTIF($C$18:C391,C391)),"st","nd","rd","th"),"")</f>
        <v/>
      </c>
    </row>
    <row r="392" spans="8:14" x14ac:dyDescent="0.25">
      <c r="H392" s="201" t="str">
        <f t="shared" si="5"/>
        <v/>
      </c>
      <c r="N392" s="164" t="str">
        <f>IFERROR(COUNTIF($C$18:C392,C392)&amp;CHOOSE(MIN(4,COUNTIF($C$18:C392,C392)),"st","nd","rd","th"),"")</f>
        <v/>
      </c>
    </row>
    <row r="393" spans="8:14" x14ac:dyDescent="0.25">
      <c r="H393" s="201" t="str">
        <f t="shared" si="5"/>
        <v/>
      </c>
      <c r="N393" s="164" t="str">
        <f>IFERROR(COUNTIF($C$18:C393,C393)&amp;CHOOSE(MIN(4,COUNTIF($C$18:C393,C393)),"st","nd","rd","th"),"")</f>
        <v/>
      </c>
    </row>
    <row r="394" spans="8:14" x14ac:dyDescent="0.25">
      <c r="H394" s="201" t="str">
        <f t="shared" si="5"/>
        <v/>
      </c>
      <c r="N394" s="164" t="str">
        <f>IFERROR(COUNTIF($C$18:C394,C394)&amp;CHOOSE(MIN(4,COUNTIF($C$18:C394,C394)),"st","nd","rd","th"),"")</f>
        <v/>
      </c>
    </row>
    <row r="395" spans="8:14" x14ac:dyDescent="0.25">
      <c r="H395" s="201" t="str">
        <f t="shared" si="5"/>
        <v/>
      </c>
      <c r="N395" s="164" t="str">
        <f>IFERROR(COUNTIF($C$18:C395,C395)&amp;CHOOSE(MIN(4,COUNTIF($C$18:C395,C395)),"st","nd","rd","th"),"")</f>
        <v/>
      </c>
    </row>
    <row r="396" spans="8:14" x14ac:dyDescent="0.25">
      <c r="H396" s="201" t="str">
        <f t="shared" si="5"/>
        <v/>
      </c>
      <c r="N396" s="164" t="str">
        <f>IFERROR(COUNTIF($C$18:C396,C396)&amp;CHOOSE(MIN(4,COUNTIF($C$18:C396,C396)),"st","nd","rd","th"),"")</f>
        <v/>
      </c>
    </row>
    <row r="397" spans="8:14" x14ac:dyDescent="0.25">
      <c r="H397" s="201" t="str">
        <f t="shared" si="5"/>
        <v/>
      </c>
      <c r="N397" s="164" t="str">
        <f>IFERROR(COUNTIF($C$18:C397,C397)&amp;CHOOSE(MIN(4,COUNTIF($C$18:C397,C397)),"st","nd","rd","th"),"")</f>
        <v/>
      </c>
    </row>
    <row r="398" spans="8:14" x14ac:dyDescent="0.25">
      <c r="H398" s="201" t="str">
        <f t="shared" si="5"/>
        <v/>
      </c>
      <c r="N398" s="164" t="str">
        <f>IFERROR(COUNTIF($C$18:C398,C398)&amp;CHOOSE(MIN(4,COUNTIF($C$18:C398,C398)),"st","nd","rd","th"),"")</f>
        <v/>
      </c>
    </row>
    <row r="399" spans="8:14" x14ac:dyDescent="0.25">
      <c r="H399" s="201" t="str">
        <f t="shared" si="5"/>
        <v/>
      </c>
      <c r="N399" s="164" t="str">
        <f>IFERROR(COUNTIF($C$18:C399,C399)&amp;CHOOSE(MIN(4,COUNTIF($C$18:C399,C399)),"st","nd","rd","th"),"")</f>
        <v/>
      </c>
    </row>
    <row r="400" spans="8:14" x14ac:dyDescent="0.25">
      <c r="H400" s="201" t="str">
        <f t="shared" si="5"/>
        <v/>
      </c>
      <c r="N400" s="164" t="str">
        <f>IFERROR(COUNTIF($C$18:C400,C400)&amp;CHOOSE(MIN(4,COUNTIF($C$18:C400,C400)),"st","nd","rd","th"),"")</f>
        <v/>
      </c>
    </row>
    <row r="401" spans="8:14" x14ac:dyDescent="0.25">
      <c r="H401" s="201" t="str">
        <f t="shared" si="5"/>
        <v/>
      </c>
      <c r="N401" s="164" t="str">
        <f>IFERROR(COUNTIF($C$18:C401,C401)&amp;CHOOSE(MIN(4,COUNTIF($C$18:C401,C401)),"st","nd","rd","th"),"")</f>
        <v/>
      </c>
    </row>
    <row r="402" spans="8:14" x14ac:dyDescent="0.25">
      <c r="H402" s="201" t="str">
        <f t="shared" ref="H402:H465" si="6">IF(OR(ISBLANK(G402), ISBLANK(F402)), "", IF(G402=F402, 1, SUM(_xlfn.DAYS(G402, F402), 1)))</f>
        <v/>
      </c>
      <c r="N402" s="164" t="str">
        <f>IFERROR(COUNTIF($C$18:C402,C402)&amp;CHOOSE(MIN(4,COUNTIF($C$18:C402,C402)),"st","nd","rd","th"),"")</f>
        <v/>
      </c>
    </row>
    <row r="403" spans="8:14" x14ac:dyDescent="0.25">
      <c r="H403" s="201" t="str">
        <f t="shared" si="6"/>
        <v/>
      </c>
      <c r="N403" s="164" t="str">
        <f>IFERROR(COUNTIF($C$18:C403,C403)&amp;CHOOSE(MIN(4,COUNTIF($C$18:C403,C403)),"st","nd","rd","th"),"")</f>
        <v/>
      </c>
    </row>
    <row r="404" spans="8:14" x14ac:dyDescent="0.25">
      <c r="H404" s="201" t="str">
        <f t="shared" si="6"/>
        <v/>
      </c>
      <c r="N404" s="164" t="str">
        <f>IFERROR(COUNTIF($C$18:C404,C404)&amp;CHOOSE(MIN(4,COUNTIF($C$18:C404,C404)),"st","nd","rd","th"),"")</f>
        <v/>
      </c>
    </row>
    <row r="405" spans="8:14" x14ac:dyDescent="0.25">
      <c r="H405" s="201" t="str">
        <f t="shared" si="6"/>
        <v/>
      </c>
      <c r="N405" s="164" t="str">
        <f>IFERROR(COUNTIF($C$18:C405,C405)&amp;CHOOSE(MIN(4,COUNTIF($C$18:C405,C405)),"st","nd","rd","th"),"")</f>
        <v/>
      </c>
    </row>
    <row r="406" spans="8:14" x14ac:dyDescent="0.25">
      <c r="H406" s="201" t="str">
        <f t="shared" si="6"/>
        <v/>
      </c>
      <c r="N406" s="164" t="str">
        <f>IFERROR(COUNTIF($C$18:C406,C406)&amp;CHOOSE(MIN(4,COUNTIF($C$18:C406,C406)),"st","nd","rd","th"),"")</f>
        <v/>
      </c>
    </row>
    <row r="407" spans="8:14" x14ac:dyDescent="0.25">
      <c r="H407" s="201" t="str">
        <f t="shared" si="6"/>
        <v/>
      </c>
      <c r="N407" s="164" t="str">
        <f>IFERROR(COUNTIF($C$18:C407,C407)&amp;CHOOSE(MIN(4,COUNTIF($C$18:C407,C407)),"st","nd","rd","th"),"")</f>
        <v/>
      </c>
    </row>
    <row r="408" spans="8:14" x14ac:dyDescent="0.25">
      <c r="H408" s="201" t="str">
        <f t="shared" si="6"/>
        <v/>
      </c>
      <c r="N408" s="164" t="str">
        <f>IFERROR(COUNTIF($C$18:C408,C408)&amp;CHOOSE(MIN(4,COUNTIF($C$18:C408,C408)),"st","nd","rd","th"),"")</f>
        <v/>
      </c>
    </row>
    <row r="409" spans="8:14" x14ac:dyDescent="0.25">
      <c r="H409" s="201" t="str">
        <f t="shared" si="6"/>
        <v/>
      </c>
      <c r="N409" s="164" t="str">
        <f>IFERROR(COUNTIF($C$18:C409,C409)&amp;CHOOSE(MIN(4,COUNTIF($C$18:C409,C409)),"st","nd","rd","th"),"")</f>
        <v/>
      </c>
    </row>
    <row r="410" spans="8:14" x14ac:dyDescent="0.25">
      <c r="H410" s="201" t="str">
        <f t="shared" si="6"/>
        <v/>
      </c>
      <c r="N410" s="164" t="str">
        <f>IFERROR(COUNTIF($C$18:C410,C410)&amp;CHOOSE(MIN(4,COUNTIF($C$18:C410,C410)),"st","nd","rd","th"),"")</f>
        <v/>
      </c>
    </row>
    <row r="411" spans="8:14" x14ac:dyDescent="0.25">
      <c r="H411" s="201" t="str">
        <f t="shared" si="6"/>
        <v/>
      </c>
      <c r="N411" s="164" t="str">
        <f>IFERROR(COUNTIF($C$18:C411,C411)&amp;CHOOSE(MIN(4,COUNTIF($C$18:C411,C411)),"st","nd","rd","th"),"")</f>
        <v/>
      </c>
    </row>
    <row r="412" spans="8:14" x14ac:dyDescent="0.25">
      <c r="H412" s="201" t="str">
        <f t="shared" si="6"/>
        <v/>
      </c>
      <c r="N412" s="164" t="str">
        <f>IFERROR(COUNTIF($C$18:C412,C412)&amp;CHOOSE(MIN(4,COUNTIF($C$18:C412,C412)),"st","nd","rd","th"),"")</f>
        <v/>
      </c>
    </row>
    <row r="413" spans="8:14" x14ac:dyDescent="0.25">
      <c r="H413" s="201" t="str">
        <f t="shared" si="6"/>
        <v/>
      </c>
      <c r="N413" s="164" t="str">
        <f>IFERROR(COUNTIF($C$18:C413,C413)&amp;CHOOSE(MIN(4,COUNTIF($C$18:C413,C413)),"st","nd","rd","th"),"")</f>
        <v/>
      </c>
    </row>
    <row r="414" spans="8:14" x14ac:dyDescent="0.25">
      <c r="H414" s="201" t="str">
        <f t="shared" si="6"/>
        <v/>
      </c>
      <c r="N414" s="164" t="str">
        <f>IFERROR(COUNTIF($C$18:C414,C414)&amp;CHOOSE(MIN(4,COUNTIF($C$18:C414,C414)),"st","nd","rd","th"),"")</f>
        <v/>
      </c>
    </row>
    <row r="415" spans="8:14" x14ac:dyDescent="0.25">
      <c r="H415" s="201" t="str">
        <f t="shared" si="6"/>
        <v/>
      </c>
      <c r="N415" s="164" t="str">
        <f>IFERROR(COUNTIF($C$18:C415,C415)&amp;CHOOSE(MIN(4,COUNTIF($C$18:C415,C415)),"st","nd","rd","th"),"")</f>
        <v/>
      </c>
    </row>
    <row r="416" spans="8:14" x14ac:dyDescent="0.25">
      <c r="H416" s="201" t="str">
        <f t="shared" si="6"/>
        <v/>
      </c>
      <c r="N416" s="164" t="str">
        <f>IFERROR(COUNTIF($C$18:C416,C416)&amp;CHOOSE(MIN(4,COUNTIF($C$18:C416,C416)),"st","nd","rd","th"),"")</f>
        <v/>
      </c>
    </row>
    <row r="417" spans="8:14" x14ac:dyDescent="0.25">
      <c r="H417" s="201" t="str">
        <f t="shared" si="6"/>
        <v/>
      </c>
      <c r="N417" s="164" t="str">
        <f>IFERROR(COUNTIF($C$18:C417,C417)&amp;CHOOSE(MIN(4,COUNTIF($C$18:C417,C417)),"st","nd","rd","th"),"")</f>
        <v/>
      </c>
    </row>
    <row r="418" spans="8:14" x14ac:dyDescent="0.25">
      <c r="H418" s="201" t="str">
        <f t="shared" si="6"/>
        <v/>
      </c>
      <c r="N418" s="164" t="str">
        <f>IFERROR(COUNTIF($C$18:C418,C418)&amp;CHOOSE(MIN(4,COUNTIF($C$18:C418,C418)),"st","nd","rd","th"),"")</f>
        <v/>
      </c>
    </row>
    <row r="419" spans="8:14" x14ac:dyDescent="0.25">
      <c r="H419" s="201" t="str">
        <f t="shared" si="6"/>
        <v/>
      </c>
      <c r="N419" s="164" t="str">
        <f>IFERROR(COUNTIF($C$18:C419,C419)&amp;CHOOSE(MIN(4,COUNTIF($C$18:C419,C419)),"st","nd","rd","th"),"")</f>
        <v/>
      </c>
    </row>
    <row r="420" spans="8:14" x14ac:dyDescent="0.25">
      <c r="H420" s="201" t="str">
        <f t="shared" si="6"/>
        <v/>
      </c>
      <c r="N420" s="164" t="str">
        <f>IFERROR(COUNTIF($C$18:C420,C420)&amp;CHOOSE(MIN(4,COUNTIF($C$18:C420,C420)),"st","nd","rd","th"),"")</f>
        <v/>
      </c>
    </row>
    <row r="421" spans="8:14" x14ac:dyDescent="0.25">
      <c r="H421" s="201" t="str">
        <f t="shared" si="6"/>
        <v/>
      </c>
      <c r="N421" s="164" t="str">
        <f>IFERROR(COUNTIF($C$18:C421,C421)&amp;CHOOSE(MIN(4,COUNTIF($C$18:C421,C421)),"st","nd","rd","th"),"")</f>
        <v/>
      </c>
    </row>
    <row r="422" spans="8:14" x14ac:dyDescent="0.25">
      <c r="H422" s="201" t="str">
        <f t="shared" si="6"/>
        <v/>
      </c>
      <c r="N422" s="164" t="str">
        <f>IFERROR(COUNTIF($C$18:C422,C422)&amp;CHOOSE(MIN(4,COUNTIF($C$18:C422,C422)),"st","nd","rd","th"),"")</f>
        <v/>
      </c>
    </row>
    <row r="423" spans="8:14" x14ac:dyDescent="0.25">
      <c r="H423" s="201" t="str">
        <f t="shared" si="6"/>
        <v/>
      </c>
      <c r="N423" s="164" t="str">
        <f>IFERROR(COUNTIF($C$18:C423,C423)&amp;CHOOSE(MIN(4,COUNTIF($C$18:C423,C423)),"st","nd","rd","th"),"")</f>
        <v/>
      </c>
    </row>
    <row r="424" spans="8:14" x14ac:dyDescent="0.25">
      <c r="H424" s="201" t="str">
        <f t="shared" si="6"/>
        <v/>
      </c>
      <c r="N424" s="164" t="str">
        <f>IFERROR(COUNTIF($C$18:C424,C424)&amp;CHOOSE(MIN(4,COUNTIF($C$18:C424,C424)),"st","nd","rd","th"),"")</f>
        <v/>
      </c>
    </row>
    <row r="425" spans="8:14" x14ac:dyDescent="0.25">
      <c r="H425" s="201" t="str">
        <f t="shared" si="6"/>
        <v/>
      </c>
      <c r="N425" s="164" t="str">
        <f>IFERROR(COUNTIF($C$18:C425,C425)&amp;CHOOSE(MIN(4,COUNTIF($C$18:C425,C425)),"st","nd","rd","th"),"")</f>
        <v/>
      </c>
    </row>
    <row r="426" spans="8:14" x14ac:dyDescent="0.25">
      <c r="H426" s="201" t="str">
        <f t="shared" si="6"/>
        <v/>
      </c>
      <c r="N426" s="164" t="str">
        <f>IFERROR(COUNTIF($C$18:C426,C426)&amp;CHOOSE(MIN(4,COUNTIF($C$18:C426,C426)),"st","nd","rd","th"),"")</f>
        <v/>
      </c>
    </row>
    <row r="427" spans="8:14" x14ac:dyDescent="0.25">
      <c r="H427" s="201" t="str">
        <f t="shared" si="6"/>
        <v/>
      </c>
      <c r="N427" s="164" t="str">
        <f>IFERROR(COUNTIF($C$18:C427,C427)&amp;CHOOSE(MIN(4,COUNTIF($C$18:C427,C427)),"st","nd","rd","th"),"")</f>
        <v/>
      </c>
    </row>
    <row r="428" spans="8:14" x14ac:dyDescent="0.25">
      <c r="H428" s="201" t="str">
        <f t="shared" si="6"/>
        <v/>
      </c>
      <c r="N428" s="164" t="str">
        <f>IFERROR(COUNTIF($C$18:C428,C428)&amp;CHOOSE(MIN(4,COUNTIF($C$18:C428,C428)),"st","nd","rd","th"),"")</f>
        <v/>
      </c>
    </row>
    <row r="429" spans="8:14" x14ac:dyDescent="0.25">
      <c r="H429" s="201" t="str">
        <f t="shared" si="6"/>
        <v/>
      </c>
      <c r="N429" s="164" t="str">
        <f>IFERROR(COUNTIF($C$18:C429,C429)&amp;CHOOSE(MIN(4,COUNTIF($C$18:C429,C429)),"st","nd","rd","th"),"")</f>
        <v/>
      </c>
    </row>
    <row r="430" spans="8:14" x14ac:dyDescent="0.25">
      <c r="H430" s="201" t="str">
        <f t="shared" si="6"/>
        <v/>
      </c>
      <c r="N430" s="164" t="str">
        <f>IFERROR(COUNTIF($C$18:C430,C430)&amp;CHOOSE(MIN(4,COUNTIF($C$18:C430,C430)),"st","nd","rd","th"),"")</f>
        <v/>
      </c>
    </row>
    <row r="431" spans="8:14" x14ac:dyDescent="0.25">
      <c r="H431" s="201" t="str">
        <f t="shared" si="6"/>
        <v/>
      </c>
      <c r="N431" s="164" t="str">
        <f>IFERROR(COUNTIF($C$18:C431,C431)&amp;CHOOSE(MIN(4,COUNTIF($C$18:C431,C431)),"st","nd","rd","th"),"")</f>
        <v/>
      </c>
    </row>
    <row r="432" spans="8:14" x14ac:dyDescent="0.25">
      <c r="H432" s="201" t="str">
        <f t="shared" si="6"/>
        <v/>
      </c>
      <c r="N432" s="164" t="str">
        <f>IFERROR(COUNTIF($C$18:C432,C432)&amp;CHOOSE(MIN(4,COUNTIF($C$18:C432,C432)),"st","nd","rd","th"),"")</f>
        <v/>
      </c>
    </row>
    <row r="433" spans="8:14" x14ac:dyDescent="0.25">
      <c r="H433" s="201" t="str">
        <f t="shared" si="6"/>
        <v/>
      </c>
      <c r="N433" s="164" t="str">
        <f>IFERROR(COUNTIF($C$18:C433,C433)&amp;CHOOSE(MIN(4,COUNTIF($C$18:C433,C433)),"st","nd","rd","th"),"")</f>
        <v/>
      </c>
    </row>
    <row r="434" spans="8:14" x14ac:dyDescent="0.25">
      <c r="H434" s="201" t="str">
        <f t="shared" si="6"/>
        <v/>
      </c>
      <c r="N434" s="164" t="str">
        <f>IFERROR(COUNTIF($C$18:C434,C434)&amp;CHOOSE(MIN(4,COUNTIF($C$18:C434,C434)),"st","nd","rd","th"),"")</f>
        <v/>
      </c>
    </row>
    <row r="435" spans="8:14" x14ac:dyDescent="0.25">
      <c r="H435" s="201" t="str">
        <f t="shared" si="6"/>
        <v/>
      </c>
      <c r="N435" s="164" t="str">
        <f>IFERROR(COUNTIF($C$18:C435,C435)&amp;CHOOSE(MIN(4,COUNTIF($C$18:C435,C435)),"st","nd","rd","th"),"")</f>
        <v/>
      </c>
    </row>
    <row r="436" spans="8:14" x14ac:dyDescent="0.25">
      <c r="H436" s="201" t="str">
        <f t="shared" si="6"/>
        <v/>
      </c>
      <c r="N436" s="164" t="str">
        <f>IFERROR(COUNTIF($C$18:C436,C436)&amp;CHOOSE(MIN(4,COUNTIF($C$18:C436,C436)),"st","nd","rd","th"),"")</f>
        <v/>
      </c>
    </row>
    <row r="437" spans="8:14" x14ac:dyDescent="0.25">
      <c r="H437" s="201" t="str">
        <f t="shared" si="6"/>
        <v/>
      </c>
      <c r="N437" s="164" t="str">
        <f>IFERROR(COUNTIF($C$18:C437,C437)&amp;CHOOSE(MIN(4,COUNTIF($C$18:C437,C437)),"st","nd","rd","th"),"")</f>
        <v/>
      </c>
    </row>
    <row r="438" spans="8:14" x14ac:dyDescent="0.25">
      <c r="H438" s="201" t="str">
        <f t="shared" si="6"/>
        <v/>
      </c>
      <c r="N438" s="164" t="str">
        <f>IFERROR(COUNTIF($C$18:C438,C438)&amp;CHOOSE(MIN(4,COUNTIF($C$18:C438,C438)),"st","nd","rd","th"),"")</f>
        <v/>
      </c>
    </row>
    <row r="439" spans="8:14" x14ac:dyDescent="0.25">
      <c r="H439" s="201" t="str">
        <f t="shared" si="6"/>
        <v/>
      </c>
      <c r="N439" s="164" t="str">
        <f>IFERROR(COUNTIF($C$18:C439,C439)&amp;CHOOSE(MIN(4,COUNTIF($C$18:C439,C439)),"st","nd","rd","th"),"")</f>
        <v/>
      </c>
    </row>
    <row r="440" spans="8:14" x14ac:dyDescent="0.25">
      <c r="H440" s="201" t="str">
        <f t="shared" si="6"/>
        <v/>
      </c>
      <c r="N440" s="164" t="str">
        <f>IFERROR(COUNTIF($C$18:C440,C440)&amp;CHOOSE(MIN(4,COUNTIF($C$18:C440,C440)),"st","nd","rd","th"),"")</f>
        <v/>
      </c>
    </row>
    <row r="441" spans="8:14" x14ac:dyDescent="0.25">
      <c r="H441" s="201" t="str">
        <f t="shared" si="6"/>
        <v/>
      </c>
      <c r="N441" s="164" t="str">
        <f>IFERROR(COUNTIF($C$18:C441,C441)&amp;CHOOSE(MIN(4,COUNTIF($C$18:C441,C441)),"st","nd","rd","th"),"")</f>
        <v/>
      </c>
    </row>
    <row r="442" spans="8:14" x14ac:dyDescent="0.25">
      <c r="H442" s="201" t="str">
        <f t="shared" si="6"/>
        <v/>
      </c>
      <c r="N442" s="164" t="str">
        <f>IFERROR(COUNTIF($C$18:C442,C442)&amp;CHOOSE(MIN(4,COUNTIF($C$18:C442,C442)),"st","nd","rd","th"),"")</f>
        <v/>
      </c>
    </row>
    <row r="443" spans="8:14" x14ac:dyDescent="0.25">
      <c r="H443" s="201" t="str">
        <f t="shared" si="6"/>
        <v/>
      </c>
      <c r="N443" s="164" t="str">
        <f>IFERROR(COUNTIF($C$18:C443,C443)&amp;CHOOSE(MIN(4,COUNTIF($C$18:C443,C443)),"st","nd","rd","th"),"")</f>
        <v/>
      </c>
    </row>
    <row r="444" spans="8:14" x14ac:dyDescent="0.25">
      <c r="H444" s="201" t="str">
        <f t="shared" si="6"/>
        <v/>
      </c>
      <c r="N444" s="164" t="str">
        <f>IFERROR(COUNTIF($C$18:C444,C444)&amp;CHOOSE(MIN(4,COUNTIF($C$18:C444,C444)),"st","nd","rd","th"),"")</f>
        <v/>
      </c>
    </row>
    <row r="445" spans="8:14" x14ac:dyDescent="0.25">
      <c r="H445" s="201" t="str">
        <f t="shared" si="6"/>
        <v/>
      </c>
      <c r="N445" s="164" t="str">
        <f>IFERROR(COUNTIF($C$18:C445,C445)&amp;CHOOSE(MIN(4,COUNTIF($C$18:C445,C445)),"st","nd","rd","th"),"")</f>
        <v/>
      </c>
    </row>
    <row r="446" spans="8:14" x14ac:dyDescent="0.25">
      <c r="H446" s="201" t="str">
        <f t="shared" si="6"/>
        <v/>
      </c>
      <c r="N446" s="164" t="str">
        <f>IFERROR(COUNTIF($C$18:C446,C446)&amp;CHOOSE(MIN(4,COUNTIF($C$18:C446,C446)),"st","nd","rd","th"),"")</f>
        <v/>
      </c>
    </row>
    <row r="447" spans="8:14" x14ac:dyDescent="0.25">
      <c r="H447" s="201" t="str">
        <f t="shared" si="6"/>
        <v/>
      </c>
      <c r="N447" s="164" t="str">
        <f>IFERROR(COUNTIF($C$18:C447,C447)&amp;CHOOSE(MIN(4,COUNTIF($C$18:C447,C447)),"st","nd","rd","th"),"")</f>
        <v/>
      </c>
    </row>
    <row r="448" spans="8:14" x14ac:dyDescent="0.25">
      <c r="H448" s="201" t="str">
        <f t="shared" si="6"/>
        <v/>
      </c>
      <c r="N448" s="164" t="str">
        <f>IFERROR(COUNTIF($C$18:C448,C448)&amp;CHOOSE(MIN(4,COUNTIF($C$18:C448,C448)),"st","nd","rd","th"),"")</f>
        <v/>
      </c>
    </row>
    <row r="449" spans="8:14" x14ac:dyDescent="0.25">
      <c r="H449" s="201" t="str">
        <f t="shared" si="6"/>
        <v/>
      </c>
      <c r="N449" s="164" t="str">
        <f>IFERROR(COUNTIF($C$18:C449,C449)&amp;CHOOSE(MIN(4,COUNTIF($C$18:C449,C449)),"st","nd","rd","th"),"")</f>
        <v/>
      </c>
    </row>
    <row r="450" spans="8:14" x14ac:dyDescent="0.25">
      <c r="H450" s="201" t="str">
        <f t="shared" si="6"/>
        <v/>
      </c>
      <c r="N450" s="164" t="str">
        <f>IFERROR(COUNTIF($C$18:C450,C450)&amp;CHOOSE(MIN(4,COUNTIF($C$18:C450,C450)),"st","nd","rd","th"),"")</f>
        <v/>
      </c>
    </row>
    <row r="451" spans="8:14" x14ac:dyDescent="0.25">
      <c r="H451" s="201" t="str">
        <f t="shared" si="6"/>
        <v/>
      </c>
      <c r="N451" s="164" t="str">
        <f>IFERROR(COUNTIF($C$18:C451,C451)&amp;CHOOSE(MIN(4,COUNTIF($C$18:C451,C451)),"st","nd","rd","th"),"")</f>
        <v/>
      </c>
    </row>
    <row r="452" spans="8:14" x14ac:dyDescent="0.25">
      <c r="H452" s="201" t="str">
        <f t="shared" si="6"/>
        <v/>
      </c>
      <c r="N452" s="164" t="str">
        <f>IFERROR(COUNTIF($C$18:C452,C452)&amp;CHOOSE(MIN(4,COUNTIF($C$18:C452,C452)),"st","nd","rd","th"),"")</f>
        <v/>
      </c>
    </row>
    <row r="453" spans="8:14" x14ac:dyDescent="0.25">
      <c r="H453" s="201" t="str">
        <f t="shared" si="6"/>
        <v/>
      </c>
      <c r="N453" s="164" t="str">
        <f>IFERROR(COUNTIF($C$18:C453,C453)&amp;CHOOSE(MIN(4,COUNTIF($C$18:C453,C453)),"st","nd","rd","th"),"")</f>
        <v/>
      </c>
    </row>
    <row r="454" spans="8:14" x14ac:dyDescent="0.25">
      <c r="H454" s="201" t="str">
        <f t="shared" si="6"/>
        <v/>
      </c>
      <c r="N454" s="164" t="str">
        <f>IFERROR(COUNTIF($C$18:C454,C454)&amp;CHOOSE(MIN(4,COUNTIF($C$18:C454,C454)),"st","nd","rd","th"),"")</f>
        <v/>
      </c>
    </row>
    <row r="455" spans="8:14" x14ac:dyDescent="0.25">
      <c r="H455" s="201" t="str">
        <f t="shared" si="6"/>
        <v/>
      </c>
      <c r="N455" s="164" t="str">
        <f>IFERROR(COUNTIF($C$18:C455,C455)&amp;CHOOSE(MIN(4,COUNTIF($C$18:C455,C455)),"st","nd","rd","th"),"")</f>
        <v/>
      </c>
    </row>
    <row r="456" spans="8:14" x14ac:dyDescent="0.25">
      <c r="H456" s="201" t="str">
        <f t="shared" si="6"/>
        <v/>
      </c>
      <c r="N456" s="164" t="str">
        <f>IFERROR(COUNTIF($C$18:C456,C456)&amp;CHOOSE(MIN(4,COUNTIF($C$18:C456,C456)),"st","nd","rd","th"),"")</f>
        <v/>
      </c>
    </row>
    <row r="457" spans="8:14" x14ac:dyDescent="0.25">
      <c r="H457" s="201" t="str">
        <f t="shared" si="6"/>
        <v/>
      </c>
      <c r="N457" s="164" t="str">
        <f>IFERROR(COUNTIF($C$18:C457,C457)&amp;CHOOSE(MIN(4,COUNTIF($C$18:C457,C457)),"st","nd","rd","th"),"")</f>
        <v/>
      </c>
    </row>
    <row r="458" spans="8:14" x14ac:dyDescent="0.25">
      <c r="H458" s="201" t="str">
        <f t="shared" si="6"/>
        <v/>
      </c>
      <c r="N458" s="164" t="str">
        <f>IFERROR(COUNTIF($C$18:C458,C458)&amp;CHOOSE(MIN(4,COUNTIF($C$18:C458,C458)),"st","nd","rd","th"),"")</f>
        <v/>
      </c>
    </row>
    <row r="459" spans="8:14" x14ac:dyDescent="0.25">
      <c r="H459" s="201" t="str">
        <f t="shared" si="6"/>
        <v/>
      </c>
      <c r="N459" s="164" t="str">
        <f>IFERROR(COUNTIF($C$18:C459,C459)&amp;CHOOSE(MIN(4,COUNTIF($C$18:C459,C459)),"st","nd","rd","th"),"")</f>
        <v/>
      </c>
    </row>
    <row r="460" spans="8:14" x14ac:dyDescent="0.25">
      <c r="H460" s="201" t="str">
        <f t="shared" si="6"/>
        <v/>
      </c>
      <c r="N460" s="164" t="str">
        <f>IFERROR(COUNTIF($C$18:C460,C460)&amp;CHOOSE(MIN(4,COUNTIF($C$18:C460,C460)),"st","nd","rd","th"),"")</f>
        <v/>
      </c>
    </row>
    <row r="461" spans="8:14" x14ac:dyDescent="0.25">
      <c r="H461" s="201" t="str">
        <f t="shared" si="6"/>
        <v/>
      </c>
      <c r="N461" s="164" t="str">
        <f>IFERROR(COUNTIF($C$18:C461,C461)&amp;CHOOSE(MIN(4,COUNTIF($C$18:C461,C461)),"st","nd","rd","th"),"")</f>
        <v/>
      </c>
    </row>
    <row r="462" spans="8:14" x14ac:dyDescent="0.25">
      <c r="H462" s="201" t="str">
        <f t="shared" si="6"/>
        <v/>
      </c>
      <c r="N462" s="164" t="str">
        <f>IFERROR(COUNTIF($C$18:C462,C462)&amp;CHOOSE(MIN(4,COUNTIF($C$18:C462,C462)),"st","nd","rd","th"),"")</f>
        <v/>
      </c>
    </row>
    <row r="463" spans="8:14" x14ac:dyDescent="0.25">
      <c r="H463" s="201" t="str">
        <f t="shared" si="6"/>
        <v/>
      </c>
      <c r="N463" s="164" t="str">
        <f>IFERROR(COUNTIF($C$18:C463,C463)&amp;CHOOSE(MIN(4,COUNTIF($C$18:C463,C463)),"st","nd","rd","th"),"")</f>
        <v/>
      </c>
    </row>
    <row r="464" spans="8:14" x14ac:dyDescent="0.25">
      <c r="H464" s="201" t="str">
        <f t="shared" si="6"/>
        <v/>
      </c>
      <c r="N464" s="164" t="str">
        <f>IFERROR(COUNTIF($C$18:C464,C464)&amp;CHOOSE(MIN(4,COUNTIF($C$18:C464,C464)),"st","nd","rd","th"),"")</f>
        <v/>
      </c>
    </row>
    <row r="465" spans="8:14" x14ac:dyDescent="0.25">
      <c r="H465" s="201" t="str">
        <f t="shared" si="6"/>
        <v/>
      </c>
      <c r="N465" s="164" t="str">
        <f>IFERROR(COUNTIF($C$18:C465,C465)&amp;CHOOSE(MIN(4,COUNTIF($C$18:C465,C465)),"st","nd","rd","th"),"")</f>
        <v/>
      </c>
    </row>
    <row r="466" spans="8:14" x14ac:dyDescent="0.25">
      <c r="H466" s="201" t="str">
        <f t="shared" ref="H466:H529" si="7">IF(OR(ISBLANK(G466), ISBLANK(F466)), "", IF(G466=F466, 1, SUM(_xlfn.DAYS(G466, F466), 1)))</f>
        <v/>
      </c>
      <c r="N466" s="164" t="str">
        <f>IFERROR(COUNTIF($C$18:C466,C466)&amp;CHOOSE(MIN(4,COUNTIF($C$18:C466,C466)),"st","nd","rd","th"),"")</f>
        <v/>
      </c>
    </row>
    <row r="467" spans="8:14" x14ac:dyDescent="0.25">
      <c r="H467" s="201" t="str">
        <f t="shared" si="7"/>
        <v/>
      </c>
      <c r="N467" s="164" t="str">
        <f>IFERROR(COUNTIF($C$18:C467,C467)&amp;CHOOSE(MIN(4,COUNTIF($C$18:C467,C467)),"st","nd","rd","th"),"")</f>
        <v/>
      </c>
    </row>
    <row r="468" spans="8:14" x14ac:dyDescent="0.25">
      <c r="H468" s="201" t="str">
        <f t="shared" si="7"/>
        <v/>
      </c>
      <c r="N468" s="164" t="str">
        <f>IFERROR(COUNTIF($C$18:C468,C468)&amp;CHOOSE(MIN(4,COUNTIF($C$18:C468,C468)),"st","nd","rd","th"),"")</f>
        <v/>
      </c>
    </row>
    <row r="469" spans="8:14" x14ac:dyDescent="0.25">
      <c r="H469" s="201" t="str">
        <f t="shared" si="7"/>
        <v/>
      </c>
      <c r="N469" s="164" t="str">
        <f>IFERROR(COUNTIF($C$18:C469,C469)&amp;CHOOSE(MIN(4,COUNTIF($C$18:C469,C469)),"st","nd","rd","th"),"")</f>
        <v/>
      </c>
    </row>
    <row r="470" spans="8:14" x14ac:dyDescent="0.25">
      <c r="H470" s="201" t="str">
        <f t="shared" si="7"/>
        <v/>
      </c>
      <c r="N470" s="164" t="str">
        <f>IFERROR(COUNTIF($C$18:C470,C470)&amp;CHOOSE(MIN(4,COUNTIF($C$18:C470,C470)),"st","nd","rd","th"),"")</f>
        <v/>
      </c>
    </row>
    <row r="471" spans="8:14" x14ac:dyDescent="0.25">
      <c r="H471" s="201" t="str">
        <f t="shared" si="7"/>
        <v/>
      </c>
      <c r="N471" s="164" t="str">
        <f>IFERROR(COUNTIF($C$18:C471,C471)&amp;CHOOSE(MIN(4,COUNTIF($C$18:C471,C471)),"st","nd","rd","th"),"")</f>
        <v/>
      </c>
    </row>
    <row r="472" spans="8:14" x14ac:dyDescent="0.25">
      <c r="H472" s="201" t="str">
        <f t="shared" si="7"/>
        <v/>
      </c>
      <c r="N472" s="164" t="str">
        <f>IFERROR(COUNTIF($C$18:C472,C472)&amp;CHOOSE(MIN(4,COUNTIF($C$18:C472,C472)),"st","nd","rd","th"),"")</f>
        <v/>
      </c>
    </row>
    <row r="473" spans="8:14" x14ac:dyDescent="0.25">
      <c r="H473" s="201" t="str">
        <f t="shared" si="7"/>
        <v/>
      </c>
      <c r="N473" s="164" t="str">
        <f>IFERROR(COUNTIF($C$18:C473,C473)&amp;CHOOSE(MIN(4,COUNTIF($C$18:C473,C473)),"st","nd","rd","th"),"")</f>
        <v/>
      </c>
    </row>
    <row r="474" spans="8:14" x14ac:dyDescent="0.25">
      <c r="H474" s="201" t="str">
        <f t="shared" si="7"/>
        <v/>
      </c>
      <c r="N474" s="164" t="str">
        <f>IFERROR(COUNTIF($C$18:C474,C474)&amp;CHOOSE(MIN(4,COUNTIF($C$18:C474,C474)),"st","nd","rd","th"),"")</f>
        <v/>
      </c>
    </row>
    <row r="475" spans="8:14" x14ac:dyDescent="0.25">
      <c r="H475" s="201" t="str">
        <f t="shared" si="7"/>
        <v/>
      </c>
      <c r="N475" s="164" t="str">
        <f>IFERROR(COUNTIF($C$18:C475,C475)&amp;CHOOSE(MIN(4,COUNTIF($C$18:C475,C475)),"st","nd","rd","th"),"")</f>
        <v/>
      </c>
    </row>
    <row r="476" spans="8:14" x14ac:dyDescent="0.25">
      <c r="H476" s="201" t="str">
        <f t="shared" si="7"/>
        <v/>
      </c>
      <c r="N476" s="164" t="str">
        <f>IFERROR(COUNTIF($C$18:C476,C476)&amp;CHOOSE(MIN(4,COUNTIF($C$18:C476,C476)),"st","nd","rd","th"),"")</f>
        <v/>
      </c>
    </row>
    <row r="477" spans="8:14" x14ac:dyDescent="0.25">
      <c r="H477" s="201" t="str">
        <f t="shared" si="7"/>
        <v/>
      </c>
      <c r="N477" s="164" t="str">
        <f>IFERROR(COUNTIF($C$18:C477,C477)&amp;CHOOSE(MIN(4,COUNTIF($C$18:C477,C477)),"st","nd","rd","th"),"")</f>
        <v/>
      </c>
    </row>
    <row r="478" spans="8:14" x14ac:dyDescent="0.25">
      <c r="H478" s="201" t="str">
        <f t="shared" si="7"/>
        <v/>
      </c>
      <c r="N478" s="164" t="str">
        <f>IFERROR(COUNTIF($C$18:C478,C478)&amp;CHOOSE(MIN(4,COUNTIF($C$18:C478,C478)),"st","nd","rd","th"),"")</f>
        <v/>
      </c>
    </row>
    <row r="479" spans="8:14" x14ac:dyDescent="0.25">
      <c r="H479" s="201" t="str">
        <f t="shared" si="7"/>
        <v/>
      </c>
      <c r="N479" s="164" t="str">
        <f>IFERROR(COUNTIF($C$18:C479,C479)&amp;CHOOSE(MIN(4,COUNTIF($C$18:C479,C479)),"st","nd","rd","th"),"")</f>
        <v/>
      </c>
    </row>
    <row r="480" spans="8:14" x14ac:dyDescent="0.25">
      <c r="H480" s="201" t="str">
        <f t="shared" si="7"/>
        <v/>
      </c>
      <c r="N480" s="164" t="str">
        <f>IFERROR(COUNTIF($C$18:C480,C480)&amp;CHOOSE(MIN(4,COUNTIF($C$18:C480,C480)),"st","nd","rd","th"),"")</f>
        <v/>
      </c>
    </row>
    <row r="481" spans="8:14" x14ac:dyDescent="0.25">
      <c r="H481" s="201" t="str">
        <f t="shared" si="7"/>
        <v/>
      </c>
      <c r="N481" s="164" t="str">
        <f>IFERROR(COUNTIF($C$18:C481,C481)&amp;CHOOSE(MIN(4,COUNTIF($C$18:C481,C481)),"st","nd","rd","th"),"")</f>
        <v/>
      </c>
    </row>
    <row r="482" spans="8:14" x14ac:dyDescent="0.25">
      <c r="H482" s="201" t="str">
        <f t="shared" si="7"/>
        <v/>
      </c>
      <c r="N482" s="164" t="str">
        <f>IFERROR(COUNTIF($C$18:C482,C482)&amp;CHOOSE(MIN(4,COUNTIF($C$18:C482,C482)),"st","nd","rd","th"),"")</f>
        <v/>
      </c>
    </row>
    <row r="483" spans="8:14" x14ac:dyDescent="0.25">
      <c r="H483" s="201" t="str">
        <f t="shared" si="7"/>
        <v/>
      </c>
      <c r="N483" s="164" t="str">
        <f>IFERROR(COUNTIF($C$18:C483,C483)&amp;CHOOSE(MIN(4,COUNTIF($C$18:C483,C483)),"st","nd","rd","th"),"")</f>
        <v/>
      </c>
    </row>
    <row r="484" spans="8:14" x14ac:dyDescent="0.25">
      <c r="H484" s="201" t="str">
        <f t="shared" si="7"/>
        <v/>
      </c>
      <c r="N484" s="164" t="str">
        <f>IFERROR(COUNTIF($C$18:C484,C484)&amp;CHOOSE(MIN(4,COUNTIF($C$18:C484,C484)),"st","nd","rd","th"),"")</f>
        <v/>
      </c>
    </row>
    <row r="485" spans="8:14" x14ac:dyDescent="0.25">
      <c r="H485" s="201" t="str">
        <f t="shared" si="7"/>
        <v/>
      </c>
      <c r="N485" s="164" t="str">
        <f>IFERROR(COUNTIF($C$18:C485,C485)&amp;CHOOSE(MIN(4,COUNTIF($C$18:C485,C485)),"st","nd","rd","th"),"")</f>
        <v/>
      </c>
    </row>
    <row r="486" spans="8:14" x14ac:dyDescent="0.25">
      <c r="H486" s="201" t="str">
        <f t="shared" si="7"/>
        <v/>
      </c>
      <c r="N486" s="164" t="str">
        <f>IFERROR(COUNTIF($C$18:C486,C486)&amp;CHOOSE(MIN(4,COUNTIF($C$18:C486,C486)),"st","nd","rd","th"),"")</f>
        <v/>
      </c>
    </row>
    <row r="487" spans="8:14" x14ac:dyDescent="0.25">
      <c r="H487" s="201" t="str">
        <f t="shared" si="7"/>
        <v/>
      </c>
      <c r="N487" s="164" t="str">
        <f>IFERROR(COUNTIF($C$18:C487,C487)&amp;CHOOSE(MIN(4,COUNTIF($C$18:C487,C487)),"st","nd","rd","th"),"")</f>
        <v/>
      </c>
    </row>
    <row r="488" spans="8:14" x14ac:dyDescent="0.25">
      <c r="H488" s="201" t="str">
        <f t="shared" si="7"/>
        <v/>
      </c>
      <c r="N488" s="164" t="str">
        <f>IFERROR(COUNTIF($C$18:C488,C488)&amp;CHOOSE(MIN(4,COUNTIF($C$18:C488,C488)),"st","nd","rd","th"),"")</f>
        <v/>
      </c>
    </row>
    <row r="489" spans="8:14" x14ac:dyDescent="0.25">
      <c r="H489" s="201" t="str">
        <f t="shared" si="7"/>
        <v/>
      </c>
      <c r="N489" s="164" t="str">
        <f>IFERROR(COUNTIF($C$18:C489,C489)&amp;CHOOSE(MIN(4,COUNTIF($C$18:C489,C489)),"st","nd","rd","th"),"")</f>
        <v/>
      </c>
    </row>
    <row r="490" spans="8:14" x14ac:dyDescent="0.25">
      <c r="H490" s="201" t="str">
        <f t="shared" si="7"/>
        <v/>
      </c>
      <c r="N490" s="164" t="str">
        <f>IFERROR(COUNTIF($C$18:C490,C490)&amp;CHOOSE(MIN(4,COUNTIF($C$18:C490,C490)),"st","nd","rd","th"),"")</f>
        <v/>
      </c>
    </row>
    <row r="491" spans="8:14" x14ac:dyDescent="0.25">
      <c r="H491" s="201" t="str">
        <f t="shared" si="7"/>
        <v/>
      </c>
      <c r="N491" s="164" t="str">
        <f>IFERROR(COUNTIF($C$18:C491,C491)&amp;CHOOSE(MIN(4,COUNTIF($C$18:C491,C491)),"st","nd","rd","th"),"")</f>
        <v/>
      </c>
    </row>
    <row r="492" spans="8:14" x14ac:dyDescent="0.25">
      <c r="H492" s="201" t="str">
        <f t="shared" si="7"/>
        <v/>
      </c>
      <c r="N492" s="164" t="str">
        <f>IFERROR(COUNTIF($C$18:C492,C492)&amp;CHOOSE(MIN(4,COUNTIF($C$18:C492,C492)),"st","nd","rd","th"),"")</f>
        <v/>
      </c>
    </row>
    <row r="493" spans="8:14" x14ac:dyDescent="0.25">
      <c r="H493" s="201" t="str">
        <f t="shared" si="7"/>
        <v/>
      </c>
      <c r="N493" s="164" t="str">
        <f>IFERROR(COUNTIF($C$18:C493,C493)&amp;CHOOSE(MIN(4,COUNTIF($C$18:C493,C493)),"st","nd","rd","th"),"")</f>
        <v/>
      </c>
    </row>
    <row r="494" spans="8:14" x14ac:dyDescent="0.25">
      <c r="H494" s="201" t="str">
        <f t="shared" si="7"/>
        <v/>
      </c>
      <c r="N494" s="164" t="str">
        <f>IFERROR(COUNTIF($C$18:C494,C494)&amp;CHOOSE(MIN(4,COUNTIF($C$18:C494,C494)),"st","nd","rd","th"),"")</f>
        <v/>
      </c>
    </row>
    <row r="495" spans="8:14" x14ac:dyDescent="0.25">
      <c r="H495" s="201" t="str">
        <f t="shared" si="7"/>
        <v/>
      </c>
      <c r="N495" s="164" t="str">
        <f>IFERROR(COUNTIF($C$18:C495,C495)&amp;CHOOSE(MIN(4,COUNTIF($C$18:C495,C495)),"st","nd","rd","th"),"")</f>
        <v/>
      </c>
    </row>
    <row r="496" spans="8:14" x14ac:dyDescent="0.25">
      <c r="H496" s="201" t="str">
        <f t="shared" si="7"/>
        <v/>
      </c>
      <c r="N496" s="164" t="str">
        <f>IFERROR(COUNTIF($C$18:C496,C496)&amp;CHOOSE(MIN(4,COUNTIF($C$18:C496,C496)),"st","nd","rd","th"),"")</f>
        <v/>
      </c>
    </row>
    <row r="497" spans="8:14" x14ac:dyDescent="0.25">
      <c r="H497" s="201" t="str">
        <f t="shared" si="7"/>
        <v/>
      </c>
      <c r="N497" s="164" t="str">
        <f>IFERROR(COUNTIF($C$18:C497,C497)&amp;CHOOSE(MIN(4,COUNTIF($C$18:C497,C497)),"st","nd","rd","th"),"")</f>
        <v/>
      </c>
    </row>
    <row r="498" spans="8:14" x14ac:dyDescent="0.25">
      <c r="H498" s="201" t="str">
        <f t="shared" si="7"/>
        <v/>
      </c>
      <c r="N498" s="164" t="str">
        <f>IFERROR(COUNTIF($C$18:C498,C498)&amp;CHOOSE(MIN(4,COUNTIF($C$18:C498,C498)),"st","nd","rd","th"),"")</f>
        <v/>
      </c>
    </row>
    <row r="499" spans="8:14" x14ac:dyDescent="0.25">
      <c r="H499" s="201" t="str">
        <f t="shared" si="7"/>
        <v/>
      </c>
      <c r="N499" s="164" t="str">
        <f>IFERROR(COUNTIF($C$18:C499,C499)&amp;CHOOSE(MIN(4,COUNTIF($C$18:C499,C499)),"st","nd","rd","th"),"")</f>
        <v/>
      </c>
    </row>
    <row r="500" spans="8:14" x14ac:dyDescent="0.25">
      <c r="H500" s="201" t="str">
        <f t="shared" si="7"/>
        <v/>
      </c>
      <c r="N500" s="164" t="str">
        <f>IFERROR(COUNTIF($C$18:C500,C500)&amp;CHOOSE(MIN(4,COUNTIF($C$18:C500,C500)),"st","nd","rd","th"),"")</f>
        <v/>
      </c>
    </row>
    <row r="501" spans="8:14" x14ac:dyDescent="0.25">
      <c r="H501" s="201" t="str">
        <f t="shared" si="7"/>
        <v/>
      </c>
      <c r="N501" s="164" t="str">
        <f>IFERROR(COUNTIF($C$18:C501,C501)&amp;CHOOSE(MIN(4,COUNTIF($C$18:C501,C501)),"st","nd","rd","th"),"")</f>
        <v/>
      </c>
    </row>
    <row r="502" spans="8:14" x14ac:dyDescent="0.25">
      <c r="H502" s="201" t="str">
        <f t="shared" si="7"/>
        <v/>
      </c>
      <c r="N502" s="164" t="str">
        <f>IFERROR(COUNTIF($C$18:C502,C502)&amp;CHOOSE(MIN(4,COUNTIF($C$18:C502,C502)),"st","nd","rd","th"),"")</f>
        <v/>
      </c>
    </row>
    <row r="503" spans="8:14" x14ac:dyDescent="0.25">
      <c r="H503" s="201" t="str">
        <f t="shared" si="7"/>
        <v/>
      </c>
      <c r="N503" s="164" t="str">
        <f>IFERROR(COUNTIF($C$18:C503,C503)&amp;CHOOSE(MIN(4,COUNTIF($C$18:C503,C503)),"st","nd","rd","th"),"")</f>
        <v/>
      </c>
    </row>
    <row r="504" spans="8:14" x14ac:dyDescent="0.25">
      <c r="H504" s="201" t="str">
        <f t="shared" si="7"/>
        <v/>
      </c>
      <c r="N504" s="164" t="str">
        <f>IFERROR(COUNTIF($C$18:C504,C504)&amp;CHOOSE(MIN(4,COUNTIF($C$18:C504,C504)),"st","nd","rd","th"),"")</f>
        <v/>
      </c>
    </row>
    <row r="505" spans="8:14" x14ac:dyDescent="0.25">
      <c r="H505" s="201" t="str">
        <f t="shared" si="7"/>
        <v/>
      </c>
      <c r="N505" s="164" t="str">
        <f>IFERROR(COUNTIF($C$18:C505,C505)&amp;CHOOSE(MIN(4,COUNTIF($C$18:C505,C505)),"st","nd","rd","th"),"")</f>
        <v/>
      </c>
    </row>
    <row r="506" spans="8:14" x14ac:dyDescent="0.25">
      <c r="H506" s="201" t="str">
        <f t="shared" si="7"/>
        <v/>
      </c>
      <c r="N506" s="164" t="str">
        <f>IFERROR(COUNTIF($C$18:C506,C506)&amp;CHOOSE(MIN(4,COUNTIF($C$18:C506,C506)),"st","nd","rd","th"),"")</f>
        <v/>
      </c>
    </row>
    <row r="507" spans="8:14" x14ac:dyDescent="0.25">
      <c r="H507" s="201" t="str">
        <f t="shared" si="7"/>
        <v/>
      </c>
      <c r="N507" s="164" t="str">
        <f>IFERROR(COUNTIF($C$18:C507,C507)&amp;CHOOSE(MIN(4,COUNTIF($C$18:C507,C507)),"st","nd","rd","th"),"")</f>
        <v/>
      </c>
    </row>
    <row r="508" spans="8:14" x14ac:dyDescent="0.25">
      <c r="H508" s="201" t="str">
        <f t="shared" si="7"/>
        <v/>
      </c>
      <c r="N508" s="164" t="str">
        <f>IFERROR(COUNTIF($C$18:C508,C508)&amp;CHOOSE(MIN(4,COUNTIF($C$18:C508,C508)),"st","nd","rd","th"),"")</f>
        <v/>
      </c>
    </row>
    <row r="509" spans="8:14" x14ac:dyDescent="0.25">
      <c r="H509" s="201" t="str">
        <f t="shared" si="7"/>
        <v/>
      </c>
      <c r="N509" s="164" t="str">
        <f>IFERROR(COUNTIF($C$18:C509,C509)&amp;CHOOSE(MIN(4,COUNTIF($C$18:C509,C509)),"st","nd","rd","th"),"")</f>
        <v/>
      </c>
    </row>
    <row r="510" spans="8:14" x14ac:dyDescent="0.25">
      <c r="H510" s="201" t="str">
        <f t="shared" si="7"/>
        <v/>
      </c>
      <c r="N510" s="164" t="str">
        <f>IFERROR(COUNTIF($C$18:C510,C510)&amp;CHOOSE(MIN(4,COUNTIF($C$18:C510,C510)),"st","nd","rd","th"),"")</f>
        <v/>
      </c>
    </row>
    <row r="511" spans="8:14" x14ac:dyDescent="0.25">
      <c r="H511" s="201" t="str">
        <f t="shared" si="7"/>
        <v/>
      </c>
      <c r="N511" s="164" t="str">
        <f>IFERROR(COUNTIF($C$18:C511,C511)&amp;CHOOSE(MIN(4,COUNTIF($C$18:C511,C511)),"st","nd","rd","th"),"")</f>
        <v/>
      </c>
    </row>
    <row r="512" spans="8:14" x14ac:dyDescent="0.25">
      <c r="H512" s="201" t="str">
        <f t="shared" si="7"/>
        <v/>
      </c>
      <c r="N512" s="164" t="str">
        <f>IFERROR(COUNTIF($C$18:C512,C512)&amp;CHOOSE(MIN(4,COUNTIF($C$18:C512,C512)),"st","nd","rd","th"),"")</f>
        <v/>
      </c>
    </row>
    <row r="513" spans="8:14" x14ac:dyDescent="0.25">
      <c r="H513" s="201" t="str">
        <f t="shared" si="7"/>
        <v/>
      </c>
      <c r="N513" s="164" t="str">
        <f>IFERROR(COUNTIF($C$18:C513,C513)&amp;CHOOSE(MIN(4,COUNTIF($C$18:C513,C513)),"st","nd","rd","th"),"")</f>
        <v/>
      </c>
    </row>
    <row r="514" spans="8:14" x14ac:dyDescent="0.25">
      <c r="H514" s="201" t="str">
        <f t="shared" si="7"/>
        <v/>
      </c>
      <c r="N514" s="164" t="str">
        <f>IFERROR(COUNTIF($C$18:C514,C514)&amp;CHOOSE(MIN(4,COUNTIF($C$18:C514,C514)),"st","nd","rd","th"),"")</f>
        <v/>
      </c>
    </row>
    <row r="515" spans="8:14" x14ac:dyDescent="0.25">
      <c r="H515" s="201" t="str">
        <f t="shared" si="7"/>
        <v/>
      </c>
      <c r="N515" s="164" t="str">
        <f>IFERROR(COUNTIF($C$18:C515,C515)&amp;CHOOSE(MIN(4,COUNTIF($C$18:C515,C515)),"st","nd","rd","th"),"")</f>
        <v/>
      </c>
    </row>
    <row r="516" spans="8:14" x14ac:dyDescent="0.25">
      <c r="H516" s="201" t="str">
        <f t="shared" si="7"/>
        <v/>
      </c>
      <c r="N516" s="164" t="str">
        <f>IFERROR(COUNTIF($C$18:C516,C516)&amp;CHOOSE(MIN(4,COUNTIF($C$18:C516,C516)),"st","nd","rd","th"),"")</f>
        <v/>
      </c>
    </row>
    <row r="517" spans="8:14" x14ac:dyDescent="0.25">
      <c r="H517" s="201" t="str">
        <f t="shared" si="7"/>
        <v/>
      </c>
      <c r="N517" s="164" t="str">
        <f>IFERROR(COUNTIF($C$18:C517,C517)&amp;CHOOSE(MIN(4,COUNTIF($C$18:C517,C517)),"st","nd","rd","th"),"")</f>
        <v/>
      </c>
    </row>
    <row r="518" spans="8:14" x14ac:dyDescent="0.25">
      <c r="H518" s="201" t="str">
        <f t="shared" si="7"/>
        <v/>
      </c>
      <c r="N518" s="164" t="str">
        <f>IFERROR(COUNTIF($C$18:C518,C518)&amp;CHOOSE(MIN(4,COUNTIF($C$18:C518,C518)),"st","nd","rd","th"),"")</f>
        <v/>
      </c>
    </row>
    <row r="519" spans="8:14" x14ac:dyDescent="0.25">
      <c r="H519" s="201" t="str">
        <f t="shared" si="7"/>
        <v/>
      </c>
      <c r="N519" s="164" t="str">
        <f>IFERROR(COUNTIF($C$18:C519,C519)&amp;CHOOSE(MIN(4,COUNTIF($C$18:C519,C519)),"st","nd","rd","th"),"")</f>
        <v/>
      </c>
    </row>
    <row r="520" spans="8:14" x14ac:dyDescent="0.25">
      <c r="H520" s="201" t="str">
        <f t="shared" si="7"/>
        <v/>
      </c>
      <c r="N520" s="164" t="str">
        <f>IFERROR(COUNTIF($C$18:C520,C520)&amp;CHOOSE(MIN(4,COUNTIF($C$18:C520,C520)),"st","nd","rd","th"),"")</f>
        <v/>
      </c>
    </row>
    <row r="521" spans="8:14" x14ac:dyDescent="0.25">
      <c r="H521" s="201" t="str">
        <f t="shared" si="7"/>
        <v/>
      </c>
      <c r="N521" s="164" t="str">
        <f>IFERROR(COUNTIF($C$18:C521,C521)&amp;CHOOSE(MIN(4,COUNTIF($C$18:C521,C521)),"st","nd","rd","th"),"")</f>
        <v/>
      </c>
    </row>
    <row r="522" spans="8:14" x14ac:dyDescent="0.25">
      <c r="H522" s="201" t="str">
        <f t="shared" si="7"/>
        <v/>
      </c>
      <c r="N522" s="164" t="str">
        <f>IFERROR(COUNTIF($C$18:C522,C522)&amp;CHOOSE(MIN(4,COUNTIF($C$18:C522,C522)),"st","nd","rd","th"),"")</f>
        <v/>
      </c>
    </row>
    <row r="523" spans="8:14" x14ac:dyDescent="0.25">
      <c r="H523" s="201" t="str">
        <f t="shared" si="7"/>
        <v/>
      </c>
      <c r="N523" s="164" t="str">
        <f>IFERROR(COUNTIF($C$18:C523,C523)&amp;CHOOSE(MIN(4,COUNTIF($C$18:C523,C523)),"st","nd","rd","th"),"")</f>
        <v/>
      </c>
    </row>
    <row r="524" spans="8:14" x14ac:dyDescent="0.25">
      <c r="H524" s="201" t="str">
        <f t="shared" si="7"/>
        <v/>
      </c>
      <c r="N524" s="164" t="str">
        <f>IFERROR(COUNTIF($C$18:C524,C524)&amp;CHOOSE(MIN(4,COUNTIF($C$18:C524,C524)),"st","nd","rd","th"),"")</f>
        <v/>
      </c>
    </row>
    <row r="525" spans="8:14" x14ac:dyDescent="0.25">
      <c r="H525" s="201" t="str">
        <f t="shared" si="7"/>
        <v/>
      </c>
      <c r="N525" s="164" t="str">
        <f>IFERROR(COUNTIF($C$18:C525,C525)&amp;CHOOSE(MIN(4,COUNTIF($C$18:C525,C525)),"st","nd","rd","th"),"")</f>
        <v/>
      </c>
    </row>
    <row r="526" spans="8:14" x14ac:dyDescent="0.25">
      <c r="H526" s="201" t="str">
        <f t="shared" si="7"/>
        <v/>
      </c>
      <c r="N526" s="164" t="str">
        <f>IFERROR(COUNTIF($C$18:C526,C526)&amp;CHOOSE(MIN(4,COUNTIF($C$18:C526,C526)),"st","nd","rd","th"),"")</f>
        <v/>
      </c>
    </row>
    <row r="527" spans="8:14" x14ac:dyDescent="0.25">
      <c r="H527" s="201" t="str">
        <f t="shared" si="7"/>
        <v/>
      </c>
      <c r="N527" s="164" t="str">
        <f>IFERROR(COUNTIF($C$18:C527,C527)&amp;CHOOSE(MIN(4,COUNTIF($C$18:C527,C527)),"st","nd","rd","th"),"")</f>
        <v/>
      </c>
    </row>
    <row r="528" spans="8:14" x14ac:dyDescent="0.25">
      <c r="H528" s="201" t="str">
        <f t="shared" si="7"/>
        <v/>
      </c>
      <c r="N528" s="164" t="str">
        <f>IFERROR(COUNTIF($C$18:C528,C528)&amp;CHOOSE(MIN(4,COUNTIF($C$18:C528,C528)),"st","nd","rd","th"),"")</f>
        <v/>
      </c>
    </row>
    <row r="529" spans="8:14" x14ac:dyDescent="0.25">
      <c r="H529" s="201" t="str">
        <f t="shared" si="7"/>
        <v/>
      </c>
      <c r="N529" s="164" t="str">
        <f>IFERROR(COUNTIF($C$18:C529,C529)&amp;CHOOSE(MIN(4,COUNTIF($C$18:C529,C529)),"st","nd","rd","th"),"")</f>
        <v/>
      </c>
    </row>
    <row r="530" spans="8:14" x14ac:dyDescent="0.25">
      <c r="H530" s="201" t="str">
        <f t="shared" ref="H530:H593" si="8">IF(OR(ISBLANK(G530), ISBLANK(F530)), "", IF(G530=F530, 1, SUM(_xlfn.DAYS(G530, F530), 1)))</f>
        <v/>
      </c>
      <c r="N530" s="164" t="str">
        <f>IFERROR(COUNTIF($C$18:C530,C530)&amp;CHOOSE(MIN(4,COUNTIF($C$18:C530,C530)),"st","nd","rd","th"),"")</f>
        <v/>
      </c>
    </row>
    <row r="531" spans="8:14" x14ac:dyDescent="0.25">
      <c r="H531" s="201" t="str">
        <f t="shared" si="8"/>
        <v/>
      </c>
      <c r="N531" s="164" t="str">
        <f>IFERROR(COUNTIF($C$18:C531,C531)&amp;CHOOSE(MIN(4,COUNTIF($C$18:C531,C531)),"st","nd","rd","th"),"")</f>
        <v/>
      </c>
    </row>
    <row r="532" spans="8:14" x14ac:dyDescent="0.25">
      <c r="H532" s="201" t="str">
        <f t="shared" si="8"/>
        <v/>
      </c>
      <c r="N532" s="164" t="str">
        <f>IFERROR(COUNTIF($C$18:C532,C532)&amp;CHOOSE(MIN(4,COUNTIF($C$18:C532,C532)),"st","nd","rd","th"),"")</f>
        <v/>
      </c>
    </row>
    <row r="533" spans="8:14" x14ac:dyDescent="0.25">
      <c r="H533" s="201" t="str">
        <f t="shared" si="8"/>
        <v/>
      </c>
      <c r="N533" s="164" t="str">
        <f>IFERROR(COUNTIF($C$18:C533,C533)&amp;CHOOSE(MIN(4,COUNTIF($C$18:C533,C533)),"st","nd","rd","th"),"")</f>
        <v/>
      </c>
    </row>
    <row r="534" spans="8:14" x14ac:dyDescent="0.25">
      <c r="H534" s="201" t="str">
        <f t="shared" si="8"/>
        <v/>
      </c>
      <c r="N534" s="164" t="str">
        <f>IFERROR(COUNTIF($C$18:C534,C534)&amp;CHOOSE(MIN(4,COUNTIF($C$18:C534,C534)),"st","nd","rd","th"),"")</f>
        <v/>
      </c>
    </row>
    <row r="535" spans="8:14" x14ac:dyDescent="0.25">
      <c r="H535" s="201" t="str">
        <f t="shared" si="8"/>
        <v/>
      </c>
      <c r="N535" s="164" t="str">
        <f>IFERROR(COUNTIF($C$18:C535,C535)&amp;CHOOSE(MIN(4,COUNTIF($C$18:C535,C535)),"st","nd","rd","th"),"")</f>
        <v/>
      </c>
    </row>
    <row r="536" spans="8:14" x14ac:dyDescent="0.25">
      <c r="H536" s="201" t="str">
        <f t="shared" si="8"/>
        <v/>
      </c>
      <c r="N536" s="164" t="str">
        <f>IFERROR(COUNTIF($C$18:C536,C536)&amp;CHOOSE(MIN(4,COUNTIF($C$18:C536,C536)),"st","nd","rd","th"),"")</f>
        <v/>
      </c>
    </row>
    <row r="537" spans="8:14" x14ac:dyDescent="0.25">
      <c r="H537" s="201" t="str">
        <f t="shared" si="8"/>
        <v/>
      </c>
      <c r="N537" s="164" t="str">
        <f>IFERROR(COUNTIF($C$18:C537,C537)&amp;CHOOSE(MIN(4,COUNTIF($C$18:C537,C537)),"st","nd","rd","th"),"")</f>
        <v/>
      </c>
    </row>
    <row r="538" spans="8:14" x14ac:dyDescent="0.25">
      <c r="H538" s="201" t="str">
        <f t="shared" si="8"/>
        <v/>
      </c>
      <c r="N538" s="164" t="str">
        <f>IFERROR(COUNTIF($C$18:C538,C538)&amp;CHOOSE(MIN(4,COUNTIF($C$18:C538,C538)),"st","nd","rd","th"),"")</f>
        <v/>
      </c>
    </row>
    <row r="539" spans="8:14" x14ac:dyDescent="0.25">
      <c r="H539" s="201" t="str">
        <f t="shared" si="8"/>
        <v/>
      </c>
      <c r="N539" s="164" t="str">
        <f>IFERROR(COUNTIF($C$18:C539,C539)&amp;CHOOSE(MIN(4,COUNTIF($C$18:C539,C539)),"st","nd","rd","th"),"")</f>
        <v/>
      </c>
    </row>
    <row r="540" spans="8:14" x14ac:dyDescent="0.25">
      <c r="H540" s="201" t="str">
        <f t="shared" si="8"/>
        <v/>
      </c>
      <c r="N540" s="164" t="str">
        <f>IFERROR(COUNTIF($C$18:C540,C540)&amp;CHOOSE(MIN(4,COUNTIF($C$18:C540,C540)),"st","nd","rd","th"),"")</f>
        <v/>
      </c>
    </row>
    <row r="541" spans="8:14" x14ac:dyDescent="0.25">
      <c r="H541" s="201" t="str">
        <f t="shared" si="8"/>
        <v/>
      </c>
      <c r="N541" s="164" t="str">
        <f>IFERROR(COUNTIF($C$18:C541,C541)&amp;CHOOSE(MIN(4,COUNTIF($C$18:C541,C541)),"st","nd","rd","th"),"")</f>
        <v/>
      </c>
    </row>
    <row r="542" spans="8:14" x14ac:dyDescent="0.25">
      <c r="H542" s="201" t="str">
        <f t="shared" si="8"/>
        <v/>
      </c>
      <c r="N542" s="164" t="str">
        <f>IFERROR(COUNTIF($C$18:C542,C542)&amp;CHOOSE(MIN(4,COUNTIF($C$18:C542,C542)),"st","nd","rd","th"),"")</f>
        <v/>
      </c>
    </row>
    <row r="543" spans="8:14" x14ac:dyDescent="0.25">
      <c r="H543" s="201" t="str">
        <f t="shared" si="8"/>
        <v/>
      </c>
      <c r="N543" s="164" t="str">
        <f>IFERROR(COUNTIF($C$18:C543,C543)&amp;CHOOSE(MIN(4,COUNTIF($C$18:C543,C543)),"st","nd","rd","th"),"")</f>
        <v/>
      </c>
    </row>
    <row r="544" spans="8:14" x14ac:dyDescent="0.25">
      <c r="H544" s="201" t="str">
        <f t="shared" si="8"/>
        <v/>
      </c>
      <c r="N544" s="164" t="str">
        <f>IFERROR(COUNTIF($C$18:C544,C544)&amp;CHOOSE(MIN(4,COUNTIF($C$18:C544,C544)),"st","nd","rd","th"),"")</f>
        <v/>
      </c>
    </row>
    <row r="545" spans="8:14" x14ac:dyDescent="0.25">
      <c r="H545" s="201" t="str">
        <f t="shared" si="8"/>
        <v/>
      </c>
      <c r="N545" s="164" t="str">
        <f>IFERROR(COUNTIF($C$18:C545,C545)&amp;CHOOSE(MIN(4,COUNTIF($C$18:C545,C545)),"st","nd","rd","th"),"")</f>
        <v/>
      </c>
    </row>
    <row r="546" spans="8:14" x14ac:dyDescent="0.25">
      <c r="H546" s="201" t="str">
        <f t="shared" si="8"/>
        <v/>
      </c>
      <c r="N546" s="164" t="str">
        <f>IFERROR(COUNTIF($C$18:C546,C546)&amp;CHOOSE(MIN(4,COUNTIF($C$18:C546,C546)),"st","nd","rd","th"),"")</f>
        <v/>
      </c>
    </row>
    <row r="547" spans="8:14" x14ac:dyDescent="0.25">
      <c r="H547" s="201" t="str">
        <f t="shared" si="8"/>
        <v/>
      </c>
      <c r="N547" s="164" t="str">
        <f>IFERROR(COUNTIF($C$18:C547,C547)&amp;CHOOSE(MIN(4,COUNTIF($C$18:C547,C547)),"st","nd","rd","th"),"")</f>
        <v/>
      </c>
    </row>
    <row r="548" spans="8:14" x14ac:dyDescent="0.25">
      <c r="H548" s="201" t="str">
        <f t="shared" si="8"/>
        <v/>
      </c>
      <c r="N548" s="164" t="str">
        <f>IFERROR(COUNTIF($C$18:C548,C548)&amp;CHOOSE(MIN(4,COUNTIF($C$18:C548,C548)),"st","nd","rd","th"),"")</f>
        <v/>
      </c>
    </row>
    <row r="549" spans="8:14" x14ac:dyDescent="0.25">
      <c r="H549" s="201" t="str">
        <f t="shared" si="8"/>
        <v/>
      </c>
      <c r="N549" s="164" t="str">
        <f>IFERROR(COUNTIF($C$18:C549,C549)&amp;CHOOSE(MIN(4,COUNTIF($C$18:C549,C549)),"st","nd","rd","th"),"")</f>
        <v/>
      </c>
    </row>
    <row r="550" spans="8:14" x14ac:dyDescent="0.25">
      <c r="H550" s="201" t="str">
        <f t="shared" si="8"/>
        <v/>
      </c>
      <c r="N550" s="164" t="str">
        <f>IFERROR(COUNTIF($C$18:C550,C550)&amp;CHOOSE(MIN(4,COUNTIF($C$18:C550,C550)),"st","nd","rd","th"),"")</f>
        <v/>
      </c>
    </row>
    <row r="551" spans="8:14" x14ac:dyDescent="0.25">
      <c r="H551" s="201" t="str">
        <f t="shared" si="8"/>
        <v/>
      </c>
      <c r="N551" s="164" t="str">
        <f>IFERROR(COUNTIF($C$18:C551,C551)&amp;CHOOSE(MIN(4,COUNTIF($C$18:C551,C551)),"st","nd","rd","th"),"")</f>
        <v/>
      </c>
    </row>
    <row r="552" spans="8:14" x14ac:dyDescent="0.25">
      <c r="H552" s="201" t="str">
        <f t="shared" si="8"/>
        <v/>
      </c>
      <c r="N552" s="164" t="str">
        <f>IFERROR(COUNTIF($C$18:C552,C552)&amp;CHOOSE(MIN(4,COUNTIF($C$18:C552,C552)),"st","nd","rd","th"),"")</f>
        <v/>
      </c>
    </row>
    <row r="553" spans="8:14" x14ac:dyDescent="0.25">
      <c r="H553" s="201" t="str">
        <f t="shared" si="8"/>
        <v/>
      </c>
      <c r="N553" s="164" t="str">
        <f>IFERROR(COUNTIF($C$18:C553,C553)&amp;CHOOSE(MIN(4,COUNTIF($C$18:C553,C553)),"st","nd","rd","th"),"")</f>
        <v/>
      </c>
    </row>
    <row r="554" spans="8:14" x14ac:dyDescent="0.25">
      <c r="H554" s="201" t="str">
        <f t="shared" si="8"/>
        <v/>
      </c>
      <c r="N554" s="164" t="str">
        <f>IFERROR(COUNTIF($C$18:C554,C554)&amp;CHOOSE(MIN(4,COUNTIF($C$18:C554,C554)),"st","nd","rd","th"),"")</f>
        <v/>
      </c>
    </row>
    <row r="555" spans="8:14" x14ac:dyDescent="0.25">
      <c r="H555" s="201" t="str">
        <f t="shared" si="8"/>
        <v/>
      </c>
      <c r="N555" s="164" t="str">
        <f>IFERROR(COUNTIF($C$18:C555,C555)&amp;CHOOSE(MIN(4,COUNTIF($C$18:C555,C555)),"st","nd","rd","th"),"")</f>
        <v/>
      </c>
    </row>
    <row r="556" spans="8:14" x14ac:dyDescent="0.25">
      <c r="H556" s="201" t="str">
        <f t="shared" si="8"/>
        <v/>
      </c>
      <c r="N556" s="164" t="str">
        <f>IFERROR(COUNTIF($C$18:C556,C556)&amp;CHOOSE(MIN(4,COUNTIF($C$18:C556,C556)),"st","nd","rd","th"),"")</f>
        <v/>
      </c>
    </row>
    <row r="557" spans="8:14" x14ac:dyDescent="0.25">
      <c r="H557" s="201" t="str">
        <f t="shared" si="8"/>
        <v/>
      </c>
      <c r="N557" s="164" t="str">
        <f>IFERROR(COUNTIF($C$18:C557,C557)&amp;CHOOSE(MIN(4,COUNTIF($C$18:C557,C557)),"st","nd","rd","th"),"")</f>
        <v/>
      </c>
    </row>
    <row r="558" spans="8:14" x14ac:dyDescent="0.25">
      <c r="H558" s="201" t="str">
        <f t="shared" si="8"/>
        <v/>
      </c>
      <c r="N558" s="164" t="str">
        <f>IFERROR(COUNTIF($C$18:C558,C558)&amp;CHOOSE(MIN(4,COUNTIF($C$18:C558,C558)),"st","nd","rd","th"),"")</f>
        <v/>
      </c>
    </row>
    <row r="559" spans="8:14" x14ac:dyDescent="0.25">
      <c r="H559" s="201" t="str">
        <f t="shared" si="8"/>
        <v/>
      </c>
      <c r="N559" s="164" t="str">
        <f>IFERROR(COUNTIF($C$18:C559,C559)&amp;CHOOSE(MIN(4,COUNTIF($C$18:C559,C559)),"st","nd","rd","th"),"")</f>
        <v/>
      </c>
    </row>
    <row r="560" spans="8:14" x14ac:dyDescent="0.25">
      <c r="H560" s="201" t="str">
        <f t="shared" si="8"/>
        <v/>
      </c>
      <c r="N560" s="164" t="str">
        <f>IFERROR(COUNTIF($C$18:C560,C560)&amp;CHOOSE(MIN(4,COUNTIF($C$18:C560,C560)),"st","nd","rd","th"),"")</f>
        <v/>
      </c>
    </row>
    <row r="561" spans="8:14" x14ac:dyDescent="0.25">
      <c r="H561" s="201" t="str">
        <f t="shared" si="8"/>
        <v/>
      </c>
      <c r="N561" s="164" t="str">
        <f>IFERROR(COUNTIF($C$18:C561,C561)&amp;CHOOSE(MIN(4,COUNTIF($C$18:C561,C561)),"st","nd","rd","th"),"")</f>
        <v/>
      </c>
    </row>
    <row r="562" spans="8:14" x14ac:dyDescent="0.25">
      <c r="H562" s="201" t="str">
        <f t="shared" si="8"/>
        <v/>
      </c>
      <c r="N562" s="164" t="str">
        <f>IFERROR(COUNTIF($C$18:C562,C562)&amp;CHOOSE(MIN(4,COUNTIF($C$18:C562,C562)),"st","nd","rd","th"),"")</f>
        <v/>
      </c>
    </row>
    <row r="563" spans="8:14" x14ac:dyDescent="0.25">
      <c r="H563" s="201" t="str">
        <f t="shared" si="8"/>
        <v/>
      </c>
      <c r="N563" s="164" t="str">
        <f>IFERROR(COUNTIF($C$18:C563,C563)&amp;CHOOSE(MIN(4,COUNTIF($C$18:C563,C563)),"st","nd","rd","th"),"")</f>
        <v/>
      </c>
    </row>
    <row r="564" spans="8:14" x14ac:dyDescent="0.25">
      <c r="H564" s="201" t="str">
        <f t="shared" si="8"/>
        <v/>
      </c>
      <c r="N564" s="164" t="str">
        <f>IFERROR(COUNTIF($C$18:C564,C564)&amp;CHOOSE(MIN(4,COUNTIF($C$18:C564,C564)),"st","nd","rd","th"),"")</f>
        <v/>
      </c>
    </row>
    <row r="565" spans="8:14" x14ac:dyDescent="0.25">
      <c r="H565" s="201" t="str">
        <f t="shared" si="8"/>
        <v/>
      </c>
      <c r="N565" s="164" t="str">
        <f>IFERROR(COUNTIF($C$18:C565,C565)&amp;CHOOSE(MIN(4,COUNTIF($C$18:C565,C565)),"st","nd","rd","th"),"")</f>
        <v/>
      </c>
    </row>
    <row r="566" spans="8:14" x14ac:dyDescent="0.25">
      <c r="H566" s="201" t="str">
        <f t="shared" si="8"/>
        <v/>
      </c>
      <c r="N566" s="164" t="str">
        <f>IFERROR(COUNTIF($C$18:C566,C566)&amp;CHOOSE(MIN(4,COUNTIF($C$18:C566,C566)),"st","nd","rd","th"),"")</f>
        <v/>
      </c>
    </row>
    <row r="567" spans="8:14" x14ac:dyDescent="0.25">
      <c r="H567" s="201" t="str">
        <f t="shared" si="8"/>
        <v/>
      </c>
      <c r="N567" s="164" t="str">
        <f>IFERROR(COUNTIF($C$18:C567,C567)&amp;CHOOSE(MIN(4,COUNTIF($C$18:C567,C567)),"st","nd","rd","th"),"")</f>
        <v/>
      </c>
    </row>
    <row r="568" spans="8:14" x14ac:dyDescent="0.25">
      <c r="H568" s="201" t="str">
        <f t="shared" si="8"/>
        <v/>
      </c>
      <c r="N568" s="164" t="str">
        <f>IFERROR(COUNTIF($C$18:C568,C568)&amp;CHOOSE(MIN(4,COUNTIF($C$18:C568,C568)),"st","nd","rd","th"),"")</f>
        <v/>
      </c>
    </row>
    <row r="569" spans="8:14" x14ac:dyDescent="0.25">
      <c r="H569" s="201" t="str">
        <f t="shared" si="8"/>
        <v/>
      </c>
      <c r="N569" s="164" t="str">
        <f>IFERROR(COUNTIF($C$18:C569,C569)&amp;CHOOSE(MIN(4,COUNTIF($C$18:C569,C569)),"st","nd","rd","th"),"")</f>
        <v/>
      </c>
    </row>
    <row r="570" spans="8:14" x14ac:dyDescent="0.25">
      <c r="H570" s="201" t="str">
        <f t="shared" si="8"/>
        <v/>
      </c>
      <c r="N570" s="164" t="str">
        <f>IFERROR(COUNTIF($C$18:C570,C570)&amp;CHOOSE(MIN(4,COUNTIF($C$18:C570,C570)),"st","nd","rd","th"),"")</f>
        <v/>
      </c>
    </row>
    <row r="571" spans="8:14" x14ac:dyDescent="0.25">
      <c r="H571" s="201" t="str">
        <f t="shared" si="8"/>
        <v/>
      </c>
      <c r="N571" s="164" t="str">
        <f>IFERROR(COUNTIF($C$18:C571,C571)&amp;CHOOSE(MIN(4,COUNTIF($C$18:C571,C571)),"st","nd","rd","th"),"")</f>
        <v/>
      </c>
    </row>
    <row r="572" spans="8:14" x14ac:dyDescent="0.25">
      <c r="H572" s="201" t="str">
        <f t="shared" si="8"/>
        <v/>
      </c>
      <c r="N572" s="164" t="str">
        <f>IFERROR(COUNTIF($C$18:C572,C572)&amp;CHOOSE(MIN(4,COUNTIF($C$18:C572,C572)),"st","nd","rd","th"),"")</f>
        <v/>
      </c>
    </row>
    <row r="573" spans="8:14" x14ac:dyDescent="0.25">
      <c r="H573" s="201" t="str">
        <f t="shared" si="8"/>
        <v/>
      </c>
      <c r="N573" s="164" t="str">
        <f>IFERROR(COUNTIF($C$18:C573,C573)&amp;CHOOSE(MIN(4,COUNTIF($C$18:C573,C573)),"st","nd","rd","th"),"")</f>
        <v/>
      </c>
    </row>
    <row r="574" spans="8:14" x14ac:dyDescent="0.25">
      <c r="H574" s="201" t="str">
        <f t="shared" si="8"/>
        <v/>
      </c>
      <c r="N574" s="164" t="str">
        <f>IFERROR(COUNTIF($C$18:C574,C574)&amp;CHOOSE(MIN(4,COUNTIF($C$18:C574,C574)),"st","nd","rd","th"),"")</f>
        <v/>
      </c>
    </row>
    <row r="575" spans="8:14" x14ac:dyDescent="0.25">
      <c r="H575" s="201" t="str">
        <f t="shared" si="8"/>
        <v/>
      </c>
      <c r="N575" s="164" t="str">
        <f>IFERROR(COUNTIF($C$18:C575,C575)&amp;CHOOSE(MIN(4,COUNTIF($C$18:C575,C575)),"st","nd","rd","th"),"")</f>
        <v/>
      </c>
    </row>
    <row r="576" spans="8:14" x14ac:dyDescent="0.25">
      <c r="H576" s="201" t="str">
        <f t="shared" si="8"/>
        <v/>
      </c>
      <c r="N576" s="164" t="str">
        <f>IFERROR(COUNTIF($C$18:C576,C576)&amp;CHOOSE(MIN(4,COUNTIF($C$18:C576,C576)),"st","nd","rd","th"),"")</f>
        <v/>
      </c>
    </row>
    <row r="577" spans="8:14" x14ac:dyDescent="0.25">
      <c r="H577" s="201" t="str">
        <f t="shared" si="8"/>
        <v/>
      </c>
      <c r="N577" s="164" t="str">
        <f>IFERROR(COUNTIF($C$18:C577,C577)&amp;CHOOSE(MIN(4,COUNTIF($C$18:C577,C577)),"st","nd","rd","th"),"")</f>
        <v/>
      </c>
    </row>
    <row r="578" spans="8:14" x14ac:dyDescent="0.25">
      <c r="H578" s="201" t="str">
        <f t="shared" si="8"/>
        <v/>
      </c>
      <c r="N578" s="164" t="str">
        <f>IFERROR(COUNTIF($C$18:C578,C578)&amp;CHOOSE(MIN(4,COUNTIF($C$18:C578,C578)),"st","nd","rd","th"),"")</f>
        <v/>
      </c>
    </row>
    <row r="579" spans="8:14" x14ac:dyDescent="0.25">
      <c r="H579" s="201" t="str">
        <f t="shared" si="8"/>
        <v/>
      </c>
      <c r="N579" s="164" t="str">
        <f>IFERROR(COUNTIF($C$18:C579,C579)&amp;CHOOSE(MIN(4,COUNTIF($C$18:C579,C579)),"st","nd","rd","th"),"")</f>
        <v/>
      </c>
    </row>
    <row r="580" spans="8:14" x14ac:dyDescent="0.25">
      <c r="H580" s="201" t="str">
        <f t="shared" si="8"/>
        <v/>
      </c>
      <c r="N580" s="164" t="str">
        <f>IFERROR(COUNTIF($C$18:C580,C580)&amp;CHOOSE(MIN(4,COUNTIF($C$18:C580,C580)),"st","nd","rd","th"),"")</f>
        <v/>
      </c>
    </row>
    <row r="581" spans="8:14" x14ac:dyDescent="0.25">
      <c r="H581" s="201" t="str">
        <f t="shared" si="8"/>
        <v/>
      </c>
      <c r="N581" s="164" t="str">
        <f>IFERROR(COUNTIF($C$18:C581,C581)&amp;CHOOSE(MIN(4,COUNTIF($C$18:C581,C581)),"st","nd","rd","th"),"")</f>
        <v/>
      </c>
    </row>
    <row r="582" spans="8:14" x14ac:dyDescent="0.25">
      <c r="H582" s="201" t="str">
        <f t="shared" si="8"/>
        <v/>
      </c>
      <c r="N582" s="164" t="str">
        <f>IFERROR(COUNTIF($C$18:C582,C582)&amp;CHOOSE(MIN(4,COUNTIF($C$18:C582,C582)),"st","nd","rd","th"),"")</f>
        <v/>
      </c>
    </row>
    <row r="583" spans="8:14" x14ac:dyDescent="0.25">
      <c r="H583" s="201" t="str">
        <f t="shared" si="8"/>
        <v/>
      </c>
      <c r="N583" s="164" t="str">
        <f>IFERROR(COUNTIF($C$18:C583,C583)&amp;CHOOSE(MIN(4,COUNTIF($C$18:C583,C583)),"st","nd","rd","th"),"")</f>
        <v/>
      </c>
    </row>
    <row r="584" spans="8:14" x14ac:dyDescent="0.25">
      <c r="H584" s="201" t="str">
        <f t="shared" si="8"/>
        <v/>
      </c>
      <c r="N584" s="164" t="str">
        <f>IFERROR(COUNTIF($C$18:C584,C584)&amp;CHOOSE(MIN(4,COUNTIF($C$18:C584,C584)),"st","nd","rd","th"),"")</f>
        <v/>
      </c>
    </row>
    <row r="585" spans="8:14" x14ac:dyDescent="0.25">
      <c r="H585" s="201" t="str">
        <f t="shared" si="8"/>
        <v/>
      </c>
      <c r="N585" s="164" t="str">
        <f>IFERROR(COUNTIF($C$18:C585,C585)&amp;CHOOSE(MIN(4,COUNTIF($C$18:C585,C585)),"st","nd","rd","th"),"")</f>
        <v/>
      </c>
    </row>
    <row r="586" spans="8:14" x14ac:dyDescent="0.25">
      <c r="H586" s="201" t="str">
        <f t="shared" si="8"/>
        <v/>
      </c>
      <c r="N586" s="164" t="str">
        <f>IFERROR(COUNTIF($C$18:C586,C586)&amp;CHOOSE(MIN(4,COUNTIF($C$18:C586,C586)),"st","nd","rd","th"),"")</f>
        <v/>
      </c>
    </row>
    <row r="587" spans="8:14" x14ac:dyDescent="0.25">
      <c r="H587" s="201" t="str">
        <f t="shared" si="8"/>
        <v/>
      </c>
      <c r="N587" s="164" t="str">
        <f>IFERROR(COUNTIF($C$18:C587,C587)&amp;CHOOSE(MIN(4,COUNTIF($C$18:C587,C587)),"st","nd","rd","th"),"")</f>
        <v/>
      </c>
    </row>
    <row r="588" spans="8:14" x14ac:dyDescent="0.25">
      <c r="H588" s="201" t="str">
        <f t="shared" si="8"/>
        <v/>
      </c>
      <c r="N588" s="164" t="str">
        <f>IFERROR(COUNTIF($C$18:C588,C588)&amp;CHOOSE(MIN(4,COUNTIF($C$18:C588,C588)),"st","nd","rd","th"),"")</f>
        <v/>
      </c>
    </row>
    <row r="589" spans="8:14" x14ac:dyDescent="0.25">
      <c r="H589" s="201" t="str">
        <f t="shared" si="8"/>
        <v/>
      </c>
      <c r="N589" s="164" t="str">
        <f>IFERROR(COUNTIF($C$18:C589,C589)&amp;CHOOSE(MIN(4,COUNTIF($C$18:C589,C589)),"st","nd","rd","th"),"")</f>
        <v/>
      </c>
    </row>
    <row r="590" spans="8:14" x14ac:dyDescent="0.25">
      <c r="H590" s="201" t="str">
        <f t="shared" si="8"/>
        <v/>
      </c>
      <c r="N590" s="164" t="str">
        <f>IFERROR(COUNTIF($C$18:C590,C590)&amp;CHOOSE(MIN(4,COUNTIF($C$18:C590,C590)),"st","nd","rd","th"),"")</f>
        <v/>
      </c>
    </row>
    <row r="591" spans="8:14" x14ac:dyDescent="0.25">
      <c r="H591" s="201" t="str">
        <f t="shared" si="8"/>
        <v/>
      </c>
      <c r="N591" s="164" t="str">
        <f>IFERROR(COUNTIF($C$18:C591,C591)&amp;CHOOSE(MIN(4,COUNTIF($C$18:C591,C591)),"st","nd","rd","th"),"")</f>
        <v/>
      </c>
    </row>
    <row r="592" spans="8:14" x14ac:dyDescent="0.25">
      <c r="H592" s="201" t="str">
        <f t="shared" si="8"/>
        <v/>
      </c>
      <c r="N592" s="164" t="str">
        <f>IFERROR(COUNTIF($C$18:C592,C592)&amp;CHOOSE(MIN(4,COUNTIF($C$18:C592,C592)),"st","nd","rd","th"),"")</f>
        <v/>
      </c>
    </row>
    <row r="593" spans="8:14" x14ac:dyDescent="0.25">
      <c r="H593" s="201" t="str">
        <f t="shared" si="8"/>
        <v/>
      </c>
      <c r="N593" s="164" t="str">
        <f>IFERROR(COUNTIF($C$18:C593,C593)&amp;CHOOSE(MIN(4,COUNTIF($C$18:C593,C593)),"st","nd","rd","th"),"")</f>
        <v/>
      </c>
    </row>
    <row r="594" spans="8:14" x14ac:dyDescent="0.25">
      <c r="H594" s="201" t="str">
        <f t="shared" ref="H594:H657" si="9">IF(OR(ISBLANK(G594), ISBLANK(F594)), "", IF(G594=F594, 1, SUM(_xlfn.DAYS(G594, F594), 1)))</f>
        <v/>
      </c>
      <c r="N594" s="164" t="str">
        <f>IFERROR(COUNTIF($C$18:C594,C594)&amp;CHOOSE(MIN(4,COUNTIF($C$18:C594,C594)),"st","nd","rd","th"),"")</f>
        <v/>
      </c>
    </row>
    <row r="595" spans="8:14" x14ac:dyDescent="0.25">
      <c r="H595" s="201" t="str">
        <f t="shared" si="9"/>
        <v/>
      </c>
      <c r="N595" s="164" t="str">
        <f>IFERROR(COUNTIF($C$18:C595,C595)&amp;CHOOSE(MIN(4,COUNTIF($C$18:C595,C595)),"st","nd","rd","th"),"")</f>
        <v/>
      </c>
    </row>
    <row r="596" spans="8:14" x14ac:dyDescent="0.25">
      <c r="H596" s="201" t="str">
        <f t="shared" si="9"/>
        <v/>
      </c>
      <c r="N596" s="164" t="str">
        <f>IFERROR(COUNTIF($C$18:C596,C596)&amp;CHOOSE(MIN(4,COUNTIF($C$18:C596,C596)),"st","nd","rd","th"),"")</f>
        <v/>
      </c>
    </row>
    <row r="597" spans="8:14" x14ac:dyDescent="0.25">
      <c r="H597" s="201" t="str">
        <f t="shared" si="9"/>
        <v/>
      </c>
      <c r="N597" s="164" t="str">
        <f>IFERROR(COUNTIF($C$18:C597,C597)&amp;CHOOSE(MIN(4,COUNTIF($C$18:C597,C597)),"st","nd","rd","th"),"")</f>
        <v/>
      </c>
    </row>
    <row r="598" spans="8:14" x14ac:dyDescent="0.25">
      <c r="H598" s="201" t="str">
        <f t="shared" si="9"/>
        <v/>
      </c>
      <c r="N598" s="164" t="str">
        <f>IFERROR(COUNTIF($C$18:C598,C598)&amp;CHOOSE(MIN(4,COUNTIF($C$18:C598,C598)),"st","nd","rd","th"),"")</f>
        <v/>
      </c>
    </row>
    <row r="599" spans="8:14" x14ac:dyDescent="0.25">
      <c r="H599" s="201" t="str">
        <f t="shared" si="9"/>
        <v/>
      </c>
      <c r="N599" s="164" t="str">
        <f>IFERROR(COUNTIF($C$18:C599,C599)&amp;CHOOSE(MIN(4,COUNTIF($C$18:C599,C599)),"st","nd","rd","th"),"")</f>
        <v/>
      </c>
    </row>
    <row r="600" spans="8:14" x14ac:dyDescent="0.25">
      <c r="H600" s="201" t="str">
        <f t="shared" si="9"/>
        <v/>
      </c>
      <c r="N600" s="164" t="str">
        <f>IFERROR(COUNTIF($C$18:C600,C600)&amp;CHOOSE(MIN(4,COUNTIF($C$18:C600,C600)),"st","nd","rd","th"),"")</f>
        <v/>
      </c>
    </row>
    <row r="601" spans="8:14" x14ac:dyDescent="0.25">
      <c r="H601" s="201" t="str">
        <f t="shared" si="9"/>
        <v/>
      </c>
      <c r="N601" s="164" t="str">
        <f>IFERROR(COUNTIF($C$18:C601,C601)&amp;CHOOSE(MIN(4,COUNTIF($C$18:C601,C601)),"st","nd","rd","th"),"")</f>
        <v/>
      </c>
    </row>
    <row r="602" spans="8:14" x14ac:dyDescent="0.25">
      <c r="H602" s="201" t="str">
        <f t="shared" si="9"/>
        <v/>
      </c>
      <c r="N602" s="164" t="str">
        <f>IFERROR(COUNTIF($C$18:C602,C602)&amp;CHOOSE(MIN(4,COUNTIF($C$18:C602,C602)),"st","nd","rd","th"),"")</f>
        <v/>
      </c>
    </row>
    <row r="603" spans="8:14" x14ac:dyDescent="0.25">
      <c r="H603" s="201" t="str">
        <f t="shared" si="9"/>
        <v/>
      </c>
      <c r="N603" s="164" t="str">
        <f>IFERROR(COUNTIF($C$18:C603,C603)&amp;CHOOSE(MIN(4,COUNTIF($C$18:C603,C603)),"st","nd","rd","th"),"")</f>
        <v/>
      </c>
    </row>
    <row r="604" spans="8:14" x14ac:dyDescent="0.25">
      <c r="H604" s="201" t="str">
        <f t="shared" si="9"/>
        <v/>
      </c>
      <c r="N604" s="164" t="str">
        <f>IFERROR(COUNTIF($C$18:C604,C604)&amp;CHOOSE(MIN(4,COUNTIF($C$18:C604,C604)),"st","nd","rd","th"),"")</f>
        <v/>
      </c>
    </row>
    <row r="605" spans="8:14" x14ac:dyDescent="0.25">
      <c r="H605" s="201" t="str">
        <f t="shared" si="9"/>
        <v/>
      </c>
      <c r="N605" s="164" t="str">
        <f>IFERROR(COUNTIF($C$18:C605,C605)&amp;CHOOSE(MIN(4,COUNTIF($C$18:C605,C605)),"st","nd","rd","th"),"")</f>
        <v/>
      </c>
    </row>
    <row r="606" spans="8:14" x14ac:dyDescent="0.25">
      <c r="H606" s="201" t="str">
        <f t="shared" si="9"/>
        <v/>
      </c>
      <c r="N606" s="164" t="str">
        <f>IFERROR(COUNTIF($C$18:C606,C606)&amp;CHOOSE(MIN(4,COUNTIF($C$18:C606,C606)),"st","nd","rd","th"),"")</f>
        <v/>
      </c>
    </row>
    <row r="607" spans="8:14" x14ac:dyDescent="0.25">
      <c r="H607" s="201" t="str">
        <f t="shared" si="9"/>
        <v/>
      </c>
      <c r="N607" s="164" t="str">
        <f>IFERROR(COUNTIF($C$18:C607,C607)&amp;CHOOSE(MIN(4,COUNTIF($C$18:C607,C607)),"st","nd","rd","th"),"")</f>
        <v/>
      </c>
    </row>
    <row r="608" spans="8:14" x14ac:dyDescent="0.25">
      <c r="H608" s="201" t="str">
        <f t="shared" si="9"/>
        <v/>
      </c>
      <c r="N608" s="164" t="str">
        <f>IFERROR(COUNTIF($C$18:C608,C608)&amp;CHOOSE(MIN(4,COUNTIF($C$18:C608,C608)),"st","nd","rd","th"),"")</f>
        <v/>
      </c>
    </row>
    <row r="609" spans="8:14" x14ac:dyDescent="0.25">
      <c r="H609" s="201" t="str">
        <f t="shared" si="9"/>
        <v/>
      </c>
      <c r="N609" s="164" t="str">
        <f>IFERROR(COUNTIF($C$18:C609,C609)&amp;CHOOSE(MIN(4,COUNTIF($C$18:C609,C609)),"st","nd","rd","th"),"")</f>
        <v/>
      </c>
    </row>
    <row r="610" spans="8:14" x14ac:dyDescent="0.25">
      <c r="H610" s="201" t="str">
        <f t="shared" si="9"/>
        <v/>
      </c>
      <c r="N610" s="164" t="str">
        <f>IFERROR(COUNTIF($C$18:C610,C610)&amp;CHOOSE(MIN(4,COUNTIF($C$18:C610,C610)),"st","nd","rd","th"),"")</f>
        <v/>
      </c>
    </row>
    <row r="611" spans="8:14" x14ac:dyDescent="0.25">
      <c r="H611" s="201" t="str">
        <f t="shared" si="9"/>
        <v/>
      </c>
      <c r="N611" s="164" t="str">
        <f>IFERROR(COUNTIF($C$18:C611,C611)&amp;CHOOSE(MIN(4,COUNTIF($C$18:C611,C611)),"st","nd","rd","th"),"")</f>
        <v/>
      </c>
    </row>
    <row r="612" spans="8:14" x14ac:dyDescent="0.25">
      <c r="H612" s="201" t="str">
        <f t="shared" si="9"/>
        <v/>
      </c>
      <c r="N612" s="164" t="str">
        <f>IFERROR(COUNTIF($C$18:C612,C612)&amp;CHOOSE(MIN(4,COUNTIF($C$18:C612,C612)),"st","nd","rd","th"),"")</f>
        <v/>
      </c>
    </row>
    <row r="613" spans="8:14" x14ac:dyDescent="0.25">
      <c r="H613" s="201" t="str">
        <f t="shared" si="9"/>
        <v/>
      </c>
      <c r="N613" s="164" t="str">
        <f>IFERROR(COUNTIF($C$18:C613,C613)&amp;CHOOSE(MIN(4,COUNTIF($C$18:C613,C613)),"st","nd","rd","th"),"")</f>
        <v/>
      </c>
    </row>
    <row r="614" spans="8:14" x14ac:dyDescent="0.25">
      <c r="H614" s="201" t="str">
        <f t="shared" si="9"/>
        <v/>
      </c>
      <c r="N614" s="164" t="str">
        <f>IFERROR(COUNTIF($C$18:C614,C614)&amp;CHOOSE(MIN(4,COUNTIF($C$18:C614,C614)),"st","nd","rd","th"),"")</f>
        <v/>
      </c>
    </row>
    <row r="615" spans="8:14" x14ac:dyDescent="0.25">
      <c r="H615" s="201" t="str">
        <f t="shared" si="9"/>
        <v/>
      </c>
      <c r="N615" s="164" t="str">
        <f>IFERROR(COUNTIF($C$18:C615,C615)&amp;CHOOSE(MIN(4,COUNTIF($C$18:C615,C615)),"st","nd","rd","th"),"")</f>
        <v/>
      </c>
    </row>
    <row r="616" spans="8:14" x14ac:dyDescent="0.25">
      <c r="H616" s="201" t="str">
        <f t="shared" si="9"/>
        <v/>
      </c>
      <c r="N616" s="164" t="str">
        <f>IFERROR(COUNTIF($C$18:C616,C616)&amp;CHOOSE(MIN(4,COUNTIF($C$18:C616,C616)),"st","nd","rd","th"),"")</f>
        <v/>
      </c>
    </row>
    <row r="617" spans="8:14" x14ac:dyDescent="0.25">
      <c r="H617" s="201" t="str">
        <f t="shared" si="9"/>
        <v/>
      </c>
      <c r="N617" s="164" t="str">
        <f>IFERROR(COUNTIF($C$18:C617,C617)&amp;CHOOSE(MIN(4,COUNTIF($C$18:C617,C617)),"st","nd","rd","th"),"")</f>
        <v/>
      </c>
    </row>
    <row r="618" spans="8:14" x14ac:dyDescent="0.25">
      <c r="H618" s="201" t="str">
        <f t="shared" si="9"/>
        <v/>
      </c>
      <c r="N618" s="164" t="str">
        <f>IFERROR(COUNTIF($C$18:C618,C618)&amp;CHOOSE(MIN(4,COUNTIF($C$18:C618,C618)),"st","nd","rd","th"),"")</f>
        <v/>
      </c>
    </row>
    <row r="619" spans="8:14" x14ac:dyDescent="0.25">
      <c r="H619" s="201" t="str">
        <f t="shared" si="9"/>
        <v/>
      </c>
      <c r="N619" s="164" t="str">
        <f>IFERROR(COUNTIF($C$18:C619,C619)&amp;CHOOSE(MIN(4,COUNTIF($C$18:C619,C619)),"st","nd","rd","th"),"")</f>
        <v/>
      </c>
    </row>
    <row r="620" spans="8:14" x14ac:dyDescent="0.25">
      <c r="H620" s="201" t="str">
        <f t="shared" si="9"/>
        <v/>
      </c>
      <c r="N620" s="164" t="str">
        <f>IFERROR(COUNTIF($C$18:C620,C620)&amp;CHOOSE(MIN(4,COUNTIF($C$18:C620,C620)),"st","nd","rd","th"),"")</f>
        <v/>
      </c>
    </row>
    <row r="621" spans="8:14" x14ac:dyDescent="0.25">
      <c r="H621" s="201" t="str">
        <f t="shared" si="9"/>
        <v/>
      </c>
      <c r="N621" s="164" t="str">
        <f>IFERROR(COUNTIF($C$18:C621,C621)&amp;CHOOSE(MIN(4,COUNTIF($C$18:C621,C621)),"st","nd","rd","th"),"")</f>
        <v/>
      </c>
    </row>
    <row r="622" spans="8:14" x14ac:dyDescent="0.25">
      <c r="H622" s="201" t="str">
        <f t="shared" si="9"/>
        <v/>
      </c>
      <c r="N622" s="164" t="str">
        <f>IFERROR(COUNTIF($C$18:C622,C622)&amp;CHOOSE(MIN(4,COUNTIF($C$18:C622,C622)),"st","nd","rd","th"),"")</f>
        <v/>
      </c>
    </row>
    <row r="623" spans="8:14" x14ac:dyDescent="0.25">
      <c r="H623" s="201" t="str">
        <f t="shared" si="9"/>
        <v/>
      </c>
      <c r="N623" s="164" t="str">
        <f>IFERROR(COUNTIF($C$18:C623,C623)&amp;CHOOSE(MIN(4,COUNTIF($C$18:C623,C623)),"st","nd","rd","th"),"")</f>
        <v/>
      </c>
    </row>
    <row r="624" spans="8:14" x14ac:dyDescent="0.25">
      <c r="H624" s="201" t="str">
        <f t="shared" si="9"/>
        <v/>
      </c>
      <c r="N624" s="164" t="str">
        <f>IFERROR(COUNTIF($C$18:C624,C624)&amp;CHOOSE(MIN(4,COUNTIF($C$18:C624,C624)),"st","nd","rd","th"),"")</f>
        <v/>
      </c>
    </row>
    <row r="625" spans="8:14" x14ac:dyDescent="0.25">
      <c r="H625" s="201" t="str">
        <f t="shared" si="9"/>
        <v/>
      </c>
      <c r="N625" s="164" t="str">
        <f>IFERROR(COUNTIF($C$18:C625,C625)&amp;CHOOSE(MIN(4,COUNTIF($C$18:C625,C625)),"st","nd","rd","th"),"")</f>
        <v/>
      </c>
    </row>
    <row r="626" spans="8:14" x14ac:dyDescent="0.25">
      <c r="H626" s="201" t="str">
        <f t="shared" si="9"/>
        <v/>
      </c>
      <c r="N626" s="164" t="str">
        <f>IFERROR(COUNTIF($C$18:C626,C626)&amp;CHOOSE(MIN(4,COUNTIF($C$18:C626,C626)),"st","nd","rd","th"),"")</f>
        <v/>
      </c>
    </row>
    <row r="627" spans="8:14" x14ac:dyDescent="0.25">
      <c r="H627" s="201" t="str">
        <f t="shared" si="9"/>
        <v/>
      </c>
      <c r="N627" s="164" t="str">
        <f>IFERROR(COUNTIF($C$18:C627,C627)&amp;CHOOSE(MIN(4,COUNTIF($C$18:C627,C627)),"st","nd","rd","th"),"")</f>
        <v/>
      </c>
    </row>
    <row r="628" spans="8:14" x14ac:dyDescent="0.25">
      <c r="H628" s="201" t="str">
        <f t="shared" si="9"/>
        <v/>
      </c>
      <c r="N628" s="164" t="str">
        <f>IFERROR(COUNTIF($C$18:C628,C628)&amp;CHOOSE(MIN(4,COUNTIF($C$18:C628,C628)),"st","nd","rd","th"),"")</f>
        <v/>
      </c>
    </row>
    <row r="629" spans="8:14" x14ac:dyDescent="0.25">
      <c r="H629" s="201" t="str">
        <f t="shared" si="9"/>
        <v/>
      </c>
      <c r="N629" s="164" t="str">
        <f>IFERROR(COUNTIF($C$18:C629,C629)&amp;CHOOSE(MIN(4,COUNTIF($C$18:C629,C629)),"st","nd","rd","th"),"")</f>
        <v/>
      </c>
    </row>
    <row r="630" spans="8:14" x14ac:dyDescent="0.25">
      <c r="H630" s="201" t="str">
        <f t="shared" si="9"/>
        <v/>
      </c>
      <c r="N630" s="164" t="str">
        <f>IFERROR(COUNTIF($C$18:C630,C630)&amp;CHOOSE(MIN(4,COUNTIF($C$18:C630,C630)),"st","nd","rd","th"),"")</f>
        <v/>
      </c>
    </row>
    <row r="631" spans="8:14" x14ac:dyDescent="0.25">
      <c r="H631" s="201" t="str">
        <f t="shared" si="9"/>
        <v/>
      </c>
      <c r="N631" s="164" t="str">
        <f>IFERROR(COUNTIF($C$18:C631,C631)&amp;CHOOSE(MIN(4,COUNTIF($C$18:C631,C631)),"st","nd","rd","th"),"")</f>
        <v/>
      </c>
    </row>
    <row r="632" spans="8:14" x14ac:dyDescent="0.25">
      <c r="H632" s="201" t="str">
        <f t="shared" si="9"/>
        <v/>
      </c>
      <c r="N632" s="164" t="str">
        <f>IFERROR(COUNTIF($C$18:C632,C632)&amp;CHOOSE(MIN(4,COUNTIF($C$18:C632,C632)),"st","nd","rd","th"),"")</f>
        <v/>
      </c>
    </row>
    <row r="633" spans="8:14" x14ac:dyDescent="0.25">
      <c r="H633" s="201" t="str">
        <f t="shared" si="9"/>
        <v/>
      </c>
      <c r="N633" s="164" t="str">
        <f>IFERROR(COUNTIF($C$18:C633,C633)&amp;CHOOSE(MIN(4,COUNTIF($C$18:C633,C633)),"st","nd","rd","th"),"")</f>
        <v/>
      </c>
    </row>
    <row r="634" spans="8:14" x14ac:dyDescent="0.25">
      <c r="H634" s="201" t="str">
        <f t="shared" si="9"/>
        <v/>
      </c>
      <c r="N634" s="164" t="str">
        <f>IFERROR(COUNTIF($C$18:C634,C634)&amp;CHOOSE(MIN(4,COUNTIF($C$18:C634,C634)),"st","nd","rd","th"),"")</f>
        <v/>
      </c>
    </row>
    <row r="635" spans="8:14" x14ac:dyDescent="0.25">
      <c r="H635" s="201" t="str">
        <f t="shared" si="9"/>
        <v/>
      </c>
      <c r="N635" s="164" t="str">
        <f>IFERROR(COUNTIF($C$18:C635,C635)&amp;CHOOSE(MIN(4,COUNTIF($C$18:C635,C635)),"st","nd","rd","th"),"")</f>
        <v/>
      </c>
    </row>
    <row r="636" spans="8:14" x14ac:dyDescent="0.25">
      <c r="H636" s="201" t="str">
        <f t="shared" si="9"/>
        <v/>
      </c>
      <c r="N636" s="164" t="str">
        <f>IFERROR(COUNTIF($C$18:C636,C636)&amp;CHOOSE(MIN(4,COUNTIF($C$18:C636,C636)),"st","nd","rd","th"),"")</f>
        <v/>
      </c>
    </row>
    <row r="637" spans="8:14" x14ac:dyDescent="0.25">
      <c r="H637" s="201" t="str">
        <f t="shared" si="9"/>
        <v/>
      </c>
      <c r="N637" s="164" t="str">
        <f>IFERROR(COUNTIF($C$18:C637,C637)&amp;CHOOSE(MIN(4,COUNTIF($C$18:C637,C637)),"st","nd","rd","th"),"")</f>
        <v/>
      </c>
    </row>
    <row r="638" spans="8:14" x14ac:dyDescent="0.25">
      <c r="H638" s="201" t="str">
        <f t="shared" si="9"/>
        <v/>
      </c>
      <c r="N638" s="164" t="str">
        <f>IFERROR(COUNTIF($C$18:C638,C638)&amp;CHOOSE(MIN(4,COUNTIF($C$18:C638,C638)),"st","nd","rd","th"),"")</f>
        <v/>
      </c>
    </row>
    <row r="639" spans="8:14" x14ac:dyDescent="0.25">
      <c r="H639" s="201" t="str">
        <f t="shared" si="9"/>
        <v/>
      </c>
      <c r="N639" s="164" t="str">
        <f>IFERROR(COUNTIF($C$18:C639,C639)&amp;CHOOSE(MIN(4,COUNTIF($C$18:C639,C639)),"st","nd","rd","th"),"")</f>
        <v/>
      </c>
    </row>
    <row r="640" spans="8:14" x14ac:dyDescent="0.25">
      <c r="H640" s="201" t="str">
        <f t="shared" si="9"/>
        <v/>
      </c>
      <c r="N640" s="164" t="str">
        <f>IFERROR(COUNTIF($C$18:C640,C640)&amp;CHOOSE(MIN(4,COUNTIF($C$18:C640,C640)),"st","nd","rd","th"),"")</f>
        <v/>
      </c>
    </row>
    <row r="641" spans="8:14" x14ac:dyDescent="0.25">
      <c r="H641" s="201" t="str">
        <f t="shared" si="9"/>
        <v/>
      </c>
      <c r="N641" s="164" t="str">
        <f>IFERROR(COUNTIF($C$18:C641,C641)&amp;CHOOSE(MIN(4,COUNTIF($C$18:C641,C641)),"st","nd","rd","th"),"")</f>
        <v/>
      </c>
    </row>
    <row r="642" spans="8:14" x14ac:dyDescent="0.25">
      <c r="H642" s="201" t="str">
        <f t="shared" si="9"/>
        <v/>
      </c>
      <c r="N642" s="164" t="str">
        <f>IFERROR(COUNTIF($C$18:C642,C642)&amp;CHOOSE(MIN(4,COUNTIF($C$18:C642,C642)),"st","nd","rd","th"),"")</f>
        <v/>
      </c>
    </row>
    <row r="643" spans="8:14" x14ac:dyDescent="0.25">
      <c r="H643" s="201" t="str">
        <f t="shared" si="9"/>
        <v/>
      </c>
      <c r="N643" s="164" t="str">
        <f>IFERROR(COUNTIF($C$18:C643,C643)&amp;CHOOSE(MIN(4,COUNTIF($C$18:C643,C643)),"st","nd","rd","th"),"")</f>
        <v/>
      </c>
    </row>
    <row r="644" spans="8:14" x14ac:dyDescent="0.25">
      <c r="H644" s="201" t="str">
        <f t="shared" si="9"/>
        <v/>
      </c>
      <c r="N644" s="164" t="str">
        <f>IFERROR(COUNTIF($C$18:C644,C644)&amp;CHOOSE(MIN(4,COUNTIF($C$18:C644,C644)),"st","nd","rd","th"),"")</f>
        <v/>
      </c>
    </row>
    <row r="645" spans="8:14" x14ac:dyDescent="0.25">
      <c r="H645" s="201" t="str">
        <f t="shared" si="9"/>
        <v/>
      </c>
      <c r="N645" s="164" t="str">
        <f>IFERROR(COUNTIF($C$18:C645,C645)&amp;CHOOSE(MIN(4,COUNTIF($C$18:C645,C645)),"st","nd","rd","th"),"")</f>
        <v/>
      </c>
    </row>
    <row r="646" spans="8:14" x14ac:dyDescent="0.25">
      <c r="H646" s="201" t="str">
        <f t="shared" si="9"/>
        <v/>
      </c>
      <c r="N646" s="164" t="str">
        <f>IFERROR(COUNTIF($C$18:C646,C646)&amp;CHOOSE(MIN(4,COUNTIF($C$18:C646,C646)),"st","nd","rd","th"),"")</f>
        <v/>
      </c>
    </row>
    <row r="647" spans="8:14" x14ac:dyDescent="0.25">
      <c r="H647" s="201" t="str">
        <f t="shared" si="9"/>
        <v/>
      </c>
      <c r="N647" s="164" t="str">
        <f>IFERROR(COUNTIF($C$18:C647,C647)&amp;CHOOSE(MIN(4,COUNTIF($C$18:C647,C647)),"st","nd","rd","th"),"")</f>
        <v/>
      </c>
    </row>
    <row r="648" spans="8:14" x14ac:dyDescent="0.25">
      <c r="H648" s="201" t="str">
        <f t="shared" si="9"/>
        <v/>
      </c>
      <c r="N648" s="164" t="str">
        <f>IFERROR(COUNTIF($C$18:C648,C648)&amp;CHOOSE(MIN(4,COUNTIF($C$18:C648,C648)),"st","nd","rd","th"),"")</f>
        <v/>
      </c>
    </row>
    <row r="649" spans="8:14" x14ac:dyDescent="0.25">
      <c r="H649" s="201" t="str">
        <f t="shared" si="9"/>
        <v/>
      </c>
      <c r="N649" s="164" t="str">
        <f>IFERROR(COUNTIF($C$18:C649,C649)&amp;CHOOSE(MIN(4,COUNTIF($C$18:C649,C649)),"st","nd","rd","th"),"")</f>
        <v/>
      </c>
    </row>
    <row r="650" spans="8:14" x14ac:dyDescent="0.25">
      <c r="H650" s="201" t="str">
        <f t="shared" si="9"/>
        <v/>
      </c>
      <c r="N650" s="164" t="str">
        <f>IFERROR(COUNTIF($C$18:C650,C650)&amp;CHOOSE(MIN(4,COUNTIF($C$18:C650,C650)),"st","nd","rd","th"),"")</f>
        <v/>
      </c>
    </row>
    <row r="651" spans="8:14" x14ac:dyDescent="0.25">
      <c r="H651" s="201" t="str">
        <f t="shared" si="9"/>
        <v/>
      </c>
      <c r="N651" s="164" t="str">
        <f>IFERROR(COUNTIF($C$18:C651,C651)&amp;CHOOSE(MIN(4,COUNTIF($C$18:C651,C651)),"st","nd","rd","th"),"")</f>
        <v/>
      </c>
    </row>
    <row r="652" spans="8:14" x14ac:dyDescent="0.25">
      <c r="H652" s="201" t="str">
        <f t="shared" si="9"/>
        <v/>
      </c>
      <c r="N652" s="164" t="str">
        <f>IFERROR(COUNTIF($C$18:C652,C652)&amp;CHOOSE(MIN(4,COUNTIF($C$18:C652,C652)),"st","nd","rd","th"),"")</f>
        <v/>
      </c>
    </row>
    <row r="653" spans="8:14" x14ac:dyDescent="0.25">
      <c r="H653" s="201" t="str">
        <f t="shared" si="9"/>
        <v/>
      </c>
      <c r="N653" s="164" t="str">
        <f>IFERROR(COUNTIF($C$18:C653,C653)&amp;CHOOSE(MIN(4,COUNTIF($C$18:C653,C653)),"st","nd","rd","th"),"")</f>
        <v/>
      </c>
    </row>
    <row r="654" spans="8:14" x14ac:dyDescent="0.25">
      <c r="H654" s="201" t="str">
        <f t="shared" si="9"/>
        <v/>
      </c>
      <c r="N654" s="164" t="str">
        <f>IFERROR(COUNTIF($C$18:C654,C654)&amp;CHOOSE(MIN(4,COUNTIF($C$18:C654,C654)),"st","nd","rd","th"),"")</f>
        <v/>
      </c>
    </row>
    <row r="655" spans="8:14" x14ac:dyDescent="0.25">
      <c r="H655" s="201" t="str">
        <f t="shared" si="9"/>
        <v/>
      </c>
      <c r="N655" s="164" t="str">
        <f>IFERROR(COUNTIF($C$18:C655,C655)&amp;CHOOSE(MIN(4,COUNTIF($C$18:C655,C655)),"st","nd","rd","th"),"")</f>
        <v/>
      </c>
    </row>
    <row r="656" spans="8:14" x14ac:dyDescent="0.25">
      <c r="H656" s="201" t="str">
        <f t="shared" si="9"/>
        <v/>
      </c>
      <c r="N656" s="164" t="str">
        <f>IFERROR(COUNTIF($C$18:C656,C656)&amp;CHOOSE(MIN(4,COUNTIF($C$18:C656,C656)),"st","nd","rd","th"),"")</f>
        <v/>
      </c>
    </row>
    <row r="657" spans="8:14" x14ac:dyDescent="0.25">
      <c r="H657" s="201" t="str">
        <f t="shared" si="9"/>
        <v/>
      </c>
      <c r="N657" s="164" t="str">
        <f>IFERROR(COUNTIF($C$18:C657,C657)&amp;CHOOSE(MIN(4,COUNTIF($C$18:C657,C657)),"st","nd","rd","th"),"")</f>
        <v/>
      </c>
    </row>
    <row r="658" spans="8:14" x14ac:dyDescent="0.25">
      <c r="H658" s="201" t="str">
        <f t="shared" ref="H658:H721" si="10">IF(OR(ISBLANK(G658), ISBLANK(F658)), "", IF(G658=F658, 1, SUM(_xlfn.DAYS(G658, F658), 1)))</f>
        <v/>
      </c>
      <c r="N658" s="164" t="str">
        <f>IFERROR(COUNTIF($C$18:C658,C658)&amp;CHOOSE(MIN(4,COUNTIF($C$18:C658,C658)),"st","nd","rd","th"),"")</f>
        <v/>
      </c>
    </row>
    <row r="659" spans="8:14" x14ac:dyDescent="0.25">
      <c r="H659" s="201" t="str">
        <f t="shared" si="10"/>
        <v/>
      </c>
      <c r="N659" s="164" t="str">
        <f>IFERROR(COUNTIF($C$18:C659,C659)&amp;CHOOSE(MIN(4,COUNTIF($C$18:C659,C659)),"st","nd","rd","th"),"")</f>
        <v/>
      </c>
    </row>
    <row r="660" spans="8:14" x14ac:dyDescent="0.25">
      <c r="H660" s="201" t="str">
        <f t="shared" si="10"/>
        <v/>
      </c>
      <c r="N660" s="164" t="str">
        <f>IFERROR(COUNTIF($C$18:C660,C660)&amp;CHOOSE(MIN(4,COUNTIF($C$18:C660,C660)),"st","nd","rd","th"),"")</f>
        <v/>
      </c>
    </row>
    <row r="661" spans="8:14" x14ac:dyDescent="0.25">
      <c r="H661" s="201" t="str">
        <f t="shared" si="10"/>
        <v/>
      </c>
      <c r="N661" s="164" t="str">
        <f>IFERROR(COUNTIF($C$18:C661,C661)&amp;CHOOSE(MIN(4,COUNTIF($C$18:C661,C661)),"st","nd","rd","th"),"")</f>
        <v/>
      </c>
    </row>
    <row r="662" spans="8:14" x14ac:dyDescent="0.25">
      <c r="H662" s="201" t="str">
        <f t="shared" si="10"/>
        <v/>
      </c>
      <c r="N662" s="164" t="str">
        <f>IFERROR(COUNTIF($C$18:C662,C662)&amp;CHOOSE(MIN(4,COUNTIF($C$18:C662,C662)),"st","nd","rd","th"),"")</f>
        <v/>
      </c>
    </row>
    <row r="663" spans="8:14" x14ac:dyDescent="0.25">
      <c r="H663" s="201" t="str">
        <f t="shared" si="10"/>
        <v/>
      </c>
      <c r="N663" s="164" t="str">
        <f>IFERROR(COUNTIF($C$18:C663,C663)&amp;CHOOSE(MIN(4,COUNTIF($C$18:C663,C663)),"st","nd","rd","th"),"")</f>
        <v/>
      </c>
    </row>
    <row r="664" spans="8:14" x14ac:dyDescent="0.25">
      <c r="H664" s="201" t="str">
        <f t="shared" si="10"/>
        <v/>
      </c>
      <c r="N664" s="164" t="str">
        <f>IFERROR(COUNTIF($C$18:C664,C664)&amp;CHOOSE(MIN(4,COUNTIF($C$18:C664,C664)),"st","nd","rd","th"),"")</f>
        <v/>
      </c>
    </row>
    <row r="665" spans="8:14" x14ac:dyDescent="0.25">
      <c r="H665" s="201" t="str">
        <f t="shared" si="10"/>
        <v/>
      </c>
      <c r="N665" s="164" t="str">
        <f>IFERROR(COUNTIF($C$18:C665,C665)&amp;CHOOSE(MIN(4,COUNTIF($C$18:C665,C665)),"st","nd","rd","th"),"")</f>
        <v/>
      </c>
    </row>
    <row r="666" spans="8:14" x14ac:dyDescent="0.25">
      <c r="H666" s="201" t="str">
        <f t="shared" si="10"/>
        <v/>
      </c>
      <c r="N666" s="164" t="str">
        <f>IFERROR(COUNTIF($C$18:C666,C666)&amp;CHOOSE(MIN(4,COUNTIF($C$18:C666,C666)),"st","nd","rd","th"),"")</f>
        <v/>
      </c>
    </row>
    <row r="667" spans="8:14" x14ac:dyDescent="0.25">
      <c r="H667" s="201" t="str">
        <f t="shared" si="10"/>
        <v/>
      </c>
      <c r="N667" s="164" t="str">
        <f>IFERROR(COUNTIF($C$18:C667,C667)&amp;CHOOSE(MIN(4,COUNTIF($C$18:C667,C667)),"st","nd","rd","th"),"")</f>
        <v/>
      </c>
    </row>
    <row r="668" spans="8:14" x14ac:dyDescent="0.25">
      <c r="H668" s="201" t="str">
        <f t="shared" si="10"/>
        <v/>
      </c>
      <c r="N668" s="164" t="str">
        <f>IFERROR(COUNTIF($C$18:C668,C668)&amp;CHOOSE(MIN(4,COUNTIF($C$18:C668,C668)),"st","nd","rd","th"),"")</f>
        <v/>
      </c>
    </row>
    <row r="669" spans="8:14" x14ac:dyDescent="0.25">
      <c r="H669" s="201" t="str">
        <f t="shared" si="10"/>
        <v/>
      </c>
      <c r="N669" s="164" t="str">
        <f>IFERROR(COUNTIF($C$18:C669,C669)&amp;CHOOSE(MIN(4,COUNTIF($C$18:C669,C669)),"st","nd","rd","th"),"")</f>
        <v/>
      </c>
    </row>
    <row r="670" spans="8:14" x14ac:dyDescent="0.25">
      <c r="H670" s="201" t="str">
        <f t="shared" si="10"/>
        <v/>
      </c>
      <c r="N670" s="164" t="str">
        <f>IFERROR(COUNTIF($C$18:C670,C670)&amp;CHOOSE(MIN(4,COUNTIF($C$18:C670,C670)),"st","nd","rd","th"),"")</f>
        <v/>
      </c>
    </row>
    <row r="671" spans="8:14" x14ac:dyDescent="0.25">
      <c r="H671" s="201" t="str">
        <f t="shared" si="10"/>
        <v/>
      </c>
      <c r="N671" s="164" t="str">
        <f>IFERROR(COUNTIF($C$18:C671,C671)&amp;CHOOSE(MIN(4,COUNTIF($C$18:C671,C671)),"st","nd","rd","th"),"")</f>
        <v/>
      </c>
    </row>
    <row r="672" spans="8:14" x14ac:dyDescent="0.25">
      <c r="H672" s="201" t="str">
        <f t="shared" si="10"/>
        <v/>
      </c>
      <c r="N672" s="164" t="str">
        <f>IFERROR(COUNTIF($C$18:C672,C672)&amp;CHOOSE(MIN(4,COUNTIF($C$18:C672,C672)),"st","nd","rd","th"),"")</f>
        <v/>
      </c>
    </row>
    <row r="673" spans="8:14" x14ac:dyDescent="0.25">
      <c r="H673" s="201" t="str">
        <f t="shared" si="10"/>
        <v/>
      </c>
      <c r="N673" s="164" t="str">
        <f>IFERROR(COUNTIF($C$18:C673,C673)&amp;CHOOSE(MIN(4,COUNTIF($C$18:C673,C673)),"st","nd","rd","th"),"")</f>
        <v/>
      </c>
    </row>
    <row r="674" spans="8:14" x14ac:dyDescent="0.25">
      <c r="H674" s="201" t="str">
        <f t="shared" si="10"/>
        <v/>
      </c>
      <c r="N674" s="164" t="str">
        <f>IFERROR(COUNTIF($C$18:C674,C674)&amp;CHOOSE(MIN(4,COUNTIF($C$18:C674,C674)),"st","nd","rd","th"),"")</f>
        <v/>
      </c>
    </row>
    <row r="675" spans="8:14" x14ac:dyDescent="0.25">
      <c r="H675" s="201" t="str">
        <f t="shared" si="10"/>
        <v/>
      </c>
      <c r="N675" s="164" t="str">
        <f>IFERROR(COUNTIF($C$18:C675,C675)&amp;CHOOSE(MIN(4,COUNTIF($C$18:C675,C675)),"st","nd","rd","th"),"")</f>
        <v/>
      </c>
    </row>
    <row r="676" spans="8:14" x14ac:dyDescent="0.25">
      <c r="H676" s="201" t="str">
        <f t="shared" si="10"/>
        <v/>
      </c>
      <c r="N676" s="164" t="str">
        <f>IFERROR(COUNTIF($C$18:C676,C676)&amp;CHOOSE(MIN(4,COUNTIF($C$18:C676,C676)),"st","nd","rd","th"),"")</f>
        <v/>
      </c>
    </row>
    <row r="677" spans="8:14" x14ac:dyDescent="0.25">
      <c r="H677" s="201" t="str">
        <f t="shared" si="10"/>
        <v/>
      </c>
      <c r="N677" s="164" t="str">
        <f>IFERROR(COUNTIF($C$18:C677,C677)&amp;CHOOSE(MIN(4,COUNTIF($C$18:C677,C677)),"st","nd","rd","th"),"")</f>
        <v/>
      </c>
    </row>
    <row r="678" spans="8:14" x14ac:dyDescent="0.25">
      <c r="H678" s="201" t="str">
        <f t="shared" si="10"/>
        <v/>
      </c>
      <c r="N678" s="164" t="str">
        <f>IFERROR(COUNTIF($C$18:C678,C678)&amp;CHOOSE(MIN(4,COUNTIF($C$18:C678,C678)),"st","nd","rd","th"),"")</f>
        <v/>
      </c>
    </row>
    <row r="679" spans="8:14" x14ac:dyDescent="0.25">
      <c r="H679" s="201" t="str">
        <f t="shared" si="10"/>
        <v/>
      </c>
      <c r="N679" s="164" t="str">
        <f>IFERROR(COUNTIF($C$18:C679,C679)&amp;CHOOSE(MIN(4,COUNTIF($C$18:C679,C679)),"st","nd","rd","th"),"")</f>
        <v/>
      </c>
    </row>
    <row r="680" spans="8:14" x14ac:dyDescent="0.25">
      <c r="H680" s="201" t="str">
        <f t="shared" si="10"/>
        <v/>
      </c>
      <c r="N680" s="164" t="str">
        <f>IFERROR(COUNTIF($C$18:C680,C680)&amp;CHOOSE(MIN(4,COUNTIF($C$18:C680,C680)),"st","nd","rd","th"),"")</f>
        <v/>
      </c>
    </row>
    <row r="681" spans="8:14" x14ac:dyDescent="0.25">
      <c r="H681" s="201" t="str">
        <f t="shared" si="10"/>
        <v/>
      </c>
      <c r="N681" s="164" t="str">
        <f>IFERROR(COUNTIF($C$18:C681,C681)&amp;CHOOSE(MIN(4,COUNTIF($C$18:C681,C681)),"st","nd","rd","th"),"")</f>
        <v/>
      </c>
    </row>
    <row r="682" spans="8:14" x14ac:dyDescent="0.25">
      <c r="H682" s="201" t="str">
        <f t="shared" si="10"/>
        <v/>
      </c>
      <c r="N682" s="164" t="str">
        <f>IFERROR(COUNTIF($C$18:C682,C682)&amp;CHOOSE(MIN(4,COUNTIF($C$18:C682,C682)),"st","nd","rd","th"),"")</f>
        <v/>
      </c>
    </row>
    <row r="683" spans="8:14" x14ac:dyDescent="0.25">
      <c r="H683" s="201" t="str">
        <f t="shared" si="10"/>
        <v/>
      </c>
      <c r="N683" s="164" t="str">
        <f>IFERROR(COUNTIF($C$18:C683,C683)&amp;CHOOSE(MIN(4,COUNTIF($C$18:C683,C683)),"st","nd","rd","th"),"")</f>
        <v/>
      </c>
    </row>
    <row r="684" spans="8:14" x14ac:dyDescent="0.25">
      <c r="H684" s="201" t="str">
        <f t="shared" si="10"/>
        <v/>
      </c>
      <c r="N684" s="164" t="str">
        <f>IFERROR(COUNTIF($C$18:C684,C684)&amp;CHOOSE(MIN(4,COUNTIF($C$18:C684,C684)),"st","nd","rd","th"),"")</f>
        <v/>
      </c>
    </row>
    <row r="685" spans="8:14" x14ac:dyDescent="0.25">
      <c r="H685" s="201" t="str">
        <f t="shared" si="10"/>
        <v/>
      </c>
      <c r="N685" s="164" t="str">
        <f>IFERROR(COUNTIF($C$18:C685,C685)&amp;CHOOSE(MIN(4,COUNTIF($C$18:C685,C685)),"st","nd","rd","th"),"")</f>
        <v/>
      </c>
    </row>
    <row r="686" spans="8:14" x14ac:dyDescent="0.25">
      <c r="H686" s="201" t="str">
        <f t="shared" si="10"/>
        <v/>
      </c>
      <c r="N686" s="164" t="str">
        <f>IFERROR(COUNTIF($C$18:C686,C686)&amp;CHOOSE(MIN(4,COUNTIF($C$18:C686,C686)),"st","nd","rd","th"),"")</f>
        <v/>
      </c>
    </row>
    <row r="687" spans="8:14" x14ac:dyDescent="0.25">
      <c r="H687" s="201" t="str">
        <f t="shared" si="10"/>
        <v/>
      </c>
      <c r="N687" s="164" t="str">
        <f>IFERROR(COUNTIF($C$18:C687,C687)&amp;CHOOSE(MIN(4,COUNTIF($C$18:C687,C687)),"st","nd","rd","th"),"")</f>
        <v/>
      </c>
    </row>
    <row r="688" spans="8:14" x14ac:dyDescent="0.25">
      <c r="H688" s="201" t="str">
        <f t="shared" si="10"/>
        <v/>
      </c>
      <c r="N688" s="164" t="str">
        <f>IFERROR(COUNTIF($C$18:C688,C688)&amp;CHOOSE(MIN(4,COUNTIF($C$18:C688,C688)),"st","nd","rd","th"),"")</f>
        <v/>
      </c>
    </row>
    <row r="689" spans="8:14" x14ac:dyDescent="0.25">
      <c r="H689" s="201" t="str">
        <f t="shared" si="10"/>
        <v/>
      </c>
      <c r="N689" s="164" t="str">
        <f>IFERROR(COUNTIF($C$18:C689,C689)&amp;CHOOSE(MIN(4,COUNTIF($C$18:C689,C689)),"st","nd","rd","th"),"")</f>
        <v/>
      </c>
    </row>
    <row r="690" spans="8:14" x14ac:dyDescent="0.25">
      <c r="H690" s="201" t="str">
        <f t="shared" si="10"/>
        <v/>
      </c>
      <c r="N690" s="164" t="str">
        <f>IFERROR(COUNTIF($C$18:C690,C690)&amp;CHOOSE(MIN(4,COUNTIF($C$18:C690,C690)),"st","nd","rd","th"),"")</f>
        <v/>
      </c>
    </row>
    <row r="691" spans="8:14" x14ac:dyDescent="0.25">
      <c r="H691" s="201" t="str">
        <f t="shared" si="10"/>
        <v/>
      </c>
      <c r="N691" s="164" t="str">
        <f>IFERROR(COUNTIF($C$18:C691,C691)&amp;CHOOSE(MIN(4,COUNTIF($C$18:C691,C691)),"st","nd","rd","th"),"")</f>
        <v/>
      </c>
    </row>
    <row r="692" spans="8:14" x14ac:dyDescent="0.25">
      <c r="H692" s="201" t="str">
        <f t="shared" si="10"/>
        <v/>
      </c>
      <c r="N692" s="164" t="str">
        <f>IFERROR(COUNTIF($C$18:C692,C692)&amp;CHOOSE(MIN(4,COUNTIF($C$18:C692,C692)),"st","nd","rd","th"),"")</f>
        <v/>
      </c>
    </row>
    <row r="693" spans="8:14" x14ac:dyDescent="0.25">
      <c r="H693" s="201" t="str">
        <f t="shared" si="10"/>
        <v/>
      </c>
      <c r="N693" s="164" t="str">
        <f>IFERROR(COUNTIF($C$18:C693,C693)&amp;CHOOSE(MIN(4,COUNTIF($C$18:C693,C693)),"st","nd","rd","th"),"")</f>
        <v/>
      </c>
    </row>
    <row r="694" spans="8:14" x14ac:dyDescent="0.25">
      <c r="H694" s="201" t="str">
        <f t="shared" si="10"/>
        <v/>
      </c>
      <c r="N694" s="164" t="str">
        <f>IFERROR(COUNTIF($C$18:C694,C694)&amp;CHOOSE(MIN(4,COUNTIF($C$18:C694,C694)),"st","nd","rd","th"),"")</f>
        <v/>
      </c>
    </row>
    <row r="695" spans="8:14" x14ac:dyDescent="0.25">
      <c r="H695" s="201" t="str">
        <f t="shared" si="10"/>
        <v/>
      </c>
      <c r="N695" s="164" t="str">
        <f>IFERROR(COUNTIF($C$18:C695,C695)&amp;CHOOSE(MIN(4,COUNTIF($C$18:C695,C695)),"st","nd","rd","th"),"")</f>
        <v/>
      </c>
    </row>
    <row r="696" spans="8:14" x14ac:dyDescent="0.25">
      <c r="H696" s="201" t="str">
        <f t="shared" si="10"/>
        <v/>
      </c>
      <c r="N696" s="164" t="str">
        <f>IFERROR(COUNTIF($C$18:C696,C696)&amp;CHOOSE(MIN(4,COUNTIF($C$18:C696,C696)),"st","nd","rd","th"),"")</f>
        <v/>
      </c>
    </row>
    <row r="697" spans="8:14" x14ac:dyDescent="0.25">
      <c r="H697" s="201" t="str">
        <f t="shared" si="10"/>
        <v/>
      </c>
      <c r="N697" s="164" t="str">
        <f>IFERROR(COUNTIF($C$18:C697,C697)&amp;CHOOSE(MIN(4,COUNTIF($C$18:C697,C697)),"st","nd","rd","th"),"")</f>
        <v/>
      </c>
    </row>
    <row r="698" spans="8:14" x14ac:dyDescent="0.25">
      <c r="H698" s="201" t="str">
        <f t="shared" si="10"/>
        <v/>
      </c>
      <c r="N698" s="164" t="str">
        <f>IFERROR(COUNTIF($C$18:C698,C698)&amp;CHOOSE(MIN(4,COUNTIF($C$18:C698,C698)),"st","nd","rd","th"),"")</f>
        <v/>
      </c>
    </row>
    <row r="699" spans="8:14" x14ac:dyDescent="0.25">
      <c r="H699" s="201" t="str">
        <f t="shared" si="10"/>
        <v/>
      </c>
      <c r="N699" s="164" t="str">
        <f>IFERROR(COUNTIF($C$18:C699,C699)&amp;CHOOSE(MIN(4,COUNTIF($C$18:C699,C699)),"st","nd","rd","th"),"")</f>
        <v/>
      </c>
    </row>
    <row r="700" spans="8:14" x14ac:dyDescent="0.25">
      <c r="H700" s="201" t="str">
        <f t="shared" si="10"/>
        <v/>
      </c>
      <c r="N700" s="164" t="str">
        <f>IFERROR(COUNTIF($C$18:C700,C700)&amp;CHOOSE(MIN(4,COUNTIF($C$18:C700,C700)),"st","nd","rd","th"),"")</f>
        <v/>
      </c>
    </row>
    <row r="701" spans="8:14" x14ac:dyDescent="0.25">
      <c r="H701" s="201" t="str">
        <f t="shared" si="10"/>
        <v/>
      </c>
      <c r="N701" s="164" t="str">
        <f>IFERROR(COUNTIF($C$18:C701,C701)&amp;CHOOSE(MIN(4,COUNTIF($C$18:C701,C701)),"st","nd","rd","th"),"")</f>
        <v/>
      </c>
    </row>
    <row r="702" spans="8:14" x14ac:dyDescent="0.25">
      <c r="H702" s="201" t="str">
        <f t="shared" si="10"/>
        <v/>
      </c>
      <c r="N702" s="164" t="str">
        <f>IFERROR(COUNTIF($C$18:C702,C702)&amp;CHOOSE(MIN(4,COUNTIF($C$18:C702,C702)),"st","nd","rd","th"),"")</f>
        <v/>
      </c>
    </row>
    <row r="703" spans="8:14" x14ac:dyDescent="0.25">
      <c r="H703" s="201" t="str">
        <f t="shared" si="10"/>
        <v/>
      </c>
      <c r="N703" s="164" t="str">
        <f>IFERROR(COUNTIF($C$18:C703,C703)&amp;CHOOSE(MIN(4,COUNTIF($C$18:C703,C703)),"st","nd","rd","th"),"")</f>
        <v/>
      </c>
    </row>
    <row r="704" spans="8:14" x14ac:dyDescent="0.25">
      <c r="H704" s="201" t="str">
        <f t="shared" si="10"/>
        <v/>
      </c>
      <c r="N704" s="164" t="str">
        <f>IFERROR(COUNTIF($C$18:C704,C704)&amp;CHOOSE(MIN(4,COUNTIF($C$18:C704,C704)),"st","nd","rd","th"),"")</f>
        <v/>
      </c>
    </row>
    <row r="705" spans="8:14" x14ac:dyDescent="0.25">
      <c r="H705" s="201" t="str">
        <f t="shared" si="10"/>
        <v/>
      </c>
      <c r="N705" s="164" t="str">
        <f>IFERROR(COUNTIF($C$18:C705,C705)&amp;CHOOSE(MIN(4,COUNTIF($C$18:C705,C705)),"st","nd","rd","th"),"")</f>
        <v/>
      </c>
    </row>
    <row r="706" spans="8:14" x14ac:dyDescent="0.25">
      <c r="H706" s="201" t="str">
        <f t="shared" si="10"/>
        <v/>
      </c>
      <c r="N706" s="164" t="str">
        <f>IFERROR(COUNTIF($C$18:C706,C706)&amp;CHOOSE(MIN(4,COUNTIF($C$18:C706,C706)),"st","nd","rd","th"),"")</f>
        <v/>
      </c>
    </row>
    <row r="707" spans="8:14" x14ac:dyDescent="0.25">
      <c r="H707" s="201" t="str">
        <f t="shared" si="10"/>
        <v/>
      </c>
      <c r="N707" s="164" t="str">
        <f>IFERROR(COUNTIF($C$18:C707,C707)&amp;CHOOSE(MIN(4,COUNTIF($C$18:C707,C707)),"st","nd","rd","th"),"")</f>
        <v/>
      </c>
    </row>
    <row r="708" spans="8:14" x14ac:dyDescent="0.25">
      <c r="H708" s="201" t="str">
        <f t="shared" si="10"/>
        <v/>
      </c>
      <c r="N708" s="164" t="str">
        <f>IFERROR(COUNTIF($C$18:C708,C708)&amp;CHOOSE(MIN(4,COUNTIF($C$18:C708,C708)),"st","nd","rd","th"),"")</f>
        <v/>
      </c>
    </row>
    <row r="709" spans="8:14" x14ac:dyDescent="0.25">
      <c r="H709" s="201" t="str">
        <f t="shared" si="10"/>
        <v/>
      </c>
      <c r="N709" s="164" t="str">
        <f>IFERROR(COUNTIF($C$18:C709,C709)&amp;CHOOSE(MIN(4,COUNTIF($C$18:C709,C709)),"st","nd","rd","th"),"")</f>
        <v/>
      </c>
    </row>
    <row r="710" spans="8:14" x14ac:dyDescent="0.25">
      <c r="H710" s="201" t="str">
        <f t="shared" si="10"/>
        <v/>
      </c>
      <c r="N710" s="164" t="str">
        <f>IFERROR(COUNTIF($C$18:C710,C710)&amp;CHOOSE(MIN(4,COUNTIF($C$18:C710,C710)),"st","nd","rd","th"),"")</f>
        <v/>
      </c>
    </row>
    <row r="711" spans="8:14" x14ac:dyDescent="0.25">
      <c r="H711" s="201" t="str">
        <f t="shared" si="10"/>
        <v/>
      </c>
      <c r="N711" s="164" t="str">
        <f>IFERROR(COUNTIF($C$18:C711,C711)&amp;CHOOSE(MIN(4,COUNTIF($C$18:C711,C711)),"st","nd","rd","th"),"")</f>
        <v/>
      </c>
    </row>
    <row r="712" spans="8:14" x14ac:dyDescent="0.25">
      <c r="H712" s="201" t="str">
        <f t="shared" si="10"/>
        <v/>
      </c>
      <c r="N712" s="164" t="str">
        <f>IFERROR(COUNTIF($C$18:C712,C712)&amp;CHOOSE(MIN(4,COUNTIF($C$18:C712,C712)),"st","nd","rd","th"),"")</f>
        <v/>
      </c>
    </row>
    <row r="713" spans="8:14" x14ac:dyDescent="0.25">
      <c r="H713" s="201" t="str">
        <f t="shared" si="10"/>
        <v/>
      </c>
      <c r="N713" s="164" t="str">
        <f>IFERROR(COUNTIF($C$18:C713,C713)&amp;CHOOSE(MIN(4,COUNTIF($C$18:C713,C713)),"st","nd","rd","th"),"")</f>
        <v/>
      </c>
    </row>
    <row r="714" spans="8:14" x14ac:dyDescent="0.25">
      <c r="H714" s="201" t="str">
        <f t="shared" si="10"/>
        <v/>
      </c>
      <c r="N714" s="164" t="str">
        <f>IFERROR(COUNTIF($C$18:C714,C714)&amp;CHOOSE(MIN(4,COUNTIF($C$18:C714,C714)),"st","nd","rd","th"),"")</f>
        <v/>
      </c>
    </row>
    <row r="715" spans="8:14" x14ac:dyDescent="0.25">
      <c r="H715" s="201" t="str">
        <f t="shared" si="10"/>
        <v/>
      </c>
      <c r="N715" s="164" t="str">
        <f>IFERROR(COUNTIF($C$18:C715,C715)&amp;CHOOSE(MIN(4,COUNTIF($C$18:C715,C715)),"st","nd","rd","th"),"")</f>
        <v/>
      </c>
    </row>
    <row r="716" spans="8:14" x14ac:dyDescent="0.25">
      <c r="H716" s="201" t="str">
        <f t="shared" si="10"/>
        <v/>
      </c>
      <c r="N716" s="164" t="str">
        <f>IFERROR(COUNTIF($C$18:C716,C716)&amp;CHOOSE(MIN(4,COUNTIF($C$18:C716,C716)),"st","nd","rd","th"),"")</f>
        <v/>
      </c>
    </row>
    <row r="717" spans="8:14" x14ac:dyDescent="0.25">
      <c r="H717" s="201" t="str">
        <f t="shared" si="10"/>
        <v/>
      </c>
      <c r="N717" s="164" t="str">
        <f>IFERROR(COUNTIF($C$18:C717,C717)&amp;CHOOSE(MIN(4,COUNTIF($C$18:C717,C717)),"st","nd","rd","th"),"")</f>
        <v/>
      </c>
    </row>
    <row r="718" spans="8:14" x14ac:dyDescent="0.25">
      <c r="H718" s="201" t="str">
        <f t="shared" si="10"/>
        <v/>
      </c>
      <c r="N718" s="164" t="str">
        <f>IFERROR(COUNTIF($C$18:C718,C718)&amp;CHOOSE(MIN(4,COUNTIF($C$18:C718,C718)),"st","nd","rd","th"),"")</f>
        <v/>
      </c>
    </row>
    <row r="719" spans="8:14" x14ac:dyDescent="0.25">
      <c r="H719" s="201" t="str">
        <f t="shared" si="10"/>
        <v/>
      </c>
      <c r="N719" s="164" t="str">
        <f>IFERROR(COUNTIF($C$18:C719,C719)&amp;CHOOSE(MIN(4,COUNTIF($C$18:C719,C719)),"st","nd","rd","th"),"")</f>
        <v/>
      </c>
    </row>
    <row r="720" spans="8:14" x14ac:dyDescent="0.25">
      <c r="H720" s="201" t="str">
        <f t="shared" si="10"/>
        <v/>
      </c>
      <c r="N720" s="164" t="str">
        <f>IFERROR(COUNTIF($C$18:C720,C720)&amp;CHOOSE(MIN(4,COUNTIF($C$18:C720,C720)),"st","nd","rd","th"),"")</f>
        <v/>
      </c>
    </row>
    <row r="721" spans="8:14" x14ac:dyDescent="0.25">
      <c r="H721" s="201" t="str">
        <f t="shared" si="10"/>
        <v/>
      </c>
      <c r="N721" s="164" t="str">
        <f>IFERROR(COUNTIF($C$18:C721,C721)&amp;CHOOSE(MIN(4,COUNTIF($C$18:C721,C721)),"st","nd","rd","th"),"")</f>
        <v/>
      </c>
    </row>
    <row r="722" spans="8:14" x14ac:dyDescent="0.25">
      <c r="H722" s="201" t="str">
        <f t="shared" ref="H722:H785" si="11">IF(OR(ISBLANK(G722), ISBLANK(F722)), "", IF(G722=F722, 1, SUM(_xlfn.DAYS(G722, F722), 1)))</f>
        <v/>
      </c>
      <c r="N722" s="164" t="str">
        <f>IFERROR(COUNTIF($C$18:C722,C722)&amp;CHOOSE(MIN(4,COUNTIF($C$18:C722,C722)),"st","nd","rd","th"),"")</f>
        <v/>
      </c>
    </row>
    <row r="723" spans="8:14" x14ac:dyDescent="0.25">
      <c r="H723" s="201" t="str">
        <f t="shared" si="11"/>
        <v/>
      </c>
      <c r="N723" s="164" t="str">
        <f>IFERROR(COUNTIF($C$18:C723,C723)&amp;CHOOSE(MIN(4,COUNTIF($C$18:C723,C723)),"st","nd","rd","th"),"")</f>
        <v/>
      </c>
    </row>
    <row r="724" spans="8:14" x14ac:dyDescent="0.25">
      <c r="H724" s="201" t="str">
        <f t="shared" si="11"/>
        <v/>
      </c>
      <c r="N724" s="164" t="str">
        <f>IFERROR(COUNTIF($C$18:C724,C724)&amp;CHOOSE(MIN(4,COUNTIF($C$18:C724,C724)),"st","nd","rd","th"),"")</f>
        <v/>
      </c>
    </row>
    <row r="725" spans="8:14" x14ac:dyDescent="0.25">
      <c r="H725" s="201" t="str">
        <f t="shared" si="11"/>
        <v/>
      </c>
      <c r="N725" s="164" t="str">
        <f>IFERROR(COUNTIF($C$18:C725,C725)&amp;CHOOSE(MIN(4,COUNTIF($C$18:C725,C725)),"st","nd","rd","th"),"")</f>
        <v/>
      </c>
    </row>
    <row r="726" spans="8:14" x14ac:dyDescent="0.25">
      <c r="H726" s="201" t="str">
        <f t="shared" si="11"/>
        <v/>
      </c>
      <c r="N726" s="164" t="str">
        <f>IFERROR(COUNTIF($C$18:C726,C726)&amp;CHOOSE(MIN(4,COUNTIF($C$18:C726,C726)),"st","nd","rd","th"),"")</f>
        <v/>
      </c>
    </row>
    <row r="727" spans="8:14" x14ac:dyDescent="0.25">
      <c r="H727" s="201" t="str">
        <f t="shared" si="11"/>
        <v/>
      </c>
      <c r="N727" s="164" t="str">
        <f>IFERROR(COUNTIF($C$18:C727,C727)&amp;CHOOSE(MIN(4,COUNTIF($C$18:C727,C727)),"st","nd","rd","th"),"")</f>
        <v/>
      </c>
    </row>
    <row r="728" spans="8:14" x14ac:dyDescent="0.25">
      <c r="H728" s="201" t="str">
        <f t="shared" si="11"/>
        <v/>
      </c>
      <c r="N728" s="164" t="str">
        <f>IFERROR(COUNTIF($C$18:C728,C728)&amp;CHOOSE(MIN(4,COUNTIF($C$18:C728,C728)),"st","nd","rd","th"),"")</f>
        <v/>
      </c>
    </row>
    <row r="729" spans="8:14" x14ac:dyDescent="0.25">
      <c r="H729" s="201" t="str">
        <f t="shared" si="11"/>
        <v/>
      </c>
      <c r="N729" s="164" t="str">
        <f>IFERROR(COUNTIF($C$18:C729,C729)&amp;CHOOSE(MIN(4,COUNTIF($C$18:C729,C729)),"st","nd","rd","th"),"")</f>
        <v/>
      </c>
    </row>
    <row r="730" spans="8:14" x14ac:dyDescent="0.25">
      <c r="H730" s="201" t="str">
        <f t="shared" si="11"/>
        <v/>
      </c>
      <c r="N730" s="164" t="str">
        <f>IFERROR(COUNTIF($C$18:C730,C730)&amp;CHOOSE(MIN(4,COUNTIF($C$18:C730,C730)),"st","nd","rd","th"),"")</f>
        <v/>
      </c>
    </row>
    <row r="731" spans="8:14" x14ac:dyDescent="0.25">
      <c r="H731" s="201" t="str">
        <f t="shared" si="11"/>
        <v/>
      </c>
      <c r="N731" s="164" t="str">
        <f>IFERROR(COUNTIF($C$18:C731,C731)&amp;CHOOSE(MIN(4,COUNTIF($C$18:C731,C731)),"st","nd","rd","th"),"")</f>
        <v/>
      </c>
    </row>
    <row r="732" spans="8:14" x14ac:dyDescent="0.25">
      <c r="H732" s="201" t="str">
        <f t="shared" si="11"/>
        <v/>
      </c>
      <c r="N732" s="164" t="str">
        <f>IFERROR(COUNTIF($C$18:C732,C732)&amp;CHOOSE(MIN(4,COUNTIF($C$18:C732,C732)),"st","nd","rd","th"),"")</f>
        <v/>
      </c>
    </row>
    <row r="733" spans="8:14" x14ac:dyDescent="0.25">
      <c r="H733" s="201" t="str">
        <f t="shared" si="11"/>
        <v/>
      </c>
      <c r="N733" s="164" t="str">
        <f>IFERROR(COUNTIF($C$18:C733,C733)&amp;CHOOSE(MIN(4,COUNTIF($C$18:C733,C733)),"st","nd","rd","th"),"")</f>
        <v/>
      </c>
    </row>
    <row r="734" spans="8:14" x14ac:dyDescent="0.25">
      <c r="H734" s="201" t="str">
        <f t="shared" si="11"/>
        <v/>
      </c>
      <c r="N734" s="164" t="str">
        <f>IFERROR(COUNTIF($C$18:C734,C734)&amp;CHOOSE(MIN(4,COUNTIF($C$18:C734,C734)),"st","nd","rd","th"),"")</f>
        <v/>
      </c>
    </row>
    <row r="735" spans="8:14" x14ac:dyDescent="0.25">
      <c r="H735" s="201" t="str">
        <f t="shared" si="11"/>
        <v/>
      </c>
      <c r="N735" s="164" t="str">
        <f>IFERROR(COUNTIF($C$18:C735,C735)&amp;CHOOSE(MIN(4,COUNTIF($C$18:C735,C735)),"st","nd","rd","th"),"")</f>
        <v/>
      </c>
    </row>
    <row r="736" spans="8:14" x14ac:dyDescent="0.25">
      <c r="H736" s="201" t="str">
        <f t="shared" si="11"/>
        <v/>
      </c>
      <c r="N736" s="164" t="str">
        <f>IFERROR(COUNTIF($C$18:C736,C736)&amp;CHOOSE(MIN(4,COUNTIF($C$18:C736,C736)),"st","nd","rd","th"),"")</f>
        <v/>
      </c>
    </row>
    <row r="737" spans="8:14" x14ac:dyDescent="0.25">
      <c r="H737" s="201" t="str">
        <f t="shared" si="11"/>
        <v/>
      </c>
      <c r="N737" s="164" t="str">
        <f>IFERROR(COUNTIF($C$18:C737,C737)&amp;CHOOSE(MIN(4,COUNTIF($C$18:C737,C737)),"st","nd","rd","th"),"")</f>
        <v/>
      </c>
    </row>
    <row r="738" spans="8:14" x14ac:dyDescent="0.25">
      <c r="H738" s="201" t="str">
        <f t="shared" si="11"/>
        <v/>
      </c>
      <c r="N738" s="164" t="str">
        <f>IFERROR(COUNTIF($C$18:C738,C738)&amp;CHOOSE(MIN(4,COUNTIF($C$18:C738,C738)),"st","nd","rd","th"),"")</f>
        <v/>
      </c>
    </row>
    <row r="739" spans="8:14" x14ac:dyDescent="0.25">
      <c r="H739" s="201" t="str">
        <f t="shared" si="11"/>
        <v/>
      </c>
      <c r="N739" s="164" t="str">
        <f>IFERROR(COUNTIF($C$18:C739,C739)&amp;CHOOSE(MIN(4,COUNTIF($C$18:C739,C739)),"st","nd","rd","th"),"")</f>
        <v/>
      </c>
    </row>
    <row r="740" spans="8:14" x14ac:dyDescent="0.25">
      <c r="H740" s="201" t="str">
        <f t="shared" si="11"/>
        <v/>
      </c>
      <c r="N740" s="164" t="str">
        <f>IFERROR(COUNTIF($C$18:C740,C740)&amp;CHOOSE(MIN(4,COUNTIF($C$18:C740,C740)),"st","nd","rd","th"),"")</f>
        <v/>
      </c>
    </row>
    <row r="741" spans="8:14" x14ac:dyDescent="0.25">
      <c r="H741" s="201" t="str">
        <f t="shared" si="11"/>
        <v/>
      </c>
      <c r="N741" s="164" t="str">
        <f>IFERROR(COUNTIF($C$18:C741,C741)&amp;CHOOSE(MIN(4,COUNTIF($C$18:C741,C741)),"st","nd","rd","th"),"")</f>
        <v/>
      </c>
    </row>
    <row r="742" spans="8:14" x14ac:dyDescent="0.25">
      <c r="H742" s="201" t="str">
        <f t="shared" si="11"/>
        <v/>
      </c>
      <c r="N742" s="164" t="str">
        <f>IFERROR(COUNTIF($C$18:C742,C742)&amp;CHOOSE(MIN(4,COUNTIF($C$18:C742,C742)),"st","nd","rd","th"),"")</f>
        <v/>
      </c>
    </row>
    <row r="743" spans="8:14" x14ac:dyDescent="0.25">
      <c r="H743" s="201" t="str">
        <f t="shared" si="11"/>
        <v/>
      </c>
      <c r="N743" s="164" t="str">
        <f>IFERROR(COUNTIF($C$18:C743,C743)&amp;CHOOSE(MIN(4,COUNTIF($C$18:C743,C743)),"st","nd","rd","th"),"")</f>
        <v/>
      </c>
    </row>
    <row r="744" spans="8:14" x14ac:dyDescent="0.25">
      <c r="H744" s="201" t="str">
        <f t="shared" si="11"/>
        <v/>
      </c>
      <c r="N744" s="164" t="str">
        <f>IFERROR(COUNTIF($C$18:C744,C744)&amp;CHOOSE(MIN(4,COUNTIF($C$18:C744,C744)),"st","nd","rd","th"),"")</f>
        <v/>
      </c>
    </row>
    <row r="745" spans="8:14" x14ac:dyDescent="0.25">
      <c r="H745" s="201" t="str">
        <f t="shared" si="11"/>
        <v/>
      </c>
      <c r="N745" s="164" t="str">
        <f>IFERROR(COUNTIF($C$18:C745,C745)&amp;CHOOSE(MIN(4,COUNTIF($C$18:C745,C745)),"st","nd","rd","th"),"")</f>
        <v/>
      </c>
    </row>
    <row r="746" spans="8:14" x14ac:dyDescent="0.25">
      <c r="H746" s="201" t="str">
        <f t="shared" si="11"/>
        <v/>
      </c>
      <c r="N746" s="164" t="str">
        <f>IFERROR(COUNTIF($C$18:C746,C746)&amp;CHOOSE(MIN(4,COUNTIF($C$18:C746,C746)),"st","nd","rd","th"),"")</f>
        <v/>
      </c>
    </row>
    <row r="747" spans="8:14" x14ac:dyDescent="0.25">
      <c r="H747" s="201" t="str">
        <f t="shared" si="11"/>
        <v/>
      </c>
      <c r="N747" s="164" t="str">
        <f>IFERROR(COUNTIF($C$18:C747,C747)&amp;CHOOSE(MIN(4,COUNTIF($C$18:C747,C747)),"st","nd","rd","th"),"")</f>
        <v/>
      </c>
    </row>
    <row r="748" spans="8:14" x14ac:dyDescent="0.25">
      <c r="H748" s="201" t="str">
        <f t="shared" si="11"/>
        <v/>
      </c>
      <c r="N748" s="164" t="str">
        <f>IFERROR(COUNTIF($C$18:C748,C748)&amp;CHOOSE(MIN(4,COUNTIF($C$18:C748,C748)),"st","nd","rd","th"),"")</f>
        <v/>
      </c>
    </row>
    <row r="749" spans="8:14" x14ac:dyDescent="0.25">
      <c r="H749" s="201" t="str">
        <f t="shared" si="11"/>
        <v/>
      </c>
      <c r="N749" s="164" t="str">
        <f>IFERROR(COUNTIF($C$18:C749,C749)&amp;CHOOSE(MIN(4,COUNTIF($C$18:C749,C749)),"st","nd","rd","th"),"")</f>
        <v/>
      </c>
    </row>
    <row r="750" spans="8:14" x14ac:dyDescent="0.25">
      <c r="H750" s="201" t="str">
        <f t="shared" si="11"/>
        <v/>
      </c>
      <c r="N750" s="164" t="str">
        <f>IFERROR(COUNTIF($C$18:C750,C750)&amp;CHOOSE(MIN(4,COUNTIF($C$18:C750,C750)),"st","nd","rd","th"),"")</f>
        <v/>
      </c>
    </row>
    <row r="751" spans="8:14" x14ac:dyDescent="0.25">
      <c r="H751" s="201" t="str">
        <f t="shared" si="11"/>
        <v/>
      </c>
      <c r="N751" s="164" t="str">
        <f>IFERROR(COUNTIF($C$18:C751,C751)&amp;CHOOSE(MIN(4,COUNTIF($C$18:C751,C751)),"st","nd","rd","th"),"")</f>
        <v/>
      </c>
    </row>
    <row r="752" spans="8:14" x14ac:dyDescent="0.25">
      <c r="H752" s="201" t="str">
        <f t="shared" si="11"/>
        <v/>
      </c>
      <c r="N752" s="164" t="str">
        <f>IFERROR(COUNTIF($C$18:C752,C752)&amp;CHOOSE(MIN(4,COUNTIF($C$18:C752,C752)),"st","nd","rd","th"),"")</f>
        <v/>
      </c>
    </row>
    <row r="753" spans="8:14" x14ac:dyDescent="0.25">
      <c r="H753" s="201" t="str">
        <f t="shared" si="11"/>
        <v/>
      </c>
      <c r="N753" s="164" t="str">
        <f>IFERROR(COUNTIF($C$18:C753,C753)&amp;CHOOSE(MIN(4,COUNTIF($C$18:C753,C753)),"st","nd","rd","th"),"")</f>
        <v/>
      </c>
    </row>
    <row r="754" spans="8:14" x14ac:dyDescent="0.25">
      <c r="H754" s="201" t="str">
        <f t="shared" si="11"/>
        <v/>
      </c>
      <c r="N754" s="164" t="str">
        <f>IFERROR(COUNTIF($C$18:C754,C754)&amp;CHOOSE(MIN(4,COUNTIF($C$18:C754,C754)),"st","nd","rd","th"),"")</f>
        <v/>
      </c>
    </row>
    <row r="755" spans="8:14" x14ac:dyDescent="0.25">
      <c r="H755" s="201" t="str">
        <f t="shared" si="11"/>
        <v/>
      </c>
      <c r="N755" s="164" t="str">
        <f>IFERROR(COUNTIF($C$18:C755,C755)&amp;CHOOSE(MIN(4,COUNTIF($C$18:C755,C755)),"st","nd","rd","th"),"")</f>
        <v/>
      </c>
    </row>
    <row r="756" spans="8:14" x14ac:dyDescent="0.25">
      <c r="H756" s="201" t="str">
        <f t="shared" si="11"/>
        <v/>
      </c>
      <c r="N756" s="164" t="str">
        <f>IFERROR(COUNTIF($C$18:C756,C756)&amp;CHOOSE(MIN(4,COUNTIF($C$18:C756,C756)),"st","nd","rd","th"),"")</f>
        <v/>
      </c>
    </row>
    <row r="757" spans="8:14" x14ac:dyDescent="0.25">
      <c r="H757" s="201" t="str">
        <f t="shared" si="11"/>
        <v/>
      </c>
      <c r="N757" s="164" t="str">
        <f>IFERROR(COUNTIF($C$18:C757,C757)&amp;CHOOSE(MIN(4,COUNTIF($C$18:C757,C757)),"st","nd","rd","th"),"")</f>
        <v/>
      </c>
    </row>
    <row r="758" spans="8:14" x14ac:dyDescent="0.25">
      <c r="H758" s="201" t="str">
        <f t="shared" si="11"/>
        <v/>
      </c>
      <c r="N758" s="164" t="str">
        <f>IFERROR(COUNTIF($C$18:C758,C758)&amp;CHOOSE(MIN(4,COUNTIF($C$18:C758,C758)),"st","nd","rd","th"),"")</f>
        <v/>
      </c>
    </row>
    <row r="759" spans="8:14" x14ac:dyDescent="0.25">
      <c r="H759" s="201" t="str">
        <f t="shared" si="11"/>
        <v/>
      </c>
      <c r="N759" s="164" t="str">
        <f>IFERROR(COUNTIF($C$18:C759,C759)&amp;CHOOSE(MIN(4,COUNTIF($C$18:C759,C759)),"st","nd","rd","th"),"")</f>
        <v/>
      </c>
    </row>
    <row r="760" spans="8:14" x14ac:dyDescent="0.25">
      <c r="H760" s="201" t="str">
        <f t="shared" si="11"/>
        <v/>
      </c>
      <c r="N760" s="164" t="str">
        <f>IFERROR(COUNTIF($C$18:C760,C760)&amp;CHOOSE(MIN(4,COUNTIF($C$18:C760,C760)),"st","nd","rd","th"),"")</f>
        <v/>
      </c>
    </row>
    <row r="761" spans="8:14" x14ac:dyDescent="0.25">
      <c r="H761" s="201" t="str">
        <f t="shared" si="11"/>
        <v/>
      </c>
      <c r="N761" s="164" t="str">
        <f>IFERROR(COUNTIF($C$18:C761,C761)&amp;CHOOSE(MIN(4,COUNTIF($C$18:C761,C761)),"st","nd","rd","th"),"")</f>
        <v/>
      </c>
    </row>
    <row r="762" spans="8:14" x14ac:dyDescent="0.25">
      <c r="H762" s="201" t="str">
        <f t="shared" si="11"/>
        <v/>
      </c>
      <c r="N762" s="164" t="str">
        <f>IFERROR(COUNTIF($C$18:C762,C762)&amp;CHOOSE(MIN(4,COUNTIF($C$18:C762,C762)),"st","nd","rd","th"),"")</f>
        <v/>
      </c>
    </row>
    <row r="763" spans="8:14" x14ac:dyDescent="0.25">
      <c r="H763" s="201" t="str">
        <f t="shared" si="11"/>
        <v/>
      </c>
      <c r="N763" s="164" t="str">
        <f>IFERROR(COUNTIF($C$18:C763,C763)&amp;CHOOSE(MIN(4,COUNTIF($C$18:C763,C763)),"st","nd","rd","th"),"")</f>
        <v/>
      </c>
    </row>
    <row r="764" spans="8:14" x14ac:dyDescent="0.25">
      <c r="H764" s="201" t="str">
        <f t="shared" si="11"/>
        <v/>
      </c>
      <c r="N764" s="164" t="str">
        <f>IFERROR(COUNTIF($C$18:C764,C764)&amp;CHOOSE(MIN(4,COUNTIF($C$18:C764,C764)),"st","nd","rd","th"),"")</f>
        <v/>
      </c>
    </row>
    <row r="765" spans="8:14" x14ac:dyDescent="0.25">
      <c r="H765" s="201" t="str">
        <f t="shared" si="11"/>
        <v/>
      </c>
      <c r="N765" s="164" t="str">
        <f>IFERROR(COUNTIF($C$18:C765,C765)&amp;CHOOSE(MIN(4,COUNTIF($C$18:C765,C765)),"st","nd","rd","th"),"")</f>
        <v/>
      </c>
    </row>
    <row r="766" spans="8:14" x14ac:dyDescent="0.25">
      <c r="H766" s="201" t="str">
        <f t="shared" si="11"/>
        <v/>
      </c>
      <c r="N766" s="164" t="str">
        <f>IFERROR(COUNTIF($C$18:C766,C766)&amp;CHOOSE(MIN(4,COUNTIF($C$18:C766,C766)),"st","nd","rd","th"),"")</f>
        <v/>
      </c>
    </row>
    <row r="767" spans="8:14" x14ac:dyDescent="0.25">
      <c r="H767" s="201" t="str">
        <f t="shared" si="11"/>
        <v/>
      </c>
      <c r="N767" s="164" t="str">
        <f>IFERROR(COUNTIF($C$18:C767,C767)&amp;CHOOSE(MIN(4,COUNTIF($C$18:C767,C767)),"st","nd","rd","th"),"")</f>
        <v/>
      </c>
    </row>
    <row r="768" spans="8:14" x14ac:dyDescent="0.25">
      <c r="H768" s="201" t="str">
        <f t="shared" si="11"/>
        <v/>
      </c>
      <c r="N768" s="164" t="str">
        <f>IFERROR(COUNTIF($C$18:C768,C768)&amp;CHOOSE(MIN(4,COUNTIF($C$18:C768,C768)),"st","nd","rd","th"),"")</f>
        <v/>
      </c>
    </row>
    <row r="769" spans="8:14" x14ac:dyDescent="0.25">
      <c r="H769" s="201" t="str">
        <f t="shared" si="11"/>
        <v/>
      </c>
      <c r="N769" s="164" t="str">
        <f>IFERROR(COUNTIF($C$18:C769,C769)&amp;CHOOSE(MIN(4,COUNTIF($C$18:C769,C769)),"st","nd","rd","th"),"")</f>
        <v/>
      </c>
    </row>
    <row r="770" spans="8:14" x14ac:dyDescent="0.25">
      <c r="H770" s="201" t="str">
        <f t="shared" si="11"/>
        <v/>
      </c>
      <c r="N770" s="164" t="str">
        <f>IFERROR(COUNTIF($C$18:C770,C770)&amp;CHOOSE(MIN(4,COUNTIF($C$18:C770,C770)),"st","nd","rd","th"),"")</f>
        <v/>
      </c>
    </row>
    <row r="771" spans="8:14" x14ac:dyDescent="0.25">
      <c r="H771" s="201" t="str">
        <f t="shared" si="11"/>
        <v/>
      </c>
      <c r="N771" s="164" t="str">
        <f>IFERROR(COUNTIF($C$18:C771,C771)&amp;CHOOSE(MIN(4,COUNTIF($C$18:C771,C771)),"st","nd","rd","th"),"")</f>
        <v/>
      </c>
    </row>
    <row r="772" spans="8:14" x14ac:dyDescent="0.25">
      <c r="H772" s="201" t="str">
        <f t="shared" si="11"/>
        <v/>
      </c>
      <c r="N772" s="164" t="str">
        <f>IFERROR(COUNTIF($C$18:C772,C772)&amp;CHOOSE(MIN(4,COUNTIF($C$18:C772,C772)),"st","nd","rd","th"),"")</f>
        <v/>
      </c>
    </row>
    <row r="773" spans="8:14" x14ac:dyDescent="0.25">
      <c r="H773" s="201" t="str">
        <f t="shared" si="11"/>
        <v/>
      </c>
      <c r="N773" s="164" t="str">
        <f>IFERROR(COUNTIF($C$18:C773,C773)&amp;CHOOSE(MIN(4,COUNTIF($C$18:C773,C773)),"st","nd","rd","th"),"")</f>
        <v/>
      </c>
    </row>
    <row r="774" spans="8:14" x14ac:dyDescent="0.25">
      <c r="H774" s="201" t="str">
        <f t="shared" si="11"/>
        <v/>
      </c>
      <c r="N774" s="164" t="str">
        <f>IFERROR(COUNTIF($C$18:C774,C774)&amp;CHOOSE(MIN(4,COUNTIF($C$18:C774,C774)),"st","nd","rd","th"),"")</f>
        <v/>
      </c>
    </row>
    <row r="775" spans="8:14" x14ac:dyDescent="0.25">
      <c r="H775" s="201" t="str">
        <f t="shared" si="11"/>
        <v/>
      </c>
      <c r="N775" s="164" t="str">
        <f>IFERROR(COUNTIF($C$18:C775,C775)&amp;CHOOSE(MIN(4,COUNTIF($C$18:C775,C775)),"st","nd","rd","th"),"")</f>
        <v/>
      </c>
    </row>
    <row r="776" spans="8:14" x14ac:dyDescent="0.25">
      <c r="H776" s="201" t="str">
        <f t="shared" si="11"/>
        <v/>
      </c>
      <c r="N776" s="164" t="str">
        <f>IFERROR(COUNTIF($C$18:C776,C776)&amp;CHOOSE(MIN(4,COUNTIF($C$18:C776,C776)),"st","nd","rd","th"),"")</f>
        <v/>
      </c>
    </row>
    <row r="777" spans="8:14" x14ac:dyDescent="0.25">
      <c r="H777" s="201" t="str">
        <f t="shared" si="11"/>
        <v/>
      </c>
      <c r="N777" s="164" t="str">
        <f>IFERROR(COUNTIF($C$18:C777,C777)&amp;CHOOSE(MIN(4,COUNTIF($C$18:C777,C777)),"st","nd","rd","th"),"")</f>
        <v/>
      </c>
    </row>
    <row r="778" spans="8:14" x14ac:dyDescent="0.25">
      <c r="H778" s="201" t="str">
        <f t="shared" si="11"/>
        <v/>
      </c>
      <c r="N778" s="164" t="str">
        <f>IFERROR(COUNTIF($C$18:C778,C778)&amp;CHOOSE(MIN(4,COUNTIF($C$18:C778,C778)),"st","nd","rd","th"),"")</f>
        <v/>
      </c>
    </row>
    <row r="779" spans="8:14" x14ac:dyDescent="0.25">
      <c r="H779" s="201" t="str">
        <f t="shared" si="11"/>
        <v/>
      </c>
      <c r="N779" s="164" t="str">
        <f>IFERROR(COUNTIF($C$18:C779,C779)&amp;CHOOSE(MIN(4,COUNTIF($C$18:C779,C779)),"st","nd","rd","th"),"")</f>
        <v/>
      </c>
    </row>
    <row r="780" spans="8:14" x14ac:dyDescent="0.25">
      <c r="H780" s="201" t="str">
        <f t="shared" si="11"/>
        <v/>
      </c>
      <c r="N780" s="164" t="str">
        <f>IFERROR(COUNTIF($C$18:C780,C780)&amp;CHOOSE(MIN(4,COUNTIF($C$18:C780,C780)),"st","nd","rd","th"),"")</f>
        <v/>
      </c>
    </row>
    <row r="781" spans="8:14" x14ac:dyDescent="0.25">
      <c r="H781" s="201" t="str">
        <f t="shared" si="11"/>
        <v/>
      </c>
      <c r="N781" s="164" t="str">
        <f>IFERROR(COUNTIF($C$18:C781,C781)&amp;CHOOSE(MIN(4,COUNTIF($C$18:C781,C781)),"st","nd","rd","th"),"")</f>
        <v/>
      </c>
    </row>
    <row r="782" spans="8:14" x14ac:dyDescent="0.25">
      <c r="H782" s="201" t="str">
        <f t="shared" si="11"/>
        <v/>
      </c>
      <c r="N782" s="164" t="str">
        <f>IFERROR(COUNTIF($C$18:C782,C782)&amp;CHOOSE(MIN(4,COUNTIF($C$18:C782,C782)),"st","nd","rd","th"),"")</f>
        <v/>
      </c>
    </row>
    <row r="783" spans="8:14" x14ac:dyDescent="0.25">
      <c r="H783" s="201" t="str">
        <f t="shared" si="11"/>
        <v/>
      </c>
      <c r="N783" s="164" t="str">
        <f>IFERROR(COUNTIF($C$18:C783,C783)&amp;CHOOSE(MIN(4,COUNTIF($C$18:C783,C783)),"st","nd","rd","th"),"")</f>
        <v/>
      </c>
    </row>
    <row r="784" spans="8:14" x14ac:dyDescent="0.25">
      <c r="H784" s="201" t="str">
        <f t="shared" si="11"/>
        <v/>
      </c>
      <c r="N784" s="164" t="str">
        <f>IFERROR(COUNTIF($C$18:C784,C784)&amp;CHOOSE(MIN(4,COUNTIF($C$18:C784,C784)),"st","nd","rd","th"),"")</f>
        <v/>
      </c>
    </row>
    <row r="785" spans="8:14" x14ac:dyDescent="0.25">
      <c r="H785" s="201" t="str">
        <f t="shared" si="11"/>
        <v/>
      </c>
      <c r="N785" s="164" t="str">
        <f>IFERROR(COUNTIF($C$18:C785,C785)&amp;CHOOSE(MIN(4,COUNTIF($C$18:C785,C785)),"st","nd","rd","th"),"")</f>
        <v/>
      </c>
    </row>
    <row r="786" spans="8:14" x14ac:dyDescent="0.25">
      <c r="H786" s="201" t="str">
        <f t="shared" ref="H786:H849" si="12">IF(OR(ISBLANK(G786), ISBLANK(F786)), "", IF(G786=F786, 1, SUM(_xlfn.DAYS(G786, F786), 1)))</f>
        <v/>
      </c>
      <c r="N786" s="164" t="str">
        <f>IFERROR(COUNTIF($C$18:C786,C786)&amp;CHOOSE(MIN(4,COUNTIF($C$18:C786,C786)),"st","nd","rd","th"),"")</f>
        <v/>
      </c>
    </row>
    <row r="787" spans="8:14" x14ac:dyDescent="0.25">
      <c r="H787" s="201" t="str">
        <f t="shared" si="12"/>
        <v/>
      </c>
      <c r="N787" s="164" t="str">
        <f>IFERROR(COUNTIF($C$18:C787,C787)&amp;CHOOSE(MIN(4,COUNTIF($C$18:C787,C787)),"st","nd","rd","th"),"")</f>
        <v/>
      </c>
    </row>
    <row r="788" spans="8:14" x14ac:dyDescent="0.25">
      <c r="H788" s="201" t="str">
        <f t="shared" si="12"/>
        <v/>
      </c>
      <c r="N788" s="164" t="str">
        <f>IFERROR(COUNTIF($C$18:C788,C788)&amp;CHOOSE(MIN(4,COUNTIF($C$18:C788,C788)),"st","nd","rd","th"),"")</f>
        <v/>
      </c>
    </row>
    <row r="789" spans="8:14" x14ac:dyDescent="0.25">
      <c r="H789" s="201" t="str">
        <f t="shared" si="12"/>
        <v/>
      </c>
      <c r="N789" s="164" t="str">
        <f>IFERROR(COUNTIF($C$18:C789,C789)&amp;CHOOSE(MIN(4,COUNTIF($C$18:C789,C789)),"st","nd","rd","th"),"")</f>
        <v/>
      </c>
    </row>
    <row r="790" spans="8:14" x14ac:dyDescent="0.25">
      <c r="H790" s="201" t="str">
        <f t="shared" si="12"/>
        <v/>
      </c>
      <c r="N790" s="164" t="str">
        <f>IFERROR(COUNTIF($C$18:C790,C790)&amp;CHOOSE(MIN(4,COUNTIF($C$18:C790,C790)),"st","nd","rd","th"),"")</f>
        <v/>
      </c>
    </row>
    <row r="791" spans="8:14" x14ac:dyDescent="0.25">
      <c r="H791" s="201" t="str">
        <f t="shared" si="12"/>
        <v/>
      </c>
      <c r="N791" s="164" t="str">
        <f>IFERROR(COUNTIF($C$18:C791,C791)&amp;CHOOSE(MIN(4,COUNTIF($C$18:C791,C791)),"st","nd","rd","th"),"")</f>
        <v/>
      </c>
    </row>
    <row r="792" spans="8:14" x14ac:dyDescent="0.25">
      <c r="H792" s="201" t="str">
        <f t="shared" si="12"/>
        <v/>
      </c>
      <c r="N792" s="164" t="str">
        <f>IFERROR(COUNTIF($C$18:C792,C792)&amp;CHOOSE(MIN(4,COUNTIF($C$18:C792,C792)),"st","nd","rd","th"),"")</f>
        <v/>
      </c>
    </row>
    <row r="793" spans="8:14" x14ac:dyDescent="0.25">
      <c r="H793" s="201" t="str">
        <f t="shared" si="12"/>
        <v/>
      </c>
      <c r="N793" s="164" t="str">
        <f>IFERROR(COUNTIF($C$18:C793,C793)&amp;CHOOSE(MIN(4,COUNTIF($C$18:C793,C793)),"st","nd","rd","th"),"")</f>
        <v/>
      </c>
    </row>
    <row r="794" spans="8:14" x14ac:dyDescent="0.25">
      <c r="H794" s="201" t="str">
        <f t="shared" si="12"/>
        <v/>
      </c>
      <c r="N794" s="164" t="str">
        <f>IFERROR(COUNTIF($C$18:C794,C794)&amp;CHOOSE(MIN(4,COUNTIF($C$18:C794,C794)),"st","nd","rd","th"),"")</f>
        <v/>
      </c>
    </row>
    <row r="795" spans="8:14" x14ac:dyDescent="0.25">
      <c r="H795" s="201" t="str">
        <f t="shared" si="12"/>
        <v/>
      </c>
      <c r="N795" s="164" t="str">
        <f>IFERROR(COUNTIF($C$18:C795,C795)&amp;CHOOSE(MIN(4,COUNTIF($C$18:C795,C795)),"st","nd","rd","th"),"")</f>
        <v/>
      </c>
    </row>
    <row r="796" spans="8:14" x14ac:dyDescent="0.25">
      <c r="H796" s="201" t="str">
        <f t="shared" si="12"/>
        <v/>
      </c>
      <c r="N796" s="164" t="str">
        <f>IFERROR(COUNTIF($C$18:C796,C796)&amp;CHOOSE(MIN(4,COUNTIF($C$18:C796,C796)),"st","nd","rd","th"),"")</f>
        <v/>
      </c>
    </row>
    <row r="797" spans="8:14" x14ac:dyDescent="0.25">
      <c r="H797" s="201" t="str">
        <f t="shared" si="12"/>
        <v/>
      </c>
      <c r="N797" s="164" t="str">
        <f>IFERROR(COUNTIF($C$18:C797,C797)&amp;CHOOSE(MIN(4,COUNTIF($C$18:C797,C797)),"st","nd","rd","th"),"")</f>
        <v/>
      </c>
    </row>
    <row r="798" spans="8:14" x14ac:dyDescent="0.25">
      <c r="H798" s="201" t="str">
        <f t="shared" si="12"/>
        <v/>
      </c>
      <c r="N798" s="164" t="str">
        <f>IFERROR(COUNTIF($C$18:C798,C798)&amp;CHOOSE(MIN(4,COUNTIF($C$18:C798,C798)),"st","nd","rd","th"),"")</f>
        <v/>
      </c>
    </row>
    <row r="799" spans="8:14" x14ac:dyDescent="0.25">
      <c r="H799" s="201" t="str">
        <f t="shared" si="12"/>
        <v/>
      </c>
      <c r="N799" s="164" t="str">
        <f>IFERROR(COUNTIF($C$18:C799,C799)&amp;CHOOSE(MIN(4,COUNTIF($C$18:C799,C799)),"st","nd","rd","th"),"")</f>
        <v/>
      </c>
    </row>
    <row r="800" spans="8:14" x14ac:dyDescent="0.25">
      <c r="H800" s="201" t="str">
        <f t="shared" si="12"/>
        <v/>
      </c>
      <c r="N800" s="164" t="str">
        <f>IFERROR(COUNTIF($C$18:C800,C800)&amp;CHOOSE(MIN(4,COUNTIF($C$18:C800,C800)),"st","nd","rd","th"),"")</f>
        <v/>
      </c>
    </row>
    <row r="801" spans="8:14" x14ac:dyDescent="0.25">
      <c r="H801" s="201" t="str">
        <f t="shared" si="12"/>
        <v/>
      </c>
      <c r="N801" s="164" t="str">
        <f>IFERROR(COUNTIF($C$18:C801,C801)&amp;CHOOSE(MIN(4,COUNTIF($C$18:C801,C801)),"st","nd","rd","th"),"")</f>
        <v/>
      </c>
    </row>
    <row r="802" spans="8:14" x14ac:dyDescent="0.25">
      <c r="H802" s="201" t="str">
        <f t="shared" si="12"/>
        <v/>
      </c>
      <c r="N802" s="164" t="str">
        <f>IFERROR(COUNTIF($C$18:C802,C802)&amp;CHOOSE(MIN(4,COUNTIF($C$18:C802,C802)),"st","nd","rd","th"),"")</f>
        <v/>
      </c>
    </row>
    <row r="803" spans="8:14" x14ac:dyDescent="0.25">
      <c r="H803" s="201" t="str">
        <f t="shared" si="12"/>
        <v/>
      </c>
      <c r="N803" s="164" t="str">
        <f>IFERROR(COUNTIF($C$18:C803,C803)&amp;CHOOSE(MIN(4,COUNTIF($C$18:C803,C803)),"st","nd","rd","th"),"")</f>
        <v/>
      </c>
    </row>
    <row r="804" spans="8:14" x14ac:dyDescent="0.25">
      <c r="H804" s="201" t="str">
        <f t="shared" si="12"/>
        <v/>
      </c>
      <c r="N804" s="164" t="str">
        <f>IFERROR(COUNTIF($C$18:C804,C804)&amp;CHOOSE(MIN(4,COUNTIF($C$18:C804,C804)),"st","nd","rd","th"),"")</f>
        <v/>
      </c>
    </row>
    <row r="805" spans="8:14" x14ac:dyDescent="0.25">
      <c r="H805" s="201" t="str">
        <f t="shared" si="12"/>
        <v/>
      </c>
      <c r="N805" s="164" t="str">
        <f>IFERROR(COUNTIF($C$18:C805,C805)&amp;CHOOSE(MIN(4,COUNTIF($C$18:C805,C805)),"st","nd","rd","th"),"")</f>
        <v/>
      </c>
    </row>
    <row r="806" spans="8:14" x14ac:dyDescent="0.25">
      <c r="H806" s="201" t="str">
        <f t="shared" si="12"/>
        <v/>
      </c>
      <c r="N806" s="164" t="str">
        <f>IFERROR(COUNTIF($C$18:C806,C806)&amp;CHOOSE(MIN(4,COUNTIF($C$18:C806,C806)),"st","nd","rd","th"),"")</f>
        <v/>
      </c>
    </row>
    <row r="807" spans="8:14" x14ac:dyDescent="0.25">
      <c r="H807" s="201" t="str">
        <f t="shared" si="12"/>
        <v/>
      </c>
      <c r="N807" s="164" t="str">
        <f>IFERROR(COUNTIF($C$18:C807,C807)&amp;CHOOSE(MIN(4,COUNTIF($C$18:C807,C807)),"st","nd","rd","th"),"")</f>
        <v/>
      </c>
    </row>
    <row r="808" spans="8:14" x14ac:dyDescent="0.25">
      <c r="H808" s="201" t="str">
        <f t="shared" si="12"/>
        <v/>
      </c>
      <c r="N808" s="164" t="str">
        <f>IFERROR(COUNTIF($C$18:C808,C808)&amp;CHOOSE(MIN(4,COUNTIF($C$18:C808,C808)),"st","nd","rd","th"),"")</f>
        <v/>
      </c>
    </row>
    <row r="809" spans="8:14" x14ac:dyDescent="0.25">
      <c r="H809" s="201" t="str">
        <f t="shared" si="12"/>
        <v/>
      </c>
      <c r="N809" s="164" t="str">
        <f>IFERROR(COUNTIF($C$18:C809,C809)&amp;CHOOSE(MIN(4,COUNTIF($C$18:C809,C809)),"st","nd","rd","th"),"")</f>
        <v/>
      </c>
    </row>
    <row r="810" spans="8:14" x14ac:dyDescent="0.25">
      <c r="H810" s="201" t="str">
        <f t="shared" si="12"/>
        <v/>
      </c>
      <c r="N810" s="164" t="str">
        <f>IFERROR(COUNTIF($C$18:C810,C810)&amp;CHOOSE(MIN(4,COUNTIF($C$18:C810,C810)),"st","nd","rd","th"),"")</f>
        <v/>
      </c>
    </row>
    <row r="811" spans="8:14" x14ac:dyDescent="0.25">
      <c r="H811" s="201" t="str">
        <f t="shared" si="12"/>
        <v/>
      </c>
      <c r="N811" s="164" t="str">
        <f>IFERROR(COUNTIF($C$18:C811,C811)&amp;CHOOSE(MIN(4,COUNTIF($C$18:C811,C811)),"st","nd","rd","th"),"")</f>
        <v/>
      </c>
    </row>
    <row r="812" spans="8:14" x14ac:dyDescent="0.25">
      <c r="H812" s="201" t="str">
        <f t="shared" si="12"/>
        <v/>
      </c>
      <c r="N812" s="164" t="str">
        <f>IFERROR(COUNTIF($C$18:C812,C812)&amp;CHOOSE(MIN(4,COUNTIF($C$18:C812,C812)),"st","nd","rd","th"),"")</f>
        <v/>
      </c>
    </row>
    <row r="813" spans="8:14" x14ac:dyDescent="0.25">
      <c r="H813" s="201" t="str">
        <f t="shared" si="12"/>
        <v/>
      </c>
      <c r="N813" s="164" t="str">
        <f>IFERROR(COUNTIF($C$18:C813,C813)&amp;CHOOSE(MIN(4,COUNTIF($C$18:C813,C813)),"st","nd","rd","th"),"")</f>
        <v/>
      </c>
    </row>
    <row r="814" spans="8:14" x14ac:dyDescent="0.25">
      <c r="H814" s="201" t="str">
        <f t="shared" si="12"/>
        <v/>
      </c>
      <c r="N814" s="164" t="str">
        <f>IFERROR(COUNTIF($C$18:C814,C814)&amp;CHOOSE(MIN(4,COUNTIF($C$18:C814,C814)),"st","nd","rd","th"),"")</f>
        <v/>
      </c>
    </row>
    <row r="815" spans="8:14" x14ac:dyDescent="0.25">
      <c r="H815" s="201" t="str">
        <f t="shared" si="12"/>
        <v/>
      </c>
      <c r="N815" s="164" t="str">
        <f>IFERROR(COUNTIF($C$18:C815,C815)&amp;CHOOSE(MIN(4,COUNTIF($C$18:C815,C815)),"st","nd","rd","th"),"")</f>
        <v/>
      </c>
    </row>
    <row r="816" spans="8:14" x14ac:dyDescent="0.25">
      <c r="H816" s="201" t="str">
        <f t="shared" si="12"/>
        <v/>
      </c>
      <c r="N816" s="164" t="str">
        <f>IFERROR(COUNTIF($C$18:C816,C816)&amp;CHOOSE(MIN(4,COUNTIF($C$18:C816,C816)),"st","nd","rd","th"),"")</f>
        <v/>
      </c>
    </row>
    <row r="817" spans="8:14" x14ac:dyDescent="0.25">
      <c r="H817" s="201" t="str">
        <f t="shared" si="12"/>
        <v/>
      </c>
      <c r="N817" s="164" t="str">
        <f>IFERROR(COUNTIF($C$18:C817,C817)&amp;CHOOSE(MIN(4,COUNTIF($C$18:C817,C817)),"st","nd","rd","th"),"")</f>
        <v/>
      </c>
    </row>
    <row r="818" spans="8:14" x14ac:dyDescent="0.25">
      <c r="H818" s="201" t="str">
        <f t="shared" si="12"/>
        <v/>
      </c>
      <c r="N818" s="164" t="str">
        <f>IFERROR(COUNTIF($C$18:C818,C818)&amp;CHOOSE(MIN(4,COUNTIF($C$18:C818,C818)),"st","nd","rd","th"),"")</f>
        <v/>
      </c>
    </row>
    <row r="819" spans="8:14" x14ac:dyDescent="0.25">
      <c r="H819" s="201" t="str">
        <f t="shared" si="12"/>
        <v/>
      </c>
      <c r="N819" s="164" t="str">
        <f>IFERROR(COUNTIF($C$18:C819,C819)&amp;CHOOSE(MIN(4,COUNTIF($C$18:C819,C819)),"st","nd","rd","th"),"")</f>
        <v/>
      </c>
    </row>
    <row r="820" spans="8:14" x14ac:dyDescent="0.25">
      <c r="H820" s="201" t="str">
        <f t="shared" si="12"/>
        <v/>
      </c>
      <c r="N820" s="164" t="str">
        <f>IFERROR(COUNTIF($C$18:C820,C820)&amp;CHOOSE(MIN(4,COUNTIF($C$18:C820,C820)),"st","nd","rd","th"),"")</f>
        <v/>
      </c>
    </row>
    <row r="821" spans="8:14" x14ac:dyDescent="0.25">
      <c r="H821" s="201" t="str">
        <f t="shared" si="12"/>
        <v/>
      </c>
      <c r="N821" s="164" t="str">
        <f>IFERROR(COUNTIF($C$18:C821,C821)&amp;CHOOSE(MIN(4,COUNTIF($C$18:C821,C821)),"st","nd","rd","th"),"")</f>
        <v/>
      </c>
    </row>
    <row r="822" spans="8:14" x14ac:dyDescent="0.25">
      <c r="H822" s="201" t="str">
        <f t="shared" si="12"/>
        <v/>
      </c>
      <c r="N822" s="164" t="str">
        <f>IFERROR(COUNTIF($C$18:C822,C822)&amp;CHOOSE(MIN(4,COUNTIF($C$18:C822,C822)),"st","nd","rd","th"),"")</f>
        <v/>
      </c>
    </row>
    <row r="823" spans="8:14" x14ac:dyDescent="0.25">
      <c r="H823" s="201" t="str">
        <f t="shared" si="12"/>
        <v/>
      </c>
      <c r="N823" s="164" t="str">
        <f>IFERROR(COUNTIF($C$18:C823,C823)&amp;CHOOSE(MIN(4,COUNTIF($C$18:C823,C823)),"st","nd","rd","th"),"")</f>
        <v/>
      </c>
    </row>
    <row r="824" spans="8:14" x14ac:dyDescent="0.25">
      <c r="H824" s="201" t="str">
        <f t="shared" si="12"/>
        <v/>
      </c>
      <c r="N824" s="164" t="str">
        <f>IFERROR(COUNTIF($C$18:C824,C824)&amp;CHOOSE(MIN(4,COUNTIF($C$18:C824,C824)),"st","nd","rd","th"),"")</f>
        <v/>
      </c>
    </row>
    <row r="825" spans="8:14" x14ac:dyDescent="0.25">
      <c r="H825" s="201" t="str">
        <f t="shared" si="12"/>
        <v/>
      </c>
      <c r="N825" s="164" t="str">
        <f>IFERROR(COUNTIF($C$18:C825,C825)&amp;CHOOSE(MIN(4,COUNTIF($C$18:C825,C825)),"st","nd","rd","th"),"")</f>
        <v/>
      </c>
    </row>
    <row r="826" spans="8:14" x14ac:dyDescent="0.25">
      <c r="H826" s="201" t="str">
        <f t="shared" si="12"/>
        <v/>
      </c>
      <c r="N826" s="164" t="str">
        <f>IFERROR(COUNTIF($C$18:C826,C826)&amp;CHOOSE(MIN(4,COUNTIF($C$18:C826,C826)),"st","nd","rd","th"),"")</f>
        <v/>
      </c>
    </row>
    <row r="827" spans="8:14" x14ac:dyDescent="0.25">
      <c r="H827" s="201" t="str">
        <f t="shared" si="12"/>
        <v/>
      </c>
      <c r="N827" s="164" t="str">
        <f>IFERROR(COUNTIF($C$18:C827,C827)&amp;CHOOSE(MIN(4,COUNTIF($C$18:C827,C827)),"st","nd","rd","th"),"")</f>
        <v/>
      </c>
    </row>
    <row r="828" spans="8:14" x14ac:dyDescent="0.25">
      <c r="H828" s="201" t="str">
        <f t="shared" si="12"/>
        <v/>
      </c>
      <c r="N828" s="164" t="str">
        <f>IFERROR(COUNTIF($C$18:C828,C828)&amp;CHOOSE(MIN(4,COUNTIF($C$18:C828,C828)),"st","nd","rd","th"),"")</f>
        <v/>
      </c>
    </row>
    <row r="829" spans="8:14" x14ac:dyDescent="0.25">
      <c r="H829" s="201" t="str">
        <f t="shared" si="12"/>
        <v/>
      </c>
      <c r="N829" s="164" t="str">
        <f>IFERROR(COUNTIF($C$18:C829,C829)&amp;CHOOSE(MIN(4,COUNTIF($C$18:C829,C829)),"st","nd","rd","th"),"")</f>
        <v/>
      </c>
    </row>
    <row r="830" spans="8:14" x14ac:dyDescent="0.25">
      <c r="H830" s="201" t="str">
        <f t="shared" si="12"/>
        <v/>
      </c>
      <c r="N830" s="164" t="str">
        <f>IFERROR(COUNTIF($C$18:C830,C830)&amp;CHOOSE(MIN(4,COUNTIF($C$18:C830,C830)),"st","nd","rd","th"),"")</f>
        <v/>
      </c>
    </row>
    <row r="831" spans="8:14" x14ac:dyDescent="0.25">
      <c r="H831" s="201" t="str">
        <f t="shared" si="12"/>
        <v/>
      </c>
      <c r="N831" s="164" t="str">
        <f>IFERROR(COUNTIF($C$18:C831,C831)&amp;CHOOSE(MIN(4,COUNTIF($C$18:C831,C831)),"st","nd","rd","th"),"")</f>
        <v/>
      </c>
    </row>
    <row r="832" spans="8:14" x14ac:dyDescent="0.25">
      <c r="H832" s="201" t="str">
        <f t="shared" si="12"/>
        <v/>
      </c>
      <c r="N832" s="164" t="str">
        <f>IFERROR(COUNTIF($C$18:C832,C832)&amp;CHOOSE(MIN(4,COUNTIF($C$18:C832,C832)),"st","nd","rd","th"),"")</f>
        <v/>
      </c>
    </row>
    <row r="833" spans="8:14" x14ac:dyDescent="0.25">
      <c r="H833" s="201" t="str">
        <f t="shared" si="12"/>
        <v/>
      </c>
      <c r="N833" s="164" t="str">
        <f>IFERROR(COUNTIF($C$18:C833,C833)&amp;CHOOSE(MIN(4,COUNTIF($C$18:C833,C833)),"st","nd","rd","th"),"")</f>
        <v/>
      </c>
    </row>
    <row r="834" spans="8:14" x14ac:dyDescent="0.25">
      <c r="H834" s="201" t="str">
        <f t="shared" si="12"/>
        <v/>
      </c>
      <c r="N834" s="164" t="str">
        <f>IFERROR(COUNTIF($C$18:C834,C834)&amp;CHOOSE(MIN(4,COUNTIF($C$18:C834,C834)),"st","nd","rd","th"),"")</f>
        <v/>
      </c>
    </row>
    <row r="835" spans="8:14" x14ac:dyDescent="0.25">
      <c r="H835" s="201" t="str">
        <f t="shared" si="12"/>
        <v/>
      </c>
      <c r="N835" s="164" t="str">
        <f>IFERROR(COUNTIF($C$18:C835,C835)&amp;CHOOSE(MIN(4,COUNTIF($C$18:C835,C835)),"st","nd","rd","th"),"")</f>
        <v/>
      </c>
    </row>
    <row r="836" spans="8:14" x14ac:dyDescent="0.25">
      <c r="H836" s="201" t="str">
        <f t="shared" si="12"/>
        <v/>
      </c>
      <c r="N836" s="164" t="str">
        <f>IFERROR(COUNTIF($C$18:C836,C836)&amp;CHOOSE(MIN(4,COUNTIF($C$18:C836,C836)),"st","nd","rd","th"),"")</f>
        <v/>
      </c>
    </row>
    <row r="837" spans="8:14" x14ac:dyDescent="0.25">
      <c r="H837" s="201" t="str">
        <f t="shared" si="12"/>
        <v/>
      </c>
      <c r="N837" s="164" t="str">
        <f>IFERROR(COUNTIF($C$18:C837,C837)&amp;CHOOSE(MIN(4,COUNTIF($C$18:C837,C837)),"st","nd","rd","th"),"")</f>
        <v/>
      </c>
    </row>
    <row r="838" spans="8:14" x14ac:dyDescent="0.25">
      <c r="H838" s="201" t="str">
        <f t="shared" si="12"/>
        <v/>
      </c>
      <c r="N838" s="164" t="str">
        <f>IFERROR(COUNTIF($C$18:C838,C838)&amp;CHOOSE(MIN(4,COUNTIF($C$18:C838,C838)),"st","nd","rd","th"),"")</f>
        <v/>
      </c>
    </row>
    <row r="839" spans="8:14" x14ac:dyDescent="0.25">
      <c r="H839" s="201" t="str">
        <f t="shared" si="12"/>
        <v/>
      </c>
      <c r="N839" s="164" t="str">
        <f>IFERROR(COUNTIF($C$18:C839,C839)&amp;CHOOSE(MIN(4,COUNTIF($C$18:C839,C839)),"st","nd","rd","th"),"")</f>
        <v/>
      </c>
    </row>
    <row r="840" spans="8:14" x14ac:dyDescent="0.25">
      <c r="H840" s="201" t="str">
        <f t="shared" si="12"/>
        <v/>
      </c>
      <c r="N840" s="164" t="str">
        <f>IFERROR(COUNTIF($C$18:C840,C840)&amp;CHOOSE(MIN(4,COUNTIF($C$18:C840,C840)),"st","nd","rd","th"),"")</f>
        <v/>
      </c>
    </row>
    <row r="841" spans="8:14" x14ac:dyDescent="0.25">
      <c r="H841" s="201" t="str">
        <f t="shared" si="12"/>
        <v/>
      </c>
      <c r="N841" s="164" t="str">
        <f>IFERROR(COUNTIF($C$18:C841,C841)&amp;CHOOSE(MIN(4,COUNTIF($C$18:C841,C841)),"st","nd","rd","th"),"")</f>
        <v/>
      </c>
    </row>
    <row r="842" spans="8:14" x14ac:dyDescent="0.25">
      <c r="H842" s="201" t="str">
        <f t="shared" si="12"/>
        <v/>
      </c>
      <c r="N842" s="164" t="str">
        <f>IFERROR(COUNTIF($C$18:C842,C842)&amp;CHOOSE(MIN(4,COUNTIF($C$18:C842,C842)),"st","nd","rd","th"),"")</f>
        <v/>
      </c>
    </row>
    <row r="843" spans="8:14" x14ac:dyDescent="0.25">
      <c r="H843" s="201" t="str">
        <f t="shared" si="12"/>
        <v/>
      </c>
      <c r="N843" s="164" t="str">
        <f>IFERROR(COUNTIF($C$18:C843,C843)&amp;CHOOSE(MIN(4,COUNTIF($C$18:C843,C843)),"st","nd","rd","th"),"")</f>
        <v/>
      </c>
    </row>
    <row r="844" spans="8:14" x14ac:dyDescent="0.25">
      <c r="H844" s="201" t="str">
        <f t="shared" si="12"/>
        <v/>
      </c>
      <c r="N844" s="164" t="str">
        <f>IFERROR(COUNTIF($C$18:C844,C844)&amp;CHOOSE(MIN(4,COUNTIF($C$18:C844,C844)),"st","nd","rd","th"),"")</f>
        <v/>
      </c>
    </row>
    <row r="845" spans="8:14" x14ac:dyDescent="0.25">
      <c r="H845" s="201" t="str">
        <f t="shared" si="12"/>
        <v/>
      </c>
      <c r="N845" s="164" t="str">
        <f>IFERROR(COUNTIF($C$18:C845,C845)&amp;CHOOSE(MIN(4,COUNTIF($C$18:C845,C845)),"st","nd","rd","th"),"")</f>
        <v/>
      </c>
    </row>
    <row r="846" spans="8:14" x14ac:dyDescent="0.25">
      <c r="H846" s="201" t="str">
        <f t="shared" si="12"/>
        <v/>
      </c>
      <c r="N846" s="164" t="str">
        <f>IFERROR(COUNTIF($C$18:C846,C846)&amp;CHOOSE(MIN(4,COUNTIF($C$18:C846,C846)),"st","nd","rd","th"),"")</f>
        <v/>
      </c>
    </row>
    <row r="847" spans="8:14" x14ac:dyDescent="0.25">
      <c r="H847" s="201" t="str">
        <f t="shared" si="12"/>
        <v/>
      </c>
      <c r="N847" s="164" t="str">
        <f>IFERROR(COUNTIF($C$18:C847,C847)&amp;CHOOSE(MIN(4,COUNTIF($C$18:C847,C847)),"st","nd","rd","th"),"")</f>
        <v/>
      </c>
    </row>
    <row r="848" spans="8:14" x14ac:dyDescent="0.25">
      <c r="H848" s="201" t="str">
        <f t="shared" si="12"/>
        <v/>
      </c>
      <c r="N848" s="164" t="str">
        <f>IFERROR(COUNTIF($C$18:C848,C848)&amp;CHOOSE(MIN(4,COUNTIF($C$18:C848,C848)),"st","nd","rd","th"),"")</f>
        <v/>
      </c>
    </row>
    <row r="849" spans="8:14" x14ac:dyDescent="0.25">
      <c r="H849" s="201" t="str">
        <f t="shared" si="12"/>
        <v/>
      </c>
      <c r="N849" s="164" t="str">
        <f>IFERROR(COUNTIF($C$18:C849,C849)&amp;CHOOSE(MIN(4,COUNTIF($C$18:C849,C849)),"st","nd","rd","th"),"")</f>
        <v/>
      </c>
    </row>
    <row r="850" spans="8:14" x14ac:dyDescent="0.25">
      <c r="H850" s="201" t="str">
        <f t="shared" ref="H850:H913" si="13">IF(OR(ISBLANK(G850), ISBLANK(F850)), "", IF(G850=F850, 1, SUM(_xlfn.DAYS(G850, F850), 1)))</f>
        <v/>
      </c>
      <c r="N850" s="164" t="str">
        <f>IFERROR(COUNTIF($C$18:C850,C850)&amp;CHOOSE(MIN(4,COUNTIF($C$18:C850,C850)),"st","nd","rd","th"),"")</f>
        <v/>
      </c>
    </row>
    <row r="851" spans="8:14" x14ac:dyDescent="0.25">
      <c r="H851" s="201" t="str">
        <f t="shared" si="13"/>
        <v/>
      </c>
      <c r="N851" s="164" t="str">
        <f>IFERROR(COUNTIF($C$18:C851,C851)&amp;CHOOSE(MIN(4,COUNTIF($C$18:C851,C851)),"st","nd","rd","th"),"")</f>
        <v/>
      </c>
    </row>
    <row r="852" spans="8:14" x14ac:dyDescent="0.25">
      <c r="H852" s="201" t="str">
        <f t="shared" si="13"/>
        <v/>
      </c>
      <c r="N852" s="164" t="str">
        <f>IFERROR(COUNTIF($C$18:C852,C852)&amp;CHOOSE(MIN(4,COUNTIF($C$18:C852,C852)),"st","nd","rd","th"),"")</f>
        <v/>
      </c>
    </row>
    <row r="853" spans="8:14" x14ac:dyDescent="0.25">
      <c r="H853" s="201" t="str">
        <f t="shared" si="13"/>
        <v/>
      </c>
      <c r="N853" s="164" t="str">
        <f>IFERROR(COUNTIF($C$18:C853,C853)&amp;CHOOSE(MIN(4,COUNTIF($C$18:C853,C853)),"st","nd","rd","th"),"")</f>
        <v/>
      </c>
    </row>
    <row r="854" spans="8:14" x14ac:dyDescent="0.25">
      <c r="H854" s="201" t="str">
        <f t="shared" si="13"/>
        <v/>
      </c>
      <c r="N854" s="164" t="str">
        <f>IFERROR(COUNTIF($C$18:C854,C854)&amp;CHOOSE(MIN(4,COUNTIF($C$18:C854,C854)),"st","nd","rd","th"),"")</f>
        <v/>
      </c>
    </row>
    <row r="855" spans="8:14" x14ac:dyDescent="0.25">
      <c r="H855" s="201" t="str">
        <f t="shared" si="13"/>
        <v/>
      </c>
      <c r="N855" s="164" t="str">
        <f>IFERROR(COUNTIF($C$18:C855,C855)&amp;CHOOSE(MIN(4,COUNTIF($C$18:C855,C855)),"st","nd","rd","th"),"")</f>
        <v/>
      </c>
    </row>
    <row r="856" spans="8:14" x14ac:dyDescent="0.25">
      <c r="H856" s="201" t="str">
        <f t="shared" si="13"/>
        <v/>
      </c>
      <c r="N856" s="164" t="str">
        <f>IFERROR(COUNTIF($C$18:C856,C856)&amp;CHOOSE(MIN(4,COUNTIF($C$18:C856,C856)),"st","nd","rd","th"),"")</f>
        <v/>
      </c>
    </row>
    <row r="857" spans="8:14" x14ac:dyDescent="0.25">
      <c r="H857" s="201" t="str">
        <f t="shared" si="13"/>
        <v/>
      </c>
      <c r="N857" s="164" t="str">
        <f>IFERROR(COUNTIF($C$18:C857,C857)&amp;CHOOSE(MIN(4,COUNTIF($C$18:C857,C857)),"st","nd","rd","th"),"")</f>
        <v/>
      </c>
    </row>
    <row r="858" spans="8:14" x14ac:dyDescent="0.25">
      <c r="H858" s="201" t="str">
        <f t="shared" si="13"/>
        <v/>
      </c>
      <c r="N858" s="164" t="str">
        <f>IFERROR(COUNTIF($C$18:C858,C858)&amp;CHOOSE(MIN(4,COUNTIF($C$18:C858,C858)),"st","nd","rd","th"),"")</f>
        <v/>
      </c>
    </row>
    <row r="859" spans="8:14" x14ac:dyDescent="0.25">
      <c r="H859" s="201" t="str">
        <f t="shared" si="13"/>
        <v/>
      </c>
      <c r="N859" s="164" t="str">
        <f>IFERROR(COUNTIF($C$18:C859,C859)&amp;CHOOSE(MIN(4,COUNTIF($C$18:C859,C859)),"st","nd","rd","th"),"")</f>
        <v/>
      </c>
    </row>
    <row r="860" spans="8:14" x14ac:dyDescent="0.25">
      <c r="H860" s="201" t="str">
        <f t="shared" si="13"/>
        <v/>
      </c>
      <c r="N860" s="164" t="str">
        <f>IFERROR(COUNTIF($C$18:C860,C860)&amp;CHOOSE(MIN(4,COUNTIF($C$18:C860,C860)),"st","nd","rd","th"),"")</f>
        <v/>
      </c>
    </row>
    <row r="861" spans="8:14" x14ac:dyDescent="0.25">
      <c r="H861" s="201" t="str">
        <f t="shared" si="13"/>
        <v/>
      </c>
      <c r="N861" s="164" t="str">
        <f>IFERROR(COUNTIF($C$18:C861,C861)&amp;CHOOSE(MIN(4,COUNTIF($C$18:C861,C861)),"st","nd","rd","th"),"")</f>
        <v/>
      </c>
    </row>
    <row r="862" spans="8:14" x14ac:dyDescent="0.25">
      <c r="H862" s="201" t="str">
        <f t="shared" si="13"/>
        <v/>
      </c>
      <c r="N862" s="164" t="str">
        <f>IFERROR(COUNTIF($C$18:C862,C862)&amp;CHOOSE(MIN(4,COUNTIF($C$18:C862,C862)),"st","nd","rd","th"),"")</f>
        <v/>
      </c>
    </row>
    <row r="863" spans="8:14" x14ac:dyDescent="0.25">
      <c r="H863" s="201" t="str">
        <f t="shared" si="13"/>
        <v/>
      </c>
      <c r="N863" s="164" t="str">
        <f>IFERROR(COUNTIF($C$18:C863,C863)&amp;CHOOSE(MIN(4,COUNTIF($C$18:C863,C863)),"st","nd","rd","th"),"")</f>
        <v/>
      </c>
    </row>
    <row r="864" spans="8:14" x14ac:dyDescent="0.25">
      <c r="H864" s="201" t="str">
        <f t="shared" si="13"/>
        <v/>
      </c>
      <c r="N864" s="164" t="str">
        <f>IFERROR(COUNTIF($C$18:C864,C864)&amp;CHOOSE(MIN(4,COUNTIF($C$18:C864,C864)),"st","nd","rd","th"),"")</f>
        <v/>
      </c>
    </row>
    <row r="865" spans="8:14" x14ac:dyDescent="0.25">
      <c r="H865" s="201" t="str">
        <f t="shared" si="13"/>
        <v/>
      </c>
      <c r="N865" s="164" t="str">
        <f>IFERROR(COUNTIF($C$18:C865,C865)&amp;CHOOSE(MIN(4,COUNTIF($C$18:C865,C865)),"st","nd","rd","th"),"")</f>
        <v/>
      </c>
    </row>
    <row r="866" spans="8:14" x14ac:dyDescent="0.25">
      <c r="H866" s="201" t="str">
        <f t="shared" si="13"/>
        <v/>
      </c>
      <c r="N866" s="164" t="str">
        <f>IFERROR(COUNTIF($C$18:C866,C866)&amp;CHOOSE(MIN(4,COUNTIF($C$18:C866,C866)),"st","nd","rd","th"),"")</f>
        <v/>
      </c>
    </row>
    <row r="867" spans="8:14" x14ac:dyDescent="0.25">
      <c r="H867" s="201" t="str">
        <f t="shared" si="13"/>
        <v/>
      </c>
      <c r="N867" s="164" t="str">
        <f>IFERROR(COUNTIF($C$18:C867,C867)&amp;CHOOSE(MIN(4,COUNTIF($C$18:C867,C867)),"st","nd","rd","th"),"")</f>
        <v/>
      </c>
    </row>
    <row r="868" spans="8:14" x14ac:dyDescent="0.25">
      <c r="H868" s="201" t="str">
        <f t="shared" si="13"/>
        <v/>
      </c>
      <c r="N868" s="164" t="str">
        <f>IFERROR(COUNTIF($C$18:C868,C868)&amp;CHOOSE(MIN(4,COUNTIF($C$18:C868,C868)),"st","nd","rd","th"),"")</f>
        <v/>
      </c>
    </row>
    <row r="869" spans="8:14" x14ac:dyDescent="0.25">
      <c r="H869" s="201" t="str">
        <f t="shared" si="13"/>
        <v/>
      </c>
      <c r="N869" s="164" t="str">
        <f>IFERROR(COUNTIF($C$18:C869,C869)&amp;CHOOSE(MIN(4,COUNTIF($C$18:C869,C869)),"st","nd","rd","th"),"")</f>
        <v/>
      </c>
    </row>
    <row r="870" spans="8:14" x14ac:dyDescent="0.25">
      <c r="H870" s="201" t="str">
        <f t="shared" si="13"/>
        <v/>
      </c>
      <c r="N870" s="164" t="str">
        <f>IFERROR(COUNTIF($C$18:C870,C870)&amp;CHOOSE(MIN(4,COUNTIF($C$18:C870,C870)),"st","nd","rd","th"),"")</f>
        <v/>
      </c>
    </row>
    <row r="871" spans="8:14" x14ac:dyDescent="0.25">
      <c r="H871" s="201" t="str">
        <f t="shared" si="13"/>
        <v/>
      </c>
      <c r="N871" s="164" t="str">
        <f>IFERROR(COUNTIF($C$18:C871,C871)&amp;CHOOSE(MIN(4,COUNTIF($C$18:C871,C871)),"st","nd","rd","th"),"")</f>
        <v/>
      </c>
    </row>
    <row r="872" spans="8:14" x14ac:dyDescent="0.25">
      <c r="H872" s="201" t="str">
        <f t="shared" si="13"/>
        <v/>
      </c>
      <c r="N872" s="164" t="str">
        <f>IFERROR(COUNTIF($C$18:C872,C872)&amp;CHOOSE(MIN(4,COUNTIF($C$18:C872,C872)),"st","nd","rd","th"),"")</f>
        <v/>
      </c>
    </row>
    <row r="873" spans="8:14" x14ac:dyDescent="0.25">
      <c r="H873" s="201" t="str">
        <f t="shared" si="13"/>
        <v/>
      </c>
      <c r="N873" s="164" t="str">
        <f>IFERROR(COUNTIF($C$18:C873,C873)&amp;CHOOSE(MIN(4,COUNTIF($C$18:C873,C873)),"st","nd","rd","th"),"")</f>
        <v/>
      </c>
    </row>
    <row r="874" spans="8:14" x14ac:dyDescent="0.25">
      <c r="H874" s="201" t="str">
        <f t="shared" si="13"/>
        <v/>
      </c>
      <c r="N874" s="164" t="str">
        <f>IFERROR(COUNTIF($C$18:C874,C874)&amp;CHOOSE(MIN(4,COUNTIF($C$18:C874,C874)),"st","nd","rd","th"),"")</f>
        <v/>
      </c>
    </row>
    <row r="875" spans="8:14" x14ac:dyDescent="0.25">
      <c r="H875" s="201" t="str">
        <f t="shared" si="13"/>
        <v/>
      </c>
      <c r="N875" s="164" t="str">
        <f>IFERROR(COUNTIF($C$18:C875,C875)&amp;CHOOSE(MIN(4,COUNTIF($C$18:C875,C875)),"st","nd","rd","th"),"")</f>
        <v/>
      </c>
    </row>
    <row r="876" spans="8:14" x14ac:dyDescent="0.25">
      <c r="H876" s="201" t="str">
        <f t="shared" si="13"/>
        <v/>
      </c>
      <c r="N876" s="164" t="str">
        <f>IFERROR(COUNTIF($C$18:C876,C876)&amp;CHOOSE(MIN(4,COUNTIF($C$18:C876,C876)),"st","nd","rd","th"),"")</f>
        <v/>
      </c>
    </row>
    <row r="877" spans="8:14" x14ac:dyDescent="0.25">
      <c r="H877" s="201" t="str">
        <f t="shared" si="13"/>
        <v/>
      </c>
      <c r="N877" s="164" t="str">
        <f>IFERROR(COUNTIF($C$18:C877,C877)&amp;CHOOSE(MIN(4,COUNTIF($C$18:C877,C877)),"st","nd","rd","th"),"")</f>
        <v/>
      </c>
    </row>
    <row r="878" spans="8:14" x14ac:dyDescent="0.25">
      <c r="H878" s="201" t="str">
        <f t="shared" si="13"/>
        <v/>
      </c>
      <c r="N878" s="164" t="str">
        <f>IFERROR(COUNTIF($C$18:C878,C878)&amp;CHOOSE(MIN(4,COUNTIF($C$18:C878,C878)),"st","nd","rd","th"),"")</f>
        <v/>
      </c>
    </row>
    <row r="879" spans="8:14" x14ac:dyDescent="0.25">
      <c r="H879" s="201" t="str">
        <f t="shared" si="13"/>
        <v/>
      </c>
      <c r="N879" s="164" t="str">
        <f>IFERROR(COUNTIF($C$18:C879,C879)&amp;CHOOSE(MIN(4,COUNTIF($C$18:C879,C879)),"st","nd","rd","th"),"")</f>
        <v/>
      </c>
    </row>
    <row r="880" spans="8:14" x14ac:dyDescent="0.25">
      <c r="H880" s="201" t="str">
        <f t="shared" si="13"/>
        <v/>
      </c>
      <c r="N880" s="164" t="str">
        <f>IFERROR(COUNTIF($C$18:C880,C880)&amp;CHOOSE(MIN(4,COUNTIF($C$18:C880,C880)),"st","nd","rd","th"),"")</f>
        <v/>
      </c>
    </row>
    <row r="881" spans="8:14" x14ac:dyDescent="0.25">
      <c r="H881" s="201" t="str">
        <f t="shared" si="13"/>
        <v/>
      </c>
      <c r="N881" s="164" t="str">
        <f>IFERROR(COUNTIF($C$18:C881,C881)&amp;CHOOSE(MIN(4,COUNTIF($C$18:C881,C881)),"st","nd","rd","th"),"")</f>
        <v/>
      </c>
    </row>
    <row r="882" spans="8:14" x14ac:dyDescent="0.25">
      <c r="H882" s="201" t="str">
        <f t="shared" si="13"/>
        <v/>
      </c>
      <c r="N882" s="164" t="str">
        <f>IFERROR(COUNTIF($C$18:C882,C882)&amp;CHOOSE(MIN(4,COUNTIF($C$18:C882,C882)),"st","nd","rd","th"),"")</f>
        <v/>
      </c>
    </row>
    <row r="883" spans="8:14" x14ac:dyDescent="0.25">
      <c r="H883" s="201" t="str">
        <f t="shared" si="13"/>
        <v/>
      </c>
      <c r="N883" s="164" t="str">
        <f>IFERROR(COUNTIF($C$18:C883,C883)&amp;CHOOSE(MIN(4,COUNTIF($C$18:C883,C883)),"st","nd","rd","th"),"")</f>
        <v/>
      </c>
    </row>
    <row r="884" spans="8:14" x14ac:dyDescent="0.25">
      <c r="H884" s="201" t="str">
        <f t="shared" si="13"/>
        <v/>
      </c>
      <c r="N884" s="164" t="str">
        <f>IFERROR(COUNTIF($C$18:C884,C884)&amp;CHOOSE(MIN(4,COUNTIF($C$18:C884,C884)),"st","nd","rd","th"),"")</f>
        <v/>
      </c>
    </row>
    <row r="885" spans="8:14" x14ac:dyDescent="0.25">
      <c r="H885" s="201" t="str">
        <f t="shared" si="13"/>
        <v/>
      </c>
      <c r="N885" s="164" t="str">
        <f>IFERROR(COUNTIF($C$18:C885,C885)&amp;CHOOSE(MIN(4,COUNTIF($C$18:C885,C885)),"st","nd","rd","th"),"")</f>
        <v/>
      </c>
    </row>
    <row r="886" spans="8:14" x14ac:dyDescent="0.25">
      <c r="H886" s="201" t="str">
        <f t="shared" si="13"/>
        <v/>
      </c>
      <c r="N886" s="164" t="str">
        <f>IFERROR(COUNTIF($C$18:C886,C886)&amp;CHOOSE(MIN(4,COUNTIF($C$18:C886,C886)),"st","nd","rd","th"),"")</f>
        <v/>
      </c>
    </row>
    <row r="887" spans="8:14" x14ac:dyDescent="0.25">
      <c r="H887" s="201" t="str">
        <f t="shared" si="13"/>
        <v/>
      </c>
      <c r="N887" s="164" t="str">
        <f>IFERROR(COUNTIF($C$18:C887,C887)&amp;CHOOSE(MIN(4,COUNTIF($C$18:C887,C887)),"st","nd","rd","th"),"")</f>
        <v/>
      </c>
    </row>
    <row r="888" spans="8:14" x14ac:dyDescent="0.25">
      <c r="H888" s="201" t="str">
        <f t="shared" si="13"/>
        <v/>
      </c>
      <c r="N888" s="164" t="str">
        <f>IFERROR(COUNTIF($C$18:C888,C888)&amp;CHOOSE(MIN(4,COUNTIF($C$18:C888,C888)),"st","nd","rd","th"),"")</f>
        <v/>
      </c>
    </row>
    <row r="889" spans="8:14" x14ac:dyDescent="0.25">
      <c r="H889" s="201" t="str">
        <f t="shared" si="13"/>
        <v/>
      </c>
      <c r="N889" s="164" t="str">
        <f>IFERROR(COUNTIF($C$18:C889,C889)&amp;CHOOSE(MIN(4,COUNTIF($C$18:C889,C889)),"st","nd","rd","th"),"")</f>
        <v/>
      </c>
    </row>
    <row r="890" spans="8:14" x14ac:dyDescent="0.25">
      <c r="H890" s="201" t="str">
        <f t="shared" si="13"/>
        <v/>
      </c>
      <c r="N890" s="164" t="str">
        <f>IFERROR(COUNTIF($C$18:C890,C890)&amp;CHOOSE(MIN(4,COUNTIF($C$18:C890,C890)),"st","nd","rd","th"),"")</f>
        <v/>
      </c>
    </row>
    <row r="891" spans="8:14" x14ac:dyDescent="0.25">
      <c r="H891" s="201" t="str">
        <f t="shared" si="13"/>
        <v/>
      </c>
      <c r="N891" s="164" t="str">
        <f>IFERROR(COUNTIF($C$18:C891,C891)&amp;CHOOSE(MIN(4,COUNTIF($C$18:C891,C891)),"st","nd","rd","th"),"")</f>
        <v/>
      </c>
    </row>
    <row r="892" spans="8:14" x14ac:dyDescent="0.25">
      <c r="H892" s="201" t="str">
        <f t="shared" si="13"/>
        <v/>
      </c>
      <c r="N892" s="164" t="str">
        <f>IFERROR(COUNTIF($C$18:C892,C892)&amp;CHOOSE(MIN(4,COUNTIF($C$18:C892,C892)),"st","nd","rd","th"),"")</f>
        <v/>
      </c>
    </row>
    <row r="893" spans="8:14" x14ac:dyDescent="0.25">
      <c r="H893" s="201" t="str">
        <f t="shared" si="13"/>
        <v/>
      </c>
      <c r="N893" s="164" t="str">
        <f>IFERROR(COUNTIF($C$18:C893,C893)&amp;CHOOSE(MIN(4,COUNTIF($C$18:C893,C893)),"st","nd","rd","th"),"")</f>
        <v/>
      </c>
    </row>
    <row r="894" spans="8:14" x14ac:dyDescent="0.25">
      <c r="H894" s="201" t="str">
        <f t="shared" si="13"/>
        <v/>
      </c>
      <c r="N894" s="164" t="str">
        <f>IFERROR(COUNTIF($C$18:C894,C894)&amp;CHOOSE(MIN(4,COUNTIF($C$18:C894,C894)),"st","nd","rd","th"),"")</f>
        <v/>
      </c>
    </row>
    <row r="895" spans="8:14" x14ac:dyDescent="0.25">
      <c r="H895" s="201" t="str">
        <f t="shared" si="13"/>
        <v/>
      </c>
      <c r="N895" s="164" t="str">
        <f>IFERROR(COUNTIF($C$18:C895,C895)&amp;CHOOSE(MIN(4,COUNTIF($C$18:C895,C895)),"st","nd","rd","th"),"")</f>
        <v/>
      </c>
    </row>
    <row r="896" spans="8:14" x14ac:dyDescent="0.25">
      <c r="H896" s="201" t="str">
        <f t="shared" si="13"/>
        <v/>
      </c>
      <c r="N896" s="164" t="str">
        <f>IFERROR(COUNTIF($C$18:C896,C896)&amp;CHOOSE(MIN(4,COUNTIF($C$18:C896,C896)),"st","nd","rd","th"),"")</f>
        <v/>
      </c>
    </row>
    <row r="897" spans="8:14" x14ac:dyDescent="0.25">
      <c r="H897" s="201" t="str">
        <f t="shared" si="13"/>
        <v/>
      </c>
      <c r="N897" s="164" t="str">
        <f>IFERROR(COUNTIF($C$18:C897,C897)&amp;CHOOSE(MIN(4,COUNTIF($C$18:C897,C897)),"st","nd","rd","th"),"")</f>
        <v/>
      </c>
    </row>
    <row r="898" spans="8:14" x14ac:dyDescent="0.25">
      <c r="H898" s="201" t="str">
        <f t="shared" si="13"/>
        <v/>
      </c>
      <c r="N898" s="164" t="str">
        <f>IFERROR(COUNTIF($C$18:C898,C898)&amp;CHOOSE(MIN(4,COUNTIF($C$18:C898,C898)),"st","nd","rd","th"),"")</f>
        <v/>
      </c>
    </row>
    <row r="899" spans="8:14" x14ac:dyDescent="0.25">
      <c r="H899" s="201" t="str">
        <f t="shared" si="13"/>
        <v/>
      </c>
      <c r="N899" s="164" t="str">
        <f>IFERROR(COUNTIF($C$18:C899,C899)&amp;CHOOSE(MIN(4,COUNTIF($C$18:C899,C899)),"st","nd","rd","th"),"")</f>
        <v/>
      </c>
    </row>
    <row r="900" spans="8:14" x14ac:dyDescent="0.25">
      <c r="H900" s="201" t="str">
        <f t="shared" si="13"/>
        <v/>
      </c>
      <c r="N900" s="164" t="str">
        <f>IFERROR(COUNTIF($C$18:C900,C900)&amp;CHOOSE(MIN(4,COUNTIF($C$18:C900,C900)),"st","nd","rd","th"),"")</f>
        <v/>
      </c>
    </row>
    <row r="901" spans="8:14" x14ac:dyDescent="0.25">
      <c r="H901" s="201" t="str">
        <f t="shared" si="13"/>
        <v/>
      </c>
      <c r="N901" s="164" t="str">
        <f>IFERROR(COUNTIF($C$18:C901,C901)&amp;CHOOSE(MIN(4,COUNTIF($C$18:C901,C901)),"st","nd","rd","th"),"")</f>
        <v/>
      </c>
    </row>
    <row r="902" spans="8:14" x14ac:dyDescent="0.25">
      <c r="H902" s="201" t="str">
        <f t="shared" si="13"/>
        <v/>
      </c>
      <c r="N902" s="164" t="str">
        <f>IFERROR(COUNTIF($C$18:C902,C902)&amp;CHOOSE(MIN(4,COUNTIF($C$18:C902,C902)),"st","nd","rd","th"),"")</f>
        <v/>
      </c>
    </row>
    <row r="903" spans="8:14" x14ac:dyDescent="0.25">
      <c r="H903" s="201" t="str">
        <f t="shared" si="13"/>
        <v/>
      </c>
      <c r="N903" s="164" t="str">
        <f>IFERROR(COUNTIF($C$18:C903,C903)&amp;CHOOSE(MIN(4,COUNTIF($C$18:C903,C903)),"st","nd","rd","th"),"")</f>
        <v/>
      </c>
    </row>
    <row r="904" spans="8:14" x14ac:dyDescent="0.25">
      <c r="H904" s="201" t="str">
        <f t="shared" si="13"/>
        <v/>
      </c>
      <c r="N904" s="164" t="str">
        <f>IFERROR(COUNTIF($C$18:C904,C904)&amp;CHOOSE(MIN(4,COUNTIF($C$18:C904,C904)),"st","nd","rd","th"),"")</f>
        <v/>
      </c>
    </row>
    <row r="905" spans="8:14" x14ac:dyDescent="0.25">
      <c r="H905" s="201" t="str">
        <f t="shared" si="13"/>
        <v/>
      </c>
      <c r="N905" s="164" t="str">
        <f>IFERROR(COUNTIF($C$18:C905,C905)&amp;CHOOSE(MIN(4,COUNTIF($C$18:C905,C905)),"st","nd","rd","th"),"")</f>
        <v/>
      </c>
    </row>
    <row r="906" spans="8:14" x14ac:dyDescent="0.25">
      <c r="H906" s="201" t="str">
        <f t="shared" si="13"/>
        <v/>
      </c>
      <c r="N906" s="164" t="str">
        <f>IFERROR(COUNTIF($C$18:C906,C906)&amp;CHOOSE(MIN(4,COUNTIF($C$18:C906,C906)),"st","nd","rd","th"),"")</f>
        <v/>
      </c>
    </row>
    <row r="907" spans="8:14" x14ac:dyDescent="0.25">
      <c r="H907" s="201" t="str">
        <f t="shared" si="13"/>
        <v/>
      </c>
      <c r="N907" s="164" t="str">
        <f>IFERROR(COUNTIF($C$18:C907,C907)&amp;CHOOSE(MIN(4,COUNTIF($C$18:C907,C907)),"st","nd","rd","th"),"")</f>
        <v/>
      </c>
    </row>
    <row r="908" spans="8:14" x14ac:dyDescent="0.25">
      <c r="H908" s="201" t="str">
        <f t="shared" si="13"/>
        <v/>
      </c>
      <c r="N908" s="164" t="str">
        <f>IFERROR(COUNTIF($C$18:C908,C908)&amp;CHOOSE(MIN(4,COUNTIF($C$18:C908,C908)),"st","nd","rd","th"),"")</f>
        <v/>
      </c>
    </row>
    <row r="909" spans="8:14" x14ac:dyDescent="0.25">
      <c r="H909" s="201" t="str">
        <f t="shared" si="13"/>
        <v/>
      </c>
      <c r="N909" s="164" t="str">
        <f>IFERROR(COUNTIF($C$18:C909,C909)&amp;CHOOSE(MIN(4,COUNTIF($C$18:C909,C909)),"st","nd","rd","th"),"")</f>
        <v/>
      </c>
    </row>
    <row r="910" spans="8:14" x14ac:dyDescent="0.25">
      <c r="H910" s="201" t="str">
        <f t="shared" si="13"/>
        <v/>
      </c>
      <c r="N910" s="164" t="str">
        <f>IFERROR(COUNTIF($C$18:C910,C910)&amp;CHOOSE(MIN(4,COUNTIF($C$18:C910,C910)),"st","nd","rd","th"),"")</f>
        <v/>
      </c>
    </row>
    <row r="911" spans="8:14" x14ac:dyDescent="0.25">
      <c r="H911" s="201" t="str">
        <f t="shared" si="13"/>
        <v/>
      </c>
      <c r="N911" s="164" t="str">
        <f>IFERROR(COUNTIF($C$18:C911,C911)&amp;CHOOSE(MIN(4,COUNTIF($C$18:C911,C911)),"st","nd","rd","th"),"")</f>
        <v/>
      </c>
    </row>
    <row r="912" spans="8:14" x14ac:dyDescent="0.25">
      <c r="H912" s="201" t="str">
        <f t="shared" si="13"/>
        <v/>
      </c>
      <c r="N912" s="164" t="str">
        <f>IFERROR(COUNTIF($C$18:C912,C912)&amp;CHOOSE(MIN(4,COUNTIF($C$18:C912,C912)),"st","nd","rd","th"),"")</f>
        <v/>
      </c>
    </row>
    <row r="913" spans="8:14" x14ac:dyDescent="0.25">
      <c r="H913" s="201" t="str">
        <f t="shared" si="13"/>
        <v/>
      </c>
      <c r="N913" s="164" t="str">
        <f>IFERROR(COUNTIF($C$18:C913,C913)&amp;CHOOSE(MIN(4,COUNTIF($C$18:C913,C913)),"st","nd","rd","th"),"")</f>
        <v/>
      </c>
    </row>
    <row r="914" spans="8:14" x14ac:dyDescent="0.25">
      <c r="H914" s="201" t="str">
        <f t="shared" ref="H914:H977" si="14">IF(OR(ISBLANK(G914), ISBLANK(F914)), "", IF(G914=F914, 1, SUM(_xlfn.DAYS(G914, F914), 1)))</f>
        <v/>
      </c>
      <c r="N914" s="164" t="str">
        <f>IFERROR(COUNTIF($C$18:C914,C914)&amp;CHOOSE(MIN(4,COUNTIF($C$18:C914,C914)),"st","nd","rd","th"),"")</f>
        <v/>
      </c>
    </row>
    <row r="915" spans="8:14" x14ac:dyDescent="0.25">
      <c r="H915" s="201" t="str">
        <f t="shared" si="14"/>
        <v/>
      </c>
      <c r="N915" s="164" t="str">
        <f>IFERROR(COUNTIF($C$18:C915,C915)&amp;CHOOSE(MIN(4,COUNTIF($C$18:C915,C915)),"st","nd","rd","th"),"")</f>
        <v/>
      </c>
    </row>
    <row r="916" spans="8:14" x14ac:dyDescent="0.25">
      <c r="H916" s="201" t="str">
        <f t="shared" si="14"/>
        <v/>
      </c>
      <c r="N916" s="164" t="str">
        <f>IFERROR(COUNTIF($C$18:C916,C916)&amp;CHOOSE(MIN(4,COUNTIF($C$18:C916,C916)),"st","nd","rd","th"),"")</f>
        <v/>
      </c>
    </row>
    <row r="917" spans="8:14" x14ac:dyDescent="0.25">
      <c r="H917" s="201" t="str">
        <f t="shared" si="14"/>
        <v/>
      </c>
      <c r="N917" s="164" t="str">
        <f>IFERROR(COUNTIF($C$18:C917,C917)&amp;CHOOSE(MIN(4,COUNTIF($C$18:C917,C917)),"st","nd","rd","th"),"")</f>
        <v/>
      </c>
    </row>
    <row r="918" spans="8:14" x14ac:dyDescent="0.25">
      <c r="H918" s="201" t="str">
        <f t="shared" si="14"/>
        <v/>
      </c>
      <c r="N918" s="164" t="str">
        <f>IFERROR(COUNTIF($C$18:C918,C918)&amp;CHOOSE(MIN(4,COUNTIF($C$18:C918,C918)),"st","nd","rd","th"),"")</f>
        <v/>
      </c>
    </row>
    <row r="919" spans="8:14" x14ac:dyDescent="0.25">
      <c r="H919" s="201" t="str">
        <f t="shared" si="14"/>
        <v/>
      </c>
      <c r="N919" s="164" t="str">
        <f>IFERROR(COUNTIF($C$18:C919,C919)&amp;CHOOSE(MIN(4,COUNTIF($C$18:C919,C919)),"st","nd","rd","th"),"")</f>
        <v/>
      </c>
    </row>
    <row r="920" spans="8:14" x14ac:dyDescent="0.25">
      <c r="H920" s="201" t="str">
        <f t="shared" si="14"/>
        <v/>
      </c>
      <c r="N920" s="164" t="str">
        <f>IFERROR(COUNTIF($C$18:C920,C920)&amp;CHOOSE(MIN(4,COUNTIF($C$18:C920,C920)),"st","nd","rd","th"),"")</f>
        <v/>
      </c>
    </row>
    <row r="921" spans="8:14" x14ac:dyDescent="0.25">
      <c r="H921" s="201" t="str">
        <f t="shared" si="14"/>
        <v/>
      </c>
      <c r="N921" s="164" t="str">
        <f>IFERROR(COUNTIF($C$18:C921,C921)&amp;CHOOSE(MIN(4,COUNTIF($C$18:C921,C921)),"st","nd","rd","th"),"")</f>
        <v/>
      </c>
    </row>
    <row r="922" spans="8:14" x14ac:dyDescent="0.25">
      <c r="H922" s="201" t="str">
        <f t="shared" si="14"/>
        <v/>
      </c>
      <c r="N922" s="164" t="str">
        <f>IFERROR(COUNTIF($C$18:C922,C922)&amp;CHOOSE(MIN(4,COUNTIF($C$18:C922,C922)),"st","nd","rd","th"),"")</f>
        <v/>
      </c>
    </row>
    <row r="923" spans="8:14" x14ac:dyDescent="0.25">
      <c r="H923" s="201" t="str">
        <f t="shared" si="14"/>
        <v/>
      </c>
      <c r="N923" s="164" t="str">
        <f>IFERROR(COUNTIF($C$18:C923,C923)&amp;CHOOSE(MIN(4,COUNTIF($C$18:C923,C923)),"st","nd","rd","th"),"")</f>
        <v/>
      </c>
    </row>
    <row r="924" spans="8:14" x14ac:dyDescent="0.25">
      <c r="H924" s="201" t="str">
        <f t="shared" si="14"/>
        <v/>
      </c>
      <c r="N924" s="164" t="str">
        <f>IFERROR(COUNTIF($C$18:C924,C924)&amp;CHOOSE(MIN(4,COUNTIF($C$18:C924,C924)),"st","nd","rd","th"),"")</f>
        <v/>
      </c>
    </row>
    <row r="925" spans="8:14" x14ac:dyDescent="0.25">
      <c r="H925" s="201" t="str">
        <f t="shared" si="14"/>
        <v/>
      </c>
      <c r="N925" s="164" t="str">
        <f>IFERROR(COUNTIF($C$18:C925,C925)&amp;CHOOSE(MIN(4,COUNTIF($C$18:C925,C925)),"st","nd","rd","th"),"")</f>
        <v/>
      </c>
    </row>
    <row r="926" spans="8:14" x14ac:dyDescent="0.25">
      <c r="H926" s="201" t="str">
        <f t="shared" si="14"/>
        <v/>
      </c>
      <c r="N926" s="164" t="str">
        <f>IFERROR(COUNTIF($C$18:C926,C926)&amp;CHOOSE(MIN(4,COUNTIF($C$18:C926,C926)),"st","nd","rd","th"),"")</f>
        <v/>
      </c>
    </row>
    <row r="927" spans="8:14" x14ac:dyDescent="0.25">
      <c r="H927" s="201" t="str">
        <f t="shared" si="14"/>
        <v/>
      </c>
      <c r="N927" s="164" t="str">
        <f>IFERROR(COUNTIF($C$18:C927,C927)&amp;CHOOSE(MIN(4,COUNTIF($C$18:C927,C927)),"st","nd","rd","th"),"")</f>
        <v/>
      </c>
    </row>
    <row r="928" spans="8:14" x14ac:dyDescent="0.25">
      <c r="H928" s="201" t="str">
        <f t="shared" si="14"/>
        <v/>
      </c>
      <c r="N928" s="164" t="str">
        <f>IFERROR(COUNTIF($C$18:C928,C928)&amp;CHOOSE(MIN(4,COUNTIF($C$18:C928,C928)),"st","nd","rd","th"),"")</f>
        <v/>
      </c>
    </row>
    <row r="929" spans="8:14" x14ac:dyDescent="0.25">
      <c r="H929" s="201" t="str">
        <f t="shared" si="14"/>
        <v/>
      </c>
      <c r="N929" s="164" t="str">
        <f>IFERROR(COUNTIF($C$18:C929,C929)&amp;CHOOSE(MIN(4,COUNTIF($C$18:C929,C929)),"st","nd","rd","th"),"")</f>
        <v/>
      </c>
    </row>
    <row r="930" spans="8:14" x14ac:dyDescent="0.25">
      <c r="H930" s="201" t="str">
        <f t="shared" si="14"/>
        <v/>
      </c>
      <c r="N930" s="164" t="str">
        <f>IFERROR(COUNTIF($C$18:C930,C930)&amp;CHOOSE(MIN(4,COUNTIF($C$18:C930,C930)),"st","nd","rd","th"),"")</f>
        <v/>
      </c>
    </row>
    <row r="931" spans="8:14" x14ac:dyDescent="0.25">
      <c r="H931" s="201" t="str">
        <f t="shared" si="14"/>
        <v/>
      </c>
      <c r="N931" s="164" t="str">
        <f>IFERROR(COUNTIF($C$18:C931,C931)&amp;CHOOSE(MIN(4,COUNTIF($C$18:C931,C931)),"st","nd","rd","th"),"")</f>
        <v/>
      </c>
    </row>
    <row r="932" spans="8:14" x14ac:dyDescent="0.25">
      <c r="H932" s="201" t="str">
        <f t="shared" si="14"/>
        <v/>
      </c>
      <c r="N932" s="164" t="str">
        <f>IFERROR(COUNTIF($C$18:C932,C932)&amp;CHOOSE(MIN(4,COUNTIF($C$18:C932,C932)),"st","nd","rd","th"),"")</f>
        <v/>
      </c>
    </row>
    <row r="933" spans="8:14" x14ac:dyDescent="0.25">
      <c r="H933" s="201" t="str">
        <f t="shared" si="14"/>
        <v/>
      </c>
      <c r="N933" s="164" t="str">
        <f>IFERROR(COUNTIF($C$18:C933,C933)&amp;CHOOSE(MIN(4,COUNTIF($C$18:C933,C933)),"st","nd","rd","th"),"")</f>
        <v/>
      </c>
    </row>
    <row r="934" spans="8:14" x14ac:dyDescent="0.25">
      <c r="H934" s="201" t="str">
        <f t="shared" si="14"/>
        <v/>
      </c>
      <c r="N934" s="164" t="str">
        <f>IFERROR(COUNTIF($C$18:C934,C934)&amp;CHOOSE(MIN(4,COUNTIF($C$18:C934,C934)),"st","nd","rd","th"),"")</f>
        <v/>
      </c>
    </row>
    <row r="935" spans="8:14" x14ac:dyDescent="0.25">
      <c r="H935" s="201" t="str">
        <f t="shared" si="14"/>
        <v/>
      </c>
      <c r="N935" s="164" t="str">
        <f>IFERROR(COUNTIF($C$18:C935,C935)&amp;CHOOSE(MIN(4,COUNTIF($C$18:C935,C935)),"st","nd","rd","th"),"")</f>
        <v/>
      </c>
    </row>
    <row r="936" spans="8:14" x14ac:dyDescent="0.25">
      <c r="H936" s="201" t="str">
        <f t="shared" si="14"/>
        <v/>
      </c>
      <c r="N936" s="164" t="str">
        <f>IFERROR(COUNTIF($C$18:C936,C936)&amp;CHOOSE(MIN(4,COUNTIF($C$18:C936,C936)),"st","nd","rd","th"),"")</f>
        <v/>
      </c>
    </row>
    <row r="937" spans="8:14" x14ac:dyDescent="0.25">
      <c r="H937" s="201" t="str">
        <f t="shared" si="14"/>
        <v/>
      </c>
      <c r="N937" s="164" t="str">
        <f>IFERROR(COUNTIF($C$18:C937,C937)&amp;CHOOSE(MIN(4,COUNTIF($C$18:C937,C937)),"st","nd","rd","th"),"")</f>
        <v/>
      </c>
    </row>
    <row r="938" spans="8:14" x14ac:dyDescent="0.25">
      <c r="H938" s="201" t="str">
        <f t="shared" si="14"/>
        <v/>
      </c>
      <c r="N938" s="164" t="str">
        <f>IFERROR(COUNTIF($C$18:C938,C938)&amp;CHOOSE(MIN(4,COUNTIF($C$18:C938,C938)),"st","nd","rd","th"),"")</f>
        <v/>
      </c>
    </row>
    <row r="939" spans="8:14" x14ac:dyDescent="0.25">
      <c r="H939" s="201" t="str">
        <f t="shared" si="14"/>
        <v/>
      </c>
      <c r="N939" s="164" t="str">
        <f>IFERROR(COUNTIF($C$18:C939,C939)&amp;CHOOSE(MIN(4,COUNTIF($C$18:C939,C939)),"st","nd","rd","th"),"")</f>
        <v/>
      </c>
    </row>
    <row r="940" spans="8:14" x14ac:dyDescent="0.25">
      <c r="H940" s="201" t="str">
        <f t="shared" si="14"/>
        <v/>
      </c>
      <c r="N940" s="164" t="str">
        <f>IFERROR(COUNTIF($C$18:C940,C940)&amp;CHOOSE(MIN(4,COUNTIF($C$18:C940,C940)),"st","nd","rd","th"),"")</f>
        <v/>
      </c>
    </row>
    <row r="941" spans="8:14" x14ac:dyDescent="0.25">
      <c r="H941" s="201" t="str">
        <f t="shared" si="14"/>
        <v/>
      </c>
      <c r="N941" s="164" t="str">
        <f>IFERROR(COUNTIF($C$18:C941,C941)&amp;CHOOSE(MIN(4,COUNTIF($C$18:C941,C941)),"st","nd","rd","th"),"")</f>
        <v/>
      </c>
    </row>
    <row r="942" spans="8:14" x14ac:dyDescent="0.25">
      <c r="H942" s="201" t="str">
        <f t="shared" si="14"/>
        <v/>
      </c>
      <c r="N942" s="164" t="str">
        <f>IFERROR(COUNTIF($C$18:C942,C942)&amp;CHOOSE(MIN(4,COUNTIF($C$18:C942,C942)),"st","nd","rd","th"),"")</f>
        <v/>
      </c>
    </row>
    <row r="943" spans="8:14" x14ac:dyDescent="0.25">
      <c r="H943" s="201" t="str">
        <f t="shared" si="14"/>
        <v/>
      </c>
      <c r="N943" s="164" t="str">
        <f>IFERROR(COUNTIF($C$18:C943,C943)&amp;CHOOSE(MIN(4,COUNTIF($C$18:C943,C943)),"st","nd","rd","th"),"")</f>
        <v/>
      </c>
    </row>
    <row r="944" spans="8:14" x14ac:dyDescent="0.25">
      <c r="H944" s="201" t="str">
        <f t="shared" si="14"/>
        <v/>
      </c>
      <c r="N944" s="164" t="str">
        <f>IFERROR(COUNTIF($C$18:C944,C944)&amp;CHOOSE(MIN(4,COUNTIF($C$18:C944,C944)),"st","nd","rd","th"),"")</f>
        <v/>
      </c>
    </row>
    <row r="945" spans="8:14" x14ac:dyDescent="0.25">
      <c r="H945" s="201" t="str">
        <f t="shared" si="14"/>
        <v/>
      </c>
      <c r="N945" s="164" t="str">
        <f>IFERROR(COUNTIF($C$18:C945,C945)&amp;CHOOSE(MIN(4,COUNTIF($C$18:C945,C945)),"st","nd","rd","th"),"")</f>
        <v/>
      </c>
    </row>
    <row r="946" spans="8:14" x14ac:dyDescent="0.25">
      <c r="H946" s="201" t="str">
        <f t="shared" si="14"/>
        <v/>
      </c>
      <c r="N946" s="164" t="str">
        <f>IFERROR(COUNTIF($C$18:C946,C946)&amp;CHOOSE(MIN(4,COUNTIF($C$18:C946,C946)),"st","nd","rd","th"),"")</f>
        <v/>
      </c>
    </row>
    <row r="947" spans="8:14" x14ac:dyDescent="0.25">
      <c r="H947" s="201" t="str">
        <f t="shared" si="14"/>
        <v/>
      </c>
      <c r="N947" s="164" t="str">
        <f>IFERROR(COUNTIF($C$18:C947,C947)&amp;CHOOSE(MIN(4,COUNTIF($C$18:C947,C947)),"st","nd","rd","th"),"")</f>
        <v/>
      </c>
    </row>
    <row r="948" spans="8:14" x14ac:dyDescent="0.25">
      <c r="H948" s="201" t="str">
        <f t="shared" si="14"/>
        <v/>
      </c>
      <c r="N948" s="164" t="str">
        <f>IFERROR(COUNTIF($C$18:C948,C948)&amp;CHOOSE(MIN(4,COUNTIF($C$18:C948,C948)),"st","nd","rd","th"),"")</f>
        <v/>
      </c>
    </row>
    <row r="949" spans="8:14" x14ac:dyDescent="0.25">
      <c r="H949" s="201" t="str">
        <f t="shared" si="14"/>
        <v/>
      </c>
      <c r="N949" s="164" t="str">
        <f>IFERROR(COUNTIF($C$18:C949,C949)&amp;CHOOSE(MIN(4,COUNTIF($C$18:C949,C949)),"st","nd","rd","th"),"")</f>
        <v/>
      </c>
    </row>
    <row r="950" spans="8:14" x14ac:dyDescent="0.25">
      <c r="H950" s="201" t="str">
        <f t="shared" si="14"/>
        <v/>
      </c>
      <c r="N950" s="164" t="str">
        <f>IFERROR(COUNTIF($C$18:C950,C950)&amp;CHOOSE(MIN(4,COUNTIF($C$18:C950,C950)),"st","nd","rd","th"),"")</f>
        <v/>
      </c>
    </row>
    <row r="951" spans="8:14" x14ac:dyDescent="0.25">
      <c r="H951" s="201" t="str">
        <f t="shared" si="14"/>
        <v/>
      </c>
      <c r="N951" s="164" t="str">
        <f>IFERROR(COUNTIF($C$18:C951,C951)&amp;CHOOSE(MIN(4,COUNTIF($C$18:C951,C951)),"st","nd","rd","th"),"")</f>
        <v/>
      </c>
    </row>
    <row r="952" spans="8:14" x14ac:dyDescent="0.25">
      <c r="H952" s="201" t="str">
        <f t="shared" si="14"/>
        <v/>
      </c>
      <c r="N952" s="164" t="str">
        <f>IFERROR(COUNTIF($C$18:C952,C952)&amp;CHOOSE(MIN(4,COUNTIF($C$18:C952,C952)),"st","nd","rd","th"),"")</f>
        <v/>
      </c>
    </row>
    <row r="953" spans="8:14" x14ac:dyDescent="0.25">
      <c r="H953" s="201" t="str">
        <f t="shared" si="14"/>
        <v/>
      </c>
      <c r="N953" s="164" t="str">
        <f>IFERROR(COUNTIF($C$18:C953,C953)&amp;CHOOSE(MIN(4,COUNTIF($C$18:C953,C953)),"st","nd","rd","th"),"")</f>
        <v/>
      </c>
    </row>
    <row r="954" spans="8:14" x14ac:dyDescent="0.25">
      <c r="H954" s="201" t="str">
        <f t="shared" si="14"/>
        <v/>
      </c>
      <c r="N954" s="164" t="str">
        <f>IFERROR(COUNTIF($C$18:C954,C954)&amp;CHOOSE(MIN(4,COUNTIF($C$18:C954,C954)),"st","nd","rd","th"),"")</f>
        <v/>
      </c>
    </row>
    <row r="955" spans="8:14" x14ac:dyDescent="0.25">
      <c r="H955" s="201" t="str">
        <f t="shared" si="14"/>
        <v/>
      </c>
      <c r="N955" s="164" t="str">
        <f>IFERROR(COUNTIF($C$18:C955,C955)&amp;CHOOSE(MIN(4,COUNTIF($C$18:C955,C955)),"st","nd","rd","th"),"")</f>
        <v/>
      </c>
    </row>
    <row r="956" spans="8:14" x14ac:dyDescent="0.25">
      <c r="H956" s="201" t="str">
        <f t="shared" si="14"/>
        <v/>
      </c>
      <c r="N956" s="164" t="str">
        <f>IFERROR(COUNTIF($C$18:C956,C956)&amp;CHOOSE(MIN(4,COUNTIF($C$18:C956,C956)),"st","nd","rd","th"),"")</f>
        <v/>
      </c>
    </row>
    <row r="957" spans="8:14" x14ac:dyDescent="0.25">
      <c r="H957" s="201" t="str">
        <f t="shared" si="14"/>
        <v/>
      </c>
      <c r="N957" s="164" t="str">
        <f>IFERROR(COUNTIF($C$18:C957,C957)&amp;CHOOSE(MIN(4,COUNTIF($C$18:C957,C957)),"st","nd","rd","th"),"")</f>
        <v/>
      </c>
    </row>
    <row r="958" spans="8:14" x14ac:dyDescent="0.25">
      <c r="H958" s="201" t="str">
        <f t="shared" si="14"/>
        <v/>
      </c>
      <c r="N958" s="164" t="str">
        <f>IFERROR(COUNTIF($C$18:C958,C958)&amp;CHOOSE(MIN(4,COUNTIF($C$18:C958,C958)),"st","nd","rd","th"),"")</f>
        <v/>
      </c>
    </row>
    <row r="959" spans="8:14" x14ac:dyDescent="0.25">
      <c r="H959" s="201" t="str">
        <f t="shared" si="14"/>
        <v/>
      </c>
      <c r="N959" s="164" t="str">
        <f>IFERROR(COUNTIF($C$18:C959,C959)&amp;CHOOSE(MIN(4,COUNTIF($C$18:C959,C959)),"st","nd","rd","th"),"")</f>
        <v/>
      </c>
    </row>
    <row r="960" spans="8:14" x14ac:dyDescent="0.25">
      <c r="H960" s="201" t="str">
        <f t="shared" si="14"/>
        <v/>
      </c>
      <c r="N960" s="164" t="str">
        <f>IFERROR(COUNTIF($C$18:C960,C960)&amp;CHOOSE(MIN(4,COUNTIF($C$18:C960,C960)),"st","nd","rd","th"),"")</f>
        <v/>
      </c>
    </row>
    <row r="961" spans="8:14" x14ac:dyDescent="0.25">
      <c r="H961" s="201" t="str">
        <f t="shared" si="14"/>
        <v/>
      </c>
      <c r="N961" s="164" t="str">
        <f>IFERROR(COUNTIF($C$18:C961,C961)&amp;CHOOSE(MIN(4,COUNTIF($C$18:C961,C961)),"st","nd","rd","th"),"")</f>
        <v/>
      </c>
    </row>
    <row r="962" spans="8:14" x14ac:dyDescent="0.25">
      <c r="H962" s="201" t="str">
        <f t="shared" si="14"/>
        <v/>
      </c>
      <c r="N962" s="164" t="str">
        <f>IFERROR(COUNTIF($C$18:C962,C962)&amp;CHOOSE(MIN(4,COUNTIF($C$18:C962,C962)),"st","nd","rd","th"),"")</f>
        <v/>
      </c>
    </row>
    <row r="963" spans="8:14" x14ac:dyDescent="0.25">
      <c r="H963" s="201" t="str">
        <f t="shared" si="14"/>
        <v/>
      </c>
      <c r="N963" s="164" t="str">
        <f>IFERROR(COUNTIF($C$18:C963,C963)&amp;CHOOSE(MIN(4,COUNTIF($C$18:C963,C963)),"st","nd","rd","th"),"")</f>
        <v/>
      </c>
    </row>
    <row r="964" spans="8:14" x14ac:dyDescent="0.25">
      <c r="H964" s="201" t="str">
        <f t="shared" si="14"/>
        <v/>
      </c>
      <c r="N964" s="164" t="str">
        <f>IFERROR(COUNTIF($C$18:C964,C964)&amp;CHOOSE(MIN(4,COUNTIF($C$18:C964,C964)),"st","nd","rd","th"),"")</f>
        <v/>
      </c>
    </row>
    <row r="965" spans="8:14" x14ac:dyDescent="0.25">
      <c r="H965" s="201" t="str">
        <f t="shared" si="14"/>
        <v/>
      </c>
      <c r="N965" s="164" t="str">
        <f>IFERROR(COUNTIF($C$18:C965,C965)&amp;CHOOSE(MIN(4,COUNTIF($C$18:C965,C965)),"st","nd","rd","th"),"")</f>
        <v/>
      </c>
    </row>
    <row r="966" spans="8:14" x14ac:dyDescent="0.25">
      <c r="H966" s="201" t="str">
        <f t="shared" si="14"/>
        <v/>
      </c>
      <c r="N966" s="164" t="str">
        <f>IFERROR(COUNTIF($C$18:C966,C966)&amp;CHOOSE(MIN(4,COUNTIF($C$18:C966,C966)),"st","nd","rd","th"),"")</f>
        <v/>
      </c>
    </row>
    <row r="967" spans="8:14" x14ac:dyDescent="0.25">
      <c r="H967" s="201" t="str">
        <f t="shared" si="14"/>
        <v/>
      </c>
      <c r="N967" s="164" t="str">
        <f>IFERROR(COUNTIF($C$18:C967,C967)&amp;CHOOSE(MIN(4,COUNTIF($C$18:C967,C967)),"st","nd","rd","th"),"")</f>
        <v/>
      </c>
    </row>
    <row r="968" spans="8:14" x14ac:dyDescent="0.25">
      <c r="H968" s="201" t="str">
        <f t="shared" si="14"/>
        <v/>
      </c>
      <c r="N968" s="164" t="str">
        <f>IFERROR(COUNTIF($C$18:C968,C968)&amp;CHOOSE(MIN(4,COUNTIF($C$18:C968,C968)),"st","nd","rd","th"),"")</f>
        <v/>
      </c>
    </row>
    <row r="969" spans="8:14" x14ac:dyDescent="0.25">
      <c r="H969" s="201" t="str">
        <f t="shared" si="14"/>
        <v/>
      </c>
      <c r="N969" s="164" t="str">
        <f>IFERROR(COUNTIF($C$18:C969,C969)&amp;CHOOSE(MIN(4,COUNTIF($C$18:C969,C969)),"st","nd","rd","th"),"")</f>
        <v/>
      </c>
    </row>
    <row r="970" spans="8:14" x14ac:dyDescent="0.25">
      <c r="H970" s="201" t="str">
        <f t="shared" si="14"/>
        <v/>
      </c>
      <c r="N970" s="164" t="str">
        <f>IFERROR(COUNTIF($C$18:C970,C970)&amp;CHOOSE(MIN(4,COUNTIF($C$18:C970,C970)),"st","nd","rd","th"),"")</f>
        <v/>
      </c>
    </row>
    <row r="971" spans="8:14" x14ac:dyDescent="0.25">
      <c r="H971" s="201" t="str">
        <f t="shared" si="14"/>
        <v/>
      </c>
      <c r="N971" s="164" t="str">
        <f>IFERROR(COUNTIF($C$18:C971,C971)&amp;CHOOSE(MIN(4,COUNTIF($C$18:C971,C971)),"st","nd","rd","th"),"")</f>
        <v/>
      </c>
    </row>
    <row r="972" spans="8:14" x14ac:dyDescent="0.25">
      <c r="H972" s="201" t="str">
        <f t="shared" si="14"/>
        <v/>
      </c>
      <c r="N972" s="164" t="str">
        <f>IFERROR(COUNTIF($C$18:C972,C972)&amp;CHOOSE(MIN(4,COUNTIF($C$18:C972,C972)),"st","nd","rd","th"),"")</f>
        <v/>
      </c>
    </row>
    <row r="973" spans="8:14" x14ac:dyDescent="0.25">
      <c r="H973" s="201" t="str">
        <f t="shared" si="14"/>
        <v/>
      </c>
      <c r="N973" s="164" t="str">
        <f>IFERROR(COUNTIF($C$18:C973,C973)&amp;CHOOSE(MIN(4,COUNTIF($C$18:C973,C973)),"st","nd","rd","th"),"")</f>
        <v/>
      </c>
    </row>
    <row r="974" spans="8:14" x14ac:dyDescent="0.25">
      <c r="H974" s="201" t="str">
        <f t="shared" si="14"/>
        <v/>
      </c>
      <c r="N974" s="164" t="str">
        <f>IFERROR(COUNTIF($C$18:C974,C974)&amp;CHOOSE(MIN(4,COUNTIF($C$18:C974,C974)),"st","nd","rd","th"),"")</f>
        <v/>
      </c>
    </row>
    <row r="975" spans="8:14" x14ac:dyDescent="0.25">
      <c r="H975" s="201" t="str">
        <f t="shared" si="14"/>
        <v/>
      </c>
      <c r="N975" s="164" t="str">
        <f>IFERROR(COUNTIF($C$18:C975,C975)&amp;CHOOSE(MIN(4,COUNTIF($C$18:C975,C975)),"st","nd","rd","th"),"")</f>
        <v/>
      </c>
    </row>
    <row r="976" spans="8:14" x14ac:dyDescent="0.25">
      <c r="H976" s="201" t="str">
        <f t="shared" si="14"/>
        <v/>
      </c>
      <c r="N976" s="164" t="str">
        <f>IFERROR(COUNTIF($C$18:C976,C976)&amp;CHOOSE(MIN(4,COUNTIF($C$18:C976,C976)),"st","nd","rd","th"),"")</f>
        <v/>
      </c>
    </row>
    <row r="977" spans="8:14" x14ac:dyDescent="0.25">
      <c r="H977" s="201" t="str">
        <f t="shared" si="14"/>
        <v/>
      </c>
      <c r="N977" s="164" t="str">
        <f>IFERROR(COUNTIF($C$18:C977,C977)&amp;CHOOSE(MIN(4,COUNTIF($C$18:C977,C977)),"st","nd","rd","th"),"")</f>
        <v/>
      </c>
    </row>
    <row r="978" spans="8:14" x14ac:dyDescent="0.25">
      <c r="H978" s="201" t="str">
        <f t="shared" ref="H978:H999" si="15">IF(OR(ISBLANK(G978), ISBLANK(F978)), "", IF(G978=F978, 1, SUM(_xlfn.DAYS(G978, F978), 1)))</f>
        <v/>
      </c>
      <c r="N978" s="164" t="str">
        <f>IFERROR(COUNTIF($C$18:C978,C978)&amp;CHOOSE(MIN(4,COUNTIF($C$18:C978,C978)),"st","nd","rd","th"),"")</f>
        <v/>
      </c>
    </row>
    <row r="979" spans="8:14" x14ac:dyDescent="0.25">
      <c r="H979" s="201" t="str">
        <f t="shared" si="15"/>
        <v/>
      </c>
      <c r="N979" s="164" t="str">
        <f>IFERROR(COUNTIF($C$18:C979,C979)&amp;CHOOSE(MIN(4,COUNTIF($C$18:C979,C979)),"st","nd","rd","th"),"")</f>
        <v/>
      </c>
    </row>
    <row r="980" spans="8:14" x14ac:dyDescent="0.25">
      <c r="H980" s="201" t="str">
        <f t="shared" si="15"/>
        <v/>
      </c>
      <c r="N980" s="164" t="str">
        <f>IFERROR(COUNTIF($C$18:C980,C980)&amp;CHOOSE(MIN(4,COUNTIF($C$18:C980,C980)),"st","nd","rd","th"),"")</f>
        <v/>
      </c>
    </row>
    <row r="981" spans="8:14" x14ac:dyDescent="0.25">
      <c r="H981" s="201" t="str">
        <f t="shared" si="15"/>
        <v/>
      </c>
      <c r="N981" s="164" t="str">
        <f>IFERROR(COUNTIF($C$18:C981,C981)&amp;CHOOSE(MIN(4,COUNTIF($C$18:C981,C981)),"st","nd","rd","th"),"")</f>
        <v/>
      </c>
    </row>
    <row r="982" spans="8:14" x14ac:dyDescent="0.25">
      <c r="H982" s="201" t="str">
        <f t="shared" si="15"/>
        <v/>
      </c>
      <c r="N982" s="164" t="str">
        <f>IFERROR(COUNTIF($C$18:C982,C982)&amp;CHOOSE(MIN(4,COUNTIF($C$18:C982,C982)),"st","nd","rd","th"),"")</f>
        <v/>
      </c>
    </row>
    <row r="983" spans="8:14" x14ac:dyDescent="0.25">
      <c r="H983" s="201" t="str">
        <f t="shared" si="15"/>
        <v/>
      </c>
      <c r="N983" s="164" t="str">
        <f>IFERROR(COUNTIF($C$18:C983,C983)&amp;CHOOSE(MIN(4,COUNTIF($C$18:C983,C983)),"st","nd","rd","th"),"")</f>
        <v/>
      </c>
    </row>
    <row r="984" spans="8:14" x14ac:dyDescent="0.25">
      <c r="H984" s="201" t="str">
        <f t="shared" si="15"/>
        <v/>
      </c>
      <c r="N984" s="164" t="str">
        <f>IFERROR(COUNTIF($C$18:C984,C984)&amp;CHOOSE(MIN(4,COUNTIF($C$18:C984,C984)),"st","nd","rd","th"),"")</f>
        <v/>
      </c>
    </row>
    <row r="985" spans="8:14" x14ac:dyDescent="0.25">
      <c r="H985" s="201" t="str">
        <f t="shared" si="15"/>
        <v/>
      </c>
      <c r="N985" s="164" t="str">
        <f>IFERROR(COUNTIF($C$18:C985,C985)&amp;CHOOSE(MIN(4,COUNTIF($C$18:C985,C985)),"st","nd","rd","th"),"")</f>
        <v/>
      </c>
    </row>
    <row r="986" spans="8:14" x14ac:dyDescent="0.25">
      <c r="H986" s="201" t="str">
        <f t="shared" si="15"/>
        <v/>
      </c>
      <c r="N986" s="164" t="str">
        <f>IFERROR(COUNTIF($C$18:C986,C986)&amp;CHOOSE(MIN(4,COUNTIF($C$18:C986,C986)),"st","nd","rd","th"),"")</f>
        <v/>
      </c>
    </row>
    <row r="987" spans="8:14" x14ac:dyDescent="0.25">
      <c r="H987" s="201" t="str">
        <f t="shared" si="15"/>
        <v/>
      </c>
      <c r="N987" s="164" t="str">
        <f>IFERROR(COUNTIF($C$18:C987,C987)&amp;CHOOSE(MIN(4,COUNTIF($C$18:C987,C987)),"st","nd","rd","th"),"")</f>
        <v/>
      </c>
    </row>
    <row r="988" spans="8:14" x14ac:dyDescent="0.25">
      <c r="H988" s="201" t="str">
        <f t="shared" si="15"/>
        <v/>
      </c>
      <c r="N988" s="164" t="str">
        <f>IFERROR(COUNTIF($C$18:C988,C988)&amp;CHOOSE(MIN(4,COUNTIF($C$18:C988,C988)),"st","nd","rd","th"),"")</f>
        <v/>
      </c>
    </row>
    <row r="989" spans="8:14" x14ac:dyDescent="0.25">
      <c r="H989" s="201" t="str">
        <f t="shared" si="15"/>
        <v/>
      </c>
      <c r="N989" s="164" t="str">
        <f>IFERROR(COUNTIF($C$18:C989,C989)&amp;CHOOSE(MIN(4,COUNTIF($C$18:C989,C989)),"st","nd","rd","th"),"")</f>
        <v/>
      </c>
    </row>
    <row r="990" spans="8:14" x14ac:dyDescent="0.25">
      <c r="H990" s="201" t="str">
        <f t="shared" si="15"/>
        <v/>
      </c>
      <c r="N990" s="164" t="str">
        <f>IFERROR(COUNTIF($C$18:C990,C990)&amp;CHOOSE(MIN(4,COUNTIF($C$18:C990,C990)),"st","nd","rd","th"),"")</f>
        <v/>
      </c>
    </row>
    <row r="991" spans="8:14" x14ac:dyDescent="0.25">
      <c r="H991" s="201" t="str">
        <f t="shared" si="15"/>
        <v/>
      </c>
      <c r="N991" s="164" t="str">
        <f>IFERROR(COUNTIF($C$18:C991,C991)&amp;CHOOSE(MIN(4,COUNTIF($C$18:C991,C991)),"st","nd","rd","th"),"")</f>
        <v/>
      </c>
    </row>
    <row r="992" spans="8:14" x14ac:dyDescent="0.25">
      <c r="H992" s="201" t="str">
        <f t="shared" si="15"/>
        <v/>
      </c>
      <c r="N992" s="164" t="str">
        <f>IFERROR(COUNTIF($C$18:C992,C992)&amp;CHOOSE(MIN(4,COUNTIF($C$18:C992,C992)),"st","nd","rd","th"),"")</f>
        <v/>
      </c>
    </row>
    <row r="993" spans="8:14" x14ac:dyDescent="0.25">
      <c r="H993" s="201" t="str">
        <f t="shared" si="15"/>
        <v/>
      </c>
      <c r="N993" s="164" t="str">
        <f>IFERROR(COUNTIF($C$18:C993,C993)&amp;CHOOSE(MIN(4,COUNTIF($C$18:C993,C993)),"st","nd","rd","th"),"")</f>
        <v/>
      </c>
    </row>
    <row r="994" spans="8:14" x14ac:dyDescent="0.25">
      <c r="H994" s="201" t="str">
        <f t="shared" si="15"/>
        <v/>
      </c>
      <c r="N994" s="164" t="str">
        <f>IFERROR(COUNTIF($C$18:C994,C994)&amp;CHOOSE(MIN(4,COUNTIF($C$18:C994,C994)),"st","nd","rd","th"),"")</f>
        <v/>
      </c>
    </row>
    <row r="995" spans="8:14" x14ac:dyDescent="0.25">
      <c r="H995" s="201" t="str">
        <f t="shared" si="15"/>
        <v/>
      </c>
      <c r="N995" s="164" t="str">
        <f>IFERROR(COUNTIF($C$18:C995,C995)&amp;CHOOSE(MIN(4,COUNTIF($C$18:C995,C995)),"st","nd","rd","th"),"")</f>
        <v/>
      </c>
    </row>
    <row r="996" spans="8:14" x14ac:dyDescent="0.25">
      <c r="H996" s="201" t="str">
        <f t="shared" si="15"/>
        <v/>
      </c>
      <c r="N996" s="164" t="str">
        <f>IFERROR(COUNTIF($C$18:C996,C996)&amp;CHOOSE(MIN(4,COUNTIF($C$18:C996,C996)),"st","nd","rd","th"),"")</f>
        <v/>
      </c>
    </row>
    <row r="997" spans="8:14" x14ac:dyDescent="0.25">
      <c r="H997" s="201" t="str">
        <f t="shared" si="15"/>
        <v/>
      </c>
      <c r="N997" s="164" t="str">
        <f>IFERROR(COUNTIF($C$18:C997,C997)&amp;CHOOSE(MIN(4,COUNTIF($C$18:C997,C997)),"st","nd","rd","th"),"")</f>
        <v/>
      </c>
    </row>
    <row r="998" spans="8:14" x14ac:dyDescent="0.25">
      <c r="H998" s="201" t="str">
        <f t="shared" si="15"/>
        <v/>
      </c>
      <c r="N998" s="164" t="str">
        <f>IFERROR(COUNTIF($C$18:C998,C998)&amp;CHOOSE(MIN(4,COUNTIF($C$18:C998,C998)),"st","nd","rd","th"),"")</f>
        <v/>
      </c>
    </row>
    <row r="999" spans="8:14" x14ac:dyDescent="0.25">
      <c r="H999" s="201" t="str">
        <f t="shared" si="15"/>
        <v/>
      </c>
      <c r="N999" s="164" t="str">
        <f>IFERROR(COUNTIF($C$18:C999,C999)&amp;CHOOSE(MIN(4,COUNTIF($C$18:C999,C999)),"st","nd","rd","th"),"")</f>
        <v/>
      </c>
    </row>
  </sheetData>
  <mergeCells count="4">
    <mergeCell ref="B5:V5"/>
    <mergeCell ref="B6:V6"/>
    <mergeCell ref="B7:V7"/>
    <mergeCell ref="B8:V8"/>
  </mergeCells>
  <dataValidations count="1">
    <dataValidation type="list" allowBlank="1" showInputMessage="1" showErrorMessage="1" sqref="B18:C1048576" xr:uid="{E6B7C30C-808E-4F29-9F78-87BEA8068D84}">
      <formula1>INDIRECT(A18)</formula1>
    </dataValidation>
  </dataValidations>
  <hyperlinks>
    <hyperlink ref="D1" location="'Accomplishment 2025'!A1" display="Back to Summary of Accomplishments 2025" xr:uid="{EF6D712A-B9F6-4DF1-800B-3C8C0DF6A105}"/>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D6768AD7-0FE7-45E3-BE3D-1A69CC374A76}">
          <x14:formula1>
            <xm:f>Picklists!$A$3:$A$14</xm:f>
          </x14:formula1>
          <xm:sqref>L18:L999</xm:sqref>
        </x14:dataValidation>
        <x14:dataValidation type="list" allowBlank="1" showInputMessage="1" showErrorMessage="1" xr:uid="{C5A50B8E-F90B-4EEB-A6FB-D0EEA81D3568}">
          <x14:formula1>
            <xm:f>LGU_Masterlist!$C$2:$T$2</xm:f>
          </x14:formula1>
          <xm:sqref>A18:A1048576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98C4-4C1B-4C0B-828D-5081D44D38AB}">
  <sheetPr codeName="Sheet41">
    <tabColor theme="7" tint="-0.249977111117893"/>
  </sheetPr>
  <dimension ref="A1:V1001"/>
  <sheetViews>
    <sheetView topLeftCell="A9" zoomScale="60" zoomScaleNormal="60" workbookViewId="0">
      <selection activeCell="K19" sqref="K19:K51"/>
    </sheetView>
  </sheetViews>
  <sheetFormatPr defaultColWidth="8.88671875" defaultRowHeight="13.8" x14ac:dyDescent="0.25"/>
  <cols>
    <col min="1" max="1" width="4.5546875" style="164" customWidth="1"/>
    <col min="2" max="2" width="46.88671875" style="164" customWidth="1"/>
    <col min="3" max="3" width="31.6640625" style="164" customWidth="1"/>
    <col min="4" max="4" width="52.88671875" style="164" bestFit="1" customWidth="1"/>
    <col min="5" max="5" width="31.33203125" style="164" customWidth="1"/>
    <col min="6" max="6" width="23.44140625" style="172" customWidth="1"/>
    <col min="7" max="7" width="20.44140625" style="172" customWidth="1"/>
    <col min="8" max="8" width="19.109375" style="202" customWidth="1"/>
    <col min="9" max="9" width="16.33203125" style="201" customWidth="1"/>
    <col min="10" max="10" width="26.6640625" style="201" customWidth="1"/>
    <col min="11" max="11" width="31.33203125" style="201" customWidth="1"/>
    <col min="12" max="12" width="20.88671875" style="164" customWidth="1"/>
    <col min="13" max="15" width="12.6640625" style="164" customWidth="1"/>
    <col min="16" max="16384" width="8.88671875" style="164"/>
  </cols>
  <sheetData>
    <row r="1" spans="1:22" s="32" customFormat="1" ht="14.4" x14ac:dyDescent="0.3">
      <c r="A1" s="173" t="s">
        <v>5090</v>
      </c>
      <c r="D1" s="174" t="s">
        <v>1673</v>
      </c>
    </row>
    <row r="2" spans="1:22" s="32" customFormat="1" x14ac:dyDescent="0.25">
      <c r="A2" s="176"/>
      <c r="B2" s="35"/>
      <c r="C2" s="35"/>
      <c r="D2" s="35"/>
      <c r="E2" s="35"/>
    </row>
    <row r="3" spans="1:22" s="32" customFormat="1" x14ac:dyDescent="0.25">
      <c r="A3" s="363">
        <v>13</v>
      </c>
      <c r="B3" s="364" t="s">
        <v>5254</v>
      </c>
      <c r="C3" s="364"/>
      <c r="D3" s="364"/>
      <c r="E3" s="364"/>
    </row>
    <row r="4" spans="1:22" s="32" customFormat="1" x14ac:dyDescent="0.25">
      <c r="A4" s="178"/>
      <c r="B4" s="206" t="s">
        <v>5255</v>
      </c>
      <c r="C4" s="206"/>
      <c r="D4" s="206"/>
      <c r="E4" s="206"/>
    </row>
    <row r="5" spans="1:22" s="32" customFormat="1" ht="72" customHeight="1" x14ac:dyDescent="0.25">
      <c r="A5" s="178"/>
      <c r="B5" s="599" t="s">
        <v>5256</v>
      </c>
      <c r="C5" s="599"/>
      <c r="D5" s="599"/>
      <c r="E5" s="599"/>
      <c r="F5" s="599"/>
      <c r="G5" s="599"/>
      <c r="H5" s="599"/>
      <c r="I5" s="599"/>
      <c r="J5" s="599"/>
      <c r="K5" s="599"/>
      <c r="L5" s="599"/>
      <c r="M5" s="599"/>
      <c r="N5" s="599"/>
      <c r="O5" s="599"/>
      <c r="P5" s="599"/>
      <c r="Q5" s="599"/>
      <c r="R5" s="599"/>
      <c r="S5" s="599"/>
      <c r="T5" s="599"/>
      <c r="U5" s="599"/>
      <c r="V5" s="599"/>
    </row>
    <row r="6" spans="1:22" s="32" customFormat="1" ht="48.6" customHeight="1" x14ac:dyDescent="0.25">
      <c r="A6" s="178"/>
      <c r="B6" s="601" t="s">
        <v>5257</v>
      </c>
      <c r="C6" s="601"/>
      <c r="D6" s="601"/>
      <c r="E6" s="601"/>
      <c r="F6" s="601"/>
      <c r="G6" s="601"/>
      <c r="H6" s="601"/>
      <c r="I6" s="601"/>
      <c r="J6" s="601"/>
      <c r="K6" s="601"/>
      <c r="L6" s="601"/>
      <c r="M6" s="601"/>
      <c r="N6" s="601"/>
      <c r="O6" s="601"/>
      <c r="P6" s="601"/>
      <c r="Q6" s="601"/>
      <c r="R6" s="601"/>
      <c r="S6" s="601"/>
      <c r="T6" s="601"/>
      <c r="U6" s="601"/>
      <c r="V6" s="601"/>
    </row>
    <row r="7" spans="1:22" s="32" customFormat="1" x14ac:dyDescent="0.25">
      <c r="B7" s="602" t="s">
        <v>5251</v>
      </c>
      <c r="C7" s="602"/>
      <c r="D7" s="602"/>
      <c r="E7" s="602"/>
      <c r="F7" s="602"/>
      <c r="G7" s="602"/>
      <c r="H7" s="602"/>
      <c r="I7" s="602"/>
      <c r="J7" s="602"/>
      <c r="K7" s="602"/>
      <c r="L7" s="602"/>
      <c r="M7" s="602"/>
      <c r="N7" s="602"/>
      <c r="O7" s="602"/>
      <c r="P7" s="602"/>
      <c r="Q7" s="602"/>
      <c r="R7" s="602"/>
      <c r="S7" s="602"/>
      <c r="T7" s="602"/>
      <c r="U7" s="602"/>
      <c r="V7" s="602"/>
    </row>
    <row r="8" spans="1:22" s="32" customFormat="1" ht="60.6" customHeight="1" x14ac:dyDescent="0.25">
      <c r="B8" s="622" t="s">
        <v>5205</v>
      </c>
      <c r="C8" s="622"/>
      <c r="D8" s="622"/>
      <c r="E8" s="622"/>
      <c r="F8" s="622"/>
      <c r="G8" s="622"/>
      <c r="H8" s="622"/>
      <c r="I8" s="622"/>
      <c r="J8" s="622"/>
      <c r="K8" s="622"/>
      <c r="L8" s="622"/>
      <c r="M8" s="622"/>
      <c r="N8" s="622"/>
      <c r="O8" s="622"/>
      <c r="P8" s="622"/>
      <c r="Q8" s="622"/>
      <c r="R8" s="622"/>
      <c r="S8" s="622"/>
      <c r="T8" s="622"/>
      <c r="U8" s="622"/>
      <c r="V8" s="622"/>
    </row>
    <row r="9" spans="1:22" s="32" customFormat="1" x14ac:dyDescent="0.25">
      <c r="B9" s="173"/>
      <c r="C9" s="173"/>
      <c r="D9" s="173"/>
      <c r="E9" s="173"/>
      <c r="F9" s="173"/>
      <c r="G9" s="173"/>
      <c r="H9" s="173"/>
      <c r="I9" s="173"/>
      <c r="J9" s="173"/>
      <c r="K9" s="173"/>
      <c r="L9" s="173"/>
      <c r="M9" s="173"/>
      <c r="N9" s="173"/>
      <c r="O9" s="173"/>
      <c r="P9" s="173"/>
      <c r="Q9" s="173"/>
      <c r="R9" s="173"/>
      <c r="S9" s="173"/>
      <c r="T9" s="173"/>
      <c r="U9" s="173"/>
      <c r="V9" s="173"/>
    </row>
    <row r="10" spans="1:22" s="32" customFormat="1" x14ac:dyDescent="0.25">
      <c r="B10" s="179" t="s">
        <v>5258</v>
      </c>
      <c r="C10" s="179"/>
      <c r="D10" s="179"/>
      <c r="E10" s="179"/>
      <c r="F10" s="181">
        <f>COUNTIFS(N19:N1001,"1st",C19:C1001,"LGU")</f>
        <v>0</v>
      </c>
      <c r="G10" s="195"/>
      <c r="H10" s="195"/>
      <c r="I10" s="195"/>
      <c r="J10" s="195"/>
      <c r="K10" s="195"/>
      <c r="L10" s="173"/>
      <c r="M10" s="173"/>
      <c r="N10" s="173"/>
      <c r="O10" s="173"/>
      <c r="P10" s="173"/>
      <c r="Q10" s="173"/>
      <c r="R10" s="173"/>
      <c r="S10" s="173"/>
      <c r="T10" s="173"/>
      <c r="U10" s="173"/>
      <c r="V10" s="173"/>
    </row>
    <row r="11" spans="1:22" s="32" customFormat="1" x14ac:dyDescent="0.25">
      <c r="B11" s="179" t="s">
        <v>5259</v>
      </c>
      <c r="C11" s="179"/>
      <c r="D11" s="179"/>
      <c r="E11" s="179"/>
      <c r="F11" s="181">
        <f>COUNTIF(N19:N1001,"1st")</f>
        <v>0</v>
      </c>
      <c r="G11" s="195"/>
      <c r="H11" s="195"/>
      <c r="I11" s="195"/>
      <c r="J11" s="195"/>
      <c r="K11" s="195"/>
      <c r="L11" s="173"/>
      <c r="M11" s="173"/>
      <c r="N11" s="173"/>
      <c r="O11" s="173"/>
      <c r="P11" s="173"/>
      <c r="Q11" s="173"/>
      <c r="R11" s="173"/>
      <c r="S11" s="173"/>
      <c r="T11" s="173"/>
      <c r="U11" s="173"/>
      <c r="V11" s="173"/>
    </row>
    <row r="12" spans="1:22" s="32" customFormat="1" x14ac:dyDescent="0.25">
      <c r="B12" s="179" t="s">
        <v>5260</v>
      </c>
      <c r="C12" s="179"/>
      <c r="D12" s="179"/>
      <c r="E12" s="179"/>
      <c r="F12" s="181">
        <f>COUNTA(D19:D1001)</f>
        <v>0</v>
      </c>
      <c r="G12" s="173"/>
      <c r="H12" s="173"/>
      <c r="I12" s="173"/>
      <c r="J12" s="173"/>
      <c r="K12" s="173"/>
      <c r="L12" s="173"/>
      <c r="M12" s="173"/>
      <c r="N12" s="173"/>
      <c r="O12" s="173"/>
      <c r="P12" s="173"/>
      <c r="Q12" s="173"/>
      <c r="R12" s="173"/>
      <c r="S12" s="173"/>
      <c r="T12" s="173"/>
      <c r="U12" s="173"/>
      <c r="V12" s="173"/>
    </row>
    <row r="13" spans="1:22" s="32" customFormat="1" x14ac:dyDescent="0.25">
      <c r="B13" s="196" t="s">
        <v>5231</v>
      </c>
      <c r="C13" s="196"/>
      <c r="D13" s="196"/>
      <c r="E13" s="196"/>
      <c r="F13" s="198">
        <f>SUM(H19:H1001)</f>
        <v>0</v>
      </c>
      <c r="G13" s="173"/>
      <c r="H13" s="173"/>
      <c r="I13" s="173"/>
      <c r="J13" s="173"/>
      <c r="K13" s="173"/>
      <c r="L13" s="173"/>
      <c r="M13" s="173"/>
      <c r="N13" s="173"/>
      <c r="O13" s="173"/>
      <c r="P13" s="173"/>
      <c r="Q13" s="173"/>
      <c r="R13" s="173"/>
      <c r="S13" s="173"/>
      <c r="T13" s="173"/>
      <c r="U13" s="173"/>
      <c r="V13" s="173"/>
    </row>
    <row r="14" spans="1:22" s="32" customFormat="1" x14ac:dyDescent="0.25">
      <c r="B14" s="196" t="s">
        <v>5232</v>
      </c>
      <c r="C14" s="196"/>
      <c r="D14" s="196"/>
      <c r="E14" s="196"/>
      <c r="F14" s="198">
        <f>SUM(I19:I1002)</f>
        <v>0</v>
      </c>
      <c r="G14" s="173"/>
      <c r="H14" s="173"/>
      <c r="I14" s="173"/>
      <c r="J14" s="173"/>
      <c r="K14" s="173"/>
      <c r="L14" s="173"/>
      <c r="M14" s="173"/>
      <c r="N14" s="173"/>
      <c r="O14" s="173"/>
      <c r="P14" s="173"/>
      <c r="Q14" s="173"/>
      <c r="R14" s="173"/>
      <c r="S14" s="173"/>
      <c r="T14" s="173"/>
      <c r="U14" s="173"/>
      <c r="V14" s="173"/>
    </row>
    <row r="15" spans="1:22" s="32" customFormat="1" x14ac:dyDescent="0.25">
      <c r="B15" s="173"/>
      <c r="C15" s="173"/>
      <c r="D15" s="173"/>
      <c r="E15" s="173"/>
      <c r="F15" s="173"/>
      <c r="G15" s="173"/>
      <c r="H15" s="173"/>
      <c r="I15" s="173"/>
      <c r="J15" s="173"/>
      <c r="K15" s="173"/>
      <c r="L15" s="173"/>
      <c r="M15" s="173"/>
      <c r="N15" s="173"/>
      <c r="O15" s="173"/>
      <c r="P15" s="173"/>
      <c r="Q15" s="173"/>
      <c r="R15" s="173"/>
      <c r="S15" s="173"/>
      <c r="T15" s="173"/>
      <c r="U15" s="173"/>
      <c r="V15" s="173"/>
    </row>
    <row r="16" spans="1:22" s="32" customFormat="1" x14ac:dyDescent="0.25">
      <c r="B16" s="173"/>
      <c r="C16" s="173"/>
      <c r="D16" s="173"/>
      <c r="E16" s="173"/>
      <c r="F16" s="173"/>
      <c r="G16" s="173"/>
      <c r="H16" s="173"/>
      <c r="I16" s="173"/>
      <c r="J16" s="173"/>
      <c r="K16" s="173"/>
      <c r="L16" s="173"/>
      <c r="M16" s="173"/>
      <c r="N16" s="173"/>
      <c r="O16" s="173"/>
      <c r="P16" s="173"/>
      <c r="Q16" s="173"/>
      <c r="R16" s="173"/>
      <c r="S16" s="173"/>
      <c r="T16" s="173"/>
      <c r="U16" s="173"/>
      <c r="V16" s="173"/>
    </row>
    <row r="17" spans="2:14" s="32" customFormat="1" x14ac:dyDescent="0.25"/>
    <row r="18" spans="2:14" s="182" customFormat="1" ht="54.6" customHeight="1" x14ac:dyDescent="0.25">
      <c r="B18" s="184" t="s">
        <v>5171</v>
      </c>
      <c r="C18" s="183" t="s">
        <v>5172</v>
      </c>
      <c r="D18" s="184" t="s">
        <v>5210</v>
      </c>
      <c r="E18" s="183" t="s">
        <v>5211</v>
      </c>
      <c r="F18" s="184" t="s">
        <v>5212</v>
      </c>
      <c r="G18" s="184" t="s">
        <v>5213</v>
      </c>
      <c r="H18" s="200" t="s">
        <v>5214</v>
      </c>
      <c r="I18" s="184" t="s">
        <v>5215</v>
      </c>
      <c r="J18" s="184" t="s">
        <v>5216</v>
      </c>
      <c r="K18" s="184" t="s">
        <v>5217</v>
      </c>
      <c r="L18" s="184" t="s">
        <v>1685</v>
      </c>
      <c r="M18" s="184" t="s">
        <v>5218</v>
      </c>
      <c r="N18" s="200" t="s">
        <v>5191</v>
      </c>
    </row>
    <row r="19" spans="2:14" ht="19.5" customHeight="1" x14ac:dyDescent="0.25">
      <c r="D19" s="482"/>
      <c r="E19" s="482"/>
      <c r="F19" s="483"/>
      <c r="G19" s="483"/>
      <c r="H19" s="201" t="str">
        <f t="shared" ref="H19:H83" si="0">IF(OR(ISBLANK(G19), ISBLANK(F19)), "", IF(G19=F19, 1, SUM(_xlfn.DAYS(G19, F19), 1)))</f>
        <v/>
      </c>
      <c r="I19" s="388"/>
      <c r="J19" s="388"/>
      <c r="K19" s="388"/>
      <c r="N19" s="164" t="str">
        <f>IFERROR(COUNTIF($B$19:B19,B19)&amp;CHOOSE(MIN(4,COUNTIF($B$19:B19,B19)),"st","nd","rd","th"),"")</f>
        <v/>
      </c>
    </row>
    <row r="20" spans="2:14" ht="13.95" customHeight="1" x14ac:dyDescent="0.25">
      <c r="D20" s="482"/>
      <c r="E20" s="482"/>
      <c r="F20" s="483"/>
      <c r="G20" s="483"/>
      <c r="H20" s="201" t="str">
        <f t="shared" si="0"/>
        <v/>
      </c>
      <c r="I20" s="388"/>
      <c r="J20" s="388"/>
      <c r="K20" s="388"/>
      <c r="N20" s="164" t="str">
        <f>IFERROR(COUNTIF($B$19:B20,B20)&amp;CHOOSE(MIN(4,COUNTIF($B$19:B20,B20)),"st","nd","rd","th"),"")</f>
        <v/>
      </c>
    </row>
    <row r="21" spans="2:14" ht="14.4" customHeight="1" x14ac:dyDescent="0.25">
      <c r="D21" s="482"/>
      <c r="E21" s="482"/>
      <c r="F21" s="483"/>
      <c r="G21" s="483"/>
      <c r="H21" s="201" t="str">
        <f t="shared" si="0"/>
        <v/>
      </c>
      <c r="I21" s="388"/>
      <c r="J21" s="388"/>
      <c r="K21" s="388"/>
      <c r="N21" s="164" t="str">
        <f>IFERROR(COUNTIF($B$19:B21,B21)&amp;CHOOSE(MIN(4,COUNTIF($B$19:B21,B21)),"st","nd","rd","th"),"")</f>
        <v/>
      </c>
    </row>
    <row r="22" spans="2:14" ht="13.95" customHeight="1" x14ac:dyDescent="0.25">
      <c r="D22" s="482"/>
      <c r="E22" s="482"/>
      <c r="F22" s="483"/>
      <c r="G22" s="483"/>
      <c r="H22" s="201" t="str">
        <f t="shared" si="0"/>
        <v/>
      </c>
      <c r="I22" s="388"/>
      <c r="J22" s="388"/>
      <c r="K22" s="388"/>
      <c r="N22" s="164" t="str">
        <f>IFERROR(COUNTIF($B$19:B22,B22)&amp;CHOOSE(MIN(4,COUNTIF($B$19:B22,B22)),"st","nd","rd","th"),"")</f>
        <v/>
      </c>
    </row>
    <row r="23" spans="2:14" ht="13.95" customHeight="1" x14ac:dyDescent="0.25">
      <c r="D23" s="482"/>
      <c r="E23" s="482"/>
      <c r="F23" s="483"/>
      <c r="G23" s="483"/>
      <c r="H23" s="201" t="str">
        <f t="shared" si="0"/>
        <v/>
      </c>
      <c r="I23" s="388"/>
      <c r="J23" s="388"/>
      <c r="K23" s="388"/>
      <c r="N23" s="164" t="str">
        <f>IFERROR(COUNTIF($B$19:B23,B23)&amp;CHOOSE(MIN(4,COUNTIF($B$19:B23,B23)),"st","nd","rd","th"),"")</f>
        <v/>
      </c>
    </row>
    <row r="24" spans="2:14" ht="13.95" customHeight="1" x14ac:dyDescent="0.25">
      <c r="D24" s="482"/>
      <c r="E24" s="482"/>
      <c r="F24" s="483"/>
      <c r="G24" s="483"/>
      <c r="H24" s="201" t="str">
        <f t="shared" si="0"/>
        <v/>
      </c>
      <c r="I24" s="388"/>
      <c r="J24" s="388"/>
      <c r="K24" s="388"/>
      <c r="N24" s="164" t="str">
        <f>IFERROR(COUNTIF($B$19:B24,B24)&amp;CHOOSE(MIN(4,COUNTIF($B$19:B24,B24)),"st","nd","rd","th"),"")</f>
        <v/>
      </c>
    </row>
    <row r="25" spans="2:14" ht="13.95" customHeight="1" x14ac:dyDescent="0.25">
      <c r="D25" s="482"/>
      <c r="E25" s="482"/>
      <c r="F25" s="483"/>
      <c r="G25" s="483"/>
      <c r="H25" s="201" t="str">
        <f t="shared" si="0"/>
        <v/>
      </c>
      <c r="I25" s="388"/>
      <c r="J25" s="388"/>
      <c r="K25" s="388"/>
      <c r="N25" s="164" t="str">
        <f>IFERROR(COUNTIF($B$19:B25,B25)&amp;CHOOSE(MIN(4,COUNTIF($B$19:B25,B25)),"st","nd","rd","th"),"")</f>
        <v/>
      </c>
    </row>
    <row r="26" spans="2:14" ht="13.95" customHeight="1" x14ac:dyDescent="0.25">
      <c r="D26" s="482"/>
      <c r="E26" s="482"/>
      <c r="F26" s="483"/>
      <c r="G26" s="483"/>
      <c r="H26" s="201" t="str">
        <f t="shared" si="0"/>
        <v/>
      </c>
      <c r="I26" s="388"/>
      <c r="J26" s="388"/>
      <c r="K26" s="388"/>
      <c r="N26" s="164" t="str">
        <f>IFERROR(COUNTIF($B$19:B26,B26)&amp;CHOOSE(MIN(4,COUNTIF($B$19:B26,B26)),"st","nd","rd","th"),"")</f>
        <v/>
      </c>
    </row>
    <row r="27" spans="2:14" ht="13.95" customHeight="1" x14ac:dyDescent="0.25">
      <c r="D27" s="482"/>
      <c r="E27" s="482"/>
      <c r="F27" s="483"/>
      <c r="G27" s="483"/>
      <c r="H27" s="201" t="str">
        <f t="shared" si="0"/>
        <v/>
      </c>
      <c r="I27" s="388"/>
      <c r="J27" s="388"/>
      <c r="K27" s="388"/>
      <c r="N27" s="164" t="str">
        <f>IFERROR(COUNTIF($B$19:B27,B27)&amp;CHOOSE(MIN(4,COUNTIF($B$19:B27,B27)),"st","nd","rd","th"),"")</f>
        <v/>
      </c>
    </row>
    <row r="28" spans="2:14" ht="13.95" customHeight="1" x14ac:dyDescent="0.25">
      <c r="D28" s="482"/>
      <c r="E28" s="482"/>
      <c r="F28" s="483"/>
      <c r="G28" s="483"/>
      <c r="H28" s="201" t="str">
        <f t="shared" si="0"/>
        <v/>
      </c>
      <c r="I28" s="388"/>
      <c r="J28" s="388"/>
      <c r="K28" s="388"/>
      <c r="N28" s="164" t="str">
        <f>IFERROR(COUNTIF($B$19:B28,B28)&amp;CHOOSE(MIN(4,COUNTIF($B$19:B28,B28)),"st","nd","rd","th"),"")</f>
        <v/>
      </c>
    </row>
    <row r="29" spans="2:14" ht="13.95" customHeight="1" x14ac:dyDescent="0.25">
      <c r="B29" s="190"/>
      <c r="D29" s="482"/>
      <c r="E29" s="482"/>
      <c r="F29" s="483"/>
      <c r="G29" s="483"/>
      <c r="H29" s="201" t="str">
        <f t="shared" si="0"/>
        <v/>
      </c>
      <c r="I29" s="388"/>
      <c r="J29" s="388"/>
      <c r="K29" s="388"/>
      <c r="N29" s="164" t="str">
        <f>IFERROR(COUNTIF($B$19:B29,B29)&amp;CHOOSE(MIN(4,COUNTIF($B$19:B29,B29)),"st","nd","rd","th"),"")</f>
        <v/>
      </c>
    </row>
    <row r="30" spans="2:14" ht="13.95" customHeight="1" x14ac:dyDescent="0.25">
      <c r="D30" s="482"/>
      <c r="E30" s="482"/>
      <c r="F30" s="483"/>
      <c r="G30" s="483"/>
      <c r="H30" s="201" t="str">
        <f t="shared" si="0"/>
        <v/>
      </c>
      <c r="I30" s="388"/>
      <c r="J30" s="388"/>
      <c r="K30" s="388"/>
      <c r="N30" s="164" t="str">
        <f>IFERROR(COUNTIF($B$19:B30,B30)&amp;CHOOSE(MIN(4,COUNTIF($B$19:B30,B30)),"st","nd","rd","th"),"")</f>
        <v/>
      </c>
    </row>
    <row r="31" spans="2:14" ht="13.95" customHeight="1" x14ac:dyDescent="0.25">
      <c r="D31" s="482"/>
      <c r="E31" s="482"/>
      <c r="F31" s="483"/>
      <c r="G31" s="483"/>
      <c r="H31" s="201" t="str">
        <f t="shared" si="0"/>
        <v/>
      </c>
      <c r="I31" s="388"/>
      <c r="J31" s="388"/>
      <c r="K31" s="388"/>
      <c r="N31" s="164" t="str">
        <f>IFERROR(COUNTIF($B$19:B31,B31)&amp;CHOOSE(MIN(4,COUNTIF($B$19:B31,B31)),"st","nd","rd","th"),"")</f>
        <v/>
      </c>
    </row>
    <row r="32" spans="2:14" ht="13.95" customHeight="1" x14ac:dyDescent="0.25">
      <c r="D32" s="482"/>
      <c r="E32" s="482"/>
      <c r="F32" s="483"/>
      <c r="G32" s="483"/>
      <c r="H32" s="201" t="str">
        <f t="shared" si="0"/>
        <v/>
      </c>
      <c r="I32" s="388"/>
      <c r="J32" s="388"/>
      <c r="K32" s="388"/>
      <c r="N32" s="164" t="str">
        <f>IFERROR(COUNTIF($B$19:B32,B32)&amp;CHOOSE(MIN(4,COUNTIF($B$19:B32,B32)),"st","nd","rd","th"),"")</f>
        <v/>
      </c>
    </row>
    <row r="33" spans="4:14" ht="13.95" customHeight="1" x14ac:dyDescent="0.25">
      <c r="D33" s="482"/>
      <c r="E33" s="482"/>
      <c r="F33" s="483"/>
      <c r="G33" s="483"/>
      <c r="H33" s="201" t="str">
        <f t="shared" si="0"/>
        <v/>
      </c>
      <c r="I33" s="388"/>
      <c r="J33" s="388"/>
      <c r="K33" s="388"/>
      <c r="N33" s="164" t="str">
        <f>IFERROR(COUNTIF($B$19:B33,B33)&amp;CHOOSE(MIN(4,COUNTIF($B$19:B33,B33)),"st","nd","rd","th"),"")</f>
        <v/>
      </c>
    </row>
    <row r="34" spans="4:14" ht="13.95" customHeight="1" x14ac:dyDescent="0.25">
      <c r="D34" s="482"/>
      <c r="E34" s="482"/>
      <c r="F34" s="483"/>
      <c r="G34" s="483"/>
      <c r="H34" s="201" t="str">
        <f t="shared" si="0"/>
        <v/>
      </c>
      <c r="I34" s="388"/>
      <c r="J34" s="388"/>
      <c r="K34" s="388"/>
      <c r="N34" s="164" t="str">
        <f>IFERROR(COUNTIF($B$19:B34,B34)&amp;CHOOSE(MIN(4,COUNTIF($B$19:B34,B34)),"st","nd","rd","th"),"")</f>
        <v/>
      </c>
    </row>
    <row r="35" spans="4:14" ht="13.95" customHeight="1" x14ac:dyDescent="0.25">
      <c r="D35" s="482"/>
      <c r="E35" s="482"/>
      <c r="F35" s="483"/>
      <c r="G35" s="483"/>
      <c r="H35" s="201" t="str">
        <f t="shared" si="0"/>
        <v/>
      </c>
      <c r="I35" s="388"/>
      <c r="J35" s="388"/>
      <c r="K35" s="388"/>
      <c r="N35" s="164" t="str">
        <f>IFERROR(COUNTIF($B$19:B35,B35)&amp;CHOOSE(MIN(4,COUNTIF($B$19:B35,B35)),"st","nd","rd","th"),"")</f>
        <v/>
      </c>
    </row>
    <row r="36" spans="4:14" ht="13.95" customHeight="1" x14ac:dyDescent="0.25">
      <c r="D36" s="482"/>
      <c r="E36" s="482"/>
      <c r="F36" s="483"/>
      <c r="G36" s="483"/>
      <c r="H36" s="201" t="str">
        <f t="shared" si="0"/>
        <v/>
      </c>
      <c r="I36" s="388"/>
      <c r="J36" s="388"/>
      <c r="K36" s="388"/>
      <c r="N36" s="164" t="str">
        <f>IFERROR(COUNTIF($B$19:B36,B36)&amp;CHOOSE(MIN(4,COUNTIF($B$19:B36,B36)),"st","nd","rd","th"),"")</f>
        <v/>
      </c>
    </row>
    <row r="37" spans="4:14" ht="13.95" customHeight="1" x14ac:dyDescent="0.25">
      <c r="D37" s="482"/>
      <c r="E37" s="482"/>
      <c r="F37" s="483"/>
      <c r="G37" s="483"/>
      <c r="H37" s="201" t="str">
        <f t="shared" si="0"/>
        <v/>
      </c>
      <c r="I37" s="388"/>
      <c r="J37" s="388"/>
      <c r="K37" s="388"/>
      <c r="N37" s="164" t="str">
        <f>IFERROR(COUNTIF($B$19:B37,B37)&amp;CHOOSE(MIN(4,COUNTIF($B$19:B37,B37)),"st","nd","rd","th"),"")</f>
        <v/>
      </c>
    </row>
    <row r="38" spans="4:14" ht="13.95" customHeight="1" x14ac:dyDescent="0.25">
      <c r="D38" s="482"/>
      <c r="E38" s="482"/>
      <c r="F38" s="483"/>
      <c r="G38" s="483"/>
      <c r="H38" s="201" t="str">
        <f t="shared" si="0"/>
        <v/>
      </c>
      <c r="I38" s="388"/>
      <c r="J38" s="388"/>
      <c r="K38" s="388"/>
      <c r="N38" s="164" t="str">
        <f>IFERROR(COUNTIF($B$19:B38,B38)&amp;CHOOSE(MIN(4,COUNTIF($B$19:B38,B38)),"st","nd","rd","th"),"")</f>
        <v/>
      </c>
    </row>
    <row r="39" spans="4:14" ht="13.95" customHeight="1" x14ac:dyDescent="0.25">
      <c r="D39" s="482"/>
      <c r="E39" s="482"/>
      <c r="F39" s="483"/>
      <c r="G39" s="483"/>
      <c r="H39" s="201" t="str">
        <f t="shared" si="0"/>
        <v/>
      </c>
      <c r="I39" s="388"/>
      <c r="J39" s="388"/>
      <c r="K39" s="388"/>
      <c r="N39" s="164" t="str">
        <f>IFERROR(COUNTIF($B$19:B39,B39)&amp;CHOOSE(MIN(4,COUNTIF($B$19:B39,B39)),"st","nd","rd","th"),"")</f>
        <v/>
      </c>
    </row>
    <row r="40" spans="4:14" ht="13.95" customHeight="1" x14ac:dyDescent="0.25">
      <c r="D40" s="482"/>
      <c r="E40" s="482"/>
      <c r="F40" s="483"/>
      <c r="G40" s="483"/>
      <c r="H40" s="201" t="str">
        <f t="shared" si="0"/>
        <v/>
      </c>
      <c r="I40" s="388"/>
      <c r="J40" s="388"/>
      <c r="K40" s="388"/>
      <c r="N40" s="164" t="str">
        <f>IFERROR(COUNTIF($B$19:B40,B40)&amp;CHOOSE(MIN(4,COUNTIF($B$19:B40,B40)),"st","nd","rd","th"),"")</f>
        <v/>
      </c>
    </row>
    <row r="41" spans="4:14" ht="13.95" customHeight="1" x14ac:dyDescent="0.25">
      <c r="D41" s="482"/>
      <c r="E41" s="482"/>
      <c r="F41" s="483"/>
      <c r="G41" s="483"/>
      <c r="H41" s="201" t="str">
        <f t="shared" si="0"/>
        <v/>
      </c>
      <c r="I41" s="388"/>
      <c r="J41" s="388"/>
      <c r="K41" s="388"/>
      <c r="N41" s="164" t="str">
        <f>IFERROR(COUNTIF($B$19:B41,B41)&amp;CHOOSE(MIN(4,COUNTIF($B$19:B41,B41)),"st","nd","rd","th"),"")</f>
        <v/>
      </c>
    </row>
    <row r="42" spans="4:14" ht="13.95" customHeight="1" x14ac:dyDescent="0.25">
      <c r="D42" s="482"/>
      <c r="E42" s="482"/>
      <c r="F42" s="483"/>
      <c r="G42" s="483"/>
      <c r="H42" s="201" t="str">
        <f t="shared" si="0"/>
        <v/>
      </c>
      <c r="I42" s="388"/>
      <c r="J42" s="388"/>
      <c r="K42" s="388"/>
      <c r="N42" s="164" t="str">
        <f>IFERROR(COUNTIF($B$19:B42,B42)&amp;CHOOSE(MIN(4,COUNTIF($B$19:B42,B42)),"st","nd","rd","th"),"")</f>
        <v/>
      </c>
    </row>
    <row r="43" spans="4:14" ht="13.95" customHeight="1" x14ac:dyDescent="0.25">
      <c r="D43" s="482"/>
      <c r="E43" s="482"/>
      <c r="F43" s="483"/>
      <c r="G43" s="483"/>
      <c r="H43" s="201" t="str">
        <f t="shared" si="0"/>
        <v/>
      </c>
      <c r="I43" s="388"/>
      <c r="J43" s="388"/>
      <c r="K43" s="388"/>
      <c r="N43" s="164" t="str">
        <f>IFERROR(COUNTIF($B$19:B43,B43)&amp;CHOOSE(MIN(4,COUNTIF($B$19:B43,B43)),"st","nd","rd","th"),"")</f>
        <v/>
      </c>
    </row>
    <row r="44" spans="4:14" ht="13.95" customHeight="1" x14ac:dyDescent="0.25">
      <c r="D44" s="482"/>
      <c r="E44" s="482"/>
      <c r="F44" s="483"/>
      <c r="G44" s="483"/>
      <c r="H44" s="201" t="str">
        <f t="shared" si="0"/>
        <v/>
      </c>
      <c r="I44" s="388"/>
      <c r="J44" s="388"/>
      <c r="K44" s="388"/>
      <c r="N44" s="164" t="str">
        <f>IFERROR(COUNTIF($B$19:B44,B44)&amp;CHOOSE(MIN(4,COUNTIF($B$19:B44,B44)),"st","nd","rd","th"),"")</f>
        <v/>
      </c>
    </row>
    <row r="45" spans="4:14" ht="13.95" customHeight="1" x14ac:dyDescent="0.25">
      <c r="D45" s="482"/>
      <c r="E45" s="482"/>
      <c r="F45" s="483"/>
      <c r="G45" s="483"/>
      <c r="H45" s="201" t="str">
        <f t="shared" si="0"/>
        <v/>
      </c>
      <c r="I45" s="388"/>
      <c r="J45" s="388"/>
      <c r="K45" s="388"/>
      <c r="N45" s="164" t="str">
        <f>IFERROR(COUNTIF($B$19:B45,B45)&amp;CHOOSE(MIN(4,COUNTIF($B$19:B45,B45)),"st","nd","rd","th"),"")</f>
        <v/>
      </c>
    </row>
    <row r="46" spans="4:14" ht="13.95" customHeight="1" x14ac:dyDescent="0.25">
      <c r="D46" s="482"/>
      <c r="E46" s="482"/>
      <c r="F46" s="483"/>
      <c r="G46" s="483"/>
      <c r="H46" s="201" t="str">
        <f t="shared" si="0"/>
        <v/>
      </c>
      <c r="I46" s="388"/>
      <c r="J46" s="388"/>
      <c r="K46" s="388"/>
      <c r="N46" s="164" t="str">
        <f>IFERROR(COUNTIF($B$19:B46,B46)&amp;CHOOSE(MIN(4,COUNTIF($B$19:B46,B46)),"st","nd","rd","th"),"")</f>
        <v/>
      </c>
    </row>
    <row r="47" spans="4:14" ht="13.95" customHeight="1" x14ac:dyDescent="0.25">
      <c r="D47" s="482"/>
      <c r="E47" s="482"/>
      <c r="F47" s="483"/>
      <c r="G47" s="483"/>
      <c r="H47" s="201" t="str">
        <f t="shared" si="0"/>
        <v/>
      </c>
      <c r="I47" s="388"/>
      <c r="J47" s="388"/>
      <c r="K47" s="388"/>
      <c r="N47" s="164" t="str">
        <f>IFERROR(COUNTIF($B$19:B47,B47)&amp;CHOOSE(MIN(4,COUNTIF($B$19:B47,B47)),"st","nd","rd","th"),"")</f>
        <v/>
      </c>
    </row>
    <row r="48" spans="4:14" ht="13.95" customHeight="1" x14ac:dyDescent="0.25">
      <c r="D48" s="482"/>
      <c r="E48" s="482"/>
      <c r="F48" s="483"/>
      <c r="G48" s="483"/>
      <c r="H48" s="201" t="str">
        <f t="shared" si="0"/>
        <v/>
      </c>
      <c r="I48" s="388"/>
      <c r="J48" s="388"/>
      <c r="K48" s="388"/>
      <c r="N48" s="164" t="str">
        <f>IFERROR(COUNTIF($B$19:B48,B48)&amp;CHOOSE(MIN(4,COUNTIF($B$19:B48,B48)),"st","nd","rd","th"),"")</f>
        <v/>
      </c>
    </row>
    <row r="49" spans="2:14" ht="15" customHeight="1" x14ac:dyDescent="0.25">
      <c r="B49" s="431"/>
      <c r="D49" s="482"/>
      <c r="E49" s="482"/>
      <c r="F49" s="483"/>
      <c r="G49" s="483"/>
      <c r="H49" s="201" t="str">
        <f t="shared" si="0"/>
        <v/>
      </c>
      <c r="I49" s="388"/>
      <c r="J49" s="388"/>
      <c r="K49" s="388"/>
      <c r="N49" s="164" t="str">
        <f>IFERROR(COUNTIF($B$19:B49,B49)&amp;CHOOSE(MIN(4,COUNTIF($B$19:B49,B49)),"st","nd","rd","th"),"")</f>
        <v/>
      </c>
    </row>
    <row r="50" spans="2:14" ht="13.95" customHeight="1" x14ac:dyDescent="0.25">
      <c r="D50" s="482"/>
      <c r="E50" s="482"/>
      <c r="F50" s="483"/>
      <c r="G50" s="483"/>
      <c r="H50" s="201" t="str">
        <f t="shared" si="0"/>
        <v/>
      </c>
      <c r="I50" s="388"/>
      <c r="J50" s="388"/>
      <c r="K50" s="388"/>
      <c r="N50" s="164" t="str">
        <f>IFERROR(COUNTIF($B$19:B50,B50)&amp;CHOOSE(MIN(4,COUNTIF($B$19:B50,B50)),"st","nd","rd","th"),"")</f>
        <v/>
      </c>
    </row>
    <row r="51" spans="2:14" ht="13.95" customHeight="1" x14ac:dyDescent="0.25">
      <c r="D51" s="482"/>
      <c r="E51" s="482"/>
      <c r="F51" s="483"/>
      <c r="G51" s="483"/>
      <c r="H51" s="201" t="str">
        <f t="shared" si="0"/>
        <v/>
      </c>
      <c r="I51" s="388"/>
      <c r="J51" s="388"/>
      <c r="K51" s="388"/>
      <c r="N51" s="164" t="str">
        <f>IFERROR(COUNTIF($B$19:B51,B51)&amp;CHOOSE(MIN(4,COUNTIF($B$19:B51,B51)),"st","nd","rd","th"),"")</f>
        <v/>
      </c>
    </row>
    <row r="52" spans="2:14" x14ac:dyDescent="0.25">
      <c r="H52" s="201" t="str">
        <f t="shared" si="0"/>
        <v/>
      </c>
      <c r="N52" s="164" t="str">
        <f>IFERROR(COUNTIF($B$19:B52,B52)&amp;CHOOSE(MIN(4,COUNTIF($B$19:B52,B52)),"st","nd","rd","th"),"")</f>
        <v/>
      </c>
    </row>
    <row r="53" spans="2:14" x14ac:dyDescent="0.25">
      <c r="H53" s="201" t="str">
        <f t="shared" si="0"/>
        <v/>
      </c>
      <c r="N53" s="164" t="str">
        <f>IFERROR(COUNTIF($B$19:B53,B53)&amp;CHOOSE(MIN(4,COUNTIF($B$19:B53,B53)),"st","nd","rd","th"),"")</f>
        <v/>
      </c>
    </row>
    <row r="54" spans="2:14" x14ac:dyDescent="0.25">
      <c r="H54" s="201" t="str">
        <f t="shared" si="0"/>
        <v/>
      </c>
      <c r="N54" s="164" t="str">
        <f>IFERROR(COUNTIF($B$19:B54,B54)&amp;CHOOSE(MIN(4,COUNTIF($B$19:B54,B54)),"st","nd","rd","th"),"")</f>
        <v/>
      </c>
    </row>
    <row r="55" spans="2:14" x14ac:dyDescent="0.25">
      <c r="H55" s="201" t="str">
        <f t="shared" si="0"/>
        <v/>
      </c>
      <c r="N55" s="164" t="str">
        <f>IFERROR(COUNTIF($B$19:B55,B55)&amp;CHOOSE(MIN(4,COUNTIF($B$19:B55,B55)),"st","nd","rd","th"),"")</f>
        <v/>
      </c>
    </row>
    <row r="56" spans="2:14" x14ac:dyDescent="0.25">
      <c r="H56" s="201" t="str">
        <f t="shared" si="0"/>
        <v/>
      </c>
      <c r="N56" s="164" t="str">
        <f>IFERROR(COUNTIF($B$19:B56,B56)&amp;CHOOSE(MIN(4,COUNTIF($B$19:B56,B56)),"st","nd","rd","th"),"")</f>
        <v/>
      </c>
    </row>
    <row r="57" spans="2:14" x14ac:dyDescent="0.25">
      <c r="H57" s="201" t="str">
        <f t="shared" si="0"/>
        <v/>
      </c>
      <c r="N57" s="164" t="str">
        <f>IFERROR(COUNTIF($B$19:B57,B57)&amp;CHOOSE(MIN(4,COUNTIF($B$19:B57,B57)),"st","nd","rd","th"),"")</f>
        <v/>
      </c>
    </row>
    <row r="58" spans="2:14" x14ac:dyDescent="0.25">
      <c r="H58" s="201" t="str">
        <f t="shared" si="0"/>
        <v/>
      </c>
      <c r="N58" s="164" t="str">
        <f>IFERROR(COUNTIF($B$19:B58,B58)&amp;CHOOSE(MIN(4,COUNTIF($B$19:B58,B58)),"st","nd","rd","th"),"")</f>
        <v/>
      </c>
    </row>
    <row r="59" spans="2:14" x14ac:dyDescent="0.25">
      <c r="H59" s="201" t="str">
        <f t="shared" si="0"/>
        <v/>
      </c>
      <c r="N59" s="164" t="str">
        <f>IFERROR(COUNTIF($B$19:B59,B59)&amp;CHOOSE(MIN(4,COUNTIF($B$19:B59,B59)),"st","nd","rd","th"),"")</f>
        <v/>
      </c>
    </row>
    <row r="60" spans="2:14" x14ac:dyDescent="0.25">
      <c r="H60" s="201" t="str">
        <f t="shared" si="0"/>
        <v/>
      </c>
      <c r="N60" s="164" t="str">
        <f>IFERROR(COUNTIF($B$19:B60,B60)&amp;CHOOSE(MIN(4,COUNTIF($B$19:B60,B60)),"st","nd","rd","th"),"")</f>
        <v/>
      </c>
    </row>
    <row r="61" spans="2:14" x14ac:dyDescent="0.25">
      <c r="H61" s="201" t="str">
        <f t="shared" si="0"/>
        <v/>
      </c>
      <c r="N61" s="164" t="str">
        <f>IFERROR(COUNTIF($B$19:B61,B61)&amp;CHOOSE(MIN(4,COUNTIF($B$19:B61,B61)),"st","nd","rd","th"),"")</f>
        <v/>
      </c>
    </row>
    <row r="62" spans="2:14" x14ac:dyDescent="0.25">
      <c r="H62" s="201" t="str">
        <f t="shared" si="0"/>
        <v/>
      </c>
      <c r="N62" s="164" t="str">
        <f>IFERROR(COUNTIF($B$19:B62,B62)&amp;CHOOSE(MIN(4,COUNTIF($B$19:B62,B62)),"st","nd","rd","th"),"")</f>
        <v/>
      </c>
    </row>
    <row r="63" spans="2:14" x14ac:dyDescent="0.25">
      <c r="H63" s="201" t="str">
        <f t="shared" si="0"/>
        <v/>
      </c>
      <c r="N63" s="164" t="str">
        <f>IFERROR(COUNTIF($B$19:B63,B63)&amp;CHOOSE(MIN(4,COUNTIF($B$19:B63,B63)),"st","nd","rd","th"),"")</f>
        <v/>
      </c>
    </row>
    <row r="64" spans="2:14" x14ac:dyDescent="0.25">
      <c r="H64" s="201" t="str">
        <f t="shared" si="0"/>
        <v/>
      </c>
      <c r="N64" s="164" t="str">
        <f>IFERROR(COUNTIF($B$19:B64,B64)&amp;CHOOSE(MIN(4,COUNTIF($B$19:B64,B64)),"st","nd","rd","th"),"")</f>
        <v/>
      </c>
    </row>
    <row r="65" spans="8:14" x14ac:dyDescent="0.25">
      <c r="H65" s="201" t="str">
        <f t="shared" si="0"/>
        <v/>
      </c>
      <c r="N65" s="164" t="str">
        <f>IFERROR(COUNTIF($B$19:B65,B65)&amp;CHOOSE(MIN(4,COUNTIF($B$19:B65,B65)),"st","nd","rd","th"),"")</f>
        <v/>
      </c>
    </row>
    <row r="66" spans="8:14" x14ac:dyDescent="0.25">
      <c r="H66" s="201" t="str">
        <f t="shared" si="0"/>
        <v/>
      </c>
      <c r="N66" s="164" t="str">
        <f>IFERROR(COUNTIF($B$19:B66,B66)&amp;CHOOSE(MIN(4,COUNTIF($B$19:B66,B66)),"st","nd","rd","th"),"")</f>
        <v/>
      </c>
    </row>
    <row r="67" spans="8:14" x14ac:dyDescent="0.25">
      <c r="H67" s="201" t="str">
        <f t="shared" si="0"/>
        <v/>
      </c>
      <c r="N67" s="164" t="str">
        <f>IFERROR(COUNTIF($B$19:B67,B67)&amp;CHOOSE(MIN(4,COUNTIF($B$19:B67,B67)),"st","nd","rd","th"),"")</f>
        <v/>
      </c>
    </row>
    <row r="68" spans="8:14" x14ac:dyDescent="0.25">
      <c r="H68" s="201" t="str">
        <f t="shared" si="0"/>
        <v/>
      </c>
      <c r="N68" s="164" t="str">
        <f>IFERROR(COUNTIF($B$19:B68,B68)&amp;CHOOSE(MIN(4,COUNTIF($B$19:B68,B68)),"st","nd","rd","th"),"")</f>
        <v/>
      </c>
    </row>
    <row r="69" spans="8:14" x14ac:dyDescent="0.25">
      <c r="H69" s="201" t="str">
        <f t="shared" si="0"/>
        <v/>
      </c>
      <c r="N69" s="164" t="str">
        <f>IFERROR(COUNTIF($B$19:B69,B69)&amp;CHOOSE(MIN(4,COUNTIF($B$19:B69,B69)),"st","nd","rd","th"),"")</f>
        <v/>
      </c>
    </row>
    <row r="70" spans="8:14" x14ac:dyDescent="0.25">
      <c r="H70" s="201" t="str">
        <f t="shared" si="0"/>
        <v/>
      </c>
      <c r="N70" s="164" t="str">
        <f>IFERROR(COUNTIF($B$19:B70,B70)&amp;CHOOSE(MIN(4,COUNTIF($B$19:B70,B70)),"st","nd","rd","th"),"")</f>
        <v/>
      </c>
    </row>
    <row r="71" spans="8:14" x14ac:dyDescent="0.25">
      <c r="H71" s="201" t="str">
        <f t="shared" si="0"/>
        <v/>
      </c>
      <c r="N71" s="164" t="str">
        <f>IFERROR(COUNTIF($B$19:B71,B71)&amp;CHOOSE(MIN(4,COUNTIF($B$19:B71,B71)),"st","nd","rd","th"),"")</f>
        <v/>
      </c>
    </row>
    <row r="72" spans="8:14" x14ac:dyDescent="0.25">
      <c r="H72" s="201" t="str">
        <f t="shared" si="0"/>
        <v/>
      </c>
      <c r="N72" s="164" t="str">
        <f>IFERROR(COUNTIF($B$19:B72,B72)&amp;CHOOSE(MIN(4,COUNTIF($B$19:B72,B72)),"st","nd","rd","th"),"")</f>
        <v/>
      </c>
    </row>
    <row r="73" spans="8:14" x14ac:dyDescent="0.25">
      <c r="H73" s="201" t="str">
        <f t="shared" si="0"/>
        <v/>
      </c>
      <c r="N73" s="164" t="str">
        <f>IFERROR(COUNTIF($B$19:B73,B73)&amp;CHOOSE(MIN(4,COUNTIF($B$19:B73,B73)),"st","nd","rd","th"),"")</f>
        <v/>
      </c>
    </row>
    <row r="74" spans="8:14" x14ac:dyDescent="0.25">
      <c r="H74" s="201" t="str">
        <f t="shared" si="0"/>
        <v/>
      </c>
      <c r="N74" s="164" t="str">
        <f>IFERROR(COUNTIF($B$19:B74,B74)&amp;CHOOSE(MIN(4,COUNTIF($B$19:B74,B74)),"st","nd","rd","th"),"")</f>
        <v/>
      </c>
    </row>
    <row r="75" spans="8:14" x14ac:dyDescent="0.25">
      <c r="H75" s="201" t="str">
        <f t="shared" si="0"/>
        <v/>
      </c>
      <c r="N75" s="164" t="str">
        <f>IFERROR(COUNTIF($B$19:B75,B75)&amp;CHOOSE(MIN(4,COUNTIF($B$19:B75,B75)),"st","nd","rd","th"),"")</f>
        <v/>
      </c>
    </row>
    <row r="76" spans="8:14" x14ac:dyDescent="0.25">
      <c r="H76" s="201" t="str">
        <f t="shared" si="0"/>
        <v/>
      </c>
      <c r="N76" s="164" t="str">
        <f>IFERROR(COUNTIF($B$19:B76,B76)&amp;CHOOSE(MIN(4,COUNTIF($B$19:B76,B76)),"st","nd","rd","th"),"")</f>
        <v/>
      </c>
    </row>
    <row r="77" spans="8:14" x14ac:dyDescent="0.25">
      <c r="H77" s="201" t="str">
        <f t="shared" si="0"/>
        <v/>
      </c>
      <c r="N77" s="164" t="str">
        <f>IFERROR(COUNTIF($B$19:B77,B77)&amp;CHOOSE(MIN(4,COUNTIF($B$19:B77,B77)),"st","nd","rd","th"),"")</f>
        <v/>
      </c>
    </row>
    <row r="78" spans="8:14" x14ac:dyDescent="0.25">
      <c r="H78" s="201" t="str">
        <f t="shared" si="0"/>
        <v/>
      </c>
      <c r="N78" s="164" t="str">
        <f>IFERROR(COUNTIF($B$19:B78,B78)&amp;CHOOSE(MIN(4,COUNTIF($B$19:B78,B78)),"st","nd","rd","th"),"")</f>
        <v/>
      </c>
    </row>
    <row r="79" spans="8:14" x14ac:dyDescent="0.25">
      <c r="H79" s="201" t="str">
        <f t="shared" si="0"/>
        <v/>
      </c>
      <c r="N79" s="164" t="str">
        <f>IFERROR(COUNTIF($B$19:B79,B79)&amp;CHOOSE(MIN(4,COUNTIF($B$19:B79,B79)),"st","nd","rd","th"),"")</f>
        <v/>
      </c>
    </row>
    <row r="80" spans="8:14" x14ac:dyDescent="0.25">
      <c r="H80" s="201" t="str">
        <f t="shared" si="0"/>
        <v/>
      </c>
      <c r="N80" s="164" t="str">
        <f>IFERROR(COUNTIF($B$19:B80,B80)&amp;CHOOSE(MIN(4,COUNTIF($B$19:B80,B80)),"st","nd","rd","th"),"")</f>
        <v/>
      </c>
    </row>
    <row r="81" spans="8:14" x14ac:dyDescent="0.25">
      <c r="H81" s="201" t="str">
        <f t="shared" si="0"/>
        <v/>
      </c>
      <c r="N81" s="164" t="str">
        <f>IFERROR(COUNTIF($B$19:B81,B81)&amp;CHOOSE(MIN(4,COUNTIF($B$19:B81,B81)),"st","nd","rd","th"),"")</f>
        <v/>
      </c>
    </row>
    <row r="82" spans="8:14" x14ac:dyDescent="0.25">
      <c r="H82" s="201" t="str">
        <f t="shared" si="0"/>
        <v/>
      </c>
      <c r="N82" s="164" t="str">
        <f>IFERROR(COUNTIF($B$19:B82,B82)&amp;CHOOSE(MIN(4,COUNTIF($B$19:B82,B82)),"st","nd","rd","th"),"")</f>
        <v/>
      </c>
    </row>
    <row r="83" spans="8:14" x14ac:dyDescent="0.25">
      <c r="H83" s="201" t="str">
        <f t="shared" si="0"/>
        <v/>
      </c>
      <c r="N83" s="164" t="str">
        <f>IFERROR(COUNTIF($B$19:B83,B83)&amp;CHOOSE(MIN(4,COUNTIF($B$19:B83,B83)),"st","nd","rd","th"),"")</f>
        <v/>
      </c>
    </row>
    <row r="84" spans="8:14" x14ac:dyDescent="0.25">
      <c r="H84" s="201" t="str">
        <f t="shared" ref="H84:H147" si="1">IF(OR(ISBLANK(G84), ISBLANK(F84)), "", IF(G84=F84, 1, SUM(_xlfn.DAYS(G84, F84), 1)))</f>
        <v/>
      </c>
      <c r="N84" s="164" t="str">
        <f>IFERROR(COUNTIF($B$19:B84,B84)&amp;CHOOSE(MIN(4,COUNTIF($B$19:B84,B84)),"st","nd","rd","th"),"")</f>
        <v/>
      </c>
    </row>
    <row r="85" spans="8:14" x14ac:dyDescent="0.25">
      <c r="H85" s="201" t="str">
        <f t="shared" si="1"/>
        <v/>
      </c>
      <c r="N85" s="164" t="str">
        <f>IFERROR(COUNTIF($B$19:B85,B85)&amp;CHOOSE(MIN(4,COUNTIF($B$19:B85,B85)),"st","nd","rd","th"),"")</f>
        <v/>
      </c>
    </row>
    <row r="86" spans="8:14" x14ac:dyDescent="0.25">
      <c r="H86" s="201" t="str">
        <f t="shared" si="1"/>
        <v/>
      </c>
      <c r="N86" s="164" t="str">
        <f>IFERROR(COUNTIF($B$19:B86,B86)&amp;CHOOSE(MIN(4,COUNTIF($B$19:B86,B86)),"st","nd","rd","th"),"")</f>
        <v/>
      </c>
    </row>
    <row r="87" spans="8:14" x14ac:dyDescent="0.25">
      <c r="H87" s="201" t="str">
        <f t="shared" si="1"/>
        <v/>
      </c>
      <c r="N87" s="164" t="str">
        <f>IFERROR(COUNTIF($B$19:B87,B87)&amp;CHOOSE(MIN(4,COUNTIF($B$19:B87,B87)),"st","nd","rd","th"),"")</f>
        <v/>
      </c>
    </row>
    <row r="88" spans="8:14" x14ac:dyDescent="0.25">
      <c r="H88" s="201" t="str">
        <f t="shared" si="1"/>
        <v/>
      </c>
      <c r="N88" s="164" t="str">
        <f>IFERROR(COUNTIF($B$19:B88,B88)&amp;CHOOSE(MIN(4,COUNTIF($B$19:B88,B88)),"st","nd","rd","th"),"")</f>
        <v/>
      </c>
    </row>
    <row r="89" spans="8:14" x14ac:dyDescent="0.25">
      <c r="H89" s="201" t="str">
        <f t="shared" si="1"/>
        <v/>
      </c>
      <c r="N89" s="164" t="str">
        <f>IFERROR(COUNTIF($B$19:B89,B89)&amp;CHOOSE(MIN(4,COUNTIF($B$19:B89,B89)),"st","nd","rd","th"),"")</f>
        <v/>
      </c>
    </row>
    <row r="90" spans="8:14" x14ac:dyDescent="0.25">
      <c r="H90" s="201" t="str">
        <f t="shared" si="1"/>
        <v/>
      </c>
      <c r="N90" s="164" t="str">
        <f>IFERROR(COUNTIF($B$19:B90,B90)&amp;CHOOSE(MIN(4,COUNTIF($B$19:B90,B90)),"st","nd","rd","th"),"")</f>
        <v/>
      </c>
    </row>
    <row r="91" spans="8:14" x14ac:dyDescent="0.25">
      <c r="H91" s="201" t="str">
        <f t="shared" si="1"/>
        <v/>
      </c>
      <c r="N91" s="164" t="str">
        <f>IFERROR(COUNTIF($B$19:B91,B91)&amp;CHOOSE(MIN(4,COUNTIF($B$19:B91,B91)),"st","nd","rd","th"),"")</f>
        <v/>
      </c>
    </row>
    <row r="92" spans="8:14" x14ac:dyDescent="0.25">
      <c r="H92" s="201" t="str">
        <f t="shared" si="1"/>
        <v/>
      </c>
      <c r="N92" s="164" t="str">
        <f>IFERROR(COUNTIF($B$19:B92,B92)&amp;CHOOSE(MIN(4,COUNTIF($B$19:B92,B92)),"st","nd","rd","th"),"")</f>
        <v/>
      </c>
    </row>
    <row r="93" spans="8:14" x14ac:dyDescent="0.25">
      <c r="H93" s="201" t="str">
        <f t="shared" si="1"/>
        <v/>
      </c>
      <c r="N93" s="164" t="str">
        <f>IFERROR(COUNTIF($B$19:B93,B93)&amp;CHOOSE(MIN(4,COUNTIF($B$19:B93,B93)),"st","nd","rd","th"),"")</f>
        <v/>
      </c>
    </row>
    <row r="94" spans="8:14" x14ac:dyDescent="0.25">
      <c r="H94" s="201" t="str">
        <f t="shared" si="1"/>
        <v/>
      </c>
      <c r="N94" s="164" t="str">
        <f>IFERROR(COUNTIF($B$19:B94,B94)&amp;CHOOSE(MIN(4,COUNTIF($B$19:B94,B94)),"st","nd","rd","th"),"")</f>
        <v/>
      </c>
    </row>
    <row r="95" spans="8:14" x14ac:dyDescent="0.25">
      <c r="H95" s="201" t="str">
        <f t="shared" si="1"/>
        <v/>
      </c>
      <c r="N95" s="164" t="str">
        <f>IFERROR(COUNTIF($B$19:B95,B95)&amp;CHOOSE(MIN(4,COUNTIF($B$19:B95,B95)),"st","nd","rd","th"),"")</f>
        <v/>
      </c>
    </row>
    <row r="96" spans="8:14" x14ac:dyDescent="0.25">
      <c r="H96" s="201" t="str">
        <f t="shared" si="1"/>
        <v/>
      </c>
      <c r="N96" s="164" t="str">
        <f>IFERROR(COUNTIF($B$19:B96,B96)&amp;CHOOSE(MIN(4,COUNTIF($B$19:B96,B96)),"st","nd","rd","th"),"")</f>
        <v/>
      </c>
    </row>
    <row r="97" spans="8:14" x14ac:dyDescent="0.25">
      <c r="H97" s="201" t="str">
        <f t="shared" si="1"/>
        <v/>
      </c>
      <c r="N97" s="164" t="str">
        <f>IFERROR(COUNTIF($B$19:B97,B97)&amp;CHOOSE(MIN(4,COUNTIF($B$19:B97,B97)),"st","nd","rd","th"),"")</f>
        <v/>
      </c>
    </row>
    <row r="98" spans="8:14" x14ac:dyDescent="0.25">
      <c r="H98" s="201" t="str">
        <f t="shared" si="1"/>
        <v/>
      </c>
      <c r="N98" s="164" t="str">
        <f>IFERROR(COUNTIF($B$19:B98,B98)&amp;CHOOSE(MIN(4,COUNTIF($B$19:B98,B98)),"st","nd","rd","th"),"")</f>
        <v/>
      </c>
    </row>
    <row r="99" spans="8:14" x14ac:dyDescent="0.25">
      <c r="H99" s="201" t="str">
        <f t="shared" si="1"/>
        <v/>
      </c>
      <c r="N99" s="164" t="str">
        <f>IFERROR(COUNTIF($B$19:B99,B99)&amp;CHOOSE(MIN(4,COUNTIF($B$19:B99,B99)),"st","nd","rd","th"),"")</f>
        <v/>
      </c>
    </row>
    <row r="100" spans="8:14" x14ac:dyDescent="0.25">
      <c r="H100" s="201" t="str">
        <f t="shared" si="1"/>
        <v/>
      </c>
      <c r="N100" s="164" t="str">
        <f>IFERROR(COUNTIF($B$19:B100,B100)&amp;CHOOSE(MIN(4,COUNTIF($B$19:B100,B100)),"st","nd","rd","th"),"")</f>
        <v/>
      </c>
    </row>
    <row r="101" spans="8:14" x14ac:dyDescent="0.25">
      <c r="H101" s="201" t="str">
        <f t="shared" si="1"/>
        <v/>
      </c>
      <c r="N101" s="164" t="str">
        <f>IFERROR(COUNTIF($B$19:B101,B101)&amp;CHOOSE(MIN(4,COUNTIF($B$19:B101,B101)),"st","nd","rd","th"),"")</f>
        <v/>
      </c>
    </row>
    <row r="102" spans="8:14" x14ac:dyDescent="0.25">
      <c r="H102" s="201" t="str">
        <f t="shared" si="1"/>
        <v/>
      </c>
      <c r="N102" s="164" t="str">
        <f>IFERROR(COUNTIF($B$19:B102,B102)&amp;CHOOSE(MIN(4,COUNTIF($B$19:B102,B102)),"st","nd","rd","th"),"")</f>
        <v/>
      </c>
    </row>
    <row r="103" spans="8:14" x14ac:dyDescent="0.25">
      <c r="H103" s="201" t="str">
        <f t="shared" si="1"/>
        <v/>
      </c>
      <c r="N103" s="164" t="str">
        <f>IFERROR(COUNTIF($B$19:B103,B103)&amp;CHOOSE(MIN(4,COUNTIF($B$19:B103,B103)),"st","nd","rd","th"),"")</f>
        <v/>
      </c>
    </row>
    <row r="104" spans="8:14" x14ac:dyDescent="0.25">
      <c r="H104" s="201" t="str">
        <f t="shared" si="1"/>
        <v/>
      </c>
      <c r="N104" s="164" t="str">
        <f>IFERROR(COUNTIF($B$19:B104,B104)&amp;CHOOSE(MIN(4,COUNTIF($B$19:B104,B104)),"st","nd","rd","th"),"")</f>
        <v/>
      </c>
    </row>
    <row r="105" spans="8:14" x14ac:dyDescent="0.25">
      <c r="H105" s="201" t="str">
        <f t="shared" si="1"/>
        <v/>
      </c>
      <c r="N105" s="164" t="str">
        <f>IFERROR(COUNTIF($B$19:B105,B105)&amp;CHOOSE(MIN(4,COUNTIF($B$19:B105,B105)),"st","nd","rd","th"),"")</f>
        <v/>
      </c>
    </row>
    <row r="106" spans="8:14" x14ac:dyDescent="0.25">
      <c r="H106" s="201" t="str">
        <f t="shared" si="1"/>
        <v/>
      </c>
      <c r="N106" s="164" t="str">
        <f>IFERROR(COUNTIF($B$19:B106,B106)&amp;CHOOSE(MIN(4,COUNTIF($B$19:B106,B106)),"st","nd","rd","th"),"")</f>
        <v/>
      </c>
    </row>
    <row r="107" spans="8:14" x14ac:dyDescent="0.25">
      <c r="H107" s="201" t="str">
        <f t="shared" si="1"/>
        <v/>
      </c>
      <c r="N107" s="164" t="str">
        <f>IFERROR(COUNTIF($B$19:B107,B107)&amp;CHOOSE(MIN(4,COUNTIF($B$19:B107,B107)),"st","nd","rd","th"),"")</f>
        <v/>
      </c>
    </row>
    <row r="108" spans="8:14" x14ac:dyDescent="0.25">
      <c r="H108" s="201" t="str">
        <f t="shared" si="1"/>
        <v/>
      </c>
      <c r="N108" s="164" t="str">
        <f>IFERROR(COUNTIF($B$19:B108,B108)&amp;CHOOSE(MIN(4,COUNTIF($B$19:B108,B108)),"st","nd","rd","th"),"")</f>
        <v/>
      </c>
    </row>
    <row r="109" spans="8:14" x14ac:dyDescent="0.25">
      <c r="H109" s="201" t="str">
        <f t="shared" si="1"/>
        <v/>
      </c>
      <c r="N109" s="164" t="str">
        <f>IFERROR(COUNTIF($B$19:B109,B109)&amp;CHOOSE(MIN(4,COUNTIF($B$19:B109,B109)),"st","nd","rd","th"),"")</f>
        <v/>
      </c>
    </row>
    <row r="110" spans="8:14" x14ac:dyDescent="0.25">
      <c r="H110" s="201" t="str">
        <f t="shared" si="1"/>
        <v/>
      </c>
      <c r="N110" s="164" t="str">
        <f>IFERROR(COUNTIF($B$19:B110,B110)&amp;CHOOSE(MIN(4,COUNTIF($B$19:B110,B110)),"st","nd","rd","th"),"")</f>
        <v/>
      </c>
    </row>
    <row r="111" spans="8:14" x14ac:dyDescent="0.25">
      <c r="H111" s="201" t="str">
        <f t="shared" si="1"/>
        <v/>
      </c>
      <c r="N111" s="164" t="str">
        <f>IFERROR(COUNTIF($B$19:B111,B111)&amp;CHOOSE(MIN(4,COUNTIF($B$19:B111,B111)),"st","nd","rd","th"),"")</f>
        <v/>
      </c>
    </row>
    <row r="112" spans="8:14" x14ac:dyDescent="0.25">
      <c r="H112" s="201" t="str">
        <f t="shared" si="1"/>
        <v/>
      </c>
      <c r="N112" s="164" t="str">
        <f>IFERROR(COUNTIF($B$19:B112,B112)&amp;CHOOSE(MIN(4,COUNTIF($B$19:B112,B112)),"st","nd","rd","th"),"")</f>
        <v/>
      </c>
    </row>
    <row r="113" spans="8:14" x14ac:dyDescent="0.25">
      <c r="H113" s="201" t="str">
        <f t="shared" si="1"/>
        <v/>
      </c>
      <c r="N113" s="164" t="str">
        <f>IFERROR(COUNTIF($B$19:B113,B113)&amp;CHOOSE(MIN(4,COUNTIF($B$19:B113,B113)),"st","nd","rd","th"),"")</f>
        <v/>
      </c>
    </row>
    <row r="114" spans="8:14" x14ac:dyDescent="0.25">
      <c r="H114" s="201" t="str">
        <f t="shared" si="1"/>
        <v/>
      </c>
      <c r="N114" s="164" t="str">
        <f>IFERROR(COUNTIF($B$19:B114,B114)&amp;CHOOSE(MIN(4,COUNTIF($B$19:B114,B114)),"st","nd","rd","th"),"")</f>
        <v/>
      </c>
    </row>
    <row r="115" spans="8:14" x14ac:dyDescent="0.25">
      <c r="H115" s="201" t="str">
        <f t="shared" si="1"/>
        <v/>
      </c>
      <c r="N115" s="164" t="str">
        <f>IFERROR(COUNTIF($B$19:B115,B115)&amp;CHOOSE(MIN(4,COUNTIF($B$19:B115,B115)),"st","nd","rd","th"),"")</f>
        <v/>
      </c>
    </row>
    <row r="116" spans="8:14" x14ac:dyDescent="0.25">
      <c r="H116" s="201" t="str">
        <f t="shared" si="1"/>
        <v/>
      </c>
      <c r="N116" s="164" t="str">
        <f>IFERROR(COUNTIF($B$19:B116,B116)&amp;CHOOSE(MIN(4,COUNTIF($B$19:B116,B116)),"st","nd","rd","th"),"")</f>
        <v/>
      </c>
    </row>
    <row r="117" spans="8:14" x14ac:dyDescent="0.25">
      <c r="H117" s="201" t="str">
        <f t="shared" si="1"/>
        <v/>
      </c>
      <c r="N117" s="164" t="str">
        <f>IFERROR(COUNTIF($B$19:B117,B117)&amp;CHOOSE(MIN(4,COUNTIF($B$19:B117,B117)),"st","nd","rd","th"),"")</f>
        <v/>
      </c>
    </row>
    <row r="118" spans="8:14" x14ac:dyDescent="0.25">
      <c r="H118" s="201" t="str">
        <f t="shared" si="1"/>
        <v/>
      </c>
      <c r="N118" s="164" t="str">
        <f>IFERROR(COUNTIF($B$19:B118,B118)&amp;CHOOSE(MIN(4,COUNTIF($B$19:B118,B118)),"st","nd","rd","th"),"")</f>
        <v/>
      </c>
    </row>
    <row r="119" spans="8:14" x14ac:dyDescent="0.25">
      <c r="H119" s="201" t="str">
        <f t="shared" si="1"/>
        <v/>
      </c>
      <c r="N119" s="164" t="str">
        <f>IFERROR(COUNTIF($B$19:B119,B119)&amp;CHOOSE(MIN(4,COUNTIF($B$19:B119,B119)),"st","nd","rd","th"),"")</f>
        <v/>
      </c>
    </row>
    <row r="120" spans="8:14" x14ac:dyDescent="0.25">
      <c r="H120" s="201" t="str">
        <f t="shared" si="1"/>
        <v/>
      </c>
      <c r="N120" s="164" t="str">
        <f>IFERROR(COUNTIF($B$19:B120,B120)&amp;CHOOSE(MIN(4,COUNTIF($B$19:B120,B120)),"st","nd","rd","th"),"")</f>
        <v/>
      </c>
    </row>
    <row r="121" spans="8:14" x14ac:dyDescent="0.25">
      <c r="H121" s="201" t="str">
        <f t="shared" si="1"/>
        <v/>
      </c>
      <c r="N121" s="164" t="str">
        <f>IFERROR(COUNTIF($B$19:B121,B121)&amp;CHOOSE(MIN(4,COUNTIF($B$19:B121,B121)),"st","nd","rd","th"),"")</f>
        <v/>
      </c>
    </row>
    <row r="122" spans="8:14" x14ac:dyDescent="0.25">
      <c r="H122" s="201" t="str">
        <f t="shared" si="1"/>
        <v/>
      </c>
      <c r="N122" s="164" t="str">
        <f>IFERROR(COUNTIF($B$19:B122,B122)&amp;CHOOSE(MIN(4,COUNTIF($B$19:B122,B122)),"st","nd","rd","th"),"")</f>
        <v/>
      </c>
    </row>
    <row r="123" spans="8:14" x14ac:dyDescent="0.25">
      <c r="H123" s="201" t="str">
        <f t="shared" si="1"/>
        <v/>
      </c>
      <c r="N123" s="164" t="str">
        <f>IFERROR(COUNTIF($B$19:B123,B123)&amp;CHOOSE(MIN(4,COUNTIF($B$19:B123,B123)),"st","nd","rd","th"),"")</f>
        <v/>
      </c>
    </row>
    <row r="124" spans="8:14" x14ac:dyDescent="0.25">
      <c r="H124" s="201" t="str">
        <f t="shared" si="1"/>
        <v/>
      </c>
      <c r="N124" s="164" t="str">
        <f>IFERROR(COUNTIF($B$19:B124,B124)&amp;CHOOSE(MIN(4,COUNTIF($B$19:B124,B124)),"st","nd","rd","th"),"")</f>
        <v/>
      </c>
    </row>
    <row r="125" spans="8:14" x14ac:dyDescent="0.25">
      <c r="H125" s="201" t="str">
        <f t="shared" si="1"/>
        <v/>
      </c>
      <c r="N125" s="164" t="str">
        <f>IFERROR(COUNTIF($B$19:B125,B125)&amp;CHOOSE(MIN(4,COUNTIF($B$19:B125,B125)),"st","nd","rd","th"),"")</f>
        <v/>
      </c>
    </row>
    <row r="126" spans="8:14" x14ac:dyDescent="0.25">
      <c r="H126" s="201" t="str">
        <f t="shared" si="1"/>
        <v/>
      </c>
      <c r="N126" s="164" t="str">
        <f>IFERROR(COUNTIF($B$19:B126,B126)&amp;CHOOSE(MIN(4,COUNTIF($B$19:B126,B126)),"st","nd","rd","th"),"")</f>
        <v/>
      </c>
    </row>
    <row r="127" spans="8:14" x14ac:dyDescent="0.25">
      <c r="H127" s="201" t="str">
        <f t="shared" si="1"/>
        <v/>
      </c>
      <c r="N127" s="164" t="str">
        <f>IFERROR(COUNTIF($B$19:B127,B127)&amp;CHOOSE(MIN(4,COUNTIF($B$19:B127,B127)),"st","nd","rd","th"),"")</f>
        <v/>
      </c>
    </row>
    <row r="128" spans="8:14" x14ac:dyDescent="0.25">
      <c r="H128" s="201" t="str">
        <f t="shared" si="1"/>
        <v/>
      </c>
      <c r="N128" s="164" t="str">
        <f>IFERROR(COUNTIF($B$19:B128,B128)&amp;CHOOSE(MIN(4,COUNTIF($B$19:B128,B128)),"st","nd","rd","th"),"")</f>
        <v/>
      </c>
    </row>
    <row r="129" spans="8:14" x14ac:dyDescent="0.25">
      <c r="H129" s="201" t="str">
        <f t="shared" si="1"/>
        <v/>
      </c>
      <c r="N129" s="164" t="str">
        <f>IFERROR(COUNTIF($B$19:B129,B129)&amp;CHOOSE(MIN(4,COUNTIF($B$19:B129,B129)),"st","nd","rd","th"),"")</f>
        <v/>
      </c>
    </row>
    <row r="130" spans="8:14" x14ac:dyDescent="0.25">
      <c r="H130" s="201" t="str">
        <f t="shared" si="1"/>
        <v/>
      </c>
      <c r="N130" s="164" t="str">
        <f>IFERROR(COUNTIF($B$19:B130,B130)&amp;CHOOSE(MIN(4,COUNTIF($B$19:B130,B130)),"st","nd","rd","th"),"")</f>
        <v/>
      </c>
    </row>
    <row r="131" spans="8:14" x14ac:dyDescent="0.25">
      <c r="H131" s="201" t="str">
        <f t="shared" si="1"/>
        <v/>
      </c>
      <c r="N131" s="164" t="str">
        <f>IFERROR(COUNTIF($B$19:B131,B131)&amp;CHOOSE(MIN(4,COUNTIF($B$19:B131,B131)),"st","nd","rd","th"),"")</f>
        <v/>
      </c>
    </row>
    <row r="132" spans="8:14" x14ac:dyDescent="0.25">
      <c r="H132" s="201" t="str">
        <f t="shared" si="1"/>
        <v/>
      </c>
      <c r="N132" s="164" t="str">
        <f>IFERROR(COUNTIF($B$19:B132,B132)&amp;CHOOSE(MIN(4,COUNTIF($B$19:B132,B132)),"st","nd","rd","th"),"")</f>
        <v/>
      </c>
    </row>
    <row r="133" spans="8:14" x14ac:dyDescent="0.25">
      <c r="H133" s="201" t="str">
        <f t="shared" si="1"/>
        <v/>
      </c>
      <c r="N133" s="164" t="str">
        <f>IFERROR(COUNTIF($B$19:B133,B133)&amp;CHOOSE(MIN(4,COUNTIF($B$19:B133,B133)),"st","nd","rd","th"),"")</f>
        <v/>
      </c>
    </row>
    <row r="134" spans="8:14" x14ac:dyDescent="0.25">
      <c r="H134" s="201" t="str">
        <f t="shared" si="1"/>
        <v/>
      </c>
      <c r="N134" s="164" t="str">
        <f>IFERROR(COUNTIF($B$19:B134,B134)&amp;CHOOSE(MIN(4,COUNTIF($B$19:B134,B134)),"st","nd","rd","th"),"")</f>
        <v/>
      </c>
    </row>
    <row r="135" spans="8:14" x14ac:dyDescent="0.25">
      <c r="H135" s="201" t="str">
        <f t="shared" si="1"/>
        <v/>
      </c>
      <c r="N135" s="164" t="str">
        <f>IFERROR(COUNTIF($B$19:B135,B135)&amp;CHOOSE(MIN(4,COUNTIF($B$19:B135,B135)),"st","nd","rd","th"),"")</f>
        <v/>
      </c>
    </row>
    <row r="136" spans="8:14" x14ac:dyDescent="0.25">
      <c r="H136" s="201" t="str">
        <f t="shared" si="1"/>
        <v/>
      </c>
      <c r="N136" s="164" t="str">
        <f>IFERROR(COUNTIF($B$19:B136,B136)&amp;CHOOSE(MIN(4,COUNTIF($B$19:B136,B136)),"st","nd","rd","th"),"")</f>
        <v/>
      </c>
    </row>
    <row r="137" spans="8:14" x14ac:dyDescent="0.25">
      <c r="H137" s="201" t="str">
        <f t="shared" si="1"/>
        <v/>
      </c>
      <c r="N137" s="164" t="str">
        <f>IFERROR(COUNTIF($B$19:B137,B137)&amp;CHOOSE(MIN(4,COUNTIF($B$19:B137,B137)),"st","nd","rd","th"),"")</f>
        <v/>
      </c>
    </row>
    <row r="138" spans="8:14" x14ac:dyDescent="0.25">
      <c r="H138" s="201" t="str">
        <f t="shared" si="1"/>
        <v/>
      </c>
      <c r="N138" s="164" t="str">
        <f>IFERROR(COUNTIF($B$19:B138,B138)&amp;CHOOSE(MIN(4,COUNTIF($B$19:B138,B138)),"st","nd","rd","th"),"")</f>
        <v/>
      </c>
    </row>
    <row r="139" spans="8:14" x14ac:dyDescent="0.25">
      <c r="H139" s="201" t="str">
        <f t="shared" si="1"/>
        <v/>
      </c>
      <c r="N139" s="164" t="str">
        <f>IFERROR(COUNTIF($B$19:B139,B139)&amp;CHOOSE(MIN(4,COUNTIF($B$19:B139,B139)),"st","nd","rd","th"),"")</f>
        <v/>
      </c>
    </row>
    <row r="140" spans="8:14" x14ac:dyDescent="0.25">
      <c r="H140" s="201" t="str">
        <f t="shared" si="1"/>
        <v/>
      </c>
      <c r="N140" s="164" t="str">
        <f>IFERROR(COUNTIF($B$19:B140,B140)&amp;CHOOSE(MIN(4,COUNTIF($B$19:B140,B140)),"st","nd","rd","th"),"")</f>
        <v/>
      </c>
    </row>
    <row r="141" spans="8:14" x14ac:dyDescent="0.25">
      <c r="H141" s="201" t="str">
        <f t="shared" si="1"/>
        <v/>
      </c>
      <c r="N141" s="164" t="str">
        <f>IFERROR(COUNTIF($B$19:B141,B141)&amp;CHOOSE(MIN(4,COUNTIF($B$19:B141,B141)),"st","nd","rd","th"),"")</f>
        <v/>
      </c>
    </row>
    <row r="142" spans="8:14" x14ac:dyDescent="0.25">
      <c r="H142" s="201" t="str">
        <f t="shared" si="1"/>
        <v/>
      </c>
      <c r="N142" s="164" t="str">
        <f>IFERROR(COUNTIF($B$19:B142,B142)&amp;CHOOSE(MIN(4,COUNTIF($B$19:B142,B142)),"st","nd","rd","th"),"")</f>
        <v/>
      </c>
    </row>
    <row r="143" spans="8:14" x14ac:dyDescent="0.25">
      <c r="H143" s="201" t="str">
        <f t="shared" si="1"/>
        <v/>
      </c>
      <c r="N143" s="164" t="str">
        <f>IFERROR(COUNTIF($B$19:B143,B143)&amp;CHOOSE(MIN(4,COUNTIF($B$19:B143,B143)),"st","nd","rd","th"),"")</f>
        <v/>
      </c>
    </row>
    <row r="144" spans="8:14" x14ac:dyDescent="0.25">
      <c r="H144" s="201" t="str">
        <f t="shared" si="1"/>
        <v/>
      </c>
      <c r="N144" s="164" t="str">
        <f>IFERROR(COUNTIF($B$19:B144,B144)&amp;CHOOSE(MIN(4,COUNTIF($B$19:B144,B144)),"st","nd","rd","th"),"")</f>
        <v/>
      </c>
    </row>
    <row r="145" spans="8:14" x14ac:dyDescent="0.25">
      <c r="H145" s="201" t="str">
        <f t="shared" si="1"/>
        <v/>
      </c>
      <c r="N145" s="164" t="str">
        <f>IFERROR(COUNTIF($B$19:B145,B145)&amp;CHOOSE(MIN(4,COUNTIF($B$19:B145,B145)),"st","nd","rd","th"),"")</f>
        <v/>
      </c>
    </row>
    <row r="146" spans="8:14" x14ac:dyDescent="0.25">
      <c r="H146" s="201" t="str">
        <f t="shared" si="1"/>
        <v/>
      </c>
      <c r="N146" s="164" t="str">
        <f>IFERROR(COUNTIF($B$19:B146,B146)&amp;CHOOSE(MIN(4,COUNTIF($B$19:B146,B146)),"st","nd","rd","th"),"")</f>
        <v/>
      </c>
    </row>
    <row r="147" spans="8:14" x14ac:dyDescent="0.25">
      <c r="H147" s="201" t="str">
        <f t="shared" si="1"/>
        <v/>
      </c>
      <c r="N147" s="164" t="str">
        <f>IFERROR(COUNTIF($B$19:B147,B147)&amp;CHOOSE(MIN(4,COUNTIF($B$19:B147,B147)),"st","nd","rd","th"),"")</f>
        <v/>
      </c>
    </row>
    <row r="148" spans="8:14" x14ac:dyDescent="0.25">
      <c r="H148" s="201" t="str">
        <f t="shared" ref="H148:H211" si="2">IF(OR(ISBLANK(G148), ISBLANK(F148)), "", IF(G148=F148, 1, SUM(_xlfn.DAYS(G148, F148), 1)))</f>
        <v/>
      </c>
      <c r="N148" s="164" t="str">
        <f>IFERROR(COUNTIF($B$19:B148,B148)&amp;CHOOSE(MIN(4,COUNTIF($B$19:B148,B148)),"st","nd","rd","th"),"")</f>
        <v/>
      </c>
    </row>
    <row r="149" spans="8:14" x14ac:dyDescent="0.25">
      <c r="H149" s="201" t="str">
        <f t="shared" si="2"/>
        <v/>
      </c>
      <c r="N149" s="164" t="str">
        <f>IFERROR(COUNTIF($B$19:B149,B149)&amp;CHOOSE(MIN(4,COUNTIF($B$19:B149,B149)),"st","nd","rd","th"),"")</f>
        <v/>
      </c>
    </row>
    <row r="150" spans="8:14" x14ac:dyDescent="0.25">
      <c r="H150" s="201" t="str">
        <f t="shared" si="2"/>
        <v/>
      </c>
      <c r="N150" s="164" t="str">
        <f>IFERROR(COUNTIF($B$19:B150,B150)&amp;CHOOSE(MIN(4,COUNTIF($B$19:B150,B150)),"st","nd","rd","th"),"")</f>
        <v/>
      </c>
    </row>
    <row r="151" spans="8:14" x14ac:dyDescent="0.25">
      <c r="H151" s="201" t="str">
        <f t="shared" si="2"/>
        <v/>
      </c>
      <c r="N151" s="164" t="str">
        <f>IFERROR(COUNTIF($B$19:B151,B151)&amp;CHOOSE(MIN(4,COUNTIF($B$19:B151,B151)),"st","nd","rd","th"),"")</f>
        <v/>
      </c>
    </row>
    <row r="152" spans="8:14" x14ac:dyDescent="0.25">
      <c r="H152" s="201" t="str">
        <f t="shared" si="2"/>
        <v/>
      </c>
      <c r="N152" s="164" t="str">
        <f>IFERROR(COUNTIF($B$19:B152,B152)&amp;CHOOSE(MIN(4,COUNTIF($B$19:B152,B152)),"st","nd","rd","th"),"")</f>
        <v/>
      </c>
    </row>
    <row r="153" spans="8:14" x14ac:dyDescent="0.25">
      <c r="H153" s="201" t="str">
        <f t="shared" si="2"/>
        <v/>
      </c>
      <c r="N153" s="164" t="str">
        <f>IFERROR(COUNTIF($B$19:B153,B153)&amp;CHOOSE(MIN(4,COUNTIF($B$19:B153,B153)),"st","nd","rd","th"),"")</f>
        <v/>
      </c>
    </row>
    <row r="154" spans="8:14" x14ac:dyDescent="0.25">
      <c r="H154" s="201" t="str">
        <f t="shared" si="2"/>
        <v/>
      </c>
      <c r="N154" s="164" t="str">
        <f>IFERROR(COUNTIF($B$19:B154,B154)&amp;CHOOSE(MIN(4,COUNTIF($B$19:B154,B154)),"st","nd","rd","th"),"")</f>
        <v/>
      </c>
    </row>
    <row r="155" spans="8:14" x14ac:dyDescent="0.25">
      <c r="H155" s="201" t="str">
        <f t="shared" si="2"/>
        <v/>
      </c>
      <c r="N155" s="164" t="str">
        <f>IFERROR(COUNTIF($B$19:B155,B155)&amp;CHOOSE(MIN(4,COUNTIF($B$19:B155,B155)),"st","nd","rd","th"),"")</f>
        <v/>
      </c>
    </row>
    <row r="156" spans="8:14" x14ac:dyDescent="0.25">
      <c r="H156" s="201" t="str">
        <f t="shared" si="2"/>
        <v/>
      </c>
      <c r="N156" s="164" t="str">
        <f>IFERROR(COUNTIF($B$19:B156,B156)&amp;CHOOSE(MIN(4,COUNTIF($B$19:B156,B156)),"st","nd","rd","th"),"")</f>
        <v/>
      </c>
    </row>
    <row r="157" spans="8:14" x14ac:dyDescent="0.25">
      <c r="H157" s="201" t="str">
        <f t="shared" si="2"/>
        <v/>
      </c>
      <c r="N157" s="164" t="str">
        <f>IFERROR(COUNTIF($B$19:B157,B157)&amp;CHOOSE(MIN(4,COUNTIF($B$19:B157,B157)),"st","nd","rd","th"),"")</f>
        <v/>
      </c>
    </row>
    <row r="158" spans="8:14" x14ac:dyDescent="0.25">
      <c r="H158" s="201" t="str">
        <f t="shared" si="2"/>
        <v/>
      </c>
      <c r="N158" s="164" t="str">
        <f>IFERROR(COUNTIF($B$19:B158,B158)&amp;CHOOSE(MIN(4,COUNTIF($B$19:B158,B158)),"st","nd","rd","th"),"")</f>
        <v/>
      </c>
    </row>
    <row r="159" spans="8:14" x14ac:dyDescent="0.25">
      <c r="H159" s="201" t="str">
        <f t="shared" si="2"/>
        <v/>
      </c>
      <c r="N159" s="164" t="str">
        <f>IFERROR(COUNTIF($B$19:B159,B159)&amp;CHOOSE(MIN(4,COUNTIF($B$19:B159,B159)),"st","nd","rd","th"),"")</f>
        <v/>
      </c>
    </row>
    <row r="160" spans="8:14" x14ac:dyDescent="0.25">
      <c r="H160" s="201" t="str">
        <f t="shared" si="2"/>
        <v/>
      </c>
      <c r="N160" s="164" t="str">
        <f>IFERROR(COUNTIF($B$19:B160,B160)&amp;CHOOSE(MIN(4,COUNTIF($B$19:B160,B160)),"st","nd","rd","th"),"")</f>
        <v/>
      </c>
    </row>
    <row r="161" spans="8:14" x14ac:dyDescent="0.25">
      <c r="H161" s="201" t="str">
        <f t="shared" si="2"/>
        <v/>
      </c>
      <c r="N161" s="164" t="str">
        <f>IFERROR(COUNTIF($B$19:B161,B161)&amp;CHOOSE(MIN(4,COUNTIF($B$19:B161,B161)),"st","nd","rd","th"),"")</f>
        <v/>
      </c>
    </row>
    <row r="162" spans="8:14" x14ac:dyDescent="0.25">
      <c r="H162" s="201" t="str">
        <f t="shared" si="2"/>
        <v/>
      </c>
      <c r="N162" s="164" t="str">
        <f>IFERROR(COUNTIF($B$19:B162,B162)&amp;CHOOSE(MIN(4,COUNTIF($B$19:B162,B162)),"st","nd","rd","th"),"")</f>
        <v/>
      </c>
    </row>
    <row r="163" spans="8:14" x14ac:dyDescent="0.25">
      <c r="H163" s="201" t="str">
        <f t="shared" si="2"/>
        <v/>
      </c>
      <c r="N163" s="164" t="str">
        <f>IFERROR(COUNTIF($B$19:B163,B163)&amp;CHOOSE(MIN(4,COUNTIF($B$19:B163,B163)),"st","nd","rd","th"),"")</f>
        <v/>
      </c>
    </row>
    <row r="164" spans="8:14" x14ac:dyDescent="0.25">
      <c r="H164" s="201" t="str">
        <f t="shared" si="2"/>
        <v/>
      </c>
      <c r="N164" s="164" t="str">
        <f>IFERROR(COUNTIF($B$19:B164,B164)&amp;CHOOSE(MIN(4,COUNTIF($B$19:B164,B164)),"st","nd","rd","th"),"")</f>
        <v/>
      </c>
    </row>
    <row r="165" spans="8:14" x14ac:dyDescent="0.25">
      <c r="H165" s="201" t="str">
        <f t="shared" si="2"/>
        <v/>
      </c>
      <c r="N165" s="164" t="str">
        <f>IFERROR(COUNTIF($B$19:B165,B165)&amp;CHOOSE(MIN(4,COUNTIF($B$19:B165,B165)),"st","nd","rd","th"),"")</f>
        <v/>
      </c>
    </row>
    <row r="166" spans="8:14" x14ac:dyDescent="0.25">
      <c r="H166" s="201" t="str">
        <f t="shared" si="2"/>
        <v/>
      </c>
      <c r="N166" s="164" t="str">
        <f>IFERROR(COUNTIF($B$19:B166,B166)&amp;CHOOSE(MIN(4,COUNTIF($B$19:B166,B166)),"st","nd","rd","th"),"")</f>
        <v/>
      </c>
    </row>
    <row r="167" spans="8:14" x14ac:dyDescent="0.25">
      <c r="H167" s="201" t="str">
        <f t="shared" si="2"/>
        <v/>
      </c>
      <c r="N167" s="164" t="str">
        <f>IFERROR(COUNTIF($B$19:B167,B167)&amp;CHOOSE(MIN(4,COUNTIF($B$19:B167,B167)),"st","nd","rd","th"),"")</f>
        <v/>
      </c>
    </row>
    <row r="168" spans="8:14" x14ac:dyDescent="0.25">
      <c r="H168" s="201" t="str">
        <f t="shared" si="2"/>
        <v/>
      </c>
      <c r="N168" s="164" t="str">
        <f>IFERROR(COUNTIF($B$19:B168,B168)&amp;CHOOSE(MIN(4,COUNTIF($B$19:B168,B168)),"st","nd","rd","th"),"")</f>
        <v/>
      </c>
    </row>
    <row r="169" spans="8:14" x14ac:dyDescent="0.25">
      <c r="H169" s="201" t="str">
        <f t="shared" si="2"/>
        <v/>
      </c>
      <c r="N169" s="164" t="str">
        <f>IFERROR(COUNTIF($B$19:B169,B169)&amp;CHOOSE(MIN(4,COUNTIF($B$19:B169,B169)),"st","nd","rd","th"),"")</f>
        <v/>
      </c>
    </row>
    <row r="170" spans="8:14" x14ac:dyDescent="0.25">
      <c r="H170" s="201" t="str">
        <f t="shared" si="2"/>
        <v/>
      </c>
      <c r="N170" s="164" t="str">
        <f>IFERROR(COUNTIF($B$19:B170,B170)&amp;CHOOSE(MIN(4,COUNTIF($B$19:B170,B170)),"st","nd","rd","th"),"")</f>
        <v/>
      </c>
    </row>
    <row r="171" spans="8:14" x14ac:dyDescent="0.25">
      <c r="H171" s="201" t="str">
        <f t="shared" si="2"/>
        <v/>
      </c>
      <c r="N171" s="164" t="str">
        <f>IFERROR(COUNTIF($B$19:B171,B171)&amp;CHOOSE(MIN(4,COUNTIF($B$19:B171,B171)),"st","nd","rd","th"),"")</f>
        <v/>
      </c>
    </row>
    <row r="172" spans="8:14" x14ac:dyDescent="0.25">
      <c r="H172" s="201" t="str">
        <f t="shared" si="2"/>
        <v/>
      </c>
      <c r="N172" s="164" t="str">
        <f>IFERROR(COUNTIF($B$19:B172,B172)&amp;CHOOSE(MIN(4,COUNTIF($B$19:B172,B172)),"st","nd","rd","th"),"")</f>
        <v/>
      </c>
    </row>
    <row r="173" spans="8:14" x14ac:dyDescent="0.25">
      <c r="H173" s="201" t="str">
        <f t="shared" si="2"/>
        <v/>
      </c>
      <c r="N173" s="164" t="str">
        <f>IFERROR(COUNTIF($B$19:B173,B173)&amp;CHOOSE(MIN(4,COUNTIF($B$19:B173,B173)),"st","nd","rd","th"),"")</f>
        <v/>
      </c>
    </row>
    <row r="174" spans="8:14" x14ac:dyDescent="0.25">
      <c r="H174" s="201" t="str">
        <f t="shared" si="2"/>
        <v/>
      </c>
      <c r="N174" s="164" t="str">
        <f>IFERROR(COUNTIF($B$19:B174,B174)&amp;CHOOSE(MIN(4,COUNTIF($B$19:B174,B174)),"st","nd","rd","th"),"")</f>
        <v/>
      </c>
    </row>
    <row r="175" spans="8:14" x14ac:dyDescent="0.25">
      <c r="H175" s="201" t="str">
        <f t="shared" si="2"/>
        <v/>
      </c>
      <c r="N175" s="164" t="str">
        <f>IFERROR(COUNTIF($B$19:B175,B175)&amp;CHOOSE(MIN(4,COUNTIF($B$19:B175,B175)),"st","nd","rd","th"),"")</f>
        <v/>
      </c>
    </row>
    <row r="176" spans="8:14" x14ac:dyDescent="0.25">
      <c r="H176" s="201" t="str">
        <f t="shared" si="2"/>
        <v/>
      </c>
      <c r="N176" s="164" t="str">
        <f>IFERROR(COUNTIF($B$19:B176,B176)&amp;CHOOSE(MIN(4,COUNTIF($B$19:B176,B176)),"st","nd","rd","th"),"")</f>
        <v/>
      </c>
    </row>
    <row r="177" spans="8:14" x14ac:dyDescent="0.25">
      <c r="H177" s="201" t="str">
        <f t="shared" si="2"/>
        <v/>
      </c>
      <c r="N177" s="164" t="str">
        <f>IFERROR(COUNTIF($B$19:B177,B177)&amp;CHOOSE(MIN(4,COUNTIF($B$19:B177,B177)),"st","nd","rd","th"),"")</f>
        <v/>
      </c>
    </row>
    <row r="178" spans="8:14" x14ac:dyDescent="0.25">
      <c r="H178" s="201" t="str">
        <f t="shared" si="2"/>
        <v/>
      </c>
      <c r="N178" s="164" t="str">
        <f>IFERROR(COUNTIF($B$19:B178,B178)&amp;CHOOSE(MIN(4,COUNTIF($B$19:B178,B178)),"st","nd","rd","th"),"")</f>
        <v/>
      </c>
    </row>
    <row r="179" spans="8:14" x14ac:dyDescent="0.25">
      <c r="H179" s="201" t="str">
        <f t="shared" si="2"/>
        <v/>
      </c>
      <c r="N179" s="164" t="str">
        <f>IFERROR(COUNTIF($B$19:B179,B179)&amp;CHOOSE(MIN(4,COUNTIF($B$19:B179,B179)),"st","nd","rd","th"),"")</f>
        <v/>
      </c>
    </row>
    <row r="180" spans="8:14" x14ac:dyDescent="0.25">
      <c r="H180" s="201" t="str">
        <f t="shared" si="2"/>
        <v/>
      </c>
      <c r="N180" s="164" t="str">
        <f>IFERROR(COUNTIF($B$19:B180,B180)&amp;CHOOSE(MIN(4,COUNTIF($B$19:B180,B180)),"st","nd","rd","th"),"")</f>
        <v/>
      </c>
    </row>
    <row r="181" spans="8:14" x14ac:dyDescent="0.25">
      <c r="H181" s="201" t="str">
        <f t="shared" si="2"/>
        <v/>
      </c>
      <c r="N181" s="164" t="str">
        <f>IFERROR(COUNTIF($B$19:B181,B181)&amp;CHOOSE(MIN(4,COUNTIF($B$19:B181,B181)),"st","nd","rd","th"),"")</f>
        <v/>
      </c>
    </row>
    <row r="182" spans="8:14" x14ac:dyDescent="0.25">
      <c r="H182" s="201" t="str">
        <f t="shared" si="2"/>
        <v/>
      </c>
      <c r="N182" s="164" t="str">
        <f>IFERROR(COUNTIF($B$19:B182,B182)&amp;CHOOSE(MIN(4,COUNTIF($B$19:B182,B182)),"st","nd","rd","th"),"")</f>
        <v/>
      </c>
    </row>
    <row r="183" spans="8:14" x14ac:dyDescent="0.25">
      <c r="H183" s="201" t="str">
        <f t="shared" si="2"/>
        <v/>
      </c>
      <c r="N183" s="164" t="str">
        <f>IFERROR(COUNTIF($B$19:B183,B183)&amp;CHOOSE(MIN(4,COUNTIF($B$19:B183,B183)),"st","nd","rd","th"),"")</f>
        <v/>
      </c>
    </row>
    <row r="184" spans="8:14" x14ac:dyDescent="0.25">
      <c r="H184" s="201" t="str">
        <f t="shared" si="2"/>
        <v/>
      </c>
      <c r="N184" s="164" t="str">
        <f>IFERROR(COUNTIF($B$19:B184,B184)&amp;CHOOSE(MIN(4,COUNTIF($B$19:B184,B184)),"st","nd","rd","th"),"")</f>
        <v/>
      </c>
    </row>
    <row r="185" spans="8:14" x14ac:dyDescent="0.25">
      <c r="H185" s="201" t="str">
        <f t="shared" si="2"/>
        <v/>
      </c>
      <c r="N185" s="164" t="str">
        <f>IFERROR(COUNTIF($B$19:B185,B185)&amp;CHOOSE(MIN(4,COUNTIF($B$19:B185,B185)),"st","nd","rd","th"),"")</f>
        <v/>
      </c>
    </row>
    <row r="186" spans="8:14" x14ac:dyDescent="0.25">
      <c r="H186" s="201" t="str">
        <f t="shared" si="2"/>
        <v/>
      </c>
      <c r="N186" s="164" t="str">
        <f>IFERROR(COUNTIF($B$19:B186,B186)&amp;CHOOSE(MIN(4,COUNTIF($B$19:B186,B186)),"st","nd","rd","th"),"")</f>
        <v/>
      </c>
    </row>
    <row r="187" spans="8:14" x14ac:dyDescent="0.25">
      <c r="H187" s="201" t="str">
        <f t="shared" si="2"/>
        <v/>
      </c>
      <c r="N187" s="164" t="str">
        <f>IFERROR(COUNTIF($B$19:B187,B187)&amp;CHOOSE(MIN(4,COUNTIF($B$19:B187,B187)),"st","nd","rd","th"),"")</f>
        <v/>
      </c>
    </row>
    <row r="188" spans="8:14" x14ac:dyDescent="0.25">
      <c r="H188" s="201" t="str">
        <f t="shared" si="2"/>
        <v/>
      </c>
      <c r="N188" s="164" t="str">
        <f>IFERROR(COUNTIF($B$19:B188,B188)&amp;CHOOSE(MIN(4,COUNTIF($B$19:B188,B188)),"st","nd","rd","th"),"")</f>
        <v/>
      </c>
    </row>
    <row r="189" spans="8:14" x14ac:dyDescent="0.25">
      <c r="H189" s="201" t="str">
        <f t="shared" si="2"/>
        <v/>
      </c>
      <c r="N189" s="164" t="str">
        <f>IFERROR(COUNTIF($B$19:B189,B189)&amp;CHOOSE(MIN(4,COUNTIF($B$19:B189,B189)),"st","nd","rd","th"),"")</f>
        <v/>
      </c>
    </row>
    <row r="190" spans="8:14" x14ac:dyDescent="0.25">
      <c r="H190" s="201" t="str">
        <f t="shared" si="2"/>
        <v/>
      </c>
      <c r="N190" s="164" t="str">
        <f>IFERROR(COUNTIF($B$19:B190,B190)&amp;CHOOSE(MIN(4,COUNTIF($B$19:B190,B190)),"st","nd","rd","th"),"")</f>
        <v/>
      </c>
    </row>
    <row r="191" spans="8:14" x14ac:dyDescent="0.25">
      <c r="H191" s="201" t="str">
        <f t="shared" si="2"/>
        <v/>
      </c>
      <c r="N191" s="164" t="str">
        <f>IFERROR(COUNTIF($B$19:B191,B191)&amp;CHOOSE(MIN(4,COUNTIF($B$19:B191,B191)),"st","nd","rd","th"),"")</f>
        <v/>
      </c>
    </row>
    <row r="192" spans="8:14" x14ac:dyDescent="0.25">
      <c r="H192" s="201" t="str">
        <f t="shared" si="2"/>
        <v/>
      </c>
      <c r="N192" s="164" t="str">
        <f>IFERROR(COUNTIF($B$19:B192,B192)&amp;CHOOSE(MIN(4,COUNTIF($B$19:B192,B192)),"st","nd","rd","th"),"")</f>
        <v/>
      </c>
    </row>
    <row r="193" spans="8:14" x14ac:dyDescent="0.25">
      <c r="H193" s="201" t="str">
        <f t="shared" si="2"/>
        <v/>
      </c>
      <c r="N193" s="164" t="str">
        <f>IFERROR(COUNTIF($B$19:B193,B193)&amp;CHOOSE(MIN(4,COUNTIF($B$19:B193,B193)),"st","nd","rd","th"),"")</f>
        <v/>
      </c>
    </row>
    <row r="194" spans="8:14" x14ac:dyDescent="0.25">
      <c r="H194" s="201" t="str">
        <f t="shared" si="2"/>
        <v/>
      </c>
      <c r="N194" s="164" t="str">
        <f>IFERROR(COUNTIF($B$19:B194,B194)&amp;CHOOSE(MIN(4,COUNTIF($B$19:B194,B194)),"st","nd","rd","th"),"")</f>
        <v/>
      </c>
    </row>
    <row r="195" spans="8:14" x14ac:dyDescent="0.25">
      <c r="H195" s="201" t="str">
        <f t="shared" si="2"/>
        <v/>
      </c>
      <c r="N195" s="164" t="str">
        <f>IFERROR(COUNTIF($B$19:B195,B195)&amp;CHOOSE(MIN(4,COUNTIF($B$19:B195,B195)),"st","nd","rd","th"),"")</f>
        <v/>
      </c>
    </row>
    <row r="196" spans="8:14" x14ac:dyDescent="0.25">
      <c r="H196" s="201" t="str">
        <f t="shared" si="2"/>
        <v/>
      </c>
      <c r="N196" s="164" t="str">
        <f>IFERROR(COUNTIF($B$19:B196,B196)&amp;CHOOSE(MIN(4,COUNTIF($B$19:B196,B196)),"st","nd","rd","th"),"")</f>
        <v/>
      </c>
    </row>
    <row r="197" spans="8:14" x14ac:dyDescent="0.25">
      <c r="H197" s="201" t="str">
        <f t="shared" si="2"/>
        <v/>
      </c>
      <c r="N197" s="164" t="str">
        <f>IFERROR(COUNTIF($B$19:B197,B197)&amp;CHOOSE(MIN(4,COUNTIF($B$19:B197,B197)),"st","nd","rd","th"),"")</f>
        <v/>
      </c>
    </row>
    <row r="198" spans="8:14" x14ac:dyDescent="0.25">
      <c r="H198" s="201" t="str">
        <f t="shared" si="2"/>
        <v/>
      </c>
      <c r="N198" s="164" t="str">
        <f>IFERROR(COUNTIF($B$19:B198,B198)&amp;CHOOSE(MIN(4,COUNTIF($B$19:B198,B198)),"st","nd","rd","th"),"")</f>
        <v/>
      </c>
    </row>
    <row r="199" spans="8:14" x14ac:dyDescent="0.25">
      <c r="H199" s="201" t="str">
        <f t="shared" si="2"/>
        <v/>
      </c>
      <c r="N199" s="164" t="str">
        <f>IFERROR(COUNTIF($B$19:B199,B199)&amp;CHOOSE(MIN(4,COUNTIF($B$19:B199,B199)),"st","nd","rd","th"),"")</f>
        <v/>
      </c>
    </row>
    <row r="200" spans="8:14" x14ac:dyDescent="0.25">
      <c r="H200" s="201" t="str">
        <f t="shared" si="2"/>
        <v/>
      </c>
      <c r="N200" s="164" t="str">
        <f>IFERROR(COUNTIF($B$19:B200,B200)&amp;CHOOSE(MIN(4,COUNTIF($B$19:B200,B200)),"st","nd","rd","th"),"")</f>
        <v/>
      </c>
    </row>
    <row r="201" spans="8:14" x14ac:dyDescent="0.25">
      <c r="H201" s="201" t="str">
        <f t="shared" si="2"/>
        <v/>
      </c>
      <c r="N201" s="164" t="str">
        <f>IFERROR(COUNTIF($B$19:B201,B201)&amp;CHOOSE(MIN(4,COUNTIF($B$19:B201,B201)),"st","nd","rd","th"),"")</f>
        <v/>
      </c>
    </row>
    <row r="202" spans="8:14" x14ac:dyDescent="0.25">
      <c r="H202" s="201" t="str">
        <f t="shared" si="2"/>
        <v/>
      </c>
      <c r="N202" s="164" t="str">
        <f>IFERROR(COUNTIF($B$19:B202,B202)&amp;CHOOSE(MIN(4,COUNTIF($B$19:B202,B202)),"st","nd","rd","th"),"")</f>
        <v/>
      </c>
    </row>
    <row r="203" spans="8:14" x14ac:dyDescent="0.25">
      <c r="H203" s="201" t="str">
        <f t="shared" si="2"/>
        <v/>
      </c>
      <c r="N203" s="164" t="str">
        <f>IFERROR(COUNTIF($B$19:B203,B203)&amp;CHOOSE(MIN(4,COUNTIF($B$19:B203,B203)),"st","nd","rd","th"),"")</f>
        <v/>
      </c>
    </row>
    <row r="204" spans="8:14" x14ac:dyDescent="0.25">
      <c r="H204" s="201" t="str">
        <f t="shared" si="2"/>
        <v/>
      </c>
      <c r="N204" s="164" t="str">
        <f>IFERROR(COUNTIF($B$19:B204,B204)&amp;CHOOSE(MIN(4,COUNTIF($B$19:B204,B204)),"st","nd","rd","th"),"")</f>
        <v/>
      </c>
    </row>
    <row r="205" spans="8:14" x14ac:dyDescent="0.25">
      <c r="H205" s="201" t="str">
        <f t="shared" si="2"/>
        <v/>
      </c>
      <c r="N205" s="164" t="str">
        <f>IFERROR(COUNTIF($B$19:B205,B205)&amp;CHOOSE(MIN(4,COUNTIF($B$19:B205,B205)),"st","nd","rd","th"),"")</f>
        <v/>
      </c>
    </row>
    <row r="206" spans="8:14" x14ac:dyDescent="0.25">
      <c r="H206" s="201" t="str">
        <f t="shared" si="2"/>
        <v/>
      </c>
      <c r="N206" s="164" t="str">
        <f>IFERROR(COUNTIF($B$19:B206,B206)&amp;CHOOSE(MIN(4,COUNTIF($B$19:B206,B206)),"st","nd","rd","th"),"")</f>
        <v/>
      </c>
    </row>
    <row r="207" spans="8:14" x14ac:dyDescent="0.25">
      <c r="H207" s="201" t="str">
        <f t="shared" si="2"/>
        <v/>
      </c>
      <c r="N207" s="164" t="str">
        <f>IFERROR(COUNTIF($B$19:B207,B207)&amp;CHOOSE(MIN(4,COUNTIF($B$19:B207,B207)),"st","nd","rd","th"),"")</f>
        <v/>
      </c>
    </row>
    <row r="208" spans="8:14" x14ac:dyDescent="0.25">
      <c r="H208" s="201" t="str">
        <f t="shared" si="2"/>
        <v/>
      </c>
      <c r="N208" s="164" t="str">
        <f>IFERROR(COUNTIF($B$19:B208,B208)&amp;CHOOSE(MIN(4,COUNTIF($B$19:B208,B208)),"st","nd","rd","th"),"")</f>
        <v/>
      </c>
    </row>
    <row r="209" spans="8:14" x14ac:dyDescent="0.25">
      <c r="H209" s="201" t="str">
        <f t="shared" si="2"/>
        <v/>
      </c>
      <c r="N209" s="164" t="str">
        <f>IFERROR(COUNTIF($B$19:B209,B209)&amp;CHOOSE(MIN(4,COUNTIF($B$19:B209,B209)),"st","nd","rd","th"),"")</f>
        <v/>
      </c>
    </row>
    <row r="210" spans="8:14" x14ac:dyDescent="0.25">
      <c r="H210" s="201" t="str">
        <f t="shared" si="2"/>
        <v/>
      </c>
      <c r="N210" s="164" t="str">
        <f>IFERROR(COUNTIF($B$19:B210,B210)&amp;CHOOSE(MIN(4,COUNTIF($B$19:B210,B210)),"st","nd","rd","th"),"")</f>
        <v/>
      </c>
    </row>
    <row r="211" spans="8:14" x14ac:dyDescent="0.25">
      <c r="H211" s="201" t="str">
        <f t="shared" si="2"/>
        <v/>
      </c>
      <c r="N211" s="164" t="str">
        <f>IFERROR(COUNTIF($B$19:B211,B211)&amp;CHOOSE(MIN(4,COUNTIF($B$19:B211,B211)),"st","nd","rd","th"),"")</f>
        <v/>
      </c>
    </row>
    <row r="212" spans="8:14" x14ac:dyDescent="0.25">
      <c r="H212" s="201" t="str">
        <f t="shared" ref="H212:H275" si="3">IF(OR(ISBLANK(G212), ISBLANK(F212)), "", IF(G212=F212, 1, SUM(_xlfn.DAYS(G212, F212), 1)))</f>
        <v/>
      </c>
      <c r="N212" s="164" t="str">
        <f>IFERROR(COUNTIF($B$19:B212,B212)&amp;CHOOSE(MIN(4,COUNTIF($B$19:B212,B212)),"st","nd","rd","th"),"")</f>
        <v/>
      </c>
    </row>
    <row r="213" spans="8:14" x14ac:dyDescent="0.25">
      <c r="H213" s="201" t="str">
        <f t="shared" si="3"/>
        <v/>
      </c>
      <c r="N213" s="164" t="str">
        <f>IFERROR(COUNTIF($B$19:B213,B213)&amp;CHOOSE(MIN(4,COUNTIF($B$19:B213,B213)),"st","nd","rd","th"),"")</f>
        <v/>
      </c>
    </row>
    <row r="214" spans="8:14" x14ac:dyDescent="0.25">
      <c r="H214" s="201" t="str">
        <f t="shared" si="3"/>
        <v/>
      </c>
      <c r="N214" s="164" t="str">
        <f>IFERROR(COUNTIF($B$19:B214,B214)&amp;CHOOSE(MIN(4,COUNTIF($B$19:B214,B214)),"st","nd","rd","th"),"")</f>
        <v/>
      </c>
    </row>
    <row r="215" spans="8:14" x14ac:dyDescent="0.25">
      <c r="H215" s="201" t="str">
        <f t="shared" si="3"/>
        <v/>
      </c>
      <c r="N215" s="164" t="str">
        <f>IFERROR(COUNTIF($B$19:B215,B215)&amp;CHOOSE(MIN(4,COUNTIF($B$19:B215,B215)),"st","nd","rd","th"),"")</f>
        <v/>
      </c>
    </row>
    <row r="216" spans="8:14" x14ac:dyDescent="0.25">
      <c r="H216" s="201" t="str">
        <f t="shared" si="3"/>
        <v/>
      </c>
      <c r="N216" s="164" t="str">
        <f>IFERROR(COUNTIF($B$19:B216,B216)&amp;CHOOSE(MIN(4,COUNTIF($B$19:B216,B216)),"st","nd","rd","th"),"")</f>
        <v/>
      </c>
    </row>
    <row r="217" spans="8:14" x14ac:dyDescent="0.25">
      <c r="H217" s="201" t="str">
        <f t="shared" si="3"/>
        <v/>
      </c>
      <c r="N217" s="164" t="str">
        <f>IFERROR(COUNTIF($B$19:B217,B217)&amp;CHOOSE(MIN(4,COUNTIF($B$19:B217,B217)),"st","nd","rd","th"),"")</f>
        <v/>
      </c>
    </row>
    <row r="218" spans="8:14" x14ac:dyDescent="0.25">
      <c r="H218" s="201" t="str">
        <f t="shared" si="3"/>
        <v/>
      </c>
      <c r="N218" s="164" t="str">
        <f>IFERROR(COUNTIF($B$19:B218,B218)&amp;CHOOSE(MIN(4,COUNTIF($B$19:B218,B218)),"st","nd","rd","th"),"")</f>
        <v/>
      </c>
    </row>
    <row r="219" spans="8:14" x14ac:dyDescent="0.25">
      <c r="H219" s="201" t="str">
        <f t="shared" si="3"/>
        <v/>
      </c>
      <c r="N219" s="164" t="str">
        <f>IFERROR(COUNTIF($B$19:B219,B219)&amp;CHOOSE(MIN(4,COUNTIF($B$19:B219,B219)),"st","nd","rd","th"),"")</f>
        <v/>
      </c>
    </row>
    <row r="220" spans="8:14" x14ac:dyDescent="0.25">
      <c r="H220" s="201" t="str">
        <f t="shared" si="3"/>
        <v/>
      </c>
      <c r="N220" s="164" t="str">
        <f>IFERROR(COUNTIF($B$19:B220,B220)&amp;CHOOSE(MIN(4,COUNTIF($B$19:B220,B220)),"st","nd","rd","th"),"")</f>
        <v/>
      </c>
    </row>
    <row r="221" spans="8:14" x14ac:dyDescent="0.25">
      <c r="H221" s="201" t="str">
        <f t="shared" si="3"/>
        <v/>
      </c>
      <c r="N221" s="164" t="str">
        <f>IFERROR(COUNTIF($B$19:B221,B221)&amp;CHOOSE(MIN(4,COUNTIF($B$19:B221,B221)),"st","nd","rd","th"),"")</f>
        <v/>
      </c>
    </row>
    <row r="222" spans="8:14" x14ac:dyDescent="0.25">
      <c r="H222" s="201" t="str">
        <f t="shared" si="3"/>
        <v/>
      </c>
      <c r="N222" s="164" t="str">
        <f>IFERROR(COUNTIF($B$19:B222,B222)&amp;CHOOSE(MIN(4,COUNTIF($B$19:B222,B222)),"st","nd","rd","th"),"")</f>
        <v/>
      </c>
    </row>
    <row r="223" spans="8:14" x14ac:dyDescent="0.25">
      <c r="H223" s="201" t="str">
        <f t="shared" si="3"/>
        <v/>
      </c>
      <c r="N223" s="164" t="str">
        <f>IFERROR(COUNTIF($B$19:B223,B223)&amp;CHOOSE(MIN(4,COUNTIF($B$19:B223,B223)),"st","nd","rd","th"),"")</f>
        <v/>
      </c>
    </row>
    <row r="224" spans="8:14" x14ac:dyDescent="0.25">
      <c r="H224" s="201" t="str">
        <f t="shared" si="3"/>
        <v/>
      </c>
      <c r="N224" s="164" t="str">
        <f>IFERROR(COUNTIF($B$19:B224,B224)&amp;CHOOSE(MIN(4,COUNTIF($B$19:B224,B224)),"st","nd","rd","th"),"")</f>
        <v/>
      </c>
    </row>
    <row r="225" spans="8:14" x14ac:dyDescent="0.25">
      <c r="H225" s="201" t="str">
        <f t="shared" si="3"/>
        <v/>
      </c>
      <c r="N225" s="164" t="str">
        <f>IFERROR(COUNTIF($B$19:B225,B225)&amp;CHOOSE(MIN(4,COUNTIF($B$19:B225,B225)),"st","nd","rd","th"),"")</f>
        <v/>
      </c>
    </row>
    <row r="226" spans="8:14" x14ac:dyDescent="0.25">
      <c r="H226" s="201" t="str">
        <f t="shared" si="3"/>
        <v/>
      </c>
      <c r="N226" s="164" t="str">
        <f>IFERROR(COUNTIF($B$19:B226,B226)&amp;CHOOSE(MIN(4,COUNTIF($B$19:B226,B226)),"st","nd","rd","th"),"")</f>
        <v/>
      </c>
    </row>
    <row r="227" spans="8:14" x14ac:dyDescent="0.25">
      <c r="H227" s="201" t="str">
        <f t="shared" si="3"/>
        <v/>
      </c>
      <c r="N227" s="164" t="str">
        <f>IFERROR(COUNTIF($B$19:B227,B227)&amp;CHOOSE(MIN(4,COUNTIF($B$19:B227,B227)),"st","nd","rd","th"),"")</f>
        <v/>
      </c>
    </row>
    <row r="228" spans="8:14" x14ac:dyDescent="0.25">
      <c r="H228" s="201" t="str">
        <f t="shared" si="3"/>
        <v/>
      </c>
      <c r="N228" s="164" t="str">
        <f>IFERROR(COUNTIF($B$19:B228,B228)&amp;CHOOSE(MIN(4,COUNTIF($B$19:B228,B228)),"st","nd","rd","th"),"")</f>
        <v/>
      </c>
    </row>
    <row r="229" spans="8:14" x14ac:dyDescent="0.25">
      <c r="H229" s="201" t="str">
        <f t="shared" si="3"/>
        <v/>
      </c>
      <c r="N229" s="164" t="str">
        <f>IFERROR(COUNTIF($B$19:B229,B229)&amp;CHOOSE(MIN(4,COUNTIF($B$19:B229,B229)),"st","nd","rd","th"),"")</f>
        <v/>
      </c>
    </row>
    <row r="230" spans="8:14" x14ac:dyDescent="0.25">
      <c r="H230" s="201" t="str">
        <f t="shared" si="3"/>
        <v/>
      </c>
      <c r="N230" s="164" t="str">
        <f>IFERROR(COUNTIF($B$19:B230,B230)&amp;CHOOSE(MIN(4,COUNTIF($B$19:B230,B230)),"st","nd","rd","th"),"")</f>
        <v/>
      </c>
    </row>
    <row r="231" spans="8:14" x14ac:dyDescent="0.25">
      <c r="H231" s="201" t="str">
        <f t="shared" si="3"/>
        <v/>
      </c>
      <c r="N231" s="164" t="str">
        <f>IFERROR(COUNTIF($B$19:B231,B231)&amp;CHOOSE(MIN(4,COUNTIF($B$19:B231,B231)),"st","nd","rd","th"),"")</f>
        <v/>
      </c>
    </row>
    <row r="232" spans="8:14" x14ac:dyDescent="0.25">
      <c r="H232" s="201" t="str">
        <f t="shared" si="3"/>
        <v/>
      </c>
      <c r="N232" s="164" t="str">
        <f>IFERROR(COUNTIF($B$19:B232,B232)&amp;CHOOSE(MIN(4,COUNTIF($B$19:B232,B232)),"st","nd","rd","th"),"")</f>
        <v/>
      </c>
    </row>
    <row r="233" spans="8:14" x14ac:dyDescent="0.25">
      <c r="H233" s="201" t="str">
        <f t="shared" si="3"/>
        <v/>
      </c>
      <c r="N233" s="164" t="str">
        <f>IFERROR(COUNTIF($B$19:B233,B233)&amp;CHOOSE(MIN(4,COUNTIF($B$19:B233,B233)),"st","nd","rd","th"),"")</f>
        <v/>
      </c>
    </row>
    <row r="234" spans="8:14" x14ac:dyDescent="0.25">
      <c r="H234" s="201" t="str">
        <f t="shared" si="3"/>
        <v/>
      </c>
      <c r="N234" s="164" t="str">
        <f>IFERROR(COUNTIF($B$19:B234,B234)&amp;CHOOSE(MIN(4,COUNTIF($B$19:B234,B234)),"st","nd","rd","th"),"")</f>
        <v/>
      </c>
    </row>
    <row r="235" spans="8:14" x14ac:dyDescent="0.25">
      <c r="H235" s="201" t="str">
        <f t="shared" si="3"/>
        <v/>
      </c>
      <c r="N235" s="164" t="str">
        <f>IFERROR(COUNTIF($B$19:B235,B235)&amp;CHOOSE(MIN(4,COUNTIF($B$19:B235,B235)),"st","nd","rd","th"),"")</f>
        <v/>
      </c>
    </row>
    <row r="236" spans="8:14" x14ac:dyDescent="0.25">
      <c r="H236" s="201" t="str">
        <f t="shared" si="3"/>
        <v/>
      </c>
      <c r="N236" s="164" t="str">
        <f>IFERROR(COUNTIF($B$19:B236,B236)&amp;CHOOSE(MIN(4,COUNTIF($B$19:B236,B236)),"st","nd","rd","th"),"")</f>
        <v/>
      </c>
    </row>
    <row r="237" spans="8:14" x14ac:dyDescent="0.25">
      <c r="H237" s="201" t="str">
        <f t="shared" si="3"/>
        <v/>
      </c>
      <c r="N237" s="164" t="str">
        <f>IFERROR(COUNTIF($B$19:B237,B237)&amp;CHOOSE(MIN(4,COUNTIF($B$19:B237,B237)),"st","nd","rd","th"),"")</f>
        <v/>
      </c>
    </row>
    <row r="238" spans="8:14" x14ac:dyDescent="0.25">
      <c r="H238" s="201" t="str">
        <f t="shared" si="3"/>
        <v/>
      </c>
      <c r="N238" s="164" t="str">
        <f>IFERROR(COUNTIF($B$19:B238,B238)&amp;CHOOSE(MIN(4,COUNTIF($B$19:B238,B238)),"st","nd","rd","th"),"")</f>
        <v/>
      </c>
    </row>
    <row r="239" spans="8:14" x14ac:dyDescent="0.25">
      <c r="H239" s="201" t="str">
        <f t="shared" si="3"/>
        <v/>
      </c>
      <c r="N239" s="164" t="str">
        <f>IFERROR(COUNTIF($B$19:B239,B239)&amp;CHOOSE(MIN(4,COUNTIF($B$19:B239,B239)),"st","nd","rd","th"),"")</f>
        <v/>
      </c>
    </row>
    <row r="240" spans="8:14" x14ac:dyDescent="0.25">
      <c r="H240" s="201" t="str">
        <f t="shared" si="3"/>
        <v/>
      </c>
      <c r="N240" s="164" t="str">
        <f>IFERROR(COUNTIF($B$19:B240,B240)&amp;CHOOSE(MIN(4,COUNTIF($B$19:B240,B240)),"st","nd","rd","th"),"")</f>
        <v/>
      </c>
    </row>
    <row r="241" spans="8:14" x14ac:dyDescent="0.25">
      <c r="H241" s="201" t="str">
        <f t="shared" si="3"/>
        <v/>
      </c>
      <c r="N241" s="164" t="str">
        <f>IFERROR(COUNTIF($B$19:B241,B241)&amp;CHOOSE(MIN(4,COUNTIF($B$19:B241,B241)),"st","nd","rd","th"),"")</f>
        <v/>
      </c>
    </row>
    <row r="242" spans="8:14" x14ac:dyDescent="0.25">
      <c r="H242" s="201" t="str">
        <f t="shared" si="3"/>
        <v/>
      </c>
      <c r="N242" s="164" t="str">
        <f>IFERROR(COUNTIF($B$19:B242,B242)&amp;CHOOSE(MIN(4,COUNTIF($B$19:B242,B242)),"st","nd","rd","th"),"")</f>
        <v/>
      </c>
    </row>
    <row r="243" spans="8:14" x14ac:dyDescent="0.25">
      <c r="H243" s="201" t="str">
        <f t="shared" si="3"/>
        <v/>
      </c>
      <c r="N243" s="164" t="str">
        <f>IFERROR(COUNTIF($B$19:B243,B243)&amp;CHOOSE(MIN(4,COUNTIF($B$19:B243,B243)),"st","nd","rd","th"),"")</f>
        <v/>
      </c>
    </row>
    <row r="244" spans="8:14" x14ac:dyDescent="0.25">
      <c r="H244" s="201" t="str">
        <f t="shared" si="3"/>
        <v/>
      </c>
      <c r="N244" s="164" t="str">
        <f>IFERROR(COUNTIF($B$19:B244,B244)&amp;CHOOSE(MIN(4,COUNTIF($B$19:B244,B244)),"st","nd","rd","th"),"")</f>
        <v/>
      </c>
    </row>
    <row r="245" spans="8:14" x14ac:dyDescent="0.25">
      <c r="H245" s="201" t="str">
        <f t="shared" si="3"/>
        <v/>
      </c>
      <c r="N245" s="164" t="str">
        <f>IFERROR(COUNTIF($B$19:B245,B245)&amp;CHOOSE(MIN(4,COUNTIF($B$19:B245,B245)),"st","nd","rd","th"),"")</f>
        <v/>
      </c>
    </row>
    <row r="246" spans="8:14" x14ac:dyDescent="0.25">
      <c r="H246" s="201" t="str">
        <f t="shared" si="3"/>
        <v/>
      </c>
      <c r="N246" s="164" t="str">
        <f>IFERROR(COUNTIF($B$19:B246,B246)&amp;CHOOSE(MIN(4,COUNTIF($B$19:B246,B246)),"st","nd","rd","th"),"")</f>
        <v/>
      </c>
    </row>
    <row r="247" spans="8:14" x14ac:dyDescent="0.25">
      <c r="H247" s="201" t="str">
        <f t="shared" si="3"/>
        <v/>
      </c>
      <c r="N247" s="164" t="str">
        <f>IFERROR(COUNTIF($B$19:B247,B247)&amp;CHOOSE(MIN(4,COUNTIF($B$19:B247,B247)),"st","nd","rd","th"),"")</f>
        <v/>
      </c>
    </row>
    <row r="248" spans="8:14" x14ac:dyDescent="0.25">
      <c r="H248" s="201" t="str">
        <f t="shared" si="3"/>
        <v/>
      </c>
      <c r="N248" s="164" t="str">
        <f>IFERROR(COUNTIF($B$19:B248,B248)&amp;CHOOSE(MIN(4,COUNTIF($B$19:B248,B248)),"st","nd","rd","th"),"")</f>
        <v/>
      </c>
    </row>
    <row r="249" spans="8:14" x14ac:dyDescent="0.25">
      <c r="H249" s="201" t="str">
        <f t="shared" si="3"/>
        <v/>
      </c>
      <c r="N249" s="164" t="str">
        <f>IFERROR(COUNTIF($B$19:B249,B249)&amp;CHOOSE(MIN(4,COUNTIF($B$19:B249,B249)),"st","nd","rd","th"),"")</f>
        <v/>
      </c>
    </row>
    <row r="250" spans="8:14" x14ac:dyDescent="0.25">
      <c r="H250" s="201" t="str">
        <f t="shared" si="3"/>
        <v/>
      </c>
      <c r="N250" s="164" t="str">
        <f>IFERROR(COUNTIF($B$19:B250,B250)&amp;CHOOSE(MIN(4,COUNTIF($B$19:B250,B250)),"st","nd","rd","th"),"")</f>
        <v/>
      </c>
    </row>
    <row r="251" spans="8:14" x14ac:dyDescent="0.25">
      <c r="H251" s="201" t="str">
        <f t="shared" si="3"/>
        <v/>
      </c>
      <c r="N251" s="164" t="str">
        <f>IFERROR(COUNTIF($B$19:B251,B251)&amp;CHOOSE(MIN(4,COUNTIF($B$19:B251,B251)),"st","nd","rd","th"),"")</f>
        <v/>
      </c>
    </row>
    <row r="252" spans="8:14" x14ac:dyDescent="0.25">
      <c r="H252" s="201" t="str">
        <f t="shared" si="3"/>
        <v/>
      </c>
      <c r="N252" s="164" t="str">
        <f>IFERROR(COUNTIF($B$19:B252,B252)&amp;CHOOSE(MIN(4,COUNTIF($B$19:B252,B252)),"st","nd","rd","th"),"")</f>
        <v/>
      </c>
    </row>
    <row r="253" spans="8:14" x14ac:dyDescent="0.25">
      <c r="H253" s="201" t="str">
        <f t="shared" si="3"/>
        <v/>
      </c>
      <c r="N253" s="164" t="str">
        <f>IFERROR(COUNTIF($B$19:B253,B253)&amp;CHOOSE(MIN(4,COUNTIF($B$19:B253,B253)),"st","nd","rd","th"),"")</f>
        <v/>
      </c>
    </row>
    <row r="254" spans="8:14" x14ac:dyDescent="0.25">
      <c r="H254" s="201" t="str">
        <f t="shared" si="3"/>
        <v/>
      </c>
      <c r="N254" s="164" t="str">
        <f>IFERROR(COUNTIF($B$19:B254,B254)&amp;CHOOSE(MIN(4,COUNTIF($B$19:B254,B254)),"st","nd","rd","th"),"")</f>
        <v/>
      </c>
    </row>
    <row r="255" spans="8:14" x14ac:dyDescent="0.25">
      <c r="H255" s="201" t="str">
        <f t="shared" si="3"/>
        <v/>
      </c>
      <c r="N255" s="164" t="str">
        <f>IFERROR(COUNTIF($B$19:B255,B255)&amp;CHOOSE(MIN(4,COUNTIF($B$19:B255,B255)),"st","nd","rd","th"),"")</f>
        <v/>
      </c>
    </row>
    <row r="256" spans="8:14" x14ac:dyDescent="0.25">
      <c r="H256" s="201" t="str">
        <f t="shared" si="3"/>
        <v/>
      </c>
      <c r="N256" s="164" t="str">
        <f>IFERROR(COUNTIF($B$19:B256,B256)&amp;CHOOSE(MIN(4,COUNTIF($B$19:B256,B256)),"st","nd","rd","th"),"")</f>
        <v/>
      </c>
    </row>
    <row r="257" spans="8:14" x14ac:dyDescent="0.25">
      <c r="H257" s="201" t="str">
        <f t="shared" si="3"/>
        <v/>
      </c>
      <c r="N257" s="164" t="str">
        <f>IFERROR(COUNTIF($B$19:B257,B257)&amp;CHOOSE(MIN(4,COUNTIF($B$19:B257,B257)),"st","nd","rd","th"),"")</f>
        <v/>
      </c>
    </row>
    <row r="258" spans="8:14" x14ac:dyDescent="0.25">
      <c r="H258" s="201" t="str">
        <f t="shared" si="3"/>
        <v/>
      </c>
      <c r="N258" s="164" t="str">
        <f>IFERROR(COUNTIF($B$19:B258,B258)&amp;CHOOSE(MIN(4,COUNTIF($B$19:B258,B258)),"st","nd","rd","th"),"")</f>
        <v/>
      </c>
    </row>
    <row r="259" spans="8:14" x14ac:dyDescent="0.25">
      <c r="H259" s="201" t="str">
        <f t="shared" si="3"/>
        <v/>
      </c>
      <c r="N259" s="164" t="str">
        <f>IFERROR(COUNTIF($B$19:B259,B259)&amp;CHOOSE(MIN(4,COUNTIF($B$19:B259,B259)),"st","nd","rd","th"),"")</f>
        <v/>
      </c>
    </row>
    <row r="260" spans="8:14" x14ac:dyDescent="0.25">
      <c r="H260" s="201" t="str">
        <f t="shared" si="3"/>
        <v/>
      </c>
      <c r="N260" s="164" t="str">
        <f>IFERROR(COUNTIF($B$19:B260,B260)&amp;CHOOSE(MIN(4,COUNTIF($B$19:B260,B260)),"st","nd","rd","th"),"")</f>
        <v/>
      </c>
    </row>
    <row r="261" spans="8:14" x14ac:dyDescent="0.25">
      <c r="H261" s="201" t="str">
        <f t="shared" si="3"/>
        <v/>
      </c>
      <c r="N261" s="164" t="str">
        <f>IFERROR(COUNTIF($B$19:B261,B261)&amp;CHOOSE(MIN(4,COUNTIF($B$19:B261,B261)),"st","nd","rd","th"),"")</f>
        <v/>
      </c>
    </row>
    <row r="262" spans="8:14" x14ac:dyDescent="0.25">
      <c r="H262" s="201" t="str">
        <f t="shared" si="3"/>
        <v/>
      </c>
      <c r="N262" s="164" t="str">
        <f>IFERROR(COUNTIF($B$19:B262,B262)&amp;CHOOSE(MIN(4,COUNTIF($B$19:B262,B262)),"st","nd","rd","th"),"")</f>
        <v/>
      </c>
    </row>
    <row r="263" spans="8:14" x14ac:dyDescent="0.25">
      <c r="H263" s="201" t="str">
        <f t="shared" si="3"/>
        <v/>
      </c>
      <c r="N263" s="164" t="str">
        <f>IFERROR(COUNTIF($B$19:B263,B263)&amp;CHOOSE(MIN(4,COUNTIF($B$19:B263,B263)),"st","nd","rd","th"),"")</f>
        <v/>
      </c>
    </row>
    <row r="264" spans="8:14" x14ac:dyDescent="0.25">
      <c r="H264" s="201" t="str">
        <f t="shared" si="3"/>
        <v/>
      </c>
      <c r="N264" s="164" t="str">
        <f>IFERROR(COUNTIF($B$19:B264,B264)&amp;CHOOSE(MIN(4,COUNTIF($B$19:B264,B264)),"st","nd","rd","th"),"")</f>
        <v/>
      </c>
    </row>
    <row r="265" spans="8:14" x14ac:dyDescent="0.25">
      <c r="H265" s="201" t="str">
        <f t="shared" si="3"/>
        <v/>
      </c>
      <c r="N265" s="164" t="str">
        <f>IFERROR(COUNTIF($B$19:B265,B265)&amp;CHOOSE(MIN(4,COUNTIF($B$19:B265,B265)),"st","nd","rd","th"),"")</f>
        <v/>
      </c>
    </row>
    <row r="266" spans="8:14" x14ac:dyDescent="0.25">
      <c r="H266" s="201" t="str">
        <f t="shared" si="3"/>
        <v/>
      </c>
      <c r="N266" s="164" t="str">
        <f>IFERROR(COUNTIF($B$19:B266,B266)&amp;CHOOSE(MIN(4,COUNTIF($B$19:B266,B266)),"st","nd","rd","th"),"")</f>
        <v/>
      </c>
    </row>
    <row r="267" spans="8:14" x14ac:dyDescent="0.25">
      <c r="H267" s="201" t="str">
        <f t="shared" si="3"/>
        <v/>
      </c>
      <c r="N267" s="164" t="str">
        <f>IFERROR(COUNTIF($B$19:B267,B267)&amp;CHOOSE(MIN(4,COUNTIF($B$19:B267,B267)),"st","nd","rd","th"),"")</f>
        <v/>
      </c>
    </row>
    <row r="268" spans="8:14" x14ac:dyDescent="0.25">
      <c r="H268" s="201" t="str">
        <f t="shared" si="3"/>
        <v/>
      </c>
      <c r="N268" s="164" t="str">
        <f>IFERROR(COUNTIF($B$19:B268,B268)&amp;CHOOSE(MIN(4,COUNTIF($B$19:B268,B268)),"st","nd","rd","th"),"")</f>
        <v/>
      </c>
    </row>
    <row r="269" spans="8:14" x14ac:dyDescent="0.25">
      <c r="H269" s="201" t="str">
        <f t="shared" si="3"/>
        <v/>
      </c>
      <c r="N269" s="164" t="str">
        <f>IFERROR(COUNTIF($B$19:B269,B269)&amp;CHOOSE(MIN(4,COUNTIF($B$19:B269,B269)),"st","nd","rd","th"),"")</f>
        <v/>
      </c>
    </row>
    <row r="270" spans="8:14" x14ac:dyDescent="0.25">
      <c r="H270" s="201" t="str">
        <f t="shared" si="3"/>
        <v/>
      </c>
      <c r="N270" s="164" t="str">
        <f>IFERROR(COUNTIF($B$19:B270,B270)&amp;CHOOSE(MIN(4,COUNTIF($B$19:B270,B270)),"st","nd","rd","th"),"")</f>
        <v/>
      </c>
    </row>
    <row r="271" spans="8:14" x14ac:dyDescent="0.25">
      <c r="H271" s="201" t="str">
        <f t="shared" si="3"/>
        <v/>
      </c>
      <c r="N271" s="164" t="str">
        <f>IFERROR(COUNTIF($B$19:B271,B271)&amp;CHOOSE(MIN(4,COUNTIF($B$19:B271,B271)),"st","nd","rd","th"),"")</f>
        <v/>
      </c>
    </row>
    <row r="272" spans="8:14" x14ac:dyDescent="0.25">
      <c r="H272" s="201" t="str">
        <f t="shared" si="3"/>
        <v/>
      </c>
      <c r="N272" s="164" t="str">
        <f>IFERROR(COUNTIF($B$19:B272,B272)&amp;CHOOSE(MIN(4,COUNTIF($B$19:B272,B272)),"st","nd","rd","th"),"")</f>
        <v/>
      </c>
    </row>
    <row r="273" spans="8:14" x14ac:dyDescent="0.25">
      <c r="H273" s="201" t="str">
        <f t="shared" si="3"/>
        <v/>
      </c>
      <c r="N273" s="164" t="str">
        <f>IFERROR(COUNTIF($B$19:B273,B273)&amp;CHOOSE(MIN(4,COUNTIF($B$19:B273,B273)),"st","nd","rd","th"),"")</f>
        <v/>
      </c>
    </row>
    <row r="274" spans="8:14" x14ac:dyDescent="0.25">
      <c r="H274" s="201" t="str">
        <f t="shared" si="3"/>
        <v/>
      </c>
      <c r="N274" s="164" t="str">
        <f>IFERROR(COUNTIF($B$19:B274,B274)&amp;CHOOSE(MIN(4,COUNTIF($B$19:B274,B274)),"st","nd","rd","th"),"")</f>
        <v/>
      </c>
    </row>
    <row r="275" spans="8:14" x14ac:dyDescent="0.25">
      <c r="H275" s="201" t="str">
        <f t="shared" si="3"/>
        <v/>
      </c>
      <c r="N275" s="164" t="str">
        <f>IFERROR(COUNTIF($B$19:B275,B275)&amp;CHOOSE(MIN(4,COUNTIF($B$19:B275,B275)),"st","nd","rd","th"),"")</f>
        <v/>
      </c>
    </row>
    <row r="276" spans="8:14" x14ac:dyDescent="0.25">
      <c r="H276" s="201" t="str">
        <f t="shared" ref="H276:H339" si="4">IF(OR(ISBLANK(G276), ISBLANK(F276)), "", IF(G276=F276, 1, SUM(_xlfn.DAYS(G276, F276), 1)))</f>
        <v/>
      </c>
      <c r="N276" s="164" t="str">
        <f>IFERROR(COUNTIF($B$19:B276,B276)&amp;CHOOSE(MIN(4,COUNTIF($B$19:B276,B276)),"st","nd","rd","th"),"")</f>
        <v/>
      </c>
    </row>
    <row r="277" spans="8:14" x14ac:dyDescent="0.25">
      <c r="H277" s="201" t="str">
        <f t="shared" si="4"/>
        <v/>
      </c>
      <c r="N277" s="164" t="str">
        <f>IFERROR(COUNTIF($B$19:B277,B277)&amp;CHOOSE(MIN(4,COUNTIF($B$19:B277,B277)),"st","nd","rd","th"),"")</f>
        <v/>
      </c>
    </row>
    <row r="278" spans="8:14" x14ac:dyDescent="0.25">
      <c r="H278" s="201" t="str">
        <f t="shared" si="4"/>
        <v/>
      </c>
      <c r="N278" s="164" t="str">
        <f>IFERROR(COUNTIF($B$19:B278,B278)&amp;CHOOSE(MIN(4,COUNTIF($B$19:B278,B278)),"st","nd","rd","th"),"")</f>
        <v/>
      </c>
    </row>
    <row r="279" spans="8:14" x14ac:dyDescent="0.25">
      <c r="H279" s="201" t="str">
        <f t="shared" si="4"/>
        <v/>
      </c>
      <c r="N279" s="164" t="str">
        <f>IFERROR(COUNTIF($B$19:B279,B279)&amp;CHOOSE(MIN(4,COUNTIF($B$19:B279,B279)),"st","nd","rd","th"),"")</f>
        <v/>
      </c>
    </row>
    <row r="280" spans="8:14" x14ac:dyDescent="0.25">
      <c r="H280" s="201" t="str">
        <f t="shared" si="4"/>
        <v/>
      </c>
      <c r="N280" s="164" t="str">
        <f>IFERROR(COUNTIF($B$19:B280,B280)&amp;CHOOSE(MIN(4,COUNTIF($B$19:B280,B280)),"st","nd","rd","th"),"")</f>
        <v/>
      </c>
    </row>
    <row r="281" spans="8:14" x14ac:dyDescent="0.25">
      <c r="H281" s="201" t="str">
        <f t="shared" si="4"/>
        <v/>
      </c>
      <c r="N281" s="164" t="str">
        <f>IFERROR(COUNTIF($B$19:B281,B281)&amp;CHOOSE(MIN(4,COUNTIF($B$19:B281,B281)),"st","nd","rd","th"),"")</f>
        <v/>
      </c>
    </row>
    <row r="282" spans="8:14" x14ac:dyDescent="0.25">
      <c r="H282" s="201" t="str">
        <f t="shared" si="4"/>
        <v/>
      </c>
      <c r="N282" s="164" t="str">
        <f>IFERROR(COUNTIF($B$19:B282,B282)&amp;CHOOSE(MIN(4,COUNTIF($B$19:B282,B282)),"st","nd","rd","th"),"")</f>
        <v/>
      </c>
    </row>
    <row r="283" spans="8:14" x14ac:dyDescent="0.25">
      <c r="H283" s="201" t="str">
        <f t="shared" si="4"/>
        <v/>
      </c>
      <c r="N283" s="164" t="str">
        <f>IFERROR(COUNTIF($B$19:B283,B283)&amp;CHOOSE(MIN(4,COUNTIF($B$19:B283,B283)),"st","nd","rd","th"),"")</f>
        <v/>
      </c>
    </row>
    <row r="284" spans="8:14" x14ac:dyDescent="0.25">
      <c r="H284" s="201" t="str">
        <f t="shared" si="4"/>
        <v/>
      </c>
      <c r="N284" s="164" t="str">
        <f>IFERROR(COUNTIF($B$19:B284,B284)&amp;CHOOSE(MIN(4,COUNTIF($B$19:B284,B284)),"st","nd","rd","th"),"")</f>
        <v/>
      </c>
    </row>
    <row r="285" spans="8:14" x14ac:dyDescent="0.25">
      <c r="H285" s="201" t="str">
        <f t="shared" si="4"/>
        <v/>
      </c>
      <c r="N285" s="164" t="str">
        <f>IFERROR(COUNTIF($B$19:B285,B285)&amp;CHOOSE(MIN(4,COUNTIF($B$19:B285,B285)),"st","nd","rd","th"),"")</f>
        <v/>
      </c>
    </row>
    <row r="286" spans="8:14" x14ac:dyDescent="0.25">
      <c r="H286" s="201" t="str">
        <f t="shared" si="4"/>
        <v/>
      </c>
      <c r="N286" s="164" t="str">
        <f>IFERROR(COUNTIF($B$19:B286,B286)&amp;CHOOSE(MIN(4,COUNTIF($B$19:B286,B286)),"st","nd","rd","th"),"")</f>
        <v/>
      </c>
    </row>
    <row r="287" spans="8:14" x14ac:dyDescent="0.25">
      <c r="H287" s="201" t="str">
        <f t="shared" si="4"/>
        <v/>
      </c>
      <c r="N287" s="164" t="str">
        <f>IFERROR(COUNTIF($B$19:B287,B287)&amp;CHOOSE(MIN(4,COUNTIF($B$19:B287,B287)),"st","nd","rd","th"),"")</f>
        <v/>
      </c>
    </row>
    <row r="288" spans="8:14" x14ac:dyDescent="0.25">
      <c r="H288" s="201" t="str">
        <f t="shared" si="4"/>
        <v/>
      </c>
      <c r="N288" s="164" t="str">
        <f>IFERROR(COUNTIF($B$19:B288,B288)&amp;CHOOSE(MIN(4,COUNTIF($B$19:B288,B288)),"st","nd","rd","th"),"")</f>
        <v/>
      </c>
    </row>
    <row r="289" spans="8:14" x14ac:dyDescent="0.25">
      <c r="H289" s="201" t="str">
        <f t="shared" si="4"/>
        <v/>
      </c>
      <c r="N289" s="164" t="str">
        <f>IFERROR(COUNTIF($B$19:B289,B289)&amp;CHOOSE(MIN(4,COUNTIF($B$19:B289,B289)),"st","nd","rd","th"),"")</f>
        <v/>
      </c>
    </row>
    <row r="290" spans="8:14" x14ac:dyDescent="0.25">
      <c r="H290" s="201" t="str">
        <f t="shared" si="4"/>
        <v/>
      </c>
      <c r="N290" s="164" t="str">
        <f>IFERROR(COUNTIF($B$19:B290,B290)&amp;CHOOSE(MIN(4,COUNTIF($B$19:B290,B290)),"st","nd","rd","th"),"")</f>
        <v/>
      </c>
    </row>
    <row r="291" spans="8:14" x14ac:dyDescent="0.25">
      <c r="H291" s="201" t="str">
        <f t="shared" si="4"/>
        <v/>
      </c>
      <c r="N291" s="164" t="str">
        <f>IFERROR(COUNTIF($B$19:B291,B291)&amp;CHOOSE(MIN(4,COUNTIF($B$19:B291,B291)),"st","nd","rd","th"),"")</f>
        <v/>
      </c>
    </row>
    <row r="292" spans="8:14" x14ac:dyDescent="0.25">
      <c r="H292" s="201" t="str">
        <f t="shared" si="4"/>
        <v/>
      </c>
      <c r="N292" s="164" t="str">
        <f>IFERROR(COUNTIF($B$19:B292,B292)&amp;CHOOSE(MIN(4,COUNTIF($B$19:B292,B292)),"st","nd","rd","th"),"")</f>
        <v/>
      </c>
    </row>
    <row r="293" spans="8:14" x14ac:dyDescent="0.25">
      <c r="H293" s="201" t="str">
        <f t="shared" si="4"/>
        <v/>
      </c>
      <c r="N293" s="164" t="str">
        <f>IFERROR(COUNTIF($B$19:B293,B293)&amp;CHOOSE(MIN(4,COUNTIF($B$19:B293,B293)),"st","nd","rd","th"),"")</f>
        <v/>
      </c>
    </row>
    <row r="294" spans="8:14" x14ac:dyDescent="0.25">
      <c r="H294" s="201" t="str">
        <f t="shared" si="4"/>
        <v/>
      </c>
      <c r="N294" s="164" t="str">
        <f>IFERROR(COUNTIF($B$19:B294,B294)&amp;CHOOSE(MIN(4,COUNTIF($B$19:B294,B294)),"st","nd","rd","th"),"")</f>
        <v/>
      </c>
    </row>
    <row r="295" spans="8:14" x14ac:dyDescent="0.25">
      <c r="H295" s="201" t="str">
        <f t="shared" si="4"/>
        <v/>
      </c>
      <c r="N295" s="164" t="str">
        <f>IFERROR(COUNTIF($B$19:B295,B295)&amp;CHOOSE(MIN(4,COUNTIF($B$19:B295,B295)),"st","nd","rd","th"),"")</f>
        <v/>
      </c>
    </row>
    <row r="296" spans="8:14" x14ac:dyDescent="0.25">
      <c r="H296" s="201" t="str">
        <f t="shared" si="4"/>
        <v/>
      </c>
      <c r="N296" s="164" t="str">
        <f>IFERROR(COUNTIF($B$19:B296,B296)&amp;CHOOSE(MIN(4,COUNTIF($B$19:B296,B296)),"st","nd","rd","th"),"")</f>
        <v/>
      </c>
    </row>
    <row r="297" spans="8:14" x14ac:dyDescent="0.25">
      <c r="H297" s="201" t="str">
        <f t="shared" si="4"/>
        <v/>
      </c>
      <c r="N297" s="164" t="str">
        <f>IFERROR(COUNTIF($B$19:B297,B297)&amp;CHOOSE(MIN(4,COUNTIF($B$19:B297,B297)),"st","nd","rd","th"),"")</f>
        <v/>
      </c>
    </row>
    <row r="298" spans="8:14" x14ac:dyDescent="0.25">
      <c r="H298" s="201" t="str">
        <f t="shared" si="4"/>
        <v/>
      </c>
      <c r="N298" s="164" t="str">
        <f>IFERROR(COUNTIF($B$19:B298,B298)&amp;CHOOSE(MIN(4,COUNTIF($B$19:B298,B298)),"st","nd","rd","th"),"")</f>
        <v/>
      </c>
    </row>
    <row r="299" spans="8:14" x14ac:dyDescent="0.25">
      <c r="H299" s="201" t="str">
        <f t="shared" si="4"/>
        <v/>
      </c>
      <c r="N299" s="164" t="str">
        <f>IFERROR(COUNTIF($B$19:B299,B299)&amp;CHOOSE(MIN(4,COUNTIF($B$19:B299,B299)),"st","nd","rd","th"),"")</f>
        <v/>
      </c>
    </row>
    <row r="300" spans="8:14" x14ac:dyDescent="0.25">
      <c r="H300" s="201" t="str">
        <f t="shared" si="4"/>
        <v/>
      </c>
      <c r="N300" s="164" t="str">
        <f>IFERROR(COUNTIF($B$19:B300,B300)&amp;CHOOSE(MIN(4,COUNTIF($B$19:B300,B300)),"st","nd","rd","th"),"")</f>
        <v/>
      </c>
    </row>
    <row r="301" spans="8:14" x14ac:dyDescent="0.25">
      <c r="H301" s="201" t="str">
        <f t="shared" si="4"/>
        <v/>
      </c>
      <c r="N301" s="164" t="str">
        <f>IFERROR(COUNTIF($B$19:B301,B301)&amp;CHOOSE(MIN(4,COUNTIF($B$19:B301,B301)),"st","nd","rd","th"),"")</f>
        <v/>
      </c>
    </row>
    <row r="302" spans="8:14" x14ac:dyDescent="0.25">
      <c r="H302" s="201" t="str">
        <f t="shared" si="4"/>
        <v/>
      </c>
      <c r="N302" s="164" t="str">
        <f>IFERROR(COUNTIF($B$19:B302,B302)&amp;CHOOSE(MIN(4,COUNTIF($B$19:B302,B302)),"st","nd","rd","th"),"")</f>
        <v/>
      </c>
    </row>
    <row r="303" spans="8:14" x14ac:dyDescent="0.25">
      <c r="H303" s="201" t="str">
        <f t="shared" si="4"/>
        <v/>
      </c>
      <c r="N303" s="164" t="str">
        <f>IFERROR(COUNTIF($B$19:B303,B303)&amp;CHOOSE(MIN(4,COUNTIF($B$19:B303,B303)),"st","nd","rd","th"),"")</f>
        <v/>
      </c>
    </row>
    <row r="304" spans="8:14" x14ac:dyDescent="0.25">
      <c r="H304" s="201" t="str">
        <f t="shared" si="4"/>
        <v/>
      </c>
      <c r="N304" s="164" t="str">
        <f>IFERROR(COUNTIF($B$19:B304,B304)&amp;CHOOSE(MIN(4,COUNTIF($B$19:B304,B304)),"st","nd","rd","th"),"")</f>
        <v/>
      </c>
    </row>
    <row r="305" spans="8:14" x14ac:dyDescent="0.25">
      <c r="H305" s="201" t="str">
        <f t="shared" si="4"/>
        <v/>
      </c>
      <c r="N305" s="164" t="str">
        <f>IFERROR(COUNTIF($B$19:B305,B305)&amp;CHOOSE(MIN(4,COUNTIF($B$19:B305,B305)),"st","nd","rd","th"),"")</f>
        <v/>
      </c>
    </row>
    <row r="306" spans="8:14" x14ac:dyDescent="0.25">
      <c r="H306" s="201" t="str">
        <f t="shared" si="4"/>
        <v/>
      </c>
      <c r="N306" s="164" t="str">
        <f>IFERROR(COUNTIF($B$19:B306,B306)&amp;CHOOSE(MIN(4,COUNTIF($B$19:B306,B306)),"st","nd","rd","th"),"")</f>
        <v/>
      </c>
    </row>
    <row r="307" spans="8:14" x14ac:dyDescent="0.25">
      <c r="H307" s="201" t="str">
        <f t="shared" si="4"/>
        <v/>
      </c>
      <c r="N307" s="164" t="str">
        <f>IFERROR(COUNTIF($B$19:B307,B307)&amp;CHOOSE(MIN(4,COUNTIF($B$19:B307,B307)),"st","nd","rd","th"),"")</f>
        <v/>
      </c>
    </row>
    <row r="308" spans="8:14" x14ac:dyDescent="0.25">
      <c r="H308" s="201" t="str">
        <f t="shared" si="4"/>
        <v/>
      </c>
      <c r="N308" s="164" t="str">
        <f>IFERROR(COUNTIF($B$19:B308,B308)&amp;CHOOSE(MIN(4,COUNTIF($B$19:B308,B308)),"st","nd","rd","th"),"")</f>
        <v/>
      </c>
    </row>
    <row r="309" spans="8:14" x14ac:dyDescent="0.25">
      <c r="H309" s="201" t="str">
        <f t="shared" si="4"/>
        <v/>
      </c>
      <c r="N309" s="164" t="str">
        <f>IFERROR(COUNTIF($B$19:B309,B309)&amp;CHOOSE(MIN(4,COUNTIF($B$19:B309,B309)),"st","nd","rd","th"),"")</f>
        <v/>
      </c>
    </row>
    <row r="310" spans="8:14" x14ac:dyDescent="0.25">
      <c r="H310" s="201" t="str">
        <f t="shared" si="4"/>
        <v/>
      </c>
      <c r="N310" s="164" t="str">
        <f>IFERROR(COUNTIF($B$19:B310,B310)&amp;CHOOSE(MIN(4,COUNTIF($B$19:B310,B310)),"st","nd","rd","th"),"")</f>
        <v/>
      </c>
    </row>
    <row r="311" spans="8:14" x14ac:dyDescent="0.25">
      <c r="H311" s="201" t="str">
        <f t="shared" si="4"/>
        <v/>
      </c>
      <c r="N311" s="164" t="str">
        <f>IFERROR(COUNTIF($B$19:B311,B311)&amp;CHOOSE(MIN(4,COUNTIF($B$19:B311,B311)),"st","nd","rd","th"),"")</f>
        <v/>
      </c>
    </row>
    <row r="312" spans="8:14" x14ac:dyDescent="0.25">
      <c r="H312" s="201" t="str">
        <f t="shared" si="4"/>
        <v/>
      </c>
      <c r="N312" s="164" t="str">
        <f>IFERROR(COUNTIF($B$19:B312,B312)&amp;CHOOSE(MIN(4,COUNTIF($B$19:B312,B312)),"st","nd","rd","th"),"")</f>
        <v/>
      </c>
    </row>
    <row r="313" spans="8:14" x14ac:dyDescent="0.25">
      <c r="H313" s="201" t="str">
        <f t="shared" si="4"/>
        <v/>
      </c>
      <c r="N313" s="164" t="str">
        <f>IFERROR(COUNTIF($B$19:B313,B313)&amp;CHOOSE(MIN(4,COUNTIF($B$19:B313,B313)),"st","nd","rd","th"),"")</f>
        <v/>
      </c>
    </row>
    <row r="314" spans="8:14" x14ac:dyDescent="0.25">
      <c r="H314" s="201" t="str">
        <f t="shared" si="4"/>
        <v/>
      </c>
      <c r="N314" s="164" t="str">
        <f>IFERROR(COUNTIF($B$19:B314,B314)&amp;CHOOSE(MIN(4,COUNTIF($B$19:B314,B314)),"st","nd","rd","th"),"")</f>
        <v/>
      </c>
    </row>
    <row r="315" spans="8:14" x14ac:dyDescent="0.25">
      <c r="H315" s="201" t="str">
        <f t="shared" si="4"/>
        <v/>
      </c>
      <c r="N315" s="164" t="str">
        <f>IFERROR(COUNTIF($B$19:B315,B315)&amp;CHOOSE(MIN(4,COUNTIF($B$19:B315,B315)),"st","nd","rd","th"),"")</f>
        <v/>
      </c>
    </row>
    <row r="316" spans="8:14" x14ac:dyDescent="0.25">
      <c r="H316" s="201" t="str">
        <f t="shared" si="4"/>
        <v/>
      </c>
      <c r="N316" s="164" t="str">
        <f>IFERROR(COUNTIF($B$19:B316,B316)&amp;CHOOSE(MIN(4,COUNTIF($B$19:B316,B316)),"st","nd","rd","th"),"")</f>
        <v/>
      </c>
    </row>
    <row r="317" spans="8:14" x14ac:dyDescent="0.25">
      <c r="H317" s="201" t="str">
        <f t="shared" si="4"/>
        <v/>
      </c>
      <c r="N317" s="164" t="str">
        <f>IFERROR(COUNTIF($B$19:B317,B317)&amp;CHOOSE(MIN(4,COUNTIF($B$19:B317,B317)),"st","nd","rd","th"),"")</f>
        <v/>
      </c>
    </row>
    <row r="318" spans="8:14" x14ac:dyDescent="0.25">
      <c r="H318" s="201" t="str">
        <f t="shared" si="4"/>
        <v/>
      </c>
      <c r="N318" s="164" t="str">
        <f>IFERROR(COUNTIF($B$19:B318,B318)&amp;CHOOSE(MIN(4,COUNTIF($B$19:B318,B318)),"st","nd","rd","th"),"")</f>
        <v/>
      </c>
    </row>
    <row r="319" spans="8:14" x14ac:dyDescent="0.25">
      <c r="H319" s="201" t="str">
        <f t="shared" si="4"/>
        <v/>
      </c>
      <c r="N319" s="164" t="str">
        <f>IFERROR(COUNTIF($B$19:B319,B319)&amp;CHOOSE(MIN(4,COUNTIF($B$19:B319,B319)),"st","nd","rd","th"),"")</f>
        <v/>
      </c>
    </row>
    <row r="320" spans="8:14" x14ac:dyDescent="0.25">
      <c r="H320" s="201" t="str">
        <f t="shared" si="4"/>
        <v/>
      </c>
      <c r="N320" s="164" t="str">
        <f>IFERROR(COUNTIF($B$19:B320,B320)&amp;CHOOSE(MIN(4,COUNTIF($B$19:B320,B320)),"st","nd","rd","th"),"")</f>
        <v/>
      </c>
    </row>
    <row r="321" spans="8:14" x14ac:dyDescent="0.25">
      <c r="H321" s="201" t="str">
        <f t="shared" si="4"/>
        <v/>
      </c>
      <c r="N321" s="164" t="str">
        <f>IFERROR(COUNTIF($B$19:B321,B321)&amp;CHOOSE(MIN(4,COUNTIF($B$19:B321,B321)),"st","nd","rd","th"),"")</f>
        <v/>
      </c>
    </row>
    <row r="322" spans="8:14" x14ac:dyDescent="0.25">
      <c r="H322" s="201" t="str">
        <f t="shared" si="4"/>
        <v/>
      </c>
      <c r="N322" s="164" t="str">
        <f>IFERROR(COUNTIF($B$19:B322,B322)&amp;CHOOSE(MIN(4,COUNTIF($B$19:B322,B322)),"st","nd","rd","th"),"")</f>
        <v/>
      </c>
    </row>
    <row r="323" spans="8:14" x14ac:dyDescent="0.25">
      <c r="H323" s="201" t="str">
        <f t="shared" si="4"/>
        <v/>
      </c>
      <c r="N323" s="164" t="str">
        <f>IFERROR(COUNTIF($B$19:B323,B323)&amp;CHOOSE(MIN(4,COUNTIF($B$19:B323,B323)),"st","nd","rd","th"),"")</f>
        <v/>
      </c>
    </row>
    <row r="324" spans="8:14" x14ac:dyDescent="0.25">
      <c r="H324" s="201" t="str">
        <f t="shared" si="4"/>
        <v/>
      </c>
      <c r="N324" s="164" t="str">
        <f>IFERROR(COUNTIF($B$19:B324,B324)&amp;CHOOSE(MIN(4,COUNTIF($B$19:B324,B324)),"st","nd","rd","th"),"")</f>
        <v/>
      </c>
    </row>
    <row r="325" spans="8:14" x14ac:dyDescent="0.25">
      <c r="H325" s="201" t="str">
        <f t="shared" si="4"/>
        <v/>
      </c>
      <c r="N325" s="164" t="str">
        <f>IFERROR(COUNTIF($B$19:B325,B325)&amp;CHOOSE(MIN(4,COUNTIF($B$19:B325,B325)),"st","nd","rd","th"),"")</f>
        <v/>
      </c>
    </row>
    <row r="326" spans="8:14" x14ac:dyDescent="0.25">
      <c r="H326" s="201" t="str">
        <f t="shared" si="4"/>
        <v/>
      </c>
      <c r="N326" s="164" t="str">
        <f>IFERROR(COUNTIF($B$19:B326,B326)&amp;CHOOSE(MIN(4,COUNTIF($B$19:B326,B326)),"st","nd","rd","th"),"")</f>
        <v/>
      </c>
    </row>
    <row r="327" spans="8:14" x14ac:dyDescent="0.25">
      <c r="H327" s="201" t="str">
        <f t="shared" si="4"/>
        <v/>
      </c>
      <c r="N327" s="164" t="str">
        <f>IFERROR(COUNTIF($B$19:B327,B327)&amp;CHOOSE(MIN(4,COUNTIF($B$19:B327,B327)),"st","nd","rd","th"),"")</f>
        <v/>
      </c>
    </row>
    <row r="328" spans="8:14" x14ac:dyDescent="0.25">
      <c r="H328" s="201" t="str">
        <f t="shared" si="4"/>
        <v/>
      </c>
      <c r="N328" s="164" t="str">
        <f>IFERROR(COUNTIF($B$19:B328,B328)&amp;CHOOSE(MIN(4,COUNTIF($B$19:B328,B328)),"st","nd","rd","th"),"")</f>
        <v/>
      </c>
    </row>
    <row r="329" spans="8:14" x14ac:dyDescent="0.25">
      <c r="H329" s="201" t="str">
        <f t="shared" si="4"/>
        <v/>
      </c>
      <c r="N329" s="164" t="str">
        <f>IFERROR(COUNTIF($B$19:B329,B329)&amp;CHOOSE(MIN(4,COUNTIF($B$19:B329,B329)),"st","nd","rd","th"),"")</f>
        <v/>
      </c>
    </row>
    <row r="330" spans="8:14" x14ac:dyDescent="0.25">
      <c r="H330" s="201" t="str">
        <f t="shared" si="4"/>
        <v/>
      </c>
      <c r="N330" s="164" t="str">
        <f>IFERROR(COUNTIF($B$19:B330,B330)&amp;CHOOSE(MIN(4,COUNTIF($B$19:B330,B330)),"st","nd","rd","th"),"")</f>
        <v/>
      </c>
    </row>
    <row r="331" spans="8:14" x14ac:dyDescent="0.25">
      <c r="H331" s="201" t="str">
        <f t="shared" si="4"/>
        <v/>
      </c>
      <c r="N331" s="164" t="str">
        <f>IFERROR(COUNTIF($B$19:B331,B331)&amp;CHOOSE(MIN(4,COUNTIF($B$19:B331,B331)),"st","nd","rd","th"),"")</f>
        <v/>
      </c>
    </row>
    <row r="332" spans="8:14" x14ac:dyDescent="0.25">
      <c r="H332" s="201" t="str">
        <f t="shared" si="4"/>
        <v/>
      </c>
      <c r="N332" s="164" t="str">
        <f>IFERROR(COUNTIF($B$19:B332,B332)&amp;CHOOSE(MIN(4,COUNTIF($B$19:B332,B332)),"st","nd","rd","th"),"")</f>
        <v/>
      </c>
    </row>
    <row r="333" spans="8:14" x14ac:dyDescent="0.25">
      <c r="H333" s="201" t="str">
        <f t="shared" si="4"/>
        <v/>
      </c>
      <c r="N333" s="164" t="str">
        <f>IFERROR(COUNTIF($B$19:B333,B333)&amp;CHOOSE(MIN(4,COUNTIF($B$19:B333,B333)),"st","nd","rd","th"),"")</f>
        <v/>
      </c>
    </row>
    <row r="334" spans="8:14" x14ac:dyDescent="0.25">
      <c r="H334" s="201" t="str">
        <f t="shared" si="4"/>
        <v/>
      </c>
      <c r="N334" s="164" t="str">
        <f>IFERROR(COUNTIF($B$19:B334,B334)&amp;CHOOSE(MIN(4,COUNTIF($B$19:B334,B334)),"st","nd","rd","th"),"")</f>
        <v/>
      </c>
    </row>
    <row r="335" spans="8:14" x14ac:dyDescent="0.25">
      <c r="H335" s="201" t="str">
        <f t="shared" si="4"/>
        <v/>
      </c>
      <c r="N335" s="164" t="str">
        <f>IFERROR(COUNTIF($B$19:B335,B335)&amp;CHOOSE(MIN(4,COUNTIF($B$19:B335,B335)),"st","nd","rd","th"),"")</f>
        <v/>
      </c>
    </row>
    <row r="336" spans="8:14" x14ac:dyDescent="0.25">
      <c r="H336" s="201" t="str">
        <f t="shared" si="4"/>
        <v/>
      </c>
      <c r="N336" s="164" t="str">
        <f>IFERROR(COUNTIF($B$19:B336,B336)&amp;CHOOSE(MIN(4,COUNTIF($B$19:B336,B336)),"st","nd","rd","th"),"")</f>
        <v/>
      </c>
    </row>
    <row r="337" spans="8:14" x14ac:dyDescent="0.25">
      <c r="H337" s="201" t="str">
        <f t="shared" si="4"/>
        <v/>
      </c>
      <c r="N337" s="164" t="str">
        <f>IFERROR(COUNTIF($B$19:B337,B337)&amp;CHOOSE(MIN(4,COUNTIF($B$19:B337,B337)),"st","nd","rd","th"),"")</f>
        <v/>
      </c>
    </row>
    <row r="338" spans="8:14" x14ac:dyDescent="0.25">
      <c r="H338" s="201" t="str">
        <f t="shared" si="4"/>
        <v/>
      </c>
      <c r="N338" s="164" t="str">
        <f>IFERROR(COUNTIF($B$19:B338,B338)&amp;CHOOSE(MIN(4,COUNTIF($B$19:B338,B338)),"st","nd","rd","th"),"")</f>
        <v/>
      </c>
    </row>
    <row r="339" spans="8:14" x14ac:dyDescent="0.25">
      <c r="H339" s="201" t="str">
        <f t="shared" si="4"/>
        <v/>
      </c>
      <c r="N339" s="164" t="str">
        <f>IFERROR(COUNTIF($B$19:B339,B339)&amp;CHOOSE(MIN(4,COUNTIF($B$19:B339,B339)),"st","nd","rd","th"),"")</f>
        <v/>
      </c>
    </row>
    <row r="340" spans="8:14" x14ac:dyDescent="0.25">
      <c r="H340" s="201" t="str">
        <f t="shared" ref="H340:H403" si="5">IF(OR(ISBLANK(G340), ISBLANK(F340)), "", IF(G340=F340, 1, SUM(_xlfn.DAYS(G340, F340), 1)))</f>
        <v/>
      </c>
      <c r="N340" s="164" t="str">
        <f>IFERROR(COUNTIF($B$19:B340,B340)&amp;CHOOSE(MIN(4,COUNTIF($B$19:B340,B340)),"st","nd","rd","th"),"")</f>
        <v/>
      </c>
    </row>
    <row r="341" spans="8:14" x14ac:dyDescent="0.25">
      <c r="H341" s="201" t="str">
        <f t="shared" si="5"/>
        <v/>
      </c>
      <c r="N341" s="164" t="str">
        <f>IFERROR(COUNTIF($B$19:B341,B341)&amp;CHOOSE(MIN(4,COUNTIF($B$19:B341,B341)),"st","nd","rd","th"),"")</f>
        <v/>
      </c>
    </row>
    <row r="342" spans="8:14" x14ac:dyDescent="0.25">
      <c r="H342" s="201" t="str">
        <f t="shared" si="5"/>
        <v/>
      </c>
      <c r="N342" s="164" t="str">
        <f>IFERROR(COUNTIF($B$19:B342,B342)&amp;CHOOSE(MIN(4,COUNTIF($B$19:B342,B342)),"st","nd","rd","th"),"")</f>
        <v/>
      </c>
    </row>
    <row r="343" spans="8:14" x14ac:dyDescent="0.25">
      <c r="H343" s="201" t="str">
        <f t="shared" si="5"/>
        <v/>
      </c>
      <c r="N343" s="164" t="str">
        <f>IFERROR(COUNTIF($B$19:B343,B343)&amp;CHOOSE(MIN(4,COUNTIF($B$19:B343,B343)),"st","nd","rd","th"),"")</f>
        <v/>
      </c>
    </row>
    <row r="344" spans="8:14" x14ac:dyDescent="0.25">
      <c r="H344" s="201" t="str">
        <f t="shared" si="5"/>
        <v/>
      </c>
      <c r="N344" s="164" t="str">
        <f>IFERROR(COUNTIF($B$19:B344,B344)&amp;CHOOSE(MIN(4,COUNTIF($B$19:B344,B344)),"st","nd","rd","th"),"")</f>
        <v/>
      </c>
    </row>
    <row r="345" spans="8:14" x14ac:dyDescent="0.25">
      <c r="H345" s="201" t="str">
        <f t="shared" si="5"/>
        <v/>
      </c>
      <c r="N345" s="164" t="str">
        <f>IFERROR(COUNTIF($B$19:B345,B345)&amp;CHOOSE(MIN(4,COUNTIF($B$19:B345,B345)),"st","nd","rd","th"),"")</f>
        <v/>
      </c>
    </row>
    <row r="346" spans="8:14" x14ac:dyDescent="0.25">
      <c r="H346" s="201" t="str">
        <f t="shared" si="5"/>
        <v/>
      </c>
      <c r="N346" s="164" t="str">
        <f>IFERROR(COUNTIF($B$19:B346,B346)&amp;CHOOSE(MIN(4,COUNTIF($B$19:B346,B346)),"st","nd","rd","th"),"")</f>
        <v/>
      </c>
    </row>
    <row r="347" spans="8:14" x14ac:dyDescent="0.25">
      <c r="H347" s="201" t="str">
        <f t="shared" si="5"/>
        <v/>
      </c>
      <c r="N347" s="164" t="str">
        <f>IFERROR(COUNTIF($B$19:B347,B347)&amp;CHOOSE(MIN(4,COUNTIF($B$19:B347,B347)),"st","nd","rd","th"),"")</f>
        <v/>
      </c>
    </row>
    <row r="348" spans="8:14" x14ac:dyDescent="0.25">
      <c r="H348" s="201" t="str">
        <f t="shared" si="5"/>
        <v/>
      </c>
      <c r="N348" s="164" t="str">
        <f>IFERROR(COUNTIF($B$19:B348,B348)&amp;CHOOSE(MIN(4,COUNTIF($B$19:B348,B348)),"st","nd","rd","th"),"")</f>
        <v/>
      </c>
    </row>
    <row r="349" spans="8:14" x14ac:dyDescent="0.25">
      <c r="H349" s="201" t="str">
        <f t="shared" si="5"/>
        <v/>
      </c>
      <c r="N349" s="164" t="str">
        <f>IFERROR(COUNTIF($B$19:B349,B349)&amp;CHOOSE(MIN(4,COUNTIF($B$19:B349,B349)),"st","nd","rd","th"),"")</f>
        <v/>
      </c>
    </row>
    <row r="350" spans="8:14" x14ac:dyDescent="0.25">
      <c r="H350" s="201" t="str">
        <f t="shared" si="5"/>
        <v/>
      </c>
      <c r="N350" s="164" t="str">
        <f>IFERROR(COUNTIF($B$19:B350,B350)&amp;CHOOSE(MIN(4,COUNTIF($B$19:B350,B350)),"st","nd","rd","th"),"")</f>
        <v/>
      </c>
    </row>
    <row r="351" spans="8:14" x14ac:dyDescent="0.25">
      <c r="H351" s="201" t="str">
        <f t="shared" si="5"/>
        <v/>
      </c>
      <c r="N351" s="164" t="str">
        <f>IFERROR(COUNTIF($B$19:B351,B351)&amp;CHOOSE(MIN(4,COUNTIF($B$19:B351,B351)),"st","nd","rd","th"),"")</f>
        <v/>
      </c>
    </row>
    <row r="352" spans="8:14" x14ac:dyDescent="0.25">
      <c r="H352" s="201" t="str">
        <f t="shared" si="5"/>
        <v/>
      </c>
      <c r="N352" s="164" t="str">
        <f>IFERROR(COUNTIF($B$19:B352,B352)&amp;CHOOSE(MIN(4,COUNTIF($B$19:B352,B352)),"st","nd","rd","th"),"")</f>
        <v/>
      </c>
    </row>
    <row r="353" spans="8:14" x14ac:dyDescent="0.25">
      <c r="H353" s="201" t="str">
        <f t="shared" si="5"/>
        <v/>
      </c>
      <c r="N353" s="164" t="str">
        <f>IFERROR(COUNTIF($B$19:B353,B353)&amp;CHOOSE(MIN(4,COUNTIF($B$19:B353,B353)),"st","nd","rd","th"),"")</f>
        <v/>
      </c>
    </row>
    <row r="354" spans="8:14" x14ac:dyDescent="0.25">
      <c r="H354" s="201" t="str">
        <f t="shared" si="5"/>
        <v/>
      </c>
      <c r="N354" s="164" t="str">
        <f>IFERROR(COUNTIF($B$19:B354,B354)&amp;CHOOSE(MIN(4,COUNTIF($B$19:B354,B354)),"st","nd","rd","th"),"")</f>
        <v/>
      </c>
    </row>
    <row r="355" spans="8:14" x14ac:dyDescent="0.25">
      <c r="H355" s="201" t="str">
        <f t="shared" si="5"/>
        <v/>
      </c>
      <c r="N355" s="164" t="str">
        <f>IFERROR(COUNTIF($B$19:B355,B355)&amp;CHOOSE(MIN(4,COUNTIF($B$19:B355,B355)),"st","nd","rd","th"),"")</f>
        <v/>
      </c>
    </row>
    <row r="356" spans="8:14" x14ac:dyDescent="0.25">
      <c r="H356" s="201" t="str">
        <f t="shared" si="5"/>
        <v/>
      </c>
      <c r="N356" s="164" t="str">
        <f>IFERROR(COUNTIF($B$19:B356,B356)&amp;CHOOSE(MIN(4,COUNTIF($B$19:B356,B356)),"st","nd","rd","th"),"")</f>
        <v/>
      </c>
    </row>
    <row r="357" spans="8:14" x14ac:dyDescent="0.25">
      <c r="H357" s="201" t="str">
        <f t="shared" si="5"/>
        <v/>
      </c>
      <c r="N357" s="164" t="str">
        <f>IFERROR(COUNTIF($B$19:B357,B357)&amp;CHOOSE(MIN(4,COUNTIF($B$19:B357,B357)),"st","nd","rd","th"),"")</f>
        <v/>
      </c>
    </row>
    <row r="358" spans="8:14" x14ac:dyDescent="0.25">
      <c r="H358" s="201" t="str">
        <f t="shared" si="5"/>
        <v/>
      </c>
      <c r="N358" s="164" t="str">
        <f>IFERROR(COUNTIF($B$19:B358,B358)&amp;CHOOSE(MIN(4,COUNTIF($B$19:B358,B358)),"st","nd","rd","th"),"")</f>
        <v/>
      </c>
    </row>
    <row r="359" spans="8:14" x14ac:dyDescent="0.25">
      <c r="H359" s="201" t="str">
        <f t="shared" si="5"/>
        <v/>
      </c>
      <c r="N359" s="164" t="str">
        <f>IFERROR(COUNTIF($B$19:B359,B359)&amp;CHOOSE(MIN(4,COUNTIF($B$19:B359,B359)),"st","nd","rd","th"),"")</f>
        <v/>
      </c>
    </row>
    <row r="360" spans="8:14" x14ac:dyDescent="0.25">
      <c r="H360" s="201" t="str">
        <f t="shared" si="5"/>
        <v/>
      </c>
      <c r="N360" s="164" t="str">
        <f>IFERROR(COUNTIF($B$19:B360,B360)&amp;CHOOSE(MIN(4,COUNTIF($B$19:B360,B360)),"st","nd","rd","th"),"")</f>
        <v/>
      </c>
    </row>
    <row r="361" spans="8:14" x14ac:dyDescent="0.25">
      <c r="H361" s="201" t="str">
        <f t="shared" si="5"/>
        <v/>
      </c>
      <c r="N361" s="164" t="str">
        <f>IFERROR(COUNTIF($B$19:B361,B361)&amp;CHOOSE(MIN(4,COUNTIF($B$19:B361,B361)),"st","nd","rd","th"),"")</f>
        <v/>
      </c>
    </row>
    <row r="362" spans="8:14" x14ac:dyDescent="0.25">
      <c r="H362" s="201" t="str">
        <f t="shared" si="5"/>
        <v/>
      </c>
      <c r="N362" s="164" t="str">
        <f>IFERROR(COUNTIF($B$19:B362,B362)&amp;CHOOSE(MIN(4,COUNTIF($B$19:B362,B362)),"st","nd","rd","th"),"")</f>
        <v/>
      </c>
    </row>
    <row r="363" spans="8:14" x14ac:dyDescent="0.25">
      <c r="H363" s="201" t="str">
        <f t="shared" si="5"/>
        <v/>
      </c>
      <c r="N363" s="164" t="str">
        <f>IFERROR(COUNTIF($B$19:B363,B363)&amp;CHOOSE(MIN(4,COUNTIF($B$19:B363,B363)),"st","nd","rd","th"),"")</f>
        <v/>
      </c>
    </row>
    <row r="364" spans="8:14" x14ac:dyDescent="0.25">
      <c r="H364" s="201" t="str">
        <f t="shared" si="5"/>
        <v/>
      </c>
      <c r="N364" s="164" t="str">
        <f>IFERROR(COUNTIF($B$19:B364,B364)&amp;CHOOSE(MIN(4,COUNTIF($B$19:B364,B364)),"st","nd","rd","th"),"")</f>
        <v/>
      </c>
    </row>
    <row r="365" spans="8:14" x14ac:dyDescent="0.25">
      <c r="H365" s="201" t="str">
        <f t="shared" si="5"/>
        <v/>
      </c>
      <c r="N365" s="164" t="str">
        <f>IFERROR(COUNTIF($B$19:B365,B365)&amp;CHOOSE(MIN(4,COUNTIF($B$19:B365,B365)),"st","nd","rd","th"),"")</f>
        <v/>
      </c>
    </row>
    <row r="366" spans="8:14" x14ac:dyDescent="0.25">
      <c r="H366" s="201" t="str">
        <f t="shared" si="5"/>
        <v/>
      </c>
      <c r="N366" s="164" t="str">
        <f>IFERROR(COUNTIF($B$19:B366,B366)&amp;CHOOSE(MIN(4,COUNTIF($B$19:B366,B366)),"st","nd","rd","th"),"")</f>
        <v/>
      </c>
    </row>
    <row r="367" spans="8:14" x14ac:dyDescent="0.25">
      <c r="H367" s="201" t="str">
        <f t="shared" si="5"/>
        <v/>
      </c>
      <c r="N367" s="164" t="str">
        <f>IFERROR(COUNTIF($B$19:B367,B367)&amp;CHOOSE(MIN(4,COUNTIF($B$19:B367,B367)),"st","nd","rd","th"),"")</f>
        <v/>
      </c>
    </row>
    <row r="368" spans="8:14" x14ac:dyDescent="0.25">
      <c r="H368" s="201" t="str">
        <f t="shared" si="5"/>
        <v/>
      </c>
      <c r="N368" s="164" t="str">
        <f>IFERROR(COUNTIF($B$19:B368,B368)&amp;CHOOSE(MIN(4,COUNTIF($B$19:B368,B368)),"st","nd","rd","th"),"")</f>
        <v/>
      </c>
    </row>
    <row r="369" spans="8:14" x14ac:dyDescent="0.25">
      <c r="H369" s="201" t="str">
        <f t="shared" si="5"/>
        <v/>
      </c>
      <c r="N369" s="164" t="str">
        <f>IFERROR(COUNTIF($B$19:B369,B369)&amp;CHOOSE(MIN(4,COUNTIF($B$19:B369,B369)),"st","nd","rd","th"),"")</f>
        <v/>
      </c>
    </row>
    <row r="370" spans="8:14" x14ac:dyDescent="0.25">
      <c r="H370" s="201" t="str">
        <f t="shared" si="5"/>
        <v/>
      </c>
      <c r="N370" s="164" t="str">
        <f>IFERROR(COUNTIF($B$19:B370,B370)&amp;CHOOSE(MIN(4,COUNTIF($B$19:B370,B370)),"st","nd","rd","th"),"")</f>
        <v/>
      </c>
    </row>
    <row r="371" spans="8:14" x14ac:dyDescent="0.25">
      <c r="H371" s="201" t="str">
        <f t="shared" si="5"/>
        <v/>
      </c>
      <c r="N371" s="164" t="str">
        <f>IFERROR(COUNTIF($B$19:B371,B371)&amp;CHOOSE(MIN(4,COUNTIF($B$19:B371,B371)),"st","nd","rd","th"),"")</f>
        <v/>
      </c>
    </row>
    <row r="372" spans="8:14" x14ac:dyDescent="0.25">
      <c r="H372" s="201" t="str">
        <f t="shared" si="5"/>
        <v/>
      </c>
      <c r="N372" s="164" t="str">
        <f>IFERROR(COUNTIF($B$19:B372,B372)&amp;CHOOSE(MIN(4,COUNTIF($B$19:B372,B372)),"st","nd","rd","th"),"")</f>
        <v/>
      </c>
    </row>
    <row r="373" spans="8:14" x14ac:dyDescent="0.25">
      <c r="H373" s="201" t="str">
        <f t="shared" si="5"/>
        <v/>
      </c>
      <c r="N373" s="164" t="str">
        <f>IFERROR(COUNTIF($B$19:B373,B373)&amp;CHOOSE(MIN(4,COUNTIF($B$19:B373,B373)),"st","nd","rd","th"),"")</f>
        <v/>
      </c>
    </row>
    <row r="374" spans="8:14" x14ac:dyDescent="0.25">
      <c r="H374" s="201" t="str">
        <f t="shared" si="5"/>
        <v/>
      </c>
      <c r="N374" s="164" t="str">
        <f>IFERROR(COUNTIF($B$19:B374,B374)&amp;CHOOSE(MIN(4,COUNTIF($B$19:B374,B374)),"st","nd","rd","th"),"")</f>
        <v/>
      </c>
    </row>
    <row r="375" spans="8:14" x14ac:dyDescent="0.25">
      <c r="H375" s="201" t="str">
        <f t="shared" si="5"/>
        <v/>
      </c>
      <c r="N375" s="164" t="str">
        <f>IFERROR(COUNTIF($B$19:B375,B375)&amp;CHOOSE(MIN(4,COUNTIF($B$19:B375,B375)),"st","nd","rd","th"),"")</f>
        <v/>
      </c>
    </row>
    <row r="376" spans="8:14" x14ac:dyDescent="0.25">
      <c r="H376" s="201" t="str">
        <f t="shared" si="5"/>
        <v/>
      </c>
      <c r="N376" s="164" t="str">
        <f>IFERROR(COUNTIF($B$19:B376,B376)&amp;CHOOSE(MIN(4,COUNTIF($B$19:B376,B376)),"st","nd","rd","th"),"")</f>
        <v/>
      </c>
    </row>
    <row r="377" spans="8:14" x14ac:dyDescent="0.25">
      <c r="H377" s="201" t="str">
        <f t="shared" si="5"/>
        <v/>
      </c>
      <c r="N377" s="164" t="str">
        <f>IFERROR(COUNTIF($B$19:B377,B377)&amp;CHOOSE(MIN(4,COUNTIF($B$19:B377,B377)),"st","nd","rd","th"),"")</f>
        <v/>
      </c>
    </row>
    <row r="378" spans="8:14" x14ac:dyDescent="0.25">
      <c r="H378" s="201" t="str">
        <f t="shared" si="5"/>
        <v/>
      </c>
      <c r="N378" s="164" t="str">
        <f>IFERROR(COUNTIF($B$19:B378,B378)&amp;CHOOSE(MIN(4,COUNTIF($B$19:B378,B378)),"st","nd","rd","th"),"")</f>
        <v/>
      </c>
    </row>
    <row r="379" spans="8:14" x14ac:dyDescent="0.25">
      <c r="H379" s="201" t="str">
        <f t="shared" si="5"/>
        <v/>
      </c>
      <c r="N379" s="164" t="str">
        <f>IFERROR(COUNTIF($B$19:B379,B379)&amp;CHOOSE(MIN(4,COUNTIF($B$19:B379,B379)),"st","nd","rd","th"),"")</f>
        <v/>
      </c>
    </row>
    <row r="380" spans="8:14" x14ac:dyDescent="0.25">
      <c r="H380" s="201" t="str">
        <f t="shared" si="5"/>
        <v/>
      </c>
      <c r="N380" s="164" t="str">
        <f>IFERROR(COUNTIF($B$19:B380,B380)&amp;CHOOSE(MIN(4,COUNTIF($B$19:B380,B380)),"st","nd","rd","th"),"")</f>
        <v/>
      </c>
    </row>
    <row r="381" spans="8:14" x14ac:dyDescent="0.25">
      <c r="H381" s="201" t="str">
        <f t="shared" si="5"/>
        <v/>
      </c>
      <c r="N381" s="164" t="str">
        <f>IFERROR(COUNTIF($B$19:B381,B381)&amp;CHOOSE(MIN(4,COUNTIF($B$19:B381,B381)),"st","nd","rd","th"),"")</f>
        <v/>
      </c>
    </row>
    <row r="382" spans="8:14" x14ac:dyDescent="0.25">
      <c r="H382" s="201" t="str">
        <f t="shared" si="5"/>
        <v/>
      </c>
      <c r="N382" s="164" t="str">
        <f>IFERROR(COUNTIF($B$19:B382,B382)&amp;CHOOSE(MIN(4,COUNTIF($B$19:B382,B382)),"st","nd","rd","th"),"")</f>
        <v/>
      </c>
    </row>
    <row r="383" spans="8:14" x14ac:dyDescent="0.25">
      <c r="H383" s="201" t="str">
        <f t="shared" si="5"/>
        <v/>
      </c>
      <c r="N383" s="164" t="str">
        <f>IFERROR(COUNTIF($B$19:B383,B383)&amp;CHOOSE(MIN(4,COUNTIF($B$19:B383,B383)),"st","nd","rd","th"),"")</f>
        <v/>
      </c>
    </row>
    <row r="384" spans="8:14" x14ac:dyDescent="0.25">
      <c r="H384" s="201" t="str">
        <f t="shared" si="5"/>
        <v/>
      </c>
      <c r="N384" s="164" t="str">
        <f>IFERROR(COUNTIF($B$19:B384,B384)&amp;CHOOSE(MIN(4,COUNTIF($B$19:B384,B384)),"st","nd","rd","th"),"")</f>
        <v/>
      </c>
    </row>
    <row r="385" spans="8:14" x14ac:dyDescent="0.25">
      <c r="H385" s="201" t="str">
        <f t="shared" si="5"/>
        <v/>
      </c>
      <c r="N385" s="164" t="str">
        <f>IFERROR(COUNTIF($B$19:B385,B385)&amp;CHOOSE(MIN(4,COUNTIF($B$19:B385,B385)),"st","nd","rd","th"),"")</f>
        <v/>
      </c>
    </row>
    <row r="386" spans="8:14" x14ac:dyDescent="0.25">
      <c r="H386" s="201" t="str">
        <f t="shared" si="5"/>
        <v/>
      </c>
      <c r="N386" s="164" t="str">
        <f>IFERROR(COUNTIF($B$19:B386,B386)&amp;CHOOSE(MIN(4,COUNTIF($B$19:B386,B386)),"st","nd","rd","th"),"")</f>
        <v/>
      </c>
    </row>
    <row r="387" spans="8:14" x14ac:dyDescent="0.25">
      <c r="H387" s="201" t="str">
        <f t="shared" si="5"/>
        <v/>
      </c>
      <c r="N387" s="164" t="str">
        <f>IFERROR(COUNTIF($B$19:B387,B387)&amp;CHOOSE(MIN(4,COUNTIF($B$19:B387,B387)),"st","nd","rd","th"),"")</f>
        <v/>
      </c>
    </row>
    <row r="388" spans="8:14" x14ac:dyDescent="0.25">
      <c r="H388" s="201" t="str">
        <f t="shared" si="5"/>
        <v/>
      </c>
      <c r="N388" s="164" t="str">
        <f>IFERROR(COUNTIF($B$19:B388,B388)&amp;CHOOSE(MIN(4,COUNTIF($B$19:B388,B388)),"st","nd","rd","th"),"")</f>
        <v/>
      </c>
    </row>
    <row r="389" spans="8:14" x14ac:dyDescent="0.25">
      <c r="H389" s="201" t="str">
        <f t="shared" si="5"/>
        <v/>
      </c>
      <c r="N389" s="164" t="str">
        <f>IFERROR(COUNTIF($B$19:B389,B389)&amp;CHOOSE(MIN(4,COUNTIF($B$19:B389,B389)),"st","nd","rd","th"),"")</f>
        <v/>
      </c>
    </row>
    <row r="390" spans="8:14" x14ac:dyDescent="0.25">
      <c r="H390" s="201" t="str">
        <f t="shared" si="5"/>
        <v/>
      </c>
      <c r="N390" s="164" t="str">
        <f>IFERROR(COUNTIF($B$19:B390,B390)&amp;CHOOSE(MIN(4,COUNTIF($B$19:B390,B390)),"st","nd","rd","th"),"")</f>
        <v/>
      </c>
    </row>
    <row r="391" spans="8:14" x14ac:dyDescent="0.25">
      <c r="H391" s="201" t="str">
        <f t="shared" si="5"/>
        <v/>
      </c>
      <c r="N391" s="164" t="str">
        <f>IFERROR(COUNTIF($B$19:B391,B391)&amp;CHOOSE(MIN(4,COUNTIF($B$19:B391,B391)),"st","nd","rd","th"),"")</f>
        <v/>
      </c>
    </row>
    <row r="392" spans="8:14" x14ac:dyDescent="0.25">
      <c r="H392" s="201" t="str">
        <f t="shared" si="5"/>
        <v/>
      </c>
      <c r="N392" s="164" t="str">
        <f>IFERROR(COUNTIF($B$19:B392,B392)&amp;CHOOSE(MIN(4,COUNTIF($B$19:B392,B392)),"st","nd","rd","th"),"")</f>
        <v/>
      </c>
    </row>
    <row r="393" spans="8:14" x14ac:dyDescent="0.25">
      <c r="H393" s="201" t="str">
        <f t="shared" si="5"/>
        <v/>
      </c>
      <c r="N393" s="164" t="str">
        <f>IFERROR(COUNTIF($B$19:B393,B393)&amp;CHOOSE(MIN(4,COUNTIF($B$19:B393,B393)),"st","nd","rd","th"),"")</f>
        <v/>
      </c>
    </row>
    <row r="394" spans="8:14" x14ac:dyDescent="0.25">
      <c r="H394" s="201" t="str">
        <f t="shared" si="5"/>
        <v/>
      </c>
      <c r="N394" s="164" t="str">
        <f>IFERROR(COUNTIF($B$19:B394,B394)&amp;CHOOSE(MIN(4,COUNTIF($B$19:B394,B394)),"st","nd","rd","th"),"")</f>
        <v/>
      </c>
    </row>
    <row r="395" spans="8:14" x14ac:dyDescent="0.25">
      <c r="H395" s="201" t="str">
        <f t="shared" si="5"/>
        <v/>
      </c>
      <c r="N395" s="164" t="str">
        <f>IFERROR(COUNTIF($B$19:B395,B395)&amp;CHOOSE(MIN(4,COUNTIF($B$19:B395,B395)),"st","nd","rd","th"),"")</f>
        <v/>
      </c>
    </row>
    <row r="396" spans="8:14" x14ac:dyDescent="0.25">
      <c r="H396" s="201" t="str">
        <f t="shared" si="5"/>
        <v/>
      </c>
      <c r="N396" s="164" t="str">
        <f>IFERROR(COUNTIF($B$19:B396,B396)&amp;CHOOSE(MIN(4,COUNTIF($B$19:B396,B396)),"st","nd","rd","th"),"")</f>
        <v/>
      </c>
    </row>
    <row r="397" spans="8:14" x14ac:dyDescent="0.25">
      <c r="H397" s="201" t="str">
        <f t="shared" si="5"/>
        <v/>
      </c>
      <c r="N397" s="164" t="str">
        <f>IFERROR(COUNTIF($B$19:B397,B397)&amp;CHOOSE(MIN(4,COUNTIF($B$19:B397,B397)),"st","nd","rd","th"),"")</f>
        <v/>
      </c>
    </row>
    <row r="398" spans="8:14" x14ac:dyDescent="0.25">
      <c r="H398" s="201" t="str">
        <f t="shared" si="5"/>
        <v/>
      </c>
      <c r="N398" s="164" t="str">
        <f>IFERROR(COUNTIF($B$19:B398,B398)&amp;CHOOSE(MIN(4,COUNTIF($B$19:B398,B398)),"st","nd","rd","th"),"")</f>
        <v/>
      </c>
    </row>
    <row r="399" spans="8:14" x14ac:dyDescent="0.25">
      <c r="H399" s="201" t="str">
        <f t="shared" si="5"/>
        <v/>
      </c>
      <c r="N399" s="164" t="str">
        <f>IFERROR(COUNTIF($B$19:B399,B399)&amp;CHOOSE(MIN(4,COUNTIF($B$19:B399,B399)),"st","nd","rd","th"),"")</f>
        <v/>
      </c>
    </row>
    <row r="400" spans="8:14" x14ac:dyDescent="0.25">
      <c r="H400" s="201" t="str">
        <f t="shared" si="5"/>
        <v/>
      </c>
      <c r="N400" s="164" t="str">
        <f>IFERROR(COUNTIF($B$19:B400,B400)&amp;CHOOSE(MIN(4,COUNTIF($B$19:B400,B400)),"st","nd","rd","th"),"")</f>
        <v/>
      </c>
    </row>
    <row r="401" spans="8:14" x14ac:dyDescent="0.25">
      <c r="H401" s="201" t="str">
        <f t="shared" si="5"/>
        <v/>
      </c>
      <c r="N401" s="164" t="str">
        <f>IFERROR(COUNTIF($B$19:B401,B401)&amp;CHOOSE(MIN(4,COUNTIF($B$19:B401,B401)),"st","nd","rd","th"),"")</f>
        <v/>
      </c>
    </row>
    <row r="402" spans="8:14" x14ac:dyDescent="0.25">
      <c r="H402" s="201" t="str">
        <f t="shared" si="5"/>
        <v/>
      </c>
      <c r="N402" s="164" t="str">
        <f>IFERROR(COUNTIF($B$19:B402,B402)&amp;CHOOSE(MIN(4,COUNTIF($B$19:B402,B402)),"st","nd","rd","th"),"")</f>
        <v/>
      </c>
    </row>
    <row r="403" spans="8:14" x14ac:dyDescent="0.25">
      <c r="H403" s="201" t="str">
        <f t="shared" si="5"/>
        <v/>
      </c>
      <c r="N403" s="164" t="str">
        <f>IFERROR(COUNTIF($B$19:B403,B403)&amp;CHOOSE(MIN(4,COUNTIF($B$19:B403,B403)),"st","nd","rd","th"),"")</f>
        <v/>
      </c>
    </row>
    <row r="404" spans="8:14" x14ac:dyDescent="0.25">
      <c r="H404" s="201" t="str">
        <f t="shared" ref="H404:H467" si="6">IF(OR(ISBLANK(G404), ISBLANK(F404)), "", IF(G404=F404, 1, SUM(_xlfn.DAYS(G404, F404), 1)))</f>
        <v/>
      </c>
      <c r="N404" s="164" t="str">
        <f>IFERROR(COUNTIF($B$19:B404,B404)&amp;CHOOSE(MIN(4,COUNTIF($B$19:B404,B404)),"st","nd","rd","th"),"")</f>
        <v/>
      </c>
    </row>
    <row r="405" spans="8:14" x14ac:dyDescent="0.25">
      <c r="H405" s="201" t="str">
        <f t="shared" si="6"/>
        <v/>
      </c>
      <c r="N405" s="164" t="str">
        <f>IFERROR(COUNTIF($B$19:B405,B405)&amp;CHOOSE(MIN(4,COUNTIF($B$19:B405,B405)),"st","nd","rd","th"),"")</f>
        <v/>
      </c>
    </row>
    <row r="406" spans="8:14" x14ac:dyDescent="0.25">
      <c r="H406" s="201" t="str">
        <f t="shared" si="6"/>
        <v/>
      </c>
      <c r="N406" s="164" t="str">
        <f>IFERROR(COUNTIF($B$19:B406,B406)&amp;CHOOSE(MIN(4,COUNTIF($B$19:B406,B406)),"st","nd","rd","th"),"")</f>
        <v/>
      </c>
    </row>
    <row r="407" spans="8:14" x14ac:dyDescent="0.25">
      <c r="H407" s="201" t="str">
        <f t="shared" si="6"/>
        <v/>
      </c>
      <c r="N407" s="164" t="str">
        <f>IFERROR(COUNTIF($B$19:B407,B407)&amp;CHOOSE(MIN(4,COUNTIF($B$19:B407,B407)),"st","nd","rd","th"),"")</f>
        <v/>
      </c>
    </row>
    <row r="408" spans="8:14" x14ac:dyDescent="0.25">
      <c r="H408" s="201" t="str">
        <f t="shared" si="6"/>
        <v/>
      </c>
      <c r="N408" s="164" t="str">
        <f>IFERROR(COUNTIF($B$19:B408,B408)&amp;CHOOSE(MIN(4,COUNTIF($B$19:B408,B408)),"st","nd","rd","th"),"")</f>
        <v/>
      </c>
    </row>
    <row r="409" spans="8:14" x14ac:dyDescent="0.25">
      <c r="H409" s="201" t="str">
        <f t="shared" si="6"/>
        <v/>
      </c>
      <c r="N409" s="164" t="str">
        <f>IFERROR(COUNTIF($B$19:B409,B409)&amp;CHOOSE(MIN(4,COUNTIF($B$19:B409,B409)),"st","nd","rd","th"),"")</f>
        <v/>
      </c>
    </row>
    <row r="410" spans="8:14" x14ac:dyDescent="0.25">
      <c r="H410" s="201" t="str">
        <f t="shared" si="6"/>
        <v/>
      </c>
      <c r="N410" s="164" t="str">
        <f>IFERROR(COUNTIF($B$19:B410,B410)&amp;CHOOSE(MIN(4,COUNTIF($B$19:B410,B410)),"st","nd","rd","th"),"")</f>
        <v/>
      </c>
    </row>
    <row r="411" spans="8:14" x14ac:dyDescent="0.25">
      <c r="H411" s="201" t="str">
        <f t="shared" si="6"/>
        <v/>
      </c>
      <c r="N411" s="164" t="str">
        <f>IFERROR(COUNTIF($B$19:B411,B411)&amp;CHOOSE(MIN(4,COUNTIF($B$19:B411,B411)),"st","nd","rd","th"),"")</f>
        <v/>
      </c>
    </row>
    <row r="412" spans="8:14" x14ac:dyDescent="0.25">
      <c r="H412" s="201" t="str">
        <f t="shared" si="6"/>
        <v/>
      </c>
      <c r="N412" s="164" t="str">
        <f>IFERROR(COUNTIF($B$19:B412,B412)&amp;CHOOSE(MIN(4,COUNTIF($B$19:B412,B412)),"st","nd","rd","th"),"")</f>
        <v/>
      </c>
    </row>
    <row r="413" spans="8:14" x14ac:dyDescent="0.25">
      <c r="H413" s="201" t="str">
        <f t="shared" si="6"/>
        <v/>
      </c>
      <c r="N413" s="164" t="str">
        <f>IFERROR(COUNTIF($B$19:B413,B413)&amp;CHOOSE(MIN(4,COUNTIF($B$19:B413,B413)),"st","nd","rd","th"),"")</f>
        <v/>
      </c>
    </row>
    <row r="414" spans="8:14" x14ac:dyDescent="0.25">
      <c r="H414" s="201" t="str">
        <f t="shared" si="6"/>
        <v/>
      </c>
      <c r="N414" s="164" t="str">
        <f>IFERROR(COUNTIF($B$19:B414,B414)&amp;CHOOSE(MIN(4,COUNTIF($B$19:B414,B414)),"st","nd","rd","th"),"")</f>
        <v/>
      </c>
    </row>
    <row r="415" spans="8:14" x14ac:dyDescent="0.25">
      <c r="H415" s="201" t="str">
        <f t="shared" si="6"/>
        <v/>
      </c>
      <c r="N415" s="164" t="str">
        <f>IFERROR(COUNTIF($B$19:B415,B415)&amp;CHOOSE(MIN(4,COUNTIF($B$19:B415,B415)),"st","nd","rd","th"),"")</f>
        <v/>
      </c>
    </row>
    <row r="416" spans="8:14" x14ac:dyDescent="0.25">
      <c r="H416" s="201" t="str">
        <f t="shared" si="6"/>
        <v/>
      </c>
      <c r="N416" s="164" t="str">
        <f>IFERROR(COUNTIF($B$19:B416,B416)&amp;CHOOSE(MIN(4,COUNTIF($B$19:B416,B416)),"st","nd","rd","th"),"")</f>
        <v/>
      </c>
    </row>
    <row r="417" spans="8:14" x14ac:dyDescent="0.25">
      <c r="H417" s="201" t="str">
        <f t="shared" si="6"/>
        <v/>
      </c>
      <c r="N417" s="164" t="str">
        <f>IFERROR(COUNTIF($B$19:B417,B417)&amp;CHOOSE(MIN(4,COUNTIF($B$19:B417,B417)),"st","nd","rd","th"),"")</f>
        <v/>
      </c>
    </row>
    <row r="418" spans="8:14" x14ac:dyDescent="0.25">
      <c r="H418" s="201" t="str">
        <f t="shared" si="6"/>
        <v/>
      </c>
      <c r="N418" s="164" t="str">
        <f>IFERROR(COUNTIF($B$19:B418,B418)&amp;CHOOSE(MIN(4,COUNTIF($B$19:B418,B418)),"st","nd","rd","th"),"")</f>
        <v/>
      </c>
    </row>
    <row r="419" spans="8:14" x14ac:dyDescent="0.25">
      <c r="H419" s="201" t="str">
        <f t="shared" si="6"/>
        <v/>
      </c>
      <c r="N419" s="164" t="str">
        <f>IFERROR(COUNTIF($B$19:B419,B419)&amp;CHOOSE(MIN(4,COUNTIF($B$19:B419,B419)),"st","nd","rd","th"),"")</f>
        <v/>
      </c>
    </row>
    <row r="420" spans="8:14" x14ac:dyDescent="0.25">
      <c r="H420" s="201" t="str">
        <f t="shared" si="6"/>
        <v/>
      </c>
      <c r="N420" s="164" t="str">
        <f>IFERROR(COUNTIF($B$19:B420,B420)&amp;CHOOSE(MIN(4,COUNTIF($B$19:B420,B420)),"st","nd","rd","th"),"")</f>
        <v/>
      </c>
    </row>
    <row r="421" spans="8:14" x14ac:dyDescent="0.25">
      <c r="H421" s="201" t="str">
        <f t="shared" si="6"/>
        <v/>
      </c>
      <c r="N421" s="164" t="str">
        <f>IFERROR(COUNTIF($B$19:B421,B421)&amp;CHOOSE(MIN(4,COUNTIF($B$19:B421,B421)),"st","nd","rd","th"),"")</f>
        <v/>
      </c>
    </row>
    <row r="422" spans="8:14" x14ac:dyDescent="0.25">
      <c r="H422" s="201" t="str">
        <f t="shared" si="6"/>
        <v/>
      </c>
      <c r="N422" s="164" t="str">
        <f>IFERROR(COUNTIF($B$19:B422,B422)&amp;CHOOSE(MIN(4,COUNTIF($B$19:B422,B422)),"st","nd","rd","th"),"")</f>
        <v/>
      </c>
    </row>
    <row r="423" spans="8:14" x14ac:dyDescent="0.25">
      <c r="H423" s="201" t="str">
        <f t="shared" si="6"/>
        <v/>
      </c>
      <c r="N423" s="164" t="str">
        <f>IFERROR(COUNTIF($B$19:B423,B423)&amp;CHOOSE(MIN(4,COUNTIF($B$19:B423,B423)),"st","nd","rd","th"),"")</f>
        <v/>
      </c>
    </row>
    <row r="424" spans="8:14" x14ac:dyDescent="0.25">
      <c r="H424" s="201" t="str">
        <f t="shared" si="6"/>
        <v/>
      </c>
      <c r="N424" s="164" t="str">
        <f>IFERROR(COUNTIF($B$19:B424,B424)&amp;CHOOSE(MIN(4,COUNTIF($B$19:B424,B424)),"st","nd","rd","th"),"")</f>
        <v/>
      </c>
    </row>
    <row r="425" spans="8:14" x14ac:dyDescent="0.25">
      <c r="H425" s="201" t="str">
        <f t="shared" si="6"/>
        <v/>
      </c>
      <c r="N425" s="164" t="str">
        <f>IFERROR(COUNTIF($B$19:B425,B425)&amp;CHOOSE(MIN(4,COUNTIF($B$19:B425,B425)),"st","nd","rd","th"),"")</f>
        <v/>
      </c>
    </row>
    <row r="426" spans="8:14" x14ac:dyDescent="0.25">
      <c r="H426" s="201" t="str">
        <f t="shared" si="6"/>
        <v/>
      </c>
      <c r="N426" s="164" t="str">
        <f>IFERROR(COUNTIF($B$19:B426,B426)&amp;CHOOSE(MIN(4,COUNTIF($B$19:B426,B426)),"st","nd","rd","th"),"")</f>
        <v/>
      </c>
    </row>
    <row r="427" spans="8:14" x14ac:dyDescent="0.25">
      <c r="H427" s="201" t="str">
        <f t="shared" si="6"/>
        <v/>
      </c>
      <c r="N427" s="164" t="str">
        <f>IFERROR(COUNTIF($B$19:B427,B427)&amp;CHOOSE(MIN(4,COUNTIF($B$19:B427,B427)),"st","nd","rd","th"),"")</f>
        <v/>
      </c>
    </row>
    <row r="428" spans="8:14" x14ac:dyDescent="0.25">
      <c r="H428" s="201" t="str">
        <f t="shared" si="6"/>
        <v/>
      </c>
      <c r="N428" s="164" t="str">
        <f>IFERROR(COUNTIF($B$19:B428,B428)&amp;CHOOSE(MIN(4,COUNTIF($B$19:B428,B428)),"st","nd","rd","th"),"")</f>
        <v/>
      </c>
    </row>
    <row r="429" spans="8:14" x14ac:dyDescent="0.25">
      <c r="H429" s="201" t="str">
        <f t="shared" si="6"/>
        <v/>
      </c>
      <c r="N429" s="164" t="str">
        <f>IFERROR(COUNTIF($B$19:B429,B429)&amp;CHOOSE(MIN(4,COUNTIF($B$19:B429,B429)),"st","nd","rd","th"),"")</f>
        <v/>
      </c>
    </row>
    <row r="430" spans="8:14" x14ac:dyDescent="0.25">
      <c r="H430" s="201" t="str">
        <f t="shared" si="6"/>
        <v/>
      </c>
      <c r="N430" s="164" t="str">
        <f>IFERROR(COUNTIF($B$19:B430,B430)&amp;CHOOSE(MIN(4,COUNTIF($B$19:B430,B430)),"st","nd","rd","th"),"")</f>
        <v/>
      </c>
    </row>
    <row r="431" spans="8:14" x14ac:dyDescent="0.25">
      <c r="H431" s="201" t="str">
        <f t="shared" si="6"/>
        <v/>
      </c>
      <c r="N431" s="164" t="str">
        <f>IFERROR(COUNTIF($B$19:B431,B431)&amp;CHOOSE(MIN(4,COUNTIF($B$19:B431,B431)),"st","nd","rd","th"),"")</f>
        <v/>
      </c>
    </row>
    <row r="432" spans="8:14" x14ac:dyDescent="0.25">
      <c r="H432" s="201" t="str">
        <f t="shared" si="6"/>
        <v/>
      </c>
      <c r="N432" s="164" t="str">
        <f>IFERROR(COUNTIF($B$19:B432,B432)&amp;CHOOSE(MIN(4,COUNTIF($B$19:B432,B432)),"st","nd","rd","th"),"")</f>
        <v/>
      </c>
    </row>
    <row r="433" spans="8:14" x14ac:dyDescent="0.25">
      <c r="H433" s="201" t="str">
        <f t="shared" si="6"/>
        <v/>
      </c>
      <c r="N433" s="164" t="str">
        <f>IFERROR(COUNTIF($B$19:B433,B433)&amp;CHOOSE(MIN(4,COUNTIF($B$19:B433,B433)),"st","nd","rd","th"),"")</f>
        <v/>
      </c>
    </row>
    <row r="434" spans="8:14" x14ac:dyDescent="0.25">
      <c r="H434" s="201" t="str">
        <f t="shared" si="6"/>
        <v/>
      </c>
      <c r="N434" s="164" t="str">
        <f>IFERROR(COUNTIF($B$19:B434,B434)&amp;CHOOSE(MIN(4,COUNTIF($B$19:B434,B434)),"st","nd","rd","th"),"")</f>
        <v/>
      </c>
    </row>
    <row r="435" spans="8:14" x14ac:dyDescent="0.25">
      <c r="H435" s="201" t="str">
        <f t="shared" si="6"/>
        <v/>
      </c>
      <c r="N435" s="164" t="str">
        <f>IFERROR(COUNTIF($B$19:B435,B435)&amp;CHOOSE(MIN(4,COUNTIF($B$19:B435,B435)),"st","nd","rd","th"),"")</f>
        <v/>
      </c>
    </row>
    <row r="436" spans="8:14" x14ac:dyDescent="0.25">
      <c r="H436" s="201" t="str">
        <f t="shared" si="6"/>
        <v/>
      </c>
      <c r="N436" s="164" t="str">
        <f>IFERROR(COUNTIF($B$19:B436,B436)&amp;CHOOSE(MIN(4,COUNTIF($B$19:B436,B436)),"st","nd","rd","th"),"")</f>
        <v/>
      </c>
    </row>
    <row r="437" spans="8:14" x14ac:dyDescent="0.25">
      <c r="H437" s="201" t="str">
        <f t="shared" si="6"/>
        <v/>
      </c>
      <c r="N437" s="164" t="str">
        <f>IFERROR(COUNTIF($B$19:B437,B437)&amp;CHOOSE(MIN(4,COUNTIF($B$19:B437,B437)),"st","nd","rd","th"),"")</f>
        <v/>
      </c>
    </row>
    <row r="438" spans="8:14" x14ac:dyDescent="0.25">
      <c r="H438" s="201" t="str">
        <f t="shared" si="6"/>
        <v/>
      </c>
      <c r="N438" s="164" t="str">
        <f>IFERROR(COUNTIF($B$19:B438,B438)&amp;CHOOSE(MIN(4,COUNTIF($B$19:B438,B438)),"st","nd","rd","th"),"")</f>
        <v/>
      </c>
    </row>
    <row r="439" spans="8:14" x14ac:dyDescent="0.25">
      <c r="H439" s="201" t="str">
        <f t="shared" si="6"/>
        <v/>
      </c>
      <c r="N439" s="164" t="str">
        <f>IFERROR(COUNTIF($B$19:B439,B439)&amp;CHOOSE(MIN(4,COUNTIF($B$19:B439,B439)),"st","nd","rd","th"),"")</f>
        <v/>
      </c>
    </row>
    <row r="440" spans="8:14" x14ac:dyDescent="0.25">
      <c r="H440" s="201" t="str">
        <f t="shared" si="6"/>
        <v/>
      </c>
      <c r="N440" s="164" t="str">
        <f>IFERROR(COUNTIF($B$19:B440,B440)&amp;CHOOSE(MIN(4,COUNTIF($B$19:B440,B440)),"st","nd","rd","th"),"")</f>
        <v/>
      </c>
    </row>
    <row r="441" spans="8:14" x14ac:dyDescent="0.25">
      <c r="H441" s="201" t="str">
        <f t="shared" si="6"/>
        <v/>
      </c>
      <c r="N441" s="164" t="str">
        <f>IFERROR(COUNTIF($B$19:B441,B441)&amp;CHOOSE(MIN(4,COUNTIF($B$19:B441,B441)),"st","nd","rd","th"),"")</f>
        <v/>
      </c>
    </row>
    <row r="442" spans="8:14" x14ac:dyDescent="0.25">
      <c r="H442" s="201" t="str">
        <f t="shared" si="6"/>
        <v/>
      </c>
      <c r="N442" s="164" t="str">
        <f>IFERROR(COUNTIF($B$19:B442,B442)&amp;CHOOSE(MIN(4,COUNTIF($B$19:B442,B442)),"st","nd","rd","th"),"")</f>
        <v/>
      </c>
    </row>
    <row r="443" spans="8:14" x14ac:dyDescent="0.25">
      <c r="H443" s="201" t="str">
        <f t="shared" si="6"/>
        <v/>
      </c>
      <c r="N443" s="164" t="str">
        <f>IFERROR(COUNTIF($B$19:B443,B443)&amp;CHOOSE(MIN(4,COUNTIF($B$19:B443,B443)),"st","nd","rd","th"),"")</f>
        <v/>
      </c>
    </row>
    <row r="444" spans="8:14" x14ac:dyDescent="0.25">
      <c r="H444" s="201" t="str">
        <f t="shared" si="6"/>
        <v/>
      </c>
      <c r="N444" s="164" t="str">
        <f>IFERROR(COUNTIF($B$19:B444,B444)&amp;CHOOSE(MIN(4,COUNTIF($B$19:B444,B444)),"st","nd","rd","th"),"")</f>
        <v/>
      </c>
    </row>
    <row r="445" spans="8:14" x14ac:dyDescent="0.25">
      <c r="H445" s="201" t="str">
        <f t="shared" si="6"/>
        <v/>
      </c>
      <c r="N445" s="164" t="str">
        <f>IFERROR(COUNTIF($B$19:B445,B445)&amp;CHOOSE(MIN(4,COUNTIF($B$19:B445,B445)),"st","nd","rd","th"),"")</f>
        <v/>
      </c>
    </row>
    <row r="446" spans="8:14" x14ac:dyDescent="0.25">
      <c r="H446" s="201" t="str">
        <f t="shared" si="6"/>
        <v/>
      </c>
      <c r="N446" s="164" t="str">
        <f>IFERROR(COUNTIF($B$19:B446,B446)&amp;CHOOSE(MIN(4,COUNTIF($B$19:B446,B446)),"st","nd","rd","th"),"")</f>
        <v/>
      </c>
    </row>
    <row r="447" spans="8:14" x14ac:dyDescent="0.25">
      <c r="H447" s="201" t="str">
        <f t="shared" si="6"/>
        <v/>
      </c>
      <c r="N447" s="164" t="str">
        <f>IFERROR(COUNTIF($B$19:B447,B447)&amp;CHOOSE(MIN(4,COUNTIF($B$19:B447,B447)),"st","nd","rd","th"),"")</f>
        <v/>
      </c>
    </row>
    <row r="448" spans="8:14" x14ac:dyDescent="0.25">
      <c r="H448" s="201" t="str">
        <f t="shared" si="6"/>
        <v/>
      </c>
      <c r="N448" s="164" t="str">
        <f>IFERROR(COUNTIF($B$19:B448,B448)&amp;CHOOSE(MIN(4,COUNTIF($B$19:B448,B448)),"st","nd","rd","th"),"")</f>
        <v/>
      </c>
    </row>
    <row r="449" spans="8:14" x14ac:dyDescent="0.25">
      <c r="H449" s="201" t="str">
        <f t="shared" si="6"/>
        <v/>
      </c>
      <c r="N449" s="164" t="str">
        <f>IFERROR(COUNTIF($B$19:B449,B449)&amp;CHOOSE(MIN(4,COUNTIF($B$19:B449,B449)),"st","nd","rd","th"),"")</f>
        <v/>
      </c>
    </row>
    <row r="450" spans="8:14" x14ac:dyDescent="0.25">
      <c r="H450" s="201" t="str">
        <f t="shared" si="6"/>
        <v/>
      </c>
      <c r="N450" s="164" t="str">
        <f>IFERROR(COUNTIF($B$19:B450,B450)&amp;CHOOSE(MIN(4,COUNTIF($B$19:B450,B450)),"st","nd","rd","th"),"")</f>
        <v/>
      </c>
    </row>
    <row r="451" spans="8:14" x14ac:dyDescent="0.25">
      <c r="H451" s="201" t="str">
        <f t="shared" si="6"/>
        <v/>
      </c>
      <c r="N451" s="164" t="str">
        <f>IFERROR(COUNTIF($B$19:B451,B451)&amp;CHOOSE(MIN(4,COUNTIF($B$19:B451,B451)),"st","nd","rd","th"),"")</f>
        <v/>
      </c>
    </row>
    <row r="452" spans="8:14" x14ac:dyDescent="0.25">
      <c r="H452" s="201" t="str">
        <f t="shared" si="6"/>
        <v/>
      </c>
      <c r="N452" s="164" t="str">
        <f>IFERROR(COUNTIF($B$19:B452,B452)&amp;CHOOSE(MIN(4,COUNTIF($B$19:B452,B452)),"st","nd","rd","th"),"")</f>
        <v/>
      </c>
    </row>
    <row r="453" spans="8:14" x14ac:dyDescent="0.25">
      <c r="H453" s="201" t="str">
        <f t="shared" si="6"/>
        <v/>
      </c>
      <c r="N453" s="164" t="str">
        <f>IFERROR(COUNTIF($B$19:B453,B453)&amp;CHOOSE(MIN(4,COUNTIF($B$19:B453,B453)),"st","nd","rd","th"),"")</f>
        <v/>
      </c>
    </row>
    <row r="454" spans="8:14" x14ac:dyDescent="0.25">
      <c r="H454" s="201" t="str">
        <f t="shared" si="6"/>
        <v/>
      </c>
      <c r="N454" s="164" t="str">
        <f>IFERROR(COUNTIF($B$19:B454,B454)&amp;CHOOSE(MIN(4,COUNTIF($B$19:B454,B454)),"st","nd","rd","th"),"")</f>
        <v/>
      </c>
    </row>
    <row r="455" spans="8:14" x14ac:dyDescent="0.25">
      <c r="H455" s="201" t="str">
        <f t="shared" si="6"/>
        <v/>
      </c>
      <c r="N455" s="164" t="str">
        <f>IFERROR(COUNTIF($B$19:B455,B455)&amp;CHOOSE(MIN(4,COUNTIF($B$19:B455,B455)),"st","nd","rd","th"),"")</f>
        <v/>
      </c>
    </row>
    <row r="456" spans="8:14" x14ac:dyDescent="0.25">
      <c r="H456" s="201" t="str">
        <f t="shared" si="6"/>
        <v/>
      </c>
      <c r="N456" s="164" t="str">
        <f>IFERROR(COUNTIF($B$19:B456,B456)&amp;CHOOSE(MIN(4,COUNTIF($B$19:B456,B456)),"st","nd","rd","th"),"")</f>
        <v/>
      </c>
    </row>
    <row r="457" spans="8:14" x14ac:dyDescent="0.25">
      <c r="H457" s="201" t="str">
        <f t="shared" si="6"/>
        <v/>
      </c>
      <c r="N457" s="164" t="str">
        <f>IFERROR(COUNTIF($B$19:B457,B457)&amp;CHOOSE(MIN(4,COUNTIF($B$19:B457,B457)),"st","nd","rd","th"),"")</f>
        <v/>
      </c>
    </row>
    <row r="458" spans="8:14" x14ac:dyDescent="0.25">
      <c r="H458" s="201" t="str">
        <f t="shared" si="6"/>
        <v/>
      </c>
      <c r="N458" s="164" t="str">
        <f>IFERROR(COUNTIF($B$19:B458,B458)&amp;CHOOSE(MIN(4,COUNTIF($B$19:B458,B458)),"st","nd","rd","th"),"")</f>
        <v/>
      </c>
    </row>
    <row r="459" spans="8:14" x14ac:dyDescent="0.25">
      <c r="H459" s="201" t="str">
        <f t="shared" si="6"/>
        <v/>
      </c>
      <c r="N459" s="164" t="str">
        <f>IFERROR(COUNTIF($B$19:B459,B459)&amp;CHOOSE(MIN(4,COUNTIF($B$19:B459,B459)),"st","nd","rd","th"),"")</f>
        <v/>
      </c>
    </row>
    <row r="460" spans="8:14" x14ac:dyDescent="0.25">
      <c r="H460" s="201" t="str">
        <f t="shared" si="6"/>
        <v/>
      </c>
      <c r="N460" s="164" t="str">
        <f>IFERROR(COUNTIF($B$19:B460,B460)&amp;CHOOSE(MIN(4,COUNTIF($B$19:B460,B460)),"st","nd","rd","th"),"")</f>
        <v/>
      </c>
    </row>
    <row r="461" spans="8:14" x14ac:dyDescent="0.25">
      <c r="H461" s="201" t="str">
        <f t="shared" si="6"/>
        <v/>
      </c>
      <c r="N461" s="164" t="str">
        <f>IFERROR(COUNTIF($B$19:B461,B461)&amp;CHOOSE(MIN(4,COUNTIF($B$19:B461,B461)),"st","nd","rd","th"),"")</f>
        <v/>
      </c>
    </row>
    <row r="462" spans="8:14" x14ac:dyDescent="0.25">
      <c r="H462" s="201" t="str">
        <f t="shared" si="6"/>
        <v/>
      </c>
      <c r="N462" s="164" t="str">
        <f>IFERROR(COUNTIF($B$19:B462,B462)&amp;CHOOSE(MIN(4,COUNTIF($B$19:B462,B462)),"st","nd","rd","th"),"")</f>
        <v/>
      </c>
    </row>
    <row r="463" spans="8:14" x14ac:dyDescent="0.25">
      <c r="H463" s="201" t="str">
        <f t="shared" si="6"/>
        <v/>
      </c>
      <c r="N463" s="164" t="str">
        <f>IFERROR(COUNTIF($B$19:B463,B463)&amp;CHOOSE(MIN(4,COUNTIF($B$19:B463,B463)),"st","nd","rd","th"),"")</f>
        <v/>
      </c>
    </row>
    <row r="464" spans="8:14" x14ac:dyDescent="0.25">
      <c r="H464" s="201" t="str">
        <f t="shared" si="6"/>
        <v/>
      </c>
      <c r="N464" s="164" t="str">
        <f>IFERROR(COUNTIF($B$19:B464,B464)&amp;CHOOSE(MIN(4,COUNTIF($B$19:B464,B464)),"st","nd","rd","th"),"")</f>
        <v/>
      </c>
    </row>
    <row r="465" spans="8:14" x14ac:dyDescent="0.25">
      <c r="H465" s="201" t="str">
        <f t="shared" si="6"/>
        <v/>
      </c>
      <c r="N465" s="164" t="str">
        <f>IFERROR(COUNTIF($B$19:B465,B465)&amp;CHOOSE(MIN(4,COUNTIF($B$19:B465,B465)),"st","nd","rd","th"),"")</f>
        <v/>
      </c>
    </row>
    <row r="466" spans="8:14" x14ac:dyDescent="0.25">
      <c r="H466" s="201" t="str">
        <f t="shared" si="6"/>
        <v/>
      </c>
      <c r="N466" s="164" t="str">
        <f>IFERROR(COUNTIF($B$19:B466,B466)&amp;CHOOSE(MIN(4,COUNTIF($B$19:B466,B466)),"st","nd","rd","th"),"")</f>
        <v/>
      </c>
    </row>
    <row r="467" spans="8:14" x14ac:dyDescent="0.25">
      <c r="H467" s="201" t="str">
        <f t="shared" si="6"/>
        <v/>
      </c>
      <c r="N467" s="164" t="str">
        <f>IFERROR(COUNTIF($B$19:B467,B467)&amp;CHOOSE(MIN(4,COUNTIF($B$19:B467,B467)),"st","nd","rd","th"),"")</f>
        <v/>
      </c>
    </row>
    <row r="468" spans="8:14" x14ac:dyDescent="0.25">
      <c r="H468" s="201" t="str">
        <f t="shared" ref="H468:H531" si="7">IF(OR(ISBLANK(G468), ISBLANK(F468)), "", IF(G468=F468, 1, SUM(_xlfn.DAYS(G468, F468), 1)))</f>
        <v/>
      </c>
      <c r="N468" s="164" t="str">
        <f>IFERROR(COUNTIF($B$19:B468,B468)&amp;CHOOSE(MIN(4,COUNTIF($B$19:B468,B468)),"st","nd","rd","th"),"")</f>
        <v/>
      </c>
    </row>
    <row r="469" spans="8:14" x14ac:dyDescent="0.25">
      <c r="H469" s="201" t="str">
        <f t="shared" si="7"/>
        <v/>
      </c>
      <c r="N469" s="164" t="str">
        <f>IFERROR(COUNTIF($B$19:B469,B469)&amp;CHOOSE(MIN(4,COUNTIF($B$19:B469,B469)),"st","nd","rd","th"),"")</f>
        <v/>
      </c>
    </row>
    <row r="470" spans="8:14" x14ac:dyDescent="0.25">
      <c r="H470" s="201" t="str">
        <f t="shared" si="7"/>
        <v/>
      </c>
      <c r="N470" s="164" t="str">
        <f>IFERROR(COUNTIF($B$19:B470,B470)&amp;CHOOSE(MIN(4,COUNTIF($B$19:B470,B470)),"st","nd","rd","th"),"")</f>
        <v/>
      </c>
    </row>
    <row r="471" spans="8:14" x14ac:dyDescent="0.25">
      <c r="H471" s="201" t="str">
        <f t="shared" si="7"/>
        <v/>
      </c>
      <c r="N471" s="164" t="str">
        <f>IFERROR(COUNTIF($B$19:B471,B471)&amp;CHOOSE(MIN(4,COUNTIF($B$19:B471,B471)),"st","nd","rd","th"),"")</f>
        <v/>
      </c>
    </row>
    <row r="472" spans="8:14" x14ac:dyDescent="0.25">
      <c r="H472" s="201" t="str">
        <f t="shared" si="7"/>
        <v/>
      </c>
      <c r="N472" s="164" t="str">
        <f>IFERROR(COUNTIF($B$19:B472,B472)&amp;CHOOSE(MIN(4,COUNTIF($B$19:B472,B472)),"st","nd","rd","th"),"")</f>
        <v/>
      </c>
    </row>
    <row r="473" spans="8:14" x14ac:dyDescent="0.25">
      <c r="H473" s="201" t="str">
        <f t="shared" si="7"/>
        <v/>
      </c>
      <c r="N473" s="164" t="str">
        <f>IFERROR(COUNTIF($B$19:B473,B473)&amp;CHOOSE(MIN(4,COUNTIF($B$19:B473,B473)),"st","nd","rd","th"),"")</f>
        <v/>
      </c>
    </row>
    <row r="474" spans="8:14" x14ac:dyDescent="0.25">
      <c r="H474" s="201" t="str">
        <f t="shared" si="7"/>
        <v/>
      </c>
      <c r="N474" s="164" t="str">
        <f>IFERROR(COUNTIF($B$19:B474,B474)&amp;CHOOSE(MIN(4,COUNTIF($B$19:B474,B474)),"st","nd","rd","th"),"")</f>
        <v/>
      </c>
    </row>
    <row r="475" spans="8:14" x14ac:dyDescent="0.25">
      <c r="H475" s="201" t="str">
        <f t="shared" si="7"/>
        <v/>
      </c>
      <c r="N475" s="164" t="str">
        <f>IFERROR(COUNTIF($B$19:B475,B475)&amp;CHOOSE(MIN(4,COUNTIF($B$19:B475,B475)),"st","nd","rd","th"),"")</f>
        <v/>
      </c>
    </row>
    <row r="476" spans="8:14" x14ac:dyDescent="0.25">
      <c r="H476" s="201" t="str">
        <f t="shared" si="7"/>
        <v/>
      </c>
      <c r="N476" s="164" t="str">
        <f>IFERROR(COUNTIF($B$19:B476,B476)&amp;CHOOSE(MIN(4,COUNTIF($B$19:B476,B476)),"st","nd","rd","th"),"")</f>
        <v/>
      </c>
    </row>
    <row r="477" spans="8:14" x14ac:dyDescent="0.25">
      <c r="H477" s="201" t="str">
        <f t="shared" si="7"/>
        <v/>
      </c>
      <c r="N477" s="164" t="str">
        <f>IFERROR(COUNTIF($B$19:B477,B477)&amp;CHOOSE(MIN(4,COUNTIF($B$19:B477,B477)),"st","nd","rd","th"),"")</f>
        <v/>
      </c>
    </row>
    <row r="478" spans="8:14" x14ac:dyDescent="0.25">
      <c r="H478" s="201" t="str">
        <f t="shared" si="7"/>
        <v/>
      </c>
      <c r="N478" s="164" t="str">
        <f>IFERROR(COUNTIF($B$19:B478,B478)&amp;CHOOSE(MIN(4,COUNTIF($B$19:B478,B478)),"st","nd","rd","th"),"")</f>
        <v/>
      </c>
    </row>
    <row r="479" spans="8:14" x14ac:dyDescent="0.25">
      <c r="H479" s="201" t="str">
        <f t="shared" si="7"/>
        <v/>
      </c>
      <c r="N479" s="164" t="str">
        <f>IFERROR(COUNTIF($B$19:B479,B479)&amp;CHOOSE(MIN(4,COUNTIF($B$19:B479,B479)),"st","nd","rd","th"),"")</f>
        <v/>
      </c>
    </row>
    <row r="480" spans="8:14" x14ac:dyDescent="0.25">
      <c r="H480" s="201" t="str">
        <f t="shared" si="7"/>
        <v/>
      </c>
      <c r="N480" s="164" t="str">
        <f>IFERROR(COUNTIF($B$19:B480,B480)&amp;CHOOSE(MIN(4,COUNTIF($B$19:B480,B480)),"st","nd","rd","th"),"")</f>
        <v/>
      </c>
    </row>
    <row r="481" spans="8:14" x14ac:dyDescent="0.25">
      <c r="H481" s="201" t="str">
        <f t="shared" si="7"/>
        <v/>
      </c>
      <c r="N481" s="164" t="str">
        <f>IFERROR(COUNTIF($B$19:B481,B481)&amp;CHOOSE(MIN(4,COUNTIF($B$19:B481,B481)),"st","nd","rd","th"),"")</f>
        <v/>
      </c>
    </row>
    <row r="482" spans="8:14" x14ac:dyDescent="0.25">
      <c r="H482" s="201" t="str">
        <f t="shared" si="7"/>
        <v/>
      </c>
      <c r="N482" s="164" t="str">
        <f>IFERROR(COUNTIF($B$19:B482,B482)&amp;CHOOSE(MIN(4,COUNTIF($B$19:B482,B482)),"st","nd","rd","th"),"")</f>
        <v/>
      </c>
    </row>
    <row r="483" spans="8:14" x14ac:dyDescent="0.25">
      <c r="H483" s="201" t="str">
        <f t="shared" si="7"/>
        <v/>
      </c>
      <c r="N483" s="164" t="str">
        <f>IFERROR(COUNTIF($B$19:B483,B483)&amp;CHOOSE(MIN(4,COUNTIF($B$19:B483,B483)),"st","nd","rd","th"),"")</f>
        <v/>
      </c>
    </row>
    <row r="484" spans="8:14" x14ac:dyDescent="0.25">
      <c r="H484" s="201" t="str">
        <f t="shared" si="7"/>
        <v/>
      </c>
      <c r="N484" s="164" t="str">
        <f>IFERROR(COUNTIF($B$19:B484,B484)&amp;CHOOSE(MIN(4,COUNTIF($B$19:B484,B484)),"st","nd","rd","th"),"")</f>
        <v/>
      </c>
    </row>
    <row r="485" spans="8:14" x14ac:dyDescent="0.25">
      <c r="H485" s="201" t="str">
        <f t="shared" si="7"/>
        <v/>
      </c>
      <c r="N485" s="164" t="str">
        <f>IFERROR(COUNTIF($B$19:B485,B485)&amp;CHOOSE(MIN(4,COUNTIF($B$19:B485,B485)),"st","nd","rd","th"),"")</f>
        <v/>
      </c>
    </row>
    <row r="486" spans="8:14" x14ac:dyDescent="0.25">
      <c r="H486" s="201" t="str">
        <f t="shared" si="7"/>
        <v/>
      </c>
      <c r="N486" s="164" t="str">
        <f>IFERROR(COUNTIF($B$19:B486,B486)&amp;CHOOSE(MIN(4,COUNTIF($B$19:B486,B486)),"st","nd","rd","th"),"")</f>
        <v/>
      </c>
    </row>
    <row r="487" spans="8:14" x14ac:dyDescent="0.25">
      <c r="H487" s="201" t="str">
        <f t="shared" si="7"/>
        <v/>
      </c>
      <c r="N487" s="164" t="str">
        <f>IFERROR(COUNTIF($B$19:B487,B487)&amp;CHOOSE(MIN(4,COUNTIF($B$19:B487,B487)),"st","nd","rd","th"),"")</f>
        <v/>
      </c>
    </row>
    <row r="488" spans="8:14" x14ac:dyDescent="0.25">
      <c r="H488" s="201" t="str">
        <f t="shared" si="7"/>
        <v/>
      </c>
      <c r="N488" s="164" t="str">
        <f>IFERROR(COUNTIF($B$19:B488,B488)&amp;CHOOSE(MIN(4,COUNTIF($B$19:B488,B488)),"st","nd","rd","th"),"")</f>
        <v/>
      </c>
    </row>
    <row r="489" spans="8:14" x14ac:dyDescent="0.25">
      <c r="H489" s="201" t="str">
        <f t="shared" si="7"/>
        <v/>
      </c>
      <c r="N489" s="164" t="str">
        <f>IFERROR(COUNTIF($B$19:B489,B489)&amp;CHOOSE(MIN(4,COUNTIF($B$19:B489,B489)),"st","nd","rd","th"),"")</f>
        <v/>
      </c>
    </row>
    <row r="490" spans="8:14" x14ac:dyDescent="0.25">
      <c r="H490" s="201" t="str">
        <f t="shared" si="7"/>
        <v/>
      </c>
      <c r="N490" s="164" t="str">
        <f>IFERROR(COUNTIF($B$19:B490,B490)&amp;CHOOSE(MIN(4,COUNTIF($B$19:B490,B490)),"st","nd","rd","th"),"")</f>
        <v/>
      </c>
    </row>
    <row r="491" spans="8:14" x14ac:dyDescent="0.25">
      <c r="H491" s="201" t="str">
        <f t="shared" si="7"/>
        <v/>
      </c>
      <c r="N491" s="164" t="str">
        <f>IFERROR(COUNTIF($B$19:B491,B491)&amp;CHOOSE(MIN(4,COUNTIF($B$19:B491,B491)),"st","nd","rd","th"),"")</f>
        <v/>
      </c>
    </row>
    <row r="492" spans="8:14" x14ac:dyDescent="0.25">
      <c r="H492" s="201" t="str">
        <f t="shared" si="7"/>
        <v/>
      </c>
      <c r="N492" s="164" t="str">
        <f>IFERROR(COUNTIF($B$19:B492,B492)&amp;CHOOSE(MIN(4,COUNTIF($B$19:B492,B492)),"st","nd","rd","th"),"")</f>
        <v/>
      </c>
    </row>
    <row r="493" spans="8:14" x14ac:dyDescent="0.25">
      <c r="H493" s="201" t="str">
        <f t="shared" si="7"/>
        <v/>
      </c>
      <c r="N493" s="164" t="str">
        <f>IFERROR(COUNTIF($B$19:B493,B493)&amp;CHOOSE(MIN(4,COUNTIF($B$19:B493,B493)),"st","nd","rd","th"),"")</f>
        <v/>
      </c>
    </row>
    <row r="494" spans="8:14" x14ac:dyDescent="0.25">
      <c r="H494" s="201" t="str">
        <f t="shared" si="7"/>
        <v/>
      </c>
      <c r="N494" s="164" t="str">
        <f>IFERROR(COUNTIF($B$19:B494,B494)&amp;CHOOSE(MIN(4,COUNTIF($B$19:B494,B494)),"st","nd","rd","th"),"")</f>
        <v/>
      </c>
    </row>
    <row r="495" spans="8:14" x14ac:dyDescent="0.25">
      <c r="H495" s="201" t="str">
        <f t="shared" si="7"/>
        <v/>
      </c>
      <c r="N495" s="164" t="str">
        <f>IFERROR(COUNTIF($B$19:B495,B495)&amp;CHOOSE(MIN(4,COUNTIF($B$19:B495,B495)),"st","nd","rd","th"),"")</f>
        <v/>
      </c>
    </row>
    <row r="496" spans="8:14" x14ac:dyDescent="0.25">
      <c r="H496" s="201" t="str">
        <f t="shared" si="7"/>
        <v/>
      </c>
      <c r="N496" s="164" t="str">
        <f>IFERROR(COUNTIF($B$19:B496,B496)&amp;CHOOSE(MIN(4,COUNTIF($B$19:B496,B496)),"st","nd","rd","th"),"")</f>
        <v/>
      </c>
    </row>
    <row r="497" spans="8:14" x14ac:dyDescent="0.25">
      <c r="H497" s="201" t="str">
        <f t="shared" si="7"/>
        <v/>
      </c>
      <c r="N497" s="164" t="str">
        <f>IFERROR(COUNTIF($B$19:B497,B497)&amp;CHOOSE(MIN(4,COUNTIF($B$19:B497,B497)),"st","nd","rd","th"),"")</f>
        <v/>
      </c>
    </row>
    <row r="498" spans="8:14" x14ac:dyDescent="0.25">
      <c r="H498" s="201" t="str">
        <f t="shared" si="7"/>
        <v/>
      </c>
      <c r="N498" s="164" t="str">
        <f>IFERROR(COUNTIF($B$19:B498,B498)&amp;CHOOSE(MIN(4,COUNTIF($B$19:B498,B498)),"st","nd","rd","th"),"")</f>
        <v/>
      </c>
    </row>
    <row r="499" spans="8:14" x14ac:dyDescent="0.25">
      <c r="H499" s="201" t="str">
        <f t="shared" si="7"/>
        <v/>
      </c>
      <c r="N499" s="164" t="str">
        <f>IFERROR(COUNTIF($B$19:B499,B499)&amp;CHOOSE(MIN(4,COUNTIF($B$19:B499,B499)),"st","nd","rd","th"),"")</f>
        <v/>
      </c>
    </row>
    <row r="500" spans="8:14" x14ac:dyDescent="0.25">
      <c r="H500" s="201" t="str">
        <f t="shared" si="7"/>
        <v/>
      </c>
      <c r="N500" s="164" t="str">
        <f>IFERROR(COUNTIF($B$19:B500,B500)&amp;CHOOSE(MIN(4,COUNTIF($B$19:B500,B500)),"st","nd","rd","th"),"")</f>
        <v/>
      </c>
    </row>
    <row r="501" spans="8:14" x14ac:dyDescent="0.25">
      <c r="H501" s="201" t="str">
        <f t="shared" si="7"/>
        <v/>
      </c>
      <c r="N501" s="164" t="str">
        <f>IFERROR(COUNTIF($B$19:B501,B501)&amp;CHOOSE(MIN(4,COUNTIF($B$19:B501,B501)),"st","nd","rd","th"),"")</f>
        <v/>
      </c>
    </row>
    <row r="502" spans="8:14" x14ac:dyDescent="0.25">
      <c r="H502" s="201" t="str">
        <f t="shared" si="7"/>
        <v/>
      </c>
      <c r="N502" s="164" t="str">
        <f>IFERROR(COUNTIF($B$19:B502,B502)&amp;CHOOSE(MIN(4,COUNTIF($B$19:B502,B502)),"st","nd","rd","th"),"")</f>
        <v/>
      </c>
    </row>
    <row r="503" spans="8:14" x14ac:dyDescent="0.25">
      <c r="H503" s="201" t="str">
        <f t="shared" si="7"/>
        <v/>
      </c>
      <c r="N503" s="164" t="str">
        <f>IFERROR(COUNTIF($B$19:B503,B503)&amp;CHOOSE(MIN(4,COUNTIF($B$19:B503,B503)),"st","nd","rd","th"),"")</f>
        <v/>
      </c>
    </row>
    <row r="504" spans="8:14" x14ac:dyDescent="0.25">
      <c r="H504" s="201" t="str">
        <f t="shared" si="7"/>
        <v/>
      </c>
      <c r="N504" s="164" t="str">
        <f>IFERROR(COUNTIF($B$19:B504,B504)&amp;CHOOSE(MIN(4,COUNTIF($B$19:B504,B504)),"st","nd","rd","th"),"")</f>
        <v/>
      </c>
    </row>
    <row r="505" spans="8:14" x14ac:dyDescent="0.25">
      <c r="H505" s="201" t="str">
        <f t="shared" si="7"/>
        <v/>
      </c>
      <c r="N505" s="164" t="str">
        <f>IFERROR(COUNTIF($B$19:B505,B505)&amp;CHOOSE(MIN(4,COUNTIF($B$19:B505,B505)),"st","nd","rd","th"),"")</f>
        <v/>
      </c>
    </row>
    <row r="506" spans="8:14" x14ac:dyDescent="0.25">
      <c r="H506" s="201" t="str">
        <f t="shared" si="7"/>
        <v/>
      </c>
      <c r="N506" s="164" t="str">
        <f>IFERROR(COUNTIF($B$19:B506,B506)&amp;CHOOSE(MIN(4,COUNTIF($B$19:B506,B506)),"st","nd","rd","th"),"")</f>
        <v/>
      </c>
    </row>
    <row r="507" spans="8:14" x14ac:dyDescent="0.25">
      <c r="H507" s="201" t="str">
        <f t="shared" si="7"/>
        <v/>
      </c>
      <c r="N507" s="164" t="str">
        <f>IFERROR(COUNTIF($B$19:B507,B507)&amp;CHOOSE(MIN(4,COUNTIF($B$19:B507,B507)),"st","nd","rd","th"),"")</f>
        <v/>
      </c>
    </row>
    <row r="508" spans="8:14" x14ac:dyDescent="0.25">
      <c r="H508" s="201" t="str">
        <f t="shared" si="7"/>
        <v/>
      </c>
      <c r="N508" s="164" t="str">
        <f>IFERROR(COUNTIF($B$19:B508,B508)&amp;CHOOSE(MIN(4,COUNTIF($B$19:B508,B508)),"st","nd","rd","th"),"")</f>
        <v/>
      </c>
    </row>
    <row r="509" spans="8:14" x14ac:dyDescent="0.25">
      <c r="H509" s="201" t="str">
        <f t="shared" si="7"/>
        <v/>
      </c>
      <c r="N509" s="164" t="str">
        <f>IFERROR(COUNTIF($B$19:B509,B509)&amp;CHOOSE(MIN(4,COUNTIF($B$19:B509,B509)),"st","nd","rd","th"),"")</f>
        <v/>
      </c>
    </row>
    <row r="510" spans="8:14" x14ac:dyDescent="0.25">
      <c r="H510" s="201" t="str">
        <f t="shared" si="7"/>
        <v/>
      </c>
      <c r="N510" s="164" t="str">
        <f>IFERROR(COUNTIF($B$19:B510,B510)&amp;CHOOSE(MIN(4,COUNTIF($B$19:B510,B510)),"st","nd","rd","th"),"")</f>
        <v/>
      </c>
    </row>
    <row r="511" spans="8:14" x14ac:dyDescent="0.25">
      <c r="H511" s="201" t="str">
        <f t="shared" si="7"/>
        <v/>
      </c>
      <c r="N511" s="164" t="str">
        <f>IFERROR(COUNTIF($B$19:B511,B511)&amp;CHOOSE(MIN(4,COUNTIF($B$19:B511,B511)),"st","nd","rd","th"),"")</f>
        <v/>
      </c>
    </row>
    <row r="512" spans="8:14" x14ac:dyDescent="0.25">
      <c r="H512" s="201" t="str">
        <f t="shared" si="7"/>
        <v/>
      </c>
      <c r="N512" s="164" t="str">
        <f>IFERROR(COUNTIF($B$19:B512,B512)&amp;CHOOSE(MIN(4,COUNTIF($B$19:B512,B512)),"st","nd","rd","th"),"")</f>
        <v/>
      </c>
    </row>
    <row r="513" spans="8:14" x14ac:dyDescent="0.25">
      <c r="H513" s="201" t="str">
        <f t="shared" si="7"/>
        <v/>
      </c>
      <c r="N513" s="164" t="str">
        <f>IFERROR(COUNTIF($B$19:B513,B513)&amp;CHOOSE(MIN(4,COUNTIF($B$19:B513,B513)),"st","nd","rd","th"),"")</f>
        <v/>
      </c>
    </row>
    <row r="514" spans="8:14" x14ac:dyDescent="0.25">
      <c r="H514" s="201" t="str">
        <f t="shared" si="7"/>
        <v/>
      </c>
      <c r="N514" s="164" t="str">
        <f>IFERROR(COUNTIF($B$19:B514,B514)&amp;CHOOSE(MIN(4,COUNTIF($B$19:B514,B514)),"st","nd","rd","th"),"")</f>
        <v/>
      </c>
    </row>
    <row r="515" spans="8:14" x14ac:dyDescent="0.25">
      <c r="H515" s="201" t="str">
        <f t="shared" si="7"/>
        <v/>
      </c>
      <c r="N515" s="164" t="str">
        <f>IFERROR(COUNTIF($B$19:B515,B515)&amp;CHOOSE(MIN(4,COUNTIF($B$19:B515,B515)),"st","nd","rd","th"),"")</f>
        <v/>
      </c>
    </row>
    <row r="516" spans="8:14" x14ac:dyDescent="0.25">
      <c r="H516" s="201" t="str">
        <f t="shared" si="7"/>
        <v/>
      </c>
      <c r="N516" s="164" t="str">
        <f>IFERROR(COUNTIF($B$19:B516,B516)&amp;CHOOSE(MIN(4,COUNTIF($B$19:B516,B516)),"st","nd","rd","th"),"")</f>
        <v/>
      </c>
    </row>
    <row r="517" spans="8:14" x14ac:dyDescent="0.25">
      <c r="H517" s="201" t="str">
        <f t="shared" si="7"/>
        <v/>
      </c>
      <c r="N517" s="164" t="str">
        <f>IFERROR(COUNTIF($B$19:B517,B517)&amp;CHOOSE(MIN(4,COUNTIF($B$19:B517,B517)),"st","nd","rd","th"),"")</f>
        <v/>
      </c>
    </row>
    <row r="518" spans="8:14" x14ac:dyDescent="0.25">
      <c r="H518" s="201" t="str">
        <f t="shared" si="7"/>
        <v/>
      </c>
      <c r="N518" s="164" t="str">
        <f>IFERROR(COUNTIF($B$19:B518,B518)&amp;CHOOSE(MIN(4,COUNTIF($B$19:B518,B518)),"st","nd","rd","th"),"")</f>
        <v/>
      </c>
    </row>
    <row r="519" spans="8:14" x14ac:dyDescent="0.25">
      <c r="H519" s="201" t="str">
        <f t="shared" si="7"/>
        <v/>
      </c>
      <c r="N519" s="164" t="str">
        <f>IFERROR(COUNTIF($B$19:B519,B519)&amp;CHOOSE(MIN(4,COUNTIF($B$19:B519,B519)),"st","nd","rd","th"),"")</f>
        <v/>
      </c>
    </row>
    <row r="520" spans="8:14" x14ac:dyDescent="0.25">
      <c r="H520" s="201" t="str">
        <f t="shared" si="7"/>
        <v/>
      </c>
      <c r="N520" s="164" t="str">
        <f>IFERROR(COUNTIF($B$19:B520,B520)&amp;CHOOSE(MIN(4,COUNTIF($B$19:B520,B520)),"st","nd","rd","th"),"")</f>
        <v/>
      </c>
    </row>
    <row r="521" spans="8:14" x14ac:dyDescent="0.25">
      <c r="H521" s="201" t="str">
        <f t="shared" si="7"/>
        <v/>
      </c>
      <c r="N521" s="164" t="str">
        <f>IFERROR(COUNTIF($B$19:B521,B521)&amp;CHOOSE(MIN(4,COUNTIF($B$19:B521,B521)),"st","nd","rd","th"),"")</f>
        <v/>
      </c>
    </row>
    <row r="522" spans="8:14" x14ac:dyDescent="0.25">
      <c r="H522" s="201" t="str">
        <f t="shared" si="7"/>
        <v/>
      </c>
      <c r="N522" s="164" t="str">
        <f>IFERROR(COUNTIF($B$19:B522,B522)&amp;CHOOSE(MIN(4,COUNTIF($B$19:B522,B522)),"st","nd","rd","th"),"")</f>
        <v/>
      </c>
    </row>
    <row r="523" spans="8:14" x14ac:dyDescent="0.25">
      <c r="H523" s="201" t="str">
        <f t="shared" si="7"/>
        <v/>
      </c>
      <c r="N523" s="164" t="str">
        <f>IFERROR(COUNTIF($B$19:B523,B523)&amp;CHOOSE(MIN(4,COUNTIF($B$19:B523,B523)),"st","nd","rd","th"),"")</f>
        <v/>
      </c>
    </row>
    <row r="524" spans="8:14" x14ac:dyDescent="0.25">
      <c r="H524" s="201" t="str">
        <f t="shared" si="7"/>
        <v/>
      </c>
      <c r="N524" s="164" t="str">
        <f>IFERROR(COUNTIF($B$19:B524,B524)&amp;CHOOSE(MIN(4,COUNTIF($B$19:B524,B524)),"st","nd","rd","th"),"")</f>
        <v/>
      </c>
    </row>
    <row r="525" spans="8:14" x14ac:dyDescent="0.25">
      <c r="H525" s="201" t="str">
        <f t="shared" si="7"/>
        <v/>
      </c>
      <c r="N525" s="164" t="str">
        <f>IFERROR(COUNTIF($B$19:B525,B525)&amp;CHOOSE(MIN(4,COUNTIF($B$19:B525,B525)),"st","nd","rd","th"),"")</f>
        <v/>
      </c>
    </row>
    <row r="526" spans="8:14" x14ac:dyDescent="0.25">
      <c r="H526" s="201" t="str">
        <f t="shared" si="7"/>
        <v/>
      </c>
      <c r="N526" s="164" t="str">
        <f>IFERROR(COUNTIF($B$19:B526,B526)&amp;CHOOSE(MIN(4,COUNTIF($B$19:B526,B526)),"st","nd","rd","th"),"")</f>
        <v/>
      </c>
    </row>
    <row r="527" spans="8:14" x14ac:dyDescent="0.25">
      <c r="H527" s="201" t="str">
        <f t="shared" si="7"/>
        <v/>
      </c>
      <c r="N527" s="164" t="str">
        <f>IFERROR(COUNTIF($B$19:B527,B527)&amp;CHOOSE(MIN(4,COUNTIF($B$19:B527,B527)),"st","nd","rd","th"),"")</f>
        <v/>
      </c>
    </row>
    <row r="528" spans="8:14" x14ac:dyDescent="0.25">
      <c r="H528" s="201" t="str">
        <f t="shared" si="7"/>
        <v/>
      </c>
      <c r="N528" s="164" t="str">
        <f>IFERROR(COUNTIF($B$19:B528,B528)&amp;CHOOSE(MIN(4,COUNTIF($B$19:B528,B528)),"st","nd","rd","th"),"")</f>
        <v/>
      </c>
    </row>
    <row r="529" spans="8:14" x14ac:dyDescent="0.25">
      <c r="H529" s="201" t="str">
        <f t="shared" si="7"/>
        <v/>
      </c>
      <c r="N529" s="164" t="str">
        <f>IFERROR(COUNTIF($B$19:B529,B529)&amp;CHOOSE(MIN(4,COUNTIF($B$19:B529,B529)),"st","nd","rd","th"),"")</f>
        <v/>
      </c>
    </row>
    <row r="530" spans="8:14" x14ac:dyDescent="0.25">
      <c r="H530" s="201" t="str">
        <f t="shared" si="7"/>
        <v/>
      </c>
      <c r="N530" s="164" t="str">
        <f>IFERROR(COUNTIF($B$19:B530,B530)&amp;CHOOSE(MIN(4,COUNTIF($B$19:B530,B530)),"st","nd","rd","th"),"")</f>
        <v/>
      </c>
    </row>
    <row r="531" spans="8:14" x14ac:dyDescent="0.25">
      <c r="H531" s="201" t="str">
        <f t="shared" si="7"/>
        <v/>
      </c>
      <c r="N531" s="164" t="str">
        <f>IFERROR(COUNTIF($B$19:B531,B531)&amp;CHOOSE(MIN(4,COUNTIF($B$19:B531,B531)),"st","nd","rd","th"),"")</f>
        <v/>
      </c>
    </row>
    <row r="532" spans="8:14" x14ac:dyDescent="0.25">
      <c r="H532" s="201" t="str">
        <f t="shared" ref="H532:H595" si="8">IF(OR(ISBLANK(G532), ISBLANK(F532)), "", IF(G532=F532, 1, SUM(_xlfn.DAYS(G532, F532), 1)))</f>
        <v/>
      </c>
      <c r="N532" s="164" t="str">
        <f>IFERROR(COUNTIF($B$19:B532,B532)&amp;CHOOSE(MIN(4,COUNTIF($B$19:B532,B532)),"st","nd","rd","th"),"")</f>
        <v/>
      </c>
    </row>
    <row r="533" spans="8:14" x14ac:dyDescent="0.25">
      <c r="H533" s="201" t="str">
        <f t="shared" si="8"/>
        <v/>
      </c>
      <c r="N533" s="164" t="str">
        <f>IFERROR(COUNTIF($B$19:B533,B533)&amp;CHOOSE(MIN(4,COUNTIF($B$19:B533,B533)),"st","nd","rd","th"),"")</f>
        <v/>
      </c>
    </row>
    <row r="534" spans="8:14" x14ac:dyDescent="0.25">
      <c r="H534" s="201" t="str">
        <f t="shared" si="8"/>
        <v/>
      </c>
      <c r="N534" s="164" t="str">
        <f>IFERROR(COUNTIF($B$19:B534,B534)&amp;CHOOSE(MIN(4,COUNTIF($B$19:B534,B534)),"st","nd","rd","th"),"")</f>
        <v/>
      </c>
    </row>
    <row r="535" spans="8:14" x14ac:dyDescent="0.25">
      <c r="H535" s="201" t="str">
        <f t="shared" si="8"/>
        <v/>
      </c>
      <c r="N535" s="164" t="str">
        <f>IFERROR(COUNTIF($B$19:B535,B535)&amp;CHOOSE(MIN(4,COUNTIF($B$19:B535,B535)),"st","nd","rd","th"),"")</f>
        <v/>
      </c>
    </row>
    <row r="536" spans="8:14" x14ac:dyDescent="0.25">
      <c r="H536" s="201" t="str">
        <f t="shared" si="8"/>
        <v/>
      </c>
      <c r="N536" s="164" t="str">
        <f>IFERROR(COUNTIF($B$19:B536,B536)&amp;CHOOSE(MIN(4,COUNTIF($B$19:B536,B536)),"st","nd","rd","th"),"")</f>
        <v/>
      </c>
    </row>
    <row r="537" spans="8:14" x14ac:dyDescent="0.25">
      <c r="H537" s="201" t="str">
        <f t="shared" si="8"/>
        <v/>
      </c>
      <c r="N537" s="164" t="str">
        <f>IFERROR(COUNTIF($B$19:B537,B537)&amp;CHOOSE(MIN(4,COUNTIF($B$19:B537,B537)),"st","nd","rd","th"),"")</f>
        <v/>
      </c>
    </row>
    <row r="538" spans="8:14" x14ac:dyDescent="0.25">
      <c r="H538" s="201" t="str">
        <f t="shared" si="8"/>
        <v/>
      </c>
      <c r="N538" s="164" t="str">
        <f>IFERROR(COUNTIF($B$19:B538,B538)&amp;CHOOSE(MIN(4,COUNTIF($B$19:B538,B538)),"st","nd","rd","th"),"")</f>
        <v/>
      </c>
    </row>
    <row r="539" spans="8:14" x14ac:dyDescent="0.25">
      <c r="H539" s="201" t="str">
        <f t="shared" si="8"/>
        <v/>
      </c>
      <c r="N539" s="164" t="str">
        <f>IFERROR(COUNTIF($B$19:B539,B539)&amp;CHOOSE(MIN(4,COUNTIF($B$19:B539,B539)),"st","nd","rd","th"),"")</f>
        <v/>
      </c>
    </row>
    <row r="540" spans="8:14" x14ac:dyDescent="0.25">
      <c r="H540" s="201" t="str">
        <f t="shared" si="8"/>
        <v/>
      </c>
      <c r="N540" s="164" t="str">
        <f>IFERROR(COUNTIF($B$19:B540,B540)&amp;CHOOSE(MIN(4,COUNTIF($B$19:B540,B540)),"st","nd","rd","th"),"")</f>
        <v/>
      </c>
    </row>
    <row r="541" spans="8:14" x14ac:dyDescent="0.25">
      <c r="H541" s="201" t="str">
        <f t="shared" si="8"/>
        <v/>
      </c>
      <c r="N541" s="164" t="str">
        <f>IFERROR(COUNTIF($B$19:B541,B541)&amp;CHOOSE(MIN(4,COUNTIF($B$19:B541,B541)),"st","nd","rd","th"),"")</f>
        <v/>
      </c>
    </row>
    <row r="542" spans="8:14" x14ac:dyDescent="0.25">
      <c r="H542" s="201" t="str">
        <f t="shared" si="8"/>
        <v/>
      </c>
      <c r="N542" s="164" t="str">
        <f>IFERROR(COUNTIF($B$19:B542,B542)&amp;CHOOSE(MIN(4,COUNTIF($B$19:B542,B542)),"st","nd","rd","th"),"")</f>
        <v/>
      </c>
    </row>
    <row r="543" spans="8:14" x14ac:dyDescent="0.25">
      <c r="H543" s="201" t="str">
        <f t="shared" si="8"/>
        <v/>
      </c>
      <c r="N543" s="164" t="str">
        <f>IFERROR(COUNTIF($B$19:B543,B543)&amp;CHOOSE(MIN(4,COUNTIF($B$19:B543,B543)),"st","nd","rd","th"),"")</f>
        <v/>
      </c>
    </row>
    <row r="544" spans="8:14" x14ac:dyDescent="0.25">
      <c r="H544" s="201" t="str">
        <f t="shared" si="8"/>
        <v/>
      </c>
      <c r="N544" s="164" t="str">
        <f>IFERROR(COUNTIF($B$19:B544,B544)&amp;CHOOSE(MIN(4,COUNTIF($B$19:B544,B544)),"st","nd","rd","th"),"")</f>
        <v/>
      </c>
    </row>
    <row r="545" spans="8:14" x14ac:dyDescent="0.25">
      <c r="H545" s="201" t="str">
        <f t="shared" si="8"/>
        <v/>
      </c>
      <c r="N545" s="164" t="str">
        <f>IFERROR(COUNTIF($B$19:B545,B545)&amp;CHOOSE(MIN(4,COUNTIF($B$19:B545,B545)),"st","nd","rd","th"),"")</f>
        <v/>
      </c>
    </row>
    <row r="546" spans="8:14" x14ac:dyDescent="0.25">
      <c r="H546" s="201" t="str">
        <f t="shared" si="8"/>
        <v/>
      </c>
      <c r="N546" s="164" t="str">
        <f>IFERROR(COUNTIF($B$19:B546,B546)&amp;CHOOSE(MIN(4,COUNTIF($B$19:B546,B546)),"st","nd","rd","th"),"")</f>
        <v/>
      </c>
    </row>
    <row r="547" spans="8:14" x14ac:dyDescent="0.25">
      <c r="H547" s="201" t="str">
        <f t="shared" si="8"/>
        <v/>
      </c>
      <c r="N547" s="164" t="str">
        <f>IFERROR(COUNTIF($B$19:B547,B547)&amp;CHOOSE(MIN(4,COUNTIF($B$19:B547,B547)),"st","nd","rd","th"),"")</f>
        <v/>
      </c>
    </row>
    <row r="548" spans="8:14" x14ac:dyDescent="0.25">
      <c r="H548" s="201" t="str">
        <f t="shared" si="8"/>
        <v/>
      </c>
      <c r="N548" s="164" t="str">
        <f>IFERROR(COUNTIF($B$19:B548,B548)&amp;CHOOSE(MIN(4,COUNTIF($B$19:B548,B548)),"st","nd","rd","th"),"")</f>
        <v/>
      </c>
    </row>
    <row r="549" spans="8:14" x14ac:dyDescent="0.25">
      <c r="H549" s="201" t="str">
        <f t="shared" si="8"/>
        <v/>
      </c>
      <c r="N549" s="164" t="str">
        <f>IFERROR(COUNTIF($B$19:B549,B549)&amp;CHOOSE(MIN(4,COUNTIF($B$19:B549,B549)),"st","nd","rd","th"),"")</f>
        <v/>
      </c>
    </row>
    <row r="550" spans="8:14" x14ac:dyDescent="0.25">
      <c r="H550" s="201" t="str">
        <f t="shared" si="8"/>
        <v/>
      </c>
      <c r="N550" s="164" t="str">
        <f>IFERROR(COUNTIF($B$19:B550,B550)&amp;CHOOSE(MIN(4,COUNTIF($B$19:B550,B550)),"st","nd","rd","th"),"")</f>
        <v/>
      </c>
    </row>
    <row r="551" spans="8:14" x14ac:dyDescent="0.25">
      <c r="H551" s="201" t="str">
        <f t="shared" si="8"/>
        <v/>
      </c>
      <c r="N551" s="164" t="str">
        <f>IFERROR(COUNTIF($B$19:B551,B551)&amp;CHOOSE(MIN(4,COUNTIF($B$19:B551,B551)),"st","nd","rd","th"),"")</f>
        <v/>
      </c>
    </row>
    <row r="552" spans="8:14" x14ac:dyDescent="0.25">
      <c r="H552" s="201" t="str">
        <f t="shared" si="8"/>
        <v/>
      </c>
      <c r="N552" s="164" t="str">
        <f>IFERROR(COUNTIF($B$19:B552,B552)&amp;CHOOSE(MIN(4,COUNTIF($B$19:B552,B552)),"st","nd","rd","th"),"")</f>
        <v/>
      </c>
    </row>
    <row r="553" spans="8:14" x14ac:dyDescent="0.25">
      <c r="H553" s="201" t="str">
        <f t="shared" si="8"/>
        <v/>
      </c>
      <c r="N553" s="164" t="str">
        <f>IFERROR(COUNTIF($B$19:B553,B553)&amp;CHOOSE(MIN(4,COUNTIF($B$19:B553,B553)),"st","nd","rd","th"),"")</f>
        <v/>
      </c>
    </row>
    <row r="554" spans="8:14" x14ac:dyDescent="0.25">
      <c r="H554" s="201" t="str">
        <f t="shared" si="8"/>
        <v/>
      </c>
      <c r="N554" s="164" t="str">
        <f>IFERROR(COUNTIF($B$19:B554,B554)&amp;CHOOSE(MIN(4,COUNTIF($B$19:B554,B554)),"st","nd","rd","th"),"")</f>
        <v/>
      </c>
    </row>
    <row r="555" spans="8:14" x14ac:dyDescent="0.25">
      <c r="H555" s="201" t="str">
        <f t="shared" si="8"/>
        <v/>
      </c>
      <c r="N555" s="164" t="str">
        <f>IFERROR(COUNTIF($B$19:B555,B555)&amp;CHOOSE(MIN(4,COUNTIF($B$19:B555,B555)),"st","nd","rd","th"),"")</f>
        <v/>
      </c>
    </row>
    <row r="556" spans="8:14" x14ac:dyDescent="0.25">
      <c r="H556" s="201" t="str">
        <f t="shared" si="8"/>
        <v/>
      </c>
      <c r="N556" s="164" t="str">
        <f>IFERROR(COUNTIF($B$19:B556,B556)&amp;CHOOSE(MIN(4,COUNTIF($B$19:B556,B556)),"st","nd","rd","th"),"")</f>
        <v/>
      </c>
    </row>
    <row r="557" spans="8:14" x14ac:dyDescent="0.25">
      <c r="H557" s="201" t="str">
        <f t="shared" si="8"/>
        <v/>
      </c>
      <c r="N557" s="164" t="str">
        <f>IFERROR(COUNTIF($B$19:B557,B557)&amp;CHOOSE(MIN(4,COUNTIF($B$19:B557,B557)),"st","nd","rd","th"),"")</f>
        <v/>
      </c>
    </row>
    <row r="558" spans="8:14" x14ac:dyDescent="0.25">
      <c r="H558" s="201" t="str">
        <f t="shared" si="8"/>
        <v/>
      </c>
      <c r="N558" s="164" t="str">
        <f>IFERROR(COUNTIF($B$19:B558,B558)&amp;CHOOSE(MIN(4,COUNTIF($B$19:B558,B558)),"st","nd","rd","th"),"")</f>
        <v/>
      </c>
    </row>
    <row r="559" spans="8:14" x14ac:dyDescent="0.25">
      <c r="H559" s="201" t="str">
        <f t="shared" si="8"/>
        <v/>
      </c>
      <c r="N559" s="164" t="str">
        <f>IFERROR(COUNTIF($B$19:B559,B559)&amp;CHOOSE(MIN(4,COUNTIF($B$19:B559,B559)),"st","nd","rd","th"),"")</f>
        <v/>
      </c>
    </row>
    <row r="560" spans="8:14" x14ac:dyDescent="0.25">
      <c r="H560" s="201" t="str">
        <f t="shared" si="8"/>
        <v/>
      </c>
      <c r="N560" s="164" t="str">
        <f>IFERROR(COUNTIF($B$19:B560,B560)&amp;CHOOSE(MIN(4,COUNTIF($B$19:B560,B560)),"st","nd","rd","th"),"")</f>
        <v/>
      </c>
    </row>
    <row r="561" spans="8:14" x14ac:dyDescent="0.25">
      <c r="H561" s="201" t="str">
        <f t="shared" si="8"/>
        <v/>
      </c>
      <c r="N561" s="164" t="str">
        <f>IFERROR(COUNTIF($B$19:B561,B561)&amp;CHOOSE(MIN(4,COUNTIF($B$19:B561,B561)),"st","nd","rd","th"),"")</f>
        <v/>
      </c>
    </row>
    <row r="562" spans="8:14" x14ac:dyDescent="0.25">
      <c r="H562" s="201" t="str">
        <f t="shared" si="8"/>
        <v/>
      </c>
      <c r="N562" s="164" t="str">
        <f>IFERROR(COUNTIF($B$19:B562,B562)&amp;CHOOSE(MIN(4,COUNTIF($B$19:B562,B562)),"st","nd","rd","th"),"")</f>
        <v/>
      </c>
    </row>
    <row r="563" spans="8:14" x14ac:dyDescent="0.25">
      <c r="H563" s="201" t="str">
        <f t="shared" si="8"/>
        <v/>
      </c>
      <c r="N563" s="164" t="str">
        <f>IFERROR(COUNTIF($B$19:B563,B563)&amp;CHOOSE(MIN(4,COUNTIF($B$19:B563,B563)),"st","nd","rd","th"),"")</f>
        <v/>
      </c>
    </row>
    <row r="564" spans="8:14" x14ac:dyDescent="0.25">
      <c r="H564" s="201" t="str">
        <f t="shared" si="8"/>
        <v/>
      </c>
      <c r="N564" s="164" t="str">
        <f>IFERROR(COUNTIF($B$19:B564,B564)&amp;CHOOSE(MIN(4,COUNTIF($B$19:B564,B564)),"st","nd","rd","th"),"")</f>
        <v/>
      </c>
    </row>
    <row r="565" spans="8:14" x14ac:dyDescent="0.25">
      <c r="H565" s="201" t="str">
        <f t="shared" si="8"/>
        <v/>
      </c>
      <c r="N565" s="164" t="str">
        <f>IFERROR(COUNTIF($B$19:B565,B565)&amp;CHOOSE(MIN(4,COUNTIF($B$19:B565,B565)),"st","nd","rd","th"),"")</f>
        <v/>
      </c>
    </row>
    <row r="566" spans="8:14" x14ac:dyDescent="0.25">
      <c r="H566" s="201" t="str">
        <f t="shared" si="8"/>
        <v/>
      </c>
      <c r="N566" s="164" t="str">
        <f>IFERROR(COUNTIF($B$19:B566,B566)&amp;CHOOSE(MIN(4,COUNTIF($B$19:B566,B566)),"st","nd","rd","th"),"")</f>
        <v/>
      </c>
    </row>
    <row r="567" spans="8:14" x14ac:dyDescent="0.25">
      <c r="H567" s="201" t="str">
        <f t="shared" si="8"/>
        <v/>
      </c>
      <c r="N567" s="164" t="str">
        <f>IFERROR(COUNTIF($B$19:B567,B567)&amp;CHOOSE(MIN(4,COUNTIF($B$19:B567,B567)),"st","nd","rd","th"),"")</f>
        <v/>
      </c>
    </row>
    <row r="568" spans="8:14" x14ac:dyDescent="0.25">
      <c r="H568" s="201" t="str">
        <f t="shared" si="8"/>
        <v/>
      </c>
      <c r="N568" s="164" t="str">
        <f>IFERROR(COUNTIF($B$19:B568,B568)&amp;CHOOSE(MIN(4,COUNTIF($B$19:B568,B568)),"st","nd","rd","th"),"")</f>
        <v/>
      </c>
    </row>
    <row r="569" spans="8:14" x14ac:dyDescent="0.25">
      <c r="H569" s="201" t="str">
        <f t="shared" si="8"/>
        <v/>
      </c>
      <c r="N569" s="164" t="str">
        <f>IFERROR(COUNTIF($B$19:B569,B569)&amp;CHOOSE(MIN(4,COUNTIF($B$19:B569,B569)),"st","nd","rd","th"),"")</f>
        <v/>
      </c>
    </row>
    <row r="570" spans="8:14" x14ac:dyDescent="0.25">
      <c r="H570" s="201" t="str">
        <f t="shared" si="8"/>
        <v/>
      </c>
      <c r="N570" s="164" t="str">
        <f>IFERROR(COUNTIF($B$19:B570,B570)&amp;CHOOSE(MIN(4,COUNTIF($B$19:B570,B570)),"st","nd","rd","th"),"")</f>
        <v/>
      </c>
    </row>
    <row r="571" spans="8:14" x14ac:dyDescent="0.25">
      <c r="H571" s="201" t="str">
        <f t="shared" si="8"/>
        <v/>
      </c>
      <c r="N571" s="164" t="str">
        <f>IFERROR(COUNTIF($B$19:B571,B571)&amp;CHOOSE(MIN(4,COUNTIF($B$19:B571,B571)),"st","nd","rd","th"),"")</f>
        <v/>
      </c>
    </row>
    <row r="572" spans="8:14" x14ac:dyDescent="0.25">
      <c r="H572" s="201" t="str">
        <f t="shared" si="8"/>
        <v/>
      </c>
      <c r="N572" s="164" t="str">
        <f>IFERROR(COUNTIF($B$19:B572,B572)&amp;CHOOSE(MIN(4,COUNTIF($B$19:B572,B572)),"st","nd","rd","th"),"")</f>
        <v/>
      </c>
    </row>
    <row r="573" spans="8:14" x14ac:dyDescent="0.25">
      <c r="H573" s="201" t="str">
        <f t="shared" si="8"/>
        <v/>
      </c>
      <c r="N573" s="164" t="str">
        <f>IFERROR(COUNTIF($B$19:B573,B573)&amp;CHOOSE(MIN(4,COUNTIF($B$19:B573,B573)),"st","nd","rd","th"),"")</f>
        <v/>
      </c>
    </row>
    <row r="574" spans="8:14" x14ac:dyDescent="0.25">
      <c r="H574" s="201" t="str">
        <f t="shared" si="8"/>
        <v/>
      </c>
      <c r="N574" s="164" t="str">
        <f>IFERROR(COUNTIF($B$19:B574,B574)&amp;CHOOSE(MIN(4,COUNTIF($B$19:B574,B574)),"st","nd","rd","th"),"")</f>
        <v/>
      </c>
    </row>
    <row r="575" spans="8:14" x14ac:dyDescent="0.25">
      <c r="H575" s="201" t="str">
        <f t="shared" si="8"/>
        <v/>
      </c>
      <c r="N575" s="164" t="str">
        <f>IFERROR(COUNTIF($B$19:B575,B575)&amp;CHOOSE(MIN(4,COUNTIF($B$19:B575,B575)),"st","nd","rd","th"),"")</f>
        <v/>
      </c>
    </row>
    <row r="576" spans="8:14" x14ac:dyDescent="0.25">
      <c r="H576" s="201" t="str">
        <f t="shared" si="8"/>
        <v/>
      </c>
      <c r="N576" s="164" t="str">
        <f>IFERROR(COUNTIF($B$19:B576,B576)&amp;CHOOSE(MIN(4,COUNTIF($B$19:B576,B576)),"st","nd","rd","th"),"")</f>
        <v/>
      </c>
    </row>
    <row r="577" spans="8:14" x14ac:dyDescent="0.25">
      <c r="H577" s="201" t="str">
        <f t="shared" si="8"/>
        <v/>
      </c>
      <c r="N577" s="164" t="str">
        <f>IFERROR(COUNTIF($B$19:B577,B577)&amp;CHOOSE(MIN(4,COUNTIF($B$19:B577,B577)),"st","nd","rd","th"),"")</f>
        <v/>
      </c>
    </row>
    <row r="578" spans="8:14" x14ac:dyDescent="0.25">
      <c r="H578" s="201" t="str">
        <f t="shared" si="8"/>
        <v/>
      </c>
      <c r="N578" s="164" t="str">
        <f>IFERROR(COUNTIF($B$19:B578,B578)&amp;CHOOSE(MIN(4,COUNTIF($B$19:B578,B578)),"st","nd","rd","th"),"")</f>
        <v/>
      </c>
    </row>
    <row r="579" spans="8:14" x14ac:dyDescent="0.25">
      <c r="H579" s="201" t="str">
        <f t="shared" si="8"/>
        <v/>
      </c>
      <c r="N579" s="164" t="str">
        <f>IFERROR(COUNTIF($B$19:B579,B579)&amp;CHOOSE(MIN(4,COUNTIF($B$19:B579,B579)),"st","nd","rd","th"),"")</f>
        <v/>
      </c>
    </row>
    <row r="580" spans="8:14" x14ac:dyDescent="0.25">
      <c r="H580" s="201" t="str">
        <f t="shared" si="8"/>
        <v/>
      </c>
      <c r="N580" s="164" t="str">
        <f>IFERROR(COUNTIF($B$19:B580,B580)&amp;CHOOSE(MIN(4,COUNTIF($B$19:B580,B580)),"st","nd","rd","th"),"")</f>
        <v/>
      </c>
    </row>
    <row r="581" spans="8:14" x14ac:dyDescent="0.25">
      <c r="H581" s="201" t="str">
        <f t="shared" si="8"/>
        <v/>
      </c>
      <c r="N581" s="164" t="str">
        <f>IFERROR(COUNTIF($B$19:B581,B581)&amp;CHOOSE(MIN(4,COUNTIF($B$19:B581,B581)),"st","nd","rd","th"),"")</f>
        <v/>
      </c>
    </row>
    <row r="582" spans="8:14" x14ac:dyDescent="0.25">
      <c r="H582" s="201" t="str">
        <f t="shared" si="8"/>
        <v/>
      </c>
      <c r="N582" s="164" t="str">
        <f>IFERROR(COUNTIF($B$19:B582,B582)&amp;CHOOSE(MIN(4,COUNTIF($B$19:B582,B582)),"st","nd","rd","th"),"")</f>
        <v/>
      </c>
    </row>
    <row r="583" spans="8:14" x14ac:dyDescent="0.25">
      <c r="H583" s="201" t="str">
        <f t="shared" si="8"/>
        <v/>
      </c>
      <c r="N583" s="164" t="str">
        <f>IFERROR(COUNTIF($B$19:B583,B583)&amp;CHOOSE(MIN(4,COUNTIF($B$19:B583,B583)),"st","nd","rd","th"),"")</f>
        <v/>
      </c>
    </row>
    <row r="584" spans="8:14" x14ac:dyDescent="0.25">
      <c r="H584" s="201" t="str">
        <f t="shared" si="8"/>
        <v/>
      </c>
      <c r="N584" s="164" t="str">
        <f>IFERROR(COUNTIF($B$19:B584,B584)&amp;CHOOSE(MIN(4,COUNTIF($B$19:B584,B584)),"st","nd","rd","th"),"")</f>
        <v/>
      </c>
    </row>
    <row r="585" spans="8:14" x14ac:dyDescent="0.25">
      <c r="H585" s="201" t="str">
        <f t="shared" si="8"/>
        <v/>
      </c>
      <c r="N585" s="164" t="str">
        <f>IFERROR(COUNTIF($B$19:B585,B585)&amp;CHOOSE(MIN(4,COUNTIF($B$19:B585,B585)),"st","nd","rd","th"),"")</f>
        <v/>
      </c>
    </row>
    <row r="586" spans="8:14" x14ac:dyDescent="0.25">
      <c r="H586" s="201" t="str">
        <f t="shared" si="8"/>
        <v/>
      </c>
      <c r="N586" s="164" t="str">
        <f>IFERROR(COUNTIF($B$19:B586,B586)&amp;CHOOSE(MIN(4,COUNTIF($B$19:B586,B586)),"st","nd","rd","th"),"")</f>
        <v/>
      </c>
    </row>
    <row r="587" spans="8:14" x14ac:dyDescent="0.25">
      <c r="H587" s="201" t="str">
        <f t="shared" si="8"/>
        <v/>
      </c>
      <c r="N587" s="164" t="str">
        <f>IFERROR(COUNTIF($B$19:B587,B587)&amp;CHOOSE(MIN(4,COUNTIF($B$19:B587,B587)),"st","nd","rd","th"),"")</f>
        <v/>
      </c>
    </row>
    <row r="588" spans="8:14" x14ac:dyDescent="0.25">
      <c r="H588" s="201" t="str">
        <f t="shared" si="8"/>
        <v/>
      </c>
      <c r="N588" s="164" t="str">
        <f>IFERROR(COUNTIF($B$19:B588,B588)&amp;CHOOSE(MIN(4,COUNTIF($B$19:B588,B588)),"st","nd","rd","th"),"")</f>
        <v/>
      </c>
    </row>
    <row r="589" spans="8:14" x14ac:dyDescent="0.25">
      <c r="H589" s="201" t="str">
        <f t="shared" si="8"/>
        <v/>
      </c>
      <c r="N589" s="164" t="str">
        <f>IFERROR(COUNTIF($B$19:B589,B589)&amp;CHOOSE(MIN(4,COUNTIF($B$19:B589,B589)),"st","nd","rd","th"),"")</f>
        <v/>
      </c>
    </row>
    <row r="590" spans="8:14" x14ac:dyDescent="0.25">
      <c r="H590" s="201" t="str">
        <f t="shared" si="8"/>
        <v/>
      </c>
      <c r="N590" s="164" t="str">
        <f>IFERROR(COUNTIF($B$19:B590,B590)&amp;CHOOSE(MIN(4,COUNTIF($B$19:B590,B590)),"st","nd","rd","th"),"")</f>
        <v/>
      </c>
    </row>
    <row r="591" spans="8:14" x14ac:dyDescent="0.25">
      <c r="H591" s="201" t="str">
        <f t="shared" si="8"/>
        <v/>
      </c>
      <c r="N591" s="164" t="str">
        <f>IFERROR(COUNTIF($B$19:B591,B591)&amp;CHOOSE(MIN(4,COUNTIF($B$19:B591,B591)),"st","nd","rd","th"),"")</f>
        <v/>
      </c>
    </row>
    <row r="592" spans="8:14" x14ac:dyDescent="0.25">
      <c r="H592" s="201" t="str">
        <f t="shared" si="8"/>
        <v/>
      </c>
      <c r="N592" s="164" t="str">
        <f>IFERROR(COUNTIF($B$19:B592,B592)&amp;CHOOSE(MIN(4,COUNTIF($B$19:B592,B592)),"st","nd","rd","th"),"")</f>
        <v/>
      </c>
    </row>
    <row r="593" spans="8:14" x14ac:dyDescent="0.25">
      <c r="H593" s="201" t="str">
        <f t="shared" si="8"/>
        <v/>
      </c>
      <c r="N593" s="164" t="str">
        <f>IFERROR(COUNTIF($B$19:B593,B593)&amp;CHOOSE(MIN(4,COUNTIF($B$19:B593,B593)),"st","nd","rd","th"),"")</f>
        <v/>
      </c>
    </row>
    <row r="594" spans="8:14" x14ac:dyDescent="0.25">
      <c r="H594" s="201" t="str">
        <f t="shared" si="8"/>
        <v/>
      </c>
      <c r="N594" s="164" t="str">
        <f>IFERROR(COUNTIF($B$19:B594,B594)&amp;CHOOSE(MIN(4,COUNTIF($B$19:B594,B594)),"st","nd","rd","th"),"")</f>
        <v/>
      </c>
    </row>
    <row r="595" spans="8:14" x14ac:dyDescent="0.25">
      <c r="H595" s="201" t="str">
        <f t="shared" si="8"/>
        <v/>
      </c>
      <c r="N595" s="164" t="str">
        <f>IFERROR(COUNTIF($B$19:B595,B595)&amp;CHOOSE(MIN(4,COUNTIF($B$19:B595,B595)),"st","nd","rd","th"),"")</f>
        <v/>
      </c>
    </row>
    <row r="596" spans="8:14" x14ac:dyDescent="0.25">
      <c r="H596" s="201" t="str">
        <f t="shared" ref="H596:H659" si="9">IF(OR(ISBLANK(G596), ISBLANK(F596)), "", IF(G596=F596, 1, SUM(_xlfn.DAYS(G596, F596), 1)))</f>
        <v/>
      </c>
      <c r="N596" s="164" t="str">
        <f>IFERROR(COUNTIF($B$19:B596,B596)&amp;CHOOSE(MIN(4,COUNTIF($B$19:B596,B596)),"st","nd","rd","th"),"")</f>
        <v/>
      </c>
    </row>
    <row r="597" spans="8:14" x14ac:dyDescent="0.25">
      <c r="H597" s="201" t="str">
        <f t="shared" si="9"/>
        <v/>
      </c>
      <c r="N597" s="164" t="str">
        <f>IFERROR(COUNTIF($B$19:B597,B597)&amp;CHOOSE(MIN(4,COUNTIF($B$19:B597,B597)),"st","nd","rd","th"),"")</f>
        <v/>
      </c>
    </row>
    <row r="598" spans="8:14" x14ac:dyDescent="0.25">
      <c r="H598" s="201" t="str">
        <f t="shared" si="9"/>
        <v/>
      </c>
      <c r="N598" s="164" t="str">
        <f>IFERROR(COUNTIF($B$19:B598,B598)&amp;CHOOSE(MIN(4,COUNTIF($B$19:B598,B598)),"st","nd","rd","th"),"")</f>
        <v/>
      </c>
    </row>
    <row r="599" spans="8:14" x14ac:dyDescent="0.25">
      <c r="H599" s="201" t="str">
        <f t="shared" si="9"/>
        <v/>
      </c>
      <c r="N599" s="164" t="str">
        <f>IFERROR(COUNTIF($B$19:B599,B599)&amp;CHOOSE(MIN(4,COUNTIF($B$19:B599,B599)),"st","nd","rd","th"),"")</f>
        <v/>
      </c>
    </row>
    <row r="600" spans="8:14" x14ac:dyDescent="0.25">
      <c r="H600" s="201" t="str">
        <f t="shared" si="9"/>
        <v/>
      </c>
      <c r="N600" s="164" t="str">
        <f>IFERROR(COUNTIF($B$19:B600,B600)&amp;CHOOSE(MIN(4,COUNTIF($B$19:B600,B600)),"st","nd","rd","th"),"")</f>
        <v/>
      </c>
    </row>
    <row r="601" spans="8:14" x14ac:dyDescent="0.25">
      <c r="H601" s="201" t="str">
        <f t="shared" si="9"/>
        <v/>
      </c>
      <c r="N601" s="164" t="str">
        <f>IFERROR(COUNTIF($B$19:B601,B601)&amp;CHOOSE(MIN(4,COUNTIF($B$19:B601,B601)),"st","nd","rd","th"),"")</f>
        <v/>
      </c>
    </row>
    <row r="602" spans="8:14" x14ac:dyDescent="0.25">
      <c r="H602" s="201" t="str">
        <f t="shared" si="9"/>
        <v/>
      </c>
      <c r="N602" s="164" t="str">
        <f>IFERROR(COUNTIF($B$19:B602,B602)&amp;CHOOSE(MIN(4,COUNTIF($B$19:B602,B602)),"st","nd","rd","th"),"")</f>
        <v/>
      </c>
    </row>
    <row r="603" spans="8:14" x14ac:dyDescent="0.25">
      <c r="H603" s="201" t="str">
        <f t="shared" si="9"/>
        <v/>
      </c>
      <c r="N603" s="164" t="str">
        <f>IFERROR(COUNTIF($B$19:B603,B603)&amp;CHOOSE(MIN(4,COUNTIF($B$19:B603,B603)),"st","nd","rd","th"),"")</f>
        <v/>
      </c>
    </row>
    <row r="604" spans="8:14" x14ac:dyDescent="0.25">
      <c r="H604" s="201" t="str">
        <f t="shared" si="9"/>
        <v/>
      </c>
      <c r="N604" s="164" t="str">
        <f>IFERROR(COUNTIF($B$19:B604,B604)&amp;CHOOSE(MIN(4,COUNTIF($B$19:B604,B604)),"st","nd","rd","th"),"")</f>
        <v/>
      </c>
    </row>
    <row r="605" spans="8:14" x14ac:dyDescent="0.25">
      <c r="H605" s="201" t="str">
        <f t="shared" si="9"/>
        <v/>
      </c>
      <c r="N605" s="164" t="str">
        <f>IFERROR(COUNTIF($B$19:B605,B605)&amp;CHOOSE(MIN(4,COUNTIF($B$19:B605,B605)),"st","nd","rd","th"),"")</f>
        <v/>
      </c>
    </row>
    <row r="606" spans="8:14" x14ac:dyDescent="0.25">
      <c r="H606" s="201" t="str">
        <f t="shared" si="9"/>
        <v/>
      </c>
      <c r="N606" s="164" t="str">
        <f>IFERROR(COUNTIF($B$19:B606,B606)&amp;CHOOSE(MIN(4,COUNTIF($B$19:B606,B606)),"st","nd","rd","th"),"")</f>
        <v/>
      </c>
    </row>
    <row r="607" spans="8:14" x14ac:dyDescent="0.25">
      <c r="H607" s="201" t="str">
        <f t="shared" si="9"/>
        <v/>
      </c>
      <c r="N607" s="164" t="str">
        <f>IFERROR(COUNTIF($B$19:B607,B607)&amp;CHOOSE(MIN(4,COUNTIF($B$19:B607,B607)),"st","nd","rd","th"),"")</f>
        <v/>
      </c>
    </row>
    <row r="608" spans="8:14" x14ac:dyDescent="0.25">
      <c r="H608" s="201" t="str">
        <f t="shared" si="9"/>
        <v/>
      </c>
      <c r="N608" s="164" t="str">
        <f>IFERROR(COUNTIF($B$19:B608,B608)&amp;CHOOSE(MIN(4,COUNTIF($B$19:B608,B608)),"st","nd","rd","th"),"")</f>
        <v/>
      </c>
    </row>
    <row r="609" spans="8:14" x14ac:dyDescent="0.25">
      <c r="H609" s="201" t="str">
        <f t="shared" si="9"/>
        <v/>
      </c>
      <c r="N609" s="164" t="str">
        <f>IFERROR(COUNTIF($B$19:B609,B609)&amp;CHOOSE(MIN(4,COUNTIF($B$19:B609,B609)),"st","nd","rd","th"),"")</f>
        <v/>
      </c>
    </row>
    <row r="610" spans="8:14" x14ac:dyDescent="0.25">
      <c r="H610" s="201" t="str">
        <f t="shared" si="9"/>
        <v/>
      </c>
      <c r="N610" s="164" t="str">
        <f>IFERROR(COUNTIF($B$19:B610,B610)&amp;CHOOSE(MIN(4,COUNTIF($B$19:B610,B610)),"st","nd","rd","th"),"")</f>
        <v/>
      </c>
    </row>
    <row r="611" spans="8:14" x14ac:dyDescent="0.25">
      <c r="H611" s="201" t="str">
        <f t="shared" si="9"/>
        <v/>
      </c>
      <c r="N611" s="164" t="str">
        <f>IFERROR(COUNTIF($B$19:B611,B611)&amp;CHOOSE(MIN(4,COUNTIF($B$19:B611,B611)),"st","nd","rd","th"),"")</f>
        <v/>
      </c>
    </row>
    <row r="612" spans="8:14" x14ac:dyDescent="0.25">
      <c r="H612" s="201" t="str">
        <f t="shared" si="9"/>
        <v/>
      </c>
      <c r="N612" s="164" t="str">
        <f>IFERROR(COUNTIF($B$19:B612,B612)&amp;CHOOSE(MIN(4,COUNTIF($B$19:B612,B612)),"st","nd","rd","th"),"")</f>
        <v/>
      </c>
    </row>
    <row r="613" spans="8:14" x14ac:dyDescent="0.25">
      <c r="H613" s="201" t="str">
        <f t="shared" si="9"/>
        <v/>
      </c>
      <c r="N613" s="164" t="str">
        <f>IFERROR(COUNTIF($B$19:B613,B613)&amp;CHOOSE(MIN(4,COUNTIF($B$19:B613,B613)),"st","nd","rd","th"),"")</f>
        <v/>
      </c>
    </row>
    <row r="614" spans="8:14" x14ac:dyDescent="0.25">
      <c r="H614" s="201" t="str">
        <f t="shared" si="9"/>
        <v/>
      </c>
      <c r="N614" s="164" t="str">
        <f>IFERROR(COUNTIF($B$19:B614,B614)&amp;CHOOSE(MIN(4,COUNTIF($B$19:B614,B614)),"st","nd","rd","th"),"")</f>
        <v/>
      </c>
    </row>
    <row r="615" spans="8:14" x14ac:dyDescent="0.25">
      <c r="H615" s="201" t="str">
        <f t="shared" si="9"/>
        <v/>
      </c>
      <c r="N615" s="164" t="str">
        <f>IFERROR(COUNTIF($B$19:B615,B615)&amp;CHOOSE(MIN(4,COUNTIF($B$19:B615,B615)),"st","nd","rd","th"),"")</f>
        <v/>
      </c>
    </row>
    <row r="616" spans="8:14" x14ac:dyDescent="0.25">
      <c r="H616" s="201" t="str">
        <f t="shared" si="9"/>
        <v/>
      </c>
      <c r="N616" s="164" t="str">
        <f>IFERROR(COUNTIF($B$19:B616,B616)&amp;CHOOSE(MIN(4,COUNTIF($B$19:B616,B616)),"st","nd","rd","th"),"")</f>
        <v/>
      </c>
    </row>
    <row r="617" spans="8:14" x14ac:dyDescent="0.25">
      <c r="H617" s="201" t="str">
        <f t="shared" si="9"/>
        <v/>
      </c>
      <c r="N617" s="164" t="str">
        <f>IFERROR(COUNTIF($B$19:B617,B617)&amp;CHOOSE(MIN(4,COUNTIF($B$19:B617,B617)),"st","nd","rd","th"),"")</f>
        <v/>
      </c>
    </row>
    <row r="618" spans="8:14" x14ac:dyDescent="0.25">
      <c r="H618" s="201" t="str">
        <f t="shared" si="9"/>
        <v/>
      </c>
      <c r="N618" s="164" t="str">
        <f>IFERROR(COUNTIF($B$19:B618,B618)&amp;CHOOSE(MIN(4,COUNTIF($B$19:B618,B618)),"st","nd","rd","th"),"")</f>
        <v/>
      </c>
    </row>
    <row r="619" spans="8:14" x14ac:dyDescent="0.25">
      <c r="H619" s="201" t="str">
        <f t="shared" si="9"/>
        <v/>
      </c>
      <c r="N619" s="164" t="str">
        <f>IFERROR(COUNTIF($B$19:B619,B619)&amp;CHOOSE(MIN(4,COUNTIF($B$19:B619,B619)),"st","nd","rd","th"),"")</f>
        <v/>
      </c>
    </row>
    <row r="620" spans="8:14" x14ac:dyDescent="0.25">
      <c r="H620" s="201" t="str">
        <f t="shared" si="9"/>
        <v/>
      </c>
      <c r="N620" s="164" t="str">
        <f>IFERROR(COUNTIF($B$19:B620,B620)&amp;CHOOSE(MIN(4,COUNTIF($B$19:B620,B620)),"st","nd","rd","th"),"")</f>
        <v/>
      </c>
    </row>
    <row r="621" spans="8:14" x14ac:dyDescent="0.25">
      <c r="H621" s="201" t="str">
        <f t="shared" si="9"/>
        <v/>
      </c>
      <c r="N621" s="164" t="str">
        <f>IFERROR(COUNTIF($B$19:B621,B621)&amp;CHOOSE(MIN(4,COUNTIF($B$19:B621,B621)),"st","nd","rd","th"),"")</f>
        <v/>
      </c>
    </row>
    <row r="622" spans="8:14" x14ac:dyDescent="0.25">
      <c r="H622" s="201" t="str">
        <f t="shared" si="9"/>
        <v/>
      </c>
      <c r="N622" s="164" t="str">
        <f>IFERROR(COUNTIF($B$19:B622,B622)&amp;CHOOSE(MIN(4,COUNTIF($B$19:B622,B622)),"st","nd","rd","th"),"")</f>
        <v/>
      </c>
    </row>
    <row r="623" spans="8:14" x14ac:dyDescent="0.25">
      <c r="H623" s="201" t="str">
        <f t="shared" si="9"/>
        <v/>
      </c>
      <c r="N623" s="164" t="str">
        <f>IFERROR(COUNTIF($B$19:B623,B623)&amp;CHOOSE(MIN(4,COUNTIF($B$19:B623,B623)),"st","nd","rd","th"),"")</f>
        <v/>
      </c>
    </row>
    <row r="624" spans="8:14" x14ac:dyDescent="0.25">
      <c r="H624" s="201" t="str">
        <f t="shared" si="9"/>
        <v/>
      </c>
      <c r="N624" s="164" t="str">
        <f>IFERROR(COUNTIF($B$19:B624,B624)&amp;CHOOSE(MIN(4,COUNTIF($B$19:B624,B624)),"st","nd","rd","th"),"")</f>
        <v/>
      </c>
    </row>
    <row r="625" spans="8:14" x14ac:dyDescent="0.25">
      <c r="H625" s="201" t="str">
        <f t="shared" si="9"/>
        <v/>
      </c>
      <c r="N625" s="164" t="str">
        <f>IFERROR(COUNTIF($B$19:B625,B625)&amp;CHOOSE(MIN(4,COUNTIF($B$19:B625,B625)),"st","nd","rd","th"),"")</f>
        <v/>
      </c>
    </row>
    <row r="626" spans="8:14" x14ac:dyDescent="0.25">
      <c r="H626" s="201" t="str">
        <f t="shared" si="9"/>
        <v/>
      </c>
      <c r="N626" s="164" t="str">
        <f>IFERROR(COUNTIF($B$19:B626,B626)&amp;CHOOSE(MIN(4,COUNTIF($B$19:B626,B626)),"st","nd","rd","th"),"")</f>
        <v/>
      </c>
    </row>
    <row r="627" spans="8:14" x14ac:dyDescent="0.25">
      <c r="H627" s="201" t="str">
        <f t="shared" si="9"/>
        <v/>
      </c>
      <c r="N627" s="164" t="str">
        <f>IFERROR(COUNTIF($B$19:B627,B627)&amp;CHOOSE(MIN(4,COUNTIF($B$19:B627,B627)),"st","nd","rd","th"),"")</f>
        <v/>
      </c>
    </row>
    <row r="628" spans="8:14" x14ac:dyDescent="0.25">
      <c r="H628" s="201" t="str">
        <f t="shared" si="9"/>
        <v/>
      </c>
      <c r="N628" s="164" t="str">
        <f>IFERROR(COUNTIF($B$19:B628,B628)&amp;CHOOSE(MIN(4,COUNTIF($B$19:B628,B628)),"st","nd","rd","th"),"")</f>
        <v/>
      </c>
    </row>
    <row r="629" spans="8:14" x14ac:dyDescent="0.25">
      <c r="H629" s="201" t="str">
        <f t="shared" si="9"/>
        <v/>
      </c>
      <c r="N629" s="164" t="str">
        <f>IFERROR(COUNTIF($B$19:B629,B629)&amp;CHOOSE(MIN(4,COUNTIF($B$19:B629,B629)),"st","nd","rd","th"),"")</f>
        <v/>
      </c>
    </row>
    <row r="630" spans="8:14" x14ac:dyDescent="0.25">
      <c r="H630" s="201" t="str">
        <f t="shared" si="9"/>
        <v/>
      </c>
      <c r="N630" s="164" t="str">
        <f>IFERROR(COUNTIF($B$19:B630,B630)&amp;CHOOSE(MIN(4,COUNTIF($B$19:B630,B630)),"st","nd","rd","th"),"")</f>
        <v/>
      </c>
    </row>
    <row r="631" spans="8:14" x14ac:dyDescent="0.25">
      <c r="H631" s="201" t="str">
        <f t="shared" si="9"/>
        <v/>
      </c>
      <c r="N631" s="164" t="str">
        <f>IFERROR(COUNTIF($B$19:B631,B631)&amp;CHOOSE(MIN(4,COUNTIF($B$19:B631,B631)),"st","nd","rd","th"),"")</f>
        <v/>
      </c>
    </row>
    <row r="632" spans="8:14" x14ac:dyDescent="0.25">
      <c r="H632" s="201" t="str">
        <f t="shared" si="9"/>
        <v/>
      </c>
      <c r="N632" s="164" t="str">
        <f>IFERROR(COUNTIF($B$19:B632,B632)&amp;CHOOSE(MIN(4,COUNTIF($B$19:B632,B632)),"st","nd","rd","th"),"")</f>
        <v/>
      </c>
    </row>
    <row r="633" spans="8:14" x14ac:dyDescent="0.25">
      <c r="H633" s="201" t="str">
        <f t="shared" si="9"/>
        <v/>
      </c>
      <c r="N633" s="164" t="str">
        <f>IFERROR(COUNTIF($B$19:B633,B633)&amp;CHOOSE(MIN(4,COUNTIF($B$19:B633,B633)),"st","nd","rd","th"),"")</f>
        <v/>
      </c>
    </row>
    <row r="634" spans="8:14" x14ac:dyDescent="0.25">
      <c r="H634" s="201" t="str">
        <f t="shared" si="9"/>
        <v/>
      </c>
      <c r="N634" s="164" t="str">
        <f>IFERROR(COUNTIF($B$19:B634,B634)&amp;CHOOSE(MIN(4,COUNTIF($B$19:B634,B634)),"st","nd","rd","th"),"")</f>
        <v/>
      </c>
    </row>
    <row r="635" spans="8:14" x14ac:dyDescent="0.25">
      <c r="H635" s="201" t="str">
        <f t="shared" si="9"/>
        <v/>
      </c>
      <c r="N635" s="164" t="str">
        <f>IFERROR(COUNTIF($B$19:B635,B635)&amp;CHOOSE(MIN(4,COUNTIF($B$19:B635,B635)),"st","nd","rd","th"),"")</f>
        <v/>
      </c>
    </row>
    <row r="636" spans="8:14" x14ac:dyDescent="0.25">
      <c r="H636" s="201" t="str">
        <f t="shared" si="9"/>
        <v/>
      </c>
      <c r="N636" s="164" t="str">
        <f>IFERROR(COUNTIF($B$19:B636,B636)&amp;CHOOSE(MIN(4,COUNTIF($B$19:B636,B636)),"st","nd","rd","th"),"")</f>
        <v/>
      </c>
    </row>
    <row r="637" spans="8:14" x14ac:dyDescent="0.25">
      <c r="H637" s="201" t="str">
        <f t="shared" si="9"/>
        <v/>
      </c>
      <c r="N637" s="164" t="str">
        <f>IFERROR(COUNTIF($B$19:B637,B637)&amp;CHOOSE(MIN(4,COUNTIF($B$19:B637,B637)),"st","nd","rd","th"),"")</f>
        <v/>
      </c>
    </row>
    <row r="638" spans="8:14" x14ac:dyDescent="0.25">
      <c r="H638" s="201" t="str">
        <f t="shared" si="9"/>
        <v/>
      </c>
      <c r="N638" s="164" t="str">
        <f>IFERROR(COUNTIF($B$19:B638,B638)&amp;CHOOSE(MIN(4,COUNTIF($B$19:B638,B638)),"st","nd","rd","th"),"")</f>
        <v/>
      </c>
    </row>
    <row r="639" spans="8:14" x14ac:dyDescent="0.25">
      <c r="H639" s="201" t="str">
        <f t="shared" si="9"/>
        <v/>
      </c>
      <c r="N639" s="164" t="str">
        <f>IFERROR(COUNTIF($B$19:B639,B639)&amp;CHOOSE(MIN(4,COUNTIF($B$19:B639,B639)),"st","nd","rd","th"),"")</f>
        <v/>
      </c>
    </row>
    <row r="640" spans="8:14" x14ac:dyDescent="0.25">
      <c r="H640" s="201" t="str">
        <f t="shared" si="9"/>
        <v/>
      </c>
      <c r="N640" s="164" t="str">
        <f>IFERROR(COUNTIF($B$19:B640,B640)&amp;CHOOSE(MIN(4,COUNTIF($B$19:B640,B640)),"st","nd","rd","th"),"")</f>
        <v/>
      </c>
    </row>
    <row r="641" spans="8:14" x14ac:dyDescent="0.25">
      <c r="H641" s="201" t="str">
        <f t="shared" si="9"/>
        <v/>
      </c>
      <c r="N641" s="164" t="str">
        <f>IFERROR(COUNTIF($B$19:B641,B641)&amp;CHOOSE(MIN(4,COUNTIF($B$19:B641,B641)),"st","nd","rd","th"),"")</f>
        <v/>
      </c>
    </row>
    <row r="642" spans="8:14" x14ac:dyDescent="0.25">
      <c r="H642" s="201" t="str">
        <f t="shared" si="9"/>
        <v/>
      </c>
      <c r="N642" s="164" t="str">
        <f>IFERROR(COUNTIF($B$19:B642,B642)&amp;CHOOSE(MIN(4,COUNTIF($B$19:B642,B642)),"st","nd","rd","th"),"")</f>
        <v/>
      </c>
    </row>
    <row r="643" spans="8:14" x14ac:dyDescent="0.25">
      <c r="H643" s="201" t="str">
        <f t="shared" si="9"/>
        <v/>
      </c>
      <c r="N643" s="164" t="str">
        <f>IFERROR(COUNTIF($B$19:B643,B643)&amp;CHOOSE(MIN(4,COUNTIF($B$19:B643,B643)),"st","nd","rd","th"),"")</f>
        <v/>
      </c>
    </row>
    <row r="644" spans="8:14" x14ac:dyDescent="0.25">
      <c r="H644" s="201" t="str">
        <f t="shared" si="9"/>
        <v/>
      </c>
      <c r="N644" s="164" t="str">
        <f>IFERROR(COUNTIF($B$19:B644,B644)&amp;CHOOSE(MIN(4,COUNTIF($B$19:B644,B644)),"st","nd","rd","th"),"")</f>
        <v/>
      </c>
    </row>
    <row r="645" spans="8:14" x14ac:dyDescent="0.25">
      <c r="H645" s="201" t="str">
        <f t="shared" si="9"/>
        <v/>
      </c>
      <c r="N645" s="164" t="str">
        <f>IFERROR(COUNTIF($B$19:B645,B645)&amp;CHOOSE(MIN(4,COUNTIF($B$19:B645,B645)),"st","nd","rd","th"),"")</f>
        <v/>
      </c>
    </row>
    <row r="646" spans="8:14" x14ac:dyDescent="0.25">
      <c r="H646" s="201" t="str">
        <f t="shared" si="9"/>
        <v/>
      </c>
      <c r="N646" s="164" t="str">
        <f>IFERROR(COUNTIF($B$19:B646,B646)&amp;CHOOSE(MIN(4,COUNTIF($B$19:B646,B646)),"st","nd","rd","th"),"")</f>
        <v/>
      </c>
    </row>
    <row r="647" spans="8:14" x14ac:dyDescent="0.25">
      <c r="H647" s="201" t="str">
        <f t="shared" si="9"/>
        <v/>
      </c>
      <c r="N647" s="164" t="str">
        <f>IFERROR(COUNTIF($B$19:B647,B647)&amp;CHOOSE(MIN(4,COUNTIF($B$19:B647,B647)),"st","nd","rd","th"),"")</f>
        <v/>
      </c>
    </row>
    <row r="648" spans="8:14" x14ac:dyDescent="0.25">
      <c r="H648" s="201" t="str">
        <f t="shared" si="9"/>
        <v/>
      </c>
      <c r="N648" s="164" t="str">
        <f>IFERROR(COUNTIF($B$19:B648,B648)&amp;CHOOSE(MIN(4,COUNTIF($B$19:B648,B648)),"st","nd","rd","th"),"")</f>
        <v/>
      </c>
    </row>
    <row r="649" spans="8:14" x14ac:dyDescent="0.25">
      <c r="H649" s="201" t="str">
        <f t="shared" si="9"/>
        <v/>
      </c>
      <c r="N649" s="164" t="str">
        <f>IFERROR(COUNTIF($B$19:B649,B649)&amp;CHOOSE(MIN(4,COUNTIF($B$19:B649,B649)),"st","nd","rd","th"),"")</f>
        <v/>
      </c>
    </row>
    <row r="650" spans="8:14" x14ac:dyDescent="0.25">
      <c r="H650" s="201" t="str">
        <f t="shared" si="9"/>
        <v/>
      </c>
      <c r="N650" s="164" t="str">
        <f>IFERROR(COUNTIF($B$19:B650,B650)&amp;CHOOSE(MIN(4,COUNTIF($B$19:B650,B650)),"st","nd","rd","th"),"")</f>
        <v/>
      </c>
    </row>
    <row r="651" spans="8:14" x14ac:dyDescent="0.25">
      <c r="H651" s="201" t="str">
        <f t="shared" si="9"/>
        <v/>
      </c>
      <c r="N651" s="164" t="str">
        <f>IFERROR(COUNTIF($B$19:B651,B651)&amp;CHOOSE(MIN(4,COUNTIF($B$19:B651,B651)),"st","nd","rd","th"),"")</f>
        <v/>
      </c>
    </row>
    <row r="652" spans="8:14" x14ac:dyDescent="0.25">
      <c r="H652" s="201" t="str">
        <f t="shared" si="9"/>
        <v/>
      </c>
      <c r="N652" s="164" t="str">
        <f>IFERROR(COUNTIF($B$19:B652,B652)&amp;CHOOSE(MIN(4,COUNTIF($B$19:B652,B652)),"st","nd","rd","th"),"")</f>
        <v/>
      </c>
    </row>
    <row r="653" spans="8:14" x14ac:dyDescent="0.25">
      <c r="H653" s="201" t="str">
        <f t="shared" si="9"/>
        <v/>
      </c>
      <c r="N653" s="164" t="str">
        <f>IFERROR(COUNTIF($B$19:B653,B653)&amp;CHOOSE(MIN(4,COUNTIF($B$19:B653,B653)),"st","nd","rd","th"),"")</f>
        <v/>
      </c>
    </row>
    <row r="654" spans="8:14" x14ac:dyDescent="0.25">
      <c r="H654" s="201" t="str">
        <f t="shared" si="9"/>
        <v/>
      </c>
      <c r="N654" s="164" t="str">
        <f>IFERROR(COUNTIF($B$19:B654,B654)&amp;CHOOSE(MIN(4,COUNTIF($B$19:B654,B654)),"st","nd","rd","th"),"")</f>
        <v/>
      </c>
    </row>
    <row r="655" spans="8:14" x14ac:dyDescent="0.25">
      <c r="H655" s="201" t="str">
        <f t="shared" si="9"/>
        <v/>
      </c>
      <c r="N655" s="164" t="str">
        <f>IFERROR(COUNTIF($B$19:B655,B655)&amp;CHOOSE(MIN(4,COUNTIF($B$19:B655,B655)),"st","nd","rd","th"),"")</f>
        <v/>
      </c>
    </row>
    <row r="656" spans="8:14" x14ac:dyDescent="0.25">
      <c r="H656" s="201" t="str">
        <f t="shared" si="9"/>
        <v/>
      </c>
      <c r="N656" s="164" t="str">
        <f>IFERROR(COUNTIF($B$19:B656,B656)&amp;CHOOSE(MIN(4,COUNTIF($B$19:B656,B656)),"st","nd","rd","th"),"")</f>
        <v/>
      </c>
    </row>
    <row r="657" spans="8:14" x14ac:dyDescent="0.25">
      <c r="H657" s="201" t="str">
        <f t="shared" si="9"/>
        <v/>
      </c>
      <c r="N657" s="164" t="str">
        <f>IFERROR(COUNTIF($B$19:B657,B657)&amp;CHOOSE(MIN(4,COUNTIF($B$19:B657,B657)),"st","nd","rd","th"),"")</f>
        <v/>
      </c>
    </row>
    <row r="658" spans="8:14" x14ac:dyDescent="0.25">
      <c r="H658" s="201" t="str">
        <f t="shared" si="9"/>
        <v/>
      </c>
      <c r="N658" s="164" t="str">
        <f>IFERROR(COUNTIF($B$19:B658,B658)&amp;CHOOSE(MIN(4,COUNTIF($B$19:B658,B658)),"st","nd","rd","th"),"")</f>
        <v/>
      </c>
    </row>
    <row r="659" spans="8:14" x14ac:dyDescent="0.25">
      <c r="H659" s="201" t="str">
        <f t="shared" si="9"/>
        <v/>
      </c>
      <c r="N659" s="164" t="str">
        <f>IFERROR(COUNTIF($B$19:B659,B659)&amp;CHOOSE(MIN(4,COUNTIF($B$19:B659,B659)),"st","nd","rd","th"),"")</f>
        <v/>
      </c>
    </row>
    <row r="660" spans="8:14" x14ac:dyDescent="0.25">
      <c r="H660" s="201" t="str">
        <f t="shared" ref="H660:H723" si="10">IF(OR(ISBLANK(G660), ISBLANK(F660)), "", IF(G660=F660, 1, SUM(_xlfn.DAYS(G660, F660), 1)))</f>
        <v/>
      </c>
      <c r="N660" s="164" t="str">
        <f>IFERROR(COUNTIF($B$19:B660,B660)&amp;CHOOSE(MIN(4,COUNTIF($B$19:B660,B660)),"st","nd","rd","th"),"")</f>
        <v/>
      </c>
    </row>
    <row r="661" spans="8:14" x14ac:dyDescent="0.25">
      <c r="H661" s="201" t="str">
        <f t="shared" si="10"/>
        <v/>
      </c>
      <c r="N661" s="164" t="str">
        <f>IFERROR(COUNTIF($B$19:B661,B661)&amp;CHOOSE(MIN(4,COUNTIF($B$19:B661,B661)),"st","nd","rd","th"),"")</f>
        <v/>
      </c>
    </row>
    <row r="662" spans="8:14" x14ac:dyDescent="0.25">
      <c r="H662" s="201" t="str">
        <f t="shared" si="10"/>
        <v/>
      </c>
      <c r="N662" s="164" t="str">
        <f>IFERROR(COUNTIF($B$19:B662,B662)&amp;CHOOSE(MIN(4,COUNTIF($B$19:B662,B662)),"st","nd","rd","th"),"")</f>
        <v/>
      </c>
    </row>
    <row r="663" spans="8:14" x14ac:dyDescent="0.25">
      <c r="H663" s="201" t="str">
        <f t="shared" si="10"/>
        <v/>
      </c>
      <c r="N663" s="164" t="str">
        <f>IFERROR(COUNTIF($B$19:B663,B663)&amp;CHOOSE(MIN(4,COUNTIF($B$19:B663,B663)),"st","nd","rd","th"),"")</f>
        <v/>
      </c>
    </row>
    <row r="664" spans="8:14" x14ac:dyDescent="0.25">
      <c r="H664" s="201" t="str">
        <f t="shared" si="10"/>
        <v/>
      </c>
      <c r="N664" s="164" t="str">
        <f>IFERROR(COUNTIF($B$19:B664,B664)&amp;CHOOSE(MIN(4,COUNTIF($B$19:B664,B664)),"st","nd","rd","th"),"")</f>
        <v/>
      </c>
    </row>
    <row r="665" spans="8:14" x14ac:dyDescent="0.25">
      <c r="H665" s="201" t="str">
        <f t="shared" si="10"/>
        <v/>
      </c>
      <c r="N665" s="164" t="str">
        <f>IFERROR(COUNTIF($B$19:B665,B665)&amp;CHOOSE(MIN(4,COUNTIF($B$19:B665,B665)),"st","nd","rd","th"),"")</f>
        <v/>
      </c>
    </row>
    <row r="666" spans="8:14" x14ac:dyDescent="0.25">
      <c r="H666" s="201" t="str">
        <f t="shared" si="10"/>
        <v/>
      </c>
      <c r="N666" s="164" t="str">
        <f>IFERROR(COUNTIF($B$19:B666,B666)&amp;CHOOSE(MIN(4,COUNTIF($B$19:B666,B666)),"st","nd","rd","th"),"")</f>
        <v/>
      </c>
    </row>
    <row r="667" spans="8:14" x14ac:dyDescent="0.25">
      <c r="H667" s="201" t="str">
        <f t="shared" si="10"/>
        <v/>
      </c>
      <c r="N667" s="164" t="str">
        <f>IFERROR(COUNTIF($B$19:B667,B667)&amp;CHOOSE(MIN(4,COUNTIF($B$19:B667,B667)),"st","nd","rd","th"),"")</f>
        <v/>
      </c>
    </row>
    <row r="668" spans="8:14" x14ac:dyDescent="0.25">
      <c r="H668" s="201" t="str">
        <f t="shared" si="10"/>
        <v/>
      </c>
      <c r="N668" s="164" t="str">
        <f>IFERROR(COUNTIF($B$19:B668,B668)&amp;CHOOSE(MIN(4,COUNTIF($B$19:B668,B668)),"st","nd","rd","th"),"")</f>
        <v/>
      </c>
    </row>
    <row r="669" spans="8:14" x14ac:dyDescent="0.25">
      <c r="H669" s="201" t="str">
        <f t="shared" si="10"/>
        <v/>
      </c>
      <c r="N669" s="164" t="str">
        <f>IFERROR(COUNTIF($B$19:B669,B669)&amp;CHOOSE(MIN(4,COUNTIF($B$19:B669,B669)),"st","nd","rd","th"),"")</f>
        <v/>
      </c>
    </row>
    <row r="670" spans="8:14" x14ac:dyDescent="0.25">
      <c r="H670" s="201" t="str">
        <f t="shared" si="10"/>
        <v/>
      </c>
      <c r="N670" s="164" t="str">
        <f>IFERROR(COUNTIF($B$19:B670,B670)&amp;CHOOSE(MIN(4,COUNTIF($B$19:B670,B670)),"st","nd","rd","th"),"")</f>
        <v/>
      </c>
    </row>
    <row r="671" spans="8:14" x14ac:dyDescent="0.25">
      <c r="H671" s="201" t="str">
        <f t="shared" si="10"/>
        <v/>
      </c>
      <c r="N671" s="164" t="str">
        <f>IFERROR(COUNTIF($B$19:B671,B671)&amp;CHOOSE(MIN(4,COUNTIF($B$19:B671,B671)),"st","nd","rd","th"),"")</f>
        <v/>
      </c>
    </row>
    <row r="672" spans="8:14" x14ac:dyDescent="0.25">
      <c r="H672" s="201" t="str">
        <f t="shared" si="10"/>
        <v/>
      </c>
      <c r="N672" s="164" t="str">
        <f>IFERROR(COUNTIF($B$19:B672,B672)&amp;CHOOSE(MIN(4,COUNTIF($B$19:B672,B672)),"st","nd","rd","th"),"")</f>
        <v/>
      </c>
    </row>
    <row r="673" spans="8:14" x14ac:dyDescent="0.25">
      <c r="H673" s="201" t="str">
        <f t="shared" si="10"/>
        <v/>
      </c>
      <c r="N673" s="164" t="str">
        <f>IFERROR(COUNTIF($B$19:B673,B673)&amp;CHOOSE(MIN(4,COUNTIF($B$19:B673,B673)),"st","nd","rd","th"),"")</f>
        <v/>
      </c>
    </row>
    <row r="674" spans="8:14" x14ac:dyDescent="0.25">
      <c r="H674" s="201" t="str">
        <f t="shared" si="10"/>
        <v/>
      </c>
      <c r="N674" s="164" t="str">
        <f>IFERROR(COUNTIF($B$19:B674,B674)&amp;CHOOSE(MIN(4,COUNTIF($B$19:B674,B674)),"st","nd","rd","th"),"")</f>
        <v/>
      </c>
    </row>
    <row r="675" spans="8:14" x14ac:dyDescent="0.25">
      <c r="H675" s="201" t="str">
        <f t="shared" si="10"/>
        <v/>
      </c>
      <c r="N675" s="164" t="str">
        <f>IFERROR(COUNTIF($B$19:B675,B675)&amp;CHOOSE(MIN(4,COUNTIF($B$19:B675,B675)),"st","nd","rd","th"),"")</f>
        <v/>
      </c>
    </row>
    <row r="676" spans="8:14" x14ac:dyDescent="0.25">
      <c r="H676" s="201" t="str">
        <f t="shared" si="10"/>
        <v/>
      </c>
      <c r="N676" s="164" t="str">
        <f>IFERROR(COUNTIF($B$19:B676,B676)&amp;CHOOSE(MIN(4,COUNTIF($B$19:B676,B676)),"st","nd","rd","th"),"")</f>
        <v/>
      </c>
    </row>
    <row r="677" spans="8:14" x14ac:dyDescent="0.25">
      <c r="H677" s="201" t="str">
        <f t="shared" si="10"/>
        <v/>
      </c>
      <c r="N677" s="164" t="str">
        <f>IFERROR(COUNTIF($B$19:B677,B677)&amp;CHOOSE(MIN(4,COUNTIF($B$19:B677,B677)),"st","nd","rd","th"),"")</f>
        <v/>
      </c>
    </row>
    <row r="678" spans="8:14" x14ac:dyDescent="0.25">
      <c r="H678" s="201" t="str">
        <f t="shared" si="10"/>
        <v/>
      </c>
      <c r="N678" s="164" t="str">
        <f>IFERROR(COUNTIF($B$19:B678,B678)&amp;CHOOSE(MIN(4,COUNTIF($B$19:B678,B678)),"st","nd","rd","th"),"")</f>
        <v/>
      </c>
    </row>
    <row r="679" spans="8:14" x14ac:dyDescent="0.25">
      <c r="H679" s="201" t="str">
        <f t="shared" si="10"/>
        <v/>
      </c>
      <c r="N679" s="164" t="str">
        <f>IFERROR(COUNTIF($B$19:B679,B679)&amp;CHOOSE(MIN(4,COUNTIF($B$19:B679,B679)),"st","nd","rd","th"),"")</f>
        <v/>
      </c>
    </row>
    <row r="680" spans="8:14" x14ac:dyDescent="0.25">
      <c r="H680" s="201" t="str">
        <f t="shared" si="10"/>
        <v/>
      </c>
      <c r="N680" s="164" t="str">
        <f>IFERROR(COUNTIF($B$19:B680,B680)&amp;CHOOSE(MIN(4,COUNTIF($B$19:B680,B680)),"st","nd","rd","th"),"")</f>
        <v/>
      </c>
    </row>
    <row r="681" spans="8:14" x14ac:dyDescent="0.25">
      <c r="H681" s="201" t="str">
        <f t="shared" si="10"/>
        <v/>
      </c>
      <c r="N681" s="164" t="str">
        <f>IFERROR(COUNTIF($B$19:B681,B681)&amp;CHOOSE(MIN(4,COUNTIF($B$19:B681,B681)),"st","nd","rd","th"),"")</f>
        <v/>
      </c>
    </row>
    <row r="682" spans="8:14" x14ac:dyDescent="0.25">
      <c r="H682" s="201" t="str">
        <f t="shared" si="10"/>
        <v/>
      </c>
      <c r="N682" s="164" t="str">
        <f>IFERROR(COUNTIF($B$19:B682,B682)&amp;CHOOSE(MIN(4,COUNTIF($B$19:B682,B682)),"st","nd","rd","th"),"")</f>
        <v/>
      </c>
    </row>
    <row r="683" spans="8:14" x14ac:dyDescent="0.25">
      <c r="H683" s="201" t="str">
        <f t="shared" si="10"/>
        <v/>
      </c>
      <c r="N683" s="164" t="str">
        <f>IFERROR(COUNTIF($B$19:B683,B683)&amp;CHOOSE(MIN(4,COUNTIF($B$19:B683,B683)),"st","nd","rd","th"),"")</f>
        <v/>
      </c>
    </row>
    <row r="684" spans="8:14" x14ac:dyDescent="0.25">
      <c r="H684" s="201" t="str">
        <f t="shared" si="10"/>
        <v/>
      </c>
      <c r="N684" s="164" t="str">
        <f>IFERROR(COUNTIF($B$19:B684,B684)&amp;CHOOSE(MIN(4,COUNTIF($B$19:B684,B684)),"st","nd","rd","th"),"")</f>
        <v/>
      </c>
    </row>
    <row r="685" spans="8:14" x14ac:dyDescent="0.25">
      <c r="H685" s="201" t="str">
        <f t="shared" si="10"/>
        <v/>
      </c>
      <c r="N685" s="164" t="str">
        <f>IFERROR(COUNTIF($B$19:B685,B685)&amp;CHOOSE(MIN(4,COUNTIF($B$19:B685,B685)),"st","nd","rd","th"),"")</f>
        <v/>
      </c>
    </row>
    <row r="686" spans="8:14" x14ac:dyDescent="0.25">
      <c r="H686" s="201" t="str">
        <f t="shared" si="10"/>
        <v/>
      </c>
      <c r="N686" s="164" t="str">
        <f>IFERROR(COUNTIF($B$19:B686,B686)&amp;CHOOSE(MIN(4,COUNTIF($B$19:B686,B686)),"st","nd","rd","th"),"")</f>
        <v/>
      </c>
    </row>
    <row r="687" spans="8:14" x14ac:dyDescent="0.25">
      <c r="H687" s="201" t="str">
        <f t="shared" si="10"/>
        <v/>
      </c>
      <c r="N687" s="164" t="str">
        <f>IFERROR(COUNTIF($B$19:B687,B687)&amp;CHOOSE(MIN(4,COUNTIF($B$19:B687,B687)),"st","nd","rd","th"),"")</f>
        <v/>
      </c>
    </row>
    <row r="688" spans="8:14" x14ac:dyDescent="0.25">
      <c r="H688" s="201" t="str">
        <f t="shared" si="10"/>
        <v/>
      </c>
      <c r="N688" s="164" t="str">
        <f>IFERROR(COUNTIF($B$19:B688,B688)&amp;CHOOSE(MIN(4,COUNTIF($B$19:B688,B688)),"st","nd","rd","th"),"")</f>
        <v/>
      </c>
    </row>
    <row r="689" spans="8:14" x14ac:dyDescent="0.25">
      <c r="H689" s="201" t="str">
        <f t="shared" si="10"/>
        <v/>
      </c>
      <c r="N689" s="164" t="str">
        <f>IFERROR(COUNTIF($B$19:B689,B689)&amp;CHOOSE(MIN(4,COUNTIF($B$19:B689,B689)),"st","nd","rd","th"),"")</f>
        <v/>
      </c>
    </row>
    <row r="690" spans="8:14" x14ac:dyDescent="0.25">
      <c r="H690" s="201" t="str">
        <f t="shared" si="10"/>
        <v/>
      </c>
      <c r="N690" s="164" t="str">
        <f>IFERROR(COUNTIF($B$19:B690,B690)&amp;CHOOSE(MIN(4,COUNTIF($B$19:B690,B690)),"st","nd","rd","th"),"")</f>
        <v/>
      </c>
    </row>
    <row r="691" spans="8:14" x14ac:dyDescent="0.25">
      <c r="H691" s="201" t="str">
        <f t="shared" si="10"/>
        <v/>
      </c>
      <c r="N691" s="164" t="str">
        <f>IFERROR(COUNTIF($B$19:B691,B691)&amp;CHOOSE(MIN(4,COUNTIF($B$19:B691,B691)),"st","nd","rd","th"),"")</f>
        <v/>
      </c>
    </row>
    <row r="692" spans="8:14" x14ac:dyDescent="0.25">
      <c r="H692" s="201" t="str">
        <f t="shared" si="10"/>
        <v/>
      </c>
      <c r="N692" s="164" t="str">
        <f>IFERROR(COUNTIF($B$19:B692,B692)&amp;CHOOSE(MIN(4,COUNTIF($B$19:B692,B692)),"st","nd","rd","th"),"")</f>
        <v/>
      </c>
    </row>
    <row r="693" spans="8:14" x14ac:dyDescent="0.25">
      <c r="H693" s="201" t="str">
        <f t="shared" si="10"/>
        <v/>
      </c>
      <c r="N693" s="164" t="str">
        <f>IFERROR(COUNTIF($B$19:B693,B693)&amp;CHOOSE(MIN(4,COUNTIF($B$19:B693,B693)),"st","nd","rd","th"),"")</f>
        <v/>
      </c>
    </row>
    <row r="694" spans="8:14" x14ac:dyDescent="0.25">
      <c r="H694" s="201" t="str">
        <f t="shared" si="10"/>
        <v/>
      </c>
      <c r="N694" s="164" t="str">
        <f>IFERROR(COUNTIF($B$19:B694,B694)&amp;CHOOSE(MIN(4,COUNTIF($B$19:B694,B694)),"st","nd","rd","th"),"")</f>
        <v/>
      </c>
    </row>
    <row r="695" spans="8:14" x14ac:dyDescent="0.25">
      <c r="H695" s="201" t="str">
        <f t="shared" si="10"/>
        <v/>
      </c>
      <c r="N695" s="164" t="str">
        <f>IFERROR(COUNTIF($B$19:B695,B695)&amp;CHOOSE(MIN(4,COUNTIF($B$19:B695,B695)),"st","nd","rd","th"),"")</f>
        <v/>
      </c>
    </row>
    <row r="696" spans="8:14" x14ac:dyDescent="0.25">
      <c r="H696" s="201" t="str">
        <f t="shared" si="10"/>
        <v/>
      </c>
      <c r="N696" s="164" t="str">
        <f>IFERROR(COUNTIF($B$19:B696,B696)&amp;CHOOSE(MIN(4,COUNTIF($B$19:B696,B696)),"st","nd","rd","th"),"")</f>
        <v/>
      </c>
    </row>
    <row r="697" spans="8:14" x14ac:dyDescent="0.25">
      <c r="H697" s="201" t="str">
        <f t="shared" si="10"/>
        <v/>
      </c>
      <c r="N697" s="164" t="str">
        <f>IFERROR(COUNTIF($B$19:B697,B697)&amp;CHOOSE(MIN(4,COUNTIF($B$19:B697,B697)),"st","nd","rd","th"),"")</f>
        <v/>
      </c>
    </row>
    <row r="698" spans="8:14" x14ac:dyDescent="0.25">
      <c r="H698" s="201" t="str">
        <f t="shared" si="10"/>
        <v/>
      </c>
      <c r="N698" s="164" t="str">
        <f>IFERROR(COUNTIF($B$19:B698,B698)&amp;CHOOSE(MIN(4,COUNTIF($B$19:B698,B698)),"st","nd","rd","th"),"")</f>
        <v/>
      </c>
    </row>
    <row r="699" spans="8:14" x14ac:dyDescent="0.25">
      <c r="H699" s="201" t="str">
        <f t="shared" si="10"/>
        <v/>
      </c>
      <c r="N699" s="164" t="str">
        <f>IFERROR(COUNTIF($B$19:B699,B699)&amp;CHOOSE(MIN(4,COUNTIF($B$19:B699,B699)),"st","nd","rd","th"),"")</f>
        <v/>
      </c>
    </row>
    <row r="700" spans="8:14" x14ac:dyDescent="0.25">
      <c r="H700" s="201" t="str">
        <f t="shared" si="10"/>
        <v/>
      </c>
      <c r="N700" s="164" t="str">
        <f>IFERROR(COUNTIF($B$19:B700,B700)&amp;CHOOSE(MIN(4,COUNTIF($B$19:B700,B700)),"st","nd","rd","th"),"")</f>
        <v/>
      </c>
    </row>
    <row r="701" spans="8:14" x14ac:dyDescent="0.25">
      <c r="H701" s="201" t="str">
        <f t="shared" si="10"/>
        <v/>
      </c>
      <c r="N701" s="164" t="str">
        <f>IFERROR(COUNTIF($B$19:B701,B701)&amp;CHOOSE(MIN(4,COUNTIF($B$19:B701,B701)),"st","nd","rd","th"),"")</f>
        <v/>
      </c>
    </row>
    <row r="702" spans="8:14" x14ac:dyDescent="0.25">
      <c r="H702" s="201" t="str">
        <f t="shared" si="10"/>
        <v/>
      </c>
      <c r="N702" s="164" t="str">
        <f>IFERROR(COUNTIF($B$19:B702,B702)&amp;CHOOSE(MIN(4,COUNTIF($B$19:B702,B702)),"st","nd","rd","th"),"")</f>
        <v/>
      </c>
    </row>
    <row r="703" spans="8:14" x14ac:dyDescent="0.25">
      <c r="H703" s="201" t="str">
        <f t="shared" si="10"/>
        <v/>
      </c>
      <c r="N703" s="164" t="str">
        <f>IFERROR(COUNTIF($B$19:B703,B703)&amp;CHOOSE(MIN(4,COUNTIF($B$19:B703,B703)),"st","nd","rd","th"),"")</f>
        <v/>
      </c>
    </row>
    <row r="704" spans="8:14" x14ac:dyDescent="0.25">
      <c r="H704" s="201" t="str">
        <f t="shared" si="10"/>
        <v/>
      </c>
      <c r="N704" s="164" t="str">
        <f>IFERROR(COUNTIF($B$19:B704,B704)&amp;CHOOSE(MIN(4,COUNTIF($B$19:B704,B704)),"st","nd","rd","th"),"")</f>
        <v/>
      </c>
    </row>
    <row r="705" spans="8:14" x14ac:dyDescent="0.25">
      <c r="H705" s="201" t="str">
        <f t="shared" si="10"/>
        <v/>
      </c>
      <c r="N705" s="164" t="str">
        <f>IFERROR(COUNTIF($B$19:B705,B705)&amp;CHOOSE(MIN(4,COUNTIF($B$19:B705,B705)),"st","nd","rd","th"),"")</f>
        <v/>
      </c>
    </row>
    <row r="706" spans="8:14" x14ac:dyDescent="0.25">
      <c r="H706" s="201" t="str">
        <f t="shared" si="10"/>
        <v/>
      </c>
      <c r="N706" s="164" t="str">
        <f>IFERROR(COUNTIF($B$19:B706,B706)&amp;CHOOSE(MIN(4,COUNTIF($B$19:B706,B706)),"st","nd","rd","th"),"")</f>
        <v/>
      </c>
    </row>
    <row r="707" spans="8:14" x14ac:dyDescent="0.25">
      <c r="H707" s="201" t="str">
        <f t="shared" si="10"/>
        <v/>
      </c>
      <c r="N707" s="164" t="str">
        <f>IFERROR(COUNTIF($B$19:B707,B707)&amp;CHOOSE(MIN(4,COUNTIF($B$19:B707,B707)),"st","nd","rd","th"),"")</f>
        <v/>
      </c>
    </row>
    <row r="708" spans="8:14" x14ac:dyDescent="0.25">
      <c r="H708" s="201" t="str">
        <f t="shared" si="10"/>
        <v/>
      </c>
      <c r="N708" s="164" t="str">
        <f>IFERROR(COUNTIF($B$19:B708,B708)&amp;CHOOSE(MIN(4,COUNTIF($B$19:B708,B708)),"st","nd","rd","th"),"")</f>
        <v/>
      </c>
    </row>
    <row r="709" spans="8:14" x14ac:dyDescent="0.25">
      <c r="H709" s="201" t="str">
        <f t="shared" si="10"/>
        <v/>
      </c>
      <c r="N709" s="164" t="str">
        <f>IFERROR(COUNTIF($B$19:B709,B709)&amp;CHOOSE(MIN(4,COUNTIF($B$19:B709,B709)),"st","nd","rd","th"),"")</f>
        <v/>
      </c>
    </row>
    <row r="710" spans="8:14" x14ac:dyDescent="0.25">
      <c r="H710" s="201" t="str">
        <f t="shared" si="10"/>
        <v/>
      </c>
      <c r="N710" s="164" t="str">
        <f>IFERROR(COUNTIF($B$19:B710,B710)&amp;CHOOSE(MIN(4,COUNTIF($B$19:B710,B710)),"st","nd","rd","th"),"")</f>
        <v/>
      </c>
    </row>
    <row r="711" spans="8:14" x14ac:dyDescent="0.25">
      <c r="H711" s="201" t="str">
        <f t="shared" si="10"/>
        <v/>
      </c>
      <c r="N711" s="164" t="str">
        <f>IFERROR(COUNTIF($B$19:B711,B711)&amp;CHOOSE(MIN(4,COUNTIF($B$19:B711,B711)),"st","nd","rd","th"),"")</f>
        <v/>
      </c>
    </row>
    <row r="712" spans="8:14" x14ac:dyDescent="0.25">
      <c r="H712" s="201" t="str">
        <f t="shared" si="10"/>
        <v/>
      </c>
      <c r="N712" s="164" t="str">
        <f>IFERROR(COUNTIF($B$19:B712,B712)&amp;CHOOSE(MIN(4,COUNTIF($B$19:B712,B712)),"st","nd","rd","th"),"")</f>
        <v/>
      </c>
    </row>
    <row r="713" spans="8:14" x14ac:dyDescent="0.25">
      <c r="H713" s="201" t="str">
        <f t="shared" si="10"/>
        <v/>
      </c>
      <c r="N713" s="164" t="str">
        <f>IFERROR(COUNTIF($B$19:B713,B713)&amp;CHOOSE(MIN(4,COUNTIF($B$19:B713,B713)),"st","nd","rd","th"),"")</f>
        <v/>
      </c>
    </row>
    <row r="714" spans="8:14" x14ac:dyDescent="0.25">
      <c r="H714" s="201" t="str">
        <f t="shared" si="10"/>
        <v/>
      </c>
      <c r="N714" s="164" t="str">
        <f>IFERROR(COUNTIF($B$19:B714,B714)&amp;CHOOSE(MIN(4,COUNTIF($B$19:B714,B714)),"st","nd","rd","th"),"")</f>
        <v/>
      </c>
    </row>
    <row r="715" spans="8:14" x14ac:dyDescent="0.25">
      <c r="H715" s="201" t="str">
        <f t="shared" si="10"/>
        <v/>
      </c>
      <c r="N715" s="164" t="str">
        <f>IFERROR(COUNTIF($B$19:B715,B715)&amp;CHOOSE(MIN(4,COUNTIF($B$19:B715,B715)),"st","nd","rd","th"),"")</f>
        <v/>
      </c>
    </row>
    <row r="716" spans="8:14" x14ac:dyDescent="0.25">
      <c r="H716" s="201" t="str">
        <f t="shared" si="10"/>
        <v/>
      </c>
      <c r="N716" s="164" t="str">
        <f>IFERROR(COUNTIF($B$19:B716,B716)&amp;CHOOSE(MIN(4,COUNTIF($B$19:B716,B716)),"st","nd","rd","th"),"")</f>
        <v/>
      </c>
    </row>
    <row r="717" spans="8:14" x14ac:dyDescent="0.25">
      <c r="H717" s="201" t="str">
        <f t="shared" si="10"/>
        <v/>
      </c>
      <c r="N717" s="164" t="str">
        <f>IFERROR(COUNTIF($B$19:B717,B717)&amp;CHOOSE(MIN(4,COUNTIF($B$19:B717,B717)),"st","nd","rd","th"),"")</f>
        <v/>
      </c>
    </row>
    <row r="718" spans="8:14" x14ac:dyDescent="0.25">
      <c r="H718" s="201" t="str">
        <f t="shared" si="10"/>
        <v/>
      </c>
      <c r="N718" s="164" t="str">
        <f>IFERROR(COUNTIF($B$19:B718,B718)&amp;CHOOSE(MIN(4,COUNTIF($B$19:B718,B718)),"st","nd","rd","th"),"")</f>
        <v/>
      </c>
    </row>
    <row r="719" spans="8:14" x14ac:dyDescent="0.25">
      <c r="H719" s="201" t="str">
        <f t="shared" si="10"/>
        <v/>
      </c>
      <c r="N719" s="164" t="str">
        <f>IFERROR(COUNTIF($B$19:B719,B719)&amp;CHOOSE(MIN(4,COUNTIF($B$19:B719,B719)),"st","nd","rd","th"),"")</f>
        <v/>
      </c>
    </row>
    <row r="720" spans="8:14" x14ac:dyDescent="0.25">
      <c r="H720" s="201" t="str">
        <f t="shared" si="10"/>
        <v/>
      </c>
      <c r="N720" s="164" t="str">
        <f>IFERROR(COUNTIF($B$19:B720,B720)&amp;CHOOSE(MIN(4,COUNTIF($B$19:B720,B720)),"st","nd","rd","th"),"")</f>
        <v/>
      </c>
    </row>
    <row r="721" spans="8:14" x14ac:dyDescent="0.25">
      <c r="H721" s="201" t="str">
        <f t="shared" si="10"/>
        <v/>
      </c>
      <c r="N721" s="164" t="str">
        <f>IFERROR(COUNTIF($B$19:B721,B721)&amp;CHOOSE(MIN(4,COUNTIF($B$19:B721,B721)),"st","nd","rd","th"),"")</f>
        <v/>
      </c>
    </row>
    <row r="722" spans="8:14" x14ac:dyDescent="0.25">
      <c r="H722" s="201" t="str">
        <f t="shared" si="10"/>
        <v/>
      </c>
      <c r="N722" s="164" t="str">
        <f>IFERROR(COUNTIF($B$19:B722,B722)&amp;CHOOSE(MIN(4,COUNTIF($B$19:B722,B722)),"st","nd","rd","th"),"")</f>
        <v/>
      </c>
    </row>
    <row r="723" spans="8:14" x14ac:dyDescent="0.25">
      <c r="H723" s="201" t="str">
        <f t="shared" si="10"/>
        <v/>
      </c>
      <c r="N723" s="164" t="str">
        <f>IFERROR(COUNTIF($B$19:B723,B723)&amp;CHOOSE(MIN(4,COUNTIF($B$19:B723,B723)),"st","nd","rd","th"),"")</f>
        <v/>
      </c>
    </row>
    <row r="724" spans="8:14" x14ac:dyDescent="0.25">
      <c r="H724" s="201" t="str">
        <f t="shared" ref="H724:H787" si="11">IF(OR(ISBLANK(G724), ISBLANK(F724)), "", IF(G724=F724, 1, SUM(_xlfn.DAYS(G724, F724), 1)))</f>
        <v/>
      </c>
      <c r="N724" s="164" t="str">
        <f>IFERROR(COUNTIF($B$19:B724,B724)&amp;CHOOSE(MIN(4,COUNTIF($B$19:B724,B724)),"st","nd","rd","th"),"")</f>
        <v/>
      </c>
    </row>
    <row r="725" spans="8:14" x14ac:dyDescent="0.25">
      <c r="H725" s="201" t="str">
        <f t="shared" si="11"/>
        <v/>
      </c>
      <c r="N725" s="164" t="str">
        <f>IFERROR(COUNTIF($B$19:B725,B725)&amp;CHOOSE(MIN(4,COUNTIF($B$19:B725,B725)),"st","nd","rd","th"),"")</f>
        <v/>
      </c>
    </row>
    <row r="726" spans="8:14" x14ac:dyDescent="0.25">
      <c r="H726" s="201" t="str">
        <f t="shared" si="11"/>
        <v/>
      </c>
      <c r="N726" s="164" t="str">
        <f>IFERROR(COUNTIF($B$19:B726,B726)&amp;CHOOSE(MIN(4,COUNTIF($B$19:B726,B726)),"st","nd","rd","th"),"")</f>
        <v/>
      </c>
    </row>
    <row r="727" spans="8:14" x14ac:dyDescent="0.25">
      <c r="H727" s="201" t="str">
        <f t="shared" si="11"/>
        <v/>
      </c>
      <c r="N727" s="164" t="str">
        <f>IFERROR(COUNTIF($B$19:B727,B727)&amp;CHOOSE(MIN(4,COUNTIF($B$19:B727,B727)),"st","nd","rd","th"),"")</f>
        <v/>
      </c>
    </row>
    <row r="728" spans="8:14" x14ac:dyDescent="0.25">
      <c r="H728" s="201" t="str">
        <f t="shared" si="11"/>
        <v/>
      </c>
      <c r="N728" s="164" t="str">
        <f>IFERROR(COUNTIF($B$19:B728,B728)&amp;CHOOSE(MIN(4,COUNTIF($B$19:B728,B728)),"st","nd","rd","th"),"")</f>
        <v/>
      </c>
    </row>
    <row r="729" spans="8:14" x14ac:dyDescent="0.25">
      <c r="H729" s="201" t="str">
        <f t="shared" si="11"/>
        <v/>
      </c>
      <c r="N729" s="164" t="str">
        <f>IFERROR(COUNTIF($B$19:B729,B729)&amp;CHOOSE(MIN(4,COUNTIF($B$19:B729,B729)),"st","nd","rd","th"),"")</f>
        <v/>
      </c>
    </row>
    <row r="730" spans="8:14" x14ac:dyDescent="0.25">
      <c r="H730" s="201" t="str">
        <f t="shared" si="11"/>
        <v/>
      </c>
      <c r="N730" s="164" t="str">
        <f>IFERROR(COUNTIF($B$19:B730,B730)&amp;CHOOSE(MIN(4,COUNTIF($B$19:B730,B730)),"st","nd","rd","th"),"")</f>
        <v/>
      </c>
    </row>
    <row r="731" spans="8:14" x14ac:dyDescent="0.25">
      <c r="H731" s="201" t="str">
        <f t="shared" si="11"/>
        <v/>
      </c>
      <c r="N731" s="164" t="str">
        <f>IFERROR(COUNTIF($B$19:B731,B731)&amp;CHOOSE(MIN(4,COUNTIF($B$19:B731,B731)),"st","nd","rd","th"),"")</f>
        <v/>
      </c>
    </row>
    <row r="732" spans="8:14" x14ac:dyDescent="0.25">
      <c r="H732" s="201" t="str">
        <f t="shared" si="11"/>
        <v/>
      </c>
      <c r="N732" s="164" t="str">
        <f>IFERROR(COUNTIF($B$19:B732,B732)&amp;CHOOSE(MIN(4,COUNTIF($B$19:B732,B732)),"st","nd","rd","th"),"")</f>
        <v/>
      </c>
    </row>
    <row r="733" spans="8:14" x14ac:dyDescent="0.25">
      <c r="H733" s="201" t="str">
        <f t="shared" si="11"/>
        <v/>
      </c>
      <c r="N733" s="164" t="str">
        <f>IFERROR(COUNTIF($B$19:B733,B733)&amp;CHOOSE(MIN(4,COUNTIF($B$19:B733,B733)),"st","nd","rd","th"),"")</f>
        <v/>
      </c>
    </row>
    <row r="734" spans="8:14" x14ac:dyDescent="0.25">
      <c r="H734" s="201" t="str">
        <f t="shared" si="11"/>
        <v/>
      </c>
      <c r="N734" s="164" t="str">
        <f>IFERROR(COUNTIF($B$19:B734,B734)&amp;CHOOSE(MIN(4,COUNTIF($B$19:B734,B734)),"st","nd","rd","th"),"")</f>
        <v/>
      </c>
    </row>
    <row r="735" spans="8:14" x14ac:dyDescent="0.25">
      <c r="H735" s="201" t="str">
        <f t="shared" si="11"/>
        <v/>
      </c>
      <c r="N735" s="164" t="str">
        <f>IFERROR(COUNTIF($B$19:B735,B735)&amp;CHOOSE(MIN(4,COUNTIF($B$19:B735,B735)),"st","nd","rd","th"),"")</f>
        <v/>
      </c>
    </row>
    <row r="736" spans="8:14" x14ac:dyDescent="0.25">
      <c r="H736" s="201" t="str">
        <f t="shared" si="11"/>
        <v/>
      </c>
      <c r="N736" s="164" t="str">
        <f>IFERROR(COUNTIF($B$19:B736,B736)&amp;CHOOSE(MIN(4,COUNTIF($B$19:B736,B736)),"st","nd","rd","th"),"")</f>
        <v/>
      </c>
    </row>
    <row r="737" spans="8:14" x14ac:dyDescent="0.25">
      <c r="H737" s="201" t="str">
        <f t="shared" si="11"/>
        <v/>
      </c>
      <c r="N737" s="164" t="str">
        <f>IFERROR(COUNTIF($B$19:B737,B737)&amp;CHOOSE(MIN(4,COUNTIF($B$19:B737,B737)),"st","nd","rd","th"),"")</f>
        <v/>
      </c>
    </row>
    <row r="738" spans="8:14" x14ac:dyDescent="0.25">
      <c r="H738" s="201" t="str">
        <f t="shared" si="11"/>
        <v/>
      </c>
      <c r="N738" s="164" t="str">
        <f>IFERROR(COUNTIF($B$19:B738,B738)&amp;CHOOSE(MIN(4,COUNTIF($B$19:B738,B738)),"st","nd","rd","th"),"")</f>
        <v/>
      </c>
    </row>
    <row r="739" spans="8:14" x14ac:dyDescent="0.25">
      <c r="H739" s="201" t="str">
        <f t="shared" si="11"/>
        <v/>
      </c>
      <c r="N739" s="164" t="str">
        <f>IFERROR(COUNTIF($B$19:B739,B739)&amp;CHOOSE(MIN(4,COUNTIF($B$19:B739,B739)),"st","nd","rd","th"),"")</f>
        <v/>
      </c>
    </row>
    <row r="740" spans="8:14" x14ac:dyDescent="0.25">
      <c r="H740" s="201" t="str">
        <f t="shared" si="11"/>
        <v/>
      </c>
      <c r="N740" s="164" t="str">
        <f>IFERROR(COUNTIF($B$19:B740,B740)&amp;CHOOSE(MIN(4,COUNTIF($B$19:B740,B740)),"st","nd","rd","th"),"")</f>
        <v/>
      </c>
    </row>
    <row r="741" spans="8:14" x14ac:dyDescent="0.25">
      <c r="H741" s="201" t="str">
        <f t="shared" si="11"/>
        <v/>
      </c>
      <c r="N741" s="164" t="str">
        <f>IFERROR(COUNTIF($B$19:B741,B741)&amp;CHOOSE(MIN(4,COUNTIF($B$19:B741,B741)),"st","nd","rd","th"),"")</f>
        <v/>
      </c>
    </row>
    <row r="742" spans="8:14" x14ac:dyDescent="0.25">
      <c r="H742" s="201" t="str">
        <f t="shared" si="11"/>
        <v/>
      </c>
      <c r="N742" s="164" t="str">
        <f>IFERROR(COUNTIF($B$19:B742,B742)&amp;CHOOSE(MIN(4,COUNTIF($B$19:B742,B742)),"st","nd","rd","th"),"")</f>
        <v/>
      </c>
    </row>
    <row r="743" spans="8:14" x14ac:dyDescent="0.25">
      <c r="H743" s="201" t="str">
        <f t="shared" si="11"/>
        <v/>
      </c>
      <c r="N743" s="164" t="str">
        <f>IFERROR(COUNTIF($B$19:B743,B743)&amp;CHOOSE(MIN(4,COUNTIF($B$19:B743,B743)),"st","nd","rd","th"),"")</f>
        <v/>
      </c>
    </row>
    <row r="744" spans="8:14" x14ac:dyDescent="0.25">
      <c r="H744" s="201" t="str">
        <f t="shared" si="11"/>
        <v/>
      </c>
      <c r="N744" s="164" t="str">
        <f>IFERROR(COUNTIF($B$19:B744,B744)&amp;CHOOSE(MIN(4,COUNTIF($B$19:B744,B744)),"st","nd","rd","th"),"")</f>
        <v/>
      </c>
    </row>
    <row r="745" spans="8:14" x14ac:dyDescent="0.25">
      <c r="H745" s="201" t="str">
        <f t="shared" si="11"/>
        <v/>
      </c>
      <c r="N745" s="164" t="str">
        <f>IFERROR(COUNTIF($B$19:B745,B745)&amp;CHOOSE(MIN(4,COUNTIF($B$19:B745,B745)),"st","nd","rd","th"),"")</f>
        <v/>
      </c>
    </row>
    <row r="746" spans="8:14" x14ac:dyDescent="0.25">
      <c r="H746" s="201" t="str">
        <f t="shared" si="11"/>
        <v/>
      </c>
      <c r="N746" s="164" t="str">
        <f>IFERROR(COUNTIF($B$19:B746,B746)&amp;CHOOSE(MIN(4,COUNTIF($B$19:B746,B746)),"st","nd","rd","th"),"")</f>
        <v/>
      </c>
    </row>
    <row r="747" spans="8:14" x14ac:dyDescent="0.25">
      <c r="H747" s="201" t="str">
        <f t="shared" si="11"/>
        <v/>
      </c>
      <c r="N747" s="164" t="str">
        <f>IFERROR(COUNTIF($B$19:B747,B747)&amp;CHOOSE(MIN(4,COUNTIF($B$19:B747,B747)),"st","nd","rd","th"),"")</f>
        <v/>
      </c>
    </row>
    <row r="748" spans="8:14" x14ac:dyDescent="0.25">
      <c r="H748" s="201" t="str">
        <f t="shared" si="11"/>
        <v/>
      </c>
      <c r="N748" s="164" t="str">
        <f>IFERROR(COUNTIF($B$19:B748,B748)&amp;CHOOSE(MIN(4,COUNTIF($B$19:B748,B748)),"st","nd","rd","th"),"")</f>
        <v/>
      </c>
    </row>
    <row r="749" spans="8:14" x14ac:dyDescent="0.25">
      <c r="H749" s="201" t="str">
        <f t="shared" si="11"/>
        <v/>
      </c>
      <c r="N749" s="164" t="str">
        <f>IFERROR(COUNTIF($B$19:B749,B749)&amp;CHOOSE(MIN(4,COUNTIF($B$19:B749,B749)),"st","nd","rd","th"),"")</f>
        <v/>
      </c>
    </row>
    <row r="750" spans="8:14" x14ac:dyDescent="0.25">
      <c r="H750" s="201" t="str">
        <f t="shared" si="11"/>
        <v/>
      </c>
      <c r="N750" s="164" t="str">
        <f>IFERROR(COUNTIF($B$19:B750,B750)&amp;CHOOSE(MIN(4,COUNTIF($B$19:B750,B750)),"st","nd","rd","th"),"")</f>
        <v/>
      </c>
    </row>
    <row r="751" spans="8:14" x14ac:dyDescent="0.25">
      <c r="H751" s="201" t="str">
        <f t="shared" si="11"/>
        <v/>
      </c>
      <c r="N751" s="164" t="str">
        <f>IFERROR(COUNTIF($B$19:B751,B751)&amp;CHOOSE(MIN(4,COUNTIF($B$19:B751,B751)),"st","nd","rd","th"),"")</f>
        <v/>
      </c>
    </row>
    <row r="752" spans="8:14" x14ac:dyDescent="0.25">
      <c r="H752" s="201" t="str">
        <f t="shared" si="11"/>
        <v/>
      </c>
      <c r="N752" s="164" t="str">
        <f>IFERROR(COUNTIF($B$19:B752,B752)&amp;CHOOSE(MIN(4,COUNTIF($B$19:B752,B752)),"st","nd","rd","th"),"")</f>
        <v/>
      </c>
    </row>
    <row r="753" spans="8:14" x14ac:dyDescent="0.25">
      <c r="H753" s="201" t="str">
        <f t="shared" si="11"/>
        <v/>
      </c>
      <c r="N753" s="164" t="str">
        <f>IFERROR(COUNTIF($B$19:B753,B753)&amp;CHOOSE(MIN(4,COUNTIF($B$19:B753,B753)),"st","nd","rd","th"),"")</f>
        <v/>
      </c>
    </row>
    <row r="754" spans="8:14" x14ac:dyDescent="0.25">
      <c r="H754" s="201" t="str">
        <f t="shared" si="11"/>
        <v/>
      </c>
      <c r="N754" s="164" t="str">
        <f>IFERROR(COUNTIF($B$19:B754,B754)&amp;CHOOSE(MIN(4,COUNTIF($B$19:B754,B754)),"st","nd","rd","th"),"")</f>
        <v/>
      </c>
    </row>
    <row r="755" spans="8:14" x14ac:dyDescent="0.25">
      <c r="H755" s="201" t="str">
        <f t="shared" si="11"/>
        <v/>
      </c>
      <c r="N755" s="164" t="str">
        <f>IFERROR(COUNTIF($B$19:B755,B755)&amp;CHOOSE(MIN(4,COUNTIF($B$19:B755,B755)),"st","nd","rd","th"),"")</f>
        <v/>
      </c>
    </row>
    <row r="756" spans="8:14" x14ac:dyDescent="0.25">
      <c r="H756" s="201" t="str">
        <f t="shared" si="11"/>
        <v/>
      </c>
      <c r="N756" s="164" t="str">
        <f>IFERROR(COUNTIF($B$19:B756,B756)&amp;CHOOSE(MIN(4,COUNTIF($B$19:B756,B756)),"st","nd","rd","th"),"")</f>
        <v/>
      </c>
    </row>
    <row r="757" spans="8:14" x14ac:dyDescent="0.25">
      <c r="H757" s="201" t="str">
        <f t="shared" si="11"/>
        <v/>
      </c>
      <c r="N757" s="164" t="str">
        <f>IFERROR(COUNTIF($B$19:B757,B757)&amp;CHOOSE(MIN(4,COUNTIF($B$19:B757,B757)),"st","nd","rd","th"),"")</f>
        <v/>
      </c>
    </row>
    <row r="758" spans="8:14" x14ac:dyDescent="0.25">
      <c r="H758" s="201" t="str">
        <f t="shared" si="11"/>
        <v/>
      </c>
      <c r="N758" s="164" t="str">
        <f>IFERROR(COUNTIF($B$19:B758,B758)&amp;CHOOSE(MIN(4,COUNTIF($B$19:B758,B758)),"st","nd","rd","th"),"")</f>
        <v/>
      </c>
    </row>
    <row r="759" spans="8:14" x14ac:dyDescent="0.25">
      <c r="H759" s="201" t="str">
        <f t="shared" si="11"/>
        <v/>
      </c>
      <c r="N759" s="164" t="str">
        <f>IFERROR(COUNTIF($B$19:B759,B759)&amp;CHOOSE(MIN(4,COUNTIF($B$19:B759,B759)),"st","nd","rd","th"),"")</f>
        <v/>
      </c>
    </row>
    <row r="760" spans="8:14" x14ac:dyDescent="0.25">
      <c r="H760" s="201" t="str">
        <f t="shared" si="11"/>
        <v/>
      </c>
      <c r="N760" s="164" t="str">
        <f>IFERROR(COUNTIF($B$19:B760,B760)&amp;CHOOSE(MIN(4,COUNTIF($B$19:B760,B760)),"st","nd","rd","th"),"")</f>
        <v/>
      </c>
    </row>
    <row r="761" spans="8:14" x14ac:dyDescent="0.25">
      <c r="H761" s="201" t="str">
        <f t="shared" si="11"/>
        <v/>
      </c>
      <c r="N761" s="164" t="str">
        <f>IFERROR(COUNTIF($B$19:B761,B761)&amp;CHOOSE(MIN(4,COUNTIF($B$19:B761,B761)),"st","nd","rd","th"),"")</f>
        <v/>
      </c>
    </row>
    <row r="762" spans="8:14" x14ac:dyDescent="0.25">
      <c r="H762" s="201" t="str">
        <f t="shared" si="11"/>
        <v/>
      </c>
      <c r="N762" s="164" t="str">
        <f>IFERROR(COUNTIF($B$19:B762,B762)&amp;CHOOSE(MIN(4,COUNTIF($B$19:B762,B762)),"st","nd","rd","th"),"")</f>
        <v/>
      </c>
    </row>
    <row r="763" spans="8:14" x14ac:dyDescent="0.25">
      <c r="H763" s="201" t="str">
        <f t="shared" si="11"/>
        <v/>
      </c>
      <c r="N763" s="164" t="str">
        <f>IFERROR(COUNTIF($B$19:B763,B763)&amp;CHOOSE(MIN(4,COUNTIF($B$19:B763,B763)),"st","nd","rd","th"),"")</f>
        <v/>
      </c>
    </row>
    <row r="764" spans="8:14" x14ac:dyDescent="0.25">
      <c r="H764" s="201" t="str">
        <f t="shared" si="11"/>
        <v/>
      </c>
      <c r="N764" s="164" t="str">
        <f>IFERROR(COUNTIF($B$19:B764,B764)&amp;CHOOSE(MIN(4,COUNTIF($B$19:B764,B764)),"st","nd","rd","th"),"")</f>
        <v/>
      </c>
    </row>
    <row r="765" spans="8:14" x14ac:dyDescent="0.25">
      <c r="H765" s="201" t="str">
        <f t="shared" si="11"/>
        <v/>
      </c>
      <c r="N765" s="164" t="str">
        <f>IFERROR(COUNTIF($B$19:B765,B765)&amp;CHOOSE(MIN(4,COUNTIF($B$19:B765,B765)),"st","nd","rd","th"),"")</f>
        <v/>
      </c>
    </row>
    <row r="766" spans="8:14" x14ac:dyDescent="0.25">
      <c r="H766" s="201" t="str">
        <f t="shared" si="11"/>
        <v/>
      </c>
      <c r="N766" s="164" t="str">
        <f>IFERROR(COUNTIF($B$19:B766,B766)&amp;CHOOSE(MIN(4,COUNTIF($B$19:B766,B766)),"st","nd","rd","th"),"")</f>
        <v/>
      </c>
    </row>
    <row r="767" spans="8:14" x14ac:dyDescent="0.25">
      <c r="H767" s="201" t="str">
        <f t="shared" si="11"/>
        <v/>
      </c>
      <c r="N767" s="164" t="str">
        <f>IFERROR(COUNTIF($B$19:B767,B767)&amp;CHOOSE(MIN(4,COUNTIF($B$19:B767,B767)),"st","nd","rd","th"),"")</f>
        <v/>
      </c>
    </row>
    <row r="768" spans="8:14" x14ac:dyDescent="0.25">
      <c r="H768" s="201" t="str">
        <f t="shared" si="11"/>
        <v/>
      </c>
      <c r="N768" s="164" t="str">
        <f>IFERROR(COUNTIF($B$19:B768,B768)&amp;CHOOSE(MIN(4,COUNTIF($B$19:B768,B768)),"st","nd","rd","th"),"")</f>
        <v/>
      </c>
    </row>
    <row r="769" spans="8:14" x14ac:dyDescent="0.25">
      <c r="H769" s="201" t="str">
        <f t="shared" si="11"/>
        <v/>
      </c>
      <c r="N769" s="164" t="str">
        <f>IFERROR(COUNTIF($B$19:B769,B769)&amp;CHOOSE(MIN(4,COUNTIF($B$19:B769,B769)),"st","nd","rd","th"),"")</f>
        <v/>
      </c>
    </row>
    <row r="770" spans="8:14" x14ac:dyDescent="0.25">
      <c r="H770" s="201" t="str">
        <f t="shared" si="11"/>
        <v/>
      </c>
      <c r="N770" s="164" t="str">
        <f>IFERROR(COUNTIF($B$19:B770,B770)&amp;CHOOSE(MIN(4,COUNTIF($B$19:B770,B770)),"st","nd","rd","th"),"")</f>
        <v/>
      </c>
    </row>
    <row r="771" spans="8:14" x14ac:dyDescent="0.25">
      <c r="H771" s="201" t="str">
        <f t="shared" si="11"/>
        <v/>
      </c>
      <c r="N771" s="164" t="str">
        <f>IFERROR(COUNTIF($B$19:B771,B771)&amp;CHOOSE(MIN(4,COUNTIF($B$19:B771,B771)),"st","nd","rd","th"),"")</f>
        <v/>
      </c>
    </row>
    <row r="772" spans="8:14" x14ac:dyDescent="0.25">
      <c r="H772" s="201" t="str">
        <f t="shared" si="11"/>
        <v/>
      </c>
      <c r="N772" s="164" t="str">
        <f>IFERROR(COUNTIF($B$19:B772,B772)&amp;CHOOSE(MIN(4,COUNTIF($B$19:B772,B772)),"st","nd","rd","th"),"")</f>
        <v/>
      </c>
    </row>
    <row r="773" spans="8:14" x14ac:dyDescent="0.25">
      <c r="H773" s="201" t="str">
        <f t="shared" si="11"/>
        <v/>
      </c>
      <c r="N773" s="164" t="str">
        <f>IFERROR(COUNTIF($B$19:B773,B773)&amp;CHOOSE(MIN(4,COUNTIF($B$19:B773,B773)),"st","nd","rd","th"),"")</f>
        <v/>
      </c>
    </row>
    <row r="774" spans="8:14" x14ac:dyDescent="0.25">
      <c r="H774" s="201" t="str">
        <f t="shared" si="11"/>
        <v/>
      </c>
      <c r="N774" s="164" t="str">
        <f>IFERROR(COUNTIF($B$19:B774,B774)&amp;CHOOSE(MIN(4,COUNTIF($B$19:B774,B774)),"st","nd","rd","th"),"")</f>
        <v/>
      </c>
    </row>
    <row r="775" spans="8:14" x14ac:dyDescent="0.25">
      <c r="H775" s="201" t="str">
        <f t="shared" si="11"/>
        <v/>
      </c>
      <c r="N775" s="164" t="str">
        <f>IFERROR(COUNTIF($B$19:B775,B775)&amp;CHOOSE(MIN(4,COUNTIF($B$19:B775,B775)),"st","nd","rd","th"),"")</f>
        <v/>
      </c>
    </row>
    <row r="776" spans="8:14" x14ac:dyDescent="0.25">
      <c r="H776" s="201" t="str">
        <f t="shared" si="11"/>
        <v/>
      </c>
      <c r="N776" s="164" t="str">
        <f>IFERROR(COUNTIF($B$19:B776,B776)&amp;CHOOSE(MIN(4,COUNTIF($B$19:B776,B776)),"st","nd","rd","th"),"")</f>
        <v/>
      </c>
    </row>
    <row r="777" spans="8:14" x14ac:dyDescent="0.25">
      <c r="H777" s="201" t="str">
        <f t="shared" si="11"/>
        <v/>
      </c>
      <c r="N777" s="164" t="str">
        <f>IFERROR(COUNTIF($B$19:B777,B777)&amp;CHOOSE(MIN(4,COUNTIF($B$19:B777,B777)),"st","nd","rd","th"),"")</f>
        <v/>
      </c>
    </row>
    <row r="778" spans="8:14" x14ac:dyDescent="0.25">
      <c r="H778" s="201" t="str">
        <f t="shared" si="11"/>
        <v/>
      </c>
      <c r="N778" s="164" t="str">
        <f>IFERROR(COUNTIF($B$19:B778,B778)&amp;CHOOSE(MIN(4,COUNTIF($B$19:B778,B778)),"st","nd","rd","th"),"")</f>
        <v/>
      </c>
    </row>
    <row r="779" spans="8:14" x14ac:dyDescent="0.25">
      <c r="H779" s="201" t="str">
        <f t="shared" si="11"/>
        <v/>
      </c>
      <c r="N779" s="164" t="str">
        <f>IFERROR(COUNTIF($B$19:B779,B779)&amp;CHOOSE(MIN(4,COUNTIF($B$19:B779,B779)),"st","nd","rd","th"),"")</f>
        <v/>
      </c>
    </row>
    <row r="780" spans="8:14" x14ac:dyDescent="0.25">
      <c r="H780" s="201" t="str">
        <f t="shared" si="11"/>
        <v/>
      </c>
      <c r="N780" s="164" t="str">
        <f>IFERROR(COUNTIF($B$19:B780,B780)&amp;CHOOSE(MIN(4,COUNTIF($B$19:B780,B780)),"st","nd","rd","th"),"")</f>
        <v/>
      </c>
    </row>
    <row r="781" spans="8:14" x14ac:dyDescent="0.25">
      <c r="H781" s="201" t="str">
        <f t="shared" si="11"/>
        <v/>
      </c>
      <c r="N781" s="164" t="str">
        <f>IFERROR(COUNTIF($B$19:B781,B781)&amp;CHOOSE(MIN(4,COUNTIF($B$19:B781,B781)),"st","nd","rd","th"),"")</f>
        <v/>
      </c>
    </row>
    <row r="782" spans="8:14" x14ac:dyDescent="0.25">
      <c r="H782" s="201" t="str">
        <f t="shared" si="11"/>
        <v/>
      </c>
      <c r="N782" s="164" t="str">
        <f>IFERROR(COUNTIF($B$19:B782,B782)&amp;CHOOSE(MIN(4,COUNTIF($B$19:B782,B782)),"st","nd","rd","th"),"")</f>
        <v/>
      </c>
    </row>
    <row r="783" spans="8:14" x14ac:dyDescent="0.25">
      <c r="H783" s="201" t="str">
        <f t="shared" si="11"/>
        <v/>
      </c>
      <c r="N783" s="164" t="str">
        <f>IFERROR(COUNTIF($B$19:B783,B783)&amp;CHOOSE(MIN(4,COUNTIF($B$19:B783,B783)),"st","nd","rd","th"),"")</f>
        <v/>
      </c>
    </row>
    <row r="784" spans="8:14" x14ac:dyDescent="0.25">
      <c r="H784" s="201" t="str">
        <f t="shared" si="11"/>
        <v/>
      </c>
      <c r="N784" s="164" t="str">
        <f>IFERROR(COUNTIF($B$19:B784,B784)&amp;CHOOSE(MIN(4,COUNTIF($B$19:B784,B784)),"st","nd","rd","th"),"")</f>
        <v/>
      </c>
    </row>
    <row r="785" spans="8:14" x14ac:dyDescent="0.25">
      <c r="H785" s="201" t="str">
        <f t="shared" si="11"/>
        <v/>
      </c>
      <c r="N785" s="164" t="str">
        <f>IFERROR(COUNTIF($B$19:B785,B785)&amp;CHOOSE(MIN(4,COUNTIF($B$19:B785,B785)),"st","nd","rd","th"),"")</f>
        <v/>
      </c>
    </row>
    <row r="786" spans="8:14" x14ac:dyDescent="0.25">
      <c r="H786" s="201" t="str">
        <f t="shared" si="11"/>
        <v/>
      </c>
      <c r="N786" s="164" t="str">
        <f>IFERROR(COUNTIF($B$19:B786,B786)&amp;CHOOSE(MIN(4,COUNTIF($B$19:B786,B786)),"st","nd","rd","th"),"")</f>
        <v/>
      </c>
    </row>
    <row r="787" spans="8:14" x14ac:dyDescent="0.25">
      <c r="H787" s="201" t="str">
        <f t="shared" si="11"/>
        <v/>
      </c>
      <c r="N787" s="164" t="str">
        <f>IFERROR(COUNTIF($B$19:B787,B787)&amp;CHOOSE(MIN(4,COUNTIF($B$19:B787,B787)),"st","nd","rd","th"),"")</f>
        <v/>
      </c>
    </row>
    <row r="788" spans="8:14" x14ac:dyDescent="0.25">
      <c r="H788" s="201" t="str">
        <f t="shared" ref="H788:H851" si="12">IF(OR(ISBLANK(G788), ISBLANK(F788)), "", IF(G788=F788, 1, SUM(_xlfn.DAYS(G788, F788), 1)))</f>
        <v/>
      </c>
      <c r="N788" s="164" t="str">
        <f>IFERROR(COUNTIF($B$19:B788,B788)&amp;CHOOSE(MIN(4,COUNTIF($B$19:B788,B788)),"st","nd","rd","th"),"")</f>
        <v/>
      </c>
    </row>
    <row r="789" spans="8:14" x14ac:dyDescent="0.25">
      <c r="H789" s="201" t="str">
        <f t="shared" si="12"/>
        <v/>
      </c>
      <c r="N789" s="164" t="str">
        <f>IFERROR(COUNTIF($B$19:B789,B789)&amp;CHOOSE(MIN(4,COUNTIF($B$19:B789,B789)),"st","nd","rd","th"),"")</f>
        <v/>
      </c>
    </row>
    <row r="790" spans="8:14" x14ac:dyDescent="0.25">
      <c r="H790" s="201" t="str">
        <f t="shared" si="12"/>
        <v/>
      </c>
      <c r="N790" s="164" t="str">
        <f>IFERROR(COUNTIF($B$19:B790,B790)&amp;CHOOSE(MIN(4,COUNTIF($B$19:B790,B790)),"st","nd","rd","th"),"")</f>
        <v/>
      </c>
    </row>
    <row r="791" spans="8:14" x14ac:dyDescent="0.25">
      <c r="H791" s="201" t="str">
        <f t="shared" si="12"/>
        <v/>
      </c>
      <c r="N791" s="164" t="str">
        <f>IFERROR(COUNTIF($B$19:B791,B791)&amp;CHOOSE(MIN(4,COUNTIF($B$19:B791,B791)),"st","nd","rd","th"),"")</f>
        <v/>
      </c>
    </row>
    <row r="792" spans="8:14" x14ac:dyDescent="0.25">
      <c r="H792" s="201" t="str">
        <f t="shared" si="12"/>
        <v/>
      </c>
      <c r="N792" s="164" t="str">
        <f>IFERROR(COUNTIF($B$19:B792,B792)&amp;CHOOSE(MIN(4,COUNTIF($B$19:B792,B792)),"st","nd","rd","th"),"")</f>
        <v/>
      </c>
    </row>
    <row r="793" spans="8:14" x14ac:dyDescent="0.25">
      <c r="H793" s="201" t="str">
        <f t="shared" si="12"/>
        <v/>
      </c>
      <c r="N793" s="164" t="str">
        <f>IFERROR(COUNTIF($B$19:B793,B793)&amp;CHOOSE(MIN(4,COUNTIF($B$19:B793,B793)),"st","nd","rd","th"),"")</f>
        <v/>
      </c>
    </row>
    <row r="794" spans="8:14" x14ac:dyDescent="0.25">
      <c r="H794" s="201" t="str">
        <f t="shared" si="12"/>
        <v/>
      </c>
      <c r="N794" s="164" t="str">
        <f>IFERROR(COUNTIF($B$19:B794,B794)&amp;CHOOSE(MIN(4,COUNTIF($B$19:B794,B794)),"st","nd","rd","th"),"")</f>
        <v/>
      </c>
    </row>
    <row r="795" spans="8:14" x14ac:dyDescent="0.25">
      <c r="H795" s="201" t="str">
        <f t="shared" si="12"/>
        <v/>
      </c>
      <c r="N795" s="164" t="str">
        <f>IFERROR(COUNTIF($B$19:B795,B795)&amp;CHOOSE(MIN(4,COUNTIF($B$19:B795,B795)),"st","nd","rd","th"),"")</f>
        <v/>
      </c>
    </row>
    <row r="796" spans="8:14" x14ac:dyDescent="0.25">
      <c r="H796" s="201" t="str">
        <f t="shared" si="12"/>
        <v/>
      </c>
      <c r="N796" s="164" t="str">
        <f>IFERROR(COUNTIF($B$19:B796,B796)&amp;CHOOSE(MIN(4,COUNTIF($B$19:B796,B796)),"st","nd","rd","th"),"")</f>
        <v/>
      </c>
    </row>
    <row r="797" spans="8:14" x14ac:dyDescent="0.25">
      <c r="H797" s="201" t="str">
        <f t="shared" si="12"/>
        <v/>
      </c>
      <c r="N797" s="164" t="str">
        <f>IFERROR(COUNTIF($B$19:B797,B797)&amp;CHOOSE(MIN(4,COUNTIF($B$19:B797,B797)),"st","nd","rd","th"),"")</f>
        <v/>
      </c>
    </row>
    <row r="798" spans="8:14" x14ac:dyDescent="0.25">
      <c r="H798" s="201" t="str">
        <f t="shared" si="12"/>
        <v/>
      </c>
      <c r="N798" s="164" t="str">
        <f>IFERROR(COUNTIF($B$19:B798,B798)&amp;CHOOSE(MIN(4,COUNTIF($B$19:B798,B798)),"st","nd","rd","th"),"")</f>
        <v/>
      </c>
    </row>
    <row r="799" spans="8:14" x14ac:dyDescent="0.25">
      <c r="H799" s="201" t="str">
        <f t="shared" si="12"/>
        <v/>
      </c>
      <c r="N799" s="164" t="str">
        <f>IFERROR(COUNTIF($B$19:B799,B799)&amp;CHOOSE(MIN(4,COUNTIF($B$19:B799,B799)),"st","nd","rd","th"),"")</f>
        <v/>
      </c>
    </row>
    <row r="800" spans="8:14" x14ac:dyDescent="0.25">
      <c r="H800" s="201" t="str">
        <f t="shared" si="12"/>
        <v/>
      </c>
      <c r="N800" s="164" t="str">
        <f>IFERROR(COUNTIF($B$19:B800,B800)&amp;CHOOSE(MIN(4,COUNTIF($B$19:B800,B800)),"st","nd","rd","th"),"")</f>
        <v/>
      </c>
    </row>
    <row r="801" spans="8:14" x14ac:dyDescent="0.25">
      <c r="H801" s="201" t="str">
        <f t="shared" si="12"/>
        <v/>
      </c>
      <c r="N801" s="164" t="str">
        <f>IFERROR(COUNTIF($B$19:B801,B801)&amp;CHOOSE(MIN(4,COUNTIF($B$19:B801,B801)),"st","nd","rd","th"),"")</f>
        <v/>
      </c>
    </row>
    <row r="802" spans="8:14" x14ac:dyDescent="0.25">
      <c r="H802" s="201" t="str">
        <f t="shared" si="12"/>
        <v/>
      </c>
      <c r="N802" s="164" t="str">
        <f>IFERROR(COUNTIF($B$19:B802,B802)&amp;CHOOSE(MIN(4,COUNTIF($B$19:B802,B802)),"st","nd","rd","th"),"")</f>
        <v/>
      </c>
    </row>
    <row r="803" spans="8:14" x14ac:dyDescent="0.25">
      <c r="H803" s="201" t="str">
        <f t="shared" si="12"/>
        <v/>
      </c>
      <c r="N803" s="164" t="str">
        <f>IFERROR(COUNTIF($B$19:B803,B803)&amp;CHOOSE(MIN(4,COUNTIF($B$19:B803,B803)),"st","nd","rd","th"),"")</f>
        <v/>
      </c>
    </row>
    <row r="804" spans="8:14" x14ac:dyDescent="0.25">
      <c r="H804" s="201" t="str">
        <f t="shared" si="12"/>
        <v/>
      </c>
      <c r="N804" s="164" t="str">
        <f>IFERROR(COUNTIF($B$19:B804,B804)&amp;CHOOSE(MIN(4,COUNTIF($B$19:B804,B804)),"st","nd","rd","th"),"")</f>
        <v/>
      </c>
    </row>
    <row r="805" spans="8:14" x14ac:dyDescent="0.25">
      <c r="H805" s="201" t="str">
        <f t="shared" si="12"/>
        <v/>
      </c>
      <c r="N805" s="164" t="str">
        <f>IFERROR(COUNTIF($B$19:B805,B805)&amp;CHOOSE(MIN(4,COUNTIF($B$19:B805,B805)),"st","nd","rd","th"),"")</f>
        <v/>
      </c>
    </row>
    <row r="806" spans="8:14" x14ac:dyDescent="0.25">
      <c r="H806" s="201" t="str">
        <f t="shared" si="12"/>
        <v/>
      </c>
      <c r="N806" s="164" t="str">
        <f>IFERROR(COUNTIF($B$19:B806,B806)&amp;CHOOSE(MIN(4,COUNTIF($B$19:B806,B806)),"st","nd","rd","th"),"")</f>
        <v/>
      </c>
    </row>
    <row r="807" spans="8:14" x14ac:dyDescent="0.25">
      <c r="H807" s="201" t="str">
        <f t="shared" si="12"/>
        <v/>
      </c>
      <c r="N807" s="164" t="str">
        <f>IFERROR(COUNTIF($B$19:B807,B807)&amp;CHOOSE(MIN(4,COUNTIF($B$19:B807,B807)),"st","nd","rd","th"),"")</f>
        <v/>
      </c>
    </row>
    <row r="808" spans="8:14" x14ac:dyDescent="0.25">
      <c r="H808" s="201" t="str">
        <f t="shared" si="12"/>
        <v/>
      </c>
      <c r="N808" s="164" t="str">
        <f>IFERROR(COUNTIF($B$19:B808,B808)&amp;CHOOSE(MIN(4,COUNTIF($B$19:B808,B808)),"st","nd","rd","th"),"")</f>
        <v/>
      </c>
    </row>
    <row r="809" spans="8:14" x14ac:dyDescent="0.25">
      <c r="H809" s="201" t="str">
        <f t="shared" si="12"/>
        <v/>
      </c>
      <c r="N809" s="164" t="str">
        <f>IFERROR(COUNTIF($B$19:B809,B809)&amp;CHOOSE(MIN(4,COUNTIF($B$19:B809,B809)),"st","nd","rd","th"),"")</f>
        <v/>
      </c>
    </row>
    <row r="810" spans="8:14" x14ac:dyDescent="0.25">
      <c r="H810" s="201" t="str">
        <f t="shared" si="12"/>
        <v/>
      </c>
      <c r="N810" s="164" t="str">
        <f>IFERROR(COUNTIF($B$19:B810,B810)&amp;CHOOSE(MIN(4,COUNTIF($B$19:B810,B810)),"st","nd","rd","th"),"")</f>
        <v/>
      </c>
    </row>
    <row r="811" spans="8:14" x14ac:dyDescent="0.25">
      <c r="H811" s="201" t="str">
        <f t="shared" si="12"/>
        <v/>
      </c>
      <c r="N811" s="164" t="str">
        <f>IFERROR(COUNTIF($B$19:B811,B811)&amp;CHOOSE(MIN(4,COUNTIF($B$19:B811,B811)),"st","nd","rd","th"),"")</f>
        <v/>
      </c>
    </row>
    <row r="812" spans="8:14" x14ac:dyDescent="0.25">
      <c r="H812" s="201" t="str">
        <f t="shared" si="12"/>
        <v/>
      </c>
      <c r="N812" s="164" t="str">
        <f>IFERROR(COUNTIF($B$19:B812,B812)&amp;CHOOSE(MIN(4,COUNTIF($B$19:B812,B812)),"st","nd","rd","th"),"")</f>
        <v/>
      </c>
    </row>
    <row r="813" spans="8:14" x14ac:dyDescent="0.25">
      <c r="H813" s="201" t="str">
        <f t="shared" si="12"/>
        <v/>
      </c>
      <c r="N813" s="164" t="str">
        <f>IFERROR(COUNTIF($B$19:B813,B813)&amp;CHOOSE(MIN(4,COUNTIF($B$19:B813,B813)),"st","nd","rd","th"),"")</f>
        <v/>
      </c>
    </row>
    <row r="814" spans="8:14" x14ac:dyDescent="0.25">
      <c r="H814" s="201" t="str">
        <f t="shared" si="12"/>
        <v/>
      </c>
      <c r="N814" s="164" t="str">
        <f>IFERROR(COUNTIF($B$19:B814,B814)&amp;CHOOSE(MIN(4,COUNTIF($B$19:B814,B814)),"st","nd","rd","th"),"")</f>
        <v/>
      </c>
    </row>
    <row r="815" spans="8:14" x14ac:dyDescent="0.25">
      <c r="H815" s="201" t="str">
        <f t="shared" si="12"/>
        <v/>
      </c>
      <c r="N815" s="164" t="str">
        <f>IFERROR(COUNTIF($B$19:B815,B815)&amp;CHOOSE(MIN(4,COUNTIF($B$19:B815,B815)),"st","nd","rd","th"),"")</f>
        <v/>
      </c>
    </row>
    <row r="816" spans="8:14" x14ac:dyDescent="0.25">
      <c r="H816" s="201" t="str">
        <f t="shared" si="12"/>
        <v/>
      </c>
      <c r="N816" s="164" t="str">
        <f>IFERROR(COUNTIF($B$19:B816,B816)&amp;CHOOSE(MIN(4,COUNTIF($B$19:B816,B816)),"st","nd","rd","th"),"")</f>
        <v/>
      </c>
    </row>
    <row r="817" spans="8:14" x14ac:dyDescent="0.25">
      <c r="H817" s="201" t="str">
        <f t="shared" si="12"/>
        <v/>
      </c>
      <c r="N817" s="164" t="str">
        <f>IFERROR(COUNTIF($B$19:B817,B817)&amp;CHOOSE(MIN(4,COUNTIF($B$19:B817,B817)),"st","nd","rd","th"),"")</f>
        <v/>
      </c>
    </row>
    <row r="818" spans="8:14" x14ac:dyDescent="0.25">
      <c r="H818" s="201" t="str">
        <f t="shared" si="12"/>
        <v/>
      </c>
      <c r="N818" s="164" t="str">
        <f>IFERROR(COUNTIF($B$19:B818,B818)&amp;CHOOSE(MIN(4,COUNTIF($B$19:B818,B818)),"st","nd","rd","th"),"")</f>
        <v/>
      </c>
    </row>
    <row r="819" spans="8:14" x14ac:dyDescent="0.25">
      <c r="H819" s="201" t="str">
        <f t="shared" si="12"/>
        <v/>
      </c>
      <c r="N819" s="164" t="str">
        <f>IFERROR(COUNTIF($B$19:B819,B819)&amp;CHOOSE(MIN(4,COUNTIF($B$19:B819,B819)),"st","nd","rd","th"),"")</f>
        <v/>
      </c>
    </row>
    <row r="820" spans="8:14" x14ac:dyDescent="0.25">
      <c r="H820" s="201" t="str">
        <f t="shared" si="12"/>
        <v/>
      </c>
      <c r="N820" s="164" t="str">
        <f>IFERROR(COUNTIF($B$19:B820,B820)&amp;CHOOSE(MIN(4,COUNTIF($B$19:B820,B820)),"st","nd","rd","th"),"")</f>
        <v/>
      </c>
    </row>
    <row r="821" spans="8:14" x14ac:dyDescent="0.25">
      <c r="H821" s="201" t="str">
        <f t="shared" si="12"/>
        <v/>
      </c>
      <c r="N821" s="164" t="str">
        <f>IFERROR(COUNTIF($B$19:B821,B821)&amp;CHOOSE(MIN(4,COUNTIF($B$19:B821,B821)),"st","nd","rd","th"),"")</f>
        <v/>
      </c>
    </row>
    <row r="822" spans="8:14" x14ac:dyDescent="0.25">
      <c r="H822" s="201" t="str">
        <f t="shared" si="12"/>
        <v/>
      </c>
      <c r="N822" s="164" t="str">
        <f>IFERROR(COUNTIF($B$19:B822,B822)&amp;CHOOSE(MIN(4,COUNTIF($B$19:B822,B822)),"st","nd","rd","th"),"")</f>
        <v/>
      </c>
    </row>
    <row r="823" spans="8:14" x14ac:dyDescent="0.25">
      <c r="H823" s="201" t="str">
        <f t="shared" si="12"/>
        <v/>
      </c>
      <c r="N823" s="164" t="str">
        <f>IFERROR(COUNTIF($B$19:B823,B823)&amp;CHOOSE(MIN(4,COUNTIF($B$19:B823,B823)),"st","nd","rd","th"),"")</f>
        <v/>
      </c>
    </row>
    <row r="824" spans="8:14" x14ac:dyDescent="0.25">
      <c r="H824" s="201" t="str">
        <f t="shared" si="12"/>
        <v/>
      </c>
      <c r="N824" s="164" t="str">
        <f>IFERROR(COUNTIF($B$19:B824,B824)&amp;CHOOSE(MIN(4,COUNTIF($B$19:B824,B824)),"st","nd","rd","th"),"")</f>
        <v/>
      </c>
    </row>
    <row r="825" spans="8:14" x14ac:dyDescent="0.25">
      <c r="H825" s="201" t="str">
        <f t="shared" si="12"/>
        <v/>
      </c>
      <c r="N825" s="164" t="str">
        <f>IFERROR(COUNTIF($B$19:B825,B825)&amp;CHOOSE(MIN(4,COUNTIF($B$19:B825,B825)),"st","nd","rd","th"),"")</f>
        <v/>
      </c>
    </row>
    <row r="826" spans="8:14" x14ac:dyDescent="0.25">
      <c r="H826" s="201" t="str">
        <f t="shared" si="12"/>
        <v/>
      </c>
      <c r="N826" s="164" t="str">
        <f>IFERROR(COUNTIF($B$19:B826,B826)&amp;CHOOSE(MIN(4,COUNTIF($B$19:B826,B826)),"st","nd","rd","th"),"")</f>
        <v/>
      </c>
    </row>
    <row r="827" spans="8:14" x14ac:dyDescent="0.25">
      <c r="H827" s="201" t="str">
        <f t="shared" si="12"/>
        <v/>
      </c>
      <c r="N827" s="164" t="str">
        <f>IFERROR(COUNTIF($B$19:B827,B827)&amp;CHOOSE(MIN(4,COUNTIF($B$19:B827,B827)),"st","nd","rd","th"),"")</f>
        <v/>
      </c>
    </row>
    <row r="828" spans="8:14" x14ac:dyDescent="0.25">
      <c r="H828" s="201" t="str">
        <f t="shared" si="12"/>
        <v/>
      </c>
      <c r="N828" s="164" t="str">
        <f>IFERROR(COUNTIF($B$19:B828,B828)&amp;CHOOSE(MIN(4,COUNTIF($B$19:B828,B828)),"st","nd","rd","th"),"")</f>
        <v/>
      </c>
    </row>
    <row r="829" spans="8:14" x14ac:dyDescent="0.25">
      <c r="H829" s="201" t="str">
        <f t="shared" si="12"/>
        <v/>
      </c>
      <c r="N829" s="164" t="str">
        <f>IFERROR(COUNTIF($B$19:B829,B829)&amp;CHOOSE(MIN(4,COUNTIF($B$19:B829,B829)),"st","nd","rd","th"),"")</f>
        <v/>
      </c>
    </row>
    <row r="830" spans="8:14" x14ac:dyDescent="0.25">
      <c r="H830" s="201" t="str">
        <f t="shared" si="12"/>
        <v/>
      </c>
      <c r="N830" s="164" t="str">
        <f>IFERROR(COUNTIF($B$19:B830,B830)&amp;CHOOSE(MIN(4,COUNTIF($B$19:B830,B830)),"st","nd","rd","th"),"")</f>
        <v/>
      </c>
    </row>
    <row r="831" spans="8:14" x14ac:dyDescent="0.25">
      <c r="H831" s="201" t="str">
        <f t="shared" si="12"/>
        <v/>
      </c>
      <c r="N831" s="164" t="str">
        <f>IFERROR(COUNTIF($B$19:B831,B831)&amp;CHOOSE(MIN(4,COUNTIF($B$19:B831,B831)),"st","nd","rd","th"),"")</f>
        <v/>
      </c>
    </row>
    <row r="832" spans="8:14" x14ac:dyDescent="0.25">
      <c r="H832" s="201" t="str">
        <f t="shared" si="12"/>
        <v/>
      </c>
      <c r="N832" s="164" t="str">
        <f>IFERROR(COUNTIF($B$19:B832,B832)&amp;CHOOSE(MIN(4,COUNTIF($B$19:B832,B832)),"st","nd","rd","th"),"")</f>
        <v/>
      </c>
    </row>
    <row r="833" spans="8:14" x14ac:dyDescent="0.25">
      <c r="H833" s="201" t="str">
        <f t="shared" si="12"/>
        <v/>
      </c>
      <c r="N833" s="164" t="str">
        <f>IFERROR(COUNTIF($B$19:B833,B833)&amp;CHOOSE(MIN(4,COUNTIF($B$19:B833,B833)),"st","nd","rd","th"),"")</f>
        <v/>
      </c>
    </row>
    <row r="834" spans="8:14" x14ac:dyDescent="0.25">
      <c r="H834" s="201" t="str">
        <f t="shared" si="12"/>
        <v/>
      </c>
      <c r="N834" s="164" t="str">
        <f>IFERROR(COUNTIF($B$19:B834,B834)&amp;CHOOSE(MIN(4,COUNTIF($B$19:B834,B834)),"st","nd","rd","th"),"")</f>
        <v/>
      </c>
    </row>
    <row r="835" spans="8:14" x14ac:dyDescent="0.25">
      <c r="H835" s="201" t="str">
        <f t="shared" si="12"/>
        <v/>
      </c>
      <c r="N835" s="164" t="str">
        <f>IFERROR(COUNTIF($B$19:B835,B835)&amp;CHOOSE(MIN(4,COUNTIF($B$19:B835,B835)),"st","nd","rd","th"),"")</f>
        <v/>
      </c>
    </row>
    <row r="836" spans="8:14" x14ac:dyDescent="0.25">
      <c r="H836" s="201" t="str">
        <f t="shared" si="12"/>
        <v/>
      </c>
      <c r="N836" s="164" t="str">
        <f>IFERROR(COUNTIF($B$19:B836,B836)&amp;CHOOSE(MIN(4,COUNTIF($B$19:B836,B836)),"st","nd","rd","th"),"")</f>
        <v/>
      </c>
    </row>
    <row r="837" spans="8:14" x14ac:dyDescent="0.25">
      <c r="H837" s="201" t="str">
        <f t="shared" si="12"/>
        <v/>
      </c>
      <c r="N837" s="164" t="str">
        <f>IFERROR(COUNTIF($B$19:B837,B837)&amp;CHOOSE(MIN(4,COUNTIF($B$19:B837,B837)),"st","nd","rd","th"),"")</f>
        <v/>
      </c>
    </row>
    <row r="838" spans="8:14" x14ac:dyDescent="0.25">
      <c r="H838" s="201" t="str">
        <f t="shared" si="12"/>
        <v/>
      </c>
      <c r="N838" s="164" t="str">
        <f>IFERROR(COUNTIF($B$19:B838,B838)&amp;CHOOSE(MIN(4,COUNTIF($B$19:B838,B838)),"st","nd","rd","th"),"")</f>
        <v/>
      </c>
    </row>
    <row r="839" spans="8:14" x14ac:dyDescent="0.25">
      <c r="H839" s="201" t="str">
        <f t="shared" si="12"/>
        <v/>
      </c>
      <c r="N839" s="164" t="str">
        <f>IFERROR(COUNTIF($B$19:B839,B839)&amp;CHOOSE(MIN(4,COUNTIF($B$19:B839,B839)),"st","nd","rd","th"),"")</f>
        <v/>
      </c>
    </row>
    <row r="840" spans="8:14" x14ac:dyDescent="0.25">
      <c r="H840" s="201" t="str">
        <f t="shared" si="12"/>
        <v/>
      </c>
      <c r="N840" s="164" t="str">
        <f>IFERROR(COUNTIF($B$19:B840,B840)&amp;CHOOSE(MIN(4,COUNTIF($B$19:B840,B840)),"st","nd","rd","th"),"")</f>
        <v/>
      </c>
    </row>
    <row r="841" spans="8:14" x14ac:dyDescent="0.25">
      <c r="H841" s="201" t="str">
        <f t="shared" si="12"/>
        <v/>
      </c>
      <c r="N841" s="164" t="str">
        <f>IFERROR(COUNTIF($B$19:B841,B841)&amp;CHOOSE(MIN(4,COUNTIF($B$19:B841,B841)),"st","nd","rd","th"),"")</f>
        <v/>
      </c>
    </row>
    <row r="842" spans="8:14" x14ac:dyDescent="0.25">
      <c r="H842" s="201" t="str">
        <f t="shared" si="12"/>
        <v/>
      </c>
      <c r="N842" s="164" t="str">
        <f>IFERROR(COUNTIF($B$19:B842,B842)&amp;CHOOSE(MIN(4,COUNTIF($B$19:B842,B842)),"st","nd","rd","th"),"")</f>
        <v/>
      </c>
    </row>
    <row r="843" spans="8:14" x14ac:dyDescent="0.25">
      <c r="H843" s="201" t="str">
        <f t="shared" si="12"/>
        <v/>
      </c>
      <c r="N843" s="164" t="str">
        <f>IFERROR(COUNTIF($B$19:B843,B843)&amp;CHOOSE(MIN(4,COUNTIF($B$19:B843,B843)),"st","nd","rd","th"),"")</f>
        <v/>
      </c>
    </row>
    <row r="844" spans="8:14" x14ac:dyDescent="0.25">
      <c r="H844" s="201" t="str">
        <f t="shared" si="12"/>
        <v/>
      </c>
      <c r="N844" s="164" t="str">
        <f>IFERROR(COUNTIF($B$19:B844,B844)&amp;CHOOSE(MIN(4,COUNTIF($B$19:B844,B844)),"st","nd","rd","th"),"")</f>
        <v/>
      </c>
    </row>
    <row r="845" spans="8:14" x14ac:dyDescent="0.25">
      <c r="H845" s="201" t="str">
        <f t="shared" si="12"/>
        <v/>
      </c>
      <c r="N845" s="164" t="str">
        <f>IFERROR(COUNTIF($B$19:B845,B845)&amp;CHOOSE(MIN(4,COUNTIF($B$19:B845,B845)),"st","nd","rd","th"),"")</f>
        <v/>
      </c>
    </row>
    <row r="846" spans="8:14" x14ac:dyDescent="0.25">
      <c r="H846" s="201" t="str">
        <f t="shared" si="12"/>
        <v/>
      </c>
      <c r="N846" s="164" t="str">
        <f>IFERROR(COUNTIF($B$19:B846,B846)&amp;CHOOSE(MIN(4,COUNTIF($B$19:B846,B846)),"st","nd","rd","th"),"")</f>
        <v/>
      </c>
    </row>
    <row r="847" spans="8:14" x14ac:dyDescent="0.25">
      <c r="H847" s="201" t="str">
        <f t="shared" si="12"/>
        <v/>
      </c>
      <c r="N847" s="164" t="str">
        <f>IFERROR(COUNTIF($B$19:B847,B847)&amp;CHOOSE(MIN(4,COUNTIF($B$19:B847,B847)),"st","nd","rd","th"),"")</f>
        <v/>
      </c>
    </row>
    <row r="848" spans="8:14" x14ac:dyDescent="0.25">
      <c r="H848" s="201" t="str">
        <f t="shared" si="12"/>
        <v/>
      </c>
      <c r="N848" s="164" t="str">
        <f>IFERROR(COUNTIF($B$19:B848,B848)&amp;CHOOSE(MIN(4,COUNTIF($B$19:B848,B848)),"st","nd","rd","th"),"")</f>
        <v/>
      </c>
    </row>
    <row r="849" spans="8:14" x14ac:dyDescent="0.25">
      <c r="H849" s="201" t="str">
        <f t="shared" si="12"/>
        <v/>
      </c>
      <c r="N849" s="164" t="str">
        <f>IFERROR(COUNTIF($B$19:B849,B849)&amp;CHOOSE(MIN(4,COUNTIF($B$19:B849,B849)),"st","nd","rd","th"),"")</f>
        <v/>
      </c>
    </row>
    <row r="850" spans="8:14" x14ac:dyDescent="0.25">
      <c r="H850" s="201" t="str">
        <f t="shared" si="12"/>
        <v/>
      </c>
      <c r="N850" s="164" t="str">
        <f>IFERROR(COUNTIF($B$19:B850,B850)&amp;CHOOSE(MIN(4,COUNTIF($B$19:B850,B850)),"st","nd","rd","th"),"")</f>
        <v/>
      </c>
    </row>
    <row r="851" spans="8:14" x14ac:dyDescent="0.25">
      <c r="H851" s="201" t="str">
        <f t="shared" si="12"/>
        <v/>
      </c>
      <c r="N851" s="164" t="str">
        <f>IFERROR(COUNTIF($B$19:B851,B851)&amp;CHOOSE(MIN(4,COUNTIF($B$19:B851,B851)),"st","nd","rd","th"),"")</f>
        <v/>
      </c>
    </row>
    <row r="852" spans="8:14" x14ac:dyDescent="0.25">
      <c r="H852" s="201" t="str">
        <f t="shared" ref="H852:H915" si="13">IF(OR(ISBLANK(G852), ISBLANK(F852)), "", IF(G852=F852, 1, SUM(_xlfn.DAYS(G852, F852), 1)))</f>
        <v/>
      </c>
      <c r="N852" s="164" t="str">
        <f>IFERROR(COUNTIF($B$19:B852,B852)&amp;CHOOSE(MIN(4,COUNTIF($B$19:B852,B852)),"st","nd","rd","th"),"")</f>
        <v/>
      </c>
    </row>
    <row r="853" spans="8:14" x14ac:dyDescent="0.25">
      <c r="H853" s="201" t="str">
        <f t="shared" si="13"/>
        <v/>
      </c>
      <c r="N853" s="164" t="str">
        <f>IFERROR(COUNTIF($B$19:B853,B853)&amp;CHOOSE(MIN(4,COUNTIF($B$19:B853,B853)),"st","nd","rd","th"),"")</f>
        <v/>
      </c>
    </row>
    <row r="854" spans="8:14" x14ac:dyDescent="0.25">
      <c r="H854" s="201" t="str">
        <f t="shared" si="13"/>
        <v/>
      </c>
      <c r="N854" s="164" t="str">
        <f>IFERROR(COUNTIF($B$19:B854,B854)&amp;CHOOSE(MIN(4,COUNTIF($B$19:B854,B854)),"st","nd","rd","th"),"")</f>
        <v/>
      </c>
    </row>
    <row r="855" spans="8:14" x14ac:dyDescent="0.25">
      <c r="H855" s="201" t="str">
        <f t="shared" si="13"/>
        <v/>
      </c>
      <c r="N855" s="164" t="str">
        <f>IFERROR(COUNTIF($B$19:B855,B855)&amp;CHOOSE(MIN(4,COUNTIF($B$19:B855,B855)),"st","nd","rd","th"),"")</f>
        <v/>
      </c>
    </row>
    <row r="856" spans="8:14" x14ac:dyDescent="0.25">
      <c r="H856" s="201" t="str">
        <f t="shared" si="13"/>
        <v/>
      </c>
      <c r="N856" s="164" t="str">
        <f>IFERROR(COUNTIF($B$19:B856,B856)&amp;CHOOSE(MIN(4,COUNTIF($B$19:B856,B856)),"st","nd","rd","th"),"")</f>
        <v/>
      </c>
    </row>
    <row r="857" spans="8:14" x14ac:dyDescent="0.25">
      <c r="H857" s="201" t="str">
        <f t="shared" si="13"/>
        <v/>
      </c>
      <c r="N857" s="164" t="str">
        <f>IFERROR(COUNTIF($B$19:B857,B857)&amp;CHOOSE(MIN(4,COUNTIF($B$19:B857,B857)),"st","nd","rd","th"),"")</f>
        <v/>
      </c>
    </row>
    <row r="858" spans="8:14" x14ac:dyDescent="0.25">
      <c r="H858" s="201" t="str">
        <f t="shared" si="13"/>
        <v/>
      </c>
      <c r="N858" s="164" t="str">
        <f>IFERROR(COUNTIF($B$19:B858,B858)&amp;CHOOSE(MIN(4,COUNTIF($B$19:B858,B858)),"st","nd","rd","th"),"")</f>
        <v/>
      </c>
    </row>
    <row r="859" spans="8:14" x14ac:dyDescent="0.25">
      <c r="H859" s="201" t="str">
        <f t="shared" si="13"/>
        <v/>
      </c>
      <c r="N859" s="164" t="str">
        <f>IFERROR(COUNTIF($B$19:B859,B859)&amp;CHOOSE(MIN(4,COUNTIF($B$19:B859,B859)),"st","nd","rd","th"),"")</f>
        <v/>
      </c>
    </row>
    <row r="860" spans="8:14" x14ac:dyDescent="0.25">
      <c r="H860" s="201" t="str">
        <f t="shared" si="13"/>
        <v/>
      </c>
      <c r="N860" s="164" t="str">
        <f>IFERROR(COUNTIF($B$19:B860,B860)&amp;CHOOSE(MIN(4,COUNTIF($B$19:B860,B860)),"st","nd","rd","th"),"")</f>
        <v/>
      </c>
    </row>
    <row r="861" spans="8:14" x14ac:dyDescent="0.25">
      <c r="H861" s="201" t="str">
        <f t="shared" si="13"/>
        <v/>
      </c>
      <c r="N861" s="164" t="str">
        <f>IFERROR(COUNTIF($B$19:B861,B861)&amp;CHOOSE(MIN(4,COUNTIF($B$19:B861,B861)),"st","nd","rd","th"),"")</f>
        <v/>
      </c>
    </row>
    <row r="862" spans="8:14" x14ac:dyDescent="0.25">
      <c r="H862" s="201" t="str">
        <f t="shared" si="13"/>
        <v/>
      </c>
      <c r="N862" s="164" t="str">
        <f>IFERROR(COUNTIF($B$19:B862,B862)&amp;CHOOSE(MIN(4,COUNTIF($B$19:B862,B862)),"st","nd","rd","th"),"")</f>
        <v/>
      </c>
    </row>
    <row r="863" spans="8:14" x14ac:dyDescent="0.25">
      <c r="H863" s="201" t="str">
        <f t="shared" si="13"/>
        <v/>
      </c>
      <c r="N863" s="164" t="str">
        <f>IFERROR(COUNTIF($B$19:B863,B863)&amp;CHOOSE(MIN(4,COUNTIF($B$19:B863,B863)),"st","nd","rd","th"),"")</f>
        <v/>
      </c>
    </row>
    <row r="864" spans="8:14" x14ac:dyDescent="0.25">
      <c r="H864" s="201" t="str">
        <f t="shared" si="13"/>
        <v/>
      </c>
      <c r="N864" s="164" t="str">
        <f>IFERROR(COUNTIF($B$19:B864,B864)&amp;CHOOSE(MIN(4,COUNTIF($B$19:B864,B864)),"st","nd","rd","th"),"")</f>
        <v/>
      </c>
    </row>
    <row r="865" spans="8:14" x14ac:dyDescent="0.25">
      <c r="H865" s="201" t="str">
        <f t="shared" si="13"/>
        <v/>
      </c>
      <c r="N865" s="164" t="str">
        <f>IFERROR(COUNTIF($B$19:B865,B865)&amp;CHOOSE(MIN(4,COUNTIF($B$19:B865,B865)),"st","nd","rd","th"),"")</f>
        <v/>
      </c>
    </row>
    <row r="866" spans="8:14" x14ac:dyDescent="0.25">
      <c r="H866" s="201" t="str">
        <f t="shared" si="13"/>
        <v/>
      </c>
      <c r="N866" s="164" t="str">
        <f>IFERROR(COUNTIF($B$19:B866,B866)&amp;CHOOSE(MIN(4,COUNTIF($B$19:B866,B866)),"st","nd","rd","th"),"")</f>
        <v/>
      </c>
    </row>
    <row r="867" spans="8:14" x14ac:dyDescent="0.25">
      <c r="H867" s="201" t="str">
        <f t="shared" si="13"/>
        <v/>
      </c>
      <c r="N867" s="164" t="str">
        <f>IFERROR(COUNTIF($B$19:B867,B867)&amp;CHOOSE(MIN(4,COUNTIF($B$19:B867,B867)),"st","nd","rd","th"),"")</f>
        <v/>
      </c>
    </row>
    <row r="868" spans="8:14" x14ac:dyDescent="0.25">
      <c r="H868" s="201" t="str">
        <f t="shared" si="13"/>
        <v/>
      </c>
      <c r="N868" s="164" t="str">
        <f>IFERROR(COUNTIF($B$19:B868,B868)&amp;CHOOSE(MIN(4,COUNTIF($B$19:B868,B868)),"st","nd","rd","th"),"")</f>
        <v/>
      </c>
    </row>
    <row r="869" spans="8:14" x14ac:dyDescent="0.25">
      <c r="H869" s="201" t="str">
        <f t="shared" si="13"/>
        <v/>
      </c>
      <c r="N869" s="164" t="str">
        <f>IFERROR(COUNTIF($B$19:B869,B869)&amp;CHOOSE(MIN(4,COUNTIF($B$19:B869,B869)),"st","nd","rd","th"),"")</f>
        <v/>
      </c>
    </row>
    <row r="870" spans="8:14" x14ac:dyDescent="0.25">
      <c r="H870" s="201" t="str">
        <f t="shared" si="13"/>
        <v/>
      </c>
      <c r="N870" s="164" t="str">
        <f>IFERROR(COUNTIF($B$19:B870,B870)&amp;CHOOSE(MIN(4,COUNTIF($B$19:B870,B870)),"st","nd","rd","th"),"")</f>
        <v/>
      </c>
    </row>
    <row r="871" spans="8:14" x14ac:dyDescent="0.25">
      <c r="H871" s="201" t="str">
        <f t="shared" si="13"/>
        <v/>
      </c>
      <c r="N871" s="164" t="str">
        <f>IFERROR(COUNTIF($B$19:B871,B871)&amp;CHOOSE(MIN(4,COUNTIF($B$19:B871,B871)),"st","nd","rd","th"),"")</f>
        <v/>
      </c>
    </row>
    <row r="872" spans="8:14" x14ac:dyDescent="0.25">
      <c r="H872" s="201" t="str">
        <f t="shared" si="13"/>
        <v/>
      </c>
      <c r="N872" s="164" t="str">
        <f>IFERROR(COUNTIF($B$19:B872,B872)&amp;CHOOSE(MIN(4,COUNTIF($B$19:B872,B872)),"st","nd","rd","th"),"")</f>
        <v/>
      </c>
    </row>
    <row r="873" spans="8:14" x14ac:dyDescent="0.25">
      <c r="H873" s="201" t="str">
        <f t="shared" si="13"/>
        <v/>
      </c>
      <c r="N873" s="164" t="str">
        <f>IFERROR(COUNTIF($B$19:B873,B873)&amp;CHOOSE(MIN(4,COUNTIF($B$19:B873,B873)),"st","nd","rd","th"),"")</f>
        <v/>
      </c>
    </row>
    <row r="874" spans="8:14" x14ac:dyDescent="0.25">
      <c r="H874" s="201" t="str">
        <f t="shared" si="13"/>
        <v/>
      </c>
      <c r="N874" s="164" t="str">
        <f>IFERROR(COUNTIF($B$19:B874,B874)&amp;CHOOSE(MIN(4,COUNTIF($B$19:B874,B874)),"st","nd","rd","th"),"")</f>
        <v/>
      </c>
    </row>
    <row r="875" spans="8:14" x14ac:dyDescent="0.25">
      <c r="H875" s="201" t="str">
        <f t="shared" si="13"/>
        <v/>
      </c>
      <c r="N875" s="164" t="str">
        <f>IFERROR(COUNTIF($B$19:B875,B875)&amp;CHOOSE(MIN(4,COUNTIF($B$19:B875,B875)),"st","nd","rd","th"),"")</f>
        <v/>
      </c>
    </row>
    <row r="876" spans="8:14" x14ac:dyDescent="0.25">
      <c r="H876" s="201" t="str">
        <f t="shared" si="13"/>
        <v/>
      </c>
      <c r="N876" s="164" t="str">
        <f>IFERROR(COUNTIF($B$19:B876,B876)&amp;CHOOSE(MIN(4,COUNTIF($B$19:B876,B876)),"st","nd","rd","th"),"")</f>
        <v/>
      </c>
    </row>
    <row r="877" spans="8:14" x14ac:dyDescent="0.25">
      <c r="H877" s="201" t="str">
        <f t="shared" si="13"/>
        <v/>
      </c>
      <c r="N877" s="164" t="str">
        <f>IFERROR(COUNTIF($B$19:B877,B877)&amp;CHOOSE(MIN(4,COUNTIF($B$19:B877,B877)),"st","nd","rd","th"),"")</f>
        <v/>
      </c>
    </row>
    <row r="878" spans="8:14" x14ac:dyDescent="0.25">
      <c r="H878" s="201" t="str">
        <f t="shared" si="13"/>
        <v/>
      </c>
      <c r="N878" s="164" t="str">
        <f>IFERROR(COUNTIF($B$19:B878,B878)&amp;CHOOSE(MIN(4,COUNTIF($B$19:B878,B878)),"st","nd","rd","th"),"")</f>
        <v/>
      </c>
    </row>
    <row r="879" spans="8:14" x14ac:dyDescent="0.25">
      <c r="H879" s="201" t="str">
        <f t="shared" si="13"/>
        <v/>
      </c>
      <c r="N879" s="164" t="str">
        <f>IFERROR(COUNTIF($B$19:B879,B879)&amp;CHOOSE(MIN(4,COUNTIF($B$19:B879,B879)),"st","nd","rd","th"),"")</f>
        <v/>
      </c>
    </row>
    <row r="880" spans="8:14" x14ac:dyDescent="0.25">
      <c r="H880" s="201" t="str">
        <f t="shared" si="13"/>
        <v/>
      </c>
      <c r="N880" s="164" t="str">
        <f>IFERROR(COUNTIF($B$19:B880,B880)&amp;CHOOSE(MIN(4,COUNTIF($B$19:B880,B880)),"st","nd","rd","th"),"")</f>
        <v/>
      </c>
    </row>
    <row r="881" spans="8:14" x14ac:dyDescent="0.25">
      <c r="H881" s="201" t="str">
        <f t="shared" si="13"/>
        <v/>
      </c>
      <c r="N881" s="164" t="str">
        <f>IFERROR(COUNTIF($B$19:B881,B881)&amp;CHOOSE(MIN(4,COUNTIF($B$19:B881,B881)),"st","nd","rd","th"),"")</f>
        <v/>
      </c>
    </row>
    <row r="882" spans="8:14" x14ac:dyDescent="0.25">
      <c r="H882" s="201" t="str">
        <f t="shared" si="13"/>
        <v/>
      </c>
      <c r="N882" s="164" t="str">
        <f>IFERROR(COUNTIF($B$19:B882,B882)&amp;CHOOSE(MIN(4,COUNTIF($B$19:B882,B882)),"st","nd","rd","th"),"")</f>
        <v/>
      </c>
    </row>
    <row r="883" spans="8:14" x14ac:dyDescent="0.25">
      <c r="H883" s="201" t="str">
        <f t="shared" si="13"/>
        <v/>
      </c>
      <c r="N883" s="164" t="str">
        <f>IFERROR(COUNTIF($B$19:B883,B883)&amp;CHOOSE(MIN(4,COUNTIF($B$19:B883,B883)),"st","nd","rd","th"),"")</f>
        <v/>
      </c>
    </row>
    <row r="884" spans="8:14" x14ac:dyDescent="0.25">
      <c r="H884" s="201" t="str">
        <f t="shared" si="13"/>
        <v/>
      </c>
      <c r="N884" s="164" t="str">
        <f>IFERROR(COUNTIF($B$19:B884,B884)&amp;CHOOSE(MIN(4,COUNTIF($B$19:B884,B884)),"st","nd","rd","th"),"")</f>
        <v/>
      </c>
    </row>
    <row r="885" spans="8:14" x14ac:dyDescent="0.25">
      <c r="H885" s="201" t="str">
        <f t="shared" si="13"/>
        <v/>
      </c>
      <c r="N885" s="164" t="str">
        <f>IFERROR(COUNTIF($B$19:B885,B885)&amp;CHOOSE(MIN(4,COUNTIF($B$19:B885,B885)),"st","nd","rd","th"),"")</f>
        <v/>
      </c>
    </row>
    <row r="886" spans="8:14" x14ac:dyDescent="0.25">
      <c r="H886" s="201" t="str">
        <f t="shared" si="13"/>
        <v/>
      </c>
      <c r="N886" s="164" t="str">
        <f>IFERROR(COUNTIF($B$19:B886,B886)&amp;CHOOSE(MIN(4,COUNTIF($B$19:B886,B886)),"st","nd","rd","th"),"")</f>
        <v/>
      </c>
    </row>
    <row r="887" spans="8:14" x14ac:dyDescent="0.25">
      <c r="H887" s="201" t="str">
        <f t="shared" si="13"/>
        <v/>
      </c>
      <c r="N887" s="164" t="str">
        <f>IFERROR(COUNTIF($B$19:B887,B887)&amp;CHOOSE(MIN(4,COUNTIF($B$19:B887,B887)),"st","nd","rd","th"),"")</f>
        <v/>
      </c>
    </row>
    <row r="888" spans="8:14" x14ac:dyDescent="0.25">
      <c r="H888" s="201" t="str">
        <f t="shared" si="13"/>
        <v/>
      </c>
      <c r="N888" s="164" t="str">
        <f>IFERROR(COUNTIF($B$19:B888,B888)&amp;CHOOSE(MIN(4,COUNTIF($B$19:B888,B888)),"st","nd","rd","th"),"")</f>
        <v/>
      </c>
    </row>
    <row r="889" spans="8:14" x14ac:dyDescent="0.25">
      <c r="H889" s="201" t="str">
        <f t="shared" si="13"/>
        <v/>
      </c>
      <c r="N889" s="164" t="str">
        <f>IFERROR(COUNTIF($B$19:B889,B889)&amp;CHOOSE(MIN(4,COUNTIF($B$19:B889,B889)),"st","nd","rd","th"),"")</f>
        <v/>
      </c>
    </row>
    <row r="890" spans="8:14" x14ac:dyDescent="0.25">
      <c r="H890" s="201" t="str">
        <f t="shared" si="13"/>
        <v/>
      </c>
      <c r="N890" s="164" t="str">
        <f>IFERROR(COUNTIF($B$19:B890,B890)&amp;CHOOSE(MIN(4,COUNTIF($B$19:B890,B890)),"st","nd","rd","th"),"")</f>
        <v/>
      </c>
    </row>
    <row r="891" spans="8:14" x14ac:dyDescent="0.25">
      <c r="H891" s="201" t="str">
        <f t="shared" si="13"/>
        <v/>
      </c>
      <c r="N891" s="164" t="str">
        <f>IFERROR(COUNTIF($B$19:B891,B891)&amp;CHOOSE(MIN(4,COUNTIF($B$19:B891,B891)),"st","nd","rd","th"),"")</f>
        <v/>
      </c>
    </row>
    <row r="892" spans="8:14" x14ac:dyDescent="0.25">
      <c r="H892" s="201" t="str">
        <f t="shared" si="13"/>
        <v/>
      </c>
      <c r="N892" s="164" t="str">
        <f>IFERROR(COUNTIF($B$19:B892,B892)&amp;CHOOSE(MIN(4,COUNTIF($B$19:B892,B892)),"st","nd","rd","th"),"")</f>
        <v/>
      </c>
    </row>
    <row r="893" spans="8:14" x14ac:dyDescent="0.25">
      <c r="H893" s="201" t="str">
        <f t="shared" si="13"/>
        <v/>
      </c>
      <c r="N893" s="164" t="str">
        <f>IFERROR(COUNTIF($B$19:B893,B893)&amp;CHOOSE(MIN(4,COUNTIF($B$19:B893,B893)),"st","nd","rd","th"),"")</f>
        <v/>
      </c>
    </row>
    <row r="894" spans="8:14" x14ac:dyDescent="0.25">
      <c r="H894" s="201" t="str">
        <f t="shared" si="13"/>
        <v/>
      </c>
      <c r="N894" s="164" t="str">
        <f>IFERROR(COUNTIF($B$19:B894,B894)&amp;CHOOSE(MIN(4,COUNTIF($B$19:B894,B894)),"st","nd","rd","th"),"")</f>
        <v/>
      </c>
    </row>
    <row r="895" spans="8:14" x14ac:dyDescent="0.25">
      <c r="H895" s="201" t="str">
        <f t="shared" si="13"/>
        <v/>
      </c>
      <c r="N895" s="164" t="str">
        <f>IFERROR(COUNTIF($B$19:B895,B895)&amp;CHOOSE(MIN(4,COUNTIF($B$19:B895,B895)),"st","nd","rd","th"),"")</f>
        <v/>
      </c>
    </row>
    <row r="896" spans="8:14" x14ac:dyDescent="0.25">
      <c r="H896" s="201" t="str">
        <f t="shared" si="13"/>
        <v/>
      </c>
      <c r="N896" s="164" t="str">
        <f>IFERROR(COUNTIF($B$19:B896,B896)&amp;CHOOSE(MIN(4,COUNTIF($B$19:B896,B896)),"st","nd","rd","th"),"")</f>
        <v/>
      </c>
    </row>
    <row r="897" spans="8:14" x14ac:dyDescent="0.25">
      <c r="H897" s="201" t="str">
        <f t="shared" si="13"/>
        <v/>
      </c>
      <c r="N897" s="164" t="str">
        <f>IFERROR(COUNTIF($B$19:B897,B897)&amp;CHOOSE(MIN(4,COUNTIF($B$19:B897,B897)),"st","nd","rd","th"),"")</f>
        <v/>
      </c>
    </row>
    <row r="898" spans="8:14" x14ac:dyDescent="0.25">
      <c r="H898" s="201" t="str">
        <f t="shared" si="13"/>
        <v/>
      </c>
      <c r="N898" s="164" t="str">
        <f>IFERROR(COUNTIF($B$19:B898,B898)&amp;CHOOSE(MIN(4,COUNTIF($B$19:B898,B898)),"st","nd","rd","th"),"")</f>
        <v/>
      </c>
    </row>
    <row r="899" spans="8:14" x14ac:dyDescent="0.25">
      <c r="H899" s="201" t="str">
        <f t="shared" si="13"/>
        <v/>
      </c>
      <c r="N899" s="164" t="str">
        <f>IFERROR(COUNTIF($B$19:B899,B899)&amp;CHOOSE(MIN(4,COUNTIF($B$19:B899,B899)),"st","nd","rd","th"),"")</f>
        <v/>
      </c>
    </row>
    <row r="900" spans="8:14" x14ac:dyDescent="0.25">
      <c r="H900" s="201" t="str">
        <f t="shared" si="13"/>
        <v/>
      </c>
      <c r="N900" s="164" t="str">
        <f>IFERROR(COUNTIF($B$19:B900,B900)&amp;CHOOSE(MIN(4,COUNTIF($B$19:B900,B900)),"st","nd","rd","th"),"")</f>
        <v/>
      </c>
    </row>
    <row r="901" spans="8:14" x14ac:dyDescent="0.25">
      <c r="H901" s="201" t="str">
        <f t="shared" si="13"/>
        <v/>
      </c>
      <c r="N901" s="164" t="str">
        <f>IFERROR(COUNTIF($B$19:B901,B901)&amp;CHOOSE(MIN(4,COUNTIF($B$19:B901,B901)),"st","nd","rd","th"),"")</f>
        <v/>
      </c>
    </row>
    <row r="902" spans="8:14" x14ac:dyDescent="0.25">
      <c r="H902" s="201" t="str">
        <f t="shared" si="13"/>
        <v/>
      </c>
      <c r="N902" s="164" t="str">
        <f>IFERROR(COUNTIF($B$19:B902,B902)&amp;CHOOSE(MIN(4,COUNTIF($B$19:B902,B902)),"st","nd","rd","th"),"")</f>
        <v/>
      </c>
    </row>
    <row r="903" spans="8:14" x14ac:dyDescent="0.25">
      <c r="H903" s="201" t="str">
        <f t="shared" si="13"/>
        <v/>
      </c>
      <c r="N903" s="164" t="str">
        <f>IFERROR(COUNTIF($B$19:B903,B903)&amp;CHOOSE(MIN(4,COUNTIF($B$19:B903,B903)),"st","nd","rd","th"),"")</f>
        <v/>
      </c>
    </row>
    <row r="904" spans="8:14" x14ac:dyDescent="0.25">
      <c r="H904" s="201" t="str">
        <f t="shared" si="13"/>
        <v/>
      </c>
      <c r="N904" s="164" t="str">
        <f>IFERROR(COUNTIF($B$19:B904,B904)&amp;CHOOSE(MIN(4,COUNTIF($B$19:B904,B904)),"st","nd","rd","th"),"")</f>
        <v/>
      </c>
    </row>
    <row r="905" spans="8:14" x14ac:dyDescent="0.25">
      <c r="H905" s="201" t="str">
        <f t="shared" si="13"/>
        <v/>
      </c>
      <c r="N905" s="164" t="str">
        <f>IFERROR(COUNTIF($B$19:B905,B905)&amp;CHOOSE(MIN(4,COUNTIF($B$19:B905,B905)),"st","nd","rd","th"),"")</f>
        <v/>
      </c>
    </row>
    <row r="906" spans="8:14" x14ac:dyDescent="0.25">
      <c r="H906" s="201" t="str">
        <f t="shared" si="13"/>
        <v/>
      </c>
      <c r="N906" s="164" t="str">
        <f>IFERROR(COUNTIF($B$19:B906,B906)&amp;CHOOSE(MIN(4,COUNTIF($B$19:B906,B906)),"st","nd","rd","th"),"")</f>
        <v/>
      </c>
    </row>
    <row r="907" spans="8:14" x14ac:dyDescent="0.25">
      <c r="H907" s="201" t="str">
        <f t="shared" si="13"/>
        <v/>
      </c>
      <c r="N907" s="164" t="str">
        <f>IFERROR(COUNTIF($B$19:B907,B907)&amp;CHOOSE(MIN(4,COUNTIF($B$19:B907,B907)),"st","nd","rd","th"),"")</f>
        <v/>
      </c>
    </row>
    <row r="908" spans="8:14" x14ac:dyDescent="0.25">
      <c r="H908" s="201" t="str">
        <f t="shared" si="13"/>
        <v/>
      </c>
      <c r="N908" s="164" t="str">
        <f>IFERROR(COUNTIF($B$19:B908,B908)&amp;CHOOSE(MIN(4,COUNTIF($B$19:B908,B908)),"st","nd","rd","th"),"")</f>
        <v/>
      </c>
    </row>
    <row r="909" spans="8:14" x14ac:dyDescent="0.25">
      <c r="H909" s="201" t="str">
        <f t="shared" si="13"/>
        <v/>
      </c>
      <c r="N909" s="164" t="str">
        <f>IFERROR(COUNTIF($B$19:B909,B909)&amp;CHOOSE(MIN(4,COUNTIF($B$19:B909,B909)),"st","nd","rd","th"),"")</f>
        <v/>
      </c>
    </row>
    <row r="910" spans="8:14" x14ac:dyDescent="0.25">
      <c r="H910" s="201" t="str">
        <f t="shared" si="13"/>
        <v/>
      </c>
      <c r="N910" s="164" t="str">
        <f>IFERROR(COUNTIF($B$19:B910,B910)&amp;CHOOSE(MIN(4,COUNTIF($B$19:B910,B910)),"st","nd","rd","th"),"")</f>
        <v/>
      </c>
    </row>
    <row r="911" spans="8:14" x14ac:dyDescent="0.25">
      <c r="H911" s="201" t="str">
        <f t="shared" si="13"/>
        <v/>
      </c>
      <c r="N911" s="164" t="str">
        <f>IFERROR(COUNTIF($B$19:B911,B911)&amp;CHOOSE(MIN(4,COUNTIF($B$19:B911,B911)),"st","nd","rd","th"),"")</f>
        <v/>
      </c>
    </row>
    <row r="912" spans="8:14" x14ac:dyDescent="0.25">
      <c r="H912" s="201" t="str">
        <f t="shared" si="13"/>
        <v/>
      </c>
      <c r="N912" s="164" t="str">
        <f>IFERROR(COUNTIF($B$19:B912,B912)&amp;CHOOSE(MIN(4,COUNTIF($B$19:B912,B912)),"st","nd","rd","th"),"")</f>
        <v/>
      </c>
    </row>
    <row r="913" spans="8:14" x14ac:dyDescent="0.25">
      <c r="H913" s="201" t="str">
        <f t="shared" si="13"/>
        <v/>
      </c>
      <c r="N913" s="164" t="str">
        <f>IFERROR(COUNTIF($B$19:B913,B913)&amp;CHOOSE(MIN(4,COUNTIF($B$19:B913,B913)),"st","nd","rd","th"),"")</f>
        <v/>
      </c>
    </row>
    <row r="914" spans="8:14" x14ac:dyDescent="0.25">
      <c r="H914" s="201" t="str">
        <f t="shared" si="13"/>
        <v/>
      </c>
      <c r="N914" s="164" t="str">
        <f>IFERROR(COUNTIF($B$19:B914,B914)&amp;CHOOSE(MIN(4,COUNTIF($B$19:B914,B914)),"st","nd","rd","th"),"")</f>
        <v/>
      </c>
    </row>
    <row r="915" spans="8:14" x14ac:dyDescent="0.25">
      <c r="H915" s="201" t="str">
        <f t="shared" si="13"/>
        <v/>
      </c>
      <c r="N915" s="164" t="str">
        <f>IFERROR(COUNTIF($B$19:B915,B915)&amp;CHOOSE(MIN(4,COUNTIF($B$19:B915,B915)),"st","nd","rd","th"),"")</f>
        <v/>
      </c>
    </row>
    <row r="916" spans="8:14" x14ac:dyDescent="0.25">
      <c r="H916" s="201" t="str">
        <f t="shared" ref="H916:H979" si="14">IF(OR(ISBLANK(G916), ISBLANK(F916)), "", IF(G916=F916, 1, SUM(_xlfn.DAYS(G916, F916), 1)))</f>
        <v/>
      </c>
      <c r="N916" s="164" t="str">
        <f>IFERROR(COUNTIF($B$19:B916,B916)&amp;CHOOSE(MIN(4,COUNTIF($B$19:B916,B916)),"st","nd","rd","th"),"")</f>
        <v/>
      </c>
    </row>
    <row r="917" spans="8:14" x14ac:dyDescent="0.25">
      <c r="H917" s="201" t="str">
        <f t="shared" si="14"/>
        <v/>
      </c>
      <c r="N917" s="164" t="str">
        <f>IFERROR(COUNTIF($B$19:B917,B917)&amp;CHOOSE(MIN(4,COUNTIF($B$19:B917,B917)),"st","nd","rd","th"),"")</f>
        <v/>
      </c>
    </row>
    <row r="918" spans="8:14" x14ac:dyDescent="0.25">
      <c r="H918" s="201" t="str">
        <f t="shared" si="14"/>
        <v/>
      </c>
      <c r="N918" s="164" t="str">
        <f>IFERROR(COUNTIF($B$19:B918,B918)&amp;CHOOSE(MIN(4,COUNTIF($B$19:B918,B918)),"st","nd","rd","th"),"")</f>
        <v/>
      </c>
    </row>
    <row r="919" spans="8:14" x14ac:dyDescent="0.25">
      <c r="H919" s="201" t="str">
        <f t="shared" si="14"/>
        <v/>
      </c>
      <c r="N919" s="164" t="str">
        <f>IFERROR(COUNTIF($B$19:B919,B919)&amp;CHOOSE(MIN(4,COUNTIF($B$19:B919,B919)),"st","nd","rd","th"),"")</f>
        <v/>
      </c>
    </row>
    <row r="920" spans="8:14" x14ac:dyDescent="0.25">
      <c r="H920" s="201" t="str">
        <f t="shared" si="14"/>
        <v/>
      </c>
      <c r="N920" s="164" t="str">
        <f>IFERROR(COUNTIF($B$19:B920,B920)&amp;CHOOSE(MIN(4,COUNTIF($B$19:B920,B920)),"st","nd","rd","th"),"")</f>
        <v/>
      </c>
    </row>
    <row r="921" spans="8:14" x14ac:dyDescent="0.25">
      <c r="H921" s="201" t="str">
        <f t="shared" si="14"/>
        <v/>
      </c>
      <c r="N921" s="164" t="str">
        <f>IFERROR(COUNTIF($B$19:B921,B921)&amp;CHOOSE(MIN(4,COUNTIF($B$19:B921,B921)),"st","nd","rd","th"),"")</f>
        <v/>
      </c>
    </row>
    <row r="922" spans="8:14" x14ac:dyDescent="0.25">
      <c r="H922" s="201" t="str">
        <f t="shared" si="14"/>
        <v/>
      </c>
      <c r="N922" s="164" t="str">
        <f>IFERROR(COUNTIF($B$19:B922,B922)&amp;CHOOSE(MIN(4,COUNTIF($B$19:B922,B922)),"st","nd","rd","th"),"")</f>
        <v/>
      </c>
    </row>
    <row r="923" spans="8:14" x14ac:dyDescent="0.25">
      <c r="H923" s="201" t="str">
        <f t="shared" si="14"/>
        <v/>
      </c>
      <c r="N923" s="164" t="str">
        <f>IFERROR(COUNTIF($B$19:B923,B923)&amp;CHOOSE(MIN(4,COUNTIF($B$19:B923,B923)),"st","nd","rd","th"),"")</f>
        <v/>
      </c>
    </row>
    <row r="924" spans="8:14" x14ac:dyDescent="0.25">
      <c r="H924" s="201" t="str">
        <f t="shared" si="14"/>
        <v/>
      </c>
      <c r="N924" s="164" t="str">
        <f>IFERROR(COUNTIF($B$19:B924,B924)&amp;CHOOSE(MIN(4,COUNTIF($B$19:B924,B924)),"st","nd","rd","th"),"")</f>
        <v/>
      </c>
    </row>
    <row r="925" spans="8:14" x14ac:dyDescent="0.25">
      <c r="H925" s="201" t="str">
        <f t="shared" si="14"/>
        <v/>
      </c>
      <c r="N925" s="164" t="str">
        <f>IFERROR(COUNTIF($B$19:B925,B925)&amp;CHOOSE(MIN(4,COUNTIF($B$19:B925,B925)),"st","nd","rd","th"),"")</f>
        <v/>
      </c>
    </row>
    <row r="926" spans="8:14" x14ac:dyDescent="0.25">
      <c r="H926" s="201" t="str">
        <f t="shared" si="14"/>
        <v/>
      </c>
      <c r="N926" s="164" t="str">
        <f>IFERROR(COUNTIF($B$19:B926,B926)&amp;CHOOSE(MIN(4,COUNTIF($B$19:B926,B926)),"st","nd","rd","th"),"")</f>
        <v/>
      </c>
    </row>
    <row r="927" spans="8:14" x14ac:dyDescent="0.25">
      <c r="H927" s="201" t="str">
        <f t="shared" si="14"/>
        <v/>
      </c>
      <c r="N927" s="164" t="str">
        <f>IFERROR(COUNTIF($B$19:B927,B927)&amp;CHOOSE(MIN(4,COUNTIF($B$19:B927,B927)),"st","nd","rd","th"),"")</f>
        <v/>
      </c>
    </row>
    <row r="928" spans="8:14" x14ac:dyDescent="0.25">
      <c r="H928" s="201" t="str">
        <f t="shared" si="14"/>
        <v/>
      </c>
      <c r="N928" s="164" t="str">
        <f>IFERROR(COUNTIF($B$19:B928,B928)&amp;CHOOSE(MIN(4,COUNTIF($B$19:B928,B928)),"st","nd","rd","th"),"")</f>
        <v/>
      </c>
    </row>
    <row r="929" spans="8:14" x14ac:dyDescent="0.25">
      <c r="H929" s="201" t="str">
        <f t="shared" si="14"/>
        <v/>
      </c>
      <c r="N929" s="164" t="str">
        <f>IFERROR(COUNTIF($B$19:B929,B929)&amp;CHOOSE(MIN(4,COUNTIF($B$19:B929,B929)),"st","nd","rd","th"),"")</f>
        <v/>
      </c>
    </row>
    <row r="930" spans="8:14" x14ac:dyDescent="0.25">
      <c r="H930" s="201" t="str">
        <f t="shared" si="14"/>
        <v/>
      </c>
      <c r="N930" s="164" t="str">
        <f>IFERROR(COUNTIF($B$19:B930,B930)&amp;CHOOSE(MIN(4,COUNTIF($B$19:B930,B930)),"st","nd","rd","th"),"")</f>
        <v/>
      </c>
    </row>
    <row r="931" spans="8:14" x14ac:dyDescent="0.25">
      <c r="H931" s="201" t="str">
        <f t="shared" si="14"/>
        <v/>
      </c>
      <c r="N931" s="164" t="str">
        <f>IFERROR(COUNTIF($B$19:B931,B931)&amp;CHOOSE(MIN(4,COUNTIF($B$19:B931,B931)),"st","nd","rd","th"),"")</f>
        <v/>
      </c>
    </row>
    <row r="932" spans="8:14" x14ac:dyDescent="0.25">
      <c r="H932" s="201" t="str">
        <f t="shared" si="14"/>
        <v/>
      </c>
      <c r="N932" s="164" t="str">
        <f>IFERROR(COUNTIF($B$19:B932,B932)&amp;CHOOSE(MIN(4,COUNTIF($B$19:B932,B932)),"st","nd","rd","th"),"")</f>
        <v/>
      </c>
    </row>
    <row r="933" spans="8:14" x14ac:dyDescent="0.25">
      <c r="H933" s="201" t="str">
        <f t="shared" si="14"/>
        <v/>
      </c>
      <c r="N933" s="164" t="str">
        <f>IFERROR(COUNTIF($B$19:B933,B933)&amp;CHOOSE(MIN(4,COUNTIF($B$19:B933,B933)),"st","nd","rd","th"),"")</f>
        <v/>
      </c>
    </row>
    <row r="934" spans="8:14" x14ac:dyDescent="0.25">
      <c r="H934" s="201" t="str">
        <f t="shared" si="14"/>
        <v/>
      </c>
      <c r="N934" s="164" t="str">
        <f>IFERROR(COUNTIF($B$19:B934,B934)&amp;CHOOSE(MIN(4,COUNTIF($B$19:B934,B934)),"st","nd","rd","th"),"")</f>
        <v/>
      </c>
    </row>
    <row r="935" spans="8:14" x14ac:dyDescent="0.25">
      <c r="H935" s="201" t="str">
        <f t="shared" si="14"/>
        <v/>
      </c>
      <c r="N935" s="164" t="str">
        <f>IFERROR(COUNTIF($B$19:B935,B935)&amp;CHOOSE(MIN(4,COUNTIF($B$19:B935,B935)),"st","nd","rd","th"),"")</f>
        <v/>
      </c>
    </row>
    <row r="936" spans="8:14" x14ac:dyDescent="0.25">
      <c r="H936" s="201" t="str">
        <f t="shared" si="14"/>
        <v/>
      </c>
      <c r="N936" s="164" t="str">
        <f>IFERROR(COUNTIF($B$19:B936,B936)&amp;CHOOSE(MIN(4,COUNTIF($B$19:B936,B936)),"st","nd","rd","th"),"")</f>
        <v/>
      </c>
    </row>
    <row r="937" spans="8:14" x14ac:dyDescent="0.25">
      <c r="H937" s="201" t="str">
        <f t="shared" si="14"/>
        <v/>
      </c>
      <c r="N937" s="164" t="str">
        <f>IFERROR(COUNTIF($B$19:B937,B937)&amp;CHOOSE(MIN(4,COUNTIF($B$19:B937,B937)),"st","nd","rd","th"),"")</f>
        <v/>
      </c>
    </row>
    <row r="938" spans="8:14" x14ac:dyDescent="0.25">
      <c r="H938" s="201" t="str">
        <f t="shared" si="14"/>
        <v/>
      </c>
      <c r="N938" s="164" t="str">
        <f>IFERROR(COUNTIF($B$19:B938,B938)&amp;CHOOSE(MIN(4,COUNTIF($B$19:B938,B938)),"st","nd","rd","th"),"")</f>
        <v/>
      </c>
    </row>
    <row r="939" spans="8:14" x14ac:dyDescent="0.25">
      <c r="H939" s="201" t="str">
        <f t="shared" si="14"/>
        <v/>
      </c>
      <c r="N939" s="164" t="str">
        <f>IFERROR(COUNTIF($B$19:B939,B939)&amp;CHOOSE(MIN(4,COUNTIF($B$19:B939,B939)),"st","nd","rd","th"),"")</f>
        <v/>
      </c>
    </row>
    <row r="940" spans="8:14" x14ac:dyDescent="0.25">
      <c r="H940" s="201" t="str">
        <f t="shared" si="14"/>
        <v/>
      </c>
      <c r="N940" s="164" t="str">
        <f>IFERROR(COUNTIF($B$19:B940,B940)&amp;CHOOSE(MIN(4,COUNTIF($B$19:B940,B940)),"st","nd","rd","th"),"")</f>
        <v/>
      </c>
    </row>
    <row r="941" spans="8:14" x14ac:dyDescent="0.25">
      <c r="H941" s="201" t="str">
        <f t="shared" si="14"/>
        <v/>
      </c>
      <c r="N941" s="164" t="str">
        <f>IFERROR(COUNTIF($B$19:B941,B941)&amp;CHOOSE(MIN(4,COUNTIF($B$19:B941,B941)),"st","nd","rd","th"),"")</f>
        <v/>
      </c>
    </row>
    <row r="942" spans="8:14" x14ac:dyDescent="0.25">
      <c r="H942" s="201" t="str">
        <f t="shared" si="14"/>
        <v/>
      </c>
      <c r="N942" s="164" t="str">
        <f>IFERROR(COUNTIF($B$19:B942,B942)&amp;CHOOSE(MIN(4,COUNTIF($B$19:B942,B942)),"st","nd","rd","th"),"")</f>
        <v/>
      </c>
    </row>
    <row r="943" spans="8:14" x14ac:dyDescent="0.25">
      <c r="H943" s="201" t="str">
        <f t="shared" si="14"/>
        <v/>
      </c>
      <c r="N943" s="164" t="str">
        <f>IFERROR(COUNTIF($B$19:B943,B943)&amp;CHOOSE(MIN(4,COUNTIF($B$19:B943,B943)),"st","nd","rd","th"),"")</f>
        <v/>
      </c>
    </row>
    <row r="944" spans="8:14" x14ac:dyDescent="0.25">
      <c r="H944" s="201" t="str">
        <f t="shared" si="14"/>
        <v/>
      </c>
      <c r="N944" s="164" t="str">
        <f>IFERROR(COUNTIF($B$19:B944,B944)&amp;CHOOSE(MIN(4,COUNTIF($B$19:B944,B944)),"st","nd","rd","th"),"")</f>
        <v/>
      </c>
    </row>
    <row r="945" spans="8:14" x14ac:dyDescent="0.25">
      <c r="H945" s="201" t="str">
        <f t="shared" si="14"/>
        <v/>
      </c>
      <c r="N945" s="164" t="str">
        <f>IFERROR(COUNTIF($B$19:B945,B945)&amp;CHOOSE(MIN(4,COUNTIF($B$19:B945,B945)),"st","nd","rd","th"),"")</f>
        <v/>
      </c>
    </row>
    <row r="946" spans="8:14" x14ac:dyDescent="0.25">
      <c r="H946" s="201" t="str">
        <f t="shared" si="14"/>
        <v/>
      </c>
      <c r="N946" s="164" t="str">
        <f>IFERROR(COUNTIF($B$19:B946,B946)&amp;CHOOSE(MIN(4,COUNTIF($B$19:B946,B946)),"st","nd","rd","th"),"")</f>
        <v/>
      </c>
    </row>
    <row r="947" spans="8:14" x14ac:dyDescent="0.25">
      <c r="H947" s="201" t="str">
        <f t="shared" si="14"/>
        <v/>
      </c>
      <c r="N947" s="164" t="str">
        <f>IFERROR(COUNTIF($B$19:B947,B947)&amp;CHOOSE(MIN(4,COUNTIF($B$19:B947,B947)),"st","nd","rd","th"),"")</f>
        <v/>
      </c>
    </row>
    <row r="948" spans="8:14" x14ac:dyDescent="0.25">
      <c r="H948" s="201" t="str">
        <f t="shared" si="14"/>
        <v/>
      </c>
      <c r="N948" s="164" t="str">
        <f>IFERROR(COUNTIF($B$19:B948,B948)&amp;CHOOSE(MIN(4,COUNTIF($B$19:B948,B948)),"st","nd","rd","th"),"")</f>
        <v/>
      </c>
    </row>
    <row r="949" spans="8:14" x14ac:dyDescent="0.25">
      <c r="H949" s="201" t="str">
        <f t="shared" si="14"/>
        <v/>
      </c>
      <c r="N949" s="164" t="str">
        <f>IFERROR(COUNTIF($B$19:B949,B949)&amp;CHOOSE(MIN(4,COUNTIF($B$19:B949,B949)),"st","nd","rd","th"),"")</f>
        <v/>
      </c>
    </row>
    <row r="950" spans="8:14" x14ac:dyDescent="0.25">
      <c r="H950" s="201" t="str">
        <f t="shared" si="14"/>
        <v/>
      </c>
      <c r="N950" s="164" t="str">
        <f>IFERROR(COUNTIF($B$19:B950,B950)&amp;CHOOSE(MIN(4,COUNTIF($B$19:B950,B950)),"st","nd","rd","th"),"")</f>
        <v/>
      </c>
    </row>
    <row r="951" spans="8:14" x14ac:dyDescent="0.25">
      <c r="H951" s="201" t="str">
        <f t="shared" si="14"/>
        <v/>
      </c>
      <c r="N951" s="164" t="str">
        <f>IFERROR(COUNTIF($B$19:B951,B951)&amp;CHOOSE(MIN(4,COUNTIF($B$19:B951,B951)),"st","nd","rd","th"),"")</f>
        <v/>
      </c>
    </row>
    <row r="952" spans="8:14" x14ac:dyDescent="0.25">
      <c r="H952" s="201" t="str">
        <f t="shared" si="14"/>
        <v/>
      </c>
      <c r="N952" s="164" t="str">
        <f>IFERROR(COUNTIF($B$19:B952,B952)&amp;CHOOSE(MIN(4,COUNTIF($B$19:B952,B952)),"st","nd","rd","th"),"")</f>
        <v/>
      </c>
    </row>
    <row r="953" spans="8:14" x14ac:dyDescent="0.25">
      <c r="H953" s="201" t="str">
        <f t="shared" si="14"/>
        <v/>
      </c>
      <c r="N953" s="164" t="str">
        <f>IFERROR(COUNTIF($B$19:B953,B953)&amp;CHOOSE(MIN(4,COUNTIF($B$19:B953,B953)),"st","nd","rd","th"),"")</f>
        <v/>
      </c>
    </row>
    <row r="954" spans="8:14" x14ac:dyDescent="0.25">
      <c r="H954" s="201" t="str">
        <f t="shared" si="14"/>
        <v/>
      </c>
      <c r="N954" s="164" t="str">
        <f>IFERROR(COUNTIF($B$19:B954,B954)&amp;CHOOSE(MIN(4,COUNTIF($B$19:B954,B954)),"st","nd","rd","th"),"")</f>
        <v/>
      </c>
    </row>
    <row r="955" spans="8:14" x14ac:dyDescent="0.25">
      <c r="H955" s="201" t="str">
        <f t="shared" si="14"/>
        <v/>
      </c>
      <c r="N955" s="164" t="str">
        <f>IFERROR(COUNTIF($B$19:B955,B955)&amp;CHOOSE(MIN(4,COUNTIF($B$19:B955,B955)),"st","nd","rd","th"),"")</f>
        <v/>
      </c>
    </row>
    <row r="956" spans="8:14" x14ac:dyDescent="0.25">
      <c r="H956" s="201" t="str">
        <f t="shared" si="14"/>
        <v/>
      </c>
      <c r="N956" s="164" t="str">
        <f>IFERROR(COUNTIF($B$19:B956,B956)&amp;CHOOSE(MIN(4,COUNTIF($B$19:B956,B956)),"st","nd","rd","th"),"")</f>
        <v/>
      </c>
    </row>
    <row r="957" spans="8:14" x14ac:dyDescent="0.25">
      <c r="H957" s="201" t="str">
        <f t="shared" si="14"/>
        <v/>
      </c>
      <c r="N957" s="164" t="str">
        <f>IFERROR(COUNTIF($B$19:B957,B957)&amp;CHOOSE(MIN(4,COUNTIF($B$19:B957,B957)),"st","nd","rd","th"),"")</f>
        <v/>
      </c>
    </row>
    <row r="958" spans="8:14" x14ac:dyDescent="0.25">
      <c r="H958" s="201" t="str">
        <f t="shared" si="14"/>
        <v/>
      </c>
      <c r="N958" s="164" t="str">
        <f>IFERROR(COUNTIF($B$19:B958,B958)&amp;CHOOSE(MIN(4,COUNTIF($B$19:B958,B958)),"st","nd","rd","th"),"")</f>
        <v/>
      </c>
    </row>
    <row r="959" spans="8:14" x14ac:dyDescent="0.25">
      <c r="H959" s="201" t="str">
        <f t="shared" si="14"/>
        <v/>
      </c>
      <c r="N959" s="164" t="str">
        <f>IFERROR(COUNTIF($B$19:B959,B959)&amp;CHOOSE(MIN(4,COUNTIF($B$19:B959,B959)),"st","nd","rd","th"),"")</f>
        <v/>
      </c>
    </row>
    <row r="960" spans="8:14" x14ac:dyDescent="0.25">
      <c r="H960" s="201" t="str">
        <f t="shared" si="14"/>
        <v/>
      </c>
      <c r="N960" s="164" t="str">
        <f>IFERROR(COUNTIF($B$19:B960,B960)&amp;CHOOSE(MIN(4,COUNTIF($B$19:B960,B960)),"st","nd","rd","th"),"")</f>
        <v/>
      </c>
    </row>
    <row r="961" spans="8:14" x14ac:dyDescent="0.25">
      <c r="H961" s="201" t="str">
        <f t="shared" si="14"/>
        <v/>
      </c>
      <c r="N961" s="164" t="str">
        <f>IFERROR(COUNTIF($B$19:B961,B961)&amp;CHOOSE(MIN(4,COUNTIF($B$19:B961,B961)),"st","nd","rd","th"),"")</f>
        <v/>
      </c>
    </row>
    <row r="962" spans="8:14" x14ac:dyDescent="0.25">
      <c r="H962" s="201" t="str">
        <f t="shared" si="14"/>
        <v/>
      </c>
      <c r="N962" s="164" t="str">
        <f>IFERROR(COUNTIF($B$19:B962,B962)&amp;CHOOSE(MIN(4,COUNTIF($B$19:B962,B962)),"st","nd","rd","th"),"")</f>
        <v/>
      </c>
    </row>
    <row r="963" spans="8:14" x14ac:dyDescent="0.25">
      <c r="H963" s="201" t="str">
        <f t="shared" si="14"/>
        <v/>
      </c>
      <c r="N963" s="164" t="str">
        <f>IFERROR(COUNTIF($B$19:B963,B963)&amp;CHOOSE(MIN(4,COUNTIF($B$19:B963,B963)),"st","nd","rd","th"),"")</f>
        <v/>
      </c>
    </row>
    <row r="964" spans="8:14" x14ac:dyDescent="0.25">
      <c r="H964" s="201" t="str">
        <f t="shared" si="14"/>
        <v/>
      </c>
      <c r="N964" s="164" t="str">
        <f>IFERROR(COUNTIF($B$19:B964,B964)&amp;CHOOSE(MIN(4,COUNTIF($B$19:B964,B964)),"st","nd","rd","th"),"")</f>
        <v/>
      </c>
    </row>
    <row r="965" spans="8:14" x14ac:dyDescent="0.25">
      <c r="H965" s="201" t="str">
        <f t="shared" si="14"/>
        <v/>
      </c>
      <c r="N965" s="164" t="str">
        <f>IFERROR(COUNTIF($B$19:B965,B965)&amp;CHOOSE(MIN(4,COUNTIF($B$19:B965,B965)),"st","nd","rd","th"),"")</f>
        <v/>
      </c>
    </row>
    <row r="966" spans="8:14" x14ac:dyDescent="0.25">
      <c r="H966" s="201" t="str">
        <f t="shared" si="14"/>
        <v/>
      </c>
      <c r="N966" s="164" t="str">
        <f>IFERROR(COUNTIF($B$19:B966,B966)&amp;CHOOSE(MIN(4,COUNTIF($B$19:B966,B966)),"st","nd","rd","th"),"")</f>
        <v/>
      </c>
    </row>
    <row r="967" spans="8:14" x14ac:dyDescent="0.25">
      <c r="H967" s="201" t="str">
        <f t="shared" si="14"/>
        <v/>
      </c>
      <c r="N967" s="164" t="str">
        <f>IFERROR(COUNTIF($B$19:B967,B967)&amp;CHOOSE(MIN(4,COUNTIF($B$19:B967,B967)),"st","nd","rd","th"),"")</f>
        <v/>
      </c>
    </row>
    <row r="968" spans="8:14" x14ac:dyDescent="0.25">
      <c r="H968" s="201" t="str">
        <f t="shared" si="14"/>
        <v/>
      </c>
      <c r="N968" s="164" t="str">
        <f>IFERROR(COUNTIF($B$19:B968,B968)&amp;CHOOSE(MIN(4,COUNTIF($B$19:B968,B968)),"st","nd","rd","th"),"")</f>
        <v/>
      </c>
    </row>
    <row r="969" spans="8:14" x14ac:dyDescent="0.25">
      <c r="H969" s="201" t="str">
        <f t="shared" si="14"/>
        <v/>
      </c>
      <c r="N969" s="164" t="str">
        <f>IFERROR(COUNTIF($B$19:B969,B969)&amp;CHOOSE(MIN(4,COUNTIF($B$19:B969,B969)),"st","nd","rd","th"),"")</f>
        <v/>
      </c>
    </row>
    <row r="970" spans="8:14" x14ac:dyDescent="0.25">
      <c r="H970" s="201" t="str">
        <f t="shared" si="14"/>
        <v/>
      </c>
      <c r="N970" s="164" t="str">
        <f>IFERROR(COUNTIF($B$19:B970,B970)&amp;CHOOSE(MIN(4,COUNTIF($B$19:B970,B970)),"st","nd","rd","th"),"")</f>
        <v/>
      </c>
    </row>
    <row r="971" spans="8:14" x14ac:dyDescent="0.25">
      <c r="H971" s="201" t="str">
        <f t="shared" si="14"/>
        <v/>
      </c>
      <c r="N971" s="164" t="str">
        <f>IFERROR(COUNTIF($B$19:B971,B971)&amp;CHOOSE(MIN(4,COUNTIF($B$19:B971,B971)),"st","nd","rd","th"),"")</f>
        <v/>
      </c>
    </row>
    <row r="972" spans="8:14" x14ac:dyDescent="0.25">
      <c r="H972" s="201" t="str">
        <f t="shared" si="14"/>
        <v/>
      </c>
      <c r="N972" s="164" t="str">
        <f>IFERROR(COUNTIF($B$19:B972,B972)&amp;CHOOSE(MIN(4,COUNTIF($B$19:B972,B972)),"st","nd","rd","th"),"")</f>
        <v/>
      </c>
    </row>
    <row r="973" spans="8:14" x14ac:dyDescent="0.25">
      <c r="H973" s="201" t="str">
        <f t="shared" si="14"/>
        <v/>
      </c>
      <c r="N973" s="164" t="str">
        <f>IFERROR(COUNTIF($B$19:B973,B973)&amp;CHOOSE(MIN(4,COUNTIF($B$19:B973,B973)),"st","nd","rd","th"),"")</f>
        <v/>
      </c>
    </row>
    <row r="974" spans="8:14" x14ac:dyDescent="0.25">
      <c r="H974" s="201" t="str">
        <f t="shared" si="14"/>
        <v/>
      </c>
      <c r="N974" s="164" t="str">
        <f>IFERROR(COUNTIF($B$19:B974,B974)&amp;CHOOSE(MIN(4,COUNTIF($B$19:B974,B974)),"st","nd","rd","th"),"")</f>
        <v/>
      </c>
    </row>
    <row r="975" spans="8:14" x14ac:dyDescent="0.25">
      <c r="H975" s="201" t="str">
        <f t="shared" si="14"/>
        <v/>
      </c>
      <c r="N975" s="164" t="str">
        <f>IFERROR(COUNTIF($B$19:B975,B975)&amp;CHOOSE(MIN(4,COUNTIF($B$19:B975,B975)),"st","nd","rd","th"),"")</f>
        <v/>
      </c>
    </row>
    <row r="976" spans="8:14" x14ac:dyDescent="0.25">
      <c r="H976" s="201" t="str">
        <f t="shared" si="14"/>
        <v/>
      </c>
      <c r="N976" s="164" t="str">
        <f>IFERROR(COUNTIF($B$19:B976,B976)&amp;CHOOSE(MIN(4,COUNTIF($B$19:B976,B976)),"st","nd","rd","th"),"")</f>
        <v/>
      </c>
    </row>
    <row r="977" spans="8:14" x14ac:dyDescent="0.25">
      <c r="H977" s="201" t="str">
        <f t="shared" si="14"/>
        <v/>
      </c>
      <c r="N977" s="164" t="str">
        <f>IFERROR(COUNTIF($B$19:B977,B977)&amp;CHOOSE(MIN(4,COUNTIF($B$19:B977,B977)),"st","nd","rd","th"),"")</f>
        <v/>
      </c>
    </row>
    <row r="978" spans="8:14" x14ac:dyDescent="0.25">
      <c r="H978" s="201" t="str">
        <f t="shared" si="14"/>
        <v/>
      </c>
      <c r="N978" s="164" t="str">
        <f>IFERROR(COUNTIF($B$19:B978,B978)&amp;CHOOSE(MIN(4,COUNTIF($B$19:B978,B978)),"st","nd","rd","th"),"")</f>
        <v/>
      </c>
    </row>
    <row r="979" spans="8:14" x14ac:dyDescent="0.25">
      <c r="H979" s="201" t="str">
        <f t="shared" si="14"/>
        <v/>
      </c>
      <c r="N979" s="164" t="str">
        <f>IFERROR(COUNTIF($B$19:B979,B979)&amp;CHOOSE(MIN(4,COUNTIF($B$19:B979,B979)),"st","nd","rd","th"),"")</f>
        <v/>
      </c>
    </row>
    <row r="980" spans="8:14" x14ac:dyDescent="0.25">
      <c r="H980" s="201" t="str">
        <f t="shared" ref="H980:H1001" si="15">IF(OR(ISBLANK(G980), ISBLANK(F980)), "", IF(G980=F980, 1, SUM(_xlfn.DAYS(G980, F980), 1)))</f>
        <v/>
      </c>
      <c r="N980" s="164" t="str">
        <f>IFERROR(COUNTIF($B$19:B980,B980)&amp;CHOOSE(MIN(4,COUNTIF($B$19:B980,B980)),"st","nd","rd","th"),"")</f>
        <v/>
      </c>
    </row>
    <row r="981" spans="8:14" x14ac:dyDescent="0.25">
      <c r="H981" s="201" t="str">
        <f t="shared" si="15"/>
        <v/>
      </c>
      <c r="N981" s="164" t="str">
        <f>IFERROR(COUNTIF($B$19:B981,B981)&amp;CHOOSE(MIN(4,COUNTIF($B$19:B981,B981)),"st","nd","rd","th"),"")</f>
        <v/>
      </c>
    </row>
    <row r="982" spans="8:14" x14ac:dyDescent="0.25">
      <c r="H982" s="201" t="str">
        <f t="shared" si="15"/>
        <v/>
      </c>
      <c r="N982" s="164" t="str">
        <f>IFERROR(COUNTIF($B$19:B982,B982)&amp;CHOOSE(MIN(4,COUNTIF($B$19:B982,B982)),"st","nd","rd","th"),"")</f>
        <v/>
      </c>
    </row>
    <row r="983" spans="8:14" x14ac:dyDescent="0.25">
      <c r="H983" s="201" t="str">
        <f t="shared" si="15"/>
        <v/>
      </c>
      <c r="N983" s="164" t="str">
        <f>IFERROR(COUNTIF($B$19:B983,B983)&amp;CHOOSE(MIN(4,COUNTIF($B$19:B983,B983)),"st","nd","rd","th"),"")</f>
        <v/>
      </c>
    </row>
    <row r="984" spans="8:14" x14ac:dyDescent="0.25">
      <c r="H984" s="201" t="str">
        <f t="shared" si="15"/>
        <v/>
      </c>
      <c r="N984" s="164" t="str">
        <f>IFERROR(COUNTIF($B$19:B984,B984)&amp;CHOOSE(MIN(4,COUNTIF($B$19:B984,B984)),"st","nd","rd","th"),"")</f>
        <v/>
      </c>
    </row>
    <row r="985" spans="8:14" x14ac:dyDescent="0.25">
      <c r="H985" s="201" t="str">
        <f t="shared" si="15"/>
        <v/>
      </c>
      <c r="N985" s="164" t="str">
        <f>IFERROR(COUNTIF($B$19:B985,B985)&amp;CHOOSE(MIN(4,COUNTIF($B$19:B985,B985)),"st","nd","rd","th"),"")</f>
        <v/>
      </c>
    </row>
    <row r="986" spans="8:14" x14ac:dyDescent="0.25">
      <c r="H986" s="201" t="str">
        <f t="shared" si="15"/>
        <v/>
      </c>
      <c r="N986" s="164" t="str">
        <f>IFERROR(COUNTIF($B$19:B986,B986)&amp;CHOOSE(MIN(4,COUNTIF($B$19:B986,B986)),"st","nd","rd","th"),"")</f>
        <v/>
      </c>
    </row>
    <row r="987" spans="8:14" x14ac:dyDescent="0.25">
      <c r="H987" s="201" t="str">
        <f t="shared" si="15"/>
        <v/>
      </c>
      <c r="N987" s="164" t="str">
        <f>IFERROR(COUNTIF($B$19:B987,B987)&amp;CHOOSE(MIN(4,COUNTIF($B$19:B987,B987)),"st","nd","rd","th"),"")</f>
        <v/>
      </c>
    </row>
    <row r="988" spans="8:14" x14ac:dyDescent="0.25">
      <c r="H988" s="201" t="str">
        <f t="shared" si="15"/>
        <v/>
      </c>
      <c r="N988" s="164" t="str">
        <f>IFERROR(COUNTIF($B$19:B988,B988)&amp;CHOOSE(MIN(4,COUNTIF($B$19:B988,B988)),"st","nd","rd","th"),"")</f>
        <v/>
      </c>
    </row>
    <row r="989" spans="8:14" x14ac:dyDescent="0.25">
      <c r="H989" s="201" t="str">
        <f t="shared" si="15"/>
        <v/>
      </c>
      <c r="N989" s="164" t="str">
        <f>IFERROR(COUNTIF($B$19:B989,B989)&amp;CHOOSE(MIN(4,COUNTIF($B$19:B989,B989)),"st","nd","rd","th"),"")</f>
        <v/>
      </c>
    </row>
    <row r="990" spans="8:14" x14ac:dyDescent="0.25">
      <c r="H990" s="201" t="str">
        <f t="shared" si="15"/>
        <v/>
      </c>
      <c r="N990" s="164" t="str">
        <f>IFERROR(COUNTIF($B$19:B990,B990)&amp;CHOOSE(MIN(4,COUNTIF($B$19:B990,B990)),"st","nd","rd","th"),"")</f>
        <v/>
      </c>
    </row>
    <row r="991" spans="8:14" x14ac:dyDescent="0.25">
      <c r="H991" s="201" t="str">
        <f t="shared" si="15"/>
        <v/>
      </c>
      <c r="N991" s="164" t="str">
        <f>IFERROR(COUNTIF($B$19:B991,B991)&amp;CHOOSE(MIN(4,COUNTIF($B$19:B991,B991)),"st","nd","rd","th"),"")</f>
        <v/>
      </c>
    </row>
    <row r="992" spans="8:14" x14ac:dyDescent="0.25">
      <c r="H992" s="201" t="str">
        <f t="shared" si="15"/>
        <v/>
      </c>
      <c r="N992" s="164" t="str">
        <f>IFERROR(COUNTIF($B$19:B992,B992)&amp;CHOOSE(MIN(4,COUNTIF($B$19:B992,B992)),"st","nd","rd","th"),"")</f>
        <v/>
      </c>
    </row>
    <row r="993" spans="8:14" x14ac:dyDescent="0.25">
      <c r="H993" s="201" t="str">
        <f t="shared" si="15"/>
        <v/>
      </c>
      <c r="N993" s="164" t="str">
        <f>IFERROR(COUNTIF($B$19:B993,B993)&amp;CHOOSE(MIN(4,COUNTIF($B$19:B993,B993)),"st","nd","rd","th"),"")</f>
        <v/>
      </c>
    </row>
    <row r="994" spans="8:14" x14ac:dyDescent="0.25">
      <c r="H994" s="201" t="str">
        <f t="shared" si="15"/>
        <v/>
      </c>
      <c r="N994" s="164" t="str">
        <f>IFERROR(COUNTIF($B$19:B994,B994)&amp;CHOOSE(MIN(4,COUNTIF($B$19:B994,B994)),"st","nd","rd","th"),"")</f>
        <v/>
      </c>
    </row>
    <row r="995" spans="8:14" x14ac:dyDescent="0.25">
      <c r="H995" s="201" t="str">
        <f t="shared" si="15"/>
        <v/>
      </c>
      <c r="N995" s="164" t="str">
        <f>IFERROR(COUNTIF($B$19:B995,B995)&amp;CHOOSE(MIN(4,COUNTIF($B$19:B995,B995)),"st","nd","rd","th"),"")</f>
        <v/>
      </c>
    </row>
    <row r="996" spans="8:14" x14ac:dyDescent="0.25">
      <c r="H996" s="201" t="str">
        <f t="shared" si="15"/>
        <v/>
      </c>
      <c r="N996" s="164" t="str">
        <f>IFERROR(COUNTIF($B$19:B996,B996)&amp;CHOOSE(MIN(4,COUNTIF($B$19:B996,B996)),"st","nd","rd","th"),"")</f>
        <v/>
      </c>
    </row>
    <row r="997" spans="8:14" x14ac:dyDescent="0.25">
      <c r="H997" s="201" t="str">
        <f t="shared" si="15"/>
        <v/>
      </c>
      <c r="N997" s="164" t="str">
        <f>IFERROR(COUNTIF($B$19:B997,B997)&amp;CHOOSE(MIN(4,COUNTIF($B$19:B997,B997)),"st","nd","rd","th"),"")</f>
        <v/>
      </c>
    </row>
    <row r="998" spans="8:14" x14ac:dyDescent="0.25">
      <c r="H998" s="201" t="str">
        <f t="shared" si="15"/>
        <v/>
      </c>
      <c r="N998" s="164" t="str">
        <f>IFERROR(COUNTIF($B$19:B998,B998)&amp;CHOOSE(MIN(4,COUNTIF($B$19:B998,B998)),"st","nd","rd","th"),"")</f>
        <v/>
      </c>
    </row>
    <row r="999" spans="8:14" x14ac:dyDescent="0.25">
      <c r="H999" s="201" t="str">
        <f t="shared" si="15"/>
        <v/>
      </c>
      <c r="N999" s="164" t="str">
        <f>IFERROR(COUNTIF($B$19:B999,B999)&amp;CHOOSE(MIN(4,COUNTIF($B$19:B999,B999)),"st","nd","rd","th"),"")</f>
        <v/>
      </c>
    </row>
    <row r="1000" spans="8:14" x14ac:dyDescent="0.25">
      <c r="H1000" s="201" t="str">
        <f t="shared" si="15"/>
        <v/>
      </c>
      <c r="N1000" s="164" t="str">
        <f>IFERROR(COUNTIF($B$19:B1000,B1000)&amp;CHOOSE(MIN(4,COUNTIF($B$19:B1000,B1000)),"st","nd","rd","th"),"")</f>
        <v/>
      </c>
    </row>
    <row r="1001" spans="8:14" x14ac:dyDescent="0.25">
      <c r="H1001" s="201" t="str">
        <f t="shared" si="15"/>
        <v/>
      </c>
      <c r="N1001" s="164" t="str">
        <f>IFERROR(COUNTIF($B$19:B1001,B1001)&amp;CHOOSE(MIN(4,COUNTIF($B$19:B1001,B1001)),"st","nd","rd","th"),"")</f>
        <v/>
      </c>
    </row>
  </sheetData>
  <mergeCells count="4">
    <mergeCell ref="B5:V5"/>
    <mergeCell ref="B6:V6"/>
    <mergeCell ref="B7:V7"/>
    <mergeCell ref="B8:V8"/>
  </mergeCells>
  <hyperlinks>
    <hyperlink ref="D1" location="'Accomplishment 2025'!A1" display="Back to Summary of Accomplishments 2025" xr:uid="{3D3156EC-6ACF-4D6F-AA56-F785DF782F85}"/>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35CACE5-332B-4E36-AF8B-FD41E72D952A}">
          <x14:formula1>
            <xm:f>Picklists!$A$3:$A$14</xm:f>
          </x14:formula1>
          <xm:sqref>L19:L1001</xm:sqref>
        </x14:dataValidation>
        <x14:dataValidation type="list" allowBlank="1" showInputMessage="1" showErrorMessage="1" xr:uid="{F915828C-EE7E-47EC-9DD1-0F235F31324B}">
          <x14:formula1>
            <xm:f>Picklists!$A$39:$A$44</xm:f>
          </x14:formula1>
          <xm:sqref>C19:C1048576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161E-B22F-4AC2-A4A6-E6500304D78F}">
  <sheetPr codeName="Sheet26">
    <tabColor theme="7" tint="-0.249977111117893"/>
  </sheetPr>
  <dimension ref="A1:V1000"/>
  <sheetViews>
    <sheetView topLeftCell="B62" zoomScale="60" zoomScaleNormal="60" workbookViewId="0">
      <selection activeCell="H118" sqref="H18:H118"/>
    </sheetView>
  </sheetViews>
  <sheetFormatPr defaultColWidth="8.88671875" defaultRowHeight="13.8" x14ac:dyDescent="0.25"/>
  <cols>
    <col min="1" max="1" width="4.5546875" style="164" customWidth="1"/>
    <col min="2" max="3" width="34.33203125" style="164" customWidth="1"/>
    <col min="4" max="4" width="52.88671875" style="164" bestFit="1" customWidth="1"/>
    <col min="5" max="5" width="31.6640625" style="164" customWidth="1"/>
    <col min="6" max="6" width="23.44140625" style="172" customWidth="1"/>
    <col min="7" max="7" width="20.44140625" style="172" customWidth="1"/>
    <col min="8" max="8" width="19.109375" style="202" customWidth="1"/>
    <col min="9" max="9" width="16.33203125" style="201" customWidth="1"/>
    <col min="10" max="10" width="26.6640625" style="201" customWidth="1"/>
    <col min="11" max="11" width="31.33203125" style="201" customWidth="1"/>
    <col min="12" max="12" width="20.88671875" style="164" customWidth="1"/>
    <col min="13" max="13" width="8.88671875" style="164" customWidth="1"/>
    <col min="14" max="14" width="16.88671875" style="164" customWidth="1"/>
    <col min="15" max="15" width="8.88671875" style="164" customWidth="1"/>
    <col min="16" max="16384" width="8.88671875" style="164"/>
  </cols>
  <sheetData>
    <row r="1" spans="1:22" s="32" customFormat="1" ht="14.4" x14ac:dyDescent="0.3">
      <c r="A1" s="173" t="s">
        <v>5090</v>
      </c>
      <c r="D1" s="174" t="s">
        <v>1673</v>
      </c>
    </row>
    <row r="2" spans="1:22" s="32" customFormat="1" x14ac:dyDescent="0.25">
      <c r="A2" s="176"/>
      <c r="B2" s="35"/>
      <c r="C2" s="35"/>
      <c r="D2" s="35"/>
      <c r="E2" s="35"/>
    </row>
    <row r="3" spans="1:22" s="32" customFormat="1" x14ac:dyDescent="0.25">
      <c r="A3" s="363">
        <v>14</v>
      </c>
      <c r="B3" s="364" t="s">
        <v>5261</v>
      </c>
      <c r="C3" s="364"/>
      <c r="D3" s="364"/>
      <c r="E3" s="364"/>
    </row>
    <row r="4" spans="1:22" s="32" customFormat="1" x14ac:dyDescent="0.25">
      <c r="A4" s="178"/>
      <c r="B4" s="206" t="s">
        <v>5262</v>
      </c>
      <c r="C4" s="206"/>
      <c r="D4" s="206"/>
      <c r="E4" s="206"/>
    </row>
    <row r="5" spans="1:22" s="32" customFormat="1" ht="78" customHeight="1" x14ac:dyDescent="0.25">
      <c r="A5" s="178"/>
      <c r="B5" s="599" t="s">
        <v>5263</v>
      </c>
      <c r="C5" s="599"/>
      <c r="D5" s="599"/>
      <c r="E5" s="599"/>
      <c r="F5" s="599"/>
      <c r="G5" s="599"/>
      <c r="H5" s="599"/>
      <c r="I5" s="599"/>
      <c r="J5" s="599"/>
      <c r="K5" s="599"/>
      <c r="L5" s="599"/>
      <c r="M5" s="599"/>
      <c r="N5" s="599"/>
      <c r="O5" s="599"/>
      <c r="P5" s="599"/>
      <c r="Q5" s="599"/>
      <c r="R5" s="599"/>
      <c r="S5" s="599"/>
      <c r="T5" s="599"/>
      <c r="U5" s="599"/>
      <c r="V5" s="599"/>
    </row>
    <row r="6" spans="1:22" s="32" customFormat="1" ht="48.6" customHeight="1" x14ac:dyDescent="0.25">
      <c r="A6" s="178"/>
      <c r="B6" s="601" t="s">
        <v>5264</v>
      </c>
      <c r="C6" s="601"/>
      <c r="D6" s="601"/>
      <c r="E6" s="601"/>
      <c r="F6" s="601"/>
      <c r="G6" s="601"/>
      <c r="H6" s="601"/>
      <c r="I6" s="601"/>
      <c r="J6" s="601"/>
      <c r="K6" s="601"/>
      <c r="L6" s="601"/>
      <c r="M6" s="601"/>
      <c r="N6" s="601"/>
      <c r="O6" s="601"/>
      <c r="P6" s="601"/>
      <c r="Q6" s="601"/>
      <c r="R6" s="601"/>
      <c r="S6" s="601"/>
      <c r="T6" s="601"/>
      <c r="U6" s="601"/>
      <c r="V6" s="601"/>
    </row>
    <row r="7" spans="1:22" s="32" customFormat="1" x14ac:dyDescent="0.25">
      <c r="B7" s="602" t="s">
        <v>5251</v>
      </c>
      <c r="C7" s="602"/>
      <c r="D7" s="602"/>
      <c r="E7" s="602"/>
      <c r="F7" s="602"/>
      <c r="G7" s="602"/>
      <c r="H7" s="602"/>
      <c r="I7" s="602"/>
      <c r="J7" s="602"/>
      <c r="K7" s="602"/>
      <c r="L7" s="602"/>
      <c r="M7" s="602"/>
      <c r="N7" s="602"/>
      <c r="O7" s="602"/>
      <c r="P7" s="602"/>
      <c r="Q7" s="602"/>
      <c r="R7" s="602"/>
      <c r="S7" s="602"/>
      <c r="T7" s="602"/>
      <c r="U7" s="602"/>
      <c r="V7" s="602"/>
    </row>
    <row r="8" spans="1:22" s="32" customFormat="1" ht="57.6" customHeight="1" x14ac:dyDescent="0.25">
      <c r="B8" s="622" t="s">
        <v>5205</v>
      </c>
      <c r="C8" s="622"/>
      <c r="D8" s="622"/>
      <c r="E8" s="622"/>
      <c r="F8" s="622"/>
      <c r="G8" s="622"/>
      <c r="H8" s="622"/>
      <c r="I8" s="622"/>
      <c r="J8" s="622"/>
      <c r="K8" s="622"/>
      <c r="L8" s="622"/>
      <c r="M8" s="622"/>
      <c r="N8" s="622"/>
      <c r="O8" s="622"/>
      <c r="P8" s="622"/>
      <c r="Q8" s="622"/>
      <c r="R8" s="622"/>
      <c r="S8" s="622"/>
      <c r="T8" s="622"/>
      <c r="U8" s="622"/>
      <c r="V8" s="622"/>
    </row>
    <row r="9" spans="1:22" s="32" customFormat="1" x14ac:dyDescent="0.25">
      <c r="B9" s="173"/>
      <c r="C9" s="173"/>
      <c r="D9" s="173"/>
      <c r="E9" s="173"/>
      <c r="F9" s="173"/>
      <c r="G9" s="173"/>
      <c r="H9" s="173"/>
      <c r="I9" s="173"/>
      <c r="J9" s="173"/>
      <c r="K9" s="173"/>
      <c r="L9" s="173"/>
      <c r="M9" s="173"/>
      <c r="N9" s="173"/>
      <c r="O9" s="173"/>
      <c r="P9" s="173"/>
      <c r="Q9" s="173"/>
      <c r="R9" s="173"/>
      <c r="S9" s="173"/>
      <c r="T9" s="173"/>
      <c r="U9" s="173"/>
      <c r="V9" s="173"/>
    </row>
    <row r="10" spans="1:22" s="32" customFormat="1" x14ac:dyDescent="0.25">
      <c r="B10" s="179" t="s">
        <v>5265</v>
      </c>
      <c r="C10" s="179"/>
      <c r="D10" s="179"/>
      <c r="E10" s="179"/>
      <c r="F10" s="181">
        <f>COUNTIF(N18:N1000,"1st")</f>
        <v>0</v>
      </c>
      <c r="G10" s="195"/>
      <c r="H10" s="195"/>
      <c r="I10" s="195"/>
      <c r="J10" s="195"/>
      <c r="K10" s="195"/>
      <c r="L10" s="173"/>
      <c r="M10" s="173"/>
      <c r="N10" s="173"/>
      <c r="O10" s="173"/>
      <c r="P10" s="173"/>
      <c r="Q10" s="173"/>
      <c r="R10" s="173"/>
      <c r="S10" s="173"/>
      <c r="T10" s="173"/>
      <c r="U10" s="173"/>
      <c r="V10" s="173"/>
    </row>
    <row r="11" spans="1:22" s="32" customFormat="1" x14ac:dyDescent="0.25">
      <c r="B11" s="179" t="s">
        <v>5266</v>
      </c>
      <c r="C11" s="179"/>
      <c r="D11" s="179"/>
      <c r="E11" s="179"/>
      <c r="F11" s="181">
        <f>COUNTA(D18:D1000)</f>
        <v>0</v>
      </c>
      <c r="G11" s="173"/>
      <c r="H11" s="173"/>
      <c r="I11" s="173"/>
      <c r="J11" s="173"/>
      <c r="K11" s="173"/>
      <c r="L11" s="173"/>
      <c r="M11" s="173"/>
      <c r="N11" s="173"/>
      <c r="O11" s="173"/>
      <c r="P11" s="173"/>
      <c r="Q11" s="173"/>
      <c r="R11" s="173"/>
      <c r="S11" s="173"/>
      <c r="T11" s="173"/>
      <c r="U11" s="173"/>
      <c r="V11" s="173"/>
    </row>
    <row r="12" spans="1:22" s="32" customFormat="1" x14ac:dyDescent="0.25">
      <c r="B12" s="196" t="s">
        <v>5231</v>
      </c>
      <c r="C12" s="196"/>
      <c r="D12" s="196"/>
      <c r="E12" s="196"/>
      <c r="F12" s="198">
        <f>SUM(H18:H1000)</f>
        <v>0</v>
      </c>
      <c r="G12" s="173"/>
      <c r="H12" s="173"/>
      <c r="I12" s="173"/>
      <c r="J12" s="173"/>
      <c r="K12" s="173"/>
      <c r="L12" s="173"/>
      <c r="M12" s="173"/>
      <c r="N12" s="173"/>
      <c r="O12" s="173"/>
      <c r="P12" s="173"/>
      <c r="Q12" s="173"/>
      <c r="R12" s="173"/>
      <c r="S12" s="173"/>
      <c r="T12" s="173"/>
      <c r="U12" s="173"/>
      <c r="V12" s="173"/>
    </row>
    <row r="13" spans="1:22" s="32" customFormat="1" x14ac:dyDescent="0.25">
      <c r="B13" s="196" t="s">
        <v>5232</v>
      </c>
      <c r="C13" s="196"/>
      <c r="D13" s="196"/>
      <c r="E13" s="196"/>
      <c r="F13" s="198">
        <f>SUM(I18:I1001)</f>
        <v>0</v>
      </c>
      <c r="G13" s="173"/>
      <c r="H13" s="173"/>
      <c r="I13" s="173"/>
      <c r="J13" s="173"/>
      <c r="K13" s="173"/>
      <c r="L13" s="173"/>
      <c r="M13" s="173"/>
      <c r="N13" s="173"/>
      <c r="O13" s="173"/>
      <c r="P13" s="173"/>
      <c r="Q13" s="173"/>
      <c r="R13" s="173"/>
      <c r="S13" s="173"/>
      <c r="T13" s="173"/>
      <c r="U13" s="173"/>
      <c r="V13" s="173"/>
    </row>
    <row r="14" spans="1:22" s="32" customFormat="1" x14ac:dyDescent="0.25">
      <c r="B14" s="173"/>
      <c r="C14" s="173"/>
      <c r="D14" s="173"/>
      <c r="E14" s="173"/>
      <c r="F14" s="173"/>
      <c r="G14" s="173"/>
      <c r="H14" s="173"/>
      <c r="I14" s="173"/>
      <c r="J14" s="173"/>
      <c r="K14" s="173"/>
      <c r="L14" s="173"/>
      <c r="M14" s="173"/>
      <c r="N14" s="173"/>
      <c r="O14" s="173"/>
      <c r="P14" s="173"/>
      <c r="Q14" s="173"/>
      <c r="R14" s="173"/>
      <c r="S14" s="173"/>
      <c r="T14" s="173"/>
      <c r="U14" s="173"/>
      <c r="V14" s="173"/>
    </row>
    <row r="15" spans="1:22" s="32" customFormat="1" x14ac:dyDescent="0.25">
      <c r="B15" s="173"/>
      <c r="C15" s="173"/>
      <c r="D15" s="173"/>
      <c r="E15" s="173"/>
      <c r="F15" s="173"/>
      <c r="G15" s="173"/>
      <c r="H15" s="173"/>
      <c r="I15" s="173"/>
      <c r="J15" s="173"/>
      <c r="K15" s="173"/>
      <c r="L15" s="173"/>
      <c r="M15" s="173"/>
      <c r="N15" s="173"/>
      <c r="O15" s="173"/>
      <c r="P15" s="173"/>
      <c r="Q15" s="173"/>
      <c r="R15" s="173"/>
      <c r="S15" s="173"/>
      <c r="T15" s="173"/>
      <c r="U15" s="173"/>
      <c r="V15" s="173"/>
    </row>
    <row r="16" spans="1:22" s="32" customFormat="1" x14ac:dyDescent="0.25"/>
    <row r="17" spans="2:14" s="182" customFormat="1" ht="54.6" customHeight="1" x14ac:dyDescent="0.25">
      <c r="B17" s="184" t="s">
        <v>5171</v>
      </c>
      <c r="C17" s="183" t="s">
        <v>5267</v>
      </c>
      <c r="D17" s="184" t="s">
        <v>5210</v>
      </c>
      <c r="E17" s="183" t="s">
        <v>5268</v>
      </c>
      <c r="F17" s="184" t="s">
        <v>5212</v>
      </c>
      <c r="G17" s="184" t="s">
        <v>5213</v>
      </c>
      <c r="H17" s="200" t="s">
        <v>5214</v>
      </c>
      <c r="I17" s="184" t="s">
        <v>5215</v>
      </c>
      <c r="J17" s="184" t="s">
        <v>5216</v>
      </c>
      <c r="K17" s="184" t="s">
        <v>5217</v>
      </c>
      <c r="L17" s="184" t="s">
        <v>1685</v>
      </c>
      <c r="M17" s="184" t="s">
        <v>5218</v>
      </c>
      <c r="N17" s="200" t="s">
        <v>5191</v>
      </c>
    </row>
    <row r="18" spans="2:14" ht="13.95" customHeight="1" x14ac:dyDescent="0.25">
      <c r="D18" s="414"/>
      <c r="E18" s="478"/>
      <c r="F18" s="481"/>
      <c r="G18" s="481"/>
      <c r="H18" s="201" t="str">
        <f t="shared" ref="H18:H81" si="0">IF(OR(ISBLANK(G18), ISBLANK(F18)), "", IF(G18=F18, 1, SUM(_xlfn.DAYS(G18, F18), 1)))</f>
        <v/>
      </c>
      <c r="K18" s="478"/>
      <c r="N18" s="164" t="str">
        <f>IFERROR(COUNTIF($B$18:B18,B18)&amp;CHOOSE(MIN(4,COUNTIF($B$18:B18,B18)),"st","nd","rd","th"),"")</f>
        <v/>
      </c>
    </row>
    <row r="19" spans="2:14" ht="13.95" customHeight="1" x14ac:dyDescent="0.25">
      <c r="D19" s="414"/>
      <c r="E19" s="478"/>
      <c r="F19" s="481"/>
      <c r="G19" s="481"/>
      <c r="H19" s="201" t="str">
        <f t="shared" si="0"/>
        <v/>
      </c>
      <c r="K19" s="478"/>
      <c r="N19" s="164" t="str">
        <f>IFERROR(COUNTIF($B$18:B19,B19)&amp;CHOOSE(MIN(4,COUNTIF($B$18:B19,B19)),"st","nd","rd","th"),"")</f>
        <v/>
      </c>
    </row>
    <row r="20" spans="2:14" ht="13.95" customHeight="1" x14ac:dyDescent="0.25">
      <c r="D20" s="414"/>
      <c r="E20" s="478"/>
      <c r="F20" s="481"/>
      <c r="G20" s="481"/>
      <c r="H20" s="201" t="str">
        <f t="shared" si="0"/>
        <v/>
      </c>
      <c r="K20" s="478"/>
      <c r="N20" s="164" t="str">
        <f>IFERROR(COUNTIF($B$18:B20,B20)&amp;CHOOSE(MIN(4,COUNTIF($B$18:B20,B20)),"st","nd","rd","th"),"")</f>
        <v/>
      </c>
    </row>
    <row r="21" spans="2:14" ht="13.95" customHeight="1" x14ac:dyDescent="0.25">
      <c r="D21" s="414"/>
      <c r="E21" s="478"/>
      <c r="F21" s="481"/>
      <c r="G21" s="481"/>
      <c r="H21" s="201" t="str">
        <f t="shared" si="0"/>
        <v/>
      </c>
      <c r="K21" s="478"/>
      <c r="N21" s="164" t="str">
        <f>IFERROR(COUNTIF($B$18:B21,B21)&amp;CHOOSE(MIN(4,COUNTIF($B$18:B21,B21)),"st","nd","rd","th"),"")</f>
        <v/>
      </c>
    </row>
    <row r="22" spans="2:14" ht="13.95" customHeight="1" x14ac:dyDescent="0.25">
      <c r="D22" s="414"/>
      <c r="E22" s="478"/>
      <c r="F22" s="481"/>
      <c r="G22" s="481"/>
      <c r="H22" s="201" t="str">
        <f t="shared" si="0"/>
        <v/>
      </c>
      <c r="K22" s="478"/>
      <c r="N22" s="164" t="str">
        <f>IFERROR(COUNTIF($B$18:B22,B22)&amp;CHOOSE(MIN(4,COUNTIF($B$18:B22,B22)),"st","nd","rd","th"),"")</f>
        <v/>
      </c>
    </row>
    <row r="23" spans="2:14" ht="13.95" customHeight="1" x14ac:dyDescent="0.25">
      <c r="D23" s="414"/>
      <c r="E23" s="478"/>
      <c r="F23" s="481"/>
      <c r="G23" s="481"/>
      <c r="H23" s="201" t="str">
        <f t="shared" si="0"/>
        <v/>
      </c>
      <c r="K23" s="478"/>
      <c r="N23" s="164" t="str">
        <f>IFERROR(COUNTIF($B$18:B23,B23)&amp;CHOOSE(MIN(4,COUNTIF($B$18:B23,B23)),"st","nd","rd","th"),"")</f>
        <v/>
      </c>
    </row>
    <row r="24" spans="2:14" ht="13.95" customHeight="1" x14ac:dyDescent="0.25">
      <c r="D24" s="414"/>
      <c r="E24" s="478"/>
      <c r="F24" s="481"/>
      <c r="G24" s="481"/>
      <c r="H24" s="201" t="str">
        <f t="shared" si="0"/>
        <v/>
      </c>
      <c r="K24" s="478"/>
      <c r="N24" s="164" t="str">
        <f>IFERROR(COUNTIF($B$18:B24,B24)&amp;CHOOSE(MIN(4,COUNTIF($B$18:B24,B24)),"st","nd","rd","th"),"")</f>
        <v/>
      </c>
    </row>
    <row r="25" spans="2:14" ht="13.95" customHeight="1" x14ac:dyDescent="0.25">
      <c r="D25" s="414"/>
      <c r="E25" s="478"/>
      <c r="F25" s="481"/>
      <c r="G25" s="481"/>
      <c r="H25" s="201" t="str">
        <f t="shared" si="0"/>
        <v/>
      </c>
      <c r="K25" s="478"/>
      <c r="N25" s="164" t="str">
        <f>IFERROR(COUNTIF($B$18:B25,B25)&amp;CHOOSE(MIN(4,COUNTIF($B$18:B25,B25)),"st","nd","rd","th"),"")</f>
        <v/>
      </c>
    </row>
    <row r="26" spans="2:14" ht="13.95" customHeight="1" x14ac:dyDescent="0.25">
      <c r="D26" s="414"/>
      <c r="E26" s="478"/>
      <c r="F26" s="481"/>
      <c r="G26" s="481"/>
      <c r="H26" s="201" t="str">
        <f t="shared" si="0"/>
        <v/>
      </c>
      <c r="K26" s="478"/>
      <c r="N26" s="164" t="str">
        <f>IFERROR(COUNTIF($B$18:B26,B26)&amp;CHOOSE(MIN(4,COUNTIF($B$18:B26,B26)),"st","nd","rd","th"),"")</f>
        <v/>
      </c>
    </row>
    <row r="27" spans="2:14" ht="13.95" customHeight="1" x14ac:dyDescent="0.25">
      <c r="D27" s="414"/>
      <c r="E27" s="478"/>
      <c r="F27" s="481"/>
      <c r="G27" s="481"/>
      <c r="H27" s="201" t="str">
        <f t="shared" si="0"/>
        <v/>
      </c>
      <c r="K27" s="478"/>
      <c r="N27" s="164" t="str">
        <f>IFERROR(COUNTIF($B$18:B27,B27)&amp;CHOOSE(MIN(4,COUNTIF($B$18:B27,B27)),"st","nd","rd","th"),"")</f>
        <v/>
      </c>
    </row>
    <row r="28" spans="2:14" ht="13.95" customHeight="1" x14ac:dyDescent="0.25">
      <c r="D28" s="414"/>
      <c r="E28" s="478"/>
      <c r="F28" s="481"/>
      <c r="G28" s="481"/>
      <c r="H28" s="201" t="str">
        <f t="shared" si="0"/>
        <v/>
      </c>
      <c r="K28" s="478"/>
      <c r="N28" s="164" t="str">
        <f>IFERROR(COUNTIF($B$18:B28,B28)&amp;CHOOSE(MIN(4,COUNTIF($B$18:B28,B28)),"st","nd","rd","th"),"")</f>
        <v/>
      </c>
    </row>
    <row r="29" spans="2:14" ht="13.95" customHeight="1" x14ac:dyDescent="0.25">
      <c r="D29" s="414"/>
      <c r="E29" s="478"/>
      <c r="F29" s="481"/>
      <c r="G29" s="481"/>
      <c r="H29" s="201" t="str">
        <f t="shared" si="0"/>
        <v/>
      </c>
      <c r="K29" s="478"/>
      <c r="N29" s="164" t="str">
        <f>IFERROR(COUNTIF($B$18:B29,B29)&amp;CHOOSE(MIN(4,COUNTIF($B$18:B29,B29)),"st","nd","rd","th"),"")</f>
        <v/>
      </c>
    </row>
    <row r="30" spans="2:14" ht="13.95" customHeight="1" x14ac:dyDescent="0.25">
      <c r="D30" s="414"/>
      <c r="E30" s="478"/>
      <c r="F30" s="481"/>
      <c r="G30" s="481"/>
      <c r="H30" s="201" t="str">
        <f t="shared" si="0"/>
        <v/>
      </c>
      <c r="K30" s="478"/>
      <c r="N30" s="164" t="str">
        <f>IFERROR(COUNTIF($B$18:B30,B30)&amp;CHOOSE(MIN(4,COUNTIF($B$18:B30,B30)),"st","nd","rd","th"),"")</f>
        <v/>
      </c>
    </row>
    <row r="31" spans="2:14" ht="13.95" customHeight="1" x14ac:dyDescent="0.25">
      <c r="D31" s="414"/>
      <c r="E31" s="478"/>
      <c r="F31" s="481"/>
      <c r="G31" s="481"/>
      <c r="H31" s="201" t="str">
        <f t="shared" si="0"/>
        <v/>
      </c>
      <c r="K31" s="478"/>
      <c r="N31" s="164" t="str">
        <f>IFERROR(COUNTIF($B$18:B31,B31)&amp;CHOOSE(MIN(4,COUNTIF($B$18:B31,B31)),"st","nd","rd","th"),"")</f>
        <v/>
      </c>
    </row>
    <row r="32" spans="2:14" ht="13.95" customHeight="1" x14ac:dyDescent="0.25">
      <c r="D32" s="414"/>
      <c r="E32" s="478"/>
      <c r="F32" s="481"/>
      <c r="G32" s="481"/>
      <c r="H32" s="201" t="str">
        <f t="shared" si="0"/>
        <v/>
      </c>
      <c r="K32" s="478"/>
      <c r="N32" s="164" t="str">
        <f>IFERROR(COUNTIF($B$18:B32,B32)&amp;CHOOSE(MIN(4,COUNTIF($B$18:B32,B32)),"st","nd","rd","th"),"")</f>
        <v/>
      </c>
    </row>
    <row r="33" spans="4:14" ht="13.95" customHeight="1" x14ac:dyDescent="0.25">
      <c r="D33" s="414"/>
      <c r="E33" s="478"/>
      <c r="F33" s="481"/>
      <c r="G33" s="481"/>
      <c r="H33" s="201" t="str">
        <f t="shared" si="0"/>
        <v/>
      </c>
      <c r="K33" s="478"/>
      <c r="N33" s="164" t="str">
        <f>IFERROR(COUNTIF($B$18:B33,B33)&amp;CHOOSE(MIN(4,COUNTIF($B$18:B33,B33)),"st","nd","rd","th"),"")</f>
        <v/>
      </c>
    </row>
    <row r="34" spans="4:14" ht="13.95" customHeight="1" x14ac:dyDescent="0.25">
      <c r="D34" s="414"/>
      <c r="E34" s="478"/>
      <c r="F34" s="481"/>
      <c r="G34" s="481"/>
      <c r="H34" s="201" t="str">
        <f t="shared" si="0"/>
        <v/>
      </c>
      <c r="K34" s="478"/>
      <c r="N34" s="164" t="str">
        <f>IFERROR(COUNTIF($B$18:B34,B34)&amp;CHOOSE(MIN(4,COUNTIF($B$18:B34,B34)),"st","nd","rd","th"),"")</f>
        <v/>
      </c>
    </row>
    <row r="35" spans="4:14" ht="13.95" customHeight="1" x14ac:dyDescent="0.25">
      <c r="D35" s="414"/>
      <c r="E35" s="478"/>
      <c r="F35" s="481"/>
      <c r="G35" s="481"/>
      <c r="H35" s="201" t="str">
        <f t="shared" si="0"/>
        <v/>
      </c>
      <c r="K35" s="478"/>
      <c r="N35" s="164" t="str">
        <f>IFERROR(COUNTIF($B$18:B35,B35)&amp;CHOOSE(MIN(4,COUNTIF($B$18:B35,B35)),"st","nd","rd","th"),"")</f>
        <v/>
      </c>
    </row>
    <row r="36" spans="4:14" ht="13.95" customHeight="1" x14ac:dyDescent="0.25">
      <c r="D36" s="414"/>
      <c r="E36" s="478"/>
      <c r="F36" s="481"/>
      <c r="G36" s="481"/>
      <c r="H36" s="201" t="str">
        <f t="shared" si="0"/>
        <v/>
      </c>
      <c r="K36" s="478"/>
      <c r="N36" s="164" t="str">
        <f>IFERROR(COUNTIF($B$18:B36,B36)&amp;CHOOSE(MIN(4,COUNTIF($B$18:B36,B36)),"st","nd","rd","th"),"")</f>
        <v/>
      </c>
    </row>
    <row r="37" spans="4:14" ht="13.95" customHeight="1" x14ac:dyDescent="0.25">
      <c r="D37" s="414"/>
      <c r="E37" s="478"/>
      <c r="F37" s="481"/>
      <c r="G37" s="481"/>
      <c r="H37" s="201" t="str">
        <f t="shared" si="0"/>
        <v/>
      </c>
      <c r="K37" s="478"/>
      <c r="N37" s="164" t="str">
        <f>IFERROR(COUNTIF($B$18:B37,B37)&amp;CHOOSE(MIN(4,COUNTIF($B$18:B37,B37)),"st","nd","rd","th"),"")</f>
        <v/>
      </c>
    </row>
    <row r="38" spans="4:14" ht="13.95" customHeight="1" x14ac:dyDescent="0.25">
      <c r="D38" s="414"/>
      <c r="E38" s="478"/>
      <c r="F38" s="481"/>
      <c r="G38" s="481"/>
      <c r="H38" s="201" t="str">
        <f t="shared" si="0"/>
        <v/>
      </c>
      <c r="K38" s="478"/>
      <c r="N38" s="164" t="str">
        <f>IFERROR(COUNTIF($B$18:B38,B38)&amp;CHOOSE(MIN(4,COUNTIF($B$18:B38,B38)),"st","nd","rd","th"),"")</f>
        <v/>
      </c>
    </row>
    <row r="39" spans="4:14" ht="13.95" customHeight="1" x14ac:dyDescent="0.25">
      <c r="D39" s="414"/>
      <c r="E39" s="478"/>
      <c r="F39" s="481"/>
      <c r="G39" s="481"/>
      <c r="H39" s="201" t="str">
        <f t="shared" si="0"/>
        <v/>
      </c>
      <c r="K39" s="478"/>
      <c r="N39" s="164" t="str">
        <f>IFERROR(COUNTIF($B$18:B39,B39)&amp;CHOOSE(MIN(4,COUNTIF($B$18:B39,B39)),"st","nd","rd","th"),"")</f>
        <v/>
      </c>
    </row>
    <row r="40" spans="4:14" ht="13.95" customHeight="1" x14ac:dyDescent="0.25">
      <c r="D40" s="414"/>
      <c r="E40" s="478"/>
      <c r="F40" s="481"/>
      <c r="G40" s="481"/>
      <c r="H40" s="201" t="str">
        <f t="shared" si="0"/>
        <v/>
      </c>
      <c r="K40" s="478"/>
      <c r="N40" s="164" t="str">
        <f>IFERROR(COUNTIF($B$18:B40,B40)&amp;CHOOSE(MIN(4,COUNTIF($B$18:B40,B40)),"st","nd","rd","th"),"")</f>
        <v/>
      </c>
    </row>
    <row r="41" spans="4:14" ht="13.95" customHeight="1" x14ac:dyDescent="0.25">
      <c r="D41" s="414"/>
      <c r="E41" s="478"/>
      <c r="F41" s="481"/>
      <c r="G41" s="481"/>
      <c r="H41" s="201" t="str">
        <f t="shared" si="0"/>
        <v/>
      </c>
      <c r="K41" s="478"/>
      <c r="N41" s="164" t="str">
        <f>IFERROR(COUNTIF($B$18:B41,B41)&amp;CHOOSE(MIN(4,COUNTIF($B$18:B41,B41)),"st","nd","rd","th"),"")</f>
        <v/>
      </c>
    </row>
    <row r="42" spans="4:14" ht="13.95" customHeight="1" x14ac:dyDescent="0.25">
      <c r="D42" s="414"/>
      <c r="E42" s="478"/>
      <c r="F42" s="481"/>
      <c r="G42" s="481"/>
      <c r="H42" s="201" t="str">
        <f t="shared" si="0"/>
        <v/>
      </c>
      <c r="K42" s="478"/>
      <c r="N42" s="164" t="str">
        <f>IFERROR(COUNTIF($B$18:B42,B42)&amp;CHOOSE(MIN(4,COUNTIF($B$18:B42,B42)),"st","nd","rd","th"),"")</f>
        <v/>
      </c>
    </row>
    <row r="43" spans="4:14" ht="13.95" customHeight="1" x14ac:dyDescent="0.25">
      <c r="D43" s="414"/>
      <c r="E43" s="478"/>
      <c r="F43" s="481"/>
      <c r="G43" s="481"/>
      <c r="H43" s="201" t="str">
        <f t="shared" si="0"/>
        <v/>
      </c>
      <c r="K43" s="478"/>
      <c r="N43" s="164" t="str">
        <f>IFERROR(COUNTIF($B$18:B43,B43)&amp;CHOOSE(MIN(4,COUNTIF($B$18:B43,B43)),"st","nd","rd","th"),"")</f>
        <v/>
      </c>
    </row>
    <row r="44" spans="4:14" ht="13.95" customHeight="1" x14ac:dyDescent="0.25">
      <c r="D44" s="414"/>
      <c r="E44" s="478"/>
      <c r="F44" s="481"/>
      <c r="G44" s="481"/>
      <c r="H44" s="201" t="str">
        <f t="shared" si="0"/>
        <v/>
      </c>
      <c r="K44" s="478"/>
      <c r="N44" s="164" t="str">
        <f>IFERROR(COUNTIF($B$18:B44,B44)&amp;CHOOSE(MIN(4,COUNTIF($B$18:B44,B44)),"st","nd","rd","th"),"")</f>
        <v/>
      </c>
    </row>
    <row r="45" spans="4:14" ht="13.95" customHeight="1" x14ac:dyDescent="0.25">
      <c r="D45" s="414"/>
      <c r="E45" s="478"/>
      <c r="F45" s="481"/>
      <c r="G45" s="481"/>
      <c r="H45" s="201" t="str">
        <f t="shared" si="0"/>
        <v/>
      </c>
      <c r="K45" s="478"/>
      <c r="N45" s="164" t="str">
        <f>IFERROR(COUNTIF($B$18:B45,B45)&amp;CHOOSE(MIN(4,COUNTIF($B$18:B45,B45)),"st","nd","rd","th"),"")</f>
        <v/>
      </c>
    </row>
    <row r="46" spans="4:14" ht="13.95" customHeight="1" x14ac:dyDescent="0.25">
      <c r="D46" s="414"/>
      <c r="E46" s="478"/>
      <c r="F46" s="481"/>
      <c r="G46" s="481"/>
      <c r="H46" s="201" t="str">
        <f t="shared" si="0"/>
        <v/>
      </c>
      <c r="K46" s="478"/>
      <c r="N46" s="164" t="str">
        <f>IFERROR(COUNTIF($B$18:B46,B46)&amp;CHOOSE(MIN(4,COUNTIF($B$18:B46,B46)),"st","nd","rd","th"),"")</f>
        <v/>
      </c>
    </row>
    <row r="47" spans="4:14" ht="13.95" customHeight="1" x14ac:dyDescent="0.25">
      <c r="D47" s="414"/>
      <c r="E47" s="478"/>
      <c r="F47" s="481"/>
      <c r="G47" s="481"/>
      <c r="H47" s="201" t="str">
        <f t="shared" si="0"/>
        <v/>
      </c>
      <c r="K47" s="478"/>
      <c r="N47" s="164" t="str">
        <f>IFERROR(COUNTIF($B$18:B47,B47)&amp;CHOOSE(MIN(4,COUNTIF($B$18:B47,B47)),"st","nd","rd","th"),"")</f>
        <v/>
      </c>
    </row>
    <row r="48" spans="4:14" ht="13.95" customHeight="1" x14ac:dyDescent="0.25">
      <c r="D48" s="414"/>
      <c r="E48" s="478"/>
      <c r="F48" s="481"/>
      <c r="G48" s="481"/>
      <c r="H48" s="201" t="str">
        <f t="shared" si="0"/>
        <v/>
      </c>
      <c r="K48" s="478"/>
      <c r="N48" s="164" t="str">
        <f>IFERROR(COUNTIF($B$18:B48,B48)&amp;CHOOSE(MIN(4,COUNTIF($B$18:B48,B48)),"st","nd","rd","th"),"")</f>
        <v/>
      </c>
    </row>
    <row r="49" spans="4:14" ht="13.95" customHeight="1" x14ac:dyDescent="0.25">
      <c r="D49" s="414"/>
      <c r="E49" s="478"/>
      <c r="F49" s="481"/>
      <c r="G49" s="481"/>
      <c r="H49" s="201" t="str">
        <f t="shared" si="0"/>
        <v/>
      </c>
      <c r="K49" s="478"/>
      <c r="N49" s="164" t="str">
        <f>IFERROR(COUNTIF($B$18:B49,B49)&amp;CHOOSE(MIN(4,COUNTIF($B$18:B49,B49)),"st","nd","rd","th"),"")</f>
        <v/>
      </c>
    </row>
    <row r="50" spans="4:14" ht="13.95" customHeight="1" x14ac:dyDescent="0.25">
      <c r="D50" s="414"/>
      <c r="E50" s="478"/>
      <c r="F50" s="481"/>
      <c r="G50" s="481"/>
      <c r="H50" s="201" t="str">
        <f t="shared" si="0"/>
        <v/>
      </c>
      <c r="K50" s="478"/>
      <c r="N50" s="164" t="str">
        <f>IFERROR(COUNTIF($B$18:B50,B50)&amp;CHOOSE(MIN(4,COUNTIF($B$18:B50,B50)),"st","nd","rd","th"),"")</f>
        <v/>
      </c>
    </row>
    <row r="51" spans="4:14" ht="13.95" customHeight="1" x14ac:dyDescent="0.25">
      <c r="D51" s="414"/>
      <c r="E51" s="478"/>
      <c r="F51" s="481"/>
      <c r="G51" s="481"/>
      <c r="H51" s="201" t="str">
        <f t="shared" si="0"/>
        <v/>
      </c>
      <c r="K51" s="478"/>
      <c r="N51" s="164" t="str">
        <f>IFERROR(COUNTIF($B$18:B51,B51)&amp;CHOOSE(MIN(4,COUNTIF($B$18:B51,B51)),"st","nd","rd","th"),"")</f>
        <v/>
      </c>
    </row>
    <row r="52" spans="4:14" ht="13.95" customHeight="1" x14ac:dyDescent="0.25">
      <c r="D52" s="414"/>
      <c r="E52" s="478"/>
      <c r="F52" s="481"/>
      <c r="G52" s="481"/>
      <c r="H52" s="201" t="str">
        <f t="shared" si="0"/>
        <v/>
      </c>
      <c r="K52" s="478"/>
      <c r="N52" s="164" t="str">
        <f>IFERROR(COUNTIF($B$18:B52,B52)&amp;CHOOSE(MIN(4,COUNTIF($B$18:B52,B52)),"st","nd","rd","th"),"")</f>
        <v/>
      </c>
    </row>
    <row r="53" spans="4:14" ht="13.95" customHeight="1" x14ac:dyDescent="0.25">
      <c r="D53" s="414"/>
      <c r="E53" s="478"/>
      <c r="F53" s="481"/>
      <c r="G53" s="481"/>
      <c r="H53" s="201" t="str">
        <f t="shared" si="0"/>
        <v/>
      </c>
      <c r="K53" s="478"/>
      <c r="N53" s="164" t="str">
        <f>IFERROR(COUNTIF($B$18:B53,B53)&amp;CHOOSE(MIN(4,COUNTIF($B$18:B53,B53)),"st","nd","rd","th"),"")</f>
        <v/>
      </c>
    </row>
    <row r="54" spans="4:14" ht="13.95" customHeight="1" x14ac:dyDescent="0.25">
      <c r="D54" s="414"/>
      <c r="E54" s="478"/>
      <c r="F54" s="481"/>
      <c r="G54" s="481"/>
      <c r="H54" s="201" t="str">
        <f t="shared" si="0"/>
        <v/>
      </c>
      <c r="K54" s="478"/>
      <c r="N54" s="164" t="str">
        <f>IFERROR(COUNTIF($B$18:B54,B54)&amp;CHOOSE(MIN(4,COUNTIF($B$18:B54,B54)),"st","nd","rd","th"),"")</f>
        <v/>
      </c>
    </row>
    <row r="55" spans="4:14" ht="13.95" customHeight="1" x14ac:dyDescent="0.25">
      <c r="D55" s="414"/>
      <c r="E55" s="478"/>
      <c r="F55" s="481"/>
      <c r="G55" s="481"/>
      <c r="H55" s="201" t="str">
        <f t="shared" si="0"/>
        <v/>
      </c>
      <c r="K55" s="478"/>
      <c r="N55" s="164" t="str">
        <f>IFERROR(COUNTIF($B$18:B55,B55)&amp;CHOOSE(MIN(4,COUNTIF($B$18:B55,B55)),"st","nd","rd","th"),"")</f>
        <v/>
      </c>
    </row>
    <row r="56" spans="4:14" ht="13.95" customHeight="1" x14ac:dyDescent="0.25">
      <c r="D56" s="414"/>
      <c r="E56" s="478"/>
      <c r="F56" s="481"/>
      <c r="G56" s="481"/>
      <c r="H56" s="201" t="str">
        <f t="shared" si="0"/>
        <v/>
      </c>
      <c r="K56" s="478"/>
      <c r="N56" s="164" t="str">
        <f>IFERROR(COUNTIF($B$18:B56,B56)&amp;CHOOSE(MIN(4,COUNTIF($B$18:B56,B56)),"st","nd","rd","th"),"")</f>
        <v/>
      </c>
    </row>
    <row r="57" spans="4:14" ht="13.95" customHeight="1" x14ac:dyDescent="0.25">
      <c r="D57" s="414"/>
      <c r="E57" s="478"/>
      <c r="F57" s="481"/>
      <c r="G57" s="481"/>
      <c r="H57" s="201" t="str">
        <f t="shared" si="0"/>
        <v/>
      </c>
      <c r="K57" s="478"/>
      <c r="N57" s="164" t="str">
        <f>IFERROR(COUNTIF($B$18:B57,B57)&amp;CHOOSE(MIN(4,COUNTIF($B$18:B57,B57)),"st","nd","rd","th"),"")</f>
        <v/>
      </c>
    </row>
    <row r="58" spans="4:14" ht="13.95" customHeight="1" x14ac:dyDescent="0.25">
      <c r="D58" s="414"/>
      <c r="E58" s="478"/>
      <c r="F58" s="481"/>
      <c r="G58" s="481"/>
      <c r="H58" s="201" t="str">
        <f t="shared" si="0"/>
        <v/>
      </c>
      <c r="K58" s="478"/>
      <c r="N58" s="164" t="str">
        <f>IFERROR(COUNTIF($B$18:B58,B58)&amp;CHOOSE(MIN(4,COUNTIF($B$18:B58,B58)),"st","nd","rd","th"),"")</f>
        <v/>
      </c>
    </row>
    <row r="59" spans="4:14" ht="13.95" customHeight="1" x14ac:dyDescent="0.25">
      <c r="D59" s="414"/>
      <c r="E59" s="478"/>
      <c r="F59" s="481"/>
      <c r="G59" s="481"/>
      <c r="H59" s="201" t="str">
        <f t="shared" si="0"/>
        <v/>
      </c>
      <c r="K59" s="478"/>
      <c r="N59" s="164" t="str">
        <f>IFERROR(COUNTIF($B$18:B59,B59)&amp;CHOOSE(MIN(4,COUNTIF($B$18:B59,B59)),"st","nd","rd","th"),"")</f>
        <v/>
      </c>
    </row>
    <row r="60" spans="4:14" ht="13.95" customHeight="1" x14ac:dyDescent="0.25">
      <c r="D60" s="414"/>
      <c r="E60" s="478"/>
      <c r="F60" s="481"/>
      <c r="G60" s="481"/>
      <c r="H60" s="201" t="str">
        <f t="shared" si="0"/>
        <v/>
      </c>
      <c r="K60" s="478"/>
      <c r="N60" s="164" t="str">
        <f>IFERROR(COUNTIF($B$18:B60,B60)&amp;CHOOSE(MIN(4,COUNTIF($B$18:B60,B60)),"st","nd","rd","th"),"")</f>
        <v/>
      </c>
    </row>
    <row r="61" spans="4:14" ht="13.95" customHeight="1" x14ac:dyDescent="0.25">
      <c r="D61" s="414"/>
      <c r="E61" s="478"/>
      <c r="F61" s="481"/>
      <c r="G61" s="481"/>
      <c r="H61" s="201" t="str">
        <f t="shared" si="0"/>
        <v/>
      </c>
      <c r="K61" s="478"/>
      <c r="N61" s="164" t="str">
        <f>IFERROR(COUNTIF($B$18:B61,B61)&amp;CHOOSE(MIN(4,COUNTIF($B$18:B61,B61)),"st","nd","rd","th"),"")</f>
        <v/>
      </c>
    </row>
    <row r="62" spans="4:14" ht="13.95" customHeight="1" x14ac:dyDescent="0.25">
      <c r="D62" s="414"/>
      <c r="E62" s="478"/>
      <c r="F62" s="481"/>
      <c r="G62" s="481"/>
      <c r="H62" s="201" t="str">
        <f t="shared" si="0"/>
        <v/>
      </c>
      <c r="K62" s="478"/>
      <c r="N62" s="164" t="str">
        <f>IFERROR(COUNTIF($B$18:B62,B62)&amp;CHOOSE(MIN(4,COUNTIF($B$18:B62,B62)),"st","nd","rd","th"),"")</f>
        <v/>
      </c>
    </row>
    <row r="63" spans="4:14" ht="13.95" customHeight="1" x14ac:dyDescent="0.25">
      <c r="D63" s="414"/>
      <c r="E63" s="478"/>
      <c r="F63" s="481"/>
      <c r="G63" s="481"/>
      <c r="H63" s="201" t="str">
        <f t="shared" si="0"/>
        <v/>
      </c>
      <c r="K63" s="478"/>
      <c r="N63" s="164" t="str">
        <f>IFERROR(COUNTIF($B$18:B63,B63)&amp;CHOOSE(MIN(4,COUNTIF($B$18:B63,B63)),"st","nd","rd","th"),"")</f>
        <v/>
      </c>
    </row>
    <row r="64" spans="4:14" ht="13.95" customHeight="1" x14ac:dyDescent="0.25">
      <c r="D64" s="414"/>
      <c r="E64" s="478"/>
      <c r="F64" s="481"/>
      <c r="G64" s="481"/>
      <c r="H64" s="201" t="str">
        <f t="shared" si="0"/>
        <v/>
      </c>
      <c r="K64" s="478"/>
      <c r="N64" s="164" t="str">
        <f>IFERROR(COUNTIF($B$18:B64,B64)&amp;CHOOSE(MIN(4,COUNTIF($B$18:B64,B64)),"st","nd","rd","th"),"")</f>
        <v/>
      </c>
    </row>
    <row r="65" spans="4:14" ht="13.95" customHeight="1" x14ac:dyDescent="0.25">
      <c r="D65" s="414"/>
      <c r="E65" s="478"/>
      <c r="F65" s="481"/>
      <c r="G65" s="481"/>
      <c r="H65" s="201" t="str">
        <f t="shared" si="0"/>
        <v/>
      </c>
      <c r="K65" s="478"/>
      <c r="N65" s="164" t="str">
        <f>IFERROR(COUNTIF($B$18:B65,B65)&amp;CHOOSE(MIN(4,COUNTIF($B$18:B65,B65)),"st","nd","rd","th"),"")</f>
        <v/>
      </c>
    </row>
    <row r="66" spans="4:14" ht="13.95" customHeight="1" x14ac:dyDescent="0.25">
      <c r="D66" s="414"/>
      <c r="E66" s="478"/>
      <c r="F66" s="481"/>
      <c r="G66" s="481"/>
      <c r="H66" s="201" t="str">
        <f t="shared" si="0"/>
        <v/>
      </c>
      <c r="K66" s="478"/>
      <c r="N66" s="164" t="str">
        <f>IFERROR(COUNTIF($B$18:B66,B66)&amp;CHOOSE(MIN(4,COUNTIF($B$18:B66,B66)),"st","nd","rd","th"),"")</f>
        <v/>
      </c>
    </row>
    <row r="67" spans="4:14" ht="13.95" customHeight="1" x14ac:dyDescent="0.25">
      <c r="D67" s="414"/>
      <c r="E67" s="478"/>
      <c r="F67" s="481"/>
      <c r="G67" s="481"/>
      <c r="H67" s="201" t="str">
        <f t="shared" si="0"/>
        <v/>
      </c>
      <c r="K67" s="478"/>
      <c r="N67" s="164" t="str">
        <f>IFERROR(COUNTIF($B$18:B67,B67)&amp;CHOOSE(MIN(4,COUNTIF($B$18:B67,B67)),"st","nd","rd","th"),"")</f>
        <v/>
      </c>
    </row>
    <row r="68" spans="4:14" ht="13.95" customHeight="1" x14ac:dyDescent="0.25">
      <c r="D68" s="414"/>
      <c r="E68" s="478"/>
      <c r="F68" s="481"/>
      <c r="G68" s="481"/>
      <c r="H68" s="201" t="str">
        <f t="shared" si="0"/>
        <v/>
      </c>
      <c r="K68" s="478"/>
      <c r="N68" s="164" t="str">
        <f>IFERROR(COUNTIF($B$18:B68,B68)&amp;CHOOSE(MIN(4,COUNTIF($B$18:B68,B68)),"st","nd","rd","th"),"")</f>
        <v/>
      </c>
    </row>
    <row r="69" spans="4:14" ht="13.95" customHeight="1" x14ac:dyDescent="0.25">
      <c r="D69" s="414"/>
      <c r="E69" s="478"/>
      <c r="F69" s="481"/>
      <c r="G69" s="481"/>
      <c r="H69" s="201" t="str">
        <f t="shared" si="0"/>
        <v/>
      </c>
      <c r="K69" s="478"/>
      <c r="N69" s="164" t="str">
        <f>IFERROR(COUNTIF($B$18:B69,B69)&amp;CHOOSE(MIN(4,COUNTIF($B$18:B69,B69)),"st","nd","rd","th"),"")</f>
        <v/>
      </c>
    </row>
    <row r="70" spans="4:14" ht="13.95" customHeight="1" x14ac:dyDescent="0.25">
      <c r="D70" s="414"/>
      <c r="E70" s="478"/>
      <c r="F70" s="481"/>
      <c r="G70" s="481"/>
      <c r="H70" s="201" t="str">
        <f t="shared" si="0"/>
        <v/>
      </c>
      <c r="K70" s="478"/>
      <c r="N70" s="164" t="str">
        <f>IFERROR(COUNTIF($B$18:B70,B70)&amp;CHOOSE(MIN(4,COUNTIF($B$18:B70,B70)),"st","nd","rd","th"),"")</f>
        <v/>
      </c>
    </row>
    <row r="71" spans="4:14" ht="13.95" customHeight="1" x14ac:dyDescent="0.25">
      <c r="D71" s="414"/>
      <c r="E71" s="478"/>
      <c r="F71" s="481"/>
      <c r="G71" s="481"/>
      <c r="H71" s="201" t="str">
        <f t="shared" si="0"/>
        <v/>
      </c>
      <c r="K71" s="478"/>
      <c r="N71" s="164" t="str">
        <f>IFERROR(COUNTIF($B$18:B71,B71)&amp;CHOOSE(MIN(4,COUNTIF($B$18:B71,B71)),"st","nd","rd","th"),"")</f>
        <v/>
      </c>
    </row>
    <row r="72" spans="4:14" ht="13.95" customHeight="1" x14ac:dyDescent="0.25">
      <c r="D72" s="414"/>
      <c r="E72" s="478"/>
      <c r="F72" s="481"/>
      <c r="G72" s="481"/>
      <c r="H72" s="201" t="str">
        <f t="shared" si="0"/>
        <v/>
      </c>
      <c r="K72" s="478"/>
      <c r="N72" s="164" t="str">
        <f>IFERROR(COUNTIF($B$18:B72,B72)&amp;CHOOSE(MIN(4,COUNTIF($B$18:B72,B72)),"st","nd","rd","th"),"")</f>
        <v/>
      </c>
    </row>
    <row r="73" spans="4:14" ht="13.95" customHeight="1" x14ac:dyDescent="0.25">
      <c r="D73" s="414"/>
      <c r="E73" s="478"/>
      <c r="F73" s="481"/>
      <c r="G73" s="481"/>
      <c r="H73" s="201" t="str">
        <f t="shared" si="0"/>
        <v/>
      </c>
      <c r="K73" s="478"/>
      <c r="N73" s="164" t="str">
        <f>IFERROR(COUNTIF($B$18:B73,B73)&amp;CHOOSE(MIN(4,COUNTIF($B$18:B73,B73)),"st","nd","rd","th"),"")</f>
        <v/>
      </c>
    </row>
    <row r="74" spans="4:14" ht="13.95" customHeight="1" x14ac:dyDescent="0.25">
      <c r="D74" s="414"/>
      <c r="E74" s="478"/>
      <c r="F74" s="481"/>
      <c r="G74" s="481"/>
      <c r="H74" s="201" t="str">
        <f t="shared" si="0"/>
        <v/>
      </c>
      <c r="K74" s="478"/>
      <c r="N74" s="164" t="str">
        <f>IFERROR(COUNTIF($B$18:B74,B74)&amp;CHOOSE(MIN(4,COUNTIF($B$18:B74,B74)),"st","nd","rd","th"),"")</f>
        <v/>
      </c>
    </row>
    <row r="75" spans="4:14" ht="13.95" customHeight="1" x14ac:dyDescent="0.25">
      <c r="D75" s="414"/>
      <c r="E75" s="478"/>
      <c r="F75" s="481"/>
      <c r="G75" s="481"/>
      <c r="H75" s="201" t="str">
        <f t="shared" si="0"/>
        <v/>
      </c>
      <c r="K75" s="478"/>
      <c r="N75" s="164" t="str">
        <f>IFERROR(COUNTIF($B$18:B75,B75)&amp;CHOOSE(MIN(4,COUNTIF($B$18:B75,B75)),"st","nd","rd","th"),"")</f>
        <v/>
      </c>
    </row>
    <row r="76" spans="4:14" ht="13.95" customHeight="1" x14ac:dyDescent="0.25">
      <c r="D76" s="414"/>
      <c r="E76" s="478"/>
      <c r="F76" s="481"/>
      <c r="G76" s="481"/>
      <c r="H76" s="201" t="str">
        <f t="shared" si="0"/>
        <v/>
      </c>
      <c r="K76" s="478"/>
      <c r="N76" s="164" t="str">
        <f>IFERROR(COUNTIF($B$18:B76,B76)&amp;CHOOSE(MIN(4,COUNTIF($B$18:B76,B76)),"st","nd","rd","th"),"")</f>
        <v/>
      </c>
    </row>
    <row r="77" spans="4:14" ht="13.95" customHeight="1" x14ac:dyDescent="0.25">
      <c r="D77" s="414"/>
      <c r="E77" s="478"/>
      <c r="F77" s="481"/>
      <c r="G77" s="481"/>
      <c r="H77" s="201" t="str">
        <f t="shared" si="0"/>
        <v/>
      </c>
      <c r="K77" s="478"/>
      <c r="N77" s="164" t="str">
        <f>IFERROR(COUNTIF($B$18:B77,B77)&amp;CHOOSE(MIN(4,COUNTIF($B$18:B77,B77)),"st","nd","rd","th"),"")</f>
        <v/>
      </c>
    </row>
    <row r="78" spans="4:14" ht="13.95" customHeight="1" x14ac:dyDescent="0.25">
      <c r="D78" s="414"/>
      <c r="E78" s="478"/>
      <c r="F78" s="481"/>
      <c r="G78" s="481"/>
      <c r="H78" s="201" t="str">
        <f t="shared" si="0"/>
        <v/>
      </c>
      <c r="K78" s="478"/>
      <c r="N78" s="164" t="str">
        <f>IFERROR(COUNTIF($B$18:B78,B78)&amp;CHOOSE(MIN(4,COUNTIF($B$18:B78,B78)),"st","nd","rd","th"),"")</f>
        <v/>
      </c>
    </row>
    <row r="79" spans="4:14" ht="13.95" customHeight="1" x14ac:dyDescent="0.25">
      <c r="D79" s="414"/>
      <c r="E79" s="478"/>
      <c r="F79" s="481"/>
      <c r="G79" s="481"/>
      <c r="H79" s="201" t="str">
        <f t="shared" si="0"/>
        <v/>
      </c>
      <c r="K79" s="478"/>
      <c r="N79" s="164" t="str">
        <f>IFERROR(COUNTIF($B$18:B79,B79)&amp;CHOOSE(MIN(4,COUNTIF($B$18:B79,B79)),"st","nd","rd","th"),"")</f>
        <v/>
      </c>
    </row>
    <row r="80" spans="4:14" ht="13.95" customHeight="1" x14ac:dyDescent="0.25">
      <c r="D80" s="414"/>
      <c r="E80" s="478"/>
      <c r="F80" s="481"/>
      <c r="G80" s="481"/>
      <c r="H80" s="201" t="str">
        <f t="shared" si="0"/>
        <v/>
      </c>
      <c r="K80" s="478"/>
      <c r="N80" s="164" t="str">
        <f>IFERROR(COUNTIF($B$18:B80,B80)&amp;CHOOSE(MIN(4,COUNTIF($B$18:B80,B80)),"st","nd","rd","th"),"")</f>
        <v/>
      </c>
    </row>
    <row r="81" spans="2:14" ht="13.95" customHeight="1" x14ac:dyDescent="0.25">
      <c r="D81" s="414"/>
      <c r="E81" s="478"/>
      <c r="F81" s="481"/>
      <c r="G81" s="481"/>
      <c r="H81" s="201" t="str">
        <f t="shared" si="0"/>
        <v/>
      </c>
      <c r="K81" s="478"/>
      <c r="N81" s="164" t="str">
        <f>IFERROR(COUNTIF($B$18:B81,B81)&amp;CHOOSE(MIN(4,COUNTIF($B$18:B81,B81)),"st","nd","rd","th"),"")</f>
        <v/>
      </c>
    </row>
    <row r="82" spans="2:14" ht="13.95" customHeight="1" x14ac:dyDescent="0.25">
      <c r="D82" s="414"/>
      <c r="E82" s="478"/>
      <c r="F82" s="481"/>
      <c r="G82" s="481"/>
      <c r="H82" s="201" t="str">
        <f t="shared" ref="H82:H117" si="1">IF(OR(ISBLANK(G82), ISBLANK(F82)), "", IF(G82=F82, 1, SUM(_xlfn.DAYS(G82, F82), 1)))</f>
        <v/>
      </c>
      <c r="K82" s="478"/>
      <c r="N82" s="164" t="str">
        <f>IFERROR(COUNTIF($B$18:B82,B82)&amp;CHOOSE(MIN(4,COUNTIF($B$18:B82,B82)),"st","nd","rd","th"),"")</f>
        <v/>
      </c>
    </row>
    <row r="83" spans="2:14" x14ac:dyDescent="0.25">
      <c r="H83" s="201" t="str">
        <f t="shared" si="1"/>
        <v/>
      </c>
      <c r="N83" s="164" t="str">
        <f>IFERROR(COUNTIF($B$18:B83,B83)&amp;CHOOSE(MIN(4,COUNTIF($B$18:B83,B83)),"st","nd","rd","th"),"")</f>
        <v/>
      </c>
    </row>
    <row r="84" spans="2:14" ht="13.95" customHeight="1" x14ac:dyDescent="0.25">
      <c r="D84" s="482"/>
      <c r="E84" s="482"/>
      <c r="F84" s="483"/>
      <c r="G84" s="483"/>
      <c r="H84" s="201" t="str">
        <f t="shared" si="1"/>
        <v/>
      </c>
      <c r="I84" s="388"/>
      <c r="J84" s="388"/>
      <c r="K84" s="388"/>
      <c r="N84" s="164" t="str">
        <f>IFERROR(COUNTIF($B$19:B84,B84)&amp;CHOOSE(MIN(4,COUNTIF($B$19:B84,B84)),"st","nd","rd","th"),"")</f>
        <v/>
      </c>
    </row>
    <row r="85" spans="2:14" ht="13.95" customHeight="1" x14ac:dyDescent="0.25">
      <c r="D85" s="482"/>
      <c r="E85" s="482"/>
      <c r="F85" s="483"/>
      <c r="G85" s="483"/>
      <c r="H85" s="201" t="str">
        <f t="shared" si="1"/>
        <v/>
      </c>
      <c r="I85" s="388"/>
      <c r="J85" s="388"/>
      <c r="K85" s="388"/>
      <c r="N85" s="164" t="str">
        <f>IFERROR(COUNTIF($B$19:B85,B85)&amp;CHOOSE(MIN(4,COUNTIF($B$19:B85,B85)),"st","nd","rd","th"),"")</f>
        <v/>
      </c>
    </row>
    <row r="86" spans="2:14" ht="13.95" customHeight="1" x14ac:dyDescent="0.25">
      <c r="D86" s="482"/>
      <c r="E86" s="482"/>
      <c r="F86" s="483"/>
      <c r="G86" s="483"/>
      <c r="H86" s="201" t="str">
        <f t="shared" si="1"/>
        <v/>
      </c>
      <c r="I86" s="388"/>
      <c r="J86" s="388"/>
      <c r="K86" s="388"/>
      <c r="N86" s="164" t="str">
        <f>IFERROR(COUNTIF($B$19:B86,B86)&amp;CHOOSE(MIN(4,COUNTIF($B$19:B86,B86)),"st","nd","rd","th"),"")</f>
        <v/>
      </c>
    </row>
    <row r="87" spans="2:14" ht="13.95" customHeight="1" x14ac:dyDescent="0.25">
      <c r="D87" s="482"/>
      <c r="E87" s="482"/>
      <c r="F87" s="483"/>
      <c r="G87" s="483"/>
      <c r="H87" s="201" t="str">
        <f t="shared" si="1"/>
        <v/>
      </c>
      <c r="I87" s="388"/>
      <c r="J87" s="388"/>
      <c r="K87" s="388"/>
      <c r="N87" s="164" t="str">
        <f>IFERROR(COUNTIF($B$19:B87,B87)&amp;CHOOSE(MIN(4,COUNTIF($B$19:B87,B87)),"st","nd","rd","th"),"")</f>
        <v/>
      </c>
    </row>
    <row r="88" spans="2:14" ht="13.95" customHeight="1" x14ac:dyDescent="0.25">
      <c r="D88" s="482"/>
      <c r="E88" s="482"/>
      <c r="F88" s="483"/>
      <c r="G88" s="483"/>
      <c r="H88" s="201" t="str">
        <f t="shared" si="1"/>
        <v/>
      </c>
      <c r="I88" s="388"/>
      <c r="J88" s="388"/>
      <c r="K88" s="388"/>
      <c r="N88" s="164" t="str">
        <f>IFERROR(COUNTIF($B$19:B88,B88)&amp;CHOOSE(MIN(4,COUNTIF($B$19:B88,B88)),"st","nd","rd","th"),"")</f>
        <v/>
      </c>
    </row>
    <row r="89" spans="2:14" ht="13.95" customHeight="1" x14ac:dyDescent="0.25">
      <c r="D89" s="482"/>
      <c r="E89" s="482"/>
      <c r="F89" s="483"/>
      <c r="G89" s="483"/>
      <c r="H89" s="201" t="str">
        <f t="shared" si="1"/>
        <v/>
      </c>
      <c r="I89" s="388"/>
      <c r="J89" s="388"/>
      <c r="K89" s="388"/>
      <c r="N89" s="164" t="str">
        <f>IFERROR(COUNTIF($B$19:B89,B89)&amp;CHOOSE(MIN(4,COUNTIF($B$19:B89,B89)),"st","nd","rd","th"),"")</f>
        <v/>
      </c>
    </row>
    <row r="90" spans="2:14" ht="13.95" customHeight="1" x14ac:dyDescent="0.25">
      <c r="D90" s="482"/>
      <c r="E90" s="482"/>
      <c r="F90" s="483"/>
      <c r="G90" s="483"/>
      <c r="H90" s="201" t="str">
        <f t="shared" si="1"/>
        <v/>
      </c>
      <c r="I90" s="388"/>
      <c r="J90" s="388"/>
      <c r="K90" s="388"/>
      <c r="N90" s="164" t="str">
        <f>IFERROR(COUNTIF($B$19:B90,B90)&amp;CHOOSE(MIN(4,COUNTIF($B$19:B90,B90)),"st","nd","rd","th"),"")</f>
        <v/>
      </c>
    </row>
    <row r="91" spans="2:14" ht="13.95" customHeight="1" x14ac:dyDescent="0.25">
      <c r="D91" s="482"/>
      <c r="E91" s="482"/>
      <c r="F91" s="483"/>
      <c r="G91" s="483"/>
      <c r="H91" s="201" t="str">
        <f t="shared" si="1"/>
        <v/>
      </c>
      <c r="I91" s="388"/>
      <c r="J91" s="388"/>
      <c r="K91" s="388"/>
      <c r="N91" s="164" t="str">
        <f>IFERROR(COUNTIF($B$19:B91,B91)&amp;CHOOSE(MIN(4,COUNTIF($B$19:B91,B91)),"st","nd","rd","th"),"")</f>
        <v/>
      </c>
    </row>
    <row r="92" spans="2:14" ht="13.95" customHeight="1" x14ac:dyDescent="0.25">
      <c r="D92" s="482"/>
      <c r="E92" s="482"/>
      <c r="F92" s="483"/>
      <c r="G92" s="483"/>
      <c r="H92" s="201" t="str">
        <f t="shared" si="1"/>
        <v/>
      </c>
      <c r="I92" s="388"/>
      <c r="J92" s="388"/>
      <c r="K92" s="388"/>
      <c r="N92" s="164" t="str">
        <f>IFERROR(COUNTIF($B$19:B92,B92)&amp;CHOOSE(MIN(4,COUNTIF($B$19:B92,B92)),"st","nd","rd","th"),"")</f>
        <v/>
      </c>
    </row>
    <row r="93" spans="2:14" ht="13.95" customHeight="1" x14ac:dyDescent="0.25">
      <c r="D93" s="482"/>
      <c r="E93" s="482"/>
      <c r="F93" s="483"/>
      <c r="G93" s="483"/>
      <c r="H93" s="201" t="str">
        <f t="shared" si="1"/>
        <v/>
      </c>
      <c r="I93" s="388"/>
      <c r="J93" s="388"/>
      <c r="K93" s="388"/>
      <c r="N93" s="164" t="str">
        <f>IFERROR(COUNTIF($B$19:B93,B93)&amp;CHOOSE(MIN(4,COUNTIF($B$19:B93,B93)),"st","nd","rd","th"),"")</f>
        <v/>
      </c>
    </row>
    <row r="94" spans="2:14" ht="13.95" customHeight="1" x14ac:dyDescent="0.25">
      <c r="B94" s="190"/>
      <c r="D94" s="482"/>
      <c r="E94" s="482"/>
      <c r="F94" s="483"/>
      <c r="G94" s="483"/>
      <c r="H94" s="201" t="str">
        <f t="shared" si="1"/>
        <v/>
      </c>
      <c r="I94" s="388"/>
      <c r="J94" s="388"/>
      <c r="K94" s="388"/>
      <c r="N94" s="164" t="str">
        <f>IFERROR(COUNTIF($B$19:B94,B94)&amp;CHOOSE(MIN(4,COUNTIF($B$19:B94,B94)),"st","nd","rd","th"),"")</f>
        <v/>
      </c>
    </row>
    <row r="95" spans="2:14" ht="13.95" customHeight="1" x14ac:dyDescent="0.25">
      <c r="D95" s="482"/>
      <c r="E95" s="482"/>
      <c r="F95" s="483"/>
      <c r="G95" s="483"/>
      <c r="H95" s="201" t="str">
        <f t="shared" si="1"/>
        <v/>
      </c>
      <c r="I95" s="388"/>
      <c r="J95" s="388"/>
      <c r="K95" s="388"/>
      <c r="N95" s="164" t="str">
        <f>IFERROR(COUNTIF($B$19:B95,B95)&amp;CHOOSE(MIN(4,COUNTIF($B$19:B95,B95)),"st","nd","rd","th"),"")</f>
        <v/>
      </c>
    </row>
    <row r="96" spans="2:14" ht="13.95" customHeight="1" x14ac:dyDescent="0.25">
      <c r="D96" s="482"/>
      <c r="E96" s="482"/>
      <c r="F96" s="483"/>
      <c r="G96" s="483"/>
      <c r="H96" s="201" t="str">
        <f t="shared" si="1"/>
        <v/>
      </c>
      <c r="I96" s="388"/>
      <c r="J96" s="388"/>
      <c r="K96" s="388"/>
      <c r="N96" s="164" t="str">
        <f>IFERROR(COUNTIF($B$19:B96,B96)&amp;CHOOSE(MIN(4,COUNTIF($B$19:B96,B96)),"st","nd","rd","th"),"")</f>
        <v/>
      </c>
    </row>
    <row r="97" spans="4:14" ht="13.95" customHeight="1" x14ac:dyDescent="0.25">
      <c r="D97" s="482"/>
      <c r="E97" s="482"/>
      <c r="F97" s="483"/>
      <c r="G97" s="483"/>
      <c r="H97" s="201" t="str">
        <f t="shared" si="1"/>
        <v/>
      </c>
      <c r="I97" s="388"/>
      <c r="J97" s="388"/>
      <c r="K97" s="388"/>
      <c r="N97" s="164" t="str">
        <f>IFERROR(COUNTIF($B$19:B97,B97)&amp;CHOOSE(MIN(4,COUNTIF($B$19:B97,B97)),"st","nd","rd","th"),"")</f>
        <v/>
      </c>
    </row>
    <row r="98" spans="4:14" ht="13.95" customHeight="1" x14ac:dyDescent="0.25">
      <c r="D98" s="482"/>
      <c r="E98" s="482"/>
      <c r="F98" s="483"/>
      <c r="G98" s="483"/>
      <c r="H98" s="201" t="str">
        <f t="shared" si="1"/>
        <v/>
      </c>
      <c r="I98" s="388"/>
      <c r="J98" s="388"/>
      <c r="K98" s="388"/>
      <c r="N98" s="164" t="str">
        <f>IFERROR(COUNTIF($B$19:B98,B98)&amp;CHOOSE(MIN(4,COUNTIF($B$19:B98,B98)),"st","nd","rd","th"),"")</f>
        <v/>
      </c>
    </row>
    <row r="99" spans="4:14" ht="13.95" customHeight="1" x14ac:dyDescent="0.25">
      <c r="D99" s="482"/>
      <c r="E99" s="482"/>
      <c r="F99" s="483"/>
      <c r="G99" s="483"/>
      <c r="H99" s="201" t="str">
        <f t="shared" si="1"/>
        <v/>
      </c>
      <c r="I99" s="388"/>
      <c r="J99" s="388"/>
      <c r="K99" s="388"/>
      <c r="N99" s="164" t="str">
        <f>IFERROR(COUNTIF($B$19:B99,B99)&amp;CHOOSE(MIN(4,COUNTIF($B$19:B99,B99)),"st","nd","rd","th"),"")</f>
        <v/>
      </c>
    </row>
    <row r="100" spans="4:14" ht="13.95" customHeight="1" x14ac:dyDescent="0.25">
      <c r="D100" s="482"/>
      <c r="E100" s="482"/>
      <c r="F100" s="483"/>
      <c r="G100" s="483"/>
      <c r="H100" s="201" t="str">
        <f t="shared" si="1"/>
        <v/>
      </c>
      <c r="I100" s="388"/>
      <c r="J100" s="388"/>
      <c r="K100" s="388"/>
      <c r="N100" s="164" t="str">
        <f>IFERROR(COUNTIF($B$19:B100,B100)&amp;CHOOSE(MIN(4,COUNTIF($B$19:B100,B100)),"st","nd","rd","th"),"")</f>
        <v/>
      </c>
    </row>
    <row r="101" spans="4:14" ht="13.95" customHeight="1" x14ac:dyDescent="0.25">
      <c r="D101" s="482"/>
      <c r="E101" s="482"/>
      <c r="F101" s="483"/>
      <c r="G101" s="483"/>
      <c r="H101" s="201" t="str">
        <f t="shared" si="1"/>
        <v/>
      </c>
      <c r="I101" s="388"/>
      <c r="J101" s="388"/>
      <c r="K101" s="388"/>
      <c r="N101" s="164" t="str">
        <f>IFERROR(COUNTIF($B$19:B101,B101)&amp;CHOOSE(MIN(4,COUNTIF($B$19:B101,B101)),"st","nd","rd","th"),"")</f>
        <v/>
      </c>
    </row>
    <row r="102" spans="4:14" ht="13.95" customHeight="1" x14ac:dyDescent="0.25">
      <c r="D102" s="482"/>
      <c r="E102" s="482"/>
      <c r="F102" s="483"/>
      <c r="G102" s="483"/>
      <c r="H102" s="201" t="str">
        <f t="shared" si="1"/>
        <v/>
      </c>
      <c r="I102" s="388"/>
      <c r="J102" s="388"/>
      <c r="K102" s="388"/>
      <c r="N102" s="164" t="str">
        <f>IFERROR(COUNTIF($B$19:B102,B102)&amp;CHOOSE(MIN(4,COUNTIF($B$19:B102,B102)),"st","nd","rd","th"),"")</f>
        <v/>
      </c>
    </row>
    <row r="103" spans="4:14" ht="13.95" customHeight="1" x14ac:dyDescent="0.25">
      <c r="D103" s="482"/>
      <c r="E103" s="482"/>
      <c r="F103" s="483"/>
      <c r="G103" s="483"/>
      <c r="H103" s="201" t="str">
        <f t="shared" si="1"/>
        <v/>
      </c>
      <c r="I103" s="388"/>
      <c r="J103" s="388"/>
      <c r="K103" s="388"/>
      <c r="N103" s="164" t="str">
        <f>IFERROR(COUNTIF($B$19:B103,B103)&amp;CHOOSE(MIN(4,COUNTIF($B$19:B103,B103)),"st","nd","rd","th"),"")</f>
        <v/>
      </c>
    </row>
    <row r="104" spans="4:14" ht="13.95" customHeight="1" x14ac:dyDescent="0.25">
      <c r="D104" s="482"/>
      <c r="E104" s="482"/>
      <c r="F104" s="483"/>
      <c r="G104" s="483"/>
      <c r="H104" s="201" t="str">
        <f t="shared" si="1"/>
        <v/>
      </c>
      <c r="I104" s="388"/>
      <c r="J104" s="388"/>
      <c r="K104" s="388"/>
      <c r="N104" s="164" t="str">
        <f>IFERROR(COUNTIF($B$19:B104,B104)&amp;CHOOSE(MIN(4,COUNTIF($B$19:B104,B104)),"st","nd","rd","th"),"")</f>
        <v/>
      </c>
    </row>
    <row r="105" spans="4:14" ht="13.95" customHeight="1" x14ac:dyDescent="0.25">
      <c r="D105" s="482"/>
      <c r="E105" s="482"/>
      <c r="F105" s="483"/>
      <c r="G105" s="483"/>
      <c r="H105" s="201" t="str">
        <f t="shared" si="1"/>
        <v/>
      </c>
      <c r="I105" s="388"/>
      <c r="J105" s="388"/>
      <c r="K105" s="388"/>
      <c r="N105" s="164" t="str">
        <f>IFERROR(COUNTIF($B$19:B105,B105)&amp;CHOOSE(MIN(4,COUNTIF($B$19:B105,B105)),"st","nd","rd","th"),"")</f>
        <v/>
      </c>
    </row>
    <row r="106" spans="4:14" ht="13.95" customHeight="1" x14ac:dyDescent="0.25">
      <c r="D106" s="482"/>
      <c r="E106" s="482"/>
      <c r="F106" s="483"/>
      <c r="G106" s="483"/>
      <c r="H106" s="201" t="str">
        <f t="shared" si="1"/>
        <v/>
      </c>
      <c r="I106" s="388"/>
      <c r="J106" s="388"/>
      <c r="K106" s="388"/>
      <c r="N106" s="164" t="str">
        <f>IFERROR(COUNTIF($B$19:B106,B106)&amp;CHOOSE(MIN(4,COUNTIF($B$19:B106,B106)),"st","nd","rd","th"),"")</f>
        <v/>
      </c>
    </row>
    <row r="107" spans="4:14" ht="13.95" customHeight="1" x14ac:dyDescent="0.25">
      <c r="D107" s="482"/>
      <c r="E107" s="482"/>
      <c r="F107" s="483"/>
      <c r="G107" s="483"/>
      <c r="H107" s="201" t="str">
        <f t="shared" si="1"/>
        <v/>
      </c>
      <c r="I107" s="388"/>
      <c r="J107" s="388"/>
      <c r="K107" s="388"/>
      <c r="N107" s="164" t="str">
        <f>IFERROR(COUNTIF($B$19:B107,B107)&amp;CHOOSE(MIN(4,COUNTIF($B$19:B107,B107)),"st","nd","rd","th"),"")</f>
        <v/>
      </c>
    </row>
    <row r="108" spans="4:14" ht="13.95" customHeight="1" x14ac:dyDescent="0.25">
      <c r="D108" s="482"/>
      <c r="E108" s="482"/>
      <c r="F108" s="483"/>
      <c r="G108" s="483"/>
      <c r="H108" s="201" t="str">
        <f t="shared" si="1"/>
        <v/>
      </c>
      <c r="I108" s="388"/>
      <c r="J108" s="388"/>
      <c r="K108" s="388"/>
      <c r="N108" s="164" t="str">
        <f>IFERROR(COUNTIF($B$19:B108,B108)&amp;CHOOSE(MIN(4,COUNTIF($B$19:B108,B108)),"st","nd","rd","th"),"")</f>
        <v/>
      </c>
    </row>
    <row r="109" spans="4:14" ht="13.95" customHeight="1" x14ac:dyDescent="0.25">
      <c r="D109" s="482"/>
      <c r="E109" s="482"/>
      <c r="F109" s="483"/>
      <c r="G109" s="483"/>
      <c r="H109" s="201" t="str">
        <f t="shared" si="1"/>
        <v/>
      </c>
      <c r="I109" s="388"/>
      <c r="J109" s="388"/>
      <c r="K109" s="388"/>
      <c r="N109" s="164" t="str">
        <f>IFERROR(COUNTIF($B$19:B109,B109)&amp;CHOOSE(MIN(4,COUNTIF($B$19:B109,B109)),"st","nd","rd","th"),"")</f>
        <v/>
      </c>
    </row>
    <row r="110" spans="4:14" ht="13.95" customHeight="1" x14ac:dyDescent="0.25">
      <c r="D110" s="482"/>
      <c r="E110" s="482"/>
      <c r="F110" s="483"/>
      <c r="G110" s="483"/>
      <c r="H110" s="201" t="str">
        <f t="shared" si="1"/>
        <v/>
      </c>
      <c r="I110" s="388"/>
      <c r="J110" s="388"/>
      <c r="K110" s="388"/>
      <c r="N110" s="164" t="str">
        <f>IFERROR(COUNTIF($B$19:B110,B110)&amp;CHOOSE(MIN(4,COUNTIF($B$19:B110,B110)),"st","nd","rd","th"),"")</f>
        <v/>
      </c>
    </row>
    <row r="111" spans="4:14" ht="13.95" customHeight="1" x14ac:dyDescent="0.25">
      <c r="D111" s="482"/>
      <c r="E111" s="482"/>
      <c r="F111" s="483"/>
      <c r="G111" s="483"/>
      <c r="H111" s="201" t="str">
        <f t="shared" si="1"/>
        <v/>
      </c>
      <c r="I111" s="388"/>
      <c r="J111" s="388"/>
      <c r="K111" s="388"/>
      <c r="N111" s="164" t="str">
        <f>IFERROR(COUNTIF($B$19:B111,B111)&amp;CHOOSE(MIN(4,COUNTIF($B$19:B111,B111)),"st","nd","rd","th"),"")</f>
        <v/>
      </c>
    </row>
    <row r="112" spans="4:14" ht="13.95" customHeight="1" x14ac:dyDescent="0.25">
      <c r="D112" s="482"/>
      <c r="E112" s="482"/>
      <c r="F112" s="483"/>
      <c r="G112" s="483"/>
      <c r="H112" s="201" t="str">
        <f t="shared" si="1"/>
        <v/>
      </c>
      <c r="I112" s="388"/>
      <c r="J112" s="388"/>
      <c r="K112" s="388"/>
      <c r="N112" s="164" t="str">
        <f>IFERROR(COUNTIF($B$19:B112,B112)&amp;CHOOSE(MIN(4,COUNTIF($B$19:B112,B112)),"st","nd","rd","th"),"")</f>
        <v/>
      </c>
    </row>
    <row r="113" spans="2:14" ht="13.95" customHeight="1" x14ac:dyDescent="0.25">
      <c r="D113" s="482"/>
      <c r="E113" s="482"/>
      <c r="F113" s="483"/>
      <c r="G113" s="483"/>
      <c r="H113" s="201" t="str">
        <f t="shared" si="1"/>
        <v/>
      </c>
      <c r="I113" s="388"/>
      <c r="J113" s="388"/>
      <c r="K113" s="388"/>
      <c r="N113" s="164" t="str">
        <f>IFERROR(COUNTIF($B$19:B113,B113)&amp;CHOOSE(MIN(4,COUNTIF($B$19:B113,B113)),"st","nd","rd","th"),"")</f>
        <v/>
      </c>
    </row>
    <row r="114" spans="2:14" ht="15" customHeight="1" x14ac:dyDescent="0.25">
      <c r="B114" s="431"/>
      <c r="D114" s="482"/>
      <c r="E114" s="482"/>
      <c r="F114" s="483"/>
      <c r="G114" s="483"/>
      <c r="H114" s="201" t="str">
        <f t="shared" si="1"/>
        <v/>
      </c>
      <c r="I114" s="388"/>
      <c r="J114" s="388"/>
      <c r="K114" s="388"/>
      <c r="N114" s="164" t="str">
        <f>IFERROR(COUNTIF($B$19:B114,B114)&amp;CHOOSE(MIN(4,COUNTIF($B$19:B114,B114)),"st","nd","rd","th"),"")</f>
        <v/>
      </c>
    </row>
    <row r="115" spans="2:14" ht="13.95" customHeight="1" x14ac:dyDescent="0.25">
      <c r="D115" s="482"/>
      <c r="E115" s="482"/>
      <c r="F115" s="483"/>
      <c r="G115" s="483"/>
      <c r="H115" s="201" t="str">
        <f t="shared" si="1"/>
        <v/>
      </c>
      <c r="I115" s="388"/>
      <c r="J115" s="388"/>
      <c r="K115" s="388"/>
      <c r="N115" s="164" t="str">
        <f>IFERROR(COUNTIF($B$19:B115,B115)&amp;CHOOSE(MIN(4,COUNTIF($B$19:B115,B115)),"st","nd","rd","th"),"")</f>
        <v/>
      </c>
    </row>
    <row r="116" spans="2:14" ht="13.95" customHeight="1" x14ac:dyDescent="0.25">
      <c r="D116" s="482"/>
      <c r="E116" s="482"/>
      <c r="F116" s="483"/>
      <c r="G116" s="483"/>
      <c r="H116" s="201" t="str">
        <f t="shared" si="1"/>
        <v/>
      </c>
      <c r="I116" s="388"/>
      <c r="J116" s="388"/>
      <c r="K116" s="388"/>
      <c r="N116" s="164" t="str">
        <f>IFERROR(COUNTIF($B$19:B116,B116)&amp;CHOOSE(MIN(4,COUNTIF($B$19:B116,B116)),"st","nd","rd","th"),"")</f>
        <v/>
      </c>
    </row>
    <row r="117" spans="2:14" x14ac:dyDescent="0.25">
      <c r="D117" s="190"/>
      <c r="E117" s="190"/>
      <c r="H117" s="201" t="str">
        <f t="shared" si="1"/>
        <v/>
      </c>
      <c r="N117" s="164" t="str">
        <f>IFERROR(COUNTIF($B$18:B117,B117)&amp;CHOOSE(MIN(4,COUNTIF($B$18:B117,B117)),"st","nd","rd","th"),"")</f>
        <v/>
      </c>
    </row>
    <row r="118" spans="2:14" x14ac:dyDescent="0.25">
      <c r="H118" s="201" t="str">
        <f t="shared" ref="H118:H146" si="2">IF(OR(ISBLANK(G118), ISBLANK(F118)), "", IF(G118=F118, 1, SUM(_xlfn.DAYS(G118, F118), 1)))</f>
        <v/>
      </c>
      <c r="N118" s="164" t="str">
        <f>IFERROR(COUNTIF($B$18:B118,B118)&amp;CHOOSE(MIN(4,COUNTIF($B$18:B118,B118)),"st","nd","rd","th"),"")</f>
        <v/>
      </c>
    </row>
    <row r="119" spans="2:14" x14ac:dyDescent="0.25">
      <c r="H119" s="201" t="str">
        <f t="shared" si="2"/>
        <v/>
      </c>
      <c r="N119" s="164" t="str">
        <f>IFERROR(COUNTIF($B$18:B119,B119)&amp;CHOOSE(MIN(4,COUNTIF($B$18:B119,B119)),"st","nd","rd","th"),"")</f>
        <v/>
      </c>
    </row>
    <row r="120" spans="2:14" x14ac:dyDescent="0.25">
      <c r="H120" s="201" t="str">
        <f t="shared" si="2"/>
        <v/>
      </c>
      <c r="N120" s="164" t="str">
        <f>IFERROR(COUNTIF($B$18:B120,B120)&amp;CHOOSE(MIN(4,COUNTIF($B$18:B120,B120)),"st","nd","rd","th"),"")</f>
        <v/>
      </c>
    </row>
    <row r="121" spans="2:14" x14ac:dyDescent="0.25">
      <c r="H121" s="201" t="str">
        <f t="shared" si="2"/>
        <v/>
      </c>
      <c r="N121" s="164" t="str">
        <f>IFERROR(COUNTIF($B$18:B121,B121)&amp;CHOOSE(MIN(4,COUNTIF($B$18:B121,B121)),"st","nd","rd","th"),"")</f>
        <v/>
      </c>
    </row>
    <row r="122" spans="2:14" x14ac:dyDescent="0.25">
      <c r="H122" s="201" t="str">
        <f t="shared" si="2"/>
        <v/>
      </c>
      <c r="N122" s="164" t="str">
        <f>IFERROR(COUNTIF($B$18:B122,B122)&amp;CHOOSE(MIN(4,COUNTIF($B$18:B122,B122)),"st","nd","rd","th"),"")</f>
        <v/>
      </c>
    </row>
    <row r="123" spans="2:14" x14ac:dyDescent="0.25">
      <c r="H123" s="201" t="str">
        <f t="shared" si="2"/>
        <v/>
      </c>
      <c r="N123" s="164" t="str">
        <f>IFERROR(COUNTIF($B$18:B123,B123)&amp;CHOOSE(MIN(4,COUNTIF($B$18:B123,B123)),"st","nd","rd","th"),"")</f>
        <v/>
      </c>
    </row>
    <row r="124" spans="2:14" x14ac:dyDescent="0.25">
      <c r="H124" s="201" t="str">
        <f t="shared" si="2"/>
        <v/>
      </c>
      <c r="N124" s="164" t="str">
        <f>IFERROR(COUNTIF($B$18:B124,B124)&amp;CHOOSE(MIN(4,COUNTIF($B$18:B124,B124)),"st","nd","rd","th"),"")</f>
        <v/>
      </c>
    </row>
    <row r="125" spans="2:14" x14ac:dyDescent="0.25">
      <c r="H125" s="201" t="str">
        <f t="shared" si="2"/>
        <v/>
      </c>
      <c r="N125" s="164" t="str">
        <f>IFERROR(COUNTIF($B$18:B125,B125)&amp;CHOOSE(MIN(4,COUNTIF($B$18:B125,B125)),"st","nd","rd","th"),"")</f>
        <v/>
      </c>
    </row>
    <row r="126" spans="2:14" x14ac:dyDescent="0.25">
      <c r="H126" s="201" t="str">
        <f t="shared" si="2"/>
        <v/>
      </c>
      <c r="N126" s="164" t="str">
        <f>IFERROR(COUNTIF($B$18:B126,B126)&amp;CHOOSE(MIN(4,COUNTIF($B$18:B126,B126)),"st","nd","rd","th"),"")</f>
        <v/>
      </c>
    </row>
    <row r="127" spans="2:14" x14ac:dyDescent="0.25">
      <c r="H127" s="201" t="str">
        <f t="shared" si="2"/>
        <v/>
      </c>
      <c r="N127" s="164" t="str">
        <f>IFERROR(COUNTIF($B$18:B127,B127)&amp;CHOOSE(MIN(4,COUNTIF($B$18:B127,B127)),"st","nd","rd","th"),"")</f>
        <v/>
      </c>
    </row>
    <row r="128" spans="2:14" x14ac:dyDescent="0.25">
      <c r="H128" s="201" t="str">
        <f t="shared" si="2"/>
        <v/>
      </c>
      <c r="N128" s="164" t="str">
        <f>IFERROR(COUNTIF($B$18:B128,B128)&amp;CHOOSE(MIN(4,COUNTIF($B$18:B128,B128)),"st","nd","rd","th"),"")</f>
        <v/>
      </c>
    </row>
    <row r="129" spans="8:14" x14ac:dyDescent="0.25">
      <c r="H129" s="201" t="str">
        <f t="shared" si="2"/>
        <v/>
      </c>
      <c r="N129" s="164" t="str">
        <f>IFERROR(COUNTIF($B$18:B129,B129)&amp;CHOOSE(MIN(4,COUNTIF($B$18:B129,B129)),"st","nd","rd","th"),"")</f>
        <v/>
      </c>
    </row>
    <row r="130" spans="8:14" x14ac:dyDescent="0.25">
      <c r="H130" s="201" t="str">
        <f t="shared" si="2"/>
        <v/>
      </c>
      <c r="N130" s="164" t="str">
        <f>IFERROR(COUNTIF($B$18:B130,B130)&amp;CHOOSE(MIN(4,COUNTIF($B$18:B130,B130)),"st","nd","rd","th"),"")</f>
        <v/>
      </c>
    </row>
    <row r="131" spans="8:14" x14ac:dyDescent="0.25">
      <c r="H131" s="201" t="str">
        <f t="shared" si="2"/>
        <v/>
      </c>
      <c r="N131" s="164" t="str">
        <f>IFERROR(COUNTIF($B$18:B131,B131)&amp;CHOOSE(MIN(4,COUNTIF($B$18:B131,B131)),"st","nd","rd","th"),"")</f>
        <v/>
      </c>
    </row>
    <row r="132" spans="8:14" x14ac:dyDescent="0.25">
      <c r="H132" s="201" t="str">
        <f t="shared" si="2"/>
        <v/>
      </c>
      <c r="N132" s="164" t="str">
        <f>IFERROR(COUNTIF($B$18:B132,B132)&amp;CHOOSE(MIN(4,COUNTIF($B$18:B132,B132)),"st","nd","rd","th"),"")</f>
        <v/>
      </c>
    </row>
    <row r="133" spans="8:14" x14ac:dyDescent="0.25">
      <c r="H133" s="201" t="str">
        <f t="shared" si="2"/>
        <v/>
      </c>
      <c r="N133" s="164" t="str">
        <f>IFERROR(COUNTIF($B$18:B133,B133)&amp;CHOOSE(MIN(4,COUNTIF($B$18:B133,B133)),"st","nd","rd","th"),"")</f>
        <v/>
      </c>
    </row>
    <row r="134" spans="8:14" x14ac:dyDescent="0.25">
      <c r="H134" s="201" t="str">
        <f t="shared" si="2"/>
        <v/>
      </c>
      <c r="N134" s="164" t="str">
        <f>IFERROR(COUNTIF($B$18:B134,B134)&amp;CHOOSE(MIN(4,COUNTIF($B$18:B134,B134)),"st","nd","rd","th"),"")</f>
        <v/>
      </c>
    </row>
    <row r="135" spans="8:14" x14ac:dyDescent="0.25">
      <c r="H135" s="201" t="str">
        <f t="shared" si="2"/>
        <v/>
      </c>
      <c r="N135" s="164" t="str">
        <f>IFERROR(COUNTIF($B$18:B135,B135)&amp;CHOOSE(MIN(4,COUNTIF($B$18:B135,B135)),"st","nd","rd","th"),"")</f>
        <v/>
      </c>
    </row>
    <row r="136" spans="8:14" x14ac:dyDescent="0.25">
      <c r="H136" s="201" t="str">
        <f t="shared" si="2"/>
        <v/>
      </c>
      <c r="N136" s="164" t="str">
        <f>IFERROR(COUNTIF($B$18:B136,B136)&amp;CHOOSE(MIN(4,COUNTIF($B$18:B136,B136)),"st","nd","rd","th"),"")</f>
        <v/>
      </c>
    </row>
    <row r="137" spans="8:14" x14ac:dyDescent="0.25">
      <c r="H137" s="201" t="str">
        <f t="shared" si="2"/>
        <v/>
      </c>
      <c r="N137" s="164" t="str">
        <f>IFERROR(COUNTIF($B$18:B137,B137)&amp;CHOOSE(MIN(4,COUNTIF($B$18:B137,B137)),"st","nd","rd","th"),"")</f>
        <v/>
      </c>
    </row>
    <row r="138" spans="8:14" x14ac:dyDescent="0.25">
      <c r="H138" s="201" t="str">
        <f t="shared" si="2"/>
        <v/>
      </c>
      <c r="N138" s="164" t="str">
        <f>IFERROR(COUNTIF($B$18:B138,B138)&amp;CHOOSE(MIN(4,COUNTIF($B$18:B138,B138)),"st","nd","rd","th"),"")</f>
        <v/>
      </c>
    </row>
    <row r="139" spans="8:14" x14ac:dyDescent="0.25">
      <c r="H139" s="201" t="str">
        <f t="shared" si="2"/>
        <v/>
      </c>
      <c r="N139" s="164" t="str">
        <f>IFERROR(COUNTIF($B$18:B139,B139)&amp;CHOOSE(MIN(4,COUNTIF($B$18:B139,B139)),"st","nd","rd","th"),"")</f>
        <v/>
      </c>
    </row>
    <row r="140" spans="8:14" x14ac:dyDescent="0.25">
      <c r="H140" s="201" t="str">
        <f t="shared" si="2"/>
        <v/>
      </c>
      <c r="N140" s="164" t="str">
        <f>IFERROR(COUNTIF($B$18:B140,B140)&amp;CHOOSE(MIN(4,COUNTIF($B$18:B140,B140)),"st","nd","rd","th"),"")</f>
        <v/>
      </c>
    </row>
    <row r="141" spans="8:14" x14ac:dyDescent="0.25">
      <c r="H141" s="201" t="str">
        <f t="shared" si="2"/>
        <v/>
      </c>
      <c r="N141" s="164" t="str">
        <f>IFERROR(COUNTIF($B$18:B141,B141)&amp;CHOOSE(MIN(4,COUNTIF($B$18:B141,B141)),"st","nd","rd","th"),"")</f>
        <v/>
      </c>
    </row>
    <row r="142" spans="8:14" x14ac:dyDescent="0.25">
      <c r="H142" s="201" t="str">
        <f t="shared" si="2"/>
        <v/>
      </c>
      <c r="N142" s="164" t="str">
        <f>IFERROR(COUNTIF($B$18:B142,B142)&amp;CHOOSE(MIN(4,COUNTIF($B$18:B142,B142)),"st","nd","rd","th"),"")</f>
        <v/>
      </c>
    </row>
    <row r="143" spans="8:14" x14ac:dyDescent="0.25">
      <c r="H143" s="201" t="str">
        <f t="shared" si="2"/>
        <v/>
      </c>
      <c r="N143" s="164" t="str">
        <f>IFERROR(COUNTIF($B$18:B143,B143)&amp;CHOOSE(MIN(4,COUNTIF($B$18:B143,B143)),"st","nd","rd","th"),"")</f>
        <v/>
      </c>
    </row>
    <row r="144" spans="8:14" x14ac:dyDescent="0.25">
      <c r="H144" s="201" t="str">
        <f t="shared" si="2"/>
        <v/>
      </c>
      <c r="N144" s="164" t="str">
        <f>IFERROR(COUNTIF($B$18:B144,B144)&amp;CHOOSE(MIN(4,COUNTIF($B$18:B144,B144)),"st","nd","rd","th"),"")</f>
        <v/>
      </c>
    </row>
    <row r="145" spans="8:14" x14ac:dyDescent="0.25">
      <c r="H145" s="201" t="str">
        <f t="shared" si="2"/>
        <v/>
      </c>
      <c r="N145" s="164" t="str">
        <f>IFERROR(COUNTIF($B$18:B145,B145)&amp;CHOOSE(MIN(4,COUNTIF($B$18:B145,B145)),"st","nd","rd","th"),"")</f>
        <v/>
      </c>
    </row>
    <row r="146" spans="8:14" x14ac:dyDescent="0.25">
      <c r="H146" s="201" t="str">
        <f t="shared" si="2"/>
        <v/>
      </c>
      <c r="N146" s="164" t="str">
        <f>IFERROR(COUNTIF($B$18:B146,B146)&amp;CHOOSE(MIN(4,COUNTIF($B$18:B146,B146)),"st","nd","rd","th"),"")</f>
        <v/>
      </c>
    </row>
    <row r="147" spans="8:14" x14ac:dyDescent="0.25">
      <c r="H147" s="201" t="str">
        <f t="shared" ref="H147:H210" si="3">IF(OR(ISBLANK(G147), ISBLANK(F147)), "", IF(G147=F147, 1, SUM(_xlfn.DAYS(G147, F147), 1)))</f>
        <v/>
      </c>
      <c r="N147" s="164" t="str">
        <f>IFERROR(COUNTIF($B$18:B147,B147)&amp;CHOOSE(MIN(4,COUNTIF($B$18:B147,B147)),"st","nd","rd","th"),"")</f>
        <v/>
      </c>
    </row>
    <row r="148" spans="8:14" x14ac:dyDescent="0.25">
      <c r="H148" s="201" t="str">
        <f t="shared" si="3"/>
        <v/>
      </c>
      <c r="N148" s="164" t="str">
        <f>IFERROR(COUNTIF($B$18:B148,B148)&amp;CHOOSE(MIN(4,COUNTIF($B$18:B148,B148)),"st","nd","rd","th"),"")</f>
        <v/>
      </c>
    </row>
    <row r="149" spans="8:14" x14ac:dyDescent="0.25">
      <c r="H149" s="201" t="str">
        <f t="shared" si="3"/>
        <v/>
      </c>
      <c r="N149" s="164" t="str">
        <f>IFERROR(COUNTIF($B$18:B149,B149)&amp;CHOOSE(MIN(4,COUNTIF($B$18:B149,B149)),"st","nd","rd","th"),"")</f>
        <v/>
      </c>
    </row>
    <row r="150" spans="8:14" x14ac:dyDescent="0.25">
      <c r="H150" s="201" t="str">
        <f t="shared" si="3"/>
        <v/>
      </c>
      <c r="N150" s="164" t="str">
        <f>IFERROR(COUNTIF($B$18:B150,B150)&amp;CHOOSE(MIN(4,COUNTIF($B$18:B150,B150)),"st","nd","rd","th"),"")</f>
        <v/>
      </c>
    </row>
    <row r="151" spans="8:14" x14ac:dyDescent="0.25">
      <c r="H151" s="201" t="str">
        <f t="shared" si="3"/>
        <v/>
      </c>
      <c r="N151" s="164" t="str">
        <f>IFERROR(COUNTIF($B$18:B151,B151)&amp;CHOOSE(MIN(4,COUNTIF($B$18:B151,B151)),"st","nd","rd","th"),"")</f>
        <v/>
      </c>
    </row>
    <row r="152" spans="8:14" x14ac:dyDescent="0.25">
      <c r="H152" s="201" t="str">
        <f t="shared" si="3"/>
        <v/>
      </c>
      <c r="N152" s="164" t="str">
        <f>IFERROR(COUNTIF($B$18:B152,B152)&amp;CHOOSE(MIN(4,COUNTIF($B$18:B152,B152)),"st","nd","rd","th"),"")</f>
        <v/>
      </c>
    </row>
    <row r="153" spans="8:14" x14ac:dyDescent="0.25">
      <c r="H153" s="201" t="str">
        <f t="shared" si="3"/>
        <v/>
      </c>
      <c r="N153" s="164" t="str">
        <f>IFERROR(COUNTIF($B$18:B153,B153)&amp;CHOOSE(MIN(4,COUNTIF($B$18:B153,B153)),"st","nd","rd","th"),"")</f>
        <v/>
      </c>
    </row>
    <row r="154" spans="8:14" x14ac:dyDescent="0.25">
      <c r="H154" s="201" t="str">
        <f t="shared" si="3"/>
        <v/>
      </c>
      <c r="N154" s="164" t="str">
        <f>IFERROR(COUNTIF($B$18:B154,B154)&amp;CHOOSE(MIN(4,COUNTIF($B$18:B154,B154)),"st","nd","rd","th"),"")</f>
        <v/>
      </c>
    </row>
    <row r="155" spans="8:14" x14ac:dyDescent="0.25">
      <c r="H155" s="201" t="str">
        <f t="shared" si="3"/>
        <v/>
      </c>
      <c r="N155" s="164" t="str">
        <f>IFERROR(COUNTIF($B$18:B155,B155)&amp;CHOOSE(MIN(4,COUNTIF($B$18:B155,B155)),"st","nd","rd","th"),"")</f>
        <v/>
      </c>
    </row>
    <row r="156" spans="8:14" x14ac:dyDescent="0.25">
      <c r="H156" s="201" t="str">
        <f t="shared" si="3"/>
        <v/>
      </c>
      <c r="N156" s="164" t="str">
        <f>IFERROR(COUNTIF($B$18:B156,B156)&amp;CHOOSE(MIN(4,COUNTIF($B$18:B156,B156)),"st","nd","rd","th"),"")</f>
        <v/>
      </c>
    </row>
    <row r="157" spans="8:14" x14ac:dyDescent="0.25">
      <c r="H157" s="201" t="str">
        <f t="shared" si="3"/>
        <v/>
      </c>
      <c r="N157" s="164" t="str">
        <f>IFERROR(COUNTIF($B$18:B157,B157)&amp;CHOOSE(MIN(4,COUNTIF($B$18:B157,B157)),"st","nd","rd","th"),"")</f>
        <v/>
      </c>
    </row>
    <row r="158" spans="8:14" x14ac:dyDescent="0.25">
      <c r="H158" s="201" t="str">
        <f t="shared" si="3"/>
        <v/>
      </c>
      <c r="N158" s="164" t="str">
        <f>IFERROR(COUNTIF($B$18:B158,B158)&amp;CHOOSE(MIN(4,COUNTIF($B$18:B158,B158)),"st","nd","rd","th"),"")</f>
        <v/>
      </c>
    </row>
    <row r="159" spans="8:14" x14ac:dyDescent="0.25">
      <c r="H159" s="201" t="str">
        <f t="shared" si="3"/>
        <v/>
      </c>
      <c r="N159" s="164" t="str">
        <f>IFERROR(COUNTIF($B$18:B159,B159)&amp;CHOOSE(MIN(4,COUNTIF($B$18:B159,B159)),"st","nd","rd","th"),"")</f>
        <v/>
      </c>
    </row>
    <row r="160" spans="8:14" x14ac:dyDescent="0.25">
      <c r="H160" s="201" t="str">
        <f t="shared" si="3"/>
        <v/>
      </c>
      <c r="N160" s="164" t="str">
        <f>IFERROR(COUNTIF($B$18:B160,B160)&amp;CHOOSE(MIN(4,COUNTIF($B$18:B160,B160)),"st","nd","rd","th"),"")</f>
        <v/>
      </c>
    </row>
    <row r="161" spans="8:14" x14ac:dyDescent="0.25">
      <c r="H161" s="201" t="str">
        <f t="shared" si="3"/>
        <v/>
      </c>
      <c r="N161" s="164" t="str">
        <f>IFERROR(COUNTIF($B$18:B161,B161)&amp;CHOOSE(MIN(4,COUNTIF($B$18:B161,B161)),"st","nd","rd","th"),"")</f>
        <v/>
      </c>
    </row>
    <row r="162" spans="8:14" x14ac:dyDescent="0.25">
      <c r="H162" s="201" t="str">
        <f t="shared" si="3"/>
        <v/>
      </c>
      <c r="N162" s="164" t="str">
        <f>IFERROR(COUNTIF($B$18:B162,B162)&amp;CHOOSE(MIN(4,COUNTIF($B$18:B162,B162)),"st","nd","rd","th"),"")</f>
        <v/>
      </c>
    </row>
    <row r="163" spans="8:14" x14ac:dyDescent="0.25">
      <c r="H163" s="201" t="str">
        <f t="shared" si="3"/>
        <v/>
      </c>
      <c r="N163" s="164" t="str">
        <f>IFERROR(COUNTIF($B$18:B163,B163)&amp;CHOOSE(MIN(4,COUNTIF($B$18:B163,B163)),"st","nd","rd","th"),"")</f>
        <v/>
      </c>
    </row>
    <row r="164" spans="8:14" x14ac:dyDescent="0.25">
      <c r="H164" s="201" t="str">
        <f t="shared" si="3"/>
        <v/>
      </c>
      <c r="N164" s="164" t="str">
        <f>IFERROR(COUNTIF($B$18:B164,B164)&amp;CHOOSE(MIN(4,COUNTIF($B$18:B164,B164)),"st","nd","rd","th"),"")</f>
        <v/>
      </c>
    </row>
    <row r="165" spans="8:14" x14ac:dyDescent="0.25">
      <c r="H165" s="201" t="str">
        <f t="shared" si="3"/>
        <v/>
      </c>
      <c r="N165" s="164" t="str">
        <f>IFERROR(COUNTIF($B$18:B165,B165)&amp;CHOOSE(MIN(4,COUNTIF($B$18:B165,B165)),"st","nd","rd","th"),"")</f>
        <v/>
      </c>
    </row>
    <row r="166" spans="8:14" x14ac:dyDescent="0.25">
      <c r="H166" s="201" t="str">
        <f t="shared" si="3"/>
        <v/>
      </c>
      <c r="N166" s="164" t="str">
        <f>IFERROR(COUNTIF($B$18:B166,B166)&amp;CHOOSE(MIN(4,COUNTIF($B$18:B166,B166)),"st","nd","rd","th"),"")</f>
        <v/>
      </c>
    </row>
    <row r="167" spans="8:14" x14ac:dyDescent="0.25">
      <c r="H167" s="201" t="str">
        <f t="shared" si="3"/>
        <v/>
      </c>
      <c r="N167" s="164" t="str">
        <f>IFERROR(COUNTIF($B$18:B167,B167)&amp;CHOOSE(MIN(4,COUNTIF($B$18:B167,B167)),"st","nd","rd","th"),"")</f>
        <v/>
      </c>
    </row>
    <row r="168" spans="8:14" x14ac:dyDescent="0.25">
      <c r="H168" s="201" t="str">
        <f t="shared" si="3"/>
        <v/>
      </c>
      <c r="N168" s="164" t="str">
        <f>IFERROR(COUNTIF($B$18:B168,B168)&amp;CHOOSE(MIN(4,COUNTIF($B$18:B168,B168)),"st","nd","rd","th"),"")</f>
        <v/>
      </c>
    </row>
    <row r="169" spans="8:14" x14ac:dyDescent="0.25">
      <c r="H169" s="201" t="str">
        <f t="shared" si="3"/>
        <v/>
      </c>
      <c r="N169" s="164" t="str">
        <f>IFERROR(COUNTIF($B$18:B169,B169)&amp;CHOOSE(MIN(4,COUNTIF($B$18:B169,B169)),"st","nd","rd","th"),"")</f>
        <v/>
      </c>
    </row>
    <row r="170" spans="8:14" x14ac:dyDescent="0.25">
      <c r="H170" s="201" t="str">
        <f t="shared" si="3"/>
        <v/>
      </c>
      <c r="N170" s="164" t="str">
        <f>IFERROR(COUNTIF($B$18:B170,B170)&amp;CHOOSE(MIN(4,COUNTIF($B$18:B170,B170)),"st","nd","rd","th"),"")</f>
        <v/>
      </c>
    </row>
    <row r="171" spans="8:14" x14ac:dyDescent="0.25">
      <c r="H171" s="201" t="str">
        <f t="shared" si="3"/>
        <v/>
      </c>
      <c r="N171" s="164" t="str">
        <f>IFERROR(COUNTIF($B$18:B171,B171)&amp;CHOOSE(MIN(4,COUNTIF($B$18:B171,B171)),"st","nd","rd","th"),"")</f>
        <v/>
      </c>
    </row>
    <row r="172" spans="8:14" x14ac:dyDescent="0.25">
      <c r="H172" s="201" t="str">
        <f t="shared" si="3"/>
        <v/>
      </c>
      <c r="N172" s="164" t="str">
        <f>IFERROR(COUNTIF($B$18:B172,B172)&amp;CHOOSE(MIN(4,COUNTIF($B$18:B172,B172)),"st","nd","rd","th"),"")</f>
        <v/>
      </c>
    </row>
    <row r="173" spans="8:14" x14ac:dyDescent="0.25">
      <c r="H173" s="201" t="str">
        <f t="shared" si="3"/>
        <v/>
      </c>
      <c r="N173" s="164" t="str">
        <f>IFERROR(COUNTIF($B$18:B173,B173)&amp;CHOOSE(MIN(4,COUNTIF($B$18:B173,B173)),"st","nd","rd","th"),"")</f>
        <v/>
      </c>
    </row>
    <row r="174" spans="8:14" x14ac:dyDescent="0.25">
      <c r="H174" s="201" t="str">
        <f t="shared" si="3"/>
        <v/>
      </c>
      <c r="N174" s="164" t="str">
        <f>IFERROR(COUNTIF($B$18:B174,B174)&amp;CHOOSE(MIN(4,COUNTIF($B$18:B174,B174)),"st","nd","rd","th"),"")</f>
        <v/>
      </c>
    </row>
    <row r="175" spans="8:14" x14ac:dyDescent="0.25">
      <c r="H175" s="201" t="str">
        <f t="shared" si="3"/>
        <v/>
      </c>
      <c r="N175" s="164" t="str">
        <f>IFERROR(COUNTIF($B$18:B175,B175)&amp;CHOOSE(MIN(4,COUNTIF($B$18:B175,B175)),"st","nd","rd","th"),"")</f>
        <v/>
      </c>
    </row>
    <row r="176" spans="8:14" x14ac:dyDescent="0.25">
      <c r="H176" s="201" t="str">
        <f t="shared" si="3"/>
        <v/>
      </c>
      <c r="N176" s="164" t="str">
        <f>IFERROR(COUNTIF($B$18:B176,B176)&amp;CHOOSE(MIN(4,COUNTIF($B$18:B176,B176)),"st","nd","rd","th"),"")</f>
        <v/>
      </c>
    </row>
    <row r="177" spans="8:14" x14ac:dyDescent="0.25">
      <c r="H177" s="201" t="str">
        <f t="shared" si="3"/>
        <v/>
      </c>
      <c r="N177" s="164" t="str">
        <f>IFERROR(COUNTIF($B$18:B177,B177)&amp;CHOOSE(MIN(4,COUNTIF($B$18:B177,B177)),"st","nd","rd","th"),"")</f>
        <v/>
      </c>
    </row>
    <row r="178" spans="8:14" x14ac:dyDescent="0.25">
      <c r="H178" s="201" t="str">
        <f t="shared" si="3"/>
        <v/>
      </c>
      <c r="N178" s="164" t="str">
        <f>IFERROR(COUNTIF($B$18:B178,B178)&amp;CHOOSE(MIN(4,COUNTIF($B$18:B178,B178)),"st","nd","rd","th"),"")</f>
        <v/>
      </c>
    </row>
    <row r="179" spans="8:14" x14ac:dyDescent="0.25">
      <c r="H179" s="201" t="str">
        <f t="shared" si="3"/>
        <v/>
      </c>
      <c r="N179" s="164" t="str">
        <f>IFERROR(COUNTIF($B$18:B179,B179)&amp;CHOOSE(MIN(4,COUNTIF($B$18:B179,B179)),"st","nd","rd","th"),"")</f>
        <v/>
      </c>
    </row>
    <row r="180" spans="8:14" x14ac:dyDescent="0.25">
      <c r="H180" s="201" t="str">
        <f t="shared" si="3"/>
        <v/>
      </c>
      <c r="N180" s="164" t="str">
        <f>IFERROR(COUNTIF($B$18:B180,B180)&amp;CHOOSE(MIN(4,COUNTIF($B$18:B180,B180)),"st","nd","rd","th"),"")</f>
        <v/>
      </c>
    </row>
    <row r="181" spans="8:14" x14ac:dyDescent="0.25">
      <c r="H181" s="201" t="str">
        <f t="shared" si="3"/>
        <v/>
      </c>
      <c r="N181" s="164" t="str">
        <f>IFERROR(COUNTIF($B$18:B181,B181)&amp;CHOOSE(MIN(4,COUNTIF($B$18:B181,B181)),"st","nd","rd","th"),"")</f>
        <v/>
      </c>
    </row>
    <row r="182" spans="8:14" x14ac:dyDescent="0.25">
      <c r="H182" s="201" t="str">
        <f t="shared" si="3"/>
        <v/>
      </c>
      <c r="N182" s="164" t="str">
        <f>IFERROR(COUNTIF($B$18:B182,B182)&amp;CHOOSE(MIN(4,COUNTIF($B$18:B182,B182)),"st","nd","rd","th"),"")</f>
        <v/>
      </c>
    </row>
    <row r="183" spans="8:14" x14ac:dyDescent="0.25">
      <c r="H183" s="201" t="str">
        <f t="shared" si="3"/>
        <v/>
      </c>
      <c r="N183" s="164" t="str">
        <f>IFERROR(COUNTIF($B$18:B183,B183)&amp;CHOOSE(MIN(4,COUNTIF($B$18:B183,B183)),"st","nd","rd","th"),"")</f>
        <v/>
      </c>
    </row>
    <row r="184" spans="8:14" x14ac:dyDescent="0.25">
      <c r="H184" s="201" t="str">
        <f t="shared" si="3"/>
        <v/>
      </c>
      <c r="N184" s="164" t="str">
        <f>IFERROR(COUNTIF($B$18:B184,B184)&amp;CHOOSE(MIN(4,COUNTIF($B$18:B184,B184)),"st","nd","rd","th"),"")</f>
        <v/>
      </c>
    </row>
    <row r="185" spans="8:14" x14ac:dyDescent="0.25">
      <c r="H185" s="201" t="str">
        <f t="shared" si="3"/>
        <v/>
      </c>
      <c r="N185" s="164" t="str">
        <f>IFERROR(COUNTIF($B$18:B185,B185)&amp;CHOOSE(MIN(4,COUNTIF($B$18:B185,B185)),"st","nd","rd","th"),"")</f>
        <v/>
      </c>
    </row>
    <row r="186" spans="8:14" x14ac:dyDescent="0.25">
      <c r="H186" s="201" t="str">
        <f t="shared" si="3"/>
        <v/>
      </c>
      <c r="N186" s="164" t="str">
        <f>IFERROR(COUNTIF($B$18:B186,B186)&amp;CHOOSE(MIN(4,COUNTIF($B$18:B186,B186)),"st","nd","rd","th"),"")</f>
        <v/>
      </c>
    </row>
    <row r="187" spans="8:14" x14ac:dyDescent="0.25">
      <c r="H187" s="201" t="str">
        <f t="shared" si="3"/>
        <v/>
      </c>
      <c r="N187" s="164" t="str">
        <f>IFERROR(COUNTIF($B$18:B187,B187)&amp;CHOOSE(MIN(4,COUNTIF($B$18:B187,B187)),"st","nd","rd","th"),"")</f>
        <v/>
      </c>
    </row>
    <row r="188" spans="8:14" x14ac:dyDescent="0.25">
      <c r="H188" s="201" t="str">
        <f t="shared" si="3"/>
        <v/>
      </c>
      <c r="N188" s="164" t="str">
        <f>IFERROR(COUNTIF($B$18:B188,B188)&amp;CHOOSE(MIN(4,COUNTIF($B$18:B188,B188)),"st","nd","rd","th"),"")</f>
        <v/>
      </c>
    </row>
    <row r="189" spans="8:14" x14ac:dyDescent="0.25">
      <c r="H189" s="201" t="str">
        <f t="shared" si="3"/>
        <v/>
      </c>
      <c r="N189" s="164" t="str">
        <f>IFERROR(COUNTIF($B$18:B189,B189)&amp;CHOOSE(MIN(4,COUNTIF($B$18:B189,B189)),"st","nd","rd","th"),"")</f>
        <v/>
      </c>
    </row>
    <row r="190" spans="8:14" x14ac:dyDescent="0.25">
      <c r="H190" s="201" t="str">
        <f t="shared" si="3"/>
        <v/>
      </c>
      <c r="N190" s="164" t="str">
        <f>IFERROR(COUNTIF($B$18:B190,B190)&amp;CHOOSE(MIN(4,COUNTIF($B$18:B190,B190)),"st","nd","rd","th"),"")</f>
        <v/>
      </c>
    </row>
    <row r="191" spans="8:14" x14ac:dyDescent="0.25">
      <c r="H191" s="201" t="str">
        <f t="shared" si="3"/>
        <v/>
      </c>
      <c r="N191" s="164" t="str">
        <f>IFERROR(COUNTIF($B$18:B191,B191)&amp;CHOOSE(MIN(4,COUNTIF($B$18:B191,B191)),"st","nd","rd","th"),"")</f>
        <v/>
      </c>
    </row>
    <row r="192" spans="8:14" x14ac:dyDescent="0.25">
      <c r="H192" s="201" t="str">
        <f t="shared" si="3"/>
        <v/>
      </c>
      <c r="N192" s="164" t="str">
        <f>IFERROR(COUNTIF($B$18:B192,B192)&amp;CHOOSE(MIN(4,COUNTIF($B$18:B192,B192)),"st","nd","rd","th"),"")</f>
        <v/>
      </c>
    </row>
    <row r="193" spans="8:14" x14ac:dyDescent="0.25">
      <c r="H193" s="201" t="str">
        <f t="shared" si="3"/>
        <v/>
      </c>
      <c r="N193" s="164" t="str">
        <f>IFERROR(COUNTIF($B$18:B193,B193)&amp;CHOOSE(MIN(4,COUNTIF($B$18:B193,B193)),"st","nd","rd","th"),"")</f>
        <v/>
      </c>
    </row>
    <row r="194" spans="8:14" x14ac:dyDescent="0.25">
      <c r="H194" s="201" t="str">
        <f t="shared" si="3"/>
        <v/>
      </c>
      <c r="N194" s="164" t="str">
        <f>IFERROR(COUNTIF($B$18:B194,B194)&amp;CHOOSE(MIN(4,COUNTIF($B$18:B194,B194)),"st","nd","rd","th"),"")</f>
        <v/>
      </c>
    </row>
    <row r="195" spans="8:14" x14ac:dyDescent="0.25">
      <c r="H195" s="201" t="str">
        <f t="shared" si="3"/>
        <v/>
      </c>
      <c r="N195" s="164" t="str">
        <f>IFERROR(COUNTIF($B$18:B195,B195)&amp;CHOOSE(MIN(4,COUNTIF($B$18:B195,B195)),"st","nd","rd","th"),"")</f>
        <v/>
      </c>
    </row>
    <row r="196" spans="8:14" x14ac:dyDescent="0.25">
      <c r="H196" s="201" t="str">
        <f t="shared" si="3"/>
        <v/>
      </c>
      <c r="N196" s="164" t="str">
        <f>IFERROR(COUNTIF($B$18:B196,B196)&amp;CHOOSE(MIN(4,COUNTIF($B$18:B196,B196)),"st","nd","rd","th"),"")</f>
        <v/>
      </c>
    </row>
    <row r="197" spans="8:14" x14ac:dyDescent="0.25">
      <c r="H197" s="201" t="str">
        <f t="shared" si="3"/>
        <v/>
      </c>
      <c r="N197" s="164" t="str">
        <f>IFERROR(COUNTIF($B$18:B197,B197)&amp;CHOOSE(MIN(4,COUNTIF($B$18:B197,B197)),"st","nd","rd","th"),"")</f>
        <v/>
      </c>
    </row>
    <row r="198" spans="8:14" x14ac:dyDescent="0.25">
      <c r="H198" s="201" t="str">
        <f t="shared" si="3"/>
        <v/>
      </c>
      <c r="N198" s="164" t="str">
        <f>IFERROR(COUNTIF($B$18:B198,B198)&amp;CHOOSE(MIN(4,COUNTIF($B$18:B198,B198)),"st","nd","rd","th"),"")</f>
        <v/>
      </c>
    </row>
    <row r="199" spans="8:14" x14ac:dyDescent="0.25">
      <c r="H199" s="201" t="str">
        <f t="shared" si="3"/>
        <v/>
      </c>
      <c r="N199" s="164" t="str">
        <f>IFERROR(COUNTIF($B$18:B199,B199)&amp;CHOOSE(MIN(4,COUNTIF($B$18:B199,B199)),"st","nd","rd","th"),"")</f>
        <v/>
      </c>
    </row>
    <row r="200" spans="8:14" x14ac:dyDescent="0.25">
      <c r="H200" s="201" t="str">
        <f t="shared" si="3"/>
        <v/>
      </c>
      <c r="N200" s="164" t="str">
        <f>IFERROR(COUNTIF($B$18:B200,B200)&amp;CHOOSE(MIN(4,COUNTIF($B$18:B200,B200)),"st","nd","rd","th"),"")</f>
        <v/>
      </c>
    </row>
    <row r="201" spans="8:14" x14ac:dyDescent="0.25">
      <c r="H201" s="201" t="str">
        <f t="shared" si="3"/>
        <v/>
      </c>
      <c r="N201" s="164" t="str">
        <f>IFERROR(COUNTIF($B$18:B201,B201)&amp;CHOOSE(MIN(4,COUNTIF($B$18:B201,B201)),"st","nd","rd","th"),"")</f>
        <v/>
      </c>
    </row>
    <row r="202" spans="8:14" x14ac:dyDescent="0.25">
      <c r="H202" s="201" t="str">
        <f t="shared" si="3"/>
        <v/>
      </c>
      <c r="N202" s="164" t="str">
        <f>IFERROR(COUNTIF($B$18:B202,B202)&amp;CHOOSE(MIN(4,COUNTIF($B$18:B202,B202)),"st","nd","rd","th"),"")</f>
        <v/>
      </c>
    </row>
    <row r="203" spans="8:14" x14ac:dyDescent="0.25">
      <c r="H203" s="201" t="str">
        <f t="shared" si="3"/>
        <v/>
      </c>
      <c r="N203" s="164" t="str">
        <f>IFERROR(COUNTIF($B$18:B203,B203)&amp;CHOOSE(MIN(4,COUNTIF($B$18:B203,B203)),"st","nd","rd","th"),"")</f>
        <v/>
      </c>
    </row>
    <row r="204" spans="8:14" x14ac:dyDescent="0.25">
      <c r="H204" s="201" t="str">
        <f t="shared" si="3"/>
        <v/>
      </c>
      <c r="N204" s="164" t="str">
        <f>IFERROR(COUNTIF($B$18:B204,B204)&amp;CHOOSE(MIN(4,COUNTIF($B$18:B204,B204)),"st","nd","rd","th"),"")</f>
        <v/>
      </c>
    </row>
    <row r="205" spans="8:14" x14ac:dyDescent="0.25">
      <c r="H205" s="201" t="str">
        <f t="shared" si="3"/>
        <v/>
      </c>
      <c r="N205" s="164" t="str">
        <f>IFERROR(COUNTIF($B$18:B205,B205)&amp;CHOOSE(MIN(4,COUNTIF($B$18:B205,B205)),"st","nd","rd","th"),"")</f>
        <v/>
      </c>
    </row>
    <row r="206" spans="8:14" x14ac:dyDescent="0.25">
      <c r="H206" s="201" t="str">
        <f t="shared" si="3"/>
        <v/>
      </c>
      <c r="N206" s="164" t="str">
        <f>IFERROR(COUNTIF($B$18:B206,B206)&amp;CHOOSE(MIN(4,COUNTIF($B$18:B206,B206)),"st","nd","rd","th"),"")</f>
        <v/>
      </c>
    </row>
    <row r="207" spans="8:14" x14ac:dyDescent="0.25">
      <c r="H207" s="201" t="str">
        <f t="shared" si="3"/>
        <v/>
      </c>
      <c r="N207" s="164" t="str">
        <f>IFERROR(COUNTIF($B$18:B207,B207)&amp;CHOOSE(MIN(4,COUNTIF($B$18:B207,B207)),"st","nd","rd","th"),"")</f>
        <v/>
      </c>
    </row>
    <row r="208" spans="8:14" x14ac:dyDescent="0.25">
      <c r="H208" s="201" t="str">
        <f t="shared" si="3"/>
        <v/>
      </c>
      <c r="N208" s="164" t="str">
        <f>IFERROR(COUNTIF($B$18:B208,B208)&amp;CHOOSE(MIN(4,COUNTIF($B$18:B208,B208)),"st","nd","rd","th"),"")</f>
        <v/>
      </c>
    </row>
    <row r="209" spans="8:14" x14ac:dyDescent="0.25">
      <c r="H209" s="201" t="str">
        <f t="shared" si="3"/>
        <v/>
      </c>
      <c r="N209" s="164" t="str">
        <f>IFERROR(COUNTIF($B$18:B209,B209)&amp;CHOOSE(MIN(4,COUNTIF($B$18:B209,B209)),"st","nd","rd","th"),"")</f>
        <v/>
      </c>
    </row>
    <row r="210" spans="8:14" x14ac:dyDescent="0.25">
      <c r="H210" s="201" t="str">
        <f t="shared" si="3"/>
        <v/>
      </c>
      <c r="N210" s="164" t="str">
        <f>IFERROR(COUNTIF($B$18:B210,B210)&amp;CHOOSE(MIN(4,COUNTIF($B$18:B210,B210)),"st","nd","rd","th"),"")</f>
        <v/>
      </c>
    </row>
    <row r="211" spans="8:14" x14ac:dyDescent="0.25">
      <c r="H211" s="201" t="str">
        <f t="shared" ref="H211:H274" si="4">IF(OR(ISBLANK(G211), ISBLANK(F211)), "", IF(G211=F211, 1, SUM(_xlfn.DAYS(G211, F211), 1)))</f>
        <v/>
      </c>
      <c r="N211" s="164" t="str">
        <f>IFERROR(COUNTIF($B$18:B211,B211)&amp;CHOOSE(MIN(4,COUNTIF($B$18:B211,B211)),"st","nd","rd","th"),"")</f>
        <v/>
      </c>
    </row>
    <row r="212" spans="8:14" x14ac:dyDescent="0.25">
      <c r="H212" s="201" t="str">
        <f t="shared" si="4"/>
        <v/>
      </c>
      <c r="N212" s="164" t="str">
        <f>IFERROR(COUNTIF($B$18:B212,B212)&amp;CHOOSE(MIN(4,COUNTIF($B$18:B212,B212)),"st","nd","rd","th"),"")</f>
        <v/>
      </c>
    </row>
    <row r="213" spans="8:14" x14ac:dyDescent="0.25">
      <c r="H213" s="201" t="str">
        <f t="shared" si="4"/>
        <v/>
      </c>
      <c r="N213" s="164" t="str">
        <f>IFERROR(COUNTIF($B$18:B213,B213)&amp;CHOOSE(MIN(4,COUNTIF($B$18:B213,B213)),"st","nd","rd","th"),"")</f>
        <v/>
      </c>
    </row>
    <row r="214" spans="8:14" x14ac:dyDescent="0.25">
      <c r="H214" s="201" t="str">
        <f t="shared" si="4"/>
        <v/>
      </c>
      <c r="N214" s="164" t="str">
        <f>IFERROR(COUNTIF($B$18:B214,B214)&amp;CHOOSE(MIN(4,COUNTIF($B$18:B214,B214)),"st","nd","rd","th"),"")</f>
        <v/>
      </c>
    </row>
    <row r="215" spans="8:14" x14ac:dyDescent="0.25">
      <c r="H215" s="201" t="str">
        <f t="shared" si="4"/>
        <v/>
      </c>
      <c r="N215" s="164" t="str">
        <f>IFERROR(COUNTIF($B$18:B215,B215)&amp;CHOOSE(MIN(4,COUNTIF($B$18:B215,B215)),"st","nd","rd","th"),"")</f>
        <v/>
      </c>
    </row>
    <row r="216" spans="8:14" x14ac:dyDescent="0.25">
      <c r="H216" s="201" t="str">
        <f t="shared" si="4"/>
        <v/>
      </c>
      <c r="N216" s="164" t="str">
        <f>IFERROR(COUNTIF($B$18:B216,B216)&amp;CHOOSE(MIN(4,COUNTIF($B$18:B216,B216)),"st","nd","rd","th"),"")</f>
        <v/>
      </c>
    </row>
    <row r="217" spans="8:14" x14ac:dyDescent="0.25">
      <c r="H217" s="201" t="str">
        <f t="shared" si="4"/>
        <v/>
      </c>
      <c r="N217" s="164" t="str">
        <f>IFERROR(COUNTIF($B$18:B217,B217)&amp;CHOOSE(MIN(4,COUNTIF($B$18:B217,B217)),"st","nd","rd","th"),"")</f>
        <v/>
      </c>
    </row>
    <row r="218" spans="8:14" x14ac:dyDescent="0.25">
      <c r="H218" s="201" t="str">
        <f t="shared" si="4"/>
        <v/>
      </c>
      <c r="N218" s="164" t="str">
        <f>IFERROR(COUNTIF($B$18:B218,B218)&amp;CHOOSE(MIN(4,COUNTIF($B$18:B218,B218)),"st","nd","rd","th"),"")</f>
        <v/>
      </c>
    </row>
    <row r="219" spans="8:14" x14ac:dyDescent="0.25">
      <c r="H219" s="201" t="str">
        <f t="shared" si="4"/>
        <v/>
      </c>
      <c r="N219" s="164" t="str">
        <f>IFERROR(COUNTIF($B$18:B219,B219)&amp;CHOOSE(MIN(4,COUNTIF($B$18:B219,B219)),"st","nd","rd","th"),"")</f>
        <v/>
      </c>
    </row>
    <row r="220" spans="8:14" x14ac:dyDescent="0.25">
      <c r="H220" s="201" t="str">
        <f t="shared" si="4"/>
        <v/>
      </c>
      <c r="N220" s="164" t="str">
        <f>IFERROR(COUNTIF($B$18:B220,B220)&amp;CHOOSE(MIN(4,COUNTIF($B$18:B220,B220)),"st","nd","rd","th"),"")</f>
        <v/>
      </c>
    </row>
    <row r="221" spans="8:14" x14ac:dyDescent="0.25">
      <c r="H221" s="201" t="str">
        <f t="shared" si="4"/>
        <v/>
      </c>
      <c r="N221" s="164" t="str">
        <f>IFERROR(COUNTIF($B$18:B221,B221)&amp;CHOOSE(MIN(4,COUNTIF($B$18:B221,B221)),"st","nd","rd","th"),"")</f>
        <v/>
      </c>
    </row>
    <row r="222" spans="8:14" x14ac:dyDescent="0.25">
      <c r="H222" s="201" t="str">
        <f t="shared" si="4"/>
        <v/>
      </c>
      <c r="N222" s="164" t="str">
        <f>IFERROR(COUNTIF($B$18:B222,B222)&amp;CHOOSE(MIN(4,COUNTIF($B$18:B222,B222)),"st","nd","rd","th"),"")</f>
        <v/>
      </c>
    </row>
    <row r="223" spans="8:14" x14ac:dyDescent="0.25">
      <c r="H223" s="201" t="str">
        <f t="shared" si="4"/>
        <v/>
      </c>
      <c r="N223" s="164" t="str">
        <f>IFERROR(COUNTIF($B$18:B223,B223)&amp;CHOOSE(MIN(4,COUNTIF($B$18:B223,B223)),"st","nd","rd","th"),"")</f>
        <v/>
      </c>
    </row>
    <row r="224" spans="8:14" x14ac:dyDescent="0.25">
      <c r="H224" s="201" t="str">
        <f t="shared" si="4"/>
        <v/>
      </c>
      <c r="N224" s="164" t="str">
        <f>IFERROR(COUNTIF($B$18:B224,B224)&amp;CHOOSE(MIN(4,COUNTIF($B$18:B224,B224)),"st","nd","rd","th"),"")</f>
        <v/>
      </c>
    </row>
    <row r="225" spans="8:14" x14ac:dyDescent="0.25">
      <c r="H225" s="201" t="str">
        <f t="shared" si="4"/>
        <v/>
      </c>
      <c r="N225" s="164" t="str">
        <f>IFERROR(COUNTIF($B$18:B225,B225)&amp;CHOOSE(MIN(4,COUNTIF($B$18:B225,B225)),"st","nd","rd","th"),"")</f>
        <v/>
      </c>
    </row>
    <row r="226" spans="8:14" x14ac:dyDescent="0.25">
      <c r="H226" s="201" t="str">
        <f t="shared" si="4"/>
        <v/>
      </c>
      <c r="N226" s="164" t="str">
        <f>IFERROR(COUNTIF($B$18:B226,B226)&amp;CHOOSE(MIN(4,COUNTIF($B$18:B226,B226)),"st","nd","rd","th"),"")</f>
        <v/>
      </c>
    </row>
    <row r="227" spans="8:14" x14ac:dyDescent="0.25">
      <c r="H227" s="201" t="str">
        <f t="shared" si="4"/>
        <v/>
      </c>
      <c r="N227" s="164" t="str">
        <f>IFERROR(COUNTIF($B$18:B227,B227)&amp;CHOOSE(MIN(4,COUNTIF($B$18:B227,B227)),"st","nd","rd","th"),"")</f>
        <v/>
      </c>
    </row>
    <row r="228" spans="8:14" x14ac:dyDescent="0.25">
      <c r="H228" s="201" t="str">
        <f t="shared" si="4"/>
        <v/>
      </c>
      <c r="N228" s="164" t="str">
        <f>IFERROR(COUNTIF($B$18:B228,B228)&amp;CHOOSE(MIN(4,COUNTIF($B$18:B228,B228)),"st","nd","rd","th"),"")</f>
        <v/>
      </c>
    </row>
    <row r="229" spans="8:14" x14ac:dyDescent="0.25">
      <c r="H229" s="201" t="str">
        <f t="shared" si="4"/>
        <v/>
      </c>
      <c r="N229" s="164" t="str">
        <f>IFERROR(COUNTIF($B$18:B229,B229)&amp;CHOOSE(MIN(4,COUNTIF($B$18:B229,B229)),"st","nd","rd","th"),"")</f>
        <v/>
      </c>
    </row>
    <row r="230" spans="8:14" x14ac:dyDescent="0.25">
      <c r="H230" s="201" t="str">
        <f t="shared" si="4"/>
        <v/>
      </c>
      <c r="N230" s="164" t="str">
        <f>IFERROR(COUNTIF($B$18:B230,B230)&amp;CHOOSE(MIN(4,COUNTIF($B$18:B230,B230)),"st","nd","rd","th"),"")</f>
        <v/>
      </c>
    </row>
    <row r="231" spans="8:14" x14ac:dyDescent="0.25">
      <c r="H231" s="201" t="str">
        <f t="shared" si="4"/>
        <v/>
      </c>
      <c r="N231" s="164" t="str">
        <f>IFERROR(COUNTIF($B$18:B231,B231)&amp;CHOOSE(MIN(4,COUNTIF($B$18:B231,B231)),"st","nd","rd","th"),"")</f>
        <v/>
      </c>
    </row>
    <row r="232" spans="8:14" x14ac:dyDescent="0.25">
      <c r="H232" s="201" t="str">
        <f t="shared" si="4"/>
        <v/>
      </c>
      <c r="N232" s="164" t="str">
        <f>IFERROR(COUNTIF($B$18:B232,B232)&amp;CHOOSE(MIN(4,COUNTIF($B$18:B232,B232)),"st","nd","rd","th"),"")</f>
        <v/>
      </c>
    </row>
    <row r="233" spans="8:14" x14ac:dyDescent="0.25">
      <c r="H233" s="201" t="str">
        <f t="shared" si="4"/>
        <v/>
      </c>
      <c r="N233" s="164" t="str">
        <f>IFERROR(COUNTIF($B$18:B233,B233)&amp;CHOOSE(MIN(4,COUNTIF($B$18:B233,B233)),"st","nd","rd","th"),"")</f>
        <v/>
      </c>
    </row>
    <row r="234" spans="8:14" x14ac:dyDescent="0.25">
      <c r="H234" s="201" t="str">
        <f t="shared" si="4"/>
        <v/>
      </c>
      <c r="N234" s="164" t="str">
        <f>IFERROR(COUNTIF($B$18:B234,B234)&amp;CHOOSE(MIN(4,COUNTIF($B$18:B234,B234)),"st","nd","rd","th"),"")</f>
        <v/>
      </c>
    </row>
    <row r="235" spans="8:14" x14ac:dyDescent="0.25">
      <c r="H235" s="201" t="str">
        <f t="shared" si="4"/>
        <v/>
      </c>
      <c r="N235" s="164" t="str">
        <f>IFERROR(COUNTIF($B$18:B235,B235)&amp;CHOOSE(MIN(4,COUNTIF($B$18:B235,B235)),"st","nd","rd","th"),"")</f>
        <v/>
      </c>
    </row>
    <row r="236" spans="8:14" x14ac:dyDescent="0.25">
      <c r="H236" s="201" t="str">
        <f t="shared" si="4"/>
        <v/>
      </c>
      <c r="N236" s="164" t="str">
        <f>IFERROR(COUNTIF($B$18:B236,B236)&amp;CHOOSE(MIN(4,COUNTIF($B$18:B236,B236)),"st","nd","rd","th"),"")</f>
        <v/>
      </c>
    </row>
    <row r="237" spans="8:14" x14ac:dyDescent="0.25">
      <c r="H237" s="201" t="str">
        <f t="shared" si="4"/>
        <v/>
      </c>
      <c r="N237" s="164" t="str">
        <f>IFERROR(COUNTIF($B$18:B237,B237)&amp;CHOOSE(MIN(4,COUNTIF($B$18:B237,B237)),"st","nd","rd","th"),"")</f>
        <v/>
      </c>
    </row>
    <row r="238" spans="8:14" x14ac:dyDescent="0.25">
      <c r="H238" s="201" t="str">
        <f t="shared" si="4"/>
        <v/>
      </c>
      <c r="N238" s="164" t="str">
        <f>IFERROR(COUNTIF($B$18:B238,B238)&amp;CHOOSE(MIN(4,COUNTIF($B$18:B238,B238)),"st","nd","rd","th"),"")</f>
        <v/>
      </c>
    </row>
    <row r="239" spans="8:14" x14ac:dyDescent="0.25">
      <c r="H239" s="201" t="str">
        <f t="shared" si="4"/>
        <v/>
      </c>
      <c r="N239" s="164" t="str">
        <f>IFERROR(COUNTIF($B$18:B239,B239)&amp;CHOOSE(MIN(4,COUNTIF($B$18:B239,B239)),"st","nd","rd","th"),"")</f>
        <v/>
      </c>
    </row>
    <row r="240" spans="8:14" x14ac:dyDescent="0.25">
      <c r="H240" s="201" t="str">
        <f t="shared" si="4"/>
        <v/>
      </c>
      <c r="N240" s="164" t="str">
        <f>IFERROR(COUNTIF($B$18:B240,B240)&amp;CHOOSE(MIN(4,COUNTIF($B$18:B240,B240)),"st","nd","rd","th"),"")</f>
        <v/>
      </c>
    </row>
    <row r="241" spans="8:14" x14ac:dyDescent="0.25">
      <c r="H241" s="201" t="str">
        <f t="shared" si="4"/>
        <v/>
      </c>
      <c r="N241" s="164" t="str">
        <f>IFERROR(COUNTIF($B$18:B241,B241)&amp;CHOOSE(MIN(4,COUNTIF($B$18:B241,B241)),"st","nd","rd","th"),"")</f>
        <v/>
      </c>
    </row>
    <row r="242" spans="8:14" x14ac:dyDescent="0.25">
      <c r="H242" s="201" t="str">
        <f t="shared" si="4"/>
        <v/>
      </c>
      <c r="N242" s="164" t="str">
        <f>IFERROR(COUNTIF($B$18:B242,B242)&amp;CHOOSE(MIN(4,COUNTIF($B$18:B242,B242)),"st","nd","rd","th"),"")</f>
        <v/>
      </c>
    </row>
    <row r="243" spans="8:14" x14ac:dyDescent="0.25">
      <c r="H243" s="201" t="str">
        <f t="shared" si="4"/>
        <v/>
      </c>
      <c r="N243" s="164" t="str">
        <f>IFERROR(COUNTIF($B$18:B243,B243)&amp;CHOOSE(MIN(4,COUNTIF($B$18:B243,B243)),"st","nd","rd","th"),"")</f>
        <v/>
      </c>
    </row>
    <row r="244" spans="8:14" x14ac:dyDescent="0.25">
      <c r="H244" s="201" t="str">
        <f t="shared" si="4"/>
        <v/>
      </c>
      <c r="N244" s="164" t="str">
        <f>IFERROR(COUNTIF($B$18:B244,B244)&amp;CHOOSE(MIN(4,COUNTIF($B$18:B244,B244)),"st","nd","rd","th"),"")</f>
        <v/>
      </c>
    </row>
    <row r="245" spans="8:14" x14ac:dyDescent="0.25">
      <c r="H245" s="201" t="str">
        <f t="shared" si="4"/>
        <v/>
      </c>
      <c r="N245" s="164" t="str">
        <f>IFERROR(COUNTIF($B$18:B245,B245)&amp;CHOOSE(MIN(4,COUNTIF($B$18:B245,B245)),"st","nd","rd","th"),"")</f>
        <v/>
      </c>
    </row>
    <row r="246" spans="8:14" x14ac:dyDescent="0.25">
      <c r="H246" s="201" t="str">
        <f t="shared" si="4"/>
        <v/>
      </c>
      <c r="N246" s="164" t="str">
        <f>IFERROR(COUNTIF($B$18:B246,B246)&amp;CHOOSE(MIN(4,COUNTIF($B$18:B246,B246)),"st","nd","rd","th"),"")</f>
        <v/>
      </c>
    </row>
    <row r="247" spans="8:14" x14ac:dyDescent="0.25">
      <c r="H247" s="201" t="str">
        <f t="shared" si="4"/>
        <v/>
      </c>
      <c r="N247" s="164" t="str">
        <f>IFERROR(COUNTIF($B$18:B247,B247)&amp;CHOOSE(MIN(4,COUNTIF($B$18:B247,B247)),"st","nd","rd","th"),"")</f>
        <v/>
      </c>
    </row>
    <row r="248" spans="8:14" x14ac:dyDescent="0.25">
      <c r="H248" s="201" t="str">
        <f t="shared" si="4"/>
        <v/>
      </c>
      <c r="N248" s="164" t="str">
        <f>IFERROR(COUNTIF($B$18:B248,B248)&amp;CHOOSE(MIN(4,COUNTIF($B$18:B248,B248)),"st","nd","rd","th"),"")</f>
        <v/>
      </c>
    </row>
    <row r="249" spans="8:14" x14ac:dyDescent="0.25">
      <c r="H249" s="201" t="str">
        <f t="shared" si="4"/>
        <v/>
      </c>
      <c r="N249" s="164" t="str">
        <f>IFERROR(COUNTIF($B$18:B249,B249)&amp;CHOOSE(MIN(4,COUNTIF($B$18:B249,B249)),"st","nd","rd","th"),"")</f>
        <v/>
      </c>
    </row>
    <row r="250" spans="8:14" x14ac:dyDescent="0.25">
      <c r="H250" s="201" t="str">
        <f t="shared" si="4"/>
        <v/>
      </c>
      <c r="N250" s="164" t="str">
        <f>IFERROR(COUNTIF($B$18:B250,B250)&amp;CHOOSE(MIN(4,COUNTIF($B$18:B250,B250)),"st","nd","rd","th"),"")</f>
        <v/>
      </c>
    </row>
    <row r="251" spans="8:14" x14ac:dyDescent="0.25">
      <c r="H251" s="201" t="str">
        <f t="shared" si="4"/>
        <v/>
      </c>
      <c r="N251" s="164" t="str">
        <f>IFERROR(COUNTIF($B$18:B251,B251)&amp;CHOOSE(MIN(4,COUNTIF($B$18:B251,B251)),"st","nd","rd","th"),"")</f>
        <v/>
      </c>
    </row>
    <row r="252" spans="8:14" x14ac:dyDescent="0.25">
      <c r="H252" s="201" t="str">
        <f t="shared" si="4"/>
        <v/>
      </c>
      <c r="N252" s="164" t="str">
        <f>IFERROR(COUNTIF($B$18:B252,B252)&amp;CHOOSE(MIN(4,COUNTIF($B$18:B252,B252)),"st","nd","rd","th"),"")</f>
        <v/>
      </c>
    </row>
    <row r="253" spans="8:14" x14ac:dyDescent="0.25">
      <c r="H253" s="201" t="str">
        <f t="shared" si="4"/>
        <v/>
      </c>
      <c r="N253" s="164" t="str">
        <f>IFERROR(COUNTIF($B$18:B253,B253)&amp;CHOOSE(MIN(4,COUNTIF($B$18:B253,B253)),"st","nd","rd","th"),"")</f>
        <v/>
      </c>
    </row>
    <row r="254" spans="8:14" x14ac:dyDescent="0.25">
      <c r="H254" s="201" t="str">
        <f t="shared" si="4"/>
        <v/>
      </c>
      <c r="N254" s="164" t="str">
        <f>IFERROR(COUNTIF($B$18:B254,B254)&amp;CHOOSE(MIN(4,COUNTIF($B$18:B254,B254)),"st","nd","rd","th"),"")</f>
        <v/>
      </c>
    </row>
    <row r="255" spans="8:14" x14ac:dyDescent="0.25">
      <c r="H255" s="201" t="str">
        <f t="shared" si="4"/>
        <v/>
      </c>
      <c r="N255" s="164" t="str">
        <f>IFERROR(COUNTIF($B$18:B255,B255)&amp;CHOOSE(MIN(4,COUNTIF($B$18:B255,B255)),"st","nd","rd","th"),"")</f>
        <v/>
      </c>
    </row>
    <row r="256" spans="8:14" x14ac:dyDescent="0.25">
      <c r="H256" s="201" t="str">
        <f t="shared" si="4"/>
        <v/>
      </c>
      <c r="N256" s="164" t="str">
        <f>IFERROR(COUNTIF($B$18:B256,B256)&amp;CHOOSE(MIN(4,COUNTIF($B$18:B256,B256)),"st","nd","rd","th"),"")</f>
        <v/>
      </c>
    </row>
    <row r="257" spans="8:14" x14ac:dyDescent="0.25">
      <c r="H257" s="201" t="str">
        <f t="shared" si="4"/>
        <v/>
      </c>
      <c r="N257" s="164" t="str">
        <f>IFERROR(COUNTIF($B$18:B257,B257)&amp;CHOOSE(MIN(4,COUNTIF($B$18:B257,B257)),"st","nd","rd","th"),"")</f>
        <v/>
      </c>
    </row>
    <row r="258" spans="8:14" x14ac:dyDescent="0.25">
      <c r="H258" s="201" t="str">
        <f t="shared" si="4"/>
        <v/>
      </c>
      <c r="N258" s="164" t="str">
        <f>IFERROR(COUNTIF($B$18:B258,B258)&amp;CHOOSE(MIN(4,COUNTIF($B$18:B258,B258)),"st","nd","rd","th"),"")</f>
        <v/>
      </c>
    </row>
    <row r="259" spans="8:14" x14ac:dyDescent="0.25">
      <c r="H259" s="201" t="str">
        <f t="shared" si="4"/>
        <v/>
      </c>
      <c r="N259" s="164" t="str">
        <f>IFERROR(COUNTIF($B$18:B259,B259)&amp;CHOOSE(MIN(4,COUNTIF($B$18:B259,B259)),"st","nd","rd","th"),"")</f>
        <v/>
      </c>
    </row>
    <row r="260" spans="8:14" x14ac:dyDescent="0.25">
      <c r="H260" s="201" t="str">
        <f t="shared" si="4"/>
        <v/>
      </c>
      <c r="N260" s="164" t="str">
        <f>IFERROR(COUNTIF($B$18:B260,B260)&amp;CHOOSE(MIN(4,COUNTIF($B$18:B260,B260)),"st","nd","rd","th"),"")</f>
        <v/>
      </c>
    </row>
    <row r="261" spans="8:14" x14ac:dyDescent="0.25">
      <c r="H261" s="201" t="str">
        <f t="shared" si="4"/>
        <v/>
      </c>
      <c r="N261" s="164" t="str">
        <f>IFERROR(COUNTIF($B$18:B261,B261)&amp;CHOOSE(MIN(4,COUNTIF($B$18:B261,B261)),"st","nd","rd","th"),"")</f>
        <v/>
      </c>
    </row>
    <row r="262" spans="8:14" x14ac:dyDescent="0.25">
      <c r="H262" s="201" t="str">
        <f t="shared" si="4"/>
        <v/>
      </c>
      <c r="N262" s="164" t="str">
        <f>IFERROR(COUNTIF($B$18:B262,B262)&amp;CHOOSE(MIN(4,COUNTIF($B$18:B262,B262)),"st","nd","rd","th"),"")</f>
        <v/>
      </c>
    </row>
    <row r="263" spans="8:14" x14ac:dyDescent="0.25">
      <c r="H263" s="201" t="str">
        <f t="shared" si="4"/>
        <v/>
      </c>
      <c r="N263" s="164" t="str">
        <f>IFERROR(COUNTIF($B$18:B263,B263)&amp;CHOOSE(MIN(4,COUNTIF($B$18:B263,B263)),"st","nd","rd","th"),"")</f>
        <v/>
      </c>
    </row>
    <row r="264" spans="8:14" x14ac:dyDescent="0.25">
      <c r="H264" s="201" t="str">
        <f t="shared" si="4"/>
        <v/>
      </c>
      <c r="N264" s="164" t="str">
        <f>IFERROR(COUNTIF($B$18:B264,B264)&amp;CHOOSE(MIN(4,COUNTIF($B$18:B264,B264)),"st","nd","rd","th"),"")</f>
        <v/>
      </c>
    </row>
    <row r="265" spans="8:14" x14ac:dyDescent="0.25">
      <c r="H265" s="201" t="str">
        <f t="shared" si="4"/>
        <v/>
      </c>
      <c r="N265" s="164" t="str">
        <f>IFERROR(COUNTIF($B$18:B265,B265)&amp;CHOOSE(MIN(4,COUNTIF($B$18:B265,B265)),"st","nd","rd","th"),"")</f>
        <v/>
      </c>
    </row>
    <row r="266" spans="8:14" x14ac:dyDescent="0.25">
      <c r="H266" s="201" t="str">
        <f t="shared" si="4"/>
        <v/>
      </c>
      <c r="N266" s="164" t="str">
        <f>IFERROR(COUNTIF($B$18:B266,B266)&amp;CHOOSE(MIN(4,COUNTIF($B$18:B266,B266)),"st","nd","rd","th"),"")</f>
        <v/>
      </c>
    </row>
    <row r="267" spans="8:14" x14ac:dyDescent="0.25">
      <c r="H267" s="201" t="str">
        <f t="shared" si="4"/>
        <v/>
      </c>
      <c r="N267" s="164" t="str">
        <f>IFERROR(COUNTIF($B$18:B267,B267)&amp;CHOOSE(MIN(4,COUNTIF($B$18:B267,B267)),"st","nd","rd","th"),"")</f>
        <v/>
      </c>
    </row>
    <row r="268" spans="8:14" x14ac:dyDescent="0.25">
      <c r="H268" s="201" t="str">
        <f t="shared" si="4"/>
        <v/>
      </c>
      <c r="N268" s="164" t="str">
        <f>IFERROR(COUNTIF($B$18:B268,B268)&amp;CHOOSE(MIN(4,COUNTIF($B$18:B268,B268)),"st","nd","rd","th"),"")</f>
        <v/>
      </c>
    </row>
    <row r="269" spans="8:14" x14ac:dyDescent="0.25">
      <c r="H269" s="201" t="str">
        <f t="shared" si="4"/>
        <v/>
      </c>
      <c r="N269" s="164" t="str">
        <f>IFERROR(COUNTIF($B$18:B269,B269)&amp;CHOOSE(MIN(4,COUNTIF($B$18:B269,B269)),"st","nd","rd","th"),"")</f>
        <v/>
      </c>
    </row>
    <row r="270" spans="8:14" x14ac:dyDescent="0.25">
      <c r="H270" s="201" t="str">
        <f t="shared" si="4"/>
        <v/>
      </c>
      <c r="N270" s="164" t="str">
        <f>IFERROR(COUNTIF($B$18:B270,B270)&amp;CHOOSE(MIN(4,COUNTIF($B$18:B270,B270)),"st","nd","rd","th"),"")</f>
        <v/>
      </c>
    </row>
    <row r="271" spans="8:14" x14ac:dyDescent="0.25">
      <c r="H271" s="201" t="str">
        <f t="shared" si="4"/>
        <v/>
      </c>
      <c r="N271" s="164" t="str">
        <f>IFERROR(COUNTIF($B$18:B271,B271)&amp;CHOOSE(MIN(4,COUNTIF($B$18:B271,B271)),"st","nd","rd","th"),"")</f>
        <v/>
      </c>
    </row>
    <row r="272" spans="8:14" x14ac:dyDescent="0.25">
      <c r="H272" s="201" t="str">
        <f t="shared" si="4"/>
        <v/>
      </c>
      <c r="N272" s="164" t="str">
        <f>IFERROR(COUNTIF($B$18:B272,B272)&amp;CHOOSE(MIN(4,COUNTIF($B$18:B272,B272)),"st","nd","rd","th"),"")</f>
        <v/>
      </c>
    </row>
    <row r="273" spans="8:14" x14ac:dyDescent="0.25">
      <c r="H273" s="201" t="str">
        <f t="shared" si="4"/>
        <v/>
      </c>
      <c r="N273" s="164" t="str">
        <f>IFERROR(COUNTIF($B$18:B273,B273)&amp;CHOOSE(MIN(4,COUNTIF($B$18:B273,B273)),"st","nd","rd","th"),"")</f>
        <v/>
      </c>
    </row>
    <row r="274" spans="8:14" x14ac:dyDescent="0.25">
      <c r="H274" s="201" t="str">
        <f t="shared" si="4"/>
        <v/>
      </c>
      <c r="N274" s="164" t="str">
        <f>IFERROR(COUNTIF($B$18:B274,B274)&amp;CHOOSE(MIN(4,COUNTIF($B$18:B274,B274)),"st","nd","rd","th"),"")</f>
        <v/>
      </c>
    </row>
    <row r="275" spans="8:14" x14ac:dyDescent="0.25">
      <c r="H275" s="201" t="str">
        <f t="shared" ref="H275:H338" si="5">IF(OR(ISBLANK(G275), ISBLANK(F275)), "", IF(G275=F275, 1, SUM(_xlfn.DAYS(G275, F275), 1)))</f>
        <v/>
      </c>
      <c r="N275" s="164" t="str">
        <f>IFERROR(COUNTIF($B$18:B275,B275)&amp;CHOOSE(MIN(4,COUNTIF($B$18:B275,B275)),"st","nd","rd","th"),"")</f>
        <v/>
      </c>
    </row>
    <row r="276" spans="8:14" x14ac:dyDescent="0.25">
      <c r="H276" s="201" t="str">
        <f t="shared" si="5"/>
        <v/>
      </c>
      <c r="N276" s="164" t="str">
        <f>IFERROR(COUNTIF($B$18:B276,B276)&amp;CHOOSE(MIN(4,COUNTIF($B$18:B276,B276)),"st","nd","rd","th"),"")</f>
        <v/>
      </c>
    </row>
    <row r="277" spans="8:14" x14ac:dyDescent="0.25">
      <c r="H277" s="201" t="str">
        <f t="shared" si="5"/>
        <v/>
      </c>
      <c r="N277" s="164" t="str">
        <f>IFERROR(COUNTIF($B$18:B277,B277)&amp;CHOOSE(MIN(4,COUNTIF($B$18:B277,B277)),"st","nd","rd","th"),"")</f>
        <v/>
      </c>
    </row>
    <row r="278" spans="8:14" x14ac:dyDescent="0.25">
      <c r="H278" s="201" t="str">
        <f t="shared" si="5"/>
        <v/>
      </c>
      <c r="N278" s="164" t="str">
        <f>IFERROR(COUNTIF($B$18:B278,B278)&amp;CHOOSE(MIN(4,COUNTIF($B$18:B278,B278)),"st","nd","rd","th"),"")</f>
        <v/>
      </c>
    </row>
    <row r="279" spans="8:14" x14ac:dyDescent="0.25">
      <c r="H279" s="201" t="str">
        <f t="shared" si="5"/>
        <v/>
      </c>
      <c r="N279" s="164" t="str">
        <f>IFERROR(COUNTIF($B$18:B279,B279)&amp;CHOOSE(MIN(4,COUNTIF($B$18:B279,B279)),"st","nd","rd","th"),"")</f>
        <v/>
      </c>
    </row>
    <row r="280" spans="8:14" x14ac:dyDescent="0.25">
      <c r="H280" s="201" t="str">
        <f t="shared" si="5"/>
        <v/>
      </c>
      <c r="N280" s="164" t="str">
        <f>IFERROR(COUNTIF($B$18:B280,B280)&amp;CHOOSE(MIN(4,COUNTIF($B$18:B280,B280)),"st","nd","rd","th"),"")</f>
        <v/>
      </c>
    </row>
    <row r="281" spans="8:14" x14ac:dyDescent="0.25">
      <c r="H281" s="201" t="str">
        <f t="shared" si="5"/>
        <v/>
      </c>
      <c r="N281" s="164" t="str">
        <f>IFERROR(COUNTIF($B$18:B281,B281)&amp;CHOOSE(MIN(4,COUNTIF($B$18:B281,B281)),"st","nd","rd","th"),"")</f>
        <v/>
      </c>
    </row>
    <row r="282" spans="8:14" x14ac:dyDescent="0.25">
      <c r="H282" s="201" t="str">
        <f t="shared" si="5"/>
        <v/>
      </c>
      <c r="N282" s="164" t="str">
        <f>IFERROR(COUNTIF($B$18:B282,B282)&amp;CHOOSE(MIN(4,COUNTIF($B$18:B282,B282)),"st","nd","rd","th"),"")</f>
        <v/>
      </c>
    </row>
    <row r="283" spans="8:14" x14ac:dyDescent="0.25">
      <c r="H283" s="201" t="str">
        <f t="shared" si="5"/>
        <v/>
      </c>
      <c r="N283" s="164" t="str">
        <f>IFERROR(COUNTIF($B$18:B283,B283)&amp;CHOOSE(MIN(4,COUNTIF($B$18:B283,B283)),"st","nd","rd","th"),"")</f>
        <v/>
      </c>
    </row>
    <row r="284" spans="8:14" x14ac:dyDescent="0.25">
      <c r="H284" s="201" t="str">
        <f t="shared" si="5"/>
        <v/>
      </c>
      <c r="N284" s="164" t="str">
        <f>IFERROR(COUNTIF($B$18:B284,B284)&amp;CHOOSE(MIN(4,COUNTIF($B$18:B284,B284)),"st","nd","rd","th"),"")</f>
        <v/>
      </c>
    </row>
    <row r="285" spans="8:14" x14ac:dyDescent="0.25">
      <c r="H285" s="201" t="str">
        <f t="shared" si="5"/>
        <v/>
      </c>
      <c r="N285" s="164" t="str">
        <f>IFERROR(COUNTIF($B$18:B285,B285)&amp;CHOOSE(MIN(4,COUNTIF($B$18:B285,B285)),"st","nd","rd","th"),"")</f>
        <v/>
      </c>
    </row>
    <row r="286" spans="8:14" x14ac:dyDescent="0.25">
      <c r="H286" s="201" t="str">
        <f t="shared" si="5"/>
        <v/>
      </c>
      <c r="N286" s="164" t="str">
        <f>IFERROR(COUNTIF($B$18:B286,B286)&amp;CHOOSE(MIN(4,COUNTIF($B$18:B286,B286)),"st","nd","rd","th"),"")</f>
        <v/>
      </c>
    </row>
    <row r="287" spans="8:14" x14ac:dyDescent="0.25">
      <c r="H287" s="201" t="str">
        <f t="shared" si="5"/>
        <v/>
      </c>
      <c r="N287" s="164" t="str">
        <f>IFERROR(COUNTIF($B$18:B287,B287)&amp;CHOOSE(MIN(4,COUNTIF($B$18:B287,B287)),"st","nd","rd","th"),"")</f>
        <v/>
      </c>
    </row>
    <row r="288" spans="8:14" x14ac:dyDescent="0.25">
      <c r="H288" s="201" t="str">
        <f t="shared" si="5"/>
        <v/>
      </c>
      <c r="N288" s="164" t="str">
        <f>IFERROR(COUNTIF($B$18:B288,B288)&amp;CHOOSE(MIN(4,COUNTIF($B$18:B288,B288)),"st","nd","rd","th"),"")</f>
        <v/>
      </c>
    </row>
    <row r="289" spans="8:14" x14ac:dyDescent="0.25">
      <c r="H289" s="201" t="str">
        <f t="shared" si="5"/>
        <v/>
      </c>
      <c r="N289" s="164" t="str">
        <f>IFERROR(COUNTIF($B$18:B289,B289)&amp;CHOOSE(MIN(4,COUNTIF($B$18:B289,B289)),"st","nd","rd","th"),"")</f>
        <v/>
      </c>
    </row>
    <row r="290" spans="8:14" x14ac:dyDescent="0.25">
      <c r="H290" s="201" t="str">
        <f t="shared" si="5"/>
        <v/>
      </c>
      <c r="N290" s="164" t="str">
        <f>IFERROR(COUNTIF($B$18:B290,B290)&amp;CHOOSE(MIN(4,COUNTIF($B$18:B290,B290)),"st","nd","rd","th"),"")</f>
        <v/>
      </c>
    </row>
    <row r="291" spans="8:14" x14ac:dyDescent="0.25">
      <c r="H291" s="201" t="str">
        <f t="shared" si="5"/>
        <v/>
      </c>
      <c r="N291" s="164" t="str">
        <f>IFERROR(COUNTIF($B$18:B291,B291)&amp;CHOOSE(MIN(4,COUNTIF($B$18:B291,B291)),"st","nd","rd","th"),"")</f>
        <v/>
      </c>
    </row>
    <row r="292" spans="8:14" x14ac:dyDescent="0.25">
      <c r="H292" s="201" t="str">
        <f t="shared" si="5"/>
        <v/>
      </c>
      <c r="N292" s="164" t="str">
        <f>IFERROR(COUNTIF($B$18:B292,B292)&amp;CHOOSE(MIN(4,COUNTIF($B$18:B292,B292)),"st","nd","rd","th"),"")</f>
        <v/>
      </c>
    </row>
    <row r="293" spans="8:14" x14ac:dyDescent="0.25">
      <c r="H293" s="201" t="str">
        <f t="shared" si="5"/>
        <v/>
      </c>
      <c r="N293" s="164" t="str">
        <f>IFERROR(COUNTIF($B$18:B293,B293)&amp;CHOOSE(MIN(4,COUNTIF($B$18:B293,B293)),"st","nd","rd","th"),"")</f>
        <v/>
      </c>
    </row>
    <row r="294" spans="8:14" x14ac:dyDescent="0.25">
      <c r="H294" s="201" t="str">
        <f t="shared" si="5"/>
        <v/>
      </c>
      <c r="N294" s="164" t="str">
        <f>IFERROR(COUNTIF($B$18:B294,B294)&amp;CHOOSE(MIN(4,COUNTIF($B$18:B294,B294)),"st","nd","rd","th"),"")</f>
        <v/>
      </c>
    </row>
    <row r="295" spans="8:14" x14ac:dyDescent="0.25">
      <c r="H295" s="201" t="str">
        <f t="shared" si="5"/>
        <v/>
      </c>
      <c r="N295" s="164" t="str">
        <f>IFERROR(COUNTIF($B$18:B295,B295)&amp;CHOOSE(MIN(4,COUNTIF($B$18:B295,B295)),"st","nd","rd","th"),"")</f>
        <v/>
      </c>
    </row>
    <row r="296" spans="8:14" x14ac:dyDescent="0.25">
      <c r="H296" s="201" t="str">
        <f t="shared" si="5"/>
        <v/>
      </c>
      <c r="N296" s="164" t="str">
        <f>IFERROR(COUNTIF($B$18:B296,B296)&amp;CHOOSE(MIN(4,COUNTIF($B$18:B296,B296)),"st","nd","rd","th"),"")</f>
        <v/>
      </c>
    </row>
    <row r="297" spans="8:14" x14ac:dyDescent="0.25">
      <c r="H297" s="201" t="str">
        <f t="shared" si="5"/>
        <v/>
      </c>
      <c r="N297" s="164" t="str">
        <f>IFERROR(COUNTIF($B$18:B297,B297)&amp;CHOOSE(MIN(4,COUNTIF($B$18:B297,B297)),"st","nd","rd","th"),"")</f>
        <v/>
      </c>
    </row>
    <row r="298" spans="8:14" x14ac:dyDescent="0.25">
      <c r="H298" s="201" t="str">
        <f t="shared" si="5"/>
        <v/>
      </c>
      <c r="N298" s="164" t="str">
        <f>IFERROR(COUNTIF($B$18:B298,B298)&amp;CHOOSE(MIN(4,COUNTIF($B$18:B298,B298)),"st","nd","rd","th"),"")</f>
        <v/>
      </c>
    </row>
    <row r="299" spans="8:14" x14ac:dyDescent="0.25">
      <c r="H299" s="201" t="str">
        <f t="shared" si="5"/>
        <v/>
      </c>
      <c r="N299" s="164" t="str">
        <f>IFERROR(COUNTIF($B$18:B299,B299)&amp;CHOOSE(MIN(4,COUNTIF($B$18:B299,B299)),"st","nd","rd","th"),"")</f>
        <v/>
      </c>
    </row>
    <row r="300" spans="8:14" x14ac:dyDescent="0.25">
      <c r="H300" s="201" t="str">
        <f t="shared" si="5"/>
        <v/>
      </c>
      <c r="N300" s="164" t="str">
        <f>IFERROR(COUNTIF($B$18:B300,B300)&amp;CHOOSE(MIN(4,COUNTIF($B$18:B300,B300)),"st","nd","rd","th"),"")</f>
        <v/>
      </c>
    </row>
    <row r="301" spans="8:14" x14ac:dyDescent="0.25">
      <c r="H301" s="201" t="str">
        <f t="shared" si="5"/>
        <v/>
      </c>
      <c r="N301" s="164" t="str">
        <f>IFERROR(COUNTIF($B$18:B301,B301)&amp;CHOOSE(MIN(4,COUNTIF($B$18:B301,B301)),"st","nd","rd","th"),"")</f>
        <v/>
      </c>
    </row>
    <row r="302" spans="8:14" x14ac:dyDescent="0.25">
      <c r="H302" s="201" t="str">
        <f t="shared" si="5"/>
        <v/>
      </c>
      <c r="N302" s="164" t="str">
        <f>IFERROR(COUNTIF($B$18:B302,B302)&amp;CHOOSE(MIN(4,COUNTIF($B$18:B302,B302)),"st","nd","rd","th"),"")</f>
        <v/>
      </c>
    </row>
    <row r="303" spans="8:14" x14ac:dyDescent="0.25">
      <c r="H303" s="201" t="str">
        <f t="shared" si="5"/>
        <v/>
      </c>
      <c r="N303" s="164" t="str">
        <f>IFERROR(COUNTIF($B$18:B303,B303)&amp;CHOOSE(MIN(4,COUNTIF($B$18:B303,B303)),"st","nd","rd","th"),"")</f>
        <v/>
      </c>
    </row>
    <row r="304" spans="8:14" x14ac:dyDescent="0.25">
      <c r="H304" s="201" t="str">
        <f t="shared" si="5"/>
        <v/>
      </c>
      <c r="N304" s="164" t="str">
        <f>IFERROR(COUNTIF($B$18:B304,B304)&amp;CHOOSE(MIN(4,COUNTIF($B$18:B304,B304)),"st","nd","rd","th"),"")</f>
        <v/>
      </c>
    </row>
    <row r="305" spans="8:14" x14ac:dyDescent="0.25">
      <c r="H305" s="201" t="str">
        <f t="shared" si="5"/>
        <v/>
      </c>
      <c r="N305" s="164" t="str">
        <f>IFERROR(COUNTIF($B$18:B305,B305)&amp;CHOOSE(MIN(4,COUNTIF($B$18:B305,B305)),"st","nd","rd","th"),"")</f>
        <v/>
      </c>
    </row>
    <row r="306" spans="8:14" x14ac:dyDescent="0.25">
      <c r="H306" s="201" t="str">
        <f t="shared" si="5"/>
        <v/>
      </c>
      <c r="N306" s="164" t="str">
        <f>IFERROR(COUNTIF($B$18:B306,B306)&amp;CHOOSE(MIN(4,COUNTIF($B$18:B306,B306)),"st","nd","rd","th"),"")</f>
        <v/>
      </c>
    </row>
    <row r="307" spans="8:14" x14ac:dyDescent="0.25">
      <c r="H307" s="201" t="str">
        <f t="shared" si="5"/>
        <v/>
      </c>
      <c r="N307" s="164" t="str">
        <f>IFERROR(COUNTIF($B$18:B307,B307)&amp;CHOOSE(MIN(4,COUNTIF($B$18:B307,B307)),"st","nd","rd","th"),"")</f>
        <v/>
      </c>
    </row>
    <row r="308" spans="8:14" x14ac:dyDescent="0.25">
      <c r="H308" s="201" t="str">
        <f t="shared" si="5"/>
        <v/>
      </c>
      <c r="N308" s="164" t="str">
        <f>IFERROR(COUNTIF($B$18:B308,B308)&amp;CHOOSE(MIN(4,COUNTIF($B$18:B308,B308)),"st","nd","rd","th"),"")</f>
        <v/>
      </c>
    </row>
    <row r="309" spans="8:14" x14ac:dyDescent="0.25">
      <c r="H309" s="201" t="str">
        <f t="shared" si="5"/>
        <v/>
      </c>
      <c r="N309" s="164" t="str">
        <f>IFERROR(COUNTIF($B$18:B309,B309)&amp;CHOOSE(MIN(4,COUNTIF($B$18:B309,B309)),"st","nd","rd","th"),"")</f>
        <v/>
      </c>
    </row>
    <row r="310" spans="8:14" x14ac:dyDescent="0.25">
      <c r="H310" s="201" t="str">
        <f t="shared" si="5"/>
        <v/>
      </c>
      <c r="N310" s="164" t="str">
        <f>IFERROR(COUNTIF($B$18:B310,B310)&amp;CHOOSE(MIN(4,COUNTIF($B$18:B310,B310)),"st","nd","rd","th"),"")</f>
        <v/>
      </c>
    </row>
    <row r="311" spans="8:14" x14ac:dyDescent="0.25">
      <c r="H311" s="201" t="str">
        <f t="shared" si="5"/>
        <v/>
      </c>
      <c r="N311" s="164" t="str">
        <f>IFERROR(COUNTIF($B$18:B311,B311)&amp;CHOOSE(MIN(4,COUNTIF($B$18:B311,B311)),"st","nd","rd","th"),"")</f>
        <v/>
      </c>
    </row>
    <row r="312" spans="8:14" x14ac:dyDescent="0.25">
      <c r="H312" s="201" t="str">
        <f t="shared" si="5"/>
        <v/>
      </c>
      <c r="N312" s="164" t="str">
        <f>IFERROR(COUNTIF($B$18:B312,B312)&amp;CHOOSE(MIN(4,COUNTIF($B$18:B312,B312)),"st","nd","rd","th"),"")</f>
        <v/>
      </c>
    </row>
    <row r="313" spans="8:14" x14ac:dyDescent="0.25">
      <c r="H313" s="201" t="str">
        <f t="shared" si="5"/>
        <v/>
      </c>
      <c r="N313" s="164" t="str">
        <f>IFERROR(COUNTIF($B$18:B313,B313)&amp;CHOOSE(MIN(4,COUNTIF($B$18:B313,B313)),"st","nd","rd","th"),"")</f>
        <v/>
      </c>
    </row>
    <row r="314" spans="8:14" x14ac:dyDescent="0.25">
      <c r="H314" s="201" t="str">
        <f t="shared" si="5"/>
        <v/>
      </c>
      <c r="N314" s="164" t="str">
        <f>IFERROR(COUNTIF($B$18:B314,B314)&amp;CHOOSE(MIN(4,COUNTIF($B$18:B314,B314)),"st","nd","rd","th"),"")</f>
        <v/>
      </c>
    </row>
    <row r="315" spans="8:14" x14ac:dyDescent="0.25">
      <c r="H315" s="201" t="str">
        <f t="shared" si="5"/>
        <v/>
      </c>
      <c r="N315" s="164" t="str">
        <f>IFERROR(COUNTIF($B$18:B315,B315)&amp;CHOOSE(MIN(4,COUNTIF($B$18:B315,B315)),"st","nd","rd","th"),"")</f>
        <v/>
      </c>
    </row>
    <row r="316" spans="8:14" x14ac:dyDescent="0.25">
      <c r="H316" s="201" t="str">
        <f t="shared" si="5"/>
        <v/>
      </c>
      <c r="N316" s="164" t="str">
        <f>IFERROR(COUNTIF($B$18:B316,B316)&amp;CHOOSE(MIN(4,COUNTIF($B$18:B316,B316)),"st","nd","rd","th"),"")</f>
        <v/>
      </c>
    </row>
    <row r="317" spans="8:14" x14ac:dyDescent="0.25">
      <c r="H317" s="201" t="str">
        <f t="shared" si="5"/>
        <v/>
      </c>
      <c r="N317" s="164" t="str">
        <f>IFERROR(COUNTIF($B$18:B317,B317)&amp;CHOOSE(MIN(4,COUNTIF($B$18:B317,B317)),"st","nd","rd","th"),"")</f>
        <v/>
      </c>
    </row>
    <row r="318" spans="8:14" x14ac:dyDescent="0.25">
      <c r="H318" s="201" t="str">
        <f t="shared" si="5"/>
        <v/>
      </c>
      <c r="N318" s="164" t="str">
        <f>IFERROR(COUNTIF($B$18:B318,B318)&amp;CHOOSE(MIN(4,COUNTIF($B$18:B318,B318)),"st","nd","rd","th"),"")</f>
        <v/>
      </c>
    </row>
    <row r="319" spans="8:14" x14ac:dyDescent="0.25">
      <c r="H319" s="201" t="str">
        <f t="shared" si="5"/>
        <v/>
      </c>
      <c r="N319" s="164" t="str">
        <f>IFERROR(COUNTIF($B$18:B319,B319)&amp;CHOOSE(MIN(4,COUNTIF($B$18:B319,B319)),"st","nd","rd","th"),"")</f>
        <v/>
      </c>
    </row>
    <row r="320" spans="8:14" x14ac:dyDescent="0.25">
      <c r="H320" s="201" t="str">
        <f t="shared" si="5"/>
        <v/>
      </c>
      <c r="N320" s="164" t="str">
        <f>IFERROR(COUNTIF($B$18:B320,B320)&amp;CHOOSE(MIN(4,COUNTIF($B$18:B320,B320)),"st","nd","rd","th"),"")</f>
        <v/>
      </c>
    </row>
    <row r="321" spans="8:14" x14ac:dyDescent="0.25">
      <c r="H321" s="201" t="str">
        <f t="shared" si="5"/>
        <v/>
      </c>
      <c r="N321" s="164" t="str">
        <f>IFERROR(COUNTIF($B$18:B321,B321)&amp;CHOOSE(MIN(4,COUNTIF($B$18:B321,B321)),"st","nd","rd","th"),"")</f>
        <v/>
      </c>
    </row>
    <row r="322" spans="8:14" x14ac:dyDescent="0.25">
      <c r="H322" s="201" t="str">
        <f t="shared" si="5"/>
        <v/>
      </c>
      <c r="N322" s="164" t="str">
        <f>IFERROR(COUNTIF($B$18:B322,B322)&amp;CHOOSE(MIN(4,COUNTIF($B$18:B322,B322)),"st","nd","rd","th"),"")</f>
        <v/>
      </c>
    </row>
    <row r="323" spans="8:14" x14ac:dyDescent="0.25">
      <c r="H323" s="201" t="str">
        <f t="shared" si="5"/>
        <v/>
      </c>
      <c r="N323" s="164" t="str">
        <f>IFERROR(COUNTIF($B$18:B323,B323)&amp;CHOOSE(MIN(4,COUNTIF($B$18:B323,B323)),"st","nd","rd","th"),"")</f>
        <v/>
      </c>
    </row>
    <row r="324" spans="8:14" x14ac:dyDescent="0.25">
      <c r="H324" s="201" t="str">
        <f t="shared" si="5"/>
        <v/>
      </c>
      <c r="N324" s="164" t="str">
        <f>IFERROR(COUNTIF($B$18:B324,B324)&amp;CHOOSE(MIN(4,COUNTIF($B$18:B324,B324)),"st","nd","rd","th"),"")</f>
        <v/>
      </c>
    </row>
    <row r="325" spans="8:14" x14ac:dyDescent="0.25">
      <c r="H325" s="201" t="str">
        <f t="shared" si="5"/>
        <v/>
      </c>
      <c r="N325" s="164" t="str">
        <f>IFERROR(COUNTIF($B$18:B325,B325)&amp;CHOOSE(MIN(4,COUNTIF($B$18:B325,B325)),"st","nd","rd","th"),"")</f>
        <v/>
      </c>
    </row>
    <row r="326" spans="8:14" x14ac:dyDescent="0.25">
      <c r="H326" s="201" t="str">
        <f t="shared" si="5"/>
        <v/>
      </c>
      <c r="N326" s="164" t="str">
        <f>IFERROR(COUNTIF($B$18:B326,B326)&amp;CHOOSE(MIN(4,COUNTIF($B$18:B326,B326)),"st","nd","rd","th"),"")</f>
        <v/>
      </c>
    </row>
    <row r="327" spans="8:14" x14ac:dyDescent="0.25">
      <c r="H327" s="201" t="str">
        <f t="shared" si="5"/>
        <v/>
      </c>
      <c r="N327" s="164" t="str">
        <f>IFERROR(COUNTIF($B$18:B327,B327)&amp;CHOOSE(MIN(4,COUNTIF($B$18:B327,B327)),"st","nd","rd","th"),"")</f>
        <v/>
      </c>
    </row>
    <row r="328" spans="8:14" x14ac:dyDescent="0.25">
      <c r="H328" s="201" t="str">
        <f t="shared" si="5"/>
        <v/>
      </c>
      <c r="N328" s="164" t="str">
        <f>IFERROR(COUNTIF($B$18:B328,B328)&amp;CHOOSE(MIN(4,COUNTIF($B$18:B328,B328)),"st","nd","rd","th"),"")</f>
        <v/>
      </c>
    </row>
    <row r="329" spans="8:14" x14ac:dyDescent="0.25">
      <c r="H329" s="201" t="str">
        <f t="shared" si="5"/>
        <v/>
      </c>
      <c r="N329" s="164" t="str">
        <f>IFERROR(COUNTIF($B$18:B329,B329)&amp;CHOOSE(MIN(4,COUNTIF($B$18:B329,B329)),"st","nd","rd","th"),"")</f>
        <v/>
      </c>
    </row>
    <row r="330" spans="8:14" x14ac:dyDescent="0.25">
      <c r="H330" s="201" t="str">
        <f t="shared" si="5"/>
        <v/>
      </c>
      <c r="N330" s="164" t="str">
        <f>IFERROR(COUNTIF($B$18:B330,B330)&amp;CHOOSE(MIN(4,COUNTIF($B$18:B330,B330)),"st","nd","rd","th"),"")</f>
        <v/>
      </c>
    </row>
    <row r="331" spans="8:14" x14ac:dyDescent="0.25">
      <c r="H331" s="201" t="str">
        <f t="shared" si="5"/>
        <v/>
      </c>
      <c r="N331" s="164" t="str">
        <f>IFERROR(COUNTIF($B$18:B331,B331)&amp;CHOOSE(MIN(4,COUNTIF($B$18:B331,B331)),"st","nd","rd","th"),"")</f>
        <v/>
      </c>
    </row>
    <row r="332" spans="8:14" x14ac:dyDescent="0.25">
      <c r="H332" s="201" t="str">
        <f t="shared" si="5"/>
        <v/>
      </c>
      <c r="N332" s="164" t="str">
        <f>IFERROR(COUNTIF($B$18:B332,B332)&amp;CHOOSE(MIN(4,COUNTIF($B$18:B332,B332)),"st","nd","rd","th"),"")</f>
        <v/>
      </c>
    </row>
    <row r="333" spans="8:14" x14ac:dyDescent="0.25">
      <c r="H333" s="201" t="str">
        <f t="shared" si="5"/>
        <v/>
      </c>
      <c r="N333" s="164" t="str">
        <f>IFERROR(COUNTIF($B$18:B333,B333)&amp;CHOOSE(MIN(4,COUNTIF($B$18:B333,B333)),"st","nd","rd","th"),"")</f>
        <v/>
      </c>
    </row>
    <row r="334" spans="8:14" x14ac:dyDescent="0.25">
      <c r="H334" s="201" t="str">
        <f t="shared" si="5"/>
        <v/>
      </c>
      <c r="N334" s="164" t="str">
        <f>IFERROR(COUNTIF($B$18:B334,B334)&amp;CHOOSE(MIN(4,COUNTIF($B$18:B334,B334)),"st","nd","rd","th"),"")</f>
        <v/>
      </c>
    </row>
    <row r="335" spans="8:14" x14ac:dyDescent="0.25">
      <c r="H335" s="201" t="str">
        <f t="shared" si="5"/>
        <v/>
      </c>
      <c r="N335" s="164" t="str">
        <f>IFERROR(COUNTIF($B$18:B335,B335)&amp;CHOOSE(MIN(4,COUNTIF($B$18:B335,B335)),"st","nd","rd","th"),"")</f>
        <v/>
      </c>
    </row>
    <row r="336" spans="8:14" x14ac:dyDescent="0.25">
      <c r="H336" s="201" t="str">
        <f t="shared" si="5"/>
        <v/>
      </c>
      <c r="N336" s="164" t="str">
        <f>IFERROR(COUNTIF($B$18:B336,B336)&amp;CHOOSE(MIN(4,COUNTIF($B$18:B336,B336)),"st","nd","rd","th"),"")</f>
        <v/>
      </c>
    </row>
    <row r="337" spans="8:14" x14ac:dyDescent="0.25">
      <c r="H337" s="201" t="str">
        <f t="shared" si="5"/>
        <v/>
      </c>
      <c r="N337" s="164" t="str">
        <f>IFERROR(COUNTIF($B$18:B337,B337)&amp;CHOOSE(MIN(4,COUNTIF($B$18:B337,B337)),"st","nd","rd","th"),"")</f>
        <v/>
      </c>
    </row>
    <row r="338" spans="8:14" x14ac:dyDescent="0.25">
      <c r="H338" s="201" t="str">
        <f t="shared" si="5"/>
        <v/>
      </c>
      <c r="N338" s="164" t="str">
        <f>IFERROR(COUNTIF($B$18:B338,B338)&amp;CHOOSE(MIN(4,COUNTIF($B$18:B338,B338)),"st","nd","rd","th"),"")</f>
        <v/>
      </c>
    </row>
    <row r="339" spans="8:14" x14ac:dyDescent="0.25">
      <c r="H339" s="201" t="str">
        <f t="shared" ref="H339:H402" si="6">IF(OR(ISBLANK(G339), ISBLANK(F339)), "", IF(G339=F339, 1, SUM(_xlfn.DAYS(G339, F339), 1)))</f>
        <v/>
      </c>
      <c r="N339" s="164" t="str">
        <f>IFERROR(COUNTIF($B$18:B339,B339)&amp;CHOOSE(MIN(4,COUNTIF($B$18:B339,B339)),"st","nd","rd","th"),"")</f>
        <v/>
      </c>
    </row>
    <row r="340" spans="8:14" x14ac:dyDescent="0.25">
      <c r="H340" s="201" t="str">
        <f t="shared" si="6"/>
        <v/>
      </c>
      <c r="N340" s="164" t="str">
        <f>IFERROR(COUNTIF($B$18:B340,B340)&amp;CHOOSE(MIN(4,COUNTIF($B$18:B340,B340)),"st","nd","rd","th"),"")</f>
        <v/>
      </c>
    </row>
    <row r="341" spans="8:14" x14ac:dyDescent="0.25">
      <c r="H341" s="201" t="str">
        <f t="shared" si="6"/>
        <v/>
      </c>
      <c r="N341" s="164" t="str">
        <f>IFERROR(COUNTIF($B$18:B341,B341)&amp;CHOOSE(MIN(4,COUNTIF($B$18:B341,B341)),"st","nd","rd","th"),"")</f>
        <v/>
      </c>
    </row>
    <row r="342" spans="8:14" x14ac:dyDescent="0.25">
      <c r="H342" s="201" t="str">
        <f t="shared" si="6"/>
        <v/>
      </c>
      <c r="N342" s="164" t="str">
        <f>IFERROR(COUNTIF($B$18:B342,B342)&amp;CHOOSE(MIN(4,COUNTIF($B$18:B342,B342)),"st","nd","rd","th"),"")</f>
        <v/>
      </c>
    </row>
    <row r="343" spans="8:14" x14ac:dyDescent="0.25">
      <c r="H343" s="201" t="str">
        <f t="shared" si="6"/>
        <v/>
      </c>
      <c r="N343" s="164" t="str">
        <f>IFERROR(COUNTIF($B$18:B343,B343)&amp;CHOOSE(MIN(4,COUNTIF($B$18:B343,B343)),"st","nd","rd","th"),"")</f>
        <v/>
      </c>
    </row>
    <row r="344" spans="8:14" x14ac:dyDescent="0.25">
      <c r="H344" s="201" t="str">
        <f t="shared" si="6"/>
        <v/>
      </c>
      <c r="N344" s="164" t="str">
        <f>IFERROR(COUNTIF($B$18:B344,B344)&amp;CHOOSE(MIN(4,COUNTIF($B$18:B344,B344)),"st","nd","rd","th"),"")</f>
        <v/>
      </c>
    </row>
    <row r="345" spans="8:14" x14ac:dyDescent="0.25">
      <c r="H345" s="201" t="str">
        <f t="shared" si="6"/>
        <v/>
      </c>
      <c r="N345" s="164" t="str">
        <f>IFERROR(COUNTIF($B$18:B345,B345)&amp;CHOOSE(MIN(4,COUNTIF($B$18:B345,B345)),"st","nd","rd","th"),"")</f>
        <v/>
      </c>
    </row>
    <row r="346" spans="8:14" x14ac:dyDescent="0.25">
      <c r="H346" s="201" t="str">
        <f t="shared" si="6"/>
        <v/>
      </c>
      <c r="N346" s="164" t="str">
        <f>IFERROR(COUNTIF($B$18:B346,B346)&amp;CHOOSE(MIN(4,COUNTIF($B$18:B346,B346)),"st","nd","rd","th"),"")</f>
        <v/>
      </c>
    </row>
    <row r="347" spans="8:14" x14ac:dyDescent="0.25">
      <c r="H347" s="201" t="str">
        <f t="shared" si="6"/>
        <v/>
      </c>
      <c r="N347" s="164" t="str">
        <f>IFERROR(COUNTIF($B$18:B347,B347)&amp;CHOOSE(MIN(4,COUNTIF($B$18:B347,B347)),"st","nd","rd","th"),"")</f>
        <v/>
      </c>
    </row>
    <row r="348" spans="8:14" x14ac:dyDescent="0.25">
      <c r="H348" s="201" t="str">
        <f t="shared" si="6"/>
        <v/>
      </c>
      <c r="N348" s="164" t="str">
        <f>IFERROR(COUNTIF($B$18:B348,B348)&amp;CHOOSE(MIN(4,COUNTIF($B$18:B348,B348)),"st","nd","rd","th"),"")</f>
        <v/>
      </c>
    </row>
    <row r="349" spans="8:14" x14ac:dyDescent="0.25">
      <c r="H349" s="201" t="str">
        <f t="shared" si="6"/>
        <v/>
      </c>
      <c r="N349" s="164" t="str">
        <f>IFERROR(COUNTIF($B$18:B349,B349)&amp;CHOOSE(MIN(4,COUNTIF($B$18:B349,B349)),"st","nd","rd","th"),"")</f>
        <v/>
      </c>
    </row>
    <row r="350" spans="8:14" x14ac:dyDescent="0.25">
      <c r="H350" s="201" t="str">
        <f t="shared" si="6"/>
        <v/>
      </c>
      <c r="N350" s="164" t="str">
        <f>IFERROR(COUNTIF($B$18:B350,B350)&amp;CHOOSE(MIN(4,COUNTIF($B$18:B350,B350)),"st","nd","rd","th"),"")</f>
        <v/>
      </c>
    </row>
    <row r="351" spans="8:14" x14ac:dyDescent="0.25">
      <c r="H351" s="201" t="str">
        <f t="shared" si="6"/>
        <v/>
      </c>
      <c r="N351" s="164" t="str">
        <f>IFERROR(COUNTIF($B$18:B351,B351)&amp;CHOOSE(MIN(4,COUNTIF($B$18:B351,B351)),"st","nd","rd","th"),"")</f>
        <v/>
      </c>
    </row>
    <row r="352" spans="8:14" x14ac:dyDescent="0.25">
      <c r="H352" s="201" t="str">
        <f t="shared" si="6"/>
        <v/>
      </c>
      <c r="N352" s="164" t="str">
        <f>IFERROR(COUNTIF($B$18:B352,B352)&amp;CHOOSE(MIN(4,COUNTIF($B$18:B352,B352)),"st","nd","rd","th"),"")</f>
        <v/>
      </c>
    </row>
    <row r="353" spans="8:14" x14ac:dyDescent="0.25">
      <c r="H353" s="201" t="str">
        <f t="shared" si="6"/>
        <v/>
      </c>
      <c r="N353" s="164" t="str">
        <f>IFERROR(COUNTIF($B$18:B353,B353)&amp;CHOOSE(MIN(4,COUNTIF($B$18:B353,B353)),"st","nd","rd","th"),"")</f>
        <v/>
      </c>
    </row>
    <row r="354" spans="8:14" x14ac:dyDescent="0.25">
      <c r="H354" s="201" t="str">
        <f t="shared" si="6"/>
        <v/>
      </c>
      <c r="N354" s="164" t="str">
        <f>IFERROR(COUNTIF($B$18:B354,B354)&amp;CHOOSE(MIN(4,COUNTIF($B$18:B354,B354)),"st","nd","rd","th"),"")</f>
        <v/>
      </c>
    </row>
    <row r="355" spans="8:14" x14ac:dyDescent="0.25">
      <c r="H355" s="201" t="str">
        <f t="shared" si="6"/>
        <v/>
      </c>
      <c r="N355" s="164" t="str">
        <f>IFERROR(COUNTIF($B$18:B355,B355)&amp;CHOOSE(MIN(4,COUNTIF($B$18:B355,B355)),"st","nd","rd","th"),"")</f>
        <v/>
      </c>
    </row>
    <row r="356" spans="8:14" x14ac:dyDescent="0.25">
      <c r="H356" s="201" t="str">
        <f t="shared" si="6"/>
        <v/>
      </c>
      <c r="N356" s="164" t="str">
        <f>IFERROR(COUNTIF($B$18:B356,B356)&amp;CHOOSE(MIN(4,COUNTIF($B$18:B356,B356)),"st","nd","rd","th"),"")</f>
        <v/>
      </c>
    </row>
    <row r="357" spans="8:14" x14ac:dyDescent="0.25">
      <c r="H357" s="201" t="str">
        <f t="shared" si="6"/>
        <v/>
      </c>
      <c r="N357" s="164" t="str">
        <f>IFERROR(COUNTIF($B$18:B357,B357)&amp;CHOOSE(MIN(4,COUNTIF($B$18:B357,B357)),"st","nd","rd","th"),"")</f>
        <v/>
      </c>
    </row>
    <row r="358" spans="8:14" x14ac:dyDescent="0.25">
      <c r="H358" s="201" t="str">
        <f t="shared" si="6"/>
        <v/>
      </c>
      <c r="N358" s="164" t="str">
        <f>IFERROR(COUNTIF($B$18:B358,B358)&amp;CHOOSE(MIN(4,COUNTIF($B$18:B358,B358)),"st","nd","rd","th"),"")</f>
        <v/>
      </c>
    </row>
    <row r="359" spans="8:14" x14ac:dyDescent="0.25">
      <c r="H359" s="201" t="str">
        <f t="shared" si="6"/>
        <v/>
      </c>
      <c r="N359" s="164" t="str">
        <f>IFERROR(COUNTIF($B$18:B359,B359)&amp;CHOOSE(MIN(4,COUNTIF($B$18:B359,B359)),"st","nd","rd","th"),"")</f>
        <v/>
      </c>
    </row>
    <row r="360" spans="8:14" x14ac:dyDescent="0.25">
      <c r="H360" s="201" t="str">
        <f t="shared" si="6"/>
        <v/>
      </c>
      <c r="N360" s="164" t="str">
        <f>IFERROR(COUNTIF($B$18:B360,B360)&amp;CHOOSE(MIN(4,COUNTIF($B$18:B360,B360)),"st","nd","rd","th"),"")</f>
        <v/>
      </c>
    </row>
    <row r="361" spans="8:14" x14ac:dyDescent="0.25">
      <c r="H361" s="201" t="str">
        <f t="shared" si="6"/>
        <v/>
      </c>
      <c r="N361" s="164" t="str">
        <f>IFERROR(COUNTIF($B$18:B361,B361)&amp;CHOOSE(MIN(4,COUNTIF($B$18:B361,B361)),"st","nd","rd","th"),"")</f>
        <v/>
      </c>
    </row>
    <row r="362" spans="8:14" x14ac:dyDescent="0.25">
      <c r="H362" s="201" t="str">
        <f t="shared" si="6"/>
        <v/>
      </c>
      <c r="N362" s="164" t="str">
        <f>IFERROR(COUNTIF($B$18:B362,B362)&amp;CHOOSE(MIN(4,COUNTIF($B$18:B362,B362)),"st","nd","rd","th"),"")</f>
        <v/>
      </c>
    </row>
    <row r="363" spans="8:14" x14ac:dyDescent="0.25">
      <c r="H363" s="201" t="str">
        <f t="shared" si="6"/>
        <v/>
      </c>
      <c r="N363" s="164" t="str">
        <f>IFERROR(COUNTIF($B$18:B363,B363)&amp;CHOOSE(MIN(4,COUNTIF($B$18:B363,B363)),"st","nd","rd","th"),"")</f>
        <v/>
      </c>
    </row>
    <row r="364" spans="8:14" x14ac:dyDescent="0.25">
      <c r="H364" s="201" t="str">
        <f t="shared" si="6"/>
        <v/>
      </c>
      <c r="N364" s="164" t="str">
        <f>IFERROR(COUNTIF($B$18:B364,B364)&amp;CHOOSE(MIN(4,COUNTIF($B$18:B364,B364)),"st","nd","rd","th"),"")</f>
        <v/>
      </c>
    </row>
    <row r="365" spans="8:14" x14ac:dyDescent="0.25">
      <c r="H365" s="201" t="str">
        <f t="shared" si="6"/>
        <v/>
      </c>
      <c r="N365" s="164" t="str">
        <f>IFERROR(COUNTIF($B$18:B365,B365)&amp;CHOOSE(MIN(4,COUNTIF($B$18:B365,B365)),"st","nd","rd","th"),"")</f>
        <v/>
      </c>
    </row>
    <row r="366" spans="8:14" x14ac:dyDescent="0.25">
      <c r="H366" s="201" t="str">
        <f t="shared" si="6"/>
        <v/>
      </c>
      <c r="N366" s="164" t="str">
        <f>IFERROR(COUNTIF($B$18:B366,B366)&amp;CHOOSE(MIN(4,COUNTIF($B$18:B366,B366)),"st","nd","rd","th"),"")</f>
        <v/>
      </c>
    </row>
    <row r="367" spans="8:14" x14ac:dyDescent="0.25">
      <c r="H367" s="201" t="str">
        <f t="shared" si="6"/>
        <v/>
      </c>
      <c r="N367" s="164" t="str">
        <f>IFERROR(COUNTIF($B$18:B367,B367)&amp;CHOOSE(MIN(4,COUNTIF($B$18:B367,B367)),"st","nd","rd","th"),"")</f>
        <v/>
      </c>
    </row>
    <row r="368" spans="8:14" x14ac:dyDescent="0.25">
      <c r="H368" s="201" t="str">
        <f t="shared" si="6"/>
        <v/>
      </c>
      <c r="N368" s="164" t="str">
        <f>IFERROR(COUNTIF($B$18:B368,B368)&amp;CHOOSE(MIN(4,COUNTIF($B$18:B368,B368)),"st","nd","rd","th"),"")</f>
        <v/>
      </c>
    </row>
    <row r="369" spans="8:14" x14ac:dyDescent="0.25">
      <c r="H369" s="201" t="str">
        <f t="shared" si="6"/>
        <v/>
      </c>
      <c r="N369" s="164" t="str">
        <f>IFERROR(COUNTIF($B$18:B369,B369)&amp;CHOOSE(MIN(4,COUNTIF($B$18:B369,B369)),"st","nd","rd","th"),"")</f>
        <v/>
      </c>
    </row>
    <row r="370" spans="8:14" x14ac:dyDescent="0.25">
      <c r="H370" s="201" t="str">
        <f t="shared" si="6"/>
        <v/>
      </c>
      <c r="N370" s="164" t="str">
        <f>IFERROR(COUNTIF($B$18:B370,B370)&amp;CHOOSE(MIN(4,COUNTIF($B$18:B370,B370)),"st","nd","rd","th"),"")</f>
        <v/>
      </c>
    </row>
    <row r="371" spans="8:14" x14ac:dyDescent="0.25">
      <c r="H371" s="201" t="str">
        <f t="shared" si="6"/>
        <v/>
      </c>
      <c r="N371" s="164" t="str">
        <f>IFERROR(COUNTIF($B$18:B371,B371)&amp;CHOOSE(MIN(4,COUNTIF($B$18:B371,B371)),"st","nd","rd","th"),"")</f>
        <v/>
      </c>
    </row>
    <row r="372" spans="8:14" x14ac:dyDescent="0.25">
      <c r="H372" s="201" t="str">
        <f t="shared" si="6"/>
        <v/>
      </c>
      <c r="N372" s="164" t="str">
        <f>IFERROR(COUNTIF($B$18:B372,B372)&amp;CHOOSE(MIN(4,COUNTIF($B$18:B372,B372)),"st","nd","rd","th"),"")</f>
        <v/>
      </c>
    </row>
    <row r="373" spans="8:14" x14ac:dyDescent="0.25">
      <c r="H373" s="201" t="str">
        <f t="shared" si="6"/>
        <v/>
      </c>
      <c r="N373" s="164" t="str">
        <f>IFERROR(COUNTIF($B$18:B373,B373)&amp;CHOOSE(MIN(4,COUNTIF($B$18:B373,B373)),"st","nd","rd","th"),"")</f>
        <v/>
      </c>
    </row>
    <row r="374" spans="8:14" x14ac:dyDescent="0.25">
      <c r="H374" s="201" t="str">
        <f t="shared" si="6"/>
        <v/>
      </c>
      <c r="N374" s="164" t="str">
        <f>IFERROR(COUNTIF($B$18:B374,B374)&amp;CHOOSE(MIN(4,COUNTIF($B$18:B374,B374)),"st","nd","rd","th"),"")</f>
        <v/>
      </c>
    </row>
    <row r="375" spans="8:14" x14ac:dyDescent="0.25">
      <c r="H375" s="201" t="str">
        <f t="shared" si="6"/>
        <v/>
      </c>
      <c r="N375" s="164" t="str">
        <f>IFERROR(COUNTIF($B$18:B375,B375)&amp;CHOOSE(MIN(4,COUNTIF($B$18:B375,B375)),"st","nd","rd","th"),"")</f>
        <v/>
      </c>
    </row>
    <row r="376" spans="8:14" x14ac:dyDescent="0.25">
      <c r="H376" s="201" t="str">
        <f t="shared" si="6"/>
        <v/>
      </c>
      <c r="N376" s="164" t="str">
        <f>IFERROR(COUNTIF($B$18:B376,B376)&amp;CHOOSE(MIN(4,COUNTIF($B$18:B376,B376)),"st","nd","rd","th"),"")</f>
        <v/>
      </c>
    </row>
    <row r="377" spans="8:14" x14ac:dyDescent="0.25">
      <c r="H377" s="201" t="str">
        <f t="shared" si="6"/>
        <v/>
      </c>
      <c r="N377" s="164" t="str">
        <f>IFERROR(COUNTIF($B$18:B377,B377)&amp;CHOOSE(MIN(4,COUNTIF($B$18:B377,B377)),"st","nd","rd","th"),"")</f>
        <v/>
      </c>
    </row>
    <row r="378" spans="8:14" x14ac:dyDescent="0.25">
      <c r="H378" s="201" t="str">
        <f t="shared" si="6"/>
        <v/>
      </c>
      <c r="N378" s="164" t="str">
        <f>IFERROR(COUNTIF($B$18:B378,B378)&amp;CHOOSE(MIN(4,COUNTIF($B$18:B378,B378)),"st","nd","rd","th"),"")</f>
        <v/>
      </c>
    </row>
    <row r="379" spans="8:14" x14ac:dyDescent="0.25">
      <c r="H379" s="201" t="str">
        <f t="shared" si="6"/>
        <v/>
      </c>
      <c r="N379" s="164" t="str">
        <f>IFERROR(COUNTIF($B$18:B379,B379)&amp;CHOOSE(MIN(4,COUNTIF($B$18:B379,B379)),"st","nd","rd","th"),"")</f>
        <v/>
      </c>
    </row>
    <row r="380" spans="8:14" x14ac:dyDescent="0.25">
      <c r="H380" s="201" t="str">
        <f t="shared" si="6"/>
        <v/>
      </c>
      <c r="N380" s="164" t="str">
        <f>IFERROR(COUNTIF($B$18:B380,B380)&amp;CHOOSE(MIN(4,COUNTIF($B$18:B380,B380)),"st","nd","rd","th"),"")</f>
        <v/>
      </c>
    </row>
    <row r="381" spans="8:14" x14ac:dyDescent="0.25">
      <c r="H381" s="201" t="str">
        <f t="shared" si="6"/>
        <v/>
      </c>
      <c r="N381" s="164" t="str">
        <f>IFERROR(COUNTIF($B$18:B381,B381)&amp;CHOOSE(MIN(4,COUNTIF($B$18:B381,B381)),"st","nd","rd","th"),"")</f>
        <v/>
      </c>
    </row>
    <row r="382" spans="8:14" x14ac:dyDescent="0.25">
      <c r="H382" s="201" t="str">
        <f t="shared" si="6"/>
        <v/>
      </c>
      <c r="N382" s="164" t="str">
        <f>IFERROR(COUNTIF($B$18:B382,B382)&amp;CHOOSE(MIN(4,COUNTIF($B$18:B382,B382)),"st","nd","rd","th"),"")</f>
        <v/>
      </c>
    </row>
    <row r="383" spans="8:14" x14ac:dyDescent="0.25">
      <c r="H383" s="201" t="str">
        <f t="shared" si="6"/>
        <v/>
      </c>
      <c r="N383" s="164" t="str">
        <f>IFERROR(COUNTIF($B$18:B383,B383)&amp;CHOOSE(MIN(4,COUNTIF($B$18:B383,B383)),"st","nd","rd","th"),"")</f>
        <v/>
      </c>
    </row>
    <row r="384" spans="8:14" x14ac:dyDescent="0.25">
      <c r="H384" s="201" t="str">
        <f t="shared" si="6"/>
        <v/>
      </c>
      <c r="N384" s="164" t="str">
        <f>IFERROR(COUNTIF($B$18:B384,B384)&amp;CHOOSE(MIN(4,COUNTIF($B$18:B384,B384)),"st","nd","rd","th"),"")</f>
        <v/>
      </c>
    </row>
    <row r="385" spans="8:14" x14ac:dyDescent="0.25">
      <c r="H385" s="201" t="str">
        <f t="shared" si="6"/>
        <v/>
      </c>
      <c r="N385" s="164" t="str">
        <f>IFERROR(COUNTIF($B$18:B385,B385)&amp;CHOOSE(MIN(4,COUNTIF($B$18:B385,B385)),"st","nd","rd","th"),"")</f>
        <v/>
      </c>
    </row>
    <row r="386" spans="8:14" x14ac:dyDescent="0.25">
      <c r="H386" s="201" t="str">
        <f t="shared" si="6"/>
        <v/>
      </c>
      <c r="N386" s="164" t="str">
        <f>IFERROR(COUNTIF($B$18:B386,B386)&amp;CHOOSE(MIN(4,COUNTIF($B$18:B386,B386)),"st","nd","rd","th"),"")</f>
        <v/>
      </c>
    </row>
    <row r="387" spans="8:14" x14ac:dyDescent="0.25">
      <c r="H387" s="201" t="str">
        <f t="shared" si="6"/>
        <v/>
      </c>
      <c r="N387" s="164" t="str">
        <f>IFERROR(COUNTIF($B$18:B387,B387)&amp;CHOOSE(MIN(4,COUNTIF($B$18:B387,B387)),"st","nd","rd","th"),"")</f>
        <v/>
      </c>
    </row>
    <row r="388" spans="8:14" x14ac:dyDescent="0.25">
      <c r="H388" s="201" t="str">
        <f t="shared" si="6"/>
        <v/>
      </c>
      <c r="N388" s="164" t="str">
        <f>IFERROR(COUNTIF($B$18:B388,B388)&amp;CHOOSE(MIN(4,COUNTIF($B$18:B388,B388)),"st","nd","rd","th"),"")</f>
        <v/>
      </c>
    </row>
    <row r="389" spans="8:14" x14ac:dyDescent="0.25">
      <c r="H389" s="201" t="str">
        <f t="shared" si="6"/>
        <v/>
      </c>
      <c r="N389" s="164" t="str">
        <f>IFERROR(COUNTIF($B$18:B389,B389)&amp;CHOOSE(MIN(4,COUNTIF($B$18:B389,B389)),"st","nd","rd","th"),"")</f>
        <v/>
      </c>
    </row>
    <row r="390" spans="8:14" x14ac:dyDescent="0.25">
      <c r="H390" s="201" t="str">
        <f t="shared" si="6"/>
        <v/>
      </c>
      <c r="N390" s="164" t="str">
        <f>IFERROR(COUNTIF($B$18:B390,B390)&amp;CHOOSE(MIN(4,COUNTIF($B$18:B390,B390)),"st","nd","rd","th"),"")</f>
        <v/>
      </c>
    </row>
    <row r="391" spans="8:14" x14ac:dyDescent="0.25">
      <c r="H391" s="201" t="str">
        <f t="shared" si="6"/>
        <v/>
      </c>
      <c r="N391" s="164" t="str">
        <f>IFERROR(COUNTIF($B$18:B391,B391)&amp;CHOOSE(MIN(4,COUNTIF($B$18:B391,B391)),"st","nd","rd","th"),"")</f>
        <v/>
      </c>
    </row>
    <row r="392" spans="8:14" x14ac:dyDescent="0.25">
      <c r="H392" s="201" t="str">
        <f t="shared" si="6"/>
        <v/>
      </c>
      <c r="N392" s="164" t="str">
        <f>IFERROR(COUNTIF($B$18:B392,B392)&amp;CHOOSE(MIN(4,COUNTIF($B$18:B392,B392)),"st","nd","rd","th"),"")</f>
        <v/>
      </c>
    </row>
    <row r="393" spans="8:14" x14ac:dyDescent="0.25">
      <c r="H393" s="201" t="str">
        <f t="shared" si="6"/>
        <v/>
      </c>
      <c r="N393" s="164" t="str">
        <f>IFERROR(COUNTIF($B$18:B393,B393)&amp;CHOOSE(MIN(4,COUNTIF($B$18:B393,B393)),"st","nd","rd","th"),"")</f>
        <v/>
      </c>
    </row>
    <row r="394" spans="8:14" x14ac:dyDescent="0.25">
      <c r="H394" s="201" t="str">
        <f t="shared" si="6"/>
        <v/>
      </c>
      <c r="N394" s="164" t="str">
        <f>IFERROR(COUNTIF($B$18:B394,B394)&amp;CHOOSE(MIN(4,COUNTIF($B$18:B394,B394)),"st","nd","rd","th"),"")</f>
        <v/>
      </c>
    </row>
    <row r="395" spans="8:14" x14ac:dyDescent="0.25">
      <c r="H395" s="201" t="str">
        <f t="shared" si="6"/>
        <v/>
      </c>
      <c r="N395" s="164" t="str">
        <f>IFERROR(COUNTIF($B$18:B395,B395)&amp;CHOOSE(MIN(4,COUNTIF($B$18:B395,B395)),"st","nd","rd","th"),"")</f>
        <v/>
      </c>
    </row>
    <row r="396" spans="8:14" x14ac:dyDescent="0.25">
      <c r="H396" s="201" t="str">
        <f t="shared" si="6"/>
        <v/>
      </c>
      <c r="N396" s="164" t="str">
        <f>IFERROR(COUNTIF($B$18:B396,B396)&amp;CHOOSE(MIN(4,COUNTIF($B$18:B396,B396)),"st","nd","rd","th"),"")</f>
        <v/>
      </c>
    </row>
    <row r="397" spans="8:14" x14ac:dyDescent="0.25">
      <c r="H397" s="201" t="str">
        <f t="shared" si="6"/>
        <v/>
      </c>
      <c r="N397" s="164" t="str">
        <f>IFERROR(COUNTIF($B$18:B397,B397)&amp;CHOOSE(MIN(4,COUNTIF($B$18:B397,B397)),"st","nd","rd","th"),"")</f>
        <v/>
      </c>
    </row>
    <row r="398" spans="8:14" x14ac:dyDescent="0.25">
      <c r="H398" s="201" t="str">
        <f t="shared" si="6"/>
        <v/>
      </c>
      <c r="N398" s="164" t="str">
        <f>IFERROR(COUNTIF($B$18:B398,B398)&amp;CHOOSE(MIN(4,COUNTIF($B$18:B398,B398)),"st","nd","rd","th"),"")</f>
        <v/>
      </c>
    </row>
    <row r="399" spans="8:14" x14ac:dyDescent="0.25">
      <c r="H399" s="201" t="str">
        <f t="shared" si="6"/>
        <v/>
      </c>
      <c r="N399" s="164" t="str">
        <f>IFERROR(COUNTIF($B$18:B399,B399)&amp;CHOOSE(MIN(4,COUNTIF($B$18:B399,B399)),"st","nd","rd","th"),"")</f>
        <v/>
      </c>
    </row>
    <row r="400" spans="8:14" x14ac:dyDescent="0.25">
      <c r="H400" s="201" t="str">
        <f t="shared" si="6"/>
        <v/>
      </c>
      <c r="N400" s="164" t="str">
        <f>IFERROR(COUNTIF($B$18:B400,B400)&amp;CHOOSE(MIN(4,COUNTIF($B$18:B400,B400)),"st","nd","rd","th"),"")</f>
        <v/>
      </c>
    </row>
    <row r="401" spans="8:14" x14ac:dyDescent="0.25">
      <c r="H401" s="201" t="str">
        <f t="shared" si="6"/>
        <v/>
      </c>
      <c r="N401" s="164" t="str">
        <f>IFERROR(COUNTIF($B$18:B401,B401)&amp;CHOOSE(MIN(4,COUNTIF($B$18:B401,B401)),"st","nd","rd","th"),"")</f>
        <v/>
      </c>
    </row>
    <row r="402" spans="8:14" x14ac:dyDescent="0.25">
      <c r="H402" s="201" t="str">
        <f t="shared" si="6"/>
        <v/>
      </c>
      <c r="N402" s="164" t="str">
        <f>IFERROR(COUNTIF($B$18:B402,B402)&amp;CHOOSE(MIN(4,COUNTIF($B$18:B402,B402)),"st","nd","rd","th"),"")</f>
        <v/>
      </c>
    </row>
    <row r="403" spans="8:14" x14ac:dyDescent="0.25">
      <c r="H403" s="201" t="str">
        <f t="shared" ref="H403:H466" si="7">IF(OR(ISBLANK(G403), ISBLANK(F403)), "", IF(G403=F403, 1, SUM(_xlfn.DAYS(G403, F403), 1)))</f>
        <v/>
      </c>
      <c r="N403" s="164" t="str">
        <f>IFERROR(COUNTIF($B$18:B403,B403)&amp;CHOOSE(MIN(4,COUNTIF($B$18:B403,B403)),"st","nd","rd","th"),"")</f>
        <v/>
      </c>
    </row>
    <row r="404" spans="8:14" x14ac:dyDescent="0.25">
      <c r="H404" s="201" t="str">
        <f t="shared" si="7"/>
        <v/>
      </c>
      <c r="N404" s="164" t="str">
        <f>IFERROR(COUNTIF($B$18:B404,B404)&amp;CHOOSE(MIN(4,COUNTIF($B$18:B404,B404)),"st","nd","rd","th"),"")</f>
        <v/>
      </c>
    </row>
    <row r="405" spans="8:14" x14ac:dyDescent="0.25">
      <c r="H405" s="201" t="str">
        <f t="shared" si="7"/>
        <v/>
      </c>
      <c r="N405" s="164" t="str">
        <f>IFERROR(COUNTIF($B$18:B405,B405)&amp;CHOOSE(MIN(4,COUNTIF($B$18:B405,B405)),"st","nd","rd","th"),"")</f>
        <v/>
      </c>
    </row>
    <row r="406" spans="8:14" x14ac:dyDescent="0.25">
      <c r="H406" s="201" t="str">
        <f t="shared" si="7"/>
        <v/>
      </c>
      <c r="N406" s="164" t="str">
        <f>IFERROR(COUNTIF($B$18:B406,B406)&amp;CHOOSE(MIN(4,COUNTIF($B$18:B406,B406)),"st","nd","rd","th"),"")</f>
        <v/>
      </c>
    </row>
    <row r="407" spans="8:14" x14ac:dyDescent="0.25">
      <c r="H407" s="201" t="str">
        <f t="shared" si="7"/>
        <v/>
      </c>
      <c r="N407" s="164" t="str">
        <f>IFERROR(COUNTIF($B$18:B407,B407)&amp;CHOOSE(MIN(4,COUNTIF($B$18:B407,B407)),"st","nd","rd","th"),"")</f>
        <v/>
      </c>
    </row>
    <row r="408" spans="8:14" x14ac:dyDescent="0.25">
      <c r="H408" s="201" t="str">
        <f t="shared" si="7"/>
        <v/>
      </c>
      <c r="N408" s="164" t="str">
        <f>IFERROR(COUNTIF($B$18:B408,B408)&amp;CHOOSE(MIN(4,COUNTIF($B$18:B408,B408)),"st","nd","rd","th"),"")</f>
        <v/>
      </c>
    </row>
    <row r="409" spans="8:14" x14ac:dyDescent="0.25">
      <c r="H409" s="201" t="str">
        <f t="shared" si="7"/>
        <v/>
      </c>
      <c r="N409" s="164" t="str">
        <f>IFERROR(COUNTIF($B$18:B409,B409)&amp;CHOOSE(MIN(4,COUNTIF($B$18:B409,B409)),"st","nd","rd","th"),"")</f>
        <v/>
      </c>
    </row>
    <row r="410" spans="8:14" x14ac:dyDescent="0.25">
      <c r="H410" s="201" t="str">
        <f t="shared" si="7"/>
        <v/>
      </c>
      <c r="N410" s="164" t="str">
        <f>IFERROR(COUNTIF($B$18:B410,B410)&amp;CHOOSE(MIN(4,COUNTIF($B$18:B410,B410)),"st","nd","rd","th"),"")</f>
        <v/>
      </c>
    </row>
    <row r="411" spans="8:14" x14ac:dyDescent="0.25">
      <c r="H411" s="201" t="str">
        <f t="shared" si="7"/>
        <v/>
      </c>
      <c r="N411" s="164" t="str">
        <f>IFERROR(COUNTIF($B$18:B411,B411)&amp;CHOOSE(MIN(4,COUNTIF($B$18:B411,B411)),"st","nd","rd","th"),"")</f>
        <v/>
      </c>
    </row>
    <row r="412" spans="8:14" x14ac:dyDescent="0.25">
      <c r="H412" s="201" t="str">
        <f t="shared" si="7"/>
        <v/>
      </c>
      <c r="N412" s="164" t="str">
        <f>IFERROR(COUNTIF($B$18:B412,B412)&amp;CHOOSE(MIN(4,COUNTIF($B$18:B412,B412)),"st","nd","rd","th"),"")</f>
        <v/>
      </c>
    </row>
    <row r="413" spans="8:14" x14ac:dyDescent="0.25">
      <c r="H413" s="201" t="str">
        <f t="shared" si="7"/>
        <v/>
      </c>
      <c r="N413" s="164" t="str">
        <f>IFERROR(COUNTIF($B$18:B413,B413)&amp;CHOOSE(MIN(4,COUNTIF($B$18:B413,B413)),"st","nd","rd","th"),"")</f>
        <v/>
      </c>
    </row>
    <row r="414" spans="8:14" x14ac:dyDescent="0.25">
      <c r="H414" s="201" t="str">
        <f t="shared" si="7"/>
        <v/>
      </c>
      <c r="N414" s="164" t="str">
        <f>IFERROR(COUNTIF($B$18:B414,B414)&amp;CHOOSE(MIN(4,COUNTIF($B$18:B414,B414)),"st","nd","rd","th"),"")</f>
        <v/>
      </c>
    </row>
    <row r="415" spans="8:14" x14ac:dyDescent="0.25">
      <c r="H415" s="201" t="str">
        <f t="shared" si="7"/>
        <v/>
      </c>
      <c r="N415" s="164" t="str">
        <f>IFERROR(COUNTIF($B$18:B415,B415)&amp;CHOOSE(MIN(4,COUNTIF($B$18:B415,B415)),"st","nd","rd","th"),"")</f>
        <v/>
      </c>
    </row>
    <row r="416" spans="8:14" x14ac:dyDescent="0.25">
      <c r="H416" s="201" t="str">
        <f t="shared" si="7"/>
        <v/>
      </c>
      <c r="N416" s="164" t="str">
        <f>IFERROR(COUNTIF($B$18:B416,B416)&amp;CHOOSE(MIN(4,COUNTIF($B$18:B416,B416)),"st","nd","rd","th"),"")</f>
        <v/>
      </c>
    </row>
    <row r="417" spans="8:14" x14ac:dyDescent="0.25">
      <c r="H417" s="201" t="str">
        <f t="shared" si="7"/>
        <v/>
      </c>
      <c r="N417" s="164" t="str">
        <f>IFERROR(COUNTIF($B$18:B417,B417)&amp;CHOOSE(MIN(4,COUNTIF($B$18:B417,B417)),"st","nd","rd","th"),"")</f>
        <v/>
      </c>
    </row>
    <row r="418" spans="8:14" x14ac:dyDescent="0.25">
      <c r="H418" s="201" t="str">
        <f t="shared" si="7"/>
        <v/>
      </c>
      <c r="N418" s="164" t="str">
        <f>IFERROR(COUNTIF($B$18:B418,B418)&amp;CHOOSE(MIN(4,COUNTIF($B$18:B418,B418)),"st","nd","rd","th"),"")</f>
        <v/>
      </c>
    </row>
    <row r="419" spans="8:14" x14ac:dyDescent="0.25">
      <c r="H419" s="201" t="str">
        <f t="shared" si="7"/>
        <v/>
      </c>
      <c r="N419" s="164" t="str">
        <f>IFERROR(COUNTIF($B$18:B419,B419)&amp;CHOOSE(MIN(4,COUNTIF($B$18:B419,B419)),"st","nd","rd","th"),"")</f>
        <v/>
      </c>
    </row>
    <row r="420" spans="8:14" x14ac:dyDescent="0.25">
      <c r="H420" s="201" t="str">
        <f t="shared" si="7"/>
        <v/>
      </c>
      <c r="N420" s="164" t="str">
        <f>IFERROR(COUNTIF($B$18:B420,B420)&amp;CHOOSE(MIN(4,COUNTIF($B$18:B420,B420)),"st","nd","rd","th"),"")</f>
        <v/>
      </c>
    </row>
    <row r="421" spans="8:14" x14ac:dyDescent="0.25">
      <c r="H421" s="201" t="str">
        <f t="shared" si="7"/>
        <v/>
      </c>
      <c r="N421" s="164" t="str">
        <f>IFERROR(COUNTIF($B$18:B421,B421)&amp;CHOOSE(MIN(4,COUNTIF($B$18:B421,B421)),"st","nd","rd","th"),"")</f>
        <v/>
      </c>
    </row>
    <row r="422" spans="8:14" x14ac:dyDescent="0.25">
      <c r="H422" s="201" t="str">
        <f t="shared" si="7"/>
        <v/>
      </c>
      <c r="N422" s="164" t="str">
        <f>IFERROR(COUNTIF($B$18:B422,B422)&amp;CHOOSE(MIN(4,COUNTIF($B$18:B422,B422)),"st","nd","rd","th"),"")</f>
        <v/>
      </c>
    </row>
    <row r="423" spans="8:14" x14ac:dyDescent="0.25">
      <c r="H423" s="201" t="str">
        <f t="shared" si="7"/>
        <v/>
      </c>
      <c r="N423" s="164" t="str">
        <f>IFERROR(COUNTIF($B$18:B423,B423)&amp;CHOOSE(MIN(4,COUNTIF($B$18:B423,B423)),"st","nd","rd","th"),"")</f>
        <v/>
      </c>
    </row>
    <row r="424" spans="8:14" x14ac:dyDescent="0.25">
      <c r="H424" s="201" t="str">
        <f t="shared" si="7"/>
        <v/>
      </c>
      <c r="N424" s="164" t="str">
        <f>IFERROR(COUNTIF($B$18:B424,B424)&amp;CHOOSE(MIN(4,COUNTIF($B$18:B424,B424)),"st","nd","rd","th"),"")</f>
        <v/>
      </c>
    </row>
    <row r="425" spans="8:14" x14ac:dyDescent="0.25">
      <c r="H425" s="201" t="str">
        <f t="shared" si="7"/>
        <v/>
      </c>
      <c r="N425" s="164" t="str">
        <f>IFERROR(COUNTIF($B$18:B425,B425)&amp;CHOOSE(MIN(4,COUNTIF($B$18:B425,B425)),"st","nd","rd","th"),"")</f>
        <v/>
      </c>
    </row>
    <row r="426" spans="8:14" x14ac:dyDescent="0.25">
      <c r="H426" s="201" t="str">
        <f t="shared" si="7"/>
        <v/>
      </c>
      <c r="N426" s="164" t="str">
        <f>IFERROR(COUNTIF($B$18:B426,B426)&amp;CHOOSE(MIN(4,COUNTIF($B$18:B426,B426)),"st","nd","rd","th"),"")</f>
        <v/>
      </c>
    </row>
    <row r="427" spans="8:14" x14ac:dyDescent="0.25">
      <c r="H427" s="201" t="str">
        <f t="shared" si="7"/>
        <v/>
      </c>
      <c r="N427" s="164" t="str">
        <f>IFERROR(COUNTIF($B$18:B427,B427)&amp;CHOOSE(MIN(4,COUNTIF($B$18:B427,B427)),"st","nd","rd","th"),"")</f>
        <v/>
      </c>
    </row>
    <row r="428" spans="8:14" x14ac:dyDescent="0.25">
      <c r="H428" s="201" t="str">
        <f t="shared" si="7"/>
        <v/>
      </c>
      <c r="N428" s="164" t="str">
        <f>IFERROR(COUNTIF($B$18:B428,B428)&amp;CHOOSE(MIN(4,COUNTIF($B$18:B428,B428)),"st","nd","rd","th"),"")</f>
        <v/>
      </c>
    </row>
    <row r="429" spans="8:14" x14ac:dyDescent="0.25">
      <c r="H429" s="201" t="str">
        <f t="shared" si="7"/>
        <v/>
      </c>
      <c r="N429" s="164" t="str">
        <f>IFERROR(COUNTIF($B$18:B429,B429)&amp;CHOOSE(MIN(4,COUNTIF($B$18:B429,B429)),"st","nd","rd","th"),"")</f>
        <v/>
      </c>
    </row>
    <row r="430" spans="8:14" x14ac:dyDescent="0.25">
      <c r="H430" s="201" t="str">
        <f t="shared" si="7"/>
        <v/>
      </c>
      <c r="N430" s="164" t="str">
        <f>IFERROR(COUNTIF($B$18:B430,B430)&amp;CHOOSE(MIN(4,COUNTIF($B$18:B430,B430)),"st","nd","rd","th"),"")</f>
        <v/>
      </c>
    </row>
    <row r="431" spans="8:14" x14ac:dyDescent="0.25">
      <c r="H431" s="201" t="str">
        <f t="shared" si="7"/>
        <v/>
      </c>
      <c r="N431" s="164" t="str">
        <f>IFERROR(COUNTIF($B$18:B431,B431)&amp;CHOOSE(MIN(4,COUNTIF($B$18:B431,B431)),"st","nd","rd","th"),"")</f>
        <v/>
      </c>
    </row>
    <row r="432" spans="8:14" x14ac:dyDescent="0.25">
      <c r="H432" s="201" t="str">
        <f t="shared" si="7"/>
        <v/>
      </c>
      <c r="N432" s="164" t="str">
        <f>IFERROR(COUNTIF($B$18:B432,B432)&amp;CHOOSE(MIN(4,COUNTIF($B$18:B432,B432)),"st","nd","rd","th"),"")</f>
        <v/>
      </c>
    </row>
    <row r="433" spans="8:14" x14ac:dyDescent="0.25">
      <c r="H433" s="201" t="str">
        <f t="shared" si="7"/>
        <v/>
      </c>
      <c r="N433" s="164" t="str">
        <f>IFERROR(COUNTIF($B$18:B433,B433)&amp;CHOOSE(MIN(4,COUNTIF($B$18:B433,B433)),"st","nd","rd","th"),"")</f>
        <v/>
      </c>
    </row>
    <row r="434" spans="8:14" x14ac:dyDescent="0.25">
      <c r="H434" s="201" t="str">
        <f t="shared" si="7"/>
        <v/>
      </c>
      <c r="N434" s="164" t="str">
        <f>IFERROR(COUNTIF($B$18:B434,B434)&amp;CHOOSE(MIN(4,COUNTIF($B$18:B434,B434)),"st","nd","rd","th"),"")</f>
        <v/>
      </c>
    </row>
    <row r="435" spans="8:14" x14ac:dyDescent="0.25">
      <c r="H435" s="201" t="str">
        <f t="shared" si="7"/>
        <v/>
      </c>
      <c r="N435" s="164" t="str">
        <f>IFERROR(COUNTIF($B$18:B435,B435)&amp;CHOOSE(MIN(4,COUNTIF($B$18:B435,B435)),"st","nd","rd","th"),"")</f>
        <v/>
      </c>
    </row>
    <row r="436" spans="8:14" x14ac:dyDescent="0.25">
      <c r="H436" s="201" t="str">
        <f t="shared" si="7"/>
        <v/>
      </c>
      <c r="N436" s="164" t="str">
        <f>IFERROR(COUNTIF($B$18:B436,B436)&amp;CHOOSE(MIN(4,COUNTIF($B$18:B436,B436)),"st","nd","rd","th"),"")</f>
        <v/>
      </c>
    </row>
    <row r="437" spans="8:14" x14ac:dyDescent="0.25">
      <c r="H437" s="201" t="str">
        <f t="shared" si="7"/>
        <v/>
      </c>
      <c r="N437" s="164" t="str">
        <f>IFERROR(COUNTIF($B$18:B437,B437)&amp;CHOOSE(MIN(4,COUNTIF($B$18:B437,B437)),"st","nd","rd","th"),"")</f>
        <v/>
      </c>
    </row>
    <row r="438" spans="8:14" x14ac:dyDescent="0.25">
      <c r="H438" s="201" t="str">
        <f t="shared" si="7"/>
        <v/>
      </c>
      <c r="N438" s="164" t="str">
        <f>IFERROR(COUNTIF($B$18:B438,B438)&amp;CHOOSE(MIN(4,COUNTIF($B$18:B438,B438)),"st","nd","rd","th"),"")</f>
        <v/>
      </c>
    </row>
    <row r="439" spans="8:14" x14ac:dyDescent="0.25">
      <c r="H439" s="201" t="str">
        <f t="shared" si="7"/>
        <v/>
      </c>
      <c r="N439" s="164" t="str">
        <f>IFERROR(COUNTIF($B$18:B439,B439)&amp;CHOOSE(MIN(4,COUNTIF($B$18:B439,B439)),"st","nd","rd","th"),"")</f>
        <v/>
      </c>
    </row>
    <row r="440" spans="8:14" x14ac:dyDescent="0.25">
      <c r="H440" s="201" t="str">
        <f t="shared" si="7"/>
        <v/>
      </c>
      <c r="N440" s="164" t="str">
        <f>IFERROR(COUNTIF($B$18:B440,B440)&amp;CHOOSE(MIN(4,COUNTIF($B$18:B440,B440)),"st","nd","rd","th"),"")</f>
        <v/>
      </c>
    </row>
    <row r="441" spans="8:14" x14ac:dyDescent="0.25">
      <c r="H441" s="201" t="str">
        <f t="shared" si="7"/>
        <v/>
      </c>
      <c r="N441" s="164" t="str">
        <f>IFERROR(COUNTIF($B$18:B441,B441)&amp;CHOOSE(MIN(4,COUNTIF($B$18:B441,B441)),"st","nd","rd","th"),"")</f>
        <v/>
      </c>
    </row>
    <row r="442" spans="8:14" x14ac:dyDescent="0.25">
      <c r="H442" s="201" t="str">
        <f t="shared" si="7"/>
        <v/>
      </c>
      <c r="N442" s="164" t="str">
        <f>IFERROR(COUNTIF($B$18:B442,B442)&amp;CHOOSE(MIN(4,COUNTIF($B$18:B442,B442)),"st","nd","rd","th"),"")</f>
        <v/>
      </c>
    </row>
    <row r="443" spans="8:14" x14ac:dyDescent="0.25">
      <c r="H443" s="201" t="str">
        <f t="shared" si="7"/>
        <v/>
      </c>
      <c r="N443" s="164" t="str">
        <f>IFERROR(COUNTIF($B$18:B443,B443)&amp;CHOOSE(MIN(4,COUNTIF($B$18:B443,B443)),"st","nd","rd","th"),"")</f>
        <v/>
      </c>
    </row>
    <row r="444" spans="8:14" x14ac:dyDescent="0.25">
      <c r="H444" s="201" t="str">
        <f t="shared" si="7"/>
        <v/>
      </c>
      <c r="N444" s="164" t="str">
        <f>IFERROR(COUNTIF($B$18:B444,B444)&amp;CHOOSE(MIN(4,COUNTIF($B$18:B444,B444)),"st","nd","rd","th"),"")</f>
        <v/>
      </c>
    </row>
    <row r="445" spans="8:14" x14ac:dyDescent="0.25">
      <c r="H445" s="201" t="str">
        <f t="shared" si="7"/>
        <v/>
      </c>
      <c r="N445" s="164" t="str">
        <f>IFERROR(COUNTIF($B$18:B445,B445)&amp;CHOOSE(MIN(4,COUNTIF($B$18:B445,B445)),"st","nd","rd","th"),"")</f>
        <v/>
      </c>
    </row>
    <row r="446" spans="8:14" x14ac:dyDescent="0.25">
      <c r="H446" s="201" t="str">
        <f t="shared" si="7"/>
        <v/>
      </c>
      <c r="N446" s="164" t="str">
        <f>IFERROR(COUNTIF($B$18:B446,B446)&amp;CHOOSE(MIN(4,COUNTIF($B$18:B446,B446)),"st","nd","rd","th"),"")</f>
        <v/>
      </c>
    </row>
    <row r="447" spans="8:14" x14ac:dyDescent="0.25">
      <c r="H447" s="201" t="str">
        <f t="shared" si="7"/>
        <v/>
      </c>
      <c r="N447" s="164" t="str">
        <f>IFERROR(COUNTIF($B$18:B447,B447)&amp;CHOOSE(MIN(4,COUNTIF($B$18:B447,B447)),"st","nd","rd","th"),"")</f>
        <v/>
      </c>
    </row>
    <row r="448" spans="8:14" x14ac:dyDescent="0.25">
      <c r="H448" s="201" t="str">
        <f t="shared" si="7"/>
        <v/>
      </c>
      <c r="N448" s="164" t="str">
        <f>IFERROR(COUNTIF($B$18:B448,B448)&amp;CHOOSE(MIN(4,COUNTIF($B$18:B448,B448)),"st","nd","rd","th"),"")</f>
        <v/>
      </c>
    </row>
    <row r="449" spans="8:14" x14ac:dyDescent="0.25">
      <c r="H449" s="201" t="str">
        <f t="shared" si="7"/>
        <v/>
      </c>
      <c r="N449" s="164" t="str">
        <f>IFERROR(COUNTIF($B$18:B449,B449)&amp;CHOOSE(MIN(4,COUNTIF($B$18:B449,B449)),"st","nd","rd","th"),"")</f>
        <v/>
      </c>
    </row>
    <row r="450" spans="8:14" x14ac:dyDescent="0.25">
      <c r="H450" s="201" t="str">
        <f t="shared" si="7"/>
        <v/>
      </c>
      <c r="N450" s="164" t="str">
        <f>IFERROR(COUNTIF($B$18:B450,B450)&amp;CHOOSE(MIN(4,COUNTIF($B$18:B450,B450)),"st","nd","rd","th"),"")</f>
        <v/>
      </c>
    </row>
    <row r="451" spans="8:14" x14ac:dyDescent="0.25">
      <c r="H451" s="201" t="str">
        <f t="shared" si="7"/>
        <v/>
      </c>
      <c r="N451" s="164" t="str">
        <f>IFERROR(COUNTIF($B$18:B451,B451)&amp;CHOOSE(MIN(4,COUNTIF($B$18:B451,B451)),"st","nd","rd","th"),"")</f>
        <v/>
      </c>
    </row>
    <row r="452" spans="8:14" x14ac:dyDescent="0.25">
      <c r="H452" s="201" t="str">
        <f t="shared" si="7"/>
        <v/>
      </c>
      <c r="N452" s="164" t="str">
        <f>IFERROR(COUNTIF($B$18:B452,B452)&amp;CHOOSE(MIN(4,COUNTIF($B$18:B452,B452)),"st","nd","rd","th"),"")</f>
        <v/>
      </c>
    </row>
    <row r="453" spans="8:14" x14ac:dyDescent="0.25">
      <c r="H453" s="201" t="str">
        <f t="shared" si="7"/>
        <v/>
      </c>
      <c r="N453" s="164" t="str">
        <f>IFERROR(COUNTIF($B$18:B453,B453)&amp;CHOOSE(MIN(4,COUNTIF($B$18:B453,B453)),"st","nd","rd","th"),"")</f>
        <v/>
      </c>
    </row>
    <row r="454" spans="8:14" x14ac:dyDescent="0.25">
      <c r="H454" s="201" t="str">
        <f t="shared" si="7"/>
        <v/>
      </c>
      <c r="N454" s="164" t="str">
        <f>IFERROR(COUNTIF($B$18:B454,B454)&amp;CHOOSE(MIN(4,COUNTIF($B$18:B454,B454)),"st","nd","rd","th"),"")</f>
        <v/>
      </c>
    </row>
    <row r="455" spans="8:14" x14ac:dyDescent="0.25">
      <c r="H455" s="201" t="str">
        <f t="shared" si="7"/>
        <v/>
      </c>
      <c r="N455" s="164" t="str">
        <f>IFERROR(COUNTIF($B$18:B455,B455)&amp;CHOOSE(MIN(4,COUNTIF($B$18:B455,B455)),"st","nd","rd","th"),"")</f>
        <v/>
      </c>
    </row>
    <row r="456" spans="8:14" x14ac:dyDescent="0.25">
      <c r="H456" s="201" t="str">
        <f t="shared" si="7"/>
        <v/>
      </c>
      <c r="N456" s="164" t="str">
        <f>IFERROR(COUNTIF($B$18:B456,B456)&amp;CHOOSE(MIN(4,COUNTIF($B$18:B456,B456)),"st","nd","rd","th"),"")</f>
        <v/>
      </c>
    </row>
    <row r="457" spans="8:14" x14ac:dyDescent="0.25">
      <c r="H457" s="201" t="str">
        <f t="shared" si="7"/>
        <v/>
      </c>
      <c r="N457" s="164" t="str">
        <f>IFERROR(COUNTIF($B$18:B457,B457)&amp;CHOOSE(MIN(4,COUNTIF($B$18:B457,B457)),"st","nd","rd","th"),"")</f>
        <v/>
      </c>
    </row>
    <row r="458" spans="8:14" x14ac:dyDescent="0.25">
      <c r="H458" s="201" t="str">
        <f t="shared" si="7"/>
        <v/>
      </c>
      <c r="N458" s="164" t="str">
        <f>IFERROR(COUNTIF($B$18:B458,B458)&amp;CHOOSE(MIN(4,COUNTIF($B$18:B458,B458)),"st","nd","rd","th"),"")</f>
        <v/>
      </c>
    </row>
    <row r="459" spans="8:14" x14ac:dyDescent="0.25">
      <c r="H459" s="201" t="str">
        <f t="shared" si="7"/>
        <v/>
      </c>
      <c r="N459" s="164" t="str">
        <f>IFERROR(COUNTIF($B$18:B459,B459)&amp;CHOOSE(MIN(4,COUNTIF($B$18:B459,B459)),"st","nd","rd","th"),"")</f>
        <v/>
      </c>
    </row>
    <row r="460" spans="8:14" x14ac:dyDescent="0.25">
      <c r="H460" s="201" t="str">
        <f t="shared" si="7"/>
        <v/>
      </c>
      <c r="N460" s="164" t="str">
        <f>IFERROR(COUNTIF($B$18:B460,B460)&amp;CHOOSE(MIN(4,COUNTIF($B$18:B460,B460)),"st","nd","rd","th"),"")</f>
        <v/>
      </c>
    </row>
    <row r="461" spans="8:14" x14ac:dyDescent="0.25">
      <c r="H461" s="201" t="str">
        <f t="shared" si="7"/>
        <v/>
      </c>
      <c r="N461" s="164" t="str">
        <f>IFERROR(COUNTIF($B$18:B461,B461)&amp;CHOOSE(MIN(4,COUNTIF($B$18:B461,B461)),"st","nd","rd","th"),"")</f>
        <v/>
      </c>
    </row>
    <row r="462" spans="8:14" x14ac:dyDescent="0.25">
      <c r="H462" s="201" t="str">
        <f t="shared" si="7"/>
        <v/>
      </c>
      <c r="N462" s="164" t="str">
        <f>IFERROR(COUNTIF($B$18:B462,B462)&amp;CHOOSE(MIN(4,COUNTIF($B$18:B462,B462)),"st","nd","rd","th"),"")</f>
        <v/>
      </c>
    </row>
    <row r="463" spans="8:14" x14ac:dyDescent="0.25">
      <c r="H463" s="201" t="str">
        <f t="shared" si="7"/>
        <v/>
      </c>
      <c r="N463" s="164" t="str">
        <f>IFERROR(COUNTIF($B$18:B463,B463)&amp;CHOOSE(MIN(4,COUNTIF($B$18:B463,B463)),"st","nd","rd","th"),"")</f>
        <v/>
      </c>
    </row>
    <row r="464" spans="8:14" x14ac:dyDescent="0.25">
      <c r="H464" s="201" t="str">
        <f t="shared" si="7"/>
        <v/>
      </c>
      <c r="N464" s="164" t="str">
        <f>IFERROR(COUNTIF($B$18:B464,B464)&amp;CHOOSE(MIN(4,COUNTIF($B$18:B464,B464)),"st","nd","rd","th"),"")</f>
        <v/>
      </c>
    </row>
    <row r="465" spans="8:14" x14ac:dyDescent="0.25">
      <c r="H465" s="201" t="str">
        <f t="shared" si="7"/>
        <v/>
      </c>
      <c r="N465" s="164" t="str">
        <f>IFERROR(COUNTIF($B$18:B465,B465)&amp;CHOOSE(MIN(4,COUNTIF($B$18:B465,B465)),"st","nd","rd","th"),"")</f>
        <v/>
      </c>
    </row>
    <row r="466" spans="8:14" x14ac:dyDescent="0.25">
      <c r="H466" s="201" t="str">
        <f t="shared" si="7"/>
        <v/>
      </c>
      <c r="N466" s="164" t="str">
        <f>IFERROR(COUNTIF($B$18:B466,B466)&amp;CHOOSE(MIN(4,COUNTIF($B$18:B466,B466)),"st","nd","rd","th"),"")</f>
        <v/>
      </c>
    </row>
    <row r="467" spans="8:14" x14ac:dyDescent="0.25">
      <c r="H467" s="201" t="str">
        <f t="shared" ref="H467:H530" si="8">IF(OR(ISBLANK(G467), ISBLANK(F467)), "", IF(G467=F467, 1, SUM(_xlfn.DAYS(G467, F467), 1)))</f>
        <v/>
      </c>
      <c r="N467" s="164" t="str">
        <f>IFERROR(COUNTIF($B$18:B467,B467)&amp;CHOOSE(MIN(4,COUNTIF($B$18:B467,B467)),"st","nd","rd","th"),"")</f>
        <v/>
      </c>
    </row>
    <row r="468" spans="8:14" x14ac:dyDescent="0.25">
      <c r="H468" s="201" t="str">
        <f t="shared" si="8"/>
        <v/>
      </c>
      <c r="N468" s="164" t="str">
        <f>IFERROR(COUNTIF($B$18:B468,B468)&amp;CHOOSE(MIN(4,COUNTIF($B$18:B468,B468)),"st","nd","rd","th"),"")</f>
        <v/>
      </c>
    </row>
    <row r="469" spans="8:14" x14ac:dyDescent="0.25">
      <c r="H469" s="201" t="str">
        <f t="shared" si="8"/>
        <v/>
      </c>
      <c r="N469" s="164" t="str">
        <f>IFERROR(COUNTIF($B$18:B469,B469)&amp;CHOOSE(MIN(4,COUNTIF($B$18:B469,B469)),"st","nd","rd","th"),"")</f>
        <v/>
      </c>
    </row>
    <row r="470" spans="8:14" x14ac:dyDescent="0.25">
      <c r="H470" s="201" t="str">
        <f t="shared" si="8"/>
        <v/>
      </c>
      <c r="N470" s="164" t="str">
        <f>IFERROR(COUNTIF($B$18:B470,B470)&amp;CHOOSE(MIN(4,COUNTIF($B$18:B470,B470)),"st","nd","rd","th"),"")</f>
        <v/>
      </c>
    </row>
    <row r="471" spans="8:14" x14ac:dyDescent="0.25">
      <c r="H471" s="201" t="str">
        <f t="shared" si="8"/>
        <v/>
      </c>
      <c r="N471" s="164" t="str">
        <f>IFERROR(COUNTIF($B$18:B471,B471)&amp;CHOOSE(MIN(4,COUNTIF($B$18:B471,B471)),"st","nd","rd","th"),"")</f>
        <v/>
      </c>
    </row>
    <row r="472" spans="8:14" x14ac:dyDescent="0.25">
      <c r="H472" s="201" t="str">
        <f t="shared" si="8"/>
        <v/>
      </c>
      <c r="N472" s="164" t="str">
        <f>IFERROR(COUNTIF($B$18:B472,B472)&amp;CHOOSE(MIN(4,COUNTIF($B$18:B472,B472)),"st","nd","rd","th"),"")</f>
        <v/>
      </c>
    </row>
    <row r="473" spans="8:14" x14ac:dyDescent="0.25">
      <c r="H473" s="201" t="str">
        <f t="shared" si="8"/>
        <v/>
      </c>
      <c r="N473" s="164" t="str">
        <f>IFERROR(COUNTIF($B$18:B473,B473)&amp;CHOOSE(MIN(4,COUNTIF($B$18:B473,B473)),"st","nd","rd","th"),"")</f>
        <v/>
      </c>
    </row>
    <row r="474" spans="8:14" x14ac:dyDescent="0.25">
      <c r="H474" s="201" t="str">
        <f t="shared" si="8"/>
        <v/>
      </c>
      <c r="N474" s="164" t="str">
        <f>IFERROR(COUNTIF($B$18:B474,B474)&amp;CHOOSE(MIN(4,COUNTIF($B$18:B474,B474)),"st","nd","rd","th"),"")</f>
        <v/>
      </c>
    </row>
    <row r="475" spans="8:14" x14ac:dyDescent="0.25">
      <c r="H475" s="201" t="str">
        <f t="shared" si="8"/>
        <v/>
      </c>
      <c r="N475" s="164" t="str">
        <f>IFERROR(COUNTIF($B$18:B475,B475)&amp;CHOOSE(MIN(4,COUNTIF($B$18:B475,B475)),"st","nd","rd","th"),"")</f>
        <v/>
      </c>
    </row>
    <row r="476" spans="8:14" x14ac:dyDescent="0.25">
      <c r="H476" s="201" t="str">
        <f t="shared" si="8"/>
        <v/>
      </c>
      <c r="N476" s="164" t="str">
        <f>IFERROR(COUNTIF($B$18:B476,B476)&amp;CHOOSE(MIN(4,COUNTIF($B$18:B476,B476)),"st","nd","rd","th"),"")</f>
        <v/>
      </c>
    </row>
    <row r="477" spans="8:14" x14ac:dyDescent="0.25">
      <c r="H477" s="201" t="str">
        <f t="shared" si="8"/>
        <v/>
      </c>
      <c r="N477" s="164" t="str">
        <f>IFERROR(COUNTIF($B$18:B477,B477)&amp;CHOOSE(MIN(4,COUNTIF($B$18:B477,B477)),"st","nd","rd","th"),"")</f>
        <v/>
      </c>
    </row>
    <row r="478" spans="8:14" x14ac:dyDescent="0.25">
      <c r="H478" s="201" t="str">
        <f t="shared" si="8"/>
        <v/>
      </c>
      <c r="N478" s="164" t="str">
        <f>IFERROR(COUNTIF($B$18:B478,B478)&amp;CHOOSE(MIN(4,COUNTIF($B$18:B478,B478)),"st","nd","rd","th"),"")</f>
        <v/>
      </c>
    </row>
    <row r="479" spans="8:14" x14ac:dyDescent="0.25">
      <c r="H479" s="201" t="str">
        <f t="shared" si="8"/>
        <v/>
      </c>
      <c r="N479" s="164" t="str">
        <f>IFERROR(COUNTIF($B$18:B479,B479)&amp;CHOOSE(MIN(4,COUNTIF($B$18:B479,B479)),"st","nd","rd","th"),"")</f>
        <v/>
      </c>
    </row>
    <row r="480" spans="8:14" x14ac:dyDescent="0.25">
      <c r="H480" s="201" t="str">
        <f t="shared" si="8"/>
        <v/>
      </c>
      <c r="N480" s="164" t="str">
        <f>IFERROR(COUNTIF($B$18:B480,B480)&amp;CHOOSE(MIN(4,COUNTIF($B$18:B480,B480)),"st","nd","rd","th"),"")</f>
        <v/>
      </c>
    </row>
    <row r="481" spans="8:14" x14ac:dyDescent="0.25">
      <c r="H481" s="201" t="str">
        <f t="shared" si="8"/>
        <v/>
      </c>
      <c r="N481" s="164" t="str">
        <f>IFERROR(COUNTIF($B$18:B481,B481)&amp;CHOOSE(MIN(4,COUNTIF($B$18:B481,B481)),"st","nd","rd","th"),"")</f>
        <v/>
      </c>
    </row>
    <row r="482" spans="8:14" x14ac:dyDescent="0.25">
      <c r="H482" s="201" t="str">
        <f t="shared" si="8"/>
        <v/>
      </c>
      <c r="N482" s="164" t="str">
        <f>IFERROR(COUNTIF($B$18:B482,B482)&amp;CHOOSE(MIN(4,COUNTIF($B$18:B482,B482)),"st","nd","rd","th"),"")</f>
        <v/>
      </c>
    </row>
    <row r="483" spans="8:14" x14ac:dyDescent="0.25">
      <c r="H483" s="201" t="str">
        <f t="shared" si="8"/>
        <v/>
      </c>
      <c r="N483" s="164" t="str">
        <f>IFERROR(COUNTIF($B$18:B483,B483)&amp;CHOOSE(MIN(4,COUNTIF($B$18:B483,B483)),"st","nd","rd","th"),"")</f>
        <v/>
      </c>
    </row>
    <row r="484" spans="8:14" x14ac:dyDescent="0.25">
      <c r="H484" s="201" t="str">
        <f t="shared" si="8"/>
        <v/>
      </c>
      <c r="N484" s="164" t="str">
        <f>IFERROR(COUNTIF($B$18:B484,B484)&amp;CHOOSE(MIN(4,COUNTIF($B$18:B484,B484)),"st","nd","rd","th"),"")</f>
        <v/>
      </c>
    </row>
    <row r="485" spans="8:14" x14ac:dyDescent="0.25">
      <c r="H485" s="201" t="str">
        <f t="shared" si="8"/>
        <v/>
      </c>
      <c r="N485" s="164" t="str">
        <f>IFERROR(COUNTIF($B$18:B485,B485)&amp;CHOOSE(MIN(4,COUNTIF($B$18:B485,B485)),"st","nd","rd","th"),"")</f>
        <v/>
      </c>
    </row>
    <row r="486" spans="8:14" x14ac:dyDescent="0.25">
      <c r="H486" s="201" t="str">
        <f t="shared" si="8"/>
        <v/>
      </c>
      <c r="N486" s="164" t="str">
        <f>IFERROR(COUNTIF($B$18:B486,B486)&amp;CHOOSE(MIN(4,COUNTIF($B$18:B486,B486)),"st","nd","rd","th"),"")</f>
        <v/>
      </c>
    </row>
    <row r="487" spans="8:14" x14ac:dyDescent="0.25">
      <c r="H487" s="201" t="str">
        <f t="shared" si="8"/>
        <v/>
      </c>
      <c r="N487" s="164" t="str">
        <f>IFERROR(COUNTIF($B$18:B487,B487)&amp;CHOOSE(MIN(4,COUNTIF($B$18:B487,B487)),"st","nd","rd","th"),"")</f>
        <v/>
      </c>
    </row>
    <row r="488" spans="8:14" x14ac:dyDescent="0.25">
      <c r="H488" s="201" t="str">
        <f t="shared" si="8"/>
        <v/>
      </c>
      <c r="N488" s="164" t="str">
        <f>IFERROR(COUNTIF($B$18:B488,B488)&amp;CHOOSE(MIN(4,COUNTIF($B$18:B488,B488)),"st","nd","rd","th"),"")</f>
        <v/>
      </c>
    </row>
    <row r="489" spans="8:14" x14ac:dyDescent="0.25">
      <c r="H489" s="201" t="str">
        <f t="shared" si="8"/>
        <v/>
      </c>
      <c r="N489" s="164" t="str">
        <f>IFERROR(COUNTIF($B$18:B489,B489)&amp;CHOOSE(MIN(4,COUNTIF($B$18:B489,B489)),"st","nd","rd","th"),"")</f>
        <v/>
      </c>
    </row>
    <row r="490" spans="8:14" x14ac:dyDescent="0.25">
      <c r="H490" s="201" t="str">
        <f t="shared" si="8"/>
        <v/>
      </c>
      <c r="N490" s="164" t="str">
        <f>IFERROR(COUNTIF($B$18:B490,B490)&amp;CHOOSE(MIN(4,COUNTIF($B$18:B490,B490)),"st","nd","rd","th"),"")</f>
        <v/>
      </c>
    </row>
    <row r="491" spans="8:14" x14ac:dyDescent="0.25">
      <c r="H491" s="201" t="str">
        <f t="shared" si="8"/>
        <v/>
      </c>
      <c r="N491" s="164" t="str">
        <f>IFERROR(COUNTIF($B$18:B491,B491)&amp;CHOOSE(MIN(4,COUNTIF($B$18:B491,B491)),"st","nd","rd","th"),"")</f>
        <v/>
      </c>
    </row>
    <row r="492" spans="8:14" x14ac:dyDescent="0.25">
      <c r="H492" s="201" t="str">
        <f t="shared" si="8"/>
        <v/>
      </c>
      <c r="N492" s="164" t="str">
        <f>IFERROR(COUNTIF($B$18:B492,B492)&amp;CHOOSE(MIN(4,COUNTIF($B$18:B492,B492)),"st","nd","rd","th"),"")</f>
        <v/>
      </c>
    </row>
    <row r="493" spans="8:14" x14ac:dyDescent="0.25">
      <c r="H493" s="201" t="str">
        <f t="shared" si="8"/>
        <v/>
      </c>
      <c r="N493" s="164" t="str">
        <f>IFERROR(COUNTIF($B$18:B493,B493)&amp;CHOOSE(MIN(4,COUNTIF($B$18:B493,B493)),"st","nd","rd","th"),"")</f>
        <v/>
      </c>
    </row>
    <row r="494" spans="8:14" x14ac:dyDescent="0.25">
      <c r="H494" s="201" t="str">
        <f t="shared" si="8"/>
        <v/>
      </c>
      <c r="N494" s="164" t="str">
        <f>IFERROR(COUNTIF($B$18:B494,B494)&amp;CHOOSE(MIN(4,COUNTIF($B$18:B494,B494)),"st","nd","rd","th"),"")</f>
        <v/>
      </c>
    </row>
    <row r="495" spans="8:14" x14ac:dyDescent="0.25">
      <c r="H495" s="201" t="str">
        <f t="shared" si="8"/>
        <v/>
      </c>
      <c r="N495" s="164" t="str">
        <f>IFERROR(COUNTIF($B$18:B495,B495)&amp;CHOOSE(MIN(4,COUNTIF($B$18:B495,B495)),"st","nd","rd","th"),"")</f>
        <v/>
      </c>
    </row>
    <row r="496" spans="8:14" x14ac:dyDescent="0.25">
      <c r="H496" s="201" t="str">
        <f t="shared" si="8"/>
        <v/>
      </c>
      <c r="N496" s="164" t="str">
        <f>IFERROR(COUNTIF($B$18:B496,B496)&amp;CHOOSE(MIN(4,COUNTIF($B$18:B496,B496)),"st","nd","rd","th"),"")</f>
        <v/>
      </c>
    </row>
    <row r="497" spans="8:14" x14ac:dyDescent="0.25">
      <c r="H497" s="201" t="str">
        <f t="shared" si="8"/>
        <v/>
      </c>
      <c r="N497" s="164" t="str">
        <f>IFERROR(COUNTIF($B$18:B497,B497)&amp;CHOOSE(MIN(4,COUNTIF($B$18:B497,B497)),"st","nd","rd","th"),"")</f>
        <v/>
      </c>
    </row>
    <row r="498" spans="8:14" x14ac:dyDescent="0.25">
      <c r="H498" s="201" t="str">
        <f t="shared" si="8"/>
        <v/>
      </c>
      <c r="N498" s="164" t="str">
        <f>IFERROR(COUNTIF($B$18:B498,B498)&amp;CHOOSE(MIN(4,COUNTIF($B$18:B498,B498)),"st","nd","rd","th"),"")</f>
        <v/>
      </c>
    </row>
    <row r="499" spans="8:14" x14ac:dyDescent="0.25">
      <c r="H499" s="201" t="str">
        <f t="shared" si="8"/>
        <v/>
      </c>
      <c r="N499" s="164" t="str">
        <f>IFERROR(COUNTIF($B$18:B499,B499)&amp;CHOOSE(MIN(4,COUNTIF($B$18:B499,B499)),"st","nd","rd","th"),"")</f>
        <v/>
      </c>
    </row>
    <row r="500" spans="8:14" x14ac:dyDescent="0.25">
      <c r="H500" s="201" t="str">
        <f t="shared" si="8"/>
        <v/>
      </c>
      <c r="N500" s="164" t="str">
        <f>IFERROR(COUNTIF($B$18:B500,B500)&amp;CHOOSE(MIN(4,COUNTIF($B$18:B500,B500)),"st","nd","rd","th"),"")</f>
        <v/>
      </c>
    </row>
    <row r="501" spans="8:14" x14ac:dyDescent="0.25">
      <c r="H501" s="201" t="str">
        <f t="shared" si="8"/>
        <v/>
      </c>
      <c r="N501" s="164" t="str">
        <f>IFERROR(COUNTIF($B$18:B501,B501)&amp;CHOOSE(MIN(4,COUNTIF($B$18:B501,B501)),"st","nd","rd","th"),"")</f>
        <v/>
      </c>
    </row>
    <row r="502" spans="8:14" x14ac:dyDescent="0.25">
      <c r="H502" s="201" t="str">
        <f t="shared" si="8"/>
        <v/>
      </c>
      <c r="N502" s="164" t="str">
        <f>IFERROR(COUNTIF($B$18:B502,B502)&amp;CHOOSE(MIN(4,COUNTIF($B$18:B502,B502)),"st","nd","rd","th"),"")</f>
        <v/>
      </c>
    </row>
    <row r="503" spans="8:14" x14ac:dyDescent="0.25">
      <c r="H503" s="201" t="str">
        <f t="shared" si="8"/>
        <v/>
      </c>
      <c r="N503" s="164" t="str">
        <f>IFERROR(COUNTIF($B$18:B503,B503)&amp;CHOOSE(MIN(4,COUNTIF($B$18:B503,B503)),"st","nd","rd","th"),"")</f>
        <v/>
      </c>
    </row>
    <row r="504" spans="8:14" x14ac:dyDescent="0.25">
      <c r="H504" s="201" t="str">
        <f t="shared" si="8"/>
        <v/>
      </c>
      <c r="N504" s="164" t="str">
        <f>IFERROR(COUNTIF($B$18:B504,B504)&amp;CHOOSE(MIN(4,COUNTIF($B$18:B504,B504)),"st","nd","rd","th"),"")</f>
        <v/>
      </c>
    </row>
    <row r="505" spans="8:14" x14ac:dyDescent="0.25">
      <c r="H505" s="201" t="str">
        <f t="shared" si="8"/>
        <v/>
      </c>
      <c r="N505" s="164" t="str">
        <f>IFERROR(COUNTIF($B$18:B505,B505)&amp;CHOOSE(MIN(4,COUNTIF($B$18:B505,B505)),"st","nd","rd","th"),"")</f>
        <v/>
      </c>
    </row>
    <row r="506" spans="8:14" x14ac:dyDescent="0.25">
      <c r="H506" s="201" t="str">
        <f t="shared" si="8"/>
        <v/>
      </c>
      <c r="N506" s="164" t="str">
        <f>IFERROR(COUNTIF($B$18:B506,B506)&amp;CHOOSE(MIN(4,COUNTIF($B$18:B506,B506)),"st","nd","rd","th"),"")</f>
        <v/>
      </c>
    </row>
    <row r="507" spans="8:14" x14ac:dyDescent="0.25">
      <c r="H507" s="201" t="str">
        <f t="shared" si="8"/>
        <v/>
      </c>
      <c r="N507" s="164" t="str">
        <f>IFERROR(COUNTIF($B$18:B507,B507)&amp;CHOOSE(MIN(4,COUNTIF($B$18:B507,B507)),"st","nd","rd","th"),"")</f>
        <v/>
      </c>
    </row>
    <row r="508" spans="8:14" x14ac:dyDescent="0.25">
      <c r="H508" s="201" t="str">
        <f t="shared" si="8"/>
        <v/>
      </c>
      <c r="N508" s="164" t="str">
        <f>IFERROR(COUNTIF($B$18:B508,B508)&amp;CHOOSE(MIN(4,COUNTIF($B$18:B508,B508)),"st","nd","rd","th"),"")</f>
        <v/>
      </c>
    </row>
    <row r="509" spans="8:14" x14ac:dyDescent="0.25">
      <c r="H509" s="201" t="str">
        <f t="shared" si="8"/>
        <v/>
      </c>
      <c r="N509" s="164" t="str">
        <f>IFERROR(COUNTIF($B$18:B509,B509)&amp;CHOOSE(MIN(4,COUNTIF($B$18:B509,B509)),"st","nd","rd","th"),"")</f>
        <v/>
      </c>
    </row>
    <row r="510" spans="8:14" x14ac:dyDescent="0.25">
      <c r="H510" s="201" t="str">
        <f t="shared" si="8"/>
        <v/>
      </c>
      <c r="N510" s="164" t="str">
        <f>IFERROR(COUNTIF($B$18:B510,B510)&amp;CHOOSE(MIN(4,COUNTIF($B$18:B510,B510)),"st","nd","rd","th"),"")</f>
        <v/>
      </c>
    </row>
    <row r="511" spans="8:14" x14ac:dyDescent="0.25">
      <c r="H511" s="201" t="str">
        <f t="shared" si="8"/>
        <v/>
      </c>
      <c r="N511" s="164" t="str">
        <f>IFERROR(COUNTIF($B$18:B511,B511)&amp;CHOOSE(MIN(4,COUNTIF($B$18:B511,B511)),"st","nd","rd","th"),"")</f>
        <v/>
      </c>
    </row>
    <row r="512" spans="8:14" x14ac:dyDescent="0.25">
      <c r="H512" s="201" t="str">
        <f t="shared" si="8"/>
        <v/>
      </c>
      <c r="N512" s="164" t="str">
        <f>IFERROR(COUNTIF($B$18:B512,B512)&amp;CHOOSE(MIN(4,COUNTIF($B$18:B512,B512)),"st","nd","rd","th"),"")</f>
        <v/>
      </c>
    </row>
    <row r="513" spans="8:14" x14ac:dyDescent="0.25">
      <c r="H513" s="201" t="str">
        <f t="shared" si="8"/>
        <v/>
      </c>
      <c r="N513" s="164" t="str">
        <f>IFERROR(COUNTIF($B$18:B513,B513)&amp;CHOOSE(MIN(4,COUNTIF($B$18:B513,B513)),"st","nd","rd","th"),"")</f>
        <v/>
      </c>
    </row>
    <row r="514" spans="8:14" x14ac:dyDescent="0.25">
      <c r="H514" s="201" t="str">
        <f t="shared" si="8"/>
        <v/>
      </c>
      <c r="N514" s="164" t="str">
        <f>IFERROR(COUNTIF($B$18:B514,B514)&amp;CHOOSE(MIN(4,COUNTIF($B$18:B514,B514)),"st","nd","rd","th"),"")</f>
        <v/>
      </c>
    </row>
    <row r="515" spans="8:14" x14ac:dyDescent="0.25">
      <c r="H515" s="201" t="str">
        <f t="shared" si="8"/>
        <v/>
      </c>
      <c r="N515" s="164" t="str">
        <f>IFERROR(COUNTIF($B$18:B515,B515)&amp;CHOOSE(MIN(4,COUNTIF($B$18:B515,B515)),"st","nd","rd","th"),"")</f>
        <v/>
      </c>
    </row>
    <row r="516" spans="8:14" x14ac:dyDescent="0.25">
      <c r="H516" s="201" t="str">
        <f t="shared" si="8"/>
        <v/>
      </c>
      <c r="N516" s="164" t="str">
        <f>IFERROR(COUNTIF($B$18:B516,B516)&amp;CHOOSE(MIN(4,COUNTIF($B$18:B516,B516)),"st","nd","rd","th"),"")</f>
        <v/>
      </c>
    </row>
    <row r="517" spans="8:14" x14ac:dyDescent="0.25">
      <c r="H517" s="201" t="str">
        <f t="shared" si="8"/>
        <v/>
      </c>
      <c r="N517" s="164" t="str">
        <f>IFERROR(COUNTIF($B$18:B517,B517)&amp;CHOOSE(MIN(4,COUNTIF($B$18:B517,B517)),"st","nd","rd","th"),"")</f>
        <v/>
      </c>
    </row>
    <row r="518" spans="8:14" x14ac:dyDescent="0.25">
      <c r="H518" s="201" t="str">
        <f t="shared" si="8"/>
        <v/>
      </c>
      <c r="N518" s="164" t="str">
        <f>IFERROR(COUNTIF($B$18:B518,B518)&amp;CHOOSE(MIN(4,COUNTIF($B$18:B518,B518)),"st","nd","rd","th"),"")</f>
        <v/>
      </c>
    </row>
    <row r="519" spans="8:14" x14ac:dyDescent="0.25">
      <c r="H519" s="201" t="str">
        <f t="shared" si="8"/>
        <v/>
      </c>
      <c r="N519" s="164" t="str">
        <f>IFERROR(COUNTIF($B$18:B519,B519)&amp;CHOOSE(MIN(4,COUNTIF($B$18:B519,B519)),"st","nd","rd","th"),"")</f>
        <v/>
      </c>
    </row>
    <row r="520" spans="8:14" x14ac:dyDescent="0.25">
      <c r="H520" s="201" t="str">
        <f t="shared" si="8"/>
        <v/>
      </c>
      <c r="N520" s="164" t="str">
        <f>IFERROR(COUNTIF($B$18:B520,B520)&amp;CHOOSE(MIN(4,COUNTIF($B$18:B520,B520)),"st","nd","rd","th"),"")</f>
        <v/>
      </c>
    </row>
    <row r="521" spans="8:14" x14ac:dyDescent="0.25">
      <c r="H521" s="201" t="str">
        <f t="shared" si="8"/>
        <v/>
      </c>
      <c r="N521" s="164" t="str">
        <f>IFERROR(COUNTIF($B$18:B521,B521)&amp;CHOOSE(MIN(4,COUNTIF($B$18:B521,B521)),"st","nd","rd","th"),"")</f>
        <v/>
      </c>
    </row>
    <row r="522" spans="8:14" x14ac:dyDescent="0.25">
      <c r="H522" s="201" t="str">
        <f t="shared" si="8"/>
        <v/>
      </c>
      <c r="N522" s="164" t="str">
        <f>IFERROR(COUNTIF($B$18:B522,B522)&amp;CHOOSE(MIN(4,COUNTIF($B$18:B522,B522)),"st","nd","rd","th"),"")</f>
        <v/>
      </c>
    </row>
    <row r="523" spans="8:14" x14ac:dyDescent="0.25">
      <c r="H523" s="201" t="str">
        <f t="shared" si="8"/>
        <v/>
      </c>
      <c r="N523" s="164" t="str">
        <f>IFERROR(COUNTIF($B$18:B523,B523)&amp;CHOOSE(MIN(4,COUNTIF($B$18:B523,B523)),"st","nd","rd","th"),"")</f>
        <v/>
      </c>
    </row>
    <row r="524" spans="8:14" x14ac:dyDescent="0.25">
      <c r="H524" s="201" t="str">
        <f t="shared" si="8"/>
        <v/>
      </c>
      <c r="N524" s="164" t="str">
        <f>IFERROR(COUNTIF($B$18:B524,B524)&amp;CHOOSE(MIN(4,COUNTIF($B$18:B524,B524)),"st","nd","rd","th"),"")</f>
        <v/>
      </c>
    </row>
    <row r="525" spans="8:14" x14ac:dyDescent="0.25">
      <c r="H525" s="201" t="str">
        <f t="shared" si="8"/>
        <v/>
      </c>
      <c r="N525" s="164" t="str">
        <f>IFERROR(COUNTIF($B$18:B525,B525)&amp;CHOOSE(MIN(4,COUNTIF($B$18:B525,B525)),"st","nd","rd","th"),"")</f>
        <v/>
      </c>
    </row>
    <row r="526" spans="8:14" x14ac:dyDescent="0.25">
      <c r="H526" s="201" t="str">
        <f t="shared" si="8"/>
        <v/>
      </c>
      <c r="N526" s="164" t="str">
        <f>IFERROR(COUNTIF($B$18:B526,B526)&amp;CHOOSE(MIN(4,COUNTIF($B$18:B526,B526)),"st","nd","rd","th"),"")</f>
        <v/>
      </c>
    </row>
    <row r="527" spans="8:14" x14ac:dyDescent="0.25">
      <c r="H527" s="201" t="str">
        <f t="shared" si="8"/>
        <v/>
      </c>
      <c r="N527" s="164" t="str">
        <f>IFERROR(COUNTIF($B$18:B527,B527)&amp;CHOOSE(MIN(4,COUNTIF($B$18:B527,B527)),"st","nd","rd","th"),"")</f>
        <v/>
      </c>
    </row>
    <row r="528" spans="8:14" x14ac:dyDescent="0.25">
      <c r="H528" s="201" t="str">
        <f t="shared" si="8"/>
        <v/>
      </c>
      <c r="N528" s="164" t="str">
        <f>IFERROR(COUNTIF($B$18:B528,B528)&amp;CHOOSE(MIN(4,COUNTIF($B$18:B528,B528)),"st","nd","rd","th"),"")</f>
        <v/>
      </c>
    </row>
    <row r="529" spans="8:14" x14ac:dyDescent="0.25">
      <c r="H529" s="201" t="str">
        <f t="shared" si="8"/>
        <v/>
      </c>
      <c r="N529" s="164" t="str">
        <f>IFERROR(COUNTIF($B$18:B529,B529)&amp;CHOOSE(MIN(4,COUNTIF($B$18:B529,B529)),"st","nd","rd","th"),"")</f>
        <v/>
      </c>
    </row>
    <row r="530" spans="8:14" x14ac:dyDescent="0.25">
      <c r="H530" s="201" t="str">
        <f t="shared" si="8"/>
        <v/>
      </c>
      <c r="N530" s="164" t="str">
        <f>IFERROR(COUNTIF($B$18:B530,B530)&amp;CHOOSE(MIN(4,COUNTIF($B$18:B530,B530)),"st","nd","rd","th"),"")</f>
        <v/>
      </c>
    </row>
    <row r="531" spans="8:14" x14ac:dyDescent="0.25">
      <c r="H531" s="201" t="str">
        <f t="shared" ref="H531:H594" si="9">IF(OR(ISBLANK(G531), ISBLANK(F531)), "", IF(G531=F531, 1, SUM(_xlfn.DAYS(G531, F531), 1)))</f>
        <v/>
      </c>
      <c r="N531" s="164" t="str">
        <f>IFERROR(COUNTIF($B$18:B531,B531)&amp;CHOOSE(MIN(4,COUNTIF($B$18:B531,B531)),"st","nd","rd","th"),"")</f>
        <v/>
      </c>
    </row>
    <row r="532" spans="8:14" x14ac:dyDescent="0.25">
      <c r="H532" s="201" t="str">
        <f t="shared" si="9"/>
        <v/>
      </c>
      <c r="N532" s="164" t="str">
        <f>IFERROR(COUNTIF($B$18:B532,B532)&amp;CHOOSE(MIN(4,COUNTIF($B$18:B532,B532)),"st","nd","rd","th"),"")</f>
        <v/>
      </c>
    </row>
    <row r="533" spans="8:14" x14ac:dyDescent="0.25">
      <c r="H533" s="201" t="str">
        <f t="shared" si="9"/>
        <v/>
      </c>
      <c r="N533" s="164" t="str">
        <f>IFERROR(COUNTIF($B$18:B533,B533)&amp;CHOOSE(MIN(4,COUNTIF($B$18:B533,B533)),"st","nd","rd","th"),"")</f>
        <v/>
      </c>
    </row>
    <row r="534" spans="8:14" x14ac:dyDescent="0.25">
      <c r="H534" s="201" t="str">
        <f t="shared" si="9"/>
        <v/>
      </c>
      <c r="N534" s="164" t="str">
        <f>IFERROR(COUNTIF($B$18:B534,B534)&amp;CHOOSE(MIN(4,COUNTIF($B$18:B534,B534)),"st","nd","rd","th"),"")</f>
        <v/>
      </c>
    </row>
    <row r="535" spans="8:14" x14ac:dyDescent="0.25">
      <c r="H535" s="201" t="str">
        <f t="shared" si="9"/>
        <v/>
      </c>
      <c r="N535" s="164" t="str">
        <f>IFERROR(COUNTIF($B$18:B535,B535)&amp;CHOOSE(MIN(4,COUNTIF($B$18:B535,B535)),"st","nd","rd","th"),"")</f>
        <v/>
      </c>
    </row>
    <row r="536" spans="8:14" x14ac:dyDescent="0.25">
      <c r="H536" s="201" t="str">
        <f t="shared" si="9"/>
        <v/>
      </c>
      <c r="N536" s="164" t="str">
        <f>IFERROR(COUNTIF($B$18:B536,B536)&amp;CHOOSE(MIN(4,COUNTIF($B$18:B536,B536)),"st","nd","rd","th"),"")</f>
        <v/>
      </c>
    </row>
    <row r="537" spans="8:14" x14ac:dyDescent="0.25">
      <c r="H537" s="201" t="str">
        <f t="shared" si="9"/>
        <v/>
      </c>
      <c r="N537" s="164" t="str">
        <f>IFERROR(COUNTIF($B$18:B537,B537)&amp;CHOOSE(MIN(4,COUNTIF($B$18:B537,B537)),"st","nd","rd","th"),"")</f>
        <v/>
      </c>
    </row>
    <row r="538" spans="8:14" x14ac:dyDescent="0.25">
      <c r="H538" s="201" t="str">
        <f t="shared" si="9"/>
        <v/>
      </c>
      <c r="N538" s="164" t="str">
        <f>IFERROR(COUNTIF($B$18:B538,B538)&amp;CHOOSE(MIN(4,COUNTIF($B$18:B538,B538)),"st","nd","rd","th"),"")</f>
        <v/>
      </c>
    </row>
    <row r="539" spans="8:14" x14ac:dyDescent="0.25">
      <c r="H539" s="201" t="str">
        <f t="shared" si="9"/>
        <v/>
      </c>
      <c r="N539" s="164" t="str">
        <f>IFERROR(COUNTIF($B$18:B539,B539)&amp;CHOOSE(MIN(4,COUNTIF($B$18:B539,B539)),"st","nd","rd","th"),"")</f>
        <v/>
      </c>
    </row>
    <row r="540" spans="8:14" x14ac:dyDescent="0.25">
      <c r="H540" s="201" t="str">
        <f t="shared" si="9"/>
        <v/>
      </c>
      <c r="N540" s="164" t="str">
        <f>IFERROR(COUNTIF($B$18:B540,B540)&amp;CHOOSE(MIN(4,COUNTIF($B$18:B540,B540)),"st","nd","rd","th"),"")</f>
        <v/>
      </c>
    </row>
    <row r="541" spans="8:14" x14ac:dyDescent="0.25">
      <c r="H541" s="201" t="str">
        <f t="shared" si="9"/>
        <v/>
      </c>
      <c r="N541" s="164" t="str">
        <f>IFERROR(COUNTIF($B$18:B541,B541)&amp;CHOOSE(MIN(4,COUNTIF($B$18:B541,B541)),"st","nd","rd","th"),"")</f>
        <v/>
      </c>
    </row>
    <row r="542" spans="8:14" x14ac:dyDescent="0.25">
      <c r="H542" s="201" t="str">
        <f t="shared" si="9"/>
        <v/>
      </c>
      <c r="N542" s="164" t="str">
        <f>IFERROR(COUNTIF($B$18:B542,B542)&amp;CHOOSE(MIN(4,COUNTIF($B$18:B542,B542)),"st","nd","rd","th"),"")</f>
        <v/>
      </c>
    </row>
    <row r="543" spans="8:14" x14ac:dyDescent="0.25">
      <c r="H543" s="201" t="str">
        <f t="shared" si="9"/>
        <v/>
      </c>
      <c r="N543" s="164" t="str">
        <f>IFERROR(COUNTIF($B$18:B543,B543)&amp;CHOOSE(MIN(4,COUNTIF($B$18:B543,B543)),"st","nd","rd","th"),"")</f>
        <v/>
      </c>
    </row>
    <row r="544" spans="8:14" x14ac:dyDescent="0.25">
      <c r="H544" s="201" t="str">
        <f t="shared" si="9"/>
        <v/>
      </c>
      <c r="N544" s="164" t="str">
        <f>IFERROR(COUNTIF($B$18:B544,B544)&amp;CHOOSE(MIN(4,COUNTIF($B$18:B544,B544)),"st","nd","rd","th"),"")</f>
        <v/>
      </c>
    </row>
    <row r="545" spans="8:14" x14ac:dyDescent="0.25">
      <c r="H545" s="201" t="str">
        <f t="shared" si="9"/>
        <v/>
      </c>
      <c r="N545" s="164" t="str">
        <f>IFERROR(COUNTIF($B$18:B545,B545)&amp;CHOOSE(MIN(4,COUNTIF($B$18:B545,B545)),"st","nd","rd","th"),"")</f>
        <v/>
      </c>
    </row>
    <row r="546" spans="8:14" x14ac:dyDescent="0.25">
      <c r="H546" s="201" t="str">
        <f t="shared" si="9"/>
        <v/>
      </c>
      <c r="N546" s="164" t="str">
        <f>IFERROR(COUNTIF($B$18:B546,B546)&amp;CHOOSE(MIN(4,COUNTIF($B$18:B546,B546)),"st","nd","rd","th"),"")</f>
        <v/>
      </c>
    </row>
    <row r="547" spans="8:14" x14ac:dyDescent="0.25">
      <c r="H547" s="201" t="str">
        <f t="shared" si="9"/>
        <v/>
      </c>
      <c r="N547" s="164" t="str">
        <f>IFERROR(COUNTIF($B$18:B547,B547)&amp;CHOOSE(MIN(4,COUNTIF($B$18:B547,B547)),"st","nd","rd","th"),"")</f>
        <v/>
      </c>
    </row>
    <row r="548" spans="8:14" x14ac:dyDescent="0.25">
      <c r="H548" s="201" t="str">
        <f t="shared" si="9"/>
        <v/>
      </c>
      <c r="N548" s="164" t="str">
        <f>IFERROR(COUNTIF($B$18:B548,B548)&amp;CHOOSE(MIN(4,COUNTIF($B$18:B548,B548)),"st","nd","rd","th"),"")</f>
        <v/>
      </c>
    </row>
    <row r="549" spans="8:14" x14ac:dyDescent="0.25">
      <c r="H549" s="201" t="str">
        <f t="shared" si="9"/>
        <v/>
      </c>
      <c r="N549" s="164" t="str">
        <f>IFERROR(COUNTIF($B$18:B549,B549)&amp;CHOOSE(MIN(4,COUNTIF($B$18:B549,B549)),"st","nd","rd","th"),"")</f>
        <v/>
      </c>
    </row>
    <row r="550" spans="8:14" x14ac:dyDescent="0.25">
      <c r="H550" s="201" t="str">
        <f t="shared" si="9"/>
        <v/>
      </c>
      <c r="N550" s="164" t="str">
        <f>IFERROR(COUNTIF($B$18:B550,B550)&amp;CHOOSE(MIN(4,COUNTIF($B$18:B550,B550)),"st","nd","rd","th"),"")</f>
        <v/>
      </c>
    </row>
    <row r="551" spans="8:14" x14ac:dyDescent="0.25">
      <c r="H551" s="201" t="str">
        <f t="shared" si="9"/>
        <v/>
      </c>
      <c r="N551" s="164" t="str">
        <f>IFERROR(COUNTIF($B$18:B551,B551)&amp;CHOOSE(MIN(4,COUNTIF($B$18:B551,B551)),"st","nd","rd","th"),"")</f>
        <v/>
      </c>
    </row>
    <row r="552" spans="8:14" x14ac:dyDescent="0.25">
      <c r="H552" s="201" t="str">
        <f t="shared" si="9"/>
        <v/>
      </c>
      <c r="N552" s="164" t="str">
        <f>IFERROR(COUNTIF($B$18:B552,B552)&amp;CHOOSE(MIN(4,COUNTIF($B$18:B552,B552)),"st","nd","rd","th"),"")</f>
        <v/>
      </c>
    </row>
    <row r="553" spans="8:14" x14ac:dyDescent="0.25">
      <c r="H553" s="201" t="str">
        <f t="shared" si="9"/>
        <v/>
      </c>
      <c r="N553" s="164" t="str">
        <f>IFERROR(COUNTIF($B$18:B553,B553)&amp;CHOOSE(MIN(4,COUNTIF($B$18:B553,B553)),"st","nd","rd","th"),"")</f>
        <v/>
      </c>
    </row>
    <row r="554" spans="8:14" x14ac:dyDescent="0.25">
      <c r="H554" s="201" t="str">
        <f t="shared" si="9"/>
        <v/>
      </c>
      <c r="N554" s="164" t="str">
        <f>IFERROR(COUNTIF($B$18:B554,B554)&amp;CHOOSE(MIN(4,COUNTIF($B$18:B554,B554)),"st","nd","rd","th"),"")</f>
        <v/>
      </c>
    </row>
    <row r="555" spans="8:14" x14ac:dyDescent="0.25">
      <c r="H555" s="201" t="str">
        <f t="shared" si="9"/>
        <v/>
      </c>
      <c r="N555" s="164" t="str">
        <f>IFERROR(COUNTIF($B$18:B555,B555)&amp;CHOOSE(MIN(4,COUNTIF($B$18:B555,B555)),"st","nd","rd","th"),"")</f>
        <v/>
      </c>
    </row>
    <row r="556" spans="8:14" x14ac:dyDescent="0.25">
      <c r="H556" s="201" t="str">
        <f t="shared" si="9"/>
        <v/>
      </c>
      <c r="N556" s="164" t="str">
        <f>IFERROR(COUNTIF($B$18:B556,B556)&amp;CHOOSE(MIN(4,COUNTIF($B$18:B556,B556)),"st","nd","rd","th"),"")</f>
        <v/>
      </c>
    </row>
    <row r="557" spans="8:14" x14ac:dyDescent="0.25">
      <c r="H557" s="201" t="str">
        <f t="shared" si="9"/>
        <v/>
      </c>
      <c r="N557" s="164" t="str">
        <f>IFERROR(COUNTIF($B$18:B557,B557)&amp;CHOOSE(MIN(4,COUNTIF($B$18:B557,B557)),"st","nd","rd","th"),"")</f>
        <v/>
      </c>
    </row>
    <row r="558" spans="8:14" x14ac:dyDescent="0.25">
      <c r="H558" s="201" t="str">
        <f t="shared" si="9"/>
        <v/>
      </c>
      <c r="N558" s="164" t="str">
        <f>IFERROR(COUNTIF($B$18:B558,B558)&amp;CHOOSE(MIN(4,COUNTIF($B$18:B558,B558)),"st","nd","rd","th"),"")</f>
        <v/>
      </c>
    </row>
    <row r="559" spans="8:14" x14ac:dyDescent="0.25">
      <c r="H559" s="201" t="str">
        <f t="shared" si="9"/>
        <v/>
      </c>
      <c r="N559" s="164" t="str">
        <f>IFERROR(COUNTIF($B$18:B559,B559)&amp;CHOOSE(MIN(4,COUNTIF($B$18:B559,B559)),"st","nd","rd","th"),"")</f>
        <v/>
      </c>
    </row>
    <row r="560" spans="8:14" x14ac:dyDescent="0.25">
      <c r="H560" s="201" t="str">
        <f t="shared" si="9"/>
        <v/>
      </c>
      <c r="N560" s="164" t="str">
        <f>IFERROR(COUNTIF($B$18:B560,B560)&amp;CHOOSE(MIN(4,COUNTIF($B$18:B560,B560)),"st","nd","rd","th"),"")</f>
        <v/>
      </c>
    </row>
    <row r="561" spans="8:14" x14ac:dyDescent="0.25">
      <c r="H561" s="201" t="str">
        <f t="shared" si="9"/>
        <v/>
      </c>
      <c r="N561" s="164" t="str">
        <f>IFERROR(COUNTIF($B$18:B561,B561)&amp;CHOOSE(MIN(4,COUNTIF($B$18:B561,B561)),"st","nd","rd","th"),"")</f>
        <v/>
      </c>
    </row>
    <row r="562" spans="8:14" x14ac:dyDescent="0.25">
      <c r="H562" s="201" t="str">
        <f t="shared" si="9"/>
        <v/>
      </c>
      <c r="N562" s="164" t="str">
        <f>IFERROR(COUNTIF($B$18:B562,B562)&amp;CHOOSE(MIN(4,COUNTIF($B$18:B562,B562)),"st","nd","rd","th"),"")</f>
        <v/>
      </c>
    </row>
    <row r="563" spans="8:14" x14ac:dyDescent="0.25">
      <c r="H563" s="201" t="str">
        <f t="shared" si="9"/>
        <v/>
      </c>
      <c r="N563" s="164" t="str">
        <f>IFERROR(COUNTIF($B$18:B563,B563)&amp;CHOOSE(MIN(4,COUNTIF($B$18:B563,B563)),"st","nd","rd","th"),"")</f>
        <v/>
      </c>
    </row>
    <row r="564" spans="8:14" x14ac:dyDescent="0.25">
      <c r="H564" s="201" t="str">
        <f t="shared" si="9"/>
        <v/>
      </c>
      <c r="N564" s="164" t="str">
        <f>IFERROR(COUNTIF($B$18:B564,B564)&amp;CHOOSE(MIN(4,COUNTIF($B$18:B564,B564)),"st","nd","rd","th"),"")</f>
        <v/>
      </c>
    </row>
    <row r="565" spans="8:14" x14ac:dyDescent="0.25">
      <c r="H565" s="201" t="str">
        <f t="shared" si="9"/>
        <v/>
      </c>
      <c r="N565" s="164" t="str">
        <f>IFERROR(COUNTIF($B$18:B565,B565)&amp;CHOOSE(MIN(4,COUNTIF($B$18:B565,B565)),"st","nd","rd","th"),"")</f>
        <v/>
      </c>
    </row>
    <row r="566" spans="8:14" x14ac:dyDescent="0.25">
      <c r="H566" s="201" t="str">
        <f t="shared" si="9"/>
        <v/>
      </c>
      <c r="N566" s="164" t="str">
        <f>IFERROR(COUNTIF($B$18:B566,B566)&amp;CHOOSE(MIN(4,COUNTIF($B$18:B566,B566)),"st","nd","rd","th"),"")</f>
        <v/>
      </c>
    </row>
    <row r="567" spans="8:14" x14ac:dyDescent="0.25">
      <c r="H567" s="201" t="str">
        <f t="shared" si="9"/>
        <v/>
      </c>
      <c r="N567" s="164" t="str">
        <f>IFERROR(COUNTIF($B$18:B567,B567)&amp;CHOOSE(MIN(4,COUNTIF($B$18:B567,B567)),"st","nd","rd","th"),"")</f>
        <v/>
      </c>
    </row>
    <row r="568" spans="8:14" x14ac:dyDescent="0.25">
      <c r="H568" s="201" t="str">
        <f t="shared" si="9"/>
        <v/>
      </c>
      <c r="N568" s="164" t="str">
        <f>IFERROR(COUNTIF($B$18:B568,B568)&amp;CHOOSE(MIN(4,COUNTIF($B$18:B568,B568)),"st","nd","rd","th"),"")</f>
        <v/>
      </c>
    </row>
    <row r="569" spans="8:14" x14ac:dyDescent="0.25">
      <c r="H569" s="201" t="str">
        <f t="shared" si="9"/>
        <v/>
      </c>
      <c r="N569" s="164" t="str">
        <f>IFERROR(COUNTIF($B$18:B569,B569)&amp;CHOOSE(MIN(4,COUNTIF($B$18:B569,B569)),"st","nd","rd","th"),"")</f>
        <v/>
      </c>
    </row>
    <row r="570" spans="8:14" x14ac:dyDescent="0.25">
      <c r="H570" s="201" t="str">
        <f t="shared" si="9"/>
        <v/>
      </c>
      <c r="N570" s="164" t="str">
        <f>IFERROR(COUNTIF($B$18:B570,B570)&amp;CHOOSE(MIN(4,COUNTIF($B$18:B570,B570)),"st","nd","rd","th"),"")</f>
        <v/>
      </c>
    </row>
    <row r="571" spans="8:14" x14ac:dyDescent="0.25">
      <c r="H571" s="201" t="str">
        <f t="shared" si="9"/>
        <v/>
      </c>
      <c r="N571" s="164" t="str">
        <f>IFERROR(COUNTIF($B$18:B571,B571)&amp;CHOOSE(MIN(4,COUNTIF($B$18:B571,B571)),"st","nd","rd","th"),"")</f>
        <v/>
      </c>
    </row>
    <row r="572" spans="8:14" x14ac:dyDescent="0.25">
      <c r="H572" s="201" t="str">
        <f t="shared" si="9"/>
        <v/>
      </c>
      <c r="N572" s="164" t="str">
        <f>IFERROR(COUNTIF($B$18:B572,B572)&amp;CHOOSE(MIN(4,COUNTIF($B$18:B572,B572)),"st","nd","rd","th"),"")</f>
        <v/>
      </c>
    </row>
    <row r="573" spans="8:14" x14ac:dyDescent="0.25">
      <c r="H573" s="201" t="str">
        <f t="shared" si="9"/>
        <v/>
      </c>
      <c r="N573" s="164" t="str">
        <f>IFERROR(COUNTIF($B$18:B573,B573)&amp;CHOOSE(MIN(4,COUNTIF($B$18:B573,B573)),"st","nd","rd","th"),"")</f>
        <v/>
      </c>
    </row>
    <row r="574" spans="8:14" x14ac:dyDescent="0.25">
      <c r="H574" s="201" t="str">
        <f t="shared" si="9"/>
        <v/>
      </c>
      <c r="N574" s="164" t="str">
        <f>IFERROR(COUNTIF($B$18:B574,B574)&amp;CHOOSE(MIN(4,COUNTIF($B$18:B574,B574)),"st","nd","rd","th"),"")</f>
        <v/>
      </c>
    </row>
    <row r="575" spans="8:14" x14ac:dyDescent="0.25">
      <c r="H575" s="201" t="str">
        <f t="shared" si="9"/>
        <v/>
      </c>
      <c r="N575" s="164" t="str">
        <f>IFERROR(COUNTIF($B$18:B575,B575)&amp;CHOOSE(MIN(4,COUNTIF($B$18:B575,B575)),"st","nd","rd","th"),"")</f>
        <v/>
      </c>
    </row>
    <row r="576" spans="8:14" x14ac:dyDescent="0.25">
      <c r="H576" s="201" t="str">
        <f t="shared" si="9"/>
        <v/>
      </c>
      <c r="N576" s="164" t="str">
        <f>IFERROR(COUNTIF($B$18:B576,B576)&amp;CHOOSE(MIN(4,COUNTIF($B$18:B576,B576)),"st","nd","rd","th"),"")</f>
        <v/>
      </c>
    </row>
    <row r="577" spans="8:14" x14ac:dyDescent="0.25">
      <c r="H577" s="201" t="str">
        <f t="shared" si="9"/>
        <v/>
      </c>
      <c r="N577" s="164" t="str">
        <f>IFERROR(COUNTIF($B$18:B577,B577)&amp;CHOOSE(MIN(4,COUNTIF($B$18:B577,B577)),"st","nd","rd","th"),"")</f>
        <v/>
      </c>
    </row>
    <row r="578" spans="8:14" x14ac:dyDescent="0.25">
      <c r="H578" s="201" t="str">
        <f t="shared" si="9"/>
        <v/>
      </c>
      <c r="N578" s="164" t="str">
        <f>IFERROR(COUNTIF($B$18:B578,B578)&amp;CHOOSE(MIN(4,COUNTIF($B$18:B578,B578)),"st","nd","rd","th"),"")</f>
        <v/>
      </c>
    </row>
    <row r="579" spans="8:14" x14ac:dyDescent="0.25">
      <c r="H579" s="201" t="str">
        <f t="shared" si="9"/>
        <v/>
      </c>
      <c r="N579" s="164" t="str">
        <f>IFERROR(COUNTIF($B$18:B579,B579)&amp;CHOOSE(MIN(4,COUNTIF($B$18:B579,B579)),"st","nd","rd","th"),"")</f>
        <v/>
      </c>
    </row>
    <row r="580" spans="8:14" x14ac:dyDescent="0.25">
      <c r="H580" s="201" t="str">
        <f t="shared" si="9"/>
        <v/>
      </c>
      <c r="N580" s="164" t="str">
        <f>IFERROR(COUNTIF($B$18:B580,B580)&amp;CHOOSE(MIN(4,COUNTIF($B$18:B580,B580)),"st","nd","rd","th"),"")</f>
        <v/>
      </c>
    </row>
    <row r="581" spans="8:14" x14ac:dyDescent="0.25">
      <c r="H581" s="201" t="str">
        <f t="shared" si="9"/>
        <v/>
      </c>
      <c r="N581" s="164" t="str">
        <f>IFERROR(COUNTIF($B$18:B581,B581)&amp;CHOOSE(MIN(4,COUNTIF($B$18:B581,B581)),"st","nd","rd","th"),"")</f>
        <v/>
      </c>
    </row>
    <row r="582" spans="8:14" x14ac:dyDescent="0.25">
      <c r="H582" s="201" t="str">
        <f t="shared" si="9"/>
        <v/>
      </c>
      <c r="N582" s="164" t="str">
        <f>IFERROR(COUNTIF($B$18:B582,B582)&amp;CHOOSE(MIN(4,COUNTIF($B$18:B582,B582)),"st","nd","rd","th"),"")</f>
        <v/>
      </c>
    </row>
    <row r="583" spans="8:14" x14ac:dyDescent="0.25">
      <c r="H583" s="201" t="str">
        <f t="shared" si="9"/>
        <v/>
      </c>
      <c r="N583" s="164" t="str">
        <f>IFERROR(COUNTIF($B$18:B583,B583)&amp;CHOOSE(MIN(4,COUNTIF($B$18:B583,B583)),"st","nd","rd","th"),"")</f>
        <v/>
      </c>
    </row>
    <row r="584" spans="8:14" x14ac:dyDescent="0.25">
      <c r="H584" s="201" t="str">
        <f t="shared" si="9"/>
        <v/>
      </c>
      <c r="N584" s="164" t="str">
        <f>IFERROR(COUNTIF($B$18:B584,B584)&amp;CHOOSE(MIN(4,COUNTIF($B$18:B584,B584)),"st","nd","rd","th"),"")</f>
        <v/>
      </c>
    </row>
    <row r="585" spans="8:14" x14ac:dyDescent="0.25">
      <c r="H585" s="201" t="str">
        <f t="shared" si="9"/>
        <v/>
      </c>
      <c r="N585" s="164" t="str">
        <f>IFERROR(COUNTIF($B$18:B585,B585)&amp;CHOOSE(MIN(4,COUNTIF($B$18:B585,B585)),"st","nd","rd","th"),"")</f>
        <v/>
      </c>
    </row>
    <row r="586" spans="8:14" x14ac:dyDescent="0.25">
      <c r="H586" s="201" t="str">
        <f t="shared" si="9"/>
        <v/>
      </c>
      <c r="N586" s="164" t="str">
        <f>IFERROR(COUNTIF($B$18:B586,B586)&amp;CHOOSE(MIN(4,COUNTIF($B$18:B586,B586)),"st","nd","rd","th"),"")</f>
        <v/>
      </c>
    </row>
    <row r="587" spans="8:14" x14ac:dyDescent="0.25">
      <c r="H587" s="201" t="str">
        <f t="shared" si="9"/>
        <v/>
      </c>
      <c r="N587" s="164" t="str">
        <f>IFERROR(COUNTIF($B$18:B587,B587)&amp;CHOOSE(MIN(4,COUNTIF($B$18:B587,B587)),"st","nd","rd","th"),"")</f>
        <v/>
      </c>
    </row>
    <row r="588" spans="8:14" x14ac:dyDescent="0.25">
      <c r="H588" s="201" t="str">
        <f t="shared" si="9"/>
        <v/>
      </c>
      <c r="N588" s="164" t="str">
        <f>IFERROR(COUNTIF($B$18:B588,B588)&amp;CHOOSE(MIN(4,COUNTIF($B$18:B588,B588)),"st","nd","rd","th"),"")</f>
        <v/>
      </c>
    </row>
    <row r="589" spans="8:14" x14ac:dyDescent="0.25">
      <c r="H589" s="201" t="str">
        <f t="shared" si="9"/>
        <v/>
      </c>
      <c r="N589" s="164" t="str">
        <f>IFERROR(COUNTIF($B$18:B589,B589)&amp;CHOOSE(MIN(4,COUNTIF($B$18:B589,B589)),"st","nd","rd","th"),"")</f>
        <v/>
      </c>
    </row>
    <row r="590" spans="8:14" x14ac:dyDescent="0.25">
      <c r="H590" s="201" t="str">
        <f t="shared" si="9"/>
        <v/>
      </c>
      <c r="N590" s="164" t="str">
        <f>IFERROR(COUNTIF($B$18:B590,B590)&amp;CHOOSE(MIN(4,COUNTIF($B$18:B590,B590)),"st","nd","rd","th"),"")</f>
        <v/>
      </c>
    </row>
    <row r="591" spans="8:14" x14ac:dyDescent="0.25">
      <c r="H591" s="201" t="str">
        <f t="shared" si="9"/>
        <v/>
      </c>
      <c r="N591" s="164" t="str">
        <f>IFERROR(COUNTIF($B$18:B591,B591)&amp;CHOOSE(MIN(4,COUNTIF($B$18:B591,B591)),"st","nd","rd","th"),"")</f>
        <v/>
      </c>
    </row>
    <row r="592" spans="8:14" x14ac:dyDescent="0.25">
      <c r="H592" s="201" t="str">
        <f t="shared" si="9"/>
        <v/>
      </c>
      <c r="N592" s="164" t="str">
        <f>IFERROR(COUNTIF($B$18:B592,B592)&amp;CHOOSE(MIN(4,COUNTIF($B$18:B592,B592)),"st","nd","rd","th"),"")</f>
        <v/>
      </c>
    </row>
    <row r="593" spans="8:14" x14ac:dyDescent="0.25">
      <c r="H593" s="201" t="str">
        <f t="shared" si="9"/>
        <v/>
      </c>
      <c r="N593" s="164" t="str">
        <f>IFERROR(COUNTIF($B$18:B593,B593)&amp;CHOOSE(MIN(4,COUNTIF($B$18:B593,B593)),"st","nd","rd","th"),"")</f>
        <v/>
      </c>
    </row>
    <row r="594" spans="8:14" x14ac:dyDescent="0.25">
      <c r="H594" s="201" t="str">
        <f t="shared" si="9"/>
        <v/>
      </c>
      <c r="N594" s="164" t="str">
        <f>IFERROR(COUNTIF($B$18:B594,B594)&amp;CHOOSE(MIN(4,COUNTIF($B$18:B594,B594)),"st","nd","rd","th"),"")</f>
        <v/>
      </c>
    </row>
    <row r="595" spans="8:14" x14ac:dyDescent="0.25">
      <c r="H595" s="201" t="str">
        <f t="shared" ref="H595:H658" si="10">IF(OR(ISBLANK(G595), ISBLANK(F595)), "", IF(G595=F595, 1, SUM(_xlfn.DAYS(G595, F595), 1)))</f>
        <v/>
      </c>
      <c r="N595" s="164" t="str">
        <f>IFERROR(COUNTIF($B$18:B595,B595)&amp;CHOOSE(MIN(4,COUNTIF($B$18:B595,B595)),"st","nd","rd","th"),"")</f>
        <v/>
      </c>
    </row>
    <row r="596" spans="8:14" x14ac:dyDescent="0.25">
      <c r="H596" s="201" t="str">
        <f t="shared" si="10"/>
        <v/>
      </c>
      <c r="N596" s="164" t="str">
        <f>IFERROR(COUNTIF($B$18:B596,B596)&amp;CHOOSE(MIN(4,COUNTIF($B$18:B596,B596)),"st","nd","rd","th"),"")</f>
        <v/>
      </c>
    </row>
    <row r="597" spans="8:14" x14ac:dyDescent="0.25">
      <c r="H597" s="201" t="str">
        <f t="shared" si="10"/>
        <v/>
      </c>
      <c r="N597" s="164" t="str">
        <f>IFERROR(COUNTIF($B$18:B597,B597)&amp;CHOOSE(MIN(4,COUNTIF($B$18:B597,B597)),"st","nd","rd","th"),"")</f>
        <v/>
      </c>
    </row>
    <row r="598" spans="8:14" x14ac:dyDescent="0.25">
      <c r="H598" s="201" t="str">
        <f t="shared" si="10"/>
        <v/>
      </c>
      <c r="N598" s="164" t="str">
        <f>IFERROR(COUNTIF($B$18:B598,B598)&amp;CHOOSE(MIN(4,COUNTIF($B$18:B598,B598)),"st","nd","rd","th"),"")</f>
        <v/>
      </c>
    </row>
    <row r="599" spans="8:14" x14ac:dyDescent="0.25">
      <c r="H599" s="201" t="str">
        <f t="shared" si="10"/>
        <v/>
      </c>
      <c r="N599" s="164" t="str">
        <f>IFERROR(COUNTIF($B$18:B599,B599)&amp;CHOOSE(MIN(4,COUNTIF($B$18:B599,B599)),"st","nd","rd","th"),"")</f>
        <v/>
      </c>
    </row>
    <row r="600" spans="8:14" x14ac:dyDescent="0.25">
      <c r="H600" s="201" t="str">
        <f t="shared" si="10"/>
        <v/>
      </c>
      <c r="N600" s="164" t="str">
        <f>IFERROR(COUNTIF($B$18:B600,B600)&amp;CHOOSE(MIN(4,COUNTIF($B$18:B600,B600)),"st","nd","rd","th"),"")</f>
        <v/>
      </c>
    </row>
    <row r="601" spans="8:14" x14ac:dyDescent="0.25">
      <c r="H601" s="201" t="str">
        <f t="shared" si="10"/>
        <v/>
      </c>
      <c r="N601" s="164" t="str">
        <f>IFERROR(COUNTIF($B$18:B601,B601)&amp;CHOOSE(MIN(4,COUNTIF($B$18:B601,B601)),"st","nd","rd","th"),"")</f>
        <v/>
      </c>
    </row>
    <row r="602" spans="8:14" x14ac:dyDescent="0.25">
      <c r="H602" s="201" t="str">
        <f t="shared" si="10"/>
        <v/>
      </c>
      <c r="N602" s="164" t="str">
        <f>IFERROR(COUNTIF($B$18:B602,B602)&amp;CHOOSE(MIN(4,COUNTIF($B$18:B602,B602)),"st","nd","rd","th"),"")</f>
        <v/>
      </c>
    </row>
    <row r="603" spans="8:14" x14ac:dyDescent="0.25">
      <c r="H603" s="201" t="str">
        <f t="shared" si="10"/>
        <v/>
      </c>
      <c r="N603" s="164" t="str">
        <f>IFERROR(COUNTIF($B$18:B603,B603)&amp;CHOOSE(MIN(4,COUNTIF($B$18:B603,B603)),"st","nd","rd","th"),"")</f>
        <v/>
      </c>
    </row>
    <row r="604" spans="8:14" x14ac:dyDescent="0.25">
      <c r="H604" s="201" t="str">
        <f t="shared" si="10"/>
        <v/>
      </c>
      <c r="N604" s="164" t="str">
        <f>IFERROR(COUNTIF($B$18:B604,B604)&amp;CHOOSE(MIN(4,COUNTIF($B$18:B604,B604)),"st","nd","rd","th"),"")</f>
        <v/>
      </c>
    </row>
    <row r="605" spans="8:14" x14ac:dyDescent="0.25">
      <c r="H605" s="201" t="str">
        <f t="shared" si="10"/>
        <v/>
      </c>
      <c r="N605" s="164" t="str">
        <f>IFERROR(COUNTIF($B$18:B605,B605)&amp;CHOOSE(MIN(4,COUNTIF($B$18:B605,B605)),"st","nd","rd","th"),"")</f>
        <v/>
      </c>
    </row>
    <row r="606" spans="8:14" x14ac:dyDescent="0.25">
      <c r="H606" s="201" t="str">
        <f t="shared" si="10"/>
        <v/>
      </c>
      <c r="N606" s="164" t="str">
        <f>IFERROR(COUNTIF($B$18:B606,B606)&amp;CHOOSE(MIN(4,COUNTIF($B$18:B606,B606)),"st","nd","rd","th"),"")</f>
        <v/>
      </c>
    </row>
    <row r="607" spans="8:14" x14ac:dyDescent="0.25">
      <c r="H607" s="201" t="str">
        <f t="shared" si="10"/>
        <v/>
      </c>
      <c r="N607" s="164" t="str">
        <f>IFERROR(COUNTIF($B$18:B607,B607)&amp;CHOOSE(MIN(4,COUNTIF($B$18:B607,B607)),"st","nd","rd","th"),"")</f>
        <v/>
      </c>
    </row>
    <row r="608" spans="8:14" x14ac:dyDescent="0.25">
      <c r="H608" s="201" t="str">
        <f t="shared" si="10"/>
        <v/>
      </c>
      <c r="N608" s="164" t="str">
        <f>IFERROR(COUNTIF($B$18:B608,B608)&amp;CHOOSE(MIN(4,COUNTIF($B$18:B608,B608)),"st","nd","rd","th"),"")</f>
        <v/>
      </c>
    </row>
    <row r="609" spans="8:14" x14ac:dyDescent="0.25">
      <c r="H609" s="201" t="str">
        <f t="shared" si="10"/>
        <v/>
      </c>
      <c r="N609" s="164" t="str">
        <f>IFERROR(COUNTIF($B$18:B609,B609)&amp;CHOOSE(MIN(4,COUNTIF($B$18:B609,B609)),"st","nd","rd","th"),"")</f>
        <v/>
      </c>
    </row>
    <row r="610" spans="8:14" x14ac:dyDescent="0.25">
      <c r="H610" s="201" t="str">
        <f t="shared" si="10"/>
        <v/>
      </c>
      <c r="N610" s="164" t="str">
        <f>IFERROR(COUNTIF($B$18:B610,B610)&amp;CHOOSE(MIN(4,COUNTIF($B$18:B610,B610)),"st","nd","rd","th"),"")</f>
        <v/>
      </c>
    </row>
    <row r="611" spans="8:14" x14ac:dyDescent="0.25">
      <c r="H611" s="201" t="str">
        <f t="shared" si="10"/>
        <v/>
      </c>
      <c r="N611" s="164" t="str">
        <f>IFERROR(COUNTIF($B$18:B611,B611)&amp;CHOOSE(MIN(4,COUNTIF($B$18:B611,B611)),"st","nd","rd","th"),"")</f>
        <v/>
      </c>
    </row>
    <row r="612" spans="8:14" x14ac:dyDescent="0.25">
      <c r="H612" s="201" t="str">
        <f t="shared" si="10"/>
        <v/>
      </c>
      <c r="N612" s="164" t="str">
        <f>IFERROR(COUNTIF($B$18:B612,B612)&amp;CHOOSE(MIN(4,COUNTIF($B$18:B612,B612)),"st","nd","rd","th"),"")</f>
        <v/>
      </c>
    </row>
    <row r="613" spans="8:14" x14ac:dyDescent="0.25">
      <c r="H613" s="201" t="str">
        <f t="shared" si="10"/>
        <v/>
      </c>
      <c r="N613" s="164" t="str">
        <f>IFERROR(COUNTIF($B$18:B613,B613)&amp;CHOOSE(MIN(4,COUNTIF($B$18:B613,B613)),"st","nd","rd","th"),"")</f>
        <v/>
      </c>
    </row>
    <row r="614" spans="8:14" x14ac:dyDescent="0.25">
      <c r="H614" s="201" t="str">
        <f t="shared" si="10"/>
        <v/>
      </c>
      <c r="N614" s="164" t="str">
        <f>IFERROR(COUNTIF($B$18:B614,B614)&amp;CHOOSE(MIN(4,COUNTIF($B$18:B614,B614)),"st","nd","rd","th"),"")</f>
        <v/>
      </c>
    </row>
    <row r="615" spans="8:14" x14ac:dyDescent="0.25">
      <c r="H615" s="201" t="str">
        <f t="shared" si="10"/>
        <v/>
      </c>
      <c r="N615" s="164" t="str">
        <f>IFERROR(COUNTIF($B$18:B615,B615)&amp;CHOOSE(MIN(4,COUNTIF($B$18:B615,B615)),"st","nd","rd","th"),"")</f>
        <v/>
      </c>
    </row>
    <row r="616" spans="8:14" x14ac:dyDescent="0.25">
      <c r="H616" s="201" t="str">
        <f t="shared" si="10"/>
        <v/>
      </c>
      <c r="N616" s="164" t="str">
        <f>IFERROR(COUNTIF($B$18:B616,B616)&amp;CHOOSE(MIN(4,COUNTIF($B$18:B616,B616)),"st","nd","rd","th"),"")</f>
        <v/>
      </c>
    </row>
    <row r="617" spans="8:14" x14ac:dyDescent="0.25">
      <c r="H617" s="201" t="str">
        <f t="shared" si="10"/>
        <v/>
      </c>
      <c r="N617" s="164" t="str">
        <f>IFERROR(COUNTIF($B$18:B617,B617)&amp;CHOOSE(MIN(4,COUNTIF($B$18:B617,B617)),"st","nd","rd","th"),"")</f>
        <v/>
      </c>
    </row>
    <row r="618" spans="8:14" x14ac:dyDescent="0.25">
      <c r="H618" s="201" t="str">
        <f t="shared" si="10"/>
        <v/>
      </c>
      <c r="N618" s="164" t="str">
        <f>IFERROR(COUNTIF($B$18:B618,B618)&amp;CHOOSE(MIN(4,COUNTIF($B$18:B618,B618)),"st","nd","rd","th"),"")</f>
        <v/>
      </c>
    </row>
    <row r="619" spans="8:14" x14ac:dyDescent="0.25">
      <c r="H619" s="201" t="str">
        <f t="shared" si="10"/>
        <v/>
      </c>
      <c r="N619" s="164" t="str">
        <f>IFERROR(COUNTIF($B$18:B619,B619)&amp;CHOOSE(MIN(4,COUNTIF($B$18:B619,B619)),"st","nd","rd","th"),"")</f>
        <v/>
      </c>
    </row>
    <row r="620" spans="8:14" x14ac:dyDescent="0.25">
      <c r="H620" s="201" t="str">
        <f t="shared" si="10"/>
        <v/>
      </c>
      <c r="N620" s="164" t="str">
        <f>IFERROR(COUNTIF($B$18:B620,B620)&amp;CHOOSE(MIN(4,COUNTIF($B$18:B620,B620)),"st","nd","rd","th"),"")</f>
        <v/>
      </c>
    </row>
    <row r="621" spans="8:14" x14ac:dyDescent="0.25">
      <c r="H621" s="201" t="str">
        <f t="shared" si="10"/>
        <v/>
      </c>
      <c r="N621" s="164" t="str">
        <f>IFERROR(COUNTIF($B$18:B621,B621)&amp;CHOOSE(MIN(4,COUNTIF($B$18:B621,B621)),"st","nd","rd","th"),"")</f>
        <v/>
      </c>
    </row>
    <row r="622" spans="8:14" x14ac:dyDescent="0.25">
      <c r="H622" s="201" t="str">
        <f t="shared" si="10"/>
        <v/>
      </c>
      <c r="N622" s="164" t="str">
        <f>IFERROR(COUNTIF($B$18:B622,B622)&amp;CHOOSE(MIN(4,COUNTIF($B$18:B622,B622)),"st","nd","rd","th"),"")</f>
        <v/>
      </c>
    </row>
    <row r="623" spans="8:14" x14ac:dyDescent="0.25">
      <c r="H623" s="201" t="str">
        <f t="shared" si="10"/>
        <v/>
      </c>
      <c r="N623" s="164" t="str">
        <f>IFERROR(COUNTIF($B$18:B623,B623)&amp;CHOOSE(MIN(4,COUNTIF($B$18:B623,B623)),"st","nd","rd","th"),"")</f>
        <v/>
      </c>
    </row>
    <row r="624" spans="8:14" x14ac:dyDescent="0.25">
      <c r="H624" s="201" t="str">
        <f t="shared" si="10"/>
        <v/>
      </c>
      <c r="N624" s="164" t="str">
        <f>IFERROR(COUNTIF($B$18:B624,B624)&amp;CHOOSE(MIN(4,COUNTIF($B$18:B624,B624)),"st","nd","rd","th"),"")</f>
        <v/>
      </c>
    </row>
    <row r="625" spans="8:14" x14ac:dyDescent="0.25">
      <c r="H625" s="201" t="str">
        <f t="shared" si="10"/>
        <v/>
      </c>
      <c r="N625" s="164" t="str">
        <f>IFERROR(COUNTIF($B$18:B625,B625)&amp;CHOOSE(MIN(4,COUNTIF($B$18:B625,B625)),"st","nd","rd","th"),"")</f>
        <v/>
      </c>
    </row>
    <row r="626" spans="8:14" x14ac:dyDescent="0.25">
      <c r="H626" s="201" t="str">
        <f t="shared" si="10"/>
        <v/>
      </c>
      <c r="N626" s="164" t="str">
        <f>IFERROR(COUNTIF($B$18:B626,B626)&amp;CHOOSE(MIN(4,COUNTIF($B$18:B626,B626)),"st","nd","rd","th"),"")</f>
        <v/>
      </c>
    </row>
    <row r="627" spans="8:14" x14ac:dyDescent="0.25">
      <c r="H627" s="201" t="str">
        <f t="shared" si="10"/>
        <v/>
      </c>
      <c r="N627" s="164" t="str">
        <f>IFERROR(COUNTIF($B$18:B627,B627)&amp;CHOOSE(MIN(4,COUNTIF($B$18:B627,B627)),"st","nd","rd","th"),"")</f>
        <v/>
      </c>
    </row>
    <row r="628" spans="8:14" x14ac:dyDescent="0.25">
      <c r="H628" s="201" t="str">
        <f t="shared" si="10"/>
        <v/>
      </c>
      <c r="N628" s="164" t="str">
        <f>IFERROR(COUNTIF($B$18:B628,B628)&amp;CHOOSE(MIN(4,COUNTIF($B$18:B628,B628)),"st","nd","rd","th"),"")</f>
        <v/>
      </c>
    </row>
    <row r="629" spans="8:14" x14ac:dyDescent="0.25">
      <c r="H629" s="201" t="str">
        <f t="shared" si="10"/>
        <v/>
      </c>
      <c r="N629" s="164" t="str">
        <f>IFERROR(COUNTIF($B$18:B629,B629)&amp;CHOOSE(MIN(4,COUNTIF($B$18:B629,B629)),"st","nd","rd","th"),"")</f>
        <v/>
      </c>
    </row>
    <row r="630" spans="8:14" x14ac:dyDescent="0.25">
      <c r="H630" s="201" t="str">
        <f t="shared" si="10"/>
        <v/>
      </c>
      <c r="N630" s="164" t="str">
        <f>IFERROR(COUNTIF($B$18:B630,B630)&amp;CHOOSE(MIN(4,COUNTIF($B$18:B630,B630)),"st","nd","rd","th"),"")</f>
        <v/>
      </c>
    </row>
    <row r="631" spans="8:14" x14ac:dyDescent="0.25">
      <c r="H631" s="201" t="str">
        <f t="shared" si="10"/>
        <v/>
      </c>
      <c r="N631" s="164" t="str">
        <f>IFERROR(COUNTIF($B$18:B631,B631)&amp;CHOOSE(MIN(4,COUNTIF($B$18:B631,B631)),"st","nd","rd","th"),"")</f>
        <v/>
      </c>
    </row>
    <row r="632" spans="8:14" x14ac:dyDescent="0.25">
      <c r="H632" s="201" t="str">
        <f t="shared" si="10"/>
        <v/>
      </c>
      <c r="N632" s="164" t="str">
        <f>IFERROR(COUNTIF($B$18:B632,B632)&amp;CHOOSE(MIN(4,COUNTIF($B$18:B632,B632)),"st","nd","rd","th"),"")</f>
        <v/>
      </c>
    </row>
    <row r="633" spans="8:14" x14ac:dyDescent="0.25">
      <c r="H633" s="201" t="str">
        <f t="shared" si="10"/>
        <v/>
      </c>
      <c r="N633" s="164" t="str">
        <f>IFERROR(COUNTIF($B$18:B633,B633)&amp;CHOOSE(MIN(4,COUNTIF($B$18:B633,B633)),"st","nd","rd","th"),"")</f>
        <v/>
      </c>
    </row>
    <row r="634" spans="8:14" x14ac:dyDescent="0.25">
      <c r="H634" s="201" t="str">
        <f t="shared" si="10"/>
        <v/>
      </c>
      <c r="N634" s="164" t="str">
        <f>IFERROR(COUNTIF($B$18:B634,B634)&amp;CHOOSE(MIN(4,COUNTIF($B$18:B634,B634)),"st","nd","rd","th"),"")</f>
        <v/>
      </c>
    </row>
    <row r="635" spans="8:14" x14ac:dyDescent="0.25">
      <c r="H635" s="201" t="str">
        <f t="shared" si="10"/>
        <v/>
      </c>
      <c r="N635" s="164" t="str">
        <f>IFERROR(COUNTIF($B$18:B635,B635)&amp;CHOOSE(MIN(4,COUNTIF($B$18:B635,B635)),"st","nd","rd","th"),"")</f>
        <v/>
      </c>
    </row>
    <row r="636" spans="8:14" x14ac:dyDescent="0.25">
      <c r="H636" s="201" t="str">
        <f t="shared" si="10"/>
        <v/>
      </c>
      <c r="N636" s="164" t="str">
        <f>IFERROR(COUNTIF($B$18:B636,B636)&amp;CHOOSE(MIN(4,COUNTIF($B$18:B636,B636)),"st","nd","rd","th"),"")</f>
        <v/>
      </c>
    </row>
    <row r="637" spans="8:14" x14ac:dyDescent="0.25">
      <c r="H637" s="201" t="str">
        <f t="shared" si="10"/>
        <v/>
      </c>
      <c r="N637" s="164" t="str">
        <f>IFERROR(COUNTIF($B$18:B637,B637)&amp;CHOOSE(MIN(4,COUNTIF($B$18:B637,B637)),"st","nd","rd","th"),"")</f>
        <v/>
      </c>
    </row>
    <row r="638" spans="8:14" x14ac:dyDescent="0.25">
      <c r="H638" s="201" t="str">
        <f t="shared" si="10"/>
        <v/>
      </c>
      <c r="N638" s="164" t="str">
        <f>IFERROR(COUNTIF($B$18:B638,B638)&amp;CHOOSE(MIN(4,COUNTIF($B$18:B638,B638)),"st","nd","rd","th"),"")</f>
        <v/>
      </c>
    </row>
    <row r="639" spans="8:14" x14ac:dyDescent="0.25">
      <c r="H639" s="201" t="str">
        <f t="shared" si="10"/>
        <v/>
      </c>
      <c r="N639" s="164" t="str">
        <f>IFERROR(COUNTIF($B$18:B639,B639)&amp;CHOOSE(MIN(4,COUNTIF($B$18:B639,B639)),"st","nd","rd","th"),"")</f>
        <v/>
      </c>
    </row>
    <row r="640" spans="8:14" x14ac:dyDescent="0.25">
      <c r="H640" s="201" t="str">
        <f t="shared" si="10"/>
        <v/>
      </c>
      <c r="N640" s="164" t="str">
        <f>IFERROR(COUNTIF($B$18:B640,B640)&amp;CHOOSE(MIN(4,COUNTIF($B$18:B640,B640)),"st","nd","rd","th"),"")</f>
        <v/>
      </c>
    </row>
    <row r="641" spans="8:14" x14ac:dyDescent="0.25">
      <c r="H641" s="201" t="str">
        <f t="shared" si="10"/>
        <v/>
      </c>
      <c r="N641" s="164" t="str">
        <f>IFERROR(COUNTIF($B$18:B641,B641)&amp;CHOOSE(MIN(4,COUNTIF($B$18:B641,B641)),"st","nd","rd","th"),"")</f>
        <v/>
      </c>
    </row>
    <row r="642" spans="8:14" x14ac:dyDescent="0.25">
      <c r="H642" s="201" t="str">
        <f t="shared" si="10"/>
        <v/>
      </c>
      <c r="N642" s="164" t="str">
        <f>IFERROR(COUNTIF($B$18:B642,B642)&amp;CHOOSE(MIN(4,COUNTIF($B$18:B642,B642)),"st","nd","rd","th"),"")</f>
        <v/>
      </c>
    </row>
    <row r="643" spans="8:14" x14ac:dyDescent="0.25">
      <c r="H643" s="201" t="str">
        <f t="shared" si="10"/>
        <v/>
      </c>
      <c r="N643" s="164" t="str">
        <f>IFERROR(COUNTIF($B$18:B643,B643)&amp;CHOOSE(MIN(4,COUNTIF($B$18:B643,B643)),"st","nd","rd","th"),"")</f>
        <v/>
      </c>
    </row>
    <row r="644" spans="8:14" x14ac:dyDescent="0.25">
      <c r="H644" s="201" t="str">
        <f t="shared" si="10"/>
        <v/>
      </c>
      <c r="N644" s="164" t="str">
        <f>IFERROR(COUNTIF($B$18:B644,B644)&amp;CHOOSE(MIN(4,COUNTIF($B$18:B644,B644)),"st","nd","rd","th"),"")</f>
        <v/>
      </c>
    </row>
    <row r="645" spans="8:14" x14ac:dyDescent="0.25">
      <c r="H645" s="201" t="str">
        <f t="shared" si="10"/>
        <v/>
      </c>
      <c r="N645" s="164" t="str">
        <f>IFERROR(COUNTIF($B$18:B645,B645)&amp;CHOOSE(MIN(4,COUNTIF($B$18:B645,B645)),"st","nd","rd","th"),"")</f>
        <v/>
      </c>
    </row>
    <row r="646" spans="8:14" x14ac:dyDescent="0.25">
      <c r="H646" s="201" t="str">
        <f t="shared" si="10"/>
        <v/>
      </c>
      <c r="N646" s="164" t="str">
        <f>IFERROR(COUNTIF($B$18:B646,B646)&amp;CHOOSE(MIN(4,COUNTIF($B$18:B646,B646)),"st","nd","rd","th"),"")</f>
        <v/>
      </c>
    </row>
    <row r="647" spans="8:14" x14ac:dyDescent="0.25">
      <c r="H647" s="201" t="str">
        <f t="shared" si="10"/>
        <v/>
      </c>
      <c r="N647" s="164" t="str">
        <f>IFERROR(COUNTIF($B$18:B647,B647)&amp;CHOOSE(MIN(4,COUNTIF($B$18:B647,B647)),"st","nd","rd","th"),"")</f>
        <v/>
      </c>
    </row>
    <row r="648" spans="8:14" x14ac:dyDescent="0.25">
      <c r="H648" s="201" t="str">
        <f t="shared" si="10"/>
        <v/>
      </c>
      <c r="N648" s="164" t="str">
        <f>IFERROR(COUNTIF($B$18:B648,B648)&amp;CHOOSE(MIN(4,COUNTIF($B$18:B648,B648)),"st","nd","rd","th"),"")</f>
        <v/>
      </c>
    </row>
    <row r="649" spans="8:14" x14ac:dyDescent="0.25">
      <c r="H649" s="201" t="str">
        <f t="shared" si="10"/>
        <v/>
      </c>
      <c r="N649" s="164" t="str">
        <f>IFERROR(COUNTIF($B$18:B649,B649)&amp;CHOOSE(MIN(4,COUNTIF($B$18:B649,B649)),"st","nd","rd","th"),"")</f>
        <v/>
      </c>
    </row>
    <row r="650" spans="8:14" x14ac:dyDescent="0.25">
      <c r="H650" s="201" t="str">
        <f t="shared" si="10"/>
        <v/>
      </c>
      <c r="N650" s="164" t="str">
        <f>IFERROR(COUNTIF($B$18:B650,B650)&amp;CHOOSE(MIN(4,COUNTIF($B$18:B650,B650)),"st","nd","rd","th"),"")</f>
        <v/>
      </c>
    </row>
    <row r="651" spans="8:14" x14ac:dyDescent="0.25">
      <c r="H651" s="201" t="str">
        <f t="shared" si="10"/>
        <v/>
      </c>
      <c r="N651" s="164" t="str">
        <f>IFERROR(COUNTIF($B$18:B651,B651)&amp;CHOOSE(MIN(4,COUNTIF($B$18:B651,B651)),"st","nd","rd","th"),"")</f>
        <v/>
      </c>
    </row>
    <row r="652" spans="8:14" x14ac:dyDescent="0.25">
      <c r="H652" s="201" t="str">
        <f t="shared" si="10"/>
        <v/>
      </c>
      <c r="N652" s="164" t="str">
        <f>IFERROR(COUNTIF($B$18:B652,B652)&amp;CHOOSE(MIN(4,COUNTIF($B$18:B652,B652)),"st","nd","rd","th"),"")</f>
        <v/>
      </c>
    </row>
    <row r="653" spans="8:14" x14ac:dyDescent="0.25">
      <c r="H653" s="201" t="str">
        <f t="shared" si="10"/>
        <v/>
      </c>
      <c r="N653" s="164" t="str">
        <f>IFERROR(COUNTIF($B$18:B653,B653)&amp;CHOOSE(MIN(4,COUNTIF($B$18:B653,B653)),"st","nd","rd","th"),"")</f>
        <v/>
      </c>
    </row>
    <row r="654" spans="8:14" x14ac:dyDescent="0.25">
      <c r="H654" s="201" t="str">
        <f t="shared" si="10"/>
        <v/>
      </c>
      <c r="N654" s="164" t="str">
        <f>IFERROR(COUNTIF($B$18:B654,B654)&amp;CHOOSE(MIN(4,COUNTIF($B$18:B654,B654)),"st","nd","rd","th"),"")</f>
        <v/>
      </c>
    </row>
    <row r="655" spans="8:14" x14ac:dyDescent="0.25">
      <c r="H655" s="201" t="str">
        <f t="shared" si="10"/>
        <v/>
      </c>
      <c r="N655" s="164" t="str">
        <f>IFERROR(COUNTIF($B$18:B655,B655)&amp;CHOOSE(MIN(4,COUNTIF($B$18:B655,B655)),"st","nd","rd","th"),"")</f>
        <v/>
      </c>
    </row>
    <row r="656" spans="8:14" x14ac:dyDescent="0.25">
      <c r="H656" s="201" t="str">
        <f t="shared" si="10"/>
        <v/>
      </c>
      <c r="N656" s="164" t="str">
        <f>IFERROR(COUNTIF($B$18:B656,B656)&amp;CHOOSE(MIN(4,COUNTIF($B$18:B656,B656)),"st","nd","rd","th"),"")</f>
        <v/>
      </c>
    </row>
    <row r="657" spans="8:14" x14ac:dyDescent="0.25">
      <c r="H657" s="201" t="str">
        <f t="shared" si="10"/>
        <v/>
      </c>
      <c r="N657" s="164" t="str">
        <f>IFERROR(COUNTIF($B$18:B657,B657)&amp;CHOOSE(MIN(4,COUNTIF($B$18:B657,B657)),"st","nd","rd","th"),"")</f>
        <v/>
      </c>
    </row>
    <row r="658" spans="8:14" x14ac:dyDescent="0.25">
      <c r="H658" s="201" t="str">
        <f t="shared" si="10"/>
        <v/>
      </c>
      <c r="N658" s="164" t="str">
        <f>IFERROR(COUNTIF($B$18:B658,B658)&amp;CHOOSE(MIN(4,COUNTIF($B$18:B658,B658)),"st","nd","rd","th"),"")</f>
        <v/>
      </c>
    </row>
    <row r="659" spans="8:14" x14ac:dyDescent="0.25">
      <c r="H659" s="201" t="str">
        <f t="shared" ref="H659:H722" si="11">IF(OR(ISBLANK(G659), ISBLANK(F659)), "", IF(G659=F659, 1, SUM(_xlfn.DAYS(G659, F659), 1)))</f>
        <v/>
      </c>
      <c r="N659" s="164" t="str">
        <f>IFERROR(COUNTIF($B$18:B659,B659)&amp;CHOOSE(MIN(4,COUNTIF($B$18:B659,B659)),"st","nd","rd","th"),"")</f>
        <v/>
      </c>
    </row>
    <row r="660" spans="8:14" x14ac:dyDescent="0.25">
      <c r="H660" s="201" t="str">
        <f t="shared" si="11"/>
        <v/>
      </c>
      <c r="N660" s="164" t="str">
        <f>IFERROR(COUNTIF($B$18:B660,B660)&amp;CHOOSE(MIN(4,COUNTIF($B$18:B660,B660)),"st","nd","rd","th"),"")</f>
        <v/>
      </c>
    </row>
    <row r="661" spans="8:14" x14ac:dyDescent="0.25">
      <c r="H661" s="201" t="str">
        <f t="shared" si="11"/>
        <v/>
      </c>
      <c r="N661" s="164" t="str">
        <f>IFERROR(COUNTIF($B$18:B661,B661)&amp;CHOOSE(MIN(4,COUNTIF($B$18:B661,B661)),"st","nd","rd","th"),"")</f>
        <v/>
      </c>
    </row>
    <row r="662" spans="8:14" x14ac:dyDescent="0.25">
      <c r="H662" s="201" t="str">
        <f t="shared" si="11"/>
        <v/>
      </c>
      <c r="N662" s="164" t="str">
        <f>IFERROR(COUNTIF($B$18:B662,B662)&amp;CHOOSE(MIN(4,COUNTIF($B$18:B662,B662)),"st","nd","rd","th"),"")</f>
        <v/>
      </c>
    </row>
    <row r="663" spans="8:14" x14ac:dyDescent="0.25">
      <c r="H663" s="201" t="str">
        <f t="shared" si="11"/>
        <v/>
      </c>
      <c r="N663" s="164" t="str">
        <f>IFERROR(COUNTIF($B$18:B663,B663)&amp;CHOOSE(MIN(4,COUNTIF($B$18:B663,B663)),"st","nd","rd","th"),"")</f>
        <v/>
      </c>
    </row>
    <row r="664" spans="8:14" x14ac:dyDescent="0.25">
      <c r="H664" s="201" t="str">
        <f t="shared" si="11"/>
        <v/>
      </c>
      <c r="N664" s="164" t="str">
        <f>IFERROR(COUNTIF($B$18:B664,B664)&amp;CHOOSE(MIN(4,COUNTIF($B$18:B664,B664)),"st","nd","rd","th"),"")</f>
        <v/>
      </c>
    </row>
    <row r="665" spans="8:14" x14ac:dyDescent="0.25">
      <c r="H665" s="201" t="str">
        <f t="shared" si="11"/>
        <v/>
      </c>
      <c r="N665" s="164" t="str">
        <f>IFERROR(COUNTIF($B$18:B665,B665)&amp;CHOOSE(MIN(4,COUNTIF($B$18:B665,B665)),"st","nd","rd","th"),"")</f>
        <v/>
      </c>
    </row>
    <row r="666" spans="8:14" x14ac:dyDescent="0.25">
      <c r="H666" s="201" t="str">
        <f t="shared" si="11"/>
        <v/>
      </c>
      <c r="N666" s="164" t="str">
        <f>IFERROR(COUNTIF($B$18:B666,B666)&amp;CHOOSE(MIN(4,COUNTIF($B$18:B666,B666)),"st","nd","rd","th"),"")</f>
        <v/>
      </c>
    </row>
    <row r="667" spans="8:14" x14ac:dyDescent="0.25">
      <c r="H667" s="201" t="str">
        <f t="shared" si="11"/>
        <v/>
      </c>
      <c r="N667" s="164" t="str">
        <f>IFERROR(COUNTIF($B$18:B667,B667)&amp;CHOOSE(MIN(4,COUNTIF($B$18:B667,B667)),"st","nd","rd","th"),"")</f>
        <v/>
      </c>
    </row>
    <row r="668" spans="8:14" x14ac:dyDescent="0.25">
      <c r="H668" s="201" t="str">
        <f t="shared" si="11"/>
        <v/>
      </c>
      <c r="N668" s="164" t="str">
        <f>IFERROR(COUNTIF($B$18:B668,B668)&amp;CHOOSE(MIN(4,COUNTIF($B$18:B668,B668)),"st","nd","rd","th"),"")</f>
        <v/>
      </c>
    </row>
    <row r="669" spans="8:14" x14ac:dyDescent="0.25">
      <c r="H669" s="201" t="str">
        <f t="shared" si="11"/>
        <v/>
      </c>
      <c r="N669" s="164" t="str">
        <f>IFERROR(COUNTIF($B$18:B669,B669)&amp;CHOOSE(MIN(4,COUNTIF($B$18:B669,B669)),"st","nd","rd","th"),"")</f>
        <v/>
      </c>
    </row>
    <row r="670" spans="8:14" x14ac:dyDescent="0.25">
      <c r="H670" s="201" t="str">
        <f t="shared" si="11"/>
        <v/>
      </c>
      <c r="N670" s="164" t="str">
        <f>IFERROR(COUNTIF($B$18:B670,B670)&amp;CHOOSE(MIN(4,COUNTIF($B$18:B670,B670)),"st","nd","rd","th"),"")</f>
        <v/>
      </c>
    </row>
    <row r="671" spans="8:14" x14ac:dyDescent="0.25">
      <c r="H671" s="201" t="str">
        <f t="shared" si="11"/>
        <v/>
      </c>
      <c r="N671" s="164" t="str">
        <f>IFERROR(COUNTIF($B$18:B671,B671)&amp;CHOOSE(MIN(4,COUNTIF($B$18:B671,B671)),"st","nd","rd","th"),"")</f>
        <v/>
      </c>
    </row>
    <row r="672" spans="8:14" x14ac:dyDescent="0.25">
      <c r="H672" s="201" t="str">
        <f t="shared" si="11"/>
        <v/>
      </c>
      <c r="N672" s="164" t="str">
        <f>IFERROR(COUNTIF($B$18:B672,B672)&amp;CHOOSE(MIN(4,COUNTIF($B$18:B672,B672)),"st","nd","rd","th"),"")</f>
        <v/>
      </c>
    </row>
    <row r="673" spans="8:14" x14ac:dyDescent="0.25">
      <c r="H673" s="201" t="str">
        <f t="shared" si="11"/>
        <v/>
      </c>
      <c r="N673" s="164" t="str">
        <f>IFERROR(COUNTIF($B$18:B673,B673)&amp;CHOOSE(MIN(4,COUNTIF($B$18:B673,B673)),"st","nd","rd","th"),"")</f>
        <v/>
      </c>
    </row>
    <row r="674" spans="8:14" x14ac:dyDescent="0.25">
      <c r="H674" s="201" t="str">
        <f t="shared" si="11"/>
        <v/>
      </c>
      <c r="N674" s="164" t="str">
        <f>IFERROR(COUNTIF($B$18:B674,B674)&amp;CHOOSE(MIN(4,COUNTIF($B$18:B674,B674)),"st","nd","rd","th"),"")</f>
        <v/>
      </c>
    </row>
    <row r="675" spans="8:14" x14ac:dyDescent="0.25">
      <c r="H675" s="201" t="str">
        <f t="shared" si="11"/>
        <v/>
      </c>
      <c r="N675" s="164" t="str">
        <f>IFERROR(COUNTIF($B$18:B675,B675)&amp;CHOOSE(MIN(4,COUNTIF($B$18:B675,B675)),"st","nd","rd","th"),"")</f>
        <v/>
      </c>
    </row>
    <row r="676" spans="8:14" x14ac:dyDescent="0.25">
      <c r="H676" s="201" t="str">
        <f t="shared" si="11"/>
        <v/>
      </c>
      <c r="N676" s="164" t="str">
        <f>IFERROR(COUNTIF($B$18:B676,B676)&amp;CHOOSE(MIN(4,COUNTIF($B$18:B676,B676)),"st","nd","rd","th"),"")</f>
        <v/>
      </c>
    </row>
    <row r="677" spans="8:14" x14ac:dyDescent="0.25">
      <c r="H677" s="201" t="str">
        <f t="shared" si="11"/>
        <v/>
      </c>
      <c r="N677" s="164" t="str">
        <f>IFERROR(COUNTIF($B$18:B677,B677)&amp;CHOOSE(MIN(4,COUNTIF($B$18:B677,B677)),"st","nd","rd","th"),"")</f>
        <v/>
      </c>
    </row>
    <row r="678" spans="8:14" x14ac:dyDescent="0.25">
      <c r="H678" s="201" t="str">
        <f t="shared" si="11"/>
        <v/>
      </c>
      <c r="N678" s="164" t="str">
        <f>IFERROR(COUNTIF($B$18:B678,B678)&amp;CHOOSE(MIN(4,COUNTIF($B$18:B678,B678)),"st","nd","rd","th"),"")</f>
        <v/>
      </c>
    </row>
    <row r="679" spans="8:14" x14ac:dyDescent="0.25">
      <c r="H679" s="201" t="str">
        <f t="shared" si="11"/>
        <v/>
      </c>
      <c r="N679" s="164" t="str">
        <f>IFERROR(COUNTIF($B$18:B679,B679)&amp;CHOOSE(MIN(4,COUNTIF($B$18:B679,B679)),"st","nd","rd","th"),"")</f>
        <v/>
      </c>
    </row>
    <row r="680" spans="8:14" x14ac:dyDescent="0.25">
      <c r="H680" s="201" t="str">
        <f t="shared" si="11"/>
        <v/>
      </c>
      <c r="N680" s="164" t="str">
        <f>IFERROR(COUNTIF($B$18:B680,B680)&amp;CHOOSE(MIN(4,COUNTIF($B$18:B680,B680)),"st","nd","rd","th"),"")</f>
        <v/>
      </c>
    </row>
    <row r="681" spans="8:14" x14ac:dyDescent="0.25">
      <c r="H681" s="201" t="str">
        <f t="shared" si="11"/>
        <v/>
      </c>
      <c r="N681" s="164" t="str">
        <f>IFERROR(COUNTIF($B$18:B681,B681)&amp;CHOOSE(MIN(4,COUNTIF($B$18:B681,B681)),"st","nd","rd","th"),"")</f>
        <v/>
      </c>
    </row>
    <row r="682" spans="8:14" x14ac:dyDescent="0.25">
      <c r="H682" s="201" t="str">
        <f t="shared" si="11"/>
        <v/>
      </c>
      <c r="N682" s="164" t="str">
        <f>IFERROR(COUNTIF($B$18:B682,B682)&amp;CHOOSE(MIN(4,COUNTIF($B$18:B682,B682)),"st","nd","rd","th"),"")</f>
        <v/>
      </c>
    </row>
    <row r="683" spans="8:14" x14ac:dyDescent="0.25">
      <c r="H683" s="201" t="str">
        <f t="shared" si="11"/>
        <v/>
      </c>
      <c r="N683" s="164" t="str">
        <f>IFERROR(COUNTIF($B$18:B683,B683)&amp;CHOOSE(MIN(4,COUNTIF($B$18:B683,B683)),"st","nd","rd","th"),"")</f>
        <v/>
      </c>
    </row>
    <row r="684" spans="8:14" x14ac:dyDescent="0.25">
      <c r="H684" s="201" t="str">
        <f t="shared" si="11"/>
        <v/>
      </c>
      <c r="N684" s="164" t="str">
        <f>IFERROR(COUNTIF($B$18:B684,B684)&amp;CHOOSE(MIN(4,COUNTIF($B$18:B684,B684)),"st","nd","rd","th"),"")</f>
        <v/>
      </c>
    </row>
    <row r="685" spans="8:14" x14ac:dyDescent="0.25">
      <c r="H685" s="201" t="str">
        <f t="shared" si="11"/>
        <v/>
      </c>
      <c r="N685" s="164" t="str">
        <f>IFERROR(COUNTIF($B$18:B685,B685)&amp;CHOOSE(MIN(4,COUNTIF($B$18:B685,B685)),"st","nd","rd","th"),"")</f>
        <v/>
      </c>
    </row>
    <row r="686" spans="8:14" x14ac:dyDescent="0.25">
      <c r="H686" s="201" t="str">
        <f t="shared" si="11"/>
        <v/>
      </c>
      <c r="N686" s="164" t="str">
        <f>IFERROR(COUNTIF($B$18:B686,B686)&amp;CHOOSE(MIN(4,COUNTIF($B$18:B686,B686)),"st","nd","rd","th"),"")</f>
        <v/>
      </c>
    </row>
    <row r="687" spans="8:14" x14ac:dyDescent="0.25">
      <c r="H687" s="201" t="str">
        <f t="shared" si="11"/>
        <v/>
      </c>
      <c r="N687" s="164" t="str">
        <f>IFERROR(COUNTIF($B$18:B687,B687)&amp;CHOOSE(MIN(4,COUNTIF($B$18:B687,B687)),"st","nd","rd","th"),"")</f>
        <v/>
      </c>
    </row>
    <row r="688" spans="8:14" x14ac:dyDescent="0.25">
      <c r="H688" s="201" t="str">
        <f t="shared" si="11"/>
        <v/>
      </c>
      <c r="N688" s="164" t="str">
        <f>IFERROR(COUNTIF($B$18:B688,B688)&amp;CHOOSE(MIN(4,COUNTIF($B$18:B688,B688)),"st","nd","rd","th"),"")</f>
        <v/>
      </c>
    </row>
    <row r="689" spans="8:14" x14ac:dyDescent="0.25">
      <c r="H689" s="201" t="str">
        <f t="shared" si="11"/>
        <v/>
      </c>
      <c r="N689" s="164" t="str">
        <f>IFERROR(COUNTIF($B$18:B689,B689)&amp;CHOOSE(MIN(4,COUNTIF($B$18:B689,B689)),"st","nd","rd","th"),"")</f>
        <v/>
      </c>
    </row>
    <row r="690" spans="8:14" x14ac:dyDescent="0.25">
      <c r="H690" s="201" t="str">
        <f t="shared" si="11"/>
        <v/>
      </c>
      <c r="N690" s="164" t="str">
        <f>IFERROR(COUNTIF($B$18:B690,B690)&amp;CHOOSE(MIN(4,COUNTIF($B$18:B690,B690)),"st","nd","rd","th"),"")</f>
        <v/>
      </c>
    </row>
    <row r="691" spans="8:14" x14ac:dyDescent="0.25">
      <c r="H691" s="201" t="str">
        <f t="shared" si="11"/>
        <v/>
      </c>
      <c r="N691" s="164" t="str">
        <f>IFERROR(COUNTIF($B$18:B691,B691)&amp;CHOOSE(MIN(4,COUNTIF($B$18:B691,B691)),"st","nd","rd","th"),"")</f>
        <v/>
      </c>
    </row>
    <row r="692" spans="8:14" x14ac:dyDescent="0.25">
      <c r="H692" s="201" t="str">
        <f t="shared" si="11"/>
        <v/>
      </c>
      <c r="N692" s="164" t="str">
        <f>IFERROR(COUNTIF($B$18:B692,B692)&amp;CHOOSE(MIN(4,COUNTIF($B$18:B692,B692)),"st","nd","rd","th"),"")</f>
        <v/>
      </c>
    </row>
    <row r="693" spans="8:14" x14ac:dyDescent="0.25">
      <c r="H693" s="201" t="str">
        <f t="shared" si="11"/>
        <v/>
      </c>
      <c r="N693" s="164" t="str">
        <f>IFERROR(COUNTIF($B$18:B693,B693)&amp;CHOOSE(MIN(4,COUNTIF($B$18:B693,B693)),"st","nd","rd","th"),"")</f>
        <v/>
      </c>
    </row>
    <row r="694" spans="8:14" x14ac:dyDescent="0.25">
      <c r="H694" s="201" t="str">
        <f t="shared" si="11"/>
        <v/>
      </c>
      <c r="N694" s="164" t="str">
        <f>IFERROR(COUNTIF($B$18:B694,B694)&amp;CHOOSE(MIN(4,COUNTIF($B$18:B694,B694)),"st","nd","rd","th"),"")</f>
        <v/>
      </c>
    </row>
    <row r="695" spans="8:14" x14ac:dyDescent="0.25">
      <c r="H695" s="201" t="str">
        <f t="shared" si="11"/>
        <v/>
      </c>
      <c r="N695" s="164" t="str">
        <f>IFERROR(COUNTIF($B$18:B695,B695)&amp;CHOOSE(MIN(4,COUNTIF($B$18:B695,B695)),"st","nd","rd","th"),"")</f>
        <v/>
      </c>
    </row>
    <row r="696" spans="8:14" x14ac:dyDescent="0.25">
      <c r="H696" s="201" t="str">
        <f t="shared" si="11"/>
        <v/>
      </c>
      <c r="N696" s="164" t="str">
        <f>IFERROR(COUNTIF($B$18:B696,B696)&amp;CHOOSE(MIN(4,COUNTIF($B$18:B696,B696)),"st","nd","rd","th"),"")</f>
        <v/>
      </c>
    </row>
    <row r="697" spans="8:14" x14ac:dyDescent="0.25">
      <c r="H697" s="201" t="str">
        <f t="shared" si="11"/>
        <v/>
      </c>
      <c r="N697" s="164" t="str">
        <f>IFERROR(COUNTIF($B$18:B697,B697)&amp;CHOOSE(MIN(4,COUNTIF($B$18:B697,B697)),"st","nd","rd","th"),"")</f>
        <v/>
      </c>
    </row>
    <row r="698" spans="8:14" x14ac:dyDescent="0.25">
      <c r="H698" s="201" t="str">
        <f t="shared" si="11"/>
        <v/>
      </c>
      <c r="N698" s="164" t="str">
        <f>IFERROR(COUNTIF($B$18:B698,B698)&amp;CHOOSE(MIN(4,COUNTIF($B$18:B698,B698)),"st","nd","rd","th"),"")</f>
        <v/>
      </c>
    </row>
    <row r="699" spans="8:14" x14ac:dyDescent="0.25">
      <c r="H699" s="201" t="str">
        <f t="shared" si="11"/>
        <v/>
      </c>
      <c r="N699" s="164" t="str">
        <f>IFERROR(COUNTIF($B$18:B699,B699)&amp;CHOOSE(MIN(4,COUNTIF($B$18:B699,B699)),"st","nd","rd","th"),"")</f>
        <v/>
      </c>
    </row>
    <row r="700" spans="8:14" x14ac:dyDescent="0.25">
      <c r="H700" s="201" t="str">
        <f t="shared" si="11"/>
        <v/>
      </c>
      <c r="N700" s="164" t="str">
        <f>IFERROR(COUNTIF($B$18:B700,B700)&amp;CHOOSE(MIN(4,COUNTIF($B$18:B700,B700)),"st","nd","rd","th"),"")</f>
        <v/>
      </c>
    </row>
    <row r="701" spans="8:14" x14ac:dyDescent="0.25">
      <c r="H701" s="201" t="str">
        <f t="shared" si="11"/>
        <v/>
      </c>
      <c r="N701" s="164" t="str">
        <f>IFERROR(COUNTIF($B$18:B701,B701)&amp;CHOOSE(MIN(4,COUNTIF($B$18:B701,B701)),"st","nd","rd","th"),"")</f>
        <v/>
      </c>
    </row>
    <row r="702" spans="8:14" x14ac:dyDescent="0.25">
      <c r="H702" s="201" t="str">
        <f t="shared" si="11"/>
        <v/>
      </c>
      <c r="N702" s="164" t="str">
        <f>IFERROR(COUNTIF($B$18:B702,B702)&amp;CHOOSE(MIN(4,COUNTIF($B$18:B702,B702)),"st","nd","rd","th"),"")</f>
        <v/>
      </c>
    </row>
    <row r="703" spans="8:14" x14ac:dyDescent="0.25">
      <c r="H703" s="201" t="str">
        <f t="shared" si="11"/>
        <v/>
      </c>
      <c r="N703" s="164" t="str">
        <f>IFERROR(COUNTIF($B$18:B703,B703)&amp;CHOOSE(MIN(4,COUNTIF($B$18:B703,B703)),"st","nd","rd","th"),"")</f>
        <v/>
      </c>
    </row>
    <row r="704" spans="8:14" x14ac:dyDescent="0.25">
      <c r="H704" s="201" t="str">
        <f t="shared" si="11"/>
        <v/>
      </c>
      <c r="N704" s="164" t="str">
        <f>IFERROR(COUNTIF($B$18:B704,B704)&amp;CHOOSE(MIN(4,COUNTIF($B$18:B704,B704)),"st","nd","rd","th"),"")</f>
        <v/>
      </c>
    </row>
    <row r="705" spans="8:14" x14ac:dyDescent="0.25">
      <c r="H705" s="201" t="str">
        <f t="shared" si="11"/>
        <v/>
      </c>
      <c r="N705" s="164" t="str">
        <f>IFERROR(COUNTIF($B$18:B705,B705)&amp;CHOOSE(MIN(4,COUNTIF($B$18:B705,B705)),"st","nd","rd","th"),"")</f>
        <v/>
      </c>
    </row>
    <row r="706" spans="8:14" x14ac:dyDescent="0.25">
      <c r="H706" s="201" t="str">
        <f t="shared" si="11"/>
        <v/>
      </c>
      <c r="N706" s="164" t="str">
        <f>IFERROR(COUNTIF($B$18:B706,B706)&amp;CHOOSE(MIN(4,COUNTIF($B$18:B706,B706)),"st","nd","rd","th"),"")</f>
        <v/>
      </c>
    </row>
    <row r="707" spans="8:14" x14ac:dyDescent="0.25">
      <c r="H707" s="201" t="str">
        <f t="shared" si="11"/>
        <v/>
      </c>
      <c r="N707" s="164" t="str">
        <f>IFERROR(COUNTIF($B$18:B707,B707)&amp;CHOOSE(MIN(4,COUNTIF($B$18:B707,B707)),"st","nd","rd","th"),"")</f>
        <v/>
      </c>
    </row>
    <row r="708" spans="8:14" x14ac:dyDescent="0.25">
      <c r="H708" s="201" t="str">
        <f t="shared" si="11"/>
        <v/>
      </c>
      <c r="N708" s="164" t="str">
        <f>IFERROR(COUNTIF($B$18:B708,B708)&amp;CHOOSE(MIN(4,COUNTIF($B$18:B708,B708)),"st","nd","rd","th"),"")</f>
        <v/>
      </c>
    </row>
    <row r="709" spans="8:14" x14ac:dyDescent="0.25">
      <c r="H709" s="201" t="str">
        <f t="shared" si="11"/>
        <v/>
      </c>
      <c r="N709" s="164" t="str">
        <f>IFERROR(COUNTIF($B$18:B709,B709)&amp;CHOOSE(MIN(4,COUNTIF($B$18:B709,B709)),"st","nd","rd","th"),"")</f>
        <v/>
      </c>
    </row>
    <row r="710" spans="8:14" x14ac:dyDescent="0.25">
      <c r="H710" s="201" t="str">
        <f t="shared" si="11"/>
        <v/>
      </c>
      <c r="N710" s="164" t="str">
        <f>IFERROR(COUNTIF($B$18:B710,B710)&amp;CHOOSE(MIN(4,COUNTIF($B$18:B710,B710)),"st","nd","rd","th"),"")</f>
        <v/>
      </c>
    </row>
    <row r="711" spans="8:14" x14ac:dyDescent="0.25">
      <c r="H711" s="201" t="str">
        <f t="shared" si="11"/>
        <v/>
      </c>
      <c r="N711" s="164" t="str">
        <f>IFERROR(COUNTIF($B$18:B711,B711)&amp;CHOOSE(MIN(4,COUNTIF($B$18:B711,B711)),"st","nd","rd","th"),"")</f>
        <v/>
      </c>
    </row>
    <row r="712" spans="8:14" x14ac:dyDescent="0.25">
      <c r="H712" s="201" t="str">
        <f t="shared" si="11"/>
        <v/>
      </c>
      <c r="N712" s="164" t="str">
        <f>IFERROR(COUNTIF($B$18:B712,B712)&amp;CHOOSE(MIN(4,COUNTIF($B$18:B712,B712)),"st","nd","rd","th"),"")</f>
        <v/>
      </c>
    </row>
    <row r="713" spans="8:14" x14ac:dyDescent="0.25">
      <c r="H713" s="201" t="str">
        <f t="shared" si="11"/>
        <v/>
      </c>
      <c r="N713" s="164" t="str">
        <f>IFERROR(COUNTIF($B$18:B713,B713)&amp;CHOOSE(MIN(4,COUNTIF($B$18:B713,B713)),"st","nd","rd","th"),"")</f>
        <v/>
      </c>
    </row>
    <row r="714" spans="8:14" x14ac:dyDescent="0.25">
      <c r="H714" s="201" t="str">
        <f t="shared" si="11"/>
        <v/>
      </c>
      <c r="N714" s="164" t="str">
        <f>IFERROR(COUNTIF($B$18:B714,B714)&amp;CHOOSE(MIN(4,COUNTIF($B$18:B714,B714)),"st","nd","rd","th"),"")</f>
        <v/>
      </c>
    </row>
    <row r="715" spans="8:14" x14ac:dyDescent="0.25">
      <c r="H715" s="201" t="str">
        <f t="shared" si="11"/>
        <v/>
      </c>
      <c r="N715" s="164" t="str">
        <f>IFERROR(COUNTIF($B$18:B715,B715)&amp;CHOOSE(MIN(4,COUNTIF($B$18:B715,B715)),"st","nd","rd","th"),"")</f>
        <v/>
      </c>
    </row>
    <row r="716" spans="8:14" x14ac:dyDescent="0.25">
      <c r="H716" s="201" t="str">
        <f t="shared" si="11"/>
        <v/>
      </c>
      <c r="N716" s="164" t="str">
        <f>IFERROR(COUNTIF($B$18:B716,B716)&amp;CHOOSE(MIN(4,COUNTIF($B$18:B716,B716)),"st","nd","rd","th"),"")</f>
        <v/>
      </c>
    </row>
    <row r="717" spans="8:14" x14ac:dyDescent="0.25">
      <c r="H717" s="201" t="str">
        <f t="shared" si="11"/>
        <v/>
      </c>
      <c r="N717" s="164" t="str">
        <f>IFERROR(COUNTIF($B$18:B717,B717)&amp;CHOOSE(MIN(4,COUNTIF($B$18:B717,B717)),"st","nd","rd","th"),"")</f>
        <v/>
      </c>
    </row>
    <row r="718" spans="8:14" x14ac:dyDescent="0.25">
      <c r="H718" s="201" t="str">
        <f t="shared" si="11"/>
        <v/>
      </c>
      <c r="N718" s="164" t="str">
        <f>IFERROR(COUNTIF($B$18:B718,B718)&amp;CHOOSE(MIN(4,COUNTIF($B$18:B718,B718)),"st","nd","rd","th"),"")</f>
        <v/>
      </c>
    </row>
    <row r="719" spans="8:14" x14ac:dyDescent="0.25">
      <c r="H719" s="201" t="str">
        <f t="shared" si="11"/>
        <v/>
      </c>
      <c r="N719" s="164" t="str">
        <f>IFERROR(COUNTIF($B$18:B719,B719)&amp;CHOOSE(MIN(4,COUNTIF($B$18:B719,B719)),"st","nd","rd","th"),"")</f>
        <v/>
      </c>
    </row>
    <row r="720" spans="8:14" x14ac:dyDescent="0.25">
      <c r="H720" s="201" t="str">
        <f t="shared" si="11"/>
        <v/>
      </c>
      <c r="N720" s="164" t="str">
        <f>IFERROR(COUNTIF($B$18:B720,B720)&amp;CHOOSE(MIN(4,COUNTIF($B$18:B720,B720)),"st","nd","rd","th"),"")</f>
        <v/>
      </c>
    </row>
    <row r="721" spans="8:14" x14ac:dyDescent="0.25">
      <c r="H721" s="201" t="str">
        <f t="shared" si="11"/>
        <v/>
      </c>
      <c r="N721" s="164" t="str">
        <f>IFERROR(COUNTIF($B$18:B721,B721)&amp;CHOOSE(MIN(4,COUNTIF($B$18:B721,B721)),"st","nd","rd","th"),"")</f>
        <v/>
      </c>
    </row>
    <row r="722" spans="8:14" x14ac:dyDescent="0.25">
      <c r="H722" s="201" t="str">
        <f t="shared" si="11"/>
        <v/>
      </c>
      <c r="N722" s="164" t="str">
        <f>IFERROR(COUNTIF($B$18:B722,B722)&amp;CHOOSE(MIN(4,COUNTIF($B$18:B722,B722)),"st","nd","rd","th"),"")</f>
        <v/>
      </c>
    </row>
    <row r="723" spans="8:14" x14ac:dyDescent="0.25">
      <c r="H723" s="201" t="str">
        <f t="shared" ref="H723:H786" si="12">IF(OR(ISBLANK(G723), ISBLANK(F723)), "", IF(G723=F723, 1, SUM(_xlfn.DAYS(G723, F723), 1)))</f>
        <v/>
      </c>
      <c r="N723" s="164" t="str">
        <f>IFERROR(COUNTIF($B$18:B723,B723)&amp;CHOOSE(MIN(4,COUNTIF($B$18:B723,B723)),"st","nd","rd","th"),"")</f>
        <v/>
      </c>
    </row>
    <row r="724" spans="8:14" x14ac:dyDescent="0.25">
      <c r="H724" s="201" t="str">
        <f t="shared" si="12"/>
        <v/>
      </c>
      <c r="N724" s="164" t="str">
        <f>IFERROR(COUNTIF($B$18:B724,B724)&amp;CHOOSE(MIN(4,COUNTIF($B$18:B724,B724)),"st","nd","rd","th"),"")</f>
        <v/>
      </c>
    </row>
    <row r="725" spans="8:14" x14ac:dyDescent="0.25">
      <c r="H725" s="201" t="str">
        <f t="shared" si="12"/>
        <v/>
      </c>
      <c r="N725" s="164" t="str">
        <f>IFERROR(COUNTIF($B$18:B725,B725)&amp;CHOOSE(MIN(4,COUNTIF($B$18:B725,B725)),"st","nd","rd","th"),"")</f>
        <v/>
      </c>
    </row>
    <row r="726" spans="8:14" x14ac:dyDescent="0.25">
      <c r="H726" s="201" t="str">
        <f t="shared" si="12"/>
        <v/>
      </c>
      <c r="N726" s="164" t="str">
        <f>IFERROR(COUNTIF($B$18:B726,B726)&amp;CHOOSE(MIN(4,COUNTIF($B$18:B726,B726)),"st","nd","rd","th"),"")</f>
        <v/>
      </c>
    </row>
    <row r="727" spans="8:14" x14ac:dyDescent="0.25">
      <c r="H727" s="201" t="str">
        <f t="shared" si="12"/>
        <v/>
      </c>
      <c r="N727" s="164" t="str">
        <f>IFERROR(COUNTIF($B$18:B727,B727)&amp;CHOOSE(MIN(4,COUNTIF($B$18:B727,B727)),"st","nd","rd","th"),"")</f>
        <v/>
      </c>
    </row>
    <row r="728" spans="8:14" x14ac:dyDescent="0.25">
      <c r="H728" s="201" t="str">
        <f t="shared" si="12"/>
        <v/>
      </c>
      <c r="N728" s="164" t="str">
        <f>IFERROR(COUNTIF($B$18:B728,B728)&amp;CHOOSE(MIN(4,COUNTIF($B$18:B728,B728)),"st","nd","rd","th"),"")</f>
        <v/>
      </c>
    </row>
    <row r="729" spans="8:14" x14ac:dyDescent="0.25">
      <c r="H729" s="201" t="str">
        <f t="shared" si="12"/>
        <v/>
      </c>
      <c r="N729" s="164" t="str">
        <f>IFERROR(COUNTIF($B$18:B729,B729)&amp;CHOOSE(MIN(4,COUNTIF($B$18:B729,B729)),"st","nd","rd","th"),"")</f>
        <v/>
      </c>
    </row>
    <row r="730" spans="8:14" x14ac:dyDescent="0.25">
      <c r="H730" s="201" t="str">
        <f t="shared" si="12"/>
        <v/>
      </c>
      <c r="N730" s="164" t="str">
        <f>IFERROR(COUNTIF($B$18:B730,B730)&amp;CHOOSE(MIN(4,COUNTIF($B$18:B730,B730)),"st","nd","rd","th"),"")</f>
        <v/>
      </c>
    </row>
    <row r="731" spans="8:14" x14ac:dyDescent="0.25">
      <c r="H731" s="201" t="str">
        <f t="shared" si="12"/>
        <v/>
      </c>
      <c r="N731" s="164" t="str">
        <f>IFERROR(COUNTIF($B$18:B731,B731)&amp;CHOOSE(MIN(4,COUNTIF($B$18:B731,B731)),"st","nd","rd","th"),"")</f>
        <v/>
      </c>
    </row>
    <row r="732" spans="8:14" x14ac:dyDescent="0.25">
      <c r="H732" s="201" t="str">
        <f t="shared" si="12"/>
        <v/>
      </c>
      <c r="N732" s="164" t="str">
        <f>IFERROR(COUNTIF($B$18:B732,B732)&amp;CHOOSE(MIN(4,COUNTIF($B$18:B732,B732)),"st","nd","rd","th"),"")</f>
        <v/>
      </c>
    </row>
    <row r="733" spans="8:14" x14ac:dyDescent="0.25">
      <c r="H733" s="201" t="str">
        <f t="shared" si="12"/>
        <v/>
      </c>
      <c r="N733" s="164" t="str">
        <f>IFERROR(COUNTIF($B$18:B733,B733)&amp;CHOOSE(MIN(4,COUNTIF($B$18:B733,B733)),"st","nd","rd","th"),"")</f>
        <v/>
      </c>
    </row>
    <row r="734" spans="8:14" x14ac:dyDescent="0.25">
      <c r="H734" s="201" t="str">
        <f t="shared" si="12"/>
        <v/>
      </c>
      <c r="N734" s="164" t="str">
        <f>IFERROR(COUNTIF($B$18:B734,B734)&amp;CHOOSE(MIN(4,COUNTIF($B$18:B734,B734)),"st","nd","rd","th"),"")</f>
        <v/>
      </c>
    </row>
    <row r="735" spans="8:14" x14ac:dyDescent="0.25">
      <c r="H735" s="201" t="str">
        <f t="shared" si="12"/>
        <v/>
      </c>
      <c r="N735" s="164" t="str">
        <f>IFERROR(COUNTIF($B$18:B735,B735)&amp;CHOOSE(MIN(4,COUNTIF($B$18:B735,B735)),"st","nd","rd","th"),"")</f>
        <v/>
      </c>
    </row>
    <row r="736" spans="8:14" x14ac:dyDescent="0.25">
      <c r="H736" s="201" t="str">
        <f t="shared" si="12"/>
        <v/>
      </c>
      <c r="N736" s="164" t="str">
        <f>IFERROR(COUNTIF($B$18:B736,B736)&amp;CHOOSE(MIN(4,COUNTIF($B$18:B736,B736)),"st","nd","rd","th"),"")</f>
        <v/>
      </c>
    </row>
    <row r="737" spans="8:14" x14ac:dyDescent="0.25">
      <c r="H737" s="201" t="str">
        <f t="shared" si="12"/>
        <v/>
      </c>
      <c r="N737" s="164" t="str">
        <f>IFERROR(COUNTIF($B$18:B737,B737)&amp;CHOOSE(MIN(4,COUNTIF($B$18:B737,B737)),"st","nd","rd","th"),"")</f>
        <v/>
      </c>
    </row>
    <row r="738" spans="8:14" x14ac:dyDescent="0.25">
      <c r="H738" s="201" t="str">
        <f t="shared" si="12"/>
        <v/>
      </c>
      <c r="N738" s="164" t="str">
        <f>IFERROR(COUNTIF($B$18:B738,B738)&amp;CHOOSE(MIN(4,COUNTIF($B$18:B738,B738)),"st","nd","rd","th"),"")</f>
        <v/>
      </c>
    </row>
    <row r="739" spans="8:14" x14ac:dyDescent="0.25">
      <c r="H739" s="201" t="str">
        <f t="shared" si="12"/>
        <v/>
      </c>
      <c r="N739" s="164" t="str">
        <f>IFERROR(COUNTIF($B$18:B739,B739)&amp;CHOOSE(MIN(4,COUNTIF($B$18:B739,B739)),"st","nd","rd","th"),"")</f>
        <v/>
      </c>
    </row>
    <row r="740" spans="8:14" x14ac:dyDescent="0.25">
      <c r="H740" s="201" t="str">
        <f t="shared" si="12"/>
        <v/>
      </c>
      <c r="N740" s="164" t="str">
        <f>IFERROR(COUNTIF($B$18:B740,B740)&amp;CHOOSE(MIN(4,COUNTIF($B$18:B740,B740)),"st","nd","rd","th"),"")</f>
        <v/>
      </c>
    </row>
    <row r="741" spans="8:14" x14ac:dyDescent="0.25">
      <c r="H741" s="201" t="str">
        <f t="shared" si="12"/>
        <v/>
      </c>
      <c r="N741" s="164" t="str">
        <f>IFERROR(COUNTIF($B$18:B741,B741)&amp;CHOOSE(MIN(4,COUNTIF($B$18:B741,B741)),"st","nd","rd","th"),"")</f>
        <v/>
      </c>
    </row>
    <row r="742" spans="8:14" x14ac:dyDescent="0.25">
      <c r="H742" s="201" t="str">
        <f t="shared" si="12"/>
        <v/>
      </c>
      <c r="N742" s="164" t="str">
        <f>IFERROR(COUNTIF($B$18:B742,B742)&amp;CHOOSE(MIN(4,COUNTIF($B$18:B742,B742)),"st","nd","rd","th"),"")</f>
        <v/>
      </c>
    </row>
    <row r="743" spans="8:14" x14ac:dyDescent="0.25">
      <c r="H743" s="201" t="str">
        <f t="shared" si="12"/>
        <v/>
      </c>
      <c r="N743" s="164" t="str">
        <f>IFERROR(COUNTIF($B$18:B743,B743)&amp;CHOOSE(MIN(4,COUNTIF($B$18:B743,B743)),"st","nd","rd","th"),"")</f>
        <v/>
      </c>
    </row>
    <row r="744" spans="8:14" x14ac:dyDescent="0.25">
      <c r="H744" s="201" t="str">
        <f t="shared" si="12"/>
        <v/>
      </c>
      <c r="N744" s="164" t="str">
        <f>IFERROR(COUNTIF($B$18:B744,B744)&amp;CHOOSE(MIN(4,COUNTIF($B$18:B744,B744)),"st","nd","rd","th"),"")</f>
        <v/>
      </c>
    </row>
    <row r="745" spans="8:14" x14ac:dyDescent="0.25">
      <c r="H745" s="201" t="str">
        <f t="shared" si="12"/>
        <v/>
      </c>
      <c r="N745" s="164" t="str">
        <f>IFERROR(COUNTIF($B$18:B745,B745)&amp;CHOOSE(MIN(4,COUNTIF($B$18:B745,B745)),"st","nd","rd","th"),"")</f>
        <v/>
      </c>
    </row>
    <row r="746" spans="8:14" x14ac:dyDescent="0.25">
      <c r="H746" s="201" t="str">
        <f t="shared" si="12"/>
        <v/>
      </c>
      <c r="N746" s="164" t="str">
        <f>IFERROR(COUNTIF($B$18:B746,B746)&amp;CHOOSE(MIN(4,COUNTIF($B$18:B746,B746)),"st","nd","rd","th"),"")</f>
        <v/>
      </c>
    </row>
    <row r="747" spans="8:14" x14ac:dyDescent="0.25">
      <c r="H747" s="201" t="str">
        <f t="shared" si="12"/>
        <v/>
      </c>
      <c r="N747" s="164" t="str">
        <f>IFERROR(COUNTIF($B$18:B747,B747)&amp;CHOOSE(MIN(4,COUNTIF($B$18:B747,B747)),"st","nd","rd","th"),"")</f>
        <v/>
      </c>
    </row>
    <row r="748" spans="8:14" x14ac:dyDescent="0.25">
      <c r="H748" s="201" t="str">
        <f t="shared" si="12"/>
        <v/>
      </c>
      <c r="N748" s="164" t="str">
        <f>IFERROR(COUNTIF($B$18:B748,B748)&amp;CHOOSE(MIN(4,COUNTIF($B$18:B748,B748)),"st","nd","rd","th"),"")</f>
        <v/>
      </c>
    </row>
    <row r="749" spans="8:14" x14ac:dyDescent="0.25">
      <c r="H749" s="201" t="str">
        <f t="shared" si="12"/>
        <v/>
      </c>
      <c r="N749" s="164" t="str">
        <f>IFERROR(COUNTIF($B$18:B749,B749)&amp;CHOOSE(MIN(4,COUNTIF($B$18:B749,B749)),"st","nd","rd","th"),"")</f>
        <v/>
      </c>
    </row>
    <row r="750" spans="8:14" x14ac:dyDescent="0.25">
      <c r="H750" s="201" t="str">
        <f t="shared" si="12"/>
        <v/>
      </c>
      <c r="N750" s="164" t="str">
        <f>IFERROR(COUNTIF($B$18:B750,B750)&amp;CHOOSE(MIN(4,COUNTIF($B$18:B750,B750)),"st","nd","rd","th"),"")</f>
        <v/>
      </c>
    </row>
    <row r="751" spans="8:14" x14ac:dyDescent="0.25">
      <c r="H751" s="201" t="str">
        <f t="shared" si="12"/>
        <v/>
      </c>
      <c r="N751" s="164" t="str">
        <f>IFERROR(COUNTIF($B$18:B751,B751)&amp;CHOOSE(MIN(4,COUNTIF($B$18:B751,B751)),"st","nd","rd","th"),"")</f>
        <v/>
      </c>
    </row>
    <row r="752" spans="8:14" x14ac:dyDescent="0.25">
      <c r="H752" s="201" t="str">
        <f t="shared" si="12"/>
        <v/>
      </c>
      <c r="N752" s="164" t="str">
        <f>IFERROR(COUNTIF($B$18:B752,B752)&amp;CHOOSE(MIN(4,COUNTIF($B$18:B752,B752)),"st","nd","rd","th"),"")</f>
        <v/>
      </c>
    </row>
    <row r="753" spans="8:14" x14ac:dyDescent="0.25">
      <c r="H753" s="201" t="str">
        <f t="shared" si="12"/>
        <v/>
      </c>
      <c r="N753" s="164" t="str">
        <f>IFERROR(COUNTIF($B$18:B753,B753)&amp;CHOOSE(MIN(4,COUNTIF($B$18:B753,B753)),"st","nd","rd","th"),"")</f>
        <v/>
      </c>
    </row>
    <row r="754" spans="8:14" x14ac:dyDescent="0.25">
      <c r="H754" s="201" t="str">
        <f t="shared" si="12"/>
        <v/>
      </c>
      <c r="N754" s="164" t="str">
        <f>IFERROR(COUNTIF($B$18:B754,B754)&amp;CHOOSE(MIN(4,COUNTIF($B$18:B754,B754)),"st","nd","rd","th"),"")</f>
        <v/>
      </c>
    </row>
    <row r="755" spans="8:14" x14ac:dyDescent="0.25">
      <c r="H755" s="201" t="str">
        <f t="shared" si="12"/>
        <v/>
      </c>
      <c r="N755" s="164" t="str">
        <f>IFERROR(COUNTIF($B$18:B755,B755)&amp;CHOOSE(MIN(4,COUNTIF($B$18:B755,B755)),"st","nd","rd","th"),"")</f>
        <v/>
      </c>
    </row>
    <row r="756" spans="8:14" x14ac:dyDescent="0.25">
      <c r="H756" s="201" t="str">
        <f t="shared" si="12"/>
        <v/>
      </c>
      <c r="N756" s="164" t="str">
        <f>IFERROR(COUNTIF($B$18:B756,B756)&amp;CHOOSE(MIN(4,COUNTIF($B$18:B756,B756)),"st","nd","rd","th"),"")</f>
        <v/>
      </c>
    </row>
    <row r="757" spans="8:14" x14ac:dyDescent="0.25">
      <c r="H757" s="201" t="str">
        <f t="shared" si="12"/>
        <v/>
      </c>
      <c r="N757" s="164" t="str">
        <f>IFERROR(COUNTIF($B$18:B757,B757)&amp;CHOOSE(MIN(4,COUNTIF($B$18:B757,B757)),"st","nd","rd","th"),"")</f>
        <v/>
      </c>
    </row>
    <row r="758" spans="8:14" x14ac:dyDescent="0.25">
      <c r="H758" s="201" t="str">
        <f t="shared" si="12"/>
        <v/>
      </c>
      <c r="N758" s="164" t="str">
        <f>IFERROR(COUNTIF($B$18:B758,B758)&amp;CHOOSE(MIN(4,COUNTIF($B$18:B758,B758)),"st","nd","rd","th"),"")</f>
        <v/>
      </c>
    </row>
    <row r="759" spans="8:14" x14ac:dyDescent="0.25">
      <c r="H759" s="201" t="str">
        <f t="shared" si="12"/>
        <v/>
      </c>
      <c r="N759" s="164" t="str">
        <f>IFERROR(COUNTIF($B$18:B759,B759)&amp;CHOOSE(MIN(4,COUNTIF($B$18:B759,B759)),"st","nd","rd","th"),"")</f>
        <v/>
      </c>
    </row>
    <row r="760" spans="8:14" x14ac:dyDescent="0.25">
      <c r="H760" s="201" t="str">
        <f t="shared" si="12"/>
        <v/>
      </c>
      <c r="N760" s="164" t="str">
        <f>IFERROR(COUNTIF($B$18:B760,B760)&amp;CHOOSE(MIN(4,COUNTIF($B$18:B760,B760)),"st","nd","rd","th"),"")</f>
        <v/>
      </c>
    </row>
    <row r="761" spans="8:14" x14ac:dyDescent="0.25">
      <c r="H761" s="201" t="str">
        <f t="shared" si="12"/>
        <v/>
      </c>
      <c r="N761" s="164" t="str">
        <f>IFERROR(COUNTIF($B$18:B761,B761)&amp;CHOOSE(MIN(4,COUNTIF($B$18:B761,B761)),"st","nd","rd","th"),"")</f>
        <v/>
      </c>
    </row>
    <row r="762" spans="8:14" x14ac:dyDescent="0.25">
      <c r="H762" s="201" t="str">
        <f t="shared" si="12"/>
        <v/>
      </c>
      <c r="N762" s="164" t="str">
        <f>IFERROR(COUNTIF($B$18:B762,B762)&amp;CHOOSE(MIN(4,COUNTIF($B$18:B762,B762)),"st","nd","rd","th"),"")</f>
        <v/>
      </c>
    </row>
    <row r="763" spans="8:14" x14ac:dyDescent="0.25">
      <c r="H763" s="201" t="str">
        <f t="shared" si="12"/>
        <v/>
      </c>
      <c r="N763" s="164" t="str">
        <f>IFERROR(COUNTIF($B$18:B763,B763)&amp;CHOOSE(MIN(4,COUNTIF($B$18:B763,B763)),"st","nd","rd","th"),"")</f>
        <v/>
      </c>
    </row>
    <row r="764" spans="8:14" x14ac:dyDescent="0.25">
      <c r="H764" s="201" t="str">
        <f t="shared" si="12"/>
        <v/>
      </c>
      <c r="N764" s="164" t="str">
        <f>IFERROR(COUNTIF($B$18:B764,B764)&amp;CHOOSE(MIN(4,COUNTIF($B$18:B764,B764)),"st","nd","rd","th"),"")</f>
        <v/>
      </c>
    </row>
    <row r="765" spans="8:14" x14ac:dyDescent="0.25">
      <c r="H765" s="201" t="str">
        <f t="shared" si="12"/>
        <v/>
      </c>
      <c r="N765" s="164" t="str">
        <f>IFERROR(COUNTIF($B$18:B765,B765)&amp;CHOOSE(MIN(4,COUNTIF($B$18:B765,B765)),"st","nd","rd","th"),"")</f>
        <v/>
      </c>
    </row>
    <row r="766" spans="8:14" x14ac:dyDescent="0.25">
      <c r="H766" s="201" t="str">
        <f t="shared" si="12"/>
        <v/>
      </c>
      <c r="N766" s="164" t="str">
        <f>IFERROR(COUNTIF($B$18:B766,B766)&amp;CHOOSE(MIN(4,COUNTIF($B$18:B766,B766)),"st","nd","rd","th"),"")</f>
        <v/>
      </c>
    </row>
    <row r="767" spans="8:14" x14ac:dyDescent="0.25">
      <c r="H767" s="201" t="str">
        <f t="shared" si="12"/>
        <v/>
      </c>
      <c r="N767" s="164" t="str">
        <f>IFERROR(COUNTIF($B$18:B767,B767)&amp;CHOOSE(MIN(4,COUNTIF($B$18:B767,B767)),"st","nd","rd","th"),"")</f>
        <v/>
      </c>
    </row>
    <row r="768" spans="8:14" x14ac:dyDescent="0.25">
      <c r="H768" s="201" t="str">
        <f t="shared" si="12"/>
        <v/>
      </c>
      <c r="N768" s="164" t="str">
        <f>IFERROR(COUNTIF($B$18:B768,B768)&amp;CHOOSE(MIN(4,COUNTIF($B$18:B768,B768)),"st","nd","rd","th"),"")</f>
        <v/>
      </c>
    </row>
    <row r="769" spans="8:14" x14ac:dyDescent="0.25">
      <c r="H769" s="201" t="str">
        <f t="shared" si="12"/>
        <v/>
      </c>
      <c r="N769" s="164" t="str">
        <f>IFERROR(COUNTIF($B$18:B769,B769)&amp;CHOOSE(MIN(4,COUNTIF($B$18:B769,B769)),"st","nd","rd","th"),"")</f>
        <v/>
      </c>
    </row>
    <row r="770" spans="8:14" x14ac:dyDescent="0.25">
      <c r="H770" s="201" t="str">
        <f t="shared" si="12"/>
        <v/>
      </c>
      <c r="N770" s="164" t="str">
        <f>IFERROR(COUNTIF($B$18:B770,B770)&amp;CHOOSE(MIN(4,COUNTIF($B$18:B770,B770)),"st","nd","rd","th"),"")</f>
        <v/>
      </c>
    </row>
    <row r="771" spans="8:14" x14ac:dyDescent="0.25">
      <c r="H771" s="201" t="str">
        <f t="shared" si="12"/>
        <v/>
      </c>
      <c r="N771" s="164" t="str">
        <f>IFERROR(COUNTIF($B$18:B771,B771)&amp;CHOOSE(MIN(4,COUNTIF($B$18:B771,B771)),"st","nd","rd","th"),"")</f>
        <v/>
      </c>
    </row>
    <row r="772" spans="8:14" x14ac:dyDescent="0.25">
      <c r="H772" s="201" t="str">
        <f t="shared" si="12"/>
        <v/>
      </c>
      <c r="N772" s="164" t="str">
        <f>IFERROR(COUNTIF($B$18:B772,B772)&amp;CHOOSE(MIN(4,COUNTIF($B$18:B772,B772)),"st","nd","rd","th"),"")</f>
        <v/>
      </c>
    </row>
    <row r="773" spans="8:14" x14ac:dyDescent="0.25">
      <c r="H773" s="201" t="str">
        <f t="shared" si="12"/>
        <v/>
      </c>
      <c r="N773" s="164" t="str">
        <f>IFERROR(COUNTIF($B$18:B773,B773)&amp;CHOOSE(MIN(4,COUNTIF($B$18:B773,B773)),"st","nd","rd","th"),"")</f>
        <v/>
      </c>
    </row>
    <row r="774" spans="8:14" x14ac:dyDescent="0.25">
      <c r="H774" s="201" t="str">
        <f t="shared" si="12"/>
        <v/>
      </c>
      <c r="N774" s="164" t="str">
        <f>IFERROR(COUNTIF($B$18:B774,B774)&amp;CHOOSE(MIN(4,COUNTIF($B$18:B774,B774)),"st","nd","rd","th"),"")</f>
        <v/>
      </c>
    </row>
    <row r="775" spans="8:14" x14ac:dyDescent="0.25">
      <c r="H775" s="201" t="str">
        <f t="shared" si="12"/>
        <v/>
      </c>
      <c r="N775" s="164" t="str">
        <f>IFERROR(COUNTIF($B$18:B775,B775)&amp;CHOOSE(MIN(4,COUNTIF($B$18:B775,B775)),"st","nd","rd","th"),"")</f>
        <v/>
      </c>
    </row>
    <row r="776" spans="8:14" x14ac:dyDescent="0.25">
      <c r="H776" s="201" t="str">
        <f t="shared" si="12"/>
        <v/>
      </c>
      <c r="N776" s="164" t="str">
        <f>IFERROR(COUNTIF($B$18:B776,B776)&amp;CHOOSE(MIN(4,COUNTIF($B$18:B776,B776)),"st","nd","rd","th"),"")</f>
        <v/>
      </c>
    </row>
    <row r="777" spans="8:14" x14ac:dyDescent="0.25">
      <c r="H777" s="201" t="str">
        <f t="shared" si="12"/>
        <v/>
      </c>
      <c r="N777" s="164" t="str">
        <f>IFERROR(COUNTIF($B$18:B777,B777)&amp;CHOOSE(MIN(4,COUNTIF($B$18:B777,B777)),"st","nd","rd","th"),"")</f>
        <v/>
      </c>
    </row>
    <row r="778" spans="8:14" x14ac:dyDescent="0.25">
      <c r="H778" s="201" t="str">
        <f t="shared" si="12"/>
        <v/>
      </c>
      <c r="N778" s="164" t="str">
        <f>IFERROR(COUNTIF($B$18:B778,B778)&amp;CHOOSE(MIN(4,COUNTIF($B$18:B778,B778)),"st","nd","rd","th"),"")</f>
        <v/>
      </c>
    </row>
    <row r="779" spans="8:14" x14ac:dyDescent="0.25">
      <c r="H779" s="201" t="str">
        <f t="shared" si="12"/>
        <v/>
      </c>
      <c r="N779" s="164" t="str">
        <f>IFERROR(COUNTIF($B$18:B779,B779)&amp;CHOOSE(MIN(4,COUNTIF($B$18:B779,B779)),"st","nd","rd","th"),"")</f>
        <v/>
      </c>
    </row>
    <row r="780" spans="8:14" x14ac:dyDescent="0.25">
      <c r="H780" s="201" t="str">
        <f t="shared" si="12"/>
        <v/>
      </c>
      <c r="N780" s="164" t="str">
        <f>IFERROR(COUNTIF($B$18:B780,B780)&amp;CHOOSE(MIN(4,COUNTIF($B$18:B780,B780)),"st","nd","rd","th"),"")</f>
        <v/>
      </c>
    </row>
    <row r="781" spans="8:14" x14ac:dyDescent="0.25">
      <c r="H781" s="201" t="str">
        <f t="shared" si="12"/>
        <v/>
      </c>
      <c r="N781" s="164" t="str">
        <f>IFERROR(COUNTIF($B$18:B781,B781)&amp;CHOOSE(MIN(4,COUNTIF($B$18:B781,B781)),"st","nd","rd","th"),"")</f>
        <v/>
      </c>
    </row>
    <row r="782" spans="8:14" x14ac:dyDescent="0.25">
      <c r="H782" s="201" t="str">
        <f t="shared" si="12"/>
        <v/>
      </c>
      <c r="N782" s="164" t="str">
        <f>IFERROR(COUNTIF($B$18:B782,B782)&amp;CHOOSE(MIN(4,COUNTIF($B$18:B782,B782)),"st","nd","rd","th"),"")</f>
        <v/>
      </c>
    </row>
    <row r="783" spans="8:14" x14ac:dyDescent="0.25">
      <c r="H783" s="201" t="str">
        <f t="shared" si="12"/>
        <v/>
      </c>
      <c r="N783" s="164" t="str">
        <f>IFERROR(COUNTIF($B$18:B783,B783)&amp;CHOOSE(MIN(4,COUNTIF($B$18:B783,B783)),"st","nd","rd","th"),"")</f>
        <v/>
      </c>
    </row>
    <row r="784" spans="8:14" x14ac:dyDescent="0.25">
      <c r="H784" s="201" t="str">
        <f t="shared" si="12"/>
        <v/>
      </c>
      <c r="N784" s="164" t="str">
        <f>IFERROR(COUNTIF($B$18:B784,B784)&amp;CHOOSE(MIN(4,COUNTIF($B$18:B784,B784)),"st","nd","rd","th"),"")</f>
        <v/>
      </c>
    </row>
    <row r="785" spans="8:14" x14ac:dyDescent="0.25">
      <c r="H785" s="201" t="str">
        <f t="shared" si="12"/>
        <v/>
      </c>
      <c r="N785" s="164" t="str">
        <f>IFERROR(COUNTIF($B$18:B785,B785)&amp;CHOOSE(MIN(4,COUNTIF($B$18:B785,B785)),"st","nd","rd","th"),"")</f>
        <v/>
      </c>
    </row>
    <row r="786" spans="8:14" x14ac:dyDescent="0.25">
      <c r="H786" s="201" t="str">
        <f t="shared" si="12"/>
        <v/>
      </c>
      <c r="N786" s="164" t="str">
        <f>IFERROR(COUNTIF($B$18:B786,B786)&amp;CHOOSE(MIN(4,COUNTIF($B$18:B786,B786)),"st","nd","rd","th"),"")</f>
        <v/>
      </c>
    </row>
    <row r="787" spans="8:14" x14ac:dyDescent="0.25">
      <c r="H787" s="201" t="str">
        <f t="shared" ref="H787:H850" si="13">IF(OR(ISBLANK(G787), ISBLANK(F787)), "", IF(G787=F787, 1, SUM(_xlfn.DAYS(G787, F787), 1)))</f>
        <v/>
      </c>
      <c r="N787" s="164" t="str">
        <f>IFERROR(COUNTIF($B$18:B787,B787)&amp;CHOOSE(MIN(4,COUNTIF($B$18:B787,B787)),"st","nd","rd","th"),"")</f>
        <v/>
      </c>
    </row>
    <row r="788" spans="8:14" x14ac:dyDescent="0.25">
      <c r="H788" s="201" t="str">
        <f t="shared" si="13"/>
        <v/>
      </c>
      <c r="N788" s="164" t="str">
        <f>IFERROR(COUNTIF($B$18:B788,B788)&amp;CHOOSE(MIN(4,COUNTIF($B$18:B788,B788)),"st","nd","rd","th"),"")</f>
        <v/>
      </c>
    </row>
    <row r="789" spans="8:14" x14ac:dyDescent="0.25">
      <c r="H789" s="201" t="str">
        <f t="shared" si="13"/>
        <v/>
      </c>
      <c r="N789" s="164" t="str">
        <f>IFERROR(COUNTIF($B$18:B789,B789)&amp;CHOOSE(MIN(4,COUNTIF($B$18:B789,B789)),"st","nd","rd","th"),"")</f>
        <v/>
      </c>
    </row>
    <row r="790" spans="8:14" x14ac:dyDescent="0.25">
      <c r="H790" s="201" t="str">
        <f t="shared" si="13"/>
        <v/>
      </c>
      <c r="N790" s="164" t="str">
        <f>IFERROR(COUNTIF($B$18:B790,B790)&amp;CHOOSE(MIN(4,COUNTIF($B$18:B790,B790)),"st","nd","rd","th"),"")</f>
        <v/>
      </c>
    </row>
    <row r="791" spans="8:14" x14ac:dyDescent="0.25">
      <c r="H791" s="201" t="str">
        <f t="shared" si="13"/>
        <v/>
      </c>
      <c r="N791" s="164" t="str">
        <f>IFERROR(COUNTIF($B$18:B791,B791)&amp;CHOOSE(MIN(4,COUNTIF($B$18:B791,B791)),"st","nd","rd","th"),"")</f>
        <v/>
      </c>
    </row>
    <row r="792" spans="8:14" x14ac:dyDescent="0.25">
      <c r="H792" s="201" t="str">
        <f t="shared" si="13"/>
        <v/>
      </c>
      <c r="N792" s="164" t="str">
        <f>IFERROR(COUNTIF($B$18:B792,B792)&amp;CHOOSE(MIN(4,COUNTIF($B$18:B792,B792)),"st","nd","rd","th"),"")</f>
        <v/>
      </c>
    </row>
    <row r="793" spans="8:14" x14ac:dyDescent="0.25">
      <c r="H793" s="201" t="str">
        <f t="shared" si="13"/>
        <v/>
      </c>
      <c r="N793" s="164" t="str">
        <f>IFERROR(COUNTIF($B$18:B793,B793)&amp;CHOOSE(MIN(4,COUNTIF($B$18:B793,B793)),"st","nd","rd","th"),"")</f>
        <v/>
      </c>
    </row>
    <row r="794" spans="8:14" x14ac:dyDescent="0.25">
      <c r="H794" s="201" t="str">
        <f t="shared" si="13"/>
        <v/>
      </c>
      <c r="N794" s="164" t="str">
        <f>IFERROR(COUNTIF($B$18:B794,B794)&amp;CHOOSE(MIN(4,COUNTIF($B$18:B794,B794)),"st","nd","rd","th"),"")</f>
        <v/>
      </c>
    </row>
    <row r="795" spans="8:14" x14ac:dyDescent="0.25">
      <c r="H795" s="201" t="str">
        <f t="shared" si="13"/>
        <v/>
      </c>
      <c r="N795" s="164" t="str">
        <f>IFERROR(COUNTIF($B$18:B795,B795)&amp;CHOOSE(MIN(4,COUNTIF($B$18:B795,B795)),"st","nd","rd","th"),"")</f>
        <v/>
      </c>
    </row>
    <row r="796" spans="8:14" x14ac:dyDescent="0.25">
      <c r="H796" s="201" t="str">
        <f t="shared" si="13"/>
        <v/>
      </c>
      <c r="N796" s="164" t="str">
        <f>IFERROR(COUNTIF($B$18:B796,B796)&amp;CHOOSE(MIN(4,COUNTIF($B$18:B796,B796)),"st","nd","rd","th"),"")</f>
        <v/>
      </c>
    </row>
    <row r="797" spans="8:14" x14ac:dyDescent="0.25">
      <c r="H797" s="201" t="str">
        <f t="shared" si="13"/>
        <v/>
      </c>
      <c r="N797" s="164" t="str">
        <f>IFERROR(COUNTIF($B$18:B797,B797)&amp;CHOOSE(MIN(4,COUNTIF($B$18:B797,B797)),"st","nd","rd","th"),"")</f>
        <v/>
      </c>
    </row>
    <row r="798" spans="8:14" x14ac:dyDescent="0.25">
      <c r="H798" s="201" t="str">
        <f t="shared" si="13"/>
        <v/>
      </c>
      <c r="N798" s="164" t="str">
        <f>IFERROR(COUNTIF($B$18:B798,B798)&amp;CHOOSE(MIN(4,COUNTIF($B$18:B798,B798)),"st","nd","rd","th"),"")</f>
        <v/>
      </c>
    </row>
    <row r="799" spans="8:14" x14ac:dyDescent="0.25">
      <c r="H799" s="201" t="str">
        <f t="shared" si="13"/>
        <v/>
      </c>
      <c r="N799" s="164" t="str">
        <f>IFERROR(COUNTIF($B$18:B799,B799)&amp;CHOOSE(MIN(4,COUNTIF($B$18:B799,B799)),"st","nd","rd","th"),"")</f>
        <v/>
      </c>
    </row>
    <row r="800" spans="8:14" x14ac:dyDescent="0.25">
      <c r="H800" s="201" t="str">
        <f t="shared" si="13"/>
        <v/>
      </c>
      <c r="N800" s="164" t="str">
        <f>IFERROR(COUNTIF($B$18:B800,B800)&amp;CHOOSE(MIN(4,COUNTIF($B$18:B800,B800)),"st","nd","rd","th"),"")</f>
        <v/>
      </c>
    </row>
    <row r="801" spans="8:14" x14ac:dyDescent="0.25">
      <c r="H801" s="201" t="str">
        <f t="shared" si="13"/>
        <v/>
      </c>
      <c r="N801" s="164" t="str">
        <f>IFERROR(COUNTIF($B$18:B801,B801)&amp;CHOOSE(MIN(4,COUNTIF($B$18:B801,B801)),"st","nd","rd","th"),"")</f>
        <v/>
      </c>
    </row>
    <row r="802" spans="8:14" x14ac:dyDescent="0.25">
      <c r="H802" s="201" t="str">
        <f t="shared" si="13"/>
        <v/>
      </c>
      <c r="N802" s="164" t="str">
        <f>IFERROR(COUNTIF($B$18:B802,B802)&amp;CHOOSE(MIN(4,COUNTIF($B$18:B802,B802)),"st","nd","rd","th"),"")</f>
        <v/>
      </c>
    </row>
    <row r="803" spans="8:14" x14ac:dyDescent="0.25">
      <c r="H803" s="201" t="str">
        <f t="shared" si="13"/>
        <v/>
      </c>
      <c r="N803" s="164" t="str">
        <f>IFERROR(COUNTIF($B$18:B803,B803)&amp;CHOOSE(MIN(4,COUNTIF($B$18:B803,B803)),"st","nd","rd","th"),"")</f>
        <v/>
      </c>
    </row>
    <row r="804" spans="8:14" x14ac:dyDescent="0.25">
      <c r="H804" s="201" t="str">
        <f t="shared" si="13"/>
        <v/>
      </c>
      <c r="N804" s="164" t="str">
        <f>IFERROR(COUNTIF($B$18:B804,B804)&amp;CHOOSE(MIN(4,COUNTIF($B$18:B804,B804)),"st","nd","rd","th"),"")</f>
        <v/>
      </c>
    </row>
    <row r="805" spans="8:14" x14ac:dyDescent="0.25">
      <c r="H805" s="201" t="str">
        <f t="shared" si="13"/>
        <v/>
      </c>
      <c r="N805" s="164" t="str">
        <f>IFERROR(COUNTIF($B$18:B805,B805)&amp;CHOOSE(MIN(4,COUNTIF($B$18:B805,B805)),"st","nd","rd","th"),"")</f>
        <v/>
      </c>
    </row>
    <row r="806" spans="8:14" x14ac:dyDescent="0.25">
      <c r="H806" s="201" t="str">
        <f t="shared" si="13"/>
        <v/>
      </c>
      <c r="N806" s="164" t="str">
        <f>IFERROR(COUNTIF($B$18:B806,B806)&amp;CHOOSE(MIN(4,COUNTIF($B$18:B806,B806)),"st","nd","rd","th"),"")</f>
        <v/>
      </c>
    </row>
    <row r="807" spans="8:14" x14ac:dyDescent="0.25">
      <c r="H807" s="201" t="str">
        <f t="shared" si="13"/>
        <v/>
      </c>
      <c r="N807" s="164" t="str">
        <f>IFERROR(COUNTIF($B$18:B807,B807)&amp;CHOOSE(MIN(4,COUNTIF($B$18:B807,B807)),"st","nd","rd","th"),"")</f>
        <v/>
      </c>
    </row>
    <row r="808" spans="8:14" x14ac:dyDescent="0.25">
      <c r="H808" s="201" t="str">
        <f t="shared" si="13"/>
        <v/>
      </c>
      <c r="N808" s="164" t="str">
        <f>IFERROR(COUNTIF($B$18:B808,B808)&amp;CHOOSE(MIN(4,COUNTIF($B$18:B808,B808)),"st","nd","rd","th"),"")</f>
        <v/>
      </c>
    </row>
    <row r="809" spans="8:14" x14ac:dyDescent="0.25">
      <c r="H809" s="201" t="str">
        <f t="shared" si="13"/>
        <v/>
      </c>
      <c r="N809" s="164" t="str">
        <f>IFERROR(COUNTIF($B$18:B809,B809)&amp;CHOOSE(MIN(4,COUNTIF($B$18:B809,B809)),"st","nd","rd","th"),"")</f>
        <v/>
      </c>
    </row>
    <row r="810" spans="8:14" x14ac:dyDescent="0.25">
      <c r="H810" s="201" t="str">
        <f t="shared" si="13"/>
        <v/>
      </c>
      <c r="N810" s="164" t="str">
        <f>IFERROR(COUNTIF($B$18:B810,B810)&amp;CHOOSE(MIN(4,COUNTIF($B$18:B810,B810)),"st","nd","rd","th"),"")</f>
        <v/>
      </c>
    </row>
    <row r="811" spans="8:14" x14ac:dyDescent="0.25">
      <c r="H811" s="201" t="str">
        <f t="shared" si="13"/>
        <v/>
      </c>
      <c r="N811" s="164" t="str">
        <f>IFERROR(COUNTIF($B$18:B811,B811)&amp;CHOOSE(MIN(4,COUNTIF($B$18:B811,B811)),"st","nd","rd","th"),"")</f>
        <v/>
      </c>
    </row>
    <row r="812" spans="8:14" x14ac:dyDescent="0.25">
      <c r="H812" s="201" t="str">
        <f t="shared" si="13"/>
        <v/>
      </c>
      <c r="N812" s="164" t="str">
        <f>IFERROR(COUNTIF($B$18:B812,B812)&amp;CHOOSE(MIN(4,COUNTIF($B$18:B812,B812)),"st","nd","rd","th"),"")</f>
        <v/>
      </c>
    </row>
    <row r="813" spans="8:14" x14ac:dyDescent="0.25">
      <c r="H813" s="201" t="str">
        <f t="shared" si="13"/>
        <v/>
      </c>
      <c r="N813" s="164" t="str">
        <f>IFERROR(COUNTIF($B$18:B813,B813)&amp;CHOOSE(MIN(4,COUNTIF($B$18:B813,B813)),"st","nd","rd","th"),"")</f>
        <v/>
      </c>
    </row>
    <row r="814" spans="8:14" x14ac:dyDescent="0.25">
      <c r="H814" s="201" t="str">
        <f t="shared" si="13"/>
        <v/>
      </c>
      <c r="N814" s="164" t="str">
        <f>IFERROR(COUNTIF($B$18:B814,B814)&amp;CHOOSE(MIN(4,COUNTIF($B$18:B814,B814)),"st","nd","rd","th"),"")</f>
        <v/>
      </c>
    </row>
    <row r="815" spans="8:14" x14ac:dyDescent="0.25">
      <c r="H815" s="201" t="str">
        <f t="shared" si="13"/>
        <v/>
      </c>
      <c r="N815" s="164" t="str">
        <f>IFERROR(COUNTIF($B$18:B815,B815)&amp;CHOOSE(MIN(4,COUNTIF($B$18:B815,B815)),"st","nd","rd","th"),"")</f>
        <v/>
      </c>
    </row>
    <row r="816" spans="8:14" x14ac:dyDescent="0.25">
      <c r="H816" s="201" t="str">
        <f t="shared" si="13"/>
        <v/>
      </c>
      <c r="N816" s="164" t="str">
        <f>IFERROR(COUNTIF($B$18:B816,B816)&amp;CHOOSE(MIN(4,COUNTIF($B$18:B816,B816)),"st","nd","rd","th"),"")</f>
        <v/>
      </c>
    </row>
    <row r="817" spans="8:14" x14ac:dyDescent="0.25">
      <c r="H817" s="201" t="str">
        <f t="shared" si="13"/>
        <v/>
      </c>
      <c r="N817" s="164" t="str">
        <f>IFERROR(COUNTIF($B$18:B817,B817)&amp;CHOOSE(MIN(4,COUNTIF($B$18:B817,B817)),"st","nd","rd","th"),"")</f>
        <v/>
      </c>
    </row>
    <row r="818" spans="8:14" x14ac:dyDescent="0.25">
      <c r="H818" s="201" t="str">
        <f t="shared" si="13"/>
        <v/>
      </c>
      <c r="N818" s="164" t="str">
        <f>IFERROR(COUNTIF($B$18:B818,B818)&amp;CHOOSE(MIN(4,COUNTIF($B$18:B818,B818)),"st","nd","rd","th"),"")</f>
        <v/>
      </c>
    </row>
    <row r="819" spans="8:14" x14ac:dyDescent="0.25">
      <c r="H819" s="201" t="str">
        <f t="shared" si="13"/>
        <v/>
      </c>
      <c r="N819" s="164" t="str">
        <f>IFERROR(COUNTIF($B$18:B819,B819)&amp;CHOOSE(MIN(4,COUNTIF($B$18:B819,B819)),"st","nd","rd","th"),"")</f>
        <v/>
      </c>
    </row>
    <row r="820" spans="8:14" x14ac:dyDescent="0.25">
      <c r="H820" s="201" t="str">
        <f t="shared" si="13"/>
        <v/>
      </c>
      <c r="N820" s="164" t="str">
        <f>IFERROR(COUNTIF($B$18:B820,B820)&amp;CHOOSE(MIN(4,COUNTIF($B$18:B820,B820)),"st","nd","rd","th"),"")</f>
        <v/>
      </c>
    </row>
    <row r="821" spans="8:14" x14ac:dyDescent="0.25">
      <c r="H821" s="201" t="str">
        <f t="shared" si="13"/>
        <v/>
      </c>
      <c r="N821" s="164" t="str">
        <f>IFERROR(COUNTIF($B$18:B821,B821)&amp;CHOOSE(MIN(4,COUNTIF($B$18:B821,B821)),"st","nd","rd","th"),"")</f>
        <v/>
      </c>
    </row>
    <row r="822" spans="8:14" x14ac:dyDescent="0.25">
      <c r="H822" s="201" t="str">
        <f t="shared" si="13"/>
        <v/>
      </c>
      <c r="N822" s="164" t="str">
        <f>IFERROR(COUNTIF($B$18:B822,B822)&amp;CHOOSE(MIN(4,COUNTIF($B$18:B822,B822)),"st","nd","rd","th"),"")</f>
        <v/>
      </c>
    </row>
    <row r="823" spans="8:14" x14ac:dyDescent="0.25">
      <c r="H823" s="201" t="str">
        <f t="shared" si="13"/>
        <v/>
      </c>
      <c r="N823" s="164" t="str">
        <f>IFERROR(COUNTIF($B$18:B823,B823)&amp;CHOOSE(MIN(4,COUNTIF($B$18:B823,B823)),"st","nd","rd","th"),"")</f>
        <v/>
      </c>
    </row>
    <row r="824" spans="8:14" x14ac:dyDescent="0.25">
      <c r="H824" s="201" t="str">
        <f t="shared" si="13"/>
        <v/>
      </c>
      <c r="N824" s="164" t="str">
        <f>IFERROR(COUNTIF($B$18:B824,B824)&amp;CHOOSE(MIN(4,COUNTIF($B$18:B824,B824)),"st","nd","rd","th"),"")</f>
        <v/>
      </c>
    </row>
    <row r="825" spans="8:14" x14ac:dyDescent="0.25">
      <c r="H825" s="201" t="str">
        <f t="shared" si="13"/>
        <v/>
      </c>
      <c r="N825" s="164" t="str">
        <f>IFERROR(COUNTIF($B$18:B825,B825)&amp;CHOOSE(MIN(4,COUNTIF($B$18:B825,B825)),"st","nd","rd","th"),"")</f>
        <v/>
      </c>
    </row>
    <row r="826" spans="8:14" x14ac:dyDescent="0.25">
      <c r="H826" s="201" t="str">
        <f t="shared" si="13"/>
        <v/>
      </c>
      <c r="N826" s="164" t="str">
        <f>IFERROR(COUNTIF($B$18:B826,B826)&amp;CHOOSE(MIN(4,COUNTIF($B$18:B826,B826)),"st","nd","rd","th"),"")</f>
        <v/>
      </c>
    </row>
    <row r="827" spans="8:14" x14ac:dyDescent="0.25">
      <c r="H827" s="201" t="str">
        <f t="shared" si="13"/>
        <v/>
      </c>
      <c r="N827" s="164" t="str">
        <f>IFERROR(COUNTIF($B$18:B827,B827)&amp;CHOOSE(MIN(4,COUNTIF($B$18:B827,B827)),"st","nd","rd","th"),"")</f>
        <v/>
      </c>
    </row>
    <row r="828" spans="8:14" x14ac:dyDescent="0.25">
      <c r="H828" s="201" t="str">
        <f t="shared" si="13"/>
        <v/>
      </c>
      <c r="N828" s="164" t="str">
        <f>IFERROR(COUNTIF($B$18:B828,B828)&amp;CHOOSE(MIN(4,COUNTIF($B$18:B828,B828)),"st","nd","rd","th"),"")</f>
        <v/>
      </c>
    </row>
    <row r="829" spans="8:14" x14ac:dyDescent="0.25">
      <c r="H829" s="201" t="str">
        <f t="shared" si="13"/>
        <v/>
      </c>
      <c r="N829" s="164" t="str">
        <f>IFERROR(COUNTIF($B$18:B829,B829)&amp;CHOOSE(MIN(4,COUNTIF($B$18:B829,B829)),"st","nd","rd","th"),"")</f>
        <v/>
      </c>
    </row>
    <row r="830" spans="8:14" x14ac:dyDescent="0.25">
      <c r="H830" s="201" t="str">
        <f t="shared" si="13"/>
        <v/>
      </c>
      <c r="N830" s="164" t="str">
        <f>IFERROR(COUNTIF($B$18:B830,B830)&amp;CHOOSE(MIN(4,COUNTIF($B$18:B830,B830)),"st","nd","rd","th"),"")</f>
        <v/>
      </c>
    </row>
    <row r="831" spans="8:14" x14ac:dyDescent="0.25">
      <c r="H831" s="201" t="str">
        <f t="shared" si="13"/>
        <v/>
      </c>
      <c r="N831" s="164" t="str">
        <f>IFERROR(COUNTIF($B$18:B831,B831)&amp;CHOOSE(MIN(4,COUNTIF($B$18:B831,B831)),"st","nd","rd","th"),"")</f>
        <v/>
      </c>
    </row>
    <row r="832" spans="8:14" x14ac:dyDescent="0.25">
      <c r="H832" s="201" t="str">
        <f t="shared" si="13"/>
        <v/>
      </c>
      <c r="N832" s="164" t="str">
        <f>IFERROR(COUNTIF($B$18:B832,B832)&amp;CHOOSE(MIN(4,COUNTIF($B$18:B832,B832)),"st","nd","rd","th"),"")</f>
        <v/>
      </c>
    </row>
    <row r="833" spans="8:14" x14ac:dyDescent="0.25">
      <c r="H833" s="201" t="str">
        <f t="shared" si="13"/>
        <v/>
      </c>
      <c r="N833" s="164" t="str">
        <f>IFERROR(COUNTIF($B$18:B833,B833)&amp;CHOOSE(MIN(4,COUNTIF($B$18:B833,B833)),"st","nd","rd","th"),"")</f>
        <v/>
      </c>
    </row>
    <row r="834" spans="8:14" x14ac:dyDescent="0.25">
      <c r="H834" s="201" t="str">
        <f t="shared" si="13"/>
        <v/>
      </c>
      <c r="N834" s="164" t="str">
        <f>IFERROR(COUNTIF($B$18:B834,B834)&amp;CHOOSE(MIN(4,COUNTIF($B$18:B834,B834)),"st","nd","rd","th"),"")</f>
        <v/>
      </c>
    </row>
    <row r="835" spans="8:14" x14ac:dyDescent="0.25">
      <c r="H835" s="201" t="str">
        <f t="shared" si="13"/>
        <v/>
      </c>
      <c r="N835" s="164" t="str">
        <f>IFERROR(COUNTIF($B$18:B835,B835)&amp;CHOOSE(MIN(4,COUNTIF($B$18:B835,B835)),"st","nd","rd","th"),"")</f>
        <v/>
      </c>
    </row>
    <row r="836" spans="8:14" x14ac:dyDescent="0.25">
      <c r="H836" s="201" t="str">
        <f t="shared" si="13"/>
        <v/>
      </c>
      <c r="N836" s="164" t="str">
        <f>IFERROR(COUNTIF($B$18:B836,B836)&amp;CHOOSE(MIN(4,COUNTIF($B$18:B836,B836)),"st","nd","rd","th"),"")</f>
        <v/>
      </c>
    </row>
    <row r="837" spans="8:14" x14ac:dyDescent="0.25">
      <c r="H837" s="201" t="str">
        <f t="shared" si="13"/>
        <v/>
      </c>
      <c r="N837" s="164" t="str">
        <f>IFERROR(COUNTIF($B$18:B837,B837)&amp;CHOOSE(MIN(4,COUNTIF($B$18:B837,B837)),"st","nd","rd","th"),"")</f>
        <v/>
      </c>
    </row>
    <row r="838" spans="8:14" x14ac:dyDescent="0.25">
      <c r="H838" s="201" t="str">
        <f t="shared" si="13"/>
        <v/>
      </c>
      <c r="N838" s="164" t="str">
        <f>IFERROR(COUNTIF($B$18:B838,B838)&amp;CHOOSE(MIN(4,COUNTIF($B$18:B838,B838)),"st","nd","rd","th"),"")</f>
        <v/>
      </c>
    </row>
    <row r="839" spans="8:14" x14ac:dyDescent="0.25">
      <c r="H839" s="201" t="str">
        <f t="shared" si="13"/>
        <v/>
      </c>
      <c r="N839" s="164" t="str">
        <f>IFERROR(COUNTIF($B$18:B839,B839)&amp;CHOOSE(MIN(4,COUNTIF($B$18:B839,B839)),"st","nd","rd","th"),"")</f>
        <v/>
      </c>
    </row>
    <row r="840" spans="8:14" x14ac:dyDescent="0.25">
      <c r="H840" s="201" t="str">
        <f t="shared" si="13"/>
        <v/>
      </c>
      <c r="N840" s="164" t="str">
        <f>IFERROR(COUNTIF($B$18:B840,B840)&amp;CHOOSE(MIN(4,COUNTIF($B$18:B840,B840)),"st","nd","rd","th"),"")</f>
        <v/>
      </c>
    </row>
    <row r="841" spans="8:14" x14ac:dyDescent="0.25">
      <c r="H841" s="201" t="str">
        <f t="shared" si="13"/>
        <v/>
      </c>
      <c r="N841" s="164" t="str">
        <f>IFERROR(COUNTIF($B$18:B841,B841)&amp;CHOOSE(MIN(4,COUNTIF($B$18:B841,B841)),"st","nd","rd","th"),"")</f>
        <v/>
      </c>
    </row>
    <row r="842" spans="8:14" x14ac:dyDescent="0.25">
      <c r="H842" s="201" t="str">
        <f t="shared" si="13"/>
        <v/>
      </c>
      <c r="N842" s="164" t="str">
        <f>IFERROR(COUNTIF($B$18:B842,B842)&amp;CHOOSE(MIN(4,COUNTIF($B$18:B842,B842)),"st","nd","rd","th"),"")</f>
        <v/>
      </c>
    </row>
    <row r="843" spans="8:14" x14ac:dyDescent="0.25">
      <c r="H843" s="201" t="str">
        <f t="shared" si="13"/>
        <v/>
      </c>
      <c r="N843" s="164" t="str">
        <f>IFERROR(COUNTIF($B$18:B843,B843)&amp;CHOOSE(MIN(4,COUNTIF($B$18:B843,B843)),"st","nd","rd","th"),"")</f>
        <v/>
      </c>
    </row>
    <row r="844" spans="8:14" x14ac:dyDescent="0.25">
      <c r="H844" s="201" t="str">
        <f t="shared" si="13"/>
        <v/>
      </c>
      <c r="N844" s="164" t="str">
        <f>IFERROR(COUNTIF($B$18:B844,B844)&amp;CHOOSE(MIN(4,COUNTIF($B$18:B844,B844)),"st","nd","rd","th"),"")</f>
        <v/>
      </c>
    </row>
    <row r="845" spans="8:14" x14ac:dyDescent="0.25">
      <c r="H845" s="201" t="str">
        <f t="shared" si="13"/>
        <v/>
      </c>
      <c r="N845" s="164" t="str">
        <f>IFERROR(COUNTIF($B$18:B845,B845)&amp;CHOOSE(MIN(4,COUNTIF($B$18:B845,B845)),"st","nd","rd","th"),"")</f>
        <v/>
      </c>
    </row>
    <row r="846" spans="8:14" x14ac:dyDescent="0.25">
      <c r="H846" s="201" t="str">
        <f t="shared" si="13"/>
        <v/>
      </c>
      <c r="N846" s="164" t="str">
        <f>IFERROR(COUNTIF($B$18:B846,B846)&amp;CHOOSE(MIN(4,COUNTIF($B$18:B846,B846)),"st","nd","rd","th"),"")</f>
        <v/>
      </c>
    </row>
    <row r="847" spans="8:14" x14ac:dyDescent="0.25">
      <c r="H847" s="201" t="str">
        <f t="shared" si="13"/>
        <v/>
      </c>
      <c r="N847" s="164" t="str">
        <f>IFERROR(COUNTIF($B$18:B847,B847)&amp;CHOOSE(MIN(4,COUNTIF($B$18:B847,B847)),"st","nd","rd","th"),"")</f>
        <v/>
      </c>
    </row>
    <row r="848" spans="8:14" x14ac:dyDescent="0.25">
      <c r="H848" s="201" t="str">
        <f t="shared" si="13"/>
        <v/>
      </c>
      <c r="N848" s="164" t="str">
        <f>IFERROR(COUNTIF($B$18:B848,B848)&amp;CHOOSE(MIN(4,COUNTIF($B$18:B848,B848)),"st","nd","rd","th"),"")</f>
        <v/>
      </c>
    </row>
    <row r="849" spans="8:14" x14ac:dyDescent="0.25">
      <c r="H849" s="201" t="str">
        <f t="shared" si="13"/>
        <v/>
      </c>
      <c r="N849" s="164" t="str">
        <f>IFERROR(COUNTIF($B$18:B849,B849)&amp;CHOOSE(MIN(4,COUNTIF($B$18:B849,B849)),"st","nd","rd","th"),"")</f>
        <v/>
      </c>
    </row>
    <row r="850" spans="8:14" x14ac:dyDescent="0.25">
      <c r="H850" s="201" t="str">
        <f t="shared" si="13"/>
        <v/>
      </c>
      <c r="N850" s="164" t="str">
        <f>IFERROR(COUNTIF($B$18:B850,B850)&amp;CHOOSE(MIN(4,COUNTIF($B$18:B850,B850)),"st","nd","rd","th"),"")</f>
        <v/>
      </c>
    </row>
    <row r="851" spans="8:14" x14ac:dyDescent="0.25">
      <c r="H851" s="201" t="str">
        <f t="shared" ref="H851:H914" si="14">IF(OR(ISBLANK(G851), ISBLANK(F851)), "", IF(G851=F851, 1, SUM(_xlfn.DAYS(G851, F851), 1)))</f>
        <v/>
      </c>
      <c r="N851" s="164" t="str">
        <f>IFERROR(COUNTIF($B$18:B851,B851)&amp;CHOOSE(MIN(4,COUNTIF($B$18:B851,B851)),"st","nd","rd","th"),"")</f>
        <v/>
      </c>
    </row>
    <row r="852" spans="8:14" x14ac:dyDescent="0.25">
      <c r="H852" s="201" t="str">
        <f t="shared" si="14"/>
        <v/>
      </c>
      <c r="N852" s="164" t="str">
        <f>IFERROR(COUNTIF($B$18:B852,B852)&amp;CHOOSE(MIN(4,COUNTIF($B$18:B852,B852)),"st","nd","rd","th"),"")</f>
        <v/>
      </c>
    </row>
    <row r="853" spans="8:14" x14ac:dyDescent="0.25">
      <c r="H853" s="201" t="str">
        <f t="shared" si="14"/>
        <v/>
      </c>
      <c r="N853" s="164" t="str">
        <f>IFERROR(COUNTIF($B$18:B853,B853)&amp;CHOOSE(MIN(4,COUNTIF($B$18:B853,B853)),"st","nd","rd","th"),"")</f>
        <v/>
      </c>
    </row>
    <row r="854" spans="8:14" x14ac:dyDescent="0.25">
      <c r="H854" s="201" t="str">
        <f t="shared" si="14"/>
        <v/>
      </c>
      <c r="N854" s="164" t="str">
        <f>IFERROR(COUNTIF($B$18:B854,B854)&amp;CHOOSE(MIN(4,COUNTIF($B$18:B854,B854)),"st","nd","rd","th"),"")</f>
        <v/>
      </c>
    </row>
    <row r="855" spans="8:14" x14ac:dyDescent="0.25">
      <c r="H855" s="201" t="str">
        <f t="shared" si="14"/>
        <v/>
      </c>
      <c r="N855" s="164" t="str">
        <f>IFERROR(COUNTIF($B$18:B855,B855)&amp;CHOOSE(MIN(4,COUNTIF($B$18:B855,B855)),"st","nd","rd","th"),"")</f>
        <v/>
      </c>
    </row>
    <row r="856" spans="8:14" x14ac:dyDescent="0.25">
      <c r="H856" s="201" t="str">
        <f t="shared" si="14"/>
        <v/>
      </c>
      <c r="N856" s="164" t="str">
        <f>IFERROR(COUNTIF($B$18:B856,B856)&amp;CHOOSE(MIN(4,COUNTIF($B$18:B856,B856)),"st","nd","rd","th"),"")</f>
        <v/>
      </c>
    </row>
    <row r="857" spans="8:14" x14ac:dyDescent="0.25">
      <c r="H857" s="201" t="str">
        <f t="shared" si="14"/>
        <v/>
      </c>
      <c r="N857" s="164" t="str">
        <f>IFERROR(COUNTIF($B$18:B857,B857)&amp;CHOOSE(MIN(4,COUNTIF($B$18:B857,B857)),"st","nd","rd","th"),"")</f>
        <v/>
      </c>
    </row>
    <row r="858" spans="8:14" x14ac:dyDescent="0.25">
      <c r="H858" s="201" t="str">
        <f t="shared" si="14"/>
        <v/>
      </c>
      <c r="N858" s="164" t="str">
        <f>IFERROR(COUNTIF($B$18:B858,B858)&amp;CHOOSE(MIN(4,COUNTIF($B$18:B858,B858)),"st","nd","rd","th"),"")</f>
        <v/>
      </c>
    </row>
    <row r="859" spans="8:14" x14ac:dyDescent="0.25">
      <c r="H859" s="201" t="str">
        <f t="shared" si="14"/>
        <v/>
      </c>
      <c r="N859" s="164" t="str">
        <f>IFERROR(COUNTIF($B$18:B859,B859)&amp;CHOOSE(MIN(4,COUNTIF($B$18:B859,B859)),"st","nd","rd","th"),"")</f>
        <v/>
      </c>
    </row>
    <row r="860" spans="8:14" x14ac:dyDescent="0.25">
      <c r="H860" s="201" t="str">
        <f t="shared" si="14"/>
        <v/>
      </c>
      <c r="N860" s="164" t="str">
        <f>IFERROR(COUNTIF($B$18:B860,B860)&amp;CHOOSE(MIN(4,COUNTIF($B$18:B860,B860)),"st","nd","rd","th"),"")</f>
        <v/>
      </c>
    </row>
    <row r="861" spans="8:14" x14ac:dyDescent="0.25">
      <c r="H861" s="201" t="str">
        <f t="shared" si="14"/>
        <v/>
      </c>
      <c r="N861" s="164" t="str">
        <f>IFERROR(COUNTIF($B$18:B861,B861)&amp;CHOOSE(MIN(4,COUNTIF($B$18:B861,B861)),"st","nd","rd","th"),"")</f>
        <v/>
      </c>
    </row>
    <row r="862" spans="8:14" x14ac:dyDescent="0.25">
      <c r="H862" s="201" t="str">
        <f t="shared" si="14"/>
        <v/>
      </c>
      <c r="N862" s="164" t="str">
        <f>IFERROR(COUNTIF($B$18:B862,B862)&amp;CHOOSE(MIN(4,COUNTIF($B$18:B862,B862)),"st","nd","rd","th"),"")</f>
        <v/>
      </c>
    </row>
    <row r="863" spans="8:14" x14ac:dyDescent="0.25">
      <c r="H863" s="201" t="str">
        <f t="shared" si="14"/>
        <v/>
      </c>
      <c r="N863" s="164" t="str">
        <f>IFERROR(COUNTIF($B$18:B863,B863)&amp;CHOOSE(MIN(4,COUNTIF($B$18:B863,B863)),"st","nd","rd","th"),"")</f>
        <v/>
      </c>
    </row>
    <row r="864" spans="8:14" x14ac:dyDescent="0.25">
      <c r="H864" s="201" t="str">
        <f t="shared" si="14"/>
        <v/>
      </c>
      <c r="N864" s="164" t="str">
        <f>IFERROR(COUNTIF($B$18:B864,B864)&amp;CHOOSE(MIN(4,COUNTIF($B$18:B864,B864)),"st","nd","rd","th"),"")</f>
        <v/>
      </c>
    </row>
    <row r="865" spans="8:14" x14ac:dyDescent="0.25">
      <c r="H865" s="201" t="str">
        <f t="shared" si="14"/>
        <v/>
      </c>
      <c r="N865" s="164" t="str">
        <f>IFERROR(COUNTIF($B$18:B865,B865)&amp;CHOOSE(MIN(4,COUNTIF($B$18:B865,B865)),"st","nd","rd","th"),"")</f>
        <v/>
      </c>
    </row>
    <row r="866" spans="8:14" x14ac:dyDescent="0.25">
      <c r="H866" s="201" t="str">
        <f t="shared" si="14"/>
        <v/>
      </c>
      <c r="N866" s="164" t="str">
        <f>IFERROR(COUNTIF($B$18:B866,B866)&amp;CHOOSE(MIN(4,COUNTIF($B$18:B866,B866)),"st","nd","rd","th"),"")</f>
        <v/>
      </c>
    </row>
    <row r="867" spans="8:14" x14ac:dyDescent="0.25">
      <c r="H867" s="201" t="str">
        <f t="shared" si="14"/>
        <v/>
      </c>
      <c r="N867" s="164" t="str">
        <f>IFERROR(COUNTIF($B$18:B867,B867)&amp;CHOOSE(MIN(4,COUNTIF($B$18:B867,B867)),"st","nd","rd","th"),"")</f>
        <v/>
      </c>
    </row>
    <row r="868" spans="8:14" x14ac:dyDescent="0.25">
      <c r="H868" s="201" t="str">
        <f t="shared" si="14"/>
        <v/>
      </c>
      <c r="N868" s="164" t="str">
        <f>IFERROR(COUNTIF($B$18:B868,B868)&amp;CHOOSE(MIN(4,COUNTIF($B$18:B868,B868)),"st","nd","rd","th"),"")</f>
        <v/>
      </c>
    </row>
    <row r="869" spans="8:14" x14ac:dyDescent="0.25">
      <c r="H869" s="201" t="str">
        <f t="shared" si="14"/>
        <v/>
      </c>
      <c r="N869" s="164" t="str">
        <f>IFERROR(COUNTIF($B$18:B869,B869)&amp;CHOOSE(MIN(4,COUNTIF($B$18:B869,B869)),"st","nd","rd","th"),"")</f>
        <v/>
      </c>
    </row>
    <row r="870" spans="8:14" x14ac:dyDescent="0.25">
      <c r="H870" s="201" t="str">
        <f t="shared" si="14"/>
        <v/>
      </c>
      <c r="N870" s="164" t="str">
        <f>IFERROR(COUNTIF($B$18:B870,B870)&amp;CHOOSE(MIN(4,COUNTIF($B$18:B870,B870)),"st","nd","rd","th"),"")</f>
        <v/>
      </c>
    </row>
    <row r="871" spans="8:14" x14ac:dyDescent="0.25">
      <c r="H871" s="201" t="str">
        <f t="shared" si="14"/>
        <v/>
      </c>
      <c r="N871" s="164" t="str">
        <f>IFERROR(COUNTIF($B$18:B871,B871)&amp;CHOOSE(MIN(4,COUNTIF($B$18:B871,B871)),"st","nd","rd","th"),"")</f>
        <v/>
      </c>
    </row>
    <row r="872" spans="8:14" x14ac:dyDescent="0.25">
      <c r="H872" s="201" t="str">
        <f t="shared" si="14"/>
        <v/>
      </c>
      <c r="N872" s="164" t="str">
        <f>IFERROR(COUNTIF($B$18:B872,B872)&amp;CHOOSE(MIN(4,COUNTIF($B$18:B872,B872)),"st","nd","rd","th"),"")</f>
        <v/>
      </c>
    </row>
    <row r="873" spans="8:14" x14ac:dyDescent="0.25">
      <c r="H873" s="201" t="str">
        <f t="shared" si="14"/>
        <v/>
      </c>
      <c r="N873" s="164" t="str">
        <f>IFERROR(COUNTIF($B$18:B873,B873)&amp;CHOOSE(MIN(4,COUNTIF($B$18:B873,B873)),"st","nd","rd","th"),"")</f>
        <v/>
      </c>
    </row>
    <row r="874" spans="8:14" x14ac:dyDescent="0.25">
      <c r="H874" s="201" t="str">
        <f t="shared" si="14"/>
        <v/>
      </c>
      <c r="N874" s="164" t="str">
        <f>IFERROR(COUNTIF($B$18:B874,B874)&amp;CHOOSE(MIN(4,COUNTIF($B$18:B874,B874)),"st","nd","rd","th"),"")</f>
        <v/>
      </c>
    </row>
    <row r="875" spans="8:14" x14ac:dyDescent="0.25">
      <c r="H875" s="201" t="str">
        <f t="shared" si="14"/>
        <v/>
      </c>
      <c r="N875" s="164" t="str">
        <f>IFERROR(COUNTIF($B$18:B875,B875)&amp;CHOOSE(MIN(4,COUNTIF($B$18:B875,B875)),"st","nd","rd","th"),"")</f>
        <v/>
      </c>
    </row>
    <row r="876" spans="8:14" x14ac:dyDescent="0.25">
      <c r="H876" s="201" t="str">
        <f t="shared" si="14"/>
        <v/>
      </c>
      <c r="N876" s="164" t="str">
        <f>IFERROR(COUNTIF($B$18:B876,B876)&amp;CHOOSE(MIN(4,COUNTIF($B$18:B876,B876)),"st","nd","rd","th"),"")</f>
        <v/>
      </c>
    </row>
    <row r="877" spans="8:14" x14ac:dyDescent="0.25">
      <c r="H877" s="201" t="str">
        <f t="shared" si="14"/>
        <v/>
      </c>
      <c r="N877" s="164" t="str">
        <f>IFERROR(COUNTIF($B$18:B877,B877)&amp;CHOOSE(MIN(4,COUNTIF($B$18:B877,B877)),"st","nd","rd","th"),"")</f>
        <v/>
      </c>
    </row>
    <row r="878" spans="8:14" x14ac:dyDescent="0.25">
      <c r="H878" s="201" t="str">
        <f t="shared" si="14"/>
        <v/>
      </c>
      <c r="N878" s="164" t="str">
        <f>IFERROR(COUNTIF($B$18:B878,B878)&amp;CHOOSE(MIN(4,COUNTIF($B$18:B878,B878)),"st","nd","rd","th"),"")</f>
        <v/>
      </c>
    </row>
    <row r="879" spans="8:14" x14ac:dyDescent="0.25">
      <c r="H879" s="201" t="str">
        <f t="shared" si="14"/>
        <v/>
      </c>
      <c r="N879" s="164" t="str">
        <f>IFERROR(COUNTIF($B$18:B879,B879)&amp;CHOOSE(MIN(4,COUNTIF($B$18:B879,B879)),"st","nd","rd","th"),"")</f>
        <v/>
      </c>
    </row>
    <row r="880" spans="8:14" x14ac:dyDescent="0.25">
      <c r="H880" s="201" t="str">
        <f t="shared" si="14"/>
        <v/>
      </c>
      <c r="N880" s="164" t="str">
        <f>IFERROR(COUNTIF($B$18:B880,B880)&amp;CHOOSE(MIN(4,COUNTIF($B$18:B880,B880)),"st","nd","rd","th"),"")</f>
        <v/>
      </c>
    </row>
    <row r="881" spans="8:14" x14ac:dyDescent="0.25">
      <c r="H881" s="201" t="str">
        <f t="shared" si="14"/>
        <v/>
      </c>
      <c r="N881" s="164" t="str">
        <f>IFERROR(COUNTIF($B$18:B881,B881)&amp;CHOOSE(MIN(4,COUNTIF($B$18:B881,B881)),"st","nd","rd","th"),"")</f>
        <v/>
      </c>
    </row>
    <row r="882" spans="8:14" x14ac:dyDescent="0.25">
      <c r="H882" s="201" t="str">
        <f t="shared" si="14"/>
        <v/>
      </c>
      <c r="N882" s="164" t="str">
        <f>IFERROR(COUNTIF($B$18:B882,B882)&amp;CHOOSE(MIN(4,COUNTIF($B$18:B882,B882)),"st","nd","rd","th"),"")</f>
        <v/>
      </c>
    </row>
    <row r="883" spans="8:14" x14ac:dyDescent="0.25">
      <c r="H883" s="201" t="str">
        <f t="shared" si="14"/>
        <v/>
      </c>
      <c r="N883" s="164" t="str">
        <f>IFERROR(COUNTIF($B$18:B883,B883)&amp;CHOOSE(MIN(4,COUNTIF($B$18:B883,B883)),"st","nd","rd","th"),"")</f>
        <v/>
      </c>
    </row>
    <row r="884" spans="8:14" x14ac:dyDescent="0.25">
      <c r="H884" s="201" t="str">
        <f t="shared" si="14"/>
        <v/>
      </c>
      <c r="N884" s="164" t="str">
        <f>IFERROR(COUNTIF($B$18:B884,B884)&amp;CHOOSE(MIN(4,COUNTIF($B$18:B884,B884)),"st","nd","rd","th"),"")</f>
        <v/>
      </c>
    </row>
    <row r="885" spans="8:14" x14ac:dyDescent="0.25">
      <c r="H885" s="201" t="str">
        <f t="shared" si="14"/>
        <v/>
      </c>
      <c r="N885" s="164" t="str">
        <f>IFERROR(COUNTIF($B$18:B885,B885)&amp;CHOOSE(MIN(4,COUNTIF($B$18:B885,B885)),"st","nd","rd","th"),"")</f>
        <v/>
      </c>
    </row>
    <row r="886" spans="8:14" x14ac:dyDescent="0.25">
      <c r="H886" s="201" t="str">
        <f t="shared" si="14"/>
        <v/>
      </c>
      <c r="N886" s="164" t="str">
        <f>IFERROR(COUNTIF($B$18:B886,B886)&amp;CHOOSE(MIN(4,COUNTIF($B$18:B886,B886)),"st","nd","rd","th"),"")</f>
        <v/>
      </c>
    </row>
    <row r="887" spans="8:14" x14ac:dyDescent="0.25">
      <c r="H887" s="201" t="str">
        <f t="shared" si="14"/>
        <v/>
      </c>
      <c r="N887" s="164" t="str">
        <f>IFERROR(COUNTIF($B$18:B887,B887)&amp;CHOOSE(MIN(4,COUNTIF($B$18:B887,B887)),"st","nd","rd","th"),"")</f>
        <v/>
      </c>
    </row>
    <row r="888" spans="8:14" x14ac:dyDescent="0.25">
      <c r="H888" s="201" t="str">
        <f t="shared" si="14"/>
        <v/>
      </c>
      <c r="N888" s="164" t="str">
        <f>IFERROR(COUNTIF($B$18:B888,B888)&amp;CHOOSE(MIN(4,COUNTIF($B$18:B888,B888)),"st","nd","rd","th"),"")</f>
        <v/>
      </c>
    </row>
    <row r="889" spans="8:14" x14ac:dyDescent="0.25">
      <c r="H889" s="201" t="str">
        <f t="shared" si="14"/>
        <v/>
      </c>
      <c r="N889" s="164" t="str">
        <f>IFERROR(COUNTIF($B$18:B889,B889)&amp;CHOOSE(MIN(4,COUNTIF($B$18:B889,B889)),"st","nd","rd","th"),"")</f>
        <v/>
      </c>
    </row>
    <row r="890" spans="8:14" x14ac:dyDescent="0.25">
      <c r="H890" s="201" t="str">
        <f t="shared" si="14"/>
        <v/>
      </c>
      <c r="N890" s="164" t="str">
        <f>IFERROR(COUNTIF($B$18:B890,B890)&amp;CHOOSE(MIN(4,COUNTIF($B$18:B890,B890)),"st","nd","rd","th"),"")</f>
        <v/>
      </c>
    </row>
    <row r="891" spans="8:14" x14ac:dyDescent="0.25">
      <c r="H891" s="201" t="str">
        <f t="shared" si="14"/>
        <v/>
      </c>
      <c r="N891" s="164" t="str">
        <f>IFERROR(COUNTIF($B$18:B891,B891)&amp;CHOOSE(MIN(4,COUNTIF($B$18:B891,B891)),"st","nd","rd","th"),"")</f>
        <v/>
      </c>
    </row>
    <row r="892" spans="8:14" x14ac:dyDescent="0.25">
      <c r="H892" s="201" t="str">
        <f t="shared" si="14"/>
        <v/>
      </c>
      <c r="N892" s="164" t="str">
        <f>IFERROR(COUNTIF($B$18:B892,B892)&amp;CHOOSE(MIN(4,COUNTIF($B$18:B892,B892)),"st","nd","rd","th"),"")</f>
        <v/>
      </c>
    </row>
    <row r="893" spans="8:14" x14ac:dyDescent="0.25">
      <c r="H893" s="201" t="str">
        <f t="shared" si="14"/>
        <v/>
      </c>
      <c r="N893" s="164" t="str">
        <f>IFERROR(COUNTIF($B$18:B893,B893)&amp;CHOOSE(MIN(4,COUNTIF($B$18:B893,B893)),"st","nd","rd","th"),"")</f>
        <v/>
      </c>
    </row>
    <row r="894" spans="8:14" x14ac:dyDescent="0.25">
      <c r="H894" s="201" t="str">
        <f t="shared" si="14"/>
        <v/>
      </c>
      <c r="N894" s="164" t="str">
        <f>IFERROR(COUNTIF($B$18:B894,B894)&amp;CHOOSE(MIN(4,COUNTIF($B$18:B894,B894)),"st","nd","rd","th"),"")</f>
        <v/>
      </c>
    </row>
    <row r="895" spans="8:14" x14ac:dyDescent="0.25">
      <c r="H895" s="201" t="str">
        <f t="shared" si="14"/>
        <v/>
      </c>
      <c r="N895" s="164" t="str">
        <f>IFERROR(COUNTIF($B$18:B895,B895)&amp;CHOOSE(MIN(4,COUNTIF($B$18:B895,B895)),"st","nd","rd","th"),"")</f>
        <v/>
      </c>
    </row>
    <row r="896" spans="8:14" x14ac:dyDescent="0.25">
      <c r="H896" s="201" t="str">
        <f t="shared" si="14"/>
        <v/>
      </c>
      <c r="N896" s="164" t="str">
        <f>IFERROR(COUNTIF($B$18:B896,B896)&amp;CHOOSE(MIN(4,COUNTIF($B$18:B896,B896)),"st","nd","rd","th"),"")</f>
        <v/>
      </c>
    </row>
    <row r="897" spans="8:14" x14ac:dyDescent="0.25">
      <c r="H897" s="201" t="str">
        <f t="shared" si="14"/>
        <v/>
      </c>
      <c r="N897" s="164" t="str">
        <f>IFERROR(COUNTIF($B$18:B897,B897)&amp;CHOOSE(MIN(4,COUNTIF($B$18:B897,B897)),"st","nd","rd","th"),"")</f>
        <v/>
      </c>
    </row>
    <row r="898" spans="8:14" x14ac:dyDescent="0.25">
      <c r="H898" s="201" t="str">
        <f t="shared" si="14"/>
        <v/>
      </c>
      <c r="N898" s="164" t="str">
        <f>IFERROR(COUNTIF($B$18:B898,B898)&amp;CHOOSE(MIN(4,COUNTIF($B$18:B898,B898)),"st","nd","rd","th"),"")</f>
        <v/>
      </c>
    </row>
    <row r="899" spans="8:14" x14ac:dyDescent="0.25">
      <c r="H899" s="201" t="str">
        <f t="shared" si="14"/>
        <v/>
      </c>
      <c r="N899" s="164" t="str">
        <f>IFERROR(COUNTIF($B$18:B899,B899)&amp;CHOOSE(MIN(4,COUNTIF($B$18:B899,B899)),"st","nd","rd","th"),"")</f>
        <v/>
      </c>
    </row>
    <row r="900" spans="8:14" x14ac:dyDescent="0.25">
      <c r="H900" s="201" t="str">
        <f t="shared" si="14"/>
        <v/>
      </c>
      <c r="N900" s="164" t="str">
        <f>IFERROR(COUNTIF($B$18:B900,B900)&amp;CHOOSE(MIN(4,COUNTIF($B$18:B900,B900)),"st","nd","rd","th"),"")</f>
        <v/>
      </c>
    </row>
    <row r="901" spans="8:14" x14ac:dyDescent="0.25">
      <c r="H901" s="201" t="str">
        <f t="shared" si="14"/>
        <v/>
      </c>
      <c r="N901" s="164" t="str">
        <f>IFERROR(COUNTIF($B$18:B901,B901)&amp;CHOOSE(MIN(4,COUNTIF($B$18:B901,B901)),"st","nd","rd","th"),"")</f>
        <v/>
      </c>
    </row>
    <row r="902" spans="8:14" x14ac:dyDescent="0.25">
      <c r="H902" s="201" t="str">
        <f t="shared" si="14"/>
        <v/>
      </c>
      <c r="N902" s="164" t="str">
        <f>IFERROR(COUNTIF($B$18:B902,B902)&amp;CHOOSE(MIN(4,COUNTIF($B$18:B902,B902)),"st","nd","rd","th"),"")</f>
        <v/>
      </c>
    </row>
    <row r="903" spans="8:14" x14ac:dyDescent="0.25">
      <c r="H903" s="201" t="str">
        <f t="shared" si="14"/>
        <v/>
      </c>
      <c r="N903" s="164" t="str">
        <f>IFERROR(COUNTIF($B$18:B903,B903)&amp;CHOOSE(MIN(4,COUNTIF($B$18:B903,B903)),"st","nd","rd","th"),"")</f>
        <v/>
      </c>
    </row>
    <row r="904" spans="8:14" x14ac:dyDescent="0.25">
      <c r="H904" s="201" t="str">
        <f t="shared" si="14"/>
        <v/>
      </c>
      <c r="N904" s="164" t="str">
        <f>IFERROR(COUNTIF($B$18:B904,B904)&amp;CHOOSE(MIN(4,COUNTIF($B$18:B904,B904)),"st","nd","rd","th"),"")</f>
        <v/>
      </c>
    </row>
    <row r="905" spans="8:14" x14ac:dyDescent="0.25">
      <c r="H905" s="201" t="str">
        <f t="shared" si="14"/>
        <v/>
      </c>
      <c r="N905" s="164" t="str">
        <f>IFERROR(COUNTIF($B$18:B905,B905)&amp;CHOOSE(MIN(4,COUNTIF($B$18:B905,B905)),"st","nd","rd","th"),"")</f>
        <v/>
      </c>
    </row>
    <row r="906" spans="8:14" x14ac:dyDescent="0.25">
      <c r="H906" s="201" t="str">
        <f t="shared" si="14"/>
        <v/>
      </c>
      <c r="N906" s="164" t="str">
        <f>IFERROR(COUNTIF($B$18:B906,B906)&amp;CHOOSE(MIN(4,COUNTIF($B$18:B906,B906)),"st","nd","rd","th"),"")</f>
        <v/>
      </c>
    </row>
    <row r="907" spans="8:14" x14ac:dyDescent="0.25">
      <c r="H907" s="201" t="str">
        <f t="shared" si="14"/>
        <v/>
      </c>
      <c r="N907" s="164" t="str">
        <f>IFERROR(COUNTIF($B$18:B907,B907)&amp;CHOOSE(MIN(4,COUNTIF($B$18:B907,B907)),"st","nd","rd","th"),"")</f>
        <v/>
      </c>
    </row>
    <row r="908" spans="8:14" x14ac:dyDescent="0.25">
      <c r="H908" s="201" t="str">
        <f t="shared" si="14"/>
        <v/>
      </c>
      <c r="N908" s="164" t="str">
        <f>IFERROR(COUNTIF($B$18:B908,B908)&amp;CHOOSE(MIN(4,COUNTIF($B$18:B908,B908)),"st","nd","rd","th"),"")</f>
        <v/>
      </c>
    </row>
    <row r="909" spans="8:14" x14ac:dyDescent="0.25">
      <c r="H909" s="201" t="str">
        <f t="shared" si="14"/>
        <v/>
      </c>
      <c r="N909" s="164" t="str">
        <f>IFERROR(COUNTIF($B$18:B909,B909)&amp;CHOOSE(MIN(4,COUNTIF($B$18:B909,B909)),"st","nd","rd","th"),"")</f>
        <v/>
      </c>
    </row>
    <row r="910" spans="8:14" x14ac:dyDescent="0.25">
      <c r="H910" s="201" t="str">
        <f t="shared" si="14"/>
        <v/>
      </c>
      <c r="N910" s="164" t="str">
        <f>IFERROR(COUNTIF($B$18:B910,B910)&amp;CHOOSE(MIN(4,COUNTIF($B$18:B910,B910)),"st","nd","rd","th"),"")</f>
        <v/>
      </c>
    </row>
    <row r="911" spans="8:14" x14ac:dyDescent="0.25">
      <c r="H911" s="201" t="str">
        <f t="shared" si="14"/>
        <v/>
      </c>
      <c r="N911" s="164" t="str">
        <f>IFERROR(COUNTIF($B$18:B911,B911)&amp;CHOOSE(MIN(4,COUNTIF($B$18:B911,B911)),"st","nd","rd","th"),"")</f>
        <v/>
      </c>
    </row>
    <row r="912" spans="8:14" x14ac:dyDescent="0.25">
      <c r="H912" s="201" t="str">
        <f t="shared" si="14"/>
        <v/>
      </c>
      <c r="N912" s="164" t="str">
        <f>IFERROR(COUNTIF($B$18:B912,B912)&amp;CHOOSE(MIN(4,COUNTIF($B$18:B912,B912)),"st","nd","rd","th"),"")</f>
        <v/>
      </c>
    </row>
    <row r="913" spans="8:14" x14ac:dyDescent="0.25">
      <c r="H913" s="201" t="str">
        <f t="shared" si="14"/>
        <v/>
      </c>
      <c r="N913" s="164" t="str">
        <f>IFERROR(COUNTIF($B$18:B913,B913)&amp;CHOOSE(MIN(4,COUNTIF($B$18:B913,B913)),"st","nd","rd","th"),"")</f>
        <v/>
      </c>
    </row>
    <row r="914" spans="8:14" x14ac:dyDescent="0.25">
      <c r="H914" s="201" t="str">
        <f t="shared" si="14"/>
        <v/>
      </c>
      <c r="N914" s="164" t="str">
        <f>IFERROR(COUNTIF($B$18:B914,B914)&amp;CHOOSE(MIN(4,COUNTIF($B$18:B914,B914)),"st","nd","rd","th"),"")</f>
        <v/>
      </c>
    </row>
    <row r="915" spans="8:14" x14ac:dyDescent="0.25">
      <c r="H915" s="201" t="str">
        <f t="shared" ref="H915:H978" si="15">IF(OR(ISBLANK(G915), ISBLANK(F915)), "", IF(G915=F915, 1, SUM(_xlfn.DAYS(G915, F915), 1)))</f>
        <v/>
      </c>
      <c r="N915" s="164" t="str">
        <f>IFERROR(COUNTIF($B$18:B915,B915)&amp;CHOOSE(MIN(4,COUNTIF($B$18:B915,B915)),"st","nd","rd","th"),"")</f>
        <v/>
      </c>
    </row>
    <row r="916" spans="8:14" x14ac:dyDescent="0.25">
      <c r="H916" s="201" t="str">
        <f t="shared" si="15"/>
        <v/>
      </c>
      <c r="N916" s="164" t="str">
        <f>IFERROR(COUNTIF($B$18:B916,B916)&amp;CHOOSE(MIN(4,COUNTIF($B$18:B916,B916)),"st","nd","rd","th"),"")</f>
        <v/>
      </c>
    </row>
    <row r="917" spans="8:14" x14ac:dyDescent="0.25">
      <c r="H917" s="201" t="str">
        <f t="shared" si="15"/>
        <v/>
      </c>
      <c r="N917" s="164" t="str">
        <f>IFERROR(COUNTIF($B$18:B917,B917)&amp;CHOOSE(MIN(4,COUNTIF($B$18:B917,B917)),"st","nd","rd","th"),"")</f>
        <v/>
      </c>
    </row>
    <row r="918" spans="8:14" x14ac:dyDescent="0.25">
      <c r="H918" s="201" t="str">
        <f t="shared" si="15"/>
        <v/>
      </c>
      <c r="N918" s="164" t="str">
        <f>IFERROR(COUNTIF($B$18:B918,B918)&amp;CHOOSE(MIN(4,COUNTIF($B$18:B918,B918)),"st","nd","rd","th"),"")</f>
        <v/>
      </c>
    </row>
    <row r="919" spans="8:14" x14ac:dyDescent="0.25">
      <c r="H919" s="201" t="str">
        <f t="shared" si="15"/>
        <v/>
      </c>
      <c r="N919" s="164" t="str">
        <f>IFERROR(COUNTIF($B$18:B919,B919)&amp;CHOOSE(MIN(4,COUNTIF($B$18:B919,B919)),"st","nd","rd","th"),"")</f>
        <v/>
      </c>
    </row>
    <row r="920" spans="8:14" x14ac:dyDescent="0.25">
      <c r="H920" s="201" t="str">
        <f t="shared" si="15"/>
        <v/>
      </c>
      <c r="N920" s="164" t="str">
        <f>IFERROR(COUNTIF($B$18:B920,B920)&amp;CHOOSE(MIN(4,COUNTIF($B$18:B920,B920)),"st","nd","rd","th"),"")</f>
        <v/>
      </c>
    </row>
    <row r="921" spans="8:14" x14ac:dyDescent="0.25">
      <c r="H921" s="201" t="str">
        <f t="shared" si="15"/>
        <v/>
      </c>
      <c r="N921" s="164" t="str">
        <f>IFERROR(COUNTIF($B$18:B921,B921)&amp;CHOOSE(MIN(4,COUNTIF($B$18:B921,B921)),"st","nd","rd","th"),"")</f>
        <v/>
      </c>
    </row>
    <row r="922" spans="8:14" x14ac:dyDescent="0.25">
      <c r="H922" s="201" t="str">
        <f t="shared" si="15"/>
        <v/>
      </c>
      <c r="N922" s="164" t="str">
        <f>IFERROR(COUNTIF($B$18:B922,B922)&amp;CHOOSE(MIN(4,COUNTIF($B$18:B922,B922)),"st","nd","rd","th"),"")</f>
        <v/>
      </c>
    </row>
    <row r="923" spans="8:14" x14ac:dyDescent="0.25">
      <c r="H923" s="201" t="str">
        <f t="shared" si="15"/>
        <v/>
      </c>
      <c r="N923" s="164" t="str">
        <f>IFERROR(COUNTIF($B$18:B923,B923)&amp;CHOOSE(MIN(4,COUNTIF($B$18:B923,B923)),"st","nd","rd","th"),"")</f>
        <v/>
      </c>
    </row>
    <row r="924" spans="8:14" x14ac:dyDescent="0.25">
      <c r="H924" s="201" t="str">
        <f t="shared" si="15"/>
        <v/>
      </c>
      <c r="N924" s="164" t="str">
        <f>IFERROR(COUNTIF($B$18:B924,B924)&amp;CHOOSE(MIN(4,COUNTIF($B$18:B924,B924)),"st","nd","rd","th"),"")</f>
        <v/>
      </c>
    </row>
    <row r="925" spans="8:14" x14ac:dyDescent="0.25">
      <c r="H925" s="201" t="str">
        <f t="shared" si="15"/>
        <v/>
      </c>
      <c r="N925" s="164" t="str">
        <f>IFERROR(COUNTIF($B$18:B925,B925)&amp;CHOOSE(MIN(4,COUNTIF($B$18:B925,B925)),"st","nd","rd","th"),"")</f>
        <v/>
      </c>
    </row>
    <row r="926" spans="8:14" x14ac:dyDescent="0.25">
      <c r="H926" s="201" t="str">
        <f t="shared" si="15"/>
        <v/>
      </c>
      <c r="N926" s="164" t="str">
        <f>IFERROR(COUNTIF($B$18:B926,B926)&amp;CHOOSE(MIN(4,COUNTIF($B$18:B926,B926)),"st","nd","rd","th"),"")</f>
        <v/>
      </c>
    </row>
    <row r="927" spans="8:14" x14ac:dyDescent="0.25">
      <c r="H927" s="201" t="str">
        <f t="shared" si="15"/>
        <v/>
      </c>
      <c r="N927" s="164" t="str">
        <f>IFERROR(COUNTIF($B$18:B927,B927)&amp;CHOOSE(MIN(4,COUNTIF($B$18:B927,B927)),"st","nd","rd","th"),"")</f>
        <v/>
      </c>
    </row>
    <row r="928" spans="8:14" x14ac:dyDescent="0.25">
      <c r="H928" s="201" t="str">
        <f t="shared" si="15"/>
        <v/>
      </c>
      <c r="N928" s="164" t="str">
        <f>IFERROR(COUNTIF($B$18:B928,B928)&amp;CHOOSE(MIN(4,COUNTIF($B$18:B928,B928)),"st","nd","rd","th"),"")</f>
        <v/>
      </c>
    </row>
    <row r="929" spans="8:14" x14ac:dyDescent="0.25">
      <c r="H929" s="201" t="str">
        <f t="shared" si="15"/>
        <v/>
      </c>
      <c r="N929" s="164" t="str">
        <f>IFERROR(COUNTIF($B$18:B929,B929)&amp;CHOOSE(MIN(4,COUNTIF($B$18:B929,B929)),"st","nd","rd","th"),"")</f>
        <v/>
      </c>
    </row>
    <row r="930" spans="8:14" x14ac:dyDescent="0.25">
      <c r="H930" s="201" t="str">
        <f t="shared" si="15"/>
        <v/>
      </c>
      <c r="N930" s="164" t="str">
        <f>IFERROR(COUNTIF($B$18:B930,B930)&amp;CHOOSE(MIN(4,COUNTIF($B$18:B930,B930)),"st","nd","rd","th"),"")</f>
        <v/>
      </c>
    </row>
    <row r="931" spans="8:14" x14ac:dyDescent="0.25">
      <c r="H931" s="201" t="str">
        <f t="shared" si="15"/>
        <v/>
      </c>
      <c r="N931" s="164" t="str">
        <f>IFERROR(COUNTIF($B$18:B931,B931)&amp;CHOOSE(MIN(4,COUNTIF($B$18:B931,B931)),"st","nd","rd","th"),"")</f>
        <v/>
      </c>
    </row>
    <row r="932" spans="8:14" x14ac:dyDescent="0.25">
      <c r="H932" s="201" t="str">
        <f t="shared" si="15"/>
        <v/>
      </c>
      <c r="N932" s="164" t="str">
        <f>IFERROR(COUNTIF($B$18:B932,B932)&amp;CHOOSE(MIN(4,COUNTIF($B$18:B932,B932)),"st","nd","rd","th"),"")</f>
        <v/>
      </c>
    </row>
    <row r="933" spans="8:14" x14ac:dyDescent="0.25">
      <c r="H933" s="201" t="str">
        <f t="shared" si="15"/>
        <v/>
      </c>
      <c r="N933" s="164" t="str">
        <f>IFERROR(COUNTIF($B$18:B933,B933)&amp;CHOOSE(MIN(4,COUNTIF($B$18:B933,B933)),"st","nd","rd","th"),"")</f>
        <v/>
      </c>
    </row>
    <row r="934" spans="8:14" x14ac:dyDescent="0.25">
      <c r="H934" s="201" t="str">
        <f t="shared" si="15"/>
        <v/>
      </c>
      <c r="N934" s="164" t="str">
        <f>IFERROR(COUNTIF($B$18:B934,B934)&amp;CHOOSE(MIN(4,COUNTIF($B$18:B934,B934)),"st","nd","rd","th"),"")</f>
        <v/>
      </c>
    </row>
    <row r="935" spans="8:14" x14ac:dyDescent="0.25">
      <c r="H935" s="201" t="str">
        <f t="shared" si="15"/>
        <v/>
      </c>
      <c r="N935" s="164" t="str">
        <f>IFERROR(COUNTIF($B$18:B935,B935)&amp;CHOOSE(MIN(4,COUNTIF($B$18:B935,B935)),"st","nd","rd","th"),"")</f>
        <v/>
      </c>
    </row>
    <row r="936" spans="8:14" x14ac:dyDescent="0.25">
      <c r="H936" s="201" t="str">
        <f t="shared" si="15"/>
        <v/>
      </c>
      <c r="N936" s="164" t="str">
        <f>IFERROR(COUNTIF($B$18:B936,B936)&amp;CHOOSE(MIN(4,COUNTIF($B$18:B936,B936)),"st","nd","rd","th"),"")</f>
        <v/>
      </c>
    </row>
    <row r="937" spans="8:14" x14ac:dyDescent="0.25">
      <c r="H937" s="201" t="str">
        <f t="shared" si="15"/>
        <v/>
      </c>
      <c r="N937" s="164" t="str">
        <f>IFERROR(COUNTIF($B$18:B937,B937)&amp;CHOOSE(MIN(4,COUNTIF($B$18:B937,B937)),"st","nd","rd","th"),"")</f>
        <v/>
      </c>
    </row>
    <row r="938" spans="8:14" x14ac:dyDescent="0.25">
      <c r="H938" s="201" t="str">
        <f t="shared" si="15"/>
        <v/>
      </c>
      <c r="N938" s="164" t="str">
        <f>IFERROR(COUNTIF($B$18:B938,B938)&amp;CHOOSE(MIN(4,COUNTIF($B$18:B938,B938)),"st","nd","rd","th"),"")</f>
        <v/>
      </c>
    </row>
    <row r="939" spans="8:14" x14ac:dyDescent="0.25">
      <c r="H939" s="201" t="str">
        <f t="shared" si="15"/>
        <v/>
      </c>
      <c r="N939" s="164" t="str">
        <f>IFERROR(COUNTIF($B$18:B939,B939)&amp;CHOOSE(MIN(4,COUNTIF($B$18:B939,B939)),"st","nd","rd","th"),"")</f>
        <v/>
      </c>
    </row>
    <row r="940" spans="8:14" x14ac:dyDescent="0.25">
      <c r="H940" s="201" t="str">
        <f t="shared" si="15"/>
        <v/>
      </c>
      <c r="N940" s="164" t="str">
        <f>IFERROR(COUNTIF($B$18:B940,B940)&amp;CHOOSE(MIN(4,COUNTIF($B$18:B940,B940)),"st","nd","rd","th"),"")</f>
        <v/>
      </c>
    </row>
    <row r="941" spans="8:14" x14ac:dyDescent="0.25">
      <c r="H941" s="201" t="str">
        <f t="shared" si="15"/>
        <v/>
      </c>
      <c r="N941" s="164" t="str">
        <f>IFERROR(COUNTIF($B$18:B941,B941)&amp;CHOOSE(MIN(4,COUNTIF($B$18:B941,B941)),"st","nd","rd","th"),"")</f>
        <v/>
      </c>
    </row>
    <row r="942" spans="8:14" x14ac:dyDescent="0.25">
      <c r="H942" s="201" t="str">
        <f t="shared" si="15"/>
        <v/>
      </c>
      <c r="N942" s="164" t="str">
        <f>IFERROR(COUNTIF($B$18:B942,B942)&amp;CHOOSE(MIN(4,COUNTIF($B$18:B942,B942)),"st","nd","rd","th"),"")</f>
        <v/>
      </c>
    </row>
    <row r="943" spans="8:14" x14ac:dyDescent="0.25">
      <c r="H943" s="201" t="str">
        <f t="shared" si="15"/>
        <v/>
      </c>
      <c r="N943" s="164" t="str">
        <f>IFERROR(COUNTIF($B$18:B943,B943)&amp;CHOOSE(MIN(4,COUNTIF($B$18:B943,B943)),"st","nd","rd","th"),"")</f>
        <v/>
      </c>
    </row>
    <row r="944" spans="8:14" x14ac:dyDescent="0.25">
      <c r="H944" s="201" t="str">
        <f t="shared" si="15"/>
        <v/>
      </c>
      <c r="N944" s="164" t="str">
        <f>IFERROR(COUNTIF($B$18:B944,B944)&amp;CHOOSE(MIN(4,COUNTIF($B$18:B944,B944)),"st","nd","rd","th"),"")</f>
        <v/>
      </c>
    </row>
    <row r="945" spans="8:14" x14ac:dyDescent="0.25">
      <c r="H945" s="201" t="str">
        <f t="shared" si="15"/>
        <v/>
      </c>
      <c r="N945" s="164" t="str">
        <f>IFERROR(COUNTIF($B$18:B945,B945)&amp;CHOOSE(MIN(4,COUNTIF($B$18:B945,B945)),"st","nd","rd","th"),"")</f>
        <v/>
      </c>
    </row>
    <row r="946" spans="8:14" x14ac:dyDescent="0.25">
      <c r="H946" s="201" t="str">
        <f t="shared" si="15"/>
        <v/>
      </c>
      <c r="N946" s="164" t="str">
        <f>IFERROR(COUNTIF($B$18:B946,B946)&amp;CHOOSE(MIN(4,COUNTIF($B$18:B946,B946)),"st","nd","rd","th"),"")</f>
        <v/>
      </c>
    </row>
    <row r="947" spans="8:14" x14ac:dyDescent="0.25">
      <c r="H947" s="201" t="str">
        <f t="shared" si="15"/>
        <v/>
      </c>
      <c r="N947" s="164" t="str">
        <f>IFERROR(COUNTIF($B$18:B947,B947)&amp;CHOOSE(MIN(4,COUNTIF($B$18:B947,B947)),"st","nd","rd","th"),"")</f>
        <v/>
      </c>
    </row>
    <row r="948" spans="8:14" x14ac:dyDescent="0.25">
      <c r="H948" s="201" t="str">
        <f t="shared" si="15"/>
        <v/>
      </c>
      <c r="N948" s="164" t="str">
        <f>IFERROR(COUNTIF($B$18:B948,B948)&amp;CHOOSE(MIN(4,COUNTIF($B$18:B948,B948)),"st","nd","rd","th"),"")</f>
        <v/>
      </c>
    </row>
    <row r="949" spans="8:14" x14ac:dyDescent="0.25">
      <c r="H949" s="201" t="str">
        <f t="shared" si="15"/>
        <v/>
      </c>
      <c r="N949" s="164" t="str">
        <f>IFERROR(COUNTIF($B$18:B949,B949)&amp;CHOOSE(MIN(4,COUNTIF($B$18:B949,B949)),"st","nd","rd","th"),"")</f>
        <v/>
      </c>
    </row>
    <row r="950" spans="8:14" x14ac:dyDescent="0.25">
      <c r="H950" s="201" t="str">
        <f t="shared" si="15"/>
        <v/>
      </c>
      <c r="N950" s="164" t="str">
        <f>IFERROR(COUNTIF($B$18:B950,B950)&amp;CHOOSE(MIN(4,COUNTIF($B$18:B950,B950)),"st","nd","rd","th"),"")</f>
        <v/>
      </c>
    </row>
    <row r="951" spans="8:14" x14ac:dyDescent="0.25">
      <c r="H951" s="201" t="str">
        <f t="shared" si="15"/>
        <v/>
      </c>
      <c r="N951" s="164" t="str">
        <f>IFERROR(COUNTIF($B$18:B951,B951)&amp;CHOOSE(MIN(4,COUNTIF($B$18:B951,B951)),"st","nd","rd","th"),"")</f>
        <v/>
      </c>
    </row>
    <row r="952" spans="8:14" x14ac:dyDescent="0.25">
      <c r="H952" s="201" t="str">
        <f t="shared" si="15"/>
        <v/>
      </c>
      <c r="N952" s="164" t="str">
        <f>IFERROR(COUNTIF($B$18:B952,B952)&amp;CHOOSE(MIN(4,COUNTIF($B$18:B952,B952)),"st","nd","rd","th"),"")</f>
        <v/>
      </c>
    </row>
    <row r="953" spans="8:14" x14ac:dyDescent="0.25">
      <c r="H953" s="201" t="str">
        <f t="shared" si="15"/>
        <v/>
      </c>
      <c r="N953" s="164" t="str">
        <f>IFERROR(COUNTIF($B$18:B953,B953)&amp;CHOOSE(MIN(4,COUNTIF($B$18:B953,B953)),"st","nd","rd","th"),"")</f>
        <v/>
      </c>
    </row>
    <row r="954" spans="8:14" x14ac:dyDescent="0.25">
      <c r="H954" s="201" t="str">
        <f t="shared" si="15"/>
        <v/>
      </c>
      <c r="N954" s="164" t="str">
        <f>IFERROR(COUNTIF($B$18:B954,B954)&amp;CHOOSE(MIN(4,COUNTIF($B$18:B954,B954)),"st","nd","rd","th"),"")</f>
        <v/>
      </c>
    </row>
    <row r="955" spans="8:14" x14ac:dyDescent="0.25">
      <c r="H955" s="201" t="str">
        <f t="shared" si="15"/>
        <v/>
      </c>
      <c r="N955" s="164" t="str">
        <f>IFERROR(COUNTIF($B$18:B955,B955)&amp;CHOOSE(MIN(4,COUNTIF($B$18:B955,B955)),"st","nd","rd","th"),"")</f>
        <v/>
      </c>
    </row>
    <row r="956" spans="8:14" x14ac:dyDescent="0.25">
      <c r="H956" s="201" t="str">
        <f t="shared" si="15"/>
        <v/>
      </c>
      <c r="N956" s="164" t="str">
        <f>IFERROR(COUNTIF($B$18:B956,B956)&amp;CHOOSE(MIN(4,COUNTIF($B$18:B956,B956)),"st","nd","rd","th"),"")</f>
        <v/>
      </c>
    </row>
    <row r="957" spans="8:14" x14ac:dyDescent="0.25">
      <c r="H957" s="201" t="str">
        <f t="shared" si="15"/>
        <v/>
      </c>
      <c r="N957" s="164" t="str">
        <f>IFERROR(COUNTIF($B$18:B957,B957)&amp;CHOOSE(MIN(4,COUNTIF($B$18:B957,B957)),"st","nd","rd","th"),"")</f>
        <v/>
      </c>
    </row>
    <row r="958" spans="8:14" x14ac:dyDescent="0.25">
      <c r="H958" s="201" t="str">
        <f t="shared" si="15"/>
        <v/>
      </c>
      <c r="N958" s="164" t="str">
        <f>IFERROR(COUNTIF($B$18:B958,B958)&amp;CHOOSE(MIN(4,COUNTIF($B$18:B958,B958)),"st","nd","rd","th"),"")</f>
        <v/>
      </c>
    </row>
    <row r="959" spans="8:14" x14ac:dyDescent="0.25">
      <c r="H959" s="201" t="str">
        <f t="shared" si="15"/>
        <v/>
      </c>
      <c r="N959" s="164" t="str">
        <f>IFERROR(COUNTIF($B$18:B959,B959)&amp;CHOOSE(MIN(4,COUNTIF($B$18:B959,B959)),"st","nd","rd","th"),"")</f>
        <v/>
      </c>
    </row>
    <row r="960" spans="8:14" x14ac:dyDescent="0.25">
      <c r="H960" s="201" t="str">
        <f t="shared" si="15"/>
        <v/>
      </c>
      <c r="N960" s="164" t="str">
        <f>IFERROR(COUNTIF($B$18:B960,B960)&amp;CHOOSE(MIN(4,COUNTIF($B$18:B960,B960)),"st","nd","rd","th"),"")</f>
        <v/>
      </c>
    </row>
    <row r="961" spans="8:14" x14ac:dyDescent="0.25">
      <c r="H961" s="201" t="str">
        <f t="shared" si="15"/>
        <v/>
      </c>
      <c r="N961" s="164" t="str">
        <f>IFERROR(COUNTIF($B$18:B961,B961)&amp;CHOOSE(MIN(4,COUNTIF($B$18:B961,B961)),"st","nd","rd","th"),"")</f>
        <v/>
      </c>
    </row>
    <row r="962" spans="8:14" x14ac:dyDescent="0.25">
      <c r="H962" s="201" t="str">
        <f t="shared" si="15"/>
        <v/>
      </c>
      <c r="N962" s="164" t="str">
        <f>IFERROR(COUNTIF($B$18:B962,B962)&amp;CHOOSE(MIN(4,COUNTIF($B$18:B962,B962)),"st","nd","rd","th"),"")</f>
        <v/>
      </c>
    </row>
    <row r="963" spans="8:14" x14ac:dyDescent="0.25">
      <c r="H963" s="201" t="str">
        <f t="shared" si="15"/>
        <v/>
      </c>
      <c r="N963" s="164" t="str">
        <f>IFERROR(COUNTIF($B$18:B963,B963)&amp;CHOOSE(MIN(4,COUNTIF($B$18:B963,B963)),"st","nd","rd","th"),"")</f>
        <v/>
      </c>
    </row>
    <row r="964" spans="8:14" x14ac:dyDescent="0.25">
      <c r="H964" s="201" t="str">
        <f t="shared" si="15"/>
        <v/>
      </c>
      <c r="N964" s="164" t="str">
        <f>IFERROR(COUNTIF($B$18:B964,B964)&amp;CHOOSE(MIN(4,COUNTIF($B$18:B964,B964)),"st","nd","rd","th"),"")</f>
        <v/>
      </c>
    </row>
    <row r="965" spans="8:14" x14ac:dyDescent="0.25">
      <c r="H965" s="201" t="str">
        <f t="shared" si="15"/>
        <v/>
      </c>
      <c r="N965" s="164" t="str">
        <f>IFERROR(COUNTIF($B$18:B965,B965)&amp;CHOOSE(MIN(4,COUNTIF($B$18:B965,B965)),"st","nd","rd","th"),"")</f>
        <v/>
      </c>
    </row>
    <row r="966" spans="8:14" x14ac:dyDescent="0.25">
      <c r="H966" s="201" t="str">
        <f t="shared" si="15"/>
        <v/>
      </c>
      <c r="N966" s="164" t="str">
        <f>IFERROR(COUNTIF($B$18:B966,B966)&amp;CHOOSE(MIN(4,COUNTIF($B$18:B966,B966)),"st","nd","rd","th"),"")</f>
        <v/>
      </c>
    </row>
    <row r="967" spans="8:14" x14ac:dyDescent="0.25">
      <c r="H967" s="201" t="str">
        <f t="shared" si="15"/>
        <v/>
      </c>
      <c r="N967" s="164" t="str">
        <f>IFERROR(COUNTIF($B$18:B967,B967)&amp;CHOOSE(MIN(4,COUNTIF($B$18:B967,B967)),"st","nd","rd","th"),"")</f>
        <v/>
      </c>
    </row>
    <row r="968" spans="8:14" x14ac:dyDescent="0.25">
      <c r="H968" s="201" t="str">
        <f t="shared" si="15"/>
        <v/>
      </c>
      <c r="N968" s="164" t="str">
        <f>IFERROR(COUNTIF($B$18:B968,B968)&amp;CHOOSE(MIN(4,COUNTIF($B$18:B968,B968)),"st","nd","rd","th"),"")</f>
        <v/>
      </c>
    </row>
    <row r="969" spans="8:14" x14ac:dyDescent="0.25">
      <c r="H969" s="201" t="str">
        <f t="shared" si="15"/>
        <v/>
      </c>
      <c r="N969" s="164" t="str">
        <f>IFERROR(COUNTIF($B$18:B969,B969)&amp;CHOOSE(MIN(4,COUNTIF($B$18:B969,B969)),"st","nd","rd","th"),"")</f>
        <v/>
      </c>
    </row>
    <row r="970" spans="8:14" x14ac:dyDescent="0.25">
      <c r="H970" s="201" t="str">
        <f t="shared" si="15"/>
        <v/>
      </c>
      <c r="N970" s="164" t="str">
        <f>IFERROR(COUNTIF($B$18:B970,B970)&amp;CHOOSE(MIN(4,COUNTIF($B$18:B970,B970)),"st","nd","rd","th"),"")</f>
        <v/>
      </c>
    </row>
    <row r="971" spans="8:14" x14ac:dyDescent="0.25">
      <c r="H971" s="201" t="str">
        <f t="shared" si="15"/>
        <v/>
      </c>
      <c r="N971" s="164" t="str">
        <f>IFERROR(COUNTIF($B$18:B971,B971)&amp;CHOOSE(MIN(4,COUNTIF($B$18:B971,B971)),"st","nd","rd","th"),"")</f>
        <v/>
      </c>
    </row>
    <row r="972" spans="8:14" x14ac:dyDescent="0.25">
      <c r="H972" s="201" t="str">
        <f t="shared" si="15"/>
        <v/>
      </c>
      <c r="N972" s="164" t="str">
        <f>IFERROR(COUNTIF($B$18:B972,B972)&amp;CHOOSE(MIN(4,COUNTIF($B$18:B972,B972)),"st","nd","rd","th"),"")</f>
        <v/>
      </c>
    </row>
    <row r="973" spans="8:14" x14ac:dyDescent="0.25">
      <c r="H973" s="201" t="str">
        <f t="shared" si="15"/>
        <v/>
      </c>
      <c r="N973" s="164" t="str">
        <f>IFERROR(COUNTIF($B$18:B973,B973)&amp;CHOOSE(MIN(4,COUNTIF($B$18:B973,B973)),"st","nd","rd","th"),"")</f>
        <v/>
      </c>
    </row>
    <row r="974" spans="8:14" x14ac:dyDescent="0.25">
      <c r="H974" s="201" t="str">
        <f t="shared" si="15"/>
        <v/>
      </c>
      <c r="N974" s="164" t="str">
        <f>IFERROR(COUNTIF($B$18:B974,B974)&amp;CHOOSE(MIN(4,COUNTIF($B$18:B974,B974)),"st","nd","rd","th"),"")</f>
        <v/>
      </c>
    </row>
    <row r="975" spans="8:14" x14ac:dyDescent="0.25">
      <c r="H975" s="201" t="str">
        <f t="shared" si="15"/>
        <v/>
      </c>
      <c r="N975" s="164" t="str">
        <f>IFERROR(COUNTIF($B$18:B975,B975)&amp;CHOOSE(MIN(4,COUNTIF($B$18:B975,B975)),"st","nd","rd","th"),"")</f>
        <v/>
      </c>
    </row>
    <row r="976" spans="8:14" x14ac:dyDescent="0.25">
      <c r="H976" s="201" t="str">
        <f t="shared" si="15"/>
        <v/>
      </c>
      <c r="N976" s="164" t="str">
        <f>IFERROR(COUNTIF($B$18:B976,B976)&amp;CHOOSE(MIN(4,COUNTIF($B$18:B976,B976)),"st","nd","rd","th"),"")</f>
        <v/>
      </c>
    </row>
    <row r="977" spans="8:14" x14ac:dyDescent="0.25">
      <c r="H977" s="201" t="str">
        <f t="shared" si="15"/>
        <v/>
      </c>
      <c r="N977" s="164" t="str">
        <f>IFERROR(COUNTIF($B$18:B977,B977)&amp;CHOOSE(MIN(4,COUNTIF($B$18:B977,B977)),"st","nd","rd","th"),"")</f>
        <v/>
      </c>
    </row>
    <row r="978" spans="8:14" x14ac:dyDescent="0.25">
      <c r="H978" s="201" t="str">
        <f t="shared" si="15"/>
        <v/>
      </c>
      <c r="N978" s="164" t="str">
        <f>IFERROR(COUNTIF($B$18:B978,B978)&amp;CHOOSE(MIN(4,COUNTIF($B$18:B978,B978)),"st","nd","rd","th"),"")</f>
        <v/>
      </c>
    </row>
    <row r="979" spans="8:14" x14ac:dyDescent="0.25">
      <c r="H979" s="201" t="str">
        <f t="shared" ref="H979:H1000" si="16">IF(OR(ISBLANK(G979), ISBLANK(F979)), "", IF(G979=F979, 1, SUM(_xlfn.DAYS(G979, F979), 1)))</f>
        <v/>
      </c>
      <c r="N979" s="164" t="str">
        <f>IFERROR(COUNTIF($B$18:B979,B979)&amp;CHOOSE(MIN(4,COUNTIF($B$18:B979,B979)),"st","nd","rd","th"),"")</f>
        <v/>
      </c>
    </row>
    <row r="980" spans="8:14" x14ac:dyDescent="0.25">
      <c r="H980" s="201" t="str">
        <f t="shared" si="16"/>
        <v/>
      </c>
      <c r="N980" s="164" t="str">
        <f>IFERROR(COUNTIF($B$18:B980,B980)&amp;CHOOSE(MIN(4,COUNTIF($B$18:B980,B980)),"st","nd","rd","th"),"")</f>
        <v/>
      </c>
    </row>
    <row r="981" spans="8:14" x14ac:dyDescent="0.25">
      <c r="H981" s="201" t="str">
        <f t="shared" si="16"/>
        <v/>
      </c>
      <c r="N981" s="164" t="str">
        <f>IFERROR(COUNTIF($B$18:B981,B981)&amp;CHOOSE(MIN(4,COUNTIF($B$18:B981,B981)),"st","nd","rd","th"),"")</f>
        <v/>
      </c>
    </row>
    <row r="982" spans="8:14" x14ac:dyDescent="0.25">
      <c r="H982" s="201" t="str">
        <f t="shared" si="16"/>
        <v/>
      </c>
      <c r="N982" s="164" t="str">
        <f>IFERROR(COUNTIF($B$18:B982,B982)&amp;CHOOSE(MIN(4,COUNTIF($B$18:B982,B982)),"st","nd","rd","th"),"")</f>
        <v/>
      </c>
    </row>
    <row r="983" spans="8:14" x14ac:dyDescent="0.25">
      <c r="H983" s="201" t="str">
        <f t="shared" si="16"/>
        <v/>
      </c>
      <c r="N983" s="164" t="str">
        <f>IFERROR(COUNTIF($B$18:B983,B983)&amp;CHOOSE(MIN(4,COUNTIF($B$18:B983,B983)),"st","nd","rd","th"),"")</f>
        <v/>
      </c>
    </row>
    <row r="984" spans="8:14" x14ac:dyDescent="0.25">
      <c r="H984" s="201" t="str">
        <f t="shared" si="16"/>
        <v/>
      </c>
      <c r="N984" s="164" t="str">
        <f>IFERROR(COUNTIF($B$18:B984,B984)&amp;CHOOSE(MIN(4,COUNTIF($B$18:B984,B984)),"st","nd","rd","th"),"")</f>
        <v/>
      </c>
    </row>
    <row r="985" spans="8:14" x14ac:dyDescent="0.25">
      <c r="H985" s="201" t="str">
        <f t="shared" si="16"/>
        <v/>
      </c>
      <c r="N985" s="164" t="str">
        <f>IFERROR(COUNTIF($B$18:B985,B985)&amp;CHOOSE(MIN(4,COUNTIF($B$18:B985,B985)),"st","nd","rd","th"),"")</f>
        <v/>
      </c>
    </row>
    <row r="986" spans="8:14" x14ac:dyDescent="0.25">
      <c r="H986" s="201" t="str">
        <f t="shared" si="16"/>
        <v/>
      </c>
      <c r="N986" s="164" t="str">
        <f>IFERROR(COUNTIF($B$18:B986,B986)&amp;CHOOSE(MIN(4,COUNTIF($B$18:B986,B986)),"st","nd","rd","th"),"")</f>
        <v/>
      </c>
    </row>
    <row r="987" spans="8:14" x14ac:dyDescent="0.25">
      <c r="H987" s="201" t="str">
        <f t="shared" si="16"/>
        <v/>
      </c>
      <c r="N987" s="164" t="str">
        <f>IFERROR(COUNTIF($B$18:B987,B987)&amp;CHOOSE(MIN(4,COUNTIF($B$18:B987,B987)),"st","nd","rd","th"),"")</f>
        <v/>
      </c>
    </row>
    <row r="988" spans="8:14" x14ac:dyDescent="0.25">
      <c r="H988" s="201" t="str">
        <f t="shared" si="16"/>
        <v/>
      </c>
      <c r="N988" s="164" t="str">
        <f>IFERROR(COUNTIF($B$18:B988,B988)&amp;CHOOSE(MIN(4,COUNTIF($B$18:B988,B988)),"st","nd","rd","th"),"")</f>
        <v/>
      </c>
    </row>
    <row r="989" spans="8:14" x14ac:dyDescent="0.25">
      <c r="H989" s="201" t="str">
        <f t="shared" si="16"/>
        <v/>
      </c>
      <c r="N989" s="164" t="str">
        <f>IFERROR(COUNTIF($B$18:B989,B989)&amp;CHOOSE(MIN(4,COUNTIF($B$18:B989,B989)),"st","nd","rd","th"),"")</f>
        <v/>
      </c>
    </row>
    <row r="990" spans="8:14" x14ac:dyDescent="0.25">
      <c r="H990" s="201" t="str">
        <f t="shared" si="16"/>
        <v/>
      </c>
      <c r="N990" s="164" t="str">
        <f>IFERROR(COUNTIF($B$18:B990,B990)&amp;CHOOSE(MIN(4,COUNTIF($B$18:B990,B990)),"st","nd","rd","th"),"")</f>
        <v/>
      </c>
    </row>
    <row r="991" spans="8:14" x14ac:dyDescent="0.25">
      <c r="H991" s="201" t="str">
        <f t="shared" si="16"/>
        <v/>
      </c>
      <c r="N991" s="164" t="str">
        <f>IFERROR(COUNTIF($B$18:B991,B991)&amp;CHOOSE(MIN(4,COUNTIF($B$18:B991,B991)),"st","nd","rd","th"),"")</f>
        <v/>
      </c>
    </row>
    <row r="992" spans="8:14" x14ac:dyDescent="0.25">
      <c r="H992" s="201" t="str">
        <f t="shared" si="16"/>
        <v/>
      </c>
      <c r="N992" s="164" t="str">
        <f>IFERROR(COUNTIF($B$18:B992,B992)&amp;CHOOSE(MIN(4,COUNTIF($B$18:B992,B992)),"st","nd","rd","th"),"")</f>
        <v/>
      </c>
    </row>
    <row r="993" spans="8:14" x14ac:dyDescent="0.25">
      <c r="H993" s="201" t="str">
        <f t="shared" si="16"/>
        <v/>
      </c>
      <c r="N993" s="164" t="str">
        <f>IFERROR(COUNTIF($B$18:B993,B993)&amp;CHOOSE(MIN(4,COUNTIF($B$18:B993,B993)),"st","nd","rd","th"),"")</f>
        <v/>
      </c>
    </row>
    <row r="994" spans="8:14" x14ac:dyDescent="0.25">
      <c r="H994" s="201" t="str">
        <f t="shared" si="16"/>
        <v/>
      </c>
      <c r="N994" s="164" t="str">
        <f>IFERROR(COUNTIF($B$18:B994,B994)&amp;CHOOSE(MIN(4,COUNTIF($B$18:B994,B994)),"st","nd","rd","th"),"")</f>
        <v/>
      </c>
    </row>
    <row r="995" spans="8:14" x14ac:dyDescent="0.25">
      <c r="H995" s="201" t="str">
        <f t="shared" si="16"/>
        <v/>
      </c>
      <c r="N995" s="164" t="str">
        <f>IFERROR(COUNTIF($B$18:B995,B995)&amp;CHOOSE(MIN(4,COUNTIF($B$18:B995,B995)),"st","nd","rd","th"),"")</f>
        <v/>
      </c>
    </row>
    <row r="996" spans="8:14" x14ac:dyDescent="0.25">
      <c r="H996" s="201" t="str">
        <f t="shared" si="16"/>
        <v/>
      </c>
      <c r="N996" s="164" t="str">
        <f>IFERROR(COUNTIF($B$18:B996,B996)&amp;CHOOSE(MIN(4,COUNTIF($B$18:B996,B996)),"st","nd","rd","th"),"")</f>
        <v/>
      </c>
    </row>
    <row r="997" spans="8:14" x14ac:dyDescent="0.25">
      <c r="H997" s="201" t="str">
        <f t="shared" si="16"/>
        <v/>
      </c>
      <c r="N997" s="164" t="str">
        <f>IFERROR(COUNTIF($B$18:B997,B997)&amp;CHOOSE(MIN(4,COUNTIF($B$18:B997,B997)),"st","nd","rd","th"),"")</f>
        <v/>
      </c>
    </row>
    <row r="998" spans="8:14" x14ac:dyDescent="0.25">
      <c r="H998" s="201" t="str">
        <f t="shared" si="16"/>
        <v/>
      </c>
      <c r="N998" s="164" t="str">
        <f>IFERROR(COUNTIF($B$18:B998,B998)&amp;CHOOSE(MIN(4,COUNTIF($B$18:B998,B998)),"st","nd","rd","th"),"")</f>
        <v/>
      </c>
    </row>
    <row r="999" spans="8:14" x14ac:dyDescent="0.25">
      <c r="H999" s="201" t="str">
        <f t="shared" si="16"/>
        <v/>
      </c>
      <c r="N999" s="164" t="str">
        <f>IFERROR(COUNTIF($B$18:B999,B999)&amp;CHOOSE(MIN(4,COUNTIF($B$18:B999,B999)),"st","nd","rd","th"),"")</f>
        <v/>
      </c>
    </row>
    <row r="1000" spans="8:14" x14ac:dyDescent="0.25">
      <c r="H1000" s="201" t="str">
        <f t="shared" si="16"/>
        <v/>
      </c>
      <c r="N1000" s="164" t="str">
        <f>IFERROR(COUNTIF($B$18:B1000,B1000)&amp;CHOOSE(MIN(4,COUNTIF($B$18:B1000,B1000)),"st","nd","rd","th"),"")</f>
        <v/>
      </c>
    </row>
  </sheetData>
  <mergeCells count="4">
    <mergeCell ref="B5:V5"/>
    <mergeCell ref="B6:V6"/>
    <mergeCell ref="B7:V7"/>
    <mergeCell ref="B8:V8"/>
  </mergeCells>
  <hyperlinks>
    <hyperlink ref="D1" location="'Accomplishment 2025'!A1" display="Back to Summary of Accomplishments 2025" xr:uid="{AE925BC8-1F36-40C7-B357-777BEBCA0531}"/>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988AB0DA-F136-4171-BA1C-4FCB4B1E880E}">
          <x14:formula1>
            <xm:f>Picklists!$A$3:$A$14</xm:f>
          </x14:formula1>
          <xm:sqref>L18:L1000</xm:sqref>
        </x14:dataValidation>
        <x14:dataValidation type="list" allowBlank="1" showInputMessage="1" showErrorMessage="1" xr:uid="{DC07C574-5641-4769-8899-73D4AEDAC613}">
          <x14:formula1>
            <xm:f>Picklists!$A$39:$A$44</xm:f>
          </x14:formula1>
          <xm:sqref>C18:C1048576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5A81-08B1-4200-93D4-D4F973E7CDA5}">
  <sheetPr codeName="Sheet42">
    <tabColor rgb="FFC00000"/>
  </sheetPr>
  <dimension ref="A1:P12"/>
  <sheetViews>
    <sheetView topLeftCell="A8" zoomScale="80" zoomScaleNormal="80" workbookViewId="0">
      <selection activeCell="B7" sqref="B7:P7"/>
    </sheetView>
  </sheetViews>
  <sheetFormatPr defaultColWidth="8.88671875" defaultRowHeight="13.8" x14ac:dyDescent="0.25"/>
  <cols>
    <col min="1" max="1" width="3.6640625" style="164" customWidth="1"/>
    <col min="2" max="2" width="37.44140625" style="164" customWidth="1"/>
    <col min="3" max="3" width="52.88671875" style="164" bestFit="1" customWidth="1"/>
    <col min="4" max="5" width="34.33203125" style="164" customWidth="1"/>
    <col min="6" max="6" width="39.5546875" style="172" customWidth="1"/>
    <col min="7" max="7" width="21.44140625" style="164" customWidth="1"/>
    <col min="8" max="8" width="31.6640625" style="164" customWidth="1"/>
    <col min="9" max="16384" width="8.88671875" style="164"/>
  </cols>
  <sheetData>
    <row r="1" spans="1:16" s="32" customFormat="1" ht="14.4" x14ac:dyDescent="0.3">
      <c r="A1" s="173" t="s">
        <v>5090</v>
      </c>
      <c r="C1" s="174" t="s">
        <v>1673</v>
      </c>
    </row>
    <row r="2" spans="1:16" s="32" customFormat="1" x14ac:dyDescent="0.25">
      <c r="A2" s="176"/>
      <c r="B2" s="35"/>
      <c r="C2" s="35"/>
      <c r="D2" s="35"/>
      <c r="E2" s="35"/>
      <c r="F2" s="35"/>
      <c r="G2" s="35"/>
      <c r="H2" s="35"/>
    </row>
    <row r="3" spans="1:16" s="32" customFormat="1" x14ac:dyDescent="0.25">
      <c r="A3" s="363">
        <v>15</v>
      </c>
      <c r="B3" s="364" t="s">
        <v>5269</v>
      </c>
      <c r="C3" s="364"/>
      <c r="D3" s="364"/>
      <c r="E3" s="364"/>
      <c r="F3" s="364"/>
      <c r="G3" s="364"/>
      <c r="H3" s="364"/>
    </row>
    <row r="4" spans="1:16" s="32" customFormat="1" x14ac:dyDescent="0.25">
      <c r="A4" s="178"/>
      <c r="B4" s="206" t="s">
        <v>5270</v>
      </c>
      <c r="C4" s="206"/>
      <c r="D4" s="206"/>
      <c r="E4" s="206"/>
      <c r="F4" s="206"/>
      <c r="G4" s="206"/>
      <c r="H4" s="206"/>
    </row>
    <row r="5" spans="1:16" s="32" customFormat="1" ht="28.95" customHeight="1" x14ac:dyDescent="0.25">
      <c r="A5" s="178"/>
      <c r="B5" s="599" t="s">
        <v>5271</v>
      </c>
      <c r="C5" s="599"/>
      <c r="D5" s="599"/>
      <c r="E5" s="599"/>
      <c r="F5" s="599"/>
      <c r="G5" s="599"/>
      <c r="H5" s="599"/>
      <c r="I5" s="599"/>
      <c r="J5" s="599"/>
      <c r="K5" s="599"/>
      <c r="L5" s="599"/>
      <c r="M5" s="599"/>
      <c r="N5" s="599"/>
      <c r="O5" s="599"/>
      <c r="P5" s="599"/>
    </row>
    <row r="6" spans="1:16" s="32" customFormat="1" x14ac:dyDescent="0.25">
      <c r="A6" s="178"/>
      <c r="B6" s="601" t="s">
        <v>5272</v>
      </c>
      <c r="C6" s="601"/>
      <c r="D6" s="601"/>
      <c r="E6" s="601"/>
      <c r="F6" s="601"/>
      <c r="G6" s="601"/>
      <c r="H6" s="601"/>
      <c r="I6" s="601"/>
      <c r="J6" s="601"/>
      <c r="K6" s="601"/>
      <c r="L6" s="601"/>
      <c r="M6" s="601"/>
      <c r="N6" s="601"/>
      <c r="O6" s="601"/>
      <c r="P6" s="601"/>
    </row>
    <row r="7" spans="1:16" s="32" customFormat="1" x14ac:dyDescent="0.25">
      <c r="B7" s="613" t="s">
        <v>5273</v>
      </c>
      <c r="C7" s="602"/>
      <c r="D7" s="602"/>
      <c r="E7" s="602"/>
      <c r="F7" s="602"/>
      <c r="G7" s="602"/>
      <c r="H7" s="602"/>
      <c r="I7" s="602"/>
      <c r="J7" s="602"/>
      <c r="K7" s="602"/>
      <c r="L7" s="602"/>
      <c r="M7" s="602"/>
      <c r="N7" s="602"/>
      <c r="O7" s="602"/>
      <c r="P7" s="602"/>
    </row>
    <row r="8" spans="1:16" s="32" customFormat="1" x14ac:dyDescent="0.25">
      <c r="B8" s="173"/>
      <c r="C8" s="173"/>
      <c r="D8" s="173"/>
      <c r="E8" s="173"/>
      <c r="F8" s="173"/>
      <c r="G8" s="173"/>
      <c r="H8" s="173"/>
      <c r="I8" s="173"/>
      <c r="J8" s="173"/>
      <c r="K8" s="173"/>
      <c r="L8" s="173"/>
      <c r="M8" s="173"/>
      <c r="N8" s="173"/>
      <c r="O8" s="173"/>
      <c r="P8" s="173"/>
    </row>
    <row r="9" spans="1:16" s="32" customFormat="1" x14ac:dyDescent="0.25">
      <c r="B9" s="179" t="s">
        <v>5274</v>
      </c>
      <c r="C9" s="179"/>
      <c r="D9" s="179"/>
      <c r="E9" s="179"/>
      <c r="F9" s="181">
        <f>COUNTA(B13:B1000)</f>
        <v>0</v>
      </c>
      <c r="G9" s="203"/>
      <c r="H9" s="203"/>
      <c r="I9" s="173"/>
      <c r="J9" s="173"/>
      <c r="K9" s="173"/>
      <c r="L9" s="173"/>
      <c r="M9" s="173"/>
      <c r="N9" s="173"/>
      <c r="O9" s="173"/>
      <c r="P9" s="173"/>
    </row>
    <row r="10" spans="1:16" s="32" customFormat="1" x14ac:dyDescent="0.25">
      <c r="B10" s="173"/>
      <c r="C10" s="173"/>
      <c r="D10" s="173"/>
      <c r="E10" s="173"/>
      <c r="F10" s="173"/>
      <c r="G10" s="173"/>
      <c r="H10" s="173"/>
      <c r="I10" s="173"/>
      <c r="J10" s="173"/>
      <c r="K10" s="173"/>
      <c r="L10" s="173"/>
      <c r="M10" s="173"/>
      <c r="N10" s="173"/>
      <c r="O10" s="173"/>
      <c r="P10" s="173"/>
    </row>
    <row r="11" spans="1:16" s="32" customFormat="1" x14ac:dyDescent="0.25"/>
    <row r="12" spans="1:16" s="182" customFormat="1" ht="62.4" customHeight="1" x14ac:dyDescent="0.25">
      <c r="B12" s="184" t="s">
        <v>5275</v>
      </c>
      <c r="C12" s="183" t="s">
        <v>5276</v>
      </c>
      <c r="D12" s="183" t="s">
        <v>5277</v>
      </c>
      <c r="E12" s="184" t="s">
        <v>5278</v>
      </c>
      <c r="F12" s="184" t="s">
        <v>5279</v>
      </c>
      <c r="G12" s="183" t="s">
        <v>1685</v>
      </c>
      <c r="H12" s="184" t="s">
        <v>1686</v>
      </c>
    </row>
  </sheetData>
  <mergeCells count="3">
    <mergeCell ref="B5:P5"/>
    <mergeCell ref="B6:P6"/>
    <mergeCell ref="B7:P7"/>
  </mergeCells>
  <hyperlinks>
    <hyperlink ref="C1" location="'Accomplishment 2025'!A1" display="Back to Summary of Accomplishments 2025" xr:uid="{A08D95A0-5DF9-4404-9349-6BE93ED7A031}"/>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988EE9F-A2A9-409F-A3B4-976585293D52}">
          <x14:formula1>
            <xm:f>Picklists!$A$3:$A$14</xm:f>
          </x14:formula1>
          <xm:sqref>G13:G1048576</xm:sqref>
        </x14:dataValidation>
        <x14:dataValidation type="list" allowBlank="1" showInputMessage="1" showErrorMessage="1" xr:uid="{ADCCE688-86C4-4500-825F-E9DA7660728C}">
          <x14:formula1>
            <xm:f>Picklists!$A$129:$A$131</xm:f>
          </x14:formula1>
          <xm:sqref>E13:E1048576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A372C-756A-488A-9ED6-B6A806BC0379}">
  <sheetPr codeName="Sheet27">
    <tabColor rgb="FF96EAF8"/>
  </sheetPr>
  <dimension ref="A1:T1004"/>
  <sheetViews>
    <sheetView topLeftCell="K8" zoomScale="60" zoomScaleNormal="60" workbookViewId="0">
      <selection activeCell="P24" sqref="P24"/>
    </sheetView>
  </sheetViews>
  <sheetFormatPr defaultColWidth="8.88671875" defaultRowHeight="13.8" x14ac:dyDescent="0.25"/>
  <cols>
    <col min="1" max="1" width="11.6640625" style="164" customWidth="1"/>
    <col min="2" max="2" width="38.88671875" style="164" customWidth="1"/>
    <col min="3" max="3" width="14.6640625" style="164" customWidth="1"/>
    <col min="4" max="4" width="23.109375" style="201" customWidth="1"/>
    <col min="5" max="5" width="8.88671875" style="164" customWidth="1"/>
    <col min="6" max="6" width="23.44140625" style="205" customWidth="1"/>
    <col min="7" max="7" width="20.44140625" style="205" customWidth="1"/>
    <col min="8" max="8" width="26" style="202" customWidth="1"/>
    <col min="9" max="9" width="26.6640625" style="201" customWidth="1"/>
    <col min="10" max="10" width="20.88671875" style="164" customWidth="1"/>
    <col min="11" max="11" width="8.88671875" style="164" customWidth="1"/>
    <col min="12" max="12" width="16.88671875" style="201" customWidth="1"/>
    <col min="13" max="13" width="8.88671875" style="164" customWidth="1"/>
    <col min="14" max="16384" width="8.88671875" style="164"/>
  </cols>
  <sheetData>
    <row r="1" spans="1:20" s="32" customFormat="1" ht="14.4" x14ac:dyDescent="0.3">
      <c r="A1" s="173" t="s">
        <v>5090</v>
      </c>
      <c r="C1" s="174" t="s">
        <v>1673</v>
      </c>
      <c r="D1" s="38"/>
      <c r="L1" s="38"/>
    </row>
    <row r="2" spans="1:20" s="32" customFormat="1" x14ac:dyDescent="0.25">
      <c r="A2" s="176"/>
      <c r="B2" s="35"/>
      <c r="C2" s="35"/>
      <c r="D2" s="182"/>
      <c r="E2" s="35"/>
      <c r="L2" s="38"/>
    </row>
    <row r="3" spans="1:20" s="32" customFormat="1" x14ac:dyDescent="0.25">
      <c r="A3" s="363">
        <v>16</v>
      </c>
      <c r="B3" s="364" t="s">
        <v>1609</v>
      </c>
      <c r="C3" s="364"/>
      <c r="D3" s="365"/>
      <c r="E3" s="364"/>
      <c r="L3" s="38"/>
    </row>
    <row r="4" spans="1:20" s="32" customFormat="1" x14ac:dyDescent="0.25">
      <c r="A4" s="178"/>
      <c r="B4" s="206" t="s">
        <v>1611</v>
      </c>
      <c r="C4" s="206"/>
      <c r="D4" s="366"/>
      <c r="E4" s="206"/>
      <c r="L4" s="38"/>
    </row>
    <row r="5" spans="1:20" s="32" customFormat="1" ht="63" customHeight="1" x14ac:dyDescent="0.25">
      <c r="A5" s="178"/>
      <c r="B5" s="599" t="s">
        <v>5280</v>
      </c>
      <c r="C5" s="599"/>
      <c r="D5" s="599"/>
      <c r="E5" s="599"/>
      <c r="F5" s="599"/>
      <c r="G5" s="599"/>
      <c r="H5" s="599"/>
      <c r="I5" s="599"/>
      <c r="J5" s="599"/>
      <c r="K5" s="599"/>
      <c r="L5" s="599"/>
      <c r="M5" s="599"/>
      <c r="N5" s="599"/>
      <c r="O5" s="599"/>
      <c r="P5" s="599"/>
      <c r="Q5" s="599"/>
      <c r="R5" s="599"/>
      <c r="S5" s="599"/>
      <c r="T5" s="599"/>
    </row>
    <row r="6" spans="1:20" s="32" customFormat="1" x14ac:dyDescent="0.25">
      <c r="A6" s="178"/>
      <c r="B6" s="601" t="s">
        <v>5281</v>
      </c>
      <c r="C6" s="601"/>
      <c r="D6" s="601"/>
      <c r="E6" s="601"/>
      <c r="F6" s="601"/>
      <c r="G6" s="601"/>
      <c r="H6" s="601"/>
      <c r="I6" s="601"/>
      <c r="J6" s="601"/>
      <c r="K6" s="601"/>
      <c r="L6" s="601"/>
      <c r="M6" s="601"/>
      <c r="N6" s="601"/>
      <c r="O6" s="601"/>
      <c r="P6" s="601"/>
      <c r="Q6" s="601"/>
      <c r="R6" s="601"/>
      <c r="S6" s="601"/>
      <c r="T6" s="601"/>
    </row>
    <row r="7" spans="1:20" s="32" customFormat="1" x14ac:dyDescent="0.25">
      <c r="B7" s="602" t="s">
        <v>5282</v>
      </c>
      <c r="C7" s="602"/>
      <c r="D7" s="602"/>
      <c r="E7" s="602"/>
      <c r="F7" s="602"/>
      <c r="G7" s="602"/>
      <c r="H7" s="602"/>
      <c r="I7" s="602"/>
      <c r="J7" s="602"/>
      <c r="K7" s="602"/>
      <c r="L7" s="602"/>
      <c r="M7" s="602"/>
      <c r="N7" s="602"/>
      <c r="O7" s="602"/>
      <c r="P7" s="602"/>
      <c r="Q7" s="602"/>
      <c r="R7" s="602"/>
      <c r="S7" s="602"/>
      <c r="T7" s="602"/>
    </row>
    <row r="8" spans="1:20" s="32" customFormat="1" x14ac:dyDescent="0.25">
      <c r="B8" s="173"/>
      <c r="C8" s="173"/>
      <c r="D8" s="182"/>
      <c r="E8" s="173"/>
      <c r="F8" s="173"/>
      <c r="G8" s="173"/>
      <c r="H8" s="173"/>
      <c r="I8" s="173"/>
      <c r="J8" s="173"/>
      <c r="K8" s="173"/>
      <c r="L8" s="182"/>
      <c r="M8" s="173"/>
      <c r="N8" s="173"/>
      <c r="O8" s="173"/>
      <c r="P8" s="173"/>
      <c r="Q8" s="173"/>
      <c r="R8" s="173"/>
      <c r="S8" s="173"/>
      <c r="T8" s="173"/>
    </row>
    <row r="9" spans="1:20" s="32" customFormat="1" x14ac:dyDescent="0.25">
      <c r="B9" s="206" t="s">
        <v>1612</v>
      </c>
      <c r="C9" s="206"/>
      <c r="D9" s="366"/>
      <c r="E9" s="206"/>
      <c r="L9" s="38"/>
    </row>
    <row r="10" spans="1:20" s="32" customFormat="1" ht="57.6" customHeight="1" x14ac:dyDescent="0.25">
      <c r="B10" s="599" t="s">
        <v>5283</v>
      </c>
      <c r="C10" s="599"/>
      <c r="D10" s="599"/>
      <c r="E10" s="599"/>
      <c r="F10" s="599"/>
      <c r="G10" s="599"/>
      <c r="H10" s="599"/>
      <c r="I10" s="599"/>
      <c r="J10" s="599"/>
      <c r="K10" s="599"/>
      <c r="L10" s="599"/>
      <c r="M10" s="599"/>
      <c r="N10" s="599"/>
      <c r="O10" s="599"/>
      <c r="P10" s="599"/>
      <c r="Q10" s="599"/>
      <c r="R10" s="599"/>
      <c r="S10" s="599"/>
      <c r="T10" s="599"/>
    </row>
    <row r="11" spans="1:20" s="32" customFormat="1" ht="13.95" customHeight="1" x14ac:dyDescent="0.25">
      <c r="B11" s="601" t="s">
        <v>5284</v>
      </c>
      <c r="C11" s="601"/>
      <c r="D11" s="601"/>
      <c r="E11" s="601"/>
      <c r="F11" s="601"/>
      <c r="G11" s="601"/>
      <c r="H11" s="601"/>
      <c r="I11" s="601"/>
      <c r="J11" s="601"/>
      <c r="K11" s="601"/>
      <c r="L11" s="601"/>
      <c r="M11" s="601"/>
      <c r="N11" s="601"/>
      <c r="O11" s="601"/>
      <c r="P11" s="601"/>
      <c r="Q11" s="601"/>
      <c r="R11" s="601"/>
      <c r="S11" s="601"/>
      <c r="T11" s="601"/>
    </row>
    <row r="12" spans="1:20" s="32" customFormat="1" x14ac:dyDescent="0.25">
      <c r="B12" s="602" t="s">
        <v>5285</v>
      </c>
      <c r="C12" s="602"/>
      <c r="D12" s="602"/>
      <c r="E12" s="602"/>
      <c r="F12" s="602"/>
      <c r="G12" s="602"/>
      <c r="H12" s="602"/>
      <c r="I12" s="602"/>
      <c r="J12" s="602"/>
      <c r="K12" s="602"/>
      <c r="L12" s="602"/>
      <c r="M12" s="602"/>
      <c r="N12" s="602"/>
      <c r="O12" s="602"/>
      <c r="P12" s="602"/>
      <c r="Q12" s="602"/>
      <c r="R12" s="602"/>
      <c r="S12" s="602"/>
      <c r="T12" s="602"/>
    </row>
    <row r="13" spans="1:20" s="32" customFormat="1" x14ac:dyDescent="0.25">
      <c r="B13" s="173"/>
      <c r="C13" s="173"/>
      <c r="D13" s="182"/>
      <c r="E13" s="173"/>
      <c r="F13" s="173"/>
      <c r="G13" s="173"/>
      <c r="H13" s="173"/>
      <c r="I13" s="173"/>
      <c r="J13" s="173"/>
      <c r="K13" s="173"/>
      <c r="L13" s="182"/>
      <c r="M13" s="173"/>
      <c r="N13" s="173"/>
      <c r="O13" s="173"/>
      <c r="P13" s="173"/>
      <c r="Q13" s="173"/>
      <c r="R13" s="173"/>
      <c r="S13" s="173"/>
      <c r="T13" s="173"/>
    </row>
    <row r="14" spans="1:20" s="32" customFormat="1" x14ac:dyDescent="0.25">
      <c r="B14" s="173"/>
      <c r="C14" s="173"/>
      <c r="D14" s="182"/>
      <c r="E14" s="173"/>
      <c r="F14" s="173"/>
      <c r="G14" s="173"/>
      <c r="H14" s="173"/>
      <c r="I14" s="173"/>
      <c r="J14" s="173"/>
      <c r="K14" s="173"/>
      <c r="L14" s="182"/>
      <c r="M14" s="173"/>
      <c r="N14" s="173"/>
      <c r="O14" s="173"/>
      <c r="P14" s="173"/>
      <c r="Q14" s="173"/>
      <c r="R14" s="173"/>
      <c r="S14" s="173"/>
      <c r="T14" s="173"/>
    </row>
    <row r="15" spans="1:20" s="32" customFormat="1" x14ac:dyDescent="0.25">
      <c r="B15" s="179" t="s">
        <v>5286</v>
      </c>
      <c r="C15" s="179"/>
      <c r="D15" s="207"/>
      <c r="E15" s="179"/>
      <c r="F15" s="181">
        <f>COUNTIFS(D21:D1004,"City / Municipality",L21:L1004,"1st")</f>
        <v>1</v>
      </c>
      <c r="G15" s="195"/>
      <c r="H15" s="195"/>
      <c r="I15" s="195"/>
      <c r="J15" s="173"/>
      <c r="K15" s="173"/>
      <c r="L15" s="182"/>
      <c r="M15" s="173"/>
      <c r="N15" s="173"/>
      <c r="O15" s="173"/>
      <c r="P15" s="173"/>
      <c r="Q15" s="173"/>
      <c r="R15" s="173"/>
      <c r="S15" s="173"/>
      <c r="T15" s="173"/>
    </row>
    <row r="16" spans="1:20" s="32" customFormat="1" x14ac:dyDescent="0.25">
      <c r="B16" s="179" t="s">
        <v>5287</v>
      </c>
      <c r="C16" s="179"/>
      <c r="D16" s="207"/>
      <c r="E16" s="179"/>
      <c r="F16" s="181">
        <f>COUNTIFS(D21:D1004,"PLGU",L21:L1004,"1st")</f>
        <v>0</v>
      </c>
      <c r="G16" s="173"/>
      <c r="H16" s="173"/>
      <c r="I16" s="173"/>
      <c r="J16" s="173"/>
      <c r="K16" s="173"/>
      <c r="L16" s="182"/>
      <c r="M16" s="173"/>
      <c r="N16" s="173"/>
      <c r="O16" s="173"/>
      <c r="P16" s="173"/>
      <c r="Q16" s="173"/>
      <c r="R16" s="173"/>
      <c r="S16" s="173"/>
      <c r="T16" s="173"/>
    </row>
    <row r="17" spans="1:20" s="32" customFormat="1" x14ac:dyDescent="0.25">
      <c r="B17" s="173"/>
      <c r="C17" s="173"/>
      <c r="D17" s="182"/>
      <c r="E17" s="173"/>
      <c r="F17" s="173"/>
      <c r="G17" s="173"/>
      <c r="H17" s="173"/>
      <c r="I17" s="173"/>
      <c r="J17" s="173"/>
      <c r="K17" s="173"/>
      <c r="L17" s="182"/>
      <c r="M17" s="173"/>
      <c r="N17" s="173"/>
      <c r="O17" s="173"/>
      <c r="P17" s="173"/>
      <c r="Q17" s="173"/>
      <c r="R17" s="173"/>
      <c r="S17" s="173"/>
      <c r="T17" s="173"/>
    </row>
    <row r="18" spans="1:20" s="32" customFormat="1" x14ac:dyDescent="0.25">
      <c r="B18" s="173"/>
      <c r="C18" s="173"/>
      <c r="D18" s="182"/>
      <c r="E18" s="173"/>
      <c r="F18" s="173"/>
      <c r="G18" s="173"/>
      <c r="H18" s="173"/>
      <c r="I18" s="173"/>
      <c r="J18" s="173"/>
      <c r="K18" s="173"/>
      <c r="L18" s="182"/>
      <c r="M18" s="173"/>
      <c r="N18" s="173"/>
      <c r="O18" s="173"/>
      <c r="P18" s="173"/>
      <c r="Q18" s="173"/>
      <c r="R18" s="173"/>
      <c r="S18" s="173"/>
      <c r="T18" s="173"/>
    </row>
    <row r="19" spans="1:20" s="32" customFormat="1" x14ac:dyDescent="0.25">
      <c r="D19" s="38"/>
      <c r="L19" s="38"/>
    </row>
    <row r="20" spans="1:20" s="182" customFormat="1" ht="54.6" customHeight="1" x14ac:dyDescent="0.25">
      <c r="A20" s="184" t="s">
        <v>5288</v>
      </c>
      <c r="B20" s="184" t="s">
        <v>5289</v>
      </c>
      <c r="C20" s="183" t="s">
        <v>5130</v>
      </c>
      <c r="D20" s="200" t="s">
        <v>5290</v>
      </c>
      <c r="E20" s="184" t="s">
        <v>5291</v>
      </c>
      <c r="F20" s="184" t="s">
        <v>5142</v>
      </c>
      <c r="G20" s="184" t="s">
        <v>5143</v>
      </c>
      <c r="H20" s="184" t="s">
        <v>5292</v>
      </c>
      <c r="I20" s="184" t="s">
        <v>5293</v>
      </c>
      <c r="J20" s="184" t="s">
        <v>1685</v>
      </c>
      <c r="K20" s="183" t="s">
        <v>1686</v>
      </c>
      <c r="L20" s="200" t="s">
        <v>5191</v>
      </c>
    </row>
    <row r="21" spans="1:20" x14ac:dyDescent="0.25">
      <c r="A21" s="416" t="s">
        <v>67</v>
      </c>
      <c r="B21" s="416" t="s">
        <v>103</v>
      </c>
      <c r="C21" s="416" t="s">
        <v>566</v>
      </c>
      <c r="D21" s="416" t="s">
        <v>5100</v>
      </c>
      <c r="E21" s="416" t="s">
        <v>5294</v>
      </c>
      <c r="F21" s="416">
        <v>2024</v>
      </c>
      <c r="G21" s="416">
        <v>2033</v>
      </c>
      <c r="H21" s="555">
        <v>46083</v>
      </c>
      <c r="I21" s="416" t="s">
        <v>5295</v>
      </c>
      <c r="J21" s="416" t="s">
        <v>1499</v>
      </c>
      <c r="K21" s="416" t="s">
        <v>5108</v>
      </c>
      <c r="L21" s="416" t="s">
        <v>1856</v>
      </c>
      <c r="M21" s="416"/>
      <c r="N21" s="416"/>
      <c r="O21" s="416"/>
      <c r="P21" s="416"/>
      <c r="Q21" s="416"/>
      <c r="R21" s="416"/>
      <c r="S21" s="416"/>
      <c r="T21" s="416"/>
    </row>
    <row r="22" spans="1:20" x14ac:dyDescent="0.25">
      <c r="F22" s="171"/>
      <c r="G22" s="171"/>
      <c r="L22" s="201" t="str">
        <f>IFERROR(COUNTIF($C$21:C22,C22)&amp;CHOOSE(MIN(4,COUNTIF($C$21:C22,C22)),"st","nd","rd","th"),"")</f>
        <v/>
      </c>
    </row>
    <row r="23" spans="1:20" x14ac:dyDescent="0.25">
      <c r="F23" s="171"/>
      <c r="G23" s="171"/>
      <c r="L23" s="201" t="str">
        <f>IFERROR(COUNTIF($C$21:C23,C23)&amp;CHOOSE(MIN(4,COUNTIF($C$21:C23,C23)),"st","nd","rd","th"),"")</f>
        <v/>
      </c>
    </row>
    <row r="24" spans="1:20" x14ac:dyDescent="0.25">
      <c r="F24" s="171"/>
      <c r="G24" s="171"/>
      <c r="L24" s="201" t="str">
        <f>IFERROR(COUNTIF($C$21:C24,C24)&amp;CHOOSE(MIN(4,COUNTIF($C$21:C24,C24)),"st","nd","rd","th"),"")</f>
        <v/>
      </c>
    </row>
    <row r="25" spans="1:20" x14ac:dyDescent="0.25">
      <c r="F25" s="171"/>
      <c r="G25" s="171"/>
      <c r="L25" s="201" t="str">
        <f>IFERROR(COUNTIF($C$21:C25,C25)&amp;CHOOSE(MIN(4,COUNTIF($C$21:C25,C25)),"st","nd","rd","th"),"")</f>
        <v/>
      </c>
    </row>
    <row r="26" spans="1:20" x14ac:dyDescent="0.25">
      <c r="F26" s="171"/>
      <c r="G26" s="171"/>
      <c r="L26" s="201" t="str">
        <f>IFERROR(COUNTIF($C$21:C26,C26)&amp;CHOOSE(MIN(4,COUNTIF($C$21:C26,C26)),"st","nd","rd","th"),"")</f>
        <v/>
      </c>
    </row>
    <row r="27" spans="1:20" x14ac:dyDescent="0.25">
      <c r="F27" s="171"/>
      <c r="G27" s="171"/>
      <c r="L27" s="201" t="str">
        <f>IFERROR(COUNTIF($C$21:C27,C27)&amp;CHOOSE(MIN(4,COUNTIF($C$21:C27,C27)),"st","nd","rd","th"),"")</f>
        <v/>
      </c>
    </row>
    <row r="28" spans="1:20" x14ac:dyDescent="0.25">
      <c r="F28" s="171"/>
      <c r="G28" s="171"/>
      <c r="L28" s="201" t="str">
        <f>IFERROR(COUNTIF($C$21:C28,C28)&amp;CHOOSE(MIN(4,COUNTIF($C$21:C28,C28)),"st","nd","rd","th"),"")</f>
        <v/>
      </c>
    </row>
    <row r="29" spans="1:20" x14ac:dyDescent="0.25">
      <c r="F29" s="171"/>
      <c r="G29" s="171"/>
      <c r="L29" s="201" t="str">
        <f>IFERROR(COUNTIF($C$21:C29,C29)&amp;CHOOSE(MIN(4,COUNTIF($C$21:C29,C29)),"st","nd","rd","th"),"")</f>
        <v/>
      </c>
    </row>
    <row r="30" spans="1:20" x14ac:dyDescent="0.25">
      <c r="F30" s="171"/>
      <c r="G30" s="171"/>
      <c r="L30" s="201" t="str">
        <f>IFERROR(COUNTIF($C$21:C30,C30)&amp;CHOOSE(MIN(4,COUNTIF($C$21:C30,C30)),"st","nd","rd","th"),"")</f>
        <v/>
      </c>
    </row>
    <row r="31" spans="1:20" x14ac:dyDescent="0.25">
      <c r="F31" s="171"/>
      <c r="G31" s="171"/>
      <c r="L31" s="201" t="str">
        <f>IFERROR(COUNTIF($C$21:C31,C31)&amp;CHOOSE(MIN(4,COUNTIF($C$21:C31,C31)),"st","nd","rd","th"),"")</f>
        <v/>
      </c>
    </row>
    <row r="32" spans="1:20" x14ac:dyDescent="0.25">
      <c r="F32" s="171"/>
      <c r="G32" s="171"/>
      <c r="L32" s="201" t="str">
        <f>IFERROR(COUNTIF($C$21:C32,C32)&amp;CHOOSE(MIN(4,COUNTIF($C$21:C32,C32)),"st","nd","rd","th"),"")</f>
        <v/>
      </c>
    </row>
    <row r="33" spans="4:12" x14ac:dyDescent="0.25">
      <c r="F33" s="171"/>
      <c r="G33" s="171"/>
      <c r="L33" s="201" t="str">
        <f>IFERROR(COUNTIF($C$21:C33,C33)&amp;CHOOSE(MIN(4,COUNTIF($C$21:C33,C33)),"st","nd","rd","th"),"")</f>
        <v/>
      </c>
    </row>
    <row r="34" spans="4:12" x14ac:dyDescent="0.25">
      <c r="F34" s="171"/>
      <c r="G34" s="171"/>
      <c r="L34" s="201" t="str">
        <f>IFERROR(COUNTIF($C$21:C34,C34)&amp;CHOOSE(MIN(4,COUNTIF($C$21:C34,C34)),"st","nd","rd","th"),"")</f>
        <v/>
      </c>
    </row>
    <row r="35" spans="4:12" x14ac:dyDescent="0.25">
      <c r="F35" s="171"/>
      <c r="G35" s="171"/>
      <c r="L35" s="201" t="str">
        <f>IFERROR(COUNTIF($C$21:C35,C35)&amp;CHOOSE(MIN(4,COUNTIF($C$21:C35,C35)),"st","nd","rd","th"),"")</f>
        <v/>
      </c>
    </row>
    <row r="36" spans="4:12" x14ac:dyDescent="0.25">
      <c r="F36" s="171"/>
      <c r="G36" s="171"/>
      <c r="L36" s="201" t="str">
        <f>IFERROR(COUNTIF($C$21:C36,C36)&amp;CHOOSE(MIN(4,COUNTIF($C$21:C36,C36)),"st","nd","rd","th"),"")</f>
        <v/>
      </c>
    </row>
    <row r="37" spans="4:12" x14ac:dyDescent="0.25">
      <c r="F37" s="171"/>
      <c r="G37" s="171"/>
      <c r="L37" s="201" t="str">
        <f>IFERROR(COUNTIF($C$21:C37,C37)&amp;CHOOSE(MIN(4,COUNTIF($C$21:C37,C37)),"st","nd","rd","th"),"")</f>
        <v/>
      </c>
    </row>
    <row r="38" spans="4:12" x14ac:dyDescent="0.25">
      <c r="D38" s="201" t="str">
        <f t="shared" ref="D38:D85" si="0">IF(B38="","",IF(B38="Province_PLGU","PLGU","City / Municipality"))</f>
        <v/>
      </c>
      <c r="L38" s="201" t="str">
        <f>IFERROR(COUNTIF($C$21:C38,C38)&amp;CHOOSE(MIN(4,COUNTIF($C$21:C38,C38)),"st","nd","rd","th"),"")</f>
        <v/>
      </c>
    </row>
    <row r="39" spans="4:12" x14ac:dyDescent="0.25">
      <c r="D39" s="201" t="str">
        <f t="shared" si="0"/>
        <v/>
      </c>
      <c r="L39" s="201" t="str">
        <f>IFERROR(COUNTIF($C$21:C39,C39)&amp;CHOOSE(MIN(4,COUNTIF($C$21:C39,C39)),"st","nd","rd","th"),"")</f>
        <v/>
      </c>
    </row>
    <row r="40" spans="4:12" x14ac:dyDescent="0.25">
      <c r="D40" s="201" t="str">
        <f t="shared" si="0"/>
        <v/>
      </c>
      <c r="L40" s="201" t="str">
        <f>IFERROR(COUNTIF($C$21:C40,C40)&amp;CHOOSE(MIN(4,COUNTIF($C$21:C40,C40)),"st","nd","rd","th"),"")</f>
        <v/>
      </c>
    </row>
    <row r="41" spans="4:12" x14ac:dyDescent="0.25">
      <c r="D41" s="201" t="str">
        <f t="shared" si="0"/>
        <v/>
      </c>
      <c r="L41" s="201" t="str">
        <f>IFERROR(COUNTIF($C$21:C41,C41)&amp;CHOOSE(MIN(4,COUNTIF($C$21:C41,C41)),"st","nd","rd","th"),"")</f>
        <v/>
      </c>
    </row>
    <row r="42" spans="4:12" x14ac:dyDescent="0.25">
      <c r="D42" s="201" t="str">
        <f t="shared" si="0"/>
        <v/>
      </c>
      <c r="L42" s="201" t="str">
        <f>IFERROR(COUNTIF($C$21:C42,C42)&amp;CHOOSE(MIN(4,COUNTIF($C$21:C42,C42)),"st","nd","rd","th"),"")</f>
        <v/>
      </c>
    </row>
    <row r="43" spans="4:12" x14ac:dyDescent="0.25">
      <c r="D43" s="201" t="str">
        <f t="shared" si="0"/>
        <v/>
      </c>
      <c r="L43" s="201" t="str">
        <f>IFERROR(COUNTIF($C$21:C43,C43)&amp;CHOOSE(MIN(4,COUNTIF($C$21:C43,C43)),"st","nd","rd","th"),"")</f>
        <v/>
      </c>
    </row>
    <row r="44" spans="4:12" x14ac:dyDescent="0.25">
      <c r="D44" s="201" t="str">
        <f t="shared" si="0"/>
        <v/>
      </c>
      <c r="L44" s="201" t="str">
        <f>IFERROR(COUNTIF($C$21:C44,C44)&amp;CHOOSE(MIN(4,COUNTIF($C$21:C44,C44)),"st","nd","rd","th"),"")</f>
        <v/>
      </c>
    </row>
    <row r="45" spans="4:12" x14ac:dyDescent="0.25">
      <c r="D45" s="201" t="str">
        <f t="shared" si="0"/>
        <v/>
      </c>
      <c r="L45" s="201" t="str">
        <f>IFERROR(COUNTIF($C$21:C45,C45)&amp;CHOOSE(MIN(4,COUNTIF($C$21:C45,C45)),"st","nd","rd","th"),"")</f>
        <v/>
      </c>
    </row>
    <row r="46" spans="4:12" x14ac:dyDescent="0.25">
      <c r="D46" s="201" t="str">
        <f t="shared" si="0"/>
        <v/>
      </c>
      <c r="L46" s="201" t="str">
        <f>IFERROR(COUNTIF($C$21:C46,C46)&amp;CHOOSE(MIN(4,COUNTIF($C$21:C46,C46)),"st","nd","rd","th"),"")</f>
        <v/>
      </c>
    </row>
    <row r="47" spans="4:12" x14ac:dyDescent="0.25">
      <c r="D47" s="201" t="str">
        <f t="shared" si="0"/>
        <v/>
      </c>
      <c r="L47" s="201" t="str">
        <f>IFERROR(COUNTIF($C$21:C47,C47)&amp;CHOOSE(MIN(4,COUNTIF($C$21:C47,C47)),"st","nd","rd","th"),"")</f>
        <v/>
      </c>
    </row>
    <row r="48" spans="4:12" x14ac:dyDescent="0.25">
      <c r="D48" s="201" t="str">
        <f t="shared" si="0"/>
        <v/>
      </c>
      <c r="L48" s="201" t="str">
        <f>IFERROR(COUNTIF($C$21:C48,C48)&amp;CHOOSE(MIN(4,COUNTIF($C$21:C48,C48)),"st","nd","rd","th"),"")</f>
        <v/>
      </c>
    </row>
    <row r="49" spans="4:12" x14ac:dyDescent="0.25">
      <c r="D49" s="201" t="str">
        <f t="shared" si="0"/>
        <v/>
      </c>
      <c r="L49" s="201" t="str">
        <f>IFERROR(COUNTIF($C$21:C49,C49)&amp;CHOOSE(MIN(4,COUNTIF($C$21:C49,C49)),"st","nd","rd","th"),"")</f>
        <v/>
      </c>
    </row>
    <row r="50" spans="4:12" x14ac:dyDescent="0.25">
      <c r="D50" s="201" t="str">
        <f t="shared" si="0"/>
        <v/>
      </c>
      <c r="L50" s="201" t="str">
        <f>IFERROR(COUNTIF($C$21:C50,C50)&amp;CHOOSE(MIN(4,COUNTIF($C$21:C50,C50)),"st","nd","rd","th"),"")</f>
        <v/>
      </c>
    </row>
    <row r="51" spans="4:12" x14ac:dyDescent="0.25">
      <c r="D51" s="201" t="str">
        <f t="shared" si="0"/>
        <v/>
      </c>
      <c r="L51" s="201" t="str">
        <f>IFERROR(COUNTIF($C$21:C51,C51)&amp;CHOOSE(MIN(4,COUNTIF($C$21:C51,C51)),"st","nd","rd","th"),"")</f>
        <v/>
      </c>
    </row>
    <row r="52" spans="4:12" x14ac:dyDescent="0.25">
      <c r="D52" s="201" t="str">
        <f t="shared" si="0"/>
        <v/>
      </c>
      <c r="L52" s="201" t="str">
        <f>IFERROR(COUNTIF($C$21:C52,C52)&amp;CHOOSE(MIN(4,COUNTIF($C$21:C52,C52)),"st","nd","rd","th"),"")</f>
        <v/>
      </c>
    </row>
    <row r="53" spans="4:12" x14ac:dyDescent="0.25">
      <c r="D53" s="201" t="str">
        <f t="shared" si="0"/>
        <v/>
      </c>
      <c r="L53" s="201" t="str">
        <f>IFERROR(COUNTIF($C$21:C53,C53)&amp;CHOOSE(MIN(4,COUNTIF($C$21:C53,C53)),"st","nd","rd","th"),"")</f>
        <v/>
      </c>
    </row>
    <row r="54" spans="4:12" x14ac:dyDescent="0.25">
      <c r="D54" s="201" t="str">
        <f t="shared" si="0"/>
        <v/>
      </c>
      <c r="L54" s="201" t="str">
        <f>IFERROR(COUNTIF($C$21:C54,C54)&amp;CHOOSE(MIN(4,COUNTIF($C$21:C54,C54)),"st","nd","rd","th"),"")</f>
        <v/>
      </c>
    </row>
    <row r="55" spans="4:12" x14ac:dyDescent="0.25">
      <c r="D55" s="201" t="str">
        <f t="shared" si="0"/>
        <v/>
      </c>
      <c r="L55" s="201" t="str">
        <f>IFERROR(COUNTIF($C$21:C55,C55)&amp;CHOOSE(MIN(4,COUNTIF($C$21:C55,C55)),"st","nd","rd","th"),"")</f>
        <v/>
      </c>
    </row>
    <row r="56" spans="4:12" x14ac:dyDescent="0.25">
      <c r="D56" s="201" t="str">
        <f t="shared" si="0"/>
        <v/>
      </c>
      <c r="L56" s="201" t="str">
        <f>IFERROR(COUNTIF($C$21:C56,C56)&amp;CHOOSE(MIN(4,COUNTIF($C$21:C56,C56)),"st","nd","rd","th"),"")</f>
        <v/>
      </c>
    </row>
    <row r="57" spans="4:12" x14ac:dyDescent="0.25">
      <c r="D57" s="201" t="str">
        <f t="shared" si="0"/>
        <v/>
      </c>
      <c r="L57" s="201" t="str">
        <f>IFERROR(COUNTIF($C$21:C57,C57)&amp;CHOOSE(MIN(4,COUNTIF($C$21:C57,C57)),"st","nd","rd","th"),"")</f>
        <v/>
      </c>
    </row>
    <row r="58" spans="4:12" x14ac:dyDescent="0.25">
      <c r="D58" s="201" t="str">
        <f t="shared" si="0"/>
        <v/>
      </c>
      <c r="L58" s="201" t="str">
        <f>IFERROR(COUNTIF($C$21:C58,C58)&amp;CHOOSE(MIN(4,COUNTIF($C$21:C58,C58)),"st","nd","rd","th"),"")</f>
        <v/>
      </c>
    </row>
    <row r="59" spans="4:12" x14ac:dyDescent="0.25">
      <c r="D59" s="201" t="str">
        <f t="shared" si="0"/>
        <v/>
      </c>
      <c r="L59" s="201" t="str">
        <f>IFERROR(COUNTIF($C$21:C59,C59)&amp;CHOOSE(MIN(4,COUNTIF($C$21:C59,C59)),"st","nd","rd","th"),"")</f>
        <v/>
      </c>
    </row>
    <row r="60" spans="4:12" x14ac:dyDescent="0.25">
      <c r="D60" s="201" t="str">
        <f t="shared" si="0"/>
        <v/>
      </c>
      <c r="L60" s="201" t="str">
        <f>IFERROR(COUNTIF($C$21:C60,C60)&amp;CHOOSE(MIN(4,COUNTIF($C$21:C60,C60)),"st","nd","rd","th"),"")</f>
        <v/>
      </c>
    </row>
    <row r="61" spans="4:12" x14ac:dyDescent="0.25">
      <c r="D61" s="201" t="str">
        <f t="shared" si="0"/>
        <v/>
      </c>
      <c r="L61" s="201" t="str">
        <f>IFERROR(COUNTIF($C$21:C61,C61)&amp;CHOOSE(MIN(4,COUNTIF($C$21:C61,C61)),"st","nd","rd","th"),"")</f>
        <v/>
      </c>
    </row>
    <row r="62" spans="4:12" x14ac:dyDescent="0.25">
      <c r="D62" s="201" t="str">
        <f t="shared" si="0"/>
        <v/>
      </c>
      <c r="L62" s="201" t="str">
        <f>IFERROR(COUNTIF($C$21:C62,C62)&amp;CHOOSE(MIN(4,COUNTIF($C$21:C62,C62)),"st","nd","rd","th"),"")</f>
        <v/>
      </c>
    </row>
    <row r="63" spans="4:12" x14ac:dyDescent="0.25">
      <c r="D63" s="201" t="str">
        <f t="shared" si="0"/>
        <v/>
      </c>
      <c r="L63" s="201" t="str">
        <f>IFERROR(COUNTIF($C$21:C63,C63)&amp;CHOOSE(MIN(4,COUNTIF($C$21:C63,C63)),"st","nd","rd","th"),"")</f>
        <v/>
      </c>
    </row>
    <row r="64" spans="4:12" x14ac:dyDescent="0.25">
      <c r="D64" s="201" t="str">
        <f t="shared" si="0"/>
        <v/>
      </c>
      <c r="L64" s="201" t="str">
        <f>IFERROR(COUNTIF($C$21:C64,C64)&amp;CHOOSE(MIN(4,COUNTIF($C$21:C64,C64)),"st","nd","rd","th"),"")</f>
        <v/>
      </c>
    </row>
    <row r="65" spans="4:12" x14ac:dyDescent="0.25">
      <c r="D65" s="201" t="str">
        <f t="shared" si="0"/>
        <v/>
      </c>
      <c r="L65" s="201" t="str">
        <f>IFERROR(COUNTIF($C$21:C65,C65)&amp;CHOOSE(MIN(4,COUNTIF($C$21:C65,C65)),"st","nd","rd","th"),"")</f>
        <v/>
      </c>
    </row>
    <row r="66" spans="4:12" x14ac:dyDescent="0.25">
      <c r="D66" s="201" t="str">
        <f t="shared" si="0"/>
        <v/>
      </c>
      <c r="L66" s="201" t="str">
        <f>IFERROR(COUNTIF($C$21:C66,C66)&amp;CHOOSE(MIN(4,COUNTIF($C$21:C66,C66)),"st","nd","rd","th"),"")</f>
        <v/>
      </c>
    </row>
    <row r="67" spans="4:12" x14ac:dyDescent="0.25">
      <c r="D67" s="201" t="str">
        <f t="shared" si="0"/>
        <v/>
      </c>
      <c r="L67" s="201" t="str">
        <f>IFERROR(COUNTIF($C$21:C67,C67)&amp;CHOOSE(MIN(4,COUNTIF($C$21:C67,C67)),"st","nd","rd","th"),"")</f>
        <v/>
      </c>
    </row>
    <row r="68" spans="4:12" x14ac:dyDescent="0.25">
      <c r="D68" s="201" t="str">
        <f t="shared" si="0"/>
        <v/>
      </c>
      <c r="L68" s="201" t="str">
        <f>IFERROR(COUNTIF($C$21:C68,C68)&amp;CHOOSE(MIN(4,COUNTIF($C$21:C68,C68)),"st","nd","rd","th"),"")</f>
        <v/>
      </c>
    </row>
    <row r="69" spans="4:12" x14ac:dyDescent="0.25">
      <c r="D69" s="201" t="str">
        <f t="shared" si="0"/>
        <v/>
      </c>
      <c r="L69" s="201" t="str">
        <f>IFERROR(COUNTIF($C$21:C69,C69)&amp;CHOOSE(MIN(4,COUNTIF($C$21:C69,C69)),"st","nd","rd","th"),"")</f>
        <v/>
      </c>
    </row>
    <row r="70" spans="4:12" x14ac:dyDescent="0.25">
      <c r="D70" s="201" t="str">
        <f t="shared" si="0"/>
        <v/>
      </c>
      <c r="L70" s="201" t="str">
        <f>IFERROR(COUNTIF($C$21:C70,C70)&amp;CHOOSE(MIN(4,COUNTIF($C$21:C70,C70)),"st","nd","rd","th"),"")</f>
        <v/>
      </c>
    </row>
    <row r="71" spans="4:12" x14ac:dyDescent="0.25">
      <c r="D71" s="201" t="str">
        <f t="shared" si="0"/>
        <v/>
      </c>
      <c r="L71" s="201" t="str">
        <f>IFERROR(COUNTIF($C$21:C71,C71)&amp;CHOOSE(MIN(4,COUNTIF($C$21:C71,C71)),"st","nd","rd","th"),"")</f>
        <v/>
      </c>
    </row>
    <row r="72" spans="4:12" x14ac:dyDescent="0.25">
      <c r="D72" s="201" t="str">
        <f t="shared" si="0"/>
        <v/>
      </c>
      <c r="L72" s="201" t="str">
        <f>IFERROR(COUNTIF($C$21:C72,C72)&amp;CHOOSE(MIN(4,COUNTIF($C$21:C72,C72)),"st","nd","rd","th"),"")</f>
        <v/>
      </c>
    </row>
    <row r="73" spans="4:12" x14ac:dyDescent="0.25">
      <c r="D73" s="201" t="str">
        <f t="shared" si="0"/>
        <v/>
      </c>
      <c r="L73" s="201" t="str">
        <f>IFERROR(COUNTIF($C$21:C73,C73)&amp;CHOOSE(MIN(4,COUNTIF($C$21:C73,C73)),"st","nd","rd","th"),"")</f>
        <v/>
      </c>
    </row>
    <row r="74" spans="4:12" x14ac:dyDescent="0.25">
      <c r="D74" s="201" t="str">
        <f t="shared" si="0"/>
        <v/>
      </c>
      <c r="L74" s="201" t="str">
        <f>IFERROR(COUNTIF($C$21:C74,C74)&amp;CHOOSE(MIN(4,COUNTIF($C$21:C74,C74)),"st","nd","rd","th"),"")</f>
        <v/>
      </c>
    </row>
    <row r="75" spans="4:12" x14ac:dyDescent="0.25">
      <c r="D75" s="201" t="str">
        <f t="shared" si="0"/>
        <v/>
      </c>
      <c r="L75" s="201" t="str">
        <f>IFERROR(COUNTIF($C$21:C75,C75)&amp;CHOOSE(MIN(4,COUNTIF($C$21:C75,C75)),"st","nd","rd","th"),"")</f>
        <v/>
      </c>
    </row>
    <row r="76" spans="4:12" x14ac:dyDescent="0.25">
      <c r="D76" s="201" t="str">
        <f t="shared" si="0"/>
        <v/>
      </c>
      <c r="L76" s="201" t="str">
        <f>IFERROR(COUNTIF($C$21:C76,C76)&amp;CHOOSE(MIN(4,COUNTIF($C$21:C76,C76)),"st","nd","rd","th"),"")</f>
        <v/>
      </c>
    </row>
    <row r="77" spans="4:12" x14ac:dyDescent="0.25">
      <c r="D77" s="201" t="str">
        <f t="shared" si="0"/>
        <v/>
      </c>
      <c r="L77" s="201" t="str">
        <f>IFERROR(COUNTIF($C$21:C77,C77)&amp;CHOOSE(MIN(4,COUNTIF($C$21:C77,C77)),"st","nd","rd","th"),"")</f>
        <v/>
      </c>
    </row>
    <row r="78" spans="4:12" x14ac:dyDescent="0.25">
      <c r="D78" s="201" t="str">
        <f t="shared" si="0"/>
        <v/>
      </c>
      <c r="L78" s="201" t="str">
        <f>IFERROR(COUNTIF($C$21:C78,C78)&amp;CHOOSE(MIN(4,COUNTIF($C$21:C78,C78)),"st","nd","rd","th"),"")</f>
        <v/>
      </c>
    </row>
    <row r="79" spans="4:12" x14ac:dyDescent="0.25">
      <c r="D79" s="201" t="str">
        <f t="shared" si="0"/>
        <v/>
      </c>
      <c r="L79" s="201" t="str">
        <f>IFERROR(COUNTIF($C$21:C79,C79)&amp;CHOOSE(MIN(4,COUNTIF($C$21:C79,C79)),"st","nd","rd","th"),"")</f>
        <v/>
      </c>
    </row>
    <row r="80" spans="4:12" x14ac:dyDescent="0.25">
      <c r="D80" s="201" t="str">
        <f t="shared" si="0"/>
        <v/>
      </c>
      <c r="L80" s="201" t="str">
        <f>IFERROR(COUNTIF($C$21:C80,C80)&amp;CHOOSE(MIN(4,COUNTIF($C$21:C80,C80)),"st","nd","rd","th"),"")</f>
        <v/>
      </c>
    </row>
    <row r="81" spans="4:12" x14ac:dyDescent="0.25">
      <c r="D81" s="201" t="str">
        <f t="shared" si="0"/>
        <v/>
      </c>
      <c r="L81" s="201" t="str">
        <f>IFERROR(COUNTIF($C$21:C81,C81)&amp;CHOOSE(MIN(4,COUNTIF($C$21:C81,C81)),"st","nd","rd","th"),"")</f>
        <v/>
      </c>
    </row>
    <row r="82" spans="4:12" x14ac:dyDescent="0.25">
      <c r="D82" s="201" t="str">
        <f t="shared" si="0"/>
        <v/>
      </c>
      <c r="L82" s="201" t="str">
        <f>IFERROR(COUNTIF($C$21:C82,C82)&amp;CHOOSE(MIN(4,COUNTIF($C$21:C82,C82)),"st","nd","rd","th"),"")</f>
        <v/>
      </c>
    </row>
    <row r="83" spans="4:12" x14ac:dyDescent="0.25">
      <c r="D83" s="201" t="str">
        <f t="shared" si="0"/>
        <v/>
      </c>
      <c r="L83" s="201" t="str">
        <f>IFERROR(COUNTIF($C$21:C83,C83)&amp;CHOOSE(MIN(4,COUNTIF($C$21:C83,C83)),"st","nd","rd","th"),"")</f>
        <v/>
      </c>
    </row>
    <row r="84" spans="4:12" x14ac:dyDescent="0.25">
      <c r="D84" s="201" t="str">
        <f t="shared" si="0"/>
        <v/>
      </c>
      <c r="L84" s="201" t="str">
        <f>IFERROR(COUNTIF($C$21:C84,C84)&amp;CHOOSE(MIN(4,COUNTIF($C$21:C84,C84)),"st","nd","rd","th"),"")</f>
        <v/>
      </c>
    </row>
    <row r="85" spans="4:12" x14ac:dyDescent="0.25">
      <c r="D85" s="201" t="str">
        <f t="shared" si="0"/>
        <v/>
      </c>
      <c r="L85" s="201" t="str">
        <f>IFERROR(COUNTIF($C$21:C85,C85)&amp;CHOOSE(MIN(4,COUNTIF($C$21:C85,C85)),"st","nd","rd","th"),"")</f>
        <v/>
      </c>
    </row>
    <row r="86" spans="4:12" x14ac:dyDescent="0.25">
      <c r="D86" s="201" t="str">
        <f t="shared" ref="D86:D149" si="1">IF(B86="","",IF(B86="Province_PLGU","PLGU","City / Municipality"))</f>
        <v/>
      </c>
      <c r="L86" s="201" t="str">
        <f>IFERROR(COUNTIF($C$21:C86,C86)&amp;CHOOSE(MIN(4,COUNTIF($C$21:C86,C86)),"st","nd","rd","th"),"")</f>
        <v/>
      </c>
    </row>
    <row r="87" spans="4:12" x14ac:dyDescent="0.25">
      <c r="D87" s="201" t="str">
        <f t="shared" si="1"/>
        <v/>
      </c>
      <c r="L87" s="201" t="str">
        <f>IFERROR(COUNTIF($C$21:C87,C87)&amp;CHOOSE(MIN(4,COUNTIF($C$21:C87,C87)),"st","nd","rd","th"),"")</f>
        <v/>
      </c>
    </row>
    <row r="88" spans="4:12" x14ac:dyDescent="0.25">
      <c r="D88" s="201" t="str">
        <f t="shared" si="1"/>
        <v/>
      </c>
      <c r="L88" s="201" t="str">
        <f>IFERROR(COUNTIF($C$21:C88,C88)&amp;CHOOSE(MIN(4,COUNTIF($C$21:C88,C88)),"st","nd","rd","th"),"")</f>
        <v/>
      </c>
    </row>
    <row r="89" spans="4:12" x14ac:dyDescent="0.25">
      <c r="D89" s="201" t="str">
        <f t="shared" si="1"/>
        <v/>
      </c>
      <c r="L89" s="201" t="str">
        <f>IFERROR(COUNTIF($C$21:C89,C89)&amp;CHOOSE(MIN(4,COUNTIF($C$21:C89,C89)),"st","nd","rd","th"),"")</f>
        <v/>
      </c>
    </row>
    <row r="90" spans="4:12" x14ac:dyDescent="0.25">
      <c r="D90" s="201" t="str">
        <f t="shared" si="1"/>
        <v/>
      </c>
      <c r="L90" s="201" t="str">
        <f>IFERROR(COUNTIF($C$21:C90,C90)&amp;CHOOSE(MIN(4,COUNTIF($C$21:C90,C90)),"st","nd","rd","th"),"")</f>
        <v/>
      </c>
    </row>
    <row r="91" spans="4:12" x14ac:dyDescent="0.25">
      <c r="D91" s="201" t="str">
        <f t="shared" si="1"/>
        <v/>
      </c>
      <c r="L91" s="201" t="str">
        <f>IFERROR(COUNTIF($C$21:C91,C91)&amp;CHOOSE(MIN(4,COUNTIF($C$21:C91,C91)),"st","nd","rd","th"),"")</f>
        <v/>
      </c>
    </row>
    <row r="92" spans="4:12" x14ac:dyDescent="0.25">
      <c r="D92" s="201" t="str">
        <f t="shared" si="1"/>
        <v/>
      </c>
      <c r="L92" s="201" t="str">
        <f>IFERROR(COUNTIF($C$21:C92,C92)&amp;CHOOSE(MIN(4,COUNTIF($C$21:C92,C92)),"st","nd","rd","th"),"")</f>
        <v/>
      </c>
    </row>
    <row r="93" spans="4:12" x14ac:dyDescent="0.25">
      <c r="D93" s="201" t="str">
        <f t="shared" si="1"/>
        <v/>
      </c>
      <c r="L93" s="201" t="str">
        <f>IFERROR(COUNTIF($C$21:C93,C93)&amp;CHOOSE(MIN(4,COUNTIF($C$21:C93,C93)),"st","nd","rd","th"),"")</f>
        <v/>
      </c>
    </row>
    <row r="94" spans="4:12" x14ac:dyDescent="0.25">
      <c r="D94" s="201" t="str">
        <f t="shared" si="1"/>
        <v/>
      </c>
      <c r="L94" s="201" t="str">
        <f>IFERROR(COUNTIF($C$21:C94,C94)&amp;CHOOSE(MIN(4,COUNTIF($C$21:C94,C94)),"st","nd","rd","th"),"")</f>
        <v/>
      </c>
    </row>
    <row r="95" spans="4:12" x14ac:dyDescent="0.25">
      <c r="D95" s="201" t="str">
        <f t="shared" si="1"/>
        <v/>
      </c>
      <c r="L95" s="201" t="str">
        <f>IFERROR(COUNTIF($C$21:C95,C95)&amp;CHOOSE(MIN(4,COUNTIF($C$21:C95,C95)),"st","nd","rd","th"),"")</f>
        <v/>
      </c>
    </row>
    <row r="96" spans="4:12" x14ac:dyDescent="0.25">
      <c r="D96" s="201" t="str">
        <f t="shared" si="1"/>
        <v/>
      </c>
      <c r="L96" s="201" t="str">
        <f>IFERROR(COUNTIF($C$21:C96,C96)&amp;CHOOSE(MIN(4,COUNTIF($C$21:C96,C96)),"st","nd","rd","th"),"")</f>
        <v/>
      </c>
    </row>
    <row r="97" spans="4:12" x14ac:dyDescent="0.25">
      <c r="D97" s="201" t="str">
        <f t="shared" si="1"/>
        <v/>
      </c>
      <c r="L97" s="201" t="str">
        <f>IFERROR(COUNTIF($C$21:C97,C97)&amp;CHOOSE(MIN(4,COUNTIF($C$21:C97,C97)),"st","nd","rd","th"),"")</f>
        <v/>
      </c>
    </row>
    <row r="98" spans="4:12" x14ac:dyDescent="0.25">
      <c r="D98" s="201" t="str">
        <f t="shared" si="1"/>
        <v/>
      </c>
      <c r="L98" s="201" t="str">
        <f>IFERROR(COUNTIF($C$21:C98,C98)&amp;CHOOSE(MIN(4,COUNTIF($C$21:C98,C98)),"st","nd","rd","th"),"")</f>
        <v/>
      </c>
    </row>
    <row r="99" spans="4:12" x14ac:dyDescent="0.25">
      <c r="D99" s="201" t="str">
        <f t="shared" si="1"/>
        <v/>
      </c>
      <c r="L99" s="201" t="str">
        <f>IFERROR(COUNTIF($C$21:C99,C99)&amp;CHOOSE(MIN(4,COUNTIF($C$21:C99,C99)),"st","nd","rd","th"),"")</f>
        <v/>
      </c>
    </row>
    <row r="100" spans="4:12" x14ac:dyDescent="0.25">
      <c r="D100" s="201" t="str">
        <f t="shared" si="1"/>
        <v/>
      </c>
      <c r="L100" s="201" t="str">
        <f>IFERROR(COUNTIF($C$21:C100,C100)&amp;CHOOSE(MIN(4,COUNTIF($C$21:C100,C100)),"st","nd","rd","th"),"")</f>
        <v/>
      </c>
    </row>
    <row r="101" spans="4:12" x14ac:dyDescent="0.25">
      <c r="D101" s="201" t="str">
        <f t="shared" si="1"/>
        <v/>
      </c>
      <c r="L101" s="201" t="str">
        <f>IFERROR(COUNTIF($C$21:C101,C101)&amp;CHOOSE(MIN(4,COUNTIF($C$21:C101,C101)),"st","nd","rd","th"),"")</f>
        <v/>
      </c>
    </row>
    <row r="102" spans="4:12" x14ac:dyDescent="0.25">
      <c r="D102" s="201" t="str">
        <f t="shared" si="1"/>
        <v/>
      </c>
      <c r="L102" s="201" t="str">
        <f>IFERROR(COUNTIF($C$21:C102,C102)&amp;CHOOSE(MIN(4,COUNTIF($C$21:C102,C102)),"st","nd","rd","th"),"")</f>
        <v/>
      </c>
    </row>
    <row r="103" spans="4:12" x14ac:dyDescent="0.25">
      <c r="D103" s="201" t="str">
        <f t="shared" si="1"/>
        <v/>
      </c>
      <c r="L103" s="201" t="str">
        <f>IFERROR(COUNTIF($C$21:C103,C103)&amp;CHOOSE(MIN(4,COUNTIF($C$21:C103,C103)),"st","nd","rd","th"),"")</f>
        <v/>
      </c>
    </row>
    <row r="104" spans="4:12" x14ac:dyDescent="0.25">
      <c r="D104" s="201" t="str">
        <f t="shared" si="1"/>
        <v/>
      </c>
      <c r="L104" s="201" t="str">
        <f>IFERROR(COUNTIF($C$21:C104,C104)&amp;CHOOSE(MIN(4,COUNTIF($C$21:C104,C104)),"st","nd","rd","th"),"")</f>
        <v/>
      </c>
    </row>
    <row r="105" spans="4:12" x14ac:dyDescent="0.25">
      <c r="D105" s="201" t="str">
        <f t="shared" si="1"/>
        <v/>
      </c>
      <c r="L105" s="201" t="str">
        <f>IFERROR(COUNTIF($C$21:C105,C105)&amp;CHOOSE(MIN(4,COUNTIF($C$21:C105,C105)),"st","nd","rd","th"),"")</f>
        <v/>
      </c>
    </row>
    <row r="106" spans="4:12" x14ac:dyDescent="0.25">
      <c r="D106" s="201" t="str">
        <f t="shared" si="1"/>
        <v/>
      </c>
      <c r="L106" s="201" t="str">
        <f>IFERROR(COUNTIF($C$21:C106,C106)&amp;CHOOSE(MIN(4,COUNTIF($C$21:C106,C106)),"st","nd","rd","th"),"")</f>
        <v/>
      </c>
    </row>
    <row r="107" spans="4:12" x14ac:dyDescent="0.25">
      <c r="D107" s="201" t="str">
        <f t="shared" si="1"/>
        <v/>
      </c>
      <c r="L107" s="201" t="str">
        <f>IFERROR(COUNTIF($C$21:C107,C107)&amp;CHOOSE(MIN(4,COUNTIF($C$21:C107,C107)),"st","nd","rd","th"),"")</f>
        <v/>
      </c>
    </row>
    <row r="108" spans="4:12" x14ac:dyDescent="0.25">
      <c r="D108" s="201" t="str">
        <f t="shared" si="1"/>
        <v/>
      </c>
      <c r="L108" s="201" t="str">
        <f>IFERROR(COUNTIF($C$21:C108,C108)&amp;CHOOSE(MIN(4,COUNTIF($C$21:C108,C108)),"st","nd","rd","th"),"")</f>
        <v/>
      </c>
    </row>
    <row r="109" spans="4:12" x14ac:dyDescent="0.25">
      <c r="D109" s="201" t="str">
        <f t="shared" si="1"/>
        <v/>
      </c>
      <c r="L109" s="201" t="str">
        <f>IFERROR(COUNTIF($C$21:C109,C109)&amp;CHOOSE(MIN(4,COUNTIF($C$21:C109,C109)),"st","nd","rd","th"),"")</f>
        <v/>
      </c>
    </row>
    <row r="110" spans="4:12" x14ac:dyDescent="0.25">
      <c r="D110" s="201" t="str">
        <f t="shared" si="1"/>
        <v/>
      </c>
      <c r="L110" s="201" t="str">
        <f>IFERROR(COUNTIF($C$21:C110,C110)&amp;CHOOSE(MIN(4,COUNTIF($C$21:C110,C110)),"st","nd","rd","th"),"")</f>
        <v/>
      </c>
    </row>
    <row r="111" spans="4:12" x14ac:dyDescent="0.25">
      <c r="D111" s="201" t="str">
        <f t="shared" si="1"/>
        <v/>
      </c>
      <c r="L111" s="201" t="str">
        <f>IFERROR(COUNTIF($C$21:C111,C111)&amp;CHOOSE(MIN(4,COUNTIF($C$21:C111,C111)),"st","nd","rd","th"),"")</f>
        <v/>
      </c>
    </row>
    <row r="112" spans="4:12" x14ac:dyDescent="0.25">
      <c r="D112" s="201" t="str">
        <f t="shared" si="1"/>
        <v/>
      </c>
      <c r="L112" s="201" t="str">
        <f>IFERROR(COUNTIF($C$21:C112,C112)&amp;CHOOSE(MIN(4,COUNTIF($C$21:C112,C112)),"st","nd","rd","th"),"")</f>
        <v/>
      </c>
    </row>
    <row r="113" spans="4:12" x14ac:dyDescent="0.25">
      <c r="D113" s="201" t="str">
        <f t="shared" si="1"/>
        <v/>
      </c>
      <c r="L113" s="201" t="str">
        <f>IFERROR(COUNTIF($C$21:C113,C113)&amp;CHOOSE(MIN(4,COUNTIF($C$21:C113,C113)),"st","nd","rd","th"),"")</f>
        <v/>
      </c>
    </row>
    <row r="114" spans="4:12" x14ac:dyDescent="0.25">
      <c r="D114" s="201" t="str">
        <f t="shared" si="1"/>
        <v/>
      </c>
      <c r="L114" s="201" t="str">
        <f>IFERROR(COUNTIF($C$21:C114,C114)&amp;CHOOSE(MIN(4,COUNTIF($C$21:C114,C114)),"st","nd","rd","th"),"")</f>
        <v/>
      </c>
    </row>
    <row r="115" spans="4:12" x14ac:dyDescent="0.25">
      <c r="D115" s="201" t="str">
        <f t="shared" si="1"/>
        <v/>
      </c>
      <c r="L115" s="201" t="str">
        <f>IFERROR(COUNTIF($C$21:C115,C115)&amp;CHOOSE(MIN(4,COUNTIF($C$21:C115,C115)),"st","nd","rd","th"),"")</f>
        <v/>
      </c>
    </row>
    <row r="116" spans="4:12" x14ac:dyDescent="0.25">
      <c r="D116" s="201" t="str">
        <f t="shared" si="1"/>
        <v/>
      </c>
      <c r="L116" s="201" t="str">
        <f>IFERROR(COUNTIF($C$21:C116,C116)&amp;CHOOSE(MIN(4,COUNTIF($C$21:C116,C116)),"st","nd","rd","th"),"")</f>
        <v/>
      </c>
    </row>
    <row r="117" spans="4:12" x14ac:dyDescent="0.25">
      <c r="D117" s="201" t="str">
        <f t="shared" si="1"/>
        <v/>
      </c>
      <c r="L117" s="201" t="str">
        <f>IFERROR(COUNTIF($C$21:C117,C117)&amp;CHOOSE(MIN(4,COUNTIF($C$21:C117,C117)),"st","nd","rd","th"),"")</f>
        <v/>
      </c>
    </row>
    <row r="118" spans="4:12" x14ac:dyDescent="0.25">
      <c r="D118" s="201" t="str">
        <f t="shared" si="1"/>
        <v/>
      </c>
      <c r="L118" s="201" t="str">
        <f>IFERROR(COUNTIF($C$21:C118,C118)&amp;CHOOSE(MIN(4,COUNTIF($C$21:C118,C118)),"st","nd","rd","th"),"")</f>
        <v/>
      </c>
    </row>
    <row r="119" spans="4:12" x14ac:dyDescent="0.25">
      <c r="D119" s="201" t="str">
        <f t="shared" si="1"/>
        <v/>
      </c>
      <c r="L119" s="201" t="str">
        <f>IFERROR(COUNTIF($C$21:C119,C119)&amp;CHOOSE(MIN(4,COUNTIF($C$21:C119,C119)),"st","nd","rd","th"),"")</f>
        <v/>
      </c>
    </row>
    <row r="120" spans="4:12" x14ac:dyDescent="0.25">
      <c r="D120" s="201" t="str">
        <f t="shared" si="1"/>
        <v/>
      </c>
      <c r="L120" s="201" t="str">
        <f>IFERROR(COUNTIF($C$21:C120,C120)&amp;CHOOSE(MIN(4,COUNTIF($C$21:C120,C120)),"st","nd","rd","th"),"")</f>
        <v/>
      </c>
    </row>
    <row r="121" spans="4:12" x14ac:dyDescent="0.25">
      <c r="D121" s="201" t="str">
        <f t="shared" si="1"/>
        <v/>
      </c>
      <c r="L121" s="201" t="str">
        <f>IFERROR(COUNTIF($C$21:C121,C121)&amp;CHOOSE(MIN(4,COUNTIF($C$21:C121,C121)),"st","nd","rd","th"),"")</f>
        <v/>
      </c>
    </row>
    <row r="122" spans="4:12" x14ac:dyDescent="0.25">
      <c r="D122" s="201" t="str">
        <f t="shared" si="1"/>
        <v/>
      </c>
      <c r="L122" s="201" t="str">
        <f>IFERROR(COUNTIF($C$21:C122,C122)&amp;CHOOSE(MIN(4,COUNTIF($C$21:C122,C122)),"st","nd","rd","th"),"")</f>
        <v/>
      </c>
    </row>
    <row r="123" spans="4:12" x14ac:dyDescent="0.25">
      <c r="D123" s="201" t="str">
        <f t="shared" si="1"/>
        <v/>
      </c>
      <c r="L123" s="201" t="str">
        <f>IFERROR(COUNTIF($C$21:C123,C123)&amp;CHOOSE(MIN(4,COUNTIF($C$21:C123,C123)),"st","nd","rd","th"),"")</f>
        <v/>
      </c>
    </row>
    <row r="124" spans="4:12" x14ac:dyDescent="0.25">
      <c r="D124" s="201" t="str">
        <f t="shared" si="1"/>
        <v/>
      </c>
      <c r="L124" s="201" t="str">
        <f>IFERROR(COUNTIF($C$21:C124,C124)&amp;CHOOSE(MIN(4,COUNTIF($C$21:C124,C124)),"st","nd","rd","th"),"")</f>
        <v/>
      </c>
    </row>
    <row r="125" spans="4:12" x14ac:dyDescent="0.25">
      <c r="D125" s="201" t="str">
        <f t="shared" si="1"/>
        <v/>
      </c>
      <c r="L125" s="201" t="str">
        <f>IFERROR(COUNTIF($C$21:C125,C125)&amp;CHOOSE(MIN(4,COUNTIF($C$21:C125,C125)),"st","nd","rd","th"),"")</f>
        <v/>
      </c>
    </row>
    <row r="126" spans="4:12" x14ac:dyDescent="0.25">
      <c r="D126" s="201" t="str">
        <f t="shared" si="1"/>
        <v/>
      </c>
      <c r="L126" s="201" t="str">
        <f>IFERROR(COUNTIF($C$21:C126,C126)&amp;CHOOSE(MIN(4,COUNTIF($C$21:C126,C126)),"st","nd","rd","th"),"")</f>
        <v/>
      </c>
    </row>
    <row r="127" spans="4:12" x14ac:dyDescent="0.25">
      <c r="D127" s="201" t="str">
        <f t="shared" si="1"/>
        <v/>
      </c>
      <c r="L127" s="201" t="str">
        <f>IFERROR(COUNTIF($C$21:C127,C127)&amp;CHOOSE(MIN(4,COUNTIF($C$21:C127,C127)),"st","nd","rd","th"),"")</f>
        <v/>
      </c>
    </row>
    <row r="128" spans="4:12" x14ac:dyDescent="0.25">
      <c r="D128" s="201" t="str">
        <f t="shared" si="1"/>
        <v/>
      </c>
      <c r="L128" s="201" t="str">
        <f>IFERROR(COUNTIF($C$21:C128,C128)&amp;CHOOSE(MIN(4,COUNTIF($C$21:C128,C128)),"st","nd","rd","th"),"")</f>
        <v/>
      </c>
    </row>
    <row r="129" spans="4:12" x14ac:dyDescent="0.25">
      <c r="D129" s="201" t="str">
        <f t="shared" si="1"/>
        <v/>
      </c>
      <c r="L129" s="201" t="str">
        <f>IFERROR(COUNTIF($C$21:C129,C129)&amp;CHOOSE(MIN(4,COUNTIF($C$21:C129,C129)),"st","nd","rd","th"),"")</f>
        <v/>
      </c>
    </row>
    <row r="130" spans="4:12" x14ac:dyDescent="0.25">
      <c r="D130" s="201" t="str">
        <f t="shared" si="1"/>
        <v/>
      </c>
      <c r="L130" s="201" t="str">
        <f>IFERROR(COUNTIF($C$21:C130,C130)&amp;CHOOSE(MIN(4,COUNTIF($C$21:C130,C130)),"st","nd","rd","th"),"")</f>
        <v/>
      </c>
    </row>
    <row r="131" spans="4:12" x14ac:dyDescent="0.25">
      <c r="D131" s="201" t="str">
        <f t="shared" si="1"/>
        <v/>
      </c>
      <c r="L131" s="201" t="str">
        <f>IFERROR(COUNTIF($C$21:C131,C131)&amp;CHOOSE(MIN(4,COUNTIF($C$21:C131,C131)),"st","nd","rd","th"),"")</f>
        <v/>
      </c>
    </row>
    <row r="132" spans="4:12" x14ac:dyDescent="0.25">
      <c r="D132" s="201" t="str">
        <f t="shared" si="1"/>
        <v/>
      </c>
      <c r="L132" s="201" t="str">
        <f>IFERROR(COUNTIF($C$21:C132,C132)&amp;CHOOSE(MIN(4,COUNTIF($C$21:C132,C132)),"st","nd","rd","th"),"")</f>
        <v/>
      </c>
    </row>
    <row r="133" spans="4:12" x14ac:dyDescent="0.25">
      <c r="D133" s="201" t="str">
        <f t="shared" si="1"/>
        <v/>
      </c>
      <c r="L133" s="201" t="str">
        <f>IFERROR(COUNTIF($C$21:C133,C133)&amp;CHOOSE(MIN(4,COUNTIF($C$21:C133,C133)),"st","nd","rd","th"),"")</f>
        <v/>
      </c>
    </row>
    <row r="134" spans="4:12" x14ac:dyDescent="0.25">
      <c r="D134" s="201" t="str">
        <f t="shared" si="1"/>
        <v/>
      </c>
      <c r="L134" s="201" t="str">
        <f>IFERROR(COUNTIF($C$21:C134,C134)&amp;CHOOSE(MIN(4,COUNTIF($C$21:C134,C134)),"st","nd","rd","th"),"")</f>
        <v/>
      </c>
    </row>
    <row r="135" spans="4:12" x14ac:dyDescent="0.25">
      <c r="D135" s="201" t="str">
        <f t="shared" si="1"/>
        <v/>
      </c>
      <c r="L135" s="201" t="str">
        <f>IFERROR(COUNTIF($C$21:C135,C135)&amp;CHOOSE(MIN(4,COUNTIF($C$21:C135,C135)),"st","nd","rd","th"),"")</f>
        <v/>
      </c>
    </row>
    <row r="136" spans="4:12" x14ac:dyDescent="0.25">
      <c r="D136" s="201" t="str">
        <f t="shared" si="1"/>
        <v/>
      </c>
      <c r="L136" s="201" t="str">
        <f>IFERROR(COUNTIF($C$21:C136,C136)&amp;CHOOSE(MIN(4,COUNTIF($C$21:C136,C136)),"st","nd","rd","th"),"")</f>
        <v/>
      </c>
    </row>
    <row r="137" spans="4:12" x14ac:dyDescent="0.25">
      <c r="D137" s="201" t="str">
        <f t="shared" si="1"/>
        <v/>
      </c>
      <c r="L137" s="201" t="str">
        <f>IFERROR(COUNTIF($C$21:C137,C137)&amp;CHOOSE(MIN(4,COUNTIF($C$21:C137,C137)),"st","nd","rd","th"),"")</f>
        <v/>
      </c>
    </row>
    <row r="138" spans="4:12" x14ac:dyDescent="0.25">
      <c r="D138" s="201" t="str">
        <f t="shared" si="1"/>
        <v/>
      </c>
      <c r="L138" s="201" t="str">
        <f>IFERROR(COUNTIF($C$21:C138,C138)&amp;CHOOSE(MIN(4,COUNTIF($C$21:C138,C138)),"st","nd","rd","th"),"")</f>
        <v/>
      </c>
    </row>
    <row r="139" spans="4:12" x14ac:dyDescent="0.25">
      <c r="D139" s="201" t="str">
        <f t="shared" si="1"/>
        <v/>
      </c>
      <c r="L139" s="201" t="str">
        <f>IFERROR(COUNTIF($C$21:C139,C139)&amp;CHOOSE(MIN(4,COUNTIF($C$21:C139,C139)),"st","nd","rd","th"),"")</f>
        <v/>
      </c>
    </row>
    <row r="140" spans="4:12" x14ac:dyDescent="0.25">
      <c r="D140" s="201" t="str">
        <f t="shared" si="1"/>
        <v/>
      </c>
      <c r="L140" s="201" t="str">
        <f>IFERROR(COUNTIF($C$21:C140,C140)&amp;CHOOSE(MIN(4,COUNTIF($C$21:C140,C140)),"st","nd","rd","th"),"")</f>
        <v/>
      </c>
    </row>
    <row r="141" spans="4:12" x14ac:dyDescent="0.25">
      <c r="D141" s="201" t="str">
        <f t="shared" si="1"/>
        <v/>
      </c>
      <c r="L141" s="201" t="str">
        <f>IFERROR(COUNTIF($C$21:C141,C141)&amp;CHOOSE(MIN(4,COUNTIF($C$21:C141,C141)),"st","nd","rd","th"),"")</f>
        <v/>
      </c>
    </row>
    <row r="142" spans="4:12" x14ac:dyDescent="0.25">
      <c r="D142" s="201" t="str">
        <f t="shared" si="1"/>
        <v/>
      </c>
      <c r="L142" s="201" t="str">
        <f>IFERROR(COUNTIF($C$21:C142,C142)&amp;CHOOSE(MIN(4,COUNTIF($C$21:C142,C142)),"st","nd","rd","th"),"")</f>
        <v/>
      </c>
    </row>
    <row r="143" spans="4:12" x14ac:dyDescent="0.25">
      <c r="D143" s="201" t="str">
        <f t="shared" si="1"/>
        <v/>
      </c>
      <c r="L143" s="201" t="str">
        <f>IFERROR(COUNTIF($C$21:C143,C143)&amp;CHOOSE(MIN(4,COUNTIF($C$21:C143,C143)),"st","nd","rd","th"),"")</f>
        <v/>
      </c>
    </row>
    <row r="144" spans="4:12" x14ac:dyDescent="0.25">
      <c r="D144" s="201" t="str">
        <f t="shared" si="1"/>
        <v/>
      </c>
      <c r="L144" s="201" t="str">
        <f>IFERROR(COUNTIF($C$21:C144,C144)&amp;CHOOSE(MIN(4,COUNTIF($C$21:C144,C144)),"st","nd","rd","th"),"")</f>
        <v/>
      </c>
    </row>
    <row r="145" spans="4:12" x14ac:dyDescent="0.25">
      <c r="D145" s="201" t="str">
        <f t="shared" si="1"/>
        <v/>
      </c>
      <c r="L145" s="201" t="str">
        <f>IFERROR(COUNTIF($C$21:C145,C145)&amp;CHOOSE(MIN(4,COUNTIF($C$21:C145,C145)),"st","nd","rd","th"),"")</f>
        <v/>
      </c>
    </row>
    <row r="146" spans="4:12" x14ac:dyDescent="0.25">
      <c r="D146" s="201" t="str">
        <f t="shared" si="1"/>
        <v/>
      </c>
      <c r="L146" s="201" t="str">
        <f>IFERROR(COUNTIF($C$21:C146,C146)&amp;CHOOSE(MIN(4,COUNTIF($C$21:C146,C146)),"st","nd","rd","th"),"")</f>
        <v/>
      </c>
    </row>
    <row r="147" spans="4:12" x14ac:dyDescent="0.25">
      <c r="D147" s="201" t="str">
        <f t="shared" si="1"/>
        <v/>
      </c>
      <c r="L147" s="201" t="str">
        <f>IFERROR(COUNTIF($C$21:C147,C147)&amp;CHOOSE(MIN(4,COUNTIF($C$21:C147,C147)),"st","nd","rd","th"),"")</f>
        <v/>
      </c>
    </row>
    <row r="148" spans="4:12" x14ac:dyDescent="0.25">
      <c r="D148" s="201" t="str">
        <f t="shared" si="1"/>
        <v/>
      </c>
      <c r="L148" s="201" t="str">
        <f>IFERROR(COUNTIF($C$21:C148,C148)&amp;CHOOSE(MIN(4,COUNTIF($C$21:C148,C148)),"st","nd","rd","th"),"")</f>
        <v/>
      </c>
    </row>
    <row r="149" spans="4:12" x14ac:dyDescent="0.25">
      <c r="D149" s="201" t="str">
        <f t="shared" si="1"/>
        <v/>
      </c>
      <c r="L149" s="201" t="str">
        <f>IFERROR(COUNTIF($C$21:C149,C149)&amp;CHOOSE(MIN(4,COUNTIF($C$21:C149,C149)),"st","nd","rd","th"),"")</f>
        <v/>
      </c>
    </row>
    <row r="150" spans="4:12" x14ac:dyDescent="0.25">
      <c r="D150" s="201" t="str">
        <f t="shared" ref="D150:D213" si="2">IF(B150="","",IF(B150="Province_PLGU","PLGU","City / Municipality"))</f>
        <v/>
      </c>
      <c r="L150" s="201" t="str">
        <f>IFERROR(COUNTIF($C$21:C150,C150)&amp;CHOOSE(MIN(4,COUNTIF($C$21:C150,C150)),"st","nd","rd","th"),"")</f>
        <v/>
      </c>
    </row>
    <row r="151" spans="4:12" x14ac:dyDescent="0.25">
      <c r="D151" s="201" t="str">
        <f t="shared" si="2"/>
        <v/>
      </c>
      <c r="L151" s="201" t="str">
        <f>IFERROR(COUNTIF($C$21:C151,C151)&amp;CHOOSE(MIN(4,COUNTIF($C$21:C151,C151)),"st","nd","rd","th"),"")</f>
        <v/>
      </c>
    </row>
    <row r="152" spans="4:12" x14ac:dyDescent="0.25">
      <c r="D152" s="201" t="str">
        <f t="shared" si="2"/>
        <v/>
      </c>
      <c r="L152" s="201" t="str">
        <f>IFERROR(COUNTIF($C$21:C152,C152)&amp;CHOOSE(MIN(4,COUNTIF($C$21:C152,C152)),"st","nd","rd","th"),"")</f>
        <v/>
      </c>
    </row>
    <row r="153" spans="4:12" x14ac:dyDescent="0.25">
      <c r="D153" s="201" t="str">
        <f t="shared" si="2"/>
        <v/>
      </c>
      <c r="L153" s="201" t="str">
        <f>IFERROR(COUNTIF($C$21:C153,C153)&amp;CHOOSE(MIN(4,COUNTIF($C$21:C153,C153)),"st","nd","rd","th"),"")</f>
        <v/>
      </c>
    </row>
    <row r="154" spans="4:12" x14ac:dyDescent="0.25">
      <c r="D154" s="201" t="str">
        <f t="shared" si="2"/>
        <v/>
      </c>
      <c r="L154" s="201" t="str">
        <f>IFERROR(COUNTIF($C$21:C154,C154)&amp;CHOOSE(MIN(4,COUNTIF($C$21:C154,C154)),"st","nd","rd","th"),"")</f>
        <v/>
      </c>
    </row>
    <row r="155" spans="4:12" x14ac:dyDescent="0.25">
      <c r="D155" s="201" t="str">
        <f t="shared" si="2"/>
        <v/>
      </c>
      <c r="L155" s="201" t="str">
        <f>IFERROR(COUNTIF($C$21:C155,C155)&amp;CHOOSE(MIN(4,COUNTIF($C$21:C155,C155)),"st","nd","rd","th"),"")</f>
        <v/>
      </c>
    </row>
    <row r="156" spans="4:12" x14ac:dyDescent="0.25">
      <c r="D156" s="201" t="str">
        <f t="shared" si="2"/>
        <v/>
      </c>
      <c r="L156" s="201" t="str">
        <f>IFERROR(COUNTIF($C$21:C156,C156)&amp;CHOOSE(MIN(4,COUNTIF($C$21:C156,C156)),"st","nd","rd","th"),"")</f>
        <v/>
      </c>
    </row>
    <row r="157" spans="4:12" x14ac:dyDescent="0.25">
      <c r="D157" s="201" t="str">
        <f t="shared" si="2"/>
        <v/>
      </c>
      <c r="L157" s="201" t="str">
        <f>IFERROR(COUNTIF($C$21:C157,C157)&amp;CHOOSE(MIN(4,COUNTIF($C$21:C157,C157)),"st","nd","rd","th"),"")</f>
        <v/>
      </c>
    </row>
    <row r="158" spans="4:12" x14ac:dyDescent="0.25">
      <c r="D158" s="201" t="str">
        <f t="shared" si="2"/>
        <v/>
      </c>
      <c r="L158" s="201" t="str">
        <f>IFERROR(COUNTIF($C$21:C158,C158)&amp;CHOOSE(MIN(4,COUNTIF($C$21:C158,C158)),"st","nd","rd","th"),"")</f>
        <v/>
      </c>
    </row>
    <row r="159" spans="4:12" x14ac:dyDescent="0.25">
      <c r="D159" s="201" t="str">
        <f t="shared" si="2"/>
        <v/>
      </c>
      <c r="L159" s="201" t="str">
        <f>IFERROR(COUNTIF($C$21:C159,C159)&amp;CHOOSE(MIN(4,COUNTIF($C$21:C159,C159)),"st","nd","rd","th"),"")</f>
        <v/>
      </c>
    </row>
    <row r="160" spans="4:12" x14ac:dyDescent="0.25">
      <c r="D160" s="201" t="str">
        <f t="shared" si="2"/>
        <v/>
      </c>
      <c r="L160" s="201" t="str">
        <f>IFERROR(COUNTIF($C$21:C160,C160)&amp;CHOOSE(MIN(4,COUNTIF($C$21:C160,C160)),"st","nd","rd","th"),"")</f>
        <v/>
      </c>
    </row>
    <row r="161" spans="4:12" x14ac:dyDescent="0.25">
      <c r="D161" s="201" t="str">
        <f t="shared" si="2"/>
        <v/>
      </c>
      <c r="L161" s="201" t="str">
        <f>IFERROR(COUNTIF($C$21:C161,C161)&amp;CHOOSE(MIN(4,COUNTIF($C$21:C161,C161)),"st","nd","rd","th"),"")</f>
        <v/>
      </c>
    </row>
    <row r="162" spans="4:12" x14ac:dyDescent="0.25">
      <c r="D162" s="201" t="str">
        <f t="shared" si="2"/>
        <v/>
      </c>
      <c r="L162" s="201" t="str">
        <f>IFERROR(COUNTIF($C$21:C162,C162)&amp;CHOOSE(MIN(4,COUNTIF($C$21:C162,C162)),"st","nd","rd","th"),"")</f>
        <v/>
      </c>
    </row>
    <row r="163" spans="4:12" x14ac:dyDescent="0.25">
      <c r="D163" s="201" t="str">
        <f t="shared" si="2"/>
        <v/>
      </c>
      <c r="L163" s="201" t="str">
        <f>IFERROR(COUNTIF($C$21:C163,C163)&amp;CHOOSE(MIN(4,COUNTIF($C$21:C163,C163)),"st","nd","rd","th"),"")</f>
        <v/>
      </c>
    </row>
    <row r="164" spans="4:12" x14ac:dyDescent="0.25">
      <c r="D164" s="201" t="str">
        <f t="shared" si="2"/>
        <v/>
      </c>
      <c r="L164" s="201" t="str">
        <f>IFERROR(COUNTIF($C$21:C164,C164)&amp;CHOOSE(MIN(4,COUNTIF($C$21:C164,C164)),"st","nd","rd","th"),"")</f>
        <v/>
      </c>
    </row>
    <row r="165" spans="4:12" x14ac:dyDescent="0.25">
      <c r="D165" s="201" t="str">
        <f t="shared" si="2"/>
        <v/>
      </c>
      <c r="L165" s="201" t="str">
        <f>IFERROR(COUNTIF($C$21:C165,C165)&amp;CHOOSE(MIN(4,COUNTIF($C$21:C165,C165)),"st","nd","rd","th"),"")</f>
        <v/>
      </c>
    </row>
    <row r="166" spans="4:12" x14ac:dyDescent="0.25">
      <c r="D166" s="201" t="str">
        <f t="shared" si="2"/>
        <v/>
      </c>
      <c r="L166" s="201" t="str">
        <f>IFERROR(COUNTIF($C$21:C166,C166)&amp;CHOOSE(MIN(4,COUNTIF($C$21:C166,C166)),"st","nd","rd","th"),"")</f>
        <v/>
      </c>
    </row>
    <row r="167" spans="4:12" x14ac:dyDescent="0.25">
      <c r="D167" s="201" t="str">
        <f t="shared" si="2"/>
        <v/>
      </c>
      <c r="L167" s="201" t="str">
        <f>IFERROR(COUNTIF($C$21:C167,C167)&amp;CHOOSE(MIN(4,COUNTIF($C$21:C167,C167)),"st","nd","rd","th"),"")</f>
        <v/>
      </c>
    </row>
    <row r="168" spans="4:12" x14ac:dyDescent="0.25">
      <c r="D168" s="201" t="str">
        <f t="shared" si="2"/>
        <v/>
      </c>
      <c r="L168" s="201" t="str">
        <f>IFERROR(COUNTIF($C$21:C168,C168)&amp;CHOOSE(MIN(4,COUNTIF($C$21:C168,C168)),"st","nd","rd","th"),"")</f>
        <v/>
      </c>
    </row>
    <row r="169" spans="4:12" x14ac:dyDescent="0.25">
      <c r="D169" s="201" t="str">
        <f t="shared" si="2"/>
        <v/>
      </c>
      <c r="L169" s="201" t="str">
        <f>IFERROR(COUNTIF($C$21:C169,C169)&amp;CHOOSE(MIN(4,COUNTIF($C$21:C169,C169)),"st","nd","rd","th"),"")</f>
        <v/>
      </c>
    </row>
    <row r="170" spans="4:12" x14ac:dyDescent="0.25">
      <c r="D170" s="201" t="str">
        <f t="shared" si="2"/>
        <v/>
      </c>
      <c r="L170" s="201" t="str">
        <f>IFERROR(COUNTIF($C$21:C170,C170)&amp;CHOOSE(MIN(4,COUNTIF($C$21:C170,C170)),"st","nd","rd","th"),"")</f>
        <v/>
      </c>
    </row>
    <row r="171" spans="4:12" x14ac:dyDescent="0.25">
      <c r="D171" s="201" t="str">
        <f t="shared" si="2"/>
        <v/>
      </c>
      <c r="L171" s="201" t="str">
        <f>IFERROR(COUNTIF($C$21:C171,C171)&amp;CHOOSE(MIN(4,COUNTIF($C$21:C171,C171)),"st","nd","rd","th"),"")</f>
        <v/>
      </c>
    </row>
    <row r="172" spans="4:12" x14ac:dyDescent="0.25">
      <c r="D172" s="201" t="str">
        <f t="shared" si="2"/>
        <v/>
      </c>
      <c r="L172" s="201" t="str">
        <f>IFERROR(COUNTIF($C$21:C172,C172)&amp;CHOOSE(MIN(4,COUNTIF($C$21:C172,C172)),"st","nd","rd","th"),"")</f>
        <v/>
      </c>
    </row>
    <row r="173" spans="4:12" x14ac:dyDescent="0.25">
      <c r="D173" s="201" t="str">
        <f t="shared" si="2"/>
        <v/>
      </c>
      <c r="L173" s="201" t="str">
        <f>IFERROR(COUNTIF($C$21:C173,C173)&amp;CHOOSE(MIN(4,COUNTIF($C$21:C173,C173)),"st","nd","rd","th"),"")</f>
        <v/>
      </c>
    </row>
    <row r="174" spans="4:12" x14ac:dyDescent="0.25">
      <c r="D174" s="201" t="str">
        <f t="shared" si="2"/>
        <v/>
      </c>
      <c r="L174" s="201" t="str">
        <f>IFERROR(COUNTIF($C$21:C174,C174)&amp;CHOOSE(MIN(4,COUNTIF($C$21:C174,C174)),"st","nd","rd","th"),"")</f>
        <v/>
      </c>
    </row>
    <row r="175" spans="4:12" x14ac:dyDescent="0.25">
      <c r="D175" s="201" t="str">
        <f t="shared" si="2"/>
        <v/>
      </c>
      <c r="L175" s="201" t="str">
        <f>IFERROR(COUNTIF($C$21:C175,C175)&amp;CHOOSE(MIN(4,COUNTIF($C$21:C175,C175)),"st","nd","rd","th"),"")</f>
        <v/>
      </c>
    </row>
    <row r="176" spans="4:12" x14ac:dyDescent="0.25">
      <c r="D176" s="201" t="str">
        <f t="shared" si="2"/>
        <v/>
      </c>
      <c r="L176" s="201" t="str">
        <f>IFERROR(COUNTIF($C$21:C176,C176)&amp;CHOOSE(MIN(4,COUNTIF($C$21:C176,C176)),"st","nd","rd","th"),"")</f>
        <v/>
      </c>
    </row>
    <row r="177" spans="4:12" x14ac:dyDescent="0.25">
      <c r="D177" s="201" t="str">
        <f t="shared" si="2"/>
        <v/>
      </c>
      <c r="L177" s="201" t="str">
        <f>IFERROR(COUNTIF($C$21:C177,C177)&amp;CHOOSE(MIN(4,COUNTIF($C$21:C177,C177)),"st","nd","rd","th"),"")</f>
        <v/>
      </c>
    </row>
    <row r="178" spans="4:12" x14ac:dyDescent="0.25">
      <c r="D178" s="201" t="str">
        <f t="shared" si="2"/>
        <v/>
      </c>
      <c r="L178" s="201" t="str">
        <f>IFERROR(COUNTIF($C$21:C178,C178)&amp;CHOOSE(MIN(4,COUNTIF($C$21:C178,C178)),"st","nd","rd","th"),"")</f>
        <v/>
      </c>
    </row>
    <row r="179" spans="4:12" x14ac:dyDescent="0.25">
      <c r="D179" s="201" t="str">
        <f t="shared" si="2"/>
        <v/>
      </c>
      <c r="L179" s="201" t="str">
        <f>IFERROR(COUNTIF($C$21:C179,C179)&amp;CHOOSE(MIN(4,COUNTIF($C$21:C179,C179)),"st","nd","rd","th"),"")</f>
        <v/>
      </c>
    </row>
    <row r="180" spans="4:12" x14ac:dyDescent="0.25">
      <c r="D180" s="201" t="str">
        <f t="shared" si="2"/>
        <v/>
      </c>
      <c r="L180" s="201" t="str">
        <f>IFERROR(COUNTIF($C$21:C180,C180)&amp;CHOOSE(MIN(4,COUNTIF($C$21:C180,C180)),"st","nd","rd","th"),"")</f>
        <v/>
      </c>
    </row>
    <row r="181" spans="4:12" x14ac:dyDescent="0.25">
      <c r="D181" s="201" t="str">
        <f t="shared" si="2"/>
        <v/>
      </c>
      <c r="L181" s="201" t="str">
        <f>IFERROR(COUNTIF($C$21:C181,C181)&amp;CHOOSE(MIN(4,COUNTIF($C$21:C181,C181)),"st","nd","rd","th"),"")</f>
        <v/>
      </c>
    </row>
    <row r="182" spans="4:12" x14ac:dyDescent="0.25">
      <c r="D182" s="201" t="str">
        <f t="shared" si="2"/>
        <v/>
      </c>
      <c r="L182" s="201" t="str">
        <f>IFERROR(COUNTIF($C$21:C182,C182)&amp;CHOOSE(MIN(4,COUNTIF($C$21:C182,C182)),"st","nd","rd","th"),"")</f>
        <v/>
      </c>
    </row>
    <row r="183" spans="4:12" x14ac:dyDescent="0.25">
      <c r="D183" s="201" t="str">
        <f t="shared" si="2"/>
        <v/>
      </c>
      <c r="L183" s="201" t="str">
        <f>IFERROR(COUNTIF($C$21:C183,C183)&amp;CHOOSE(MIN(4,COUNTIF($C$21:C183,C183)),"st","nd","rd","th"),"")</f>
        <v/>
      </c>
    </row>
    <row r="184" spans="4:12" x14ac:dyDescent="0.25">
      <c r="D184" s="201" t="str">
        <f t="shared" si="2"/>
        <v/>
      </c>
      <c r="L184" s="201" t="str">
        <f>IFERROR(COUNTIF($C$21:C184,C184)&amp;CHOOSE(MIN(4,COUNTIF($C$21:C184,C184)),"st","nd","rd","th"),"")</f>
        <v/>
      </c>
    </row>
    <row r="185" spans="4:12" x14ac:dyDescent="0.25">
      <c r="D185" s="201" t="str">
        <f t="shared" si="2"/>
        <v/>
      </c>
      <c r="L185" s="201" t="str">
        <f>IFERROR(COUNTIF($C$21:C185,C185)&amp;CHOOSE(MIN(4,COUNTIF($C$21:C185,C185)),"st","nd","rd","th"),"")</f>
        <v/>
      </c>
    </row>
    <row r="186" spans="4:12" x14ac:dyDescent="0.25">
      <c r="D186" s="201" t="str">
        <f t="shared" si="2"/>
        <v/>
      </c>
      <c r="L186" s="201" t="str">
        <f>IFERROR(COUNTIF($C$21:C186,C186)&amp;CHOOSE(MIN(4,COUNTIF($C$21:C186,C186)),"st","nd","rd","th"),"")</f>
        <v/>
      </c>
    </row>
    <row r="187" spans="4:12" x14ac:dyDescent="0.25">
      <c r="D187" s="201" t="str">
        <f t="shared" si="2"/>
        <v/>
      </c>
      <c r="L187" s="201" t="str">
        <f>IFERROR(COUNTIF($C$21:C187,C187)&amp;CHOOSE(MIN(4,COUNTIF($C$21:C187,C187)),"st","nd","rd","th"),"")</f>
        <v/>
      </c>
    </row>
    <row r="188" spans="4:12" x14ac:dyDescent="0.25">
      <c r="D188" s="201" t="str">
        <f t="shared" si="2"/>
        <v/>
      </c>
      <c r="L188" s="201" t="str">
        <f>IFERROR(COUNTIF($C$21:C188,C188)&amp;CHOOSE(MIN(4,COUNTIF($C$21:C188,C188)),"st","nd","rd","th"),"")</f>
        <v/>
      </c>
    </row>
    <row r="189" spans="4:12" x14ac:dyDescent="0.25">
      <c r="D189" s="201" t="str">
        <f t="shared" si="2"/>
        <v/>
      </c>
      <c r="L189" s="201" t="str">
        <f>IFERROR(COUNTIF($C$21:C189,C189)&amp;CHOOSE(MIN(4,COUNTIF($C$21:C189,C189)),"st","nd","rd","th"),"")</f>
        <v/>
      </c>
    </row>
    <row r="190" spans="4:12" x14ac:dyDescent="0.25">
      <c r="D190" s="201" t="str">
        <f t="shared" si="2"/>
        <v/>
      </c>
      <c r="L190" s="201" t="str">
        <f>IFERROR(COUNTIF($C$21:C190,C190)&amp;CHOOSE(MIN(4,COUNTIF($C$21:C190,C190)),"st","nd","rd","th"),"")</f>
        <v/>
      </c>
    </row>
    <row r="191" spans="4:12" x14ac:dyDescent="0.25">
      <c r="D191" s="201" t="str">
        <f t="shared" si="2"/>
        <v/>
      </c>
      <c r="L191" s="201" t="str">
        <f>IFERROR(COUNTIF($C$21:C191,C191)&amp;CHOOSE(MIN(4,COUNTIF($C$21:C191,C191)),"st","nd","rd","th"),"")</f>
        <v/>
      </c>
    </row>
    <row r="192" spans="4:12" x14ac:dyDescent="0.25">
      <c r="D192" s="201" t="str">
        <f t="shared" si="2"/>
        <v/>
      </c>
      <c r="L192" s="201" t="str">
        <f>IFERROR(COUNTIF($C$21:C192,C192)&amp;CHOOSE(MIN(4,COUNTIF($C$21:C192,C192)),"st","nd","rd","th"),"")</f>
        <v/>
      </c>
    </row>
    <row r="193" spans="4:12" x14ac:dyDescent="0.25">
      <c r="D193" s="201" t="str">
        <f t="shared" si="2"/>
        <v/>
      </c>
      <c r="L193" s="201" t="str">
        <f>IFERROR(COUNTIF($C$21:C193,C193)&amp;CHOOSE(MIN(4,COUNTIF($C$21:C193,C193)),"st","nd","rd","th"),"")</f>
        <v/>
      </c>
    </row>
    <row r="194" spans="4:12" x14ac:dyDescent="0.25">
      <c r="D194" s="201" t="str">
        <f t="shared" si="2"/>
        <v/>
      </c>
      <c r="L194" s="201" t="str">
        <f>IFERROR(COUNTIF($C$21:C194,C194)&amp;CHOOSE(MIN(4,COUNTIF($C$21:C194,C194)),"st","nd","rd","th"),"")</f>
        <v/>
      </c>
    </row>
    <row r="195" spans="4:12" x14ac:dyDescent="0.25">
      <c r="D195" s="201" t="str">
        <f t="shared" si="2"/>
        <v/>
      </c>
      <c r="L195" s="201" t="str">
        <f>IFERROR(COUNTIF($C$21:C195,C195)&amp;CHOOSE(MIN(4,COUNTIF($C$21:C195,C195)),"st","nd","rd","th"),"")</f>
        <v/>
      </c>
    </row>
    <row r="196" spans="4:12" x14ac:dyDescent="0.25">
      <c r="D196" s="201" t="str">
        <f t="shared" si="2"/>
        <v/>
      </c>
      <c r="L196" s="201" t="str">
        <f>IFERROR(COUNTIF($C$21:C196,C196)&amp;CHOOSE(MIN(4,COUNTIF($C$21:C196,C196)),"st","nd","rd","th"),"")</f>
        <v/>
      </c>
    </row>
    <row r="197" spans="4:12" x14ac:dyDescent="0.25">
      <c r="D197" s="201" t="str">
        <f t="shared" si="2"/>
        <v/>
      </c>
      <c r="L197" s="201" t="str">
        <f>IFERROR(COUNTIF($C$21:C197,C197)&amp;CHOOSE(MIN(4,COUNTIF($C$21:C197,C197)),"st","nd","rd","th"),"")</f>
        <v/>
      </c>
    </row>
    <row r="198" spans="4:12" x14ac:dyDescent="0.25">
      <c r="D198" s="201" t="str">
        <f t="shared" si="2"/>
        <v/>
      </c>
      <c r="L198" s="201" t="str">
        <f>IFERROR(COUNTIF($C$21:C198,C198)&amp;CHOOSE(MIN(4,COUNTIF($C$21:C198,C198)),"st","nd","rd","th"),"")</f>
        <v/>
      </c>
    </row>
    <row r="199" spans="4:12" x14ac:dyDescent="0.25">
      <c r="D199" s="201" t="str">
        <f t="shared" si="2"/>
        <v/>
      </c>
      <c r="L199" s="201" t="str">
        <f>IFERROR(COUNTIF($C$21:C199,C199)&amp;CHOOSE(MIN(4,COUNTIF($C$21:C199,C199)),"st","nd","rd","th"),"")</f>
        <v/>
      </c>
    </row>
    <row r="200" spans="4:12" x14ac:dyDescent="0.25">
      <c r="D200" s="201" t="str">
        <f t="shared" si="2"/>
        <v/>
      </c>
      <c r="L200" s="201" t="str">
        <f>IFERROR(COUNTIF($C$21:C200,C200)&amp;CHOOSE(MIN(4,COUNTIF($C$21:C200,C200)),"st","nd","rd","th"),"")</f>
        <v/>
      </c>
    </row>
    <row r="201" spans="4:12" x14ac:dyDescent="0.25">
      <c r="D201" s="201" t="str">
        <f t="shared" si="2"/>
        <v/>
      </c>
      <c r="L201" s="201" t="str">
        <f>IFERROR(COUNTIF($C$21:C201,C201)&amp;CHOOSE(MIN(4,COUNTIF($C$21:C201,C201)),"st","nd","rd","th"),"")</f>
        <v/>
      </c>
    </row>
    <row r="202" spans="4:12" x14ac:dyDescent="0.25">
      <c r="D202" s="201" t="str">
        <f t="shared" si="2"/>
        <v/>
      </c>
      <c r="L202" s="201" t="str">
        <f>IFERROR(COUNTIF($C$21:C202,C202)&amp;CHOOSE(MIN(4,COUNTIF($C$21:C202,C202)),"st","nd","rd","th"),"")</f>
        <v/>
      </c>
    </row>
    <row r="203" spans="4:12" x14ac:dyDescent="0.25">
      <c r="D203" s="201" t="str">
        <f t="shared" si="2"/>
        <v/>
      </c>
      <c r="L203" s="201" t="str">
        <f>IFERROR(COUNTIF($C$21:C203,C203)&amp;CHOOSE(MIN(4,COUNTIF($C$21:C203,C203)),"st","nd","rd","th"),"")</f>
        <v/>
      </c>
    </row>
    <row r="204" spans="4:12" x14ac:dyDescent="0.25">
      <c r="D204" s="201" t="str">
        <f t="shared" si="2"/>
        <v/>
      </c>
      <c r="L204" s="201" t="str">
        <f>IFERROR(COUNTIF($C$21:C204,C204)&amp;CHOOSE(MIN(4,COUNTIF($C$21:C204,C204)),"st","nd","rd","th"),"")</f>
        <v/>
      </c>
    </row>
    <row r="205" spans="4:12" x14ac:dyDescent="0.25">
      <c r="D205" s="201" t="str">
        <f t="shared" si="2"/>
        <v/>
      </c>
      <c r="L205" s="201" t="str">
        <f>IFERROR(COUNTIF($C$21:C205,C205)&amp;CHOOSE(MIN(4,COUNTIF($C$21:C205,C205)),"st","nd","rd","th"),"")</f>
        <v/>
      </c>
    </row>
    <row r="206" spans="4:12" x14ac:dyDescent="0.25">
      <c r="D206" s="201" t="str">
        <f t="shared" si="2"/>
        <v/>
      </c>
      <c r="L206" s="201" t="str">
        <f>IFERROR(COUNTIF($C$21:C206,C206)&amp;CHOOSE(MIN(4,COUNTIF($C$21:C206,C206)),"st","nd","rd","th"),"")</f>
        <v/>
      </c>
    </row>
    <row r="207" spans="4:12" x14ac:dyDescent="0.25">
      <c r="D207" s="201" t="str">
        <f t="shared" si="2"/>
        <v/>
      </c>
      <c r="L207" s="201" t="str">
        <f>IFERROR(COUNTIF($C$21:C207,C207)&amp;CHOOSE(MIN(4,COUNTIF($C$21:C207,C207)),"st","nd","rd","th"),"")</f>
        <v/>
      </c>
    </row>
    <row r="208" spans="4:12" x14ac:dyDescent="0.25">
      <c r="D208" s="201" t="str">
        <f t="shared" si="2"/>
        <v/>
      </c>
      <c r="L208" s="201" t="str">
        <f>IFERROR(COUNTIF($C$21:C208,C208)&amp;CHOOSE(MIN(4,COUNTIF($C$21:C208,C208)),"st","nd","rd","th"),"")</f>
        <v/>
      </c>
    </row>
    <row r="209" spans="4:12" x14ac:dyDescent="0.25">
      <c r="D209" s="201" t="str">
        <f t="shared" si="2"/>
        <v/>
      </c>
      <c r="L209" s="201" t="str">
        <f>IFERROR(COUNTIF($C$21:C209,C209)&amp;CHOOSE(MIN(4,COUNTIF($C$21:C209,C209)),"st","nd","rd","th"),"")</f>
        <v/>
      </c>
    </row>
    <row r="210" spans="4:12" x14ac:dyDescent="0.25">
      <c r="D210" s="201" t="str">
        <f t="shared" si="2"/>
        <v/>
      </c>
      <c r="L210" s="201" t="str">
        <f>IFERROR(COUNTIF($C$21:C210,C210)&amp;CHOOSE(MIN(4,COUNTIF($C$21:C210,C210)),"st","nd","rd","th"),"")</f>
        <v/>
      </c>
    </row>
    <row r="211" spans="4:12" x14ac:dyDescent="0.25">
      <c r="D211" s="201" t="str">
        <f t="shared" si="2"/>
        <v/>
      </c>
      <c r="L211" s="201" t="str">
        <f>IFERROR(COUNTIF($C$21:C211,C211)&amp;CHOOSE(MIN(4,COUNTIF($C$21:C211,C211)),"st","nd","rd","th"),"")</f>
        <v/>
      </c>
    </row>
    <row r="212" spans="4:12" x14ac:dyDescent="0.25">
      <c r="D212" s="201" t="str">
        <f t="shared" si="2"/>
        <v/>
      </c>
      <c r="L212" s="201" t="str">
        <f>IFERROR(COUNTIF($C$21:C212,C212)&amp;CHOOSE(MIN(4,COUNTIF($C$21:C212,C212)),"st","nd","rd","th"),"")</f>
        <v/>
      </c>
    </row>
    <row r="213" spans="4:12" x14ac:dyDescent="0.25">
      <c r="D213" s="201" t="str">
        <f t="shared" si="2"/>
        <v/>
      </c>
      <c r="L213" s="201" t="str">
        <f>IFERROR(COUNTIF($C$21:C213,C213)&amp;CHOOSE(MIN(4,COUNTIF($C$21:C213,C213)),"st","nd","rd","th"),"")</f>
        <v/>
      </c>
    </row>
    <row r="214" spans="4:12" x14ac:dyDescent="0.25">
      <c r="D214" s="201" t="str">
        <f t="shared" ref="D214:D277" si="3">IF(B214="","",IF(B214="Province_PLGU","PLGU","City / Municipality"))</f>
        <v/>
      </c>
      <c r="L214" s="201" t="str">
        <f>IFERROR(COUNTIF($C$21:C214,C214)&amp;CHOOSE(MIN(4,COUNTIF($C$21:C214,C214)),"st","nd","rd","th"),"")</f>
        <v/>
      </c>
    </row>
    <row r="215" spans="4:12" x14ac:dyDescent="0.25">
      <c r="D215" s="201" t="str">
        <f t="shared" si="3"/>
        <v/>
      </c>
      <c r="L215" s="201" t="str">
        <f>IFERROR(COUNTIF($C$21:C215,C215)&amp;CHOOSE(MIN(4,COUNTIF($C$21:C215,C215)),"st","nd","rd","th"),"")</f>
        <v/>
      </c>
    </row>
    <row r="216" spans="4:12" x14ac:dyDescent="0.25">
      <c r="D216" s="201" t="str">
        <f t="shared" si="3"/>
        <v/>
      </c>
      <c r="L216" s="201" t="str">
        <f>IFERROR(COUNTIF($C$21:C216,C216)&amp;CHOOSE(MIN(4,COUNTIF($C$21:C216,C216)),"st","nd","rd","th"),"")</f>
        <v/>
      </c>
    </row>
    <row r="217" spans="4:12" x14ac:dyDescent="0.25">
      <c r="D217" s="201" t="str">
        <f t="shared" si="3"/>
        <v/>
      </c>
      <c r="L217" s="201" t="str">
        <f>IFERROR(COUNTIF($C$21:C217,C217)&amp;CHOOSE(MIN(4,COUNTIF($C$21:C217,C217)),"st","nd","rd","th"),"")</f>
        <v/>
      </c>
    </row>
    <row r="218" spans="4:12" x14ac:dyDescent="0.25">
      <c r="D218" s="201" t="str">
        <f t="shared" si="3"/>
        <v/>
      </c>
      <c r="L218" s="201" t="str">
        <f>IFERROR(COUNTIF($C$21:C218,C218)&amp;CHOOSE(MIN(4,COUNTIF($C$21:C218,C218)),"st","nd","rd","th"),"")</f>
        <v/>
      </c>
    </row>
    <row r="219" spans="4:12" x14ac:dyDescent="0.25">
      <c r="D219" s="201" t="str">
        <f t="shared" si="3"/>
        <v/>
      </c>
      <c r="L219" s="201" t="str">
        <f>IFERROR(COUNTIF($C$21:C219,C219)&amp;CHOOSE(MIN(4,COUNTIF($C$21:C219,C219)),"st","nd","rd","th"),"")</f>
        <v/>
      </c>
    </row>
    <row r="220" spans="4:12" x14ac:dyDescent="0.25">
      <c r="D220" s="201" t="str">
        <f t="shared" si="3"/>
        <v/>
      </c>
      <c r="L220" s="201" t="str">
        <f>IFERROR(COUNTIF($C$21:C220,C220)&amp;CHOOSE(MIN(4,COUNTIF($C$21:C220,C220)),"st","nd","rd","th"),"")</f>
        <v/>
      </c>
    </row>
    <row r="221" spans="4:12" x14ac:dyDescent="0.25">
      <c r="D221" s="201" t="str">
        <f t="shared" si="3"/>
        <v/>
      </c>
      <c r="L221" s="201" t="str">
        <f>IFERROR(COUNTIF($C$21:C221,C221)&amp;CHOOSE(MIN(4,COUNTIF($C$21:C221,C221)),"st","nd","rd","th"),"")</f>
        <v/>
      </c>
    </row>
    <row r="222" spans="4:12" x14ac:dyDescent="0.25">
      <c r="D222" s="201" t="str">
        <f t="shared" si="3"/>
        <v/>
      </c>
      <c r="L222" s="201" t="str">
        <f>IFERROR(COUNTIF($C$21:C222,C222)&amp;CHOOSE(MIN(4,COUNTIF($C$21:C222,C222)),"st","nd","rd","th"),"")</f>
        <v/>
      </c>
    </row>
    <row r="223" spans="4:12" x14ac:dyDescent="0.25">
      <c r="D223" s="201" t="str">
        <f t="shared" si="3"/>
        <v/>
      </c>
      <c r="L223" s="201" t="str">
        <f>IFERROR(COUNTIF($C$21:C223,C223)&amp;CHOOSE(MIN(4,COUNTIF($C$21:C223,C223)),"st","nd","rd","th"),"")</f>
        <v/>
      </c>
    </row>
    <row r="224" spans="4:12" x14ac:dyDescent="0.25">
      <c r="D224" s="201" t="str">
        <f t="shared" si="3"/>
        <v/>
      </c>
      <c r="L224" s="201" t="str">
        <f>IFERROR(COUNTIF($C$21:C224,C224)&amp;CHOOSE(MIN(4,COUNTIF($C$21:C224,C224)),"st","nd","rd","th"),"")</f>
        <v/>
      </c>
    </row>
    <row r="225" spans="4:12" x14ac:dyDescent="0.25">
      <c r="D225" s="201" t="str">
        <f t="shared" si="3"/>
        <v/>
      </c>
      <c r="L225" s="201" t="str">
        <f>IFERROR(COUNTIF($C$21:C225,C225)&amp;CHOOSE(MIN(4,COUNTIF($C$21:C225,C225)),"st","nd","rd","th"),"")</f>
        <v/>
      </c>
    </row>
    <row r="226" spans="4:12" x14ac:dyDescent="0.25">
      <c r="D226" s="201" t="str">
        <f t="shared" si="3"/>
        <v/>
      </c>
      <c r="L226" s="201" t="str">
        <f>IFERROR(COUNTIF($C$21:C226,C226)&amp;CHOOSE(MIN(4,COUNTIF($C$21:C226,C226)),"st","nd","rd","th"),"")</f>
        <v/>
      </c>
    </row>
    <row r="227" spans="4:12" x14ac:dyDescent="0.25">
      <c r="D227" s="201" t="str">
        <f t="shared" si="3"/>
        <v/>
      </c>
      <c r="L227" s="201" t="str">
        <f>IFERROR(COUNTIF($C$21:C227,C227)&amp;CHOOSE(MIN(4,COUNTIF($C$21:C227,C227)),"st","nd","rd","th"),"")</f>
        <v/>
      </c>
    </row>
    <row r="228" spans="4:12" x14ac:dyDescent="0.25">
      <c r="D228" s="201" t="str">
        <f t="shared" si="3"/>
        <v/>
      </c>
      <c r="L228" s="201" t="str">
        <f>IFERROR(COUNTIF($C$21:C228,C228)&amp;CHOOSE(MIN(4,COUNTIF($C$21:C228,C228)),"st","nd","rd","th"),"")</f>
        <v/>
      </c>
    </row>
    <row r="229" spans="4:12" x14ac:dyDescent="0.25">
      <c r="D229" s="201" t="str">
        <f t="shared" si="3"/>
        <v/>
      </c>
      <c r="L229" s="201" t="str">
        <f>IFERROR(COUNTIF($C$21:C229,C229)&amp;CHOOSE(MIN(4,COUNTIF($C$21:C229,C229)),"st","nd","rd","th"),"")</f>
        <v/>
      </c>
    </row>
    <row r="230" spans="4:12" x14ac:dyDescent="0.25">
      <c r="D230" s="201" t="str">
        <f t="shared" si="3"/>
        <v/>
      </c>
      <c r="L230" s="201" t="str">
        <f>IFERROR(COUNTIF($C$21:C230,C230)&amp;CHOOSE(MIN(4,COUNTIF($C$21:C230,C230)),"st","nd","rd","th"),"")</f>
        <v/>
      </c>
    </row>
    <row r="231" spans="4:12" x14ac:dyDescent="0.25">
      <c r="D231" s="201" t="str">
        <f t="shared" si="3"/>
        <v/>
      </c>
      <c r="L231" s="201" t="str">
        <f>IFERROR(COUNTIF($C$21:C231,C231)&amp;CHOOSE(MIN(4,COUNTIF($C$21:C231,C231)),"st","nd","rd","th"),"")</f>
        <v/>
      </c>
    </row>
    <row r="232" spans="4:12" x14ac:dyDescent="0.25">
      <c r="D232" s="201" t="str">
        <f t="shared" si="3"/>
        <v/>
      </c>
      <c r="L232" s="201" t="str">
        <f>IFERROR(COUNTIF($C$21:C232,C232)&amp;CHOOSE(MIN(4,COUNTIF($C$21:C232,C232)),"st","nd","rd","th"),"")</f>
        <v/>
      </c>
    </row>
    <row r="233" spans="4:12" x14ac:dyDescent="0.25">
      <c r="D233" s="201" t="str">
        <f t="shared" si="3"/>
        <v/>
      </c>
      <c r="L233" s="201" t="str">
        <f>IFERROR(COUNTIF($C$21:C233,C233)&amp;CHOOSE(MIN(4,COUNTIF($C$21:C233,C233)),"st","nd","rd","th"),"")</f>
        <v/>
      </c>
    </row>
    <row r="234" spans="4:12" x14ac:dyDescent="0.25">
      <c r="D234" s="201" t="str">
        <f t="shared" si="3"/>
        <v/>
      </c>
      <c r="L234" s="201" t="str">
        <f>IFERROR(COUNTIF($C$21:C234,C234)&amp;CHOOSE(MIN(4,COUNTIF($C$21:C234,C234)),"st","nd","rd","th"),"")</f>
        <v/>
      </c>
    </row>
    <row r="235" spans="4:12" x14ac:dyDescent="0.25">
      <c r="D235" s="201" t="str">
        <f t="shared" si="3"/>
        <v/>
      </c>
      <c r="L235" s="201" t="str">
        <f>IFERROR(COUNTIF($C$21:C235,C235)&amp;CHOOSE(MIN(4,COUNTIF($C$21:C235,C235)),"st","nd","rd","th"),"")</f>
        <v/>
      </c>
    </row>
    <row r="236" spans="4:12" x14ac:dyDescent="0.25">
      <c r="D236" s="201" t="str">
        <f t="shared" si="3"/>
        <v/>
      </c>
      <c r="L236" s="201" t="str">
        <f>IFERROR(COUNTIF($C$21:C236,C236)&amp;CHOOSE(MIN(4,COUNTIF($C$21:C236,C236)),"st","nd","rd","th"),"")</f>
        <v/>
      </c>
    </row>
    <row r="237" spans="4:12" x14ac:dyDescent="0.25">
      <c r="D237" s="201" t="str">
        <f t="shared" si="3"/>
        <v/>
      </c>
      <c r="L237" s="201" t="str">
        <f>IFERROR(COUNTIF($C$21:C237,C237)&amp;CHOOSE(MIN(4,COUNTIF($C$21:C237,C237)),"st","nd","rd","th"),"")</f>
        <v/>
      </c>
    </row>
    <row r="238" spans="4:12" x14ac:dyDescent="0.25">
      <c r="D238" s="201" t="str">
        <f t="shared" si="3"/>
        <v/>
      </c>
      <c r="L238" s="201" t="str">
        <f>IFERROR(COUNTIF($C$21:C238,C238)&amp;CHOOSE(MIN(4,COUNTIF($C$21:C238,C238)),"st","nd","rd","th"),"")</f>
        <v/>
      </c>
    </row>
    <row r="239" spans="4:12" x14ac:dyDescent="0.25">
      <c r="D239" s="201" t="str">
        <f t="shared" si="3"/>
        <v/>
      </c>
      <c r="L239" s="201" t="str">
        <f>IFERROR(COUNTIF($C$21:C239,C239)&amp;CHOOSE(MIN(4,COUNTIF($C$21:C239,C239)),"st","nd","rd","th"),"")</f>
        <v/>
      </c>
    </row>
    <row r="240" spans="4:12" x14ac:dyDescent="0.25">
      <c r="D240" s="201" t="str">
        <f t="shared" si="3"/>
        <v/>
      </c>
      <c r="L240" s="201" t="str">
        <f>IFERROR(COUNTIF($C$21:C240,C240)&amp;CHOOSE(MIN(4,COUNTIF($C$21:C240,C240)),"st","nd","rd","th"),"")</f>
        <v/>
      </c>
    </row>
    <row r="241" spans="4:12" x14ac:dyDescent="0.25">
      <c r="D241" s="201" t="str">
        <f t="shared" si="3"/>
        <v/>
      </c>
      <c r="L241" s="201" t="str">
        <f>IFERROR(COUNTIF($C$21:C241,C241)&amp;CHOOSE(MIN(4,COUNTIF($C$21:C241,C241)),"st","nd","rd","th"),"")</f>
        <v/>
      </c>
    </row>
    <row r="242" spans="4:12" x14ac:dyDescent="0.25">
      <c r="D242" s="201" t="str">
        <f t="shared" si="3"/>
        <v/>
      </c>
      <c r="L242" s="201" t="str">
        <f>IFERROR(COUNTIF($C$21:C242,C242)&amp;CHOOSE(MIN(4,COUNTIF($C$21:C242,C242)),"st","nd","rd","th"),"")</f>
        <v/>
      </c>
    </row>
    <row r="243" spans="4:12" x14ac:dyDescent="0.25">
      <c r="D243" s="201" t="str">
        <f t="shared" si="3"/>
        <v/>
      </c>
      <c r="L243" s="201" t="str">
        <f>IFERROR(COUNTIF($C$21:C243,C243)&amp;CHOOSE(MIN(4,COUNTIF($C$21:C243,C243)),"st","nd","rd","th"),"")</f>
        <v/>
      </c>
    </row>
    <row r="244" spans="4:12" x14ac:dyDescent="0.25">
      <c r="D244" s="201" t="str">
        <f t="shared" si="3"/>
        <v/>
      </c>
      <c r="L244" s="201" t="str">
        <f>IFERROR(COUNTIF($C$21:C244,C244)&amp;CHOOSE(MIN(4,COUNTIF($C$21:C244,C244)),"st","nd","rd","th"),"")</f>
        <v/>
      </c>
    </row>
    <row r="245" spans="4:12" x14ac:dyDescent="0.25">
      <c r="D245" s="201" t="str">
        <f t="shared" si="3"/>
        <v/>
      </c>
      <c r="L245" s="201" t="str">
        <f>IFERROR(COUNTIF($C$21:C245,C245)&amp;CHOOSE(MIN(4,COUNTIF($C$21:C245,C245)),"st","nd","rd","th"),"")</f>
        <v/>
      </c>
    </row>
    <row r="246" spans="4:12" x14ac:dyDescent="0.25">
      <c r="D246" s="201" t="str">
        <f t="shared" si="3"/>
        <v/>
      </c>
      <c r="L246" s="201" t="str">
        <f>IFERROR(COUNTIF($C$21:C246,C246)&amp;CHOOSE(MIN(4,COUNTIF($C$21:C246,C246)),"st","nd","rd","th"),"")</f>
        <v/>
      </c>
    </row>
    <row r="247" spans="4:12" x14ac:dyDescent="0.25">
      <c r="D247" s="201" t="str">
        <f t="shared" si="3"/>
        <v/>
      </c>
      <c r="L247" s="201" t="str">
        <f>IFERROR(COUNTIF($C$21:C247,C247)&amp;CHOOSE(MIN(4,COUNTIF($C$21:C247,C247)),"st","nd","rd","th"),"")</f>
        <v/>
      </c>
    </row>
    <row r="248" spans="4:12" x14ac:dyDescent="0.25">
      <c r="D248" s="201" t="str">
        <f t="shared" si="3"/>
        <v/>
      </c>
      <c r="L248" s="201" t="str">
        <f>IFERROR(COUNTIF($C$21:C248,C248)&amp;CHOOSE(MIN(4,COUNTIF($C$21:C248,C248)),"st","nd","rd","th"),"")</f>
        <v/>
      </c>
    </row>
    <row r="249" spans="4:12" x14ac:dyDescent="0.25">
      <c r="D249" s="201" t="str">
        <f t="shared" si="3"/>
        <v/>
      </c>
      <c r="L249" s="201" t="str">
        <f>IFERROR(COUNTIF($C$21:C249,C249)&amp;CHOOSE(MIN(4,COUNTIF($C$21:C249,C249)),"st","nd","rd","th"),"")</f>
        <v/>
      </c>
    </row>
    <row r="250" spans="4:12" x14ac:dyDescent="0.25">
      <c r="D250" s="201" t="str">
        <f t="shared" si="3"/>
        <v/>
      </c>
      <c r="L250" s="201" t="str">
        <f>IFERROR(COUNTIF($C$21:C250,C250)&amp;CHOOSE(MIN(4,COUNTIF($C$21:C250,C250)),"st","nd","rd","th"),"")</f>
        <v/>
      </c>
    </row>
    <row r="251" spans="4:12" x14ac:dyDescent="0.25">
      <c r="D251" s="201" t="str">
        <f t="shared" si="3"/>
        <v/>
      </c>
      <c r="L251" s="201" t="str">
        <f>IFERROR(COUNTIF($C$21:C251,C251)&amp;CHOOSE(MIN(4,COUNTIF($C$21:C251,C251)),"st","nd","rd","th"),"")</f>
        <v/>
      </c>
    </row>
    <row r="252" spans="4:12" x14ac:dyDescent="0.25">
      <c r="D252" s="201" t="str">
        <f t="shared" si="3"/>
        <v/>
      </c>
      <c r="L252" s="201" t="str">
        <f>IFERROR(COUNTIF($C$21:C252,C252)&amp;CHOOSE(MIN(4,COUNTIF($C$21:C252,C252)),"st","nd","rd","th"),"")</f>
        <v/>
      </c>
    </row>
    <row r="253" spans="4:12" x14ac:dyDescent="0.25">
      <c r="D253" s="201" t="str">
        <f t="shared" si="3"/>
        <v/>
      </c>
      <c r="L253" s="201" t="str">
        <f>IFERROR(COUNTIF($C$21:C253,C253)&amp;CHOOSE(MIN(4,COUNTIF($C$21:C253,C253)),"st","nd","rd","th"),"")</f>
        <v/>
      </c>
    </row>
    <row r="254" spans="4:12" x14ac:dyDescent="0.25">
      <c r="D254" s="201" t="str">
        <f t="shared" si="3"/>
        <v/>
      </c>
      <c r="L254" s="201" t="str">
        <f>IFERROR(COUNTIF($C$21:C254,C254)&amp;CHOOSE(MIN(4,COUNTIF($C$21:C254,C254)),"st","nd","rd","th"),"")</f>
        <v/>
      </c>
    </row>
    <row r="255" spans="4:12" x14ac:dyDescent="0.25">
      <c r="D255" s="201" t="str">
        <f t="shared" si="3"/>
        <v/>
      </c>
      <c r="L255" s="201" t="str">
        <f>IFERROR(COUNTIF($C$21:C255,C255)&amp;CHOOSE(MIN(4,COUNTIF($C$21:C255,C255)),"st","nd","rd","th"),"")</f>
        <v/>
      </c>
    </row>
    <row r="256" spans="4:12" x14ac:dyDescent="0.25">
      <c r="D256" s="201" t="str">
        <f t="shared" si="3"/>
        <v/>
      </c>
      <c r="L256" s="201" t="str">
        <f>IFERROR(COUNTIF($C$21:C256,C256)&amp;CHOOSE(MIN(4,COUNTIF($C$21:C256,C256)),"st","nd","rd","th"),"")</f>
        <v/>
      </c>
    </row>
    <row r="257" spans="4:12" x14ac:dyDescent="0.25">
      <c r="D257" s="201" t="str">
        <f t="shared" si="3"/>
        <v/>
      </c>
      <c r="L257" s="201" t="str">
        <f>IFERROR(COUNTIF($C$21:C257,C257)&amp;CHOOSE(MIN(4,COUNTIF($C$21:C257,C257)),"st","nd","rd","th"),"")</f>
        <v/>
      </c>
    </row>
    <row r="258" spans="4:12" x14ac:dyDescent="0.25">
      <c r="D258" s="201" t="str">
        <f t="shared" si="3"/>
        <v/>
      </c>
      <c r="L258" s="201" t="str">
        <f>IFERROR(COUNTIF($C$21:C258,C258)&amp;CHOOSE(MIN(4,COUNTIF($C$21:C258,C258)),"st","nd","rd","th"),"")</f>
        <v/>
      </c>
    </row>
    <row r="259" spans="4:12" x14ac:dyDescent="0.25">
      <c r="D259" s="201" t="str">
        <f t="shared" si="3"/>
        <v/>
      </c>
      <c r="L259" s="201" t="str">
        <f>IFERROR(COUNTIF($C$21:C259,C259)&amp;CHOOSE(MIN(4,COUNTIF($C$21:C259,C259)),"st","nd","rd","th"),"")</f>
        <v/>
      </c>
    </row>
    <row r="260" spans="4:12" x14ac:dyDescent="0.25">
      <c r="D260" s="201" t="str">
        <f t="shared" si="3"/>
        <v/>
      </c>
      <c r="L260" s="201" t="str">
        <f>IFERROR(COUNTIF($C$21:C260,C260)&amp;CHOOSE(MIN(4,COUNTIF($C$21:C260,C260)),"st","nd","rd","th"),"")</f>
        <v/>
      </c>
    </row>
    <row r="261" spans="4:12" x14ac:dyDescent="0.25">
      <c r="D261" s="201" t="str">
        <f t="shared" si="3"/>
        <v/>
      </c>
      <c r="L261" s="201" t="str">
        <f>IFERROR(COUNTIF($C$21:C261,C261)&amp;CHOOSE(MIN(4,COUNTIF($C$21:C261,C261)),"st","nd","rd","th"),"")</f>
        <v/>
      </c>
    </row>
    <row r="262" spans="4:12" x14ac:dyDescent="0.25">
      <c r="D262" s="201" t="str">
        <f t="shared" si="3"/>
        <v/>
      </c>
      <c r="L262" s="201" t="str">
        <f>IFERROR(COUNTIF($C$21:C262,C262)&amp;CHOOSE(MIN(4,COUNTIF($C$21:C262,C262)),"st","nd","rd","th"),"")</f>
        <v/>
      </c>
    </row>
    <row r="263" spans="4:12" x14ac:dyDescent="0.25">
      <c r="D263" s="201" t="str">
        <f t="shared" si="3"/>
        <v/>
      </c>
      <c r="L263" s="201" t="str">
        <f>IFERROR(COUNTIF($C$21:C263,C263)&amp;CHOOSE(MIN(4,COUNTIF($C$21:C263,C263)),"st","nd","rd","th"),"")</f>
        <v/>
      </c>
    </row>
    <row r="264" spans="4:12" x14ac:dyDescent="0.25">
      <c r="D264" s="201" t="str">
        <f t="shared" si="3"/>
        <v/>
      </c>
      <c r="L264" s="201" t="str">
        <f>IFERROR(COUNTIF($C$21:C264,C264)&amp;CHOOSE(MIN(4,COUNTIF($C$21:C264,C264)),"st","nd","rd","th"),"")</f>
        <v/>
      </c>
    </row>
    <row r="265" spans="4:12" x14ac:dyDescent="0.25">
      <c r="D265" s="201" t="str">
        <f t="shared" si="3"/>
        <v/>
      </c>
      <c r="L265" s="201" t="str">
        <f>IFERROR(COUNTIF($C$21:C265,C265)&amp;CHOOSE(MIN(4,COUNTIF($C$21:C265,C265)),"st","nd","rd","th"),"")</f>
        <v/>
      </c>
    </row>
    <row r="266" spans="4:12" x14ac:dyDescent="0.25">
      <c r="D266" s="201" t="str">
        <f t="shared" si="3"/>
        <v/>
      </c>
      <c r="L266" s="201" t="str">
        <f>IFERROR(COUNTIF($C$21:C266,C266)&amp;CHOOSE(MIN(4,COUNTIF($C$21:C266,C266)),"st","nd","rd","th"),"")</f>
        <v/>
      </c>
    </row>
    <row r="267" spans="4:12" x14ac:dyDescent="0.25">
      <c r="D267" s="201" t="str">
        <f t="shared" si="3"/>
        <v/>
      </c>
      <c r="L267" s="201" t="str">
        <f>IFERROR(COUNTIF($C$21:C267,C267)&amp;CHOOSE(MIN(4,COUNTIF($C$21:C267,C267)),"st","nd","rd","th"),"")</f>
        <v/>
      </c>
    </row>
    <row r="268" spans="4:12" x14ac:dyDescent="0.25">
      <c r="D268" s="201" t="str">
        <f t="shared" si="3"/>
        <v/>
      </c>
      <c r="L268" s="201" t="str">
        <f>IFERROR(COUNTIF($C$21:C268,C268)&amp;CHOOSE(MIN(4,COUNTIF($C$21:C268,C268)),"st","nd","rd","th"),"")</f>
        <v/>
      </c>
    </row>
    <row r="269" spans="4:12" x14ac:dyDescent="0.25">
      <c r="D269" s="201" t="str">
        <f t="shared" si="3"/>
        <v/>
      </c>
      <c r="L269" s="201" t="str">
        <f>IFERROR(COUNTIF($C$21:C269,C269)&amp;CHOOSE(MIN(4,COUNTIF($C$21:C269,C269)),"st","nd","rd","th"),"")</f>
        <v/>
      </c>
    </row>
    <row r="270" spans="4:12" x14ac:dyDescent="0.25">
      <c r="D270" s="201" t="str">
        <f t="shared" si="3"/>
        <v/>
      </c>
      <c r="L270" s="201" t="str">
        <f>IFERROR(COUNTIF($C$21:C270,C270)&amp;CHOOSE(MIN(4,COUNTIF($C$21:C270,C270)),"st","nd","rd","th"),"")</f>
        <v/>
      </c>
    </row>
    <row r="271" spans="4:12" x14ac:dyDescent="0.25">
      <c r="D271" s="201" t="str">
        <f t="shared" si="3"/>
        <v/>
      </c>
      <c r="L271" s="201" t="str">
        <f>IFERROR(COUNTIF($C$21:C271,C271)&amp;CHOOSE(MIN(4,COUNTIF($C$21:C271,C271)),"st","nd","rd","th"),"")</f>
        <v/>
      </c>
    </row>
    <row r="272" spans="4:12" x14ac:dyDescent="0.25">
      <c r="D272" s="201" t="str">
        <f t="shared" si="3"/>
        <v/>
      </c>
      <c r="L272" s="201" t="str">
        <f>IFERROR(COUNTIF($C$21:C272,C272)&amp;CHOOSE(MIN(4,COUNTIF($C$21:C272,C272)),"st","nd","rd","th"),"")</f>
        <v/>
      </c>
    </row>
    <row r="273" spans="4:12" x14ac:dyDescent="0.25">
      <c r="D273" s="201" t="str">
        <f t="shared" si="3"/>
        <v/>
      </c>
      <c r="L273" s="201" t="str">
        <f>IFERROR(COUNTIF($C$21:C273,C273)&amp;CHOOSE(MIN(4,COUNTIF($C$21:C273,C273)),"st","nd","rd","th"),"")</f>
        <v/>
      </c>
    </row>
    <row r="274" spans="4:12" x14ac:dyDescent="0.25">
      <c r="D274" s="201" t="str">
        <f t="shared" si="3"/>
        <v/>
      </c>
      <c r="L274" s="201" t="str">
        <f>IFERROR(COUNTIF($C$21:C274,C274)&amp;CHOOSE(MIN(4,COUNTIF($C$21:C274,C274)),"st","nd","rd","th"),"")</f>
        <v/>
      </c>
    </row>
    <row r="275" spans="4:12" x14ac:dyDescent="0.25">
      <c r="D275" s="201" t="str">
        <f t="shared" si="3"/>
        <v/>
      </c>
      <c r="L275" s="201" t="str">
        <f>IFERROR(COUNTIF($C$21:C275,C275)&amp;CHOOSE(MIN(4,COUNTIF($C$21:C275,C275)),"st","nd","rd","th"),"")</f>
        <v/>
      </c>
    </row>
    <row r="276" spans="4:12" x14ac:dyDescent="0.25">
      <c r="D276" s="201" t="str">
        <f t="shared" si="3"/>
        <v/>
      </c>
      <c r="L276" s="201" t="str">
        <f>IFERROR(COUNTIF($C$21:C276,C276)&amp;CHOOSE(MIN(4,COUNTIF($C$21:C276,C276)),"st","nd","rd","th"),"")</f>
        <v/>
      </c>
    </row>
    <row r="277" spans="4:12" x14ac:dyDescent="0.25">
      <c r="D277" s="201" t="str">
        <f t="shared" si="3"/>
        <v/>
      </c>
      <c r="L277" s="201" t="str">
        <f>IFERROR(COUNTIF($C$21:C277,C277)&amp;CHOOSE(MIN(4,COUNTIF($C$21:C277,C277)),"st","nd","rd","th"),"")</f>
        <v/>
      </c>
    </row>
    <row r="278" spans="4:12" x14ac:dyDescent="0.25">
      <c r="D278" s="201" t="str">
        <f t="shared" ref="D278:D341" si="4">IF(B278="","",IF(B278="Province_PLGU","PLGU","City / Municipality"))</f>
        <v/>
      </c>
      <c r="L278" s="201" t="str">
        <f>IFERROR(COUNTIF($C$21:C278,C278)&amp;CHOOSE(MIN(4,COUNTIF($C$21:C278,C278)),"st","nd","rd","th"),"")</f>
        <v/>
      </c>
    </row>
    <row r="279" spans="4:12" x14ac:dyDescent="0.25">
      <c r="D279" s="201" t="str">
        <f t="shared" si="4"/>
        <v/>
      </c>
      <c r="L279" s="201" t="str">
        <f>IFERROR(COUNTIF($C$21:C279,C279)&amp;CHOOSE(MIN(4,COUNTIF($C$21:C279,C279)),"st","nd","rd","th"),"")</f>
        <v/>
      </c>
    </row>
    <row r="280" spans="4:12" x14ac:dyDescent="0.25">
      <c r="D280" s="201" t="str">
        <f t="shared" si="4"/>
        <v/>
      </c>
      <c r="L280" s="201" t="str">
        <f>IFERROR(COUNTIF($C$21:C280,C280)&amp;CHOOSE(MIN(4,COUNTIF($C$21:C280,C280)),"st","nd","rd","th"),"")</f>
        <v/>
      </c>
    </row>
    <row r="281" spans="4:12" x14ac:dyDescent="0.25">
      <c r="D281" s="201" t="str">
        <f t="shared" si="4"/>
        <v/>
      </c>
      <c r="L281" s="201" t="str">
        <f>IFERROR(COUNTIF($C$21:C281,C281)&amp;CHOOSE(MIN(4,COUNTIF($C$21:C281,C281)),"st","nd","rd","th"),"")</f>
        <v/>
      </c>
    </row>
    <row r="282" spans="4:12" x14ac:dyDescent="0.25">
      <c r="D282" s="201" t="str">
        <f t="shared" si="4"/>
        <v/>
      </c>
      <c r="L282" s="201" t="str">
        <f>IFERROR(COUNTIF($C$21:C282,C282)&amp;CHOOSE(MIN(4,COUNTIF($C$21:C282,C282)),"st","nd","rd","th"),"")</f>
        <v/>
      </c>
    </row>
    <row r="283" spans="4:12" x14ac:dyDescent="0.25">
      <c r="D283" s="201" t="str">
        <f t="shared" si="4"/>
        <v/>
      </c>
      <c r="L283" s="201" t="str">
        <f>IFERROR(COUNTIF($C$21:C283,C283)&amp;CHOOSE(MIN(4,COUNTIF($C$21:C283,C283)),"st","nd","rd","th"),"")</f>
        <v/>
      </c>
    </row>
    <row r="284" spans="4:12" x14ac:dyDescent="0.25">
      <c r="D284" s="201" t="str">
        <f t="shared" si="4"/>
        <v/>
      </c>
      <c r="L284" s="201" t="str">
        <f>IFERROR(COUNTIF($C$21:C284,C284)&amp;CHOOSE(MIN(4,COUNTIF($C$21:C284,C284)),"st","nd","rd","th"),"")</f>
        <v/>
      </c>
    </row>
    <row r="285" spans="4:12" x14ac:dyDescent="0.25">
      <c r="D285" s="201" t="str">
        <f t="shared" si="4"/>
        <v/>
      </c>
      <c r="L285" s="201" t="str">
        <f>IFERROR(COUNTIF($C$21:C285,C285)&amp;CHOOSE(MIN(4,COUNTIF($C$21:C285,C285)),"st","nd","rd","th"),"")</f>
        <v/>
      </c>
    </row>
    <row r="286" spans="4:12" x14ac:dyDescent="0.25">
      <c r="D286" s="201" t="str">
        <f t="shared" si="4"/>
        <v/>
      </c>
      <c r="L286" s="201" t="str">
        <f>IFERROR(COUNTIF($C$21:C286,C286)&amp;CHOOSE(MIN(4,COUNTIF($C$21:C286,C286)),"st","nd","rd","th"),"")</f>
        <v/>
      </c>
    </row>
    <row r="287" spans="4:12" x14ac:dyDescent="0.25">
      <c r="D287" s="201" t="str">
        <f t="shared" si="4"/>
        <v/>
      </c>
      <c r="L287" s="201" t="str">
        <f>IFERROR(COUNTIF($C$21:C287,C287)&amp;CHOOSE(MIN(4,COUNTIF($C$21:C287,C287)),"st","nd","rd","th"),"")</f>
        <v/>
      </c>
    </row>
    <row r="288" spans="4:12" x14ac:dyDescent="0.25">
      <c r="D288" s="201" t="str">
        <f t="shared" si="4"/>
        <v/>
      </c>
      <c r="L288" s="201" t="str">
        <f>IFERROR(COUNTIF($C$21:C288,C288)&amp;CHOOSE(MIN(4,COUNTIF($C$21:C288,C288)),"st","nd","rd","th"),"")</f>
        <v/>
      </c>
    </row>
    <row r="289" spans="4:12" x14ac:dyDescent="0.25">
      <c r="D289" s="201" t="str">
        <f t="shared" si="4"/>
        <v/>
      </c>
      <c r="L289" s="201" t="str">
        <f>IFERROR(COUNTIF($C$21:C289,C289)&amp;CHOOSE(MIN(4,COUNTIF($C$21:C289,C289)),"st","nd","rd","th"),"")</f>
        <v/>
      </c>
    </row>
    <row r="290" spans="4:12" x14ac:dyDescent="0.25">
      <c r="D290" s="201" t="str">
        <f t="shared" si="4"/>
        <v/>
      </c>
      <c r="L290" s="201" t="str">
        <f>IFERROR(COUNTIF($C$21:C290,C290)&amp;CHOOSE(MIN(4,COUNTIF($C$21:C290,C290)),"st","nd","rd","th"),"")</f>
        <v/>
      </c>
    </row>
    <row r="291" spans="4:12" x14ac:dyDescent="0.25">
      <c r="D291" s="201" t="str">
        <f t="shared" si="4"/>
        <v/>
      </c>
      <c r="L291" s="201" t="str">
        <f>IFERROR(COUNTIF($C$21:C291,C291)&amp;CHOOSE(MIN(4,COUNTIF($C$21:C291,C291)),"st","nd","rd","th"),"")</f>
        <v/>
      </c>
    </row>
    <row r="292" spans="4:12" x14ac:dyDescent="0.25">
      <c r="D292" s="201" t="str">
        <f t="shared" si="4"/>
        <v/>
      </c>
      <c r="L292" s="201" t="str">
        <f>IFERROR(COUNTIF($C$21:C292,C292)&amp;CHOOSE(MIN(4,COUNTIF($C$21:C292,C292)),"st","nd","rd","th"),"")</f>
        <v/>
      </c>
    </row>
    <row r="293" spans="4:12" x14ac:dyDescent="0.25">
      <c r="D293" s="201" t="str">
        <f t="shared" si="4"/>
        <v/>
      </c>
      <c r="L293" s="201" t="str">
        <f>IFERROR(COUNTIF($C$21:C293,C293)&amp;CHOOSE(MIN(4,COUNTIF($C$21:C293,C293)),"st","nd","rd","th"),"")</f>
        <v/>
      </c>
    </row>
    <row r="294" spans="4:12" x14ac:dyDescent="0.25">
      <c r="D294" s="201" t="str">
        <f t="shared" si="4"/>
        <v/>
      </c>
      <c r="L294" s="201" t="str">
        <f>IFERROR(COUNTIF($C$21:C294,C294)&amp;CHOOSE(MIN(4,COUNTIF($C$21:C294,C294)),"st","nd","rd","th"),"")</f>
        <v/>
      </c>
    </row>
    <row r="295" spans="4:12" x14ac:dyDescent="0.25">
      <c r="D295" s="201" t="str">
        <f t="shared" si="4"/>
        <v/>
      </c>
      <c r="L295" s="201" t="str">
        <f>IFERROR(COUNTIF($C$21:C295,C295)&amp;CHOOSE(MIN(4,COUNTIF($C$21:C295,C295)),"st","nd","rd","th"),"")</f>
        <v/>
      </c>
    </row>
    <row r="296" spans="4:12" x14ac:dyDescent="0.25">
      <c r="D296" s="201" t="str">
        <f t="shared" si="4"/>
        <v/>
      </c>
      <c r="L296" s="201" t="str">
        <f>IFERROR(COUNTIF($C$21:C296,C296)&amp;CHOOSE(MIN(4,COUNTIF($C$21:C296,C296)),"st","nd","rd","th"),"")</f>
        <v/>
      </c>
    </row>
    <row r="297" spans="4:12" x14ac:dyDescent="0.25">
      <c r="D297" s="201" t="str">
        <f t="shared" si="4"/>
        <v/>
      </c>
      <c r="L297" s="201" t="str">
        <f>IFERROR(COUNTIF($C$21:C297,C297)&amp;CHOOSE(MIN(4,COUNTIF($C$21:C297,C297)),"st","nd","rd","th"),"")</f>
        <v/>
      </c>
    </row>
    <row r="298" spans="4:12" x14ac:dyDescent="0.25">
      <c r="D298" s="201" t="str">
        <f t="shared" si="4"/>
        <v/>
      </c>
      <c r="L298" s="201" t="str">
        <f>IFERROR(COUNTIF($C$21:C298,C298)&amp;CHOOSE(MIN(4,COUNTIF($C$21:C298,C298)),"st","nd","rd","th"),"")</f>
        <v/>
      </c>
    </row>
    <row r="299" spans="4:12" x14ac:dyDescent="0.25">
      <c r="D299" s="201" t="str">
        <f t="shared" si="4"/>
        <v/>
      </c>
      <c r="L299" s="201" t="str">
        <f>IFERROR(COUNTIF($C$21:C299,C299)&amp;CHOOSE(MIN(4,COUNTIF($C$21:C299,C299)),"st","nd","rd","th"),"")</f>
        <v/>
      </c>
    </row>
    <row r="300" spans="4:12" x14ac:dyDescent="0.25">
      <c r="D300" s="201" t="str">
        <f t="shared" si="4"/>
        <v/>
      </c>
      <c r="L300" s="201" t="str">
        <f>IFERROR(COUNTIF($C$21:C300,C300)&amp;CHOOSE(MIN(4,COUNTIF($C$21:C300,C300)),"st","nd","rd","th"),"")</f>
        <v/>
      </c>
    </row>
    <row r="301" spans="4:12" x14ac:dyDescent="0.25">
      <c r="D301" s="201" t="str">
        <f t="shared" si="4"/>
        <v/>
      </c>
      <c r="L301" s="201" t="str">
        <f>IFERROR(COUNTIF($C$21:C301,C301)&amp;CHOOSE(MIN(4,COUNTIF($C$21:C301,C301)),"st","nd","rd","th"),"")</f>
        <v/>
      </c>
    </row>
    <row r="302" spans="4:12" x14ac:dyDescent="0.25">
      <c r="D302" s="201" t="str">
        <f t="shared" si="4"/>
        <v/>
      </c>
      <c r="L302" s="201" t="str">
        <f>IFERROR(COUNTIF($C$21:C302,C302)&amp;CHOOSE(MIN(4,COUNTIF($C$21:C302,C302)),"st","nd","rd","th"),"")</f>
        <v/>
      </c>
    </row>
    <row r="303" spans="4:12" x14ac:dyDescent="0.25">
      <c r="D303" s="201" t="str">
        <f t="shared" si="4"/>
        <v/>
      </c>
      <c r="L303" s="201" t="str">
        <f>IFERROR(COUNTIF($C$21:C303,C303)&amp;CHOOSE(MIN(4,COUNTIF($C$21:C303,C303)),"st","nd","rd","th"),"")</f>
        <v/>
      </c>
    </row>
    <row r="304" spans="4:12" x14ac:dyDescent="0.25">
      <c r="D304" s="201" t="str">
        <f t="shared" si="4"/>
        <v/>
      </c>
      <c r="L304" s="201" t="str">
        <f>IFERROR(COUNTIF($C$21:C304,C304)&amp;CHOOSE(MIN(4,COUNTIF($C$21:C304,C304)),"st","nd","rd","th"),"")</f>
        <v/>
      </c>
    </row>
    <row r="305" spans="4:12" x14ac:dyDescent="0.25">
      <c r="D305" s="201" t="str">
        <f t="shared" si="4"/>
        <v/>
      </c>
      <c r="L305" s="201" t="str">
        <f>IFERROR(COUNTIF($C$21:C305,C305)&amp;CHOOSE(MIN(4,COUNTIF($C$21:C305,C305)),"st","nd","rd","th"),"")</f>
        <v/>
      </c>
    </row>
    <row r="306" spans="4:12" x14ac:dyDescent="0.25">
      <c r="D306" s="201" t="str">
        <f t="shared" si="4"/>
        <v/>
      </c>
      <c r="L306" s="201" t="str">
        <f>IFERROR(COUNTIF($C$21:C306,C306)&amp;CHOOSE(MIN(4,COUNTIF($C$21:C306,C306)),"st","nd","rd","th"),"")</f>
        <v/>
      </c>
    </row>
    <row r="307" spans="4:12" x14ac:dyDescent="0.25">
      <c r="D307" s="201" t="str">
        <f t="shared" si="4"/>
        <v/>
      </c>
      <c r="L307" s="201" t="str">
        <f>IFERROR(COUNTIF($C$21:C307,C307)&amp;CHOOSE(MIN(4,COUNTIF($C$21:C307,C307)),"st","nd","rd","th"),"")</f>
        <v/>
      </c>
    </row>
    <row r="308" spans="4:12" x14ac:dyDescent="0.25">
      <c r="D308" s="201" t="str">
        <f t="shared" si="4"/>
        <v/>
      </c>
      <c r="L308" s="201" t="str">
        <f>IFERROR(COUNTIF($C$21:C308,C308)&amp;CHOOSE(MIN(4,COUNTIF($C$21:C308,C308)),"st","nd","rd","th"),"")</f>
        <v/>
      </c>
    </row>
    <row r="309" spans="4:12" x14ac:dyDescent="0.25">
      <c r="D309" s="201" t="str">
        <f t="shared" si="4"/>
        <v/>
      </c>
      <c r="L309" s="201" t="str">
        <f>IFERROR(COUNTIF($C$21:C309,C309)&amp;CHOOSE(MIN(4,COUNTIF($C$21:C309,C309)),"st","nd","rd","th"),"")</f>
        <v/>
      </c>
    </row>
    <row r="310" spans="4:12" x14ac:dyDescent="0.25">
      <c r="D310" s="201" t="str">
        <f t="shared" si="4"/>
        <v/>
      </c>
      <c r="L310" s="201" t="str">
        <f>IFERROR(COUNTIF($C$21:C310,C310)&amp;CHOOSE(MIN(4,COUNTIF($C$21:C310,C310)),"st","nd","rd","th"),"")</f>
        <v/>
      </c>
    </row>
    <row r="311" spans="4:12" x14ac:dyDescent="0.25">
      <c r="D311" s="201" t="str">
        <f t="shared" si="4"/>
        <v/>
      </c>
      <c r="L311" s="201" t="str">
        <f>IFERROR(COUNTIF($C$21:C311,C311)&amp;CHOOSE(MIN(4,COUNTIF($C$21:C311,C311)),"st","nd","rd","th"),"")</f>
        <v/>
      </c>
    </row>
    <row r="312" spans="4:12" x14ac:dyDescent="0.25">
      <c r="D312" s="201" t="str">
        <f t="shared" si="4"/>
        <v/>
      </c>
      <c r="L312" s="201" t="str">
        <f>IFERROR(COUNTIF($C$21:C312,C312)&amp;CHOOSE(MIN(4,COUNTIF($C$21:C312,C312)),"st","nd","rd","th"),"")</f>
        <v/>
      </c>
    </row>
    <row r="313" spans="4:12" x14ac:dyDescent="0.25">
      <c r="D313" s="201" t="str">
        <f t="shared" si="4"/>
        <v/>
      </c>
      <c r="L313" s="201" t="str">
        <f>IFERROR(COUNTIF($C$21:C313,C313)&amp;CHOOSE(MIN(4,COUNTIF($C$21:C313,C313)),"st","nd","rd","th"),"")</f>
        <v/>
      </c>
    </row>
    <row r="314" spans="4:12" x14ac:dyDescent="0.25">
      <c r="D314" s="201" t="str">
        <f t="shared" si="4"/>
        <v/>
      </c>
      <c r="L314" s="201" t="str">
        <f>IFERROR(COUNTIF($C$21:C314,C314)&amp;CHOOSE(MIN(4,COUNTIF($C$21:C314,C314)),"st","nd","rd","th"),"")</f>
        <v/>
      </c>
    </row>
    <row r="315" spans="4:12" x14ac:dyDescent="0.25">
      <c r="D315" s="201" t="str">
        <f t="shared" si="4"/>
        <v/>
      </c>
      <c r="L315" s="201" t="str">
        <f>IFERROR(COUNTIF($C$21:C315,C315)&amp;CHOOSE(MIN(4,COUNTIF($C$21:C315,C315)),"st","nd","rd","th"),"")</f>
        <v/>
      </c>
    </row>
    <row r="316" spans="4:12" x14ac:dyDescent="0.25">
      <c r="D316" s="201" t="str">
        <f t="shared" si="4"/>
        <v/>
      </c>
      <c r="L316" s="201" t="str">
        <f>IFERROR(COUNTIF($C$21:C316,C316)&amp;CHOOSE(MIN(4,COUNTIF($C$21:C316,C316)),"st","nd","rd","th"),"")</f>
        <v/>
      </c>
    </row>
    <row r="317" spans="4:12" x14ac:dyDescent="0.25">
      <c r="D317" s="201" t="str">
        <f t="shared" si="4"/>
        <v/>
      </c>
      <c r="L317" s="201" t="str">
        <f>IFERROR(COUNTIF($C$21:C317,C317)&amp;CHOOSE(MIN(4,COUNTIF($C$21:C317,C317)),"st","nd","rd","th"),"")</f>
        <v/>
      </c>
    </row>
    <row r="318" spans="4:12" x14ac:dyDescent="0.25">
      <c r="D318" s="201" t="str">
        <f t="shared" si="4"/>
        <v/>
      </c>
      <c r="L318" s="201" t="str">
        <f>IFERROR(COUNTIF($C$21:C318,C318)&amp;CHOOSE(MIN(4,COUNTIF($C$21:C318,C318)),"st","nd","rd","th"),"")</f>
        <v/>
      </c>
    </row>
    <row r="319" spans="4:12" x14ac:dyDescent="0.25">
      <c r="D319" s="201" t="str">
        <f t="shared" si="4"/>
        <v/>
      </c>
      <c r="L319" s="201" t="str">
        <f>IFERROR(COUNTIF($C$21:C319,C319)&amp;CHOOSE(MIN(4,COUNTIF($C$21:C319,C319)),"st","nd","rd","th"),"")</f>
        <v/>
      </c>
    </row>
    <row r="320" spans="4:12" x14ac:dyDescent="0.25">
      <c r="D320" s="201" t="str">
        <f t="shared" si="4"/>
        <v/>
      </c>
      <c r="L320" s="201" t="str">
        <f>IFERROR(COUNTIF($C$21:C320,C320)&amp;CHOOSE(MIN(4,COUNTIF($C$21:C320,C320)),"st","nd","rd","th"),"")</f>
        <v/>
      </c>
    </row>
    <row r="321" spans="4:12" x14ac:dyDescent="0.25">
      <c r="D321" s="201" t="str">
        <f t="shared" si="4"/>
        <v/>
      </c>
      <c r="L321" s="201" t="str">
        <f>IFERROR(COUNTIF($C$21:C321,C321)&amp;CHOOSE(MIN(4,COUNTIF($C$21:C321,C321)),"st","nd","rd","th"),"")</f>
        <v/>
      </c>
    </row>
    <row r="322" spans="4:12" x14ac:dyDescent="0.25">
      <c r="D322" s="201" t="str">
        <f t="shared" si="4"/>
        <v/>
      </c>
      <c r="L322" s="201" t="str">
        <f>IFERROR(COUNTIF($C$21:C322,C322)&amp;CHOOSE(MIN(4,COUNTIF($C$21:C322,C322)),"st","nd","rd","th"),"")</f>
        <v/>
      </c>
    </row>
    <row r="323" spans="4:12" x14ac:dyDescent="0.25">
      <c r="D323" s="201" t="str">
        <f t="shared" si="4"/>
        <v/>
      </c>
      <c r="L323" s="201" t="str">
        <f>IFERROR(COUNTIF($C$21:C323,C323)&amp;CHOOSE(MIN(4,COUNTIF($C$21:C323,C323)),"st","nd","rd","th"),"")</f>
        <v/>
      </c>
    </row>
    <row r="324" spans="4:12" x14ac:dyDescent="0.25">
      <c r="D324" s="201" t="str">
        <f t="shared" si="4"/>
        <v/>
      </c>
      <c r="L324" s="201" t="str">
        <f>IFERROR(COUNTIF($C$21:C324,C324)&amp;CHOOSE(MIN(4,COUNTIF($C$21:C324,C324)),"st","nd","rd","th"),"")</f>
        <v/>
      </c>
    </row>
    <row r="325" spans="4:12" x14ac:dyDescent="0.25">
      <c r="D325" s="201" t="str">
        <f t="shared" si="4"/>
        <v/>
      </c>
      <c r="L325" s="201" t="str">
        <f>IFERROR(COUNTIF($C$21:C325,C325)&amp;CHOOSE(MIN(4,COUNTIF($C$21:C325,C325)),"st","nd","rd","th"),"")</f>
        <v/>
      </c>
    </row>
    <row r="326" spans="4:12" x14ac:dyDescent="0.25">
      <c r="D326" s="201" t="str">
        <f t="shared" si="4"/>
        <v/>
      </c>
      <c r="L326" s="201" t="str">
        <f>IFERROR(COUNTIF($C$21:C326,C326)&amp;CHOOSE(MIN(4,COUNTIF($C$21:C326,C326)),"st","nd","rd","th"),"")</f>
        <v/>
      </c>
    </row>
    <row r="327" spans="4:12" x14ac:dyDescent="0.25">
      <c r="D327" s="201" t="str">
        <f t="shared" si="4"/>
        <v/>
      </c>
      <c r="L327" s="201" t="str">
        <f>IFERROR(COUNTIF($C$21:C327,C327)&amp;CHOOSE(MIN(4,COUNTIF($C$21:C327,C327)),"st","nd","rd","th"),"")</f>
        <v/>
      </c>
    </row>
    <row r="328" spans="4:12" x14ac:dyDescent="0.25">
      <c r="D328" s="201" t="str">
        <f t="shared" si="4"/>
        <v/>
      </c>
      <c r="L328" s="201" t="str">
        <f>IFERROR(COUNTIF($C$21:C328,C328)&amp;CHOOSE(MIN(4,COUNTIF($C$21:C328,C328)),"st","nd","rd","th"),"")</f>
        <v/>
      </c>
    </row>
    <row r="329" spans="4:12" x14ac:dyDescent="0.25">
      <c r="D329" s="201" t="str">
        <f t="shared" si="4"/>
        <v/>
      </c>
      <c r="L329" s="201" t="str">
        <f>IFERROR(COUNTIF($C$21:C329,C329)&amp;CHOOSE(MIN(4,COUNTIF($C$21:C329,C329)),"st","nd","rd","th"),"")</f>
        <v/>
      </c>
    </row>
    <row r="330" spans="4:12" x14ac:dyDescent="0.25">
      <c r="D330" s="201" t="str">
        <f t="shared" si="4"/>
        <v/>
      </c>
      <c r="L330" s="201" t="str">
        <f>IFERROR(COUNTIF($C$21:C330,C330)&amp;CHOOSE(MIN(4,COUNTIF($C$21:C330,C330)),"st","nd","rd","th"),"")</f>
        <v/>
      </c>
    </row>
    <row r="331" spans="4:12" x14ac:dyDescent="0.25">
      <c r="D331" s="201" t="str">
        <f t="shared" si="4"/>
        <v/>
      </c>
      <c r="L331" s="201" t="str">
        <f>IFERROR(COUNTIF($C$21:C331,C331)&amp;CHOOSE(MIN(4,COUNTIF($C$21:C331,C331)),"st","nd","rd","th"),"")</f>
        <v/>
      </c>
    </row>
    <row r="332" spans="4:12" x14ac:dyDescent="0.25">
      <c r="D332" s="201" t="str">
        <f t="shared" si="4"/>
        <v/>
      </c>
      <c r="L332" s="201" t="str">
        <f>IFERROR(COUNTIF($C$21:C332,C332)&amp;CHOOSE(MIN(4,COUNTIF($C$21:C332,C332)),"st","nd","rd","th"),"")</f>
        <v/>
      </c>
    </row>
    <row r="333" spans="4:12" x14ac:dyDescent="0.25">
      <c r="D333" s="201" t="str">
        <f t="shared" si="4"/>
        <v/>
      </c>
      <c r="L333" s="201" t="str">
        <f>IFERROR(COUNTIF($C$21:C333,C333)&amp;CHOOSE(MIN(4,COUNTIF($C$21:C333,C333)),"st","nd","rd","th"),"")</f>
        <v/>
      </c>
    </row>
    <row r="334" spans="4:12" x14ac:dyDescent="0.25">
      <c r="D334" s="201" t="str">
        <f t="shared" si="4"/>
        <v/>
      </c>
      <c r="L334" s="201" t="str">
        <f>IFERROR(COUNTIF($C$21:C334,C334)&amp;CHOOSE(MIN(4,COUNTIF($C$21:C334,C334)),"st","nd","rd","th"),"")</f>
        <v/>
      </c>
    </row>
    <row r="335" spans="4:12" x14ac:dyDescent="0.25">
      <c r="D335" s="201" t="str">
        <f t="shared" si="4"/>
        <v/>
      </c>
      <c r="L335" s="201" t="str">
        <f>IFERROR(COUNTIF($C$21:C335,C335)&amp;CHOOSE(MIN(4,COUNTIF($C$21:C335,C335)),"st","nd","rd","th"),"")</f>
        <v/>
      </c>
    </row>
    <row r="336" spans="4:12" x14ac:dyDescent="0.25">
      <c r="D336" s="201" t="str">
        <f t="shared" si="4"/>
        <v/>
      </c>
      <c r="L336" s="201" t="str">
        <f>IFERROR(COUNTIF($C$21:C336,C336)&amp;CHOOSE(MIN(4,COUNTIF($C$21:C336,C336)),"st","nd","rd","th"),"")</f>
        <v/>
      </c>
    </row>
    <row r="337" spans="4:12" x14ac:dyDescent="0.25">
      <c r="D337" s="201" t="str">
        <f t="shared" si="4"/>
        <v/>
      </c>
      <c r="L337" s="201" t="str">
        <f>IFERROR(COUNTIF($C$21:C337,C337)&amp;CHOOSE(MIN(4,COUNTIF($C$21:C337,C337)),"st","nd","rd","th"),"")</f>
        <v/>
      </c>
    </row>
    <row r="338" spans="4:12" x14ac:dyDescent="0.25">
      <c r="D338" s="201" t="str">
        <f t="shared" si="4"/>
        <v/>
      </c>
      <c r="L338" s="201" t="str">
        <f>IFERROR(COUNTIF($C$21:C338,C338)&amp;CHOOSE(MIN(4,COUNTIF($C$21:C338,C338)),"st","nd","rd","th"),"")</f>
        <v/>
      </c>
    </row>
    <row r="339" spans="4:12" x14ac:dyDescent="0.25">
      <c r="D339" s="201" t="str">
        <f t="shared" si="4"/>
        <v/>
      </c>
      <c r="L339" s="201" t="str">
        <f>IFERROR(COUNTIF($C$21:C339,C339)&amp;CHOOSE(MIN(4,COUNTIF($C$21:C339,C339)),"st","nd","rd","th"),"")</f>
        <v/>
      </c>
    </row>
    <row r="340" spans="4:12" x14ac:dyDescent="0.25">
      <c r="D340" s="201" t="str">
        <f t="shared" si="4"/>
        <v/>
      </c>
      <c r="L340" s="201" t="str">
        <f>IFERROR(COUNTIF($C$21:C340,C340)&amp;CHOOSE(MIN(4,COUNTIF($C$21:C340,C340)),"st","nd","rd","th"),"")</f>
        <v/>
      </c>
    </row>
    <row r="341" spans="4:12" x14ac:dyDescent="0.25">
      <c r="D341" s="201" t="str">
        <f t="shared" si="4"/>
        <v/>
      </c>
      <c r="L341" s="201" t="str">
        <f>IFERROR(COUNTIF($C$21:C341,C341)&amp;CHOOSE(MIN(4,COUNTIF($C$21:C341,C341)),"st","nd","rd","th"),"")</f>
        <v/>
      </c>
    </row>
    <row r="342" spans="4:12" x14ac:dyDescent="0.25">
      <c r="D342" s="201" t="str">
        <f t="shared" ref="D342:D405" si="5">IF(B342="","",IF(B342="Province_PLGU","PLGU","City / Municipality"))</f>
        <v/>
      </c>
      <c r="L342" s="201" t="str">
        <f>IFERROR(COUNTIF($C$21:C342,C342)&amp;CHOOSE(MIN(4,COUNTIF($C$21:C342,C342)),"st","nd","rd","th"),"")</f>
        <v/>
      </c>
    </row>
    <row r="343" spans="4:12" x14ac:dyDescent="0.25">
      <c r="D343" s="201" t="str">
        <f t="shared" si="5"/>
        <v/>
      </c>
      <c r="L343" s="201" t="str">
        <f>IFERROR(COUNTIF($C$21:C343,C343)&amp;CHOOSE(MIN(4,COUNTIF($C$21:C343,C343)),"st","nd","rd","th"),"")</f>
        <v/>
      </c>
    </row>
    <row r="344" spans="4:12" x14ac:dyDescent="0.25">
      <c r="D344" s="201" t="str">
        <f t="shared" si="5"/>
        <v/>
      </c>
      <c r="L344" s="201" t="str">
        <f>IFERROR(COUNTIF($C$21:C344,C344)&amp;CHOOSE(MIN(4,COUNTIF($C$21:C344,C344)),"st","nd","rd","th"),"")</f>
        <v/>
      </c>
    </row>
    <row r="345" spans="4:12" x14ac:dyDescent="0.25">
      <c r="D345" s="201" t="str">
        <f t="shared" si="5"/>
        <v/>
      </c>
      <c r="L345" s="201" t="str">
        <f>IFERROR(COUNTIF($C$21:C345,C345)&amp;CHOOSE(MIN(4,COUNTIF($C$21:C345,C345)),"st","nd","rd","th"),"")</f>
        <v/>
      </c>
    </row>
    <row r="346" spans="4:12" x14ac:dyDescent="0.25">
      <c r="D346" s="201" t="str">
        <f t="shared" si="5"/>
        <v/>
      </c>
      <c r="L346" s="201" t="str">
        <f>IFERROR(COUNTIF($C$21:C346,C346)&amp;CHOOSE(MIN(4,COUNTIF($C$21:C346,C346)),"st","nd","rd","th"),"")</f>
        <v/>
      </c>
    </row>
    <row r="347" spans="4:12" x14ac:dyDescent="0.25">
      <c r="D347" s="201" t="str">
        <f t="shared" si="5"/>
        <v/>
      </c>
      <c r="L347" s="201" t="str">
        <f>IFERROR(COUNTIF($C$21:C347,C347)&amp;CHOOSE(MIN(4,COUNTIF($C$21:C347,C347)),"st","nd","rd","th"),"")</f>
        <v/>
      </c>
    </row>
    <row r="348" spans="4:12" x14ac:dyDescent="0.25">
      <c r="D348" s="201" t="str">
        <f t="shared" si="5"/>
        <v/>
      </c>
      <c r="L348" s="201" t="str">
        <f>IFERROR(COUNTIF($C$21:C348,C348)&amp;CHOOSE(MIN(4,COUNTIF($C$21:C348,C348)),"st","nd","rd","th"),"")</f>
        <v/>
      </c>
    </row>
    <row r="349" spans="4:12" x14ac:dyDescent="0.25">
      <c r="D349" s="201" t="str">
        <f t="shared" si="5"/>
        <v/>
      </c>
      <c r="L349" s="201" t="str">
        <f>IFERROR(COUNTIF($C$21:C349,C349)&amp;CHOOSE(MIN(4,COUNTIF($C$21:C349,C349)),"st","nd","rd","th"),"")</f>
        <v/>
      </c>
    </row>
    <row r="350" spans="4:12" x14ac:dyDescent="0.25">
      <c r="D350" s="201" t="str">
        <f t="shared" si="5"/>
        <v/>
      </c>
      <c r="L350" s="201" t="str">
        <f>IFERROR(COUNTIF($C$21:C350,C350)&amp;CHOOSE(MIN(4,COUNTIF($C$21:C350,C350)),"st","nd","rd","th"),"")</f>
        <v/>
      </c>
    </row>
    <row r="351" spans="4:12" x14ac:dyDescent="0.25">
      <c r="D351" s="201" t="str">
        <f t="shared" si="5"/>
        <v/>
      </c>
      <c r="L351" s="201" t="str">
        <f>IFERROR(COUNTIF($C$21:C351,C351)&amp;CHOOSE(MIN(4,COUNTIF($C$21:C351,C351)),"st","nd","rd","th"),"")</f>
        <v/>
      </c>
    </row>
    <row r="352" spans="4:12" x14ac:dyDescent="0.25">
      <c r="D352" s="201" t="str">
        <f t="shared" si="5"/>
        <v/>
      </c>
      <c r="L352" s="201" t="str">
        <f>IFERROR(COUNTIF($C$21:C352,C352)&amp;CHOOSE(MIN(4,COUNTIF($C$21:C352,C352)),"st","nd","rd","th"),"")</f>
        <v/>
      </c>
    </row>
    <row r="353" spans="4:12" x14ac:dyDescent="0.25">
      <c r="D353" s="201" t="str">
        <f t="shared" si="5"/>
        <v/>
      </c>
      <c r="L353" s="201" t="str">
        <f>IFERROR(COUNTIF($C$21:C353,C353)&amp;CHOOSE(MIN(4,COUNTIF($C$21:C353,C353)),"st","nd","rd","th"),"")</f>
        <v/>
      </c>
    </row>
    <row r="354" spans="4:12" x14ac:dyDescent="0.25">
      <c r="D354" s="201" t="str">
        <f t="shared" si="5"/>
        <v/>
      </c>
      <c r="L354" s="201" t="str">
        <f>IFERROR(COUNTIF($C$21:C354,C354)&amp;CHOOSE(MIN(4,COUNTIF($C$21:C354,C354)),"st","nd","rd","th"),"")</f>
        <v/>
      </c>
    </row>
    <row r="355" spans="4:12" x14ac:dyDescent="0.25">
      <c r="D355" s="201" t="str">
        <f t="shared" si="5"/>
        <v/>
      </c>
      <c r="L355" s="201" t="str">
        <f>IFERROR(COUNTIF($C$21:C355,C355)&amp;CHOOSE(MIN(4,COUNTIF($C$21:C355,C355)),"st","nd","rd","th"),"")</f>
        <v/>
      </c>
    </row>
    <row r="356" spans="4:12" x14ac:dyDescent="0.25">
      <c r="D356" s="201" t="str">
        <f t="shared" si="5"/>
        <v/>
      </c>
      <c r="L356" s="201" t="str">
        <f>IFERROR(COUNTIF($C$21:C356,C356)&amp;CHOOSE(MIN(4,COUNTIF($C$21:C356,C356)),"st","nd","rd","th"),"")</f>
        <v/>
      </c>
    </row>
    <row r="357" spans="4:12" x14ac:dyDescent="0.25">
      <c r="D357" s="201" t="str">
        <f t="shared" si="5"/>
        <v/>
      </c>
      <c r="L357" s="201" t="str">
        <f>IFERROR(COUNTIF($C$21:C357,C357)&amp;CHOOSE(MIN(4,COUNTIF($C$21:C357,C357)),"st","nd","rd","th"),"")</f>
        <v/>
      </c>
    </row>
    <row r="358" spans="4:12" x14ac:dyDescent="0.25">
      <c r="D358" s="201" t="str">
        <f t="shared" si="5"/>
        <v/>
      </c>
      <c r="L358" s="201" t="str">
        <f>IFERROR(COUNTIF($C$21:C358,C358)&amp;CHOOSE(MIN(4,COUNTIF($C$21:C358,C358)),"st","nd","rd","th"),"")</f>
        <v/>
      </c>
    </row>
    <row r="359" spans="4:12" x14ac:dyDescent="0.25">
      <c r="D359" s="201" t="str">
        <f t="shared" si="5"/>
        <v/>
      </c>
      <c r="L359" s="201" t="str">
        <f>IFERROR(COUNTIF($C$21:C359,C359)&amp;CHOOSE(MIN(4,COUNTIF($C$21:C359,C359)),"st","nd","rd","th"),"")</f>
        <v/>
      </c>
    </row>
    <row r="360" spans="4:12" x14ac:dyDescent="0.25">
      <c r="D360" s="201" t="str">
        <f t="shared" si="5"/>
        <v/>
      </c>
      <c r="L360" s="201" t="str">
        <f>IFERROR(COUNTIF($C$21:C360,C360)&amp;CHOOSE(MIN(4,COUNTIF($C$21:C360,C360)),"st","nd","rd","th"),"")</f>
        <v/>
      </c>
    </row>
    <row r="361" spans="4:12" x14ac:dyDescent="0.25">
      <c r="D361" s="201" t="str">
        <f t="shared" si="5"/>
        <v/>
      </c>
      <c r="L361" s="201" t="str">
        <f>IFERROR(COUNTIF($C$21:C361,C361)&amp;CHOOSE(MIN(4,COUNTIF($C$21:C361,C361)),"st","nd","rd","th"),"")</f>
        <v/>
      </c>
    </row>
    <row r="362" spans="4:12" x14ac:dyDescent="0.25">
      <c r="D362" s="201" t="str">
        <f t="shared" si="5"/>
        <v/>
      </c>
      <c r="L362" s="201" t="str">
        <f>IFERROR(COUNTIF($C$21:C362,C362)&amp;CHOOSE(MIN(4,COUNTIF($C$21:C362,C362)),"st","nd","rd","th"),"")</f>
        <v/>
      </c>
    </row>
    <row r="363" spans="4:12" x14ac:dyDescent="0.25">
      <c r="D363" s="201" t="str">
        <f t="shared" si="5"/>
        <v/>
      </c>
      <c r="L363" s="201" t="str">
        <f>IFERROR(COUNTIF($C$21:C363,C363)&amp;CHOOSE(MIN(4,COUNTIF($C$21:C363,C363)),"st","nd","rd","th"),"")</f>
        <v/>
      </c>
    </row>
    <row r="364" spans="4:12" x14ac:dyDescent="0.25">
      <c r="D364" s="201" t="str">
        <f t="shared" si="5"/>
        <v/>
      </c>
      <c r="L364" s="201" t="str">
        <f>IFERROR(COUNTIF($C$21:C364,C364)&amp;CHOOSE(MIN(4,COUNTIF($C$21:C364,C364)),"st","nd","rd","th"),"")</f>
        <v/>
      </c>
    </row>
    <row r="365" spans="4:12" x14ac:dyDescent="0.25">
      <c r="D365" s="201" t="str">
        <f t="shared" si="5"/>
        <v/>
      </c>
      <c r="L365" s="201" t="str">
        <f>IFERROR(COUNTIF($C$21:C365,C365)&amp;CHOOSE(MIN(4,COUNTIF($C$21:C365,C365)),"st","nd","rd","th"),"")</f>
        <v/>
      </c>
    </row>
    <row r="366" spans="4:12" x14ac:dyDescent="0.25">
      <c r="D366" s="201" t="str">
        <f t="shared" si="5"/>
        <v/>
      </c>
      <c r="L366" s="201" t="str">
        <f>IFERROR(COUNTIF($C$21:C366,C366)&amp;CHOOSE(MIN(4,COUNTIF($C$21:C366,C366)),"st","nd","rd","th"),"")</f>
        <v/>
      </c>
    </row>
    <row r="367" spans="4:12" x14ac:dyDescent="0.25">
      <c r="D367" s="201" t="str">
        <f t="shared" si="5"/>
        <v/>
      </c>
      <c r="L367" s="201" t="str">
        <f>IFERROR(COUNTIF($C$21:C367,C367)&amp;CHOOSE(MIN(4,COUNTIF($C$21:C367,C367)),"st","nd","rd","th"),"")</f>
        <v/>
      </c>
    </row>
    <row r="368" spans="4:12" x14ac:dyDescent="0.25">
      <c r="D368" s="201" t="str">
        <f t="shared" si="5"/>
        <v/>
      </c>
      <c r="L368" s="201" t="str">
        <f>IFERROR(COUNTIF($C$21:C368,C368)&amp;CHOOSE(MIN(4,COUNTIF($C$21:C368,C368)),"st","nd","rd","th"),"")</f>
        <v/>
      </c>
    </row>
    <row r="369" spans="4:12" x14ac:dyDescent="0.25">
      <c r="D369" s="201" t="str">
        <f t="shared" si="5"/>
        <v/>
      </c>
      <c r="L369" s="201" t="str">
        <f>IFERROR(COUNTIF($C$21:C369,C369)&amp;CHOOSE(MIN(4,COUNTIF($C$21:C369,C369)),"st","nd","rd","th"),"")</f>
        <v/>
      </c>
    </row>
    <row r="370" spans="4:12" x14ac:dyDescent="0.25">
      <c r="D370" s="201" t="str">
        <f t="shared" si="5"/>
        <v/>
      </c>
      <c r="L370" s="201" t="str">
        <f>IFERROR(COUNTIF($C$21:C370,C370)&amp;CHOOSE(MIN(4,COUNTIF($C$21:C370,C370)),"st","nd","rd","th"),"")</f>
        <v/>
      </c>
    </row>
    <row r="371" spans="4:12" x14ac:dyDescent="0.25">
      <c r="D371" s="201" t="str">
        <f t="shared" si="5"/>
        <v/>
      </c>
      <c r="L371" s="201" t="str">
        <f>IFERROR(COUNTIF($C$21:C371,C371)&amp;CHOOSE(MIN(4,COUNTIF($C$21:C371,C371)),"st","nd","rd","th"),"")</f>
        <v/>
      </c>
    </row>
    <row r="372" spans="4:12" x14ac:dyDescent="0.25">
      <c r="D372" s="201" t="str">
        <f t="shared" si="5"/>
        <v/>
      </c>
      <c r="L372" s="201" t="str">
        <f>IFERROR(COUNTIF($C$21:C372,C372)&amp;CHOOSE(MIN(4,COUNTIF($C$21:C372,C372)),"st","nd","rd","th"),"")</f>
        <v/>
      </c>
    </row>
    <row r="373" spans="4:12" x14ac:dyDescent="0.25">
      <c r="D373" s="201" t="str">
        <f t="shared" si="5"/>
        <v/>
      </c>
      <c r="L373" s="201" t="str">
        <f>IFERROR(COUNTIF($C$21:C373,C373)&amp;CHOOSE(MIN(4,COUNTIF($C$21:C373,C373)),"st","nd","rd","th"),"")</f>
        <v/>
      </c>
    </row>
    <row r="374" spans="4:12" x14ac:dyDescent="0.25">
      <c r="D374" s="201" t="str">
        <f t="shared" si="5"/>
        <v/>
      </c>
      <c r="L374" s="201" t="str">
        <f>IFERROR(COUNTIF($C$21:C374,C374)&amp;CHOOSE(MIN(4,COUNTIF($C$21:C374,C374)),"st","nd","rd","th"),"")</f>
        <v/>
      </c>
    </row>
    <row r="375" spans="4:12" x14ac:dyDescent="0.25">
      <c r="D375" s="201" t="str">
        <f t="shared" si="5"/>
        <v/>
      </c>
      <c r="L375" s="201" t="str">
        <f>IFERROR(COUNTIF($C$21:C375,C375)&amp;CHOOSE(MIN(4,COUNTIF($C$21:C375,C375)),"st","nd","rd","th"),"")</f>
        <v/>
      </c>
    </row>
    <row r="376" spans="4:12" x14ac:dyDescent="0.25">
      <c r="D376" s="201" t="str">
        <f t="shared" si="5"/>
        <v/>
      </c>
      <c r="L376" s="201" t="str">
        <f>IFERROR(COUNTIF($C$21:C376,C376)&amp;CHOOSE(MIN(4,COUNTIF($C$21:C376,C376)),"st","nd","rd","th"),"")</f>
        <v/>
      </c>
    </row>
    <row r="377" spans="4:12" x14ac:dyDescent="0.25">
      <c r="D377" s="201" t="str">
        <f t="shared" si="5"/>
        <v/>
      </c>
      <c r="L377" s="201" t="str">
        <f>IFERROR(COUNTIF($C$21:C377,C377)&amp;CHOOSE(MIN(4,COUNTIF($C$21:C377,C377)),"st","nd","rd","th"),"")</f>
        <v/>
      </c>
    </row>
    <row r="378" spans="4:12" x14ac:dyDescent="0.25">
      <c r="D378" s="201" t="str">
        <f t="shared" si="5"/>
        <v/>
      </c>
      <c r="L378" s="201" t="str">
        <f>IFERROR(COUNTIF($C$21:C378,C378)&amp;CHOOSE(MIN(4,COUNTIF($C$21:C378,C378)),"st","nd","rd","th"),"")</f>
        <v/>
      </c>
    </row>
    <row r="379" spans="4:12" x14ac:dyDescent="0.25">
      <c r="D379" s="201" t="str">
        <f t="shared" si="5"/>
        <v/>
      </c>
      <c r="L379" s="201" t="str">
        <f>IFERROR(COUNTIF($C$21:C379,C379)&amp;CHOOSE(MIN(4,COUNTIF($C$21:C379,C379)),"st","nd","rd","th"),"")</f>
        <v/>
      </c>
    </row>
    <row r="380" spans="4:12" x14ac:dyDescent="0.25">
      <c r="D380" s="201" t="str">
        <f t="shared" si="5"/>
        <v/>
      </c>
      <c r="L380" s="201" t="str">
        <f>IFERROR(COUNTIF($C$21:C380,C380)&amp;CHOOSE(MIN(4,COUNTIF($C$21:C380,C380)),"st","nd","rd","th"),"")</f>
        <v/>
      </c>
    </row>
    <row r="381" spans="4:12" x14ac:dyDescent="0.25">
      <c r="D381" s="201" t="str">
        <f t="shared" si="5"/>
        <v/>
      </c>
      <c r="L381" s="201" t="str">
        <f>IFERROR(COUNTIF($C$21:C381,C381)&amp;CHOOSE(MIN(4,COUNTIF($C$21:C381,C381)),"st","nd","rd","th"),"")</f>
        <v/>
      </c>
    </row>
    <row r="382" spans="4:12" x14ac:dyDescent="0.25">
      <c r="D382" s="201" t="str">
        <f t="shared" si="5"/>
        <v/>
      </c>
      <c r="L382" s="201" t="str">
        <f>IFERROR(COUNTIF($C$21:C382,C382)&amp;CHOOSE(MIN(4,COUNTIF($C$21:C382,C382)),"st","nd","rd","th"),"")</f>
        <v/>
      </c>
    </row>
    <row r="383" spans="4:12" x14ac:dyDescent="0.25">
      <c r="D383" s="201" t="str">
        <f t="shared" si="5"/>
        <v/>
      </c>
      <c r="L383" s="201" t="str">
        <f>IFERROR(COUNTIF($C$21:C383,C383)&amp;CHOOSE(MIN(4,COUNTIF($C$21:C383,C383)),"st","nd","rd","th"),"")</f>
        <v/>
      </c>
    </row>
    <row r="384" spans="4:12" x14ac:dyDescent="0.25">
      <c r="D384" s="201" t="str">
        <f t="shared" si="5"/>
        <v/>
      </c>
      <c r="L384" s="201" t="str">
        <f>IFERROR(COUNTIF($C$21:C384,C384)&amp;CHOOSE(MIN(4,COUNTIF($C$21:C384,C384)),"st","nd","rd","th"),"")</f>
        <v/>
      </c>
    </row>
    <row r="385" spans="4:12" x14ac:dyDescent="0.25">
      <c r="D385" s="201" t="str">
        <f t="shared" si="5"/>
        <v/>
      </c>
      <c r="L385" s="201" t="str">
        <f>IFERROR(COUNTIF($C$21:C385,C385)&amp;CHOOSE(MIN(4,COUNTIF($C$21:C385,C385)),"st","nd","rd","th"),"")</f>
        <v/>
      </c>
    </row>
    <row r="386" spans="4:12" x14ac:dyDescent="0.25">
      <c r="D386" s="201" t="str">
        <f t="shared" si="5"/>
        <v/>
      </c>
      <c r="L386" s="201" t="str">
        <f>IFERROR(COUNTIF($C$21:C386,C386)&amp;CHOOSE(MIN(4,COUNTIF($C$21:C386,C386)),"st","nd","rd","th"),"")</f>
        <v/>
      </c>
    </row>
    <row r="387" spans="4:12" x14ac:dyDescent="0.25">
      <c r="D387" s="201" t="str">
        <f t="shared" si="5"/>
        <v/>
      </c>
      <c r="L387" s="201" t="str">
        <f>IFERROR(COUNTIF($C$21:C387,C387)&amp;CHOOSE(MIN(4,COUNTIF($C$21:C387,C387)),"st","nd","rd","th"),"")</f>
        <v/>
      </c>
    </row>
    <row r="388" spans="4:12" x14ac:dyDescent="0.25">
      <c r="D388" s="201" t="str">
        <f t="shared" si="5"/>
        <v/>
      </c>
      <c r="L388" s="201" t="str">
        <f>IFERROR(COUNTIF($C$21:C388,C388)&amp;CHOOSE(MIN(4,COUNTIF($C$21:C388,C388)),"st","nd","rd","th"),"")</f>
        <v/>
      </c>
    </row>
    <row r="389" spans="4:12" x14ac:dyDescent="0.25">
      <c r="D389" s="201" t="str">
        <f t="shared" si="5"/>
        <v/>
      </c>
      <c r="L389" s="201" t="str">
        <f>IFERROR(COUNTIF($C$21:C389,C389)&amp;CHOOSE(MIN(4,COUNTIF($C$21:C389,C389)),"st","nd","rd","th"),"")</f>
        <v/>
      </c>
    </row>
    <row r="390" spans="4:12" x14ac:dyDescent="0.25">
      <c r="D390" s="201" t="str">
        <f t="shared" si="5"/>
        <v/>
      </c>
      <c r="L390" s="201" t="str">
        <f>IFERROR(COUNTIF($C$21:C390,C390)&amp;CHOOSE(MIN(4,COUNTIF($C$21:C390,C390)),"st","nd","rd","th"),"")</f>
        <v/>
      </c>
    </row>
    <row r="391" spans="4:12" x14ac:dyDescent="0.25">
      <c r="D391" s="201" t="str">
        <f t="shared" si="5"/>
        <v/>
      </c>
      <c r="L391" s="201" t="str">
        <f>IFERROR(COUNTIF($C$21:C391,C391)&amp;CHOOSE(MIN(4,COUNTIF($C$21:C391,C391)),"st","nd","rd","th"),"")</f>
        <v/>
      </c>
    </row>
    <row r="392" spans="4:12" x14ac:dyDescent="0.25">
      <c r="D392" s="201" t="str">
        <f t="shared" si="5"/>
        <v/>
      </c>
      <c r="L392" s="201" t="str">
        <f>IFERROR(COUNTIF($C$21:C392,C392)&amp;CHOOSE(MIN(4,COUNTIF($C$21:C392,C392)),"st","nd","rd","th"),"")</f>
        <v/>
      </c>
    </row>
    <row r="393" spans="4:12" x14ac:dyDescent="0.25">
      <c r="D393" s="201" t="str">
        <f t="shared" si="5"/>
        <v/>
      </c>
      <c r="L393" s="201" t="str">
        <f>IFERROR(COUNTIF($C$21:C393,C393)&amp;CHOOSE(MIN(4,COUNTIF($C$21:C393,C393)),"st","nd","rd","th"),"")</f>
        <v/>
      </c>
    </row>
    <row r="394" spans="4:12" x14ac:dyDescent="0.25">
      <c r="D394" s="201" t="str">
        <f t="shared" si="5"/>
        <v/>
      </c>
      <c r="L394" s="201" t="str">
        <f>IFERROR(COUNTIF($C$21:C394,C394)&amp;CHOOSE(MIN(4,COUNTIF($C$21:C394,C394)),"st","nd","rd","th"),"")</f>
        <v/>
      </c>
    </row>
    <row r="395" spans="4:12" x14ac:dyDescent="0.25">
      <c r="D395" s="201" t="str">
        <f t="shared" si="5"/>
        <v/>
      </c>
      <c r="L395" s="201" t="str">
        <f>IFERROR(COUNTIF($C$21:C395,C395)&amp;CHOOSE(MIN(4,COUNTIF($C$21:C395,C395)),"st","nd","rd","th"),"")</f>
        <v/>
      </c>
    </row>
    <row r="396" spans="4:12" x14ac:dyDescent="0.25">
      <c r="D396" s="201" t="str">
        <f t="shared" si="5"/>
        <v/>
      </c>
      <c r="L396" s="201" t="str">
        <f>IFERROR(COUNTIF($C$21:C396,C396)&amp;CHOOSE(MIN(4,COUNTIF($C$21:C396,C396)),"st","nd","rd","th"),"")</f>
        <v/>
      </c>
    </row>
    <row r="397" spans="4:12" x14ac:dyDescent="0.25">
      <c r="D397" s="201" t="str">
        <f t="shared" si="5"/>
        <v/>
      </c>
      <c r="L397" s="201" t="str">
        <f>IFERROR(COUNTIF($C$21:C397,C397)&amp;CHOOSE(MIN(4,COUNTIF($C$21:C397,C397)),"st","nd","rd","th"),"")</f>
        <v/>
      </c>
    </row>
    <row r="398" spans="4:12" x14ac:dyDescent="0.25">
      <c r="D398" s="201" t="str">
        <f t="shared" si="5"/>
        <v/>
      </c>
      <c r="L398" s="201" t="str">
        <f>IFERROR(COUNTIF($C$21:C398,C398)&amp;CHOOSE(MIN(4,COUNTIF($C$21:C398,C398)),"st","nd","rd","th"),"")</f>
        <v/>
      </c>
    </row>
    <row r="399" spans="4:12" x14ac:dyDescent="0.25">
      <c r="D399" s="201" t="str">
        <f t="shared" si="5"/>
        <v/>
      </c>
      <c r="L399" s="201" t="str">
        <f>IFERROR(COUNTIF($C$21:C399,C399)&amp;CHOOSE(MIN(4,COUNTIF($C$21:C399,C399)),"st","nd","rd","th"),"")</f>
        <v/>
      </c>
    </row>
    <row r="400" spans="4:12" x14ac:dyDescent="0.25">
      <c r="D400" s="201" t="str">
        <f t="shared" si="5"/>
        <v/>
      </c>
      <c r="L400" s="201" t="str">
        <f>IFERROR(COUNTIF($C$21:C400,C400)&amp;CHOOSE(MIN(4,COUNTIF($C$21:C400,C400)),"st","nd","rd","th"),"")</f>
        <v/>
      </c>
    </row>
    <row r="401" spans="4:12" x14ac:dyDescent="0.25">
      <c r="D401" s="201" t="str">
        <f t="shared" si="5"/>
        <v/>
      </c>
      <c r="L401" s="201" t="str">
        <f>IFERROR(COUNTIF($C$21:C401,C401)&amp;CHOOSE(MIN(4,COUNTIF($C$21:C401,C401)),"st","nd","rd","th"),"")</f>
        <v/>
      </c>
    </row>
    <row r="402" spans="4:12" x14ac:dyDescent="0.25">
      <c r="D402" s="201" t="str">
        <f t="shared" si="5"/>
        <v/>
      </c>
      <c r="L402" s="201" t="str">
        <f>IFERROR(COUNTIF($C$21:C402,C402)&amp;CHOOSE(MIN(4,COUNTIF($C$21:C402,C402)),"st","nd","rd","th"),"")</f>
        <v/>
      </c>
    </row>
    <row r="403" spans="4:12" x14ac:dyDescent="0.25">
      <c r="D403" s="201" t="str">
        <f t="shared" si="5"/>
        <v/>
      </c>
      <c r="L403" s="201" t="str">
        <f>IFERROR(COUNTIF($C$21:C403,C403)&amp;CHOOSE(MIN(4,COUNTIF($C$21:C403,C403)),"st","nd","rd","th"),"")</f>
        <v/>
      </c>
    </row>
    <row r="404" spans="4:12" x14ac:dyDescent="0.25">
      <c r="D404" s="201" t="str">
        <f t="shared" si="5"/>
        <v/>
      </c>
      <c r="L404" s="201" t="str">
        <f>IFERROR(COUNTIF($C$21:C404,C404)&amp;CHOOSE(MIN(4,COUNTIF($C$21:C404,C404)),"st","nd","rd","th"),"")</f>
        <v/>
      </c>
    </row>
    <row r="405" spans="4:12" x14ac:dyDescent="0.25">
      <c r="D405" s="201" t="str">
        <f t="shared" si="5"/>
        <v/>
      </c>
      <c r="L405" s="201" t="str">
        <f>IFERROR(COUNTIF($C$21:C405,C405)&amp;CHOOSE(MIN(4,COUNTIF($C$21:C405,C405)),"st","nd","rd","th"),"")</f>
        <v/>
      </c>
    </row>
    <row r="406" spans="4:12" x14ac:dyDescent="0.25">
      <c r="D406" s="201" t="str">
        <f t="shared" ref="D406:D469" si="6">IF(B406="","",IF(B406="Province_PLGU","PLGU","City / Municipality"))</f>
        <v/>
      </c>
      <c r="L406" s="201" t="str">
        <f>IFERROR(COUNTIF($C$21:C406,C406)&amp;CHOOSE(MIN(4,COUNTIF($C$21:C406,C406)),"st","nd","rd","th"),"")</f>
        <v/>
      </c>
    </row>
    <row r="407" spans="4:12" x14ac:dyDescent="0.25">
      <c r="D407" s="201" t="str">
        <f t="shared" si="6"/>
        <v/>
      </c>
      <c r="L407" s="201" t="str">
        <f>IFERROR(COUNTIF($C$21:C407,C407)&amp;CHOOSE(MIN(4,COUNTIF($C$21:C407,C407)),"st","nd","rd","th"),"")</f>
        <v/>
      </c>
    </row>
    <row r="408" spans="4:12" x14ac:dyDescent="0.25">
      <c r="D408" s="201" t="str">
        <f t="shared" si="6"/>
        <v/>
      </c>
      <c r="L408" s="201" t="str">
        <f>IFERROR(COUNTIF($C$21:C408,C408)&amp;CHOOSE(MIN(4,COUNTIF($C$21:C408,C408)),"st","nd","rd","th"),"")</f>
        <v/>
      </c>
    </row>
    <row r="409" spans="4:12" x14ac:dyDescent="0.25">
      <c r="D409" s="201" t="str">
        <f t="shared" si="6"/>
        <v/>
      </c>
      <c r="L409" s="201" t="str">
        <f>IFERROR(COUNTIF($C$21:C409,C409)&amp;CHOOSE(MIN(4,COUNTIF($C$21:C409,C409)),"st","nd","rd","th"),"")</f>
        <v/>
      </c>
    </row>
    <row r="410" spans="4:12" x14ac:dyDescent="0.25">
      <c r="D410" s="201" t="str">
        <f t="shared" si="6"/>
        <v/>
      </c>
      <c r="L410" s="201" t="str">
        <f>IFERROR(COUNTIF($C$21:C410,C410)&amp;CHOOSE(MIN(4,COUNTIF($C$21:C410,C410)),"st","nd","rd","th"),"")</f>
        <v/>
      </c>
    </row>
    <row r="411" spans="4:12" x14ac:dyDescent="0.25">
      <c r="D411" s="201" t="str">
        <f t="shared" si="6"/>
        <v/>
      </c>
      <c r="L411" s="201" t="str">
        <f>IFERROR(COUNTIF($C$21:C411,C411)&amp;CHOOSE(MIN(4,COUNTIF($C$21:C411,C411)),"st","nd","rd","th"),"")</f>
        <v/>
      </c>
    </row>
    <row r="412" spans="4:12" x14ac:dyDescent="0.25">
      <c r="D412" s="201" t="str">
        <f t="shared" si="6"/>
        <v/>
      </c>
      <c r="L412" s="201" t="str">
        <f>IFERROR(COUNTIF($C$21:C412,C412)&amp;CHOOSE(MIN(4,COUNTIF($C$21:C412,C412)),"st","nd","rd","th"),"")</f>
        <v/>
      </c>
    </row>
    <row r="413" spans="4:12" x14ac:dyDescent="0.25">
      <c r="D413" s="201" t="str">
        <f t="shared" si="6"/>
        <v/>
      </c>
      <c r="L413" s="201" t="str">
        <f>IFERROR(COUNTIF($C$21:C413,C413)&amp;CHOOSE(MIN(4,COUNTIF($C$21:C413,C413)),"st","nd","rd","th"),"")</f>
        <v/>
      </c>
    </row>
    <row r="414" spans="4:12" x14ac:dyDescent="0.25">
      <c r="D414" s="201" t="str">
        <f t="shared" si="6"/>
        <v/>
      </c>
      <c r="L414" s="201" t="str">
        <f>IFERROR(COUNTIF($C$21:C414,C414)&amp;CHOOSE(MIN(4,COUNTIF($C$21:C414,C414)),"st","nd","rd","th"),"")</f>
        <v/>
      </c>
    </row>
    <row r="415" spans="4:12" x14ac:dyDescent="0.25">
      <c r="D415" s="201" t="str">
        <f t="shared" si="6"/>
        <v/>
      </c>
      <c r="L415" s="201" t="str">
        <f>IFERROR(COUNTIF($C$21:C415,C415)&amp;CHOOSE(MIN(4,COUNTIF($C$21:C415,C415)),"st","nd","rd","th"),"")</f>
        <v/>
      </c>
    </row>
    <row r="416" spans="4:12" x14ac:dyDescent="0.25">
      <c r="D416" s="201" t="str">
        <f t="shared" si="6"/>
        <v/>
      </c>
      <c r="L416" s="201" t="str">
        <f>IFERROR(COUNTIF($C$21:C416,C416)&amp;CHOOSE(MIN(4,COUNTIF($C$21:C416,C416)),"st","nd","rd","th"),"")</f>
        <v/>
      </c>
    </row>
    <row r="417" spans="4:12" x14ac:dyDescent="0.25">
      <c r="D417" s="201" t="str">
        <f t="shared" si="6"/>
        <v/>
      </c>
      <c r="L417" s="201" t="str">
        <f>IFERROR(COUNTIF($C$21:C417,C417)&amp;CHOOSE(MIN(4,COUNTIF($C$21:C417,C417)),"st","nd","rd","th"),"")</f>
        <v/>
      </c>
    </row>
    <row r="418" spans="4:12" x14ac:dyDescent="0.25">
      <c r="D418" s="201" t="str">
        <f t="shared" si="6"/>
        <v/>
      </c>
      <c r="L418" s="201" t="str">
        <f>IFERROR(COUNTIF($C$21:C418,C418)&amp;CHOOSE(MIN(4,COUNTIF($C$21:C418,C418)),"st","nd","rd","th"),"")</f>
        <v/>
      </c>
    </row>
    <row r="419" spans="4:12" x14ac:dyDescent="0.25">
      <c r="D419" s="201" t="str">
        <f t="shared" si="6"/>
        <v/>
      </c>
      <c r="L419" s="201" t="str">
        <f>IFERROR(COUNTIF($C$21:C419,C419)&amp;CHOOSE(MIN(4,COUNTIF($C$21:C419,C419)),"st","nd","rd","th"),"")</f>
        <v/>
      </c>
    </row>
    <row r="420" spans="4:12" x14ac:dyDescent="0.25">
      <c r="D420" s="201" t="str">
        <f t="shared" si="6"/>
        <v/>
      </c>
      <c r="L420" s="201" t="str">
        <f>IFERROR(COUNTIF($C$21:C420,C420)&amp;CHOOSE(MIN(4,COUNTIF($C$21:C420,C420)),"st","nd","rd","th"),"")</f>
        <v/>
      </c>
    </row>
    <row r="421" spans="4:12" x14ac:dyDescent="0.25">
      <c r="D421" s="201" t="str">
        <f t="shared" si="6"/>
        <v/>
      </c>
      <c r="L421" s="201" t="str">
        <f>IFERROR(COUNTIF($C$21:C421,C421)&amp;CHOOSE(MIN(4,COUNTIF($C$21:C421,C421)),"st","nd","rd","th"),"")</f>
        <v/>
      </c>
    </row>
    <row r="422" spans="4:12" x14ac:dyDescent="0.25">
      <c r="D422" s="201" t="str">
        <f t="shared" si="6"/>
        <v/>
      </c>
      <c r="L422" s="201" t="str">
        <f>IFERROR(COUNTIF($C$21:C422,C422)&amp;CHOOSE(MIN(4,COUNTIF($C$21:C422,C422)),"st","nd","rd","th"),"")</f>
        <v/>
      </c>
    </row>
    <row r="423" spans="4:12" x14ac:dyDescent="0.25">
      <c r="D423" s="201" t="str">
        <f t="shared" si="6"/>
        <v/>
      </c>
      <c r="L423" s="201" t="str">
        <f>IFERROR(COUNTIF($C$21:C423,C423)&amp;CHOOSE(MIN(4,COUNTIF($C$21:C423,C423)),"st","nd","rd","th"),"")</f>
        <v/>
      </c>
    </row>
    <row r="424" spans="4:12" x14ac:dyDescent="0.25">
      <c r="D424" s="201" t="str">
        <f t="shared" si="6"/>
        <v/>
      </c>
      <c r="L424" s="201" t="str">
        <f>IFERROR(COUNTIF($C$21:C424,C424)&amp;CHOOSE(MIN(4,COUNTIF($C$21:C424,C424)),"st","nd","rd","th"),"")</f>
        <v/>
      </c>
    </row>
    <row r="425" spans="4:12" x14ac:dyDescent="0.25">
      <c r="D425" s="201" t="str">
        <f t="shared" si="6"/>
        <v/>
      </c>
      <c r="L425" s="201" t="str">
        <f>IFERROR(COUNTIF($C$21:C425,C425)&amp;CHOOSE(MIN(4,COUNTIF($C$21:C425,C425)),"st","nd","rd","th"),"")</f>
        <v/>
      </c>
    </row>
    <row r="426" spans="4:12" x14ac:dyDescent="0.25">
      <c r="D426" s="201" t="str">
        <f t="shared" si="6"/>
        <v/>
      </c>
      <c r="L426" s="201" t="str">
        <f>IFERROR(COUNTIF($C$21:C426,C426)&amp;CHOOSE(MIN(4,COUNTIF($C$21:C426,C426)),"st","nd","rd","th"),"")</f>
        <v/>
      </c>
    </row>
    <row r="427" spans="4:12" x14ac:dyDescent="0.25">
      <c r="D427" s="201" t="str">
        <f t="shared" si="6"/>
        <v/>
      </c>
      <c r="L427" s="201" t="str">
        <f>IFERROR(COUNTIF($C$21:C427,C427)&amp;CHOOSE(MIN(4,COUNTIF($C$21:C427,C427)),"st","nd","rd","th"),"")</f>
        <v/>
      </c>
    </row>
    <row r="428" spans="4:12" x14ac:dyDescent="0.25">
      <c r="D428" s="201" t="str">
        <f t="shared" si="6"/>
        <v/>
      </c>
      <c r="L428" s="201" t="str">
        <f>IFERROR(COUNTIF($C$21:C428,C428)&amp;CHOOSE(MIN(4,COUNTIF($C$21:C428,C428)),"st","nd","rd","th"),"")</f>
        <v/>
      </c>
    </row>
    <row r="429" spans="4:12" x14ac:dyDescent="0.25">
      <c r="D429" s="201" t="str">
        <f t="shared" si="6"/>
        <v/>
      </c>
      <c r="L429" s="201" t="str">
        <f>IFERROR(COUNTIF($C$21:C429,C429)&amp;CHOOSE(MIN(4,COUNTIF($C$21:C429,C429)),"st","nd","rd","th"),"")</f>
        <v/>
      </c>
    </row>
    <row r="430" spans="4:12" x14ac:dyDescent="0.25">
      <c r="D430" s="201" t="str">
        <f t="shared" si="6"/>
        <v/>
      </c>
      <c r="L430" s="201" t="str">
        <f>IFERROR(COUNTIF($C$21:C430,C430)&amp;CHOOSE(MIN(4,COUNTIF($C$21:C430,C430)),"st","nd","rd","th"),"")</f>
        <v/>
      </c>
    </row>
    <row r="431" spans="4:12" x14ac:dyDescent="0.25">
      <c r="D431" s="201" t="str">
        <f t="shared" si="6"/>
        <v/>
      </c>
      <c r="L431" s="201" t="str">
        <f>IFERROR(COUNTIF($C$21:C431,C431)&amp;CHOOSE(MIN(4,COUNTIF($C$21:C431,C431)),"st","nd","rd","th"),"")</f>
        <v/>
      </c>
    </row>
    <row r="432" spans="4:12" x14ac:dyDescent="0.25">
      <c r="D432" s="201" t="str">
        <f t="shared" si="6"/>
        <v/>
      </c>
      <c r="L432" s="201" t="str">
        <f>IFERROR(COUNTIF($C$21:C432,C432)&amp;CHOOSE(MIN(4,COUNTIF($C$21:C432,C432)),"st","nd","rd","th"),"")</f>
        <v/>
      </c>
    </row>
    <row r="433" spans="4:12" x14ac:dyDescent="0.25">
      <c r="D433" s="201" t="str">
        <f t="shared" si="6"/>
        <v/>
      </c>
      <c r="L433" s="201" t="str">
        <f>IFERROR(COUNTIF($C$21:C433,C433)&amp;CHOOSE(MIN(4,COUNTIF($C$21:C433,C433)),"st","nd","rd","th"),"")</f>
        <v/>
      </c>
    </row>
    <row r="434" spans="4:12" x14ac:dyDescent="0.25">
      <c r="D434" s="201" t="str">
        <f t="shared" si="6"/>
        <v/>
      </c>
      <c r="L434" s="201" t="str">
        <f>IFERROR(COUNTIF($C$21:C434,C434)&amp;CHOOSE(MIN(4,COUNTIF($C$21:C434,C434)),"st","nd","rd","th"),"")</f>
        <v/>
      </c>
    </row>
    <row r="435" spans="4:12" x14ac:dyDescent="0.25">
      <c r="D435" s="201" t="str">
        <f t="shared" si="6"/>
        <v/>
      </c>
      <c r="L435" s="201" t="str">
        <f>IFERROR(COUNTIF($C$21:C435,C435)&amp;CHOOSE(MIN(4,COUNTIF($C$21:C435,C435)),"st","nd","rd","th"),"")</f>
        <v/>
      </c>
    </row>
    <row r="436" spans="4:12" x14ac:dyDescent="0.25">
      <c r="D436" s="201" t="str">
        <f t="shared" si="6"/>
        <v/>
      </c>
      <c r="L436" s="201" t="str">
        <f>IFERROR(COUNTIF($C$21:C436,C436)&amp;CHOOSE(MIN(4,COUNTIF($C$21:C436,C436)),"st","nd","rd","th"),"")</f>
        <v/>
      </c>
    </row>
    <row r="437" spans="4:12" x14ac:dyDescent="0.25">
      <c r="D437" s="201" t="str">
        <f t="shared" si="6"/>
        <v/>
      </c>
      <c r="L437" s="201" t="str">
        <f>IFERROR(COUNTIF($C$21:C437,C437)&amp;CHOOSE(MIN(4,COUNTIF($C$21:C437,C437)),"st","nd","rd","th"),"")</f>
        <v/>
      </c>
    </row>
    <row r="438" spans="4:12" x14ac:dyDescent="0.25">
      <c r="D438" s="201" t="str">
        <f t="shared" si="6"/>
        <v/>
      </c>
      <c r="L438" s="201" t="str">
        <f>IFERROR(COUNTIF($C$21:C438,C438)&amp;CHOOSE(MIN(4,COUNTIF($C$21:C438,C438)),"st","nd","rd","th"),"")</f>
        <v/>
      </c>
    </row>
    <row r="439" spans="4:12" x14ac:dyDescent="0.25">
      <c r="D439" s="201" t="str">
        <f t="shared" si="6"/>
        <v/>
      </c>
      <c r="L439" s="201" t="str">
        <f>IFERROR(COUNTIF($C$21:C439,C439)&amp;CHOOSE(MIN(4,COUNTIF($C$21:C439,C439)),"st","nd","rd","th"),"")</f>
        <v/>
      </c>
    </row>
    <row r="440" spans="4:12" x14ac:dyDescent="0.25">
      <c r="D440" s="201" t="str">
        <f t="shared" si="6"/>
        <v/>
      </c>
      <c r="L440" s="201" t="str">
        <f>IFERROR(COUNTIF($C$21:C440,C440)&amp;CHOOSE(MIN(4,COUNTIF($C$21:C440,C440)),"st","nd","rd","th"),"")</f>
        <v/>
      </c>
    </row>
    <row r="441" spans="4:12" x14ac:dyDescent="0.25">
      <c r="D441" s="201" t="str">
        <f t="shared" si="6"/>
        <v/>
      </c>
      <c r="L441" s="201" t="str">
        <f>IFERROR(COUNTIF($C$21:C441,C441)&amp;CHOOSE(MIN(4,COUNTIF($C$21:C441,C441)),"st","nd","rd","th"),"")</f>
        <v/>
      </c>
    </row>
    <row r="442" spans="4:12" x14ac:dyDescent="0.25">
      <c r="D442" s="201" t="str">
        <f t="shared" si="6"/>
        <v/>
      </c>
      <c r="L442" s="201" t="str">
        <f>IFERROR(COUNTIF($C$21:C442,C442)&amp;CHOOSE(MIN(4,COUNTIF($C$21:C442,C442)),"st","nd","rd","th"),"")</f>
        <v/>
      </c>
    </row>
    <row r="443" spans="4:12" x14ac:dyDescent="0.25">
      <c r="D443" s="201" t="str">
        <f t="shared" si="6"/>
        <v/>
      </c>
      <c r="L443" s="201" t="str">
        <f>IFERROR(COUNTIF($C$21:C443,C443)&amp;CHOOSE(MIN(4,COUNTIF($C$21:C443,C443)),"st","nd","rd","th"),"")</f>
        <v/>
      </c>
    </row>
    <row r="444" spans="4:12" x14ac:dyDescent="0.25">
      <c r="D444" s="201" t="str">
        <f t="shared" si="6"/>
        <v/>
      </c>
      <c r="L444" s="201" t="str">
        <f>IFERROR(COUNTIF($C$21:C444,C444)&amp;CHOOSE(MIN(4,COUNTIF($C$21:C444,C444)),"st","nd","rd","th"),"")</f>
        <v/>
      </c>
    </row>
    <row r="445" spans="4:12" x14ac:dyDescent="0.25">
      <c r="D445" s="201" t="str">
        <f t="shared" si="6"/>
        <v/>
      </c>
      <c r="L445" s="201" t="str">
        <f>IFERROR(COUNTIF($C$21:C445,C445)&amp;CHOOSE(MIN(4,COUNTIF($C$21:C445,C445)),"st","nd","rd","th"),"")</f>
        <v/>
      </c>
    </row>
    <row r="446" spans="4:12" x14ac:dyDescent="0.25">
      <c r="D446" s="201" t="str">
        <f t="shared" si="6"/>
        <v/>
      </c>
      <c r="L446" s="201" t="str">
        <f>IFERROR(COUNTIF($C$21:C446,C446)&amp;CHOOSE(MIN(4,COUNTIF($C$21:C446,C446)),"st","nd","rd","th"),"")</f>
        <v/>
      </c>
    </row>
    <row r="447" spans="4:12" x14ac:dyDescent="0.25">
      <c r="D447" s="201" t="str">
        <f t="shared" si="6"/>
        <v/>
      </c>
      <c r="L447" s="201" t="str">
        <f>IFERROR(COUNTIF($C$21:C447,C447)&amp;CHOOSE(MIN(4,COUNTIF($C$21:C447,C447)),"st","nd","rd","th"),"")</f>
        <v/>
      </c>
    </row>
    <row r="448" spans="4:12" x14ac:dyDescent="0.25">
      <c r="D448" s="201" t="str">
        <f t="shared" si="6"/>
        <v/>
      </c>
      <c r="L448" s="201" t="str">
        <f>IFERROR(COUNTIF($C$21:C448,C448)&amp;CHOOSE(MIN(4,COUNTIF($C$21:C448,C448)),"st","nd","rd","th"),"")</f>
        <v/>
      </c>
    </row>
    <row r="449" spans="4:12" x14ac:dyDescent="0.25">
      <c r="D449" s="201" t="str">
        <f t="shared" si="6"/>
        <v/>
      </c>
      <c r="L449" s="201" t="str">
        <f>IFERROR(COUNTIF($C$21:C449,C449)&amp;CHOOSE(MIN(4,COUNTIF($C$21:C449,C449)),"st","nd","rd","th"),"")</f>
        <v/>
      </c>
    </row>
    <row r="450" spans="4:12" x14ac:dyDescent="0.25">
      <c r="D450" s="201" t="str">
        <f t="shared" si="6"/>
        <v/>
      </c>
      <c r="L450" s="201" t="str">
        <f>IFERROR(COUNTIF($C$21:C450,C450)&amp;CHOOSE(MIN(4,COUNTIF($C$21:C450,C450)),"st","nd","rd","th"),"")</f>
        <v/>
      </c>
    </row>
    <row r="451" spans="4:12" x14ac:dyDescent="0.25">
      <c r="D451" s="201" t="str">
        <f t="shared" si="6"/>
        <v/>
      </c>
      <c r="L451" s="201" t="str">
        <f>IFERROR(COUNTIF($C$21:C451,C451)&amp;CHOOSE(MIN(4,COUNTIF($C$21:C451,C451)),"st","nd","rd","th"),"")</f>
        <v/>
      </c>
    </row>
    <row r="452" spans="4:12" x14ac:dyDescent="0.25">
      <c r="D452" s="201" t="str">
        <f t="shared" si="6"/>
        <v/>
      </c>
      <c r="L452" s="201" t="str">
        <f>IFERROR(COUNTIF($C$21:C452,C452)&amp;CHOOSE(MIN(4,COUNTIF($C$21:C452,C452)),"st","nd","rd","th"),"")</f>
        <v/>
      </c>
    </row>
    <row r="453" spans="4:12" x14ac:dyDescent="0.25">
      <c r="D453" s="201" t="str">
        <f t="shared" si="6"/>
        <v/>
      </c>
      <c r="L453" s="201" t="str">
        <f>IFERROR(COUNTIF($C$21:C453,C453)&amp;CHOOSE(MIN(4,COUNTIF($C$21:C453,C453)),"st","nd","rd","th"),"")</f>
        <v/>
      </c>
    </row>
    <row r="454" spans="4:12" x14ac:dyDescent="0.25">
      <c r="D454" s="201" t="str">
        <f t="shared" si="6"/>
        <v/>
      </c>
      <c r="L454" s="201" t="str">
        <f>IFERROR(COUNTIF($C$21:C454,C454)&amp;CHOOSE(MIN(4,COUNTIF($C$21:C454,C454)),"st","nd","rd","th"),"")</f>
        <v/>
      </c>
    </row>
    <row r="455" spans="4:12" x14ac:dyDescent="0.25">
      <c r="D455" s="201" t="str">
        <f t="shared" si="6"/>
        <v/>
      </c>
      <c r="L455" s="201" t="str">
        <f>IFERROR(COUNTIF($C$21:C455,C455)&amp;CHOOSE(MIN(4,COUNTIF($C$21:C455,C455)),"st","nd","rd","th"),"")</f>
        <v/>
      </c>
    </row>
    <row r="456" spans="4:12" x14ac:dyDescent="0.25">
      <c r="D456" s="201" t="str">
        <f t="shared" si="6"/>
        <v/>
      </c>
      <c r="L456" s="201" t="str">
        <f>IFERROR(COUNTIF($C$21:C456,C456)&amp;CHOOSE(MIN(4,COUNTIF($C$21:C456,C456)),"st","nd","rd","th"),"")</f>
        <v/>
      </c>
    </row>
    <row r="457" spans="4:12" x14ac:dyDescent="0.25">
      <c r="D457" s="201" t="str">
        <f t="shared" si="6"/>
        <v/>
      </c>
      <c r="L457" s="201" t="str">
        <f>IFERROR(COUNTIF($C$21:C457,C457)&amp;CHOOSE(MIN(4,COUNTIF($C$21:C457,C457)),"st","nd","rd","th"),"")</f>
        <v/>
      </c>
    </row>
    <row r="458" spans="4:12" x14ac:dyDescent="0.25">
      <c r="D458" s="201" t="str">
        <f t="shared" si="6"/>
        <v/>
      </c>
      <c r="L458" s="201" t="str">
        <f>IFERROR(COUNTIF($C$21:C458,C458)&amp;CHOOSE(MIN(4,COUNTIF($C$21:C458,C458)),"st","nd","rd","th"),"")</f>
        <v/>
      </c>
    </row>
    <row r="459" spans="4:12" x14ac:dyDescent="0.25">
      <c r="D459" s="201" t="str">
        <f t="shared" si="6"/>
        <v/>
      </c>
      <c r="L459" s="201" t="str">
        <f>IFERROR(COUNTIF($C$21:C459,C459)&amp;CHOOSE(MIN(4,COUNTIF($C$21:C459,C459)),"st","nd","rd","th"),"")</f>
        <v/>
      </c>
    </row>
    <row r="460" spans="4:12" x14ac:dyDescent="0.25">
      <c r="D460" s="201" t="str">
        <f t="shared" si="6"/>
        <v/>
      </c>
      <c r="L460" s="201" t="str">
        <f>IFERROR(COUNTIF($C$21:C460,C460)&amp;CHOOSE(MIN(4,COUNTIF($C$21:C460,C460)),"st","nd","rd","th"),"")</f>
        <v/>
      </c>
    </row>
    <row r="461" spans="4:12" x14ac:dyDescent="0.25">
      <c r="D461" s="201" t="str">
        <f t="shared" si="6"/>
        <v/>
      </c>
      <c r="L461" s="201" t="str">
        <f>IFERROR(COUNTIF($C$21:C461,C461)&amp;CHOOSE(MIN(4,COUNTIF($C$21:C461,C461)),"st","nd","rd","th"),"")</f>
        <v/>
      </c>
    </row>
    <row r="462" spans="4:12" x14ac:dyDescent="0.25">
      <c r="D462" s="201" t="str">
        <f t="shared" si="6"/>
        <v/>
      </c>
      <c r="L462" s="201" t="str">
        <f>IFERROR(COUNTIF($C$21:C462,C462)&amp;CHOOSE(MIN(4,COUNTIF($C$21:C462,C462)),"st","nd","rd","th"),"")</f>
        <v/>
      </c>
    </row>
    <row r="463" spans="4:12" x14ac:dyDescent="0.25">
      <c r="D463" s="201" t="str">
        <f t="shared" si="6"/>
        <v/>
      </c>
      <c r="L463" s="201" t="str">
        <f>IFERROR(COUNTIF($C$21:C463,C463)&amp;CHOOSE(MIN(4,COUNTIF($C$21:C463,C463)),"st","nd","rd","th"),"")</f>
        <v/>
      </c>
    </row>
    <row r="464" spans="4:12" x14ac:dyDescent="0.25">
      <c r="D464" s="201" t="str">
        <f t="shared" si="6"/>
        <v/>
      </c>
      <c r="L464" s="201" t="str">
        <f>IFERROR(COUNTIF($C$21:C464,C464)&amp;CHOOSE(MIN(4,COUNTIF($C$21:C464,C464)),"st","nd","rd","th"),"")</f>
        <v/>
      </c>
    </row>
    <row r="465" spans="4:12" x14ac:dyDescent="0.25">
      <c r="D465" s="201" t="str">
        <f t="shared" si="6"/>
        <v/>
      </c>
      <c r="L465" s="201" t="str">
        <f>IFERROR(COUNTIF($C$21:C465,C465)&amp;CHOOSE(MIN(4,COUNTIF($C$21:C465,C465)),"st","nd","rd","th"),"")</f>
        <v/>
      </c>
    </row>
    <row r="466" spans="4:12" x14ac:dyDescent="0.25">
      <c r="D466" s="201" t="str">
        <f t="shared" si="6"/>
        <v/>
      </c>
      <c r="L466" s="201" t="str">
        <f>IFERROR(COUNTIF($C$21:C466,C466)&amp;CHOOSE(MIN(4,COUNTIF($C$21:C466,C466)),"st","nd","rd","th"),"")</f>
        <v/>
      </c>
    </row>
    <row r="467" spans="4:12" x14ac:dyDescent="0.25">
      <c r="D467" s="201" t="str">
        <f t="shared" si="6"/>
        <v/>
      </c>
      <c r="L467" s="201" t="str">
        <f>IFERROR(COUNTIF($C$21:C467,C467)&amp;CHOOSE(MIN(4,COUNTIF($C$21:C467,C467)),"st","nd","rd","th"),"")</f>
        <v/>
      </c>
    </row>
    <row r="468" spans="4:12" x14ac:dyDescent="0.25">
      <c r="D468" s="201" t="str">
        <f t="shared" si="6"/>
        <v/>
      </c>
      <c r="L468" s="201" t="str">
        <f>IFERROR(COUNTIF($C$21:C468,C468)&amp;CHOOSE(MIN(4,COUNTIF($C$21:C468,C468)),"st","nd","rd","th"),"")</f>
        <v/>
      </c>
    </row>
    <row r="469" spans="4:12" x14ac:dyDescent="0.25">
      <c r="D469" s="201" t="str">
        <f t="shared" si="6"/>
        <v/>
      </c>
      <c r="L469" s="201" t="str">
        <f>IFERROR(COUNTIF($C$21:C469,C469)&amp;CHOOSE(MIN(4,COUNTIF($C$21:C469,C469)),"st","nd","rd","th"),"")</f>
        <v/>
      </c>
    </row>
    <row r="470" spans="4:12" x14ac:dyDescent="0.25">
      <c r="D470" s="201" t="str">
        <f t="shared" ref="D470:D533" si="7">IF(B470="","",IF(B470="Province_PLGU","PLGU","City / Municipality"))</f>
        <v/>
      </c>
      <c r="L470" s="201" t="str">
        <f>IFERROR(COUNTIF($C$21:C470,C470)&amp;CHOOSE(MIN(4,COUNTIF($C$21:C470,C470)),"st","nd","rd","th"),"")</f>
        <v/>
      </c>
    </row>
    <row r="471" spans="4:12" x14ac:dyDescent="0.25">
      <c r="D471" s="201" t="str">
        <f t="shared" si="7"/>
        <v/>
      </c>
      <c r="L471" s="201" t="str">
        <f>IFERROR(COUNTIF($C$21:C471,C471)&amp;CHOOSE(MIN(4,COUNTIF($C$21:C471,C471)),"st","nd","rd","th"),"")</f>
        <v/>
      </c>
    </row>
    <row r="472" spans="4:12" x14ac:dyDescent="0.25">
      <c r="D472" s="201" t="str">
        <f t="shared" si="7"/>
        <v/>
      </c>
      <c r="L472" s="201" t="str">
        <f>IFERROR(COUNTIF($C$21:C472,C472)&amp;CHOOSE(MIN(4,COUNTIF($C$21:C472,C472)),"st","nd","rd","th"),"")</f>
        <v/>
      </c>
    </row>
    <row r="473" spans="4:12" x14ac:dyDescent="0.25">
      <c r="D473" s="201" t="str">
        <f t="shared" si="7"/>
        <v/>
      </c>
      <c r="L473" s="201" t="str">
        <f>IFERROR(COUNTIF($C$21:C473,C473)&amp;CHOOSE(MIN(4,COUNTIF($C$21:C473,C473)),"st","nd","rd","th"),"")</f>
        <v/>
      </c>
    </row>
    <row r="474" spans="4:12" x14ac:dyDescent="0.25">
      <c r="D474" s="201" t="str">
        <f t="shared" si="7"/>
        <v/>
      </c>
      <c r="L474" s="201" t="str">
        <f>IFERROR(COUNTIF($C$21:C474,C474)&amp;CHOOSE(MIN(4,COUNTIF($C$21:C474,C474)),"st","nd","rd","th"),"")</f>
        <v/>
      </c>
    </row>
    <row r="475" spans="4:12" x14ac:dyDescent="0.25">
      <c r="D475" s="201" t="str">
        <f t="shared" si="7"/>
        <v/>
      </c>
      <c r="L475" s="201" t="str">
        <f>IFERROR(COUNTIF($C$21:C475,C475)&amp;CHOOSE(MIN(4,COUNTIF($C$21:C475,C475)),"st","nd","rd","th"),"")</f>
        <v/>
      </c>
    </row>
    <row r="476" spans="4:12" x14ac:dyDescent="0.25">
      <c r="D476" s="201" t="str">
        <f t="shared" si="7"/>
        <v/>
      </c>
      <c r="L476" s="201" t="str">
        <f>IFERROR(COUNTIF($C$21:C476,C476)&amp;CHOOSE(MIN(4,COUNTIF($C$21:C476,C476)),"st","nd","rd","th"),"")</f>
        <v/>
      </c>
    </row>
    <row r="477" spans="4:12" x14ac:dyDescent="0.25">
      <c r="D477" s="201" t="str">
        <f t="shared" si="7"/>
        <v/>
      </c>
      <c r="L477" s="201" t="str">
        <f>IFERROR(COUNTIF($C$21:C477,C477)&amp;CHOOSE(MIN(4,COUNTIF($C$21:C477,C477)),"st","nd","rd","th"),"")</f>
        <v/>
      </c>
    </row>
    <row r="478" spans="4:12" x14ac:dyDescent="0.25">
      <c r="D478" s="201" t="str">
        <f t="shared" si="7"/>
        <v/>
      </c>
      <c r="L478" s="201" t="str">
        <f>IFERROR(COUNTIF($C$21:C478,C478)&amp;CHOOSE(MIN(4,COUNTIF($C$21:C478,C478)),"st","nd","rd","th"),"")</f>
        <v/>
      </c>
    </row>
    <row r="479" spans="4:12" x14ac:dyDescent="0.25">
      <c r="D479" s="201" t="str">
        <f t="shared" si="7"/>
        <v/>
      </c>
      <c r="L479" s="201" t="str">
        <f>IFERROR(COUNTIF($C$21:C479,C479)&amp;CHOOSE(MIN(4,COUNTIF($C$21:C479,C479)),"st","nd","rd","th"),"")</f>
        <v/>
      </c>
    </row>
    <row r="480" spans="4:12" x14ac:dyDescent="0.25">
      <c r="D480" s="201" t="str">
        <f t="shared" si="7"/>
        <v/>
      </c>
      <c r="L480" s="201" t="str">
        <f>IFERROR(COUNTIF($C$21:C480,C480)&amp;CHOOSE(MIN(4,COUNTIF($C$21:C480,C480)),"st","nd","rd","th"),"")</f>
        <v/>
      </c>
    </row>
    <row r="481" spans="4:12" x14ac:dyDescent="0.25">
      <c r="D481" s="201" t="str">
        <f t="shared" si="7"/>
        <v/>
      </c>
      <c r="L481" s="201" t="str">
        <f>IFERROR(COUNTIF($C$21:C481,C481)&amp;CHOOSE(MIN(4,COUNTIF($C$21:C481,C481)),"st","nd","rd","th"),"")</f>
        <v/>
      </c>
    </row>
    <row r="482" spans="4:12" x14ac:dyDescent="0.25">
      <c r="D482" s="201" t="str">
        <f t="shared" si="7"/>
        <v/>
      </c>
      <c r="L482" s="201" t="str">
        <f>IFERROR(COUNTIF($C$21:C482,C482)&amp;CHOOSE(MIN(4,COUNTIF($C$21:C482,C482)),"st","nd","rd","th"),"")</f>
        <v/>
      </c>
    </row>
    <row r="483" spans="4:12" x14ac:dyDescent="0.25">
      <c r="D483" s="201" t="str">
        <f t="shared" si="7"/>
        <v/>
      </c>
      <c r="L483" s="201" t="str">
        <f>IFERROR(COUNTIF($C$21:C483,C483)&amp;CHOOSE(MIN(4,COUNTIF($C$21:C483,C483)),"st","nd","rd","th"),"")</f>
        <v/>
      </c>
    </row>
    <row r="484" spans="4:12" x14ac:dyDescent="0.25">
      <c r="D484" s="201" t="str">
        <f t="shared" si="7"/>
        <v/>
      </c>
      <c r="L484" s="201" t="str">
        <f>IFERROR(COUNTIF($C$21:C484,C484)&amp;CHOOSE(MIN(4,COUNTIF($C$21:C484,C484)),"st","nd","rd","th"),"")</f>
        <v/>
      </c>
    </row>
    <row r="485" spans="4:12" x14ac:dyDescent="0.25">
      <c r="D485" s="201" t="str">
        <f t="shared" si="7"/>
        <v/>
      </c>
      <c r="L485" s="201" t="str">
        <f>IFERROR(COUNTIF($C$21:C485,C485)&amp;CHOOSE(MIN(4,COUNTIF($C$21:C485,C485)),"st","nd","rd","th"),"")</f>
        <v/>
      </c>
    </row>
    <row r="486" spans="4:12" x14ac:dyDescent="0.25">
      <c r="D486" s="201" t="str">
        <f t="shared" si="7"/>
        <v/>
      </c>
      <c r="L486" s="201" t="str">
        <f>IFERROR(COUNTIF($C$21:C486,C486)&amp;CHOOSE(MIN(4,COUNTIF($C$21:C486,C486)),"st","nd","rd","th"),"")</f>
        <v/>
      </c>
    </row>
    <row r="487" spans="4:12" x14ac:dyDescent="0.25">
      <c r="D487" s="201" t="str">
        <f t="shared" si="7"/>
        <v/>
      </c>
      <c r="L487" s="201" t="str">
        <f>IFERROR(COUNTIF($C$21:C487,C487)&amp;CHOOSE(MIN(4,COUNTIF($C$21:C487,C487)),"st","nd","rd","th"),"")</f>
        <v/>
      </c>
    </row>
    <row r="488" spans="4:12" x14ac:dyDescent="0.25">
      <c r="D488" s="201" t="str">
        <f t="shared" si="7"/>
        <v/>
      </c>
      <c r="L488" s="201" t="str">
        <f>IFERROR(COUNTIF($C$21:C488,C488)&amp;CHOOSE(MIN(4,COUNTIF($C$21:C488,C488)),"st","nd","rd","th"),"")</f>
        <v/>
      </c>
    </row>
    <row r="489" spans="4:12" x14ac:dyDescent="0.25">
      <c r="D489" s="201" t="str">
        <f t="shared" si="7"/>
        <v/>
      </c>
      <c r="L489" s="201" t="str">
        <f>IFERROR(COUNTIF($C$21:C489,C489)&amp;CHOOSE(MIN(4,COUNTIF($C$21:C489,C489)),"st","nd","rd","th"),"")</f>
        <v/>
      </c>
    </row>
    <row r="490" spans="4:12" x14ac:dyDescent="0.25">
      <c r="D490" s="201" t="str">
        <f t="shared" si="7"/>
        <v/>
      </c>
      <c r="L490" s="201" t="str">
        <f>IFERROR(COUNTIF($C$21:C490,C490)&amp;CHOOSE(MIN(4,COUNTIF($C$21:C490,C490)),"st","nd","rd","th"),"")</f>
        <v/>
      </c>
    </row>
    <row r="491" spans="4:12" x14ac:dyDescent="0.25">
      <c r="D491" s="201" t="str">
        <f t="shared" si="7"/>
        <v/>
      </c>
      <c r="L491" s="201" t="str">
        <f>IFERROR(COUNTIF($C$21:C491,C491)&amp;CHOOSE(MIN(4,COUNTIF($C$21:C491,C491)),"st","nd","rd","th"),"")</f>
        <v/>
      </c>
    </row>
    <row r="492" spans="4:12" x14ac:dyDescent="0.25">
      <c r="D492" s="201" t="str">
        <f t="shared" si="7"/>
        <v/>
      </c>
      <c r="L492" s="201" t="str">
        <f>IFERROR(COUNTIF($C$21:C492,C492)&amp;CHOOSE(MIN(4,COUNTIF($C$21:C492,C492)),"st","nd","rd","th"),"")</f>
        <v/>
      </c>
    </row>
    <row r="493" spans="4:12" x14ac:dyDescent="0.25">
      <c r="D493" s="201" t="str">
        <f t="shared" si="7"/>
        <v/>
      </c>
      <c r="L493" s="201" t="str">
        <f>IFERROR(COUNTIF($C$21:C493,C493)&amp;CHOOSE(MIN(4,COUNTIF($C$21:C493,C493)),"st","nd","rd","th"),"")</f>
        <v/>
      </c>
    </row>
    <row r="494" spans="4:12" x14ac:dyDescent="0.25">
      <c r="D494" s="201" t="str">
        <f t="shared" si="7"/>
        <v/>
      </c>
      <c r="L494" s="201" t="str">
        <f>IFERROR(COUNTIF($C$21:C494,C494)&amp;CHOOSE(MIN(4,COUNTIF($C$21:C494,C494)),"st","nd","rd","th"),"")</f>
        <v/>
      </c>
    </row>
    <row r="495" spans="4:12" x14ac:dyDescent="0.25">
      <c r="D495" s="201" t="str">
        <f t="shared" si="7"/>
        <v/>
      </c>
      <c r="L495" s="201" t="str">
        <f>IFERROR(COUNTIF($C$21:C495,C495)&amp;CHOOSE(MIN(4,COUNTIF($C$21:C495,C495)),"st","nd","rd","th"),"")</f>
        <v/>
      </c>
    </row>
    <row r="496" spans="4:12" x14ac:dyDescent="0.25">
      <c r="D496" s="201" t="str">
        <f t="shared" si="7"/>
        <v/>
      </c>
      <c r="L496" s="201" t="str">
        <f>IFERROR(COUNTIF($C$21:C496,C496)&amp;CHOOSE(MIN(4,COUNTIF($C$21:C496,C496)),"st","nd","rd","th"),"")</f>
        <v/>
      </c>
    </row>
    <row r="497" spans="4:12" x14ac:dyDescent="0.25">
      <c r="D497" s="201" t="str">
        <f t="shared" si="7"/>
        <v/>
      </c>
      <c r="L497" s="201" t="str">
        <f>IFERROR(COUNTIF($C$21:C497,C497)&amp;CHOOSE(MIN(4,COUNTIF($C$21:C497,C497)),"st","nd","rd","th"),"")</f>
        <v/>
      </c>
    </row>
    <row r="498" spans="4:12" x14ac:dyDescent="0.25">
      <c r="D498" s="201" t="str">
        <f t="shared" si="7"/>
        <v/>
      </c>
      <c r="L498" s="201" t="str">
        <f>IFERROR(COUNTIF($C$21:C498,C498)&amp;CHOOSE(MIN(4,COUNTIF($C$21:C498,C498)),"st","nd","rd","th"),"")</f>
        <v/>
      </c>
    </row>
    <row r="499" spans="4:12" x14ac:dyDescent="0.25">
      <c r="D499" s="201" t="str">
        <f t="shared" si="7"/>
        <v/>
      </c>
      <c r="L499" s="201" t="str">
        <f>IFERROR(COUNTIF($C$21:C499,C499)&amp;CHOOSE(MIN(4,COUNTIF($C$21:C499,C499)),"st","nd","rd","th"),"")</f>
        <v/>
      </c>
    </row>
    <row r="500" spans="4:12" x14ac:dyDescent="0.25">
      <c r="D500" s="201" t="str">
        <f t="shared" si="7"/>
        <v/>
      </c>
      <c r="L500" s="201" t="str">
        <f>IFERROR(COUNTIF($C$21:C500,C500)&amp;CHOOSE(MIN(4,COUNTIF($C$21:C500,C500)),"st","nd","rd","th"),"")</f>
        <v/>
      </c>
    </row>
    <row r="501" spans="4:12" x14ac:dyDescent="0.25">
      <c r="D501" s="201" t="str">
        <f t="shared" si="7"/>
        <v/>
      </c>
      <c r="L501" s="201" t="str">
        <f>IFERROR(COUNTIF($C$21:C501,C501)&amp;CHOOSE(MIN(4,COUNTIF($C$21:C501,C501)),"st","nd","rd","th"),"")</f>
        <v/>
      </c>
    </row>
    <row r="502" spans="4:12" x14ac:dyDescent="0.25">
      <c r="D502" s="201" t="str">
        <f t="shared" si="7"/>
        <v/>
      </c>
      <c r="L502" s="201" t="str">
        <f>IFERROR(COUNTIF($C$21:C502,C502)&amp;CHOOSE(MIN(4,COUNTIF($C$21:C502,C502)),"st","nd","rd","th"),"")</f>
        <v/>
      </c>
    </row>
    <row r="503" spans="4:12" x14ac:dyDescent="0.25">
      <c r="D503" s="201" t="str">
        <f t="shared" si="7"/>
        <v/>
      </c>
      <c r="L503" s="201" t="str">
        <f>IFERROR(COUNTIF($C$21:C503,C503)&amp;CHOOSE(MIN(4,COUNTIF($C$21:C503,C503)),"st","nd","rd","th"),"")</f>
        <v/>
      </c>
    </row>
    <row r="504" spans="4:12" x14ac:dyDescent="0.25">
      <c r="D504" s="201" t="str">
        <f t="shared" si="7"/>
        <v/>
      </c>
      <c r="L504" s="201" t="str">
        <f>IFERROR(COUNTIF($C$21:C504,C504)&amp;CHOOSE(MIN(4,COUNTIF($C$21:C504,C504)),"st","nd","rd","th"),"")</f>
        <v/>
      </c>
    </row>
    <row r="505" spans="4:12" x14ac:dyDescent="0.25">
      <c r="D505" s="201" t="str">
        <f t="shared" si="7"/>
        <v/>
      </c>
      <c r="L505" s="201" t="str">
        <f>IFERROR(COUNTIF($C$21:C505,C505)&amp;CHOOSE(MIN(4,COUNTIF($C$21:C505,C505)),"st","nd","rd","th"),"")</f>
        <v/>
      </c>
    </row>
    <row r="506" spans="4:12" x14ac:dyDescent="0.25">
      <c r="D506" s="201" t="str">
        <f t="shared" si="7"/>
        <v/>
      </c>
      <c r="L506" s="201" t="str">
        <f>IFERROR(COUNTIF($C$21:C506,C506)&amp;CHOOSE(MIN(4,COUNTIF($C$21:C506,C506)),"st","nd","rd","th"),"")</f>
        <v/>
      </c>
    </row>
    <row r="507" spans="4:12" x14ac:dyDescent="0.25">
      <c r="D507" s="201" t="str">
        <f t="shared" si="7"/>
        <v/>
      </c>
      <c r="L507" s="201" t="str">
        <f>IFERROR(COUNTIF($C$21:C507,C507)&amp;CHOOSE(MIN(4,COUNTIF($C$21:C507,C507)),"st","nd","rd","th"),"")</f>
        <v/>
      </c>
    </row>
    <row r="508" spans="4:12" x14ac:dyDescent="0.25">
      <c r="D508" s="201" t="str">
        <f t="shared" si="7"/>
        <v/>
      </c>
      <c r="L508" s="201" t="str">
        <f>IFERROR(COUNTIF($C$21:C508,C508)&amp;CHOOSE(MIN(4,COUNTIF($C$21:C508,C508)),"st","nd","rd","th"),"")</f>
        <v/>
      </c>
    </row>
    <row r="509" spans="4:12" x14ac:dyDescent="0.25">
      <c r="D509" s="201" t="str">
        <f t="shared" si="7"/>
        <v/>
      </c>
      <c r="L509" s="201" t="str">
        <f>IFERROR(COUNTIF($C$21:C509,C509)&amp;CHOOSE(MIN(4,COUNTIF($C$21:C509,C509)),"st","nd","rd","th"),"")</f>
        <v/>
      </c>
    </row>
    <row r="510" spans="4:12" x14ac:dyDescent="0.25">
      <c r="D510" s="201" t="str">
        <f t="shared" si="7"/>
        <v/>
      </c>
      <c r="L510" s="201" t="str">
        <f>IFERROR(COUNTIF($C$21:C510,C510)&amp;CHOOSE(MIN(4,COUNTIF($C$21:C510,C510)),"st","nd","rd","th"),"")</f>
        <v/>
      </c>
    </row>
    <row r="511" spans="4:12" x14ac:dyDescent="0.25">
      <c r="D511" s="201" t="str">
        <f t="shared" si="7"/>
        <v/>
      </c>
      <c r="L511" s="201" t="str">
        <f>IFERROR(COUNTIF($C$21:C511,C511)&amp;CHOOSE(MIN(4,COUNTIF($C$21:C511,C511)),"st","nd","rd","th"),"")</f>
        <v/>
      </c>
    </row>
    <row r="512" spans="4:12" x14ac:dyDescent="0.25">
      <c r="D512" s="201" t="str">
        <f t="shared" si="7"/>
        <v/>
      </c>
      <c r="L512" s="201" t="str">
        <f>IFERROR(COUNTIF($C$21:C512,C512)&amp;CHOOSE(MIN(4,COUNTIF($C$21:C512,C512)),"st","nd","rd","th"),"")</f>
        <v/>
      </c>
    </row>
    <row r="513" spans="4:12" x14ac:dyDescent="0.25">
      <c r="D513" s="201" t="str">
        <f t="shared" si="7"/>
        <v/>
      </c>
      <c r="L513" s="201" t="str">
        <f>IFERROR(COUNTIF($C$21:C513,C513)&amp;CHOOSE(MIN(4,COUNTIF($C$21:C513,C513)),"st","nd","rd","th"),"")</f>
        <v/>
      </c>
    </row>
    <row r="514" spans="4:12" x14ac:dyDescent="0.25">
      <c r="D514" s="201" t="str">
        <f t="shared" si="7"/>
        <v/>
      </c>
      <c r="L514" s="201" t="str">
        <f>IFERROR(COUNTIF($C$21:C514,C514)&amp;CHOOSE(MIN(4,COUNTIF($C$21:C514,C514)),"st","nd","rd","th"),"")</f>
        <v/>
      </c>
    </row>
    <row r="515" spans="4:12" x14ac:dyDescent="0.25">
      <c r="D515" s="201" t="str">
        <f t="shared" si="7"/>
        <v/>
      </c>
      <c r="L515" s="201" t="str">
        <f>IFERROR(COUNTIF($C$21:C515,C515)&amp;CHOOSE(MIN(4,COUNTIF($C$21:C515,C515)),"st","nd","rd","th"),"")</f>
        <v/>
      </c>
    </row>
    <row r="516" spans="4:12" x14ac:dyDescent="0.25">
      <c r="D516" s="201" t="str">
        <f t="shared" si="7"/>
        <v/>
      </c>
      <c r="L516" s="201" t="str">
        <f>IFERROR(COUNTIF($C$21:C516,C516)&amp;CHOOSE(MIN(4,COUNTIF($C$21:C516,C516)),"st","nd","rd","th"),"")</f>
        <v/>
      </c>
    </row>
    <row r="517" spans="4:12" x14ac:dyDescent="0.25">
      <c r="D517" s="201" t="str">
        <f t="shared" si="7"/>
        <v/>
      </c>
      <c r="L517" s="201" t="str">
        <f>IFERROR(COUNTIF($C$21:C517,C517)&amp;CHOOSE(MIN(4,COUNTIF($C$21:C517,C517)),"st","nd","rd","th"),"")</f>
        <v/>
      </c>
    </row>
    <row r="518" spans="4:12" x14ac:dyDescent="0.25">
      <c r="D518" s="201" t="str">
        <f t="shared" si="7"/>
        <v/>
      </c>
      <c r="L518" s="201" t="str">
        <f>IFERROR(COUNTIF($C$21:C518,C518)&amp;CHOOSE(MIN(4,COUNTIF($C$21:C518,C518)),"st","nd","rd","th"),"")</f>
        <v/>
      </c>
    </row>
    <row r="519" spans="4:12" x14ac:dyDescent="0.25">
      <c r="D519" s="201" t="str">
        <f t="shared" si="7"/>
        <v/>
      </c>
      <c r="L519" s="201" t="str">
        <f>IFERROR(COUNTIF($C$21:C519,C519)&amp;CHOOSE(MIN(4,COUNTIF($C$21:C519,C519)),"st","nd","rd","th"),"")</f>
        <v/>
      </c>
    </row>
    <row r="520" spans="4:12" x14ac:dyDescent="0.25">
      <c r="D520" s="201" t="str">
        <f t="shared" si="7"/>
        <v/>
      </c>
      <c r="L520" s="201" t="str">
        <f>IFERROR(COUNTIF($C$21:C520,C520)&amp;CHOOSE(MIN(4,COUNTIF($C$21:C520,C520)),"st","nd","rd","th"),"")</f>
        <v/>
      </c>
    </row>
    <row r="521" spans="4:12" x14ac:dyDescent="0.25">
      <c r="D521" s="201" t="str">
        <f t="shared" si="7"/>
        <v/>
      </c>
      <c r="L521" s="201" t="str">
        <f>IFERROR(COUNTIF($C$21:C521,C521)&amp;CHOOSE(MIN(4,COUNTIF($C$21:C521,C521)),"st","nd","rd","th"),"")</f>
        <v/>
      </c>
    </row>
    <row r="522" spans="4:12" x14ac:dyDescent="0.25">
      <c r="D522" s="201" t="str">
        <f t="shared" si="7"/>
        <v/>
      </c>
      <c r="L522" s="201" t="str">
        <f>IFERROR(COUNTIF($C$21:C522,C522)&amp;CHOOSE(MIN(4,COUNTIF($C$21:C522,C522)),"st","nd","rd","th"),"")</f>
        <v/>
      </c>
    </row>
    <row r="523" spans="4:12" x14ac:dyDescent="0.25">
      <c r="D523" s="201" t="str">
        <f t="shared" si="7"/>
        <v/>
      </c>
      <c r="L523" s="201" t="str">
        <f>IFERROR(COUNTIF($C$21:C523,C523)&amp;CHOOSE(MIN(4,COUNTIF($C$21:C523,C523)),"st","nd","rd","th"),"")</f>
        <v/>
      </c>
    </row>
    <row r="524" spans="4:12" x14ac:dyDescent="0.25">
      <c r="D524" s="201" t="str">
        <f t="shared" si="7"/>
        <v/>
      </c>
      <c r="L524" s="201" t="str">
        <f>IFERROR(COUNTIF($C$21:C524,C524)&amp;CHOOSE(MIN(4,COUNTIF($C$21:C524,C524)),"st","nd","rd","th"),"")</f>
        <v/>
      </c>
    </row>
    <row r="525" spans="4:12" x14ac:dyDescent="0.25">
      <c r="D525" s="201" t="str">
        <f t="shared" si="7"/>
        <v/>
      </c>
      <c r="L525" s="201" t="str">
        <f>IFERROR(COUNTIF($C$21:C525,C525)&amp;CHOOSE(MIN(4,COUNTIF($C$21:C525,C525)),"st","nd","rd","th"),"")</f>
        <v/>
      </c>
    </row>
    <row r="526" spans="4:12" x14ac:dyDescent="0.25">
      <c r="D526" s="201" t="str">
        <f t="shared" si="7"/>
        <v/>
      </c>
      <c r="L526" s="201" t="str">
        <f>IFERROR(COUNTIF($C$21:C526,C526)&amp;CHOOSE(MIN(4,COUNTIF($C$21:C526,C526)),"st","nd","rd","th"),"")</f>
        <v/>
      </c>
    </row>
    <row r="527" spans="4:12" x14ac:dyDescent="0.25">
      <c r="D527" s="201" t="str">
        <f t="shared" si="7"/>
        <v/>
      </c>
      <c r="L527" s="201" t="str">
        <f>IFERROR(COUNTIF($C$21:C527,C527)&amp;CHOOSE(MIN(4,COUNTIF($C$21:C527,C527)),"st","nd","rd","th"),"")</f>
        <v/>
      </c>
    </row>
    <row r="528" spans="4:12" x14ac:dyDescent="0.25">
      <c r="D528" s="201" t="str">
        <f t="shared" si="7"/>
        <v/>
      </c>
      <c r="L528" s="201" t="str">
        <f>IFERROR(COUNTIF($C$21:C528,C528)&amp;CHOOSE(MIN(4,COUNTIF($C$21:C528,C528)),"st","nd","rd","th"),"")</f>
        <v/>
      </c>
    </row>
    <row r="529" spans="4:12" x14ac:dyDescent="0.25">
      <c r="D529" s="201" t="str">
        <f t="shared" si="7"/>
        <v/>
      </c>
      <c r="L529" s="201" t="str">
        <f>IFERROR(COUNTIF($C$21:C529,C529)&amp;CHOOSE(MIN(4,COUNTIF($C$21:C529,C529)),"st","nd","rd","th"),"")</f>
        <v/>
      </c>
    </row>
    <row r="530" spans="4:12" x14ac:dyDescent="0.25">
      <c r="D530" s="201" t="str">
        <f t="shared" si="7"/>
        <v/>
      </c>
      <c r="L530" s="201" t="str">
        <f>IFERROR(COUNTIF($C$21:C530,C530)&amp;CHOOSE(MIN(4,COUNTIF($C$21:C530,C530)),"st","nd","rd","th"),"")</f>
        <v/>
      </c>
    </row>
    <row r="531" spans="4:12" x14ac:dyDescent="0.25">
      <c r="D531" s="201" t="str">
        <f t="shared" si="7"/>
        <v/>
      </c>
      <c r="L531" s="201" t="str">
        <f>IFERROR(COUNTIF($C$21:C531,C531)&amp;CHOOSE(MIN(4,COUNTIF($C$21:C531,C531)),"st","nd","rd","th"),"")</f>
        <v/>
      </c>
    </row>
    <row r="532" spans="4:12" x14ac:dyDescent="0.25">
      <c r="D532" s="201" t="str">
        <f t="shared" si="7"/>
        <v/>
      </c>
      <c r="L532" s="201" t="str">
        <f>IFERROR(COUNTIF($C$21:C532,C532)&amp;CHOOSE(MIN(4,COUNTIF($C$21:C532,C532)),"st","nd","rd","th"),"")</f>
        <v/>
      </c>
    </row>
    <row r="533" spans="4:12" x14ac:dyDescent="0.25">
      <c r="D533" s="201" t="str">
        <f t="shared" si="7"/>
        <v/>
      </c>
      <c r="L533" s="201" t="str">
        <f>IFERROR(COUNTIF($C$21:C533,C533)&amp;CHOOSE(MIN(4,COUNTIF($C$21:C533,C533)),"st","nd","rd","th"),"")</f>
        <v/>
      </c>
    </row>
    <row r="534" spans="4:12" x14ac:dyDescent="0.25">
      <c r="D534" s="201" t="str">
        <f t="shared" ref="D534:D597" si="8">IF(B534="","",IF(B534="Province_PLGU","PLGU","City / Municipality"))</f>
        <v/>
      </c>
      <c r="L534" s="201" t="str">
        <f>IFERROR(COUNTIF($C$21:C534,C534)&amp;CHOOSE(MIN(4,COUNTIF($C$21:C534,C534)),"st","nd","rd","th"),"")</f>
        <v/>
      </c>
    </row>
    <row r="535" spans="4:12" x14ac:dyDescent="0.25">
      <c r="D535" s="201" t="str">
        <f t="shared" si="8"/>
        <v/>
      </c>
      <c r="L535" s="201" t="str">
        <f>IFERROR(COUNTIF($C$21:C535,C535)&amp;CHOOSE(MIN(4,COUNTIF($C$21:C535,C535)),"st","nd","rd","th"),"")</f>
        <v/>
      </c>
    </row>
    <row r="536" spans="4:12" x14ac:dyDescent="0.25">
      <c r="D536" s="201" t="str">
        <f t="shared" si="8"/>
        <v/>
      </c>
      <c r="L536" s="201" t="str">
        <f>IFERROR(COUNTIF($C$21:C536,C536)&amp;CHOOSE(MIN(4,COUNTIF($C$21:C536,C536)),"st","nd","rd","th"),"")</f>
        <v/>
      </c>
    </row>
    <row r="537" spans="4:12" x14ac:dyDescent="0.25">
      <c r="D537" s="201" t="str">
        <f t="shared" si="8"/>
        <v/>
      </c>
      <c r="L537" s="201" t="str">
        <f>IFERROR(COUNTIF($C$21:C537,C537)&amp;CHOOSE(MIN(4,COUNTIF($C$21:C537,C537)),"st","nd","rd","th"),"")</f>
        <v/>
      </c>
    </row>
    <row r="538" spans="4:12" x14ac:dyDescent="0.25">
      <c r="D538" s="201" t="str">
        <f t="shared" si="8"/>
        <v/>
      </c>
      <c r="L538" s="201" t="str">
        <f>IFERROR(COUNTIF($C$21:C538,C538)&amp;CHOOSE(MIN(4,COUNTIF($C$21:C538,C538)),"st","nd","rd","th"),"")</f>
        <v/>
      </c>
    </row>
    <row r="539" spans="4:12" x14ac:dyDescent="0.25">
      <c r="D539" s="201" t="str">
        <f t="shared" si="8"/>
        <v/>
      </c>
      <c r="L539" s="201" t="str">
        <f>IFERROR(COUNTIF($C$21:C539,C539)&amp;CHOOSE(MIN(4,COUNTIF($C$21:C539,C539)),"st","nd","rd","th"),"")</f>
        <v/>
      </c>
    </row>
    <row r="540" spans="4:12" x14ac:dyDescent="0.25">
      <c r="D540" s="201" t="str">
        <f t="shared" si="8"/>
        <v/>
      </c>
      <c r="L540" s="201" t="str">
        <f>IFERROR(COUNTIF($C$21:C540,C540)&amp;CHOOSE(MIN(4,COUNTIF($C$21:C540,C540)),"st","nd","rd","th"),"")</f>
        <v/>
      </c>
    </row>
    <row r="541" spans="4:12" x14ac:dyDescent="0.25">
      <c r="D541" s="201" t="str">
        <f t="shared" si="8"/>
        <v/>
      </c>
      <c r="L541" s="201" t="str">
        <f>IFERROR(COUNTIF($C$21:C541,C541)&amp;CHOOSE(MIN(4,COUNTIF($C$21:C541,C541)),"st","nd","rd","th"),"")</f>
        <v/>
      </c>
    </row>
    <row r="542" spans="4:12" x14ac:dyDescent="0.25">
      <c r="D542" s="201" t="str">
        <f t="shared" si="8"/>
        <v/>
      </c>
      <c r="L542" s="201" t="str">
        <f>IFERROR(COUNTIF($C$21:C542,C542)&amp;CHOOSE(MIN(4,COUNTIF($C$21:C542,C542)),"st","nd","rd","th"),"")</f>
        <v/>
      </c>
    </row>
    <row r="543" spans="4:12" x14ac:dyDescent="0.25">
      <c r="D543" s="201" t="str">
        <f t="shared" si="8"/>
        <v/>
      </c>
      <c r="L543" s="201" t="str">
        <f>IFERROR(COUNTIF($C$21:C543,C543)&amp;CHOOSE(MIN(4,COUNTIF($C$21:C543,C543)),"st","nd","rd","th"),"")</f>
        <v/>
      </c>
    </row>
    <row r="544" spans="4:12" x14ac:dyDescent="0.25">
      <c r="D544" s="201" t="str">
        <f t="shared" si="8"/>
        <v/>
      </c>
      <c r="L544" s="201" t="str">
        <f>IFERROR(COUNTIF($C$21:C544,C544)&amp;CHOOSE(MIN(4,COUNTIF($C$21:C544,C544)),"st","nd","rd","th"),"")</f>
        <v/>
      </c>
    </row>
    <row r="545" spans="4:12" x14ac:dyDescent="0.25">
      <c r="D545" s="201" t="str">
        <f t="shared" si="8"/>
        <v/>
      </c>
      <c r="L545" s="201" t="str">
        <f>IFERROR(COUNTIF($C$21:C545,C545)&amp;CHOOSE(MIN(4,COUNTIF($C$21:C545,C545)),"st","nd","rd","th"),"")</f>
        <v/>
      </c>
    </row>
    <row r="546" spans="4:12" x14ac:dyDescent="0.25">
      <c r="D546" s="201" t="str">
        <f t="shared" si="8"/>
        <v/>
      </c>
      <c r="L546" s="201" t="str">
        <f>IFERROR(COUNTIF($C$21:C546,C546)&amp;CHOOSE(MIN(4,COUNTIF($C$21:C546,C546)),"st","nd","rd","th"),"")</f>
        <v/>
      </c>
    </row>
    <row r="547" spans="4:12" x14ac:dyDescent="0.25">
      <c r="D547" s="201" t="str">
        <f t="shared" si="8"/>
        <v/>
      </c>
      <c r="L547" s="201" t="str">
        <f>IFERROR(COUNTIF($C$21:C547,C547)&amp;CHOOSE(MIN(4,COUNTIF($C$21:C547,C547)),"st","nd","rd","th"),"")</f>
        <v/>
      </c>
    </row>
    <row r="548" spans="4:12" x14ac:dyDescent="0.25">
      <c r="D548" s="201" t="str">
        <f t="shared" si="8"/>
        <v/>
      </c>
      <c r="L548" s="201" t="str">
        <f>IFERROR(COUNTIF($C$21:C548,C548)&amp;CHOOSE(MIN(4,COUNTIF($C$21:C548,C548)),"st","nd","rd","th"),"")</f>
        <v/>
      </c>
    </row>
    <row r="549" spans="4:12" x14ac:dyDescent="0.25">
      <c r="D549" s="201" t="str">
        <f t="shared" si="8"/>
        <v/>
      </c>
      <c r="L549" s="201" t="str">
        <f>IFERROR(COUNTIF($C$21:C549,C549)&amp;CHOOSE(MIN(4,COUNTIF($C$21:C549,C549)),"st","nd","rd","th"),"")</f>
        <v/>
      </c>
    </row>
    <row r="550" spans="4:12" x14ac:dyDescent="0.25">
      <c r="D550" s="201" t="str">
        <f t="shared" si="8"/>
        <v/>
      </c>
      <c r="L550" s="201" t="str">
        <f>IFERROR(COUNTIF($C$21:C550,C550)&amp;CHOOSE(MIN(4,COUNTIF($C$21:C550,C550)),"st","nd","rd","th"),"")</f>
        <v/>
      </c>
    </row>
    <row r="551" spans="4:12" x14ac:dyDescent="0.25">
      <c r="D551" s="201" t="str">
        <f t="shared" si="8"/>
        <v/>
      </c>
      <c r="L551" s="201" t="str">
        <f>IFERROR(COUNTIF($C$21:C551,C551)&amp;CHOOSE(MIN(4,COUNTIF($C$21:C551,C551)),"st","nd","rd","th"),"")</f>
        <v/>
      </c>
    </row>
    <row r="552" spans="4:12" x14ac:dyDescent="0.25">
      <c r="D552" s="201" t="str">
        <f t="shared" si="8"/>
        <v/>
      </c>
      <c r="L552" s="201" t="str">
        <f>IFERROR(COUNTIF($C$21:C552,C552)&amp;CHOOSE(MIN(4,COUNTIF($C$21:C552,C552)),"st","nd","rd","th"),"")</f>
        <v/>
      </c>
    </row>
    <row r="553" spans="4:12" x14ac:dyDescent="0.25">
      <c r="D553" s="201" t="str">
        <f t="shared" si="8"/>
        <v/>
      </c>
      <c r="L553" s="201" t="str">
        <f>IFERROR(COUNTIF($C$21:C553,C553)&amp;CHOOSE(MIN(4,COUNTIF($C$21:C553,C553)),"st","nd","rd","th"),"")</f>
        <v/>
      </c>
    </row>
    <row r="554" spans="4:12" x14ac:dyDescent="0.25">
      <c r="D554" s="201" t="str">
        <f t="shared" si="8"/>
        <v/>
      </c>
      <c r="L554" s="201" t="str">
        <f>IFERROR(COUNTIF($C$21:C554,C554)&amp;CHOOSE(MIN(4,COUNTIF($C$21:C554,C554)),"st","nd","rd","th"),"")</f>
        <v/>
      </c>
    </row>
    <row r="555" spans="4:12" x14ac:dyDescent="0.25">
      <c r="D555" s="201" t="str">
        <f t="shared" si="8"/>
        <v/>
      </c>
      <c r="L555" s="201" t="str">
        <f>IFERROR(COUNTIF($C$21:C555,C555)&amp;CHOOSE(MIN(4,COUNTIF($C$21:C555,C555)),"st","nd","rd","th"),"")</f>
        <v/>
      </c>
    </row>
    <row r="556" spans="4:12" x14ac:dyDescent="0.25">
      <c r="D556" s="201" t="str">
        <f t="shared" si="8"/>
        <v/>
      </c>
      <c r="L556" s="201" t="str">
        <f>IFERROR(COUNTIF($C$21:C556,C556)&amp;CHOOSE(MIN(4,COUNTIF($C$21:C556,C556)),"st","nd","rd","th"),"")</f>
        <v/>
      </c>
    </row>
    <row r="557" spans="4:12" x14ac:dyDescent="0.25">
      <c r="D557" s="201" t="str">
        <f t="shared" si="8"/>
        <v/>
      </c>
      <c r="L557" s="201" t="str">
        <f>IFERROR(COUNTIF($C$21:C557,C557)&amp;CHOOSE(MIN(4,COUNTIF($C$21:C557,C557)),"st","nd","rd","th"),"")</f>
        <v/>
      </c>
    </row>
    <row r="558" spans="4:12" x14ac:dyDescent="0.25">
      <c r="D558" s="201" t="str">
        <f t="shared" si="8"/>
        <v/>
      </c>
      <c r="L558" s="201" t="str">
        <f>IFERROR(COUNTIF($C$21:C558,C558)&amp;CHOOSE(MIN(4,COUNTIF($C$21:C558,C558)),"st","nd","rd","th"),"")</f>
        <v/>
      </c>
    </row>
    <row r="559" spans="4:12" x14ac:dyDescent="0.25">
      <c r="D559" s="201" t="str">
        <f t="shared" si="8"/>
        <v/>
      </c>
      <c r="L559" s="201" t="str">
        <f>IFERROR(COUNTIF($C$21:C559,C559)&amp;CHOOSE(MIN(4,COUNTIF($C$21:C559,C559)),"st","nd","rd","th"),"")</f>
        <v/>
      </c>
    </row>
    <row r="560" spans="4:12" x14ac:dyDescent="0.25">
      <c r="D560" s="201" t="str">
        <f t="shared" si="8"/>
        <v/>
      </c>
      <c r="L560" s="201" t="str">
        <f>IFERROR(COUNTIF($C$21:C560,C560)&amp;CHOOSE(MIN(4,COUNTIF($C$21:C560,C560)),"st","nd","rd","th"),"")</f>
        <v/>
      </c>
    </row>
    <row r="561" spans="4:12" x14ac:dyDescent="0.25">
      <c r="D561" s="201" t="str">
        <f t="shared" si="8"/>
        <v/>
      </c>
      <c r="L561" s="201" t="str">
        <f>IFERROR(COUNTIF($C$21:C561,C561)&amp;CHOOSE(MIN(4,COUNTIF($C$21:C561,C561)),"st","nd","rd","th"),"")</f>
        <v/>
      </c>
    </row>
    <row r="562" spans="4:12" x14ac:dyDescent="0.25">
      <c r="D562" s="201" t="str">
        <f t="shared" si="8"/>
        <v/>
      </c>
      <c r="L562" s="201" t="str">
        <f>IFERROR(COUNTIF($C$21:C562,C562)&amp;CHOOSE(MIN(4,COUNTIF($C$21:C562,C562)),"st","nd","rd","th"),"")</f>
        <v/>
      </c>
    </row>
    <row r="563" spans="4:12" x14ac:dyDescent="0.25">
      <c r="D563" s="201" t="str">
        <f t="shared" si="8"/>
        <v/>
      </c>
      <c r="L563" s="201" t="str">
        <f>IFERROR(COUNTIF($C$21:C563,C563)&amp;CHOOSE(MIN(4,COUNTIF($C$21:C563,C563)),"st","nd","rd","th"),"")</f>
        <v/>
      </c>
    </row>
    <row r="564" spans="4:12" x14ac:dyDescent="0.25">
      <c r="D564" s="201" t="str">
        <f t="shared" si="8"/>
        <v/>
      </c>
      <c r="L564" s="201" t="str">
        <f>IFERROR(COUNTIF($C$21:C564,C564)&amp;CHOOSE(MIN(4,COUNTIF($C$21:C564,C564)),"st","nd","rd","th"),"")</f>
        <v/>
      </c>
    </row>
    <row r="565" spans="4:12" x14ac:dyDescent="0.25">
      <c r="D565" s="201" t="str">
        <f t="shared" si="8"/>
        <v/>
      </c>
      <c r="L565" s="201" t="str">
        <f>IFERROR(COUNTIF($C$21:C565,C565)&amp;CHOOSE(MIN(4,COUNTIF($C$21:C565,C565)),"st","nd","rd","th"),"")</f>
        <v/>
      </c>
    </row>
    <row r="566" spans="4:12" x14ac:dyDescent="0.25">
      <c r="D566" s="201" t="str">
        <f t="shared" si="8"/>
        <v/>
      </c>
      <c r="L566" s="201" t="str">
        <f>IFERROR(COUNTIF($C$21:C566,C566)&amp;CHOOSE(MIN(4,COUNTIF($C$21:C566,C566)),"st","nd","rd","th"),"")</f>
        <v/>
      </c>
    </row>
    <row r="567" spans="4:12" x14ac:dyDescent="0.25">
      <c r="D567" s="201" t="str">
        <f t="shared" si="8"/>
        <v/>
      </c>
      <c r="L567" s="201" t="str">
        <f>IFERROR(COUNTIF($C$21:C567,C567)&amp;CHOOSE(MIN(4,COUNTIF($C$21:C567,C567)),"st","nd","rd","th"),"")</f>
        <v/>
      </c>
    </row>
    <row r="568" spans="4:12" x14ac:dyDescent="0.25">
      <c r="D568" s="201" t="str">
        <f t="shared" si="8"/>
        <v/>
      </c>
      <c r="L568" s="201" t="str">
        <f>IFERROR(COUNTIF($C$21:C568,C568)&amp;CHOOSE(MIN(4,COUNTIF($C$21:C568,C568)),"st","nd","rd","th"),"")</f>
        <v/>
      </c>
    </row>
    <row r="569" spans="4:12" x14ac:dyDescent="0.25">
      <c r="D569" s="201" t="str">
        <f t="shared" si="8"/>
        <v/>
      </c>
      <c r="L569" s="201" t="str">
        <f>IFERROR(COUNTIF($C$21:C569,C569)&amp;CHOOSE(MIN(4,COUNTIF($C$21:C569,C569)),"st","nd","rd","th"),"")</f>
        <v/>
      </c>
    </row>
    <row r="570" spans="4:12" x14ac:dyDescent="0.25">
      <c r="D570" s="201" t="str">
        <f t="shared" si="8"/>
        <v/>
      </c>
      <c r="L570" s="201" t="str">
        <f>IFERROR(COUNTIF($C$21:C570,C570)&amp;CHOOSE(MIN(4,COUNTIF($C$21:C570,C570)),"st","nd","rd","th"),"")</f>
        <v/>
      </c>
    </row>
    <row r="571" spans="4:12" x14ac:dyDescent="0.25">
      <c r="D571" s="201" t="str">
        <f t="shared" si="8"/>
        <v/>
      </c>
      <c r="L571" s="201" t="str">
        <f>IFERROR(COUNTIF($C$21:C571,C571)&amp;CHOOSE(MIN(4,COUNTIF($C$21:C571,C571)),"st","nd","rd","th"),"")</f>
        <v/>
      </c>
    </row>
    <row r="572" spans="4:12" x14ac:dyDescent="0.25">
      <c r="D572" s="201" t="str">
        <f t="shared" si="8"/>
        <v/>
      </c>
      <c r="L572" s="201" t="str">
        <f>IFERROR(COUNTIF($C$21:C572,C572)&amp;CHOOSE(MIN(4,COUNTIF($C$21:C572,C572)),"st","nd","rd","th"),"")</f>
        <v/>
      </c>
    </row>
    <row r="573" spans="4:12" x14ac:dyDescent="0.25">
      <c r="D573" s="201" t="str">
        <f t="shared" si="8"/>
        <v/>
      </c>
      <c r="L573" s="201" t="str">
        <f>IFERROR(COUNTIF($C$21:C573,C573)&amp;CHOOSE(MIN(4,COUNTIF($C$21:C573,C573)),"st","nd","rd","th"),"")</f>
        <v/>
      </c>
    </row>
    <row r="574" spans="4:12" x14ac:dyDescent="0.25">
      <c r="D574" s="201" t="str">
        <f t="shared" si="8"/>
        <v/>
      </c>
      <c r="L574" s="201" t="str">
        <f>IFERROR(COUNTIF($C$21:C574,C574)&amp;CHOOSE(MIN(4,COUNTIF($C$21:C574,C574)),"st","nd","rd","th"),"")</f>
        <v/>
      </c>
    </row>
    <row r="575" spans="4:12" x14ac:dyDescent="0.25">
      <c r="D575" s="201" t="str">
        <f t="shared" si="8"/>
        <v/>
      </c>
      <c r="L575" s="201" t="str">
        <f>IFERROR(COUNTIF($C$21:C575,C575)&amp;CHOOSE(MIN(4,COUNTIF($C$21:C575,C575)),"st","nd","rd","th"),"")</f>
        <v/>
      </c>
    </row>
    <row r="576" spans="4:12" x14ac:dyDescent="0.25">
      <c r="D576" s="201" t="str">
        <f t="shared" si="8"/>
        <v/>
      </c>
      <c r="L576" s="201" t="str">
        <f>IFERROR(COUNTIF($C$21:C576,C576)&amp;CHOOSE(MIN(4,COUNTIF($C$21:C576,C576)),"st","nd","rd","th"),"")</f>
        <v/>
      </c>
    </row>
    <row r="577" spans="4:12" x14ac:dyDescent="0.25">
      <c r="D577" s="201" t="str">
        <f t="shared" si="8"/>
        <v/>
      </c>
      <c r="L577" s="201" t="str">
        <f>IFERROR(COUNTIF($C$21:C577,C577)&amp;CHOOSE(MIN(4,COUNTIF($C$21:C577,C577)),"st","nd","rd","th"),"")</f>
        <v/>
      </c>
    </row>
    <row r="578" spans="4:12" x14ac:dyDescent="0.25">
      <c r="D578" s="201" t="str">
        <f t="shared" si="8"/>
        <v/>
      </c>
      <c r="L578" s="201" t="str">
        <f>IFERROR(COUNTIF($C$21:C578,C578)&amp;CHOOSE(MIN(4,COUNTIF($C$21:C578,C578)),"st","nd","rd","th"),"")</f>
        <v/>
      </c>
    </row>
    <row r="579" spans="4:12" x14ac:dyDescent="0.25">
      <c r="D579" s="201" t="str">
        <f t="shared" si="8"/>
        <v/>
      </c>
      <c r="L579" s="201" t="str">
        <f>IFERROR(COUNTIF($C$21:C579,C579)&amp;CHOOSE(MIN(4,COUNTIF($C$21:C579,C579)),"st","nd","rd","th"),"")</f>
        <v/>
      </c>
    </row>
    <row r="580" spans="4:12" x14ac:dyDescent="0.25">
      <c r="D580" s="201" t="str">
        <f t="shared" si="8"/>
        <v/>
      </c>
      <c r="L580" s="201" t="str">
        <f>IFERROR(COUNTIF($C$21:C580,C580)&amp;CHOOSE(MIN(4,COUNTIF($C$21:C580,C580)),"st","nd","rd","th"),"")</f>
        <v/>
      </c>
    </row>
    <row r="581" spans="4:12" x14ac:dyDescent="0.25">
      <c r="D581" s="201" t="str">
        <f t="shared" si="8"/>
        <v/>
      </c>
      <c r="L581" s="201" t="str">
        <f>IFERROR(COUNTIF($C$21:C581,C581)&amp;CHOOSE(MIN(4,COUNTIF($C$21:C581,C581)),"st","nd","rd","th"),"")</f>
        <v/>
      </c>
    </row>
    <row r="582" spans="4:12" x14ac:dyDescent="0.25">
      <c r="D582" s="201" t="str">
        <f t="shared" si="8"/>
        <v/>
      </c>
      <c r="L582" s="201" t="str">
        <f>IFERROR(COUNTIF($C$21:C582,C582)&amp;CHOOSE(MIN(4,COUNTIF($C$21:C582,C582)),"st","nd","rd","th"),"")</f>
        <v/>
      </c>
    </row>
    <row r="583" spans="4:12" x14ac:dyDescent="0.25">
      <c r="D583" s="201" t="str">
        <f t="shared" si="8"/>
        <v/>
      </c>
      <c r="L583" s="201" t="str">
        <f>IFERROR(COUNTIF($C$21:C583,C583)&amp;CHOOSE(MIN(4,COUNTIF($C$21:C583,C583)),"st","nd","rd","th"),"")</f>
        <v/>
      </c>
    </row>
    <row r="584" spans="4:12" x14ac:dyDescent="0.25">
      <c r="D584" s="201" t="str">
        <f t="shared" si="8"/>
        <v/>
      </c>
      <c r="L584" s="201" t="str">
        <f>IFERROR(COUNTIF($C$21:C584,C584)&amp;CHOOSE(MIN(4,COUNTIF($C$21:C584,C584)),"st","nd","rd","th"),"")</f>
        <v/>
      </c>
    </row>
    <row r="585" spans="4:12" x14ac:dyDescent="0.25">
      <c r="D585" s="201" t="str">
        <f t="shared" si="8"/>
        <v/>
      </c>
      <c r="L585" s="201" t="str">
        <f>IFERROR(COUNTIF($C$21:C585,C585)&amp;CHOOSE(MIN(4,COUNTIF($C$21:C585,C585)),"st","nd","rd","th"),"")</f>
        <v/>
      </c>
    </row>
    <row r="586" spans="4:12" x14ac:dyDescent="0.25">
      <c r="D586" s="201" t="str">
        <f t="shared" si="8"/>
        <v/>
      </c>
      <c r="L586" s="201" t="str">
        <f>IFERROR(COUNTIF($C$21:C586,C586)&amp;CHOOSE(MIN(4,COUNTIF($C$21:C586,C586)),"st","nd","rd","th"),"")</f>
        <v/>
      </c>
    </row>
    <row r="587" spans="4:12" x14ac:dyDescent="0.25">
      <c r="D587" s="201" t="str">
        <f t="shared" si="8"/>
        <v/>
      </c>
      <c r="L587" s="201" t="str">
        <f>IFERROR(COUNTIF($C$21:C587,C587)&amp;CHOOSE(MIN(4,COUNTIF($C$21:C587,C587)),"st","nd","rd","th"),"")</f>
        <v/>
      </c>
    </row>
    <row r="588" spans="4:12" x14ac:dyDescent="0.25">
      <c r="D588" s="201" t="str">
        <f t="shared" si="8"/>
        <v/>
      </c>
      <c r="L588" s="201" t="str">
        <f>IFERROR(COUNTIF($C$21:C588,C588)&amp;CHOOSE(MIN(4,COUNTIF($C$21:C588,C588)),"st","nd","rd","th"),"")</f>
        <v/>
      </c>
    </row>
    <row r="589" spans="4:12" x14ac:dyDescent="0.25">
      <c r="D589" s="201" t="str">
        <f t="shared" si="8"/>
        <v/>
      </c>
      <c r="L589" s="201" t="str">
        <f>IFERROR(COUNTIF($C$21:C589,C589)&amp;CHOOSE(MIN(4,COUNTIF($C$21:C589,C589)),"st","nd","rd","th"),"")</f>
        <v/>
      </c>
    </row>
    <row r="590" spans="4:12" x14ac:dyDescent="0.25">
      <c r="D590" s="201" t="str">
        <f t="shared" si="8"/>
        <v/>
      </c>
      <c r="L590" s="201" t="str">
        <f>IFERROR(COUNTIF($C$21:C590,C590)&amp;CHOOSE(MIN(4,COUNTIF($C$21:C590,C590)),"st","nd","rd","th"),"")</f>
        <v/>
      </c>
    </row>
    <row r="591" spans="4:12" x14ac:dyDescent="0.25">
      <c r="D591" s="201" t="str">
        <f t="shared" si="8"/>
        <v/>
      </c>
      <c r="L591" s="201" t="str">
        <f>IFERROR(COUNTIF($C$21:C591,C591)&amp;CHOOSE(MIN(4,COUNTIF($C$21:C591,C591)),"st","nd","rd","th"),"")</f>
        <v/>
      </c>
    </row>
    <row r="592" spans="4:12" x14ac:dyDescent="0.25">
      <c r="D592" s="201" t="str">
        <f t="shared" si="8"/>
        <v/>
      </c>
      <c r="L592" s="201" t="str">
        <f>IFERROR(COUNTIF($C$21:C592,C592)&amp;CHOOSE(MIN(4,COUNTIF($C$21:C592,C592)),"st","nd","rd","th"),"")</f>
        <v/>
      </c>
    </row>
    <row r="593" spans="4:12" x14ac:dyDescent="0.25">
      <c r="D593" s="201" t="str">
        <f t="shared" si="8"/>
        <v/>
      </c>
      <c r="L593" s="201" t="str">
        <f>IFERROR(COUNTIF($C$21:C593,C593)&amp;CHOOSE(MIN(4,COUNTIF($C$21:C593,C593)),"st","nd","rd","th"),"")</f>
        <v/>
      </c>
    </row>
    <row r="594" spans="4:12" x14ac:dyDescent="0.25">
      <c r="D594" s="201" t="str">
        <f t="shared" si="8"/>
        <v/>
      </c>
      <c r="L594" s="201" t="str">
        <f>IFERROR(COUNTIF($C$21:C594,C594)&amp;CHOOSE(MIN(4,COUNTIF($C$21:C594,C594)),"st","nd","rd","th"),"")</f>
        <v/>
      </c>
    </row>
    <row r="595" spans="4:12" x14ac:dyDescent="0.25">
      <c r="D595" s="201" t="str">
        <f t="shared" si="8"/>
        <v/>
      </c>
      <c r="L595" s="201" t="str">
        <f>IFERROR(COUNTIF($C$21:C595,C595)&amp;CHOOSE(MIN(4,COUNTIF($C$21:C595,C595)),"st","nd","rd","th"),"")</f>
        <v/>
      </c>
    </row>
    <row r="596" spans="4:12" x14ac:dyDescent="0.25">
      <c r="D596" s="201" t="str">
        <f t="shared" si="8"/>
        <v/>
      </c>
      <c r="L596" s="201" t="str">
        <f>IFERROR(COUNTIF($C$21:C596,C596)&amp;CHOOSE(MIN(4,COUNTIF($C$21:C596,C596)),"st","nd","rd","th"),"")</f>
        <v/>
      </c>
    </row>
    <row r="597" spans="4:12" x14ac:dyDescent="0.25">
      <c r="D597" s="201" t="str">
        <f t="shared" si="8"/>
        <v/>
      </c>
      <c r="L597" s="201" t="str">
        <f>IFERROR(COUNTIF($C$21:C597,C597)&amp;CHOOSE(MIN(4,COUNTIF($C$21:C597,C597)),"st","nd","rd","th"),"")</f>
        <v/>
      </c>
    </row>
    <row r="598" spans="4:12" x14ac:dyDescent="0.25">
      <c r="D598" s="201" t="str">
        <f t="shared" ref="D598:D661" si="9">IF(B598="","",IF(B598="Province_PLGU","PLGU","City / Municipality"))</f>
        <v/>
      </c>
      <c r="L598" s="201" t="str">
        <f>IFERROR(COUNTIF($C$21:C598,C598)&amp;CHOOSE(MIN(4,COUNTIF($C$21:C598,C598)),"st","nd","rd","th"),"")</f>
        <v/>
      </c>
    </row>
    <row r="599" spans="4:12" x14ac:dyDescent="0.25">
      <c r="D599" s="201" t="str">
        <f t="shared" si="9"/>
        <v/>
      </c>
      <c r="L599" s="201" t="str">
        <f>IFERROR(COUNTIF($C$21:C599,C599)&amp;CHOOSE(MIN(4,COUNTIF($C$21:C599,C599)),"st","nd","rd","th"),"")</f>
        <v/>
      </c>
    </row>
    <row r="600" spans="4:12" x14ac:dyDescent="0.25">
      <c r="D600" s="201" t="str">
        <f t="shared" si="9"/>
        <v/>
      </c>
      <c r="L600" s="201" t="str">
        <f>IFERROR(COUNTIF($C$21:C600,C600)&amp;CHOOSE(MIN(4,COUNTIF($C$21:C600,C600)),"st","nd","rd","th"),"")</f>
        <v/>
      </c>
    </row>
    <row r="601" spans="4:12" x14ac:dyDescent="0.25">
      <c r="D601" s="201" t="str">
        <f t="shared" si="9"/>
        <v/>
      </c>
      <c r="L601" s="201" t="str">
        <f>IFERROR(COUNTIF($C$21:C601,C601)&amp;CHOOSE(MIN(4,COUNTIF($C$21:C601,C601)),"st","nd","rd","th"),"")</f>
        <v/>
      </c>
    </row>
    <row r="602" spans="4:12" x14ac:dyDescent="0.25">
      <c r="D602" s="201" t="str">
        <f t="shared" si="9"/>
        <v/>
      </c>
      <c r="L602" s="201" t="str">
        <f>IFERROR(COUNTIF($C$21:C602,C602)&amp;CHOOSE(MIN(4,COUNTIF($C$21:C602,C602)),"st","nd","rd","th"),"")</f>
        <v/>
      </c>
    </row>
    <row r="603" spans="4:12" x14ac:dyDescent="0.25">
      <c r="D603" s="201" t="str">
        <f t="shared" si="9"/>
        <v/>
      </c>
      <c r="L603" s="201" t="str">
        <f>IFERROR(COUNTIF($C$21:C603,C603)&amp;CHOOSE(MIN(4,COUNTIF($C$21:C603,C603)),"st","nd","rd","th"),"")</f>
        <v/>
      </c>
    </row>
    <row r="604" spans="4:12" x14ac:dyDescent="0.25">
      <c r="D604" s="201" t="str">
        <f t="shared" si="9"/>
        <v/>
      </c>
      <c r="L604" s="201" t="str">
        <f>IFERROR(COUNTIF($C$21:C604,C604)&amp;CHOOSE(MIN(4,COUNTIF($C$21:C604,C604)),"st","nd","rd","th"),"")</f>
        <v/>
      </c>
    </row>
    <row r="605" spans="4:12" x14ac:dyDescent="0.25">
      <c r="D605" s="201" t="str">
        <f t="shared" si="9"/>
        <v/>
      </c>
      <c r="L605" s="201" t="str">
        <f>IFERROR(COUNTIF($C$21:C605,C605)&amp;CHOOSE(MIN(4,COUNTIF($C$21:C605,C605)),"st","nd","rd","th"),"")</f>
        <v/>
      </c>
    </row>
    <row r="606" spans="4:12" x14ac:dyDescent="0.25">
      <c r="D606" s="201" t="str">
        <f t="shared" si="9"/>
        <v/>
      </c>
      <c r="L606" s="201" t="str">
        <f>IFERROR(COUNTIF($C$21:C606,C606)&amp;CHOOSE(MIN(4,COUNTIF($C$21:C606,C606)),"st","nd","rd","th"),"")</f>
        <v/>
      </c>
    </row>
    <row r="607" spans="4:12" x14ac:dyDescent="0.25">
      <c r="D607" s="201" t="str">
        <f t="shared" si="9"/>
        <v/>
      </c>
      <c r="L607" s="201" t="str">
        <f>IFERROR(COUNTIF($C$21:C607,C607)&amp;CHOOSE(MIN(4,COUNTIF($C$21:C607,C607)),"st","nd","rd","th"),"")</f>
        <v/>
      </c>
    </row>
    <row r="608" spans="4:12" x14ac:dyDescent="0.25">
      <c r="D608" s="201" t="str">
        <f t="shared" si="9"/>
        <v/>
      </c>
      <c r="L608" s="201" t="str">
        <f>IFERROR(COUNTIF($C$21:C608,C608)&amp;CHOOSE(MIN(4,COUNTIF($C$21:C608,C608)),"st","nd","rd","th"),"")</f>
        <v/>
      </c>
    </row>
    <row r="609" spans="4:12" x14ac:dyDescent="0.25">
      <c r="D609" s="201" t="str">
        <f t="shared" si="9"/>
        <v/>
      </c>
      <c r="L609" s="201" t="str">
        <f>IFERROR(COUNTIF($C$21:C609,C609)&amp;CHOOSE(MIN(4,COUNTIF($C$21:C609,C609)),"st","nd","rd","th"),"")</f>
        <v/>
      </c>
    </row>
    <row r="610" spans="4:12" x14ac:dyDescent="0.25">
      <c r="D610" s="201" t="str">
        <f t="shared" si="9"/>
        <v/>
      </c>
      <c r="L610" s="201" t="str">
        <f>IFERROR(COUNTIF($C$21:C610,C610)&amp;CHOOSE(MIN(4,COUNTIF($C$21:C610,C610)),"st","nd","rd","th"),"")</f>
        <v/>
      </c>
    </row>
    <row r="611" spans="4:12" x14ac:dyDescent="0.25">
      <c r="D611" s="201" t="str">
        <f t="shared" si="9"/>
        <v/>
      </c>
      <c r="L611" s="201" t="str">
        <f>IFERROR(COUNTIF($C$21:C611,C611)&amp;CHOOSE(MIN(4,COUNTIF($C$21:C611,C611)),"st","nd","rd","th"),"")</f>
        <v/>
      </c>
    </row>
    <row r="612" spans="4:12" x14ac:dyDescent="0.25">
      <c r="D612" s="201" t="str">
        <f t="shared" si="9"/>
        <v/>
      </c>
      <c r="L612" s="201" t="str">
        <f>IFERROR(COUNTIF($C$21:C612,C612)&amp;CHOOSE(MIN(4,COUNTIF($C$21:C612,C612)),"st","nd","rd","th"),"")</f>
        <v/>
      </c>
    </row>
    <row r="613" spans="4:12" x14ac:dyDescent="0.25">
      <c r="D613" s="201" t="str">
        <f t="shared" si="9"/>
        <v/>
      </c>
      <c r="L613" s="201" t="str">
        <f>IFERROR(COUNTIF($C$21:C613,C613)&amp;CHOOSE(MIN(4,COUNTIF($C$21:C613,C613)),"st","nd","rd","th"),"")</f>
        <v/>
      </c>
    </row>
    <row r="614" spans="4:12" x14ac:dyDescent="0.25">
      <c r="D614" s="201" t="str">
        <f t="shared" si="9"/>
        <v/>
      </c>
      <c r="L614" s="201" t="str">
        <f>IFERROR(COUNTIF($C$21:C614,C614)&amp;CHOOSE(MIN(4,COUNTIF($C$21:C614,C614)),"st","nd","rd","th"),"")</f>
        <v/>
      </c>
    </row>
    <row r="615" spans="4:12" x14ac:dyDescent="0.25">
      <c r="D615" s="201" t="str">
        <f t="shared" si="9"/>
        <v/>
      </c>
      <c r="L615" s="201" t="str">
        <f>IFERROR(COUNTIF($C$21:C615,C615)&amp;CHOOSE(MIN(4,COUNTIF($C$21:C615,C615)),"st","nd","rd","th"),"")</f>
        <v/>
      </c>
    </row>
    <row r="616" spans="4:12" x14ac:dyDescent="0.25">
      <c r="D616" s="201" t="str">
        <f t="shared" si="9"/>
        <v/>
      </c>
      <c r="L616" s="201" t="str">
        <f>IFERROR(COUNTIF($C$21:C616,C616)&amp;CHOOSE(MIN(4,COUNTIF($C$21:C616,C616)),"st","nd","rd","th"),"")</f>
        <v/>
      </c>
    </row>
    <row r="617" spans="4:12" x14ac:dyDescent="0.25">
      <c r="D617" s="201" t="str">
        <f t="shared" si="9"/>
        <v/>
      </c>
      <c r="L617" s="201" t="str">
        <f>IFERROR(COUNTIF($C$21:C617,C617)&amp;CHOOSE(MIN(4,COUNTIF($C$21:C617,C617)),"st","nd","rd","th"),"")</f>
        <v/>
      </c>
    </row>
    <row r="618" spans="4:12" x14ac:dyDescent="0.25">
      <c r="D618" s="201" t="str">
        <f t="shared" si="9"/>
        <v/>
      </c>
      <c r="L618" s="201" t="str">
        <f>IFERROR(COUNTIF($C$21:C618,C618)&amp;CHOOSE(MIN(4,COUNTIF($C$21:C618,C618)),"st","nd","rd","th"),"")</f>
        <v/>
      </c>
    </row>
    <row r="619" spans="4:12" x14ac:dyDescent="0.25">
      <c r="D619" s="201" t="str">
        <f t="shared" si="9"/>
        <v/>
      </c>
      <c r="L619" s="201" t="str">
        <f>IFERROR(COUNTIF($C$21:C619,C619)&amp;CHOOSE(MIN(4,COUNTIF($C$21:C619,C619)),"st","nd","rd","th"),"")</f>
        <v/>
      </c>
    </row>
    <row r="620" spans="4:12" x14ac:dyDescent="0.25">
      <c r="D620" s="201" t="str">
        <f t="shared" si="9"/>
        <v/>
      </c>
      <c r="L620" s="201" t="str">
        <f>IFERROR(COUNTIF($C$21:C620,C620)&amp;CHOOSE(MIN(4,COUNTIF($C$21:C620,C620)),"st","nd","rd","th"),"")</f>
        <v/>
      </c>
    </row>
    <row r="621" spans="4:12" x14ac:dyDescent="0.25">
      <c r="D621" s="201" t="str">
        <f t="shared" si="9"/>
        <v/>
      </c>
      <c r="L621" s="201" t="str">
        <f>IFERROR(COUNTIF($C$21:C621,C621)&amp;CHOOSE(MIN(4,COUNTIF($C$21:C621,C621)),"st","nd","rd","th"),"")</f>
        <v/>
      </c>
    </row>
    <row r="622" spans="4:12" x14ac:dyDescent="0.25">
      <c r="D622" s="201" t="str">
        <f t="shared" si="9"/>
        <v/>
      </c>
      <c r="L622" s="201" t="str">
        <f>IFERROR(COUNTIF($C$21:C622,C622)&amp;CHOOSE(MIN(4,COUNTIF($C$21:C622,C622)),"st","nd","rd","th"),"")</f>
        <v/>
      </c>
    </row>
    <row r="623" spans="4:12" x14ac:dyDescent="0.25">
      <c r="D623" s="201" t="str">
        <f t="shared" si="9"/>
        <v/>
      </c>
      <c r="L623" s="201" t="str">
        <f>IFERROR(COUNTIF($C$21:C623,C623)&amp;CHOOSE(MIN(4,COUNTIF($C$21:C623,C623)),"st","nd","rd","th"),"")</f>
        <v/>
      </c>
    </row>
    <row r="624" spans="4:12" x14ac:dyDescent="0.25">
      <c r="D624" s="201" t="str">
        <f t="shared" si="9"/>
        <v/>
      </c>
      <c r="L624" s="201" t="str">
        <f>IFERROR(COUNTIF($C$21:C624,C624)&amp;CHOOSE(MIN(4,COUNTIF($C$21:C624,C624)),"st","nd","rd","th"),"")</f>
        <v/>
      </c>
    </row>
    <row r="625" spans="4:12" x14ac:dyDescent="0.25">
      <c r="D625" s="201" t="str">
        <f t="shared" si="9"/>
        <v/>
      </c>
      <c r="L625" s="201" t="str">
        <f>IFERROR(COUNTIF($C$21:C625,C625)&amp;CHOOSE(MIN(4,COUNTIF($C$21:C625,C625)),"st","nd","rd","th"),"")</f>
        <v/>
      </c>
    </row>
    <row r="626" spans="4:12" x14ac:dyDescent="0.25">
      <c r="D626" s="201" t="str">
        <f t="shared" si="9"/>
        <v/>
      </c>
      <c r="L626" s="201" t="str">
        <f>IFERROR(COUNTIF($C$21:C626,C626)&amp;CHOOSE(MIN(4,COUNTIF($C$21:C626,C626)),"st","nd","rd","th"),"")</f>
        <v/>
      </c>
    </row>
    <row r="627" spans="4:12" x14ac:dyDescent="0.25">
      <c r="D627" s="201" t="str">
        <f t="shared" si="9"/>
        <v/>
      </c>
      <c r="L627" s="201" t="str">
        <f>IFERROR(COUNTIF($C$21:C627,C627)&amp;CHOOSE(MIN(4,COUNTIF($C$21:C627,C627)),"st","nd","rd","th"),"")</f>
        <v/>
      </c>
    </row>
    <row r="628" spans="4:12" x14ac:dyDescent="0.25">
      <c r="D628" s="201" t="str">
        <f t="shared" si="9"/>
        <v/>
      </c>
      <c r="L628" s="201" t="str">
        <f>IFERROR(COUNTIF($C$21:C628,C628)&amp;CHOOSE(MIN(4,COUNTIF($C$21:C628,C628)),"st","nd","rd","th"),"")</f>
        <v/>
      </c>
    </row>
    <row r="629" spans="4:12" x14ac:dyDescent="0.25">
      <c r="D629" s="201" t="str">
        <f t="shared" si="9"/>
        <v/>
      </c>
      <c r="L629" s="201" t="str">
        <f>IFERROR(COUNTIF($C$21:C629,C629)&amp;CHOOSE(MIN(4,COUNTIF($C$21:C629,C629)),"st","nd","rd","th"),"")</f>
        <v/>
      </c>
    </row>
    <row r="630" spans="4:12" x14ac:dyDescent="0.25">
      <c r="D630" s="201" t="str">
        <f t="shared" si="9"/>
        <v/>
      </c>
      <c r="L630" s="201" t="str">
        <f>IFERROR(COUNTIF($C$21:C630,C630)&amp;CHOOSE(MIN(4,COUNTIF($C$21:C630,C630)),"st","nd","rd","th"),"")</f>
        <v/>
      </c>
    </row>
    <row r="631" spans="4:12" x14ac:dyDescent="0.25">
      <c r="D631" s="201" t="str">
        <f t="shared" si="9"/>
        <v/>
      </c>
      <c r="L631" s="201" t="str">
        <f>IFERROR(COUNTIF($C$21:C631,C631)&amp;CHOOSE(MIN(4,COUNTIF($C$21:C631,C631)),"st","nd","rd","th"),"")</f>
        <v/>
      </c>
    </row>
    <row r="632" spans="4:12" x14ac:dyDescent="0.25">
      <c r="D632" s="201" t="str">
        <f t="shared" si="9"/>
        <v/>
      </c>
      <c r="L632" s="201" t="str">
        <f>IFERROR(COUNTIF($C$21:C632,C632)&amp;CHOOSE(MIN(4,COUNTIF($C$21:C632,C632)),"st","nd","rd","th"),"")</f>
        <v/>
      </c>
    </row>
    <row r="633" spans="4:12" x14ac:dyDescent="0.25">
      <c r="D633" s="201" t="str">
        <f t="shared" si="9"/>
        <v/>
      </c>
      <c r="L633" s="201" t="str">
        <f>IFERROR(COUNTIF($C$21:C633,C633)&amp;CHOOSE(MIN(4,COUNTIF($C$21:C633,C633)),"st","nd","rd","th"),"")</f>
        <v/>
      </c>
    </row>
    <row r="634" spans="4:12" x14ac:dyDescent="0.25">
      <c r="D634" s="201" t="str">
        <f t="shared" si="9"/>
        <v/>
      </c>
      <c r="L634" s="201" t="str">
        <f>IFERROR(COUNTIF($C$21:C634,C634)&amp;CHOOSE(MIN(4,COUNTIF($C$21:C634,C634)),"st","nd","rd","th"),"")</f>
        <v/>
      </c>
    </row>
    <row r="635" spans="4:12" x14ac:dyDescent="0.25">
      <c r="D635" s="201" t="str">
        <f t="shared" si="9"/>
        <v/>
      </c>
      <c r="L635" s="201" t="str">
        <f>IFERROR(COUNTIF($C$21:C635,C635)&amp;CHOOSE(MIN(4,COUNTIF($C$21:C635,C635)),"st","nd","rd","th"),"")</f>
        <v/>
      </c>
    </row>
    <row r="636" spans="4:12" x14ac:dyDescent="0.25">
      <c r="D636" s="201" t="str">
        <f t="shared" si="9"/>
        <v/>
      </c>
      <c r="L636" s="201" t="str">
        <f>IFERROR(COUNTIF($C$21:C636,C636)&amp;CHOOSE(MIN(4,COUNTIF($C$21:C636,C636)),"st","nd","rd","th"),"")</f>
        <v/>
      </c>
    </row>
    <row r="637" spans="4:12" x14ac:dyDescent="0.25">
      <c r="D637" s="201" t="str">
        <f t="shared" si="9"/>
        <v/>
      </c>
      <c r="L637" s="201" t="str">
        <f>IFERROR(COUNTIF($C$21:C637,C637)&amp;CHOOSE(MIN(4,COUNTIF($C$21:C637,C637)),"st","nd","rd","th"),"")</f>
        <v/>
      </c>
    </row>
    <row r="638" spans="4:12" x14ac:dyDescent="0.25">
      <c r="D638" s="201" t="str">
        <f t="shared" si="9"/>
        <v/>
      </c>
      <c r="L638" s="201" t="str">
        <f>IFERROR(COUNTIF($C$21:C638,C638)&amp;CHOOSE(MIN(4,COUNTIF($C$21:C638,C638)),"st","nd","rd","th"),"")</f>
        <v/>
      </c>
    </row>
    <row r="639" spans="4:12" x14ac:dyDescent="0.25">
      <c r="D639" s="201" t="str">
        <f t="shared" si="9"/>
        <v/>
      </c>
      <c r="L639" s="201" t="str">
        <f>IFERROR(COUNTIF($C$21:C639,C639)&amp;CHOOSE(MIN(4,COUNTIF($C$21:C639,C639)),"st","nd","rd","th"),"")</f>
        <v/>
      </c>
    </row>
    <row r="640" spans="4:12" x14ac:dyDescent="0.25">
      <c r="D640" s="201" t="str">
        <f t="shared" si="9"/>
        <v/>
      </c>
      <c r="L640" s="201" t="str">
        <f>IFERROR(COUNTIF($C$21:C640,C640)&amp;CHOOSE(MIN(4,COUNTIF($C$21:C640,C640)),"st","nd","rd","th"),"")</f>
        <v/>
      </c>
    </row>
    <row r="641" spans="4:12" x14ac:dyDescent="0.25">
      <c r="D641" s="201" t="str">
        <f t="shared" si="9"/>
        <v/>
      </c>
      <c r="L641" s="201" t="str">
        <f>IFERROR(COUNTIF($C$21:C641,C641)&amp;CHOOSE(MIN(4,COUNTIF($C$21:C641,C641)),"st","nd","rd","th"),"")</f>
        <v/>
      </c>
    </row>
    <row r="642" spans="4:12" x14ac:dyDescent="0.25">
      <c r="D642" s="201" t="str">
        <f t="shared" si="9"/>
        <v/>
      </c>
      <c r="L642" s="201" t="str">
        <f>IFERROR(COUNTIF($C$21:C642,C642)&amp;CHOOSE(MIN(4,COUNTIF($C$21:C642,C642)),"st","nd","rd","th"),"")</f>
        <v/>
      </c>
    </row>
    <row r="643" spans="4:12" x14ac:dyDescent="0.25">
      <c r="D643" s="201" t="str">
        <f t="shared" si="9"/>
        <v/>
      </c>
      <c r="L643" s="201" t="str">
        <f>IFERROR(COUNTIF($C$21:C643,C643)&amp;CHOOSE(MIN(4,COUNTIF($C$21:C643,C643)),"st","nd","rd","th"),"")</f>
        <v/>
      </c>
    </row>
    <row r="644" spans="4:12" x14ac:dyDescent="0.25">
      <c r="D644" s="201" t="str">
        <f t="shared" si="9"/>
        <v/>
      </c>
      <c r="L644" s="201" t="str">
        <f>IFERROR(COUNTIF($C$21:C644,C644)&amp;CHOOSE(MIN(4,COUNTIF($C$21:C644,C644)),"st","nd","rd","th"),"")</f>
        <v/>
      </c>
    </row>
    <row r="645" spans="4:12" x14ac:dyDescent="0.25">
      <c r="D645" s="201" t="str">
        <f t="shared" si="9"/>
        <v/>
      </c>
      <c r="L645" s="201" t="str">
        <f>IFERROR(COUNTIF($C$21:C645,C645)&amp;CHOOSE(MIN(4,COUNTIF($C$21:C645,C645)),"st","nd","rd","th"),"")</f>
        <v/>
      </c>
    </row>
    <row r="646" spans="4:12" x14ac:dyDescent="0.25">
      <c r="D646" s="201" t="str">
        <f t="shared" si="9"/>
        <v/>
      </c>
      <c r="L646" s="201" t="str">
        <f>IFERROR(COUNTIF($C$21:C646,C646)&amp;CHOOSE(MIN(4,COUNTIF($C$21:C646,C646)),"st","nd","rd","th"),"")</f>
        <v/>
      </c>
    </row>
    <row r="647" spans="4:12" x14ac:dyDescent="0.25">
      <c r="D647" s="201" t="str">
        <f t="shared" si="9"/>
        <v/>
      </c>
      <c r="L647" s="201" t="str">
        <f>IFERROR(COUNTIF($C$21:C647,C647)&amp;CHOOSE(MIN(4,COUNTIF($C$21:C647,C647)),"st","nd","rd","th"),"")</f>
        <v/>
      </c>
    </row>
    <row r="648" spans="4:12" x14ac:dyDescent="0.25">
      <c r="D648" s="201" t="str">
        <f t="shared" si="9"/>
        <v/>
      </c>
      <c r="L648" s="201" t="str">
        <f>IFERROR(COUNTIF($C$21:C648,C648)&amp;CHOOSE(MIN(4,COUNTIF($C$21:C648,C648)),"st","nd","rd","th"),"")</f>
        <v/>
      </c>
    </row>
    <row r="649" spans="4:12" x14ac:dyDescent="0.25">
      <c r="D649" s="201" t="str">
        <f t="shared" si="9"/>
        <v/>
      </c>
      <c r="L649" s="201" t="str">
        <f>IFERROR(COUNTIF($C$21:C649,C649)&amp;CHOOSE(MIN(4,COUNTIF($C$21:C649,C649)),"st","nd","rd","th"),"")</f>
        <v/>
      </c>
    </row>
    <row r="650" spans="4:12" x14ac:dyDescent="0.25">
      <c r="D650" s="201" t="str">
        <f t="shared" si="9"/>
        <v/>
      </c>
      <c r="L650" s="201" t="str">
        <f>IFERROR(COUNTIF($C$21:C650,C650)&amp;CHOOSE(MIN(4,COUNTIF($C$21:C650,C650)),"st","nd","rd","th"),"")</f>
        <v/>
      </c>
    </row>
    <row r="651" spans="4:12" x14ac:dyDescent="0.25">
      <c r="D651" s="201" t="str">
        <f t="shared" si="9"/>
        <v/>
      </c>
      <c r="L651" s="201" t="str">
        <f>IFERROR(COUNTIF($C$21:C651,C651)&amp;CHOOSE(MIN(4,COUNTIF($C$21:C651,C651)),"st","nd","rd","th"),"")</f>
        <v/>
      </c>
    </row>
    <row r="652" spans="4:12" x14ac:dyDescent="0.25">
      <c r="D652" s="201" t="str">
        <f t="shared" si="9"/>
        <v/>
      </c>
      <c r="L652" s="201" t="str">
        <f>IFERROR(COUNTIF($C$21:C652,C652)&amp;CHOOSE(MIN(4,COUNTIF($C$21:C652,C652)),"st","nd","rd","th"),"")</f>
        <v/>
      </c>
    </row>
    <row r="653" spans="4:12" x14ac:dyDescent="0.25">
      <c r="D653" s="201" t="str">
        <f t="shared" si="9"/>
        <v/>
      </c>
      <c r="L653" s="201" t="str">
        <f>IFERROR(COUNTIF($C$21:C653,C653)&amp;CHOOSE(MIN(4,COUNTIF($C$21:C653,C653)),"st","nd","rd","th"),"")</f>
        <v/>
      </c>
    </row>
    <row r="654" spans="4:12" x14ac:dyDescent="0.25">
      <c r="D654" s="201" t="str">
        <f t="shared" si="9"/>
        <v/>
      </c>
      <c r="L654" s="201" t="str">
        <f>IFERROR(COUNTIF($C$21:C654,C654)&amp;CHOOSE(MIN(4,COUNTIF($C$21:C654,C654)),"st","nd","rd","th"),"")</f>
        <v/>
      </c>
    </row>
    <row r="655" spans="4:12" x14ac:dyDescent="0.25">
      <c r="D655" s="201" t="str">
        <f t="shared" si="9"/>
        <v/>
      </c>
      <c r="L655" s="201" t="str">
        <f>IFERROR(COUNTIF($C$21:C655,C655)&amp;CHOOSE(MIN(4,COUNTIF($C$21:C655,C655)),"st","nd","rd","th"),"")</f>
        <v/>
      </c>
    </row>
    <row r="656" spans="4:12" x14ac:dyDescent="0.25">
      <c r="D656" s="201" t="str">
        <f t="shared" si="9"/>
        <v/>
      </c>
      <c r="L656" s="201" t="str">
        <f>IFERROR(COUNTIF($C$21:C656,C656)&amp;CHOOSE(MIN(4,COUNTIF($C$21:C656,C656)),"st","nd","rd","th"),"")</f>
        <v/>
      </c>
    </row>
    <row r="657" spans="4:12" x14ac:dyDescent="0.25">
      <c r="D657" s="201" t="str">
        <f t="shared" si="9"/>
        <v/>
      </c>
      <c r="L657" s="201" t="str">
        <f>IFERROR(COUNTIF($C$21:C657,C657)&amp;CHOOSE(MIN(4,COUNTIF($C$21:C657,C657)),"st","nd","rd","th"),"")</f>
        <v/>
      </c>
    </row>
    <row r="658" spans="4:12" x14ac:dyDescent="0.25">
      <c r="D658" s="201" t="str">
        <f t="shared" si="9"/>
        <v/>
      </c>
      <c r="L658" s="201" t="str">
        <f>IFERROR(COUNTIF($C$21:C658,C658)&amp;CHOOSE(MIN(4,COUNTIF($C$21:C658,C658)),"st","nd","rd","th"),"")</f>
        <v/>
      </c>
    </row>
    <row r="659" spans="4:12" x14ac:dyDescent="0.25">
      <c r="D659" s="201" t="str">
        <f t="shared" si="9"/>
        <v/>
      </c>
      <c r="L659" s="201" t="str">
        <f>IFERROR(COUNTIF($C$21:C659,C659)&amp;CHOOSE(MIN(4,COUNTIF($C$21:C659,C659)),"st","nd","rd","th"),"")</f>
        <v/>
      </c>
    </row>
    <row r="660" spans="4:12" x14ac:dyDescent="0.25">
      <c r="D660" s="201" t="str">
        <f t="shared" si="9"/>
        <v/>
      </c>
      <c r="L660" s="201" t="str">
        <f>IFERROR(COUNTIF($C$21:C660,C660)&amp;CHOOSE(MIN(4,COUNTIF($C$21:C660,C660)),"st","nd","rd","th"),"")</f>
        <v/>
      </c>
    </row>
    <row r="661" spans="4:12" x14ac:dyDescent="0.25">
      <c r="D661" s="201" t="str">
        <f t="shared" si="9"/>
        <v/>
      </c>
      <c r="L661" s="201" t="str">
        <f>IFERROR(COUNTIF($C$21:C661,C661)&amp;CHOOSE(MIN(4,COUNTIF($C$21:C661,C661)),"st","nd","rd","th"),"")</f>
        <v/>
      </c>
    </row>
    <row r="662" spans="4:12" x14ac:dyDescent="0.25">
      <c r="D662" s="201" t="str">
        <f t="shared" ref="D662:D725" si="10">IF(B662="","",IF(B662="Province_PLGU","PLGU","City / Municipality"))</f>
        <v/>
      </c>
      <c r="L662" s="201" t="str">
        <f>IFERROR(COUNTIF($C$21:C662,C662)&amp;CHOOSE(MIN(4,COUNTIF($C$21:C662,C662)),"st","nd","rd","th"),"")</f>
        <v/>
      </c>
    </row>
    <row r="663" spans="4:12" x14ac:dyDescent="0.25">
      <c r="D663" s="201" t="str">
        <f t="shared" si="10"/>
        <v/>
      </c>
      <c r="L663" s="201" t="str">
        <f>IFERROR(COUNTIF($C$21:C663,C663)&amp;CHOOSE(MIN(4,COUNTIF($C$21:C663,C663)),"st","nd","rd","th"),"")</f>
        <v/>
      </c>
    </row>
    <row r="664" spans="4:12" x14ac:dyDescent="0.25">
      <c r="D664" s="201" t="str">
        <f t="shared" si="10"/>
        <v/>
      </c>
      <c r="L664" s="201" t="str">
        <f>IFERROR(COUNTIF($C$21:C664,C664)&amp;CHOOSE(MIN(4,COUNTIF($C$21:C664,C664)),"st","nd","rd","th"),"")</f>
        <v/>
      </c>
    </row>
    <row r="665" spans="4:12" x14ac:dyDescent="0.25">
      <c r="D665" s="201" t="str">
        <f t="shared" si="10"/>
        <v/>
      </c>
      <c r="L665" s="201" t="str">
        <f>IFERROR(COUNTIF($C$21:C665,C665)&amp;CHOOSE(MIN(4,COUNTIF($C$21:C665,C665)),"st","nd","rd","th"),"")</f>
        <v/>
      </c>
    </row>
    <row r="666" spans="4:12" x14ac:dyDescent="0.25">
      <c r="D666" s="201" t="str">
        <f t="shared" si="10"/>
        <v/>
      </c>
      <c r="L666" s="201" t="str">
        <f>IFERROR(COUNTIF($C$21:C666,C666)&amp;CHOOSE(MIN(4,COUNTIF($C$21:C666,C666)),"st","nd","rd","th"),"")</f>
        <v/>
      </c>
    </row>
    <row r="667" spans="4:12" x14ac:dyDescent="0.25">
      <c r="D667" s="201" t="str">
        <f t="shared" si="10"/>
        <v/>
      </c>
      <c r="L667" s="201" t="str">
        <f>IFERROR(COUNTIF($C$21:C667,C667)&amp;CHOOSE(MIN(4,COUNTIF($C$21:C667,C667)),"st","nd","rd","th"),"")</f>
        <v/>
      </c>
    </row>
    <row r="668" spans="4:12" x14ac:dyDescent="0.25">
      <c r="D668" s="201" t="str">
        <f t="shared" si="10"/>
        <v/>
      </c>
      <c r="L668" s="201" t="str">
        <f>IFERROR(COUNTIF($C$21:C668,C668)&amp;CHOOSE(MIN(4,COUNTIF($C$21:C668,C668)),"st","nd","rd","th"),"")</f>
        <v/>
      </c>
    </row>
    <row r="669" spans="4:12" x14ac:dyDescent="0.25">
      <c r="D669" s="201" t="str">
        <f t="shared" si="10"/>
        <v/>
      </c>
      <c r="L669" s="201" t="str">
        <f>IFERROR(COUNTIF($C$21:C669,C669)&amp;CHOOSE(MIN(4,COUNTIF($C$21:C669,C669)),"st","nd","rd","th"),"")</f>
        <v/>
      </c>
    </row>
    <row r="670" spans="4:12" x14ac:dyDescent="0.25">
      <c r="D670" s="201" t="str">
        <f t="shared" si="10"/>
        <v/>
      </c>
      <c r="L670" s="201" t="str">
        <f>IFERROR(COUNTIF($C$21:C670,C670)&amp;CHOOSE(MIN(4,COUNTIF($C$21:C670,C670)),"st","nd","rd","th"),"")</f>
        <v/>
      </c>
    </row>
    <row r="671" spans="4:12" x14ac:dyDescent="0.25">
      <c r="D671" s="201" t="str">
        <f t="shared" si="10"/>
        <v/>
      </c>
      <c r="L671" s="201" t="str">
        <f>IFERROR(COUNTIF($C$21:C671,C671)&amp;CHOOSE(MIN(4,COUNTIF($C$21:C671,C671)),"st","nd","rd","th"),"")</f>
        <v/>
      </c>
    </row>
    <row r="672" spans="4:12" x14ac:dyDescent="0.25">
      <c r="D672" s="201" t="str">
        <f t="shared" si="10"/>
        <v/>
      </c>
      <c r="L672" s="201" t="str">
        <f>IFERROR(COUNTIF($C$21:C672,C672)&amp;CHOOSE(MIN(4,COUNTIF($C$21:C672,C672)),"st","nd","rd","th"),"")</f>
        <v/>
      </c>
    </row>
    <row r="673" spans="4:12" x14ac:dyDescent="0.25">
      <c r="D673" s="201" t="str">
        <f t="shared" si="10"/>
        <v/>
      </c>
      <c r="L673" s="201" t="str">
        <f>IFERROR(COUNTIF($C$21:C673,C673)&amp;CHOOSE(MIN(4,COUNTIF($C$21:C673,C673)),"st","nd","rd","th"),"")</f>
        <v/>
      </c>
    </row>
    <row r="674" spans="4:12" x14ac:dyDescent="0.25">
      <c r="D674" s="201" t="str">
        <f t="shared" si="10"/>
        <v/>
      </c>
      <c r="L674" s="201" t="str">
        <f>IFERROR(COUNTIF($C$21:C674,C674)&amp;CHOOSE(MIN(4,COUNTIF($C$21:C674,C674)),"st","nd","rd","th"),"")</f>
        <v/>
      </c>
    </row>
    <row r="675" spans="4:12" x14ac:dyDescent="0.25">
      <c r="D675" s="201" t="str">
        <f t="shared" si="10"/>
        <v/>
      </c>
      <c r="L675" s="201" t="str">
        <f>IFERROR(COUNTIF($C$21:C675,C675)&amp;CHOOSE(MIN(4,COUNTIF($C$21:C675,C675)),"st","nd","rd","th"),"")</f>
        <v/>
      </c>
    </row>
    <row r="676" spans="4:12" x14ac:dyDescent="0.25">
      <c r="D676" s="201" t="str">
        <f t="shared" si="10"/>
        <v/>
      </c>
      <c r="L676" s="201" t="str">
        <f>IFERROR(COUNTIF($C$21:C676,C676)&amp;CHOOSE(MIN(4,COUNTIF($C$21:C676,C676)),"st","nd","rd","th"),"")</f>
        <v/>
      </c>
    </row>
    <row r="677" spans="4:12" x14ac:dyDescent="0.25">
      <c r="D677" s="201" t="str">
        <f t="shared" si="10"/>
        <v/>
      </c>
      <c r="L677" s="201" t="str">
        <f>IFERROR(COUNTIF($C$21:C677,C677)&amp;CHOOSE(MIN(4,COUNTIF($C$21:C677,C677)),"st","nd","rd","th"),"")</f>
        <v/>
      </c>
    </row>
    <row r="678" spans="4:12" x14ac:dyDescent="0.25">
      <c r="D678" s="201" t="str">
        <f t="shared" si="10"/>
        <v/>
      </c>
      <c r="L678" s="201" t="str">
        <f>IFERROR(COUNTIF($C$21:C678,C678)&amp;CHOOSE(MIN(4,COUNTIF($C$21:C678,C678)),"st","nd","rd","th"),"")</f>
        <v/>
      </c>
    </row>
    <row r="679" spans="4:12" x14ac:dyDescent="0.25">
      <c r="D679" s="201" t="str">
        <f t="shared" si="10"/>
        <v/>
      </c>
      <c r="L679" s="201" t="str">
        <f>IFERROR(COUNTIF($C$21:C679,C679)&amp;CHOOSE(MIN(4,COUNTIF($C$21:C679,C679)),"st","nd","rd","th"),"")</f>
        <v/>
      </c>
    </row>
    <row r="680" spans="4:12" x14ac:dyDescent="0.25">
      <c r="D680" s="201" t="str">
        <f t="shared" si="10"/>
        <v/>
      </c>
      <c r="L680" s="201" t="str">
        <f>IFERROR(COUNTIF($C$21:C680,C680)&amp;CHOOSE(MIN(4,COUNTIF($C$21:C680,C680)),"st","nd","rd","th"),"")</f>
        <v/>
      </c>
    </row>
    <row r="681" spans="4:12" x14ac:dyDescent="0.25">
      <c r="D681" s="201" t="str">
        <f t="shared" si="10"/>
        <v/>
      </c>
      <c r="L681" s="201" t="str">
        <f>IFERROR(COUNTIF($C$21:C681,C681)&amp;CHOOSE(MIN(4,COUNTIF($C$21:C681,C681)),"st","nd","rd","th"),"")</f>
        <v/>
      </c>
    </row>
    <row r="682" spans="4:12" x14ac:dyDescent="0.25">
      <c r="D682" s="201" t="str">
        <f t="shared" si="10"/>
        <v/>
      </c>
      <c r="L682" s="201" t="str">
        <f>IFERROR(COUNTIF($C$21:C682,C682)&amp;CHOOSE(MIN(4,COUNTIF($C$21:C682,C682)),"st","nd","rd","th"),"")</f>
        <v/>
      </c>
    </row>
    <row r="683" spans="4:12" x14ac:dyDescent="0.25">
      <c r="D683" s="201" t="str">
        <f t="shared" si="10"/>
        <v/>
      </c>
      <c r="L683" s="201" t="str">
        <f>IFERROR(COUNTIF($C$21:C683,C683)&amp;CHOOSE(MIN(4,COUNTIF($C$21:C683,C683)),"st","nd","rd","th"),"")</f>
        <v/>
      </c>
    </row>
    <row r="684" spans="4:12" x14ac:dyDescent="0.25">
      <c r="D684" s="201" t="str">
        <f t="shared" si="10"/>
        <v/>
      </c>
      <c r="L684" s="201" t="str">
        <f>IFERROR(COUNTIF($C$21:C684,C684)&amp;CHOOSE(MIN(4,COUNTIF($C$21:C684,C684)),"st","nd","rd","th"),"")</f>
        <v/>
      </c>
    </row>
    <row r="685" spans="4:12" x14ac:dyDescent="0.25">
      <c r="D685" s="201" t="str">
        <f t="shared" si="10"/>
        <v/>
      </c>
      <c r="L685" s="201" t="str">
        <f>IFERROR(COUNTIF($C$21:C685,C685)&amp;CHOOSE(MIN(4,COUNTIF($C$21:C685,C685)),"st","nd","rd","th"),"")</f>
        <v/>
      </c>
    </row>
    <row r="686" spans="4:12" x14ac:dyDescent="0.25">
      <c r="D686" s="201" t="str">
        <f t="shared" si="10"/>
        <v/>
      </c>
      <c r="L686" s="201" t="str">
        <f>IFERROR(COUNTIF($C$21:C686,C686)&amp;CHOOSE(MIN(4,COUNTIF($C$21:C686,C686)),"st","nd","rd","th"),"")</f>
        <v/>
      </c>
    </row>
    <row r="687" spans="4:12" x14ac:dyDescent="0.25">
      <c r="D687" s="201" t="str">
        <f t="shared" si="10"/>
        <v/>
      </c>
      <c r="L687" s="201" t="str">
        <f>IFERROR(COUNTIF($C$21:C687,C687)&amp;CHOOSE(MIN(4,COUNTIF($C$21:C687,C687)),"st","nd","rd","th"),"")</f>
        <v/>
      </c>
    </row>
    <row r="688" spans="4:12" x14ac:dyDescent="0.25">
      <c r="D688" s="201" t="str">
        <f t="shared" si="10"/>
        <v/>
      </c>
      <c r="L688" s="201" t="str">
        <f>IFERROR(COUNTIF($C$21:C688,C688)&amp;CHOOSE(MIN(4,COUNTIF($C$21:C688,C688)),"st","nd","rd","th"),"")</f>
        <v/>
      </c>
    </row>
    <row r="689" spans="4:12" x14ac:dyDescent="0.25">
      <c r="D689" s="201" t="str">
        <f t="shared" si="10"/>
        <v/>
      </c>
      <c r="L689" s="201" t="str">
        <f>IFERROR(COUNTIF($C$21:C689,C689)&amp;CHOOSE(MIN(4,COUNTIF($C$21:C689,C689)),"st","nd","rd","th"),"")</f>
        <v/>
      </c>
    </row>
    <row r="690" spans="4:12" x14ac:dyDescent="0.25">
      <c r="D690" s="201" t="str">
        <f t="shared" si="10"/>
        <v/>
      </c>
      <c r="L690" s="201" t="str">
        <f>IFERROR(COUNTIF($C$21:C690,C690)&amp;CHOOSE(MIN(4,COUNTIF($C$21:C690,C690)),"st","nd","rd","th"),"")</f>
        <v/>
      </c>
    </row>
    <row r="691" spans="4:12" x14ac:dyDescent="0.25">
      <c r="D691" s="201" t="str">
        <f t="shared" si="10"/>
        <v/>
      </c>
      <c r="L691" s="201" t="str">
        <f>IFERROR(COUNTIF($C$21:C691,C691)&amp;CHOOSE(MIN(4,COUNTIF($C$21:C691,C691)),"st","nd","rd","th"),"")</f>
        <v/>
      </c>
    </row>
    <row r="692" spans="4:12" x14ac:dyDescent="0.25">
      <c r="D692" s="201" t="str">
        <f t="shared" si="10"/>
        <v/>
      </c>
      <c r="L692" s="201" t="str">
        <f>IFERROR(COUNTIF($C$21:C692,C692)&amp;CHOOSE(MIN(4,COUNTIF($C$21:C692,C692)),"st","nd","rd","th"),"")</f>
        <v/>
      </c>
    </row>
    <row r="693" spans="4:12" x14ac:dyDescent="0.25">
      <c r="D693" s="201" t="str">
        <f t="shared" si="10"/>
        <v/>
      </c>
      <c r="L693" s="201" t="str">
        <f>IFERROR(COUNTIF($C$21:C693,C693)&amp;CHOOSE(MIN(4,COUNTIF($C$21:C693,C693)),"st","nd","rd","th"),"")</f>
        <v/>
      </c>
    </row>
    <row r="694" spans="4:12" x14ac:dyDescent="0.25">
      <c r="D694" s="201" t="str">
        <f t="shared" si="10"/>
        <v/>
      </c>
      <c r="L694" s="201" t="str">
        <f>IFERROR(COUNTIF($C$21:C694,C694)&amp;CHOOSE(MIN(4,COUNTIF($C$21:C694,C694)),"st","nd","rd","th"),"")</f>
        <v/>
      </c>
    </row>
    <row r="695" spans="4:12" x14ac:dyDescent="0.25">
      <c r="D695" s="201" t="str">
        <f t="shared" si="10"/>
        <v/>
      </c>
      <c r="L695" s="201" t="str">
        <f>IFERROR(COUNTIF($C$21:C695,C695)&amp;CHOOSE(MIN(4,COUNTIF($C$21:C695,C695)),"st","nd","rd","th"),"")</f>
        <v/>
      </c>
    </row>
    <row r="696" spans="4:12" x14ac:dyDescent="0.25">
      <c r="D696" s="201" t="str">
        <f t="shared" si="10"/>
        <v/>
      </c>
      <c r="L696" s="201" t="str">
        <f>IFERROR(COUNTIF($C$21:C696,C696)&amp;CHOOSE(MIN(4,COUNTIF($C$21:C696,C696)),"st","nd","rd","th"),"")</f>
        <v/>
      </c>
    </row>
    <row r="697" spans="4:12" x14ac:dyDescent="0.25">
      <c r="D697" s="201" t="str">
        <f t="shared" si="10"/>
        <v/>
      </c>
      <c r="L697" s="201" t="str">
        <f>IFERROR(COUNTIF($C$21:C697,C697)&amp;CHOOSE(MIN(4,COUNTIF($C$21:C697,C697)),"st","nd","rd","th"),"")</f>
        <v/>
      </c>
    </row>
    <row r="698" spans="4:12" x14ac:dyDescent="0.25">
      <c r="D698" s="201" t="str">
        <f t="shared" si="10"/>
        <v/>
      </c>
      <c r="L698" s="201" t="str">
        <f>IFERROR(COUNTIF($C$21:C698,C698)&amp;CHOOSE(MIN(4,COUNTIF($C$21:C698,C698)),"st","nd","rd","th"),"")</f>
        <v/>
      </c>
    </row>
    <row r="699" spans="4:12" x14ac:dyDescent="0.25">
      <c r="D699" s="201" t="str">
        <f t="shared" si="10"/>
        <v/>
      </c>
      <c r="L699" s="201" t="str">
        <f>IFERROR(COUNTIF($C$21:C699,C699)&amp;CHOOSE(MIN(4,COUNTIF($C$21:C699,C699)),"st","nd","rd","th"),"")</f>
        <v/>
      </c>
    </row>
    <row r="700" spans="4:12" x14ac:dyDescent="0.25">
      <c r="D700" s="201" t="str">
        <f t="shared" si="10"/>
        <v/>
      </c>
      <c r="L700" s="201" t="str">
        <f>IFERROR(COUNTIF($C$21:C700,C700)&amp;CHOOSE(MIN(4,COUNTIF($C$21:C700,C700)),"st","nd","rd","th"),"")</f>
        <v/>
      </c>
    </row>
    <row r="701" spans="4:12" x14ac:dyDescent="0.25">
      <c r="D701" s="201" t="str">
        <f t="shared" si="10"/>
        <v/>
      </c>
      <c r="L701" s="201" t="str">
        <f>IFERROR(COUNTIF($C$21:C701,C701)&amp;CHOOSE(MIN(4,COUNTIF($C$21:C701,C701)),"st","nd","rd","th"),"")</f>
        <v/>
      </c>
    </row>
    <row r="702" spans="4:12" x14ac:dyDescent="0.25">
      <c r="D702" s="201" t="str">
        <f t="shared" si="10"/>
        <v/>
      </c>
      <c r="L702" s="201" t="str">
        <f>IFERROR(COUNTIF($C$21:C702,C702)&amp;CHOOSE(MIN(4,COUNTIF($C$21:C702,C702)),"st","nd","rd","th"),"")</f>
        <v/>
      </c>
    </row>
    <row r="703" spans="4:12" x14ac:dyDescent="0.25">
      <c r="D703" s="201" t="str">
        <f t="shared" si="10"/>
        <v/>
      </c>
      <c r="L703" s="201" t="str">
        <f>IFERROR(COUNTIF($C$21:C703,C703)&amp;CHOOSE(MIN(4,COUNTIF($C$21:C703,C703)),"st","nd","rd","th"),"")</f>
        <v/>
      </c>
    </row>
    <row r="704" spans="4:12" x14ac:dyDescent="0.25">
      <c r="D704" s="201" t="str">
        <f t="shared" si="10"/>
        <v/>
      </c>
      <c r="L704" s="201" t="str">
        <f>IFERROR(COUNTIF($C$21:C704,C704)&amp;CHOOSE(MIN(4,COUNTIF($C$21:C704,C704)),"st","nd","rd","th"),"")</f>
        <v/>
      </c>
    </row>
    <row r="705" spans="4:12" x14ac:dyDescent="0.25">
      <c r="D705" s="201" t="str">
        <f t="shared" si="10"/>
        <v/>
      </c>
      <c r="L705" s="201" t="str">
        <f>IFERROR(COUNTIF($C$21:C705,C705)&amp;CHOOSE(MIN(4,COUNTIF($C$21:C705,C705)),"st","nd","rd","th"),"")</f>
        <v/>
      </c>
    </row>
    <row r="706" spans="4:12" x14ac:dyDescent="0.25">
      <c r="D706" s="201" t="str">
        <f t="shared" si="10"/>
        <v/>
      </c>
      <c r="L706" s="201" t="str">
        <f>IFERROR(COUNTIF($C$21:C706,C706)&amp;CHOOSE(MIN(4,COUNTIF($C$21:C706,C706)),"st","nd","rd","th"),"")</f>
        <v/>
      </c>
    </row>
    <row r="707" spans="4:12" x14ac:dyDescent="0.25">
      <c r="D707" s="201" t="str">
        <f t="shared" si="10"/>
        <v/>
      </c>
      <c r="L707" s="201" t="str">
        <f>IFERROR(COUNTIF($C$21:C707,C707)&amp;CHOOSE(MIN(4,COUNTIF($C$21:C707,C707)),"st","nd","rd","th"),"")</f>
        <v/>
      </c>
    </row>
    <row r="708" spans="4:12" x14ac:dyDescent="0.25">
      <c r="D708" s="201" t="str">
        <f t="shared" si="10"/>
        <v/>
      </c>
      <c r="L708" s="201" t="str">
        <f>IFERROR(COUNTIF($C$21:C708,C708)&amp;CHOOSE(MIN(4,COUNTIF($C$21:C708,C708)),"st","nd","rd","th"),"")</f>
        <v/>
      </c>
    </row>
    <row r="709" spans="4:12" x14ac:dyDescent="0.25">
      <c r="D709" s="201" t="str">
        <f t="shared" si="10"/>
        <v/>
      </c>
      <c r="L709" s="201" t="str">
        <f>IFERROR(COUNTIF($C$21:C709,C709)&amp;CHOOSE(MIN(4,COUNTIF($C$21:C709,C709)),"st","nd","rd","th"),"")</f>
        <v/>
      </c>
    </row>
    <row r="710" spans="4:12" x14ac:dyDescent="0.25">
      <c r="D710" s="201" t="str">
        <f t="shared" si="10"/>
        <v/>
      </c>
      <c r="L710" s="201" t="str">
        <f>IFERROR(COUNTIF($C$21:C710,C710)&amp;CHOOSE(MIN(4,COUNTIF($C$21:C710,C710)),"st","nd","rd","th"),"")</f>
        <v/>
      </c>
    </row>
    <row r="711" spans="4:12" x14ac:dyDescent="0.25">
      <c r="D711" s="201" t="str">
        <f t="shared" si="10"/>
        <v/>
      </c>
      <c r="L711" s="201" t="str">
        <f>IFERROR(COUNTIF($C$21:C711,C711)&amp;CHOOSE(MIN(4,COUNTIF($C$21:C711,C711)),"st","nd","rd","th"),"")</f>
        <v/>
      </c>
    </row>
    <row r="712" spans="4:12" x14ac:dyDescent="0.25">
      <c r="D712" s="201" t="str">
        <f t="shared" si="10"/>
        <v/>
      </c>
      <c r="L712" s="201" t="str">
        <f>IFERROR(COUNTIF($C$21:C712,C712)&amp;CHOOSE(MIN(4,COUNTIF($C$21:C712,C712)),"st","nd","rd","th"),"")</f>
        <v/>
      </c>
    </row>
    <row r="713" spans="4:12" x14ac:dyDescent="0.25">
      <c r="D713" s="201" t="str">
        <f t="shared" si="10"/>
        <v/>
      </c>
      <c r="L713" s="201" t="str">
        <f>IFERROR(COUNTIF($C$21:C713,C713)&amp;CHOOSE(MIN(4,COUNTIF($C$21:C713,C713)),"st","nd","rd","th"),"")</f>
        <v/>
      </c>
    </row>
    <row r="714" spans="4:12" x14ac:dyDescent="0.25">
      <c r="D714" s="201" t="str">
        <f t="shared" si="10"/>
        <v/>
      </c>
      <c r="L714" s="201" t="str">
        <f>IFERROR(COUNTIF($C$21:C714,C714)&amp;CHOOSE(MIN(4,COUNTIF($C$21:C714,C714)),"st","nd","rd","th"),"")</f>
        <v/>
      </c>
    </row>
    <row r="715" spans="4:12" x14ac:dyDescent="0.25">
      <c r="D715" s="201" t="str">
        <f t="shared" si="10"/>
        <v/>
      </c>
      <c r="L715" s="201" t="str">
        <f>IFERROR(COUNTIF($C$21:C715,C715)&amp;CHOOSE(MIN(4,COUNTIF($C$21:C715,C715)),"st","nd","rd","th"),"")</f>
        <v/>
      </c>
    </row>
    <row r="716" spans="4:12" x14ac:dyDescent="0.25">
      <c r="D716" s="201" t="str">
        <f t="shared" si="10"/>
        <v/>
      </c>
      <c r="L716" s="201" t="str">
        <f>IFERROR(COUNTIF($C$21:C716,C716)&amp;CHOOSE(MIN(4,COUNTIF($C$21:C716,C716)),"st","nd","rd","th"),"")</f>
        <v/>
      </c>
    </row>
    <row r="717" spans="4:12" x14ac:dyDescent="0.25">
      <c r="D717" s="201" t="str">
        <f t="shared" si="10"/>
        <v/>
      </c>
      <c r="L717" s="201" t="str">
        <f>IFERROR(COUNTIF($C$21:C717,C717)&amp;CHOOSE(MIN(4,COUNTIF($C$21:C717,C717)),"st","nd","rd","th"),"")</f>
        <v/>
      </c>
    </row>
    <row r="718" spans="4:12" x14ac:dyDescent="0.25">
      <c r="D718" s="201" t="str">
        <f t="shared" si="10"/>
        <v/>
      </c>
      <c r="L718" s="201" t="str">
        <f>IFERROR(COUNTIF($C$21:C718,C718)&amp;CHOOSE(MIN(4,COUNTIF($C$21:C718,C718)),"st","nd","rd","th"),"")</f>
        <v/>
      </c>
    </row>
    <row r="719" spans="4:12" x14ac:dyDescent="0.25">
      <c r="D719" s="201" t="str">
        <f t="shared" si="10"/>
        <v/>
      </c>
      <c r="L719" s="201" t="str">
        <f>IFERROR(COUNTIF($C$21:C719,C719)&amp;CHOOSE(MIN(4,COUNTIF($C$21:C719,C719)),"st","nd","rd","th"),"")</f>
        <v/>
      </c>
    </row>
    <row r="720" spans="4:12" x14ac:dyDescent="0.25">
      <c r="D720" s="201" t="str">
        <f t="shared" si="10"/>
        <v/>
      </c>
      <c r="L720" s="201" t="str">
        <f>IFERROR(COUNTIF($C$21:C720,C720)&amp;CHOOSE(MIN(4,COUNTIF($C$21:C720,C720)),"st","nd","rd","th"),"")</f>
        <v/>
      </c>
    </row>
    <row r="721" spans="4:12" x14ac:dyDescent="0.25">
      <c r="D721" s="201" t="str">
        <f t="shared" si="10"/>
        <v/>
      </c>
      <c r="L721" s="201" t="str">
        <f>IFERROR(COUNTIF($C$21:C721,C721)&amp;CHOOSE(MIN(4,COUNTIF($C$21:C721,C721)),"st","nd","rd","th"),"")</f>
        <v/>
      </c>
    </row>
    <row r="722" spans="4:12" x14ac:dyDescent="0.25">
      <c r="D722" s="201" t="str">
        <f t="shared" si="10"/>
        <v/>
      </c>
      <c r="L722" s="201" t="str">
        <f>IFERROR(COUNTIF($C$21:C722,C722)&amp;CHOOSE(MIN(4,COUNTIF($C$21:C722,C722)),"st","nd","rd","th"),"")</f>
        <v/>
      </c>
    </row>
    <row r="723" spans="4:12" x14ac:dyDescent="0.25">
      <c r="D723" s="201" t="str">
        <f t="shared" si="10"/>
        <v/>
      </c>
      <c r="L723" s="201" t="str">
        <f>IFERROR(COUNTIF($C$21:C723,C723)&amp;CHOOSE(MIN(4,COUNTIF($C$21:C723,C723)),"st","nd","rd","th"),"")</f>
        <v/>
      </c>
    </row>
    <row r="724" spans="4:12" x14ac:dyDescent="0.25">
      <c r="D724" s="201" t="str">
        <f t="shared" si="10"/>
        <v/>
      </c>
      <c r="L724" s="201" t="str">
        <f>IFERROR(COUNTIF($C$21:C724,C724)&amp;CHOOSE(MIN(4,COUNTIF($C$21:C724,C724)),"st","nd","rd","th"),"")</f>
        <v/>
      </c>
    </row>
    <row r="725" spans="4:12" x14ac:dyDescent="0.25">
      <c r="D725" s="201" t="str">
        <f t="shared" si="10"/>
        <v/>
      </c>
      <c r="L725" s="201" t="str">
        <f>IFERROR(COUNTIF($C$21:C725,C725)&amp;CHOOSE(MIN(4,COUNTIF($C$21:C725,C725)),"st","nd","rd","th"),"")</f>
        <v/>
      </c>
    </row>
    <row r="726" spans="4:12" x14ac:dyDescent="0.25">
      <c r="D726" s="201" t="str">
        <f t="shared" ref="D726:D789" si="11">IF(B726="","",IF(B726="Province_PLGU","PLGU","City / Municipality"))</f>
        <v/>
      </c>
      <c r="L726" s="201" t="str">
        <f>IFERROR(COUNTIF($C$21:C726,C726)&amp;CHOOSE(MIN(4,COUNTIF($C$21:C726,C726)),"st","nd","rd","th"),"")</f>
        <v/>
      </c>
    </row>
    <row r="727" spans="4:12" x14ac:dyDescent="0.25">
      <c r="D727" s="201" t="str">
        <f t="shared" si="11"/>
        <v/>
      </c>
      <c r="L727" s="201" t="str">
        <f>IFERROR(COUNTIF($C$21:C727,C727)&amp;CHOOSE(MIN(4,COUNTIF($C$21:C727,C727)),"st","nd","rd","th"),"")</f>
        <v/>
      </c>
    </row>
    <row r="728" spans="4:12" x14ac:dyDescent="0.25">
      <c r="D728" s="201" t="str">
        <f t="shared" si="11"/>
        <v/>
      </c>
      <c r="L728" s="201" t="str">
        <f>IFERROR(COUNTIF($C$21:C728,C728)&amp;CHOOSE(MIN(4,COUNTIF($C$21:C728,C728)),"st","nd","rd","th"),"")</f>
        <v/>
      </c>
    </row>
    <row r="729" spans="4:12" x14ac:dyDescent="0.25">
      <c r="D729" s="201" t="str">
        <f t="shared" si="11"/>
        <v/>
      </c>
      <c r="L729" s="201" t="str">
        <f>IFERROR(COUNTIF($C$21:C729,C729)&amp;CHOOSE(MIN(4,COUNTIF($C$21:C729,C729)),"st","nd","rd","th"),"")</f>
        <v/>
      </c>
    </row>
    <row r="730" spans="4:12" x14ac:dyDescent="0.25">
      <c r="D730" s="201" t="str">
        <f t="shared" si="11"/>
        <v/>
      </c>
      <c r="L730" s="201" t="str">
        <f>IFERROR(COUNTIF($C$21:C730,C730)&amp;CHOOSE(MIN(4,COUNTIF($C$21:C730,C730)),"st","nd","rd","th"),"")</f>
        <v/>
      </c>
    </row>
    <row r="731" spans="4:12" x14ac:dyDescent="0.25">
      <c r="D731" s="201" t="str">
        <f t="shared" si="11"/>
        <v/>
      </c>
      <c r="L731" s="201" t="str">
        <f>IFERROR(COUNTIF($C$21:C731,C731)&amp;CHOOSE(MIN(4,COUNTIF($C$21:C731,C731)),"st","nd","rd","th"),"")</f>
        <v/>
      </c>
    </row>
    <row r="732" spans="4:12" x14ac:dyDescent="0.25">
      <c r="D732" s="201" t="str">
        <f t="shared" si="11"/>
        <v/>
      </c>
      <c r="L732" s="201" t="str">
        <f>IFERROR(COUNTIF($C$21:C732,C732)&amp;CHOOSE(MIN(4,COUNTIF($C$21:C732,C732)),"st","nd","rd","th"),"")</f>
        <v/>
      </c>
    </row>
    <row r="733" spans="4:12" x14ac:dyDescent="0.25">
      <c r="D733" s="201" t="str">
        <f t="shared" si="11"/>
        <v/>
      </c>
      <c r="L733" s="201" t="str">
        <f>IFERROR(COUNTIF($C$21:C733,C733)&amp;CHOOSE(MIN(4,COUNTIF($C$21:C733,C733)),"st","nd","rd","th"),"")</f>
        <v/>
      </c>
    </row>
    <row r="734" spans="4:12" x14ac:dyDescent="0.25">
      <c r="D734" s="201" t="str">
        <f t="shared" si="11"/>
        <v/>
      </c>
      <c r="L734" s="201" t="str">
        <f>IFERROR(COUNTIF($C$21:C734,C734)&amp;CHOOSE(MIN(4,COUNTIF($C$21:C734,C734)),"st","nd","rd","th"),"")</f>
        <v/>
      </c>
    </row>
    <row r="735" spans="4:12" x14ac:dyDescent="0.25">
      <c r="D735" s="201" t="str">
        <f t="shared" si="11"/>
        <v/>
      </c>
      <c r="L735" s="201" t="str">
        <f>IFERROR(COUNTIF($C$21:C735,C735)&amp;CHOOSE(MIN(4,COUNTIF($C$21:C735,C735)),"st","nd","rd","th"),"")</f>
        <v/>
      </c>
    </row>
    <row r="736" spans="4:12" x14ac:dyDescent="0.25">
      <c r="D736" s="201" t="str">
        <f t="shared" si="11"/>
        <v/>
      </c>
      <c r="L736" s="201" t="str">
        <f>IFERROR(COUNTIF($C$21:C736,C736)&amp;CHOOSE(MIN(4,COUNTIF($C$21:C736,C736)),"st","nd","rd","th"),"")</f>
        <v/>
      </c>
    </row>
    <row r="737" spans="4:12" x14ac:dyDescent="0.25">
      <c r="D737" s="201" t="str">
        <f t="shared" si="11"/>
        <v/>
      </c>
      <c r="L737" s="201" t="str">
        <f>IFERROR(COUNTIF($C$21:C737,C737)&amp;CHOOSE(MIN(4,COUNTIF($C$21:C737,C737)),"st","nd","rd","th"),"")</f>
        <v/>
      </c>
    </row>
    <row r="738" spans="4:12" x14ac:dyDescent="0.25">
      <c r="D738" s="201" t="str">
        <f t="shared" si="11"/>
        <v/>
      </c>
      <c r="L738" s="201" t="str">
        <f>IFERROR(COUNTIF($C$21:C738,C738)&amp;CHOOSE(MIN(4,COUNTIF($C$21:C738,C738)),"st","nd","rd","th"),"")</f>
        <v/>
      </c>
    </row>
    <row r="739" spans="4:12" x14ac:dyDescent="0.25">
      <c r="D739" s="201" t="str">
        <f t="shared" si="11"/>
        <v/>
      </c>
      <c r="L739" s="201" t="str">
        <f>IFERROR(COUNTIF($C$21:C739,C739)&amp;CHOOSE(MIN(4,COUNTIF($C$21:C739,C739)),"st","nd","rd","th"),"")</f>
        <v/>
      </c>
    </row>
    <row r="740" spans="4:12" x14ac:dyDescent="0.25">
      <c r="D740" s="201" t="str">
        <f t="shared" si="11"/>
        <v/>
      </c>
      <c r="L740" s="201" t="str">
        <f>IFERROR(COUNTIF($C$21:C740,C740)&amp;CHOOSE(MIN(4,COUNTIF($C$21:C740,C740)),"st","nd","rd","th"),"")</f>
        <v/>
      </c>
    </row>
    <row r="741" spans="4:12" x14ac:dyDescent="0.25">
      <c r="D741" s="201" t="str">
        <f t="shared" si="11"/>
        <v/>
      </c>
      <c r="L741" s="201" t="str">
        <f>IFERROR(COUNTIF($C$21:C741,C741)&amp;CHOOSE(MIN(4,COUNTIF($C$21:C741,C741)),"st","nd","rd","th"),"")</f>
        <v/>
      </c>
    </row>
    <row r="742" spans="4:12" x14ac:dyDescent="0.25">
      <c r="D742" s="201" t="str">
        <f t="shared" si="11"/>
        <v/>
      </c>
      <c r="L742" s="201" t="str">
        <f>IFERROR(COUNTIF($C$21:C742,C742)&amp;CHOOSE(MIN(4,COUNTIF($C$21:C742,C742)),"st","nd","rd","th"),"")</f>
        <v/>
      </c>
    </row>
    <row r="743" spans="4:12" x14ac:dyDescent="0.25">
      <c r="D743" s="201" t="str">
        <f t="shared" si="11"/>
        <v/>
      </c>
      <c r="L743" s="201" t="str">
        <f>IFERROR(COUNTIF($C$21:C743,C743)&amp;CHOOSE(MIN(4,COUNTIF($C$21:C743,C743)),"st","nd","rd","th"),"")</f>
        <v/>
      </c>
    </row>
    <row r="744" spans="4:12" x14ac:dyDescent="0.25">
      <c r="D744" s="201" t="str">
        <f t="shared" si="11"/>
        <v/>
      </c>
      <c r="L744" s="201" t="str">
        <f>IFERROR(COUNTIF($C$21:C744,C744)&amp;CHOOSE(MIN(4,COUNTIF($C$21:C744,C744)),"st","nd","rd","th"),"")</f>
        <v/>
      </c>
    </row>
    <row r="745" spans="4:12" x14ac:dyDescent="0.25">
      <c r="D745" s="201" t="str">
        <f t="shared" si="11"/>
        <v/>
      </c>
      <c r="L745" s="201" t="str">
        <f>IFERROR(COUNTIF($C$21:C745,C745)&amp;CHOOSE(MIN(4,COUNTIF($C$21:C745,C745)),"st","nd","rd","th"),"")</f>
        <v/>
      </c>
    </row>
    <row r="746" spans="4:12" x14ac:dyDescent="0.25">
      <c r="D746" s="201" t="str">
        <f t="shared" si="11"/>
        <v/>
      </c>
      <c r="L746" s="201" t="str">
        <f>IFERROR(COUNTIF($C$21:C746,C746)&amp;CHOOSE(MIN(4,COUNTIF($C$21:C746,C746)),"st","nd","rd","th"),"")</f>
        <v/>
      </c>
    </row>
    <row r="747" spans="4:12" x14ac:dyDescent="0.25">
      <c r="D747" s="201" t="str">
        <f t="shared" si="11"/>
        <v/>
      </c>
      <c r="L747" s="201" t="str">
        <f>IFERROR(COUNTIF($C$21:C747,C747)&amp;CHOOSE(MIN(4,COUNTIF($C$21:C747,C747)),"st","nd","rd","th"),"")</f>
        <v/>
      </c>
    </row>
    <row r="748" spans="4:12" x14ac:dyDescent="0.25">
      <c r="D748" s="201" t="str">
        <f t="shared" si="11"/>
        <v/>
      </c>
      <c r="L748" s="201" t="str">
        <f>IFERROR(COUNTIF($C$21:C748,C748)&amp;CHOOSE(MIN(4,COUNTIF($C$21:C748,C748)),"st","nd","rd","th"),"")</f>
        <v/>
      </c>
    </row>
    <row r="749" spans="4:12" x14ac:dyDescent="0.25">
      <c r="D749" s="201" t="str">
        <f t="shared" si="11"/>
        <v/>
      </c>
      <c r="L749" s="201" t="str">
        <f>IFERROR(COUNTIF($C$21:C749,C749)&amp;CHOOSE(MIN(4,COUNTIF($C$21:C749,C749)),"st","nd","rd","th"),"")</f>
        <v/>
      </c>
    </row>
    <row r="750" spans="4:12" x14ac:dyDescent="0.25">
      <c r="D750" s="201" t="str">
        <f t="shared" si="11"/>
        <v/>
      </c>
      <c r="L750" s="201" t="str">
        <f>IFERROR(COUNTIF($C$21:C750,C750)&amp;CHOOSE(MIN(4,COUNTIF($C$21:C750,C750)),"st","nd","rd","th"),"")</f>
        <v/>
      </c>
    </row>
    <row r="751" spans="4:12" x14ac:dyDescent="0.25">
      <c r="D751" s="201" t="str">
        <f t="shared" si="11"/>
        <v/>
      </c>
      <c r="L751" s="201" t="str">
        <f>IFERROR(COUNTIF($C$21:C751,C751)&amp;CHOOSE(MIN(4,COUNTIF($C$21:C751,C751)),"st","nd","rd","th"),"")</f>
        <v/>
      </c>
    </row>
    <row r="752" spans="4:12" x14ac:dyDescent="0.25">
      <c r="D752" s="201" t="str">
        <f t="shared" si="11"/>
        <v/>
      </c>
      <c r="L752" s="201" t="str">
        <f>IFERROR(COUNTIF($C$21:C752,C752)&amp;CHOOSE(MIN(4,COUNTIF($C$21:C752,C752)),"st","nd","rd","th"),"")</f>
        <v/>
      </c>
    </row>
    <row r="753" spans="4:12" x14ac:dyDescent="0.25">
      <c r="D753" s="201" t="str">
        <f t="shared" si="11"/>
        <v/>
      </c>
      <c r="L753" s="201" t="str">
        <f>IFERROR(COUNTIF($C$21:C753,C753)&amp;CHOOSE(MIN(4,COUNTIF($C$21:C753,C753)),"st","nd","rd","th"),"")</f>
        <v/>
      </c>
    </row>
    <row r="754" spans="4:12" x14ac:dyDescent="0.25">
      <c r="D754" s="201" t="str">
        <f t="shared" si="11"/>
        <v/>
      </c>
      <c r="L754" s="201" t="str">
        <f>IFERROR(COUNTIF($C$21:C754,C754)&amp;CHOOSE(MIN(4,COUNTIF($C$21:C754,C754)),"st","nd","rd","th"),"")</f>
        <v/>
      </c>
    </row>
    <row r="755" spans="4:12" x14ac:dyDescent="0.25">
      <c r="D755" s="201" t="str">
        <f t="shared" si="11"/>
        <v/>
      </c>
      <c r="L755" s="201" t="str">
        <f>IFERROR(COUNTIF($C$21:C755,C755)&amp;CHOOSE(MIN(4,COUNTIF($C$21:C755,C755)),"st","nd","rd","th"),"")</f>
        <v/>
      </c>
    </row>
    <row r="756" spans="4:12" x14ac:dyDescent="0.25">
      <c r="D756" s="201" t="str">
        <f t="shared" si="11"/>
        <v/>
      </c>
      <c r="L756" s="201" t="str">
        <f>IFERROR(COUNTIF($C$21:C756,C756)&amp;CHOOSE(MIN(4,COUNTIF($C$21:C756,C756)),"st","nd","rd","th"),"")</f>
        <v/>
      </c>
    </row>
    <row r="757" spans="4:12" x14ac:dyDescent="0.25">
      <c r="D757" s="201" t="str">
        <f t="shared" si="11"/>
        <v/>
      </c>
      <c r="L757" s="201" t="str">
        <f>IFERROR(COUNTIF($C$21:C757,C757)&amp;CHOOSE(MIN(4,COUNTIF($C$21:C757,C757)),"st","nd","rd","th"),"")</f>
        <v/>
      </c>
    </row>
    <row r="758" spans="4:12" x14ac:dyDescent="0.25">
      <c r="D758" s="201" t="str">
        <f t="shared" si="11"/>
        <v/>
      </c>
      <c r="L758" s="201" t="str">
        <f>IFERROR(COUNTIF($C$21:C758,C758)&amp;CHOOSE(MIN(4,COUNTIF($C$21:C758,C758)),"st","nd","rd","th"),"")</f>
        <v/>
      </c>
    </row>
    <row r="759" spans="4:12" x14ac:dyDescent="0.25">
      <c r="D759" s="201" t="str">
        <f t="shared" si="11"/>
        <v/>
      </c>
      <c r="L759" s="201" t="str">
        <f>IFERROR(COUNTIF($C$21:C759,C759)&amp;CHOOSE(MIN(4,COUNTIF($C$21:C759,C759)),"st","nd","rd","th"),"")</f>
        <v/>
      </c>
    </row>
    <row r="760" spans="4:12" x14ac:dyDescent="0.25">
      <c r="D760" s="201" t="str">
        <f t="shared" si="11"/>
        <v/>
      </c>
      <c r="L760" s="201" t="str">
        <f>IFERROR(COUNTIF($C$21:C760,C760)&amp;CHOOSE(MIN(4,COUNTIF($C$21:C760,C760)),"st","nd","rd","th"),"")</f>
        <v/>
      </c>
    </row>
    <row r="761" spans="4:12" x14ac:dyDescent="0.25">
      <c r="D761" s="201" t="str">
        <f t="shared" si="11"/>
        <v/>
      </c>
      <c r="L761" s="201" t="str">
        <f>IFERROR(COUNTIF($C$21:C761,C761)&amp;CHOOSE(MIN(4,COUNTIF($C$21:C761,C761)),"st","nd","rd","th"),"")</f>
        <v/>
      </c>
    </row>
    <row r="762" spans="4:12" x14ac:dyDescent="0.25">
      <c r="D762" s="201" t="str">
        <f t="shared" si="11"/>
        <v/>
      </c>
      <c r="L762" s="201" t="str">
        <f>IFERROR(COUNTIF($C$21:C762,C762)&amp;CHOOSE(MIN(4,COUNTIF($C$21:C762,C762)),"st","nd","rd","th"),"")</f>
        <v/>
      </c>
    </row>
    <row r="763" spans="4:12" x14ac:dyDescent="0.25">
      <c r="D763" s="201" t="str">
        <f t="shared" si="11"/>
        <v/>
      </c>
      <c r="L763" s="201" t="str">
        <f>IFERROR(COUNTIF($C$21:C763,C763)&amp;CHOOSE(MIN(4,COUNTIF($C$21:C763,C763)),"st","nd","rd","th"),"")</f>
        <v/>
      </c>
    </row>
    <row r="764" spans="4:12" x14ac:dyDescent="0.25">
      <c r="D764" s="201" t="str">
        <f t="shared" si="11"/>
        <v/>
      </c>
      <c r="L764" s="201" t="str">
        <f>IFERROR(COUNTIF($C$21:C764,C764)&amp;CHOOSE(MIN(4,COUNTIF($C$21:C764,C764)),"st","nd","rd","th"),"")</f>
        <v/>
      </c>
    </row>
    <row r="765" spans="4:12" x14ac:dyDescent="0.25">
      <c r="D765" s="201" t="str">
        <f t="shared" si="11"/>
        <v/>
      </c>
      <c r="L765" s="201" t="str">
        <f>IFERROR(COUNTIF($C$21:C765,C765)&amp;CHOOSE(MIN(4,COUNTIF($C$21:C765,C765)),"st","nd","rd","th"),"")</f>
        <v/>
      </c>
    </row>
    <row r="766" spans="4:12" x14ac:dyDescent="0.25">
      <c r="D766" s="201" t="str">
        <f t="shared" si="11"/>
        <v/>
      </c>
      <c r="L766" s="201" t="str">
        <f>IFERROR(COUNTIF($C$21:C766,C766)&amp;CHOOSE(MIN(4,COUNTIF($C$21:C766,C766)),"st","nd","rd","th"),"")</f>
        <v/>
      </c>
    </row>
    <row r="767" spans="4:12" x14ac:dyDescent="0.25">
      <c r="D767" s="201" t="str">
        <f t="shared" si="11"/>
        <v/>
      </c>
      <c r="L767" s="201" t="str">
        <f>IFERROR(COUNTIF($C$21:C767,C767)&amp;CHOOSE(MIN(4,COUNTIF($C$21:C767,C767)),"st","nd","rd","th"),"")</f>
        <v/>
      </c>
    </row>
    <row r="768" spans="4:12" x14ac:dyDescent="0.25">
      <c r="D768" s="201" t="str">
        <f t="shared" si="11"/>
        <v/>
      </c>
      <c r="L768" s="201" t="str">
        <f>IFERROR(COUNTIF($C$21:C768,C768)&amp;CHOOSE(MIN(4,COUNTIF($C$21:C768,C768)),"st","nd","rd","th"),"")</f>
        <v/>
      </c>
    </row>
    <row r="769" spans="4:12" x14ac:dyDescent="0.25">
      <c r="D769" s="201" t="str">
        <f t="shared" si="11"/>
        <v/>
      </c>
      <c r="L769" s="201" t="str">
        <f>IFERROR(COUNTIF($C$21:C769,C769)&amp;CHOOSE(MIN(4,COUNTIF($C$21:C769,C769)),"st","nd","rd","th"),"")</f>
        <v/>
      </c>
    </row>
    <row r="770" spans="4:12" x14ac:dyDescent="0.25">
      <c r="D770" s="201" t="str">
        <f t="shared" si="11"/>
        <v/>
      </c>
      <c r="L770" s="201" t="str">
        <f>IFERROR(COUNTIF($C$21:C770,C770)&amp;CHOOSE(MIN(4,COUNTIF($C$21:C770,C770)),"st","nd","rd","th"),"")</f>
        <v/>
      </c>
    </row>
    <row r="771" spans="4:12" x14ac:dyDescent="0.25">
      <c r="D771" s="201" t="str">
        <f t="shared" si="11"/>
        <v/>
      </c>
      <c r="L771" s="201" t="str">
        <f>IFERROR(COUNTIF($C$21:C771,C771)&amp;CHOOSE(MIN(4,COUNTIF($C$21:C771,C771)),"st","nd","rd","th"),"")</f>
        <v/>
      </c>
    </row>
    <row r="772" spans="4:12" x14ac:dyDescent="0.25">
      <c r="D772" s="201" t="str">
        <f t="shared" si="11"/>
        <v/>
      </c>
      <c r="L772" s="201" t="str">
        <f>IFERROR(COUNTIF($C$21:C772,C772)&amp;CHOOSE(MIN(4,COUNTIF($C$21:C772,C772)),"st","nd","rd","th"),"")</f>
        <v/>
      </c>
    </row>
    <row r="773" spans="4:12" x14ac:dyDescent="0.25">
      <c r="D773" s="201" t="str">
        <f t="shared" si="11"/>
        <v/>
      </c>
      <c r="L773" s="201" t="str">
        <f>IFERROR(COUNTIF($C$21:C773,C773)&amp;CHOOSE(MIN(4,COUNTIF($C$21:C773,C773)),"st","nd","rd","th"),"")</f>
        <v/>
      </c>
    </row>
    <row r="774" spans="4:12" x14ac:dyDescent="0.25">
      <c r="D774" s="201" t="str">
        <f t="shared" si="11"/>
        <v/>
      </c>
      <c r="L774" s="201" t="str">
        <f>IFERROR(COUNTIF($C$21:C774,C774)&amp;CHOOSE(MIN(4,COUNTIF($C$21:C774,C774)),"st","nd","rd","th"),"")</f>
        <v/>
      </c>
    </row>
    <row r="775" spans="4:12" x14ac:dyDescent="0.25">
      <c r="D775" s="201" t="str">
        <f t="shared" si="11"/>
        <v/>
      </c>
      <c r="L775" s="201" t="str">
        <f>IFERROR(COUNTIF($C$21:C775,C775)&amp;CHOOSE(MIN(4,COUNTIF($C$21:C775,C775)),"st","nd","rd","th"),"")</f>
        <v/>
      </c>
    </row>
    <row r="776" spans="4:12" x14ac:dyDescent="0.25">
      <c r="D776" s="201" t="str">
        <f t="shared" si="11"/>
        <v/>
      </c>
      <c r="L776" s="201" t="str">
        <f>IFERROR(COUNTIF($C$21:C776,C776)&amp;CHOOSE(MIN(4,COUNTIF($C$21:C776,C776)),"st","nd","rd","th"),"")</f>
        <v/>
      </c>
    </row>
    <row r="777" spans="4:12" x14ac:dyDescent="0.25">
      <c r="D777" s="201" t="str">
        <f t="shared" si="11"/>
        <v/>
      </c>
      <c r="L777" s="201" t="str">
        <f>IFERROR(COUNTIF($C$21:C777,C777)&amp;CHOOSE(MIN(4,COUNTIF($C$21:C777,C777)),"st","nd","rd","th"),"")</f>
        <v/>
      </c>
    </row>
    <row r="778" spans="4:12" x14ac:dyDescent="0.25">
      <c r="D778" s="201" t="str">
        <f t="shared" si="11"/>
        <v/>
      </c>
      <c r="L778" s="201" t="str">
        <f>IFERROR(COUNTIF($C$21:C778,C778)&amp;CHOOSE(MIN(4,COUNTIF($C$21:C778,C778)),"st","nd","rd","th"),"")</f>
        <v/>
      </c>
    </row>
    <row r="779" spans="4:12" x14ac:dyDescent="0.25">
      <c r="D779" s="201" t="str">
        <f t="shared" si="11"/>
        <v/>
      </c>
      <c r="L779" s="201" t="str">
        <f>IFERROR(COUNTIF($C$21:C779,C779)&amp;CHOOSE(MIN(4,COUNTIF($C$21:C779,C779)),"st","nd","rd","th"),"")</f>
        <v/>
      </c>
    </row>
    <row r="780" spans="4:12" x14ac:dyDescent="0.25">
      <c r="D780" s="201" t="str">
        <f t="shared" si="11"/>
        <v/>
      </c>
      <c r="L780" s="201" t="str">
        <f>IFERROR(COUNTIF($C$21:C780,C780)&amp;CHOOSE(MIN(4,COUNTIF($C$21:C780,C780)),"st","nd","rd","th"),"")</f>
        <v/>
      </c>
    </row>
    <row r="781" spans="4:12" x14ac:dyDescent="0.25">
      <c r="D781" s="201" t="str">
        <f t="shared" si="11"/>
        <v/>
      </c>
      <c r="L781" s="201" t="str">
        <f>IFERROR(COUNTIF($C$21:C781,C781)&amp;CHOOSE(MIN(4,COUNTIF($C$21:C781,C781)),"st","nd","rd","th"),"")</f>
        <v/>
      </c>
    </row>
    <row r="782" spans="4:12" x14ac:dyDescent="0.25">
      <c r="D782" s="201" t="str">
        <f t="shared" si="11"/>
        <v/>
      </c>
      <c r="L782" s="201" t="str">
        <f>IFERROR(COUNTIF($C$21:C782,C782)&amp;CHOOSE(MIN(4,COUNTIF($C$21:C782,C782)),"st","nd","rd","th"),"")</f>
        <v/>
      </c>
    </row>
    <row r="783" spans="4:12" x14ac:dyDescent="0.25">
      <c r="D783" s="201" t="str">
        <f t="shared" si="11"/>
        <v/>
      </c>
      <c r="L783" s="201" t="str">
        <f>IFERROR(COUNTIF($C$21:C783,C783)&amp;CHOOSE(MIN(4,COUNTIF($C$21:C783,C783)),"st","nd","rd","th"),"")</f>
        <v/>
      </c>
    </row>
    <row r="784" spans="4:12" x14ac:dyDescent="0.25">
      <c r="D784" s="201" t="str">
        <f t="shared" si="11"/>
        <v/>
      </c>
      <c r="L784" s="201" t="str">
        <f>IFERROR(COUNTIF($C$21:C784,C784)&amp;CHOOSE(MIN(4,COUNTIF($C$21:C784,C784)),"st","nd","rd","th"),"")</f>
        <v/>
      </c>
    </row>
    <row r="785" spans="4:12" x14ac:dyDescent="0.25">
      <c r="D785" s="201" t="str">
        <f t="shared" si="11"/>
        <v/>
      </c>
      <c r="L785" s="201" t="str">
        <f>IFERROR(COUNTIF($C$21:C785,C785)&amp;CHOOSE(MIN(4,COUNTIF($C$21:C785,C785)),"st","nd","rd","th"),"")</f>
        <v/>
      </c>
    </row>
    <row r="786" spans="4:12" x14ac:dyDescent="0.25">
      <c r="D786" s="201" t="str">
        <f t="shared" si="11"/>
        <v/>
      </c>
      <c r="L786" s="201" t="str">
        <f>IFERROR(COUNTIF($C$21:C786,C786)&amp;CHOOSE(MIN(4,COUNTIF($C$21:C786,C786)),"st","nd","rd","th"),"")</f>
        <v/>
      </c>
    </row>
    <row r="787" spans="4:12" x14ac:dyDescent="0.25">
      <c r="D787" s="201" t="str">
        <f t="shared" si="11"/>
        <v/>
      </c>
      <c r="L787" s="201" t="str">
        <f>IFERROR(COUNTIF($C$21:C787,C787)&amp;CHOOSE(MIN(4,COUNTIF($C$21:C787,C787)),"st","nd","rd","th"),"")</f>
        <v/>
      </c>
    </row>
    <row r="788" spans="4:12" x14ac:dyDescent="0.25">
      <c r="D788" s="201" t="str">
        <f t="shared" si="11"/>
        <v/>
      </c>
      <c r="L788" s="201" t="str">
        <f>IFERROR(COUNTIF($C$21:C788,C788)&amp;CHOOSE(MIN(4,COUNTIF($C$21:C788,C788)),"st","nd","rd","th"),"")</f>
        <v/>
      </c>
    </row>
    <row r="789" spans="4:12" x14ac:dyDescent="0.25">
      <c r="D789" s="201" t="str">
        <f t="shared" si="11"/>
        <v/>
      </c>
      <c r="L789" s="201" t="str">
        <f>IFERROR(COUNTIF($C$21:C789,C789)&amp;CHOOSE(MIN(4,COUNTIF($C$21:C789,C789)),"st","nd","rd","th"),"")</f>
        <v/>
      </c>
    </row>
    <row r="790" spans="4:12" x14ac:dyDescent="0.25">
      <c r="D790" s="201" t="str">
        <f t="shared" ref="D790:D853" si="12">IF(B790="","",IF(B790="Province_PLGU","PLGU","City / Municipality"))</f>
        <v/>
      </c>
      <c r="L790" s="201" t="str">
        <f>IFERROR(COUNTIF($C$21:C790,C790)&amp;CHOOSE(MIN(4,COUNTIF($C$21:C790,C790)),"st","nd","rd","th"),"")</f>
        <v/>
      </c>
    </row>
    <row r="791" spans="4:12" x14ac:dyDescent="0.25">
      <c r="D791" s="201" t="str">
        <f t="shared" si="12"/>
        <v/>
      </c>
      <c r="L791" s="201" t="str">
        <f>IFERROR(COUNTIF($C$21:C791,C791)&amp;CHOOSE(MIN(4,COUNTIF($C$21:C791,C791)),"st","nd","rd","th"),"")</f>
        <v/>
      </c>
    </row>
    <row r="792" spans="4:12" x14ac:dyDescent="0.25">
      <c r="D792" s="201" t="str">
        <f t="shared" si="12"/>
        <v/>
      </c>
      <c r="L792" s="201" t="str">
        <f>IFERROR(COUNTIF($C$21:C792,C792)&amp;CHOOSE(MIN(4,COUNTIF($C$21:C792,C792)),"st","nd","rd","th"),"")</f>
        <v/>
      </c>
    </row>
    <row r="793" spans="4:12" x14ac:dyDescent="0.25">
      <c r="D793" s="201" t="str">
        <f t="shared" si="12"/>
        <v/>
      </c>
      <c r="L793" s="201" t="str">
        <f>IFERROR(COUNTIF($C$21:C793,C793)&amp;CHOOSE(MIN(4,COUNTIF($C$21:C793,C793)),"st","nd","rd","th"),"")</f>
        <v/>
      </c>
    </row>
    <row r="794" spans="4:12" x14ac:dyDescent="0.25">
      <c r="D794" s="201" t="str">
        <f t="shared" si="12"/>
        <v/>
      </c>
      <c r="L794" s="201" t="str">
        <f>IFERROR(COUNTIF($C$21:C794,C794)&amp;CHOOSE(MIN(4,COUNTIF($C$21:C794,C794)),"st","nd","rd","th"),"")</f>
        <v/>
      </c>
    </row>
    <row r="795" spans="4:12" x14ac:dyDescent="0.25">
      <c r="D795" s="201" t="str">
        <f t="shared" si="12"/>
        <v/>
      </c>
      <c r="L795" s="201" t="str">
        <f>IFERROR(COUNTIF($C$21:C795,C795)&amp;CHOOSE(MIN(4,COUNTIF($C$21:C795,C795)),"st","nd","rd","th"),"")</f>
        <v/>
      </c>
    </row>
    <row r="796" spans="4:12" x14ac:dyDescent="0.25">
      <c r="D796" s="201" t="str">
        <f t="shared" si="12"/>
        <v/>
      </c>
      <c r="L796" s="201" t="str">
        <f>IFERROR(COUNTIF($C$21:C796,C796)&amp;CHOOSE(MIN(4,COUNTIF($C$21:C796,C796)),"st","nd","rd","th"),"")</f>
        <v/>
      </c>
    </row>
    <row r="797" spans="4:12" x14ac:dyDescent="0.25">
      <c r="D797" s="201" t="str">
        <f t="shared" si="12"/>
        <v/>
      </c>
      <c r="L797" s="201" t="str">
        <f>IFERROR(COUNTIF($C$21:C797,C797)&amp;CHOOSE(MIN(4,COUNTIF($C$21:C797,C797)),"st","nd","rd","th"),"")</f>
        <v/>
      </c>
    </row>
    <row r="798" spans="4:12" x14ac:dyDescent="0.25">
      <c r="D798" s="201" t="str">
        <f t="shared" si="12"/>
        <v/>
      </c>
      <c r="L798" s="201" t="str">
        <f>IFERROR(COUNTIF($C$21:C798,C798)&amp;CHOOSE(MIN(4,COUNTIF($C$21:C798,C798)),"st","nd","rd","th"),"")</f>
        <v/>
      </c>
    </row>
    <row r="799" spans="4:12" x14ac:dyDescent="0.25">
      <c r="D799" s="201" t="str">
        <f t="shared" si="12"/>
        <v/>
      </c>
      <c r="L799" s="201" t="str">
        <f>IFERROR(COUNTIF($C$21:C799,C799)&amp;CHOOSE(MIN(4,COUNTIF($C$21:C799,C799)),"st","nd","rd","th"),"")</f>
        <v/>
      </c>
    </row>
    <row r="800" spans="4:12" x14ac:dyDescent="0.25">
      <c r="D800" s="201" t="str">
        <f t="shared" si="12"/>
        <v/>
      </c>
      <c r="L800" s="201" t="str">
        <f>IFERROR(COUNTIF($C$21:C800,C800)&amp;CHOOSE(MIN(4,COUNTIF($C$21:C800,C800)),"st","nd","rd","th"),"")</f>
        <v/>
      </c>
    </row>
    <row r="801" spans="4:12" x14ac:dyDescent="0.25">
      <c r="D801" s="201" t="str">
        <f t="shared" si="12"/>
        <v/>
      </c>
      <c r="L801" s="201" t="str">
        <f>IFERROR(COUNTIF($C$21:C801,C801)&amp;CHOOSE(MIN(4,COUNTIF($C$21:C801,C801)),"st","nd","rd","th"),"")</f>
        <v/>
      </c>
    </row>
    <row r="802" spans="4:12" x14ac:dyDescent="0.25">
      <c r="D802" s="201" t="str">
        <f t="shared" si="12"/>
        <v/>
      </c>
      <c r="L802" s="201" t="str">
        <f>IFERROR(COUNTIF($C$21:C802,C802)&amp;CHOOSE(MIN(4,COUNTIF($C$21:C802,C802)),"st","nd","rd","th"),"")</f>
        <v/>
      </c>
    </row>
    <row r="803" spans="4:12" x14ac:dyDescent="0.25">
      <c r="D803" s="201" t="str">
        <f t="shared" si="12"/>
        <v/>
      </c>
      <c r="L803" s="201" t="str">
        <f>IFERROR(COUNTIF($C$21:C803,C803)&amp;CHOOSE(MIN(4,COUNTIF($C$21:C803,C803)),"st","nd","rd","th"),"")</f>
        <v/>
      </c>
    </row>
    <row r="804" spans="4:12" x14ac:dyDescent="0.25">
      <c r="D804" s="201" t="str">
        <f t="shared" si="12"/>
        <v/>
      </c>
      <c r="L804" s="201" t="str">
        <f>IFERROR(COUNTIF($C$21:C804,C804)&amp;CHOOSE(MIN(4,COUNTIF($C$21:C804,C804)),"st","nd","rd","th"),"")</f>
        <v/>
      </c>
    </row>
    <row r="805" spans="4:12" x14ac:dyDescent="0.25">
      <c r="D805" s="201" t="str">
        <f t="shared" si="12"/>
        <v/>
      </c>
      <c r="L805" s="201" t="str">
        <f>IFERROR(COUNTIF($C$21:C805,C805)&amp;CHOOSE(MIN(4,COUNTIF($C$21:C805,C805)),"st","nd","rd","th"),"")</f>
        <v/>
      </c>
    </row>
    <row r="806" spans="4:12" x14ac:dyDescent="0.25">
      <c r="D806" s="201" t="str">
        <f t="shared" si="12"/>
        <v/>
      </c>
      <c r="L806" s="201" t="str">
        <f>IFERROR(COUNTIF($C$21:C806,C806)&amp;CHOOSE(MIN(4,COUNTIF($C$21:C806,C806)),"st","nd","rd","th"),"")</f>
        <v/>
      </c>
    </row>
    <row r="807" spans="4:12" x14ac:dyDescent="0.25">
      <c r="D807" s="201" t="str">
        <f t="shared" si="12"/>
        <v/>
      </c>
      <c r="L807" s="201" t="str">
        <f>IFERROR(COUNTIF($C$21:C807,C807)&amp;CHOOSE(MIN(4,COUNTIF($C$21:C807,C807)),"st","nd","rd","th"),"")</f>
        <v/>
      </c>
    </row>
    <row r="808" spans="4:12" x14ac:dyDescent="0.25">
      <c r="D808" s="201" t="str">
        <f t="shared" si="12"/>
        <v/>
      </c>
      <c r="L808" s="201" t="str">
        <f>IFERROR(COUNTIF($C$21:C808,C808)&amp;CHOOSE(MIN(4,COUNTIF($C$21:C808,C808)),"st","nd","rd","th"),"")</f>
        <v/>
      </c>
    </row>
    <row r="809" spans="4:12" x14ac:dyDescent="0.25">
      <c r="D809" s="201" t="str">
        <f t="shared" si="12"/>
        <v/>
      </c>
      <c r="L809" s="201" t="str">
        <f>IFERROR(COUNTIF($C$21:C809,C809)&amp;CHOOSE(MIN(4,COUNTIF($C$21:C809,C809)),"st","nd","rd","th"),"")</f>
        <v/>
      </c>
    </row>
    <row r="810" spans="4:12" x14ac:dyDescent="0.25">
      <c r="D810" s="201" t="str">
        <f t="shared" si="12"/>
        <v/>
      </c>
      <c r="L810" s="201" t="str">
        <f>IFERROR(COUNTIF($C$21:C810,C810)&amp;CHOOSE(MIN(4,COUNTIF($C$21:C810,C810)),"st","nd","rd","th"),"")</f>
        <v/>
      </c>
    </row>
    <row r="811" spans="4:12" x14ac:dyDescent="0.25">
      <c r="D811" s="201" t="str">
        <f t="shared" si="12"/>
        <v/>
      </c>
      <c r="L811" s="201" t="str">
        <f>IFERROR(COUNTIF($C$21:C811,C811)&amp;CHOOSE(MIN(4,COUNTIF($C$21:C811,C811)),"st","nd","rd","th"),"")</f>
        <v/>
      </c>
    </row>
    <row r="812" spans="4:12" x14ac:dyDescent="0.25">
      <c r="D812" s="201" t="str">
        <f t="shared" si="12"/>
        <v/>
      </c>
      <c r="L812" s="201" t="str">
        <f>IFERROR(COUNTIF($C$21:C812,C812)&amp;CHOOSE(MIN(4,COUNTIF($C$21:C812,C812)),"st","nd","rd","th"),"")</f>
        <v/>
      </c>
    </row>
    <row r="813" spans="4:12" x14ac:dyDescent="0.25">
      <c r="D813" s="201" t="str">
        <f t="shared" si="12"/>
        <v/>
      </c>
      <c r="L813" s="201" t="str">
        <f>IFERROR(COUNTIF($C$21:C813,C813)&amp;CHOOSE(MIN(4,COUNTIF($C$21:C813,C813)),"st","nd","rd","th"),"")</f>
        <v/>
      </c>
    </row>
    <row r="814" spans="4:12" x14ac:dyDescent="0.25">
      <c r="D814" s="201" t="str">
        <f t="shared" si="12"/>
        <v/>
      </c>
      <c r="L814" s="201" t="str">
        <f>IFERROR(COUNTIF($C$21:C814,C814)&amp;CHOOSE(MIN(4,COUNTIF($C$21:C814,C814)),"st","nd","rd","th"),"")</f>
        <v/>
      </c>
    </row>
    <row r="815" spans="4:12" x14ac:dyDescent="0.25">
      <c r="D815" s="201" t="str">
        <f t="shared" si="12"/>
        <v/>
      </c>
      <c r="L815" s="201" t="str">
        <f>IFERROR(COUNTIF($C$21:C815,C815)&amp;CHOOSE(MIN(4,COUNTIF($C$21:C815,C815)),"st","nd","rd","th"),"")</f>
        <v/>
      </c>
    </row>
    <row r="816" spans="4:12" x14ac:dyDescent="0.25">
      <c r="D816" s="201" t="str">
        <f t="shared" si="12"/>
        <v/>
      </c>
      <c r="L816" s="201" t="str">
        <f>IFERROR(COUNTIF($C$21:C816,C816)&amp;CHOOSE(MIN(4,COUNTIF($C$21:C816,C816)),"st","nd","rd","th"),"")</f>
        <v/>
      </c>
    </row>
    <row r="817" spans="4:12" x14ac:dyDescent="0.25">
      <c r="D817" s="201" t="str">
        <f t="shared" si="12"/>
        <v/>
      </c>
      <c r="L817" s="201" t="str">
        <f>IFERROR(COUNTIF($C$21:C817,C817)&amp;CHOOSE(MIN(4,COUNTIF($C$21:C817,C817)),"st","nd","rd","th"),"")</f>
        <v/>
      </c>
    </row>
    <row r="818" spans="4:12" x14ac:dyDescent="0.25">
      <c r="D818" s="201" t="str">
        <f t="shared" si="12"/>
        <v/>
      </c>
      <c r="L818" s="201" t="str">
        <f>IFERROR(COUNTIF($C$21:C818,C818)&amp;CHOOSE(MIN(4,COUNTIF($C$21:C818,C818)),"st","nd","rd","th"),"")</f>
        <v/>
      </c>
    </row>
    <row r="819" spans="4:12" x14ac:dyDescent="0.25">
      <c r="D819" s="201" t="str">
        <f t="shared" si="12"/>
        <v/>
      </c>
      <c r="L819" s="201" t="str">
        <f>IFERROR(COUNTIF($C$21:C819,C819)&amp;CHOOSE(MIN(4,COUNTIF($C$21:C819,C819)),"st","nd","rd","th"),"")</f>
        <v/>
      </c>
    </row>
    <row r="820" spans="4:12" x14ac:dyDescent="0.25">
      <c r="D820" s="201" t="str">
        <f t="shared" si="12"/>
        <v/>
      </c>
      <c r="L820" s="201" t="str">
        <f>IFERROR(COUNTIF($C$21:C820,C820)&amp;CHOOSE(MIN(4,COUNTIF($C$21:C820,C820)),"st","nd","rd","th"),"")</f>
        <v/>
      </c>
    </row>
    <row r="821" spans="4:12" x14ac:dyDescent="0.25">
      <c r="D821" s="201" t="str">
        <f t="shared" si="12"/>
        <v/>
      </c>
      <c r="L821" s="201" t="str">
        <f>IFERROR(COUNTIF($C$21:C821,C821)&amp;CHOOSE(MIN(4,COUNTIF($C$21:C821,C821)),"st","nd","rd","th"),"")</f>
        <v/>
      </c>
    </row>
    <row r="822" spans="4:12" x14ac:dyDescent="0.25">
      <c r="D822" s="201" t="str">
        <f t="shared" si="12"/>
        <v/>
      </c>
      <c r="L822" s="201" t="str">
        <f>IFERROR(COUNTIF($C$21:C822,C822)&amp;CHOOSE(MIN(4,COUNTIF($C$21:C822,C822)),"st","nd","rd","th"),"")</f>
        <v/>
      </c>
    </row>
    <row r="823" spans="4:12" x14ac:dyDescent="0.25">
      <c r="D823" s="201" t="str">
        <f t="shared" si="12"/>
        <v/>
      </c>
      <c r="L823" s="201" t="str">
        <f>IFERROR(COUNTIF($C$21:C823,C823)&amp;CHOOSE(MIN(4,COUNTIF($C$21:C823,C823)),"st","nd","rd","th"),"")</f>
        <v/>
      </c>
    </row>
    <row r="824" spans="4:12" x14ac:dyDescent="0.25">
      <c r="D824" s="201" t="str">
        <f t="shared" si="12"/>
        <v/>
      </c>
      <c r="L824" s="201" t="str">
        <f>IFERROR(COUNTIF($C$21:C824,C824)&amp;CHOOSE(MIN(4,COUNTIF($C$21:C824,C824)),"st","nd","rd","th"),"")</f>
        <v/>
      </c>
    </row>
    <row r="825" spans="4:12" x14ac:dyDescent="0.25">
      <c r="D825" s="201" t="str">
        <f t="shared" si="12"/>
        <v/>
      </c>
      <c r="L825" s="201" t="str">
        <f>IFERROR(COUNTIF($C$21:C825,C825)&amp;CHOOSE(MIN(4,COUNTIF($C$21:C825,C825)),"st","nd","rd","th"),"")</f>
        <v/>
      </c>
    </row>
    <row r="826" spans="4:12" x14ac:dyDescent="0.25">
      <c r="D826" s="201" t="str">
        <f t="shared" si="12"/>
        <v/>
      </c>
      <c r="L826" s="201" t="str">
        <f>IFERROR(COUNTIF($C$21:C826,C826)&amp;CHOOSE(MIN(4,COUNTIF($C$21:C826,C826)),"st","nd","rd","th"),"")</f>
        <v/>
      </c>
    </row>
    <row r="827" spans="4:12" x14ac:dyDescent="0.25">
      <c r="D827" s="201" t="str">
        <f t="shared" si="12"/>
        <v/>
      </c>
      <c r="L827" s="201" t="str">
        <f>IFERROR(COUNTIF($C$21:C827,C827)&amp;CHOOSE(MIN(4,COUNTIF($C$21:C827,C827)),"st","nd","rd","th"),"")</f>
        <v/>
      </c>
    </row>
    <row r="828" spans="4:12" x14ac:dyDescent="0.25">
      <c r="D828" s="201" t="str">
        <f t="shared" si="12"/>
        <v/>
      </c>
      <c r="L828" s="201" t="str">
        <f>IFERROR(COUNTIF($C$21:C828,C828)&amp;CHOOSE(MIN(4,COUNTIF($C$21:C828,C828)),"st","nd","rd","th"),"")</f>
        <v/>
      </c>
    </row>
    <row r="829" spans="4:12" x14ac:dyDescent="0.25">
      <c r="D829" s="201" t="str">
        <f t="shared" si="12"/>
        <v/>
      </c>
      <c r="L829" s="201" t="str">
        <f>IFERROR(COUNTIF($C$21:C829,C829)&amp;CHOOSE(MIN(4,COUNTIF($C$21:C829,C829)),"st","nd","rd","th"),"")</f>
        <v/>
      </c>
    </row>
    <row r="830" spans="4:12" x14ac:dyDescent="0.25">
      <c r="D830" s="201" t="str">
        <f t="shared" si="12"/>
        <v/>
      </c>
      <c r="L830" s="201" t="str">
        <f>IFERROR(COUNTIF($C$21:C830,C830)&amp;CHOOSE(MIN(4,COUNTIF($C$21:C830,C830)),"st","nd","rd","th"),"")</f>
        <v/>
      </c>
    </row>
    <row r="831" spans="4:12" x14ac:dyDescent="0.25">
      <c r="D831" s="201" t="str">
        <f t="shared" si="12"/>
        <v/>
      </c>
      <c r="L831" s="201" t="str">
        <f>IFERROR(COUNTIF($C$21:C831,C831)&amp;CHOOSE(MIN(4,COUNTIF($C$21:C831,C831)),"st","nd","rd","th"),"")</f>
        <v/>
      </c>
    </row>
    <row r="832" spans="4:12" x14ac:dyDescent="0.25">
      <c r="D832" s="201" t="str">
        <f t="shared" si="12"/>
        <v/>
      </c>
      <c r="L832" s="201" t="str">
        <f>IFERROR(COUNTIF($C$21:C832,C832)&amp;CHOOSE(MIN(4,COUNTIF($C$21:C832,C832)),"st","nd","rd","th"),"")</f>
        <v/>
      </c>
    </row>
    <row r="833" spans="4:12" x14ac:dyDescent="0.25">
      <c r="D833" s="201" t="str">
        <f t="shared" si="12"/>
        <v/>
      </c>
      <c r="L833" s="201" t="str">
        <f>IFERROR(COUNTIF($C$21:C833,C833)&amp;CHOOSE(MIN(4,COUNTIF($C$21:C833,C833)),"st","nd","rd","th"),"")</f>
        <v/>
      </c>
    </row>
    <row r="834" spans="4:12" x14ac:dyDescent="0.25">
      <c r="D834" s="201" t="str">
        <f t="shared" si="12"/>
        <v/>
      </c>
      <c r="L834" s="201" t="str">
        <f>IFERROR(COUNTIF($C$21:C834,C834)&amp;CHOOSE(MIN(4,COUNTIF($C$21:C834,C834)),"st","nd","rd","th"),"")</f>
        <v/>
      </c>
    </row>
    <row r="835" spans="4:12" x14ac:dyDescent="0.25">
      <c r="D835" s="201" t="str">
        <f t="shared" si="12"/>
        <v/>
      </c>
      <c r="L835" s="201" t="str">
        <f>IFERROR(COUNTIF($C$21:C835,C835)&amp;CHOOSE(MIN(4,COUNTIF($C$21:C835,C835)),"st","nd","rd","th"),"")</f>
        <v/>
      </c>
    </row>
    <row r="836" spans="4:12" x14ac:dyDescent="0.25">
      <c r="D836" s="201" t="str">
        <f t="shared" si="12"/>
        <v/>
      </c>
      <c r="L836" s="201" t="str">
        <f>IFERROR(COUNTIF($C$21:C836,C836)&amp;CHOOSE(MIN(4,COUNTIF($C$21:C836,C836)),"st","nd","rd","th"),"")</f>
        <v/>
      </c>
    </row>
    <row r="837" spans="4:12" x14ac:dyDescent="0.25">
      <c r="D837" s="201" t="str">
        <f t="shared" si="12"/>
        <v/>
      </c>
      <c r="L837" s="201" t="str">
        <f>IFERROR(COUNTIF($C$21:C837,C837)&amp;CHOOSE(MIN(4,COUNTIF($C$21:C837,C837)),"st","nd","rd","th"),"")</f>
        <v/>
      </c>
    </row>
    <row r="838" spans="4:12" x14ac:dyDescent="0.25">
      <c r="D838" s="201" t="str">
        <f t="shared" si="12"/>
        <v/>
      </c>
      <c r="L838" s="201" t="str">
        <f>IFERROR(COUNTIF($C$21:C838,C838)&amp;CHOOSE(MIN(4,COUNTIF($C$21:C838,C838)),"st","nd","rd","th"),"")</f>
        <v/>
      </c>
    </row>
    <row r="839" spans="4:12" x14ac:dyDescent="0.25">
      <c r="D839" s="201" t="str">
        <f t="shared" si="12"/>
        <v/>
      </c>
      <c r="L839" s="201" t="str">
        <f>IFERROR(COUNTIF($C$21:C839,C839)&amp;CHOOSE(MIN(4,COUNTIF($C$21:C839,C839)),"st","nd","rd","th"),"")</f>
        <v/>
      </c>
    </row>
    <row r="840" spans="4:12" x14ac:dyDescent="0.25">
      <c r="D840" s="201" t="str">
        <f t="shared" si="12"/>
        <v/>
      </c>
      <c r="L840" s="201" t="str">
        <f>IFERROR(COUNTIF($C$21:C840,C840)&amp;CHOOSE(MIN(4,COUNTIF($C$21:C840,C840)),"st","nd","rd","th"),"")</f>
        <v/>
      </c>
    </row>
    <row r="841" spans="4:12" x14ac:dyDescent="0.25">
      <c r="D841" s="201" t="str">
        <f t="shared" si="12"/>
        <v/>
      </c>
      <c r="L841" s="201" t="str">
        <f>IFERROR(COUNTIF($C$21:C841,C841)&amp;CHOOSE(MIN(4,COUNTIF($C$21:C841,C841)),"st","nd","rd","th"),"")</f>
        <v/>
      </c>
    </row>
    <row r="842" spans="4:12" x14ac:dyDescent="0.25">
      <c r="D842" s="201" t="str">
        <f t="shared" si="12"/>
        <v/>
      </c>
      <c r="L842" s="201" t="str">
        <f>IFERROR(COUNTIF($C$21:C842,C842)&amp;CHOOSE(MIN(4,COUNTIF($C$21:C842,C842)),"st","nd","rd","th"),"")</f>
        <v/>
      </c>
    </row>
    <row r="843" spans="4:12" x14ac:dyDescent="0.25">
      <c r="D843" s="201" t="str">
        <f t="shared" si="12"/>
        <v/>
      </c>
      <c r="L843" s="201" t="str">
        <f>IFERROR(COUNTIF($C$21:C843,C843)&amp;CHOOSE(MIN(4,COUNTIF($C$21:C843,C843)),"st","nd","rd","th"),"")</f>
        <v/>
      </c>
    </row>
    <row r="844" spans="4:12" x14ac:dyDescent="0.25">
      <c r="D844" s="201" t="str">
        <f t="shared" si="12"/>
        <v/>
      </c>
      <c r="L844" s="201" t="str">
        <f>IFERROR(COUNTIF($C$21:C844,C844)&amp;CHOOSE(MIN(4,COUNTIF($C$21:C844,C844)),"st","nd","rd","th"),"")</f>
        <v/>
      </c>
    </row>
    <row r="845" spans="4:12" x14ac:dyDescent="0.25">
      <c r="D845" s="201" t="str">
        <f t="shared" si="12"/>
        <v/>
      </c>
      <c r="L845" s="201" t="str">
        <f>IFERROR(COUNTIF($C$21:C845,C845)&amp;CHOOSE(MIN(4,COUNTIF($C$21:C845,C845)),"st","nd","rd","th"),"")</f>
        <v/>
      </c>
    </row>
    <row r="846" spans="4:12" x14ac:dyDescent="0.25">
      <c r="D846" s="201" t="str">
        <f t="shared" si="12"/>
        <v/>
      </c>
      <c r="L846" s="201" t="str">
        <f>IFERROR(COUNTIF($C$21:C846,C846)&amp;CHOOSE(MIN(4,COUNTIF($C$21:C846,C846)),"st","nd","rd","th"),"")</f>
        <v/>
      </c>
    </row>
    <row r="847" spans="4:12" x14ac:dyDescent="0.25">
      <c r="D847" s="201" t="str">
        <f t="shared" si="12"/>
        <v/>
      </c>
      <c r="L847" s="201" t="str">
        <f>IFERROR(COUNTIF($C$21:C847,C847)&amp;CHOOSE(MIN(4,COUNTIF($C$21:C847,C847)),"st","nd","rd","th"),"")</f>
        <v/>
      </c>
    </row>
    <row r="848" spans="4:12" x14ac:dyDescent="0.25">
      <c r="D848" s="201" t="str">
        <f t="shared" si="12"/>
        <v/>
      </c>
      <c r="L848" s="201" t="str">
        <f>IFERROR(COUNTIF($C$21:C848,C848)&amp;CHOOSE(MIN(4,COUNTIF($C$21:C848,C848)),"st","nd","rd","th"),"")</f>
        <v/>
      </c>
    </row>
    <row r="849" spans="4:12" x14ac:dyDescent="0.25">
      <c r="D849" s="201" t="str">
        <f t="shared" si="12"/>
        <v/>
      </c>
      <c r="L849" s="201" t="str">
        <f>IFERROR(COUNTIF($C$21:C849,C849)&amp;CHOOSE(MIN(4,COUNTIF($C$21:C849,C849)),"st","nd","rd","th"),"")</f>
        <v/>
      </c>
    </row>
    <row r="850" spans="4:12" x14ac:dyDescent="0.25">
      <c r="D850" s="201" t="str">
        <f t="shared" si="12"/>
        <v/>
      </c>
      <c r="L850" s="201" t="str">
        <f>IFERROR(COUNTIF($C$21:C850,C850)&amp;CHOOSE(MIN(4,COUNTIF($C$21:C850,C850)),"st","nd","rd","th"),"")</f>
        <v/>
      </c>
    </row>
    <row r="851" spans="4:12" x14ac:dyDescent="0.25">
      <c r="D851" s="201" t="str">
        <f t="shared" si="12"/>
        <v/>
      </c>
      <c r="L851" s="201" t="str">
        <f>IFERROR(COUNTIF($C$21:C851,C851)&amp;CHOOSE(MIN(4,COUNTIF($C$21:C851,C851)),"st","nd","rd","th"),"")</f>
        <v/>
      </c>
    </row>
    <row r="852" spans="4:12" x14ac:dyDescent="0.25">
      <c r="D852" s="201" t="str">
        <f t="shared" si="12"/>
        <v/>
      </c>
      <c r="L852" s="201" t="str">
        <f>IFERROR(COUNTIF($C$21:C852,C852)&amp;CHOOSE(MIN(4,COUNTIF($C$21:C852,C852)),"st","nd","rd","th"),"")</f>
        <v/>
      </c>
    </row>
    <row r="853" spans="4:12" x14ac:dyDescent="0.25">
      <c r="D853" s="201" t="str">
        <f t="shared" si="12"/>
        <v/>
      </c>
      <c r="L853" s="201" t="str">
        <f>IFERROR(COUNTIF($C$21:C853,C853)&amp;CHOOSE(MIN(4,COUNTIF($C$21:C853,C853)),"st","nd","rd","th"),"")</f>
        <v/>
      </c>
    </row>
    <row r="854" spans="4:12" x14ac:dyDescent="0.25">
      <c r="D854" s="201" t="str">
        <f t="shared" ref="D854:D917" si="13">IF(B854="","",IF(B854="Province_PLGU","PLGU","City / Municipality"))</f>
        <v/>
      </c>
      <c r="L854" s="201" t="str">
        <f>IFERROR(COUNTIF($C$21:C854,C854)&amp;CHOOSE(MIN(4,COUNTIF($C$21:C854,C854)),"st","nd","rd","th"),"")</f>
        <v/>
      </c>
    </row>
    <row r="855" spans="4:12" x14ac:dyDescent="0.25">
      <c r="D855" s="201" t="str">
        <f t="shared" si="13"/>
        <v/>
      </c>
      <c r="L855" s="201" t="str">
        <f>IFERROR(COUNTIF($C$21:C855,C855)&amp;CHOOSE(MIN(4,COUNTIF($C$21:C855,C855)),"st","nd","rd","th"),"")</f>
        <v/>
      </c>
    </row>
    <row r="856" spans="4:12" x14ac:dyDescent="0.25">
      <c r="D856" s="201" t="str">
        <f t="shared" si="13"/>
        <v/>
      </c>
      <c r="L856" s="201" t="str">
        <f>IFERROR(COUNTIF($C$21:C856,C856)&amp;CHOOSE(MIN(4,COUNTIF($C$21:C856,C856)),"st","nd","rd","th"),"")</f>
        <v/>
      </c>
    </row>
    <row r="857" spans="4:12" x14ac:dyDescent="0.25">
      <c r="D857" s="201" t="str">
        <f t="shared" si="13"/>
        <v/>
      </c>
      <c r="L857" s="201" t="str">
        <f>IFERROR(COUNTIF($C$21:C857,C857)&amp;CHOOSE(MIN(4,COUNTIF($C$21:C857,C857)),"st","nd","rd","th"),"")</f>
        <v/>
      </c>
    </row>
    <row r="858" spans="4:12" x14ac:dyDescent="0.25">
      <c r="D858" s="201" t="str">
        <f t="shared" si="13"/>
        <v/>
      </c>
      <c r="L858" s="201" t="str">
        <f>IFERROR(COUNTIF($C$21:C858,C858)&amp;CHOOSE(MIN(4,COUNTIF($C$21:C858,C858)),"st","nd","rd","th"),"")</f>
        <v/>
      </c>
    </row>
    <row r="859" spans="4:12" x14ac:dyDescent="0.25">
      <c r="D859" s="201" t="str">
        <f t="shared" si="13"/>
        <v/>
      </c>
      <c r="L859" s="201" t="str">
        <f>IFERROR(COUNTIF($C$21:C859,C859)&amp;CHOOSE(MIN(4,COUNTIF($C$21:C859,C859)),"st","nd","rd","th"),"")</f>
        <v/>
      </c>
    </row>
    <row r="860" spans="4:12" x14ac:dyDescent="0.25">
      <c r="D860" s="201" t="str">
        <f t="shared" si="13"/>
        <v/>
      </c>
      <c r="L860" s="201" t="str">
        <f>IFERROR(COUNTIF($C$21:C860,C860)&amp;CHOOSE(MIN(4,COUNTIF($C$21:C860,C860)),"st","nd","rd","th"),"")</f>
        <v/>
      </c>
    </row>
    <row r="861" spans="4:12" x14ac:dyDescent="0.25">
      <c r="D861" s="201" t="str">
        <f t="shared" si="13"/>
        <v/>
      </c>
      <c r="L861" s="201" t="str">
        <f>IFERROR(COUNTIF($C$21:C861,C861)&amp;CHOOSE(MIN(4,COUNTIF($C$21:C861,C861)),"st","nd","rd","th"),"")</f>
        <v/>
      </c>
    </row>
    <row r="862" spans="4:12" x14ac:dyDescent="0.25">
      <c r="D862" s="201" t="str">
        <f t="shared" si="13"/>
        <v/>
      </c>
      <c r="L862" s="201" t="str">
        <f>IFERROR(COUNTIF($C$21:C862,C862)&amp;CHOOSE(MIN(4,COUNTIF($C$21:C862,C862)),"st","nd","rd","th"),"")</f>
        <v/>
      </c>
    </row>
    <row r="863" spans="4:12" x14ac:dyDescent="0.25">
      <c r="D863" s="201" t="str">
        <f t="shared" si="13"/>
        <v/>
      </c>
      <c r="L863" s="201" t="str">
        <f>IFERROR(COUNTIF($C$21:C863,C863)&amp;CHOOSE(MIN(4,COUNTIF($C$21:C863,C863)),"st","nd","rd","th"),"")</f>
        <v/>
      </c>
    </row>
    <row r="864" spans="4:12" x14ac:dyDescent="0.25">
      <c r="D864" s="201" t="str">
        <f t="shared" si="13"/>
        <v/>
      </c>
      <c r="L864" s="201" t="str">
        <f>IFERROR(COUNTIF($C$21:C864,C864)&amp;CHOOSE(MIN(4,COUNTIF($C$21:C864,C864)),"st","nd","rd","th"),"")</f>
        <v/>
      </c>
    </row>
    <row r="865" spans="4:12" x14ac:dyDescent="0.25">
      <c r="D865" s="201" t="str">
        <f t="shared" si="13"/>
        <v/>
      </c>
      <c r="L865" s="201" t="str">
        <f>IFERROR(COUNTIF($C$21:C865,C865)&amp;CHOOSE(MIN(4,COUNTIF($C$21:C865,C865)),"st","nd","rd","th"),"")</f>
        <v/>
      </c>
    </row>
    <row r="866" spans="4:12" x14ac:dyDescent="0.25">
      <c r="D866" s="201" t="str">
        <f t="shared" si="13"/>
        <v/>
      </c>
      <c r="L866" s="201" t="str">
        <f>IFERROR(COUNTIF($C$21:C866,C866)&amp;CHOOSE(MIN(4,COUNTIF($C$21:C866,C866)),"st","nd","rd","th"),"")</f>
        <v/>
      </c>
    </row>
    <row r="867" spans="4:12" x14ac:dyDescent="0.25">
      <c r="D867" s="201" t="str">
        <f t="shared" si="13"/>
        <v/>
      </c>
      <c r="L867" s="201" t="str">
        <f>IFERROR(COUNTIF($C$21:C867,C867)&amp;CHOOSE(MIN(4,COUNTIF($C$21:C867,C867)),"st","nd","rd","th"),"")</f>
        <v/>
      </c>
    </row>
    <row r="868" spans="4:12" x14ac:dyDescent="0.25">
      <c r="D868" s="201" t="str">
        <f t="shared" si="13"/>
        <v/>
      </c>
      <c r="L868" s="201" t="str">
        <f>IFERROR(COUNTIF($C$21:C868,C868)&amp;CHOOSE(MIN(4,COUNTIF($C$21:C868,C868)),"st","nd","rd","th"),"")</f>
        <v/>
      </c>
    </row>
    <row r="869" spans="4:12" x14ac:dyDescent="0.25">
      <c r="D869" s="201" t="str">
        <f t="shared" si="13"/>
        <v/>
      </c>
      <c r="L869" s="201" t="str">
        <f>IFERROR(COUNTIF($C$21:C869,C869)&amp;CHOOSE(MIN(4,COUNTIF($C$21:C869,C869)),"st","nd","rd","th"),"")</f>
        <v/>
      </c>
    </row>
    <row r="870" spans="4:12" x14ac:dyDescent="0.25">
      <c r="D870" s="201" t="str">
        <f t="shared" si="13"/>
        <v/>
      </c>
      <c r="L870" s="201" t="str">
        <f>IFERROR(COUNTIF($C$21:C870,C870)&amp;CHOOSE(MIN(4,COUNTIF($C$21:C870,C870)),"st","nd","rd","th"),"")</f>
        <v/>
      </c>
    </row>
    <row r="871" spans="4:12" x14ac:dyDescent="0.25">
      <c r="D871" s="201" t="str">
        <f t="shared" si="13"/>
        <v/>
      </c>
      <c r="L871" s="201" t="str">
        <f>IFERROR(COUNTIF($C$21:C871,C871)&amp;CHOOSE(MIN(4,COUNTIF($C$21:C871,C871)),"st","nd","rd","th"),"")</f>
        <v/>
      </c>
    </row>
    <row r="872" spans="4:12" x14ac:dyDescent="0.25">
      <c r="D872" s="201" t="str">
        <f t="shared" si="13"/>
        <v/>
      </c>
      <c r="L872" s="201" t="str">
        <f>IFERROR(COUNTIF($C$21:C872,C872)&amp;CHOOSE(MIN(4,COUNTIF($C$21:C872,C872)),"st","nd","rd","th"),"")</f>
        <v/>
      </c>
    </row>
    <row r="873" spans="4:12" x14ac:dyDescent="0.25">
      <c r="D873" s="201" t="str">
        <f t="shared" si="13"/>
        <v/>
      </c>
      <c r="L873" s="201" t="str">
        <f>IFERROR(COUNTIF($C$21:C873,C873)&amp;CHOOSE(MIN(4,COUNTIF($C$21:C873,C873)),"st","nd","rd","th"),"")</f>
        <v/>
      </c>
    </row>
    <row r="874" spans="4:12" x14ac:dyDescent="0.25">
      <c r="D874" s="201" t="str">
        <f t="shared" si="13"/>
        <v/>
      </c>
      <c r="L874" s="201" t="str">
        <f>IFERROR(COUNTIF($C$21:C874,C874)&amp;CHOOSE(MIN(4,COUNTIF($C$21:C874,C874)),"st","nd","rd","th"),"")</f>
        <v/>
      </c>
    </row>
    <row r="875" spans="4:12" x14ac:dyDescent="0.25">
      <c r="D875" s="201" t="str">
        <f t="shared" si="13"/>
        <v/>
      </c>
      <c r="L875" s="201" t="str">
        <f>IFERROR(COUNTIF($C$21:C875,C875)&amp;CHOOSE(MIN(4,COUNTIF($C$21:C875,C875)),"st","nd","rd","th"),"")</f>
        <v/>
      </c>
    </row>
    <row r="876" spans="4:12" x14ac:dyDescent="0.25">
      <c r="D876" s="201" t="str">
        <f t="shared" si="13"/>
        <v/>
      </c>
      <c r="L876" s="201" t="str">
        <f>IFERROR(COUNTIF($C$21:C876,C876)&amp;CHOOSE(MIN(4,COUNTIF($C$21:C876,C876)),"st","nd","rd","th"),"")</f>
        <v/>
      </c>
    </row>
    <row r="877" spans="4:12" x14ac:dyDescent="0.25">
      <c r="D877" s="201" t="str">
        <f t="shared" si="13"/>
        <v/>
      </c>
      <c r="L877" s="201" t="str">
        <f>IFERROR(COUNTIF($C$21:C877,C877)&amp;CHOOSE(MIN(4,COUNTIF($C$21:C877,C877)),"st","nd","rd","th"),"")</f>
        <v/>
      </c>
    </row>
    <row r="878" spans="4:12" x14ac:dyDescent="0.25">
      <c r="D878" s="201" t="str">
        <f t="shared" si="13"/>
        <v/>
      </c>
      <c r="L878" s="201" t="str">
        <f>IFERROR(COUNTIF($C$21:C878,C878)&amp;CHOOSE(MIN(4,COUNTIF($C$21:C878,C878)),"st","nd","rd","th"),"")</f>
        <v/>
      </c>
    </row>
    <row r="879" spans="4:12" x14ac:dyDescent="0.25">
      <c r="D879" s="201" t="str">
        <f t="shared" si="13"/>
        <v/>
      </c>
      <c r="L879" s="201" t="str">
        <f>IFERROR(COUNTIF($C$21:C879,C879)&amp;CHOOSE(MIN(4,COUNTIF($C$21:C879,C879)),"st","nd","rd","th"),"")</f>
        <v/>
      </c>
    </row>
    <row r="880" spans="4:12" x14ac:dyDescent="0.25">
      <c r="D880" s="201" t="str">
        <f t="shared" si="13"/>
        <v/>
      </c>
      <c r="L880" s="201" t="str">
        <f>IFERROR(COUNTIF($C$21:C880,C880)&amp;CHOOSE(MIN(4,COUNTIF($C$21:C880,C880)),"st","nd","rd","th"),"")</f>
        <v/>
      </c>
    </row>
    <row r="881" spans="4:12" x14ac:dyDescent="0.25">
      <c r="D881" s="201" t="str">
        <f t="shared" si="13"/>
        <v/>
      </c>
      <c r="L881" s="201" t="str">
        <f>IFERROR(COUNTIF($C$21:C881,C881)&amp;CHOOSE(MIN(4,COUNTIF($C$21:C881,C881)),"st","nd","rd","th"),"")</f>
        <v/>
      </c>
    </row>
    <row r="882" spans="4:12" x14ac:dyDescent="0.25">
      <c r="D882" s="201" t="str">
        <f t="shared" si="13"/>
        <v/>
      </c>
      <c r="L882" s="201" t="str">
        <f>IFERROR(COUNTIF($C$21:C882,C882)&amp;CHOOSE(MIN(4,COUNTIF($C$21:C882,C882)),"st","nd","rd","th"),"")</f>
        <v/>
      </c>
    </row>
    <row r="883" spans="4:12" x14ac:dyDescent="0.25">
      <c r="D883" s="201" t="str">
        <f t="shared" si="13"/>
        <v/>
      </c>
      <c r="L883" s="201" t="str">
        <f>IFERROR(COUNTIF($C$21:C883,C883)&amp;CHOOSE(MIN(4,COUNTIF($C$21:C883,C883)),"st","nd","rd","th"),"")</f>
        <v/>
      </c>
    </row>
    <row r="884" spans="4:12" x14ac:dyDescent="0.25">
      <c r="D884" s="201" t="str">
        <f t="shared" si="13"/>
        <v/>
      </c>
      <c r="L884" s="201" t="str">
        <f>IFERROR(COUNTIF($C$21:C884,C884)&amp;CHOOSE(MIN(4,COUNTIF($C$21:C884,C884)),"st","nd","rd","th"),"")</f>
        <v/>
      </c>
    </row>
    <row r="885" spans="4:12" x14ac:dyDescent="0.25">
      <c r="D885" s="201" t="str">
        <f t="shared" si="13"/>
        <v/>
      </c>
      <c r="L885" s="201" t="str">
        <f>IFERROR(COUNTIF($C$21:C885,C885)&amp;CHOOSE(MIN(4,COUNTIF($C$21:C885,C885)),"st","nd","rd","th"),"")</f>
        <v/>
      </c>
    </row>
    <row r="886" spans="4:12" x14ac:dyDescent="0.25">
      <c r="D886" s="201" t="str">
        <f t="shared" si="13"/>
        <v/>
      </c>
      <c r="L886" s="201" t="str">
        <f>IFERROR(COUNTIF($C$21:C886,C886)&amp;CHOOSE(MIN(4,COUNTIF($C$21:C886,C886)),"st","nd","rd","th"),"")</f>
        <v/>
      </c>
    </row>
    <row r="887" spans="4:12" x14ac:dyDescent="0.25">
      <c r="D887" s="201" t="str">
        <f t="shared" si="13"/>
        <v/>
      </c>
      <c r="L887" s="201" t="str">
        <f>IFERROR(COUNTIF($C$21:C887,C887)&amp;CHOOSE(MIN(4,COUNTIF($C$21:C887,C887)),"st","nd","rd","th"),"")</f>
        <v/>
      </c>
    </row>
    <row r="888" spans="4:12" x14ac:dyDescent="0.25">
      <c r="D888" s="201" t="str">
        <f t="shared" si="13"/>
        <v/>
      </c>
      <c r="L888" s="201" t="str">
        <f>IFERROR(COUNTIF($C$21:C888,C888)&amp;CHOOSE(MIN(4,COUNTIF($C$21:C888,C888)),"st","nd","rd","th"),"")</f>
        <v/>
      </c>
    </row>
    <row r="889" spans="4:12" x14ac:dyDescent="0.25">
      <c r="D889" s="201" t="str">
        <f t="shared" si="13"/>
        <v/>
      </c>
      <c r="L889" s="201" t="str">
        <f>IFERROR(COUNTIF($C$21:C889,C889)&amp;CHOOSE(MIN(4,COUNTIF($C$21:C889,C889)),"st","nd","rd","th"),"")</f>
        <v/>
      </c>
    </row>
    <row r="890" spans="4:12" x14ac:dyDescent="0.25">
      <c r="D890" s="201" t="str">
        <f t="shared" si="13"/>
        <v/>
      </c>
      <c r="L890" s="201" t="str">
        <f>IFERROR(COUNTIF($C$21:C890,C890)&amp;CHOOSE(MIN(4,COUNTIF($C$21:C890,C890)),"st","nd","rd","th"),"")</f>
        <v/>
      </c>
    </row>
    <row r="891" spans="4:12" x14ac:dyDescent="0.25">
      <c r="D891" s="201" t="str">
        <f t="shared" si="13"/>
        <v/>
      </c>
      <c r="L891" s="201" t="str">
        <f>IFERROR(COUNTIF($C$21:C891,C891)&amp;CHOOSE(MIN(4,COUNTIF($C$21:C891,C891)),"st","nd","rd","th"),"")</f>
        <v/>
      </c>
    </row>
    <row r="892" spans="4:12" x14ac:dyDescent="0.25">
      <c r="D892" s="201" t="str">
        <f t="shared" si="13"/>
        <v/>
      </c>
      <c r="L892" s="201" t="str">
        <f>IFERROR(COUNTIF($C$21:C892,C892)&amp;CHOOSE(MIN(4,COUNTIF($C$21:C892,C892)),"st","nd","rd","th"),"")</f>
        <v/>
      </c>
    </row>
    <row r="893" spans="4:12" x14ac:dyDescent="0.25">
      <c r="D893" s="201" t="str">
        <f t="shared" si="13"/>
        <v/>
      </c>
      <c r="L893" s="201" t="str">
        <f>IFERROR(COUNTIF($C$21:C893,C893)&amp;CHOOSE(MIN(4,COUNTIF($C$21:C893,C893)),"st","nd","rd","th"),"")</f>
        <v/>
      </c>
    </row>
    <row r="894" spans="4:12" x14ac:dyDescent="0.25">
      <c r="D894" s="201" t="str">
        <f t="shared" si="13"/>
        <v/>
      </c>
      <c r="L894" s="201" t="str">
        <f>IFERROR(COUNTIF($C$21:C894,C894)&amp;CHOOSE(MIN(4,COUNTIF($C$21:C894,C894)),"st","nd","rd","th"),"")</f>
        <v/>
      </c>
    </row>
    <row r="895" spans="4:12" x14ac:dyDescent="0.25">
      <c r="D895" s="201" t="str">
        <f t="shared" si="13"/>
        <v/>
      </c>
      <c r="L895" s="201" t="str">
        <f>IFERROR(COUNTIF($C$21:C895,C895)&amp;CHOOSE(MIN(4,COUNTIF($C$21:C895,C895)),"st","nd","rd","th"),"")</f>
        <v/>
      </c>
    </row>
    <row r="896" spans="4:12" x14ac:dyDescent="0.25">
      <c r="D896" s="201" t="str">
        <f t="shared" si="13"/>
        <v/>
      </c>
      <c r="L896" s="201" t="str">
        <f>IFERROR(COUNTIF($C$21:C896,C896)&amp;CHOOSE(MIN(4,COUNTIF($C$21:C896,C896)),"st","nd","rd","th"),"")</f>
        <v/>
      </c>
    </row>
    <row r="897" spans="4:12" x14ac:dyDescent="0.25">
      <c r="D897" s="201" t="str">
        <f t="shared" si="13"/>
        <v/>
      </c>
      <c r="L897" s="201" t="str">
        <f>IFERROR(COUNTIF($C$21:C897,C897)&amp;CHOOSE(MIN(4,COUNTIF($C$21:C897,C897)),"st","nd","rd","th"),"")</f>
        <v/>
      </c>
    </row>
    <row r="898" spans="4:12" x14ac:dyDescent="0.25">
      <c r="D898" s="201" t="str">
        <f t="shared" si="13"/>
        <v/>
      </c>
      <c r="L898" s="201" t="str">
        <f>IFERROR(COUNTIF($C$21:C898,C898)&amp;CHOOSE(MIN(4,COUNTIF($C$21:C898,C898)),"st","nd","rd","th"),"")</f>
        <v/>
      </c>
    </row>
    <row r="899" spans="4:12" x14ac:dyDescent="0.25">
      <c r="D899" s="201" t="str">
        <f t="shared" si="13"/>
        <v/>
      </c>
      <c r="L899" s="201" t="str">
        <f>IFERROR(COUNTIF($C$21:C899,C899)&amp;CHOOSE(MIN(4,COUNTIF($C$21:C899,C899)),"st","nd","rd","th"),"")</f>
        <v/>
      </c>
    </row>
    <row r="900" spans="4:12" x14ac:dyDescent="0.25">
      <c r="D900" s="201" t="str">
        <f t="shared" si="13"/>
        <v/>
      </c>
      <c r="L900" s="201" t="str">
        <f>IFERROR(COUNTIF($C$21:C900,C900)&amp;CHOOSE(MIN(4,COUNTIF($C$21:C900,C900)),"st","nd","rd","th"),"")</f>
        <v/>
      </c>
    </row>
    <row r="901" spans="4:12" x14ac:dyDescent="0.25">
      <c r="D901" s="201" t="str">
        <f t="shared" si="13"/>
        <v/>
      </c>
      <c r="L901" s="201" t="str">
        <f>IFERROR(COUNTIF($C$21:C901,C901)&amp;CHOOSE(MIN(4,COUNTIF($C$21:C901,C901)),"st","nd","rd","th"),"")</f>
        <v/>
      </c>
    </row>
    <row r="902" spans="4:12" x14ac:dyDescent="0.25">
      <c r="D902" s="201" t="str">
        <f t="shared" si="13"/>
        <v/>
      </c>
      <c r="L902" s="201" t="str">
        <f>IFERROR(COUNTIF($C$21:C902,C902)&amp;CHOOSE(MIN(4,COUNTIF($C$21:C902,C902)),"st","nd","rd","th"),"")</f>
        <v/>
      </c>
    </row>
    <row r="903" spans="4:12" x14ac:dyDescent="0.25">
      <c r="D903" s="201" t="str">
        <f t="shared" si="13"/>
        <v/>
      </c>
      <c r="L903" s="201" t="str">
        <f>IFERROR(COUNTIF($C$21:C903,C903)&amp;CHOOSE(MIN(4,COUNTIF($C$21:C903,C903)),"st","nd","rd","th"),"")</f>
        <v/>
      </c>
    </row>
    <row r="904" spans="4:12" x14ac:dyDescent="0.25">
      <c r="D904" s="201" t="str">
        <f t="shared" si="13"/>
        <v/>
      </c>
      <c r="L904" s="201" t="str">
        <f>IFERROR(COUNTIF($C$21:C904,C904)&amp;CHOOSE(MIN(4,COUNTIF($C$21:C904,C904)),"st","nd","rd","th"),"")</f>
        <v/>
      </c>
    </row>
    <row r="905" spans="4:12" x14ac:dyDescent="0.25">
      <c r="D905" s="201" t="str">
        <f t="shared" si="13"/>
        <v/>
      </c>
      <c r="L905" s="201" t="str">
        <f>IFERROR(COUNTIF($C$21:C905,C905)&amp;CHOOSE(MIN(4,COUNTIF($C$21:C905,C905)),"st","nd","rd","th"),"")</f>
        <v/>
      </c>
    </row>
    <row r="906" spans="4:12" x14ac:dyDescent="0.25">
      <c r="D906" s="201" t="str">
        <f t="shared" si="13"/>
        <v/>
      </c>
      <c r="L906" s="201" t="str">
        <f>IFERROR(COUNTIF($C$21:C906,C906)&amp;CHOOSE(MIN(4,COUNTIF($C$21:C906,C906)),"st","nd","rd","th"),"")</f>
        <v/>
      </c>
    </row>
    <row r="907" spans="4:12" x14ac:dyDescent="0.25">
      <c r="D907" s="201" t="str">
        <f t="shared" si="13"/>
        <v/>
      </c>
      <c r="L907" s="201" t="str">
        <f>IFERROR(COUNTIF($C$21:C907,C907)&amp;CHOOSE(MIN(4,COUNTIF($C$21:C907,C907)),"st","nd","rd","th"),"")</f>
        <v/>
      </c>
    </row>
    <row r="908" spans="4:12" x14ac:dyDescent="0.25">
      <c r="D908" s="201" t="str">
        <f t="shared" si="13"/>
        <v/>
      </c>
      <c r="L908" s="201" t="str">
        <f>IFERROR(COUNTIF($C$21:C908,C908)&amp;CHOOSE(MIN(4,COUNTIF($C$21:C908,C908)),"st","nd","rd","th"),"")</f>
        <v/>
      </c>
    </row>
    <row r="909" spans="4:12" x14ac:dyDescent="0.25">
      <c r="D909" s="201" t="str">
        <f t="shared" si="13"/>
        <v/>
      </c>
      <c r="L909" s="201" t="str">
        <f>IFERROR(COUNTIF($C$21:C909,C909)&amp;CHOOSE(MIN(4,COUNTIF($C$21:C909,C909)),"st","nd","rd","th"),"")</f>
        <v/>
      </c>
    </row>
    <row r="910" spans="4:12" x14ac:dyDescent="0.25">
      <c r="D910" s="201" t="str">
        <f t="shared" si="13"/>
        <v/>
      </c>
      <c r="L910" s="201" t="str">
        <f>IFERROR(COUNTIF($C$21:C910,C910)&amp;CHOOSE(MIN(4,COUNTIF($C$21:C910,C910)),"st","nd","rd","th"),"")</f>
        <v/>
      </c>
    </row>
    <row r="911" spans="4:12" x14ac:dyDescent="0.25">
      <c r="D911" s="201" t="str">
        <f t="shared" si="13"/>
        <v/>
      </c>
      <c r="L911" s="201" t="str">
        <f>IFERROR(COUNTIF($C$21:C911,C911)&amp;CHOOSE(MIN(4,COUNTIF($C$21:C911,C911)),"st","nd","rd","th"),"")</f>
        <v/>
      </c>
    </row>
    <row r="912" spans="4:12" x14ac:dyDescent="0.25">
      <c r="D912" s="201" t="str">
        <f t="shared" si="13"/>
        <v/>
      </c>
      <c r="L912" s="201" t="str">
        <f>IFERROR(COUNTIF($C$21:C912,C912)&amp;CHOOSE(MIN(4,COUNTIF($C$21:C912,C912)),"st","nd","rd","th"),"")</f>
        <v/>
      </c>
    </row>
    <row r="913" spans="4:12" x14ac:dyDescent="0.25">
      <c r="D913" s="201" t="str">
        <f t="shared" si="13"/>
        <v/>
      </c>
      <c r="L913" s="201" t="str">
        <f>IFERROR(COUNTIF($C$21:C913,C913)&amp;CHOOSE(MIN(4,COUNTIF($C$21:C913,C913)),"st","nd","rd","th"),"")</f>
        <v/>
      </c>
    </row>
    <row r="914" spans="4:12" x14ac:dyDescent="0.25">
      <c r="D914" s="201" t="str">
        <f t="shared" si="13"/>
        <v/>
      </c>
      <c r="L914" s="201" t="str">
        <f>IFERROR(COUNTIF($C$21:C914,C914)&amp;CHOOSE(MIN(4,COUNTIF($C$21:C914,C914)),"st","nd","rd","th"),"")</f>
        <v/>
      </c>
    </row>
    <row r="915" spans="4:12" x14ac:dyDescent="0.25">
      <c r="D915" s="201" t="str">
        <f t="shared" si="13"/>
        <v/>
      </c>
      <c r="L915" s="201" t="str">
        <f>IFERROR(COUNTIF($C$21:C915,C915)&amp;CHOOSE(MIN(4,COUNTIF($C$21:C915,C915)),"st","nd","rd","th"),"")</f>
        <v/>
      </c>
    </row>
    <row r="916" spans="4:12" x14ac:dyDescent="0.25">
      <c r="D916" s="201" t="str">
        <f t="shared" si="13"/>
        <v/>
      </c>
      <c r="L916" s="201" t="str">
        <f>IFERROR(COUNTIF($C$21:C916,C916)&amp;CHOOSE(MIN(4,COUNTIF($C$21:C916,C916)),"st","nd","rd","th"),"")</f>
        <v/>
      </c>
    </row>
    <row r="917" spans="4:12" x14ac:dyDescent="0.25">
      <c r="D917" s="201" t="str">
        <f t="shared" si="13"/>
        <v/>
      </c>
      <c r="L917" s="201" t="str">
        <f>IFERROR(COUNTIF($C$21:C917,C917)&amp;CHOOSE(MIN(4,COUNTIF($C$21:C917,C917)),"st","nd","rd","th"),"")</f>
        <v/>
      </c>
    </row>
    <row r="918" spans="4:12" x14ac:dyDescent="0.25">
      <c r="D918" s="201" t="str">
        <f t="shared" ref="D918:D981" si="14">IF(B918="","",IF(B918="Province_PLGU","PLGU","City / Municipality"))</f>
        <v/>
      </c>
      <c r="L918" s="201" t="str">
        <f>IFERROR(COUNTIF($C$21:C918,C918)&amp;CHOOSE(MIN(4,COUNTIF($C$21:C918,C918)),"st","nd","rd","th"),"")</f>
        <v/>
      </c>
    </row>
    <row r="919" spans="4:12" x14ac:dyDescent="0.25">
      <c r="D919" s="201" t="str">
        <f t="shared" si="14"/>
        <v/>
      </c>
      <c r="L919" s="201" t="str">
        <f>IFERROR(COUNTIF($C$21:C919,C919)&amp;CHOOSE(MIN(4,COUNTIF($C$21:C919,C919)),"st","nd","rd","th"),"")</f>
        <v/>
      </c>
    </row>
    <row r="920" spans="4:12" x14ac:dyDescent="0.25">
      <c r="D920" s="201" t="str">
        <f t="shared" si="14"/>
        <v/>
      </c>
      <c r="L920" s="201" t="str">
        <f>IFERROR(COUNTIF($C$21:C920,C920)&amp;CHOOSE(MIN(4,COUNTIF($C$21:C920,C920)),"st","nd","rd","th"),"")</f>
        <v/>
      </c>
    </row>
    <row r="921" spans="4:12" x14ac:dyDescent="0.25">
      <c r="D921" s="201" t="str">
        <f t="shared" si="14"/>
        <v/>
      </c>
      <c r="L921" s="201" t="str">
        <f>IFERROR(COUNTIF($C$21:C921,C921)&amp;CHOOSE(MIN(4,COUNTIF($C$21:C921,C921)),"st","nd","rd","th"),"")</f>
        <v/>
      </c>
    </row>
    <row r="922" spans="4:12" x14ac:dyDescent="0.25">
      <c r="D922" s="201" t="str">
        <f t="shared" si="14"/>
        <v/>
      </c>
      <c r="L922" s="201" t="str">
        <f>IFERROR(COUNTIF($C$21:C922,C922)&amp;CHOOSE(MIN(4,COUNTIF($C$21:C922,C922)),"st","nd","rd","th"),"")</f>
        <v/>
      </c>
    </row>
    <row r="923" spans="4:12" x14ac:dyDescent="0.25">
      <c r="D923" s="201" t="str">
        <f t="shared" si="14"/>
        <v/>
      </c>
      <c r="L923" s="201" t="str">
        <f>IFERROR(COUNTIF($C$21:C923,C923)&amp;CHOOSE(MIN(4,COUNTIF($C$21:C923,C923)),"st","nd","rd","th"),"")</f>
        <v/>
      </c>
    </row>
    <row r="924" spans="4:12" x14ac:dyDescent="0.25">
      <c r="D924" s="201" t="str">
        <f t="shared" si="14"/>
        <v/>
      </c>
      <c r="L924" s="201" t="str">
        <f>IFERROR(COUNTIF($C$21:C924,C924)&amp;CHOOSE(MIN(4,COUNTIF($C$21:C924,C924)),"st","nd","rd","th"),"")</f>
        <v/>
      </c>
    </row>
    <row r="925" spans="4:12" x14ac:dyDescent="0.25">
      <c r="D925" s="201" t="str">
        <f t="shared" si="14"/>
        <v/>
      </c>
      <c r="L925" s="201" t="str">
        <f>IFERROR(COUNTIF($C$21:C925,C925)&amp;CHOOSE(MIN(4,COUNTIF($C$21:C925,C925)),"st","nd","rd","th"),"")</f>
        <v/>
      </c>
    </row>
    <row r="926" spans="4:12" x14ac:dyDescent="0.25">
      <c r="D926" s="201" t="str">
        <f t="shared" si="14"/>
        <v/>
      </c>
      <c r="L926" s="201" t="str">
        <f>IFERROR(COUNTIF($C$21:C926,C926)&amp;CHOOSE(MIN(4,COUNTIF($C$21:C926,C926)),"st","nd","rd","th"),"")</f>
        <v/>
      </c>
    </row>
    <row r="927" spans="4:12" x14ac:dyDescent="0.25">
      <c r="D927" s="201" t="str">
        <f t="shared" si="14"/>
        <v/>
      </c>
      <c r="L927" s="201" t="str">
        <f>IFERROR(COUNTIF($C$21:C927,C927)&amp;CHOOSE(MIN(4,COUNTIF($C$21:C927,C927)),"st","nd","rd","th"),"")</f>
        <v/>
      </c>
    </row>
    <row r="928" spans="4:12" x14ac:dyDescent="0.25">
      <c r="D928" s="201" t="str">
        <f t="shared" si="14"/>
        <v/>
      </c>
      <c r="L928" s="201" t="str">
        <f>IFERROR(COUNTIF($C$21:C928,C928)&amp;CHOOSE(MIN(4,COUNTIF($C$21:C928,C928)),"st","nd","rd","th"),"")</f>
        <v/>
      </c>
    </row>
    <row r="929" spans="4:12" x14ac:dyDescent="0.25">
      <c r="D929" s="201" t="str">
        <f t="shared" si="14"/>
        <v/>
      </c>
      <c r="L929" s="201" t="str">
        <f>IFERROR(COUNTIF($C$21:C929,C929)&amp;CHOOSE(MIN(4,COUNTIF($C$21:C929,C929)),"st","nd","rd","th"),"")</f>
        <v/>
      </c>
    </row>
    <row r="930" spans="4:12" x14ac:dyDescent="0.25">
      <c r="D930" s="201" t="str">
        <f t="shared" si="14"/>
        <v/>
      </c>
      <c r="L930" s="201" t="str">
        <f>IFERROR(COUNTIF($C$21:C930,C930)&amp;CHOOSE(MIN(4,COUNTIF($C$21:C930,C930)),"st","nd","rd","th"),"")</f>
        <v/>
      </c>
    </row>
    <row r="931" spans="4:12" x14ac:dyDescent="0.25">
      <c r="D931" s="201" t="str">
        <f t="shared" si="14"/>
        <v/>
      </c>
      <c r="L931" s="201" t="str">
        <f>IFERROR(COUNTIF($C$21:C931,C931)&amp;CHOOSE(MIN(4,COUNTIF($C$21:C931,C931)),"st","nd","rd","th"),"")</f>
        <v/>
      </c>
    </row>
    <row r="932" spans="4:12" x14ac:dyDescent="0.25">
      <c r="D932" s="201" t="str">
        <f t="shared" si="14"/>
        <v/>
      </c>
      <c r="L932" s="201" t="str">
        <f>IFERROR(COUNTIF($C$21:C932,C932)&amp;CHOOSE(MIN(4,COUNTIF($C$21:C932,C932)),"st","nd","rd","th"),"")</f>
        <v/>
      </c>
    </row>
    <row r="933" spans="4:12" x14ac:dyDescent="0.25">
      <c r="D933" s="201" t="str">
        <f t="shared" si="14"/>
        <v/>
      </c>
      <c r="L933" s="201" t="str">
        <f>IFERROR(COUNTIF($C$21:C933,C933)&amp;CHOOSE(MIN(4,COUNTIF($C$21:C933,C933)),"st","nd","rd","th"),"")</f>
        <v/>
      </c>
    </row>
    <row r="934" spans="4:12" x14ac:dyDescent="0.25">
      <c r="D934" s="201" t="str">
        <f t="shared" si="14"/>
        <v/>
      </c>
      <c r="L934" s="201" t="str">
        <f>IFERROR(COUNTIF($C$21:C934,C934)&amp;CHOOSE(MIN(4,COUNTIF($C$21:C934,C934)),"st","nd","rd","th"),"")</f>
        <v/>
      </c>
    </row>
    <row r="935" spans="4:12" x14ac:dyDescent="0.25">
      <c r="D935" s="201" t="str">
        <f t="shared" si="14"/>
        <v/>
      </c>
      <c r="L935" s="201" t="str">
        <f>IFERROR(COUNTIF($C$21:C935,C935)&amp;CHOOSE(MIN(4,COUNTIF($C$21:C935,C935)),"st","nd","rd","th"),"")</f>
        <v/>
      </c>
    </row>
    <row r="936" spans="4:12" x14ac:dyDescent="0.25">
      <c r="D936" s="201" t="str">
        <f t="shared" si="14"/>
        <v/>
      </c>
      <c r="L936" s="201" t="str">
        <f>IFERROR(COUNTIF($C$21:C936,C936)&amp;CHOOSE(MIN(4,COUNTIF($C$21:C936,C936)),"st","nd","rd","th"),"")</f>
        <v/>
      </c>
    </row>
    <row r="937" spans="4:12" x14ac:dyDescent="0.25">
      <c r="D937" s="201" t="str">
        <f t="shared" si="14"/>
        <v/>
      </c>
      <c r="L937" s="201" t="str">
        <f>IFERROR(COUNTIF($C$21:C937,C937)&amp;CHOOSE(MIN(4,COUNTIF($C$21:C937,C937)),"st","nd","rd","th"),"")</f>
        <v/>
      </c>
    </row>
    <row r="938" spans="4:12" x14ac:dyDescent="0.25">
      <c r="D938" s="201" t="str">
        <f t="shared" si="14"/>
        <v/>
      </c>
      <c r="L938" s="201" t="str">
        <f>IFERROR(COUNTIF($C$21:C938,C938)&amp;CHOOSE(MIN(4,COUNTIF($C$21:C938,C938)),"st","nd","rd","th"),"")</f>
        <v/>
      </c>
    </row>
    <row r="939" spans="4:12" x14ac:dyDescent="0.25">
      <c r="D939" s="201" t="str">
        <f t="shared" si="14"/>
        <v/>
      </c>
      <c r="L939" s="201" t="str">
        <f>IFERROR(COUNTIF($C$21:C939,C939)&amp;CHOOSE(MIN(4,COUNTIF($C$21:C939,C939)),"st","nd","rd","th"),"")</f>
        <v/>
      </c>
    </row>
    <row r="940" spans="4:12" x14ac:dyDescent="0.25">
      <c r="D940" s="201" t="str">
        <f t="shared" si="14"/>
        <v/>
      </c>
      <c r="L940" s="201" t="str">
        <f>IFERROR(COUNTIF($C$21:C940,C940)&amp;CHOOSE(MIN(4,COUNTIF($C$21:C940,C940)),"st","nd","rd","th"),"")</f>
        <v/>
      </c>
    </row>
    <row r="941" spans="4:12" x14ac:dyDescent="0.25">
      <c r="D941" s="201" t="str">
        <f t="shared" si="14"/>
        <v/>
      </c>
      <c r="L941" s="201" t="str">
        <f>IFERROR(COUNTIF($C$21:C941,C941)&amp;CHOOSE(MIN(4,COUNTIF($C$21:C941,C941)),"st","nd","rd","th"),"")</f>
        <v/>
      </c>
    </row>
    <row r="942" spans="4:12" x14ac:dyDescent="0.25">
      <c r="D942" s="201" t="str">
        <f t="shared" si="14"/>
        <v/>
      </c>
      <c r="L942" s="201" t="str">
        <f>IFERROR(COUNTIF($C$21:C942,C942)&amp;CHOOSE(MIN(4,COUNTIF($C$21:C942,C942)),"st","nd","rd","th"),"")</f>
        <v/>
      </c>
    </row>
    <row r="943" spans="4:12" x14ac:dyDescent="0.25">
      <c r="D943" s="201" t="str">
        <f t="shared" si="14"/>
        <v/>
      </c>
      <c r="L943" s="201" t="str">
        <f>IFERROR(COUNTIF($C$21:C943,C943)&amp;CHOOSE(MIN(4,COUNTIF($C$21:C943,C943)),"st","nd","rd","th"),"")</f>
        <v/>
      </c>
    </row>
    <row r="944" spans="4:12" x14ac:dyDescent="0.25">
      <c r="D944" s="201" t="str">
        <f t="shared" si="14"/>
        <v/>
      </c>
      <c r="L944" s="201" t="str">
        <f>IFERROR(COUNTIF($C$21:C944,C944)&amp;CHOOSE(MIN(4,COUNTIF($C$21:C944,C944)),"st","nd","rd","th"),"")</f>
        <v/>
      </c>
    </row>
    <row r="945" spans="4:12" x14ac:dyDescent="0.25">
      <c r="D945" s="201" t="str">
        <f t="shared" si="14"/>
        <v/>
      </c>
      <c r="L945" s="201" t="str">
        <f>IFERROR(COUNTIF($C$21:C945,C945)&amp;CHOOSE(MIN(4,COUNTIF($C$21:C945,C945)),"st","nd","rd","th"),"")</f>
        <v/>
      </c>
    </row>
    <row r="946" spans="4:12" x14ac:dyDescent="0.25">
      <c r="D946" s="201" t="str">
        <f t="shared" si="14"/>
        <v/>
      </c>
      <c r="L946" s="201" t="str">
        <f>IFERROR(COUNTIF($C$21:C946,C946)&amp;CHOOSE(MIN(4,COUNTIF($C$21:C946,C946)),"st","nd","rd","th"),"")</f>
        <v/>
      </c>
    </row>
    <row r="947" spans="4:12" x14ac:dyDescent="0.25">
      <c r="D947" s="201" t="str">
        <f t="shared" si="14"/>
        <v/>
      </c>
      <c r="L947" s="201" t="str">
        <f>IFERROR(COUNTIF($C$21:C947,C947)&amp;CHOOSE(MIN(4,COUNTIF($C$21:C947,C947)),"st","nd","rd","th"),"")</f>
        <v/>
      </c>
    </row>
    <row r="948" spans="4:12" x14ac:dyDescent="0.25">
      <c r="D948" s="201" t="str">
        <f t="shared" si="14"/>
        <v/>
      </c>
      <c r="L948" s="201" t="str">
        <f>IFERROR(COUNTIF($C$21:C948,C948)&amp;CHOOSE(MIN(4,COUNTIF($C$21:C948,C948)),"st","nd","rd","th"),"")</f>
        <v/>
      </c>
    </row>
    <row r="949" spans="4:12" x14ac:dyDescent="0.25">
      <c r="D949" s="201" t="str">
        <f t="shared" si="14"/>
        <v/>
      </c>
      <c r="L949" s="201" t="str">
        <f>IFERROR(COUNTIF($C$21:C949,C949)&amp;CHOOSE(MIN(4,COUNTIF($C$21:C949,C949)),"st","nd","rd","th"),"")</f>
        <v/>
      </c>
    </row>
    <row r="950" spans="4:12" x14ac:dyDescent="0.25">
      <c r="D950" s="201" t="str">
        <f t="shared" si="14"/>
        <v/>
      </c>
      <c r="L950" s="201" t="str">
        <f>IFERROR(COUNTIF($C$21:C950,C950)&amp;CHOOSE(MIN(4,COUNTIF($C$21:C950,C950)),"st","nd","rd","th"),"")</f>
        <v/>
      </c>
    </row>
    <row r="951" spans="4:12" x14ac:dyDescent="0.25">
      <c r="D951" s="201" t="str">
        <f t="shared" si="14"/>
        <v/>
      </c>
      <c r="L951" s="201" t="str">
        <f>IFERROR(COUNTIF($C$21:C951,C951)&amp;CHOOSE(MIN(4,COUNTIF($C$21:C951,C951)),"st","nd","rd","th"),"")</f>
        <v/>
      </c>
    </row>
    <row r="952" spans="4:12" x14ac:dyDescent="0.25">
      <c r="D952" s="201" t="str">
        <f t="shared" si="14"/>
        <v/>
      </c>
      <c r="L952" s="201" t="str">
        <f>IFERROR(COUNTIF($C$21:C952,C952)&amp;CHOOSE(MIN(4,COUNTIF($C$21:C952,C952)),"st","nd","rd","th"),"")</f>
        <v/>
      </c>
    </row>
    <row r="953" spans="4:12" x14ac:dyDescent="0.25">
      <c r="D953" s="201" t="str">
        <f t="shared" si="14"/>
        <v/>
      </c>
      <c r="L953" s="201" t="str">
        <f>IFERROR(COUNTIF($C$21:C953,C953)&amp;CHOOSE(MIN(4,COUNTIF($C$21:C953,C953)),"st","nd","rd","th"),"")</f>
        <v/>
      </c>
    </row>
    <row r="954" spans="4:12" x14ac:dyDescent="0.25">
      <c r="D954" s="201" t="str">
        <f t="shared" si="14"/>
        <v/>
      </c>
      <c r="L954" s="201" t="str">
        <f>IFERROR(COUNTIF($C$21:C954,C954)&amp;CHOOSE(MIN(4,COUNTIF($C$21:C954,C954)),"st","nd","rd","th"),"")</f>
        <v/>
      </c>
    </row>
    <row r="955" spans="4:12" x14ac:dyDescent="0.25">
      <c r="D955" s="201" t="str">
        <f t="shared" si="14"/>
        <v/>
      </c>
      <c r="L955" s="201" t="str">
        <f>IFERROR(COUNTIF($C$21:C955,C955)&amp;CHOOSE(MIN(4,COUNTIF($C$21:C955,C955)),"st","nd","rd","th"),"")</f>
        <v/>
      </c>
    </row>
    <row r="956" spans="4:12" x14ac:dyDescent="0.25">
      <c r="D956" s="201" t="str">
        <f t="shared" si="14"/>
        <v/>
      </c>
      <c r="L956" s="201" t="str">
        <f>IFERROR(COUNTIF($C$21:C956,C956)&amp;CHOOSE(MIN(4,COUNTIF($C$21:C956,C956)),"st","nd","rd","th"),"")</f>
        <v/>
      </c>
    </row>
    <row r="957" spans="4:12" x14ac:dyDescent="0.25">
      <c r="D957" s="201" t="str">
        <f t="shared" si="14"/>
        <v/>
      </c>
      <c r="L957" s="201" t="str">
        <f>IFERROR(COUNTIF($C$21:C957,C957)&amp;CHOOSE(MIN(4,COUNTIF($C$21:C957,C957)),"st","nd","rd","th"),"")</f>
        <v/>
      </c>
    </row>
    <row r="958" spans="4:12" x14ac:dyDescent="0.25">
      <c r="D958" s="201" t="str">
        <f t="shared" si="14"/>
        <v/>
      </c>
      <c r="L958" s="201" t="str">
        <f>IFERROR(COUNTIF($C$21:C958,C958)&amp;CHOOSE(MIN(4,COUNTIF($C$21:C958,C958)),"st","nd","rd","th"),"")</f>
        <v/>
      </c>
    </row>
    <row r="959" spans="4:12" x14ac:dyDescent="0.25">
      <c r="D959" s="201" t="str">
        <f t="shared" si="14"/>
        <v/>
      </c>
      <c r="L959" s="201" t="str">
        <f>IFERROR(COUNTIF($C$21:C959,C959)&amp;CHOOSE(MIN(4,COUNTIF($C$21:C959,C959)),"st","nd","rd","th"),"")</f>
        <v/>
      </c>
    </row>
    <row r="960" spans="4:12" x14ac:dyDescent="0.25">
      <c r="D960" s="201" t="str">
        <f t="shared" si="14"/>
        <v/>
      </c>
      <c r="L960" s="201" t="str">
        <f>IFERROR(COUNTIF($C$21:C960,C960)&amp;CHOOSE(MIN(4,COUNTIF($C$21:C960,C960)),"st","nd","rd","th"),"")</f>
        <v/>
      </c>
    </row>
    <row r="961" spans="4:12" x14ac:dyDescent="0.25">
      <c r="D961" s="201" t="str">
        <f t="shared" si="14"/>
        <v/>
      </c>
      <c r="L961" s="201" t="str">
        <f>IFERROR(COUNTIF($C$21:C961,C961)&amp;CHOOSE(MIN(4,COUNTIF($C$21:C961,C961)),"st","nd","rd","th"),"")</f>
        <v/>
      </c>
    </row>
    <row r="962" spans="4:12" x14ac:dyDescent="0.25">
      <c r="D962" s="201" t="str">
        <f t="shared" si="14"/>
        <v/>
      </c>
      <c r="L962" s="201" t="str">
        <f>IFERROR(COUNTIF($C$21:C962,C962)&amp;CHOOSE(MIN(4,COUNTIF($C$21:C962,C962)),"st","nd","rd","th"),"")</f>
        <v/>
      </c>
    </row>
    <row r="963" spans="4:12" x14ac:dyDescent="0.25">
      <c r="D963" s="201" t="str">
        <f t="shared" si="14"/>
        <v/>
      </c>
      <c r="L963" s="201" t="str">
        <f>IFERROR(COUNTIF($C$21:C963,C963)&amp;CHOOSE(MIN(4,COUNTIF($C$21:C963,C963)),"st","nd","rd","th"),"")</f>
        <v/>
      </c>
    </row>
    <row r="964" spans="4:12" x14ac:dyDescent="0.25">
      <c r="D964" s="201" t="str">
        <f t="shared" si="14"/>
        <v/>
      </c>
      <c r="L964" s="201" t="str">
        <f>IFERROR(COUNTIF($C$21:C964,C964)&amp;CHOOSE(MIN(4,COUNTIF($C$21:C964,C964)),"st","nd","rd","th"),"")</f>
        <v/>
      </c>
    </row>
    <row r="965" spans="4:12" x14ac:dyDescent="0.25">
      <c r="D965" s="201" t="str">
        <f t="shared" si="14"/>
        <v/>
      </c>
      <c r="L965" s="201" t="str">
        <f>IFERROR(COUNTIF($C$21:C965,C965)&amp;CHOOSE(MIN(4,COUNTIF($C$21:C965,C965)),"st","nd","rd","th"),"")</f>
        <v/>
      </c>
    </row>
    <row r="966" spans="4:12" x14ac:dyDescent="0.25">
      <c r="D966" s="201" t="str">
        <f t="shared" si="14"/>
        <v/>
      </c>
      <c r="L966" s="201" t="str">
        <f>IFERROR(COUNTIF($C$21:C966,C966)&amp;CHOOSE(MIN(4,COUNTIF($C$21:C966,C966)),"st","nd","rd","th"),"")</f>
        <v/>
      </c>
    </row>
    <row r="967" spans="4:12" x14ac:dyDescent="0.25">
      <c r="D967" s="201" t="str">
        <f t="shared" si="14"/>
        <v/>
      </c>
      <c r="L967" s="201" t="str">
        <f>IFERROR(COUNTIF($C$21:C967,C967)&amp;CHOOSE(MIN(4,COUNTIF($C$21:C967,C967)),"st","nd","rd","th"),"")</f>
        <v/>
      </c>
    </row>
    <row r="968" spans="4:12" x14ac:dyDescent="0.25">
      <c r="D968" s="201" t="str">
        <f t="shared" si="14"/>
        <v/>
      </c>
      <c r="L968" s="201" t="str">
        <f>IFERROR(COUNTIF($C$21:C968,C968)&amp;CHOOSE(MIN(4,COUNTIF($C$21:C968,C968)),"st","nd","rd","th"),"")</f>
        <v/>
      </c>
    </row>
    <row r="969" spans="4:12" x14ac:dyDescent="0.25">
      <c r="D969" s="201" t="str">
        <f t="shared" si="14"/>
        <v/>
      </c>
      <c r="L969" s="201" t="str">
        <f>IFERROR(COUNTIF($C$21:C969,C969)&amp;CHOOSE(MIN(4,COUNTIF($C$21:C969,C969)),"st","nd","rd","th"),"")</f>
        <v/>
      </c>
    </row>
    <row r="970" spans="4:12" x14ac:dyDescent="0.25">
      <c r="D970" s="201" t="str">
        <f t="shared" si="14"/>
        <v/>
      </c>
      <c r="L970" s="201" t="str">
        <f>IFERROR(COUNTIF($C$21:C970,C970)&amp;CHOOSE(MIN(4,COUNTIF($C$21:C970,C970)),"st","nd","rd","th"),"")</f>
        <v/>
      </c>
    </row>
    <row r="971" spans="4:12" x14ac:dyDescent="0.25">
      <c r="D971" s="201" t="str">
        <f t="shared" si="14"/>
        <v/>
      </c>
      <c r="L971" s="201" t="str">
        <f>IFERROR(COUNTIF($C$21:C971,C971)&amp;CHOOSE(MIN(4,COUNTIF($C$21:C971,C971)),"st","nd","rd","th"),"")</f>
        <v/>
      </c>
    </row>
    <row r="972" spans="4:12" x14ac:dyDescent="0.25">
      <c r="D972" s="201" t="str">
        <f t="shared" si="14"/>
        <v/>
      </c>
      <c r="L972" s="201" t="str">
        <f>IFERROR(COUNTIF($C$21:C972,C972)&amp;CHOOSE(MIN(4,COUNTIF($C$21:C972,C972)),"st","nd","rd","th"),"")</f>
        <v/>
      </c>
    </row>
    <row r="973" spans="4:12" x14ac:dyDescent="0.25">
      <c r="D973" s="201" t="str">
        <f t="shared" si="14"/>
        <v/>
      </c>
      <c r="L973" s="201" t="str">
        <f>IFERROR(COUNTIF($C$21:C973,C973)&amp;CHOOSE(MIN(4,COUNTIF($C$21:C973,C973)),"st","nd","rd","th"),"")</f>
        <v/>
      </c>
    </row>
    <row r="974" spans="4:12" x14ac:dyDescent="0.25">
      <c r="D974" s="201" t="str">
        <f t="shared" si="14"/>
        <v/>
      </c>
      <c r="L974" s="201" t="str">
        <f>IFERROR(COUNTIF($C$21:C974,C974)&amp;CHOOSE(MIN(4,COUNTIF($C$21:C974,C974)),"st","nd","rd","th"),"")</f>
        <v/>
      </c>
    </row>
    <row r="975" spans="4:12" x14ac:dyDescent="0.25">
      <c r="D975" s="201" t="str">
        <f t="shared" si="14"/>
        <v/>
      </c>
      <c r="L975" s="201" t="str">
        <f>IFERROR(COUNTIF($C$21:C975,C975)&amp;CHOOSE(MIN(4,COUNTIF($C$21:C975,C975)),"st","nd","rd","th"),"")</f>
        <v/>
      </c>
    </row>
    <row r="976" spans="4:12" x14ac:dyDescent="0.25">
      <c r="D976" s="201" t="str">
        <f t="shared" si="14"/>
        <v/>
      </c>
      <c r="L976" s="201" t="str">
        <f>IFERROR(COUNTIF($C$21:C976,C976)&amp;CHOOSE(MIN(4,COUNTIF($C$21:C976,C976)),"st","nd","rd","th"),"")</f>
        <v/>
      </c>
    </row>
    <row r="977" spans="4:12" x14ac:dyDescent="0.25">
      <c r="D977" s="201" t="str">
        <f t="shared" si="14"/>
        <v/>
      </c>
      <c r="L977" s="201" t="str">
        <f>IFERROR(COUNTIF($C$21:C977,C977)&amp;CHOOSE(MIN(4,COUNTIF($C$21:C977,C977)),"st","nd","rd","th"),"")</f>
        <v/>
      </c>
    </row>
    <row r="978" spans="4:12" x14ac:dyDescent="0.25">
      <c r="D978" s="201" t="str">
        <f t="shared" si="14"/>
        <v/>
      </c>
      <c r="L978" s="201" t="str">
        <f>IFERROR(COUNTIF($C$21:C978,C978)&amp;CHOOSE(MIN(4,COUNTIF($C$21:C978,C978)),"st","nd","rd","th"),"")</f>
        <v/>
      </c>
    </row>
    <row r="979" spans="4:12" x14ac:dyDescent="0.25">
      <c r="D979" s="201" t="str">
        <f t="shared" si="14"/>
        <v/>
      </c>
      <c r="L979" s="201" t="str">
        <f>IFERROR(COUNTIF($C$21:C979,C979)&amp;CHOOSE(MIN(4,COUNTIF($C$21:C979,C979)),"st","nd","rd","th"),"")</f>
        <v/>
      </c>
    </row>
    <row r="980" spans="4:12" x14ac:dyDescent="0.25">
      <c r="D980" s="201" t="str">
        <f t="shared" si="14"/>
        <v/>
      </c>
      <c r="L980" s="201" t="str">
        <f>IFERROR(COUNTIF($C$21:C980,C980)&amp;CHOOSE(MIN(4,COUNTIF($C$21:C980,C980)),"st","nd","rd","th"),"")</f>
        <v/>
      </c>
    </row>
    <row r="981" spans="4:12" x14ac:dyDescent="0.25">
      <c r="D981" s="201" t="str">
        <f t="shared" si="14"/>
        <v/>
      </c>
      <c r="L981" s="201" t="str">
        <f>IFERROR(COUNTIF($C$21:C981,C981)&amp;CHOOSE(MIN(4,COUNTIF($C$21:C981,C981)),"st","nd","rd","th"),"")</f>
        <v/>
      </c>
    </row>
    <row r="982" spans="4:12" x14ac:dyDescent="0.25">
      <c r="D982" s="201" t="str">
        <f t="shared" ref="D982:D1004" si="15">IF(B982="","",IF(B982="Province_PLGU","PLGU","City / Municipality"))</f>
        <v/>
      </c>
      <c r="L982" s="201" t="str">
        <f>IFERROR(COUNTIF($C$21:C982,C982)&amp;CHOOSE(MIN(4,COUNTIF($C$21:C982,C982)),"st","nd","rd","th"),"")</f>
        <v/>
      </c>
    </row>
    <row r="983" spans="4:12" x14ac:dyDescent="0.25">
      <c r="D983" s="201" t="str">
        <f t="shared" si="15"/>
        <v/>
      </c>
      <c r="L983" s="201" t="str">
        <f>IFERROR(COUNTIF($C$21:C983,C983)&amp;CHOOSE(MIN(4,COUNTIF($C$21:C983,C983)),"st","nd","rd","th"),"")</f>
        <v/>
      </c>
    </row>
    <row r="984" spans="4:12" x14ac:dyDescent="0.25">
      <c r="D984" s="201" t="str">
        <f t="shared" si="15"/>
        <v/>
      </c>
      <c r="L984" s="201" t="str">
        <f>IFERROR(COUNTIF($C$21:C984,C984)&amp;CHOOSE(MIN(4,COUNTIF($C$21:C984,C984)),"st","nd","rd","th"),"")</f>
        <v/>
      </c>
    </row>
    <row r="985" spans="4:12" x14ac:dyDescent="0.25">
      <c r="D985" s="201" t="str">
        <f t="shared" si="15"/>
        <v/>
      </c>
      <c r="L985" s="201" t="str">
        <f>IFERROR(COUNTIF($C$21:C985,C985)&amp;CHOOSE(MIN(4,COUNTIF($C$21:C985,C985)),"st","nd","rd","th"),"")</f>
        <v/>
      </c>
    </row>
    <row r="986" spans="4:12" x14ac:dyDescent="0.25">
      <c r="D986" s="201" t="str">
        <f t="shared" si="15"/>
        <v/>
      </c>
      <c r="L986" s="201" t="str">
        <f>IFERROR(COUNTIF($C$21:C986,C986)&amp;CHOOSE(MIN(4,COUNTIF($C$21:C986,C986)),"st","nd","rd","th"),"")</f>
        <v/>
      </c>
    </row>
    <row r="987" spans="4:12" x14ac:dyDescent="0.25">
      <c r="D987" s="201" t="str">
        <f t="shared" si="15"/>
        <v/>
      </c>
      <c r="L987" s="201" t="str">
        <f>IFERROR(COUNTIF($C$21:C987,C987)&amp;CHOOSE(MIN(4,COUNTIF($C$21:C987,C987)),"st","nd","rd","th"),"")</f>
        <v/>
      </c>
    </row>
    <row r="988" spans="4:12" x14ac:dyDescent="0.25">
      <c r="D988" s="201" t="str">
        <f t="shared" si="15"/>
        <v/>
      </c>
      <c r="L988" s="201" t="str">
        <f>IFERROR(COUNTIF($C$21:C988,C988)&amp;CHOOSE(MIN(4,COUNTIF($C$21:C988,C988)),"st","nd","rd","th"),"")</f>
        <v/>
      </c>
    </row>
    <row r="989" spans="4:12" x14ac:dyDescent="0.25">
      <c r="D989" s="201" t="str">
        <f t="shared" si="15"/>
        <v/>
      </c>
      <c r="L989" s="201" t="str">
        <f>IFERROR(COUNTIF($C$21:C989,C989)&amp;CHOOSE(MIN(4,COUNTIF($C$21:C989,C989)),"st","nd","rd","th"),"")</f>
        <v/>
      </c>
    </row>
    <row r="990" spans="4:12" x14ac:dyDescent="0.25">
      <c r="D990" s="201" t="str">
        <f t="shared" si="15"/>
        <v/>
      </c>
      <c r="L990" s="201" t="str">
        <f>IFERROR(COUNTIF($C$21:C990,C990)&amp;CHOOSE(MIN(4,COUNTIF($C$21:C990,C990)),"st","nd","rd","th"),"")</f>
        <v/>
      </c>
    </row>
    <row r="991" spans="4:12" x14ac:dyDescent="0.25">
      <c r="D991" s="201" t="str">
        <f t="shared" si="15"/>
        <v/>
      </c>
      <c r="L991" s="201" t="str">
        <f>IFERROR(COUNTIF($C$21:C991,C991)&amp;CHOOSE(MIN(4,COUNTIF($C$21:C991,C991)),"st","nd","rd","th"),"")</f>
        <v/>
      </c>
    </row>
    <row r="992" spans="4:12" x14ac:dyDescent="0.25">
      <c r="D992" s="201" t="str">
        <f t="shared" si="15"/>
        <v/>
      </c>
      <c r="L992" s="201" t="str">
        <f>IFERROR(COUNTIF($C$21:C992,C992)&amp;CHOOSE(MIN(4,COUNTIF($C$21:C992,C992)),"st","nd","rd","th"),"")</f>
        <v/>
      </c>
    </row>
    <row r="993" spans="4:12" x14ac:dyDescent="0.25">
      <c r="D993" s="201" t="str">
        <f t="shared" si="15"/>
        <v/>
      </c>
      <c r="L993" s="201" t="str">
        <f>IFERROR(COUNTIF($C$21:C993,C993)&amp;CHOOSE(MIN(4,COUNTIF($C$21:C993,C993)),"st","nd","rd","th"),"")</f>
        <v/>
      </c>
    </row>
    <row r="994" spans="4:12" x14ac:dyDescent="0.25">
      <c r="D994" s="201" t="str">
        <f t="shared" si="15"/>
        <v/>
      </c>
      <c r="L994" s="201" t="str">
        <f>IFERROR(COUNTIF($C$21:C994,C994)&amp;CHOOSE(MIN(4,COUNTIF($C$21:C994,C994)),"st","nd","rd","th"),"")</f>
        <v/>
      </c>
    </row>
    <row r="995" spans="4:12" x14ac:dyDescent="0.25">
      <c r="D995" s="201" t="str">
        <f t="shared" si="15"/>
        <v/>
      </c>
      <c r="L995" s="201" t="str">
        <f>IFERROR(COUNTIF($C$21:C995,C995)&amp;CHOOSE(MIN(4,COUNTIF($C$21:C995,C995)),"st","nd","rd","th"),"")</f>
        <v/>
      </c>
    </row>
    <row r="996" spans="4:12" x14ac:dyDescent="0.25">
      <c r="D996" s="201" t="str">
        <f t="shared" si="15"/>
        <v/>
      </c>
      <c r="L996" s="201" t="str">
        <f>IFERROR(COUNTIF($C$21:C996,C996)&amp;CHOOSE(MIN(4,COUNTIF($C$21:C996,C996)),"st","nd","rd","th"),"")</f>
        <v/>
      </c>
    </row>
    <row r="997" spans="4:12" x14ac:dyDescent="0.25">
      <c r="D997" s="201" t="str">
        <f t="shared" si="15"/>
        <v/>
      </c>
      <c r="L997" s="201" t="str">
        <f>IFERROR(COUNTIF($C$21:C997,C997)&amp;CHOOSE(MIN(4,COUNTIF($C$21:C997,C997)),"st","nd","rd","th"),"")</f>
        <v/>
      </c>
    </row>
    <row r="998" spans="4:12" x14ac:dyDescent="0.25">
      <c r="D998" s="201" t="str">
        <f t="shared" si="15"/>
        <v/>
      </c>
      <c r="L998" s="201" t="str">
        <f>IFERROR(COUNTIF($C$21:C998,C998)&amp;CHOOSE(MIN(4,COUNTIF($C$21:C998,C998)),"st","nd","rd","th"),"")</f>
        <v/>
      </c>
    </row>
    <row r="999" spans="4:12" x14ac:dyDescent="0.25">
      <c r="D999" s="201" t="str">
        <f t="shared" si="15"/>
        <v/>
      </c>
      <c r="L999" s="201" t="str">
        <f>IFERROR(COUNTIF($C$21:C999,C999)&amp;CHOOSE(MIN(4,COUNTIF($C$21:C999,C999)),"st","nd","rd","th"),"")</f>
        <v/>
      </c>
    </row>
    <row r="1000" spans="4:12" x14ac:dyDescent="0.25">
      <c r="D1000" s="201" t="str">
        <f t="shared" si="15"/>
        <v/>
      </c>
      <c r="L1000" s="201" t="str">
        <f>IFERROR(COUNTIF($C$21:C1000,C1000)&amp;CHOOSE(MIN(4,COUNTIF($C$21:C1000,C1000)),"st","nd","rd","th"),"")</f>
        <v/>
      </c>
    </row>
    <row r="1001" spans="4:12" x14ac:dyDescent="0.25">
      <c r="D1001" s="201" t="str">
        <f t="shared" si="15"/>
        <v/>
      </c>
      <c r="L1001" s="201" t="str">
        <f>IFERROR(COUNTIF($C$21:C1001,C1001)&amp;CHOOSE(MIN(4,COUNTIF($C$21:C1001,C1001)),"st","nd","rd","th"),"")</f>
        <v/>
      </c>
    </row>
    <row r="1002" spans="4:12" x14ac:dyDescent="0.25">
      <c r="D1002" s="201" t="str">
        <f t="shared" si="15"/>
        <v/>
      </c>
      <c r="L1002" s="201" t="str">
        <f>IFERROR(COUNTIF($C$21:C1002,C1002)&amp;CHOOSE(MIN(4,COUNTIF($C$21:C1002,C1002)),"st","nd","rd","th"),"")</f>
        <v/>
      </c>
    </row>
    <row r="1003" spans="4:12" x14ac:dyDescent="0.25">
      <c r="D1003" s="201" t="str">
        <f t="shared" si="15"/>
        <v/>
      </c>
      <c r="L1003" s="201" t="str">
        <f>IFERROR(COUNTIF($C$21:C1003,C1003)&amp;CHOOSE(MIN(4,COUNTIF($C$21:C1003,C1003)),"st","nd","rd","th"),"")</f>
        <v/>
      </c>
    </row>
    <row r="1004" spans="4:12" x14ac:dyDescent="0.25">
      <c r="D1004" s="201" t="str">
        <f t="shared" si="15"/>
        <v/>
      </c>
      <c r="L1004" s="201" t="str">
        <f>IFERROR(COUNTIF($C$21:C1004,C1004)&amp;CHOOSE(MIN(4,COUNTIF($C$21:C1004,C1004)),"st","nd","rd","th"),"")</f>
        <v/>
      </c>
    </row>
  </sheetData>
  <mergeCells count="6">
    <mergeCell ref="B12:T12"/>
    <mergeCell ref="B5:T5"/>
    <mergeCell ref="B6:T6"/>
    <mergeCell ref="B7:T7"/>
    <mergeCell ref="B10:T10"/>
    <mergeCell ref="B11:T11"/>
  </mergeCells>
  <dataValidations count="1">
    <dataValidation type="list" allowBlank="1" showInputMessage="1" showErrorMessage="1" sqref="B22:C1048576" xr:uid="{99EC36A7-D78C-4DF2-9007-10B52A1499B8}">
      <formula1>INDIRECT(A22)</formula1>
    </dataValidation>
  </dataValidations>
  <hyperlinks>
    <hyperlink ref="C1" location="'Accomplishment 2025'!A1" display="Back to Summary of Accomplishments 2025" xr:uid="{D4356820-8CDB-4616-AD34-D37B28810DFF}"/>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FF066EFA-1A24-4E2E-8501-3C8B746E3221}">
          <x14:formula1>
            <xm:f>Picklists!$A$3:$A$14</xm:f>
          </x14:formula1>
          <xm:sqref>J22:J1048576</xm:sqref>
        </x14:dataValidation>
        <x14:dataValidation type="list" allowBlank="1" showInputMessage="1" showErrorMessage="1" xr:uid="{FEBC40D2-F5FB-43C1-A79D-342A48B50894}">
          <x14:formula1>
            <xm:f>Picklists!$A$47:$A$48</xm:f>
          </x14:formula1>
          <xm:sqref>E22:E1048576</xm:sqref>
        </x14:dataValidation>
        <x14:dataValidation type="list" allowBlank="1" showInputMessage="1" showErrorMessage="1" xr:uid="{2A197F53-5189-43AB-BFC9-7F2B7007FE1C}">
          <x14:formula1>
            <xm:f>Picklists!$A$51:$A$52</xm:f>
          </x14:formula1>
          <xm:sqref>I22:I1048576</xm:sqref>
        </x14:dataValidation>
        <x14:dataValidation type="list" allowBlank="1" showInputMessage="1" showErrorMessage="1" xr:uid="{7215C063-93EB-42A7-9703-DB8C1D9B92CB}">
          <x14:formula1>
            <xm:f>LGU_Masterlist!$C$2:$T$2</xm:f>
          </x14:formula1>
          <xm:sqref>A22:A1048576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ABC4-2A63-4D9C-982E-5AB5A9D927C6}">
  <sheetPr codeName="Sheet28">
    <tabColor rgb="FF96EAF8"/>
  </sheetPr>
  <dimension ref="A1:R1005"/>
  <sheetViews>
    <sheetView zoomScale="60" zoomScaleNormal="60" workbookViewId="0">
      <selection activeCell="A23" sqref="A23:H27"/>
    </sheetView>
  </sheetViews>
  <sheetFormatPr defaultColWidth="8.88671875" defaultRowHeight="13.8" x14ac:dyDescent="0.25"/>
  <cols>
    <col min="1" max="1" width="11.5546875" style="164" customWidth="1"/>
    <col min="2" max="2" width="38.88671875" style="164" customWidth="1"/>
    <col min="3" max="3" width="8.88671875" style="164" customWidth="1"/>
    <col min="4" max="4" width="23.109375" style="201" customWidth="1"/>
    <col min="5" max="6" width="8.88671875" style="205" customWidth="1"/>
    <col min="7" max="7" width="25.6640625" style="202" customWidth="1"/>
    <col min="8" max="9" width="8.88671875" style="164" customWidth="1"/>
    <col min="10" max="10" width="16.88671875" style="201" customWidth="1"/>
    <col min="11" max="12" width="8.88671875" style="164" customWidth="1"/>
    <col min="13" max="16384" width="8.88671875" style="164"/>
  </cols>
  <sheetData>
    <row r="1" spans="1:18" s="32" customFormat="1" ht="14.4" x14ac:dyDescent="0.3">
      <c r="A1" s="173" t="s">
        <v>5090</v>
      </c>
      <c r="C1" s="174" t="s">
        <v>1673</v>
      </c>
      <c r="D1" s="38"/>
      <c r="J1" s="38"/>
    </row>
    <row r="2" spans="1:18" s="32" customFormat="1" x14ac:dyDescent="0.25">
      <c r="A2" s="176"/>
      <c r="B2" s="35"/>
      <c r="C2" s="35"/>
      <c r="D2" s="182"/>
      <c r="J2" s="38"/>
    </row>
    <row r="3" spans="1:18" s="32" customFormat="1" x14ac:dyDescent="0.25">
      <c r="A3" s="363">
        <v>17</v>
      </c>
      <c r="B3" s="364" t="s">
        <v>1613</v>
      </c>
      <c r="C3" s="364"/>
      <c r="D3" s="365"/>
      <c r="J3" s="38"/>
    </row>
    <row r="4" spans="1:18" s="32" customFormat="1" x14ac:dyDescent="0.25">
      <c r="A4" s="178"/>
      <c r="B4" s="206" t="s">
        <v>5296</v>
      </c>
      <c r="C4" s="206"/>
      <c r="D4" s="366"/>
      <c r="J4" s="38"/>
    </row>
    <row r="5" spans="1:18" s="32" customFormat="1" ht="28.95" customHeight="1" x14ac:dyDescent="0.25">
      <c r="A5" s="178"/>
      <c r="B5" s="599" t="s">
        <v>5297</v>
      </c>
      <c r="C5" s="599"/>
      <c r="D5" s="599"/>
      <c r="E5" s="599"/>
      <c r="F5" s="599"/>
      <c r="G5" s="599"/>
      <c r="H5" s="599"/>
      <c r="I5" s="599"/>
      <c r="J5" s="599"/>
      <c r="K5" s="599"/>
      <c r="L5" s="599"/>
      <c r="M5" s="599"/>
      <c r="N5" s="599"/>
      <c r="O5" s="599"/>
      <c r="P5" s="599"/>
      <c r="Q5" s="599"/>
      <c r="R5" s="599"/>
    </row>
    <row r="6" spans="1:18" s="32" customFormat="1" ht="45" customHeight="1" x14ac:dyDescent="0.25">
      <c r="A6" s="178"/>
      <c r="B6" s="601" t="s">
        <v>5298</v>
      </c>
      <c r="C6" s="601"/>
      <c r="D6" s="601"/>
      <c r="E6" s="601"/>
      <c r="F6" s="601"/>
      <c r="G6" s="601"/>
      <c r="H6" s="601"/>
      <c r="I6" s="601"/>
      <c r="J6" s="601"/>
      <c r="K6" s="601"/>
      <c r="L6" s="601"/>
      <c r="M6" s="601"/>
      <c r="N6" s="601"/>
      <c r="O6" s="601"/>
      <c r="P6" s="601"/>
      <c r="Q6" s="601"/>
      <c r="R6" s="601"/>
    </row>
    <row r="7" spans="1:18" s="32" customFormat="1" x14ac:dyDescent="0.25">
      <c r="B7" s="613" t="s">
        <v>5299</v>
      </c>
      <c r="C7" s="602"/>
      <c r="D7" s="602"/>
      <c r="E7" s="602"/>
      <c r="F7" s="602"/>
      <c r="G7" s="602"/>
      <c r="H7" s="602"/>
      <c r="I7" s="602"/>
      <c r="J7" s="602"/>
      <c r="K7" s="602"/>
      <c r="L7" s="602"/>
      <c r="M7" s="602"/>
      <c r="N7" s="602"/>
      <c r="O7" s="602"/>
      <c r="P7" s="602"/>
      <c r="Q7" s="602"/>
      <c r="R7" s="602"/>
    </row>
    <row r="8" spans="1:18" s="32" customFormat="1" x14ac:dyDescent="0.25">
      <c r="B8" s="173"/>
      <c r="C8" s="173"/>
      <c r="D8" s="182"/>
      <c r="E8" s="173"/>
      <c r="F8" s="173"/>
      <c r="G8" s="173"/>
      <c r="H8" s="173"/>
      <c r="I8" s="173"/>
      <c r="J8" s="182"/>
      <c r="K8" s="173"/>
      <c r="L8" s="173"/>
      <c r="M8" s="173"/>
      <c r="N8" s="173"/>
      <c r="O8" s="173"/>
      <c r="P8" s="173"/>
      <c r="Q8" s="173"/>
      <c r="R8" s="173"/>
    </row>
    <row r="9" spans="1:18" s="32" customFormat="1" x14ac:dyDescent="0.25">
      <c r="B9" s="173"/>
      <c r="C9" s="173"/>
      <c r="D9" s="182"/>
      <c r="E9" s="173"/>
      <c r="F9" s="173"/>
      <c r="G9" s="173"/>
      <c r="H9" s="173"/>
      <c r="I9" s="173"/>
      <c r="J9" s="182"/>
      <c r="K9" s="173"/>
      <c r="L9" s="173"/>
      <c r="M9" s="173"/>
      <c r="N9" s="173"/>
      <c r="O9" s="173"/>
      <c r="P9" s="173"/>
      <c r="Q9" s="173"/>
      <c r="R9" s="173"/>
    </row>
    <row r="10" spans="1:18" s="32" customFormat="1" x14ac:dyDescent="0.25">
      <c r="A10" s="363">
        <v>18</v>
      </c>
      <c r="B10" s="364" t="s">
        <v>5300</v>
      </c>
      <c r="C10" s="173"/>
      <c r="D10" s="182"/>
      <c r="E10" s="173"/>
      <c r="F10" s="173"/>
      <c r="G10" s="173"/>
      <c r="H10" s="173"/>
      <c r="I10" s="173"/>
      <c r="J10" s="182"/>
      <c r="K10" s="173"/>
      <c r="L10" s="173"/>
      <c r="M10" s="173"/>
      <c r="N10" s="173"/>
      <c r="O10" s="173"/>
      <c r="P10" s="173"/>
      <c r="Q10" s="173"/>
      <c r="R10" s="173"/>
    </row>
    <row r="11" spans="1:18" s="32" customFormat="1" x14ac:dyDescent="0.25">
      <c r="B11" s="206" t="s">
        <v>5301</v>
      </c>
      <c r="C11" s="206"/>
      <c r="D11" s="366"/>
      <c r="J11" s="38"/>
    </row>
    <row r="12" spans="1:18" s="32" customFormat="1" ht="31.95" customHeight="1" x14ac:dyDescent="0.25">
      <c r="B12" s="599" t="s">
        <v>5302</v>
      </c>
      <c r="C12" s="599"/>
      <c r="D12" s="599"/>
      <c r="E12" s="599"/>
      <c r="F12" s="599"/>
      <c r="G12" s="599"/>
      <c r="H12" s="599"/>
      <c r="I12" s="599"/>
      <c r="J12" s="599"/>
      <c r="K12" s="599"/>
      <c r="L12" s="599"/>
      <c r="M12" s="599"/>
      <c r="N12" s="599"/>
      <c r="O12" s="599"/>
      <c r="P12" s="599"/>
      <c r="Q12" s="599"/>
      <c r="R12" s="599"/>
    </row>
    <row r="13" spans="1:18" s="32" customFormat="1" ht="31.95" customHeight="1" x14ac:dyDescent="0.25">
      <c r="B13" s="601" t="s">
        <v>5303</v>
      </c>
      <c r="C13" s="601"/>
      <c r="D13" s="601"/>
      <c r="E13" s="601"/>
      <c r="F13" s="601"/>
      <c r="G13" s="601"/>
      <c r="H13" s="601"/>
      <c r="I13" s="601"/>
      <c r="J13" s="601"/>
      <c r="K13" s="601"/>
      <c r="L13" s="601"/>
      <c r="M13" s="601"/>
      <c r="N13" s="601"/>
      <c r="O13" s="601"/>
      <c r="P13" s="601"/>
      <c r="Q13" s="601"/>
      <c r="R13" s="601"/>
    </row>
    <row r="14" spans="1:18" s="32" customFormat="1" x14ac:dyDescent="0.25">
      <c r="B14" s="602" t="s">
        <v>5304</v>
      </c>
      <c r="C14" s="602"/>
      <c r="D14" s="602"/>
      <c r="E14" s="602"/>
      <c r="F14" s="602"/>
      <c r="G14" s="602"/>
      <c r="H14" s="602"/>
      <c r="I14" s="602"/>
      <c r="J14" s="602"/>
      <c r="K14" s="602"/>
      <c r="L14" s="602"/>
      <c r="M14" s="602"/>
      <c r="N14" s="602"/>
      <c r="O14" s="602"/>
      <c r="P14" s="602"/>
      <c r="Q14" s="602"/>
      <c r="R14" s="602"/>
    </row>
    <row r="15" spans="1:18" s="32" customFormat="1" x14ac:dyDescent="0.25">
      <c r="B15" s="173"/>
      <c r="C15" s="173"/>
      <c r="D15" s="182"/>
      <c r="E15" s="173"/>
      <c r="F15" s="173"/>
      <c r="G15" s="173"/>
      <c r="H15" s="173"/>
      <c r="I15" s="173"/>
      <c r="J15" s="182"/>
      <c r="K15" s="173"/>
      <c r="L15" s="173"/>
      <c r="M15" s="173"/>
      <c r="N15" s="173"/>
      <c r="O15" s="173"/>
      <c r="P15" s="173"/>
      <c r="Q15" s="173"/>
      <c r="R15" s="173"/>
    </row>
    <row r="16" spans="1:18" s="32" customFormat="1" x14ac:dyDescent="0.25">
      <c r="B16" s="173"/>
      <c r="C16" s="173"/>
      <c r="D16" s="182"/>
      <c r="E16" s="173"/>
      <c r="F16" s="173"/>
      <c r="G16" s="173"/>
      <c r="H16" s="173"/>
      <c r="I16" s="173"/>
      <c r="J16" s="182"/>
      <c r="K16" s="173"/>
      <c r="L16" s="173"/>
      <c r="M16" s="173"/>
      <c r="N16" s="173"/>
      <c r="O16" s="173"/>
      <c r="P16" s="173"/>
      <c r="Q16" s="173"/>
      <c r="R16" s="173"/>
    </row>
    <row r="17" spans="1:18" s="32" customFormat="1" x14ac:dyDescent="0.25">
      <c r="B17" s="179" t="s">
        <v>5305</v>
      </c>
      <c r="C17" s="179"/>
      <c r="D17" s="207"/>
      <c r="E17" s="181">
        <f>COUNTIFS(D23:D1005,"CLUP",J23:J1005,"1st")</f>
        <v>0</v>
      </c>
      <c r="F17" s="195"/>
      <c r="G17" s="195"/>
      <c r="H17" s="173"/>
      <c r="I17" s="173"/>
      <c r="J17" s="182"/>
      <c r="K17" s="173"/>
      <c r="L17" s="173"/>
      <c r="M17" s="173"/>
      <c r="N17" s="173"/>
      <c r="O17" s="173"/>
      <c r="P17" s="173"/>
      <c r="Q17" s="173"/>
      <c r="R17" s="173"/>
    </row>
    <row r="18" spans="1:18" s="32" customFormat="1" x14ac:dyDescent="0.25">
      <c r="B18" s="179" t="s">
        <v>5306</v>
      </c>
      <c r="C18" s="179"/>
      <c r="D18" s="207"/>
      <c r="E18" s="181">
        <f>COUNTIFS(D23:D1005,"PDPFP",J23:J1005,"1st")</f>
        <v>0</v>
      </c>
      <c r="F18" s="173"/>
      <c r="G18" s="173"/>
      <c r="H18" s="173"/>
      <c r="I18" s="173"/>
      <c r="J18" s="182"/>
      <c r="K18" s="173"/>
      <c r="L18" s="173"/>
      <c r="M18" s="173"/>
      <c r="N18" s="173"/>
      <c r="O18" s="173"/>
      <c r="P18" s="173"/>
      <c r="Q18" s="173"/>
      <c r="R18" s="173"/>
    </row>
    <row r="19" spans="1:18" s="32" customFormat="1" x14ac:dyDescent="0.25">
      <c r="B19" s="173"/>
      <c r="C19" s="173"/>
      <c r="D19" s="182"/>
      <c r="E19" s="173"/>
      <c r="F19" s="173"/>
      <c r="G19" s="173"/>
      <c r="H19" s="173"/>
      <c r="I19" s="173"/>
      <c r="J19" s="182"/>
      <c r="K19" s="173"/>
      <c r="L19" s="173"/>
      <c r="M19" s="173"/>
      <c r="N19" s="173"/>
      <c r="O19" s="173"/>
      <c r="P19" s="173"/>
      <c r="Q19" s="173"/>
      <c r="R19" s="173"/>
    </row>
    <row r="20" spans="1:18" s="32" customFormat="1" x14ac:dyDescent="0.25">
      <c r="B20" s="173"/>
      <c r="C20" s="173"/>
      <c r="D20" s="182"/>
      <c r="E20" s="173"/>
      <c r="F20" s="173"/>
      <c r="G20" s="173"/>
      <c r="H20" s="173"/>
      <c r="I20" s="173"/>
      <c r="J20" s="182"/>
      <c r="K20" s="173"/>
      <c r="L20" s="173"/>
      <c r="M20" s="173"/>
      <c r="N20" s="173"/>
      <c r="O20" s="173"/>
      <c r="P20" s="173"/>
      <c r="Q20" s="173"/>
      <c r="R20" s="173"/>
    </row>
    <row r="21" spans="1:18" s="32" customFormat="1" x14ac:dyDescent="0.25">
      <c r="D21" s="38"/>
      <c r="J21" s="38"/>
    </row>
    <row r="22" spans="1:18" s="182" customFormat="1" ht="54.6" customHeight="1" x14ac:dyDescent="0.25">
      <c r="A22" s="184" t="s">
        <v>5141</v>
      </c>
      <c r="B22" s="184" t="s">
        <v>5289</v>
      </c>
      <c r="C22" s="183" t="s">
        <v>5130</v>
      </c>
      <c r="D22" s="200" t="s">
        <v>5307</v>
      </c>
      <c r="E22" s="184" t="s">
        <v>5142</v>
      </c>
      <c r="F22" s="184" t="s">
        <v>5143</v>
      </c>
      <c r="G22" s="184" t="s">
        <v>5308</v>
      </c>
      <c r="H22" s="184" t="s">
        <v>1685</v>
      </c>
      <c r="I22" s="183" t="s">
        <v>1686</v>
      </c>
      <c r="J22" s="200" t="s">
        <v>5191</v>
      </c>
    </row>
    <row r="23" spans="1:18" x14ac:dyDescent="0.25">
      <c r="E23" s="171"/>
      <c r="F23" s="171"/>
      <c r="J23" s="201" t="str">
        <f>IFERROR(COUNTIF($C$23:C23,C23)&amp;CHOOSE(MIN(4,COUNTIF($C$23:C23,C23)),"st","nd","rd","th"),"")</f>
        <v/>
      </c>
    </row>
    <row r="24" spans="1:18" x14ac:dyDescent="0.25">
      <c r="E24" s="171"/>
      <c r="F24" s="171"/>
      <c r="J24" s="201" t="str">
        <f>IFERROR(COUNTIF($C$23:C24,C24)&amp;CHOOSE(MIN(4,COUNTIF($C$23:C24,C24)),"st","nd","rd","th"),"")</f>
        <v/>
      </c>
    </row>
    <row r="25" spans="1:18" x14ac:dyDescent="0.25">
      <c r="J25" s="201" t="str">
        <f>IFERROR(COUNTIF($C$23:C25,C25)&amp;CHOOSE(MIN(4,COUNTIF($C$23:C25,C25)),"st","nd","rd","th"),"")</f>
        <v/>
      </c>
    </row>
    <row r="26" spans="1:18" x14ac:dyDescent="0.25">
      <c r="J26" s="201" t="str">
        <f>IFERROR(COUNTIF($C$23:C26,C26)&amp;CHOOSE(MIN(4,COUNTIF($C$23:C26,C26)),"st","nd","rd","th"),"")</f>
        <v/>
      </c>
    </row>
    <row r="27" spans="1:18" x14ac:dyDescent="0.25">
      <c r="J27" s="201" t="str">
        <f>IFERROR(COUNTIF($C$23:C27,C27)&amp;CHOOSE(MIN(4,COUNTIF($C$23:C27,C27)),"st","nd","rd","th"),"")</f>
        <v/>
      </c>
    </row>
    <row r="28" spans="1:18" x14ac:dyDescent="0.25">
      <c r="D28" s="201" t="str">
        <f t="shared" ref="D28:D86" si="0">IF(B28="","",IF(B28="Province_PLGU","PDPFP","CLUP"))</f>
        <v/>
      </c>
      <c r="J28" s="201" t="str">
        <f>IFERROR(COUNTIF($C$23:C28,C28)&amp;CHOOSE(MIN(4,COUNTIF($C$23:C28,C28)),"st","nd","rd","th"),"")</f>
        <v/>
      </c>
    </row>
    <row r="29" spans="1:18" x14ac:dyDescent="0.25">
      <c r="D29" s="201" t="str">
        <f t="shared" si="0"/>
        <v/>
      </c>
      <c r="J29" s="201" t="str">
        <f>IFERROR(COUNTIF($C$23:C29,C29)&amp;CHOOSE(MIN(4,COUNTIF($C$23:C29,C29)),"st","nd","rd","th"),"")</f>
        <v/>
      </c>
    </row>
    <row r="30" spans="1:18" x14ac:dyDescent="0.25">
      <c r="D30" s="201" t="str">
        <f t="shared" si="0"/>
        <v/>
      </c>
      <c r="J30" s="201" t="str">
        <f>IFERROR(COUNTIF($C$23:C30,C30)&amp;CHOOSE(MIN(4,COUNTIF($C$23:C30,C30)),"st","nd","rd","th"),"")</f>
        <v/>
      </c>
    </row>
    <row r="31" spans="1:18" x14ac:dyDescent="0.25">
      <c r="D31" s="201" t="str">
        <f t="shared" si="0"/>
        <v/>
      </c>
      <c r="J31" s="201" t="str">
        <f>IFERROR(COUNTIF($C$23:C31,C31)&amp;CHOOSE(MIN(4,COUNTIF($C$23:C31,C31)),"st","nd","rd","th"),"")</f>
        <v/>
      </c>
    </row>
    <row r="32" spans="1:18" x14ac:dyDescent="0.25">
      <c r="D32" s="201" t="str">
        <f t="shared" si="0"/>
        <v/>
      </c>
      <c r="J32" s="201" t="str">
        <f>IFERROR(COUNTIF($C$23:C32,C32)&amp;CHOOSE(MIN(4,COUNTIF($C$23:C32,C32)),"st","nd","rd","th"),"")</f>
        <v/>
      </c>
    </row>
    <row r="33" spans="4:10" x14ac:dyDescent="0.25">
      <c r="D33" s="201" t="str">
        <f t="shared" si="0"/>
        <v/>
      </c>
      <c r="J33" s="201" t="str">
        <f>IFERROR(COUNTIF($C$23:C33,C33)&amp;CHOOSE(MIN(4,COUNTIF($C$23:C33,C33)),"st","nd","rd","th"),"")</f>
        <v/>
      </c>
    </row>
    <row r="34" spans="4:10" x14ac:dyDescent="0.25">
      <c r="D34" s="201" t="str">
        <f t="shared" si="0"/>
        <v/>
      </c>
      <c r="J34" s="201" t="str">
        <f>IFERROR(COUNTIF($C$23:C34,C34)&amp;CHOOSE(MIN(4,COUNTIF($C$23:C34,C34)),"st","nd","rd","th"),"")</f>
        <v/>
      </c>
    </row>
    <row r="35" spans="4:10" x14ac:dyDescent="0.25">
      <c r="D35" s="201" t="str">
        <f t="shared" si="0"/>
        <v/>
      </c>
      <c r="J35" s="201" t="str">
        <f>IFERROR(COUNTIF($C$23:C35,C35)&amp;CHOOSE(MIN(4,COUNTIF($C$23:C35,C35)),"st","nd","rd","th"),"")</f>
        <v/>
      </c>
    </row>
    <row r="36" spans="4:10" x14ac:dyDescent="0.25">
      <c r="D36" s="201" t="str">
        <f t="shared" si="0"/>
        <v/>
      </c>
      <c r="J36" s="201" t="str">
        <f>IFERROR(COUNTIF($C$23:C36,C36)&amp;CHOOSE(MIN(4,COUNTIF($C$23:C36,C36)),"st","nd","rd","th"),"")</f>
        <v/>
      </c>
    </row>
    <row r="37" spans="4:10" x14ac:dyDescent="0.25">
      <c r="D37" s="201" t="str">
        <f t="shared" si="0"/>
        <v/>
      </c>
      <c r="J37" s="201" t="str">
        <f>IFERROR(COUNTIF($C$23:C37,C37)&amp;CHOOSE(MIN(4,COUNTIF($C$23:C37,C37)),"st","nd","rd","th"),"")</f>
        <v/>
      </c>
    </row>
    <row r="38" spans="4:10" x14ac:dyDescent="0.25">
      <c r="D38" s="201" t="str">
        <f t="shared" si="0"/>
        <v/>
      </c>
      <c r="J38" s="201" t="str">
        <f>IFERROR(COUNTIF($C$23:C38,C38)&amp;CHOOSE(MIN(4,COUNTIF($C$23:C38,C38)),"st","nd","rd","th"),"")</f>
        <v/>
      </c>
    </row>
    <row r="39" spans="4:10" x14ac:dyDescent="0.25">
      <c r="D39" s="201" t="str">
        <f t="shared" si="0"/>
        <v/>
      </c>
      <c r="J39" s="201" t="str">
        <f>IFERROR(COUNTIF($C$23:C39,C39)&amp;CHOOSE(MIN(4,COUNTIF($C$23:C39,C39)),"st","nd","rd","th"),"")</f>
        <v/>
      </c>
    </row>
    <row r="40" spans="4:10" x14ac:dyDescent="0.25">
      <c r="D40" s="201" t="str">
        <f t="shared" si="0"/>
        <v/>
      </c>
      <c r="J40" s="201" t="str">
        <f>IFERROR(COUNTIF($C$23:C40,C40)&amp;CHOOSE(MIN(4,COUNTIF($C$23:C40,C40)),"st","nd","rd","th"),"")</f>
        <v/>
      </c>
    </row>
    <row r="41" spans="4:10" x14ac:dyDescent="0.25">
      <c r="D41" s="201" t="str">
        <f t="shared" si="0"/>
        <v/>
      </c>
      <c r="J41" s="201" t="str">
        <f>IFERROR(COUNTIF($C$23:C41,C41)&amp;CHOOSE(MIN(4,COUNTIF($C$23:C41,C41)),"st","nd","rd","th"),"")</f>
        <v/>
      </c>
    </row>
    <row r="42" spans="4:10" x14ac:dyDescent="0.25">
      <c r="D42" s="201" t="str">
        <f t="shared" si="0"/>
        <v/>
      </c>
      <c r="J42" s="201" t="str">
        <f>IFERROR(COUNTIF($C$23:C42,C42)&amp;CHOOSE(MIN(4,COUNTIF($C$23:C42,C42)),"st","nd","rd","th"),"")</f>
        <v/>
      </c>
    </row>
    <row r="43" spans="4:10" x14ac:dyDescent="0.25">
      <c r="D43" s="201" t="str">
        <f t="shared" si="0"/>
        <v/>
      </c>
      <c r="J43" s="201" t="str">
        <f>IFERROR(COUNTIF($C$23:C43,C43)&amp;CHOOSE(MIN(4,COUNTIF($C$23:C43,C43)),"st","nd","rd","th"),"")</f>
        <v/>
      </c>
    </row>
    <row r="44" spans="4:10" x14ac:dyDescent="0.25">
      <c r="D44" s="201" t="str">
        <f t="shared" si="0"/>
        <v/>
      </c>
      <c r="J44" s="201" t="str">
        <f>IFERROR(COUNTIF($C$23:C44,C44)&amp;CHOOSE(MIN(4,COUNTIF($C$23:C44,C44)),"st","nd","rd","th"),"")</f>
        <v/>
      </c>
    </row>
    <row r="45" spans="4:10" x14ac:dyDescent="0.25">
      <c r="D45" s="201" t="str">
        <f t="shared" si="0"/>
        <v/>
      </c>
      <c r="J45" s="201" t="str">
        <f>IFERROR(COUNTIF($C$23:C45,C45)&amp;CHOOSE(MIN(4,COUNTIF($C$23:C45,C45)),"st","nd","rd","th"),"")</f>
        <v/>
      </c>
    </row>
    <row r="46" spans="4:10" x14ac:dyDescent="0.25">
      <c r="D46" s="201" t="str">
        <f t="shared" si="0"/>
        <v/>
      </c>
      <c r="J46" s="201" t="str">
        <f>IFERROR(COUNTIF($C$23:C46,C46)&amp;CHOOSE(MIN(4,COUNTIF($C$23:C46,C46)),"st","nd","rd","th"),"")</f>
        <v/>
      </c>
    </row>
    <row r="47" spans="4:10" x14ac:dyDescent="0.25">
      <c r="D47" s="201" t="str">
        <f t="shared" si="0"/>
        <v/>
      </c>
      <c r="J47" s="201" t="str">
        <f>IFERROR(COUNTIF($C$23:C47,C47)&amp;CHOOSE(MIN(4,COUNTIF($C$23:C47,C47)),"st","nd","rd","th"),"")</f>
        <v/>
      </c>
    </row>
    <row r="48" spans="4:10" x14ac:dyDescent="0.25">
      <c r="D48" s="201" t="str">
        <f t="shared" si="0"/>
        <v/>
      </c>
      <c r="J48" s="201" t="str">
        <f>IFERROR(COUNTIF($C$23:C48,C48)&amp;CHOOSE(MIN(4,COUNTIF($C$23:C48,C48)),"st","nd","rd","th"),"")</f>
        <v/>
      </c>
    </row>
    <row r="49" spans="4:10" x14ac:dyDescent="0.25">
      <c r="D49" s="201" t="str">
        <f t="shared" si="0"/>
        <v/>
      </c>
      <c r="J49" s="201" t="str">
        <f>IFERROR(COUNTIF($C$23:C49,C49)&amp;CHOOSE(MIN(4,COUNTIF($C$23:C49,C49)),"st","nd","rd","th"),"")</f>
        <v/>
      </c>
    </row>
    <row r="50" spans="4:10" x14ac:dyDescent="0.25">
      <c r="D50" s="201" t="str">
        <f t="shared" si="0"/>
        <v/>
      </c>
      <c r="J50" s="201" t="str">
        <f>IFERROR(COUNTIF($C$23:C50,C50)&amp;CHOOSE(MIN(4,COUNTIF($C$23:C50,C50)),"st","nd","rd","th"),"")</f>
        <v/>
      </c>
    </row>
    <row r="51" spans="4:10" x14ac:dyDescent="0.25">
      <c r="D51" s="201" t="str">
        <f t="shared" si="0"/>
        <v/>
      </c>
      <c r="J51" s="201" t="str">
        <f>IFERROR(COUNTIF($C$23:C51,C51)&amp;CHOOSE(MIN(4,COUNTIF($C$23:C51,C51)),"st","nd","rd","th"),"")</f>
        <v/>
      </c>
    </row>
    <row r="52" spans="4:10" x14ac:dyDescent="0.25">
      <c r="D52" s="201" t="str">
        <f t="shared" si="0"/>
        <v/>
      </c>
      <c r="J52" s="201" t="str">
        <f>IFERROR(COUNTIF($C$23:C52,C52)&amp;CHOOSE(MIN(4,COUNTIF($C$23:C52,C52)),"st","nd","rd","th"),"")</f>
        <v/>
      </c>
    </row>
    <row r="53" spans="4:10" x14ac:dyDescent="0.25">
      <c r="D53" s="201" t="str">
        <f t="shared" si="0"/>
        <v/>
      </c>
      <c r="J53" s="201" t="str">
        <f>IFERROR(COUNTIF($C$23:C53,C53)&amp;CHOOSE(MIN(4,COUNTIF($C$23:C53,C53)),"st","nd","rd","th"),"")</f>
        <v/>
      </c>
    </row>
    <row r="54" spans="4:10" x14ac:dyDescent="0.25">
      <c r="D54" s="201" t="str">
        <f t="shared" si="0"/>
        <v/>
      </c>
      <c r="J54" s="201" t="str">
        <f>IFERROR(COUNTIF($C$23:C54,C54)&amp;CHOOSE(MIN(4,COUNTIF($C$23:C54,C54)),"st","nd","rd","th"),"")</f>
        <v/>
      </c>
    </row>
    <row r="55" spans="4:10" x14ac:dyDescent="0.25">
      <c r="D55" s="201" t="str">
        <f t="shared" si="0"/>
        <v/>
      </c>
      <c r="J55" s="201" t="str">
        <f>IFERROR(COUNTIF($C$23:C55,C55)&amp;CHOOSE(MIN(4,COUNTIF($C$23:C55,C55)),"st","nd","rd","th"),"")</f>
        <v/>
      </c>
    </row>
    <row r="56" spans="4:10" x14ac:dyDescent="0.25">
      <c r="D56" s="201" t="str">
        <f t="shared" si="0"/>
        <v/>
      </c>
      <c r="J56" s="201" t="str">
        <f>IFERROR(COUNTIF($C$23:C56,C56)&amp;CHOOSE(MIN(4,COUNTIF($C$23:C56,C56)),"st","nd","rd","th"),"")</f>
        <v/>
      </c>
    </row>
    <row r="57" spans="4:10" x14ac:dyDescent="0.25">
      <c r="D57" s="201" t="str">
        <f t="shared" si="0"/>
        <v/>
      </c>
      <c r="J57" s="201" t="str">
        <f>IFERROR(COUNTIF($C$23:C57,C57)&amp;CHOOSE(MIN(4,COUNTIF($C$23:C57,C57)),"st","nd","rd","th"),"")</f>
        <v/>
      </c>
    </row>
    <row r="58" spans="4:10" x14ac:dyDescent="0.25">
      <c r="D58" s="201" t="str">
        <f t="shared" si="0"/>
        <v/>
      </c>
      <c r="J58" s="201" t="str">
        <f>IFERROR(COUNTIF($C$23:C58,C58)&amp;CHOOSE(MIN(4,COUNTIF($C$23:C58,C58)),"st","nd","rd","th"),"")</f>
        <v/>
      </c>
    </row>
    <row r="59" spans="4:10" x14ac:dyDescent="0.25">
      <c r="D59" s="201" t="str">
        <f t="shared" si="0"/>
        <v/>
      </c>
      <c r="J59" s="201" t="str">
        <f>IFERROR(COUNTIF($C$23:C59,C59)&amp;CHOOSE(MIN(4,COUNTIF($C$23:C59,C59)),"st","nd","rd","th"),"")</f>
        <v/>
      </c>
    </row>
    <row r="60" spans="4:10" x14ac:dyDescent="0.25">
      <c r="D60" s="201" t="str">
        <f t="shared" si="0"/>
        <v/>
      </c>
      <c r="J60" s="201" t="str">
        <f>IFERROR(COUNTIF($C$23:C60,C60)&amp;CHOOSE(MIN(4,COUNTIF($C$23:C60,C60)),"st","nd","rd","th"),"")</f>
        <v/>
      </c>
    </row>
    <row r="61" spans="4:10" x14ac:dyDescent="0.25">
      <c r="D61" s="201" t="str">
        <f t="shared" si="0"/>
        <v/>
      </c>
      <c r="J61" s="201" t="str">
        <f>IFERROR(COUNTIF($C$23:C61,C61)&amp;CHOOSE(MIN(4,COUNTIF($C$23:C61,C61)),"st","nd","rd","th"),"")</f>
        <v/>
      </c>
    </row>
    <row r="62" spans="4:10" x14ac:dyDescent="0.25">
      <c r="D62" s="201" t="str">
        <f t="shared" si="0"/>
        <v/>
      </c>
      <c r="J62" s="201" t="str">
        <f>IFERROR(COUNTIF($C$23:C62,C62)&amp;CHOOSE(MIN(4,COUNTIF($C$23:C62,C62)),"st","nd","rd","th"),"")</f>
        <v/>
      </c>
    </row>
    <row r="63" spans="4:10" x14ac:dyDescent="0.25">
      <c r="D63" s="201" t="str">
        <f t="shared" si="0"/>
        <v/>
      </c>
      <c r="J63" s="201" t="str">
        <f>IFERROR(COUNTIF($C$23:C63,C63)&amp;CHOOSE(MIN(4,COUNTIF($C$23:C63,C63)),"st","nd","rd","th"),"")</f>
        <v/>
      </c>
    </row>
    <row r="64" spans="4:10" x14ac:dyDescent="0.25">
      <c r="D64" s="201" t="str">
        <f t="shared" si="0"/>
        <v/>
      </c>
      <c r="J64" s="201" t="str">
        <f>IFERROR(COUNTIF($C$23:C64,C64)&amp;CHOOSE(MIN(4,COUNTIF($C$23:C64,C64)),"st","nd","rd","th"),"")</f>
        <v/>
      </c>
    </row>
    <row r="65" spans="4:10" x14ac:dyDescent="0.25">
      <c r="D65" s="201" t="str">
        <f t="shared" si="0"/>
        <v/>
      </c>
      <c r="J65" s="201" t="str">
        <f>IFERROR(COUNTIF($C$23:C65,C65)&amp;CHOOSE(MIN(4,COUNTIF($C$23:C65,C65)),"st","nd","rd","th"),"")</f>
        <v/>
      </c>
    </row>
    <row r="66" spans="4:10" x14ac:dyDescent="0.25">
      <c r="D66" s="201" t="str">
        <f t="shared" si="0"/>
        <v/>
      </c>
      <c r="J66" s="201" t="str">
        <f>IFERROR(COUNTIF($C$23:C66,C66)&amp;CHOOSE(MIN(4,COUNTIF($C$23:C66,C66)),"st","nd","rd","th"),"")</f>
        <v/>
      </c>
    </row>
    <row r="67" spans="4:10" x14ac:dyDescent="0.25">
      <c r="D67" s="201" t="str">
        <f t="shared" si="0"/>
        <v/>
      </c>
      <c r="J67" s="201" t="str">
        <f>IFERROR(COUNTIF($C$23:C67,C67)&amp;CHOOSE(MIN(4,COUNTIF($C$23:C67,C67)),"st","nd","rd","th"),"")</f>
        <v/>
      </c>
    </row>
    <row r="68" spans="4:10" x14ac:dyDescent="0.25">
      <c r="D68" s="201" t="str">
        <f t="shared" si="0"/>
        <v/>
      </c>
      <c r="J68" s="201" t="str">
        <f>IFERROR(COUNTIF($C$23:C68,C68)&amp;CHOOSE(MIN(4,COUNTIF($C$23:C68,C68)),"st","nd","rd","th"),"")</f>
        <v/>
      </c>
    </row>
    <row r="69" spans="4:10" x14ac:dyDescent="0.25">
      <c r="D69" s="201" t="str">
        <f t="shared" si="0"/>
        <v/>
      </c>
      <c r="J69" s="201" t="str">
        <f>IFERROR(COUNTIF($C$23:C69,C69)&amp;CHOOSE(MIN(4,COUNTIF($C$23:C69,C69)),"st","nd","rd","th"),"")</f>
        <v/>
      </c>
    </row>
    <row r="70" spans="4:10" x14ac:dyDescent="0.25">
      <c r="D70" s="201" t="str">
        <f t="shared" si="0"/>
        <v/>
      </c>
      <c r="J70" s="201" t="str">
        <f>IFERROR(COUNTIF($C$23:C70,C70)&amp;CHOOSE(MIN(4,COUNTIF($C$23:C70,C70)),"st","nd","rd","th"),"")</f>
        <v/>
      </c>
    </row>
    <row r="71" spans="4:10" x14ac:dyDescent="0.25">
      <c r="D71" s="201" t="str">
        <f t="shared" si="0"/>
        <v/>
      </c>
      <c r="J71" s="201" t="str">
        <f>IFERROR(COUNTIF($C$23:C71,C71)&amp;CHOOSE(MIN(4,COUNTIF($C$23:C71,C71)),"st","nd","rd","th"),"")</f>
        <v/>
      </c>
    </row>
    <row r="72" spans="4:10" x14ac:dyDescent="0.25">
      <c r="D72" s="201" t="str">
        <f t="shared" si="0"/>
        <v/>
      </c>
      <c r="J72" s="201" t="str">
        <f>IFERROR(COUNTIF($C$23:C72,C72)&amp;CHOOSE(MIN(4,COUNTIF($C$23:C72,C72)),"st","nd","rd","th"),"")</f>
        <v/>
      </c>
    </row>
    <row r="73" spans="4:10" x14ac:dyDescent="0.25">
      <c r="D73" s="201" t="str">
        <f t="shared" si="0"/>
        <v/>
      </c>
      <c r="J73" s="201" t="str">
        <f>IFERROR(COUNTIF($C$23:C73,C73)&amp;CHOOSE(MIN(4,COUNTIF($C$23:C73,C73)),"st","nd","rd","th"),"")</f>
        <v/>
      </c>
    </row>
    <row r="74" spans="4:10" x14ac:dyDescent="0.25">
      <c r="D74" s="201" t="str">
        <f t="shared" si="0"/>
        <v/>
      </c>
      <c r="J74" s="201" t="str">
        <f>IFERROR(COUNTIF($C$23:C74,C74)&amp;CHOOSE(MIN(4,COUNTIF($C$23:C74,C74)),"st","nd","rd","th"),"")</f>
        <v/>
      </c>
    </row>
    <row r="75" spans="4:10" x14ac:dyDescent="0.25">
      <c r="D75" s="201" t="str">
        <f t="shared" si="0"/>
        <v/>
      </c>
      <c r="J75" s="201" t="str">
        <f>IFERROR(COUNTIF($C$23:C75,C75)&amp;CHOOSE(MIN(4,COUNTIF($C$23:C75,C75)),"st","nd","rd","th"),"")</f>
        <v/>
      </c>
    </row>
    <row r="76" spans="4:10" x14ac:dyDescent="0.25">
      <c r="D76" s="201" t="str">
        <f t="shared" si="0"/>
        <v/>
      </c>
      <c r="J76" s="201" t="str">
        <f>IFERROR(COUNTIF($C$23:C76,C76)&amp;CHOOSE(MIN(4,COUNTIF($C$23:C76,C76)),"st","nd","rd","th"),"")</f>
        <v/>
      </c>
    </row>
    <row r="77" spans="4:10" x14ac:dyDescent="0.25">
      <c r="D77" s="201" t="str">
        <f t="shared" si="0"/>
        <v/>
      </c>
      <c r="J77" s="201" t="str">
        <f>IFERROR(COUNTIF($C$23:C77,C77)&amp;CHOOSE(MIN(4,COUNTIF($C$23:C77,C77)),"st","nd","rd","th"),"")</f>
        <v/>
      </c>
    </row>
    <row r="78" spans="4:10" x14ac:dyDescent="0.25">
      <c r="D78" s="201" t="str">
        <f t="shared" si="0"/>
        <v/>
      </c>
      <c r="J78" s="201" t="str">
        <f>IFERROR(COUNTIF($C$23:C78,C78)&amp;CHOOSE(MIN(4,COUNTIF($C$23:C78,C78)),"st","nd","rd","th"),"")</f>
        <v/>
      </c>
    </row>
    <row r="79" spans="4:10" x14ac:dyDescent="0.25">
      <c r="D79" s="201" t="str">
        <f t="shared" si="0"/>
        <v/>
      </c>
      <c r="J79" s="201" t="str">
        <f>IFERROR(COUNTIF($C$23:C79,C79)&amp;CHOOSE(MIN(4,COUNTIF($C$23:C79,C79)),"st","nd","rd","th"),"")</f>
        <v/>
      </c>
    </row>
    <row r="80" spans="4:10" x14ac:dyDescent="0.25">
      <c r="D80" s="201" t="str">
        <f t="shared" si="0"/>
        <v/>
      </c>
      <c r="J80" s="201" t="str">
        <f>IFERROR(COUNTIF($C$23:C80,C80)&amp;CHOOSE(MIN(4,COUNTIF($C$23:C80,C80)),"st","nd","rd","th"),"")</f>
        <v/>
      </c>
    </row>
    <row r="81" spans="4:10" x14ac:dyDescent="0.25">
      <c r="D81" s="201" t="str">
        <f t="shared" si="0"/>
        <v/>
      </c>
      <c r="J81" s="201" t="str">
        <f>IFERROR(COUNTIF($C$23:C81,C81)&amp;CHOOSE(MIN(4,COUNTIF($C$23:C81,C81)),"st","nd","rd","th"),"")</f>
        <v/>
      </c>
    </row>
    <row r="82" spans="4:10" x14ac:dyDescent="0.25">
      <c r="D82" s="201" t="str">
        <f t="shared" si="0"/>
        <v/>
      </c>
      <c r="J82" s="201" t="str">
        <f>IFERROR(COUNTIF($C$23:C82,C82)&amp;CHOOSE(MIN(4,COUNTIF($C$23:C82,C82)),"st","nd","rd","th"),"")</f>
        <v/>
      </c>
    </row>
    <row r="83" spans="4:10" x14ac:dyDescent="0.25">
      <c r="D83" s="201" t="str">
        <f t="shared" si="0"/>
        <v/>
      </c>
      <c r="J83" s="201" t="str">
        <f>IFERROR(COUNTIF($C$23:C83,C83)&amp;CHOOSE(MIN(4,COUNTIF($C$23:C83,C83)),"st","nd","rd","th"),"")</f>
        <v/>
      </c>
    </row>
    <row r="84" spans="4:10" x14ac:dyDescent="0.25">
      <c r="D84" s="201" t="str">
        <f t="shared" si="0"/>
        <v/>
      </c>
      <c r="J84" s="201" t="str">
        <f>IFERROR(COUNTIF($C$23:C84,C84)&amp;CHOOSE(MIN(4,COUNTIF($C$23:C84,C84)),"st","nd","rd","th"),"")</f>
        <v/>
      </c>
    </row>
    <row r="85" spans="4:10" x14ac:dyDescent="0.25">
      <c r="D85" s="201" t="str">
        <f t="shared" si="0"/>
        <v/>
      </c>
      <c r="J85" s="201" t="str">
        <f>IFERROR(COUNTIF($C$23:C85,C85)&amp;CHOOSE(MIN(4,COUNTIF($C$23:C85,C85)),"st","nd","rd","th"),"")</f>
        <v/>
      </c>
    </row>
    <row r="86" spans="4:10" x14ac:dyDescent="0.25">
      <c r="D86" s="201" t="str">
        <f t="shared" si="0"/>
        <v/>
      </c>
      <c r="J86" s="201" t="str">
        <f>IFERROR(COUNTIF($C$23:C86,C86)&amp;CHOOSE(MIN(4,COUNTIF($C$23:C86,C86)),"st","nd","rd","th"),"")</f>
        <v/>
      </c>
    </row>
    <row r="87" spans="4:10" x14ac:dyDescent="0.25">
      <c r="D87" s="201" t="str">
        <f t="shared" ref="D87:D150" si="1">IF(B87="","",IF(B87="Province_PLGU","PDPFP","CLUP"))</f>
        <v/>
      </c>
      <c r="J87" s="201" t="str">
        <f>IFERROR(COUNTIF($C$23:C87,C87)&amp;CHOOSE(MIN(4,COUNTIF($C$23:C87,C87)),"st","nd","rd","th"),"")</f>
        <v/>
      </c>
    </row>
    <row r="88" spans="4:10" x14ac:dyDescent="0.25">
      <c r="D88" s="201" t="str">
        <f t="shared" si="1"/>
        <v/>
      </c>
      <c r="J88" s="201" t="str">
        <f>IFERROR(COUNTIF($C$23:C88,C88)&amp;CHOOSE(MIN(4,COUNTIF($C$23:C88,C88)),"st","nd","rd","th"),"")</f>
        <v/>
      </c>
    </row>
    <row r="89" spans="4:10" x14ac:dyDescent="0.25">
      <c r="D89" s="201" t="str">
        <f t="shared" si="1"/>
        <v/>
      </c>
      <c r="J89" s="201" t="str">
        <f>IFERROR(COUNTIF($C$23:C89,C89)&amp;CHOOSE(MIN(4,COUNTIF($C$23:C89,C89)),"st","nd","rd","th"),"")</f>
        <v/>
      </c>
    </row>
    <row r="90" spans="4:10" x14ac:dyDescent="0.25">
      <c r="D90" s="201" t="str">
        <f t="shared" si="1"/>
        <v/>
      </c>
      <c r="J90" s="201" t="str">
        <f>IFERROR(COUNTIF($C$23:C90,C90)&amp;CHOOSE(MIN(4,COUNTIF($C$23:C90,C90)),"st","nd","rd","th"),"")</f>
        <v/>
      </c>
    </row>
    <row r="91" spans="4:10" x14ac:dyDescent="0.25">
      <c r="D91" s="201" t="str">
        <f t="shared" si="1"/>
        <v/>
      </c>
      <c r="J91" s="201" t="str">
        <f>IFERROR(COUNTIF($C$23:C91,C91)&amp;CHOOSE(MIN(4,COUNTIF($C$23:C91,C91)),"st","nd","rd","th"),"")</f>
        <v/>
      </c>
    </row>
    <row r="92" spans="4:10" x14ac:dyDescent="0.25">
      <c r="D92" s="201" t="str">
        <f t="shared" si="1"/>
        <v/>
      </c>
      <c r="J92" s="201" t="str">
        <f>IFERROR(COUNTIF($C$23:C92,C92)&amp;CHOOSE(MIN(4,COUNTIF($C$23:C92,C92)),"st","nd","rd","th"),"")</f>
        <v/>
      </c>
    </row>
    <row r="93" spans="4:10" x14ac:dyDescent="0.25">
      <c r="D93" s="201" t="str">
        <f t="shared" si="1"/>
        <v/>
      </c>
      <c r="J93" s="201" t="str">
        <f>IFERROR(COUNTIF($C$23:C93,C93)&amp;CHOOSE(MIN(4,COUNTIF($C$23:C93,C93)),"st","nd","rd","th"),"")</f>
        <v/>
      </c>
    </row>
    <row r="94" spans="4:10" x14ac:dyDescent="0.25">
      <c r="D94" s="201" t="str">
        <f t="shared" si="1"/>
        <v/>
      </c>
      <c r="J94" s="201" t="str">
        <f>IFERROR(COUNTIF($C$23:C94,C94)&amp;CHOOSE(MIN(4,COUNTIF($C$23:C94,C94)),"st","nd","rd","th"),"")</f>
        <v/>
      </c>
    </row>
    <row r="95" spans="4:10" x14ac:dyDescent="0.25">
      <c r="D95" s="201" t="str">
        <f t="shared" si="1"/>
        <v/>
      </c>
      <c r="J95" s="201" t="str">
        <f>IFERROR(COUNTIF($C$23:C95,C95)&amp;CHOOSE(MIN(4,COUNTIF($C$23:C95,C95)),"st","nd","rd","th"),"")</f>
        <v/>
      </c>
    </row>
    <row r="96" spans="4:10" x14ac:dyDescent="0.25">
      <c r="D96" s="201" t="str">
        <f t="shared" si="1"/>
        <v/>
      </c>
      <c r="J96" s="201" t="str">
        <f>IFERROR(COUNTIF($C$23:C96,C96)&amp;CHOOSE(MIN(4,COUNTIF($C$23:C96,C96)),"st","nd","rd","th"),"")</f>
        <v/>
      </c>
    </row>
    <row r="97" spans="4:10" x14ac:dyDescent="0.25">
      <c r="D97" s="201" t="str">
        <f t="shared" si="1"/>
        <v/>
      </c>
      <c r="J97" s="201" t="str">
        <f>IFERROR(COUNTIF($C$23:C97,C97)&amp;CHOOSE(MIN(4,COUNTIF($C$23:C97,C97)),"st","nd","rd","th"),"")</f>
        <v/>
      </c>
    </row>
    <row r="98" spans="4:10" x14ac:dyDescent="0.25">
      <c r="D98" s="201" t="str">
        <f t="shared" si="1"/>
        <v/>
      </c>
      <c r="J98" s="201" t="str">
        <f>IFERROR(COUNTIF($C$23:C98,C98)&amp;CHOOSE(MIN(4,COUNTIF($C$23:C98,C98)),"st","nd","rd","th"),"")</f>
        <v/>
      </c>
    </row>
    <row r="99" spans="4:10" x14ac:dyDescent="0.25">
      <c r="D99" s="201" t="str">
        <f t="shared" si="1"/>
        <v/>
      </c>
      <c r="J99" s="201" t="str">
        <f>IFERROR(COUNTIF($C$23:C99,C99)&amp;CHOOSE(MIN(4,COUNTIF($C$23:C99,C99)),"st","nd","rd","th"),"")</f>
        <v/>
      </c>
    </row>
    <row r="100" spans="4:10" x14ac:dyDescent="0.25">
      <c r="D100" s="201" t="str">
        <f t="shared" si="1"/>
        <v/>
      </c>
      <c r="J100" s="201" t="str">
        <f>IFERROR(COUNTIF($C$23:C100,C100)&amp;CHOOSE(MIN(4,COUNTIF($C$23:C100,C100)),"st","nd","rd","th"),"")</f>
        <v/>
      </c>
    </row>
    <row r="101" spans="4:10" x14ac:dyDescent="0.25">
      <c r="D101" s="201" t="str">
        <f t="shared" si="1"/>
        <v/>
      </c>
      <c r="J101" s="201" t="str">
        <f>IFERROR(COUNTIF($C$23:C101,C101)&amp;CHOOSE(MIN(4,COUNTIF($C$23:C101,C101)),"st","nd","rd","th"),"")</f>
        <v/>
      </c>
    </row>
    <row r="102" spans="4:10" x14ac:dyDescent="0.25">
      <c r="D102" s="201" t="str">
        <f t="shared" si="1"/>
        <v/>
      </c>
      <c r="J102" s="201" t="str">
        <f>IFERROR(COUNTIF($C$23:C102,C102)&amp;CHOOSE(MIN(4,COUNTIF($C$23:C102,C102)),"st","nd","rd","th"),"")</f>
        <v/>
      </c>
    </row>
    <row r="103" spans="4:10" x14ac:dyDescent="0.25">
      <c r="D103" s="201" t="str">
        <f t="shared" si="1"/>
        <v/>
      </c>
      <c r="J103" s="201" t="str">
        <f>IFERROR(COUNTIF($C$23:C103,C103)&amp;CHOOSE(MIN(4,COUNTIF($C$23:C103,C103)),"st","nd","rd","th"),"")</f>
        <v/>
      </c>
    </row>
    <row r="104" spans="4:10" x14ac:dyDescent="0.25">
      <c r="D104" s="201" t="str">
        <f t="shared" si="1"/>
        <v/>
      </c>
      <c r="J104" s="201" t="str">
        <f>IFERROR(COUNTIF($C$23:C104,C104)&amp;CHOOSE(MIN(4,COUNTIF($C$23:C104,C104)),"st","nd","rd","th"),"")</f>
        <v/>
      </c>
    </row>
    <row r="105" spans="4:10" x14ac:dyDescent="0.25">
      <c r="D105" s="201" t="str">
        <f t="shared" si="1"/>
        <v/>
      </c>
      <c r="J105" s="201" t="str">
        <f>IFERROR(COUNTIF($C$23:C105,C105)&amp;CHOOSE(MIN(4,COUNTIF($C$23:C105,C105)),"st","nd","rd","th"),"")</f>
        <v/>
      </c>
    </row>
    <row r="106" spans="4:10" x14ac:dyDescent="0.25">
      <c r="D106" s="201" t="str">
        <f t="shared" si="1"/>
        <v/>
      </c>
      <c r="J106" s="201" t="str">
        <f>IFERROR(COUNTIF($C$23:C106,C106)&amp;CHOOSE(MIN(4,COUNTIF($C$23:C106,C106)),"st","nd","rd","th"),"")</f>
        <v/>
      </c>
    </row>
    <row r="107" spans="4:10" x14ac:dyDescent="0.25">
      <c r="D107" s="201" t="str">
        <f t="shared" si="1"/>
        <v/>
      </c>
      <c r="J107" s="201" t="str">
        <f>IFERROR(COUNTIF($C$23:C107,C107)&amp;CHOOSE(MIN(4,COUNTIF($C$23:C107,C107)),"st","nd","rd","th"),"")</f>
        <v/>
      </c>
    </row>
    <row r="108" spans="4:10" x14ac:dyDescent="0.25">
      <c r="D108" s="201" t="str">
        <f t="shared" si="1"/>
        <v/>
      </c>
      <c r="J108" s="201" t="str">
        <f>IFERROR(COUNTIF($C$23:C108,C108)&amp;CHOOSE(MIN(4,COUNTIF($C$23:C108,C108)),"st","nd","rd","th"),"")</f>
        <v/>
      </c>
    </row>
    <row r="109" spans="4:10" x14ac:dyDescent="0.25">
      <c r="D109" s="201" t="str">
        <f t="shared" si="1"/>
        <v/>
      </c>
      <c r="J109" s="201" t="str">
        <f>IFERROR(COUNTIF($C$23:C109,C109)&amp;CHOOSE(MIN(4,COUNTIF($C$23:C109,C109)),"st","nd","rd","th"),"")</f>
        <v/>
      </c>
    </row>
    <row r="110" spans="4:10" x14ac:dyDescent="0.25">
      <c r="D110" s="201" t="str">
        <f t="shared" si="1"/>
        <v/>
      </c>
      <c r="J110" s="201" t="str">
        <f>IFERROR(COUNTIF($C$23:C110,C110)&amp;CHOOSE(MIN(4,COUNTIF($C$23:C110,C110)),"st","nd","rd","th"),"")</f>
        <v/>
      </c>
    </row>
    <row r="111" spans="4:10" x14ac:dyDescent="0.25">
      <c r="D111" s="201" t="str">
        <f t="shared" si="1"/>
        <v/>
      </c>
      <c r="J111" s="201" t="str">
        <f>IFERROR(COUNTIF($C$23:C111,C111)&amp;CHOOSE(MIN(4,COUNTIF($C$23:C111,C111)),"st","nd","rd","th"),"")</f>
        <v/>
      </c>
    </row>
    <row r="112" spans="4:10" x14ac:dyDescent="0.25">
      <c r="D112" s="201" t="str">
        <f t="shared" si="1"/>
        <v/>
      </c>
      <c r="J112" s="201" t="str">
        <f>IFERROR(COUNTIF($C$23:C112,C112)&amp;CHOOSE(MIN(4,COUNTIF($C$23:C112,C112)),"st","nd","rd","th"),"")</f>
        <v/>
      </c>
    </row>
    <row r="113" spans="4:10" x14ac:dyDescent="0.25">
      <c r="D113" s="201" t="str">
        <f t="shared" si="1"/>
        <v/>
      </c>
      <c r="J113" s="201" t="str">
        <f>IFERROR(COUNTIF($C$23:C113,C113)&amp;CHOOSE(MIN(4,COUNTIF($C$23:C113,C113)),"st","nd","rd","th"),"")</f>
        <v/>
      </c>
    </row>
    <row r="114" spans="4:10" x14ac:dyDescent="0.25">
      <c r="D114" s="201" t="str">
        <f t="shared" si="1"/>
        <v/>
      </c>
      <c r="J114" s="201" t="str">
        <f>IFERROR(COUNTIF($C$23:C114,C114)&amp;CHOOSE(MIN(4,COUNTIF($C$23:C114,C114)),"st","nd","rd","th"),"")</f>
        <v/>
      </c>
    </row>
    <row r="115" spans="4:10" x14ac:dyDescent="0.25">
      <c r="D115" s="201" t="str">
        <f t="shared" si="1"/>
        <v/>
      </c>
      <c r="J115" s="201" t="str">
        <f>IFERROR(COUNTIF($C$23:C115,C115)&amp;CHOOSE(MIN(4,COUNTIF($C$23:C115,C115)),"st","nd","rd","th"),"")</f>
        <v/>
      </c>
    </row>
    <row r="116" spans="4:10" x14ac:dyDescent="0.25">
      <c r="D116" s="201" t="str">
        <f t="shared" si="1"/>
        <v/>
      </c>
      <c r="J116" s="201" t="str">
        <f>IFERROR(COUNTIF($C$23:C116,C116)&amp;CHOOSE(MIN(4,COUNTIF($C$23:C116,C116)),"st","nd","rd","th"),"")</f>
        <v/>
      </c>
    </row>
    <row r="117" spans="4:10" x14ac:dyDescent="0.25">
      <c r="D117" s="201" t="str">
        <f t="shared" si="1"/>
        <v/>
      </c>
      <c r="J117" s="201" t="str">
        <f>IFERROR(COUNTIF($C$23:C117,C117)&amp;CHOOSE(MIN(4,COUNTIF($C$23:C117,C117)),"st","nd","rd","th"),"")</f>
        <v/>
      </c>
    </row>
    <row r="118" spans="4:10" x14ac:dyDescent="0.25">
      <c r="D118" s="201" t="str">
        <f t="shared" si="1"/>
        <v/>
      </c>
      <c r="J118" s="201" t="str">
        <f>IFERROR(COUNTIF($C$23:C118,C118)&amp;CHOOSE(MIN(4,COUNTIF($C$23:C118,C118)),"st","nd","rd","th"),"")</f>
        <v/>
      </c>
    </row>
    <row r="119" spans="4:10" x14ac:dyDescent="0.25">
      <c r="D119" s="201" t="str">
        <f t="shared" si="1"/>
        <v/>
      </c>
      <c r="J119" s="201" t="str">
        <f>IFERROR(COUNTIF($C$23:C119,C119)&amp;CHOOSE(MIN(4,COUNTIF($C$23:C119,C119)),"st","nd","rd","th"),"")</f>
        <v/>
      </c>
    </row>
    <row r="120" spans="4:10" x14ac:dyDescent="0.25">
      <c r="D120" s="201" t="str">
        <f t="shared" si="1"/>
        <v/>
      </c>
      <c r="J120" s="201" t="str">
        <f>IFERROR(COUNTIF($C$23:C120,C120)&amp;CHOOSE(MIN(4,COUNTIF($C$23:C120,C120)),"st","nd","rd","th"),"")</f>
        <v/>
      </c>
    </row>
    <row r="121" spans="4:10" x14ac:dyDescent="0.25">
      <c r="D121" s="201" t="str">
        <f t="shared" si="1"/>
        <v/>
      </c>
      <c r="J121" s="201" t="str">
        <f>IFERROR(COUNTIF($C$23:C121,C121)&amp;CHOOSE(MIN(4,COUNTIF($C$23:C121,C121)),"st","nd","rd","th"),"")</f>
        <v/>
      </c>
    </row>
    <row r="122" spans="4:10" x14ac:dyDescent="0.25">
      <c r="D122" s="201" t="str">
        <f t="shared" si="1"/>
        <v/>
      </c>
      <c r="J122" s="201" t="str">
        <f>IFERROR(COUNTIF($C$23:C122,C122)&amp;CHOOSE(MIN(4,COUNTIF($C$23:C122,C122)),"st","nd","rd","th"),"")</f>
        <v/>
      </c>
    </row>
    <row r="123" spans="4:10" x14ac:dyDescent="0.25">
      <c r="D123" s="201" t="str">
        <f t="shared" si="1"/>
        <v/>
      </c>
      <c r="J123" s="201" t="str">
        <f>IFERROR(COUNTIF($C$23:C123,C123)&amp;CHOOSE(MIN(4,COUNTIF($C$23:C123,C123)),"st","nd","rd","th"),"")</f>
        <v/>
      </c>
    </row>
    <row r="124" spans="4:10" x14ac:dyDescent="0.25">
      <c r="D124" s="201" t="str">
        <f t="shared" si="1"/>
        <v/>
      </c>
      <c r="J124" s="201" t="str">
        <f>IFERROR(COUNTIF($C$23:C124,C124)&amp;CHOOSE(MIN(4,COUNTIF($C$23:C124,C124)),"st","nd","rd","th"),"")</f>
        <v/>
      </c>
    </row>
    <row r="125" spans="4:10" x14ac:dyDescent="0.25">
      <c r="D125" s="201" t="str">
        <f t="shared" si="1"/>
        <v/>
      </c>
      <c r="J125" s="201" t="str">
        <f>IFERROR(COUNTIF($C$23:C125,C125)&amp;CHOOSE(MIN(4,COUNTIF($C$23:C125,C125)),"st","nd","rd","th"),"")</f>
        <v/>
      </c>
    </row>
    <row r="126" spans="4:10" x14ac:dyDescent="0.25">
      <c r="D126" s="201" t="str">
        <f t="shared" si="1"/>
        <v/>
      </c>
      <c r="J126" s="201" t="str">
        <f>IFERROR(COUNTIF($C$23:C126,C126)&amp;CHOOSE(MIN(4,COUNTIF($C$23:C126,C126)),"st","nd","rd","th"),"")</f>
        <v/>
      </c>
    </row>
    <row r="127" spans="4:10" x14ac:dyDescent="0.25">
      <c r="D127" s="201" t="str">
        <f t="shared" si="1"/>
        <v/>
      </c>
      <c r="J127" s="201" t="str">
        <f>IFERROR(COUNTIF($C$23:C127,C127)&amp;CHOOSE(MIN(4,COUNTIF($C$23:C127,C127)),"st","nd","rd","th"),"")</f>
        <v/>
      </c>
    </row>
    <row r="128" spans="4:10" x14ac:dyDescent="0.25">
      <c r="D128" s="201" t="str">
        <f t="shared" si="1"/>
        <v/>
      </c>
      <c r="J128" s="201" t="str">
        <f>IFERROR(COUNTIF($C$23:C128,C128)&amp;CHOOSE(MIN(4,COUNTIF($C$23:C128,C128)),"st","nd","rd","th"),"")</f>
        <v/>
      </c>
    </row>
    <row r="129" spans="4:10" x14ac:dyDescent="0.25">
      <c r="D129" s="201" t="str">
        <f t="shared" si="1"/>
        <v/>
      </c>
      <c r="J129" s="201" t="str">
        <f>IFERROR(COUNTIF($C$23:C129,C129)&amp;CHOOSE(MIN(4,COUNTIF($C$23:C129,C129)),"st","nd","rd","th"),"")</f>
        <v/>
      </c>
    </row>
    <row r="130" spans="4:10" x14ac:dyDescent="0.25">
      <c r="D130" s="201" t="str">
        <f t="shared" si="1"/>
        <v/>
      </c>
      <c r="J130" s="201" t="str">
        <f>IFERROR(COUNTIF($C$23:C130,C130)&amp;CHOOSE(MIN(4,COUNTIF($C$23:C130,C130)),"st","nd","rd","th"),"")</f>
        <v/>
      </c>
    </row>
    <row r="131" spans="4:10" x14ac:dyDescent="0.25">
      <c r="D131" s="201" t="str">
        <f t="shared" si="1"/>
        <v/>
      </c>
      <c r="J131" s="201" t="str">
        <f>IFERROR(COUNTIF($C$23:C131,C131)&amp;CHOOSE(MIN(4,COUNTIF($C$23:C131,C131)),"st","nd","rd","th"),"")</f>
        <v/>
      </c>
    </row>
    <row r="132" spans="4:10" x14ac:dyDescent="0.25">
      <c r="D132" s="201" t="str">
        <f t="shared" si="1"/>
        <v/>
      </c>
      <c r="J132" s="201" t="str">
        <f>IFERROR(COUNTIF($C$23:C132,C132)&amp;CHOOSE(MIN(4,COUNTIF($C$23:C132,C132)),"st","nd","rd","th"),"")</f>
        <v/>
      </c>
    </row>
    <row r="133" spans="4:10" x14ac:dyDescent="0.25">
      <c r="D133" s="201" t="str">
        <f t="shared" si="1"/>
        <v/>
      </c>
      <c r="J133" s="201" t="str">
        <f>IFERROR(COUNTIF($C$23:C133,C133)&amp;CHOOSE(MIN(4,COUNTIF($C$23:C133,C133)),"st","nd","rd","th"),"")</f>
        <v/>
      </c>
    </row>
    <row r="134" spans="4:10" x14ac:dyDescent="0.25">
      <c r="D134" s="201" t="str">
        <f t="shared" si="1"/>
        <v/>
      </c>
      <c r="J134" s="201" t="str">
        <f>IFERROR(COUNTIF($C$23:C134,C134)&amp;CHOOSE(MIN(4,COUNTIF($C$23:C134,C134)),"st","nd","rd","th"),"")</f>
        <v/>
      </c>
    </row>
    <row r="135" spans="4:10" x14ac:dyDescent="0.25">
      <c r="D135" s="201" t="str">
        <f t="shared" si="1"/>
        <v/>
      </c>
      <c r="J135" s="201" t="str">
        <f>IFERROR(COUNTIF($C$23:C135,C135)&amp;CHOOSE(MIN(4,COUNTIF($C$23:C135,C135)),"st","nd","rd","th"),"")</f>
        <v/>
      </c>
    </row>
    <row r="136" spans="4:10" x14ac:dyDescent="0.25">
      <c r="D136" s="201" t="str">
        <f t="shared" si="1"/>
        <v/>
      </c>
      <c r="J136" s="201" t="str">
        <f>IFERROR(COUNTIF($C$23:C136,C136)&amp;CHOOSE(MIN(4,COUNTIF($C$23:C136,C136)),"st","nd","rd","th"),"")</f>
        <v/>
      </c>
    </row>
    <row r="137" spans="4:10" x14ac:dyDescent="0.25">
      <c r="D137" s="201" t="str">
        <f t="shared" si="1"/>
        <v/>
      </c>
      <c r="J137" s="201" t="str">
        <f>IFERROR(COUNTIF($C$23:C137,C137)&amp;CHOOSE(MIN(4,COUNTIF($C$23:C137,C137)),"st","nd","rd","th"),"")</f>
        <v/>
      </c>
    </row>
    <row r="138" spans="4:10" x14ac:dyDescent="0.25">
      <c r="D138" s="201" t="str">
        <f t="shared" si="1"/>
        <v/>
      </c>
      <c r="J138" s="201" t="str">
        <f>IFERROR(COUNTIF($C$23:C138,C138)&amp;CHOOSE(MIN(4,COUNTIF($C$23:C138,C138)),"st","nd","rd","th"),"")</f>
        <v/>
      </c>
    </row>
    <row r="139" spans="4:10" x14ac:dyDescent="0.25">
      <c r="D139" s="201" t="str">
        <f t="shared" si="1"/>
        <v/>
      </c>
      <c r="J139" s="201" t="str">
        <f>IFERROR(COUNTIF($C$23:C139,C139)&amp;CHOOSE(MIN(4,COUNTIF($C$23:C139,C139)),"st","nd","rd","th"),"")</f>
        <v/>
      </c>
    </row>
    <row r="140" spans="4:10" x14ac:dyDescent="0.25">
      <c r="D140" s="201" t="str">
        <f t="shared" si="1"/>
        <v/>
      </c>
      <c r="J140" s="201" t="str">
        <f>IFERROR(COUNTIF($C$23:C140,C140)&amp;CHOOSE(MIN(4,COUNTIF($C$23:C140,C140)),"st","nd","rd","th"),"")</f>
        <v/>
      </c>
    </row>
    <row r="141" spans="4:10" x14ac:dyDescent="0.25">
      <c r="D141" s="201" t="str">
        <f t="shared" si="1"/>
        <v/>
      </c>
      <c r="J141" s="201" t="str">
        <f>IFERROR(COUNTIF($C$23:C141,C141)&amp;CHOOSE(MIN(4,COUNTIF($C$23:C141,C141)),"st","nd","rd","th"),"")</f>
        <v/>
      </c>
    </row>
    <row r="142" spans="4:10" x14ac:dyDescent="0.25">
      <c r="D142" s="201" t="str">
        <f t="shared" si="1"/>
        <v/>
      </c>
      <c r="J142" s="201" t="str">
        <f>IFERROR(COUNTIF($C$23:C142,C142)&amp;CHOOSE(MIN(4,COUNTIF($C$23:C142,C142)),"st","nd","rd","th"),"")</f>
        <v/>
      </c>
    </row>
    <row r="143" spans="4:10" x14ac:dyDescent="0.25">
      <c r="D143" s="201" t="str">
        <f t="shared" si="1"/>
        <v/>
      </c>
      <c r="J143" s="201" t="str">
        <f>IFERROR(COUNTIF($C$23:C143,C143)&amp;CHOOSE(MIN(4,COUNTIF($C$23:C143,C143)),"st","nd","rd","th"),"")</f>
        <v/>
      </c>
    </row>
    <row r="144" spans="4:10" x14ac:dyDescent="0.25">
      <c r="D144" s="201" t="str">
        <f t="shared" si="1"/>
        <v/>
      </c>
      <c r="J144" s="201" t="str">
        <f>IFERROR(COUNTIF($C$23:C144,C144)&amp;CHOOSE(MIN(4,COUNTIF($C$23:C144,C144)),"st","nd","rd","th"),"")</f>
        <v/>
      </c>
    </row>
    <row r="145" spans="4:10" x14ac:dyDescent="0.25">
      <c r="D145" s="201" t="str">
        <f t="shared" si="1"/>
        <v/>
      </c>
      <c r="J145" s="201" t="str">
        <f>IFERROR(COUNTIF($C$23:C145,C145)&amp;CHOOSE(MIN(4,COUNTIF($C$23:C145,C145)),"st","nd","rd","th"),"")</f>
        <v/>
      </c>
    </row>
    <row r="146" spans="4:10" x14ac:dyDescent="0.25">
      <c r="D146" s="201" t="str">
        <f t="shared" si="1"/>
        <v/>
      </c>
      <c r="J146" s="201" t="str">
        <f>IFERROR(COUNTIF($C$23:C146,C146)&amp;CHOOSE(MIN(4,COUNTIF($C$23:C146,C146)),"st","nd","rd","th"),"")</f>
        <v/>
      </c>
    </row>
    <row r="147" spans="4:10" x14ac:dyDescent="0.25">
      <c r="D147" s="201" t="str">
        <f t="shared" si="1"/>
        <v/>
      </c>
      <c r="J147" s="201" t="str">
        <f>IFERROR(COUNTIF($C$23:C147,C147)&amp;CHOOSE(MIN(4,COUNTIF($C$23:C147,C147)),"st","nd","rd","th"),"")</f>
        <v/>
      </c>
    </row>
    <row r="148" spans="4:10" x14ac:dyDescent="0.25">
      <c r="D148" s="201" t="str">
        <f t="shared" si="1"/>
        <v/>
      </c>
      <c r="J148" s="201" t="str">
        <f>IFERROR(COUNTIF($C$23:C148,C148)&amp;CHOOSE(MIN(4,COUNTIF($C$23:C148,C148)),"st","nd","rd","th"),"")</f>
        <v/>
      </c>
    </row>
    <row r="149" spans="4:10" x14ac:dyDescent="0.25">
      <c r="D149" s="201" t="str">
        <f t="shared" si="1"/>
        <v/>
      </c>
      <c r="J149" s="201" t="str">
        <f>IFERROR(COUNTIF($C$23:C149,C149)&amp;CHOOSE(MIN(4,COUNTIF($C$23:C149,C149)),"st","nd","rd","th"),"")</f>
        <v/>
      </c>
    </row>
    <row r="150" spans="4:10" x14ac:dyDescent="0.25">
      <c r="D150" s="201" t="str">
        <f t="shared" si="1"/>
        <v/>
      </c>
      <c r="J150" s="201" t="str">
        <f>IFERROR(COUNTIF($C$23:C150,C150)&amp;CHOOSE(MIN(4,COUNTIF($C$23:C150,C150)),"st","nd","rd","th"),"")</f>
        <v/>
      </c>
    </row>
    <row r="151" spans="4:10" x14ac:dyDescent="0.25">
      <c r="D151" s="201" t="str">
        <f t="shared" ref="D151:D214" si="2">IF(B151="","",IF(B151="Province_PLGU","PDPFP","CLUP"))</f>
        <v/>
      </c>
      <c r="J151" s="201" t="str">
        <f>IFERROR(COUNTIF($C$23:C151,C151)&amp;CHOOSE(MIN(4,COUNTIF($C$23:C151,C151)),"st","nd","rd","th"),"")</f>
        <v/>
      </c>
    </row>
    <row r="152" spans="4:10" x14ac:dyDescent="0.25">
      <c r="D152" s="201" t="str">
        <f t="shared" si="2"/>
        <v/>
      </c>
      <c r="J152" s="201" t="str">
        <f>IFERROR(COUNTIF($C$23:C152,C152)&amp;CHOOSE(MIN(4,COUNTIF($C$23:C152,C152)),"st","nd","rd","th"),"")</f>
        <v/>
      </c>
    </row>
    <row r="153" spans="4:10" x14ac:dyDescent="0.25">
      <c r="D153" s="201" t="str">
        <f t="shared" si="2"/>
        <v/>
      </c>
      <c r="J153" s="201" t="str">
        <f>IFERROR(COUNTIF($C$23:C153,C153)&amp;CHOOSE(MIN(4,COUNTIF($C$23:C153,C153)),"st","nd","rd","th"),"")</f>
        <v/>
      </c>
    </row>
    <row r="154" spans="4:10" x14ac:dyDescent="0.25">
      <c r="D154" s="201" t="str">
        <f t="shared" si="2"/>
        <v/>
      </c>
      <c r="J154" s="201" t="str">
        <f>IFERROR(COUNTIF($C$23:C154,C154)&amp;CHOOSE(MIN(4,COUNTIF($C$23:C154,C154)),"st","nd","rd","th"),"")</f>
        <v/>
      </c>
    </row>
    <row r="155" spans="4:10" x14ac:dyDescent="0.25">
      <c r="D155" s="201" t="str">
        <f t="shared" si="2"/>
        <v/>
      </c>
      <c r="J155" s="201" t="str">
        <f>IFERROR(COUNTIF($C$23:C155,C155)&amp;CHOOSE(MIN(4,COUNTIF($C$23:C155,C155)),"st","nd","rd","th"),"")</f>
        <v/>
      </c>
    </row>
    <row r="156" spans="4:10" x14ac:dyDescent="0.25">
      <c r="D156" s="201" t="str">
        <f t="shared" si="2"/>
        <v/>
      </c>
      <c r="J156" s="201" t="str">
        <f>IFERROR(COUNTIF($C$23:C156,C156)&amp;CHOOSE(MIN(4,COUNTIF($C$23:C156,C156)),"st","nd","rd","th"),"")</f>
        <v/>
      </c>
    </row>
    <row r="157" spans="4:10" x14ac:dyDescent="0.25">
      <c r="D157" s="201" t="str">
        <f t="shared" si="2"/>
        <v/>
      </c>
      <c r="J157" s="201" t="str">
        <f>IFERROR(COUNTIF($C$23:C157,C157)&amp;CHOOSE(MIN(4,COUNTIF($C$23:C157,C157)),"st","nd","rd","th"),"")</f>
        <v/>
      </c>
    </row>
    <row r="158" spans="4:10" x14ac:dyDescent="0.25">
      <c r="D158" s="201" t="str">
        <f t="shared" si="2"/>
        <v/>
      </c>
      <c r="J158" s="201" t="str">
        <f>IFERROR(COUNTIF($C$23:C158,C158)&amp;CHOOSE(MIN(4,COUNTIF($C$23:C158,C158)),"st","nd","rd","th"),"")</f>
        <v/>
      </c>
    </row>
    <row r="159" spans="4:10" x14ac:dyDescent="0.25">
      <c r="D159" s="201" t="str">
        <f t="shared" si="2"/>
        <v/>
      </c>
      <c r="J159" s="201" t="str">
        <f>IFERROR(COUNTIF($C$23:C159,C159)&amp;CHOOSE(MIN(4,COUNTIF($C$23:C159,C159)),"st","nd","rd","th"),"")</f>
        <v/>
      </c>
    </row>
    <row r="160" spans="4:10" x14ac:dyDescent="0.25">
      <c r="D160" s="201" t="str">
        <f t="shared" si="2"/>
        <v/>
      </c>
      <c r="J160" s="201" t="str">
        <f>IFERROR(COUNTIF($C$23:C160,C160)&amp;CHOOSE(MIN(4,COUNTIF($C$23:C160,C160)),"st","nd","rd","th"),"")</f>
        <v/>
      </c>
    </row>
    <row r="161" spans="4:10" x14ac:dyDescent="0.25">
      <c r="D161" s="201" t="str">
        <f t="shared" si="2"/>
        <v/>
      </c>
      <c r="J161" s="201" t="str">
        <f>IFERROR(COUNTIF($C$23:C161,C161)&amp;CHOOSE(MIN(4,COUNTIF($C$23:C161,C161)),"st","nd","rd","th"),"")</f>
        <v/>
      </c>
    </row>
    <row r="162" spans="4:10" x14ac:dyDescent="0.25">
      <c r="D162" s="201" t="str">
        <f t="shared" si="2"/>
        <v/>
      </c>
      <c r="J162" s="201" t="str">
        <f>IFERROR(COUNTIF($C$23:C162,C162)&amp;CHOOSE(MIN(4,COUNTIF($C$23:C162,C162)),"st","nd","rd","th"),"")</f>
        <v/>
      </c>
    </row>
    <row r="163" spans="4:10" x14ac:dyDescent="0.25">
      <c r="D163" s="201" t="str">
        <f t="shared" si="2"/>
        <v/>
      </c>
      <c r="J163" s="201" t="str">
        <f>IFERROR(COUNTIF($C$23:C163,C163)&amp;CHOOSE(MIN(4,COUNTIF($C$23:C163,C163)),"st","nd","rd","th"),"")</f>
        <v/>
      </c>
    </row>
    <row r="164" spans="4:10" x14ac:dyDescent="0.25">
      <c r="D164" s="201" t="str">
        <f t="shared" si="2"/>
        <v/>
      </c>
      <c r="J164" s="201" t="str">
        <f>IFERROR(COUNTIF($C$23:C164,C164)&amp;CHOOSE(MIN(4,COUNTIF($C$23:C164,C164)),"st","nd","rd","th"),"")</f>
        <v/>
      </c>
    </row>
    <row r="165" spans="4:10" x14ac:dyDescent="0.25">
      <c r="D165" s="201" t="str">
        <f t="shared" si="2"/>
        <v/>
      </c>
      <c r="J165" s="201" t="str">
        <f>IFERROR(COUNTIF($C$23:C165,C165)&amp;CHOOSE(MIN(4,COUNTIF($C$23:C165,C165)),"st","nd","rd","th"),"")</f>
        <v/>
      </c>
    </row>
    <row r="166" spans="4:10" x14ac:dyDescent="0.25">
      <c r="D166" s="201" t="str">
        <f t="shared" si="2"/>
        <v/>
      </c>
      <c r="J166" s="201" t="str">
        <f>IFERROR(COUNTIF($C$23:C166,C166)&amp;CHOOSE(MIN(4,COUNTIF($C$23:C166,C166)),"st","nd","rd","th"),"")</f>
        <v/>
      </c>
    </row>
    <row r="167" spans="4:10" x14ac:dyDescent="0.25">
      <c r="D167" s="201" t="str">
        <f t="shared" si="2"/>
        <v/>
      </c>
      <c r="J167" s="201" t="str">
        <f>IFERROR(COUNTIF($C$23:C167,C167)&amp;CHOOSE(MIN(4,COUNTIF($C$23:C167,C167)),"st","nd","rd","th"),"")</f>
        <v/>
      </c>
    </row>
    <row r="168" spans="4:10" x14ac:dyDescent="0.25">
      <c r="D168" s="201" t="str">
        <f t="shared" si="2"/>
        <v/>
      </c>
      <c r="J168" s="201" t="str">
        <f>IFERROR(COUNTIF($C$23:C168,C168)&amp;CHOOSE(MIN(4,COUNTIF($C$23:C168,C168)),"st","nd","rd","th"),"")</f>
        <v/>
      </c>
    </row>
    <row r="169" spans="4:10" x14ac:dyDescent="0.25">
      <c r="D169" s="201" t="str">
        <f t="shared" si="2"/>
        <v/>
      </c>
      <c r="J169" s="201" t="str">
        <f>IFERROR(COUNTIF($C$23:C169,C169)&amp;CHOOSE(MIN(4,COUNTIF($C$23:C169,C169)),"st","nd","rd","th"),"")</f>
        <v/>
      </c>
    </row>
    <row r="170" spans="4:10" x14ac:dyDescent="0.25">
      <c r="D170" s="201" t="str">
        <f t="shared" si="2"/>
        <v/>
      </c>
      <c r="J170" s="201" t="str">
        <f>IFERROR(COUNTIF($C$23:C170,C170)&amp;CHOOSE(MIN(4,COUNTIF($C$23:C170,C170)),"st","nd","rd","th"),"")</f>
        <v/>
      </c>
    </row>
    <row r="171" spans="4:10" x14ac:dyDescent="0.25">
      <c r="D171" s="201" t="str">
        <f t="shared" si="2"/>
        <v/>
      </c>
      <c r="J171" s="201" t="str">
        <f>IFERROR(COUNTIF($C$23:C171,C171)&amp;CHOOSE(MIN(4,COUNTIF($C$23:C171,C171)),"st","nd","rd","th"),"")</f>
        <v/>
      </c>
    </row>
    <row r="172" spans="4:10" x14ac:dyDescent="0.25">
      <c r="D172" s="201" t="str">
        <f t="shared" si="2"/>
        <v/>
      </c>
      <c r="J172" s="201" t="str">
        <f>IFERROR(COUNTIF($C$23:C172,C172)&amp;CHOOSE(MIN(4,COUNTIF($C$23:C172,C172)),"st","nd","rd","th"),"")</f>
        <v/>
      </c>
    </row>
    <row r="173" spans="4:10" x14ac:dyDescent="0.25">
      <c r="D173" s="201" t="str">
        <f t="shared" si="2"/>
        <v/>
      </c>
      <c r="J173" s="201" t="str">
        <f>IFERROR(COUNTIF($C$23:C173,C173)&amp;CHOOSE(MIN(4,COUNTIF($C$23:C173,C173)),"st","nd","rd","th"),"")</f>
        <v/>
      </c>
    </row>
    <row r="174" spans="4:10" x14ac:dyDescent="0.25">
      <c r="D174" s="201" t="str">
        <f t="shared" si="2"/>
        <v/>
      </c>
      <c r="J174" s="201" t="str">
        <f>IFERROR(COUNTIF($C$23:C174,C174)&amp;CHOOSE(MIN(4,COUNTIF($C$23:C174,C174)),"st","nd","rd","th"),"")</f>
        <v/>
      </c>
    </row>
    <row r="175" spans="4:10" x14ac:dyDescent="0.25">
      <c r="D175" s="201" t="str">
        <f t="shared" si="2"/>
        <v/>
      </c>
      <c r="J175" s="201" t="str">
        <f>IFERROR(COUNTIF($C$23:C175,C175)&amp;CHOOSE(MIN(4,COUNTIF($C$23:C175,C175)),"st","nd","rd","th"),"")</f>
        <v/>
      </c>
    </row>
    <row r="176" spans="4:10" x14ac:dyDescent="0.25">
      <c r="D176" s="201" t="str">
        <f t="shared" si="2"/>
        <v/>
      </c>
      <c r="J176" s="201" t="str">
        <f>IFERROR(COUNTIF($C$23:C176,C176)&amp;CHOOSE(MIN(4,COUNTIF($C$23:C176,C176)),"st","nd","rd","th"),"")</f>
        <v/>
      </c>
    </row>
    <row r="177" spans="4:10" x14ac:dyDescent="0.25">
      <c r="D177" s="201" t="str">
        <f t="shared" si="2"/>
        <v/>
      </c>
      <c r="J177" s="201" t="str">
        <f>IFERROR(COUNTIF($C$23:C177,C177)&amp;CHOOSE(MIN(4,COUNTIF($C$23:C177,C177)),"st","nd","rd","th"),"")</f>
        <v/>
      </c>
    </row>
    <row r="178" spans="4:10" x14ac:dyDescent="0.25">
      <c r="D178" s="201" t="str">
        <f t="shared" si="2"/>
        <v/>
      </c>
      <c r="J178" s="201" t="str">
        <f>IFERROR(COUNTIF($C$23:C178,C178)&amp;CHOOSE(MIN(4,COUNTIF($C$23:C178,C178)),"st","nd","rd","th"),"")</f>
        <v/>
      </c>
    </row>
    <row r="179" spans="4:10" x14ac:dyDescent="0.25">
      <c r="D179" s="201" t="str">
        <f t="shared" si="2"/>
        <v/>
      </c>
      <c r="J179" s="201" t="str">
        <f>IFERROR(COUNTIF($C$23:C179,C179)&amp;CHOOSE(MIN(4,COUNTIF($C$23:C179,C179)),"st","nd","rd","th"),"")</f>
        <v/>
      </c>
    </row>
    <row r="180" spans="4:10" x14ac:dyDescent="0.25">
      <c r="D180" s="201" t="str">
        <f t="shared" si="2"/>
        <v/>
      </c>
      <c r="J180" s="201" t="str">
        <f>IFERROR(COUNTIF($C$23:C180,C180)&amp;CHOOSE(MIN(4,COUNTIF($C$23:C180,C180)),"st","nd","rd","th"),"")</f>
        <v/>
      </c>
    </row>
    <row r="181" spans="4:10" x14ac:dyDescent="0.25">
      <c r="D181" s="201" t="str">
        <f t="shared" si="2"/>
        <v/>
      </c>
      <c r="J181" s="201" t="str">
        <f>IFERROR(COUNTIF($C$23:C181,C181)&amp;CHOOSE(MIN(4,COUNTIF($C$23:C181,C181)),"st","nd","rd","th"),"")</f>
        <v/>
      </c>
    </row>
    <row r="182" spans="4:10" x14ac:dyDescent="0.25">
      <c r="D182" s="201" t="str">
        <f t="shared" si="2"/>
        <v/>
      </c>
      <c r="J182" s="201" t="str">
        <f>IFERROR(COUNTIF($C$23:C182,C182)&amp;CHOOSE(MIN(4,COUNTIF($C$23:C182,C182)),"st","nd","rd","th"),"")</f>
        <v/>
      </c>
    </row>
    <row r="183" spans="4:10" x14ac:dyDescent="0.25">
      <c r="D183" s="201" t="str">
        <f t="shared" si="2"/>
        <v/>
      </c>
      <c r="J183" s="201" t="str">
        <f>IFERROR(COUNTIF($C$23:C183,C183)&amp;CHOOSE(MIN(4,COUNTIF($C$23:C183,C183)),"st","nd","rd","th"),"")</f>
        <v/>
      </c>
    </row>
    <row r="184" spans="4:10" x14ac:dyDescent="0.25">
      <c r="D184" s="201" t="str">
        <f t="shared" si="2"/>
        <v/>
      </c>
      <c r="J184" s="201" t="str">
        <f>IFERROR(COUNTIF($C$23:C184,C184)&amp;CHOOSE(MIN(4,COUNTIF($C$23:C184,C184)),"st","nd","rd","th"),"")</f>
        <v/>
      </c>
    </row>
    <row r="185" spans="4:10" x14ac:dyDescent="0.25">
      <c r="D185" s="201" t="str">
        <f t="shared" si="2"/>
        <v/>
      </c>
      <c r="J185" s="201" t="str">
        <f>IFERROR(COUNTIF($C$23:C185,C185)&amp;CHOOSE(MIN(4,COUNTIF($C$23:C185,C185)),"st","nd","rd","th"),"")</f>
        <v/>
      </c>
    </row>
    <row r="186" spans="4:10" x14ac:dyDescent="0.25">
      <c r="D186" s="201" t="str">
        <f t="shared" si="2"/>
        <v/>
      </c>
      <c r="J186" s="201" t="str">
        <f>IFERROR(COUNTIF($C$23:C186,C186)&amp;CHOOSE(MIN(4,COUNTIF($C$23:C186,C186)),"st","nd","rd","th"),"")</f>
        <v/>
      </c>
    </row>
    <row r="187" spans="4:10" x14ac:dyDescent="0.25">
      <c r="D187" s="201" t="str">
        <f t="shared" si="2"/>
        <v/>
      </c>
      <c r="J187" s="201" t="str">
        <f>IFERROR(COUNTIF($C$23:C187,C187)&amp;CHOOSE(MIN(4,COUNTIF($C$23:C187,C187)),"st","nd","rd","th"),"")</f>
        <v/>
      </c>
    </row>
    <row r="188" spans="4:10" x14ac:dyDescent="0.25">
      <c r="D188" s="201" t="str">
        <f t="shared" si="2"/>
        <v/>
      </c>
      <c r="J188" s="201" t="str">
        <f>IFERROR(COUNTIF($C$23:C188,C188)&amp;CHOOSE(MIN(4,COUNTIF($C$23:C188,C188)),"st","nd","rd","th"),"")</f>
        <v/>
      </c>
    </row>
    <row r="189" spans="4:10" x14ac:dyDescent="0.25">
      <c r="D189" s="201" t="str">
        <f t="shared" si="2"/>
        <v/>
      </c>
      <c r="J189" s="201" t="str">
        <f>IFERROR(COUNTIF($C$23:C189,C189)&amp;CHOOSE(MIN(4,COUNTIF($C$23:C189,C189)),"st","nd","rd","th"),"")</f>
        <v/>
      </c>
    </row>
    <row r="190" spans="4:10" x14ac:dyDescent="0.25">
      <c r="D190" s="201" t="str">
        <f t="shared" si="2"/>
        <v/>
      </c>
      <c r="J190" s="201" t="str">
        <f>IFERROR(COUNTIF($C$23:C190,C190)&amp;CHOOSE(MIN(4,COUNTIF($C$23:C190,C190)),"st","nd","rd","th"),"")</f>
        <v/>
      </c>
    </row>
    <row r="191" spans="4:10" x14ac:dyDescent="0.25">
      <c r="D191" s="201" t="str">
        <f t="shared" si="2"/>
        <v/>
      </c>
      <c r="J191" s="201" t="str">
        <f>IFERROR(COUNTIF($C$23:C191,C191)&amp;CHOOSE(MIN(4,COUNTIF($C$23:C191,C191)),"st","nd","rd","th"),"")</f>
        <v/>
      </c>
    </row>
    <row r="192" spans="4:10" x14ac:dyDescent="0.25">
      <c r="D192" s="201" t="str">
        <f t="shared" si="2"/>
        <v/>
      </c>
      <c r="J192" s="201" t="str">
        <f>IFERROR(COUNTIF($C$23:C192,C192)&amp;CHOOSE(MIN(4,COUNTIF($C$23:C192,C192)),"st","nd","rd","th"),"")</f>
        <v/>
      </c>
    </row>
    <row r="193" spans="4:10" x14ac:dyDescent="0.25">
      <c r="D193" s="201" t="str">
        <f t="shared" si="2"/>
        <v/>
      </c>
      <c r="J193" s="201" t="str">
        <f>IFERROR(COUNTIF($C$23:C193,C193)&amp;CHOOSE(MIN(4,COUNTIF($C$23:C193,C193)),"st","nd","rd","th"),"")</f>
        <v/>
      </c>
    </row>
    <row r="194" spans="4:10" x14ac:dyDescent="0.25">
      <c r="D194" s="201" t="str">
        <f t="shared" si="2"/>
        <v/>
      </c>
      <c r="J194" s="201" t="str">
        <f>IFERROR(COUNTIF($C$23:C194,C194)&amp;CHOOSE(MIN(4,COUNTIF($C$23:C194,C194)),"st","nd","rd","th"),"")</f>
        <v/>
      </c>
    </row>
    <row r="195" spans="4:10" x14ac:dyDescent="0.25">
      <c r="D195" s="201" t="str">
        <f t="shared" si="2"/>
        <v/>
      </c>
      <c r="J195" s="201" t="str">
        <f>IFERROR(COUNTIF($C$23:C195,C195)&amp;CHOOSE(MIN(4,COUNTIF($C$23:C195,C195)),"st","nd","rd","th"),"")</f>
        <v/>
      </c>
    </row>
    <row r="196" spans="4:10" x14ac:dyDescent="0.25">
      <c r="D196" s="201" t="str">
        <f t="shared" si="2"/>
        <v/>
      </c>
      <c r="J196" s="201" t="str">
        <f>IFERROR(COUNTIF($C$23:C196,C196)&amp;CHOOSE(MIN(4,COUNTIF($C$23:C196,C196)),"st","nd","rd","th"),"")</f>
        <v/>
      </c>
    </row>
    <row r="197" spans="4:10" x14ac:dyDescent="0.25">
      <c r="D197" s="201" t="str">
        <f t="shared" si="2"/>
        <v/>
      </c>
      <c r="J197" s="201" t="str">
        <f>IFERROR(COUNTIF($C$23:C197,C197)&amp;CHOOSE(MIN(4,COUNTIF($C$23:C197,C197)),"st","nd","rd","th"),"")</f>
        <v/>
      </c>
    </row>
    <row r="198" spans="4:10" x14ac:dyDescent="0.25">
      <c r="D198" s="201" t="str">
        <f t="shared" si="2"/>
        <v/>
      </c>
      <c r="J198" s="201" t="str">
        <f>IFERROR(COUNTIF($C$23:C198,C198)&amp;CHOOSE(MIN(4,COUNTIF($C$23:C198,C198)),"st","nd","rd","th"),"")</f>
        <v/>
      </c>
    </row>
    <row r="199" spans="4:10" x14ac:dyDescent="0.25">
      <c r="D199" s="201" t="str">
        <f t="shared" si="2"/>
        <v/>
      </c>
      <c r="J199" s="201" t="str">
        <f>IFERROR(COUNTIF($C$23:C199,C199)&amp;CHOOSE(MIN(4,COUNTIF($C$23:C199,C199)),"st","nd","rd","th"),"")</f>
        <v/>
      </c>
    </row>
    <row r="200" spans="4:10" x14ac:dyDescent="0.25">
      <c r="D200" s="201" t="str">
        <f t="shared" si="2"/>
        <v/>
      </c>
      <c r="J200" s="201" t="str">
        <f>IFERROR(COUNTIF($C$23:C200,C200)&amp;CHOOSE(MIN(4,COUNTIF($C$23:C200,C200)),"st","nd","rd","th"),"")</f>
        <v/>
      </c>
    </row>
    <row r="201" spans="4:10" x14ac:dyDescent="0.25">
      <c r="D201" s="201" t="str">
        <f t="shared" si="2"/>
        <v/>
      </c>
      <c r="J201" s="201" t="str">
        <f>IFERROR(COUNTIF($C$23:C201,C201)&amp;CHOOSE(MIN(4,COUNTIF($C$23:C201,C201)),"st","nd","rd","th"),"")</f>
        <v/>
      </c>
    </row>
    <row r="202" spans="4:10" x14ac:dyDescent="0.25">
      <c r="D202" s="201" t="str">
        <f t="shared" si="2"/>
        <v/>
      </c>
      <c r="J202" s="201" t="str">
        <f>IFERROR(COUNTIF($C$23:C202,C202)&amp;CHOOSE(MIN(4,COUNTIF($C$23:C202,C202)),"st","nd","rd","th"),"")</f>
        <v/>
      </c>
    </row>
    <row r="203" spans="4:10" x14ac:dyDescent="0.25">
      <c r="D203" s="201" t="str">
        <f t="shared" si="2"/>
        <v/>
      </c>
      <c r="J203" s="201" t="str">
        <f>IFERROR(COUNTIF($C$23:C203,C203)&amp;CHOOSE(MIN(4,COUNTIF($C$23:C203,C203)),"st","nd","rd","th"),"")</f>
        <v/>
      </c>
    </row>
    <row r="204" spans="4:10" x14ac:dyDescent="0.25">
      <c r="D204" s="201" t="str">
        <f t="shared" si="2"/>
        <v/>
      </c>
      <c r="J204" s="201" t="str">
        <f>IFERROR(COUNTIF($C$23:C204,C204)&amp;CHOOSE(MIN(4,COUNTIF($C$23:C204,C204)),"st","nd","rd","th"),"")</f>
        <v/>
      </c>
    </row>
    <row r="205" spans="4:10" x14ac:dyDescent="0.25">
      <c r="D205" s="201" t="str">
        <f t="shared" si="2"/>
        <v/>
      </c>
      <c r="J205" s="201" t="str">
        <f>IFERROR(COUNTIF($C$23:C205,C205)&amp;CHOOSE(MIN(4,COUNTIF($C$23:C205,C205)),"st","nd","rd","th"),"")</f>
        <v/>
      </c>
    </row>
    <row r="206" spans="4:10" x14ac:dyDescent="0.25">
      <c r="D206" s="201" t="str">
        <f t="shared" si="2"/>
        <v/>
      </c>
      <c r="J206" s="201" t="str">
        <f>IFERROR(COUNTIF($C$23:C206,C206)&amp;CHOOSE(MIN(4,COUNTIF($C$23:C206,C206)),"st","nd","rd","th"),"")</f>
        <v/>
      </c>
    </row>
    <row r="207" spans="4:10" x14ac:dyDescent="0.25">
      <c r="D207" s="201" t="str">
        <f t="shared" si="2"/>
        <v/>
      </c>
      <c r="J207" s="201" t="str">
        <f>IFERROR(COUNTIF($C$23:C207,C207)&amp;CHOOSE(MIN(4,COUNTIF($C$23:C207,C207)),"st","nd","rd","th"),"")</f>
        <v/>
      </c>
    </row>
    <row r="208" spans="4:10" x14ac:dyDescent="0.25">
      <c r="D208" s="201" t="str">
        <f t="shared" si="2"/>
        <v/>
      </c>
      <c r="J208" s="201" t="str">
        <f>IFERROR(COUNTIF($C$23:C208,C208)&amp;CHOOSE(MIN(4,COUNTIF($C$23:C208,C208)),"st","nd","rd","th"),"")</f>
        <v/>
      </c>
    </row>
    <row r="209" spans="4:10" x14ac:dyDescent="0.25">
      <c r="D209" s="201" t="str">
        <f t="shared" si="2"/>
        <v/>
      </c>
      <c r="J209" s="201" t="str">
        <f>IFERROR(COUNTIF($C$23:C209,C209)&amp;CHOOSE(MIN(4,COUNTIF($C$23:C209,C209)),"st","nd","rd","th"),"")</f>
        <v/>
      </c>
    </row>
    <row r="210" spans="4:10" x14ac:dyDescent="0.25">
      <c r="D210" s="201" t="str">
        <f t="shared" si="2"/>
        <v/>
      </c>
      <c r="J210" s="201" t="str">
        <f>IFERROR(COUNTIF($C$23:C210,C210)&amp;CHOOSE(MIN(4,COUNTIF($C$23:C210,C210)),"st","nd","rd","th"),"")</f>
        <v/>
      </c>
    </row>
    <row r="211" spans="4:10" x14ac:dyDescent="0.25">
      <c r="D211" s="201" t="str">
        <f t="shared" si="2"/>
        <v/>
      </c>
      <c r="J211" s="201" t="str">
        <f>IFERROR(COUNTIF($C$23:C211,C211)&amp;CHOOSE(MIN(4,COUNTIF($C$23:C211,C211)),"st","nd","rd","th"),"")</f>
        <v/>
      </c>
    </row>
    <row r="212" spans="4:10" x14ac:dyDescent="0.25">
      <c r="D212" s="201" t="str">
        <f t="shared" si="2"/>
        <v/>
      </c>
      <c r="J212" s="201" t="str">
        <f>IFERROR(COUNTIF($C$23:C212,C212)&amp;CHOOSE(MIN(4,COUNTIF($C$23:C212,C212)),"st","nd","rd","th"),"")</f>
        <v/>
      </c>
    </row>
    <row r="213" spans="4:10" x14ac:dyDescent="0.25">
      <c r="D213" s="201" t="str">
        <f t="shared" si="2"/>
        <v/>
      </c>
      <c r="J213" s="201" t="str">
        <f>IFERROR(COUNTIF($C$23:C213,C213)&amp;CHOOSE(MIN(4,COUNTIF($C$23:C213,C213)),"st","nd","rd","th"),"")</f>
        <v/>
      </c>
    </row>
    <row r="214" spans="4:10" x14ac:dyDescent="0.25">
      <c r="D214" s="201" t="str">
        <f t="shared" si="2"/>
        <v/>
      </c>
      <c r="J214" s="201" t="str">
        <f>IFERROR(COUNTIF($C$23:C214,C214)&amp;CHOOSE(MIN(4,COUNTIF($C$23:C214,C214)),"st","nd","rd","th"),"")</f>
        <v/>
      </c>
    </row>
    <row r="215" spans="4:10" x14ac:dyDescent="0.25">
      <c r="D215" s="201" t="str">
        <f t="shared" ref="D215:D278" si="3">IF(B215="","",IF(B215="Province_PLGU","PDPFP","CLUP"))</f>
        <v/>
      </c>
      <c r="J215" s="201" t="str">
        <f>IFERROR(COUNTIF($C$23:C215,C215)&amp;CHOOSE(MIN(4,COUNTIF($C$23:C215,C215)),"st","nd","rd","th"),"")</f>
        <v/>
      </c>
    </row>
    <row r="216" spans="4:10" x14ac:dyDescent="0.25">
      <c r="D216" s="201" t="str">
        <f t="shared" si="3"/>
        <v/>
      </c>
      <c r="J216" s="201" t="str">
        <f>IFERROR(COUNTIF($C$23:C216,C216)&amp;CHOOSE(MIN(4,COUNTIF($C$23:C216,C216)),"st","nd","rd","th"),"")</f>
        <v/>
      </c>
    </row>
    <row r="217" spans="4:10" x14ac:dyDescent="0.25">
      <c r="D217" s="201" t="str">
        <f t="shared" si="3"/>
        <v/>
      </c>
      <c r="J217" s="201" t="str">
        <f>IFERROR(COUNTIF($C$23:C217,C217)&amp;CHOOSE(MIN(4,COUNTIF($C$23:C217,C217)),"st","nd","rd","th"),"")</f>
        <v/>
      </c>
    </row>
    <row r="218" spans="4:10" x14ac:dyDescent="0.25">
      <c r="D218" s="201" t="str">
        <f t="shared" si="3"/>
        <v/>
      </c>
      <c r="J218" s="201" t="str">
        <f>IFERROR(COUNTIF($C$23:C218,C218)&amp;CHOOSE(MIN(4,COUNTIF($C$23:C218,C218)),"st","nd","rd","th"),"")</f>
        <v/>
      </c>
    </row>
    <row r="219" spans="4:10" x14ac:dyDescent="0.25">
      <c r="D219" s="201" t="str">
        <f t="shared" si="3"/>
        <v/>
      </c>
      <c r="J219" s="201" t="str">
        <f>IFERROR(COUNTIF($C$23:C219,C219)&amp;CHOOSE(MIN(4,COUNTIF($C$23:C219,C219)),"st","nd","rd","th"),"")</f>
        <v/>
      </c>
    </row>
    <row r="220" spans="4:10" x14ac:dyDescent="0.25">
      <c r="D220" s="201" t="str">
        <f t="shared" si="3"/>
        <v/>
      </c>
      <c r="J220" s="201" t="str">
        <f>IFERROR(COUNTIF($C$23:C220,C220)&amp;CHOOSE(MIN(4,COUNTIF($C$23:C220,C220)),"st","nd","rd","th"),"")</f>
        <v/>
      </c>
    </row>
    <row r="221" spans="4:10" x14ac:dyDescent="0.25">
      <c r="D221" s="201" t="str">
        <f t="shared" si="3"/>
        <v/>
      </c>
      <c r="J221" s="201" t="str">
        <f>IFERROR(COUNTIF($C$23:C221,C221)&amp;CHOOSE(MIN(4,COUNTIF($C$23:C221,C221)),"st","nd","rd","th"),"")</f>
        <v/>
      </c>
    </row>
    <row r="222" spans="4:10" x14ac:dyDescent="0.25">
      <c r="D222" s="201" t="str">
        <f t="shared" si="3"/>
        <v/>
      </c>
      <c r="J222" s="201" t="str">
        <f>IFERROR(COUNTIF($C$23:C222,C222)&amp;CHOOSE(MIN(4,COUNTIF($C$23:C222,C222)),"st","nd","rd","th"),"")</f>
        <v/>
      </c>
    </row>
    <row r="223" spans="4:10" x14ac:dyDescent="0.25">
      <c r="D223" s="201" t="str">
        <f t="shared" si="3"/>
        <v/>
      </c>
      <c r="J223" s="201" t="str">
        <f>IFERROR(COUNTIF($C$23:C223,C223)&amp;CHOOSE(MIN(4,COUNTIF($C$23:C223,C223)),"st","nd","rd","th"),"")</f>
        <v/>
      </c>
    </row>
    <row r="224" spans="4:10" x14ac:dyDescent="0.25">
      <c r="D224" s="201" t="str">
        <f t="shared" si="3"/>
        <v/>
      </c>
      <c r="J224" s="201" t="str">
        <f>IFERROR(COUNTIF($C$23:C224,C224)&amp;CHOOSE(MIN(4,COUNTIF($C$23:C224,C224)),"st","nd","rd","th"),"")</f>
        <v/>
      </c>
    </row>
    <row r="225" spans="4:10" x14ac:dyDescent="0.25">
      <c r="D225" s="201" t="str">
        <f t="shared" si="3"/>
        <v/>
      </c>
      <c r="J225" s="201" t="str">
        <f>IFERROR(COUNTIF($C$23:C225,C225)&amp;CHOOSE(MIN(4,COUNTIF($C$23:C225,C225)),"st","nd","rd","th"),"")</f>
        <v/>
      </c>
    </row>
    <row r="226" spans="4:10" x14ac:dyDescent="0.25">
      <c r="D226" s="201" t="str">
        <f t="shared" si="3"/>
        <v/>
      </c>
      <c r="J226" s="201" t="str">
        <f>IFERROR(COUNTIF($C$23:C226,C226)&amp;CHOOSE(MIN(4,COUNTIF($C$23:C226,C226)),"st","nd","rd","th"),"")</f>
        <v/>
      </c>
    </row>
    <row r="227" spans="4:10" x14ac:dyDescent="0.25">
      <c r="D227" s="201" t="str">
        <f t="shared" si="3"/>
        <v/>
      </c>
      <c r="J227" s="201" t="str">
        <f>IFERROR(COUNTIF($C$23:C227,C227)&amp;CHOOSE(MIN(4,COUNTIF($C$23:C227,C227)),"st","nd","rd","th"),"")</f>
        <v/>
      </c>
    </row>
    <row r="228" spans="4:10" x14ac:dyDescent="0.25">
      <c r="D228" s="201" t="str">
        <f t="shared" si="3"/>
        <v/>
      </c>
      <c r="J228" s="201" t="str">
        <f>IFERROR(COUNTIF($C$23:C228,C228)&amp;CHOOSE(MIN(4,COUNTIF($C$23:C228,C228)),"st","nd","rd","th"),"")</f>
        <v/>
      </c>
    </row>
    <row r="229" spans="4:10" x14ac:dyDescent="0.25">
      <c r="D229" s="201" t="str">
        <f t="shared" si="3"/>
        <v/>
      </c>
      <c r="J229" s="201" t="str">
        <f>IFERROR(COUNTIF($C$23:C229,C229)&amp;CHOOSE(MIN(4,COUNTIF($C$23:C229,C229)),"st","nd","rd","th"),"")</f>
        <v/>
      </c>
    </row>
    <row r="230" spans="4:10" x14ac:dyDescent="0.25">
      <c r="D230" s="201" t="str">
        <f t="shared" si="3"/>
        <v/>
      </c>
      <c r="J230" s="201" t="str">
        <f>IFERROR(COUNTIF($C$23:C230,C230)&amp;CHOOSE(MIN(4,COUNTIF($C$23:C230,C230)),"st","nd","rd","th"),"")</f>
        <v/>
      </c>
    </row>
    <row r="231" spans="4:10" x14ac:dyDescent="0.25">
      <c r="D231" s="201" t="str">
        <f t="shared" si="3"/>
        <v/>
      </c>
      <c r="J231" s="201" t="str">
        <f>IFERROR(COUNTIF($C$23:C231,C231)&amp;CHOOSE(MIN(4,COUNTIF($C$23:C231,C231)),"st","nd","rd","th"),"")</f>
        <v/>
      </c>
    </row>
    <row r="232" spans="4:10" x14ac:dyDescent="0.25">
      <c r="D232" s="201" t="str">
        <f t="shared" si="3"/>
        <v/>
      </c>
      <c r="J232" s="201" t="str">
        <f>IFERROR(COUNTIF($C$23:C232,C232)&amp;CHOOSE(MIN(4,COUNTIF($C$23:C232,C232)),"st","nd","rd","th"),"")</f>
        <v/>
      </c>
    </row>
    <row r="233" spans="4:10" x14ac:dyDescent="0.25">
      <c r="D233" s="201" t="str">
        <f t="shared" si="3"/>
        <v/>
      </c>
      <c r="J233" s="201" t="str">
        <f>IFERROR(COUNTIF($C$23:C233,C233)&amp;CHOOSE(MIN(4,COUNTIF($C$23:C233,C233)),"st","nd","rd","th"),"")</f>
        <v/>
      </c>
    </row>
    <row r="234" spans="4:10" x14ac:dyDescent="0.25">
      <c r="D234" s="201" t="str">
        <f t="shared" si="3"/>
        <v/>
      </c>
      <c r="J234" s="201" t="str">
        <f>IFERROR(COUNTIF($C$23:C234,C234)&amp;CHOOSE(MIN(4,COUNTIF($C$23:C234,C234)),"st","nd","rd","th"),"")</f>
        <v/>
      </c>
    </row>
    <row r="235" spans="4:10" x14ac:dyDescent="0.25">
      <c r="D235" s="201" t="str">
        <f t="shared" si="3"/>
        <v/>
      </c>
      <c r="J235" s="201" t="str">
        <f>IFERROR(COUNTIF($C$23:C235,C235)&amp;CHOOSE(MIN(4,COUNTIF($C$23:C235,C235)),"st","nd","rd","th"),"")</f>
        <v/>
      </c>
    </row>
    <row r="236" spans="4:10" x14ac:dyDescent="0.25">
      <c r="D236" s="201" t="str">
        <f t="shared" si="3"/>
        <v/>
      </c>
      <c r="J236" s="201" t="str">
        <f>IFERROR(COUNTIF($C$23:C236,C236)&amp;CHOOSE(MIN(4,COUNTIF($C$23:C236,C236)),"st","nd","rd","th"),"")</f>
        <v/>
      </c>
    </row>
    <row r="237" spans="4:10" x14ac:dyDescent="0.25">
      <c r="D237" s="201" t="str">
        <f t="shared" si="3"/>
        <v/>
      </c>
      <c r="J237" s="201" t="str">
        <f>IFERROR(COUNTIF($C$23:C237,C237)&amp;CHOOSE(MIN(4,COUNTIF($C$23:C237,C237)),"st","nd","rd","th"),"")</f>
        <v/>
      </c>
    </row>
    <row r="238" spans="4:10" x14ac:dyDescent="0.25">
      <c r="D238" s="201" t="str">
        <f t="shared" si="3"/>
        <v/>
      </c>
      <c r="J238" s="201" t="str">
        <f>IFERROR(COUNTIF($C$23:C238,C238)&amp;CHOOSE(MIN(4,COUNTIF($C$23:C238,C238)),"st","nd","rd","th"),"")</f>
        <v/>
      </c>
    </row>
    <row r="239" spans="4:10" x14ac:dyDescent="0.25">
      <c r="D239" s="201" t="str">
        <f t="shared" si="3"/>
        <v/>
      </c>
      <c r="J239" s="201" t="str">
        <f>IFERROR(COUNTIF($C$23:C239,C239)&amp;CHOOSE(MIN(4,COUNTIF($C$23:C239,C239)),"st","nd","rd","th"),"")</f>
        <v/>
      </c>
    </row>
    <row r="240" spans="4:10" x14ac:dyDescent="0.25">
      <c r="D240" s="201" t="str">
        <f t="shared" si="3"/>
        <v/>
      </c>
      <c r="J240" s="201" t="str">
        <f>IFERROR(COUNTIF($C$23:C240,C240)&amp;CHOOSE(MIN(4,COUNTIF($C$23:C240,C240)),"st","nd","rd","th"),"")</f>
        <v/>
      </c>
    </row>
    <row r="241" spans="4:10" x14ac:dyDescent="0.25">
      <c r="D241" s="201" t="str">
        <f t="shared" si="3"/>
        <v/>
      </c>
      <c r="J241" s="201" t="str">
        <f>IFERROR(COUNTIF($C$23:C241,C241)&amp;CHOOSE(MIN(4,COUNTIF($C$23:C241,C241)),"st","nd","rd","th"),"")</f>
        <v/>
      </c>
    </row>
    <row r="242" spans="4:10" x14ac:dyDescent="0.25">
      <c r="D242" s="201" t="str">
        <f t="shared" si="3"/>
        <v/>
      </c>
      <c r="J242" s="201" t="str">
        <f>IFERROR(COUNTIF($C$23:C242,C242)&amp;CHOOSE(MIN(4,COUNTIF($C$23:C242,C242)),"st","nd","rd","th"),"")</f>
        <v/>
      </c>
    </row>
    <row r="243" spans="4:10" x14ac:dyDescent="0.25">
      <c r="D243" s="201" t="str">
        <f t="shared" si="3"/>
        <v/>
      </c>
      <c r="J243" s="201" t="str">
        <f>IFERROR(COUNTIF($C$23:C243,C243)&amp;CHOOSE(MIN(4,COUNTIF($C$23:C243,C243)),"st","nd","rd","th"),"")</f>
        <v/>
      </c>
    </row>
    <row r="244" spans="4:10" x14ac:dyDescent="0.25">
      <c r="D244" s="201" t="str">
        <f t="shared" si="3"/>
        <v/>
      </c>
      <c r="J244" s="201" t="str">
        <f>IFERROR(COUNTIF($C$23:C244,C244)&amp;CHOOSE(MIN(4,COUNTIF($C$23:C244,C244)),"st","nd","rd","th"),"")</f>
        <v/>
      </c>
    </row>
    <row r="245" spans="4:10" x14ac:dyDescent="0.25">
      <c r="D245" s="201" t="str">
        <f t="shared" si="3"/>
        <v/>
      </c>
      <c r="J245" s="201" t="str">
        <f>IFERROR(COUNTIF($C$23:C245,C245)&amp;CHOOSE(MIN(4,COUNTIF($C$23:C245,C245)),"st","nd","rd","th"),"")</f>
        <v/>
      </c>
    </row>
    <row r="246" spans="4:10" x14ac:dyDescent="0.25">
      <c r="D246" s="201" t="str">
        <f t="shared" si="3"/>
        <v/>
      </c>
      <c r="J246" s="201" t="str">
        <f>IFERROR(COUNTIF($C$23:C246,C246)&amp;CHOOSE(MIN(4,COUNTIF($C$23:C246,C246)),"st","nd","rd","th"),"")</f>
        <v/>
      </c>
    </row>
    <row r="247" spans="4:10" x14ac:dyDescent="0.25">
      <c r="D247" s="201" t="str">
        <f t="shared" si="3"/>
        <v/>
      </c>
      <c r="J247" s="201" t="str">
        <f>IFERROR(COUNTIF($C$23:C247,C247)&amp;CHOOSE(MIN(4,COUNTIF($C$23:C247,C247)),"st","nd","rd","th"),"")</f>
        <v/>
      </c>
    </row>
    <row r="248" spans="4:10" x14ac:dyDescent="0.25">
      <c r="D248" s="201" t="str">
        <f t="shared" si="3"/>
        <v/>
      </c>
      <c r="J248" s="201" t="str">
        <f>IFERROR(COUNTIF($C$23:C248,C248)&amp;CHOOSE(MIN(4,COUNTIF($C$23:C248,C248)),"st","nd","rd","th"),"")</f>
        <v/>
      </c>
    </row>
    <row r="249" spans="4:10" x14ac:dyDescent="0.25">
      <c r="D249" s="201" t="str">
        <f t="shared" si="3"/>
        <v/>
      </c>
      <c r="J249" s="201" t="str">
        <f>IFERROR(COUNTIF($C$23:C249,C249)&amp;CHOOSE(MIN(4,COUNTIF($C$23:C249,C249)),"st","nd","rd","th"),"")</f>
        <v/>
      </c>
    </row>
    <row r="250" spans="4:10" x14ac:dyDescent="0.25">
      <c r="D250" s="201" t="str">
        <f t="shared" si="3"/>
        <v/>
      </c>
      <c r="J250" s="201" t="str">
        <f>IFERROR(COUNTIF($C$23:C250,C250)&amp;CHOOSE(MIN(4,COUNTIF($C$23:C250,C250)),"st","nd","rd","th"),"")</f>
        <v/>
      </c>
    </row>
    <row r="251" spans="4:10" x14ac:dyDescent="0.25">
      <c r="D251" s="201" t="str">
        <f t="shared" si="3"/>
        <v/>
      </c>
      <c r="J251" s="201" t="str">
        <f>IFERROR(COUNTIF($C$23:C251,C251)&amp;CHOOSE(MIN(4,COUNTIF($C$23:C251,C251)),"st","nd","rd","th"),"")</f>
        <v/>
      </c>
    </row>
    <row r="252" spans="4:10" x14ac:dyDescent="0.25">
      <c r="D252" s="201" t="str">
        <f t="shared" si="3"/>
        <v/>
      </c>
      <c r="J252" s="201" t="str">
        <f>IFERROR(COUNTIF($C$23:C252,C252)&amp;CHOOSE(MIN(4,COUNTIF($C$23:C252,C252)),"st","nd","rd","th"),"")</f>
        <v/>
      </c>
    </row>
    <row r="253" spans="4:10" x14ac:dyDescent="0.25">
      <c r="D253" s="201" t="str">
        <f t="shared" si="3"/>
        <v/>
      </c>
      <c r="J253" s="201" t="str">
        <f>IFERROR(COUNTIF($C$23:C253,C253)&amp;CHOOSE(MIN(4,COUNTIF($C$23:C253,C253)),"st","nd","rd","th"),"")</f>
        <v/>
      </c>
    </row>
    <row r="254" spans="4:10" x14ac:dyDescent="0.25">
      <c r="D254" s="201" t="str">
        <f t="shared" si="3"/>
        <v/>
      </c>
      <c r="J254" s="201" t="str">
        <f>IFERROR(COUNTIF($C$23:C254,C254)&amp;CHOOSE(MIN(4,COUNTIF($C$23:C254,C254)),"st","nd","rd","th"),"")</f>
        <v/>
      </c>
    </row>
    <row r="255" spans="4:10" x14ac:dyDescent="0.25">
      <c r="D255" s="201" t="str">
        <f t="shared" si="3"/>
        <v/>
      </c>
      <c r="J255" s="201" t="str">
        <f>IFERROR(COUNTIF($C$23:C255,C255)&amp;CHOOSE(MIN(4,COUNTIF($C$23:C255,C255)),"st","nd","rd","th"),"")</f>
        <v/>
      </c>
    </row>
    <row r="256" spans="4:10" x14ac:dyDescent="0.25">
      <c r="D256" s="201" t="str">
        <f t="shared" si="3"/>
        <v/>
      </c>
      <c r="J256" s="201" t="str">
        <f>IFERROR(COUNTIF($C$23:C256,C256)&amp;CHOOSE(MIN(4,COUNTIF($C$23:C256,C256)),"st","nd","rd","th"),"")</f>
        <v/>
      </c>
    </row>
    <row r="257" spans="4:10" x14ac:dyDescent="0.25">
      <c r="D257" s="201" t="str">
        <f t="shared" si="3"/>
        <v/>
      </c>
      <c r="J257" s="201" t="str">
        <f>IFERROR(COUNTIF($C$23:C257,C257)&amp;CHOOSE(MIN(4,COUNTIF($C$23:C257,C257)),"st","nd","rd","th"),"")</f>
        <v/>
      </c>
    </row>
    <row r="258" spans="4:10" x14ac:dyDescent="0.25">
      <c r="D258" s="201" t="str">
        <f t="shared" si="3"/>
        <v/>
      </c>
      <c r="J258" s="201" t="str">
        <f>IFERROR(COUNTIF($C$23:C258,C258)&amp;CHOOSE(MIN(4,COUNTIF($C$23:C258,C258)),"st","nd","rd","th"),"")</f>
        <v/>
      </c>
    </row>
    <row r="259" spans="4:10" x14ac:dyDescent="0.25">
      <c r="D259" s="201" t="str">
        <f t="shared" si="3"/>
        <v/>
      </c>
      <c r="J259" s="201" t="str">
        <f>IFERROR(COUNTIF($C$23:C259,C259)&amp;CHOOSE(MIN(4,COUNTIF($C$23:C259,C259)),"st","nd","rd","th"),"")</f>
        <v/>
      </c>
    </row>
    <row r="260" spans="4:10" x14ac:dyDescent="0.25">
      <c r="D260" s="201" t="str">
        <f t="shared" si="3"/>
        <v/>
      </c>
      <c r="J260" s="201" t="str">
        <f>IFERROR(COUNTIF($C$23:C260,C260)&amp;CHOOSE(MIN(4,COUNTIF($C$23:C260,C260)),"st","nd","rd","th"),"")</f>
        <v/>
      </c>
    </row>
    <row r="261" spans="4:10" x14ac:dyDescent="0.25">
      <c r="D261" s="201" t="str">
        <f t="shared" si="3"/>
        <v/>
      </c>
      <c r="J261" s="201" t="str">
        <f>IFERROR(COUNTIF($C$23:C261,C261)&amp;CHOOSE(MIN(4,COUNTIF($C$23:C261,C261)),"st","nd","rd","th"),"")</f>
        <v/>
      </c>
    </row>
    <row r="262" spans="4:10" x14ac:dyDescent="0.25">
      <c r="D262" s="201" t="str">
        <f t="shared" si="3"/>
        <v/>
      </c>
      <c r="J262" s="201" t="str">
        <f>IFERROR(COUNTIF($C$23:C262,C262)&amp;CHOOSE(MIN(4,COUNTIF($C$23:C262,C262)),"st","nd","rd","th"),"")</f>
        <v/>
      </c>
    </row>
    <row r="263" spans="4:10" x14ac:dyDescent="0.25">
      <c r="D263" s="201" t="str">
        <f t="shared" si="3"/>
        <v/>
      </c>
      <c r="J263" s="201" t="str">
        <f>IFERROR(COUNTIF($C$23:C263,C263)&amp;CHOOSE(MIN(4,COUNTIF($C$23:C263,C263)),"st","nd","rd","th"),"")</f>
        <v/>
      </c>
    </row>
    <row r="264" spans="4:10" x14ac:dyDescent="0.25">
      <c r="D264" s="201" t="str">
        <f t="shared" si="3"/>
        <v/>
      </c>
      <c r="J264" s="201" t="str">
        <f>IFERROR(COUNTIF($C$23:C264,C264)&amp;CHOOSE(MIN(4,COUNTIF($C$23:C264,C264)),"st","nd","rd","th"),"")</f>
        <v/>
      </c>
    </row>
    <row r="265" spans="4:10" x14ac:dyDescent="0.25">
      <c r="D265" s="201" t="str">
        <f t="shared" si="3"/>
        <v/>
      </c>
      <c r="J265" s="201" t="str">
        <f>IFERROR(COUNTIF($C$23:C265,C265)&amp;CHOOSE(MIN(4,COUNTIF($C$23:C265,C265)),"st","nd","rd","th"),"")</f>
        <v/>
      </c>
    </row>
    <row r="266" spans="4:10" x14ac:dyDescent="0.25">
      <c r="D266" s="201" t="str">
        <f t="shared" si="3"/>
        <v/>
      </c>
      <c r="J266" s="201" t="str">
        <f>IFERROR(COUNTIF($C$23:C266,C266)&amp;CHOOSE(MIN(4,COUNTIF($C$23:C266,C266)),"st","nd","rd","th"),"")</f>
        <v/>
      </c>
    </row>
    <row r="267" spans="4:10" x14ac:dyDescent="0.25">
      <c r="D267" s="201" t="str">
        <f t="shared" si="3"/>
        <v/>
      </c>
      <c r="J267" s="201" t="str">
        <f>IFERROR(COUNTIF($C$23:C267,C267)&amp;CHOOSE(MIN(4,COUNTIF($C$23:C267,C267)),"st","nd","rd","th"),"")</f>
        <v/>
      </c>
    </row>
    <row r="268" spans="4:10" x14ac:dyDescent="0.25">
      <c r="D268" s="201" t="str">
        <f t="shared" si="3"/>
        <v/>
      </c>
      <c r="J268" s="201" t="str">
        <f>IFERROR(COUNTIF($C$23:C268,C268)&amp;CHOOSE(MIN(4,COUNTIF($C$23:C268,C268)),"st","nd","rd","th"),"")</f>
        <v/>
      </c>
    </row>
    <row r="269" spans="4:10" x14ac:dyDescent="0.25">
      <c r="D269" s="201" t="str">
        <f t="shared" si="3"/>
        <v/>
      </c>
      <c r="J269" s="201" t="str">
        <f>IFERROR(COUNTIF($C$23:C269,C269)&amp;CHOOSE(MIN(4,COUNTIF($C$23:C269,C269)),"st","nd","rd","th"),"")</f>
        <v/>
      </c>
    </row>
    <row r="270" spans="4:10" x14ac:dyDescent="0.25">
      <c r="D270" s="201" t="str">
        <f t="shared" si="3"/>
        <v/>
      </c>
      <c r="J270" s="201" t="str">
        <f>IFERROR(COUNTIF($C$23:C270,C270)&amp;CHOOSE(MIN(4,COUNTIF($C$23:C270,C270)),"st","nd","rd","th"),"")</f>
        <v/>
      </c>
    </row>
    <row r="271" spans="4:10" x14ac:dyDescent="0.25">
      <c r="D271" s="201" t="str">
        <f t="shared" si="3"/>
        <v/>
      </c>
      <c r="J271" s="201" t="str">
        <f>IFERROR(COUNTIF($C$23:C271,C271)&amp;CHOOSE(MIN(4,COUNTIF($C$23:C271,C271)),"st","nd","rd","th"),"")</f>
        <v/>
      </c>
    </row>
    <row r="272" spans="4:10" x14ac:dyDescent="0.25">
      <c r="D272" s="201" t="str">
        <f t="shared" si="3"/>
        <v/>
      </c>
      <c r="J272" s="201" t="str">
        <f>IFERROR(COUNTIF($C$23:C272,C272)&amp;CHOOSE(MIN(4,COUNTIF($C$23:C272,C272)),"st","nd","rd","th"),"")</f>
        <v/>
      </c>
    </row>
    <row r="273" spans="4:10" x14ac:dyDescent="0.25">
      <c r="D273" s="201" t="str">
        <f t="shared" si="3"/>
        <v/>
      </c>
      <c r="J273" s="201" t="str">
        <f>IFERROR(COUNTIF($C$23:C273,C273)&amp;CHOOSE(MIN(4,COUNTIF($C$23:C273,C273)),"st","nd","rd","th"),"")</f>
        <v/>
      </c>
    </row>
    <row r="274" spans="4:10" x14ac:dyDescent="0.25">
      <c r="D274" s="201" t="str">
        <f t="shared" si="3"/>
        <v/>
      </c>
      <c r="J274" s="201" t="str">
        <f>IFERROR(COUNTIF($C$23:C274,C274)&amp;CHOOSE(MIN(4,COUNTIF($C$23:C274,C274)),"st","nd","rd","th"),"")</f>
        <v/>
      </c>
    </row>
    <row r="275" spans="4:10" x14ac:dyDescent="0.25">
      <c r="D275" s="201" t="str">
        <f t="shared" si="3"/>
        <v/>
      </c>
      <c r="J275" s="201" t="str">
        <f>IFERROR(COUNTIF($C$23:C275,C275)&amp;CHOOSE(MIN(4,COUNTIF($C$23:C275,C275)),"st","nd","rd","th"),"")</f>
        <v/>
      </c>
    </row>
    <row r="276" spans="4:10" x14ac:dyDescent="0.25">
      <c r="D276" s="201" t="str">
        <f t="shared" si="3"/>
        <v/>
      </c>
      <c r="J276" s="201" t="str">
        <f>IFERROR(COUNTIF($C$23:C276,C276)&amp;CHOOSE(MIN(4,COUNTIF($C$23:C276,C276)),"st","nd","rd","th"),"")</f>
        <v/>
      </c>
    </row>
    <row r="277" spans="4:10" x14ac:dyDescent="0.25">
      <c r="D277" s="201" t="str">
        <f t="shared" si="3"/>
        <v/>
      </c>
      <c r="J277" s="201" t="str">
        <f>IFERROR(COUNTIF($C$23:C277,C277)&amp;CHOOSE(MIN(4,COUNTIF($C$23:C277,C277)),"st","nd","rd","th"),"")</f>
        <v/>
      </c>
    </row>
    <row r="278" spans="4:10" x14ac:dyDescent="0.25">
      <c r="D278" s="201" t="str">
        <f t="shared" si="3"/>
        <v/>
      </c>
      <c r="J278" s="201" t="str">
        <f>IFERROR(COUNTIF($C$23:C278,C278)&amp;CHOOSE(MIN(4,COUNTIF($C$23:C278,C278)),"st","nd","rd","th"),"")</f>
        <v/>
      </c>
    </row>
    <row r="279" spans="4:10" x14ac:dyDescent="0.25">
      <c r="D279" s="201" t="str">
        <f t="shared" ref="D279:D342" si="4">IF(B279="","",IF(B279="Province_PLGU","PDPFP","CLUP"))</f>
        <v/>
      </c>
      <c r="J279" s="201" t="str">
        <f>IFERROR(COUNTIF($C$23:C279,C279)&amp;CHOOSE(MIN(4,COUNTIF($C$23:C279,C279)),"st","nd","rd","th"),"")</f>
        <v/>
      </c>
    </row>
    <row r="280" spans="4:10" x14ac:dyDescent="0.25">
      <c r="D280" s="201" t="str">
        <f t="shared" si="4"/>
        <v/>
      </c>
      <c r="J280" s="201" t="str">
        <f>IFERROR(COUNTIF($C$23:C280,C280)&amp;CHOOSE(MIN(4,COUNTIF($C$23:C280,C280)),"st","nd","rd","th"),"")</f>
        <v/>
      </c>
    </row>
    <row r="281" spans="4:10" x14ac:dyDescent="0.25">
      <c r="D281" s="201" t="str">
        <f t="shared" si="4"/>
        <v/>
      </c>
      <c r="J281" s="201" t="str">
        <f>IFERROR(COUNTIF($C$23:C281,C281)&amp;CHOOSE(MIN(4,COUNTIF($C$23:C281,C281)),"st","nd","rd","th"),"")</f>
        <v/>
      </c>
    </row>
    <row r="282" spans="4:10" x14ac:dyDescent="0.25">
      <c r="D282" s="201" t="str">
        <f t="shared" si="4"/>
        <v/>
      </c>
      <c r="J282" s="201" t="str">
        <f>IFERROR(COUNTIF($C$23:C282,C282)&amp;CHOOSE(MIN(4,COUNTIF($C$23:C282,C282)),"st","nd","rd","th"),"")</f>
        <v/>
      </c>
    </row>
    <row r="283" spans="4:10" x14ac:dyDescent="0.25">
      <c r="D283" s="201" t="str">
        <f t="shared" si="4"/>
        <v/>
      </c>
      <c r="J283" s="201" t="str">
        <f>IFERROR(COUNTIF($C$23:C283,C283)&amp;CHOOSE(MIN(4,COUNTIF($C$23:C283,C283)),"st","nd","rd","th"),"")</f>
        <v/>
      </c>
    </row>
    <row r="284" spans="4:10" x14ac:dyDescent="0.25">
      <c r="D284" s="201" t="str">
        <f t="shared" si="4"/>
        <v/>
      </c>
      <c r="J284" s="201" t="str">
        <f>IFERROR(COUNTIF($C$23:C284,C284)&amp;CHOOSE(MIN(4,COUNTIF($C$23:C284,C284)),"st","nd","rd","th"),"")</f>
        <v/>
      </c>
    </row>
    <row r="285" spans="4:10" x14ac:dyDescent="0.25">
      <c r="D285" s="201" t="str">
        <f t="shared" si="4"/>
        <v/>
      </c>
      <c r="J285" s="201" t="str">
        <f>IFERROR(COUNTIF($C$23:C285,C285)&amp;CHOOSE(MIN(4,COUNTIF($C$23:C285,C285)),"st","nd","rd","th"),"")</f>
        <v/>
      </c>
    </row>
    <row r="286" spans="4:10" x14ac:dyDescent="0.25">
      <c r="D286" s="201" t="str">
        <f t="shared" si="4"/>
        <v/>
      </c>
      <c r="J286" s="201" t="str">
        <f>IFERROR(COUNTIF($C$23:C286,C286)&amp;CHOOSE(MIN(4,COUNTIF($C$23:C286,C286)),"st","nd","rd","th"),"")</f>
        <v/>
      </c>
    </row>
    <row r="287" spans="4:10" x14ac:dyDescent="0.25">
      <c r="D287" s="201" t="str">
        <f t="shared" si="4"/>
        <v/>
      </c>
      <c r="J287" s="201" t="str">
        <f>IFERROR(COUNTIF($C$23:C287,C287)&amp;CHOOSE(MIN(4,COUNTIF($C$23:C287,C287)),"st","nd","rd","th"),"")</f>
        <v/>
      </c>
    </row>
    <row r="288" spans="4:10" x14ac:dyDescent="0.25">
      <c r="D288" s="201" t="str">
        <f t="shared" si="4"/>
        <v/>
      </c>
      <c r="J288" s="201" t="str">
        <f>IFERROR(COUNTIF($C$23:C288,C288)&amp;CHOOSE(MIN(4,COUNTIF($C$23:C288,C288)),"st","nd","rd","th"),"")</f>
        <v/>
      </c>
    </row>
    <row r="289" spans="4:10" x14ac:dyDescent="0.25">
      <c r="D289" s="201" t="str">
        <f t="shared" si="4"/>
        <v/>
      </c>
      <c r="J289" s="201" t="str">
        <f>IFERROR(COUNTIF($C$23:C289,C289)&amp;CHOOSE(MIN(4,COUNTIF($C$23:C289,C289)),"st","nd","rd","th"),"")</f>
        <v/>
      </c>
    </row>
    <row r="290" spans="4:10" x14ac:dyDescent="0.25">
      <c r="D290" s="201" t="str">
        <f t="shared" si="4"/>
        <v/>
      </c>
      <c r="J290" s="201" t="str">
        <f>IFERROR(COUNTIF($C$23:C290,C290)&amp;CHOOSE(MIN(4,COUNTIF($C$23:C290,C290)),"st","nd","rd","th"),"")</f>
        <v/>
      </c>
    </row>
    <row r="291" spans="4:10" x14ac:dyDescent="0.25">
      <c r="D291" s="201" t="str">
        <f t="shared" si="4"/>
        <v/>
      </c>
      <c r="J291" s="201" t="str">
        <f>IFERROR(COUNTIF($C$23:C291,C291)&amp;CHOOSE(MIN(4,COUNTIF($C$23:C291,C291)),"st","nd","rd","th"),"")</f>
        <v/>
      </c>
    </row>
    <row r="292" spans="4:10" x14ac:dyDescent="0.25">
      <c r="D292" s="201" t="str">
        <f t="shared" si="4"/>
        <v/>
      </c>
      <c r="J292" s="201" t="str">
        <f>IFERROR(COUNTIF($C$23:C292,C292)&amp;CHOOSE(MIN(4,COUNTIF($C$23:C292,C292)),"st","nd","rd","th"),"")</f>
        <v/>
      </c>
    </row>
    <row r="293" spans="4:10" x14ac:dyDescent="0.25">
      <c r="D293" s="201" t="str">
        <f t="shared" si="4"/>
        <v/>
      </c>
      <c r="J293" s="201" t="str">
        <f>IFERROR(COUNTIF($C$23:C293,C293)&amp;CHOOSE(MIN(4,COUNTIF($C$23:C293,C293)),"st","nd","rd","th"),"")</f>
        <v/>
      </c>
    </row>
    <row r="294" spans="4:10" x14ac:dyDescent="0.25">
      <c r="D294" s="201" t="str">
        <f t="shared" si="4"/>
        <v/>
      </c>
      <c r="J294" s="201" t="str">
        <f>IFERROR(COUNTIF($C$23:C294,C294)&amp;CHOOSE(MIN(4,COUNTIF($C$23:C294,C294)),"st","nd","rd","th"),"")</f>
        <v/>
      </c>
    </row>
    <row r="295" spans="4:10" x14ac:dyDescent="0.25">
      <c r="D295" s="201" t="str">
        <f t="shared" si="4"/>
        <v/>
      </c>
      <c r="J295" s="201" t="str">
        <f>IFERROR(COUNTIF($C$23:C295,C295)&amp;CHOOSE(MIN(4,COUNTIF($C$23:C295,C295)),"st","nd","rd","th"),"")</f>
        <v/>
      </c>
    </row>
    <row r="296" spans="4:10" x14ac:dyDescent="0.25">
      <c r="D296" s="201" t="str">
        <f t="shared" si="4"/>
        <v/>
      </c>
      <c r="J296" s="201" t="str">
        <f>IFERROR(COUNTIF($C$23:C296,C296)&amp;CHOOSE(MIN(4,COUNTIF($C$23:C296,C296)),"st","nd","rd","th"),"")</f>
        <v/>
      </c>
    </row>
    <row r="297" spans="4:10" x14ac:dyDescent="0.25">
      <c r="D297" s="201" t="str">
        <f t="shared" si="4"/>
        <v/>
      </c>
      <c r="J297" s="201" t="str">
        <f>IFERROR(COUNTIF($C$23:C297,C297)&amp;CHOOSE(MIN(4,COUNTIF($C$23:C297,C297)),"st","nd","rd","th"),"")</f>
        <v/>
      </c>
    </row>
    <row r="298" spans="4:10" x14ac:dyDescent="0.25">
      <c r="D298" s="201" t="str">
        <f t="shared" si="4"/>
        <v/>
      </c>
      <c r="J298" s="201" t="str">
        <f>IFERROR(COUNTIF($C$23:C298,C298)&amp;CHOOSE(MIN(4,COUNTIF($C$23:C298,C298)),"st","nd","rd","th"),"")</f>
        <v/>
      </c>
    </row>
    <row r="299" spans="4:10" x14ac:dyDescent="0.25">
      <c r="D299" s="201" t="str">
        <f t="shared" si="4"/>
        <v/>
      </c>
      <c r="J299" s="201" t="str">
        <f>IFERROR(COUNTIF($C$23:C299,C299)&amp;CHOOSE(MIN(4,COUNTIF($C$23:C299,C299)),"st","nd","rd","th"),"")</f>
        <v/>
      </c>
    </row>
    <row r="300" spans="4:10" x14ac:dyDescent="0.25">
      <c r="D300" s="201" t="str">
        <f t="shared" si="4"/>
        <v/>
      </c>
      <c r="J300" s="201" t="str">
        <f>IFERROR(COUNTIF($C$23:C300,C300)&amp;CHOOSE(MIN(4,COUNTIF($C$23:C300,C300)),"st","nd","rd","th"),"")</f>
        <v/>
      </c>
    </row>
    <row r="301" spans="4:10" x14ac:dyDescent="0.25">
      <c r="D301" s="201" t="str">
        <f t="shared" si="4"/>
        <v/>
      </c>
      <c r="J301" s="201" t="str">
        <f>IFERROR(COUNTIF($C$23:C301,C301)&amp;CHOOSE(MIN(4,COUNTIF($C$23:C301,C301)),"st","nd","rd","th"),"")</f>
        <v/>
      </c>
    </row>
    <row r="302" spans="4:10" x14ac:dyDescent="0.25">
      <c r="D302" s="201" t="str">
        <f t="shared" si="4"/>
        <v/>
      </c>
      <c r="J302" s="201" t="str">
        <f>IFERROR(COUNTIF($C$23:C302,C302)&amp;CHOOSE(MIN(4,COUNTIF($C$23:C302,C302)),"st","nd","rd","th"),"")</f>
        <v/>
      </c>
    </row>
    <row r="303" spans="4:10" x14ac:dyDescent="0.25">
      <c r="D303" s="201" t="str">
        <f t="shared" si="4"/>
        <v/>
      </c>
      <c r="J303" s="201" t="str">
        <f>IFERROR(COUNTIF($C$23:C303,C303)&amp;CHOOSE(MIN(4,COUNTIF($C$23:C303,C303)),"st","nd","rd","th"),"")</f>
        <v/>
      </c>
    </row>
    <row r="304" spans="4:10" x14ac:dyDescent="0.25">
      <c r="D304" s="201" t="str">
        <f t="shared" si="4"/>
        <v/>
      </c>
      <c r="J304" s="201" t="str">
        <f>IFERROR(COUNTIF($C$23:C304,C304)&amp;CHOOSE(MIN(4,COUNTIF($C$23:C304,C304)),"st","nd","rd","th"),"")</f>
        <v/>
      </c>
    </row>
    <row r="305" spans="4:10" x14ac:dyDescent="0.25">
      <c r="D305" s="201" t="str">
        <f t="shared" si="4"/>
        <v/>
      </c>
      <c r="J305" s="201" t="str">
        <f>IFERROR(COUNTIF($C$23:C305,C305)&amp;CHOOSE(MIN(4,COUNTIF($C$23:C305,C305)),"st","nd","rd","th"),"")</f>
        <v/>
      </c>
    </row>
    <row r="306" spans="4:10" x14ac:dyDescent="0.25">
      <c r="D306" s="201" t="str">
        <f t="shared" si="4"/>
        <v/>
      </c>
      <c r="J306" s="201" t="str">
        <f>IFERROR(COUNTIF($C$23:C306,C306)&amp;CHOOSE(MIN(4,COUNTIF($C$23:C306,C306)),"st","nd","rd","th"),"")</f>
        <v/>
      </c>
    </row>
    <row r="307" spans="4:10" x14ac:dyDescent="0.25">
      <c r="D307" s="201" t="str">
        <f t="shared" si="4"/>
        <v/>
      </c>
      <c r="J307" s="201" t="str">
        <f>IFERROR(COUNTIF($C$23:C307,C307)&amp;CHOOSE(MIN(4,COUNTIF($C$23:C307,C307)),"st","nd","rd","th"),"")</f>
        <v/>
      </c>
    </row>
    <row r="308" spans="4:10" x14ac:dyDescent="0.25">
      <c r="D308" s="201" t="str">
        <f t="shared" si="4"/>
        <v/>
      </c>
      <c r="J308" s="201" t="str">
        <f>IFERROR(COUNTIF($C$23:C308,C308)&amp;CHOOSE(MIN(4,COUNTIF($C$23:C308,C308)),"st","nd","rd","th"),"")</f>
        <v/>
      </c>
    </row>
    <row r="309" spans="4:10" x14ac:dyDescent="0.25">
      <c r="D309" s="201" t="str">
        <f t="shared" si="4"/>
        <v/>
      </c>
      <c r="J309" s="201" t="str">
        <f>IFERROR(COUNTIF($C$23:C309,C309)&amp;CHOOSE(MIN(4,COUNTIF($C$23:C309,C309)),"st","nd","rd","th"),"")</f>
        <v/>
      </c>
    </row>
    <row r="310" spans="4:10" x14ac:dyDescent="0.25">
      <c r="D310" s="201" t="str">
        <f t="shared" si="4"/>
        <v/>
      </c>
      <c r="J310" s="201" t="str">
        <f>IFERROR(COUNTIF($C$23:C310,C310)&amp;CHOOSE(MIN(4,COUNTIF($C$23:C310,C310)),"st","nd","rd","th"),"")</f>
        <v/>
      </c>
    </row>
    <row r="311" spans="4:10" x14ac:dyDescent="0.25">
      <c r="D311" s="201" t="str">
        <f t="shared" si="4"/>
        <v/>
      </c>
      <c r="J311" s="201" t="str">
        <f>IFERROR(COUNTIF($C$23:C311,C311)&amp;CHOOSE(MIN(4,COUNTIF($C$23:C311,C311)),"st","nd","rd","th"),"")</f>
        <v/>
      </c>
    </row>
    <row r="312" spans="4:10" x14ac:dyDescent="0.25">
      <c r="D312" s="201" t="str">
        <f t="shared" si="4"/>
        <v/>
      </c>
      <c r="J312" s="201" t="str">
        <f>IFERROR(COUNTIF($C$23:C312,C312)&amp;CHOOSE(MIN(4,COUNTIF($C$23:C312,C312)),"st","nd","rd","th"),"")</f>
        <v/>
      </c>
    </row>
    <row r="313" spans="4:10" x14ac:dyDescent="0.25">
      <c r="D313" s="201" t="str">
        <f t="shared" si="4"/>
        <v/>
      </c>
      <c r="J313" s="201" t="str">
        <f>IFERROR(COUNTIF($C$23:C313,C313)&amp;CHOOSE(MIN(4,COUNTIF($C$23:C313,C313)),"st","nd","rd","th"),"")</f>
        <v/>
      </c>
    </row>
    <row r="314" spans="4:10" x14ac:dyDescent="0.25">
      <c r="D314" s="201" t="str">
        <f t="shared" si="4"/>
        <v/>
      </c>
      <c r="J314" s="201" t="str">
        <f>IFERROR(COUNTIF($C$23:C314,C314)&amp;CHOOSE(MIN(4,COUNTIF($C$23:C314,C314)),"st","nd","rd","th"),"")</f>
        <v/>
      </c>
    </row>
    <row r="315" spans="4:10" x14ac:dyDescent="0.25">
      <c r="D315" s="201" t="str">
        <f t="shared" si="4"/>
        <v/>
      </c>
      <c r="J315" s="201" t="str">
        <f>IFERROR(COUNTIF($C$23:C315,C315)&amp;CHOOSE(MIN(4,COUNTIF($C$23:C315,C315)),"st","nd","rd","th"),"")</f>
        <v/>
      </c>
    </row>
    <row r="316" spans="4:10" x14ac:dyDescent="0.25">
      <c r="D316" s="201" t="str">
        <f t="shared" si="4"/>
        <v/>
      </c>
      <c r="J316" s="201" t="str">
        <f>IFERROR(COUNTIF($C$23:C316,C316)&amp;CHOOSE(MIN(4,COUNTIF($C$23:C316,C316)),"st","nd","rd","th"),"")</f>
        <v/>
      </c>
    </row>
    <row r="317" spans="4:10" x14ac:dyDescent="0.25">
      <c r="D317" s="201" t="str">
        <f t="shared" si="4"/>
        <v/>
      </c>
      <c r="J317" s="201" t="str">
        <f>IFERROR(COUNTIF($C$23:C317,C317)&amp;CHOOSE(MIN(4,COUNTIF($C$23:C317,C317)),"st","nd","rd","th"),"")</f>
        <v/>
      </c>
    </row>
    <row r="318" spans="4:10" x14ac:dyDescent="0.25">
      <c r="D318" s="201" t="str">
        <f t="shared" si="4"/>
        <v/>
      </c>
      <c r="J318" s="201" t="str">
        <f>IFERROR(COUNTIF($C$23:C318,C318)&amp;CHOOSE(MIN(4,COUNTIF($C$23:C318,C318)),"st","nd","rd","th"),"")</f>
        <v/>
      </c>
    </row>
    <row r="319" spans="4:10" x14ac:dyDescent="0.25">
      <c r="D319" s="201" t="str">
        <f t="shared" si="4"/>
        <v/>
      </c>
      <c r="J319" s="201" t="str">
        <f>IFERROR(COUNTIF($C$23:C319,C319)&amp;CHOOSE(MIN(4,COUNTIF($C$23:C319,C319)),"st","nd","rd","th"),"")</f>
        <v/>
      </c>
    </row>
    <row r="320" spans="4:10" x14ac:dyDescent="0.25">
      <c r="D320" s="201" t="str">
        <f t="shared" si="4"/>
        <v/>
      </c>
      <c r="J320" s="201" t="str">
        <f>IFERROR(COUNTIF($C$23:C320,C320)&amp;CHOOSE(MIN(4,COUNTIF($C$23:C320,C320)),"st","nd","rd","th"),"")</f>
        <v/>
      </c>
    </row>
    <row r="321" spans="4:10" x14ac:dyDescent="0.25">
      <c r="D321" s="201" t="str">
        <f t="shared" si="4"/>
        <v/>
      </c>
      <c r="J321" s="201" t="str">
        <f>IFERROR(COUNTIF($C$23:C321,C321)&amp;CHOOSE(MIN(4,COUNTIF($C$23:C321,C321)),"st","nd","rd","th"),"")</f>
        <v/>
      </c>
    </row>
    <row r="322" spans="4:10" x14ac:dyDescent="0.25">
      <c r="D322" s="201" t="str">
        <f t="shared" si="4"/>
        <v/>
      </c>
      <c r="J322" s="201" t="str">
        <f>IFERROR(COUNTIF($C$23:C322,C322)&amp;CHOOSE(MIN(4,COUNTIF($C$23:C322,C322)),"st","nd","rd","th"),"")</f>
        <v/>
      </c>
    </row>
    <row r="323" spans="4:10" x14ac:dyDescent="0.25">
      <c r="D323" s="201" t="str">
        <f t="shared" si="4"/>
        <v/>
      </c>
      <c r="J323" s="201" t="str">
        <f>IFERROR(COUNTIF($C$23:C323,C323)&amp;CHOOSE(MIN(4,COUNTIF($C$23:C323,C323)),"st","nd","rd","th"),"")</f>
        <v/>
      </c>
    </row>
    <row r="324" spans="4:10" x14ac:dyDescent="0.25">
      <c r="D324" s="201" t="str">
        <f t="shared" si="4"/>
        <v/>
      </c>
      <c r="J324" s="201" t="str">
        <f>IFERROR(COUNTIF($C$23:C324,C324)&amp;CHOOSE(MIN(4,COUNTIF($C$23:C324,C324)),"st","nd","rd","th"),"")</f>
        <v/>
      </c>
    </row>
    <row r="325" spans="4:10" x14ac:dyDescent="0.25">
      <c r="D325" s="201" t="str">
        <f t="shared" si="4"/>
        <v/>
      </c>
      <c r="J325" s="201" t="str">
        <f>IFERROR(COUNTIF($C$23:C325,C325)&amp;CHOOSE(MIN(4,COUNTIF($C$23:C325,C325)),"st","nd","rd","th"),"")</f>
        <v/>
      </c>
    </row>
    <row r="326" spans="4:10" x14ac:dyDescent="0.25">
      <c r="D326" s="201" t="str">
        <f t="shared" si="4"/>
        <v/>
      </c>
      <c r="J326" s="201" t="str">
        <f>IFERROR(COUNTIF($C$23:C326,C326)&amp;CHOOSE(MIN(4,COUNTIF($C$23:C326,C326)),"st","nd","rd","th"),"")</f>
        <v/>
      </c>
    </row>
    <row r="327" spans="4:10" x14ac:dyDescent="0.25">
      <c r="D327" s="201" t="str">
        <f t="shared" si="4"/>
        <v/>
      </c>
      <c r="J327" s="201" t="str">
        <f>IFERROR(COUNTIF($C$23:C327,C327)&amp;CHOOSE(MIN(4,COUNTIF($C$23:C327,C327)),"st","nd","rd","th"),"")</f>
        <v/>
      </c>
    </row>
    <row r="328" spans="4:10" x14ac:dyDescent="0.25">
      <c r="D328" s="201" t="str">
        <f t="shared" si="4"/>
        <v/>
      </c>
      <c r="J328" s="201" t="str">
        <f>IFERROR(COUNTIF($C$23:C328,C328)&amp;CHOOSE(MIN(4,COUNTIF($C$23:C328,C328)),"st","nd","rd","th"),"")</f>
        <v/>
      </c>
    </row>
    <row r="329" spans="4:10" x14ac:dyDescent="0.25">
      <c r="D329" s="201" t="str">
        <f t="shared" si="4"/>
        <v/>
      </c>
      <c r="J329" s="201" t="str">
        <f>IFERROR(COUNTIF($C$23:C329,C329)&amp;CHOOSE(MIN(4,COUNTIF($C$23:C329,C329)),"st","nd","rd","th"),"")</f>
        <v/>
      </c>
    </row>
    <row r="330" spans="4:10" x14ac:dyDescent="0.25">
      <c r="D330" s="201" t="str">
        <f t="shared" si="4"/>
        <v/>
      </c>
      <c r="J330" s="201" t="str">
        <f>IFERROR(COUNTIF($C$23:C330,C330)&amp;CHOOSE(MIN(4,COUNTIF($C$23:C330,C330)),"st","nd","rd","th"),"")</f>
        <v/>
      </c>
    </row>
    <row r="331" spans="4:10" x14ac:dyDescent="0.25">
      <c r="D331" s="201" t="str">
        <f t="shared" si="4"/>
        <v/>
      </c>
      <c r="J331" s="201" t="str">
        <f>IFERROR(COUNTIF($C$23:C331,C331)&amp;CHOOSE(MIN(4,COUNTIF($C$23:C331,C331)),"st","nd","rd","th"),"")</f>
        <v/>
      </c>
    </row>
    <row r="332" spans="4:10" x14ac:dyDescent="0.25">
      <c r="D332" s="201" t="str">
        <f t="shared" si="4"/>
        <v/>
      </c>
      <c r="J332" s="201" t="str">
        <f>IFERROR(COUNTIF($C$23:C332,C332)&amp;CHOOSE(MIN(4,COUNTIF($C$23:C332,C332)),"st","nd","rd","th"),"")</f>
        <v/>
      </c>
    </row>
    <row r="333" spans="4:10" x14ac:dyDescent="0.25">
      <c r="D333" s="201" t="str">
        <f t="shared" si="4"/>
        <v/>
      </c>
      <c r="J333" s="201" t="str">
        <f>IFERROR(COUNTIF($C$23:C333,C333)&amp;CHOOSE(MIN(4,COUNTIF($C$23:C333,C333)),"st","nd","rd","th"),"")</f>
        <v/>
      </c>
    </row>
    <row r="334" spans="4:10" x14ac:dyDescent="0.25">
      <c r="D334" s="201" t="str">
        <f t="shared" si="4"/>
        <v/>
      </c>
      <c r="J334" s="201" t="str">
        <f>IFERROR(COUNTIF($C$23:C334,C334)&amp;CHOOSE(MIN(4,COUNTIF($C$23:C334,C334)),"st","nd","rd","th"),"")</f>
        <v/>
      </c>
    </row>
    <row r="335" spans="4:10" x14ac:dyDescent="0.25">
      <c r="D335" s="201" t="str">
        <f t="shared" si="4"/>
        <v/>
      </c>
      <c r="J335" s="201" t="str">
        <f>IFERROR(COUNTIF($C$23:C335,C335)&amp;CHOOSE(MIN(4,COUNTIF($C$23:C335,C335)),"st","nd","rd","th"),"")</f>
        <v/>
      </c>
    </row>
    <row r="336" spans="4:10" x14ac:dyDescent="0.25">
      <c r="D336" s="201" t="str">
        <f t="shared" si="4"/>
        <v/>
      </c>
      <c r="J336" s="201" t="str">
        <f>IFERROR(COUNTIF($C$23:C336,C336)&amp;CHOOSE(MIN(4,COUNTIF($C$23:C336,C336)),"st","nd","rd","th"),"")</f>
        <v/>
      </c>
    </row>
    <row r="337" spans="4:10" x14ac:dyDescent="0.25">
      <c r="D337" s="201" t="str">
        <f t="shared" si="4"/>
        <v/>
      </c>
      <c r="J337" s="201" t="str">
        <f>IFERROR(COUNTIF($C$23:C337,C337)&amp;CHOOSE(MIN(4,COUNTIF($C$23:C337,C337)),"st","nd","rd","th"),"")</f>
        <v/>
      </c>
    </row>
    <row r="338" spans="4:10" x14ac:dyDescent="0.25">
      <c r="D338" s="201" t="str">
        <f t="shared" si="4"/>
        <v/>
      </c>
      <c r="J338" s="201" t="str">
        <f>IFERROR(COUNTIF($C$23:C338,C338)&amp;CHOOSE(MIN(4,COUNTIF($C$23:C338,C338)),"st","nd","rd","th"),"")</f>
        <v/>
      </c>
    </row>
    <row r="339" spans="4:10" x14ac:dyDescent="0.25">
      <c r="D339" s="201" t="str">
        <f t="shared" si="4"/>
        <v/>
      </c>
      <c r="J339" s="201" t="str">
        <f>IFERROR(COUNTIF($C$23:C339,C339)&amp;CHOOSE(MIN(4,COUNTIF($C$23:C339,C339)),"st","nd","rd","th"),"")</f>
        <v/>
      </c>
    </row>
    <row r="340" spans="4:10" x14ac:dyDescent="0.25">
      <c r="D340" s="201" t="str">
        <f t="shared" si="4"/>
        <v/>
      </c>
      <c r="J340" s="201" t="str">
        <f>IFERROR(COUNTIF($C$23:C340,C340)&amp;CHOOSE(MIN(4,COUNTIF($C$23:C340,C340)),"st","nd","rd","th"),"")</f>
        <v/>
      </c>
    </row>
    <row r="341" spans="4:10" x14ac:dyDescent="0.25">
      <c r="D341" s="201" t="str">
        <f t="shared" si="4"/>
        <v/>
      </c>
      <c r="J341" s="201" t="str">
        <f>IFERROR(COUNTIF($C$23:C341,C341)&amp;CHOOSE(MIN(4,COUNTIF($C$23:C341,C341)),"st","nd","rd","th"),"")</f>
        <v/>
      </c>
    </row>
    <row r="342" spans="4:10" x14ac:dyDescent="0.25">
      <c r="D342" s="201" t="str">
        <f t="shared" si="4"/>
        <v/>
      </c>
      <c r="J342" s="201" t="str">
        <f>IFERROR(COUNTIF($C$23:C342,C342)&amp;CHOOSE(MIN(4,COUNTIF($C$23:C342,C342)),"st","nd","rd","th"),"")</f>
        <v/>
      </c>
    </row>
    <row r="343" spans="4:10" x14ac:dyDescent="0.25">
      <c r="D343" s="201" t="str">
        <f t="shared" ref="D343:D406" si="5">IF(B343="","",IF(B343="Province_PLGU","PDPFP","CLUP"))</f>
        <v/>
      </c>
      <c r="J343" s="201" t="str">
        <f>IFERROR(COUNTIF($C$23:C343,C343)&amp;CHOOSE(MIN(4,COUNTIF($C$23:C343,C343)),"st","nd","rd","th"),"")</f>
        <v/>
      </c>
    </row>
    <row r="344" spans="4:10" x14ac:dyDescent="0.25">
      <c r="D344" s="201" t="str">
        <f t="shared" si="5"/>
        <v/>
      </c>
      <c r="J344" s="201" t="str">
        <f>IFERROR(COUNTIF($C$23:C344,C344)&amp;CHOOSE(MIN(4,COUNTIF($C$23:C344,C344)),"st","nd","rd","th"),"")</f>
        <v/>
      </c>
    </row>
    <row r="345" spans="4:10" x14ac:dyDescent="0.25">
      <c r="D345" s="201" t="str">
        <f t="shared" si="5"/>
        <v/>
      </c>
      <c r="J345" s="201" t="str">
        <f>IFERROR(COUNTIF($C$23:C345,C345)&amp;CHOOSE(MIN(4,COUNTIF($C$23:C345,C345)),"st","nd","rd","th"),"")</f>
        <v/>
      </c>
    </row>
    <row r="346" spans="4:10" x14ac:dyDescent="0.25">
      <c r="D346" s="201" t="str">
        <f t="shared" si="5"/>
        <v/>
      </c>
      <c r="J346" s="201" t="str">
        <f>IFERROR(COUNTIF($C$23:C346,C346)&amp;CHOOSE(MIN(4,COUNTIF($C$23:C346,C346)),"st","nd","rd","th"),"")</f>
        <v/>
      </c>
    </row>
    <row r="347" spans="4:10" x14ac:dyDescent="0.25">
      <c r="D347" s="201" t="str">
        <f t="shared" si="5"/>
        <v/>
      </c>
      <c r="J347" s="201" t="str">
        <f>IFERROR(COUNTIF($C$23:C347,C347)&amp;CHOOSE(MIN(4,COUNTIF($C$23:C347,C347)),"st","nd","rd","th"),"")</f>
        <v/>
      </c>
    </row>
    <row r="348" spans="4:10" x14ac:dyDescent="0.25">
      <c r="D348" s="201" t="str">
        <f t="shared" si="5"/>
        <v/>
      </c>
      <c r="J348" s="201" t="str">
        <f>IFERROR(COUNTIF($C$23:C348,C348)&amp;CHOOSE(MIN(4,COUNTIF($C$23:C348,C348)),"st","nd","rd","th"),"")</f>
        <v/>
      </c>
    </row>
    <row r="349" spans="4:10" x14ac:dyDescent="0.25">
      <c r="D349" s="201" t="str">
        <f t="shared" si="5"/>
        <v/>
      </c>
      <c r="J349" s="201" t="str">
        <f>IFERROR(COUNTIF($C$23:C349,C349)&amp;CHOOSE(MIN(4,COUNTIF($C$23:C349,C349)),"st","nd","rd","th"),"")</f>
        <v/>
      </c>
    </row>
    <row r="350" spans="4:10" x14ac:dyDescent="0.25">
      <c r="D350" s="201" t="str">
        <f t="shared" si="5"/>
        <v/>
      </c>
      <c r="J350" s="201" t="str">
        <f>IFERROR(COUNTIF($C$23:C350,C350)&amp;CHOOSE(MIN(4,COUNTIF($C$23:C350,C350)),"st","nd","rd","th"),"")</f>
        <v/>
      </c>
    </row>
    <row r="351" spans="4:10" x14ac:dyDescent="0.25">
      <c r="D351" s="201" t="str">
        <f t="shared" si="5"/>
        <v/>
      </c>
      <c r="J351" s="201" t="str">
        <f>IFERROR(COUNTIF($C$23:C351,C351)&amp;CHOOSE(MIN(4,COUNTIF($C$23:C351,C351)),"st","nd","rd","th"),"")</f>
        <v/>
      </c>
    </row>
    <row r="352" spans="4:10" x14ac:dyDescent="0.25">
      <c r="D352" s="201" t="str">
        <f t="shared" si="5"/>
        <v/>
      </c>
      <c r="J352" s="201" t="str">
        <f>IFERROR(COUNTIF($C$23:C352,C352)&amp;CHOOSE(MIN(4,COUNTIF($C$23:C352,C352)),"st","nd","rd","th"),"")</f>
        <v/>
      </c>
    </row>
    <row r="353" spans="4:10" x14ac:dyDescent="0.25">
      <c r="D353" s="201" t="str">
        <f t="shared" si="5"/>
        <v/>
      </c>
      <c r="J353" s="201" t="str">
        <f>IFERROR(COUNTIF($C$23:C353,C353)&amp;CHOOSE(MIN(4,COUNTIF($C$23:C353,C353)),"st","nd","rd","th"),"")</f>
        <v/>
      </c>
    </row>
    <row r="354" spans="4:10" x14ac:dyDescent="0.25">
      <c r="D354" s="201" t="str">
        <f t="shared" si="5"/>
        <v/>
      </c>
      <c r="J354" s="201" t="str">
        <f>IFERROR(COUNTIF($C$23:C354,C354)&amp;CHOOSE(MIN(4,COUNTIF($C$23:C354,C354)),"st","nd","rd","th"),"")</f>
        <v/>
      </c>
    </row>
    <row r="355" spans="4:10" x14ac:dyDescent="0.25">
      <c r="D355" s="201" t="str">
        <f t="shared" si="5"/>
        <v/>
      </c>
      <c r="J355" s="201" t="str">
        <f>IFERROR(COUNTIF($C$23:C355,C355)&amp;CHOOSE(MIN(4,COUNTIF($C$23:C355,C355)),"st","nd","rd","th"),"")</f>
        <v/>
      </c>
    </row>
    <row r="356" spans="4:10" x14ac:dyDescent="0.25">
      <c r="D356" s="201" t="str">
        <f t="shared" si="5"/>
        <v/>
      </c>
      <c r="J356" s="201" t="str">
        <f>IFERROR(COUNTIF($C$23:C356,C356)&amp;CHOOSE(MIN(4,COUNTIF($C$23:C356,C356)),"st","nd","rd","th"),"")</f>
        <v/>
      </c>
    </row>
    <row r="357" spans="4:10" x14ac:dyDescent="0.25">
      <c r="D357" s="201" t="str">
        <f t="shared" si="5"/>
        <v/>
      </c>
      <c r="J357" s="201" t="str">
        <f>IFERROR(COUNTIF($C$23:C357,C357)&amp;CHOOSE(MIN(4,COUNTIF($C$23:C357,C357)),"st","nd","rd","th"),"")</f>
        <v/>
      </c>
    </row>
    <row r="358" spans="4:10" x14ac:dyDescent="0.25">
      <c r="D358" s="201" t="str">
        <f t="shared" si="5"/>
        <v/>
      </c>
      <c r="J358" s="201" t="str">
        <f>IFERROR(COUNTIF($C$23:C358,C358)&amp;CHOOSE(MIN(4,COUNTIF($C$23:C358,C358)),"st","nd","rd","th"),"")</f>
        <v/>
      </c>
    </row>
    <row r="359" spans="4:10" x14ac:dyDescent="0.25">
      <c r="D359" s="201" t="str">
        <f t="shared" si="5"/>
        <v/>
      </c>
      <c r="J359" s="201" t="str">
        <f>IFERROR(COUNTIF($C$23:C359,C359)&amp;CHOOSE(MIN(4,COUNTIF($C$23:C359,C359)),"st","nd","rd","th"),"")</f>
        <v/>
      </c>
    </row>
    <row r="360" spans="4:10" x14ac:dyDescent="0.25">
      <c r="D360" s="201" t="str">
        <f t="shared" si="5"/>
        <v/>
      </c>
      <c r="J360" s="201" t="str">
        <f>IFERROR(COUNTIF($C$23:C360,C360)&amp;CHOOSE(MIN(4,COUNTIF($C$23:C360,C360)),"st","nd","rd","th"),"")</f>
        <v/>
      </c>
    </row>
    <row r="361" spans="4:10" x14ac:dyDescent="0.25">
      <c r="D361" s="201" t="str">
        <f t="shared" si="5"/>
        <v/>
      </c>
      <c r="J361" s="201" t="str">
        <f>IFERROR(COUNTIF($C$23:C361,C361)&amp;CHOOSE(MIN(4,COUNTIF($C$23:C361,C361)),"st","nd","rd","th"),"")</f>
        <v/>
      </c>
    </row>
    <row r="362" spans="4:10" x14ac:dyDescent="0.25">
      <c r="D362" s="201" t="str">
        <f t="shared" si="5"/>
        <v/>
      </c>
      <c r="J362" s="201" t="str">
        <f>IFERROR(COUNTIF($C$23:C362,C362)&amp;CHOOSE(MIN(4,COUNTIF($C$23:C362,C362)),"st","nd","rd","th"),"")</f>
        <v/>
      </c>
    </row>
    <row r="363" spans="4:10" x14ac:dyDescent="0.25">
      <c r="D363" s="201" t="str">
        <f t="shared" si="5"/>
        <v/>
      </c>
      <c r="J363" s="201" t="str">
        <f>IFERROR(COUNTIF($C$23:C363,C363)&amp;CHOOSE(MIN(4,COUNTIF($C$23:C363,C363)),"st","nd","rd","th"),"")</f>
        <v/>
      </c>
    </row>
    <row r="364" spans="4:10" x14ac:dyDescent="0.25">
      <c r="D364" s="201" t="str">
        <f t="shared" si="5"/>
        <v/>
      </c>
      <c r="J364" s="201" t="str">
        <f>IFERROR(COUNTIF($C$23:C364,C364)&amp;CHOOSE(MIN(4,COUNTIF($C$23:C364,C364)),"st","nd","rd","th"),"")</f>
        <v/>
      </c>
    </row>
    <row r="365" spans="4:10" x14ac:dyDescent="0.25">
      <c r="D365" s="201" t="str">
        <f t="shared" si="5"/>
        <v/>
      </c>
      <c r="J365" s="201" t="str">
        <f>IFERROR(COUNTIF($C$23:C365,C365)&amp;CHOOSE(MIN(4,COUNTIF($C$23:C365,C365)),"st","nd","rd","th"),"")</f>
        <v/>
      </c>
    </row>
    <row r="366" spans="4:10" x14ac:dyDescent="0.25">
      <c r="D366" s="201" t="str">
        <f t="shared" si="5"/>
        <v/>
      </c>
      <c r="J366" s="201" t="str">
        <f>IFERROR(COUNTIF($C$23:C366,C366)&amp;CHOOSE(MIN(4,COUNTIF($C$23:C366,C366)),"st","nd","rd","th"),"")</f>
        <v/>
      </c>
    </row>
    <row r="367" spans="4:10" x14ac:dyDescent="0.25">
      <c r="D367" s="201" t="str">
        <f t="shared" si="5"/>
        <v/>
      </c>
      <c r="J367" s="201" t="str">
        <f>IFERROR(COUNTIF($C$23:C367,C367)&amp;CHOOSE(MIN(4,COUNTIF($C$23:C367,C367)),"st","nd","rd","th"),"")</f>
        <v/>
      </c>
    </row>
    <row r="368" spans="4:10" x14ac:dyDescent="0.25">
      <c r="D368" s="201" t="str">
        <f t="shared" si="5"/>
        <v/>
      </c>
      <c r="J368" s="201" t="str">
        <f>IFERROR(COUNTIF($C$23:C368,C368)&amp;CHOOSE(MIN(4,COUNTIF($C$23:C368,C368)),"st","nd","rd","th"),"")</f>
        <v/>
      </c>
    </row>
    <row r="369" spans="4:10" x14ac:dyDescent="0.25">
      <c r="D369" s="201" t="str">
        <f t="shared" si="5"/>
        <v/>
      </c>
      <c r="J369" s="201" t="str">
        <f>IFERROR(COUNTIF($C$23:C369,C369)&amp;CHOOSE(MIN(4,COUNTIF($C$23:C369,C369)),"st","nd","rd","th"),"")</f>
        <v/>
      </c>
    </row>
    <row r="370" spans="4:10" x14ac:dyDescent="0.25">
      <c r="D370" s="201" t="str">
        <f t="shared" si="5"/>
        <v/>
      </c>
      <c r="J370" s="201" t="str">
        <f>IFERROR(COUNTIF($C$23:C370,C370)&amp;CHOOSE(MIN(4,COUNTIF($C$23:C370,C370)),"st","nd","rd","th"),"")</f>
        <v/>
      </c>
    </row>
    <row r="371" spans="4:10" x14ac:dyDescent="0.25">
      <c r="D371" s="201" t="str">
        <f t="shared" si="5"/>
        <v/>
      </c>
      <c r="J371" s="201" t="str">
        <f>IFERROR(COUNTIF($C$23:C371,C371)&amp;CHOOSE(MIN(4,COUNTIF($C$23:C371,C371)),"st","nd","rd","th"),"")</f>
        <v/>
      </c>
    </row>
    <row r="372" spans="4:10" x14ac:dyDescent="0.25">
      <c r="D372" s="201" t="str">
        <f t="shared" si="5"/>
        <v/>
      </c>
      <c r="J372" s="201" t="str">
        <f>IFERROR(COUNTIF($C$23:C372,C372)&amp;CHOOSE(MIN(4,COUNTIF($C$23:C372,C372)),"st","nd","rd","th"),"")</f>
        <v/>
      </c>
    </row>
    <row r="373" spans="4:10" x14ac:dyDescent="0.25">
      <c r="D373" s="201" t="str">
        <f t="shared" si="5"/>
        <v/>
      </c>
      <c r="J373" s="201" t="str">
        <f>IFERROR(COUNTIF($C$23:C373,C373)&amp;CHOOSE(MIN(4,COUNTIF($C$23:C373,C373)),"st","nd","rd","th"),"")</f>
        <v/>
      </c>
    </row>
    <row r="374" spans="4:10" x14ac:dyDescent="0.25">
      <c r="D374" s="201" t="str">
        <f t="shared" si="5"/>
        <v/>
      </c>
      <c r="J374" s="201" t="str">
        <f>IFERROR(COUNTIF($C$23:C374,C374)&amp;CHOOSE(MIN(4,COUNTIF($C$23:C374,C374)),"st","nd","rd","th"),"")</f>
        <v/>
      </c>
    </row>
    <row r="375" spans="4:10" x14ac:dyDescent="0.25">
      <c r="D375" s="201" t="str">
        <f t="shared" si="5"/>
        <v/>
      </c>
      <c r="J375" s="201" t="str">
        <f>IFERROR(COUNTIF($C$23:C375,C375)&amp;CHOOSE(MIN(4,COUNTIF($C$23:C375,C375)),"st","nd","rd","th"),"")</f>
        <v/>
      </c>
    </row>
    <row r="376" spans="4:10" x14ac:dyDescent="0.25">
      <c r="D376" s="201" t="str">
        <f t="shared" si="5"/>
        <v/>
      </c>
      <c r="J376" s="201" t="str">
        <f>IFERROR(COUNTIF($C$23:C376,C376)&amp;CHOOSE(MIN(4,COUNTIF($C$23:C376,C376)),"st","nd","rd","th"),"")</f>
        <v/>
      </c>
    </row>
    <row r="377" spans="4:10" x14ac:dyDescent="0.25">
      <c r="D377" s="201" t="str">
        <f t="shared" si="5"/>
        <v/>
      </c>
      <c r="J377" s="201" t="str">
        <f>IFERROR(COUNTIF($C$23:C377,C377)&amp;CHOOSE(MIN(4,COUNTIF($C$23:C377,C377)),"st","nd","rd","th"),"")</f>
        <v/>
      </c>
    </row>
    <row r="378" spans="4:10" x14ac:dyDescent="0.25">
      <c r="D378" s="201" t="str">
        <f t="shared" si="5"/>
        <v/>
      </c>
      <c r="J378" s="201" t="str">
        <f>IFERROR(COUNTIF($C$23:C378,C378)&amp;CHOOSE(MIN(4,COUNTIF($C$23:C378,C378)),"st","nd","rd","th"),"")</f>
        <v/>
      </c>
    </row>
    <row r="379" spans="4:10" x14ac:dyDescent="0.25">
      <c r="D379" s="201" t="str">
        <f t="shared" si="5"/>
        <v/>
      </c>
      <c r="J379" s="201" t="str">
        <f>IFERROR(COUNTIF($C$23:C379,C379)&amp;CHOOSE(MIN(4,COUNTIF($C$23:C379,C379)),"st","nd","rd","th"),"")</f>
        <v/>
      </c>
    </row>
    <row r="380" spans="4:10" x14ac:dyDescent="0.25">
      <c r="D380" s="201" t="str">
        <f t="shared" si="5"/>
        <v/>
      </c>
      <c r="J380" s="201" t="str">
        <f>IFERROR(COUNTIF($C$23:C380,C380)&amp;CHOOSE(MIN(4,COUNTIF($C$23:C380,C380)),"st","nd","rd","th"),"")</f>
        <v/>
      </c>
    </row>
    <row r="381" spans="4:10" x14ac:dyDescent="0.25">
      <c r="D381" s="201" t="str">
        <f t="shared" si="5"/>
        <v/>
      </c>
      <c r="J381" s="201" t="str">
        <f>IFERROR(COUNTIF($C$23:C381,C381)&amp;CHOOSE(MIN(4,COUNTIF($C$23:C381,C381)),"st","nd","rd","th"),"")</f>
        <v/>
      </c>
    </row>
    <row r="382" spans="4:10" x14ac:dyDescent="0.25">
      <c r="D382" s="201" t="str">
        <f t="shared" si="5"/>
        <v/>
      </c>
      <c r="J382" s="201" t="str">
        <f>IFERROR(COUNTIF($C$23:C382,C382)&amp;CHOOSE(MIN(4,COUNTIF($C$23:C382,C382)),"st","nd","rd","th"),"")</f>
        <v/>
      </c>
    </row>
    <row r="383" spans="4:10" x14ac:dyDescent="0.25">
      <c r="D383" s="201" t="str">
        <f t="shared" si="5"/>
        <v/>
      </c>
      <c r="J383" s="201" t="str">
        <f>IFERROR(COUNTIF($C$23:C383,C383)&amp;CHOOSE(MIN(4,COUNTIF($C$23:C383,C383)),"st","nd","rd","th"),"")</f>
        <v/>
      </c>
    </row>
    <row r="384" spans="4:10" x14ac:dyDescent="0.25">
      <c r="D384" s="201" t="str">
        <f t="shared" si="5"/>
        <v/>
      </c>
      <c r="J384" s="201" t="str">
        <f>IFERROR(COUNTIF($C$23:C384,C384)&amp;CHOOSE(MIN(4,COUNTIF($C$23:C384,C384)),"st","nd","rd","th"),"")</f>
        <v/>
      </c>
    </row>
    <row r="385" spans="4:10" x14ac:dyDescent="0.25">
      <c r="D385" s="201" t="str">
        <f t="shared" si="5"/>
        <v/>
      </c>
      <c r="J385" s="201" t="str">
        <f>IFERROR(COUNTIF($C$23:C385,C385)&amp;CHOOSE(MIN(4,COUNTIF($C$23:C385,C385)),"st","nd","rd","th"),"")</f>
        <v/>
      </c>
    </row>
    <row r="386" spans="4:10" x14ac:dyDescent="0.25">
      <c r="D386" s="201" t="str">
        <f t="shared" si="5"/>
        <v/>
      </c>
      <c r="J386" s="201" t="str">
        <f>IFERROR(COUNTIF($C$23:C386,C386)&amp;CHOOSE(MIN(4,COUNTIF($C$23:C386,C386)),"st","nd","rd","th"),"")</f>
        <v/>
      </c>
    </row>
    <row r="387" spans="4:10" x14ac:dyDescent="0.25">
      <c r="D387" s="201" t="str">
        <f t="shared" si="5"/>
        <v/>
      </c>
      <c r="J387" s="201" t="str">
        <f>IFERROR(COUNTIF($C$23:C387,C387)&amp;CHOOSE(MIN(4,COUNTIF($C$23:C387,C387)),"st","nd","rd","th"),"")</f>
        <v/>
      </c>
    </row>
    <row r="388" spans="4:10" x14ac:dyDescent="0.25">
      <c r="D388" s="201" t="str">
        <f t="shared" si="5"/>
        <v/>
      </c>
      <c r="J388" s="201" t="str">
        <f>IFERROR(COUNTIF($C$23:C388,C388)&amp;CHOOSE(MIN(4,COUNTIF($C$23:C388,C388)),"st","nd","rd","th"),"")</f>
        <v/>
      </c>
    </row>
    <row r="389" spans="4:10" x14ac:dyDescent="0.25">
      <c r="D389" s="201" t="str">
        <f t="shared" si="5"/>
        <v/>
      </c>
      <c r="J389" s="201" t="str">
        <f>IFERROR(COUNTIF($C$23:C389,C389)&amp;CHOOSE(MIN(4,COUNTIF($C$23:C389,C389)),"st","nd","rd","th"),"")</f>
        <v/>
      </c>
    </row>
    <row r="390" spans="4:10" x14ac:dyDescent="0.25">
      <c r="D390" s="201" t="str">
        <f t="shared" si="5"/>
        <v/>
      </c>
      <c r="J390" s="201" t="str">
        <f>IFERROR(COUNTIF($C$23:C390,C390)&amp;CHOOSE(MIN(4,COUNTIF($C$23:C390,C390)),"st","nd","rd","th"),"")</f>
        <v/>
      </c>
    </row>
    <row r="391" spans="4:10" x14ac:dyDescent="0.25">
      <c r="D391" s="201" t="str">
        <f t="shared" si="5"/>
        <v/>
      </c>
      <c r="J391" s="201" t="str">
        <f>IFERROR(COUNTIF($C$23:C391,C391)&amp;CHOOSE(MIN(4,COUNTIF($C$23:C391,C391)),"st","nd","rd","th"),"")</f>
        <v/>
      </c>
    </row>
    <row r="392" spans="4:10" x14ac:dyDescent="0.25">
      <c r="D392" s="201" t="str">
        <f t="shared" si="5"/>
        <v/>
      </c>
      <c r="J392" s="201" t="str">
        <f>IFERROR(COUNTIF($C$23:C392,C392)&amp;CHOOSE(MIN(4,COUNTIF($C$23:C392,C392)),"st","nd","rd","th"),"")</f>
        <v/>
      </c>
    </row>
    <row r="393" spans="4:10" x14ac:dyDescent="0.25">
      <c r="D393" s="201" t="str">
        <f t="shared" si="5"/>
        <v/>
      </c>
      <c r="J393" s="201" t="str">
        <f>IFERROR(COUNTIF($C$23:C393,C393)&amp;CHOOSE(MIN(4,COUNTIF($C$23:C393,C393)),"st","nd","rd","th"),"")</f>
        <v/>
      </c>
    </row>
    <row r="394" spans="4:10" x14ac:dyDescent="0.25">
      <c r="D394" s="201" t="str">
        <f t="shared" si="5"/>
        <v/>
      </c>
      <c r="J394" s="201" t="str">
        <f>IFERROR(COUNTIF($C$23:C394,C394)&amp;CHOOSE(MIN(4,COUNTIF($C$23:C394,C394)),"st","nd","rd","th"),"")</f>
        <v/>
      </c>
    </row>
    <row r="395" spans="4:10" x14ac:dyDescent="0.25">
      <c r="D395" s="201" t="str">
        <f t="shared" si="5"/>
        <v/>
      </c>
      <c r="J395" s="201" t="str">
        <f>IFERROR(COUNTIF($C$23:C395,C395)&amp;CHOOSE(MIN(4,COUNTIF($C$23:C395,C395)),"st","nd","rd","th"),"")</f>
        <v/>
      </c>
    </row>
    <row r="396" spans="4:10" x14ac:dyDescent="0.25">
      <c r="D396" s="201" t="str">
        <f t="shared" si="5"/>
        <v/>
      </c>
      <c r="J396" s="201" t="str">
        <f>IFERROR(COUNTIF($C$23:C396,C396)&amp;CHOOSE(MIN(4,COUNTIF($C$23:C396,C396)),"st","nd","rd","th"),"")</f>
        <v/>
      </c>
    </row>
    <row r="397" spans="4:10" x14ac:dyDescent="0.25">
      <c r="D397" s="201" t="str">
        <f t="shared" si="5"/>
        <v/>
      </c>
      <c r="J397" s="201" t="str">
        <f>IFERROR(COUNTIF($C$23:C397,C397)&amp;CHOOSE(MIN(4,COUNTIF($C$23:C397,C397)),"st","nd","rd","th"),"")</f>
        <v/>
      </c>
    </row>
    <row r="398" spans="4:10" x14ac:dyDescent="0.25">
      <c r="D398" s="201" t="str">
        <f t="shared" si="5"/>
        <v/>
      </c>
      <c r="J398" s="201" t="str">
        <f>IFERROR(COUNTIF($C$23:C398,C398)&amp;CHOOSE(MIN(4,COUNTIF($C$23:C398,C398)),"st","nd","rd","th"),"")</f>
        <v/>
      </c>
    </row>
    <row r="399" spans="4:10" x14ac:dyDescent="0.25">
      <c r="D399" s="201" t="str">
        <f t="shared" si="5"/>
        <v/>
      </c>
      <c r="J399" s="201" t="str">
        <f>IFERROR(COUNTIF($C$23:C399,C399)&amp;CHOOSE(MIN(4,COUNTIF($C$23:C399,C399)),"st","nd","rd","th"),"")</f>
        <v/>
      </c>
    </row>
    <row r="400" spans="4:10" x14ac:dyDescent="0.25">
      <c r="D400" s="201" t="str">
        <f t="shared" si="5"/>
        <v/>
      </c>
      <c r="J400" s="201" t="str">
        <f>IFERROR(COUNTIF($C$23:C400,C400)&amp;CHOOSE(MIN(4,COUNTIF($C$23:C400,C400)),"st","nd","rd","th"),"")</f>
        <v/>
      </c>
    </row>
    <row r="401" spans="4:10" x14ac:dyDescent="0.25">
      <c r="D401" s="201" t="str">
        <f t="shared" si="5"/>
        <v/>
      </c>
      <c r="J401" s="201" t="str">
        <f>IFERROR(COUNTIF($C$23:C401,C401)&amp;CHOOSE(MIN(4,COUNTIF($C$23:C401,C401)),"st","nd","rd","th"),"")</f>
        <v/>
      </c>
    </row>
    <row r="402" spans="4:10" x14ac:dyDescent="0.25">
      <c r="D402" s="201" t="str">
        <f t="shared" si="5"/>
        <v/>
      </c>
      <c r="J402" s="201" t="str">
        <f>IFERROR(COUNTIF($C$23:C402,C402)&amp;CHOOSE(MIN(4,COUNTIF($C$23:C402,C402)),"st","nd","rd","th"),"")</f>
        <v/>
      </c>
    </row>
    <row r="403" spans="4:10" x14ac:dyDescent="0.25">
      <c r="D403" s="201" t="str">
        <f t="shared" si="5"/>
        <v/>
      </c>
      <c r="J403" s="201" t="str">
        <f>IFERROR(COUNTIF($C$23:C403,C403)&amp;CHOOSE(MIN(4,COUNTIF($C$23:C403,C403)),"st","nd","rd","th"),"")</f>
        <v/>
      </c>
    </row>
    <row r="404" spans="4:10" x14ac:dyDescent="0.25">
      <c r="D404" s="201" t="str">
        <f t="shared" si="5"/>
        <v/>
      </c>
      <c r="J404" s="201" t="str">
        <f>IFERROR(COUNTIF($C$23:C404,C404)&amp;CHOOSE(MIN(4,COUNTIF($C$23:C404,C404)),"st","nd","rd","th"),"")</f>
        <v/>
      </c>
    </row>
    <row r="405" spans="4:10" x14ac:dyDescent="0.25">
      <c r="D405" s="201" t="str">
        <f t="shared" si="5"/>
        <v/>
      </c>
      <c r="J405" s="201" t="str">
        <f>IFERROR(COUNTIF($C$23:C405,C405)&amp;CHOOSE(MIN(4,COUNTIF($C$23:C405,C405)),"st","nd","rd","th"),"")</f>
        <v/>
      </c>
    </row>
    <row r="406" spans="4:10" x14ac:dyDescent="0.25">
      <c r="D406" s="201" t="str">
        <f t="shared" si="5"/>
        <v/>
      </c>
      <c r="J406" s="201" t="str">
        <f>IFERROR(COUNTIF($C$23:C406,C406)&amp;CHOOSE(MIN(4,COUNTIF($C$23:C406,C406)),"st","nd","rd","th"),"")</f>
        <v/>
      </c>
    </row>
    <row r="407" spans="4:10" x14ac:dyDescent="0.25">
      <c r="D407" s="201" t="str">
        <f t="shared" ref="D407:D470" si="6">IF(B407="","",IF(B407="Province_PLGU","PDPFP","CLUP"))</f>
        <v/>
      </c>
      <c r="J407" s="201" t="str">
        <f>IFERROR(COUNTIF($C$23:C407,C407)&amp;CHOOSE(MIN(4,COUNTIF($C$23:C407,C407)),"st","nd","rd","th"),"")</f>
        <v/>
      </c>
    </row>
    <row r="408" spans="4:10" x14ac:dyDescent="0.25">
      <c r="D408" s="201" t="str">
        <f t="shared" si="6"/>
        <v/>
      </c>
      <c r="J408" s="201" t="str">
        <f>IFERROR(COUNTIF($C$23:C408,C408)&amp;CHOOSE(MIN(4,COUNTIF($C$23:C408,C408)),"st","nd","rd","th"),"")</f>
        <v/>
      </c>
    </row>
    <row r="409" spans="4:10" x14ac:dyDescent="0.25">
      <c r="D409" s="201" t="str">
        <f t="shared" si="6"/>
        <v/>
      </c>
      <c r="J409" s="201" t="str">
        <f>IFERROR(COUNTIF($C$23:C409,C409)&amp;CHOOSE(MIN(4,COUNTIF($C$23:C409,C409)),"st","nd","rd","th"),"")</f>
        <v/>
      </c>
    </row>
    <row r="410" spans="4:10" x14ac:dyDescent="0.25">
      <c r="D410" s="201" t="str">
        <f t="shared" si="6"/>
        <v/>
      </c>
      <c r="J410" s="201" t="str">
        <f>IFERROR(COUNTIF($C$23:C410,C410)&amp;CHOOSE(MIN(4,COUNTIF($C$23:C410,C410)),"st","nd","rd","th"),"")</f>
        <v/>
      </c>
    </row>
    <row r="411" spans="4:10" x14ac:dyDescent="0.25">
      <c r="D411" s="201" t="str">
        <f t="shared" si="6"/>
        <v/>
      </c>
      <c r="J411" s="201" t="str">
        <f>IFERROR(COUNTIF($C$23:C411,C411)&amp;CHOOSE(MIN(4,COUNTIF($C$23:C411,C411)),"st","nd","rd","th"),"")</f>
        <v/>
      </c>
    </row>
    <row r="412" spans="4:10" x14ac:dyDescent="0.25">
      <c r="D412" s="201" t="str">
        <f t="shared" si="6"/>
        <v/>
      </c>
      <c r="J412" s="201" t="str">
        <f>IFERROR(COUNTIF($C$23:C412,C412)&amp;CHOOSE(MIN(4,COUNTIF($C$23:C412,C412)),"st","nd","rd","th"),"")</f>
        <v/>
      </c>
    </row>
    <row r="413" spans="4:10" x14ac:dyDescent="0.25">
      <c r="D413" s="201" t="str">
        <f t="shared" si="6"/>
        <v/>
      </c>
      <c r="J413" s="201" t="str">
        <f>IFERROR(COUNTIF($C$23:C413,C413)&amp;CHOOSE(MIN(4,COUNTIF($C$23:C413,C413)),"st","nd","rd","th"),"")</f>
        <v/>
      </c>
    </row>
    <row r="414" spans="4:10" x14ac:dyDescent="0.25">
      <c r="D414" s="201" t="str">
        <f t="shared" si="6"/>
        <v/>
      </c>
      <c r="J414" s="201" t="str">
        <f>IFERROR(COUNTIF($C$23:C414,C414)&amp;CHOOSE(MIN(4,COUNTIF($C$23:C414,C414)),"st","nd","rd","th"),"")</f>
        <v/>
      </c>
    </row>
    <row r="415" spans="4:10" x14ac:dyDescent="0.25">
      <c r="D415" s="201" t="str">
        <f t="shared" si="6"/>
        <v/>
      </c>
      <c r="J415" s="201" t="str">
        <f>IFERROR(COUNTIF($C$23:C415,C415)&amp;CHOOSE(MIN(4,COUNTIF($C$23:C415,C415)),"st","nd","rd","th"),"")</f>
        <v/>
      </c>
    </row>
    <row r="416" spans="4:10" x14ac:dyDescent="0.25">
      <c r="D416" s="201" t="str">
        <f t="shared" si="6"/>
        <v/>
      </c>
      <c r="J416" s="201" t="str">
        <f>IFERROR(COUNTIF($C$23:C416,C416)&amp;CHOOSE(MIN(4,COUNTIF($C$23:C416,C416)),"st","nd","rd","th"),"")</f>
        <v/>
      </c>
    </row>
    <row r="417" spans="4:10" x14ac:dyDescent="0.25">
      <c r="D417" s="201" t="str">
        <f t="shared" si="6"/>
        <v/>
      </c>
      <c r="J417" s="201" t="str">
        <f>IFERROR(COUNTIF($C$23:C417,C417)&amp;CHOOSE(MIN(4,COUNTIF($C$23:C417,C417)),"st","nd","rd","th"),"")</f>
        <v/>
      </c>
    </row>
    <row r="418" spans="4:10" x14ac:dyDescent="0.25">
      <c r="D418" s="201" t="str">
        <f t="shared" si="6"/>
        <v/>
      </c>
      <c r="J418" s="201" t="str">
        <f>IFERROR(COUNTIF($C$23:C418,C418)&amp;CHOOSE(MIN(4,COUNTIF($C$23:C418,C418)),"st","nd","rd","th"),"")</f>
        <v/>
      </c>
    </row>
    <row r="419" spans="4:10" x14ac:dyDescent="0.25">
      <c r="D419" s="201" t="str">
        <f t="shared" si="6"/>
        <v/>
      </c>
      <c r="J419" s="201" t="str">
        <f>IFERROR(COUNTIF($C$23:C419,C419)&amp;CHOOSE(MIN(4,COUNTIF($C$23:C419,C419)),"st","nd","rd","th"),"")</f>
        <v/>
      </c>
    </row>
    <row r="420" spans="4:10" x14ac:dyDescent="0.25">
      <c r="D420" s="201" t="str">
        <f t="shared" si="6"/>
        <v/>
      </c>
      <c r="J420" s="201" t="str">
        <f>IFERROR(COUNTIF($C$23:C420,C420)&amp;CHOOSE(MIN(4,COUNTIF($C$23:C420,C420)),"st","nd","rd","th"),"")</f>
        <v/>
      </c>
    </row>
    <row r="421" spans="4:10" x14ac:dyDescent="0.25">
      <c r="D421" s="201" t="str">
        <f t="shared" si="6"/>
        <v/>
      </c>
      <c r="J421" s="201" t="str">
        <f>IFERROR(COUNTIF($C$23:C421,C421)&amp;CHOOSE(MIN(4,COUNTIF($C$23:C421,C421)),"st","nd","rd","th"),"")</f>
        <v/>
      </c>
    </row>
    <row r="422" spans="4:10" x14ac:dyDescent="0.25">
      <c r="D422" s="201" t="str">
        <f t="shared" si="6"/>
        <v/>
      </c>
      <c r="J422" s="201" t="str">
        <f>IFERROR(COUNTIF($C$23:C422,C422)&amp;CHOOSE(MIN(4,COUNTIF($C$23:C422,C422)),"st","nd","rd","th"),"")</f>
        <v/>
      </c>
    </row>
    <row r="423" spans="4:10" x14ac:dyDescent="0.25">
      <c r="D423" s="201" t="str">
        <f t="shared" si="6"/>
        <v/>
      </c>
      <c r="J423" s="201" t="str">
        <f>IFERROR(COUNTIF($C$23:C423,C423)&amp;CHOOSE(MIN(4,COUNTIF($C$23:C423,C423)),"st","nd","rd","th"),"")</f>
        <v/>
      </c>
    </row>
    <row r="424" spans="4:10" x14ac:dyDescent="0.25">
      <c r="D424" s="201" t="str">
        <f t="shared" si="6"/>
        <v/>
      </c>
      <c r="J424" s="201" t="str">
        <f>IFERROR(COUNTIF($C$23:C424,C424)&amp;CHOOSE(MIN(4,COUNTIF($C$23:C424,C424)),"st","nd","rd","th"),"")</f>
        <v/>
      </c>
    </row>
    <row r="425" spans="4:10" x14ac:dyDescent="0.25">
      <c r="D425" s="201" t="str">
        <f t="shared" si="6"/>
        <v/>
      </c>
      <c r="J425" s="201" t="str">
        <f>IFERROR(COUNTIF($C$23:C425,C425)&amp;CHOOSE(MIN(4,COUNTIF($C$23:C425,C425)),"st","nd","rd","th"),"")</f>
        <v/>
      </c>
    </row>
    <row r="426" spans="4:10" x14ac:dyDescent="0.25">
      <c r="D426" s="201" t="str">
        <f t="shared" si="6"/>
        <v/>
      </c>
      <c r="J426" s="201" t="str">
        <f>IFERROR(COUNTIF($C$23:C426,C426)&amp;CHOOSE(MIN(4,COUNTIF($C$23:C426,C426)),"st","nd","rd","th"),"")</f>
        <v/>
      </c>
    </row>
    <row r="427" spans="4:10" x14ac:dyDescent="0.25">
      <c r="D427" s="201" t="str">
        <f t="shared" si="6"/>
        <v/>
      </c>
      <c r="J427" s="201" t="str">
        <f>IFERROR(COUNTIF($C$23:C427,C427)&amp;CHOOSE(MIN(4,COUNTIF($C$23:C427,C427)),"st","nd","rd","th"),"")</f>
        <v/>
      </c>
    </row>
    <row r="428" spans="4:10" x14ac:dyDescent="0.25">
      <c r="D428" s="201" t="str">
        <f t="shared" si="6"/>
        <v/>
      </c>
      <c r="J428" s="201" t="str">
        <f>IFERROR(COUNTIF($C$23:C428,C428)&amp;CHOOSE(MIN(4,COUNTIF($C$23:C428,C428)),"st","nd","rd","th"),"")</f>
        <v/>
      </c>
    </row>
    <row r="429" spans="4:10" x14ac:dyDescent="0.25">
      <c r="D429" s="201" t="str">
        <f t="shared" si="6"/>
        <v/>
      </c>
      <c r="J429" s="201" t="str">
        <f>IFERROR(COUNTIF($C$23:C429,C429)&amp;CHOOSE(MIN(4,COUNTIF($C$23:C429,C429)),"st","nd","rd","th"),"")</f>
        <v/>
      </c>
    </row>
    <row r="430" spans="4:10" x14ac:dyDescent="0.25">
      <c r="D430" s="201" t="str">
        <f t="shared" si="6"/>
        <v/>
      </c>
      <c r="J430" s="201" t="str">
        <f>IFERROR(COUNTIF($C$23:C430,C430)&amp;CHOOSE(MIN(4,COUNTIF($C$23:C430,C430)),"st","nd","rd","th"),"")</f>
        <v/>
      </c>
    </row>
    <row r="431" spans="4:10" x14ac:dyDescent="0.25">
      <c r="D431" s="201" t="str">
        <f t="shared" si="6"/>
        <v/>
      </c>
      <c r="J431" s="201" t="str">
        <f>IFERROR(COUNTIF($C$23:C431,C431)&amp;CHOOSE(MIN(4,COUNTIF($C$23:C431,C431)),"st","nd","rd","th"),"")</f>
        <v/>
      </c>
    </row>
    <row r="432" spans="4:10" x14ac:dyDescent="0.25">
      <c r="D432" s="201" t="str">
        <f t="shared" si="6"/>
        <v/>
      </c>
      <c r="J432" s="201" t="str">
        <f>IFERROR(COUNTIF($C$23:C432,C432)&amp;CHOOSE(MIN(4,COUNTIF($C$23:C432,C432)),"st","nd","rd","th"),"")</f>
        <v/>
      </c>
    </row>
    <row r="433" spans="4:10" x14ac:dyDescent="0.25">
      <c r="D433" s="201" t="str">
        <f t="shared" si="6"/>
        <v/>
      </c>
      <c r="J433" s="201" t="str">
        <f>IFERROR(COUNTIF($C$23:C433,C433)&amp;CHOOSE(MIN(4,COUNTIF($C$23:C433,C433)),"st","nd","rd","th"),"")</f>
        <v/>
      </c>
    </row>
    <row r="434" spans="4:10" x14ac:dyDescent="0.25">
      <c r="D434" s="201" t="str">
        <f t="shared" si="6"/>
        <v/>
      </c>
      <c r="J434" s="201" t="str">
        <f>IFERROR(COUNTIF($C$23:C434,C434)&amp;CHOOSE(MIN(4,COUNTIF($C$23:C434,C434)),"st","nd","rd","th"),"")</f>
        <v/>
      </c>
    </row>
    <row r="435" spans="4:10" x14ac:dyDescent="0.25">
      <c r="D435" s="201" t="str">
        <f t="shared" si="6"/>
        <v/>
      </c>
      <c r="J435" s="201" t="str">
        <f>IFERROR(COUNTIF($C$23:C435,C435)&amp;CHOOSE(MIN(4,COUNTIF($C$23:C435,C435)),"st","nd","rd","th"),"")</f>
        <v/>
      </c>
    </row>
    <row r="436" spans="4:10" x14ac:dyDescent="0.25">
      <c r="D436" s="201" t="str">
        <f t="shared" si="6"/>
        <v/>
      </c>
      <c r="J436" s="201" t="str">
        <f>IFERROR(COUNTIF($C$23:C436,C436)&amp;CHOOSE(MIN(4,COUNTIF($C$23:C436,C436)),"st","nd","rd","th"),"")</f>
        <v/>
      </c>
    </row>
    <row r="437" spans="4:10" x14ac:dyDescent="0.25">
      <c r="D437" s="201" t="str">
        <f t="shared" si="6"/>
        <v/>
      </c>
      <c r="J437" s="201" t="str">
        <f>IFERROR(COUNTIF($C$23:C437,C437)&amp;CHOOSE(MIN(4,COUNTIF($C$23:C437,C437)),"st","nd","rd","th"),"")</f>
        <v/>
      </c>
    </row>
    <row r="438" spans="4:10" x14ac:dyDescent="0.25">
      <c r="D438" s="201" t="str">
        <f t="shared" si="6"/>
        <v/>
      </c>
      <c r="J438" s="201" t="str">
        <f>IFERROR(COUNTIF($C$23:C438,C438)&amp;CHOOSE(MIN(4,COUNTIF($C$23:C438,C438)),"st","nd","rd","th"),"")</f>
        <v/>
      </c>
    </row>
    <row r="439" spans="4:10" x14ac:dyDescent="0.25">
      <c r="D439" s="201" t="str">
        <f t="shared" si="6"/>
        <v/>
      </c>
      <c r="J439" s="201" t="str">
        <f>IFERROR(COUNTIF($C$23:C439,C439)&amp;CHOOSE(MIN(4,COUNTIF($C$23:C439,C439)),"st","nd","rd","th"),"")</f>
        <v/>
      </c>
    </row>
    <row r="440" spans="4:10" x14ac:dyDescent="0.25">
      <c r="D440" s="201" t="str">
        <f t="shared" si="6"/>
        <v/>
      </c>
      <c r="J440" s="201" t="str">
        <f>IFERROR(COUNTIF($C$23:C440,C440)&amp;CHOOSE(MIN(4,COUNTIF($C$23:C440,C440)),"st","nd","rd","th"),"")</f>
        <v/>
      </c>
    </row>
    <row r="441" spans="4:10" x14ac:dyDescent="0.25">
      <c r="D441" s="201" t="str">
        <f t="shared" si="6"/>
        <v/>
      </c>
      <c r="J441" s="201" t="str">
        <f>IFERROR(COUNTIF($C$23:C441,C441)&amp;CHOOSE(MIN(4,COUNTIF($C$23:C441,C441)),"st","nd","rd","th"),"")</f>
        <v/>
      </c>
    </row>
    <row r="442" spans="4:10" x14ac:dyDescent="0.25">
      <c r="D442" s="201" t="str">
        <f t="shared" si="6"/>
        <v/>
      </c>
      <c r="J442" s="201" t="str">
        <f>IFERROR(COUNTIF($C$23:C442,C442)&amp;CHOOSE(MIN(4,COUNTIF($C$23:C442,C442)),"st","nd","rd","th"),"")</f>
        <v/>
      </c>
    </row>
    <row r="443" spans="4:10" x14ac:dyDescent="0.25">
      <c r="D443" s="201" t="str">
        <f t="shared" si="6"/>
        <v/>
      </c>
      <c r="J443" s="201" t="str">
        <f>IFERROR(COUNTIF($C$23:C443,C443)&amp;CHOOSE(MIN(4,COUNTIF($C$23:C443,C443)),"st","nd","rd","th"),"")</f>
        <v/>
      </c>
    </row>
    <row r="444" spans="4:10" x14ac:dyDescent="0.25">
      <c r="D444" s="201" t="str">
        <f t="shared" si="6"/>
        <v/>
      </c>
      <c r="J444" s="201" t="str">
        <f>IFERROR(COUNTIF($C$23:C444,C444)&amp;CHOOSE(MIN(4,COUNTIF($C$23:C444,C444)),"st","nd","rd","th"),"")</f>
        <v/>
      </c>
    </row>
    <row r="445" spans="4:10" x14ac:dyDescent="0.25">
      <c r="D445" s="201" t="str">
        <f t="shared" si="6"/>
        <v/>
      </c>
      <c r="J445" s="201" t="str">
        <f>IFERROR(COUNTIF($C$23:C445,C445)&amp;CHOOSE(MIN(4,COUNTIF($C$23:C445,C445)),"st","nd","rd","th"),"")</f>
        <v/>
      </c>
    </row>
    <row r="446" spans="4:10" x14ac:dyDescent="0.25">
      <c r="D446" s="201" t="str">
        <f t="shared" si="6"/>
        <v/>
      </c>
      <c r="J446" s="201" t="str">
        <f>IFERROR(COUNTIF($C$23:C446,C446)&amp;CHOOSE(MIN(4,COUNTIF($C$23:C446,C446)),"st","nd","rd","th"),"")</f>
        <v/>
      </c>
    </row>
    <row r="447" spans="4:10" x14ac:dyDescent="0.25">
      <c r="D447" s="201" t="str">
        <f t="shared" si="6"/>
        <v/>
      </c>
      <c r="J447" s="201" t="str">
        <f>IFERROR(COUNTIF($C$23:C447,C447)&amp;CHOOSE(MIN(4,COUNTIF($C$23:C447,C447)),"st","nd","rd","th"),"")</f>
        <v/>
      </c>
    </row>
    <row r="448" spans="4:10" x14ac:dyDescent="0.25">
      <c r="D448" s="201" t="str">
        <f t="shared" si="6"/>
        <v/>
      </c>
      <c r="J448" s="201" t="str">
        <f>IFERROR(COUNTIF($C$23:C448,C448)&amp;CHOOSE(MIN(4,COUNTIF($C$23:C448,C448)),"st","nd","rd","th"),"")</f>
        <v/>
      </c>
    </row>
    <row r="449" spans="4:10" x14ac:dyDescent="0.25">
      <c r="D449" s="201" t="str">
        <f t="shared" si="6"/>
        <v/>
      </c>
      <c r="J449" s="201" t="str">
        <f>IFERROR(COUNTIF($C$23:C449,C449)&amp;CHOOSE(MIN(4,COUNTIF($C$23:C449,C449)),"st","nd","rd","th"),"")</f>
        <v/>
      </c>
    </row>
    <row r="450" spans="4:10" x14ac:dyDescent="0.25">
      <c r="D450" s="201" t="str">
        <f t="shared" si="6"/>
        <v/>
      </c>
      <c r="J450" s="201" t="str">
        <f>IFERROR(COUNTIF($C$23:C450,C450)&amp;CHOOSE(MIN(4,COUNTIF($C$23:C450,C450)),"st","nd","rd","th"),"")</f>
        <v/>
      </c>
    </row>
    <row r="451" spans="4:10" x14ac:dyDescent="0.25">
      <c r="D451" s="201" t="str">
        <f t="shared" si="6"/>
        <v/>
      </c>
      <c r="J451" s="201" t="str">
        <f>IFERROR(COUNTIF($C$23:C451,C451)&amp;CHOOSE(MIN(4,COUNTIF($C$23:C451,C451)),"st","nd","rd","th"),"")</f>
        <v/>
      </c>
    </row>
    <row r="452" spans="4:10" x14ac:dyDescent="0.25">
      <c r="D452" s="201" t="str">
        <f t="shared" si="6"/>
        <v/>
      </c>
      <c r="J452" s="201" t="str">
        <f>IFERROR(COUNTIF($C$23:C452,C452)&amp;CHOOSE(MIN(4,COUNTIF($C$23:C452,C452)),"st","nd","rd","th"),"")</f>
        <v/>
      </c>
    </row>
    <row r="453" spans="4:10" x14ac:dyDescent="0.25">
      <c r="D453" s="201" t="str">
        <f t="shared" si="6"/>
        <v/>
      </c>
      <c r="J453" s="201" t="str">
        <f>IFERROR(COUNTIF($C$23:C453,C453)&amp;CHOOSE(MIN(4,COUNTIF($C$23:C453,C453)),"st","nd","rd","th"),"")</f>
        <v/>
      </c>
    </row>
    <row r="454" spans="4:10" x14ac:dyDescent="0.25">
      <c r="D454" s="201" t="str">
        <f t="shared" si="6"/>
        <v/>
      </c>
      <c r="J454" s="201" t="str">
        <f>IFERROR(COUNTIF($C$23:C454,C454)&amp;CHOOSE(MIN(4,COUNTIF($C$23:C454,C454)),"st","nd","rd","th"),"")</f>
        <v/>
      </c>
    </row>
    <row r="455" spans="4:10" x14ac:dyDescent="0.25">
      <c r="D455" s="201" t="str">
        <f t="shared" si="6"/>
        <v/>
      </c>
      <c r="J455" s="201" t="str">
        <f>IFERROR(COUNTIF($C$23:C455,C455)&amp;CHOOSE(MIN(4,COUNTIF($C$23:C455,C455)),"st","nd","rd","th"),"")</f>
        <v/>
      </c>
    </row>
    <row r="456" spans="4:10" x14ac:dyDescent="0.25">
      <c r="D456" s="201" t="str">
        <f t="shared" si="6"/>
        <v/>
      </c>
      <c r="J456" s="201" t="str">
        <f>IFERROR(COUNTIF($C$23:C456,C456)&amp;CHOOSE(MIN(4,COUNTIF($C$23:C456,C456)),"st","nd","rd","th"),"")</f>
        <v/>
      </c>
    </row>
    <row r="457" spans="4:10" x14ac:dyDescent="0.25">
      <c r="D457" s="201" t="str">
        <f t="shared" si="6"/>
        <v/>
      </c>
      <c r="J457" s="201" t="str">
        <f>IFERROR(COUNTIF($C$23:C457,C457)&amp;CHOOSE(MIN(4,COUNTIF($C$23:C457,C457)),"st","nd","rd","th"),"")</f>
        <v/>
      </c>
    </row>
    <row r="458" spans="4:10" x14ac:dyDescent="0.25">
      <c r="D458" s="201" t="str">
        <f t="shared" si="6"/>
        <v/>
      </c>
      <c r="J458" s="201" t="str">
        <f>IFERROR(COUNTIF($C$23:C458,C458)&amp;CHOOSE(MIN(4,COUNTIF($C$23:C458,C458)),"st","nd","rd","th"),"")</f>
        <v/>
      </c>
    </row>
    <row r="459" spans="4:10" x14ac:dyDescent="0.25">
      <c r="D459" s="201" t="str">
        <f t="shared" si="6"/>
        <v/>
      </c>
      <c r="J459" s="201" t="str">
        <f>IFERROR(COUNTIF($C$23:C459,C459)&amp;CHOOSE(MIN(4,COUNTIF($C$23:C459,C459)),"st","nd","rd","th"),"")</f>
        <v/>
      </c>
    </row>
    <row r="460" spans="4:10" x14ac:dyDescent="0.25">
      <c r="D460" s="201" t="str">
        <f t="shared" si="6"/>
        <v/>
      </c>
      <c r="J460" s="201" t="str">
        <f>IFERROR(COUNTIF($C$23:C460,C460)&amp;CHOOSE(MIN(4,COUNTIF($C$23:C460,C460)),"st","nd","rd","th"),"")</f>
        <v/>
      </c>
    </row>
    <row r="461" spans="4:10" x14ac:dyDescent="0.25">
      <c r="D461" s="201" t="str">
        <f t="shared" si="6"/>
        <v/>
      </c>
      <c r="J461" s="201" t="str">
        <f>IFERROR(COUNTIF($C$23:C461,C461)&amp;CHOOSE(MIN(4,COUNTIF($C$23:C461,C461)),"st","nd","rd","th"),"")</f>
        <v/>
      </c>
    </row>
    <row r="462" spans="4:10" x14ac:dyDescent="0.25">
      <c r="D462" s="201" t="str">
        <f t="shared" si="6"/>
        <v/>
      </c>
      <c r="J462" s="201" t="str">
        <f>IFERROR(COUNTIF($C$23:C462,C462)&amp;CHOOSE(MIN(4,COUNTIF($C$23:C462,C462)),"st","nd","rd","th"),"")</f>
        <v/>
      </c>
    </row>
    <row r="463" spans="4:10" x14ac:dyDescent="0.25">
      <c r="D463" s="201" t="str">
        <f t="shared" si="6"/>
        <v/>
      </c>
      <c r="J463" s="201" t="str">
        <f>IFERROR(COUNTIF($C$23:C463,C463)&amp;CHOOSE(MIN(4,COUNTIF($C$23:C463,C463)),"st","nd","rd","th"),"")</f>
        <v/>
      </c>
    </row>
    <row r="464" spans="4:10" x14ac:dyDescent="0.25">
      <c r="D464" s="201" t="str">
        <f t="shared" si="6"/>
        <v/>
      </c>
      <c r="J464" s="201" t="str">
        <f>IFERROR(COUNTIF($C$23:C464,C464)&amp;CHOOSE(MIN(4,COUNTIF($C$23:C464,C464)),"st","nd","rd","th"),"")</f>
        <v/>
      </c>
    </row>
    <row r="465" spans="4:10" x14ac:dyDescent="0.25">
      <c r="D465" s="201" t="str">
        <f t="shared" si="6"/>
        <v/>
      </c>
      <c r="J465" s="201" t="str">
        <f>IFERROR(COUNTIF($C$23:C465,C465)&amp;CHOOSE(MIN(4,COUNTIF($C$23:C465,C465)),"st","nd","rd","th"),"")</f>
        <v/>
      </c>
    </row>
    <row r="466" spans="4:10" x14ac:dyDescent="0.25">
      <c r="D466" s="201" t="str">
        <f t="shared" si="6"/>
        <v/>
      </c>
      <c r="J466" s="201" t="str">
        <f>IFERROR(COUNTIF($C$23:C466,C466)&amp;CHOOSE(MIN(4,COUNTIF($C$23:C466,C466)),"st","nd","rd","th"),"")</f>
        <v/>
      </c>
    </row>
    <row r="467" spans="4:10" x14ac:dyDescent="0.25">
      <c r="D467" s="201" t="str">
        <f t="shared" si="6"/>
        <v/>
      </c>
      <c r="J467" s="201" t="str">
        <f>IFERROR(COUNTIF($C$23:C467,C467)&amp;CHOOSE(MIN(4,COUNTIF($C$23:C467,C467)),"st","nd","rd","th"),"")</f>
        <v/>
      </c>
    </row>
    <row r="468" spans="4:10" x14ac:dyDescent="0.25">
      <c r="D468" s="201" t="str">
        <f t="shared" si="6"/>
        <v/>
      </c>
      <c r="J468" s="201" t="str">
        <f>IFERROR(COUNTIF($C$23:C468,C468)&amp;CHOOSE(MIN(4,COUNTIF($C$23:C468,C468)),"st","nd","rd","th"),"")</f>
        <v/>
      </c>
    </row>
    <row r="469" spans="4:10" x14ac:dyDescent="0.25">
      <c r="D469" s="201" t="str">
        <f t="shared" si="6"/>
        <v/>
      </c>
      <c r="J469" s="201" t="str">
        <f>IFERROR(COUNTIF($C$23:C469,C469)&amp;CHOOSE(MIN(4,COUNTIF($C$23:C469,C469)),"st","nd","rd","th"),"")</f>
        <v/>
      </c>
    </row>
    <row r="470" spans="4:10" x14ac:dyDescent="0.25">
      <c r="D470" s="201" t="str">
        <f t="shared" si="6"/>
        <v/>
      </c>
      <c r="J470" s="201" t="str">
        <f>IFERROR(COUNTIF($C$23:C470,C470)&amp;CHOOSE(MIN(4,COUNTIF($C$23:C470,C470)),"st","nd","rd","th"),"")</f>
        <v/>
      </c>
    </row>
    <row r="471" spans="4:10" x14ac:dyDescent="0.25">
      <c r="D471" s="201" t="str">
        <f t="shared" ref="D471:D534" si="7">IF(B471="","",IF(B471="Province_PLGU","PDPFP","CLUP"))</f>
        <v/>
      </c>
      <c r="J471" s="201" t="str">
        <f>IFERROR(COUNTIF($C$23:C471,C471)&amp;CHOOSE(MIN(4,COUNTIF($C$23:C471,C471)),"st","nd","rd","th"),"")</f>
        <v/>
      </c>
    </row>
    <row r="472" spans="4:10" x14ac:dyDescent="0.25">
      <c r="D472" s="201" t="str">
        <f t="shared" si="7"/>
        <v/>
      </c>
      <c r="J472" s="201" t="str">
        <f>IFERROR(COUNTIF($C$23:C472,C472)&amp;CHOOSE(MIN(4,COUNTIF($C$23:C472,C472)),"st","nd","rd","th"),"")</f>
        <v/>
      </c>
    </row>
    <row r="473" spans="4:10" x14ac:dyDescent="0.25">
      <c r="D473" s="201" t="str">
        <f t="shared" si="7"/>
        <v/>
      </c>
      <c r="J473" s="201" t="str">
        <f>IFERROR(COUNTIF($C$23:C473,C473)&amp;CHOOSE(MIN(4,COUNTIF($C$23:C473,C473)),"st","nd","rd","th"),"")</f>
        <v/>
      </c>
    </row>
    <row r="474" spans="4:10" x14ac:dyDescent="0.25">
      <c r="D474" s="201" t="str">
        <f t="shared" si="7"/>
        <v/>
      </c>
      <c r="J474" s="201" t="str">
        <f>IFERROR(COUNTIF($C$23:C474,C474)&amp;CHOOSE(MIN(4,COUNTIF($C$23:C474,C474)),"st","nd","rd","th"),"")</f>
        <v/>
      </c>
    </row>
    <row r="475" spans="4:10" x14ac:dyDescent="0.25">
      <c r="D475" s="201" t="str">
        <f t="shared" si="7"/>
        <v/>
      </c>
      <c r="J475" s="201" t="str">
        <f>IFERROR(COUNTIF($C$23:C475,C475)&amp;CHOOSE(MIN(4,COUNTIF($C$23:C475,C475)),"st","nd","rd","th"),"")</f>
        <v/>
      </c>
    </row>
    <row r="476" spans="4:10" x14ac:dyDescent="0.25">
      <c r="D476" s="201" t="str">
        <f t="shared" si="7"/>
        <v/>
      </c>
      <c r="J476" s="201" t="str">
        <f>IFERROR(COUNTIF($C$23:C476,C476)&amp;CHOOSE(MIN(4,COUNTIF($C$23:C476,C476)),"st","nd","rd","th"),"")</f>
        <v/>
      </c>
    </row>
    <row r="477" spans="4:10" x14ac:dyDescent="0.25">
      <c r="D477" s="201" t="str">
        <f t="shared" si="7"/>
        <v/>
      </c>
      <c r="J477" s="201" t="str">
        <f>IFERROR(COUNTIF($C$23:C477,C477)&amp;CHOOSE(MIN(4,COUNTIF($C$23:C477,C477)),"st","nd","rd","th"),"")</f>
        <v/>
      </c>
    </row>
    <row r="478" spans="4:10" x14ac:dyDescent="0.25">
      <c r="D478" s="201" t="str">
        <f t="shared" si="7"/>
        <v/>
      </c>
      <c r="J478" s="201" t="str">
        <f>IFERROR(COUNTIF($C$23:C478,C478)&amp;CHOOSE(MIN(4,COUNTIF($C$23:C478,C478)),"st","nd","rd","th"),"")</f>
        <v/>
      </c>
    </row>
    <row r="479" spans="4:10" x14ac:dyDescent="0.25">
      <c r="D479" s="201" t="str">
        <f t="shared" si="7"/>
        <v/>
      </c>
      <c r="J479" s="201" t="str">
        <f>IFERROR(COUNTIF($C$23:C479,C479)&amp;CHOOSE(MIN(4,COUNTIF($C$23:C479,C479)),"st","nd","rd","th"),"")</f>
        <v/>
      </c>
    </row>
    <row r="480" spans="4:10" x14ac:dyDescent="0.25">
      <c r="D480" s="201" t="str">
        <f t="shared" si="7"/>
        <v/>
      </c>
      <c r="J480" s="201" t="str">
        <f>IFERROR(COUNTIF($C$23:C480,C480)&amp;CHOOSE(MIN(4,COUNTIF($C$23:C480,C480)),"st","nd","rd","th"),"")</f>
        <v/>
      </c>
    </row>
    <row r="481" spans="4:10" x14ac:dyDescent="0.25">
      <c r="D481" s="201" t="str">
        <f t="shared" si="7"/>
        <v/>
      </c>
      <c r="J481" s="201" t="str">
        <f>IFERROR(COUNTIF($C$23:C481,C481)&amp;CHOOSE(MIN(4,COUNTIF($C$23:C481,C481)),"st","nd","rd","th"),"")</f>
        <v/>
      </c>
    </row>
    <row r="482" spans="4:10" x14ac:dyDescent="0.25">
      <c r="D482" s="201" t="str">
        <f t="shared" si="7"/>
        <v/>
      </c>
      <c r="J482" s="201" t="str">
        <f>IFERROR(COUNTIF($C$23:C482,C482)&amp;CHOOSE(MIN(4,COUNTIF($C$23:C482,C482)),"st","nd","rd","th"),"")</f>
        <v/>
      </c>
    </row>
    <row r="483" spans="4:10" x14ac:dyDescent="0.25">
      <c r="D483" s="201" t="str">
        <f t="shared" si="7"/>
        <v/>
      </c>
      <c r="J483" s="201" t="str">
        <f>IFERROR(COUNTIF($C$23:C483,C483)&amp;CHOOSE(MIN(4,COUNTIF($C$23:C483,C483)),"st","nd","rd","th"),"")</f>
        <v/>
      </c>
    </row>
    <row r="484" spans="4:10" x14ac:dyDescent="0.25">
      <c r="D484" s="201" t="str">
        <f t="shared" si="7"/>
        <v/>
      </c>
      <c r="J484" s="201" t="str">
        <f>IFERROR(COUNTIF($C$23:C484,C484)&amp;CHOOSE(MIN(4,COUNTIF($C$23:C484,C484)),"st","nd","rd","th"),"")</f>
        <v/>
      </c>
    </row>
    <row r="485" spans="4:10" x14ac:dyDescent="0.25">
      <c r="D485" s="201" t="str">
        <f t="shared" si="7"/>
        <v/>
      </c>
      <c r="J485" s="201" t="str">
        <f>IFERROR(COUNTIF($C$23:C485,C485)&amp;CHOOSE(MIN(4,COUNTIF($C$23:C485,C485)),"st","nd","rd","th"),"")</f>
        <v/>
      </c>
    </row>
    <row r="486" spans="4:10" x14ac:dyDescent="0.25">
      <c r="D486" s="201" t="str">
        <f t="shared" si="7"/>
        <v/>
      </c>
      <c r="J486" s="201" t="str">
        <f>IFERROR(COUNTIF($C$23:C486,C486)&amp;CHOOSE(MIN(4,COUNTIF($C$23:C486,C486)),"st","nd","rd","th"),"")</f>
        <v/>
      </c>
    </row>
    <row r="487" spans="4:10" x14ac:dyDescent="0.25">
      <c r="D487" s="201" t="str">
        <f t="shared" si="7"/>
        <v/>
      </c>
      <c r="J487" s="201" t="str">
        <f>IFERROR(COUNTIF($C$23:C487,C487)&amp;CHOOSE(MIN(4,COUNTIF($C$23:C487,C487)),"st","nd","rd","th"),"")</f>
        <v/>
      </c>
    </row>
    <row r="488" spans="4:10" x14ac:dyDescent="0.25">
      <c r="D488" s="201" t="str">
        <f t="shared" si="7"/>
        <v/>
      </c>
      <c r="J488" s="201" t="str">
        <f>IFERROR(COUNTIF($C$23:C488,C488)&amp;CHOOSE(MIN(4,COUNTIF($C$23:C488,C488)),"st","nd","rd","th"),"")</f>
        <v/>
      </c>
    </row>
    <row r="489" spans="4:10" x14ac:dyDescent="0.25">
      <c r="D489" s="201" t="str">
        <f t="shared" si="7"/>
        <v/>
      </c>
      <c r="J489" s="201" t="str">
        <f>IFERROR(COUNTIF($C$23:C489,C489)&amp;CHOOSE(MIN(4,COUNTIF($C$23:C489,C489)),"st","nd","rd","th"),"")</f>
        <v/>
      </c>
    </row>
    <row r="490" spans="4:10" x14ac:dyDescent="0.25">
      <c r="D490" s="201" t="str">
        <f t="shared" si="7"/>
        <v/>
      </c>
      <c r="J490" s="201" t="str">
        <f>IFERROR(COUNTIF($C$23:C490,C490)&amp;CHOOSE(MIN(4,COUNTIF($C$23:C490,C490)),"st","nd","rd","th"),"")</f>
        <v/>
      </c>
    </row>
    <row r="491" spans="4:10" x14ac:dyDescent="0.25">
      <c r="D491" s="201" t="str">
        <f t="shared" si="7"/>
        <v/>
      </c>
      <c r="J491" s="201" t="str">
        <f>IFERROR(COUNTIF($C$23:C491,C491)&amp;CHOOSE(MIN(4,COUNTIF($C$23:C491,C491)),"st","nd","rd","th"),"")</f>
        <v/>
      </c>
    </row>
    <row r="492" spans="4:10" x14ac:dyDescent="0.25">
      <c r="D492" s="201" t="str">
        <f t="shared" si="7"/>
        <v/>
      </c>
      <c r="J492" s="201" t="str">
        <f>IFERROR(COUNTIF($C$23:C492,C492)&amp;CHOOSE(MIN(4,COUNTIF($C$23:C492,C492)),"st","nd","rd","th"),"")</f>
        <v/>
      </c>
    </row>
    <row r="493" spans="4:10" x14ac:dyDescent="0.25">
      <c r="D493" s="201" t="str">
        <f t="shared" si="7"/>
        <v/>
      </c>
      <c r="J493" s="201" t="str">
        <f>IFERROR(COUNTIF($C$23:C493,C493)&amp;CHOOSE(MIN(4,COUNTIF($C$23:C493,C493)),"st","nd","rd","th"),"")</f>
        <v/>
      </c>
    </row>
    <row r="494" spans="4:10" x14ac:dyDescent="0.25">
      <c r="D494" s="201" t="str">
        <f t="shared" si="7"/>
        <v/>
      </c>
      <c r="J494" s="201" t="str">
        <f>IFERROR(COUNTIF($C$23:C494,C494)&amp;CHOOSE(MIN(4,COUNTIF($C$23:C494,C494)),"st","nd","rd","th"),"")</f>
        <v/>
      </c>
    </row>
    <row r="495" spans="4:10" x14ac:dyDescent="0.25">
      <c r="D495" s="201" t="str">
        <f t="shared" si="7"/>
        <v/>
      </c>
      <c r="J495" s="201" t="str">
        <f>IFERROR(COUNTIF($C$23:C495,C495)&amp;CHOOSE(MIN(4,COUNTIF($C$23:C495,C495)),"st","nd","rd","th"),"")</f>
        <v/>
      </c>
    </row>
    <row r="496" spans="4:10" x14ac:dyDescent="0.25">
      <c r="D496" s="201" t="str">
        <f t="shared" si="7"/>
        <v/>
      </c>
      <c r="J496" s="201" t="str">
        <f>IFERROR(COUNTIF($C$23:C496,C496)&amp;CHOOSE(MIN(4,COUNTIF($C$23:C496,C496)),"st","nd","rd","th"),"")</f>
        <v/>
      </c>
    </row>
    <row r="497" spans="4:10" x14ac:dyDescent="0.25">
      <c r="D497" s="201" t="str">
        <f t="shared" si="7"/>
        <v/>
      </c>
      <c r="J497" s="201" t="str">
        <f>IFERROR(COUNTIF($C$23:C497,C497)&amp;CHOOSE(MIN(4,COUNTIF($C$23:C497,C497)),"st","nd","rd","th"),"")</f>
        <v/>
      </c>
    </row>
    <row r="498" spans="4:10" x14ac:dyDescent="0.25">
      <c r="D498" s="201" t="str">
        <f t="shared" si="7"/>
        <v/>
      </c>
      <c r="J498" s="201" t="str">
        <f>IFERROR(COUNTIF($C$23:C498,C498)&amp;CHOOSE(MIN(4,COUNTIF($C$23:C498,C498)),"st","nd","rd","th"),"")</f>
        <v/>
      </c>
    </row>
    <row r="499" spans="4:10" x14ac:dyDescent="0.25">
      <c r="D499" s="201" t="str">
        <f t="shared" si="7"/>
        <v/>
      </c>
      <c r="J499" s="201" t="str">
        <f>IFERROR(COUNTIF($C$23:C499,C499)&amp;CHOOSE(MIN(4,COUNTIF($C$23:C499,C499)),"st","nd","rd","th"),"")</f>
        <v/>
      </c>
    </row>
    <row r="500" spans="4:10" x14ac:dyDescent="0.25">
      <c r="D500" s="201" t="str">
        <f t="shared" si="7"/>
        <v/>
      </c>
      <c r="J500" s="201" t="str">
        <f>IFERROR(COUNTIF($C$23:C500,C500)&amp;CHOOSE(MIN(4,COUNTIF($C$23:C500,C500)),"st","nd","rd","th"),"")</f>
        <v/>
      </c>
    </row>
    <row r="501" spans="4:10" x14ac:dyDescent="0.25">
      <c r="D501" s="201" t="str">
        <f t="shared" si="7"/>
        <v/>
      </c>
      <c r="J501" s="201" t="str">
        <f>IFERROR(COUNTIF($C$23:C501,C501)&amp;CHOOSE(MIN(4,COUNTIF($C$23:C501,C501)),"st","nd","rd","th"),"")</f>
        <v/>
      </c>
    </row>
    <row r="502" spans="4:10" x14ac:dyDescent="0.25">
      <c r="D502" s="201" t="str">
        <f t="shared" si="7"/>
        <v/>
      </c>
      <c r="J502" s="201" t="str">
        <f>IFERROR(COUNTIF($C$23:C502,C502)&amp;CHOOSE(MIN(4,COUNTIF($C$23:C502,C502)),"st","nd","rd","th"),"")</f>
        <v/>
      </c>
    </row>
    <row r="503" spans="4:10" x14ac:dyDescent="0.25">
      <c r="D503" s="201" t="str">
        <f t="shared" si="7"/>
        <v/>
      </c>
      <c r="J503" s="201" t="str">
        <f>IFERROR(COUNTIF($C$23:C503,C503)&amp;CHOOSE(MIN(4,COUNTIF($C$23:C503,C503)),"st","nd","rd","th"),"")</f>
        <v/>
      </c>
    </row>
    <row r="504" spans="4:10" x14ac:dyDescent="0.25">
      <c r="D504" s="201" t="str">
        <f t="shared" si="7"/>
        <v/>
      </c>
      <c r="J504" s="201" t="str">
        <f>IFERROR(COUNTIF($C$23:C504,C504)&amp;CHOOSE(MIN(4,COUNTIF($C$23:C504,C504)),"st","nd","rd","th"),"")</f>
        <v/>
      </c>
    </row>
    <row r="505" spans="4:10" x14ac:dyDescent="0.25">
      <c r="D505" s="201" t="str">
        <f t="shared" si="7"/>
        <v/>
      </c>
      <c r="J505" s="201" t="str">
        <f>IFERROR(COUNTIF($C$23:C505,C505)&amp;CHOOSE(MIN(4,COUNTIF($C$23:C505,C505)),"st","nd","rd","th"),"")</f>
        <v/>
      </c>
    </row>
    <row r="506" spans="4:10" x14ac:dyDescent="0.25">
      <c r="D506" s="201" t="str">
        <f t="shared" si="7"/>
        <v/>
      </c>
      <c r="J506" s="201" t="str">
        <f>IFERROR(COUNTIF($C$23:C506,C506)&amp;CHOOSE(MIN(4,COUNTIF($C$23:C506,C506)),"st","nd","rd","th"),"")</f>
        <v/>
      </c>
    </row>
    <row r="507" spans="4:10" x14ac:dyDescent="0.25">
      <c r="D507" s="201" t="str">
        <f t="shared" si="7"/>
        <v/>
      </c>
      <c r="J507" s="201" t="str">
        <f>IFERROR(COUNTIF($C$23:C507,C507)&amp;CHOOSE(MIN(4,COUNTIF($C$23:C507,C507)),"st","nd","rd","th"),"")</f>
        <v/>
      </c>
    </row>
    <row r="508" spans="4:10" x14ac:dyDescent="0.25">
      <c r="D508" s="201" t="str">
        <f t="shared" si="7"/>
        <v/>
      </c>
      <c r="J508" s="201" t="str">
        <f>IFERROR(COUNTIF($C$23:C508,C508)&amp;CHOOSE(MIN(4,COUNTIF($C$23:C508,C508)),"st","nd","rd","th"),"")</f>
        <v/>
      </c>
    </row>
    <row r="509" spans="4:10" x14ac:dyDescent="0.25">
      <c r="D509" s="201" t="str">
        <f t="shared" si="7"/>
        <v/>
      </c>
      <c r="J509" s="201" t="str">
        <f>IFERROR(COUNTIF($C$23:C509,C509)&amp;CHOOSE(MIN(4,COUNTIF($C$23:C509,C509)),"st","nd","rd","th"),"")</f>
        <v/>
      </c>
    </row>
    <row r="510" spans="4:10" x14ac:dyDescent="0.25">
      <c r="D510" s="201" t="str">
        <f t="shared" si="7"/>
        <v/>
      </c>
      <c r="J510" s="201" t="str">
        <f>IFERROR(COUNTIF($C$23:C510,C510)&amp;CHOOSE(MIN(4,COUNTIF($C$23:C510,C510)),"st","nd","rd","th"),"")</f>
        <v/>
      </c>
    </row>
    <row r="511" spans="4:10" x14ac:dyDescent="0.25">
      <c r="D511" s="201" t="str">
        <f t="shared" si="7"/>
        <v/>
      </c>
      <c r="J511" s="201" t="str">
        <f>IFERROR(COUNTIF($C$23:C511,C511)&amp;CHOOSE(MIN(4,COUNTIF($C$23:C511,C511)),"st","nd","rd","th"),"")</f>
        <v/>
      </c>
    </row>
    <row r="512" spans="4:10" x14ac:dyDescent="0.25">
      <c r="D512" s="201" t="str">
        <f t="shared" si="7"/>
        <v/>
      </c>
      <c r="J512" s="201" t="str">
        <f>IFERROR(COUNTIF($C$23:C512,C512)&amp;CHOOSE(MIN(4,COUNTIF($C$23:C512,C512)),"st","nd","rd","th"),"")</f>
        <v/>
      </c>
    </row>
    <row r="513" spans="4:10" x14ac:dyDescent="0.25">
      <c r="D513" s="201" t="str">
        <f t="shared" si="7"/>
        <v/>
      </c>
      <c r="J513" s="201" t="str">
        <f>IFERROR(COUNTIF($C$23:C513,C513)&amp;CHOOSE(MIN(4,COUNTIF($C$23:C513,C513)),"st","nd","rd","th"),"")</f>
        <v/>
      </c>
    </row>
    <row r="514" spans="4:10" x14ac:dyDescent="0.25">
      <c r="D514" s="201" t="str">
        <f t="shared" si="7"/>
        <v/>
      </c>
      <c r="J514" s="201" t="str">
        <f>IFERROR(COUNTIF($C$23:C514,C514)&amp;CHOOSE(MIN(4,COUNTIF($C$23:C514,C514)),"st","nd","rd","th"),"")</f>
        <v/>
      </c>
    </row>
    <row r="515" spans="4:10" x14ac:dyDescent="0.25">
      <c r="D515" s="201" t="str">
        <f t="shared" si="7"/>
        <v/>
      </c>
      <c r="J515" s="201" t="str">
        <f>IFERROR(COUNTIF($C$23:C515,C515)&amp;CHOOSE(MIN(4,COUNTIF($C$23:C515,C515)),"st","nd","rd","th"),"")</f>
        <v/>
      </c>
    </row>
    <row r="516" spans="4:10" x14ac:dyDescent="0.25">
      <c r="D516" s="201" t="str">
        <f t="shared" si="7"/>
        <v/>
      </c>
      <c r="J516" s="201" t="str">
        <f>IFERROR(COUNTIF($C$23:C516,C516)&amp;CHOOSE(MIN(4,COUNTIF($C$23:C516,C516)),"st","nd","rd","th"),"")</f>
        <v/>
      </c>
    </row>
    <row r="517" spans="4:10" x14ac:dyDescent="0.25">
      <c r="D517" s="201" t="str">
        <f t="shared" si="7"/>
        <v/>
      </c>
      <c r="J517" s="201" t="str">
        <f>IFERROR(COUNTIF($C$23:C517,C517)&amp;CHOOSE(MIN(4,COUNTIF($C$23:C517,C517)),"st","nd","rd","th"),"")</f>
        <v/>
      </c>
    </row>
    <row r="518" spans="4:10" x14ac:dyDescent="0.25">
      <c r="D518" s="201" t="str">
        <f t="shared" si="7"/>
        <v/>
      </c>
      <c r="J518" s="201" t="str">
        <f>IFERROR(COUNTIF($C$23:C518,C518)&amp;CHOOSE(MIN(4,COUNTIF($C$23:C518,C518)),"st","nd","rd","th"),"")</f>
        <v/>
      </c>
    </row>
    <row r="519" spans="4:10" x14ac:dyDescent="0.25">
      <c r="D519" s="201" t="str">
        <f t="shared" si="7"/>
        <v/>
      </c>
      <c r="J519" s="201" t="str">
        <f>IFERROR(COUNTIF($C$23:C519,C519)&amp;CHOOSE(MIN(4,COUNTIF($C$23:C519,C519)),"st","nd","rd","th"),"")</f>
        <v/>
      </c>
    </row>
    <row r="520" spans="4:10" x14ac:dyDescent="0.25">
      <c r="D520" s="201" t="str">
        <f t="shared" si="7"/>
        <v/>
      </c>
      <c r="J520" s="201" t="str">
        <f>IFERROR(COUNTIF($C$23:C520,C520)&amp;CHOOSE(MIN(4,COUNTIF($C$23:C520,C520)),"st","nd","rd","th"),"")</f>
        <v/>
      </c>
    </row>
    <row r="521" spans="4:10" x14ac:dyDescent="0.25">
      <c r="D521" s="201" t="str">
        <f t="shared" si="7"/>
        <v/>
      </c>
      <c r="J521" s="201" t="str">
        <f>IFERROR(COUNTIF($C$23:C521,C521)&amp;CHOOSE(MIN(4,COUNTIF($C$23:C521,C521)),"st","nd","rd","th"),"")</f>
        <v/>
      </c>
    </row>
    <row r="522" spans="4:10" x14ac:dyDescent="0.25">
      <c r="D522" s="201" t="str">
        <f t="shared" si="7"/>
        <v/>
      </c>
      <c r="J522" s="201" t="str">
        <f>IFERROR(COUNTIF($C$23:C522,C522)&amp;CHOOSE(MIN(4,COUNTIF($C$23:C522,C522)),"st","nd","rd","th"),"")</f>
        <v/>
      </c>
    </row>
    <row r="523" spans="4:10" x14ac:dyDescent="0.25">
      <c r="D523" s="201" t="str">
        <f t="shared" si="7"/>
        <v/>
      </c>
      <c r="J523" s="201" t="str">
        <f>IFERROR(COUNTIF($C$23:C523,C523)&amp;CHOOSE(MIN(4,COUNTIF($C$23:C523,C523)),"st","nd","rd","th"),"")</f>
        <v/>
      </c>
    </row>
    <row r="524" spans="4:10" x14ac:dyDescent="0.25">
      <c r="D524" s="201" t="str">
        <f t="shared" si="7"/>
        <v/>
      </c>
      <c r="J524" s="201" t="str">
        <f>IFERROR(COUNTIF($C$23:C524,C524)&amp;CHOOSE(MIN(4,COUNTIF($C$23:C524,C524)),"st","nd","rd","th"),"")</f>
        <v/>
      </c>
    </row>
    <row r="525" spans="4:10" x14ac:dyDescent="0.25">
      <c r="D525" s="201" t="str">
        <f t="shared" si="7"/>
        <v/>
      </c>
      <c r="J525" s="201" t="str">
        <f>IFERROR(COUNTIF($C$23:C525,C525)&amp;CHOOSE(MIN(4,COUNTIF($C$23:C525,C525)),"st","nd","rd","th"),"")</f>
        <v/>
      </c>
    </row>
    <row r="526" spans="4:10" x14ac:dyDescent="0.25">
      <c r="D526" s="201" t="str">
        <f t="shared" si="7"/>
        <v/>
      </c>
      <c r="J526" s="201" t="str">
        <f>IFERROR(COUNTIF($C$23:C526,C526)&amp;CHOOSE(MIN(4,COUNTIF($C$23:C526,C526)),"st","nd","rd","th"),"")</f>
        <v/>
      </c>
    </row>
    <row r="527" spans="4:10" x14ac:dyDescent="0.25">
      <c r="D527" s="201" t="str">
        <f t="shared" si="7"/>
        <v/>
      </c>
      <c r="J527" s="201" t="str">
        <f>IFERROR(COUNTIF($C$23:C527,C527)&amp;CHOOSE(MIN(4,COUNTIF($C$23:C527,C527)),"st","nd","rd","th"),"")</f>
        <v/>
      </c>
    </row>
    <row r="528" spans="4:10" x14ac:dyDescent="0.25">
      <c r="D528" s="201" t="str">
        <f t="shared" si="7"/>
        <v/>
      </c>
      <c r="J528" s="201" t="str">
        <f>IFERROR(COUNTIF($C$23:C528,C528)&amp;CHOOSE(MIN(4,COUNTIF($C$23:C528,C528)),"st","nd","rd","th"),"")</f>
        <v/>
      </c>
    </row>
    <row r="529" spans="4:10" x14ac:dyDescent="0.25">
      <c r="D529" s="201" t="str">
        <f t="shared" si="7"/>
        <v/>
      </c>
      <c r="J529" s="201" t="str">
        <f>IFERROR(COUNTIF($C$23:C529,C529)&amp;CHOOSE(MIN(4,COUNTIF($C$23:C529,C529)),"st","nd","rd","th"),"")</f>
        <v/>
      </c>
    </row>
    <row r="530" spans="4:10" x14ac:dyDescent="0.25">
      <c r="D530" s="201" t="str">
        <f t="shared" si="7"/>
        <v/>
      </c>
      <c r="J530" s="201" t="str">
        <f>IFERROR(COUNTIF($C$23:C530,C530)&amp;CHOOSE(MIN(4,COUNTIF($C$23:C530,C530)),"st","nd","rd","th"),"")</f>
        <v/>
      </c>
    </row>
    <row r="531" spans="4:10" x14ac:dyDescent="0.25">
      <c r="D531" s="201" t="str">
        <f t="shared" si="7"/>
        <v/>
      </c>
      <c r="J531" s="201" t="str">
        <f>IFERROR(COUNTIF($C$23:C531,C531)&amp;CHOOSE(MIN(4,COUNTIF($C$23:C531,C531)),"st","nd","rd","th"),"")</f>
        <v/>
      </c>
    </row>
    <row r="532" spans="4:10" x14ac:dyDescent="0.25">
      <c r="D532" s="201" t="str">
        <f t="shared" si="7"/>
        <v/>
      </c>
      <c r="J532" s="201" t="str">
        <f>IFERROR(COUNTIF($C$23:C532,C532)&amp;CHOOSE(MIN(4,COUNTIF($C$23:C532,C532)),"st","nd","rd","th"),"")</f>
        <v/>
      </c>
    </row>
    <row r="533" spans="4:10" x14ac:dyDescent="0.25">
      <c r="D533" s="201" t="str">
        <f t="shared" si="7"/>
        <v/>
      </c>
      <c r="J533" s="201" t="str">
        <f>IFERROR(COUNTIF($C$23:C533,C533)&amp;CHOOSE(MIN(4,COUNTIF($C$23:C533,C533)),"st","nd","rd","th"),"")</f>
        <v/>
      </c>
    </row>
    <row r="534" spans="4:10" x14ac:dyDescent="0.25">
      <c r="D534" s="201" t="str">
        <f t="shared" si="7"/>
        <v/>
      </c>
      <c r="J534" s="201" t="str">
        <f>IFERROR(COUNTIF($C$23:C534,C534)&amp;CHOOSE(MIN(4,COUNTIF($C$23:C534,C534)),"st","nd","rd","th"),"")</f>
        <v/>
      </c>
    </row>
    <row r="535" spans="4:10" x14ac:dyDescent="0.25">
      <c r="D535" s="201" t="str">
        <f t="shared" ref="D535:D598" si="8">IF(B535="","",IF(B535="Province_PLGU","PDPFP","CLUP"))</f>
        <v/>
      </c>
      <c r="J535" s="201" t="str">
        <f>IFERROR(COUNTIF($C$23:C535,C535)&amp;CHOOSE(MIN(4,COUNTIF($C$23:C535,C535)),"st","nd","rd","th"),"")</f>
        <v/>
      </c>
    </row>
    <row r="536" spans="4:10" x14ac:dyDescent="0.25">
      <c r="D536" s="201" t="str">
        <f t="shared" si="8"/>
        <v/>
      </c>
      <c r="J536" s="201" t="str">
        <f>IFERROR(COUNTIF($C$23:C536,C536)&amp;CHOOSE(MIN(4,COUNTIF($C$23:C536,C536)),"st","nd","rd","th"),"")</f>
        <v/>
      </c>
    </row>
    <row r="537" spans="4:10" x14ac:dyDescent="0.25">
      <c r="D537" s="201" t="str">
        <f t="shared" si="8"/>
        <v/>
      </c>
      <c r="J537" s="201" t="str">
        <f>IFERROR(COUNTIF($C$23:C537,C537)&amp;CHOOSE(MIN(4,COUNTIF($C$23:C537,C537)),"st","nd","rd","th"),"")</f>
        <v/>
      </c>
    </row>
    <row r="538" spans="4:10" x14ac:dyDescent="0.25">
      <c r="D538" s="201" t="str">
        <f t="shared" si="8"/>
        <v/>
      </c>
      <c r="J538" s="201" t="str">
        <f>IFERROR(COUNTIF($C$23:C538,C538)&amp;CHOOSE(MIN(4,COUNTIF($C$23:C538,C538)),"st","nd","rd","th"),"")</f>
        <v/>
      </c>
    </row>
    <row r="539" spans="4:10" x14ac:dyDescent="0.25">
      <c r="D539" s="201" t="str">
        <f t="shared" si="8"/>
        <v/>
      </c>
      <c r="J539" s="201" t="str">
        <f>IFERROR(COUNTIF($C$23:C539,C539)&amp;CHOOSE(MIN(4,COUNTIF($C$23:C539,C539)),"st","nd","rd","th"),"")</f>
        <v/>
      </c>
    </row>
    <row r="540" spans="4:10" x14ac:dyDescent="0.25">
      <c r="D540" s="201" t="str">
        <f t="shared" si="8"/>
        <v/>
      </c>
      <c r="J540" s="201" t="str">
        <f>IFERROR(COUNTIF($C$23:C540,C540)&amp;CHOOSE(MIN(4,COUNTIF($C$23:C540,C540)),"st","nd","rd","th"),"")</f>
        <v/>
      </c>
    </row>
    <row r="541" spans="4:10" x14ac:dyDescent="0.25">
      <c r="D541" s="201" t="str">
        <f t="shared" si="8"/>
        <v/>
      </c>
      <c r="J541" s="201" t="str">
        <f>IFERROR(COUNTIF($C$23:C541,C541)&amp;CHOOSE(MIN(4,COUNTIF($C$23:C541,C541)),"st","nd","rd","th"),"")</f>
        <v/>
      </c>
    </row>
    <row r="542" spans="4:10" x14ac:dyDescent="0.25">
      <c r="D542" s="201" t="str">
        <f t="shared" si="8"/>
        <v/>
      </c>
      <c r="J542" s="201" t="str">
        <f>IFERROR(COUNTIF($C$23:C542,C542)&amp;CHOOSE(MIN(4,COUNTIF($C$23:C542,C542)),"st","nd","rd","th"),"")</f>
        <v/>
      </c>
    </row>
    <row r="543" spans="4:10" x14ac:dyDescent="0.25">
      <c r="D543" s="201" t="str">
        <f t="shared" si="8"/>
        <v/>
      </c>
      <c r="J543" s="201" t="str">
        <f>IFERROR(COUNTIF($C$23:C543,C543)&amp;CHOOSE(MIN(4,COUNTIF($C$23:C543,C543)),"st","nd","rd","th"),"")</f>
        <v/>
      </c>
    </row>
    <row r="544" spans="4:10" x14ac:dyDescent="0.25">
      <c r="D544" s="201" t="str">
        <f t="shared" si="8"/>
        <v/>
      </c>
      <c r="J544" s="201" t="str">
        <f>IFERROR(COUNTIF($C$23:C544,C544)&amp;CHOOSE(MIN(4,COUNTIF($C$23:C544,C544)),"st","nd","rd","th"),"")</f>
        <v/>
      </c>
    </row>
    <row r="545" spans="4:10" x14ac:dyDescent="0.25">
      <c r="D545" s="201" t="str">
        <f t="shared" si="8"/>
        <v/>
      </c>
      <c r="J545" s="201" t="str">
        <f>IFERROR(COUNTIF($C$23:C545,C545)&amp;CHOOSE(MIN(4,COUNTIF($C$23:C545,C545)),"st","nd","rd","th"),"")</f>
        <v/>
      </c>
    </row>
    <row r="546" spans="4:10" x14ac:dyDescent="0.25">
      <c r="D546" s="201" t="str">
        <f t="shared" si="8"/>
        <v/>
      </c>
      <c r="J546" s="201" t="str">
        <f>IFERROR(COUNTIF($C$23:C546,C546)&amp;CHOOSE(MIN(4,COUNTIF($C$23:C546,C546)),"st","nd","rd","th"),"")</f>
        <v/>
      </c>
    </row>
    <row r="547" spans="4:10" x14ac:dyDescent="0.25">
      <c r="D547" s="201" t="str">
        <f t="shared" si="8"/>
        <v/>
      </c>
      <c r="J547" s="201" t="str">
        <f>IFERROR(COUNTIF($C$23:C547,C547)&amp;CHOOSE(MIN(4,COUNTIF($C$23:C547,C547)),"st","nd","rd","th"),"")</f>
        <v/>
      </c>
    </row>
    <row r="548" spans="4:10" x14ac:dyDescent="0.25">
      <c r="D548" s="201" t="str">
        <f t="shared" si="8"/>
        <v/>
      </c>
      <c r="J548" s="201" t="str">
        <f>IFERROR(COUNTIF($C$23:C548,C548)&amp;CHOOSE(MIN(4,COUNTIF($C$23:C548,C548)),"st","nd","rd","th"),"")</f>
        <v/>
      </c>
    </row>
    <row r="549" spans="4:10" x14ac:dyDescent="0.25">
      <c r="D549" s="201" t="str">
        <f t="shared" si="8"/>
        <v/>
      </c>
      <c r="J549" s="201" t="str">
        <f>IFERROR(COUNTIF($C$23:C549,C549)&amp;CHOOSE(MIN(4,COUNTIF($C$23:C549,C549)),"st","nd","rd","th"),"")</f>
        <v/>
      </c>
    </row>
    <row r="550" spans="4:10" x14ac:dyDescent="0.25">
      <c r="D550" s="201" t="str">
        <f t="shared" si="8"/>
        <v/>
      </c>
      <c r="J550" s="201" t="str">
        <f>IFERROR(COUNTIF($C$23:C550,C550)&amp;CHOOSE(MIN(4,COUNTIF($C$23:C550,C550)),"st","nd","rd","th"),"")</f>
        <v/>
      </c>
    </row>
    <row r="551" spans="4:10" x14ac:dyDescent="0.25">
      <c r="D551" s="201" t="str">
        <f t="shared" si="8"/>
        <v/>
      </c>
      <c r="J551" s="201" t="str">
        <f>IFERROR(COUNTIF($C$23:C551,C551)&amp;CHOOSE(MIN(4,COUNTIF($C$23:C551,C551)),"st","nd","rd","th"),"")</f>
        <v/>
      </c>
    </row>
    <row r="552" spans="4:10" x14ac:dyDescent="0.25">
      <c r="D552" s="201" t="str">
        <f t="shared" si="8"/>
        <v/>
      </c>
      <c r="J552" s="201" t="str">
        <f>IFERROR(COUNTIF($C$23:C552,C552)&amp;CHOOSE(MIN(4,COUNTIF($C$23:C552,C552)),"st","nd","rd","th"),"")</f>
        <v/>
      </c>
    </row>
    <row r="553" spans="4:10" x14ac:dyDescent="0.25">
      <c r="D553" s="201" t="str">
        <f t="shared" si="8"/>
        <v/>
      </c>
      <c r="J553" s="201" t="str">
        <f>IFERROR(COUNTIF($C$23:C553,C553)&amp;CHOOSE(MIN(4,COUNTIF($C$23:C553,C553)),"st","nd","rd","th"),"")</f>
        <v/>
      </c>
    </row>
    <row r="554" spans="4:10" x14ac:dyDescent="0.25">
      <c r="D554" s="201" t="str">
        <f t="shared" si="8"/>
        <v/>
      </c>
      <c r="J554" s="201" t="str">
        <f>IFERROR(COUNTIF($C$23:C554,C554)&amp;CHOOSE(MIN(4,COUNTIF($C$23:C554,C554)),"st","nd","rd","th"),"")</f>
        <v/>
      </c>
    </row>
    <row r="555" spans="4:10" x14ac:dyDescent="0.25">
      <c r="D555" s="201" t="str">
        <f t="shared" si="8"/>
        <v/>
      </c>
      <c r="J555" s="201" t="str">
        <f>IFERROR(COUNTIF($C$23:C555,C555)&amp;CHOOSE(MIN(4,COUNTIF($C$23:C555,C555)),"st","nd","rd","th"),"")</f>
        <v/>
      </c>
    </row>
    <row r="556" spans="4:10" x14ac:dyDescent="0.25">
      <c r="D556" s="201" t="str">
        <f t="shared" si="8"/>
        <v/>
      </c>
      <c r="J556" s="201" t="str">
        <f>IFERROR(COUNTIF($C$23:C556,C556)&amp;CHOOSE(MIN(4,COUNTIF($C$23:C556,C556)),"st","nd","rd","th"),"")</f>
        <v/>
      </c>
    </row>
    <row r="557" spans="4:10" x14ac:dyDescent="0.25">
      <c r="D557" s="201" t="str">
        <f t="shared" si="8"/>
        <v/>
      </c>
      <c r="J557" s="201" t="str">
        <f>IFERROR(COUNTIF($C$23:C557,C557)&amp;CHOOSE(MIN(4,COUNTIF($C$23:C557,C557)),"st","nd","rd","th"),"")</f>
        <v/>
      </c>
    </row>
    <row r="558" spans="4:10" x14ac:dyDescent="0.25">
      <c r="D558" s="201" t="str">
        <f t="shared" si="8"/>
        <v/>
      </c>
      <c r="J558" s="201" t="str">
        <f>IFERROR(COUNTIF($C$23:C558,C558)&amp;CHOOSE(MIN(4,COUNTIF($C$23:C558,C558)),"st","nd","rd","th"),"")</f>
        <v/>
      </c>
    </row>
    <row r="559" spans="4:10" x14ac:dyDescent="0.25">
      <c r="D559" s="201" t="str">
        <f t="shared" si="8"/>
        <v/>
      </c>
      <c r="J559" s="201" t="str">
        <f>IFERROR(COUNTIF($C$23:C559,C559)&amp;CHOOSE(MIN(4,COUNTIF($C$23:C559,C559)),"st","nd","rd","th"),"")</f>
        <v/>
      </c>
    </row>
    <row r="560" spans="4:10" x14ac:dyDescent="0.25">
      <c r="D560" s="201" t="str">
        <f t="shared" si="8"/>
        <v/>
      </c>
      <c r="J560" s="201" t="str">
        <f>IFERROR(COUNTIF($C$23:C560,C560)&amp;CHOOSE(MIN(4,COUNTIF($C$23:C560,C560)),"st","nd","rd","th"),"")</f>
        <v/>
      </c>
    </row>
    <row r="561" spans="4:10" x14ac:dyDescent="0.25">
      <c r="D561" s="201" t="str">
        <f t="shared" si="8"/>
        <v/>
      </c>
      <c r="J561" s="201" t="str">
        <f>IFERROR(COUNTIF($C$23:C561,C561)&amp;CHOOSE(MIN(4,COUNTIF($C$23:C561,C561)),"st","nd","rd","th"),"")</f>
        <v/>
      </c>
    </row>
    <row r="562" spans="4:10" x14ac:dyDescent="0.25">
      <c r="D562" s="201" t="str">
        <f t="shared" si="8"/>
        <v/>
      </c>
      <c r="J562" s="201" t="str">
        <f>IFERROR(COUNTIF($C$23:C562,C562)&amp;CHOOSE(MIN(4,COUNTIF($C$23:C562,C562)),"st","nd","rd","th"),"")</f>
        <v/>
      </c>
    </row>
    <row r="563" spans="4:10" x14ac:dyDescent="0.25">
      <c r="D563" s="201" t="str">
        <f t="shared" si="8"/>
        <v/>
      </c>
      <c r="J563" s="201" t="str">
        <f>IFERROR(COUNTIF($C$23:C563,C563)&amp;CHOOSE(MIN(4,COUNTIF($C$23:C563,C563)),"st","nd","rd","th"),"")</f>
        <v/>
      </c>
    </row>
    <row r="564" spans="4:10" x14ac:dyDescent="0.25">
      <c r="D564" s="201" t="str">
        <f t="shared" si="8"/>
        <v/>
      </c>
      <c r="J564" s="201" t="str">
        <f>IFERROR(COUNTIF($C$23:C564,C564)&amp;CHOOSE(MIN(4,COUNTIF($C$23:C564,C564)),"st","nd","rd","th"),"")</f>
        <v/>
      </c>
    </row>
    <row r="565" spans="4:10" x14ac:dyDescent="0.25">
      <c r="D565" s="201" t="str">
        <f t="shared" si="8"/>
        <v/>
      </c>
      <c r="J565" s="201" t="str">
        <f>IFERROR(COUNTIF($C$23:C565,C565)&amp;CHOOSE(MIN(4,COUNTIF($C$23:C565,C565)),"st","nd","rd","th"),"")</f>
        <v/>
      </c>
    </row>
    <row r="566" spans="4:10" x14ac:dyDescent="0.25">
      <c r="D566" s="201" t="str">
        <f t="shared" si="8"/>
        <v/>
      </c>
      <c r="J566" s="201" t="str">
        <f>IFERROR(COUNTIF($C$23:C566,C566)&amp;CHOOSE(MIN(4,COUNTIF($C$23:C566,C566)),"st","nd","rd","th"),"")</f>
        <v/>
      </c>
    </row>
    <row r="567" spans="4:10" x14ac:dyDescent="0.25">
      <c r="D567" s="201" t="str">
        <f t="shared" si="8"/>
        <v/>
      </c>
      <c r="J567" s="201" t="str">
        <f>IFERROR(COUNTIF($C$23:C567,C567)&amp;CHOOSE(MIN(4,COUNTIF($C$23:C567,C567)),"st","nd","rd","th"),"")</f>
        <v/>
      </c>
    </row>
    <row r="568" spans="4:10" x14ac:dyDescent="0.25">
      <c r="D568" s="201" t="str">
        <f t="shared" si="8"/>
        <v/>
      </c>
      <c r="J568" s="201" t="str">
        <f>IFERROR(COUNTIF($C$23:C568,C568)&amp;CHOOSE(MIN(4,COUNTIF($C$23:C568,C568)),"st","nd","rd","th"),"")</f>
        <v/>
      </c>
    </row>
    <row r="569" spans="4:10" x14ac:dyDescent="0.25">
      <c r="D569" s="201" t="str">
        <f t="shared" si="8"/>
        <v/>
      </c>
      <c r="J569" s="201" t="str">
        <f>IFERROR(COUNTIF($C$23:C569,C569)&amp;CHOOSE(MIN(4,COUNTIF($C$23:C569,C569)),"st","nd","rd","th"),"")</f>
        <v/>
      </c>
    </row>
    <row r="570" spans="4:10" x14ac:dyDescent="0.25">
      <c r="D570" s="201" t="str">
        <f t="shared" si="8"/>
        <v/>
      </c>
      <c r="J570" s="201" t="str">
        <f>IFERROR(COUNTIF($C$23:C570,C570)&amp;CHOOSE(MIN(4,COUNTIF($C$23:C570,C570)),"st","nd","rd","th"),"")</f>
        <v/>
      </c>
    </row>
    <row r="571" spans="4:10" x14ac:dyDescent="0.25">
      <c r="D571" s="201" t="str">
        <f t="shared" si="8"/>
        <v/>
      </c>
      <c r="J571" s="201" t="str">
        <f>IFERROR(COUNTIF($C$23:C571,C571)&amp;CHOOSE(MIN(4,COUNTIF($C$23:C571,C571)),"st","nd","rd","th"),"")</f>
        <v/>
      </c>
    </row>
    <row r="572" spans="4:10" x14ac:dyDescent="0.25">
      <c r="D572" s="201" t="str">
        <f t="shared" si="8"/>
        <v/>
      </c>
      <c r="J572" s="201" t="str">
        <f>IFERROR(COUNTIF($C$23:C572,C572)&amp;CHOOSE(MIN(4,COUNTIF($C$23:C572,C572)),"st","nd","rd","th"),"")</f>
        <v/>
      </c>
    </row>
    <row r="573" spans="4:10" x14ac:dyDescent="0.25">
      <c r="D573" s="201" t="str">
        <f t="shared" si="8"/>
        <v/>
      </c>
      <c r="J573" s="201" t="str">
        <f>IFERROR(COUNTIF($C$23:C573,C573)&amp;CHOOSE(MIN(4,COUNTIF($C$23:C573,C573)),"st","nd","rd","th"),"")</f>
        <v/>
      </c>
    </row>
    <row r="574" spans="4:10" x14ac:dyDescent="0.25">
      <c r="D574" s="201" t="str">
        <f t="shared" si="8"/>
        <v/>
      </c>
      <c r="J574" s="201" t="str">
        <f>IFERROR(COUNTIF($C$23:C574,C574)&amp;CHOOSE(MIN(4,COUNTIF($C$23:C574,C574)),"st","nd","rd","th"),"")</f>
        <v/>
      </c>
    </row>
    <row r="575" spans="4:10" x14ac:dyDescent="0.25">
      <c r="D575" s="201" t="str">
        <f t="shared" si="8"/>
        <v/>
      </c>
      <c r="J575" s="201" t="str">
        <f>IFERROR(COUNTIF($C$23:C575,C575)&amp;CHOOSE(MIN(4,COUNTIF($C$23:C575,C575)),"st","nd","rd","th"),"")</f>
        <v/>
      </c>
    </row>
    <row r="576" spans="4:10" x14ac:dyDescent="0.25">
      <c r="D576" s="201" t="str">
        <f t="shared" si="8"/>
        <v/>
      </c>
      <c r="J576" s="201" t="str">
        <f>IFERROR(COUNTIF($C$23:C576,C576)&amp;CHOOSE(MIN(4,COUNTIF($C$23:C576,C576)),"st","nd","rd","th"),"")</f>
        <v/>
      </c>
    </row>
    <row r="577" spans="4:10" x14ac:dyDescent="0.25">
      <c r="D577" s="201" t="str">
        <f t="shared" si="8"/>
        <v/>
      </c>
      <c r="J577" s="201" t="str">
        <f>IFERROR(COUNTIF($C$23:C577,C577)&amp;CHOOSE(MIN(4,COUNTIF($C$23:C577,C577)),"st","nd","rd","th"),"")</f>
        <v/>
      </c>
    </row>
    <row r="578" spans="4:10" x14ac:dyDescent="0.25">
      <c r="D578" s="201" t="str">
        <f t="shared" si="8"/>
        <v/>
      </c>
      <c r="J578" s="201" t="str">
        <f>IFERROR(COUNTIF($C$23:C578,C578)&amp;CHOOSE(MIN(4,COUNTIF($C$23:C578,C578)),"st","nd","rd","th"),"")</f>
        <v/>
      </c>
    </row>
    <row r="579" spans="4:10" x14ac:dyDescent="0.25">
      <c r="D579" s="201" t="str">
        <f t="shared" si="8"/>
        <v/>
      </c>
      <c r="J579" s="201" t="str">
        <f>IFERROR(COUNTIF($C$23:C579,C579)&amp;CHOOSE(MIN(4,COUNTIF($C$23:C579,C579)),"st","nd","rd","th"),"")</f>
        <v/>
      </c>
    </row>
    <row r="580" spans="4:10" x14ac:dyDescent="0.25">
      <c r="D580" s="201" t="str">
        <f t="shared" si="8"/>
        <v/>
      </c>
      <c r="J580" s="201" t="str">
        <f>IFERROR(COUNTIF($C$23:C580,C580)&amp;CHOOSE(MIN(4,COUNTIF($C$23:C580,C580)),"st","nd","rd","th"),"")</f>
        <v/>
      </c>
    </row>
    <row r="581" spans="4:10" x14ac:dyDescent="0.25">
      <c r="D581" s="201" t="str">
        <f t="shared" si="8"/>
        <v/>
      </c>
      <c r="J581" s="201" t="str">
        <f>IFERROR(COUNTIF($C$23:C581,C581)&amp;CHOOSE(MIN(4,COUNTIF($C$23:C581,C581)),"st","nd","rd","th"),"")</f>
        <v/>
      </c>
    </row>
    <row r="582" spans="4:10" x14ac:dyDescent="0.25">
      <c r="D582" s="201" t="str">
        <f t="shared" si="8"/>
        <v/>
      </c>
      <c r="J582" s="201" t="str">
        <f>IFERROR(COUNTIF($C$23:C582,C582)&amp;CHOOSE(MIN(4,COUNTIF($C$23:C582,C582)),"st","nd","rd","th"),"")</f>
        <v/>
      </c>
    </row>
    <row r="583" spans="4:10" x14ac:dyDescent="0.25">
      <c r="D583" s="201" t="str">
        <f t="shared" si="8"/>
        <v/>
      </c>
      <c r="J583" s="201" t="str">
        <f>IFERROR(COUNTIF($C$23:C583,C583)&amp;CHOOSE(MIN(4,COUNTIF($C$23:C583,C583)),"st","nd","rd","th"),"")</f>
        <v/>
      </c>
    </row>
    <row r="584" spans="4:10" x14ac:dyDescent="0.25">
      <c r="D584" s="201" t="str">
        <f t="shared" si="8"/>
        <v/>
      </c>
      <c r="J584" s="201" t="str">
        <f>IFERROR(COUNTIF($C$23:C584,C584)&amp;CHOOSE(MIN(4,COUNTIF($C$23:C584,C584)),"st","nd","rd","th"),"")</f>
        <v/>
      </c>
    </row>
    <row r="585" spans="4:10" x14ac:dyDescent="0.25">
      <c r="D585" s="201" t="str">
        <f t="shared" si="8"/>
        <v/>
      </c>
      <c r="J585" s="201" t="str">
        <f>IFERROR(COUNTIF($C$23:C585,C585)&amp;CHOOSE(MIN(4,COUNTIF($C$23:C585,C585)),"st","nd","rd","th"),"")</f>
        <v/>
      </c>
    </row>
    <row r="586" spans="4:10" x14ac:dyDescent="0.25">
      <c r="D586" s="201" t="str">
        <f t="shared" si="8"/>
        <v/>
      </c>
      <c r="J586" s="201" t="str">
        <f>IFERROR(COUNTIF($C$23:C586,C586)&amp;CHOOSE(MIN(4,COUNTIF($C$23:C586,C586)),"st","nd","rd","th"),"")</f>
        <v/>
      </c>
    </row>
    <row r="587" spans="4:10" x14ac:dyDescent="0.25">
      <c r="D587" s="201" t="str">
        <f t="shared" si="8"/>
        <v/>
      </c>
      <c r="J587" s="201" t="str">
        <f>IFERROR(COUNTIF($C$23:C587,C587)&amp;CHOOSE(MIN(4,COUNTIF($C$23:C587,C587)),"st","nd","rd","th"),"")</f>
        <v/>
      </c>
    </row>
    <row r="588" spans="4:10" x14ac:dyDescent="0.25">
      <c r="D588" s="201" t="str">
        <f t="shared" si="8"/>
        <v/>
      </c>
      <c r="J588" s="201" t="str">
        <f>IFERROR(COUNTIF($C$23:C588,C588)&amp;CHOOSE(MIN(4,COUNTIF($C$23:C588,C588)),"st","nd","rd","th"),"")</f>
        <v/>
      </c>
    </row>
    <row r="589" spans="4:10" x14ac:dyDescent="0.25">
      <c r="D589" s="201" t="str">
        <f t="shared" si="8"/>
        <v/>
      </c>
      <c r="J589" s="201" t="str">
        <f>IFERROR(COUNTIF($C$23:C589,C589)&amp;CHOOSE(MIN(4,COUNTIF($C$23:C589,C589)),"st","nd","rd","th"),"")</f>
        <v/>
      </c>
    </row>
    <row r="590" spans="4:10" x14ac:dyDescent="0.25">
      <c r="D590" s="201" t="str">
        <f t="shared" si="8"/>
        <v/>
      </c>
      <c r="J590" s="201" t="str">
        <f>IFERROR(COUNTIF($C$23:C590,C590)&amp;CHOOSE(MIN(4,COUNTIF($C$23:C590,C590)),"st","nd","rd","th"),"")</f>
        <v/>
      </c>
    </row>
    <row r="591" spans="4:10" x14ac:dyDescent="0.25">
      <c r="D591" s="201" t="str">
        <f t="shared" si="8"/>
        <v/>
      </c>
      <c r="J591" s="201" t="str">
        <f>IFERROR(COUNTIF($C$23:C591,C591)&amp;CHOOSE(MIN(4,COUNTIF($C$23:C591,C591)),"st","nd","rd","th"),"")</f>
        <v/>
      </c>
    </row>
    <row r="592" spans="4:10" x14ac:dyDescent="0.25">
      <c r="D592" s="201" t="str">
        <f t="shared" si="8"/>
        <v/>
      </c>
      <c r="J592" s="201" t="str">
        <f>IFERROR(COUNTIF($C$23:C592,C592)&amp;CHOOSE(MIN(4,COUNTIF($C$23:C592,C592)),"st","nd","rd","th"),"")</f>
        <v/>
      </c>
    </row>
    <row r="593" spans="4:10" x14ac:dyDescent="0.25">
      <c r="D593" s="201" t="str">
        <f t="shared" si="8"/>
        <v/>
      </c>
      <c r="J593" s="201" t="str">
        <f>IFERROR(COUNTIF($C$23:C593,C593)&amp;CHOOSE(MIN(4,COUNTIF($C$23:C593,C593)),"st","nd","rd","th"),"")</f>
        <v/>
      </c>
    </row>
    <row r="594" spans="4:10" x14ac:dyDescent="0.25">
      <c r="D594" s="201" t="str">
        <f t="shared" si="8"/>
        <v/>
      </c>
      <c r="J594" s="201" t="str">
        <f>IFERROR(COUNTIF($C$23:C594,C594)&amp;CHOOSE(MIN(4,COUNTIF($C$23:C594,C594)),"st","nd","rd","th"),"")</f>
        <v/>
      </c>
    </row>
    <row r="595" spans="4:10" x14ac:dyDescent="0.25">
      <c r="D595" s="201" t="str">
        <f t="shared" si="8"/>
        <v/>
      </c>
      <c r="J595" s="201" t="str">
        <f>IFERROR(COUNTIF($C$23:C595,C595)&amp;CHOOSE(MIN(4,COUNTIF($C$23:C595,C595)),"st","nd","rd","th"),"")</f>
        <v/>
      </c>
    </row>
    <row r="596" spans="4:10" x14ac:dyDescent="0.25">
      <c r="D596" s="201" t="str">
        <f t="shared" si="8"/>
        <v/>
      </c>
      <c r="J596" s="201" t="str">
        <f>IFERROR(COUNTIF($C$23:C596,C596)&amp;CHOOSE(MIN(4,COUNTIF($C$23:C596,C596)),"st","nd","rd","th"),"")</f>
        <v/>
      </c>
    </row>
    <row r="597" spans="4:10" x14ac:dyDescent="0.25">
      <c r="D597" s="201" t="str">
        <f t="shared" si="8"/>
        <v/>
      </c>
      <c r="J597" s="201" t="str">
        <f>IFERROR(COUNTIF($C$23:C597,C597)&amp;CHOOSE(MIN(4,COUNTIF($C$23:C597,C597)),"st","nd","rd","th"),"")</f>
        <v/>
      </c>
    </row>
    <row r="598" spans="4:10" x14ac:dyDescent="0.25">
      <c r="D598" s="201" t="str">
        <f t="shared" si="8"/>
        <v/>
      </c>
      <c r="J598" s="201" t="str">
        <f>IFERROR(COUNTIF($C$23:C598,C598)&amp;CHOOSE(MIN(4,COUNTIF($C$23:C598,C598)),"st","nd","rd","th"),"")</f>
        <v/>
      </c>
    </row>
    <row r="599" spans="4:10" x14ac:dyDescent="0.25">
      <c r="D599" s="201" t="str">
        <f t="shared" ref="D599:D662" si="9">IF(B599="","",IF(B599="Province_PLGU","PDPFP","CLUP"))</f>
        <v/>
      </c>
      <c r="J599" s="201" t="str">
        <f>IFERROR(COUNTIF($C$23:C599,C599)&amp;CHOOSE(MIN(4,COUNTIF($C$23:C599,C599)),"st","nd","rd","th"),"")</f>
        <v/>
      </c>
    </row>
    <row r="600" spans="4:10" x14ac:dyDescent="0.25">
      <c r="D600" s="201" t="str">
        <f t="shared" si="9"/>
        <v/>
      </c>
      <c r="J600" s="201" t="str">
        <f>IFERROR(COUNTIF($C$23:C600,C600)&amp;CHOOSE(MIN(4,COUNTIF($C$23:C600,C600)),"st","nd","rd","th"),"")</f>
        <v/>
      </c>
    </row>
    <row r="601" spans="4:10" x14ac:dyDescent="0.25">
      <c r="D601" s="201" t="str">
        <f t="shared" si="9"/>
        <v/>
      </c>
      <c r="J601" s="201" t="str">
        <f>IFERROR(COUNTIF($C$23:C601,C601)&amp;CHOOSE(MIN(4,COUNTIF($C$23:C601,C601)),"st","nd","rd","th"),"")</f>
        <v/>
      </c>
    </row>
    <row r="602" spans="4:10" x14ac:dyDescent="0.25">
      <c r="D602" s="201" t="str">
        <f t="shared" si="9"/>
        <v/>
      </c>
      <c r="J602" s="201" t="str">
        <f>IFERROR(COUNTIF($C$23:C602,C602)&amp;CHOOSE(MIN(4,COUNTIF($C$23:C602,C602)),"st","nd","rd","th"),"")</f>
        <v/>
      </c>
    </row>
    <row r="603" spans="4:10" x14ac:dyDescent="0.25">
      <c r="D603" s="201" t="str">
        <f t="shared" si="9"/>
        <v/>
      </c>
      <c r="J603" s="201" t="str">
        <f>IFERROR(COUNTIF($C$23:C603,C603)&amp;CHOOSE(MIN(4,COUNTIF($C$23:C603,C603)),"st","nd","rd","th"),"")</f>
        <v/>
      </c>
    </row>
    <row r="604" spans="4:10" x14ac:dyDescent="0.25">
      <c r="D604" s="201" t="str">
        <f t="shared" si="9"/>
        <v/>
      </c>
      <c r="J604" s="201" t="str">
        <f>IFERROR(COUNTIF($C$23:C604,C604)&amp;CHOOSE(MIN(4,COUNTIF($C$23:C604,C604)),"st","nd","rd","th"),"")</f>
        <v/>
      </c>
    </row>
    <row r="605" spans="4:10" x14ac:dyDescent="0.25">
      <c r="D605" s="201" t="str">
        <f t="shared" si="9"/>
        <v/>
      </c>
      <c r="J605" s="201" t="str">
        <f>IFERROR(COUNTIF($C$23:C605,C605)&amp;CHOOSE(MIN(4,COUNTIF($C$23:C605,C605)),"st","nd","rd","th"),"")</f>
        <v/>
      </c>
    </row>
    <row r="606" spans="4:10" x14ac:dyDescent="0.25">
      <c r="D606" s="201" t="str">
        <f t="shared" si="9"/>
        <v/>
      </c>
      <c r="J606" s="201" t="str">
        <f>IFERROR(COUNTIF($C$23:C606,C606)&amp;CHOOSE(MIN(4,COUNTIF($C$23:C606,C606)),"st","nd","rd","th"),"")</f>
        <v/>
      </c>
    </row>
    <row r="607" spans="4:10" x14ac:dyDescent="0.25">
      <c r="D607" s="201" t="str">
        <f t="shared" si="9"/>
        <v/>
      </c>
      <c r="J607" s="201" t="str">
        <f>IFERROR(COUNTIF($C$23:C607,C607)&amp;CHOOSE(MIN(4,COUNTIF($C$23:C607,C607)),"st","nd","rd","th"),"")</f>
        <v/>
      </c>
    </row>
    <row r="608" spans="4:10" x14ac:dyDescent="0.25">
      <c r="D608" s="201" t="str">
        <f t="shared" si="9"/>
        <v/>
      </c>
      <c r="J608" s="201" t="str">
        <f>IFERROR(COUNTIF($C$23:C608,C608)&amp;CHOOSE(MIN(4,COUNTIF($C$23:C608,C608)),"st","nd","rd","th"),"")</f>
        <v/>
      </c>
    </row>
    <row r="609" spans="4:10" x14ac:dyDescent="0.25">
      <c r="D609" s="201" t="str">
        <f t="shared" si="9"/>
        <v/>
      </c>
      <c r="J609" s="201" t="str">
        <f>IFERROR(COUNTIF($C$23:C609,C609)&amp;CHOOSE(MIN(4,COUNTIF($C$23:C609,C609)),"st","nd","rd","th"),"")</f>
        <v/>
      </c>
    </row>
    <row r="610" spans="4:10" x14ac:dyDescent="0.25">
      <c r="D610" s="201" t="str">
        <f t="shared" si="9"/>
        <v/>
      </c>
      <c r="J610" s="201" t="str">
        <f>IFERROR(COUNTIF($C$23:C610,C610)&amp;CHOOSE(MIN(4,COUNTIF($C$23:C610,C610)),"st","nd","rd","th"),"")</f>
        <v/>
      </c>
    </row>
    <row r="611" spans="4:10" x14ac:dyDescent="0.25">
      <c r="D611" s="201" t="str">
        <f t="shared" si="9"/>
        <v/>
      </c>
      <c r="J611" s="201" t="str">
        <f>IFERROR(COUNTIF($C$23:C611,C611)&amp;CHOOSE(MIN(4,COUNTIF($C$23:C611,C611)),"st","nd","rd","th"),"")</f>
        <v/>
      </c>
    </row>
    <row r="612" spans="4:10" x14ac:dyDescent="0.25">
      <c r="D612" s="201" t="str">
        <f t="shared" si="9"/>
        <v/>
      </c>
      <c r="J612" s="201" t="str">
        <f>IFERROR(COUNTIF($C$23:C612,C612)&amp;CHOOSE(MIN(4,COUNTIF($C$23:C612,C612)),"st","nd","rd","th"),"")</f>
        <v/>
      </c>
    </row>
    <row r="613" spans="4:10" x14ac:dyDescent="0.25">
      <c r="D613" s="201" t="str">
        <f t="shared" si="9"/>
        <v/>
      </c>
      <c r="J613" s="201" t="str">
        <f>IFERROR(COUNTIF($C$23:C613,C613)&amp;CHOOSE(MIN(4,COUNTIF($C$23:C613,C613)),"st","nd","rd","th"),"")</f>
        <v/>
      </c>
    </row>
    <row r="614" spans="4:10" x14ac:dyDescent="0.25">
      <c r="D614" s="201" t="str">
        <f t="shared" si="9"/>
        <v/>
      </c>
      <c r="J614" s="201" t="str">
        <f>IFERROR(COUNTIF($C$23:C614,C614)&amp;CHOOSE(MIN(4,COUNTIF($C$23:C614,C614)),"st","nd","rd","th"),"")</f>
        <v/>
      </c>
    </row>
    <row r="615" spans="4:10" x14ac:dyDescent="0.25">
      <c r="D615" s="201" t="str">
        <f t="shared" si="9"/>
        <v/>
      </c>
      <c r="J615" s="201" t="str">
        <f>IFERROR(COUNTIF($C$23:C615,C615)&amp;CHOOSE(MIN(4,COUNTIF($C$23:C615,C615)),"st","nd","rd","th"),"")</f>
        <v/>
      </c>
    </row>
    <row r="616" spans="4:10" x14ac:dyDescent="0.25">
      <c r="D616" s="201" t="str">
        <f t="shared" si="9"/>
        <v/>
      </c>
      <c r="J616" s="201" t="str">
        <f>IFERROR(COUNTIF($C$23:C616,C616)&amp;CHOOSE(MIN(4,COUNTIF($C$23:C616,C616)),"st","nd","rd","th"),"")</f>
        <v/>
      </c>
    </row>
    <row r="617" spans="4:10" x14ac:dyDescent="0.25">
      <c r="D617" s="201" t="str">
        <f t="shared" si="9"/>
        <v/>
      </c>
      <c r="J617" s="201" t="str">
        <f>IFERROR(COUNTIF($C$23:C617,C617)&amp;CHOOSE(MIN(4,COUNTIF($C$23:C617,C617)),"st","nd","rd","th"),"")</f>
        <v/>
      </c>
    </row>
    <row r="618" spans="4:10" x14ac:dyDescent="0.25">
      <c r="D618" s="201" t="str">
        <f t="shared" si="9"/>
        <v/>
      </c>
      <c r="J618" s="201" t="str">
        <f>IFERROR(COUNTIF($C$23:C618,C618)&amp;CHOOSE(MIN(4,COUNTIF($C$23:C618,C618)),"st","nd","rd","th"),"")</f>
        <v/>
      </c>
    </row>
    <row r="619" spans="4:10" x14ac:dyDescent="0.25">
      <c r="D619" s="201" t="str">
        <f t="shared" si="9"/>
        <v/>
      </c>
      <c r="J619" s="201" t="str">
        <f>IFERROR(COUNTIF($C$23:C619,C619)&amp;CHOOSE(MIN(4,COUNTIF($C$23:C619,C619)),"st","nd","rd","th"),"")</f>
        <v/>
      </c>
    </row>
    <row r="620" spans="4:10" x14ac:dyDescent="0.25">
      <c r="D620" s="201" t="str">
        <f t="shared" si="9"/>
        <v/>
      </c>
      <c r="J620" s="201" t="str">
        <f>IFERROR(COUNTIF($C$23:C620,C620)&amp;CHOOSE(MIN(4,COUNTIF($C$23:C620,C620)),"st","nd","rd","th"),"")</f>
        <v/>
      </c>
    </row>
    <row r="621" spans="4:10" x14ac:dyDescent="0.25">
      <c r="D621" s="201" t="str">
        <f t="shared" si="9"/>
        <v/>
      </c>
      <c r="J621" s="201" t="str">
        <f>IFERROR(COUNTIF($C$23:C621,C621)&amp;CHOOSE(MIN(4,COUNTIF($C$23:C621,C621)),"st","nd","rd","th"),"")</f>
        <v/>
      </c>
    </row>
    <row r="622" spans="4:10" x14ac:dyDescent="0.25">
      <c r="D622" s="201" t="str">
        <f t="shared" si="9"/>
        <v/>
      </c>
      <c r="J622" s="201" t="str">
        <f>IFERROR(COUNTIF($C$23:C622,C622)&amp;CHOOSE(MIN(4,COUNTIF($C$23:C622,C622)),"st","nd","rd","th"),"")</f>
        <v/>
      </c>
    </row>
    <row r="623" spans="4:10" x14ac:dyDescent="0.25">
      <c r="D623" s="201" t="str">
        <f t="shared" si="9"/>
        <v/>
      </c>
      <c r="J623" s="201" t="str">
        <f>IFERROR(COUNTIF($C$23:C623,C623)&amp;CHOOSE(MIN(4,COUNTIF($C$23:C623,C623)),"st","nd","rd","th"),"")</f>
        <v/>
      </c>
    </row>
    <row r="624" spans="4:10" x14ac:dyDescent="0.25">
      <c r="D624" s="201" t="str">
        <f t="shared" si="9"/>
        <v/>
      </c>
      <c r="J624" s="201" t="str">
        <f>IFERROR(COUNTIF($C$23:C624,C624)&amp;CHOOSE(MIN(4,COUNTIF($C$23:C624,C624)),"st","nd","rd","th"),"")</f>
        <v/>
      </c>
    </row>
    <row r="625" spans="4:10" x14ac:dyDescent="0.25">
      <c r="D625" s="201" t="str">
        <f t="shared" si="9"/>
        <v/>
      </c>
      <c r="J625" s="201" t="str">
        <f>IFERROR(COUNTIF($C$23:C625,C625)&amp;CHOOSE(MIN(4,COUNTIF($C$23:C625,C625)),"st","nd","rd","th"),"")</f>
        <v/>
      </c>
    </row>
    <row r="626" spans="4:10" x14ac:dyDescent="0.25">
      <c r="D626" s="201" t="str">
        <f t="shared" si="9"/>
        <v/>
      </c>
      <c r="J626" s="201" t="str">
        <f>IFERROR(COUNTIF($C$23:C626,C626)&amp;CHOOSE(MIN(4,COUNTIF($C$23:C626,C626)),"st","nd","rd","th"),"")</f>
        <v/>
      </c>
    </row>
    <row r="627" spans="4:10" x14ac:dyDescent="0.25">
      <c r="D627" s="201" t="str">
        <f t="shared" si="9"/>
        <v/>
      </c>
      <c r="J627" s="201" t="str">
        <f>IFERROR(COUNTIF($C$23:C627,C627)&amp;CHOOSE(MIN(4,COUNTIF($C$23:C627,C627)),"st","nd","rd","th"),"")</f>
        <v/>
      </c>
    </row>
    <row r="628" spans="4:10" x14ac:dyDescent="0.25">
      <c r="D628" s="201" t="str">
        <f t="shared" si="9"/>
        <v/>
      </c>
      <c r="J628" s="201" t="str">
        <f>IFERROR(COUNTIF($C$23:C628,C628)&amp;CHOOSE(MIN(4,COUNTIF($C$23:C628,C628)),"st","nd","rd","th"),"")</f>
        <v/>
      </c>
    </row>
    <row r="629" spans="4:10" x14ac:dyDescent="0.25">
      <c r="D629" s="201" t="str">
        <f t="shared" si="9"/>
        <v/>
      </c>
      <c r="J629" s="201" t="str">
        <f>IFERROR(COUNTIF($C$23:C629,C629)&amp;CHOOSE(MIN(4,COUNTIF($C$23:C629,C629)),"st","nd","rd","th"),"")</f>
        <v/>
      </c>
    </row>
    <row r="630" spans="4:10" x14ac:dyDescent="0.25">
      <c r="D630" s="201" t="str">
        <f t="shared" si="9"/>
        <v/>
      </c>
      <c r="J630" s="201" t="str">
        <f>IFERROR(COUNTIF($C$23:C630,C630)&amp;CHOOSE(MIN(4,COUNTIF($C$23:C630,C630)),"st","nd","rd","th"),"")</f>
        <v/>
      </c>
    </row>
    <row r="631" spans="4:10" x14ac:dyDescent="0.25">
      <c r="D631" s="201" t="str">
        <f t="shared" si="9"/>
        <v/>
      </c>
      <c r="J631" s="201" t="str">
        <f>IFERROR(COUNTIF($C$23:C631,C631)&amp;CHOOSE(MIN(4,COUNTIF($C$23:C631,C631)),"st","nd","rd","th"),"")</f>
        <v/>
      </c>
    </row>
    <row r="632" spans="4:10" x14ac:dyDescent="0.25">
      <c r="D632" s="201" t="str">
        <f t="shared" si="9"/>
        <v/>
      </c>
      <c r="J632" s="201" t="str">
        <f>IFERROR(COUNTIF($C$23:C632,C632)&amp;CHOOSE(MIN(4,COUNTIF($C$23:C632,C632)),"st","nd","rd","th"),"")</f>
        <v/>
      </c>
    </row>
    <row r="633" spans="4:10" x14ac:dyDescent="0.25">
      <c r="D633" s="201" t="str">
        <f t="shared" si="9"/>
        <v/>
      </c>
      <c r="J633" s="201" t="str">
        <f>IFERROR(COUNTIF($C$23:C633,C633)&amp;CHOOSE(MIN(4,COUNTIF($C$23:C633,C633)),"st","nd","rd","th"),"")</f>
        <v/>
      </c>
    </row>
    <row r="634" spans="4:10" x14ac:dyDescent="0.25">
      <c r="D634" s="201" t="str">
        <f t="shared" si="9"/>
        <v/>
      </c>
      <c r="J634" s="201" t="str">
        <f>IFERROR(COUNTIF($C$23:C634,C634)&amp;CHOOSE(MIN(4,COUNTIF($C$23:C634,C634)),"st","nd","rd","th"),"")</f>
        <v/>
      </c>
    </row>
    <row r="635" spans="4:10" x14ac:dyDescent="0.25">
      <c r="D635" s="201" t="str">
        <f t="shared" si="9"/>
        <v/>
      </c>
      <c r="J635" s="201" t="str">
        <f>IFERROR(COUNTIF($C$23:C635,C635)&amp;CHOOSE(MIN(4,COUNTIF($C$23:C635,C635)),"st","nd","rd","th"),"")</f>
        <v/>
      </c>
    </row>
    <row r="636" spans="4:10" x14ac:dyDescent="0.25">
      <c r="D636" s="201" t="str">
        <f t="shared" si="9"/>
        <v/>
      </c>
      <c r="J636" s="201" t="str">
        <f>IFERROR(COUNTIF($C$23:C636,C636)&amp;CHOOSE(MIN(4,COUNTIF($C$23:C636,C636)),"st","nd","rd","th"),"")</f>
        <v/>
      </c>
    </row>
    <row r="637" spans="4:10" x14ac:dyDescent="0.25">
      <c r="D637" s="201" t="str">
        <f t="shared" si="9"/>
        <v/>
      </c>
      <c r="J637" s="201" t="str">
        <f>IFERROR(COUNTIF($C$23:C637,C637)&amp;CHOOSE(MIN(4,COUNTIF($C$23:C637,C637)),"st","nd","rd","th"),"")</f>
        <v/>
      </c>
    </row>
    <row r="638" spans="4:10" x14ac:dyDescent="0.25">
      <c r="D638" s="201" t="str">
        <f t="shared" si="9"/>
        <v/>
      </c>
      <c r="J638" s="201" t="str">
        <f>IFERROR(COUNTIF($C$23:C638,C638)&amp;CHOOSE(MIN(4,COUNTIF($C$23:C638,C638)),"st","nd","rd","th"),"")</f>
        <v/>
      </c>
    </row>
    <row r="639" spans="4:10" x14ac:dyDescent="0.25">
      <c r="D639" s="201" t="str">
        <f t="shared" si="9"/>
        <v/>
      </c>
      <c r="J639" s="201" t="str">
        <f>IFERROR(COUNTIF($C$23:C639,C639)&amp;CHOOSE(MIN(4,COUNTIF($C$23:C639,C639)),"st","nd","rd","th"),"")</f>
        <v/>
      </c>
    </row>
    <row r="640" spans="4:10" x14ac:dyDescent="0.25">
      <c r="D640" s="201" t="str">
        <f t="shared" si="9"/>
        <v/>
      </c>
      <c r="J640" s="201" t="str">
        <f>IFERROR(COUNTIF($C$23:C640,C640)&amp;CHOOSE(MIN(4,COUNTIF($C$23:C640,C640)),"st","nd","rd","th"),"")</f>
        <v/>
      </c>
    </row>
    <row r="641" spans="4:10" x14ac:dyDescent="0.25">
      <c r="D641" s="201" t="str">
        <f t="shared" si="9"/>
        <v/>
      </c>
      <c r="J641" s="201" t="str">
        <f>IFERROR(COUNTIF($C$23:C641,C641)&amp;CHOOSE(MIN(4,COUNTIF($C$23:C641,C641)),"st","nd","rd","th"),"")</f>
        <v/>
      </c>
    </row>
    <row r="642" spans="4:10" x14ac:dyDescent="0.25">
      <c r="D642" s="201" t="str">
        <f t="shared" si="9"/>
        <v/>
      </c>
      <c r="J642" s="201" t="str">
        <f>IFERROR(COUNTIF($C$23:C642,C642)&amp;CHOOSE(MIN(4,COUNTIF($C$23:C642,C642)),"st","nd","rd","th"),"")</f>
        <v/>
      </c>
    </row>
    <row r="643" spans="4:10" x14ac:dyDescent="0.25">
      <c r="D643" s="201" t="str">
        <f t="shared" si="9"/>
        <v/>
      </c>
      <c r="J643" s="201" t="str">
        <f>IFERROR(COUNTIF($C$23:C643,C643)&amp;CHOOSE(MIN(4,COUNTIF($C$23:C643,C643)),"st","nd","rd","th"),"")</f>
        <v/>
      </c>
    </row>
    <row r="644" spans="4:10" x14ac:dyDescent="0.25">
      <c r="D644" s="201" t="str">
        <f t="shared" si="9"/>
        <v/>
      </c>
      <c r="J644" s="201" t="str">
        <f>IFERROR(COUNTIF($C$23:C644,C644)&amp;CHOOSE(MIN(4,COUNTIF($C$23:C644,C644)),"st","nd","rd","th"),"")</f>
        <v/>
      </c>
    </row>
    <row r="645" spans="4:10" x14ac:dyDescent="0.25">
      <c r="D645" s="201" t="str">
        <f t="shared" si="9"/>
        <v/>
      </c>
      <c r="J645" s="201" t="str">
        <f>IFERROR(COUNTIF($C$23:C645,C645)&amp;CHOOSE(MIN(4,COUNTIF($C$23:C645,C645)),"st","nd","rd","th"),"")</f>
        <v/>
      </c>
    </row>
    <row r="646" spans="4:10" x14ac:dyDescent="0.25">
      <c r="D646" s="201" t="str">
        <f t="shared" si="9"/>
        <v/>
      </c>
      <c r="J646" s="201" t="str">
        <f>IFERROR(COUNTIF($C$23:C646,C646)&amp;CHOOSE(MIN(4,COUNTIF($C$23:C646,C646)),"st","nd","rd","th"),"")</f>
        <v/>
      </c>
    </row>
    <row r="647" spans="4:10" x14ac:dyDescent="0.25">
      <c r="D647" s="201" t="str">
        <f t="shared" si="9"/>
        <v/>
      </c>
      <c r="J647" s="201" t="str">
        <f>IFERROR(COUNTIF($C$23:C647,C647)&amp;CHOOSE(MIN(4,COUNTIF($C$23:C647,C647)),"st","nd","rd","th"),"")</f>
        <v/>
      </c>
    </row>
    <row r="648" spans="4:10" x14ac:dyDescent="0.25">
      <c r="D648" s="201" t="str">
        <f t="shared" si="9"/>
        <v/>
      </c>
      <c r="J648" s="201" t="str">
        <f>IFERROR(COUNTIF($C$23:C648,C648)&amp;CHOOSE(MIN(4,COUNTIF($C$23:C648,C648)),"st","nd","rd","th"),"")</f>
        <v/>
      </c>
    </row>
    <row r="649" spans="4:10" x14ac:dyDescent="0.25">
      <c r="D649" s="201" t="str">
        <f t="shared" si="9"/>
        <v/>
      </c>
      <c r="J649" s="201" t="str">
        <f>IFERROR(COUNTIF($C$23:C649,C649)&amp;CHOOSE(MIN(4,COUNTIF($C$23:C649,C649)),"st","nd","rd","th"),"")</f>
        <v/>
      </c>
    </row>
    <row r="650" spans="4:10" x14ac:dyDescent="0.25">
      <c r="D650" s="201" t="str">
        <f t="shared" si="9"/>
        <v/>
      </c>
      <c r="J650" s="201" t="str">
        <f>IFERROR(COUNTIF($C$23:C650,C650)&amp;CHOOSE(MIN(4,COUNTIF($C$23:C650,C650)),"st","nd","rd","th"),"")</f>
        <v/>
      </c>
    </row>
    <row r="651" spans="4:10" x14ac:dyDescent="0.25">
      <c r="D651" s="201" t="str">
        <f t="shared" si="9"/>
        <v/>
      </c>
      <c r="J651" s="201" t="str">
        <f>IFERROR(COUNTIF($C$23:C651,C651)&amp;CHOOSE(MIN(4,COUNTIF($C$23:C651,C651)),"st","nd","rd","th"),"")</f>
        <v/>
      </c>
    </row>
    <row r="652" spans="4:10" x14ac:dyDescent="0.25">
      <c r="D652" s="201" t="str">
        <f t="shared" si="9"/>
        <v/>
      </c>
      <c r="J652" s="201" t="str">
        <f>IFERROR(COUNTIF($C$23:C652,C652)&amp;CHOOSE(MIN(4,COUNTIF($C$23:C652,C652)),"st","nd","rd","th"),"")</f>
        <v/>
      </c>
    </row>
    <row r="653" spans="4:10" x14ac:dyDescent="0.25">
      <c r="D653" s="201" t="str">
        <f t="shared" si="9"/>
        <v/>
      </c>
      <c r="J653" s="201" t="str">
        <f>IFERROR(COUNTIF($C$23:C653,C653)&amp;CHOOSE(MIN(4,COUNTIF($C$23:C653,C653)),"st","nd","rd","th"),"")</f>
        <v/>
      </c>
    </row>
    <row r="654" spans="4:10" x14ac:dyDescent="0.25">
      <c r="D654" s="201" t="str">
        <f t="shared" si="9"/>
        <v/>
      </c>
      <c r="J654" s="201" t="str">
        <f>IFERROR(COUNTIF($C$23:C654,C654)&amp;CHOOSE(MIN(4,COUNTIF($C$23:C654,C654)),"st","nd","rd","th"),"")</f>
        <v/>
      </c>
    </row>
    <row r="655" spans="4:10" x14ac:dyDescent="0.25">
      <c r="D655" s="201" t="str">
        <f t="shared" si="9"/>
        <v/>
      </c>
      <c r="J655" s="201" t="str">
        <f>IFERROR(COUNTIF($C$23:C655,C655)&amp;CHOOSE(MIN(4,COUNTIF($C$23:C655,C655)),"st","nd","rd","th"),"")</f>
        <v/>
      </c>
    </row>
    <row r="656" spans="4:10" x14ac:dyDescent="0.25">
      <c r="D656" s="201" t="str">
        <f t="shared" si="9"/>
        <v/>
      </c>
      <c r="J656" s="201" t="str">
        <f>IFERROR(COUNTIF($C$23:C656,C656)&amp;CHOOSE(MIN(4,COUNTIF($C$23:C656,C656)),"st","nd","rd","th"),"")</f>
        <v/>
      </c>
    </row>
    <row r="657" spans="4:10" x14ac:dyDescent="0.25">
      <c r="D657" s="201" t="str">
        <f t="shared" si="9"/>
        <v/>
      </c>
      <c r="J657" s="201" t="str">
        <f>IFERROR(COUNTIF($C$23:C657,C657)&amp;CHOOSE(MIN(4,COUNTIF($C$23:C657,C657)),"st","nd","rd","th"),"")</f>
        <v/>
      </c>
    </row>
    <row r="658" spans="4:10" x14ac:dyDescent="0.25">
      <c r="D658" s="201" t="str">
        <f t="shared" si="9"/>
        <v/>
      </c>
      <c r="J658" s="201" t="str">
        <f>IFERROR(COUNTIF($C$23:C658,C658)&amp;CHOOSE(MIN(4,COUNTIF($C$23:C658,C658)),"st","nd","rd","th"),"")</f>
        <v/>
      </c>
    </row>
    <row r="659" spans="4:10" x14ac:dyDescent="0.25">
      <c r="D659" s="201" t="str">
        <f t="shared" si="9"/>
        <v/>
      </c>
      <c r="J659" s="201" t="str">
        <f>IFERROR(COUNTIF($C$23:C659,C659)&amp;CHOOSE(MIN(4,COUNTIF($C$23:C659,C659)),"st","nd","rd","th"),"")</f>
        <v/>
      </c>
    </row>
    <row r="660" spans="4:10" x14ac:dyDescent="0.25">
      <c r="D660" s="201" t="str">
        <f t="shared" si="9"/>
        <v/>
      </c>
      <c r="J660" s="201" t="str">
        <f>IFERROR(COUNTIF($C$23:C660,C660)&amp;CHOOSE(MIN(4,COUNTIF($C$23:C660,C660)),"st","nd","rd","th"),"")</f>
        <v/>
      </c>
    </row>
    <row r="661" spans="4:10" x14ac:dyDescent="0.25">
      <c r="D661" s="201" t="str">
        <f t="shared" si="9"/>
        <v/>
      </c>
      <c r="J661" s="201" t="str">
        <f>IFERROR(COUNTIF($C$23:C661,C661)&amp;CHOOSE(MIN(4,COUNTIF($C$23:C661,C661)),"st","nd","rd","th"),"")</f>
        <v/>
      </c>
    </row>
    <row r="662" spans="4:10" x14ac:dyDescent="0.25">
      <c r="D662" s="201" t="str">
        <f t="shared" si="9"/>
        <v/>
      </c>
      <c r="J662" s="201" t="str">
        <f>IFERROR(COUNTIF($C$23:C662,C662)&amp;CHOOSE(MIN(4,COUNTIF($C$23:C662,C662)),"st","nd","rd","th"),"")</f>
        <v/>
      </c>
    </row>
    <row r="663" spans="4:10" x14ac:dyDescent="0.25">
      <c r="D663" s="201" t="str">
        <f t="shared" ref="D663:D726" si="10">IF(B663="","",IF(B663="Province_PLGU","PDPFP","CLUP"))</f>
        <v/>
      </c>
      <c r="J663" s="201" t="str">
        <f>IFERROR(COUNTIF($C$23:C663,C663)&amp;CHOOSE(MIN(4,COUNTIF($C$23:C663,C663)),"st","nd","rd","th"),"")</f>
        <v/>
      </c>
    </row>
    <row r="664" spans="4:10" x14ac:dyDescent="0.25">
      <c r="D664" s="201" t="str">
        <f t="shared" si="10"/>
        <v/>
      </c>
      <c r="J664" s="201" t="str">
        <f>IFERROR(COUNTIF($C$23:C664,C664)&amp;CHOOSE(MIN(4,COUNTIF($C$23:C664,C664)),"st","nd","rd","th"),"")</f>
        <v/>
      </c>
    </row>
    <row r="665" spans="4:10" x14ac:dyDescent="0.25">
      <c r="D665" s="201" t="str">
        <f t="shared" si="10"/>
        <v/>
      </c>
      <c r="J665" s="201" t="str">
        <f>IFERROR(COUNTIF($C$23:C665,C665)&amp;CHOOSE(MIN(4,COUNTIF($C$23:C665,C665)),"st","nd","rd","th"),"")</f>
        <v/>
      </c>
    </row>
    <row r="666" spans="4:10" x14ac:dyDescent="0.25">
      <c r="D666" s="201" t="str">
        <f t="shared" si="10"/>
        <v/>
      </c>
      <c r="J666" s="201" t="str">
        <f>IFERROR(COUNTIF($C$23:C666,C666)&amp;CHOOSE(MIN(4,COUNTIF($C$23:C666,C666)),"st","nd","rd","th"),"")</f>
        <v/>
      </c>
    </row>
    <row r="667" spans="4:10" x14ac:dyDescent="0.25">
      <c r="D667" s="201" t="str">
        <f t="shared" si="10"/>
        <v/>
      </c>
      <c r="J667" s="201" t="str">
        <f>IFERROR(COUNTIF($C$23:C667,C667)&amp;CHOOSE(MIN(4,COUNTIF($C$23:C667,C667)),"st","nd","rd","th"),"")</f>
        <v/>
      </c>
    </row>
    <row r="668" spans="4:10" x14ac:dyDescent="0.25">
      <c r="D668" s="201" t="str">
        <f t="shared" si="10"/>
        <v/>
      </c>
      <c r="J668" s="201" t="str">
        <f>IFERROR(COUNTIF($C$23:C668,C668)&amp;CHOOSE(MIN(4,COUNTIF($C$23:C668,C668)),"st","nd","rd","th"),"")</f>
        <v/>
      </c>
    </row>
    <row r="669" spans="4:10" x14ac:dyDescent="0.25">
      <c r="D669" s="201" t="str">
        <f t="shared" si="10"/>
        <v/>
      </c>
      <c r="J669" s="201" t="str">
        <f>IFERROR(COUNTIF($C$23:C669,C669)&amp;CHOOSE(MIN(4,COUNTIF($C$23:C669,C669)),"st","nd","rd","th"),"")</f>
        <v/>
      </c>
    </row>
    <row r="670" spans="4:10" x14ac:dyDescent="0.25">
      <c r="D670" s="201" t="str">
        <f t="shared" si="10"/>
        <v/>
      </c>
      <c r="J670" s="201" t="str">
        <f>IFERROR(COUNTIF($C$23:C670,C670)&amp;CHOOSE(MIN(4,COUNTIF($C$23:C670,C670)),"st","nd","rd","th"),"")</f>
        <v/>
      </c>
    </row>
    <row r="671" spans="4:10" x14ac:dyDescent="0.25">
      <c r="D671" s="201" t="str">
        <f t="shared" si="10"/>
        <v/>
      </c>
      <c r="J671" s="201" t="str">
        <f>IFERROR(COUNTIF($C$23:C671,C671)&amp;CHOOSE(MIN(4,COUNTIF($C$23:C671,C671)),"st","nd","rd","th"),"")</f>
        <v/>
      </c>
    </row>
    <row r="672" spans="4:10" x14ac:dyDescent="0.25">
      <c r="D672" s="201" t="str">
        <f t="shared" si="10"/>
        <v/>
      </c>
      <c r="J672" s="201" t="str">
        <f>IFERROR(COUNTIF($C$23:C672,C672)&amp;CHOOSE(MIN(4,COUNTIF($C$23:C672,C672)),"st","nd","rd","th"),"")</f>
        <v/>
      </c>
    </row>
    <row r="673" spans="4:10" x14ac:dyDescent="0.25">
      <c r="D673" s="201" t="str">
        <f t="shared" si="10"/>
        <v/>
      </c>
      <c r="J673" s="201" t="str">
        <f>IFERROR(COUNTIF($C$23:C673,C673)&amp;CHOOSE(MIN(4,COUNTIF($C$23:C673,C673)),"st","nd","rd","th"),"")</f>
        <v/>
      </c>
    </row>
    <row r="674" spans="4:10" x14ac:dyDescent="0.25">
      <c r="D674" s="201" t="str">
        <f t="shared" si="10"/>
        <v/>
      </c>
      <c r="J674" s="201" t="str">
        <f>IFERROR(COUNTIF($C$23:C674,C674)&amp;CHOOSE(MIN(4,COUNTIF($C$23:C674,C674)),"st","nd","rd","th"),"")</f>
        <v/>
      </c>
    </row>
    <row r="675" spans="4:10" x14ac:dyDescent="0.25">
      <c r="D675" s="201" t="str">
        <f t="shared" si="10"/>
        <v/>
      </c>
      <c r="J675" s="201" t="str">
        <f>IFERROR(COUNTIF($C$23:C675,C675)&amp;CHOOSE(MIN(4,COUNTIF($C$23:C675,C675)),"st","nd","rd","th"),"")</f>
        <v/>
      </c>
    </row>
    <row r="676" spans="4:10" x14ac:dyDescent="0.25">
      <c r="D676" s="201" t="str">
        <f t="shared" si="10"/>
        <v/>
      </c>
      <c r="J676" s="201" t="str">
        <f>IFERROR(COUNTIF($C$23:C676,C676)&amp;CHOOSE(MIN(4,COUNTIF($C$23:C676,C676)),"st","nd","rd","th"),"")</f>
        <v/>
      </c>
    </row>
    <row r="677" spans="4:10" x14ac:dyDescent="0.25">
      <c r="D677" s="201" t="str">
        <f t="shared" si="10"/>
        <v/>
      </c>
      <c r="J677" s="201" t="str">
        <f>IFERROR(COUNTIF($C$23:C677,C677)&amp;CHOOSE(MIN(4,COUNTIF($C$23:C677,C677)),"st","nd","rd","th"),"")</f>
        <v/>
      </c>
    </row>
    <row r="678" spans="4:10" x14ac:dyDescent="0.25">
      <c r="D678" s="201" t="str">
        <f t="shared" si="10"/>
        <v/>
      </c>
      <c r="J678" s="201" t="str">
        <f>IFERROR(COUNTIF($C$23:C678,C678)&amp;CHOOSE(MIN(4,COUNTIF($C$23:C678,C678)),"st","nd","rd","th"),"")</f>
        <v/>
      </c>
    </row>
    <row r="679" spans="4:10" x14ac:dyDescent="0.25">
      <c r="D679" s="201" t="str">
        <f t="shared" si="10"/>
        <v/>
      </c>
      <c r="J679" s="201" t="str">
        <f>IFERROR(COUNTIF($C$23:C679,C679)&amp;CHOOSE(MIN(4,COUNTIF($C$23:C679,C679)),"st","nd","rd","th"),"")</f>
        <v/>
      </c>
    </row>
    <row r="680" spans="4:10" x14ac:dyDescent="0.25">
      <c r="D680" s="201" t="str">
        <f t="shared" si="10"/>
        <v/>
      </c>
      <c r="J680" s="201" t="str">
        <f>IFERROR(COUNTIF($C$23:C680,C680)&amp;CHOOSE(MIN(4,COUNTIF($C$23:C680,C680)),"st","nd","rd","th"),"")</f>
        <v/>
      </c>
    </row>
    <row r="681" spans="4:10" x14ac:dyDescent="0.25">
      <c r="D681" s="201" t="str">
        <f t="shared" si="10"/>
        <v/>
      </c>
      <c r="J681" s="201" t="str">
        <f>IFERROR(COUNTIF($C$23:C681,C681)&amp;CHOOSE(MIN(4,COUNTIF($C$23:C681,C681)),"st","nd","rd","th"),"")</f>
        <v/>
      </c>
    </row>
    <row r="682" spans="4:10" x14ac:dyDescent="0.25">
      <c r="D682" s="201" t="str">
        <f t="shared" si="10"/>
        <v/>
      </c>
      <c r="J682" s="201" t="str">
        <f>IFERROR(COUNTIF($C$23:C682,C682)&amp;CHOOSE(MIN(4,COUNTIF($C$23:C682,C682)),"st","nd","rd","th"),"")</f>
        <v/>
      </c>
    </row>
    <row r="683" spans="4:10" x14ac:dyDescent="0.25">
      <c r="D683" s="201" t="str">
        <f t="shared" si="10"/>
        <v/>
      </c>
      <c r="J683" s="201" t="str">
        <f>IFERROR(COUNTIF($C$23:C683,C683)&amp;CHOOSE(MIN(4,COUNTIF($C$23:C683,C683)),"st","nd","rd","th"),"")</f>
        <v/>
      </c>
    </row>
    <row r="684" spans="4:10" x14ac:dyDescent="0.25">
      <c r="D684" s="201" t="str">
        <f t="shared" si="10"/>
        <v/>
      </c>
      <c r="J684" s="201" t="str">
        <f>IFERROR(COUNTIF($C$23:C684,C684)&amp;CHOOSE(MIN(4,COUNTIF($C$23:C684,C684)),"st","nd","rd","th"),"")</f>
        <v/>
      </c>
    </row>
    <row r="685" spans="4:10" x14ac:dyDescent="0.25">
      <c r="D685" s="201" t="str">
        <f t="shared" si="10"/>
        <v/>
      </c>
      <c r="J685" s="201" t="str">
        <f>IFERROR(COUNTIF($C$23:C685,C685)&amp;CHOOSE(MIN(4,COUNTIF($C$23:C685,C685)),"st","nd","rd","th"),"")</f>
        <v/>
      </c>
    </row>
    <row r="686" spans="4:10" x14ac:dyDescent="0.25">
      <c r="D686" s="201" t="str">
        <f t="shared" si="10"/>
        <v/>
      </c>
      <c r="J686" s="201" t="str">
        <f>IFERROR(COUNTIF($C$23:C686,C686)&amp;CHOOSE(MIN(4,COUNTIF($C$23:C686,C686)),"st","nd","rd","th"),"")</f>
        <v/>
      </c>
    </row>
    <row r="687" spans="4:10" x14ac:dyDescent="0.25">
      <c r="D687" s="201" t="str">
        <f t="shared" si="10"/>
        <v/>
      </c>
      <c r="J687" s="201" t="str">
        <f>IFERROR(COUNTIF($C$23:C687,C687)&amp;CHOOSE(MIN(4,COUNTIF($C$23:C687,C687)),"st","nd","rd","th"),"")</f>
        <v/>
      </c>
    </row>
    <row r="688" spans="4:10" x14ac:dyDescent="0.25">
      <c r="D688" s="201" t="str">
        <f t="shared" si="10"/>
        <v/>
      </c>
      <c r="J688" s="201" t="str">
        <f>IFERROR(COUNTIF($C$23:C688,C688)&amp;CHOOSE(MIN(4,COUNTIF($C$23:C688,C688)),"st","nd","rd","th"),"")</f>
        <v/>
      </c>
    </row>
    <row r="689" spans="4:10" x14ac:dyDescent="0.25">
      <c r="D689" s="201" t="str">
        <f t="shared" si="10"/>
        <v/>
      </c>
      <c r="J689" s="201" t="str">
        <f>IFERROR(COUNTIF($C$23:C689,C689)&amp;CHOOSE(MIN(4,COUNTIF($C$23:C689,C689)),"st","nd","rd","th"),"")</f>
        <v/>
      </c>
    </row>
    <row r="690" spans="4:10" x14ac:dyDescent="0.25">
      <c r="D690" s="201" t="str">
        <f t="shared" si="10"/>
        <v/>
      </c>
      <c r="J690" s="201" t="str">
        <f>IFERROR(COUNTIF($C$23:C690,C690)&amp;CHOOSE(MIN(4,COUNTIF($C$23:C690,C690)),"st","nd","rd","th"),"")</f>
        <v/>
      </c>
    </row>
    <row r="691" spans="4:10" x14ac:dyDescent="0.25">
      <c r="D691" s="201" t="str">
        <f t="shared" si="10"/>
        <v/>
      </c>
      <c r="J691" s="201" t="str">
        <f>IFERROR(COUNTIF($C$23:C691,C691)&amp;CHOOSE(MIN(4,COUNTIF($C$23:C691,C691)),"st","nd","rd","th"),"")</f>
        <v/>
      </c>
    </row>
    <row r="692" spans="4:10" x14ac:dyDescent="0.25">
      <c r="D692" s="201" t="str">
        <f t="shared" si="10"/>
        <v/>
      </c>
      <c r="J692" s="201" t="str">
        <f>IFERROR(COUNTIF($C$23:C692,C692)&amp;CHOOSE(MIN(4,COUNTIF($C$23:C692,C692)),"st","nd","rd","th"),"")</f>
        <v/>
      </c>
    </row>
    <row r="693" spans="4:10" x14ac:dyDescent="0.25">
      <c r="D693" s="201" t="str">
        <f t="shared" si="10"/>
        <v/>
      </c>
      <c r="J693" s="201" t="str">
        <f>IFERROR(COUNTIF($C$23:C693,C693)&amp;CHOOSE(MIN(4,COUNTIF($C$23:C693,C693)),"st","nd","rd","th"),"")</f>
        <v/>
      </c>
    </row>
    <row r="694" spans="4:10" x14ac:dyDescent="0.25">
      <c r="D694" s="201" t="str">
        <f t="shared" si="10"/>
        <v/>
      </c>
      <c r="J694" s="201" t="str">
        <f>IFERROR(COUNTIF($C$23:C694,C694)&amp;CHOOSE(MIN(4,COUNTIF($C$23:C694,C694)),"st","nd","rd","th"),"")</f>
        <v/>
      </c>
    </row>
    <row r="695" spans="4:10" x14ac:dyDescent="0.25">
      <c r="D695" s="201" t="str">
        <f t="shared" si="10"/>
        <v/>
      </c>
      <c r="J695" s="201" t="str">
        <f>IFERROR(COUNTIF($C$23:C695,C695)&amp;CHOOSE(MIN(4,COUNTIF($C$23:C695,C695)),"st","nd","rd","th"),"")</f>
        <v/>
      </c>
    </row>
    <row r="696" spans="4:10" x14ac:dyDescent="0.25">
      <c r="D696" s="201" t="str">
        <f t="shared" si="10"/>
        <v/>
      </c>
      <c r="J696" s="201" t="str">
        <f>IFERROR(COUNTIF($C$23:C696,C696)&amp;CHOOSE(MIN(4,COUNTIF($C$23:C696,C696)),"st","nd","rd","th"),"")</f>
        <v/>
      </c>
    </row>
    <row r="697" spans="4:10" x14ac:dyDescent="0.25">
      <c r="D697" s="201" t="str">
        <f t="shared" si="10"/>
        <v/>
      </c>
      <c r="J697" s="201" t="str">
        <f>IFERROR(COUNTIF($C$23:C697,C697)&amp;CHOOSE(MIN(4,COUNTIF($C$23:C697,C697)),"st","nd","rd","th"),"")</f>
        <v/>
      </c>
    </row>
    <row r="698" spans="4:10" x14ac:dyDescent="0.25">
      <c r="D698" s="201" t="str">
        <f t="shared" si="10"/>
        <v/>
      </c>
      <c r="J698" s="201" t="str">
        <f>IFERROR(COUNTIF($C$23:C698,C698)&amp;CHOOSE(MIN(4,COUNTIF($C$23:C698,C698)),"st","nd","rd","th"),"")</f>
        <v/>
      </c>
    </row>
    <row r="699" spans="4:10" x14ac:dyDescent="0.25">
      <c r="D699" s="201" t="str">
        <f t="shared" si="10"/>
        <v/>
      </c>
      <c r="J699" s="201" t="str">
        <f>IFERROR(COUNTIF($C$23:C699,C699)&amp;CHOOSE(MIN(4,COUNTIF($C$23:C699,C699)),"st","nd","rd","th"),"")</f>
        <v/>
      </c>
    </row>
    <row r="700" spans="4:10" x14ac:dyDescent="0.25">
      <c r="D700" s="201" t="str">
        <f t="shared" si="10"/>
        <v/>
      </c>
      <c r="J700" s="201" t="str">
        <f>IFERROR(COUNTIF($C$23:C700,C700)&amp;CHOOSE(MIN(4,COUNTIF($C$23:C700,C700)),"st","nd","rd","th"),"")</f>
        <v/>
      </c>
    </row>
    <row r="701" spans="4:10" x14ac:dyDescent="0.25">
      <c r="D701" s="201" t="str">
        <f t="shared" si="10"/>
        <v/>
      </c>
      <c r="J701" s="201" t="str">
        <f>IFERROR(COUNTIF($C$23:C701,C701)&amp;CHOOSE(MIN(4,COUNTIF($C$23:C701,C701)),"st","nd","rd","th"),"")</f>
        <v/>
      </c>
    </row>
    <row r="702" spans="4:10" x14ac:dyDescent="0.25">
      <c r="D702" s="201" t="str">
        <f t="shared" si="10"/>
        <v/>
      </c>
      <c r="J702" s="201" t="str">
        <f>IFERROR(COUNTIF($C$23:C702,C702)&amp;CHOOSE(MIN(4,COUNTIF($C$23:C702,C702)),"st","nd","rd","th"),"")</f>
        <v/>
      </c>
    </row>
    <row r="703" spans="4:10" x14ac:dyDescent="0.25">
      <c r="D703" s="201" t="str">
        <f t="shared" si="10"/>
        <v/>
      </c>
      <c r="J703" s="201" t="str">
        <f>IFERROR(COUNTIF($C$23:C703,C703)&amp;CHOOSE(MIN(4,COUNTIF($C$23:C703,C703)),"st","nd","rd","th"),"")</f>
        <v/>
      </c>
    </row>
    <row r="704" spans="4:10" x14ac:dyDescent="0.25">
      <c r="D704" s="201" t="str">
        <f t="shared" si="10"/>
        <v/>
      </c>
      <c r="J704" s="201" t="str">
        <f>IFERROR(COUNTIF($C$23:C704,C704)&amp;CHOOSE(MIN(4,COUNTIF($C$23:C704,C704)),"st","nd","rd","th"),"")</f>
        <v/>
      </c>
    </row>
    <row r="705" spans="4:10" x14ac:dyDescent="0.25">
      <c r="D705" s="201" t="str">
        <f t="shared" si="10"/>
        <v/>
      </c>
      <c r="J705" s="201" t="str">
        <f>IFERROR(COUNTIF($C$23:C705,C705)&amp;CHOOSE(MIN(4,COUNTIF($C$23:C705,C705)),"st","nd","rd","th"),"")</f>
        <v/>
      </c>
    </row>
    <row r="706" spans="4:10" x14ac:dyDescent="0.25">
      <c r="D706" s="201" t="str">
        <f t="shared" si="10"/>
        <v/>
      </c>
      <c r="J706" s="201" t="str">
        <f>IFERROR(COUNTIF($C$23:C706,C706)&amp;CHOOSE(MIN(4,COUNTIF($C$23:C706,C706)),"st","nd","rd","th"),"")</f>
        <v/>
      </c>
    </row>
    <row r="707" spans="4:10" x14ac:dyDescent="0.25">
      <c r="D707" s="201" t="str">
        <f t="shared" si="10"/>
        <v/>
      </c>
      <c r="J707" s="201" t="str">
        <f>IFERROR(COUNTIF($C$23:C707,C707)&amp;CHOOSE(MIN(4,COUNTIF($C$23:C707,C707)),"st","nd","rd","th"),"")</f>
        <v/>
      </c>
    </row>
    <row r="708" spans="4:10" x14ac:dyDescent="0.25">
      <c r="D708" s="201" t="str">
        <f t="shared" si="10"/>
        <v/>
      </c>
      <c r="J708" s="201" t="str">
        <f>IFERROR(COUNTIF($C$23:C708,C708)&amp;CHOOSE(MIN(4,COUNTIF($C$23:C708,C708)),"st","nd","rd","th"),"")</f>
        <v/>
      </c>
    </row>
    <row r="709" spans="4:10" x14ac:dyDescent="0.25">
      <c r="D709" s="201" t="str">
        <f t="shared" si="10"/>
        <v/>
      </c>
      <c r="J709" s="201" t="str">
        <f>IFERROR(COUNTIF($C$23:C709,C709)&amp;CHOOSE(MIN(4,COUNTIF($C$23:C709,C709)),"st","nd","rd","th"),"")</f>
        <v/>
      </c>
    </row>
    <row r="710" spans="4:10" x14ac:dyDescent="0.25">
      <c r="D710" s="201" t="str">
        <f t="shared" si="10"/>
        <v/>
      </c>
      <c r="J710" s="201" t="str">
        <f>IFERROR(COUNTIF($C$23:C710,C710)&amp;CHOOSE(MIN(4,COUNTIF($C$23:C710,C710)),"st","nd","rd","th"),"")</f>
        <v/>
      </c>
    </row>
    <row r="711" spans="4:10" x14ac:dyDescent="0.25">
      <c r="D711" s="201" t="str">
        <f t="shared" si="10"/>
        <v/>
      </c>
      <c r="J711" s="201" t="str">
        <f>IFERROR(COUNTIF($C$23:C711,C711)&amp;CHOOSE(MIN(4,COUNTIF($C$23:C711,C711)),"st","nd","rd","th"),"")</f>
        <v/>
      </c>
    </row>
    <row r="712" spans="4:10" x14ac:dyDescent="0.25">
      <c r="D712" s="201" t="str">
        <f t="shared" si="10"/>
        <v/>
      </c>
      <c r="J712" s="201" t="str">
        <f>IFERROR(COUNTIF($C$23:C712,C712)&amp;CHOOSE(MIN(4,COUNTIF($C$23:C712,C712)),"st","nd","rd","th"),"")</f>
        <v/>
      </c>
    </row>
    <row r="713" spans="4:10" x14ac:dyDescent="0.25">
      <c r="D713" s="201" t="str">
        <f t="shared" si="10"/>
        <v/>
      </c>
      <c r="J713" s="201" t="str">
        <f>IFERROR(COUNTIF($C$23:C713,C713)&amp;CHOOSE(MIN(4,COUNTIF($C$23:C713,C713)),"st","nd","rd","th"),"")</f>
        <v/>
      </c>
    </row>
    <row r="714" spans="4:10" x14ac:dyDescent="0.25">
      <c r="D714" s="201" t="str">
        <f t="shared" si="10"/>
        <v/>
      </c>
      <c r="J714" s="201" t="str">
        <f>IFERROR(COUNTIF($C$23:C714,C714)&amp;CHOOSE(MIN(4,COUNTIF($C$23:C714,C714)),"st","nd","rd","th"),"")</f>
        <v/>
      </c>
    </row>
    <row r="715" spans="4:10" x14ac:dyDescent="0.25">
      <c r="D715" s="201" t="str">
        <f t="shared" si="10"/>
        <v/>
      </c>
      <c r="J715" s="201" t="str">
        <f>IFERROR(COUNTIF($C$23:C715,C715)&amp;CHOOSE(MIN(4,COUNTIF($C$23:C715,C715)),"st","nd","rd","th"),"")</f>
        <v/>
      </c>
    </row>
    <row r="716" spans="4:10" x14ac:dyDescent="0.25">
      <c r="D716" s="201" t="str">
        <f t="shared" si="10"/>
        <v/>
      </c>
      <c r="J716" s="201" t="str">
        <f>IFERROR(COUNTIF($C$23:C716,C716)&amp;CHOOSE(MIN(4,COUNTIF($C$23:C716,C716)),"st","nd","rd","th"),"")</f>
        <v/>
      </c>
    </row>
    <row r="717" spans="4:10" x14ac:dyDescent="0.25">
      <c r="D717" s="201" t="str">
        <f t="shared" si="10"/>
        <v/>
      </c>
      <c r="J717" s="201" t="str">
        <f>IFERROR(COUNTIF($C$23:C717,C717)&amp;CHOOSE(MIN(4,COUNTIF($C$23:C717,C717)),"st","nd","rd","th"),"")</f>
        <v/>
      </c>
    </row>
    <row r="718" spans="4:10" x14ac:dyDescent="0.25">
      <c r="D718" s="201" t="str">
        <f t="shared" si="10"/>
        <v/>
      </c>
      <c r="J718" s="201" t="str">
        <f>IFERROR(COUNTIF($C$23:C718,C718)&amp;CHOOSE(MIN(4,COUNTIF($C$23:C718,C718)),"st","nd","rd","th"),"")</f>
        <v/>
      </c>
    </row>
    <row r="719" spans="4:10" x14ac:dyDescent="0.25">
      <c r="D719" s="201" t="str">
        <f t="shared" si="10"/>
        <v/>
      </c>
      <c r="J719" s="201" t="str">
        <f>IFERROR(COUNTIF($C$23:C719,C719)&amp;CHOOSE(MIN(4,COUNTIF($C$23:C719,C719)),"st","nd","rd","th"),"")</f>
        <v/>
      </c>
    </row>
    <row r="720" spans="4:10" x14ac:dyDescent="0.25">
      <c r="D720" s="201" t="str">
        <f t="shared" si="10"/>
        <v/>
      </c>
      <c r="J720" s="201" t="str">
        <f>IFERROR(COUNTIF($C$23:C720,C720)&amp;CHOOSE(MIN(4,COUNTIF($C$23:C720,C720)),"st","nd","rd","th"),"")</f>
        <v/>
      </c>
    </row>
    <row r="721" spans="4:10" x14ac:dyDescent="0.25">
      <c r="D721" s="201" t="str">
        <f t="shared" si="10"/>
        <v/>
      </c>
      <c r="J721" s="201" t="str">
        <f>IFERROR(COUNTIF($C$23:C721,C721)&amp;CHOOSE(MIN(4,COUNTIF($C$23:C721,C721)),"st","nd","rd","th"),"")</f>
        <v/>
      </c>
    </row>
    <row r="722" spans="4:10" x14ac:dyDescent="0.25">
      <c r="D722" s="201" t="str">
        <f t="shared" si="10"/>
        <v/>
      </c>
      <c r="J722" s="201" t="str">
        <f>IFERROR(COUNTIF($C$23:C722,C722)&amp;CHOOSE(MIN(4,COUNTIF($C$23:C722,C722)),"st","nd","rd","th"),"")</f>
        <v/>
      </c>
    </row>
    <row r="723" spans="4:10" x14ac:dyDescent="0.25">
      <c r="D723" s="201" t="str">
        <f t="shared" si="10"/>
        <v/>
      </c>
      <c r="J723" s="201" t="str">
        <f>IFERROR(COUNTIF($C$23:C723,C723)&amp;CHOOSE(MIN(4,COUNTIF($C$23:C723,C723)),"st","nd","rd","th"),"")</f>
        <v/>
      </c>
    </row>
    <row r="724" spans="4:10" x14ac:dyDescent="0.25">
      <c r="D724" s="201" t="str">
        <f t="shared" si="10"/>
        <v/>
      </c>
      <c r="J724" s="201" t="str">
        <f>IFERROR(COUNTIF($C$23:C724,C724)&amp;CHOOSE(MIN(4,COUNTIF($C$23:C724,C724)),"st","nd","rd","th"),"")</f>
        <v/>
      </c>
    </row>
    <row r="725" spans="4:10" x14ac:dyDescent="0.25">
      <c r="D725" s="201" t="str">
        <f t="shared" si="10"/>
        <v/>
      </c>
      <c r="J725" s="201" t="str">
        <f>IFERROR(COUNTIF($C$23:C725,C725)&amp;CHOOSE(MIN(4,COUNTIF($C$23:C725,C725)),"st","nd","rd","th"),"")</f>
        <v/>
      </c>
    </row>
    <row r="726" spans="4:10" x14ac:dyDescent="0.25">
      <c r="D726" s="201" t="str">
        <f t="shared" si="10"/>
        <v/>
      </c>
      <c r="J726" s="201" t="str">
        <f>IFERROR(COUNTIF($C$23:C726,C726)&amp;CHOOSE(MIN(4,COUNTIF($C$23:C726,C726)),"st","nd","rd","th"),"")</f>
        <v/>
      </c>
    </row>
    <row r="727" spans="4:10" x14ac:dyDescent="0.25">
      <c r="D727" s="201" t="str">
        <f t="shared" ref="D727:D790" si="11">IF(B727="","",IF(B727="Province_PLGU","PDPFP","CLUP"))</f>
        <v/>
      </c>
      <c r="J727" s="201" t="str">
        <f>IFERROR(COUNTIF($C$23:C727,C727)&amp;CHOOSE(MIN(4,COUNTIF($C$23:C727,C727)),"st","nd","rd","th"),"")</f>
        <v/>
      </c>
    </row>
    <row r="728" spans="4:10" x14ac:dyDescent="0.25">
      <c r="D728" s="201" t="str">
        <f t="shared" si="11"/>
        <v/>
      </c>
      <c r="J728" s="201" t="str">
        <f>IFERROR(COUNTIF($C$23:C728,C728)&amp;CHOOSE(MIN(4,COUNTIF($C$23:C728,C728)),"st","nd","rd","th"),"")</f>
        <v/>
      </c>
    </row>
    <row r="729" spans="4:10" x14ac:dyDescent="0.25">
      <c r="D729" s="201" t="str">
        <f t="shared" si="11"/>
        <v/>
      </c>
      <c r="J729" s="201" t="str">
        <f>IFERROR(COUNTIF($C$23:C729,C729)&amp;CHOOSE(MIN(4,COUNTIF($C$23:C729,C729)),"st","nd","rd","th"),"")</f>
        <v/>
      </c>
    </row>
    <row r="730" spans="4:10" x14ac:dyDescent="0.25">
      <c r="D730" s="201" t="str">
        <f t="shared" si="11"/>
        <v/>
      </c>
      <c r="J730" s="201" t="str">
        <f>IFERROR(COUNTIF($C$23:C730,C730)&amp;CHOOSE(MIN(4,COUNTIF($C$23:C730,C730)),"st","nd","rd","th"),"")</f>
        <v/>
      </c>
    </row>
    <row r="731" spans="4:10" x14ac:dyDescent="0.25">
      <c r="D731" s="201" t="str">
        <f t="shared" si="11"/>
        <v/>
      </c>
      <c r="J731" s="201" t="str">
        <f>IFERROR(COUNTIF($C$23:C731,C731)&amp;CHOOSE(MIN(4,COUNTIF($C$23:C731,C731)),"st","nd","rd","th"),"")</f>
        <v/>
      </c>
    </row>
    <row r="732" spans="4:10" x14ac:dyDescent="0.25">
      <c r="D732" s="201" t="str">
        <f t="shared" si="11"/>
        <v/>
      </c>
      <c r="J732" s="201" t="str">
        <f>IFERROR(COUNTIF($C$23:C732,C732)&amp;CHOOSE(MIN(4,COUNTIF($C$23:C732,C732)),"st","nd","rd","th"),"")</f>
        <v/>
      </c>
    </row>
    <row r="733" spans="4:10" x14ac:dyDescent="0.25">
      <c r="D733" s="201" t="str">
        <f t="shared" si="11"/>
        <v/>
      </c>
      <c r="J733" s="201" t="str">
        <f>IFERROR(COUNTIF($C$23:C733,C733)&amp;CHOOSE(MIN(4,COUNTIF($C$23:C733,C733)),"st","nd","rd","th"),"")</f>
        <v/>
      </c>
    </row>
    <row r="734" spans="4:10" x14ac:dyDescent="0.25">
      <c r="D734" s="201" t="str">
        <f t="shared" si="11"/>
        <v/>
      </c>
      <c r="J734" s="201" t="str">
        <f>IFERROR(COUNTIF($C$23:C734,C734)&amp;CHOOSE(MIN(4,COUNTIF($C$23:C734,C734)),"st","nd","rd","th"),"")</f>
        <v/>
      </c>
    </row>
    <row r="735" spans="4:10" x14ac:dyDescent="0.25">
      <c r="D735" s="201" t="str">
        <f t="shared" si="11"/>
        <v/>
      </c>
      <c r="J735" s="201" t="str">
        <f>IFERROR(COUNTIF($C$23:C735,C735)&amp;CHOOSE(MIN(4,COUNTIF($C$23:C735,C735)),"st","nd","rd","th"),"")</f>
        <v/>
      </c>
    </row>
    <row r="736" spans="4:10" x14ac:dyDescent="0.25">
      <c r="D736" s="201" t="str">
        <f t="shared" si="11"/>
        <v/>
      </c>
      <c r="J736" s="201" t="str">
        <f>IFERROR(COUNTIF($C$23:C736,C736)&amp;CHOOSE(MIN(4,COUNTIF($C$23:C736,C736)),"st","nd","rd","th"),"")</f>
        <v/>
      </c>
    </row>
    <row r="737" spans="4:10" x14ac:dyDescent="0.25">
      <c r="D737" s="201" t="str">
        <f t="shared" si="11"/>
        <v/>
      </c>
      <c r="J737" s="201" t="str">
        <f>IFERROR(COUNTIF($C$23:C737,C737)&amp;CHOOSE(MIN(4,COUNTIF($C$23:C737,C737)),"st","nd","rd","th"),"")</f>
        <v/>
      </c>
    </row>
    <row r="738" spans="4:10" x14ac:dyDescent="0.25">
      <c r="D738" s="201" t="str">
        <f t="shared" si="11"/>
        <v/>
      </c>
      <c r="J738" s="201" t="str">
        <f>IFERROR(COUNTIF($C$23:C738,C738)&amp;CHOOSE(MIN(4,COUNTIF($C$23:C738,C738)),"st","nd","rd","th"),"")</f>
        <v/>
      </c>
    </row>
    <row r="739" spans="4:10" x14ac:dyDescent="0.25">
      <c r="D739" s="201" t="str">
        <f t="shared" si="11"/>
        <v/>
      </c>
      <c r="J739" s="201" t="str">
        <f>IFERROR(COUNTIF($C$23:C739,C739)&amp;CHOOSE(MIN(4,COUNTIF($C$23:C739,C739)),"st","nd","rd","th"),"")</f>
        <v/>
      </c>
    </row>
    <row r="740" spans="4:10" x14ac:dyDescent="0.25">
      <c r="D740" s="201" t="str">
        <f t="shared" si="11"/>
        <v/>
      </c>
      <c r="J740" s="201" t="str">
        <f>IFERROR(COUNTIF($C$23:C740,C740)&amp;CHOOSE(MIN(4,COUNTIF($C$23:C740,C740)),"st","nd","rd","th"),"")</f>
        <v/>
      </c>
    </row>
    <row r="741" spans="4:10" x14ac:dyDescent="0.25">
      <c r="D741" s="201" t="str">
        <f t="shared" si="11"/>
        <v/>
      </c>
      <c r="J741" s="201" t="str">
        <f>IFERROR(COUNTIF($C$23:C741,C741)&amp;CHOOSE(MIN(4,COUNTIF($C$23:C741,C741)),"st","nd","rd","th"),"")</f>
        <v/>
      </c>
    </row>
    <row r="742" spans="4:10" x14ac:dyDescent="0.25">
      <c r="D742" s="201" t="str">
        <f t="shared" si="11"/>
        <v/>
      </c>
      <c r="J742" s="201" t="str">
        <f>IFERROR(COUNTIF($C$23:C742,C742)&amp;CHOOSE(MIN(4,COUNTIF($C$23:C742,C742)),"st","nd","rd","th"),"")</f>
        <v/>
      </c>
    </row>
    <row r="743" spans="4:10" x14ac:dyDescent="0.25">
      <c r="D743" s="201" t="str">
        <f t="shared" si="11"/>
        <v/>
      </c>
      <c r="J743" s="201" t="str">
        <f>IFERROR(COUNTIF($C$23:C743,C743)&amp;CHOOSE(MIN(4,COUNTIF($C$23:C743,C743)),"st","nd","rd","th"),"")</f>
        <v/>
      </c>
    </row>
    <row r="744" spans="4:10" x14ac:dyDescent="0.25">
      <c r="D744" s="201" t="str">
        <f t="shared" si="11"/>
        <v/>
      </c>
      <c r="J744" s="201" t="str">
        <f>IFERROR(COUNTIF($C$23:C744,C744)&amp;CHOOSE(MIN(4,COUNTIF($C$23:C744,C744)),"st","nd","rd","th"),"")</f>
        <v/>
      </c>
    </row>
    <row r="745" spans="4:10" x14ac:dyDescent="0.25">
      <c r="D745" s="201" t="str">
        <f t="shared" si="11"/>
        <v/>
      </c>
      <c r="J745" s="201" t="str">
        <f>IFERROR(COUNTIF($C$23:C745,C745)&amp;CHOOSE(MIN(4,COUNTIF($C$23:C745,C745)),"st","nd","rd","th"),"")</f>
        <v/>
      </c>
    </row>
    <row r="746" spans="4:10" x14ac:dyDescent="0.25">
      <c r="D746" s="201" t="str">
        <f t="shared" si="11"/>
        <v/>
      </c>
      <c r="J746" s="201" t="str">
        <f>IFERROR(COUNTIF($C$23:C746,C746)&amp;CHOOSE(MIN(4,COUNTIF($C$23:C746,C746)),"st","nd","rd","th"),"")</f>
        <v/>
      </c>
    </row>
    <row r="747" spans="4:10" x14ac:dyDescent="0.25">
      <c r="D747" s="201" t="str">
        <f t="shared" si="11"/>
        <v/>
      </c>
      <c r="J747" s="201" t="str">
        <f>IFERROR(COUNTIF($C$23:C747,C747)&amp;CHOOSE(MIN(4,COUNTIF($C$23:C747,C747)),"st","nd","rd","th"),"")</f>
        <v/>
      </c>
    </row>
    <row r="748" spans="4:10" x14ac:dyDescent="0.25">
      <c r="D748" s="201" t="str">
        <f t="shared" si="11"/>
        <v/>
      </c>
      <c r="J748" s="201" t="str">
        <f>IFERROR(COUNTIF($C$23:C748,C748)&amp;CHOOSE(MIN(4,COUNTIF($C$23:C748,C748)),"st","nd","rd","th"),"")</f>
        <v/>
      </c>
    </row>
    <row r="749" spans="4:10" x14ac:dyDescent="0.25">
      <c r="D749" s="201" t="str">
        <f t="shared" si="11"/>
        <v/>
      </c>
      <c r="J749" s="201" t="str">
        <f>IFERROR(COUNTIF($C$23:C749,C749)&amp;CHOOSE(MIN(4,COUNTIF($C$23:C749,C749)),"st","nd","rd","th"),"")</f>
        <v/>
      </c>
    </row>
    <row r="750" spans="4:10" x14ac:dyDescent="0.25">
      <c r="D750" s="201" t="str">
        <f t="shared" si="11"/>
        <v/>
      </c>
      <c r="J750" s="201" t="str">
        <f>IFERROR(COUNTIF($C$23:C750,C750)&amp;CHOOSE(MIN(4,COUNTIF($C$23:C750,C750)),"st","nd","rd","th"),"")</f>
        <v/>
      </c>
    </row>
    <row r="751" spans="4:10" x14ac:dyDescent="0.25">
      <c r="D751" s="201" t="str">
        <f t="shared" si="11"/>
        <v/>
      </c>
      <c r="J751" s="201" t="str">
        <f>IFERROR(COUNTIF($C$23:C751,C751)&amp;CHOOSE(MIN(4,COUNTIF($C$23:C751,C751)),"st","nd","rd","th"),"")</f>
        <v/>
      </c>
    </row>
    <row r="752" spans="4:10" x14ac:dyDescent="0.25">
      <c r="D752" s="201" t="str">
        <f t="shared" si="11"/>
        <v/>
      </c>
      <c r="J752" s="201" t="str">
        <f>IFERROR(COUNTIF($C$23:C752,C752)&amp;CHOOSE(MIN(4,COUNTIF($C$23:C752,C752)),"st","nd","rd","th"),"")</f>
        <v/>
      </c>
    </row>
    <row r="753" spans="4:10" x14ac:dyDescent="0.25">
      <c r="D753" s="201" t="str">
        <f t="shared" si="11"/>
        <v/>
      </c>
      <c r="J753" s="201" t="str">
        <f>IFERROR(COUNTIF($C$23:C753,C753)&amp;CHOOSE(MIN(4,COUNTIF($C$23:C753,C753)),"st","nd","rd","th"),"")</f>
        <v/>
      </c>
    </row>
    <row r="754" spans="4:10" x14ac:dyDescent="0.25">
      <c r="D754" s="201" t="str">
        <f t="shared" si="11"/>
        <v/>
      </c>
      <c r="J754" s="201" t="str">
        <f>IFERROR(COUNTIF($C$23:C754,C754)&amp;CHOOSE(MIN(4,COUNTIF($C$23:C754,C754)),"st","nd","rd","th"),"")</f>
        <v/>
      </c>
    </row>
    <row r="755" spans="4:10" x14ac:dyDescent="0.25">
      <c r="D755" s="201" t="str">
        <f t="shared" si="11"/>
        <v/>
      </c>
      <c r="J755" s="201" t="str">
        <f>IFERROR(COUNTIF($C$23:C755,C755)&amp;CHOOSE(MIN(4,COUNTIF($C$23:C755,C755)),"st","nd","rd","th"),"")</f>
        <v/>
      </c>
    </row>
    <row r="756" spans="4:10" x14ac:dyDescent="0.25">
      <c r="D756" s="201" t="str">
        <f t="shared" si="11"/>
        <v/>
      </c>
      <c r="J756" s="201" t="str">
        <f>IFERROR(COUNTIF($C$23:C756,C756)&amp;CHOOSE(MIN(4,COUNTIF($C$23:C756,C756)),"st","nd","rd","th"),"")</f>
        <v/>
      </c>
    </row>
    <row r="757" spans="4:10" x14ac:dyDescent="0.25">
      <c r="D757" s="201" t="str">
        <f t="shared" si="11"/>
        <v/>
      </c>
      <c r="J757" s="201" t="str">
        <f>IFERROR(COUNTIF($C$23:C757,C757)&amp;CHOOSE(MIN(4,COUNTIF($C$23:C757,C757)),"st","nd","rd","th"),"")</f>
        <v/>
      </c>
    </row>
    <row r="758" spans="4:10" x14ac:dyDescent="0.25">
      <c r="D758" s="201" t="str">
        <f t="shared" si="11"/>
        <v/>
      </c>
      <c r="J758" s="201" t="str">
        <f>IFERROR(COUNTIF($C$23:C758,C758)&amp;CHOOSE(MIN(4,COUNTIF($C$23:C758,C758)),"st","nd","rd","th"),"")</f>
        <v/>
      </c>
    </row>
    <row r="759" spans="4:10" x14ac:dyDescent="0.25">
      <c r="D759" s="201" t="str">
        <f t="shared" si="11"/>
        <v/>
      </c>
      <c r="J759" s="201" t="str">
        <f>IFERROR(COUNTIF($C$23:C759,C759)&amp;CHOOSE(MIN(4,COUNTIF($C$23:C759,C759)),"st","nd","rd","th"),"")</f>
        <v/>
      </c>
    </row>
    <row r="760" spans="4:10" x14ac:dyDescent="0.25">
      <c r="D760" s="201" t="str">
        <f t="shared" si="11"/>
        <v/>
      </c>
      <c r="J760" s="201" t="str">
        <f>IFERROR(COUNTIF($C$23:C760,C760)&amp;CHOOSE(MIN(4,COUNTIF($C$23:C760,C760)),"st","nd","rd","th"),"")</f>
        <v/>
      </c>
    </row>
    <row r="761" spans="4:10" x14ac:dyDescent="0.25">
      <c r="D761" s="201" t="str">
        <f t="shared" si="11"/>
        <v/>
      </c>
      <c r="J761" s="201" t="str">
        <f>IFERROR(COUNTIF($C$23:C761,C761)&amp;CHOOSE(MIN(4,COUNTIF($C$23:C761,C761)),"st","nd","rd","th"),"")</f>
        <v/>
      </c>
    </row>
    <row r="762" spans="4:10" x14ac:dyDescent="0.25">
      <c r="D762" s="201" t="str">
        <f t="shared" si="11"/>
        <v/>
      </c>
      <c r="J762" s="201" t="str">
        <f>IFERROR(COUNTIF($C$23:C762,C762)&amp;CHOOSE(MIN(4,COUNTIF($C$23:C762,C762)),"st","nd","rd","th"),"")</f>
        <v/>
      </c>
    </row>
    <row r="763" spans="4:10" x14ac:dyDescent="0.25">
      <c r="D763" s="201" t="str">
        <f t="shared" si="11"/>
        <v/>
      </c>
      <c r="J763" s="201" t="str">
        <f>IFERROR(COUNTIF($C$23:C763,C763)&amp;CHOOSE(MIN(4,COUNTIF($C$23:C763,C763)),"st","nd","rd","th"),"")</f>
        <v/>
      </c>
    </row>
    <row r="764" spans="4:10" x14ac:dyDescent="0.25">
      <c r="D764" s="201" t="str">
        <f t="shared" si="11"/>
        <v/>
      </c>
      <c r="J764" s="201" t="str">
        <f>IFERROR(COUNTIF($C$23:C764,C764)&amp;CHOOSE(MIN(4,COUNTIF($C$23:C764,C764)),"st","nd","rd","th"),"")</f>
        <v/>
      </c>
    </row>
    <row r="765" spans="4:10" x14ac:dyDescent="0.25">
      <c r="D765" s="201" t="str">
        <f t="shared" si="11"/>
        <v/>
      </c>
      <c r="J765" s="201" t="str">
        <f>IFERROR(COUNTIF($C$23:C765,C765)&amp;CHOOSE(MIN(4,COUNTIF($C$23:C765,C765)),"st","nd","rd","th"),"")</f>
        <v/>
      </c>
    </row>
    <row r="766" spans="4:10" x14ac:dyDescent="0.25">
      <c r="D766" s="201" t="str">
        <f t="shared" si="11"/>
        <v/>
      </c>
      <c r="J766" s="201" t="str">
        <f>IFERROR(COUNTIF($C$23:C766,C766)&amp;CHOOSE(MIN(4,COUNTIF($C$23:C766,C766)),"st","nd","rd","th"),"")</f>
        <v/>
      </c>
    </row>
    <row r="767" spans="4:10" x14ac:dyDescent="0.25">
      <c r="D767" s="201" t="str">
        <f t="shared" si="11"/>
        <v/>
      </c>
      <c r="J767" s="201" t="str">
        <f>IFERROR(COUNTIF($C$23:C767,C767)&amp;CHOOSE(MIN(4,COUNTIF($C$23:C767,C767)),"st","nd","rd","th"),"")</f>
        <v/>
      </c>
    </row>
    <row r="768" spans="4:10" x14ac:dyDescent="0.25">
      <c r="D768" s="201" t="str">
        <f t="shared" si="11"/>
        <v/>
      </c>
      <c r="J768" s="201" t="str">
        <f>IFERROR(COUNTIF($C$23:C768,C768)&amp;CHOOSE(MIN(4,COUNTIF($C$23:C768,C768)),"st","nd","rd","th"),"")</f>
        <v/>
      </c>
    </row>
    <row r="769" spans="4:10" x14ac:dyDescent="0.25">
      <c r="D769" s="201" t="str">
        <f t="shared" si="11"/>
        <v/>
      </c>
      <c r="J769" s="201" t="str">
        <f>IFERROR(COUNTIF($C$23:C769,C769)&amp;CHOOSE(MIN(4,COUNTIF($C$23:C769,C769)),"st","nd","rd","th"),"")</f>
        <v/>
      </c>
    </row>
    <row r="770" spans="4:10" x14ac:dyDescent="0.25">
      <c r="D770" s="201" t="str">
        <f t="shared" si="11"/>
        <v/>
      </c>
      <c r="J770" s="201" t="str">
        <f>IFERROR(COUNTIF($C$23:C770,C770)&amp;CHOOSE(MIN(4,COUNTIF($C$23:C770,C770)),"st","nd","rd","th"),"")</f>
        <v/>
      </c>
    </row>
    <row r="771" spans="4:10" x14ac:dyDescent="0.25">
      <c r="D771" s="201" t="str">
        <f t="shared" si="11"/>
        <v/>
      </c>
      <c r="J771" s="201" t="str">
        <f>IFERROR(COUNTIF($C$23:C771,C771)&amp;CHOOSE(MIN(4,COUNTIF($C$23:C771,C771)),"st","nd","rd","th"),"")</f>
        <v/>
      </c>
    </row>
    <row r="772" spans="4:10" x14ac:dyDescent="0.25">
      <c r="D772" s="201" t="str">
        <f t="shared" si="11"/>
        <v/>
      </c>
      <c r="J772" s="201" t="str">
        <f>IFERROR(COUNTIF($C$23:C772,C772)&amp;CHOOSE(MIN(4,COUNTIF($C$23:C772,C772)),"st","nd","rd","th"),"")</f>
        <v/>
      </c>
    </row>
    <row r="773" spans="4:10" x14ac:dyDescent="0.25">
      <c r="D773" s="201" t="str">
        <f t="shared" si="11"/>
        <v/>
      </c>
      <c r="J773" s="201" t="str">
        <f>IFERROR(COUNTIF($C$23:C773,C773)&amp;CHOOSE(MIN(4,COUNTIF($C$23:C773,C773)),"st","nd","rd","th"),"")</f>
        <v/>
      </c>
    </row>
    <row r="774" spans="4:10" x14ac:dyDescent="0.25">
      <c r="D774" s="201" t="str">
        <f t="shared" si="11"/>
        <v/>
      </c>
      <c r="J774" s="201" t="str">
        <f>IFERROR(COUNTIF($C$23:C774,C774)&amp;CHOOSE(MIN(4,COUNTIF($C$23:C774,C774)),"st","nd","rd","th"),"")</f>
        <v/>
      </c>
    </row>
    <row r="775" spans="4:10" x14ac:dyDescent="0.25">
      <c r="D775" s="201" t="str">
        <f t="shared" si="11"/>
        <v/>
      </c>
      <c r="J775" s="201" t="str">
        <f>IFERROR(COUNTIF($C$23:C775,C775)&amp;CHOOSE(MIN(4,COUNTIF($C$23:C775,C775)),"st","nd","rd","th"),"")</f>
        <v/>
      </c>
    </row>
    <row r="776" spans="4:10" x14ac:dyDescent="0.25">
      <c r="D776" s="201" t="str">
        <f t="shared" si="11"/>
        <v/>
      </c>
      <c r="J776" s="201" t="str">
        <f>IFERROR(COUNTIF($C$23:C776,C776)&amp;CHOOSE(MIN(4,COUNTIF($C$23:C776,C776)),"st","nd","rd","th"),"")</f>
        <v/>
      </c>
    </row>
    <row r="777" spans="4:10" x14ac:dyDescent="0.25">
      <c r="D777" s="201" t="str">
        <f t="shared" si="11"/>
        <v/>
      </c>
      <c r="J777" s="201" t="str">
        <f>IFERROR(COUNTIF($C$23:C777,C777)&amp;CHOOSE(MIN(4,COUNTIF($C$23:C777,C777)),"st","nd","rd","th"),"")</f>
        <v/>
      </c>
    </row>
    <row r="778" spans="4:10" x14ac:dyDescent="0.25">
      <c r="D778" s="201" t="str">
        <f t="shared" si="11"/>
        <v/>
      </c>
      <c r="J778" s="201" t="str">
        <f>IFERROR(COUNTIF($C$23:C778,C778)&amp;CHOOSE(MIN(4,COUNTIF($C$23:C778,C778)),"st","nd","rd","th"),"")</f>
        <v/>
      </c>
    </row>
    <row r="779" spans="4:10" x14ac:dyDescent="0.25">
      <c r="D779" s="201" t="str">
        <f t="shared" si="11"/>
        <v/>
      </c>
      <c r="J779" s="201" t="str">
        <f>IFERROR(COUNTIF($C$23:C779,C779)&amp;CHOOSE(MIN(4,COUNTIF($C$23:C779,C779)),"st","nd","rd","th"),"")</f>
        <v/>
      </c>
    </row>
    <row r="780" spans="4:10" x14ac:dyDescent="0.25">
      <c r="D780" s="201" t="str">
        <f t="shared" si="11"/>
        <v/>
      </c>
      <c r="J780" s="201" t="str">
        <f>IFERROR(COUNTIF($C$23:C780,C780)&amp;CHOOSE(MIN(4,COUNTIF($C$23:C780,C780)),"st","nd","rd","th"),"")</f>
        <v/>
      </c>
    </row>
    <row r="781" spans="4:10" x14ac:dyDescent="0.25">
      <c r="D781" s="201" t="str">
        <f t="shared" si="11"/>
        <v/>
      </c>
      <c r="J781" s="201" t="str">
        <f>IFERROR(COUNTIF($C$23:C781,C781)&amp;CHOOSE(MIN(4,COUNTIF($C$23:C781,C781)),"st","nd","rd","th"),"")</f>
        <v/>
      </c>
    </row>
    <row r="782" spans="4:10" x14ac:dyDescent="0.25">
      <c r="D782" s="201" t="str">
        <f t="shared" si="11"/>
        <v/>
      </c>
      <c r="J782" s="201" t="str">
        <f>IFERROR(COUNTIF($C$23:C782,C782)&amp;CHOOSE(MIN(4,COUNTIF($C$23:C782,C782)),"st","nd","rd","th"),"")</f>
        <v/>
      </c>
    </row>
    <row r="783" spans="4:10" x14ac:dyDescent="0.25">
      <c r="D783" s="201" t="str">
        <f t="shared" si="11"/>
        <v/>
      </c>
      <c r="J783" s="201" t="str">
        <f>IFERROR(COUNTIF($C$23:C783,C783)&amp;CHOOSE(MIN(4,COUNTIF($C$23:C783,C783)),"st","nd","rd","th"),"")</f>
        <v/>
      </c>
    </row>
    <row r="784" spans="4:10" x14ac:dyDescent="0.25">
      <c r="D784" s="201" t="str">
        <f t="shared" si="11"/>
        <v/>
      </c>
      <c r="J784" s="201" t="str">
        <f>IFERROR(COUNTIF($C$23:C784,C784)&amp;CHOOSE(MIN(4,COUNTIF($C$23:C784,C784)),"st","nd","rd","th"),"")</f>
        <v/>
      </c>
    </row>
    <row r="785" spans="4:10" x14ac:dyDescent="0.25">
      <c r="D785" s="201" t="str">
        <f t="shared" si="11"/>
        <v/>
      </c>
      <c r="J785" s="201" t="str">
        <f>IFERROR(COUNTIF($C$23:C785,C785)&amp;CHOOSE(MIN(4,COUNTIF($C$23:C785,C785)),"st","nd","rd","th"),"")</f>
        <v/>
      </c>
    </row>
    <row r="786" spans="4:10" x14ac:dyDescent="0.25">
      <c r="D786" s="201" t="str">
        <f t="shared" si="11"/>
        <v/>
      </c>
      <c r="J786" s="201" t="str">
        <f>IFERROR(COUNTIF($C$23:C786,C786)&amp;CHOOSE(MIN(4,COUNTIF($C$23:C786,C786)),"st","nd","rd","th"),"")</f>
        <v/>
      </c>
    </row>
    <row r="787" spans="4:10" x14ac:dyDescent="0.25">
      <c r="D787" s="201" t="str">
        <f t="shared" si="11"/>
        <v/>
      </c>
      <c r="J787" s="201" t="str">
        <f>IFERROR(COUNTIF($C$23:C787,C787)&amp;CHOOSE(MIN(4,COUNTIF($C$23:C787,C787)),"st","nd","rd","th"),"")</f>
        <v/>
      </c>
    </row>
    <row r="788" spans="4:10" x14ac:dyDescent="0.25">
      <c r="D788" s="201" t="str">
        <f t="shared" si="11"/>
        <v/>
      </c>
      <c r="J788" s="201" t="str">
        <f>IFERROR(COUNTIF($C$23:C788,C788)&amp;CHOOSE(MIN(4,COUNTIF($C$23:C788,C788)),"st","nd","rd","th"),"")</f>
        <v/>
      </c>
    </row>
    <row r="789" spans="4:10" x14ac:dyDescent="0.25">
      <c r="D789" s="201" t="str">
        <f t="shared" si="11"/>
        <v/>
      </c>
      <c r="J789" s="201" t="str">
        <f>IFERROR(COUNTIF($C$23:C789,C789)&amp;CHOOSE(MIN(4,COUNTIF($C$23:C789,C789)),"st","nd","rd","th"),"")</f>
        <v/>
      </c>
    </row>
    <row r="790" spans="4:10" x14ac:dyDescent="0.25">
      <c r="D790" s="201" t="str">
        <f t="shared" si="11"/>
        <v/>
      </c>
      <c r="J790" s="201" t="str">
        <f>IFERROR(COUNTIF($C$23:C790,C790)&amp;CHOOSE(MIN(4,COUNTIF($C$23:C790,C790)),"st","nd","rd","th"),"")</f>
        <v/>
      </c>
    </row>
    <row r="791" spans="4:10" x14ac:dyDescent="0.25">
      <c r="D791" s="201" t="str">
        <f t="shared" ref="D791:D854" si="12">IF(B791="","",IF(B791="Province_PLGU","PDPFP","CLUP"))</f>
        <v/>
      </c>
      <c r="J791" s="201" t="str">
        <f>IFERROR(COUNTIF($C$23:C791,C791)&amp;CHOOSE(MIN(4,COUNTIF($C$23:C791,C791)),"st","nd","rd","th"),"")</f>
        <v/>
      </c>
    </row>
    <row r="792" spans="4:10" x14ac:dyDescent="0.25">
      <c r="D792" s="201" t="str">
        <f t="shared" si="12"/>
        <v/>
      </c>
      <c r="J792" s="201" t="str">
        <f>IFERROR(COUNTIF($C$23:C792,C792)&amp;CHOOSE(MIN(4,COUNTIF($C$23:C792,C792)),"st","nd","rd","th"),"")</f>
        <v/>
      </c>
    </row>
    <row r="793" spans="4:10" x14ac:dyDescent="0.25">
      <c r="D793" s="201" t="str">
        <f t="shared" si="12"/>
        <v/>
      </c>
      <c r="J793" s="201" t="str">
        <f>IFERROR(COUNTIF($C$23:C793,C793)&amp;CHOOSE(MIN(4,COUNTIF($C$23:C793,C793)),"st","nd","rd","th"),"")</f>
        <v/>
      </c>
    </row>
    <row r="794" spans="4:10" x14ac:dyDescent="0.25">
      <c r="D794" s="201" t="str">
        <f t="shared" si="12"/>
        <v/>
      </c>
      <c r="J794" s="201" t="str">
        <f>IFERROR(COUNTIF($C$23:C794,C794)&amp;CHOOSE(MIN(4,COUNTIF($C$23:C794,C794)),"st","nd","rd","th"),"")</f>
        <v/>
      </c>
    </row>
    <row r="795" spans="4:10" x14ac:dyDescent="0.25">
      <c r="D795" s="201" t="str">
        <f t="shared" si="12"/>
        <v/>
      </c>
      <c r="J795" s="201" t="str">
        <f>IFERROR(COUNTIF($C$23:C795,C795)&amp;CHOOSE(MIN(4,COUNTIF($C$23:C795,C795)),"st","nd","rd","th"),"")</f>
        <v/>
      </c>
    </row>
    <row r="796" spans="4:10" x14ac:dyDescent="0.25">
      <c r="D796" s="201" t="str">
        <f t="shared" si="12"/>
        <v/>
      </c>
      <c r="J796" s="201" t="str">
        <f>IFERROR(COUNTIF($C$23:C796,C796)&amp;CHOOSE(MIN(4,COUNTIF($C$23:C796,C796)),"st","nd","rd","th"),"")</f>
        <v/>
      </c>
    </row>
    <row r="797" spans="4:10" x14ac:dyDescent="0.25">
      <c r="D797" s="201" t="str">
        <f t="shared" si="12"/>
        <v/>
      </c>
      <c r="J797" s="201" t="str">
        <f>IFERROR(COUNTIF($C$23:C797,C797)&amp;CHOOSE(MIN(4,COUNTIF($C$23:C797,C797)),"st","nd","rd","th"),"")</f>
        <v/>
      </c>
    </row>
    <row r="798" spans="4:10" x14ac:dyDescent="0.25">
      <c r="D798" s="201" t="str">
        <f t="shared" si="12"/>
        <v/>
      </c>
      <c r="J798" s="201" t="str">
        <f>IFERROR(COUNTIF($C$23:C798,C798)&amp;CHOOSE(MIN(4,COUNTIF($C$23:C798,C798)),"st","nd","rd","th"),"")</f>
        <v/>
      </c>
    </row>
    <row r="799" spans="4:10" x14ac:dyDescent="0.25">
      <c r="D799" s="201" t="str">
        <f t="shared" si="12"/>
        <v/>
      </c>
      <c r="J799" s="201" t="str">
        <f>IFERROR(COUNTIF($C$23:C799,C799)&amp;CHOOSE(MIN(4,COUNTIF($C$23:C799,C799)),"st","nd","rd","th"),"")</f>
        <v/>
      </c>
    </row>
    <row r="800" spans="4:10" x14ac:dyDescent="0.25">
      <c r="D800" s="201" t="str">
        <f t="shared" si="12"/>
        <v/>
      </c>
      <c r="J800" s="201" t="str">
        <f>IFERROR(COUNTIF($C$23:C800,C800)&amp;CHOOSE(MIN(4,COUNTIF($C$23:C800,C800)),"st","nd","rd","th"),"")</f>
        <v/>
      </c>
    </row>
    <row r="801" spans="4:10" x14ac:dyDescent="0.25">
      <c r="D801" s="201" t="str">
        <f t="shared" si="12"/>
        <v/>
      </c>
      <c r="J801" s="201" t="str">
        <f>IFERROR(COUNTIF($C$23:C801,C801)&amp;CHOOSE(MIN(4,COUNTIF($C$23:C801,C801)),"st","nd","rd","th"),"")</f>
        <v/>
      </c>
    </row>
    <row r="802" spans="4:10" x14ac:dyDescent="0.25">
      <c r="D802" s="201" t="str">
        <f t="shared" si="12"/>
        <v/>
      </c>
      <c r="J802" s="201" t="str">
        <f>IFERROR(COUNTIF($C$23:C802,C802)&amp;CHOOSE(MIN(4,COUNTIF($C$23:C802,C802)),"st","nd","rd","th"),"")</f>
        <v/>
      </c>
    </row>
    <row r="803" spans="4:10" x14ac:dyDescent="0.25">
      <c r="D803" s="201" t="str">
        <f t="shared" si="12"/>
        <v/>
      </c>
      <c r="J803" s="201" t="str">
        <f>IFERROR(COUNTIF($C$23:C803,C803)&amp;CHOOSE(MIN(4,COUNTIF($C$23:C803,C803)),"st","nd","rd","th"),"")</f>
        <v/>
      </c>
    </row>
    <row r="804" spans="4:10" x14ac:dyDescent="0.25">
      <c r="D804" s="201" t="str">
        <f t="shared" si="12"/>
        <v/>
      </c>
      <c r="J804" s="201" t="str">
        <f>IFERROR(COUNTIF($C$23:C804,C804)&amp;CHOOSE(MIN(4,COUNTIF($C$23:C804,C804)),"st","nd","rd","th"),"")</f>
        <v/>
      </c>
    </row>
    <row r="805" spans="4:10" x14ac:dyDescent="0.25">
      <c r="D805" s="201" t="str">
        <f t="shared" si="12"/>
        <v/>
      </c>
      <c r="J805" s="201" t="str">
        <f>IFERROR(COUNTIF($C$23:C805,C805)&amp;CHOOSE(MIN(4,COUNTIF($C$23:C805,C805)),"st","nd","rd","th"),"")</f>
        <v/>
      </c>
    </row>
    <row r="806" spans="4:10" x14ac:dyDescent="0.25">
      <c r="D806" s="201" t="str">
        <f t="shared" si="12"/>
        <v/>
      </c>
      <c r="J806" s="201" t="str">
        <f>IFERROR(COUNTIF($C$23:C806,C806)&amp;CHOOSE(MIN(4,COUNTIF($C$23:C806,C806)),"st","nd","rd","th"),"")</f>
        <v/>
      </c>
    </row>
    <row r="807" spans="4:10" x14ac:dyDescent="0.25">
      <c r="D807" s="201" t="str">
        <f t="shared" si="12"/>
        <v/>
      </c>
      <c r="J807" s="201" t="str">
        <f>IFERROR(COUNTIF($C$23:C807,C807)&amp;CHOOSE(MIN(4,COUNTIF($C$23:C807,C807)),"st","nd","rd","th"),"")</f>
        <v/>
      </c>
    </row>
    <row r="808" spans="4:10" x14ac:dyDescent="0.25">
      <c r="D808" s="201" t="str">
        <f t="shared" si="12"/>
        <v/>
      </c>
      <c r="J808" s="201" t="str">
        <f>IFERROR(COUNTIF($C$23:C808,C808)&amp;CHOOSE(MIN(4,COUNTIF($C$23:C808,C808)),"st","nd","rd","th"),"")</f>
        <v/>
      </c>
    </row>
    <row r="809" spans="4:10" x14ac:dyDescent="0.25">
      <c r="D809" s="201" t="str">
        <f t="shared" si="12"/>
        <v/>
      </c>
      <c r="J809" s="201" t="str">
        <f>IFERROR(COUNTIF($C$23:C809,C809)&amp;CHOOSE(MIN(4,COUNTIF($C$23:C809,C809)),"st","nd","rd","th"),"")</f>
        <v/>
      </c>
    </row>
    <row r="810" spans="4:10" x14ac:dyDescent="0.25">
      <c r="D810" s="201" t="str">
        <f t="shared" si="12"/>
        <v/>
      </c>
      <c r="J810" s="201" t="str">
        <f>IFERROR(COUNTIF($C$23:C810,C810)&amp;CHOOSE(MIN(4,COUNTIF($C$23:C810,C810)),"st","nd","rd","th"),"")</f>
        <v/>
      </c>
    </row>
    <row r="811" spans="4:10" x14ac:dyDescent="0.25">
      <c r="D811" s="201" t="str">
        <f t="shared" si="12"/>
        <v/>
      </c>
      <c r="J811" s="201" t="str">
        <f>IFERROR(COUNTIF($C$23:C811,C811)&amp;CHOOSE(MIN(4,COUNTIF($C$23:C811,C811)),"st","nd","rd","th"),"")</f>
        <v/>
      </c>
    </row>
    <row r="812" spans="4:10" x14ac:dyDescent="0.25">
      <c r="D812" s="201" t="str">
        <f t="shared" si="12"/>
        <v/>
      </c>
      <c r="J812" s="201" t="str">
        <f>IFERROR(COUNTIF($C$23:C812,C812)&amp;CHOOSE(MIN(4,COUNTIF($C$23:C812,C812)),"st","nd","rd","th"),"")</f>
        <v/>
      </c>
    </row>
    <row r="813" spans="4:10" x14ac:dyDescent="0.25">
      <c r="D813" s="201" t="str">
        <f t="shared" si="12"/>
        <v/>
      </c>
      <c r="J813" s="201" t="str">
        <f>IFERROR(COUNTIF($C$23:C813,C813)&amp;CHOOSE(MIN(4,COUNTIF($C$23:C813,C813)),"st","nd","rd","th"),"")</f>
        <v/>
      </c>
    </row>
    <row r="814" spans="4:10" x14ac:dyDescent="0.25">
      <c r="D814" s="201" t="str">
        <f t="shared" si="12"/>
        <v/>
      </c>
      <c r="J814" s="201" t="str">
        <f>IFERROR(COUNTIF($C$23:C814,C814)&amp;CHOOSE(MIN(4,COUNTIF($C$23:C814,C814)),"st","nd","rd","th"),"")</f>
        <v/>
      </c>
    </row>
    <row r="815" spans="4:10" x14ac:dyDescent="0.25">
      <c r="D815" s="201" t="str">
        <f t="shared" si="12"/>
        <v/>
      </c>
      <c r="J815" s="201" t="str">
        <f>IFERROR(COUNTIF($C$23:C815,C815)&amp;CHOOSE(MIN(4,COUNTIF($C$23:C815,C815)),"st","nd","rd","th"),"")</f>
        <v/>
      </c>
    </row>
    <row r="816" spans="4:10" x14ac:dyDescent="0.25">
      <c r="D816" s="201" t="str">
        <f t="shared" si="12"/>
        <v/>
      </c>
      <c r="J816" s="201" t="str">
        <f>IFERROR(COUNTIF($C$23:C816,C816)&amp;CHOOSE(MIN(4,COUNTIF($C$23:C816,C816)),"st","nd","rd","th"),"")</f>
        <v/>
      </c>
    </row>
    <row r="817" spans="4:10" x14ac:dyDescent="0.25">
      <c r="D817" s="201" t="str">
        <f t="shared" si="12"/>
        <v/>
      </c>
      <c r="J817" s="201" t="str">
        <f>IFERROR(COUNTIF($C$23:C817,C817)&amp;CHOOSE(MIN(4,COUNTIF($C$23:C817,C817)),"st","nd","rd","th"),"")</f>
        <v/>
      </c>
    </row>
    <row r="818" spans="4:10" x14ac:dyDescent="0.25">
      <c r="D818" s="201" t="str">
        <f t="shared" si="12"/>
        <v/>
      </c>
      <c r="J818" s="201" t="str">
        <f>IFERROR(COUNTIF($C$23:C818,C818)&amp;CHOOSE(MIN(4,COUNTIF($C$23:C818,C818)),"st","nd","rd","th"),"")</f>
        <v/>
      </c>
    </row>
    <row r="819" spans="4:10" x14ac:dyDescent="0.25">
      <c r="D819" s="201" t="str">
        <f t="shared" si="12"/>
        <v/>
      </c>
      <c r="J819" s="201" t="str">
        <f>IFERROR(COUNTIF($C$23:C819,C819)&amp;CHOOSE(MIN(4,COUNTIF($C$23:C819,C819)),"st","nd","rd","th"),"")</f>
        <v/>
      </c>
    </row>
    <row r="820" spans="4:10" x14ac:dyDescent="0.25">
      <c r="D820" s="201" t="str">
        <f t="shared" si="12"/>
        <v/>
      </c>
      <c r="J820" s="201" t="str">
        <f>IFERROR(COUNTIF($C$23:C820,C820)&amp;CHOOSE(MIN(4,COUNTIF($C$23:C820,C820)),"st","nd","rd","th"),"")</f>
        <v/>
      </c>
    </row>
    <row r="821" spans="4:10" x14ac:dyDescent="0.25">
      <c r="D821" s="201" t="str">
        <f t="shared" si="12"/>
        <v/>
      </c>
      <c r="J821" s="201" t="str">
        <f>IFERROR(COUNTIF($C$23:C821,C821)&amp;CHOOSE(MIN(4,COUNTIF($C$23:C821,C821)),"st","nd","rd","th"),"")</f>
        <v/>
      </c>
    </row>
    <row r="822" spans="4:10" x14ac:dyDescent="0.25">
      <c r="D822" s="201" t="str">
        <f t="shared" si="12"/>
        <v/>
      </c>
      <c r="J822" s="201" t="str">
        <f>IFERROR(COUNTIF($C$23:C822,C822)&amp;CHOOSE(MIN(4,COUNTIF($C$23:C822,C822)),"st","nd","rd","th"),"")</f>
        <v/>
      </c>
    </row>
    <row r="823" spans="4:10" x14ac:dyDescent="0.25">
      <c r="D823" s="201" t="str">
        <f t="shared" si="12"/>
        <v/>
      </c>
      <c r="J823" s="201" t="str">
        <f>IFERROR(COUNTIF($C$23:C823,C823)&amp;CHOOSE(MIN(4,COUNTIF($C$23:C823,C823)),"st","nd","rd","th"),"")</f>
        <v/>
      </c>
    </row>
    <row r="824" spans="4:10" x14ac:dyDescent="0.25">
      <c r="D824" s="201" t="str">
        <f t="shared" si="12"/>
        <v/>
      </c>
      <c r="J824" s="201" t="str">
        <f>IFERROR(COUNTIF($C$23:C824,C824)&amp;CHOOSE(MIN(4,COUNTIF($C$23:C824,C824)),"st","nd","rd","th"),"")</f>
        <v/>
      </c>
    </row>
    <row r="825" spans="4:10" x14ac:dyDescent="0.25">
      <c r="D825" s="201" t="str">
        <f t="shared" si="12"/>
        <v/>
      </c>
      <c r="J825" s="201" t="str">
        <f>IFERROR(COUNTIF($C$23:C825,C825)&amp;CHOOSE(MIN(4,COUNTIF($C$23:C825,C825)),"st","nd","rd","th"),"")</f>
        <v/>
      </c>
    </row>
    <row r="826" spans="4:10" x14ac:dyDescent="0.25">
      <c r="D826" s="201" t="str">
        <f t="shared" si="12"/>
        <v/>
      </c>
      <c r="J826" s="201" t="str">
        <f>IFERROR(COUNTIF($C$23:C826,C826)&amp;CHOOSE(MIN(4,COUNTIF($C$23:C826,C826)),"st","nd","rd","th"),"")</f>
        <v/>
      </c>
    </row>
    <row r="827" spans="4:10" x14ac:dyDescent="0.25">
      <c r="D827" s="201" t="str">
        <f t="shared" si="12"/>
        <v/>
      </c>
      <c r="J827" s="201" t="str">
        <f>IFERROR(COUNTIF($C$23:C827,C827)&amp;CHOOSE(MIN(4,COUNTIF($C$23:C827,C827)),"st","nd","rd","th"),"")</f>
        <v/>
      </c>
    </row>
    <row r="828" spans="4:10" x14ac:dyDescent="0.25">
      <c r="D828" s="201" t="str">
        <f t="shared" si="12"/>
        <v/>
      </c>
      <c r="J828" s="201" t="str">
        <f>IFERROR(COUNTIF($C$23:C828,C828)&amp;CHOOSE(MIN(4,COUNTIF($C$23:C828,C828)),"st","nd","rd","th"),"")</f>
        <v/>
      </c>
    </row>
    <row r="829" spans="4:10" x14ac:dyDescent="0.25">
      <c r="D829" s="201" t="str">
        <f t="shared" si="12"/>
        <v/>
      </c>
      <c r="J829" s="201" t="str">
        <f>IFERROR(COUNTIF($C$23:C829,C829)&amp;CHOOSE(MIN(4,COUNTIF($C$23:C829,C829)),"st","nd","rd","th"),"")</f>
        <v/>
      </c>
    </row>
    <row r="830" spans="4:10" x14ac:dyDescent="0.25">
      <c r="D830" s="201" t="str">
        <f t="shared" si="12"/>
        <v/>
      </c>
      <c r="J830" s="201" t="str">
        <f>IFERROR(COUNTIF($C$23:C830,C830)&amp;CHOOSE(MIN(4,COUNTIF($C$23:C830,C830)),"st","nd","rd","th"),"")</f>
        <v/>
      </c>
    </row>
    <row r="831" spans="4:10" x14ac:dyDescent="0.25">
      <c r="D831" s="201" t="str">
        <f t="shared" si="12"/>
        <v/>
      </c>
      <c r="J831" s="201" t="str">
        <f>IFERROR(COUNTIF($C$23:C831,C831)&amp;CHOOSE(MIN(4,COUNTIF($C$23:C831,C831)),"st","nd","rd","th"),"")</f>
        <v/>
      </c>
    </row>
    <row r="832" spans="4:10" x14ac:dyDescent="0.25">
      <c r="D832" s="201" t="str">
        <f t="shared" si="12"/>
        <v/>
      </c>
      <c r="J832" s="201" t="str">
        <f>IFERROR(COUNTIF($C$23:C832,C832)&amp;CHOOSE(MIN(4,COUNTIF($C$23:C832,C832)),"st","nd","rd","th"),"")</f>
        <v/>
      </c>
    </row>
    <row r="833" spans="4:10" x14ac:dyDescent="0.25">
      <c r="D833" s="201" t="str">
        <f t="shared" si="12"/>
        <v/>
      </c>
      <c r="J833" s="201" t="str">
        <f>IFERROR(COUNTIF($C$23:C833,C833)&amp;CHOOSE(MIN(4,COUNTIF($C$23:C833,C833)),"st","nd","rd","th"),"")</f>
        <v/>
      </c>
    </row>
    <row r="834" spans="4:10" x14ac:dyDescent="0.25">
      <c r="D834" s="201" t="str">
        <f t="shared" si="12"/>
        <v/>
      </c>
      <c r="J834" s="201" t="str">
        <f>IFERROR(COUNTIF($C$23:C834,C834)&amp;CHOOSE(MIN(4,COUNTIF($C$23:C834,C834)),"st","nd","rd","th"),"")</f>
        <v/>
      </c>
    </row>
    <row r="835" spans="4:10" x14ac:dyDescent="0.25">
      <c r="D835" s="201" t="str">
        <f t="shared" si="12"/>
        <v/>
      </c>
      <c r="J835" s="201" t="str">
        <f>IFERROR(COUNTIF($C$23:C835,C835)&amp;CHOOSE(MIN(4,COUNTIF($C$23:C835,C835)),"st","nd","rd","th"),"")</f>
        <v/>
      </c>
    </row>
    <row r="836" spans="4:10" x14ac:dyDescent="0.25">
      <c r="D836" s="201" t="str">
        <f t="shared" si="12"/>
        <v/>
      </c>
      <c r="J836" s="201" t="str">
        <f>IFERROR(COUNTIF($C$23:C836,C836)&amp;CHOOSE(MIN(4,COUNTIF($C$23:C836,C836)),"st","nd","rd","th"),"")</f>
        <v/>
      </c>
    </row>
    <row r="837" spans="4:10" x14ac:dyDescent="0.25">
      <c r="D837" s="201" t="str">
        <f t="shared" si="12"/>
        <v/>
      </c>
      <c r="J837" s="201" t="str">
        <f>IFERROR(COUNTIF($C$23:C837,C837)&amp;CHOOSE(MIN(4,COUNTIF($C$23:C837,C837)),"st","nd","rd","th"),"")</f>
        <v/>
      </c>
    </row>
    <row r="838" spans="4:10" x14ac:dyDescent="0.25">
      <c r="D838" s="201" t="str">
        <f t="shared" si="12"/>
        <v/>
      </c>
      <c r="J838" s="201" t="str">
        <f>IFERROR(COUNTIF($C$23:C838,C838)&amp;CHOOSE(MIN(4,COUNTIF($C$23:C838,C838)),"st","nd","rd","th"),"")</f>
        <v/>
      </c>
    </row>
    <row r="839" spans="4:10" x14ac:dyDescent="0.25">
      <c r="D839" s="201" t="str">
        <f t="shared" si="12"/>
        <v/>
      </c>
      <c r="J839" s="201" t="str">
        <f>IFERROR(COUNTIF($C$23:C839,C839)&amp;CHOOSE(MIN(4,COUNTIF($C$23:C839,C839)),"st","nd","rd","th"),"")</f>
        <v/>
      </c>
    </row>
    <row r="840" spans="4:10" x14ac:dyDescent="0.25">
      <c r="D840" s="201" t="str">
        <f t="shared" si="12"/>
        <v/>
      </c>
      <c r="J840" s="201" t="str">
        <f>IFERROR(COUNTIF($C$23:C840,C840)&amp;CHOOSE(MIN(4,COUNTIF($C$23:C840,C840)),"st","nd","rd","th"),"")</f>
        <v/>
      </c>
    </row>
    <row r="841" spans="4:10" x14ac:dyDescent="0.25">
      <c r="D841" s="201" t="str">
        <f t="shared" si="12"/>
        <v/>
      </c>
      <c r="J841" s="201" t="str">
        <f>IFERROR(COUNTIF($C$23:C841,C841)&amp;CHOOSE(MIN(4,COUNTIF($C$23:C841,C841)),"st","nd","rd","th"),"")</f>
        <v/>
      </c>
    </row>
    <row r="842" spans="4:10" x14ac:dyDescent="0.25">
      <c r="D842" s="201" t="str">
        <f t="shared" si="12"/>
        <v/>
      </c>
      <c r="J842" s="201" t="str">
        <f>IFERROR(COUNTIF($C$23:C842,C842)&amp;CHOOSE(MIN(4,COUNTIF($C$23:C842,C842)),"st","nd","rd","th"),"")</f>
        <v/>
      </c>
    </row>
    <row r="843" spans="4:10" x14ac:dyDescent="0.25">
      <c r="D843" s="201" t="str">
        <f t="shared" si="12"/>
        <v/>
      </c>
      <c r="J843" s="201" t="str">
        <f>IFERROR(COUNTIF($C$23:C843,C843)&amp;CHOOSE(MIN(4,COUNTIF($C$23:C843,C843)),"st","nd","rd","th"),"")</f>
        <v/>
      </c>
    </row>
    <row r="844" spans="4:10" x14ac:dyDescent="0.25">
      <c r="D844" s="201" t="str">
        <f t="shared" si="12"/>
        <v/>
      </c>
      <c r="J844" s="201" t="str">
        <f>IFERROR(COUNTIF($C$23:C844,C844)&amp;CHOOSE(MIN(4,COUNTIF($C$23:C844,C844)),"st","nd","rd","th"),"")</f>
        <v/>
      </c>
    </row>
    <row r="845" spans="4:10" x14ac:dyDescent="0.25">
      <c r="D845" s="201" t="str">
        <f t="shared" si="12"/>
        <v/>
      </c>
      <c r="J845" s="201" t="str">
        <f>IFERROR(COUNTIF($C$23:C845,C845)&amp;CHOOSE(MIN(4,COUNTIF($C$23:C845,C845)),"st","nd","rd","th"),"")</f>
        <v/>
      </c>
    </row>
    <row r="846" spans="4:10" x14ac:dyDescent="0.25">
      <c r="D846" s="201" t="str">
        <f t="shared" si="12"/>
        <v/>
      </c>
      <c r="J846" s="201" t="str">
        <f>IFERROR(COUNTIF($C$23:C846,C846)&amp;CHOOSE(MIN(4,COUNTIF($C$23:C846,C846)),"st","nd","rd","th"),"")</f>
        <v/>
      </c>
    </row>
    <row r="847" spans="4:10" x14ac:dyDescent="0.25">
      <c r="D847" s="201" t="str">
        <f t="shared" si="12"/>
        <v/>
      </c>
      <c r="J847" s="201" t="str">
        <f>IFERROR(COUNTIF($C$23:C847,C847)&amp;CHOOSE(MIN(4,COUNTIF($C$23:C847,C847)),"st","nd","rd","th"),"")</f>
        <v/>
      </c>
    </row>
    <row r="848" spans="4:10" x14ac:dyDescent="0.25">
      <c r="D848" s="201" t="str">
        <f t="shared" si="12"/>
        <v/>
      </c>
      <c r="J848" s="201" t="str">
        <f>IFERROR(COUNTIF($C$23:C848,C848)&amp;CHOOSE(MIN(4,COUNTIF($C$23:C848,C848)),"st","nd","rd","th"),"")</f>
        <v/>
      </c>
    </row>
    <row r="849" spans="4:10" x14ac:dyDescent="0.25">
      <c r="D849" s="201" t="str">
        <f t="shared" si="12"/>
        <v/>
      </c>
      <c r="J849" s="201" t="str">
        <f>IFERROR(COUNTIF($C$23:C849,C849)&amp;CHOOSE(MIN(4,COUNTIF($C$23:C849,C849)),"st","nd","rd","th"),"")</f>
        <v/>
      </c>
    </row>
    <row r="850" spans="4:10" x14ac:dyDescent="0.25">
      <c r="D850" s="201" t="str">
        <f t="shared" si="12"/>
        <v/>
      </c>
      <c r="J850" s="201" t="str">
        <f>IFERROR(COUNTIF($C$23:C850,C850)&amp;CHOOSE(MIN(4,COUNTIF($C$23:C850,C850)),"st","nd","rd","th"),"")</f>
        <v/>
      </c>
    </row>
    <row r="851" spans="4:10" x14ac:dyDescent="0.25">
      <c r="D851" s="201" t="str">
        <f t="shared" si="12"/>
        <v/>
      </c>
      <c r="J851" s="201" t="str">
        <f>IFERROR(COUNTIF($C$23:C851,C851)&amp;CHOOSE(MIN(4,COUNTIF($C$23:C851,C851)),"st","nd","rd","th"),"")</f>
        <v/>
      </c>
    </row>
    <row r="852" spans="4:10" x14ac:dyDescent="0.25">
      <c r="D852" s="201" t="str">
        <f t="shared" si="12"/>
        <v/>
      </c>
      <c r="J852" s="201" t="str">
        <f>IFERROR(COUNTIF($C$23:C852,C852)&amp;CHOOSE(MIN(4,COUNTIF($C$23:C852,C852)),"st","nd","rd","th"),"")</f>
        <v/>
      </c>
    </row>
    <row r="853" spans="4:10" x14ac:dyDescent="0.25">
      <c r="D853" s="201" t="str">
        <f t="shared" si="12"/>
        <v/>
      </c>
      <c r="J853" s="201" t="str">
        <f>IFERROR(COUNTIF($C$23:C853,C853)&amp;CHOOSE(MIN(4,COUNTIF($C$23:C853,C853)),"st","nd","rd","th"),"")</f>
        <v/>
      </c>
    </row>
    <row r="854" spans="4:10" x14ac:dyDescent="0.25">
      <c r="D854" s="201" t="str">
        <f t="shared" si="12"/>
        <v/>
      </c>
      <c r="J854" s="201" t="str">
        <f>IFERROR(COUNTIF($C$23:C854,C854)&amp;CHOOSE(MIN(4,COUNTIF($C$23:C854,C854)),"st","nd","rd","th"),"")</f>
        <v/>
      </c>
    </row>
    <row r="855" spans="4:10" x14ac:dyDescent="0.25">
      <c r="D855" s="201" t="str">
        <f t="shared" ref="D855:D918" si="13">IF(B855="","",IF(B855="Province_PLGU","PDPFP","CLUP"))</f>
        <v/>
      </c>
      <c r="J855" s="201" t="str">
        <f>IFERROR(COUNTIF($C$23:C855,C855)&amp;CHOOSE(MIN(4,COUNTIF($C$23:C855,C855)),"st","nd","rd","th"),"")</f>
        <v/>
      </c>
    </row>
    <row r="856" spans="4:10" x14ac:dyDescent="0.25">
      <c r="D856" s="201" t="str">
        <f t="shared" si="13"/>
        <v/>
      </c>
      <c r="J856" s="201" t="str">
        <f>IFERROR(COUNTIF($C$23:C856,C856)&amp;CHOOSE(MIN(4,COUNTIF($C$23:C856,C856)),"st","nd","rd","th"),"")</f>
        <v/>
      </c>
    </row>
    <row r="857" spans="4:10" x14ac:dyDescent="0.25">
      <c r="D857" s="201" t="str">
        <f t="shared" si="13"/>
        <v/>
      </c>
      <c r="J857" s="201" t="str">
        <f>IFERROR(COUNTIF($C$23:C857,C857)&amp;CHOOSE(MIN(4,COUNTIF($C$23:C857,C857)),"st","nd","rd","th"),"")</f>
        <v/>
      </c>
    </row>
    <row r="858" spans="4:10" x14ac:dyDescent="0.25">
      <c r="D858" s="201" t="str">
        <f t="shared" si="13"/>
        <v/>
      </c>
      <c r="J858" s="201" t="str">
        <f>IFERROR(COUNTIF($C$23:C858,C858)&amp;CHOOSE(MIN(4,COUNTIF($C$23:C858,C858)),"st","nd","rd","th"),"")</f>
        <v/>
      </c>
    </row>
    <row r="859" spans="4:10" x14ac:dyDescent="0.25">
      <c r="D859" s="201" t="str">
        <f t="shared" si="13"/>
        <v/>
      </c>
      <c r="J859" s="201" t="str">
        <f>IFERROR(COUNTIF($C$23:C859,C859)&amp;CHOOSE(MIN(4,COUNTIF($C$23:C859,C859)),"st","nd","rd","th"),"")</f>
        <v/>
      </c>
    </row>
    <row r="860" spans="4:10" x14ac:dyDescent="0.25">
      <c r="D860" s="201" t="str">
        <f t="shared" si="13"/>
        <v/>
      </c>
      <c r="J860" s="201" t="str">
        <f>IFERROR(COUNTIF($C$23:C860,C860)&amp;CHOOSE(MIN(4,COUNTIF($C$23:C860,C860)),"st","nd","rd","th"),"")</f>
        <v/>
      </c>
    </row>
    <row r="861" spans="4:10" x14ac:dyDescent="0.25">
      <c r="D861" s="201" t="str">
        <f t="shared" si="13"/>
        <v/>
      </c>
      <c r="J861" s="201" t="str">
        <f>IFERROR(COUNTIF($C$23:C861,C861)&amp;CHOOSE(MIN(4,COUNTIF($C$23:C861,C861)),"st","nd","rd","th"),"")</f>
        <v/>
      </c>
    </row>
    <row r="862" spans="4:10" x14ac:dyDescent="0.25">
      <c r="D862" s="201" t="str">
        <f t="shared" si="13"/>
        <v/>
      </c>
      <c r="J862" s="201" t="str">
        <f>IFERROR(COUNTIF($C$23:C862,C862)&amp;CHOOSE(MIN(4,COUNTIF($C$23:C862,C862)),"st","nd","rd","th"),"")</f>
        <v/>
      </c>
    </row>
    <row r="863" spans="4:10" x14ac:dyDescent="0.25">
      <c r="D863" s="201" t="str">
        <f t="shared" si="13"/>
        <v/>
      </c>
      <c r="J863" s="201" t="str">
        <f>IFERROR(COUNTIF($C$23:C863,C863)&amp;CHOOSE(MIN(4,COUNTIF($C$23:C863,C863)),"st","nd","rd","th"),"")</f>
        <v/>
      </c>
    </row>
    <row r="864" spans="4:10" x14ac:dyDescent="0.25">
      <c r="D864" s="201" t="str">
        <f t="shared" si="13"/>
        <v/>
      </c>
      <c r="J864" s="201" t="str">
        <f>IFERROR(COUNTIF($C$23:C864,C864)&amp;CHOOSE(MIN(4,COUNTIF($C$23:C864,C864)),"st","nd","rd","th"),"")</f>
        <v/>
      </c>
    </row>
    <row r="865" spans="4:10" x14ac:dyDescent="0.25">
      <c r="D865" s="201" t="str">
        <f t="shared" si="13"/>
        <v/>
      </c>
      <c r="J865" s="201" t="str">
        <f>IFERROR(COUNTIF($C$23:C865,C865)&amp;CHOOSE(MIN(4,COUNTIF($C$23:C865,C865)),"st","nd","rd","th"),"")</f>
        <v/>
      </c>
    </row>
    <row r="866" spans="4:10" x14ac:dyDescent="0.25">
      <c r="D866" s="201" t="str">
        <f t="shared" si="13"/>
        <v/>
      </c>
      <c r="J866" s="201" t="str">
        <f>IFERROR(COUNTIF($C$23:C866,C866)&amp;CHOOSE(MIN(4,COUNTIF($C$23:C866,C866)),"st","nd","rd","th"),"")</f>
        <v/>
      </c>
    </row>
    <row r="867" spans="4:10" x14ac:dyDescent="0.25">
      <c r="D867" s="201" t="str">
        <f t="shared" si="13"/>
        <v/>
      </c>
      <c r="J867" s="201" t="str">
        <f>IFERROR(COUNTIF($C$23:C867,C867)&amp;CHOOSE(MIN(4,COUNTIF($C$23:C867,C867)),"st","nd","rd","th"),"")</f>
        <v/>
      </c>
    </row>
    <row r="868" spans="4:10" x14ac:dyDescent="0.25">
      <c r="D868" s="201" t="str">
        <f t="shared" si="13"/>
        <v/>
      </c>
      <c r="J868" s="201" t="str">
        <f>IFERROR(COUNTIF($C$23:C868,C868)&amp;CHOOSE(MIN(4,COUNTIF($C$23:C868,C868)),"st","nd","rd","th"),"")</f>
        <v/>
      </c>
    </row>
    <row r="869" spans="4:10" x14ac:dyDescent="0.25">
      <c r="D869" s="201" t="str">
        <f t="shared" si="13"/>
        <v/>
      </c>
      <c r="J869" s="201" t="str">
        <f>IFERROR(COUNTIF($C$23:C869,C869)&amp;CHOOSE(MIN(4,COUNTIF($C$23:C869,C869)),"st","nd","rd","th"),"")</f>
        <v/>
      </c>
    </row>
    <row r="870" spans="4:10" x14ac:dyDescent="0.25">
      <c r="D870" s="201" t="str">
        <f t="shared" si="13"/>
        <v/>
      </c>
      <c r="J870" s="201" t="str">
        <f>IFERROR(COUNTIF($C$23:C870,C870)&amp;CHOOSE(MIN(4,COUNTIF($C$23:C870,C870)),"st","nd","rd","th"),"")</f>
        <v/>
      </c>
    </row>
    <row r="871" spans="4:10" x14ac:dyDescent="0.25">
      <c r="D871" s="201" t="str">
        <f t="shared" si="13"/>
        <v/>
      </c>
      <c r="J871" s="201" t="str">
        <f>IFERROR(COUNTIF($C$23:C871,C871)&amp;CHOOSE(MIN(4,COUNTIF($C$23:C871,C871)),"st","nd","rd","th"),"")</f>
        <v/>
      </c>
    </row>
    <row r="872" spans="4:10" x14ac:dyDescent="0.25">
      <c r="D872" s="201" t="str">
        <f t="shared" si="13"/>
        <v/>
      </c>
      <c r="J872" s="201" t="str">
        <f>IFERROR(COUNTIF($C$23:C872,C872)&amp;CHOOSE(MIN(4,COUNTIF($C$23:C872,C872)),"st","nd","rd","th"),"")</f>
        <v/>
      </c>
    </row>
    <row r="873" spans="4:10" x14ac:dyDescent="0.25">
      <c r="D873" s="201" t="str">
        <f t="shared" si="13"/>
        <v/>
      </c>
      <c r="J873" s="201" t="str">
        <f>IFERROR(COUNTIF($C$23:C873,C873)&amp;CHOOSE(MIN(4,COUNTIF($C$23:C873,C873)),"st","nd","rd","th"),"")</f>
        <v/>
      </c>
    </row>
    <row r="874" spans="4:10" x14ac:dyDescent="0.25">
      <c r="D874" s="201" t="str">
        <f t="shared" si="13"/>
        <v/>
      </c>
      <c r="J874" s="201" t="str">
        <f>IFERROR(COUNTIF($C$23:C874,C874)&amp;CHOOSE(MIN(4,COUNTIF($C$23:C874,C874)),"st","nd","rd","th"),"")</f>
        <v/>
      </c>
    </row>
    <row r="875" spans="4:10" x14ac:dyDescent="0.25">
      <c r="D875" s="201" t="str">
        <f t="shared" si="13"/>
        <v/>
      </c>
      <c r="J875" s="201" t="str">
        <f>IFERROR(COUNTIF($C$23:C875,C875)&amp;CHOOSE(MIN(4,COUNTIF($C$23:C875,C875)),"st","nd","rd","th"),"")</f>
        <v/>
      </c>
    </row>
    <row r="876" spans="4:10" x14ac:dyDescent="0.25">
      <c r="D876" s="201" t="str">
        <f t="shared" si="13"/>
        <v/>
      </c>
      <c r="J876" s="201" t="str">
        <f>IFERROR(COUNTIF($C$23:C876,C876)&amp;CHOOSE(MIN(4,COUNTIF($C$23:C876,C876)),"st","nd","rd","th"),"")</f>
        <v/>
      </c>
    </row>
    <row r="877" spans="4:10" x14ac:dyDescent="0.25">
      <c r="D877" s="201" t="str">
        <f t="shared" si="13"/>
        <v/>
      </c>
      <c r="J877" s="201" t="str">
        <f>IFERROR(COUNTIF($C$23:C877,C877)&amp;CHOOSE(MIN(4,COUNTIF($C$23:C877,C877)),"st","nd","rd","th"),"")</f>
        <v/>
      </c>
    </row>
    <row r="878" spans="4:10" x14ac:dyDescent="0.25">
      <c r="D878" s="201" t="str">
        <f t="shared" si="13"/>
        <v/>
      </c>
      <c r="J878" s="201" t="str">
        <f>IFERROR(COUNTIF($C$23:C878,C878)&amp;CHOOSE(MIN(4,COUNTIF($C$23:C878,C878)),"st","nd","rd","th"),"")</f>
        <v/>
      </c>
    </row>
    <row r="879" spans="4:10" x14ac:dyDescent="0.25">
      <c r="D879" s="201" t="str">
        <f t="shared" si="13"/>
        <v/>
      </c>
      <c r="J879" s="201" t="str">
        <f>IFERROR(COUNTIF($C$23:C879,C879)&amp;CHOOSE(MIN(4,COUNTIF($C$23:C879,C879)),"st","nd","rd","th"),"")</f>
        <v/>
      </c>
    </row>
    <row r="880" spans="4:10" x14ac:dyDescent="0.25">
      <c r="D880" s="201" t="str">
        <f t="shared" si="13"/>
        <v/>
      </c>
      <c r="J880" s="201" t="str">
        <f>IFERROR(COUNTIF($C$23:C880,C880)&amp;CHOOSE(MIN(4,COUNTIF($C$23:C880,C880)),"st","nd","rd","th"),"")</f>
        <v/>
      </c>
    </row>
    <row r="881" spans="4:10" x14ac:dyDescent="0.25">
      <c r="D881" s="201" t="str">
        <f t="shared" si="13"/>
        <v/>
      </c>
      <c r="J881" s="201" t="str">
        <f>IFERROR(COUNTIF($C$23:C881,C881)&amp;CHOOSE(MIN(4,COUNTIF($C$23:C881,C881)),"st","nd","rd","th"),"")</f>
        <v/>
      </c>
    </row>
    <row r="882" spans="4:10" x14ac:dyDescent="0.25">
      <c r="D882" s="201" t="str">
        <f t="shared" si="13"/>
        <v/>
      </c>
      <c r="J882" s="201" t="str">
        <f>IFERROR(COUNTIF($C$23:C882,C882)&amp;CHOOSE(MIN(4,COUNTIF($C$23:C882,C882)),"st","nd","rd","th"),"")</f>
        <v/>
      </c>
    </row>
    <row r="883" spans="4:10" x14ac:dyDescent="0.25">
      <c r="D883" s="201" t="str">
        <f t="shared" si="13"/>
        <v/>
      </c>
      <c r="J883" s="201" t="str">
        <f>IFERROR(COUNTIF($C$23:C883,C883)&amp;CHOOSE(MIN(4,COUNTIF($C$23:C883,C883)),"st","nd","rd","th"),"")</f>
        <v/>
      </c>
    </row>
    <row r="884" spans="4:10" x14ac:dyDescent="0.25">
      <c r="D884" s="201" t="str">
        <f t="shared" si="13"/>
        <v/>
      </c>
      <c r="J884" s="201" t="str">
        <f>IFERROR(COUNTIF($C$23:C884,C884)&amp;CHOOSE(MIN(4,COUNTIF($C$23:C884,C884)),"st","nd","rd","th"),"")</f>
        <v/>
      </c>
    </row>
    <row r="885" spans="4:10" x14ac:dyDescent="0.25">
      <c r="D885" s="201" t="str">
        <f t="shared" si="13"/>
        <v/>
      </c>
      <c r="J885" s="201" t="str">
        <f>IFERROR(COUNTIF($C$23:C885,C885)&amp;CHOOSE(MIN(4,COUNTIF($C$23:C885,C885)),"st","nd","rd","th"),"")</f>
        <v/>
      </c>
    </row>
    <row r="886" spans="4:10" x14ac:dyDescent="0.25">
      <c r="D886" s="201" t="str">
        <f t="shared" si="13"/>
        <v/>
      </c>
      <c r="J886" s="201" t="str">
        <f>IFERROR(COUNTIF($C$23:C886,C886)&amp;CHOOSE(MIN(4,COUNTIF($C$23:C886,C886)),"st","nd","rd","th"),"")</f>
        <v/>
      </c>
    </row>
    <row r="887" spans="4:10" x14ac:dyDescent="0.25">
      <c r="D887" s="201" t="str">
        <f t="shared" si="13"/>
        <v/>
      </c>
      <c r="J887" s="201" t="str">
        <f>IFERROR(COUNTIF($C$23:C887,C887)&amp;CHOOSE(MIN(4,COUNTIF($C$23:C887,C887)),"st","nd","rd","th"),"")</f>
        <v/>
      </c>
    </row>
    <row r="888" spans="4:10" x14ac:dyDescent="0.25">
      <c r="D888" s="201" t="str">
        <f t="shared" si="13"/>
        <v/>
      </c>
      <c r="J888" s="201" t="str">
        <f>IFERROR(COUNTIF($C$23:C888,C888)&amp;CHOOSE(MIN(4,COUNTIF($C$23:C888,C888)),"st","nd","rd","th"),"")</f>
        <v/>
      </c>
    </row>
    <row r="889" spans="4:10" x14ac:dyDescent="0.25">
      <c r="D889" s="201" t="str">
        <f t="shared" si="13"/>
        <v/>
      </c>
      <c r="J889" s="201" t="str">
        <f>IFERROR(COUNTIF($C$23:C889,C889)&amp;CHOOSE(MIN(4,COUNTIF($C$23:C889,C889)),"st","nd","rd","th"),"")</f>
        <v/>
      </c>
    </row>
    <row r="890" spans="4:10" x14ac:dyDescent="0.25">
      <c r="D890" s="201" t="str">
        <f t="shared" si="13"/>
        <v/>
      </c>
      <c r="J890" s="201" t="str">
        <f>IFERROR(COUNTIF($C$23:C890,C890)&amp;CHOOSE(MIN(4,COUNTIF($C$23:C890,C890)),"st","nd","rd","th"),"")</f>
        <v/>
      </c>
    </row>
    <row r="891" spans="4:10" x14ac:dyDescent="0.25">
      <c r="D891" s="201" t="str">
        <f t="shared" si="13"/>
        <v/>
      </c>
      <c r="J891" s="201" t="str">
        <f>IFERROR(COUNTIF($C$23:C891,C891)&amp;CHOOSE(MIN(4,COUNTIF($C$23:C891,C891)),"st","nd","rd","th"),"")</f>
        <v/>
      </c>
    </row>
    <row r="892" spans="4:10" x14ac:dyDescent="0.25">
      <c r="D892" s="201" t="str">
        <f t="shared" si="13"/>
        <v/>
      </c>
      <c r="J892" s="201" t="str">
        <f>IFERROR(COUNTIF($C$23:C892,C892)&amp;CHOOSE(MIN(4,COUNTIF($C$23:C892,C892)),"st","nd","rd","th"),"")</f>
        <v/>
      </c>
    </row>
    <row r="893" spans="4:10" x14ac:dyDescent="0.25">
      <c r="D893" s="201" t="str">
        <f t="shared" si="13"/>
        <v/>
      </c>
      <c r="J893" s="201" t="str">
        <f>IFERROR(COUNTIF($C$23:C893,C893)&amp;CHOOSE(MIN(4,COUNTIF($C$23:C893,C893)),"st","nd","rd","th"),"")</f>
        <v/>
      </c>
    </row>
    <row r="894" spans="4:10" x14ac:dyDescent="0.25">
      <c r="D894" s="201" t="str">
        <f t="shared" si="13"/>
        <v/>
      </c>
      <c r="J894" s="201" t="str">
        <f>IFERROR(COUNTIF($C$23:C894,C894)&amp;CHOOSE(MIN(4,COUNTIF($C$23:C894,C894)),"st","nd","rd","th"),"")</f>
        <v/>
      </c>
    </row>
    <row r="895" spans="4:10" x14ac:dyDescent="0.25">
      <c r="D895" s="201" t="str">
        <f t="shared" si="13"/>
        <v/>
      </c>
      <c r="J895" s="201" t="str">
        <f>IFERROR(COUNTIF($C$23:C895,C895)&amp;CHOOSE(MIN(4,COUNTIF($C$23:C895,C895)),"st","nd","rd","th"),"")</f>
        <v/>
      </c>
    </row>
    <row r="896" spans="4:10" x14ac:dyDescent="0.25">
      <c r="D896" s="201" t="str">
        <f t="shared" si="13"/>
        <v/>
      </c>
      <c r="J896" s="201" t="str">
        <f>IFERROR(COUNTIF($C$23:C896,C896)&amp;CHOOSE(MIN(4,COUNTIF($C$23:C896,C896)),"st","nd","rd","th"),"")</f>
        <v/>
      </c>
    </row>
    <row r="897" spans="4:10" x14ac:dyDescent="0.25">
      <c r="D897" s="201" t="str">
        <f t="shared" si="13"/>
        <v/>
      </c>
      <c r="J897" s="201" t="str">
        <f>IFERROR(COUNTIF($C$23:C897,C897)&amp;CHOOSE(MIN(4,COUNTIF($C$23:C897,C897)),"st","nd","rd","th"),"")</f>
        <v/>
      </c>
    </row>
    <row r="898" spans="4:10" x14ac:dyDescent="0.25">
      <c r="D898" s="201" t="str">
        <f t="shared" si="13"/>
        <v/>
      </c>
      <c r="J898" s="201" t="str">
        <f>IFERROR(COUNTIF($C$23:C898,C898)&amp;CHOOSE(MIN(4,COUNTIF($C$23:C898,C898)),"st","nd","rd","th"),"")</f>
        <v/>
      </c>
    </row>
    <row r="899" spans="4:10" x14ac:dyDescent="0.25">
      <c r="D899" s="201" t="str">
        <f t="shared" si="13"/>
        <v/>
      </c>
      <c r="J899" s="201" t="str">
        <f>IFERROR(COUNTIF($C$23:C899,C899)&amp;CHOOSE(MIN(4,COUNTIF($C$23:C899,C899)),"st","nd","rd","th"),"")</f>
        <v/>
      </c>
    </row>
    <row r="900" spans="4:10" x14ac:dyDescent="0.25">
      <c r="D900" s="201" t="str">
        <f t="shared" si="13"/>
        <v/>
      </c>
      <c r="J900" s="201" t="str">
        <f>IFERROR(COUNTIF($C$23:C900,C900)&amp;CHOOSE(MIN(4,COUNTIF($C$23:C900,C900)),"st","nd","rd","th"),"")</f>
        <v/>
      </c>
    </row>
    <row r="901" spans="4:10" x14ac:dyDescent="0.25">
      <c r="D901" s="201" t="str">
        <f t="shared" si="13"/>
        <v/>
      </c>
      <c r="J901" s="201" t="str">
        <f>IFERROR(COUNTIF($C$23:C901,C901)&amp;CHOOSE(MIN(4,COUNTIF($C$23:C901,C901)),"st","nd","rd","th"),"")</f>
        <v/>
      </c>
    </row>
    <row r="902" spans="4:10" x14ac:dyDescent="0.25">
      <c r="D902" s="201" t="str">
        <f t="shared" si="13"/>
        <v/>
      </c>
      <c r="J902" s="201" t="str">
        <f>IFERROR(COUNTIF($C$23:C902,C902)&amp;CHOOSE(MIN(4,COUNTIF($C$23:C902,C902)),"st","nd","rd","th"),"")</f>
        <v/>
      </c>
    </row>
    <row r="903" spans="4:10" x14ac:dyDescent="0.25">
      <c r="D903" s="201" t="str">
        <f t="shared" si="13"/>
        <v/>
      </c>
      <c r="J903" s="201" t="str">
        <f>IFERROR(COUNTIF($C$23:C903,C903)&amp;CHOOSE(MIN(4,COUNTIF($C$23:C903,C903)),"st","nd","rd","th"),"")</f>
        <v/>
      </c>
    </row>
    <row r="904" spans="4:10" x14ac:dyDescent="0.25">
      <c r="D904" s="201" t="str">
        <f t="shared" si="13"/>
        <v/>
      </c>
      <c r="J904" s="201" t="str">
        <f>IFERROR(COUNTIF($C$23:C904,C904)&amp;CHOOSE(MIN(4,COUNTIF($C$23:C904,C904)),"st","nd","rd","th"),"")</f>
        <v/>
      </c>
    </row>
    <row r="905" spans="4:10" x14ac:dyDescent="0.25">
      <c r="D905" s="201" t="str">
        <f t="shared" si="13"/>
        <v/>
      </c>
      <c r="J905" s="201" t="str">
        <f>IFERROR(COUNTIF($C$23:C905,C905)&amp;CHOOSE(MIN(4,COUNTIF($C$23:C905,C905)),"st","nd","rd","th"),"")</f>
        <v/>
      </c>
    </row>
    <row r="906" spans="4:10" x14ac:dyDescent="0.25">
      <c r="D906" s="201" t="str">
        <f t="shared" si="13"/>
        <v/>
      </c>
      <c r="J906" s="201" t="str">
        <f>IFERROR(COUNTIF($C$23:C906,C906)&amp;CHOOSE(MIN(4,COUNTIF($C$23:C906,C906)),"st","nd","rd","th"),"")</f>
        <v/>
      </c>
    </row>
    <row r="907" spans="4:10" x14ac:dyDescent="0.25">
      <c r="D907" s="201" t="str">
        <f t="shared" si="13"/>
        <v/>
      </c>
      <c r="J907" s="201" t="str">
        <f>IFERROR(COUNTIF($C$23:C907,C907)&amp;CHOOSE(MIN(4,COUNTIF($C$23:C907,C907)),"st","nd","rd","th"),"")</f>
        <v/>
      </c>
    </row>
    <row r="908" spans="4:10" x14ac:dyDescent="0.25">
      <c r="D908" s="201" t="str">
        <f t="shared" si="13"/>
        <v/>
      </c>
      <c r="J908" s="201" t="str">
        <f>IFERROR(COUNTIF($C$23:C908,C908)&amp;CHOOSE(MIN(4,COUNTIF($C$23:C908,C908)),"st","nd","rd","th"),"")</f>
        <v/>
      </c>
    </row>
    <row r="909" spans="4:10" x14ac:dyDescent="0.25">
      <c r="D909" s="201" t="str">
        <f t="shared" si="13"/>
        <v/>
      </c>
      <c r="J909" s="201" t="str">
        <f>IFERROR(COUNTIF($C$23:C909,C909)&amp;CHOOSE(MIN(4,COUNTIF($C$23:C909,C909)),"st","nd","rd","th"),"")</f>
        <v/>
      </c>
    </row>
    <row r="910" spans="4:10" x14ac:dyDescent="0.25">
      <c r="D910" s="201" t="str">
        <f t="shared" si="13"/>
        <v/>
      </c>
      <c r="J910" s="201" t="str">
        <f>IFERROR(COUNTIF($C$23:C910,C910)&amp;CHOOSE(MIN(4,COUNTIF($C$23:C910,C910)),"st","nd","rd","th"),"")</f>
        <v/>
      </c>
    </row>
    <row r="911" spans="4:10" x14ac:dyDescent="0.25">
      <c r="D911" s="201" t="str">
        <f t="shared" si="13"/>
        <v/>
      </c>
      <c r="J911" s="201" t="str">
        <f>IFERROR(COUNTIF($C$23:C911,C911)&amp;CHOOSE(MIN(4,COUNTIF($C$23:C911,C911)),"st","nd","rd","th"),"")</f>
        <v/>
      </c>
    </row>
    <row r="912" spans="4:10" x14ac:dyDescent="0.25">
      <c r="D912" s="201" t="str">
        <f t="shared" si="13"/>
        <v/>
      </c>
      <c r="J912" s="201" t="str">
        <f>IFERROR(COUNTIF($C$23:C912,C912)&amp;CHOOSE(MIN(4,COUNTIF($C$23:C912,C912)),"st","nd","rd","th"),"")</f>
        <v/>
      </c>
    </row>
    <row r="913" spans="4:10" x14ac:dyDescent="0.25">
      <c r="D913" s="201" t="str">
        <f t="shared" si="13"/>
        <v/>
      </c>
      <c r="J913" s="201" t="str">
        <f>IFERROR(COUNTIF($C$23:C913,C913)&amp;CHOOSE(MIN(4,COUNTIF($C$23:C913,C913)),"st","nd","rd","th"),"")</f>
        <v/>
      </c>
    </row>
    <row r="914" spans="4:10" x14ac:dyDescent="0.25">
      <c r="D914" s="201" t="str">
        <f t="shared" si="13"/>
        <v/>
      </c>
      <c r="J914" s="201" t="str">
        <f>IFERROR(COUNTIF($C$23:C914,C914)&amp;CHOOSE(MIN(4,COUNTIF($C$23:C914,C914)),"st","nd","rd","th"),"")</f>
        <v/>
      </c>
    </row>
    <row r="915" spans="4:10" x14ac:dyDescent="0.25">
      <c r="D915" s="201" t="str">
        <f t="shared" si="13"/>
        <v/>
      </c>
      <c r="J915" s="201" t="str">
        <f>IFERROR(COUNTIF($C$23:C915,C915)&amp;CHOOSE(MIN(4,COUNTIF($C$23:C915,C915)),"st","nd","rd","th"),"")</f>
        <v/>
      </c>
    </row>
    <row r="916" spans="4:10" x14ac:dyDescent="0.25">
      <c r="D916" s="201" t="str">
        <f t="shared" si="13"/>
        <v/>
      </c>
      <c r="J916" s="201" t="str">
        <f>IFERROR(COUNTIF($C$23:C916,C916)&amp;CHOOSE(MIN(4,COUNTIF($C$23:C916,C916)),"st","nd","rd","th"),"")</f>
        <v/>
      </c>
    </row>
    <row r="917" spans="4:10" x14ac:dyDescent="0.25">
      <c r="D917" s="201" t="str">
        <f t="shared" si="13"/>
        <v/>
      </c>
      <c r="J917" s="201" t="str">
        <f>IFERROR(COUNTIF($C$23:C917,C917)&amp;CHOOSE(MIN(4,COUNTIF($C$23:C917,C917)),"st","nd","rd","th"),"")</f>
        <v/>
      </c>
    </row>
    <row r="918" spans="4:10" x14ac:dyDescent="0.25">
      <c r="D918" s="201" t="str">
        <f t="shared" si="13"/>
        <v/>
      </c>
      <c r="J918" s="201" t="str">
        <f>IFERROR(COUNTIF($C$23:C918,C918)&amp;CHOOSE(MIN(4,COUNTIF($C$23:C918,C918)),"st","nd","rd","th"),"")</f>
        <v/>
      </c>
    </row>
    <row r="919" spans="4:10" x14ac:dyDescent="0.25">
      <c r="D919" s="201" t="str">
        <f t="shared" ref="D919:D982" si="14">IF(B919="","",IF(B919="Province_PLGU","PDPFP","CLUP"))</f>
        <v/>
      </c>
      <c r="J919" s="201" t="str">
        <f>IFERROR(COUNTIF($C$23:C919,C919)&amp;CHOOSE(MIN(4,COUNTIF($C$23:C919,C919)),"st","nd","rd","th"),"")</f>
        <v/>
      </c>
    </row>
    <row r="920" spans="4:10" x14ac:dyDescent="0.25">
      <c r="D920" s="201" t="str">
        <f t="shared" si="14"/>
        <v/>
      </c>
      <c r="J920" s="201" t="str">
        <f>IFERROR(COUNTIF($C$23:C920,C920)&amp;CHOOSE(MIN(4,COUNTIF($C$23:C920,C920)),"st","nd","rd","th"),"")</f>
        <v/>
      </c>
    </row>
    <row r="921" spans="4:10" x14ac:dyDescent="0.25">
      <c r="D921" s="201" t="str">
        <f t="shared" si="14"/>
        <v/>
      </c>
      <c r="J921" s="201" t="str">
        <f>IFERROR(COUNTIF($C$23:C921,C921)&amp;CHOOSE(MIN(4,COUNTIF($C$23:C921,C921)),"st","nd","rd","th"),"")</f>
        <v/>
      </c>
    </row>
    <row r="922" spans="4:10" x14ac:dyDescent="0.25">
      <c r="D922" s="201" t="str">
        <f t="shared" si="14"/>
        <v/>
      </c>
      <c r="J922" s="201" t="str">
        <f>IFERROR(COUNTIF($C$23:C922,C922)&amp;CHOOSE(MIN(4,COUNTIF($C$23:C922,C922)),"st","nd","rd","th"),"")</f>
        <v/>
      </c>
    </row>
    <row r="923" spans="4:10" x14ac:dyDescent="0.25">
      <c r="D923" s="201" t="str">
        <f t="shared" si="14"/>
        <v/>
      </c>
      <c r="J923" s="201" t="str">
        <f>IFERROR(COUNTIF($C$23:C923,C923)&amp;CHOOSE(MIN(4,COUNTIF($C$23:C923,C923)),"st","nd","rd","th"),"")</f>
        <v/>
      </c>
    </row>
    <row r="924" spans="4:10" x14ac:dyDescent="0.25">
      <c r="D924" s="201" t="str">
        <f t="shared" si="14"/>
        <v/>
      </c>
      <c r="J924" s="201" t="str">
        <f>IFERROR(COUNTIF($C$23:C924,C924)&amp;CHOOSE(MIN(4,COUNTIF($C$23:C924,C924)),"st","nd","rd","th"),"")</f>
        <v/>
      </c>
    </row>
    <row r="925" spans="4:10" x14ac:dyDescent="0.25">
      <c r="D925" s="201" t="str">
        <f t="shared" si="14"/>
        <v/>
      </c>
      <c r="J925" s="201" t="str">
        <f>IFERROR(COUNTIF($C$23:C925,C925)&amp;CHOOSE(MIN(4,COUNTIF($C$23:C925,C925)),"st","nd","rd","th"),"")</f>
        <v/>
      </c>
    </row>
    <row r="926" spans="4:10" x14ac:dyDescent="0.25">
      <c r="D926" s="201" t="str">
        <f t="shared" si="14"/>
        <v/>
      </c>
      <c r="J926" s="201" t="str">
        <f>IFERROR(COUNTIF($C$23:C926,C926)&amp;CHOOSE(MIN(4,COUNTIF($C$23:C926,C926)),"st","nd","rd","th"),"")</f>
        <v/>
      </c>
    </row>
    <row r="927" spans="4:10" x14ac:dyDescent="0.25">
      <c r="D927" s="201" t="str">
        <f t="shared" si="14"/>
        <v/>
      </c>
      <c r="J927" s="201" t="str">
        <f>IFERROR(COUNTIF($C$23:C927,C927)&amp;CHOOSE(MIN(4,COUNTIF($C$23:C927,C927)),"st","nd","rd","th"),"")</f>
        <v/>
      </c>
    </row>
    <row r="928" spans="4:10" x14ac:dyDescent="0.25">
      <c r="D928" s="201" t="str">
        <f t="shared" si="14"/>
        <v/>
      </c>
      <c r="J928" s="201" t="str">
        <f>IFERROR(COUNTIF($C$23:C928,C928)&amp;CHOOSE(MIN(4,COUNTIF($C$23:C928,C928)),"st","nd","rd","th"),"")</f>
        <v/>
      </c>
    </row>
    <row r="929" spans="4:10" x14ac:dyDescent="0.25">
      <c r="D929" s="201" t="str">
        <f t="shared" si="14"/>
        <v/>
      </c>
      <c r="J929" s="201" t="str">
        <f>IFERROR(COUNTIF($C$23:C929,C929)&amp;CHOOSE(MIN(4,COUNTIF($C$23:C929,C929)),"st","nd","rd","th"),"")</f>
        <v/>
      </c>
    </row>
    <row r="930" spans="4:10" x14ac:dyDescent="0.25">
      <c r="D930" s="201" t="str">
        <f t="shared" si="14"/>
        <v/>
      </c>
      <c r="J930" s="201" t="str">
        <f>IFERROR(COUNTIF($C$23:C930,C930)&amp;CHOOSE(MIN(4,COUNTIF($C$23:C930,C930)),"st","nd","rd","th"),"")</f>
        <v/>
      </c>
    </row>
    <row r="931" spans="4:10" x14ac:dyDescent="0.25">
      <c r="D931" s="201" t="str">
        <f t="shared" si="14"/>
        <v/>
      </c>
      <c r="J931" s="201" t="str">
        <f>IFERROR(COUNTIF($C$23:C931,C931)&amp;CHOOSE(MIN(4,COUNTIF($C$23:C931,C931)),"st","nd","rd","th"),"")</f>
        <v/>
      </c>
    </row>
    <row r="932" spans="4:10" x14ac:dyDescent="0.25">
      <c r="D932" s="201" t="str">
        <f t="shared" si="14"/>
        <v/>
      </c>
      <c r="J932" s="201" t="str">
        <f>IFERROR(COUNTIF($C$23:C932,C932)&amp;CHOOSE(MIN(4,COUNTIF($C$23:C932,C932)),"st","nd","rd","th"),"")</f>
        <v/>
      </c>
    </row>
    <row r="933" spans="4:10" x14ac:dyDescent="0.25">
      <c r="D933" s="201" t="str">
        <f t="shared" si="14"/>
        <v/>
      </c>
      <c r="J933" s="201" t="str">
        <f>IFERROR(COUNTIF($C$23:C933,C933)&amp;CHOOSE(MIN(4,COUNTIF($C$23:C933,C933)),"st","nd","rd","th"),"")</f>
        <v/>
      </c>
    </row>
    <row r="934" spans="4:10" x14ac:dyDescent="0.25">
      <c r="D934" s="201" t="str">
        <f t="shared" si="14"/>
        <v/>
      </c>
      <c r="J934" s="201" t="str">
        <f>IFERROR(COUNTIF($C$23:C934,C934)&amp;CHOOSE(MIN(4,COUNTIF($C$23:C934,C934)),"st","nd","rd","th"),"")</f>
        <v/>
      </c>
    </row>
    <row r="935" spans="4:10" x14ac:dyDescent="0.25">
      <c r="D935" s="201" t="str">
        <f t="shared" si="14"/>
        <v/>
      </c>
      <c r="J935" s="201" t="str">
        <f>IFERROR(COUNTIF($C$23:C935,C935)&amp;CHOOSE(MIN(4,COUNTIF($C$23:C935,C935)),"st","nd","rd","th"),"")</f>
        <v/>
      </c>
    </row>
    <row r="936" spans="4:10" x14ac:dyDescent="0.25">
      <c r="D936" s="201" t="str">
        <f t="shared" si="14"/>
        <v/>
      </c>
      <c r="J936" s="201" t="str">
        <f>IFERROR(COUNTIF($C$23:C936,C936)&amp;CHOOSE(MIN(4,COUNTIF($C$23:C936,C936)),"st","nd","rd","th"),"")</f>
        <v/>
      </c>
    </row>
    <row r="937" spans="4:10" x14ac:dyDescent="0.25">
      <c r="D937" s="201" t="str">
        <f t="shared" si="14"/>
        <v/>
      </c>
      <c r="J937" s="201" t="str">
        <f>IFERROR(COUNTIF($C$23:C937,C937)&amp;CHOOSE(MIN(4,COUNTIF($C$23:C937,C937)),"st","nd","rd","th"),"")</f>
        <v/>
      </c>
    </row>
    <row r="938" spans="4:10" x14ac:dyDescent="0.25">
      <c r="D938" s="201" t="str">
        <f t="shared" si="14"/>
        <v/>
      </c>
      <c r="J938" s="201" t="str">
        <f>IFERROR(COUNTIF($C$23:C938,C938)&amp;CHOOSE(MIN(4,COUNTIF($C$23:C938,C938)),"st","nd","rd","th"),"")</f>
        <v/>
      </c>
    </row>
    <row r="939" spans="4:10" x14ac:dyDescent="0.25">
      <c r="D939" s="201" t="str">
        <f t="shared" si="14"/>
        <v/>
      </c>
      <c r="J939" s="201" t="str">
        <f>IFERROR(COUNTIF($C$23:C939,C939)&amp;CHOOSE(MIN(4,COUNTIF($C$23:C939,C939)),"st","nd","rd","th"),"")</f>
        <v/>
      </c>
    </row>
    <row r="940" spans="4:10" x14ac:dyDescent="0.25">
      <c r="D940" s="201" t="str">
        <f t="shared" si="14"/>
        <v/>
      </c>
      <c r="J940" s="201" t="str">
        <f>IFERROR(COUNTIF($C$23:C940,C940)&amp;CHOOSE(MIN(4,COUNTIF($C$23:C940,C940)),"st","nd","rd","th"),"")</f>
        <v/>
      </c>
    </row>
    <row r="941" spans="4:10" x14ac:dyDescent="0.25">
      <c r="D941" s="201" t="str">
        <f t="shared" si="14"/>
        <v/>
      </c>
      <c r="J941" s="201" t="str">
        <f>IFERROR(COUNTIF($C$23:C941,C941)&amp;CHOOSE(MIN(4,COUNTIF($C$23:C941,C941)),"st","nd","rd","th"),"")</f>
        <v/>
      </c>
    </row>
    <row r="942" spans="4:10" x14ac:dyDescent="0.25">
      <c r="D942" s="201" t="str">
        <f t="shared" si="14"/>
        <v/>
      </c>
      <c r="J942" s="201" t="str">
        <f>IFERROR(COUNTIF($C$23:C942,C942)&amp;CHOOSE(MIN(4,COUNTIF($C$23:C942,C942)),"st","nd","rd","th"),"")</f>
        <v/>
      </c>
    </row>
    <row r="943" spans="4:10" x14ac:dyDescent="0.25">
      <c r="D943" s="201" t="str">
        <f t="shared" si="14"/>
        <v/>
      </c>
      <c r="J943" s="201" t="str">
        <f>IFERROR(COUNTIF($C$23:C943,C943)&amp;CHOOSE(MIN(4,COUNTIF($C$23:C943,C943)),"st","nd","rd","th"),"")</f>
        <v/>
      </c>
    </row>
    <row r="944" spans="4:10" x14ac:dyDescent="0.25">
      <c r="D944" s="201" t="str">
        <f t="shared" si="14"/>
        <v/>
      </c>
      <c r="J944" s="201" t="str">
        <f>IFERROR(COUNTIF($C$23:C944,C944)&amp;CHOOSE(MIN(4,COUNTIF($C$23:C944,C944)),"st","nd","rd","th"),"")</f>
        <v/>
      </c>
    </row>
    <row r="945" spans="4:10" x14ac:dyDescent="0.25">
      <c r="D945" s="201" t="str">
        <f t="shared" si="14"/>
        <v/>
      </c>
      <c r="J945" s="201" t="str">
        <f>IFERROR(COUNTIF($C$23:C945,C945)&amp;CHOOSE(MIN(4,COUNTIF($C$23:C945,C945)),"st","nd","rd","th"),"")</f>
        <v/>
      </c>
    </row>
    <row r="946" spans="4:10" x14ac:dyDescent="0.25">
      <c r="D946" s="201" t="str">
        <f t="shared" si="14"/>
        <v/>
      </c>
      <c r="J946" s="201" t="str">
        <f>IFERROR(COUNTIF($C$23:C946,C946)&amp;CHOOSE(MIN(4,COUNTIF($C$23:C946,C946)),"st","nd","rd","th"),"")</f>
        <v/>
      </c>
    </row>
    <row r="947" spans="4:10" x14ac:dyDescent="0.25">
      <c r="D947" s="201" t="str">
        <f t="shared" si="14"/>
        <v/>
      </c>
      <c r="J947" s="201" t="str">
        <f>IFERROR(COUNTIF($C$23:C947,C947)&amp;CHOOSE(MIN(4,COUNTIF($C$23:C947,C947)),"st","nd","rd","th"),"")</f>
        <v/>
      </c>
    </row>
    <row r="948" spans="4:10" x14ac:dyDescent="0.25">
      <c r="D948" s="201" t="str">
        <f t="shared" si="14"/>
        <v/>
      </c>
      <c r="J948" s="201" t="str">
        <f>IFERROR(COUNTIF($C$23:C948,C948)&amp;CHOOSE(MIN(4,COUNTIF($C$23:C948,C948)),"st","nd","rd","th"),"")</f>
        <v/>
      </c>
    </row>
    <row r="949" spans="4:10" x14ac:dyDescent="0.25">
      <c r="D949" s="201" t="str">
        <f t="shared" si="14"/>
        <v/>
      </c>
      <c r="J949" s="201" t="str">
        <f>IFERROR(COUNTIF($C$23:C949,C949)&amp;CHOOSE(MIN(4,COUNTIF($C$23:C949,C949)),"st","nd","rd","th"),"")</f>
        <v/>
      </c>
    </row>
    <row r="950" spans="4:10" x14ac:dyDescent="0.25">
      <c r="D950" s="201" t="str">
        <f t="shared" si="14"/>
        <v/>
      </c>
      <c r="J950" s="201" t="str">
        <f>IFERROR(COUNTIF($C$23:C950,C950)&amp;CHOOSE(MIN(4,COUNTIF($C$23:C950,C950)),"st","nd","rd","th"),"")</f>
        <v/>
      </c>
    </row>
    <row r="951" spans="4:10" x14ac:dyDescent="0.25">
      <c r="D951" s="201" t="str">
        <f t="shared" si="14"/>
        <v/>
      </c>
      <c r="J951" s="201" t="str">
        <f>IFERROR(COUNTIF($C$23:C951,C951)&amp;CHOOSE(MIN(4,COUNTIF($C$23:C951,C951)),"st","nd","rd","th"),"")</f>
        <v/>
      </c>
    </row>
    <row r="952" spans="4:10" x14ac:dyDescent="0.25">
      <c r="D952" s="201" t="str">
        <f t="shared" si="14"/>
        <v/>
      </c>
      <c r="J952" s="201" t="str">
        <f>IFERROR(COUNTIF($C$23:C952,C952)&amp;CHOOSE(MIN(4,COUNTIF($C$23:C952,C952)),"st","nd","rd","th"),"")</f>
        <v/>
      </c>
    </row>
    <row r="953" spans="4:10" x14ac:dyDescent="0.25">
      <c r="D953" s="201" t="str">
        <f t="shared" si="14"/>
        <v/>
      </c>
      <c r="J953" s="201" t="str">
        <f>IFERROR(COUNTIF($C$23:C953,C953)&amp;CHOOSE(MIN(4,COUNTIF($C$23:C953,C953)),"st","nd","rd","th"),"")</f>
        <v/>
      </c>
    </row>
    <row r="954" spans="4:10" x14ac:dyDescent="0.25">
      <c r="D954" s="201" t="str">
        <f t="shared" si="14"/>
        <v/>
      </c>
      <c r="J954" s="201" t="str">
        <f>IFERROR(COUNTIF($C$23:C954,C954)&amp;CHOOSE(MIN(4,COUNTIF($C$23:C954,C954)),"st","nd","rd","th"),"")</f>
        <v/>
      </c>
    </row>
    <row r="955" spans="4:10" x14ac:dyDescent="0.25">
      <c r="D955" s="201" t="str">
        <f t="shared" si="14"/>
        <v/>
      </c>
      <c r="J955" s="201" t="str">
        <f>IFERROR(COUNTIF($C$23:C955,C955)&amp;CHOOSE(MIN(4,COUNTIF($C$23:C955,C955)),"st","nd","rd","th"),"")</f>
        <v/>
      </c>
    </row>
    <row r="956" spans="4:10" x14ac:dyDescent="0.25">
      <c r="D956" s="201" t="str">
        <f t="shared" si="14"/>
        <v/>
      </c>
      <c r="J956" s="201" t="str">
        <f>IFERROR(COUNTIF($C$23:C956,C956)&amp;CHOOSE(MIN(4,COUNTIF($C$23:C956,C956)),"st","nd","rd","th"),"")</f>
        <v/>
      </c>
    </row>
    <row r="957" spans="4:10" x14ac:dyDescent="0.25">
      <c r="D957" s="201" t="str">
        <f t="shared" si="14"/>
        <v/>
      </c>
      <c r="J957" s="201" t="str">
        <f>IFERROR(COUNTIF($C$23:C957,C957)&amp;CHOOSE(MIN(4,COUNTIF($C$23:C957,C957)),"st","nd","rd","th"),"")</f>
        <v/>
      </c>
    </row>
    <row r="958" spans="4:10" x14ac:dyDescent="0.25">
      <c r="D958" s="201" t="str">
        <f t="shared" si="14"/>
        <v/>
      </c>
      <c r="J958" s="201" t="str">
        <f>IFERROR(COUNTIF($C$23:C958,C958)&amp;CHOOSE(MIN(4,COUNTIF($C$23:C958,C958)),"st","nd","rd","th"),"")</f>
        <v/>
      </c>
    </row>
    <row r="959" spans="4:10" x14ac:dyDescent="0.25">
      <c r="D959" s="201" t="str">
        <f t="shared" si="14"/>
        <v/>
      </c>
      <c r="J959" s="201" t="str">
        <f>IFERROR(COUNTIF($C$23:C959,C959)&amp;CHOOSE(MIN(4,COUNTIF($C$23:C959,C959)),"st","nd","rd","th"),"")</f>
        <v/>
      </c>
    </row>
    <row r="960" spans="4:10" x14ac:dyDescent="0.25">
      <c r="D960" s="201" t="str">
        <f t="shared" si="14"/>
        <v/>
      </c>
      <c r="J960" s="201" t="str">
        <f>IFERROR(COUNTIF($C$23:C960,C960)&amp;CHOOSE(MIN(4,COUNTIF($C$23:C960,C960)),"st","nd","rd","th"),"")</f>
        <v/>
      </c>
    </row>
    <row r="961" spans="4:10" x14ac:dyDescent="0.25">
      <c r="D961" s="201" t="str">
        <f t="shared" si="14"/>
        <v/>
      </c>
      <c r="J961" s="201" t="str">
        <f>IFERROR(COUNTIF($C$23:C961,C961)&amp;CHOOSE(MIN(4,COUNTIF($C$23:C961,C961)),"st","nd","rd","th"),"")</f>
        <v/>
      </c>
    </row>
    <row r="962" spans="4:10" x14ac:dyDescent="0.25">
      <c r="D962" s="201" t="str">
        <f t="shared" si="14"/>
        <v/>
      </c>
      <c r="J962" s="201" t="str">
        <f>IFERROR(COUNTIF($C$23:C962,C962)&amp;CHOOSE(MIN(4,COUNTIF($C$23:C962,C962)),"st","nd","rd","th"),"")</f>
        <v/>
      </c>
    </row>
    <row r="963" spans="4:10" x14ac:dyDescent="0.25">
      <c r="D963" s="201" t="str">
        <f t="shared" si="14"/>
        <v/>
      </c>
      <c r="J963" s="201" t="str">
        <f>IFERROR(COUNTIF($C$23:C963,C963)&amp;CHOOSE(MIN(4,COUNTIF($C$23:C963,C963)),"st","nd","rd","th"),"")</f>
        <v/>
      </c>
    </row>
    <row r="964" spans="4:10" x14ac:dyDescent="0.25">
      <c r="D964" s="201" t="str">
        <f t="shared" si="14"/>
        <v/>
      </c>
      <c r="J964" s="201" t="str">
        <f>IFERROR(COUNTIF($C$23:C964,C964)&amp;CHOOSE(MIN(4,COUNTIF($C$23:C964,C964)),"st","nd","rd","th"),"")</f>
        <v/>
      </c>
    </row>
    <row r="965" spans="4:10" x14ac:dyDescent="0.25">
      <c r="D965" s="201" t="str">
        <f t="shared" si="14"/>
        <v/>
      </c>
      <c r="J965" s="201" t="str">
        <f>IFERROR(COUNTIF($C$23:C965,C965)&amp;CHOOSE(MIN(4,COUNTIF($C$23:C965,C965)),"st","nd","rd","th"),"")</f>
        <v/>
      </c>
    </row>
    <row r="966" spans="4:10" x14ac:dyDescent="0.25">
      <c r="D966" s="201" t="str">
        <f t="shared" si="14"/>
        <v/>
      </c>
      <c r="J966" s="201" t="str">
        <f>IFERROR(COUNTIF($C$23:C966,C966)&amp;CHOOSE(MIN(4,COUNTIF($C$23:C966,C966)),"st","nd","rd","th"),"")</f>
        <v/>
      </c>
    </row>
    <row r="967" spans="4:10" x14ac:dyDescent="0.25">
      <c r="D967" s="201" t="str">
        <f t="shared" si="14"/>
        <v/>
      </c>
      <c r="J967" s="201" t="str">
        <f>IFERROR(COUNTIF($C$23:C967,C967)&amp;CHOOSE(MIN(4,COUNTIF($C$23:C967,C967)),"st","nd","rd","th"),"")</f>
        <v/>
      </c>
    </row>
    <row r="968" spans="4:10" x14ac:dyDescent="0.25">
      <c r="D968" s="201" t="str">
        <f t="shared" si="14"/>
        <v/>
      </c>
      <c r="J968" s="201" t="str">
        <f>IFERROR(COUNTIF($C$23:C968,C968)&amp;CHOOSE(MIN(4,COUNTIF($C$23:C968,C968)),"st","nd","rd","th"),"")</f>
        <v/>
      </c>
    </row>
    <row r="969" spans="4:10" x14ac:dyDescent="0.25">
      <c r="D969" s="201" t="str">
        <f t="shared" si="14"/>
        <v/>
      </c>
      <c r="J969" s="201" t="str">
        <f>IFERROR(COUNTIF($C$23:C969,C969)&amp;CHOOSE(MIN(4,COUNTIF($C$23:C969,C969)),"st","nd","rd","th"),"")</f>
        <v/>
      </c>
    </row>
    <row r="970" spans="4:10" x14ac:dyDescent="0.25">
      <c r="D970" s="201" t="str">
        <f t="shared" si="14"/>
        <v/>
      </c>
      <c r="J970" s="201" t="str">
        <f>IFERROR(COUNTIF($C$23:C970,C970)&amp;CHOOSE(MIN(4,COUNTIF($C$23:C970,C970)),"st","nd","rd","th"),"")</f>
        <v/>
      </c>
    </row>
    <row r="971" spans="4:10" x14ac:dyDescent="0.25">
      <c r="D971" s="201" t="str">
        <f t="shared" si="14"/>
        <v/>
      </c>
      <c r="J971" s="201" t="str">
        <f>IFERROR(COUNTIF($C$23:C971,C971)&amp;CHOOSE(MIN(4,COUNTIF($C$23:C971,C971)),"st","nd","rd","th"),"")</f>
        <v/>
      </c>
    </row>
    <row r="972" spans="4:10" x14ac:dyDescent="0.25">
      <c r="D972" s="201" t="str">
        <f t="shared" si="14"/>
        <v/>
      </c>
      <c r="J972" s="201" t="str">
        <f>IFERROR(COUNTIF($C$23:C972,C972)&amp;CHOOSE(MIN(4,COUNTIF($C$23:C972,C972)),"st","nd","rd","th"),"")</f>
        <v/>
      </c>
    </row>
    <row r="973" spans="4:10" x14ac:dyDescent="0.25">
      <c r="D973" s="201" t="str">
        <f t="shared" si="14"/>
        <v/>
      </c>
      <c r="J973" s="201" t="str">
        <f>IFERROR(COUNTIF($C$23:C973,C973)&amp;CHOOSE(MIN(4,COUNTIF($C$23:C973,C973)),"st","nd","rd","th"),"")</f>
        <v/>
      </c>
    </row>
    <row r="974" spans="4:10" x14ac:dyDescent="0.25">
      <c r="D974" s="201" t="str">
        <f t="shared" si="14"/>
        <v/>
      </c>
      <c r="J974" s="201" t="str">
        <f>IFERROR(COUNTIF($C$23:C974,C974)&amp;CHOOSE(MIN(4,COUNTIF($C$23:C974,C974)),"st","nd","rd","th"),"")</f>
        <v/>
      </c>
    </row>
    <row r="975" spans="4:10" x14ac:dyDescent="0.25">
      <c r="D975" s="201" t="str">
        <f t="shared" si="14"/>
        <v/>
      </c>
      <c r="J975" s="201" t="str">
        <f>IFERROR(COUNTIF($C$23:C975,C975)&amp;CHOOSE(MIN(4,COUNTIF($C$23:C975,C975)),"st","nd","rd","th"),"")</f>
        <v/>
      </c>
    </row>
    <row r="976" spans="4:10" x14ac:dyDescent="0.25">
      <c r="D976" s="201" t="str">
        <f t="shared" si="14"/>
        <v/>
      </c>
      <c r="J976" s="201" t="str">
        <f>IFERROR(COUNTIF($C$23:C976,C976)&amp;CHOOSE(MIN(4,COUNTIF($C$23:C976,C976)),"st","nd","rd","th"),"")</f>
        <v/>
      </c>
    </row>
    <row r="977" spans="4:10" x14ac:dyDescent="0.25">
      <c r="D977" s="201" t="str">
        <f t="shared" si="14"/>
        <v/>
      </c>
      <c r="J977" s="201" t="str">
        <f>IFERROR(COUNTIF($C$23:C977,C977)&amp;CHOOSE(MIN(4,COUNTIF($C$23:C977,C977)),"st","nd","rd","th"),"")</f>
        <v/>
      </c>
    </row>
    <row r="978" spans="4:10" x14ac:dyDescent="0.25">
      <c r="D978" s="201" t="str">
        <f t="shared" si="14"/>
        <v/>
      </c>
      <c r="J978" s="201" t="str">
        <f>IFERROR(COUNTIF($C$23:C978,C978)&amp;CHOOSE(MIN(4,COUNTIF($C$23:C978,C978)),"st","nd","rd","th"),"")</f>
        <v/>
      </c>
    </row>
    <row r="979" spans="4:10" x14ac:dyDescent="0.25">
      <c r="D979" s="201" t="str">
        <f t="shared" si="14"/>
        <v/>
      </c>
      <c r="J979" s="201" t="str">
        <f>IFERROR(COUNTIF($C$23:C979,C979)&amp;CHOOSE(MIN(4,COUNTIF($C$23:C979,C979)),"st","nd","rd","th"),"")</f>
        <v/>
      </c>
    </row>
    <row r="980" spans="4:10" x14ac:dyDescent="0.25">
      <c r="D980" s="201" t="str">
        <f t="shared" si="14"/>
        <v/>
      </c>
      <c r="J980" s="201" t="str">
        <f>IFERROR(COUNTIF($C$23:C980,C980)&amp;CHOOSE(MIN(4,COUNTIF($C$23:C980,C980)),"st","nd","rd","th"),"")</f>
        <v/>
      </c>
    </row>
    <row r="981" spans="4:10" x14ac:dyDescent="0.25">
      <c r="D981" s="201" t="str">
        <f t="shared" si="14"/>
        <v/>
      </c>
      <c r="J981" s="201" t="str">
        <f>IFERROR(COUNTIF($C$23:C981,C981)&amp;CHOOSE(MIN(4,COUNTIF($C$23:C981,C981)),"st","nd","rd","th"),"")</f>
        <v/>
      </c>
    </row>
    <row r="982" spans="4:10" x14ac:dyDescent="0.25">
      <c r="D982" s="201" t="str">
        <f t="shared" si="14"/>
        <v/>
      </c>
      <c r="J982" s="201" t="str">
        <f>IFERROR(COUNTIF($C$23:C982,C982)&amp;CHOOSE(MIN(4,COUNTIF($C$23:C982,C982)),"st","nd","rd","th"),"")</f>
        <v/>
      </c>
    </row>
    <row r="983" spans="4:10" x14ac:dyDescent="0.25">
      <c r="D983" s="201" t="str">
        <f t="shared" ref="D983:D1005" si="15">IF(B983="","",IF(B983="Province_PLGU","PDPFP","CLUP"))</f>
        <v/>
      </c>
      <c r="J983" s="201" t="str">
        <f>IFERROR(COUNTIF($C$23:C983,C983)&amp;CHOOSE(MIN(4,COUNTIF($C$23:C983,C983)),"st","nd","rd","th"),"")</f>
        <v/>
      </c>
    </row>
    <row r="984" spans="4:10" x14ac:dyDescent="0.25">
      <c r="D984" s="201" t="str">
        <f t="shared" si="15"/>
        <v/>
      </c>
      <c r="J984" s="201" t="str">
        <f>IFERROR(COUNTIF($C$23:C984,C984)&amp;CHOOSE(MIN(4,COUNTIF($C$23:C984,C984)),"st","nd","rd","th"),"")</f>
        <v/>
      </c>
    </row>
    <row r="985" spans="4:10" x14ac:dyDescent="0.25">
      <c r="D985" s="201" t="str">
        <f t="shared" si="15"/>
        <v/>
      </c>
      <c r="J985" s="201" t="str">
        <f>IFERROR(COUNTIF($C$23:C985,C985)&amp;CHOOSE(MIN(4,COUNTIF($C$23:C985,C985)),"st","nd","rd","th"),"")</f>
        <v/>
      </c>
    </row>
    <row r="986" spans="4:10" x14ac:dyDescent="0.25">
      <c r="D986" s="201" t="str">
        <f t="shared" si="15"/>
        <v/>
      </c>
      <c r="J986" s="201" t="str">
        <f>IFERROR(COUNTIF($C$23:C986,C986)&amp;CHOOSE(MIN(4,COUNTIF($C$23:C986,C986)),"st","nd","rd","th"),"")</f>
        <v/>
      </c>
    </row>
    <row r="987" spans="4:10" x14ac:dyDescent="0.25">
      <c r="D987" s="201" t="str">
        <f t="shared" si="15"/>
        <v/>
      </c>
      <c r="J987" s="201" t="str">
        <f>IFERROR(COUNTIF($C$23:C987,C987)&amp;CHOOSE(MIN(4,COUNTIF($C$23:C987,C987)),"st","nd","rd","th"),"")</f>
        <v/>
      </c>
    </row>
    <row r="988" spans="4:10" x14ac:dyDescent="0.25">
      <c r="D988" s="201" t="str">
        <f t="shared" si="15"/>
        <v/>
      </c>
      <c r="J988" s="201" t="str">
        <f>IFERROR(COUNTIF($C$23:C988,C988)&amp;CHOOSE(MIN(4,COUNTIF($C$23:C988,C988)),"st","nd","rd","th"),"")</f>
        <v/>
      </c>
    </row>
    <row r="989" spans="4:10" x14ac:dyDescent="0.25">
      <c r="D989" s="201" t="str">
        <f t="shared" si="15"/>
        <v/>
      </c>
      <c r="J989" s="201" t="str">
        <f>IFERROR(COUNTIF($C$23:C989,C989)&amp;CHOOSE(MIN(4,COUNTIF($C$23:C989,C989)),"st","nd","rd","th"),"")</f>
        <v/>
      </c>
    </row>
    <row r="990" spans="4:10" x14ac:dyDescent="0.25">
      <c r="D990" s="201" t="str">
        <f t="shared" si="15"/>
        <v/>
      </c>
      <c r="J990" s="201" t="str">
        <f>IFERROR(COUNTIF($C$23:C990,C990)&amp;CHOOSE(MIN(4,COUNTIF($C$23:C990,C990)),"st","nd","rd","th"),"")</f>
        <v/>
      </c>
    </row>
    <row r="991" spans="4:10" x14ac:dyDescent="0.25">
      <c r="D991" s="201" t="str">
        <f t="shared" si="15"/>
        <v/>
      </c>
      <c r="J991" s="201" t="str">
        <f>IFERROR(COUNTIF($C$23:C991,C991)&amp;CHOOSE(MIN(4,COUNTIF($C$23:C991,C991)),"st","nd","rd","th"),"")</f>
        <v/>
      </c>
    </row>
    <row r="992" spans="4:10" x14ac:dyDescent="0.25">
      <c r="D992" s="201" t="str">
        <f t="shared" si="15"/>
        <v/>
      </c>
      <c r="J992" s="201" t="str">
        <f>IFERROR(COUNTIF($C$23:C992,C992)&amp;CHOOSE(MIN(4,COUNTIF($C$23:C992,C992)),"st","nd","rd","th"),"")</f>
        <v/>
      </c>
    </row>
    <row r="993" spans="4:10" x14ac:dyDescent="0.25">
      <c r="D993" s="201" t="str">
        <f t="shared" si="15"/>
        <v/>
      </c>
      <c r="J993" s="201" t="str">
        <f>IFERROR(COUNTIF($C$23:C993,C993)&amp;CHOOSE(MIN(4,COUNTIF($C$23:C993,C993)),"st","nd","rd","th"),"")</f>
        <v/>
      </c>
    </row>
    <row r="994" spans="4:10" x14ac:dyDescent="0.25">
      <c r="D994" s="201" t="str">
        <f t="shared" si="15"/>
        <v/>
      </c>
      <c r="J994" s="201" t="str">
        <f>IFERROR(COUNTIF($C$23:C994,C994)&amp;CHOOSE(MIN(4,COUNTIF($C$23:C994,C994)),"st","nd","rd","th"),"")</f>
        <v/>
      </c>
    </row>
    <row r="995" spans="4:10" x14ac:dyDescent="0.25">
      <c r="D995" s="201" t="str">
        <f t="shared" si="15"/>
        <v/>
      </c>
      <c r="J995" s="201" t="str">
        <f>IFERROR(COUNTIF($C$23:C995,C995)&amp;CHOOSE(MIN(4,COUNTIF($C$23:C995,C995)),"st","nd","rd","th"),"")</f>
        <v/>
      </c>
    </row>
    <row r="996" spans="4:10" x14ac:dyDescent="0.25">
      <c r="D996" s="201" t="str">
        <f t="shared" si="15"/>
        <v/>
      </c>
      <c r="J996" s="201" t="str">
        <f>IFERROR(COUNTIF($C$23:C996,C996)&amp;CHOOSE(MIN(4,COUNTIF($C$23:C996,C996)),"st","nd","rd","th"),"")</f>
        <v/>
      </c>
    </row>
    <row r="997" spans="4:10" x14ac:dyDescent="0.25">
      <c r="D997" s="201" t="str">
        <f t="shared" si="15"/>
        <v/>
      </c>
      <c r="J997" s="201" t="str">
        <f>IFERROR(COUNTIF($C$23:C997,C997)&amp;CHOOSE(MIN(4,COUNTIF($C$23:C997,C997)),"st","nd","rd","th"),"")</f>
        <v/>
      </c>
    </row>
    <row r="998" spans="4:10" x14ac:dyDescent="0.25">
      <c r="D998" s="201" t="str">
        <f t="shared" si="15"/>
        <v/>
      </c>
      <c r="J998" s="201" t="str">
        <f>IFERROR(COUNTIF($C$23:C998,C998)&amp;CHOOSE(MIN(4,COUNTIF($C$23:C998,C998)),"st","nd","rd","th"),"")</f>
        <v/>
      </c>
    </row>
    <row r="999" spans="4:10" x14ac:dyDescent="0.25">
      <c r="D999" s="201" t="str">
        <f t="shared" si="15"/>
        <v/>
      </c>
      <c r="J999" s="201" t="str">
        <f>IFERROR(COUNTIF($C$23:C999,C999)&amp;CHOOSE(MIN(4,COUNTIF($C$23:C999,C999)),"st","nd","rd","th"),"")</f>
        <v/>
      </c>
    </row>
    <row r="1000" spans="4:10" x14ac:dyDescent="0.25">
      <c r="D1000" s="201" t="str">
        <f t="shared" si="15"/>
        <v/>
      </c>
      <c r="J1000" s="201" t="str">
        <f>IFERROR(COUNTIF($C$23:C1000,C1000)&amp;CHOOSE(MIN(4,COUNTIF($C$23:C1000,C1000)),"st","nd","rd","th"),"")</f>
        <v/>
      </c>
    </row>
    <row r="1001" spans="4:10" x14ac:dyDescent="0.25">
      <c r="D1001" s="201" t="str">
        <f t="shared" si="15"/>
        <v/>
      </c>
      <c r="J1001" s="201" t="str">
        <f>IFERROR(COUNTIF($C$23:C1001,C1001)&amp;CHOOSE(MIN(4,COUNTIF($C$23:C1001,C1001)),"st","nd","rd","th"),"")</f>
        <v/>
      </c>
    </row>
    <row r="1002" spans="4:10" x14ac:dyDescent="0.25">
      <c r="D1002" s="201" t="str">
        <f t="shared" si="15"/>
        <v/>
      </c>
      <c r="J1002" s="201" t="str">
        <f>IFERROR(COUNTIF($C$23:C1002,C1002)&amp;CHOOSE(MIN(4,COUNTIF($C$23:C1002,C1002)),"st","nd","rd","th"),"")</f>
        <v/>
      </c>
    </row>
    <row r="1003" spans="4:10" x14ac:dyDescent="0.25">
      <c r="D1003" s="201" t="str">
        <f t="shared" si="15"/>
        <v/>
      </c>
      <c r="J1003" s="201" t="str">
        <f>IFERROR(COUNTIF($C$23:C1003,C1003)&amp;CHOOSE(MIN(4,COUNTIF($C$23:C1003,C1003)),"st","nd","rd","th"),"")</f>
        <v/>
      </c>
    </row>
    <row r="1004" spans="4:10" x14ac:dyDescent="0.25">
      <c r="D1004" s="201" t="str">
        <f t="shared" si="15"/>
        <v/>
      </c>
      <c r="J1004" s="201" t="str">
        <f>IFERROR(COUNTIF($C$23:C1004,C1004)&amp;CHOOSE(MIN(4,COUNTIF($C$23:C1004,C1004)),"st","nd","rd","th"),"")</f>
        <v/>
      </c>
    </row>
    <row r="1005" spans="4:10" x14ac:dyDescent="0.25">
      <c r="D1005" s="201" t="str">
        <f t="shared" si="15"/>
        <v/>
      </c>
      <c r="J1005" s="201" t="str">
        <f>IFERROR(COUNTIF($C$23:C1005,C1005)&amp;CHOOSE(MIN(4,COUNTIF($C$23:C1005,C1005)),"st","nd","rd","th"),"")</f>
        <v/>
      </c>
    </row>
  </sheetData>
  <mergeCells count="6">
    <mergeCell ref="B14:R14"/>
    <mergeCell ref="B5:R5"/>
    <mergeCell ref="B6:R6"/>
    <mergeCell ref="B7:R7"/>
    <mergeCell ref="B12:R12"/>
    <mergeCell ref="B13:R13"/>
  </mergeCells>
  <dataValidations count="1">
    <dataValidation type="list" allowBlank="1" showInputMessage="1" showErrorMessage="1" sqref="B23:C1048576" xr:uid="{8507CF66-C8C3-4242-8F46-27521591BDED}">
      <formula1>INDIRECT(A23)</formula1>
    </dataValidation>
  </dataValidations>
  <hyperlinks>
    <hyperlink ref="C1" location="'Accomplishment 2025'!A1" display="Back to Summary of Accomplishments 2025" xr:uid="{18DFC2EA-98BA-4DF5-AEA0-8A08E76873B7}"/>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4BF8D947-3072-470E-8346-D2144D96D731}">
          <x14:formula1>
            <xm:f>Picklists!$A$3:$A$14</xm:f>
          </x14:formula1>
          <xm:sqref>H23:H1048576</xm:sqref>
        </x14:dataValidation>
        <x14:dataValidation type="list" allowBlank="1" showInputMessage="1" showErrorMessage="1" xr:uid="{BDFBD63B-301B-4AA4-B03B-EF9C707B179B}">
          <x14:formula1>
            <xm:f>LGU_Masterlist!$C$2:$T$2</xm:f>
          </x14:formula1>
          <xm:sqref>A23:A1048576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F41B9-01F6-4225-BD4B-DC0A6FA65378}">
  <sheetPr codeName="Sheet29">
    <tabColor rgb="FF96EAF8"/>
  </sheetPr>
  <dimension ref="A1:R1005"/>
  <sheetViews>
    <sheetView topLeftCell="A12" zoomScale="60" zoomScaleNormal="60" workbookViewId="0">
      <selection activeCell="A23" sqref="A23:H29"/>
    </sheetView>
  </sheetViews>
  <sheetFormatPr defaultColWidth="8.88671875" defaultRowHeight="13.8" x14ac:dyDescent="0.25"/>
  <cols>
    <col min="1" max="1" width="11.44140625" style="164" customWidth="1"/>
    <col min="2" max="2" width="38.88671875" style="164" customWidth="1"/>
    <col min="3" max="3" width="8.88671875" style="164" customWidth="1"/>
    <col min="4" max="4" width="23.109375" style="201" customWidth="1"/>
    <col min="5" max="6" width="8.88671875" style="205" customWidth="1"/>
    <col min="7" max="7" width="15.5546875" style="202" customWidth="1"/>
    <col min="8" max="8" width="14" style="164" customWidth="1"/>
    <col min="9" max="9" width="8.88671875" style="164" customWidth="1"/>
    <col min="10" max="10" width="16.88671875" style="201" customWidth="1"/>
    <col min="11" max="12" width="8.88671875" style="164" customWidth="1"/>
    <col min="13" max="16384" width="8.88671875" style="164"/>
  </cols>
  <sheetData>
    <row r="1" spans="1:18" s="32" customFormat="1" ht="14.4" x14ac:dyDescent="0.3">
      <c r="A1" s="173" t="s">
        <v>5090</v>
      </c>
      <c r="C1" s="174" t="s">
        <v>1673</v>
      </c>
      <c r="D1" s="38"/>
      <c r="J1" s="38"/>
    </row>
    <row r="2" spans="1:18" s="32" customFormat="1" x14ac:dyDescent="0.25">
      <c r="A2" s="176"/>
      <c r="B2" s="35"/>
      <c r="C2" s="35"/>
      <c r="D2" s="182"/>
      <c r="J2" s="38"/>
    </row>
    <row r="3" spans="1:18" s="32" customFormat="1" x14ac:dyDescent="0.25">
      <c r="A3" s="177">
        <v>17</v>
      </c>
      <c r="B3" s="364" t="s">
        <v>1613</v>
      </c>
      <c r="C3" s="364"/>
      <c r="D3" s="365"/>
      <c r="J3" s="38"/>
    </row>
    <row r="4" spans="1:18" s="32" customFormat="1" x14ac:dyDescent="0.25">
      <c r="A4" s="178"/>
      <c r="B4" s="206" t="s">
        <v>5309</v>
      </c>
      <c r="C4" s="206"/>
      <c r="D4" s="366"/>
      <c r="J4" s="38"/>
    </row>
    <row r="5" spans="1:18" s="32" customFormat="1" ht="45" customHeight="1" x14ac:dyDescent="0.25">
      <c r="A5" s="178"/>
      <c r="B5" s="599" t="s">
        <v>5310</v>
      </c>
      <c r="C5" s="599"/>
      <c r="D5" s="599"/>
      <c r="E5" s="599"/>
      <c r="F5" s="599"/>
      <c r="G5" s="599"/>
      <c r="H5" s="599"/>
      <c r="I5" s="599"/>
      <c r="J5" s="599"/>
      <c r="K5" s="599"/>
      <c r="L5" s="599"/>
      <c r="M5" s="599"/>
      <c r="N5" s="599"/>
      <c r="O5" s="599"/>
      <c r="P5" s="599"/>
      <c r="Q5" s="599"/>
      <c r="R5" s="599"/>
    </row>
    <row r="6" spans="1:18" s="32" customFormat="1" x14ac:dyDescent="0.25">
      <c r="A6" s="178"/>
      <c r="B6" s="601" t="s">
        <v>5311</v>
      </c>
      <c r="C6" s="601"/>
      <c r="D6" s="601"/>
      <c r="E6" s="601"/>
      <c r="F6" s="601"/>
      <c r="G6" s="601"/>
      <c r="H6" s="601"/>
      <c r="I6" s="601"/>
      <c r="J6" s="601"/>
      <c r="K6" s="601"/>
      <c r="L6" s="601"/>
      <c r="M6" s="601"/>
      <c r="N6" s="601"/>
      <c r="O6" s="601"/>
      <c r="P6" s="601"/>
      <c r="Q6" s="601"/>
      <c r="R6" s="601"/>
    </row>
    <row r="7" spans="1:18" s="32" customFormat="1" x14ac:dyDescent="0.25">
      <c r="B7" s="602" t="s">
        <v>5312</v>
      </c>
      <c r="C7" s="602"/>
      <c r="D7" s="602"/>
      <c r="E7" s="602"/>
      <c r="F7" s="602"/>
      <c r="G7" s="602"/>
      <c r="H7" s="602"/>
      <c r="I7" s="602"/>
      <c r="J7" s="602"/>
      <c r="K7" s="602"/>
      <c r="L7" s="602"/>
      <c r="M7" s="602"/>
      <c r="N7" s="602"/>
      <c r="O7" s="602"/>
      <c r="P7" s="602"/>
      <c r="Q7" s="602"/>
      <c r="R7" s="602"/>
    </row>
    <row r="8" spans="1:18" s="32" customFormat="1" x14ac:dyDescent="0.25">
      <c r="B8" s="173"/>
      <c r="C8" s="173"/>
      <c r="D8" s="182"/>
      <c r="E8" s="173"/>
      <c r="F8" s="173"/>
      <c r="G8" s="173"/>
      <c r="H8" s="173"/>
      <c r="I8" s="173"/>
      <c r="J8" s="182"/>
      <c r="K8" s="173"/>
      <c r="L8" s="173"/>
      <c r="M8" s="173"/>
      <c r="N8" s="173"/>
      <c r="O8" s="173"/>
      <c r="P8" s="173"/>
      <c r="Q8" s="173"/>
      <c r="R8" s="173"/>
    </row>
    <row r="9" spans="1:18" s="32" customFormat="1" x14ac:dyDescent="0.25">
      <c r="B9" s="173"/>
      <c r="C9" s="173"/>
      <c r="D9" s="182"/>
      <c r="E9" s="173"/>
      <c r="F9" s="173"/>
      <c r="G9" s="173"/>
      <c r="H9" s="173"/>
      <c r="I9" s="173"/>
      <c r="J9" s="182"/>
      <c r="K9" s="173"/>
      <c r="L9" s="173"/>
      <c r="M9" s="173"/>
      <c r="N9" s="173"/>
      <c r="O9" s="173"/>
      <c r="P9" s="173"/>
      <c r="Q9" s="173"/>
      <c r="R9" s="173"/>
    </row>
    <row r="10" spans="1:18" s="32" customFormat="1" x14ac:dyDescent="0.25">
      <c r="A10" s="177">
        <v>18</v>
      </c>
      <c r="B10" s="364" t="s">
        <v>5300</v>
      </c>
      <c r="C10" s="173"/>
      <c r="D10" s="182"/>
      <c r="E10" s="173"/>
      <c r="F10" s="173"/>
      <c r="G10" s="173"/>
      <c r="H10" s="173"/>
      <c r="I10" s="173"/>
      <c r="J10" s="182"/>
      <c r="K10" s="173"/>
      <c r="L10" s="173"/>
      <c r="M10" s="173"/>
      <c r="N10" s="173"/>
      <c r="O10" s="173"/>
      <c r="P10" s="173"/>
      <c r="Q10" s="173"/>
      <c r="R10" s="173"/>
    </row>
    <row r="11" spans="1:18" s="32" customFormat="1" x14ac:dyDescent="0.25">
      <c r="B11" s="206" t="s">
        <v>5313</v>
      </c>
      <c r="C11" s="206"/>
      <c r="D11" s="366"/>
      <c r="J11" s="38"/>
    </row>
    <row r="12" spans="1:18" s="32" customFormat="1" ht="45.6" customHeight="1" x14ac:dyDescent="0.25">
      <c r="B12" s="599" t="s">
        <v>5314</v>
      </c>
      <c r="C12" s="599"/>
      <c r="D12" s="599"/>
      <c r="E12" s="599"/>
      <c r="F12" s="599"/>
      <c r="G12" s="599"/>
      <c r="H12" s="599"/>
      <c r="I12" s="599"/>
      <c r="J12" s="599"/>
      <c r="K12" s="599"/>
      <c r="L12" s="599"/>
      <c r="M12" s="599"/>
      <c r="N12" s="599"/>
      <c r="O12" s="599"/>
      <c r="P12" s="599"/>
      <c r="Q12" s="599"/>
      <c r="R12" s="599"/>
    </row>
    <row r="13" spans="1:18" s="32" customFormat="1" ht="13.95" customHeight="1" x14ac:dyDescent="0.25">
      <c r="B13" s="601" t="s">
        <v>5315</v>
      </c>
      <c r="C13" s="601"/>
      <c r="D13" s="601"/>
      <c r="E13" s="601"/>
      <c r="F13" s="601"/>
      <c r="G13" s="601"/>
      <c r="H13" s="601"/>
      <c r="I13" s="601"/>
      <c r="J13" s="601"/>
      <c r="K13" s="601"/>
      <c r="L13" s="601"/>
      <c r="M13" s="601"/>
      <c r="N13" s="601"/>
      <c r="O13" s="601"/>
      <c r="P13" s="601"/>
      <c r="Q13" s="601"/>
      <c r="R13" s="601"/>
    </row>
    <row r="14" spans="1:18" s="32" customFormat="1" x14ac:dyDescent="0.25">
      <c r="B14" s="602" t="s">
        <v>5316</v>
      </c>
      <c r="C14" s="602"/>
      <c r="D14" s="602"/>
      <c r="E14" s="602"/>
      <c r="F14" s="602"/>
      <c r="G14" s="602"/>
      <c r="H14" s="602"/>
      <c r="I14" s="602"/>
      <c r="J14" s="602"/>
      <c r="K14" s="602"/>
      <c r="L14" s="602"/>
      <c r="M14" s="602"/>
      <c r="N14" s="602"/>
      <c r="O14" s="602"/>
      <c r="P14" s="602"/>
      <c r="Q14" s="602"/>
      <c r="R14" s="602"/>
    </row>
    <row r="15" spans="1:18" s="32" customFormat="1" x14ac:dyDescent="0.25">
      <c r="B15" s="173"/>
      <c r="C15" s="173"/>
      <c r="D15" s="182"/>
      <c r="E15" s="173"/>
      <c r="F15" s="173"/>
      <c r="G15" s="173"/>
      <c r="H15" s="173"/>
      <c r="I15" s="173"/>
      <c r="J15" s="182"/>
      <c r="K15" s="173"/>
      <c r="L15" s="173"/>
      <c r="M15" s="173"/>
      <c r="N15" s="173"/>
      <c r="O15" s="173"/>
      <c r="P15" s="173"/>
      <c r="Q15" s="173"/>
      <c r="R15" s="173"/>
    </row>
    <row r="16" spans="1:18" s="32" customFormat="1" x14ac:dyDescent="0.25">
      <c r="B16" s="173"/>
      <c r="C16" s="173"/>
      <c r="D16" s="182"/>
      <c r="E16" s="173"/>
      <c r="F16" s="173"/>
      <c r="G16" s="173"/>
      <c r="H16" s="173"/>
      <c r="I16" s="173"/>
      <c r="J16" s="182"/>
      <c r="K16" s="173"/>
      <c r="L16" s="173"/>
      <c r="M16" s="173"/>
      <c r="N16" s="173"/>
      <c r="O16" s="173"/>
      <c r="P16" s="173"/>
      <c r="Q16" s="173"/>
      <c r="R16" s="173"/>
    </row>
    <row r="17" spans="1:18" s="32" customFormat="1" x14ac:dyDescent="0.25">
      <c r="B17" s="179" t="s">
        <v>5317</v>
      </c>
      <c r="C17" s="179"/>
      <c r="D17" s="207"/>
      <c r="E17" s="181">
        <f>COUNTIF(D23:D1005,"CLUP")</f>
        <v>0</v>
      </c>
      <c r="F17" s="195"/>
      <c r="G17" s="195"/>
      <c r="H17" s="173"/>
      <c r="I17" s="173"/>
      <c r="J17" s="182"/>
      <c r="K17" s="173"/>
      <c r="L17" s="173"/>
      <c r="M17" s="173"/>
      <c r="N17" s="173"/>
      <c r="O17" s="173"/>
      <c r="P17" s="173"/>
      <c r="Q17" s="173"/>
      <c r="R17" s="173"/>
    </row>
    <row r="18" spans="1:18" s="32" customFormat="1" x14ac:dyDescent="0.25">
      <c r="B18" s="179" t="s">
        <v>5318</v>
      </c>
      <c r="C18" s="179"/>
      <c r="D18" s="207"/>
      <c r="E18" s="181">
        <f>COUNTIF(D23:D1005,"PDPFP")</f>
        <v>0</v>
      </c>
      <c r="F18" s="173"/>
      <c r="G18" s="173"/>
      <c r="H18" s="173"/>
      <c r="I18" s="173"/>
      <c r="J18" s="182"/>
      <c r="K18" s="173"/>
      <c r="L18" s="173"/>
      <c r="M18" s="173"/>
      <c r="N18" s="173"/>
      <c r="O18" s="173"/>
      <c r="P18" s="173"/>
      <c r="Q18" s="173"/>
      <c r="R18" s="173"/>
    </row>
    <row r="19" spans="1:18" s="32" customFormat="1" x14ac:dyDescent="0.25">
      <c r="B19" s="173"/>
      <c r="C19" s="173"/>
      <c r="D19" s="182"/>
      <c r="E19" s="173"/>
      <c r="F19" s="173"/>
      <c r="G19" s="173"/>
      <c r="H19" s="173"/>
      <c r="I19" s="173"/>
      <c r="J19" s="182"/>
      <c r="K19" s="173"/>
      <c r="L19" s="173"/>
      <c r="M19" s="173"/>
      <c r="N19" s="173"/>
      <c r="O19" s="173"/>
      <c r="P19" s="173"/>
      <c r="Q19" s="173"/>
      <c r="R19" s="173"/>
    </row>
    <row r="20" spans="1:18" s="32" customFormat="1" x14ac:dyDescent="0.25">
      <c r="B20" s="173"/>
      <c r="C20" s="173"/>
      <c r="D20" s="182"/>
      <c r="E20" s="173"/>
      <c r="F20" s="173"/>
      <c r="G20" s="173"/>
      <c r="H20" s="173"/>
      <c r="I20" s="173"/>
      <c r="J20" s="182"/>
      <c r="K20" s="173"/>
      <c r="L20" s="173"/>
      <c r="M20" s="173"/>
      <c r="N20" s="173"/>
      <c r="O20" s="173"/>
      <c r="P20" s="173"/>
      <c r="Q20" s="173"/>
      <c r="R20" s="173"/>
    </row>
    <row r="21" spans="1:18" s="32" customFormat="1" x14ac:dyDescent="0.25">
      <c r="D21" s="38"/>
      <c r="J21" s="38"/>
    </row>
    <row r="22" spans="1:18" s="182" customFormat="1" ht="59.4" customHeight="1" x14ac:dyDescent="0.25">
      <c r="A22" s="184" t="s">
        <v>5141</v>
      </c>
      <c r="B22" s="184" t="s">
        <v>5289</v>
      </c>
      <c r="C22" s="183" t="s">
        <v>5130</v>
      </c>
      <c r="D22" s="200" t="s">
        <v>5307</v>
      </c>
      <c r="E22" s="184" t="s">
        <v>5142</v>
      </c>
      <c r="F22" s="184" t="s">
        <v>5143</v>
      </c>
      <c r="G22" s="184" t="s">
        <v>5319</v>
      </c>
      <c r="H22" s="184" t="s">
        <v>1685</v>
      </c>
      <c r="I22" s="183" t="s">
        <v>1686</v>
      </c>
      <c r="J22" s="200" t="s">
        <v>5191</v>
      </c>
    </row>
    <row r="23" spans="1:18" x14ac:dyDescent="0.25">
      <c r="E23" s="171"/>
      <c r="F23" s="171"/>
      <c r="J23" s="201" t="str">
        <f>IFERROR(COUNTIF($C$23:C23,C23)&amp;CHOOSE(MIN(4,COUNTIF($C$23:C23,C23)),"st","nd","rd","th"),"")</f>
        <v/>
      </c>
    </row>
    <row r="24" spans="1:18" x14ac:dyDescent="0.25">
      <c r="E24" s="171"/>
      <c r="F24" s="171"/>
      <c r="J24" s="201" t="str">
        <f>IFERROR(COUNTIF($C$24:C24,C24)&amp;CHOOSE(MIN(4,COUNTIF($C$24:C24,C24)),"st","nd","rd","th"),"")</f>
        <v/>
      </c>
    </row>
    <row r="25" spans="1:18" x14ac:dyDescent="0.25">
      <c r="E25" s="171"/>
      <c r="F25" s="171"/>
      <c r="J25" s="201" t="str">
        <f>IFERROR(COUNTIF($C$23:C25,C25)&amp;CHOOSE(MIN(4,COUNTIF($C$23:C25,C25)),"st","nd","rd","th"),"")</f>
        <v/>
      </c>
    </row>
    <row r="26" spans="1:18" x14ac:dyDescent="0.25">
      <c r="J26" s="201" t="str">
        <f>IFERROR(COUNTIF($C$23:C26,C26)&amp;CHOOSE(MIN(4,COUNTIF($C$23:C26,C26)),"st","nd","rd","th"),"")</f>
        <v/>
      </c>
    </row>
    <row r="27" spans="1:18" x14ac:dyDescent="0.25">
      <c r="J27" s="201" t="str">
        <f>IFERROR(COUNTIF($C$23:C27,C27)&amp;CHOOSE(MIN(4,COUNTIF($C$23:C27,C27)),"st","nd","rd","th"),"")</f>
        <v/>
      </c>
    </row>
    <row r="28" spans="1:18" x14ac:dyDescent="0.25">
      <c r="J28" s="201" t="str">
        <f>IFERROR(COUNTIF($C$23:C28,C28)&amp;CHOOSE(MIN(4,COUNTIF($C$23:C28,C28)),"st","nd","rd","th"),"")</f>
        <v/>
      </c>
    </row>
    <row r="29" spans="1:18" x14ac:dyDescent="0.25">
      <c r="J29" s="201" t="str">
        <f>IFERROR(COUNTIF($C$23:C29,C29)&amp;CHOOSE(MIN(4,COUNTIF($C$23:C29,C29)),"st","nd","rd","th"),"")</f>
        <v/>
      </c>
    </row>
    <row r="30" spans="1:18" x14ac:dyDescent="0.25">
      <c r="D30" s="201" t="str">
        <f t="shared" ref="D30:D86" si="0">IF(B30="","",IF(B30="Province_PLGU","PDPFP","CLUP"))</f>
        <v/>
      </c>
      <c r="J30" s="201" t="str">
        <f>IFERROR(COUNTIF($C$23:C30,C30)&amp;CHOOSE(MIN(4,COUNTIF($C$23:C30,C30)),"st","nd","rd","th"),"")</f>
        <v/>
      </c>
    </row>
    <row r="31" spans="1:18" x14ac:dyDescent="0.25">
      <c r="D31" s="201" t="str">
        <f t="shared" si="0"/>
        <v/>
      </c>
      <c r="J31" s="201" t="str">
        <f>IFERROR(COUNTIF($C$23:C31,C31)&amp;CHOOSE(MIN(4,COUNTIF($C$23:C31,C31)),"st","nd","rd","th"),"")</f>
        <v/>
      </c>
    </row>
    <row r="32" spans="1:18" x14ac:dyDescent="0.25">
      <c r="D32" s="201" t="str">
        <f t="shared" si="0"/>
        <v/>
      </c>
      <c r="J32" s="201" t="str">
        <f>IFERROR(COUNTIF($C$23:C32,C32)&amp;CHOOSE(MIN(4,COUNTIF($C$23:C32,C32)),"st","nd","rd","th"),"")</f>
        <v/>
      </c>
    </row>
    <row r="33" spans="4:10" x14ac:dyDescent="0.25">
      <c r="D33" s="201" t="str">
        <f t="shared" si="0"/>
        <v/>
      </c>
      <c r="J33" s="201" t="str">
        <f>IFERROR(COUNTIF($C$23:C33,C33)&amp;CHOOSE(MIN(4,COUNTIF($C$23:C33,C33)),"st","nd","rd","th"),"")</f>
        <v/>
      </c>
    </row>
    <row r="34" spans="4:10" x14ac:dyDescent="0.25">
      <c r="D34" s="201" t="str">
        <f t="shared" si="0"/>
        <v/>
      </c>
      <c r="J34" s="201" t="str">
        <f>IFERROR(COUNTIF($C$23:C34,C34)&amp;CHOOSE(MIN(4,COUNTIF($C$23:C34,C34)),"st","nd","rd","th"),"")</f>
        <v/>
      </c>
    </row>
    <row r="35" spans="4:10" x14ac:dyDescent="0.25">
      <c r="D35" s="201" t="str">
        <f t="shared" si="0"/>
        <v/>
      </c>
      <c r="J35" s="201" t="str">
        <f>IFERROR(COUNTIF($C$23:C35,C35)&amp;CHOOSE(MIN(4,COUNTIF($C$23:C35,C35)),"st","nd","rd","th"),"")</f>
        <v/>
      </c>
    </row>
    <row r="36" spans="4:10" x14ac:dyDescent="0.25">
      <c r="D36" s="201" t="str">
        <f t="shared" si="0"/>
        <v/>
      </c>
      <c r="J36" s="201" t="str">
        <f>IFERROR(COUNTIF($C$23:C36,C36)&amp;CHOOSE(MIN(4,COUNTIF($C$23:C36,C36)),"st","nd","rd","th"),"")</f>
        <v/>
      </c>
    </row>
    <row r="37" spans="4:10" x14ac:dyDescent="0.25">
      <c r="D37" s="201" t="str">
        <f t="shared" si="0"/>
        <v/>
      </c>
      <c r="J37" s="201" t="str">
        <f>IFERROR(COUNTIF($C$23:C37,C37)&amp;CHOOSE(MIN(4,COUNTIF($C$23:C37,C37)),"st","nd","rd","th"),"")</f>
        <v/>
      </c>
    </row>
    <row r="38" spans="4:10" x14ac:dyDescent="0.25">
      <c r="D38" s="201" t="str">
        <f t="shared" si="0"/>
        <v/>
      </c>
      <c r="J38" s="201" t="str">
        <f>IFERROR(COUNTIF($C$23:C38,C38)&amp;CHOOSE(MIN(4,COUNTIF($C$23:C38,C38)),"st","nd","rd","th"),"")</f>
        <v/>
      </c>
    </row>
    <row r="39" spans="4:10" x14ac:dyDescent="0.25">
      <c r="D39" s="201" t="str">
        <f t="shared" si="0"/>
        <v/>
      </c>
      <c r="J39" s="201" t="str">
        <f>IFERROR(COUNTIF($C$23:C39,C39)&amp;CHOOSE(MIN(4,COUNTIF($C$23:C39,C39)),"st","nd","rd","th"),"")</f>
        <v/>
      </c>
    </row>
    <row r="40" spans="4:10" x14ac:dyDescent="0.25">
      <c r="D40" s="201" t="str">
        <f t="shared" si="0"/>
        <v/>
      </c>
      <c r="J40" s="201" t="str">
        <f>IFERROR(COUNTIF($C$23:C40,C40)&amp;CHOOSE(MIN(4,COUNTIF($C$23:C40,C40)),"st","nd","rd","th"),"")</f>
        <v/>
      </c>
    </row>
    <row r="41" spans="4:10" x14ac:dyDescent="0.25">
      <c r="D41" s="201" t="str">
        <f t="shared" si="0"/>
        <v/>
      </c>
      <c r="J41" s="201" t="str">
        <f>IFERROR(COUNTIF($C$23:C41,C41)&amp;CHOOSE(MIN(4,COUNTIF($C$23:C41,C41)),"st","nd","rd","th"),"")</f>
        <v/>
      </c>
    </row>
    <row r="42" spans="4:10" x14ac:dyDescent="0.25">
      <c r="D42" s="201" t="str">
        <f t="shared" si="0"/>
        <v/>
      </c>
      <c r="J42" s="201" t="str">
        <f>IFERROR(COUNTIF($C$23:C42,C42)&amp;CHOOSE(MIN(4,COUNTIF($C$23:C42,C42)),"st","nd","rd","th"),"")</f>
        <v/>
      </c>
    </row>
    <row r="43" spans="4:10" x14ac:dyDescent="0.25">
      <c r="D43" s="201" t="str">
        <f t="shared" si="0"/>
        <v/>
      </c>
      <c r="J43" s="201" t="str">
        <f>IFERROR(COUNTIF($C$23:C43,C43)&amp;CHOOSE(MIN(4,COUNTIF($C$23:C43,C43)),"st","nd","rd","th"),"")</f>
        <v/>
      </c>
    </row>
    <row r="44" spans="4:10" x14ac:dyDescent="0.25">
      <c r="D44" s="201" t="str">
        <f t="shared" si="0"/>
        <v/>
      </c>
      <c r="J44" s="201" t="str">
        <f>IFERROR(COUNTIF($C$23:C44,C44)&amp;CHOOSE(MIN(4,COUNTIF($C$23:C44,C44)),"st","nd","rd","th"),"")</f>
        <v/>
      </c>
    </row>
    <row r="45" spans="4:10" x14ac:dyDescent="0.25">
      <c r="D45" s="201" t="str">
        <f t="shared" si="0"/>
        <v/>
      </c>
      <c r="J45" s="201" t="str">
        <f>IFERROR(COUNTIF($C$23:C45,C45)&amp;CHOOSE(MIN(4,COUNTIF($C$23:C45,C45)),"st","nd","rd","th"),"")</f>
        <v/>
      </c>
    </row>
    <row r="46" spans="4:10" x14ac:dyDescent="0.25">
      <c r="D46" s="201" t="str">
        <f t="shared" si="0"/>
        <v/>
      </c>
      <c r="J46" s="201" t="str">
        <f>IFERROR(COUNTIF($C$23:C46,C46)&amp;CHOOSE(MIN(4,COUNTIF($C$23:C46,C46)),"st","nd","rd","th"),"")</f>
        <v/>
      </c>
    </row>
    <row r="47" spans="4:10" x14ac:dyDescent="0.25">
      <c r="D47" s="201" t="str">
        <f t="shared" si="0"/>
        <v/>
      </c>
      <c r="J47" s="201" t="str">
        <f>IFERROR(COUNTIF($C$23:C47,C47)&amp;CHOOSE(MIN(4,COUNTIF($C$23:C47,C47)),"st","nd","rd","th"),"")</f>
        <v/>
      </c>
    </row>
    <row r="48" spans="4:10" x14ac:dyDescent="0.25">
      <c r="D48" s="201" t="str">
        <f t="shared" si="0"/>
        <v/>
      </c>
      <c r="J48" s="201" t="str">
        <f>IFERROR(COUNTIF($C$23:C48,C48)&amp;CHOOSE(MIN(4,COUNTIF($C$23:C48,C48)),"st","nd","rd","th"),"")</f>
        <v/>
      </c>
    </row>
    <row r="49" spans="4:10" x14ac:dyDescent="0.25">
      <c r="D49" s="201" t="str">
        <f t="shared" si="0"/>
        <v/>
      </c>
      <c r="J49" s="201" t="str">
        <f>IFERROR(COUNTIF($C$23:C49,C49)&amp;CHOOSE(MIN(4,COUNTIF($C$23:C49,C49)),"st","nd","rd","th"),"")</f>
        <v/>
      </c>
    </row>
    <row r="50" spans="4:10" x14ac:dyDescent="0.25">
      <c r="D50" s="201" t="str">
        <f t="shared" si="0"/>
        <v/>
      </c>
      <c r="J50" s="201" t="str">
        <f>IFERROR(COUNTIF($C$23:C50,C50)&amp;CHOOSE(MIN(4,COUNTIF($C$23:C50,C50)),"st","nd","rd","th"),"")</f>
        <v/>
      </c>
    </row>
    <row r="51" spans="4:10" x14ac:dyDescent="0.25">
      <c r="D51" s="201" t="str">
        <f t="shared" si="0"/>
        <v/>
      </c>
      <c r="J51" s="201" t="str">
        <f>IFERROR(COUNTIF($C$23:C51,C51)&amp;CHOOSE(MIN(4,COUNTIF($C$23:C51,C51)),"st","nd","rd","th"),"")</f>
        <v/>
      </c>
    </row>
    <row r="52" spans="4:10" x14ac:dyDescent="0.25">
      <c r="D52" s="201" t="str">
        <f t="shared" si="0"/>
        <v/>
      </c>
      <c r="J52" s="201" t="str">
        <f>IFERROR(COUNTIF($C$23:C52,C52)&amp;CHOOSE(MIN(4,COUNTIF($C$23:C52,C52)),"st","nd","rd","th"),"")</f>
        <v/>
      </c>
    </row>
    <row r="53" spans="4:10" x14ac:dyDescent="0.25">
      <c r="D53" s="201" t="str">
        <f t="shared" si="0"/>
        <v/>
      </c>
      <c r="J53" s="201" t="str">
        <f>IFERROR(COUNTIF($C$23:C53,C53)&amp;CHOOSE(MIN(4,COUNTIF($C$23:C53,C53)),"st","nd","rd","th"),"")</f>
        <v/>
      </c>
    </row>
    <row r="54" spans="4:10" x14ac:dyDescent="0.25">
      <c r="D54" s="201" t="str">
        <f t="shared" si="0"/>
        <v/>
      </c>
      <c r="J54" s="201" t="str">
        <f>IFERROR(COUNTIF($C$23:C54,C54)&amp;CHOOSE(MIN(4,COUNTIF($C$23:C54,C54)),"st","nd","rd","th"),"")</f>
        <v/>
      </c>
    </row>
    <row r="55" spans="4:10" x14ac:dyDescent="0.25">
      <c r="D55" s="201" t="str">
        <f t="shared" si="0"/>
        <v/>
      </c>
      <c r="J55" s="201" t="str">
        <f>IFERROR(COUNTIF($C$23:C55,C55)&amp;CHOOSE(MIN(4,COUNTIF($C$23:C55,C55)),"st","nd","rd","th"),"")</f>
        <v/>
      </c>
    </row>
    <row r="56" spans="4:10" x14ac:dyDescent="0.25">
      <c r="D56" s="201" t="str">
        <f t="shared" si="0"/>
        <v/>
      </c>
      <c r="J56" s="201" t="str">
        <f>IFERROR(COUNTIF($C$23:C56,C56)&amp;CHOOSE(MIN(4,COUNTIF($C$23:C56,C56)),"st","nd","rd","th"),"")</f>
        <v/>
      </c>
    </row>
    <row r="57" spans="4:10" x14ac:dyDescent="0.25">
      <c r="D57" s="201" t="str">
        <f t="shared" si="0"/>
        <v/>
      </c>
      <c r="J57" s="201" t="str">
        <f>IFERROR(COUNTIF($C$23:C57,C57)&amp;CHOOSE(MIN(4,COUNTIF($C$23:C57,C57)),"st","nd","rd","th"),"")</f>
        <v/>
      </c>
    </row>
    <row r="58" spans="4:10" x14ac:dyDescent="0.25">
      <c r="D58" s="201" t="str">
        <f t="shared" si="0"/>
        <v/>
      </c>
      <c r="J58" s="201" t="str">
        <f>IFERROR(COUNTIF($C$23:C58,C58)&amp;CHOOSE(MIN(4,COUNTIF($C$23:C58,C58)),"st","nd","rd","th"),"")</f>
        <v/>
      </c>
    </row>
    <row r="59" spans="4:10" x14ac:dyDescent="0.25">
      <c r="D59" s="201" t="str">
        <f t="shared" si="0"/>
        <v/>
      </c>
      <c r="J59" s="201" t="str">
        <f>IFERROR(COUNTIF($C$23:C59,C59)&amp;CHOOSE(MIN(4,COUNTIF($C$23:C59,C59)),"st","nd","rd","th"),"")</f>
        <v/>
      </c>
    </row>
    <row r="60" spans="4:10" x14ac:dyDescent="0.25">
      <c r="D60" s="201" t="str">
        <f t="shared" si="0"/>
        <v/>
      </c>
      <c r="J60" s="201" t="str">
        <f>IFERROR(COUNTIF($C$23:C60,C60)&amp;CHOOSE(MIN(4,COUNTIF($C$23:C60,C60)),"st","nd","rd","th"),"")</f>
        <v/>
      </c>
    </row>
    <row r="61" spans="4:10" x14ac:dyDescent="0.25">
      <c r="D61" s="201" t="str">
        <f t="shared" si="0"/>
        <v/>
      </c>
      <c r="J61" s="201" t="str">
        <f>IFERROR(COUNTIF($C$23:C61,C61)&amp;CHOOSE(MIN(4,COUNTIF($C$23:C61,C61)),"st","nd","rd","th"),"")</f>
        <v/>
      </c>
    </row>
    <row r="62" spans="4:10" x14ac:dyDescent="0.25">
      <c r="D62" s="201" t="str">
        <f t="shared" si="0"/>
        <v/>
      </c>
      <c r="J62" s="201" t="str">
        <f>IFERROR(COUNTIF($C$23:C62,C62)&amp;CHOOSE(MIN(4,COUNTIF($C$23:C62,C62)),"st","nd","rd","th"),"")</f>
        <v/>
      </c>
    </row>
    <row r="63" spans="4:10" x14ac:dyDescent="0.25">
      <c r="D63" s="201" t="str">
        <f t="shared" si="0"/>
        <v/>
      </c>
      <c r="J63" s="201" t="str">
        <f>IFERROR(COUNTIF($C$23:C63,C63)&amp;CHOOSE(MIN(4,COUNTIF($C$23:C63,C63)),"st","nd","rd","th"),"")</f>
        <v/>
      </c>
    </row>
    <row r="64" spans="4:10" x14ac:dyDescent="0.25">
      <c r="D64" s="201" t="str">
        <f t="shared" si="0"/>
        <v/>
      </c>
      <c r="J64" s="201" t="str">
        <f>IFERROR(COUNTIF($C$23:C64,C64)&amp;CHOOSE(MIN(4,COUNTIF($C$23:C64,C64)),"st","nd","rd","th"),"")</f>
        <v/>
      </c>
    </row>
    <row r="65" spans="4:10" x14ac:dyDescent="0.25">
      <c r="D65" s="201" t="str">
        <f t="shared" si="0"/>
        <v/>
      </c>
      <c r="J65" s="201" t="str">
        <f>IFERROR(COUNTIF($C$23:C65,C65)&amp;CHOOSE(MIN(4,COUNTIF($C$23:C65,C65)),"st","nd","rd","th"),"")</f>
        <v/>
      </c>
    </row>
    <row r="66" spans="4:10" x14ac:dyDescent="0.25">
      <c r="D66" s="201" t="str">
        <f t="shared" si="0"/>
        <v/>
      </c>
      <c r="J66" s="201" t="str">
        <f>IFERROR(COUNTIF($C$23:C66,C66)&amp;CHOOSE(MIN(4,COUNTIF($C$23:C66,C66)),"st","nd","rd","th"),"")</f>
        <v/>
      </c>
    </row>
    <row r="67" spans="4:10" x14ac:dyDescent="0.25">
      <c r="D67" s="201" t="str">
        <f t="shared" si="0"/>
        <v/>
      </c>
      <c r="J67" s="201" t="str">
        <f>IFERROR(COUNTIF($C$23:C67,C67)&amp;CHOOSE(MIN(4,COUNTIF($C$23:C67,C67)),"st","nd","rd","th"),"")</f>
        <v/>
      </c>
    </row>
    <row r="68" spans="4:10" x14ac:dyDescent="0.25">
      <c r="D68" s="201" t="str">
        <f t="shared" si="0"/>
        <v/>
      </c>
      <c r="J68" s="201" t="str">
        <f>IFERROR(COUNTIF($C$23:C68,C68)&amp;CHOOSE(MIN(4,COUNTIF($C$23:C68,C68)),"st","nd","rd","th"),"")</f>
        <v/>
      </c>
    </row>
    <row r="69" spans="4:10" x14ac:dyDescent="0.25">
      <c r="D69" s="201" t="str">
        <f t="shared" si="0"/>
        <v/>
      </c>
      <c r="J69" s="201" t="str">
        <f>IFERROR(COUNTIF($C$23:C69,C69)&amp;CHOOSE(MIN(4,COUNTIF($C$23:C69,C69)),"st","nd","rd","th"),"")</f>
        <v/>
      </c>
    </row>
    <row r="70" spans="4:10" x14ac:dyDescent="0.25">
      <c r="D70" s="201" t="str">
        <f t="shared" si="0"/>
        <v/>
      </c>
      <c r="J70" s="201" t="str">
        <f>IFERROR(COUNTIF($C$23:C70,C70)&amp;CHOOSE(MIN(4,COUNTIF($C$23:C70,C70)),"st","nd","rd","th"),"")</f>
        <v/>
      </c>
    </row>
    <row r="71" spans="4:10" x14ac:dyDescent="0.25">
      <c r="D71" s="201" t="str">
        <f t="shared" si="0"/>
        <v/>
      </c>
      <c r="J71" s="201" t="str">
        <f>IFERROR(COUNTIF($C$23:C71,C71)&amp;CHOOSE(MIN(4,COUNTIF($C$23:C71,C71)),"st","nd","rd","th"),"")</f>
        <v/>
      </c>
    </row>
    <row r="72" spans="4:10" x14ac:dyDescent="0.25">
      <c r="D72" s="201" t="str">
        <f t="shared" si="0"/>
        <v/>
      </c>
      <c r="J72" s="201" t="str">
        <f>IFERROR(COUNTIF($C$23:C72,C72)&amp;CHOOSE(MIN(4,COUNTIF($C$23:C72,C72)),"st","nd","rd","th"),"")</f>
        <v/>
      </c>
    </row>
    <row r="73" spans="4:10" x14ac:dyDescent="0.25">
      <c r="D73" s="201" t="str">
        <f t="shared" si="0"/>
        <v/>
      </c>
      <c r="J73" s="201" t="str">
        <f>IFERROR(COUNTIF($C$23:C73,C73)&amp;CHOOSE(MIN(4,COUNTIF($C$23:C73,C73)),"st","nd","rd","th"),"")</f>
        <v/>
      </c>
    </row>
    <row r="74" spans="4:10" x14ac:dyDescent="0.25">
      <c r="D74" s="201" t="str">
        <f t="shared" si="0"/>
        <v/>
      </c>
      <c r="J74" s="201" t="str">
        <f>IFERROR(COUNTIF($C$23:C74,C74)&amp;CHOOSE(MIN(4,COUNTIF($C$23:C74,C74)),"st","nd","rd","th"),"")</f>
        <v/>
      </c>
    </row>
    <row r="75" spans="4:10" x14ac:dyDescent="0.25">
      <c r="D75" s="201" t="str">
        <f t="shared" si="0"/>
        <v/>
      </c>
      <c r="J75" s="201" t="str">
        <f>IFERROR(COUNTIF($C$23:C75,C75)&amp;CHOOSE(MIN(4,COUNTIF($C$23:C75,C75)),"st","nd","rd","th"),"")</f>
        <v/>
      </c>
    </row>
    <row r="76" spans="4:10" x14ac:dyDescent="0.25">
      <c r="D76" s="201" t="str">
        <f t="shared" si="0"/>
        <v/>
      </c>
      <c r="J76" s="201" t="str">
        <f>IFERROR(COUNTIF($C$23:C76,C76)&amp;CHOOSE(MIN(4,COUNTIF($C$23:C76,C76)),"st","nd","rd","th"),"")</f>
        <v/>
      </c>
    </row>
    <row r="77" spans="4:10" x14ac:dyDescent="0.25">
      <c r="D77" s="201" t="str">
        <f t="shared" si="0"/>
        <v/>
      </c>
      <c r="J77" s="201" t="str">
        <f>IFERROR(COUNTIF($C$23:C77,C77)&amp;CHOOSE(MIN(4,COUNTIF($C$23:C77,C77)),"st","nd","rd","th"),"")</f>
        <v/>
      </c>
    </row>
    <row r="78" spans="4:10" x14ac:dyDescent="0.25">
      <c r="D78" s="201" t="str">
        <f t="shared" si="0"/>
        <v/>
      </c>
      <c r="J78" s="201" t="str">
        <f>IFERROR(COUNTIF($C$23:C78,C78)&amp;CHOOSE(MIN(4,COUNTIF($C$23:C78,C78)),"st","nd","rd","th"),"")</f>
        <v/>
      </c>
    </row>
    <row r="79" spans="4:10" x14ac:dyDescent="0.25">
      <c r="D79" s="201" t="str">
        <f t="shared" si="0"/>
        <v/>
      </c>
      <c r="J79" s="201" t="str">
        <f>IFERROR(COUNTIF($C$23:C79,C79)&amp;CHOOSE(MIN(4,COUNTIF($C$23:C79,C79)),"st","nd","rd","th"),"")</f>
        <v/>
      </c>
    </row>
    <row r="80" spans="4:10" x14ac:dyDescent="0.25">
      <c r="D80" s="201" t="str">
        <f t="shared" si="0"/>
        <v/>
      </c>
      <c r="J80" s="201" t="str">
        <f>IFERROR(COUNTIF($C$23:C80,C80)&amp;CHOOSE(MIN(4,COUNTIF($C$23:C80,C80)),"st","nd","rd","th"),"")</f>
        <v/>
      </c>
    </row>
    <row r="81" spans="4:10" x14ac:dyDescent="0.25">
      <c r="D81" s="201" t="str">
        <f t="shared" si="0"/>
        <v/>
      </c>
      <c r="J81" s="201" t="str">
        <f>IFERROR(COUNTIF($C$23:C81,C81)&amp;CHOOSE(MIN(4,COUNTIF($C$23:C81,C81)),"st","nd","rd","th"),"")</f>
        <v/>
      </c>
    </row>
    <row r="82" spans="4:10" x14ac:dyDescent="0.25">
      <c r="D82" s="201" t="str">
        <f t="shared" si="0"/>
        <v/>
      </c>
      <c r="J82" s="201" t="str">
        <f>IFERROR(COUNTIF($C$23:C82,C82)&amp;CHOOSE(MIN(4,COUNTIF($C$23:C82,C82)),"st","nd","rd","th"),"")</f>
        <v/>
      </c>
    </row>
    <row r="83" spans="4:10" x14ac:dyDescent="0.25">
      <c r="D83" s="201" t="str">
        <f t="shared" si="0"/>
        <v/>
      </c>
      <c r="J83" s="201" t="str">
        <f>IFERROR(COUNTIF($C$23:C83,C83)&amp;CHOOSE(MIN(4,COUNTIF($C$23:C83,C83)),"st","nd","rd","th"),"")</f>
        <v/>
      </c>
    </row>
    <row r="84" spans="4:10" x14ac:dyDescent="0.25">
      <c r="D84" s="201" t="str">
        <f t="shared" si="0"/>
        <v/>
      </c>
      <c r="J84" s="201" t="str">
        <f>IFERROR(COUNTIF($C$23:C84,C84)&amp;CHOOSE(MIN(4,COUNTIF($C$23:C84,C84)),"st","nd","rd","th"),"")</f>
        <v/>
      </c>
    </row>
    <row r="85" spans="4:10" x14ac:dyDescent="0.25">
      <c r="D85" s="201" t="str">
        <f t="shared" si="0"/>
        <v/>
      </c>
      <c r="J85" s="201" t="str">
        <f>IFERROR(COUNTIF($C$23:C85,C85)&amp;CHOOSE(MIN(4,COUNTIF($C$23:C85,C85)),"st","nd","rd","th"),"")</f>
        <v/>
      </c>
    </row>
    <row r="86" spans="4:10" x14ac:dyDescent="0.25">
      <c r="D86" s="201" t="str">
        <f t="shared" si="0"/>
        <v/>
      </c>
      <c r="J86" s="201" t="str">
        <f>IFERROR(COUNTIF($C$23:C86,C86)&amp;CHOOSE(MIN(4,COUNTIF($C$23:C86,C86)),"st","nd","rd","th"),"")</f>
        <v/>
      </c>
    </row>
    <row r="87" spans="4:10" x14ac:dyDescent="0.25">
      <c r="D87" s="201" t="str">
        <f t="shared" ref="D87:D150" si="1">IF(B87="","",IF(B87="Province_PLGU","PDPFP","CLUP"))</f>
        <v/>
      </c>
      <c r="J87" s="201" t="str">
        <f>IFERROR(COUNTIF($C$23:C87,C87)&amp;CHOOSE(MIN(4,COUNTIF($C$23:C87,C87)),"st","nd","rd","th"),"")</f>
        <v/>
      </c>
    </row>
    <row r="88" spans="4:10" x14ac:dyDescent="0.25">
      <c r="D88" s="201" t="str">
        <f t="shared" si="1"/>
        <v/>
      </c>
      <c r="J88" s="201" t="str">
        <f>IFERROR(COUNTIF($C$23:C88,C88)&amp;CHOOSE(MIN(4,COUNTIF($C$23:C88,C88)),"st","nd","rd","th"),"")</f>
        <v/>
      </c>
    </row>
    <row r="89" spans="4:10" x14ac:dyDescent="0.25">
      <c r="D89" s="201" t="str">
        <f t="shared" si="1"/>
        <v/>
      </c>
      <c r="J89" s="201" t="str">
        <f>IFERROR(COUNTIF($C$23:C89,C89)&amp;CHOOSE(MIN(4,COUNTIF($C$23:C89,C89)),"st","nd","rd","th"),"")</f>
        <v/>
      </c>
    </row>
    <row r="90" spans="4:10" x14ac:dyDescent="0.25">
      <c r="D90" s="201" t="str">
        <f t="shared" si="1"/>
        <v/>
      </c>
      <c r="J90" s="201" t="str">
        <f>IFERROR(COUNTIF($C$23:C90,C90)&amp;CHOOSE(MIN(4,COUNTIF($C$23:C90,C90)),"st","nd","rd","th"),"")</f>
        <v/>
      </c>
    </row>
    <row r="91" spans="4:10" x14ac:dyDescent="0.25">
      <c r="D91" s="201" t="str">
        <f t="shared" si="1"/>
        <v/>
      </c>
      <c r="J91" s="201" t="str">
        <f>IFERROR(COUNTIF($C$23:C91,C91)&amp;CHOOSE(MIN(4,COUNTIF($C$23:C91,C91)),"st","nd","rd","th"),"")</f>
        <v/>
      </c>
    </row>
    <row r="92" spans="4:10" x14ac:dyDescent="0.25">
      <c r="D92" s="201" t="str">
        <f t="shared" si="1"/>
        <v/>
      </c>
      <c r="J92" s="201" t="str">
        <f>IFERROR(COUNTIF($C$23:C92,C92)&amp;CHOOSE(MIN(4,COUNTIF($C$23:C92,C92)),"st","nd","rd","th"),"")</f>
        <v/>
      </c>
    </row>
    <row r="93" spans="4:10" x14ac:dyDescent="0.25">
      <c r="D93" s="201" t="str">
        <f t="shared" si="1"/>
        <v/>
      </c>
      <c r="J93" s="201" t="str">
        <f>IFERROR(COUNTIF($C$23:C93,C93)&amp;CHOOSE(MIN(4,COUNTIF($C$23:C93,C93)),"st","nd","rd","th"),"")</f>
        <v/>
      </c>
    </row>
    <row r="94" spans="4:10" x14ac:dyDescent="0.25">
      <c r="D94" s="201" t="str">
        <f t="shared" si="1"/>
        <v/>
      </c>
      <c r="J94" s="201" t="str">
        <f>IFERROR(COUNTIF($C$23:C94,C94)&amp;CHOOSE(MIN(4,COUNTIF($C$23:C94,C94)),"st","nd","rd","th"),"")</f>
        <v/>
      </c>
    </row>
    <row r="95" spans="4:10" x14ac:dyDescent="0.25">
      <c r="D95" s="201" t="str">
        <f t="shared" si="1"/>
        <v/>
      </c>
      <c r="J95" s="201" t="str">
        <f>IFERROR(COUNTIF($C$23:C95,C95)&amp;CHOOSE(MIN(4,COUNTIF($C$23:C95,C95)),"st","nd","rd","th"),"")</f>
        <v/>
      </c>
    </row>
    <row r="96" spans="4:10" x14ac:dyDescent="0.25">
      <c r="D96" s="201" t="str">
        <f t="shared" si="1"/>
        <v/>
      </c>
      <c r="J96" s="201" t="str">
        <f>IFERROR(COUNTIF($C$23:C96,C96)&amp;CHOOSE(MIN(4,COUNTIF($C$23:C96,C96)),"st","nd","rd","th"),"")</f>
        <v/>
      </c>
    </row>
    <row r="97" spans="4:10" x14ac:dyDescent="0.25">
      <c r="D97" s="201" t="str">
        <f t="shared" si="1"/>
        <v/>
      </c>
      <c r="J97" s="201" t="str">
        <f>IFERROR(COUNTIF($C$23:C97,C97)&amp;CHOOSE(MIN(4,COUNTIF($C$23:C97,C97)),"st","nd","rd","th"),"")</f>
        <v/>
      </c>
    </row>
    <row r="98" spans="4:10" x14ac:dyDescent="0.25">
      <c r="D98" s="201" t="str">
        <f t="shared" si="1"/>
        <v/>
      </c>
      <c r="J98" s="201" t="str">
        <f>IFERROR(COUNTIF($C$23:C98,C98)&amp;CHOOSE(MIN(4,COUNTIF($C$23:C98,C98)),"st","nd","rd","th"),"")</f>
        <v/>
      </c>
    </row>
    <row r="99" spans="4:10" x14ac:dyDescent="0.25">
      <c r="D99" s="201" t="str">
        <f t="shared" si="1"/>
        <v/>
      </c>
      <c r="J99" s="201" t="str">
        <f>IFERROR(COUNTIF($C$23:C99,C99)&amp;CHOOSE(MIN(4,COUNTIF($C$23:C99,C99)),"st","nd","rd","th"),"")</f>
        <v/>
      </c>
    </row>
    <row r="100" spans="4:10" x14ac:dyDescent="0.25">
      <c r="D100" s="201" t="str">
        <f t="shared" si="1"/>
        <v/>
      </c>
      <c r="J100" s="201" t="str">
        <f>IFERROR(COUNTIF($C$23:C100,C100)&amp;CHOOSE(MIN(4,COUNTIF($C$23:C100,C100)),"st","nd","rd","th"),"")</f>
        <v/>
      </c>
    </row>
    <row r="101" spans="4:10" x14ac:dyDescent="0.25">
      <c r="D101" s="201" t="str">
        <f t="shared" si="1"/>
        <v/>
      </c>
      <c r="J101" s="201" t="str">
        <f>IFERROR(COUNTIF($C$23:C101,C101)&amp;CHOOSE(MIN(4,COUNTIF($C$23:C101,C101)),"st","nd","rd","th"),"")</f>
        <v/>
      </c>
    </row>
    <row r="102" spans="4:10" x14ac:dyDescent="0.25">
      <c r="D102" s="201" t="str">
        <f t="shared" si="1"/>
        <v/>
      </c>
      <c r="J102" s="201" t="str">
        <f>IFERROR(COUNTIF($C$23:C102,C102)&amp;CHOOSE(MIN(4,COUNTIF($C$23:C102,C102)),"st","nd","rd","th"),"")</f>
        <v/>
      </c>
    </row>
    <row r="103" spans="4:10" x14ac:dyDescent="0.25">
      <c r="D103" s="201" t="str">
        <f t="shared" si="1"/>
        <v/>
      </c>
      <c r="J103" s="201" t="str">
        <f>IFERROR(COUNTIF($C$23:C103,C103)&amp;CHOOSE(MIN(4,COUNTIF($C$23:C103,C103)),"st","nd","rd","th"),"")</f>
        <v/>
      </c>
    </row>
    <row r="104" spans="4:10" x14ac:dyDescent="0.25">
      <c r="D104" s="201" t="str">
        <f t="shared" si="1"/>
        <v/>
      </c>
      <c r="J104" s="201" t="str">
        <f>IFERROR(COUNTIF($C$23:C104,C104)&amp;CHOOSE(MIN(4,COUNTIF($C$23:C104,C104)),"st","nd","rd","th"),"")</f>
        <v/>
      </c>
    </row>
    <row r="105" spans="4:10" x14ac:dyDescent="0.25">
      <c r="D105" s="201" t="str">
        <f t="shared" si="1"/>
        <v/>
      </c>
      <c r="J105" s="201" t="str">
        <f>IFERROR(COUNTIF($C$23:C105,C105)&amp;CHOOSE(MIN(4,COUNTIF($C$23:C105,C105)),"st","nd","rd","th"),"")</f>
        <v/>
      </c>
    </row>
    <row r="106" spans="4:10" x14ac:dyDescent="0.25">
      <c r="D106" s="201" t="str">
        <f t="shared" si="1"/>
        <v/>
      </c>
      <c r="J106" s="201" t="str">
        <f>IFERROR(COUNTIF($C$23:C106,C106)&amp;CHOOSE(MIN(4,COUNTIF($C$23:C106,C106)),"st","nd","rd","th"),"")</f>
        <v/>
      </c>
    </row>
    <row r="107" spans="4:10" x14ac:dyDescent="0.25">
      <c r="D107" s="201" t="str">
        <f t="shared" si="1"/>
        <v/>
      </c>
      <c r="J107" s="201" t="str">
        <f>IFERROR(COUNTIF($C$23:C107,C107)&amp;CHOOSE(MIN(4,COUNTIF($C$23:C107,C107)),"st","nd","rd","th"),"")</f>
        <v/>
      </c>
    </row>
    <row r="108" spans="4:10" x14ac:dyDescent="0.25">
      <c r="D108" s="201" t="str">
        <f t="shared" si="1"/>
        <v/>
      </c>
      <c r="J108" s="201" t="str">
        <f>IFERROR(COUNTIF($C$23:C108,C108)&amp;CHOOSE(MIN(4,COUNTIF($C$23:C108,C108)),"st","nd","rd","th"),"")</f>
        <v/>
      </c>
    </row>
    <row r="109" spans="4:10" x14ac:dyDescent="0.25">
      <c r="D109" s="201" t="str">
        <f t="shared" si="1"/>
        <v/>
      </c>
      <c r="J109" s="201" t="str">
        <f>IFERROR(COUNTIF($C$23:C109,C109)&amp;CHOOSE(MIN(4,COUNTIF($C$23:C109,C109)),"st","nd","rd","th"),"")</f>
        <v/>
      </c>
    </row>
    <row r="110" spans="4:10" x14ac:dyDescent="0.25">
      <c r="D110" s="201" t="str">
        <f t="shared" si="1"/>
        <v/>
      </c>
      <c r="J110" s="201" t="str">
        <f>IFERROR(COUNTIF($C$23:C110,C110)&amp;CHOOSE(MIN(4,COUNTIF($C$23:C110,C110)),"st","nd","rd","th"),"")</f>
        <v/>
      </c>
    </row>
    <row r="111" spans="4:10" x14ac:dyDescent="0.25">
      <c r="D111" s="201" t="str">
        <f t="shared" si="1"/>
        <v/>
      </c>
      <c r="J111" s="201" t="str">
        <f>IFERROR(COUNTIF($C$23:C111,C111)&amp;CHOOSE(MIN(4,COUNTIF($C$23:C111,C111)),"st","nd","rd","th"),"")</f>
        <v/>
      </c>
    </row>
    <row r="112" spans="4:10" x14ac:dyDescent="0.25">
      <c r="D112" s="201" t="str">
        <f t="shared" si="1"/>
        <v/>
      </c>
      <c r="J112" s="201" t="str">
        <f>IFERROR(COUNTIF($C$23:C112,C112)&amp;CHOOSE(MIN(4,COUNTIF($C$23:C112,C112)),"st","nd","rd","th"),"")</f>
        <v/>
      </c>
    </row>
    <row r="113" spans="4:10" x14ac:dyDescent="0.25">
      <c r="D113" s="201" t="str">
        <f t="shared" si="1"/>
        <v/>
      </c>
      <c r="J113" s="201" t="str">
        <f>IFERROR(COUNTIF($C$23:C113,C113)&amp;CHOOSE(MIN(4,COUNTIF($C$23:C113,C113)),"st","nd","rd","th"),"")</f>
        <v/>
      </c>
    </row>
    <row r="114" spans="4:10" x14ac:dyDescent="0.25">
      <c r="D114" s="201" t="str">
        <f t="shared" si="1"/>
        <v/>
      </c>
      <c r="J114" s="201" t="str">
        <f>IFERROR(COUNTIF($C$23:C114,C114)&amp;CHOOSE(MIN(4,COUNTIF($C$23:C114,C114)),"st","nd","rd","th"),"")</f>
        <v/>
      </c>
    </row>
    <row r="115" spans="4:10" x14ac:dyDescent="0.25">
      <c r="D115" s="201" t="str">
        <f t="shared" si="1"/>
        <v/>
      </c>
      <c r="J115" s="201" t="str">
        <f>IFERROR(COUNTIF($C$23:C115,C115)&amp;CHOOSE(MIN(4,COUNTIF($C$23:C115,C115)),"st","nd","rd","th"),"")</f>
        <v/>
      </c>
    </row>
    <row r="116" spans="4:10" x14ac:dyDescent="0.25">
      <c r="D116" s="201" t="str">
        <f t="shared" si="1"/>
        <v/>
      </c>
      <c r="J116" s="201" t="str">
        <f>IFERROR(COUNTIF($C$23:C116,C116)&amp;CHOOSE(MIN(4,COUNTIF($C$23:C116,C116)),"st","nd","rd","th"),"")</f>
        <v/>
      </c>
    </row>
    <row r="117" spans="4:10" x14ac:dyDescent="0.25">
      <c r="D117" s="201" t="str">
        <f t="shared" si="1"/>
        <v/>
      </c>
      <c r="J117" s="201" t="str">
        <f>IFERROR(COUNTIF($C$23:C117,C117)&amp;CHOOSE(MIN(4,COUNTIF($C$23:C117,C117)),"st","nd","rd","th"),"")</f>
        <v/>
      </c>
    </row>
    <row r="118" spans="4:10" x14ac:dyDescent="0.25">
      <c r="D118" s="201" t="str">
        <f t="shared" si="1"/>
        <v/>
      </c>
      <c r="J118" s="201" t="str">
        <f>IFERROR(COUNTIF($C$23:C118,C118)&amp;CHOOSE(MIN(4,COUNTIF($C$23:C118,C118)),"st","nd","rd","th"),"")</f>
        <v/>
      </c>
    </row>
    <row r="119" spans="4:10" x14ac:dyDescent="0.25">
      <c r="D119" s="201" t="str">
        <f t="shared" si="1"/>
        <v/>
      </c>
      <c r="J119" s="201" t="str">
        <f>IFERROR(COUNTIF($C$23:C119,C119)&amp;CHOOSE(MIN(4,COUNTIF($C$23:C119,C119)),"st","nd","rd","th"),"")</f>
        <v/>
      </c>
    </row>
    <row r="120" spans="4:10" x14ac:dyDescent="0.25">
      <c r="D120" s="201" t="str">
        <f t="shared" si="1"/>
        <v/>
      </c>
      <c r="J120" s="201" t="str">
        <f>IFERROR(COUNTIF($C$23:C120,C120)&amp;CHOOSE(MIN(4,COUNTIF($C$23:C120,C120)),"st","nd","rd","th"),"")</f>
        <v/>
      </c>
    </row>
    <row r="121" spans="4:10" x14ac:dyDescent="0.25">
      <c r="D121" s="201" t="str">
        <f t="shared" si="1"/>
        <v/>
      </c>
      <c r="J121" s="201" t="str">
        <f>IFERROR(COUNTIF($C$23:C121,C121)&amp;CHOOSE(MIN(4,COUNTIF($C$23:C121,C121)),"st","nd","rd","th"),"")</f>
        <v/>
      </c>
    </row>
    <row r="122" spans="4:10" x14ac:dyDescent="0.25">
      <c r="D122" s="201" t="str">
        <f t="shared" si="1"/>
        <v/>
      </c>
      <c r="J122" s="201" t="str">
        <f>IFERROR(COUNTIF($C$23:C122,C122)&amp;CHOOSE(MIN(4,COUNTIF($C$23:C122,C122)),"st","nd","rd","th"),"")</f>
        <v/>
      </c>
    </row>
    <row r="123" spans="4:10" x14ac:dyDescent="0.25">
      <c r="D123" s="201" t="str">
        <f t="shared" si="1"/>
        <v/>
      </c>
      <c r="J123" s="201" t="str">
        <f>IFERROR(COUNTIF($C$23:C123,C123)&amp;CHOOSE(MIN(4,COUNTIF($C$23:C123,C123)),"st","nd","rd","th"),"")</f>
        <v/>
      </c>
    </row>
    <row r="124" spans="4:10" x14ac:dyDescent="0.25">
      <c r="D124" s="201" t="str">
        <f t="shared" si="1"/>
        <v/>
      </c>
      <c r="J124" s="201" t="str">
        <f>IFERROR(COUNTIF($C$23:C124,C124)&amp;CHOOSE(MIN(4,COUNTIF($C$23:C124,C124)),"st","nd","rd","th"),"")</f>
        <v/>
      </c>
    </row>
    <row r="125" spans="4:10" x14ac:dyDescent="0.25">
      <c r="D125" s="201" t="str">
        <f t="shared" si="1"/>
        <v/>
      </c>
      <c r="J125" s="201" t="str">
        <f>IFERROR(COUNTIF($C$23:C125,C125)&amp;CHOOSE(MIN(4,COUNTIF($C$23:C125,C125)),"st","nd","rd","th"),"")</f>
        <v/>
      </c>
    </row>
    <row r="126" spans="4:10" x14ac:dyDescent="0.25">
      <c r="D126" s="201" t="str">
        <f t="shared" si="1"/>
        <v/>
      </c>
      <c r="J126" s="201" t="str">
        <f>IFERROR(COUNTIF($C$23:C126,C126)&amp;CHOOSE(MIN(4,COUNTIF($C$23:C126,C126)),"st","nd","rd","th"),"")</f>
        <v/>
      </c>
    </row>
    <row r="127" spans="4:10" x14ac:dyDescent="0.25">
      <c r="D127" s="201" t="str">
        <f t="shared" si="1"/>
        <v/>
      </c>
      <c r="J127" s="201" t="str">
        <f>IFERROR(COUNTIF($C$23:C127,C127)&amp;CHOOSE(MIN(4,COUNTIF($C$23:C127,C127)),"st","nd","rd","th"),"")</f>
        <v/>
      </c>
    </row>
    <row r="128" spans="4:10" x14ac:dyDescent="0.25">
      <c r="D128" s="201" t="str">
        <f t="shared" si="1"/>
        <v/>
      </c>
      <c r="J128" s="201" t="str">
        <f>IFERROR(COUNTIF($C$23:C128,C128)&amp;CHOOSE(MIN(4,COUNTIF($C$23:C128,C128)),"st","nd","rd","th"),"")</f>
        <v/>
      </c>
    </row>
    <row r="129" spans="4:10" x14ac:dyDescent="0.25">
      <c r="D129" s="201" t="str">
        <f t="shared" si="1"/>
        <v/>
      </c>
      <c r="J129" s="201" t="str">
        <f>IFERROR(COUNTIF($C$23:C129,C129)&amp;CHOOSE(MIN(4,COUNTIF($C$23:C129,C129)),"st","nd","rd","th"),"")</f>
        <v/>
      </c>
    </row>
    <row r="130" spans="4:10" x14ac:dyDescent="0.25">
      <c r="D130" s="201" t="str">
        <f t="shared" si="1"/>
        <v/>
      </c>
      <c r="J130" s="201" t="str">
        <f>IFERROR(COUNTIF($C$23:C130,C130)&amp;CHOOSE(MIN(4,COUNTIF($C$23:C130,C130)),"st","nd","rd","th"),"")</f>
        <v/>
      </c>
    </row>
    <row r="131" spans="4:10" x14ac:dyDescent="0.25">
      <c r="D131" s="201" t="str">
        <f t="shared" si="1"/>
        <v/>
      </c>
      <c r="J131" s="201" t="str">
        <f>IFERROR(COUNTIF($C$23:C131,C131)&amp;CHOOSE(MIN(4,COUNTIF($C$23:C131,C131)),"st","nd","rd","th"),"")</f>
        <v/>
      </c>
    </row>
    <row r="132" spans="4:10" x14ac:dyDescent="0.25">
      <c r="D132" s="201" t="str">
        <f t="shared" si="1"/>
        <v/>
      </c>
      <c r="J132" s="201" t="str">
        <f>IFERROR(COUNTIF($C$23:C132,C132)&amp;CHOOSE(MIN(4,COUNTIF($C$23:C132,C132)),"st","nd","rd","th"),"")</f>
        <v/>
      </c>
    </row>
    <row r="133" spans="4:10" x14ac:dyDescent="0.25">
      <c r="D133" s="201" t="str">
        <f t="shared" si="1"/>
        <v/>
      </c>
      <c r="J133" s="201" t="str">
        <f>IFERROR(COUNTIF($C$23:C133,C133)&amp;CHOOSE(MIN(4,COUNTIF($C$23:C133,C133)),"st","nd","rd","th"),"")</f>
        <v/>
      </c>
    </row>
    <row r="134" spans="4:10" x14ac:dyDescent="0.25">
      <c r="D134" s="201" t="str">
        <f t="shared" si="1"/>
        <v/>
      </c>
      <c r="J134" s="201" t="str">
        <f>IFERROR(COUNTIF($C$23:C134,C134)&amp;CHOOSE(MIN(4,COUNTIF($C$23:C134,C134)),"st","nd","rd","th"),"")</f>
        <v/>
      </c>
    </row>
    <row r="135" spans="4:10" x14ac:dyDescent="0.25">
      <c r="D135" s="201" t="str">
        <f t="shared" si="1"/>
        <v/>
      </c>
      <c r="J135" s="201" t="str">
        <f>IFERROR(COUNTIF($C$23:C135,C135)&amp;CHOOSE(MIN(4,COUNTIF($C$23:C135,C135)),"st","nd","rd","th"),"")</f>
        <v/>
      </c>
    </row>
    <row r="136" spans="4:10" x14ac:dyDescent="0.25">
      <c r="D136" s="201" t="str">
        <f t="shared" si="1"/>
        <v/>
      </c>
      <c r="J136" s="201" t="str">
        <f>IFERROR(COUNTIF($C$23:C136,C136)&amp;CHOOSE(MIN(4,COUNTIF($C$23:C136,C136)),"st","nd","rd","th"),"")</f>
        <v/>
      </c>
    </row>
    <row r="137" spans="4:10" x14ac:dyDescent="0.25">
      <c r="D137" s="201" t="str">
        <f t="shared" si="1"/>
        <v/>
      </c>
      <c r="J137" s="201" t="str">
        <f>IFERROR(COUNTIF($C$23:C137,C137)&amp;CHOOSE(MIN(4,COUNTIF($C$23:C137,C137)),"st","nd","rd","th"),"")</f>
        <v/>
      </c>
    </row>
    <row r="138" spans="4:10" x14ac:dyDescent="0.25">
      <c r="D138" s="201" t="str">
        <f t="shared" si="1"/>
        <v/>
      </c>
      <c r="J138" s="201" t="str">
        <f>IFERROR(COUNTIF($C$23:C138,C138)&amp;CHOOSE(MIN(4,COUNTIF($C$23:C138,C138)),"st","nd","rd","th"),"")</f>
        <v/>
      </c>
    </row>
    <row r="139" spans="4:10" x14ac:dyDescent="0.25">
      <c r="D139" s="201" t="str">
        <f t="shared" si="1"/>
        <v/>
      </c>
      <c r="J139" s="201" t="str">
        <f>IFERROR(COUNTIF($C$23:C139,C139)&amp;CHOOSE(MIN(4,COUNTIF($C$23:C139,C139)),"st","nd","rd","th"),"")</f>
        <v/>
      </c>
    </row>
    <row r="140" spans="4:10" x14ac:dyDescent="0.25">
      <c r="D140" s="201" t="str">
        <f t="shared" si="1"/>
        <v/>
      </c>
      <c r="J140" s="201" t="str">
        <f>IFERROR(COUNTIF($C$23:C140,C140)&amp;CHOOSE(MIN(4,COUNTIF($C$23:C140,C140)),"st","nd","rd","th"),"")</f>
        <v/>
      </c>
    </row>
    <row r="141" spans="4:10" x14ac:dyDescent="0.25">
      <c r="D141" s="201" t="str">
        <f t="shared" si="1"/>
        <v/>
      </c>
      <c r="J141" s="201" t="str">
        <f>IFERROR(COUNTIF($C$23:C141,C141)&amp;CHOOSE(MIN(4,COUNTIF($C$23:C141,C141)),"st","nd","rd","th"),"")</f>
        <v/>
      </c>
    </row>
    <row r="142" spans="4:10" x14ac:dyDescent="0.25">
      <c r="D142" s="201" t="str">
        <f t="shared" si="1"/>
        <v/>
      </c>
      <c r="J142" s="201" t="str">
        <f>IFERROR(COUNTIF($C$23:C142,C142)&amp;CHOOSE(MIN(4,COUNTIF($C$23:C142,C142)),"st","nd","rd","th"),"")</f>
        <v/>
      </c>
    </row>
    <row r="143" spans="4:10" x14ac:dyDescent="0.25">
      <c r="D143" s="201" t="str">
        <f t="shared" si="1"/>
        <v/>
      </c>
      <c r="J143" s="201" t="str">
        <f>IFERROR(COUNTIF($C$23:C143,C143)&amp;CHOOSE(MIN(4,COUNTIF($C$23:C143,C143)),"st","nd","rd","th"),"")</f>
        <v/>
      </c>
    </row>
    <row r="144" spans="4:10" x14ac:dyDescent="0.25">
      <c r="D144" s="201" t="str">
        <f t="shared" si="1"/>
        <v/>
      </c>
      <c r="J144" s="201" t="str">
        <f>IFERROR(COUNTIF($C$23:C144,C144)&amp;CHOOSE(MIN(4,COUNTIF($C$23:C144,C144)),"st","nd","rd","th"),"")</f>
        <v/>
      </c>
    </row>
    <row r="145" spans="4:10" x14ac:dyDescent="0.25">
      <c r="D145" s="201" t="str">
        <f t="shared" si="1"/>
        <v/>
      </c>
      <c r="J145" s="201" t="str">
        <f>IFERROR(COUNTIF($C$23:C145,C145)&amp;CHOOSE(MIN(4,COUNTIF($C$23:C145,C145)),"st","nd","rd","th"),"")</f>
        <v/>
      </c>
    </row>
    <row r="146" spans="4:10" x14ac:dyDescent="0.25">
      <c r="D146" s="201" t="str">
        <f t="shared" si="1"/>
        <v/>
      </c>
      <c r="J146" s="201" t="str">
        <f>IFERROR(COUNTIF($C$23:C146,C146)&amp;CHOOSE(MIN(4,COUNTIF($C$23:C146,C146)),"st","nd","rd","th"),"")</f>
        <v/>
      </c>
    </row>
    <row r="147" spans="4:10" x14ac:dyDescent="0.25">
      <c r="D147" s="201" t="str">
        <f t="shared" si="1"/>
        <v/>
      </c>
      <c r="J147" s="201" t="str">
        <f>IFERROR(COUNTIF($C$23:C147,C147)&amp;CHOOSE(MIN(4,COUNTIF($C$23:C147,C147)),"st","nd","rd","th"),"")</f>
        <v/>
      </c>
    </row>
    <row r="148" spans="4:10" x14ac:dyDescent="0.25">
      <c r="D148" s="201" t="str">
        <f t="shared" si="1"/>
        <v/>
      </c>
      <c r="J148" s="201" t="str">
        <f>IFERROR(COUNTIF($C$23:C148,C148)&amp;CHOOSE(MIN(4,COUNTIF($C$23:C148,C148)),"st","nd","rd","th"),"")</f>
        <v/>
      </c>
    </row>
    <row r="149" spans="4:10" x14ac:dyDescent="0.25">
      <c r="D149" s="201" t="str">
        <f t="shared" si="1"/>
        <v/>
      </c>
      <c r="J149" s="201" t="str">
        <f>IFERROR(COUNTIF($C$23:C149,C149)&amp;CHOOSE(MIN(4,COUNTIF($C$23:C149,C149)),"st","nd","rd","th"),"")</f>
        <v/>
      </c>
    </row>
    <row r="150" spans="4:10" x14ac:dyDescent="0.25">
      <c r="D150" s="201" t="str">
        <f t="shared" si="1"/>
        <v/>
      </c>
      <c r="J150" s="201" t="str">
        <f>IFERROR(COUNTIF($C$23:C150,C150)&amp;CHOOSE(MIN(4,COUNTIF($C$23:C150,C150)),"st","nd","rd","th"),"")</f>
        <v/>
      </c>
    </row>
    <row r="151" spans="4:10" x14ac:dyDescent="0.25">
      <c r="D151" s="201" t="str">
        <f t="shared" ref="D151:D214" si="2">IF(B151="","",IF(B151="Province_PLGU","PDPFP","CLUP"))</f>
        <v/>
      </c>
      <c r="J151" s="201" t="str">
        <f>IFERROR(COUNTIF($C$23:C151,C151)&amp;CHOOSE(MIN(4,COUNTIF($C$23:C151,C151)),"st","nd","rd","th"),"")</f>
        <v/>
      </c>
    </row>
    <row r="152" spans="4:10" x14ac:dyDescent="0.25">
      <c r="D152" s="201" t="str">
        <f t="shared" si="2"/>
        <v/>
      </c>
      <c r="J152" s="201" t="str">
        <f>IFERROR(COUNTIF($C$23:C152,C152)&amp;CHOOSE(MIN(4,COUNTIF($C$23:C152,C152)),"st","nd","rd","th"),"")</f>
        <v/>
      </c>
    </row>
    <row r="153" spans="4:10" x14ac:dyDescent="0.25">
      <c r="D153" s="201" t="str">
        <f t="shared" si="2"/>
        <v/>
      </c>
      <c r="J153" s="201" t="str">
        <f>IFERROR(COUNTIF($C$23:C153,C153)&amp;CHOOSE(MIN(4,COUNTIF($C$23:C153,C153)),"st","nd","rd","th"),"")</f>
        <v/>
      </c>
    </row>
    <row r="154" spans="4:10" x14ac:dyDescent="0.25">
      <c r="D154" s="201" t="str">
        <f t="shared" si="2"/>
        <v/>
      </c>
      <c r="J154" s="201" t="str">
        <f>IFERROR(COUNTIF($C$23:C154,C154)&amp;CHOOSE(MIN(4,COUNTIF($C$23:C154,C154)),"st","nd","rd","th"),"")</f>
        <v/>
      </c>
    </row>
    <row r="155" spans="4:10" x14ac:dyDescent="0.25">
      <c r="D155" s="201" t="str">
        <f t="shared" si="2"/>
        <v/>
      </c>
      <c r="J155" s="201" t="str">
        <f>IFERROR(COUNTIF($C$23:C155,C155)&amp;CHOOSE(MIN(4,COUNTIF($C$23:C155,C155)),"st","nd","rd","th"),"")</f>
        <v/>
      </c>
    </row>
    <row r="156" spans="4:10" x14ac:dyDescent="0.25">
      <c r="D156" s="201" t="str">
        <f t="shared" si="2"/>
        <v/>
      </c>
      <c r="J156" s="201" t="str">
        <f>IFERROR(COUNTIF($C$23:C156,C156)&amp;CHOOSE(MIN(4,COUNTIF($C$23:C156,C156)),"st","nd","rd","th"),"")</f>
        <v/>
      </c>
    </row>
    <row r="157" spans="4:10" x14ac:dyDescent="0.25">
      <c r="D157" s="201" t="str">
        <f t="shared" si="2"/>
        <v/>
      </c>
      <c r="J157" s="201" t="str">
        <f>IFERROR(COUNTIF($C$23:C157,C157)&amp;CHOOSE(MIN(4,COUNTIF($C$23:C157,C157)),"st","nd","rd","th"),"")</f>
        <v/>
      </c>
    </row>
    <row r="158" spans="4:10" x14ac:dyDescent="0.25">
      <c r="D158" s="201" t="str">
        <f t="shared" si="2"/>
        <v/>
      </c>
      <c r="J158" s="201" t="str">
        <f>IFERROR(COUNTIF($C$23:C158,C158)&amp;CHOOSE(MIN(4,COUNTIF($C$23:C158,C158)),"st","nd","rd","th"),"")</f>
        <v/>
      </c>
    </row>
    <row r="159" spans="4:10" x14ac:dyDescent="0.25">
      <c r="D159" s="201" t="str">
        <f t="shared" si="2"/>
        <v/>
      </c>
      <c r="J159" s="201" t="str">
        <f>IFERROR(COUNTIF($C$23:C159,C159)&amp;CHOOSE(MIN(4,COUNTIF($C$23:C159,C159)),"st","nd","rd","th"),"")</f>
        <v/>
      </c>
    </row>
    <row r="160" spans="4:10" x14ac:dyDescent="0.25">
      <c r="D160" s="201" t="str">
        <f t="shared" si="2"/>
        <v/>
      </c>
      <c r="J160" s="201" t="str">
        <f>IFERROR(COUNTIF($C$23:C160,C160)&amp;CHOOSE(MIN(4,COUNTIF($C$23:C160,C160)),"st","nd","rd","th"),"")</f>
        <v/>
      </c>
    </row>
    <row r="161" spans="4:10" x14ac:dyDescent="0.25">
      <c r="D161" s="201" t="str">
        <f t="shared" si="2"/>
        <v/>
      </c>
      <c r="J161" s="201" t="str">
        <f>IFERROR(COUNTIF($C$23:C161,C161)&amp;CHOOSE(MIN(4,COUNTIF($C$23:C161,C161)),"st","nd","rd","th"),"")</f>
        <v/>
      </c>
    </row>
    <row r="162" spans="4:10" x14ac:dyDescent="0.25">
      <c r="D162" s="201" t="str">
        <f t="shared" si="2"/>
        <v/>
      </c>
      <c r="J162" s="201" t="str">
        <f>IFERROR(COUNTIF($C$23:C162,C162)&amp;CHOOSE(MIN(4,COUNTIF($C$23:C162,C162)),"st","nd","rd","th"),"")</f>
        <v/>
      </c>
    </row>
    <row r="163" spans="4:10" x14ac:dyDescent="0.25">
      <c r="D163" s="201" t="str">
        <f t="shared" si="2"/>
        <v/>
      </c>
      <c r="J163" s="201" t="str">
        <f>IFERROR(COUNTIF($C$23:C163,C163)&amp;CHOOSE(MIN(4,COUNTIF($C$23:C163,C163)),"st","nd","rd","th"),"")</f>
        <v/>
      </c>
    </row>
    <row r="164" spans="4:10" x14ac:dyDescent="0.25">
      <c r="D164" s="201" t="str">
        <f t="shared" si="2"/>
        <v/>
      </c>
      <c r="J164" s="201" t="str">
        <f>IFERROR(COUNTIF($C$23:C164,C164)&amp;CHOOSE(MIN(4,COUNTIF($C$23:C164,C164)),"st","nd","rd","th"),"")</f>
        <v/>
      </c>
    </row>
    <row r="165" spans="4:10" x14ac:dyDescent="0.25">
      <c r="D165" s="201" t="str">
        <f t="shared" si="2"/>
        <v/>
      </c>
      <c r="J165" s="201" t="str">
        <f>IFERROR(COUNTIF($C$23:C165,C165)&amp;CHOOSE(MIN(4,COUNTIF($C$23:C165,C165)),"st","nd","rd","th"),"")</f>
        <v/>
      </c>
    </row>
    <row r="166" spans="4:10" x14ac:dyDescent="0.25">
      <c r="D166" s="201" t="str">
        <f t="shared" si="2"/>
        <v/>
      </c>
      <c r="J166" s="201" t="str">
        <f>IFERROR(COUNTIF($C$23:C166,C166)&amp;CHOOSE(MIN(4,COUNTIF($C$23:C166,C166)),"st","nd","rd","th"),"")</f>
        <v/>
      </c>
    </row>
    <row r="167" spans="4:10" x14ac:dyDescent="0.25">
      <c r="D167" s="201" t="str">
        <f t="shared" si="2"/>
        <v/>
      </c>
      <c r="J167" s="201" t="str">
        <f>IFERROR(COUNTIF($C$23:C167,C167)&amp;CHOOSE(MIN(4,COUNTIF($C$23:C167,C167)),"st","nd","rd","th"),"")</f>
        <v/>
      </c>
    </row>
    <row r="168" spans="4:10" x14ac:dyDescent="0.25">
      <c r="D168" s="201" t="str">
        <f t="shared" si="2"/>
        <v/>
      </c>
      <c r="J168" s="201" t="str">
        <f>IFERROR(COUNTIF($C$23:C168,C168)&amp;CHOOSE(MIN(4,COUNTIF($C$23:C168,C168)),"st","nd","rd","th"),"")</f>
        <v/>
      </c>
    </row>
    <row r="169" spans="4:10" x14ac:dyDescent="0.25">
      <c r="D169" s="201" t="str">
        <f t="shared" si="2"/>
        <v/>
      </c>
      <c r="J169" s="201" t="str">
        <f>IFERROR(COUNTIF($C$23:C169,C169)&amp;CHOOSE(MIN(4,COUNTIF($C$23:C169,C169)),"st","nd","rd","th"),"")</f>
        <v/>
      </c>
    </row>
    <row r="170" spans="4:10" x14ac:dyDescent="0.25">
      <c r="D170" s="201" t="str">
        <f t="shared" si="2"/>
        <v/>
      </c>
      <c r="J170" s="201" t="str">
        <f>IFERROR(COUNTIF($C$23:C170,C170)&amp;CHOOSE(MIN(4,COUNTIF($C$23:C170,C170)),"st","nd","rd","th"),"")</f>
        <v/>
      </c>
    </row>
    <row r="171" spans="4:10" x14ac:dyDescent="0.25">
      <c r="D171" s="201" t="str">
        <f t="shared" si="2"/>
        <v/>
      </c>
      <c r="J171" s="201" t="str">
        <f>IFERROR(COUNTIF($C$23:C171,C171)&amp;CHOOSE(MIN(4,COUNTIF($C$23:C171,C171)),"st","nd","rd","th"),"")</f>
        <v/>
      </c>
    </row>
    <row r="172" spans="4:10" x14ac:dyDescent="0.25">
      <c r="D172" s="201" t="str">
        <f t="shared" si="2"/>
        <v/>
      </c>
      <c r="J172" s="201" t="str">
        <f>IFERROR(COUNTIF($C$23:C172,C172)&amp;CHOOSE(MIN(4,COUNTIF($C$23:C172,C172)),"st","nd","rd","th"),"")</f>
        <v/>
      </c>
    </row>
    <row r="173" spans="4:10" x14ac:dyDescent="0.25">
      <c r="D173" s="201" t="str">
        <f t="shared" si="2"/>
        <v/>
      </c>
      <c r="J173" s="201" t="str">
        <f>IFERROR(COUNTIF($C$23:C173,C173)&amp;CHOOSE(MIN(4,COUNTIF($C$23:C173,C173)),"st","nd","rd","th"),"")</f>
        <v/>
      </c>
    </row>
    <row r="174" spans="4:10" x14ac:dyDescent="0.25">
      <c r="D174" s="201" t="str">
        <f t="shared" si="2"/>
        <v/>
      </c>
      <c r="J174" s="201" t="str">
        <f>IFERROR(COUNTIF($C$23:C174,C174)&amp;CHOOSE(MIN(4,COUNTIF($C$23:C174,C174)),"st","nd","rd","th"),"")</f>
        <v/>
      </c>
    </row>
    <row r="175" spans="4:10" x14ac:dyDescent="0.25">
      <c r="D175" s="201" t="str">
        <f t="shared" si="2"/>
        <v/>
      </c>
      <c r="J175" s="201" t="str">
        <f>IFERROR(COUNTIF($C$23:C175,C175)&amp;CHOOSE(MIN(4,COUNTIF($C$23:C175,C175)),"st","nd","rd","th"),"")</f>
        <v/>
      </c>
    </row>
    <row r="176" spans="4:10" x14ac:dyDescent="0.25">
      <c r="D176" s="201" t="str">
        <f t="shared" si="2"/>
        <v/>
      </c>
      <c r="J176" s="201" t="str">
        <f>IFERROR(COUNTIF($C$23:C176,C176)&amp;CHOOSE(MIN(4,COUNTIF($C$23:C176,C176)),"st","nd","rd","th"),"")</f>
        <v/>
      </c>
    </row>
    <row r="177" spans="4:10" x14ac:dyDescent="0.25">
      <c r="D177" s="201" t="str">
        <f t="shared" si="2"/>
        <v/>
      </c>
      <c r="J177" s="201" t="str">
        <f>IFERROR(COUNTIF($C$23:C177,C177)&amp;CHOOSE(MIN(4,COUNTIF($C$23:C177,C177)),"st","nd","rd","th"),"")</f>
        <v/>
      </c>
    </row>
    <row r="178" spans="4:10" x14ac:dyDescent="0.25">
      <c r="D178" s="201" t="str">
        <f t="shared" si="2"/>
        <v/>
      </c>
      <c r="J178" s="201" t="str">
        <f>IFERROR(COUNTIF($C$23:C178,C178)&amp;CHOOSE(MIN(4,COUNTIF($C$23:C178,C178)),"st","nd","rd","th"),"")</f>
        <v/>
      </c>
    </row>
    <row r="179" spans="4:10" x14ac:dyDescent="0.25">
      <c r="D179" s="201" t="str">
        <f t="shared" si="2"/>
        <v/>
      </c>
      <c r="J179" s="201" t="str">
        <f>IFERROR(COUNTIF($C$23:C179,C179)&amp;CHOOSE(MIN(4,COUNTIF($C$23:C179,C179)),"st","nd","rd","th"),"")</f>
        <v/>
      </c>
    </row>
    <row r="180" spans="4:10" x14ac:dyDescent="0.25">
      <c r="D180" s="201" t="str">
        <f t="shared" si="2"/>
        <v/>
      </c>
      <c r="J180" s="201" t="str">
        <f>IFERROR(COUNTIF($C$23:C180,C180)&amp;CHOOSE(MIN(4,COUNTIF($C$23:C180,C180)),"st","nd","rd","th"),"")</f>
        <v/>
      </c>
    </row>
    <row r="181" spans="4:10" x14ac:dyDescent="0.25">
      <c r="D181" s="201" t="str">
        <f t="shared" si="2"/>
        <v/>
      </c>
      <c r="J181" s="201" t="str">
        <f>IFERROR(COUNTIF($C$23:C181,C181)&amp;CHOOSE(MIN(4,COUNTIF($C$23:C181,C181)),"st","nd","rd","th"),"")</f>
        <v/>
      </c>
    </row>
    <row r="182" spans="4:10" x14ac:dyDescent="0.25">
      <c r="D182" s="201" t="str">
        <f t="shared" si="2"/>
        <v/>
      </c>
      <c r="J182" s="201" t="str">
        <f>IFERROR(COUNTIF($C$23:C182,C182)&amp;CHOOSE(MIN(4,COUNTIF($C$23:C182,C182)),"st","nd","rd","th"),"")</f>
        <v/>
      </c>
    </row>
    <row r="183" spans="4:10" x14ac:dyDescent="0.25">
      <c r="D183" s="201" t="str">
        <f t="shared" si="2"/>
        <v/>
      </c>
      <c r="J183" s="201" t="str">
        <f>IFERROR(COUNTIF($C$23:C183,C183)&amp;CHOOSE(MIN(4,COUNTIF($C$23:C183,C183)),"st","nd","rd","th"),"")</f>
        <v/>
      </c>
    </row>
    <row r="184" spans="4:10" x14ac:dyDescent="0.25">
      <c r="D184" s="201" t="str">
        <f t="shared" si="2"/>
        <v/>
      </c>
      <c r="J184" s="201" t="str">
        <f>IFERROR(COUNTIF($C$23:C184,C184)&amp;CHOOSE(MIN(4,COUNTIF($C$23:C184,C184)),"st","nd","rd","th"),"")</f>
        <v/>
      </c>
    </row>
    <row r="185" spans="4:10" x14ac:dyDescent="0.25">
      <c r="D185" s="201" t="str">
        <f t="shared" si="2"/>
        <v/>
      </c>
      <c r="J185" s="201" t="str">
        <f>IFERROR(COUNTIF($C$23:C185,C185)&amp;CHOOSE(MIN(4,COUNTIF($C$23:C185,C185)),"st","nd","rd","th"),"")</f>
        <v/>
      </c>
    </row>
    <row r="186" spans="4:10" x14ac:dyDescent="0.25">
      <c r="D186" s="201" t="str">
        <f t="shared" si="2"/>
        <v/>
      </c>
      <c r="J186" s="201" t="str">
        <f>IFERROR(COUNTIF($C$23:C186,C186)&amp;CHOOSE(MIN(4,COUNTIF($C$23:C186,C186)),"st","nd","rd","th"),"")</f>
        <v/>
      </c>
    </row>
    <row r="187" spans="4:10" x14ac:dyDescent="0.25">
      <c r="D187" s="201" t="str">
        <f t="shared" si="2"/>
        <v/>
      </c>
      <c r="J187" s="201" t="str">
        <f>IFERROR(COUNTIF($C$23:C187,C187)&amp;CHOOSE(MIN(4,COUNTIF($C$23:C187,C187)),"st","nd","rd","th"),"")</f>
        <v/>
      </c>
    </row>
    <row r="188" spans="4:10" x14ac:dyDescent="0.25">
      <c r="D188" s="201" t="str">
        <f t="shared" si="2"/>
        <v/>
      </c>
      <c r="J188" s="201" t="str">
        <f>IFERROR(COUNTIF($C$23:C188,C188)&amp;CHOOSE(MIN(4,COUNTIF($C$23:C188,C188)),"st","nd","rd","th"),"")</f>
        <v/>
      </c>
    </row>
    <row r="189" spans="4:10" x14ac:dyDescent="0.25">
      <c r="D189" s="201" t="str">
        <f t="shared" si="2"/>
        <v/>
      </c>
      <c r="J189" s="201" t="str">
        <f>IFERROR(COUNTIF($C$23:C189,C189)&amp;CHOOSE(MIN(4,COUNTIF($C$23:C189,C189)),"st","nd","rd","th"),"")</f>
        <v/>
      </c>
    </row>
    <row r="190" spans="4:10" x14ac:dyDescent="0.25">
      <c r="D190" s="201" t="str">
        <f t="shared" si="2"/>
        <v/>
      </c>
      <c r="J190" s="201" t="str">
        <f>IFERROR(COUNTIF($C$23:C190,C190)&amp;CHOOSE(MIN(4,COUNTIF($C$23:C190,C190)),"st","nd","rd","th"),"")</f>
        <v/>
      </c>
    </row>
    <row r="191" spans="4:10" x14ac:dyDescent="0.25">
      <c r="D191" s="201" t="str">
        <f t="shared" si="2"/>
        <v/>
      </c>
      <c r="J191" s="201" t="str">
        <f>IFERROR(COUNTIF($C$23:C191,C191)&amp;CHOOSE(MIN(4,COUNTIF($C$23:C191,C191)),"st","nd","rd","th"),"")</f>
        <v/>
      </c>
    </row>
    <row r="192" spans="4:10" x14ac:dyDescent="0.25">
      <c r="D192" s="201" t="str">
        <f t="shared" si="2"/>
        <v/>
      </c>
      <c r="J192" s="201" t="str">
        <f>IFERROR(COUNTIF($C$23:C192,C192)&amp;CHOOSE(MIN(4,COUNTIF($C$23:C192,C192)),"st","nd","rd","th"),"")</f>
        <v/>
      </c>
    </row>
    <row r="193" spans="4:10" x14ac:dyDescent="0.25">
      <c r="D193" s="201" t="str">
        <f t="shared" si="2"/>
        <v/>
      </c>
      <c r="J193" s="201" t="str">
        <f>IFERROR(COUNTIF($C$23:C193,C193)&amp;CHOOSE(MIN(4,COUNTIF($C$23:C193,C193)),"st","nd","rd","th"),"")</f>
        <v/>
      </c>
    </row>
    <row r="194" spans="4:10" x14ac:dyDescent="0.25">
      <c r="D194" s="201" t="str">
        <f t="shared" si="2"/>
        <v/>
      </c>
      <c r="J194" s="201" t="str">
        <f>IFERROR(COUNTIF($C$23:C194,C194)&amp;CHOOSE(MIN(4,COUNTIF($C$23:C194,C194)),"st","nd","rd","th"),"")</f>
        <v/>
      </c>
    </row>
    <row r="195" spans="4:10" x14ac:dyDescent="0.25">
      <c r="D195" s="201" t="str">
        <f t="shared" si="2"/>
        <v/>
      </c>
      <c r="J195" s="201" t="str">
        <f>IFERROR(COUNTIF($C$23:C195,C195)&amp;CHOOSE(MIN(4,COUNTIF($C$23:C195,C195)),"st","nd","rd","th"),"")</f>
        <v/>
      </c>
    </row>
    <row r="196" spans="4:10" x14ac:dyDescent="0.25">
      <c r="D196" s="201" t="str">
        <f t="shared" si="2"/>
        <v/>
      </c>
      <c r="J196" s="201" t="str">
        <f>IFERROR(COUNTIF($C$23:C196,C196)&amp;CHOOSE(MIN(4,COUNTIF($C$23:C196,C196)),"st","nd","rd","th"),"")</f>
        <v/>
      </c>
    </row>
    <row r="197" spans="4:10" x14ac:dyDescent="0.25">
      <c r="D197" s="201" t="str">
        <f t="shared" si="2"/>
        <v/>
      </c>
      <c r="J197" s="201" t="str">
        <f>IFERROR(COUNTIF($C$23:C197,C197)&amp;CHOOSE(MIN(4,COUNTIF($C$23:C197,C197)),"st","nd","rd","th"),"")</f>
        <v/>
      </c>
    </row>
    <row r="198" spans="4:10" x14ac:dyDescent="0.25">
      <c r="D198" s="201" t="str">
        <f t="shared" si="2"/>
        <v/>
      </c>
      <c r="J198" s="201" t="str">
        <f>IFERROR(COUNTIF($C$23:C198,C198)&amp;CHOOSE(MIN(4,COUNTIF($C$23:C198,C198)),"st","nd","rd","th"),"")</f>
        <v/>
      </c>
    </row>
    <row r="199" spans="4:10" x14ac:dyDescent="0.25">
      <c r="D199" s="201" t="str">
        <f t="shared" si="2"/>
        <v/>
      </c>
      <c r="J199" s="201" t="str">
        <f>IFERROR(COUNTIF($C$23:C199,C199)&amp;CHOOSE(MIN(4,COUNTIF($C$23:C199,C199)),"st","nd","rd","th"),"")</f>
        <v/>
      </c>
    </row>
    <row r="200" spans="4:10" x14ac:dyDescent="0.25">
      <c r="D200" s="201" t="str">
        <f t="shared" si="2"/>
        <v/>
      </c>
      <c r="J200" s="201" t="str">
        <f>IFERROR(COUNTIF($C$23:C200,C200)&amp;CHOOSE(MIN(4,COUNTIF($C$23:C200,C200)),"st","nd","rd","th"),"")</f>
        <v/>
      </c>
    </row>
    <row r="201" spans="4:10" x14ac:dyDescent="0.25">
      <c r="D201" s="201" t="str">
        <f t="shared" si="2"/>
        <v/>
      </c>
      <c r="J201" s="201" t="str">
        <f>IFERROR(COUNTIF($C$23:C201,C201)&amp;CHOOSE(MIN(4,COUNTIF($C$23:C201,C201)),"st","nd","rd","th"),"")</f>
        <v/>
      </c>
    </row>
    <row r="202" spans="4:10" x14ac:dyDescent="0.25">
      <c r="D202" s="201" t="str">
        <f t="shared" si="2"/>
        <v/>
      </c>
      <c r="J202" s="201" t="str">
        <f>IFERROR(COUNTIF($C$23:C202,C202)&amp;CHOOSE(MIN(4,COUNTIF($C$23:C202,C202)),"st","nd","rd","th"),"")</f>
        <v/>
      </c>
    </row>
    <row r="203" spans="4:10" x14ac:dyDescent="0.25">
      <c r="D203" s="201" t="str">
        <f t="shared" si="2"/>
        <v/>
      </c>
      <c r="J203" s="201" t="str">
        <f>IFERROR(COUNTIF($C$23:C203,C203)&amp;CHOOSE(MIN(4,COUNTIF($C$23:C203,C203)),"st","nd","rd","th"),"")</f>
        <v/>
      </c>
    </row>
    <row r="204" spans="4:10" x14ac:dyDescent="0.25">
      <c r="D204" s="201" t="str">
        <f t="shared" si="2"/>
        <v/>
      </c>
      <c r="J204" s="201" t="str">
        <f>IFERROR(COUNTIF($C$23:C204,C204)&amp;CHOOSE(MIN(4,COUNTIF($C$23:C204,C204)),"st","nd","rd","th"),"")</f>
        <v/>
      </c>
    </row>
    <row r="205" spans="4:10" x14ac:dyDescent="0.25">
      <c r="D205" s="201" t="str">
        <f t="shared" si="2"/>
        <v/>
      </c>
      <c r="J205" s="201" t="str">
        <f>IFERROR(COUNTIF($C$23:C205,C205)&amp;CHOOSE(MIN(4,COUNTIF($C$23:C205,C205)),"st","nd","rd","th"),"")</f>
        <v/>
      </c>
    </row>
    <row r="206" spans="4:10" x14ac:dyDescent="0.25">
      <c r="D206" s="201" t="str">
        <f t="shared" si="2"/>
        <v/>
      </c>
      <c r="J206" s="201" t="str">
        <f>IFERROR(COUNTIF($C$23:C206,C206)&amp;CHOOSE(MIN(4,COUNTIF($C$23:C206,C206)),"st","nd","rd","th"),"")</f>
        <v/>
      </c>
    </row>
    <row r="207" spans="4:10" x14ac:dyDescent="0.25">
      <c r="D207" s="201" t="str">
        <f t="shared" si="2"/>
        <v/>
      </c>
      <c r="J207" s="201" t="str">
        <f>IFERROR(COUNTIF($C$23:C207,C207)&amp;CHOOSE(MIN(4,COUNTIF($C$23:C207,C207)),"st","nd","rd","th"),"")</f>
        <v/>
      </c>
    </row>
    <row r="208" spans="4:10" x14ac:dyDescent="0.25">
      <c r="D208" s="201" t="str">
        <f t="shared" si="2"/>
        <v/>
      </c>
      <c r="J208" s="201" t="str">
        <f>IFERROR(COUNTIF($C$23:C208,C208)&amp;CHOOSE(MIN(4,COUNTIF($C$23:C208,C208)),"st","nd","rd","th"),"")</f>
        <v/>
      </c>
    </row>
    <row r="209" spans="4:10" x14ac:dyDescent="0.25">
      <c r="D209" s="201" t="str">
        <f t="shared" si="2"/>
        <v/>
      </c>
      <c r="J209" s="201" t="str">
        <f>IFERROR(COUNTIF($C$23:C209,C209)&amp;CHOOSE(MIN(4,COUNTIF($C$23:C209,C209)),"st","nd","rd","th"),"")</f>
        <v/>
      </c>
    </row>
    <row r="210" spans="4:10" x14ac:dyDescent="0.25">
      <c r="D210" s="201" t="str">
        <f t="shared" si="2"/>
        <v/>
      </c>
      <c r="J210" s="201" t="str">
        <f>IFERROR(COUNTIF($C$23:C210,C210)&amp;CHOOSE(MIN(4,COUNTIF($C$23:C210,C210)),"st","nd","rd","th"),"")</f>
        <v/>
      </c>
    </row>
    <row r="211" spans="4:10" x14ac:dyDescent="0.25">
      <c r="D211" s="201" t="str">
        <f t="shared" si="2"/>
        <v/>
      </c>
      <c r="J211" s="201" t="str">
        <f>IFERROR(COUNTIF($C$23:C211,C211)&amp;CHOOSE(MIN(4,COUNTIF($C$23:C211,C211)),"st","nd","rd","th"),"")</f>
        <v/>
      </c>
    </row>
    <row r="212" spans="4:10" x14ac:dyDescent="0.25">
      <c r="D212" s="201" t="str">
        <f t="shared" si="2"/>
        <v/>
      </c>
      <c r="J212" s="201" t="str">
        <f>IFERROR(COUNTIF($C$23:C212,C212)&amp;CHOOSE(MIN(4,COUNTIF($C$23:C212,C212)),"st","nd","rd","th"),"")</f>
        <v/>
      </c>
    </row>
    <row r="213" spans="4:10" x14ac:dyDescent="0.25">
      <c r="D213" s="201" t="str">
        <f t="shared" si="2"/>
        <v/>
      </c>
      <c r="J213" s="201" t="str">
        <f>IFERROR(COUNTIF($C$23:C213,C213)&amp;CHOOSE(MIN(4,COUNTIF($C$23:C213,C213)),"st","nd","rd","th"),"")</f>
        <v/>
      </c>
    </row>
    <row r="214" spans="4:10" x14ac:dyDescent="0.25">
      <c r="D214" s="201" t="str">
        <f t="shared" si="2"/>
        <v/>
      </c>
      <c r="J214" s="201" t="str">
        <f>IFERROR(COUNTIF($C$23:C214,C214)&amp;CHOOSE(MIN(4,COUNTIF($C$23:C214,C214)),"st","nd","rd","th"),"")</f>
        <v/>
      </c>
    </row>
    <row r="215" spans="4:10" x14ac:dyDescent="0.25">
      <c r="D215" s="201" t="str">
        <f t="shared" ref="D215:D278" si="3">IF(B215="","",IF(B215="Province_PLGU","PDPFP","CLUP"))</f>
        <v/>
      </c>
      <c r="J215" s="201" t="str">
        <f>IFERROR(COUNTIF($C$23:C215,C215)&amp;CHOOSE(MIN(4,COUNTIF($C$23:C215,C215)),"st","nd","rd","th"),"")</f>
        <v/>
      </c>
    </row>
    <row r="216" spans="4:10" x14ac:dyDescent="0.25">
      <c r="D216" s="201" t="str">
        <f t="shared" si="3"/>
        <v/>
      </c>
      <c r="J216" s="201" t="str">
        <f>IFERROR(COUNTIF($C$23:C216,C216)&amp;CHOOSE(MIN(4,COUNTIF($C$23:C216,C216)),"st","nd","rd","th"),"")</f>
        <v/>
      </c>
    </row>
    <row r="217" spans="4:10" x14ac:dyDescent="0.25">
      <c r="D217" s="201" t="str">
        <f t="shared" si="3"/>
        <v/>
      </c>
      <c r="J217" s="201" t="str">
        <f>IFERROR(COUNTIF($C$23:C217,C217)&amp;CHOOSE(MIN(4,COUNTIF($C$23:C217,C217)),"st","nd","rd","th"),"")</f>
        <v/>
      </c>
    </row>
    <row r="218" spans="4:10" x14ac:dyDescent="0.25">
      <c r="D218" s="201" t="str">
        <f t="shared" si="3"/>
        <v/>
      </c>
      <c r="J218" s="201" t="str">
        <f>IFERROR(COUNTIF($C$23:C218,C218)&amp;CHOOSE(MIN(4,COUNTIF($C$23:C218,C218)),"st","nd","rd","th"),"")</f>
        <v/>
      </c>
    </row>
    <row r="219" spans="4:10" x14ac:dyDescent="0.25">
      <c r="D219" s="201" t="str">
        <f t="shared" si="3"/>
        <v/>
      </c>
      <c r="J219" s="201" t="str">
        <f>IFERROR(COUNTIF($C$23:C219,C219)&amp;CHOOSE(MIN(4,COUNTIF($C$23:C219,C219)),"st","nd","rd","th"),"")</f>
        <v/>
      </c>
    </row>
    <row r="220" spans="4:10" x14ac:dyDescent="0.25">
      <c r="D220" s="201" t="str">
        <f t="shared" si="3"/>
        <v/>
      </c>
      <c r="J220" s="201" t="str">
        <f>IFERROR(COUNTIF($C$23:C220,C220)&amp;CHOOSE(MIN(4,COUNTIF($C$23:C220,C220)),"st","nd","rd","th"),"")</f>
        <v/>
      </c>
    </row>
    <row r="221" spans="4:10" x14ac:dyDescent="0.25">
      <c r="D221" s="201" t="str">
        <f t="shared" si="3"/>
        <v/>
      </c>
      <c r="J221" s="201" t="str">
        <f>IFERROR(COUNTIF($C$23:C221,C221)&amp;CHOOSE(MIN(4,COUNTIF($C$23:C221,C221)),"st","nd","rd","th"),"")</f>
        <v/>
      </c>
    </row>
    <row r="222" spans="4:10" x14ac:dyDescent="0.25">
      <c r="D222" s="201" t="str">
        <f t="shared" si="3"/>
        <v/>
      </c>
      <c r="J222" s="201" t="str">
        <f>IFERROR(COUNTIF($C$23:C222,C222)&amp;CHOOSE(MIN(4,COUNTIF($C$23:C222,C222)),"st","nd","rd","th"),"")</f>
        <v/>
      </c>
    </row>
    <row r="223" spans="4:10" x14ac:dyDescent="0.25">
      <c r="D223" s="201" t="str">
        <f t="shared" si="3"/>
        <v/>
      </c>
      <c r="J223" s="201" t="str">
        <f>IFERROR(COUNTIF($C$23:C223,C223)&amp;CHOOSE(MIN(4,COUNTIF($C$23:C223,C223)),"st","nd","rd","th"),"")</f>
        <v/>
      </c>
    </row>
    <row r="224" spans="4:10" x14ac:dyDescent="0.25">
      <c r="D224" s="201" t="str">
        <f t="shared" si="3"/>
        <v/>
      </c>
      <c r="J224" s="201" t="str">
        <f>IFERROR(COUNTIF($C$23:C224,C224)&amp;CHOOSE(MIN(4,COUNTIF($C$23:C224,C224)),"st","nd","rd","th"),"")</f>
        <v/>
      </c>
    </row>
    <row r="225" spans="4:10" x14ac:dyDescent="0.25">
      <c r="D225" s="201" t="str">
        <f t="shared" si="3"/>
        <v/>
      </c>
      <c r="J225" s="201" t="str">
        <f>IFERROR(COUNTIF($C$23:C225,C225)&amp;CHOOSE(MIN(4,COUNTIF($C$23:C225,C225)),"st","nd","rd","th"),"")</f>
        <v/>
      </c>
    </row>
    <row r="226" spans="4:10" x14ac:dyDescent="0.25">
      <c r="D226" s="201" t="str">
        <f t="shared" si="3"/>
        <v/>
      </c>
      <c r="J226" s="201" t="str">
        <f>IFERROR(COUNTIF($C$23:C226,C226)&amp;CHOOSE(MIN(4,COUNTIF($C$23:C226,C226)),"st","nd","rd","th"),"")</f>
        <v/>
      </c>
    </row>
    <row r="227" spans="4:10" x14ac:dyDescent="0.25">
      <c r="D227" s="201" t="str">
        <f t="shared" si="3"/>
        <v/>
      </c>
      <c r="J227" s="201" t="str">
        <f>IFERROR(COUNTIF($C$23:C227,C227)&amp;CHOOSE(MIN(4,COUNTIF($C$23:C227,C227)),"st","nd","rd","th"),"")</f>
        <v/>
      </c>
    </row>
    <row r="228" spans="4:10" x14ac:dyDescent="0.25">
      <c r="D228" s="201" t="str">
        <f t="shared" si="3"/>
        <v/>
      </c>
      <c r="J228" s="201" t="str">
        <f>IFERROR(COUNTIF($C$23:C228,C228)&amp;CHOOSE(MIN(4,COUNTIF($C$23:C228,C228)),"st","nd","rd","th"),"")</f>
        <v/>
      </c>
    </row>
    <row r="229" spans="4:10" x14ac:dyDescent="0.25">
      <c r="D229" s="201" t="str">
        <f t="shared" si="3"/>
        <v/>
      </c>
      <c r="J229" s="201" t="str">
        <f>IFERROR(COUNTIF($C$23:C229,C229)&amp;CHOOSE(MIN(4,COUNTIF($C$23:C229,C229)),"st","nd","rd","th"),"")</f>
        <v/>
      </c>
    </row>
    <row r="230" spans="4:10" x14ac:dyDescent="0.25">
      <c r="D230" s="201" t="str">
        <f t="shared" si="3"/>
        <v/>
      </c>
      <c r="J230" s="201" t="str">
        <f>IFERROR(COUNTIF($C$23:C230,C230)&amp;CHOOSE(MIN(4,COUNTIF($C$23:C230,C230)),"st","nd","rd","th"),"")</f>
        <v/>
      </c>
    </row>
    <row r="231" spans="4:10" x14ac:dyDescent="0.25">
      <c r="D231" s="201" t="str">
        <f t="shared" si="3"/>
        <v/>
      </c>
      <c r="J231" s="201" t="str">
        <f>IFERROR(COUNTIF($C$23:C231,C231)&amp;CHOOSE(MIN(4,COUNTIF($C$23:C231,C231)),"st","nd","rd","th"),"")</f>
        <v/>
      </c>
    </row>
    <row r="232" spans="4:10" x14ac:dyDescent="0.25">
      <c r="D232" s="201" t="str">
        <f t="shared" si="3"/>
        <v/>
      </c>
      <c r="J232" s="201" t="str">
        <f>IFERROR(COUNTIF($C$23:C232,C232)&amp;CHOOSE(MIN(4,COUNTIF($C$23:C232,C232)),"st","nd","rd","th"),"")</f>
        <v/>
      </c>
    </row>
    <row r="233" spans="4:10" x14ac:dyDescent="0.25">
      <c r="D233" s="201" t="str">
        <f t="shared" si="3"/>
        <v/>
      </c>
      <c r="J233" s="201" t="str">
        <f>IFERROR(COUNTIF($C$23:C233,C233)&amp;CHOOSE(MIN(4,COUNTIF($C$23:C233,C233)),"st","nd","rd","th"),"")</f>
        <v/>
      </c>
    </row>
    <row r="234" spans="4:10" x14ac:dyDescent="0.25">
      <c r="D234" s="201" t="str">
        <f t="shared" si="3"/>
        <v/>
      </c>
      <c r="J234" s="201" t="str">
        <f>IFERROR(COUNTIF($C$23:C234,C234)&amp;CHOOSE(MIN(4,COUNTIF($C$23:C234,C234)),"st","nd","rd","th"),"")</f>
        <v/>
      </c>
    </row>
    <row r="235" spans="4:10" x14ac:dyDescent="0.25">
      <c r="D235" s="201" t="str">
        <f t="shared" si="3"/>
        <v/>
      </c>
      <c r="J235" s="201" t="str">
        <f>IFERROR(COUNTIF($C$23:C235,C235)&amp;CHOOSE(MIN(4,COUNTIF($C$23:C235,C235)),"st","nd","rd","th"),"")</f>
        <v/>
      </c>
    </row>
    <row r="236" spans="4:10" x14ac:dyDescent="0.25">
      <c r="D236" s="201" t="str">
        <f t="shared" si="3"/>
        <v/>
      </c>
      <c r="J236" s="201" t="str">
        <f>IFERROR(COUNTIF($C$23:C236,C236)&amp;CHOOSE(MIN(4,COUNTIF($C$23:C236,C236)),"st","nd","rd","th"),"")</f>
        <v/>
      </c>
    </row>
    <row r="237" spans="4:10" x14ac:dyDescent="0.25">
      <c r="D237" s="201" t="str">
        <f t="shared" si="3"/>
        <v/>
      </c>
      <c r="J237" s="201" t="str">
        <f>IFERROR(COUNTIF($C$23:C237,C237)&amp;CHOOSE(MIN(4,COUNTIF($C$23:C237,C237)),"st","nd","rd","th"),"")</f>
        <v/>
      </c>
    </row>
    <row r="238" spans="4:10" x14ac:dyDescent="0.25">
      <c r="D238" s="201" t="str">
        <f t="shared" si="3"/>
        <v/>
      </c>
      <c r="J238" s="201" t="str">
        <f>IFERROR(COUNTIF($C$23:C238,C238)&amp;CHOOSE(MIN(4,COUNTIF($C$23:C238,C238)),"st","nd","rd","th"),"")</f>
        <v/>
      </c>
    </row>
    <row r="239" spans="4:10" x14ac:dyDescent="0.25">
      <c r="D239" s="201" t="str">
        <f t="shared" si="3"/>
        <v/>
      </c>
      <c r="J239" s="201" t="str">
        <f>IFERROR(COUNTIF($C$23:C239,C239)&amp;CHOOSE(MIN(4,COUNTIF($C$23:C239,C239)),"st","nd","rd","th"),"")</f>
        <v/>
      </c>
    </row>
    <row r="240" spans="4:10" x14ac:dyDescent="0.25">
      <c r="D240" s="201" t="str">
        <f t="shared" si="3"/>
        <v/>
      </c>
      <c r="J240" s="201" t="str">
        <f>IFERROR(COUNTIF($C$23:C240,C240)&amp;CHOOSE(MIN(4,COUNTIF($C$23:C240,C240)),"st","nd","rd","th"),"")</f>
        <v/>
      </c>
    </row>
    <row r="241" spans="4:10" x14ac:dyDescent="0.25">
      <c r="D241" s="201" t="str">
        <f t="shared" si="3"/>
        <v/>
      </c>
      <c r="J241" s="201" t="str">
        <f>IFERROR(COUNTIF($C$23:C241,C241)&amp;CHOOSE(MIN(4,COUNTIF($C$23:C241,C241)),"st","nd","rd","th"),"")</f>
        <v/>
      </c>
    </row>
    <row r="242" spans="4:10" x14ac:dyDescent="0.25">
      <c r="D242" s="201" t="str">
        <f t="shared" si="3"/>
        <v/>
      </c>
      <c r="J242" s="201" t="str">
        <f>IFERROR(COUNTIF($C$23:C242,C242)&amp;CHOOSE(MIN(4,COUNTIF($C$23:C242,C242)),"st","nd","rd","th"),"")</f>
        <v/>
      </c>
    </row>
    <row r="243" spans="4:10" x14ac:dyDescent="0.25">
      <c r="D243" s="201" t="str">
        <f t="shared" si="3"/>
        <v/>
      </c>
      <c r="J243" s="201" t="str">
        <f>IFERROR(COUNTIF($C$23:C243,C243)&amp;CHOOSE(MIN(4,COUNTIF($C$23:C243,C243)),"st","nd","rd","th"),"")</f>
        <v/>
      </c>
    </row>
    <row r="244" spans="4:10" x14ac:dyDescent="0.25">
      <c r="D244" s="201" t="str">
        <f t="shared" si="3"/>
        <v/>
      </c>
      <c r="J244" s="201" t="str">
        <f>IFERROR(COUNTIF($C$23:C244,C244)&amp;CHOOSE(MIN(4,COUNTIF($C$23:C244,C244)),"st","nd","rd","th"),"")</f>
        <v/>
      </c>
    </row>
    <row r="245" spans="4:10" x14ac:dyDescent="0.25">
      <c r="D245" s="201" t="str">
        <f t="shared" si="3"/>
        <v/>
      </c>
      <c r="J245" s="201" t="str">
        <f>IFERROR(COUNTIF($C$23:C245,C245)&amp;CHOOSE(MIN(4,COUNTIF($C$23:C245,C245)),"st","nd","rd","th"),"")</f>
        <v/>
      </c>
    </row>
    <row r="246" spans="4:10" x14ac:dyDescent="0.25">
      <c r="D246" s="201" t="str">
        <f t="shared" si="3"/>
        <v/>
      </c>
      <c r="J246" s="201" t="str">
        <f>IFERROR(COUNTIF($C$23:C246,C246)&amp;CHOOSE(MIN(4,COUNTIF($C$23:C246,C246)),"st","nd","rd","th"),"")</f>
        <v/>
      </c>
    </row>
    <row r="247" spans="4:10" x14ac:dyDescent="0.25">
      <c r="D247" s="201" t="str">
        <f t="shared" si="3"/>
        <v/>
      </c>
      <c r="J247" s="201" t="str">
        <f>IFERROR(COUNTIF($C$23:C247,C247)&amp;CHOOSE(MIN(4,COUNTIF($C$23:C247,C247)),"st","nd","rd","th"),"")</f>
        <v/>
      </c>
    </row>
    <row r="248" spans="4:10" x14ac:dyDescent="0.25">
      <c r="D248" s="201" t="str">
        <f t="shared" si="3"/>
        <v/>
      </c>
      <c r="J248" s="201" t="str">
        <f>IFERROR(COUNTIF($C$23:C248,C248)&amp;CHOOSE(MIN(4,COUNTIF($C$23:C248,C248)),"st","nd","rd","th"),"")</f>
        <v/>
      </c>
    </row>
    <row r="249" spans="4:10" x14ac:dyDescent="0.25">
      <c r="D249" s="201" t="str">
        <f t="shared" si="3"/>
        <v/>
      </c>
      <c r="J249" s="201" t="str">
        <f>IFERROR(COUNTIF($C$23:C249,C249)&amp;CHOOSE(MIN(4,COUNTIF($C$23:C249,C249)),"st","nd","rd","th"),"")</f>
        <v/>
      </c>
    </row>
    <row r="250" spans="4:10" x14ac:dyDescent="0.25">
      <c r="D250" s="201" t="str">
        <f t="shared" si="3"/>
        <v/>
      </c>
      <c r="J250" s="201" t="str">
        <f>IFERROR(COUNTIF($C$23:C250,C250)&amp;CHOOSE(MIN(4,COUNTIF($C$23:C250,C250)),"st","nd","rd","th"),"")</f>
        <v/>
      </c>
    </row>
    <row r="251" spans="4:10" x14ac:dyDescent="0.25">
      <c r="D251" s="201" t="str">
        <f t="shared" si="3"/>
        <v/>
      </c>
      <c r="J251" s="201" t="str">
        <f>IFERROR(COUNTIF($C$23:C251,C251)&amp;CHOOSE(MIN(4,COUNTIF($C$23:C251,C251)),"st","nd","rd","th"),"")</f>
        <v/>
      </c>
    </row>
    <row r="252" spans="4:10" x14ac:dyDescent="0.25">
      <c r="D252" s="201" t="str">
        <f t="shared" si="3"/>
        <v/>
      </c>
      <c r="J252" s="201" t="str">
        <f>IFERROR(COUNTIF($C$23:C252,C252)&amp;CHOOSE(MIN(4,COUNTIF($C$23:C252,C252)),"st","nd","rd","th"),"")</f>
        <v/>
      </c>
    </row>
    <row r="253" spans="4:10" x14ac:dyDescent="0.25">
      <c r="D253" s="201" t="str">
        <f t="shared" si="3"/>
        <v/>
      </c>
      <c r="J253" s="201" t="str">
        <f>IFERROR(COUNTIF($C$23:C253,C253)&amp;CHOOSE(MIN(4,COUNTIF($C$23:C253,C253)),"st","nd","rd","th"),"")</f>
        <v/>
      </c>
    </row>
    <row r="254" spans="4:10" x14ac:dyDescent="0.25">
      <c r="D254" s="201" t="str">
        <f t="shared" si="3"/>
        <v/>
      </c>
      <c r="J254" s="201" t="str">
        <f>IFERROR(COUNTIF($C$23:C254,C254)&amp;CHOOSE(MIN(4,COUNTIF($C$23:C254,C254)),"st","nd","rd","th"),"")</f>
        <v/>
      </c>
    </row>
    <row r="255" spans="4:10" x14ac:dyDescent="0.25">
      <c r="D255" s="201" t="str">
        <f t="shared" si="3"/>
        <v/>
      </c>
      <c r="J255" s="201" t="str">
        <f>IFERROR(COUNTIF($C$23:C255,C255)&amp;CHOOSE(MIN(4,COUNTIF($C$23:C255,C255)),"st","nd","rd","th"),"")</f>
        <v/>
      </c>
    </row>
    <row r="256" spans="4:10" x14ac:dyDescent="0.25">
      <c r="D256" s="201" t="str">
        <f t="shared" si="3"/>
        <v/>
      </c>
      <c r="J256" s="201" t="str">
        <f>IFERROR(COUNTIF($C$23:C256,C256)&amp;CHOOSE(MIN(4,COUNTIF($C$23:C256,C256)),"st","nd","rd","th"),"")</f>
        <v/>
      </c>
    </row>
    <row r="257" spans="4:10" x14ac:dyDescent="0.25">
      <c r="D257" s="201" t="str">
        <f t="shared" si="3"/>
        <v/>
      </c>
      <c r="J257" s="201" t="str">
        <f>IFERROR(COUNTIF($C$23:C257,C257)&amp;CHOOSE(MIN(4,COUNTIF($C$23:C257,C257)),"st","nd","rd","th"),"")</f>
        <v/>
      </c>
    </row>
    <row r="258" spans="4:10" x14ac:dyDescent="0.25">
      <c r="D258" s="201" t="str">
        <f t="shared" si="3"/>
        <v/>
      </c>
      <c r="J258" s="201" t="str">
        <f>IFERROR(COUNTIF($C$23:C258,C258)&amp;CHOOSE(MIN(4,COUNTIF($C$23:C258,C258)),"st","nd","rd","th"),"")</f>
        <v/>
      </c>
    </row>
    <row r="259" spans="4:10" x14ac:dyDescent="0.25">
      <c r="D259" s="201" t="str">
        <f t="shared" si="3"/>
        <v/>
      </c>
      <c r="J259" s="201" t="str">
        <f>IFERROR(COUNTIF($C$23:C259,C259)&amp;CHOOSE(MIN(4,COUNTIF($C$23:C259,C259)),"st","nd","rd","th"),"")</f>
        <v/>
      </c>
    </row>
    <row r="260" spans="4:10" x14ac:dyDescent="0.25">
      <c r="D260" s="201" t="str">
        <f t="shared" si="3"/>
        <v/>
      </c>
      <c r="J260" s="201" t="str">
        <f>IFERROR(COUNTIF($C$23:C260,C260)&amp;CHOOSE(MIN(4,COUNTIF($C$23:C260,C260)),"st","nd","rd","th"),"")</f>
        <v/>
      </c>
    </row>
    <row r="261" spans="4:10" x14ac:dyDescent="0.25">
      <c r="D261" s="201" t="str">
        <f t="shared" si="3"/>
        <v/>
      </c>
      <c r="J261" s="201" t="str">
        <f>IFERROR(COUNTIF($C$23:C261,C261)&amp;CHOOSE(MIN(4,COUNTIF($C$23:C261,C261)),"st","nd","rd","th"),"")</f>
        <v/>
      </c>
    </row>
    <row r="262" spans="4:10" x14ac:dyDescent="0.25">
      <c r="D262" s="201" t="str">
        <f t="shared" si="3"/>
        <v/>
      </c>
      <c r="J262" s="201" t="str">
        <f>IFERROR(COUNTIF($C$23:C262,C262)&amp;CHOOSE(MIN(4,COUNTIF($C$23:C262,C262)),"st","nd","rd","th"),"")</f>
        <v/>
      </c>
    </row>
    <row r="263" spans="4:10" x14ac:dyDescent="0.25">
      <c r="D263" s="201" t="str">
        <f t="shared" si="3"/>
        <v/>
      </c>
      <c r="J263" s="201" t="str">
        <f>IFERROR(COUNTIF($C$23:C263,C263)&amp;CHOOSE(MIN(4,COUNTIF($C$23:C263,C263)),"st","nd","rd","th"),"")</f>
        <v/>
      </c>
    </row>
    <row r="264" spans="4:10" x14ac:dyDescent="0.25">
      <c r="D264" s="201" t="str">
        <f t="shared" si="3"/>
        <v/>
      </c>
      <c r="J264" s="201" t="str">
        <f>IFERROR(COUNTIF($C$23:C264,C264)&amp;CHOOSE(MIN(4,COUNTIF($C$23:C264,C264)),"st","nd","rd","th"),"")</f>
        <v/>
      </c>
    </row>
    <row r="265" spans="4:10" x14ac:dyDescent="0.25">
      <c r="D265" s="201" t="str">
        <f t="shared" si="3"/>
        <v/>
      </c>
      <c r="J265" s="201" t="str">
        <f>IFERROR(COUNTIF($C$23:C265,C265)&amp;CHOOSE(MIN(4,COUNTIF($C$23:C265,C265)),"st","nd","rd","th"),"")</f>
        <v/>
      </c>
    </row>
    <row r="266" spans="4:10" x14ac:dyDescent="0.25">
      <c r="D266" s="201" t="str">
        <f t="shared" si="3"/>
        <v/>
      </c>
      <c r="J266" s="201" t="str">
        <f>IFERROR(COUNTIF($C$23:C266,C266)&amp;CHOOSE(MIN(4,COUNTIF($C$23:C266,C266)),"st","nd","rd","th"),"")</f>
        <v/>
      </c>
    </row>
    <row r="267" spans="4:10" x14ac:dyDescent="0.25">
      <c r="D267" s="201" t="str">
        <f t="shared" si="3"/>
        <v/>
      </c>
      <c r="J267" s="201" t="str">
        <f>IFERROR(COUNTIF($C$23:C267,C267)&amp;CHOOSE(MIN(4,COUNTIF($C$23:C267,C267)),"st","nd","rd","th"),"")</f>
        <v/>
      </c>
    </row>
    <row r="268" spans="4:10" x14ac:dyDescent="0.25">
      <c r="D268" s="201" t="str">
        <f t="shared" si="3"/>
        <v/>
      </c>
      <c r="J268" s="201" t="str">
        <f>IFERROR(COUNTIF($C$23:C268,C268)&amp;CHOOSE(MIN(4,COUNTIF($C$23:C268,C268)),"st","nd","rd","th"),"")</f>
        <v/>
      </c>
    </row>
    <row r="269" spans="4:10" x14ac:dyDescent="0.25">
      <c r="D269" s="201" t="str">
        <f t="shared" si="3"/>
        <v/>
      </c>
      <c r="J269" s="201" t="str">
        <f>IFERROR(COUNTIF($C$23:C269,C269)&amp;CHOOSE(MIN(4,COUNTIF($C$23:C269,C269)),"st","nd","rd","th"),"")</f>
        <v/>
      </c>
    </row>
    <row r="270" spans="4:10" x14ac:dyDescent="0.25">
      <c r="D270" s="201" t="str">
        <f t="shared" si="3"/>
        <v/>
      </c>
      <c r="J270" s="201" t="str">
        <f>IFERROR(COUNTIF($C$23:C270,C270)&amp;CHOOSE(MIN(4,COUNTIF($C$23:C270,C270)),"st","nd","rd","th"),"")</f>
        <v/>
      </c>
    </row>
    <row r="271" spans="4:10" x14ac:dyDescent="0.25">
      <c r="D271" s="201" t="str">
        <f t="shared" si="3"/>
        <v/>
      </c>
      <c r="J271" s="201" t="str">
        <f>IFERROR(COUNTIF($C$23:C271,C271)&amp;CHOOSE(MIN(4,COUNTIF($C$23:C271,C271)),"st","nd","rd","th"),"")</f>
        <v/>
      </c>
    </row>
    <row r="272" spans="4:10" x14ac:dyDescent="0.25">
      <c r="D272" s="201" t="str">
        <f t="shared" si="3"/>
        <v/>
      </c>
      <c r="J272" s="201" t="str">
        <f>IFERROR(COUNTIF($C$23:C272,C272)&amp;CHOOSE(MIN(4,COUNTIF($C$23:C272,C272)),"st","nd","rd","th"),"")</f>
        <v/>
      </c>
    </row>
    <row r="273" spans="4:10" x14ac:dyDescent="0.25">
      <c r="D273" s="201" t="str">
        <f t="shared" si="3"/>
        <v/>
      </c>
      <c r="J273" s="201" t="str">
        <f>IFERROR(COUNTIF($C$23:C273,C273)&amp;CHOOSE(MIN(4,COUNTIF($C$23:C273,C273)),"st","nd","rd","th"),"")</f>
        <v/>
      </c>
    </row>
    <row r="274" spans="4:10" x14ac:dyDescent="0.25">
      <c r="D274" s="201" t="str">
        <f t="shared" si="3"/>
        <v/>
      </c>
      <c r="J274" s="201" t="str">
        <f>IFERROR(COUNTIF($C$23:C274,C274)&amp;CHOOSE(MIN(4,COUNTIF($C$23:C274,C274)),"st","nd","rd","th"),"")</f>
        <v/>
      </c>
    </row>
    <row r="275" spans="4:10" x14ac:dyDescent="0.25">
      <c r="D275" s="201" t="str">
        <f t="shared" si="3"/>
        <v/>
      </c>
      <c r="J275" s="201" t="str">
        <f>IFERROR(COUNTIF($C$23:C275,C275)&amp;CHOOSE(MIN(4,COUNTIF($C$23:C275,C275)),"st","nd","rd","th"),"")</f>
        <v/>
      </c>
    </row>
    <row r="276" spans="4:10" x14ac:dyDescent="0.25">
      <c r="D276" s="201" t="str">
        <f t="shared" si="3"/>
        <v/>
      </c>
      <c r="J276" s="201" t="str">
        <f>IFERROR(COUNTIF($C$23:C276,C276)&amp;CHOOSE(MIN(4,COUNTIF($C$23:C276,C276)),"st","nd","rd","th"),"")</f>
        <v/>
      </c>
    </row>
    <row r="277" spans="4:10" x14ac:dyDescent="0.25">
      <c r="D277" s="201" t="str">
        <f t="shared" si="3"/>
        <v/>
      </c>
      <c r="J277" s="201" t="str">
        <f>IFERROR(COUNTIF($C$23:C277,C277)&amp;CHOOSE(MIN(4,COUNTIF($C$23:C277,C277)),"st","nd","rd","th"),"")</f>
        <v/>
      </c>
    </row>
    <row r="278" spans="4:10" x14ac:dyDescent="0.25">
      <c r="D278" s="201" t="str">
        <f t="shared" si="3"/>
        <v/>
      </c>
      <c r="J278" s="201" t="str">
        <f>IFERROR(COUNTIF($C$23:C278,C278)&amp;CHOOSE(MIN(4,COUNTIF($C$23:C278,C278)),"st","nd","rd","th"),"")</f>
        <v/>
      </c>
    </row>
    <row r="279" spans="4:10" x14ac:dyDescent="0.25">
      <c r="D279" s="201" t="str">
        <f t="shared" ref="D279:D342" si="4">IF(B279="","",IF(B279="Province_PLGU","PDPFP","CLUP"))</f>
        <v/>
      </c>
      <c r="J279" s="201" t="str">
        <f>IFERROR(COUNTIF($C$23:C279,C279)&amp;CHOOSE(MIN(4,COUNTIF($C$23:C279,C279)),"st","nd","rd","th"),"")</f>
        <v/>
      </c>
    </row>
    <row r="280" spans="4:10" x14ac:dyDescent="0.25">
      <c r="D280" s="201" t="str">
        <f t="shared" si="4"/>
        <v/>
      </c>
      <c r="J280" s="201" t="str">
        <f>IFERROR(COUNTIF($C$23:C280,C280)&amp;CHOOSE(MIN(4,COUNTIF($C$23:C280,C280)),"st","nd","rd","th"),"")</f>
        <v/>
      </c>
    </row>
    <row r="281" spans="4:10" x14ac:dyDescent="0.25">
      <c r="D281" s="201" t="str">
        <f t="shared" si="4"/>
        <v/>
      </c>
      <c r="J281" s="201" t="str">
        <f>IFERROR(COUNTIF($C$23:C281,C281)&amp;CHOOSE(MIN(4,COUNTIF($C$23:C281,C281)),"st","nd","rd","th"),"")</f>
        <v/>
      </c>
    </row>
    <row r="282" spans="4:10" x14ac:dyDescent="0.25">
      <c r="D282" s="201" t="str">
        <f t="shared" si="4"/>
        <v/>
      </c>
      <c r="J282" s="201" t="str">
        <f>IFERROR(COUNTIF($C$23:C282,C282)&amp;CHOOSE(MIN(4,COUNTIF($C$23:C282,C282)),"st","nd","rd","th"),"")</f>
        <v/>
      </c>
    </row>
    <row r="283" spans="4:10" x14ac:dyDescent="0.25">
      <c r="D283" s="201" t="str">
        <f t="shared" si="4"/>
        <v/>
      </c>
      <c r="J283" s="201" t="str">
        <f>IFERROR(COUNTIF($C$23:C283,C283)&amp;CHOOSE(MIN(4,COUNTIF($C$23:C283,C283)),"st","nd","rd","th"),"")</f>
        <v/>
      </c>
    </row>
    <row r="284" spans="4:10" x14ac:dyDescent="0.25">
      <c r="D284" s="201" t="str">
        <f t="shared" si="4"/>
        <v/>
      </c>
      <c r="J284" s="201" t="str">
        <f>IFERROR(COUNTIF($C$23:C284,C284)&amp;CHOOSE(MIN(4,COUNTIF($C$23:C284,C284)),"st","nd","rd","th"),"")</f>
        <v/>
      </c>
    </row>
    <row r="285" spans="4:10" x14ac:dyDescent="0.25">
      <c r="D285" s="201" t="str">
        <f t="shared" si="4"/>
        <v/>
      </c>
      <c r="J285" s="201" t="str">
        <f>IFERROR(COUNTIF($C$23:C285,C285)&amp;CHOOSE(MIN(4,COUNTIF($C$23:C285,C285)),"st","nd","rd","th"),"")</f>
        <v/>
      </c>
    </row>
    <row r="286" spans="4:10" x14ac:dyDescent="0.25">
      <c r="D286" s="201" t="str">
        <f t="shared" si="4"/>
        <v/>
      </c>
      <c r="J286" s="201" t="str">
        <f>IFERROR(COUNTIF($C$23:C286,C286)&amp;CHOOSE(MIN(4,COUNTIF($C$23:C286,C286)),"st","nd","rd","th"),"")</f>
        <v/>
      </c>
    </row>
    <row r="287" spans="4:10" x14ac:dyDescent="0.25">
      <c r="D287" s="201" t="str">
        <f t="shared" si="4"/>
        <v/>
      </c>
      <c r="J287" s="201" t="str">
        <f>IFERROR(COUNTIF($C$23:C287,C287)&amp;CHOOSE(MIN(4,COUNTIF($C$23:C287,C287)),"st","nd","rd","th"),"")</f>
        <v/>
      </c>
    </row>
    <row r="288" spans="4:10" x14ac:dyDescent="0.25">
      <c r="D288" s="201" t="str">
        <f t="shared" si="4"/>
        <v/>
      </c>
      <c r="J288" s="201" t="str">
        <f>IFERROR(COUNTIF($C$23:C288,C288)&amp;CHOOSE(MIN(4,COUNTIF($C$23:C288,C288)),"st","nd","rd","th"),"")</f>
        <v/>
      </c>
    </row>
    <row r="289" spans="4:10" x14ac:dyDescent="0.25">
      <c r="D289" s="201" t="str">
        <f t="shared" si="4"/>
        <v/>
      </c>
      <c r="J289" s="201" t="str">
        <f>IFERROR(COUNTIF($C$23:C289,C289)&amp;CHOOSE(MIN(4,COUNTIF($C$23:C289,C289)),"st","nd","rd","th"),"")</f>
        <v/>
      </c>
    </row>
    <row r="290" spans="4:10" x14ac:dyDescent="0.25">
      <c r="D290" s="201" t="str">
        <f t="shared" si="4"/>
        <v/>
      </c>
      <c r="J290" s="201" t="str">
        <f>IFERROR(COUNTIF($C$23:C290,C290)&amp;CHOOSE(MIN(4,COUNTIF($C$23:C290,C290)),"st","nd","rd","th"),"")</f>
        <v/>
      </c>
    </row>
    <row r="291" spans="4:10" x14ac:dyDescent="0.25">
      <c r="D291" s="201" t="str">
        <f t="shared" si="4"/>
        <v/>
      </c>
      <c r="J291" s="201" t="str">
        <f>IFERROR(COUNTIF($C$23:C291,C291)&amp;CHOOSE(MIN(4,COUNTIF($C$23:C291,C291)),"st","nd","rd","th"),"")</f>
        <v/>
      </c>
    </row>
    <row r="292" spans="4:10" x14ac:dyDescent="0.25">
      <c r="D292" s="201" t="str">
        <f t="shared" si="4"/>
        <v/>
      </c>
      <c r="J292" s="201" t="str">
        <f>IFERROR(COUNTIF($C$23:C292,C292)&amp;CHOOSE(MIN(4,COUNTIF($C$23:C292,C292)),"st","nd","rd","th"),"")</f>
        <v/>
      </c>
    </row>
    <row r="293" spans="4:10" x14ac:dyDescent="0.25">
      <c r="D293" s="201" t="str">
        <f t="shared" si="4"/>
        <v/>
      </c>
      <c r="J293" s="201" t="str">
        <f>IFERROR(COUNTIF($C$23:C293,C293)&amp;CHOOSE(MIN(4,COUNTIF($C$23:C293,C293)),"st","nd","rd","th"),"")</f>
        <v/>
      </c>
    </row>
    <row r="294" spans="4:10" x14ac:dyDescent="0.25">
      <c r="D294" s="201" t="str">
        <f t="shared" si="4"/>
        <v/>
      </c>
      <c r="J294" s="201" t="str">
        <f>IFERROR(COUNTIF($C$23:C294,C294)&amp;CHOOSE(MIN(4,COUNTIF($C$23:C294,C294)),"st","nd","rd","th"),"")</f>
        <v/>
      </c>
    </row>
    <row r="295" spans="4:10" x14ac:dyDescent="0.25">
      <c r="D295" s="201" t="str">
        <f t="shared" si="4"/>
        <v/>
      </c>
      <c r="J295" s="201" t="str">
        <f>IFERROR(COUNTIF($C$23:C295,C295)&amp;CHOOSE(MIN(4,COUNTIF($C$23:C295,C295)),"st","nd","rd","th"),"")</f>
        <v/>
      </c>
    </row>
    <row r="296" spans="4:10" x14ac:dyDescent="0.25">
      <c r="D296" s="201" t="str">
        <f t="shared" si="4"/>
        <v/>
      </c>
      <c r="J296" s="201" t="str">
        <f>IFERROR(COUNTIF($C$23:C296,C296)&amp;CHOOSE(MIN(4,COUNTIF($C$23:C296,C296)),"st","nd","rd","th"),"")</f>
        <v/>
      </c>
    </row>
    <row r="297" spans="4:10" x14ac:dyDescent="0.25">
      <c r="D297" s="201" t="str">
        <f t="shared" si="4"/>
        <v/>
      </c>
      <c r="J297" s="201" t="str">
        <f>IFERROR(COUNTIF($C$23:C297,C297)&amp;CHOOSE(MIN(4,COUNTIF($C$23:C297,C297)),"st","nd","rd","th"),"")</f>
        <v/>
      </c>
    </row>
    <row r="298" spans="4:10" x14ac:dyDescent="0.25">
      <c r="D298" s="201" t="str">
        <f t="shared" si="4"/>
        <v/>
      </c>
      <c r="J298" s="201" t="str">
        <f>IFERROR(COUNTIF($C$23:C298,C298)&amp;CHOOSE(MIN(4,COUNTIF($C$23:C298,C298)),"st","nd","rd","th"),"")</f>
        <v/>
      </c>
    </row>
    <row r="299" spans="4:10" x14ac:dyDescent="0.25">
      <c r="D299" s="201" t="str">
        <f t="shared" si="4"/>
        <v/>
      </c>
      <c r="J299" s="201" t="str">
        <f>IFERROR(COUNTIF($C$23:C299,C299)&amp;CHOOSE(MIN(4,COUNTIF($C$23:C299,C299)),"st","nd","rd","th"),"")</f>
        <v/>
      </c>
    </row>
    <row r="300" spans="4:10" x14ac:dyDescent="0.25">
      <c r="D300" s="201" t="str">
        <f t="shared" si="4"/>
        <v/>
      </c>
      <c r="J300" s="201" t="str">
        <f>IFERROR(COUNTIF($C$23:C300,C300)&amp;CHOOSE(MIN(4,COUNTIF($C$23:C300,C300)),"st","nd","rd","th"),"")</f>
        <v/>
      </c>
    </row>
    <row r="301" spans="4:10" x14ac:dyDescent="0.25">
      <c r="D301" s="201" t="str">
        <f t="shared" si="4"/>
        <v/>
      </c>
      <c r="J301" s="201" t="str">
        <f>IFERROR(COUNTIF($C$23:C301,C301)&amp;CHOOSE(MIN(4,COUNTIF($C$23:C301,C301)),"st","nd","rd","th"),"")</f>
        <v/>
      </c>
    </row>
    <row r="302" spans="4:10" x14ac:dyDescent="0.25">
      <c r="D302" s="201" t="str">
        <f t="shared" si="4"/>
        <v/>
      </c>
      <c r="J302" s="201" t="str">
        <f>IFERROR(COUNTIF($C$23:C302,C302)&amp;CHOOSE(MIN(4,COUNTIF($C$23:C302,C302)),"st","nd","rd","th"),"")</f>
        <v/>
      </c>
    </row>
    <row r="303" spans="4:10" x14ac:dyDescent="0.25">
      <c r="D303" s="201" t="str">
        <f t="shared" si="4"/>
        <v/>
      </c>
      <c r="J303" s="201" t="str">
        <f>IFERROR(COUNTIF($C$23:C303,C303)&amp;CHOOSE(MIN(4,COUNTIF($C$23:C303,C303)),"st","nd","rd","th"),"")</f>
        <v/>
      </c>
    </row>
    <row r="304" spans="4:10" x14ac:dyDescent="0.25">
      <c r="D304" s="201" t="str">
        <f t="shared" si="4"/>
        <v/>
      </c>
      <c r="J304" s="201" t="str">
        <f>IFERROR(COUNTIF($C$23:C304,C304)&amp;CHOOSE(MIN(4,COUNTIF($C$23:C304,C304)),"st","nd","rd","th"),"")</f>
        <v/>
      </c>
    </row>
    <row r="305" spans="4:10" x14ac:dyDescent="0.25">
      <c r="D305" s="201" t="str">
        <f t="shared" si="4"/>
        <v/>
      </c>
      <c r="J305" s="201" t="str">
        <f>IFERROR(COUNTIF($C$23:C305,C305)&amp;CHOOSE(MIN(4,COUNTIF($C$23:C305,C305)),"st","nd","rd","th"),"")</f>
        <v/>
      </c>
    </row>
    <row r="306" spans="4:10" x14ac:dyDescent="0.25">
      <c r="D306" s="201" t="str">
        <f t="shared" si="4"/>
        <v/>
      </c>
      <c r="J306" s="201" t="str">
        <f>IFERROR(COUNTIF($C$23:C306,C306)&amp;CHOOSE(MIN(4,COUNTIF($C$23:C306,C306)),"st","nd","rd","th"),"")</f>
        <v/>
      </c>
    </row>
    <row r="307" spans="4:10" x14ac:dyDescent="0.25">
      <c r="D307" s="201" t="str">
        <f t="shared" si="4"/>
        <v/>
      </c>
      <c r="J307" s="201" t="str">
        <f>IFERROR(COUNTIF($C$23:C307,C307)&amp;CHOOSE(MIN(4,COUNTIF($C$23:C307,C307)),"st","nd","rd","th"),"")</f>
        <v/>
      </c>
    </row>
    <row r="308" spans="4:10" x14ac:dyDescent="0.25">
      <c r="D308" s="201" t="str">
        <f t="shared" si="4"/>
        <v/>
      </c>
      <c r="J308" s="201" t="str">
        <f>IFERROR(COUNTIF($C$23:C308,C308)&amp;CHOOSE(MIN(4,COUNTIF($C$23:C308,C308)),"st","nd","rd","th"),"")</f>
        <v/>
      </c>
    </row>
    <row r="309" spans="4:10" x14ac:dyDescent="0.25">
      <c r="D309" s="201" t="str">
        <f t="shared" si="4"/>
        <v/>
      </c>
      <c r="J309" s="201" t="str">
        <f>IFERROR(COUNTIF($C$23:C309,C309)&amp;CHOOSE(MIN(4,COUNTIF($C$23:C309,C309)),"st","nd","rd","th"),"")</f>
        <v/>
      </c>
    </row>
    <row r="310" spans="4:10" x14ac:dyDescent="0.25">
      <c r="D310" s="201" t="str">
        <f t="shared" si="4"/>
        <v/>
      </c>
      <c r="J310" s="201" t="str">
        <f>IFERROR(COUNTIF($C$23:C310,C310)&amp;CHOOSE(MIN(4,COUNTIF($C$23:C310,C310)),"st","nd","rd","th"),"")</f>
        <v/>
      </c>
    </row>
    <row r="311" spans="4:10" x14ac:dyDescent="0.25">
      <c r="D311" s="201" t="str">
        <f t="shared" si="4"/>
        <v/>
      </c>
      <c r="J311" s="201" t="str">
        <f>IFERROR(COUNTIF($C$23:C311,C311)&amp;CHOOSE(MIN(4,COUNTIF($C$23:C311,C311)),"st","nd","rd","th"),"")</f>
        <v/>
      </c>
    </row>
    <row r="312" spans="4:10" x14ac:dyDescent="0.25">
      <c r="D312" s="201" t="str">
        <f t="shared" si="4"/>
        <v/>
      </c>
      <c r="J312" s="201" t="str">
        <f>IFERROR(COUNTIF($C$23:C312,C312)&amp;CHOOSE(MIN(4,COUNTIF($C$23:C312,C312)),"st","nd","rd","th"),"")</f>
        <v/>
      </c>
    </row>
    <row r="313" spans="4:10" x14ac:dyDescent="0.25">
      <c r="D313" s="201" t="str">
        <f t="shared" si="4"/>
        <v/>
      </c>
      <c r="J313" s="201" t="str">
        <f>IFERROR(COUNTIF($C$23:C313,C313)&amp;CHOOSE(MIN(4,COUNTIF($C$23:C313,C313)),"st","nd","rd","th"),"")</f>
        <v/>
      </c>
    </row>
    <row r="314" spans="4:10" x14ac:dyDescent="0.25">
      <c r="D314" s="201" t="str">
        <f t="shared" si="4"/>
        <v/>
      </c>
      <c r="J314" s="201" t="str">
        <f>IFERROR(COUNTIF($C$23:C314,C314)&amp;CHOOSE(MIN(4,COUNTIF($C$23:C314,C314)),"st","nd","rd","th"),"")</f>
        <v/>
      </c>
    </row>
    <row r="315" spans="4:10" x14ac:dyDescent="0.25">
      <c r="D315" s="201" t="str">
        <f t="shared" si="4"/>
        <v/>
      </c>
      <c r="J315" s="201" t="str">
        <f>IFERROR(COUNTIF($C$23:C315,C315)&amp;CHOOSE(MIN(4,COUNTIF($C$23:C315,C315)),"st","nd","rd","th"),"")</f>
        <v/>
      </c>
    </row>
    <row r="316" spans="4:10" x14ac:dyDescent="0.25">
      <c r="D316" s="201" t="str">
        <f t="shared" si="4"/>
        <v/>
      </c>
      <c r="J316" s="201" t="str">
        <f>IFERROR(COUNTIF($C$23:C316,C316)&amp;CHOOSE(MIN(4,COUNTIF($C$23:C316,C316)),"st","nd","rd","th"),"")</f>
        <v/>
      </c>
    </row>
    <row r="317" spans="4:10" x14ac:dyDescent="0.25">
      <c r="D317" s="201" t="str">
        <f t="shared" si="4"/>
        <v/>
      </c>
      <c r="J317" s="201" t="str">
        <f>IFERROR(COUNTIF($C$23:C317,C317)&amp;CHOOSE(MIN(4,COUNTIF($C$23:C317,C317)),"st","nd","rd","th"),"")</f>
        <v/>
      </c>
    </row>
    <row r="318" spans="4:10" x14ac:dyDescent="0.25">
      <c r="D318" s="201" t="str">
        <f t="shared" si="4"/>
        <v/>
      </c>
      <c r="J318" s="201" t="str">
        <f>IFERROR(COUNTIF($C$23:C318,C318)&amp;CHOOSE(MIN(4,COUNTIF($C$23:C318,C318)),"st","nd","rd","th"),"")</f>
        <v/>
      </c>
    </row>
    <row r="319" spans="4:10" x14ac:dyDescent="0.25">
      <c r="D319" s="201" t="str">
        <f t="shared" si="4"/>
        <v/>
      </c>
      <c r="J319" s="201" t="str">
        <f>IFERROR(COUNTIF($C$23:C319,C319)&amp;CHOOSE(MIN(4,COUNTIF($C$23:C319,C319)),"st","nd","rd","th"),"")</f>
        <v/>
      </c>
    </row>
    <row r="320" spans="4:10" x14ac:dyDescent="0.25">
      <c r="D320" s="201" t="str">
        <f t="shared" si="4"/>
        <v/>
      </c>
      <c r="J320" s="201" t="str">
        <f>IFERROR(COUNTIF($C$23:C320,C320)&amp;CHOOSE(MIN(4,COUNTIF($C$23:C320,C320)),"st","nd","rd","th"),"")</f>
        <v/>
      </c>
    </row>
    <row r="321" spans="4:10" x14ac:dyDescent="0.25">
      <c r="D321" s="201" t="str">
        <f t="shared" si="4"/>
        <v/>
      </c>
      <c r="J321" s="201" t="str">
        <f>IFERROR(COUNTIF($C$23:C321,C321)&amp;CHOOSE(MIN(4,COUNTIF($C$23:C321,C321)),"st","nd","rd","th"),"")</f>
        <v/>
      </c>
    </row>
    <row r="322" spans="4:10" x14ac:dyDescent="0.25">
      <c r="D322" s="201" t="str">
        <f t="shared" si="4"/>
        <v/>
      </c>
      <c r="J322" s="201" t="str">
        <f>IFERROR(COUNTIF($C$23:C322,C322)&amp;CHOOSE(MIN(4,COUNTIF($C$23:C322,C322)),"st","nd","rd","th"),"")</f>
        <v/>
      </c>
    </row>
    <row r="323" spans="4:10" x14ac:dyDescent="0.25">
      <c r="D323" s="201" t="str">
        <f t="shared" si="4"/>
        <v/>
      </c>
      <c r="J323" s="201" t="str">
        <f>IFERROR(COUNTIF($C$23:C323,C323)&amp;CHOOSE(MIN(4,COUNTIF($C$23:C323,C323)),"st","nd","rd","th"),"")</f>
        <v/>
      </c>
    </row>
    <row r="324" spans="4:10" x14ac:dyDescent="0.25">
      <c r="D324" s="201" t="str">
        <f t="shared" si="4"/>
        <v/>
      </c>
      <c r="J324" s="201" t="str">
        <f>IFERROR(COUNTIF($C$23:C324,C324)&amp;CHOOSE(MIN(4,COUNTIF($C$23:C324,C324)),"st","nd","rd","th"),"")</f>
        <v/>
      </c>
    </row>
    <row r="325" spans="4:10" x14ac:dyDescent="0.25">
      <c r="D325" s="201" t="str">
        <f t="shared" si="4"/>
        <v/>
      </c>
      <c r="J325" s="201" t="str">
        <f>IFERROR(COUNTIF($C$23:C325,C325)&amp;CHOOSE(MIN(4,COUNTIF($C$23:C325,C325)),"st","nd","rd","th"),"")</f>
        <v/>
      </c>
    </row>
    <row r="326" spans="4:10" x14ac:dyDescent="0.25">
      <c r="D326" s="201" t="str">
        <f t="shared" si="4"/>
        <v/>
      </c>
      <c r="J326" s="201" t="str">
        <f>IFERROR(COUNTIF($C$23:C326,C326)&amp;CHOOSE(MIN(4,COUNTIF($C$23:C326,C326)),"st","nd","rd","th"),"")</f>
        <v/>
      </c>
    </row>
    <row r="327" spans="4:10" x14ac:dyDescent="0.25">
      <c r="D327" s="201" t="str">
        <f t="shared" si="4"/>
        <v/>
      </c>
      <c r="J327" s="201" t="str">
        <f>IFERROR(COUNTIF($C$23:C327,C327)&amp;CHOOSE(MIN(4,COUNTIF($C$23:C327,C327)),"st","nd","rd","th"),"")</f>
        <v/>
      </c>
    </row>
    <row r="328" spans="4:10" x14ac:dyDescent="0.25">
      <c r="D328" s="201" t="str">
        <f t="shared" si="4"/>
        <v/>
      </c>
      <c r="J328" s="201" t="str">
        <f>IFERROR(COUNTIF($C$23:C328,C328)&amp;CHOOSE(MIN(4,COUNTIF($C$23:C328,C328)),"st","nd","rd","th"),"")</f>
        <v/>
      </c>
    </row>
    <row r="329" spans="4:10" x14ac:dyDescent="0.25">
      <c r="D329" s="201" t="str">
        <f t="shared" si="4"/>
        <v/>
      </c>
      <c r="J329" s="201" t="str">
        <f>IFERROR(COUNTIF($C$23:C329,C329)&amp;CHOOSE(MIN(4,COUNTIF($C$23:C329,C329)),"st","nd","rd","th"),"")</f>
        <v/>
      </c>
    </row>
    <row r="330" spans="4:10" x14ac:dyDescent="0.25">
      <c r="D330" s="201" t="str">
        <f t="shared" si="4"/>
        <v/>
      </c>
      <c r="J330" s="201" t="str">
        <f>IFERROR(COUNTIF($C$23:C330,C330)&amp;CHOOSE(MIN(4,COUNTIF($C$23:C330,C330)),"st","nd","rd","th"),"")</f>
        <v/>
      </c>
    </row>
    <row r="331" spans="4:10" x14ac:dyDescent="0.25">
      <c r="D331" s="201" t="str">
        <f t="shared" si="4"/>
        <v/>
      </c>
      <c r="J331" s="201" t="str">
        <f>IFERROR(COUNTIF($C$23:C331,C331)&amp;CHOOSE(MIN(4,COUNTIF($C$23:C331,C331)),"st","nd","rd","th"),"")</f>
        <v/>
      </c>
    </row>
    <row r="332" spans="4:10" x14ac:dyDescent="0.25">
      <c r="D332" s="201" t="str">
        <f t="shared" si="4"/>
        <v/>
      </c>
      <c r="J332" s="201" t="str">
        <f>IFERROR(COUNTIF($C$23:C332,C332)&amp;CHOOSE(MIN(4,COUNTIF($C$23:C332,C332)),"st","nd","rd","th"),"")</f>
        <v/>
      </c>
    </row>
    <row r="333" spans="4:10" x14ac:dyDescent="0.25">
      <c r="D333" s="201" t="str">
        <f t="shared" si="4"/>
        <v/>
      </c>
      <c r="J333" s="201" t="str">
        <f>IFERROR(COUNTIF($C$23:C333,C333)&amp;CHOOSE(MIN(4,COUNTIF($C$23:C333,C333)),"st","nd","rd","th"),"")</f>
        <v/>
      </c>
    </row>
    <row r="334" spans="4:10" x14ac:dyDescent="0.25">
      <c r="D334" s="201" t="str">
        <f t="shared" si="4"/>
        <v/>
      </c>
      <c r="J334" s="201" t="str">
        <f>IFERROR(COUNTIF($C$23:C334,C334)&amp;CHOOSE(MIN(4,COUNTIF($C$23:C334,C334)),"st","nd","rd","th"),"")</f>
        <v/>
      </c>
    </row>
    <row r="335" spans="4:10" x14ac:dyDescent="0.25">
      <c r="D335" s="201" t="str">
        <f t="shared" si="4"/>
        <v/>
      </c>
      <c r="J335" s="201" t="str">
        <f>IFERROR(COUNTIF($C$23:C335,C335)&amp;CHOOSE(MIN(4,COUNTIF($C$23:C335,C335)),"st","nd","rd","th"),"")</f>
        <v/>
      </c>
    </row>
    <row r="336" spans="4:10" x14ac:dyDescent="0.25">
      <c r="D336" s="201" t="str">
        <f t="shared" si="4"/>
        <v/>
      </c>
      <c r="J336" s="201" t="str">
        <f>IFERROR(COUNTIF($C$23:C336,C336)&amp;CHOOSE(MIN(4,COUNTIF($C$23:C336,C336)),"st","nd","rd","th"),"")</f>
        <v/>
      </c>
    </row>
    <row r="337" spans="4:10" x14ac:dyDescent="0.25">
      <c r="D337" s="201" t="str">
        <f t="shared" si="4"/>
        <v/>
      </c>
      <c r="J337" s="201" t="str">
        <f>IFERROR(COUNTIF($C$23:C337,C337)&amp;CHOOSE(MIN(4,COUNTIF($C$23:C337,C337)),"st","nd","rd","th"),"")</f>
        <v/>
      </c>
    </row>
    <row r="338" spans="4:10" x14ac:dyDescent="0.25">
      <c r="D338" s="201" t="str">
        <f t="shared" si="4"/>
        <v/>
      </c>
      <c r="J338" s="201" t="str">
        <f>IFERROR(COUNTIF($C$23:C338,C338)&amp;CHOOSE(MIN(4,COUNTIF($C$23:C338,C338)),"st","nd","rd","th"),"")</f>
        <v/>
      </c>
    </row>
    <row r="339" spans="4:10" x14ac:dyDescent="0.25">
      <c r="D339" s="201" t="str">
        <f t="shared" si="4"/>
        <v/>
      </c>
      <c r="J339" s="201" t="str">
        <f>IFERROR(COUNTIF($C$23:C339,C339)&amp;CHOOSE(MIN(4,COUNTIF($C$23:C339,C339)),"st","nd","rd","th"),"")</f>
        <v/>
      </c>
    </row>
    <row r="340" spans="4:10" x14ac:dyDescent="0.25">
      <c r="D340" s="201" t="str">
        <f t="shared" si="4"/>
        <v/>
      </c>
      <c r="J340" s="201" t="str">
        <f>IFERROR(COUNTIF($C$23:C340,C340)&amp;CHOOSE(MIN(4,COUNTIF($C$23:C340,C340)),"st","nd","rd","th"),"")</f>
        <v/>
      </c>
    </row>
    <row r="341" spans="4:10" x14ac:dyDescent="0.25">
      <c r="D341" s="201" t="str">
        <f t="shared" si="4"/>
        <v/>
      </c>
      <c r="J341" s="201" t="str">
        <f>IFERROR(COUNTIF($C$23:C341,C341)&amp;CHOOSE(MIN(4,COUNTIF($C$23:C341,C341)),"st","nd","rd","th"),"")</f>
        <v/>
      </c>
    </row>
    <row r="342" spans="4:10" x14ac:dyDescent="0.25">
      <c r="D342" s="201" t="str">
        <f t="shared" si="4"/>
        <v/>
      </c>
      <c r="J342" s="201" t="str">
        <f>IFERROR(COUNTIF($C$23:C342,C342)&amp;CHOOSE(MIN(4,COUNTIF($C$23:C342,C342)),"st","nd","rd","th"),"")</f>
        <v/>
      </c>
    </row>
    <row r="343" spans="4:10" x14ac:dyDescent="0.25">
      <c r="D343" s="201" t="str">
        <f t="shared" ref="D343:D406" si="5">IF(B343="","",IF(B343="Province_PLGU","PDPFP","CLUP"))</f>
        <v/>
      </c>
      <c r="J343" s="201" t="str">
        <f>IFERROR(COUNTIF($C$23:C343,C343)&amp;CHOOSE(MIN(4,COUNTIF($C$23:C343,C343)),"st","nd","rd","th"),"")</f>
        <v/>
      </c>
    </row>
    <row r="344" spans="4:10" x14ac:dyDescent="0.25">
      <c r="D344" s="201" t="str">
        <f t="shared" si="5"/>
        <v/>
      </c>
      <c r="J344" s="201" t="str">
        <f>IFERROR(COUNTIF($C$23:C344,C344)&amp;CHOOSE(MIN(4,COUNTIF($C$23:C344,C344)),"st","nd","rd","th"),"")</f>
        <v/>
      </c>
    </row>
    <row r="345" spans="4:10" x14ac:dyDescent="0.25">
      <c r="D345" s="201" t="str">
        <f t="shared" si="5"/>
        <v/>
      </c>
      <c r="J345" s="201" t="str">
        <f>IFERROR(COUNTIF($C$23:C345,C345)&amp;CHOOSE(MIN(4,COUNTIF($C$23:C345,C345)),"st","nd","rd","th"),"")</f>
        <v/>
      </c>
    </row>
    <row r="346" spans="4:10" x14ac:dyDescent="0.25">
      <c r="D346" s="201" t="str">
        <f t="shared" si="5"/>
        <v/>
      </c>
      <c r="J346" s="201" t="str">
        <f>IFERROR(COUNTIF($C$23:C346,C346)&amp;CHOOSE(MIN(4,COUNTIF($C$23:C346,C346)),"st","nd","rd","th"),"")</f>
        <v/>
      </c>
    </row>
    <row r="347" spans="4:10" x14ac:dyDescent="0.25">
      <c r="D347" s="201" t="str">
        <f t="shared" si="5"/>
        <v/>
      </c>
      <c r="J347" s="201" t="str">
        <f>IFERROR(COUNTIF($C$23:C347,C347)&amp;CHOOSE(MIN(4,COUNTIF($C$23:C347,C347)),"st","nd","rd","th"),"")</f>
        <v/>
      </c>
    </row>
    <row r="348" spans="4:10" x14ac:dyDescent="0.25">
      <c r="D348" s="201" t="str">
        <f t="shared" si="5"/>
        <v/>
      </c>
      <c r="J348" s="201" t="str">
        <f>IFERROR(COUNTIF($C$23:C348,C348)&amp;CHOOSE(MIN(4,COUNTIF($C$23:C348,C348)),"st","nd","rd","th"),"")</f>
        <v/>
      </c>
    </row>
    <row r="349" spans="4:10" x14ac:dyDescent="0.25">
      <c r="D349" s="201" t="str">
        <f t="shared" si="5"/>
        <v/>
      </c>
      <c r="J349" s="201" t="str">
        <f>IFERROR(COUNTIF($C$23:C349,C349)&amp;CHOOSE(MIN(4,COUNTIF($C$23:C349,C349)),"st","nd","rd","th"),"")</f>
        <v/>
      </c>
    </row>
    <row r="350" spans="4:10" x14ac:dyDescent="0.25">
      <c r="D350" s="201" t="str">
        <f t="shared" si="5"/>
        <v/>
      </c>
      <c r="J350" s="201" t="str">
        <f>IFERROR(COUNTIF($C$23:C350,C350)&amp;CHOOSE(MIN(4,COUNTIF($C$23:C350,C350)),"st","nd","rd","th"),"")</f>
        <v/>
      </c>
    </row>
    <row r="351" spans="4:10" x14ac:dyDescent="0.25">
      <c r="D351" s="201" t="str">
        <f t="shared" si="5"/>
        <v/>
      </c>
      <c r="J351" s="201" t="str">
        <f>IFERROR(COUNTIF($C$23:C351,C351)&amp;CHOOSE(MIN(4,COUNTIF($C$23:C351,C351)),"st","nd","rd","th"),"")</f>
        <v/>
      </c>
    </row>
    <row r="352" spans="4:10" x14ac:dyDescent="0.25">
      <c r="D352" s="201" t="str">
        <f t="shared" si="5"/>
        <v/>
      </c>
      <c r="J352" s="201" t="str">
        <f>IFERROR(COUNTIF($C$23:C352,C352)&amp;CHOOSE(MIN(4,COUNTIF($C$23:C352,C352)),"st","nd","rd","th"),"")</f>
        <v/>
      </c>
    </row>
    <row r="353" spans="4:10" x14ac:dyDescent="0.25">
      <c r="D353" s="201" t="str">
        <f t="shared" si="5"/>
        <v/>
      </c>
      <c r="J353" s="201" t="str">
        <f>IFERROR(COUNTIF($C$23:C353,C353)&amp;CHOOSE(MIN(4,COUNTIF($C$23:C353,C353)),"st","nd","rd","th"),"")</f>
        <v/>
      </c>
    </row>
    <row r="354" spans="4:10" x14ac:dyDescent="0.25">
      <c r="D354" s="201" t="str">
        <f t="shared" si="5"/>
        <v/>
      </c>
      <c r="J354" s="201" t="str">
        <f>IFERROR(COUNTIF($C$23:C354,C354)&amp;CHOOSE(MIN(4,COUNTIF($C$23:C354,C354)),"st","nd","rd","th"),"")</f>
        <v/>
      </c>
    </row>
    <row r="355" spans="4:10" x14ac:dyDescent="0.25">
      <c r="D355" s="201" t="str">
        <f t="shared" si="5"/>
        <v/>
      </c>
      <c r="J355" s="201" t="str">
        <f>IFERROR(COUNTIF($C$23:C355,C355)&amp;CHOOSE(MIN(4,COUNTIF($C$23:C355,C355)),"st","nd","rd","th"),"")</f>
        <v/>
      </c>
    </row>
    <row r="356" spans="4:10" x14ac:dyDescent="0.25">
      <c r="D356" s="201" t="str">
        <f t="shared" si="5"/>
        <v/>
      </c>
      <c r="J356" s="201" t="str">
        <f>IFERROR(COUNTIF($C$23:C356,C356)&amp;CHOOSE(MIN(4,COUNTIF($C$23:C356,C356)),"st","nd","rd","th"),"")</f>
        <v/>
      </c>
    </row>
    <row r="357" spans="4:10" x14ac:dyDescent="0.25">
      <c r="D357" s="201" t="str">
        <f t="shared" si="5"/>
        <v/>
      </c>
      <c r="J357" s="201" t="str">
        <f>IFERROR(COUNTIF($C$23:C357,C357)&amp;CHOOSE(MIN(4,COUNTIF($C$23:C357,C357)),"st","nd","rd","th"),"")</f>
        <v/>
      </c>
    </row>
    <row r="358" spans="4:10" x14ac:dyDescent="0.25">
      <c r="D358" s="201" t="str">
        <f t="shared" si="5"/>
        <v/>
      </c>
      <c r="J358" s="201" t="str">
        <f>IFERROR(COUNTIF($C$23:C358,C358)&amp;CHOOSE(MIN(4,COUNTIF($C$23:C358,C358)),"st","nd","rd","th"),"")</f>
        <v/>
      </c>
    </row>
    <row r="359" spans="4:10" x14ac:dyDescent="0.25">
      <c r="D359" s="201" t="str">
        <f t="shared" si="5"/>
        <v/>
      </c>
      <c r="J359" s="201" t="str">
        <f>IFERROR(COUNTIF($C$23:C359,C359)&amp;CHOOSE(MIN(4,COUNTIF($C$23:C359,C359)),"st","nd","rd","th"),"")</f>
        <v/>
      </c>
    </row>
    <row r="360" spans="4:10" x14ac:dyDescent="0.25">
      <c r="D360" s="201" t="str">
        <f t="shared" si="5"/>
        <v/>
      </c>
      <c r="J360" s="201" t="str">
        <f>IFERROR(COUNTIF($C$23:C360,C360)&amp;CHOOSE(MIN(4,COUNTIF($C$23:C360,C360)),"st","nd","rd","th"),"")</f>
        <v/>
      </c>
    </row>
    <row r="361" spans="4:10" x14ac:dyDescent="0.25">
      <c r="D361" s="201" t="str">
        <f t="shared" si="5"/>
        <v/>
      </c>
      <c r="J361" s="201" t="str">
        <f>IFERROR(COUNTIF($C$23:C361,C361)&amp;CHOOSE(MIN(4,COUNTIF($C$23:C361,C361)),"st","nd","rd","th"),"")</f>
        <v/>
      </c>
    </row>
    <row r="362" spans="4:10" x14ac:dyDescent="0.25">
      <c r="D362" s="201" t="str">
        <f t="shared" si="5"/>
        <v/>
      </c>
      <c r="J362" s="201" t="str">
        <f>IFERROR(COUNTIF($C$23:C362,C362)&amp;CHOOSE(MIN(4,COUNTIF($C$23:C362,C362)),"st","nd","rd","th"),"")</f>
        <v/>
      </c>
    </row>
    <row r="363" spans="4:10" x14ac:dyDescent="0.25">
      <c r="D363" s="201" t="str">
        <f t="shared" si="5"/>
        <v/>
      </c>
      <c r="J363" s="201" t="str">
        <f>IFERROR(COUNTIF($C$23:C363,C363)&amp;CHOOSE(MIN(4,COUNTIF($C$23:C363,C363)),"st","nd","rd","th"),"")</f>
        <v/>
      </c>
    </row>
    <row r="364" spans="4:10" x14ac:dyDescent="0.25">
      <c r="D364" s="201" t="str">
        <f t="shared" si="5"/>
        <v/>
      </c>
      <c r="J364" s="201" t="str">
        <f>IFERROR(COUNTIF($C$23:C364,C364)&amp;CHOOSE(MIN(4,COUNTIF($C$23:C364,C364)),"st","nd","rd","th"),"")</f>
        <v/>
      </c>
    </row>
    <row r="365" spans="4:10" x14ac:dyDescent="0.25">
      <c r="D365" s="201" t="str">
        <f t="shared" si="5"/>
        <v/>
      </c>
      <c r="J365" s="201" t="str">
        <f>IFERROR(COUNTIF($C$23:C365,C365)&amp;CHOOSE(MIN(4,COUNTIF($C$23:C365,C365)),"st","nd","rd","th"),"")</f>
        <v/>
      </c>
    </row>
    <row r="366" spans="4:10" x14ac:dyDescent="0.25">
      <c r="D366" s="201" t="str">
        <f t="shared" si="5"/>
        <v/>
      </c>
      <c r="J366" s="201" t="str">
        <f>IFERROR(COUNTIF($C$23:C366,C366)&amp;CHOOSE(MIN(4,COUNTIF($C$23:C366,C366)),"st","nd","rd","th"),"")</f>
        <v/>
      </c>
    </row>
    <row r="367" spans="4:10" x14ac:dyDescent="0.25">
      <c r="D367" s="201" t="str">
        <f t="shared" si="5"/>
        <v/>
      </c>
      <c r="J367" s="201" t="str">
        <f>IFERROR(COUNTIF($C$23:C367,C367)&amp;CHOOSE(MIN(4,COUNTIF($C$23:C367,C367)),"st","nd","rd","th"),"")</f>
        <v/>
      </c>
    </row>
    <row r="368" spans="4:10" x14ac:dyDescent="0.25">
      <c r="D368" s="201" t="str">
        <f t="shared" si="5"/>
        <v/>
      </c>
      <c r="J368" s="201" t="str">
        <f>IFERROR(COUNTIF($C$23:C368,C368)&amp;CHOOSE(MIN(4,COUNTIF($C$23:C368,C368)),"st","nd","rd","th"),"")</f>
        <v/>
      </c>
    </row>
    <row r="369" spans="4:10" x14ac:dyDescent="0.25">
      <c r="D369" s="201" t="str">
        <f t="shared" si="5"/>
        <v/>
      </c>
      <c r="J369" s="201" t="str">
        <f>IFERROR(COUNTIF($C$23:C369,C369)&amp;CHOOSE(MIN(4,COUNTIF($C$23:C369,C369)),"st","nd","rd","th"),"")</f>
        <v/>
      </c>
    </row>
    <row r="370" spans="4:10" x14ac:dyDescent="0.25">
      <c r="D370" s="201" t="str">
        <f t="shared" si="5"/>
        <v/>
      </c>
      <c r="J370" s="201" t="str">
        <f>IFERROR(COUNTIF($C$23:C370,C370)&amp;CHOOSE(MIN(4,COUNTIF($C$23:C370,C370)),"st","nd","rd","th"),"")</f>
        <v/>
      </c>
    </row>
    <row r="371" spans="4:10" x14ac:dyDescent="0.25">
      <c r="D371" s="201" t="str">
        <f t="shared" si="5"/>
        <v/>
      </c>
      <c r="J371" s="201" t="str">
        <f>IFERROR(COUNTIF($C$23:C371,C371)&amp;CHOOSE(MIN(4,COUNTIF($C$23:C371,C371)),"st","nd","rd","th"),"")</f>
        <v/>
      </c>
    </row>
    <row r="372" spans="4:10" x14ac:dyDescent="0.25">
      <c r="D372" s="201" t="str">
        <f t="shared" si="5"/>
        <v/>
      </c>
      <c r="J372" s="201" t="str">
        <f>IFERROR(COUNTIF($C$23:C372,C372)&amp;CHOOSE(MIN(4,COUNTIF($C$23:C372,C372)),"st","nd","rd","th"),"")</f>
        <v/>
      </c>
    </row>
    <row r="373" spans="4:10" x14ac:dyDescent="0.25">
      <c r="D373" s="201" t="str">
        <f t="shared" si="5"/>
        <v/>
      </c>
      <c r="J373" s="201" t="str">
        <f>IFERROR(COUNTIF($C$23:C373,C373)&amp;CHOOSE(MIN(4,COUNTIF($C$23:C373,C373)),"st","nd","rd","th"),"")</f>
        <v/>
      </c>
    </row>
    <row r="374" spans="4:10" x14ac:dyDescent="0.25">
      <c r="D374" s="201" t="str">
        <f t="shared" si="5"/>
        <v/>
      </c>
      <c r="J374" s="201" t="str">
        <f>IFERROR(COUNTIF($C$23:C374,C374)&amp;CHOOSE(MIN(4,COUNTIF($C$23:C374,C374)),"st","nd","rd","th"),"")</f>
        <v/>
      </c>
    </row>
    <row r="375" spans="4:10" x14ac:dyDescent="0.25">
      <c r="D375" s="201" t="str">
        <f t="shared" si="5"/>
        <v/>
      </c>
      <c r="J375" s="201" t="str">
        <f>IFERROR(COUNTIF($C$23:C375,C375)&amp;CHOOSE(MIN(4,COUNTIF($C$23:C375,C375)),"st","nd","rd","th"),"")</f>
        <v/>
      </c>
    </row>
    <row r="376" spans="4:10" x14ac:dyDescent="0.25">
      <c r="D376" s="201" t="str">
        <f t="shared" si="5"/>
        <v/>
      </c>
      <c r="J376" s="201" t="str">
        <f>IFERROR(COUNTIF($C$23:C376,C376)&amp;CHOOSE(MIN(4,COUNTIF($C$23:C376,C376)),"st","nd","rd","th"),"")</f>
        <v/>
      </c>
    </row>
    <row r="377" spans="4:10" x14ac:dyDescent="0.25">
      <c r="D377" s="201" t="str">
        <f t="shared" si="5"/>
        <v/>
      </c>
      <c r="J377" s="201" t="str">
        <f>IFERROR(COUNTIF($C$23:C377,C377)&amp;CHOOSE(MIN(4,COUNTIF($C$23:C377,C377)),"st","nd","rd","th"),"")</f>
        <v/>
      </c>
    </row>
    <row r="378" spans="4:10" x14ac:dyDescent="0.25">
      <c r="D378" s="201" t="str">
        <f t="shared" si="5"/>
        <v/>
      </c>
      <c r="J378" s="201" t="str">
        <f>IFERROR(COUNTIF($C$23:C378,C378)&amp;CHOOSE(MIN(4,COUNTIF($C$23:C378,C378)),"st","nd","rd","th"),"")</f>
        <v/>
      </c>
    </row>
    <row r="379" spans="4:10" x14ac:dyDescent="0.25">
      <c r="D379" s="201" t="str">
        <f t="shared" si="5"/>
        <v/>
      </c>
      <c r="J379" s="201" t="str">
        <f>IFERROR(COUNTIF($C$23:C379,C379)&amp;CHOOSE(MIN(4,COUNTIF($C$23:C379,C379)),"st","nd","rd","th"),"")</f>
        <v/>
      </c>
    </row>
    <row r="380" spans="4:10" x14ac:dyDescent="0.25">
      <c r="D380" s="201" t="str">
        <f t="shared" si="5"/>
        <v/>
      </c>
      <c r="J380" s="201" t="str">
        <f>IFERROR(COUNTIF($C$23:C380,C380)&amp;CHOOSE(MIN(4,COUNTIF($C$23:C380,C380)),"st","nd","rd","th"),"")</f>
        <v/>
      </c>
    </row>
    <row r="381" spans="4:10" x14ac:dyDescent="0.25">
      <c r="D381" s="201" t="str">
        <f t="shared" si="5"/>
        <v/>
      </c>
      <c r="J381" s="201" t="str">
        <f>IFERROR(COUNTIF($C$23:C381,C381)&amp;CHOOSE(MIN(4,COUNTIF($C$23:C381,C381)),"st","nd","rd","th"),"")</f>
        <v/>
      </c>
    </row>
    <row r="382" spans="4:10" x14ac:dyDescent="0.25">
      <c r="D382" s="201" t="str">
        <f t="shared" si="5"/>
        <v/>
      </c>
      <c r="J382" s="201" t="str">
        <f>IFERROR(COUNTIF($C$23:C382,C382)&amp;CHOOSE(MIN(4,COUNTIF($C$23:C382,C382)),"st","nd","rd","th"),"")</f>
        <v/>
      </c>
    </row>
    <row r="383" spans="4:10" x14ac:dyDescent="0.25">
      <c r="D383" s="201" t="str">
        <f t="shared" si="5"/>
        <v/>
      </c>
      <c r="J383" s="201" t="str">
        <f>IFERROR(COUNTIF($C$23:C383,C383)&amp;CHOOSE(MIN(4,COUNTIF($C$23:C383,C383)),"st","nd","rd","th"),"")</f>
        <v/>
      </c>
    </row>
    <row r="384" spans="4:10" x14ac:dyDescent="0.25">
      <c r="D384" s="201" t="str">
        <f t="shared" si="5"/>
        <v/>
      </c>
      <c r="J384" s="201" t="str">
        <f>IFERROR(COUNTIF($C$23:C384,C384)&amp;CHOOSE(MIN(4,COUNTIF($C$23:C384,C384)),"st","nd","rd","th"),"")</f>
        <v/>
      </c>
    </row>
    <row r="385" spans="4:10" x14ac:dyDescent="0.25">
      <c r="D385" s="201" t="str">
        <f t="shared" si="5"/>
        <v/>
      </c>
      <c r="J385" s="201" t="str">
        <f>IFERROR(COUNTIF($C$23:C385,C385)&amp;CHOOSE(MIN(4,COUNTIF($C$23:C385,C385)),"st","nd","rd","th"),"")</f>
        <v/>
      </c>
    </row>
    <row r="386" spans="4:10" x14ac:dyDescent="0.25">
      <c r="D386" s="201" t="str">
        <f t="shared" si="5"/>
        <v/>
      </c>
      <c r="J386" s="201" t="str">
        <f>IFERROR(COUNTIF($C$23:C386,C386)&amp;CHOOSE(MIN(4,COUNTIF($C$23:C386,C386)),"st","nd","rd","th"),"")</f>
        <v/>
      </c>
    </row>
    <row r="387" spans="4:10" x14ac:dyDescent="0.25">
      <c r="D387" s="201" t="str">
        <f t="shared" si="5"/>
        <v/>
      </c>
      <c r="J387" s="201" t="str">
        <f>IFERROR(COUNTIF($C$23:C387,C387)&amp;CHOOSE(MIN(4,COUNTIF($C$23:C387,C387)),"st","nd","rd","th"),"")</f>
        <v/>
      </c>
    </row>
    <row r="388" spans="4:10" x14ac:dyDescent="0.25">
      <c r="D388" s="201" t="str">
        <f t="shared" si="5"/>
        <v/>
      </c>
      <c r="J388" s="201" t="str">
        <f>IFERROR(COUNTIF($C$23:C388,C388)&amp;CHOOSE(MIN(4,COUNTIF($C$23:C388,C388)),"st","nd","rd","th"),"")</f>
        <v/>
      </c>
    </row>
    <row r="389" spans="4:10" x14ac:dyDescent="0.25">
      <c r="D389" s="201" t="str">
        <f t="shared" si="5"/>
        <v/>
      </c>
      <c r="J389" s="201" t="str">
        <f>IFERROR(COUNTIF($C$23:C389,C389)&amp;CHOOSE(MIN(4,COUNTIF($C$23:C389,C389)),"st","nd","rd","th"),"")</f>
        <v/>
      </c>
    </row>
    <row r="390" spans="4:10" x14ac:dyDescent="0.25">
      <c r="D390" s="201" t="str">
        <f t="shared" si="5"/>
        <v/>
      </c>
      <c r="J390" s="201" t="str">
        <f>IFERROR(COUNTIF($C$23:C390,C390)&amp;CHOOSE(MIN(4,COUNTIF($C$23:C390,C390)),"st","nd","rd","th"),"")</f>
        <v/>
      </c>
    </row>
    <row r="391" spans="4:10" x14ac:dyDescent="0.25">
      <c r="D391" s="201" t="str">
        <f t="shared" si="5"/>
        <v/>
      </c>
      <c r="J391" s="201" t="str">
        <f>IFERROR(COUNTIF($C$23:C391,C391)&amp;CHOOSE(MIN(4,COUNTIF($C$23:C391,C391)),"st","nd","rd","th"),"")</f>
        <v/>
      </c>
    </row>
    <row r="392" spans="4:10" x14ac:dyDescent="0.25">
      <c r="D392" s="201" t="str">
        <f t="shared" si="5"/>
        <v/>
      </c>
      <c r="J392" s="201" t="str">
        <f>IFERROR(COUNTIF($C$23:C392,C392)&amp;CHOOSE(MIN(4,COUNTIF($C$23:C392,C392)),"st","nd","rd","th"),"")</f>
        <v/>
      </c>
    </row>
    <row r="393" spans="4:10" x14ac:dyDescent="0.25">
      <c r="D393" s="201" t="str">
        <f t="shared" si="5"/>
        <v/>
      </c>
      <c r="J393" s="201" t="str">
        <f>IFERROR(COUNTIF($C$23:C393,C393)&amp;CHOOSE(MIN(4,COUNTIF($C$23:C393,C393)),"st","nd","rd","th"),"")</f>
        <v/>
      </c>
    </row>
    <row r="394" spans="4:10" x14ac:dyDescent="0.25">
      <c r="D394" s="201" t="str">
        <f t="shared" si="5"/>
        <v/>
      </c>
      <c r="J394" s="201" t="str">
        <f>IFERROR(COUNTIF($C$23:C394,C394)&amp;CHOOSE(MIN(4,COUNTIF($C$23:C394,C394)),"st","nd","rd","th"),"")</f>
        <v/>
      </c>
    </row>
    <row r="395" spans="4:10" x14ac:dyDescent="0.25">
      <c r="D395" s="201" t="str">
        <f t="shared" si="5"/>
        <v/>
      </c>
      <c r="J395" s="201" t="str">
        <f>IFERROR(COUNTIF($C$23:C395,C395)&amp;CHOOSE(MIN(4,COUNTIF($C$23:C395,C395)),"st","nd","rd","th"),"")</f>
        <v/>
      </c>
    </row>
    <row r="396" spans="4:10" x14ac:dyDescent="0.25">
      <c r="D396" s="201" t="str">
        <f t="shared" si="5"/>
        <v/>
      </c>
      <c r="J396" s="201" t="str">
        <f>IFERROR(COUNTIF($C$23:C396,C396)&amp;CHOOSE(MIN(4,COUNTIF($C$23:C396,C396)),"st","nd","rd","th"),"")</f>
        <v/>
      </c>
    </row>
    <row r="397" spans="4:10" x14ac:dyDescent="0.25">
      <c r="D397" s="201" t="str">
        <f t="shared" si="5"/>
        <v/>
      </c>
      <c r="J397" s="201" t="str">
        <f>IFERROR(COUNTIF($C$23:C397,C397)&amp;CHOOSE(MIN(4,COUNTIF($C$23:C397,C397)),"st","nd","rd","th"),"")</f>
        <v/>
      </c>
    </row>
    <row r="398" spans="4:10" x14ac:dyDescent="0.25">
      <c r="D398" s="201" t="str">
        <f t="shared" si="5"/>
        <v/>
      </c>
      <c r="J398" s="201" t="str">
        <f>IFERROR(COUNTIF($C$23:C398,C398)&amp;CHOOSE(MIN(4,COUNTIF($C$23:C398,C398)),"st","nd","rd","th"),"")</f>
        <v/>
      </c>
    </row>
    <row r="399" spans="4:10" x14ac:dyDescent="0.25">
      <c r="D399" s="201" t="str">
        <f t="shared" si="5"/>
        <v/>
      </c>
      <c r="J399" s="201" t="str">
        <f>IFERROR(COUNTIF($C$23:C399,C399)&amp;CHOOSE(MIN(4,COUNTIF($C$23:C399,C399)),"st","nd","rd","th"),"")</f>
        <v/>
      </c>
    </row>
    <row r="400" spans="4:10" x14ac:dyDescent="0.25">
      <c r="D400" s="201" t="str">
        <f t="shared" si="5"/>
        <v/>
      </c>
      <c r="J400" s="201" t="str">
        <f>IFERROR(COUNTIF($C$23:C400,C400)&amp;CHOOSE(MIN(4,COUNTIF($C$23:C400,C400)),"st","nd","rd","th"),"")</f>
        <v/>
      </c>
    </row>
    <row r="401" spans="4:10" x14ac:dyDescent="0.25">
      <c r="D401" s="201" t="str">
        <f t="shared" si="5"/>
        <v/>
      </c>
      <c r="J401" s="201" t="str">
        <f>IFERROR(COUNTIF($C$23:C401,C401)&amp;CHOOSE(MIN(4,COUNTIF($C$23:C401,C401)),"st","nd","rd","th"),"")</f>
        <v/>
      </c>
    </row>
    <row r="402" spans="4:10" x14ac:dyDescent="0.25">
      <c r="D402" s="201" t="str">
        <f t="shared" si="5"/>
        <v/>
      </c>
      <c r="J402" s="201" t="str">
        <f>IFERROR(COUNTIF($C$23:C402,C402)&amp;CHOOSE(MIN(4,COUNTIF($C$23:C402,C402)),"st","nd","rd","th"),"")</f>
        <v/>
      </c>
    </row>
    <row r="403" spans="4:10" x14ac:dyDescent="0.25">
      <c r="D403" s="201" t="str">
        <f t="shared" si="5"/>
        <v/>
      </c>
      <c r="J403" s="201" t="str">
        <f>IFERROR(COUNTIF($C$23:C403,C403)&amp;CHOOSE(MIN(4,COUNTIF($C$23:C403,C403)),"st","nd","rd","th"),"")</f>
        <v/>
      </c>
    </row>
    <row r="404" spans="4:10" x14ac:dyDescent="0.25">
      <c r="D404" s="201" t="str">
        <f t="shared" si="5"/>
        <v/>
      </c>
      <c r="J404" s="201" t="str">
        <f>IFERROR(COUNTIF($C$23:C404,C404)&amp;CHOOSE(MIN(4,COUNTIF($C$23:C404,C404)),"st","nd","rd","th"),"")</f>
        <v/>
      </c>
    </row>
    <row r="405" spans="4:10" x14ac:dyDescent="0.25">
      <c r="D405" s="201" t="str">
        <f t="shared" si="5"/>
        <v/>
      </c>
      <c r="J405" s="201" t="str">
        <f>IFERROR(COUNTIF($C$23:C405,C405)&amp;CHOOSE(MIN(4,COUNTIF($C$23:C405,C405)),"st","nd","rd","th"),"")</f>
        <v/>
      </c>
    </row>
    <row r="406" spans="4:10" x14ac:dyDescent="0.25">
      <c r="D406" s="201" t="str">
        <f t="shared" si="5"/>
        <v/>
      </c>
      <c r="J406" s="201" t="str">
        <f>IFERROR(COUNTIF($C$23:C406,C406)&amp;CHOOSE(MIN(4,COUNTIF($C$23:C406,C406)),"st","nd","rd","th"),"")</f>
        <v/>
      </c>
    </row>
    <row r="407" spans="4:10" x14ac:dyDescent="0.25">
      <c r="D407" s="201" t="str">
        <f t="shared" ref="D407:D470" si="6">IF(B407="","",IF(B407="Province_PLGU","PDPFP","CLUP"))</f>
        <v/>
      </c>
      <c r="J407" s="201" t="str">
        <f>IFERROR(COUNTIF($C$23:C407,C407)&amp;CHOOSE(MIN(4,COUNTIF($C$23:C407,C407)),"st","nd","rd","th"),"")</f>
        <v/>
      </c>
    </row>
    <row r="408" spans="4:10" x14ac:dyDescent="0.25">
      <c r="D408" s="201" t="str">
        <f t="shared" si="6"/>
        <v/>
      </c>
      <c r="J408" s="201" t="str">
        <f>IFERROR(COUNTIF($C$23:C408,C408)&amp;CHOOSE(MIN(4,COUNTIF($C$23:C408,C408)),"st","nd","rd","th"),"")</f>
        <v/>
      </c>
    </row>
    <row r="409" spans="4:10" x14ac:dyDescent="0.25">
      <c r="D409" s="201" t="str">
        <f t="shared" si="6"/>
        <v/>
      </c>
      <c r="J409" s="201" t="str">
        <f>IFERROR(COUNTIF($C$23:C409,C409)&amp;CHOOSE(MIN(4,COUNTIF($C$23:C409,C409)),"st","nd","rd","th"),"")</f>
        <v/>
      </c>
    </row>
    <row r="410" spans="4:10" x14ac:dyDescent="0.25">
      <c r="D410" s="201" t="str">
        <f t="shared" si="6"/>
        <v/>
      </c>
      <c r="J410" s="201" t="str">
        <f>IFERROR(COUNTIF($C$23:C410,C410)&amp;CHOOSE(MIN(4,COUNTIF($C$23:C410,C410)),"st","nd","rd","th"),"")</f>
        <v/>
      </c>
    </row>
    <row r="411" spans="4:10" x14ac:dyDescent="0.25">
      <c r="D411" s="201" t="str">
        <f t="shared" si="6"/>
        <v/>
      </c>
      <c r="J411" s="201" t="str">
        <f>IFERROR(COUNTIF($C$23:C411,C411)&amp;CHOOSE(MIN(4,COUNTIF($C$23:C411,C411)),"st","nd","rd","th"),"")</f>
        <v/>
      </c>
    </row>
    <row r="412" spans="4:10" x14ac:dyDescent="0.25">
      <c r="D412" s="201" t="str">
        <f t="shared" si="6"/>
        <v/>
      </c>
      <c r="J412" s="201" t="str">
        <f>IFERROR(COUNTIF($C$23:C412,C412)&amp;CHOOSE(MIN(4,COUNTIF($C$23:C412,C412)),"st","nd","rd","th"),"")</f>
        <v/>
      </c>
    </row>
    <row r="413" spans="4:10" x14ac:dyDescent="0.25">
      <c r="D413" s="201" t="str">
        <f t="shared" si="6"/>
        <v/>
      </c>
      <c r="J413" s="201" t="str">
        <f>IFERROR(COUNTIF($C$23:C413,C413)&amp;CHOOSE(MIN(4,COUNTIF($C$23:C413,C413)),"st","nd","rd","th"),"")</f>
        <v/>
      </c>
    </row>
    <row r="414" spans="4:10" x14ac:dyDescent="0.25">
      <c r="D414" s="201" t="str">
        <f t="shared" si="6"/>
        <v/>
      </c>
      <c r="J414" s="201" t="str">
        <f>IFERROR(COUNTIF($C$23:C414,C414)&amp;CHOOSE(MIN(4,COUNTIF($C$23:C414,C414)),"st","nd","rd","th"),"")</f>
        <v/>
      </c>
    </row>
    <row r="415" spans="4:10" x14ac:dyDescent="0.25">
      <c r="D415" s="201" t="str">
        <f t="shared" si="6"/>
        <v/>
      </c>
      <c r="J415" s="201" t="str">
        <f>IFERROR(COUNTIF($C$23:C415,C415)&amp;CHOOSE(MIN(4,COUNTIF($C$23:C415,C415)),"st","nd","rd","th"),"")</f>
        <v/>
      </c>
    </row>
    <row r="416" spans="4:10" x14ac:dyDescent="0.25">
      <c r="D416" s="201" t="str">
        <f t="shared" si="6"/>
        <v/>
      </c>
      <c r="J416" s="201" t="str">
        <f>IFERROR(COUNTIF($C$23:C416,C416)&amp;CHOOSE(MIN(4,COUNTIF($C$23:C416,C416)),"st","nd","rd","th"),"")</f>
        <v/>
      </c>
    </row>
    <row r="417" spans="4:10" x14ac:dyDescent="0.25">
      <c r="D417" s="201" t="str">
        <f t="shared" si="6"/>
        <v/>
      </c>
      <c r="J417" s="201" t="str">
        <f>IFERROR(COUNTIF($C$23:C417,C417)&amp;CHOOSE(MIN(4,COUNTIF($C$23:C417,C417)),"st","nd","rd","th"),"")</f>
        <v/>
      </c>
    </row>
    <row r="418" spans="4:10" x14ac:dyDescent="0.25">
      <c r="D418" s="201" t="str">
        <f t="shared" si="6"/>
        <v/>
      </c>
      <c r="J418" s="201" t="str">
        <f>IFERROR(COUNTIF($C$23:C418,C418)&amp;CHOOSE(MIN(4,COUNTIF($C$23:C418,C418)),"st","nd","rd","th"),"")</f>
        <v/>
      </c>
    </row>
    <row r="419" spans="4:10" x14ac:dyDescent="0.25">
      <c r="D419" s="201" t="str">
        <f t="shared" si="6"/>
        <v/>
      </c>
      <c r="J419" s="201" t="str">
        <f>IFERROR(COUNTIF($C$23:C419,C419)&amp;CHOOSE(MIN(4,COUNTIF($C$23:C419,C419)),"st","nd","rd","th"),"")</f>
        <v/>
      </c>
    </row>
    <row r="420" spans="4:10" x14ac:dyDescent="0.25">
      <c r="D420" s="201" t="str">
        <f t="shared" si="6"/>
        <v/>
      </c>
      <c r="J420" s="201" t="str">
        <f>IFERROR(COUNTIF($C$23:C420,C420)&amp;CHOOSE(MIN(4,COUNTIF($C$23:C420,C420)),"st","nd","rd","th"),"")</f>
        <v/>
      </c>
    </row>
    <row r="421" spans="4:10" x14ac:dyDescent="0.25">
      <c r="D421" s="201" t="str">
        <f t="shared" si="6"/>
        <v/>
      </c>
      <c r="J421" s="201" t="str">
        <f>IFERROR(COUNTIF($C$23:C421,C421)&amp;CHOOSE(MIN(4,COUNTIF($C$23:C421,C421)),"st","nd","rd","th"),"")</f>
        <v/>
      </c>
    </row>
    <row r="422" spans="4:10" x14ac:dyDescent="0.25">
      <c r="D422" s="201" t="str">
        <f t="shared" si="6"/>
        <v/>
      </c>
      <c r="J422" s="201" t="str">
        <f>IFERROR(COUNTIF($C$23:C422,C422)&amp;CHOOSE(MIN(4,COUNTIF($C$23:C422,C422)),"st","nd","rd","th"),"")</f>
        <v/>
      </c>
    </row>
    <row r="423" spans="4:10" x14ac:dyDescent="0.25">
      <c r="D423" s="201" t="str">
        <f t="shared" si="6"/>
        <v/>
      </c>
      <c r="J423" s="201" t="str">
        <f>IFERROR(COUNTIF($C$23:C423,C423)&amp;CHOOSE(MIN(4,COUNTIF($C$23:C423,C423)),"st","nd","rd","th"),"")</f>
        <v/>
      </c>
    </row>
    <row r="424" spans="4:10" x14ac:dyDescent="0.25">
      <c r="D424" s="201" t="str">
        <f t="shared" si="6"/>
        <v/>
      </c>
      <c r="J424" s="201" t="str">
        <f>IFERROR(COUNTIF($C$23:C424,C424)&amp;CHOOSE(MIN(4,COUNTIF($C$23:C424,C424)),"st","nd","rd","th"),"")</f>
        <v/>
      </c>
    </row>
    <row r="425" spans="4:10" x14ac:dyDescent="0.25">
      <c r="D425" s="201" t="str">
        <f t="shared" si="6"/>
        <v/>
      </c>
      <c r="J425" s="201" t="str">
        <f>IFERROR(COUNTIF($C$23:C425,C425)&amp;CHOOSE(MIN(4,COUNTIF($C$23:C425,C425)),"st","nd","rd","th"),"")</f>
        <v/>
      </c>
    </row>
    <row r="426" spans="4:10" x14ac:dyDescent="0.25">
      <c r="D426" s="201" t="str">
        <f t="shared" si="6"/>
        <v/>
      </c>
      <c r="J426" s="201" t="str">
        <f>IFERROR(COUNTIF($C$23:C426,C426)&amp;CHOOSE(MIN(4,COUNTIF($C$23:C426,C426)),"st","nd","rd","th"),"")</f>
        <v/>
      </c>
    </row>
    <row r="427" spans="4:10" x14ac:dyDescent="0.25">
      <c r="D427" s="201" t="str">
        <f t="shared" si="6"/>
        <v/>
      </c>
      <c r="J427" s="201" t="str">
        <f>IFERROR(COUNTIF($C$23:C427,C427)&amp;CHOOSE(MIN(4,COUNTIF($C$23:C427,C427)),"st","nd","rd","th"),"")</f>
        <v/>
      </c>
    </row>
    <row r="428" spans="4:10" x14ac:dyDescent="0.25">
      <c r="D428" s="201" t="str">
        <f t="shared" si="6"/>
        <v/>
      </c>
      <c r="J428" s="201" t="str">
        <f>IFERROR(COUNTIF($C$23:C428,C428)&amp;CHOOSE(MIN(4,COUNTIF($C$23:C428,C428)),"st","nd","rd","th"),"")</f>
        <v/>
      </c>
    </row>
    <row r="429" spans="4:10" x14ac:dyDescent="0.25">
      <c r="D429" s="201" t="str">
        <f t="shared" si="6"/>
        <v/>
      </c>
      <c r="J429" s="201" t="str">
        <f>IFERROR(COUNTIF($C$23:C429,C429)&amp;CHOOSE(MIN(4,COUNTIF($C$23:C429,C429)),"st","nd","rd","th"),"")</f>
        <v/>
      </c>
    </row>
    <row r="430" spans="4:10" x14ac:dyDescent="0.25">
      <c r="D430" s="201" t="str">
        <f t="shared" si="6"/>
        <v/>
      </c>
      <c r="J430" s="201" t="str">
        <f>IFERROR(COUNTIF($C$23:C430,C430)&amp;CHOOSE(MIN(4,COUNTIF($C$23:C430,C430)),"st","nd","rd","th"),"")</f>
        <v/>
      </c>
    </row>
    <row r="431" spans="4:10" x14ac:dyDescent="0.25">
      <c r="D431" s="201" t="str">
        <f t="shared" si="6"/>
        <v/>
      </c>
      <c r="J431" s="201" t="str">
        <f>IFERROR(COUNTIF($C$23:C431,C431)&amp;CHOOSE(MIN(4,COUNTIF($C$23:C431,C431)),"st","nd","rd","th"),"")</f>
        <v/>
      </c>
    </row>
    <row r="432" spans="4:10" x14ac:dyDescent="0.25">
      <c r="D432" s="201" t="str">
        <f t="shared" si="6"/>
        <v/>
      </c>
      <c r="J432" s="201" t="str">
        <f>IFERROR(COUNTIF($C$23:C432,C432)&amp;CHOOSE(MIN(4,COUNTIF($C$23:C432,C432)),"st","nd","rd","th"),"")</f>
        <v/>
      </c>
    </row>
    <row r="433" spans="4:10" x14ac:dyDescent="0.25">
      <c r="D433" s="201" t="str">
        <f t="shared" si="6"/>
        <v/>
      </c>
      <c r="J433" s="201" t="str">
        <f>IFERROR(COUNTIF($C$23:C433,C433)&amp;CHOOSE(MIN(4,COUNTIF($C$23:C433,C433)),"st","nd","rd","th"),"")</f>
        <v/>
      </c>
    </row>
    <row r="434" spans="4:10" x14ac:dyDescent="0.25">
      <c r="D434" s="201" t="str">
        <f t="shared" si="6"/>
        <v/>
      </c>
      <c r="J434" s="201" t="str">
        <f>IFERROR(COUNTIF($C$23:C434,C434)&amp;CHOOSE(MIN(4,COUNTIF($C$23:C434,C434)),"st","nd","rd","th"),"")</f>
        <v/>
      </c>
    </row>
    <row r="435" spans="4:10" x14ac:dyDescent="0.25">
      <c r="D435" s="201" t="str">
        <f t="shared" si="6"/>
        <v/>
      </c>
      <c r="J435" s="201" t="str">
        <f>IFERROR(COUNTIF($C$23:C435,C435)&amp;CHOOSE(MIN(4,COUNTIF($C$23:C435,C435)),"st","nd","rd","th"),"")</f>
        <v/>
      </c>
    </row>
    <row r="436" spans="4:10" x14ac:dyDescent="0.25">
      <c r="D436" s="201" t="str">
        <f t="shared" si="6"/>
        <v/>
      </c>
      <c r="J436" s="201" t="str">
        <f>IFERROR(COUNTIF($C$23:C436,C436)&amp;CHOOSE(MIN(4,COUNTIF($C$23:C436,C436)),"st","nd","rd","th"),"")</f>
        <v/>
      </c>
    </row>
    <row r="437" spans="4:10" x14ac:dyDescent="0.25">
      <c r="D437" s="201" t="str">
        <f t="shared" si="6"/>
        <v/>
      </c>
      <c r="J437" s="201" t="str">
        <f>IFERROR(COUNTIF($C$23:C437,C437)&amp;CHOOSE(MIN(4,COUNTIF($C$23:C437,C437)),"st","nd","rd","th"),"")</f>
        <v/>
      </c>
    </row>
    <row r="438" spans="4:10" x14ac:dyDescent="0.25">
      <c r="D438" s="201" t="str">
        <f t="shared" si="6"/>
        <v/>
      </c>
      <c r="J438" s="201" t="str">
        <f>IFERROR(COUNTIF($C$23:C438,C438)&amp;CHOOSE(MIN(4,COUNTIF($C$23:C438,C438)),"st","nd","rd","th"),"")</f>
        <v/>
      </c>
    </row>
    <row r="439" spans="4:10" x14ac:dyDescent="0.25">
      <c r="D439" s="201" t="str">
        <f t="shared" si="6"/>
        <v/>
      </c>
      <c r="J439" s="201" t="str">
        <f>IFERROR(COUNTIF($C$23:C439,C439)&amp;CHOOSE(MIN(4,COUNTIF($C$23:C439,C439)),"st","nd","rd","th"),"")</f>
        <v/>
      </c>
    </row>
    <row r="440" spans="4:10" x14ac:dyDescent="0.25">
      <c r="D440" s="201" t="str">
        <f t="shared" si="6"/>
        <v/>
      </c>
      <c r="J440" s="201" t="str">
        <f>IFERROR(COUNTIF($C$23:C440,C440)&amp;CHOOSE(MIN(4,COUNTIF($C$23:C440,C440)),"st","nd","rd","th"),"")</f>
        <v/>
      </c>
    </row>
    <row r="441" spans="4:10" x14ac:dyDescent="0.25">
      <c r="D441" s="201" t="str">
        <f t="shared" si="6"/>
        <v/>
      </c>
      <c r="J441" s="201" t="str">
        <f>IFERROR(COUNTIF($C$23:C441,C441)&amp;CHOOSE(MIN(4,COUNTIF($C$23:C441,C441)),"st","nd","rd","th"),"")</f>
        <v/>
      </c>
    </row>
    <row r="442" spans="4:10" x14ac:dyDescent="0.25">
      <c r="D442" s="201" t="str">
        <f t="shared" si="6"/>
        <v/>
      </c>
      <c r="J442" s="201" t="str">
        <f>IFERROR(COUNTIF($C$23:C442,C442)&amp;CHOOSE(MIN(4,COUNTIF($C$23:C442,C442)),"st","nd","rd","th"),"")</f>
        <v/>
      </c>
    </row>
    <row r="443" spans="4:10" x14ac:dyDescent="0.25">
      <c r="D443" s="201" t="str">
        <f t="shared" si="6"/>
        <v/>
      </c>
      <c r="J443" s="201" t="str">
        <f>IFERROR(COUNTIF($C$23:C443,C443)&amp;CHOOSE(MIN(4,COUNTIF($C$23:C443,C443)),"st","nd","rd","th"),"")</f>
        <v/>
      </c>
    </row>
    <row r="444" spans="4:10" x14ac:dyDescent="0.25">
      <c r="D444" s="201" t="str">
        <f t="shared" si="6"/>
        <v/>
      </c>
      <c r="J444" s="201" t="str">
        <f>IFERROR(COUNTIF($C$23:C444,C444)&amp;CHOOSE(MIN(4,COUNTIF($C$23:C444,C444)),"st","nd","rd","th"),"")</f>
        <v/>
      </c>
    </row>
    <row r="445" spans="4:10" x14ac:dyDescent="0.25">
      <c r="D445" s="201" t="str">
        <f t="shared" si="6"/>
        <v/>
      </c>
      <c r="J445" s="201" t="str">
        <f>IFERROR(COUNTIF($C$23:C445,C445)&amp;CHOOSE(MIN(4,COUNTIF($C$23:C445,C445)),"st","nd","rd","th"),"")</f>
        <v/>
      </c>
    </row>
    <row r="446" spans="4:10" x14ac:dyDescent="0.25">
      <c r="D446" s="201" t="str">
        <f t="shared" si="6"/>
        <v/>
      </c>
      <c r="J446" s="201" t="str">
        <f>IFERROR(COUNTIF($C$23:C446,C446)&amp;CHOOSE(MIN(4,COUNTIF($C$23:C446,C446)),"st","nd","rd","th"),"")</f>
        <v/>
      </c>
    </row>
    <row r="447" spans="4:10" x14ac:dyDescent="0.25">
      <c r="D447" s="201" t="str">
        <f t="shared" si="6"/>
        <v/>
      </c>
      <c r="J447" s="201" t="str">
        <f>IFERROR(COUNTIF($C$23:C447,C447)&amp;CHOOSE(MIN(4,COUNTIF($C$23:C447,C447)),"st","nd","rd","th"),"")</f>
        <v/>
      </c>
    </row>
    <row r="448" spans="4:10" x14ac:dyDescent="0.25">
      <c r="D448" s="201" t="str">
        <f t="shared" si="6"/>
        <v/>
      </c>
      <c r="J448" s="201" t="str">
        <f>IFERROR(COUNTIF($C$23:C448,C448)&amp;CHOOSE(MIN(4,COUNTIF($C$23:C448,C448)),"st","nd","rd","th"),"")</f>
        <v/>
      </c>
    </row>
    <row r="449" spans="4:10" x14ac:dyDescent="0.25">
      <c r="D449" s="201" t="str">
        <f t="shared" si="6"/>
        <v/>
      </c>
      <c r="J449" s="201" t="str">
        <f>IFERROR(COUNTIF($C$23:C449,C449)&amp;CHOOSE(MIN(4,COUNTIF($C$23:C449,C449)),"st","nd","rd","th"),"")</f>
        <v/>
      </c>
    </row>
    <row r="450" spans="4:10" x14ac:dyDescent="0.25">
      <c r="D450" s="201" t="str">
        <f t="shared" si="6"/>
        <v/>
      </c>
      <c r="J450" s="201" t="str">
        <f>IFERROR(COUNTIF($C$23:C450,C450)&amp;CHOOSE(MIN(4,COUNTIF($C$23:C450,C450)),"st","nd","rd","th"),"")</f>
        <v/>
      </c>
    </row>
    <row r="451" spans="4:10" x14ac:dyDescent="0.25">
      <c r="D451" s="201" t="str">
        <f t="shared" si="6"/>
        <v/>
      </c>
      <c r="J451" s="201" t="str">
        <f>IFERROR(COUNTIF($C$23:C451,C451)&amp;CHOOSE(MIN(4,COUNTIF($C$23:C451,C451)),"st","nd","rd","th"),"")</f>
        <v/>
      </c>
    </row>
    <row r="452" spans="4:10" x14ac:dyDescent="0.25">
      <c r="D452" s="201" t="str">
        <f t="shared" si="6"/>
        <v/>
      </c>
      <c r="J452" s="201" t="str">
        <f>IFERROR(COUNTIF($C$23:C452,C452)&amp;CHOOSE(MIN(4,COUNTIF($C$23:C452,C452)),"st","nd","rd","th"),"")</f>
        <v/>
      </c>
    </row>
    <row r="453" spans="4:10" x14ac:dyDescent="0.25">
      <c r="D453" s="201" t="str">
        <f t="shared" si="6"/>
        <v/>
      </c>
      <c r="J453" s="201" t="str">
        <f>IFERROR(COUNTIF($C$23:C453,C453)&amp;CHOOSE(MIN(4,COUNTIF($C$23:C453,C453)),"st","nd","rd","th"),"")</f>
        <v/>
      </c>
    </row>
    <row r="454" spans="4:10" x14ac:dyDescent="0.25">
      <c r="D454" s="201" t="str">
        <f t="shared" si="6"/>
        <v/>
      </c>
      <c r="J454" s="201" t="str">
        <f>IFERROR(COUNTIF($C$23:C454,C454)&amp;CHOOSE(MIN(4,COUNTIF($C$23:C454,C454)),"st","nd","rd","th"),"")</f>
        <v/>
      </c>
    </row>
    <row r="455" spans="4:10" x14ac:dyDescent="0.25">
      <c r="D455" s="201" t="str">
        <f t="shared" si="6"/>
        <v/>
      </c>
      <c r="J455" s="201" t="str">
        <f>IFERROR(COUNTIF($C$23:C455,C455)&amp;CHOOSE(MIN(4,COUNTIF($C$23:C455,C455)),"st","nd","rd","th"),"")</f>
        <v/>
      </c>
    </row>
    <row r="456" spans="4:10" x14ac:dyDescent="0.25">
      <c r="D456" s="201" t="str">
        <f t="shared" si="6"/>
        <v/>
      </c>
      <c r="J456" s="201" t="str">
        <f>IFERROR(COUNTIF($C$23:C456,C456)&amp;CHOOSE(MIN(4,COUNTIF($C$23:C456,C456)),"st","nd","rd","th"),"")</f>
        <v/>
      </c>
    </row>
    <row r="457" spans="4:10" x14ac:dyDescent="0.25">
      <c r="D457" s="201" t="str">
        <f t="shared" si="6"/>
        <v/>
      </c>
      <c r="J457" s="201" t="str">
        <f>IFERROR(COUNTIF($C$23:C457,C457)&amp;CHOOSE(MIN(4,COUNTIF($C$23:C457,C457)),"st","nd","rd","th"),"")</f>
        <v/>
      </c>
    </row>
    <row r="458" spans="4:10" x14ac:dyDescent="0.25">
      <c r="D458" s="201" t="str">
        <f t="shared" si="6"/>
        <v/>
      </c>
      <c r="J458" s="201" t="str">
        <f>IFERROR(COUNTIF($C$23:C458,C458)&amp;CHOOSE(MIN(4,COUNTIF($C$23:C458,C458)),"st","nd","rd","th"),"")</f>
        <v/>
      </c>
    </row>
    <row r="459" spans="4:10" x14ac:dyDescent="0.25">
      <c r="D459" s="201" t="str">
        <f t="shared" si="6"/>
        <v/>
      </c>
      <c r="J459" s="201" t="str">
        <f>IFERROR(COUNTIF($C$23:C459,C459)&amp;CHOOSE(MIN(4,COUNTIF($C$23:C459,C459)),"st","nd","rd","th"),"")</f>
        <v/>
      </c>
    </row>
    <row r="460" spans="4:10" x14ac:dyDescent="0.25">
      <c r="D460" s="201" t="str">
        <f t="shared" si="6"/>
        <v/>
      </c>
      <c r="J460" s="201" t="str">
        <f>IFERROR(COUNTIF($C$23:C460,C460)&amp;CHOOSE(MIN(4,COUNTIF($C$23:C460,C460)),"st","nd","rd","th"),"")</f>
        <v/>
      </c>
    </row>
    <row r="461" spans="4:10" x14ac:dyDescent="0.25">
      <c r="D461" s="201" t="str">
        <f t="shared" si="6"/>
        <v/>
      </c>
      <c r="J461" s="201" t="str">
        <f>IFERROR(COUNTIF($C$23:C461,C461)&amp;CHOOSE(MIN(4,COUNTIF($C$23:C461,C461)),"st","nd","rd","th"),"")</f>
        <v/>
      </c>
    </row>
    <row r="462" spans="4:10" x14ac:dyDescent="0.25">
      <c r="D462" s="201" t="str">
        <f t="shared" si="6"/>
        <v/>
      </c>
      <c r="J462" s="201" t="str">
        <f>IFERROR(COUNTIF($C$23:C462,C462)&amp;CHOOSE(MIN(4,COUNTIF($C$23:C462,C462)),"st","nd","rd","th"),"")</f>
        <v/>
      </c>
    </row>
    <row r="463" spans="4:10" x14ac:dyDescent="0.25">
      <c r="D463" s="201" t="str">
        <f t="shared" si="6"/>
        <v/>
      </c>
      <c r="J463" s="201" t="str">
        <f>IFERROR(COUNTIF($C$23:C463,C463)&amp;CHOOSE(MIN(4,COUNTIF($C$23:C463,C463)),"st","nd","rd","th"),"")</f>
        <v/>
      </c>
    </row>
    <row r="464" spans="4:10" x14ac:dyDescent="0.25">
      <c r="D464" s="201" t="str">
        <f t="shared" si="6"/>
        <v/>
      </c>
      <c r="J464" s="201" t="str">
        <f>IFERROR(COUNTIF($C$23:C464,C464)&amp;CHOOSE(MIN(4,COUNTIF($C$23:C464,C464)),"st","nd","rd","th"),"")</f>
        <v/>
      </c>
    </row>
    <row r="465" spans="4:10" x14ac:dyDescent="0.25">
      <c r="D465" s="201" t="str">
        <f t="shared" si="6"/>
        <v/>
      </c>
      <c r="J465" s="201" t="str">
        <f>IFERROR(COUNTIF($C$23:C465,C465)&amp;CHOOSE(MIN(4,COUNTIF($C$23:C465,C465)),"st","nd","rd","th"),"")</f>
        <v/>
      </c>
    </row>
    <row r="466" spans="4:10" x14ac:dyDescent="0.25">
      <c r="D466" s="201" t="str">
        <f t="shared" si="6"/>
        <v/>
      </c>
      <c r="J466" s="201" t="str">
        <f>IFERROR(COUNTIF($C$23:C466,C466)&amp;CHOOSE(MIN(4,COUNTIF($C$23:C466,C466)),"st","nd","rd","th"),"")</f>
        <v/>
      </c>
    </row>
    <row r="467" spans="4:10" x14ac:dyDescent="0.25">
      <c r="D467" s="201" t="str">
        <f t="shared" si="6"/>
        <v/>
      </c>
      <c r="J467" s="201" t="str">
        <f>IFERROR(COUNTIF($C$23:C467,C467)&amp;CHOOSE(MIN(4,COUNTIF($C$23:C467,C467)),"st","nd","rd","th"),"")</f>
        <v/>
      </c>
    </row>
    <row r="468" spans="4:10" x14ac:dyDescent="0.25">
      <c r="D468" s="201" t="str">
        <f t="shared" si="6"/>
        <v/>
      </c>
      <c r="J468" s="201" t="str">
        <f>IFERROR(COUNTIF($C$23:C468,C468)&amp;CHOOSE(MIN(4,COUNTIF($C$23:C468,C468)),"st","nd","rd","th"),"")</f>
        <v/>
      </c>
    </row>
    <row r="469" spans="4:10" x14ac:dyDescent="0.25">
      <c r="D469" s="201" t="str">
        <f t="shared" si="6"/>
        <v/>
      </c>
      <c r="J469" s="201" t="str">
        <f>IFERROR(COUNTIF($C$23:C469,C469)&amp;CHOOSE(MIN(4,COUNTIF($C$23:C469,C469)),"st","nd","rd","th"),"")</f>
        <v/>
      </c>
    </row>
    <row r="470" spans="4:10" x14ac:dyDescent="0.25">
      <c r="D470" s="201" t="str">
        <f t="shared" si="6"/>
        <v/>
      </c>
      <c r="J470" s="201" t="str">
        <f>IFERROR(COUNTIF($C$23:C470,C470)&amp;CHOOSE(MIN(4,COUNTIF($C$23:C470,C470)),"st","nd","rd","th"),"")</f>
        <v/>
      </c>
    </row>
    <row r="471" spans="4:10" x14ac:dyDescent="0.25">
      <c r="D471" s="201" t="str">
        <f t="shared" ref="D471:D534" si="7">IF(B471="","",IF(B471="Province_PLGU","PDPFP","CLUP"))</f>
        <v/>
      </c>
      <c r="J471" s="201" t="str">
        <f>IFERROR(COUNTIF($C$23:C471,C471)&amp;CHOOSE(MIN(4,COUNTIF($C$23:C471,C471)),"st","nd","rd","th"),"")</f>
        <v/>
      </c>
    </row>
    <row r="472" spans="4:10" x14ac:dyDescent="0.25">
      <c r="D472" s="201" t="str">
        <f t="shared" si="7"/>
        <v/>
      </c>
      <c r="J472" s="201" t="str">
        <f>IFERROR(COUNTIF($C$23:C472,C472)&amp;CHOOSE(MIN(4,COUNTIF($C$23:C472,C472)),"st","nd","rd","th"),"")</f>
        <v/>
      </c>
    </row>
    <row r="473" spans="4:10" x14ac:dyDescent="0.25">
      <c r="D473" s="201" t="str">
        <f t="shared" si="7"/>
        <v/>
      </c>
      <c r="J473" s="201" t="str">
        <f>IFERROR(COUNTIF($C$23:C473,C473)&amp;CHOOSE(MIN(4,COUNTIF($C$23:C473,C473)),"st","nd","rd","th"),"")</f>
        <v/>
      </c>
    </row>
    <row r="474" spans="4:10" x14ac:dyDescent="0.25">
      <c r="D474" s="201" t="str">
        <f t="shared" si="7"/>
        <v/>
      </c>
      <c r="J474" s="201" t="str">
        <f>IFERROR(COUNTIF($C$23:C474,C474)&amp;CHOOSE(MIN(4,COUNTIF($C$23:C474,C474)),"st","nd","rd","th"),"")</f>
        <v/>
      </c>
    </row>
    <row r="475" spans="4:10" x14ac:dyDescent="0.25">
      <c r="D475" s="201" t="str">
        <f t="shared" si="7"/>
        <v/>
      </c>
      <c r="J475" s="201" t="str">
        <f>IFERROR(COUNTIF($C$23:C475,C475)&amp;CHOOSE(MIN(4,COUNTIF($C$23:C475,C475)),"st","nd","rd","th"),"")</f>
        <v/>
      </c>
    </row>
    <row r="476" spans="4:10" x14ac:dyDescent="0.25">
      <c r="D476" s="201" t="str">
        <f t="shared" si="7"/>
        <v/>
      </c>
      <c r="J476" s="201" t="str">
        <f>IFERROR(COUNTIF($C$23:C476,C476)&amp;CHOOSE(MIN(4,COUNTIF($C$23:C476,C476)),"st","nd","rd","th"),"")</f>
        <v/>
      </c>
    </row>
    <row r="477" spans="4:10" x14ac:dyDescent="0.25">
      <c r="D477" s="201" t="str">
        <f t="shared" si="7"/>
        <v/>
      </c>
      <c r="J477" s="201" t="str">
        <f>IFERROR(COUNTIF($C$23:C477,C477)&amp;CHOOSE(MIN(4,COUNTIF($C$23:C477,C477)),"st","nd","rd","th"),"")</f>
        <v/>
      </c>
    </row>
    <row r="478" spans="4:10" x14ac:dyDescent="0.25">
      <c r="D478" s="201" t="str">
        <f t="shared" si="7"/>
        <v/>
      </c>
      <c r="J478" s="201" t="str">
        <f>IFERROR(COUNTIF($C$23:C478,C478)&amp;CHOOSE(MIN(4,COUNTIF($C$23:C478,C478)),"st","nd","rd","th"),"")</f>
        <v/>
      </c>
    </row>
    <row r="479" spans="4:10" x14ac:dyDescent="0.25">
      <c r="D479" s="201" t="str">
        <f t="shared" si="7"/>
        <v/>
      </c>
      <c r="J479" s="201" t="str">
        <f>IFERROR(COUNTIF($C$23:C479,C479)&amp;CHOOSE(MIN(4,COUNTIF($C$23:C479,C479)),"st","nd","rd","th"),"")</f>
        <v/>
      </c>
    </row>
    <row r="480" spans="4:10" x14ac:dyDescent="0.25">
      <c r="D480" s="201" t="str">
        <f t="shared" si="7"/>
        <v/>
      </c>
      <c r="J480" s="201" t="str">
        <f>IFERROR(COUNTIF($C$23:C480,C480)&amp;CHOOSE(MIN(4,COUNTIF($C$23:C480,C480)),"st","nd","rd","th"),"")</f>
        <v/>
      </c>
    </row>
    <row r="481" spans="4:10" x14ac:dyDescent="0.25">
      <c r="D481" s="201" t="str">
        <f t="shared" si="7"/>
        <v/>
      </c>
      <c r="J481" s="201" t="str">
        <f>IFERROR(COUNTIF($C$23:C481,C481)&amp;CHOOSE(MIN(4,COUNTIF($C$23:C481,C481)),"st","nd","rd","th"),"")</f>
        <v/>
      </c>
    </row>
    <row r="482" spans="4:10" x14ac:dyDescent="0.25">
      <c r="D482" s="201" t="str">
        <f t="shared" si="7"/>
        <v/>
      </c>
      <c r="J482" s="201" t="str">
        <f>IFERROR(COUNTIF($C$23:C482,C482)&amp;CHOOSE(MIN(4,COUNTIF($C$23:C482,C482)),"st","nd","rd","th"),"")</f>
        <v/>
      </c>
    </row>
    <row r="483" spans="4:10" x14ac:dyDescent="0.25">
      <c r="D483" s="201" t="str">
        <f t="shared" si="7"/>
        <v/>
      </c>
      <c r="J483" s="201" t="str">
        <f>IFERROR(COUNTIF($C$23:C483,C483)&amp;CHOOSE(MIN(4,COUNTIF($C$23:C483,C483)),"st","nd","rd","th"),"")</f>
        <v/>
      </c>
    </row>
    <row r="484" spans="4:10" x14ac:dyDescent="0.25">
      <c r="D484" s="201" t="str">
        <f t="shared" si="7"/>
        <v/>
      </c>
      <c r="J484" s="201" t="str">
        <f>IFERROR(COUNTIF($C$23:C484,C484)&amp;CHOOSE(MIN(4,COUNTIF($C$23:C484,C484)),"st","nd","rd","th"),"")</f>
        <v/>
      </c>
    </row>
    <row r="485" spans="4:10" x14ac:dyDescent="0.25">
      <c r="D485" s="201" t="str">
        <f t="shared" si="7"/>
        <v/>
      </c>
      <c r="J485" s="201" t="str">
        <f>IFERROR(COUNTIF($C$23:C485,C485)&amp;CHOOSE(MIN(4,COUNTIF($C$23:C485,C485)),"st","nd","rd","th"),"")</f>
        <v/>
      </c>
    </row>
    <row r="486" spans="4:10" x14ac:dyDescent="0.25">
      <c r="D486" s="201" t="str">
        <f t="shared" si="7"/>
        <v/>
      </c>
      <c r="J486" s="201" t="str">
        <f>IFERROR(COUNTIF($C$23:C486,C486)&amp;CHOOSE(MIN(4,COUNTIF($C$23:C486,C486)),"st","nd","rd","th"),"")</f>
        <v/>
      </c>
    </row>
    <row r="487" spans="4:10" x14ac:dyDescent="0.25">
      <c r="D487" s="201" t="str">
        <f t="shared" si="7"/>
        <v/>
      </c>
      <c r="J487" s="201" t="str">
        <f>IFERROR(COUNTIF($C$23:C487,C487)&amp;CHOOSE(MIN(4,COUNTIF($C$23:C487,C487)),"st","nd","rd","th"),"")</f>
        <v/>
      </c>
    </row>
    <row r="488" spans="4:10" x14ac:dyDescent="0.25">
      <c r="D488" s="201" t="str">
        <f t="shared" si="7"/>
        <v/>
      </c>
      <c r="J488" s="201" t="str">
        <f>IFERROR(COUNTIF($C$23:C488,C488)&amp;CHOOSE(MIN(4,COUNTIF($C$23:C488,C488)),"st","nd","rd","th"),"")</f>
        <v/>
      </c>
    </row>
    <row r="489" spans="4:10" x14ac:dyDescent="0.25">
      <c r="D489" s="201" t="str">
        <f t="shared" si="7"/>
        <v/>
      </c>
      <c r="J489" s="201" t="str">
        <f>IFERROR(COUNTIF($C$23:C489,C489)&amp;CHOOSE(MIN(4,COUNTIF($C$23:C489,C489)),"st","nd","rd","th"),"")</f>
        <v/>
      </c>
    </row>
    <row r="490" spans="4:10" x14ac:dyDescent="0.25">
      <c r="D490" s="201" t="str">
        <f t="shared" si="7"/>
        <v/>
      </c>
      <c r="J490" s="201" t="str">
        <f>IFERROR(COUNTIF($C$23:C490,C490)&amp;CHOOSE(MIN(4,COUNTIF($C$23:C490,C490)),"st","nd","rd","th"),"")</f>
        <v/>
      </c>
    </row>
    <row r="491" spans="4:10" x14ac:dyDescent="0.25">
      <c r="D491" s="201" t="str">
        <f t="shared" si="7"/>
        <v/>
      </c>
      <c r="J491" s="201" t="str">
        <f>IFERROR(COUNTIF($C$23:C491,C491)&amp;CHOOSE(MIN(4,COUNTIF($C$23:C491,C491)),"st","nd","rd","th"),"")</f>
        <v/>
      </c>
    </row>
    <row r="492" spans="4:10" x14ac:dyDescent="0.25">
      <c r="D492" s="201" t="str">
        <f t="shared" si="7"/>
        <v/>
      </c>
      <c r="J492" s="201" t="str">
        <f>IFERROR(COUNTIF($C$23:C492,C492)&amp;CHOOSE(MIN(4,COUNTIF($C$23:C492,C492)),"st","nd","rd","th"),"")</f>
        <v/>
      </c>
    </row>
    <row r="493" spans="4:10" x14ac:dyDescent="0.25">
      <c r="D493" s="201" t="str">
        <f t="shared" si="7"/>
        <v/>
      </c>
      <c r="J493" s="201" t="str">
        <f>IFERROR(COUNTIF($C$23:C493,C493)&amp;CHOOSE(MIN(4,COUNTIF($C$23:C493,C493)),"st","nd","rd","th"),"")</f>
        <v/>
      </c>
    </row>
    <row r="494" spans="4:10" x14ac:dyDescent="0.25">
      <c r="D494" s="201" t="str">
        <f t="shared" si="7"/>
        <v/>
      </c>
      <c r="J494" s="201" t="str">
        <f>IFERROR(COUNTIF($C$23:C494,C494)&amp;CHOOSE(MIN(4,COUNTIF($C$23:C494,C494)),"st","nd","rd","th"),"")</f>
        <v/>
      </c>
    </row>
    <row r="495" spans="4:10" x14ac:dyDescent="0.25">
      <c r="D495" s="201" t="str">
        <f t="shared" si="7"/>
        <v/>
      </c>
      <c r="J495" s="201" t="str">
        <f>IFERROR(COUNTIF($C$23:C495,C495)&amp;CHOOSE(MIN(4,COUNTIF($C$23:C495,C495)),"st","nd","rd","th"),"")</f>
        <v/>
      </c>
    </row>
    <row r="496" spans="4:10" x14ac:dyDescent="0.25">
      <c r="D496" s="201" t="str">
        <f t="shared" si="7"/>
        <v/>
      </c>
      <c r="J496" s="201" t="str">
        <f>IFERROR(COUNTIF($C$23:C496,C496)&amp;CHOOSE(MIN(4,COUNTIF($C$23:C496,C496)),"st","nd","rd","th"),"")</f>
        <v/>
      </c>
    </row>
    <row r="497" spans="4:10" x14ac:dyDescent="0.25">
      <c r="D497" s="201" t="str">
        <f t="shared" si="7"/>
        <v/>
      </c>
      <c r="J497" s="201" t="str">
        <f>IFERROR(COUNTIF($C$23:C497,C497)&amp;CHOOSE(MIN(4,COUNTIF($C$23:C497,C497)),"st","nd","rd","th"),"")</f>
        <v/>
      </c>
    </row>
    <row r="498" spans="4:10" x14ac:dyDescent="0.25">
      <c r="D498" s="201" t="str">
        <f t="shared" si="7"/>
        <v/>
      </c>
      <c r="J498" s="201" t="str">
        <f>IFERROR(COUNTIF($C$23:C498,C498)&amp;CHOOSE(MIN(4,COUNTIF($C$23:C498,C498)),"st","nd","rd","th"),"")</f>
        <v/>
      </c>
    </row>
    <row r="499" spans="4:10" x14ac:dyDescent="0.25">
      <c r="D499" s="201" t="str">
        <f t="shared" si="7"/>
        <v/>
      </c>
      <c r="J499" s="201" t="str">
        <f>IFERROR(COUNTIF($C$23:C499,C499)&amp;CHOOSE(MIN(4,COUNTIF($C$23:C499,C499)),"st","nd","rd","th"),"")</f>
        <v/>
      </c>
    </row>
    <row r="500" spans="4:10" x14ac:dyDescent="0.25">
      <c r="D500" s="201" t="str">
        <f t="shared" si="7"/>
        <v/>
      </c>
      <c r="J500" s="201" t="str">
        <f>IFERROR(COUNTIF($C$23:C500,C500)&amp;CHOOSE(MIN(4,COUNTIF($C$23:C500,C500)),"st","nd","rd","th"),"")</f>
        <v/>
      </c>
    </row>
    <row r="501" spans="4:10" x14ac:dyDescent="0.25">
      <c r="D501" s="201" t="str">
        <f t="shared" si="7"/>
        <v/>
      </c>
      <c r="J501" s="201" t="str">
        <f>IFERROR(COUNTIF($C$23:C501,C501)&amp;CHOOSE(MIN(4,COUNTIF($C$23:C501,C501)),"st","nd","rd","th"),"")</f>
        <v/>
      </c>
    </row>
    <row r="502" spans="4:10" x14ac:dyDescent="0.25">
      <c r="D502" s="201" t="str">
        <f t="shared" si="7"/>
        <v/>
      </c>
      <c r="J502" s="201" t="str">
        <f>IFERROR(COUNTIF($C$23:C502,C502)&amp;CHOOSE(MIN(4,COUNTIF($C$23:C502,C502)),"st","nd","rd","th"),"")</f>
        <v/>
      </c>
    </row>
    <row r="503" spans="4:10" x14ac:dyDescent="0.25">
      <c r="D503" s="201" t="str">
        <f t="shared" si="7"/>
        <v/>
      </c>
      <c r="J503" s="201" t="str">
        <f>IFERROR(COUNTIF($C$23:C503,C503)&amp;CHOOSE(MIN(4,COUNTIF($C$23:C503,C503)),"st","nd","rd","th"),"")</f>
        <v/>
      </c>
    </row>
    <row r="504" spans="4:10" x14ac:dyDescent="0.25">
      <c r="D504" s="201" t="str">
        <f t="shared" si="7"/>
        <v/>
      </c>
      <c r="J504" s="201" t="str">
        <f>IFERROR(COUNTIF($C$23:C504,C504)&amp;CHOOSE(MIN(4,COUNTIF($C$23:C504,C504)),"st","nd","rd","th"),"")</f>
        <v/>
      </c>
    </row>
    <row r="505" spans="4:10" x14ac:dyDescent="0.25">
      <c r="D505" s="201" t="str">
        <f t="shared" si="7"/>
        <v/>
      </c>
      <c r="J505" s="201" t="str">
        <f>IFERROR(COUNTIF($C$23:C505,C505)&amp;CHOOSE(MIN(4,COUNTIF($C$23:C505,C505)),"st","nd","rd","th"),"")</f>
        <v/>
      </c>
    </row>
    <row r="506" spans="4:10" x14ac:dyDescent="0.25">
      <c r="D506" s="201" t="str">
        <f t="shared" si="7"/>
        <v/>
      </c>
      <c r="J506" s="201" t="str">
        <f>IFERROR(COUNTIF($C$23:C506,C506)&amp;CHOOSE(MIN(4,COUNTIF($C$23:C506,C506)),"st","nd","rd","th"),"")</f>
        <v/>
      </c>
    </row>
    <row r="507" spans="4:10" x14ac:dyDescent="0.25">
      <c r="D507" s="201" t="str">
        <f t="shared" si="7"/>
        <v/>
      </c>
      <c r="J507" s="201" t="str">
        <f>IFERROR(COUNTIF($C$23:C507,C507)&amp;CHOOSE(MIN(4,COUNTIF($C$23:C507,C507)),"st","nd","rd","th"),"")</f>
        <v/>
      </c>
    </row>
    <row r="508" spans="4:10" x14ac:dyDescent="0.25">
      <c r="D508" s="201" t="str">
        <f t="shared" si="7"/>
        <v/>
      </c>
      <c r="J508" s="201" t="str">
        <f>IFERROR(COUNTIF($C$23:C508,C508)&amp;CHOOSE(MIN(4,COUNTIF($C$23:C508,C508)),"st","nd","rd","th"),"")</f>
        <v/>
      </c>
    </row>
    <row r="509" spans="4:10" x14ac:dyDescent="0.25">
      <c r="D509" s="201" t="str">
        <f t="shared" si="7"/>
        <v/>
      </c>
      <c r="J509" s="201" t="str">
        <f>IFERROR(COUNTIF($C$23:C509,C509)&amp;CHOOSE(MIN(4,COUNTIF($C$23:C509,C509)),"st","nd","rd","th"),"")</f>
        <v/>
      </c>
    </row>
    <row r="510" spans="4:10" x14ac:dyDescent="0.25">
      <c r="D510" s="201" t="str">
        <f t="shared" si="7"/>
        <v/>
      </c>
      <c r="J510" s="201" t="str">
        <f>IFERROR(COUNTIF($C$23:C510,C510)&amp;CHOOSE(MIN(4,COUNTIF($C$23:C510,C510)),"st","nd","rd","th"),"")</f>
        <v/>
      </c>
    </row>
    <row r="511" spans="4:10" x14ac:dyDescent="0.25">
      <c r="D511" s="201" t="str">
        <f t="shared" si="7"/>
        <v/>
      </c>
      <c r="J511" s="201" t="str">
        <f>IFERROR(COUNTIF($C$23:C511,C511)&amp;CHOOSE(MIN(4,COUNTIF($C$23:C511,C511)),"st","nd","rd","th"),"")</f>
        <v/>
      </c>
    </row>
    <row r="512" spans="4:10" x14ac:dyDescent="0.25">
      <c r="D512" s="201" t="str">
        <f t="shared" si="7"/>
        <v/>
      </c>
      <c r="J512" s="201" t="str">
        <f>IFERROR(COUNTIF($C$23:C512,C512)&amp;CHOOSE(MIN(4,COUNTIF($C$23:C512,C512)),"st","nd","rd","th"),"")</f>
        <v/>
      </c>
    </row>
    <row r="513" spans="4:10" x14ac:dyDescent="0.25">
      <c r="D513" s="201" t="str">
        <f t="shared" si="7"/>
        <v/>
      </c>
      <c r="J513" s="201" t="str">
        <f>IFERROR(COUNTIF($C$23:C513,C513)&amp;CHOOSE(MIN(4,COUNTIF($C$23:C513,C513)),"st","nd","rd","th"),"")</f>
        <v/>
      </c>
    </row>
    <row r="514" spans="4:10" x14ac:dyDescent="0.25">
      <c r="D514" s="201" t="str">
        <f t="shared" si="7"/>
        <v/>
      </c>
      <c r="J514" s="201" t="str">
        <f>IFERROR(COUNTIF($C$23:C514,C514)&amp;CHOOSE(MIN(4,COUNTIF($C$23:C514,C514)),"st","nd","rd","th"),"")</f>
        <v/>
      </c>
    </row>
    <row r="515" spans="4:10" x14ac:dyDescent="0.25">
      <c r="D515" s="201" t="str">
        <f t="shared" si="7"/>
        <v/>
      </c>
      <c r="J515" s="201" t="str">
        <f>IFERROR(COUNTIF($C$23:C515,C515)&amp;CHOOSE(MIN(4,COUNTIF($C$23:C515,C515)),"st","nd","rd","th"),"")</f>
        <v/>
      </c>
    </row>
    <row r="516" spans="4:10" x14ac:dyDescent="0.25">
      <c r="D516" s="201" t="str">
        <f t="shared" si="7"/>
        <v/>
      </c>
      <c r="J516" s="201" t="str">
        <f>IFERROR(COUNTIF($C$23:C516,C516)&amp;CHOOSE(MIN(4,COUNTIF($C$23:C516,C516)),"st","nd","rd","th"),"")</f>
        <v/>
      </c>
    </row>
    <row r="517" spans="4:10" x14ac:dyDescent="0.25">
      <c r="D517" s="201" t="str">
        <f t="shared" si="7"/>
        <v/>
      </c>
      <c r="J517" s="201" t="str">
        <f>IFERROR(COUNTIF($C$23:C517,C517)&amp;CHOOSE(MIN(4,COUNTIF($C$23:C517,C517)),"st","nd","rd","th"),"")</f>
        <v/>
      </c>
    </row>
    <row r="518" spans="4:10" x14ac:dyDescent="0.25">
      <c r="D518" s="201" t="str">
        <f t="shared" si="7"/>
        <v/>
      </c>
      <c r="J518" s="201" t="str">
        <f>IFERROR(COUNTIF($C$23:C518,C518)&amp;CHOOSE(MIN(4,COUNTIF($C$23:C518,C518)),"st","nd","rd","th"),"")</f>
        <v/>
      </c>
    </row>
    <row r="519" spans="4:10" x14ac:dyDescent="0.25">
      <c r="D519" s="201" t="str">
        <f t="shared" si="7"/>
        <v/>
      </c>
      <c r="J519" s="201" t="str">
        <f>IFERROR(COUNTIF($C$23:C519,C519)&amp;CHOOSE(MIN(4,COUNTIF($C$23:C519,C519)),"st","nd","rd","th"),"")</f>
        <v/>
      </c>
    </row>
    <row r="520" spans="4:10" x14ac:dyDescent="0.25">
      <c r="D520" s="201" t="str">
        <f t="shared" si="7"/>
        <v/>
      </c>
      <c r="J520" s="201" t="str">
        <f>IFERROR(COUNTIF($C$23:C520,C520)&amp;CHOOSE(MIN(4,COUNTIF($C$23:C520,C520)),"st","nd","rd","th"),"")</f>
        <v/>
      </c>
    </row>
    <row r="521" spans="4:10" x14ac:dyDescent="0.25">
      <c r="D521" s="201" t="str">
        <f t="shared" si="7"/>
        <v/>
      </c>
      <c r="J521" s="201" t="str">
        <f>IFERROR(COUNTIF($C$23:C521,C521)&amp;CHOOSE(MIN(4,COUNTIF($C$23:C521,C521)),"st","nd","rd","th"),"")</f>
        <v/>
      </c>
    </row>
    <row r="522" spans="4:10" x14ac:dyDescent="0.25">
      <c r="D522" s="201" t="str">
        <f t="shared" si="7"/>
        <v/>
      </c>
      <c r="J522" s="201" t="str">
        <f>IFERROR(COUNTIF($C$23:C522,C522)&amp;CHOOSE(MIN(4,COUNTIF($C$23:C522,C522)),"st","nd","rd","th"),"")</f>
        <v/>
      </c>
    </row>
    <row r="523" spans="4:10" x14ac:dyDescent="0.25">
      <c r="D523" s="201" t="str">
        <f t="shared" si="7"/>
        <v/>
      </c>
      <c r="J523" s="201" t="str">
        <f>IFERROR(COUNTIF($C$23:C523,C523)&amp;CHOOSE(MIN(4,COUNTIF($C$23:C523,C523)),"st","nd","rd","th"),"")</f>
        <v/>
      </c>
    </row>
    <row r="524" spans="4:10" x14ac:dyDescent="0.25">
      <c r="D524" s="201" t="str">
        <f t="shared" si="7"/>
        <v/>
      </c>
      <c r="J524" s="201" t="str">
        <f>IFERROR(COUNTIF($C$23:C524,C524)&amp;CHOOSE(MIN(4,COUNTIF($C$23:C524,C524)),"st","nd","rd","th"),"")</f>
        <v/>
      </c>
    </row>
    <row r="525" spans="4:10" x14ac:dyDescent="0.25">
      <c r="D525" s="201" t="str">
        <f t="shared" si="7"/>
        <v/>
      </c>
      <c r="J525" s="201" t="str">
        <f>IFERROR(COUNTIF($C$23:C525,C525)&amp;CHOOSE(MIN(4,COUNTIF($C$23:C525,C525)),"st","nd","rd","th"),"")</f>
        <v/>
      </c>
    </row>
    <row r="526" spans="4:10" x14ac:dyDescent="0.25">
      <c r="D526" s="201" t="str">
        <f t="shared" si="7"/>
        <v/>
      </c>
      <c r="J526" s="201" t="str">
        <f>IFERROR(COUNTIF($C$23:C526,C526)&amp;CHOOSE(MIN(4,COUNTIF($C$23:C526,C526)),"st","nd","rd","th"),"")</f>
        <v/>
      </c>
    </row>
    <row r="527" spans="4:10" x14ac:dyDescent="0.25">
      <c r="D527" s="201" t="str">
        <f t="shared" si="7"/>
        <v/>
      </c>
      <c r="J527" s="201" t="str">
        <f>IFERROR(COUNTIF($C$23:C527,C527)&amp;CHOOSE(MIN(4,COUNTIF($C$23:C527,C527)),"st","nd","rd","th"),"")</f>
        <v/>
      </c>
    </row>
    <row r="528" spans="4:10" x14ac:dyDescent="0.25">
      <c r="D528" s="201" t="str">
        <f t="shared" si="7"/>
        <v/>
      </c>
      <c r="J528" s="201" t="str">
        <f>IFERROR(COUNTIF($C$23:C528,C528)&amp;CHOOSE(MIN(4,COUNTIF($C$23:C528,C528)),"st","nd","rd","th"),"")</f>
        <v/>
      </c>
    </row>
    <row r="529" spans="4:10" x14ac:dyDescent="0.25">
      <c r="D529" s="201" t="str">
        <f t="shared" si="7"/>
        <v/>
      </c>
      <c r="J529" s="201" t="str">
        <f>IFERROR(COUNTIF($C$23:C529,C529)&amp;CHOOSE(MIN(4,COUNTIF($C$23:C529,C529)),"st","nd","rd","th"),"")</f>
        <v/>
      </c>
    </row>
    <row r="530" spans="4:10" x14ac:dyDescent="0.25">
      <c r="D530" s="201" t="str">
        <f t="shared" si="7"/>
        <v/>
      </c>
      <c r="J530" s="201" t="str">
        <f>IFERROR(COUNTIF($C$23:C530,C530)&amp;CHOOSE(MIN(4,COUNTIF($C$23:C530,C530)),"st","nd","rd","th"),"")</f>
        <v/>
      </c>
    </row>
    <row r="531" spans="4:10" x14ac:dyDescent="0.25">
      <c r="D531" s="201" t="str">
        <f t="shared" si="7"/>
        <v/>
      </c>
      <c r="J531" s="201" t="str">
        <f>IFERROR(COUNTIF($C$23:C531,C531)&amp;CHOOSE(MIN(4,COUNTIF($C$23:C531,C531)),"st","nd","rd","th"),"")</f>
        <v/>
      </c>
    </row>
    <row r="532" spans="4:10" x14ac:dyDescent="0.25">
      <c r="D532" s="201" t="str">
        <f t="shared" si="7"/>
        <v/>
      </c>
      <c r="J532" s="201" t="str">
        <f>IFERROR(COUNTIF($C$23:C532,C532)&amp;CHOOSE(MIN(4,COUNTIF($C$23:C532,C532)),"st","nd","rd","th"),"")</f>
        <v/>
      </c>
    </row>
    <row r="533" spans="4:10" x14ac:dyDescent="0.25">
      <c r="D533" s="201" t="str">
        <f t="shared" si="7"/>
        <v/>
      </c>
      <c r="J533" s="201" t="str">
        <f>IFERROR(COUNTIF($C$23:C533,C533)&amp;CHOOSE(MIN(4,COUNTIF($C$23:C533,C533)),"st","nd","rd","th"),"")</f>
        <v/>
      </c>
    </row>
    <row r="534" spans="4:10" x14ac:dyDescent="0.25">
      <c r="D534" s="201" t="str">
        <f t="shared" si="7"/>
        <v/>
      </c>
      <c r="J534" s="201" t="str">
        <f>IFERROR(COUNTIF($C$23:C534,C534)&amp;CHOOSE(MIN(4,COUNTIF($C$23:C534,C534)),"st","nd","rd","th"),"")</f>
        <v/>
      </c>
    </row>
    <row r="535" spans="4:10" x14ac:dyDescent="0.25">
      <c r="D535" s="201" t="str">
        <f t="shared" ref="D535:D598" si="8">IF(B535="","",IF(B535="Province_PLGU","PDPFP","CLUP"))</f>
        <v/>
      </c>
      <c r="J535" s="201" t="str">
        <f>IFERROR(COUNTIF($C$23:C535,C535)&amp;CHOOSE(MIN(4,COUNTIF($C$23:C535,C535)),"st","nd","rd","th"),"")</f>
        <v/>
      </c>
    </row>
    <row r="536" spans="4:10" x14ac:dyDescent="0.25">
      <c r="D536" s="201" t="str">
        <f t="shared" si="8"/>
        <v/>
      </c>
      <c r="J536" s="201" t="str">
        <f>IFERROR(COUNTIF($C$23:C536,C536)&amp;CHOOSE(MIN(4,COUNTIF($C$23:C536,C536)),"st","nd","rd","th"),"")</f>
        <v/>
      </c>
    </row>
    <row r="537" spans="4:10" x14ac:dyDescent="0.25">
      <c r="D537" s="201" t="str">
        <f t="shared" si="8"/>
        <v/>
      </c>
      <c r="J537" s="201" t="str">
        <f>IFERROR(COUNTIF($C$23:C537,C537)&amp;CHOOSE(MIN(4,COUNTIF($C$23:C537,C537)),"st","nd","rd","th"),"")</f>
        <v/>
      </c>
    </row>
    <row r="538" spans="4:10" x14ac:dyDescent="0.25">
      <c r="D538" s="201" t="str">
        <f t="shared" si="8"/>
        <v/>
      </c>
      <c r="J538" s="201" t="str">
        <f>IFERROR(COUNTIF($C$23:C538,C538)&amp;CHOOSE(MIN(4,COUNTIF($C$23:C538,C538)),"st","nd","rd","th"),"")</f>
        <v/>
      </c>
    </row>
    <row r="539" spans="4:10" x14ac:dyDescent="0.25">
      <c r="D539" s="201" t="str">
        <f t="shared" si="8"/>
        <v/>
      </c>
      <c r="J539" s="201" t="str">
        <f>IFERROR(COUNTIF($C$23:C539,C539)&amp;CHOOSE(MIN(4,COUNTIF($C$23:C539,C539)),"st","nd","rd","th"),"")</f>
        <v/>
      </c>
    </row>
    <row r="540" spans="4:10" x14ac:dyDescent="0.25">
      <c r="D540" s="201" t="str">
        <f t="shared" si="8"/>
        <v/>
      </c>
      <c r="J540" s="201" t="str">
        <f>IFERROR(COUNTIF($C$23:C540,C540)&amp;CHOOSE(MIN(4,COUNTIF($C$23:C540,C540)),"st","nd","rd","th"),"")</f>
        <v/>
      </c>
    </row>
    <row r="541" spans="4:10" x14ac:dyDescent="0.25">
      <c r="D541" s="201" t="str">
        <f t="shared" si="8"/>
        <v/>
      </c>
      <c r="J541" s="201" t="str">
        <f>IFERROR(COUNTIF($C$23:C541,C541)&amp;CHOOSE(MIN(4,COUNTIF($C$23:C541,C541)),"st","nd","rd","th"),"")</f>
        <v/>
      </c>
    </row>
    <row r="542" spans="4:10" x14ac:dyDescent="0.25">
      <c r="D542" s="201" t="str">
        <f t="shared" si="8"/>
        <v/>
      </c>
      <c r="J542" s="201" t="str">
        <f>IFERROR(COUNTIF($C$23:C542,C542)&amp;CHOOSE(MIN(4,COUNTIF($C$23:C542,C542)),"st","nd","rd","th"),"")</f>
        <v/>
      </c>
    </row>
    <row r="543" spans="4:10" x14ac:dyDescent="0.25">
      <c r="D543" s="201" t="str">
        <f t="shared" si="8"/>
        <v/>
      </c>
      <c r="J543" s="201" t="str">
        <f>IFERROR(COUNTIF($C$23:C543,C543)&amp;CHOOSE(MIN(4,COUNTIF($C$23:C543,C543)),"st","nd","rd","th"),"")</f>
        <v/>
      </c>
    </row>
    <row r="544" spans="4:10" x14ac:dyDescent="0.25">
      <c r="D544" s="201" t="str">
        <f t="shared" si="8"/>
        <v/>
      </c>
      <c r="J544" s="201" t="str">
        <f>IFERROR(COUNTIF($C$23:C544,C544)&amp;CHOOSE(MIN(4,COUNTIF($C$23:C544,C544)),"st","nd","rd","th"),"")</f>
        <v/>
      </c>
    </row>
    <row r="545" spans="4:10" x14ac:dyDescent="0.25">
      <c r="D545" s="201" t="str">
        <f t="shared" si="8"/>
        <v/>
      </c>
      <c r="J545" s="201" t="str">
        <f>IFERROR(COUNTIF($C$23:C545,C545)&amp;CHOOSE(MIN(4,COUNTIF($C$23:C545,C545)),"st","nd","rd","th"),"")</f>
        <v/>
      </c>
    </row>
    <row r="546" spans="4:10" x14ac:dyDescent="0.25">
      <c r="D546" s="201" t="str">
        <f t="shared" si="8"/>
        <v/>
      </c>
      <c r="J546" s="201" t="str">
        <f>IFERROR(COUNTIF($C$23:C546,C546)&amp;CHOOSE(MIN(4,COUNTIF($C$23:C546,C546)),"st","nd","rd","th"),"")</f>
        <v/>
      </c>
    </row>
    <row r="547" spans="4:10" x14ac:dyDescent="0.25">
      <c r="D547" s="201" t="str">
        <f t="shared" si="8"/>
        <v/>
      </c>
      <c r="J547" s="201" t="str">
        <f>IFERROR(COUNTIF($C$23:C547,C547)&amp;CHOOSE(MIN(4,COUNTIF($C$23:C547,C547)),"st","nd","rd","th"),"")</f>
        <v/>
      </c>
    </row>
    <row r="548" spans="4:10" x14ac:dyDescent="0.25">
      <c r="D548" s="201" t="str">
        <f t="shared" si="8"/>
        <v/>
      </c>
      <c r="J548" s="201" t="str">
        <f>IFERROR(COUNTIF($C$23:C548,C548)&amp;CHOOSE(MIN(4,COUNTIF($C$23:C548,C548)),"st","nd","rd","th"),"")</f>
        <v/>
      </c>
    </row>
    <row r="549" spans="4:10" x14ac:dyDescent="0.25">
      <c r="D549" s="201" t="str">
        <f t="shared" si="8"/>
        <v/>
      </c>
      <c r="J549" s="201" t="str">
        <f>IFERROR(COUNTIF($C$23:C549,C549)&amp;CHOOSE(MIN(4,COUNTIF($C$23:C549,C549)),"st","nd","rd","th"),"")</f>
        <v/>
      </c>
    </row>
    <row r="550" spans="4:10" x14ac:dyDescent="0.25">
      <c r="D550" s="201" t="str">
        <f t="shared" si="8"/>
        <v/>
      </c>
      <c r="J550" s="201" t="str">
        <f>IFERROR(COUNTIF($C$23:C550,C550)&amp;CHOOSE(MIN(4,COUNTIF($C$23:C550,C550)),"st","nd","rd","th"),"")</f>
        <v/>
      </c>
    </row>
    <row r="551" spans="4:10" x14ac:dyDescent="0.25">
      <c r="D551" s="201" t="str">
        <f t="shared" si="8"/>
        <v/>
      </c>
      <c r="J551" s="201" t="str">
        <f>IFERROR(COUNTIF($C$23:C551,C551)&amp;CHOOSE(MIN(4,COUNTIF($C$23:C551,C551)),"st","nd","rd","th"),"")</f>
        <v/>
      </c>
    </row>
    <row r="552" spans="4:10" x14ac:dyDescent="0.25">
      <c r="D552" s="201" t="str">
        <f t="shared" si="8"/>
        <v/>
      </c>
      <c r="J552" s="201" t="str">
        <f>IFERROR(COUNTIF($C$23:C552,C552)&amp;CHOOSE(MIN(4,COUNTIF($C$23:C552,C552)),"st","nd","rd","th"),"")</f>
        <v/>
      </c>
    </row>
    <row r="553" spans="4:10" x14ac:dyDescent="0.25">
      <c r="D553" s="201" t="str">
        <f t="shared" si="8"/>
        <v/>
      </c>
      <c r="J553" s="201" t="str">
        <f>IFERROR(COUNTIF($C$23:C553,C553)&amp;CHOOSE(MIN(4,COUNTIF($C$23:C553,C553)),"st","nd","rd","th"),"")</f>
        <v/>
      </c>
    </row>
    <row r="554" spans="4:10" x14ac:dyDescent="0.25">
      <c r="D554" s="201" t="str">
        <f t="shared" si="8"/>
        <v/>
      </c>
      <c r="J554" s="201" t="str">
        <f>IFERROR(COUNTIF($C$23:C554,C554)&amp;CHOOSE(MIN(4,COUNTIF($C$23:C554,C554)),"st","nd","rd","th"),"")</f>
        <v/>
      </c>
    </row>
    <row r="555" spans="4:10" x14ac:dyDescent="0.25">
      <c r="D555" s="201" t="str">
        <f t="shared" si="8"/>
        <v/>
      </c>
      <c r="J555" s="201" t="str">
        <f>IFERROR(COUNTIF($C$23:C555,C555)&amp;CHOOSE(MIN(4,COUNTIF($C$23:C555,C555)),"st","nd","rd","th"),"")</f>
        <v/>
      </c>
    </row>
    <row r="556" spans="4:10" x14ac:dyDescent="0.25">
      <c r="D556" s="201" t="str">
        <f t="shared" si="8"/>
        <v/>
      </c>
      <c r="J556" s="201" t="str">
        <f>IFERROR(COUNTIF($C$23:C556,C556)&amp;CHOOSE(MIN(4,COUNTIF($C$23:C556,C556)),"st","nd","rd","th"),"")</f>
        <v/>
      </c>
    </row>
    <row r="557" spans="4:10" x14ac:dyDescent="0.25">
      <c r="D557" s="201" t="str">
        <f t="shared" si="8"/>
        <v/>
      </c>
      <c r="J557" s="201" t="str">
        <f>IFERROR(COUNTIF($C$23:C557,C557)&amp;CHOOSE(MIN(4,COUNTIF($C$23:C557,C557)),"st","nd","rd","th"),"")</f>
        <v/>
      </c>
    </row>
    <row r="558" spans="4:10" x14ac:dyDescent="0.25">
      <c r="D558" s="201" t="str">
        <f t="shared" si="8"/>
        <v/>
      </c>
      <c r="J558" s="201" t="str">
        <f>IFERROR(COUNTIF($C$23:C558,C558)&amp;CHOOSE(MIN(4,COUNTIF($C$23:C558,C558)),"st","nd","rd","th"),"")</f>
        <v/>
      </c>
    </row>
    <row r="559" spans="4:10" x14ac:dyDescent="0.25">
      <c r="D559" s="201" t="str">
        <f t="shared" si="8"/>
        <v/>
      </c>
      <c r="J559" s="201" t="str">
        <f>IFERROR(COUNTIF($C$23:C559,C559)&amp;CHOOSE(MIN(4,COUNTIF($C$23:C559,C559)),"st","nd","rd","th"),"")</f>
        <v/>
      </c>
    </row>
    <row r="560" spans="4:10" x14ac:dyDescent="0.25">
      <c r="D560" s="201" t="str">
        <f t="shared" si="8"/>
        <v/>
      </c>
      <c r="J560" s="201" t="str">
        <f>IFERROR(COUNTIF($C$23:C560,C560)&amp;CHOOSE(MIN(4,COUNTIF($C$23:C560,C560)),"st","nd","rd","th"),"")</f>
        <v/>
      </c>
    </row>
    <row r="561" spans="4:10" x14ac:dyDescent="0.25">
      <c r="D561" s="201" t="str">
        <f t="shared" si="8"/>
        <v/>
      </c>
      <c r="J561" s="201" t="str">
        <f>IFERROR(COUNTIF($C$23:C561,C561)&amp;CHOOSE(MIN(4,COUNTIF($C$23:C561,C561)),"st","nd","rd","th"),"")</f>
        <v/>
      </c>
    </row>
    <row r="562" spans="4:10" x14ac:dyDescent="0.25">
      <c r="D562" s="201" t="str">
        <f t="shared" si="8"/>
        <v/>
      </c>
      <c r="J562" s="201" t="str">
        <f>IFERROR(COUNTIF($C$23:C562,C562)&amp;CHOOSE(MIN(4,COUNTIF($C$23:C562,C562)),"st","nd","rd","th"),"")</f>
        <v/>
      </c>
    </row>
    <row r="563" spans="4:10" x14ac:dyDescent="0.25">
      <c r="D563" s="201" t="str">
        <f t="shared" si="8"/>
        <v/>
      </c>
      <c r="J563" s="201" t="str">
        <f>IFERROR(COUNTIF($C$23:C563,C563)&amp;CHOOSE(MIN(4,COUNTIF($C$23:C563,C563)),"st","nd","rd","th"),"")</f>
        <v/>
      </c>
    </row>
    <row r="564" spans="4:10" x14ac:dyDescent="0.25">
      <c r="D564" s="201" t="str">
        <f t="shared" si="8"/>
        <v/>
      </c>
      <c r="J564" s="201" t="str">
        <f>IFERROR(COUNTIF($C$23:C564,C564)&amp;CHOOSE(MIN(4,COUNTIF($C$23:C564,C564)),"st","nd","rd","th"),"")</f>
        <v/>
      </c>
    </row>
    <row r="565" spans="4:10" x14ac:dyDescent="0.25">
      <c r="D565" s="201" t="str">
        <f t="shared" si="8"/>
        <v/>
      </c>
      <c r="J565" s="201" t="str">
        <f>IFERROR(COUNTIF($C$23:C565,C565)&amp;CHOOSE(MIN(4,COUNTIF($C$23:C565,C565)),"st","nd","rd","th"),"")</f>
        <v/>
      </c>
    </row>
    <row r="566" spans="4:10" x14ac:dyDescent="0.25">
      <c r="D566" s="201" t="str">
        <f t="shared" si="8"/>
        <v/>
      </c>
      <c r="J566" s="201" t="str">
        <f>IFERROR(COUNTIF($C$23:C566,C566)&amp;CHOOSE(MIN(4,COUNTIF($C$23:C566,C566)),"st","nd","rd","th"),"")</f>
        <v/>
      </c>
    </row>
    <row r="567" spans="4:10" x14ac:dyDescent="0.25">
      <c r="D567" s="201" t="str">
        <f t="shared" si="8"/>
        <v/>
      </c>
      <c r="J567" s="201" t="str">
        <f>IFERROR(COUNTIF($C$23:C567,C567)&amp;CHOOSE(MIN(4,COUNTIF($C$23:C567,C567)),"st","nd","rd","th"),"")</f>
        <v/>
      </c>
    </row>
    <row r="568" spans="4:10" x14ac:dyDescent="0.25">
      <c r="D568" s="201" t="str">
        <f t="shared" si="8"/>
        <v/>
      </c>
      <c r="J568" s="201" t="str">
        <f>IFERROR(COUNTIF($C$23:C568,C568)&amp;CHOOSE(MIN(4,COUNTIF($C$23:C568,C568)),"st","nd","rd","th"),"")</f>
        <v/>
      </c>
    </row>
    <row r="569" spans="4:10" x14ac:dyDescent="0.25">
      <c r="D569" s="201" t="str">
        <f t="shared" si="8"/>
        <v/>
      </c>
      <c r="J569" s="201" t="str">
        <f>IFERROR(COUNTIF($C$23:C569,C569)&amp;CHOOSE(MIN(4,COUNTIF($C$23:C569,C569)),"st","nd","rd","th"),"")</f>
        <v/>
      </c>
    </row>
    <row r="570" spans="4:10" x14ac:dyDescent="0.25">
      <c r="D570" s="201" t="str">
        <f t="shared" si="8"/>
        <v/>
      </c>
      <c r="J570" s="201" t="str">
        <f>IFERROR(COUNTIF($C$23:C570,C570)&amp;CHOOSE(MIN(4,COUNTIF($C$23:C570,C570)),"st","nd","rd","th"),"")</f>
        <v/>
      </c>
    </row>
    <row r="571" spans="4:10" x14ac:dyDescent="0.25">
      <c r="D571" s="201" t="str">
        <f t="shared" si="8"/>
        <v/>
      </c>
      <c r="J571" s="201" t="str">
        <f>IFERROR(COUNTIF($C$23:C571,C571)&amp;CHOOSE(MIN(4,COUNTIF($C$23:C571,C571)),"st","nd","rd","th"),"")</f>
        <v/>
      </c>
    </row>
    <row r="572" spans="4:10" x14ac:dyDescent="0.25">
      <c r="D572" s="201" t="str">
        <f t="shared" si="8"/>
        <v/>
      </c>
      <c r="J572" s="201" t="str">
        <f>IFERROR(COUNTIF($C$23:C572,C572)&amp;CHOOSE(MIN(4,COUNTIF($C$23:C572,C572)),"st","nd","rd","th"),"")</f>
        <v/>
      </c>
    </row>
    <row r="573" spans="4:10" x14ac:dyDescent="0.25">
      <c r="D573" s="201" t="str">
        <f t="shared" si="8"/>
        <v/>
      </c>
      <c r="J573" s="201" t="str">
        <f>IFERROR(COUNTIF($C$23:C573,C573)&amp;CHOOSE(MIN(4,COUNTIF($C$23:C573,C573)),"st","nd","rd","th"),"")</f>
        <v/>
      </c>
    </row>
    <row r="574" spans="4:10" x14ac:dyDescent="0.25">
      <c r="D574" s="201" t="str">
        <f t="shared" si="8"/>
        <v/>
      </c>
      <c r="J574" s="201" t="str">
        <f>IFERROR(COUNTIF($C$23:C574,C574)&amp;CHOOSE(MIN(4,COUNTIF($C$23:C574,C574)),"st","nd","rd","th"),"")</f>
        <v/>
      </c>
    </row>
    <row r="575" spans="4:10" x14ac:dyDescent="0.25">
      <c r="D575" s="201" t="str">
        <f t="shared" si="8"/>
        <v/>
      </c>
      <c r="J575" s="201" t="str">
        <f>IFERROR(COUNTIF($C$23:C575,C575)&amp;CHOOSE(MIN(4,COUNTIF($C$23:C575,C575)),"st","nd","rd","th"),"")</f>
        <v/>
      </c>
    </row>
    <row r="576" spans="4:10" x14ac:dyDescent="0.25">
      <c r="D576" s="201" t="str">
        <f t="shared" si="8"/>
        <v/>
      </c>
      <c r="J576" s="201" t="str">
        <f>IFERROR(COUNTIF($C$23:C576,C576)&amp;CHOOSE(MIN(4,COUNTIF($C$23:C576,C576)),"st","nd","rd","th"),"")</f>
        <v/>
      </c>
    </row>
    <row r="577" spans="4:10" x14ac:dyDescent="0.25">
      <c r="D577" s="201" t="str">
        <f t="shared" si="8"/>
        <v/>
      </c>
      <c r="J577" s="201" t="str">
        <f>IFERROR(COUNTIF($C$23:C577,C577)&amp;CHOOSE(MIN(4,COUNTIF($C$23:C577,C577)),"st","nd","rd","th"),"")</f>
        <v/>
      </c>
    </row>
    <row r="578" spans="4:10" x14ac:dyDescent="0.25">
      <c r="D578" s="201" t="str">
        <f t="shared" si="8"/>
        <v/>
      </c>
      <c r="J578" s="201" t="str">
        <f>IFERROR(COUNTIF($C$23:C578,C578)&amp;CHOOSE(MIN(4,COUNTIF($C$23:C578,C578)),"st","nd","rd","th"),"")</f>
        <v/>
      </c>
    </row>
    <row r="579" spans="4:10" x14ac:dyDescent="0.25">
      <c r="D579" s="201" t="str">
        <f t="shared" si="8"/>
        <v/>
      </c>
      <c r="J579" s="201" t="str">
        <f>IFERROR(COUNTIF($C$23:C579,C579)&amp;CHOOSE(MIN(4,COUNTIF($C$23:C579,C579)),"st","nd","rd","th"),"")</f>
        <v/>
      </c>
    </row>
    <row r="580" spans="4:10" x14ac:dyDescent="0.25">
      <c r="D580" s="201" t="str">
        <f t="shared" si="8"/>
        <v/>
      </c>
      <c r="J580" s="201" t="str">
        <f>IFERROR(COUNTIF($C$23:C580,C580)&amp;CHOOSE(MIN(4,COUNTIF($C$23:C580,C580)),"st","nd","rd","th"),"")</f>
        <v/>
      </c>
    </row>
    <row r="581" spans="4:10" x14ac:dyDescent="0.25">
      <c r="D581" s="201" t="str">
        <f t="shared" si="8"/>
        <v/>
      </c>
      <c r="J581" s="201" t="str">
        <f>IFERROR(COUNTIF($C$23:C581,C581)&amp;CHOOSE(MIN(4,COUNTIF($C$23:C581,C581)),"st","nd","rd","th"),"")</f>
        <v/>
      </c>
    </row>
    <row r="582" spans="4:10" x14ac:dyDescent="0.25">
      <c r="D582" s="201" t="str">
        <f t="shared" si="8"/>
        <v/>
      </c>
      <c r="J582" s="201" t="str">
        <f>IFERROR(COUNTIF($C$23:C582,C582)&amp;CHOOSE(MIN(4,COUNTIF($C$23:C582,C582)),"st","nd","rd","th"),"")</f>
        <v/>
      </c>
    </row>
    <row r="583" spans="4:10" x14ac:dyDescent="0.25">
      <c r="D583" s="201" t="str">
        <f t="shared" si="8"/>
        <v/>
      </c>
      <c r="J583" s="201" t="str">
        <f>IFERROR(COUNTIF($C$23:C583,C583)&amp;CHOOSE(MIN(4,COUNTIF($C$23:C583,C583)),"st","nd","rd","th"),"")</f>
        <v/>
      </c>
    </row>
    <row r="584" spans="4:10" x14ac:dyDescent="0.25">
      <c r="D584" s="201" t="str">
        <f t="shared" si="8"/>
        <v/>
      </c>
      <c r="J584" s="201" t="str">
        <f>IFERROR(COUNTIF($C$23:C584,C584)&amp;CHOOSE(MIN(4,COUNTIF($C$23:C584,C584)),"st","nd","rd","th"),"")</f>
        <v/>
      </c>
    </row>
    <row r="585" spans="4:10" x14ac:dyDescent="0.25">
      <c r="D585" s="201" t="str">
        <f t="shared" si="8"/>
        <v/>
      </c>
      <c r="J585" s="201" t="str">
        <f>IFERROR(COUNTIF($C$23:C585,C585)&amp;CHOOSE(MIN(4,COUNTIF($C$23:C585,C585)),"st","nd","rd","th"),"")</f>
        <v/>
      </c>
    </row>
    <row r="586" spans="4:10" x14ac:dyDescent="0.25">
      <c r="D586" s="201" t="str">
        <f t="shared" si="8"/>
        <v/>
      </c>
      <c r="J586" s="201" t="str">
        <f>IFERROR(COUNTIF($C$23:C586,C586)&amp;CHOOSE(MIN(4,COUNTIF($C$23:C586,C586)),"st","nd","rd","th"),"")</f>
        <v/>
      </c>
    </row>
    <row r="587" spans="4:10" x14ac:dyDescent="0.25">
      <c r="D587" s="201" t="str">
        <f t="shared" si="8"/>
        <v/>
      </c>
      <c r="J587" s="201" t="str">
        <f>IFERROR(COUNTIF($C$23:C587,C587)&amp;CHOOSE(MIN(4,COUNTIF($C$23:C587,C587)),"st","nd","rd","th"),"")</f>
        <v/>
      </c>
    </row>
    <row r="588" spans="4:10" x14ac:dyDescent="0.25">
      <c r="D588" s="201" t="str">
        <f t="shared" si="8"/>
        <v/>
      </c>
      <c r="J588" s="201" t="str">
        <f>IFERROR(COUNTIF($C$23:C588,C588)&amp;CHOOSE(MIN(4,COUNTIF($C$23:C588,C588)),"st","nd","rd","th"),"")</f>
        <v/>
      </c>
    </row>
    <row r="589" spans="4:10" x14ac:dyDescent="0.25">
      <c r="D589" s="201" t="str">
        <f t="shared" si="8"/>
        <v/>
      </c>
      <c r="J589" s="201" t="str">
        <f>IFERROR(COUNTIF($C$23:C589,C589)&amp;CHOOSE(MIN(4,COUNTIF($C$23:C589,C589)),"st","nd","rd","th"),"")</f>
        <v/>
      </c>
    </row>
    <row r="590" spans="4:10" x14ac:dyDescent="0.25">
      <c r="D590" s="201" t="str">
        <f t="shared" si="8"/>
        <v/>
      </c>
      <c r="J590" s="201" t="str">
        <f>IFERROR(COUNTIF($C$23:C590,C590)&amp;CHOOSE(MIN(4,COUNTIF($C$23:C590,C590)),"st","nd","rd","th"),"")</f>
        <v/>
      </c>
    </row>
    <row r="591" spans="4:10" x14ac:dyDescent="0.25">
      <c r="D591" s="201" t="str">
        <f t="shared" si="8"/>
        <v/>
      </c>
      <c r="J591" s="201" t="str">
        <f>IFERROR(COUNTIF($C$23:C591,C591)&amp;CHOOSE(MIN(4,COUNTIF($C$23:C591,C591)),"st","nd","rd","th"),"")</f>
        <v/>
      </c>
    </row>
    <row r="592" spans="4:10" x14ac:dyDescent="0.25">
      <c r="D592" s="201" t="str">
        <f t="shared" si="8"/>
        <v/>
      </c>
      <c r="J592" s="201" t="str">
        <f>IFERROR(COUNTIF($C$23:C592,C592)&amp;CHOOSE(MIN(4,COUNTIF($C$23:C592,C592)),"st","nd","rd","th"),"")</f>
        <v/>
      </c>
    </row>
    <row r="593" spans="4:10" x14ac:dyDescent="0.25">
      <c r="D593" s="201" t="str">
        <f t="shared" si="8"/>
        <v/>
      </c>
      <c r="J593" s="201" t="str">
        <f>IFERROR(COUNTIF($C$23:C593,C593)&amp;CHOOSE(MIN(4,COUNTIF($C$23:C593,C593)),"st","nd","rd","th"),"")</f>
        <v/>
      </c>
    </row>
    <row r="594" spans="4:10" x14ac:dyDescent="0.25">
      <c r="D594" s="201" t="str">
        <f t="shared" si="8"/>
        <v/>
      </c>
      <c r="J594" s="201" t="str">
        <f>IFERROR(COUNTIF($C$23:C594,C594)&amp;CHOOSE(MIN(4,COUNTIF($C$23:C594,C594)),"st","nd","rd","th"),"")</f>
        <v/>
      </c>
    </row>
    <row r="595" spans="4:10" x14ac:dyDescent="0.25">
      <c r="D595" s="201" t="str">
        <f t="shared" si="8"/>
        <v/>
      </c>
      <c r="J595" s="201" t="str">
        <f>IFERROR(COUNTIF($C$23:C595,C595)&amp;CHOOSE(MIN(4,COUNTIF($C$23:C595,C595)),"st","nd","rd","th"),"")</f>
        <v/>
      </c>
    </row>
    <row r="596" spans="4:10" x14ac:dyDescent="0.25">
      <c r="D596" s="201" t="str">
        <f t="shared" si="8"/>
        <v/>
      </c>
      <c r="J596" s="201" t="str">
        <f>IFERROR(COUNTIF($C$23:C596,C596)&amp;CHOOSE(MIN(4,COUNTIF($C$23:C596,C596)),"st","nd","rd","th"),"")</f>
        <v/>
      </c>
    </row>
    <row r="597" spans="4:10" x14ac:dyDescent="0.25">
      <c r="D597" s="201" t="str">
        <f t="shared" si="8"/>
        <v/>
      </c>
      <c r="J597" s="201" t="str">
        <f>IFERROR(COUNTIF($C$23:C597,C597)&amp;CHOOSE(MIN(4,COUNTIF($C$23:C597,C597)),"st","nd","rd","th"),"")</f>
        <v/>
      </c>
    </row>
    <row r="598" spans="4:10" x14ac:dyDescent="0.25">
      <c r="D598" s="201" t="str">
        <f t="shared" si="8"/>
        <v/>
      </c>
      <c r="J598" s="201" t="str">
        <f>IFERROR(COUNTIF($C$23:C598,C598)&amp;CHOOSE(MIN(4,COUNTIF($C$23:C598,C598)),"st","nd","rd","th"),"")</f>
        <v/>
      </c>
    </row>
    <row r="599" spans="4:10" x14ac:dyDescent="0.25">
      <c r="D599" s="201" t="str">
        <f t="shared" ref="D599:D662" si="9">IF(B599="","",IF(B599="Province_PLGU","PDPFP","CLUP"))</f>
        <v/>
      </c>
      <c r="J599" s="201" t="str">
        <f>IFERROR(COUNTIF($C$23:C599,C599)&amp;CHOOSE(MIN(4,COUNTIF($C$23:C599,C599)),"st","nd","rd","th"),"")</f>
        <v/>
      </c>
    </row>
    <row r="600" spans="4:10" x14ac:dyDescent="0.25">
      <c r="D600" s="201" t="str">
        <f t="shared" si="9"/>
        <v/>
      </c>
      <c r="J600" s="201" t="str">
        <f>IFERROR(COUNTIF($C$23:C600,C600)&amp;CHOOSE(MIN(4,COUNTIF($C$23:C600,C600)),"st","nd","rd","th"),"")</f>
        <v/>
      </c>
    </row>
    <row r="601" spans="4:10" x14ac:dyDescent="0.25">
      <c r="D601" s="201" t="str">
        <f t="shared" si="9"/>
        <v/>
      </c>
      <c r="J601" s="201" t="str">
        <f>IFERROR(COUNTIF($C$23:C601,C601)&amp;CHOOSE(MIN(4,COUNTIF($C$23:C601,C601)),"st","nd","rd","th"),"")</f>
        <v/>
      </c>
    </row>
    <row r="602" spans="4:10" x14ac:dyDescent="0.25">
      <c r="D602" s="201" t="str">
        <f t="shared" si="9"/>
        <v/>
      </c>
      <c r="J602" s="201" t="str">
        <f>IFERROR(COUNTIF($C$23:C602,C602)&amp;CHOOSE(MIN(4,COUNTIF($C$23:C602,C602)),"st","nd","rd","th"),"")</f>
        <v/>
      </c>
    </row>
    <row r="603" spans="4:10" x14ac:dyDescent="0.25">
      <c r="D603" s="201" t="str">
        <f t="shared" si="9"/>
        <v/>
      </c>
      <c r="J603" s="201" t="str">
        <f>IFERROR(COUNTIF($C$23:C603,C603)&amp;CHOOSE(MIN(4,COUNTIF($C$23:C603,C603)),"st","nd","rd","th"),"")</f>
        <v/>
      </c>
    </row>
    <row r="604" spans="4:10" x14ac:dyDescent="0.25">
      <c r="D604" s="201" t="str">
        <f t="shared" si="9"/>
        <v/>
      </c>
      <c r="J604" s="201" t="str">
        <f>IFERROR(COUNTIF($C$23:C604,C604)&amp;CHOOSE(MIN(4,COUNTIF($C$23:C604,C604)),"st","nd","rd","th"),"")</f>
        <v/>
      </c>
    </row>
    <row r="605" spans="4:10" x14ac:dyDescent="0.25">
      <c r="D605" s="201" t="str">
        <f t="shared" si="9"/>
        <v/>
      </c>
      <c r="J605" s="201" t="str">
        <f>IFERROR(COUNTIF($C$23:C605,C605)&amp;CHOOSE(MIN(4,COUNTIF($C$23:C605,C605)),"st","nd","rd","th"),"")</f>
        <v/>
      </c>
    </row>
    <row r="606" spans="4:10" x14ac:dyDescent="0.25">
      <c r="D606" s="201" t="str">
        <f t="shared" si="9"/>
        <v/>
      </c>
      <c r="J606" s="201" t="str">
        <f>IFERROR(COUNTIF($C$23:C606,C606)&amp;CHOOSE(MIN(4,COUNTIF($C$23:C606,C606)),"st","nd","rd","th"),"")</f>
        <v/>
      </c>
    </row>
    <row r="607" spans="4:10" x14ac:dyDescent="0.25">
      <c r="D607" s="201" t="str">
        <f t="shared" si="9"/>
        <v/>
      </c>
      <c r="J607" s="201" t="str">
        <f>IFERROR(COUNTIF($C$23:C607,C607)&amp;CHOOSE(MIN(4,COUNTIF($C$23:C607,C607)),"st","nd","rd","th"),"")</f>
        <v/>
      </c>
    </row>
    <row r="608" spans="4:10" x14ac:dyDescent="0.25">
      <c r="D608" s="201" t="str">
        <f t="shared" si="9"/>
        <v/>
      </c>
      <c r="J608" s="201" t="str">
        <f>IFERROR(COUNTIF($C$23:C608,C608)&amp;CHOOSE(MIN(4,COUNTIF($C$23:C608,C608)),"st","nd","rd","th"),"")</f>
        <v/>
      </c>
    </row>
    <row r="609" spans="4:10" x14ac:dyDescent="0.25">
      <c r="D609" s="201" t="str">
        <f t="shared" si="9"/>
        <v/>
      </c>
      <c r="J609" s="201" t="str">
        <f>IFERROR(COUNTIF($C$23:C609,C609)&amp;CHOOSE(MIN(4,COUNTIF($C$23:C609,C609)),"st","nd","rd","th"),"")</f>
        <v/>
      </c>
    </row>
    <row r="610" spans="4:10" x14ac:dyDescent="0.25">
      <c r="D610" s="201" t="str">
        <f t="shared" si="9"/>
        <v/>
      </c>
      <c r="J610" s="201" t="str">
        <f>IFERROR(COUNTIF($C$23:C610,C610)&amp;CHOOSE(MIN(4,COUNTIF($C$23:C610,C610)),"st","nd","rd","th"),"")</f>
        <v/>
      </c>
    </row>
    <row r="611" spans="4:10" x14ac:dyDescent="0.25">
      <c r="D611" s="201" t="str">
        <f t="shared" si="9"/>
        <v/>
      </c>
      <c r="J611" s="201" t="str">
        <f>IFERROR(COUNTIF($C$23:C611,C611)&amp;CHOOSE(MIN(4,COUNTIF($C$23:C611,C611)),"st","nd","rd","th"),"")</f>
        <v/>
      </c>
    </row>
    <row r="612" spans="4:10" x14ac:dyDescent="0.25">
      <c r="D612" s="201" t="str">
        <f t="shared" si="9"/>
        <v/>
      </c>
      <c r="J612" s="201" t="str">
        <f>IFERROR(COUNTIF($C$23:C612,C612)&amp;CHOOSE(MIN(4,COUNTIF($C$23:C612,C612)),"st","nd","rd","th"),"")</f>
        <v/>
      </c>
    </row>
    <row r="613" spans="4:10" x14ac:dyDescent="0.25">
      <c r="D613" s="201" t="str">
        <f t="shared" si="9"/>
        <v/>
      </c>
      <c r="J613" s="201" t="str">
        <f>IFERROR(COUNTIF($C$23:C613,C613)&amp;CHOOSE(MIN(4,COUNTIF($C$23:C613,C613)),"st","nd","rd","th"),"")</f>
        <v/>
      </c>
    </row>
    <row r="614" spans="4:10" x14ac:dyDescent="0.25">
      <c r="D614" s="201" t="str">
        <f t="shared" si="9"/>
        <v/>
      </c>
      <c r="J614" s="201" t="str">
        <f>IFERROR(COUNTIF($C$23:C614,C614)&amp;CHOOSE(MIN(4,COUNTIF($C$23:C614,C614)),"st","nd","rd","th"),"")</f>
        <v/>
      </c>
    </row>
    <row r="615" spans="4:10" x14ac:dyDescent="0.25">
      <c r="D615" s="201" t="str">
        <f t="shared" si="9"/>
        <v/>
      </c>
      <c r="J615" s="201" t="str">
        <f>IFERROR(COUNTIF($C$23:C615,C615)&amp;CHOOSE(MIN(4,COUNTIF($C$23:C615,C615)),"st","nd","rd","th"),"")</f>
        <v/>
      </c>
    </row>
    <row r="616" spans="4:10" x14ac:dyDescent="0.25">
      <c r="D616" s="201" t="str">
        <f t="shared" si="9"/>
        <v/>
      </c>
      <c r="J616" s="201" t="str">
        <f>IFERROR(COUNTIF($C$23:C616,C616)&amp;CHOOSE(MIN(4,COUNTIF($C$23:C616,C616)),"st","nd","rd","th"),"")</f>
        <v/>
      </c>
    </row>
    <row r="617" spans="4:10" x14ac:dyDescent="0.25">
      <c r="D617" s="201" t="str">
        <f t="shared" si="9"/>
        <v/>
      </c>
      <c r="J617" s="201" t="str">
        <f>IFERROR(COUNTIF($C$23:C617,C617)&amp;CHOOSE(MIN(4,COUNTIF($C$23:C617,C617)),"st","nd","rd","th"),"")</f>
        <v/>
      </c>
    </row>
    <row r="618" spans="4:10" x14ac:dyDescent="0.25">
      <c r="D618" s="201" t="str">
        <f t="shared" si="9"/>
        <v/>
      </c>
      <c r="J618" s="201" t="str">
        <f>IFERROR(COUNTIF($C$23:C618,C618)&amp;CHOOSE(MIN(4,COUNTIF($C$23:C618,C618)),"st","nd","rd","th"),"")</f>
        <v/>
      </c>
    </row>
    <row r="619" spans="4:10" x14ac:dyDescent="0.25">
      <c r="D619" s="201" t="str">
        <f t="shared" si="9"/>
        <v/>
      </c>
      <c r="J619" s="201" t="str">
        <f>IFERROR(COUNTIF($C$23:C619,C619)&amp;CHOOSE(MIN(4,COUNTIF($C$23:C619,C619)),"st","nd","rd","th"),"")</f>
        <v/>
      </c>
    </row>
    <row r="620" spans="4:10" x14ac:dyDescent="0.25">
      <c r="D620" s="201" t="str">
        <f t="shared" si="9"/>
        <v/>
      </c>
      <c r="J620" s="201" t="str">
        <f>IFERROR(COUNTIF($C$23:C620,C620)&amp;CHOOSE(MIN(4,COUNTIF($C$23:C620,C620)),"st","nd","rd","th"),"")</f>
        <v/>
      </c>
    </row>
    <row r="621" spans="4:10" x14ac:dyDescent="0.25">
      <c r="D621" s="201" t="str">
        <f t="shared" si="9"/>
        <v/>
      </c>
      <c r="J621" s="201" t="str">
        <f>IFERROR(COUNTIF($C$23:C621,C621)&amp;CHOOSE(MIN(4,COUNTIF($C$23:C621,C621)),"st","nd","rd","th"),"")</f>
        <v/>
      </c>
    </row>
    <row r="622" spans="4:10" x14ac:dyDescent="0.25">
      <c r="D622" s="201" t="str">
        <f t="shared" si="9"/>
        <v/>
      </c>
      <c r="J622" s="201" t="str">
        <f>IFERROR(COUNTIF($C$23:C622,C622)&amp;CHOOSE(MIN(4,COUNTIF($C$23:C622,C622)),"st","nd","rd","th"),"")</f>
        <v/>
      </c>
    </row>
    <row r="623" spans="4:10" x14ac:dyDescent="0.25">
      <c r="D623" s="201" t="str">
        <f t="shared" si="9"/>
        <v/>
      </c>
      <c r="J623" s="201" t="str">
        <f>IFERROR(COUNTIF($C$23:C623,C623)&amp;CHOOSE(MIN(4,COUNTIF($C$23:C623,C623)),"st","nd","rd","th"),"")</f>
        <v/>
      </c>
    </row>
    <row r="624" spans="4:10" x14ac:dyDescent="0.25">
      <c r="D624" s="201" t="str">
        <f t="shared" si="9"/>
        <v/>
      </c>
      <c r="J624" s="201" t="str">
        <f>IFERROR(COUNTIF($C$23:C624,C624)&amp;CHOOSE(MIN(4,COUNTIF($C$23:C624,C624)),"st","nd","rd","th"),"")</f>
        <v/>
      </c>
    </row>
    <row r="625" spans="4:10" x14ac:dyDescent="0.25">
      <c r="D625" s="201" t="str">
        <f t="shared" si="9"/>
        <v/>
      </c>
      <c r="J625" s="201" t="str">
        <f>IFERROR(COUNTIF($C$23:C625,C625)&amp;CHOOSE(MIN(4,COUNTIF($C$23:C625,C625)),"st","nd","rd","th"),"")</f>
        <v/>
      </c>
    </row>
    <row r="626" spans="4:10" x14ac:dyDescent="0.25">
      <c r="D626" s="201" t="str">
        <f t="shared" si="9"/>
        <v/>
      </c>
      <c r="J626" s="201" t="str">
        <f>IFERROR(COUNTIF($C$23:C626,C626)&amp;CHOOSE(MIN(4,COUNTIF($C$23:C626,C626)),"st","nd","rd","th"),"")</f>
        <v/>
      </c>
    </row>
    <row r="627" spans="4:10" x14ac:dyDescent="0.25">
      <c r="D627" s="201" t="str">
        <f t="shared" si="9"/>
        <v/>
      </c>
      <c r="J627" s="201" t="str">
        <f>IFERROR(COUNTIF($C$23:C627,C627)&amp;CHOOSE(MIN(4,COUNTIF($C$23:C627,C627)),"st","nd","rd","th"),"")</f>
        <v/>
      </c>
    </row>
    <row r="628" spans="4:10" x14ac:dyDescent="0.25">
      <c r="D628" s="201" t="str">
        <f t="shared" si="9"/>
        <v/>
      </c>
      <c r="J628" s="201" t="str">
        <f>IFERROR(COUNTIF($C$23:C628,C628)&amp;CHOOSE(MIN(4,COUNTIF($C$23:C628,C628)),"st","nd","rd","th"),"")</f>
        <v/>
      </c>
    </row>
    <row r="629" spans="4:10" x14ac:dyDescent="0.25">
      <c r="D629" s="201" t="str">
        <f t="shared" si="9"/>
        <v/>
      </c>
      <c r="J629" s="201" t="str">
        <f>IFERROR(COUNTIF($C$23:C629,C629)&amp;CHOOSE(MIN(4,COUNTIF($C$23:C629,C629)),"st","nd","rd","th"),"")</f>
        <v/>
      </c>
    </row>
    <row r="630" spans="4:10" x14ac:dyDescent="0.25">
      <c r="D630" s="201" t="str">
        <f t="shared" si="9"/>
        <v/>
      </c>
      <c r="J630" s="201" t="str">
        <f>IFERROR(COUNTIF($C$23:C630,C630)&amp;CHOOSE(MIN(4,COUNTIF($C$23:C630,C630)),"st","nd","rd","th"),"")</f>
        <v/>
      </c>
    </row>
    <row r="631" spans="4:10" x14ac:dyDescent="0.25">
      <c r="D631" s="201" t="str">
        <f t="shared" si="9"/>
        <v/>
      </c>
      <c r="J631" s="201" t="str">
        <f>IFERROR(COUNTIF($C$23:C631,C631)&amp;CHOOSE(MIN(4,COUNTIF($C$23:C631,C631)),"st","nd","rd","th"),"")</f>
        <v/>
      </c>
    </row>
    <row r="632" spans="4:10" x14ac:dyDescent="0.25">
      <c r="D632" s="201" t="str">
        <f t="shared" si="9"/>
        <v/>
      </c>
      <c r="J632" s="201" t="str">
        <f>IFERROR(COUNTIF($C$23:C632,C632)&amp;CHOOSE(MIN(4,COUNTIF($C$23:C632,C632)),"st","nd","rd","th"),"")</f>
        <v/>
      </c>
    </row>
    <row r="633" spans="4:10" x14ac:dyDescent="0.25">
      <c r="D633" s="201" t="str">
        <f t="shared" si="9"/>
        <v/>
      </c>
      <c r="J633" s="201" t="str">
        <f>IFERROR(COUNTIF($C$23:C633,C633)&amp;CHOOSE(MIN(4,COUNTIF($C$23:C633,C633)),"st","nd","rd","th"),"")</f>
        <v/>
      </c>
    </row>
    <row r="634" spans="4:10" x14ac:dyDescent="0.25">
      <c r="D634" s="201" t="str">
        <f t="shared" si="9"/>
        <v/>
      </c>
      <c r="J634" s="201" t="str">
        <f>IFERROR(COUNTIF($C$23:C634,C634)&amp;CHOOSE(MIN(4,COUNTIF($C$23:C634,C634)),"st","nd","rd","th"),"")</f>
        <v/>
      </c>
    </row>
    <row r="635" spans="4:10" x14ac:dyDescent="0.25">
      <c r="D635" s="201" t="str">
        <f t="shared" si="9"/>
        <v/>
      </c>
      <c r="J635" s="201" t="str">
        <f>IFERROR(COUNTIF($C$23:C635,C635)&amp;CHOOSE(MIN(4,COUNTIF($C$23:C635,C635)),"st","nd","rd","th"),"")</f>
        <v/>
      </c>
    </row>
    <row r="636" spans="4:10" x14ac:dyDescent="0.25">
      <c r="D636" s="201" t="str">
        <f t="shared" si="9"/>
        <v/>
      </c>
      <c r="J636" s="201" t="str">
        <f>IFERROR(COUNTIF($C$23:C636,C636)&amp;CHOOSE(MIN(4,COUNTIF($C$23:C636,C636)),"st","nd","rd","th"),"")</f>
        <v/>
      </c>
    </row>
    <row r="637" spans="4:10" x14ac:dyDescent="0.25">
      <c r="D637" s="201" t="str">
        <f t="shared" si="9"/>
        <v/>
      </c>
      <c r="J637" s="201" t="str">
        <f>IFERROR(COUNTIF($C$23:C637,C637)&amp;CHOOSE(MIN(4,COUNTIF($C$23:C637,C637)),"st","nd","rd","th"),"")</f>
        <v/>
      </c>
    </row>
    <row r="638" spans="4:10" x14ac:dyDescent="0.25">
      <c r="D638" s="201" t="str">
        <f t="shared" si="9"/>
        <v/>
      </c>
      <c r="J638" s="201" t="str">
        <f>IFERROR(COUNTIF($C$23:C638,C638)&amp;CHOOSE(MIN(4,COUNTIF($C$23:C638,C638)),"st","nd","rd","th"),"")</f>
        <v/>
      </c>
    </row>
    <row r="639" spans="4:10" x14ac:dyDescent="0.25">
      <c r="D639" s="201" t="str">
        <f t="shared" si="9"/>
        <v/>
      </c>
      <c r="J639" s="201" t="str">
        <f>IFERROR(COUNTIF($C$23:C639,C639)&amp;CHOOSE(MIN(4,COUNTIF($C$23:C639,C639)),"st","nd","rd","th"),"")</f>
        <v/>
      </c>
    </row>
    <row r="640" spans="4:10" x14ac:dyDescent="0.25">
      <c r="D640" s="201" t="str">
        <f t="shared" si="9"/>
        <v/>
      </c>
      <c r="J640" s="201" t="str">
        <f>IFERROR(COUNTIF($C$23:C640,C640)&amp;CHOOSE(MIN(4,COUNTIF($C$23:C640,C640)),"st","nd","rd","th"),"")</f>
        <v/>
      </c>
    </row>
    <row r="641" spans="4:10" x14ac:dyDescent="0.25">
      <c r="D641" s="201" t="str">
        <f t="shared" si="9"/>
        <v/>
      </c>
      <c r="J641" s="201" t="str">
        <f>IFERROR(COUNTIF($C$23:C641,C641)&amp;CHOOSE(MIN(4,COUNTIF($C$23:C641,C641)),"st","nd","rd","th"),"")</f>
        <v/>
      </c>
    </row>
    <row r="642" spans="4:10" x14ac:dyDescent="0.25">
      <c r="D642" s="201" t="str">
        <f t="shared" si="9"/>
        <v/>
      </c>
      <c r="J642" s="201" t="str">
        <f>IFERROR(COUNTIF($C$23:C642,C642)&amp;CHOOSE(MIN(4,COUNTIF($C$23:C642,C642)),"st","nd","rd","th"),"")</f>
        <v/>
      </c>
    </row>
    <row r="643" spans="4:10" x14ac:dyDescent="0.25">
      <c r="D643" s="201" t="str">
        <f t="shared" si="9"/>
        <v/>
      </c>
      <c r="J643" s="201" t="str">
        <f>IFERROR(COUNTIF($C$23:C643,C643)&amp;CHOOSE(MIN(4,COUNTIF($C$23:C643,C643)),"st","nd","rd","th"),"")</f>
        <v/>
      </c>
    </row>
    <row r="644" spans="4:10" x14ac:dyDescent="0.25">
      <c r="D644" s="201" t="str">
        <f t="shared" si="9"/>
        <v/>
      </c>
      <c r="J644" s="201" t="str">
        <f>IFERROR(COUNTIF($C$23:C644,C644)&amp;CHOOSE(MIN(4,COUNTIF($C$23:C644,C644)),"st","nd","rd","th"),"")</f>
        <v/>
      </c>
    </row>
    <row r="645" spans="4:10" x14ac:dyDescent="0.25">
      <c r="D645" s="201" t="str">
        <f t="shared" si="9"/>
        <v/>
      </c>
      <c r="J645" s="201" t="str">
        <f>IFERROR(COUNTIF($C$23:C645,C645)&amp;CHOOSE(MIN(4,COUNTIF($C$23:C645,C645)),"st","nd","rd","th"),"")</f>
        <v/>
      </c>
    </row>
    <row r="646" spans="4:10" x14ac:dyDescent="0.25">
      <c r="D646" s="201" t="str">
        <f t="shared" si="9"/>
        <v/>
      </c>
      <c r="J646" s="201" t="str">
        <f>IFERROR(COUNTIF($C$23:C646,C646)&amp;CHOOSE(MIN(4,COUNTIF($C$23:C646,C646)),"st","nd","rd","th"),"")</f>
        <v/>
      </c>
    </row>
    <row r="647" spans="4:10" x14ac:dyDescent="0.25">
      <c r="D647" s="201" t="str">
        <f t="shared" si="9"/>
        <v/>
      </c>
      <c r="J647" s="201" t="str">
        <f>IFERROR(COUNTIF($C$23:C647,C647)&amp;CHOOSE(MIN(4,COUNTIF($C$23:C647,C647)),"st","nd","rd","th"),"")</f>
        <v/>
      </c>
    </row>
    <row r="648" spans="4:10" x14ac:dyDescent="0.25">
      <c r="D648" s="201" t="str">
        <f t="shared" si="9"/>
        <v/>
      </c>
      <c r="J648" s="201" t="str">
        <f>IFERROR(COUNTIF($C$23:C648,C648)&amp;CHOOSE(MIN(4,COUNTIF($C$23:C648,C648)),"st","nd","rd","th"),"")</f>
        <v/>
      </c>
    </row>
    <row r="649" spans="4:10" x14ac:dyDescent="0.25">
      <c r="D649" s="201" t="str">
        <f t="shared" si="9"/>
        <v/>
      </c>
      <c r="J649" s="201" t="str">
        <f>IFERROR(COUNTIF($C$23:C649,C649)&amp;CHOOSE(MIN(4,COUNTIF($C$23:C649,C649)),"st","nd","rd","th"),"")</f>
        <v/>
      </c>
    </row>
    <row r="650" spans="4:10" x14ac:dyDescent="0.25">
      <c r="D650" s="201" t="str">
        <f t="shared" si="9"/>
        <v/>
      </c>
      <c r="J650" s="201" t="str">
        <f>IFERROR(COUNTIF($C$23:C650,C650)&amp;CHOOSE(MIN(4,COUNTIF($C$23:C650,C650)),"st","nd","rd","th"),"")</f>
        <v/>
      </c>
    </row>
    <row r="651" spans="4:10" x14ac:dyDescent="0.25">
      <c r="D651" s="201" t="str">
        <f t="shared" si="9"/>
        <v/>
      </c>
      <c r="J651" s="201" t="str">
        <f>IFERROR(COUNTIF($C$23:C651,C651)&amp;CHOOSE(MIN(4,COUNTIF($C$23:C651,C651)),"st","nd","rd","th"),"")</f>
        <v/>
      </c>
    </row>
    <row r="652" spans="4:10" x14ac:dyDescent="0.25">
      <c r="D652" s="201" t="str">
        <f t="shared" si="9"/>
        <v/>
      </c>
      <c r="J652" s="201" t="str">
        <f>IFERROR(COUNTIF($C$23:C652,C652)&amp;CHOOSE(MIN(4,COUNTIF($C$23:C652,C652)),"st","nd","rd","th"),"")</f>
        <v/>
      </c>
    </row>
    <row r="653" spans="4:10" x14ac:dyDescent="0.25">
      <c r="D653" s="201" t="str">
        <f t="shared" si="9"/>
        <v/>
      </c>
      <c r="J653" s="201" t="str">
        <f>IFERROR(COUNTIF($C$23:C653,C653)&amp;CHOOSE(MIN(4,COUNTIF($C$23:C653,C653)),"st","nd","rd","th"),"")</f>
        <v/>
      </c>
    </row>
    <row r="654" spans="4:10" x14ac:dyDescent="0.25">
      <c r="D654" s="201" t="str">
        <f t="shared" si="9"/>
        <v/>
      </c>
      <c r="J654" s="201" t="str">
        <f>IFERROR(COUNTIF($C$23:C654,C654)&amp;CHOOSE(MIN(4,COUNTIF($C$23:C654,C654)),"st","nd","rd","th"),"")</f>
        <v/>
      </c>
    </row>
    <row r="655" spans="4:10" x14ac:dyDescent="0.25">
      <c r="D655" s="201" t="str">
        <f t="shared" si="9"/>
        <v/>
      </c>
      <c r="J655" s="201" t="str">
        <f>IFERROR(COUNTIF($C$23:C655,C655)&amp;CHOOSE(MIN(4,COUNTIF($C$23:C655,C655)),"st","nd","rd","th"),"")</f>
        <v/>
      </c>
    </row>
    <row r="656" spans="4:10" x14ac:dyDescent="0.25">
      <c r="D656" s="201" t="str">
        <f t="shared" si="9"/>
        <v/>
      </c>
      <c r="J656" s="201" t="str">
        <f>IFERROR(COUNTIF($C$23:C656,C656)&amp;CHOOSE(MIN(4,COUNTIF($C$23:C656,C656)),"st","nd","rd","th"),"")</f>
        <v/>
      </c>
    </row>
    <row r="657" spans="4:10" x14ac:dyDescent="0.25">
      <c r="D657" s="201" t="str">
        <f t="shared" si="9"/>
        <v/>
      </c>
      <c r="J657" s="201" t="str">
        <f>IFERROR(COUNTIF($C$23:C657,C657)&amp;CHOOSE(MIN(4,COUNTIF($C$23:C657,C657)),"st","nd","rd","th"),"")</f>
        <v/>
      </c>
    </row>
    <row r="658" spans="4:10" x14ac:dyDescent="0.25">
      <c r="D658" s="201" t="str">
        <f t="shared" si="9"/>
        <v/>
      </c>
      <c r="J658" s="201" t="str">
        <f>IFERROR(COUNTIF($C$23:C658,C658)&amp;CHOOSE(MIN(4,COUNTIF($C$23:C658,C658)),"st","nd","rd","th"),"")</f>
        <v/>
      </c>
    </row>
    <row r="659" spans="4:10" x14ac:dyDescent="0.25">
      <c r="D659" s="201" t="str">
        <f t="shared" si="9"/>
        <v/>
      </c>
      <c r="J659" s="201" t="str">
        <f>IFERROR(COUNTIF($C$23:C659,C659)&amp;CHOOSE(MIN(4,COUNTIF($C$23:C659,C659)),"st","nd","rd","th"),"")</f>
        <v/>
      </c>
    </row>
    <row r="660" spans="4:10" x14ac:dyDescent="0.25">
      <c r="D660" s="201" t="str">
        <f t="shared" si="9"/>
        <v/>
      </c>
      <c r="J660" s="201" t="str">
        <f>IFERROR(COUNTIF($C$23:C660,C660)&amp;CHOOSE(MIN(4,COUNTIF($C$23:C660,C660)),"st","nd","rd","th"),"")</f>
        <v/>
      </c>
    </row>
    <row r="661" spans="4:10" x14ac:dyDescent="0.25">
      <c r="D661" s="201" t="str">
        <f t="shared" si="9"/>
        <v/>
      </c>
      <c r="J661" s="201" t="str">
        <f>IFERROR(COUNTIF($C$23:C661,C661)&amp;CHOOSE(MIN(4,COUNTIF($C$23:C661,C661)),"st","nd","rd","th"),"")</f>
        <v/>
      </c>
    </row>
    <row r="662" spans="4:10" x14ac:dyDescent="0.25">
      <c r="D662" s="201" t="str">
        <f t="shared" si="9"/>
        <v/>
      </c>
      <c r="J662" s="201" t="str">
        <f>IFERROR(COUNTIF($C$23:C662,C662)&amp;CHOOSE(MIN(4,COUNTIF($C$23:C662,C662)),"st","nd","rd","th"),"")</f>
        <v/>
      </c>
    </row>
    <row r="663" spans="4:10" x14ac:dyDescent="0.25">
      <c r="D663" s="201" t="str">
        <f t="shared" ref="D663:D726" si="10">IF(B663="","",IF(B663="Province_PLGU","PDPFP","CLUP"))</f>
        <v/>
      </c>
      <c r="J663" s="201" t="str">
        <f>IFERROR(COUNTIF($C$23:C663,C663)&amp;CHOOSE(MIN(4,COUNTIF($C$23:C663,C663)),"st","nd","rd","th"),"")</f>
        <v/>
      </c>
    </row>
    <row r="664" spans="4:10" x14ac:dyDescent="0.25">
      <c r="D664" s="201" t="str">
        <f t="shared" si="10"/>
        <v/>
      </c>
      <c r="J664" s="201" t="str">
        <f>IFERROR(COUNTIF($C$23:C664,C664)&amp;CHOOSE(MIN(4,COUNTIF($C$23:C664,C664)),"st","nd","rd","th"),"")</f>
        <v/>
      </c>
    </row>
    <row r="665" spans="4:10" x14ac:dyDescent="0.25">
      <c r="D665" s="201" t="str">
        <f t="shared" si="10"/>
        <v/>
      </c>
      <c r="J665" s="201" t="str">
        <f>IFERROR(COUNTIF($C$23:C665,C665)&amp;CHOOSE(MIN(4,COUNTIF($C$23:C665,C665)),"st","nd","rd","th"),"")</f>
        <v/>
      </c>
    </row>
    <row r="666" spans="4:10" x14ac:dyDescent="0.25">
      <c r="D666" s="201" t="str">
        <f t="shared" si="10"/>
        <v/>
      </c>
      <c r="J666" s="201" t="str">
        <f>IFERROR(COUNTIF($C$23:C666,C666)&amp;CHOOSE(MIN(4,COUNTIF($C$23:C666,C666)),"st","nd","rd","th"),"")</f>
        <v/>
      </c>
    </row>
    <row r="667" spans="4:10" x14ac:dyDescent="0.25">
      <c r="D667" s="201" t="str">
        <f t="shared" si="10"/>
        <v/>
      </c>
      <c r="J667" s="201" t="str">
        <f>IFERROR(COUNTIF($C$23:C667,C667)&amp;CHOOSE(MIN(4,COUNTIF($C$23:C667,C667)),"st","nd","rd","th"),"")</f>
        <v/>
      </c>
    </row>
    <row r="668" spans="4:10" x14ac:dyDescent="0.25">
      <c r="D668" s="201" t="str">
        <f t="shared" si="10"/>
        <v/>
      </c>
      <c r="J668" s="201" t="str">
        <f>IFERROR(COUNTIF($C$23:C668,C668)&amp;CHOOSE(MIN(4,COUNTIF($C$23:C668,C668)),"st","nd","rd","th"),"")</f>
        <v/>
      </c>
    </row>
    <row r="669" spans="4:10" x14ac:dyDescent="0.25">
      <c r="D669" s="201" t="str">
        <f t="shared" si="10"/>
        <v/>
      </c>
      <c r="J669" s="201" t="str">
        <f>IFERROR(COUNTIF($C$23:C669,C669)&amp;CHOOSE(MIN(4,COUNTIF($C$23:C669,C669)),"st","nd","rd","th"),"")</f>
        <v/>
      </c>
    </row>
    <row r="670" spans="4:10" x14ac:dyDescent="0.25">
      <c r="D670" s="201" t="str">
        <f t="shared" si="10"/>
        <v/>
      </c>
      <c r="J670" s="201" t="str">
        <f>IFERROR(COUNTIF($C$23:C670,C670)&amp;CHOOSE(MIN(4,COUNTIF($C$23:C670,C670)),"st","nd","rd","th"),"")</f>
        <v/>
      </c>
    </row>
    <row r="671" spans="4:10" x14ac:dyDescent="0.25">
      <c r="D671" s="201" t="str">
        <f t="shared" si="10"/>
        <v/>
      </c>
      <c r="J671" s="201" t="str">
        <f>IFERROR(COUNTIF($C$23:C671,C671)&amp;CHOOSE(MIN(4,COUNTIF($C$23:C671,C671)),"st","nd","rd","th"),"")</f>
        <v/>
      </c>
    </row>
    <row r="672" spans="4:10" x14ac:dyDescent="0.25">
      <c r="D672" s="201" t="str">
        <f t="shared" si="10"/>
        <v/>
      </c>
      <c r="J672" s="201" t="str">
        <f>IFERROR(COUNTIF($C$23:C672,C672)&amp;CHOOSE(MIN(4,COUNTIF($C$23:C672,C672)),"st","nd","rd","th"),"")</f>
        <v/>
      </c>
    </row>
    <row r="673" spans="4:10" x14ac:dyDescent="0.25">
      <c r="D673" s="201" t="str">
        <f t="shared" si="10"/>
        <v/>
      </c>
      <c r="J673" s="201" t="str">
        <f>IFERROR(COUNTIF($C$23:C673,C673)&amp;CHOOSE(MIN(4,COUNTIF($C$23:C673,C673)),"st","nd","rd","th"),"")</f>
        <v/>
      </c>
    </row>
    <row r="674" spans="4:10" x14ac:dyDescent="0.25">
      <c r="D674" s="201" t="str">
        <f t="shared" si="10"/>
        <v/>
      </c>
      <c r="J674" s="201" t="str">
        <f>IFERROR(COUNTIF($C$23:C674,C674)&amp;CHOOSE(MIN(4,COUNTIF($C$23:C674,C674)),"st","nd","rd","th"),"")</f>
        <v/>
      </c>
    </row>
    <row r="675" spans="4:10" x14ac:dyDescent="0.25">
      <c r="D675" s="201" t="str">
        <f t="shared" si="10"/>
        <v/>
      </c>
      <c r="J675" s="201" t="str">
        <f>IFERROR(COUNTIF($C$23:C675,C675)&amp;CHOOSE(MIN(4,COUNTIF($C$23:C675,C675)),"st","nd","rd","th"),"")</f>
        <v/>
      </c>
    </row>
    <row r="676" spans="4:10" x14ac:dyDescent="0.25">
      <c r="D676" s="201" t="str">
        <f t="shared" si="10"/>
        <v/>
      </c>
      <c r="J676" s="201" t="str">
        <f>IFERROR(COUNTIF($C$23:C676,C676)&amp;CHOOSE(MIN(4,COUNTIF($C$23:C676,C676)),"st","nd","rd","th"),"")</f>
        <v/>
      </c>
    </row>
    <row r="677" spans="4:10" x14ac:dyDescent="0.25">
      <c r="D677" s="201" t="str">
        <f t="shared" si="10"/>
        <v/>
      </c>
      <c r="J677" s="201" t="str">
        <f>IFERROR(COUNTIF($C$23:C677,C677)&amp;CHOOSE(MIN(4,COUNTIF($C$23:C677,C677)),"st","nd","rd","th"),"")</f>
        <v/>
      </c>
    </row>
    <row r="678" spans="4:10" x14ac:dyDescent="0.25">
      <c r="D678" s="201" t="str">
        <f t="shared" si="10"/>
        <v/>
      </c>
      <c r="J678" s="201" t="str">
        <f>IFERROR(COUNTIF($C$23:C678,C678)&amp;CHOOSE(MIN(4,COUNTIF($C$23:C678,C678)),"st","nd","rd","th"),"")</f>
        <v/>
      </c>
    </row>
    <row r="679" spans="4:10" x14ac:dyDescent="0.25">
      <c r="D679" s="201" t="str">
        <f t="shared" si="10"/>
        <v/>
      </c>
      <c r="J679" s="201" t="str">
        <f>IFERROR(COUNTIF($C$23:C679,C679)&amp;CHOOSE(MIN(4,COUNTIF($C$23:C679,C679)),"st","nd","rd","th"),"")</f>
        <v/>
      </c>
    </row>
    <row r="680" spans="4:10" x14ac:dyDescent="0.25">
      <c r="D680" s="201" t="str">
        <f t="shared" si="10"/>
        <v/>
      </c>
      <c r="J680" s="201" t="str">
        <f>IFERROR(COUNTIF($C$23:C680,C680)&amp;CHOOSE(MIN(4,COUNTIF($C$23:C680,C680)),"st","nd","rd","th"),"")</f>
        <v/>
      </c>
    </row>
    <row r="681" spans="4:10" x14ac:dyDescent="0.25">
      <c r="D681" s="201" t="str">
        <f t="shared" si="10"/>
        <v/>
      </c>
      <c r="J681" s="201" t="str">
        <f>IFERROR(COUNTIF($C$23:C681,C681)&amp;CHOOSE(MIN(4,COUNTIF($C$23:C681,C681)),"st","nd","rd","th"),"")</f>
        <v/>
      </c>
    </row>
    <row r="682" spans="4:10" x14ac:dyDescent="0.25">
      <c r="D682" s="201" t="str">
        <f t="shared" si="10"/>
        <v/>
      </c>
      <c r="J682" s="201" t="str">
        <f>IFERROR(COUNTIF($C$23:C682,C682)&amp;CHOOSE(MIN(4,COUNTIF($C$23:C682,C682)),"st","nd","rd","th"),"")</f>
        <v/>
      </c>
    </row>
    <row r="683" spans="4:10" x14ac:dyDescent="0.25">
      <c r="D683" s="201" t="str">
        <f t="shared" si="10"/>
        <v/>
      </c>
      <c r="J683" s="201" t="str">
        <f>IFERROR(COUNTIF($C$23:C683,C683)&amp;CHOOSE(MIN(4,COUNTIF($C$23:C683,C683)),"st","nd","rd","th"),"")</f>
        <v/>
      </c>
    </row>
    <row r="684" spans="4:10" x14ac:dyDescent="0.25">
      <c r="D684" s="201" t="str">
        <f t="shared" si="10"/>
        <v/>
      </c>
      <c r="J684" s="201" t="str">
        <f>IFERROR(COUNTIF($C$23:C684,C684)&amp;CHOOSE(MIN(4,COUNTIF($C$23:C684,C684)),"st","nd","rd","th"),"")</f>
        <v/>
      </c>
    </row>
    <row r="685" spans="4:10" x14ac:dyDescent="0.25">
      <c r="D685" s="201" t="str">
        <f t="shared" si="10"/>
        <v/>
      </c>
      <c r="J685" s="201" t="str">
        <f>IFERROR(COUNTIF($C$23:C685,C685)&amp;CHOOSE(MIN(4,COUNTIF($C$23:C685,C685)),"st","nd","rd","th"),"")</f>
        <v/>
      </c>
    </row>
    <row r="686" spans="4:10" x14ac:dyDescent="0.25">
      <c r="D686" s="201" t="str">
        <f t="shared" si="10"/>
        <v/>
      </c>
      <c r="J686" s="201" t="str">
        <f>IFERROR(COUNTIF($C$23:C686,C686)&amp;CHOOSE(MIN(4,COUNTIF($C$23:C686,C686)),"st","nd","rd","th"),"")</f>
        <v/>
      </c>
    </row>
    <row r="687" spans="4:10" x14ac:dyDescent="0.25">
      <c r="D687" s="201" t="str">
        <f t="shared" si="10"/>
        <v/>
      </c>
      <c r="J687" s="201" t="str">
        <f>IFERROR(COUNTIF($C$23:C687,C687)&amp;CHOOSE(MIN(4,COUNTIF($C$23:C687,C687)),"st","nd","rd","th"),"")</f>
        <v/>
      </c>
    </row>
    <row r="688" spans="4:10" x14ac:dyDescent="0.25">
      <c r="D688" s="201" t="str">
        <f t="shared" si="10"/>
        <v/>
      </c>
      <c r="J688" s="201" t="str">
        <f>IFERROR(COUNTIF($C$23:C688,C688)&amp;CHOOSE(MIN(4,COUNTIF($C$23:C688,C688)),"st","nd","rd","th"),"")</f>
        <v/>
      </c>
    </row>
    <row r="689" spans="4:10" x14ac:dyDescent="0.25">
      <c r="D689" s="201" t="str">
        <f t="shared" si="10"/>
        <v/>
      </c>
      <c r="J689" s="201" t="str">
        <f>IFERROR(COUNTIF($C$23:C689,C689)&amp;CHOOSE(MIN(4,COUNTIF($C$23:C689,C689)),"st","nd","rd","th"),"")</f>
        <v/>
      </c>
    </row>
    <row r="690" spans="4:10" x14ac:dyDescent="0.25">
      <c r="D690" s="201" t="str">
        <f t="shared" si="10"/>
        <v/>
      </c>
      <c r="J690" s="201" t="str">
        <f>IFERROR(COUNTIF($C$23:C690,C690)&amp;CHOOSE(MIN(4,COUNTIF($C$23:C690,C690)),"st","nd","rd","th"),"")</f>
        <v/>
      </c>
    </row>
    <row r="691" spans="4:10" x14ac:dyDescent="0.25">
      <c r="D691" s="201" t="str">
        <f t="shared" si="10"/>
        <v/>
      </c>
      <c r="J691" s="201" t="str">
        <f>IFERROR(COUNTIF($C$23:C691,C691)&amp;CHOOSE(MIN(4,COUNTIF($C$23:C691,C691)),"st","nd","rd","th"),"")</f>
        <v/>
      </c>
    </row>
    <row r="692" spans="4:10" x14ac:dyDescent="0.25">
      <c r="D692" s="201" t="str">
        <f t="shared" si="10"/>
        <v/>
      </c>
      <c r="J692" s="201" t="str">
        <f>IFERROR(COUNTIF($C$23:C692,C692)&amp;CHOOSE(MIN(4,COUNTIF($C$23:C692,C692)),"st","nd","rd","th"),"")</f>
        <v/>
      </c>
    </row>
    <row r="693" spans="4:10" x14ac:dyDescent="0.25">
      <c r="D693" s="201" t="str">
        <f t="shared" si="10"/>
        <v/>
      </c>
      <c r="J693" s="201" t="str">
        <f>IFERROR(COUNTIF($C$23:C693,C693)&amp;CHOOSE(MIN(4,COUNTIF($C$23:C693,C693)),"st","nd","rd","th"),"")</f>
        <v/>
      </c>
    </row>
    <row r="694" spans="4:10" x14ac:dyDescent="0.25">
      <c r="D694" s="201" t="str">
        <f t="shared" si="10"/>
        <v/>
      </c>
      <c r="J694" s="201" t="str">
        <f>IFERROR(COUNTIF($C$23:C694,C694)&amp;CHOOSE(MIN(4,COUNTIF($C$23:C694,C694)),"st","nd","rd","th"),"")</f>
        <v/>
      </c>
    </row>
    <row r="695" spans="4:10" x14ac:dyDescent="0.25">
      <c r="D695" s="201" t="str">
        <f t="shared" si="10"/>
        <v/>
      </c>
      <c r="J695" s="201" t="str">
        <f>IFERROR(COUNTIF($C$23:C695,C695)&amp;CHOOSE(MIN(4,COUNTIF($C$23:C695,C695)),"st","nd","rd","th"),"")</f>
        <v/>
      </c>
    </row>
    <row r="696" spans="4:10" x14ac:dyDescent="0.25">
      <c r="D696" s="201" t="str">
        <f t="shared" si="10"/>
        <v/>
      </c>
      <c r="J696" s="201" t="str">
        <f>IFERROR(COUNTIF($C$23:C696,C696)&amp;CHOOSE(MIN(4,COUNTIF($C$23:C696,C696)),"st","nd","rd","th"),"")</f>
        <v/>
      </c>
    </row>
    <row r="697" spans="4:10" x14ac:dyDescent="0.25">
      <c r="D697" s="201" t="str">
        <f t="shared" si="10"/>
        <v/>
      </c>
      <c r="J697" s="201" t="str">
        <f>IFERROR(COUNTIF($C$23:C697,C697)&amp;CHOOSE(MIN(4,COUNTIF($C$23:C697,C697)),"st","nd","rd","th"),"")</f>
        <v/>
      </c>
    </row>
    <row r="698" spans="4:10" x14ac:dyDescent="0.25">
      <c r="D698" s="201" t="str">
        <f t="shared" si="10"/>
        <v/>
      </c>
      <c r="J698" s="201" t="str">
        <f>IFERROR(COUNTIF($C$23:C698,C698)&amp;CHOOSE(MIN(4,COUNTIF($C$23:C698,C698)),"st","nd","rd","th"),"")</f>
        <v/>
      </c>
    </row>
    <row r="699" spans="4:10" x14ac:dyDescent="0.25">
      <c r="D699" s="201" t="str">
        <f t="shared" si="10"/>
        <v/>
      </c>
      <c r="J699" s="201" t="str">
        <f>IFERROR(COUNTIF($C$23:C699,C699)&amp;CHOOSE(MIN(4,COUNTIF($C$23:C699,C699)),"st","nd","rd","th"),"")</f>
        <v/>
      </c>
    </row>
    <row r="700" spans="4:10" x14ac:dyDescent="0.25">
      <c r="D700" s="201" t="str">
        <f t="shared" si="10"/>
        <v/>
      </c>
      <c r="J700" s="201" t="str">
        <f>IFERROR(COUNTIF($C$23:C700,C700)&amp;CHOOSE(MIN(4,COUNTIF($C$23:C700,C700)),"st","nd","rd","th"),"")</f>
        <v/>
      </c>
    </row>
    <row r="701" spans="4:10" x14ac:dyDescent="0.25">
      <c r="D701" s="201" t="str">
        <f t="shared" si="10"/>
        <v/>
      </c>
      <c r="J701" s="201" t="str">
        <f>IFERROR(COUNTIF($C$23:C701,C701)&amp;CHOOSE(MIN(4,COUNTIF($C$23:C701,C701)),"st","nd","rd","th"),"")</f>
        <v/>
      </c>
    </row>
    <row r="702" spans="4:10" x14ac:dyDescent="0.25">
      <c r="D702" s="201" t="str">
        <f t="shared" si="10"/>
        <v/>
      </c>
      <c r="J702" s="201" t="str">
        <f>IFERROR(COUNTIF($C$23:C702,C702)&amp;CHOOSE(MIN(4,COUNTIF($C$23:C702,C702)),"st","nd","rd","th"),"")</f>
        <v/>
      </c>
    </row>
    <row r="703" spans="4:10" x14ac:dyDescent="0.25">
      <c r="D703" s="201" t="str">
        <f t="shared" si="10"/>
        <v/>
      </c>
      <c r="J703" s="201" t="str">
        <f>IFERROR(COUNTIF($C$23:C703,C703)&amp;CHOOSE(MIN(4,COUNTIF($C$23:C703,C703)),"st","nd","rd","th"),"")</f>
        <v/>
      </c>
    </row>
    <row r="704" spans="4:10" x14ac:dyDescent="0.25">
      <c r="D704" s="201" t="str">
        <f t="shared" si="10"/>
        <v/>
      </c>
      <c r="J704" s="201" t="str">
        <f>IFERROR(COUNTIF($C$23:C704,C704)&amp;CHOOSE(MIN(4,COUNTIF($C$23:C704,C704)),"st","nd","rd","th"),"")</f>
        <v/>
      </c>
    </row>
    <row r="705" spans="4:10" x14ac:dyDescent="0.25">
      <c r="D705" s="201" t="str">
        <f t="shared" si="10"/>
        <v/>
      </c>
      <c r="J705" s="201" t="str">
        <f>IFERROR(COUNTIF($C$23:C705,C705)&amp;CHOOSE(MIN(4,COUNTIF($C$23:C705,C705)),"st","nd","rd","th"),"")</f>
        <v/>
      </c>
    </row>
    <row r="706" spans="4:10" x14ac:dyDescent="0.25">
      <c r="D706" s="201" t="str">
        <f t="shared" si="10"/>
        <v/>
      </c>
      <c r="J706" s="201" t="str">
        <f>IFERROR(COUNTIF($C$23:C706,C706)&amp;CHOOSE(MIN(4,COUNTIF($C$23:C706,C706)),"st","nd","rd","th"),"")</f>
        <v/>
      </c>
    </row>
    <row r="707" spans="4:10" x14ac:dyDescent="0.25">
      <c r="D707" s="201" t="str">
        <f t="shared" si="10"/>
        <v/>
      </c>
      <c r="J707" s="201" t="str">
        <f>IFERROR(COUNTIF($C$23:C707,C707)&amp;CHOOSE(MIN(4,COUNTIF($C$23:C707,C707)),"st","nd","rd","th"),"")</f>
        <v/>
      </c>
    </row>
    <row r="708" spans="4:10" x14ac:dyDescent="0.25">
      <c r="D708" s="201" t="str">
        <f t="shared" si="10"/>
        <v/>
      </c>
      <c r="J708" s="201" t="str">
        <f>IFERROR(COUNTIF($C$23:C708,C708)&amp;CHOOSE(MIN(4,COUNTIF($C$23:C708,C708)),"st","nd","rd","th"),"")</f>
        <v/>
      </c>
    </row>
    <row r="709" spans="4:10" x14ac:dyDescent="0.25">
      <c r="D709" s="201" t="str">
        <f t="shared" si="10"/>
        <v/>
      </c>
      <c r="J709" s="201" t="str">
        <f>IFERROR(COUNTIF($C$23:C709,C709)&amp;CHOOSE(MIN(4,COUNTIF($C$23:C709,C709)),"st","nd","rd","th"),"")</f>
        <v/>
      </c>
    </row>
    <row r="710" spans="4:10" x14ac:dyDescent="0.25">
      <c r="D710" s="201" t="str">
        <f t="shared" si="10"/>
        <v/>
      </c>
      <c r="J710" s="201" t="str">
        <f>IFERROR(COUNTIF($C$23:C710,C710)&amp;CHOOSE(MIN(4,COUNTIF($C$23:C710,C710)),"st","nd","rd","th"),"")</f>
        <v/>
      </c>
    </row>
    <row r="711" spans="4:10" x14ac:dyDescent="0.25">
      <c r="D711" s="201" t="str">
        <f t="shared" si="10"/>
        <v/>
      </c>
      <c r="J711" s="201" t="str">
        <f>IFERROR(COUNTIF($C$23:C711,C711)&amp;CHOOSE(MIN(4,COUNTIF($C$23:C711,C711)),"st","nd","rd","th"),"")</f>
        <v/>
      </c>
    </row>
    <row r="712" spans="4:10" x14ac:dyDescent="0.25">
      <c r="D712" s="201" t="str">
        <f t="shared" si="10"/>
        <v/>
      </c>
      <c r="J712" s="201" t="str">
        <f>IFERROR(COUNTIF($C$23:C712,C712)&amp;CHOOSE(MIN(4,COUNTIF($C$23:C712,C712)),"st","nd","rd","th"),"")</f>
        <v/>
      </c>
    </row>
    <row r="713" spans="4:10" x14ac:dyDescent="0.25">
      <c r="D713" s="201" t="str">
        <f t="shared" si="10"/>
        <v/>
      </c>
      <c r="J713" s="201" t="str">
        <f>IFERROR(COUNTIF($C$23:C713,C713)&amp;CHOOSE(MIN(4,COUNTIF($C$23:C713,C713)),"st","nd","rd","th"),"")</f>
        <v/>
      </c>
    </row>
    <row r="714" spans="4:10" x14ac:dyDescent="0.25">
      <c r="D714" s="201" t="str">
        <f t="shared" si="10"/>
        <v/>
      </c>
      <c r="J714" s="201" t="str">
        <f>IFERROR(COUNTIF($C$23:C714,C714)&amp;CHOOSE(MIN(4,COUNTIF($C$23:C714,C714)),"st","nd","rd","th"),"")</f>
        <v/>
      </c>
    </row>
    <row r="715" spans="4:10" x14ac:dyDescent="0.25">
      <c r="D715" s="201" t="str">
        <f t="shared" si="10"/>
        <v/>
      </c>
      <c r="J715" s="201" t="str">
        <f>IFERROR(COUNTIF($C$23:C715,C715)&amp;CHOOSE(MIN(4,COUNTIF($C$23:C715,C715)),"st","nd","rd","th"),"")</f>
        <v/>
      </c>
    </row>
    <row r="716" spans="4:10" x14ac:dyDescent="0.25">
      <c r="D716" s="201" t="str">
        <f t="shared" si="10"/>
        <v/>
      </c>
      <c r="J716" s="201" t="str">
        <f>IFERROR(COUNTIF($C$23:C716,C716)&amp;CHOOSE(MIN(4,COUNTIF($C$23:C716,C716)),"st","nd","rd","th"),"")</f>
        <v/>
      </c>
    </row>
    <row r="717" spans="4:10" x14ac:dyDescent="0.25">
      <c r="D717" s="201" t="str">
        <f t="shared" si="10"/>
        <v/>
      </c>
      <c r="J717" s="201" t="str">
        <f>IFERROR(COUNTIF($C$23:C717,C717)&amp;CHOOSE(MIN(4,COUNTIF($C$23:C717,C717)),"st","nd","rd","th"),"")</f>
        <v/>
      </c>
    </row>
    <row r="718" spans="4:10" x14ac:dyDescent="0.25">
      <c r="D718" s="201" t="str">
        <f t="shared" si="10"/>
        <v/>
      </c>
      <c r="J718" s="201" t="str">
        <f>IFERROR(COUNTIF($C$23:C718,C718)&amp;CHOOSE(MIN(4,COUNTIF($C$23:C718,C718)),"st","nd","rd","th"),"")</f>
        <v/>
      </c>
    </row>
    <row r="719" spans="4:10" x14ac:dyDescent="0.25">
      <c r="D719" s="201" t="str">
        <f t="shared" si="10"/>
        <v/>
      </c>
      <c r="J719" s="201" t="str">
        <f>IFERROR(COUNTIF($C$23:C719,C719)&amp;CHOOSE(MIN(4,COUNTIF($C$23:C719,C719)),"st","nd","rd","th"),"")</f>
        <v/>
      </c>
    </row>
    <row r="720" spans="4:10" x14ac:dyDescent="0.25">
      <c r="D720" s="201" t="str">
        <f t="shared" si="10"/>
        <v/>
      </c>
      <c r="J720" s="201" t="str">
        <f>IFERROR(COUNTIF($C$23:C720,C720)&amp;CHOOSE(MIN(4,COUNTIF($C$23:C720,C720)),"st","nd","rd","th"),"")</f>
        <v/>
      </c>
    </row>
    <row r="721" spans="4:10" x14ac:dyDescent="0.25">
      <c r="D721" s="201" t="str">
        <f t="shared" si="10"/>
        <v/>
      </c>
      <c r="J721" s="201" t="str">
        <f>IFERROR(COUNTIF($C$23:C721,C721)&amp;CHOOSE(MIN(4,COUNTIF($C$23:C721,C721)),"st","nd","rd","th"),"")</f>
        <v/>
      </c>
    </row>
    <row r="722" spans="4:10" x14ac:dyDescent="0.25">
      <c r="D722" s="201" t="str">
        <f t="shared" si="10"/>
        <v/>
      </c>
      <c r="J722" s="201" t="str">
        <f>IFERROR(COUNTIF($C$23:C722,C722)&amp;CHOOSE(MIN(4,COUNTIF($C$23:C722,C722)),"st","nd","rd","th"),"")</f>
        <v/>
      </c>
    </row>
    <row r="723" spans="4:10" x14ac:dyDescent="0.25">
      <c r="D723" s="201" t="str">
        <f t="shared" si="10"/>
        <v/>
      </c>
      <c r="J723" s="201" t="str">
        <f>IFERROR(COUNTIF($C$23:C723,C723)&amp;CHOOSE(MIN(4,COUNTIF($C$23:C723,C723)),"st","nd","rd","th"),"")</f>
        <v/>
      </c>
    </row>
    <row r="724" spans="4:10" x14ac:dyDescent="0.25">
      <c r="D724" s="201" t="str">
        <f t="shared" si="10"/>
        <v/>
      </c>
      <c r="J724" s="201" t="str">
        <f>IFERROR(COUNTIF($C$23:C724,C724)&amp;CHOOSE(MIN(4,COUNTIF($C$23:C724,C724)),"st","nd","rd","th"),"")</f>
        <v/>
      </c>
    </row>
    <row r="725" spans="4:10" x14ac:dyDescent="0.25">
      <c r="D725" s="201" t="str">
        <f t="shared" si="10"/>
        <v/>
      </c>
      <c r="J725" s="201" t="str">
        <f>IFERROR(COUNTIF($C$23:C725,C725)&amp;CHOOSE(MIN(4,COUNTIF($C$23:C725,C725)),"st","nd","rd","th"),"")</f>
        <v/>
      </c>
    </row>
    <row r="726" spans="4:10" x14ac:dyDescent="0.25">
      <c r="D726" s="201" t="str">
        <f t="shared" si="10"/>
        <v/>
      </c>
      <c r="J726" s="201" t="str">
        <f>IFERROR(COUNTIF($C$23:C726,C726)&amp;CHOOSE(MIN(4,COUNTIF($C$23:C726,C726)),"st","nd","rd","th"),"")</f>
        <v/>
      </c>
    </row>
    <row r="727" spans="4:10" x14ac:dyDescent="0.25">
      <c r="D727" s="201" t="str">
        <f t="shared" ref="D727:D790" si="11">IF(B727="","",IF(B727="Province_PLGU","PDPFP","CLUP"))</f>
        <v/>
      </c>
      <c r="J727" s="201" t="str">
        <f>IFERROR(COUNTIF($C$23:C727,C727)&amp;CHOOSE(MIN(4,COUNTIF($C$23:C727,C727)),"st","nd","rd","th"),"")</f>
        <v/>
      </c>
    </row>
    <row r="728" spans="4:10" x14ac:dyDescent="0.25">
      <c r="D728" s="201" t="str">
        <f t="shared" si="11"/>
        <v/>
      </c>
      <c r="J728" s="201" t="str">
        <f>IFERROR(COUNTIF($C$23:C728,C728)&amp;CHOOSE(MIN(4,COUNTIF($C$23:C728,C728)),"st","nd","rd","th"),"")</f>
        <v/>
      </c>
    </row>
    <row r="729" spans="4:10" x14ac:dyDescent="0.25">
      <c r="D729" s="201" t="str">
        <f t="shared" si="11"/>
        <v/>
      </c>
      <c r="J729" s="201" t="str">
        <f>IFERROR(COUNTIF($C$23:C729,C729)&amp;CHOOSE(MIN(4,COUNTIF($C$23:C729,C729)),"st","nd","rd","th"),"")</f>
        <v/>
      </c>
    </row>
    <row r="730" spans="4:10" x14ac:dyDescent="0.25">
      <c r="D730" s="201" t="str">
        <f t="shared" si="11"/>
        <v/>
      </c>
      <c r="J730" s="201" t="str">
        <f>IFERROR(COUNTIF($C$23:C730,C730)&amp;CHOOSE(MIN(4,COUNTIF($C$23:C730,C730)),"st","nd","rd","th"),"")</f>
        <v/>
      </c>
    </row>
    <row r="731" spans="4:10" x14ac:dyDescent="0.25">
      <c r="D731" s="201" t="str">
        <f t="shared" si="11"/>
        <v/>
      </c>
      <c r="J731" s="201" t="str">
        <f>IFERROR(COUNTIF($C$23:C731,C731)&amp;CHOOSE(MIN(4,COUNTIF($C$23:C731,C731)),"st","nd","rd","th"),"")</f>
        <v/>
      </c>
    </row>
    <row r="732" spans="4:10" x14ac:dyDescent="0.25">
      <c r="D732" s="201" t="str">
        <f t="shared" si="11"/>
        <v/>
      </c>
      <c r="J732" s="201" t="str">
        <f>IFERROR(COUNTIF($C$23:C732,C732)&amp;CHOOSE(MIN(4,COUNTIF($C$23:C732,C732)),"st","nd","rd","th"),"")</f>
        <v/>
      </c>
    </row>
    <row r="733" spans="4:10" x14ac:dyDescent="0.25">
      <c r="D733" s="201" t="str">
        <f t="shared" si="11"/>
        <v/>
      </c>
      <c r="J733" s="201" t="str">
        <f>IFERROR(COUNTIF($C$23:C733,C733)&amp;CHOOSE(MIN(4,COUNTIF($C$23:C733,C733)),"st","nd","rd","th"),"")</f>
        <v/>
      </c>
    </row>
    <row r="734" spans="4:10" x14ac:dyDescent="0.25">
      <c r="D734" s="201" t="str">
        <f t="shared" si="11"/>
        <v/>
      </c>
      <c r="J734" s="201" t="str">
        <f>IFERROR(COUNTIF($C$23:C734,C734)&amp;CHOOSE(MIN(4,COUNTIF($C$23:C734,C734)),"st","nd","rd","th"),"")</f>
        <v/>
      </c>
    </row>
    <row r="735" spans="4:10" x14ac:dyDescent="0.25">
      <c r="D735" s="201" t="str">
        <f t="shared" si="11"/>
        <v/>
      </c>
      <c r="J735" s="201" t="str">
        <f>IFERROR(COUNTIF($C$23:C735,C735)&amp;CHOOSE(MIN(4,COUNTIF($C$23:C735,C735)),"st","nd","rd","th"),"")</f>
        <v/>
      </c>
    </row>
    <row r="736" spans="4:10" x14ac:dyDescent="0.25">
      <c r="D736" s="201" t="str">
        <f t="shared" si="11"/>
        <v/>
      </c>
      <c r="J736" s="201" t="str">
        <f>IFERROR(COUNTIF($C$23:C736,C736)&amp;CHOOSE(MIN(4,COUNTIF($C$23:C736,C736)),"st","nd","rd","th"),"")</f>
        <v/>
      </c>
    </row>
    <row r="737" spans="4:10" x14ac:dyDescent="0.25">
      <c r="D737" s="201" t="str">
        <f t="shared" si="11"/>
        <v/>
      </c>
      <c r="J737" s="201" t="str">
        <f>IFERROR(COUNTIF($C$23:C737,C737)&amp;CHOOSE(MIN(4,COUNTIF($C$23:C737,C737)),"st","nd","rd","th"),"")</f>
        <v/>
      </c>
    </row>
    <row r="738" spans="4:10" x14ac:dyDescent="0.25">
      <c r="D738" s="201" t="str">
        <f t="shared" si="11"/>
        <v/>
      </c>
      <c r="J738" s="201" t="str">
        <f>IFERROR(COUNTIF($C$23:C738,C738)&amp;CHOOSE(MIN(4,COUNTIF($C$23:C738,C738)),"st","nd","rd","th"),"")</f>
        <v/>
      </c>
    </row>
    <row r="739" spans="4:10" x14ac:dyDescent="0.25">
      <c r="D739" s="201" t="str">
        <f t="shared" si="11"/>
        <v/>
      </c>
      <c r="J739" s="201" t="str">
        <f>IFERROR(COUNTIF($C$23:C739,C739)&amp;CHOOSE(MIN(4,COUNTIF($C$23:C739,C739)),"st","nd","rd","th"),"")</f>
        <v/>
      </c>
    </row>
    <row r="740" spans="4:10" x14ac:dyDescent="0.25">
      <c r="D740" s="201" t="str">
        <f t="shared" si="11"/>
        <v/>
      </c>
      <c r="J740" s="201" t="str">
        <f>IFERROR(COUNTIF($C$23:C740,C740)&amp;CHOOSE(MIN(4,COUNTIF($C$23:C740,C740)),"st","nd","rd","th"),"")</f>
        <v/>
      </c>
    </row>
    <row r="741" spans="4:10" x14ac:dyDescent="0.25">
      <c r="D741" s="201" t="str">
        <f t="shared" si="11"/>
        <v/>
      </c>
      <c r="J741" s="201" t="str">
        <f>IFERROR(COUNTIF($C$23:C741,C741)&amp;CHOOSE(MIN(4,COUNTIF($C$23:C741,C741)),"st","nd","rd","th"),"")</f>
        <v/>
      </c>
    </row>
    <row r="742" spans="4:10" x14ac:dyDescent="0.25">
      <c r="D742" s="201" t="str">
        <f t="shared" si="11"/>
        <v/>
      </c>
      <c r="J742" s="201" t="str">
        <f>IFERROR(COUNTIF($C$23:C742,C742)&amp;CHOOSE(MIN(4,COUNTIF($C$23:C742,C742)),"st","nd","rd","th"),"")</f>
        <v/>
      </c>
    </row>
    <row r="743" spans="4:10" x14ac:dyDescent="0.25">
      <c r="D743" s="201" t="str">
        <f t="shared" si="11"/>
        <v/>
      </c>
      <c r="J743" s="201" t="str">
        <f>IFERROR(COUNTIF($C$23:C743,C743)&amp;CHOOSE(MIN(4,COUNTIF($C$23:C743,C743)),"st","nd","rd","th"),"")</f>
        <v/>
      </c>
    </row>
    <row r="744" spans="4:10" x14ac:dyDescent="0.25">
      <c r="D744" s="201" t="str">
        <f t="shared" si="11"/>
        <v/>
      </c>
      <c r="J744" s="201" t="str">
        <f>IFERROR(COUNTIF($C$23:C744,C744)&amp;CHOOSE(MIN(4,COUNTIF($C$23:C744,C744)),"st","nd","rd","th"),"")</f>
        <v/>
      </c>
    </row>
    <row r="745" spans="4:10" x14ac:dyDescent="0.25">
      <c r="D745" s="201" t="str">
        <f t="shared" si="11"/>
        <v/>
      </c>
      <c r="J745" s="201" t="str">
        <f>IFERROR(COUNTIF($C$23:C745,C745)&amp;CHOOSE(MIN(4,COUNTIF($C$23:C745,C745)),"st","nd","rd","th"),"")</f>
        <v/>
      </c>
    </row>
    <row r="746" spans="4:10" x14ac:dyDescent="0.25">
      <c r="D746" s="201" t="str">
        <f t="shared" si="11"/>
        <v/>
      </c>
      <c r="J746" s="201" t="str">
        <f>IFERROR(COUNTIF($C$23:C746,C746)&amp;CHOOSE(MIN(4,COUNTIF($C$23:C746,C746)),"st","nd","rd","th"),"")</f>
        <v/>
      </c>
    </row>
    <row r="747" spans="4:10" x14ac:dyDescent="0.25">
      <c r="D747" s="201" t="str">
        <f t="shared" si="11"/>
        <v/>
      </c>
      <c r="J747" s="201" t="str">
        <f>IFERROR(COUNTIF($C$23:C747,C747)&amp;CHOOSE(MIN(4,COUNTIF($C$23:C747,C747)),"st","nd","rd","th"),"")</f>
        <v/>
      </c>
    </row>
    <row r="748" spans="4:10" x14ac:dyDescent="0.25">
      <c r="D748" s="201" t="str">
        <f t="shared" si="11"/>
        <v/>
      </c>
      <c r="J748" s="201" t="str">
        <f>IFERROR(COUNTIF($C$23:C748,C748)&amp;CHOOSE(MIN(4,COUNTIF($C$23:C748,C748)),"st","nd","rd","th"),"")</f>
        <v/>
      </c>
    </row>
    <row r="749" spans="4:10" x14ac:dyDescent="0.25">
      <c r="D749" s="201" t="str">
        <f t="shared" si="11"/>
        <v/>
      </c>
      <c r="J749" s="201" t="str">
        <f>IFERROR(COUNTIF($C$23:C749,C749)&amp;CHOOSE(MIN(4,COUNTIF($C$23:C749,C749)),"st","nd","rd","th"),"")</f>
        <v/>
      </c>
    </row>
    <row r="750" spans="4:10" x14ac:dyDescent="0.25">
      <c r="D750" s="201" t="str">
        <f t="shared" si="11"/>
        <v/>
      </c>
      <c r="J750" s="201" t="str">
        <f>IFERROR(COUNTIF($C$23:C750,C750)&amp;CHOOSE(MIN(4,COUNTIF($C$23:C750,C750)),"st","nd","rd","th"),"")</f>
        <v/>
      </c>
    </row>
    <row r="751" spans="4:10" x14ac:dyDescent="0.25">
      <c r="D751" s="201" t="str">
        <f t="shared" si="11"/>
        <v/>
      </c>
      <c r="J751" s="201" t="str">
        <f>IFERROR(COUNTIF($C$23:C751,C751)&amp;CHOOSE(MIN(4,COUNTIF($C$23:C751,C751)),"st","nd","rd","th"),"")</f>
        <v/>
      </c>
    </row>
    <row r="752" spans="4:10" x14ac:dyDescent="0.25">
      <c r="D752" s="201" t="str">
        <f t="shared" si="11"/>
        <v/>
      </c>
      <c r="J752" s="201" t="str">
        <f>IFERROR(COUNTIF($C$23:C752,C752)&amp;CHOOSE(MIN(4,COUNTIF($C$23:C752,C752)),"st","nd","rd","th"),"")</f>
        <v/>
      </c>
    </row>
    <row r="753" spans="4:10" x14ac:dyDescent="0.25">
      <c r="D753" s="201" t="str">
        <f t="shared" si="11"/>
        <v/>
      </c>
      <c r="J753" s="201" t="str">
        <f>IFERROR(COUNTIF($C$23:C753,C753)&amp;CHOOSE(MIN(4,COUNTIF($C$23:C753,C753)),"st","nd","rd","th"),"")</f>
        <v/>
      </c>
    </row>
    <row r="754" spans="4:10" x14ac:dyDescent="0.25">
      <c r="D754" s="201" t="str">
        <f t="shared" si="11"/>
        <v/>
      </c>
      <c r="J754" s="201" t="str">
        <f>IFERROR(COUNTIF($C$23:C754,C754)&amp;CHOOSE(MIN(4,COUNTIF($C$23:C754,C754)),"st","nd","rd","th"),"")</f>
        <v/>
      </c>
    </row>
    <row r="755" spans="4:10" x14ac:dyDescent="0.25">
      <c r="D755" s="201" t="str">
        <f t="shared" si="11"/>
        <v/>
      </c>
      <c r="J755" s="201" t="str">
        <f>IFERROR(COUNTIF($C$23:C755,C755)&amp;CHOOSE(MIN(4,COUNTIF($C$23:C755,C755)),"st","nd","rd","th"),"")</f>
        <v/>
      </c>
    </row>
    <row r="756" spans="4:10" x14ac:dyDescent="0.25">
      <c r="D756" s="201" t="str">
        <f t="shared" si="11"/>
        <v/>
      </c>
      <c r="J756" s="201" t="str">
        <f>IFERROR(COUNTIF($C$23:C756,C756)&amp;CHOOSE(MIN(4,COUNTIF($C$23:C756,C756)),"st","nd","rd","th"),"")</f>
        <v/>
      </c>
    </row>
    <row r="757" spans="4:10" x14ac:dyDescent="0.25">
      <c r="D757" s="201" t="str">
        <f t="shared" si="11"/>
        <v/>
      </c>
      <c r="J757" s="201" t="str">
        <f>IFERROR(COUNTIF($C$23:C757,C757)&amp;CHOOSE(MIN(4,COUNTIF($C$23:C757,C757)),"st","nd","rd","th"),"")</f>
        <v/>
      </c>
    </row>
    <row r="758" spans="4:10" x14ac:dyDescent="0.25">
      <c r="D758" s="201" t="str">
        <f t="shared" si="11"/>
        <v/>
      </c>
      <c r="J758" s="201" t="str">
        <f>IFERROR(COUNTIF($C$23:C758,C758)&amp;CHOOSE(MIN(4,COUNTIF($C$23:C758,C758)),"st","nd","rd","th"),"")</f>
        <v/>
      </c>
    </row>
    <row r="759" spans="4:10" x14ac:dyDescent="0.25">
      <c r="D759" s="201" t="str">
        <f t="shared" si="11"/>
        <v/>
      </c>
      <c r="J759" s="201" t="str">
        <f>IFERROR(COUNTIF($C$23:C759,C759)&amp;CHOOSE(MIN(4,COUNTIF($C$23:C759,C759)),"st","nd","rd","th"),"")</f>
        <v/>
      </c>
    </row>
    <row r="760" spans="4:10" x14ac:dyDescent="0.25">
      <c r="D760" s="201" t="str">
        <f t="shared" si="11"/>
        <v/>
      </c>
      <c r="J760" s="201" t="str">
        <f>IFERROR(COUNTIF($C$23:C760,C760)&amp;CHOOSE(MIN(4,COUNTIF($C$23:C760,C760)),"st","nd","rd","th"),"")</f>
        <v/>
      </c>
    </row>
    <row r="761" spans="4:10" x14ac:dyDescent="0.25">
      <c r="D761" s="201" t="str">
        <f t="shared" si="11"/>
        <v/>
      </c>
      <c r="J761" s="201" t="str">
        <f>IFERROR(COUNTIF($C$23:C761,C761)&amp;CHOOSE(MIN(4,COUNTIF($C$23:C761,C761)),"st","nd","rd","th"),"")</f>
        <v/>
      </c>
    </row>
    <row r="762" spans="4:10" x14ac:dyDescent="0.25">
      <c r="D762" s="201" t="str">
        <f t="shared" si="11"/>
        <v/>
      </c>
      <c r="J762" s="201" t="str">
        <f>IFERROR(COUNTIF($C$23:C762,C762)&amp;CHOOSE(MIN(4,COUNTIF($C$23:C762,C762)),"st","nd","rd","th"),"")</f>
        <v/>
      </c>
    </row>
    <row r="763" spans="4:10" x14ac:dyDescent="0.25">
      <c r="D763" s="201" t="str">
        <f t="shared" si="11"/>
        <v/>
      </c>
      <c r="J763" s="201" t="str">
        <f>IFERROR(COUNTIF($C$23:C763,C763)&amp;CHOOSE(MIN(4,COUNTIF($C$23:C763,C763)),"st","nd","rd","th"),"")</f>
        <v/>
      </c>
    </row>
    <row r="764" spans="4:10" x14ac:dyDescent="0.25">
      <c r="D764" s="201" t="str">
        <f t="shared" si="11"/>
        <v/>
      </c>
      <c r="J764" s="201" t="str">
        <f>IFERROR(COUNTIF($C$23:C764,C764)&amp;CHOOSE(MIN(4,COUNTIF($C$23:C764,C764)),"st","nd","rd","th"),"")</f>
        <v/>
      </c>
    </row>
    <row r="765" spans="4:10" x14ac:dyDescent="0.25">
      <c r="D765" s="201" t="str">
        <f t="shared" si="11"/>
        <v/>
      </c>
      <c r="J765" s="201" t="str">
        <f>IFERROR(COUNTIF($C$23:C765,C765)&amp;CHOOSE(MIN(4,COUNTIF($C$23:C765,C765)),"st","nd","rd","th"),"")</f>
        <v/>
      </c>
    </row>
    <row r="766" spans="4:10" x14ac:dyDescent="0.25">
      <c r="D766" s="201" t="str">
        <f t="shared" si="11"/>
        <v/>
      </c>
      <c r="J766" s="201" t="str">
        <f>IFERROR(COUNTIF($C$23:C766,C766)&amp;CHOOSE(MIN(4,COUNTIF($C$23:C766,C766)),"st","nd","rd","th"),"")</f>
        <v/>
      </c>
    </row>
    <row r="767" spans="4:10" x14ac:dyDescent="0.25">
      <c r="D767" s="201" t="str">
        <f t="shared" si="11"/>
        <v/>
      </c>
      <c r="J767" s="201" t="str">
        <f>IFERROR(COUNTIF($C$23:C767,C767)&amp;CHOOSE(MIN(4,COUNTIF($C$23:C767,C767)),"st","nd","rd","th"),"")</f>
        <v/>
      </c>
    </row>
    <row r="768" spans="4:10" x14ac:dyDescent="0.25">
      <c r="D768" s="201" t="str">
        <f t="shared" si="11"/>
        <v/>
      </c>
      <c r="J768" s="201" t="str">
        <f>IFERROR(COUNTIF($C$23:C768,C768)&amp;CHOOSE(MIN(4,COUNTIF($C$23:C768,C768)),"st","nd","rd","th"),"")</f>
        <v/>
      </c>
    </row>
    <row r="769" spans="4:10" x14ac:dyDescent="0.25">
      <c r="D769" s="201" t="str">
        <f t="shared" si="11"/>
        <v/>
      </c>
      <c r="J769" s="201" t="str">
        <f>IFERROR(COUNTIF($C$23:C769,C769)&amp;CHOOSE(MIN(4,COUNTIF($C$23:C769,C769)),"st","nd","rd","th"),"")</f>
        <v/>
      </c>
    </row>
    <row r="770" spans="4:10" x14ac:dyDescent="0.25">
      <c r="D770" s="201" t="str">
        <f t="shared" si="11"/>
        <v/>
      </c>
      <c r="J770" s="201" t="str">
        <f>IFERROR(COUNTIF($C$23:C770,C770)&amp;CHOOSE(MIN(4,COUNTIF($C$23:C770,C770)),"st","nd","rd","th"),"")</f>
        <v/>
      </c>
    </row>
    <row r="771" spans="4:10" x14ac:dyDescent="0.25">
      <c r="D771" s="201" t="str">
        <f t="shared" si="11"/>
        <v/>
      </c>
      <c r="J771" s="201" t="str">
        <f>IFERROR(COUNTIF($C$23:C771,C771)&amp;CHOOSE(MIN(4,COUNTIF($C$23:C771,C771)),"st","nd","rd","th"),"")</f>
        <v/>
      </c>
    </row>
    <row r="772" spans="4:10" x14ac:dyDescent="0.25">
      <c r="D772" s="201" t="str">
        <f t="shared" si="11"/>
        <v/>
      </c>
      <c r="J772" s="201" t="str">
        <f>IFERROR(COUNTIF($C$23:C772,C772)&amp;CHOOSE(MIN(4,COUNTIF($C$23:C772,C772)),"st","nd","rd","th"),"")</f>
        <v/>
      </c>
    </row>
    <row r="773" spans="4:10" x14ac:dyDescent="0.25">
      <c r="D773" s="201" t="str">
        <f t="shared" si="11"/>
        <v/>
      </c>
      <c r="J773" s="201" t="str">
        <f>IFERROR(COUNTIF($C$23:C773,C773)&amp;CHOOSE(MIN(4,COUNTIF($C$23:C773,C773)),"st","nd","rd","th"),"")</f>
        <v/>
      </c>
    </row>
    <row r="774" spans="4:10" x14ac:dyDescent="0.25">
      <c r="D774" s="201" t="str">
        <f t="shared" si="11"/>
        <v/>
      </c>
      <c r="J774" s="201" t="str">
        <f>IFERROR(COUNTIF($C$23:C774,C774)&amp;CHOOSE(MIN(4,COUNTIF($C$23:C774,C774)),"st","nd","rd","th"),"")</f>
        <v/>
      </c>
    </row>
    <row r="775" spans="4:10" x14ac:dyDescent="0.25">
      <c r="D775" s="201" t="str">
        <f t="shared" si="11"/>
        <v/>
      </c>
      <c r="J775" s="201" t="str">
        <f>IFERROR(COUNTIF($C$23:C775,C775)&amp;CHOOSE(MIN(4,COUNTIF($C$23:C775,C775)),"st","nd","rd","th"),"")</f>
        <v/>
      </c>
    </row>
    <row r="776" spans="4:10" x14ac:dyDescent="0.25">
      <c r="D776" s="201" t="str">
        <f t="shared" si="11"/>
        <v/>
      </c>
      <c r="J776" s="201" t="str">
        <f>IFERROR(COUNTIF($C$23:C776,C776)&amp;CHOOSE(MIN(4,COUNTIF($C$23:C776,C776)),"st","nd","rd","th"),"")</f>
        <v/>
      </c>
    </row>
    <row r="777" spans="4:10" x14ac:dyDescent="0.25">
      <c r="D777" s="201" t="str">
        <f t="shared" si="11"/>
        <v/>
      </c>
      <c r="J777" s="201" t="str">
        <f>IFERROR(COUNTIF($C$23:C777,C777)&amp;CHOOSE(MIN(4,COUNTIF($C$23:C777,C777)),"st","nd","rd","th"),"")</f>
        <v/>
      </c>
    </row>
    <row r="778" spans="4:10" x14ac:dyDescent="0.25">
      <c r="D778" s="201" t="str">
        <f t="shared" si="11"/>
        <v/>
      </c>
      <c r="J778" s="201" t="str">
        <f>IFERROR(COUNTIF($C$23:C778,C778)&amp;CHOOSE(MIN(4,COUNTIF($C$23:C778,C778)),"st","nd","rd","th"),"")</f>
        <v/>
      </c>
    </row>
    <row r="779" spans="4:10" x14ac:dyDescent="0.25">
      <c r="D779" s="201" t="str">
        <f t="shared" si="11"/>
        <v/>
      </c>
      <c r="J779" s="201" t="str">
        <f>IFERROR(COUNTIF($C$23:C779,C779)&amp;CHOOSE(MIN(4,COUNTIF($C$23:C779,C779)),"st","nd","rd","th"),"")</f>
        <v/>
      </c>
    </row>
    <row r="780" spans="4:10" x14ac:dyDescent="0.25">
      <c r="D780" s="201" t="str">
        <f t="shared" si="11"/>
        <v/>
      </c>
      <c r="J780" s="201" t="str">
        <f>IFERROR(COUNTIF($C$23:C780,C780)&amp;CHOOSE(MIN(4,COUNTIF($C$23:C780,C780)),"st","nd","rd","th"),"")</f>
        <v/>
      </c>
    </row>
    <row r="781" spans="4:10" x14ac:dyDescent="0.25">
      <c r="D781" s="201" t="str">
        <f t="shared" si="11"/>
        <v/>
      </c>
      <c r="J781" s="201" t="str">
        <f>IFERROR(COUNTIF($C$23:C781,C781)&amp;CHOOSE(MIN(4,COUNTIF($C$23:C781,C781)),"st","nd","rd","th"),"")</f>
        <v/>
      </c>
    </row>
    <row r="782" spans="4:10" x14ac:dyDescent="0.25">
      <c r="D782" s="201" t="str">
        <f t="shared" si="11"/>
        <v/>
      </c>
      <c r="J782" s="201" t="str">
        <f>IFERROR(COUNTIF($C$23:C782,C782)&amp;CHOOSE(MIN(4,COUNTIF($C$23:C782,C782)),"st","nd","rd","th"),"")</f>
        <v/>
      </c>
    </row>
    <row r="783" spans="4:10" x14ac:dyDescent="0.25">
      <c r="D783" s="201" t="str">
        <f t="shared" si="11"/>
        <v/>
      </c>
      <c r="J783" s="201" t="str">
        <f>IFERROR(COUNTIF($C$23:C783,C783)&amp;CHOOSE(MIN(4,COUNTIF($C$23:C783,C783)),"st","nd","rd","th"),"")</f>
        <v/>
      </c>
    </row>
    <row r="784" spans="4:10" x14ac:dyDescent="0.25">
      <c r="D784" s="201" t="str">
        <f t="shared" si="11"/>
        <v/>
      </c>
      <c r="J784" s="201" t="str">
        <f>IFERROR(COUNTIF($C$23:C784,C784)&amp;CHOOSE(MIN(4,COUNTIF($C$23:C784,C784)),"st","nd","rd","th"),"")</f>
        <v/>
      </c>
    </row>
    <row r="785" spans="4:10" x14ac:dyDescent="0.25">
      <c r="D785" s="201" t="str">
        <f t="shared" si="11"/>
        <v/>
      </c>
      <c r="J785" s="201" t="str">
        <f>IFERROR(COUNTIF($C$23:C785,C785)&amp;CHOOSE(MIN(4,COUNTIF($C$23:C785,C785)),"st","nd","rd","th"),"")</f>
        <v/>
      </c>
    </row>
    <row r="786" spans="4:10" x14ac:dyDescent="0.25">
      <c r="D786" s="201" t="str">
        <f t="shared" si="11"/>
        <v/>
      </c>
      <c r="J786" s="201" t="str">
        <f>IFERROR(COUNTIF($C$23:C786,C786)&amp;CHOOSE(MIN(4,COUNTIF($C$23:C786,C786)),"st","nd","rd","th"),"")</f>
        <v/>
      </c>
    </row>
    <row r="787" spans="4:10" x14ac:dyDescent="0.25">
      <c r="D787" s="201" t="str">
        <f t="shared" si="11"/>
        <v/>
      </c>
      <c r="J787" s="201" t="str">
        <f>IFERROR(COUNTIF($C$23:C787,C787)&amp;CHOOSE(MIN(4,COUNTIF($C$23:C787,C787)),"st","nd","rd","th"),"")</f>
        <v/>
      </c>
    </row>
    <row r="788" spans="4:10" x14ac:dyDescent="0.25">
      <c r="D788" s="201" t="str">
        <f t="shared" si="11"/>
        <v/>
      </c>
      <c r="J788" s="201" t="str">
        <f>IFERROR(COUNTIF($C$23:C788,C788)&amp;CHOOSE(MIN(4,COUNTIF($C$23:C788,C788)),"st","nd","rd","th"),"")</f>
        <v/>
      </c>
    </row>
    <row r="789" spans="4:10" x14ac:dyDescent="0.25">
      <c r="D789" s="201" t="str">
        <f t="shared" si="11"/>
        <v/>
      </c>
      <c r="J789" s="201" t="str">
        <f>IFERROR(COUNTIF($C$23:C789,C789)&amp;CHOOSE(MIN(4,COUNTIF($C$23:C789,C789)),"st","nd","rd","th"),"")</f>
        <v/>
      </c>
    </row>
    <row r="790" spans="4:10" x14ac:dyDescent="0.25">
      <c r="D790" s="201" t="str">
        <f t="shared" si="11"/>
        <v/>
      </c>
      <c r="J790" s="201" t="str">
        <f>IFERROR(COUNTIF($C$23:C790,C790)&amp;CHOOSE(MIN(4,COUNTIF($C$23:C790,C790)),"st","nd","rd","th"),"")</f>
        <v/>
      </c>
    </row>
    <row r="791" spans="4:10" x14ac:dyDescent="0.25">
      <c r="D791" s="201" t="str">
        <f t="shared" ref="D791:D854" si="12">IF(B791="","",IF(B791="Province_PLGU","PDPFP","CLUP"))</f>
        <v/>
      </c>
      <c r="J791" s="201" t="str">
        <f>IFERROR(COUNTIF($C$23:C791,C791)&amp;CHOOSE(MIN(4,COUNTIF($C$23:C791,C791)),"st","nd","rd","th"),"")</f>
        <v/>
      </c>
    </row>
    <row r="792" spans="4:10" x14ac:dyDescent="0.25">
      <c r="D792" s="201" t="str">
        <f t="shared" si="12"/>
        <v/>
      </c>
      <c r="J792" s="201" t="str">
        <f>IFERROR(COUNTIF($C$23:C792,C792)&amp;CHOOSE(MIN(4,COUNTIF($C$23:C792,C792)),"st","nd","rd","th"),"")</f>
        <v/>
      </c>
    </row>
    <row r="793" spans="4:10" x14ac:dyDescent="0.25">
      <c r="D793" s="201" t="str">
        <f t="shared" si="12"/>
        <v/>
      </c>
      <c r="J793" s="201" t="str">
        <f>IFERROR(COUNTIF($C$23:C793,C793)&amp;CHOOSE(MIN(4,COUNTIF($C$23:C793,C793)),"st","nd","rd","th"),"")</f>
        <v/>
      </c>
    </row>
    <row r="794" spans="4:10" x14ac:dyDescent="0.25">
      <c r="D794" s="201" t="str">
        <f t="shared" si="12"/>
        <v/>
      </c>
      <c r="J794" s="201" t="str">
        <f>IFERROR(COUNTIF($C$23:C794,C794)&amp;CHOOSE(MIN(4,COUNTIF($C$23:C794,C794)),"st","nd","rd","th"),"")</f>
        <v/>
      </c>
    </row>
    <row r="795" spans="4:10" x14ac:dyDescent="0.25">
      <c r="D795" s="201" t="str">
        <f t="shared" si="12"/>
        <v/>
      </c>
      <c r="J795" s="201" t="str">
        <f>IFERROR(COUNTIF($C$23:C795,C795)&amp;CHOOSE(MIN(4,COUNTIF($C$23:C795,C795)),"st","nd","rd","th"),"")</f>
        <v/>
      </c>
    </row>
    <row r="796" spans="4:10" x14ac:dyDescent="0.25">
      <c r="D796" s="201" t="str">
        <f t="shared" si="12"/>
        <v/>
      </c>
      <c r="J796" s="201" t="str">
        <f>IFERROR(COUNTIF($C$23:C796,C796)&amp;CHOOSE(MIN(4,COUNTIF($C$23:C796,C796)),"st","nd","rd","th"),"")</f>
        <v/>
      </c>
    </row>
    <row r="797" spans="4:10" x14ac:dyDescent="0.25">
      <c r="D797" s="201" t="str">
        <f t="shared" si="12"/>
        <v/>
      </c>
      <c r="J797" s="201" t="str">
        <f>IFERROR(COUNTIF($C$23:C797,C797)&amp;CHOOSE(MIN(4,COUNTIF($C$23:C797,C797)),"st","nd","rd","th"),"")</f>
        <v/>
      </c>
    </row>
    <row r="798" spans="4:10" x14ac:dyDescent="0.25">
      <c r="D798" s="201" t="str">
        <f t="shared" si="12"/>
        <v/>
      </c>
      <c r="J798" s="201" t="str">
        <f>IFERROR(COUNTIF($C$23:C798,C798)&amp;CHOOSE(MIN(4,COUNTIF($C$23:C798,C798)),"st","nd","rd","th"),"")</f>
        <v/>
      </c>
    </row>
    <row r="799" spans="4:10" x14ac:dyDescent="0.25">
      <c r="D799" s="201" t="str">
        <f t="shared" si="12"/>
        <v/>
      </c>
      <c r="J799" s="201" t="str">
        <f>IFERROR(COUNTIF($C$23:C799,C799)&amp;CHOOSE(MIN(4,COUNTIF($C$23:C799,C799)),"st","nd","rd","th"),"")</f>
        <v/>
      </c>
    </row>
    <row r="800" spans="4:10" x14ac:dyDescent="0.25">
      <c r="D800" s="201" t="str">
        <f t="shared" si="12"/>
        <v/>
      </c>
      <c r="J800" s="201" t="str">
        <f>IFERROR(COUNTIF($C$23:C800,C800)&amp;CHOOSE(MIN(4,COUNTIF($C$23:C800,C800)),"st","nd","rd","th"),"")</f>
        <v/>
      </c>
    </row>
    <row r="801" spans="4:10" x14ac:dyDescent="0.25">
      <c r="D801" s="201" t="str">
        <f t="shared" si="12"/>
        <v/>
      </c>
      <c r="J801" s="201" t="str">
        <f>IFERROR(COUNTIF($C$23:C801,C801)&amp;CHOOSE(MIN(4,COUNTIF($C$23:C801,C801)),"st","nd","rd","th"),"")</f>
        <v/>
      </c>
    </row>
    <row r="802" spans="4:10" x14ac:dyDescent="0.25">
      <c r="D802" s="201" t="str">
        <f t="shared" si="12"/>
        <v/>
      </c>
      <c r="J802" s="201" t="str">
        <f>IFERROR(COUNTIF($C$23:C802,C802)&amp;CHOOSE(MIN(4,COUNTIF($C$23:C802,C802)),"st","nd","rd","th"),"")</f>
        <v/>
      </c>
    </row>
    <row r="803" spans="4:10" x14ac:dyDescent="0.25">
      <c r="D803" s="201" t="str">
        <f t="shared" si="12"/>
        <v/>
      </c>
      <c r="J803" s="201" t="str">
        <f>IFERROR(COUNTIF($C$23:C803,C803)&amp;CHOOSE(MIN(4,COUNTIF($C$23:C803,C803)),"st","nd","rd","th"),"")</f>
        <v/>
      </c>
    </row>
    <row r="804" spans="4:10" x14ac:dyDescent="0.25">
      <c r="D804" s="201" t="str">
        <f t="shared" si="12"/>
        <v/>
      </c>
      <c r="J804" s="201" t="str">
        <f>IFERROR(COUNTIF($C$23:C804,C804)&amp;CHOOSE(MIN(4,COUNTIF($C$23:C804,C804)),"st","nd","rd","th"),"")</f>
        <v/>
      </c>
    </row>
    <row r="805" spans="4:10" x14ac:dyDescent="0.25">
      <c r="D805" s="201" t="str">
        <f t="shared" si="12"/>
        <v/>
      </c>
      <c r="J805" s="201" t="str">
        <f>IFERROR(COUNTIF($C$23:C805,C805)&amp;CHOOSE(MIN(4,COUNTIF($C$23:C805,C805)),"st","nd","rd","th"),"")</f>
        <v/>
      </c>
    </row>
    <row r="806" spans="4:10" x14ac:dyDescent="0.25">
      <c r="D806" s="201" t="str">
        <f t="shared" si="12"/>
        <v/>
      </c>
      <c r="J806" s="201" t="str">
        <f>IFERROR(COUNTIF($C$23:C806,C806)&amp;CHOOSE(MIN(4,COUNTIF($C$23:C806,C806)),"st","nd","rd","th"),"")</f>
        <v/>
      </c>
    </row>
    <row r="807" spans="4:10" x14ac:dyDescent="0.25">
      <c r="D807" s="201" t="str">
        <f t="shared" si="12"/>
        <v/>
      </c>
      <c r="J807" s="201" t="str">
        <f>IFERROR(COUNTIF($C$23:C807,C807)&amp;CHOOSE(MIN(4,COUNTIF($C$23:C807,C807)),"st","nd","rd","th"),"")</f>
        <v/>
      </c>
    </row>
    <row r="808" spans="4:10" x14ac:dyDescent="0.25">
      <c r="D808" s="201" t="str">
        <f t="shared" si="12"/>
        <v/>
      </c>
      <c r="J808" s="201" t="str">
        <f>IFERROR(COUNTIF($C$23:C808,C808)&amp;CHOOSE(MIN(4,COUNTIF($C$23:C808,C808)),"st","nd","rd","th"),"")</f>
        <v/>
      </c>
    </row>
    <row r="809" spans="4:10" x14ac:dyDescent="0.25">
      <c r="D809" s="201" t="str">
        <f t="shared" si="12"/>
        <v/>
      </c>
      <c r="J809" s="201" t="str">
        <f>IFERROR(COUNTIF($C$23:C809,C809)&amp;CHOOSE(MIN(4,COUNTIF($C$23:C809,C809)),"st","nd","rd","th"),"")</f>
        <v/>
      </c>
    </row>
    <row r="810" spans="4:10" x14ac:dyDescent="0.25">
      <c r="D810" s="201" t="str">
        <f t="shared" si="12"/>
        <v/>
      </c>
      <c r="J810" s="201" t="str">
        <f>IFERROR(COUNTIF($C$23:C810,C810)&amp;CHOOSE(MIN(4,COUNTIF($C$23:C810,C810)),"st","nd","rd","th"),"")</f>
        <v/>
      </c>
    </row>
    <row r="811" spans="4:10" x14ac:dyDescent="0.25">
      <c r="D811" s="201" t="str">
        <f t="shared" si="12"/>
        <v/>
      </c>
      <c r="J811" s="201" t="str">
        <f>IFERROR(COUNTIF($C$23:C811,C811)&amp;CHOOSE(MIN(4,COUNTIF($C$23:C811,C811)),"st","nd","rd","th"),"")</f>
        <v/>
      </c>
    </row>
    <row r="812" spans="4:10" x14ac:dyDescent="0.25">
      <c r="D812" s="201" t="str">
        <f t="shared" si="12"/>
        <v/>
      </c>
      <c r="J812" s="201" t="str">
        <f>IFERROR(COUNTIF($C$23:C812,C812)&amp;CHOOSE(MIN(4,COUNTIF($C$23:C812,C812)),"st","nd","rd","th"),"")</f>
        <v/>
      </c>
    </row>
    <row r="813" spans="4:10" x14ac:dyDescent="0.25">
      <c r="D813" s="201" t="str">
        <f t="shared" si="12"/>
        <v/>
      </c>
      <c r="J813" s="201" t="str">
        <f>IFERROR(COUNTIF($C$23:C813,C813)&amp;CHOOSE(MIN(4,COUNTIF($C$23:C813,C813)),"st","nd","rd","th"),"")</f>
        <v/>
      </c>
    </row>
    <row r="814" spans="4:10" x14ac:dyDescent="0.25">
      <c r="D814" s="201" t="str">
        <f t="shared" si="12"/>
        <v/>
      </c>
      <c r="J814" s="201" t="str">
        <f>IFERROR(COUNTIF($C$23:C814,C814)&amp;CHOOSE(MIN(4,COUNTIF($C$23:C814,C814)),"st","nd","rd","th"),"")</f>
        <v/>
      </c>
    </row>
    <row r="815" spans="4:10" x14ac:dyDescent="0.25">
      <c r="D815" s="201" t="str">
        <f t="shared" si="12"/>
        <v/>
      </c>
      <c r="J815" s="201" t="str">
        <f>IFERROR(COUNTIF($C$23:C815,C815)&amp;CHOOSE(MIN(4,COUNTIF($C$23:C815,C815)),"st","nd","rd","th"),"")</f>
        <v/>
      </c>
    </row>
    <row r="816" spans="4:10" x14ac:dyDescent="0.25">
      <c r="D816" s="201" t="str">
        <f t="shared" si="12"/>
        <v/>
      </c>
      <c r="J816" s="201" t="str">
        <f>IFERROR(COUNTIF($C$23:C816,C816)&amp;CHOOSE(MIN(4,COUNTIF($C$23:C816,C816)),"st","nd","rd","th"),"")</f>
        <v/>
      </c>
    </row>
    <row r="817" spans="4:10" x14ac:dyDescent="0.25">
      <c r="D817" s="201" t="str">
        <f t="shared" si="12"/>
        <v/>
      </c>
      <c r="J817" s="201" t="str">
        <f>IFERROR(COUNTIF($C$23:C817,C817)&amp;CHOOSE(MIN(4,COUNTIF($C$23:C817,C817)),"st","nd","rd","th"),"")</f>
        <v/>
      </c>
    </row>
    <row r="818" spans="4:10" x14ac:dyDescent="0.25">
      <c r="D818" s="201" t="str">
        <f t="shared" si="12"/>
        <v/>
      </c>
      <c r="J818" s="201" t="str">
        <f>IFERROR(COUNTIF($C$23:C818,C818)&amp;CHOOSE(MIN(4,COUNTIF($C$23:C818,C818)),"st","nd","rd","th"),"")</f>
        <v/>
      </c>
    </row>
    <row r="819" spans="4:10" x14ac:dyDescent="0.25">
      <c r="D819" s="201" t="str">
        <f t="shared" si="12"/>
        <v/>
      </c>
      <c r="J819" s="201" t="str">
        <f>IFERROR(COUNTIF($C$23:C819,C819)&amp;CHOOSE(MIN(4,COUNTIF($C$23:C819,C819)),"st","nd","rd","th"),"")</f>
        <v/>
      </c>
    </row>
    <row r="820" spans="4:10" x14ac:dyDescent="0.25">
      <c r="D820" s="201" t="str">
        <f t="shared" si="12"/>
        <v/>
      </c>
      <c r="J820" s="201" t="str">
        <f>IFERROR(COUNTIF($C$23:C820,C820)&amp;CHOOSE(MIN(4,COUNTIF($C$23:C820,C820)),"st","nd","rd","th"),"")</f>
        <v/>
      </c>
    </row>
    <row r="821" spans="4:10" x14ac:dyDescent="0.25">
      <c r="D821" s="201" t="str">
        <f t="shared" si="12"/>
        <v/>
      </c>
      <c r="J821" s="201" t="str">
        <f>IFERROR(COUNTIF($C$23:C821,C821)&amp;CHOOSE(MIN(4,COUNTIF($C$23:C821,C821)),"st","nd","rd","th"),"")</f>
        <v/>
      </c>
    </row>
    <row r="822" spans="4:10" x14ac:dyDescent="0.25">
      <c r="D822" s="201" t="str">
        <f t="shared" si="12"/>
        <v/>
      </c>
      <c r="J822" s="201" t="str">
        <f>IFERROR(COUNTIF($C$23:C822,C822)&amp;CHOOSE(MIN(4,COUNTIF($C$23:C822,C822)),"st","nd","rd","th"),"")</f>
        <v/>
      </c>
    </row>
    <row r="823" spans="4:10" x14ac:dyDescent="0.25">
      <c r="D823" s="201" t="str">
        <f t="shared" si="12"/>
        <v/>
      </c>
      <c r="J823" s="201" t="str">
        <f>IFERROR(COUNTIF($C$23:C823,C823)&amp;CHOOSE(MIN(4,COUNTIF($C$23:C823,C823)),"st","nd","rd","th"),"")</f>
        <v/>
      </c>
    </row>
    <row r="824" spans="4:10" x14ac:dyDescent="0.25">
      <c r="D824" s="201" t="str">
        <f t="shared" si="12"/>
        <v/>
      </c>
      <c r="J824" s="201" t="str">
        <f>IFERROR(COUNTIF($C$23:C824,C824)&amp;CHOOSE(MIN(4,COUNTIF($C$23:C824,C824)),"st","nd","rd","th"),"")</f>
        <v/>
      </c>
    </row>
    <row r="825" spans="4:10" x14ac:dyDescent="0.25">
      <c r="D825" s="201" t="str">
        <f t="shared" si="12"/>
        <v/>
      </c>
      <c r="J825" s="201" t="str">
        <f>IFERROR(COUNTIF($C$23:C825,C825)&amp;CHOOSE(MIN(4,COUNTIF($C$23:C825,C825)),"st","nd","rd","th"),"")</f>
        <v/>
      </c>
    </row>
    <row r="826" spans="4:10" x14ac:dyDescent="0.25">
      <c r="D826" s="201" t="str">
        <f t="shared" si="12"/>
        <v/>
      </c>
      <c r="J826" s="201" t="str">
        <f>IFERROR(COUNTIF($C$23:C826,C826)&amp;CHOOSE(MIN(4,COUNTIF($C$23:C826,C826)),"st","nd","rd","th"),"")</f>
        <v/>
      </c>
    </row>
    <row r="827" spans="4:10" x14ac:dyDescent="0.25">
      <c r="D827" s="201" t="str">
        <f t="shared" si="12"/>
        <v/>
      </c>
      <c r="J827" s="201" t="str">
        <f>IFERROR(COUNTIF($C$23:C827,C827)&amp;CHOOSE(MIN(4,COUNTIF($C$23:C827,C827)),"st","nd","rd","th"),"")</f>
        <v/>
      </c>
    </row>
    <row r="828" spans="4:10" x14ac:dyDescent="0.25">
      <c r="D828" s="201" t="str">
        <f t="shared" si="12"/>
        <v/>
      </c>
      <c r="J828" s="201" t="str">
        <f>IFERROR(COUNTIF($C$23:C828,C828)&amp;CHOOSE(MIN(4,COUNTIF($C$23:C828,C828)),"st","nd","rd","th"),"")</f>
        <v/>
      </c>
    </row>
    <row r="829" spans="4:10" x14ac:dyDescent="0.25">
      <c r="D829" s="201" t="str">
        <f t="shared" si="12"/>
        <v/>
      </c>
      <c r="J829" s="201" t="str">
        <f>IFERROR(COUNTIF($C$23:C829,C829)&amp;CHOOSE(MIN(4,COUNTIF($C$23:C829,C829)),"st","nd","rd","th"),"")</f>
        <v/>
      </c>
    </row>
    <row r="830" spans="4:10" x14ac:dyDescent="0.25">
      <c r="D830" s="201" t="str">
        <f t="shared" si="12"/>
        <v/>
      </c>
      <c r="J830" s="201" t="str">
        <f>IFERROR(COUNTIF($C$23:C830,C830)&amp;CHOOSE(MIN(4,COUNTIF($C$23:C830,C830)),"st","nd","rd","th"),"")</f>
        <v/>
      </c>
    </row>
    <row r="831" spans="4:10" x14ac:dyDescent="0.25">
      <c r="D831" s="201" t="str">
        <f t="shared" si="12"/>
        <v/>
      </c>
      <c r="J831" s="201" t="str">
        <f>IFERROR(COUNTIF($C$23:C831,C831)&amp;CHOOSE(MIN(4,COUNTIF($C$23:C831,C831)),"st","nd","rd","th"),"")</f>
        <v/>
      </c>
    </row>
    <row r="832" spans="4:10" x14ac:dyDescent="0.25">
      <c r="D832" s="201" t="str">
        <f t="shared" si="12"/>
        <v/>
      </c>
      <c r="J832" s="201" t="str">
        <f>IFERROR(COUNTIF($C$23:C832,C832)&amp;CHOOSE(MIN(4,COUNTIF($C$23:C832,C832)),"st","nd","rd","th"),"")</f>
        <v/>
      </c>
    </row>
    <row r="833" spans="4:10" x14ac:dyDescent="0.25">
      <c r="D833" s="201" t="str">
        <f t="shared" si="12"/>
        <v/>
      </c>
      <c r="J833" s="201" t="str">
        <f>IFERROR(COUNTIF($C$23:C833,C833)&amp;CHOOSE(MIN(4,COUNTIF($C$23:C833,C833)),"st","nd","rd","th"),"")</f>
        <v/>
      </c>
    </row>
    <row r="834" spans="4:10" x14ac:dyDescent="0.25">
      <c r="D834" s="201" t="str">
        <f t="shared" si="12"/>
        <v/>
      </c>
      <c r="J834" s="201" t="str">
        <f>IFERROR(COUNTIF($C$23:C834,C834)&amp;CHOOSE(MIN(4,COUNTIF($C$23:C834,C834)),"st","nd","rd","th"),"")</f>
        <v/>
      </c>
    </row>
    <row r="835" spans="4:10" x14ac:dyDescent="0.25">
      <c r="D835" s="201" t="str">
        <f t="shared" si="12"/>
        <v/>
      </c>
      <c r="J835" s="201" t="str">
        <f>IFERROR(COUNTIF($C$23:C835,C835)&amp;CHOOSE(MIN(4,COUNTIF($C$23:C835,C835)),"st","nd","rd","th"),"")</f>
        <v/>
      </c>
    </row>
    <row r="836" spans="4:10" x14ac:dyDescent="0.25">
      <c r="D836" s="201" t="str">
        <f t="shared" si="12"/>
        <v/>
      </c>
      <c r="J836" s="201" t="str">
        <f>IFERROR(COUNTIF($C$23:C836,C836)&amp;CHOOSE(MIN(4,COUNTIF($C$23:C836,C836)),"st","nd","rd","th"),"")</f>
        <v/>
      </c>
    </row>
    <row r="837" spans="4:10" x14ac:dyDescent="0.25">
      <c r="D837" s="201" t="str">
        <f t="shared" si="12"/>
        <v/>
      </c>
      <c r="J837" s="201" t="str">
        <f>IFERROR(COUNTIF($C$23:C837,C837)&amp;CHOOSE(MIN(4,COUNTIF($C$23:C837,C837)),"st","nd","rd","th"),"")</f>
        <v/>
      </c>
    </row>
    <row r="838" spans="4:10" x14ac:dyDescent="0.25">
      <c r="D838" s="201" t="str">
        <f t="shared" si="12"/>
        <v/>
      </c>
      <c r="J838" s="201" t="str">
        <f>IFERROR(COUNTIF($C$23:C838,C838)&amp;CHOOSE(MIN(4,COUNTIF($C$23:C838,C838)),"st","nd","rd","th"),"")</f>
        <v/>
      </c>
    </row>
    <row r="839" spans="4:10" x14ac:dyDescent="0.25">
      <c r="D839" s="201" t="str">
        <f t="shared" si="12"/>
        <v/>
      </c>
      <c r="J839" s="201" t="str">
        <f>IFERROR(COUNTIF($C$23:C839,C839)&amp;CHOOSE(MIN(4,COUNTIF($C$23:C839,C839)),"st","nd","rd","th"),"")</f>
        <v/>
      </c>
    </row>
    <row r="840" spans="4:10" x14ac:dyDescent="0.25">
      <c r="D840" s="201" t="str">
        <f t="shared" si="12"/>
        <v/>
      </c>
      <c r="J840" s="201" t="str">
        <f>IFERROR(COUNTIF($C$23:C840,C840)&amp;CHOOSE(MIN(4,COUNTIF($C$23:C840,C840)),"st","nd","rd","th"),"")</f>
        <v/>
      </c>
    </row>
    <row r="841" spans="4:10" x14ac:dyDescent="0.25">
      <c r="D841" s="201" t="str">
        <f t="shared" si="12"/>
        <v/>
      </c>
      <c r="J841" s="201" t="str">
        <f>IFERROR(COUNTIF($C$23:C841,C841)&amp;CHOOSE(MIN(4,COUNTIF($C$23:C841,C841)),"st","nd","rd","th"),"")</f>
        <v/>
      </c>
    </row>
    <row r="842" spans="4:10" x14ac:dyDescent="0.25">
      <c r="D842" s="201" t="str">
        <f t="shared" si="12"/>
        <v/>
      </c>
      <c r="J842" s="201" t="str">
        <f>IFERROR(COUNTIF($C$23:C842,C842)&amp;CHOOSE(MIN(4,COUNTIF($C$23:C842,C842)),"st","nd","rd","th"),"")</f>
        <v/>
      </c>
    </row>
    <row r="843" spans="4:10" x14ac:dyDescent="0.25">
      <c r="D843" s="201" t="str">
        <f t="shared" si="12"/>
        <v/>
      </c>
      <c r="J843" s="201" t="str">
        <f>IFERROR(COUNTIF($C$23:C843,C843)&amp;CHOOSE(MIN(4,COUNTIF($C$23:C843,C843)),"st","nd","rd","th"),"")</f>
        <v/>
      </c>
    </row>
    <row r="844" spans="4:10" x14ac:dyDescent="0.25">
      <c r="D844" s="201" t="str">
        <f t="shared" si="12"/>
        <v/>
      </c>
      <c r="J844" s="201" t="str">
        <f>IFERROR(COUNTIF($C$23:C844,C844)&amp;CHOOSE(MIN(4,COUNTIF($C$23:C844,C844)),"st","nd","rd","th"),"")</f>
        <v/>
      </c>
    </row>
    <row r="845" spans="4:10" x14ac:dyDescent="0.25">
      <c r="D845" s="201" t="str">
        <f t="shared" si="12"/>
        <v/>
      </c>
      <c r="J845" s="201" t="str">
        <f>IFERROR(COUNTIF($C$23:C845,C845)&amp;CHOOSE(MIN(4,COUNTIF($C$23:C845,C845)),"st","nd","rd","th"),"")</f>
        <v/>
      </c>
    </row>
    <row r="846" spans="4:10" x14ac:dyDescent="0.25">
      <c r="D846" s="201" t="str">
        <f t="shared" si="12"/>
        <v/>
      </c>
      <c r="J846" s="201" t="str">
        <f>IFERROR(COUNTIF($C$23:C846,C846)&amp;CHOOSE(MIN(4,COUNTIF($C$23:C846,C846)),"st","nd","rd","th"),"")</f>
        <v/>
      </c>
    </row>
    <row r="847" spans="4:10" x14ac:dyDescent="0.25">
      <c r="D847" s="201" t="str">
        <f t="shared" si="12"/>
        <v/>
      </c>
      <c r="J847" s="201" t="str">
        <f>IFERROR(COUNTIF($C$23:C847,C847)&amp;CHOOSE(MIN(4,COUNTIF($C$23:C847,C847)),"st","nd","rd","th"),"")</f>
        <v/>
      </c>
    </row>
    <row r="848" spans="4:10" x14ac:dyDescent="0.25">
      <c r="D848" s="201" t="str">
        <f t="shared" si="12"/>
        <v/>
      </c>
      <c r="J848" s="201" t="str">
        <f>IFERROR(COUNTIF($C$23:C848,C848)&amp;CHOOSE(MIN(4,COUNTIF($C$23:C848,C848)),"st","nd","rd","th"),"")</f>
        <v/>
      </c>
    </row>
    <row r="849" spans="4:10" x14ac:dyDescent="0.25">
      <c r="D849" s="201" t="str">
        <f t="shared" si="12"/>
        <v/>
      </c>
      <c r="J849" s="201" t="str">
        <f>IFERROR(COUNTIF($C$23:C849,C849)&amp;CHOOSE(MIN(4,COUNTIF($C$23:C849,C849)),"st","nd","rd","th"),"")</f>
        <v/>
      </c>
    </row>
    <row r="850" spans="4:10" x14ac:dyDescent="0.25">
      <c r="D850" s="201" t="str">
        <f t="shared" si="12"/>
        <v/>
      </c>
      <c r="J850" s="201" t="str">
        <f>IFERROR(COUNTIF($C$23:C850,C850)&amp;CHOOSE(MIN(4,COUNTIF($C$23:C850,C850)),"st","nd","rd","th"),"")</f>
        <v/>
      </c>
    </row>
    <row r="851" spans="4:10" x14ac:dyDescent="0.25">
      <c r="D851" s="201" t="str">
        <f t="shared" si="12"/>
        <v/>
      </c>
      <c r="J851" s="201" t="str">
        <f>IFERROR(COUNTIF($C$23:C851,C851)&amp;CHOOSE(MIN(4,COUNTIF($C$23:C851,C851)),"st","nd","rd","th"),"")</f>
        <v/>
      </c>
    </row>
    <row r="852" spans="4:10" x14ac:dyDescent="0.25">
      <c r="D852" s="201" t="str">
        <f t="shared" si="12"/>
        <v/>
      </c>
      <c r="J852" s="201" t="str">
        <f>IFERROR(COUNTIF($C$23:C852,C852)&amp;CHOOSE(MIN(4,COUNTIF($C$23:C852,C852)),"st","nd","rd","th"),"")</f>
        <v/>
      </c>
    </row>
    <row r="853" spans="4:10" x14ac:dyDescent="0.25">
      <c r="D853" s="201" t="str">
        <f t="shared" si="12"/>
        <v/>
      </c>
      <c r="J853" s="201" t="str">
        <f>IFERROR(COUNTIF($C$23:C853,C853)&amp;CHOOSE(MIN(4,COUNTIF($C$23:C853,C853)),"st","nd","rd","th"),"")</f>
        <v/>
      </c>
    </row>
    <row r="854" spans="4:10" x14ac:dyDescent="0.25">
      <c r="D854" s="201" t="str">
        <f t="shared" si="12"/>
        <v/>
      </c>
      <c r="J854" s="201" t="str">
        <f>IFERROR(COUNTIF($C$23:C854,C854)&amp;CHOOSE(MIN(4,COUNTIF($C$23:C854,C854)),"st","nd","rd","th"),"")</f>
        <v/>
      </c>
    </row>
    <row r="855" spans="4:10" x14ac:dyDescent="0.25">
      <c r="D855" s="201" t="str">
        <f t="shared" ref="D855:D918" si="13">IF(B855="","",IF(B855="Province_PLGU","PDPFP","CLUP"))</f>
        <v/>
      </c>
      <c r="J855" s="201" t="str">
        <f>IFERROR(COUNTIF($C$23:C855,C855)&amp;CHOOSE(MIN(4,COUNTIF($C$23:C855,C855)),"st","nd","rd","th"),"")</f>
        <v/>
      </c>
    </row>
    <row r="856" spans="4:10" x14ac:dyDescent="0.25">
      <c r="D856" s="201" t="str">
        <f t="shared" si="13"/>
        <v/>
      </c>
      <c r="J856" s="201" t="str">
        <f>IFERROR(COUNTIF($C$23:C856,C856)&amp;CHOOSE(MIN(4,COUNTIF($C$23:C856,C856)),"st","nd","rd","th"),"")</f>
        <v/>
      </c>
    </row>
    <row r="857" spans="4:10" x14ac:dyDescent="0.25">
      <c r="D857" s="201" t="str">
        <f t="shared" si="13"/>
        <v/>
      </c>
      <c r="J857" s="201" t="str">
        <f>IFERROR(COUNTIF($C$23:C857,C857)&amp;CHOOSE(MIN(4,COUNTIF($C$23:C857,C857)),"st","nd","rd","th"),"")</f>
        <v/>
      </c>
    </row>
    <row r="858" spans="4:10" x14ac:dyDescent="0.25">
      <c r="D858" s="201" t="str">
        <f t="shared" si="13"/>
        <v/>
      </c>
      <c r="J858" s="201" t="str">
        <f>IFERROR(COUNTIF($C$23:C858,C858)&amp;CHOOSE(MIN(4,COUNTIF($C$23:C858,C858)),"st","nd","rd","th"),"")</f>
        <v/>
      </c>
    </row>
    <row r="859" spans="4:10" x14ac:dyDescent="0.25">
      <c r="D859" s="201" t="str">
        <f t="shared" si="13"/>
        <v/>
      </c>
      <c r="J859" s="201" t="str">
        <f>IFERROR(COUNTIF($C$23:C859,C859)&amp;CHOOSE(MIN(4,COUNTIF($C$23:C859,C859)),"st","nd","rd","th"),"")</f>
        <v/>
      </c>
    </row>
    <row r="860" spans="4:10" x14ac:dyDescent="0.25">
      <c r="D860" s="201" t="str">
        <f t="shared" si="13"/>
        <v/>
      </c>
      <c r="J860" s="201" t="str">
        <f>IFERROR(COUNTIF($C$23:C860,C860)&amp;CHOOSE(MIN(4,COUNTIF($C$23:C860,C860)),"st","nd","rd","th"),"")</f>
        <v/>
      </c>
    </row>
    <row r="861" spans="4:10" x14ac:dyDescent="0.25">
      <c r="D861" s="201" t="str">
        <f t="shared" si="13"/>
        <v/>
      </c>
      <c r="J861" s="201" t="str">
        <f>IFERROR(COUNTIF($C$23:C861,C861)&amp;CHOOSE(MIN(4,COUNTIF($C$23:C861,C861)),"st","nd","rd","th"),"")</f>
        <v/>
      </c>
    </row>
    <row r="862" spans="4:10" x14ac:dyDescent="0.25">
      <c r="D862" s="201" t="str">
        <f t="shared" si="13"/>
        <v/>
      </c>
      <c r="J862" s="201" t="str">
        <f>IFERROR(COUNTIF($C$23:C862,C862)&amp;CHOOSE(MIN(4,COUNTIF($C$23:C862,C862)),"st","nd","rd","th"),"")</f>
        <v/>
      </c>
    </row>
    <row r="863" spans="4:10" x14ac:dyDescent="0.25">
      <c r="D863" s="201" t="str">
        <f t="shared" si="13"/>
        <v/>
      </c>
      <c r="J863" s="201" t="str">
        <f>IFERROR(COUNTIF($C$23:C863,C863)&amp;CHOOSE(MIN(4,COUNTIF($C$23:C863,C863)),"st","nd","rd","th"),"")</f>
        <v/>
      </c>
    </row>
    <row r="864" spans="4:10" x14ac:dyDescent="0.25">
      <c r="D864" s="201" t="str">
        <f t="shared" si="13"/>
        <v/>
      </c>
      <c r="J864" s="201" t="str">
        <f>IFERROR(COUNTIF($C$23:C864,C864)&amp;CHOOSE(MIN(4,COUNTIF($C$23:C864,C864)),"st","nd","rd","th"),"")</f>
        <v/>
      </c>
    </row>
    <row r="865" spans="4:10" x14ac:dyDescent="0.25">
      <c r="D865" s="201" t="str">
        <f t="shared" si="13"/>
        <v/>
      </c>
      <c r="J865" s="201" t="str">
        <f>IFERROR(COUNTIF($C$23:C865,C865)&amp;CHOOSE(MIN(4,COUNTIF($C$23:C865,C865)),"st","nd","rd","th"),"")</f>
        <v/>
      </c>
    </row>
    <row r="866" spans="4:10" x14ac:dyDescent="0.25">
      <c r="D866" s="201" t="str">
        <f t="shared" si="13"/>
        <v/>
      </c>
      <c r="J866" s="201" t="str">
        <f>IFERROR(COUNTIF($C$23:C866,C866)&amp;CHOOSE(MIN(4,COUNTIF($C$23:C866,C866)),"st","nd","rd","th"),"")</f>
        <v/>
      </c>
    </row>
    <row r="867" spans="4:10" x14ac:dyDescent="0.25">
      <c r="D867" s="201" t="str">
        <f t="shared" si="13"/>
        <v/>
      </c>
      <c r="J867" s="201" t="str">
        <f>IFERROR(COUNTIF($C$23:C867,C867)&amp;CHOOSE(MIN(4,COUNTIF($C$23:C867,C867)),"st","nd","rd","th"),"")</f>
        <v/>
      </c>
    </row>
    <row r="868" spans="4:10" x14ac:dyDescent="0.25">
      <c r="D868" s="201" t="str">
        <f t="shared" si="13"/>
        <v/>
      </c>
      <c r="J868" s="201" t="str">
        <f>IFERROR(COUNTIF($C$23:C868,C868)&amp;CHOOSE(MIN(4,COUNTIF($C$23:C868,C868)),"st","nd","rd","th"),"")</f>
        <v/>
      </c>
    </row>
    <row r="869" spans="4:10" x14ac:dyDescent="0.25">
      <c r="D869" s="201" t="str">
        <f t="shared" si="13"/>
        <v/>
      </c>
      <c r="J869" s="201" t="str">
        <f>IFERROR(COUNTIF($C$23:C869,C869)&amp;CHOOSE(MIN(4,COUNTIF($C$23:C869,C869)),"st","nd","rd","th"),"")</f>
        <v/>
      </c>
    </row>
    <row r="870" spans="4:10" x14ac:dyDescent="0.25">
      <c r="D870" s="201" t="str">
        <f t="shared" si="13"/>
        <v/>
      </c>
      <c r="J870" s="201" t="str">
        <f>IFERROR(COUNTIF($C$23:C870,C870)&amp;CHOOSE(MIN(4,COUNTIF($C$23:C870,C870)),"st","nd","rd","th"),"")</f>
        <v/>
      </c>
    </row>
    <row r="871" spans="4:10" x14ac:dyDescent="0.25">
      <c r="D871" s="201" t="str">
        <f t="shared" si="13"/>
        <v/>
      </c>
      <c r="J871" s="201" t="str">
        <f>IFERROR(COUNTIF($C$23:C871,C871)&amp;CHOOSE(MIN(4,COUNTIF($C$23:C871,C871)),"st","nd","rd","th"),"")</f>
        <v/>
      </c>
    </row>
    <row r="872" spans="4:10" x14ac:dyDescent="0.25">
      <c r="D872" s="201" t="str">
        <f t="shared" si="13"/>
        <v/>
      </c>
      <c r="J872" s="201" t="str">
        <f>IFERROR(COUNTIF($C$23:C872,C872)&amp;CHOOSE(MIN(4,COUNTIF($C$23:C872,C872)),"st","nd","rd","th"),"")</f>
        <v/>
      </c>
    </row>
    <row r="873" spans="4:10" x14ac:dyDescent="0.25">
      <c r="D873" s="201" t="str">
        <f t="shared" si="13"/>
        <v/>
      </c>
      <c r="J873" s="201" t="str">
        <f>IFERROR(COUNTIF($C$23:C873,C873)&amp;CHOOSE(MIN(4,COUNTIF($C$23:C873,C873)),"st","nd","rd","th"),"")</f>
        <v/>
      </c>
    </row>
    <row r="874" spans="4:10" x14ac:dyDescent="0.25">
      <c r="D874" s="201" t="str">
        <f t="shared" si="13"/>
        <v/>
      </c>
      <c r="J874" s="201" t="str">
        <f>IFERROR(COUNTIF($C$23:C874,C874)&amp;CHOOSE(MIN(4,COUNTIF($C$23:C874,C874)),"st","nd","rd","th"),"")</f>
        <v/>
      </c>
    </row>
    <row r="875" spans="4:10" x14ac:dyDescent="0.25">
      <c r="D875" s="201" t="str">
        <f t="shared" si="13"/>
        <v/>
      </c>
      <c r="J875" s="201" t="str">
        <f>IFERROR(COUNTIF($C$23:C875,C875)&amp;CHOOSE(MIN(4,COUNTIF($C$23:C875,C875)),"st","nd","rd","th"),"")</f>
        <v/>
      </c>
    </row>
    <row r="876" spans="4:10" x14ac:dyDescent="0.25">
      <c r="D876" s="201" t="str">
        <f t="shared" si="13"/>
        <v/>
      </c>
      <c r="J876" s="201" t="str">
        <f>IFERROR(COUNTIF($C$23:C876,C876)&amp;CHOOSE(MIN(4,COUNTIF($C$23:C876,C876)),"st","nd","rd","th"),"")</f>
        <v/>
      </c>
    </row>
    <row r="877" spans="4:10" x14ac:dyDescent="0.25">
      <c r="D877" s="201" t="str">
        <f t="shared" si="13"/>
        <v/>
      </c>
      <c r="J877" s="201" t="str">
        <f>IFERROR(COUNTIF($C$23:C877,C877)&amp;CHOOSE(MIN(4,COUNTIF($C$23:C877,C877)),"st","nd","rd","th"),"")</f>
        <v/>
      </c>
    </row>
    <row r="878" spans="4:10" x14ac:dyDescent="0.25">
      <c r="D878" s="201" t="str">
        <f t="shared" si="13"/>
        <v/>
      </c>
      <c r="J878" s="201" t="str">
        <f>IFERROR(COUNTIF($C$23:C878,C878)&amp;CHOOSE(MIN(4,COUNTIF($C$23:C878,C878)),"st","nd","rd","th"),"")</f>
        <v/>
      </c>
    </row>
    <row r="879" spans="4:10" x14ac:dyDescent="0.25">
      <c r="D879" s="201" t="str">
        <f t="shared" si="13"/>
        <v/>
      </c>
      <c r="J879" s="201" t="str">
        <f>IFERROR(COUNTIF($C$23:C879,C879)&amp;CHOOSE(MIN(4,COUNTIF($C$23:C879,C879)),"st","nd","rd","th"),"")</f>
        <v/>
      </c>
    </row>
    <row r="880" spans="4:10" x14ac:dyDescent="0.25">
      <c r="D880" s="201" t="str">
        <f t="shared" si="13"/>
        <v/>
      </c>
      <c r="J880" s="201" t="str">
        <f>IFERROR(COUNTIF($C$23:C880,C880)&amp;CHOOSE(MIN(4,COUNTIF($C$23:C880,C880)),"st","nd","rd","th"),"")</f>
        <v/>
      </c>
    </row>
    <row r="881" spans="4:10" x14ac:dyDescent="0.25">
      <c r="D881" s="201" t="str">
        <f t="shared" si="13"/>
        <v/>
      </c>
      <c r="J881" s="201" t="str">
        <f>IFERROR(COUNTIF($C$23:C881,C881)&amp;CHOOSE(MIN(4,COUNTIF($C$23:C881,C881)),"st","nd","rd","th"),"")</f>
        <v/>
      </c>
    </row>
    <row r="882" spans="4:10" x14ac:dyDescent="0.25">
      <c r="D882" s="201" t="str">
        <f t="shared" si="13"/>
        <v/>
      </c>
      <c r="J882" s="201" t="str">
        <f>IFERROR(COUNTIF($C$23:C882,C882)&amp;CHOOSE(MIN(4,COUNTIF($C$23:C882,C882)),"st","nd","rd","th"),"")</f>
        <v/>
      </c>
    </row>
    <row r="883" spans="4:10" x14ac:dyDescent="0.25">
      <c r="D883" s="201" t="str">
        <f t="shared" si="13"/>
        <v/>
      </c>
      <c r="J883" s="201" t="str">
        <f>IFERROR(COUNTIF($C$23:C883,C883)&amp;CHOOSE(MIN(4,COUNTIF($C$23:C883,C883)),"st","nd","rd","th"),"")</f>
        <v/>
      </c>
    </row>
    <row r="884" spans="4:10" x14ac:dyDescent="0.25">
      <c r="D884" s="201" t="str">
        <f t="shared" si="13"/>
        <v/>
      </c>
      <c r="J884" s="201" t="str">
        <f>IFERROR(COUNTIF($C$23:C884,C884)&amp;CHOOSE(MIN(4,COUNTIF($C$23:C884,C884)),"st","nd","rd","th"),"")</f>
        <v/>
      </c>
    </row>
    <row r="885" spans="4:10" x14ac:dyDescent="0.25">
      <c r="D885" s="201" t="str">
        <f t="shared" si="13"/>
        <v/>
      </c>
      <c r="J885" s="201" t="str">
        <f>IFERROR(COUNTIF($C$23:C885,C885)&amp;CHOOSE(MIN(4,COUNTIF($C$23:C885,C885)),"st","nd","rd","th"),"")</f>
        <v/>
      </c>
    </row>
    <row r="886" spans="4:10" x14ac:dyDescent="0.25">
      <c r="D886" s="201" t="str">
        <f t="shared" si="13"/>
        <v/>
      </c>
      <c r="J886" s="201" t="str">
        <f>IFERROR(COUNTIF($C$23:C886,C886)&amp;CHOOSE(MIN(4,COUNTIF($C$23:C886,C886)),"st","nd","rd","th"),"")</f>
        <v/>
      </c>
    </row>
    <row r="887" spans="4:10" x14ac:dyDescent="0.25">
      <c r="D887" s="201" t="str">
        <f t="shared" si="13"/>
        <v/>
      </c>
      <c r="J887" s="201" t="str">
        <f>IFERROR(COUNTIF($C$23:C887,C887)&amp;CHOOSE(MIN(4,COUNTIF($C$23:C887,C887)),"st","nd","rd","th"),"")</f>
        <v/>
      </c>
    </row>
    <row r="888" spans="4:10" x14ac:dyDescent="0.25">
      <c r="D888" s="201" t="str">
        <f t="shared" si="13"/>
        <v/>
      </c>
      <c r="J888" s="201" t="str">
        <f>IFERROR(COUNTIF($C$23:C888,C888)&amp;CHOOSE(MIN(4,COUNTIF($C$23:C888,C888)),"st","nd","rd","th"),"")</f>
        <v/>
      </c>
    </row>
    <row r="889" spans="4:10" x14ac:dyDescent="0.25">
      <c r="D889" s="201" t="str">
        <f t="shared" si="13"/>
        <v/>
      </c>
      <c r="J889" s="201" t="str">
        <f>IFERROR(COUNTIF($C$23:C889,C889)&amp;CHOOSE(MIN(4,COUNTIF($C$23:C889,C889)),"st","nd","rd","th"),"")</f>
        <v/>
      </c>
    </row>
    <row r="890" spans="4:10" x14ac:dyDescent="0.25">
      <c r="D890" s="201" t="str">
        <f t="shared" si="13"/>
        <v/>
      </c>
      <c r="J890" s="201" t="str">
        <f>IFERROR(COUNTIF($C$23:C890,C890)&amp;CHOOSE(MIN(4,COUNTIF($C$23:C890,C890)),"st","nd","rd","th"),"")</f>
        <v/>
      </c>
    </row>
    <row r="891" spans="4:10" x14ac:dyDescent="0.25">
      <c r="D891" s="201" t="str">
        <f t="shared" si="13"/>
        <v/>
      </c>
      <c r="J891" s="201" t="str">
        <f>IFERROR(COUNTIF($C$23:C891,C891)&amp;CHOOSE(MIN(4,COUNTIF($C$23:C891,C891)),"st","nd","rd","th"),"")</f>
        <v/>
      </c>
    </row>
    <row r="892" spans="4:10" x14ac:dyDescent="0.25">
      <c r="D892" s="201" t="str">
        <f t="shared" si="13"/>
        <v/>
      </c>
      <c r="J892" s="201" t="str">
        <f>IFERROR(COUNTIF($C$23:C892,C892)&amp;CHOOSE(MIN(4,COUNTIF($C$23:C892,C892)),"st","nd","rd","th"),"")</f>
        <v/>
      </c>
    </row>
    <row r="893" spans="4:10" x14ac:dyDescent="0.25">
      <c r="D893" s="201" t="str">
        <f t="shared" si="13"/>
        <v/>
      </c>
      <c r="J893" s="201" t="str">
        <f>IFERROR(COUNTIF($C$23:C893,C893)&amp;CHOOSE(MIN(4,COUNTIF($C$23:C893,C893)),"st","nd","rd","th"),"")</f>
        <v/>
      </c>
    </row>
    <row r="894" spans="4:10" x14ac:dyDescent="0.25">
      <c r="D894" s="201" t="str">
        <f t="shared" si="13"/>
        <v/>
      </c>
      <c r="J894" s="201" t="str">
        <f>IFERROR(COUNTIF($C$23:C894,C894)&amp;CHOOSE(MIN(4,COUNTIF($C$23:C894,C894)),"st","nd","rd","th"),"")</f>
        <v/>
      </c>
    </row>
    <row r="895" spans="4:10" x14ac:dyDescent="0.25">
      <c r="D895" s="201" t="str">
        <f t="shared" si="13"/>
        <v/>
      </c>
      <c r="J895" s="201" t="str">
        <f>IFERROR(COUNTIF($C$23:C895,C895)&amp;CHOOSE(MIN(4,COUNTIF($C$23:C895,C895)),"st","nd","rd","th"),"")</f>
        <v/>
      </c>
    </row>
    <row r="896" spans="4:10" x14ac:dyDescent="0.25">
      <c r="D896" s="201" t="str">
        <f t="shared" si="13"/>
        <v/>
      </c>
      <c r="J896" s="201" t="str">
        <f>IFERROR(COUNTIF($C$23:C896,C896)&amp;CHOOSE(MIN(4,COUNTIF($C$23:C896,C896)),"st","nd","rd","th"),"")</f>
        <v/>
      </c>
    </row>
    <row r="897" spans="4:10" x14ac:dyDescent="0.25">
      <c r="D897" s="201" t="str">
        <f t="shared" si="13"/>
        <v/>
      </c>
      <c r="J897" s="201" t="str">
        <f>IFERROR(COUNTIF($C$23:C897,C897)&amp;CHOOSE(MIN(4,COUNTIF($C$23:C897,C897)),"st","nd","rd","th"),"")</f>
        <v/>
      </c>
    </row>
    <row r="898" spans="4:10" x14ac:dyDescent="0.25">
      <c r="D898" s="201" t="str">
        <f t="shared" si="13"/>
        <v/>
      </c>
      <c r="J898" s="201" t="str">
        <f>IFERROR(COUNTIF($C$23:C898,C898)&amp;CHOOSE(MIN(4,COUNTIF($C$23:C898,C898)),"st","nd","rd","th"),"")</f>
        <v/>
      </c>
    </row>
    <row r="899" spans="4:10" x14ac:dyDescent="0.25">
      <c r="D899" s="201" t="str">
        <f t="shared" si="13"/>
        <v/>
      </c>
      <c r="J899" s="201" t="str">
        <f>IFERROR(COUNTIF($C$23:C899,C899)&amp;CHOOSE(MIN(4,COUNTIF($C$23:C899,C899)),"st","nd","rd","th"),"")</f>
        <v/>
      </c>
    </row>
    <row r="900" spans="4:10" x14ac:dyDescent="0.25">
      <c r="D900" s="201" t="str">
        <f t="shared" si="13"/>
        <v/>
      </c>
      <c r="J900" s="201" t="str">
        <f>IFERROR(COUNTIF($C$23:C900,C900)&amp;CHOOSE(MIN(4,COUNTIF($C$23:C900,C900)),"st","nd","rd","th"),"")</f>
        <v/>
      </c>
    </row>
    <row r="901" spans="4:10" x14ac:dyDescent="0.25">
      <c r="D901" s="201" t="str">
        <f t="shared" si="13"/>
        <v/>
      </c>
      <c r="J901" s="201" t="str">
        <f>IFERROR(COUNTIF($C$23:C901,C901)&amp;CHOOSE(MIN(4,COUNTIF($C$23:C901,C901)),"st","nd","rd","th"),"")</f>
        <v/>
      </c>
    </row>
    <row r="902" spans="4:10" x14ac:dyDescent="0.25">
      <c r="D902" s="201" t="str">
        <f t="shared" si="13"/>
        <v/>
      </c>
      <c r="J902" s="201" t="str">
        <f>IFERROR(COUNTIF($C$23:C902,C902)&amp;CHOOSE(MIN(4,COUNTIF($C$23:C902,C902)),"st","nd","rd","th"),"")</f>
        <v/>
      </c>
    </row>
    <row r="903" spans="4:10" x14ac:dyDescent="0.25">
      <c r="D903" s="201" t="str">
        <f t="shared" si="13"/>
        <v/>
      </c>
      <c r="J903" s="201" t="str">
        <f>IFERROR(COUNTIF($C$23:C903,C903)&amp;CHOOSE(MIN(4,COUNTIF($C$23:C903,C903)),"st","nd","rd","th"),"")</f>
        <v/>
      </c>
    </row>
    <row r="904" spans="4:10" x14ac:dyDescent="0.25">
      <c r="D904" s="201" t="str">
        <f t="shared" si="13"/>
        <v/>
      </c>
      <c r="J904" s="201" t="str">
        <f>IFERROR(COUNTIF($C$23:C904,C904)&amp;CHOOSE(MIN(4,COUNTIF($C$23:C904,C904)),"st","nd","rd","th"),"")</f>
        <v/>
      </c>
    </row>
    <row r="905" spans="4:10" x14ac:dyDescent="0.25">
      <c r="D905" s="201" t="str">
        <f t="shared" si="13"/>
        <v/>
      </c>
      <c r="J905" s="201" t="str">
        <f>IFERROR(COUNTIF($C$23:C905,C905)&amp;CHOOSE(MIN(4,COUNTIF($C$23:C905,C905)),"st","nd","rd","th"),"")</f>
        <v/>
      </c>
    </row>
    <row r="906" spans="4:10" x14ac:dyDescent="0.25">
      <c r="D906" s="201" t="str">
        <f t="shared" si="13"/>
        <v/>
      </c>
      <c r="J906" s="201" t="str">
        <f>IFERROR(COUNTIF($C$23:C906,C906)&amp;CHOOSE(MIN(4,COUNTIF($C$23:C906,C906)),"st","nd","rd","th"),"")</f>
        <v/>
      </c>
    </row>
    <row r="907" spans="4:10" x14ac:dyDescent="0.25">
      <c r="D907" s="201" t="str">
        <f t="shared" si="13"/>
        <v/>
      </c>
      <c r="J907" s="201" t="str">
        <f>IFERROR(COUNTIF($C$23:C907,C907)&amp;CHOOSE(MIN(4,COUNTIF($C$23:C907,C907)),"st","nd","rd","th"),"")</f>
        <v/>
      </c>
    </row>
    <row r="908" spans="4:10" x14ac:dyDescent="0.25">
      <c r="D908" s="201" t="str">
        <f t="shared" si="13"/>
        <v/>
      </c>
      <c r="J908" s="201" t="str">
        <f>IFERROR(COUNTIF($C$23:C908,C908)&amp;CHOOSE(MIN(4,COUNTIF($C$23:C908,C908)),"st","nd","rd","th"),"")</f>
        <v/>
      </c>
    </row>
    <row r="909" spans="4:10" x14ac:dyDescent="0.25">
      <c r="D909" s="201" t="str">
        <f t="shared" si="13"/>
        <v/>
      </c>
      <c r="J909" s="201" t="str">
        <f>IFERROR(COUNTIF($C$23:C909,C909)&amp;CHOOSE(MIN(4,COUNTIF($C$23:C909,C909)),"st","nd","rd","th"),"")</f>
        <v/>
      </c>
    </row>
    <row r="910" spans="4:10" x14ac:dyDescent="0.25">
      <c r="D910" s="201" t="str">
        <f t="shared" si="13"/>
        <v/>
      </c>
      <c r="J910" s="201" t="str">
        <f>IFERROR(COUNTIF($C$23:C910,C910)&amp;CHOOSE(MIN(4,COUNTIF($C$23:C910,C910)),"st","nd","rd","th"),"")</f>
        <v/>
      </c>
    </row>
    <row r="911" spans="4:10" x14ac:dyDescent="0.25">
      <c r="D911" s="201" t="str">
        <f t="shared" si="13"/>
        <v/>
      </c>
      <c r="J911" s="201" t="str">
        <f>IFERROR(COUNTIF($C$23:C911,C911)&amp;CHOOSE(MIN(4,COUNTIF($C$23:C911,C911)),"st","nd","rd","th"),"")</f>
        <v/>
      </c>
    </row>
    <row r="912" spans="4:10" x14ac:dyDescent="0.25">
      <c r="D912" s="201" t="str">
        <f t="shared" si="13"/>
        <v/>
      </c>
      <c r="J912" s="201" t="str">
        <f>IFERROR(COUNTIF($C$23:C912,C912)&amp;CHOOSE(MIN(4,COUNTIF($C$23:C912,C912)),"st","nd","rd","th"),"")</f>
        <v/>
      </c>
    </row>
    <row r="913" spans="4:10" x14ac:dyDescent="0.25">
      <c r="D913" s="201" t="str">
        <f t="shared" si="13"/>
        <v/>
      </c>
      <c r="J913" s="201" t="str">
        <f>IFERROR(COUNTIF($C$23:C913,C913)&amp;CHOOSE(MIN(4,COUNTIF($C$23:C913,C913)),"st","nd","rd","th"),"")</f>
        <v/>
      </c>
    </row>
    <row r="914" spans="4:10" x14ac:dyDescent="0.25">
      <c r="D914" s="201" t="str">
        <f t="shared" si="13"/>
        <v/>
      </c>
      <c r="J914" s="201" t="str">
        <f>IFERROR(COUNTIF($C$23:C914,C914)&amp;CHOOSE(MIN(4,COUNTIF($C$23:C914,C914)),"st","nd","rd","th"),"")</f>
        <v/>
      </c>
    </row>
    <row r="915" spans="4:10" x14ac:dyDescent="0.25">
      <c r="D915" s="201" t="str">
        <f t="shared" si="13"/>
        <v/>
      </c>
      <c r="J915" s="201" t="str">
        <f>IFERROR(COUNTIF($C$23:C915,C915)&amp;CHOOSE(MIN(4,COUNTIF($C$23:C915,C915)),"st","nd","rd","th"),"")</f>
        <v/>
      </c>
    </row>
    <row r="916" spans="4:10" x14ac:dyDescent="0.25">
      <c r="D916" s="201" t="str">
        <f t="shared" si="13"/>
        <v/>
      </c>
      <c r="J916" s="201" t="str">
        <f>IFERROR(COUNTIF($C$23:C916,C916)&amp;CHOOSE(MIN(4,COUNTIF($C$23:C916,C916)),"st","nd","rd","th"),"")</f>
        <v/>
      </c>
    </row>
    <row r="917" spans="4:10" x14ac:dyDescent="0.25">
      <c r="D917" s="201" t="str">
        <f t="shared" si="13"/>
        <v/>
      </c>
      <c r="J917" s="201" t="str">
        <f>IFERROR(COUNTIF($C$23:C917,C917)&amp;CHOOSE(MIN(4,COUNTIF($C$23:C917,C917)),"st","nd","rd","th"),"")</f>
        <v/>
      </c>
    </row>
    <row r="918" spans="4:10" x14ac:dyDescent="0.25">
      <c r="D918" s="201" t="str">
        <f t="shared" si="13"/>
        <v/>
      </c>
      <c r="J918" s="201" t="str">
        <f>IFERROR(COUNTIF($C$23:C918,C918)&amp;CHOOSE(MIN(4,COUNTIF($C$23:C918,C918)),"st","nd","rd","th"),"")</f>
        <v/>
      </c>
    </row>
    <row r="919" spans="4:10" x14ac:dyDescent="0.25">
      <c r="D919" s="201" t="str">
        <f t="shared" ref="D919:D982" si="14">IF(B919="","",IF(B919="Province_PLGU","PDPFP","CLUP"))</f>
        <v/>
      </c>
      <c r="J919" s="201" t="str">
        <f>IFERROR(COUNTIF($C$23:C919,C919)&amp;CHOOSE(MIN(4,COUNTIF($C$23:C919,C919)),"st","nd","rd","th"),"")</f>
        <v/>
      </c>
    </row>
    <row r="920" spans="4:10" x14ac:dyDescent="0.25">
      <c r="D920" s="201" t="str">
        <f t="shared" si="14"/>
        <v/>
      </c>
      <c r="J920" s="201" t="str">
        <f>IFERROR(COUNTIF($C$23:C920,C920)&amp;CHOOSE(MIN(4,COUNTIF($C$23:C920,C920)),"st","nd","rd","th"),"")</f>
        <v/>
      </c>
    </row>
    <row r="921" spans="4:10" x14ac:dyDescent="0.25">
      <c r="D921" s="201" t="str">
        <f t="shared" si="14"/>
        <v/>
      </c>
      <c r="J921" s="201" t="str">
        <f>IFERROR(COUNTIF($C$23:C921,C921)&amp;CHOOSE(MIN(4,COUNTIF($C$23:C921,C921)),"st","nd","rd","th"),"")</f>
        <v/>
      </c>
    </row>
    <row r="922" spans="4:10" x14ac:dyDescent="0.25">
      <c r="D922" s="201" t="str">
        <f t="shared" si="14"/>
        <v/>
      </c>
      <c r="J922" s="201" t="str">
        <f>IFERROR(COUNTIF($C$23:C922,C922)&amp;CHOOSE(MIN(4,COUNTIF($C$23:C922,C922)),"st","nd","rd","th"),"")</f>
        <v/>
      </c>
    </row>
    <row r="923" spans="4:10" x14ac:dyDescent="0.25">
      <c r="D923" s="201" t="str">
        <f t="shared" si="14"/>
        <v/>
      </c>
      <c r="J923" s="201" t="str">
        <f>IFERROR(COUNTIF($C$23:C923,C923)&amp;CHOOSE(MIN(4,COUNTIF($C$23:C923,C923)),"st","nd","rd","th"),"")</f>
        <v/>
      </c>
    </row>
    <row r="924" spans="4:10" x14ac:dyDescent="0.25">
      <c r="D924" s="201" t="str">
        <f t="shared" si="14"/>
        <v/>
      </c>
      <c r="J924" s="201" t="str">
        <f>IFERROR(COUNTIF($C$23:C924,C924)&amp;CHOOSE(MIN(4,COUNTIF($C$23:C924,C924)),"st","nd","rd","th"),"")</f>
        <v/>
      </c>
    </row>
    <row r="925" spans="4:10" x14ac:dyDescent="0.25">
      <c r="D925" s="201" t="str">
        <f t="shared" si="14"/>
        <v/>
      </c>
      <c r="J925" s="201" t="str">
        <f>IFERROR(COUNTIF($C$23:C925,C925)&amp;CHOOSE(MIN(4,COUNTIF($C$23:C925,C925)),"st","nd","rd","th"),"")</f>
        <v/>
      </c>
    </row>
    <row r="926" spans="4:10" x14ac:dyDescent="0.25">
      <c r="D926" s="201" t="str">
        <f t="shared" si="14"/>
        <v/>
      </c>
      <c r="J926" s="201" t="str">
        <f>IFERROR(COUNTIF($C$23:C926,C926)&amp;CHOOSE(MIN(4,COUNTIF($C$23:C926,C926)),"st","nd","rd","th"),"")</f>
        <v/>
      </c>
    </row>
    <row r="927" spans="4:10" x14ac:dyDescent="0.25">
      <c r="D927" s="201" t="str">
        <f t="shared" si="14"/>
        <v/>
      </c>
      <c r="J927" s="201" t="str">
        <f>IFERROR(COUNTIF($C$23:C927,C927)&amp;CHOOSE(MIN(4,COUNTIF($C$23:C927,C927)),"st","nd","rd","th"),"")</f>
        <v/>
      </c>
    </row>
    <row r="928" spans="4:10" x14ac:dyDescent="0.25">
      <c r="D928" s="201" t="str">
        <f t="shared" si="14"/>
        <v/>
      </c>
      <c r="J928" s="201" t="str">
        <f>IFERROR(COUNTIF($C$23:C928,C928)&amp;CHOOSE(MIN(4,COUNTIF($C$23:C928,C928)),"st","nd","rd","th"),"")</f>
        <v/>
      </c>
    </row>
    <row r="929" spans="4:10" x14ac:dyDescent="0.25">
      <c r="D929" s="201" t="str">
        <f t="shared" si="14"/>
        <v/>
      </c>
      <c r="J929" s="201" t="str">
        <f>IFERROR(COUNTIF($C$23:C929,C929)&amp;CHOOSE(MIN(4,COUNTIF($C$23:C929,C929)),"st","nd","rd","th"),"")</f>
        <v/>
      </c>
    </row>
    <row r="930" spans="4:10" x14ac:dyDescent="0.25">
      <c r="D930" s="201" t="str">
        <f t="shared" si="14"/>
        <v/>
      </c>
      <c r="J930" s="201" t="str">
        <f>IFERROR(COUNTIF($C$23:C930,C930)&amp;CHOOSE(MIN(4,COUNTIF($C$23:C930,C930)),"st","nd","rd","th"),"")</f>
        <v/>
      </c>
    </row>
    <row r="931" spans="4:10" x14ac:dyDescent="0.25">
      <c r="D931" s="201" t="str">
        <f t="shared" si="14"/>
        <v/>
      </c>
      <c r="J931" s="201" t="str">
        <f>IFERROR(COUNTIF($C$23:C931,C931)&amp;CHOOSE(MIN(4,COUNTIF($C$23:C931,C931)),"st","nd","rd","th"),"")</f>
        <v/>
      </c>
    </row>
    <row r="932" spans="4:10" x14ac:dyDescent="0.25">
      <c r="D932" s="201" t="str">
        <f t="shared" si="14"/>
        <v/>
      </c>
      <c r="J932" s="201" t="str">
        <f>IFERROR(COUNTIF($C$23:C932,C932)&amp;CHOOSE(MIN(4,COUNTIF($C$23:C932,C932)),"st","nd","rd","th"),"")</f>
        <v/>
      </c>
    </row>
    <row r="933" spans="4:10" x14ac:dyDescent="0.25">
      <c r="D933" s="201" t="str">
        <f t="shared" si="14"/>
        <v/>
      </c>
      <c r="J933" s="201" t="str">
        <f>IFERROR(COUNTIF($C$23:C933,C933)&amp;CHOOSE(MIN(4,COUNTIF($C$23:C933,C933)),"st","nd","rd","th"),"")</f>
        <v/>
      </c>
    </row>
    <row r="934" spans="4:10" x14ac:dyDescent="0.25">
      <c r="D934" s="201" t="str">
        <f t="shared" si="14"/>
        <v/>
      </c>
      <c r="J934" s="201" t="str">
        <f>IFERROR(COUNTIF($C$23:C934,C934)&amp;CHOOSE(MIN(4,COUNTIF($C$23:C934,C934)),"st","nd","rd","th"),"")</f>
        <v/>
      </c>
    </row>
    <row r="935" spans="4:10" x14ac:dyDescent="0.25">
      <c r="D935" s="201" t="str">
        <f t="shared" si="14"/>
        <v/>
      </c>
      <c r="J935" s="201" t="str">
        <f>IFERROR(COUNTIF($C$23:C935,C935)&amp;CHOOSE(MIN(4,COUNTIF($C$23:C935,C935)),"st","nd","rd","th"),"")</f>
        <v/>
      </c>
    </row>
    <row r="936" spans="4:10" x14ac:dyDescent="0.25">
      <c r="D936" s="201" t="str">
        <f t="shared" si="14"/>
        <v/>
      </c>
      <c r="J936" s="201" t="str">
        <f>IFERROR(COUNTIF($C$23:C936,C936)&amp;CHOOSE(MIN(4,COUNTIF($C$23:C936,C936)),"st","nd","rd","th"),"")</f>
        <v/>
      </c>
    </row>
    <row r="937" spans="4:10" x14ac:dyDescent="0.25">
      <c r="D937" s="201" t="str">
        <f t="shared" si="14"/>
        <v/>
      </c>
      <c r="J937" s="201" t="str">
        <f>IFERROR(COUNTIF($C$23:C937,C937)&amp;CHOOSE(MIN(4,COUNTIF($C$23:C937,C937)),"st","nd","rd","th"),"")</f>
        <v/>
      </c>
    </row>
    <row r="938" spans="4:10" x14ac:dyDescent="0.25">
      <c r="D938" s="201" t="str">
        <f t="shared" si="14"/>
        <v/>
      </c>
      <c r="J938" s="201" t="str">
        <f>IFERROR(COUNTIF($C$23:C938,C938)&amp;CHOOSE(MIN(4,COUNTIF($C$23:C938,C938)),"st","nd","rd","th"),"")</f>
        <v/>
      </c>
    </row>
    <row r="939" spans="4:10" x14ac:dyDescent="0.25">
      <c r="D939" s="201" t="str">
        <f t="shared" si="14"/>
        <v/>
      </c>
      <c r="J939" s="201" t="str">
        <f>IFERROR(COUNTIF($C$23:C939,C939)&amp;CHOOSE(MIN(4,COUNTIF($C$23:C939,C939)),"st","nd","rd","th"),"")</f>
        <v/>
      </c>
    </row>
    <row r="940" spans="4:10" x14ac:dyDescent="0.25">
      <c r="D940" s="201" t="str">
        <f t="shared" si="14"/>
        <v/>
      </c>
      <c r="J940" s="201" t="str">
        <f>IFERROR(COUNTIF($C$23:C940,C940)&amp;CHOOSE(MIN(4,COUNTIF($C$23:C940,C940)),"st","nd","rd","th"),"")</f>
        <v/>
      </c>
    </row>
    <row r="941" spans="4:10" x14ac:dyDescent="0.25">
      <c r="D941" s="201" t="str">
        <f t="shared" si="14"/>
        <v/>
      </c>
      <c r="J941" s="201" t="str">
        <f>IFERROR(COUNTIF($C$23:C941,C941)&amp;CHOOSE(MIN(4,COUNTIF($C$23:C941,C941)),"st","nd","rd","th"),"")</f>
        <v/>
      </c>
    </row>
    <row r="942" spans="4:10" x14ac:dyDescent="0.25">
      <c r="D942" s="201" t="str">
        <f t="shared" si="14"/>
        <v/>
      </c>
      <c r="J942" s="201" t="str">
        <f>IFERROR(COUNTIF($C$23:C942,C942)&amp;CHOOSE(MIN(4,COUNTIF($C$23:C942,C942)),"st","nd","rd","th"),"")</f>
        <v/>
      </c>
    </row>
    <row r="943" spans="4:10" x14ac:dyDescent="0.25">
      <c r="D943" s="201" t="str">
        <f t="shared" si="14"/>
        <v/>
      </c>
      <c r="J943" s="201" t="str">
        <f>IFERROR(COUNTIF($C$23:C943,C943)&amp;CHOOSE(MIN(4,COUNTIF($C$23:C943,C943)),"st","nd","rd","th"),"")</f>
        <v/>
      </c>
    </row>
    <row r="944" spans="4:10" x14ac:dyDescent="0.25">
      <c r="D944" s="201" t="str">
        <f t="shared" si="14"/>
        <v/>
      </c>
      <c r="J944" s="201" t="str">
        <f>IFERROR(COUNTIF($C$23:C944,C944)&amp;CHOOSE(MIN(4,COUNTIF($C$23:C944,C944)),"st","nd","rd","th"),"")</f>
        <v/>
      </c>
    </row>
    <row r="945" spans="4:10" x14ac:dyDescent="0.25">
      <c r="D945" s="201" t="str">
        <f t="shared" si="14"/>
        <v/>
      </c>
      <c r="J945" s="201" t="str">
        <f>IFERROR(COUNTIF($C$23:C945,C945)&amp;CHOOSE(MIN(4,COUNTIF($C$23:C945,C945)),"st","nd","rd","th"),"")</f>
        <v/>
      </c>
    </row>
    <row r="946" spans="4:10" x14ac:dyDescent="0.25">
      <c r="D946" s="201" t="str">
        <f t="shared" si="14"/>
        <v/>
      </c>
      <c r="J946" s="201" t="str">
        <f>IFERROR(COUNTIF($C$23:C946,C946)&amp;CHOOSE(MIN(4,COUNTIF($C$23:C946,C946)),"st","nd","rd","th"),"")</f>
        <v/>
      </c>
    </row>
    <row r="947" spans="4:10" x14ac:dyDescent="0.25">
      <c r="D947" s="201" t="str">
        <f t="shared" si="14"/>
        <v/>
      </c>
      <c r="J947" s="201" t="str">
        <f>IFERROR(COUNTIF($C$23:C947,C947)&amp;CHOOSE(MIN(4,COUNTIF($C$23:C947,C947)),"st","nd","rd","th"),"")</f>
        <v/>
      </c>
    </row>
    <row r="948" spans="4:10" x14ac:dyDescent="0.25">
      <c r="D948" s="201" t="str">
        <f t="shared" si="14"/>
        <v/>
      </c>
      <c r="J948" s="201" t="str">
        <f>IFERROR(COUNTIF($C$23:C948,C948)&amp;CHOOSE(MIN(4,COUNTIF($C$23:C948,C948)),"st","nd","rd","th"),"")</f>
        <v/>
      </c>
    </row>
    <row r="949" spans="4:10" x14ac:dyDescent="0.25">
      <c r="D949" s="201" t="str">
        <f t="shared" si="14"/>
        <v/>
      </c>
      <c r="J949" s="201" t="str">
        <f>IFERROR(COUNTIF($C$23:C949,C949)&amp;CHOOSE(MIN(4,COUNTIF($C$23:C949,C949)),"st","nd","rd","th"),"")</f>
        <v/>
      </c>
    </row>
    <row r="950" spans="4:10" x14ac:dyDescent="0.25">
      <c r="D950" s="201" t="str">
        <f t="shared" si="14"/>
        <v/>
      </c>
      <c r="J950" s="201" t="str">
        <f>IFERROR(COUNTIF($C$23:C950,C950)&amp;CHOOSE(MIN(4,COUNTIF($C$23:C950,C950)),"st","nd","rd","th"),"")</f>
        <v/>
      </c>
    </row>
    <row r="951" spans="4:10" x14ac:dyDescent="0.25">
      <c r="D951" s="201" t="str">
        <f t="shared" si="14"/>
        <v/>
      </c>
      <c r="J951" s="201" t="str">
        <f>IFERROR(COUNTIF($C$23:C951,C951)&amp;CHOOSE(MIN(4,COUNTIF($C$23:C951,C951)),"st","nd","rd","th"),"")</f>
        <v/>
      </c>
    </row>
    <row r="952" spans="4:10" x14ac:dyDescent="0.25">
      <c r="D952" s="201" t="str">
        <f t="shared" si="14"/>
        <v/>
      </c>
      <c r="J952" s="201" t="str">
        <f>IFERROR(COUNTIF($C$23:C952,C952)&amp;CHOOSE(MIN(4,COUNTIF($C$23:C952,C952)),"st","nd","rd","th"),"")</f>
        <v/>
      </c>
    </row>
    <row r="953" spans="4:10" x14ac:dyDescent="0.25">
      <c r="D953" s="201" t="str">
        <f t="shared" si="14"/>
        <v/>
      </c>
      <c r="J953" s="201" t="str">
        <f>IFERROR(COUNTIF($C$23:C953,C953)&amp;CHOOSE(MIN(4,COUNTIF($C$23:C953,C953)),"st","nd","rd","th"),"")</f>
        <v/>
      </c>
    </row>
    <row r="954" spans="4:10" x14ac:dyDescent="0.25">
      <c r="D954" s="201" t="str">
        <f t="shared" si="14"/>
        <v/>
      </c>
      <c r="J954" s="201" t="str">
        <f>IFERROR(COUNTIF($C$23:C954,C954)&amp;CHOOSE(MIN(4,COUNTIF($C$23:C954,C954)),"st","nd","rd","th"),"")</f>
        <v/>
      </c>
    </row>
    <row r="955" spans="4:10" x14ac:dyDescent="0.25">
      <c r="D955" s="201" t="str">
        <f t="shared" si="14"/>
        <v/>
      </c>
      <c r="J955" s="201" t="str">
        <f>IFERROR(COUNTIF($C$23:C955,C955)&amp;CHOOSE(MIN(4,COUNTIF($C$23:C955,C955)),"st","nd","rd","th"),"")</f>
        <v/>
      </c>
    </row>
    <row r="956" spans="4:10" x14ac:dyDescent="0.25">
      <c r="D956" s="201" t="str">
        <f t="shared" si="14"/>
        <v/>
      </c>
      <c r="J956" s="201" t="str">
        <f>IFERROR(COUNTIF($C$23:C956,C956)&amp;CHOOSE(MIN(4,COUNTIF($C$23:C956,C956)),"st","nd","rd","th"),"")</f>
        <v/>
      </c>
    </row>
    <row r="957" spans="4:10" x14ac:dyDescent="0.25">
      <c r="D957" s="201" t="str">
        <f t="shared" si="14"/>
        <v/>
      </c>
      <c r="J957" s="201" t="str">
        <f>IFERROR(COUNTIF($C$23:C957,C957)&amp;CHOOSE(MIN(4,COUNTIF($C$23:C957,C957)),"st","nd","rd","th"),"")</f>
        <v/>
      </c>
    </row>
    <row r="958" spans="4:10" x14ac:dyDescent="0.25">
      <c r="D958" s="201" t="str">
        <f t="shared" si="14"/>
        <v/>
      </c>
      <c r="J958" s="201" t="str">
        <f>IFERROR(COUNTIF($C$23:C958,C958)&amp;CHOOSE(MIN(4,COUNTIF($C$23:C958,C958)),"st","nd","rd","th"),"")</f>
        <v/>
      </c>
    </row>
    <row r="959" spans="4:10" x14ac:dyDescent="0.25">
      <c r="D959" s="201" t="str">
        <f t="shared" si="14"/>
        <v/>
      </c>
      <c r="J959" s="201" t="str">
        <f>IFERROR(COUNTIF($C$23:C959,C959)&amp;CHOOSE(MIN(4,COUNTIF($C$23:C959,C959)),"st","nd","rd","th"),"")</f>
        <v/>
      </c>
    </row>
    <row r="960" spans="4:10" x14ac:dyDescent="0.25">
      <c r="D960" s="201" t="str">
        <f t="shared" si="14"/>
        <v/>
      </c>
      <c r="J960" s="201" t="str">
        <f>IFERROR(COUNTIF($C$23:C960,C960)&amp;CHOOSE(MIN(4,COUNTIF($C$23:C960,C960)),"st","nd","rd","th"),"")</f>
        <v/>
      </c>
    </row>
    <row r="961" spans="4:10" x14ac:dyDescent="0.25">
      <c r="D961" s="201" t="str">
        <f t="shared" si="14"/>
        <v/>
      </c>
      <c r="J961" s="201" t="str">
        <f>IFERROR(COUNTIF($C$23:C961,C961)&amp;CHOOSE(MIN(4,COUNTIF($C$23:C961,C961)),"st","nd","rd","th"),"")</f>
        <v/>
      </c>
    </row>
    <row r="962" spans="4:10" x14ac:dyDescent="0.25">
      <c r="D962" s="201" t="str">
        <f t="shared" si="14"/>
        <v/>
      </c>
      <c r="J962" s="201" t="str">
        <f>IFERROR(COUNTIF($C$23:C962,C962)&amp;CHOOSE(MIN(4,COUNTIF($C$23:C962,C962)),"st","nd","rd","th"),"")</f>
        <v/>
      </c>
    </row>
    <row r="963" spans="4:10" x14ac:dyDescent="0.25">
      <c r="D963" s="201" t="str">
        <f t="shared" si="14"/>
        <v/>
      </c>
      <c r="J963" s="201" t="str">
        <f>IFERROR(COUNTIF($C$23:C963,C963)&amp;CHOOSE(MIN(4,COUNTIF($C$23:C963,C963)),"st","nd","rd","th"),"")</f>
        <v/>
      </c>
    </row>
    <row r="964" spans="4:10" x14ac:dyDescent="0.25">
      <c r="D964" s="201" t="str">
        <f t="shared" si="14"/>
        <v/>
      </c>
      <c r="J964" s="201" t="str">
        <f>IFERROR(COUNTIF($C$23:C964,C964)&amp;CHOOSE(MIN(4,COUNTIF($C$23:C964,C964)),"st","nd","rd","th"),"")</f>
        <v/>
      </c>
    </row>
    <row r="965" spans="4:10" x14ac:dyDescent="0.25">
      <c r="D965" s="201" t="str">
        <f t="shared" si="14"/>
        <v/>
      </c>
      <c r="J965" s="201" t="str">
        <f>IFERROR(COUNTIF($C$23:C965,C965)&amp;CHOOSE(MIN(4,COUNTIF($C$23:C965,C965)),"st","nd","rd","th"),"")</f>
        <v/>
      </c>
    </row>
    <row r="966" spans="4:10" x14ac:dyDescent="0.25">
      <c r="D966" s="201" t="str">
        <f t="shared" si="14"/>
        <v/>
      </c>
      <c r="J966" s="201" t="str">
        <f>IFERROR(COUNTIF($C$23:C966,C966)&amp;CHOOSE(MIN(4,COUNTIF($C$23:C966,C966)),"st","nd","rd","th"),"")</f>
        <v/>
      </c>
    </row>
    <row r="967" spans="4:10" x14ac:dyDescent="0.25">
      <c r="D967" s="201" t="str">
        <f t="shared" si="14"/>
        <v/>
      </c>
      <c r="J967" s="201" t="str">
        <f>IFERROR(COUNTIF($C$23:C967,C967)&amp;CHOOSE(MIN(4,COUNTIF($C$23:C967,C967)),"st","nd","rd","th"),"")</f>
        <v/>
      </c>
    </row>
    <row r="968" spans="4:10" x14ac:dyDescent="0.25">
      <c r="D968" s="201" t="str">
        <f t="shared" si="14"/>
        <v/>
      </c>
      <c r="J968" s="201" t="str">
        <f>IFERROR(COUNTIF($C$23:C968,C968)&amp;CHOOSE(MIN(4,COUNTIF($C$23:C968,C968)),"st","nd","rd","th"),"")</f>
        <v/>
      </c>
    </row>
    <row r="969" spans="4:10" x14ac:dyDescent="0.25">
      <c r="D969" s="201" t="str">
        <f t="shared" si="14"/>
        <v/>
      </c>
      <c r="J969" s="201" t="str">
        <f>IFERROR(COUNTIF($C$23:C969,C969)&amp;CHOOSE(MIN(4,COUNTIF($C$23:C969,C969)),"st","nd","rd","th"),"")</f>
        <v/>
      </c>
    </row>
    <row r="970" spans="4:10" x14ac:dyDescent="0.25">
      <c r="D970" s="201" t="str">
        <f t="shared" si="14"/>
        <v/>
      </c>
      <c r="J970" s="201" t="str">
        <f>IFERROR(COUNTIF($C$23:C970,C970)&amp;CHOOSE(MIN(4,COUNTIF($C$23:C970,C970)),"st","nd","rd","th"),"")</f>
        <v/>
      </c>
    </row>
    <row r="971" spans="4:10" x14ac:dyDescent="0.25">
      <c r="D971" s="201" t="str">
        <f t="shared" si="14"/>
        <v/>
      </c>
      <c r="J971" s="201" t="str">
        <f>IFERROR(COUNTIF($C$23:C971,C971)&amp;CHOOSE(MIN(4,COUNTIF($C$23:C971,C971)),"st","nd","rd","th"),"")</f>
        <v/>
      </c>
    </row>
    <row r="972" spans="4:10" x14ac:dyDescent="0.25">
      <c r="D972" s="201" t="str">
        <f t="shared" si="14"/>
        <v/>
      </c>
      <c r="J972" s="201" t="str">
        <f>IFERROR(COUNTIF($C$23:C972,C972)&amp;CHOOSE(MIN(4,COUNTIF($C$23:C972,C972)),"st","nd","rd","th"),"")</f>
        <v/>
      </c>
    </row>
    <row r="973" spans="4:10" x14ac:dyDescent="0.25">
      <c r="D973" s="201" t="str">
        <f t="shared" si="14"/>
        <v/>
      </c>
      <c r="J973" s="201" t="str">
        <f>IFERROR(COUNTIF($C$23:C973,C973)&amp;CHOOSE(MIN(4,COUNTIF($C$23:C973,C973)),"st","nd","rd","th"),"")</f>
        <v/>
      </c>
    </row>
    <row r="974" spans="4:10" x14ac:dyDescent="0.25">
      <c r="D974" s="201" t="str">
        <f t="shared" si="14"/>
        <v/>
      </c>
      <c r="J974" s="201" t="str">
        <f>IFERROR(COUNTIF($C$23:C974,C974)&amp;CHOOSE(MIN(4,COUNTIF($C$23:C974,C974)),"st","nd","rd","th"),"")</f>
        <v/>
      </c>
    </row>
    <row r="975" spans="4:10" x14ac:dyDescent="0.25">
      <c r="D975" s="201" t="str">
        <f t="shared" si="14"/>
        <v/>
      </c>
      <c r="J975" s="201" t="str">
        <f>IFERROR(COUNTIF($C$23:C975,C975)&amp;CHOOSE(MIN(4,COUNTIF($C$23:C975,C975)),"st","nd","rd","th"),"")</f>
        <v/>
      </c>
    </row>
    <row r="976" spans="4:10" x14ac:dyDescent="0.25">
      <c r="D976" s="201" t="str">
        <f t="shared" si="14"/>
        <v/>
      </c>
      <c r="J976" s="201" t="str">
        <f>IFERROR(COUNTIF($C$23:C976,C976)&amp;CHOOSE(MIN(4,COUNTIF($C$23:C976,C976)),"st","nd","rd","th"),"")</f>
        <v/>
      </c>
    </row>
    <row r="977" spans="4:10" x14ac:dyDescent="0.25">
      <c r="D977" s="201" t="str">
        <f t="shared" si="14"/>
        <v/>
      </c>
      <c r="J977" s="201" t="str">
        <f>IFERROR(COUNTIF($C$23:C977,C977)&amp;CHOOSE(MIN(4,COUNTIF($C$23:C977,C977)),"st","nd","rd","th"),"")</f>
        <v/>
      </c>
    </row>
    <row r="978" spans="4:10" x14ac:dyDescent="0.25">
      <c r="D978" s="201" t="str">
        <f t="shared" si="14"/>
        <v/>
      </c>
      <c r="J978" s="201" t="str">
        <f>IFERROR(COUNTIF($C$23:C978,C978)&amp;CHOOSE(MIN(4,COUNTIF($C$23:C978,C978)),"st","nd","rd","th"),"")</f>
        <v/>
      </c>
    </row>
    <row r="979" spans="4:10" x14ac:dyDescent="0.25">
      <c r="D979" s="201" t="str">
        <f t="shared" si="14"/>
        <v/>
      </c>
      <c r="J979" s="201" t="str">
        <f>IFERROR(COUNTIF($C$23:C979,C979)&amp;CHOOSE(MIN(4,COUNTIF($C$23:C979,C979)),"st","nd","rd","th"),"")</f>
        <v/>
      </c>
    </row>
    <row r="980" spans="4:10" x14ac:dyDescent="0.25">
      <c r="D980" s="201" t="str">
        <f t="shared" si="14"/>
        <v/>
      </c>
      <c r="J980" s="201" t="str">
        <f>IFERROR(COUNTIF($C$23:C980,C980)&amp;CHOOSE(MIN(4,COUNTIF($C$23:C980,C980)),"st","nd","rd","th"),"")</f>
        <v/>
      </c>
    </row>
    <row r="981" spans="4:10" x14ac:dyDescent="0.25">
      <c r="D981" s="201" t="str">
        <f t="shared" si="14"/>
        <v/>
      </c>
      <c r="J981" s="201" t="str">
        <f>IFERROR(COUNTIF($C$23:C981,C981)&amp;CHOOSE(MIN(4,COUNTIF($C$23:C981,C981)),"st","nd","rd","th"),"")</f>
        <v/>
      </c>
    </row>
    <row r="982" spans="4:10" x14ac:dyDescent="0.25">
      <c r="D982" s="201" t="str">
        <f t="shared" si="14"/>
        <v/>
      </c>
      <c r="J982" s="201" t="str">
        <f>IFERROR(COUNTIF($C$23:C982,C982)&amp;CHOOSE(MIN(4,COUNTIF($C$23:C982,C982)),"st","nd","rd","th"),"")</f>
        <v/>
      </c>
    </row>
    <row r="983" spans="4:10" x14ac:dyDescent="0.25">
      <c r="D983" s="201" t="str">
        <f t="shared" ref="D983:D1005" si="15">IF(B983="","",IF(B983="Province_PLGU","PDPFP","CLUP"))</f>
        <v/>
      </c>
      <c r="J983" s="201" t="str">
        <f>IFERROR(COUNTIF($C$23:C983,C983)&amp;CHOOSE(MIN(4,COUNTIF($C$23:C983,C983)),"st","nd","rd","th"),"")</f>
        <v/>
      </c>
    </row>
    <row r="984" spans="4:10" x14ac:dyDescent="0.25">
      <c r="D984" s="201" t="str">
        <f t="shared" si="15"/>
        <v/>
      </c>
      <c r="J984" s="201" t="str">
        <f>IFERROR(COUNTIF($C$23:C984,C984)&amp;CHOOSE(MIN(4,COUNTIF($C$23:C984,C984)),"st","nd","rd","th"),"")</f>
        <v/>
      </c>
    </row>
    <row r="985" spans="4:10" x14ac:dyDescent="0.25">
      <c r="D985" s="201" t="str">
        <f t="shared" si="15"/>
        <v/>
      </c>
      <c r="J985" s="201" t="str">
        <f>IFERROR(COUNTIF($C$23:C985,C985)&amp;CHOOSE(MIN(4,COUNTIF($C$23:C985,C985)),"st","nd","rd","th"),"")</f>
        <v/>
      </c>
    </row>
    <row r="986" spans="4:10" x14ac:dyDescent="0.25">
      <c r="D986" s="201" t="str">
        <f t="shared" si="15"/>
        <v/>
      </c>
      <c r="J986" s="201" t="str">
        <f>IFERROR(COUNTIF($C$23:C986,C986)&amp;CHOOSE(MIN(4,COUNTIF($C$23:C986,C986)),"st","nd","rd","th"),"")</f>
        <v/>
      </c>
    </row>
    <row r="987" spans="4:10" x14ac:dyDescent="0.25">
      <c r="D987" s="201" t="str">
        <f t="shared" si="15"/>
        <v/>
      </c>
      <c r="J987" s="201" t="str">
        <f>IFERROR(COUNTIF($C$23:C987,C987)&amp;CHOOSE(MIN(4,COUNTIF($C$23:C987,C987)),"st","nd","rd","th"),"")</f>
        <v/>
      </c>
    </row>
    <row r="988" spans="4:10" x14ac:dyDescent="0.25">
      <c r="D988" s="201" t="str">
        <f t="shared" si="15"/>
        <v/>
      </c>
      <c r="J988" s="201" t="str">
        <f>IFERROR(COUNTIF($C$23:C988,C988)&amp;CHOOSE(MIN(4,COUNTIF($C$23:C988,C988)),"st","nd","rd","th"),"")</f>
        <v/>
      </c>
    </row>
    <row r="989" spans="4:10" x14ac:dyDescent="0.25">
      <c r="D989" s="201" t="str">
        <f t="shared" si="15"/>
        <v/>
      </c>
      <c r="J989" s="201" t="str">
        <f>IFERROR(COUNTIF($C$23:C989,C989)&amp;CHOOSE(MIN(4,COUNTIF($C$23:C989,C989)),"st","nd","rd","th"),"")</f>
        <v/>
      </c>
    </row>
    <row r="990" spans="4:10" x14ac:dyDescent="0.25">
      <c r="D990" s="201" t="str">
        <f t="shared" si="15"/>
        <v/>
      </c>
      <c r="J990" s="201" t="str">
        <f>IFERROR(COUNTIF($C$23:C990,C990)&amp;CHOOSE(MIN(4,COUNTIF($C$23:C990,C990)),"st","nd","rd","th"),"")</f>
        <v/>
      </c>
    </row>
    <row r="991" spans="4:10" x14ac:dyDescent="0.25">
      <c r="D991" s="201" t="str">
        <f t="shared" si="15"/>
        <v/>
      </c>
      <c r="J991" s="201" t="str">
        <f>IFERROR(COUNTIF($C$23:C991,C991)&amp;CHOOSE(MIN(4,COUNTIF($C$23:C991,C991)),"st","nd","rd","th"),"")</f>
        <v/>
      </c>
    </row>
    <row r="992" spans="4:10" x14ac:dyDescent="0.25">
      <c r="D992" s="201" t="str">
        <f t="shared" si="15"/>
        <v/>
      </c>
      <c r="J992" s="201" t="str">
        <f>IFERROR(COUNTIF($C$23:C992,C992)&amp;CHOOSE(MIN(4,COUNTIF($C$23:C992,C992)),"st","nd","rd","th"),"")</f>
        <v/>
      </c>
    </row>
    <row r="993" spans="4:10" x14ac:dyDescent="0.25">
      <c r="D993" s="201" t="str">
        <f t="shared" si="15"/>
        <v/>
      </c>
      <c r="J993" s="201" t="str">
        <f>IFERROR(COUNTIF($C$23:C993,C993)&amp;CHOOSE(MIN(4,COUNTIF($C$23:C993,C993)),"st","nd","rd","th"),"")</f>
        <v/>
      </c>
    </row>
    <row r="994" spans="4:10" x14ac:dyDescent="0.25">
      <c r="D994" s="201" t="str">
        <f t="shared" si="15"/>
        <v/>
      </c>
      <c r="J994" s="201" t="str">
        <f>IFERROR(COUNTIF($C$23:C994,C994)&amp;CHOOSE(MIN(4,COUNTIF($C$23:C994,C994)),"st","nd","rd","th"),"")</f>
        <v/>
      </c>
    </row>
    <row r="995" spans="4:10" x14ac:dyDescent="0.25">
      <c r="D995" s="201" t="str">
        <f t="shared" si="15"/>
        <v/>
      </c>
      <c r="J995" s="201" t="str">
        <f>IFERROR(COUNTIF($C$23:C995,C995)&amp;CHOOSE(MIN(4,COUNTIF($C$23:C995,C995)),"st","nd","rd","th"),"")</f>
        <v/>
      </c>
    </row>
    <row r="996" spans="4:10" x14ac:dyDescent="0.25">
      <c r="D996" s="201" t="str">
        <f t="shared" si="15"/>
        <v/>
      </c>
      <c r="J996" s="201" t="str">
        <f>IFERROR(COUNTIF($C$23:C996,C996)&amp;CHOOSE(MIN(4,COUNTIF($C$23:C996,C996)),"st","nd","rd","th"),"")</f>
        <v/>
      </c>
    </row>
    <row r="997" spans="4:10" x14ac:dyDescent="0.25">
      <c r="D997" s="201" t="str">
        <f t="shared" si="15"/>
        <v/>
      </c>
      <c r="J997" s="201" t="str">
        <f>IFERROR(COUNTIF($C$23:C997,C997)&amp;CHOOSE(MIN(4,COUNTIF($C$23:C997,C997)),"st","nd","rd","th"),"")</f>
        <v/>
      </c>
    </row>
    <row r="998" spans="4:10" x14ac:dyDescent="0.25">
      <c r="D998" s="201" t="str">
        <f t="shared" si="15"/>
        <v/>
      </c>
      <c r="J998" s="201" t="str">
        <f>IFERROR(COUNTIF($C$23:C998,C998)&amp;CHOOSE(MIN(4,COUNTIF($C$23:C998,C998)),"st","nd","rd","th"),"")</f>
        <v/>
      </c>
    </row>
    <row r="999" spans="4:10" x14ac:dyDescent="0.25">
      <c r="D999" s="201" t="str">
        <f t="shared" si="15"/>
        <v/>
      </c>
      <c r="J999" s="201" t="str">
        <f>IFERROR(COUNTIF($C$23:C999,C999)&amp;CHOOSE(MIN(4,COUNTIF($C$23:C999,C999)),"st","nd","rd","th"),"")</f>
        <v/>
      </c>
    </row>
    <row r="1000" spans="4:10" x14ac:dyDescent="0.25">
      <c r="D1000" s="201" t="str">
        <f t="shared" si="15"/>
        <v/>
      </c>
      <c r="J1000" s="201" t="str">
        <f>IFERROR(COUNTIF($C$23:C1000,C1000)&amp;CHOOSE(MIN(4,COUNTIF($C$23:C1000,C1000)),"st","nd","rd","th"),"")</f>
        <v/>
      </c>
    </row>
    <row r="1001" spans="4:10" x14ac:dyDescent="0.25">
      <c r="D1001" s="201" t="str">
        <f t="shared" si="15"/>
        <v/>
      </c>
      <c r="J1001" s="201" t="str">
        <f>IFERROR(COUNTIF($C$23:C1001,C1001)&amp;CHOOSE(MIN(4,COUNTIF($C$23:C1001,C1001)),"st","nd","rd","th"),"")</f>
        <v/>
      </c>
    </row>
    <row r="1002" spans="4:10" x14ac:dyDescent="0.25">
      <c r="D1002" s="201" t="str">
        <f t="shared" si="15"/>
        <v/>
      </c>
      <c r="J1002" s="201" t="str">
        <f>IFERROR(COUNTIF($C$23:C1002,C1002)&amp;CHOOSE(MIN(4,COUNTIF($C$23:C1002,C1002)),"st","nd","rd","th"),"")</f>
        <v/>
      </c>
    </row>
    <row r="1003" spans="4:10" x14ac:dyDescent="0.25">
      <c r="D1003" s="201" t="str">
        <f t="shared" si="15"/>
        <v/>
      </c>
      <c r="J1003" s="201" t="str">
        <f>IFERROR(COUNTIF($C$23:C1003,C1003)&amp;CHOOSE(MIN(4,COUNTIF($C$23:C1003,C1003)),"st","nd","rd","th"),"")</f>
        <v/>
      </c>
    </row>
    <row r="1004" spans="4:10" x14ac:dyDescent="0.25">
      <c r="D1004" s="201" t="str">
        <f t="shared" si="15"/>
        <v/>
      </c>
      <c r="J1004" s="201" t="str">
        <f>IFERROR(COUNTIF($C$23:C1004,C1004)&amp;CHOOSE(MIN(4,COUNTIF($C$23:C1004,C1004)),"st","nd","rd","th"),"")</f>
        <v/>
      </c>
    </row>
    <row r="1005" spans="4:10" x14ac:dyDescent="0.25">
      <c r="D1005" s="201" t="str">
        <f t="shared" si="15"/>
        <v/>
      </c>
      <c r="J1005" s="201" t="str">
        <f>IFERROR(COUNTIF($C$23:C1005,C1005)&amp;CHOOSE(MIN(4,COUNTIF($C$23:C1005,C1005)),"st","nd","rd","th"),"")</f>
        <v/>
      </c>
    </row>
  </sheetData>
  <mergeCells count="6">
    <mergeCell ref="B14:R14"/>
    <mergeCell ref="B5:R5"/>
    <mergeCell ref="B6:R6"/>
    <mergeCell ref="B7:R7"/>
    <mergeCell ref="B12:R12"/>
    <mergeCell ref="B13:R13"/>
  </mergeCells>
  <dataValidations count="1">
    <dataValidation type="list" allowBlank="1" showInputMessage="1" showErrorMessage="1" sqref="B23:C1048576" xr:uid="{A6C6EEB7-472D-4514-A8F0-23CDE8E8B707}">
      <formula1>INDIRECT(A23)</formula1>
    </dataValidation>
  </dataValidations>
  <hyperlinks>
    <hyperlink ref="C1" location="'Accomplishment 2025'!A1" display="Back to Summary of Accomplishments 2025" xr:uid="{FC20C4CF-8CBD-4FD2-A015-F79338754C1A}"/>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9F12174-A554-4735-8AF6-25CDC6241CBC}">
          <x14:formula1>
            <xm:f>Picklists!$A$3:$A$14</xm:f>
          </x14:formula1>
          <xm:sqref>H23:H1048576</xm:sqref>
        </x14:dataValidation>
        <x14:dataValidation type="list" allowBlank="1" showInputMessage="1" showErrorMessage="1" xr:uid="{294B12BD-645D-46F8-92F0-9A482E994BB1}">
          <x14:formula1>
            <xm:f>LGU_Masterlist!$C$2:$T$2</xm:f>
          </x14:formula1>
          <xm:sqref>A23:A1048576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1107-20B1-46CE-BFAF-2A01C0623A3F}">
  <sheetPr codeName="Sheet30">
    <tabColor rgb="FF96EAF8"/>
  </sheetPr>
  <dimension ref="A1:R1006"/>
  <sheetViews>
    <sheetView zoomScale="60" zoomScaleNormal="60" workbookViewId="0">
      <selection activeCell="A23" sqref="A23:I27"/>
    </sheetView>
  </sheetViews>
  <sheetFormatPr defaultColWidth="8.88671875" defaultRowHeight="13.8" x14ac:dyDescent="0.25"/>
  <cols>
    <col min="1" max="1" width="11.33203125" style="164" customWidth="1"/>
    <col min="2" max="3" width="8.88671875" style="164" customWidth="1"/>
    <col min="4" max="4" width="23.109375" style="201" customWidth="1"/>
    <col min="5" max="6" width="8.88671875" style="205" customWidth="1"/>
    <col min="7" max="7" width="14" style="202" customWidth="1"/>
    <col min="8" max="8" width="11.44140625" style="164" customWidth="1"/>
    <col min="9" max="9" width="8.88671875" style="164" customWidth="1"/>
    <col min="10" max="10" width="16.88671875" style="201" customWidth="1"/>
    <col min="11" max="11" width="8.88671875" style="164" customWidth="1"/>
    <col min="12" max="16384" width="8.88671875" style="164"/>
  </cols>
  <sheetData>
    <row r="1" spans="1:18" s="32" customFormat="1" ht="14.4" x14ac:dyDescent="0.3">
      <c r="A1" s="173" t="s">
        <v>5090</v>
      </c>
      <c r="C1" s="174" t="s">
        <v>1673</v>
      </c>
      <c r="D1" s="38"/>
      <c r="J1" s="38"/>
    </row>
    <row r="2" spans="1:18" s="32" customFormat="1" x14ac:dyDescent="0.25">
      <c r="A2" s="176"/>
      <c r="B2" s="35"/>
      <c r="C2" s="35"/>
      <c r="D2" s="182"/>
      <c r="J2" s="38"/>
    </row>
    <row r="3" spans="1:18" s="32" customFormat="1" x14ac:dyDescent="0.25">
      <c r="A3" s="363">
        <v>17</v>
      </c>
      <c r="B3" s="364" t="s">
        <v>1613</v>
      </c>
      <c r="C3" s="364"/>
      <c r="D3" s="365"/>
      <c r="J3" s="38"/>
    </row>
    <row r="4" spans="1:18" s="32" customFormat="1" x14ac:dyDescent="0.25">
      <c r="A4" s="178"/>
      <c r="B4" s="206" t="s">
        <v>5320</v>
      </c>
      <c r="C4" s="206"/>
      <c r="D4" s="366"/>
      <c r="J4" s="38"/>
    </row>
    <row r="5" spans="1:18" s="32" customFormat="1" x14ac:dyDescent="0.25">
      <c r="A5" s="178"/>
      <c r="B5" s="599" t="s">
        <v>5321</v>
      </c>
      <c r="C5" s="599"/>
      <c r="D5" s="599"/>
      <c r="E5" s="599"/>
      <c r="F5" s="599"/>
      <c r="G5" s="599"/>
      <c r="H5" s="599"/>
      <c r="I5" s="599"/>
      <c r="J5" s="599"/>
      <c r="K5" s="599"/>
      <c r="L5" s="599"/>
      <c r="M5" s="599"/>
      <c r="N5" s="599"/>
      <c r="O5" s="599"/>
      <c r="P5" s="599"/>
      <c r="Q5" s="599"/>
      <c r="R5" s="599"/>
    </row>
    <row r="6" spans="1:18" s="32" customFormat="1" x14ac:dyDescent="0.25">
      <c r="A6" s="178"/>
      <c r="B6" s="601" t="s">
        <v>5322</v>
      </c>
      <c r="C6" s="601"/>
      <c r="D6" s="601"/>
      <c r="E6" s="601"/>
      <c r="F6" s="601"/>
      <c r="G6" s="601"/>
      <c r="H6" s="601"/>
      <c r="I6" s="601"/>
      <c r="J6" s="601"/>
      <c r="K6" s="601"/>
      <c r="L6" s="601"/>
      <c r="M6" s="601"/>
      <c r="N6" s="601"/>
      <c r="O6" s="601"/>
      <c r="P6" s="601"/>
      <c r="Q6" s="601"/>
      <c r="R6" s="601"/>
    </row>
    <row r="7" spans="1:18" s="32" customFormat="1" x14ac:dyDescent="0.25">
      <c r="B7" s="602" t="s">
        <v>5323</v>
      </c>
      <c r="C7" s="602"/>
      <c r="D7" s="602"/>
      <c r="E7" s="602"/>
      <c r="F7" s="602"/>
      <c r="G7" s="602"/>
      <c r="H7" s="602"/>
      <c r="I7" s="602"/>
      <c r="J7" s="602"/>
      <c r="K7" s="602"/>
      <c r="L7" s="602"/>
      <c r="M7" s="602"/>
      <c r="N7" s="602"/>
      <c r="O7" s="602"/>
      <c r="P7" s="602"/>
      <c r="Q7" s="602"/>
      <c r="R7" s="602"/>
    </row>
    <row r="8" spans="1:18" s="32" customFormat="1" x14ac:dyDescent="0.25">
      <c r="B8" s="173"/>
      <c r="C8" s="173"/>
      <c r="D8" s="182"/>
      <c r="E8" s="173"/>
      <c r="F8" s="173"/>
      <c r="G8" s="173"/>
      <c r="H8" s="173"/>
      <c r="I8" s="173"/>
      <c r="J8" s="182"/>
      <c r="K8" s="173"/>
      <c r="L8" s="173"/>
      <c r="M8" s="173"/>
      <c r="N8" s="173"/>
      <c r="O8" s="173"/>
      <c r="P8" s="173"/>
      <c r="Q8" s="173"/>
      <c r="R8" s="173"/>
    </row>
    <row r="9" spans="1:18" s="32" customFormat="1" x14ac:dyDescent="0.25">
      <c r="B9" s="173"/>
      <c r="C9" s="173"/>
      <c r="D9" s="182"/>
      <c r="E9" s="173"/>
      <c r="F9" s="173"/>
      <c r="G9" s="173"/>
      <c r="H9" s="173"/>
      <c r="I9" s="173"/>
      <c r="J9" s="182"/>
      <c r="K9" s="173"/>
      <c r="L9" s="173"/>
      <c r="M9" s="173"/>
      <c r="N9" s="173"/>
      <c r="O9" s="173"/>
      <c r="P9" s="173"/>
      <c r="Q9" s="173"/>
      <c r="R9" s="173"/>
    </row>
    <row r="10" spans="1:18" s="32" customFormat="1" x14ac:dyDescent="0.25">
      <c r="A10" s="363">
        <v>18</v>
      </c>
      <c r="B10" s="364" t="s">
        <v>1613</v>
      </c>
      <c r="C10" s="173"/>
      <c r="D10" s="182"/>
      <c r="E10" s="173"/>
      <c r="F10" s="173"/>
      <c r="G10" s="173"/>
      <c r="H10" s="173"/>
      <c r="I10" s="173"/>
      <c r="J10" s="182"/>
      <c r="K10" s="173"/>
      <c r="L10" s="173"/>
      <c r="M10" s="173"/>
      <c r="N10" s="173"/>
      <c r="O10" s="173"/>
      <c r="P10" s="173"/>
      <c r="Q10" s="173"/>
      <c r="R10" s="173"/>
    </row>
    <row r="11" spans="1:18" s="32" customFormat="1" x14ac:dyDescent="0.25">
      <c r="B11" s="206" t="s">
        <v>5324</v>
      </c>
      <c r="C11" s="206"/>
      <c r="D11" s="366"/>
      <c r="J11" s="38"/>
    </row>
    <row r="12" spans="1:18" s="32" customFormat="1" x14ac:dyDescent="0.25">
      <c r="B12" s="599" t="s">
        <v>5325</v>
      </c>
      <c r="C12" s="599"/>
      <c r="D12" s="599"/>
      <c r="E12" s="599"/>
      <c r="F12" s="599"/>
      <c r="G12" s="599"/>
      <c r="H12" s="599"/>
      <c r="I12" s="599"/>
      <c r="J12" s="599"/>
      <c r="K12" s="599"/>
      <c r="L12" s="599"/>
      <c r="M12" s="599"/>
      <c r="N12" s="599"/>
      <c r="O12" s="599"/>
      <c r="P12" s="599"/>
      <c r="Q12" s="599"/>
      <c r="R12" s="599"/>
    </row>
    <row r="13" spans="1:18" s="32" customFormat="1" ht="13.95" customHeight="1" x14ac:dyDescent="0.25">
      <c r="B13" s="601" t="s">
        <v>5322</v>
      </c>
      <c r="C13" s="601"/>
      <c r="D13" s="601"/>
      <c r="E13" s="601"/>
      <c r="F13" s="601"/>
      <c r="G13" s="601"/>
      <c r="H13" s="601"/>
      <c r="I13" s="601"/>
      <c r="J13" s="601"/>
      <c r="K13" s="601"/>
      <c r="L13" s="601"/>
      <c r="M13" s="601"/>
      <c r="N13" s="601"/>
      <c r="O13" s="601"/>
      <c r="P13" s="601"/>
      <c r="Q13" s="601"/>
      <c r="R13" s="601"/>
    </row>
    <row r="14" spans="1:18" s="32" customFormat="1" x14ac:dyDescent="0.25">
      <c r="B14" s="602" t="s">
        <v>5326</v>
      </c>
      <c r="C14" s="602"/>
      <c r="D14" s="602"/>
      <c r="E14" s="602"/>
      <c r="F14" s="602"/>
      <c r="G14" s="602"/>
      <c r="H14" s="602"/>
      <c r="I14" s="602"/>
      <c r="J14" s="602"/>
      <c r="K14" s="602"/>
      <c r="L14" s="602"/>
      <c r="M14" s="602"/>
      <c r="N14" s="602"/>
      <c r="O14" s="602"/>
      <c r="P14" s="602"/>
      <c r="Q14" s="602"/>
      <c r="R14" s="602"/>
    </row>
    <row r="15" spans="1:18" s="32" customFormat="1" x14ac:dyDescent="0.25">
      <c r="B15" s="173"/>
      <c r="C15" s="173"/>
      <c r="D15" s="182"/>
      <c r="E15" s="173"/>
      <c r="F15" s="173"/>
      <c r="G15" s="173"/>
      <c r="H15" s="173"/>
      <c r="I15" s="173"/>
      <c r="J15" s="182"/>
      <c r="K15" s="173"/>
      <c r="L15" s="173"/>
      <c r="M15" s="173"/>
      <c r="N15" s="173"/>
      <c r="O15" s="173"/>
      <c r="P15" s="173"/>
      <c r="Q15" s="173"/>
      <c r="R15" s="173"/>
    </row>
    <row r="16" spans="1:18" s="32" customFormat="1" x14ac:dyDescent="0.25">
      <c r="B16" s="173"/>
      <c r="C16" s="173"/>
      <c r="D16" s="182"/>
      <c r="E16" s="173"/>
      <c r="F16" s="173"/>
      <c r="G16" s="173"/>
      <c r="H16" s="173"/>
      <c r="I16" s="173"/>
      <c r="J16" s="182"/>
      <c r="K16" s="173"/>
      <c r="L16" s="173"/>
      <c r="M16" s="173"/>
      <c r="N16" s="173"/>
      <c r="O16" s="173"/>
      <c r="P16" s="173"/>
      <c r="Q16" s="173"/>
      <c r="R16" s="173"/>
    </row>
    <row r="17" spans="1:18" s="32" customFormat="1" x14ac:dyDescent="0.25">
      <c r="B17" s="179" t="s">
        <v>5327</v>
      </c>
      <c r="C17" s="179"/>
      <c r="D17" s="207"/>
      <c r="E17" s="181">
        <f>COUNTIF(D23:D1006,"CLUP")</f>
        <v>0</v>
      </c>
      <c r="F17" s="195"/>
      <c r="G17" s="195"/>
      <c r="H17" s="173"/>
      <c r="I17" s="173"/>
      <c r="J17" s="182"/>
      <c r="K17" s="173"/>
      <c r="L17" s="173"/>
      <c r="M17" s="173"/>
      <c r="N17" s="173"/>
      <c r="O17" s="173"/>
      <c r="P17" s="173"/>
      <c r="Q17" s="173"/>
      <c r="R17" s="173"/>
    </row>
    <row r="18" spans="1:18" s="32" customFormat="1" x14ac:dyDescent="0.25">
      <c r="B18" s="179" t="s">
        <v>5328</v>
      </c>
      <c r="C18" s="179"/>
      <c r="D18" s="207"/>
      <c r="E18" s="181">
        <f>COUNTIF(D23:D1006,"PDPFP")</f>
        <v>0</v>
      </c>
      <c r="F18" s="173"/>
      <c r="G18" s="173"/>
      <c r="H18" s="173"/>
      <c r="I18" s="173"/>
      <c r="J18" s="182"/>
      <c r="K18" s="173"/>
      <c r="L18" s="173"/>
      <c r="M18" s="173"/>
      <c r="N18" s="173"/>
      <c r="O18" s="173"/>
      <c r="P18" s="173"/>
      <c r="Q18" s="173"/>
      <c r="R18" s="173"/>
    </row>
    <row r="19" spans="1:18" s="32" customFormat="1" x14ac:dyDescent="0.25">
      <c r="B19" s="173"/>
      <c r="C19" s="173"/>
      <c r="D19" s="182"/>
      <c r="E19" s="173"/>
      <c r="F19" s="173"/>
      <c r="G19" s="173"/>
      <c r="H19" s="173"/>
      <c r="I19" s="173"/>
      <c r="J19" s="182"/>
      <c r="K19" s="173"/>
      <c r="L19" s="173"/>
      <c r="M19" s="173"/>
      <c r="N19" s="173"/>
      <c r="O19" s="173"/>
      <c r="P19" s="173"/>
      <c r="Q19" s="173"/>
      <c r="R19" s="173"/>
    </row>
    <row r="20" spans="1:18" s="32" customFormat="1" x14ac:dyDescent="0.25">
      <c r="B20" s="173"/>
      <c r="C20" s="173"/>
      <c r="D20" s="182"/>
      <c r="E20" s="173"/>
      <c r="F20" s="173"/>
      <c r="G20" s="173"/>
      <c r="H20" s="173"/>
      <c r="I20" s="173"/>
      <c r="J20" s="182"/>
      <c r="K20" s="173"/>
      <c r="L20" s="173"/>
      <c r="M20" s="173"/>
      <c r="N20" s="173"/>
      <c r="O20" s="173"/>
      <c r="P20" s="173"/>
      <c r="Q20" s="173"/>
      <c r="R20" s="173"/>
    </row>
    <row r="21" spans="1:18" s="32" customFormat="1" x14ac:dyDescent="0.25">
      <c r="D21" s="38"/>
      <c r="J21" s="38"/>
    </row>
    <row r="22" spans="1:18" s="182" customFormat="1" ht="54.6" customHeight="1" x14ac:dyDescent="0.25">
      <c r="A22" s="184" t="s">
        <v>5141</v>
      </c>
      <c r="B22" s="184" t="s">
        <v>5289</v>
      </c>
      <c r="C22" s="183" t="s">
        <v>5130</v>
      </c>
      <c r="D22" s="200" t="s">
        <v>5307</v>
      </c>
      <c r="E22" s="184" t="s">
        <v>5142</v>
      </c>
      <c r="F22" s="184" t="s">
        <v>5143</v>
      </c>
      <c r="G22" s="184" t="s">
        <v>5329</v>
      </c>
      <c r="H22" s="184" t="s">
        <v>1685</v>
      </c>
      <c r="I22" s="183" t="s">
        <v>1686</v>
      </c>
      <c r="J22" s="200" t="s">
        <v>5191</v>
      </c>
    </row>
    <row r="23" spans="1:18" x14ac:dyDescent="0.25">
      <c r="E23" s="171"/>
      <c r="F23" s="171"/>
      <c r="J23" s="201" t="str">
        <f>IFERROR(COUNTIF($C$23:C23,C23)&amp;CHOOSE(MIN(4,COUNTIF($C$23:C23,C23)),"st","nd","rd","th"),"")</f>
        <v/>
      </c>
    </row>
    <row r="24" spans="1:18" x14ac:dyDescent="0.25">
      <c r="E24" s="171"/>
      <c r="F24" s="171"/>
      <c r="J24" s="201" t="str">
        <f>IFERROR(COUNTIF($C$23:C24,C24)&amp;CHOOSE(MIN(4,COUNTIF($C$23:C24,C24)),"st","nd","rd","th"),"")</f>
        <v/>
      </c>
    </row>
    <row r="25" spans="1:18" x14ac:dyDescent="0.25">
      <c r="E25" s="171"/>
      <c r="F25" s="171"/>
      <c r="J25" s="201" t="str">
        <f>IFERROR(COUNTIF($C$23:C25,C25)&amp;CHOOSE(MIN(4,COUNTIF($C$23:C25,C25)),"st","nd","rd","th"),"")</f>
        <v/>
      </c>
    </row>
    <row r="26" spans="1:18" x14ac:dyDescent="0.25">
      <c r="J26" s="201" t="str">
        <f>IFERROR(COUNTIF($C$23:C26,C26)&amp;CHOOSE(MIN(4,COUNTIF($C$23:C26,C26)),"st","nd","rd","th"),"")</f>
        <v/>
      </c>
    </row>
    <row r="27" spans="1:18" x14ac:dyDescent="0.25">
      <c r="J27" s="201" t="str">
        <f>IFERROR(COUNTIF($C$23:C27,C27)&amp;CHOOSE(MIN(4,COUNTIF($C$23:C27,C27)),"st","nd","rd","th"),"")</f>
        <v/>
      </c>
    </row>
    <row r="28" spans="1:18" x14ac:dyDescent="0.25">
      <c r="D28" s="201" t="str">
        <f t="shared" ref="D28:D86" si="0">IF(B28="","",IF(B28="Province_PLGU","PDPFP","CLUP"))</f>
        <v/>
      </c>
      <c r="J28" s="201" t="str">
        <f>IFERROR(COUNTIF($C$23:C28,C28)&amp;CHOOSE(MIN(4,COUNTIF($C$23:C28,C28)),"st","nd","rd","th"),"")</f>
        <v/>
      </c>
    </row>
    <row r="29" spans="1:18" x14ac:dyDescent="0.25">
      <c r="D29" s="201" t="str">
        <f t="shared" si="0"/>
        <v/>
      </c>
      <c r="J29" s="201" t="str">
        <f>IFERROR(COUNTIF($C$23:C29,C29)&amp;CHOOSE(MIN(4,COUNTIF($C$23:C29,C29)),"st","nd","rd","th"),"")</f>
        <v/>
      </c>
    </row>
    <row r="30" spans="1:18" x14ac:dyDescent="0.25">
      <c r="D30" s="201" t="str">
        <f t="shared" si="0"/>
        <v/>
      </c>
      <c r="J30" s="201" t="str">
        <f>IFERROR(COUNTIF($C$23:C30,C30)&amp;CHOOSE(MIN(4,COUNTIF($C$23:C30,C30)),"st","nd","rd","th"),"")</f>
        <v/>
      </c>
    </row>
    <row r="31" spans="1:18" x14ac:dyDescent="0.25">
      <c r="D31" s="201" t="str">
        <f t="shared" si="0"/>
        <v/>
      </c>
      <c r="J31" s="201" t="str">
        <f>IFERROR(COUNTIF($C$23:C31,C31)&amp;CHOOSE(MIN(4,COUNTIF($C$23:C31,C31)),"st","nd","rd","th"),"")</f>
        <v/>
      </c>
    </row>
    <row r="32" spans="1:18" x14ac:dyDescent="0.25">
      <c r="D32" s="201" t="str">
        <f t="shared" si="0"/>
        <v/>
      </c>
      <c r="J32" s="201" t="str">
        <f>IFERROR(COUNTIF($C$23:C32,C32)&amp;CHOOSE(MIN(4,COUNTIF($C$23:C32,C32)),"st","nd","rd","th"),"")</f>
        <v/>
      </c>
    </row>
    <row r="33" spans="4:10" x14ac:dyDescent="0.25">
      <c r="D33" s="201" t="str">
        <f t="shared" si="0"/>
        <v/>
      </c>
      <c r="J33" s="201" t="str">
        <f>IFERROR(COUNTIF($C$23:C33,C33)&amp;CHOOSE(MIN(4,COUNTIF($C$23:C33,C33)),"st","nd","rd","th"),"")</f>
        <v/>
      </c>
    </row>
    <row r="34" spans="4:10" x14ac:dyDescent="0.25">
      <c r="D34" s="201" t="str">
        <f t="shared" si="0"/>
        <v/>
      </c>
      <c r="J34" s="201" t="str">
        <f>IFERROR(COUNTIF($C$23:C34,C34)&amp;CHOOSE(MIN(4,COUNTIF($C$23:C34,C34)),"st","nd","rd","th"),"")</f>
        <v/>
      </c>
    </row>
    <row r="35" spans="4:10" x14ac:dyDescent="0.25">
      <c r="D35" s="201" t="str">
        <f t="shared" si="0"/>
        <v/>
      </c>
      <c r="J35" s="201" t="str">
        <f>IFERROR(COUNTIF($C$23:C35,C35)&amp;CHOOSE(MIN(4,COUNTIF($C$23:C35,C35)),"st","nd","rd","th"),"")</f>
        <v/>
      </c>
    </row>
    <row r="36" spans="4:10" x14ac:dyDescent="0.25">
      <c r="D36" s="201" t="str">
        <f t="shared" si="0"/>
        <v/>
      </c>
      <c r="J36" s="201" t="str">
        <f>IFERROR(COUNTIF($C$23:C36,C36)&amp;CHOOSE(MIN(4,COUNTIF($C$23:C36,C36)),"st","nd","rd","th"),"")</f>
        <v/>
      </c>
    </row>
    <row r="37" spans="4:10" x14ac:dyDescent="0.25">
      <c r="D37" s="201" t="str">
        <f t="shared" si="0"/>
        <v/>
      </c>
      <c r="J37" s="201" t="str">
        <f>IFERROR(COUNTIF($C$23:C37,C37)&amp;CHOOSE(MIN(4,COUNTIF($C$23:C37,C37)),"st","nd","rd","th"),"")</f>
        <v/>
      </c>
    </row>
    <row r="38" spans="4:10" x14ac:dyDescent="0.25">
      <c r="D38" s="201" t="str">
        <f t="shared" si="0"/>
        <v/>
      </c>
      <c r="J38" s="201" t="str">
        <f>IFERROR(COUNTIF($C$23:C38,C38)&amp;CHOOSE(MIN(4,COUNTIF($C$23:C38,C38)),"st","nd","rd","th"),"")</f>
        <v/>
      </c>
    </row>
    <row r="39" spans="4:10" x14ac:dyDescent="0.25">
      <c r="D39" s="201" t="str">
        <f t="shared" si="0"/>
        <v/>
      </c>
      <c r="J39" s="201" t="str">
        <f>IFERROR(COUNTIF($C$23:C39,C39)&amp;CHOOSE(MIN(4,COUNTIF($C$23:C39,C39)),"st","nd","rd","th"),"")</f>
        <v/>
      </c>
    </row>
    <row r="40" spans="4:10" x14ac:dyDescent="0.25">
      <c r="D40" s="201" t="str">
        <f t="shared" si="0"/>
        <v/>
      </c>
      <c r="J40" s="201" t="str">
        <f>IFERROR(COUNTIF($C$23:C40,C40)&amp;CHOOSE(MIN(4,COUNTIF($C$23:C40,C40)),"st","nd","rd","th"),"")</f>
        <v/>
      </c>
    </row>
    <row r="41" spans="4:10" x14ac:dyDescent="0.25">
      <c r="D41" s="201" t="str">
        <f t="shared" si="0"/>
        <v/>
      </c>
      <c r="J41" s="201" t="str">
        <f>IFERROR(COUNTIF($C$23:C41,C41)&amp;CHOOSE(MIN(4,COUNTIF($C$23:C41,C41)),"st","nd","rd","th"),"")</f>
        <v/>
      </c>
    </row>
    <row r="42" spans="4:10" x14ac:dyDescent="0.25">
      <c r="D42" s="201" t="str">
        <f t="shared" si="0"/>
        <v/>
      </c>
      <c r="J42" s="201" t="str">
        <f>IFERROR(COUNTIF($C$23:C42,C42)&amp;CHOOSE(MIN(4,COUNTIF($C$23:C42,C42)),"st","nd","rd","th"),"")</f>
        <v/>
      </c>
    </row>
    <row r="43" spans="4:10" x14ac:dyDescent="0.25">
      <c r="D43" s="201" t="str">
        <f t="shared" si="0"/>
        <v/>
      </c>
      <c r="J43" s="201" t="str">
        <f>IFERROR(COUNTIF($C$23:C43,C43)&amp;CHOOSE(MIN(4,COUNTIF($C$23:C43,C43)),"st","nd","rd","th"),"")</f>
        <v/>
      </c>
    </row>
    <row r="44" spans="4:10" x14ac:dyDescent="0.25">
      <c r="D44" s="201" t="str">
        <f t="shared" si="0"/>
        <v/>
      </c>
      <c r="J44" s="201" t="str">
        <f>IFERROR(COUNTIF($C$23:C44,C44)&amp;CHOOSE(MIN(4,COUNTIF($C$23:C44,C44)),"st","nd","rd","th"),"")</f>
        <v/>
      </c>
    </row>
    <row r="45" spans="4:10" x14ac:dyDescent="0.25">
      <c r="D45" s="201" t="str">
        <f t="shared" si="0"/>
        <v/>
      </c>
      <c r="J45" s="201" t="str">
        <f>IFERROR(COUNTIF($C$23:C45,C45)&amp;CHOOSE(MIN(4,COUNTIF($C$23:C45,C45)),"st","nd","rd","th"),"")</f>
        <v/>
      </c>
    </row>
    <row r="46" spans="4:10" x14ac:dyDescent="0.25">
      <c r="D46" s="201" t="str">
        <f t="shared" si="0"/>
        <v/>
      </c>
      <c r="J46" s="201" t="str">
        <f>IFERROR(COUNTIF($C$23:C46,C46)&amp;CHOOSE(MIN(4,COUNTIF($C$23:C46,C46)),"st","nd","rd","th"),"")</f>
        <v/>
      </c>
    </row>
    <row r="47" spans="4:10" x14ac:dyDescent="0.25">
      <c r="D47" s="201" t="str">
        <f t="shared" si="0"/>
        <v/>
      </c>
      <c r="J47" s="201" t="str">
        <f>IFERROR(COUNTIF($C$23:C47,C47)&amp;CHOOSE(MIN(4,COUNTIF($C$23:C47,C47)),"st","nd","rd","th"),"")</f>
        <v/>
      </c>
    </row>
    <row r="48" spans="4:10" x14ac:dyDescent="0.25">
      <c r="D48" s="201" t="str">
        <f t="shared" si="0"/>
        <v/>
      </c>
      <c r="J48" s="201" t="str">
        <f>IFERROR(COUNTIF($C$23:C48,C48)&amp;CHOOSE(MIN(4,COUNTIF($C$23:C48,C48)),"st","nd","rd","th"),"")</f>
        <v/>
      </c>
    </row>
    <row r="49" spans="4:10" x14ac:dyDescent="0.25">
      <c r="D49" s="201" t="str">
        <f t="shared" si="0"/>
        <v/>
      </c>
      <c r="J49" s="201" t="str">
        <f>IFERROR(COUNTIF($C$23:C49,C49)&amp;CHOOSE(MIN(4,COUNTIF($C$23:C49,C49)),"st","nd","rd","th"),"")</f>
        <v/>
      </c>
    </row>
    <row r="50" spans="4:10" x14ac:dyDescent="0.25">
      <c r="D50" s="201" t="str">
        <f t="shared" si="0"/>
        <v/>
      </c>
      <c r="J50" s="201" t="str">
        <f>IFERROR(COUNTIF($C$23:C50,C50)&amp;CHOOSE(MIN(4,COUNTIF($C$23:C50,C50)),"st","nd","rd","th"),"")</f>
        <v/>
      </c>
    </row>
    <row r="51" spans="4:10" x14ac:dyDescent="0.25">
      <c r="D51" s="201" t="str">
        <f t="shared" si="0"/>
        <v/>
      </c>
      <c r="J51" s="201" t="str">
        <f>IFERROR(COUNTIF($C$23:C51,C51)&amp;CHOOSE(MIN(4,COUNTIF($C$23:C51,C51)),"st","nd","rd","th"),"")</f>
        <v/>
      </c>
    </row>
    <row r="52" spans="4:10" x14ac:dyDescent="0.25">
      <c r="D52" s="201" t="str">
        <f t="shared" si="0"/>
        <v/>
      </c>
      <c r="J52" s="201" t="str">
        <f>IFERROR(COUNTIF($C$23:C52,C52)&amp;CHOOSE(MIN(4,COUNTIF($C$23:C52,C52)),"st","nd","rd","th"),"")</f>
        <v/>
      </c>
    </row>
    <row r="53" spans="4:10" x14ac:dyDescent="0.25">
      <c r="D53" s="201" t="str">
        <f t="shared" si="0"/>
        <v/>
      </c>
      <c r="J53" s="201" t="str">
        <f>IFERROR(COUNTIF($C$23:C53,C53)&amp;CHOOSE(MIN(4,COUNTIF($C$23:C53,C53)),"st","nd","rd","th"),"")</f>
        <v/>
      </c>
    </row>
    <row r="54" spans="4:10" x14ac:dyDescent="0.25">
      <c r="D54" s="201" t="str">
        <f t="shared" si="0"/>
        <v/>
      </c>
      <c r="J54" s="201" t="str">
        <f>IFERROR(COUNTIF($C$23:C54,C54)&amp;CHOOSE(MIN(4,COUNTIF($C$23:C54,C54)),"st","nd","rd","th"),"")</f>
        <v/>
      </c>
    </row>
    <row r="55" spans="4:10" x14ac:dyDescent="0.25">
      <c r="D55" s="201" t="str">
        <f t="shared" si="0"/>
        <v/>
      </c>
      <c r="J55" s="201" t="str">
        <f>IFERROR(COUNTIF($C$23:C55,C55)&amp;CHOOSE(MIN(4,COUNTIF($C$23:C55,C55)),"st","nd","rd","th"),"")</f>
        <v/>
      </c>
    </row>
    <row r="56" spans="4:10" x14ac:dyDescent="0.25">
      <c r="D56" s="201" t="str">
        <f t="shared" si="0"/>
        <v/>
      </c>
      <c r="J56" s="201" t="str">
        <f>IFERROR(COUNTIF($C$23:C56,C56)&amp;CHOOSE(MIN(4,COUNTIF($C$23:C56,C56)),"st","nd","rd","th"),"")</f>
        <v/>
      </c>
    </row>
    <row r="57" spans="4:10" x14ac:dyDescent="0.25">
      <c r="D57" s="201" t="str">
        <f t="shared" si="0"/>
        <v/>
      </c>
      <c r="J57" s="201" t="str">
        <f>IFERROR(COUNTIF($C$23:C57,C57)&amp;CHOOSE(MIN(4,COUNTIF($C$23:C57,C57)),"st","nd","rd","th"),"")</f>
        <v/>
      </c>
    </row>
    <row r="58" spans="4:10" x14ac:dyDescent="0.25">
      <c r="D58" s="201" t="str">
        <f t="shared" si="0"/>
        <v/>
      </c>
      <c r="J58" s="201" t="str">
        <f>IFERROR(COUNTIF($C$23:C58,C58)&amp;CHOOSE(MIN(4,COUNTIF($C$23:C58,C58)),"st","nd","rd","th"),"")</f>
        <v/>
      </c>
    </row>
    <row r="59" spans="4:10" x14ac:dyDescent="0.25">
      <c r="D59" s="201" t="str">
        <f t="shared" si="0"/>
        <v/>
      </c>
      <c r="J59" s="201" t="str">
        <f>IFERROR(COUNTIF($C$23:C59,C59)&amp;CHOOSE(MIN(4,COUNTIF($C$23:C59,C59)),"st","nd","rd","th"),"")</f>
        <v/>
      </c>
    </row>
    <row r="60" spans="4:10" x14ac:dyDescent="0.25">
      <c r="D60" s="201" t="str">
        <f t="shared" si="0"/>
        <v/>
      </c>
      <c r="J60" s="201" t="str">
        <f>IFERROR(COUNTIF($C$23:C60,C60)&amp;CHOOSE(MIN(4,COUNTIF($C$23:C60,C60)),"st","nd","rd","th"),"")</f>
        <v/>
      </c>
    </row>
    <row r="61" spans="4:10" x14ac:dyDescent="0.25">
      <c r="D61" s="201" t="str">
        <f t="shared" si="0"/>
        <v/>
      </c>
      <c r="J61" s="201" t="str">
        <f>IFERROR(COUNTIF($C$23:C61,C61)&amp;CHOOSE(MIN(4,COUNTIF($C$23:C61,C61)),"st","nd","rd","th"),"")</f>
        <v/>
      </c>
    </row>
    <row r="62" spans="4:10" x14ac:dyDescent="0.25">
      <c r="D62" s="201" t="str">
        <f t="shared" si="0"/>
        <v/>
      </c>
      <c r="J62" s="201" t="str">
        <f>IFERROR(COUNTIF($C$23:C62,C62)&amp;CHOOSE(MIN(4,COUNTIF($C$23:C62,C62)),"st","nd","rd","th"),"")</f>
        <v/>
      </c>
    </row>
    <row r="63" spans="4:10" x14ac:dyDescent="0.25">
      <c r="D63" s="201" t="str">
        <f t="shared" si="0"/>
        <v/>
      </c>
      <c r="J63" s="201" t="str">
        <f>IFERROR(COUNTIF($C$23:C63,C63)&amp;CHOOSE(MIN(4,COUNTIF($C$23:C63,C63)),"st","nd","rd","th"),"")</f>
        <v/>
      </c>
    </row>
    <row r="64" spans="4:10" x14ac:dyDescent="0.25">
      <c r="D64" s="201" t="str">
        <f t="shared" si="0"/>
        <v/>
      </c>
      <c r="J64" s="201" t="str">
        <f>IFERROR(COUNTIF($C$23:C64,C64)&amp;CHOOSE(MIN(4,COUNTIF($C$23:C64,C64)),"st","nd","rd","th"),"")</f>
        <v/>
      </c>
    </row>
    <row r="65" spans="4:10" x14ac:dyDescent="0.25">
      <c r="D65" s="201" t="str">
        <f t="shared" si="0"/>
        <v/>
      </c>
      <c r="J65" s="201" t="str">
        <f>IFERROR(COUNTIF($C$23:C65,C65)&amp;CHOOSE(MIN(4,COUNTIF($C$23:C65,C65)),"st","nd","rd","th"),"")</f>
        <v/>
      </c>
    </row>
    <row r="66" spans="4:10" x14ac:dyDescent="0.25">
      <c r="D66" s="201" t="str">
        <f t="shared" si="0"/>
        <v/>
      </c>
      <c r="J66" s="201" t="str">
        <f>IFERROR(COUNTIF($C$23:C66,C66)&amp;CHOOSE(MIN(4,COUNTIF($C$23:C66,C66)),"st","nd","rd","th"),"")</f>
        <v/>
      </c>
    </row>
    <row r="67" spans="4:10" x14ac:dyDescent="0.25">
      <c r="D67" s="201" t="str">
        <f t="shared" si="0"/>
        <v/>
      </c>
      <c r="J67" s="201" t="str">
        <f>IFERROR(COUNTIF($C$23:C67,C67)&amp;CHOOSE(MIN(4,COUNTIF($C$23:C67,C67)),"st","nd","rd","th"),"")</f>
        <v/>
      </c>
    </row>
    <row r="68" spans="4:10" x14ac:dyDescent="0.25">
      <c r="D68" s="201" t="str">
        <f t="shared" si="0"/>
        <v/>
      </c>
      <c r="J68" s="201" t="str">
        <f>IFERROR(COUNTIF($C$23:C68,C68)&amp;CHOOSE(MIN(4,COUNTIF($C$23:C68,C68)),"st","nd","rd","th"),"")</f>
        <v/>
      </c>
    </row>
    <row r="69" spans="4:10" x14ac:dyDescent="0.25">
      <c r="D69" s="201" t="str">
        <f t="shared" si="0"/>
        <v/>
      </c>
      <c r="J69" s="201" t="str">
        <f>IFERROR(COUNTIF($C$23:C69,C69)&amp;CHOOSE(MIN(4,COUNTIF($C$23:C69,C69)),"st","nd","rd","th"),"")</f>
        <v/>
      </c>
    </row>
    <row r="70" spans="4:10" x14ac:dyDescent="0.25">
      <c r="D70" s="201" t="str">
        <f t="shared" si="0"/>
        <v/>
      </c>
      <c r="J70" s="201" t="str">
        <f>IFERROR(COUNTIF($C$23:C70,C70)&amp;CHOOSE(MIN(4,COUNTIF($C$23:C70,C70)),"st","nd","rd","th"),"")</f>
        <v/>
      </c>
    </row>
    <row r="71" spans="4:10" x14ac:dyDescent="0.25">
      <c r="D71" s="201" t="str">
        <f t="shared" si="0"/>
        <v/>
      </c>
      <c r="J71" s="201" t="str">
        <f>IFERROR(COUNTIF($C$23:C71,C71)&amp;CHOOSE(MIN(4,COUNTIF($C$23:C71,C71)),"st","nd","rd","th"),"")</f>
        <v/>
      </c>
    </row>
    <row r="72" spans="4:10" x14ac:dyDescent="0.25">
      <c r="D72" s="201" t="str">
        <f t="shared" si="0"/>
        <v/>
      </c>
      <c r="J72" s="201" t="str">
        <f>IFERROR(COUNTIF($C$23:C72,C72)&amp;CHOOSE(MIN(4,COUNTIF($C$23:C72,C72)),"st","nd","rd","th"),"")</f>
        <v/>
      </c>
    </row>
    <row r="73" spans="4:10" x14ac:dyDescent="0.25">
      <c r="D73" s="201" t="str">
        <f t="shared" si="0"/>
        <v/>
      </c>
      <c r="J73" s="201" t="str">
        <f>IFERROR(COUNTIF($C$23:C73,C73)&amp;CHOOSE(MIN(4,COUNTIF($C$23:C73,C73)),"st","nd","rd","th"),"")</f>
        <v/>
      </c>
    </row>
    <row r="74" spans="4:10" x14ac:dyDescent="0.25">
      <c r="D74" s="201" t="str">
        <f t="shared" si="0"/>
        <v/>
      </c>
      <c r="J74" s="201" t="str">
        <f>IFERROR(COUNTIF($C$23:C74,C74)&amp;CHOOSE(MIN(4,COUNTIF($C$23:C74,C74)),"st","nd","rd","th"),"")</f>
        <v/>
      </c>
    </row>
    <row r="75" spans="4:10" x14ac:dyDescent="0.25">
      <c r="D75" s="201" t="str">
        <f t="shared" si="0"/>
        <v/>
      </c>
      <c r="J75" s="201" t="str">
        <f>IFERROR(COUNTIF($C$23:C75,C75)&amp;CHOOSE(MIN(4,COUNTIF($C$23:C75,C75)),"st","nd","rd","th"),"")</f>
        <v/>
      </c>
    </row>
    <row r="76" spans="4:10" x14ac:dyDescent="0.25">
      <c r="D76" s="201" t="str">
        <f t="shared" si="0"/>
        <v/>
      </c>
      <c r="J76" s="201" t="str">
        <f>IFERROR(COUNTIF($C$23:C76,C76)&amp;CHOOSE(MIN(4,COUNTIF($C$23:C76,C76)),"st","nd","rd","th"),"")</f>
        <v/>
      </c>
    </row>
    <row r="77" spans="4:10" x14ac:dyDescent="0.25">
      <c r="D77" s="201" t="str">
        <f t="shared" si="0"/>
        <v/>
      </c>
      <c r="J77" s="201" t="str">
        <f>IFERROR(COUNTIF($C$23:C77,C77)&amp;CHOOSE(MIN(4,COUNTIF($C$23:C77,C77)),"st","nd","rd","th"),"")</f>
        <v/>
      </c>
    </row>
    <row r="78" spans="4:10" x14ac:dyDescent="0.25">
      <c r="D78" s="201" t="str">
        <f t="shared" si="0"/>
        <v/>
      </c>
      <c r="J78" s="201" t="str">
        <f>IFERROR(COUNTIF($C$23:C78,C78)&amp;CHOOSE(MIN(4,COUNTIF($C$23:C78,C78)),"st","nd","rd","th"),"")</f>
        <v/>
      </c>
    </row>
    <row r="79" spans="4:10" x14ac:dyDescent="0.25">
      <c r="D79" s="201" t="str">
        <f t="shared" si="0"/>
        <v/>
      </c>
      <c r="J79" s="201" t="str">
        <f>IFERROR(COUNTIF($C$23:C79,C79)&amp;CHOOSE(MIN(4,COUNTIF($C$23:C79,C79)),"st","nd","rd","th"),"")</f>
        <v/>
      </c>
    </row>
    <row r="80" spans="4:10" x14ac:dyDescent="0.25">
      <c r="D80" s="201" t="str">
        <f t="shared" si="0"/>
        <v/>
      </c>
      <c r="J80" s="201" t="str">
        <f>IFERROR(COUNTIF($C$23:C80,C80)&amp;CHOOSE(MIN(4,COUNTIF($C$23:C80,C80)),"st","nd","rd","th"),"")</f>
        <v/>
      </c>
    </row>
    <row r="81" spans="4:10" x14ac:dyDescent="0.25">
      <c r="D81" s="201" t="str">
        <f t="shared" si="0"/>
        <v/>
      </c>
      <c r="J81" s="201" t="str">
        <f>IFERROR(COUNTIF($C$23:C81,C81)&amp;CHOOSE(MIN(4,COUNTIF($C$23:C81,C81)),"st","nd","rd","th"),"")</f>
        <v/>
      </c>
    </row>
    <row r="82" spans="4:10" x14ac:dyDescent="0.25">
      <c r="D82" s="201" t="str">
        <f t="shared" si="0"/>
        <v/>
      </c>
      <c r="J82" s="201" t="str">
        <f>IFERROR(COUNTIF($C$23:C82,C82)&amp;CHOOSE(MIN(4,COUNTIF($C$23:C82,C82)),"st","nd","rd","th"),"")</f>
        <v/>
      </c>
    </row>
    <row r="83" spans="4:10" x14ac:dyDescent="0.25">
      <c r="D83" s="201" t="str">
        <f t="shared" si="0"/>
        <v/>
      </c>
      <c r="J83" s="201" t="str">
        <f>IFERROR(COUNTIF($C$23:C83,C83)&amp;CHOOSE(MIN(4,COUNTIF($C$23:C83,C83)),"st","nd","rd","th"),"")</f>
        <v/>
      </c>
    </row>
    <row r="84" spans="4:10" x14ac:dyDescent="0.25">
      <c r="D84" s="201" t="str">
        <f t="shared" si="0"/>
        <v/>
      </c>
      <c r="J84" s="201" t="str">
        <f>IFERROR(COUNTIF($C$23:C84,C84)&amp;CHOOSE(MIN(4,COUNTIF($C$23:C84,C84)),"st","nd","rd","th"),"")</f>
        <v/>
      </c>
    </row>
    <row r="85" spans="4:10" x14ac:dyDescent="0.25">
      <c r="D85" s="201" t="str">
        <f t="shared" si="0"/>
        <v/>
      </c>
      <c r="J85" s="201" t="str">
        <f>IFERROR(COUNTIF($C$23:C85,C85)&amp;CHOOSE(MIN(4,COUNTIF($C$23:C85,C85)),"st","nd","rd","th"),"")</f>
        <v/>
      </c>
    </row>
    <row r="86" spans="4:10" x14ac:dyDescent="0.25">
      <c r="D86" s="201" t="str">
        <f t="shared" si="0"/>
        <v/>
      </c>
      <c r="J86" s="201" t="str">
        <f>IFERROR(COUNTIF($C$23:C86,C86)&amp;CHOOSE(MIN(4,COUNTIF($C$23:C86,C86)),"st","nd","rd","th"),"")</f>
        <v/>
      </c>
    </row>
    <row r="87" spans="4:10" x14ac:dyDescent="0.25">
      <c r="D87" s="201" t="str">
        <f t="shared" ref="D87:D150" si="1">IF(B87="","",IF(B87="Province_PLGU","PDPFP","CLUP"))</f>
        <v/>
      </c>
      <c r="J87" s="201" t="str">
        <f>IFERROR(COUNTIF($C$23:C87,C87)&amp;CHOOSE(MIN(4,COUNTIF($C$23:C87,C87)),"st","nd","rd","th"),"")</f>
        <v/>
      </c>
    </row>
    <row r="88" spans="4:10" x14ac:dyDescent="0.25">
      <c r="D88" s="201" t="str">
        <f t="shared" si="1"/>
        <v/>
      </c>
      <c r="J88" s="201" t="str">
        <f>IFERROR(COUNTIF($C$23:C88,C88)&amp;CHOOSE(MIN(4,COUNTIF($C$23:C88,C88)),"st","nd","rd","th"),"")</f>
        <v/>
      </c>
    </row>
    <row r="89" spans="4:10" x14ac:dyDescent="0.25">
      <c r="D89" s="201" t="str">
        <f t="shared" si="1"/>
        <v/>
      </c>
      <c r="J89" s="201" t="str">
        <f>IFERROR(COUNTIF($C$23:C89,C89)&amp;CHOOSE(MIN(4,COUNTIF($C$23:C89,C89)),"st","nd","rd","th"),"")</f>
        <v/>
      </c>
    </row>
    <row r="90" spans="4:10" x14ac:dyDescent="0.25">
      <c r="D90" s="201" t="str">
        <f t="shared" si="1"/>
        <v/>
      </c>
      <c r="J90" s="201" t="str">
        <f>IFERROR(COUNTIF($C$23:C90,C90)&amp;CHOOSE(MIN(4,COUNTIF($C$23:C90,C90)),"st","nd","rd","th"),"")</f>
        <v/>
      </c>
    </row>
    <row r="91" spans="4:10" x14ac:dyDescent="0.25">
      <c r="D91" s="201" t="str">
        <f t="shared" si="1"/>
        <v/>
      </c>
      <c r="J91" s="201" t="str">
        <f>IFERROR(COUNTIF($C$23:C91,C91)&amp;CHOOSE(MIN(4,COUNTIF($C$23:C91,C91)),"st","nd","rd","th"),"")</f>
        <v/>
      </c>
    </row>
    <row r="92" spans="4:10" x14ac:dyDescent="0.25">
      <c r="D92" s="201" t="str">
        <f t="shared" si="1"/>
        <v/>
      </c>
      <c r="J92" s="201" t="str">
        <f>IFERROR(COUNTIF($C$23:C92,C92)&amp;CHOOSE(MIN(4,COUNTIF($C$23:C92,C92)),"st","nd","rd","th"),"")</f>
        <v/>
      </c>
    </row>
    <row r="93" spans="4:10" x14ac:dyDescent="0.25">
      <c r="D93" s="201" t="str">
        <f t="shared" si="1"/>
        <v/>
      </c>
      <c r="J93" s="201" t="str">
        <f>IFERROR(COUNTIF($C$23:C93,C93)&amp;CHOOSE(MIN(4,COUNTIF($C$23:C93,C93)),"st","nd","rd","th"),"")</f>
        <v/>
      </c>
    </row>
    <row r="94" spans="4:10" x14ac:dyDescent="0.25">
      <c r="D94" s="201" t="str">
        <f t="shared" si="1"/>
        <v/>
      </c>
      <c r="J94" s="201" t="str">
        <f>IFERROR(COUNTIF($C$23:C94,C94)&amp;CHOOSE(MIN(4,COUNTIF($C$23:C94,C94)),"st","nd","rd","th"),"")</f>
        <v/>
      </c>
    </row>
    <row r="95" spans="4:10" x14ac:dyDescent="0.25">
      <c r="D95" s="201" t="str">
        <f t="shared" si="1"/>
        <v/>
      </c>
      <c r="J95" s="201" t="str">
        <f>IFERROR(COUNTIF($C$23:C95,C95)&amp;CHOOSE(MIN(4,COUNTIF($C$23:C95,C95)),"st","nd","rd","th"),"")</f>
        <v/>
      </c>
    </row>
    <row r="96" spans="4:10" x14ac:dyDescent="0.25">
      <c r="D96" s="201" t="str">
        <f t="shared" si="1"/>
        <v/>
      </c>
      <c r="J96" s="201" t="str">
        <f>IFERROR(COUNTIF($C$23:C96,C96)&amp;CHOOSE(MIN(4,COUNTIF($C$23:C96,C96)),"st","nd","rd","th"),"")</f>
        <v/>
      </c>
    </row>
    <row r="97" spans="4:10" x14ac:dyDescent="0.25">
      <c r="D97" s="201" t="str">
        <f t="shared" si="1"/>
        <v/>
      </c>
      <c r="J97" s="201" t="str">
        <f>IFERROR(COUNTIF($C$23:C97,C97)&amp;CHOOSE(MIN(4,COUNTIF($C$23:C97,C97)),"st","nd","rd","th"),"")</f>
        <v/>
      </c>
    </row>
    <row r="98" spans="4:10" x14ac:dyDescent="0.25">
      <c r="D98" s="201" t="str">
        <f t="shared" si="1"/>
        <v/>
      </c>
      <c r="J98" s="201" t="str">
        <f>IFERROR(COUNTIF($C$23:C98,C98)&amp;CHOOSE(MIN(4,COUNTIF($C$23:C98,C98)),"st","nd","rd","th"),"")</f>
        <v/>
      </c>
    </row>
    <row r="99" spans="4:10" x14ac:dyDescent="0.25">
      <c r="D99" s="201" t="str">
        <f t="shared" si="1"/>
        <v/>
      </c>
      <c r="J99" s="201" t="str">
        <f>IFERROR(COUNTIF($C$23:C99,C99)&amp;CHOOSE(MIN(4,COUNTIF($C$23:C99,C99)),"st","nd","rd","th"),"")</f>
        <v/>
      </c>
    </row>
    <row r="100" spans="4:10" x14ac:dyDescent="0.25">
      <c r="D100" s="201" t="str">
        <f t="shared" si="1"/>
        <v/>
      </c>
      <c r="J100" s="201" t="str">
        <f>IFERROR(COUNTIF($C$23:C100,C100)&amp;CHOOSE(MIN(4,COUNTIF($C$23:C100,C100)),"st","nd","rd","th"),"")</f>
        <v/>
      </c>
    </row>
    <row r="101" spans="4:10" x14ac:dyDescent="0.25">
      <c r="D101" s="201" t="str">
        <f t="shared" si="1"/>
        <v/>
      </c>
      <c r="J101" s="201" t="str">
        <f>IFERROR(COUNTIF($C$23:C101,C101)&amp;CHOOSE(MIN(4,COUNTIF($C$23:C101,C101)),"st","nd","rd","th"),"")</f>
        <v/>
      </c>
    </row>
    <row r="102" spans="4:10" x14ac:dyDescent="0.25">
      <c r="D102" s="201" t="str">
        <f t="shared" si="1"/>
        <v/>
      </c>
      <c r="J102" s="201" t="str">
        <f>IFERROR(COUNTIF($C$23:C102,C102)&amp;CHOOSE(MIN(4,COUNTIF($C$23:C102,C102)),"st","nd","rd","th"),"")</f>
        <v/>
      </c>
    </row>
    <row r="103" spans="4:10" x14ac:dyDescent="0.25">
      <c r="D103" s="201" t="str">
        <f t="shared" si="1"/>
        <v/>
      </c>
      <c r="J103" s="201" t="str">
        <f>IFERROR(COUNTIF($C$23:C103,C103)&amp;CHOOSE(MIN(4,COUNTIF($C$23:C103,C103)),"st","nd","rd","th"),"")</f>
        <v/>
      </c>
    </row>
    <row r="104" spans="4:10" x14ac:dyDescent="0.25">
      <c r="D104" s="201" t="str">
        <f t="shared" si="1"/>
        <v/>
      </c>
      <c r="J104" s="201" t="str">
        <f>IFERROR(COUNTIF($C$23:C104,C104)&amp;CHOOSE(MIN(4,COUNTIF($C$23:C104,C104)),"st","nd","rd","th"),"")</f>
        <v/>
      </c>
    </row>
    <row r="105" spans="4:10" x14ac:dyDescent="0.25">
      <c r="D105" s="201" t="str">
        <f t="shared" si="1"/>
        <v/>
      </c>
      <c r="J105" s="201" t="str">
        <f>IFERROR(COUNTIF($C$23:C105,C105)&amp;CHOOSE(MIN(4,COUNTIF($C$23:C105,C105)),"st","nd","rd","th"),"")</f>
        <v/>
      </c>
    </row>
    <row r="106" spans="4:10" x14ac:dyDescent="0.25">
      <c r="D106" s="201" t="str">
        <f t="shared" si="1"/>
        <v/>
      </c>
      <c r="J106" s="201" t="str">
        <f>IFERROR(COUNTIF($C$23:C106,C106)&amp;CHOOSE(MIN(4,COUNTIF($C$23:C106,C106)),"st","nd","rd","th"),"")</f>
        <v/>
      </c>
    </row>
    <row r="107" spans="4:10" x14ac:dyDescent="0.25">
      <c r="D107" s="201" t="str">
        <f t="shared" si="1"/>
        <v/>
      </c>
      <c r="J107" s="201" t="str">
        <f>IFERROR(COUNTIF($C$23:C107,C107)&amp;CHOOSE(MIN(4,COUNTIF($C$23:C107,C107)),"st","nd","rd","th"),"")</f>
        <v/>
      </c>
    </row>
    <row r="108" spans="4:10" x14ac:dyDescent="0.25">
      <c r="D108" s="201" t="str">
        <f t="shared" si="1"/>
        <v/>
      </c>
      <c r="J108" s="201" t="str">
        <f>IFERROR(COUNTIF($C$23:C108,C108)&amp;CHOOSE(MIN(4,COUNTIF($C$23:C108,C108)),"st","nd","rd","th"),"")</f>
        <v/>
      </c>
    </row>
    <row r="109" spans="4:10" x14ac:dyDescent="0.25">
      <c r="D109" s="201" t="str">
        <f t="shared" si="1"/>
        <v/>
      </c>
      <c r="J109" s="201" t="str">
        <f>IFERROR(COUNTIF($C$23:C109,C109)&amp;CHOOSE(MIN(4,COUNTIF($C$23:C109,C109)),"st","nd","rd","th"),"")</f>
        <v/>
      </c>
    </row>
    <row r="110" spans="4:10" x14ac:dyDescent="0.25">
      <c r="D110" s="201" t="str">
        <f t="shared" si="1"/>
        <v/>
      </c>
      <c r="J110" s="201" t="str">
        <f>IFERROR(COUNTIF($C$23:C110,C110)&amp;CHOOSE(MIN(4,COUNTIF($C$23:C110,C110)),"st","nd","rd","th"),"")</f>
        <v/>
      </c>
    </row>
    <row r="111" spans="4:10" x14ac:dyDescent="0.25">
      <c r="D111" s="201" t="str">
        <f t="shared" si="1"/>
        <v/>
      </c>
      <c r="J111" s="201" t="str">
        <f>IFERROR(COUNTIF($C$23:C111,C111)&amp;CHOOSE(MIN(4,COUNTIF($C$23:C111,C111)),"st","nd","rd","th"),"")</f>
        <v/>
      </c>
    </row>
    <row r="112" spans="4:10" x14ac:dyDescent="0.25">
      <c r="D112" s="201" t="str">
        <f t="shared" si="1"/>
        <v/>
      </c>
      <c r="J112" s="201" t="str">
        <f>IFERROR(COUNTIF($C$23:C112,C112)&amp;CHOOSE(MIN(4,COUNTIF($C$23:C112,C112)),"st","nd","rd","th"),"")</f>
        <v/>
      </c>
    </row>
    <row r="113" spans="4:10" x14ac:dyDescent="0.25">
      <c r="D113" s="201" t="str">
        <f t="shared" si="1"/>
        <v/>
      </c>
      <c r="J113" s="201" t="str">
        <f>IFERROR(COUNTIF($C$23:C113,C113)&amp;CHOOSE(MIN(4,COUNTIF($C$23:C113,C113)),"st","nd","rd","th"),"")</f>
        <v/>
      </c>
    </row>
    <row r="114" spans="4:10" x14ac:dyDescent="0.25">
      <c r="D114" s="201" t="str">
        <f t="shared" si="1"/>
        <v/>
      </c>
      <c r="J114" s="201" t="str">
        <f>IFERROR(COUNTIF($C$23:C114,C114)&amp;CHOOSE(MIN(4,COUNTIF($C$23:C114,C114)),"st","nd","rd","th"),"")</f>
        <v/>
      </c>
    </row>
    <row r="115" spans="4:10" x14ac:dyDescent="0.25">
      <c r="D115" s="201" t="str">
        <f t="shared" si="1"/>
        <v/>
      </c>
      <c r="J115" s="201" t="str">
        <f>IFERROR(COUNTIF($C$23:C115,C115)&amp;CHOOSE(MIN(4,COUNTIF($C$23:C115,C115)),"st","nd","rd","th"),"")</f>
        <v/>
      </c>
    </row>
    <row r="116" spans="4:10" x14ac:dyDescent="0.25">
      <c r="D116" s="201" t="str">
        <f t="shared" si="1"/>
        <v/>
      </c>
      <c r="J116" s="201" t="str">
        <f>IFERROR(COUNTIF($C$23:C116,C116)&amp;CHOOSE(MIN(4,COUNTIF($C$23:C116,C116)),"st","nd","rd","th"),"")</f>
        <v/>
      </c>
    </row>
    <row r="117" spans="4:10" x14ac:dyDescent="0.25">
      <c r="D117" s="201" t="str">
        <f t="shared" si="1"/>
        <v/>
      </c>
      <c r="J117" s="201" t="str">
        <f>IFERROR(COUNTIF($C$23:C117,C117)&amp;CHOOSE(MIN(4,COUNTIF($C$23:C117,C117)),"st","nd","rd","th"),"")</f>
        <v/>
      </c>
    </row>
    <row r="118" spans="4:10" x14ac:dyDescent="0.25">
      <c r="D118" s="201" t="str">
        <f t="shared" si="1"/>
        <v/>
      </c>
      <c r="J118" s="201" t="str">
        <f>IFERROR(COUNTIF($C$23:C118,C118)&amp;CHOOSE(MIN(4,COUNTIF($C$23:C118,C118)),"st","nd","rd","th"),"")</f>
        <v/>
      </c>
    </row>
    <row r="119" spans="4:10" x14ac:dyDescent="0.25">
      <c r="D119" s="201" t="str">
        <f t="shared" si="1"/>
        <v/>
      </c>
      <c r="J119" s="201" t="str">
        <f>IFERROR(COUNTIF($C$23:C119,C119)&amp;CHOOSE(MIN(4,COUNTIF($C$23:C119,C119)),"st","nd","rd","th"),"")</f>
        <v/>
      </c>
    </row>
    <row r="120" spans="4:10" x14ac:dyDescent="0.25">
      <c r="D120" s="201" t="str">
        <f t="shared" si="1"/>
        <v/>
      </c>
      <c r="J120" s="201" t="str">
        <f>IFERROR(COUNTIF($C$23:C120,C120)&amp;CHOOSE(MIN(4,COUNTIF($C$23:C120,C120)),"st","nd","rd","th"),"")</f>
        <v/>
      </c>
    </row>
    <row r="121" spans="4:10" x14ac:dyDescent="0.25">
      <c r="D121" s="201" t="str">
        <f t="shared" si="1"/>
        <v/>
      </c>
      <c r="J121" s="201" t="str">
        <f>IFERROR(COUNTIF($C$23:C121,C121)&amp;CHOOSE(MIN(4,COUNTIF($C$23:C121,C121)),"st","nd","rd","th"),"")</f>
        <v/>
      </c>
    </row>
    <row r="122" spans="4:10" x14ac:dyDescent="0.25">
      <c r="D122" s="201" t="str">
        <f t="shared" si="1"/>
        <v/>
      </c>
      <c r="J122" s="201" t="str">
        <f>IFERROR(COUNTIF($C$23:C122,C122)&amp;CHOOSE(MIN(4,COUNTIF($C$23:C122,C122)),"st","nd","rd","th"),"")</f>
        <v/>
      </c>
    </row>
    <row r="123" spans="4:10" x14ac:dyDescent="0.25">
      <c r="D123" s="201" t="str">
        <f t="shared" si="1"/>
        <v/>
      </c>
      <c r="J123" s="201" t="str">
        <f>IFERROR(COUNTIF($C$23:C123,C123)&amp;CHOOSE(MIN(4,COUNTIF($C$23:C123,C123)),"st","nd","rd","th"),"")</f>
        <v/>
      </c>
    </row>
    <row r="124" spans="4:10" x14ac:dyDescent="0.25">
      <c r="D124" s="201" t="str">
        <f t="shared" si="1"/>
        <v/>
      </c>
      <c r="J124" s="201" t="str">
        <f>IFERROR(COUNTIF($C$23:C124,C124)&amp;CHOOSE(MIN(4,COUNTIF($C$23:C124,C124)),"st","nd","rd","th"),"")</f>
        <v/>
      </c>
    </row>
    <row r="125" spans="4:10" x14ac:dyDescent="0.25">
      <c r="D125" s="201" t="str">
        <f t="shared" si="1"/>
        <v/>
      </c>
      <c r="J125" s="201" t="str">
        <f>IFERROR(COUNTIF($C$23:C125,C125)&amp;CHOOSE(MIN(4,COUNTIF($C$23:C125,C125)),"st","nd","rd","th"),"")</f>
        <v/>
      </c>
    </row>
    <row r="126" spans="4:10" x14ac:dyDescent="0.25">
      <c r="D126" s="201" t="str">
        <f t="shared" si="1"/>
        <v/>
      </c>
      <c r="J126" s="201" t="str">
        <f>IFERROR(COUNTIF($C$23:C126,C126)&amp;CHOOSE(MIN(4,COUNTIF($C$23:C126,C126)),"st","nd","rd","th"),"")</f>
        <v/>
      </c>
    </row>
    <row r="127" spans="4:10" x14ac:dyDescent="0.25">
      <c r="D127" s="201" t="str">
        <f t="shared" si="1"/>
        <v/>
      </c>
      <c r="J127" s="201" t="str">
        <f>IFERROR(COUNTIF($C$23:C127,C127)&amp;CHOOSE(MIN(4,COUNTIF($C$23:C127,C127)),"st","nd","rd","th"),"")</f>
        <v/>
      </c>
    </row>
    <row r="128" spans="4:10" x14ac:dyDescent="0.25">
      <c r="D128" s="201" t="str">
        <f t="shared" si="1"/>
        <v/>
      </c>
      <c r="J128" s="201" t="str">
        <f>IFERROR(COUNTIF($C$23:C128,C128)&amp;CHOOSE(MIN(4,COUNTIF($C$23:C128,C128)),"st","nd","rd","th"),"")</f>
        <v/>
      </c>
    </row>
    <row r="129" spans="4:10" x14ac:dyDescent="0.25">
      <c r="D129" s="201" t="str">
        <f t="shared" si="1"/>
        <v/>
      </c>
      <c r="J129" s="201" t="str">
        <f>IFERROR(COUNTIF($C$23:C129,C129)&amp;CHOOSE(MIN(4,COUNTIF($C$23:C129,C129)),"st","nd","rd","th"),"")</f>
        <v/>
      </c>
    </row>
    <row r="130" spans="4:10" x14ac:dyDescent="0.25">
      <c r="D130" s="201" t="str">
        <f t="shared" si="1"/>
        <v/>
      </c>
      <c r="J130" s="201" t="str">
        <f>IFERROR(COUNTIF($C$23:C130,C130)&amp;CHOOSE(MIN(4,COUNTIF($C$23:C130,C130)),"st","nd","rd","th"),"")</f>
        <v/>
      </c>
    </row>
    <row r="131" spans="4:10" x14ac:dyDescent="0.25">
      <c r="D131" s="201" t="str">
        <f t="shared" si="1"/>
        <v/>
      </c>
      <c r="J131" s="201" t="str">
        <f>IFERROR(COUNTIF($C$23:C131,C131)&amp;CHOOSE(MIN(4,COUNTIF($C$23:C131,C131)),"st","nd","rd","th"),"")</f>
        <v/>
      </c>
    </row>
    <row r="132" spans="4:10" x14ac:dyDescent="0.25">
      <c r="D132" s="201" t="str">
        <f t="shared" si="1"/>
        <v/>
      </c>
      <c r="J132" s="201" t="str">
        <f>IFERROR(COUNTIF($C$23:C132,C132)&amp;CHOOSE(MIN(4,COUNTIF($C$23:C132,C132)),"st","nd","rd","th"),"")</f>
        <v/>
      </c>
    </row>
    <row r="133" spans="4:10" x14ac:dyDescent="0.25">
      <c r="D133" s="201" t="str">
        <f t="shared" si="1"/>
        <v/>
      </c>
      <c r="J133" s="201" t="str">
        <f>IFERROR(COUNTIF($C$23:C133,C133)&amp;CHOOSE(MIN(4,COUNTIF($C$23:C133,C133)),"st","nd","rd","th"),"")</f>
        <v/>
      </c>
    </row>
    <row r="134" spans="4:10" x14ac:dyDescent="0.25">
      <c r="D134" s="201" t="str">
        <f t="shared" si="1"/>
        <v/>
      </c>
      <c r="J134" s="201" t="str">
        <f>IFERROR(COUNTIF($C$23:C134,C134)&amp;CHOOSE(MIN(4,COUNTIF($C$23:C134,C134)),"st","nd","rd","th"),"")</f>
        <v/>
      </c>
    </row>
    <row r="135" spans="4:10" x14ac:dyDescent="0.25">
      <c r="D135" s="201" t="str">
        <f t="shared" si="1"/>
        <v/>
      </c>
      <c r="J135" s="201" t="str">
        <f>IFERROR(COUNTIF($C$23:C135,C135)&amp;CHOOSE(MIN(4,COUNTIF($C$23:C135,C135)),"st","nd","rd","th"),"")</f>
        <v/>
      </c>
    </row>
    <row r="136" spans="4:10" x14ac:dyDescent="0.25">
      <c r="D136" s="201" t="str">
        <f t="shared" si="1"/>
        <v/>
      </c>
      <c r="J136" s="201" t="str">
        <f>IFERROR(COUNTIF($C$23:C136,C136)&amp;CHOOSE(MIN(4,COUNTIF($C$23:C136,C136)),"st","nd","rd","th"),"")</f>
        <v/>
      </c>
    </row>
    <row r="137" spans="4:10" x14ac:dyDescent="0.25">
      <c r="D137" s="201" t="str">
        <f t="shared" si="1"/>
        <v/>
      </c>
      <c r="J137" s="201" t="str">
        <f>IFERROR(COUNTIF($C$23:C137,C137)&amp;CHOOSE(MIN(4,COUNTIF($C$23:C137,C137)),"st","nd","rd","th"),"")</f>
        <v/>
      </c>
    </row>
    <row r="138" spans="4:10" x14ac:dyDescent="0.25">
      <c r="D138" s="201" t="str">
        <f t="shared" si="1"/>
        <v/>
      </c>
      <c r="J138" s="201" t="str">
        <f>IFERROR(COUNTIF($C$23:C138,C138)&amp;CHOOSE(MIN(4,COUNTIF($C$23:C138,C138)),"st","nd","rd","th"),"")</f>
        <v/>
      </c>
    </row>
    <row r="139" spans="4:10" x14ac:dyDescent="0.25">
      <c r="D139" s="201" t="str">
        <f t="shared" si="1"/>
        <v/>
      </c>
      <c r="J139" s="201" t="str">
        <f>IFERROR(COUNTIF($C$23:C139,C139)&amp;CHOOSE(MIN(4,COUNTIF($C$23:C139,C139)),"st","nd","rd","th"),"")</f>
        <v/>
      </c>
    </row>
    <row r="140" spans="4:10" x14ac:dyDescent="0.25">
      <c r="D140" s="201" t="str">
        <f t="shared" si="1"/>
        <v/>
      </c>
      <c r="J140" s="201" t="str">
        <f>IFERROR(COUNTIF($C$23:C140,C140)&amp;CHOOSE(MIN(4,COUNTIF($C$23:C140,C140)),"st","nd","rd","th"),"")</f>
        <v/>
      </c>
    </row>
    <row r="141" spans="4:10" x14ac:dyDescent="0.25">
      <c r="D141" s="201" t="str">
        <f t="shared" si="1"/>
        <v/>
      </c>
      <c r="J141" s="201" t="str">
        <f>IFERROR(COUNTIF($C$23:C141,C141)&amp;CHOOSE(MIN(4,COUNTIF($C$23:C141,C141)),"st","nd","rd","th"),"")</f>
        <v/>
      </c>
    </row>
    <row r="142" spans="4:10" x14ac:dyDescent="0.25">
      <c r="D142" s="201" t="str">
        <f t="shared" si="1"/>
        <v/>
      </c>
      <c r="J142" s="201" t="str">
        <f>IFERROR(COUNTIF($C$23:C142,C142)&amp;CHOOSE(MIN(4,COUNTIF($C$23:C142,C142)),"st","nd","rd","th"),"")</f>
        <v/>
      </c>
    </row>
    <row r="143" spans="4:10" x14ac:dyDescent="0.25">
      <c r="D143" s="201" t="str">
        <f t="shared" si="1"/>
        <v/>
      </c>
      <c r="J143" s="201" t="str">
        <f>IFERROR(COUNTIF($C$23:C143,C143)&amp;CHOOSE(MIN(4,COUNTIF($C$23:C143,C143)),"st","nd","rd","th"),"")</f>
        <v/>
      </c>
    </row>
    <row r="144" spans="4:10" x14ac:dyDescent="0.25">
      <c r="D144" s="201" t="str">
        <f t="shared" si="1"/>
        <v/>
      </c>
      <c r="J144" s="201" t="str">
        <f>IFERROR(COUNTIF($C$23:C144,C144)&amp;CHOOSE(MIN(4,COUNTIF($C$23:C144,C144)),"st","nd","rd","th"),"")</f>
        <v/>
      </c>
    </row>
    <row r="145" spans="4:10" x14ac:dyDescent="0.25">
      <c r="D145" s="201" t="str">
        <f t="shared" si="1"/>
        <v/>
      </c>
      <c r="J145" s="201" t="str">
        <f>IFERROR(COUNTIF($C$23:C145,C145)&amp;CHOOSE(MIN(4,COUNTIF($C$23:C145,C145)),"st","nd","rd","th"),"")</f>
        <v/>
      </c>
    </row>
    <row r="146" spans="4:10" x14ac:dyDescent="0.25">
      <c r="D146" s="201" t="str">
        <f t="shared" si="1"/>
        <v/>
      </c>
      <c r="J146" s="201" t="str">
        <f>IFERROR(COUNTIF($C$23:C146,C146)&amp;CHOOSE(MIN(4,COUNTIF($C$23:C146,C146)),"st","nd","rd","th"),"")</f>
        <v/>
      </c>
    </row>
    <row r="147" spans="4:10" x14ac:dyDescent="0.25">
      <c r="D147" s="201" t="str">
        <f t="shared" si="1"/>
        <v/>
      </c>
      <c r="J147" s="201" t="str">
        <f>IFERROR(COUNTIF($C$23:C147,C147)&amp;CHOOSE(MIN(4,COUNTIF($C$23:C147,C147)),"st","nd","rd","th"),"")</f>
        <v/>
      </c>
    </row>
    <row r="148" spans="4:10" x14ac:dyDescent="0.25">
      <c r="D148" s="201" t="str">
        <f t="shared" si="1"/>
        <v/>
      </c>
      <c r="J148" s="201" t="str">
        <f>IFERROR(COUNTIF($C$23:C148,C148)&amp;CHOOSE(MIN(4,COUNTIF($C$23:C148,C148)),"st","nd","rd","th"),"")</f>
        <v/>
      </c>
    </row>
    <row r="149" spans="4:10" x14ac:dyDescent="0.25">
      <c r="D149" s="201" t="str">
        <f t="shared" si="1"/>
        <v/>
      </c>
      <c r="J149" s="201" t="str">
        <f>IFERROR(COUNTIF($C$23:C149,C149)&amp;CHOOSE(MIN(4,COUNTIF($C$23:C149,C149)),"st","nd","rd","th"),"")</f>
        <v/>
      </c>
    </row>
    <row r="150" spans="4:10" x14ac:dyDescent="0.25">
      <c r="D150" s="201" t="str">
        <f t="shared" si="1"/>
        <v/>
      </c>
      <c r="J150" s="201" t="str">
        <f>IFERROR(COUNTIF($C$23:C150,C150)&amp;CHOOSE(MIN(4,COUNTIF($C$23:C150,C150)),"st","nd","rd","th"),"")</f>
        <v/>
      </c>
    </row>
    <row r="151" spans="4:10" x14ac:dyDescent="0.25">
      <c r="D151" s="201" t="str">
        <f t="shared" ref="D151:D214" si="2">IF(B151="","",IF(B151="Province_PLGU","PDPFP","CLUP"))</f>
        <v/>
      </c>
      <c r="J151" s="201" t="str">
        <f>IFERROR(COUNTIF($C$23:C151,C151)&amp;CHOOSE(MIN(4,COUNTIF($C$23:C151,C151)),"st","nd","rd","th"),"")</f>
        <v/>
      </c>
    </row>
    <row r="152" spans="4:10" x14ac:dyDescent="0.25">
      <c r="D152" s="201" t="str">
        <f t="shared" si="2"/>
        <v/>
      </c>
      <c r="J152" s="201" t="str">
        <f>IFERROR(COUNTIF($C$23:C152,C152)&amp;CHOOSE(MIN(4,COUNTIF($C$23:C152,C152)),"st","nd","rd","th"),"")</f>
        <v/>
      </c>
    </row>
    <row r="153" spans="4:10" x14ac:dyDescent="0.25">
      <c r="D153" s="201" t="str">
        <f t="shared" si="2"/>
        <v/>
      </c>
      <c r="J153" s="201" t="str">
        <f>IFERROR(COUNTIF($C$23:C153,C153)&amp;CHOOSE(MIN(4,COUNTIF($C$23:C153,C153)),"st","nd","rd","th"),"")</f>
        <v/>
      </c>
    </row>
    <row r="154" spans="4:10" x14ac:dyDescent="0.25">
      <c r="D154" s="201" t="str">
        <f t="shared" si="2"/>
        <v/>
      </c>
      <c r="J154" s="201" t="str">
        <f>IFERROR(COUNTIF($C$23:C154,C154)&amp;CHOOSE(MIN(4,COUNTIF($C$23:C154,C154)),"st","nd","rd","th"),"")</f>
        <v/>
      </c>
    </row>
    <row r="155" spans="4:10" x14ac:dyDescent="0.25">
      <c r="D155" s="201" t="str">
        <f t="shared" si="2"/>
        <v/>
      </c>
      <c r="J155" s="201" t="str">
        <f>IFERROR(COUNTIF($C$23:C155,C155)&amp;CHOOSE(MIN(4,COUNTIF($C$23:C155,C155)),"st","nd","rd","th"),"")</f>
        <v/>
      </c>
    </row>
    <row r="156" spans="4:10" x14ac:dyDescent="0.25">
      <c r="D156" s="201" t="str">
        <f t="shared" si="2"/>
        <v/>
      </c>
      <c r="J156" s="201" t="str">
        <f>IFERROR(COUNTIF($C$23:C156,C156)&amp;CHOOSE(MIN(4,COUNTIF($C$23:C156,C156)),"st","nd","rd","th"),"")</f>
        <v/>
      </c>
    </row>
    <row r="157" spans="4:10" x14ac:dyDescent="0.25">
      <c r="D157" s="201" t="str">
        <f t="shared" si="2"/>
        <v/>
      </c>
      <c r="J157" s="201" t="str">
        <f>IFERROR(COUNTIF($C$23:C157,C157)&amp;CHOOSE(MIN(4,COUNTIF($C$23:C157,C157)),"st","nd","rd","th"),"")</f>
        <v/>
      </c>
    </row>
    <row r="158" spans="4:10" x14ac:dyDescent="0.25">
      <c r="D158" s="201" t="str">
        <f t="shared" si="2"/>
        <v/>
      </c>
      <c r="J158" s="201" t="str">
        <f>IFERROR(COUNTIF($C$23:C158,C158)&amp;CHOOSE(MIN(4,COUNTIF($C$23:C158,C158)),"st","nd","rd","th"),"")</f>
        <v/>
      </c>
    </row>
    <row r="159" spans="4:10" x14ac:dyDescent="0.25">
      <c r="D159" s="201" t="str">
        <f t="shared" si="2"/>
        <v/>
      </c>
      <c r="J159" s="201" t="str">
        <f>IFERROR(COUNTIF($C$23:C159,C159)&amp;CHOOSE(MIN(4,COUNTIF($C$23:C159,C159)),"st","nd","rd","th"),"")</f>
        <v/>
      </c>
    </row>
    <row r="160" spans="4:10" x14ac:dyDescent="0.25">
      <c r="D160" s="201" t="str">
        <f t="shared" si="2"/>
        <v/>
      </c>
      <c r="J160" s="201" t="str">
        <f>IFERROR(COUNTIF($C$23:C160,C160)&amp;CHOOSE(MIN(4,COUNTIF($C$23:C160,C160)),"st","nd","rd","th"),"")</f>
        <v/>
      </c>
    </row>
    <row r="161" spans="4:10" x14ac:dyDescent="0.25">
      <c r="D161" s="201" t="str">
        <f t="shared" si="2"/>
        <v/>
      </c>
      <c r="J161" s="201" t="str">
        <f>IFERROR(COUNTIF($C$23:C161,C161)&amp;CHOOSE(MIN(4,COUNTIF($C$23:C161,C161)),"st","nd","rd","th"),"")</f>
        <v/>
      </c>
    </row>
    <row r="162" spans="4:10" x14ac:dyDescent="0.25">
      <c r="D162" s="201" t="str">
        <f t="shared" si="2"/>
        <v/>
      </c>
      <c r="J162" s="201" t="str">
        <f>IFERROR(COUNTIF($C$23:C162,C162)&amp;CHOOSE(MIN(4,COUNTIF($C$23:C162,C162)),"st","nd","rd","th"),"")</f>
        <v/>
      </c>
    </row>
    <row r="163" spans="4:10" x14ac:dyDescent="0.25">
      <c r="D163" s="201" t="str">
        <f t="shared" si="2"/>
        <v/>
      </c>
      <c r="J163" s="201" t="str">
        <f>IFERROR(COUNTIF($C$23:C163,C163)&amp;CHOOSE(MIN(4,COUNTIF($C$23:C163,C163)),"st","nd","rd","th"),"")</f>
        <v/>
      </c>
    </row>
    <row r="164" spans="4:10" x14ac:dyDescent="0.25">
      <c r="D164" s="201" t="str">
        <f t="shared" si="2"/>
        <v/>
      </c>
      <c r="J164" s="201" t="str">
        <f>IFERROR(COUNTIF($C$23:C164,C164)&amp;CHOOSE(MIN(4,COUNTIF($C$23:C164,C164)),"st","nd","rd","th"),"")</f>
        <v/>
      </c>
    </row>
    <row r="165" spans="4:10" x14ac:dyDescent="0.25">
      <c r="D165" s="201" t="str">
        <f t="shared" si="2"/>
        <v/>
      </c>
      <c r="J165" s="201" t="str">
        <f>IFERROR(COUNTIF($C$23:C165,C165)&amp;CHOOSE(MIN(4,COUNTIF($C$23:C165,C165)),"st","nd","rd","th"),"")</f>
        <v/>
      </c>
    </row>
    <row r="166" spans="4:10" x14ac:dyDescent="0.25">
      <c r="D166" s="201" t="str">
        <f t="shared" si="2"/>
        <v/>
      </c>
      <c r="J166" s="201" t="str">
        <f>IFERROR(COUNTIF($C$23:C166,C166)&amp;CHOOSE(MIN(4,COUNTIF($C$23:C166,C166)),"st","nd","rd","th"),"")</f>
        <v/>
      </c>
    </row>
    <row r="167" spans="4:10" x14ac:dyDescent="0.25">
      <c r="D167" s="201" t="str">
        <f t="shared" si="2"/>
        <v/>
      </c>
      <c r="J167" s="201" t="str">
        <f>IFERROR(COUNTIF($C$23:C167,C167)&amp;CHOOSE(MIN(4,COUNTIF($C$23:C167,C167)),"st","nd","rd","th"),"")</f>
        <v/>
      </c>
    </row>
    <row r="168" spans="4:10" x14ac:dyDescent="0.25">
      <c r="D168" s="201" t="str">
        <f t="shared" si="2"/>
        <v/>
      </c>
      <c r="J168" s="201" t="str">
        <f>IFERROR(COUNTIF($C$23:C168,C168)&amp;CHOOSE(MIN(4,COUNTIF($C$23:C168,C168)),"st","nd","rd","th"),"")</f>
        <v/>
      </c>
    </row>
    <row r="169" spans="4:10" x14ac:dyDescent="0.25">
      <c r="D169" s="201" t="str">
        <f t="shared" si="2"/>
        <v/>
      </c>
      <c r="J169" s="201" t="str">
        <f>IFERROR(COUNTIF($C$23:C169,C169)&amp;CHOOSE(MIN(4,COUNTIF($C$23:C169,C169)),"st","nd","rd","th"),"")</f>
        <v/>
      </c>
    </row>
    <row r="170" spans="4:10" x14ac:dyDescent="0.25">
      <c r="D170" s="201" t="str">
        <f t="shared" si="2"/>
        <v/>
      </c>
      <c r="J170" s="201" t="str">
        <f>IFERROR(COUNTIF($C$23:C170,C170)&amp;CHOOSE(MIN(4,COUNTIF($C$23:C170,C170)),"st","nd","rd","th"),"")</f>
        <v/>
      </c>
    </row>
    <row r="171" spans="4:10" x14ac:dyDescent="0.25">
      <c r="D171" s="201" t="str">
        <f t="shared" si="2"/>
        <v/>
      </c>
      <c r="J171" s="201" t="str">
        <f>IFERROR(COUNTIF($C$23:C171,C171)&amp;CHOOSE(MIN(4,COUNTIF($C$23:C171,C171)),"st","nd","rd","th"),"")</f>
        <v/>
      </c>
    </row>
    <row r="172" spans="4:10" x14ac:dyDescent="0.25">
      <c r="D172" s="201" t="str">
        <f t="shared" si="2"/>
        <v/>
      </c>
      <c r="J172" s="201" t="str">
        <f>IFERROR(COUNTIF($C$23:C172,C172)&amp;CHOOSE(MIN(4,COUNTIF($C$23:C172,C172)),"st","nd","rd","th"),"")</f>
        <v/>
      </c>
    </row>
    <row r="173" spans="4:10" x14ac:dyDescent="0.25">
      <c r="D173" s="201" t="str">
        <f t="shared" si="2"/>
        <v/>
      </c>
      <c r="J173" s="201" t="str">
        <f>IFERROR(COUNTIF($C$23:C173,C173)&amp;CHOOSE(MIN(4,COUNTIF($C$23:C173,C173)),"st","nd","rd","th"),"")</f>
        <v/>
      </c>
    </row>
    <row r="174" spans="4:10" x14ac:dyDescent="0.25">
      <c r="D174" s="201" t="str">
        <f t="shared" si="2"/>
        <v/>
      </c>
      <c r="J174" s="201" t="str">
        <f>IFERROR(COUNTIF($C$23:C174,C174)&amp;CHOOSE(MIN(4,COUNTIF($C$23:C174,C174)),"st","nd","rd","th"),"")</f>
        <v/>
      </c>
    </row>
    <row r="175" spans="4:10" x14ac:dyDescent="0.25">
      <c r="D175" s="201" t="str">
        <f t="shared" si="2"/>
        <v/>
      </c>
      <c r="J175" s="201" t="str">
        <f>IFERROR(COUNTIF($C$23:C175,C175)&amp;CHOOSE(MIN(4,COUNTIF($C$23:C175,C175)),"st","nd","rd","th"),"")</f>
        <v/>
      </c>
    </row>
    <row r="176" spans="4:10" x14ac:dyDescent="0.25">
      <c r="D176" s="201" t="str">
        <f t="shared" si="2"/>
        <v/>
      </c>
      <c r="J176" s="201" t="str">
        <f>IFERROR(COUNTIF($C$23:C176,C176)&amp;CHOOSE(MIN(4,COUNTIF($C$23:C176,C176)),"st","nd","rd","th"),"")</f>
        <v/>
      </c>
    </row>
    <row r="177" spans="4:10" x14ac:dyDescent="0.25">
      <c r="D177" s="201" t="str">
        <f t="shared" si="2"/>
        <v/>
      </c>
      <c r="J177" s="201" t="str">
        <f>IFERROR(COUNTIF($C$23:C177,C177)&amp;CHOOSE(MIN(4,COUNTIF($C$23:C177,C177)),"st","nd","rd","th"),"")</f>
        <v/>
      </c>
    </row>
    <row r="178" spans="4:10" x14ac:dyDescent="0.25">
      <c r="D178" s="201" t="str">
        <f t="shared" si="2"/>
        <v/>
      </c>
      <c r="J178" s="201" t="str">
        <f>IFERROR(COUNTIF($C$23:C178,C178)&amp;CHOOSE(MIN(4,COUNTIF($C$23:C178,C178)),"st","nd","rd","th"),"")</f>
        <v/>
      </c>
    </row>
    <row r="179" spans="4:10" x14ac:dyDescent="0.25">
      <c r="D179" s="201" t="str">
        <f t="shared" si="2"/>
        <v/>
      </c>
      <c r="J179" s="201" t="str">
        <f>IFERROR(COUNTIF($C$23:C179,C179)&amp;CHOOSE(MIN(4,COUNTIF($C$23:C179,C179)),"st","nd","rd","th"),"")</f>
        <v/>
      </c>
    </row>
    <row r="180" spans="4:10" x14ac:dyDescent="0.25">
      <c r="D180" s="201" t="str">
        <f t="shared" si="2"/>
        <v/>
      </c>
      <c r="J180" s="201" t="str">
        <f>IFERROR(COUNTIF($C$23:C180,C180)&amp;CHOOSE(MIN(4,COUNTIF($C$23:C180,C180)),"st","nd","rd","th"),"")</f>
        <v/>
      </c>
    </row>
    <row r="181" spans="4:10" x14ac:dyDescent="0.25">
      <c r="D181" s="201" t="str">
        <f t="shared" si="2"/>
        <v/>
      </c>
      <c r="J181" s="201" t="str">
        <f>IFERROR(COUNTIF($C$23:C181,C181)&amp;CHOOSE(MIN(4,COUNTIF($C$23:C181,C181)),"st","nd","rd","th"),"")</f>
        <v/>
      </c>
    </row>
    <row r="182" spans="4:10" x14ac:dyDescent="0.25">
      <c r="D182" s="201" t="str">
        <f t="shared" si="2"/>
        <v/>
      </c>
      <c r="J182" s="201" t="str">
        <f>IFERROR(COUNTIF($C$23:C182,C182)&amp;CHOOSE(MIN(4,COUNTIF($C$23:C182,C182)),"st","nd","rd","th"),"")</f>
        <v/>
      </c>
    </row>
    <row r="183" spans="4:10" x14ac:dyDescent="0.25">
      <c r="D183" s="201" t="str">
        <f t="shared" si="2"/>
        <v/>
      </c>
      <c r="J183" s="201" t="str">
        <f>IFERROR(COUNTIF($C$23:C183,C183)&amp;CHOOSE(MIN(4,COUNTIF($C$23:C183,C183)),"st","nd","rd","th"),"")</f>
        <v/>
      </c>
    </row>
    <row r="184" spans="4:10" x14ac:dyDescent="0.25">
      <c r="D184" s="201" t="str">
        <f t="shared" si="2"/>
        <v/>
      </c>
      <c r="J184" s="201" t="str">
        <f>IFERROR(COUNTIF($C$23:C184,C184)&amp;CHOOSE(MIN(4,COUNTIF($C$23:C184,C184)),"st","nd","rd","th"),"")</f>
        <v/>
      </c>
    </row>
    <row r="185" spans="4:10" x14ac:dyDescent="0.25">
      <c r="D185" s="201" t="str">
        <f t="shared" si="2"/>
        <v/>
      </c>
      <c r="J185" s="201" t="str">
        <f>IFERROR(COUNTIF($C$23:C185,C185)&amp;CHOOSE(MIN(4,COUNTIF($C$23:C185,C185)),"st","nd","rd","th"),"")</f>
        <v/>
      </c>
    </row>
    <row r="186" spans="4:10" x14ac:dyDescent="0.25">
      <c r="D186" s="201" t="str">
        <f t="shared" si="2"/>
        <v/>
      </c>
      <c r="J186" s="201" t="str">
        <f>IFERROR(COUNTIF($C$23:C186,C186)&amp;CHOOSE(MIN(4,COUNTIF($C$23:C186,C186)),"st","nd","rd","th"),"")</f>
        <v/>
      </c>
    </row>
    <row r="187" spans="4:10" x14ac:dyDescent="0.25">
      <c r="D187" s="201" t="str">
        <f t="shared" si="2"/>
        <v/>
      </c>
      <c r="J187" s="201" t="str">
        <f>IFERROR(COUNTIF($C$23:C187,C187)&amp;CHOOSE(MIN(4,COUNTIF($C$23:C187,C187)),"st","nd","rd","th"),"")</f>
        <v/>
      </c>
    </row>
    <row r="188" spans="4:10" x14ac:dyDescent="0.25">
      <c r="D188" s="201" t="str">
        <f t="shared" si="2"/>
        <v/>
      </c>
      <c r="J188" s="201" t="str">
        <f>IFERROR(COUNTIF($C$23:C188,C188)&amp;CHOOSE(MIN(4,COUNTIF($C$23:C188,C188)),"st","nd","rd","th"),"")</f>
        <v/>
      </c>
    </row>
    <row r="189" spans="4:10" x14ac:dyDescent="0.25">
      <c r="D189" s="201" t="str">
        <f t="shared" si="2"/>
        <v/>
      </c>
      <c r="J189" s="201" t="str">
        <f>IFERROR(COUNTIF($C$23:C189,C189)&amp;CHOOSE(MIN(4,COUNTIF($C$23:C189,C189)),"st","nd","rd","th"),"")</f>
        <v/>
      </c>
    </row>
    <row r="190" spans="4:10" x14ac:dyDescent="0.25">
      <c r="D190" s="201" t="str">
        <f t="shared" si="2"/>
        <v/>
      </c>
      <c r="J190" s="201" t="str">
        <f>IFERROR(COUNTIF($C$23:C190,C190)&amp;CHOOSE(MIN(4,COUNTIF($C$23:C190,C190)),"st","nd","rd","th"),"")</f>
        <v/>
      </c>
    </row>
    <row r="191" spans="4:10" x14ac:dyDescent="0.25">
      <c r="D191" s="201" t="str">
        <f t="shared" si="2"/>
        <v/>
      </c>
      <c r="J191" s="201" t="str">
        <f>IFERROR(COUNTIF($C$23:C191,C191)&amp;CHOOSE(MIN(4,COUNTIF($C$23:C191,C191)),"st","nd","rd","th"),"")</f>
        <v/>
      </c>
    </row>
    <row r="192" spans="4:10" x14ac:dyDescent="0.25">
      <c r="D192" s="201" t="str">
        <f t="shared" si="2"/>
        <v/>
      </c>
      <c r="J192" s="201" t="str">
        <f>IFERROR(COUNTIF($C$23:C192,C192)&amp;CHOOSE(MIN(4,COUNTIF($C$23:C192,C192)),"st","nd","rd","th"),"")</f>
        <v/>
      </c>
    </row>
    <row r="193" spans="4:10" x14ac:dyDescent="0.25">
      <c r="D193" s="201" t="str">
        <f t="shared" si="2"/>
        <v/>
      </c>
      <c r="J193" s="201" t="str">
        <f>IFERROR(COUNTIF($C$23:C193,C193)&amp;CHOOSE(MIN(4,COUNTIF($C$23:C193,C193)),"st","nd","rd","th"),"")</f>
        <v/>
      </c>
    </row>
    <row r="194" spans="4:10" x14ac:dyDescent="0.25">
      <c r="D194" s="201" t="str">
        <f t="shared" si="2"/>
        <v/>
      </c>
      <c r="J194" s="201" t="str">
        <f>IFERROR(COUNTIF($C$23:C194,C194)&amp;CHOOSE(MIN(4,COUNTIF($C$23:C194,C194)),"st","nd","rd","th"),"")</f>
        <v/>
      </c>
    </row>
    <row r="195" spans="4:10" x14ac:dyDescent="0.25">
      <c r="D195" s="201" t="str">
        <f t="shared" si="2"/>
        <v/>
      </c>
      <c r="J195" s="201" t="str">
        <f>IFERROR(COUNTIF($C$23:C195,C195)&amp;CHOOSE(MIN(4,COUNTIF($C$23:C195,C195)),"st","nd","rd","th"),"")</f>
        <v/>
      </c>
    </row>
    <row r="196" spans="4:10" x14ac:dyDescent="0.25">
      <c r="D196" s="201" t="str">
        <f t="shared" si="2"/>
        <v/>
      </c>
      <c r="J196" s="201" t="str">
        <f>IFERROR(COUNTIF($C$23:C196,C196)&amp;CHOOSE(MIN(4,COUNTIF($C$23:C196,C196)),"st","nd","rd","th"),"")</f>
        <v/>
      </c>
    </row>
    <row r="197" spans="4:10" x14ac:dyDescent="0.25">
      <c r="D197" s="201" t="str">
        <f t="shared" si="2"/>
        <v/>
      </c>
      <c r="J197" s="201" t="str">
        <f>IFERROR(COUNTIF($C$23:C197,C197)&amp;CHOOSE(MIN(4,COUNTIF($C$23:C197,C197)),"st","nd","rd","th"),"")</f>
        <v/>
      </c>
    </row>
    <row r="198" spans="4:10" x14ac:dyDescent="0.25">
      <c r="D198" s="201" t="str">
        <f t="shared" si="2"/>
        <v/>
      </c>
      <c r="J198" s="201" t="str">
        <f>IFERROR(COUNTIF($C$23:C198,C198)&amp;CHOOSE(MIN(4,COUNTIF($C$23:C198,C198)),"st","nd","rd","th"),"")</f>
        <v/>
      </c>
    </row>
    <row r="199" spans="4:10" x14ac:dyDescent="0.25">
      <c r="D199" s="201" t="str">
        <f t="shared" si="2"/>
        <v/>
      </c>
      <c r="J199" s="201" t="str">
        <f>IFERROR(COUNTIF($C$23:C199,C199)&amp;CHOOSE(MIN(4,COUNTIF($C$23:C199,C199)),"st","nd","rd","th"),"")</f>
        <v/>
      </c>
    </row>
    <row r="200" spans="4:10" x14ac:dyDescent="0.25">
      <c r="D200" s="201" t="str">
        <f t="shared" si="2"/>
        <v/>
      </c>
      <c r="J200" s="201" t="str">
        <f>IFERROR(COUNTIF($C$23:C200,C200)&amp;CHOOSE(MIN(4,COUNTIF($C$23:C200,C200)),"st","nd","rd","th"),"")</f>
        <v/>
      </c>
    </row>
    <row r="201" spans="4:10" x14ac:dyDescent="0.25">
      <c r="D201" s="201" t="str">
        <f t="shared" si="2"/>
        <v/>
      </c>
      <c r="J201" s="201" t="str">
        <f>IFERROR(COUNTIF($C$23:C201,C201)&amp;CHOOSE(MIN(4,COUNTIF($C$23:C201,C201)),"st","nd","rd","th"),"")</f>
        <v/>
      </c>
    </row>
    <row r="202" spans="4:10" x14ac:dyDescent="0.25">
      <c r="D202" s="201" t="str">
        <f t="shared" si="2"/>
        <v/>
      </c>
      <c r="J202" s="201" t="str">
        <f>IFERROR(COUNTIF($C$23:C202,C202)&amp;CHOOSE(MIN(4,COUNTIF($C$23:C202,C202)),"st","nd","rd","th"),"")</f>
        <v/>
      </c>
    </row>
    <row r="203" spans="4:10" x14ac:dyDescent="0.25">
      <c r="D203" s="201" t="str">
        <f t="shared" si="2"/>
        <v/>
      </c>
      <c r="J203" s="201" t="str">
        <f>IFERROR(COUNTIF($C$23:C203,C203)&amp;CHOOSE(MIN(4,COUNTIF($C$23:C203,C203)),"st","nd","rd","th"),"")</f>
        <v/>
      </c>
    </row>
    <row r="204" spans="4:10" x14ac:dyDescent="0.25">
      <c r="D204" s="201" t="str">
        <f t="shared" si="2"/>
        <v/>
      </c>
      <c r="J204" s="201" t="str">
        <f>IFERROR(COUNTIF($C$23:C204,C204)&amp;CHOOSE(MIN(4,COUNTIF($C$23:C204,C204)),"st","nd","rd","th"),"")</f>
        <v/>
      </c>
    </row>
    <row r="205" spans="4:10" x14ac:dyDescent="0.25">
      <c r="D205" s="201" t="str">
        <f t="shared" si="2"/>
        <v/>
      </c>
      <c r="J205" s="201" t="str">
        <f>IFERROR(COUNTIF($C$23:C205,C205)&amp;CHOOSE(MIN(4,COUNTIF($C$23:C205,C205)),"st","nd","rd","th"),"")</f>
        <v/>
      </c>
    </row>
    <row r="206" spans="4:10" x14ac:dyDescent="0.25">
      <c r="D206" s="201" t="str">
        <f t="shared" si="2"/>
        <v/>
      </c>
      <c r="J206" s="201" t="str">
        <f>IFERROR(COUNTIF($C$23:C206,C206)&amp;CHOOSE(MIN(4,COUNTIF($C$23:C206,C206)),"st","nd","rd","th"),"")</f>
        <v/>
      </c>
    </row>
    <row r="207" spans="4:10" x14ac:dyDescent="0.25">
      <c r="D207" s="201" t="str">
        <f t="shared" si="2"/>
        <v/>
      </c>
      <c r="J207" s="201" t="str">
        <f>IFERROR(COUNTIF($C$23:C207,C207)&amp;CHOOSE(MIN(4,COUNTIF($C$23:C207,C207)),"st","nd","rd","th"),"")</f>
        <v/>
      </c>
    </row>
    <row r="208" spans="4:10" x14ac:dyDescent="0.25">
      <c r="D208" s="201" t="str">
        <f t="shared" si="2"/>
        <v/>
      </c>
      <c r="J208" s="201" t="str">
        <f>IFERROR(COUNTIF($C$23:C208,C208)&amp;CHOOSE(MIN(4,COUNTIF($C$23:C208,C208)),"st","nd","rd","th"),"")</f>
        <v/>
      </c>
    </row>
    <row r="209" spans="4:10" x14ac:dyDescent="0.25">
      <c r="D209" s="201" t="str">
        <f t="shared" si="2"/>
        <v/>
      </c>
      <c r="J209" s="201" t="str">
        <f>IFERROR(COUNTIF($C$23:C209,C209)&amp;CHOOSE(MIN(4,COUNTIF($C$23:C209,C209)),"st","nd","rd","th"),"")</f>
        <v/>
      </c>
    </row>
    <row r="210" spans="4:10" x14ac:dyDescent="0.25">
      <c r="D210" s="201" t="str">
        <f t="shared" si="2"/>
        <v/>
      </c>
      <c r="J210" s="201" t="str">
        <f>IFERROR(COUNTIF($C$23:C210,C210)&amp;CHOOSE(MIN(4,COUNTIF($C$23:C210,C210)),"st","nd","rd","th"),"")</f>
        <v/>
      </c>
    </row>
    <row r="211" spans="4:10" x14ac:dyDescent="0.25">
      <c r="D211" s="201" t="str">
        <f t="shared" si="2"/>
        <v/>
      </c>
      <c r="J211" s="201" t="str">
        <f>IFERROR(COUNTIF($C$23:C211,C211)&amp;CHOOSE(MIN(4,COUNTIF($C$23:C211,C211)),"st","nd","rd","th"),"")</f>
        <v/>
      </c>
    </row>
    <row r="212" spans="4:10" x14ac:dyDescent="0.25">
      <c r="D212" s="201" t="str">
        <f t="shared" si="2"/>
        <v/>
      </c>
      <c r="J212" s="201" t="str">
        <f>IFERROR(COUNTIF($C$23:C212,C212)&amp;CHOOSE(MIN(4,COUNTIF($C$23:C212,C212)),"st","nd","rd","th"),"")</f>
        <v/>
      </c>
    </row>
    <row r="213" spans="4:10" x14ac:dyDescent="0.25">
      <c r="D213" s="201" t="str">
        <f t="shared" si="2"/>
        <v/>
      </c>
      <c r="J213" s="201" t="str">
        <f>IFERROR(COUNTIF($C$23:C213,C213)&amp;CHOOSE(MIN(4,COUNTIF($C$23:C213,C213)),"st","nd","rd","th"),"")</f>
        <v/>
      </c>
    </row>
    <row r="214" spans="4:10" x14ac:dyDescent="0.25">
      <c r="D214" s="201" t="str">
        <f t="shared" si="2"/>
        <v/>
      </c>
      <c r="J214" s="201" t="str">
        <f>IFERROR(COUNTIF($C$23:C214,C214)&amp;CHOOSE(MIN(4,COUNTIF($C$23:C214,C214)),"st","nd","rd","th"),"")</f>
        <v/>
      </c>
    </row>
    <row r="215" spans="4:10" x14ac:dyDescent="0.25">
      <c r="D215" s="201" t="str">
        <f t="shared" ref="D215:D278" si="3">IF(B215="","",IF(B215="Province_PLGU","PDPFP","CLUP"))</f>
        <v/>
      </c>
      <c r="J215" s="201" t="str">
        <f>IFERROR(COUNTIF($C$23:C215,C215)&amp;CHOOSE(MIN(4,COUNTIF($C$23:C215,C215)),"st","nd","rd","th"),"")</f>
        <v/>
      </c>
    </row>
    <row r="216" spans="4:10" x14ac:dyDescent="0.25">
      <c r="D216" s="201" t="str">
        <f t="shared" si="3"/>
        <v/>
      </c>
      <c r="J216" s="201" t="str">
        <f>IFERROR(COUNTIF($C$23:C216,C216)&amp;CHOOSE(MIN(4,COUNTIF($C$23:C216,C216)),"st","nd","rd","th"),"")</f>
        <v/>
      </c>
    </row>
    <row r="217" spans="4:10" x14ac:dyDescent="0.25">
      <c r="D217" s="201" t="str">
        <f t="shared" si="3"/>
        <v/>
      </c>
      <c r="J217" s="201" t="str">
        <f>IFERROR(COUNTIF($C$23:C217,C217)&amp;CHOOSE(MIN(4,COUNTIF($C$23:C217,C217)),"st","nd","rd","th"),"")</f>
        <v/>
      </c>
    </row>
    <row r="218" spans="4:10" x14ac:dyDescent="0.25">
      <c r="D218" s="201" t="str">
        <f t="shared" si="3"/>
        <v/>
      </c>
      <c r="J218" s="201" t="str">
        <f>IFERROR(COUNTIF($C$23:C218,C218)&amp;CHOOSE(MIN(4,COUNTIF($C$23:C218,C218)),"st","nd","rd","th"),"")</f>
        <v/>
      </c>
    </row>
    <row r="219" spans="4:10" x14ac:dyDescent="0.25">
      <c r="D219" s="201" t="str">
        <f t="shared" si="3"/>
        <v/>
      </c>
      <c r="J219" s="201" t="str">
        <f>IFERROR(COUNTIF($C$23:C219,C219)&amp;CHOOSE(MIN(4,COUNTIF($C$23:C219,C219)),"st","nd","rd","th"),"")</f>
        <v/>
      </c>
    </row>
    <row r="220" spans="4:10" x14ac:dyDescent="0.25">
      <c r="D220" s="201" t="str">
        <f t="shared" si="3"/>
        <v/>
      </c>
      <c r="J220" s="201" t="str">
        <f>IFERROR(COUNTIF($C$23:C220,C220)&amp;CHOOSE(MIN(4,COUNTIF($C$23:C220,C220)),"st","nd","rd","th"),"")</f>
        <v/>
      </c>
    </row>
    <row r="221" spans="4:10" x14ac:dyDescent="0.25">
      <c r="D221" s="201" t="str">
        <f t="shared" si="3"/>
        <v/>
      </c>
      <c r="J221" s="201" t="str">
        <f>IFERROR(COUNTIF($C$23:C221,C221)&amp;CHOOSE(MIN(4,COUNTIF($C$23:C221,C221)),"st","nd","rd","th"),"")</f>
        <v/>
      </c>
    </row>
    <row r="222" spans="4:10" x14ac:dyDescent="0.25">
      <c r="D222" s="201" t="str">
        <f t="shared" si="3"/>
        <v/>
      </c>
      <c r="J222" s="201" t="str">
        <f>IFERROR(COUNTIF($C$23:C222,C222)&amp;CHOOSE(MIN(4,COUNTIF($C$23:C222,C222)),"st","nd","rd","th"),"")</f>
        <v/>
      </c>
    </row>
    <row r="223" spans="4:10" x14ac:dyDescent="0.25">
      <c r="D223" s="201" t="str">
        <f t="shared" si="3"/>
        <v/>
      </c>
      <c r="J223" s="201" t="str">
        <f>IFERROR(COUNTIF($C$23:C223,C223)&amp;CHOOSE(MIN(4,COUNTIF($C$23:C223,C223)),"st","nd","rd","th"),"")</f>
        <v/>
      </c>
    </row>
    <row r="224" spans="4:10" x14ac:dyDescent="0.25">
      <c r="D224" s="201" t="str">
        <f t="shared" si="3"/>
        <v/>
      </c>
      <c r="J224" s="201" t="str">
        <f>IFERROR(COUNTIF($C$23:C224,C224)&amp;CHOOSE(MIN(4,COUNTIF($C$23:C224,C224)),"st","nd","rd","th"),"")</f>
        <v/>
      </c>
    </row>
    <row r="225" spans="4:10" x14ac:dyDescent="0.25">
      <c r="D225" s="201" t="str">
        <f t="shared" si="3"/>
        <v/>
      </c>
      <c r="J225" s="201" t="str">
        <f>IFERROR(COUNTIF($C$23:C225,C225)&amp;CHOOSE(MIN(4,COUNTIF($C$23:C225,C225)),"st","nd","rd","th"),"")</f>
        <v/>
      </c>
    </row>
    <row r="226" spans="4:10" x14ac:dyDescent="0.25">
      <c r="D226" s="201" t="str">
        <f t="shared" si="3"/>
        <v/>
      </c>
      <c r="J226" s="201" t="str">
        <f>IFERROR(COUNTIF($C$23:C226,C226)&amp;CHOOSE(MIN(4,COUNTIF($C$23:C226,C226)),"st","nd","rd","th"),"")</f>
        <v/>
      </c>
    </row>
    <row r="227" spans="4:10" x14ac:dyDescent="0.25">
      <c r="D227" s="201" t="str">
        <f t="shared" si="3"/>
        <v/>
      </c>
      <c r="J227" s="201" t="str">
        <f>IFERROR(COUNTIF($C$23:C227,C227)&amp;CHOOSE(MIN(4,COUNTIF($C$23:C227,C227)),"st","nd","rd","th"),"")</f>
        <v/>
      </c>
    </row>
    <row r="228" spans="4:10" x14ac:dyDescent="0.25">
      <c r="D228" s="201" t="str">
        <f t="shared" si="3"/>
        <v/>
      </c>
      <c r="J228" s="201" t="str">
        <f>IFERROR(COUNTIF($C$23:C228,C228)&amp;CHOOSE(MIN(4,COUNTIF($C$23:C228,C228)),"st","nd","rd","th"),"")</f>
        <v/>
      </c>
    </row>
    <row r="229" spans="4:10" x14ac:dyDescent="0.25">
      <c r="D229" s="201" t="str">
        <f t="shared" si="3"/>
        <v/>
      </c>
      <c r="J229" s="201" t="str">
        <f>IFERROR(COUNTIF($C$23:C229,C229)&amp;CHOOSE(MIN(4,COUNTIF($C$23:C229,C229)),"st","nd","rd","th"),"")</f>
        <v/>
      </c>
    </row>
    <row r="230" spans="4:10" x14ac:dyDescent="0.25">
      <c r="D230" s="201" t="str">
        <f t="shared" si="3"/>
        <v/>
      </c>
      <c r="J230" s="201" t="str">
        <f>IFERROR(COUNTIF($C$23:C230,C230)&amp;CHOOSE(MIN(4,COUNTIF($C$23:C230,C230)),"st","nd","rd","th"),"")</f>
        <v/>
      </c>
    </row>
    <row r="231" spans="4:10" x14ac:dyDescent="0.25">
      <c r="D231" s="201" t="str">
        <f t="shared" si="3"/>
        <v/>
      </c>
      <c r="J231" s="201" t="str">
        <f>IFERROR(COUNTIF($C$23:C231,C231)&amp;CHOOSE(MIN(4,COUNTIF($C$23:C231,C231)),"st","nd","rd","th"),"")</f>
        <v/>
      </c>
    </row>
    <row r="232" spans="4:10" x14ac:dyDescent="0.25">
      <c r="D232" s="201" t="str">
        <f t="shared" si="3"/>
        <v/>
      </c>
      <c r="J232" s="201" t="str">
        <f>IFERROR(COUNTIF($C$23:C232,C232)&amp;CHOOSE(MIN(4,COUNTIF($C$23:C232,C232)),"st","nd","rd","th"),"")</f>
        <v/>
      </c>
    </row>
    <row r="233" spans="4:10" x14ac:dyDescent="0.25">
      <c r="D233" s="201" t="str">
        <f t="shared" si="3"/>
        <v/>
      </c>
      <c r="J233" s="201" t="str">
        <f>IFERROR(COUNTIF($C$23:C233,C233)&amp;CHOOSE(MIN(4,COUNTIF($C$23:C233,C233)),"st","nd","rd","th"),"")</f>
        <v/>
      </c>
    </row>
    <row r="234" spans="4:10" x14ac:dyDescent="0.25">
      <c r="D234" s="201" t="str">
        <f t="shared" si="3"/>
        <v/>
      </c>
      <c r="J234" s="201" t="str">
        <f>IFERROR(COUNTIF($C$23:C234,C234)&amp;CHOOSE(MIN(4,COUNTIF($C$23:C234,C234)),"st","nd","rd","th"),"")</f>
        <v/>
      </c>
    </row>
    <row r="235" spans="4:10" x14ac:dyDescent="0.25">
      <c r="D235" s="201" t="str">
        <f t="shared" si="3"/>
        <v/>
      </c>
      <c r="J235" s="201" t="str">
        <f>IFERROR(COUNTIF($C$23:C235,C235)&amp;CHOOSE(MIN(4,COUNTIF($C$23:C235,C235)),"st","nd","rd","th"),"")</f>
        <v/>
      </c>
    </row>
    <row r="236" spans="4:10" x14ac:dyDescent="0.25">
      <c r="D236" s="201" t="str">
        <f t="shared" si="3"/>
        <v/>
      </c>
      <c r="J236" s="201" t="str">
        <f>IFERROR(COUNTIF($C$23:C236,C236)&amp;CHOOSE(MIN(4,COUNTIF($C$23:C236,C236)),"st","nd","rd","th"),"")</f>
        <v/>
      </c>
    </row>
    <row r="237" spans="4:10" x14ac:dyDescent="0.25">
      <c r="D237" s="201" t="str">
        <f t="shared" si="3"/>
        <v/>
      </c>
      <c r="J237" s="201" t="str">
        <f>IFERROR(COUNTIF($C$23:C237,C237)&amp;CHOOSE(MIN(4,COUNTIF($C$23:C237,C237)),"st","nd","rd","th"),"")</f>
        <v/>
      </c>
    </row>
    <row r="238" spans="4:10" x14ac:dyDescent="0.25">
      <c r="D238" s="201" t="str">
        <f t="shared" si="3"/>
        <v/>
      </c>
      <c r="J238" s="201" t="str">
        <f>IFERROR(COUNTIF($C$23:C238,C238)&amp;CHOOSE(MIN(4,COUNTIF($C$23:C238,C238)),"st","nd","rd","th"),"")</f>
        <v/>
      </c>
    </row>
    <row r="239" spans="4:10" x14ac:dyDescent="0.25">
      <c r="D239" s="201" t="str">
        <f t="shared" si="3"/>
        <v/>
      </c>
      <c r="J239" s="201" t="str">
        <f>IFERROR(COUNTIF($C$23:C239,C239)&amp;CHOOSE(MIN(4,COUNTIF($C$23:C239,C239)),"st","nd","rd","th"),"")</f>
        <v/>
      </c>
    </row>
    <row r="240" spans="4:10" x14ac:dyDescent="0.25">
      <c r="D240" s="201" t="str">
        <f t="shared" si="3"/>
        <v/>
      </c>
      <c r="J240" s="201" t="str">
        <f>IFERROR(COUNTIF($C$23:C240,C240)&amp;CHOOSE(MIN(4,COUNTIF($C$23:C240,C240)),"st","nd","rd","th"),"")</f>
        <v/>
      </c>
    </row>
    <row r="241" spans="4:10" x14ac:dyDescent="0.25">
      <c r="D241" s="201" t="str">
        <f t="shared" si="3"/>
        <v/>
      </c>
      <c r="J241" s="201" t="str">
        <f>IFERROR(COUNTIF($C$23:C241,C241)&amp;CHOOSE(MIN(4,COUNTIF($C$23:C241,C241)),"st","nd","rd","th"),"")</f>
        <v/>
      </c>
    </row>
    <row r="242" spans="4:10" x14ac:dyDescent="0.25">
      <c r="D242" s="201" t="str">
        <f t="shared" si="3"/>
        <v/>
      </c>
      <c r="J242" s="201" t="str">
        <f>IFERROR(COUNTIF($C$23:C242,C242)&amp;CHOOSE(MIN(4,COUNTIF($C$23:C242,C242)),"st","nd","rd","th"),"")</f>
        <v/>
      </c>
    </row>
    <row r="243" spans="4:10" x14ac:dyDescent="0.25">
      <c r="D243" s="201" t="str">
        <f t="shared" si="3"/>
        <v/>
      </c>
      <c r="J243" s="201" t="str">
        <f>IFERROR(COUNTIF($C$23:C243,C243)&amp;CHOOSE(MIN(4,COUNTIF($C$23:C243,C243)),"st","nd","rd","th"),"")</f>
        <v/>
      </c>
    </row>
    <row r="244" spans="4:10" x14ac:dyDescent="0.25">
      <c r="D244" s="201" t="str">
        <f t="shared" si="3"/>
        <v/>
      </c>
      <c r="J244" s="201" t="str">
        <f>IFERROR(COUNTIF($C$23:C244,C244)&amp;CHOOSE(MIN(4,COUNTIF($C$23:C244,C244)),"st","nd","rd","th"),"")</f>
        <v/>
      </c>
    </row>
    <row r="245" spans="4:10" x14ac:dyDescent="0.25">
      <c r="D245" s="201" t="str">
        <f t="shared" si="3"/>
        <v/>
      </c>
      <c r="J245" s="201" t="str">
        <f>IFERROR(COUNTIF($C$23:C245,C245)&amp;CHOOSE(MIN(4,COUNTIF($C$23:C245,C245)),"st","nd","rd","th"),"")</f>
        <v/>
      </c>
    </row>
    <row r="246" spans="4:10" x14ac:dyDescent="0.25">
      <c r="D246" s="201" t="str">
        <f t="shared" si="3"/>
        <v/>
      </c>
      <c r="J246" s="201" t="str">
        <f>IFERROR(COUNTIF($C$23:C246,C246)&amp;CHOOSE(MIN(4,COUNTIF($C$23:C246,C246)),"st","nd","rd","th"),"")</f>
        <v/>
      </c>
    </row>
    <row r="247" spans="4:10" x14ac:dyDescent="0.25">
      <c r="D247" s="201" t="str">
        <f t="shared" si="3"/>
        <v/>
      </c>
      <c r="J247" s="201" t="str">
        <f>IFERROR(COUNTIF($C$23:C247,C247)&amp;CHOOSE(MIN(4,COUNTIF($C$23:C247,C247)),"st","nd","rd","th"),"")</f>
        <v/>
      </c>
    </row>
    <row r="248" spans="4:10" x14ac:dyDescent="0.25">
      <c r="D248" s="201" t="str">
        <f t="shared" si="3"/>
        <v/>
      </c>
      <c r="J248" s="201" t="str">
        <f>IFERROR(COUNTIF($C$23:C248,C248)&amp;CHOOSE(MIN(4,COUNTIF($C$23:C248,C248)),"st","nd","rd","th"),"")</f>
        <v/>
      </c>
    </row>
    <row r="249" spans="4:10" x14ac:dyDescent="0.25">
      <c r="D249" s="201" t="str">
        <f t="shared" si="3"/>
        <v/>
      </c>
      <c r="J249" s="201" t="str">
        <f>IFERROR(COUNTIF($C$23:C249,C249)&amp;CHOOSE(MIN(4,COUNTIF($C$23:C249,C249)),"st","nd","rd","th"),"")</f>
        <v/>
      </c>
    </row>
    <row r="250" spans="4:10" x14ac:dyDescent="0.25">
      <c r="D250" s="201" t="str">
        <f t="shared" si="3"/>
        <v/>
      </c>
      <c r="J250" s="201" t="str">
        <f>IFERROR(COUNTIF($C$23:C250,C250)&amp;CHOOSE(MIN(4,COUNTIF($C$23:C250,C250)),"st","nd","rd","th"),"")</f>
        <v/>
      </c>
    </row>
    <row r="251" spans="4:10" x14ac:dyDescent="0.25">
      <c r="D251" s="201" t="str">
        <f t="shared" si="3"/>
        <v/>
      </c>
      <c r="J251" s="201" t="str">
        <f>IFERROR(COUNTIF($C$23:C251,C251)&amp;CHOOSE(MIN(4,COUNTIF($C$23:C251,C251)),"st","nd","rd","th"),"")</f>
        <v/>
      </c>
    </row>
    <row r="252" spans="4:10" x14ac:dyDescent="0.25">
      <c r="D252" s="201" t="str">
        <f t="shared" si="3"/>
        <v/>
      </c>
      <c r="J252" s="201" t="str">
        <f>IFERROR(COUNTIF($C$23:C252,C252)&amp;CHOOSE(MIN(4,COUNTIF($C$23:C252,C252)),"st","nd","rd","th"),"")</f>
        <v/>
      </c>
    </row>
    <row r="253" spans="4:10" x14ac:dyDescent="0.25">
      <c r="D253" s="201" t="str">
        <f t="shared" si="3"/>
        <v/>
      </c>
      <c r="J253" s="201" t="str">
        <f>IFERROR(COUNTIF($C$23:C253,C253)&amp;CHOOSE(MIN(4,COUNTIF($C$23:C253,C253)),"st","nd","rd","th"),"")</f>
        <v/>
      </c>
    </row>
    <row r="254" spans="4:10" x14ac:dyDescent="0.25">
      <c r="D254" s="201" t="str">
        <f t="shared" si="3"/>
        <v/>
      </c>
      <c r="J254" s="201" t="str">
        <f>IFERROR(COUNTIF($C$23:C254,C254)&amp;CHOOSE(MIN(4,COUNTIF($C$23:C254,C254)),"st","nd","rd","th"),"")</f>
        <v/>
      </c>
    </row>
    <row r="255" spans="4:10" x14ac:dyDescent="0.25">
      <c r="D255" s="201" t="str">
        <f t="shared" si="3"/>
        <v/>
      </c>
      <c r="J255" s="201" t="str">
        <f>IFERROR(COUNTIF($C$23:C255,C255)&amp;CHOOSE(MIN(4,COUNTIF($C$23:C255,C255)),"st","nd","rd","th"),"")</f>
        <v/>
      </c>
    </row>
    <row r="256" spans="4:10" x14ac:dyDescent="0.25">
      <c r="D256" s="201" t="str">
        <f t="shared" si="3"/>
        <v/>
      </c>
      <c r="J256" s="201" t="str">
        <f>IFERROR(COUNTIF($C$23:C256,C256)&amp;CHOOSE(MIN(4,COUNTIF($C$23:C256,C256)),"st","nd","rd","th"),"")</f>
        <v/>
      </c>
    </row>
    <row r="257" spans="4:10" x14ac:dyDescent="0.25">
      <c r="D257" s="201" t="str">
        <f t="shared" si="3"/>
        <v/>
      </c>
      <c r="J257" s="201" t="str">
        <f>IFERROR(COUNTIF($C$23:C257,C257)&amp;CHOOSE(MIN(4,COUNTIF($C$23:C257,C257)),"st","nd","rd","th"),"")</f>
        <v/>
      </c>
    </row>
    <row r="258" spans="4:10" x14ac:dyDescent="0.25">
      <c r="D258" s="201" t="str">
        <f t="shared" si="3"/>
        <v/>
      </c>
      <c r="J258" s="201" t="str">
        <f>IFERROR(COUNTIF($C$23:C258,C258)&amp;CHOOSE(MIN(4,COUNTIF($C$23:C258,C258)),"st","nd","rd","th"),"")</f>
        <v/>
      </c>
    </row>
    <row r="259" spans="4:10" x14ac:dyDescent="0.25">
      <c r="D259" s="201" t="str">
        <f t="shared" si="3"/>
        <v/>
      </c>
      <c r="J259" s="201" t="str">
        <f>IFERROR(COUNTIF($C$23:C259,C259)&amp;CHOOSE(MIN(4,COUNTIF($C$23:C259,C259)),"st","nd","rd","th"),"")</f>
        <v/>
      </c>
    </row>
    <row r="260" spans="4:10" x14ac:dyDescent="0.25">
      <c r="D260" s="201" t="str">
        <f t="shared" si="3"/>
        <v/>
      </c>
      <c r="J260" s="201" t="str">
        <f>IFERROR(COUNTIF($C$23:C260,C260)&amp;CHOOSE(MIN(4,COUNTIF($C$23:C260,C260)),"st","nd","rd","th"),"")</f>
        <v/>
      </c>
    </row>
    <row r="261" spans="4:10" x14ac:dyDescent="0.25">
      <c r="D261" s="201" t="str">
        <f t="shared" si="3"/>
        <v/>
      </c>
      <c r="J261" s="201" t="str">
        <f>IFERROR(COUNTIF($C$23:C261,C261)&amp;CHOOSE(MIN(4,COUNTIF($C$23:C261,C261)),"st","nd","rd","th"),"")</f>
        <v/>
      </c>
    </row>
    <row r="262" spans="4:10" x14ac:dyDescent="0.25">
      <c r="D262" s="201" t="str">
        <f t="shared" si="3"/>
        <v/>
      </c>
      <c r="J262" s="201" t="str">
        <f>IFERROR(COUNTIF($C$23:C262,C262)&amp;CHOOSE(MIN(4,COUNTIF($C$23:C262,C262)),"st","nd","rd","th"),"")</f>
        <v/>
      </c>
    </row>
    <row r="263" spans="4:10" x14ac:dyDescent="0.25">
      <c r="D263" s="201" t="str">
        <f t="shared" si="3"/>
        <v/>
      </c>
      <c r="J263" s="201" t="str">
        <f>IFERROR(COUNTIF($C$23:C263,C263)&amp;CHOOSE(MIN(4,COUNTIF($C$23:C263,C263)),"st","nd","rd","th"),"")</f>
        <v/>
      </c>
    </row>
    <row r="264" spans="4:10" x14ac:dyDescent="0.25">
      <c r="D264" s="201" t="str">
        <f t="shared" si="3"/>
        <v/>
      </c>
      <c r="J264" s="201" t="str">
        <f>IFERROR(COUNTIF($C$23:C264,C264)&amp;CHOOSE(MIN(4,COUNTIF($C$23:C264,C264)),"st","nd","rd","th"),"")</f>
        <v/>
      </c>
    </row>
    <row r="265" spans="4:10" x14ac:dyDescent="0.25">
      <c r="D265" s="201" t="str">
        <f t="shared" si="3"/>
        <v/>
      </c>
      <c r="J265" s="201" t="str">
        <f>IFERROR(COUNTIF($C$23:C265,C265)&amp;CHOOSE(MIN(4,COUNTIF($C$23:C265,C265)),"st","nd","rd","th"),"")</f>
        <v/>
      </c>
    </row>
    <row r="266" spans="4:10" x14ac:dyDescent="0.25">
      <c r="D266" s="201" t="str">
        <f t="shared" si="3"/>
        <v/>
      </c>
      <c r="J266" s="201" t="str">
        <f>IFERROR(COUNTIF($C$23:C266,C266)&amp;CHOOSE(MIN(4,COUNTIF($C$23:C266,C266)),"st","nd","rd","th"),"")</f>
        <v/>
      </c>
    </row>
    <row r="267" spans="4:10" x14ac:dyDescent="0.25">
      <c r="D267" s="201" t="str">
        <f t="shared" si="3"/>
        <v/>
      </c>
      <c r="J267" s="201" t="str">
        <f>IFERROR(COUNTIF($C$23:C267,C267)&amp;CHOOSE(MIN(4,COUNTIF($C$23:C267,C267)),"st","nd","rd","th"),"")</f>
        <v/>
      </c>
    </row>
    <row r="268" spans="4:10" x14ac:dyDescent="0.25">
      <c r="D268" s="201" t="str">
        <f t="shared" si="3"/>
        <v/>
      </c>
      <c r="J268" s="201" t="str">
        <f>IFERROR(COUNTIF($C$23:C268,C268)&amp;CHOOSE(MIN(4,COUNTIF($C$23:C268,C268)),"st","nd","rd","th"),"")</f>
        <v/>
      </c>
    </row>
    <row r="269" spans="4:10" x14ac:dyDescent="0.25">
      <c r="D269" s="201" t="str">
        <f t="shared" si="3"/>
        <v/>
      </c>
      <c r="J269" s="201" t="str">
        <f>IFERROR(COUNTIF($C$23:C269,C269)&amp;CHOOSE(MIN(4,COUNTIF($C$23:C269,C269)),"st","nd","rd","th"),"")</f>
        <v/>
      </c>
    </row>
    <row r="270" spans="4:10" x14ac:dyDescent="0.25">
      <c r="D270" s="201" t="str">
        <f t="shared" si="3"/>
        <v/>
      </c>
      <c r="J270" s="201" t="str">
        <f>IFERROR(COUNTIF($C$23:C270,C270)&amp;CHOOSE(MIN(4,COUNTIF($C$23:C270,C270)),"st","nd","rd","th"),"")</f>
        <v/>
      </c>
    </row>
    <row r="271" spans="4:10" x14ac:dyDescent="0.25">
      <c r="D271" s="201" t="str">
        <f t="shared" si="3"/>
        <v/>
      </c>
      <c r="J271" s="201" t="str">
        <f>IFERROR(COUNTIF($C$23:C271,C271)&amp;CHOOSE(MIN(4,COUNTIF($C$23:C271,C271)),"st","nd","rd","th"),"")</f>
        <v/>
      </c>
    </row>
    <row r="272" spans="4:10" x14ac:dyDescent="0.25">
      <c r="D272" s="201" t="str">
        <f t="shared" si="3"/>
        <v/>
      </c>
      <c r="J272" s="201" t="str">
        <f>IFERROR(COUNTIF($C$23:C272,C272)&amp;CHOOSE(MIN(4,COUNTIF($C$23:C272,C272)),"st","nd","rd","th"),"")</f>
        <v/>
      </c>
    </row>
    <row r="273" spans="4:10" x14ac:dyDescent="0.25">
      <c r="D273" s="201" t="str">
        <f t="shared" si="3"/>
        <v/>
      </c>
      <c r="J273" s="201" t="str">
        <f>IFERROR(COUNTIF($C$23:C273,C273)&amp;CHOOSE(MIN(4,COUNTIF($C$23:C273,C273)),"st","nd","rd","th"),"")</f>
        <v/>
      </c>
    </row>
    <row r="274" spans="4:10" x14ac:dyDescent="0.25">
      <c r="D274" s="201" t="str">
        <f t="shared" si="3"/>
        <v/>
      </c>
      <c r="J274" s="201" t="str">
        <f>IFERROR(COUNTIF($C$23:C274,C274)&amp;CHOOSE(MIN(4,COUNTIF($C$23:C274,C274)),"st","nd","rd","th"),"")</f>
        <v/>
      </c>
    </row>
    <row r="275" spans="4:10" x14ac:dyDescent="0.25">
      <c r="D275" s="201" t="str">
        <f t="shared" si="3"/>
        <v/>
      </c>
      <c r="J275" s="201" t="str">
        <f>IFERROR(COUNTIF($C$23:C275,C275)&amp;CHOOSE(MIN(4,COUNTIF($C$23:C275,C275)),"st","nd","rd","th"),"")</f>
        <v/>
      </c>
    </row>
    <row r="276" spans="4:10" x14ac:dyDescent="0.25">
      <c r="D276" s="201" t="str">
        <f t="shared" si="3"/>
        <v/>
      </c>
      <c r="J276" s="201" t="str">
        <f>IFERROR(COUNTIF($C$23:C276,C276)&amp;CHOOSE(MIN(4,COUNTIF($C$23:C276,C276)),"st","nd","rd","th"),"")</f>
        <v/>
      </c>
    </row>
    <row r="277" spans="4:10" x14ac:dyDescent="0.25">
      <c r="D277" s="201" t="str">
        <f t="shared" si="3"/>
        <v/>
      </c>
      <c r="J277" s="201" t="str">
        <f>IFERROR(COUNTIF($C$23:C277,C277)&amp;CHOOSE(MIN(4,COUNTIF($C$23:C277,C277)),"st","nd","rd","th"),"")</f>
        <v/>
      </c>
    </row>
    <row r="278" spans="4:10" x14ac:dyDescent="0.25">
      <c r="D278" s="201" t="str">
        <f t="shared" si="3"/>
        <v/>
      </c>
      <c r="J278" s="201" t="str">
        <f>IFERROR(COUNTIF($C$23:C278,C278)&amp;CHOOSE(MIN(4,COUNTIF($C$23:C278,C278)),"st","nd","rd","th"),"")</f>
        <v/>
      </c>
    </row>
    <row r="279" spans="4:10" x14ac:dyDescent="0.25">
      <c r="D279" s="201" t="str">
        <f t="shared" ref="D279:D342" si="4">IF(B279="","",IF(B279="Province_PLGU","PDPFP","CLUP"))</f>
        <v/>
      </c>
      <c r="J279" s="201" t="str">
        <f>IFERROR(COUNTIF($C$23:C279,C279)&amp;CHOOSE(MIN(4,COUNTIF($C$23:C279,C279)),"st","nd","rd","th"),"")</f>
        <v/>
      </c>
    </row>
    <row r="280" spans="4:10" x14ac:dyDescent="0.25">
      <c r="D280" s="201" t="str">
        <f t="shared" si="4"/>
        <v/>
      </c>
      <c r="J280" s="201" t="str">
        <f>IFERROR(COUNTIF($C$23:C280,C280)&amp;CHOOSE(MIN(4,COUNTIF($C$23:C280,C280)),"st","nd","rd","th"),"")</f>
        <v/>
      </c>
    </row>
    <row r="281" spans="4:10" x14ac:dyDescent="0.25">
      <c r="D281" s="201" t="str">
        <f t="shared" si="4"/>
        <v/>
      </c>
      <c r="J281" s="201" t="str">
        <f>IFERROR(COUNTIF($C$23:C281,C281)&amp;CHOOSE(MIN(4,COUNTIF($C$23:C281,C281)),"st","nd","rd","th"),"")</f>
        <v/>
      </c>
    </row>
    <row r="282" spans="4:10" x14ac:dyDescent="0.25">
      <c r="D282" s="201" t="str">
        <f t="shared" si="4"/>
        <v/>
      </c>
      <c r="J282" s="201" t="str">
        <f>IFERROR(COUNTIF($C$23:C282,C282)&amp;CHOOSE(MIN(4,COUNTIF($C$23:C282,C282)),"st","nd","rd","th"),"")</f>
        <v/>
      </c>
    </row>
    <row r="283" spans="4:10" x14ac:dyDescent="0.25">
      <c r="D283" s="201" t="str">
        <f t="shared" si="4"/>
        <v/>
      </c>
      <c r="J283" s="201" t="str">
        <f>IFERROR(COUNTIF($C$23:C283,C283)&amp;CHOOSE(MIN(4,COUNTIF($C$23:C283,C283)),"st","nd","rd","th"),"")</f>
        <v/>
      </c>
    </row>
    <row r="284" spans="4:10" x14ac:dyDescent="0.25">
      <c r="D284" s="201" t="str">
        <f t="shared" si="4"/>
        <v/>
      </c>
      <c r="J284" s="201" t="str">
        <f>IFERROR(COUNTIF($C$23:C284,C284)&amp;CHOOSE(MIN(4,COUNTIF($C$23:C284,C284)),"st","nd","rd","th"),"")</f>
        <v/>
      </c>
    </row>
    <row r="285" spans="4:10" x14ac:dyDescent="0.25">
      <c r="D285" s="201" t="str">
        <f t="shared" si="4"/>
        <v/>
      </c>
      <c r="J285" s="201" t="str">
        <f>IFERROR(COUNTIF($C$23:C285,C285)&amp;CHOOSE(MIN(4,COUNTIF($C$23:C285,C285)),"st","nd","rd","th"),"")</f>
        <v/>
      </c>
    </row>
    <row r="286" spans="4:10" x14ac:dyDescent="0.25">
      <c r="D286" s="201" t="str">
        <f t="shared" si="4"/>
        <v/>
      </c>
      <c r="J286" s="201" t="str">
        <f>IFERROR(COUNTIF($C$23:C286,C286)&amp;CHOOSE(MIN(4,COUNTIF($C$23:C286,C286)),"st","nd","rd","th"),"")</f>
        <v/>
      </c>
    </row>
    <row r="287" spans="4:10" x14ac:dyDescent="0.25">
      <c r="D287" s="201" t="str">
        <f t="shared" si="4"/>
        <v/>
      </c>
      <c r="J287" s="201" t="str">
        <f>IFERROR(COUNTIF($C$23:C287,C287)&amp;CHOOSE(MIN(4,COUNTIF($C$23:C287,C287)),"st","nd","rd","th"),"")</f>
        <v/>
      </c>
    </row>
    <row r="288" spans="4:10" x14ac:dyDescent="0.25">
      <c r="D288" s="201" t="str">
        <f t="shared" si="4"/>
        <v/>
      </c>
      <c r="J288" s="201" t="str">
        <f>IFERROR(COUNTIF($C$23:C288,C288)&amp;CHOOSE(MIN(4,COUNTIF($C$23:C288,C288)),"st","nd","rd","th"),"")</f>
        <v/>
      </c>
    </row>
    <row r="289" spans="4:10" x14ac:dyDescent="0.25">
      <c r="D289" s="201" t="str">
        <f t="shared" si="4"/>
        <v/>
      </c>
      <c r="J289" s="201" t="str">
        <f>IFERROR(COUNTIF($C$23:C289,C289)&amp;CHOOSE(MIN(4,COUNTIF($C$23:C289,C289)),"st","nd","rd","th"),"")</f>
        <v/>
      </c>
    </row>
    <row r="290" spans="4:10" x14ac:dyDescent="0.25">
      <c r="D290" s="201" t="str">
        <f t="shared" si="4"/>
        <v/>
      </c>
      <c r="J290" s="201" t="str">
        <f>IFERROR(COUNTIF($C$23:C290,C290)&amp;CHOOSE(MIN(4,COUNTIF($C$23:C290,C290)),"st","nd","rd","th"),"")</f>
        <v/>
      </c>
    </row>
    <row r="291" spans="4:10" x14ac:dyDescent="0.25">
      <c r="D291" s="201" t="str">
        <f t="shared" si="4"/>
        <v/>
      </c>
      <c r="J291" s="201" t="str">
        <f>IFERROR(COUNTIF($C$23:C291,C291)&amp;CHOOSE(MIN(4,COUNTIF($C$23:C291,C291)),"st","nd","rd","th"),"")</f>
        <v/>
      </c>
    </row>
    <row r="292" spans="4:10" x14ac:dyDescent="0.25">
      <c r="D292" s="201" t="str">
        <f t="shared" si="4"/>
        <v/>
      </c>
      <c r="J292" s="201" t="str">
        <f>IFERROR(COUNTIF($C$23:C292,C292)&amp;CHOOSE(MIN(4,COUNTIF($C$23:C292,C292)),"st","nd","rd","th"),"")</f>
        <v/>
      </c>
    </row>
    <row r="293" spans="4:10" x14ac:dyDescent="0.25">
      <c r="D293" s="201" t="str">
        <f t="shared" si="4"/>
        <v/>
      </c>
      <c r="J293" s="201" t="str">
        <f>IFERROR(COUNTIF($C$23:C293,C293)&amp;CHOOSE(MIN(4,COUNTIF($C$23:C293,C293)),"st","nd","rd","th"),"")</f>
        <v/>
      </c>
    </row>
    <row r="294" spans="4:10" x14ac:dyDescent="0.25">
      <c r="D294" s="201" t="str">
        <f t="shared" si="4"/>
        <v/>
      </c>
      <c r="J294" s="201" t="str">
        <f>IFERROR(COUNTIF($C$23:C294,C294)&amp;CHOOSE(MIN(4,COUNTIF($C$23:C294,C294)),"st","nd","rd","th"),"")</f>
        <v/>
      </c>
    </row>
    <row r="295" spans="4:10" x14ac:dyDescent="0.25">
      <c r="D295" s="201" t="str">
        <f t="shared" si="4"/>
        <v/>
      </c>
      <c r="J295" s="201" t="str">
        <f>IFERROR(COUNTIF($C$23:C295,C295)&amp;CHOOSE(MIN(4,COUNTIF($C$23:C295,C295)),"st","nd","rd","th"),"")</f>
        <v/>
      </c>
    </row>
    <row r="296" spans="4:10" x14ac:dyDescent="0.25">
      <c r="D296" s="201" t="str">
        <f t="shared" si="4"/>
        <v/>
      </c>
      <c r="J296" s="201" t="str">
        <f>IFERROR(COUNTIF($C$23:C296,C296)&amp;CHOOSE(MIN(4,COUNTIF($C$23:C296,C296)),"st","nd","rd","th"),"")</f>
        <v/>
      </c>
    </row>
    <row r="297" spans="4:10" x14ac:dyDescent="0.25">
      <c r="D297" s="201" t="str">
        <f t="shared" si="4"/>
        <v/>
      </c>
      <c r="J297" s="201" t="str">
        <f>IFERROR(COUNTIF($C$23:C297,C297)&amp;CHOOSE(MIN(4,COUNTIF($C$23:C297,C297)),"st","nd","rd","th"),"")</f>
        <v/>
      </c>
    </row>
    <row r="298" spans="4:10" x14ac:dyDescent="0.25">
      <c r="D298" s="201" t="str">
        <f t="shared" si="4"/>
        <v/>
      </c>
      <c r="J298" s="201" t="str">
        <f>IFERROR(COUNTIF($C$23:C298,C298)&amp;CHOOSE(MIN(4,COUNTIF($C$23:C298,C298)),"st","nd","rd","th"),"")</f>
        <v/>
      </c>
    </row>
    <row r="299" spans="4:10" x14ac:dyDescent="0.25">
      <c r="D299" s="201" t="str">
        <f t="shared" si="4"/>
        <v/>
      </c>
      <c r="J299" s="201" t="str">
        <f>IFERROR(COUNTIF($C$23:C299,C299)&amp;CHOOSE(MIN(4,COUNTIF($C$23:C299,C299)),"st","nd","rd","th"),"")</f>
        <v/>
      </c>
    </row>
    <row r="300" spans="4:10" x14ac:dyDescent="0.25">
      <c r="D300" s="201" t="str">
        <f t="shared" si="4"/>
        <v/>
      </c>
      <c r="J300" s="201" t="str">
        <f>IFERROR(COUNTIF($C$23:C300,C300)&amp;CHOOSE(MIN(4,COUNTIF($C$23:C300,C300)),"st","nd","rd","th"),"")</f>
        <v/>
      </c>
    </row>
    <row r="301" spans="4:10" x14ac:dyDescent="0.25">
      <c r="D301" s="201" t="str">
        <f t="shared" si="4"/>
        <v/>
      </c>
      <c r="J301" s="201" t="str">
        <f>IFERROR(COUNTIF($C$23:C301,C301)&amp;CHOOSE(MIN(4,COUNTIF($C$23:C301,C301)),"st","nd","rd","th"),"")</f>
        <v/>
      </c>
    </row>
    <row r="302" spans="4:10" x14ac:dyDescent="0.25">
      <c r="D302" s="201" t="str">
        <f t="shared" si="4"/>
        <v/>
      </c>
      <c r="J302" s="201" t="str">
        <f>IFERROR(COUNTIF($C$23:C302,C302)&amp;CHOOSE(MIN(4,COUNTIF($C$23:C302,C302)),"st","nd","rd","th"),"")</f>
        <v/>
      </c>
    </row>
    <row r="303" spans="4:10" x14ac:dyDescent="0.25">
      <c r="D303" s="201" t="str">
        <f t="shared" si="4"/>
        <v/>
      </c>
      <c r="J303" s="201" t="str">
        <f>IFERROR(COUNTIF($C$23:C303,C303)&amp;CHOOSE(MIN(4,COUNTIF($C$23:C303,C303)),"st","nd","rd","th"),"")</f>
        <v/>
      </c>
    </row>
    <row r="304" spans="4:10" x14ac:dyDescent="0.25">
      <c r="D304" s="201" t="str">
        <f t="shared" si="4"/>
        <v/>
      </c>
      <c r="J304" s="201" t="str">
        <f>IFERROR(COUNTIF($C$23:C304,C304)&amp;CHOOSE(MIN(4,COUNTIF($C$23:C304,C304)),"st","nd","rd","th"),"")</f>
        <v/>
      </c>
    </row>
    <row r="305" spans="4:10" x14ac:dyDescent="0.25">
      <c r="D305" s="201" t="str">
        <f t="shared" si="4"/>
        <v/>
      </c>
      <c r="J305" s="201" t="str">
        <f>IFERROR(COUNTIF($C$23:C305,C305)&amp;CHOOSE(MIN(4,COUNTIF($C$23:C305,C305)),"st","nd","rd","th"),"")</f>
        <v/>
      </c>
    </row>
    <row r="306" spans="4:10" x14ac:dyDescent="0.25">
      <c r="D306" s="201" t="str">
        <f t="shared" si="4"/>
        <v/>
      </c>
      <c r="J306" s="201" t="str">
        <f>IFERROR(COUNTIF($C$23:C306,C306)&amp;CHOOSE(MIN(4,COUNTIF($C$23:C306,C306)),"st","nd","rd","th"),"")</f>
        <v/>
      </c>
    </row>
    <row r="307" spans="4:10" x14ac:dyDescent="0.25">
      <c r="D307" s="201" t="str">
        <f t="shared" si="4"/>
        <v/>
      </c>
      <c r="J307" s="201" t="str">
        <f>IFERROR(COUNTIF($C$23:C307,C307)&amp;CHOOSE(MIN(4,COUNTIF($C$23:C307,C307)),"st","nd","rd","th"),"")</f>
        <v/>
      </c>
    </row>
    <row r="308" spans="4:10" x14ac:dyDescent="0.25">
      <c r="D308" s="201" t="str">
        <f t="shared" si="4"/>
        <v/>
      </c>
      <c r="J308" s="201" t="str">
        <f>IFERROR(COUNTIF($C$23:C308,C308)&amp;CHOOSE(MIN(4,COUNTIF($C$23:C308,C308)),"st","nd","rd","th"),"")</f>
        <v/>
      </c>
    </row>
    <row r="309" spans="4:10" x14ac:dyDescent="0.25">
      <c r="D309" s="201" t="str">
        <f t="shared" si="4"/>
        <v/>
      </c>
      <c r="J309" s="201" t="str">
        <f>IFERROR(COUNTIF($C$23:C309,C309)&amp;CHOOSE(MIN(4,COUNTIF($C$23:C309,C309)),"st","nd","rd","th"),"")</f>
        <v/>
      </c>
    </row>
    <row r="310" spans="4:10" x14ac:dyDescent="0.25">
      <c r="D310" s="201" t="str">
        <f t="shared" si="4"/>
        <v/>
      </c>
      <c r="J310" s="201" t="str">
        <f>IFERROR(COUNTIF($C$23:C310,C310)&amp;CHOOSE(MIN(4,COUNTIF($C$23:C310,C310)),"st","nd","rd","th"),"")</f>
        <v/>
      </c>
    </row>
    <row r="311" spans="4:10" x14ac:dyDescent="0.25">
      <c r="D311" s="201" t="str">
        <f t="shared" si="4"/>
        <v/>
      </c>
      <c r="J311" s="201" t="str">
        <f>IFERROR(COUNTIF($C$23:C311,C311)&amp;CHOOSE(MIN(4,COUNTIF($C$23:C311,C311)),"st","nd","rd","th"),"")</f>
        <v/>
      </c>
    </row>
    <row r="312" spans="4:10" x14ac:dyDescent="0.25">
      <c r="D312" s="201" t="str">
        <f t="shared" si="4"/>
        <v/>
      </c>
      <c r="J312" s="201" t="str">
        <f>IFERROR(COUNTIF($C$23:C312,C312)&amp;CHOOSE(MIN(4,COUNTIF($C$23:C312,C312)),"st","nd","rd","th"),"")</f>
        <v/>
      </c>
    </row>
    <row r="313" spans="4:10" x14ac:dyDescent="0.25">
      <c r="D313" s="201" t="str">
        <f t="shared" si="4"/>
        <v/>
      </c>
      <c r="J313" s="201" t="str">
        <f>IFERROR(COUNTIF($C$23:C313,C313)&amp;CHOOSE(MIN(4,COUNTIF($C$23:C313,C313)),"st","nd","rd","th"),"")</f>
        <v/>
      </c>
    </row>
    <row r="314" spans="4:10" x14ac:dyDescent="0.25">
      <c r="D314" s="201" t="str">
        <f t="shared" si="4"/>
        <v/>
      </c>
      <c r="J314" s="201" t="str">
        <f>IFERROR(COUNTIF($C$23:C314,C314)&amp;CHOOSE(MIN(4,COUNTIF($C$23:C314,C314)),"st","nd","rd","th"),"")</f>
        <v/>
      </c>
    </row>
    <row r="315" spans="4:10" x14ac:dyDescent="0.25">
      <c r="D315" s="201" t="str">
        <f t="shared" si="4"/>
        <v/>
      </c>
      <c r="J315" s="201" t="str">
        <f>IFERROR(COUNTIF($C$23:C315,C315)&amp;CHOOSE(MIN(4,COUNTIF($C$23:C315,C315)),"st","nd","rd","th"),"")</f>
        <v/>
      </c>
    </row>
    <row r="316" spans="4:10" x14ac:dyDescent="0.25">
      <c r="D316" s="201" t="str">
        <f t="shared" si="4"/>
        <v/>
      </c>
      <c r="J316" s="201" t="str">
        <f>IFERROR(COUNTIF($C$23:C316,C316)&amp;CHOOSE(MIN(4,COUNTIF($C$23:C316,C316)),"st","nd","rd","th"),"")</f>
        <v/>
      </c>
    </row>
    <row r="317" spans="4:10" x14ac:dyDescent="0.25">
      <c r="D317" s="201" t="str">
        <f t="shared" si="4"/>
        <v/>
      </c>
      <c r="J317" s="201" t="str">
        <f>IFERROR(COUNTIF($C$23:C317,C317)&amp;CHOOSE(MIN(4,COUNTIF($C$23:C317,C317)),"st","nd","rd","th"),"")</f>
        <v/>
      </c>
    </row>
    <row r="318" spans="4:10" x14ac:dyDescent="0.25">
      <c r="D318" s="201" t="str">
        <f t="shared" si="4"/>
        <v/>
      </c>
      <c r="J318" s="201" t="str">
        <f>IFERROR(COUNTIF($C$23:C318,C318)&amp;CHOOSE(MIN(4,COUNTIF($C$23:C318,C318)),"st","nd","rd","th"),"")</f>
        <v/>
      </c>
    </row>
    <row r="319" spans="4:10" x14ac:dyDescent="0.25">
      <c r="D319" s="201" t="str">
        <f t="shared" si="4"/>
        <v/>
      </c>
      <c r="J319" s="201" t="str">
        <f>IFERROR(COUNTIF($C$23:C319,C319)&amp;CHOOSE(MIN(4,COUNTIF($C$23:C319,C319)),"st","nd","rd","th"),"")</f>
        <v/>
      </c>
    </row>
    <row r="320" spans="4:10" x14ac:dyDescent="0.25">
      <c r="D320" s="201" t="str">
        <f t="shared" si="4"/>
        <v/>
      </c>
      <c r="J320" s="201" t="str">
        <f>IFERROR(COUNTIF($C$23:C320,C320)&amp;CHOOSE(MIN(4,COUNTIF($C$23:C320,C320)),"st","nd","rd","th"),"")</f>
        <v/>
      </c>
    </row>
    <row r="321" spans="4:10" x14ac:dyDescent="0.25">
      <c r="D321" s="201" t="str">
        <f t="shared" si="4"/>
        <v/>
      </c>
      <c r="J321" s="201" t="str">
        <f>IFERROR(COUNTIF($C$23:C321,C321)&amp;CHOOSE(MIN(4,COUNTIF($C$23:C321,C321)),"st","nd","rd","th"),"")</f>
        <v/>
      </c>
    </row>
    <row r="322" spans="4:10" x14ac:dyDescent="0.25">
      <c r="D322" s="201" t="str">
        <f t="shared" si="4"/>
        <v/>
      </c>
      <c r="J322" s="201" t="str">
        <f>IFERROR(COUNTIF($C$23:C322,C322)&amp;CHOOSE(MIN(4,COUNTIF($C$23:C322,C322)),"st","nd","rd","th"),"")</f>
        <v/>
      </c>
    </row>
    <row r="323" spans="4:10" x14ac:dyDescent="0.25">
      <c r="D323" s="201" t="str">
        <f t="shared" si="4"/>
        <v/>
      </c>
      <c r="J323" s="201" t="str">
        <f>IFERROR(COUNTIF($C$23:C323,C323)&amp;CHOOSE(MIN(4,COUNTIF($C$23:C323,C323)),"st","nd","rd","th"),"")</f>
        <v/>
      </c>
    </row>
    <row r="324" spans="4:10" x14ac:dyDescent="0.25">
      <c r="D324" s="201" t="str">
        <f t="shared" si="4"/>
        <v/>
      </c>
      <c r="J324" s="201" t="str">
        <f>IFERROR(COUNTIF($C$23:C324,C324)&amp;CHOOSE(MIN(4,COUNTIF($C$23:C324,C324)),"st","nd","rd","th"),"")</f>
        <v/>
      </c>
    </row>
    <row r="325" spans="4:10" x14ac:dyDescent="0.25">
      <c r="D325" s="201" t="str">
        <f t="shared" si="4"/>
        <v/>
      </c>
      <c r="J325" s="201" t="str">
        <f>IFERROR(COUNTIF($C$23:C325,C325)&amp;CHOOSE(MIN(4,COUNTIF($C$23:C325,C325)),"st","nd","rd","th"),"")</f>
        <v/>
      </c>
    </row>
    <row r="326" spans="4:10" x14ac:dyDescent="0.25">
      <c r="D326" s="201" t="str">
        <f t="shared" si="4"/>
        <v/>
      </c>
      <c r="J326" s="201" t="str">
        <f>IFERROR(COUNTIF($C$23:C326,C326)&amp;CHOOSE(MIN(4,COUNTIF($C$23:C326,C326)),"st","nd","rd","th"),"")</f>
        <v/>
      </c>
    </row>
    <row r="327" spans="4:10" x14ac:dyDescent="0.25">
      <c r="D327" s="201" t="str">
        <f t="shared" si="4"/>
        <v/>
      </c>
      <c r="J327" s="201" t="str">
        <f>IFERROR(COUNTIF($C$23:C327,C327)&amp;CHOOSE(MIN(4,COUNTIF($C$23:C327,C327)),"st","nd","rd","th"),"")</f>
        <v/>
      </c>
    </row>
    <row r="328" spans="4:10" x14ac:dyDescent="0.25">
      <c r="D328" s="201" t="str">
        <f t="shared" si="4"/>
        <v/>
      </c>
      <c r="J328" s="201" t="str">
        <f>IFERROR(COUNTIF($C$23:C328,C328)&amp;CHOOSE(MIN(4,COUNTIF($C$23:C328,C328)),"st","nd","rd","th"),"")</f>
        <v/>
      </c>
    </row>
    <row r="329" spans="4:10" x14ac:dyDescent="0.25">
      <c r="D329" s="201" t="str">
        <f t="shared" si="4"/>
        <v/>
      </c>
      <c r="J329" s="201" t="str">
        <f>IFERROR(COUNTIF($C$23:C329,C329)&amp;CHOOSE(MIN(4,COUNTIF($C$23:C329,C329)),"st","nd","rd","th"),"")</f>
        <v/>
      </c>
    </row>
    <row r="330" spans="4:10" x14ac:dyDescent="0.25">
      <c r="D330" s="201" t="str">
        <f t="shared" si="4"/>
        <v/>
      </c>
      <c r="J330" s="201" t="str">
        <f>IFERROR(COUNTIF($C$23:C330,C330)&amp;CHOOSE(MIN(4,COUNTIF($C$23:C330,C330)),"st","nd","rd","th"),"")</f>
        <v/>
      </c>
    </row>
    <row r="331" spans="4:10" x14ac:dyDescent="0.25">
      <c r="D331" s="201" t="str">
        <f t="shared" si="4"/>
        <v/>
      </c>
      <c r="J331" s="201" t="str">
        <f>IFERROR(COUNTIF($C$23:C331,C331)&amp;CHOOSE(MIN(4,COUNTIF($C$23:C331,C331)),"st","nd","rd","th"),"")</f>
        <v/>
      </c>
    </row>
    <row r="332" spans="4:10" x14ac:dyDescent="0.25">
      <c r="D332" s="201" t="str">
        <f t="shared" si="4"/>
        <v/>
      </c>
      <c r="J332" s="201" t="str">
        <f>IFERROR(COUNTIF($C$23:C332,C332)&amp;CHOOSE(MIN(4,COUNTIF($C$23:C332,C332)),"st","nd","rd","th"),"")</f>
        <v/>
      </c>
    </row>
    <row r="333" spans="4:10" x14ac:dyDescent="0.25">
      <c r="D333" s="201" t="str">
        <f t="shared" si="4"/>
        <v/>
      </c>
      <c r="J333" s="201" t="str">
        <f>IFERROR(COUNTIF($C$23:C333,C333)&amp;CHOOSE(MIN(4,COUNTIF($C$23:C333,C333)),"st","nd","rd","th"),"")</f>
        <v/>
      </c>
    </row>
    <row r="334" spans="4:10" x14ac:dyDescent="0.25">
      <c r="D334" s="201" t="str">
        <f t="shared" si="4"/>
        <v/>
      </c>
      <c r="J334" s="201" t="str">
        <f>IFERROR(COUNTIF($C$23:C334,C334)&amp;CHOOSE(MIN(4,COUNTIF($C$23:C334,C334)),"st","nd","rd","th"),"")</f>
        <v/>
      </c>
    </row>
    <row r="335" spans="4:10" x14ac:dyDescent="0.25">
      <c r="D335" s="201" t="str">
        <f t="shared" si="4"/>
        <v/>
      </c>
      <c r="J335" s="201" t="str">
        <f>IFERROR(COUNTIF($C$23:C335,C335)&amp;CHOOSE(MIN(4,COUNTIF($C$23:C335,C335)),"st","nd","rd","th"),"")</f>
        <v/>
      </c>
    </row>
    <row r="336" spans="4:10" x14ac:dyDescent="0.25">
      <c r="D336" s="201" t="str">
        <f t="shared" si="4"/>
        <v/>
      </c>
      <c r="J336" s="201" t="str">
        <f>IFERROR(COUNTIF($C$23:C336,C336)&amp;CHOOSE(MIN(4,COUNTIF($C$23:C336,C336)),"st","nd","rd","th"),"")</f>
        <v/>
      </c>
    </row>
    <row r="337" spans="4:10" x14ac:dyDescent="0.25">
      <c r="D337" s="201" t="str">
        <f t="shared" si="4"/>
        <v/>
      </c>
      <c r="J337" s="201" t="str">
        <f>IFERROR(COUNTIF($C$23:C337,C337)&amp;CHOOSE(MIN(4,COUNTIF($C$23:C337,C337)),"st","nd","rd","th"),"")</f>
        <v/>
      </c>
    </row>
    <row r="338" spans="4:10" x14ac:dyDescent="0.25">
      <c r="D338" s="201" t="str">
        <f t="shared" si="4"/>
        <v/>
      </c>
      <c r="J338" s="201" t="str">
        <f>IFERROR(COUNTIF($C$23:C338,C338)&amp;CHOOSE(MIN(4,COUNTIF($C$23:C338,C338)),"st","nd","rd","th"),"")</f>
        <v/>
      </c>
    </row>
    <row r="339" spans="4:10" x14ac:dyDescent="0.25">
      <c r="D339" s="201" t="str">
        <f t="shared" si="4"/>
        <v/>
      </c>
      <c r="J339" s="201" t="str">
        <f>IFERROR(COUNTIF($C$23:C339,C339)&amp;CHOOSE(MIN(4,COUNTIF($C$23:C339,C339)),"st","nd","rd","th"),"")</f>
        <v/>
      </c>
    </row>
    <row r="340" spans="4:10" x14ac:dyDescent="0.25">
      <c r="D340" s="201" t="str">
        <f t="shared" si="4"/>
        <v/>
      </c>
      <c r="J340" s="201" t="str">
        <f>IFERROR(COUNTIF($C$23:C340,C340)&amp;CHOOSE(MIN(4,COUNTIF($C$23:C340,C340)),"st","nd","rd","th"),"")</f>
        <v/>
      </c>
    </row>
    <row r="341" spans="4:10" x14ac:dyDescent="0.25">
      <c r="D341" s="201" t="str">
        <f t="shared" si="4"/>
        <v/>
      </c>
      <c r="J341" s="201" t="str">
        <f>IFERROR(COUNTIF($C$23:C341,C341)&amp;CHOOSE(MIN(4,COUNTIF($C$23:C341,C341)),"st","nd","rd","th"),"")</f>
        <v/>
      </c>
    </row>
    <row r="342" spans="4:10" x14ac:dyDescent="0.25">
      <c r="D342" s="201" t="str">
        <f t="shared" si="4"/>
        <v/>
      </c>
      <c r="J342" s="201" t="str">
        <f>IFERROR(COUNTIF($C$23:C342,C342)&amp;CHOOSE(MIN(4,COUNTIF($C$23:C342,C342)),"st","nd","rd","th"),"")</f>
        <v/>
      </c>
    </row>
    <row r="343" spans="4:10" x14ac:dyDescent="0.25">
      <c r="D343" s="201" t="str">
        <f t="shared" ref="D343:D406" si="5">IF(B343="","",IF(B343="Province_PLGU","PDPFP","CLUP"))</f>
        <v/>
      </c>
      <c r="J343" s="201" t="str">
        <f>IFERROR(COUNTIF($C$23:C343,C343)&amp;CHOOSE(MIN(4,COUNTIF($C$23:C343,C343)),"st","nd","rd","th"),"")</f>
        <v/>
      </c>
    </row>
    <row r="344" spans="4:10" x14ac:dyDescent="0.25">
      <c r="D344" s="201" t="str">
        <f t="shared" si="5"/>
        <v/>
      </c>
      <c r="J344" s="201" t="str">
        <f>IFERROR(COUNTIF($C$23:C344,C344)&amp;CHOOSE(MIN(4,COUNTIF($C$23:C344,C344)),"st","nd","rd","th"),"")</f>
        <v/>
      </c>
    </row>
    <row r="345" spans="4:10" x14ac:dyDescent="0.25">
      <c r="D345" s="201" t="str">
        <f t="shared" si="5"/>
        <v/>
      </c>
      <c r="J345" s="201" t="str">
        <f>IFERROR(COUNTIF($C$23:C345,C345)&amp;CHOOSE(MIN(4,COUNTIF($C$23:C345,C345)),"st","nd","rd","th"),"")</f>
        <v/>
      </c>
    </row>
    <row r="346" spans="4:10" x14ac:dyDescent="0.25">
      <c r="D346" s="201" t="str">
        <f t="shared" si="5"/>
        <v/>
      </c>
      <c r="J346" s="201" t="str">
        <f>IFERROR(COUNTIF($C$23:C346,C346)&amp;CHOOSE(MIN(4,COUNTIF($C$23:C346,C346)),"st","nd","rd","th"),"")</f>
        <v/>
      </c>
    </row>
    <row r="347" spans="4:10" x14ac:dyDescent="0.25">
      <c r="D347" s="201" t="str">
        <f t="shared" si="5"/>
        <v/>
      </c>
      <c r="J347" s="201" t="str">
        <f>IFERROR(COUNTIF($C$23:C347,C347)&amp;CHOOSE(MIN(4,COUNTIF($C$23:C347,C347)),"st","nd","rd","th"),"")</f>
        <v/>
      </c>
    </row>
    <row r="348" spans="4:10" x14ac:dyDescent="0.25">
      <c r="D348" s="201" t="str">
        <f t="shared" si="5"/>
        <v/>
      </c>
      <c r="J348" s="201" t="str">
        <f>IFERROR(COUNTIF($C$23:C348,C348)&amp;CHOOSE(MIN(4,COUNTIF($C$23:C348,C348)),"st","nd","rd","th"),"")</f>
        <v/>
      </c>
    </row>
    <row r="349" spans="4:10" x14ac:dyDescent="0.25">
      <c r="D349" s="201" t="str">
        <f t="shared" si="5"/>
        <v/>
      </c>
      <c r="J349" s="201" t="str">
        <f>IFERROR(COUNTIF($C$23:C349,C349)&amp;CHOOSE(MIN(4,COUNTIF($C$23:C349,C349)),"st","nd","rd","th"),"")</f>
        <v/>
      </c>
    </row>
    <row r="350" spans="4:10" x14ac:dyDescent="0.25">
      <c r="D350" s="201" t="str">
        <f t="shared" si="5"/>
        <v/>
      </c>
      <c r="J350" s="201" t="str">
        <f>IFERROR(COUNTIF($C$23:C350,C350)&amp;CHOOSE(MIN(4,COUNTIF($C$23:C350,C350)),"st","nd","rd","th"),"")</f>
        <v/>
      </c>
    </row>
    <row r="351" spans="4:10" x14ac:dyDescent="0.25">
      <c r="D351" s="201" t="str">
        <f t="shared" si="5"/>
        <v/>
      </c>
      <c r="J351" s="201" t="str">
        <f>IFERROR(COUNTIF($C$23:C351,C351)&amp;CHOOSE(MIN(4,COUNTIF($C$23:C351,C351)),"st","nd","rd","th"),"")</f>
        <v/>
      </c>
    </row>
    <row r="352" spans="4:10" x14ac:dyDescent="0.25">
      <c r="D352" s="201" t="str">
        <f t="shared" si="5"/>
        <v/>
      </c>
      <c r="J352" s="201" t="str">
        <f>IFERROR(COUNTIF($C$23:C352,C352)&amp;CHOOSE(MIN(4,COUNTIF($C$23:C352,C352)),"st","nd","rd","th"),"")</f>
        <v/>
      </c>
    </row>
    <row r="353" spans="4:10" x14ac:dyDescent="0.25">
      <c r="D353" s="201" t="str">
        <f t="shared" si="5"/>
        <v/>
      </c>
      <c r="J353" s="201" t="str">
        <f>IFERROR(COUNTIF($C$23:C353,C353)&amp;CHOOSE(MIN(4,COUNTIF($C$23:C353,C353)),"st","nd","rd","th"),"")</f>
        <v/>
      </c>
    </row>
    <row r="354" spans="4:10" x14ac:dyDescent="0.25">
      <c r="D354" s="201" t="str">
        <f t="shared" si="5"/>
        <v/>
      </c>
      <c r="J354" s="201" t="str">
        <f>IFERROR(COUNTIF($C$23:C354,C354)&amp;CHOOSE(MIN(4,COUNTIF($C$23:C354,C354)),"st","nd","rd","th"),"")</f>
        <v/>
      </c>
    </row>
    <row r="355" spans="4:10" x14ac:dyDescent="0.25">
      <c r="D355" s="201" t="str">
        <f t="shared" si="5"/>
        <v/>
      </c>
      <c r="J355" s="201" t="str">
        <f>IFERROR(COUNTIF($C$23:C355,C355)&amp;CHOOSE(MIN(4,COUNTIF($C$23:C355,C355)),"st","nd","rd","th"),"")</f>
        <v/>
      </c>
    </row>
    <row r="356" spans="4:10" x14ac:dyDescent="0.25">
      <c r="D356" s="201" t="str">
        <f t="shared" si="5"/>
        <v/>
      </c>
      <c r="J356" s="201" t="str">
        <f>IFERROR(COUNTIF($C$23:C356,C356)&amp;CHOOSE(MIN(4,COUNTIF($C$23:C356,C356)),"st","nd","rd","th"),"")</f>
        <v/>
      </c>
    </row>
    <row r="357" spans="4:10" x14ac:dyDescent="0.25">
      <c r="D357" s="201" t="str">
        <f t="shared" si="5"/>
        <v/>
      </c>
      <c r="J357" s="201" t="str">
        <f>IFERROR(COUNTIF($C$23:C357,C357)&amp;CHOOSE(MIN(4,COUNTIF($C$23:C357,C357)),"st","nd","rd","th"),"")</f>
        <v/>
      </c>
    </row>
    <row r="358" spans="4:10" x14ac:dyDescent="0.25">
      <c r="D358" s="201" t="str">
        <f t="shared" si="5"/>
        <v/>
      </c>
      <c r="J358" s="201" t="str">
        <f>IFERROR(COUNTIF($C$23:C358,C358)&amp;CHOOSE(MIN(4,COUNTIF($C$23:C358,C358)),"st","nd","rd","th"),"")</f>
        <v/>
      </c>
    </row>
    <row r="359" spans="4:10" x14ac:dyDescent="0.25">
      <c r="D359" s="201" t="str">
        <f t="shared" si="5"/>
        <v/>
      </c>
      <c r="J359" s="201" t="str">
        <f>IFERROR(COUNTIF($C$23:C359,C359)&amp;CHOOSE(MIN(4,COUNTIF($C$23:C359,C359)),"st","nd","rd","th"),"")</f>
        <v/>
      </c>
    </row>
    <row r="360" spans="4:10" x14ac:dyDescent="0.25">
      <c r="D360" s="201" t="str">
        <f t="shared" si="5"/>
        <v/>
      </c>
      <c r="J360" s="201" t="str">
        <f>IFERROR(COUNTIF($C$23:C360,C360)&amp;CHOOSE(MIN(4,COUNTIF($C$23:C360,C360)),"st","nd","rd","th"),"")</f>
        <v/>
      </c>
    </row>
    <row r="361" spans="4:10" x14ac:dyDescent="0.25">
      <c r="D361" s="201" t="str">
        <f t="shared" si="5"/>
        <v/>
      </c>
      <c r="J361" s="201" t="str">
        <f>IFERROR(COUNTIF($C$23:C361,C361)&amp;CHOOSE(MIN(4,COUNTIF($C$23:C361,C361)),"st","nd","rd","th"),"")</f>
        <v/>
      </c>
    </row>
    <row r="362" spans="4:10" x14ac:dyDescent="0.25">
      <c r="D362" s="201" t="str">
        <f t="shared" si="5"/>
        <v/>
      </c>
      <c r="J362" s="201" t="str">
        <f>IFERROR(COUNTIF($C$23:C362,C362)&amp;CHOOSE(MIN(4,COUNTIF($C$23:C362,C362)),"st","nd","rd","th"),"")</f>
        <v/>
      </c>
    </row>
    <row r="363" spans="4:10" x14ac:dyDescent="0.25">
      <c r="D363" s="201" t="str">
        <f t="shared" si="5"/>
        <v/>
      </c>
      <c r="J363" s="201" t="str">
        <f>IFERROR(COUNTIF($C$23:C363,C363)&amp;CHOOSE(MIN(4,COUNTIF($C$23:C363,C363)),"st","nd","rd","th"),"")</f>
        <v/>
      </c>
    </row>
    <row r="364" spans="4:10" x14ac:dyDescent="0.25">
      <c r="D364" s="201" t="str">
        <f t="shared" si="5"/>
        <v/>
      </c>
      <c r="J364" s="201" t="str">
        <f>IFERROR(COUNTIF($C$23:C364,C364)&amp;CHOOSE(MIN(4,COUNTIF($C$23:C364,C364)),"st","nd","rd","th"),"")</f>
        <v/>
      </c>
    </row>
    <row r="365" spans="4:10" x14ac:dyDescent="0.25">
      <c r="D365" s="201" t="str">
        <f t="shared" si="5"/>
        <v/>
      </c>
      <c r="J365" s="201" t="str">
        <f>IFERROR(COUNTIF($C$23:C365,C365)&amp;CHOOSE(MIN(4,COUNTIF($C$23:C365,C365)),"st","nd","rd","th"),"")</f>
        <v/>
      </c>
    </row>
    <row r="366" spans="4:10" x14ac:dyDescent="0.25">
      <c r="D366" s="201" t="str">
        <f t="shared" si="5"/>
        <v/>
      </c>
      <c r="J366" s="201" t="str">
        <f>IFERROR(COUNTIF($C$23:C366,C366)&amp;CHOOSE(MIN(4,COUNTIF($C$23:C366,C366)),"st","nd","rd","th"),"")</f>
        <v/>
      </c>
    </row>
    <row r="367" spans="4:10" x14ac:dyDescent="0.25">
      <c r="D367" s="201" t="str">
        <f t="shared" si="5"/>
        <v/>
      </c>
      <c r="J367" s="201" t="str">
        <f>IFERROR(COUNTIF($C$23:C367,C367)&amp;CHOOSE(MIN(4,COUNTIF($C$23:C367,C367)),"st","nd","rd","th"),"")</f>
        <v/>
      </c>
    </row>
    <row r="368" spans="4:10" x14ac:dyDescent="0.25">
      <c r="D368" s="201" t="str">
        <f t="shared" si="5"/>
        <v/>
      </c>
      <c r="J368" s="201" t="str">
        <f>IFERROR(COUNTIF($C$23:C368,C368)&amp;CHOOSE(MIN(4,COUNTIF($C$23:C368,C368)),"st","nd","rd","th"),"")</f>
        <v/>
      </c>
    </row>
    <row r="369" spans="4:10" x14ac:dyDescent="0.25">
      <c r="D369" s="201" t="str">
        <f t="shared" si="5"/>
        <v/>
      </c>
      <c r="J369" s="201" t="str">
        <f>IFERROR(COUNTIF($C$23:C369,C369)&amp;CHOOSE(MIN(4,COUNTIF($C$23:C369,C369)),"st","nd","rd","th"),"")</f>
        <v/>
      </c>
    </row>
    <row r="370" spans="4:10" x14ac:dyDescent="0.25">
      <c r="D370" s="201" t="str">
        <f t="shared" si="5"/>
        <v/>
      </c>
      <c r="J370" s="201" t="str">
        <f>IFERROR(COUNTIF($C$23:C370,C370)&amp;CHOOSE(MIN(4,COUNTIF($C$23:C370,C370)),"st","nd","rd","th"),"")</f>
        <v/>
      </c>
    </row>
    <row r="371" spans="4:10" x14ac:dyDescent="0.25">
      <c r="D371" s="201" t="str">
        <f t="shared" si="5"/>
        <v/>
      </c>
      <c r="J371" s="201" t="str">
        <f>IFERROR(COUNTIF($C$23:C371,C371)&amp;CHOOSE(MIN(4,COUNTIF($C$23:C371,C371)),"st","nd","rd","th"),"")</f>
        <v/>
      </c>
    </row>
    <row r="372" spans="4:10" x14ac:dyDescent="0.25">
      <c r="D372" s="201" t="str">
        <f t="shared" si="5"/>
        <v/>
      </c>
      <c r="J372" s="201" t="str">
        <f>IFERROR(COUNTIF($C$23:C372,C372)&amp;CHOOSE(MIN(4,COUNTIF($C$23:C372,C372)),"st","nd","rd","th"),"")</f>
        <v/>
      </c>
    </row>
    <row r="373" spans="4:10" x14ac:dyDescent="0.25">
      <c r="D373" s="201" t="str">
        <f t="shared" si="5"/>
        <v/>
      </c>
      <c r="J373" s="201" t="str">
        <f>IFERROR(COUNTIF($C$23:C373,C373)&amp;CHOOSE(MIN(4,COUNTIF($C$23:C373,C373)),"st","nd","rd","th"),"")</f>
        <v/>
      </c>
    </row>
    <row r="374" spans="4:10" x14ac:dyDescent="0.25">
      <c r="D374" s="201" t="str">
        <f t="shared" si="5"/>
        <v/>
      </c>
      <c r="J374" s="201" t="str">
        <f>IFERROR(COUNTIF($C$23:C374,C374)&amp;CHOOSE(MIN(4,COUNTIF($C$23:C374,C374)),"st","nd","rd","th"),"")</f>
        <v/>
      </c>
    </row>
    <row r="375" spans="4:10" x14ac:dyDescent="0.25">
      <c r="D375" s="201" t="str">
        <f t="shared" si="5"/>
        <v/>
      </c>
      <c r="J375" s="201" t="str">
        <f>IFERROR(COUNTIF($C$23:C375,C375)&amp;CHOOSE(MIN(4,COUNTIF($C$23:C375,C375)),"st","nd","rd","th"),"")</f>
        <v/>
      </c>
    </row>
    <row r="376" spans="4:10" x14ac:dyDescent="0.25">
      <c r="D376" s="201" t="str">
        <f t="shared" si="5"/>
        <v/>
      </c>
      <c r="J376" s="201" t="str">
        <f>IFERROR(COUNTIF($C$23:C376,C376)&amp;CHOOSE(MIN(4,COUNTIF($C$23:C376,C376)),"st","nd","rd","th"),"")</f>
        <v/>
      </c>
    </row>
    <row r="377" spans="4:10" x14ac:dyDescent="0.25">
      <c r="D377" s="201" t="str">
        <f t="shared" si="5"/>
        <v/>
      </c>
      <c r="J377" s="201" t="str">
        <f>IFERROR(COUNTIF($C$23:C377,C377)&amp;CHOOSE(MIN(4,COUNTIF($C$23:C377,C377)),"st","nd","rd","th"),"")</f>
        <v/>
      </c>
    </row>
    <row r="378" spans="4:10" x14ac:dyDescent="0.25">
      <c r="D378" s="201" t="str">
        <f t="shared" si="5"/>
        <v/>
      </c>
      <c r="J378" s="201" t="str">
        <f>IFERROR(COUNTIF($C$23:C378,C378)&amp;CHOOSE(MIN(4,COUNTIF($C$23:C378,C378)),"st","nd","rd","th"),"")</f>
        <v/>
      </c>
    </row>
    <row r="379" spans="4:10" x14ac:dyDescent="0.25">
      <c r="D379" s="201" t="str">
        <f t="shared" si="5"/>
        <v/>
      </c>
      <c r="J379" s="201" t="str">
        <f>IFERROR(COUNTIF($C$23:C379,C379)&amp;CHOOSE(MIN(4,COUNTIF($C$23:C379,C379)),"st","nd","rd","th"),"")</f>
        <v/>
      </c>
    </row>
    <row r="380" spans="4:10" x14ac:dyDescent="0.25">
      <c r="D380" s="201" t="str">
        <f t="shared" si="5"/>
        <v/>
      </c>
      <c r="J380" s="201" t="str">
        <f>IFERROR(COUNTIF($C$23:C380,C380)&amp;CHOOSE(MIN(4,COUNTIF($C$23:C380,C380)),"st","nd","rd","th"),"")</f>
        <v/>
      </c>
    </row>
    <row r="381" spans="4:10" x14ac:dyDescent="0.25">
      <c r="D381" s="201" t="str">
        <f t="shared" si="5"/>
        <v/>
      </c>
      <c r="J381" s="201" t="str">
        <f>IFERROR(COUNTIF($C$23:C381,C381)&amp;CHOOSE(MIN(4,COUNTIF($C$23:C381,C381)),"st","nd","rd","th"),"")</f>
        <v/>
      </c>
    </row>
    <row r="382" spans="4:10" x14ac:dyDescent="0.25">
      <c r="D382" s="201" t="str">
        <f t="shared" si="5"/>
        <v/>
      </c>
      <c r="J382" s="201" t="str">
        <f>IFERROR(COUNTIF($C$23:C382,C382)&amp;CHOOSE(MIN(4,COUNTIF($C$23:C382,C382)),"st","nd","rd","th"),"")</f>
        <v/>
      </c>
    </row>
    <row r="383" spans="4:10" x14ac:dyDescent="0.25">
      <c r="D383" s="201" t="str">
        <f t="shared" si="5"/>
        <v/>
      </c>
      <c r="J383" s="201" t="str">
        <f>IFERROR(COUNTIF($C$23:C383,C383)&amp;CHOOSE(MIN(4,COUNTIF($C$23:C383,C383)),"st","nd","rd","th"),"")</f>
        <v/>
      </c>
    </row>
    <row r="384" spans="4:10" x14ac:dyDescent="0.25">
      <c r="D384" s="201" t="str">
        <f t="shared" si="5"/>
        <v/>
      </c>
      <c r="J384" s="201" t="str">
        <f>IFERROR(COUNTIF($C$23:C384,C384)&amp;CHOOSE(MIN(4,COUNTIF($C$23:C384,C384)),"st","nd","rd","th"),"")</f>
        <v/>
      </c>
    </row>
    <row r="385" spans="4:10" x14ac:dyDescent="0.25">
      <c r="D385" s="201" t="str">
        <f t="shared" si="5"/>
        <v/>
      </c>
      <c r="J385" s="201" t="str">
        <f>IFERROR(COUNTIF($C$23:C385,C385)&amp;CHOOSE(MIN(4,COUNTIF($C$23:C385,C385)),"st","nd","rd","th"),"")</f>
        <v/>
      </c>
    </row>
    <row r="386" spans="4:10" x14ac:dyDescent="0.25">
      <c r="D386" s="201" t="str">
        <f t="shared" si="5"/>
        <v/>
      </c>
      <c r="J386" s="201" t="str">
        <f>IFERROR(COUNTIF($C$23:C386,C386)&amp;CHOOSE(MIN(4,COUNTIF($C$23:C386,C386)),"st","nd","rd","th"),"")</f>
        <v/>
      </c>
    </row>
    <row r="387" spans="4:10" x14ac:dyDescent="0.25">
      <c r="D387" s="201" t="str">
        <f t="shared" si="5"/>
        <v/>
      </c>
      <c r="J387" s="201" t="str">
        <f>IFERROR(COUNTIF($C$23:C387,C387)&amp;CHOOSE(MIN(4,COUNTIF($C$23:C387,C387)),"st","nd","rd","th"),"")</f>
        <v/>
      </c>
    </row>
    <row r="388" spans="4:10" x14ac:dyDescent="0.25">
      <c r="D388" s="201" t="str">
        <f t="shared" si="5"/>
        <v/>
      </c>
      <c r="J388" s="201" t="str">
        <f>IFERROR(COUNTIF($C$23:C388,C388)&amp;CHOOSE(MIN(4,COUNTIF($C$23:C388,C388)),"st","nd","rd","th"),"")</f>
        <v/>
      </c>
    </row>
    <row r="389" spans="4:10" x14ac:dyDescent="0.25">
      <c r="D389" s="201" t="str">
        <f t="shared" si="5"/>
        <v/>
      </c>
      <c r="J389" s="201" t="str">
        <f>IFERROR(COUNTIF($C$23:C389,C389)&amp;CHOOSE(MIN(4,COUNTIF($C$23:C389,C389)),"st","nd","rd","th"),"")</f>
        <v/>
      </c>
    </row>
    <row r="390" spans="4:10" x14ac:dyDescent="0.25">
      <c r="D390" s="201" t="str">
        <f t="shared" si="5"/>
        <v/>
      </c>
      <c r="J390" s="201" t="str">
        <f>IFERROR(COUNTIF($C$23:C390,C390)&amp;CHOOSE(MIN(4,COUNTIF($C$23:C390,C390)),"st","nd","rd","th"),"")</f>
        <v/>
      </c>
    </row>
    <row r="391" spans="4:10" x14ac:dyDescent="0.25">
      <c r="D391" s="201" t="str">
        <f t="shared" si="5"/>
        <v/>
      </c>
      <c r="J391" s="201" t="str">
        <f>IFERROR(COUNTIF($C$23:C391,C391)&amp;CHOOSE(MIN(4,COUNTIF($C$23:C391,C391)),"st","nd","rd","th"),"")</f>
        <v/>
      </c>
    </row>
    <row r="392" spans="4:10" x14ac:dyDescent="0.25">
      <c r="D392" s="201" t="str">
        <f t="shared" si="5"/>
        <v/>
      </c>
      <c r="J392" s="201" t="str">
        <f>IFERROR(COUNTIF($C$23:C392,C392)&amp;CHOOSE(MIN(4,COUNTIF($C$23:C392,C392)),"st","nd","rd","th"),"")</f>
        <v/>
      </c>
    </row>
    <row r="393" spans="4:10" x14ac:dyDescent="0.25">
      <c r="D393" s="201" t="str">
        <f t="shared" si="5"/>
        <v/>
      </c>
      <c r="J393" s="201" t="str">
        <f>IFERROR(COUNTIF($C$23:C393,C393)&amp;CHOOSE(MIN(4,COUNTIF($C$23:C393,C393)),"st","nd","rd","th"),"")</f>
        <v/>
      </c>
    </row>
    <row r="394" spans="4:10" x14ac:dyDescent="0.25">
      <c r="D394" s="201" t="str">
        <f t="shared" si="5"/>
        <v/>
      </c>
      <c r="J394" s="201" t="str">
        <f>IFERROR(COUNTIF($C$23:C394,C394)&amp;CHOOSE(MIN(4,COUNTIF($C$23:C394,C394)),"st","nd","rd","th"),"")</f>
        <v/>
      </c>
    </row>
    <row r="395" spans="4:10" x14ac:dyDescent="0.25">
      <c r="D395" s="201" t="str">
        <f t="shared" si="5"/>
        <v/>
      </c>
      <c r="J395" s="201" t="str">
        <f>IFERROR(COUNTIF($C$23:C395,C395)&amp;CHOOSE(MIN(4,COUNTIF($C$23:C395,C395)),"st","nd","rd","th"),"")</f>
        <v/>
      </c>
    </row>
    <row r="396" spans="4:10" x14ac:dyDescent="0.25">
      <c r="D396" s="201" t="str">
        <f t="shared" si="5"/>
        <v/>
      </c>
      <c r="J396" s="201" t="str">
        <f>IFERROR(COUNTIF($C$23:C396,C396)&amp;CHOOSE(MIN(4,COUNTIF($C$23:C396,C396)),"st","nd","rd","th"),"")</f>
        <v/>
      </c>
    </row>
    <row r="397" spans="4:10" x14ac:dyDescent="0.25">
      <c r="D397" s="201" t="str">
        <f t="shared" si="5"/>
        <v/>
      </c>
      <c r="J397" s="201" t="str">
        <f>IFERROR(COUNTIF($C$23:C397,C397)&amp;CHOOSE(MIN(4,COUNTIF($C$23:C397,C397)),"st","nd","rd","th"),"")</f>
        <v/>
      </c>
    </row>
    <row r="398" spans="4:10" x14ac:dyDescent="0.25">
      <c r="D398" s="201" t="str">
        <f t="shared" si="5"/>
        <v/>
      </c>
      <c r="J398" s="201" t="str">
        <f>IFERROR(COUNTIF($C$23:C398,C398)&amp;CHOOSE(MIN(4,COUNTIF($C$23:C398,C398)),"st","nd","rd","th"),"")</f>
        <v/>
      </c>
    </row>
    <row r="399" spans="4:10" x14ac:dyDescent="0.25">
      <c r="D399" s="201" t="str">
        <f t="shared" si="5"/>
        <v/>
      </c>
      <c r="J399" s="201" t="str">
        <f>IFERROR(COUNTIF($C$23:C399,C399)&amp;CHOOSE(MIN(4,COUNTIF($C$23:C399,C399)),"st","nd","rd","th"),"")</f>
        <v/>
      </c>
    </row>
    <row r="400" spans="4:10" x14ac:dyDescent="0.25">
      <c r="D400" s="201" t="str">
        <f t="shared" si="5"/>
        <v/>
      </c>
      <c r="J400" s="201" t="str">
        <f>IFERROR(COUNTIF($C$23:C400,C400)&amp;CHOOSE(MIN(4,COUNTIF($C$23:C400,C400)),"st","nd","rd","th"),"")</f>
        <v/>
      </c>
    </row>
    <row r="401" spans="4:10" x14ac:dyDescent="0.25">
      <c r="D401" s="201" t="str">
        <f t="shared" si="5"/>
        <v/>
      </c>
      <c r="J401" s="201" t="str">
        <f>IFERROR(COUNTIF($C$23:C401,C401)&amp;CHOOSE(MIN(4,COUNTIF($C$23:C401,C401)),"st","nd","rd","th"),"")</f>
        <v/>
      </c>
    </row>
    <row r="402" spans="4:10" x14ac:dyDescent="0.25">
      <c r="D402" s="201" t="str">
        <f t="shared" si="5"/>
        <v/>
      </c>
      <c r="J402" s="201" t="str">
        <f>IFERROR(COUNTIF($C$23:C402,C402)&amp;CHOOSE(MIN(4,COUNTIF($C$23:C402,C402)),"st","nd","rd","th"),"")</f>
        <v/>
      </c>
    </row>
    <row r="403" spans="4:10" x14ac:dyDescent="0.25">
      <c r="D403" s="201" t="str">
        <f t="shared" si="5"/>
        <v/>
      </c>
      <c r="J403" s="201" t="str">
        <f>IFERROR(COUNTIF($C$23:C403,C403)&amp;CHOOSE(MIN(4,COUNTIF($C$23:C403,C403)),"st","nd","rd","th"),"")</f>
        <v/>
      </c>
    </row>
    <row r="404" spans="4:10" x14ac:dyDescent="0.25">
      <c r="D404" s="201" t="str">
        <f t="shared" si="5"/>
        <v/>
      </c>
      <c r="J404" s="201" t="str">
        <f>IFERROR(COUNTIF($C$23:C404,C404)&amp;CHOOSE(MIN(4,COUNTIF($C$23:C404,C404)),"st","nd","rd","th"),"")</f>
        <v/>
      </c>
    </row>
    <row r="405" spans="4:10" x14ac:dyDescent="0.25">
      <c r="D405" s="201" t="str">
        <f t="shared" si="5"/>
        <v/>
      </c>
      <c r="J405" s="201" t="str">
        <f>IFERROR(COUNTIF($C$23:C405,C405)&amp;CHOOSE(MIN(4,COUNTIF($C$23:C405,C405)),"st","nd","rd","th"),"")</f>
        <v/>
      </c>
    </row>
    <row r="406" spans="4:10" x14ac:dyDescent="0.25">
      <c r="D406" s="201" t="str">
        <f t="shared" si="5"/>
        <v/>
      </c>
      <c r="J406" s="201" t="str">
        <f>IFERROR(COUNTIF($C$23:C406,C406)&amp;CHOOSE(MIN(4,COUNTIF($C$23:C406,C406)),"st","nd","rd","th"),"")</f>
        <v/>
      </c>
    </row>
    <row r="407" spans="4:10" x14ac:dyDescent="0.25">
      <c r="D407" s="201" t="str">
        <f t="shared" ref="D407:D470" si="6">IF(B407="","",IF(B407="Province_PLGU","PDPFP","CLUP"))</f>
        <v/>
      </c>
      <c r="J407" s="201" t="str">
        <f>IFERROR(COUNTIF($C$23:C407,C407)&amp;CHOOSE(MIN(4,COUNTIF($C$23:C407,C407)),"st","nd","rd","th"),"")</f>
        <v/>
      </c>
    </row>
    <row r="408" spans="4:10" x14ac:dyDescent="0.25">
      <c r="D408" s="201" t="str">
        <f t="shared" si="6"/>
        <v/>
      </c>
      <c r="J408" s="201" t="str">
        <f>IFERROR(COUNTIF($C$23:C408,C408)&amp;CHOOSE(MIN(4,COUNTIF($C$23:C408,C408)),"st","nd","rd","th"),"")</f>
        <v/>
      </c>
    </row>
    <row r="409" spans="4:10" x14ac:dyDescent="0.25">
      <c r="D409" s="201" t="str">
        <f t="shared" si="6"/>
        <v/>
      </c>
      <c r="J409" s="201" t="str">
        <f>IFERROR(COUNTIF($C$23:C409,C409)&amp;CHOOSE(MIN(4,COUNTIF($C$23:C409,C409)),"st","nd","rd","th"),"")</f>
        <v/>
      </c>
    </row>
    <row r="410" spans="4:10" x14ac:dyDescent="0.25">
      <c r="D410" s="201" t="str">
        <f t="shared" si="6"/>
        <v/>
      </c>
      <c r="J410" s="201" t="str">
        <f>IFERROR(COUNTIF($C$23:C410,C410)&amp;CHOOSE(MIN(4,COUNTIF($C$23:C410,C410)),"st","nd","rd","th"),"")</f>
        <v/>
      </c>
    </row>
    <row r="411" spans="4:10" x14ac:dyDescent="0.25">
      <c r="D411" s="201" t="str">
        <f t="shared" si="6"/>
        <v/>
      </c>
      <c r="J411" s="201" t="str">
        <f>IFERROR(COUNTIF($C$23:C411,C411)&amp;CHOOSE(MIN(4,COUNTIF($C$23:C411,C411)),"st","nd","rd","th"),"")</f>
        <v/>
      </c>
    </row>
    <row r="412" spans="4:10" x14ac:dyDescent="0.25">
      <c r="D412" s="201" t="str">
        <f t="shared" si="6"/>
        <v/>
      </c>
      <c r="J412" s="201" t="str">
        <f>IFERROR(COUNTIF($C$23:C412,C412)&amp;CHOOSE(MIN(4,COUNTIF($C$23:C412,C412)),"st","nd","rd","th"),"")</f>
        <v/>
      </c>
    </row>
    <row r="413" spans="4:10" x14ac:dyDescent="0.25">
      <c r="D413" s="201" t="str">
        <f t="shared" si="6"/>
        <v/>
      </c>
      <c r="J413" s="201" t="str">
        <f>IFERROR(COUNTIF($C$23:C413,C413)&amp;CHOOSE(MIN(4,COUNTIF($C$23:C413,C413)),"st","nd","rd","th"),"")</f>
        <v/>
      </c>
    </row>
    <row r="414" spans="4:10" x14ac:dyDescent="0.25">
      <c r="D414" s="201" t="str">
        <f t="shared" si="6"/>
        <v/>
      </c>
      <c r="J414" s="201" t="str">
        <f>IFERROR(COUNTIF($C$23:C414,C414)&amp;CHOOSE(MIN(4,COUNTIF($C$23:C414,C414)),"st","nd","rd","th"),"")</f>
        <v/>
      </c>
    </row>
    <row r="415" spans="4:10" x14ac:dyDescent="0.25">
      <c r="D415" s="201" t="str">
        <f t="shared" si="6"/>
        <v/>
      </c>
      <c r="J415" s="201" t="str">
        <f>IFERROR(COUNTIF($C$23:C415,C415)&amp;CHOOSE(MIN(4,COUNTIF($C$23:C415,C415)),"st","nd","rd","th"),"")</f>
        <v/>
      </c>
    </row>
    <row r="416" spans="4:10" x14ac:dyDescent="0.25">
      <c r="D416" s="201" t="str">
        <f t="shared" si="6"/>
        <v/>
      </c>
      <c r="J416" s="201" t="str">
        <f>IFERROR(COUNTIF($C$23:C416,C416)&amp;CHOOSE(MIN(4,COUNTIF($C$23:C416,C416)),"st","nd","rd","th"),"")</f>
        <v/>
      </c>
    </row>
    <row r="417" spans="4:10" x14ac:dyDescent="0.25">
      <c r="D417" s="201" t="str">
        <f t="shared" si="6"/>
        <v/>
      </c>
      <c r="J417" s="201" t="str">
        <f>IFERROR(COUNTIF($C$23:C417,C417)&amp;CHOOSE(MIN(4,COUNTIF($C$23:C417,C417)),"st","nd","rd","th"),"")</f>
        <v/>
      </c>
    </row>
    <row r="418" spans="4:10" x14ac:dyDescent="0.25">
      <c r="D418" s="201" t="str">
        <f t="shared" si="6"/>
        <v/>
      </c>
      <c r="J418" s="201" t="str">
        <f>IFERROR(COUNTIF($C$23:C418,C418)&amp;CHOOSE(MIN(4,COUNTIF($C$23:C418,C418)),"st","nd","rd","th"),"")</f>
        <v/>
      </c>
    </row>
    <row r="419" spans="4:10" x14ac:dyDescent="0.25">
      <c r="D419" s="201" t="str">
        <f t="shared" si="6"/>
        <v/>
      </c>
      <c r="J419" s="201" t="str">
        <f>IFERROR(COUNTIF($C$23:C419,C419)&amp;CHOOSE(MIN(4,COUNTIF($C$23:C419,C419)),"st","nd","rd","th"),"")</f>
        <v/>
      </c>
    </row>
    <row r="420" spans="4:10" x14ac:dyDescent="0.25">
      <c r="D420" s="201" t="str">
        <f t="shared" si="6"/>
        <v/>
      </c>
      <c r="J420" s="201" t="str">
        <f>IFERROR(COUNTIF($C$23:C420,C420)&amp;CHOOSE(MIN(4,COUNTIF($C$23:C420,C420)),"st","nd","rd","th"),"")</f>
        <v/>
      </c>
    </row>
    <row r="421" spans="4:10" x14ac:dyDescent="0.25">
      <c r="D421" s="201" t="str">
        <f t="shared" si="6"/>
        <v/>
      </c>
      <c r="J421" s="201" t="str">
        <f>IFERROR(COUNTIF($C$23:C421,C421)&amp;CHOOSE(MIN(4,COUNTIF($C$23:C421,C421)),"st","nd","rd","th"),"")</f>
        <v/>
      </c>
    </row>
    <row r="422" spans="4:10" x14ac:dyDescent="0.25">
      <c r="D422" s="201" t="str">
        <f t="shared" si="6"/>
        <v/>
      </c>
      <c r="J422" s="201" t="str">
        <f>IFERROR(COUNTIF($C$23:C422,C422)&amp;CHOOSE(MIN(4,COUNTIF($C$23:C422,C422)),"st","nd","rd","th"),"")</f>
        <v/>
      </c>
    </row>
    <row r="423" spans="4:10" x14ac:dyDescent="0.25">
      <c r="D423" s="201" t="str">
        <f t="shared" si="6"/>
        <v/>
      </c>
      <c r="J423" s="201" t="str">
        <f>IFERROR(COUNTIF($C$23:C423,C423)&amp;CHOOSE(MIN(4,COUNTIF($C$23:C423,C423)),"st","nd","rd","th"),"")</f>
        <v/>
      </c>
    </row>
    <row r="424" spans="4:10" x14ac:dyDescent="0.25">
      <c r="D424" s="201" t="str">
        <f t="shared" si="6"/>
        <v/>
      </c>
      <c r="J424" s="201" t="str">
        <f>IFERROR(COUNTIF($C$23:C424,C424)&amp;CHOOSE(MIN(4,COUNTIF($C$23:C424,C424)),"st","nd","rd","th"),"")</f>
        <v/>
      </c>
    </row>
    <row r="425" spans="4:10" x14ac:dyDescent="0.25">
      <c r="D425" s="201" t="str">
        <f t="shared" si="6"/>
        <v/>
      </c>
      <c r="J425" s="201" t="str">
        <f>IFERROR(COUNTIF($C$23:C425,C425)&amp;CHOOSE(MIN(4,COUNTIF($C$23:C425,C425)),"st","nd","rd","th"),"")</f>
        <v/>
      </c>
    </row>
    <row r="426" spans="4:10" x14ac:dyDescent="0.25">
      <c r="D426" s="201" t="str">
        <f t="shared" si="6"/>
        <v/>
      </c>
      <c r="J426" s="201" t="str">
        <f>IFERROR(COUNTIF($C$23:C426,C426)&amp;CHOOSE(MIN(4,COUNTIF($C$23:C426,C426)),"st","nd","rd","th"),"")</f>
        <v/>
      </c>
    </row>
    <row r="427" spans="4:10" x14ac:dyDescent="0.25">
      <c r="D427" s="201" t="str">
        <f t="shared" si="6"/>
        <v/>
      </c>
      <c r="J427" s="201" t="str">
        <f>IFERROR(COUNTIF($C$23:C427,C427)&amp;CHOOSE(MIN(4,COUNTIF($C$23:C427,C427)),"st","nd","rd","th"),"")</f>
        <v/>
      </c>
    </row>
    <row r="428" spans="4:10" x14ac:dyDescent="0.25">
      <c r="D428" s="201" t="str">
        <f t="shared" si="6"/>
        <v/>
      </c>
      <c r="J428" s="201" t="str">
        <f>IFERROR(COUNTIF($C$23:C428,C428)&amp;CHOOSE(MIN(4,COUNTIF($C$23:C428,C428)),"st","nd","rd","th"),"")</f>
        <v/>
      </c>
    </row>
    <row r="429" spans="4:10" x14ac:dyDescent="0.25">
      <c r="D429" s="201" t="str">
        <f t="shared" si="6"/>
        <v/>
      </c>
      <c r="J429" s="201" t="str">
        <f>IFERROR(COUNTIF($C$23:C429,C429)&amp;CHOOSE(MIN(4,COUNTIF($C$23:C429,C429)),"st","nd","rd","th"),"")</f>
        <v/>
      </c>
    </row>
    <row r="430" spans="4:10" x14ac:dyDescent="0.25">
      <c r="D430" s="201" t="str">
        <f t="shared" si="6"/>
        <v/>
      </c>
      <c r="J430" s="201" t="str">
        <f>IFERROR(COUNTIF($C$23:C430,C430)&amp;CHOOSE(MIN(4,COUNTIF($C$23:C430,C430)),"st","nd","rd","th"),"")</f>
        <v/>
      </c>
    </row>
    <row r="431" spans="4:10" x14ac:dyDescent="0.25">
      <c r="D431" s="201" t="str">
        <f t="shared" si="6"/>
        <v/>
      </c>
      <c r="J431" s="201" t="str">
        <f>IFERROR(COUNTIF($C$23:C431,C431)&amp;CHOOSE(MIN(4,COUNTIF($C$23:C431,C431)),"st","nd","rd","th"),"")</f>
        <v/>
      </c>
    </row>
    <row r="432" spans="4:10" x14ac:dyDescent="0.25">
      <c r="D432" s="201" t="str">
        <f t="shared" si="6"/>
        <v/>
      </c>
      <c r="J432" s="201" t="str">
        <f>IFERROR(COUNTIF($C$23:C432,C432)&amp;CHOOSE(MIN(4,COUNTIF($C$23:C432,C432)),"st","nd","rd","th"),"")</f>
        <v/>
      </c>
    </row>
    <row r="433" spans="4:10" x14ac:dyDescent="0.25">
      <c r="D433" s="201" t="str">
        <f t="shared" si="6"/>
        <v/>
      </c>
      <c r="J433" s="201" t="str">
        <f>IFERROR(COUNTIF($C$23:C433,C433)&amp;CHOOSE(MIN(4,COUNTIF($C$23:C433,C433)),"st","nd","rd","th"),"")</f>
        <v/>
      </c>
    </row>
    <row r="434" spans="4:10" x14ac:dyDescent="0.25">
      <c r="D434" s="201" t="str">
        <f t="shared" si="6"/>
        <v/>
      </c>
      <c r="J434" s="201" t="str">
        <f>IFERROR(COUNTIF($C$23:C434,C434)&amp;CHOOSE(MIN(4,COUNTIF($C$23:C434,C434)),"st","nd","rd","th"),"")</f>
        <v/>
      </c>
    </row>
    <row r="435" spans="4:10" x14ac:dyDescent="0.25">
      <c r="D435" s="201" t="str">
        <f t="shared" si="6"/>
        <v/>
      </c>
      <c r="J435" s="201" t="str">
        <f>IFERROR(COUNTIF($C$23:C435,C435)&amp;CHOOSE(MIN(4,COUNTIF($C$23:C435,C435)),"st","nd","rd","th"),"")</f>
        <v/>
      </c>
    </row>
    <row r="436" spans="4:10" x14ac:dyDescent="0.25">
      <c r="D436" s="201" t="str">
        <f t="shared" si="6"/>
        <v/>
      </c>
      <c r="J436" s="201" t="str">
        <f>IFERROR(COUNTIF($C$23:C436,C436)&amp;CHOOSE(MIN(4,COUNTIF($C$23:C436,C436)),"st","nd","rd","th"),"")</f>
        <v/>
      </c>
    </row>
    <row r="437" spans="4:10" x14ac:dyDescent="0.25">
      <c r="D437" s="201" t="str">
        <f t="shared" si="6"/>
        <v/>
      </c>
      <c r="J437" s="201" t="str">
        <f>IFERROR(COUNTIF($C$23:C437,C437)&amp;CHOOSE(MIN(4,COUNTIF($C$23:C437,C437)),"st","nd","rd","th"),"")</f>
        <v/>
      </c>
    </row>
    <row r="438" spans="4:10" x14ac:dyDescent="0.25">
      <c r="D438" s="201" t="str">
        <f t="shared" si="6"/>
        <v/>
      </c>
      <c r="J438" s="201" t="str">
        <f>IFERROR(COUNTIF($C$23:C438,C438)&amp;CHOOSE(MIN(4,COUNTIF($C$23:C438,C438)),"st","nd","rd","th"),"")</f>
        <v/>
      </c>
    </row>
    <row r="439" spans="4:10" x14ac:dyDescent="0.25">
      <c r="D439" s="201" t="str">
        <f t="shared" si="6"/>
        <v/>
      </c>
      <c r="J439" s="201" t="str">
        <f>IFERROR(COUNTIF($C$23:C439,C439)&amp;CHOOSE(MIN(4,COUNTIF($C$23:C439,C439)),"st","nd","rd","th"),"")</f>
        <v/>
      </c>
    </row>
    <row r="440" spans="4:10" x14ac:dyDescent="0.25">
      <c r="D440" s="201" t="str">
        <f t="shared" si="6"/>
        <v/>
      </c>
      <c r="J440" s="201" t="str">
        <f>IFERROR(COUNTIF($C$23:C440,C440)&amp;CHOOSE(MIN(4,COUNTIF($C$23:C440,C440)),"st","nd","rd","th"),"")</f>
        <v/>
      </c>
    </row>
    <row r="441" spans="4:10" x14ac:dyDescent="0.25">
      <c r="D441" s="201" t="str">
        <f t="shared" si="6"/>
        <v/>
      </c>
      <c r="J441" s="201" t="str">
        <f>IFERROR(COUNTIF($C$23:C441,C441)&amp;CHOOSE(MIN(4,COUNTIF($C$23:C441,C441)),"st","nd","rd","th"),"")</f>
        <v/>
      </c>
    </row>
    <row r="442" spans="4:10" x14ac:dyDescent="0.25">
      <c r="D442" s="201" t="str">
        <f t="shared" si="6"/>
        <v/>
      </c>
      <c r="J442" s="201" t="str">
        <f>IFERROR(COUNTIF($C$23:C442,C442)&amp;CHOOSE(MIN(4,COUNTIF($C$23:C442,C442)),"st","nd","rd","th"),"")</f>
        <v/>
      </c>
    </row>
    <row r="443" spans="4:10" x14ac:dyDescent="0.25">
      <c r="D443" s="201" t="str">
        <f t="shared" si="6"/>
        <v/>
      </c>
      <c r="J443" s="201" t="str">
        <f>IFERROR(COUNTIF($C$23:C443,C443)&amp;CHOOSE(MIN(4,COUNTIF($C$23:C443,C443)),"st","nd","rd","th"),"")</f>
        <v/>
      </c>
    </row>
    <row r="444" spans="4:10" x14ac:dyDescent="0.25">
      <c r="D444" s="201" t="str">
        <f t="shared" si="6"/>
        <v/>
      </c>
      <c r="J444" s="201" t="str">
        <f>IFERROR(COUNTIF($C$23:C444,C444)&amp;CHOOSE(MIN(4,COUNTIF($C$23:C444,C444)),"st","nd","rd","th"),"")</f>
        <v/>
      </c>
    </row>
    <row r="445" spans="4:10" x14ac:dyDescent="0.25">
      <c r="D445" s="201" t="str">
        <f t="shared" si="6"/>
        <v/>
      </c>
      <c r="J445" s="201" t="str">
        <f>IFERROR(COUNTIF($C$23:C445,C445)&amp;CHOOSE(MIN(4,COUNTIF($C$23:C445,C445)),"st","nd","rd","th"),"")</f>
        <v/>
      </c>
    </row>
    <row r="446" spans="4:10" x14ac:dyDescent="0.25">
      <c r="D446" s="201" t="str">
        <f t="shared" si="6"/>
        <v/>
      </c>
      <c r="J446" s="201" t="str">
        <f>IFERROR(COUNTIF($C$23:C446,C446)&amp;CHOOSE(MIN(4,COUNTIF($C$23:C446,C446)),"st","nd","rd","th"),"")</f>
        <v/>
      </c>
    </row>
    <row r="447" spans="4:10" x14ac:dyDescent="0.25">
      <c r="D447" s="201" t="str">
        <f t="shared" si="6"/>
        <v/>
      </c>
      <c r="J447" s="201" t="str">
        <f>IFERROR(COUNTIF($C$23:C447,C447)&amp;CHOOSE(MIN(4,COUNTIF($C$23:C447,C447)),"st","nd","rd","th"),"")</f>
        <v/>
      </c>
    </row>
    <row r="448" spans="4:10" x14ac:dyDescent="0.25">
      <c r="D448" s="201" t="str">
        <f t="shared" si="6"/>
        <v/>
      </c>
      <c r="J448" s="201" t="str">
        <f>IFERROR(COUNTIF($C$23:C448,C448)&amp;CHOOSE(MIN(4,COUNTIF($C$23:C448,C448)),"st","nd","rd","th"),"")</f>
        <v/>
      </c>
    </row>
    <row r="449" spans="4:10" x14ac:dyDescent="0.25">
      <c r="D449" s="201" t="str">
        <f t="shared" si="6"/>
        <v/>
      </c>
      <c r="J449" s="201" t="str">
        <f>IFERROR(COUNTIF($C$23:C449,C449)&amp;CHOOSE(MIN(4,COUNTIF($C$23:C449,C449)),"st","nd","rd","th"),"")</f>
        <v/>
      </c>
    </row>
    <row r="450" spans="4:10" x14ac:dyDescent="0.25">
      <c r="D450" s="201" t="str">
        <f t="shared" si="6"/>
        <v/>
      </c>
      <c r="J450" s="201" t="str">
        <f>IFERROR(COUNTIF($C$23:C450,C450)&amp;CHOOSE(MIN(4,COUNTIF($C$23:C450,C450)),"st","nd","rd","th"),"")</f>
        <v/>
      </c>
    </row>
    <row r="451" spans="4:10" x14ac:dyDescent="0.25">
      <c r="D451" s="201" t="str">
        <f t="shared" si="6"/>
        <v/>
      </c>
      <c r="J451" s="201" t="str">
        <f>IFERROR(COUNTIF($C$23:C451,C451)&amp;CHOOSE(MIN(4,COUNTIF($C$23:C451,C451)),"st","nd","rd","th"),"")</f>
        <v/>
      </c>
    </row>
    <row r="452" spans="4:10" x14ac:dyDescent="0.25">
      <c r="D452" s="201" t="str">
        <f t="shared" si="6"/>
        <v/>
      </c>
      <c r="J452" s="201" t="str">
        <f>IFERROR(COUNTIF($C$23:C452,C452)&amp;CHOOSE(MIN(4,COUNTIF($C$23:C452,C452)),"st","nd","rd","th"),"")</f>
        <v/>
      </c>
    </row>
    <row r="453" spans="4:10" x14ac:dyDescent="0.25">
      <c r="D453" s="201" t="str">
        <f t="shared" si="6"/>
        <v/>
      </c>
      <c r="J453" s="201" t="str">
        <f>IFERROR(COUNTIF($C$23:C453,C453)&amp;CHOOSE(MIN(4,COUNTIF($C$23:C453,C453)),"st","nd","rd","th"),"")</f>
        <v/>
      </c>
    </row>
    <row r="454" spans="4:10" x14ac:dyDescent="0.25">
      <c r="D454" s="201" t="str">
        <f t="shared" si="6"/>
        <v/>
      </c>
      <c r="J454" s="201" t="str">
        <f>IFERROR(COUNTIF($C$23:C454,C454)&amp;CHOOSE(MIN(4,COUNTIF($C$23:C454,C454)),"st","nd","rd","th"),"")</f>
        <v/>
      </c>
    </row>
    <row r="455" spans="4:10" x14ac:dyDescent="0.25">
      <c r="D455" s="201" t="str">
        <f t="shared" si="6"/>
        <v/>
      </c>
      <c r="J455" s="201" t="str">
        <f>IFERROR(COUNTIF($C$23:C455,C455)&amp;CHOOSE(MIN(4,COUNTIF($C$23:C455,C455)),"st","nd","rd","th"),"")</f>
        <v/>
      </c>
    </row>
    <row r="456" spans="4:10" x14ac:dyDescent="0.25">
      <c r="D456" s="201" t="str">
        <f t="shared" si="6"/>
        <v/>
      </c>
      <c r="J456" s="201" t="str">
        <f>IFERROR(COUNTIF($C$23:C456,C456)&amp;CHOOSE(MIN(4,COUNTIF($C$23:C456,C456)),"st","nd","rd","th"),"")</f>
        <v/>
      </c>
    </row>
    <row r="457" spans="4:10" x14ac:dyDescent="0.25">
      <c r="D457" s="201" t="str">
        <f t="shared" si="6"/>
        <v/>
      </c>
      <c r="J457" s="201" t="str">
        <f>IFERROR(COUNTIF($C$23:C457,C457)&amp;CHOOSE(MIN(4,COUNTIF($C$23:C457,C457)),"st","nd","rd","th"),"")</f>
        <v/>
      </c>
    </row>
    <row r="458" spans="4:10" x14ac:dyDescent="0.25">
      <c r="D458" s="201" t="str">
        <f t="shared" si="6"/>
        <v/>
      </c>
      <c r="J458" s="201" t="str">
        <f>IFERROR(COUNTIF($C$23:C458,C458)&amp;CHOOSE(MIN(4,COUNTIF($C$23:C458,C458)),"st","nd","rd","th"),"")</f>
        <v/>
      </c>
    </row>
    <row r="459" spans="4:10" x14ac:dyDescent="0.25">
      <c r="D459" s="201" t="str">
        <f t="shared" si="6"/>
        <v/>
      </c>
      <c r="J459" s="201" t="str">
        <f>IFERROR(COUNTIF($C$23:C459,C459)&amp;CHOOSE(MIN(4,COUNTIF($C$23:C459,C459)),"st","nd","rd","th"),"")</f>
        <v/>
      </c>
    </row>
    <row r="460" spans="4:10" x14ac:dyDescent="0.25">
      <c r="D460" s="201" t="str">
        <f t="shared" si="6"/>
        <v/>
      </c>
      <c r="J460" s="201" t="str">
        <f>IFERROR(COUNTIF($C$23:C460,C460)&amp;CHOOSE(MIN(4,COUNTIF($C$23:C460,C460)),"st","nd","rd","th"),"")</f>
        <v/>
      </c>
    </row>
    <row r="461" spans="4:10" x14ac:dyDescent="0.25">
      <c r="D461" s="201" t="str">
        <f t="shared" si="6"/>
        <v/>
      </c>
      <c r="J461" s="201" t="str">
        <f>IFERROR(COUNTIF($C$23:C461,C461)&amp;CHOOSE(MIN(4,COUNTIF($C$23:C461,C461)),"st","nd","rd","th"),"")</f>
        <v/>
      </c>
    </row>
    <row r="462" spans="4:10" x14ac:dyDescent="0.25">
      <c r="D462" s="201" t="str">
        <f t="shared" si="6"/>
        <v/>
      </c>
      <c r="J462" s="201" t="str">
        <f>IFERROR(COUNTIF($C$23:C462,C462)&amp;CHOOSE(MIN(4,COUNTIF($C$23:C462,C462)),"st","nd","rd","th"),"")</f>
        <v/>
      </c>
    </row>
    <row r="463" spans="4:10" x14ac:dyDescent="0.25">
      <c r="D463" s="201" t="str">
        <f t="shared" si="6"/>
        <v/>
      </c>
      <c r="J463" s="201" t="str">
        <f>IFERROR(COUNTIF($C$23:C463,C463)&amp;CHOOSE(MIN(4,COUNTIF($C$23:C463,C463)),"st","nd","rd","th"),"")</f>
        <v/>
      </c>
    </row>
    <row r="464" spans="4:10" x14ac:dyDescent="0.25">
      <c r="D464" s="201" t="str">
        <f t="shared" si="6"/>
        <v/>
      </c>
      <c r="J464" s="201" t="str">
        <f>IFERROR(COUNTIF($C$23:C464,C464)&amp;CHOOSE(MIN(4,COUNTIF($C$23:C464,C464)),"st","nd","rd","th"),"")</f>
        <v/>
      </c>
    </row>
    <row r="465" spans="4:10" x14ac:dyDescent="0.25">
      <c r="D465" s="201" t="str">
        <f t="shared" si="6"/>
        <v/>
      </c>
      <c r="J465" s="201" t="str">
        <f>IFERROR(COUNTIF($C$23:C465,C465)&amp;CHOOSE(MIN(4,COUNTIF($C$23:C465,C465)),"st","nd","rd","th"),"")</f>
        <v/>
      </c>
    </row>
    <row r="466" spans="4:10" x14ac:dyDescent="0.25">
      <c r="D466" s="201" t="str">
        <f t="shared" si="6"/>
        <v/>
      </c>
      <c r="J466" s="201" t="str">
        <f>IFERROR(COUNTIF($C$23:C466,C466)&amp;CHOOSE(MIN(4,COUNTIF($C$23:C466,C466)),"st","nd","rd","th"),"")</f>
        <v/>
      </c>
    </row>
    <row r="467" spans="4:10" x14ac:dyDescent="0.25">
      <c r="D467" s="201" t="str">
        <f t="shared" si="6"/>
        <v/>
      </c>
      <c r="J467" s="201" t="str">
        <f>IFERROR(COUNTIF($C$23:C467,C467)&amp;CHOOSE(MIN(4,COUNTIF($C$23:C467,C467)),"st","nd","rd","th"),"")</f>
        <v/>
      </c>
    </row>
    <row r="468" spans="4:10" x14ac:dyDescent="0.25">
      <c r="D468" s="201" t="str">
        <f t="shared" si="6"/>
        <v/>
      </c>
      <c r="J468" s="201" t="str">
        <f>IFERROR(COUNTIF($C$23:C468,C468)&amp;CHOOSE(MIN(4,COUNTIF($C$23:C468,C468)),"st","nd","rd","th"),"")</f>
        <v/>
      </c>
    </row>
    <row r="469" spans="4:10" x14ac:dyDescent="0.25">
      <c r="D469" s="201" t="str">
        <f t="shared" si="6"/>
        <v/>
      </c>
      <c r="J469" s="201" t="str">
        <f>IFERROR(COUNTIF($C$23:C469,C469)&amp;CHOOSE(MIN(4,COUNTIF($C$23:C469,C469)),"st","nd","rd","th"),"")</f>
        <v/>
      </c>
    </row>
    <row r="470" spans="4:10" x14ac:dyDescent="0.25">
      <c r="D470" s="201" t="str">
        <f t="shared" si="6"/>
        <v/>
      </c>
      <c r="J470" s="201" t="str">
        <f>IFERROR(COUNTIF($C$23:C470,C470)&amp;CHOOSE(MIN(4,COUNTIF($C$23:C470,C470)),"st","nd","rd","th"),"")</f>
        <v/>
      </c>
    </row>
    <row r="471" spans="4:10" x14ac:dyDescent="0.25">
      <c r="D471" s="201" t="str">
        <f t="shared" ref="D471:D534" si="7">IF(B471="","",IF(B471="Province_PLGU","PDPFP","CLUP"))</f>
        <v/>
      </c>
      <c r="J471" s="201" t="str">
        <f>IFERROR(COUNTIF($C$23:C471,C471)&amp;CHOOSE(MIN(4,COUNTIF($C$23:C471,C471)),"st","nd","rd","th"),"")</f>
        <v/>
      </c>
    </row>
    <row r="472" spans="4:10" x14ac:dyDescent="0.25">
      <c r="D472" s="201" t="str">
        <f t="shared" si="7"/>
        <v/>
      </c>
      <c r="J472" s="201" t="str">
        <f>IFERROR(COUNTIF($C$23:C472,C472)&amp;CHOOSE(MIN(4,COUNTIF($C$23:C472,C472)),"st","nd","rd","th"),"")</f>
        <v/>
      </c>
    </row>
    <row r="473" spans="4:10" x14ac:dyDescent="0.25">
      <c r="D473" s="201" t="str">
        <f t="shared" si="7"/>
        <v/>
      </c>
      <c r="J473" s="201" t="str">
        <f>IFERROR(COUNTIF($C$23:C473,C473)&amp;CHOOSE(MIN(4,COUNTIF($C$23:C473,C473)),"st","nd","rd","th"),"")</f>
        <v/>
      </c>
    </row>
    <row r="474" spans="4:10" x14ac:dyDescent="0.25">
      <c r="D474" s="201" t="str">
        <f t="shared" si="7"/>
        <v/>
      </c>
      <c r="J474" s="201" t="str">
        <f>IFERROR(COUNTIF($C$23:C474,C474)&amp;CHOOSE(MIN(4,COUNTIF($C$23:C474,C474)),"st","nd","rd","th"),"")</f>
        <v/>
      </c>
    </row>
    <row r="475" spans="4:10" x14ac:dyDescent="0.25">
      <c r="D475" s="201" t="str">
        <f t="shared" si="7"/>
        <v/>
      </c>
      <c r="J475" s="201" t="str">
        <f>IFERROR(COUNTIF($C$23:C475,C475)&amp;CHOOSE(MIN(4,COUNTIF($C$23:C475,C475)),"st","nd","rd","th"),"")</f>
        <v/>
      </c>
    </row>
    <row r="476" spans="4:10" x14ac:dyDescent="0.25">
      <c r="D476" s="201" t="str">
        <f t="shared" si="7"/>
        <v/>
      </c>
      <c r="J476" s="201" t="str">
        <f>IFERROR(COUNTIF($C$23:C476,C476)&amp;CHOOSE(MIN(4,COUNTIF($C$23:C476,C476)),"st","nd","rd","th"),"")</f>
        <v/>
      </c>
    </row>
    <row r="477" spans="4:10" x14ac:dyDescent="0.25">
      <c r="D477" s="201" t="str">
        <f t="shared" si="7"/>
        <v/>
      </c>
      <c r="J477" s="201" t="str">
        <f>IFERROR(COUNTIF($C$23:C477,C477)&amp;CHOOSE(MIN(4,COUNTIF($C$23:C477,C477)),"st","nd","rd","th"),"")</f>
        <v/>
      </c>
    </row>
    <row r="478" spans="4:10" x14ac:dyDescent="0.25">
      <c r="D478" s="201" t="str">
        <f t="shared" si="7"/>
        <v/>
      </c>
      <c r="J478" s="201" t="str">
        <f>IFERROR(COUNTIF($C$23:C478,C478)&amp;CHOOSE(MIN(4,COUNTIF($C$23:C478,C478)),"st","nd","rd","th"),"")</f>
        <v/>
      </c>
    </row>
    <row r="479" spans="4:10" x14ac:dyDescent="0.25">
      <c r="D479" s="201" t="str">
        <f t="shared" si="7"/>
        <v/>
      </c>
      <c r="J479" s="201" t="str">
        <f>IFERROR(COUNTIF($C$23:C479,C479)&amp;CHOOSE(MIN(4,COUNTIF($C$23:C479,C479)),"st","nd","rd","th"),"")</f>
        <v/>
      </c>
    </row>
    <row r="480" spans="4:10" x14ac:dyDescent="0.25">
      <c r="D480" s="201" t="str">
        <f t="shared" si="7"/>
        <v/>
      </c>
      <c r="J480" s="201" t="str">
        <f>IFERROR(COUNTIF($C$23:C480,C480)&amp;CHOOSE(MIN(4,COUNTIF($C$23:C480,C480)),"st","nd","rd","th"),"")</f>
        <v/>
      </c>
    </row>
    <row r="481" spans="4:10" x14ac:dyDescent="0.25">
      <c r="D481" s="201" t="str">
        <f t="shared" si="7"/>
        <v/>
      </c>
      <c r="J481" s="201" t="str">
        <f>IFERROR(COUNTIF($C$23:C481,C481)&amp;CHOOSE(MIN(4,COUNTIF($C$23:C481,C481)),"st","nd","rd","th"),"")</f>
        <v/>
      </c>
    </row>
    <row r="482" spans="4:10" x14ac:dyDescent="0.25">
      <c r="D482" s="201" t="str">
        <f t="shared" si="7"/>
        <v/>
      </c>
      <c r="J482" s="201" t="str">
        <f>IFERROR(COUNTIF($C$23:C482,C482)&amp;CHOOSE(MIN(4,COUNTIF($C$23:C482,C482)),"st","nd","rd","th"),"")</f>
        <v/>
      </c>
    </row>
    <row r="483" spans="4:10" x14ac:dyDescent="0.25">
      <c r="D483" s="201" t="str">
        <f t="shared" si="7"/>
        <v/>
      </c>
      <c r="J483" s="201" t="str">
        <f>IFERROR(COUNTIF($C$23:C483,C483)&amp;CHOOSE(MIN(4,COUNTIF($C$23:C483,C483)),"st","nd","rd","th"),"")</f>
        <v/>
      </c>
    </row>
    <row r="484" spans="4:10" x14ac:dyDescent="0.25">
      <c r="D484" s="201" t="str">
        <f t="shared" si="7"/>
        <v/>
      </c>
      <c r="J484" s="201" t="str">
        <f>IFERROR(COUNTIF($C$23:C484,C484)&amp;CHOOSE(MIN(4,COUNTIF($C$23:C484,C484)),"st","nd","rd","th"),"")</f>
        <v/>
      </c>
    </row>
    <row r="485" spans="4:10" x14ac:dyDescent="0.25">
      <c r="D485" s="201" t="str">
        <f t="shared" si="7"/>
        <v/>
      </c>
      <c r="J485" s="201" t="str">
        <f>IFERROR(COUNTIF($C$23:C485,C485)&amp;CHOOSE(MIN(4,COUNTIF($C$23:C485,C485)),"st","nd","rd","th"),"")</f>
        <v/>
      </c>
    </row>
    <row r="486" spans="4:10" x14ac:dyDescent="0.25">
      <c r="D486" s="201" t="str">
        <f t="shared" si="7"/>
        <v/>
      </c>
      <c r="J486" s="201" t="str">
        <f>IFERROR(COUNTIF($C$23:C486,C486)&amp;CHOOSE(MIN(4,COUNTIF($C$23:C486,C486)),"st","nd","rd","th"),"")</f>
        <v/>
      </c>
    </row>
    <row r="487" spans="4:10" x14ac:dyDescent="0.25">
      <c r="D487" s="201" t="str">
        <f t="shared" si="7"/>
        <v/>
      </c>
      <c r="J487" s="201" t="str">
        <f>IFERROR(COUNTIF($C$23:C487,C487)&amp;CHOOSE(MIN(4,COUNTIF($C$23:C487,C487)),"st","nd","rd","th"),"")</f>
        <v/>
      </c>
    </row>
    <row r="488" spans="4:10" x14ac:dyDescent="0.25">
      <c r="D488" s="201" t="str">
        <f t="shared" si="7"/>
        <v/>
      </c>
      <c r="J488" s="201" t="str">
        <f>IFERROR(COUNTIF($C$23:C488,C488)&amp;CHOOSE(MIN(4,COUNTIF($C$23:C488,C488)),"st","nd","rd","th"),"")</f>
        <v/>
      </c>
    </row>
    <row r="489" spans="4:10" x14ac:dyDescent="0.25">
      <c r="D489" s="201" t="str">
        <f t="shared" si="7"/>
        <v/>
      </c>
      <c r="J489" s="201" t="str">
        <f>IFERROR(COUNTIF($C$23:C489,C489)&amp;CHOOSE(MIN(4,COUNTIF($C$23:C489,C489)),"st","nd","rd","th"),"")</f>
        <v/>
      </c>
    </row>
    <row r="490" spans="4:10" x14ac:dyDescent="0.25">
      <c r="D490" s="201" t="str">
        <f t="shared" si="7"/>
        <v/>
      </c>
      <c r="J490" s="201" t="str">
        <f>IFERROR(COUNTIF($C$23:C490,C490)&amp;CHOOSE(MIN(4,COUNTIF($C$23:C490,C490)),"st","nd","rd","th"),"")</f>
        <v/>
      </c>
    </row>
    <row r="491" spans="4:10" x14ac:dyDescent="0.25">
      <c r="D491" s="201" t="str">
        <f t="shared" si="7"/>
        <v/>
      </c>
      <c r="J491" s="201" t="str">
        <f>IFERROR(COUNTIF($C$23:C491,C491)&amp;CHOOSE(MIN(4,COUNTIF($C$23:C491,C491)),"st","nd","rd","th"),"")</f>
        <v/>
      </c>
    </row>
    <row r="492" spans="4:10" x14ac:dyDescent="0.25">
      <c r="D492" s="201" t="str">
        <f t="shared" si="7"/>
        <v/>
      </c>
      <c r="J492" s="201" t="str">
        <f>IFERROR(COUNTIF($C$23:C492,C492)&amp;CHOOSE(MIN(4,COUNTIF($C$23:C492,C492)),"st","nd","rd","th"),"")</f>
        <v/>
      </c>
    </row>
    <row r="493" spans="4:10" x14ac:dyDescent="0.25">
      <c r="D493" s="201" t="str">
        <f t="shared" si="7"/>
        <v/>
      </c>
      <c r="J493" s="201" t="str">
        <f>IFERROR(COUNTIF($C$23:C493,C493)&amp;CHOOSE(MIN(4,COUNTIF($C$23:C493,C493)),"st","nd","rd","th"),"")</f>
        <v/>
      </c>
    </row>
    <row r="494" spans="4:10" x14ac:dyDescent="0.25">
      <c r="D494" s="201" t="str">
        <f t="shared" si="7"/>
        <v/>
      </c>
      <c r="J494" s="201" t="str">
        <f>IFERROR(COUNTIF($C$23:C494,C494)&amp;CHOOSE(MIN(4,COUNTIF($C$23:C494,C494)),"st","nd","rd","th"),"")</f>
        <v/>
      </c>
    </row>
    <row r="495" spans="4:10" x14ac:dyDescent="0.25">
      <c r="D495" s="201" t="str">
        <f t="shared" si="7"/>
        <v/>
      </c>
      <c r="J495" s="201" t="str">
        <f>IFERROR(COUNTIF($C$23:C495,C495)&amp;CHOOSE(MIN(4,COUNTIF($C$23:C495,C495)),"st","nd","rd","th"),"")</f>
        <v/>
      </c>
    </row>
    <row r="496" spans="4:10" x14ac:dyDescent="0.25">
      <c r="D496" s="201" t="str">
        <f t="shared" si="7"/>
        <v/>
      </c>
      <c r="J496" s="201" t="str">
        <f>IFERROR(COUNTIF($C$23:C496,C496)&amp;CHOOSE(MIN(4,COUNTIF($C$23:C496,C496)),"st","nd","rd","th"),"")</f>
        <v/>
      </c>
    </row>
    <row r="497" spans="4:10" x14ac:dyDescent="0.25">
      <c r="D497" s="201" t="str">
        <f t="shared" si="7"/>
        <v/>
      </c>
      <c r="J497" s="201" t="str">
        <f>IFERROR(COUNTIF($C$23:C497,C497)&amp;CHOOSE(MIN(4,COUNTIF($C$23:C497,C497)),"st","nd","rd","th"),"")</f>
        <v/>
      </c>
    </row>
    <row r="498" spans="4:10" x14ac:dyDescent="0.25">
      <c r="D498" s="201" t="str">
        <f t="shared" si="7"/>
        <v/>
      </c>
      <c r="J498" s="201" t="str">
        <f>IFERROR(COUNTIF($C$23:C498,C498)&amp;CHOOSE(MIN(4,COUNTIF($C$23:C498,C498)),"st","nd","rd","th"),"")</f>
        <v/>
      </c>
    </row>
    <row r="499" spans="4:10" x14ac:dyDescent="0.25">
      <c r="D499" s="201" t="str">
        <f t="shared" si="7"/>
        <v/>
      </c>
      <c r="J499" s="201" t="str">
        <f>IFERROR(COUNTIF($C$23:C499,C499)&amp;CHOOSE(MIN(4,COUNTIF($C$23:C499,C499)),"st","nd","rd","th"),"")</f>
        <v/>
      </c>
    </row>
    <row r="500" spans="4:10" x14ac:dyDescent="0.25">
      <c r="D500" s="201" t="str">
        <f t="shared" si="7"/>
        <v/>
      </c>
      <c r="J500" s="201" t="str">
        <f>IFERROR(COUNTIF($C$23:C500,C500)&amp;CHOOSE(MIN(4,COUNTIF($C$23:C500,C500)),"st","nd","rd","th"),"")</f>
        <v/>
      </c>
    </row>
    <row r="501" spans="4:10" x14ac:dyDescent="0.25">
      <c r="D501" s="201" t="str">
        <f t="shared" si="7"/>
        <v/>
      </c>
      <c r="J501" s="201" t="str">
        <f>IFERROR(COUNTIF($C$23:C501,C501)&amp;CHOOSE(MIN(4,COUNTIF($C$23:C501,C501)),"st","nd","rd","th"),"")</f>
        <v/>
      </c>
    </row>
    <row r="502" spans="4:10" x14ac:dyDescent="0.25">
      <c r="D502" s="201" t="str">
        <f t="shared" si="7"/>
        <v/>
      </c>
      <c r="J502" s="201" t="str">
        <f>IFERROR(COUNTIF($C$23:C502,C502)&amp;CHOOSE(MIN(4,COUNTIF($C$23:C502,C502)),"st","nd","rd","th"),"")</f>
        <v/>
      </c>
    </row>
    <row r="503" spans="4:10" x14ac:dyDescent="0.25">
      <c r="D503" s="201" t="str">
        <f t="shared" si="7"/>
        <v/>
      </c>
      <c r="J503" s="201" t="str">
        <f>IFERROR(COUNTIF($C$23:C503,C503)&amp;CHOOSE(MIN(4,COUNTIF($C$23:C503,C503)),"st","nd","rd","th"),"")</f>
        <v/>
      </c>
    </row>
    <row r="504" spans="4:10" x14ac:dyDescent="0.25">
      <c r="D504" s="201" t="str">
        <f t="shared" si="7"/>
        <v/>
      </c>
      <c r="J504" s="201" t="str">
        <f>IFERROR(COUNTIF($C$23:C504,C504)&amp;CHOOSE(MIN(4,COUNTIF($C$23:C504,C504)),"st","nd","rd","th"),"")</f>
        <v/>
      </c>
    </row>
    <row r="505" spans="4:10" x14ac:dyDescent="0.25">
      <c r="D505" s="201" t="str">
        <f t="shared" si="7"/>
        <v/>
      </c>
      <c r="J505" s="201" t="str">
        <f>IFERROR(COUNTIF($C$23:C505,C505)&amp;CHOOSE(MIN(4,COUNTIF($C$23:C505,C505)),"st","nd","rd","th"),"")</f>
        <v/>
      </c>
    </row>
    <row r="506" spans="4:10" x14ac:dyDescent="0.25">
      <c r="D506" s="201" t="str">
        <f t="shared" si="7"/>
        <v/>
      </c>
      <c r="J506" s="201" t="str">
        <f>IFERROR(COUNTIF($C$23:C506,C506)&amp;CHOOSE(MIN(4,COUNTIF($C$23:C506,C506)),"st","nd","rd","th"),"")</f>
        <v/>
      </c>
    </row>
    <row r="507" spans="4:10" x14ac:dyDescent="0.25">
      <c r="D507" s="201" t="str">
        <f t="shared" si="7"/>
        <v/>
      </c>
      <c r="J507" s="201" t="str">
        <f>IFERROR(COUNTIF($C$23:C507,C507)&amp;CHOOSE(MIN(4,COUNTIF($C$23:C507,C507)),"st","nd","rd","th"),"")</f>
        <v/>
      </c>
    </row>
    <row r="508" spans="4:10" x14ac:dyDescent="0.25">
      <c r="D508" s="201" t="str">
        <f t="shared" si="7"/>
        <v/>
      </c>
      <c r="J508" s="201" t="str">
        <f>IFERROR(COUNTIF($C$23:C508,C508)&amp;CHOOSE(MIN(4,COUNTIF($C$23:C508,C508)),"st","nd","rd","th"),"")</f>
        <v/>
      </c>
    </row>
    <row r="509" spans="4:10" x14ac:dyDescent="0.25">
      <c r="D509" s="201" t="str">
        <f t="shared" si="7"/>
        <v/>
      </c>
      <c r="J509" s="201" t="str">
        <f>IFERROR(COUNTIF($C$23:C509,C509)&amp;CHOOSE(MIN(4,COUNTIF($C$23:C509,C509)),"st","nd","rd","th"),"")</f>
        <v/>
      </c>
    </row>
    <row r="510" spans="4:10" x14ac:dyDescent="0.25">
      <c r="D510" s="201" t="str">
        <f t="shared" si="7"/>
        <v/>
      </c>
      <c r="J510" s="201" t="str">
        <f>IFERROR(COUNTIF($C$23:C510,C510)&amp;CHOOSE(MIN(4,COUNTIF($C$23:C510,C510)),"st","nd","rd","th"),"")</f>
        <v/>
      </c>
    </row>
    <row r="511" spans="4:10" x14ac:dyDescent="0.25">
      <c r="D511" s="201" t="str">
        <f t="shared" si="7"/>
        <v/>
      </c>
      <c r="J511" s="201" t="str">
        <f>IFERROR(COUNTIF($C$23:C511,C511)&amp;CHOOSE(MIN(4,COUNTIF($C$23:C511,C511)),"st","nd","rd","th"),"")</f>
        <v/>
      </c>
    </row>
    <row r="512" spans="4:10" x14ac:dyDescent="0.25">
      <c r="D512" s="201" t="str">
        <f t="shared" si="7"/>
        <v/>
      </c>
      <c r="J512" s="201" t="str">
        <f>IFERROR(COUNTIF($C$23:C512,C512)&amp;CHOOSE(MIN(4,COUNTIF($C$23:C512,C512)),"st","nd","rd","th"),"")</f>
        <v/>
      </c>
    </row>
    <row r="513" spans="4:10" x14ac:dyDescent="0.25">
      <c r="D513" s="201" t="str">
        <f t="shared" si="7"/>
        <v/>
      </c>
      <c r="J513" s="201" t="str">
        <f>IFERROR(COUNTIF($C$23:C513,C513)&amp;CHOOSE(MIN(4,COUNTIF($C$23:C513,C513)),"st","nd","rd","th"),"")</f>
        <v/>
      </c>
    </row>
    <row r="514" spans="4:10" x14ac:dyDescent="0.25">
      <c r="D514" s="201" t="str">
        <f t="shared" si="7"/>
        <v/>
      </c>
      <c r="J514" s="201" t="str">
        <f>IFERROR(COUNTIF($C$23:C514,C514)&amp;CHOOSE(MIN(4,COUNTIF($C$23:C514,C514)),"st","nd","rd","th"),"")</f>
        <v/>
      </c>
    </row>
    <row r="515" spans="4:10" x14ac:dyDescent="0.25">
      <c r="D515" s="201" t="str">
        <f t="shared" si="7"/>
        <v/>
      </c>
      <c r="J515" s="201" t="str">
        <f>IFERROR(COUNTIF($C$23:C515,C515)&amp;CHOOSE(MIN(4,COUNTIF($C$23:C515,C515)),"st","nd","rd","th"),"")</f>
        <v/>
      </c>
    </row>
    <row r="516" spans="4:10" x14ac:dyDescent="0.25">
      <c r="D516" s="201" t="str">
        <f t="shared" si="7"/>
        <v/>
      </c>
      <c r="J516" s="201" t="str">
        <f>IFERROR(COUNTIF($C$23:C516,C516)&amp;CHOOSE(MIN(4,COUNTIF($C$23:C516,C516)),"st","nd","rd","th"),"")</f>
        <v/>
      </c>
    </row>
    <row r="517" spans="4:10" x14ac:dyDescent="0.25">
      <c r="D517" s="201" t="str">
        <f t="shared" si="7"/>
        <v/>
      </c>
      <c r="J517" s="201" t="str">
        <f>IFERROR(COUNTIF($C$23:C517,C517)&amp;CHOOSE(MIN(4,COUNTIF($C$23:C517,C517)),"st","nd","rd","th"),"")</f>
        <v/>
      </c>
    </row>
    <row r="518" spans="4:10" x14ac:dyDescent="0.25">
      <c r="D518" s="201" t="str">
        <f t="shared" si="7"/>
        <v/>
      </c>
      <c r="J518" s="201" t="str">
        <f>IFERROR(COUNTIF($C$23:C518,C518)&amp;CHOOSE(MIN(4,COUNTIF($C$23:C518,C518)),"st","nd","rd","th"),"")</f>
        <v/>
      </c>
    </row>
    <row r="519" spans="4:10" x14ac:dyDescent="0.25">
      <c r="D519" s="201" t="str">
        <f t="shared" si="7"/>
        <v/>
      </c>
      <c r="J519" s="201" t="str">
        <f>IFERROR(COUNTIF($C$23:C519,C519)&amp;CHOOSE(MIN(4,COUNTIF($C$23:C519,C519)),"st","nd","rd","th"),"")</f>
        <v/>
      </c>
    </row>
    <row r="520" spans="4:10" x14ac:dyDescent="0.25">
      <c r="D520" s="201" t="str">
        <f t="shared" si="7"/>
        <v/>
      </c>
      <c r="J520" s="201" t="str">
        <f>IFERROR(COUNTIF($C$23:C520,C520)&amp;CHOOSE(MIN(4,COUNTIF($C$23:C520,C520)),"st","nd","rd","th"),"")</f>
        <v/>
      </c>
    </row>
    <row r="521" spans="4:10" x14ac:dyDescent="0.25">
      <c r="D521" s="201" t="str">
        <f t="shared" si="7"/>
        <v/>
      </c>
      <c r="J521" s="201" t="str">
        <f>IFERROR(COUNTIF($C$23:C521,C521)&amp;CHOOSE(MIN(4,COUNTIF($C$23:C521,C521)),"st","nd","rd","th"),"")</f>
        <v/>
      </c>
    </row>
    <row r="522" spans="4:10" x14ac:dyDescent="0.25">
      <c r="D522" s="201" t="str">
        <f t="shared" si="7"/>
        <v/>
      </c>
      <c r="J522" s="201" t="str">
        <f>IFERROR(COUNTIF($C$23:C522,C522)&amp;CHOOSE(MIN(4,COUNTIF($C$23:C522,C522)),"st","nd","rd","th"),"")</f>
        <v/>
      </c>
    </row>
    <row r="523" spans="4:10" x14ac:dyDescent="0.25">
      <c r="D523" s="201" t="str">
        <f t="shared" si="7"/>
        <v/>
      </c>
      <c r="J523" s="201" t="str">
        <f>IFERROR(COUNTIF($C$23:C523,C523)&amp;CHOOSE(MIN(4,COUNTIF($C$23:C523,C523)),"st","nd","rd","th"),"")</f>
        <v/>
      </c>
    </row>
    <row r="524" spans="4:10" x14ac:dyDescent="0.25">
      <c r="D524" s="201" t="str">
        <f t="shared" si="7"/>
        <v/>
      </c>
      <c r="J524" s="201" t="str">
        <f>IFERROR(COUNTIF($C$23:C524,C524)&amp;CHOOSE(MIN(4,COUNTIF($C$23:C524,C524)),"st","nd","rd","th"),"")</f>
        <v/>
      </c>
    </row>
    <row r="525" spans="4:10" x14ac:dyDescent="0.25">
      <c r="D525" s="201" t="str">
        <f t="shared" si="7"/>
        <v/>
      </c>
      <c r="J525" s="201" t="str">
        <f>IFERROR(COUNTIF($C$23:C525,C525)&amp;CHOOSE(MIN(4,COUNTIF($C$23:C525,C525)),"st","nd","rd","th"),"")</f>
        <v/>
      </c>
    </row>
    <row r="526" spans="4:10" x14ac:dyDescent="0.25">
      <c r="D526" s="201" t="str">
        <f t="shared" si="7"/>
        <v/>
      </c>
      <c r="J526" s="201" t="str">
        <f>IFERROR(COUNTIF($C$23:C526,C526)&amp;CHOOSE(MIN(4,COUNTIF($C$23:C526,C526)),"st","nd","rd","th"),"")</f>
        <v/>
      </c>
    </row>
    <row r="527" spans="4:10" x14ac:dyDescent="0.25">
      <c r="D527" s="201" t="str">
        <f t="shared" si="7"/>
        <v/>
      </c>
      <c r="J527" s="201" t="str">
        <f>IFERROR(COUNTIF($C$23:C527,C527)&amp;CHOOSE(MIN(4,COUNTIF($C$23:C527,C527)),"st","nd","rd","th"),"")</f>
        <v/>
      </c>
    </row>
    <row r="528" spans="4:10" x14ac:dyDescent="0.25">
      <c r="D528" s="201" t="str">
        <f t="shared" si="7"/>
        <v/>
      </c>
      <c r="J528" s="201" t="str">
        <f>IFERROR(COUNTIF($C$23:C528,C528)&amp;CHOOSE(MIN(4,COUNTIF($C$23:C528,C528)),"st","nd","rd","th"),"")</f>
        <v/>
      </c>
    </row>
    <row r="529" spans="4:10" x14ac:dyDescent="0.25">
      <c r="D529" s="201" t="str">
        <f t="shared" si="7"/>
        <v/>
      </c>
      <c r="J529" s="201" t="str">
        <f>IFERROR(COUNTIF($C$23:C529,C529)&amp;CHOOSE(MIN(4,COUNTIF($C$23:C529,C529)),"st","nd","rd","th"),"")</f>
        <v/>
      </c>
    </row>
    <row r="530" spans="4:10" x14ac:dyDescent="0.25">
      <c r="D530" s="201" t="str">
        <f t="shared" si="7"/>
        <v/>
      </c>
      <c r="J530" s="201" t="str">
        <f>IFERROR(COUNTIF($C$23:C530,C530)&amp;CHOOSE(MIN(4,COUNTIF($C$23:C530,C530)),"st","nd","rd","th"),"")</f>
        <v/>
      </c>
    </row>
    <row r="531" spans="4:10" x14ac:dyDescent="0.25">
      <c r="D531" s="201" t="str">
        <f t="shared" si="7"/>
        <v/>
      </c>
      <c r="J531" s="201" t="str">
        <f>IFERROR(COUNTIF($C$23:C531,C531)&amp;CHOOSE(MIN(4,COUNTIF($C$23:C531,C531)),"st","nd","rd","th"),"")</f>
        <v/>
      </c>
    </row>
    <row r="532" spans="4:10" x14ac:dyDescent="0.25">
      <c r="D532" s="201" t="str">
        <f t="shared" si="7"/>
        <v/>
      </c>
      <c r="J532" s="201" t="str">
        <f>IFERROR(COUNTIF($C$23:C532,C532)&amp;CHOOSE(MIN(4,COUNTIF($C$23:C532,C532)),"st","nd","rd","th"),"")</f>
        <v/>
      </c>
    </row>
    <row r="533" spans="4:10" x14ac:dyDescent="0.25">
      <c r="D533" s="201" t="str">
        <f t="shared" si="7"/>
        <v/>
      </c>
      <c r="J533" s="201" t="str">
        <f>IFERROR(COUNTIF($C$23:C533,C533)&amp;CHOOSE(MIN(4,COUNTIF($C$23:C533,C533)),"st","nd","rd","th"),"")</f>
        <v/>
      </c>
    </row>
    <row r="534" spans="4:10" x14ac:dyDescent="0.25">
      <c r="D534" s="201" t="str">
        <f t="shared" si="7"/>
        <v/>
      </c>
      <c r="J534" s="201" t="str">
        <f>IFERROR(COUNTIF($C$23:C534,C534)&amp;CHOOSE(MIN(4,COUNTIF($C$23:C534,C534)),"st","nd","rd","th"),"")</f>
        <v/>
      </c>
    </row>
    <row r="535" spans="4:10" x14ac:dyDescent="0.25">
      <c r="D535" s="201" t="str">
        <f t="shared" ref="D535:D598" si="8">IF(B535="","",IF(B535="Province_PLGU","PDPFP","CLUP"))</f>
        <v/>
      </c>
      <c r="J535" s="201" t="str">
        <f>IFERROR(COUNTIF($C$23:C535,C535)&amp;CHOOSE(MIN(4,COUNTIF($C$23:C535,C535)),"st","nd","rd","th"),"")</f>
        <v/>
      </c>
    </row>
    <row r="536" spans="4:10" x14ac:dyDescent="0.25">
      <c r="D536" s="201" t="str">
        <f t="shared" si="8"/>
        <v/>
      </c>
      <c r="J536" s="201" t="str">
        <f>IFERROR(COUNTIF($C$23:C536,C536)&amp;CHOOSE(MIN(4,COUNTIF($C$23:C536,C536)),"st","nd","rd","th"),"")</f>
        <v/>
      </c>
    </row>
    <row r="537" spans="4:10" x14ac:dyDescent="0.25">
      <c r="D537" s="201" t="str">
        <f t="shared" si="8"/>
        <v/>
      </c>
      <c r="J537" s="201" t="str">
        <f>IFERROR(COUNTIF($C$23:C537,C537)&amp;CHOOSE(MIN(4,COUNTIF($C$23:C537,C537)),"st","nd","rd","th"),"")</f>
        <v/>
      </c>
    </row>
    <row r="538" spans="4:10" x14ac:dyDescent="0.25">
      <c r="D538" s="201" t="str">
        <f t="shared" si="8"/>
        <v/>
      </c>
      <c r="J538" s="201" t="str">
        <f>IFERROR(COUNTIF($C$23:C538,C538)&amp;CHOOSE(MIN(4,COUNTIF($C$23:C538,C538)),"st","nd","rd","th"),"")</f>
        <v/>
      </c>
    </row>
    <row r="539" spans="4:10" x14ac:dyDescent="0.25">
      <c r="D539" s="201" t="str">
        <f t="shared" si="8"/>
        <v/>
      </c>
      <c r="J539" s="201" t="str">
        <f>IFERROR(COUNTIF($C$23:C539,C539)&amp;CHOOSE(MIN(4,COUNTIF($C$23:C539,C539)),"st","nd","rd","th"),"")</f>
        <v/>
      </c>
    </row>
    <row r="540" spans="4:10" x14ac:dyDescent="0.25">
      <c r="D540" s="201" t="str">
        <f t="shared" si="8"/>
        <v/>
      </c>
      <c r="J540" s="201" t="str">
        <f>IFERROR(COUNTIF($C$23:C540,C540)&amp;CHOOSE(MIN(4,COUNTIF($C$23:C540,C540)),"st","nd","rd","th"),"")</f>
        <v/>
      </c>
    </row>
    <row r="541" spans="4:10" x14ac:dyDescent="0.25">
      <c r="D541" s="201" t="str">
        <f t="shared" si="8"/>
        <v/>
      </c>
      <c r="J541" s="201" t="str">
        <f>IFERROR(COUNTIF($C$23:C541,C541)&amp;CHOOSE(MIN(4,COUNTIF($C$23:C541,C541)),"st","nd","rd","th"),"")</f>
        <v/>
      </c>
    </row>
    <row r="542" spans="4:10" x14ac:dyDescent="0.25">
      <c r="D542" s="201" t="str">
        <f t="shared" si="8"/>
        <v/>
      </c>
      <c r="J542" s="201" t="str">
        <f>IFERROR(COUNTIF($C$23:C542,C542)&amp;CHOOSE(MIN(4,COUNTIF($C$23:C542,C542)),"st","nd","rd","th"),"")</f>
        <v/>
      </c>
    </row>
    <row r="543" spans="4:10" x14ac:dyDescent="0.25">
      <c r="D543" s="201" t="str">
        <f t="shared" si="8"/>
        <v/>
      </c>
      <c r="J543" s="201" t="str">
        <f>IFERROR(COUNTIF($C$23:C543,C543)&amp;CHOOSE(MIN(4,COUNTIF($C$23:C543,C543)),"st","nd","rd","th"),"")</f>
        <v/>
      </c>
    </row>
    <row r="544" spans="4:10" x14ac:dyDescent="0.25">
      <c r="D544" s="201" t="str">
        <f t="shared" si="8"/>
        <v/>
      </c>
      <c r="J544" s="201" t="str">
        <f>IFERROR(COUNTIF($C$23:C544,C544)&amp;CHOOSE(MIN(4,COUNTIF($C$23:C544,C544)),"st","nd","rd","th"),"")</f>
        <v/>
      </c>
    </row>
    <row r="545" spans="4:10" x14ac:dyDescent="0.25">
      <c r="D545" s="201" t="str">
        <f t="shared" si="8"/>
        <v/>
      </c>
      <c r="J545" s="201" t="str">
        <f>IFERROR(COUNTIF($C$23:C545,C545)&amp;CHOOSE(MIN(4,COUNTIF($C$23:C545,C545)),"st","nd","rd","th"),"")</f>
        <v/>
      </c>
    </row>
    <row r="546" spans="4:10" x14ac:dyDescent="0.25">
      <c r="D546" s="201" t="str">
        <f t="shared" si="8"/>
        <v/>
      </c>
      <c r="J546" s="201" t="str">
        <f>IFERROR(COUNTIF($C$23:C546,C546)&amp;CHOOSE(MIN(4,COUNTIF($C$23:C546,C546)),"st","nd","rd","th"),"")</f>
        <v/>
      </c>
    </row>
    <row r="547" spans="4:10" x14ac:dyDescent="0.25">
      <c r="D547" s="201" t="str">
        <f t="shared" si="8"/>
        <v/>
      </c>
      <c r="J547" s="201" t="str">
        <f>IFERROR(COUNTIF($C$23:C547,C547)&amp;CHOOSE(MIN(4,COUNTIF($C$23:C547,C547)),"st","nd","rd","th"),"")</f>
        <v/>
      </c>
    </row>
    <row r="548" spans="4:10" x14ac:dyDescent="0.25">
      <c r="D548" s="201" t="str">
        <f t="shared" si="8"/>
        <v/>
      </c>
      <c r="J548" s="201" t="str">
        <f>IFERROR(COUNTIF($C$23:C548,C548)&amp;CHOOSE(MIN(4,COUNTIF($C$23:C548,C548)),"st","nd","rd","th"),"")</f>
        <v/>
      </c>
    </row>
    <row r="549" spans="4:10" x14ac:dyDescent="0.25">
      <c r="D549" s="201" t="str">
        <f t="shared" si="8"/>
        <v/>
      </c>
      <c r="J549" s="201" t="str">
        <f>IFERROR(COUNTIF($C$23:C549,C549)&amp;CHOOSE(MIN(4,COUNTIF($C$23:C549,C549)),"st","nd","rd","th"),"")</f>
        <v/>
      </c>
    </row>
    <row r="550" spans="4:10" x14ac:dyDescent="0.25">
      <c r="D550" s="201" t="str">
        <f t="shared" si="8"/>
        <v/>
      </c>
      <c r="J550" s="201" t="str">
        <f>IFERROR(COUNTIF($C$23:C550,C550)&amp;CHOOSE(MIN(4,COUNTIF($C$23:C550,C550)),"st","nd","rd","th"),"")</f>
        <v/>
      </c>
    </row>
    <row r="551" spans="4:10" x14ac:dyDescent="0.25">
      <c r="D551" s="201" t="str">
        <f t="shared" si="8"/>
        <v/>
      </c>
      <c r="J551" s="201" t="str">
        <f>IFERROR(COUNTIF($C$23:C551,C551)&amp;CHOOSE(MIN(4,COUNTIF($C$23:C551,C551)),"st","nd","rd","th"),"")</f>
        <v/>
      </c>
    </row>
    <row r="552" spans="4:10" x14ac:dyDescent="0.25">
      <c r="D552" s="201" t="str">
        <f t="shared" si="8"/>
        <v/>
      </c>
      <c r="J552" s="201" t="str">
        <f>IFERROR(COUNTIF($C$23:C552,C552)&amp;CHOOSE(MIN(4,COUNTIF($C$23:C552,C552)),"st","nd","rd","th"),"")</f>
        <v/>
      </c>
    </row>
    <row r="553" spans="4:10" x14ac:dyDescent="0.25">
      <c r="D553" s="201" t="str">
        <f t="shared" si="8"/>
        <v/>
      </c>
      <c r="J553" s="201" t="str">
        <f>IFERROR(COUNTIF($C$23:C553,C553)&amp;CHOOSE(MIN(4,COUNTIF($C$23:C553,C553)),"st","nd","rd","th"),"")</f>
        <v/>
      </c>
    </row>
    <row r="554" spans="4:10" x14ac:dyDescent="0.25">
      <c r="D554" s="201" t="str">
        <f t="shared" si="8"/>
        <v/>
      </c>
      <c r="J554" s="201" t="str">
        <f>IFERROR(COUNTIF($C$23:C554,C554)&amp;CHOOSE(MIN(4,COUNTIF($C$23:C554,C554)),"st","nd","rd","th"),"")</f>
        <v/>
      </c>
    </row>
    <row r="555" spans="4:10" x14ac:dyDescent="0.25">
      <c r="D555" s="201" t="str">
        <f t="shared" si="8"/>
        <v/>
      </c>
      <c r="J555" s="201" t="str">
        <f>IFERROR(COUNTIF($C$23:C555,C555)&amp;CHOOSE(MIN(4,COUNTIF($C$23:C555,C555)),"st","nd","rd","th"),"")</f>
        <v/>
      </c>
    </row>
    <row r="556" spans="4:10" x14ac:dyDescent="0.25">
      <c r="D556" s="201" t="str">
        <f t="shared" si="8"/>
        <v/>
      </c>
      <c r="J556" s="201" t="str">
        <f>IFERROR(COUNTIF($C$23:C556,C556)&amp;CHOOSE(MIN(4,COUNTIF($C$23:C556,C556)),"st","nd","rd","th"),"")</f>
        <v/>
      </c>
    </row>
    <row r="557" spans="4:10" x14ac:dyDescent="0.25">
      <c r="D557" s="201" t="str">
        <f t="shared" si="8"/>
        <v/>
      </c>
      <c r="J557" s="201" t="str">
        <f>IFERROR(COUNTIF($C$23:C557,C557)&amp;CHOOSE(MIN(4,COUNTIF($C$23:C557,C557)),"st","nd","rd","th"),"")</f>
        <v/>
      </c>
    </row>
    <row r="558" spans="4:10" x14ac:dyDescent="0.25">
      <c r="D558" s="201" t="str">
        <f t="shared" si="8"/>
        <v/>
      </c>
      <c r="J558" s="201" t="str">
        <f>IFERROR(COUNTIF($C$23:C558,C558)&amp;CHOOSE(MIN(4,COUNTIF($C$23:C558,C558)),"st","nd","rd","th"),"")</f>
        <v/>
      </c>
    </row>
    <row r="559" spans="4:10" x14ac:dyDescent="0.25">
      <c r="D559" s="201" t="str">
        <f t="shared" si="8"/>
        <v/>
      </c>
      <c r="J559" s="201" t="str">
        <f>IFERROR(COUNTIF($C$23:C559,C559)&amp;CHOOSE(MIN(4,COUNTIF($C$23:C559,C559)),"st","nd","rd","th"),"")</f>
        <v/>
      </c>
    </row>
    <row r="560" spans="4:10" x14ac:dyDescent="0.25">
      <c r="D560" s="201" t="str">
        <f t="shared" si="8"/>
        <v/>
      </c>
      <c r="J560" s="201" t="str">
        <f>IFERROR(COUNTIF($C$23:C560,C560)&amp;CHOOSE(MIN(4,COUNTIF($C$23:C560,C560)),"st","nd","rd","th"),"")</f>
        <v/>
      </c>
    </row>
    <row r="561" spans="4:10" x14ac:dyDescent="0.25">
      <c r="D561" s="201" t="str">
        <f t="shared" si="8"/>
        <v/>
      </c>
      <c r="J561" s="201" t="str">
        <f>IFERROR(COUNTIF($C$23:C561,C561)&amp;CHOOSE(MIN(4,COUNTIF($C$23:C561,C561)),"st","nd","rd","th"),"")</f>
        <v/>
      </c>
    </row>
    <row r="562" spans="4:10" x14ac:dyDescent="0.25">
      <c r="D562" s="201" t="str">
        <f t="shared" si="8"/>
        <v/>
      </c>
      <c r="J562" s="201" t="str">
        <f>IFERROR(COUNTIF($C$23:C562,C562)&amp;CHOOSE(MIN(4,COUNTIF($C$23:C562,C562)),"st","nd","rd","th"),"")</f>
        <v/>
      </c>
    </row>
    <row r="563" spans="4:10" x14ac:dyDescent="0.25">
      <c r="D563" s="201" t="str">
        <f t="shared" si="8"/>
        <v/>
      </c>
      <c r="J563" s="201" t="str">
        <f>IFERROR(COUNTIF($C$23:C563,C563)&amp;CHOOSE(MIN(4,COUNTIF($C$23:C563,C563)),"st","nd","rd","th"),"")</f>
        <v/>
      </c>
    </row>
    <row r="564" spans="4:10" x14ac:dyDescent="0.25">
      <c r="D564" s="201" t="str">
        <f t="shared" si="8"/>
        <v/>
      </c>
      <c r="J564" s="201" t="str">
        <f>IFERROR(COUNTIF($C$23:C564,C564)&amp;CHOOSE(MIN(4,COUNTIF($C$23:C564,C564)),"st","nd","rd","th"),"")</f>
        <v/>
      </c>
    </row>
    <row r="565" spans="4:10" x14ac:dyDescent="0.25">
      <c r="D565" s="201" t="str">
        <f t="shared" si="8"/>
        <v/>
      </c>
      <c r="J565" s="201" t="str">
        <f>IFERROR(COUNTIF($C$23:C565,C565)&amp;CHOOSE(MIN(4,COUNTIF($C$23:C565,C565)),"st","nd","rd","th"),"")</f>
        <v/>
      </c>
    </row>
    <row r="566" spans="4:10" x14ac:dyDescent="0.25">
      <c r="D566" s="201" t="str">
        <f t="shared" si="8"/>
        <v/>
      </c>
      <c r="J566" s="201" t="str">
        <f>IFERROR(COUNTIF($C$23:C566,C566)&amp;CHOOSE(MIN(4,COUNTIF($C$23:C566,C566)),"st","nd","rd","th"),"")</f>
        <v/>
      </c>
    </row>
    <row r="567" spans="4:10" x14ac:dyDescent="0.25">
      <c r="D567" s="201" t="str">
        <f t="shared" si="8"/>
        <v/>
      </c>
      <c r="J567" s="201" t="str">
        <f>IFERROR(COUNTIF($C$23:C567,C567)&amp;CHOOSE(MIN(4,COUNTIF($C$23:C567,C567)),"st","nd","rd","th"),"")</f>
        <v/>
      </c>
    </row>
    <row r="568" spans="4:10" x14ac:dyDescent="0.25">
      <c r="D568" s="201" t="str">
        <f t="shared" si="8"/>
        <v/>
      </c>
      <c r="J568" s="201" t="str">
        <f>IFERROR(COUNTIF($C$23:C568,C568)&amp;CHOOSE(MIN(4,COUNTIF($C$23:C568,C568)),"st","nd","rd","th"),"")</f>
        <v/>
      </c>
    </row>
    <row r="569" spans="4:10" x14ac:dyDescent="0.25">
      <c r="D569" s="201" t="str">
        <f t="shared" si="8"/>
        <v/>
      </c>
      <c r="J569" s="201" t="str">
        <f>IFERROR(COUNTIF($C$23:C569,C569)&amp;CHOOSE(MIN(4,COUNTIF($C$23:C569,C569)),"st","nd","rd","th"),"")</f>
        <v/>
      </c>
    </row>
    <row r="570" spans="4:10" x14ac:dyDescent="0.25">
      <c r="D570" s="201" t="str">
        <f t="shared" si="8"/>
        <v/>
      </c>
      <c r="J570" s="201" t="str">
        <f>IFERROR(COUNTIF($C$23:C570,C570)&amp;CHOOSE(MIN(4,COUNTIF($C$23:C570,C570)),"st","nd","rd","th"),"")</f>
        <v/>
      </c>
    </row>
    <row r="571" spans="4:10" x14ac:dyDescent="0.25">
      <c r="D571" s="201" t="str">
        <f t="shared" si="8"/>
        <v/>
      </c>
      <c r="J571" s="201" t="str">
        <f>IFERROR(COUNTIF($C$23:C571,C571)&amp;CHOOSE(MIN(4,COUNTIF($C$23:C571,C571)),"st","nd","rd","th"),"")</f>
        <v/>
      </c>
    </row>
    <row r="572" spans="4:10" x14ac:dyDescent="0.25">
      <c r="D572" s="201" t="str">
        <f t="shared" si="8"/>
        <v/>
      </c>
      <c r="J572" s="201" t="str">
        <f>IFERROR(COUNTIF($C$23:C572,C572)&amp;CHOOSE(MIN(4,COUNTIF($C$23:C572,C572)),"st","nd","rd","th"),"")</f>
        <v/>
      </c>
    </row>
    <row r="573" spans="4:10" x14ac:dyDescent="0.25">
      <c r="D573" s="201" t="str">
        <f t="shared" si="8"/>
        <v/>
      </c>
      <c r="J573" s="201" t="str">
        <f>IFERROR(COUNTIF($C$23:C573,C573)&amp;CHOOSE(MIN(4,COUNTIF($C$23:C573,C573)),"st","nd","rd","th"),"")</f>
        <v/>
      </c>
    </row>
    <row r="574" spans="4:10" x14ac:dyDescent="0.25">
      <c r="D574" s="201" t="str">
        <f t="shared" si="8"/>
        <v/>
      </c>
      <c r="J574" s="201" t="str">
        <f>IFERROR(COUNTIF($C$23:C574,C574)&amp;CHOOSE(MIN(4,COUNTIF($C$23:C574,C574)),"st","nd","rd","th"),"")</f>
        <v/>
      </c>
    </row>
    <row r="575" spans="4:10" x14ac:dyDescent="0.25">
      <c r="D575" s="201" t="str">
        <f t="shared" si="8"/>
        <v/>
      </c>
      <c r="J575" s="201" t="str">
        <f>IFERROR(COUNTIF($C$23:C575,C575)&amp;CHOOSE(MIN(4,COUNTIF($C$23:C575,C575)),"st","nd","rd","th"),"")</f>
        <v/>
      </c>
    </row>
    <row r="576" spans="4:10" x14ac:dyDescent="0.25">
      <c r="D576" s="201" t="str">
        <f t="shared" si="8"/>
        <v/>
      </c>
      <c r="J576" s="201" t="str">
        <f>IFERROR(COUNTIF($C$23:C576,C576)&amp;CHOOSE(MIN(4,COUNTIF($C$23:C576,C576)),"st","nd","rd","th"),"")</f>
        <v/>
      </c>
    </row>
    <row r="577" spans="4:10" x14ac:dyDescent="0.25">
      <c r="D577" s="201" t="str">
        <f t="shared" si="8"/>
        <v/>
      </c>
      <c r="J577" s="201" t="str">
        <f>IFERROR(COUNTIF($C$23:C577,C577)&amp;CHOOSE(MIN(4,COUNTIF($C$23:C577,C577)),"st","nd","rd","th"),"")</f>
        <v/>
      </c>
    </row>
    <row r="578" spans="4:10" x14ac:dyDescent="0.25">
      <c r="D578" s="201" t="str">
        <f t="shared" si="8"/>
        <v/>
      </c>
      <c r="J578" s="201" t="str">
        <f>IFERROR(COUNTIF($C$23:C578,C578)&amp;CHOOSE(MIN(4,COUNTIF($C$23:C578,C578)),"st","nd","rd","th"),"")</f>
        <v/>
      </c>
    </row>
    <row r="579" spans="4:10" x14ac:dyDescent="0.25">
      <c r="D579" s="201" t="str">
        <f t="shared" si="8"/>
        <v/>
      </c>
      <c r="J579" s="201" t="str">
        <f>IFERROR(COUNTIF($C$23:C579,C579)&amp;CHOOSE(MIN(4,COUNTIF($C$23:C579,C579)),"st","nd","rd","th"),"")</f>
        <v/>
      </c>
    </row>
    <row r="580" spans="4:10" x14ac:dyDescent="0.25">
      <c r="D580" s="201" t="str">
        <f t="shared" si="8"/>
        <v/>
      </c>
      <c r="J580" s="201" t="str">
        <f>IFERROR(COUNTIF($C$23:C580,C580)&amp;CHOOSE(MIN(4,COUNTIF($C$23:C580,C580)),"st","nd","rd","th"),"")</f>
        <v/>
      </c>
    </row>
    <row r="581" spans="4:10" x14ac:dyDescent="0.25">
      <c r="D581" s="201" t="str">
        <f t="shared" si="8"/>
        <v/>
      </c>
      <c r="J581" s="201" t="str">
        <f>IFERROR(COUNTIF($C$23:C581,C581)&amp;CHOOSE(MIN(4,COUNTIF($C$23:C581,C581)),"st","nd","rd","th"),"")</f>
        <v/>
      </c>
    </row>
    <row r="582" spans="4:10" x14ac:dyDescent="0.25">
      <c r="D582" s="201" t="str">
        <f t="shared" si="8"/>
        <v/>
      </c>
      <c r="J582" s="201" t="str">
        <f>IFERROR(COUNTIF($C$23:C582,C582)&amp;CHOOSE(MIN(4,COUNTIF($C$23:C582,C582)),"st","nd","rd","th"),"")</f>
        <v/>
      </c>
    </row>
    <row r="583" spans="4:10" x14ac:dyDescent="0.25">
      <c r="D583" s="201" t="str">
        <f t="shared" si="8"/>
        <v/>
      </c>
      <c r="J583" s="201" t="str">
        <f>IFERROR(COUNTIF($C$23:C583,C583)&amp;CHOOSE(MIN(4,COUNTIF($C$23:C583,C583)),"st","nd","rd","th"),"")</f>
        <v/>
      </c>
    </row>
    <row r="584" spans="4:10" x14ac:dyDescent="0.25">
      <c r="D584" s="201" t="str">
        <f t="shared" si="8"/>
        <v/>
      </c>
      <c r="J584" s="201" t="str">
        <f>IFERROR(COUNTIF($C$23:C584,C584)&amp;CHOOSE(MIN(4,COUNTIF($C$23:C584,C584)),"st","nd","rd","th"),"")</f>
        <v/>
      </c>
    </row>
    <row r="585" spans="4:10" x14ac:dyDescent="0.25">
      <c r="D585" s="201" t="str">
        <f t="shared" si="8"/>
        <v/>
      </c>
      <c r="J585" s="201" t="str">
        <f>IFERROR(COUNTIF($C$23:C585,C585)&amp;CHOOSE(MIN(4,COUNTIF($C$23:C585,C585)),"st","nd","rd","th"),"")</f>
        <v/>
      </c>
    </row>
    <row r="586" spans="4:10" x14ac:dyDescent="0.25">
      <c r="D586" s="201" t="str">
        <f t="shared" si="8"/>
        <v/>
      </c>
      <c r="J586" s="201" t="str">
        <f>IFERROR(COUNTIF($C$23:C586,C586)&amp;CHOOSE(MIN(4,COUNTIF($C$23:C586,C586)),"st","nd","rd","th"),"")</f>
        <v/>
      </c>
    </row>
    <row r="587" spans="4:10" x14ac:dyDescent="0.25">
      <c r="D587" s="201" t="str">
        <f t="shared" si="8"/>
        <v/>
      </c>
      <c r="J587" s="201" t="str">
        <f>IFERROR(COUNTIF($C$23:C587,C587)&amp;CHOOSE(MIN(4,COUNTIF($C$23:C587,C587)),"st","nd","rd","th"),"")</f>
        <v/>
      </c>
    </row>
    <row r="588" spans="4:10" x14ac:dyDescent="0.25">
      <c r="D588" s="201" t="str">
        <f t="shared" si="8"/>
        <v/>
      </c>
      <c r="J588" s="201" t="str">
        <f>IFERROR(COUNTIF($C$23:C588,C588)&amp;CHOOSE(MIN(4,COUNTIF($C$23:C588,C588)),"st","nd","rd","th"),"")</f>
        <v/>
      </c>
    </row>
    <row r="589" spans="4:10" x14ac:dyDescent="0.25">
      <c r="D589" s="201" t="str">
        <f t="shared" si="8"/>
        <v/>
      </c>
      <c r="J589" s="201" t="str">
        <f>IFERROR(COUNTIF($C$23:C589,C589)&amp;CHOOSE(MIN(4,COUNTIF($C$23:C589,C589)),"st","nd","rd","th"),"")</f>
        <v/>
      </c>
    </row>
    <row r="590" spans="4:10" x14ac:dyDescent="0.25">
      <c r="D590" s="201" t="str">
        <f t="shared" si="8"/>
        <v/>
      </c>
      <c r="J590" s="201" t="str">
        <f>IFERROR(COUNTIF($C$23:C590,C590)&amp;CHOOSE(MIN(4,COUNTIF($C$23:C590,C590)),"st","nd","rd","th"),"")</f>
        <v/>
      </c>
    </row>
    <row r="591" spans="4:10" x14ac:dyDescent="0.25">
      <c r="D591" s="201" t="str">
        <f t="shared" si="8"/>
        <v/>
      </c>
      <c r="J591" s="201" t="str">
        <f>IFERROR(COUNTIF($C$23:C591,C591)&amp;CHOOSE(MIN(4,COUNTIF($C$23:C591,C591)),"st","nd","rd","th"),"")</f>
        <v/>
      </c>
    </row>
    <row r="592" spans="4:10" x14ac:dyDescent="0.25">
      <c r="D592" s="201" t="str">
        <f t="shared" si="8"/>
        <v/>
      </c>
      <c r="J592" s="201" t="str">
        <f>IFERROR(COUNTIF($C$23:C592,C592)&amp;CHOOSE(MIN(4,COUNTIF($C$23:C592,C592)),"st","nd","rd","th"),"")</f>
        <v/>
      </c>
    </row>
    <row r="593" spans="4:10" x14ac:dyDescent="0.25">
      <c r="D593" s="201" t="str">
        <f t="shared" si="8"/>
        <v/>
      </c>
      <c r="J593" s="201" t="str">
        <f>IFERROR(COUNTIF($C$23:C593,C593)&amp;CHOOSE(MIN(4,COUNTIF($C$23:C593,C593)),"st","nd","rd","th"),"")</f>
        <v/>
      </c>
    </row>
    <row r="594" spans="4:10" x14ac:dyDescent="0.25">
      <c r="D594" s="201" t="str">
        <f t="shared" si="8"/>
        <v/>
      </c>
      <c r="J594" s="201" t="str">
        <f>IFERROR(COUNTIF($C$23:C594,C594)&amp;CHOOSE(MIN(4,COUNTIF($C$23:C594,C594)),"st","nd","rd","th"),"")</f>
        <v/>
      </c>
    </row>
    <row r="595" spans="4:10" x14ac:dyDescent="0.25">
      <c r="D595" s="201" t="str">
        <f t="shared" si="8"/>
        <v/>
      </c>
      <c r="J595" s="201" t="str">
        <f>IFERROR(COUNTIF($C$23:C595,C595)&amp;CHOOSE(MIN(4,COUNTIF($C$23:C595,C595)),"st","nd","rd","th"),"")</f>
        <v/>
      </c>
    </row>
    <row r="596" spans="4:10" x14ac:dyDescent="0.25">
      <c r="D596" s="201" t="str">
        <f t="shared" si="8"/>
        <v/>
      </c>
      <c r="J596" s="201" t="str">
        <f>IFERROR(COUNTIF($C$23:C596,C596)&amp;CHOOSE(MIN(4,COUNTIF($C$23:C596,C596)),"st","nd","rd","th"),"")</f>
        <v/>
      </c>
    </row>
    <row r="597" spans="4:10" x14ac:dyDescent="0.25">
      <c r="D597" s="201" t="str">
        <f t="shared" si="8"/>
        <v/>
      </c>
      <c r="J597" s="201" t="str">
        <f>IFERROR(COUNTIF($C$23:C597,C597)&amp;CHOOSE(MIN(4,COUNTIF($C$23:C597,C597)),"st","nd","rd","th"),"")</f>
        <v/>
      </c>
    </row>
    <row r="598" spans="4:10" x14ac:dyDescent="0.25">
      <c r="D598" s="201" t="str">
        <f t="shared" si="8"/>
        <v/>
      </c>
      <c r="J598" s="201" t="str">
        <f>IFERROR(COUNTIF($C$23:C598,C598)&amp;CHOOSE(MIN(4,COUNTIF($C$23:C598,C598)),"st","nd","rd","th"),"")</f>
        <v/>
      </c>
    </row>
    <row r="599" spans="4:10" x14ac:dyDescent="0.25">
      <c r="D599" s="201" t="str">
        <f t="shared" ref="D599:D662" si="9">IF(B599="","",IF(B599="Province_PLGU","PDPFP","CLUP"))</f>
        <v/>
      </c>
      <c r="J599" s="201" t="str">
        <f>IFERROR(COUNTIF($C$23:C599,C599)&amp;CHOOSE(MIN(4,COUNTIF($C$23:C599,C599)),"st","nd","rd","th"),"")</f>
        <v/>
      </c>
    </row>
    <row r="600" spans="4:10" x14ac:dyDescent="0.25">
      <c r="D600" s="201" t="str">
        <f t="shared" si="9"/>
        <v/>
      </c>
      <c r="J600" s="201" t="str">
        <f>IFERROR(COUNTIF($C$23:C600,C600)&amp;CHOOSE(MIN(4,COUNTIF($C$23:C600,C600)),"st","nd","rd","th"),"")</f>
        <v/>
      </c>
    </row>
    <row r="601" spans="4:10" x14ac:dyDescent="0.25">
      <c r="D601" s="201" t="str">
        <f t="shared" si="9"/>
        <v/>
      </c>
      <c r="J601" s="201" t="str">
        <f>IFERROR(COUNTIF($C$23:C601,C601)&amp;CHOOSE(MIN(4,COUNTIF($C$23:C601,C601)),"st","nd","rd","th"),"")</f>
        <v/>
      </c>
    </row>
    <row r="602" spans="4:10" x14ac:dyDescent="0.25">
      <c r="D602" s="201" t="str">
        <f t="shared" si="9"/>
        <v/>
      </c>
      <c r="J602" s="201" t="str">
        <f>IFERROR(COUNTIF($C$23:C602,C602)&amp;CHOOSE(MIN(4,COUNTIF($C$23:C602,C602)),"st","nd","rd","th"),"")</f>
        <v/>
      </c>
    </row>
    <row r="603" spans="4:10" x14ac:dyDescent="0.25">
      <c r="D603" s="201" t="str">
        <f t="shared" si="9"/>
        <v/>
      </c>
      <c r="J603" s="201" t="str">
        <f>IFERROR(COUNTIF($C$23:C603,C603)&amp;CHOOSE(MIN(4,COUNTIF($C$23:C603,C603)),"st","nd","rd","th"),"")</f>
        <v/>
      </c>
    </row>
    <row r="604" spans="4:10" x14ac:dyDescent="0.25">
      <c r="D604" s="201" t="str">
        <f t="shared" si="9"/>
        <v/>
      </c>
      <c r="J604" s="201" t="str">
        <f>IFERROR(COUNTIF($C$23:C604,C604)&amp;CHOOSE(MIN(4,COUNTIF($C$23:C604,C604)),"st","nd","rd","th"),"")</f>
        <v/>
      </c>
    </row>
    <row r="605" spans="4:10" x14ac:dyDescent="0.25">
      <c r="D605" s="201" t="str">
        <f t="shared" si="9"/>
        <v/>
      </c>
      <c r="J605" s="201" t="str">
        <f>IFERROR(COUNTIF($C$23:C605,C605)&amp;CHOOSE(MIN(4,COUNTIF($C$23:C605,C605)),"st","nd","rd","th"),"")</f>
        <v/>
      </c>
    </row>
    <row r="606" spans="4:10" x14ac:dyDescent="0.25">
      <c r="D606" s="201" t="str">
        <f t="shared" si="9"/>
        <v/>
      </c>
      <c r="J606" s="201" t="str">
        <f>IFERROR(COUNTIF($C$23:C606,C606)&amp;CHOOSE(MIN(4,COUNTIF($C$23:C606,C606)),"st","nd","rd","th"),"")</f>
        <v/>
      </c>
    </row>
    <row r="607" spans="4:10" x14ac:dyDescent="0.25">
      <c r="D607" s="201" t="str">
        <f t="shared" si="9"/>
        <v/>
      </c>
      <c r="J607" s="201" t="str">
        <f>IFERROR(COUNTIF($C$23:C607,C607)&amp;CHOOSE(MIN(4,COUNTIF($C$23:C607,C607)),"st","nd","rd","th"),"")</f>
        <v/>
      </c>
    </row>
    <row r="608" spans="4:10" x14ac:dyDescent="0.25">
      <c r="D608" s="201" t="str">
        <f t="shared" si="9"/>
        <v/>
      </c>
      <c r="J608" s="201" t="str">
        <f>IFERROR(COUNTIF($C$23:C608,C608)&amp;CHOOSE(MIN(4,COUNTIF($C$23:C608,C608)),"st","nd","rd","th"),"")</f>
        <v/>
      </c>
    </row>
    <row r="609" spans="4:10" x14ac:dyDescent="0.25">
      <c r="D609" s="201" t="str">
        <f t="shared" si="9"/>
        <v/>
      </c>
      <c r="J609" s="201" t="str">
        <f>IFERROR(COUNTIF($C$23:C609,C609)&amp;CHOOSE(MIN(4,COUNTIF($C$23:C609,C609)),"st","nd","rd","th"),"")</f>
        <v/>
      </c>
    </row>
    <row r="610" spans="4:10" x14ac:dyDescent="0.25">
      <c r="D610" s="201" t="str">
        <f t="shared" si="9"/>
        <v/>
      </c>
      <c r="J610" s="201" t="str">
        <f>IFERROR(COUNTIF($C$23:C610,C610)&amp;CHOOSE(MIN(4,COUNTIF($C$23:C610,C610)),"st","nd","rd","th"),"")</f>
        <v/>
      </c>
    </row>
    <row r="611" spans="4:10" x14ac:dyDescent="0.25">
      <c r="D611" s="201" t="str">
        <f t="shared" si="9"/>
        <v/>
      </c>
      <c r="J611" s="201" t="str">
        <f>IFERROR(COUNTIF($C$23:C611,C611)&amp;CHOOSE(MIN(4,COUNTIF($C$23:C611,C611)),"st","nd","rd","th"),"")</f>
        <v/>
      </c>
    </row>
    <row r="612" spans="4:10" x14ac:dyDescent="0.25">
      <c r="D612" s="201" t="str">
        <f t="shared" si="9"/>
        <v/>
      </c>
      <c r="J612" s="201" t="str">
        <f>IFERROR(COUNTIF($C$23:C612,C612)&amp;CHOOSE(MIN(4,COUNTIF($C$23:C612,C612)),"st","nd","rd","th"),"")</f>
        <v/>
      </c>
    </row>
    <row r="613" spans="4:10" x14ac:dyDescent="0.25">
      <c r="D613" s="201" t="str">
        <f t="shared" si="9"/>
        <v/>
      </c>
      <c r="J613" s="201" t="str">
        <f>IFERROR(COUNTIF($C$23:C613,C613)&amp;CHOOSE(MIN(4,COUNTIF($C$23:C613,C613)),"st","nd","rd","th"),"")</f>
        <v/>
      </c>
    </row>
    <row r="614" spans="4:10" x14ac:dyDescent="0.25">
      <c r="D614" s="201" t="str">
        <f t="shared" si="9"/>
        <v/>
      </c>
      <c r="J614" s="201" t="str">
        <f>IFERROR(COUNTIF($C$23:C614,C614)&amp;CHOOSE(MIN(4,COUNTIF($C$23:C614,C614)),"st","nd","rd","th"),"")</f>
        <v/>
      </c>
    </row>
    <row r="615" spans="4:10" x14ac:dyDescent="0.25">
      <c r="D615" s="201" t="str">
        <f t="shared" si="9"/>
        <v/>
      </c>
      <c r="J615" s="201" t="str">
        <f>IFERROR(COUNTIF($C$23:C615,C615)&amp;CHOOSE(MIN(4,COUNTIF($C$23:C615,C615)),"st","nd","rd","th"),"")</f>
        <v/>
      </c>
    </row>
    <row r="616" spans="4:10" x14ac:dyDescent="0.25">
      <c r="D616" s="201" t="str">
        <f t="shared" si="9"/>
        <v/>
      </c>
      <c r="J616" s="201" t="str">
        <f>IFERROR(COUNTIF($C$23:C616,C616)&amp;CHOOSE(MIN(4,COUNTIF($C$23:C616,C616)),"st","nd","rd","th"),"")</f>
        <v/>
      </c>
    </row>
    <row r="617" spans="4:10" x14ac:dyDescent="0.25">
      <c r="D617" s="201" t="str">
        <f t="shared" si="9"/>
        <v/>
      </c>
      <c r="J617" s="201" t="str">
        <f>IFERROR(COUNTIF($C$23:C617,C617)&amp;CHOOSE(MIN(4,COUNTIF($C$23:C617,C617)),"st","nd","rd","th"),"")</f>
        <v/>
      </c>
    </row>
    <row r="618" spans="4:10" x14ac:dyDescent="0.25">
      <c r="D618" s="201" t="str">
        <f t="shared" si="9"/>
        <v/>
      </c>
      <c r="J618" s="201" t="str">
        <f>IFERROR(COUNTIF($C$23:C618,C618)&amp;CHOOSE(MIN(4,COUNTIF($C$23:C618,C618)),"st","nd","rd","th"),"")</f>
        <v/>
      </c>
    </row>
    <row r="619" spans="4:10" x14ac:dyDescent="0.25">
      <c r="D619" s="201" t="str">
        <f t="shared" si="9"/>
        <v/>
      </c>
      <c r="J619" s="201" t="str">
        <f>IFERROR(COUNTIF($C$23:C619,C619)&amp;CHOOSE(MIN(4,COUNTIF($C$23:C619,C619)),"st","nd","rd","th"),"")</f>
        <v/>
      </c>
    </row>
    <row r="620" spans="4:10" x14ac:dyDescent="0.25">
      <c r="D620" s="201" t="str">
        <f t="shared" si="9"/>
        <v/>
      </c>
      <c r="J620" s="201" t="str">
        <f>IFERROR(COUNTIF($C$23:C620,C620)&amp;CHOOSE(MIN(4,COUNTIF($C$23:C620,C620)),"st","nd","rd","th"),"")</f>
        <v/>
      </c>
    </row>
    <row r="621" spans="4:10" x14ac:dyDescent="0.25">
      <c r="D621" s="201" t="str">
        <f t="shared" si="9"/>
        <v/>
      </c>
      <c r="J621" s="201" t="str">
        <f>IFERROR(COUNTIF($C$23:C621,C621)&amp;CHOOSE(MIN(4,COUNTIF($C$23:C621,C621)),"st","nd","rd","th"),"")</f>
        <v/>
      </c>
    </row>
    <row r="622" spans="4:10" x14ac:dyDescent="0.25">
      <c r="D622" s="201" t="str">
        <f t="shared" si="9"/>
        <v/>
      </c>
      <c r="J622" s="201" t="str">
        <f>IFERROR(COUNTIF($C$23:C622,C622)&amp;CHOOSE(MIN(4,COUNTIF($C$23:C622,C622)),"st","nd","rd","th"),"")</f>
        <v/>
      </c>
    </row>
    <row r="623" spans="4:10" x14ac:dyDescent="0.25">
      <c r="D623" s="201" t="str">
        <f t="shared" si="9"/>
        <v/>
      </c>
      <c r="J623" s="201" t="str">
        <f>IFERROR(COUNTIF($C$23:C623,C623)&amp;CHOOSE(MIN(4,COUNTIF($C$23:C623,C623)),"st","nd","rd","th"),"")</f>
        <v/>
      </c>
    </row>
    <row r="624" spans="4:10" x14ac:dyDescent="0.25">
      <c r="D624" s="201" t="str">
        <f t="shared" si="9"/>
        <v/>
      </c>
      <c r="J624" s="201" t="str">
        <f>IFERROR(COUNTIF($C$23:C624,C624)&amp;CHOOSE(MIN(4,COUNTIF($C$23:C624,C624)),"st","nd","rd","th"),"")</f>
        <v/>
      </c>
    </row>
    <row r="625" spans="4:10" x14ac:dyDescent="0.25">
      <c r="D625" s="201" t="str">
        <f t="shared" si="9"/>
        <v/>
      </c>
      <c r="J625" s="201" t="str">
        <f>IFERROR(COUNTIF($C$23:C625,C625)&amp;CHOOSE(MIN(4,COUNTIF($C$23:C625,C625)),"st","nd","rd","th"),"")</f>
        <v/>
      </c>
    </row>
    <row r="626" spans="4:10" x14ac:dyDescent="0.25">
      <c r="D626" s="201" t="str">
        <f t="shared" si="9"/>
        <v/>
      </c>
      <c r="J626" s="201" t="str">
        <f>IFERROR(COUNTIF($C$23:C626,C626)&amp;CHOOSE(MIN(4,COUNTIF($C$23:C626,C626)),"st","nd","rd","th"),"")</f>
        <v/>
      </c>
    </row>
    <row r="627" spans="4:10" x14ac:dyDescent="0.25">
      <c r="D627" s="201" t="str">
        <f t="shared" si="9"/>
        <v/>
      </c>
      <c r="J627" s="201" t="str">
        <f>IFERROR(COUNTIF($C$23:C627,C627)&amp;CHOOSE(MIN(4,COUNTIF($C$23:C627,C627)),"st","nd","rd","th"),"")</f>
        <v/>
      </c>
    </row>
    <row r="628" spans="4:10" x14ac:dyDescent="0.25">
      <c r="D628" s="201" t="str">
        <f t="shared" si="9"/>
        <v/>
      </c>
      <c r="J628" s="201" t="str">
        <f>IFERROR(COUNTIF($C$23:C628,C628)&amp;CHOOSE(MIN(4,COUNTIF($C$23:C628,C628)),"st","nd","rd","th"),"")</f>
        <v/>
      </c>
    </row>
    <row r="629" spans="4:10" x14ac:dyDescent="0.25">
      <c r="D629" s="201" t="str">
        <f t="shared" si="9"/>
        <v/>
      </c>
      <c r="J629" s="201" t="str">
        <f>IFERROR(COUNTIF($C$23:C629,C629)&amp;CHOOSE(MIN(4,COUNTIF($C$23:C629,C629)),"st","nd","rd","th"),"")</f>
        <v/>
      </c>
    </row>
    <row r="630" spans="4:10" x14ac:dyDescent="0.25">
      <c r="D630" s="201" t="str">
        <f t="shared" si="9"/>
        <v/>
      </c>
      <c r="J630" s="201" t="str">
        <f>IFERROR(COUNTIF($C$23:C630,C630)&amp;CHOOSE(MIN(4,COUNTIF($C$23:C630,C630)),"st","nd","rd","th"),"")</f>
        <v/>
      </c>
    </row>
    <row r="631" spans="4:10" x14ac:dyDescent="0.25">
      <c r="D631" s="201" t="str">
        <f t="shared" si="9"/>
        <v/>
      </c>
      <c r="J631" s="201" t="str">
        <f>IFERROR(COUNTIF($C$23:C631,C631)&amp;CHOOSE(MIN(4,COUNTIF($C$23:C631,C631)),"st","nd","rd","th"),"")</f>
        <v/>
      </c>
    </row>
    <row r="632" spans="4:10" x14ac:dyDescent="0.25">
      <c r="D632" s="201" t="str">
        <f t="shared" si="9"/>
        <v/>
      </c>
      <c r="J632" s="201" t="str">
        <f>IFERROR(COUNTIF($C$23:C632,C632)&amp;CHOOSE(MIN(4,COUNTIF($C$23:C632,C632)),"st","nd","rd","th"),"")</f>
        <v/>
      </c>
    </row>
    <row r="633" spans="4:10" x14ac:dyDescent="0.25">
      <c r="D633" s="201" t="str">
        <f t="shared" si="9"/>
        <v/>
      </c>
      <c r="J633" s="201" t="str">
        <f>IFERROR(COUNTIF($C$23:C633,C633)&amp;CHOOSE(MIN(4,COUNTIF($C$23:C633,C633)),"st","nd","rd","th"),"")</f>
        <v/>
      </c>
    </row>
    <row r="634" spans="4:10" x14ac:dyDescent="0.25">
      <c r="D634" s="201" t="str">
        <f t="shared" si="9"/>
        <v/>
      </c>
      <c r="J634" s="201" t="str">
        <f>IFERROR(COUNTIF($C$23:C634,C634)&amp;CHOOSE(MIN(4,COUNTIF($C$23:C634,C634)),"st","nd","rd","th"),"")</f>
        <v/>
      </c>
    </row>
    <row r="635" spans="4:10" x14ac:dyDescent="0.25">
      <c r="D635" s="201" t="str">
        <f t="shared" si="9"/>
        <v/>
      </c>
      <c r="J635" s="201" t="str">
        <f>IFERROR(COUNTIF($C$23:C635,C635)&amp;CHOOSE(MIN(4,COUNTIF($C$23:C635,C635)),"st","nd","rd","th"),"")</f>
        <v/>
      </c>
    </row>
    <row r="636" spans="4:10" x14ac:dyDescent="0.25">
      <c r="D636" s="201" t="str">
        <f t="shared" si="9"/>
        <v/>
      </c>
      <c r="J636" s="201" t="str">
        <f>IFERROR(COUNTIF($C$23:C636,C636)&amp;CHOOSE(MIN(4,COUNTIF($C$23:C636,C636)),"st","nd","rd","th"),"")</f>
        <v/>
      </c>
    </row>
    <row r="637" spans="4:10" x14ac:dyDescent="0.25">
      <c r="D637" s="201" t="str">
        <f t="shared" si="9"/>
        <v/>
      </c>
      <c r="J637" s="201" t="str">
        <f>IFERROR(COUNTIF($C$23:C637,C637)&amp;CHOOSE(MIN(4,COUNTIF($C$23:C637,C637)),"st","nd","rd","th"),"")</f>
        <v/>
      </c>
    </row>
    <row r="638" spans="4:10" x14ac:dyDescent="0.25">
      <c r="D638" s="201" t="str">
        <f t="shared" si="9"/>
        <v/>
      </c>
      <c r="J638" s="201" t="str">
        <f>IFERROR(COUNTIF($C$23:C638,C638)&amp;CHOOSE(MIN(4,COUNTIF($C$23:C638,C638)),"st","nd","rd","th"),"")</f>
        <v/>
      </c>
    </row>
    <row r="639" spans="4:10" x14ac:dyDescent="0.25">
      <c r="D639" s="201" t="str">
        <f t="shared" si="9"/>
        <v/>
      </c>
      <c r="J639" s="201" t="str">
        <f>IFERROR(COUNTIF($C$23:C639,C639)&amp;CHOOSE(MIN(4,COUNTIF($C$23:C639,C639)),"st","nd","rd","th"),"")</f>
        <v/>
      </c>
    </row>
    <row r="640" spans="4:10" x14ac:dyDescent="0.25">
      <c r="D640" s="201" t="str">
        <f t="shared" si="9"/>
        <v/>
      </c>
      <c r="J640" s="201" t="str">
        <f>IFERROR(COUNTIF($C$23:C640,C640)&amp;CHOOSE(MIN(4,COUNTIF($C$23:C640,C640)),"st","nd","rd","th"),"")</f>
        <v/>
      </c>
    </row>
    <row r="641" spans="4:10" x14ac:dyDescent="0.25">
      <c r="D641" s="201" t="str">
        <f t="shared" si="9"/>
        <v/>
      </c>
      <c r="J641" s="201" t="str">
        <f>IFERROR(COUNTIF($C$23:C641,C641)&amp;CHOOSE(MIN(4,COUNTIF($C$23:C641,C641)),"st","nd","rd","th"),"")</f>
        <v/>
      </c>
    </row>
    <row r="642" spans="4:10" x14ac:dyDescent="0.25">
      <c r="D642" s="201" t="str">
        <f t="shared" si="9"/>
        <v/>
      </c>
      <c r="J642" s="201" t="str">
        <f>IFERROR(COUNTIF($C$23:C642,C642)&amp;CHOOSE(MIN(4,COUNTIF($C$23:C642,C642)),"st","nd","rd","th"),"")</f>
        <v/>
      </c>
    </row>
    <row r="643" spans="4:10" x14ac:dyDescent="0.25">
      <c r="D643" s="201" t="str">
        <f t="shared" si="9"/>
        <v/>
      </c>
      <c r="J643" s="201" t="str">
        <f>IFERROR(COUNTIF($C$23:C643,C643)&amp;CHOOSE(MIN(4,COUNTIF($C$23:C643,C643)),"st","nd","rd","th"),"")</f>
        <v/>
      </c>
    </row>
    <row r="644" spans="4:10" x14ac:dyDescent="0.25">
      <c r="D644" s="201" t="str">
        <f t="shared" si="9"/>
        <v/>
      </c>
      <c r="J644" s="201" t="str">
        <f>IFERROR(COUNTIF($C$23:C644,C644)&amp;CHOOSE(MIN(4,COUNTIF($C$23:C644,C644)),"st","nd","rd","th"),"")</f>
        <v/>
      </c>
    </row>
    <row r="645" spans="4:10" x14ac:dyDescent="0.25">
      <c r="D645" s="201" t="str">
        <f t="shared" si="9"/>
        <v/>
      </c>
      <c r="J645" s="201" t="str">
        <f>IFERROR(COUNTIF($C$23:C645,C645)&amp;CHOOSE(MIN(4,COUNTIF($C$23:C645,C645)),"st","nd","rd","th"),"")</f>
        <v/>
      </c>
    </row>
    <row r="646" spans="4:10" x14ac:dyDescent="0.25">
      <c r="D646" s="201" t="str">
        <f t="shared" si="9"/>
        <v/>
      </c>
      <c r="J646" s="201" t="str">
        <f>IFERROR(COUNTIF($C$23:C646,C646)&amp;CHOOSE(MIN(4,COUNTIF($C$23:C646,C646)),"st","nd","rd","th"),"")</f>
        <v/>
      </c>
    </row>
    <row r="647" spans="4:10" x14ac:dyDescent="0.25">
      <c r="D647" s="201" t="str">
        <f t="shared" si="9"/>
        <v/>
      </c>
      <c r="J647" s="201" t="str">
        <f>IFERROR(COUNTIF($C$23:C647,C647)&amp;CHOOSE(MIN(4,COUNTIF($C$23:C647,C647)),"st","nd","rd","th"),"")</f>
        <v/>
      </c>
    </row>
    <row r="648" spans="4:10" x14ac:dyDescent="0.25">
      <c r="D648" s="201" t="str">
        <f t="shared" si="9"/>
        <v/>
      </c>
      <c r="J648" s="201" t="str">
        <f>IFERROR(COUNTIF($C$23:C648,C648)&amp;CHOOSE(MIN(4,COUNTIF($C$23:C648,C648)),"st","nd","rd","th"),"")</f>
        <v/>
      </c>
    </row>
    <row r="649" spans="4:10" x14ac:dyDescent="0.25">
      <c r="D649" s="201" t="str">
        <f t="shared" si="9"/>
        <v/>
      </c>
      <c r="J649" s="201" t="str">
        <f>IFERROR(COUNTIF($C$23:C649,C649)&amp;CHOOSE(MIN(4,COUNTIF($C$23:C649,C649)),"st","nd","rd","th"),"")</f>
        <v/>
      </c>
    </row>
    <row r="650" spans="4:10" x14ac:dyDescent="0.25">
      <c r="D650" s="201" t="str">
        <f t="shared" si="9"/>
        <v/>
      </c>
      <c r="J650" s="201" t="str">
        <f>IFERROR(COUNTIF($C$23:C650,C650)&amp;CHOOSE(MIN(4,COUNTIF($C$23:C650,C650)),"st","nd","rd","th"),"")</f>
        <v/>
      </c>
    </row>
    <row r="651" spans="4:10" x14ac:dyDescent="0.25">
      <c r="D651" s="201" t="str">
        <f t="shared" si="9"/>
        <v/>
      </c>
      <c r="J651" s="201" t="str">
        <f>IFERROR(COUNTIF($C$23:C651,C651)&amp;CHOOSE(MIN(4,COUNTIF($C$23:C651,C651)),"st","nd","rd","th"),"")</f>
        <v/>
      </c>
    </row>
    <row r="652" spans="4:10" x14ac:dyDescent="0.25">
      <c r="D652" s="201" t="str">
        <f t="shared" si="9"/>
        <v/>
      </c>
      <c r="J652" s="201" t="str">
        <f>IFERROR(COUNTIF($C$23:C652,C652)&amp;CHOOSE(MIN(4,COUNTIF($C$23:C652,C652)),"st","nd","rd","th"),"")</f>
        <v/>
      </c>
    </row>
    <row r="653" spans="4:10" x14ac:dyDescent="0.25">
      <c r="D653" s="201" t="str">
        <f t="shared" si="9"/>
        <v/>
      </c>
      <c r="J653" s="201" t="str">
        <f>IFERROR(COUNTIF($C$23:C653,C653)&amp;CHOOSE(MIN(4,COUNTIF($C$23:C653,C653)),"st","nd","rd","th"),"")</f>
        <v/>
      </c>
    </row>
    <row r="654" spans="4:10" x14ac:dyDescent="0.25">
      <c r="D654" s="201" t="str">
        <f t="shared" si="9"/>
        <v/>
      </c>
      <c r="J654" s="201" t="str">
        <f>IFERROR(COUNTIF($C$23:C654,C654)&amp;CHOOSE(MIN(4,COUNTIF($C$23:C654,C654)),"st","nd","rd","th"),"")</f>
        <v/>
      </c>
    </row>
    <row r="655" spans="4:10" x14ac:dyDescent="0.25">
      <c r="D655" s="201" t="str">
        <f t="shared" si="9"/>
        <v/>
      </c>
      <c r="J655" s="201" t="str">
        <f>IFERROR(COUNTIF($C$23:C655,C655)&amp;CHOOSE(MIN(4,COUNTIF($C$23:C655,C655)),"st","nd","rd","th"),"")</f>
        <v/>
      </c>
    </row>
    <row r="656" spans="4:10" x14ac:dyDescent="0.25">
      <c r="D656" s="201" t="str">
        <f t="shared" si="9"/>
        <v/>
      </c>
      <c r="J656" s="201" t="str">
        <f>IFERROR(COUNTIF($C$23:C656,C656)&amp;CHOOSE(MIN(4,COUNTIF($C$23:C656,C656)),"st","nd","rd","th"),"")</f>
        <v/>
      </c>
    </row>
    <row r="657" spans="4:10" x14ac:dyDescent="0.25">
      <c r="D657" s="201" t="str">
        <f t="shared" si="9"/>
        <v/>
      </c>
      <c r="J657" s="201" t="str">
        <f>IFERROR(COUNTIF($C$23:C657,C657)&amp;CHOOSE(MIN(4,COUNTIF($C$23:C657,C657)),"st","nd","rd","th"),"")</f>
        <v/>
      </c>
    </row>
    <row r="658" spans="4:10" x14ac:dyDescent="0.25">
      <c r="D658" s="201" t="str">
        <f t="shared" si="9"/>
        <v/>
      </c>
      <c r="J658" s="201" t="str">
        <f>IFERROR(COUNTIF($C$23:C658,C658)&amp;CHOOSE(MIN(4,COUNTIF($C$23:C658,C658)),"st","nd","rd","th"),"")</f>
        <v/>
      </c>
    </row>
    <row r="659" spans="4:10" x14ac:dyDescent="0.25">
      <c r="D659" s="201" t="str">
        <f t="shared" si="9"/>
        <v/>
      </c>
      <c r="J659" s="201" t="str">
        <f>IFERROR(COUNTIF($C$23:C659,C659)&amp;CHOOSE(MIN(4,COUNTIF($C$23:C659,C659)),"st","nd","rd","th"),"")</f>
        <v/>
      </c>
    </row>
    <row r="660" spans="4:10" x14ac:dyDescent="0.25">
      <c r="D660" s="201" t="str">
        <f t="shared" si="9"/>
        <v/>
      </c>
      <c r="J660" s="201" t="str">
        <f>IFERROR(COUNTIF($C$23:C660,C660)&amp;CHOOSE(MIN(4,COUNTIF($C$23:C660,C660)),"st","nd","rd","th"),"")</f>
        <v/>
      </c>
    </row>
    <row r="661" spans="4:10" x14ac:dyDescent="0.25">
      <c r="D661" s="201" t="str">
        <f t="shared" si="9"/>
        <v/>
      </c>
      <c r="J661" s="201" t="str">
        <f>IFERROR(COUNTIF($C$23:C661,C661)&amp;CHOOSE(MIN(4,COUNTIF($C$23:C661,C661)),"st","nd","rd","th"),"")</f>
        <v/>
      </c>
    </row>
    <row r="662" spans="4:10" x14ac:dyDescent="0.25">
      <c r="D662" s="201" t="str">
        <f t="shared" si="9"/>
        <v/>
      </c>
      <c r="J662" s="201" t="str">
        <f>IFERROR(COUNTIF($C$23:C662,C662)&amp;CHOOSE(MIN(4,COUNTIF($C$23:C662,C662)),"st","nd","rd","th"),"")</f>
        <v/>
      </c>
    </row>
    <row r="663" spans="4:10" x14ac:dyDescent="0.25">
      <c r="D663" s="201" t="str">
        <f t="shared" ref="D663:D726" si="10">IF(B663="","",IF(B663="Province_PLGU","PDPFP","CLUP"))</f>
        <v/>
      </c>
      <c r="J663" s="201" t="str">
        <f>IFERROR(COUNTIF($C$23:C663,C663)&amp;CHOOSE(MIN(4,COUNTIF($C$23:C663,C663)),"st","nd","rd","th"),"")</f>
        <v/>
      </c>
    </row>
    <row r="664" spans="4:10" x14ac:dyDescent="0.25">
      <c r="D664" s="201" t="str">
        <f t="shared" si="10"/>
        <v/>
      </c>
      <c r="J664" s="201" t="str">
        <f>IFERROR(COUNTIF($C$23:C664,C664)&amp;CHOOSE(MIN(4,COUNTIF($C$23:C664,C664)),"st","nd","rd","th"),"")</f>
        <v/>
      </c>
    </row>
    <row r="665" spans="4:10" x14ac:dyDescent="0.25">
      <c r="D665" s="201" t="str">
        <f t="shared" si="10"/>
        <v/>
      </c>
      <c r="J665" s="201" t="str">
        <f>IFERROR(COUNTIF($C$23:C665,C665)&amp;CHOOSE(MIN(4,COUNTIF($C$23:C665,C665)),"st","nd","rd","th"),"")</f>
        <v/>
      </c>
    </row>
    <row r="666" spans="4:10" x14ac:dyDescent="0.25">
      <c r="D666" s="201" t="str">
        <f t="shared" si="10"/>
        <v/>
      </c>
      <c r="J666" s="201" t="str">
        <f>IFERROR(COUNTIF($C$23:C666,C666)&amp;CHOOSE(MIN(4,COUNTIF($C$23:C666,C666)),"st","nd","rd","th"),"")</f>
        <v/>
      </c>
    </row>
    <row r="667" spans="4:10" x14ac:dyDescent="0.25">
      <c r="D667" s="201" t="str">
        <f t="shared" si="10"/>
        <v/>
      </c>
      <c r="J667" s="201" t="str">
        <f>IFERROR(COUNTIF($C$23:C667,C667)&amp;CHOOSE(MIN(4,COUNTIF($C$23:C667,C667)),"st","nd","rd","th"),"")</f>
        <v/>
      </c>
    </row>
    <row r="668" spans="4:10" x14ac:dyDescent="0.25">
      <c r="D668" s="201" t="str">
        <f t="shared" si="10"/>
        <v/>
      </c>
      <c r="J668" s="201" t="str">
        <f>IFERROR(COUNTIF($C$23:C668,C668)&amp;CHOOSE(MIN(4,COUNTIF($C$23:C668,C668)),"st","nd","rd","th"),"")</f>
        <v/>
      </c>
    </row>
    <row r="669" spans="4:10" x14ac:dyDescent="0.25">
      <c r="D669" s="201" t="str">
        <f t="shared" si="10"/>
        <v/>
      </c>
      <c r="J669" s="201" t="str">
        <f>IFERROR(COUNTIF($C$23:C669,C669)&amp;CHOOSE(MIN(4,COUNTIF($C$23:C669,C669)),"st","nd","rd","th"),"")</f>
        <v/>
      </c>
    </row>
    <row r="670" spans="4:10" x14ac:dyDescent="0.25">
      <c r="D670" s="201" t="str">
        <f t="shared" si="10"/>
        <v/>
      </c>
      <c r="J670" s="201" t="str">
        <f>IFERROR(COUNTIF($C$23:C670,C670)&amp;CHOOSE(MIN(4,COUNTIF($C$23:C670,C670)),"st","nd","rd","th"),"")</f>
        <v/>
      </c>
    </row>
    <row r="671" spans="4:10" x14ac:dyDescent="0.25">
      <c r="D671" s="201" t="str">
        <f t="shared" si="10"/>
        <v/>
      </c>
      <c r="J671" s="201" t="str">
        <f>IFERROR(COUNTIF($C$23:C671,C671)&amp;CHOOSE(MIN(4,COUNTIF($C$23:C671,C671)),"st","nd","rd","th"),"")</f>
        <v/>
      </c>
    </row>
    <row r="672" spans="4:10" x14ac:dyDescent="0.25">
      <c r="D672" s="201" t="str">
        <f t="shared" si="10"/>
        <v/>
      </c>
      <c r="J672" s="201" t="str">
        <f>IFERROR(COUNTIF($C$23:C672,C672)&amp;CHOOSE(MIN(4,COUNTIF($C$23:C672,C672)),"st","nd","rd","th"),"")</f>
        <v/>
      </c>
    </row>
    <row r="673" spans="4:10" x14ac:dyDescent="0.25">
      <c r="D673" s="201" t="str">
        <f t="shared" si="10"/>
        <v/>
      </c>
      <c r="J673" s="201" t="str">
        <f>IFERROR(COUNTIF($C$23:C673,C673)&amp;CHOOSE(MIN(4,COUNTIF($C$23:C673,C673)),"st","nd","rd","th"),"")</f>
        <v/>
      </c>
    </row>
    <row r="674" spans="4:10" x14ac:dyDescent="0.25">
      <c r="D674" s="201" t="str">
        <f t="shared" si="10"/>
        <v/>
      </c>
      <c r="J674" s="201" t="str">
        <f>IFERROR(COUNTIF($C$23:C674,C674)&amp;CHOOSE(MIN(4,COUNTIF($C$23:C674,C674)),"st","nd","rd","th"),"")</f>
        <v/>
      </c>
    </row>
    <row r="675" spans="4:10" x14ac:dyDescent="0.25">
      <c r="D675" s="201" t="str">
        <f t="shared" si="10"/>
        <v/>
      </c>
      <c r="J675" s="201" t="str">
        <f>IFERROR(COUNTIF($C$23:C675,C675)&amp;CHOOSE(MIN(4,COUNTIF($C$23:C675,C675)),"st","nd","rd","th"),"")</f>
        <v/>
      </c>
    </row>
    <row r="676" spans="4:10" x14ac:dyDescent="0.25">
      <c r="D676" s="201" t="str">
        <f t="shared" si="10"/>
        <v/>
      </c>
      <c r="J676" s="201" t="str">
        <f>IFERROR(COUNTIF($C$23:C676,C676)&amp;CHOOSE(MIN(4,COUNTIF($C$23:C676,C676)),"st","nd","rd","th"),"")</f>
        <v/>
      </c>
    </row>
    <row r="677" spans="4:10" x14ac:dyDescent="0.25">
      <c r="D677" s="201" t="str">
        <f t="shared" si="10"/>
        <v/>
      </c>
      <c r="J677" s="201" t="str">
        <f>IFERROR(COUNTIF($C$23:C677,C677)&amp;CHOOSE(MIN(4,COUNTIF($C$23:C677,C677)),"st","nd","rd","th"),"")</f>
        <v/>
      </c>
    </row>
    <row r="678" spans="4:10" x14ac:dyDescent="0.25">
      <c r="D678" s="201" t="str">
        <f t="shared" si="10"/>
        <v/>
      </c>
      <c r="J678" s="201" t="str">
        <f>IFERROR(COUNTIF($C$23:C678,C678)&amp;CHOOSE(MIN(4,COUNTIF($C$23:C678,C678)),"st","nd","rd","th"),"")</f>
        <v/>
      </c>
    </row>
    <row r="679" spans="4:10" x14ac:dyDescent="0.25">
      <c r="D679" s="201" t="str">
        <f t="shared" si="10"/>
        <v/>
      </c>
      <c r="J679" s="201" t="str">
        <f>IFERROR(COUNTIF($C$23:C679,C679)&amp;CHOOSE(MIN(4,COUNTIF($C$23:C679,C679)),"st","nd","rd","th"),"")</f>
        <v/>
      </c>
    </row>
    <row r="680" spans="4:10" x14ac:dyDescent="0.25">
      <c r="D680" s="201" t="str">
        <f t="shared" si="10"/>
        <v/>
      </c>
      <c r="J680" s="201" t="str">
        <f>IFERROR(COUNTIF($C$23:C680,C680)&amp;CHOOSE(MIN(4,COUNTIF($C$23:C680,C680)),"st","nd","rd","th"),"")</f>
        <v/>
      </c>
    </row>
    <row r="681" spans="4:10" x14ac:dyDescent="0.25">
      <c r="D681" s="201" t="str">
        <f t="shared" si="10"/>
        <v/>
      </c>
      <c r="J681" s="201" t="str">
        <f>IFERROR(COUNTIF($C$23:C681,C681)&amp;CHOOSE(MIN(4,COUNTIF($C$23:C681,C681)),"st","nd","rd","th"),"")</f>
        <v/>
      </c>
    </row>
    <row r="682" spans="4:10" x14ac:dyDescent="0.25">
      <c r="D682" s="201" t="str">
        <f t="shared" si="10"/>
        <v/>
      </c>
      <c r="J682" s="201" t="str">
        <f>IFERROR(COUNTIF($C$23:C682,C682)&amp;CHOOSE(MIN(4,COUNTIF($C$23:C682,C682)),"st","nd","rd","th"),"")</f>
        <v/>
      </c>
    </row>
    <row r="683" spans="4:10" x14ac:dyDescent="0.25">
      <c r="D683" s="201" t="str">
        <f t="shared" si="10"/>
        <v/>
      </c>
      <c r="J683" s="201" t="str">
        <f>IFERROR(COUNTIF($C$23:C683,C683)&amp;CHOOSE(MIN(4,COUNTIF($C$23:C683,C683)),"st","nd","rd","th"),"")</f>
        <v/>
      </c>
    </row>
    <row r="684" spans="4:10" x14ac:dyDescent="0.25">
      <c r="D684" s="201" t="str">
        <f t="shared" si="10"/>
        <v/>
      </c>
      <c r="J684" s="201" t="str">
        <f>IFERROR(COUNTIF($C$23:C684,C684)&amp;CHOOSE(MIN(4,COUNTIF($C$23:C684,C684)),"st","nd","rd","th"),"")</f>
        <v/>
      </c>
    </row>
    <row r="685" spans="4:10" x14ac:dyDescent="0.25">
      <c r="D685" s="201" t="str">
        <f t="shared" si="10"/>
        <v/>
      </c>
      <c r="J685" s="201" t="str">
        <f>IFERROR(COUNTIF($C$23:C685,C685)&amp;CHOOSE(MIN(4,COUNTIF($C$23:C685,C685)),"st","nd","rd","th"),"")</f>
        <v/>
      </c>
    </row>
    <row r="686" spans="4:10" x14ac:dyDescent="0.25">
      <c r="D686" s="201" t="str">
        <f t="shared" si="10"/>
        <v/>
      </c>
      <c r="J686" s="201" t="str">
        <f>IFERROR(COUNTIF($C$23:C686,C686)&amp;CHOOSE(MIN(4,COUNTIF($C$23:C686,C686)),"st","nd","rd","th"),"")</f>
        <v/>
      </c>
    </row>
    <row r="687" spans="4:10" x14ac:dyDescent="0.25">
      <c r="D687" s="201" t="str">
        <f t="shared" si="10"/>
        <v/>
      </c>
      <c r="J687" s="201" t="str">
        <f>IFERROR(COUNTIF($C$23:C687,C687)&amp;CHOOSE(MIN(4,COUNTIF($C$23:C687,C687)),"st","nd","rd","th"),"")</f>
        <v/>
      </c>
    </row>
    <row r="688" spans="4:10" x14ac:dyDescent="0.25">
      <c r="D688" s="201" t="str">
        <f t="shared" si="10"/>
        <v/>
      </c>
      <c r="J688" s="201" t="str">
        <f>IFERROR(COUNTIF($C$23:C688,C688)&amp;CHOOSE(MIN(4,COUNTIF($C$23:C688,C688)),"st","nd","rd","th"),"")</f>
        <v/>
      </c>
    </row>
    <row r="689" spans="4:10" x14ac:dyDescent="0.25">
      <c r="D689" s="201" t="str">
        <f t="shared" si="10"/>
        <v/>
      </c>
      <c r="J689" s="201" t="str">
        <f>IFERROR(COUNTIF($C$23:C689,C689)&amp;CHOOSE(MIN(4,COUNTIF($C$23:C689,C689)),"st","nd","rd","th"),"")</f>
        <v/>
      </c>
    </row>
    <row r="690" spans="4:10" x14ac:dyDescent="0.25">
      <c r="D690" s="201" t="str">
        <f t="shared" si="10"/>
        <v/>
      </c>
      <c r="J690" s="201" t="str">
        <f>IFERROR(COUNTIF($C$23:C690,C690)&amp;CHOOSE(MIN(4,COUNTIF($C$23:C690,C690)),"st","nd","rd","th"),"")</f>
        <v/>
      </c>
    </row>
    <row r="691" spans="4:10" x14ac:dyDescent="0.25">
      <c r="D691" s="201" t="str">
        <f t="shared" si="10"/>
        <v/>
      </c>
      <c r="J691" s="201" t="str">
        <f>IFERROR(COUNTIF($C$23:C691,C691)&amp;CHOOSE(MIN(4,COUNTIF($C$23:C691,C691)),"st","nd","rd","th"),"")</f>
        <v/>
      </c>
    </row>
    <row r="692" spans="4:10" x14ac:dyDescent="0.25">
      <c r="D692" s="201" t="str">
        <f t="shared" si="10"/>
        <v/>
      </c>
      <c r="J692" s="201" t="str">
        <f>IFERROR(COUNTIF($C$23:C692,C692)&amp;CHOOSE(MIN(4,COUNTIF($C$23:C692,C692)),"st","nd","rd","th"),"")</f>
        <v/>
      </c>
    </row>
    <row r="693" spans="4:10" x14ac:dyDescent="0.25">
      <c r="D693" s="201" t="str">
        <f t="shared" si="10"/>
        <v/>
      </c>
      <c r="J693" s="201" t="str">
        <f>IFERROR(COUNTIF($C$23:C693,C693)&amp;CHOOSE(MIN(4,COUNTIF($C$23:C693,C693)),"st","nd","rd","th"),"")</f>
        <v/>
      </c>
    </row>
    <row r="694" spans="4:10" x14ac:dyDescent="0.25">
      <c r="D694" s="201" t="str">
        <f t="shared" si="10"/>
        <v/>
      </c>
      <c r="J694" s="201" t="str">
        <f>IFERROR(COUNTIF($C$23:C694,C694)&amp;CHOOSE(MIN(4,COUNTIF($C$23:C694,C694)),"st","nd","rd","th"),"")</f>
        <v/>
      </c>
    </row>
    <row r="695" spans="4:10" x14ac:dyDescent="0.25">
      <c r="D695" s="201" t="str">
        <f t="shared" si="10"/>
        <v/>
      </c>
      <c r="J695" s="201" t="str">
        <f>IFERROR(COUNTIF($C$23:C695,C695)&amp;CHOOSE(MIN(4,COUNTIF($C$23:C695,C695)),"st","nd","rd","th"),"")</f>
        <v/>
      </c>
    </row>
    <row r="696" spans="4:10" x14ac:dyDescent="0.25">
      <c r="D696" s="201" t="str">
        <f t="shared" si="10"/>
        <v/>
      </c>
      <c r="J696" s="201" t="str">
        <f>IFERROR(COUNTIF($C$23:C696,C696)&amp;CHOOSE(MIN(4,COUNTIF($C$23:C696,C696)),"st","nd","rd","th"),"")</f>
        <v/>
      </c>
    </row>
    <row r="697" spans="4:10" x14ac:dyDescent="0.25">
      <c r="D697" s="201" t="str">
        <f t="shared" si="10"/>
        <v/>
      </c>
      <c r="J697" s="201" t="str">
        <f>IFERROR(COUNTIF($C$23:C697,C697)&amp;CHOOSE(MIN(4,COUNTIF($C$23:C697,C697)),"st","nd","rd","th"),"")</f>
        <v/>
      </c>
    </row>
    <row r="698" spans="4:10" x14ac:dyDescent="0.25">
      <c r="D698" s="201" t="str">
        <f t="shared" si="10"/>
        <v/>
      </c>
      <c r="J698" s="201" t="str">
        <f>IFERROR(COUNTIF($C$23:C698,C698)&amp;CHOOSE(MIN(4,COUNTIF($C$23:C698,C698)),"st","nd","rd","th"),"")</f>
        <v/>
      </c>
    </row>
    <row r="699" spans="4:10" x14ac:dyDescent="0.25">
      <c r="D699" s="201" t="str">
        <f t="shared" si="10"/>
        <v/>
      </c>
      <c r="J699" s="201" t="str">
        <f>IFERROR(COUNTIF($C$23:C699,C699)&amp;CHOOSE(MIN(4,COUNTIF($C$23:C699,C699)),"st","nd","rd","th"),"")</f>
        <v/>
      </c>
    </row>
    <row r="700" spans="4:10" x14ac:dyDescent="0.25">
      <c r="D700" s="201" t="str">
        <f t="shared" si="10"/>
        <v/>
      </c>
      <c r="J700" s="201" t="str">
        <f>IFERROR(COUNTIF($C$23:C700,C700)&amp;CHOOSE(MIN(4,COUNTIF($C$23:C700,C700)),"st","nd","rd","th"),"")</f>
        <v/>
      </c>
    </row>
    <row r="701" spans="4:10" x14ac:dyDescent="0.25">
      <c r="D701" s="201" t="str">
        <f t="shared" si="10"/>
        <v/>
      </c>
      <c r="J701" s="201" t="str">
        <f>IFERROR(COUNTIF($C$23:C701,C701)&amp;CHOOSE(MIN(4,COUNTIF($C$23:C701,C701)),"st","nd","rd","th"),"")</f>
        <v/>
      </c>
    </row>
    <row r="702" spans="4:10" x14ac:dyDescent="0.25">
      <c r="D702" s="201" t="str">
        <f t="shared" si="10"/>
        <v/>
      </c>
      <c r="J702" s="201" t="str">
        <f>IFERROR(COUNTIF($C$23:C702,C702)&amp;CHOOSE(MIN(4,COUNTIF($C$23:C702,C702)),"st","nd","rd","th"),"")</f>
        <v/>
      </c>
    </row>
    <row r="703" spans="4:10" x14ac:dyDescent="0.25">
      <c r="D703" s="201" t="str">
        <f t="shared" si="10"/>
        <v/>
      </c>
      <c r="J703" s="201" t="str">
        <f>IFERROR(COUNTIF($C$23:C703,C703)&amp;CHOOSE(MIN(4,COUNTIF($C$23:C703,C703)),"st","nd","rd","th"),"")</f>
        <v/>
      </c>
    </row>
    <row r="704" spans="4:10" x14ac:dyDescent="0.25">
      <c r="D704" s="201" t="str">
        <f t="shared" si="10"/>
        <v/>
      </c>
      <c r="J704" s="201" t="str">
        <f>IFERROR(COUNTIF($C$23:C704,C704)&amp;CHOOSE(MIN(4,COUNTIF($C$23:C704,C704)),"st","nd","rd","th"),"")</f>
        <v/>
      </c>
    </row>
    <row r="705" spans="4:10" x14ac:dyDescent="0.25">
      <c r="D705" s="201" t="str">
        <f t="shared" si="10"/>
        <v/>
      </c>
      <c r="J705" s="201" t="str">
        <f>IFERROR(COUNTIF($C$23:C705,C705)&amp;CHOOSE(MIN(4,COUNTIF($C$23:C705,C705)),"st","nd","rd","th"),"")</f>
        <v/>
      </c>
    </row>
    <row r="706" spans="4:10" x14ac:dyDescent="0.25">
      <c r="D706" s="201" t="str">
        <f t="shared" si="10"/>
        <v/>
      </c>
      <c r="J706" s="201" t="str">
        <f>IFERROR(COUNTIF($C$23:C706,C706)&amp;CHOOSE(MIN(4,COUNTIF($C$23:C706,C706)),"st","nd","rd","th"),"")</f>
        <v/>
      </c>
    </row>
    <row r="707" spans="4:10" x14ac:dyDescent="0.25">
      <c r="D707" s="201" t="str">
        <f t="shared" si="10"/>
        <v/>
      </c>
      <c r="J707" s="201" t="str">
        <f>IFERROR(COUNTIF($C$23:C707,C707)&amp;CHOOSE(MIN(4,COUNTIF($C$23:C707,C707)),"st","nd","rd","th"),"")</f>
        <v/>
      </c>
    </row>
    <row r="708" spans="4:10" x14ac:dyDescent="0.25">
      <c r="D708" s="201" t="str">
        <f t="shared" si="10"/>
        <v/>
      </c>
      <c r="J708" s="201" t="str">
        <f>IFERROR(COUNTIF($C$23:C708,C708)&amp;CHOOSE(MIN(4,COUNTIF($C$23:C708,C708)),"st","nd","rd","th"),"")</f>
        <v/>
      </c>
    </row>
    <row r="709" spans="4:10" x14ac:dyDescent="0.25">
      <c r="D709" s="201" t="str">
        <f t="shared" si="10"/>
        <v/>
      </c>
      <c r="J709" s="201" t="str">
        <f>IFERROR(COUNTIF($C$23:C709,C709)&amp;CHOOSE(MIN(4,COUNTIF($C$23:C709,C709)),"st","nd","rd","th"),"")</f>
        <v/>
      </c>
    </row>
    <row r="710" spans="4:10" x14ac:dyDescent="0.25">
      <c r="D710" s="201" t="str">
        <f t="shared" si="10"/>
        <v/>
      </c>
      <c r="J710" s="201" t="str">
        <f>IFERROR(COUNTIF($C$23:C710,C710)&amp;CHOOSE(MIN(4,COUNTIF($C$23:C710,C710)),"st","nd","rd","th"),"")</f>
        <v/>
      </c>
    </row>
    <row r="711" spans="4:10" x14ac:dyDescent="0.25">
      <c r="D711" s="201" t="str">
        <f t="shared" si="10"/>
        <v/>
      </c>
      <c r="J711" s="201" t="str">
        <f>IFERROR(COUNTIF($C$23:C711,C711)&amp;CHOOSE(MIN(4,COUNTIF($C$23:C711,C711)),"st","nd","rd","th"),"")</f>
        <v/>
      </c>
    </row>
    <row r="712" spans="4:10" x14ac:dyDescent="0.25">
      <c r="D712" s="201" t="str">
        <f t="shared" si="10"/>
        <v/>
      </c>
      <c r="J712" s="201" t="str">
        <f>IFERROR(COUNTIF($C$23:C712,C712)&amp;CHOOSE(MIN(4,COUNTIF($C$23:C712,C712)),"st","nd","rd","th"),"")</f>
        <v/>
      </c>
    </row>
    <row r="713" spans="4:10" x14ac:dyDescent="0.25">
      <c r="D713" s="201" t="str">
        <f t="shared" si="10"/>
        <v/>
      </c>
      <c r="J713" s="201" t="str">
        <f>IFERROR(COUNTIF($C$23:C713,C713)&amp;CHOOSE(MIN(4,COUNTIF($C$23:C713,C713)),"st","nd","rd","th"),"")</f>
        <v/>
      </c>
    </row>
    <row r="714" spans="4:10" x14ac:dyDescent="0.25">
      <c r="D714" s="201" t="str">
        <f t="shared" si="10"/>
        <v/>
      </c>
      <c r="J714" s="201" t="str">
        <f>IFERROR(COUNTIF($C$23:C714,C714)&amp;CHOOSE(MIN(4,COUNTIF($C$23:C714,C714)),"st","nd","rd","th"),"")</f>
        <v/>
      </c>
    </row>
    <row r="715" spans="4:10" x14ac:dyDescent="0.25">
      <c r="D715" s="201" t="str">
        <f t="shared" si="10"/>
        <v/>
      </c>
      <c r="J715" s="201" t="str">
        <f>IFERROR(COUNTIF($C$23:C715,C715)&amp;CHOOSE(MIN(4,COUNTIF($C$23:C715,C715)),"st","nd","rd","th"),"")</f>
        <v/>
      </c>
    </row>
    <row r="716" spans="4:10" x14ac:dyDescent="0.25">
      <c r="D716" s="201" t="str">
        <f t="shared" si="10"/>
        <v/>
      </c>
      <c r="J716" s="201" t="str">
        <f>IFERROR(COUNTIF($C$23:C716,C716)&amp;CHOOSE(MIN(4,COUNTIF($C$23:C716,C716)),"st","nd","rd","th"),"")</f>
        <v/>
      </c>
    </row>
    <row r="717" spans="4:10" x14ac:dyDescent="0.25">
      <c r="D717" s="201" t="str">
        <f t="shared" si="10"/>
        <v/>
      </c>
      <c r="J717" s="201" t="str">
        <f>IFERROR(COUNTIF($C$23:C717,C717)&amp;CHOOSE(MIN(4,COUNTIF($C$23:C717,C717)),"st","nd","rd","th"),"")</f>
        <v/>
      </c>
    </row>
    <row r="718" spans="4:10" x14ac:dyDescent="0.25">
      <c r="D718" s="201" t="str">
        <f t="shared" si="10"/>
        <v/>
      </c>
      <c r="J718" s="201" t="str">
        <f>IFERROR(COUNTIF($C$23:C718,C718)&amp;CHOOSE(MIN(4,COUNTIF($C$23:C718,C718)),"st","nd","rd","th"),"")</f>
        <v/>
      </c>
    </row>
    <row r="719" spans="4:10" x14ac:dyDescent="0.25">
      <c r="D719" s="201" t="str">
        <f t="shared" si="10"/>
        <v/>
      </c>
      <c r="J719" s="201" t="str">
        <f>IFERROR(COUNTIF($C$23:C719,C719)&amp;CHOOSE(MIN(4,COUNTIF($C$23:C719,C719)),"st","nd","rd","th"),"")</f>
        <v/>
      </c>
    </row>
    <row r="720" spans="4:10" x14ac:dyDescent="0.25">
      <c r="D720" s="201" t="str">
        <f t="shared" si="10"/>
        <v/>
      </c>
      <c r="J720" s="201" t="str">
        <f>IFERROR(COUNTIF($C$23:C720,C720)&amp;CHOOSE(MIN(4,COUNTIF($C$23:C720,C720)),"st","nd","rd","th"),"")</f>
        <v/>
      </c>
    </row>
    <row r="721" spans="4:10" x14ac:dyDescent="0.25">
      <c r="D721" s="201" t="str">
        <f t="shared" si="10"/>
        <v/>
      </c>
      <c r="J721" s="201" t="str">
        <f>IFERROR(COUNTIF($C$23:C721,C721)&amp;CHOOSE(MIN(4,COUNTIF($C$23:C721,C721)),"st","nd","rd","th"),"")</f>
        <v/>
      </c>
    </row>
    <row r="722" spans="4:10" x14ac:dyDescent="0.25">
      <c r="D722" s="201" t="str">
        <f t="shared" si="10"/>
        <v/>
      </c>
      <c r="J722" s="201" t="str">
        <f>IFERROR(COUNTIF($C$23:C722,C722)&amp;CHOOSE(MIN(4,COUNTIF($C$23:C722,C722)),"st","nd","rd","th"),"")</f>
        <v/>
      </c>
    </row>
    <row r="723" spans="4:10" x14ac:dyDescent="0.25">
      <c r="D723" s="201" t="str">
        <f t="shared" si="10"/>
        <v/>
      </c>
      <c r="J723" s="201" t="str">
        <f>IFERROR(COUNTIF($C$23:C723,C723)&amp;CHOOSE(MIN(4,COUNTIF($C$23:C723,C723)),"st","nd","rd","th"),"")</f>
        <v/>
      </c>
    </row>
    <row r="724" spans="4:10" x14ac:dyDescent="0.25">
      <c r="D724" s="201" t="str">
        <f t="shared" si="10"/>
        <v/>
      </c>
      <c r="J724" s="201" t="str">
        <f>IFERROR(COUNTIF($C$23:C724,C724)&amp;CHOOSE(MIN(4,COUNTIF($C$23:C724,C724)),"st","nd","rd","th"),"")</f>
        <v/>
      </c>
    </row>
    <row r="725" spans="4:10" x14ac:dyDescent="0.25">
      <c r="D725" s="201" t="str">
        <f t="shared" si="10"/>
        <v/>
      </c>
      <c r="J725" s="201" t="str">
        <f>IFERROR(COUNTIF($C$23:C725,C725)&amp;CHOOSE(MIN(4,COUNTIF($C$23:C725,C725)),"st","nd","rd","th"),"")</f>
        <v/>
      </c>
    </row>
    <row r="726" spans="4:10" x14ac:dyDescent="0.25">
      <c r="D726" s="201" t="str">
        <f t="shared" si="10"/>
        <v/>
      </c>
      <c r="J726" s="201" t="str">
        <f>IFERROR(COUNTIF($C$23:C726,C726)&amp;CHOOSE(MIN(4,COUNTIF($C$23:C726,C726)),"st","nd","rd","th"),"")</f>
        <v/>
      </c>
    </row>
    <row r="727" spans="4:10" x14ac:dyDescent="0.25">
      <c r="D727" s="201" t="str">
        <f t="shared" ref="D727:D790" si="11">IF(B727="","",IF(B727="Province_PLGU","PDPFP","CLUP"))</f>
        <v/>
      </c>
      <c r="J727" s="201" t="str">
        <f>IFERROR(COUNTIF($C$23:C727,C727)&amp;CHOOSE(MIN(4,COUNTIF($C$23:C727,C727)),"st","nd","rd","th"),"")</f>
        <v/>
      </c>
    </row>
    <row r="728" spans="4:10" x14ac:dyDescent="0.25">
      <c r="D728" s="201" t="str">
        <f t="shared" si="11"/>
        <v/>
      </c>
      <c r="J728" s="201" t="str">
        <f>IFERROR(COUNTIF($C$23:C728,C728)&amp;CHOOSE(MIN(4,COUNTIF($C$23:C728,C728)),"st","nd","rd","th"),"")</f>
        <v/>
      </c>
    </row>
    <row r="729" spans="4:10" x14ac:dyDescent="0.25">
      <c r="D729" s="201" t="str">
        <f t="shared" si="11"/>
        <v/>
      </c>
      <c r="J729" s="201" t="str">
        <f>IFERROR(COUNTIF($C$23:C729,C729)&amp;CHOOSE(MIN(4,COUNTIF($C$23:C729,C729)),"st","nd","rd","th"),"")</f>
        <v/>
      </c>
    </row>
    <row r="730" spans="4:10" x14ac:dyDescent="0.25">
      <c r="D730" s="201" t="str">
        <f t="shared" si="11"/>
        <v/>
      </c>
      <c r="J730" s="201" t="str">
        <f>IFERROR(COUNTIF($C$23:C730,C730)&amp;CHOOSE(MIN(4,COUNTIF($C$23:C730,C730)),"st","nd","rd","th"),"")</f>
        <v/>
      </c>
    </row>
    <row r="731" spans="4:10" x14ac:dyDescent="0.25">
      <c r="D731" s="201" t="str">
        <f t="shared" si="11"/>
        <v/>
      </c>
      <c r="J731" s="201" t="str">
        <f>IFERROR(COUNTIF($C$23:C731,C731)&amp;CHOOSE(MIN(4,COUNTIF($C$23:C731,C731)),"st","nd","rd","th"),"")</f>
        <v/>
      </c>
    </row>
    <row r="732" spans="4:10" x14ac:dyDescent="0.25">
      <c r="D732" s="201" t="str">
        <f t="shared" si="11"/>
        <v/>
      </c>
      <c r="J732" s="201" t="str">
        <f>IFERROR(COUNTIF($C$23:C732,C732)&amp;CHOOSE(MIN(4,COUNTIF($C$23:C732,C732)),"st","nd","rd","th"),"")</f>
        <v/>
      </c>
    </row>
    <row r="733" spans="4:10" x14ac:dyDescent="0.25">
      <c r="D733" s="201" t="str">
        <f t="shared" si="11"/>
        <v/>
      </c>
      <c r="J733" s="201" t="str">
        <f>IFERROR(COUNTIF($C$23:C733,C733)&amp;CHOOSE(MIN(4,COUNTIF($C$23:C733,C733)),"st","nd","rd","th"),"")</f>
        <v/>
      </c>
    </row>
    <row r="734" spans="4:10" x14ac:dyDescent="0.25">
      <c r="D734" s="201" t="str">
        <f t="shared" si="11"/>
        <v/>
      </c>
      <c r="J734" s="201" t="str">
        <f>IFERROR(COUNTIF($C$23:C734,C734)&amp;CHOOSE(MIN(4,COUNTIF($C$23:C734,C734)),"st","nd","rd","th"),"")</f>
        <v/>
      </c>
    </row>
    <row r="735" spans="4:10" x14ac:dyDescent="0.25">
      <c r="D735" s="201" t="str">
        <f t="shared" si="11"/>
        <v/>
      </c>
      <c r="J735" s="201" t="str">
        <f>IFERROR(COUNTIF($C$23:C735,C735)&amp;CHOOSE(MIN(4,COUNTIF($C$23:C735,C735)),"st","nd","rd","th"),"")</f>
        <v/>
      </c>
    </row>
    <row r="736" spans="4:10" x14ac:dyDescent="0.25">
      <c r="D736" s="201" t="str">
        <f t="shared" si="11"/>
        <v/>
      </c>
      <c r="J736" s="201" t="str">
        <f>IFERROR(COUNTIF($C$23:C736,C736)&amp;CHOOSE(MIN(4,COUNTIF($C$23:C736,C736)),"st","nd","rd","th"),"")</f>
        <v/>
      </c>
    </row>
    <row r="737" spans="4:10" x14ac:dyDescent="0.25">
      <c r="D737" s="201" t="str">
        <f t="shared" si="11"/>
        <v/>
      </c>
      <c r="J737" s="201" t="str">
        <f>IFERROR(COUNTIF($C$23:C737,C737)&amp;CHOOSE(MIN(4,COUNTIF($C$23:C737,C737)),"st","nd","rd","th"),"")</f>
        <v/>
      </c>
    </row>
    <row r="738" spans="4:10" x14ac:dyDescent="0.25">
      <c r="D738" s="201" t="str">
        <f t="shared" si="11"/>
        <v/>
      </c>
      <c r="J738" s="201" t="str">
        <f>IFERROR(COUNTIF($C$23:C738,C738)&amp;CHOOSE(MIN(4,COUNTIF($C$23:C738,C738)),"st","nd","rd","th"),"")</f>
        <v/>
      </c>
    </row>
    <row r="739" spans="4:10" x14ac:dyDescent="0.25">
      <c r="D739" s="201" t="str">
        <f t="shared" si="11"/>
        <v/>
      </c>
      <c r="J739" s="201" t="str">
        <f>IFERROR(COUNTIF($C$23:C739,C739)&amp;CHOOSE(MIN(4,COUNTIF($C$23:C739,C739)),"st","nd","rd","th"),"")</f>
        <v/>
      </c>
    </row>
    <row r="740" spans="4:10" x14ac:dyDescent="0.25">
      <c r="D740" s="201" t="str">
        <f t="shared" si="11"/>
        <v/>
      </c>
      <c r="J740" s="201" t="str">
        <f>IFERROR(COUNTIF($C$23:C740,C740)&amp;CHOOSE(MIN(4,COUNTIF($C$23:C740,C740)),"st","nd","rd","th"),"")</f>
        <v/>
      </c>
    </row>
    <row r="741" spans="4:10" x14ac:dyDescent="0.25">
      <c r="D741" s="201" t="str">
        <f t="shared" si="11"/>
        <v/>
      </c>
      <c r="J741" s="201" t="str">
        <f>IFERROR(COUNTIF($C$23:C741,C741)&amp;CHOOSE(MIN(4,COUNTIF($C$23:C741,C741)),"st","nd","rd","th"),"")</f>
        <v/>
      </c>
    </row>
    <row r="742" spans="4:10" x14ac:dyDescent="0.25">
      <c r="D742" s="201" t="str">
        <f t="shared" si="11"/>
        <v/>
      </c>
      <c r="J742" s="201" t="str">
        <f>IFERROR(COUNTIF($C$23:C742,C742)&amp;CHOOSE(MIN(4,COUNTIF($C$23:C742,C742)),"st","nd","rd","th"),"")</f>
        <v/>
      </c>
    </row>
    <row r="743" spans="4:10" x14ac:dyDescent="0.25">
      <c r="D743" s="201" t="str">
        <f t="shared" si="11"/>
        <v/>
      </c>
      <c r="J743" s="201" t="str">
        <f>IFERROR(COUNTIF($C$23:C743,C743)&amp;CHOOSE(MIN(4,COUNTIF($C$23:C743,C743)),"st","nd","rd","th"),"")</f>
        <v/>
      </c>
    </row>
    <row r="744" spans="4:10" x14ac:dyDescent="0.25">
      <c r="D744" s="201" t="str">
        <f t="shared" si="11"/>
        <v/>
      </c>
      <c r="J744" s="201" t="str">
        <f>IFERROR(COUNTIF($C$23:C744,C744)&amp;CHOOSE(MIN(4,COUNTIF($C$23:C744,C744)),"st","nd","rd","th"),"")</f>
        <v/>
      </c>
    </row>
    <row r="745" spans="4:10" x14ac:dyDescent="0.25">
      <c r="D745" s="201" t="str">
        <f t="shared" si="11"/>
        <v/>
      </c>
      <c r="J745" s="201" t="str">
        <f>IFERROR(COUNTIF($C$23:C745,C745)&amp;CHOOSE(MIN(4,COUNTIF($C$23:C745,C745)),"st","nd","rd","th"),"")</f>
        <v/>
      </c>
    </row>
    <row r="746" spans="4:10" x14ac:dyDescent="0.25">
      <c r="D746" s="201" t="str">
        <f t="shared" si="11"/>
        <v/>
      </c>
      <c r="J746" s="201" t="str">
        <f>IFERROR(COUNTIF($C$23:C746,C746)&amp;CHOOSE(MIN(4,COUNTIF($C$23:C746,C746)),"st","nd","rd","th"),"")</f>
        <v/>
      </c>
    </row>
    <row r="747" spans="4:10" x14ac:dyDescent="0.25">
      <c r="D747" s="201" t="str">
        <f t="shared" si="11"/>
        <v/>
      </c>
      <c r="J747" s="201" t="str">
        <f>IFERROR(COUNTIF($C$23:C747,C747)&amp;CHOOSE(MIN(4,COUNTIF($C$23:C747,C747)),"st","nd","rd","th"),"")</f>
        <v/>
      </c>
    </row>
    <row r="748" spans="4:10" x14ac:dyDescent="0.25">
      <c r="D748" s="201" t="str">
        <f t="shared" si="11"/>
        <v/>
      </c>
      <c r="J748" s="201" t="str">
        <f>IFERROR(COUNTIF($C$23:C748,C748)&amp;CHOOSE(MIN(4,COUNTIF($C$23:C748,C748)),"st","nd","rd","th"),"")</f>
        <v/>
      </c>
    </row>
    <row r="749" spans="4:10" x14ac:dyDescent="0.25">
      <c r="D749" s="201" t="str">
        <f t="shared" si="11"/>
        <v/>
      </c>
      <c r="J749" s="201" t="str">
        <f>IFERROR(COUNTIF($C$23:C749,C749)&amp;CHOOSE(MIN(4,COUNTIF($C$23:C749,C749)),"st","nd","rd","th"),"")</f>
        <v/>
      </c>
    </row>
    <row r="750" spans="4:10" x14ac:dyDescent="0.25">
      <c r="D750" s="201" t="str">
        <f t="shared" si="11"/>
        <v/>
      </c>
      <c r="J750" s="201" t="str">
        <f>IFERROR(COUNTIF($C$23:C750,C750)&amp;CHOOSE(MIN(4,COUNTIF($C$23:C750,C750)),"st","nd","rd","th"),"")</f>
        <v/>
      </c>
    </row>
    <row r="751" spans="4:10" x14ac:dyDescent="0.25">
      <c r="D751" s="201" t="str">
        <f t="shared" si="11"/>
        <v/>
      </c>
      <c r="J751" s="201" t="str">
        <f>IFERROR(COUNTIF($C$23:C751,C751)&amp;CHOOSE(MIN(4,COUNTIF($C$23:C751,C751)),"st","nd","rd","th"),"")</f>
        <v/>
      </c>
    </row>
    <row r="752" spans="4:10" x14ac:dyDescent="0.25">
      <c r="D752" s="201" t="str">
        <f t="shared" si="11"/>
        <v/>
      </c>
      <c r="J752" s="201" t="str">
        <f>IFERROR(COUNTIF($C$23:C752,C752)&amp;CHOOSE(MIN(4,COUNTIF($C$23:C752,C752)),"st","nd","rd","th"),"")</f>
        <v/>
      </c>
    </row>
    <row r="753" spans="4:10" x14ac:dyDescent="0.25">
      <c r="D753" s="201" t="str">
        <f t="shared" si="11"/>
        <v/>
      </c>
      <c r="J753" s="201" t="str">
        <f>IFERROR(COUNTIF($C$23:C753,C753)&amp;CHOOSE(MIN(4,COUNTIF($C$23:C753,C753)),"st","nd","rd","th"),"")</f>
        <v/>
      </c>
    </row>
    <row r="754" spans="4:10" x14ac:dyDescent="0.25">
      <c r="D754" s="201" t="str">
        <f t="shared" si="11"/>
        <v/>
      </c>
      <c r="J754" s="201" t="str">
        <f>IFERROR(COUNTIF($C$23:C754,C754)&amp;CHOOSE(MIN(4,COUNTIF($C$23:C754,C754)),"st","nd","rd","th"),"")</f>
        <v/>
      </c>
    </row>
    <row r="755" spans="4:10" x14ac:dyDescent="0.25">
      <c r="D755" s="201" t="str">
        <f t="shared" si="11"/>
        <v/>
      </c>
      <c r="J755" s="201" t="str">
        <f>IFERROR(COUNTIF($C$23:C755,C755)&amp;CHOOSE(MIN(4,COUNTIF($C$23:C755,C755)),"st","nd","rd","th"),"")</f>
        <v/>
      </c>
    </row>
    <row r="756" spans="4:10" x14ac:dyDescent="0.25">
      <c r="D756" s="201" t="str">
        <f t="shared" si="11"/>
        <v/>
      </c>
      <c r="J756" s="201" t="str">
        <f>IFERROR(COUNTIF($C$23:C756,C756)&amp;CHOOSE(MIN(4,COUNTIF($C$23:C756,C756)),"st","nd","rd","th"),"")</f>
        <v/>
      </c>
    </row>
    <row r="757" spans="4:10" x14ac:dyDescent="0.25">
      <c r="D757" s="201" t="str">
        <f t="shared" si="11"/>
        <v/>
      </c>
      <c r="J757" s="201" t="str">
        <f>IFERROR(COUNTIF($C$23:C757,C757)&amp;CHOOSE(MIN(4,COUNTIF($C$23:C757,C757)),"st","nd","rd","th"),"")</f>
        <v/>
      </c>
    </row>
    <row r="758" spans="4:10" x14ac:dyDescent="0.25">
      <c r="D758" s="201" t="str">
        <f t="shared" si="11"/>
        <v/>
      </c>
      <c r="J758" s="201" t="str">
        <f>IFERROR(COUNTIF($C$23:C758,C758)&amp;CHOOSE(MIN(4,COUNTIF($C$23:C758,C758)),"st","nd","rd","th"),"")</f>
        <v/>
      </c>
    </row>
    <row r="759" spans="4:10" x14ac:dyDescent="0.25">
      <c r="D759" s="201" t="str">
        <f t="shared" si="11"/>
        <v/>
      </c>
      <c r="J759" s="201" t="str">
        <f>IFERROR(COUNTIF($C$23:C759,C759)&amp;CHOOSE(MIN(4,COUNTIF($C$23:C759,C759)),"st","nd","rd","th"),"")</f>
        <v/>
      </c>
    </row>
    <row r="760" spans="4:10" x14ac:dyDescent="0.25">
      <c r="D760" s="201" t="str">
        <f t="shared" si="11"/>
        <v/>
      </c>
      <c r="J760" s="201" t="str">
        <f>IFERROR(COUNTIF($C$23:C760,C760)&amp;CHOOSE(MIN(4,COUNTIF($C$23:C760,C760)),"st","nd","rd","th"),"")</f>
        <v/>
      </c>
    </row>
    <row r="761" spans="4:10" x14ac:dyDescent="0.25">
      <c r="D761" s="201" t="str">
        <f t="shared" si="11"/>
        <v/>
      </c>
      <c r="J761" s="201" t="str">
        <f>IFERROR(COUNTIF($C$23:C761,C761)&amp;CHOOSE(MIN(4,COUNTIF($C$23:C761,C761)),"st","nd","rd","th"),"")</f>
        <v/>
      </c>
    </row>
    <row r="762" spans="4:10" x14ac:dyDescent="0.25">
      <c r="D762" s="201" t="str">
        <f t="shared" si="11"/>
        <v/>
      </c>
      <c r="J762" s="201" t="str">
        <f>IFERROR(COUNTIF($C$23:C762,C762)&amp;CHOOSE(MIN(4,COUNTIF($C$23:C762,C762)),"st","nd","rd","th"),"")</f>
        <v/>
      </c>
    </row>
    <row r="763" spans="4:10" x14ac:dyDescent="0.25">
      <c r="D763" s="201" t="str">
        <f t="shared" si="11"/>
        <v/>
      </c>
      <c r="J763" s="201" t="str">
        <f>IFERROR(COUNTIF($C$23:C763,C763)&amp;CHOOSE(MIN(4,COUNTIF($C$23:C763,C763)),"st","nd","rd","th"),"")</f>
        <v/>
      </c>
    </row>
    <row r="764" spans="4:10" x14ac:dyDescent="0.25">
      <c r="D764" s="201" t="str">
        <f t="shared" si="11"/>
        <v/>
      </c>
      <c r="J764" s="201" t="str">
        <f>IFERROR(COUNTIF($C$23:C764,C764)&amp;CHOOSE(MIN(4,COUNTIF($C$23:C764,C764)),"st","nd","rd","th"),"")</f>
        <v/>
      </c>
    </row>
    <row r="765" spans="4:10" x14ac:dyDescent="0.25">
      <c r="D765" s="201" t="str">
        <f t="shared" si="11"/>
        <v/>
      </c>
      <c r="J765" s="201" t="str">
        <f>IFERROR(COUNTIF($C$23:C765,C765)&amp;CHOOSE(MIN(4,COUNTIF($C$23:C765,C765)),"st","nd","rd","th"),"")</f>
        <v/>
      </c>
    </row>
    <row r="766" spans="4:10" x14ac:dyDescent="0.25">
      <c r="D766" s="201" t="str">
        <f t="shared" si="11"/>
        <v/>
      </c>
      <c r="J766" s="201" t="str">
        <f>IFERROR(COUNTIF($C$23:C766,C766)&amp;CHOOSE(MIN(4,COUNTIF($C$23:C766,C766)),"st","nd","rd","th"),"")</f>
        <v/>
      </c>
    </row>
    <row r="767" spans="4:10" x14ac:dyDescent="0.25">
      <c r="D767" s="201" t="str">
        <f t="shared" si="11"/>
        <v/>
      </c>
      <c r="J767" s="201" t="str">
        <f>IFERROR(COUNTIF($C$23:C767,C767)&amp;CHOOSE(MIN(4,COUNTIF($C$23:C767,C767)),"st","nd","rd","th"),"")</f>
        <v/>
      </c>
    </row>
    <row r="768" spans="4:10" x14ac:dyDescent="0.25">
      <c r="D768" s="201" t="str">
        <f t="shared" si="11"/>
        <v/>
      </c>
      <c r="J768" s="201" t="str">
        <f>IFERROR(COUNTIF($C$23:C768,C768)&amp;CHOOSE(MIN(4,COUNTIF($C$23:C768,C768)),"st","nd","rd","th"),"")</f>
        <v/>
      </c>
    </row>
    <row r="769" spans="4:10" x14ac:dyDescent="0.25">
      <c r="D769" s="201" t="str">
        <f t="shared" si="11"/>
        <v/>
      </c>
      <c r="J769" s="201" t="str">
        <f>IFERROR(COUNTIF($C$23:C769,C769)&amp;CHOOSE(MIN(4,COUNTIF($C$23:C769,C769)),"st","nd","rd","th"),"")</f>
        <v/>
      </c>
    </row>
    <row r="770" spans="4:10" x14ac:dyDescent="0.25">
      <c r="D770" s="201" t="str">
        <f t="shared" si="11"/>
        <v/>
      </c>
      <c r="J770" s="201" t="str">
        <f>IFERROR(COUNTIF($C$23:C770,C770)&amp;CHOOSE(MIN(4,COUNTIF($C$23:C770,C770)),"st","nd","rd","th"),"")</f>
        <v/>
      </c>
    </row>
    <row r="771" spans="4:10" x14ac:dyDescent="0.25">
      <c r="D771" s="201" t="str">
        <f t="shared" si="11"/>
        <v/>
      </c>
      <c r="J771" s="201" t="str">
        <f>IFERROR(COUNTIF($C$23:C771,C771)&amp;CHOOSE(MIN(4,COUNTIF($C$23:C771,C771)),"st","nd","rd","th"),"")</f>
        <v/>
      </c>
    </row>
    <row r="772" spans="4:10" x14ac:dyDescent="0.25">
      <c r="D772" s="201" t="str">
        <f t="shared" si="11"/>
        <v/>
      </c>
      <c r="J772" s="201" t="str">
        <f>IFERROR(COUNTIF($C$23:C772,C772)&amp;CHOOSE(MIN(4,COUNTIF($C$23:C772,C772)),"st","nd","rd","th"),"")</f>
        <v/>
      </c>
    </row>
    <row r="773" spans="4:10" x14ac:dyDescent="0.25">
      <c r="D773" s="201" t="str">
        <f t="shared" si="11"/>
        <v/>
      </c>
      <c r="J773" s="201" t="str">
        <f>IFERROR(COUNTIF($C$23:C773,C773)&amp;CHOOSE(MIN(4,COUNTIF($C$23:C773,C773)),"st","nd","rd","th"),"")</f>
        <v/>
      </c>
    </row>
    <row r="774" spans="4:10" x14ac:dyDescent="0.25">
      <c r="D774" s="201" t="str">
        <f t="shared" si="11"/>
        <v/>
      </c>
      <c r="J774" s="201" t="str">
        <f>IFERROR(COUNTIF($C$23:C774,C774)&amp;CHOOSE(MIN(4,COUNTIF($C$23:C774,C774)),"st","nd","rd","th"),"")</f>
        <v/>
      </c>
    </row>
    <row r="775" spans="4:10" x14ac:dyDescent="0.25">
      <c r="D775" s="201" t="str">
        <f t="shared" si="11"/>
        <v/>
      </c>
      <c r="J775" s="201" t="str">
        <f>IFERROR(COUNTIF($C$23:C775,C775)&amp;CHOOSE(MIN(4,COUNTIF($C$23:C775,C775)),"st","nd","rd","th"),"")</f>
        <v/>
      </c>
    </row>
    <row r="776" spans="4:10" x14ac:dyDescent="0.25">
      <c r="D776" s="201" t="str">
        <f t="shared" si="11"/>
        <v/>
      </c>
      <c r="J776" s="201" t="str">
        <f>IFERROR(COUNTIF($C$23:C776,C776)&amp;CHOOSE(MIN(4,COUNTIF($C$23:C776,C776)),"st","nd","rd","th"),"")</f>
        <v/>
      </c>
    </row>
    <row r="777" spans="4:10" x14ac:dyDescent="0.25">
      <c r="D777" s="201" t="str">
        <f t="shared" si="11"/>
        <v/>
      </c>
      <c r="J777" s="201" t="str">
        <f>IFERROR(COUNTIF($C$23:C777,C777)&amp;CHOOSE(MIN(4,COUNTIF($C$23:C777,C777)),"st","nd","rd","th"),"")</f>
        <v/>
      </c>
    </row>
    <row r="778" spans="4:10" x14ac:dyDescent="0.25">
      <c r="D778" s="201" t="str">
        <f t="shared" si="11"/>
        <v/>
      </c>
      <c r="J778" s="201" t="str">
        <f>IFERROR(COUNTIF($C$23:C778,C778)&amp;CHOOSE(MIN(4,COUNTIF($C$23:C778,C778)),"st","nd","rd","th"),"")</f>
        <v/>
      </c>
    </row>
    <row r="779" spans="4:10" x14ac:dyDescent="0.25">
      <c r="D779" s="201" t="str">
        <f t="shared" si="11"/>
        <v/>
      </c>
      <c r="J779" s="201" t="str">
        <f>IFERROR(COUNTIF($C$23:C779,C779)&amp;CHOOSE(MIN(4,COUNTIF($C$23:C779,C779)),"st","nd","rd","th"),"")</f>
        <v/>
      </c>
    </row>
    <row r="780" spans="4:10" x14ac:dyDescent="0.25">
      <c r="D780" s="201" t="str">
        <f t="shared" si="11"/>
        <v/>
      </c>
      <c r="J780" s="201" t="str">
        <f>IFERROR(COUNTIF($C$23:C780,C780)&amp;CHOOSE(MIN(4,COUNTIF($C$23:C780,C780)),"st","nd","rd","th"),"")</f>
        <v/>
      </c>
    </row>
    <row r="781" spans="4:10" x14ac:dyDescent="0.25">
      <c r="D781" s="201" t="str">
        <f t="shared" si="11"/>
        <v/>
      </c>
      <c r="J781" s="201" t="str">
        <f>IFERROR(COUNTIF($C$23:C781,C781)&amp;CHOOSE(MIN(4,COUNTIF($C$23:C781,C781)),"st","nd","rd","th"),"")</f>
        <v/>
      </c>
    </row>
    <row r="782" spans="4:10" x14ac:dyDescent="0.25">
      <c r="D782" s="201" t="str">
        <f t="shared" si="11"/>
        <v/>
      </c>
      <c r="J782" s="201" t="str">
        <f>IFERROR(COUNTIF($C$23:C782,C782)&amp;CHOOSE(MIN(4,COUNTIF($C$23:C782,C782)),"st","nd","rd","th"),"")</f>
        <v/>
      </c>
    </row>
    <row r="783" spans="4:10" x14ac:dyDescent="0.25">
      <c r="D783" s="201" t="str">
        <f t="shared" si="11"/>
        <v/>
      </c>
      <c r="J783" s="201" t="str">
        <f>IFERROR(COUNTIF($C$23:C783,C783)&amp;CHOOSE(MIN(4,COUNTIF($C$23:C783,C783)),"st","nd","rd","th"),"")</f>
        <v/>
      </c>
    </row>
    <row r="784" spans="4:10" x14ac:dyDescent="0.25">
      <c r="D784" s="201" t="str">
        <f t="shared" si="11"/>
        <v/>
      </c>
      <c r="J784" s="201" t="str">
        <f>IFERROR(COUNTIF($C$23:C784,C784)&amp;CHOOSE(MIN(4,COUNTIF($C$23:C784,C784)),"st","nd","rd","th"),"")</f>
        <v/>
      </c>
    </row>
    <row r="785" spans="4:10" x14ac:dyDescent="0.25">
      <c r="D785" s="201" t="str">
        <f t="shared" si="11"/>
        <v/>
      </c>
      <c r="J785" s="201" t="str">
        <f>IFERROR(COUNTIF($C$23:C785,C785)&amp;CHOOSE(MIN(4,COUNTIF($C$23:C785,C785)),"st","nd","rd","th"),"")</f>
        <v/>
      </c>
    </row>
    <row r="786" spans="4:10" x14ac:dyDescent="0.25">
      <c r="D786" s="201" t="str">
        <f t="shared" si="11"/>
        <v/>
      </c>
      <c r="J786" s="201" t="str">
        <f>IFERROR(COUNTIF($C$23:C786,C786)&amp;CHOOSE(MIN(4,COUNTIF($C$23:C786,C786)),"st","nd","rd","th"),"")</f>
        <v/>
      </c>
    </row>
    <row r="787" spans="4:10" x14ac:dyDescent="0.25">
      <c r="D787" s="201" t="str">
        <f t="shared" si="11"/>
        <v/>
      </c>
      <c r="J787" s="201" t="str">
        <f>IFERROR(COUNTIF($C$23:C787,C787)&amp;CHOOSE(MIN(4,COUNTIF($C$23:C787,C787)),"st","nd","rd","th"),"")</f>
        <v/>
      </c>
    </row>
    <row r="788" spans="4:10" x14ac:dyDescent="0.25">
      <c r="D788" s="201" t="str">
        <f t="shared" si="11"/>
        <v/>
      </c>
      <c r="J788" s="201" t="str">
        <f>IFERROR(COUNTIF($C$23:C788,C788)&amp;CHOOSE(MIN(4,COUNTIF($C$23:C788,C788)),"st","nd","rd","th"),"")</f>
        <v/>
      </c>
    </row>
    <row r="789" spans="4:10" x14ac:dyDescent="0.25">
      <c r="D789" s="201" t="str">
        <f t="shared" si="11"/>
        <v/>
      </c>
      <c r="J789" s="201" t="str">
        <f>IFERROR(COUNTIF($C$23:C789,C789)&amp;CHOOSE(MIN(4,COUNTIF($C$23:C789,C789)),"st","nd","rd","th"),"")</f>
        <v/>
      </c>
    </row>
    <row r="790" spans="4:10" x14ac:dyDescent="0.25">
      <c r="D790" s="201" t="str">
        <f t="shared" si="11"/>
        <v/>
      </c>
      <c r="J790" s="201" t="str">
        <f>IFERROR(COUNTIF($C$23:C790,C790)&amp;CHOOSE(MIN(4,COUNTIF($C$23:C790,C790)),"st","nd","rd","th"),"")</f>
        <v/>
      </c>
    </row>
    <row r="791" spans="4:10" x14ac:dyDescent="0.25">
      <c r="D791" s="201" t="str">
        <f t="shared" ref="D791:D854" si="12">IF(B791="","",IF(B791="Province_PLGU","PDPFP","CLUP"))</f>
        <v/>
      </c>
      <c r="J791" s="201" t="str">
        <f>IFERROR(COUNTIF($C$23:C791,C791)&amp;CHOOSE(MIN(4,COUNTIF($C$23:C791,C791)),"st","nd","rd","th"),"")</f>
        <v/>
      </c>
    </row>
    <row r="792" spans="4:10" x14ac:dyDescent="0.25">
      <c r="D792" s="201" t="str">
        <f t="shared" si="12"/>
        <v/>
      </c>
      <c r="J792" s="201" t="str">
        <f>IFERROR(COUNTIF($C$23:C792,C792)&amp;CHOOSE(MIN(4,COUNTIF($C$23:C792,C792)),"st","nd","rd","th"),"")</f>
        <v/>
      </c>
    </row>
    <row r="793" spans="4:10" x14ac:dyDescent="0.25">
      <c r="D793" s="201" t="str">
        <f t="shared" si="12"/>
        <v/>
      </c>
      <c r="J793" s="201" t="str">
        <f>IFERROR(COUNTIF($C$23:C793,C793)&amp;CHOOSE(MIN(4,COUNTIF($C$23:C793,C793)),"st","nd","rd","th"),"")</f>
        <v/>
      </c>
    </row>
    <row r="794" spans="4:10" x14ac:dyDescent="0.25">
      <c r="D794" s="201" t="str">
        <f t="shared" si="12"/>
        <v/>
      </c>
      <c r="J794" s="201" t="str">
        <f>IFERROR(COUNTIF($C$23:C794,C794)&amp;CHOOSE(MIN(4,COUNTIF($C$23:C794,C794)),"st","nd","rd","th"),"")</f>
        <v/>
      </c>
    </row>
    <row r="795" spans="4:10" x14ac:dyDescent="0.25">
      <c r="D795" s="201" t="str">
        <f t="shared" si="12"/>
        <v/>
      </c>
      <c r="J795" s="201" t="str">
        <f>IFERROR(COUNTIF($C$23:C795,C795)&amp;CHOOSE(MIN(4,COUNTIF($C$23:C795,C795)),"st","nd","rd","th"),"")</f>
        <v/>
      </c>
    </row>
    <row r="796" spans="4:10" x14ac:dyDescent="0.25">
      <c r="D796" s="201" t="str">
        <f t="shared" si="12"/>
        <v/>
      </c>
      <c r="J796" s="201" t="str">
        <f>IFERROR(COUNTIF($C$23:C796,C796)&amp;CHOOSE(MIN(4,COUNTIF($C$23:C796,C796)),"st","nd","rd","th"),"")</f>
        <v/>
      </c>
    </row>
    <row r="797" spans="4:10" x14ac:dyDescent="0.25">
      <c r="D797" s="201" t="str">
        <f t="shared" si="12"/>
        <v/>
      </c>
      <c r="J797" s="201" t="str">
        <f>IFERROR(COUNTIF($C$23:C797,C797)&amp;CHOOSE(MIN(4,COUNTIF($C$23:C797,C797)),"st","nd","rd","th"),"")</f>
        <v/>
      </c>
    </row>
    <row r="798" spans="4:10" x14ac:dyDescent="0.25">
      <c r="D798" s="201" t="str">
        <f t="shared" si="12"/>
        <v/>
      </c>
      <c r="J798" s="201" t="str">
        <f>IFERROR(COUNTIF($C$23:C798,C798)&amp;CHOOSE(MIN(4,COUNTIF($C$23:C798,C798)),"st","nd","rd","th"),"")</f>
        <v/>
      </c>
    </row>
    <row r="799" spans="4:10" x14ac:dyDescent="0.25">
      <c r="D799" s="201" t="str">
        <f t="shared" si="12"/>
        <v/>
      </c>
      <c r="J799" s="201" t="str">
        <f>IFERROR(COUNTIF($C$23:C799,C799)&amp;CHOOSE(MIN(4,COUNTIF($C$23:C799,C799)),"st","nd","rd","th"),"")</f>
        <v/>
      </c>
    </row>
    <row r="800" spans="4:10" x14ac:dyDescent="0.25">
      <c r="D800" s="201" t="str">
        <f t="shared" si="12"/>
        <v/>
      </c>
      <c r="J800" s="201" t="str">
        <f>IFERROR(COUNTIF($C$23:C800,C800)&amp;CHOOSE(MIN(4,COUNTIF($C$23:C800,C800)),"st","nd","rd","th"),"")</f>
        <v/>
      </c>
    </row>
    <row r="801" spans="4:10" x14ac:dyDescent="0.25">
      <c r="D801" s="201" t="str">
        <f t="shared" si="12"/>
        <v/>
      </c>
      <c r="J801" s="201" t="str">
        <f>IFERROR(COUNTIF($C$23:C801,C801)&amp;CHOOSE(MIN(4,COUNTIF($C$23:C801,C801)),"st","nd","rd","th"),"")</f>
        <v/>
      </c>
    </row>
    <row r="802" spans="4:10" x14ac:dyDescent="0.25">
      <c r="D802" s="201" t="str">
        <f t="shared" si="12"/>
        <v/>
      </c>
      <c r="J802" s="201" t="str">
        <f>IFERROR(COUNTIF($C$23:C802,C802)&amp;CHOOSE(MIN(4,COUNTIF($C$23:C802,C802)),"st","nd","rd","th"),"")</f>
        <v/>
      </c>
    </row>
    <row r="803" spans="4:10" x14ac:dyDescent="0.25">
      <c r="D803" s="201" t="str">
        <f t="shared" si="12"/>
        <v/>
      </c>
      <c r="J803" s="201" t="str">
        <f>IFERROR(COUNTIF($C$23:C803,C803)&amp;CHOOSE(MIN(4,COUNTIF($C$23:C803,C803)),"st","nd","rd","th"),"")</f>
        <v/>
      </c>
    </row>
    <row r="804" spans="4:10" x14ac:dyDescent="0.25">
      <c r="D804" s="201" t="str">
        <f t="shared" si="12"/>
        <v/>
      </c>
      <c r="J804" s="201" t="str">
        <f>IFERROR(COUNTIF($C$23:C804,C804)&amp;CHOOSE(MIN(4,COUNTIF($C$23:C804,C804)),"st","nd","rd","th"),"")</f>
        <v/>
      </c>
    </row>
    <row r="805" spans="4:10" x14ac:dyDescent="0.25">
      <c r="D805" s="201" t="str">
        <f t="shared" si="12"/>
        <v/>
      </c>
      <c r="J805" s="201" t="str">
        <f>IFERROR(COUNTIF($C$23:C805,C805)&amp;CHOOSE(MIN(4,COUNTIF($C$23:C805,C805)),"st","nd","rd","th"),"")</f>
        <v/>
      </c>
    </row>
    <row r="806" spans="4:10" x14ac:dyDescent="0.25">
      <c r="D806" s="201" t="str">
        <f t="shared" si="12"/>
        <v/>
      </c>
      <c r="J806" s="201" t="str">
        <f>IFERROR(COUNTIF($C$23:C806,C806)&amp;CHOOSE(MIN(4,COUNTIF($C$23:C806,C806)),"st","nd","rd","th"),"")</f>
        <v/>
      </c>
    </row>
    <row r="807" spans="4:10" x14ac:dyDescent="0.25">
      <c r="D807" s="201" t="str">
        <f t="shared" si="12"/>
        <v/>
      </c>
      <c r="J807" s="201" t="str">
        <f>IFERROR(COUNTIF($C$23:C807,C807)&amp;CHOOSE(MIN(4,COUNTIF($C$23:C807,C807)),"st","nd","rd","th"),"")</f>
        <v/>
      </c>
    </row>
    <row r="808" spans="4:10" x14ac:dyDescent="0.25">
      <c r="D808" s="201" t="str">
        <f t="shared" si="12"/>
        <v/>
      </c>
      <c r="J808" s="201" t="str">
        <f>IFERROR(COUNTIF($C$23:C808,C808)&amp;CHOOSE(MIN(4,COUNTIF($C$23:C808,C808)),"st","nd","rd","th"),"")</f>
        <v/>
      </c>
    </row>
    <row r="809" spans="4:10" x14ac:dyDescent="0.25">
      <c r="D809" s="201" t="str">
        <f t="shared" si="12"/>
        <v/>
      </c>
      <c r="J809" s="201" t="str">
        <f>IFERROR(COUNTIF($C$23:C809,C809)&amp;CHOOSE(MIN(4,COUNTIF($C$23:C809,C809)),"st","nd","rd","th"),"")</f>
        <v/>
      </c>
    </row>
    <row r="810" spans="4:10" x14ac:dyDescent="0.25">
      <c r="D810" s="201" t="str">
        <f t="shared" si="12"/>
        <v/>
      </c>
      <c r="J810" s="201" t="str">
        <f>IFERROR(COUNTIF($C$23:C810,C810)&amp;CHOOSE(MIN(4,COUNTIF($C$23:C810,C810)),"st","nd","rd","th"),"")</f>
        <v/>
      </c>
    </row>
    <row r="811" spans="4:10" x14ac:dyDescent="0.25">
      <c r="D811" s="201" t="str">
        <f t="shared" si="12"/>
        <v/>
      </c>
      <c r="J811" s="201" t="str">
        <f>IFERROR(COUNTIF($C$23:C811,C811)&amp;CHOOSE(MIN(4,COUNTIF($C$23:C811,C811)),"st","nd","rd","th"),"")</f>
        <v/>
      </c>
    </row>
    <row r="812" spans="4:10" x14ac:dyDescent="0.25">
      <c r="D812" s="201" t="str">
        <f t="shared" si="12"/>
        <v/>
      </c>
      <c r="J812" s="201" t="str">
        <f>IFERROR(COUNTIF($C$23:C812,C812)&amp;CHOOSE(MIN(4,COUNTIF($C$23:C812,C812)),"st","nd","rd","th"),"")</f>
        <v/>
      </c>
    </row>
    <row r="813" spans="4:10" x14ac:dyDescent="0.25">
      <c r="D813" s="201" t="str">
        <f t="shared" si="12"/>
        <v/>
      </c>
      <c r="J813" s="201" t="str">
        <f>IFERROR(COUNTIF($C$23:C813,C813)&amp;CHOOSE(MIN(4,COUNTIF($C$23:C813,C813)),"st","nd","rd","th"),"")</f>
        <v/>
      </c>
    </row>
    <row r="814" spans="4:10" x14ac:dyDescent="0.25">
      <c r="D814" s="201" t="str">
        <f t="shared" si="12"/>
        <v/>
      </c>
      <c r="J814" s="201" t="str">
        <f>IFERROR(COUNTIF($C$23:C814,C814)&amp;CHOOSE(MIN(4,COUNTIF($C$23:C814,C814)),"st","nd","rd","th"),"")</f>
        <v/>
      </c>
    </row>
    <row r="815" spans="4:10" x14ac:dyDescent="0.25">
      <c r="D815" s="201" t="str">
        <f t="shared" si="12"/>
        <v/>
      </c>
      <c r="J815" s="201" t="str">
        <f>IFERROR(COUNTIF($C$23:C815,C815)&amp;CHOOSE(MIN(4,COUNTIF($C$23:C815,C815)),"st","nd","rd","th"),"")</f>
        <v/>
      </c>
    </row>
    <row r="816" spans="4:10" x14ac:dyDescent="0.25">
      <c r="D816" s="201" t="str">
        <f t="shared" si="12"/>
        <v/>
      </c>
      <c r="J816" s="201" t="str">
        <f>IFERROR(COUNTIF($C$23:C816,C816)&amp;CHOOSE(MIN(4,COUNTIF($C$23:C816,C816)),"st","nd","rd","th"),"")</f>
        <v/>
      </c>
    </row>
    <row r="817" spans="4:10" x14ac:dyDescent="0.25">
      <c r="D817" s="201" t="str">
        <f t="shared" si="12"/>
        <v/>
      </c>
      <c r="J817" s="201" t="str">
        <f>IFERROR(COUNTIF($C$23:C817,C817)&amp;CHOOSE(MIN(4,COUNTIF($C$23:C817,C817)),"st","nd","rd","th"),"")</f>
        <v/>
      </c>
    </row>
    <row r="818" spans="4:10" x14ac:dyDescent="0.25">
      <c r="D818" s="201" t="str">
        <f t="shared" si="12"/>
        <v/>
      </c>
      <c r="J818" s="201" t="str">
        <f>IFERROR(COUNTIF($C$23:C818,C818)&amp;CHOOSE(MIN(4,COUNTIF($C$23:C818,C818)),"st","nd","rd","th"),"")</f>
        <v/>
      </c>
    </row>
    <row r="819" spans="4:10" x14ac:dyDescent="0.25">
      <c r="D819" s="201" t="str">
        <f t="shared" si="12"/>
        <v/>
      </c>
      <c r="J819" s="201" t="str">
        <f>IFERROR(COUNTIF($C$23:C819,C819)&amp;CHOOSE(MIN(4,COUNTIF($C$23:C819,C819)),"st","nd","rd","th"),"")</f>
        <v/>
      </c>
    </row>
    <row r="820" spans="4:10" x14ac:dyDescent="0.25">
      <c r="D820" s="201" t="str">
        <f t="shared" si="12"/>
        <v/>
      </c>
      <c r="J820" s="201" t="str">
        <f>IFERROR(COUNTIF($C$23:C820,C820)&amp;CHOOSE(MIN(4,COUNTIF($C$23:C820,C820)),"st","nd","rd","th"),"")</f>
        <v/>
      </c>
    </row>
    <row r="821" spans="4:10" x14ac:dyDescent="0.25">
      <c r="D821" s="201" t="str">
        <f t="shared" si="12"/>
        <v/>
      </c>
      <c r="J821" s="201" t="str">
        <f>IFERROR(COUNTIF($C$23:C821,C821)&amp;CHOOSE(MIN(4,COUNTIF($C$23:C821,C821)),"st","nd","rd","th"),"")</f>
        <v/>
      </c>
    </row>
    <row r="822" spans="4:10" x14ac:dyDescent="0.25">
      <c r="D822" s="201" t="str">
        <f t="shared" si="12"/>
        <v/>
      </c>
      <c r="J822" s="201" t="str">
        <f>IFERROR(COUNTIF($C$23:C822,C822)&amp;CHOOSE(MIN(4,COUNTIF($C$23:C822,C822)),"st","nd","rd","th"),"")</f>
        <v/>
      </c>
    </row>
    <row r="823" spans="4:10" x14ac:dyDescent="0.25">
      <c r="D823" s="201" t="str">
        <f t="shared" si="12"/>
        <v/>
      </c>
      <c r="J823" s="201" t="str">
        <f>IFERROR(COUNTIF($C$23:C823,C823)&amp;CHOOSE(MIN(4,COUNTIF($C$23:C823,C823)),"st","nd","rd","th"),"")</f>
        <v/>
      </c>
    </row>
    <row r="824" spans="4:10" x14ac:dyDescent="0.25">
      <c r="D824" s="201" t="str">
        <f t="shared" si="12"/>
        <v/>
      </c>
      <c r="J824" s="201" t="str">
        <f>IFERROR(COUNTIF($C$23:C824,C824)&amp;CHOOSE(MIN(4,COUNTIF($C$23:C824,C824)),"st","nd","rd","th"),"")</f>
        <v/>
      </c>
    </row>
    <row r="825" spans="4:10" x14ac:dyDescent="0.25">
      <c r="D825" s="201" t="str">
        <f t="shared" si="12"/>
        <v/>
      </c>
      <c r="J825" s="201" t="str">
        <f>IFERROR(COUNTIF($C$23:C825,C825)&amp;CHOOSE(MIN(4,COUNTIF($C$23:C825,C825)),"st","nd","rd","th"),"")</f>
        <v/>
      </c>
    </row>
    <row r="826" spans="4:10" x14ac:dyDescent="0.25">
      <c r="D826" s="201" t="str">
        <f t="shared" si="12"/>
        <v/>
      </c>
      <c r="J826" s="201" t="str">
        <f>IFERROR(COUNTIF($C$23:C826,C826)&amp;CHOOSE(MIN(4,COUNTIF($C$23:C826,C826)),"st","nd","rd","th"),"")</f>
        <v/>
      </c>
    </row>
    <row r="827" spans="4:10" x14ac:dyDescent="0.25">
      <c r="D827" s="201" t="str">
        <f t="shared" si="12"/>
        <v/>
      </c>
      <c r="J827" s="201" t="str">
        <f>IFERROR(COUNTIF($C$23:C827,C827)&amp;CHOOSE(MIN(4,COUNTIF($C$23:C827,C827)),"st","nd","rd","th"),"")</f>
        <v/>
      </c>
    </row>
    <row r="828" spans="4:10" x14ac:dyDescent="0.25">
      <c r="D828" s="201" t="str">
        <f t="shared" si="12"/>
        <v/>
      </c>
      <c r="J828" s="201" t="str">
        <f>IFERROR(COUNTIF($C$23:C828,C828)&amp;CHOOSE(MIN(4,COUNTIF($C$23:C828,C828)),"st","nd","rd","th"),"")</f>
        <v/>
      </c>
    </row>
    <row r="829" spans="4:10" x14ac:dyDescent="0.25">
      <c r="D829" s="201" t="str">
        <f t="shared" si="12"/>
        <v/>
      </c>
      <c r="J829" s="201" t="str">
        <f>IFERROR(COUNTIF($C$23:C829,C829)&amp;CHOOSE(MIN(4,COUNTIF($C$23:C829,C829)),"st","nd","rd","th"),"")</f>
        <v/>
      </c>
    </row>
    <row r="830" spans="4:10" x14ac:dyDescent="0.25">
      <c r="D830" s="201" t="str">
        <f t="shared" si="12"/>
        <v/>
      </c>
      <c r="J830" s="201" t="str">
        <f>IFERROR(COUNTIF($C$23:C830,C830)&amp;CHOOSE(MIN(4,COUNTIF($C$23:C830,C830)),"st","nd","rd","th"),"")</f>
        <v/>
      </c>
    </row>
    <row r="831" spans="4:10" x14ac:dyDescent="0.25">
      <c r="D831" s="201" t="str">
        <f t="shared" si="12"/>
        <v/>
      </c>
      <c r="J831" s="201" t="str">
        <f>IFERROR(COUNTIF($C$23:C831,C831)&amp;CHOOSE(MIN(4,COUNTIF($C$23:C831,C831)),"st","nd","rd","th"),"")</f>
        <v/>
      </c>
    </row>
    <row r="832" spans="4:10" x14ac:dyDescent="0.25">
      <c r="D832" s="201" t="str">
        <f t="shared" si="12"/>
        <v/>
      </c>
      <c r="J832" s="201" t="str">
        <f>IFERROR(COUNTIF($C$23:C832,C832)&amp;CHOOSE(MIN(4,COUNTIF($C$23:C832,C832)),"st","nd","rd","th"),"")</f>
        <v/>
      </c>
    </row>
    <row r="833" spans="4:10" x14ac:dyDescent="0.25">
      <c r="D833" s="201" t="str">
        <f t="shared" si="12"/>
        <v/>
      </c>
      <c r="J833" s="201" t="str">
        <f>IFERROR(COUNTIF($C$23:C833,C833)&amp;CHOOSE(MIN(4,COUNTIF($C$23:C833,C833)),"st","nd","rd","th"),"")</f>
        <v/>
      </c>
    </row>
    <row r="834" spans="4:10" x14ac:dyDescent="0.25">
      <c r="D834" s="201" t="str">
        <f t="shared" si="12"/>
        <v/>
      </c>
      <c r="J834" s="201" t="str">
        <f>IFERROR(COUNTIF($C$23:C834,C834)&amp;CHOOSE(MIN(4,COUNTIF($C$23:C834,C834)),"st","nd","rd","th"),"")</f>
        <v/>
      </c>
    </row>
    <row r="835" spans="4:10" x14ac:dyDescent="0.25">
      <c r="D835" s="201" t="str">
        <f t="shared" si="12"/>
        <v/>
      </c>
      <c r="J835" s="201" t="str">
        <f>IFERROR(COUNTIF($C$23:C835,C835)&amp;CHOOSE(MIN(4,COUNTIF($C$23:C835,C835)),"st","nd","rd","th"),"")</f>
        <v/>
      </c>
    </row>
    <row r="836" spans="4:10" x14ac:dyDescent="0.25">
      <c r="D836" s="201" t="str">
        <f t="shared" si="12"/>
        <v/>
      </c>
      <c r="J836" s="201" t="str">
        <f>IFERROR(COUNTIF($C$23:C836,C836)&amp;CHOOSE(MIN(4,COUNTIF($C$23:C836,C836)),"st","nd","rd","th"),"")</f>
        <v/>
      </c>
    </row>
    <row r="837" spans="4:10" x14ac:dyDescent="0.25">
      <c r="D837" s="201" t="str">
        <f t="shared" si="12"/>
        <v/>
      </c>
      <c r="J837" s="201" t="str">
        <f>IFERROR(COUNTIF($C$23:C837,C837)&amp;CHOOSE(MIN(4,COUNTIF($C$23:C837,C837)),"st","nd","rd","th"),"")</f>
        <v/>
      </c>
    </row>
    <row r="838" spans="4:10" x14ac:dyDescent="0.25">
      <c r="D838" s="201" t="str">
        <f t="shared" si="12"/>
        <v/>
      </c>
      <c r="J838" s="201" t="str">
        <f>IFERROR(COUNTIF($C$23:C838,C838)&amp;CHOOSE(MIN(4,COUNTIF($C$23:C838,C838)),"st","nd","rd","th"),"")</f>
        <v/>
      </c>
    </row>
    <row r="839" spans="4:10" x14ac:dyDescent="0.25">
      <c r="D839" s="201" t="str">
        <f t="shared" si="12"/>
        <v/>
      </c>
      <c r="J839" s="201" t="str">
        <f>IFERROR(COUNTIF($C$23:C839,C839)&amp;CHOOSE(MIN(4,COUNTIF($C$23:C839,C839)),"st","nd","rd","th"),"")</f>
        <v/>
      </c>
    </row>
    <row r="840" spans="4:10" x14ac:dyDescent="0.25">
      <c r="D840" s="201" t="str">
        <f t="shared" si="12"/>
        <v/>
      </c>
      <c r="J840" s="201" t="str">
        <f>IFERROR(COUNTIF($C$23:C840,C840)&amp;CHOOSE(MIN(4,COUNTIF($C$23:C840,C840)),"st","nd","rd","th"),"")</f>
        <v/>
      </c>
    </row>
    <row r="841" spans="4:10" x14ac:dyDescent="0.25">
      <c r="D841" s="201" t="str">
        <f t="shared" si="12"/>
        <v/>
      </c>
      <c r="J841" s="201" t="str">
        <f>IFERROR(COUNTIF($C$23:C841,C841)&amp;CHOOSE(MIN(4,COUNTIF($C$23:C841,C841)),"st","nd","rd","th"),"")</f>
        <v/>
      </c>
    </row>
    <row r="842" spans="4:10" x14ac:dyDescent="0.25">
      <c r="D842" s="201" t="str">
        <f t="shared" si="12"/>
        <v/>
      </c>
      <c r="J842" s="201" t="str">
        <f>IFERROR(COUNTIF($C$23:C842,C842)&amp;CHOOSE(MIN(4,COUNTIF($C$23:C842,C842)),"st","nd","rd","th"),"")</f>
        <v/>
      </c>
    </row>
    <row r="843" spans="4:10" x14ac:dyDescent="0.25">
      <c r="D843" s="201" t="str">
        <f t="shared" si="12"/>
        <v/>
      </c>
      <c r="J843" s="201" t="str">
        <f>IFERROR(COUNTIF($C$23:C843,C843)&amp;CHOOSE(MIN(4,COUNTIF($C$23:C843,C843)),"st","nd","rd","th"),"")</f>
        <v/>
      </c>
    </row>
    <row r="844" spans="4:10" x14ac:dyDescent="0.25">
      <c r="D844" s="201" t="str">
        <f t="shared" si="12"/>
        <v/>
      </c>
      <c r="J844" s="201" t="str">
        <f>IFERROR(COUNTIF($C$23:C844,C844)&amp;CHOOSE(MIN(4,COUNTIF($C$23:C844,C844)),"st","nd","rd","th"),"")</f>
        <v/>
      </c>
    </row>
    <row r="845" spans="4:10" x14ac:dyDescent="0.25">
      <c r="D845" s="201" t="str">
        <f t="shared" si="12"/>
        <v/>
      </c>
      <c r="J845" s="201" t="str">
        <f>IFERROR(COUNTIF($C$23:C845,C845)&amp;CHOOSE(MIN(4,COUNTIF($C$23:C845,C845)),"st","nd","rd","th"),"")</f>
        <v/>
      </c>
    </row>
    <row r="846" spans="4:10" x14ac:dyDescent="0.25">
      <c r="D846" s="201" t="str">
        <f t="shared" si="12"/>
        <v/>
      </c>
      <c r="J846" s="201" t="str">
        <f>IFERROR(COUNTIF($C$23:C846,C846)&amp;CHOOSE(MIN(4,COUNTIF($C$23:C846,C846)),"st","nd","rd","th"),"")</f>
        <v/>
      </c>
    </row>
    <row r="847" spans="4:10" x14ac:dyDescent="0.25">
      <c r="D847" s="201" t="str">
        <f t="shared" si="12"/>
        <v/>
      </c>
      <c r="J847" s="201" t="str">
        <f>IFERROR(COUNTIF($C$23:C847,C847)&amp;CHOOSE(MIN(4,COUNTIF($C$23:C847,C847)),"st","nd","rd","th"),"")</f>
        <v/>
      </c>
    </row>
    <row r="848" spans="4:10" x14ac:dyDescent="0.25">
      <c r="D848" s="201" t="str">
        <f t="shared" si="12"/>
        <v/>
      </c>
      <c r="J848" s="201" t="str">
        <f>IFERROR(COUNTIF($C$23:C848,C848)&amp;CHOOSE(MIN(4,COUNTIF($C$23:C848,C848)),"st","nd","rd","th"),"")</f>
        <v/>
      </c>
    </row>
    <row r="849" spans="4:10" x14ac:dyDescent="0.25">
      <c r="D849" s="201" t="str">
        <f t="shared" si="12"/>
        <v/>
      </c>
      <c r="J849" s="201" t="str">
        <f>IFERROR(COUNTIF($C$23:C849,C849)&amp;CHOOSE(MIN(4,COUNTIF($C$23:C849,C849)),"st","nd","rd","th"),"")</f>
        <v/>
      </c>
    </row>
    <row r="850" spans="4:10" x14ac:dyDescent="0.25">
      <c r="D850" s="201" t="str">
        <f t="shared" si="12"/>
        <v/>
      </c>
      <c r="J850" s="201" t="str">
        <f>IFERROR(COUNTIF($C$23:C850,C850)&amp;CHOOSE(MIN(4,COUNTIF($C$23:C850,C850)),"st","nd","rd","th"),"")</f>
        <v/>
      </c>
    </row>
    <row r="851" spans="4:10" x14ac:dyDescent="0.25">
      <c r="D851" s="201" t="str">
        <f t="shared" si="12"/>
        <v/>
      </c>
      <c r="J851" s="201" t="str">
        <f>IFERROR(COUNTIF($C$23:C851,C851)&amp;CHOOSE(MIN(4,COUNTIF($C$23:C851,C851)),"st","nd","rd","th"),"")</f>
        <v/>
      </c>
    </row>
    <row r="852" spans="4:10" x14ac:dyDescent="0.25">
      <c r="D852" s="201" t="str">
        <f t="shared" si="12"/>
        <v/>
      </c>
      <c r="J852" s="201" t="str">
        <f>IFERROR(COUNTIF($C$23:C852,C852)&amp;CHOOSE(MIN(4,COUNTIF($C$23:C852,C852)),"st","nd","rd","th"),"")</f>
        <v/>
      </c>
    </row>
    <row r="853" spans="4:10" x14ac:dyDescent="0.25">
      <c r="D853" s="201" t="str">
        <f t="shared" si="12"/>
        <v/>
      </c>
      <c r="J853" s="201" t="str">
        <f>IFERROR(COUNTIF($C$23:C853,C853)&amp;CHOOSE(MIN(4,COUNTIF($C$23:C853,C853)),"st","nd","rd","th"),"")</f>
        <v/>
      </c>
    </row>
    <row r="854" spans="4:10" x14ac:dyDescent="0.25">
      <c r="D854" s="201" t="str">
        <f t="shared" si="12"/>
        <v/>
      </c>
      <c r="J854" s="201" t="str">
        <f>IFERROR(COUNTIF($C$23:C854,C854)&amp;CHOOSE(MIN(4,COUNTIF($C$23:C854,C854)),"st","nd","rd","th"),"")</f>
        <v/>
      </c>
    </row>
    <row r="855" spans="4:10" x14ac:dyDescent="0.25">
      <c r="D855" s="201" t="str">
        <f t="shared" ref="D855:D918" si="13">IF(B855="","",IF(B855="Province_PLGU","PDPFP","CLUP"))</f>
        <v/>
      </c>
      <c r="J855" s="201" t="str">
        <f>IFERROR(COUNTIF($C$23:C855,C855)&amp;CHOOSE(MIN(4,COUNTIF($C$23:C855,C855)),"st","nd","rd","th"),"")</f>
        <v/>
      </c>
    </row>
    <row r="856" spans="4:10" x14ac:dyDescent="0.25">
      <c r="D856" s="201" t="str">
        <f t="shared" si="13"/>
        <v/>
      </c>
      <c r="J856" s="201" t="str">
        <f>IFERROR(COUNTIF($C$23:C856,C856)&amp;CHOOSE(MIN(4,COUNTIF($C$23:C856,C856)),"st","nd","rd","th"),"")</f>
        <v/>
      </c>
    </row>
    <row r="857" spans="4:10" x14ac:dyDescent="0.25">
      <c r="D857" s="201" t="str">
        <f t="shared" si="13"/>
        <v/>
      </c>
      <c r="J857" s="201" t="str">
        <f>IFERROR(COUNTIF($C$23:C857,C857)&amp;CHOOSE(MIN(4,COUNTIF($C$23:C857,C857)),"st","nd","rd","th"),"")</f>
        <v/>
      </c>
    </row>
    <row r="858" spans="4:10" x14ac:dyDescent="0.25">
      <c r="D858" s="201" t="str">
        <f t="shared" si="13"/>
        <v/>
      </c>
      <c r="J858" s="201" t="str">
        <f>IFERROR(COUNTIF($C$23:C858,C858)&amp;CHOOSE(MIN(4,COUNTIF($C$23:C858,C858)),"st","nd","rd","th"),"")</f>
        <v/>
      </c>
    </row>
    <row r="859" spans="4:10" x14ac:dyDescent="0.25">
      <c r="D859" s="201" t="str">
        <f t="shared" si="13"/>
        <v/>
      </c>
      <c r="J859" s="201" t="str">
        <f>IFERROR(COUNTIF($C$23:C859,C859)&amp;CHOOSE(MIN(4,COUNTIF($C$23:C859,C859)),"st","nd","rd","th"),"")</f>
        <v/>
      </c>
    </row>
    <row r="860" spans="4:10" x14ac:dyDescent="0.25">
      <c r="D860" s="201" t="str">
        <f t="shared" si="13"/>
        <v/>
      </c>
      <c r="J860" s="201" t="str">
        <f>IFERROR(COUNTIF($C$23:C860,C860)&amp;CHOOSE(MIN(4,COUNTIF($C$23:C860,C860)),"st","nd","rd","th"),"")</f>
        <v/>
      </c>
    </row>
    <row r="861" spans="4:10" x14ac:dyDescent="0.25">
      <c r="D861" s="201" t="str">
        <f t="shared" si="13"/>
        <v/>
      </c>
      <c r="J861" s="201" t="str">
        <f>IFERROR(COUNTIF($C$23:C861,C861)&amp;CHOOSE(MIN(4,COUNTIF($C$23:C861,C861)),"st","nd","rd","th"),"")</f>
        <v/>
      </c>
    </row>
    <row r="862" spans="4:10" x14ac:dyDescent="0.25">
      <c r="D862" s="201" t="str">
        <f t="shared" si="13"/>
        <v/>
      </c>
      <c r="J862" s="201" t="str">
        <f>IFERROR(COUNTIF($C$23:C862,C862)&amp;CHOOSE(MIN(4,COUNTIF($C$23:C862,C862)),"st","nd","rd","th"),"")</f>
        <v/>
      </c>
    </row>
    <row r="863" spans="4:10" x14ac:dyDescent="0.25">
      <c r="D863" s="201" t="str">
        <f t="shared" si="13"/>
        <v/>
      </c>
      <c r="J863" s="201" t="str">
        <f>IFERROR(COUNTIF($C$23:C863,C863)&amp;CHOOSE(MIN(4,COUNTIF($C$23:C863,C863)),"st","nd","rd","th"),"")</f>
        <v/>
      </c>
    </row>
    <row r="864" spans="4:10" x14ac:dyDescent="0.25">
      <c r="D864" s="201" t="str">
        <f t="shared" si="13"/>
        <v/>
      </c>
      <c r="J864" s="201" t="str">
        <f>IFERROR(COUNTIF($C$23:C864,C864)&amp;CHOOSE(MIN(4,COUNTIF($C$23:C864,C864)),"st","nd","rd","th"),"")</f>
        <v/>
      </c>
    </row>
    <row r="865" spans="4:10" x14ac:dyDescent="0.25">
      <c r="D865" s="201" t="str">
        <f t="shared" si="13"/>
        <v/>
      </c>
      <c r="J865" s="201" t="str">
        <f>IFERROR(COUNTIF($C$23:C865,C865)&amp;CHOOSE(MIN(4,COUNTIF($C$23:C865,C865)),"st","nd","rd","th"),"")</f>
        <v/>
      </c>
    </row>
    <row r="866" spans="4:10" x14ac:dyDescent="0.25">
      <c r="D866" s="201" t="str">
        <f t="shared" si="13"/>
        <v/>
      </c>
      <c r="J866" s="201" t="str">
        <f>IFERROR(COUNTIF($C$23:C866,C866)&amp;CHOOSE(MIN(4,COUNTIF($C$23:C866,C866)),"st","nd","rd","th"),"")</f>
        <v/>
      </c>
    </row>
    <row r="867" spans="4:10" x14ac:dyDescent="0.25">
      <c r="D867" s="201" t="str">
        <f t="shared" si="13"/>
        <v/>
      </c>
      <c r="J867" s="201" t="str">
        <f>IFERROR(COUNTIF($C$23:C867,C867)&amp;CHOOSE(MIN(4,COUNTIF($C$23:C867,C867)),"st","nd","rd","th"),"")</f>
        <v/>
      </c>
    </row>
    <row r="868" spans="4:10" x14ac:dyDescent="0.25">
      <c r="D868" s="201" t="str">
        <f t="shared" si="13"/>
        <v/>
      </c>
      <c r="J868" s="201" t="str">
        <f>IFERROR(COUNTIF($C$23:C868,C868)&amp;CHOOSE(MIN(4,COUNTIF($C$23:C868,C868)),"st","nd","rd","th"),"")</f>
        <v/>
      </c>
    </row>
    <row r="869" spans="4:10" x14ac:dyDescent="0.25">
      <c r="D869" s="201" t="str">
        <f t="shared" si="13"/>
        <v/>
      </c>
      <c r="J869" s="201" t="str">
        <f>IFERROR(COUNTIF($C$23:C869,C869)&amp;CHOOSE(MIN(4,COUNTIF($C$23:C869,C869)),"st","nd","rd","th"),"")</f>
        <v/>
      </c>
    </row>
    <row r="870" spans="4:10" x14ac:dyDescent="0.25">
      <c r="D870" s="201" t="str">
        <f t="shared" si="13"/>
        <v/>
      </c>
      <c r="J870" s="201" t="str">
        <f>IFERROR(COUNTIF($C$23:C870,C870)&amp;CHOOSE(MIN(4,COUNTIF($C$23:C870,C870)),"st","nd","rd","th"),"")</f>
        <v/>
      </c>
    </row>
    <row r="871" spans="4:10" x14ac:dyDescent="0.25">
      <c r="D871" s="201" t="str">
        <f t="shared" si="13"/>
        <v/>
      </c>
      <c r="J871" s="201" t="str">
        <f>IFERROR(COUNTIF($C$23:C871,C871)&amp;CHOOSE(MIN(4,COUNTIF($C$23:C871,C871)),"st","nd","rd","th"),"")</f>
        <v/>
      </c>
    </row>
    <row r="872" spans="4:10" x14ac:dyDescent="0.25">
      <c r="D872" s="201" t="str">
        <f t="shared" si="13"/>
        <v/>
      </c>
      <c r="J872" s="201" t="str">
        <f>IFERROR(COUNTIF($C$23:C872,C872)&amp;CHOOSE(MIN(4,COUNTIF($C$23:C872,C872)),"st","nd","rd","th"),"")</f>
        <v/>
      </c>
    </row>
    <row r="873" spans="4:10" x14ac:dyDescent="0.25">
      <c r="D873" s="201" t="str">
        <f t="shared" si="13"/>
        <v/>
      </c>
      <c r="J873" s="201" t="str">
        <f>IFERROR(COUNTIF($C$23:C873,C873)&amp;CHOOSE(MIN(4,COUNTIF($C$23:C873,C873)),"st","nd","rd","th"),"")</f>
        <v/>
      </c>
    </row>
    <row r="874" spans="4:10" x14ac:dyDescent="0.25">
      <c r="D874" s="201" t="str">
        <f t="shared" si="13"/>
        <v/>
      </c>
      <c r="J874" s="201" t="str">
        <f>IFERROR(COUNTIF($C$23:C874,C874)&amp;CHOOSE(MIN(4,COUNTIF($C$23:C874,C874)),"st","nd","rd","th"),"")</f>
        <v/>
      </c>
    </row>
    <row r="875" spans="4:10" x14ac:dyDescent="0.25">
      <c r="D875" s="201" t="str">
        <f t="shared" si="13"/>
        <v/>
      </c>
      <c r="J875" s="201" t="str">
        <f>IFERROR(COUNTIF($C$23:C875,C875)&amp;CHOOSE(MIN(4,COUNTIF($C$23:C875,C875)),"st","nd","rd","th"),"")</f>
        <v/>
      </c>
    </row>
    <row r="876" spans="4:10" x14ac:dyDescent="0.25">
      <c r="D876" s="201" t="str">
        <f t="shared" si="13"/>
        <v/>
      </c>
      <c r="J876" s="201" t="str">
        <f>IFERROR(COUNTIF($C$23:C876,C876)&amp;CHOOSE(MIN(4,COUNTIF($C$23:C876,C876)),"st","nd","rd","th"),"")</f>
        <v/>
      </c>
    </row>
    <row r="877" spans="4:10" x14ac:dyDescent="0.25">
      <c r="D877" s="201" t="str">
        <f t="shared" si="13"/>
        <v/>
      </c>
      <c r="J877" s="201" t="str">
        <f>IFERROR(COUNTIF($C$23:C877,C877)&amp;CHOOSE(MIN(4,COUNTIF($C$23:C877,C877)),"st","nd","rd","th"),"")</f>
        <v/>
      </c>
    </row>
    <row r="878" spans="4:10" x14ac:dyDescent="0.25">
      <c r="D878" s="201" t="str">
        <f t="shared" si="13"/>
        <v/>
      </c>
      <c r="J878" s="201" t="str">
        <f>IFERROR(COUNTIF($C$23:C878,C878)&amp;CHOOSE(MIN(4,COUNTIF($C$23:C878,C878)),"st","nd","rd","th"),"")</f>
        <v/>
      </c>
    </row>
    <row r="879" spans="4:10" x14ac:dyDescent="0.25">
      <c r="D879" s="201" t="str">
        <f t="shared" si="13"/>
        <v/>
      </c>
      <c r="J879" s="201" t="str">
        <f>IFERROR(COUNTIF($C$23:C879,C879)&amp;CHOOSE(MIN(4,COUNTIF($C$23:C879,C879)),"st","nd","rd","th"),"")</f>
        <v/>
      </c>
    </row>
    <row r="880" spans="4:10" x14ac:dyDescent="0.25">
      <c r="D880" s="201" t="str">
        <f t="shared" si="13"/>
        <v/>
      </c>
      <c r="J880" s="201" t="str">
        <f>IFERROR(COUNTIF($C$23:C880,C880)&amp;CHOOSE(MIN(4,COUNTIF($C$23:C880,C880)),"st","nd","rd","th"),"")</f>
        <v/>
      </c>
    </row>
    <row r="881" spans="4:10" x14ac:dyDescent="0.25">
      <c r="D881" s="201" t="str">
        <f t="shared" si="13"/>
        <v/>
      </c>
      <c r="J881" s="201" t="str">
        <f>IFERROR(COUNTIF($C$23:C881,C881)&amp;CHOOSE(MIN(4,COUNTIF($C$23:C881,C881)),"st","nd","rd","th"),"")</f>
        <v/>
      </c>
    </row>
    <row r="882" spans="4:10" x14ac:dyDescent="0.25">
      <c r="D882" s="201" t="str">
        <f t="shared" si="13"/>
        <v/>
      </c>
      <c r="J882" s="201" t="str">
        <f>IFERROR(COUNTIF($C$23:C882,C882)&amp;CHOOSE(MIN(4,COUNTIF($C$23:C882,C882)),"st","nd","rd","th"),"")</f>
        <v/>
      </c>
    </row>
    <row r="883" spans="4:10" x14ac:dyDescent="0.25">
      <c r="D883" s="201" t="str">
        <f t="shared" si="13"/>
        <v/>
      </c>
      <c r="J883" s="201" t="str">
        <f>IFERROR(COUNTIF($C$23:C883,C883)&amp;CHOOSE(MIN(4,COUNTIF($C$23:C883,C883)),"st","nd","rd","th"),"")</f>
        <v/>
      </c>
    </row>
    <row r="884" spans="4:10" x14ac:dyDescent="0.25">
      <c r="D884" s="201" t="str">
        <f t="shared" si="13"/>
        <v/>
      </c>
      <c r="J884" s="201" t="str">
        <f>IFERROR(COUNTIF($C$23:C884,C884)&amp;CHOOSE(MIN(4,COUNTIF($C$23:C884,C884)),"st","nd","rd","th"),"")</f>
        <v/>
      </c>
    </row>
    <row r="885" spans="4:10" x14ac:dyDescent="0.25">
      <c r="D885" s="201" t="str">
        <f t="shared" si="13"/>
        <v/>
      </c>
      <c r="J885" s="201" t="str">
        <f>IFERROR(COUNTIF($C$23:C885,C885)&amp;CHOOSE(MIN(4,COUNTIF($C$23:C885,C885)),"st","nd","rd","th"),"")</f>
        <v/>
      </c>
    </row>
    <row r="886" spans="4:10" x14ac:dyDescent="0.25">
      <c r="D886" s="201" t="str">
        <f t="shared" si="13"/>
        <v/>
      </c>
      <c r="J886" s="201" t="str">
        <f>IFERROR(COUNTIF($C$23:C886,C886)&amp;CHOOSE(MIN(4,COUNTIF($C$23:C886,C886)),"st","nd","rd","th"),"")</f>
        <v/>
      </c>
    </row>
    <row r="887" spans="4:10" x14ac:dyDescent="0.25">
      <c r="D887" s="201" t="str">
        <f t="shared" si="13"/>
        <v/>
      </c>
      <c r="J887" s="201" t="str">
        <f>IFERROR(COUNTIF($C$23:C887,C887)&amp;CHOOSE(MIN(4,COUNTIF($C$23:C887,C887)),"st","nd","rd","th"),"")</f>
        <v/>
      </c>
    </row>
    <row r="888" spans="4:10" x14ac:dyDescent="0.25">
      <c r="D888" s="201" t="str">
        <f t="shared" si="13"/>
        <v/>
      </c>
      <c r="J888" s="201" t="str">
        <f>IFERROR(COUNTIF($C$23:C888,C888)&amp;CHOOSE(MIN(4,COUNTIF($C$23:C888,C888)),"st","nd","rd","th"),"")</f>
        <v/>
      </c>
    </row>
    <row r="889" spans="4:10" x14ac:dyDescent="0.25">
      <c r="D889" s="201" t="str">
        <f t="shared" si="13"/>
        <v/>
      </c>
      <c r="J889" s="201" t="str">
        <f>IFERROR(COUNTIF($C$23:C889,C889)&amp;CHOOSE(MIN(4,COUNTIF($C$23:C889,C889)),"st","nd","rd","th"),"")</f>
        <v/>
      </c>
    </row>
    <row r="890" spans="4:10" x14ac:dyDescent="0.25">
      <c r="D890" s="201" t="str">
        <f t="shared" si="13"/>
        <v/>
      </c>
      <c r="J890" s="201" t="str">
        <f>IFERROR(COUNTIF($C$23:C890,C890)&amp;CHOOSE(MIN(4,COUNTIF($C$23:C890,C890)),"st","nd","rd","th"),"")</f>
        <v/>
      </c>
    </row>
    <row r="891" spans="4:10" x14ac:dyDescent="0.25">
      <c r="D891" s="201" t="str">
        <f t="shared" si="13"/>
        <v/>
      </c>
      <c r="J891" s="201" t="str">
        <f>IFERROR(COUNTIF($C$23:C891,C891)&amp;CHOOSE(MIN(4,COUNTIF($C$23:C891,C891)),"st","nd","rd","th"),"")</f>
        <v/>
      </c>
    </row>
    <row r="892" spans="4:10" x14ac:dyDescent="0.25">
      <c r="D892" s="201" t="str">
        <f t="shared" si="13"/>
        <v/>
      </c>
      <c r="J892" s="201" t="str">
        <f>IFERROR(COUNTIF($C$23:C892,C892)&amp;CHOOSE(MIN(4,COUNTIF($C$23:C892,C892)),"st","nd","rd","th"),"")</f>
        <v/>
      </c>
    </row>
    <row r="893" spans="4:10" x14ac:dyDescent="0.25">
      <c r="D893" s="201" t="str">
        <f t="shared" si="13"/>
        <v/>
      </c>
      <c r="J893" s="201" t="str">
        <f>IFERROR(COUNTIF($C$23:C893,C893)&amp;CHOOSE(MIN(4,COUNTIF($C$23:C893,C893)),"st","nd","rd","th"),"")</f>
        <v/>
      </c>
    </row>
    <row r="894" spans="4:10" x14ac:dyDescent="0.25">
      <c r="D894" s="201" t="str">
        <f t="shared" si="13"/>
        <v/>
      </c>
      <c r="J894" s="201" t="str">
        <f>IFERROR(COUNTIF($C$23:C894,C894)&amp;CHOOSE(MIN(4,COUNTIF($C$23:C894,C894)),"st","nd","rd","th"),"")</f>
        <v/>
      </c>
    </row>
    <row r="895" spans="4:10" x14ac:dyDescent="0.25">
      <c r="D895" s="201" t="str">
        <f t="shared" si="13"/>
        <v/>
      </c>
      <c r="J895" s="201" t="str">
        <f>IFERROR(COUNTIF($C$23:C895,C895)&amp;CHOOSE(MIN(4,COUNTIF($C$23:C895,C895)),"st","nd","rd","th"),"")</f>
        <v/>
      </c>
    </row>
    <row r="896" spans="4:10" x14ac:dyDescent="0.25">
      <c r="D896" s="201" t="str">
        <f t="shared" si="13"/>
        <v/>
      </c>
      <c r="J896" s="201" t="str">
        <f>IFERROR(COUNTIF($C$23:C896,C896)&amp;CHOOSE(MIN(4,COUNTIF($C$23:C896,C896)),"st","nd","rd","th"),"")</f>
        <v/>
      </c>
    </row>
    <row r="897" spans="4:10" x14ac:dyDescent="0.25">
      <c r="D897" s="201" t="str">
        <f t="shared" si="13"/>
        <v/>
      </c>
      <c r="J897" s="201" t="str">
        <f>IFERROR(COUNTIF($C$23:C897,C897)&amp;CHOOSE(MIN(4,COUNTIF($C$23:C897,C897)),"st","nd","rd","th"),"")</f>
        <v/>
      </c>
    </row>
    <row r="898" spans="4:10" x14ac:dyDescent="0.25">
      <c r="D898" s="201" t="str">
        <f t="shared" si="13"/>
        <v/>
      </c>
      <c r="J898" s="201" t="str">
        <f>IFERROR(COUNTIF($C$23:C898,C898)&amp;CHOOSE(MIN(4,COUNTIF($C$23:C898,C898)),"st","nd","rd","th"),"")</f>
        <v/>
      </c>
    </row>
    <row r="899" spans="4:10" x14ac:dyDescent="0.25">
      <c r="D899" s="201" t="str">
        <f t="shared" si="13"/>
        <v/>
      </c>
      <c r="J899" s="201" t="str">
        <f>IFERROR(COUNTIF($C$23:C899,C899)&amp;CHOOSE(MIN(4,COUNTIF($C$23:C899,C899)),"st","nd","rd","th"),"")</f>
        <v/>
      </c>
    </row>
    <row r="900" spans="4:10" x14ac:dyDescent="0.25">
      <c r="D900" s="201" t="str">
        <f t="shared" si="13"/>
        <v/>
      </c>
      <c r="J900" s="201" t="str">
        <f>IFERROR(COUNTIF($C$23:C900,C900)&amp;CHOOSE(MIN(4,COUNTIF($C$23:C900,C900)),"st","nd","rd","th"),"")</f>
        <v/>
      </c>
    </row>
    <row r="901" spans="4:10" x14ac:dyDescent="0.25">
      <c r="D901" s="201" t="str">
        <f t="shared" si="13"/>
        <v/>
      </c>
      <c r="J901" s="201" t="str">
        <f>IFERROR(COUNTIF($C$23:C901,C901)&amp;CHOOSE(MIN(4,COUNTIF($C$23:C901,C901)),"st","nd","rd","th"),"")</f>
        <v/>
      </c>
    </row>
    <row r="902" spans="4:10" x14ac:dyDescent="0.25">
      <c r="D902" s="201" t="str">
        <f t="shared" si="13"/>
        <v/>
      </c>
      <c r="J902" s="201" t="str">
        <f>IFERROR(COUNTIF($C$23:C902,C902)&amp;CHOOSE(MIN(4,COUNTIF($C$23:C902,C902)),"st","nd","rd","th"),"")</f>
        <v/>
      </c>
    </row>
    <row r="903" spans="4:10" x14ac:dyDescent="0.25">
      <c r="D903" s="201" t="str">
        <f t="shared" si="13"/>
        <v/>
      </c>
      <c r="J903" s="201" t="str">
        <f>IFERROR(COUNTIF($C$23:C903,C903)&amp;CHOOSE(MIN(4,COUNTIF($C$23:C903,C903)),"st","nd","rd","th"),"")</f>
        <v/>
      </c>
    </row>
    <row r="904" spans="4:10" x14ac:dyDescent="0.25">
      <c r="D904" s="201" t="str">
        <f t="shared" si="13"/>
        <v/>
      </c>
      <c r="J904" s="201" t="str">
        <f>IFERROR(COUNTIF($C$23:C904,C904)&amp;CHOOSE(MIN(4,COUNTIF($C$23:C904,C904)),"st","nd","rd","th"),"")</f>
        <v/>
      </c>
    </row>
    <row r="905" spans="4:10" x14ac:dyDescent="0.25">
      <c r="D905" s="201" t="str">
        <f t="shared" si="13"/>
        <v/>
      </c>
      <c r="J905" s="201" t="str">
        <f>IFERROR(COUNTIF($C$23:C905,C905)&amp;CHOOSE(MIN(4,COUNTIF($C$23:C905,C905)),"st","nd","rd","th"),"")</f>
        <v/>
      </c>
    </row>
    <row r="906" spans="4:10" x14ac:dyDescent="0.25">
      <c r="D906" s="201" t="str">
        <f t="shared" si="13"/>
        <v/>
      </c>
      <c r="J906" s="201" t="str">
        <f>IFERROR(COUNTIF($C$23:C906,C906)&amp;CHOOSE(MIN(4,COUNTIF($C$23:C906,C906)),"st","nd","rd","th"),"")</f>
        <v/>
      </c>
    </row>
    <row r="907" spans="4:10" x14ac:dyDescent="0.25">
      <c r="D907" s="201" t="str">
        <f t="shared" si="13"/>
        <v/>
      </c>
      <c r="J907" s="201" t="str">
        <f>IFERROR(COUNTIF($C$23:C907,C907)&amp;CHOOSE(MIN(4,COUNTIF($C$23:C907,C907)),"st","nd","rd","th"),"")</f>
        <v/>
      </c>
    </row>
    <row r="908" spans="4:10" x14ac:dyDescent="0.25">
      <c r="D908" s="201" t="str">
        <f t="shared" si="13"/>
        <v/>
      </c>
      <c r="J908" s="201" t="str">
        <f>IFERROR(COUNTIF($C$23:C908,C908)&amp;CHOOSE(MIN(4,COUNTIF($C$23:C908,C908)),"st","nd","rd","th"),"")</f>
        <v/>
      </c>
    </row>
    <row r="909" spans="4:10" x14ac:dyDescent="0.25">
      <c r="D909" s="201" t="str">
        <f t="shared" si="13"/>
        <v/>
      </c>
      <c r="J909" s="201" t="str">
        <f>IFERROR(COUNTIF($C$23:C909,C909)&amp;CHOOSE(MIN(4,COUNTIF($C$23:C909,C909)),"st","nd","rd","th"),"")</f>
        <v/>
      </c>
    </row>
    <row r="910" spans="4:10" x14ac:dyDescent="0.25">
      <c r="D910" s="201" t="str">
        <f t="shared" si="13"/>
        <v/>
      </c>
      <c r="J910" s="201" t="str">
        <f>IFERROR(COUNTIF($C$23:C910,C910)&amp;CHOOSE(MIN(4,COUNTIF($C$23:C910,C910)),"st","nd","rd","th"),"")</f>
        <v/>
      </c>
    </row>
    <row r="911" spans="4:10" x14ac:dyDescent="0.25">
      <c r="D911" s="201" t="str">
        <f t="shared" si="13"/>
        <v/>
      </c>
      <c r="J911" s="201" t="str">
        <f>IFERROR(COUNTIF($C$23:C911,C911)&amp;CHOOSE(MIN(4,COUNTIF($C$23:C911,C911)),"st","nd","rd","th"),"")</f>
        <v/>
      </c>
    </row>
    <row r="912" spans="4:10" x14ac:dyDescent="0.25">
      <c r="D912" s="201" t="str">
        <f t="shared" si="13"/>
        <v/>
      </c>
      <c r="J912" s="201" t="str">
        <f>IFERROR(COUNTIF($C$23:C912,C912)&amp;CHOOSE(MIN(4,COUNTIF($C$23:C912,C912)),"st","nd","rd","th"),"")</f>
        <v/>
      </c>
    </row>
    <row r="913" spans="4:10" x14ac:dyDescent="0.25">
      <c r="D913" s="201" t="str">
        <f t="shared" si="13"/>
        <v/>
      </c>
      <c r="J913" s="201" t="str">
        <f>IFERROR(COUNTIF($C$23:C913,C913)&amp;CHOOSE(MIN(4,COUNTIF($C$23:C913,C913)),"st","nd","rd","th"),"")</f>
        <v/>
      </c>
    </row>
    <row r="914" spans="4:10" x14ac:dyDescent="0.25">
      <c r="D914" s="201" t="str">
        <f t="shared" si="13"/>
        <v/>
      </c>
      <c r="J914" s="201" t="str">
        <f>IFERROR(COUNTIF($C$23:C914,C914)&amp;CHOOSE(MIN(4,COUNTIF($C$23:C914,C914)),"st","nd","rd","th"),"")</f>
        <v/>
      </c>
    </row>
    <row r="915" spans="4:10" x14ac:dyDescent="0.25">
      <c r="D915" s="201" t="str">
        <f t="shared" si="13"/>
        <v/>
      </c>
      <c r="J915" s="201" t="str">
        <f>IFERROR(COUNTIF($C$23:C915,C915)&amp;CHOOSE(MIN(4,COUNTIF($C$23:C915,C915)),"st","nd","rd","th"),"")</f>
        <v/>
      </c>
    </row>
    <row r="916" spans="4:10" x14ac:dyDescent="0.25">
      <c r="D916" s="201" t="str">
        <f t="shared" si="13"/>
        <v/>
      </c>
      <c r="J916" s="201" t="str">
        <f>IFERROR(COUNTIF($C$23:C916,C916)&amp;CHOOSE(MIN(4,COUNTIF($C$23:C916,C916)),"st","nd","rd","th"),"")</f>
        <v/>
      </c>
    </row>
    <row r="917" spans="4:10" x14ac:dyDescent="0.25">
      <c r="D917" s="201" t="str">
        <f t="shared" si="13"/>
        <v/>
      </c>
      <c r="J917" s="201" t="str">
        <f>IFERROR(COUNTIF($C$23:C917,C917)&amp;CHOOSE(MIN(4,COUNTIF($C$23:C917,C917)),"st","nd","rd","th"),"")</f>
        <v/>
      </c>
    </row>
    <row r="918" spans="4:10" x14ac:dyDescent="0.25">
      <c r="D918" s="201" t="str">
        <f t="shared" si="13"/>
        <v/>
      </c>
      <c r="J918" s="201" t="str">
        <f>IFERROR(COUNTIF($C$23:C918,C918)&amp;CHOOSE(MIN(4,COUNTIF($C$23:C918,C918)),"st","nd","rd","th"),"")</f>
        <v/>
      </c>
    </row>
    <row r="919" spans="4:10" x14ac:dyDescent="0.25">
      <c r="D919" s="201" t="str">
        <f t="shared" ref="D919:D982" si="14">IF(B919="","",IF(B919="Province_PLGU","PDPFP","CLUP"))</f>
        <v/>
      </c>
      <c r="J919" s="201" t="str">
        <f>IFERROR(COUNTIF($C$23:C919,C919)&amp;CHOOSE(MIN(4,COUNTIF($C$23:C919,C919)),"st","nd","rd","th"),"")</f>
        <v/>
      </c>
    </row>
    <row r="920" spans="4:10" x14ac:dyDescent="0.25">
      <c r="D920" s="201" t="str">
        <f t="shared" si="14"/>
        <v/>
      </c>
      <c r="J920" s="201" t="str">
        <f>IFERROR(COUNTIF($C$23:C920,C920)&amp;CHOOSE(MIN(4,COUNTIF($C$23:C920,C920)),"st","nd","rd","th"),"")</f>
        <v/>
      </c>
    </row>
    <row r="921" spans="4:10" x14ac:dyDescent="0.25">
      <c r="D921" s="201" t="str">
        <f t="shared" si="14"/>
        <v/>
      </c>
      <c r="J921" s="201" t="str">
        <f>IFERROR(COUNTIF($C$23:C921,C921)&amp;CHOOSE(MIN(4,COUNTIF($C$23:C921,C921)),"st","nd","rd","th"),"")</f>
        <v/>
      </c>
    </row>
    <row r="922" spans="4:10" x14ac:dyDescent="0.25">
      <c r="D922" s="201" t="str">
        <f t="shared" si="14"/>
        <v/>
      </c>
      <c r="J922" s="201" t="str">
        <f>IFERROR(COUNTIF($C$23:C922,C922)&amp;CHOOSE(MIN(4,COUNTIF($C$23:C922,C922)),"st","nd","rd","th"),"")</f>
        <v/>
      </c>
    </row>
    <row r="923" spans="4:10" x14ac:dyDescent="0.25">
      <c r="D923" s="201" t="str">
        <f t="shared" si="14"/>
        <v/>
      </c>
      <c r="J923" s="201" t="str">
        <f>IFERROR(COUNTIF($C$23:C923,C923)&amp;CHOOSE(MIN(4,COUNTIF($C$23:C923,C923)),"st","nd","rd","th"),"")</f>
        <v/>
      </c>
    </row>
    <row r="924" spans="4:10" x14ac:dyDescent="0.25">
      <c r="D924" s="201" t="str">
        <f t="shared" si="14"/>
        <v/>
      </c>
      <c r="J924" s="201" t="str">
        <f>IFERROR(COUNTIF($C$23:C924,C924)&amp;CHOOSE(MIN(4,COUNTIF($C$23:C924,C924)),"st","nd","rd","th"),"")</f>
        <v/>
      </c>
    </row>
    <row r="925" spans="4:10" x14ac:dyDescent="0.25">
      <c r="D925" s="201" t="str">
        <f t="shared" si="14"/>
        <v/>
      </c>
      <c r="J925" s="201" t="str">
        <f>IFERROR(COUNTIF($C$23:C925,C925)&amp;CHOOSE(MIN(4,COUNTIF($C$23:C925,C925)),"st","nd","rd","th"),"")</f>
        <v/>
      </c>
    </row>
    <row r="926" spans="4:10" x14ac:dyDescent="0.25">
      <c r="D926" s="201" t="str">
        <f t="shared" si="14"/>
        <v/>
      </c>
      <c r="J926" s="201" t="str">
        <f>IFERROR(COUNTIF($C$23:C926,C926)&amp;CHOOSE(MIN(4,COUNTIF($C$23:C926,C926)),"st","nd","rd","th"),"")</f>
        <v/>
      </c>
    </row>
    <row r="927" spans="4:10" x14ac:dyDescent="0.25">
      <c r="D927" s="201" t="str">
        <f t="shared" si="14"/>
        <v/>
      </c>
      <c r="J927" s="201" t="str">
        <f>IFERROR(COUNTIF($C$23:C927,C927)&amp;CHOOSE(MIN(4,COUNTIF($C$23:C927,C927)),"st","nd","rd","th"),"")</f>
        <v/>
      </c>
    </row>
    <row r="928" spans="4:10" x14ac:dyDescent="0.25">
      <c r="D928" s="201" t="str">
        <f t="shared" si="14"/>
        <v/>
      </c>
      <c r="J928" s="201" t="str">
        <f>IFERROR(COUNTIF($C$23:C928,C928)&amp;CHOOSE(MIN(4,COUNTIF($C$23:C928,C928)),"st","nd","rd","th"),"")</f>
        <v/>
      </c>
    </row>
    <row r="929" spans="4:10" x14ac:dyDescent="0.25">
      <c r="D929" s="201" t="str">
        <f t="shared" si="14"/>
        <v/>
      </c>
      <c r="J929" s="201" t="str">
        <f>IFERROR(COUNTIF($C$23:C929,C929)&amp;CHOOSE(MIN(4,COUNTIF($C$23:C929,C929)),"st","nd","rd","th"),"")</f>
        <v/>
      </c>
    </row>
    <row r="930" spans="4:10" x14ac:dyDescent="0.25">
      <c r="D930" s="201" t="str">
        <f t="shared" si="14"/>
        <v/>
      </c>
      <c r="J930" s="201" t="str">
        <f>IFERROR(COUNTIF($C$23:C930,C930)&amp;CHOOSE(MIN(4,COUNTIF($C$23:C930,C930)),"st","nd","rd","th"),"")</f>
        <v/>
      </c>
    </row>
    <row r="931" spans="4:10" x14ac:dyDescent="0.25">
      <c r="D931" s="201" t="str">
        <f t="shared" si="14"/>
        <v/>
      </c>
      <c r="J931" s="201" t="str">
        <f>IFERROR(COUNTIF($C$23:C931,C931)&amp;CHOOSE(MIN(4,COUNTIF($C$23:C931,C931)),"st","nd","rd","th"),"")</f>
        <v/>
      </c>
    </row>
    <row r="932" spans="4:10" x14ac:dyDescent="0.25">
      <c r="D932" s="201" t="str">
        <f t="shared" si="14"/>
        <v/>
      </c>
      <c r="J932" s="201" t="str">
        <f>IFERROR(COUNTIF($C$23:C932,C932)&amp;CHOOSE(MIN(4,COUNTIF($C$23:C932,C932)),"st","nd","rd","th"),"")</f>
        <v/>
      </c>
    </row>
    <row r="933" spans="4:10" x14ac:dyDescent="0.25">
      <c r="D933" s="201" t="str">
        <f t="shared" si="14"/>
        <v/>
      </c>
      <c r="J933" s="201" t="str">
        <f>IFERROR(COUNTIF($C$23:C933,C933)&amp;CHOOSE(MIN(4,COUNTIF($C$23:C933,C933)),"st","nd","rd","th"),"")</f>
        <v/>
      </c>
    </row>
    <row r="934" spans="4:10" x14ac:dyDescent="0.25">
      <c r="D934" s="201" t="str">
        <f t="shared" si="14"/>
        <v/>
      </c>
      <c r="J934" s="201" t="str">
        <f>IFERROR(COUNTIF($C$23:C934,C934)&amp;CHOOSE(MIN(4,COUNTIF($C$23:C934,C934)),"st","nd","rd","th"),"")</f>
        <v/>
      </c>
    </row>
    <row r="935" spans="4:10" x14ac:dyDescent="0.25">
      <c r="D935" s="201" t="str">
        <f t="shared" si="14"/>
        <v/>
      </c>
      <c r="J935" s="201" t="str">
        <f>IFERROR(COUNTIF($C$23:C935,C935)&amp;CHOOSE(MIN(4,COUNTIF($C$23:C935,C935)),"st","nd","rd","th"),"")</f>
        <v/>
      </c>
    </row>
    <row r="936" spans="4:10" x14ac:dyDescent="0.25">
      <c r="D936" s="201" t="str">
        <f t="shared" si="14"/>
        <v/>
      </c>
      <c r="J936" s="201" t="str">
        <f>IFERROR(COUNTIF($C$23:C936,C936)&amp;CHOOSE(MIN(4,COUNTIF($C$23:C936,C936)),"st","nd","rd","th"),"")</f>
        <v/>
      </c>
    </row>
    <row r="937" spans="4:10" x14ac:dyDescent="0.25">
      <c r="D937" s="201" t="str">
        <f t="shared" si="14"/>
        <v/>
      </c>
      <c r="J937" s="201" t="str">
        <f>IFERROR(COUNTIF($C$23:C937,C937)&amp;CHOOSE(MIN(4,COUNTIF($C$23:C937,C937)),"st","nd","rd","th"),"")</f>
        <v/>
      </c>
    </row>
    <row r="938" spans="4:10" x14ac:dyDescent="0.25">
      <c r="D938" s="201" t="str">
        <f t="shared" si="14"/>
        <v/>
      </c>
      <c r="J938" s="201" t="str">
        <f>IFERROR(COUNTIF($C$23:C938,C938)&amp;CHOOSE(MIN(4,COUNTIF($C$23:C938,C938)),"st","nd","rd","th"),"")</f>
        <v/>
      </c>
    </row>
    <row r="939" spans="4:10" x14ac:dyDescent="0.25">
      <c r="D939" s="201" t="str">
        <f t="shared" si="14"/>
        <v/>
      </c>
      <c r="J939" s="201" t="str">
        <f>IFERROR(COUNTIF($C$23:C939,C939)&amp;CHOOSE(MIN(4,COUNTIF($C$23:C939,C939)),"st","nd","rd","th"),"")</f>
        <v/>
      </c>
    </row>
    <row r="940" spans="4:10" x14ac:dyDescent="0.25">
      <c r="D940" s="201" t="str">
        <f t="shared" si="14"/>
        <v/>
      </c>
      <c r="J940" s="201" t="str">
        <f>IFERROR(COUNTIF($C$23:C940,C940)&amp;CHOOSE(MIN(4,COUNTIF($C$23:C940,C940)),"st","nd","rd","th"),"")</f>
        <v/>
      </c>
    </row>
    <row r="941" spans="4:10" x14ac:dyDescent="0.25">
      <c r="D941" s="201" t="str">
        <f t="shared" si="14"/>
        <v/>
      </c>
      <c r="J941" s="201" t="str">
        <f>IFERROR(COUNTIF($C$23:C941,C941)&amp;CHOOSE(MIN(4,COUNTIF($C$23:C941,C941)),"st","nd","rd","th"),"")</f>
        <v/>
      </c>
    </row>
    <row r="942" spans="4:10" x14ac:dyDescent="0.25">
      <c r="D942" s="201" t="str">
        <f t="shared" si="14"/>
        <v/>
      </c>
      <c r="J942" s="201" t="str">
        <f>IFERROR(COUNTIF($C$23:C942,C942)&amp;CHOOSE(MIN(4,COUNTIF($C$23:C942,C942)),"st","nd","rd","th"),"")</f>
        <v/>
      </c>
    </row>
    <row r="943" spans="4:10" x14ac:dyDescent="0.25">
      <c r="D943" s="201" t="str">
        <f t="shared" si="14"/>
        <v/>
      </c>
      <c r="J943" s="201" t="str">
        <f>IFERROR(COUNTIF($C$23:C943,C943)&amp;CHOOSE(MIN(4,COUNTIF($C$23:C943,C943)),"st","nd","rd","th"),"")</f>
        <v/>
      </c>
    </row>
    <row r="944" spans="4:10" x14ac:dyDescent="0.25">
      <c r="D944" s="201" t="str">
        <f t="shared" si="14"/>
        <v/>
      </c>
      <c r="J944" s="201" t="str">
        <f>IFERROR(COUNTIF($C$23:C944,C944)&amp;CHOOSE(MIN(4,COUNTIF($C$23:C944,C944)),"st","nd","rd","th"),"")</f>
        <v/>
      </c>
    </row>
    <row r="945" spans="4:10" x14ac:dyDescent="0.25">
      <c r="D945" s="201" t="str">
        <f t="shared" si="14"/>
        <v/>
      </c>
      <c r="J945" s="201" t="str">
        <f>IFERROR(COUNTIF($C$23:C945,C945)&amp;CHOOSE(MIN(4,COUNTIF($C$23:C945,C945)),"st","nd","rd","th"),"")</f>
        <v/>
      </c>
    </row>
    <row r="946" spans="4:10" x14ac:dyDescent="0.25">
      <c r="D946" s="201" t="str">
        <f t="shared" si="14"/>
        <v/>
      </c>
      <c r="J946" s="201" t="str">
        <f>IFERROR(COUNTIF($C$23:C946,C946)&amp;CHOOSE(MIN(4,COUNTIF($C$23:C946,C946)),"st","nd","rd","th"),"")</f>
        <v/>
      </c>
    </row>
    <row r="947" spans="4:10" x14ac:dyDescent="0.25">
      <c r="D947" s="201" t="str">
        <f t="shared" si="14"/>
        <v/>
      </c>
      <c r="J947" s="201" t="str">
        <f>IFERROR(COUNTIF($C$23:C947,C947)&amp;CHOOSE(MIN(4,COUNTIF($C$23:C947,C947)),"st","nd","rd","th"),"")</f>
        <v/>
      </c>
    </row>
    <row r="948" spans="4:10" x14ac:dyDescent="0.25">
      <c r="D948" s="201" t="str">
        <f t="shared" si="14"/>
        <v/>
      </c>
      <c r="J948" s="201" t="str">
        <f>IFERROR(COUNTIF($C$23:C948,C948)&amp;CHOOSE(MIN(4,COUNTIF($C$23:C948,C948)),"st","nd","rd","th"),"")</f>
        <v/>
      </c>
    </row>
    <row r="949" spans="4:10" x14ac:dyDescent="0.25">
      <c r="D949" s="201" t="str">
        <f t="shared" si="14"/>
        <v/>
      </c>
      <c r="J949" s="201" t="str">
        <f>IFERROR(COUNTIF($C$23:C949,C949)&amp;CHOOSE(MIN(4,COUNTIF($C$23:C949,C949)),"st","nd","rd","th"),"")</f>
        <v/>
      </c>
    </row>
    <row r="950" spans="4:10" x14ac:dyDescent="0.25">
      <c r="D950" s="201" t="str">
        <f t="shared" si="14"/>
        <v/>
      </c>
      <c r="J950" s="201" t="str">
        <f>IFERROR(COUNTIF($C$23:C950,C950)&amp;CHOOSE(MIN(4,COUNTIF($C$23:C950,C950)),"st","nd","rd","th"),"")</f>
        <v/>
      </c>
    </row>
    <row r="951" spans="4:10" x14ac:dyDescent="0.25">
      <c r="D951" s="201" t="str">
        <f t="shared" si="14"/>
        <v/>
      </c>
      <c r="J951" s="201" t="str">
        <f>IFERROR(COUNTIF($C$23:C951,C951)&amp;CHOOSE(MIN(4,COUNTIF($C$23:C951,C951)),"st","nd","rd","th"),"")</f>
        <v/>
      </c>
    </row>
    <row r="952" spans="4:10" x14ac:dyDescent="0.25">
      <c r="D952" s="201" t="str">
        <f t="shared" si="14"/>
        <v/>
      </c>
      <c r="J952" s="201" t="str">
        <f>IFERROR(COUNTIF($C$23:C952,C952)&amp;CHOOSE(MIN(4,COUNTIF($C$23:C952,C952)),"st","nd","rd","th"),"")</f>
        <v/>
      </c>
    </row>
    <row r="953" spans="4:10" x14ac:dyDescent="0.25">
      <c r="D953" s="201" t="str">
        <f t="shared" si="14"/>
        <v/>
      </c>
      <c r="J953" s="201" t="str">
        <f>IFERROR(COUNTIF($C$23:C953,C953)&amp;CHOOSE(MIN(4,COUNTIF($C$23:C953,C953)),"st","nd","rd","th"),"")</f>
        <v/>
      </c>
    </row>
    <row r="954" spans="4:10" x14ac:dyDescent="0.25">
      <c r="D954" s="201" t="str">
        <f t="shared" si="14"/>
        <v/>
      </c>
      <c r="J954" s="201" t="str">
        <f>IFERROR(COUNTIF($C$23:C954,C954)&amp;CHOOSE(MIN(4,COUNTIF($C$23:C954,C954)),"st","nd","rd","th"),"")</f>
        <v/>
      </c>
    </row>
    <row r="955" spans="4:10" x14ac:dyDescent="0.25">
      <c r="D955" s="201" t="str">
        <f t="shared" si="14"/>
        <v/>
      </c>
      <c r="J955" s="201" t="str">
        <f>IFERROR(COUNTIF($C$23:C955,C955)&amp;CHOOSE(MIN(4,COUNTIF($C$23:C955,C955)),"st","nd","rd","th"),"")</f>
        <v/>
      </c>
    </row>
    <row r="956" spans="4:10" x14ac:dyDescent="0.25">
      <c r="D956" s="201" t="str">
        <f t="shared" si="14"/>
        <v/>
      </c>
      <c r="J956" s="201" t="str">
        <f>IFERROR(COUNTIF($C$23:C956,C956)&amp;CHOOSE(MIN(4,COUNTIF($C$23:C956,C956)),"st","nd","rd","th"),"")</f>
        <v/>
      </c>
    </row>
    <row r="957" spans="4:10" x14ac:dyDescent="0.25">
      <c r="D957" s="201" t="str">
        <f t="shared" si="14"/>
        <v/>
      </c>
      <c r="J957" s="201" t="str">
        <f>IFERROR(COUNTIF($C$23:C957,C957)&amp;CHOOSE(MIN(4,COUNTIF($C$23:C957,C957)),"st","nd","rd","th"),"")</f>
        <v/>
      </c>
    </row>
    <row r="958" spans="4:10" x14ac:dyDescent="0.25">
      <c r="D958" s="201" t="str">
        <f t="shared" si="14"/>
        <v/>
      </c>
      <c r="J958" s="201" t="str">
        <f>IFERROR(COUNTIF($C$23:C958,C958)&amp;CHOOSE(MIN(4,COUNTIF($C$23:C958,C958)),"st","nd","rd","th"),"")</f>
        <v/>
      </c>
    </row>
    <row r="959" spans="4:10" x14ac:dyDescent="0.25">
      <c r="D959" s="201" t="str">
        <f t="shared" si="14"/>
        <v/>
      </c>
      <c r="J959" s="201" t="str">
        <f>IFERROR(COUNTIF($C$23:C959,C959)&amp;CHOOSE(MIN(4,COUNTIF($C$23:C959,C959)),"st","nd","rd","th"),"")</f>
        <v/>
      </c>
    </row>
    <row r="960" spans="4:10" x14ac:dyDescent="0.25">
      <c r="D960" s="201" t="str">
        <f t="shared" si="14"/>
        <v/>
      </c>
      <c r="J960" s="201" t="str">
        <f>IFERROR(COUNTIF($C$23:C960,C960)&amp;CHOOSE(MIN(4,COUNTIF($C$23:C960,C960)),"st","nd","rd","th"),"")</f>
        <v/>
      </c>
    </row>
    <row r="961" spans="4:10" x14ac:dyDescent="0.25">
      <c r="D961" s="201" t="str">
        <f t="shared" si="14"/>
        <v/>
      </c>
      <c r="J961" s="201" t="str">
        <f>IFERROR(COUNTIF($C$23:C961,C961)&amp;CHOOSE(MIN(4,COUNTIF($C$23:C961,C961)),"st","nd","rd","th"),"")</f>
        <v/>
      </c>
    </row>
    <row r="962" spans="4:10" x14ac:dyDescent="0.25">
      <c r="D962" s="201" t="str">
        <f t="shared" si="14"/>
        <v/>
      </c>
      <c r="J962" s="201" t="str">
        <f>IFERROR(COUNTIF($C$23:C962,C962)&amp;CHOOSE(MIN(4,COUNTIF($C$23:C962,C962)),"st","nd","rd","th"),"")</f>
        <v/>
      </c>
    </row>
    <row r="963" spans="4:10" x14ac:dyDescent="0.25">
      <c r="D963" s="201" t="str">
        <f t="shared" si="14"/>
        <v/>
      </c>
      <c r="J963" s="201" t="str">
        <f>IFERROR(COUNTIF($C$23:C963,C963)&amp;CHOOSE(MIN(4,COUNTIF($C$23:C963,C963)),"st","nd","rd","th"),"")</f>
        <v/>
      </c>
    </row>
    <row r="964" spans="4:10" x14ac:dyDescent="0.25">
      <c r="D964" s="201" t="str">
        <f t="shared" si="14"/>
        <v/>
      </c>
      <c r="J964" s="201" t="str">
        <f>IFERROR(COUNTIF($C$23:C964,C964)&amp;CHOOSE(MIN(4,COUNTIF($C$23:C964,C964)),"st","nd","rd","th"),"")</f>
        <v/>
      </c>
    </row>
    <row r="965" spans="4:10" x14ac:dyDescent="0.25">
      <c r="D965" s="201" t="str">
        <f t="shared" si="14"/>
        <v/>
      </c>
      <c r="J965" s="201" t="str">
        <f>IFERROR(COUNTIF($C$23:C965,C965)&amp;CHOOSE(MIN(4,COUNTIF($C$23:C965,C965)),"st","nd","rd","th"),"")</f>
        <v/>
      </c>
    </row>
    <row r="966" spans="4:10" x14ac:dyDescent="0.25">
      <c r="D966" s="201" t="str">
        <f t="shared" si="14"/>
        <v/>
      </c>
      <c r="J966" s="201" t="str">
        <f>IFERROR(COUNTIF($C$23:C966,C966)&amp;CHOOSE(MIN(4,COUNTIF($C$23:C966,C966)),"st","nd","rd","th"),"")</f>
        <v/>
      </c>
    </row>
    <row r="967" spans="4:10" x14ac:dyDescent="0.25">
      <c r="D967" s="201" t="str">
        <f t="shared" si="14"/>
        <v/>
      </c>
      <c r="J967" s="201" t="str">
        <f>IFERROR(COUNTIF($C$23:C967,C967)&amp;CHOOSE(MIN(4,COUNTIF($C$23:C967,C967)),"st","nd","rd","th"),"")</f>
        <v/>
      </c>
    </row>
    <row r="968" spans="4:10" x14ac:dyDescent="0.25">
      <c r="D968" s="201" t="str">
        <f t="shared" si="14"/>
        <v/>
      </c>
      <c r="J968" s="201" t="str">
        <f>IFERROR(COUNTIF($C$23:C968,C968)&amp;CHOOSE(MIN(4,COUNTIF($C$23:C968,C968)),"st","nd","rd","th"),"")</f>
        <v/>
      </c>
    </row>
    <row r="969" spans="4:10" x14ac:dyDescent="0.25">
      <c r="D969" s="201" t="str">
        <f t="shared" si="14"/>
        <v/>
      </c>
      <c r="J969" s="201" t="str">
        <f>IFERROR(COUNTIF($C$23:C969,C969)&amp;CHOOSE(MIN(4,COUNTIF($C$23:C969,C969)),"st","nd","rd","th"),"")</f>
        <v/>
      </c>
    </row>
    <row r="970" spans="4:10" x14ac:dyDescent="0.25">
      <c r="D970" s="201" t="str">
        <f t="shared" si="14"/>
        <v/>
      </c>
      <c r="J970" s="201" t="str">
        <f>IFERROR(COUNTIF($C$23:C970,C970)&amp;CHOOSE(MIN(4,COUNTIF($C$23:C970,C970)),"st","nd","rd","th"),"")</f>
        <v/>
      </c>
    </row>
    <row r="971" spans="4:10" x14ac:dyDescent="0.25">
      <c r="D971" s="201" t="str">
        <f t="shared" si="14"/>
        <v/>
      </c>
      <c r="J971" s="201" t="str">
        <f>IFERROR(COUNTIF($C$23:C971,C971)&amp;CHOOSE(MIN(4,COUNTIF($C$23:C971,C971)),"st","nd","rd","th"),"")</f>
        <v/>
      </c>
    </row>
    <row r="972" spans="4:10" x14ac:dyDescent="0.25">
      <c r="D972" s="201" t="str">
        <f t="shared" si="14"/>
        <v/>
      </c>
      <c r="J972" s="201" t="str">
        <f>IFERROR(COUNTIF($C$23:C972,C972)&amp;CHOOSE(MIN(4,COUNTIF($C$23:C972,C972)),"st","nd","rd","th"),"")</f>
        <v/>
      </c>
    </row>
    <row r="973" spans="4:10" x14ac:dyDescent="0.25">
      <c r="D973" s="201" t="str">
        <f t="shared" si="14"/>
        <v/>
      </c>
      <c r="J973" s="201" t="str">
        <f>IFERROR(COUNTIF($C$23:C973,C973)&amp;CHOOSE(MIN(4,COUNTIF($C$23:C973,C973)),"st","nd","rd","th"),"")</f>
        <v/>
      </c>
    </row>
    <row r="974" spans="4:10" x14ac:dyDescent="0.25">
      <c r="D974" s="201" t="str">
        <f t="shared" si="14"/>
        <v/>
      </c>
      <c r="J974" s="201" t="str">
        <f>IFERROR(COUNTIF($C$23:C974,C974)&amp;CHOOSE(MIN(4,COUNTIF($C$23:C974,C974)),"st","nd","rd","th"),"")</f>
        <v/>
      </c>
    </row>
    <row r="975" spans="4:10" x14ac:dyDescent="0.25">
      <c r="D975" s="201" t="str">
        <f t="shared" si="14"/>
        <v/>
      </c>
      <c r="J975" s="201" t="str">
        <f>IFERROR(COUNTIF($C$23:C975,C975)&amp;CHOOSE(MIN(4,COUNTIF($C$23:C975,C975)),"st","nd","rd","th"),"")</f>
        <v/>
      </c>
    </row>
    <row r="976" spans="4:10" x14ac:dyDescent="0.25">
      <c r="D976" s="201" t="str">
        <f t="shared" si="14"/>
        <v/>
      </c>
      <c r="J976" s="201" t="str">
        <f>IFERROR(COUNTIF($C$23:C976,C976)&amp;CHOOSE(MIN(4,COUNTIF($C$23:C976,C976)),"st","nd","rd","th"),"")</f>
        <v/>
      </c>
    </row>
    <row r="977" spans="4:10" x14ac:dyDescent="0.25">
      <c r="D977" s="201" t="str">
        <f t="shared" si="14"/>
        <v/>
      </c>
      <c r="J977" s="201" t="str">
        <f>IFERROR(COUNTIF($C$23:C977,C977)&amp;CHOOSE(MIN(4,COUNTIF($C$23:C977,C977)),"st","nd","rd","th"),"")</f>
        <v/>
      </c>
    </row>
    <row r="978" spans="4:10" x14ac:dyDescent="0.25">
      <c r="D978" s="201" t="str">
        <f t="shared" si="14"/>
        <v/>
      </c>
      <c r="J978" s="201" t="str">
        <f>IFERROR(COUNTIF($C$23:C978,C978)&amp;CHOOSE(MIN(4,COUNTIF($C$23:C978,C978)),"st","nd","rd","th"),"")</f>
        <v/>
      </c>
    </row>
    <row r="979" spans="4:10" x14ac:dyDescent="0.25">
      <c r="D979" s="201" t="str">
        <f t="shared" si="14"/>
        <v/>
      </c>
      <c r="J979" s="201" t="str">
        <f>IFERROR(COUNTIF($C$23:C979,C979)&amp;CHOOSE(MIN(4,COUNTIF($C$23:C979,C979)),"st","nd","rd","th"),"")</f>
        <v/>
      </c>
    </row>
    <row r="980" spans="4:10" x14ac:dyDescent="0.25">
      <c r="D980" s="201" t="str">
        <f t="shared" si="14"/>
        <v/>
      </c>
      <c r="J980" s="201" t="str">
        <f>IFERROR(COUNTIF($C$23:C980,C980)&amp;CHOOSE(MIN(4,COUNTIF($C$23:C980,C980)),"st","nd","rd","th"),"")</f>
        <v/>
      </c>
    </row>
    <row r="981" spans="4:10" x14ac:dyDescent="0.25">
      <c r="D981" s="201" t="str">
        <f t="shared" si="14"/>
        <v/>
      </c>
      <c r="J981" s="201" t="str">
        <f>IFERROR(COUNTIF($C$23:C981,C981)&amp;CHOOSE(MIN(4,COUNTIF($C$23:C981,C981)),"st","nd","rd","th"),"")</f>
        <v/>
      </c>
    </row>
    <row r="982" spans="4:10" x14ac:dyDescent="0.25">
      <c r="D982" s="201" t="str">
        <f t="shared" si="14"/>
        <v/>
      </c>
      <c r="J982" s="201" t="str">
        <f>IFERROR(COUNTIF($C$23:C982,C982)&amp;CHOOSE(MIN(4,COUNTIF($C$23:C982,C982)),"st","nd","rd","th"),"")</f>
        <v/>
      </c>
    </row>
    <row r="983" spans="4:10" x14ac:dyDescent="0.25">
      <c r="D983" s="201" t="str">
        <f t="shared" ref="D983:D1005" si="15">IF(B983="","",IF(B983="Province_PLGU","PDPFP","CLUP"))</f>
        <v/>
      </c>
      <c r="J983" s="201" t="str">
        <f>IFERROR(COUNTIF($C$23:C983,C983)&amp;CHOOSE(MIN(4,COUNTIF($C$23:C983,C983)),"st","nd","rd","th"),"")</f>
        <v/>
      </c>
    </row>
    <row r="984" spans="4:10" x14ac:dyDescent="0.25">
      <c r="D984" s="201" t="str">
        <f t="shared" si="15"/>
        <v/>
      </c>
      <c r="J984" s="201" t="str">
        <f>IFERROR(COUNTIF($C$23:C984,C984)&amp;CHOOSE(MIN(4,COUNTIF($C$23:C984,C984)),"st","nd","rd","th"),"")</f>
        <v/>
      </c>
    </row>
    <row r="985" spans="4:10" x14ac:dyDescent="0.25">
      <c r="D985" s="201" t="str">
        <f t="shared" si="15"/>
        <v/>
      </c>
      <c r="J985" s="201" t="str">
        <f>IFERROR(COUNTIF($C$23:C985,C985)&amp;CHOOSE(MIN(4,COUNTIF($C$23:C985,C985)),"st","nd","rd","th"),"")</f>
        <v/>
      </c>
    </row>
    <row r="986" spans="4:10" x14ac:dyDescent="0.25">
      <c r="D986" s="201" t="str">
        <f t="shared" si="15"/>
        <v/>
      </c>
      <c r="J986" s="201" t="str">
        <f>IFERROR(COUNTIF($C$23:C986,C986)&amp;CHOOSE(MIN(4,COUNTIF($C$23:C986,C986)),"st","nd","rd","th"),"")</f>
        <v/>
      </c>
    </row>
    <row r="987" spans="4:10" x14ac:dyDescent="0.25">
      <c r="D987" s="201" t="str">
        <f t="shared" si="15"/>
        <v/>
      </c>
      <c r="J987" s="201" t="str">
        <f>IFERROR(COUNTIF($C$23:C987,C987)&amp;CHOOSE(MIN(4,COUNTIF($C$23:C987,C987)),"st","nd","rd","th"),"")</f>
        <v/>
      </c>
    </row>
    <row r="988" spans="4:10" x14ac:dyDescent="0.25">
      <c r="D988" s="201" t="str">
        <f t="shared" si="15"/>
        <v/>
      </c>
      <c r="J988" s="201" t="str">
        <f>IFERROR(COUNTIF($C$23:C988,C988)&amp;CHOOSE(MIN(4,COUNTIF($C$23:C988,C988)),"st","nd","rd","th"),"")</f>
        <v/>
      </c>
    </row>
    <row r="989" spans="4:10" x14ac:dyDescent="0.25">
      <c r="D989" s="201" t="str">
        <f t="shared" si="15"/>
        <v/>
      </c>
      <c r="J989" s="201" t="str">
        <f>IFERROR(COUNTIF($C$23:C989,C989)&amp;CHOOSE(MIN(4,COUNTIF($C$23:C989,C989)),"st","nd","rd","th"),"")</f>
        <v/>
      </c>
    </row>
    <row r="990" spans="4:10" x14ac:dyDescent="0.25">
      <c r="D990" s="201" t="str">
        <f t="shared" si="15"/>
        <v/>
      </c>
      <c r="J990" s="201" t="str">
        <f>IFERROR(COUNTIF($C$23:C990,C990)&amp;CHOOSE(MIN(4,COUNTIF($C$23:C990,C990)),"st","nd","rd","th"),"")</f>
        <v/>
      </c>
    </row>
    <row r="991" spans="4:10" x14ac:dyDescent="0.25">
      <c r="D991" s="201" t="str">
        <f t="shared" si="15"/>
        <v/>
      </c>
      <c r="J991" s="201" t="str">
        <f>IFERROR(COUNTIF($C$23:C991,C991)&amp;CHOOSE(MIN(4,COUNTIF($C$23:C991,C991)),"st","nd","rd","th"),"")</f>
        <v/>
      </c>
    </row>
    <row r="992" spans="4:10" x14ac:dyDescent="0.25">
      <c r="D992" s="201" t="str">
        <f t="shared" si="15"/>
        <v/>
      </c>
      <c r="J992" s="201" t="str">
        <f>IFERROR(COUNTIF($C$23:C992,C992)&amp;CHOOSE(MIN(4,COUNTIF($C$23:C992,C992)),"st","nd","rd","th"),"")</f>
        <v/>
      </c>
    </row>
    <row r="993" spans="4:10" x14ac:dyDescent="0.25">
      <c r="D993" s="201" t="str">
        <f t="shared" si="15"/>
        <v/>
      </c>
      <c r="J993" s="201" t="str">
        <f>IFERROR(COUNTIF($C$23:C993,C993)&amp;CHOOSE(MIN(4,COUNTIF($C$23:C993,C993)),"st","nd","rd","th"),"")</f>
        <v/>
      </c>
    </row>
    <row r="994" spans="4:10" x14ac:dyDescent="0.25">
      <c r="D994" s="201" t="str">
        <f t="shared" si="15"/>
        <v/>
      </c>
      <c r="J994" s="201" t="str">
        <f>IFERROR(COUNTIF($C$23:C994,C994)&amp;CHOOSE(MIN(4,COUNTIF($C$23:C994,C994)),"st","nd","rd","th"),"")</f>
        <v/>
      </c>
    </row>
    <row r="995" spans="4:10" x14ac:dyDescent="0.25">
      <c r="D995" s="201" t="str">
        <f t="shared" si="15"/>
        <v/>
      </c>
      <c r="J995" s="201" t="str">
        <f>IFERROR(COUNTIF($C$23:C995,C995)&amp;CHOOSE(MIN(4,COUNTIF($C$23:C995,C995)),"st","nd","rd","th"),"")</f>
        <v/>
      </c>
    </row>
    <row r="996" spans="4:10" x14ac:dyDescent="0.25">
      <c r="D996" s="201" t="str">
        <f t="shared" si="15"/>
        <v/>
      </c>
      <c r="J996" s="201" t="str">
        <f>IFERROR(COUNTIF($C$23:C996,C996)&amp;CHOOSE(MIN(4,COUNTIF($C$23:C996,C996)),"st","nd","rd","th"),"")</f>
        <v/>
      </c>
    </row>
    <row r="997" spans="4:10" x14ac:dyDescent="0.25">
      <c r="D997" s="201" t="str">
        <f t="shared" si="15"/>
        <v/>
      </c>
      <c r="J997" s="201" t="str">
        <f>IFERROR(COUNTIF($C$23:C997,C997)&amp;CHOOSE(MIN(4,COUNTIF($C$23:C997,C997)),"st","nd","rd","th"),"")</f>
        <v/>
      </c>
    </row>
    <row r="998" spans="4:10" x14ac:dyDescent="0.25">
      <c r="D998" s="201" t="str">
        <f t="shared" si="15"/>
        <v/>
      </c>
      <c r="J998" s="201" t="str">
        <f>IFERROR(COUNTIF($C$23:C998,C998)&amp;CHOOSE(MIN(4,COUNTIF($C$23:C998,C998)),"st","nd","rd","th"),"")</f>
        <v/>
      </c>
    </row>
    <row r="999" spans="4:10" x14ac:dyDescent="0.25">
      <c r="D999" s="201" t="str">
        <f t="shared" si="15"/>
        <v/>
      </c>
      <c r="J999" s="201" t="str">
        <f>IFERROR(COUNTIF($C$23:C999,C999)&amp;CHOOSE(MIN(4,COUNTIF($C$23:C999,C999)),"st","nd","rd","th"),"")</f>
        <v/>
      </c>
    </row>
    <row r="1000" spans="4:10" x14ac:dyDescent="0.25">
      <c r="D1000" s="201" t="str">
        <f t="shared" si="15"/>
        <v/>
      </c>
    </row>
    <row r="1001" spans="4:10" x14ac:dyDescent="0.25">
      <c r="D1001" s="201" t="str">
        <f t="shared" si="15"/>
        <v/>
      </c>
      <c r="J1001" s="201" t="str">
        <f>IFERROR(COUNTIF($C$23:C1001,C1001)&amp;CHOOSE(MIN(4,COUNTIF($C$23:C1001,C1001)),"st","nd","rd","th"),"")</f>
        <v/>
      </c>
    </row>
    <row r="1002" spans="4:10" x14ac:dyDescent="0.25">
      <c r="D1002" s="201" t="str">
        <f t="shared" si="15"/>
        <v/>
      </c>
      <c r="J1002" s="201" t="str">
        <f>IFERROR(COUNTIF($C$23:C1002,C1002)&amp;CHOOSE(MIN(4,COUNTIF($C$23:C1002,C1002)),"st","nd","rd","th"),"")</f>
        <v/>
      </c>
    </row>
    <row r="1003" spans="4:10" x14ac:dyDescent="0.25">
      <c r="D1003" s="201" t="str">
        <f t="shared" si="15"/>
        <v/>
      </c>
      <c r="J1003" s="201" t="str">
        <f>IFERROR(COUNTIF($C$23:C1003,C1003)&amp;CHOOSE(MIN(4,COUNTIF($C$23:C1003,C1003)),"st","nd","rd","th"),"")</f>
        <v/>
      </c>
    </row>
    <row r="1004" spans="4:10" x14ac:dyDescent="0.25">
      <c r="D1004" s="201" t="str">
        <f t="shared" si="15"/>
        <v/>
      </c>
      <c r="J1004" s="201" t="str">
        <f>IFERROR(COUNTIF($C$23:C1004,C1004)&amp;CHOOSE(MIN(4,COUNTIF($C$23:C1004,C1004)),"st","nd","rd","th"),"")</f>
        <v/>
      </c>
    </row>
    <row r="1005" spans="4:10" x14ac:dyDescent="0.25">
      <c r="D1005" s="201" t="str">
        <f t="shared" si="15"/>
        <v/>
      </c>
      <c r="J1005" s="201" t="str">
        <f>IFERROR(COUNTIF($C$23:C1005,C1005)&amp;CHOOSE(MIN(4,COUNTIF($C$23:C1005,C1005)),"st","nd","rd","th"),"")</f>
        <v/>
      </c>
    </row>
    <row r="1006" spans="4:10" x14ac:dyDescent="0.25">
      <c r="J1006" s="201" t="str">
        <f>IFERROR(COUNTIF($C$23:C1006,C1006)&amp;CHOOSE(MIN(4,COUNTIF($C$23:C1006,C1006)),"st","nd","rd","th"),"")</f>
        <v/>
      </c>
    </row>
  </sheetData>
  <mergeCells count="6">
    <mergeCell ref="B14:R14"/>
    <mergeCell ref="B5:R5"/>
    <mergeCell ref="B6:R6"/>
    <mergeCell ref="B7:R7"/>
    <mergeCell ref="B12:R12"/>
    <mergeCell ref="B13:R13"/>
  </mergeCells>
  <dataValidations count="1">
    <dataValidation type="list" allowBlank="1" showInputMessage="1" showErrorMessage="1" sqref="B23:C1048576" xr:uid="{D4CFB09D-90A2-44D7-9991-D2F10D36D858}">
      <formula1>INDIRECT(A23)</formula1>
    </dataValidation>
  </dataValidations>
  <hyperlinks>
    <hyperlink ref="C1" location="'Accomplishment 2025'!A1" display="Back to Summary of Accomplishments 2025" xr:uid="{9E20BCAE-2014-4989-A04D-4ADD848EC3D2}"/>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734B8D93-2B6D-4371-85E8-D7E1D765D2A7}">
          <x14:formula1>
            <xm:f>Picklists!$A$3:$A$14</xm:f>
          </x14:formula1>
          <xm:sqref>H23:H1048576</xm:sqref>
        </x14:dataValidation>
        <x14:dataValidation type="list" allowBlank="1" showInputMessage="1" showErrorMessage="1" xr:uid="{F4971FE5-F60B-46A0-B66F-B1965B53E406}">
          <x14:formula1>
            <xm:f>LGU_Masterlist!$C$2:$T$2</xm:f>
          </x14:formula1>
          <xm:sqref>A23:A1048576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9A302-7767-4A16-8A77-C2A004FEB573}">
  <sheetPr codeName="Sheet31">
    <tabColor rgb="FFFACCFC"/>
  </sheetPr>
  <dimension ref="A1:Q1006"/>
  <sheetViews>
    <sheetView topLeftCell="A10" zoomScale="70" zoomScaleNormal="70" workbookViewId="0">
      <selection activeCell="E54" sqref="E54"/>
    </sheetView>
  </sheetViews>
  <sheetFormatPr defaultColWidth="8.88671875" defaultRowHeight="13.8" x14ac:dyDescent="0.25"/>
  <cols>
    <col min="1" max="1" width="10.33203125" style="164" customWidth="1"/>
    <col min="2" max="2" width="18.5546875" style="164" customWidth="1"/>
    <col min="3" max="3" width="31.33203125" style="164" customWidth="1"/>
    <col min="4" max="4" width="12.109375" style="164" customWidth="1"/>
    <col min="5" max="5" width="13.44140625" style="205" customWidth="1"/>
    <col min="6" max="6" width="14.109375" style="205" customWidth="1"/>
    <col min="7" max="7" width="22.33203125" style="401" customWidth="1"/>
    <col min="8" max="8" width="13.44140625" style="164" customWidth="1"/>
    <col min="9" max="9" width="25" style="164" customWidth="1"/>
    <col min="10" max="10" width="20.33203125" style="201" customWidth="1"/>
    <col min="11" max="11" width="12.44140625" style="164" customWidth="1"/>
    <col min="12" max="13" width="8.88671875" style="164" customWidth="1"/>
    <col min="14" max="16384" width="8.88671875" style="164"/>
  </cols>
  <sheetData>
    <row r="1" spans="1:17" s="32" customFormat="1" ht="14.4" x14ac:dyDescent="0.3">
      <c r="A1" s="173" t="s">
        <v>5090</v>
      </c>
      <c r="C1" s="174" t="s">
        <v>1673</v>
      </c>
      <c r="G1" s="178"/>
    </row>
    <row r="2" spans="1:17" s="32" customFormat="1" x14ac:dyDescent="0.25">
      <c r="A2" s="176"/>
      <c r="B2" s="35"/>
      <c r="C2" s="35"/>
      <c r="D2" s="35"/>
      <c r="G2" s="178"/>
    </row>
    <row r="3" spans="1:17" s="32" customFormat="1" x14ac:dyDescent="0.25">
      <c r="A3" s="363">
        <v>19</v>
      </c>
      <c r="B3" s="364" t="s">
        <v>1625</v>
      </c>
      <c r="C3" s="364"/>
      <c r="D3" s="364"/>
      <c r="G3" s="178"/>
    </row>
    <row r="4" spans="1:17" s="32" customFormat="1" x14ac:dyDescent="0.25">
      <c r="A4" s="178"/>
      <c r="B4" s="206" t="s">
        <v>1627</v>
      </c>
      <c r="C4" s="206"/>
      <c r="D4" s="206"/>
      <c r="G4" s="178"/>
    </row>
    <row r="5" spans="1:17" s="32" customFormat="1" ht="31.2" customHeight="1" x14ac:dyDescent="0.25">
      <c r="A5" s="178"/>
      <c r="B5" s="599" t="s">
        <v>5330</v>
      </c>
      <c r="C5" s="599"/>
      <c r="D5" s="599"/>
      <c r="E5" s="599"/>
      <c r="F5" s="599"/>
      <c r="G5" s="599"/>
      <c r="H5" s="599"/>
      <c r="I5" s="599"/>
      <c r="J5" s="599"/>
      <c r="K5" s="599"/>
      <c r="L5" s="599"/>
      <c r="M5" s="599"/>
      <c r="N5" s="599"/>
      <c r="O5" s="599"/>
      <c r="P5" s="599"/>
      <c r="Q5" s="599"/>
    </row>
    <row r="6" spans="1:17" s="32" customFormat="1" x14ac:dyDescent="0.25">
      <c r="A6" s="178"/>
      <c r="B6" s="601" t="s">
        <v>5331</v>
      </c>
      <c r="C6" s="601"/>
      <c r="D6" s="601"/>
      <c r="E6" s="601"/>
      <c r="F6" s="601"/>
      <c r="G6" s="601"/>
      <c r="H6" s="601"/>
      <c r="I6" s="601"/>
      <c r="J6" s="601"/>
      <c r="K6" s="601"/>
      <c r="L6" s="601"/>
      <c r="M6" s="601"/>
      <c r="N6" s="601"/>
      <c r="O6" s="601"/>
      <c r="P6" s="601"/>
      <c r="Q6" s="601"/>
    </row>
    <row r="7" spans="1:17" s="32" customFormat="1" x14ac:dyDescent="0.25">
      <c r="B7" s="602" t="s">
        <v>5332</v>
      </c>
      <c r="C7" s="602"/>
      <c r="D7" s="602"/>
      <c r="E7" s="602"/>
      <c r="F7" s="602"/>
      <c r="G7" s="602"/>
      <c r="H7" s="602"/>
      <c r="I7" s="602"/>
      <c r="J7" s="602"/>
      <c r="K7" s="602"/>
      <c r="L7" s="602"/>
      <c r="M7" s="602"/>
      <c r="N7" s="602"/>
      <c r="O7" s="602"/>
      <c r="P7" s="602"/>
      <c r="Q7" s="602"/>
    </row>
    <row r="8" spans="1:17" s="32" customFormat="1" x14ac:dyDescent="0.25">
      <c r="B8" s="173"/>
      <c r="C8" s="173"/>
      <c r="D8" s="173"/>
      <c r="E8" s="173"/>
      <c r="F8" s="173"/>
      <c r="G8" s="42"/>
      <c r="H8" s="173"/>
      <c r="I8" s="173"/>
      <c r="J8" s="173"/>
      <c r="K8" s="173"/>
      <c r="L8" s="173"/>
      <c r="M8" s="173"/>
      <c r="N8" s="173"/>
      <c r="O8" s="173"/>
      <c r="P8" s="173"/>
      <c r="Q8" s="173"/>
    </row>
    <row r="9" spans="1:17" s="32" customFormat="1" x14ac:dyDescent="0.25">
      <c r="B9" s="195" t="s">
        <v>1631</v>
      </c>
      <c r="C9" s="173"/>
      <c r="D9" s="173"/>
      <c r="E9" s="173"/>
      <c r="F9" s="173"/>
      <c r="G9" s="42"/>
      <c r="H9" s="173"/>
      <c r="I9" s="173"/>
      <c r="J9" s="173"/>
      <c r="K9" s="173"/>
      <c r="L9" s="173"/>
      <c r="M9" s="173"/>
      <c r="N9" s="173"/>
      <c r="O9" s="173"/>
      <c r="P9" s="173"/>
      <c r="Q9" s="173"/>
    </row>
    <row r="10" spans="1:17" s="32" customFormat="1" x14ac:dyDescent="0.25">
      <c r="B10" s="599" t="s">
        <v>5333</v>
      </c>
      <c r="C10" s="599"/>
      <c r="D10" s="599"/>
      <c r="E10" s="599"/>
      <c r="F10" s="599"/>
      <c r="G10" s="599"/>
      <c r="H10" s="599"/>
      <c r="I10" s="599"/>
      <c r="J10" s="599"/>
      <c r="K10" s="599"/>
      <c r="L10" s="599"/>
      <c r="M10" s="599"/>
      <c r="N10" s="599"/>
      <c r="O10" s="599"/>
      <c r="P10" s="599"/>
      <c r="Q10" s="599"/>
    </row>
    <row r="11" spans="1:17" s="32" customFormat="1" x14ac:dyDescent="0.25">
      <c r="B11" s="601" t="s">
        <v>5331</v>
      </c>
      <c r="C11" s="601"/>
      <c r="D11" s="601"/>
      <c r="E11" s="601"/>
      <c r="F11" s="601"/>
      <c r="G11" s="601"/>
      <c r="H11" s="601"/>
      <c r="I11" s="601"/>
      <c r="J11" s="601"/>
      <c r="K11" s="601"/>
      <c r="L11" s="601"/>
      <c r="M11" s="601"/>
      <c r="N11" s="601"/>
      <c r="O11" s="601"/>
      <c r="P11" s="601"/>
      <c r="Q11" s="601"/>
    </row>
    <row r="12" spans="1:17" s="32" customFormat="1" x14ac:dyDescent="0.25">
      <c r="B12" s="602" t="s">
        <v>5334</v>
      </c>
      <c r="C12" s="602"/>
      <c r="D12" s="602"/>
      <c r="E12" s="602"/>
      <c r="F12" s="602"/>
      <c r="G12" s="602"/>
      <c r="H12" s="602"/>
      <c r="I12" s="602"/>
      <c r="J12" s="602"/>
      <c r="K12" s="602"/>
      <c r="L12" s="602"/>
      <c r="M12" s="602"/>
      <c r="N12" s="602"/>
      <c r="O12" s="602"/>
      <c r="P12" s="602"/>
      <c r="Q12" s="602"/>
    </row>
    <row r="13" spans="1:17" s="32" customFormat="1" x14ac:dyDescent="0.25">
      <c r="B13" s="173"/>
      <c r="C13" s="173"/>
      <c r="D13" s="173"/>
      <c r="E13" s="173"/>
      <c r="F13" s="173"/>
      <c r="G13" s="42"/>
      <c r="H13" s="173"/>
      <c r="I13" s="173"/>
      <c r="J13" s="173"/>
      <c r="K13" s="173"/>
      <c r="L13" s="173"/>
      <c r="M13" s="173"/>
      <c r="N13" s="173"/>
      <c r="O13" s="173"/>
      <c r="P13" s="173"/>
      <c r="Q13" s="173"/>
    </row>
    <row r="14" spans="1:17" s="32" customFormat="1" x14ac:dyDescent="0.25">
      <c r="B14" s="179" t="s">
        <v>5335</v>
      </c>
      <c r="C14" s="179"/>
      <c r="D14" s="179"/>
      <c r="E14" s="181">
        <f>COUNTIF(J21:J90,"1st")</f>
        <v>0</v>
      </c>
      <c r="F14" s="195"/>
      <c r="G14" s="178"/>
      <c r="H14" s="173"/>
      <c r="I14" s="173"/>
      <c r="J14" s="173"/>
      <c r="K14" s="173"/>
      <c r="L14" s="173"/>
      <c r="M14" s="173"/>
      <c r="N14" s="173"/>
      <c r="O14" s="173"/>
      <c r="P14" s="173"/>
      <c r="Q14" s="173"/>
    </row>
    <row r="15" spans="1:17" s="32" customFormat="1" x14ac:dyDescent="0.25">
      <c r="B15" s="179" t="s">
        <v>5336</v>
      </c>
      <c r="C15" s="179"/>
      <c r="D15" s="179"/>
      <c r="E15" s="181">
        <f>COUNTIF(D21:D90,"Table")</f>
        <v>30</v>
      </c>
      <c r="F15" s="195"/>
      <c r="G15" s="178"/>
      <c r="H15" s="173"/>
      <c r="I15" s="173"/>
      <c r="J15" s="173"/>
      <c r="K15" s="173"/>
      <c r="L15" s="173"/>
      <c r="M15" s="173"/>
      <c r="N15" s="173"/>
      <c r="O15" s="173"/>
      <c r="P15" s="173"/>
      <c r="Q15" s="173"/>
    </row>
    <row r="16" spans="1:17" s="32" customFormat="1" x14ac:dyDescent="0.25">
      <c r="B16" s="179" t="s">
        <v>5337</v>
      </c>
      <c r="C16" s="179"/>
      <c r="D16" s="179"/>
      <c r="E16" s="181">
        <f>COUNTIF(D22:D90,"Field")</f>
        <v>9</v>
      </c>
      <c r="F16" s="173"/>
      <c r="G16" s="42"/>
      <c r="H16" s="173"/>
      <c r="I16" s="173"/>
      <c r="J16" s="173"/>
      <c r="K16" s="173"/>
      <c r="L16" s="173"/>
      <c r="M16" s="173"/>
      <c r="N16" s="173"/>
      <c r="O16" s="173"/>
      <c r="P16" s="173"/>
      <c r="Q16" s="173"/>
    </row>
    <row r="17" spans="1:17" s="32" customFormat="1" x14ac:dyDescent="0.25">
      <c r="B17" s="179" t="s">
        <v>5338</v>
      </c>
      <c r="C17" s="179"/>
      <c r="D17" s="179"/>
      <c r="E17" s="181">
        <f>SUM(K21:K90)</f>
        <v>2</v>
      </c>
      <c r="F17" s="173"/>
      <c r="G17" s="42"/>
      <c r="H17" s="173"/>
      <c r="I17" s="173"/>
      <c r="J17" s="173"/>
      <c r="K17" s="173"/>
      <c r="L17" s="173"/>
      <c r="M17" s="173"/>
      <c r="N17" s="173"/>
      <c r="O17" s="173"/>
      <c r="P17" s="173"/>
      <c r="Q17" s="173"/>
    </row>
    <row r="18" spans="1:17" s="32" customFormat="1" x14ac:dyDescent="0.25">
      <c r="B18" s="173"/>
      <c r="C18" s="173"/>
      <c r="D18" s="173"/>
      <c r="E18" s="173"/>
      <c r="F18" s="173"/>
      <c r="G18" s="42"/>
      <c r="H18" s="173"/>
      <c r="I18" s="173"/>
      <c r="J18" s="173"/>
      <c r="K18" s="173"/>
      <c r="L18" s="173"/>
      <c r="M18" s="173"/>
      <c r="N18" s="173"/>
      <c r="O18" s="173"/>
      <c r="P18" s="173"/>
      <c r="Q18" s="173"/>
    </row>
    <row r="19" spans="1:17" s="32" customFormat="1" x14ac:dyDescent="0.25">
      <c r="G19" s="178"/>
    </row>
    <row r="20" spans="1:17" s="182" customFormat="1" ht="54.6" customHeight="1" x14ac:dyDescent="0.25">
      <c r="A20" s="184" t="s">
        <v>5339</v>
      </c>
      <c r="B20" s="184" t="s">
        <v>5289</v>
      </c>
      <c r="C20" s="183" t="s">
        <v>5130</v>
      </c>
      <c r="D20" s="183" t="s">
        <v>5340</v>
      </c>
      <c r="E20" s="184" t="s">
        <v>5341</v>
      </c>
      <c r="F20" s="184" t="s">
        <v>5342</v>
      </c>
      <c r="G20" s="400" t="s">
        <v>5343</v>
      </c>
      <c r="H20" s="184" t="s">
        <v>1685</v>
      </c>
      <c r="I20" s="183" t="s">
        <v>1686</v>
      </c>
      <c r="J20" s="200" t="s">
        <v>5191</v>
      </c>
      <c r="K20" s="200" t="s">
        <v>5344</v>
      </c>
    </row>
    <row r="21" spans="1:17" s="561" customFormat="1" x14ac:dyDescent="0.25">
      <c r="A21" s="561" t="s">
        <v>67</v>
      </c>
      <c r="B21" s="561" t="s">
        <v>86</v>
      </c>
      <c r="C21" s="561" t="s">
        <v>1331</v>
      </c>
      <c r="D21" s="561" t="s">
        <v>5345</v>
      </c>
      <c r="E21" s="562" t="s">
        <v>1735</v>
      </c>
      <c r="F21" s="562" t="s">
        <v>1735</v>
      </c>
      <c r="G21" s="563">
        <v>46034</v>
      </c>
      <c r="H21" s="561" t="s">
        <v>1498</v>
      </c>
      <c r="I21" s="564" t="s">
        <v>5346</v>
      </c>
      <c r="J21" s="565"/>
      <c r="K21" s="561">
        <f>IF(OR(E21="", F21=""), 0, IF(E21=F21, 0, 1))</f>
        <v>0</v>
      </c>
    </row>
    <row r="22" spans="1:17" s="561" customFormat="1" ht="27.6" x14ac:dyDescent="0.25">
      <c r="A22" s="561" t="s">
        <v>67</v>
      </c>
      <c r="B22" s="561" t="s">
        <v>86</v>
      </c>
      <c r="C22" s="561" t="s">
        <v>1110</v>
      </c>
      <c r="D22" s="561" t="s">
        <v>5345</v>
      </c>
      <c r="E22" s="562" t="s">
        <v>5347</v>
      </c>
      <c r="F22" s="562" t="s">
        <v>5347</v>
      </c>
      <c r="G22" s="563">
        <v>46034</v>
      </c>
      <c r="H22" s="561" t="s">
        <v>1498</v>
      </c>
      <c r="I22" s="564" t="s">
        <v>5348</v>
      </c>
      <c r="J22" s="565"/>
      <c r="K22" s="561">
        <f t="shared" ref="K22:K83" si="0">IF(OR(E22="", F22=""), 0, IF(E22=F22, 0, 1))</f>
        <v>0</v>
      </c>
    </row>
    <row r="23" spans="1:17" s="561" customFormat="1" ht="27.6" x14ac:dyDescent="0.25">
      <c r="A23" s="561" t="s">
        <v>67</v>
      </c>
      <c r="B23" s="561" t="s">
        <v>103</v>
      </c>
      <c r="C23" s="561" t="s">
        <v>566</v>
      </c>
      <c r="D23" s="561" t="s">
        <v>5345</v>
      </c>
      <c r="E23" s="562" t="s">
        <v>1740</v>
      </c>
      <c r="F23" s="562" t="s">
        <v>1740</v>
      </c>
      <c r="G23" s="563">
        <v>46045</v>
      </c>
      <c r="H23" s="561" t="s">
        <v>1498</v>
      </c>
      <c r="I23" s="564" t="s">
        <v>5349</v>
      </c>
      <c r="J23" s="565"/>
      <c r="K23" s="561">
        <f t="shared" si="0"/>
        <v>0</v>
      </c>
    </row>
    <row r="24" spans="1:17" s="561" customFormat="1" ht="41.4" x14ac:dyDescent="0.25">
      <c r="A24" s="561" t="s">
        <v>67</v>
      </c>
      <c r="B24" s="561" t="s">
        <v>86</v>
      </c>
      <c r="C24" s="561" t="s">
        <v>631</v>
      </c>
      <c r="D24" s="561" t="s">
        <v>5350</v>
      </c>
      <c r="E24" s="562" t="s">
        <v>1737</v>
      </c>
      <c r="F24" s="562" t="s">
        <v>1737</v>
      </c>
      <c r="G24" s="563">
        <v>46049</v>
      </c>
      <c r="H24" s="561" t="s">
        <v>1498</v>
      </c>
      <c r="I24" s="564" t="s">
        <v>5351</v>
      </c>
      <c r="J24" s="565"/>
      <c r="K24" s="561">
        <f t="shared" si="0"/>
        <v>0</v>
      </c>
    </row>
    <row r="25" spans="1:17" s="561" customFormat="1" ht="27.6" x14ac:dyDescent="0.25">
      <c r="A25" s="561" t="s">
        <v>67</v>
      </c>
      <c r="B25" s="561" t="s">
        <v>86</v>
      </c>
      <c r="C25" s="561" t="s">
        <v>1030</v>
      </c>
      <c r="D25" s="561" t="s">
        <v>5345</v>
      </c>
      <c r="E25" s="562" t="s">
        <v>1744</v>
      </c>
      <c r="F25" s="562" t="s">
        <v>1744</v>
      </c>
      <c r="G25" s="563">
        <v>46050</v>
      </c>
      <c r="H25" s="561" t="s">
        <v>1498</v>
      </c>
      <c r="I25" s="564" t="s">
        <v>5349</v>
      </c>
      <c r="J25" s="565"/>
      <c r="K25" s="561">
        <f t="shared" si="0"/>
        <v>0</v>
      </c>
    </row>
    <row r="26" spans="1:17" s="561" customFormat="1" ht="41.4" x14ac:dyDescent="0.25">
      <c r="A26" s="561" t="s">
        <v>67</v>
      </c>
      <c r="B26" s="561" t="s">
        <v>86</v>
      </c>
      <c r="C26" s="561" t="s">
        <v>932</v>
      </c>
      <c r="D26" s="561" t="s">
        <v>5345</v>
      </c>
      <c r="E26" s="562" t="s">
        <v>1737</v>
      </c>
      <c r="F26" s="562" t="s">
        <v>1737</v>
      </c>
      <c r="G26" s="563">
        <v>46050</v>
      </c>
      <c r="H26" s="561" t="s">
        <v>1498</v>
      </c>
      <c r="I26" s="564" t="s">
        <v>5351</v>
      </c>
      <c r="J26" s="565"/>
      <c r="K26" s="561">
        <f t="shared" si="0"/>
        <v>0</v>
      </c>
    </row>
    <row r="27" spans="1:17" s="561" customFormat="1" ht="41.4" x14ac:dyDescent="0.25">
      <c r="A27" s="561" t="s">
        <v>67</v>
      </c>
      <c r="B27" s="561" t="s">
        <v>86</v>
      </c>
      <c r="C27" s="561" t="s">
        <v>1073</v>
      </c>
      <c r="D27" s="561" t="s">
        <v>5345</v>
      </c>
      <c r="E27" s="562" t="s">
        <v>1744</v>
      </c>
      <c r="F27" s="562" t="s">
        <v>1744</v>
      </c>
      <c r="G27" s="563">
        <v>46050</v>
      </c>
      <c r="H27" s="561" t="s">
        <v>1498</v>
      </c>
      <c r="I27" s="564" t="s">
        <v>5351</v>
      </c>
      <c r="J27" s="565"/>
      <c r="K27" s="561">
        <f t="shared" si="0"/>
        <v>0</v>
      </c>
    </row>
    <row r="28" spans="1:17" s="561" customFormat="1" ht="41.4" x14ac:dyDescent="0.25">
      <c r="A28" s="561" t="s">
        <v>67</v>
      </c>
      <c r="B28" s="561" t="s">
        <v>86</v>
      </c>
      <c r="C28" s="561" t="s">
        <v>1256</v>
      </c>
      <c r="D28" s="561" t="s">
        <v>5345</v>
      </c>
      <c r="E28" s="562" t="s">
        <v>1744</v>
      </c>
      <c r="F28" s="562" t="s">
        <v>1744</v>
      </c>
      <c r="G28" s="563">
        <v>46050</v>
      </c>
      <c r="H28" s="561" t="s">
        <v>1498</v>
      </c>
      <c r="I28" s="564" t="s">
        <v>5351</v>
      </c>
      <c r="J28" s="565"/>
      <c r="K28" s="561">
        <f t="shared" si="0"/>
        <v>0</v>
      </c>
    </row>
    <row r="29" spans="1:17" s="561" customFormat="1" x14ac:dyDescent="0.25">
      <c r="A29" s="561" t="s">
        <v>67</v>
      </c>
      <c r="B29" s="561" t="s">
        <v>103</v>
      </c>
      <c r="C29" s="561" t="s">
        <v>1208</v>
      </c>
      <c r="D29" s="561" t="s">
        <v>5345</v>
      </c>
      <c r="E29" s="562" t="s">
        <v>1744</v>
      </c>
      <c r="F29" s="562" t="s">
        <v>1744</v>
      </c>
      <c r="G29" s="563">
        <v>46050</v>
      </c>
      <c r="H29" s="561" t="s">
        <v>1498</v>
      </c>
      <c r="I29" s="564" t="s">
        <v>5352</v>
      </c>
      <c r="J29" s="565"/>
      <c r="K29" s="561">
        <f t="shared" si="0"/>
        <v>0</v>
      </c>
    </row>
    <row r="30" spans="1:17" s="561" customFormat="1" x14ac:dyDescent="0.25">
      <c r="A30" s="561" t="s">
        <v>67</v>
      </c>
      <c r="B30" s="561" t="s">
        <v>103</v>
      </c>
      <c r="C30" s="561" t="s">
        <v>697</v>
      </c>
      <c r="D30" s="561" t="s">
        <v>5345</v>
      </c>
      <c r="E30" s="562" t="s">
        <v>1744</v>
      </c>
      <c r="F30" s="562" t="s">
        <v>1744</v>
      </c>
      <c r="G30" s="563">
        <v>46050</v>
      </c>
      <c r="H30" s="561" t="s">
        <v>1498</v>
      </c>
      <c r="I30" s="564" t="s">
        <v>5352</v>
      </c>
      <c r="J30" s="565"/>
      <c r="K30" s="561">
        <f t="shared" si="0"/>
        <v>0</v>
      </c>
    </row>
    <row r="31" spans="1:17" s="561" customFormat="1" ht="27.6" x14ac:dyDescent="0.25">
      <c r="A31" s="561" t="s">
        <v>67</v>
      </c>
      <c r="B31" s="561" t="s">
        <v>103</v>
      </c>
      <c r="C31" s="561" t="s">
        <v>1147</v>
      </c>
      <c r="D31" s="561" t="s">
        <v>5345</v>
      </c>
      <c r="E31" s="562" t="s">
        <v>1735</v>
      </c>
      <c r="F31" s="562" t="s">
        <v>1735</v>
      </c>
      <c r="G31" s="563">
        <v>46050</v>
      </c>
      <c r="H31" s="561" t="s">
        <v>1498</v>
      </c>
      <c r="I31" s="564" t="s">
        <v>5353</v>
      </c>
      <c r="J31" s="565"/>
      <c r="K31" s="561">
        <f t="shared" si="0"/>
        <v>0</v>
      </c>
    </row>
    <row r="32" spans="1:17" s="561" customFormat="1" ht="41.4" x14ac:dyDescent="0.25">
      <c r="A32" s="561" t="s">
        <v>67</v>
      </c>
      <c r="B32" s="561" t="s">
        <v>120</v>
      </c>
      <c r="C32" s="561" t="s">
        <v>496</v>
      </c>
      <c r="D32" s="561" t="s">
        <v>5345</v>
      </c>
      <c r="E32" s="562" t="s">
        <v>1744</v>
      </c>
      <c r="F32" s="562" t="s">
        <v>1744</v>
      </c>
      <c r="G32" s="563">
        <v>46050</v>
      </c>
      <c r="H32" s="561" t="s">
        <v>1498</v>
      </c>
      <c r="I32" s="564" t="s">
        <v>5351</v>
      </c>
      <c r="J32" s="565"/>
      <c r="K32" s="561">
        <f t="shared" si="0"/>
        <v>0</v>
      </c>
    </row>
    <row r="33" spans="1:17" s="561" customFormat="1" x14ac:dyDescent="0.25">
      <c r="A33" s="561" t="s">
        <v>67</v>
      </c>
      <c r="B33" s="561" t="s">
        <v>120</v>
      </c>
      <c r="C33" s="561" t="s">
        <v>350</v>
      </c>
      <c r="D33" s="561" t="s">
        <v>5345</v>
      </c>
      <c r="E33" s="562" t="s">
        <v>1736</v>
      </c>
      <c r="F33" s="562" t="s">
        <v>1736</v>
      </c>
      <c r="G33" s="563">
        <v>46050</v>
      </c>
      <c r="H33" s="561" t="s">
        <v>1498</v>
      </c>
      <c r="I33" s="564" t="s">
        <v>5346</v>
      </c>
      <c r="J33" s="565"/>
      <c r="K33" s="561">
        <f t="shared" si="0"/>
        <v>0</v>
      </c>
    </row>
    <row r="34" spans="1:17" s="561" customFormat="1" ht="27.6" x14ac:dyDescent="0.25">
      <c r="A34" s="561" t="s">
        <v>67</v>
      </c>
      <c r="B34" s="561" t="s">
        <v>103</v>
      </c>
      <c r="C34" s="561" t="s">
        <v>1299</v>
      </c>
      <c r="D34" s="561" t="s">
        <v>5345</v>
      </c>
      <c r="E34" s="562" t="s">
        <v>5347</v>
      </c>
      <c r="F34" s="562" t="s">
        <v>5347</v>
      </c>
      <c r="G34" s="563">
        <v>46051</v>
      </c>
      <c r="H34" s="561" t="s">
        <v>1498</v>
      </c>
      <c r="I34" s="564" t="s">
        <v>5354</v>
      </c>
      <c r="J34" s="565"/>
      <c r="K34" s="561">
        <f t="shared" si="0"/>
        <v>0</v>
      </c>
    </row>
    <row r="35" spans="1:17" s="561" customFormat="1" x14ac:dyDescent="0.25">
      <c r="A35" s="561" t="s">
        <v>67</v>
      </c>
      <c r="B35" s="561" t="s">
        <v>86</v>
      </c>
      <c r="C35" s="561" t="s">
        <v>565</v>
      </c>
      <c r="D35" s="561" t="s">
        <v>5350</v>
      </c>
      <c r="E35" s="562" t="s">
        <v>5347</v>
      </c>
      <c r="F35" s="562" t="s">
        <v>5347</v>
      </c>
      <c r="G35" s="563">
        <v>45687</v>
      </c>
      <c r="H35" s="561" t="s">
        <v>1498</v>
      </c>
      <c r="I35" s="564" t="s">
        <v>5355</v>
      </c>
      <c r="J35" s="565"/>
      <c r="K35" s="561">
        <f t="shared" si="0"/>
        <v>0</v>
      </c>
    </row>
    <row r="36" spans="1:17" s="561" customFormat="1" x14ac:dyDescent="0.25">
      <c r="A36" s="523" t="s">
        <v>67</v>
      </c>
      <c r="B36" s="523" t="s">
        <v>120</v>
      </c>
      <c r="C36" s="523" t="s">
        <v>350</v>
      </c>
      <c r="D36" s="523" t="s">
        <v>5345</v>
      </c>
      <c r="E36" s="523" t="s">
        <v>5347</v>
      </c>
      <c r="F36" s="523" t="s">
        <v>1736</v>
      </c>
      <c r="G36" s="563">
        <v>46058</v>
      </c>
      <c r="H36" s="523" t="s">
        <v>1499</v>
      </c>
      <c r="I36" s="564" t="s">
        <v>5346</v>
      </c>
      <c r="J36" s="523"/>
      <c r="K36" s="523">
        <v>1</v>
      </c>
      <c r="L36" s="523"/>
      <c r="M36" s="523"/>
      <c r="N36" s="523"/>
      <c r="O36" s="523"/>
      <c r="P36" s="523"/>
      <c r="Q36" s="523"/>
    </row>
    <row r="37" spans="1:17" s="561" customFormat="1" ht="41.4" x14ac:dyDescent="0.25">
      <c r="A37" s="523" t="s">
        <v>67</v>
      </c>
      <c r="B37" s="523" t="s">
        <v>86</v>
      </c>
      <c r="C37" s="523" t="s">
        <v>1256</v>
      </c>
      <c r="D37" s="523" t="s">
        <v>5345</v>
      </c>
      <c r="E37" s="523" t="s">
        <v>1744</v>
      </c>
      <c r="F37" s="523" t="s">
        <v>1744</v>
      </c>
      <c r="G37" s="563">
        <v>46058</v>
      </c>
      <c r="H37" s="523" t="s">
        <v>1499</v>
      </c>
      <c r="I37" s="564" t="s">
        <v>5351</v>
      </c>
      <c r="J37" s="523"/>
      <c r="K37" s="523">
        <v>0</v>
      </c>
      <c r="L37" s="523"/>
      <c r="M37" s="523"/>
      <c r="N37" s="523"/>
      <c r="O37" s="523"/>
      <c r="P37" s="523"/>
      <c r="Q37" s="523"/>
    </row>
    <row r="38" spans="1:17" s="561" customFormat="1" ht="55.2" x14ac:dyDescent="0.25">
      <c r="A38" s="523" t="s">
        <v>67</v>
      </c>
      <c r="B38" s="523" t="s">
        <v>103</v>
      </c>
      <c r="C38" s="523" t="s">
        <v>632</v>
      </c>
      <c r="D38" s="523" t="s">
        <v>5345</v>
      </c>
      <c r="E38" s="523" t="s">
        <v>1740</v>
      </c>
      <c r="F38" s="523" t="s">
        <v>1740</v>
      </c>
      <c r="G38" s="563">
        <v>46058</v>
      </c>
      <c r="H38" s="523" t="s">
        <v>1498</v>
      </c>
      <c r="I38" s="564" t="s">
        <v>5356</v>
      </c>
      <c r="J38" s="523"/>
      <c r="K38" s="523">
        <v>0</v>
      </c>
      <c r="L38" s="523"/>
      <c r="M38" s="523"/>
      <c r="N38" s="523"/>
      <c r="O38" s="523"/>
      <c r="P38" s="523"/>
      <c r="Q38" s="523"/>
    </row>
    <row r="39" spans="1:17" s="561" customFormat="1" ht="27.6" x14ac:dyDescent="0.25">
      <c r="A39" s="523" t="s">
        <v>67</v>
      </c>
      <c r="B39" s="523" t="s">
        <v>86</v>
      </c>
      <c r="C39" s="523" t="s">
        <v>932</v>
      </c>
      <c r="D39" s="523" t="s">
        <v>5350</v>
      </c>
      <c r="E39" s="523" t="s">
        <v>1737</v>
      </c>
      <c r="F39" s="523" t="s">
        <v>1737</v>
      </c>
      <c r="G39" s="563">
        <v>46059</v>
      </c>
      <c r="H39" s="523" t="s">
        <v>1499</v>
      </c>
      <c r="I39" s="564" t="s">
        <v>5349</v>
      </c>
      <c r="J39" s="523"/>
      <c r="K39" s="523">
        <v>0</v>
      </c>
      <c r="L39" s="523"/>
      <c r="M39" s="523"/>
      <c r="N39" s="523"/>
      <c r="O39" s="523"/>
      <c r="P39" s="523"/>
      <c r="Q39" s="523"/>
    </row>
    <row r="40" spans="1:17" s="561" customFormat="1" ht="27.6" x14ac:dyDescent="0.25">
      <c r="A40" s="523" t="s">
        <v>67</v>
      </c>
      <c r="B40" s="523" t="s">
        <v>86</v>
      </c>
      <c r="C40" s="523" t="s">
        <v>696</v>
      </c>
      <c r="D40" s="523" t="s">
        <v>5350</v>
      </c>
      <c r="E40" s="523" t="s">
        <v>5347</v>
      </c>
      <c r="F40" s="523" t="s">
        <v>5347</v>
      </c>
      <c r="G40" s="563">
        <v>46065</v>
      </c>
      <c r="H40" s="523" t="s">
        <v>1499</v>
      </c>
      <c r="I40" s="564" t="s">
        <v>5348</v>
      </c>
      <c r="J40" s="523"/>
      <c r="K40" s="523">
        <v>0</v>
      </c>
      <c r="L40" s="523"/>
      <c r="M40" s="523"/>
      <c r="N40" s="523"/>
      <c r="O40" s="523"/>
      <c r="P40" s="523"/>
      <c r="Q40" s="523"/>
    </row>
    <row r="41" spans="1:17" s="561" customFormat="1" ht="41.4" x14ac:dyDescent="0.25">
      <c r="A41" s="523" t="s">
        <v>67</v>
      </c>
      <c r="B41" s="523" t="s">
        <v>86</v>
      </c>
      <c r="C41" s="523" t="s">
        <v>1314</v>
      </c>
      <c r="D41" s="523" t="s">
        <v>5350</v>
      </c>
      <c r="E41" s="523" t="s">
        <v>1737</v>
      </c>
      <c r="F41" s="523" t="s">
        <v>1737</v>
      </c>
      <c r="G41" s="563">
        <v>46065</v>
      </c>
      <c r="H41" s="523" t="s">
        <v>1499</v>
      </c>
      <c r="I41" s="564" t="s">
        <v>5357</v>
      </c>
      <c r="J41" s="523"/>
      <c r="K41" s="523">
        <v>0</v>
      </c>
      <c r="L41" s="523"/>
      <c r="M41" s="523"/>
      <c r="N41" s="523"/>
      <c r="O41" s="523"/>
      <c r="P41" s="523"/>
      <c r="Q41" s="523"/>
    </row>
    <row r="42" spans="1:17" s="561" customFormat="1" ht="27.6" x14ac:dyDescent="0.25">
      <c r="A42" s="523" t="s">
        <v>67</v>
      </c>
      <c r="B42" s="523" t="s">
        <v>86</v>
      </c>
      <c r="C42" s="523" t="s">
        <v>1146</v>
      </c>
      <c r="D42" s="523" t="s">
        <v>5350</v>
      </c>
      <c r="E42" s="523" t="s">
        <v>5347</v>
      </c>
      <c r="F42" s="523" t="s">
        <v>5347</v>
      </c>
      <c r="G42" s="563">
        <v>46065</v>
      </c>
      <c r="H42" s="523" t="s">
        <v>1499</v>
      </c>
      <c r="I42" s="564" t="s">
        <v>5358</v>
      </c>
      <c r="J42" s="523"/>
      <c r="K42" s="523">
        <v>0</v>
      </c>
      <c r="L42" s="523"/>
      <c r="M42" s="523"/>
      <c r="N42" s="523"/>
      <c r="O42" s="523"/>
      <c r="P42" s="523"/>
      <c r="Q42" s="523"/>
    </row>
    <row r="43" spans="1:17" s="561" customFormat="1" x14ac:dyDescent="0.25">
      <c r="A43" s="523" t="s">
        <v>67</v>
      </c>
      <c r="B43" s="523" t="s">
        <v>86</v>
      </c>
      <c r="C43" s="523" t="s">
        <v>1178</v>
      </c>
      <c r="D43" s="523" t="s">
        <v>5350</v>
      </c>
      <c r="E43" s="523" t="s">
        <v>1736</v>
      </c>
      <c r="F43" s="523" t="s">
        <v>1736</v>
      </c>
      <c r="G43" s="563">
        <v>46065</v>
      </c>
      <c r="H43" s="523" t="s">
        <v>1499</v>
      </c>
      <c r="I43" s="564" t="s">
        <v>5346</v>
      </c>
      <c r="J43" s="523"/>
      <c r="K43" s="523">
        <v>0</v>
      </c>
      <c r="L43" s="523"/>
      <c r="M43" s="523"/>
      <c r="N43" s="523"/>
      <c r="O43" s="523"/>
      <c r="P43" s="523"/>
      <c r="Q43" s="523"/>
    </row>
    <row r="44" spans="1:17" s="561" customFormat="1" ht="41.4" x14ac:dyDescent="0.25">
      <c r="A44" s="523" t="s">
        <v>67</v>
      </c>
      <c r="B44" s="523" t="s">
        <v>103</v>
      </c>
      <c r="C44" s="523" t="s">
        <v>697</v>
      </c>
      <c r="D44" s="523" t="s">
        <v>5345</v>
      </c>
      <c r="E44" s="523" t="s">
        <v>1744</v>
      </c>
      <c r="F44" s="523" t="s">
        <v>1744</v>
      </c>
      <c r="G44" s="563">
        <v>46072</v>
      </c>
      <c r="H44" s="523" t="s">
        <v>1499</v>
      </c>
      <c r="I44" s="564" t="s">
        <v>5359</v>
      </c>
      <c r="J44" s="523"/>
      <c r="K44" s="523">
        <v>0</v>
      </c>
      <c r="L44" s="523"/>
      <c r="M44" s="523"/>
      <c r="N44" s="523"/>
      <c r="O44" s="523"/>
      <c r="P44" s="523"/>
      <c r="Q44" s="523"/>
    </row>
    <row r="45" spans="1:17" s="561" customFormat="1" ht="27.6" x14ac:dyDescent="0.25">
      <c r="A45" s="523" t="s">
        <v>67</v>
      </c>
      <c r="B45" s="523" t="s">
        <v>103</v>
      </c>
      <c r="C45" s="523" t="s">
        <v>1208</v>
      </c>
      <c r="D45" s="523" t="s">
        <v>5345</v>
      </c>
      <c r="E45" s="523" t="s">
        <v>1744</v>
      </c>
      <c r="F45" s="523" t="s">
        <v>1744</v>
      </c>
      <c r="G45" s="563">
        <v>46072</v>
      </c>
      <c r="H45" s="523" t="s">
        <v>1499</v>
      </c>
      <c r="I45" s="564" t="s">
        <v>5360</v>
      </c>
      <c r="J45" s="523"/>
      <c r="K45" s="523">
        <v>0</v>
      </c>
      <c r="L45" s="523"/>
      <c r="M45" s="523"/>
      <c r="N45" s="523"/>
      <c r="O45" s="523"/>
      <c r="P45" s="523"/>
      <c r="Q45" s="523"/>
    </row>
    <row r="46" spans="1:17" s="561" customFormat="1" x14ac:dyDescent="0.25">
      <c r="A46" s="523" t="s">
        <v>67</v>
      </c>
      <c r="B46" s="523" t="s">
        <v>103</v>
      </c>
      <c r="C46" s="523" t="s">
        <v>276</v>
      </c>
      <c r="D46" s="523" t="s">
        <v>5345</v>
      </c>
      <c r="E46" s="523" t="s">
        <v>1740</v>
      </c>
      <c r="F46" s="523" t="s">
        <v>1740</v>
      </c>
      <c r="G46" s="563">
        <v>46072</v>
      </c>
      <c r="H46" s="523" t="s">
        <v>1499</v>
      </c>
      <c r="I46" s="564" t="s">
        <v>5361</v>
      </c>
      <c r="J46" s="523"/>
      <c r="K46" s="523">
        <v>0</v>
      </c>
      <c r="L46" s="523"/>
      <c r="M46" s="523"/>
      <c r="N46" s="523"/>
      <c r="O46" s="523"/>
      <c r="P46" s="523"/>
      <c r="Q46" s="523"/>
    </row>
    <row r="47" spans="1:17" s="561" customFormat="1" ht="27.6" x14ac:dyDescent="0.25">
      <c r="A47" s="523" t="s">
        <v>67</v>
      </c>
      <c r="B47" s="523" t="s">
        <v>120</v>
      </c>
      <c r="C47" s="523" t="s">
        <v>350</v>
      </c>
      <c r="D47" s="523" t="s">
        <v>5345</v>
      </c>
      <c r="E47" s="523" t="s">
        <v>1736</v>
      </c>
      <c r="F47" s="523" t="s">
        <v>1736</v>
      </c>
      <c r="G47" s="563">
        <v>46072</v>
      </c>
      <c r="H47" s="523" t="s">
        <v>1499</v>
      </c>
      <c r="I47" s="564" t="s">
        <v>5362</v>
      </c>
      <c r="J47" s="523"/>
      <c r="K47" s="523">
        <v>0</v>
      </c>
      <c r="L47" s="523"/>
      <c r="M47" s="523"/>
      <c r="N47" s="523"/>
      <c r="O47" s="523"/>
      <c r="P47" s="523"/>
      <c r="Q47" s="523"/>
    </row>
    <row r="48" spans="1:17" s="561" customFormat="1" ht="41.4" x14ac:dyDescent="0.25">
      <c r="A48" s="523" t="s">
        <v>67</v>
      </c>
      <c r="B48" s="523" t="s">
        <v>120</v>
      </c>
      <c r="C48" s="523" t="s">
        <v>496</v>
      </c>
      <c r="D48" s="523" t="s">
        <v>5345</v>
      </c>
      <c r="E48" s="523" t="s">
        <v>1744</v>
      </c>
      <c r="F48" s="523" t="s">
        <v>1744</v>
      </c>
      <c r="G48" s="563">
        <v>46072</v>
      </c>
      <c r="H48" s="523" t="s">
        <v>1499</v>
      </c>
      <c r="I48" s="564" t="s">
        <v>5363</v>
      </c>
      <c r="J48" s="523"/>
      <c r="K48" s="523">
        <v>0</v>
      </c>
      <c r="L48" s="523"/>
      <c r="M48" s="523"/>
      <c r="N48" s="523"/>
      <c r="O48" s="523"/>
      <c r="P48" s="523"/>
      <c r="Q48" s="523"/>
    </row>
    <row r="49" spans="1:17" s="561" customFormat="1" ht="41.4" x14ac:dyDescent="0.25">
      <c r="A49" s="523" t="s">
        <v>67</v>
      </c>
      <c r="B49" s="523" t="s">
        <v>86</v>
      </c>
      <c r="C49" s="523" t="s">
        <v>978</v>
      </c>
      <c r="D49" s="523" t="s">
        <v>5345</v>
      </c>
      <c r="E49" s="523" t="s">
        <v>1736</v>
      </c>
      <c r="F49" s="523" t="s">
        <v>1736</v>
      </c>
      <c r="G49" s="563">
        <v>46072</v>
      </c>
      <c r="H49" s="523" t="s">
        <v>1499</v>
      </c>
      <c r="I49" s="564" t="s">
        <v>5364</v>
      </c>
      <c r="J49" s="523"/>
      <c r="K49" s="523">
        <v>0</v>
      </c>
      <c r="L49" s="523"/>
      <c r="M49" s="523"/>
      <c r="N49" s="523"/>
      <c r="O49" s="523"/>
      <c r="P49" s="523"/>
      <c r="Q49" s="523"/>
    </row>
    <row r="50" spans="1:17" s="561" customFormat="1" ht="27.6" x14ac:dyDescent="0.25">
      <c r="A50" s="523" t="s">
        <v>67</v>
      </c>
      <c r="B50" s="523" t="s">
        <v>86</v>
      </c>
      <c r="C50" s="523" t="s">
        <v>348</v>
      </c>
      <c r="D50" s="523" t="s">
        <v>5345</v>
      </c>
      <c r="E50" s="523" t="s">
        <v>1736</v>
      </c>
      <c r="F50" s="523" t="s">
        <v>1736</v>
      </c>
      <c r="G50" s="563">
        <v>46073</v>
      </c>
      <c r="H50" s="523" t="s">
        <v>1499</v>
      </c>
      <c r="I50" s="564" t="s">
        <v>5365</v>
      </c>
      <c r="J50" s="523"/>
      <c r="K50" s="523">
        <v>0</v>
      </c>
      <c r="L50" s="523"/>
      <c r="M50" s="523"/>
      <c r="N50" s="523"/>
      <c r="O50" s="523"/>
      <c r="P50" s="523"/>
      <c r="Q50" s="523"/>
    </row>
    <row r="51" spans="1:17" s="561" customFormat="1" ht="41.4" x14ac:dyDescent="0.25">
      <c r="A51" s="523" t="s">
        <v>67</v>
      </c>
      <c r="B51" s="523" t="s">
        <v>86</v>
      </c>
      <c r="C51" s="523" t="s">
        <v>1331</v>
      </c>
      <c r="D51" s="523" t="s">
        <v>5345</v>
      </c>
      <c r="E51" s="523" t="s">
        <v>1735</v>
      </c>
      <c r="F51" s="523" t="s">
        <v>1735</v>
      </c>
      <c r="G51" s="563">
        <v>46073</v>
      </c>
      <c r="H51" s="523" t="s">
        <v>1499</v>
      </c>
      <c r="I51" s="564" t="s">
        <v>5366</v>
      </c>
      <c r="J51" s="523"/>
      <c r="K51" s="523">
        <v>0</v>
      </c>
      <c r="L51" s="523"/>
      <c r="M51" s="523"/>
      <c r="N51" s="523"/>
      <c r="O51" s="523"/>
      <c r="P51" s="523"/>
      <c r="Q51" s="523"/>
    </row>
    <row r="52" spans="1:17" s="561" customFormat="1" ht="41.4" x14ac:dyDescent="0.25">
      <c r="A52" s="523" t="s">
        <v>67</v>
      </c>
      <c r="B52" s="523" t="s">
        <v>103</v>
      </c>
      <c r="C52" s="523" t="s">
        <v>349</v>
      </c>
      <c r="D52" s="523" t="s">
        <v>5345</v>
      </c>
      <c r="E52" s="523" t="s">
        <v>1744</v>
      </c>
      <c r="F52" s="523" t="s">
        <v>1744</v>
      </c>
      <c r="G52" s="563">
        <v>46073</v>
      </c>
      <c r="H52" s="523" t="s">
        <v>1499</v>
      </c>
      <c r="I52" s="564" t="s">
        <v>5367</v>
      </c>
      <c r="J52" s="523"/>
      <c r="K52" s="523">
        <v>0</v>
      </c>
      <c r="L52" s="523"/>
      <c r="M52" s="523"/>
      <c r="N52" s="523"/>
      <c r="O52" s="523"/>
      <c r="P52" s="523"/>
      <c r="Q52" s="523"/>
    </row>
    <row r="53" spans="1:17" s="561" customFormat="1" x14ac:dyDescent="0.25">
      <c r="A53" s="523" t="s">
        <v>67</v>
      </c>
      <c r="B53" s="523" t="s">
        <v>86</v>
      </c>
      <c r="C53" s="523" t="s">
        <v>1178</v>
      </c>
      <c r="D53" s="523" t="s">
        <v>5345</v>
      </c>
      <c r="E53" s="523" t="s">
        <v>1736</v>
      </c>
      <c r="F53" s="523" t="s">
        <v>1736</v>
      </c>
      <c r="G53" s="563">
        <v>46073</v>
      </c>
      <c r="H53" s="523" t="s">
        <v>1499</v>
      </c>
      <c r="I53" s="564" t="s">
        <v>5368</v>
      </c>
      <c r="J53" s="523"/>
      <c r="K53" s="523">
        <v>0</v>
      </c>
      <c r="L53" s="523"/>
      <c r="M53" s="523"/>
      <c r="N53" s="523"/>
      <c r="O53" s="523"/>
      <c r="P53" s="523"/>
      <c r="Q53" s="523"/>
    </row>
    <row r="54" spans="1:17" s="561" customFormat="1" ht="55.2" x14ac:dyDescent="0.25">
      <c r="A54" s="523" t="s">
        <v>67</v>
      </c>
      <c r="B54" s="523" t="s">
        <v>103</v>
      </c>
      <c r="C54" s="523" t="s">
        <v>1277</v>
      </c>
      <c r="D54" s="523" t="s">
        <v>5345</v>
      </c>
      <c r="E54" s="523" t="s">
        <v>1736</v>
      </c>
      <c r="F54" s="523" t="s">
        <v>1736</v>
      </c>
      <c r="G54" s="563">
        <v>46073</v>
      </c>
      <c r="H54" s="523" t="s">
        <v>1499</v>
      </c>
      <c r="I54" s="564" t="s">
        <v>5369</v>
      </c>
      <c r="J54" s="523"/>
      <c r="K54" s="523">
        <v>0</v>
      </c>
      <c r="L54" s="523"/>
      <c r="M54" s="523"/>
      <c r="N54" s="523"/>
      <c r="O54" s="523"/>
      <c r="P54" s="523"/>
      <c r="Q54" s="523"/>
    </row>
    <row r="55" spans="1:17" s="561" customFormat="1" ht="41.4" x14ac:dyDescent="0.25">
      <c r="A55" s="523" t="s">
        <v>67</v>
      </c>
      <c r="B55" s="523" t="s">
        <v>103</v>
      </c>
      <c r="C55" s="523" t="s">
        <v>566</v>
      </c>
      <c r="D55" s="523" t="s">
        <v>5345</v>
      </c>
      <c r="E55" s="523" t="s">
        <v>1740</v>
      </c>
      <c r="F55" s="523" t="s">
        <v>1742</v>
      </c>
      <c r="G55" s="563">
        <v>46073</v>
      </c>
      <c r="H55" s="523" t="s">
        <v>1499</v>
      </c>
      <c r="I55" s="564" t="s">
        <v>5370</v>
      </c>
      <c r="J55" s="523"/>
      <c r="K55" s="523">
        <v>1</v>
      </c>
      <c r="L55" s="523"/>
      <c r="M55" s="523"/>
      <c r="N55" s="523"/>
      <c r="O55" s="523"/>
      <c r="P55" s="523"/>
      <c r="Q55" s="523"/>
    </row>
    <row r="56" spans="1:17" s="561" customFormat="1" ht="41.4" x14ac:dyDescent="0.25">
      <c r="A56" s="523" t="s">
        <v>67</v>
      </c>
      <c r="B56" s="523" t="s">
        <v>120</v>
      </c>
      <c r="C56" s="523" t="s">
        <v>420</v>
      </c>
      <c r="D56" s="523" t="s">
        <v>5345</v>
      </c>
      <c r="E56" s="523" t="s">
        <v>1737</v>
      </c>
      <c r="F56" s="523" t="s">
        <v>1737</v>
      </c>
      <c r="G56" s="563">
        <v>46073</v>
      </c>
      <c r="H56" s="523" t="s">
        <v>1499</v>
      </c>
      <c r="I56" s="564" t="s">
        <v>5371</v>
      </c>
      <c r="J56" s="523"/>
      <c r="K56" s="523">
        <v>0</v>
      </c>
      <c r="L56" s="523"/>
      <c r="M56" s="523"/>
      <c r="N56" s="523"/>
      <c r="O56" s="523"/>
      <c r="P56" s="523"/>
      <c r="Q56" s="523"/>
    </row>
    <row r="57" spans="1:17" s="561" customFormat="1" ht="27.6" x14ac:dyDescent="0.25">
      <c r="A57" s="523" t="s">
        <v>67</v>
      </c>
      <c r="B57" s="523" t="s">
        <v>120</v>
      </c>
      <c r="C57" s="523" t="s">
        <v>205</v>
      </c>
      <c r="D57" s="523" t="s">
        <v>5345</v>
      </c>
      <c r="E57" s="523" t="s">
        <v>1739</v>
      </c>
      <c r="F57" s="523" t="s">
        <v>1739</v>
      </c>
      <c r="G57" s="563">
        <v>46073</v>
      </c>
      <c r="H57" s="523" t="s">
        <v>1499</v>
      </c>
      <c r="I57" s="564" t="s">
        <v>5372</v>
      </c>
      <c r="J57" s="523"/>
      <c r="K57" s="523">
        <v>0</v>
      </c>
      <c r="L57" s="523"/>
      <c r="M57" s="523"/>
      <c r="N57" s="523"/>
      <c r="O57" s="523"/>
      <c r="P57" s="523"/>
      <c r="Q57" s="523"/>
    </row>
    <row r="58" spans="1:17" s="561" customFormat="1" ht="27.6" x14ac:dyDescent="0.25">
      <c r="A58" s="523" t="s">
        <v>67</v>
      </c>
      <c r="B58" s="523" t="s">
        <v>86</v>
      </c>
      <c r="C58" s="523" t="s">
        <v>1110</v>
      </c>
      <c r="D58" s="523" t="s">
        <v>5350</v>
      </c>
      <c r="E58" s="523" t="s">
        <v>5347</v>
      </c>
      <c r="F58" s="523" t="s">
        <v>5347</v>
      </c>
      <c r="G58" s="563">
        <v>46079</v>
      </c>
      <c r="H58" s="523" t="s">
        <v>1499</v>
      </c>
      <c r="I58" s="564" t="s">
        <v>5373</v>
      </c>
      <c r="J58" s="523"/>
      <c r="K58" s="523">
        <v>0</v>
      </c>
      <c r="L58" s="523"/>
      <c r="M58" s="523"/>
      <c r="N58" s="523"/>
      <c r="O58" s="523"/>
      <c r="P58" s="523"/>
      <c r="Q58" s="523"/>
    </row>
    <row r="59" spans="1:17" s="561" customFormat="1" ht="41.4" x14ac:dyDescent="0.25">
      <c r="A59" s="523" t="s">
        <v>67</v>
      </c>
      <c r="B59" s="523" t="s">
        <v>86</v>
      </c>
      <c r="C59" s="523" t="s">
        <v>1298</v>
      </c>
      <c r="D59" s="523" t="s">
        <v>5350</v>
      </c>
      <c r="E59" s="523" t="s">
        <v>1736</v>
      </c>
      <c r="F59" s="523" t="s">
        <v>1736</v>
      </c>
      <c r="G59" s="563">
        <v>46080</v>
      </c>
      <c r="H59" s="523" t="s">
        <v>1499</v>
      </c>
      <c r="I59" s="564" t="s">
        <v>5374</v>
      </c>
      <c r="J59" s="523"/>
      <c r="K59" s="523">
        <v>0</v>
      </c>
      <c r="L59" s="523"/>
      <c r="M59" s="523"/>
      <c r="N59" s="523"/>
      <c r="O59" s="523"/>
      <c r="P59" s="523"/>
      <c r="Q59" s="523"/>
    </row>
    <row r="60" spans="1:17" x14ac:dyDescent="0.25">
      <c r="G60" s="399"/>
      <c r="K60" s="164">
        <f t="shared" si="0"/>
        <v>0</v>
      </c>
    </row>
    <row r="61" spans="1:17" x14ac:dyDescent="0.25">
      <c r="G61" s="399"/>
      <c r="K61" s="164">
        <f t="shared" si="0"/>
        <v>0</v>
      </c>
    </row>
    <row r="62" spans="1:17" x14ac:dyDescent="0.25">
      <c r="G62" s="399"/>
      <c r="K62" s="164">
        <f t="shared" si="0"/>
        <v>0</v>
      </c>
    </row>
    <row r="63" spans="1:17" x14ac:dyDescent="0.25">
      <c r="G63" s="399"/>
      <c r="K63" s="164">
        <f t="shared" si="0"/>
        <v>0</v>
      </c>
    </row>
    <row r="64" spans="1:17" x14ac:dyDescent="0.25">
      <c r="K64" s="164">
        <f t="shared" si="0"/>
        <v>0</v>
      </c>
    </row>
    <row r="65" spans="11:11" x14ac:dyDescent="0.25">
      <c r="K65" s="164">
        <f t="shared" si="0"/>
        <v>0</v>
      </c>
    </row>
    <row r="66" spans="11:11" x14ac:dyDescent="0.25">
      <c r="K66" s="164">
        <f t="shared" si="0"/>
        <v>0</v>
      </c>
    </row>
    <row r="67" spans="11:11" x14ac:dyDescent="0.25">
      <c r="K67" s="164">
        <f t="shared" si="0"/>
        <v>0</v>
      </c>
    </row>
    <row r="68" spans="11:11" x14ac:dyDescent="0.25">
      <c r="K68" s="164">
        <f t="shared" si="0"/>
        <v>0</v>
      </c>
    </row>
    <row r="69" spans="11:11" x14ac:dyDescent="0.25">
      <c r="K69" s="164">
        <f t="shared" si="0"/>
        <v>0</v>
      </c>
    </row>
    <row r="70" spans="11:11" x14ac:dyDescent="0.25">
      <c r="K70" s="164">
        <f t="shared" si="0"/>
        <v>0</v>
      </c>
    </row>
    <row r="71" spans="11:11" x14ac:dyDescent="0.25">
      <c r="K71" s="164">
        <f t="shared" si="0"/>
        <v>0</v>
      </c>
    </row>
    <row r="72" spans="11:11" x14ac:dyDescent="0.25">
      <c r="K72" s="164">
        <f t="shared" si="0"/>
        <v>0</v>
      </c>
    </row>
    <row r="73" spans="11:11" x14ac:dyDescent="0.25">
      <c r="K73" s="164">
        <f t="shared" si="0"/>
        <v>0</v>
      </c>
    </row>
    <row r="74" spans="11:11" x14ac:dyDescent="0.25">
      <c r="K74" s="164">
        <f t="shared" si="0"/>
        <v>0</v>
      </c>
    </row>
    <row r="75" spans="11:11" x14ac:dyDescent="0.25">
      <c r="K75" s="164">
        <f t="shared" si="0"/>
        <v>0</v>
      </c>
    </row>
    <row r="76" spans="11:11" x14ac:dyDescent="0.25">
      <c r="K76" s="164">
        <f t="shared" si="0"/>
        <v>0</v>
      </c>
    </row>
    <row r="77" spans="11:11" x14ac:dyDescent="0.25">
      <c r="K77" s="164">
        <f t="shared" si="0"/>
        <v>0</v>
      </c>
    </row>
    <row r="78" spans="11:11" x14ac:dyDescent="0.25">
      <c r="K78" s="164">
        <f t="shared" si="0"/>
        <v>0</v>
      </c>
    </row>
    <row r="79" spans="11:11" x14ac:dyDescent="0.25">
      <c r="K79" s="164">
        <f t="shared" si="0"/>
        <v>0</v>
      </c>
    </row>
    <row r="80" spans="11:11" x14ac:dyDescent="0.25">
      <c r="K80" s="164">
        <f t="shared" si="0"/>
        <v>0</v>
      </c>
    </row>
    <row r="81" spans="11:11" x14ac:dyDescent="0.25">
      <c r="K81" s="164">
        <f t="shared" si="0"/>
        <v>0</v>
      </c>
    </row>
    <row r="82" spans="11:11" x14ac:dyDescent="0.25">
      <c r="K82" s="164">
        <f t="shared" si="0"/>
        <v>0</v>
      </c>
    </row>
    <row r="83" spans="11:11" x14ac:dyDescent="0.25">
      <c r="K83" s="164">
        <f t="shared" si="0"/>
        <v>0</v>
      </c>
    </row>
    <row r="84" spans="11:11" x14ac:dyDescent="0.25">
      <c r="K84" s="164">
        <f t="shared" ref="K84:K90" si="1">IF(OR(E84="", F84=""), 0, IF(E84=F84, 0, 1))</f>
        <v>0</v>
      </c>
    </row>
    <row r="85" spans="11:11" x14ac:dyDescent="0.25">
      <c r="K85" s="164">
        <f t="shared" si="1"/>
        <v>0</v>
      </c>
    </row>
    <row r="86" spans="11:11" x14ac:dyDescent="0.25">
      <c r="K86" s="164">
        <f t="shared" si="1"/>
        <v>0</v>
      </c>
    </row>
    <row r="87" spans="11:11" x14ac:dyDescent="0.25">
      <c r="K87" s="164">
        <f t="shared" si="1"/>
        <v>0</v>
      </c>
    </row>
    <row r="88" spans="11:11" x14ac:dyDescent="0.25">
      <c r="K88" s="164">
        <f t="shared" si="1"/>
        <v>0</v>
      </c>
    </row>
    <row r="89" spans="11:11" x14ac:dyDescent="0.25">
      <c r="K89" s="164">
        <f t="shared" si="1"/>
        <v>0</v>
      </c>
    </row>
    <row r="90" spans="11:11" x14ac:dyDescent="0.25">
      <c r="K90" s="164">
        <f t="shared" si="1"/>
        <v>0</v>
      </c>
    </row>
    <row r="91" spans="11:11" x14ac:dyDescent="0.25">
      <c r="K91" s="164">
        <f t="shared" ref="K91" si="2">IF(OR(E91="", F91=""), 0, IF(E91=F91, 0, 1))</f>
        <v>0</v>
      </c>
    </row>
    <row r="92" spans="11:11" x14ac:dyDescent="0.25">
      <c r="K92" s="164">
        <f t="shared" ref="K92:K155" si="3">IF(OR(E92="", F92=""), 0, IF(E92=F92, 0, 1))</f>
        <v>0</v>
      </c>
    </row>
    <row r="93" spans="11:11" x14ac:dyDescent="0.25">
      <c r="K93" s="164">
        <f t="shared" si="3"/>
        <v>0</v>
      </c>
    </row>
    <row r="94" spans="11:11" x14ac:dyDescent="0.25">
      <c r="K94" s="164">
        <f t="shared" si="3"/>
        <v>0</v>
      </c>
    </row>
    <row r="95" spans="11:11" x14ac:dyDescent="0.25">
      <c r="K95" s="164">
        <f t="shared" si="3"/>
        <v>0</v>
      </c>
    </row>
    <row r="96" spans="11:11" x14ac:dyDescent="0.25">
      <c r="K96" s="164">
        <f t="shared" si="3"/>
        <v>0</v>
      </c>
    </row>
    <row r="97" spans="11:11" x14ac:dyDescent="0.25">
      <c r="K97" s="164">
        <f t="shared" si="3"/>
        <v>0</v>
      </c>
    </row>
    <row r="98" spans="11:11" x14ac:dyDescent="0.25">
      <c r="K98" s="164">
        <f t="shared" si="3"/>
        <v>0</v>
      </c>
    </row>
    <row r="99" spans="11:11" x14ac:dyDescent="0.25">
      <c r="K99" s="164">
        <f t="shared" si="3"/>
        <v>0</v>
      </c>
    </row>
    <row r="100" spans="11:11" x14ac:dyDescent="0.25">
      <c r="K100" s="164">
        <f t="shared" si="3"/>
        <v>0</v>
      </c>
    </row>
    <row r="101" spans="11:11" x14ac:dyDescent="0.25">
      <c r="K101" s="164">
        <f t="shared" si="3"/>
        <v>0</v>
      </c>
    </row>
    <row r="102" spans="11:11" x14ac:dyDescent="0.25">
      <c r="K102" s="164">
        <f t="shared" si="3"/>
        <v>0</v>
      </c>
    </row>
    <row r="103" spans="11:11" x14ac:dyDescent="0.25">
      <c r="K103" s="164">
        <f t="shared" si="3"/>
        <v>0</v>
      </c>
    </row>
    <row r="104" spans="11:11" x14ac:dyDescent="0.25">
      <c r="K104" s="164">
        <f t="shared" si="3"/>
        <v>0</v>
      </c>
    </row>
    <row r="105" spans="11:11" x14ac:dyDescent="0.25">
      <c r="K105" s="164">
        <f t="shared" si="3"/>
        <v>0</v>
      </c>
    </row>
    <row r="106" spans="11:11" x14ac:dyDescent="0.25">
      <c r="K106" s="164">
        <f t="shared" si="3"/>
        <v>0</v>
      </c>
    </row>
    <row r="107" spans="11:11" x14ac:dyDescent="0.25">
      <c r="K107" s="164">
        <f t="shared" si="3"/>
        <v>0</v>
      </c>
    </row>
    <row r="108" spans="11:11" x14ac:dyDescent="0.25">
      <c r="K108" s="164">
        <f t="shared" si="3"/>
        <v>0</v>
      </c>
    </row>
    <row r="109" spans="11:11" x14ac:dyDescent="0.25">
      <c r="K109" s="164">
        <f t="shared" si="3"/>
        <v>0</v>
      </c>
    </row>
    <row r="110" spans="11:11" x14ac:dyDescent="0.25">
      <c r="K110" s="164">
        <f t="shared" si="3"/>
        <v>0</v>
      </c>
    </row>
    <row r="111" spans="11:11" x14ac:dyDescent="0.25">
      <c r="K111" s="164">
        <f t="shared" si="3"/>
        <v>0</v>
      </c>
    </row>
    <row r="112" spans="11:11" x14ac:dyDescent="0.25">
      <c r="K112" s="164">
        <f t="shared" si="3"/>
        <v>0</v>
      </c>
    </row>
    <row r="113" spans="11:11" x14ac:dyDescent="0.25">
      <c r="K113" s="164">
        <f t="shared" si="3"/>
        <v>0</v>
      </c>
    </row>
    <row r="114" spans="11:11" x14ac:dyDescent="0.25">
      <c r="K114" s="164">
        <f t="shared" si="3"/>
        <v>0</v>
      </c>
    </row>
    <row r="115" spans="11:11" x14ac:dyDescent="0.25">
      <c r="K115" s="164">
        <f t="shared" si="3"/>
        <v>0</v>
      </c>
    </row>
    <row r="116" spans="11:11" x14ac:dyDescent="0.25">
      <c r="K116" s="164">
        <f t="shared" si="3"/>
        <v>0</v>
      </c>
    </row>
    <row r="117" spans="11:11" x14ac:dyDescent="0.25">
      <c r="K117" s="164">
        <f t="shared" si="3"/>
        <v>0</v>
      </c>
    </row>
    <row r="118" spans="11:11" x14ac:dyDescent="0.25">
      <c r="K118" s="164">
        <f t="shared" si="3"/>
        <v>0</v>
      </c>
    </row>
    <row r="119" spans="11:11" x14ac:dyDescent="0.25">
      <c r="K119" s="164">
        <f t="shared" si="3"/>
        <v>0</v>
      </c>
    </row>
    <row r="120" spans="11:11" x14ac:dyDescent="0.25">
      <c r="K120" s="164">
        <f t="shared" si="3"/>
        <v>0</v>
      </c>
    </row>
    <row r="121" spans="11:11" x14ac:dyDescent="0.25">
      <c r="K121" s="164">
        <f t="shared" si="3"/>
        <v>0</v>
      </c>
    </row>
    <row r="122" spans="11:11" x14ac:dyDescent="0.25">
      <c r="K122" s="164">
        <f t="shared" si="3"/>
        <v>0</v>
      </c>
    </row>
    <row r="123" spans="11:11" x14ac:dyDescent="0.25">
      <c r="K123" s="164">
        <f t="shared" si="3"/>
        <v>0</v>
      </c>
    </row>
    <row r="124" spans="11:11" x14ac:dyDescent="0.25">
      <c r="K124" s="164">
        <f t="shared" si="3"/>
        <v>0</v>
      </c>
    </row>
    <row r="125" spans="11:11" x14ac:dyDescent="0.25">
      <c r="K125" s="164">
        <f t="shared" si="3"/>
        <v>0</v>
      </c>
    </row>
    <row r="126" spans="11:11" x14ac:dyDescent="0.25">
      <c r="K126" s="164">
        <f t="shared" si="3"/>
        <v>0</v>
      </c>
    </row>
    <row r="127" spans="11:11" x14ac:dyDescent="0.25">
      <c r="K127" s="164">
        <f t="shared" si="3"/>
        <v>0</v>
      </c>
    </row>
    <row r="128" spans="11:11" x14ac:dyDescent="0.25">
      <c r="K128" s="164">
        <f t="shared" si="3"/>
        <v>0</v>
      </c>
    </row>
    <row r="129" spans="11:11" x14ac:dyDescent="0.25">
      <c r="K129" s="164">
        <f t="shared" si="3"/>
        <v>0</v>
      </c>
    </row>
    <row r="130" spans="11:11" x14ac:dyDescent="0.25">
      <c r="K130" s="164">
        <f t="shared" si="3"/>
        <v>0</v>
      </c>
    </row>
    <row r="131" spans="11:11" x14ac:dyDescent="0.25">
      <c r="K131" s="164">
        <f t="shared" si="3"/>
        <v>0</v>
      </c>
    </row>
    <row r="132" spans="11:11" x14ac:dyDescent="0.25">
      <c r="K132" s="164">
        <f t="shared" si="3"/>
        <v>0</v>
      </c>
    </row>
    <row r="133" spans="11:11" x14ac:dyDescent="0.25">
      <c r="K133" s="164">
        <f t="shared" si="3"/>
        <v>0</v>
      </c>
    </row>
    <row r="134" spans="11:11" x14ac:dyDescent="0.25">
      <c r="K134" s="164">
        <f t="shared" si="3"/>
        <v>0</v>
      </c>
    </row>
    <row r="135" spans="11:11" x14ac:dyDescent="0.25">
      <c r="K135" s="164">
        <f t="shared" si="3"/>
        <v>0</v>
      </c>
    </row>
    <row r="136" spans="11:11" x14ac:dyDescent="0.25">
      <c r="K136" s="164">
        <f t="shared" si="3"/>
        <v>0</v>
      </c>
    </row>
    <row r="137" spans="11:11" x14ac:dyDescent="0.25">
      <c r="K137" s="164">
        <f t="shared" si="3"/>
        <v>0</v>
      </c>
    </row>
    <row r="138" spans="11:11" x14ac:dyDescent="0.25">
      <c r="K138" s="164">
        <f t="shared" si="3"/>
        <v>0</v>
      </c>
    </row>
    <row r="139" spans="11:11" x14ac:dyDescent="0.25">
      <c r="K139" s="164">
        <f t="shared" si="3"/>
        <v>0</v>
      </c>
    </row>
    <row r="140" spans="11:11" x14ac:dyDescent="0.25">
      <c r="K140" s="164">
        <f t="shared" si="3"/>
        <v>0</v>
      </c>
    </row>
    <row r="141" spans="11:11" x14ac:dyDescent="0.25">
      <c r="K141" s="164">
        <f t="shared" si="3"/>
        <v>0</v>
      </c>
    </row>
    <row r="142" spans="11:11" x14ac:dyDescent="0.25">
      <c r="K142" s="164">
        <f t="shared" si="3"/>
        <v>0</v>
      </c>
    </row>
    <row r="143" spans="11:11" x14ac:dyDescent="0.25">
      <c r="K143" s="164">
        <f t="shared" si="3"/>
        <v>0</v>
      </c>
    </row>
    <row r="144" spans="11:11" x14ac:dyDescent="0.25">
      <c r="K144" s="164">
        <f t="shared" si="3"/>
        <v>0</v>
      </c>
    </row>
    <row r="145" spans="11:11" x14ac:dyDescent="0.25">
      <c r="K145" s="164">
        <f t="shared" si="3"/>
        <v>0</v>
      </c>
    </row>
    <row r="146" spans="11:11" x14ac:dyDescent="0.25">
      <c r="K146" s="164">
        <f t="shared" si="3"/>
        <v>0</v>
      </c>
    </row>
    <row r="147" spans="11:11" x14ac:dyDescent="0.25">
      <c r="K147" s="164">
        <f t="shared" si="3"/>
        <v>0</v>
      </c>
    </row>
    <row r="148" spans="11:11" x14ac:dyDescent="0.25">
      <c r="K148" s="164">
        <f t="shared" si="3"/>
        <v>0</v>
      </c>
    </row>
    <row r="149" spans="11:11" x14ac:dyDescent="0.25">
      <c r="K149" s="164">
        <f t="shared" si="3"/>
        <v>0</v>
      </c>
    </row>
    <row r="150" spans="11:11" x14ac:dyDescent="0.25">
      <c r="K150" s="164">
        <f t="shared" si="3"/>
        <v>0</v>
      </c>
    </row>
    <row r="151" spans="11:11" x14ac:dyDescent="0.25">
      <c r="K151" s="164">
        <f t="shared" si="3"/>
        <v>0</v>
      </c>
    </row>
    <row r="152" spans="11:11" x14ac:dyDescent="0.25">
      <c r="K152" s="164">
        <f t="shared" si="3"/>
        <v>0</v>
      </c>
    </row>
    <row r="153" spans="11:11" x14ac:dyDescent="0.25">
      <c r="K153" s="164">
        <f t="shared" si="3"/>
        <v>0</v>
      </c>
    </row>
    <row r="154" spans="11:11" x14ac:dyDescent="0.25">
      <c r="K154" s="164">
        <f t="shared" si="3"/>
        <v>0</v>
      </c>
    </row>
    <row r="155" spans="11:11" x14ac:dyDescent="0.25">
      <c r="K155" s="164">
        <f t="shared" si="3"/>
        <v>0</v>
      </c>
    </row>
    <row r="156" spans="11:11" x14ac:dyDescent="0.25">
      <c r="K156" s="164">
        <f t="shared" ref="K156:K219" si="4">IF(OR(E156="", F156=""), 0, IF(E156=F156, 0, 1))</f>
        <v>0</v>
      </c>
    </row>
    <row r="157" spans="11:11" x14ac:dyDescent="0.25">
      <c r="K157" s="164">
        <f t="shared" si="4"/>
        <v>0</v>
      </c>
    </row>
    <row r="158" spans="11:11" x14ac:dyDescent="0.25">
      <c r="K158" s="164">
        <f t="shared" si="4"/>
        <v>0</v>
      </c>
    </row>
    <row r="159" spans="11:11" x14ac:dyDescent="0.25">
      <c r="K159" s="164">
        <f t="shared" si="4"/>
        <v>0</v>
      </c>
    </row>
    <row r="160" spans="11:11" x14ac:dyDescent="0.25">
      <c r="K160" s="164">
        <f t="shared" si="4"/>
        <v>0</v>
      </c>
    </row>
    <row r="161" spans="11:11" x14ac:dyDescent="0.25">
      <c r="K161" s="164">
        <f t="shared" si="4"/>
        <v>0</v>
      </c>
    </row>
    <row r="162" spans="11:11" x14ac:dyDescent="0.25">
      <c r="K162" s="164">
        <f t="shared" si="4"/>
        <v>0</v>
      </c>
    </row>
    <row r="163" spans="11:11" x14ac:dyDescent="0.25">
      <c r="K163" s="164">
        <f t="shared" si="4"/>
        <v>0</v>
      </c>
    </row>
    <row r="164" spans="11:11" x14ac:dyDescent="0.25">
      <c r="K164" s="164">
        <f t="shared" si="4"/>
        <v>0</v>
      </c>
    </row>
    <row r="165" spans="11:11" x14ac:dyDescent="0.25">
      <c r="K165" s="164">
        <f t="shared" si="4"/>
        <v>0</v>
      </c>
    </row>
    <row r="166" spans="11:11" x14ac:dyDescent="0.25">
      <c r="K166" s="164">
        <f t="shared" si="4"/>
        <v>0</v>
      </c>
    </row>
    <row r="167" spans="11:11" x14ac:dyDescent="0.25">
      <c r="K167" s="164">
        <f t="shared" si="4"/>
        <v>0</v>
      </c>
    </row>
    <row r="168" spans="11:11" x14ac:dyDescent="0.25">
      <c r="K168" s="164">
        <f t="shared" si="4"/>
        <v>0</v>
      </c>
    </row>
    <row r="169" spans="11:11" x14ac:dyDescent="0.25">
      <c r="K169" s="164">
        <f t="shared" si="4"/>
        <v>0</v>
      </c>
    </row>
    <row r="170" spans="11:11" x14ac:dyDescent="0.25">
      <c r="K170" s="164">
        <f t="shared" si="4"/>
        <v>0</v>
      </c>
    </row>
    <row r="171" spans="11:11" x14ac:dyDescent="0.25">
      <c r="K171" s="164">
        <f t="shared" si="4"/>
        <v>0</v>
      </c>
    </row>
    <row r="172" spans="11:11" x14ac:dyDescent="0.25">
      <c r="K172" s="164">
        <f t="shared" si="4"/>
        <v>0</v>
      </c>
    </row>
    <row r="173" spans="11:11" x14ac:dyDescent="0.25">
      <c r="K173" s="164">
        <f t="shared" si="4"/>
        <v>0</v>
      </c>
    </row>
    <row r="174" spans="11:11" x14ac:dyDescent="0.25">
      <c r="K174" s="164">
        <f t="shared" si="4"/>
        <v>0</v>
      </c>
    </row>
    <row r="175" spans="11:11" x14ac:dyDescent="0.25">
      <c r="K175" s="164">
        <f t="shared" si="4"/>
        <v>0</v>
      </c>
    </row>
    <row r="176" spans="11:11" x14ac:dyDescent="0.25">
      <c r="K176" s="164">
        <f t="shared" si="4"/>
        <v>0</v>
      </c>
    </row>
    <row r="177" spans="11:11" x14ac:dyDescent="0.25">
      <c r="K177" s="164">
        <f t="shared" si="4"/>
        <v>0</v>
      </c>
    </row>
    <row r="178" spans="11:11" x14ac:dyDescent="0.25">
      <c r="K178" s="164">
        <f t="shared" si="4"/>
        <v>0</v>
      </c>
    </row>
    <row r="179" spans="11:11" x14ac:dyDescent="0.25">
      <c r="K179" s="164">
        <f t="shared" si="4"/>
        <v>0</v>
      </c>
    </row>
    <row r="180" spans="11:11" x14ac:dyDescent="0.25">
      <c r="K180" s="164">
        <f t="shared" si="4"/>
        <v>0</v>
      </c>
    </row>
    <row r="181" spans="11:11" x14ac:dyDescent="0.25">
      <c r="K181" s="164">
        <f t="shared" si="4"/>
        <v>0</v>
      </c>
    </row>
    <row r="182" spans="11:11" x14ac:dyDescent="0.25">
      <c r="K182" s="164">
        <f t="shared" si="4"/>
        <v>0</v>
      </c>
    </row>
    <row r="183" spans="11:11" x14ac:dyDescent="0.25">
      <c r="K183" s="164">
        <f t="shared" si="4"/>
        <v>0</v>
      </c>
    </row>
    <row r="184" spans="11:11" x14ac:dyDescent="0.25">
      <c r="K184" s="164">
        <f t="shared" si="4"/>
        <v>0</v>
      </c>
    </row>
    <row r="185" spans="11:11" x14ac:dyDescent="0.25">
      <c r="K185" s="164">
        <f t="shared" si="4"/>
        <v>0</v>
      </c>
    </row>
    <row r="186" spans="11:11" x14ac:dyDescent="0.25">
      <c r="K186" s="164">
        <f t="shared" si="4"/>
        <v>0</v>
      </c>
    </row>
    <row r="187" spans="11:11" x14ac:dyDescent="0.25">
      <c r="K187" s="164">
        <f t="shared" si="4"/>
        <v>0</v>
      </c>
    </row>
    <row r="188" spans="11:11" x14ac:dyDescent="0.25">
      <c r="K188" s="164">
        <f t="shared" si="4"/>
        <v>0</v>
      </c>
    </row>
    <row r="189" spans="11:11" x14ac:dyDescent="0.25">
      <c r="K189" s="164">
        <f t="shared" si="4"/>
        <v>0</v>
      </c>
    </row>
    <row r="190" spans="11:11" x14ac:dyDescent="0.25">
      <c r="K190" s="164">
        <f t="shared" si="4"/>
        <v>0</v>
      </c>
    </row>
    <row r="191" spans="11:11" x14ac:dyDescent="0.25">
      <c r="K191" s="164">
        <f t="shared" si="4"/>
        <v>0</v>
      </c>
    </row>
    <row r="192" spans="11:11" x14ac:dyDescent="0.25">
      <c r="K192" s="164">
        <f t="shared" si="4"/>
        <v>0</v>
      </c>
    </row>
    <row r="193" spans="11:11" x14ac:dyDescent="0.25">
      <c r="K193" s="164">
        <f t="shared" si="4"/>
        <v>0</v>
      </c>
    </row>
    <row r="194" spans="11:11" x14ac:dyDescent="0.25">
      <c r="K194" s="164">
        <f t="shared" si="4"/>
        <v>0</v>
      </c>
    </row>
    <row r="195" spans="11:11" x14ac:dyDescent="0.25">
      <c r="K195" s="164">
        <f t="shared" si="4"/>
        <v>0</v>
      </c>
    </row>
    <row r="196" spans="11:11" x14ac:dyDescent="0.25">
      <c r="K196" s="164">
        <f t="shared" si="4"/>
        <v>0</v>
      </c>
    </row>
    <row r="197" spans="11:11" x14ac:dyDescent="0.25">
      <c r="K197" s="164">
        <f t="shared" si="4"/>
        <v>0</v>
      </c>
    </row>
    <row r="198" spans="11:11" x14ac:dyDescent="0.25">
      <c r="K198" s="164">
        <f t="shared" si="4"/>
        <v>0</v>
      </c>
    </row>
    <row r="199" spans="11:11" x14ac:dyDescent="0.25">
      <c r="K199" s="164">
        <f t="shared" si="4"/>
        <v>0</v>
      </c>
    </row>
    <row r="200" spans="11:11" x14ac:dyDescent="0.25">
      <c r="K200" s="164">
        <f t="shared" si="4"/>
        <v>0</v>
      </c>
    </row>
    <row r="201" spans="11:11" x14ac:dyDescent="0.25">
      <c r="K201" s="164">
        <f t="shared" si="4"/>
        <v>0</v>
      </c>
    </row>
    <row r="202" spans="11:11" x14ac:dyDescent="0.25">
      <c r="K202" s="164">
        <f t="shared" si="4"/>
        <v>0</v>
      </c>
    </row>
    <row r="203" spans="11:11" x14ac:dyDescent="0.25">
      <c r="K203" s="164">
        <f t="shared" si="4"/>
        <v>0</v>
      </c>
    </row>
    <row r="204" spans="11:11" x14ac:dyDescent="0.25">
      <c r="K204" s="164">
        <f t="shared" si="4"/>
        <v>0</v>
      </c>
    </row>
    <row r="205" spans="11:11" x14ac:dyDescent="0.25">
      <c r="K205" s="164">
        <f t="shared" si="4"/>
        <v>0</v>
      </c>
    </row>
    <row r="206" spans="11:11" x14ac:dyDescent="0.25">
      <c r="K206" s="164">
        <f t="shared" si="4"/>
        <v>0</v>
      </c>
    </row>
    <row r="207" spans="11:11" x14ac:dyDescent="0.25">
      <c r="K207" s="164">
        <f t="shared" si="4"/>
        <v>0</v>
      </c>
    </row>
    <row r="208" spans="11:11" x14ac:dyDescent="0.25">
      <c r="K208" s="164">
        <f t="shared" si="4"/>
        <v>0</v>
      </c>
    </row>
    <row r="209" spans="11:11" x14ac:dyDescent="0.25">
      <c r="K209" s="164">
        <f t="shared" si="4"/>
        <v>0</v>
      </c>
    </row>
    <row r="210" spans="11:11" x14ac:dyDescent="0.25">
      <c r="K210" s="164">
        <f t="shared" si="4"/>
        <v>0</v>
      </c>
    </row>
    <row r="211" spans="11:11" x14ac:dyDescent="0.25">
      <c r="K211" s="164">
        <f t="shared" si="4"/>
        <v>0</v>
      </c>
    </row>
    <row r="212" spans="11:11" x14ac:dyDescent="0.25">
      <c r="K212" s="164">
        <f t="shared" si="4"/>
        <v>0</v>
      </c>
    </row>
    <row r="213" spans="11:11" x14ac:dyDescent="0.25">
      <c r="K213" s="164">
        <f t="shared" si="4"/>
        <v>0</v>
      </c>
    </row>
    <row r="214" spans="11:11" x14ac:dyDescent="0.25">
      <c r="K214" s="164">
        <f t="shared" si="4"/>
        <v>0</v>
      </c>
    </row>
    <row r="215" spans="11:11" x14ac:dyDescent="0.25">
      <c r="K215" s="164">
        <f t="shared" si="4"/>
        <v>0</v>
      </c>
    </row>
    <row r="216" spans="11:11" x14ac:dyDescent="0.25">
      <c r="K216" s="164">
        <f t="shared" si="4"/>
        <v>0</v>
      </c>
    </row>
    <row r="217" spans="11:11" x14ac:dyDescent="0.25">
      <c r="K217" s="164">
        <f t="shared" si="4"/>
        <v>0</v>
      </c>
    </row>
    <row r="218" spans="11:11" x14ac:dyDescent="0.25">
      <c r="K218" s="164">
        <f t="shared" si="4"/>
        <v>0</v>
      </c>
    </row>
    <row r="219" spans="11:11" x14ac:dyDescent="0.25">
      <c r="K219" s="164">
        <f t="shared" si="4"/>
        <v>0</v>
      </c>
    </row>
    <row r="220" spans="11:11" x14ac:dyDescent="0.25">
      <c r="K220" s="164">
        <f t="shared" ref="K220:K283" si="5">IF(OR(E220="", F220=""), 0, IF(E220=F220, 0, 1))</f>
        <v>0</v>
      </c>
    </row>
    <row r="221" spans="11:11" x14ac:dyDescent="0.25">
      <c r="K221" s="164">
        <f t="shared" si="5"/>
        <v>0</v>
      </c>
    </row>
    <row r="222" spans="11:11" x14ac:dyDescent="0.25">
      <c r="K222" s="164">
        <f t="shared" si="5"/>
        <v>0</v>
      </c>
    </row>
    <row r="223" spans="11:11" x14ac:dyDescent="0.25">
      <c r="K223" s="164">
        <f t="shared" si="5"/>
        <v>0</v>
      </c>
    </row>
    <row r="224" spans="11:11" x14ac:dyDescent="0.25">
      <c r="K224" s="164">
        <f t="shared" si="5"/>
        <v>0</v>
      </c>
    </row>
    <row r="225" spans="11:11" x14ac:dyDescent="0.25">
      <c r="K225" s="164">
        <f t="shared" si="5"/>
        <v>0</v>
      </c>
    </row>
    <row r="226" spans="11:11" x14ac:dyDescent="0.25">
      <c r="K226" s="164">
        <f t="shared" si="5"/>
        <v>0</v>
      </c>
    </row>
    <row r="227" spans="11:11" x14ac:dyDescent="0.25">
      <c r="K227" s="164">
        <f t="shared" si="5"/>
        <v>0</v>
      </c>
    </row>
    <row r="228" spans="11:11" x14ac:dyDescent="0.25">
      <c r="K228" s="164">
        <f t="shared" si="5"/>
        <v>0</v>
      </c>
    </row>
    <row r="229" spans="11:11" x14ac:dyDescent="0.25">
      <c r="K229" s="164">
        <f t="shared" si="5"/>
        <v>0</v>
      </c>
    </row>
    <row r="230" spans="11:11" x14ac:dyDescent="0.25">
      <c r="K230" s="164">
        <f t="shared" si="5"/>
        <v>0</v>
      </c>
    </row>
    <row r="231" spans="11:11" x14ac:dyDescent="0.25">
      <c r="K231" s="164">
        <f t="shared" si="5"/>
        <v>0</v>
      </c>
    </row>
    <row r="232" spans="11:11" x14ac:dyDescent="0.25">
      <c r="K232" s="164">
        <f t="shared" si="5"/>
        <v>0</v>
      </c>
    </row>
    <row r="233" spans="11:11" x14ac:dyDescent="0.25">
      <c r="K233" s="164">
        <f t="shared" si="5"/>
        <v>0</v>
      </c>
    </row>
    <row r="234" spans="11:11" x14ac:dyDescent="0.25">
      <c r="K234" s="164">
        <f t="shared" si="5"/>
        <v>0</v>
      </c>
    </row>
    <row r="235" spans="11:11" x14ac:dyDescent="0.25">
      <c r="K235" s="164">
        <f t="shared" si="5"/>
        <v>0</v>
      </c>
    </row>
    <row r="236" spans="11:11" x14ac:dyDescent="0.25">
      <c r="K236" s="164">
        <f t="shared" si="5"/>
        <v>0</v>
      </c>
    </row>
    <row r="237" spans="11:11" x14ac:dyDescent="0.25">
      <c r="K237" s="164">
        <f t="shared" si="5"/>
        <v>0</v>
      </c>
    </row>
    <row r="238" spans="11:11" x14ac:dyDescent="0.25">
      <c r="K238" s="164">
        <f t="shared" si="5"/>
        <v>0</v>
      </c>
    </row>
    <row r="239" spans="11:11" x14ac:dyDescent="0.25">
      <c r="K239" s="164">
        <f t="shared" si="5"/>
        <v>0</v>
      </c>
    </row>
    <row r="240" spans="11:11" x14ac:dyDescent="0.25">
      <c r="K240" s="164">
        <f t="shared" si="5"/>
        <v>0</v>
      </c>
    </row>
    <row r="241" spans="11:11" x14ac:dyDescent="0.25">
      <c r="K241" s="164">
        <f t="shared" si="5"/>
        <v>0</v>
      </c>
    </row>
    <row r="242" spans="11:11" x14ac:dyDescent="0.25">
      <c r="K242" s="164">
        <f t="shared" si="5"/>
        <v>0</v>
      </c>
    </row>
    <row r="243" spans="11:11" x14ac:dyDescent="0.25">
      <c r="K243" s="164">
        <f t="shared" si="5"/>
        <v>0</v>
      </c>
    </row>
    <row r="244" spans="11:11" x14ac:dyDescent="0.25">
      <c r="K244" s="164">
        <f t="shared" si="5"/>
        <v>0</v>
      </c>
    </row>
    <row r="245" spans="11:11" x14ac:dyDescent="0.25">
      <c r="K245" s="164">
        <f t="shared" si="5"/>
        <v>0</v>
      </c>
    </row>
    <row r="246" spans="11:11" x14ac:dyDescent="0.25">
      <c r="K246" s="164">
        <f t="shared" si="5"/>
        <v>0</v>
      </c>
    </row>
    <row r="247" spans="11:11" x14ac:dyDescent="0.25">
      <c r="K247" s="164">
        <f t="shared" si="5"/>
        <v>0</v>
      </c>
    </row>
    <row r="248" spans="11:11" x14ac:dyDescent="0.25">
      <c r="K248" s="164">
        <f t="shared" si="5"/>
        <v>0</v>
      </c>
    </row>
    <row r="249" spans="11:11" x14ac:dyDescent="0.25">
      <c r="K249" s="164">
        <f t="shared" si="5"/>
        <v>0</v>
      </c>
    </row>
    <row r="250" spans="11:11" x14ac:dyDescent="0.25">
      <c r="K250" s="164">
        <f t="shared" si="5"/>
        <v>0</v>
      </c>
    </row>
    <row r="251" spans="11:11" x14ac:dyDescent="0.25">
      <c r="K251" s="164">
        <f t="shared" si="5"/>
        <v>0</v>
      </c>
    </row>
    <row r="252" spans="11:11" x14ac:dyDescent="0.25">
      <c r="K252" s="164">
        <f t="shared" si="5"/>
        <v>0</v>
      </c>
    </row>
    <row r="253" spans="11:11" x14ac:dyDescent="0.25">
      <c r="K253" s="164">
        <f t="shared" si="5"/>
        <v>0</v>
      </c>
    </row>
    <row r="254" spans="11:11" x14ac:dyDescent="0.25">
      <c r="K254" s="164">
        <f t="shared" si="5"/>
        <v>0</v>
      </c>
    </row>
    <row r="255" spans="11:11" x14ac:dyDescent="0.25">
      <c r="K255" s="164">
        <f t="shared" si="5"/>
        <v>0</v>
      </c>
    </row>
    <row r="256" spans="11:11" x14ac:dyDescent="0.25">
      <c r="K256" s="164">
        <f t="shared" si="5"/>
        <v>0</v>
      </c>
    </row>
    <row r="257" spans="11:11" x14ac:dyDescent="0.25">
      <c r="K257" s="164">
        <f t="shared" si="5"/>
        <v>0</v>
      </c>
    </row>
    <row r="258" spans="11:11" x14ac:dyDescent="0.25">
      <c r="K258" s="164">
        <f t="shared" si="5"/>
        <v>0</v>
      </c>
    </row>
    <row r="259" spans="11:11" x14ac:dyDescent="0.25">
      <c r="K259" s="164">
        <f t="shared" si="5"/>
        <v>0</v>
      </c>
    </row>
    <row r="260" spans="11:11" x14ac:dyDescent="0.25">
      <c r="K260" s="164">
        <f t="shared" si="5"/>
        <v>0</v>
      </c>
    </row>
    <row r="261" spans="11:11" x14ac:dyDescent="0.25">
      <c r="K261" s="164">
        <f t="shared" si="5"/>
        <v>0</v>
      </c>
    </row>
    <row r="262" spans="11:11" x14ac:dyDescent="0.25">
      <c r="K262" s="164">
        <f t="shared" si="5"/>
        <v>0</v>
      </c>
    </row>
    <row r="263" spans="11:11" x14ac:dyDescent="0.25">
      <c r="K263" s="164">
        <f t="shared" si="5"/>
        <v>0</v>
      </c>
    </row>
    <row r="264" spans="11:11" x14ac:dyDescent="0.25">
      <c r="K264" s="164">
        <f t="shared" si="5"/>
        <v>0</v>
      </c>
    </row>
    <row r="265" spans="11:11" x14ac:dyDescent="0.25">
      <c r="K265" s="164">
        <f t="shared" si="5"/>
        <v>0</v>
      </c>
    </row>
    <row r="266" spans="11:11" x14ac:dyDescent="0.25">
      <c r="K266" s="164">
        <f t="shared" si="5"/>
        <v>0</v>
      </c>
    </row>
    <row r="267" spans="11:11" x14ac:dyDescent="0.25">
      <c r="K267" s="164">
        <f t="shared" si="5"/>
        <v>0</v>
      </c>
    </row>
    <row r="268" spans="11:11" x14ac:dyDescent="0.25">
      <c r="K268" s="164">
        <f t="shared" si="5"/>
        <v>0</v>
      </c>
    </row>
    <row r="269" spans="11:11" x14ac:dyDescent="0.25">
      <c r="K269" s="164">
        <f t="shared" si="5"/>
        <v>0</v>
      </c>
    </row>
    <row r="270" spans="11:11" x14ac:dyDescent="0.25">
      <c r="K270" s="164">
        <f t="shared" si="5"/>
        <v>0</v>
      </c>
    </row>
    <row r="271" spans="11:11" x14ac:dyDescent="0.25">
      <c r="K271" s="164">
        <f t="shared" si="5"/>
        <v>0</v>
      </c>
    </row>
    <row r="272" spans="11:11" x14ac:dyDescent="0.25">
      <c r="K272" s="164">
        <f t="shared" si="5"/>
        <v>0</v>
      </c>
    </row>
    <row r="273" spans="11:11" x14ac:dyDescent="0.25">
      <c r="K273" s="164">
        <f t="shared" si="5"/>
        <v>0</v>
      </c>
    </row>
    <row r="274" spans="11:11" x14ac:dyDescent="0.25">
      <c r="K274" s="164">
        <f t="shared" si="5"/>
        <v>0</v>
      </c>
    </row>
    <row r="275" spans="11:11" x14ac:dyDescent="0.25">
      <c r="K275" s="164">
        <f t="shared" si="5"/>
        <v>0</v>
      </c>
    </row>
    <row r="276" spans="11:11" x14ac:dyDescent="0.25">
      <c r="K276" s="164">
        <f t="shared" si="5"/>
        <v>0</v>
      </c>
    </row>
    <row r="277" spans="11:11" x14ac:dyDescent="0.25">
      <c r="K277" s="164">
        <f t="shared" si="5"/>
        <v>0</v>
      </c>
    </row>
    <row r="278" spans="11:11" x14ac:dyDescent="0.25">
      <c r="K278" s="164">
        <f t="shared" si="5"/>
        <v>0</v>
      </c>
    </row>
    <row r="279" spans="11:11" x14ac:dyDescent="0.25">
      <c r="K279" s="164">
        <f t="shared" si="5"/>
        <v>0</v>
      </c>
    </row>
    <row r="280" spans="11:11" x14ac:dyDescent="0.25">
      <c r="K280" s="164">
        <f t="shared" si="5"/>
        <v>0</v>
      </c>
    </row>
    <row r="281" spans="11:11" x14ac:dyDescent="0.25">
      <c r="K281" s="164">
        <f t="shared" si="5"/>
        <v>0</v>
      </c>
    </row>
    <row r="282" spans="11:11" x14ac:dyDescent="0.25">
      <c r="K282" s="164">
        <f t="shared" si="5"/>
        <v>0</v>
      </c>
    </row>
    <row r="283" spans="11:11" x14ac:dyDescent="0.25">
      <c r="K283" s="164">
        <f t="shared" si="5"/>
        <v>0</v>
      </c>
    </row>
    <row r="284" spans="11:11" x14ac:dyDescent="0.25">
      <c r="K284" s="164">
        <f t="shared" ref="K284:K347" si="6">IF(OR(E284="", F284=""), 0, IF(E284=F284, 0, 1))</f>
        <v>0</v>
      </c>
    </row>
    <row r="285" spans="11:11" x14ac:dyDescent="0.25">
      <c r="K285" s="164">
        <f t="shared" si="6"/>
        <v>0</v>
      </c>
    </row>
    <row r="286" spans="11:11" x14ac:dyDescent="0.25">
      <c r="K286" s="164">
        <f t="shared" si="6"/>
        <v>0</v>
      </c>
    </row>
    <row r="287" spans="11:11" x14ac:dyDescent="0.25">
      <c r="K287" s="164">
        <f t="shared" si="6"/>
        <v>0</v>
      </c>
    </row>
    <row r="288" spans="11:11" x14ac:dyDescent="0.25">
      <c r="K288" s="164">
        <f t="shared" si="6"/>
        <v>0</v>
      </c>
    </row>
    <row r="289" spans="11:11" x14ac:dyDescent="0.25">
      <c r="K289" s="164">
        <f t="shared" si="6"/>
        <v>0</v>
      </c>
    </row>
    <row r="290" spans="11:11" x14ac:dyDescent="0.25">
      <c r="K290" s="164">
        <f t="shared" si="6"/>
        <v>0</v>
      </c>
    </row>
    <row r="291" spans="11:11" x14ac:dyDescent="0.25">
      <c r="K291" s="164">
        <f t="shared" si="6"/>
        <v>0</v>
      </c>
    </row>
    <row r="292" spans="11:11" x14ac:dyDescent="0.25">
      <c r="K292" s="164">
        <f t="shared" si="6"/>
        <v>0</v>
      </c>
    </row>
    <row r="293" spans="11:11" x14ac:dyDescent="0.25">
      <c r="K293" s="164">
        <f t="shared" si="6"/>
        <v>0</v>
      </c>
    </row>
    <row r="294" spans="11:11" x14ac:dyDescent="0.25">
      <c r="K294" s="164">
        <f t="shared" si="6"/>
        <v>0</v>
      </c>
    </row>
    <row r="295" spans="11:11" x14ac:dyDescent="0.25">
      <c r="K295" s="164">
        <f t="shared" si="6"/>
        <v>0</v>
      </c>
    </row>
    <row r="296" spans="11:11" x14ac:dyDescent="0.25">
      <c r="K296" s="164">
        <f t="shared" si="6"/>
        <v>0</v>
      </c>
    </row>
    <row r="297" spans="11:11" x14ac:dyDescent="0.25">
      <c r="K297" s="164">
        <f t="shared" si="6"/>
        <v>0</v>
      </c>
    </row>
    <row r="298" spans="11:11" x14ac:dyDescent="0.25">
      <c r="K298" s="164">
        <f t="shared" si="6"/>
        <v>0</v>
      </c>
    </row>
    <row r="299" spans="11:11" x14ac:dyDescent="0.25">
      <c r="K299" s="164">
        <f t="shared" si="6"/>
        <v>0</v>
      </c>
    </row>
    <row r="300" spans="11:11" x14ac:dyDescent="0.25">
      <c r="K300" s="164">
        <f t="shared" si="6"/>
        <v>0</v>
      </c>
    </row>
    <row r="301" spans="11:11" x14ac:dyDescent="0.25">
      <c r="K301" s="164">
        <f t="shared" si="6"/>
        <v>0</v>
      </c>
    </row>
    <row r="302" spans="11:11" x14ac:dyDescent="0.25">
      <c r="K302" s="164">
        <f t="shared" si="6"/>
        <v>0</v>
      </c>
    </row>
    <row r="303" spans="11:11" x14ac:dyDescent="0.25">
      <c r="K303" s="164">
        <f t="shared" si="6"/>
        <v>0</v>
      </c>
    </row>
    <row r="304" spans="11:11" x14ac:dyDescent="0.25">
      <c r="K304" s="164">
        <f t="shared" si="6"/>
        <v>0</v>
      </c>
    </row>
    <row r="305" spans="11:11" x14ac:dyDescent="0.25">
      <c r="K305" s="164">
        <f t="shared" si="6"/>
        <v>0</v>
      </c>
    </row>
    <row r="306" spans="11:11" x14ac:dyDescent="0.25">
      <c r="K306" s="164">
        <f t="shared" si="6"/>
        <v>0</v>
      </c>
    </row>
    <row r="307" spans="11:11" x14ac:dyDescent="0.25">
      <c r="K307" s="164">
        <f t="shared" si="6"/>
        <v>0</v>
      </c>
    </row>
    <row r="308" spans="11:11" x14ac:dyDescent="0.25">
      <c r="K308" s="164">
        <f t="shared" si="6"/>
        <v>0</v>
      </c>
    </row>
    <row r="309" spans="11:11" x14ac:dyDescent="0.25">
      <c r="K309" s="164">
        <f t="shared" si="6"/>
        <v>0</v>
      </c>
    </row>
    <row r="310" spans="11:11" x14ac:dyDescent="0.25">
      <c r="K310" s="164">
        <f t="shared" si="6"/>
        <v>0</v>
      </c>
    </row>
    <row r="311" spans="11:11" x14ac:dyDescent="0.25">
      <c r="K311" s="164">
        <f t="shared" si="6"/>
        <v>0</v>
      </c>
    </row>
    <row r="312" spans="11:11" x14ac:dyDescent="0.25">
      <c r="K312" s="164">
        <f t="shared" si="6"/>
        <v>0</v>
      </c>
    </row>
    <row r="313" spans="11:11" x14ac:dyDescent="0.25">
      <c r="K313" s="164">
        <f t="shared" si="6"/>
        <v>0</v>
      </c>
    </row>
    <row r="314" spans="11:11" x14ac:dyDescent="0.25">
      <c r="K314" s="164">
        <f t="shared" si="6"/>
        <v>0</v>
      </c>
    </row>
    <row r="315" spans="11:11" x14ac:dyDescent="0.25">
      <c r="K315" s="164">
        <f t="shared" si="6"/>
        <v>0</v>
      </c>
    </row>
    <row r="316" spans="11:11" x14ac:dyDescent="0.25">
      <c r="K316" s="164">
        <f t="shared" si="6"/>
        <v>0</v>
      </c>
    </row>
    <row r="317" spans="11:11" x14ac:dyDescent="0.25">
      <c r="K317" s="164">
        <f t="shared" si="6"/>
        <v>0</v>
      </c>
    </row>
    <row r="318" spans="11:11" x14ac:dyDescent="0.25">
      <c r="K318" s="164">
        <f t="shared" si="6"/>
        <v>0</v>
      </c>
    </row>
    <row r="319" spans="11:11" x14ac:dyDescent="0.25">
      <c r="K319" s="164">
        <f t="shared" si="6"/>
        <v>0</v>
      </c>
    </row>
    <row r="320" spans="11:11" x14ac:dyDescent="0.25">
      <c r="K320" s="164">
        <f t="shared" si="6"/>
        <v>0</v>
      </c>
    </row>
    <row r="321" spans="11:11" x14ac:dyDescent="0.25">
      <c r="K321" s="164">
        <f t="shared" si="6"/>
        <v>0</v>
      </c>
    </row>
    <row r="322" spans="11:11" x14ac:dyDescent="0.25">
      <c r="K322" s="164">
        <f t="shared" si="6"/>
        <v>0</v>
      </c>
    </row>
    <row r="323" spans="11:11" x14ac:dyDescent="0.25">
      <c r="K323" s="164">
        <f t="shared" si="6"/>
        <v>0</v>
      </c>
    </row>
    <row r="324" spans="11:11" x14ac:dyDescent="0.25">
      <c r="K324" s="164">
        <f t="shared" si="6"/>
        <v>0</v>
      </c>
    </row>
    <row r="325" spans="11:11" x14ac:dyDescent="0.25">
      <c r="K325" s="164">
        <f t="shared" si="6"/>
        <v>0</v>
      </c>
    </row>
    <row r="326" spans="11:11" x14ac:dyDescent="0.25">
      <c r="K326" s="164">
        <f t="shared" si="6"/>
        <v>0</v>
      </c>
    </row>
    <row r="327" spans="11:11" x14ac:dyDescent="0.25">
      <c r="K327" s="164">
        <f t="shared" si="6"/>
        <v>0</v>
      </c>
    </row>
    <row r="328" spans="11:11" x14ac:dyDescent="0.25">
      <c r="K328" s="164">
        <f t="shared" si="6"/>
        <v>0</v>
      </c>
    </row>
    <row r="329" spans="11:11" x14ac:dyDescent="0.25">
      <c r="K329" s="164">
        <f t="shared" si="6"/>
        <v>0</v>
      </c>
    </row>
    <row r="330" spans="11:11" x14ac:dyDescent="0.25">
      <c r="K330" s="164">
        <f t="shared" si="6"/>
        <v>0</v>
      </c>
    </row>
    <row r="331" spans="11:11" x14ac:dyDescent="0.25">
      <c r="K331" s="164">
        <f t="shared" si="6"/>
        <v>0</v>
      </c>
    </row>
    <row r="332" spans="11:11" x14ac:dyDescent="0.25">
      <c r="K332" s="164">
        <f t="shared" si="6"/>
        <v>0</v>
      </c>
    </row>
    <row r="333" spans="11:11" x14ac:dyDescent="0.25">
      <c r="K333" s="164">
        <f t="shared" si="6"/>
        <v>0</v>
      </c>
    </row>
    <row r="334" spans="11:11" x14ac:dyDescent="0.25">
      <c r="K334" s="164">
        <f t="shared" si="6"/>
        <v>0</v>
      </c>
    </row>
    <row r="335" spans="11:11" x14ac:dyDescent="0.25">
      <c r="K335" s="164">
        <f t="shared" si="6"/>
        <v>0</v>
      </c>
    </row>
    <row r="336" spans="11:11" x14ac:dyDescent="0.25">
      <c r="K336" s="164">
        <f t="shared" si="6"/>
        <v>0</v>
      </c>
    </row>
    <row r="337" spans="11:11" x14ac:dyDescent="0.25">
      <c r="K337" s="164">
        <f t="shared" si="6"/>
        <v>0</v>
      </c>
    </row>
    <row r="338" spans="11:11" x14ac:dyDescent="0.25">
      <c r="K338" s="164">
        <f t="shared" si="6"/>
        <v>0</v>
      </c>
    </row>
    <row r="339" spans="11:11" x14ac:dyDescent="0.25">
      <c r="K339" s="164">
        <f t="shared" si="6"/>
        <v>0</v>
      </c>
    </row>
    <row r="340" spans="11:11" x14ac:dyDescent="0.25">
      <c r="K340" s="164">
        <f t="shared" si="6"/>
        <v>0</v>
      </c>
    </row>
    <row r="341" spans="11:11" x14ac:dyDescent="0.25">
      <c r="K341" s="164">
        <f t="shared" si="6"/>
        <v>0</v>
      </c>
    </row>
    <row r="342" spans="11:11" x14ac:dyDescent="0.25">
      <c r="K342" s="164">
        <f t="shared" si="6"/>
        <v>0</v>
      </c>
    </row>
    <row r="343" spans="11:11" x14ac:dyDescent="0.25">
      <c r="K343" s="164">
        <f t="shared" si="6"/>
        <v>0</v>
      </c>
    </row>
    <row r="344" spans="11:11" x14ac:dyDescent="0.25">
      <c r="K344" s="164">
        <f t="shared" si="6"/>
        <v>0</v>
      </c>
    </row>
    <row r="345" spans="11:11" x14ac:dyDescent="0.25">
      <c r="K345" s="164">
        <f t="shared" si="6"/>
        <v>0</v>
      </c>
    </row>
    <row r="346" spans="11:11" x14ac:dyDescent="0.25">
      <c r="K346" s="164">
        <f t="shared" si="6"/>
        <v>0</v>
      </c>
    </row>
    <row r="347" spans="11:11" x14ac:dyDescent="0.25">
      <c r="K347" s="164">
        <f t="shared" si="6"/>
        <v>0</v>
      </c>
    </row>
    <row r="348" spans="11:11" x14ac:dyDescent="0.25">
      <c r="K348" s="164">
        <f t="shared" ref="K348:K411" si="7">IF(OR(E348="", F348=""), 0, IF(E348=F348, 0, 1))</f>
        <v>0</v>
      </c>
    </row>
    <row r="349" spans="11:11" x14ac:dyDescent="0.25">
      <c r="K349" s="164">
        <f t="shared" si="7"/>
        <v>0</v>
      </c>
    </row>
    <row r="350" spans="11:11" x14ac:dyDescent="0.25">
      <c r="K350" s="164">
        <f t="shared" si="7"/>
        <v>0</v>
      </c>
    </row>
    <row r="351" spans="11:11" x14ac:dyDescent="0.25">
      <c r="K351" s="164">
        <f t="shared" si="7"/>
        <v>0</v>
      </c>
    </row>
    <row r="352" spans="11:11" x14ac:dyDescent="0.25">
      <c r="K352" s="164">
        <f t="shared" si="7"/>
        <v>0</v>
      </c>
    </row>
    <row r="353" spans="11:11" x14ac:dyDescent="0.25">
      <c r="K353" s="164">
        <f t="shared" si="7"/>
        <v>0</v>
      </c>
    </row>
    <row r="354" spans="11:11" x14ac:dyDescent="0.25">
      <c r="K354" s="164">
        <f t="shared" si="7"/>
        <v>0</v>
      </c>
    </row>
    <row r="355" spans="11:11" x14ac:dyDescent="0.25">
      <c r="K355" s="164">
        <f t="shared" si="7"/>
        <v>0</v>
      </c>
    </row>
    <row r="356" spans="11:11" x14ac:dyDescent="0.25">
      <c r="K356" s="164">
        <f t="shared" si="7"/>
        <v>0</v>
      </c>
    </row>
    <row r="357" spans="11:11" x14ac:dyDescent="0.25">
      <c r="K357" s="164">
        <f t="shared" si="7"/>
        <v>0</v>
      </c>
    </row>
    <row r="358" spans="11:11" x14ac:dyDescent="0.25">
      <c r="K358" s="164">
        <f t="shared" si="7"/>
        <v>0</v>
      </c>
    </row>
    <row r="359" spans="11:11" x14ac:dyDescent="0.25">
      <c r="K359" s="164">
        <f t="shared" si="7"/>
        <v>0</v>
      </c>
    </row>
    <row r="360" spans="11:11" x14ac:dyDescent="0.25">
      <c r="K360" s="164">
        <f t="shared" si="7"/>
        <v>0</v>
      </c>
    </row>
    <row r="361" spans="11:11" x14ac:dyDescent="0.25">
      <c r="K361" s="164">
        <f t="shared" si="7"/>
        <v>0</v>
      </c>
    </row>
    <row r="362" spans="11:11" x14ac:dyDescent="0.25">
      <c r="K362" s="164">
        <f t="shared" si="7"/>
        <v>0</v>
      </c>
    </row>
    <row r="363" spans="11:11" x14ac:dyDescent="0.25">
      <c r="K363" s="164">
        <f t="shared" si="7"/>
        <v>0</v>
      </c>
    </row>
    <row r="364" spans="11:11" x14ac:dyDescent="0.25">
      <c r="K364" s="164">
        <f t="shared" si="7"/>
        <v>0</v>
      </c>
    </row>
    <row r="365" spans="11:11" x14ac:dyDescent="0.25">
      <c r="K365" s="164">
        <f t="shared" si="7"/>
        <v>0</v>
      </c>
    </row>
    <row r="366" spans="11:11" x14ac:dyDescent="0.25">
      <c r="K366" s="164">
        <f t="shared" si="7"/>
        <v>0</v>
      </c>
    </row>
    <row r="367" spans="11:11" x14ac:dyDescent="0.25">
      <c r="K367" s="164">
        <f t="shared" si="7"/>
        <v>0</v>
      </c>
    </row>
    <row r="368" spans="11:11" x14ac:dyDescent="0.25">
      <c r="K368" s="164">
        <f t="shared" si="7"/>
        <v>0</v>
      </c>
    </row>
    <row r="369" spans="11:11" x14ac:dyDescent="0.25">
      <c r="K369" s="164">
        <f t="shared" si="7"/>
        <v>0</v>
      </c>
    </row>
    <row r="370" spans="11:11" x14ac:dyDescent="0.25">
      <c r="K370" s="164">
        <f t="shared" si="7"/>
        <v>0</v>
      </c>
    </row>
    <row r="371" spans="11:11" x14ac:dyDescent="0.25">
      <c r="K371" s="164">
        <f t="shared" si="7"/>
        <v>0</v>
      </c>
    </row>
    <row r="372" spans="11:11" x14ac:dyDescent="0.25">
      <c r="K372" s="164">
        <f t="shared" si="7"/>
        <v>0</v>
      </c>
    </row>
    <row r="373" spans="11:11" x14ac:dyDescent="0.25">
      <c r="K373" s="164">
        <f t="shared" si="7"/>
        <v>0</v>
      </c>
    </row>
    <row r="374" spans="11:11" x14ac:dyDescent="0.25">
      <c r="K374" s="164">
        <f t="shared" si="7"/>
        <v>0</v>
      </c>
    </row>
    <row r="375" spans="11:11" x14ac:dyDescent="0.25">
      <c r="K375" s="164">
        <f t="shared" si="7"/>
        <v>0</v>
      </c>
    </row>
    <row r="376" spans="11:11" x14ac:dyDescent="0.25">
      <c r="K376" s="164">
        <f t="shared" si="7"/>
        <v>0</v>
      </c>
    </row>
    <row r="377" spans="11:11" x14ac:dyDescent="0.25">
      <c r="K377" s="164">
        <f t="shared" si="7"/>
        <v>0</v>
      </c>
    </row>
    <row r="378" spans="11:11" x14ac:dyDescent="0.25">
      <c r="K378" s="164">
        <f t="shared" si="7"/>
        <v>0</v>
      </c>
    </row>
    <row r="379" spans="11:11" x14ac:dyDescent="0.25">
      <c r="K379" s="164">
        <f t="shared" si="7"/>
        <v>0</v>
      </c>
    </row>
    <row r="380" spans="11:11" x14ac:dyDescent="0.25">
      <c r="K380" s="164">
        <f t="shared" si="7"/>
        <v>0</v>
      </c>
    </row>
    <row r="381" spans="11:11" x14ac:dyDescent="0.25">
      <c r="K381" s="164">
        <f t="shared" si="7"/>
        <v>0</v>
      </c>
    </row>
    <row r="382" spans="11:11" x14ac:dyDescent="0.25">
      <c r="K382" s="164">
        <f t="shared" si="7"/>
        <v>0</v>
      </c>
    </row>
    <row r="383" spans="11:11" x14ac:dyDescent="0.25">
      <c r="K383" s="164">
        <f t="shared" si="7"/>
        <v>0</v>
      </c>
    </row>
    <row r="384" spans="11:11" x14ac:dyDescent="0.25">
      <c r="K384" s="164">
        <f t="shared" si="7"/>
        <v>0</v>
      </c>
    </row>
    <row r="385" spans="11:11" x14ac:dyDescent="0.25">
      <c r="K385" s="164">
        <f t="shared" si="7"/>
        <v>0</v>
      </c>
    </row>
    <row r="386" spans="11:11" x14ac:dyDescent="0.25">
      <c r="K386" s="164">
        <f t="shared" si="7"/>
        <v>0</v>
      </c>
    </row>
    <row r="387" spans="11:11" x14ac:dyDescent="0.25">
      <c r="K387" s="164">
        <f t="shared" si="7"/>
        <v>0</v>
      </c>
    </row>
    <row r="388" spans="11:11" x14ac:dyDescent="0.25">
      <c r="K388" s="164">
        <f t="shared" si="7"/>
        <v>0</v>
      </c>
    </row>
    <row r="389" spans="11:11" x14ac:dyDescent="0.25">
      <c r="K389" s="164">
        <f t="shared" si="7"/>
        <v>0</v>
      </c>
    </row>
    <row r="390" spans="11:11" x14ac:dyDescent="0.25">
      <c r="K390" s="164">
        <f t="shared" si="7"/>
        <v>0</v>
      </c>
    </row>
    <row r="391" spans="11:11" x14ac:dyDescent="0.25">
      <c r="K391" s="164">
        <f t="shared" si="7"/>
        <v>0</v>
      </c>
    </row>
    <row r="392" spans="11:11" x14ac:dyDescent="0.25">
      <c r="K392" s="164">
        <f t="shared" si="7"/>
        <v>0</v>
      </c>
    </row>
    <row r="393" spans="11:11" x14ac:dyDescent="0.25">
      <c r="K393" s="164">
        <f t="shared" si="7"/>
        <v>0</v>
      </c>
    </row>
    <row r="394" spans="11:11" x14ac:dyDescent="0.25">
      <c r="K394" s="164">
        <f t="shared" si="7"/>
        <v>0</v>
      </c>
    </row>
    <row r="395" spans="11:11" x14ac:dyDescent="0.25">
      <c r="K395" s="164">
        <f t="shared" si="7"/>
        <v>0</v>
      </c>
    </row>
    <row r="396" spans="11:11" x14ac:dyDescent="0.25">
      <c r="K396" s="164">
        <f t="shared" si="7"/>
        <v>0</v>
      </c>
    </row>
    <row r="397" spans="11:11" x14ac:dyDescent="0.25">
      <c r="K397" s="164">
        <f t="shared" si="7"/>
        <v>0</v>
      </c>
    </row>
    <row r="398" spans="11:11" x14ac:dyDescent="0.25">
      <c r="K398" s="164">
        <f t="shared" si="7"/>
        <v>0</v>
      </c>
    </row>
    <row r="399" spans="11:11" x14ac:dyDescent="0.25">
      <c r="K399" s="164">
        <f t="shared" si="7"/>
        <v>0</v>
      </c>
    </row>
    <row r="400" spans="11:11" x14ac:dyDescent="0.25">
      <c r="K400" s="164">
        <f t="shared" si="7"/>
        <v>0</v>
      </c>
    </row>
    <row r="401" spans="11:11" x14ac:dyDescent="0.25">
      <c r="K401" s="164">
        <f t="shared" si="7"/>
        <v>0</v>
      </c>
    </row>
    <row r="402" spans="11:11" x14ac:dyDescent="0.25">
      <c r="K402" s="164">
        <f t="shared" si="7"/>
        <v>0</v>
      </c>
    </row>
    <row r="403" spans="11:11" x14ac:dyDescent="0.25">
      <c r="K403" s="164">
        <f t="shared" si="7"/>
        <v>0</v>
      </c>
    </row>
    <row r="404" spans="11:11" x14ac:dyDescent="0.25">
      <c r="K404" s="164">
        <f t="shared" si="7"/>
        <v>0</v>
      </c>
    </row>
    <row r="405" spans="11:11" x14ac:dyDescent="0.25">
      <c r="K405" s="164">
        <f t="shared" si="7"/>
        <v>0</v>
      </c>
    </row>
    <row r="406" spans="11:11" x14ac:dyDescent="0.25">
      <c r="K406" s="164">
        <f t="shared" si="7"/>
        <v>0</v>
      </c>
    </row>
    <row r="407" spans="11:11" x14ac:dyDescent="0.25">
      <c r="K407" s="164">
        <f t="shared" si="7"/>
        <v>0</v>
      </c>
    </row>
    <row r="408" spans="11:11" x14ac:dyDescent="0.25">
      <c r="K408" s="164">
        <f t="shared" si="7"/>
        <v>0</v>
      </c>
    </row>
    <row r="409" spans="11:11" x14ac:dyDescent="0.25">
      <c r="K409" s="164">
        <f t="shared" si="7"/>
        <v>0</v>
      </c>
    </row>
    <row r="410" spans="11:11" x14ac:dyDescent="0.25">
      <c r="K410" s="164">
        <f t="shared" si="7"/>
        <v>0</v>
      </c>
    </row>
    <row r="411" spans="11:11" x14ac:dyDescent="0.25">
      <c r="K411" s="164">
        <f t="shared" si="7"/>
        <v>0</v>
      </c>
    </row>
    <row r="412" spans="11:11" x14ac:dyDescent="0.25">
      <c r="K412" s="164">
        <f t="shared" ref="K412:K475" si="8">IF(OR(E412="", F412=""), 0, IF(E412=F412, 0, 1))</f>
        <v>0</v>
      </c>
    </row>
    <row r="413" spans="11:11" x14ac:dyDescent="0.25">
      <c r="K413" s="164">
        <f t="shared" si="8"/>
        <v>0</v>
      </c>
    </row>
    <row r="414" spans="11:11" x14ac:dyDescent="0.25">
      <c r="K414" s="164">
        <f t="shared" si="8"/>
        <v>0</v>
      </c>
    </row>
    <row r="415" spans="11:11" x14ac:dyDescent="0.25">
      <c r="K415" s="164">
        <f t="shared" si="8"/>
        <v>0</v>
      </c>
    </row>
    <row r="416" spans="11:11" x14ac:dyDescent="0.25">
      <c r="K416" s="164">
        <f t="shared" si="8"/>
        <v>0</v>
      </c>
    </row>
    <row r="417" spans="11:11" x14ac:dyDescent="0.25">
      <c r="K417" s="164">
        <f t="shared" si="8"/>
        <v>0</v>
      </c>
    </row>
    <row r="418" spans="11:11" x14ac:dyDescent="0.25">
      <c r="K418" s="164">
        <f t="shared" si="8"/>
        <v>0</v>
      </c>
    </row>
    <row r="419" spans="11:11" x14ac:dyDescent="0.25">
      <c r="K419" s="164">
        <f t="shared" si="8"/>
        <v>0</v>
      </c>
    </row>
    <row r="420" spans="11:11" x14ac:dyDescent="0.25">
      <c r="K420" s="164">
        <f t="shared" si="8"/>
        <v>0</v>
      </c>
    </row>
    <row r="421" spans="11:11" x14ac:dyDescent="0.25">
      <c r="K421" s="164">
        <f t="shared" si="8"/>
        <v>0</v>
      </c>
    </row>
    <row r="422" spans="11:11" x14ac:dyDescent="0.25">
      <c r="K422" s="164">
        <f t="shared" si="8"/>
        <v>0</v>
      </c>
    </row>
    <row r="423" spans="11:11" x14ac:dyDescent="0.25">
      <c r="K423" s="164">
        <f t="shared" si="8"/>
        <v>0</v>
      </c>
    </row>
    <row r="424" spans="11:11" x14ac:dyDescent="0.25">
      <c r="K424" s="164">
        <f t="shared" si="8"/>
        <v>0</v>
      </c>
    </row>
    <row r="425" spans="11:11" x14ac:dyDescent="0.25">
      <c r="K425" s="164">
        <f t="shared" si="8"/>
        <v>0</v>
      </c>
    </row>
    <row r="426" spans="11:11" x14ac:dyDescent="0.25">
      <c r="K426" s="164">
        <f t="shared" si="8"/>
        <v>0</v>
      </c>
    </row>
    <row r="427" spans="11:11" x14ac:dyDescent="0.25">
      <c r="K427" s="164">
        <f t="shared" si="8"/>
        <v>0</v>
      </c>
    </row>
    <row r="428" spans="11:11" x14ac:dyDescent="0.25">
      <c r="K428" s="164">
        <f t="shared" si="8"/>
        <v>0</v>
      </c>
    </row>
    <row r="429" spans="11:11" x14ac:dyDescent="0.25">
      <c r="K429" s="164">
        <f t="shared" si="8"/>
        <v>0</v>
      </c>
    </row>
    <row r="430" spans="11:11" x14ac:dyDescent="0.25">
      <c r="K430" s="164">
        <f t="shared" si="8"/>
        <v>0</v>
      </c>
    </row>
    <row r="431" spans="11:11" x14ac:dyDescent="0.25">
      <c r="K431" s="164">
        <f t="shared" si="8"/>
        <v>0</v>
      </c>
    </row>
    <row r="432" spans="11:11" x14ac:dyDescent="0.25">
      <c r="K432" s="164">
        <f t="shared" si="8"/>
        <v>0</v>
      </c>
    </row>
    <row r="433" spans="11:11" x14ac:dyDescent="0.25">
      <c r="K433" s="164">
        <f t="shared" si="8"/>
        <v>0</v>
      </c>
    </row>
    <row r="434" spans="11:11" x14ac:dyDescent="0.25">
      <c r="K434" s="164">
        <f t="shared" si="8"/>
        <v>0</v>
      </c>
    </row>
    <row r="435" spans="11:11" x14ac:dyDescent="0.25">
      <c r="K435" s="164">
        <f t="shared" si="8"/>
        <v>0</v>
      </c>
    </row>
    <row r="436" spans="11:11" x14ac:dyDescent="0.25">
      <c r="K436" s="164">
        <f t="shared" si="8"/>
        <v>0</v>
      </c>
    </row>
    <row r="437" spans="11:11" x14ac:dyDescent="0.25">
      <c r="K437" s="164">
        <f t="shared" si="8"/>
        <v>0</v>
      </c>
    </row>
    <row r="438" spans="11:11" x14ac:dyDescent="0.25">
      <c r="K438" s="164">
        <f t="shared" si="8"/>
        <v>0</v>
      </c>
    </row>
    <row r="439" spans="11:11" x14ac:dyDescent="0.25">
      <c r="K439" s="164">
        <f t="shared" si="8"/>
        <v>0</v>
      </c>
    </row>
    <row r="440" spans="11:11" x14ac:dyDescent="0.25">
      <c r="K440" s="164">
        <f t="shared" si="8"/>
        <v>0</v>
      </c>
    </row>
    <row r="441" spans="11:11" x14ac:dyDescent="0.25">
      <c r="K441" s="164">
        <f t="shared" si="8"/>
        <v>0</v>
      </c>
    </row>
    <row r="442" spans="11:11" x14ac:dyDescent="0.25">
      <c r="K442" s="164">
        <f t="shared" si="8"/>
        <v>0</v>
      </c>
    </row>
    <row r="443" spans="11:11" x14ac:dyDescent="0.25">
      <c r="K443" s="164">
        <f t="shared" si="8"/>
        <v>0</v>
      </c>
    </row>
    <row r="444" spans="11:11" x14ac:dyDescent="0.25">
      <c r="K444" s="164">
        <f t="shared" si="8"/>
        <v>0</v>
      </c>
    </row>
    <row r="445" spans="11:11" x14ac:dyDescent="0.25">
      <c r="K445" s="164">
        <f t="shared" si="8"/>
        <v>0</v>
      </c>
    </row>
    <row r="446" spans="11:11" x14ac:dyDescent="0.25">
      <c r="K446" s="164">
        <f t="shared" si="8"/>
        <v>0</v>
      </c>
    </row>
    <row r="447" spans="11:11" x14ac:dyDescent="0.25">
      <c r="K447" s="164">
        <f t="shared" si="8"/>
        <v>0</v>
      </c>
    </row>
    <row r="448" spans="11:11" x14ac:dyDescent="0.25">
      <c r="K448" s="164">
        <f t="shared" si="8"/>
        <v>0</v>
      </c>
    </row>
    <row r="449" spans="11:11" x14ac:dyDescent="0.25">
      <c r="K449" s="164">
        <f t="shared" si="8"/>
        <v>0</v>
      </c>
    </row>
    <row r="450" spans="11:11" x14ac:dyDescent="0.25">
      <c r="K450" s="164">
        <f t="shared" si="8"/>
        <v>0</v>
      </c>
    </row>
    <row r="451" spans="11:11" x14ac:dyDescent="0.25">
      <c r="K451" s="164">
        <f t="shared" si="8"/>
        <v>0</v>
      </c>
    </row>
    <row r="452" spans="11:11" x14ac:dyDescent="0.25">
      <c r="K452" s="164">
        <f t="shared" si="8"/>
        <v>0</v>
      </c>
    </row>
    <row r="453" spans="11:11" x14ac:dyDescent="0.25">
      <c r="K453" s="164">
        <f t="shared" si="8"/>
        <v>0</v>
      </c>
    </row>
    <row r="454" spans="11:11" x14ac:dyDescent="0.25">
      <c r="K454" s="164">
        <f t="shared" si="8"/>
        <v>0</v>
      </c>
    </row>
    <row r="455" spans="11:11" x14ac:dyDescent="0.25">
      <c r="K455" s="164">
        <f t="shared" si="8"/>
        <v>0</v>
      </c>
    </row>
    <row r="456" spans="11:11" x14ac:dyDescent="0.25">
      <c r="K456" s="164">
        <f t="shared" si="8"/>
        <v>0</v>
      </c>
    </row>
    <row r="457" spans="11:11" x14ac:dyDescent="0.25">
      <c r="K457" s="164">
        <f t="shared" si="8"/>
        <v>0</v>
      </c>
    </row>
    <row r="458" spans="11:11" x14ac:dyDescent="0.25">
      <c r="K458" s="164">
        <f t="shared" si="8"/>
        <v>0</v>
      </c>
    </row>
    <row r="459" spans="11:11" x14ac:dyDescent="0.25">
      <c r="K459" s="164">
        <f t="shared" si="8"/>
        <v>0</v>
      </c>
    </row>
    <row r="460" spans="11:11" x14ac:dyDescent="0.25">
      <c r="K460" s="164">
        <f t="shared" si="8"/>
        <v>0</v>
      </c>
    </row>
    <row r="461" spans="11:11" x14ac:dyDescent="0.25">
      <c r="K461" s="164">
        <f t="shared" si="8"/>
        <v>0</v>
      </c>
    </row>
    <row r="462" spans="11:11" x14ac:dyDescent="0.25">
      <c r="K462" s="164">
        <f t="shared" si="8"/>
        <v>0</v>
      </c>
    </row>
    <row r="463" spans="11:11" x14ac:dyDescent="0.25">
      <c r="K463" s="164">
        <f t="shared" si="8"/>
        <v>0</v>
      </c>
    </row>
    <row r="464" spans="11:11" x14ac:dyDescent="0.25">
      <c r="K464" s="164">
        <f t="shared" si="8"/>
        <v>0</v>
      </c>
    </row>
    <row r="465" spans="11:11" x14ac:dyDescent="0.25">
      <c r="K465" s="164">
        <f t="shared" si="8"/>
        <v>0</v>
      </c>
    </row>
    <row r="466" spans="11:11" x14ac:dyDescent="0.25">
      <c r="K466" s="164">
        <f t="shared" si="8"/>
        <v>0</v>
      </c>
    </row>
    <row r="467" spans="11:11" x14ac:dyDescent="0.25">
      <c r="K467" s="164">
        <f t="shared" si="8"/>
        <v>0</v>
      </c>
    </row>
    <row r="468" spans="11:11" x14ac:dyDescent="0.25">
      <c r="K468" s="164">
        <f t="shared" si="8"/>
        <v>0</v>
      </c>
    </row>
    <row r="469" spans="11:11" x14ac:dyDescent="0.25">
      <c r="K469" s="164">
        <f t="shared" si="8"/>
        <v>0</v>
      </c>
    </row>
    <row r="470" spans="11:11" x14ac:dyDescent="0.25">
      <c r="K470" s="164">
        <f t="shared" si="8"/>
        <v>0</v>
      </c>
    </row>
    <row r="471" spans="11:11" x14ac:dyDescent="0.25">
      <c r="K471" s="164">
        <f t="shared" si="8"/>
        <v>0</v>
      </c>
    </row>
    <row r="472" spans="11:11" x14ac:dyDescent="0.25">
      <c r="K472" s="164">
        <f t="shared" si="8"/>
        <v>0</v>
      </c>
    </row>
    <row r="473" spans="11:11" x14ac:dyDescent="0.25">
      <c r="K473" s="164">
        <f t="shared" si="8"/>
        <v>0</v>
      </c>
    </row>
    <row r="474" spans="11:11" x14ac:dyDescent="0.25">
      <c r="K474" s="164">
        <f t="shared" si="8"/>
        <v>0</v>
      </c>
    </row>
    <row r="475" spans="11:11" x14ac:dyDescent="0.25">
      <c r="K475" s="164">
        <f t="shared" si="8"/>
        <v>0</v>
      </c>
    </row>
    <row r="476" spans="11:11" x14ac:dyDescent="0.25">
      <c r="K476" s="164">
        <f t="shared" ref="K476:K539" si="9">IF(OR(E476="", F476=""), 0, IF(E476=F476, 0, 1))</f>
        <v>0</v>
      </c>
    </row>
    <row r="477" spans="11:11" x14ac:dyDescent="0.25">
      <c r="K477" s="164">
        <f t="shared" si="9"/>
        <v>0</v>
      </c>
    </row>
    <row r="478" spans="11:11" x14ac:dyDescent="0.25">
      <c r="K478" s="164">
        <f t="shared" si="9"/>
        <v>0</v>
      </c>
    </row>
    <row r="479" spans="11:11" x14ac:dyDescent="0.25">
      <c r="K479" s="164">
        <f t="shared" si="9"/>
        <v>0</v>
      </c>
    </row>
    <row r="480" spans="11:11" x14ac:dyDescent="0.25">
      <c r="K480" s="164">
        <f t="shared" si="9"/>
        <v>0</v>
      </c>
    </row>
    <row r="481" spans="11:11" x14ac:dyDescent="0.25">
      <c r="K481" s="164">
        <f t="shared" si="9"/>
        <v>0</v>
      </c>
    </row>
    <row r="482" spans="11:11" x14ac:dyDescent="0.25">
      <c r="K482" s="164">
        <f t="shared" si="9"/>
        <v>0</v>
      </c>
    </row>
    <row r="483" spans="11:11" x14ac:dyDescent="0.25">
      <c r="K483" s="164">
        <f t="shared" si="9"/>
        <v>0</v>
      </c>
    </row>
    <row r="484" spans="11:11" x14ac:dyDescent="0.25">
      <c r="K484" s="164">
        <f t="shared" si="9"/>
        <v>0</v>
      </c>
    </row>
    <row r="485" spans="11:11" x14ac:dyDescent="0.25">
      <c r="K485" s="164">
        <f t="shared" si="9"/>
        <v>0</v>
      </c>
    </row>
    <row r="486" spans="11:11" x14ac:dyDescent="0.25">
      <c r="K486" s="164">
        <f t="shared" si="9"/>
        <v>0</v>
      </c>
    </row>
    <row r="487" spans="11:11" x14ac:dyDescent="0.25">
      <c r="K487" s="164">
        <f t="shared" si="9"/>
        <v>0</v>
      </c>
    </row>
    <row r="488" spans="11:11" x14ac:dyDescent="0.25">
      <c r="K488" s="164">
        <f t="shared" si="9"/>
        <v>0</v>
      </c>
    </row>
    <row r="489" spans="11:11" x14ac:dyDescent="0.25">
      <c r="K489" s="164">
        <f t="shared" si="9"/>
        <v>0</v>
      </c>
    </row>
    <row r="490" spans="11:11" x14ac:dyDescent="0.25">
      <c r="K490" s="164">
        <f t="shared" si="9"/>
        <v>0</v>
      </c>
    </row>
    <row r="491" spans="11:11" x14ac:dyDescent="0.25">
      <c r="K491" s="164">
        <f t="shared" si="9"/>
        <v>0</v>
      </c>
    </row>
    <row r="492" spans="11:11" x14ac:dyDescent="0.25">
      <c r="K492" s="164">
        <f t="shared" si="9"/>
        <v>0</v>
      </c>
    </row>
    <row r="493" spans="11:11" x14ac:dyDescent="0.25">
      <c r="K493" s="164">
        <f t="shared" si="9"/>
        <v>0</v>
      </c>
    </row>
    <row r="494" spans="11:11" x14ac:dyDescent="0.25">
      <c r="K494" s="164">
        <f t="shared" si="9"/>
        <v>0</v>
      </c>
    </row>
    <row r="495" spans="11:11" x14ac:dyDescent="0.25">
      <c r="K495" s="164">
        <f t="shared" si="9"/>
        <v>0</v>
      </c>
    </row>
    <row r="496" spans="11:11" x14ac:dyDescent="0.25">
      <c r="K496" s="164">
        <f t="shared" si="9"/>
        <v>0</v>
      </c>
    </row>
    <row r="497" spans="11:11" x14ac:dyDescent="0.25">
      <c r="K497" s="164">
        <f t="shared" si="9"/>
        <v>0</v>
      </c>
    </row>
    <row r="498" spans="11:11" x14ac:dyDescent="0.25">
      <c r="K498" s="164">
        <f t="shared" si="9"/>
        <v>0</v>
      </c>
    </row>
    <row r="499" spans="11:11" x14ac:dyDescent="0.25">
      <c r="K499" s="164">
        <f t="shared" si="9"/>
        <v>0</v>
      </c>
    </row>
    <row r="500" spans="11:11" x14ac:dyDescent="0.25">
      <c r="K500" s="164">
        <f t="shared" si="9"/>
        <v>0</v>
      </c>
    </row>
    <row r="501" spans="11:11" x14ac:dyDescent="0.25">
      <c r="K501" s="164">
        <f t="shared" si="9"/>
        <v>0</v>
      </c>
    </row>
    <row r="502" spans="11:11" x14ac:dyDescent="0.25">
      <c r="K502" s="164">
        <f t="shared" si="9"/>
        <v>0</v>
      </c>
    </row>
    <row r="503" spans="11:11" x14ac:dyDescent="0.25">
      <c r="K503" s="164">
        <f t="shared" si="9"/>
        <v>0</v>
      </c>
    </row>
    <row r="504" spans="11:11" x14ac:dyDescent="0.25">
      <c r="K504" s="164">
        <f t="shared" si="9"/>
        <v>0</v>
      </c>
    </row>
    <row r="505" spans="11:11" x14ac:dyDescent="0.25">
      <c r="K505" s="164">
        <f t="shared" si="9"/>
        <v>0</v>
      </c>
    </row>
    <row r="506" spans="11:11" x14ac:dyDescent="0.25">
      <c r="K506" s="164">
        <f t="shared" si="9"/>
        <v>0</v>
      </c>
    </row>
    <row r="507" spans="11:11" x14ac:dyDescent="0.25">
      <c r="K507" s="164">
        <f t="shared" si="9"/>
        <v>0</v>
      </c>
    </row>
    <row r="508" spans="11:11" x14ac:dyDescent="0.25">
      <c r="K508" s="164">
        <f t="shared" si="9"/>
        <v>0</v>
      </c>
    </row>
    <row r="509" spans="11:11" x14ac:dyDescent="0.25">
      <c r="K509" s="164">
        <f t="shared" si="9"/>
        <v>0</v>
      </c>
    </row>
    <row r="510" spans="11:11" x14ac:dyDescent="0.25">
      <c r="K510" s="164">
        <f t="shared" si="9"/>
        <v>0</v>
      </c>
    </row>
    <row r="511" spans="11:11" x14ac:dyDescent="0.25">
      <c r="K511" s="164">
        <f t="shared" si="9"/>
        <v>0</v>
      </c>
    </row>
    <row r="512" spans="11:11" x14ac:dyDescent="0.25">
      <c r="K512" s="164">
        <f t="shared" si="9"/>
        <v>0</v>
      </c>
    </row>
    <row r="513" spans="11:11" x14ac:dyDescent="0.25">
      <c r="K513" s="164">
        <f t="shared" si="9"/>
        <v>0</v>
      </c>
    </row>
    <row r="514" spans="11:11" x14ac:dyDescent="0.25">
      <c r="K514" s="164">
        <f t="shared" si="9"/>
        <v>0</v>
      </c>
    </row>
    <row r="515" spans="11:11" x14ac:dyDescent="0.25">
      <c r="K515" s="164">
        <f t="shared" si="9"/>
        <v>0</v>
      </c>
    </row>
    <row r="516" spans="11:11" x14ac:dyDescent="0.25">
      <c r="K516" s="164">
        <f t="shared" si="9"/>
        <v>0</v>
      </c>
    </row>
    <row r="517" spans="11:11" x14ac:dyDescent="0.25">
      <c r="K517" s="164">
        <f t="shared" si="9"/>
        <v>0</v>
      </c>
    </row>
    <row r="518" spans="11:11" x14ac:dyDescent="0.25">
      <c r="K518" s="164">
        <f t="shared" si="9"/>
        <v>0</v>
      </c>
    </row>
    <row r="519" spans="11:11" x14ac:dyDescent="0.25">
      <c r="K519" s="164">
        <f t="shared" si="9"/>
        <v>0</v>
      </c>
    </row>
    <row r="520" spans="11:11" x14ac:dyDescent="0.25">
      <c r="K520" s="164">
        <f t="shared" si="9"/>
        <v>0</v>
      </c>
    </row>
    <row r="521" spans="11:11" x14ac:dyDescent="0.25">
      <c r="K521" s="164">
        <f t="shared" si="9"/>
        <v>0</v>
      </c>
    </row>
    <row r="522" spans="11:11" x14ac:dyDescent="0.25">
      <c r="K522" s="164">
        <f t="shared" si="9"/>
        <v>0</v>
      </c>
    </row>
    <row r="523" spans="11:11" x14ac:dyDescent="0.25">
      <c r="K523" s="164">
        <f t="shared" si="9"/>
        <v>0</v>
      </c>
    </row>
    <row r="524" spans="11:11" x14ac:dyDescent="0.25">
      <c r="K524" s="164">
        <f t="shared" si="9"/>
        <v>0</v>
      </c>
    </row>
    <row r="525" spans="11:11" x14ac:dyDescent="0.25">
      <c r="K525" s="164">
        <f t="shared" si="9"/>
        <v>0</v>
      </c>
    </row>
    <row r="526" spans="11:11" x14ac:dyDescent="0.25">
      <c r="K526" s="164">
        <f t="shared" si="9"/>
        <v>0</v>
      </c>
    </row>
    <row r="527" spans="11:11" x14ac:dyDescent="0.25">
      <c r="K527" s="164">
        <f t="shared" si="9"/>
        <v>0</v>
      </c>
    </row>
    <row r="528" spans="11:11" x14ac:dyDescent="0.25">
      <c r="K528" s="164">
        <f t="shared" si="9"/>
        <v>0</v>
      </c>
    </row>
    <row r="529" spans="11:11" x14ac:dyDescent="0.25">
      <c r="K529" s="164">
        <f t="shared" si="9"/>
        <v>0</v>
      </c>
    </row>
    <row r="530" spans="11:11" x14ac:dyDescent="0.25">
      <c r="K530" s="164">
        <f t="shared" si="9"/>
        <v>0</v>
      </c>
    </row>
    <row r="531" spans="11:11" x14ac:dyDescent="0.25">
      <c r="K531" s="164">
        <f t="shared" si="9"/>
        <v>0</v>
      </c>
    </row>
    <row r="532" spans="11:11" x14ac:dyDescent="0.25">
      <c r="K532" s="164">
        <f t="shared" si="9"/>
        <v>0</v>
      </c>
    </row>
    <row r="533" spans="11:11" x14ac:dyDescent="0.25">
      <c r="K533" s="164">
        <f t="shared" si="9"/>
        <v>0</v>
      </c>
    </row>
    <row r="534" spans="11:11" x14ac:dyDescent="0.25">
      <c r="K534" s="164">
        <f t="shared" si="9"/>
        <v>0</v>
      </c>
    </row>
    <row r="535" spans="11:11" x14ac:dyDescent="0.25">
      <c r="K535" s="164">
        <f t="shared" si="9"/>
        <v>0</v>
      </c>
    </row>
    <row r="536" spans="11:11" x14ac:dyDescent="0.25">
      <c r="K536" s="164">
        <f t="shared" si="9"/>
        <v>0</v>
      </c>
    </row>
    <row r="537" spans="11:11" x14ac:dyDescent="0.25">
      <c r="K537" s="164">
        <f t="shared" si="9"/>
        <v>0</v>
      </c>
    </row>
    <row r="538" spans="11:11" x14ac:dyDescent="0.25">
      <c r="K538" s="164">
        <f t="shared" si="9"/>
        <v>0</v>
      </c>
    </row>
    <row r="539" spans="11:11" x14ac:dyDescent="0.25">
      <c r="K539" s="164">
        <f t="shared" si="9"/>
        <v>0</v>
      </c>
    </row>
    <row r="540" spans="11:11" x14ac:dyDescent="0.25">
      <c r="K540" s="164">
        <f t="shared" ref="K540:K603" si="10">IF(OR(E540="", F540=""), 0, IF(E540=F540, 0, 1))</f>
        <v>0</v>
      </c>
    </row>
    <row r="541" spans="11:11" x14ac:dyDescent="0.25">
      <c r="K541" s="164">
        <f t="shared" si="10"/>
        <v>0</v>
      </c>
    </row>
    <row r="542" spans="11:11" x14ac:dyDescent="0.25">
      <c r="K542" s="164">
        <f t="shared" si="10"/>
        <v>0</v>
      </c>
    </row>
    <row r="543" spans="11:11" x14ac:dyDescent="0.25">
      <c r="K543" s="164">
        <f t="shared" si="10"/>
        <v>0</v>
      </c>
    </row>
    <row r="544" spans="11:11" x14ac:dyDescent="0.25">
      <c r="K544" s="164">
        <f t="shared" si="10"/>
        <v>0</v>
      </c>
    </row>
    <row r="545" spans="11:11" x14ac:dyDescent="0.25">
      <c r="K545" s="164">
        <f t="shared" si="10"/>
        <v>0</v>
      </c>
    </row>
    <row r="546" spans="11:11" x14ac:dyDescent="0.25">
      <c r="K546" s="164">
        <f t="shared" si="10"/>
        <v>0</v>
      </c>
    </row>
    <row r="547" spans="11:11" x14ac:dyDescent="0.25">
      <c r="K547" s="164">
        <f t="shared" si="10"/>
        <v>0</v>
      </c>
    </row>
    <row r="548" spans="11:11" x14ac:dyDescent="0.25">
      <c r="K548" s="164">
        <f t="shared" si="10"/>
        <v>0</v>
      </c>
    </row>
    <row r="549" spans="11:11" x14ac:dyDescent="0.25">
      <c r="K549" s="164">
        <f t="shared" si="10"/>
        <v>0</v>
      </c>
    </row>
    <row r="550" spans="11:11" x14ac:dyDescent="0.25">
      <c r="K550" s="164">
        <f t="shared" si="10"/>
        <v>0</v>
      </c>
    </row>
    <row r="551" spans="11:11" x14ac:dyDescent="0.25">
      <c r="K551" s="164">
        <f t="shared" si="10"/>
        <v>0</v>
      </c>
    </row>
    <row r="552" spans="11:11" x14ac:dyDescent="0.25">
      <c r="K552" s="164">
        <f t="shared" si="10"/>
        <v>0</v>
      </c>
    </row>
    <row r="553" spans="11:11" x14ac:dyDescent="0.25">
      <c r="K553" s="164">
        <f t="shared" si="10"/>
        <v>0</v>
      </c>
    </row>
    <row r="554" spans="11:11" x14ac:dyDescent="0.25">
      <c r="K554" s="164">
        <f t="shared" si="10"/>
        <v>0</v>
      </c>
    </row>
    <row r="555" spans="11:11" x14ac:dyDescent="0.25">
      <c r="K555" s="164">
        <f t="shared" si="10"/>
        <v>0</v>
      </c>
    </row>
    <row r="556" spans="11:11" x14ac:dyDescent="0.25">
      <c r="K556" s="164">
        <f t="shared" si="10"/>
        <v>0</v>
      </c>
    </row>
    <row r="557" spans="11:11" x14ac:dyDescent="0.25">
      <c r="K557" s="164">
        <f t="shared" si="10"/>
        <v>0</v>
      </c>
    </row>
    <row r="558" spans="11:11" x14ac:dyDescent="0.25">
      <c r="K558" s="164">
        <f t="shared" si="10"/>
        <v>0</v>
      </c>
    </row>
    <row r="559" spans="11:11" x14ac:dyDescent="0.25">
      <c r="K559" s="164">
        <f t="shared" si="10"/>
        <v>0</v>
      </c>
    </row>
    <row r="560" spans="11:11" x14ac:dyDescent="0.25">
      <c r="K560" s="164">
        <f t="shared" si="10"/>
        <v>0</v>
      </c>
    </row>
    <row r="561" spans="11:11" x14ac:dyDescent="0.25">
      <c r="K561" s="164">
        <f t="shared" si="10"/>
        <v>0</v>
      </c>
    </row>
    <row r="562" spans="11:11" x14ac:dyDescent="0.25">
      <c r="K562" s="164">
        <f t="shared" si="10"/>
        <v>0</v>
      </c>
    </row>
    <row r="563" spans="11:11" x14ac:dyDescent="0.25">
      <c r="K563" s="164">
        <f t="shared" si="10"/>
        <v>0</v>
      </c>
    </row>
    <row r="564" spans="11:11" x14ac:dyDescent="0.25">
      <c r="K564" s="164">
        <f t="shared" si="10"/>
        <v>0</v>
      </c>
    </row>
    <row r="565" spans="11:11" x14ac:dyDescent="0.25">
      <c r="K565" s="164">
        <f t="shared" si="10"/>
        <v>0</v>
      </c>
    </row>
    <row r="566" spans="11:11" x14ac:dyDescent="0.25">
      <c r="K566" s="164">
        <f t="shared" si="10"/>
        <v>0</v>
      </c>
    </row>
    <row r="567" spans="11:11" x14ac:dyDescent="0.25">
      <c r="K567" s="164">
        <f t="shared" si="10"/>
        <v>0</v>
      </c>
    </row>
    <row r="568" spans="11:11" x14ac:dyDescent="0.25">
      <c r="K568" s="164">
        <f t="shared" si="10"/>
        <v>0</v>
      </c>
    </row>
    <row r="569" spans="11:11" x14ac:dyDescent="0.25">
      <c r="K569" s="164">
        <f t="shared" si="10"/>
        <v>0</v>
      </c>
    </row>
    <row r="570" spans="11:11" x14ac:dyDescent="0.25">
      <c r="K570" s="164">
        <f t="shared" si="10"/>
        <v>0</v>
      </c>
    </row>
    <row r="571" spans="11:11" x14ac:dyDescent="0.25">
      <c r="K571" s="164">
        <f t="shared" si="10"/>
        <v>0</v>
      </c>
    </row>
    <row r="572" spans="11:11" x14ac:dyDescent="0.25">
      <c r="K572" s="164">
        <f t="shared" si="10"/>
        <v>0</v>
      </c>
    </row>
    <row r="573" spans="11:11" x14ac:dyDescent="0.25">
      <c r="K573" s="164">
        <f t="shared" si="10"/>
        <v>0</v>
      </c>
    </row>
    <row r="574" spans="11:11" x14ac:dyDescent="0.25">
      <c r="K574" s="164">
        <f t="shared" si="10"/>
        <v>0</v>
      </c>
    </row>
    <row r="575" spans="11:11" x14ac:dyDescent="0.25">
      <c r="K575" s="164">
        <f t="shared" si="10"/>
        <v>0</v>
      </c>
    </row>
    <row r="576" spans="11:11" x14ac:dyDescent="0.25">
      <c r="K576" s="164">
        <f t="shared" si="10"/>
        <v>0</v>
      </c>
    </row>
    <row r="577" spans="11:11" x14ac:dyDescent="0.25">
      <c r="K577" s="164">
        <f t="shared" si="10"/>
        <v>0</v>
      </c>
    </row>
    <row r="578" spans="11:11" x14ac:dyDescent="0.25">
      <c r="K578" s="164">
        <f t="shared" si="10"/>
        <v>0</v>
      </c>
    </row>
    <row r="579" spans="11:11" x14ac:dyDescent="0.25">
      <c r="K579" s="164">
        <f t="shared" si="10"/>
        <v>0</v>
      </c>
    </row>
    <row r="580" spans="11:11" x14ac:dyDescent="0.25">
      <c r="K580" s="164">
        <f t="shared" si="10"/>
        <v>0</v>
      </c>
    </row>
    <row r="581" spans="11:11" x14ac:dyDescent="0.25">
      <c r="K581" s="164">
        <f t="shared" si="10"/>
        <v>0</v>
      </c>
    </row>
    <row r="582" spans="11:11" x14ac:dyDescent="0.25">
      <c r="K582" s="164">
        <f t="shared" si="10"/>
        <v>0</v>
      </c>
    </row>
    <row r="583" spans="11:11" x14ac:dyDescent="0.25">
      <c r="K583" s="164">
        <f t="shared" si="10"/>
        <v>0</v>
      </c>
    </row>
    <row r="584" spans="11:11" x14ac:dyDescent="0.25">
      <c r="K584" s="164">
        <f t="shared" si="10"/>
        <v>0</v>
      </c>
    </row>
    <row r="585" spans="11:11" x14ac:dyDescent="0.25">
      <c r="K585" s="164">
        <f t="shared" si="10"/>
        <v>0</v>
      </c>
    </row>
    <row r="586" spans="11:11" x14ac:dyDescent="0.25">
      <c r="K586" s="164">
        <f t="shared" si="10"/>
        <v>0</v>
      </c>
    </row>
    <row r="587" spans="11:11" x14ac:dyDescent="0.25">
      <c r="K587" s="164">
        <f t="shared" si="10"/>
        <v>0</v>
      </c>
    </row>
    <row r="588" spans="11:11" x14ac:dyDescent="0.25">
      <c r="K588" s="164">
        <f t="shared" si="10"/>
        <v>0</v>
      </c>
    </row>
    <row r="589" spans="11:11" x14ac:dyDescent="0.25">
      <c r="K589" s="164">
        <f t="shared" si="10"/>
        <v>0</v>
      </c>
    </row>
    <row r="590" spans="11:11" x14ac:dyDescent="0.25">
      <c r="K590" s="164">
        <f t="shared" si="10"/>
        <v>0</v>
      </c>
    </row>
    <row r="591" spans="11:11" x14ac:dyDescent="0.25">
      <c r="K591" s="164">
        <f t="shared" si="10"/>
        <v>0</v>
      </c>
    </row>
    <row r="592" spans="11:11" x14ac:dyDescent="0.25">
      <c r="K592" s="164">
        <f t="shared" si="10"/>
        <v>0</v>
      </c>
    </row>
    <row r="593" spans="11:11" x14ac:dyDescent="0.25">
      <c r="K593" s="164">
        <f t="shared" si="10"/>
        <v>0</v>
      </c>
    </row>
    <row r="594" spans="11:11" x14ac:dyDescent="0.25">
      <c r="K594" s="164">
        <f t="shared" si="10"/>
        <v>0</v>
      </c>
    </row>
    <row r="595" spans="11:11" x14ac:dyDescent="0.25">
      <c r="K595" s="164">
        <f t="shared" si="10"/>
        <v>0</v>
      </c>
    </row>
    <row r="596" spans="11:11" x14ac:dyDescent="0.25">
      <c r="K596" s="164">
        <f t="shared" si="10"/>
        <v>0</v>
      </c>
    </row>
    <row r="597" spans="11:11" x14ac:dyDescent="0.25">
      <c r="K597" s="164">
        <f t="shared" si="10"/>
        <v>0</v>
      </c>
    </row>
    <row r="598" spans="11:11" x14ac:dyDescent="0.25">
      <c r="K598" s="164">
        <f t="shared" si="10"/>
        <v>0</v>
      </c>
    </row>
    <row r="599" spans="11:11" x14ac:dyDescent="0.25">
      <c r="K599" s="164">
        <f t="shared" si="10"/>
        <v>0</v>
      </c>
    </row>
    <row r="600" spans="11:11" x14ac:dyDescent="0.25">
      <c r="K600" s="164">
        <f t="shared" si="10"/>
        <v>0</v>
      </c>
    </row>
    <row r="601" spans="11:11" x14ac:dyDescent="0.25">
      <c r="K601" s="164">
        <f t="shared" si="10"/>
        <v>0</v>
      </c>
    </row>
    <row r="602" spans="11:11" x14ac:dyDescent="0.25">
      <c r="K602" s="164">
        <f t="shared" si="10"/>
        <v>0</v>
      </c>
    </row>
    <row r="603" spans="11:11" x14ac:dyDescent="0.25">
      <c r="K603" s="164">
        <f t="shared" si="10"/>
        <v>0</v>
      </c>
    </row>
    <row r="604" spans="11:11" x14ac:dyDescent="0.25">
      <c r="K604" s="164">
        <f t="shared" ref="K604:K667" si="11">IF(OR(E604="", F604=""), 0, IF(E604=F604, 0, 1))</f>
        <v>0</v>
      </c>
    </row>
    <row r="605" spans="11:11" x14ac:dyDescent="0.25">
      <c r="K605" s="164">
        <f t="shared" si="11"/>
        <v>0</v>
      </c>
    </row>
    <row r="606" spans="11:11" x14ac:dyDescent="0.25">
      <c r="K606" s="164">
        <f t="shared" si="11"/>
        <v>0</v>
      </c>
    </row>
    <row r="607" spans="11:11" x14ac:dyDescent="0.25">
      <c r="K607" s="164">
        <f t="shared" si="11"/>
        <v>0</v>
      </c>
    </row>
    <row r="608" spans="11:11" x14ac:dyDescent="0.25">
      <c r="K608" s="164">
        <f t="shared" si="11"/>
        <v>0</v>
      </c>
    </row>
    <row r="609" spans="11:11" x14ac:dyDescent="0.25">
      <c r="K609" s="164">
        <f t="shared" si="11"/>
        <v>0</v>
      </c>
    </row>
    <row r="610" spans="11:11" x14ac:dyDescent="0.25">
      <c r="K610" s="164">
        <f t="shared" si="11"/>
        <v>0</v>
      </c>
    </row>
    <row r="611" spans="11:11" x14ac:dyDescent="0.25">
      <c r="K611" s="164">
        <f t="shared" si="11"/>
        <v>0</v>
      </c>
    </row>
    <row r="612" spans="11:11" x14ac:dyDescent="0.25">
      <c r="K612" s="164">
        <f t="shared" si="11"/>
        <v>0</v>
      </c>
    </row>
    <row r="613" spans="11:11" x14ac:dyDescent="0.25">
      <c r="K613" s="164">
        <f t="shared" si="11"/>
        <v>0</v>
      </c>
    </row>
    <row r="614" spans="11:11" x14ac:dyDescent="0.25">
      <c r="K614" s="164">
        <f t="shared" si="11"/>
        <v>0</v>
      </c>
    </row>
    <row r="615" spans="11:11" x14ac:dyDescent="0.25">
      <c r="K615" s="164">
        <f t="shared" si="11"/>
        <v>0</v>
      </c>
    </row>
    <row r="616" spans="11:11" x14ac:dyDescent="0.25">
      <c r="K616" s="164">
        <f t="shared" si="11"/>
        <v>0</v>
      </c>
    </row>
    <row r="617" spans="11:11" x14ac:dyDescent="0.25">
      <c r="K617" s="164">
        <f t="shared" si="11"/>
        <v>0</v>
      </c>
    </row>
    <row r="618" spans="11:11" x14ac:dyDescent="0.25">
      <c r="K618" s="164">
        <f t="shared" si="11"/>
        <v>0</v>
      </c>
    </row>
    <row r="619" spans="11:11" x14ac:dyDescent="0.25">
      <c r="K619" s="164">
        <f t="shared" si="11"/>
        <v>0</v>
      </c>
    </row>
    <row r="620" spans="11:11" x14ac:dyDescent="0.25">
      <c r="K620" s="164">
        <f t="shared" si="11"/>
        <v>0</v>
      </c>
    </row>
    <row r="621" spans="11:11" x14ac:dyDescent="0.25">
      <c r="K621" s="164">
        <f t="shared" si="11"/>
        <v>0</v>
      </c>
    </row>
    <row r="622" spans="11:11" x14ac:dyDescent="0.25">
      <c r="K622" s="164">
        <f t="shared" si="11"/>
        <v>0</v>
      </c>
    </row>
    <row r="623" spans="11:11" x14ac:dyDescent="0.25">
      <c r="K623" s="164">
        <f t="shared" si="11"/>
        <v>0</v>
      </c>
    </row>
    <row r="624" spans="11:11" x14ac:dyDescent="0.25">
      <c r="K624" s="164">
        <f t="shared" si="11"/>
        <v>0</v>
      </c>
    </row>
    <row r="625" spans="11:11" x14ac:dyDescent="0.25">
      <c r="K625" s="164">
        <f t="shared" si="11"/>
        <v>0</v>
      </c>
    </row>
    <row r="626" spans="11:11" x14ac:dyDescent="0.25">
      <c r="K626" s="164">
        <f t="shared" si="11"/>
        <v>0</v>
      </c>
    </row>
    <row r="627" spans="11:11" x14ac:dyDescent="0.25">
      <c r="K627" s="164">
        <f t="shared" si="11"/>
        <v>0</v>
      </c>
    </row>
    <row r="628" spans="11:11" x14ac:dyDescent="0.25">
      <c r="K628" s="164">
        <f t="shared" si="11"/>
        <v>0</v>
      </c>
    </row>
    <row r="629" spans="11:11" x14ac:dyDescent="0.25">
      <c r="K629" s="164">
        <f t="shared" si="11"/>
        <v>0</v>
      </c>
    </row>
    <row r="630" spans="11:11" x14ac:dyDescent="0.25">
      <c r="K630" s="164">
        <f t="shared" si="11"/>
        <v>0</v>
      </c>
    </row>
    <row r="631" spans="11:11" x14ac:dyDescent="0.25">
      <c r="K631" s="164">
        <f t="shared" si="11"/>
        <v>0</v>
      </c>
    </row>
    <row r="632" spans="11:11" x14ac:dyDescent="0.25">
      <c r="K632" s="164">
        <f t="shared" si="11"/>
        <v>0</v>
      </c>
    </row>
    <row r="633" spans="11:11" x14ac:dyDescent="0.25">
      <c r="K633" s="164">
        <f t="shared" si="11"/>
        <v>0</v>
      </c>
    </row>
    <row r="634" spans="11:11" x14ac:dyDescent="0.25">
      <c r="K634" s="164">
        <f t="shared" si="11"/>
        <v>0</v>
      </c>
    </row>
    <row r="635" spans="11:11" x14ac:dyDescent="0.25">
      <c r="K635" s="164">
        <f t="shared" si="11"/>
        <v>0</v>
      </c>
    </row>
    <row r="636" spans="11:11" x14ac:dyDescent="0.25">
      <c r="K636" s="164">
        <f t="shared" si="11"/>
        <v>0</v>
      </c>
    </row>
    <row r="637" spans="11:11" x14ac:dyDescent="0.25">
      <c r="K637" s="164">
        <f t="shared" si="11"/>
        <v>0</v>
      </c>
    </row>
    <row r="638" spans="11:11" x14ac:dyDescent="0.25">
      <c r="K638" s="164">
        <f t="shared" si="11"/>
        <v>0</v>
      </c>
    </row>
    <row r="639" spans="11:11" x14ac:dyDescent="0.25">
      <c r="K639" s="164">
        <f t="shared" si="11"/>
        <v>0</v>
      </c>
    </row>
    <row r="640" spans="11:11" x14ac:dyDescent="0.25">
      <c r="K640" s="164">
        <f t="shared" si="11"/>
        <v>0</v>
      </c>
    </row>
    <row r="641" spans="11:11" x14ac:dyDescent="0.25">
      <c r="K641" s="164">
        <f t="shared" si="11"/>
        <v>0</v>
      </c>
    </row>
    <row r="642" spans="11:11" x14ac:dyDescent="0.25">
      <c r="K642" s="164">
        <f t="shared" si="11"/>
        <v>0</v>
      </c>
    </row>
    <row r="643" spans="11:11" x14ac:dyDescent="0.25">
      <c r="K643" s="164">
        <f t="shared" si="11"/>
        <v>0</v>
      </c>
    </row>
    <row r="644" spans="11:11" x14ac:dyDescent="0.25">
      <c r="K644" s="164">
        <f t="shared" si="11"/>
        <v>0</v>
      </c>
    </row>
    <row r="645" spans="11:11" x14ac:dyDescent="0.25">
      <c r="K645" s="164">
        <f t="shared" si="11"/>
        <v>0</v>
      </c>
    </row>
    <row r="646" spans="11:11" x14ac:dyDescent="0.25">
      <c r="K646" s="164">
        <f t="shared" si="11"/>
        <v>0</v>
      </c>
    </row>
    <row r="647" spans="11:11" x14ac:dyDescent="0.25">
      <c r="K647" s="164">
        <f t="shared" si="11"/>
        <v>0</v>
      </c>
    </row>
    <row r="648" spans="11:11" x14ac:dyDescent="0.25">
      <c r="K648" s="164">
        <f t="shared" si="11"/>
        <v>0</v>
      </c>
    </row>
    <row r="649" spans="11:11" x14ac:dyDescent="0.25">
      <c r="K649" s="164">
        <f t="shared" si="11"/>
        <v>0</v>
      </c>
    </row>
    <row r="650" spans="11:11" x14ac:dyDescent="0.25">
      <c r="K650" s="164">
        <f t="shared" si="11"/>
        <v>0</v>
      </c>
    </row>
    <row r="651" spans="11:11" x14ac:dyDescent="0.25">
      <c r="K651" s="164">
        <f t="shared" si="11"/>
        <v>0</v>
      </c>
    </row>
    <row r="652" spans="11:11" x14ac:dyDescent="0.25">
      <c r="K652" s="164">
        <f t="shared" si="11"/>
        <v>0</v>
      </c>
    </row>
    <row r="653" spans="11:11" x14ac:dyDescent="0.25">
      <c r="K653" s="164">
        <f t="shared" si="11"/>
        <v>0</v>
      </c>
    </row>
    <row r="654" spans="11:11" x14ac:dyDescent="0.25">
      <c r="K654" s="164">
        <f t="shared" si="11"/>
        <v>0</v>
      </c>
    </row>
    <row r="655" spans="11:11" x14ac:dyDescent="0.25">
      <c r="K655" s="164">
        <f t="shared" si="11"/>
        <v>0</v>
      </c>
    </row>
    <row r="656" spans="11:11" x14ac:dyDescent="0.25">
      <c r="K656" s="164">
        <f t="shared" si="11"/>
        <v>0</v>
      </c>
    </row>
    <row r="657" spans="11:11" x14ac:dyDescent="0.25">
      <c r="K657" s="164">
        <f t="shared" si="11"/>
        <v>0</v>
      </c>
    </row>
    <row r="658" spans="11:11" x14ac:dyDescent="0.25">
      <c r="K658" s="164">
        <f t="shared" si="11"/>
        <v>0</v>
      </c>
    </row>
    <row r="659" spans="11:11" x14ac:dyDescent="0.25">
      <c r="K659" s="164">
        <f t="shared" si="11"/>
        <v>0</v>
      </c>
    </row>
    <row r="660" spans="11:11" x14ac:dyDescent="0.25">
      <c r="K660" s="164">
        <f t="shared" si="11"/>
        <v>0</v>
      </c>
    </row>
    <row r="661" spans="11:11" x14ac:dyDescent="0.25">
      <c r="K661" s="164">
        <f t="shared" si="11"/>
        <v>0</v>
      </c>
    </row>
    <row r="662" spans="11:11" x14ac:dyDescent="0.25">
      <c r="K662" s="164">
        <f t="shared" si="11"/>
        <v>0</v>
      </c>
    </row>
    <row r="663" spans="11:11" x14ac:dyDescent="0.25">
      <c r="K663" s="164">
        <f t="shared" si="11"/>
        <v>0</v>
      </c>
    </row>
    <row r="664" spans="11:11" x14ac:dyDescent="0.25">
      <c r="K664" s="164">
        <f t="shared" si="11"/>
        <v>0</v>
      </c>
    </row>
    <row r="665" spans="11:11" x14ac:dyDescent="0.25">
      <c r="K665" s="164">
        <f t="shared" si="11"/>
        <v>0</v>
      </c>
    </row>
    <row r="666" spans="11:11" x14ac:dyDescent="0.25">
      <c r="K666" s="164">
        <f t="shared" si="11"/>
        <v>0</v>
      </c>
    </row>
    <row r="667" spans="11:11" x14ac:dyDescent="0.25">
      <c r="K667" s="164">
        <f t="shared" si="11"/>
        <v>0</v>
      </c>
    </row>
    <row r="668" spans="11:11" x14ac:dyDescent="0.25">
      <c r="K668" s="164">
        <f t="shared" ref="K668:K731" si="12">IF(OR(E668="", F668=""), 0, IF(E668=F668, 0, 1))</f>
        <v>0</v>
      </c>
    </row>
    <row r="669" spans="11:11" x14ac:dyDescent="0.25">
      <c r="K669" s="164">
        <f t="shared" si="12"/>
        <v>0</v>
      </c>
    </row>
    <row r="670" spans="11:11" x14ac:dyDescent="0.25">
      <c r="K670" s="164">
        <f t="shared" si="12"/>
        <v>0</v>
      </c>
    </row>
    <row r="671" spans="11:11" x14ac:dyDescent="0.25">
      <c r="K671" s="164">
        <f t="shared" si="12"/>
        <v>0</v>
      </c>
    </row>
    <row r="672" spans="11:11" x14ac:dyDescent="0.25">
      <c r="K672" s="164">
        <f t="shared" si="12"/>
        <v>0</v>
      </c>
    </row>
    <row r="673" spans="11:11" x14ac:dyDescent="0.25">
      <c r="K673" s="164">
        <f t="shared" si="12"/>
        <v>0</v>
      </c>
    </row>
    <row r="674" spans="11:11" x14ac:dyDescent="0.25">
      <c r="K674" s="164">
        <f t="shared" si="12"/>
        <v>0</v>
      </c>
    </row>
    <row r="675" spans="11:11" x14ac:dyDescent="0.25">
      <c r="K675" s="164">
        <f t="shared" si="12"/>
        <v>0</v>
      </c>
    </row>
    <row r="676" spans="11:11" x14ac:dyDescent="0.25">
      <c r="K676" s="164">
        <f t="shared" si="12"/>
        <v>0</v>
      </c>
    </row>
    <row r="677" spans="11:11" x14ac:dyDescent="0.25">
      <c r="K677" s="164">
        <f t="shared" si="12"/>
        <v>0</v>
      </c>
    </row>
    <row r="678" spans="11:11" x14ac:dyDescent="0.25">
      <c r="K678" s="164">
        <f t="shared" si="12"/>
        <v>0</v>
      </c>
    </row>
    <row r="679" spans="11:11" x14ac:dyDescent="0.25">
      <c r="K679" s="164">
        <f t="shared" si="12"/>
        <v>0</v>
      </c>
    </row>
    <row r="680" spans="11:11" x14ac:dyDescent="0.25">
      <c r="K680" s="164">
        <f t="shared" si="12"/>
        <v>0</v>
      </c>
    </row>
    <row r="681" spans="11:11" x14ac:dyDescent="0.25">
      <c r="K681" s="164">
        <f t="shared" si="12"/>
        <v>0</v>
      </c>
    </row>
    <row r="682" spans="11:11" x14ac:dyDescent="0.25">
      <c r="K682" s="164">
        <f t="shared" si="12"/>
        <v>0</v>
      </c>
    </row>
    <row r="683" spans="11:11" x14ac:dyDescent="0.25">
      <c r="K683" s="164">
        <f t="shared" si="12"/>
        <v>0</v>
      </c>
    </row>
    <row r="684" spans="11:11" x14ac:dyDescent="0.25">
      <c r="K684" s="164">
        <f t="shared" si="12"/>
        <v>0</v>
      </c>
    </row>
    <row r="685" spans="11:11" x14ac:dyDescent="0.25">
      <c r="K685" s="164">
        <f t="shared" si="12"/>
        <v>0</v>
      </c>
    </row>
    <row r="686" spans="11:11" x14ac:dyDescent="0.25">
      <c r="K686" s="164">
        <f t="shared" si="12"/>
        <v>0</v>
      </c>
    </row>
    <row r="687" spans="11:11" x14ac:dyDescent="0.25">
      <c r="K687" s="164">
        <f t="shared" si="12"/>
        <v>0</v>
      </c>
    </row>
    <row r="688" spans="11:11" x14ac:dyDescent="0.25">
      <c r="K688" s="164">
        <f t="shared" si="12"/>
        <v>0</v>
      </c>
    </row>
    <row r="689" spans="11:11" x14ac:dyDescent="0.25">
      <c r="K689" s="164">
        <f t="shared" si="12"/>
        <v>0</v>
      </c>
    </row>
    <row r="690" spans="11:11" x14ac:dyDescent="0.25">
      <c r="K690" s="164">
        <f t="shared" si="12"/>
        <v>0</v>
      </c>
    </row>
    <row r="691" spans="11:11" x14ac:dyDescent="0.25">
      <c r="K691" s="164">
        <f t="shared" si="12"/>
        <v>0</v>
      </c>
    </row>
    <row r="692" spans="11:11" x14ac:dyDescent="0.25">
      <c r="K692" s="164">
        <f t="shared" si="12"/>
        <v>0</v>
      </c>
    </row>
    <row r="693" spans="11:11" x14ac:dyDescent="0.25">
      <c r="K693" s="164">
        <f t="shared" si="12"/>
        <v>0</v>
      </c>
    </row>
    <row r="694" spans="11:11" x14ac:dyDescent="0.25">
      <c r="K694" s="164">
        <f t="shared" si="12"/>
        <v>0</v>
      </c>
    </row>
    <row r="695" spans="11:11" x14ac:dyDescent="0.25">
      <c r="K695" s="164">
        <f t="shared" si="12"/>
        <v>0</v>
      </c>
    </row>
    <row r="696" spans="11:11" x14ac:dyDescent="0.25">
      <c r="K696" s="164">
        <f t="shared" si="12"/>
        <v>0</v>
      </c>
    </row>
    <row r="697" spans="11:11" x14ac:dyDescent="0.25">
      <c r="K697" s="164">
        <f t="shared" si="12"/>
        <v>0</v>
      </c>
    </row>
    <row r="698" spans="11:11" x14ac:dyDescent="0.25">
      <c r="K698" s="164">
        <f t="shared" si="12"/>
        <v>0</v>
      </c>
    </row>
    <row r="699" spans="11:11" x14ac:dyDescent="0.25">
      <c r="K699" s="164">
        <f t="shared" si="12"/>
        <v>0</v>
      </c>
    </row>
    <row r="700" spans="11:11" x14ac:dyDescent="0.25">
      <c r="K700" s="164">
        <f t="shared" si="12"/>
        <v>0</v>
      </c>
    </row>
    <row r="701" spans="11:11" x14ac:dyDescent="0.25">
      <c r="K701" s="164">
        <f t="shared" si="12"/>
        <v>0</v>
      </c>
    </row>
    <row r="702" spans="11:11" x14ac:dyDescent="0.25">
      <c r="K702" s="164">
        <f t="shared" si="12"/>
        <v>0</v>
      </c>
    </row>
    <row r="703" spans="11:11" x14ac:dyDescent="0.25">
      <c r="K703" s="164">
        <f t="shared" si="12"/>
        <v>0</v>
      </c>
    </row>
    <row r="704" spans="11:11" x14ac:dyDescent="0.25">
      <c r="K704" s="164">
        <f t="shared" si="12"/>
        <v>0</v>
      </c>
    </row>
    <row r="705" spans="11:11" x14ac:dyDescent="0.25">
      <c r="K705" s="164">
        <f t="shared" si="12"/>
        <v>0</v>
      </c>
    </row>
    <row r="706" spans="11:11" x14ac:dyDescent="0.25">
      <c r="K706" s="164">
        <f t="shared" si="12"/>
        <v>0</v>
      </c>
    </row>
    <row r="707" spans="11:11" x14ac:dyDescent="0.25">
      <c r="K707" s="164">
        <f t="shared" si="12"/>
        <v>0</v>
      </c>
    </row>
    <row r="708" spans="11:11" x14ac:dyDescent="0.25">
      <c r="K708" s="164">
        <f t="shared" si="12"/>
        <v>0</v>
      </c>
    </row>
    <row r="709" spans="11:11" x14ac:dyDescent="0.25">
      <c r="K709" s="164">
        <f t="shared" si="12"/>
        <v>0</v>
      </c>
    </row>
    <row r="710" spans="11:11" x14ac:dyDescent="0.25">
      <c r="K710" s="164">
        <f t="shared" si="12"/>
        <v>0</v>
      </c>
    </row>
    <row r="711" spans="11:11" x14ac:dyDescent="0.25">
      <c r="K711" s="164">
        <f t="shared" si="12"/>
        <v>0</v>
      </c>
    </row>
    <row r="712" spans="11:11" x14ac:dyDescent="0.25">
      <c r="K712" s="164">
        <f t="shared" si="12"/>
        <v>0</v>
      </c>
    </row>
    <row r="713" spans="11:11" x14ac:dyDescent="0.25">
      <c r="K713" s="164">
        <f t="shared" si="12"/>
        <v>0</v>
      </c>
    </row>
    <row r="714" spans="11:11" x14ac:dyDescent="0.25">
      <c r="K714" s="164">
        <f t="shared" si="12"/>
        <v>0</v>
      </c>
    </row>
    <row r="715" spans="11:11" x14ac:dyDescent="0.25">
      <c r="K715" s="164">
        <f t="shared" si="12"/>
        <v>0</v>
      </c>
    </row>
    <row r="716" spans="11:11" x14ac:dyDescent="0.25">
      <c r="K716" s="164">
        <f t="shared" si="12"/>
        <v>0</v>
      </c>
    </row>
    <row r="717" spans="11:11" x14ac:dyDescent="0.25">
      <c r="K717" s="164">
        <f t="shared" si="12"/>
        <v>0</v>
      </c>
    </row>
    <row r="718" spans="11:11" x14ac:dyDescent="0.25">
      <c r="K718" s="164">
        <f t="shared" si="12"/>
        <v>0</v>
      </c>
    </row>
    <row r="719" spans="11:11" x14ac:dyDescent="0.25">
      <c r="K719" s="164">
        <f t="shared" si="12"/>
        <v>0</v>
      </c>
    </row>
    <row r="720" spans="11:11" x14ac:dyDescent="0.25">
      <c r="K720" s="164">
        <f t="shared" si="12"/>
        <v>0</v>
      </c>
    </row>
    <row r="721" spans="11:11" x14ac:dyDescent="0.25">
      <c r="K721" s="164">
        <f t="shared" si="12"/>
        <v>0</v>
      </c>
    </row>
    <row r="722" spans="11:11" x14ac:dyDescent="0.25">
      <c r="K722" s="164">
        <f t="shared" si="12"/>
        <v>0</v>
      </c>
    </row>
    <row r="723" spans="11:11" x14ac:dyDescent="0.25">
      <c r="K723" s="164">
        <f t="shared" si="12"/>
        <v>0</v>
      </c>
    </row>
    <row r="724" spans="11:11" x14ac:dyDescent="0.25">
      <c r="K724" s="164">
        <f t="shared" si="12"/>
        <v>0</v>
      </c>
    </row>
    <row r="725" spans="11:11" x14ac:dyDescent="0.25">
      <c r="K725" s="164">
        <f t="shared" si="12"/>
        <v>0</v>
      </c>
    </row>
    <row r="726" spans="11:11" x14ac:dyDescent="0.25">
      <c r="K726" s="164">
        <f t="shared" si="12"/>
        <v>0</v>
      </c>
    </row>
    <row r="727" spans="11:11" x14ac:dyDescent="0.25">
      <c r="K727" s="164">
        <f t="shared" si="12"/>
        <v>0</v>
      </c>
    </row>
    <row r="728" spans="11:11" x14ac:dyDescent="0.25">
      <c r="K728" s="164">
        <f t="shared" si="12"/>
        <v>0</v>
      </c>
    </row>
    <row r="729" spans="11:11" x14ac:dyDescent="0.25">
      <c r="K729" s="164">
        <f t="shared" si="12"/>
        <v>0</v>
      </c>
    </row>
    <row r="730" spans="11:11" x14ac:dyDescent="0.25">
      <c r="K730" s="164">
        <f t="shared" si="12"/>
        <v>0</v>
      </c>
    </row>
    <row r="731" spans="11:11" x14ac:dyDescent="0.25">
      <c r="K731" s="164">
        <f t="shared" si="12"/>
        <v>0</v>
      </c>
    </row>
    <row r="732" spans="11:11" x14ac:dyDescent="0.25">
      <c r="K732" s="164">
        <f t="shared" ref="K732:K795" si="13">IF(OR(E732="", F732=""), 0, IF(E732=F732, 0, 1))</f>
        <v>0</v>
      </c>
    </row>
    <row r="733" spans="11:11" x14ac:dyDescent="0.25">
      <c r="K733" s="164">
        <f t="shared" si="13"/>
        <v>0</v>
      </c>
    </row>
    <row r="734" spans="11:11" x14ac:dyDescent="0.25">
      <c r="K734" s="164">
        <f t="shared" si="13"/>
        <v>0</v>
      </c>
    </row>
    <row r="735" spans="11:11" x14ac:dyDescent="0.25">
      <c r="K735" s="164">
        <f t="shared" si="13"/>
        <v>0</v>
      </c>
    </row>
    <row r="736" spans="11:11" x14ac:dyDescent="0.25">
      <c r="K736" s="164">
        <f t="shared" si="13"/>
        <v>0</v>
      </c>
    </row>
    <row r="737" spans="11:11" x14ac:dyDescent="0.25">
      <c r="K737" s="164">
        <f t="shared" si="13"/>
        <v>0</v>
      </c>
    </row>
    <row r="738" spans="11:11" x14ac:dyDescent="0.25">
      <c r="K738" s="164">
        <f t="shared" si="13"/>
        <v>0</v>
      </c>
    </row>
    <row r="739" spans="11:11" x14ac:dyDescent="0.25">
      <c r="K739" s="164">
        <f t="shared" si="13"/>
        <v>0</v>
      </c>
    </row>
    <row r="740" spans="11:11" x14ac:dyDescent="0.25">
      <c r="K740" s="164">
        <f t="shared" si="13"/>
        <v>0</v>
      </c>
    </row>
    <row r="741" spans="11:11" x14ac:dyDescent="0.25">
      <c r="K741" s="164">
        <f t="shared" si="13"/>
        <v>0</v>
      </c>
    </row>
    <row r="742" spans="11:11" x14ac:dyDescent="0.25">
      <c r="K742" s="164">
        <f t="shared" si="13"/>
        <v>0</v>
      </c>
    </row>
    <row r="743" spans="11:11" x14ac:dyDescent="0.25">
      <c r="K743" s="164">
        <f t="shared" si="13"/>
        <v>0</v>
      </c>
    </row>
    <row r="744" spans="11:11" x14ac:dyDescent="0.25">
      <c r="K744" s="164">
        <f t="shared" si="13"/>
        <v>0</v>
      </c>
    </row>
    <row r="745" spans="11:11" x14ac:dyDescent="0.25">
      <c r="K745" s="164">
        <f t="shared" si="13"/>
        <v>0</v>
      </c>
    </row>
    <row r="746" spans="11:11" x14ac:dyDescent="0.25">
      <c r="K746" s="164">
        <f t="shared" si="13"/>
        <v>0</v>
      </c>
    </row>
    <row r="747" spans="11:11" x14ac:dyDescent="0.25">
      <c r="K747" s="164">
        <f t="shared" si="13"/>
        <v>0</v>
      </c>
    </row>
    <row r="748" spans="11:11" x14ac:dyDescent="0.25">
      <c r="K748" s="164">
        <f t="shared" si="13"/>
        <v>0</v>
      </c>
    </row>
    <row r="749" spans="11:11" x14ac:dyDescent="0.25">
      <c r="K749" s="164">
        <f t="shared" si="13"/>
        <v>0</v>
      </c>
    </row>
    <row r="750" spans="11:11" x14ac:dyDescent="0.25">
      <c r="K750" s="164">
        <f t="shared" si="13"/>
        <v>0</v>
      </c>
    </row>
    <row r="751" spans="11:11" x14ac:dyDescent="0.25">
      <c r="K751" s="164">
        <f t="shared" si="13"/>
        <v>0</v>
      </c>
    </row>
    <row r="752" spans="11:11" x14ac:dyDescent="0.25">
      <c r="K752" s="164">
        <f t="shared" si="13"/>
        <v>0</v>
      </c>
    </row>
    <row r="753" spans="11:11" x14ac:dyDescent="0.25">
      <c r="K753" s="164">
        <f t="shared" si="13"/>
        <v>0</v>
      </c>
    </row>
    <row r="754" spans="11:11" x14ac:dyDescent="0.25">
      <c r="K754" s="164">
        <f t="shared" si="13"/>
        <v>0</v>
      </c>
    </row>
    <row r="755" spans="11:11" x14ac:dyDescent="0.25">
      <c r="K755" s="164">
        <f t="shared" si="13"/>
        <v>0</v>
      </c>
    </row>
    <row r="756" spans="11:11" x14ac:dyDescent="0.25">
      <c r="K756" s="164">
        <f t="shared" si="13"/>
        <v>0</v>
      </c>
    </row>
    <row r="757" spans="11:11" x14ac:dyDescent="0.25">
      <c r="K757" s="164">
        <f t="shared" si="13"/>
        <v>0</v>
      </c>
    </row>
    <row r="758" spans="11:11" x14ac:dyDescent="0.25">
      <c r="K758" s="164">
        <f t="shared" si="13"/>
        <v>0</v>
      </c>
    </row>
    <row r="759" spans="11:11" x14ac:dyDescent="0.25">
      <c r="K759" s="164">
        <f t="shared" si="13"/>
        <v>0</v>
      </c>
    </row>
    <row r="760" spans="11:11" x14ac:dyDescent="0.25">
      <c r="K760" s="164">
        <f t="shared" si="13"/>
        <v>0</v>
      </c>
    </row>
    <row r="761" spans="11:11" x14ac:dyDescent="0.25">
      <c r="K761" s="164">
        <f t="shared" si="13"/>
        <v>0</v>
      </c>
    </row>
    <row r="762" spans="11:11" x14ac:dyDescent="0.25">
      <c r="K762" s="164">
        <f t="shared" si="13"/>
        <v>0</v>
      </c>
    </row>
    <row r="763" spans="11:11" x14ac:dyDescent="0.25">
      <c r="K763" s="164">
        <f t="shared" si="13"/>
        <v>0</v>
      </c>
    </row>
    <row r="764" spans="11:11" x14ac:dyDescent="0.25">
      <c r="K764" s="164">
        <f t="shared" si="13"/>
        <v>0</v>
      </c>
    </row>
    <row r="765" spans="11:11" x14ac:dyDescent="0.25">
      <c r="K765" s="164">
        <f t="shared" si="13"/>
        <v>0</v>
      </c>
    </row>
    <row r="766" spans="11:11" x14ac:dyDescent="0.25">
      <c r="K766" s="164">
        <f t="shared" si="13"/>
        <v>0</v>
      </c>
    </row>
    <row r="767" spans="11:11" x14ac:dyDescent="0.25">
      <c r="K767" s="164">
        <f t="shared" si="13"/>
        <v>0</v>
      </c>
    </row>
    <row r="768" spans="11:11" x14ac:dyDescent="0.25">
      <c r="K768" s="164">
        <f t="shared" si="13"/>
        <v>0</v>
      </c>
    </row>
    <row r="769" spans="11:11" x14ac:dyDescent="0.25">
      <c r="K769" s="164">
        <f t="shared" si="13"/>
        <v>0</v>
      </c>
    </row>
    <row r="770" spans="11:11" x14ac:dyDescent="0.25">
      <c r="K770" s="164">
        <f t="shared" si="13"/>
        <v>0</v>
      </c>
    </row>
    <row r="771" spans="11:11" x14ac:dyDescent="0.25">
      <c r="K771" s="164">
        <f t="shared" si="13"/>
        <v>0</v>
      </c>
    </row>
    <row r="772" spans="11:11" x14ac:dyDescent="0.25">
      <c r="K772" s="164">
        <f t="shared" si="13"/>
        <v>0</v>
      </c>
    </row>
    <row r="773" spans="11:11" x14ac:dyDescent="0.25">
      <c r="K773" s="164">
        <f t="shared" si="13"/>
        <v>0</v>
      </c>
    </row>
    <row r="774" spans="11:11" x14ac:dyDescent="0.25">
      <c r="K774" s="164">
        <f t="shared" si="13"/>
        <v>0</v>
      </c>
    </row>
    <row r="775" spans="11:11" x14ac:dyDescent="0.25">
      <c r="K775" s="164">
        <f t="shared" si="13"/>
        <v>0</v>
      </c>
    </row>
    <row r="776" spans="11:11" x14ac:dyDescent="0.25">
      <c r="K776" s="164">
        <f t="shared" si="13"/>
        <v>0</v>
      </c>
    </row>
    <row r="777" spans="11:11" x14ac:dyDescent="0.25">
      <c r="K777" s="164">
        <f t="shared" si="13"/>
        <v>0</v>
      </c>
    </row>
    <row r="778" spans="11:11" x14ac:dyDescent="0.25">
      <c r="K778" s="164">
        <f t="shared" si="13"/>
        <v>0</v>
      </c>
    </row>
    <row r="779" spans="11:11" x14ac:dyDescent="0.25">
      <c r="K779" s="164">
        <f t="shared" si="13"/>
        <v>0</v>
      </c>
    </row>
    <row r="780" spans="11:11" x14ac:dyDescent="0.25">
      <c r="K780" s="164">
        <f t="shared" si="13"/>
        <v>0</v>
      </c>
    </row>
    <row r="781" spans="11:11" x14ac:dyDescent="0.25">
      <c r="K781" s="164">
        <f t="shared" si="13"/>
        <v>0</v>
      </c>
    </row>
    <row r="782" spans="11:11" x14ac:dyDescent="0.25">
      <c r="K782" s="164">
        <f t="shared" si="13"/>
        <v>0</v>
      </c>
    </row>
    <row r="783" spans="11:11" x14ac:dyDescent="0.25">
      <c r="K783" s="164">
        <f t="shared" si="13"/>
        <v>0</v>
      </c>
    </row>
    <row r="784" spans="11:11" x14ac:dyDescent="0.25">
      <c r="K784" s="164">
        <f t="shared" si="13"/>
        <v>0</v>
      </c>
    </row>
    <row r="785" spans="11:11" x14ac:dyDescent="0.25">
      <c r="K785" s="164">
        <f t="shared" si="13"/>
        <v>0</v>
      </c>
    </row>
    <row r="786" spans="11:11" x14ac:dyDescent="0.25">
      <c r="K786" s="164">
        <f t="shared" si="13"/>
        <v>0</v>
      </c>
    </row>
    <row r="787" spans="11:11" x14ac:dyDescent="0.25">
      <c r="K787" s="164">
        <f t="shared" si="13"/>
        <v>0</v>
      </c>
    </row>
    <row r="788" spans="11:11" x14ac:dyDescent="0.25">
      <c r="K788" s="164">
        <f t="shared" si="13"/>
        <v>0</v>
      </c>
    </row>
    <row r="789" spans="11:11" x14ac:dyDescent="0.25">
      <c r="K789" s="164">
        <f t="shared" si="13"/>
        <v>0</v>
      </c>
    </row>
    <row r="790" spans="11:11" x14ac:dyDescent="0.25">
      <c r="K790" s="164">
        <f t="shared" si="13"/>
        <v>0</v>
      </c>
    </row>
    <row r="791" spans="11:11" x14ac:dyDescent="0.25">
      <c r="K791" s="164">
        <f t="shared" si="13"/>
        <v>0</v>
      </c>
    </row>
    <row r="792" spans="11:11" x14ac:dyDescent="0.25">
      <c r="K792" s="164">
        <f t="shared" si="13"/>
        <v>0</v>
      </c>
    </row>
    <row r="793" spans="11:11" x14ac:dyDescent="0.25">
      <c r="K793" s="164">
        <f t="shared" si="13"/>
        <v>0</v>
      </c>
    </row>
    <row r="794" spans="11:11" x14ac:dyDescent="0.25">
      <c r="K794" s="164">
        <f t="shared" si="13"/>
        <v>0</v>
      </c>
    </row>
    <row r="795" spans="11:11" x14ac:dyDescent="0.25">
      <c r="K795" s="164">
        <f t="shared" si="13"/>
        <v>0</v>
      </c>
    </row>
    <row r="796" spans="11:11" x14ac:dyDescent="0.25">
      <c r="K796" s="164">
        <f t="shared" ref="K796:K859" si="14">IF(OR(E796="", F796=""), 0, IF(E796=F796, 0, 1))</f>
        <v>0</v>
      </c>
    </row>
    <row r="797" spans="11:11" x14ac:dyDescent="0.25">
      <c r="K797" s="164">
        <f t="shared" si="14"/>
        <v>0</v>
      </c>
    </row>
    <row r="798" spans="11:11" x14ac:dyDescent="0.25">
      <c r="K798" s="164">
        <f t="shared" si="14"/>
        <v>0</v>
      </c>
    </row>
    <row r="799" spans="11:11" x14ac:dyDescent="0.25">
      <c r="K799" s="164">
        <f t="shared" si="14"/>
        <v>0</v>
      </c>
    </row>
    <row r="800" spans="11:11" x14ac:dyDescent="0.25">
      <c r="K800" s="164">
        <f t="shared" si="14"/>
        <v>0</v>
      </c>
    </row>
    <row r="801" spans="11:11" x14ac:dyDescent="0.25">
      <c r="K801" s="164">
        <f t="shared" si="14"/>
        <v>0</v>
      </c>
    </row>
    <row r="802" spans="11:11" x14ac:dyDescent="0.25">
      <c r="K802" s="164">
        <f t="shared" si="14"/>
        <v>0</v>
      </c>
    </row>
    <row r="803" spans="11:11" x14ac:dyDescent="0.25">
      <c r="K803" s="164">
        <f t="shared" si="14"/>
        <v>0</v>
      </c>
    </row>
    <row r="804" spans="11:11" x14ac:dyDescent="0.25">
      <c r="K804" s="164">
        <f t="shared" si="14"/>
        <v>0</v>
      </c>
    </row>
    <row r="805" spans="11:11" x14ac:dyDescent="0.25">
      <c r="K805" s="164">
        <f t="shared" si="14"/>
        <v>0</v>
      </c>
    </row>
    <row r="806" spans="11:11" x14ac:dyDescent="0.25">
      <c r="K806" s="164">
        <f t="shared" si="14"/>
        <v>0</v>
      </c>
    </row>
    <row r="807" spans="11:11" x14ac:dyDescent="0.25">
      <c r="K807" s="164">
        <f t="shared" si="14"/>
        <v>0</v>
      </c>
    </row>
    <row r="808" spans="11:11" x14ac:dyDescent="0.25">
      <c r="K808" s="164">
        <f t="shared" si="14"/>
        <v>0</v>
      </c>
    </row>
    <row r="809" spans="11:11" x14ac:dyDescent="0.25">
      <c r="K809" s="164">
        <f t="shared" si="14"/>
        <v>0</v>
      </c>
    </row>
    <row r="810" spans="11:11" x14ac:dyDescent="0.25">
      <c r="K810" s="164">
        <f t="shared" si="14"/>
        <v>0</v>
      </c>
    </row>
    <row r="811" spans="11:11" x14ac:dyDescent="0.25">
      <c r="K811" s="164">
        <f t="shared" si="14"/>
        <v>0</v>
      </c>
    </row>
    <row r="812" spans="11:11" x14ac:dyDescent="0.25">
      <c r="K812" s="164">
        <f t="shared" si="14"/>
        <v>0</v>
      </c>
    </row>
    <row r="813" spans="11:11" x14ac:dyDescent="0.25">
      <c r="K813" s="164">
        <f t="shared" si="14"/>
        <v>0</v>
      </c>
    </row>
    <row r="814" spans="11:11" x14ac:dyDescent="0.25">
      <c r="K814" s="164">
        <f t="shared" si="14"/>
        <v>0</v>
      </c>
    </row>
    <row r="815" spans="11:11" x14ac:dyDescent="0.25">
      <c r="K815" s="164">
        <f t="shared" si="14"/>
        <v>0</v>
      </c>
    </row>
    <row r="816" spans="11:11" x14ac:dyDescent="0.25">
      <c r="K816" s="164">
        <f t="shared" si="14"/>
        <v>0</v>
      </c>
    </row>
    <row r="817" spans="11:11" x14ac:dyDescent="0.25">
      <c r="K817" s="164">
        <f t="shared" si="14"/>
        <v>0</v>
      </c>
    </row>
    <row r="818" spans="11:11" x14ac:dyDescent="0.25">
      <c r="K818" s="164">
        <f t="shared" si="14"/>
        <v>0</v>
      </c>
    </row>
    <row r="819" spans="11:11" x14ac:dyDescent="0.25">
      <c r="K819" s="164">
        <f t="shared" si="14"/>
        <v>0</v>
      </c>
    </row>
    <row r="820" spans="11:11" x14ac:dyDescent="0.25">
      <c r="K820" s="164">
        <f t="shared" si="14"/>
        <v>0</v>
      </c>
    </row>
    <row r="821" spans="11:11" x14ac:dyDescent="0.25">
      <c r="K821" s="164">
        <f t="shared" si="14"/>
        <v>0</v>
      </c>
    </row>
    <row r="822" spans="11:11" x14ac:dyDescent="0.25">
      <c r="K822" s="164">
        <f t="shared" si="14"/>
        <v>0</v>
      </c>
    </row>
    <row r="823" spans="11:11" x14ac:dyDescent="0.25">
      <c r="K823" s="164">
        <f t="shared" si="14"/>
        <v>0</v>
      </c>
    </row>
    <row r="824" spans="11:11" x14ac:dyDescent="0.25">
      <c r="K824" s="164">
        <f t="shared" si="14"/>
        <v>0</v>
      </c>
    </row>
    <row r="825" spans="11:11" x14ac:dyDescent="0.25">
      <c r="K825" s="164">
        <f t="shared" si="14"/>
        <v>0</v>
      </c>
    </row>
    <row r="826" spans="11:11" x14ac:dyDescent="0.25">
      <c r="K826" s="164">
        <f t="shared" si="14"/>
        <v>0</v>
      </c>
    </row>
    <row r="827" spans="11:11" x14ac:dyDescent="0.25">
      <c r="K827" s="164">
        <f t="shared" si="14"/>
        <v>0</v>
      </c>
    </row>
    <row r="828" spans="11:11" x14ac:dyDescent="0.25">
      <c r="K828" s="164">
        <f t="shared" si="14"/>
        <v>0</v>
      </c>
    </row>
    <row r="829" spans="11:11" x14ac:dyDescent="0.25">
      <c r="K829" s="164">
        <f t="shared" si="14"/>
        <v>0</v>
      </c>
    </row>
    <row r="830" spans="11:11" x14ac:dyDescent="0.25">
      <c r="K830" s="164">
        <f t="shared" si="14"/>
        <v>0</v>
      </c>
    </row>
    <row r="831" spans="11:11" x14ac:dyDescent="0.25">
      <c r="K831" s="164">
        <f t="shared" si="14"/>
        <v>0</v>
      </c>
    </row>
    <row r="832" spans="11:11" x14ac:dyDescent="0.25">
      <c r="K832" s="164">
        <f t="shared" si="14"/>
        <v>0</v>
      </c>
    </row>
    <row r="833" spans="11:11" x14ac:dyDescent="0.25">
      <c r="K833" s="164">
        <f t="shared" si="14"/>
        <v>0</v>
      </c>
    </row>
    <row r="834" spans="11:11" x14ac:dyDescent="0.25">
      <c r="K834" s="164">
        <f t="shared" si="14"/>
        <v>0</v>
      </c>
    </row>
    <row r="835" spans="11:11" x14ac:dyDescent="0.25">
      <c r="K835" s="164">
        <f t="shared" si="14"/>
        <v>0</v>
      </c>
    </row>
    <row r="836" spans="11:11" x14ac:dyDescent="0.25">
      <c r="K836" s="164">
        <f t="shared" si="14"/>
        <v>0</v>
      </c>
    </row>
    <row r="837" spans="11:11" x14ac:dyDescent="0.25">
      <c r="K837" s="164">
        <f t="shared" si="14"/>
        <v>0</v>
      </c>
    </row>
    <row r="838" spans="11:11" x14ac:dyDescent="0.25">
      <c r="K838" s="164">
        <f t="shared" si="14"/>
        <v>0</v>
      </c>
    </row>
    <row r="839" spans="11:11" x14ac:dyDescent="0.25">
      <c r="K839" s="164">
        <f t="shared" si="14"/>
        <v>0</v>
      </c>
    </row>
    <row r="840" spans="11:11" x14ac:dyDescent="0.25">
      <c r="K840" s="164">
        <f t="shared" si="14"/>
        <v>0</v>
      </c>
    </row>
    <row r="841" spans="11:11" x14ac:dyDescent="0.25">
      <c r="K841" s="164">
        <f t="shared" si="14"/>
        <v>0</v>
      </c>
    </row>
    <row r="842" spans="11:11" x14ac:dyDescent="0.25">
      <c r="K842" s="164">
        <f t="shared" si="14"/>
        <v>0</v>
      </c>
    </row>
    <row r="843" spans="11:11" x14ac:dyDescent="0.25">
      <c r="K843" s="164">
        <f t="shared" si="14"/>
        <v>0</v>
      </c>
    </row>
    <row r="844" spans="11:11" x14ac:dyDescent="0.25">
      <c r="K844" s="164">
        <f t="shared" si="14"/>
        <v>0</v>
      </c>
    </row>
    <row r="845" spans="11:11" x14ac:dyDescent="0.25">
      <c r="K845" s="164">
        <f t="shared" si="14"/>
        <v>0</v>
      </c>
    </row>
    <row r="846" spans="11:11" x14ac:dyDescent="0.25">
      <c r="K846" s="164">
        <f t="shared" si="14"/>
        <v>0</v>
      </c>
    </row>
    <row r="847" spans="11:11" x14ac:dyDescent="0.25">
      <c r="K847" s="164">
        <f t="shared" si="14"/>
        <v>0</v>
      </c>
    </row>
    <row r="848" spans="11:11" x14ac:dyDescent="0.25">
      <c r="K848" s="164">
        <f t="shared" si="14"/>
        <v>0</v>
      </c>
    </row>
    <row r="849" spans="11:11" x14ac:dyDescent="0.25">
      <c r="K849" s="164">
        <f t="shared" si="14"/>
        <v>0</v>
      </c>
    </row>
    <row r="850" spans="11:11" x14ac:dyDescent="0.25">
      <c r="K850" s="164">
        <f t="shared" si="14"/>
        <v>0</v>
      </c>
    </row>
    <row r="851" spans="11:11" x14ac:dyDescent="0.25">
      <c r="K851" s="164">
        <f t="shared" si="14"/>
        <v>0</v>
      </c>
    </row>
    <row r="852" spans="11:11" x14ac:dyDescent="0.25">
      <c r="K852" s="164">
        <f t="shared" si="14"/>
        <v>0</v>
      </c>
    </row>
    <row r="853" spans="11:11" x14ac:dyDescent="0.25">
      <c r="K853" s="164">
        <f t="shared" si="14"/>
        <v>0</v>
      </c>
    </row>
    <row r="854" spans="11:11" x14ac:dyDescent="0.25">
      <c r="K854" s="164">
        <f t="shared" si="14"/>
        <v>0</v>
      </c>
    </row>
    <row r="855" spans="11:11" x14ac:dyDescent="0.25">
      <c r="K855" s="164">
        <f t="shared" si="14"/>
        <v>0</v>
      </c>
    </row>
    <row r="856" spans="11:11" x14ac:dyDescent="0.25">
      <c r="K856" s="164">
        <f t="shared" si="14"/>
        <v>0</v>
      </c>
    </row>
    <row r="857" spans="11:11" x14ac:dyDescent="0.25">
      <c r="K857" s="164">
        <f t="shared" si="14"/>
        <v>0</v>
      </c>
    </row>
    <row r="858" spans="11:11" x14ac:dyDescent="0.25">
      <c r="K858" s="164">
        <f t="shared" si="14"/>
        <v>0</v>
      </c>
    </row>
    <row r="859" spans="11:11" x14ac:dyDescent="0.25">
      <c r="K859" s="164">
        <f t="shared" si="14"/>
        <v>0</v>
      </c>
    </row>
    <row r="860" spans="11:11" x14ac:dyDescent="0.25">
      <c r="K860" s="164">
        <f t="shared" ref="K860:K923" si="15">IF(OR(E860="", F860=""), 0, IF(E860=F860, 0, 1))</f>
        <v>0</v>
      </c>
    </row>
    <row r="861" spans="11:11" x14ac:dyDescent="0.25">
      <c r="K861" s="164">
        <f t="shared" si="15"/>
        <v>0</v>
      </c>
    </row>
    <row r="862" spans="11:11" x14ac:dyDescent="0.25">
      <c r="K862" s="164">
        <f t="shared" si="15"/>
        <v>0</v>
      </c>
    </row>
    <row r="863" spans="11:11" x14ac:dyDescent="0.25">
      <c r="K863" s="164">
        <f t="shared" si="15"/>
        <v>0</v>
      </c>
    </row>
    <row r="864" spans="11:11" x14ac:dyDescent="0.25">
      <c r="K864" s="164">
        <f t="shared" si="15"/>
        <v>0</v>
      </c>
    </row>
    <row r="865" spans="11:11" x14ac:dyDescent="0.25">
      <c r="K865" s="164">
        <f t="shared" si="15"/>
        <v>0</v>
      </c>
    </row>
    <row r="866" spans="11:11" x14ac:dyDescent="0.25">
      <c r="K866" s="164">
        <f t="shared" si="15"/>
        <v>0</v>
      </c>
    </row>
    <row r="867" spans="11:11" x14ac:dyDescent="0.25">
      <c r="K867" s="164">
        <f t="shared" si="15"/>
        <v>0</v>
      </c>
    </row>
    <row r="868" spans="11:11" x14ac:dyDescent="0.25">
      <c r="K868" s="164">
        <f t="shared" si="15"/>
        <v>0</v>
      </c>
    </row>
    <row r="869" spans="11:11" x14ac:dyDescent="0.25">
      <c r="K869" s="164">
        <f t="shared" si="15"/>
        <v>0</v>
      </c>
    </row>
    <row r="870" spans="11:11" x14ac:dyDescent="0.25">
      <c r="K870" s="164">
        <f t="shared" si="15"/>
        <v>0</v>
      </c>
    </row>
    <row r="871" spans="11:11" x14ac:dyDescent="0.25">
      <c r="K871" s="164">
        <f t="shared" si="15"/>
        <v>0</v>
      </c>
    </row>
    <row r="872" spans="11:11" x14ac:dyDescent="0.25">
      <c r="K872" s="164">
        <f t="shared" si="15"/>
        <v>0</v>
      </c>
    </row>
    <row r="873" spans="11:11" x14ac:dyDescent="0.25">
      <c r="K873" s="164">
        <f t="shared" si="15"/>
        <v>0</v>
      </c>
    </row>
    <row r="874" spans="11:11" x14ac:dyDescent="0.25">
      <c r="K874" s="164">
        <f t="shared" si="15"/>
        <v>0</v>
      </c>
    </row>
    <row r="875" spans="11:11" x14ac:dyDescent="0.25">
      <c r="K875" s="164">
        <f t="shared" si="15"/>
        <v>0</v>
      </c>
    </row>
    <row r="876" spans="11:11" x14ac:dyDescent="0.25">
      <c r="K876" s="164">
        <f t="shared" si="15"/>
        <v>0</v>
      </c>
    </row>
    <row r="877" spans="11:11" x14ac:dyDescent="0.25">
      <c r="K877" s="164">
        <f t="shared" si="15"/>
        <v>0</v>
      </c>
    </row>
    <row r="878" spans="11:11" x14ac:dyDescent="0.25">
      <c r="K878" s="164">
        <f t="shared" si="15"/>
        <v>0</v>
      </c>
    </row>
    <row r="879" spans="11:11" x14ac:dyDescent="0.25">
      <c r="K879" s="164">
        <f t="shared" si="15"/>
        <v>0</v>
      </c>
    </row>
    <row r="880" spans="11:11" x14ac:dyDescent="0.25">
      <c r="K880" s="164">
        <f t="shared" si="15"/>
        <v>0</v>
      </c>
    </row>
    <row r="881" spans="11:11" x14ac:dyDescent="0.25">
      <c r="K881" s="164">
        <f t="shared" si="15"/>
        <v>0</v>
      </c>
    </row>
    <row r="882" spans="11:11" x14ac:dyDescent="0.25">
      <c r="K882" s="164">
        <f t="shared" si="15"/>
        <v>0</v>
      </c>
    </row>
    <row r="883" spans="11:11" x14ac:dyDescent="0.25">
      <c r="K883" s="164">
        <f t="shared" si="15"/>
        <v>0</v>
      </c>
    </row>
    <row r="884" spans="11:11" x14ac:dyDescent="0.25">
      <c r="K884" s="164">
        <f t="shared" si="15"/>
        <v>0</v>
      </c>
    </row>
    <row r="885" spans="11:11" x14ac:dyDescent="0.25">
      <c r="K885" s="164">
        <f t="shared" si="15"/>
        <v>0</v>
      </c>
    </row>
    <row r="886" spans="11:11" x14ac:dyDescent="0.25">
      <c r="K886" s="164">
        <f t="shared" si="15"/>
        <v>0</v>
      </c>
    </row>
    <row r="887" spans="11:11" x14ac:dyDescent="0.25">
      <c r="K887" s="164">
        <f t="shared" si="15"/>
        <v>0</v>
      </c>
    </row>
    <row r="888" spans="11:11" x14ac:dyDescent="0.25">
      <c r="K888" s="164">
        <f t="shared" si="15"/>
        <v>0</v>
      </c>
    </row>
    <row r="889" spans="11:11" x14ac:dyDescent="0.25">
      <c r="K889" s="164">
        <f t="shared" si="15"/>
        <v>0</v>
      </c>
    </row>
    <row r="890" spans="11:11" x14ac:dyDescent="0.25">
      <c r="K890" s="164">
        <f t="shared" si="15"/>
        <v>0</v>
      </c>
    </row>
    <row r="891" spans="11:11" x14ac:dyDescent="0.25">
      <c r="K891" s="164">
        <f t="shared" si="15"/>
        <v>0</v>
      </c>
    </row>
    <row r="892" spans="11:11" x14ac:dyDescent="0.25">
      <c r="K892" s="164">
        <f t="shared" si="15"/>
        <v>0</v>
      </c>
    </row>
    <row r="893" spans="11:11" x14ac:dyDescent="0.25">
      <c r="K893" s="164">
        <f t="shared" si="15"/>
        <v>0</v>
      </c>
    </row>
    <row r="894" spans="11:11" x14ac:dyDescent="0.25">
      <c r="K894" s="164">
        <f t="shared" si="15"/>
        <v>0</v>
      </c>
    </row>
    <row r="895" spans="11:11" x14ac:dyDescent="0.25">
      <c r="K895" s="164">
        <f t="shared" si="15"/>
        <v>0</v>
      </c>
    </row>
    <row r="896" spans="11:11" x14ac:dyDescent="0.25">
      <c r="K896" s="164">
        <f t="shared" si="15"/>
        <v>0</v>
      </c>
    </row>
    <row r="897" spans="11:11" x14ac:dyDescent="0.25">
      <c r="K897" s="164">
        <f t="shared" si="15"/>
        <v>0</v>
      </c>
    </row>
    <row r="898" spans="11:11" x14ac:dyDescent="0.25">
      <c r="K898" s="164">
        <f t="shared" si="15"/>
        <v>0</v>
      </c>
    </row>
    <row r="899" spans="11:11" x14ac:dyDescent="0.25">
      <c r="K899" s="164">
        <f t="shared" si="15"/>
        <v>0</v>
      </c>
    </row>
    <row r="900" spans="11:11" x14ac:dyDescent="0.25">
      <c r="K900" s="164">
        <f t="shared" si="15"/>
        <v>0</v>
      </c>
    </row>
    <row r="901" spans="11:11" x14ac:dyDescent="0.25">
      <c r="K901" s="164">
        <f t="shared" si="15"/>
        <v>0</v>
      </c>
    </row>
    <row r="902" spans="11:11" x14ac:dyDescent="0.25">
      <c r="K902" s="164">
        <f t="shared" si="15"/>
        <v>0</v>
      </c>
    </row>
    <row r="903" spans="11:11" x14ac:dyDescent="0.25">
      <c r="K903" s="164">
        <f t="shared" si="15"/>
        <v>0</v>
      </c>
    </row>
    <row r="904" spans="11:11" x14ac:dyDescent="0.25">
      <c r="K904" s="164">
        <f t="shared" si="15"/>
        <v>0</v>
      </c>
    </row>
    <row r="905" spans="11:11" x14ac:dyDescent="0.25">
      <c r="K905" s="164">
        <f t="shared" si="15"/>
        <v>0</v>
      </c>
    </row>
    <row r="906" spans="11:11" x14ac:dyDescent="0.25">
      <c r="K906" s="164">
        <f t="shared" si="15"/>
        <v>0</v>
      </c>
    </row>
    <row r="907" spans="11:11" x14ac:dyDescent="0.25">
      <c r="K907" s="164">
        <f t="shared" si="15"/>
        <v>0</v>
      </c>
    </row>
    <row r="908" spans="11:11" x14ac:dyDescent="0.25">
      <c r="K908" s="164">
        <f t="shared" si="15"/>
        <v>0</v>
      </c>
    </row>
    <row r="909" spans="11:11" x14ac:dyDescent="0.25">
      <c r="K909" s="164">
        <f t="shared" si="15"/>
        <v>0</v>
      </c>
    </row>
    <row r="910" spans="11:11" x14ac:dyDescent="0.25">
      <c r="K910" s="164">
        <f t="shared" si="15"/>
        <v>0</v>
      </c>
    </row>
    <row r="911" spans="11:11" x14ac:dyDescent="0.25">
      <c r="K911" s="164">
        <f t="shared" si="15"/>
        <v>0</v>
      </c>
    </row>
    <row r="912" spans="11:11" x14ac:dyDescent="0.25">
      <c r="K912" s="164">
        <f t="shared" si="15"/>
        <v>0</v>
      </c>
    </row>
    <row r="913" spans="11:11" x14ac:dyDescent="0.25">
      <c r="K913" s="164">
        <f t="shared" si="15"/>
        <v>0</v>
      </c>
    </row>
    <row r="914" spans="11:11" x14ac:dyDescent="0.25">
      <c r="K914" s="164">
        <f t="shared" si="15"/>
        <v>0</v>
      </c>
    </row>
    <row r="915" spans="11:11" x14ac:dyDescent="0.25">
      <c r="K915" s="164">
        <f t="shared" si="15"/>
        <v>0</v>
      </c>
    </row>
    <row r="916" spans="11:11" x14ac:dyDescent="0.25">
      <c r="K916" s="164">
        <f t="shared" si="15"/>
        <v>0</v>
      </c>
    </row>
    <row r="917" spans="11:11" x14ac:dyDescent="0.25">
      <c r="K917" s="164">
        <f t="shared" si="15"/>
        <v>0</v>
      </c>
    </row>
    <row r="918" spans="11:11" x14ac:dyDescent="0.25">
      <c r="K918" s="164">
        <f t="shared" si="15"/>
        <v>0</v>
      </c>
    </row>
    <row r="919" spans="11:11" x14ac:dyDescent="0.25">
      <c r="K919" s="164">
        <f t="shared" si="15"/>
        <v>0</v>
      </c>
    </row>
    <row r="920" spans="11:11" x14ac:dyDescent="0.25">
      <c r="K920" s="164">
        <f t="shared" si="15"/>
        <v>0</v>
      </c>
    </row>
    <row r="921" spans="11:11" x14ac:dyDescent="0.25">
      <c r="K921" s="164">
        <f t="shared" si="15"/>
        <v>0</v>
      </c>
    </row>
    <row r="922" spans="11:11" x14ac:dyDescent="0.25">
      <c r="K922" s="164">
        <f t="shared" si="15"/>
        <v>0</v>
      </c>
    </row>
    <row r="923" spans="11:11" x14ac:dyDescent="0.25">
      <c r="K923" s="164">
        <f t="shared" si="15"/>
        <v>0</v>
      </c>
    </row>
    <row r="924" spans="11:11" x14ac:dyDescent="0.25">
      <c r="K924" s="164">
        <f t="shared" ref="K924:K987" si="16">IF(OR(E924="", F924=""), 0, IF(E924=F924, 0, 1))</f>
        <v>0</v>
      </c>
    </row>
    <row r="925" spans="11:11" x14ac:dyDescent="0.25">
      <c r="K925" s="164">
        <f t="shared" si="16"/>
        <v>0</v>
      </c>
    </row>
    <row r="926" spans="11:11" x14ac:dyDescent="0.25">
      <c r="K926" s="164">
        <f t="shared" si="16"/>
        <v>0</v>
      </c>
    </row>
    <row r="927" spans="11:11" x14ac:dyDescent="0.25">
      <c r="K927" s="164">
        <f t="shared" si="16"/>
        <v>0</v>
      </c>
    </row>
    <row r="928" spans="11:11" x14ac:dyDescent="0.25">
      <c r="K928" s="164">
        <f t="shared" si="16"/>
        <v>0</v>
      </c>
    </row>
    <row r="929" spans="11:11" x14ac:dyDescent="0.25">
      <c r="K929" s="164">
        <f t="shared" si="16"/>
        <v>0</v>
      </c>
    </row>
    <row r="930" spans="11:11" x14ac:dyDescent="0.25">
      <c r="K930" s="164">
        <f t="shared" si="16"/>
        <v>0</v>
      </c>
    </row>
    <row r="931" spans="11:11" x14ac:dyDescent="0.25">
      <c r="K931" s="164">
        <f t="shared" si="16"/>
        <v>0</v>
      </c>
    </row>
    <row r="932" spans="11:11" x14ac:dyDescent="0.25">
      <c r="K932" s="164">
        <f t="shared" si="16"/>
        <v>0</v>
      </c>
    </row>
    <row r="933" spans="11:11" x14ac:dyDescent="0.25">
      <c r="K933" s="164">
        <f t="shared" si="16"/>
        <v>0</v>
      </c>
    </row>
    <row r="934" spans="11:11" x14ac:dyDescent="0.25">
      <c r="K934" s="164">
        <f t="shared" si="16"/>
        <v>0</v>
      </c>
    </row>
    <row r="935" spans="11:11" x14ac:dyDescent="0.25">
      <c r="K935" s="164">
        <f t="shared" si="16"/>
        <v>0</v>
      </c>
    </row>
    <row r="936" spans="11:11" x14ac:dyDescent="0.25">
      <c r="K936" s="164">
        <f t="shared" si="16"/>
        <v>0</v>
      </c>
    </row>
    <row r="937" spans="11:11" x14ac:dyDescent="0.25">
      <c r="K937" s="164">
        <f t="shared" si="16"/>
        <v>0</v>
      </c>
    </row>
    <row r="938" spans="11:11" x14ac:dyDescent="0.25">
      <c r="K938" s="164">
        <f t="shared" si="16"/>
        <v>0</v>
      </c>
    </row>
    <row r="939" spans="11:11" x14ac:dyDescent="0.25">
      <c r="K939" s="164">
        <f t="shared" si="16"/>
        <v>0</v>
      </c>
    </row>
    <row r="940" spans="11:11" x14ac:dyDescent="0.25">
      <c r="K940" s="164">
        <f t="shared" si="16"/>
        <v>0</v>
      </c>
    </row>
    <row r="941" spans="11:11" x14ac:dyDescent="0.25">
      <c r="K941" s="164">
        <f t="shared" si="16"/>
        <v>0</v>
      </c>
    </row>
    <row r="942" spans="11:11" x14ac:dyDescent="0.25">
      <c r="K942" s="164">
        <f t="shared" si="16"/>
        <v>0</v>
      </c>
    </row>
    <row r="943" spans="11:11" x14ac:dyDescent="0.25">
      <c r="K943" s="164">
        <f t="shared" si="16"/>
        <v>0</v>
      </c>
    </row>
    <row r="944" spans="11:11" x14ac:dyDescent="0.25">
      <c r="K944" s="164">
        <f t="shared" si="16"/>
        <v>0</v>
      </c>
    </row>
    <row r="945" spans="11:11" x14ac:dyDescent="0.25">
      <c r="K945" s="164">
        <f t="shared" si="16"/>
        <v>0</v>
      </c>
    </row>
    <row r="946" spans="11:11" x14ac:dyDescent="0.25">
      <c r="K946" s="164">
        <f t="shared" si="16"/>
        <v>0</v>
      </c>
    </row>
    <row r="947" spans="11:11" x14ac:dyDescent="0.25">
      <c r="K947" s="164">
        <f t="shared" si="16"/>
        <v>0</v>
      </c>
    </row>
    <row r="948" spans="11:11" x14ac:dyDescent="0.25">
      <c r="K948" s="164">
        <f t="shared" si="16"/>
        <v>0</v>
      </c>
    </row>
    <row r="949" spans="11:11" x14ac:dyDescent="0.25">
      <c r="K949" s="164">
        <f t="shared" si="16"/>
        <v>0</v>
      </c>
    </row>
    <row r="950" spans="11:11" x14ac:dyDescent="0.25">
      <c r="K950" s="164">
        <f t="shared" si="16"/>
        <v>0</v>
      </c>
    </row>
    <row r="951" spans="11:11" x14ac:dyDescent="0.25">
      <c r="K951" s="164">
        <f t="shared" si="16"/>
        <v>0</v>
      </c>
    </row>
    <row r="952" spans="11:11" x14ac:dyDescent="0.25">
      <c r="K952" s="164">
        <f t="shared" si="16"/>
        <v>0</v>
      </c>
    </row>
    <row r="953" spans="11:11" x14ac:dyDescent="0.25">
      <c r="K953" s="164">
        <f t="shared" si="16"/>
        <v>0</v>
      </c>
    </row>
    <row r="954" spans="11:11" x14ac:dyDescent="0.25">
      <c r="K954" s="164">
        <f t="shared" si="16"/>
        <v>0</v>
      </c>
    </row>
    <row r="955" spans="11:11" x14ac:dyDescent="0.25">
      <c r="K955" s="164">
        <f t="shared" si="16"/>
        <v>0</v>
      </c>
    </row>
    <row r="956" spans="11:11" x14ac:dyDescent="0.25">
      <c r="K956" s="164">
        <f t="shared" si="16"/>
        <v>0</v>
      </c>
    </row>
    <row r="957" spans="11:11" x14ac:dyDescent="0.25">
      <c r="K957" s="164">
        <f t="shared" si="16"/>
        <v>0</v>
      </c>
    </row>
    <row r="958" spans="11:11" x14ac:dyDescent="0.25">
      <c r="K958" s="164">
        <f t="shared" si="16"/>
        <v>0</v>
      </c>
    </row>
    <row r="959" spans="11:11" x14ac:dyDescent="0.25">
      <c r="K959" s="164">
        <f t="shared" si="16"/>
        <v>0</v>
      </c>
    </row>
    <row r="960" spans="11:11" x14ac:dyDescent="0.25">
      <c r="K960" s="164">
        <f t="shared" si="16"/>
        <v>0</v>
      </c>
    </row>
    <row r="961" spans="11:11" x14ac:dyDescent="0.25">
      <c r="K961" s="164">
        <f t="shared" si="16"/>
        <v>0</v>
      </c>
    </row>
    <row r="962" spans="11:11" x14ac:dyDescent="0.25">
      <c r="K962" s="164">
        <f t="shared" si="16"/>
        <v>0</v>
      </c>
    </row>
    <row r="963" spans="11:11" x14ac:dyDescent="0.25">
      <c r="K963" s="164">
        <f t="shared" si="16"/>
        <v>0</v>
      </c>
    </row>
    <row r="964" spans="11:11" x14ac:dyDescent="0.25">
      <c r="K964" s="164">
        <f t="shared" si="16"/>
        <v>0</v>
      </c>
    </row>
    <row r="965" spans="11:11" x14ac:dyDescent="0.25">
      <c r="K965" s="164">
        <f t="shared" si="16"/>
        <v>0</v>
      </c>
    </row>
    <row r="966" spans="11:11" x14ac:dyDescent="0.25">
      <c r="K966" s="164">
        <f t="shared" si="16"/>
        <v>0</v>
      </c>
    </row>
    <row r="967" spans="11:11" x14ac:dyDescent="0.25">
      <c r="K967" s="164">
        <f t="shared" si="16"/>
        <v>0</v>
      </c>
    </row>
    <row r="968" spans="11:11" x14ac:dyDescent="0.25">
      <c r="K968" s="164">
        <f t="shared" si="16"/>
        <v>0</v>
      </c>
    </row>
    <row r="969" spans="11:11" x14ac:dyDescent="0.25">
      <c r="K969" s="164">
        <f t="shared" si="16"/>
        <v>0</v>
      </c>
    </row>
    <row r="970" spans="11:11" x14ac:dyDescent="0.25">
      <c r="K970" s="164">
        <f t="shared" si="16"/>
        <v>0</v>
      </c>
    </row>
    <row r="971" spans="11:11" x14ac:dyDescent="0.25">
      <c r="K971" s="164">
        <f t="shared" si="16"/>
        <v>0</v>
      </c>
    </row>
    <row r="972" spans="11:11" x14ac:dyDescent="0.25">
      <c r="K972" s="164">
        <f t="shared" si="16"/>
        <v>0</v>
      </c>
    </row>
    <row r="973" spans="11:11" x14ac:dyDescent="0.25">
      <c r="K973" s="164">
        <f t="shared" si="16"/>
        <v>0</v>
      </c>
    </row>
    <row r="974" spans="11:11" x14ac:dyDescent="0.25">
      <c r="K974" s="164">
        <f t="shared" si="16"/>
        <v>0</v>
      </c>
    </row>
    <row r="975" spans="11:11" x14ac:dyDescent="0.25">
      <c r="K975" s="164">
        <f t="shared" si="16"/>
        <v>0</v>
      </c>
    </row>
    <row r="976" spans="11:11" x14ac:dyDescent="0.25">
      <c r="K976" s="164">
        <f t="shared" si="16"/>
        <v>0</v>
      </c>
    </row>
    <row r="977" spans="11:11" x14ac:dyDescent="0.25">
      <c r="K977" s="164">
        <f t="shared" si="16"/>
        <v>0</v>
      </c>
    </row>
    <row r="978" spans="11:11" x14ac:dyDescent="0.25">
      <c r="K978" s="164">
        <f t="shared" si="16"/>
        <v>0</v>
      </c>
    </row>
    <row r="979" spans="11:11" x14ac:dyDescent="0.25">
      <c r="K979" s="164">
        <f t="shared" si="16"/>
        <v>0</v>
      </c>
    </row>
    <row r="980" spans="11:11" x14ac:dyDescent="0.25">
      <c r="K980" s="164">
        <f t="shared" si="16"/>
        <v>0</v>
      </c>
    </row>
    <row r="981" spans="11:11" x14ac:dyDescent="0.25">
      <c r="K981" s="164">
        <f t="shared" si="16"/>
        <v>0</v>
      </c>
    </row>
    <row r="982" spans="11:11" x14ac:dyDescent="0.25">
      <c r="K982" s="164">
        <f t="shared" si="16"/>
        <v>0</v>
      </c>
    </row>
    <row r="983" spans="11:11" x14ac:dyDescent="0.25">
      <c r="K983" s="164">
        <f t="shared" si="16"/>
        <v>0</v>
      </c>
    </row>
    <row r="984" spans="11:11" x14ac:dyDescent="0.25">
      <c r="K984" s="164">
        <f t="shared" si="16"/>
        <v>0</v>
      </c>
    </row>
    <row r="985" spans="11:11" x14ac:dyDescent="0.25">
      <c r="K985" s="164">
        <f t="shared" si="16"/>
        <v>0</v>
      </c>
    </row>
    <row r="986" spans="11:11" x14ac:dyDescent="0.25">
      <c r="K986" s="164">
        <f t="shared" si="16"/>
        <v>0</v>
      </c>
    </row>
    <row r="987" spans="11:11" x14ac:dyDescent="0.25">
      <c r="K987" s="164">
        <f t="shared" si="16"/>
        <v>0</v>
      </c>
    </row>
    <row r="988" spans="11:11" x14ac:dyDescent="0.25">
      <c r="K988" s="164">
        <f t="shared" ref="K988:K999" si="17">IF(OR(E988="", F988=""), 0, IF(E988=F988, 0, 1))</f>
        <v>0</v>
      </c>
    </row>
    <row r="989" spans="11:11" x14ac:dyDescent="0.25">
      <c r="K989" s="164">
        <f t="shared" si="17"/>
        <v>0</v>
      </c>
    </row>
    <row r="990" spans="11:11" x14ac:dyDescent="0.25">
      <c r="K990" s="164">
        <f t="shared" si="17"/>
        <v>0</v>
      </c>
    </row>
    <row r="991" spans="11:11" x14ac:dyDescent="0.25">
      <c r="K991" s="164">
        <f t="shared" si="17"/>
        <v>0</v>
      </c>
    </row>
    <row r="992" spans="11:11" x14ac:dyDescent="0.25">
      <c r="K992" s="164">
        <f t="shared" si="17"/>
        <v>0</v>
      </c>
    </row>
    <row r="993" spans="5:11" x14ac:dyDescent="0.25">
      <c r="K993" s="164">
        <f t="shared" si="17"/>
        <v>0</v>
      </c>
    </row>
    <row r="994" spans="5:11" x14ac:dyDescent="0.25">
      <c r="K994" s="164">
        <f t="shared" si="17"/>
        <v>0</v>
      </c>
    </row>
    <row r="995" spans="5:11" x14ac:dyDescent="0.25">
      <c r="K995" s="164">
        <f t="shared" si="17"/>
        <v>0</v>
      </c>
    </row>
    <row r="996" spans="5:11" x14ac:dyDescent="0.25">
      <c r="K996" s="164">
        <f t="shared" si="17"/>
        <v>0</v>
      </c>
    </row>
    <row r="997" spans="5:11" x14ac:dyDescent="0.25">
      <c r="K997" s="164">
        <f t="shared" si="17"/>
        <v>0</v>
      </c>
    </row>
    <row r="998" spans="5:11" x14ac:dyDescent="0.25">
      <c r="K998" s="164">
        <f t="shared" si="17"/>
        <v>0</v>
      </c>
    </row>
    <row r="999" spans="5:11" x14ac:dyDescent="0.25">
      <c r="K999" s="164">
        <f t="shared" si="17"/>
        <v>0</v>
      </c>
    </row>
    <row r="1002" spans="5:11" x14ac:dyDescent="0.25">
      <c r="E1002" s="205" t="s">
        <v>1737</v>
      </c>
    </row>
    <row r="1003" spans="5:11" x14ac:dyDescent="0.25">
      <c r="E1003" s="205" t="s">
        <v>1737</v>
      </c>
    </row>
    <row r="1004" spans="5:11" x14ac:dyDescent="0.25">
      <c r="E1004" s="205" t="s">
        <v>1737</v>
      </c>
    </row>
    <row r="1005" spans="5:11" x14ac:dyDescent="0.25">
      <c r="E1005" s="205" t="s">
        <v>1737</v>
      </c>
    </row>
    <row r="1006" spans="5:11" x14ac:dyDescent="0.25">
      <c r="E1006" s="205" t="s">
        <v>1739</v>
      </c>
    </row>
  </sheetData>
  <autoFilter ref="A20:K95" xr:uid="{6FE9A302-7767-4A16-8A77-C2A004FEB573}"/>
  <mergeCells count="6">
    <mergeCell ref="B10:Q10"/>
    <mergeCell ref="B11:Q11"/>
    <mergeCell ref="B12:Q12"/>
    <mergeCell ref="B5:Q5"/>
    <mergeCell ref="B6:Q6"/>
    <mergeCell ref="B7:Q7"/>
  </mergeCells>
  <dataValidations count="1">
    <dataValidation type="list" allowBlank="1" showInputMessage="1" showErrorMessage="1" sqref="B21:C35 B60:C1048576" xr:uid="{7D5331FA-2D1A-4B6F-83B8-AC6B8EBC43DD}">
      <formula1>INDIRECT(A21)</formula1>
    </dataValidation>
  </dataValidations>
  <hyperlinks>
    <hyperlink ref="C1" location="'Accomplishment 2025'!A1" display="Back to Summary of Accomplishments 2025" xr:uid="{ACC967A3-E60B-4665-BDF7-EC81DCFE80FA}"/>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4739FEB1-E721-48C3-8465-2FA27AFD7B67}">
          <x14:formula1>
            <xm:f>LGU_Masterlist!$C$2:$T$2</xm:f>
          </x14:formula1>
          <xm:sqref>A21:A35 A60:A1048576</xm:sqref>
        </x14:dataValidation>
        <x14:dataValidation type="list" allowBlank="1" showInputMessage="1" showErrorMessage="1" xr:uid="{29D43FFA-264A-4C13-87C1-3361BC047B90}">
          <x14:formula1>
            <xm:f>Picklists!$A$3:$A$14</xm:f>
          </x14:formula1>
          <xm:sqref>H21:H35 H60:H1048576</xm:sqref>
        </x14:dataValidation>
        <x14:dataValidation type="list" allowBlank="1" showInputMessage="1" showErrorMessage="1" xr:uid="{122E0EE3-223A-4EE7-9829-C0D2377AB619}">
          <x14:formula1>
            <xm:f>Picklists!$A$55:$A$56</xm:f>
          </x14:formula1>
          <xm:sqref>D21:D35 D60:D1048576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E4DB-7E9A-4761-87DB-E3F7D7BD3968}">
  <sheetPr codeName="Sheet32">
    <tabColor rgb="FFFFC000"/>
  </sheetPr>
  <dimension ref="A1:Q106"/>
  <sheetViews>
    <sheetView topLeftCell="A12" zoomScale="70" zoomScaleNormal="70" workbookViewId="0">
      <selection activeCell="B12" sqref="B12"/>
    </sheetView>
  </sheetViews>
  <sheetFormatPr defaultColWidth="8.88671875" defaultRowHeight="13.8" x14ac:dyDescent="0.25"/>
  <cols>
    <col min="1" max="1" width="4.5546875" style="164" customWidth="1"/>
    <col min="2" max="2" width="39.88671875" style="164" customWidth="1"/>
    <col min="3" max="3" width="59.5546875" style="164" customWidth="1"/>
    <col min="4" max="4" width="37" style="172" customWidth="1"/>
    <col min="5" max="5" width="28.6640625" style="164" customWidth="1"/>
    <col min="6" max="16384" width="8.88671875" style="164"/>
  </cols>
  <sheetData>
    <row r="1" spans="1:17" s="32" customFormat="1" ht="14.4" x14ac:dyDescent="0.3">
      <c r="A1" s="173" t="s">
        <v>5090</v>
      </c>
      <c r="B1" s="173"/>
      <c r="C1" s="174" t="s">
        <v>1673</v>
      </c>
    </row>
    <row r="2" spans="1:17" s="32" customFormat="1" x14ac:dyDescent="0.25">
      <c r="A2" s="176"/>
      <c r="B2" s="176"/>
      <c r="C2" s="35"/>
    </row>
    <row r="3" spans="1:17" s="32" customFormat="1" x14ac:dyDescent="0.25">
      <c r="A3" s="363">
        <v>20</v>
      </c>
      <c r="B3" s="364" t="s">
        <v>5375</v>
      </c>
    </row>
    <row r="4" spans="1:17" s="32" customFormat="1" ht="14.4" x14ac:dyDescent="0.25">
      <c r="A4" s="178"/>
      <c r="B4" s="206" t="s">
        <v>5376</v>
      </c>
    </row>
    <row r="5" spans="1:17" s="32" customFormat="1" ht="77.400000000000006" customHeight="1" x14ac:dyDescent="0.25">
      <c r="A5" s="178"/>
      <c r="B5" s="599" t="s">
        <v>5377</v>
      </c>
      <c r="C5" s="599"/>
      <c r="D5" s="599"/>
      <c r="E5" s="599"/>
      <c r="F5" s="599"/>
      <c r="G5" s="599"/>
      <c r="H5" s="599"/>
      <c r="I5" s="599"/>
      <c r="J5" s="599"/>
      <c r="K5" s="599"/>
      <c r="L5" s="599"/>
      <c r="M5" s="599"/>
      <c r="N5" s="599"/>
      <c r="O5" s="599"/>
      <c r="P5" s="599"/>
      <c r="Q5" s="599"/>
    </row>
    <row r="6" spans="1:17" s="32" customFormat="1" ht="13.95" customHeight="1" x14ac:dyDescent="0.25">
      <c r="A6" s="178"/>
      <c r="B6" s="601" t="s">
        <v>5378</v>
      </c>
      <c r="C6" s="601"/>
      <c r="D6" s="601"/>
      <c r="E6" s="601"/>
      <c r="F6" s="601"/>
      <c r="G6" s="601"/>
      <c r="H6" s="601"/>
      <c r="I6" s="601"/>
      <c r="J6" s="601"/>
      <c r="K6" s="601"/>
      <c r="L6" s="601"/>
      <c r="M6" s="601"/>
      <c r="N6" s="601"/>
      <c r="O6" s="601"/>
      <c r="P6" s="601"/>
      <c r="Q6" s="601"/>
    </row>
    <row r="7" spans="1:17" s="32" customFormat="1" x14ac:dyDescent="0.25">
      <c r="B7" s="613" t="s">
        <v>5379</v>
      </c>
      <c r="C7" s="602"/>
      <c r="D7" s="602"/>
      <c r="E7" s="602"/>
      <c r="F7" s="602"/>
      <c r="G7" s="602"/>
      <c r="H7" s="602"/>
      <c r="I7" s="602"/>
      <c r="J7" s="602"/>
      <c r="K7" s="602"/>
      <c r="L7" s="602"/>
      <c r="M7" s="602"/>
      <c r="N7" s="602"/>
      <c r="O7" s="602"/>
      <c r="P7" s="602"/>
      <c r="Q7" s="602"/>
    </row>
    <row r="8" spans="1:17" s="32" customFormat="1" x14ac:dyDescent="0.25">
      <c r="B8" s="173"/>
      <c r="C8" s="173"/>
      <c r="D8" s="173"/>
      <c r="E8" s="173"/>
      <c r="F8" s="173"/>
      <c r="G8" s="173"/>
      <c r="H8" s="173"/>
      <c r="I8" s="173"/>
      <c r="J8" s="173"/>
      <c r="K8" s="173"/>
      <c r="L8" s="173"/>
      <c r="M8" s="173"/>
      <c r="N8" s="173"/>
      <c r="O8" s="173"/>
      <c r="P8" s="173"/>
      <c r="Q8" s="173"/>
    </row>
    <row r="9" spans="1:17" s="32" customFormat="1" ht="14.4" x14ac:dyDescent="0.25">
      <c r="B9" s="206" t="s">
        <v>5380</v>
      </c>
    </row>
    <row r="10" spans="1:17" s="32" customFormat="1" x14ac:dyDescent="0.25">
      <c r="B10" s="599" t="s">
        <v>5381</v>
      </c>
      <c r="C10" s="599"/>
      <c r="D10" s="599"/>
      <c r="E10" s="599"/>
      <c r="F10" s="599"/>
      <c r="G10" s="599"/>
      <c r="H10" s="599"/>
      <c r="I10" s="599"/>
      <c r="J10" s="599"/>
      <c r="K10" s="599"/>
      <c r="L10" s="599"/>
      <c r="M10" s="599"/>
      <c r="N10" s="599"/>
      <c r="O10" s="599"/>
      <c r="P10" s="599"/>
      <c r="Q10" s="599"/>
    </row>
    <row r="11" spans="1:17" s="32" customFormat="1" x14ac:dyDescent="0.25">
      <c r="B11" s="601" t="s">
        <v>5382</v>
      </c>
      <c r="C11" s="601"/>
      <c r="D11" s="601"/>
      <c r="E11" s="601"/>
      <c r="F11" s="601"/>
      <c r="G11" s="601"/>
      <c r="H11" s="601"/>
      <c r="I11" s="601"/>
      <c r="J11" s="601"/>
      <c r="K11" s="601"/>
      <c r="L11" s="601"/>
      <c r="M11" s="601"/>
      <c r="N11" s="601"/>
      <c r="O11" s="601"/>
      <c r="P11" s="601"/>
      <c r="Q11" s="601"/>
    </row>
    <row r="12" spans="1:17" s="32" customFormat="1" x14ac:dyDescent="0.25">
      <c r="B12" s="613" t="s">
        <v>5383</v>
      </c>
      <c r="C12" s="602"/>
      <c r="D12" s="602"/>
      <c r="E12" s="602"/>
      <c r="F12" s="602"/>
      <c r="G12" s="602"/>
      <c r="H12" s="602"/>
      <c r="I12" s="602"/>
      <c r="J12" s="602"/>
      <c r="K12" s="602"/>
      <c r="L12" s="602"/>
      <c r="M12" s="602"/>
      <c r="N12" s="602"/>
      <c r="O12" s="602"/>
      <c r="P12" s="602"/>
      <c r="Q12" s="602"/>
    </row>
    <row r="13" spans="1:17" s="32" customFormat="1" x14ac:dyDescent="0.25">
      <c r="B13" s="173"/>
      <c r="C13" s="173"/>
      <c r="D13" s="173"/>
      <c r="E13" s="173"/>
      <c r="F13" s="173"/>
      <c r="G13" s="173"/>
      <c r="H13" s="173"/>
      <c r="I13" s="173"/>
      <c r="J13" s="173"/>
      <c r="K13" s="173"/>
      <c r="L13" s="173"/>
      <c r="M13" s="173"/>
      <c r="N13" s="173"/>
      <c r="O13" s="173"/>
      <c r="P13" s="173"/>
      <c r="Q13" s="173"/>
    </row>
    <row r="14" spans="1:17" s="32" customFormat="1" ht="14.4" x14ac:dyDescent="0.25">
      <c r="B14" s="206" t="s">
        <v>5384</v>
      </c>
    </row>
    <row r="15" spans="1:17" s="32" customFormat="1" x14ac:dyDescent="0.25">
      <c r="B15" s="599" t="s">
        <v>5385</v>
      </c>
      <c r="C15" s="599"/>
      <c r="D15" s="599"/>
      <c r="E15" s="599"/>
      <c r="F15" s="599"/>
      <c r="G15" s="599"/>
      <c r="H15" s="599"/>
      <c r="I15" s="599"/>
      <c r="J15" s="599"/>
      <c r="K15" s="599"/>
      <c r="L15" s="599"/>
      <c r="M15" s="599"/>
      <c r="N15" s="599"/>
      <c r="O15" s="599"/>
      <c r="P15" s="599"/>
      <c r="Q15" s="599"/>
    </row>
    <row r="16" spans="1:17" s="32" customFormat="1" x14ac:dyDescent="0.25">
      <c r="B16" s="601" t="s">
        <v>5386</v>
      </c>
      <c r="C16" s="601"/>
      <c r="D16" s="601"/>
      <c r="E16" s="601"/>
      <c r="F16" s="601"/>
      <c r="G16" s="601"/>
      <c r="H16" s="601"/>
      <c r="I16" s="601"/>
      <c r="J16" s="601"/>
      <c r="K16" s="601"/>
      <c r="L16" s="601"/>
      <c r="M16" s="601"/>
      <c r="N16" s="601"/>
      <c r="O16" s="601"/>
      <c r="P16" s="601"/>
      <c r="Q16" s="601"/>
    </row>
    <row r="17" spans="2:17" s="32" customFormat="1" x14ac:dyDescent="0.25">
      <c r="B17" s="602" t="s">
        <v>5387</v>
      </c>
      <c r="C17" s="602"/>
      <c r="D17" s="602"/>
      <c r="E17" s="602"/>
      <c r="F17" s="602"/>
      <c r="G17" s="602"/>
      <c r="H17" s="602"/>
      <c r="I17" s="602"/>
      <c r="J17" s="602"/>
      <c r="K17" s="602"/>
      <c r="L17" s="602"/>
      <c r="M17" s="602"/>
      <c r="N17" s="602"/>
      <c r="O17" s="602"/>
      <c r="P17" s="602"/>
      <c r="Q17" s="602"/>
    </row>
    <row r="18" spans="2:17" s="32" customFormat="1" x14ac:dyDescent="0.25">
      <c r="B18" s="173"/>
      <c r="C18" s="173"/>
      <c r="D18" s="173"/>
      <c r="E18" s="173"/>
      <c r="F18" s="173"/>
      <c r="G18" s="173"/>
      <c r="H18" s="173"/>
      <c r="I18" s="173"/>
      <c r="J18" s="173"/>
      <c r="K18" s="173"/>
      <c r="L18" s="173"/>
      <c r="M18" s="173"/>
      <c r="N18" s="173"/>
      <c r="O18" s="173"/>
      <c r="P18" s="173"/>
      <c r="Q18" s="173"/>
    </row>
    <row r="19" spans="2:17" s="32" customFormat="1" x14ac:dyDescent="0.25">
      <c r="B19" s="179" t="s">
        <v>5388</v>
      </c>
      <c r="C19" s="208" t="e">
        <f>COUNTA(D23:D1016)/COUNTA(B23:B1016)</f>
        <v>#DIV/0!</v>
      </c>
      <c r="D19" s="209"/>
      <c r="E19" s="173"/>
      <c r="F19" s="173"/>
      <c r="G19" s="173"/>
      <c r="H19" s="173"/>
      <c r="I19" s="173"/>
      <c r="J19" s="173"/>
      <c r="K19" s="173"/>
    </row>
    <row r="20" spans="2:17" s="32" customFormat="1" x14ac:dyDescent="0.25">
      <c r="C20" s="173"/>
      <c r="D20" s="173"/>
      <c r="E20" s="173"/>
      <c r="F20" s="173"/>
      <c r="G20" s="173"/>
      <c r="H20" s="173"/>
      <c r="I20" s="173"/>
      <c r="J20" s="173"/>
      <c r="K20" s="173"/>
    </row>
    <row r="21" spans="2:17" s="32" customFormat="1" x14ac:dyDescent="0.25"/>
    <row r="22" spans="2:17" s="182" customFormat="1" ht="66" customHeight="1" x14ac:dyDescent="0.25">
      <c r="B22" s="184" t="s">
        <v>5289</v>
      </c>
      <c r="C22" s="184" t="s">
        <v>5389</v>
      </c>
      <c r="D22" s="184" t="s">
        <v>5390</v>
      </c>
      <c r="E22" s="183" t="s">
        <v>1686</v>
      </c>
    </row>
    <row r="23" spans="2:17" ht="14.4" x14ac:dyDescent="0.3">
      <c r="B23" s="386"/>
      <c r="C23" s="386"/>
    </row>
    <row r="24" spans="2:17" ht="14.4" x14ac:dyDescent="0.3">
      <c r="B24" s="386"/>
      <c r="C24" s="386"/>
      <c r="D24" s="172" t="s">
        <v>5391</v>
      </c>
    </row>
    <row r="25" spans="2:17" ht="14.4" x14ac:dyDescent="0.3">
      <c r="B25" s="386"/>
      <c r="C25" s="386"/>
    </row>
    <row r="26" spans="2:17" ht="14.4" x14ac:dyDescent="0.3">
      <c r="B26" s="386"/>
      <c r="C26" s="386"/>
    </row>
    <row r="27" spans="2:17" ht="14.4" x14ac:dyDescent="0.3">
      <c r="B27" s="386"/>
      <c r="C27" s="386"/>
    </row>
    <row r="28" spans="2:17" ht="14.4" x14ac:dyDescent="0.3">
      <c r="B28" s="386"/>
      <c r="C28" s="386"/>
    </row>
    <row r="29" spans="2:17" ht="14.4" x14ac:dyDescent="0.3">
      <c r="B29" s="386"/>
      <c r="C29" s="386"/>
    </row>
    <row r="30" spans="2:17" ht="14.4" x14ac:dyDescent="0.3">
      <c r="B30" s="386"/>
      <c r="C30" s="386"/>
    </row>
    <row r="31" spans="2:17" ht="14.4" x14ac:dyDescent="0.3">
      <c r="B31" s="386"/>
      <c r="C31" s="386"/>
    </row>
    <row r="32" spans="2:17" ht="14.4" x14ac:dyDescent="0.3">
      <c r="B32" s="386"/>
      <c r="C32" s="386"/>
    </row>
    <row r="33" spans="2:3" ht="14.4" x14ac:dyDescent="0.3">
      <c r="B33" s="386"/>
      <c r="C33" s="386"/>
    </row>
    <row r="34" spans="2:3" ht="14.4" x14ac:dyDescent="0.3">
      <c r="B34" s="386"/>
      <c r="C34" s="386"/>
    </row>
    <row r="35" spans="2:3" ht="14.4" x14ac:dyDescent="0.3">
      <c r="B35" s="386"/>
      <c r="C35" s="386"/>
    </row>
    <row r="36" spans="2:3" ht="14.4" x14ac:dyDescent="0.3">
      <c r="B36" s="386"/>
      <c r="C36" s="386"/>
    </row>
    <row r="37" spans="2:3" ht="14.4" x14ac:dyDescent="0.3">
      <c r="B37" s="386"/>
      <c r="C37" s="386"/>
    </row>
    <row r="38" spans="2:3" ht="14.4" x14ac:dyDescent="0.3">
      <c r="B38" s="386"/>
      <c r="C38" s="386"/>
    </row>
    <row r="39" spans="2:3" ht="14.4" x14ac:dyDescent="0.3">
      <c r="B39" s="386"/>
      <c r="C39" s="386"/>
    </row>
    <row r="40" spans="2:3" ht="14.4" x14ac:dyDescent="0.3">
      <c r="B40" s="386"/>
      <c r="C40" s="386"/>
    </row>
    <row r="41" spans="2:3" ht="14.4" x14ac:dyDescent="0.3">
      <c r="B41" s="386"/>
      <c r="C41" s="386"/>
    </row>
    <row r="42" spans="2:3" ht="14.4" x14ac:dyDescent="0.3">
      <c r="B42" s="386"/>
      <c r="C42" s="386"/>
    </row>
    <row r="43" spans="2:3" ht="14.4" x14ac:dyDescent="0.3">
      <c r="B43" s="386"/>
      <c r="C43" s="386"/>
    </row>
    <row r="44" spans="2:3" ht="14.4" x14ac:dyDescent="0.3">
      <c r="B44" s="386"/>
      <c r="C44" s="386"/>
    </row>
    <row r="45" spans="2:3" ht="14.4" x14ac:dyDescent="0.3">
      <c r="B45" s="386"/>
      <c r="C45" s="386"/>
    </row>
    <row r="46" spans="2:3" ht="14.4" x14ac:dyDescent="0.3">
      <c r="B46" s="386"/>
      <c r="C46" s="386"/>
    </row>
    <row r="47" spans="2:3" ht="14.4" x14ac:dyDescent="0.3">
      <c r="B47" s="386"/>
      <c r="C47" s="386"/>
    </row>
    <row r="48" spans="2:3" ht="14.4" x14ac:dyDescent="0.3">
      <c r="B48" s="386"/>
      <c r="C48" s="386"/>
    </row>
    <row r="49" spans="2:3" ht="14.4" x14ac:dyDescent="0.3">
      <c r="B49" s="386"/>
      <c r="C49" s="386"/>
    </row>
    <row r="50" spans="2:3" ht="14.4" x14ac:dyDescent="0.3">
      <c r="B50" s="386"/>
      <c r="C50" s="386"/>
    </row>
    <row r="51" spans="2:3" ht="14.4" x14ac:dyDescent="0.3">
      <c r="B51" s="386"/>
      <c r="C51" s="386"/>
    </row>
    <row r="52" spans="2:3" ht="14.4" x14ac:dyDescent="0.3">
      <c r="B52" s="386"/>
      <c r="C52" s="386"/>
    </row>
    <row r="53" spans="2:3" ht="14.4" x14ac:dyDescent="0.3">
      <c r="B53" s="386"/>
      <c r="C53" s="386"/>
    </row>
    <row r="54" spans="2:3" ht="14.4" x14ac:dyDescent="0.3">
      <c r="B54" s="386"/>
      <c r="C54" s="386"/>
    </row>
    <row r="55" spans="2:3" ht="14.4" x14ac:dyDescent="0.3">
      <c r="B55" s="386"/>
      <c r="C55" s="386"/>
    </row>
    <row r="56" spans="2:3" ht="14.4" x14ac:dyDescent="0.3">
      <c r="B56" s="386"/>
      <c r="C56" s="386"/>
    </row>
    <row r="57" spans="2:3" ht="14.4" x14ac:dyDescent="0.3">
      <c r="B57" s="386"/>
      <c r="C57" s="386"/>
    </row>
    <row r="58" spans="2:3" ht="14.4" x14ac:dyDescent="0.3">
      <c r="B58" s="386"/>
      <c r="C58" s="386"/>
    </row>
    <row r="59" spans="2:3" ht="14.4" x14ac:dyDescent="0.3">
      <c r="B59" s="386"/>
      <c r="C59" s="386"/>
    </row>
    <row r="60" spans="2:3" ht="14.4" x14ac:dyDescent="0.3">
      <c r="B60" s="386"/>
      <c r="C60" s="386"/>
    </row>
    <row r="61" spans="2:3" ht="14.4" x14ac:dyDescent="0.3">
      <c r="B61" s="386"/>
      <c r="C61" s="386"/>
    </row>
    <row r="62" spans="2:3" ht="14.4" x14ac:dyDescent="0.3">
      <c r="B62" s="386"/>
      <c r="C62" s="386"/>
    </row>
    <row r="63" spans="2:3" ht="14.4" x14ac:dyDescent="0.3">
      <c r="B63" s="386"/>
      <c r="C63" s="386"/>
    </row>
    <row r="64" spans="2:3" ht="14.4" x14ac:dyDescent="0.3">
      <c r="B64" s="386"/>
      <c r="C64" s="386"/>
    </row>
    <row r="65" spans="2:3" ht="14.4" x14ac:dyDescent="0.3">
      <c r="B65" s="386"/>
      <c r="C65" s="386"/>
    </row>
    <row r="66" spans="2:3" ht="14.4" x14ac:dyDescent="0.3">
      <c r="B66" s="386"/>
      <c r="C66" s="386"/>
    </row>
    <row r="67" spans="2:3" ht="14.4" x14ac:dyDescent="0.3">
      <c r="B67" s="386"/>
      <c r="C67" s="386"/>
    </row>
    <row r="68" spans="2:3" ht="14.4" x14ac:dyDescent="0.3">
      <c r="B68" s="386"/>
      <c r="C68" s="386"/>
    </row>
    <row r="69" spans="2:3" ht="14.4" x14ac:dyDescent="0.3">
      <c r="B69" s="386"/>
      <c r="C69" s="386"/>
    </row>
    <row r="70" spans="2:3" ht="14.4" x14ac:dyDescent="0.3">
      <c r="B70" s="386"/>
      <c r="C70" s="386"/>
    </row>
    <row r="71" spans="2:3" ht="14.4" x14ac:dyDescent="0.3">
      <c r="B71" s="386"/>
      <c r="C71" s="386"/>
    </row>
    <row r="72" spans="2:3" ht="14.4" x14ac:dyDescent="0.3">
      <c r="B72" s="386"/>
      <c r="C72" s="386"/>
    </row>
    <row r="73" spans="2:3" ht="14.4" x14ac:dyDescent="0.3">
      <c r="B73" s="386"/>
      <c r="C73" s="386"/>
    </row>
    <row r="74" spans="2:3" ht="14.4" x14ac:dyDescent="0.3">
      <c r="B74" s="386"/>
      <c r="C74" s="386"/>
    </row>
    <row r="75" spans="2:3" ht="14.4" x14ac:dyDescent="0.3">
      <c r="B75" s="386"/>
      <c r="C75" s="386"/>
    </row>
    <row r="76" spans="2:3" ht="14.4" x14ac:dyDescent="0.3">
      <c r="B76" s="386"/>
      <c r="C76" s="386"/>
    </row>
    <row r="77" spans="2:3" ht="14.4" x14ac:dyDescent="0.3">
      <c r="B77" s="386"/>
      <c r="C77" s="386"/>
    </row>
    <row r="78" spans="2:3" ht="14.4" x14ac:dyDescent="0.3">
      <c r="B78" s="386"/>
      <c r="C78" s="386"/>
    </row>
    <row r="79" spans="2:3" ht="14.4" x14ac:dyDescent="0.3">
      <c r="B79" s="386"/>
      <c r="C79" s="386"/>
    </row>
    <row r="80" spans="2:3" ht="14.4" x14ac:dyDescent="0.3">
      <c r="B80" s="386"/>
      <c r="C80" s="386"/>
    </row>
    <row r="81" spans="2:3" ht="14.4" x14ac:dyDescent="0.3">
      <c r="B81" s="386"/>
      <c r="C81" s="386"/>
    </row>
    <row r="82" spans="2:3" ht="14.4" x14ac:dyDescent="0.3">
      <c r="B82" s="386"/>
      <c r="C82" s="386"/>
    </row>
    <row r="83" spans="2:3" ht="14.4" x14ac:dyDescent="0.3">
      <c r="B83" s="386"/>
      <c r="C83" s="386"/>
    </row>
    <row r="84" spans="2:3" ht="14.4" x14ac:dyDescent="0.3">
      <c r="B84" s="386"/>
      <c r="C84" s="386"/>
    </row>
    <row r="85" spans="2:3" ht="14.4" x14ac:dyDescent="0.3">
      <c r="B85" s="386"/>
      <c r="C85" s="386"/>
    </row>
    <row r="86" spans="2:3" ht="14.4" x14ac:dyDescent="0.3">
      <c r="B86" s="386"/>
      <c r="C86" s="386"/>
    </row>
    <row r="87" spans="2:3" ht="14.4" x14ac:dyDescent="0.3">
      <c r="B87" s="386"/>
      <c r="C87" s="386"/>
    </row>
    <row r="88" spans="2:3" ht="14.4" x14ac:dyDescent="0.3">
      <c r="B88" s="386"/>
      <c r="C88" s="386"/>
    </row>
    <row r="89" spans="2:3" ht="14.4" x14ac:dyDescent="0.3">
      <c r="B89" s="386"/>
      <c r="C89" s="386"/>
    </row>
    <row r="90" spans="2:3" ht="14.4" x14ac:dyDescent="0.3">
      <c r="B90" s="386"/>
      <c r="C90" s="386"/>
    </row>
    <row r="91" spans="2:3" ht="14.4" x14ac:dyDescent="0.3">
      <c r="B91" s="386"/>
      <c r="C91" s="386"/>
    </row>
    <row r="92" spans="2:3" ht="14.4" x14ac:dyDescent="0.3">
      <c r="B92" s="386"/>
      <c r="C92" s="386"/>
    </row>
    <row r="93" spans="2:3" ht="14.4" x14ac:dyDescent="0.3">
      <c r="B93" s="386"/>
      <c r="C93" s="386"/>
    </row>
    <row r="94" spans="2:3" ht="14.4" x14ac:dyDescent="0.3">
      <c r="B94" s="386"/>
      <c r="C94" s="386"/>
    </row>
    <row r="95" spans="2:3" ht="14.4" x14ac:dyDescent="0.3">
      <c r="B95" s="386"/>
      <c r="C95" s="386"/>
    </row>
    <row r="96" spans="2:3" ht="14.4" x14ac:dyDescent="0.3">
      <c r="B96" s="386"/>
      <c r="C96" s="386"/>
    </row>
    <row r="97" spans="2:4" ht="14.4" x14ac:dyDescent="0.3">
      <c r="B97" s="386"/>
      <c r="C97" s="386"/>
    </row>
    <row r="98" spans="2:4" ht="14.4" x14ac:dyDescent="0.3">
      <c r="B98" s="386"/>
      <c r="C98" s="386"/>
    </row>
    <row r="99" spans="2:4" ht="14.4" x14ac:dyDescent="0.3">
      <c r="B99" s="386"/>
      <c r="C99" s="386"/>
    </row>
    <row r="100" spans="2:4" x14ac:dyDescent="0.25">
      <c r="D100" s="164"/>
    </row>
    <row r="101" spans="2:4" x14ac:dyDescent="0.25">
      <c r="D101" s="164"/>
    </row>
    <row r="102" spans="2:4" x14ac:dyDescent="0.25">
      <c r="D102" s="164"/>
    </row>
    <row r="103" spans="2:4" x14ac:dyDescent="0.25">
      <c r="D103" s="164"/>
    </row>
    <row r="104" spans="2:4" x14ac:dyDescent="0.25">
      <c r="D104" s="164"/>
    </row>
    <row r="105" spans="2:4" x14ac:dyDescent="0.25">
      <c r="D105" s="164"/>
    </row>
    <row r="106" spans="2:4" x14ac:dyDescent="0.25">
      <c r="D106" s="164"/>
    </row>
  </sheetData>
  <mergeCells count="9">
    <mergeCell ref="B17:Q17"/>
    <mergeCell ref="B10:Q10"/>
    <mergeCell ref="B11:Q11"/>
    <mergeCell ref="B12:Q12"/>
    <mergeCell ref="B5:Q5"/>
    <mergeCell ref="B6:Q6"/>
    <mergeCell ref="B7:Q7"/>
    <mergeCell ref="B15:Q15"/>
    <mergeCell ref="B16:Q16"/>
  </mergeCells>
  <dataValidations count="1">
    <dataValidation type="list" allowBlank="1" showInputMessage="1" showErrorMessage="1" sqref="C107:C1048576" xr:uid="{A1F90B03-BDAC-46D7-8CE5-99CD2E79ECF1}">
      <formula1>INDIRECT(B107)</formula1>
    </dataValidation>
  </dataValidations>
  <hyperlinks>
    <hyperlink ref="C1" location="'Accomplishment 2025'!A1" display="Back to Summary of Accomplishments 2025" xr:uid="{22A2DF26-8A18-48CD-A876-E6CBDF165965}"/>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87BF4ACC-44C5-4F8F-8EBE-B5F3AD8F73CA}">
          <x14:formula1>
            <xm:f>LGU_Masterlist!$A$11:$CA$11</xm:f>
          </x14:formula1>
          <xm:sqref>B107:B1048576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076D-B433-48BB-B067-07E54F618BCE}">
  <sheetPr codeName="Sheet33">
    <tabColor rgb="FFFFC000"/>
  </sheetPr>
  <dimension ref="A1:S151"/>
  <sheetViews>
    <sheetView tabSelected="1" zoomScale="70" zoomScaleNormal="70" workbookViewId="0">
      <selection activeCell="C28" sqref="C28"/>
    </sheetView>
  </sheetViews>
  <sheetFormatPr defaultColWidth="8.88671875" defaultRowHeight="13.8" x14ac:dyDescent="0.25"/>
  <cols>
    <col min="1" max="1" width="4.5546875" style="164" customWidth="1"/>
    <col min="2" max="2" width="59.88671875" style="190" customWidth="1"/>
    <col min="3" max="3" width="29.6640625" style="164" customWidth="1"/>
    <col min="4" max="4" width="40.44140625" style="427" bestFit="1" customWidth="1"/>
    <col min="5" max="5" width="44.44140625" style="172" customWidth="1"/>
    <col min="6" max="6" width="27" style="172" customWidth="1"/>
    <col min="7" max="7" width="30.5546875" style="164" customWidth="1"/>
    <col min="8" max="16384" width="8.88671875" style="164"/>
  </cols>
  <sheetData>
    <row r="1" spans="1:19" s="32" customFormat="1" ht="14.4" x14ac:dyDescent="0.3">
      <c r="A1" s="173" t="s">
        <v>5090</v>
      </c>
      <c r="B1" s="193"/>
      <c r="C1" s="174" t="s">
        <v>1673</v>
      </c>
      <c r="D1" s="420"/>
    </row>
    <row r="2" spans="1:19" s="32" customFormat="1" x14ac:dyDescent="0.25">
      <c r="A2" s="176"/>
      <c r="B2" s="421"/>
      <c r="C2" s="35"/>
      <c r="D2" s="420"/>
    </row>
    <row r="3" spans="1:19" s="32" customFormat="1" x14ac:dyDescent="0.25">
      <c r="A3" s="363">
        <v>21</v>
      </c>
      <c r="B3" s="370" t="s">
        <v>1638</v>
      </c>
      <c r="D3" s="420"/>
    </row>
    <row r="4" spans="1:19" s="32" customFormat="1" ht="27.6" x14ac:dyDescent="0.25">
      <c r="A4" s="178"/>
      <c r="B4" s="371" t="s">
        <v>1640</v>
      </c>
      <c r="D4" s="420"/>
    </row>
    <row r="5" spans="1:19" s="32" customFormat="1" x14ac:dyDescent="0.25">
      <c r="A5" s="178"/>
      <c r="B5" s="599" t="s">
        <v>5392</v>
      </c>
      <c r="C5" s="599"/>
      <c r="D5" s="599"/>
      <c r="E5" s="599"/>
      <c r="F5" s="599"/>
      <c r="G5" s="599"/>
      <c r="H5" s="599"/>
      <c r="I5" s="599"/>
      <c r="J5" s="599"/>
      <c r="K5" s="599"/>
      <c r="L5" s="599"/>
      <c r="M5" s="599"/>
      <c r="N5" s="599"/>
      <c r="O5" s="599"/>
      <c r="P5" s="599"/>
      <c r="Q5" s="599"/>
      <c r="R5" s="599"/>
      <c r="S5" s="599"/>
    </row>
    <row r="6" spans="1:19" s="32" customFormat="1" ht="13.95" customHeight="1" x14ac:dyDescent="0.25">
      <c r="A6" s="178"/>
      <c r="B6" s="601" t="s">
        <v>5393</v>
      </c>
      <c r="C6" s="601"/>
      <c r="D6" s="601"/>
      <c r="E6" s="601"/>
      <c r="F6" s="601"/>
      <c r="G6" s="601"/>
      <c r="H6" s="601"/>
      <c r="I6" s="601"/>
      <c r="J6" s="601"/>
      <c r="K6" s="601"/>
      <c r="L6" s="601"/>
      <c r="M6" s="601"/>
      <c r="N6" s="601"/>
      <c r="O6" s="601"/>
      <c r="P6" s="601"/>
      <c r="Q6" s="601"/>
      <c r="R6" s="601"/>
      <c r="S6" s="601"/>
    </row>
    <row r="7" spans="1:19" s="32" customFormat="1" x14ac:dyDescent="0.25">
      <c r="B7" s="602" t="s">
        <v>5394</v>
      </c>
      <c r="C7" s="602"/>
      <c r="D7" s="602"/>
      <c r="E7" s="602"/>
      <c r="F7" s="602"/>
      <c r="G7" s="602"/>
      <c r="H7" s="602"/>
      <c r="I7" s="602"/>
      <c r="J7" s="602"/>
      <c r="K7" s="602"/>
      <c r="L7" s="602"/>
      <c r="M7" s="602"/>
      <c r="N7" s="602"/>
      <c r="O7" s="602"/>
      <c r="P7" s="602"/>
      <c r="Q7" s="602"/>
      <c r="R7" s="602"/>
      <c r="S7" s="602"/>
    </row>
    <row r="8" spans="1:19" s="32" customFormat="1" x14ac:dyDescent="0.25">
      <c r="B8" s="193"/>
      <c r="C8" s="173"/>
      <c r="D8" s="424"/>
      <c r="E8" s="173"/>
      <c r="F8" s="173"/>
      <c r="G8" s="173"/>
      <c r="H8" s="173"/>
      <c r="I8" s="173"/>
      <c r="J8" s="173"/>
      <c r="K8" s="173"/>
      <c r="L8" s="173"/>
      <c r="M8" s="173"/>
      <c r="N8" s="173"/>
      <c r="O8" s="173"/>
      <c r="P8" s="173"/>
      <c r="Q8" s="173"/>
      <c r="R8" s="173"/>
      <c r="S8" s="173"/>
    </row>
    <row r="9" spans="1:19" s="32" customFormat="1" x14ac:dyDescent="0.25">
      <c r="B9" s="191"/>
      <c r="C9" s="173"/>
      <c r="D9" s="424"/>
      <c r="E9" s="173"/>
      <c r="F9" s="173"/>
      <c r="G9" s="173"/>
      <c r="H9" s="173"/>
      <c r="I9" s="173"/>
      <c r="J9" s="173"/>
      <c r="K9" s="173"/>
      <c r="L9" s="173"/>
      <c r="M9" s="173"/>
    </row>
    <row r="10" spans="1:19" ht="14.4" x14ac:dyDescent="0.3">
      <c r="B10" s="422" t="s">
        <v>5395</v>
      </c>
      <c r="C10" s="210">
        <f>F10+F11</f>
        <v>0</v>
      </c>
      <c r="D10" s="425" t="s">
        <v>5396</v>
      </c>
      <c r="E10" s="417" t="s">
        <v>5397</v>
      </c>
      <c r="F10" s="419"/>
      <c r="G10" s="163"/>
      <c r="H10" s="163"/>
      <c r="I10" s="163"/>
      <c r="J10" s="163"/>
      <c r="K10" s="163"/>
      <c r="L10" s="163"/>
      <c r="M10" s="163"/>
    </row>
    <row r="11" spans="1:19" s="32" customFormat="1" x14ac:dyDescent="0.25">
      <c r="B11" s="194" t="s">
        <v>5398</v>
      </c>
      <c r="C11" s="636" t="e">
        <f>SUM(D15:D1048576)/C10</f>
        <v>#DIV/0!</v>
      </c>
      <c r="D11" s="420"/>
      <c r="E11" s="418" t="s">
        <v>5399</v>
      </c>
      <c r="F11" s="420"/>
      <c r="G11" s="173"/>
      <c r="H11" s="173"/>
      <c r="I11" s="173"/>
      <c r="J11" s="173"/>
      <c r="K11" s="173"/>
      <c r="L11" s="173"/>
      <c r="M11" s="173"/>
    </row>
    <row r="12" spans="1:19" s="32" customFormat="1" x14ac:dyDescent="0.25">
      <c r="B12" s="191"/>
      <c r="C12" s="173"/>
      <c r="D12" s="424"/>
      <c r="E12" s="173"/>
      <c r="F12" s="173"/>
      <c r="G12" s="173"/>
      <c r="H12" s="173"/>
      <c r="I12" s="173"/>
      <c r="J12" s="173"/>
      <c r="K12" s="173"/>
      <c r="L12" s="173"/>
      <c r="M12" s="173"/>
    </row>
    <row r="13" spans="1:19" s="32" customFormat="1" x14ac:dyDescent="0.25">
      <c r="B13" s="191"/>
      <c r="D13" s="420"/>
    </row>
    <row r="14" spans="1:19" s="182" customFormat="1" ht="31.95" customHeight="1" x14ac:dyDescent="0.25">
      <c r="B14" s="213" t="s">
        <v>5400</v>
      </c>
      <c r="C14" s="184" t="s">
        <v>5401</v>
      </c>
      <c r="D14" s="426" t="s">
        <v>5402</v>
      </c>
      <c r="E14" s="184" t="s">
        <v>5403</v>
      </c>
      <c r="F14" s="184" t="s">
        <v>5404</v>
      </c>
      <c r="G14" s="183" t="s">
        <v>1686</v>
      </c>
    </row>
    <row r="15" spans="1:19" x14ac:dyDescent="0.25">
      <c r="B15" s="485"/>
      <c r="C15" s="416"/>
      <c r="D15" s="487"/>
      <c r="E15" s="416"/>
      <c r="F15" s="416"/>
      <c r="G15" s="416"/>
    </row>
    <row r="16" spans="1:19" x14ac:dyDescent="0.25">
      <c r="B16" s="485"/>
      <c r="C16" s="416"/>
      <c r="D16" s="487"/>
      <c r="E16" s="416"/>
      <c r="F16" s="416"/>
      <c r="G16" s="416"/>
    </row>
    <row r="17" spans="2:7" x14ac:dyDescent="0.25">
      <c r="B17" s="485"/>
      <c r="C17" s="416"/>
      <c r="D17" s="487"/>
      <c r="E17" s="416"/>
      <c r="F17" s="416"/>
      <c r="G17" s="416"/>
    </row>
    <row r="18" spans="2:7" x14ac:dyDescent="0.25">
      <c r="B18" s="485"/>
      <c r="C18" s="416"/>
      <c r="D18" s="416"/>
      <c r="E18" s="416"/>
      <c r="F18" s="416"/>
      <c r="G18" s="416"/>
    </row>
    <row r="19" spans="2:7" x14ac:dyDescent="0.25">
      <c r="B19" s="485"/>
      <c r="C19" s="416"/>
      <c r="D19" s="487"/>
      <c r="E19" s="416"/>
      <c r="F19" s="416"/>
      <c r="G19" s="416"/>
    </row>
    <row r="20" spans="2:7" x14ac:dyDescent="0.25">
      <c r="B20" s="485"/>
      <c r="C20" s="416"/>
      <c r="D20" s="487"/>
      <c r="E20" s="416"/>
      <c r="F20" s="416"/>
      <c r="G20" s="416"/>
    </row>
    <row r="21" spans="2:7" x14ac:dyDescent="0.25">
      <c r="B21" s="485"/>
      <c r="C21" s="416"/>
      <c r="D21" s="487"/>
      <c r="E21" s="416"/>
      <c r="F21" s="416"/>
      <c r="G21" s="416"/>
    </row>
    <row r="22" spans="2:7" x14ac:dyDescent="0.25">
      <c r="B22" s="485"/>
      <c r="C22" s="416"/>
      <c r="D22" s="487"/>
      <c r="E22" s="416"/>
      <c r="F22" s="416"/>
      <c r="G22" s="416"/>
    </row>
    <row r="23" spans="2:7" x14ac:dyDescent="0.25">
      <c r="B23" s="485"/>
      <c r="C23" s="416"/>
      <c r="D23" s="487"/>
      <c r="E23" s="416"/>
      <c r="F23" s="416"/>
      <c r="G23" s="416"/>
    </row>
    <row r="24" spans="2:7" x14ac:dyDescent="0.25">
      <c r="B24" s="485"/>
      <c r="C24" s="416"/>
      <c r="D24" s="487"/>
      <c r="E24" s="416"/>
      <c r="F24" s="416"/>
      <c r="G24" s="416"/>
    </row>
    <row r="25" spans="2:7" x14ac:dyDescent="0.25">
      <c r="B25" s="485"/>
      <c r="C25" s="416"/>
      <c r="D25" s="487"/>
      <c r="E25" s="416"/>
      <c r="F25" s="416"/>
      <c r="G25" s="416"/>
    </row>
    <row r="26" spans="2:7" x14ac:dyDescent="0.25">
      <c r="B26" s="485"/>
      <c r="C26" s="416"/>
      <c r="D26" s="487"/>
      <c r="E26" s="416"/>
      <c r="F26" s="416"/>
      <c r="G26" s="416"/>
    </row>
    <row r="27" spans="2:7" x14ac:dyDescent="0.25">
      <c r="B27" s="485"/>
      <c r="C27" s="416"/>
      <c r="D27" s="487"/>
      <c r="E27" s="416"/>
      <c r="F27" s="416"/>
      <c r="G27" s="416"/>
    </row>
    <row r="28" spans="2:7" x14ac:dyDescent="0.25">
      <c r="B28" s="485"/>
      <c r="C28" s="416"/>
      <c r="D28" s="487"/>
      <c r="E28" s="416"/>
      <c r="F28" s="416"/>
      <c r="G28" s="416"/>
    </row>
    <row r="29" spans="2:7" x14ac:dyDescent="0.25">
      <c r="B29" s="485"/>
      <c r="C29" s="416"/>
      <c r="D29" s="487"/>
      <c r="E29" s="416"/>
      <c r="F29" s="416"/>
      <c r="G29" s="416"/>
    </row>
    <row r="30" spans="2:7" x14ac:dyDescent="0.25">
      <c r="B30" s="485"/>
      <c r="C30" s="416"/>
      <c r="D30" s="487"/>
      <c r="E30" s="416"/>
      <c r="F30" s="416"/>
      <c r="G30" s="416"/>
    </row>
    <row r="31" spans="2:7" x14ac:dyDescent="0.25">
      <c r="B31" s="485"/>
      <c r="C31" s="416"/>
      <c r="D31" s="487"/>
      <c r="E31" s="416"/>
      <c r="F31" s="416"/>
      <c r="G31" s="416"/>
    </row>
    <row r="32" spans="2:7" x14ac:dyDescent="0.25">
      <c r="B32" s="485"/>
      <c r="C32" s="416"/>
      <c r="D32" s="487"/>
      <c r="E32" s="416"/>
      <c r="F32" s="416"/>
      <c r="G32" s="416"/>
    </row>
    <row r="33" spans="2:7" x14ac:dyDescent="0.25">
      <c r="B33" s="485"/>
      <c r="C33" s="416"/>
      <c r="D33" s="487"/>
      <c r="E33" s="416"/>
      <c r="F33" s="416"/>
      <c r="G33" s="416"/>
    </row>
    <row r="34" spans="2:7" x14ac:dyDescent="0.25">
      <c r="B34" s="485"/>
      <c r="C34" s="416"/>
      <c r="D34" s="487"/>
      <c r="E34" s="416"/>
      <c r="F34" s="416"/>
      <c r="G34" s="416"/>
    </row>
    <row r="35" spans="2:7" x14ac:dyDescent="0.25">
      <c r="B35" s="485"/>
      <c r="C35" s="416"/>
      <c r="D35" s="487"/>
      <c r="E35" s="416"/>
      <c r="F35" s="416"/>
      <c r="G35" s="416"/>
    </row>
    <row r="36" spans="2:7" x14ac:dyDescent="0.25">
      <c r="B36" s="485"/>
      <c r="C36" s="416"/>
      <c r="D36" s="487"/>
      <c r="E36" s="416"/>
      <c r="F36" s="416"/>
      <c r="G36" s="416"/>
    </row>
    <row r="37" spans="2:7" x14ac:dyDescent="0.25">
      <c r="B37" s="485"/>
      <c r="C37" s="416"/>
      <c r="D37" s="487"/>
      <c r="E37" s="416"/>
      <c r="F37" s="416"/>
      <c r="G37" s="416"/>
    </row>
    <row r="38" spans="2:7" x14ac:dyDescent="0.25">
      <c r="B38" s="485"/>
      <c r="C38" s="416"/>
      <c r="D38" s="487"/>
      <c r="E38" s="416"/>
      <c r="F38" s="416"/>
      <c r="G38" s="416"/>
    </row>
    <row r="39" spans="2:7" x14ac:dyDescent="0.25">
      <c r="B39" s="485"/>
      <c r="C39" s="416"/>
      <c r="D39" s="487"/>
      <c r="E39" s="416"/>
      <c r="F39" s="416"/>
      <c r="G39" s="416"/>
    </row>
    <row r="40" spans="2:7" x14ac:dyDescent="0.25">
      <c r="B40" s="485"/>
      <c r="C40" s="416"/>
      <c r="D40" s="487"/>
      <c r="E40" s="416"/>
      <c r="F40" s="416"/>
      <c r="G40" s="416"/>
    </row>
    <row r="41" spans="2:7" x14ac:dyDescent="0.25">
      <c r="B41" s="485"/>
      <c r="C41" s="416"/>
      <c r="D41" s="487"/>
      <c r="E41" s="416"/>
      <c r="F41" s="416"/>
      <c r="G41" s="416"/>
    </row>
    <row r="42" spans="2:7" x14ac:dyDescent="0.25">
      <c r="B42" s="485"/>
      <c r="C42" s="416"/>
      <c r="D42" s="487"/>
      <c r="E42" s="416"/>
      <c r="F42" s="416"/>
      <c r="G42" s="416"/>
    </row>
    <row r="43" spans="2:7" x14ac:dyDescent="0.25">
      <c r="B43" s="485"/>
      <c r="C43" s="416"/>
      <c r="D43" s="487"/>
      <c r="E43" s="416"/>
      <c r="F43" s="416"/>
      <c r="G43" s="416"/>
    </row>
    <row r="44" spans="2:7" x14ac:dyDescent="0.25">
      <c r="B44" s="485"/>
      <c r="C44" s="416"/>
      <c r="D44" s="487"/>
      <c r="E44" s="416"/>
      <c r="F44" s="416"/>
      <c r="G44" s="416"/>
    </row>
    <row r="45" spans="2:7" x14ac:dyDescent="0.25">
      <c r="B45" s="485"/>
      <c r="C45" s="416"/>
      <c r="D45" s="487"/>
      <c r="E45" s="416"/>
      <c r="F45" s="416"/>
      <c r="G45" s="416"/>
    </row>
    <row r="46" spans="2:7" x14ac:dyDescent="0.25">
      <c r="B46" s="485"/>
      <c r="C46" s="416"/>
      <c r="D46" s="487"/>
      <c r="E46" s="416"/>
      <c r="F46" s="416"/>
      <c r="G46" s="416"/>
    </row>
    <row r="47" spans="2:7" x14ac:dyDescent="0.25">
      <c r="B47" s="485"/>
      <c r="C47" s="416"/>
      <c r="D47" s="487"/>
      <c r="E47" s="416"/>
      <c r="F47" s="416"/>
      <c r="G47" s="416"/>
    </row>
    <row r="48" spans="2:7" x14ac:dyDescent="0.25">
      <c r="B48" s="485"/>
      <c r="C48" s="416"/>
      <c r="D48" s="487"/>
      <c r="E48" s="416"/>
      <c r="F48" s="416"/>
      <c r="G48" s="416"/>
    </row>
    <row r="49" spans="2:7" x14ac:dyDescent="0.25">
      <c r="B49" s="485"/>
      <c r="C49" s="416"/>
      <c r="D49" s="487"/>
      <c r="E49" s="416"/>
      <c r="F49" s="416"/>
      <c r="G49" s="416"/>
    </row>
    <row r="50" spans="2:7" x14ac:dyDescent="0.25">
      <c r="B50" s="485"/>
      <c r="C50" s="416"/>
      <c r="D50" s="416"/>
      <c r="E50" s="416"/>
      <c r="F50" s="416"/>
      <c r="G50" s="416"/>
    </row>
    <row r="51" spans="2:7" x14ac:dyDescent="0.25">
      <c r="B51" s="485"/>
      <c r="C51" s="416"/>
      <c r="D51" s="416"/>
      <c r="E51" s="416"/>
      <c r="F51" s="416"/>
      <c r="G51" s="416"/>
    </row>
    <row r="52" spans="2:7" x14ac:dyDescent="0.25">
      <c r="B52" s="485"/>
      <c r="C52" s="416"/>
      <c r="D52" s="487"/>
      <c r="E52" s="416"/>
      <c r="F52" s="416"/>
      <c r="G52" s="416"/>
    </row>
    <row r="53" spans="2:7" x14ac:dyDescent="0.25">
      <c r="B53" s="485"/>
      <c r="C53" s="416"/>
      <c r="D53" s="487"/>
      <c r="E53" s="416"/>
      <c r="F53" s="416"/>
      <c r="G53" s="416"/>
    </row>
    <row r="54" spans="2:7" x14ac:dyDescent="0.25">
      <c r="B54" s="485"/>
      <c r="C54" s="416"/>
      <c r="D54" s="487"/>
      <c r="E54" s="416"/>
      <c r="F54" s="416"/>
      <c r="G54" s="416"/>
    </row>
    <row r="55" spans="2:7" x14ac:dyDescent="0.25">
      <c r="B55" s="485"/>
      <c r="C55" s="416"/>
      <c r="D55" s="487"/>
      <c r="E55" s="416"/>
      <c r="F55" s="416"/>
      <c r="G55" s="416"/>
    </row>
    <row r="56" spans="2:7" x14ac:dyDescent="0.25">
      <c r="B56" s="485"/>
      <c r="C56" s="416"/>
      <c r="D56" s="487"/>
      <c r="E56" s="416"/>
      <c r="F56" s="416"/>
      <c r="G56" s="416"/>
    </row>
    <row r="57" spans="2:7" x14ac:dyDescent="0.25">
      <c r="B57" s="485"/>
      <c r="C57" s="416"/>
      <c r="D57" s="487"/>
      <c r="E57" s="416"/>
      <c r="F57" s="416"/>
      <c r="G57" s="416"/>
    </row>
    <row r="58" spans="2:7" x14ac:dyDescent="0.25">
      <c r="B58" s="485"/>
      <c r="C58" s="416"/>
      <c r="D58" s="487"/>
      <c r="E58" s="416"/>
      <c r="F58" s="416"/>
      <c r="G58" s="416"/>
    </row>
    <row r="59" spans="2:7" x14ac:dyDescent="0.25">
      <c r="B59" s="485"/>
      <c r="C59" s="416"/>
      <c r="D59" s="487"/>
      <c r="E59" s="416"/>
      <c r="F59" s="416"/>
      <c r="G59" s="416"/>
    </row>
    <row r="60" spans="2:7" x14ac:dyDescent="0.25">
      <c r="B60" s="485"/>
      <c r="C60" s="416"/>
      <c r="D60" s="487"/>
      <c r="E60" s="416"/>
      <c r="F60" s="416"/>
      <c r="G60" s="416"/>
    </row>
    <row r="61" spans="2:7" x14ac:dyDescent="0.25">
      <c r="B61" s="485"/>
      <c r="C61" s="416"/>
      <c r="D61" s="487"/>
      <c r="E61" s="416"/>
      <c r="F61" s="416"/>
      <c r="G61" s="416"/>
    </row>
    <row r="62" spans="2:7" x14ac:dyDescent="0.25">
      <c r="B62" s="485"/>
      <c r="C62" s="416"/>
      <c r="D62" s="487"/>
      <c r="E62" s="416"/>
      <c r="F62" s="416"/>
      <c r="G62" s="416"/>
    </row>
    <row r="63" spans="2:7" x14ac:dyDescent="0.25">
      <c r="B63" s="485"/>
      <c r="C63" s="416"/>
      <c r="D63" s="487"/>
      <c r="E63" s="416"/>
      <c r="F63" s="416"/>
      <c r="G63" s="416"/>
    </row>
    <row r="64" spans="2:7" x14ac:dyDescent="0.25">
      <c r="B64" s="485"/>
      <c r="C64" s="416"/>
      <c r="D64" s="487"/>
      <c r="E64" s="416"/>
      <c r="F64" s="416"/>
      <c r="G64" s="416"/>
    </row>
    <row r="65" spans="2:7" x14ac:dyDescent="0.25">
      <c r="B65" s="485"/>
      <c r="C65" s="416"/>
      <c r="D65" s="487"/>
      <c r="E65" s="416"/>
      <c r="F65" s="416"/>
      <c r="G65" s="416"/>
    </row>
    <row r="66" spans="2:7" x14ac:dyDescent="0.25">
      <c r="B66" s="485"/>
      <c r="C66" s="416"/>
      <c r="D66" s="487"/>
      <c r="E66" s="416"/>
      <c r="F66" s="416"/>
      <c r="G66" s="416"/>
    </row>
    <row r="67" spans="2:7" x14ac:dyDescent="0.25">
      <c r="B67" s="485"/>
      <c r="C67" s="416"/>
      <c r="D67" s="487"/>
      <c r="E67" s="416"/>
      <c r="F67" s="416"/>
      <c r="G67" s="416"/>
    </row>
    <row r="68" spans="2:7" x14ac:dyDescent="0.25">
      <c r="B68" s="485"/>
      <c r="C68" s="416"/>
      <c r="D68" s="487"/>
      <c r="E68" s="416"/>
      <c r="F68" s="416"/>
      <c r="G68" s="416"/>
    </row>
    <row r="69" spans="2:7" x14ac:dyDescent="0.25">
      <c r="B69" s="485"/>
      <c r="C69" s="416"/>
      <c r="D69" s="487"/>
      <c r="E69" s="416"/>
      <c r="F69" s="416"/>
      <c r="G69" s="416"/>
    </row>
    <row r="70" spans="2:7" x14ac:dyDescent="0.25">
      <c r="B70" s="485"/>
      <c r="C70" s="416"/>
      <c r="D70" s="487"/>
      <c r="E70" s="416"/>
      <c r="F70" s="416"/>
      <c r="G70" s="416"/>
    </row>
    <row r="71" spans="2:7" x14ac:dyDescent="0.25">
      <c r="B71" s="485"/>
      <c r="C71" s="416"/>
      <c r="D71" s="487"/>
      <c r="E71" s="416"/>
      <c r="F71" s="416"/>
      <c r="G71" s="416"/>
    </row>
    <row r="72" spans="2:7" x14ac:dyDescent="0.25">
      <c r="B72" s="485"/>
      <c r="C72" s="416"/>
      <c r="D72" s="487"/>
      <c r="E72" s="416"/>
      <c r="F72" s="416"/>
      <c r="G72" s="416"/>
    </row>
    <row r="73" spans="2:7" x14ac:dyDescent="0.25">
      <c r="B73" s="485"/>
      <c r="C73" s="416"/>
      <c r="D73" s="416"/>
      <c r="E73" s="416"/>
      <c r="F73" s="416"/>
      <c r="G73" s="416"/>
    </row>
    <row r="74" spans="2:7" x14ac:dyDescent="0.25">
      <c r="B74" s="485"/>
      <c r="C74" s="416"/>
      <c r="D74" s="416"/>
      <c r="E74" s="416"/>
      <c r="F74" s="416"/>
      <c r="G74" s="416"/>
    </row>
    <row r="75" spans="2:7" x14ac:dyDescent="0.25">
      <c r="B75" s="485"/>
      <c r="C75" s="416"/>
      <c r="D75" s="416"/>
      <c r="E75" s="416"/>
      <c r="F75" s="416"/>
      <c r="G75" s="416"/>
    </row>
    <row r="76" spans="2:7" x14ac:dyDescent="0.25">
      <c r="B76" s="485"/>
      <c r="C76" s="416"/>
      <c r="D76" s="416"/>
      <c r="E76" s="416"/>
      <c r="F76" s="416"/>
      <c r="G76" s="416"/>
    </row>
    <row r="77" spans="2:7" x14ac:dyDescent="0.25">
      <c r="B77" s="485"/>
      <c r="C77" s="416"/>
      <c r="D77" s="416"/>
      <c r="E77" s="416"/>
      <c r="F77" s="416"/>
      <c r="G77" s="416"/>
    </row>
    <row r="78" spans="2:7" x14ac:dyDescent="0.25">
      <c r="B78" s="485"/>
      <c r="C78" s="416"/>
      <c r="D78" s="416"/>
      <c r="E78" s="416"/>
      <c r="F78" s="416"/>
      <c r="G78" s="416"/>
    </row>
    <row r="79" spans="2:7" x14ac:dyDescent="0.25">
      <c r="B79" s="485"/>
      <c r="C79" s="416"/>
      <c r="D79" s="416"/>
      <c r="E79" s="416"/>
      <c r="F79" s="416"/>
      <c r="G79" s="416"/>
    </row>
    <row r="80" spans="2:7" x14ac:dyDescent="0.25">
      <c r="B80" s="485"/>
      <c r="C80" s="416"/>
      <c r="D80" s="487"/>
      <c r="E80" s="416"/>
      <c r="F80" s="416"/>
      <c r="G80" s="416"/>
    </row>
    <row r="81" spans="2:7" x14ac:dyDescent="0.25">
      <c r="B81" s="485"/>
      <c r="C81" s="416"/>
      <c r="D81" s="487"/>
      <c r="E81" s="416"/>
      <c r="F81" s="416"/>
      <c r="G81" s="416"/>
    </row>
    <row r="82" spans="2:7" x14ac:dyDescent="0.25">
      <c r="B82" s="485"/>
      <c r="C82" s="416"/>
      <c r="D82" s="487"/>
      <c r="E82" s="416"/>
      <c r="F82" s="416"/>
      <c r="G82" s="416"/>
    </row>
    <row r="83" spans="2:7" x14ac:dyDescent="0.25">
      <c r="B83" s="485"/>
      <c r="C83" s="416"/>
      <c r="D83" s="487"/>
      <c r="E83" s="416"/>
      <c r="F83" s="416"/>
      <c r="G83" s="416"/>
    </row>
    <row r="84" spans="2:7" x14ac:dyDescent="0.25">
      <c r="B84" s="485"/>
      <c r="C84" s="416"/>
      <c r="D84" s="487"/>
      <c r="E84" s="416"/>
      <c r="F84" s="416"/>
      <c r="G84" s="416"/>
    </row>
    <row r="85" spans="2:7" x14ac:dyDescent="0.25">
      <c r="B85" s="485"/>
      <c r="C85" s="416"/>
      <c r="D85" s="487"/>
      <c r="E85" s="416"/>
      <c r="F85" s="416"/>
      <c r="G85" s="416"/>
    </row>
    <row r="86" spans="2:7" x14ac:dyDescent="0.25">
      <c r="B86" s="485"/>
      <c r="C86" s="416"/>
      <c r="D86" s="416"/>
      <c r="E86" s="416"/>
      <c r="F86" s="416"/>
      <c r="G86" s="416"/>
    </row>
    <row r="87" spans="2:7" x14ac:dyDescent="0.25">
      <c r="B87" s="485"/>
      <c r="C87" s="416"/>
      <c r="D87" s="487"/>
      <c r="E87" s="416"/>
      <c r="F87" s="416"/>
      <c r="G87" s="416"/>
    </row>
    <row r="88" spans="2:7" x14ac:dyDescent="0.25">
      <c r="B88" s="485"/>
      <c r="C88" s="416"/>
      <c r="D88" s="487"/>
      <c r="E88" s="416"/>
      <c r="F88" s="416"/>
      <c r="G88" s="416"/>
    </row>
    <row r="89" spans="2:7" x14ac:dyDescent="0.25">
      <c r="B89" s="485"/>
      <c r="C89" s="416"/>
      <c r="D89" s="487"/>
      <c r="E89" s="416"/>
      <c r="F89" s="416"/>
      <c r="G89" s="416"/>
    </row>
    <row r="90" spans="2:7" x14ac:dyDescent="0.25">
      <c r="B90" s="485"/>
      <c r="C90" s="416"/>
      <c r="D90" s="487"/>
      <c r="E90" s="416"/>
      <c r="F90" s="416"/>
      <c r="G90" s="416"/>
    </row>
    <row r="91" spans="2:7" x14ac:dyDescent="0.25">
      <c r="B91" s="485"/>
      <c r="C91" s="416"/>
      <c r="D91" s="416"/>
      <c r="E91" s="416"/>
      <c r="F91" s="416"/>
      <c r="G91" s="416"/>
    </row>
    <row r="92" spans="2:7" x14ac:dyDescent="0.25">
      <c r="B92" s="485"/>
      <c r="C92" s="416"/>
      <c r="D92" s="487"/>
      <c r="E92" s="416"/>
      <c r="F92" s="416"/>
      <c r="G92" s="416"/>
    </row>
    <row r="93" spans="2:7" x14ac:dyDescent="0.25">
      <c r="B93" s="485"/>
      <c r="C93" s="416"/>
      <c r="D93" s="487"/>
      <c r="E93" s="416"/>
      <c r="F93" s="416"/>
      <c r="G93" s="416"/>
    </row>
    <row r="94" spans="2:7" x14ac:dyDescent="0.25">
      <c r="B94" s="485"/>
      <c r="C94" s="416"/>
      <c r="D94" s="487"/>
      <c r="E94" s="416"/>
      <c r="F94" s="416"/>
      <c r="G94" s="416"/>
    </row>
    <row r="95" spans="2:7" x14ac:dyDescent="0.25">
      <c r="B95" s="485"/>
      <c r="C95" s="416"/>
      <c r="D95" s="487"/>
      <c r="E95" s="416"/>
      <c r="F95" s="416"/>
      <c r="G95" s="416"/>
    </row>
    <row r="96" spans="2:7" x14ac:dyDescent="0.25">
      <c r="B96" s="485"/>
      <c r="C96" s="416"/>
      <c r="D96" s="487"/>
      <c r="E96" s="416"/>
      <c r="F96" s="416"/>
      <c r="G96" s="416"/>
    </row>
    <row r="97" spans="2:7" x14ac:dyDescent="0.25">
      <c r="B97" s="485"/>
      <c r="C97" s="416"/>
      <c r="D97" s="487"/>
      <c r="E97" s="416"/>
      <c r="F97" s="416"/>
      <c r="G97" s="416"/>
    </row>
    <row r="98" spans="2:7" x14ac:dyDescent="0.25">
      <c r="B98" s="485"/>
      <c r="C98" s="416"/>
      <c r="D98" s="487"/>
      <c r="E98" s="416"/>
      <c r="F98" s="416"/>
      <c r="G98" s="416"/>
    </row>
    <row r="99" spans="2:7" x14ac:dyDescent="0.25">
      <c r="B99" s="485"/>
      <c r="C99" s="416"/>
      <c r="D99" s="487"/>
      <c r="E99" s="416"/>
      <c r="F99" s="416"/>
      <c r="G99" s="416"/>
    </row>
    <row r="100" spans="2:7" x14ac:dyDescent="0.25">
      <c r="B100" s="485"/>
      <c r="C100" s="416"/>
      <c r="D100" s="487"/>
      <c r="E100" s="416"/>
      <c r="F100" s="416"/>
      <c r="G100" s="416"/>
    </row>
    <row r="101" spans="2:7" x14ac:dyDescent="0.25">
      <c r="B101" s="485"/>
      <c r="C101" s="416"/>
      <c r="D101" s="487"/>
      <c r="E101" s="416"/>
      <c r="F101" s="416"/>
      <c r="G101" s="416"/>
    </row>
    <row r="102" spans="2:7" x14ac:dyDescent="0.25">
      <c r="B102" s="485"/>
      <c r="C102" s="416"/>
      <c r="D102" s="487"/>
      <c r="E102" s="416"/>
      <c r="F102" s="416"/>
      <c r="G102" s="416"/>
    </row>
    <row r="103" spans="2:7" x14ac:dyDescent="0.25">
      <c r="B103" s="485"/>
      <c r="C103" s="416"/>
      <c r="D103" s="487"/>
      <c r="E103" s="416"/>
      <c r="F103" s="416"/>
      <c r="G103" s="416"/>
    </row>
    <row r="104" spans="2:7" x14ac:dyDescent="0.25">
      <c r="B104" s="485"/>
      <c r="C104" s="416"/>
      <c r="D104" s="487"/>
      <c r="E104" s="416"/>
      <c r="F104" s="416"/>
      <c r="G104" s="416"/>
    </row>
    <row r="105" spans="2:7" x14ac:dyDescent="0.25">
      <c r="B105" s="485"/>
      <c r="C105" s="416"/>
      <c r="D105" s="487"/>
      <c r="E105" s="416"/>
      <c r="F105" s="416"/>
      <c r="G105" s="416"/>
    </row>
    <row r="106" spans="2:7" x14ac:dyDescent="0.25">
      <c r="B106" s="485"/>
      <c r="C106" s="416"/>
      <c r="D106" s="487"/>
      <c r="E106" s="416"/>
      <c r="F106" s="416"/>
      <c r="G106" s="416"/>
    </row>
    <row r="107" spans="2:7" x14ac:dyDescent="0.25">
      <c r="B107" s="485"/>
      <c r="C107" s="416"/>
      <c r="D107" s="487"/>
      <c r="E107" s="416"/>
      <c r="F107" s="416"/>
      <c r="G107" s="416"/>
    </row>
    <row r="108" spans="2:7" x14ac:dyDescent="0.25">
      <c r="B108" s="485"/>
      <c r="C108" s="416"/>
      <c r="D108" s="487"/>
      <c r="E108" s="416"/>
      <c r="F108" s="416"/>
      <c r="G108" s="416"/>
    </row>
    <row r="109" spans="2:7" x14ac:dyDescent="0.25">
      <c r="B109" s="485"/>
      <c r="C109" s="416"/>
      <c r="D109" s="487"/>
      <c r="E109" s="416"/>
      <c r="F109" s="416"/>
    </row>
    <row r="110" spans="2:7" x14ac:dyDescent="0.25">
      <c r="B110" s="485"/>
      <c r="C110" s="416"/>
      <c r="D110" s="487"/>
      <c r="E110" s="416"/>
      <c r="F110" s="416"/>
    </row>
    <row r="111" spans="2:7" x14ac:dyDescent="0.25">
      <c r="B111" s="485"/>
      <c r="C111" s="416"/>
      <c r="D111" s="487"/>
      <c r="E111" s="416"/>
      <c r="F111" s="416"/>
    </row>
    <row r="112" spans="2:7" x14ac:dyDescent="0.25">
      <c r="B112" s="485"/>
      <c r="C112" s="416"/>
      <c r="D112" s="487"/>
      <c r="E112" s="416"/>
      <c r="F112" s="416"/>
    </row>
    <row r="113" spans="2:6" x14ac:dyDescent="0.25">
      <c r="B113" s="485"/>
      <c r="C113" s="416"/>
      <c r="D113" s="487"/>
      <c r="E113" s="416"/>
      <c r="F113" s="416"/>
    </row>
    <row r="114" spans="2:6" x14ac:dyDescent="0.25">
      <c r="B114" s="485"/>
      <c r="C114" s="416"/>
      <c r="D114" s="487"/>
      <c r="E114" s="416"/>
      <c r="F114" s="416"/>
    </row>
    <row r="115" spans="2:6" x14ac:dyDescent="0.25">
      <c r="B115" s="485"/>
      <c r="C115" s="416"/>
      <c r="D115" s="487"/>
      <c r="E115" s="416"/>
      <c r="F115" s="416"/>
    </row>
    <row r="116" spans="2:6" x14ac:dyDescent="0.25">
      <c r="B116" s="485"/>
      <c r="C116" s="416"/>
      <c r="D116" s="487"/>
      <c r="E116" s="416"/>
      <c r="F116" s="416"/>
    </row>
    <row r="117" spans="2:6" x14ac:dyDescent="0.25">
      <c r="B117" s="485"/>
      <c r="C117" s="416"/>
      <c r="D117" s="487"/>
      <c r="E117" s="416"/>
      <c r="F117" s="416"/>
    </row>
    <row r="118" spans="2:6" x14ac:dyDescent="0.25">
      <c r="B118" s="485"/>
      <c r="C118" s="416"/>
      <c r="D118" s="487"/>
      <c r="E118" s="416"/>
      <c r="F118" s="416"/>
    </row>
    <row r="119" spans="2:6" x14ac:dyDescent="0.25">
      <c r="B119" s="485"/>
      <c r="C119" s="416"/>
      <c r="D119" s="487"/>
      <c r="E119" s="416"/>
      <c r="F119" s="416"/>
    </row>
    <row r="120" spans="2:6" x14ac:dyDescent="0.25">
      <c r="B120" s="485"/>
      <c r="C120" s="416"/>
      <c r="D120" s="487"/>
      <c r="E120" s="416"/>
      <c r="F120" s="416"/>
    </row>
    <row r="121" spans="2:6" x14ac:dyDescent="0.25">
      <c r="B121" s="485"/>
      <c r="C121" s="416"/>
      <c r="D121" s="487"/>
      <c r="E121" s="416"/>
      <c r="F121" s="416"/>
    </row>
    <row r="122" spans="2:6" x14ac:dyDescent="0.25">
      <c r="B122" s="485"/>
      <c r="C122" s="416"/>
      <c r="D122" s="487"/>
      <c r="E122" s="416"/>
      <c r="F122" s="416"/>
    </row>
    <row r="123" spans="2:6" x14ac:dyDescent="0.25">
      <c r="B123" s="485"/>
      <c r="C123" s="416"/>
      <c r="D123" s="487"/>
      <c r="E123" s="416"/>
      <c r="F123" s="416"/>
    </row>
    <row r="124" spans="2:6" x14ac:dyDescent="0.25">
      <c r="B124" s="485"/>
      <c r="C124" s="416"/>
      <c r="D124" s="487"/>
      <c r="E124" s="416"/>
      <c r="F124" s="416"/>
    </row>
    <row r="125" spans="2:6" x14ac:dyDescent="0.25">
      <c r="B125" s="485"/>
      <c r="C125" s="416"/>
      <c r="D125" s="416"/>
      <c r="E125" s="416"/>
      <c r="F125" s="416"/>
    </row>
    <row r="126" spans="2:6" x14ac:dyDescent="0.25">
      <c r="B126" s="485"/>
      <c r="C126" s="416"/>
      <c r="D126" s="416"/>
      <c r="E126" s="416"/>
      <c r="F126" s="416"/>
    </row>
    <row r="127" spans="2:6" x14ac:dyDescent="0.25">
      <c r="B127" s="485"/>
      <c r="C127" s="416"/>
      <c r="D127" s="416"/>
      <c r="E127" s="416"/>
      <c r="F127" s="416"/>
    </row>
    <row r="128" spans="2:6" x14ac:dyDescent="0.25">
      <c r="B128" s="485"/>
      <c r="C128" s="416"/>
      <c r="D128" s="487"/>
      <c r="E128" s="416"/>
      <c r="F128" s="416"/>
    </row>
    <row r="129" spans="2:6" x14ac:dyDescent="0.25">
      <c r="B129" s="485"/>
      <c r="C129" s="416"/>
      <c r="D129" s="487"/>
      <c r="E129" s="416"/>
      <c r="F129" s="416"/>
    </row>
    <row r="130" spans="2:6" x14ac:dyDescent="0.25">
      <c r="B130" s="485"/>
      <c r="C130" s="416"/>
      <c r="D130" s="416"/>
      <c r="E130" s="416"/>
      <c r="F130" s="416"/>
    </row>
    <row r="131" spans="2:6" x14ac:dyDescent="0.25">
      <c r="B131" s="485"/>
      <c r="C131" s="416"/>
      <c r="D131" s="416"/>
      <c r="E131" s="416"/>
      <c r="F131" s="416"/>
    </row>
    <row r="132" spans="2:6" x14ac:dyDescent="0.25">
      <c r="B132" s="485"/>
      <c r="C132" s="416"/>
      <c r="D132" s="416"/>
      <c r="E132" s="416"/>
      <c r="F132" s="416"/>
    </row>
    <row r="133" spans="2:6" x14ac:dyDescent="0.25">
      <c r="B133" s="485"/>
      <c r="C133" s="416"/>
      <c r="D133" s="487"/>
      <c r="E133" s="416"/>
      <c r="F133" s="416"/>
    </row>
    <row r="134" spans="2:6" x14ac:dyDescent="0.25">
      <c r="B134" s="485"/>
      <c r="C134" s="416"/>
      <c r="D134" s="416"/>
      <c r="E134" s="416"/>
      <c r="F134" s="416"/>
    </row>
    <row r="135" spans="2:6" x14ac:dyDescent="0.25">
      <c r="B135" s="485"/>
      <c r="C135" s="416"/>
      <c r="D135" s="487"/>
      <c r="E135" s="416"/>
      <c r="F135" s="416"/>
    </row>
    <row r="136" spans="2:6" x14ac:dyDescent="0.25">
      <c r="B136" s="485"/>
      <c r="C136" s="416"/>
      <c r="D136" s="487"/>
      <c r="E136" s="416"/>
      <c r="F136" s="416"/>
    </row>
    <row r="137" spans="2:6" x14ac:dyDescent="0.25">
      <c r="B137" s="485"/>
      <c r="C137" s="416"/>
      <c r="D137" s="487"/>
      <c r="E137" s="416"/>
      <c r="F137" s="416"/>
    </row>
    <row r="138" spans="2:6" x14ac:dyDescent="0.25">
      <c r="B138" s="485"/>
      <c r="C138" s="416"/>
      <c r="D138" s="487"/>
      <c r="E138" s="416"/>
      <c r="F138" s="416"/>
    </row>
    <row r="139" spans="2:6" x14ac:dyDescent="0.25">
      <c r="B139" s="485"/>
      <c r="C139" s="416"/>
      <c r="D139" s="487"/>
      <c r="E139" s="416"/>
      <c r="F139" s="416"/>
    </row>
    <row r="140" spans="2:6" x14ac:dyDescent="0.25">
      <c r="B140" s="485"/>
      <c r="C140" s="416"/>
      <c r="D140" s="487"/>
      <c r="E140" s="416"/>
      <c r="F140" s="416"/>
    </row>
    <row r="141" spans="2:6" x14ac:dyDescent="0.25">
      <c r="B141" s="485"/>
      <c r="C141" s="416"/>
      <c r="D141" s="487"/>
      <c r="E141" s="416"/>
      <c r="F141" s="416"/>
    </row>
    <row r="142" spans="2:6" x14ac:dyDescent="0.25">
      <c r="B142" s="485"/>
      <c r="C142" s="416"/>
      <c r="D142" s="487"/>
      <c r="E142" s="416"/>
      <c r="F142" s="416"/>
    </row>
    <row r="143" spans="2:6" x14ac:dyDescent="0.25">
      <c r="B143" s="485"/>
      <c r="C143" s="416"/>
      <c r="D143" s="487"/>
      <c r="E143" s="416"/>
      <c r="F143" s="416"/>
    </row>
    <row r="144" spans="2:6" x14ac:dyDescent="0.25">
      <c r="B144" s="485"/>
      <c r="C144" s="416"/>
      <c r="D144" s="487"/>
      <c r="E144" s="416"/>
      <c r="F144" s="416"/>
    </row>
    <row r="145" spans="2:6" x14ac:dyDescent="0.25">
      <c r="B145" s="485"/>
      <c r="C145" s="416"/>
      <c r="D145" s="487"/>
      <c r="E145" s="416"/>
      <c r="F145" s="416"/>
    </row>
    <row r="146" spans="2:6" x14ac:dyDescent="0.25">
      <c r="B146" s="485"/>
      <c r="C146" s="416"/>
      <c r="D146" s="487"/>
      <c r="E146" s="416"/>
      <c r="F146" s="416"/>
    </row>
    <row r="147" spans="2:6" x14ac:dyDescent="0.25">
      <c r="B147" s="485"/>
      <c r="C147" s="416"/>
      <c r="D147" s="487"/>
      <c r="E147" s="416"/>
      <c r="F147" s="416"/>
    </row>
    <row r="148" spans="2:6" x14ac:dyDescent="0.25">
      <c r="B148" s="485"/>
      <c r="C148" s="416"/>
      <c r="D148" s="487"/>
      <c r="E148" s="416"/>
      <c r="F148" s="416"/>
    </row>
    <row r="149" spans="2:6" x14ac:dyDescent="0.25">
      <c r="B149" s="485"/>
      <c r="C149" s="416"/>
      <c r="D149" s="487"/>
      <c r="E149" s="416"/>
      <c r="F149" s="416"/>
    </row>
    <row r="150" spans="2:6" ht="42.75" customHeight="1" x14ac:dyDescent="0.25">
      <c r="B150" s="485"/>
      <c r="C150" s="416"/>
      <c r="D150" s="487"/>
      <c r="E150" s="416"/>
      <c r="F150" s="416"/>
    </row>
    <row r="151" spans="2:6" x14ac:dyDescent="0.25">
      <c r="B151" s="485"/>
      <c r="C151" s="416"/>
      <c r="D151" s="487"/>
      <c r="E151" s="416"/>
      <c r="F151" s="416"/>
    </row>
  </sheetData>
  <mergeCells count="3">
    <mergeCell ref="B7:S7"/>
    <mergeCell ref="B6:S6"/>
    <mergeCell ref="B5:S5"/>
  </mergeCells>
  <hyperlinks>
    <hyperlink ref="C1" location="'Accomplishment 2025'!A1" display="Back to Summary of Accomplishments 2025" xr:uid="{27469F89-171F-464A-86E8-1FE13F8C66EB}"/>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D7EA2365-CB90-492B-BF66-87A2C7DEB944}">
          <x14:formula1>
            <xm:f>Picklists!$A$3:$A$14</xm:f>
          </x14:formula1>
          <xm:sqref>F152:F1048576</xm:sqref>
        </x14:dataValidation>
        <x14:dataValidation type="list" allowBlank="1" showInputMessage="1" showErrorMessage="1" xr:uid="{28DBEBF9-6058-4590-BDCC-542261E0A095}">
          <x14:formula1>
            <xm:f>Picklists!$A$67:$A$75</xm:f>
          </x14:formula1>
          <xm:sqref>C152:C1048576</xm:sqref>
        </x14:dataValidation>
        <x14:dataValidation type="list" allowBlank="1" showInputMessage="1" showErrorMessage="1" xr:uid="{38CB3D0A-D3F0-40DF-91AC-4E7ED08D2A67}">
          <x14:formula1>
            <xm:f>Picklists!$A$78:$A$85</xm:f>
          </x14:formula1>
          <xm:sqref>E152:E1048576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FA3-71ED-4120-9B58-AB43AFCAF2EF}">
  <sheetPr codeName="Sheet34">
    <tabColor rgb="FFFFC000"/>
  </sheetPr>
  <dimension ref="A1:R19"/>
  <sheetViews>
    <sheetView topLeftCell="C2" zoomScale="70" zoomScaleNormal="70" workbookViewId="0">
      <selection activeCell="D21" sqref="D21"/>
    </sheetView>
  </sheetViews>
  <sheetFormatPr defaultColWidth="8.88671875" defaultRowHeight="13.8" x14ac:dyDescent="0.25"/>
  <cols>
    <col min="1" max="1" width="4.5546875" style="164" customWidth="1"/>
    <col min="2" max="2" width="63.33203125" style="164" customWidth="1"/>
    <col min="3" max="3" width="47.33203125" style="164" customWidth="1"/>
    <col min="4" max="4" width="37" style="212" customWidth="1"/>
    <col min="5" max="5" width="28.109375" style="164" customWidth="1"/>
    <col min="6" max="6" width="31.6640625" style="172" customWidth="1"/>
    <col min="7" max="7" width="20.44140625" style="164" customWidth="1"/>
    <col min="8" max="8" width="29.109375" style="164" bestFit="1" customWidth="1"/>
    <col min="9" max="9" width="30.5546875" style="164" customWidth="1"/>
    <col min="10" max="16384" width="8.88671875" style="164"/>
  </cols>
  <sheetData>
    <row r="1" spans="1:18" s="32" customFormat="1" ht="14.4" x14ac:dyDescent="0.3">
      <c r="A1" s="173" t="s">
        <v>5090</v>
      </c>
      <c r="B1" s="173"/>
      <c r="C1" s="174" t="s">
        <v>1673</v>
      </c>
    </row>
    <row r="2" spans="1:18" s="32" customFormat="1" x14ac:dyDescent="0.25">
      <c r="A2" s="176"/>
      <c r="B2" s="176"/>
      <c r="C2" s="35"/>
    </row>
    <row r="3" spans="1:18" s="32" customFormat="1" x14ac:dyDescent="0.25">
      <c r="A3" s="363">
        <v>22</v>
      </c>
      <c r="B3" s="364" t="s">
        <v>5405</v>
      </c>
    </row>
    <row r="4" spans="1:18" s="32" customFormat="1" x14ac:dyDescent="0.25">
      <c r="A4" s="178"/>
      <c r="B4" s="206" t="s">
        <v>5406</v>
      </c>
    </row>
    <row r="5" spans="1:18" s="32" customFormat="1" x14ac:dyDescent="0.25">
      <c r="A5" s="178"/>
      <c r="B5" s="599" t="s">
        <v>5407</v>
      </c>
      <c r="C5" s="599"/>
      <c r="D5" s="599"/>
      <c r="E5" s="599"/>
      <c r="F5" s="599"/>
      <c r="G5" s="599"/>
      <c r="H5" s="599"/>
      <c r="I5" s="599"/>
      <c r="J5" s="599"/>
      <c r="K5" s="599"/>
      <c r="L5" s="599"/>
      <c r="M5" s="599"/>
      <c r="N5" s="599"/>
      <c r="O5" s="599"/>
      <c r="P5" s="599"/>
      <c r="Q5" s="599"/>
      <c r="R5" s="599"/>
    </row>
    <row r="6" spans="1:18" s="32" customFormat="1" ht="13.95" customHeight="1" x14ac:dyDescent="0.25">
      <c r="A6" s="178"/>
      <c r="B6" s="601" t="s">
        <v>5408</v>
      </c>
      <c r="C6" s="601"/>
      <c r="D6" s="601"/>
      <c r="E6" s="601"/>
      <c r="F6" s="601"/>
      <c r="G6" s="601"/>
      <c r="H6" s="601"/>
      <c r="I6" s="601"/>
      <c r="J6" s="601"/>
      <c r="K6" s="601"/>
      <c r="L6" s="601"/>
      <c r="M6" s="601"/>
      <c r="N6" s="601"/>
      <c r="O6" s="601"/>
      <c r="P6" s="601"/>
      <c r="Q6" s="601"/>
      <c r="R6" s="601"/>
    </row>
    <row r="7" spans="1:18" s="32" customFormat="1" x14ac:dyDescent="0.25">
      <c r="B7" s="602" t="s">
        <v>5409</v>
      </c>
      <c r="C7" s="602"/>
      <c r="D7" s="602"/>
      <c r="E7" s="602"/>
      <c r="F7" s="602"/>
      <c r="G7" s="602"/>
      <c r="H7" s="602"/>
      <c r="I7" s="602"/>
      <c r="J7" s="602"/>
      <c r="K7" s="602"/>
      <c r="L7" s="602"/>
      <c r="M7" s="602"/>
      <c r="N7" s="602"/>
      <c r="O7" s="602"/>
      <c r="P7" s="602"/>
      <c r="Q7" s="602"/>
      <c r="R7" s="602"/>
    </row>
    <row r="8" spans="1:18" s="32" customFormat="1" x14ac:dyDescent="0.25">
      <c r="B8" s="173"/>
      <c r="C8" s="173"/>
      <c r="D8" s="173"/>
      <c r="E8" s="173"/>
      <c r="F8" s="173"/>
      <c r="G8" s="173"/>
      <c r="H8" s="173"/>
      <c r="I8" s="173"/>
      <c r="J8" s="173"/>
      <c r="K8" s="173"/>
      <c r="L8" s="173"/>
      <c r="M8" s="173"/>
      <c r="N8" s="173"/>
      <c r="O8" s="173"/>
      <c r="P8" s="173"/>
      <c r="Q8" s="173"/>
      <c r="R8" s="173"/>
    </row>
    <row r="9" spans="1:18" s="32" customFormat="1" x14ac:dyDescent="0.25">
      <c r="C9" s="173"/>
      <c r="D9" s="173"/>
      <c r="E9" s="173"/>
      <c r="F9" s="173"/>
      <c r="G9" s="173"/>
      <c r="H9" s="173"/>
      <c r="I9" s="173"/>
      <c r="J9" s="173"/>
      <c r="K9" s="173"/>
      <c r="L9" s="173"/>
    </row>
    <row r="10" spans="1:18" s="32" customFormat="1" x14ac:dyDescent="0.25">
      <c r="B10" s="179" t="s">
        <v>5410</v>
      </c>
      <c r="C10" s="215">
        <f>COUNTA(B14:B50)</f>
        <v>6</v>
      </c>
      <c r="D10" s="173"/>
      <c r="E10" s="173"/>
      <c r="F10" s="173"/>
      <c r="G10" s="173"/>
      <c r="H10" s="173"/>
      <c r="I10" s="173"/>
      <c r="J10" s="173"/>
      <c r="K10" s="173"/>
      <c r="L10" s="173"/>
    </row>
    <row r="11" spans="1:18" s="32" customFormat="1" x14ac:dyDescent="0.25">
      <c r="C11" s="173"/>
      <c r="D11" s="173"/>
      <c r="E11" s="173"/>
      <c r="F11" s="173"/>
      <c r="G11" s="173"/>
      <c r="H11" s="173"/>
      <c r="I11" s="173"/>
      <c r="J11" s="173"/>
      <c r="K11" s="173"/>
      <c r="L11" s="173"/>
    </row>
    <row r="12" spans="1:18" s="32" customFormat="1" x14ac:dyDescent="0.25"/>
    <row r="13" spans="1:18" s="182" customFormat="1" ht="37.950000000000003" customHeight="1" x14ac:dyDescent="0.25">
      <c r="B13" s="213" t="s">
        <v>5411</v>
      </c>
      <c r="C13" s="184" t="s">
        <v>5412</v>
      </c>
      <c r="D13" s="184" t="s">
        <v>5413</v>
      </c>
      <c r="E13" s="183" t="s">
        <v>5414</v>
      </c>
      <c r="F13" s="184" t="s">
        <v>5415</v>
      </c>
      <c r="G13" s="183" t="s">
        <v>5416</v>
      </c>
      <c r="H13" s="183" t="s">
        <v>1710</v>
      </c>
      <c r="I13" s="183" t="s">
        <v>1686</v>
      </c>
    </row>
    <row r="14" spans="1:18" x14ac:dyDescent="0.25">
      <c r="B14" s="485" t="s">
        <v>5417</v>
      </c>
      <c r="C14" s="416"/>
    </row>
    <row r="15" spans="1:18" x14ac:dyDescent="0.25">
      <c r="B15" s="416" t="s">
        <v>5418</v>
      </c>
      <c r="C15" s="416"/>
    </row>
    <row r="16" spans="1:18" x14ac:dyDescent="0.25">
      <c r="B16" s="416" t="s">
        <v>5419</v>
      </c>
      <c r="C16" s="416"/>
    </row>
    <row r="17" spans="2:4" x14ac:dyDescent="0.25">
      <c r="B17" s="416" t="s">
        <v>5420</v>
      </c>
      <c r="C17" s="416"/>
    </row>
    <row r="18" spans="2:4" ht="41.4" x14ac:dyDescent="0.25">
      <c r="B18" s="416" t="s">
        <v>5421</v>
      </c>
      <c r="C18" s="485" t="s">
        <v>5422</v>
      </c>
    </row>
    <row r="19" spans="2:4" x14ac:dyDescent="0.25">
      <c r="B19" s="164" t="s">
        <v>5423</v>
      </c>
      <c r="D19" s="212" t="s">
        <v>5424</v>
      </c>
    </row>
  </sheetData>
  <mergeCells count="3">
    <mergeCell ref="B5:R5"/>
    <mergeCell ref="B6:R6"/>
    <mergeCell ref="B7:R7"/>
  </mergeCells>
  <hyperlinks>
    <hyperlink ref="C1" location="'Accomplishment 2025'!A1" display="Back to Summary of Accomplishments 2025" xr:uid="{32319EE5-9739-4C2F-8C95-4E48191D5B89}"/>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D210AB82-5DB0-468E-9910-DD1C80DF370B}">
          <x14:formula1>
            <xm:f>Picklists!$A$3:$A$14</xm:f>
          </x14:formula1>
          <xm:sqref>G14:G1048576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E0A10-A941-4679-A389-AD1791666578}">
  <sheetPr codeName="Sheet35">
    <tabColor rgb="FFFFC000"/>
  </sheetPr>
  <dimension ref="A1:P65"/>
  <sheetViews>
    <sheetView zoomScale="70" zoomScaleNormal="70" workbookViewId="0">
      <selection activeCell="B14" sqref="B14:F41"/>
    </sheetView>
  </sheetViews>
  <sheetFormatPr defaultColWidth="8.88671875" defaultRowHeight="13.8" x14ac:dyDescent="0.25"/>
  <cols>
    <col min="1" max="1" width="4.5546875" style="164" customWidth="1"/>
    <col min="2" max="2" width="63.33203125" style="164" customWidth="1"/>
    <col min="3" max="3" width="47.33203125" style="172" customWidth="1"/>
    <col min="4" max="4" width="26.6640625" style="164" customWidth="1"/>
    <col min="5" max="5" width="34.5546875" style="164" customWidth="1"/>
    <col min="6" max="6" width="29" style="164" customWidth="1"/>
    <col min="7" max="7" width="29.109375" style="164" bestFit="1" customWidth="1"/>
    <col min="8" max="16384" width="8.88671875" style="164"/>
  </cols>
  <sheetData>
    <row r="1" spans="1:16" s="32" customFormat="1" ht="14.4" x14ac:dyDescent="0.3">
      <c r="A1" s="173" t="s">
        <v>5090</v>
      </c>
      <c r="B1" s="173"/>
      <c r="C1" s="174" t="s">
        <v>1673</v>
      </c>
    </row>
    <row r="2" spans="1:16" s="32" customFormat="1" x14ac:dyDescent="0.25">
      <c r="A2" s="176"/>
      <c r="B2" s="176"/>
      <c r="C2" s="35"/>
    </row>
    <row r="3" spans="1:16" s="32" customFormat="1" x14ac:dyDescent="0.25">
      <c r="A3" s="363">
        <v>23</v>
      </c>
      <c r="B3" s="364" t="s">
        <v>5425</v>
      </c>
    </row>
    <row r="4" spans="1:16" s="32" customFormat="1" x14ac:dyDescent="0.25">
      <c r="A4" s="178"/>
      <c r="B4" s="206" t="s">
        <v>5426</v>
      </c>
    </row>
    <row r="5" spans="1:16" s="32" customFormat="1" x14ac:dyDescent="0.25">
      <c r="A5" s="178"/>
      <c r="B5" s="599" t="s">
        <v>5427</v>
      </c>
      <c r="C5" s="599"/>
      <c r="D5" s="599"/>
      <c r="E5" s="599"/>
      <c r="F5" s="599"/>
      <c r="G5" s="599"/>
      <c r="H5" s="599"/>
      <c r="I5" s="599"/>
      <c r="J5" s="599"/>
      <c r="K5" s="599"/>
      <c r="L5" s="599"/>
      <c r="M5" s="599"/>
      <c r="N5" s="599"/>
      <c r="O5" s="599"/>
      <c r="P5" s="599"/>
    </row>
    <row r="6" spans="1:16" s="32" customFormat="1" ht="13.95" customHeight="1" x14ac:dyDescent="0.25">
      <c r="A6" s="178"/>
      <c r="B6" s="601" t="s">
        <v>5428</v>
      </c>
      <c r="C6" s="601"/>
      <c r="D6" s="601"/>
      <c r="E6" s="601"/>
      <c r="F6" s="601"/>
      <c r="G6" s="601"/>
      <c r="H6" s="601"/>
      <c r="I6" s="601"/>
      <c r="J6" s="601"/>
      <c r="K6" s="601"/>
      <c r="L6" s="601"/>
      <c r="M6" s="601"/>
      <c r="N6" s="601"/>
      <c r="O6" s="601"/>
      <c r="P6" s="601"/>
    </row>
    <row r="7" spans="1:16" s="32" customFormat="1" x14ac:dyDescent="0.25">
      <c r="B7" s="602" t="s">
        <v>5429</v>
      </c>
      <c r="C7" s="602"/>
      <c r="D7" s="602"/>
      <c r="E7" s="602"/>
      <c r="F7" s="602"/>
      <c r="G7" s="602"/>
      <c r="H7" s="602"/>
      <c r="I7" s="602"/>
      <c r="J7" s="602"/>
      <c r="K7" s="602"/>
      <c r="L7" s="602"/>
      <c r="M7" s="602"/>
      <c r="N7" s="602"/>
      <c r="O7" s="602"/>
      <c r="P7" s="602"/>
    </row>
    <row r="8" spans="1:16" s="32" customFormat="1" x14ac:dyDescent="0.25">
      <c r="B8" s="173"/>
      <c r="C8" s="173"/>
      <c r="D8" s="173"/>
      <c r="E8" s="173"/>
      <c r="F8" s="173"/>
      <c r="G8" s="173"/>
      <c r="H8" s="173"/>
      <c r="I8" s="173"/>
      <c r="J8" s="173"/>
      <c r="K8" s="173"/>
      <c r="L8" s="173"/>
      <c r="M8" s="173"/>
      <c r="N8" s="173"/>
      <c r="O8" s="173"/>
      <c r="P8" s="173"/>
    </row>
    <row r="9" spans="1:16" s="32" customFormat="1" x14ac:dyDescent="0.25">
      <c r="C9" s="173"/>
      <c r="D9" s="173"/>
      <c r="E9" s="173"/>
      <c r="F9" s="173"/>
      <c r="G9" s="173"/>
      <c r="H9" s="173"/>
      <c r="I9" s="173"/>
      <c r="J9" s="173"/>
    </row>
    <row r="10" spans="1:16" s="32" customFormat="1" x14ac:dyDescent="0.25">
      <c r="B10" s="179" t="s">
        <v>5430</v>
      </c>
      <c r="C10" s="215">
        <f>COUNTA(B14:B53)</f>
        <v>4</v>
      </c>
      <c r="D10" s="173"/>
      <c r="E10" s="173"/>
      <c r="F10" s="173"/>
      <c r="G10" s="173"/>
      <c r="H10" s="173"/>
      <c r="I10" s="173"/>
      <c r="J10" s="173"/>
    </row>
    <row r="11" spans="1:16" s="32" customFormat="1" x14ac:dyDescent="0.25">
      <c r="C11" s="173"/>
      <c r="D11" s="173"/>
      <c r="E11" s="173"/>
      <c r="F11" s="173"/>
      <c r="G11" s="173"/>
      <c r="H11" s="173"/>
      <c r="I11" s="173"/>
      <c r="J11" s="173"/>
    </row>
    <row r="12" spans="1:16" s="32" customFormat="1" x14ac:dyDescent="0.25"/>
    <row r="13" spans="1:16" s="182" customFormat="1" ht="31.95" customHeight="1" x14ac:dyDescent="0.25">
      <c r="B13" s="213" t="s">
        <v>5431</v>
      </c>
      <c r="C13" s="184" t="s">
        <v>5432</v>
      </c>
      <c r="D13" s="184" t="s">
        <v>5433</v>
      </c>
      <c r="E13" s="183" t="s">
        <v>1710</v>
      </c>
      <c r="F13" s="183" t="s">
        <v>5434</v>
      </c>
      <c r="G13" s="183" t="s">
        <v>1686</v>
      </c>
    </row>
    <row r="14" spans="1:16" s="384" customFormat="1" x14ac:dyDescent="0.25">
      <c r="A14" s="490"/>
      <c r="B14" s="491" t="s">
        <v>5435</v>
      </c>
      <c r="C14" s="491"/>
      <c r="D14" s="556">
        <v>46055</v>
      </c>
      <c r="E14" s="491" t="s">
        <v>5436</v>
      </c>
      <c r="F14" s="490" t="s">
        <v>1499</v>
      </c>
      <c r="G14" s="490"/>
      <c r="H14" s="490"/>
      <c r="I14" s="490"/>
      <c r="J14" s="490"/>
      <c r="K14" s="490"/>
      <c r="L14" s="490"/>
      <c r="M14" s="490"/>
      <c r="N14" s="490"/>
      <c r="O14" s="490"/>
      <c r="P14" s="490"/>
    </row>
    <row r="15" spans="1:16" s="384" customFormat="1" x14ac:dyDescent="0.25">
      <c r="A15" s="490"/>
      <c r="B15" s="491" t="s">
        <v>5437</v>
      </c>
      <c r="C15" s="491" t="s">
        <v>5438</v>
      </c>
      <c r="D15" s="556">
        <v>46059</v>
      </c>
      <c r="E15" s="491" t="s">
        <v>5439</v>
      </c>
      <c r="F15" s="490" t="s">
        <v>1499</v>
      </c>
      <c r="G15" s="490"/>
      <c r="H15" s="490"/>
      <c r="I15" s="490"/>
      <c r="J15" s="490"/>
      <c r="K15" s="490"/>
      <c r="L15" s="490"/>
      <c r="M15" s="490"/>
      <c r="N15" s="490"/>
      <c r="O15" s="490"/>
      <c r="P15" s="490"/>
    </row>
    <row r="16" spans="1:16" s="384" customFormat="1" x14ac:dyDescent="0.25">
      <c r="A16" s="490"/>
      <c r="B16" s="491" t="s">
        <v>5440</v>
      </c>
      <c r="C16" s="491"/>
      <c r="D16" s="491" t="s">
        <v>5441</v>
      </c>
      <c r="E16" s="491" t="s">
        <v>5442</v>
      </c>
      <c r="F16" s="490" t="s">
        <v>1499</v>
      </c>
      <c r="G16" s="490"/>
      <c r="H16" s="490"/>
      <c r="I16" s="490"/>
      <c r="J16" s="490"/>
      <c r="K16" s="490"/>
      <c r="L16" s="490"/>
      <c r="M16" s="490"/>
      <c r="N16" s="490"/>
      <c r="O16" s="490"/>
      <c r="P16" s="490"/>
    </row>
    <row r="17" spans="1:16" s="384" customFormat="1" x14ac:dyDescent="0.25">
      <c r="A17" s="490"/>
      <c r="B17" s="491" t="s">
        <v>5443</v>
      </c>
      <c r="C17" s="491"/>
      <c r="D17" s="556">
        <v>46078</v>
      </c>
      <c r="E17" s="491" t="s">
        <v>5436</v>
      </c>
      <c r="F17" s="490" t="s">
        <v>1499</v>
      </c>
      <c r="G17" s="490"/>
      <c r="H17" s="490"/>
      <c r="I17" s="490"/>
      <c r="J17" s="490"/>
      <c r="K17" s="490"/>
      <c r="L17" s="490"/>
      <c r="M17" s="490"/>
      <c r="N17" s="490"/>
      <c r="O17" s="490"/>
      <c r="P17" s="490"/>
    </row>
    <row r="18" spans="1:16" s="384" customFormat="1" ht="14.4" x14ac:dyDescent="0.3">
      <c r="B18" s="387"/>
      <c r="C18" s="387"/>
      <c r="D18" s="488"/>
      <c r="E18" s="387"/>
      <c r="F18" s="164"/>
    </row>
    <row r="19" spans="1:16" s="384" customFormat="1" ht="14.4" x14ac:dyDescent="0.3">
      <c r="B19" s="390"/>
      <c r="C19" s="388"/>
      <c r="D19" s="389"/>
      <c r="E19" s="388"/>
    </row>
    <row r="20" spans="1:16" ht="14.4" x14ac:dyDescent="0.3">
      <c r="B20" s="387"/>
      <c r="C20" s="164"/>
      <c r="D20" s="385"/>
    </row>
    <row r="21" spans="1:16" ht="14.4" x14ac:dyDescent="0.3">
      <c r="B21" s="387"/>
      <c r="C21" s="164"/>
      <c r="D21" s="391"/>
    </row>
    <row r="22" spans="1:16" x14ac:dyDescent="0.25">
      <c r="B22" s="190"/>
      <c r="C22" s="190"/>
      <c r="D22" s="399"/>
    </row>
    <row r="23" spans="1:16" x14ac:dyDescent="0.25">
      <c r="B23" s="190"/>
      <c r="C23" s="190"/>
      <c r="D23" s="239"/>
      <c r="E23" s="190"/>
    </row>
    <row r="24" spans="1:16" x14ac:dyDescent="0.25">
      <c r="C24" s="190"/>
      <c r="D24" s="239"/>
    </row>
    <row r="25" spans="1:16" x14ac:dyDescent="0.25">
      <c r="C25" s="164"/>
      <c r="D25" s="239"/>
    </row>
    <row r="26" spans="1:16" ht="14.4" x14ac:dyDescent="0.3">
      <c r="B26" s="387"/>
      <c r="C26" s="164"/>
      <c r="D26" s="239"/>
    </row>
    <row r="27" spans="1:16" ht="14.4" x14ac:dyDescent="0.3">
      <c r="B27" s="387"/>
      <c r="C27" s="164"/>
      <c r="D27" s="239"/>
    </row>
    <row r="28" spans="1:16" x14ac:dyDescent="0.25">
      <c r="C28" s="164"/>
      <c r="D28" s="239"/>
    </row>
    <row r="29" spans="1:16" x14ac:dyDescent="0.25">
      <c r="B29" s="190"/>
      <c r="C29" s="164"/>
      <c r="D29" s="239"/>
    </row>
    <row r="30" spans="1:16" x14ac:dyDescent="0.25">
      <c r="C30" s="190"/>
      <c r="D30" s="239"/>
    </row>
    <row r="31" spans="1:16" x14ac:dyDescent="0.25">
      <c r="C31" s="164"/>
      <c r="D31" s="239"/>
    </row>
    <row r="32" spans="1:16" ht="14.4" x14ac:dyDescent="0.3">
      <c r="B32" s="387"/>
      <c r="C32" s="164"/>
      <c r="D32" s="239"/>
    </row>
    <row r="33" spans="2:5" ht="14.4" x14ac:dyDescent="0.3">
      <c r="B33" s="387"/>
      <c r="C33" s="164"/>
      <c r="D33" s="239"/>
    </row>
    <row r="34" spans="2:5" x14ac:dyDescent="0.25">
      <c r="C34" s="164"/>
      <c r="D34" s="239"/>
    </row>
    <row r="35" spans="2:5" x14ac:dyDescent="0.25">
      <c r="C35" s="164"/>
      <c r="D35" s="239"/>
    </row>
    <row r="36" spans="2:5" x14ac:dyDescent="0.25">
      <c r="C36" s="164"/>
      <c r="D36" s="239"/>
    </row>
    <row r="37" spans="2:5" x14ac:dyDescent="0.25">
      <c r="C37" s="164"/>
      <c r="D37" s="239"/>
    </row>
    <row r="38" spans="2:5" x14ac:dyDescent="0.25">
      <c r="C38" s="164"/>
      <c r="D38" s="239"/>
    </row>
    <row r="39" spans="2:5" x14ac:dyDescent="0.25">
      <c r="B39" s="190"/>
      <c r="C39" s="190"/>
      <c r="D39" s="239"/>
      <c r="E39" s="190"/>
    </row>
    <row r="40" spans="2:5" x14ac:dyDescent="0.25">
      <c r="C40" s="190"/>
      <c r="D40" s="239"/>
      <c r="E40" s="190"/>
    </row>
    <row r="41" spans="2:5" x14ac:dyDescent="0.25">
      <c r="C41" s="190"/>
      <c r="D41" s="239"/>
      <c r="E41" s="190"/>
    </row>
    <row r="42" spans="2:5" x14ac:dyDescent="0.25">
      <c r="C42" s="190"/>
      <c r="D42" s="239"/>
      <c r="E42" s="190"/>
    </row>
    <row r="43" spans="2:5" x14ac:dyDescent="0.25">
      <c r="C43" s="190"/>
      <c r="D43" s="239"/>
      <c r="E43" s="190"/>
    </row>
    <row r="44" spans="2:5" x14ac:dyDescent="0.25">
      <c r="C44" s="190"/>
      <c r="D44" s="239"/>
      <c r="E44" s="190"/>
    </row>
    <row r="45" spans="2:5" x14ac:dyDescent="0.25">
      <c r="C45" s="190"/>
      <c r="D45" s="239"/>
      <c r="E45" s="190"/>
    </row>
    <row r="46" spans="2:5" x14ac:dyDescent="0.25">
      <c r="C46" s="190"/>
      <c r="D46" s="239"/>
      <c r="E46" s="190"/>
    </row>
    <row r="47" spans="2:5" x14ac:dyDescent="0.25">
      <c r="C47" s="190"/>
      <c r="D47" s="239"/>
      <c r="E47" s="190"/>
    </row>
    <row r="48" spans="2:5" x14ac:dyDescent="0.25">
      <c r="C48" s="190"/>
      <c r="D48" s="239"/>
      <c r="E48" s="190"/>
    </row>
    <row r="49" spans="1:16" x14ac:dyDescent="0.25">
      <c r="C49" s="190"/>
      <c r="D49" s="239"/>
      <c r="E49" s="190"/>
    </row>
    <row r="50" spans="1:16" x14ac:dyDescent="0.25">
      <c r="C50" s="190"/>
      <c r="D50" s="239"/>
      <c r="E50" s="190"/>
    </row>
    <row r="51" spans="1:16" x14ac:dyDescent="0.25">
      <c r="C51" s="190"/>
      <c r="D51" s="239"/>
      <c r="E51" s="190"/>
    </row>
    <row r="52" spans="1:16" x14ac:dyDescent="0.25">
      <c r="C52" s="190"/>
      <c r="D52" s="239"/>
      <c r="E52" s="190"/>
    </row>
    <row r="53" spans="1:16" x14ac:dyDescent="0.25">
      <c r="C53" s="190"/>
      <c r="D53" s="239"/>
    </row>
    <row r="54" spans="1:16" x14ac:dyDescent="0.25">
      <c r="C54" s="164"/>
      <c r="D54" s="239"/>
    </row>
    <row r="55" spans="1:16" x14ac:dyDescent="0.25">
      <c r="A55" s="165"/>
      <c r="B55" s="166"/>
      <c r="C55" s="164"/>
    </row>
    <row r="56" spans="1:16" x14ac:dyDescent="0.25">
      <c r="A56" s="167"/>
      <c r="B56" s="204" t="s">
        <v>5444</v>
      </c>
      <c r="C56" s="164"/>
    </row>
    <row r="57" spans="1:16" x14ac:dyDescent="0.25">
      <c r="A57" s="167"/>
      <c r="B57" s="624" t="s">
        <v>5445</v>
      </c>
      <c r="C57" s="624"/>
      <c r="D57" s="624"/>
      <c r="E57" s="624"/>
      <c r="F57" s="624"/>
      <c r="G57" s="624"/>
      <c r="H57" s="624"/>
      <c r="I57" s="624"/>
      <c r="J57" s="624"/>
      <c r="K57" s="624"/>
      <c r="L57" s="624"/>
      <c r="M57" s="624"/>
      <c r="N57" s="624"/>
      <c r="O57" s="624"/>
      <c r="P57" s="624"/>
    </row>
    <row r="58" spans="1:16" ht="13.95" customHeight="1" x14ac:dyDescent="0.25">
      <c r="A58" s="167"/>
      <c r="B58" s="625" t="s">
        <v>5446</v>
      </c>
      <c r="C58" s="625"/>
      <c r="D58" s="625"/>
      <c r="E58" s="625"/>
      <c r="F58" s="625"/>
      <c r="G58" s="625"/>
      <c r="H58" s="625"/>
      <c r="I58" s="625"/>
      <c r="J58" s="625"/>
      <c r="K58" s="625"/>
      <c r="L58" s="625"/>
      <c r="M58" s="625"/>
      <c r="N58" s="625"/>
      <c r="O58" s="625"/>
      <c r="P58" s="625"/>
    </row>
    <row r="59" spans="1:16" x14ac:dyDescent="0.25">
      <c r="B59" s="623" t="s">
        <v>5447</v>
      </c>
      <c r="C59" s="623"/>
      <c r="D59" s="623"/>
      <c r="E59" s="623"/>
      <c r="F59" s="623"/>
      <c r="G59" s="623"/>
      <c r="H59" s="623"/>
      <c r="I59" s="623"/>
      <c r="J59" s="623"/>
      <c r="K59" s="623"/>
      <c r="L59" s="623"/>
      <c r="M59" s="623"/>
      <c r="N59" s="623"/>
      <c r="O59" s="623"/>
      <c r="P59" s="623"/>
    </row>
    <row r="60" spans="1:16" x14ac:dyDescent="0.25">
      <c r="B60" s="163"/>
      <c r="C60" s="163"/>
      <c r="D60" s="163"/>
      <c r="E60" s="163"/>
      <c r="F60" s="163"/>
      <c r="G60" s="163"/>
      <c r="H60" s="163"/>
      <c r="I60" s="163"/>
      <c r="J60" s="163"/>
      <c r="K60" s="163"/>
      <c r="L60" s="163"/>
      <c r="M60" s="163"/>
      <c r="N60" s="163"/>
      <c r="O60" s="163"/>
      <c r="P60" s="163"/>
    </row>
    <row r="61" spans="1:16" x14ac:dyDescent="0.25">
      <c r="C61" s="163"/>
      <c r="D61" s="163"/>
      <c r="E61" s="163"/>
      <c r="F61" s="163"/>
      <c r="G61" s="163"/>
      <c r="H61" s="163"/>
      <c r="I61" s="163"/>
      <c r="J61" s="163"/>
    </row>
    <row r="62" spans="1:16" x14ac:dyDescent="0.25">
      <c r="B62" s="168" t="s">
        <v>5448</v>
      </c>
      <c r="C62" s="214">
        <f>COUNTA(B66:B102)</f>
        <v>0</v>
      </c>
      <c r="D62" s="163"/>
      <c r="E62" s="163"/>
      <c r="F62" s="163"/>
      <c r="G62" s="163"/>
      <c r="H62" s="163"/>
      <c r="I62" s="163"/>
      <c r="J62" s="163"/>
    </row>
    <row r="63" spans="1:16" x14ac:dyDescent="0.25">
      <c r="C63" s="163"/>
      <c r="D63" s="163"/>
      <c r="E63" s="163"/>
      <c r="F63" s="163"/>
      <c r="G63" s="163"/>
      <c r="H63" s="163"/>
      <c r="I63" s="163"/>
      <c r="J63" s="163"/>
    </row>
    <row r="64" spans="1:16" x14ac:dyDescent="0.25">
      <c r="C64" s="164"/>
    </row>
    <row r="65" spans="2:5" s="169" customFormat="1" ht="31.95" customHeight="1" x14ac:dyDescent="0.25">
      <c r="B65" s="211" t="s">
        <v>5449</v>
      </c>
      <c r="C65" s="170" t="s">
        <v>5450</v>
      </c>
      <c r="D65" s="170" t="s">
        <v>5434</v>
      </c>
      <c r="E65" s="170" t="s">
        <v>1686</v>
      </c>
    </row>
  </sheetData>
  <mergeCells count="6">
    <mergeCell ref="B59:P59"/>
    <mergeCell ref="B5:P5"/>
    <mergeCell ref="B6:P6"/>
    <mergeCell ref="B7:P7"/>
    <mergeCell ref="B57:P57"/>
    <mergeCell ref="B58:P58"/>
  </mergeCells>
  <hyperlinks>
    <hyperlink ref="C1" location="'Accomplishment 2025'!A1" display="Back to Summary of Accomplishments 2025" xr:uid="{DE914C36-8AC6-4DA3-969C-2F7CEB0118FA}"/>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49CDC54B-E32C-4CA0-B713-F1C0977648BE}">
          <x14:formula1>
            <xm:f>Picklists!$A$3:$A$14</xm:f>
          </x14:formula1>
          <xm:sqref>D66:D102 F18:F53</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9CC0-B56D-477E-B305-30B227271479}">
  <sheetPr>
    <tabColor rgb="FFFFC000"/>
  </sheetPr>
  <dimension ref="A1:AF14"/>
  <sheetViews>
    <sheetView zoomScale="70" zoomScaleNormal="70" workbookViewId="0">
      <selection activeCell="C18" sqref="C18"/>
    </sheetView>
  </sheetViews>
  <sheetFormatPr defaultColWidth="8.88671875" defaultRowHeight="13.8" x14ac:dyDescent="0.25"/>
  <cols>
    <col min="1" max="1" width="4.5546875" style="164" customWidth="1"/>
    <col min="2" max="2" width="63.33203125" style="164" customWidth="1"/>
    <col min="3" max="3" width="37.6640625" style="164" customWidth="1"/>
    <col min="4" max="4" width="37" style="212" customWidth="1"/>
    <col min="5" max="5" width="28.109375" style="164" customWidth="1"/>
    <col min="6" max="6" width="31.6640625" style="172" customWidth="1"/>
    <col min="7" max="7" width="20.44140625" style="164" customWidth="1"/>
    <col min="8" max="8" width="30.5546875" style="164" customWidth="1"/>
    <col min="9" max="16384" width="8.88671875" style="164"/>
  </cols>
  <sheetData>
    <row r="1" spans="1:32" s="32" customFormat="1" ht="14.4" x14ac:dyDescent="0.3">
      <c r="A1" s="173" t="s">
        <v>5090</v>
      </c>
      <c r="B1" s="173"/>
      <c r="C1" s="174" t="s">
        <v>1673</v>
      </c>
    </row>
    <row r="2" spans="1:32" s="32" customFormat="1" x14ac:dyDescent="0.25">
      <c r="A2" s="176"/>
      <c r="B2" s="176"/>
      <c r="C2" s="35"/>
    </row>
    <row r="3" spans="1:32" s="32" customFormat="1" x14ac:dyDescent="0.25">
      <c r="A3" s="363">
        <v>24</v>
      </c>
      <c r="B3" s="364" t="s">
        <v>5451</v>
      </c>
    </row>
    <row r="4" spans="1:32" s="32" customFormat="1" x14ac:dyDescent="0.25">
      <c r="A4" s="178"/>
      <c r="B4" s="206" t="s">
        <v>5452</v>
      </c>
    </row>
    <row r="5" spans="1:32" s="32" customFormat="1" x14ac:dyDescent="0.25">
      <c r="A5" s="178"/>
      <c r="B5" s="599" t="s">
        <v>5453</v>
      </c>
      <c r="C5" s="599"/>
      <c r="D5" s="599"/>
      <c r="E5" s="599"/>
      <c r="F5" s="599"/>
      <c r="G5" s="599"/>
      <c r="H5" s="599"/>
      <c r="I5" s="599"/>
      <c r="J5" s="599"/>
      <c r="K5" s="599"/>
      <c r="L5" s="599"/>
      <c r="M5" s="599"/>
      <c r="N5" s="599"/>
      <c r="O5" s="599"/>
      <c r="P5" s="599"/>
      <c r="Q5" s="599"/>
    </row>
    <row r="6" spans="1:32" s="32" customFormat="1" ht="13.95" customHeight="1" x14ac:dyDescent="0.25">
      <c r="A6" s="178"/>
      <c r="B6" s="601" t="s">
        <v>5454</v>
      </c>
      <c r="C6" s="601"/>
      <c r="D6" s="601"/>
      <c r="E6" s="601"/>
      <c r="F6" s="601"/>
      <c r="G6" s="601"/>
      <c r="H6" s="601"/>
      <c r="I6" s="601"/>
      <c r="J6" s="601"/>
      <c r="K6" s="601"/>
      <c r="L6" s="601"/>
      <c r="M6" s="601"/>
      <c r="N6" s="601"/>
      <c r="O6" s="601"/>
      <c r="P6" s="601"/>
      <c r="Q6" s="601"/>
    </row>
    <row r="7" spans="1:32" s="32" customFormat="1" x14ac:dyDescent="0.25">
      <c r="B7" s="602" t="s">
        <v>5409</v>
      </c>
      <c r="C7" s="602"/>
      <c r="D7" s="602"/>
      <c r="E7" s="602"/>
      <c r="F7" s="602"/>
      <c r="G7" s="602"/>
      <c r="H7" s="602"/>
      <c r="I7" s="602"/>
      <c r="J7" s="602"/>
      <c r="K7" s="602"/>
      <c r="L7" s="602"/>
      <c r="M7" s="602"/>
      <c r="N7" s="602"/>
      <c r="O7" s="602"/>
      <c r="P7" s="602"/>
      <c r="Q7" s="602"/>
    </row>
    <row r="8" spans="1:32" s="32" customFormat="1" x14ac:dyDescent="0.25">
      <c r="B8" s="173"/>
      <c r="C8" s="173"/>
      <c r="D8" s="173"/>
      <c r="E8" s="173"/>
      <c r="F8" s="173"/>
      <c r="G8" s="173"/>
      <c r="H8" s="173"/>
      <c r="I8" s="173"/>
      <c r="J8" s="173"/>
      <c r="K8" s="173"/>
      <c r="L8" s="173"/>
      <c r="M8" s="173"/>
      <c r="N8" s="173"/>
      <c r="O8" s="173"/>
      <c r="P8" s="173"/>
      <c r="Q8" s="173"/>
    </row>
    <row r="9" spans="1:32" s="32" customFormat="1" x14ac:dyDescent="0.25">
      <c r="B9" s="626" t="s">
        <v>5455</v>
      </c>
      <c r="C9" s="626"/>
      <c r="D9" s="626"/>
      <c r="E9" s="626"/>
      <c r="F9" s="626"/>
      <c r="G9" s="626"/>
      <c r="H9" s="626"/>
      <c r="I9" s="626"/>
      <c r="J9" s="626"/>
      <c r="K9" s="626"/>
      <c r="L9" s="626"/>
      <c r="M9" s="626"/>
      <c r="N9" s="626"/>
      <c r="O9" s="626"/>
      <c r="P9" s="626"/>
      <c r="Q9" s="626"/>
      <c r="R9" s="626"/>
      <c r="S9" s="626"/>
      <c r="T9" s="626"/>
      <c r="U9" s="626"/>
      <c r="V9" s="626"/>
      <c r="X9" s="173"/>
      <c r="Y9" s="173"/>
      <c r="Z9" s="173"/>
      <c r="AA9" s="173"/>
      <c r="AB9" s="173"/>
      <c r="AC9" s="173"/>
      <c r="AD9" s="173"/>
      <c r="AE9" s="173"/>
      <c r="AF9" s="173"/>
    </row>
    <row r="10" spans="1:32" s="32" customFormat="1" x14ac:dyDescent="0.25">
      <c r="B10" s="267"/>
      <c r="C10" s="267"/>
      <c r="D10" s="267"/>
      <c r="E10" s="267"/>
      <c r="F10" s="267"/>
      <c r="G10" s="267"/>
      <c r="H10" s="267"/>
      <c r="I10" s="267"/>
      <c r="J10" s="267"/>
      <c r="K10" s="267"/>
      <c r="L10" s="267"/>
      <c r="M10" s="267"/>
      <c r="N10" s="267"/>
      <c r="O10" s="267"/>
      <c r="P10" s="267"/>
      <c r="Q10" s="267"/>
      <c r="R10" s="267"/>
      <c r="S10" s="267"/>
      <c r="T10" s="267"/>
      <c r="U10" s="267"/>
      <c r="V10" s="267"/>
      <c r="X10" s="173"/>
      <c r="Y10" s="173"/>
      <c r="Z10" s="173"/>
      <c r="AA10" s="173"/>
      <c r="AB10" s="173"/>
      <c r="AC10" s="173"/>
      <c r="AD10" s="173"/>
      <c r="AE10" s="173"/>
      <c r="AF10" s="173"/>
    </row>
    <row r="11" spans="1:32" s="32" customFormat="1" ht="13.95" customHeight="1" x14ac:dyDescent="0.25">
      <c r="B11" s="179" t="s">
        <v>5456</v>
      </c>
      <c r="C11" s="215">
        <f>COUNTA(B15:B1000)</f>
        <v>0</v>
      </c>
      <c r="D11" s="173"/>
      <c r="E11" s="173"/>
      <c r="F11" s="173"/>
      <c r="G11" s="173"/>
      <c r="H11" s="173"/>
      <c r="I11" s="173"/>
      <c r="J11" s="173"/>
      <c r="K11" s="173"/>
    </row>
    <row r="12" spans="1:32" s="32" customFormat="1" x14ac:dyDescent="0.25">
      <c r="C12" s="173"/>
      <c r="D12" s="173"/>
      <c r="E12" s="173"/>
      <c r="F12" s="173"/>
      <c r="G12" s="173"/>
      <c r="H12" s="173"/>
      <c r="I12" s="173"/>
      <c r="J12" s="173"/>
      <c r="K12" s="173"/>
    </row>
    <row r="13" spans="1:32" s="32" customFormat="1" x14ac:dyDescent="0.25"/>
    <row r="14" spans="1:32" s="182" customFormat="1" ht="37.950000000000003" customHeight="1" x14ac:dyDescent="0.25">
      <c r="B14" s="213" t="s">
        <v>5457</v>
      </c>
      <c r="C14" s="184" t="s">
        <v>5172</v>
      </c>
      <c r="D14" s="184" t="s">
        <v>5458</v>
      </c>
      <c r="E14" s="183" t="s">
        <v>5459</v>
      </c>
      <c r="F14" s="184" t="s">
        <v>5460</v>
      </c>
      <c r="G14" s="183" t="s">
        <v>5461</v>
      </c>
      <c r="H14" s="183" t="s">
        <v>1686</v>
      </c>
    </row>
  </sheetData>
  <mergeCells count="4">
    <mergeCell ref="B5:Q5"/>
    <mergeCell ref="B6:Q6"/>
    <mergeCell ref="B7:Q7"/>
    <mergeCell ref="B9:V9"/>
  </mergeCells>
  <hyperlinks>
    <hyperlink ref="C1" location="'Accomplishment 2025'!A1" display="Back to Summary of Accomplishments 2025" xr:uid="{5066C946-9673-41B0-AE1D-A9BE1781014F}"/>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90E9F29-2120-4DB9-AE2A-67CF0CAC681F}">
          <x14:formula1>
            <xm:f>Picklists!$A$3:$A$14</xm:f>
          </x14:formula1>
          <xm:sqref>G15:G1048576</xm:sqref>
        </x14:dataValidation>
        <x14:dataValidation type="list" allowBlank="1" showInputMessage="1" showErrorMessage="1" xr:uid="{40D16F86-034C-4BF7-BDFC-8D9A71583C21}">
          <x14:formula1>
            <xm:f>Picklists!$A$134:$A$140</xm:f>
          </x14:formula1>
          <xm:sqref>C15:C1048576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7B80-5AFE-4479-A241-05F8337117C7}">
  <sheetPr codeName="Sheet36">
    <tabColor rgb="FFFFC000"/>
  </sheetPr>
  <dimension ref="A1:V1001"/>
  <sheetViews>
    <sheetView topLeftCell="A11" zoomScale="60" zoomScaleNormal="60" workbookViewId="0">
      <selection activeCell="K37" sqref="K37"/>
    </sheetView>
  </sheetViews>
  <sheetFormatPr defaultColWidth="8.88671875" defaultRowHeight="13.8" x14ac:dyDescent="0.25"/>
  <cols>
    <col min="1" max="1" width="17.109375" style="164" customWidth="1"/>
    <col min="2" max="2" width="28" style="164" customWidth="1"/>
    <col min="3" max="3" width="22" style="164" customWidth="1"/>
    <col min="4" max="4" width="21.44140625" style="172" customWidth="1"/>
    <col min="5" max="5" width="12.44140625" style="172" customWidth="1"/>
    <col min="6" max="6" width="28.109375" style="164" customWidth="1"/>
    <col min="7" max="7" width="22.109375" style="164" customWidth="1"/>
    <col min="8" max="8" width="29.109375" style="164" bestFit="1" customWidth="1"/>
    <col min="9" max="9" width="30.5546875" style="164" customWidth="1"/>
    <col min="10" max="10" width="13.44140625" style="201" bestFit="1" customWidth="1"/>
    <col min="11" max="11" width="20" style="201" customWidth="1"/>
    <col min="12" max="12" width="20" style="164" customWidth="1"/>
    <col min="13" max="13" width="15.5546875" style="164" customWidth="1"/>
    <col min="14" max="14" width="21.5546875" style="164" customWidth="1"/>
    <col min="15" max="15" width="24" style="164" customWidth="1"/>
    <col min="16" max="16384" width="8.88671875" style="164"/>
  </cols>
  <sheetData>
    <row r="1" spans="1:22" s="32" customFormat="1" ht="14.4" x14ac:dyDescent="0.3">
      <c r="A1" s="173" t="s">
        <v>5090</v>
      </c>
      <c r="B1" s="173"/>
      <c r="C1" s="174" t="s">
        <v>1673</v>
      </c>
      <c r="J1" s="38"/>
      <c r="K1" s="38"/>
      <c r="L1" s="38"/>
    </row>
    <row r="2" spans="1:22" s="32" customFormat="1" x14ac:dyDescent="0.25">
      <c r="A2" s="176"/>
      <c r="B2" s="176"/>
      <c r="C2" s="35"/>
      <c r="J2" s="38"/>
      <c r="K2" s="38"/>
      <c r="L2" s="38"/>
    </row>
    <row r="3" spans="1:22" s="32" customFormat="1" x14ac:dyDescent="0.25">
      <c r="A3" s="363">
        <v>25</v>
      </c>
      <c r="B3" s="364" t="s">
        <v>1652</v>
      </c>
      <c r="J3" s="38"/>
      <c r="K3" s="38"/>
      <c r="L3" s="38"/>
    </row>
    <row r="4" spans="1:22" s="32" customFormat="1" x14ac:dyDescent="0.25">
      <c r="A4" s="178"/>
      <c r="B4" s="206" t="s">
        <v>5462</v>
      </c>
      <c r="J4" s="38"/>
      <c r="K4" s="38"/>
      <c r="L4" s="38"/>
    </row>
    <row r="5" spans="1:22" s="32" customFormat="1" x14ac:dyDescent="0.25">
      <c r="A5" s="178"/>
      <c r="B5" s="599" t="s">
        <v>5463</v>
      </c>
      <c r="C5" s="599"/>
      <c r="D5" s="599"/>
      <c r="E5" s="599"/>
      <c r="F5" s="599"/>
      <c r="G5" s="599"/>
      <c r="H5" s="599"/>
      <c r="I5" s="599"/>
      <c r="J5" s="599"/>
      <c r="K5" s="599"/>
      <c r="L5" s="599"/>
      <c r="M5" s="599"/>
      <c r="N5" s="599"/>
      <c r="O5" s="599"/>
      <c r="P5" s="599"/>
      <c r="Q5" s="599"/>
      <c r="R5" s="599"/>
      <c r="S5" s="599"/>
      <c r="T5" s="599"/>
    </row>
    <row r="6" spans="1:22" s="32" customFormat="1" ht="13.95" customHeight="1" x14ac:dyDescent="0.25">
      <c r="A6" s="178"/>
      <c r="B6" s="601" t="s">
        <v>5464</v>
      </c>
      <c r="C6" s="601"/>
      <c r="D6" s="601"/>
      <c r="E6" s="601"/>
      <c r="F6" s="601"/>
      <c r="G6" s="601"/>
      <c r="H6" s="601"/>
      <c r="I6" s="601"/>
      <c r="J6" s="601"/>
      <c r="K6" s="601"/>
      <c r="L6" s="601"/>
      <c r="M6" s="601"/>
      <c r="N6" s="601"/>
      <c r="O6" s="601"/>
      <c r="P6" s="601"/>
      <c r="Q6" s="601"/>
      <c r="R6" s="601"/>
      <c r="S6" s="601"/>
      <c r="T6" s="601"/>
    </row>
    <row r="7" spans="1:22" s="32" customFormat="1" x14ac:dyDescent="0.25">
      <c r="B7" s="602" t="s">
        <v>5465</v>
      </c>
      <c r="C7" s="602"/>
      <c r="D7" s="602"/>
      <c r="E7" s="602"/>
      <c r="F7" s="602"/>
      <c r="G7" s="602"/>
      <c r="H7" s="602"/>
      <c r="I7" s="602"/>
      <c r="J7" s="602"/>
      <c r="K7" s="602"/>
      <c r="L7" s="602"/>
      <c r="M7" s="602"/>
      <c r="N7" s="602"/>
      <c r="O7" s="602"/>
      <c r="P7" s="602"/>
      <c r="Q7" s="602"/>
      <c r="R7" s="602"/>
      <c r="S7" s="602"/>
      <c r="T7" s="602"/>
    </row>
    <row r="8" spans="1:22" s="32" customFormat="1" x14ac:dyDescent="0.25">
      <c r="B8" s="173"/>
      <c r="C8" s="173"/>
      <c r="D8" s="173"/>
      <c r="E8" s="173"/>
      <c r="F8" s="173"/>
      <c r="G8" s="173"/>
      <c r="H8" s="173"/>
      <c r="I8" s="173"/>
      <c r="J8" s="182"/>
      <c r="K8" s="173"/>
      <c r="L8" s="173"/>
      <c r="M8" s="173"/>
      <c r="N8" s="173"/>
      <c r="O8" s="173"/>
      <c r="P8" s="173"/>
      <c r="Q8" s="173"/>
      <c r="R8" s="173"/>
      <c r="S8" s="173"/>
      <c r="T8" s="173"/>
    </row>
    <row r="9" spans="1:22" s="32" customFormat="1" x14ac:dyDescent="0.25">
      <c r="B9" s="173"/>
      <c r="C9" s="173"/>
      <c r="D9" s="173"/>
      <c r="E9" s="173"/>
      <c r="F9" s="173"/>
      <c r="G9" s="173"/>
      <c r="H9" s="173"/>
      <c r="I9" s="173"/>
      <c r="J9" s="182"/>
      <c r="K9" s="173"/>
      <c r="L9" s="173"/>
      <c r="M9" s="173"/>
      <c r="N9" s="173"/>
      <c r="O9" s="173"/>
      <c r="P9" s="173"/>
      <c r="Q9" s="173"/>
      <c r="R9" s="173"/>
      <c r="S9" s="173"/>
      <c r="T9" s="173"/>
    </row>
    <row r="10" spans="1:22" s="32" customFormat="1" x14ac:dyDescent="0.25">
      <c r="A10" s="178"/>
      <c r="B10" s="206" t="s">
        <v>5466</v>
      </c>
      <c r="J10" s="38"/>
      <c r="K10" s="38"/>
      <c r="L10" s="38"/>
    </row>
    <row r="11" spans="1:22" s="32" customFormat="1" ht="121.2" customHeight="1" x14ac:dyDescent="0.25">
      <c r="A11" s="178"/>
      <c r="B11" s="599" t="s">
        <v>5467</v>
      </c>
      <c r="C11" s="599"/>
      <c r="D11" s="599"/>
      <c r="E11" s="599"/>
      <c r="F11" s="599"/>
      <c r="G11" s="599"/>
      <c r="H11" s="599"/>
      <c r="I11" s="599"/>
      <c r="J11" s="599"/>
      <c r="K11" s="599"/>
      <c r="L11" s="599"/>
      <c r="M11" s="599"/>
      <c r="N11" s="599"/>
      <c r="O11" s="599"/>
      <c r="P11" s="599"/>
      <c r="Q11" s="599"/>
      <c r="R11" s="599"/>
      <c r="S11" s="599"/>
      <c r="T11" s="599"/>
    </row>
    <row r="12" spans="1:22" s="32" customFormat="1" ht="13.95" customHeight="1" x14ac:dyDescent="0.25">
      <c r="A12" s="178"/>
      <c r="B12" s="601" t="s">
        <v>5464</v>
      </c>
      <c r="C12" s="601"/>
      <c r="D12" s="601"/>
      <c r="E12" s="601"/>
      <c r="F12" s="601"/>
      <c r="G12" s="601"/>
      <c r="H12" s="601"/>
      <c r="I12" s="601"/>
      <c r="J12" s="601"/>
      <c r="K12" s="601"/>
      <c r="L12" s="601"/>
      <c r="M12" s="601"/>
      <c r="N12" s="601"/>
      <c r="O12" s="601"/>
      <c r="P12" s="601"/>
      <c r="Q12" s="601"/>
      <c r="R12" s="601"/>
      <c r="S12" s="601"/>
      <c r="T12" s="601"/>
    </row>
    <row r="13" spans="1:22" s="32" customFormat="1" x14ac:dyDescent="0.25">
      <c r="B13" s="602" t="s">
        <v>5468</v>
      </c>
      <c r="C13" s="602"/>
      <c r="D13" s="602"/>
      <c r="E13" s="602"/>
      <c r="F13" s="602"/>
      <c r="G13" s="602"/>
      <c r="H13" s="602"/>
      <c r="I13" s="602"/>
      <c r="J13" s="602"/>
      <c r="K13" s="602"/>
      <c r="L13" s="602"/>
      <c r="M13" s="602"/>
      <c r="N13" s="602"/>
      <c r="O13" s="602"/>
      <c r="P13" s="602"/>
      <c r="Q13" s="602"/>
      <c r="R13" s="602"/>
      <c r="S13" s="602"/>
      <c r="T13" s="602"/>
    </row>
    <row r="14" spans="1:22" s="32" customFormat="1" x14ac:dyDescent="0.25">
      <c r="B14" s="173"/>
      <c r="C14" s="173"/>
      <c r="D14" s="173"/>
      <c r="E14" s="173"/>
      <c r="F14" s="173"/>
      <c r="G14" s="173"/>
      <c r="H14" s="173"/>
      <c r="I14" s="173"/>
      <c r="J14" s="182"/>
      <c r="K14" s="173"/>
      <c r="L14" s="173"/>
      <c r="M14" s="173"/>
      <c r="N14" s="173"/>
      <c r="O14" s="173"/>
      <c r="P14" s="173"/>
      <c r="Q14" s="173"/>
      <c r="R14" s="173"/>
      <c r="S14" s="173"/>
      <c r="T14" s="173"/>
    </row>
    <row r="15" spans="1:22" s="32" customFormat="1" x14ac:dyDescent="0.25">
      <c r="B15" s="626" t="s">
        <v>5469</v>
      </c>
      <c r="C15" s="626"/>
      <c r="D15" s="626"/>
      <c r="E15" s="626"/>
      <c r="F15" s="626"/>
      <c r="G15" s="626"/>
      <c r="H15" s="626"/>
      <c r="I15" s="626"/>
      <c r="J15" s="626"/>
      <c r="K15" s="626"/>
      <c r="L15" s="626"/>
      <c r="M15" s="626"/>
      <c r="N15" s="626"/>
      <c r="O15" s="626"/>
      <c r="P15" s="626"/>
      <c r="Q15" s="626"/>
      <c r="R15" s="626"/>
      <c r="S15" s="626"/>
      <c r="T15" s="626"/>
      <c r="U15" s="626"/>
      <c r="V15" s="626"/>
    </row>
    <row r="16" spans="1:22" s="32" customFormat="1" x14ac:dyDescent="0.25">
      <c r="C16" s="173"/>
      <c r="D16" s="173"/>
      <c r="E16" s="173"/>
      <c r="F16" s="173"/>
      <c r="G16" s="173"/>
      <c r="H16" s="173"/>
      <c r="I16" s="173"/>
      <c r="J16" s="182"/>
      <c r="K16" s="182"/>
      <c r="L16" s="182"/>
      <c r="M16" s="173"/>
      <c r="N16" s="173"/>
    </row>
    <row r="17" spans="1:22" s="32" customFormat="1" x14ac:dyDescent="0.25">
      <c r="B17" s="179" t="s">
        <v>5470</v>
      </c>
      <c r="C17" s="215">
        <f>COUNTA(C21:C57)</f>
        <v>2</v>
      </c>
      <c r="D17" s="173"/>
      <c r="E17" s="173"/>
      <c r="F17" s="173"/>
      <c r="G17" s="173"/>
      <c r="H17" s="173"/>
      <c r="I17" s="173"/>
      <c r="J17" s="182"/>
      <c r="K17" s="182"/>
      <c r="L17" s="182"/>
      <c r="M17" s="173"/>
      <c r="N17" s="173"/>
    </row>
    <row r="18" spans="1:22" s="32" customFormat="1" x14ac:dyDescent="0.25">
      <c r="B18" s="179" t="s">
        <v>5471</v>
      </c>
      <c r="C18" s="208">
        <f>IFERROR(COUNTIF(K21:K1001,"On Time")/COUNTA(C21:C1001),"")</f>
        <v>1</v>
      </c>
      <c r="D18" s="173"/>
      <c r="E18" s="173"/>
      <c r="F18" s="173"/>
      <c r="G18" s="173"/>
      <c r="H18" s="173"/>
      <c r="I18" s="173"/>
      <c r="J18" s="182"/>
      <c r="K18" s="182"/>
      <c r="L18" s="182"/>
      <c r="M18" s="173"/>
      <c r="N18" s="173"/>
    </row>
    <row r="19" spans="1:22" s="32" customFormat="1" x14ac:dyDescent="0.25">
      <c r="J19" s="38"/>
      <c r="K19" s="38"/>
      <c r="L19" s="38"/>
    </row>
    <row r="20" spans="1:22" s="182" customFormat="1" ht="52.2" customHeight="1" x14ac:dyDescent="0.25">
      <c r="A20" s="184" t="s">
        <v>5472</v>
      </c>
      <c r="B20" s="213" t="s">
        <v>5473</v>
      </c>
      <c r="C20" s="184" t="s">
        <v>5474</v>
      </c>
      <c r="D20" s="184" t="s">
        <v>5475</v>
      </c>
      <c r="E20" s="184" t="s">
        <v>5434</v>
      </c>
      <c r="F20" s="183" t="s">
        <v>5476</v>
      </c>
      <c r="G20" s="183" t="s">
        <v>5477</v>
      </c>
      <c r="H20" s="183" t="s">
        <v>5478</v>
      </c>
      <c r="I20" s="183" t="s">
        <v>5479</v>
      </c>
      <c r="J20" s="184" t="s">
        <v>5480</v>
      </c>
      <c r="K20" s="200" t="s">
        <v>5481</v>
      </c>
      <c r="L20" s="200" t="s">
        <v>5482</v>
      </c>
      <c r="M20" s="216" t="s">
        <v>5483</v>
      </c>
      <c r="N20" s="216" t="s">
        <v>5484</v>
      </c>
      <c r="O20" s="183" t="s">
        <v>1686</v>
      </c>
    </row>
    <row r="21" spans="1:22" ht="55.2" x14ac:dyDescent="0.25">
      <c r="A21" s="490" t="s">
        <v>5485</v>
      </c>
      <c r="B21" s="490" t="s">
        <v>5486</v>
      </c>
      <c r="C21" s="490" t="s">
        <v>5487</v>
      </c>
      <c r="D21" s="489">
        <v>45662</v>
      </c>
      <c r="E21" s="490" t="s">
        <v>1498</v>
      </c>
      <c r="F21" s="490" t="s">
        <v>5488</v>
      </c>
      <c r="G21" s="490" t="s">
        <v>5489</v>
      </c>
      <c r="H21" s="490">
        <v>2</v>
      </c>
      <c r="I21" s="490">
        <v>4.0282</v>
      </c>
      <c r="J21" s="490">
        <v>2</v>
      </c>
      <c r="K21" s="490" t="s">
        <v>5490</v>
      </c>
      <c r="L21" s="490">
        <v>1</v>
      </c>
      <c r="M21" s="490" t="s">
        <v>5491</v>
      </c>
      <c r="N21" s="490" t="s">
        <v>5492</v>
      </c>
      <c r="O21" s="491" t="s">
        <v>5493</v>
      </c>
      <c r="P21" s="490"/>
      <c r="Q21" s="490"/>
      <c r="R21" s="490"/>
      <c r="S21" s="490"/>
      <c r="T21" s="490"/>
      <c r="U21" s="490"/>
      <c r="V21" s="490"/>
    </row>
    <row r="22" spans="1:22" x14ac:dyDescent="0.25">
      <c r="A22" s="490" t="s">
        <v>5494</v>
      </c>
      <c r="B22" s="490" t="s">
        <v>5495</v>
      </c>
      <c r="C22" s="490" t="s">
        <v>5487</v>
      </c>
      <c r="D22" s="489">
        <v>45669</v>
      </c>
      <c r="E22" s="490" t="s">
        <v>1498</v>
      </c>
      <c r="F22" s="490" t="s">
        <v>5496</v>
      </c>
      <c r="G22" s="490" t="s">
        <v>5497</v>
      </c>
      <c r="H22" s="490">
        <v>1</v>
      </c>
      <c r="I22" s="490">
        <v>14.805300000000001</v>
      </c>
      <c r="J22" s="490">
        <v>2</v>
      </c>
      <c r="K22" s="490" t="s">
        <v>5490</v>
      </c>
      <c r="L22" s="490">
        <v>1</v>
      </c>
      <c r="M22" s="490" t="s">
        <v>5498</v>
      </c>
      <c r="N22" s="490" t="s">
        <v>5499</v>
      </c>
      <c r="O22" s="490"/>
      <c r="P22" s="490"/>
      <c r="Q22" s="490"/>
      <c r="R22" s="490"/>
      <c r="S22" s="490"/>
      <c r="T22" s="490"/>
      <c r="U22" s="490"/>
      <c r="V22" s="490"/>
    </row>
    <row r="23" spans="1:22" x14ac:dyDescent="0.25">
      <c r="K23" s="201" t="str">
        <f t="shared" ref="K23:K84" si="0">IF(OR(C23="", J23=""), "",
    IF(AND(C23="Zoning - Simple", J23&lt;=5), "On Time",
        IF(AND(C23="Zoning - DAR (Simple)", J23&lt;=7), "On Time",
            IF(AND(C23="Locational Clearance", J23&lt;=10), "On Time",
                IF(AND(C23="Zoning - DAR (Complex)", J23&lt;=15), "On Time",
                    IF(AND(C23="Reclass Indorsement", J23&lt;=30), "On Time",
                        IF(AND(C23="Others", J23&lt;=3), "On Time", "Delayed")
                    )
                )
            )
        )
    )
)</f>
        <v/>
      </c>
      <c r="L23" s="201" t="str">
        <f t="shared" ref="L23:L84" si="1">IF(K23="", "", IF(K23="On Time", 1, 0))</f>
        <v/>
      </c>
    </row>
    <row r="24" spans="1:22" x14ac:dyDescent="0.25">
      <c r="K24" s="201" t="str">
        <f t="shared" si="0"/>
        <v/>
      </c>
      <c r="L24" s="201" t="str">
        <f t="shared" si="1"/>
        <v/>
      </c>
    </row>
    <row r="25" spans="1:22" x14ac:dyDescent="0.25">
      <c r="K25" s="201" t="str">
        <f t="shared" si="0"/>
        <v/>
      </c>
      <c r="L25" s="201" t="str">
        <f t="shared" si="1"/>
        <v/>
      </c>
    </row>
    <row r="26" spans="1:22" x14ac:dyDescent="0.25">
      <c r="K26" s="201" t="str">
        <f t="shared" si="0"/>
        <v/>
      </c>
      <c r="L26" s="201" t="str">
        <f t="shared" si="1"/>
        <v/>
      </c>
    </row>
    <row r="27" spans="1:22" x14ac:dyDescent="0.25">
      <c r="K27" s="201" t="str">
        <f t="shared" si="0"/>
        <v/>
      </c>
      <c r="L27" s="201" t="str">
        <f t="shared" si="1"/>
        <v/>
      </c>
    </row>
    <row r="28" spans="1:22" x14ac:dyDescent="0.25">
      <c r="K28" s="201" t="str">
        <f t="shared" si="0"/>
        <v/>
      </c>
      <c r="L28" s="201" t="str">
        <f t="shared" si="1"/>
        <v/>
      </c>
    </row>
    <row r="29" spans="1:22" x14ac:dyDescent="0.25">
      <c r="K29" s="201" t="str">
        <f t="shared" si="0"/>
        <v/>
      </c>
      <c r="L29" s="201" t="str">
        <f t="shared" si="1"/>
        <v/>
      </c>
    </row>
    <row r="30" spans="1:22" x14ac:dyDescent="0.25">
      <c r="K30" s="201" t="str">
        <f t="shared" si="0"/>
        <v/>
      </c>
      <c r="L30" s="201" t="str">
        <f t="shared" si="1"/>
        <v/>
      </c>
    </row>
    <row r="31" spans="1:22" x14ac:dyDescent="0.25">
      <c r="K31" s="201" t="str">
        <f t="shared" si="0"/>
        <v/>
      </c>
      <c r="L31" s="201" t="str">
        <f t="shared" si="1"/>
        <v/>
      </c>
    </row>
    <row r="32" spans="1:22" x14ac:dyDescent="0.25">
      <c r="K32" s="201" t="str">
        <f t="shared" si="0"/>
        <v/>
      </c>
      <c r="L32" s="201" t="str">
        <f t="shared" si="1"/>
        <v/>
      </c>
    </row>
    <row r="33" spans="11:12" x14ac:dyDescent="0.25">
      <c r="K33" s="201" t="str">
        <f t="shared" si="0"/>
        <v/>
      </c>
      <c r="L33" s="201" t="str">
        <f t="shared" si="1"/>
        <v/>
      </c>
    </row>
    <row r="34" spans="11:12" x14ac:dyDescent="0.25">
      <c r="K34" s="201" t="str">
        <f t="shared" si="0"/>
        <v/>
      </c>
      <c r="L34" s="201" t="str">
        <f t="shared" si="1"/>
        <v/>
      </c>
    </row>
    <row r="35" spans="11:12" x14ac:dyDescent="0.25">
      <c r="K35" s="201" t="str">
        <f t="shared" si="0"/>
        <v/>
      </c>
      <c r="L35" s="201" t="str">
        <f t="shared" si="1"/>
        <v/>
      </c>
    </row>
    <row r="36" spans="11:12" x14ac:dyDescent="0.25">
      <c r="K36" s="201" t="str">
        <f t="shared" si="0"/>
        <v/>
      </c>
      <c r="L36" s="201" t="str">
        <f t="shared" si="1"/>
        <v/>
      </c>
    </row>
    <row r="37" spans="11:12" x14ac:dyDescent="0.25">
      <c r="K37" s="201" t="str">
        <f t="shared" si="0"/>
        <v/>
      </c>
      <c r="L37" s="201" t="str">
        <f t="shared" si="1"/>
        <v/>
      </c>
    </row>
    <row r="38" spans="11:12" x14ac:dyDescent="0.25">
      <c r="K38" s="201" t="str">
        <f t="shared" si="0"/>
        <v/>
      </c>
      <c r="L38" s="201" t="str">
        <f t="shared" si="1"/>
        <v/>
      </c>
    </row>
    <row r="39" spans="11:12" x14ac:dyDescent="0.25">
      <c r="K39" s="201" t="str">
        <f t="shared" si="0"/>
        <v/>
      </c>
      <c r="L39" s="201" t="str">
        <f t="shared" si="1"/>
        <v/>
      </c>
    </row>
    <row r="40" spans="11:12" x14ac:dyDescent="0.25">
      <c r="K40" s="201" t="str">
        <f t="shared" si="0"/>
        <v/>
      </c>
      <c r="L40" s="201" t="str">
        <f t="shared" si="1"/>
        <v/>
      </c>
    </row>
    <row r="41" spans="11:12" x14ac:dyDescent="0.25">
      <c r="K41" s="201" t="str">
        <f t="shared" si="0"/>
        <v/>
      </c>
      <c r="L41" s="201" t="str">
        <f t="shared" si="1"/>
        <v/>
      </c>
    </row>
    <row r="42" spans="11:12" x14ac:dyDescent="0.25">
      <c r="K42" s="201" t="str">
        <f t="shared" si="0"/>
        <v/>
      </c>
      <c r="L42" s="201" t="str">
        <f t="shared" si="1"/>
        <v/>
      </c>
    </row>
    <row r="43" spans="11:12" x14ac:dyDescent="0.25">
      <c r="K43" s="201" t="str">
        <f t="shared" si="0"/>
        <v/>
      </c>
      <c r="L43" s="201" t="str">
        <f t="shared" si="1"/>
        <v/>
      </c>
    </row>
    <row r="44" spans="11:12" x14ac:dyDescent="0.25">
      <c r="K44" s="201" t="str">
        <f t="shared" si="0"/>
        <v/>
      </c>
      <c r="L44" s="201" t="str">
        <f t="shared" si="1"/>
        <v/>
      </c>
    </row>
    <row r="45" spans="11:12" x14ac:dyDescent="0.25">
      <c r="K45" s="201" t="str">
        <f t="shared" si="0"/>
        <v/>
      </c>
      <c r="L45" s="201" t="str">
        <f t="shared" si="1"/>
        <v/>
      </c>
    </row>
    <row r="46" spans="11:12" x14ac:dyDescent="0.25">
      <c r="K46" s="201" t="str">
        <f t="shared" si="0"/>
        <v/>
      </c>
      <c r="L46" s="201" t="str">
        <f t="shared" si="1"/>
        <v/>
      </c>
    </row>
    <row r="47" spans="11:12" x14ac:dyDescent="0.25">
      <c r="K47" s="201" t="str">
        <f t="shared" si="0"/>
        <v/>
      </c>
      <c r="L47" s="201" t="str">
        <f t="shared" si="1"/>
        <v/>
      </c>
    </row>
    <row r="48" spans="11:12" x14ac:dyDescent="0.25">
      <c r="K48" s="201" t="str">
        <f t="shared" si="0"/>
        <v/>
      </c>
      <c r="L48" s="201" t="str">
        <f t="shared" si="1"/>
        <v/>
      </c>
    </row>
    <row r="49" spans="11:12" x14ac:dyDescent="0.25">
      <c r="K49" s="201" t="str">
        <f t="shared" si="0"/>
        <v/>
      </c>
      <c r="L49" s="201" t="str">
        <f t="shared" si="1"/>
        <v/>
      </c>
    </row>
    <row r="50" spans="11:12" x14ac:dyDescent="0.25">
      <c r="K50" s="201" t="str">
        <f t="shared" si="0"/>
        <v/>
      </c>
      <c r="L50" s="201" t="str">
        <f t="shared" si="1"/>
        <v/>
      </c>
    </row>
    <row r="51" spans="11:12" x14ac:dyDescent="0.25">
      <c r="K51" s="201" t="str">
        <f t="shared" si="0"/>
        <v/>
      </c>
      <c r="L51" s="201" t="str">
        <f t="shared" si="1"/>
        <v/>
      </c>
    </row>
    <row r="52" spans="11:12" x14ac:dyDescent="0.25">
      <c r="K52" s="201" t="str">
        <f t="shared" si="0"/>
        <v/>
      </c>
      <c r="L52" s="201" t="str">
        <f t="shared" si="1"/>
        <v/>
      </c>
    </row>
    <row r="53" spans="11:12" x14ac:dyDescent="0.25">
      <c r="K53" s="201" t="str">
        <f t="shared" si="0"/>
        <v/>
      </c>
      <c r="L53" s="201" t="str">
        <f t="shared" si="1"/>
        <v/>
      </c>
    </row>
    <row r="54" spans="11:12" x14ac:dyDescent="0.25">
      <c r="K54" s="201" t="str">
        <f t="shared" si="0"/>
        <v/>
      </c>
      <c r="L54" s="201" t="str">
        <f t="shared" si="1"/>
        <v/>
      </c>
    </row>
    <row r="55" spans="11:12" x14ac:dyDescent="0.25">
      <c r="K55" s="201" t="str">
        <f t="shared" si="0"/>
        <v/>
      </c>
      <c r="L55" s="201" t="str">
        <f t="shared" si="1"/>
        <v/>
      </c>
    </row>
    <row r="56" spans="11:12" x14ac:dyDescent="0.25">
      <c r="K56" s="201" t="str">
        <f t="shared" si="0"/>
        <v/>
      </c>
      <c r="L56" s="201" t="str">
        <f t="shared" si="1"/>
        <v/>
      </c>
    </row>
    <row r="57" spans="11:12" x14ac:dyDescent="0.25">
      <c r="K57" s="201" t="str">
        <f t="shared" si="0"/>
        <v/>
      </c>
      <c r="L57" s="201" t="str">
        <f t="shared" si="1"/>
        <v/>
      </c>
    </row>
    <row r="58" spans="11:12" x14ac:dyDescent="0.25">
      <c r="K58" s="201" t="str">
        <f t="shared" si="0"/>
        <v/>
      </c>
      <c r="L58" s="201" t="str">
        <f t="shared" si="1"/>
        <v/>
      </c>
    </row>
    <row r="59" spans="11:12" x14ac:dyDescent="0.25">
      <c r="K59" s="201" t="str">
        <f t="shared" si="0"/>
        <v/>
      </c>
      <c r="L59" s="201" t="str">
        <f t="shared" si="1"/>
        <v/>
      </c>
    </row>
    <row r="60" spans="11:12" x14ac:dyDescent="0.25">
      <c r="K60" s="201" t="str">
        <f t="shared" si="0"/>
        <v/>
      </c>
      <c r="L60" s="201" t="str">
        <f t="shared" si="1"/>
        <v/>
      </c>
    </row>
    <row r="61" spans="11:12" x14ac:dyDescent="0.25">
      <c r="K61" s="201" t="str">
        <f t="shared" si="0"/>
        <v/>
      </c>
      <c r="L61" s="201" t="str">
        <f t="shared" si="1"/>
        <v/>
      </c>
    </row>
    <row r="62" spans="11:12" x14ac:dyDescent="0.25">
      <c r="K62" s="201" t="str">
        <f t="shared" si="0"/>
        <v/>
      </c>
      <c r="L62" s="201" t="str">
        <f t="shared" si="1"/>
        <v/>
      </c>
    </row>
    <row r="63" spans="11:12" x14ac:dyDescent="0.25">
      <c r="K63" s="201" t="str">
        <f t="shared" si="0"/>
        <v/>
      </c>
      <c r="L63" s="201" t="str">
        <f t="shared" si="1"/>
        <v/>
      </c>
    </row>
    <row r="64" spans="11:12" x14ac:dyDescent="0.25">
      <c r="K64" s="201" t="str">
        <f t="shared" si="0"/>
        <v/>
      </c>
      <c r="L64" s="201" t="str">
        <f t="shared" si="1"/>
        <v/>
      </c>
    </row>
    <row r="65" spans="11:12" x14ac:dyDescent="0.25">
      <c r="K65" s="201" t="str">
        <f t="shared" si="0"/>
        <v/>
      </c>
      <c r="L65" s="201" t="str">
        <f t="shared" si="1"/>
        <v/>
      </c>
    </row>
    <row r="66" spans="11:12" x14ac:dyDescent="0.25">
      <c r="K66" s="201" t="str">
        <f t="shared" si="0"/>
        <v/>
      </c>
      <c r="L66" s="201" t="str">
        <f t="shared" si="1"/>
        <v/>
      </c>
    </row>
    <row r="67" spans="11:12" x14ac:dyDescent="0.25">
      <c r="K67" s="201" t="str">
        <f t="shared" si="0"/>
        <v/>
      </c>
      <c r="L67" s="201" t="str">
        <f t="shared" si="1"/>
        <v/>
      </c>
    </row>
    <row r="68" spans="11:12" x14ac:dyDescent="0.25">
      <c r="K68" s="201" t="str">
        <f t="shared" si="0"/>
        <v/>
      </c>
      <c r="L68" s="201" t="str">
        <f t="shared" si="1"/>
        <v/>
      </c>
    </row>
    <row r="69" spans="11:12" x14ac:dyDescent="0.25">
      <c r="K69" s="201" t="str">
        <f t="shared" si="0"/>
        <v/>
      </c>
      <c r="L69" s="201" t="str">
        <f t="shared" si="1"/>
        <v/>
      </c>
    </row>
    <row r="70" spans="11:12" x14ac:dyDescent="0.25">
      <c r="K70" s="201" t="str">
        <f t="shared" si="0"/>
        <v/>
      </c>
      <c r="L70" s="201" t="str">
        <f t="shared" si="1"/>
        <v/>
      </c>
    </row>
    <row r="71" spans="11:12" x14ac:dyDescent="0.25">
      <c r="K71" s="201" t="str">
        <f t="shared" si="0"/>
        <v/>
      </c>
      <c r="L71" s="201" t="str">
        <f t="shared" si="1"/>
        <v/>
      </c>
    </row>
    <row r="72" spans="11:12" x14ac:dyDescent="0.25">
      <c r="K72" s="201" t="str">
        <f t="shared" si="0"/>
        <v/>
      </c>
      <c r="L72" s="201" t="str">
        <f t="shared" si="1"/>
        <v/>
      </c>
    </row>
    <row r="73" spans="11:12" x14ac:dyDescent="0.25">
      <c r="K73" s="201" t="str">
        <f t="shared" si="0"/>
        <v/>
      </c>
      <c r="L73" s="201" t="str">
        <f t="shared" si="1"/>
        <v/>
      </c>
    </row>
    <row r="74" spans="11:12" x14ac:dyDescent="0.25">
      <c r="K74" s="201" t="str">
        <f t="shared" si="0"/>
        <v/>
      </c>
      <c r="L74" s="201" t="str">
        <f t="shared" si="1"/>
        <v/>
      </c>
    </row>
    <row r="75" spans="11:12" x14ac:dyDescent="0.25">
      <c r="K75" s="201" t="str">
        <f t="shared" si="0"/>
        <v/>
      </c>
      <c r="L75" s="201" t="str">
        <f t="shared" si="1"/>
        <v/>
      </c>
    </row>
    <row r="76" spans="11:12" x14ac:dyDescent="0.25">
      <c r="K76" s="201" t="str">
        <f t="shared" si="0"/>
        <v/>
      </c>
      <c r="L76" s="201" t="str">
        <f t="shared" si="1"/>
        <v/>
      </c>
    </row>
    <row r="77" spans="11:12" x14ac:dyDescent="0.25">
      <c r="K77" s="201" t="str">
        <f t="shared" si="0"/>
        <v/>
      </c>
      <c r="L77" s="201" t="str">
        <f t="shared" si="1"/>
        <v/>
      </c>
    </row>
    <row r="78" spans="11:12" x14ac:dyDescent="0.25">
      <c r="K78" s="201" t="str">
        <f t="shared" si="0"/>
        <v/>
      </c>
      <c r="L78" s="201" t="str">
        <f t="shared" si="1"/>
        <v/>
      </c>
    </row>
    <row r="79" spans="11:12" x14ac:dyDescent="0.25">
      <c r="K79" s="201" t="str">
        <f t="shared" si="0"/>
        <v/>
      </c>
      <c r="L79" s="201" t="str">
        <f t="shared" si="1"/>
        <v/>
      </c>
    </row>
    <row r="80" spans="11:12" x14ac:dyDescent="0.25">
      <c r="K80" s="201" t="str">
        <f t="shared" si="0"/>
        <v/>
      </c>
      <c r="L80" s="201" t="str">
        <f t="shared" si="1"/>
        <v/>
      </c>
    </row>
    <row r="81" spans="11:12" x14ac:dyDescent="0.25">
      <c r="K81" s="201" t="str">
        <f t="shared" si="0"/>
        <v/>
      </c>
      <c r="L81" s="201" t="str">
        <f t="shared" si="1"/>
        <v/>
      </c>
    </row>
    <row r="82" spans="11:12" x14ac:dyDescent="0.25">
      <c r="K82" s="201" t="str">
        <f t="shared" si="0"/>
        <v/>
      </c>
      <c r="L82" s="201" t="str">
        <f t="shared" si="1"/>
        <v/>
      </c>
    </row>
    <row r="83" spans="11:12" x14ac:dyDescent="0.25">
      <c r="K83" s="201" t="str">
        <f t="shared" si="0"/>
        <v/>
      </c>
      <c r="L83" s="201" t="str">
        <f t="shared" si="1"/>
        <v/>
      </c>
    </row>
    <row r="84" spans="11:12" x14ac:dyDescent="0.25">
      <c r="K84" s="201" t="str">
        <f t="shared" si="0"/>
        <v/>
      </c>
      <c r="L84" s="201" t="str">
        <f t="shared" si="1"/>
        <v/>
      </c>
    </row>
    <row r="85" spans="11:12" x14ac:dyDescent="0.25">
      <c r="K85" s="201" t="str">
        <f t="shared" ref="K85:K148" si="2">IF(OR(C85="", J85=""), "",
    IF(AND(C85="Zoning - Simple", J85&lt;=5), "On Time",
        IF(AND(C85="Zoning - DAR (Simple)", J85&lt;=7), "On Time",
            IF(AND(C85="Locational Clearance", J85&lt;=10), "On Time",
                IF(AND(C85="Zoning - DAR (Complex)", J85&lt;=15), "On Time",
                    IF(AND(C85="Reclass Indorsement", J85&lt;=30), "On Time",
                        IF(AND(C85="Others", J85&lt;=3), "On Time", "Delayed")
                    )
                )
            )
        )
    )
)</f>
        <v/>
      </c>
      <c r="L85" s="201" t="str">
        <f t="shared" ref="L85:L148" si="3">IF(K85="", "", IF(K85="On Time", 1, 0))</f>
        <v/>
      </c>
    </row>
    <row r="86" spans="11:12" x14ac:dyDescent="0.25">
      <c r="K86" s="201" t="str">
        <f t="shared" si="2"/>
        <v/>
      </c>
      <c r="L86" s="201" t="str">
        <f t="shared" si="3"/>
        <v/>
      </c>
    </row>
    <row r="87" spans="11:12" x14ac:dyDescent="0.25">
      <c r="K87" s="201" t="str">
        <f t="shared" si="2"/>
        <v/>
      </c>
      <c r="L87" s="201" t="str">
        <f t="shared" si="3"/>
        <v/>
      </c>
    </row>
    <row r="88" spans="11:12" x14ac:dyDescent="0.25">
      <c r="K88" s="201" t="str">
        <f t="shared" si="2"/>
        <v/>
      </c>
      <c r="L88" s="201" t="str">
        <f t="shared" si="3"/>
        <v/>
      </c>
    </row>
    <row r="89" spans="11:12" x14ac:dyDescent="0.25">
      <c r="K89" s="201" t="str">
        <f t="shared" si="2"/>
        <v/>
      </c>
      <c r="L89" s="201" t="str">
        <f t="shared" si="3"/>
        <v/>
      </c>
    </row>
    <row r="90" spans="11:12" x14ac:dyDescent="0.25">
      <c r="K90" s="201" t="str">
        <f t="shared" si="2"/>
        <v/>
      </c>
      <c r="L90" s="201" t="str">
        <f t="shared" si="3"/>
        <v/>
      </c>
    </row>
    <row r="91" spans="11:12" x14ac:dyDescent="0.25">
      <c r="K91" s="201" t="str">
        <f t="shared" si="2"/>
        <v/>
      </c>
      <c r="L91" s="201" t="str">
        <f t="shared" si="3"/>
        <v/>
      </c>
    </row>
    <row r="92" spans="11:12" x14ac:dyDescent="0.25">
      <c r="K92" s="201" t="str">
        <f t="shared" si="2"/>
        <v/>
      </c>
      <c r="L92" s="201" t="str">
        <f t="shared" si="3"/>
        <v/>
      </c>
    </row>
    <row r="93" spans="11:12" x14ac:dyDescent="0.25">
      <c r="K93" s="201" t="str">
        <f t="shared" si="2"/>
        <v/>
      </c>
      <c r="L93" s="201" t="str">
        <f t="shared" si="3"/>
        <v/>
      </c>
    </row>
    <row r="94" spans="11:12" x14ac:dyDescent="0.25">
      <c r="K94" s="201" t="str">
        <f t="shared" si="2"/>
        <v/>
      </c>
      <c r="L94" s="201" t="str">
        <f t="shared" si="3"/>
        <v/>
      </c>
    </row>
    <row r="95" spans="11:12" x14ac:dyDescent="0.25">
      <c r="K95" s="201" t="str">
        <f t="shared" si="2"/>
        <v/>
      </c>
      <c r="L95" s="201" t="str">
        <f t="shared" si="3"/>
        <v/>
      </c>
    </row>
    <row r="96" spans="11:12" x14ac:dyDescent="0.25">
      <c r="K96" s="201" t="str">
        <f t="shared" si="2"/>
        <v/>
      </c>
      <c r="L96" s="201" t="str">
        <f t="shared" si="3"/>
        <v/>
      </c>
    </row>
    <row r="97" spans="11:12" x14ac:dyDescent="0.25">
      <c r="K97" s="201" t="str">
        <f t="shared" si="2"/>
        <v/>
      </c>
      <c r="L97" s="201" t="str">
        <f t="shared" si="3"/>
        <v/>
      </c>
    </row>
    <row r="98" spans="11:12" x14ac:dyDescent="0.25">
      <c r="K98" s="201" t="str">
        <f t="shared" si="2"/>
        <v/>
      </c>
      <c r="L98" s="201" t="str">
        <f t="shared" si="3"/>
        <v/>
      </c>
    </row>
    <row r="99" spans="11:12" x14ac:dyDescent="0.25">
      <c r="K99" s="201" t="str">
        <f t="shared" si="2"/>
        <v/>
      </c>
      <c r="L99" s="201" t="str">
        <f t="shared" si="3"/>
        <v/>
      </c>
    </row>
    <row r="100" spans="11:12" x14ac:dyDescent="0.25">
      <c r="K100" s="201" t="str">
        <f t="shared" si="2"/>
        <v/>
      </c>
      <c r="L100" s="201" t="str">
        <f t="shared" si="3"/>
        <v/>
      </c>
    </row>
    <row r="101" spans="11:12" x14ac:dyDescent="0.25">
      <c r="K101" s="201" t="str">
        <f t="shared" si="2"/>
        <v/>
      </c>
      <c r="L101" s="201" t="str">
        <f t="shared" si="3"/>
        <v/>
      </c>
    </row>
    <row r="102" spans="11:12" x14ac:dyDescent="0.25">
      <c r="K102" s="201" t="str">
        <f t="shared" si="2"/>
        <v/>
      </c>
      <c r="L102" s="201" t="str">
        <f t="shared" si="3"/>
        <v/>
      </c>
    </row>
    <row r="103" spans="11:12" x14ac:dyDescent="0.25">
      <c r="K103" s="201" t="str">
        <f t="shared" si="2"/>
        <v/>
      </c>
      <c r="L103" s="201" t="str">
        <f t="shared" si="3"/>
        <v/>
      </c>
    </row>
    <row r="104" spans="11:12" x14ac:dyDescent="0.25">
      <c r="K104" s="201" t="str">
        <f t="shared" si="2"/>
        <v/>
      </c>
      <c r="L104" s="201" t="str">
        <f t="shared" si="3"/>
        <v/>
      </c>
    </row>
    <row r="105" spans="11:12" x14ac:dyDescent="0.25">
      <c r="K105" s="201" t="str">
        <f t="shared" si="2"/>
        <v/>
      </c>
      <c r="L105" s="201" t="str">
        <f t="shared" si="3"/>
        <v/>
      </c>
    </row>
    <row r="106" spans="11:12" x14ac:dyDescent="0.25">
      <c r="K106" s="201" t="str">
        <f t="shared" si="2"/>
        <v/>
      </c>
      <c r="L106" s="201" t="str">
        <f t="shared" si="3"/>
        <v/>
      </c>
    </row>
    <row r="107" spans="11:12" x14ac:dyDescent="0.25">
      <c r="K107" s="201" t="str">
        <f t="shared" si="2"/>
        <v/>
      </c>
      <c r="L107" s="201" t="str">
        <f t="shared" si="3"/>
        <v/>
      </c>
    </row>
    <row r="108" spans="11:12" x14ac:dyDescent="0.25">
      <c r="K108" s="201" t="str">
        <f t="shared" si="2"/>
        <v/>
      </c>
      <c r="L108" s="201" t="str">
        <f t="shared" si="3"/>
        <v/>
      </c>
    </row>
    <row r="109" spans="11:12" x14ac:dyDescent="0.25">
      <c r="K109" s="201" t="str">
        <f t="shared" si="2"/>
        <v/>
      </c>
      <c r="L109" s="201" t="str">
        <f t="shared" si="3"/>
        <v/>
      </c>
    </row>
    <row r="110" spans="11:12" x14ac:dyDescent="0.25">
      <c r="K110" s="201" t="str">
        <f t="shared" si="2"/>
        <v/>
      </c>
      <c r="L110" s="201" t="str">
        <f t="shared" si="3"/>
        <v/>
      </c>
    </row>
    <row r="111" spans="11:12" x14ac:dyDescent="0.25">
      <c r="K111" s="201" t="str">
        <f t="shared" si="2"/>
        <v/>
      </c>
      <c r="L111" s="201" t="str">
        <f t="shared" si="3"/>
        <v/>
      </c>
    </row>
    <row r="112" spans="11:12" x14ac:dyDescent="0.25">
      <c r="K112" s="201" t="str">
        <f t="shared" si="2"/>
        <v/>
      </c>
      <c r="L112" s="201" t="str">
        <f t="shared" si="3"/>
        <v/>
      </c>
    </row>
    <row r="113" spans="11:12" x14ac:dyDescent="0.25">
      <c r="K113" s="201" t="str">
        <f t="shared" si="2"/>
        <v/>
      </c>
      <c r="L113" s="201" t="str">
        <f t="shared" si="3"/>
        <v/>
      </c>
    </row>
    <row r="114" spans="11:12" x14ac:dyDescent="0.25">
      <c r="K114" s="201" t="str">
        <f t="shared" si="2"/>
        <v/>
      </c>
      <c r="L114" s="201" t="str">
        <f t="shared" si="3"/>
        <v/>
      </c>
    </row>
    <row r="115" spans="11:12" x14ac:dyDescent="0.25">
      <c r="K115" s="201" t="str">
        <f t="shared" si="2"/>
        <v/>
      </c>
      <c r="L115" s="201" t="str">
        <f t="shared" si="3"/>
        <v/>
      </c>
    </row>
    <row r="116" spans="11:12" x14ac:dyDescent="0.25">
      <c r="K116" s="201" t="str">
        <f t="shared" si="2"/>
        <v/>
      </c>
      <c r="L116" s="201" t="str">
        <f t="shared" si="3"/>
        <v/>
      </c>
    </row>
    <row r="117" spans="11:12" x14ac:dyDescent="0.25">
      <c r="K117" s="201" t="str">
        <f t="shared" si="2"/>
        <v/>
      </c>
      <c r="L117" s="201" t="str">
        <f t="shared" si="3"/>
        <v/>
      </c>
    </row>
    <row r="118" spans="11:12" x14ac:dyDescent="0.25">
      <c r="K118" s="201" t="str">
        <f t="shared" si="2"/>
        <v/>
      </c>
      <c r="L118" s="201" t="str">
        <f t="shared" si="3"/>
        <v/>
      </c>
    </row>
    <row r="119" spans="11:12" x14ac:dyDescent="0.25">
      <c r="K119" s="201" t="str">
        <f t="shared" si="2"/>
        <v/>
      </c>
      <c r="L119" s="201" t="str">
        <f t="shared" si="3"/>
        <v/>
      </c>
    </row>
    <row r="120" spans="11:12" x14ac:dyDescent="0.25">
      <c r="K120" s="201" t="str">
        <f t="shared" si="2"/>
        <v/>
      </c>
      <c r="L120" s="201" t="str">
        <f t="shared" si="3"/>
        <v/>
      </c>
    </row>
    <row r="121" spans="11:12" x14ac:dyDescent="0.25">
      <c r="K121" s="201" t="str">
        <f t="shared" si="2"/>
        <v/>
      </c>
      <c r="L121" s="201" t="str">
        <f t="shared" si="3"/>
        <v/>
      </c>
    </row>
    <row r="122" spans="11:12" x14ac:dyDescent="0.25">
      <c r="K122" s="201" t="str">
        <f t="shared" si="2"/>
        <v/>
      </c>
      <c r="L122" s="201" t="str">
        <f t="shared" si="3"/>
        <v/>
      </c>
    </row>
    <row r="123" spans="11:12" x14ac:dyDescent="0.25">
      <c r="K123" s="201" t="str">
        <f t="shared" si="2"/>
        <v/>
      </c>
      <c r="L123" s="201" t="str">
        <f t="shared" si="3"/>
        <v/>
      </c>
    </row>
    <row r="124" spans="11:12" x14ac:dyDescent="0.25">
      <c r="K124" s="201" t="str">
        <f t="shared" si="2"/>
        <v/>
      </c>
      <c r="L124" s="201" t="str">
        <f t="shared" si="3"/>
        <v/>
      </c>
    </row>
    <row r="125" spans="11:12" x14ac:dyDescent="0.25">
      <c r="K125" s="201" t="str">
        <f t="shared" si="2"/>
        <v/>
      </c>
      <c r="L125" s="201" t="str">
        <f t="shared" si="3"/>
        <v/>
      </c>
    </row>
    <row r="126" spans="11:12" x14ac:dyDescent="0.25">
      <c r="K126" s="201" t="str">
        <f t="shared" si="2"/>
        <v/>
      </c>
      <c r="L126" s="201" t="str">
        <f t="shared" si="3"/>
        <v/>
      </c>
    </row>
    <row r="127" spans="11:12" x14ac:dyDescent="0.25">
      <c r="K127" s="201" t="str">
        <f t="shared" si="2"/>
        <v/>
      </c>
      <c r="L127" s="201" t="str">
        <f t="shared" si="3"/>
        <v/>
      </c>
    </row>
    <row r="128" spans="11:12" x14ac:dyDescent="0.25">
      <c r="K128" s="201" t="str">
        <f t="shared" si="2"/>
        <v/>
      </c>
      <c r="L128" s="201" t="str">
        <f t="shared" si="3"/>
        <v/>
      </c>
    </row>
    <row r="129" spans="11:12" x14ac:dyDescent="0.25">
      <c r="K129" s="201" t="str">
        <f t="shared" si="2"/>
        <v/>
      </c>
      <c r="L129" s="201" t="str">
        <f t="shared" si="3"/>
        <v/>
      </c>
    </row>
    <row r="130" spans="11:12" x14ac:dyDescent="0.25">
      <c r="K130" s="201" t="str">
        <f t="shared" si="2"/>
        <v/>
      </c>
      <c r="L130" s="201" t="str">
        <f t="shared" si="3"/>
        <v/>
      </c>
    </row>
    <row r="131" spans="11:12" x14ac:dyDescent="0.25">
      <c r="K131" s="201" t="str">
        <f t="shared" si="2"/>
        <v/>
      </c>
      <c r="L131" s="201" t="str">
        <f t="shared" si="3"/>
        <v/>
      </c>
    </row>
    <row r="132" spans="11:12" x14ac:dyDescent="0.25">
      <c r="K132" s="201" t="str">
        <f t="shared" si="2"/>
        <v/>
      </c>
      <c r="L132" s="201" t="str">
        <f t="shared" si="3"/>
        <v/>
      </c>
    </row>
    <row r="133" spans="11:12" x14ac:dyDescent="0.25">
      <c r="K133" s="201" t="str">
        <f t="shared" si="2"/>
        <v/>
      </c>
      <c r="L133" s="201" t="str">
        <f t="shared" si="3"/>
        <v/>
      </c>
    </row>
    <row r="134" spans="11:12" x14ac:dyDescent="0.25">
      <c r="K134" s="201" t="str">
        <f t="shared" si="2"/>
        <v/>
      </c>
      <c r="L134" s="201" t="str">
        <f t="shared" si="3"/>
        <v/>
      </c>
    </row>
    <row r="135" spans="11:12" x14ac:dyDescent="0.25">
      <c r="K135" s="201" t="str">
        <f t="shared" si="2"/>
        <v/>
      </c>
      <c r="L135" s="201" t="str">
        <f t="shared" si="3"/>
        <v/>
      </c>
    </row>
    <row r="136" spans="11:12" x14ac:dyDescent="0.25">
      <c r="K136" s="201" t="str">
        <f t="shared" si="2"/>
        <v/>
      </c>
      <c r="L136" s="201" t="str">
        <f t="shared" si="3"/>
        <v/>
      </c>
    </row>
    <row r="137" spans="11:12" x14ac:dyDescent="0.25">
      <c r="K137" s="201" t="str">
        <f t="shared" si="2"/>
        <v/>
      </c>
      <c r="L137" s="201" t="str">
        <f t="shared" si="3"/>
        <v/>
      </c>
    </row>
    <row r="138" spans="11:12" x14ac:dyDescent="0.25">
      <c r="K138" s="201" t="str">
        <f t="shared" si="2"/>
        <v/>
      </c>
      <c r="L138" s="201" t="str">
        <f t="shared" si="3"/>
        <v/>
      </c>
    </row>
    <row r="139" spans="11:12" x14ac:dyDescent="0.25">
      <c r="K139" s="201" t="str">
        <f t="shared" si="2"/>
        <v/>
      </c>
      <c r="L139" s="201" t="str">
        <f t="shared" si="3"/>
        <v/>
      </c>
    </row>
    <row r="140" spans="11:12" x14ac:dyDescent="0.25">
      <c r="K140" s="201" t="str">
        <f t="shared" si="2"/>
        <v/>
      </c>
      <c r="L140" s="201" t="str">
        <f t="shared" si="3"/>
        <v/>
      </c>
    </row>
    <row r="141" spans="11:12" x14ac:dyDescent="0.25">
      <c r="K141" s="201" t="str">
        <f t="shared" si="2"/>
        <v/>
      </c>
      <c r="L141" s="201" t="str">
        <f t="shared" si="3"/>
        <v/>
      </c>
    </row>
    <row r="142" spans="11:12" x14ac:dyDescent="0.25">
      <c r="K142" s="201" t="str">
        <f t="shared" si="2"/>
        <v/>
      </c>
      <c r="L142" s="201" t="str">
        <f t="shared" si="3"/>
        <v/>
      </c>
    </row>
    <row r="143" spans="11:12" x14ac:dyDescent="0.25">
      <c r="K143" s="201" t="str">
        <f t="shared" si="2"/>
        <v/>
      </c>
      <c r="L143" s="201" t="str">
        <f t="shared" si="3"/>
        <v/>
      </c>
    </row>
    <row r="144" spans="11:12" x14ac:dyDescent="0.25">
      <c r="K144" s="201" t="str">
        <f t="shared" si="2"/>
        <v/>
      </c>
      <c r="L144" s="201" t="str">
        <f t="shared" si="3"/>
        <v/>
      </c>
    </row>
    <row r="145" spans="11:12" x14ac:dyDescent="0.25">
      <c r="K145" s="201" t="str">
        <f t="shared" si="2"/>
        <v/>
      </c>
      <c r="L145" s="201" t="str">
        <f t="shared" si="3"/>
        <v/>
      </c>
    </row>
    <row r="146" spans="11:12" x14ac:dyDescent="0.25">
      <c r="K146" s="201" t="str">
        <f t="shared" si="2"/>
        <v/>
      </c>
      <c r="L146" s="201" t="str">
        <f t="shared" si="3"/>
        <v/>
      </c>
    </row>
    <row r="147" spans="11:12" x14ac:dyDescent="0.25">
      <c r="K147" s="201" t="str">
        <f t="shared" si="2"/>
        <v/>
      </c>
      <c r="L147" s="201" t="str">
        <f t="shared" si="3"/>
        <v/>
      </c>
    </row>
    <row r="148" spans="11:12" x14ac:dyDescent="0.25">
      <c r="K148" s="201" t="str">
        <f t="shared" si="2"/>
        <v/>
      </c>
      <c r="L148" s="201" t="str">
        <f t="shared" si="3"/>
        <v/>
      </c>
    </row>
    <row r="149" spans="11:12" x14ac:dyDescent="0.25">
      <c r="K149" s="201" t="str">
        <f t="shared" ref="K149:K212" si="4">IF(OR(C149="", J149=""), "",
    IF(AND(C149="Zoning - Simple", J149&lt;=5), "On Time",
        IF(AND(C149="Zoning - DAR (Simple)", J149&lt;=7), "On Time",
            IF(AND(C149="Locational Clearance", J149&lt;=10), "On Time",
                IF(AND(C149="Zoning - DAR (Complex)", J149&lt;=15), "On Time",
                    IF(AND(C149="Reclass Indorsement", J149&lt;=30), "On Time",
                        IF(AND(C149="Others", J149&lt;=3), "On Time", "Delayed")
                    )
                )
            )
        )
    )
)</f>
        <v/>
      </c>
      <c r="L149" s="201" t="str">
        <f t="shared" ref="L149:L212" si="5">IF(K149="", "", IF(K149="On Time", 1, 0))</f>
        <v/>
      </c>
    </row>
    <row r="150" spans="11:12" x14ac:dyDescent="0.25">
      <c r="K150" s="201" t="str">
        <f t="shared" si="4"/>
        <v/>
      </c>
      <c r="L150" s="201" t="str">
        <f t="shared" si="5"/>
        <v/>
      </c>
    </row>
    <row r="151" spans="11:12" x14ac:dyDescent="0.25">
      <c r="K151" s="201" t="str">
        <f t="shared" si="4"/>
        <v/>
      </c>
      <c r="L151" s="201" t="str">
        <f t="shared" si="5"/>
        <v/>
      </c>
    </row>
    <row r="152" spans="11:12" x14ac:dyDescent="0.25">
      <c r="K152" s="201" t="str">
        <f t="shared" si="4"/>
        <v/>
      </c>
      <c r="L152" s="201" t="str">
        <f t="shared" si="5"/>
        <v/>
      </c>
    </row>
    <row r="153" spans="11:12" x14ac:dyDescent="0.25">
      <c r="K153" s="201" t="str">
        <f t="shared" si="4"/>
        <v/>
      </c>
      <c r="L153" s="201" t="str">
        <f t="shared" si="5"/>
        <v/>
      </c>
    </row>
    <row r="154" spans="11:12" x14ac:dyDescent="0.25">
      <c r="K154" s="201" t="str">
        <f t="shared" si="4"/>
        <v/>
      </c>
      <c r="L154" s="201" t="str">
        <f t="shared" si="5"/>
        <v/>
      </c>
    </row>
    <row r="155" spans="11:12" x14ac:dyDescent="0.25">
      <c r="K155" s="201" t="str">
        <f t="shared" si="4"/>
        <v/>
      </c>
      <c r="L155" s="201" t="str">
        <f t="shared" si="5"/>
        <v/>
      </c>
    </row>
    <row r="156" spans="11:12" x14ac:dyDescent="0.25">
      <c r="K156" s="201" t="str">
        <f t="shared" si="4"/>
        <v/>
      </c>
      <c r="L156" s="201" t="str">
        <f t="shared" si="5"/>
        <v/>
      </c>
    </row>
    <row r="157" spans="11:12" x14ac:dyDescent="0.25">
      <c r="K157" s="201" t="str">
        <f t="shared" si="4"/>
        <v/>
      </c>
      <c r="L157" s="201" t="str">
        <f t="shared" si="5"/>
        <v/>
      </c>
    </row>
    <row r="158" spans="11:12" x14ac:dyDescent="0.25">
      <c r="K158" s="201" t="str">
        <f t="shared" si="4"/>
        <v/>
      </c>
      <c r="L158" s="201" t="str">
        <f t="shared" si="5"/>
        <v/>
      </c>
    </row>
    <row r="159" spans="11:12" x14ac:dyDescent="0.25">
      <c r="K159" s="201" t="str">
        <f t="shared" si="4"/>
        <v/>
      </c>
      <c r="L159" s="201" t="str">
        <f t="shared" si="5"/>
        <v/>
      </c>
    </row>
    <row r="160" spans="11:12" x14ac:dyDescent="0.25">
      <c r="K160" s="201" t="str">
        <f t="shared" si="4"/>
        <v/>
      </c>
      <c r="L160" s="201" t="str">
        <f t="shared" si="5"/>
        <v/>
      </c>
    </row>
    <row r="161" spans="11:12" x14ac:dyDescent="0.25">
      <c r="K161" s="201" t="str">
        <f t="shared" si="4"/>
        <v/>
      </c>
      <c r="L161" s="201" t="str">
        <f t="shared" si="5"/>
        <v/>
      </c>
    </row>
    <row r="162" spans="11:12" x14ac:dyDescent="0.25">
      <c r="K162" s="201" t="str">
        <f t="shared" si="4"/>
        <v/>
      </c>
      <c r="L162" s="201" t="str">
        <f t="shared" si="5"/>
        <v/>
      </c>
    </row>
    <row r="163" spans="11:12" x14ac:dyDescent="0.25">
      <c r="K163" s="201" t="str">
        <f t="shared" si="4"/>
        <v/>
      </c>
      <c r="L163" s="201" t="str">
        <f t="shared" si="5"/>
        <v/>
      </c>
    </row>
    <row r="164" spans="11:12" x14ac:dyDescent="0.25">
      <c r="K164" s="201" t="str">
        <f t="shared" si="4"/>
        <v/>
      </c>
      <c r="L164" s="201" t="str">
        <f t="shared" si="5"/>
        <v/>
      </c>
    </row>
    <row r="165" spans="11:12" x14ac:dyDescent="0.25">
      <c r="K165" s="201" t="str">
        <f t="shared" si="4"/>
        <v/>
      </c>
      <c r="L165" s="201" t="str">
        <f t="shared" si="5"/>
        <v/>
      </c>
    </row>
    <row r="166" spans="11:12" x14ac:dyDescent="0.25">
      <c r="K166" s="201" t="str">
        <f t="shared" si="4"/>
        <v/>
      </c>
      <c r="L166" s="201" t="str">
        <f t="shared" si="5"/>
        <v/>
      </c>
    </row>
    <row r="167" spans="11:12" x14ac:dyDescent="0.25">
      <c r="K167" s="201" t="str">
        <f t="shared" si="4"/>
        <v/>
      </c>
      <c r="L167" s="201" t="str">
        <f t="shared" si="5"/>
        <v/>
      </c>
    </row>
    <row r="168" spans="11:12" x14ac:dyDescent="0.25">
      <c r="K168" s="201" t="str">
        <f t="shared" si="4"/>
        <v/>
      </c>
      <c r="L168" s="201" t="str">
        <f t="shared" si="5"/>
        <v/>
      </c>
    </row>
    <row r="169" spans="11:12" x14ac:dyDescent="0.25">
      <c r="K169" s="201" t="str">
        <f t="shared" si="4"/>
        <v/>
      </c>
      <c r="L169" s="201" t="str">
        <f t="shared" si="5"/>
        <v/>
      </c>
    </row>
    <row r="170" spans="11:12" x14ac:dyDescent="0.25">
      <c r="K170" s="201" t="str">
        <f t="shared" si="4"/>
        <v/>
      </c>
      <c r="L170" s="201" t="str">
        <f t="shared" si="5"/>
        <v/>
      </c>
    </row>
    <row r="171" spans="11:12" x14ac:dyDescent="0.25">
      <c r="K171" s="201" t="str">
        <f t="shared" si="4"/>
        <v/>
      </c>
      <c r="L171" s="201" t="str">
        <f t="shared" si="5"/>
        <v/>
      </c>
    </row>
    <row r="172" spans="11:12" x14ac:dyDescent="0.25">
      <c r="K172" s="201" t="str">
        <f t="shared" si="4"/>
        <v/>
      </c>
      <c r="L172" s="201" t="str">
        <f t="shared" si="5"/>
        <v/>
      </c>
    </row>
    <row r="173" spans="11:12" x14ac:dyDescent="0.25">
      <c r="K173" s="201" t="str">
        <f t="shared" si="4"/>
        <v/>
      </c>
      <c r="L173" s="201" t="str">
        <f t="shared" si="5"/>
        <v/>
      </c>
    </row>
    <row r="174" spans="11:12" x14ac:dyDescent="0.25">
      <c r="K174" s="201" t="str">
        <f t="shared" si="4"/>
        <v/>
      </c>
      <c r="L174" s="201" t="str">
        <f t="shared" si="5"/>
        <v/>
      </c>
    </row>
    <row r="175" spans="11:12" x14ac:dyDescent="0.25">
      <c r="K175" s="201" t="str">
        <f t="shared" si="4"/>
        <v/>
      </c>
      <c r="L175" s="201" t="str">
        <f t="shared" si="5"/>
        <v/>
      </c>
    </row>
    <row r="176" spans="11:12" x14ac:dyDescent="0.25">
      <c r="K176" s="201" t="str">
        <f t="shared" si="4"/>
        <v/>
      </c>
      <c r="L176" s="201" t="str">
        <f t="shared" si="5"/>
        <v/>
      </c>
    </row>
    <row r="177" spans="11:12" x14ac:dyDescent="0.25">
      <c r="K177" s="201" t="str">
        <f t="shared" si="4"/>
        <v/>
      </c>
      <c r="L177" s="201" t="str">
        <f t="shared" si="5"/>
        <v/>
      </c>
    </row>
    <row r="178" spans="11:12" x14ac:dyDescent="0.25">
      <c r="K178" s="201" t="str">
        <f t="shared" si="4"/>
        <v/>
      </c>
      <c r="L178" s="201" t="str">
        <f t="shared" si="5"/>
        <v/>
      </c>
    </row>
    <row r="179" spans="11:12" x14ac:dyDescent="0.25">
      <c r="K179" s="201" t="str">
        <f t="shared" si="4"/>
        <v/>
      </c>
      <c r="L179" s="201" t="str">
        <f t="shared" si="5"/>
        <v/>
      </c>
    </row>
    <row r="180" spans="11:12" x14ac:dyDescent="0.25">
      <c r="K180" s="201" t="str">
        <f t="shared" si="4"/>
        <v/>
      </c>
      <c r="L180" s="201" t="str">
        <f t="shared" si="5"/>
        <v/>
      </c>
    </row>
    <row r="181" spans="11:12" x14ac:dyDescent="0.25">
      <c r="K181" s="201" t="str">
        <f t="shared" si="4"/>
        <v/>
      </c>
      <c r="L181" s="201" t="str">
        <f t="shared" si="5"/>
        <v/>
      </c>
    </row>
    <row r="182" spans="11:12" x14ac:dyDescent="0.25">
      <c r="K182" s="201" t="str">
        <f t="shared" si="4"/>
        <v/>
      </c>
      <c r="L182" s="201" t="str">
        <f t="shared" si="5"/>
        <v/>
      </c>
    </row>
    <row r="183" spans="11:12" x14ac:dyDescent="0.25">
      <c r="K183" s="201" t="str">
        <f t="shared" si="4"/>
        <v/>
      </c>
      <c r="L183" s="201" t="str">
        <f t="shared" si="5"/>
        <v/>
      </c>
    </row>
    <row r="184" spans="11:12" x14ac:dyDescent="0.25">
      <c r="K184" s="201" t="str">
        <f t="shared" si="4"/>
        <v/>
      </c>
      <c r="L184" s="201" t="str">
        <f t="shared" si="5"/>
        <v/>
      </c>
    </row>
    <row r="185" spans="11:12" x14ac:dyDescent="0.25">
      <c r="K185" s="201" t="str">
        <f t="shared" si="4"/>
        <v/>
      </c>
      <c r="L185" s="201" t="str">
        <f t="shared" si="5"/>
        <v/>
      </c>
    </row>
    <row r="186" spans="11:12" x14ac:dyDescent="0.25">
      <c r="K186" s="201" t="str">
        <f t="shared" si="4"/>
        <v/>
      </c>
      <c r="L186" s="201" t="str">
        <f t="shared" si="5"/>
        <v/>
      </c>
    </row>
    <row r="187" spans="11:12" x14ac:dyDescent="0.25">
      <c r="K187" s="201" t="str">
        <f t="shared" si="4"/>
        <v/>
      </c>
      <c r="L187" s="201" t="str">
        <f t="shared" si="5"/>
        <v/>
      </c>
    </row>
    <row r="188" spans="11:12" x14ac:dyDescent="0.25">
      <c r="K188" s="201" t="str">
        <f t="shared" si="4"/>
        <v/>
      </c>
      <c r="L188" s="201" t="str">
        <f t="shared" si="5"/>
        <v/>
      </c>
    </row>
    <row r="189" spans="11:12" x14ac:dyDescent="0.25">
      <c r="K189" s="201" t="str">
        <f t="shared" si="4"/>
        <v/>
      </c>
      <c r="L189" s="201" t="str">
        <f t="shared" si="5"/>
        <v/>
      </c>
    </row>
    <row r="190" spans="11:12" x14ac:dyDescent="0.25">
      <c r="K190" s="201" t="str">
        <f t="shared" si="4"/>
        <v/>
      </c>
      <c r="L190" s="201" t="str">
        <f t="shared" si="5"/>
        <v/>
      </c>
    </row>
    <row r="191" spans="11:12" x14ac:dyDescent="0.25">
      <c r="K191" s="201" t="str">
        <f t="shared" si="4"/>
        <v/>
      </c>
      <c r="L191" s="201" t="str">
        <f t="shared" si="5"/>
        <v/>
      </c>
    </row>
    <row r="192" spans="11:12" x14ac:dyDescent="0.25">
      <c r="K192" s="201" t="str">
        <f t="shared" si="4"/>
        <v/>
      </c>
      <c r="L192" s="201" t="str">
        <f t="shared" si="5"/>
        <v/>
      </c>
    </row>
    <row r="193" spans="11:12" x14ac:dyDescent="0.25">
      <c r="K193" s="201" t="str">
        <f t="shared" si="4"/>
        <v/>
      </c>
      <c r="L193" s="201" t="str">
        <f t="shared" si="5"/>
        <v/>
      </c>
    </row>
    <row r="194" spans="11:12" x14ac:dyDescent="0.25">
      <c r="K194" s="201" t="str">
        <f t="shared" si="4"/>
        <v/>
      </c>
      <c r="L194" s="201" t="str">
        <f t="shared" si="5"/>
        <v/>
      </c>
    </row>
    <row r="195" spans="11:12" x14ac:dyDescent="0.25">
      <c r="K195" s="201" t="str">
        <f t="shared" si="4"/>
        <v/>
      </c>
      <c r="L195" s="201" t="str">
        <f t="shared" si="5"/>
        <v/>
      </c>
    </row>
    <row r="196" spans="11:12" x14ac:dyDescent="0.25">
      <c r="K196" s="201" t="str">
        <f t="shared" si="4"/>
        <v/>
      </c>
      <c r="L196" s="201" t="str">
        <f t="shared" si="5"/>
        <v/>
      </c>
    </row>
    <row r="197" spans="11:12" x14ac:dyDescent="0.25">
      <c r="K197" s="201" t="str">
        <f t="shared" si="4"/>
        <v/>
      </c>
      <c r="L197" s="201" t="str">
        <f t="shared" si="5"/>
        <v/>
      </c>
    </row>
    <row r="198" spans="11:12" x14ac:dyDescent="0.25">
      <c r="K198" s="201" t="str">
        <f t="shared" si="4"/>
        <v/>
      </c>
      <c r="L198" s="201" t="str">
        <f t="shared" si="5"/>
        <v/>
      </c>
    </row>
    <row r="199" spans="11:12" x14ac:dyDescent="0.25">
      <c r="K199" s="201" t="str">
        <f t="shared" si="4"/>
        <v/>
      </c>
      <c r="L199" s="201" t="str">
        <f t="shared" si="5"/>
        <v/>
      </c>
    </row>
    <row r="200" spans="11:12" x14ac:dyDescent="0.25">
      <c r="K200" s="201" t="str">
        <f t="shared" si="4"/>
        <v/>
      </c>
      <c r="L200" s="201" t="str">
        <f t="shared" si="5"/>
        <v/>
      </c>
    </row>
    <row r="201" spans="11:12" x14ac:dyDescent="0.25">
      <c r="K201" s="201" t="str">
        <f t="shared" si="4"/>
        <v/>
      </c>
      <c r="L201" s="201" t="str">
        <f t="shared" si="5"/>
        <v/>
      </c>
    </row>
    <row r="202" spans="11:12" x14ac:dyDescent="0.25">
      <c r="K202" s="201" t="str">
        <f t="shared" si="4"/>
        <v/>
      </c>
      <c r="L202" s="201" t="str">
        <f t="shared" si="5"/>
        <v/>
      </c>
    </row>
    <row r="203" spans="11:12" x14ac:dyDescent="0.25">
      <c r="K203" s="201" t="str">
        <f t="shared" si="4"/>
        <v/>
      </c>
      <c r="L203" s="201" t="str">
        <f t="shared" si="5"/>
        <v/>
      </c>
    </row>
    <row r="204" spans="11:12" x14ac:dyDescent="0.25">
      <c r="K204" s="201" t="str">
        <f t="shared" si="4"/>
        <v/>
      </c>
      <c r="L204" s="201" t="str">
        <f t="shared" si="5"/>
        <v/>
      </c>
    </row>
    <row r="205" spans="11:12" x14ac:dyDescent="0.25">
      <c r="K205" s="201" t="str">
        <f t="shared" si="4"/>
        <v/>
      </c>
      <c r="L205" s="201" t="str">
        <f t="shared" si="5"/>
        <v/>
      </c>
    </row>
    <row r="206" spans="11:12" x14ac:dyDescent="0.25">
      <c r="K206" s="201" t="str">
        <f t="shared" si="4"/>
        <v/>
      </c>
      <c r="L206" s="201" t="str">
        <f t="shared" si="5"/>
        <v/>
      </c>
    </row>
    <row r="207" spans="11:12" x14ac:dyDescent="0.25">
      <c r="K207" s="201" t="str">
        <f t="shared" si="4"/>
        <v/>
      </c>
      <c r="L207" s="201" t="str">
        <f t="shared" si="5"/>
        <v/>
      </c>
    </row>
    <row r="208" spans="11:12" x14ac:dyDescent="0.25">
      <c r="K208" s="201" t="str">
        <f t="shared" si="4"/>
        <v/>
      </c>
      <c r="L208" s="201" t="str">
        <f t="shared" si="5"/>
        <v/>
      </c>
    </row>
    <row r="209" spans="11:12" x14ac:dyDescent="0.25">
      <c r="K209" s="201" t="str">
        <f t="shared" si="4"/>
        <v/>
      </c>
      <c r="L209" s="201" t="str">
        <f t="shared" si="5"/>
        <v/>
      </c>
    </row>
    <row r="210" spans="11:12" x14ac:dyDescent="0.25">
      <c r="K210" s="201" t="str">
        <f t="shared" si="4"/>
        <v/>
      </c>
      <c r="L210" s="201" t="str">
        <f t="shared" si="5"/>
        <v/>
      </c>
    </row>
    <row r="211" spans="11:12" x14ac:dyDescent="0.25">
      <c r="K211" s="201" t="str">
        <f t="shared" si="4"/>
        <v/>
      </c>
      <c r="L211" s="201" t="str">
        <f t="shared" si="5"/>
        <v/>
      </c>
    </row>
    <row r="212" spans="11:12" x14ac:dyDescent="0.25">
      <c r="K212" s="201" t="str">
        <f t="shared" si="4"/>
        <v/>
      </c>
      <c r="L212" s="201" t="str">
        <f t="shared" si="5"/>
        <v/>
      </c>
    </row>
    <row r="213" spans="11:12" x14ac:dyDescent="0.25">
      <c r="K213" s="201" t="str">
        <f t="shared" ref="K213:K276" si="6">IF(OR(C213="", J213=""), "",
    IF(AND(C213="Zoning - Simple", J213&lt;=5), "On Time",
        IF(AND(C213="Zoning - DAR (Simple)", J213&lt;=7), "On Time",
            IF(AND(C213="Locational Clearance", J213&lt;=10), "On Time",
                IF(AND(C213="Zoning - DAR (Complex)", J213&lt;=15), "On Time",
                    IF(AND(C213="Reclass Indorsement", J213&lt;=30), "On Time",
                        IF(AND(C213="Others", J213&lt;=3), "On Time", "Delayed")
                    )
                )
            )
        )
    )
)</f>
        <v/>
      </c>
      <c r="L213" s="201" t="str">
        <f t="shared" ref="L213:L276" si="7">IF(K213="", "", IF(K213="On Time", 1, 0))</f>
        <v/>
      </c>
    </row>
    <row r="214" spans="11:12" x14ac:dyDescent="0.25">
      <c r="K214" s="201" t="str">
        <f t="shared" si="6"/>
        <v/>
      </c>
      <c r="L214" s="201" t="str">
        <f t="shared" si="7"/>
        <v/>
      </c>
    </row>
    <row r="215" spans="11:12" x14ac:dyDescent="0.25">
      <c r="K215" s="201" t="str">
        <f t="shared" si="6"/>
        <v/>
      </c>
      <c r="L215" s="201" t="str">
        <f t="shared" si="7"/>
        <v/>
      </c>
    </row>
    <row r="216" spans="11:12" x14ac:dyDescent="0.25">
      <c r="K216" s="201" t="str">
        <f t="shared" si="6"/>
        <v/>
      </c>
      <c r="L216" s="201" t="str">
        <f t="shared" si="7"/>
        <v/>
      </c>
    </row>
    <row r="217" spans="11:12" x14ac:dyDescent="0.25">
      <c r="K217" s="201" t="str">
        <f t="shared" si="6"/>
        <v/>
      </c>
      <c r="L217" s="201" t="str">
        <f t="shared" si="7"/>
        <v/>
      </c>
    </row>
    <row r="218" spans="11:12" x14ac:dyDescent="0.25">
      <c r="K218" s="201" t="str">
        <f t="shared" si="6"/>
        <v/>
      </c>
      <c r="L218" s="201" t="str">
        <f t="shared" si="7"/>
        <v/>
      </c>
    </row>
    <row r="219" spans="11:12" x14ac:dyDescent="0.25">
      <c r="K219" s="201" t="str">
        <f t="shared" si="6"/>
        <v/>
      </c>
      <c r="L219" s="201" t="str">
        <f t="shared" si="7"/>
        <v/>
      </c>
    </row>
    <row r="220" spans="11:12" x14ac:dyDescent="0.25">
      <c r="K220" s="201" t="str">
        <f t="shared" si="6"/>
        <v/>
      </c>
      <c r="L220" s="201" t="str">
        <f t="shared" si="7"/>
        <v/>
      </c>
    </row>
    <row r="221" spans="11:12" x14ac:dyDescent="0.25">
      <c r="K221" s="201" t="str">
        <f t="shared" si="6"/>
        <v/>
      </c>
      <c r="L221" s="201" t="str">
        <f t="shared" si="7"/>
        <v/>
      </c>
    </row>
    <row r="222" spans="11:12" x14ac:dyDescent="0.25">
      <c r="K222" s="201" t="str">
        <f t="shared" si="6"/>
        <v/>
      </c>
      <c r="L222" s="201" t="str">
        <f t="shared" si="7"/>
        <v/>
      </c>
    </row>
    <row r="223" spans="11:12" x14ac:dyDescent="0.25">
      <c r="K223" s="201" t="str">
        <f t="shared" si="6"/>
        <v/>
      </c>
      <c r="L223" s="201" t="str">
        <f t="shared" si="7"/>
        <v/>
      </c>
    </row>
    <row r="224" spans="11:12" x14ac:dyDescent="0.25">
      <c r="K224" s="201" t="str">
        <f t="shared" si="6"/>
        <v/>
      </c>
      <c r="L224" s="201" t="str">
        <f t="shared" si="7"/>
        <v/>
      </c>
    </row>
    <row r="225" spans="11:12" x14ac:dyDescent="0.25">
      <c r="K225" s="201" t="str">
        <f t="shared" si="6"/>
        <v/>
      </c>
      <c r="L225" s="201" t="str">
        <f t="shared" si="7"/>
        <v/>
      </c>
    </row>
    <row r="226" spans="11:12" x14ac:dyDescent="0.25">
      <c r="K226" s="201" t="str">
        <f t="shared" si="6"/>
        <v/>
      </c>
      <c r="L226" s="201" t="str">
        <f t="shared" si="7"/>
        <v/>
      </c>
    </row>
    <row r="227" spans="11:12" x14ac:dyDescent="0.25">
      <c r="K227" s="201" t="str">
        <f t="shared" si="6"/>
        <v/>
      </c>
      <c r="L227" s="201" t="str">
        <f t="shared" si="7"/>
        <v/>
      </c>
    </row>
    <row r="228" spans="11:12" x14ac:dyDescent="0.25">
      <c r="K228" s="201" t="str">
        <f t="shared" si="6"/>
        <v/>
      </c>
      <c r="L228" s="201" t="str">
        <f t="shared" si="7"/>
        <v/>
      </c>
    </row>
    <row r="229" spans="11:12" x14ac:dyDescent="0.25">
      <c r="K229" s="201" t="str">
        <f t="shared" si="6"/>
        <v/>
      </c>
      <c r="L229" s="201" t="str">
        <f t="shared" si="7"/>
        <v/>
      </c>
    </row>
    <row r="230" spans="11:12" x14ac:dyDescent="0.25">
      <c r="K230" s="201" t="str">
        <f t="shared" si="6"/>
        <v/>
      </c>
      <c r="L230" s="201" t="str">
        <f t="shared" si="7"/>
        <v/>
      </c>
    </row>
    <row r="231" spans="11:12" x14ac:dyDescent="0.25">
      <c r="K231" s="201" t="str">
        <f t="shared" si="6"/>
        <v/>
      </c>
      <c r="L231" s="201" t="str">
        <f t="shared" si="7"/>
        <v/>
      </c>
    </row>
    <row r="232" spans="11:12" x14ac:dyDescent="0.25">
      <c r="K232" s="201" t="str">
        <f t="shared" si="6"/>
        <v/>
      </c>
      <c r="L232" s="201" t="str">
        <f t="shared" si="7"/>
        <v/>
      </c>
    </row>
    <row r="233" spans="11:12" x14ac:dyDescent="0.25">
      <c r="K233" s="201" t="str">
        <f t="shared" si="6"/>
        <v/>
      </c>
      <c r="L233" s="201" t="str">
        <f t="shared" si="7"/>
        <v/>
      </c>
    </row>
    <row r="234" spans="11:12" x14ac:dyDescent="0.25">
      <c r="K234" s="201" t="str">
        <f t="shared" si="6"/>
        <v/>
      </c>
      <c r="L234" s="201" t="str">
        <f t="shared" si="7"/>
        <v/>
      </c>
    </row>
    <row r="235" spans="11:12" x14ac:dyDescent="0.25">
      <c r="K235" s="201" t="str">
        <f t="shared" si="6"/>
        <v/>
      </c>
      <c r="L235" s="201" t="str">
        <f t="shared" si="7"/>
        <v/>
      </c>
    </row>
    <row r="236" spans="11:12" x14ac:dyDescent="0.25">
      <c r="K236" s="201" t="str">
        <f t="shared" si="6"/>
        <v/>
      </c>
      <c r="L236" s="201" t="str">
        <f t="shared" si="7"/>
        <v/>
      </c>
    </row>
    <row r="237" spans="11:12" x14ac:dyDescent="0.25">
      <c r="K237" s="201" t="str">
        <f t="shared" si="6"/>
        <v/>
      </c>
      <c r="L237" s="201" t="str">
        <f t="shared" si="7"/>
        <v/>
      </c>
    </row>
    <row r="238" spans="11:12" x14ac:dyDescent="0.25">
      <c r="K238" s="201" t="str">
        <f t="shared" si="6"/>
        <v/>
      </c>
      <c r="L238" s="201" t="str">
        <f t="shared" si="7"/>
        <v/>
      </c>
    </row>
    <row r="239" spans="11:12" x14ac:dyDescent="0.25">
      <c r="K239" s="201" t="str">
        <f t="shared" si="6"/>
        <v/>
      </c>
      <c r="L239" s="201" t="str">
        <f t="shared" si="7"/>
        <v/>
      </c>
    </row>
    <row r="240" spans="11:12" x14ac:dyDescent="0.25">
      <c r="K240" s="201" t="str">
        <f t="shared" si="6"/>
        <v/>
      </c>
      <c r="L240" s="201" t="str">
        <f t="shared" si="7"/>
        <v/>
      </c>
    </row>
    <row r="241" spans="11:12" x14ac:dyDescent="0.25">
      <c r="K241" s="201" t="str">
        <f t="shared" si="6"/>
        <v/>
      </c>
      <c r="L241" s="201" t="str">
        <f t="shared" si="7"/>
        <v/>
      </c>
    </row>
    <row r="242" spans="11:12" x14ac:dyDescent="0.25">
      <c r="K242" s="201" t="str">
        <f t="shared" si="6"/>
        <v/>
      </c>
      <c r="L242" s="201" t="str">
        <f t="shared" si="7"/>
        <v/>
      </c>
    </row>
    <row r="243" spans="11:12" x14ac:dyDescent="0.25">
      <c r="K243" s="201" t="str">
        <f t="shared" si="6"/>
        <v/>
      </c>
      <c r="L243" s="201" t="str">
        <f t="shared" si="7"/>
        <v/>
      </c>
    </row>
    <row r="244" spans="11:12" x14ac:dyDescent="0.25">
      <c r="K244" s="201" t="str">
        <f t="shared" si="6"/>
        <v/>
      </c>
      <c r="L244" s="201" t="str">
        <f t="shared" si="7"/>
        <v/>
      </c>
    </row>
    <row r="245" spans="11:12" x14ac:dyDescent="0.25">
      <c r="K245" s="201" t="str">
        <f t="shared" si="6"/>
        <v/>
      </c>
      <c r="L245" s="201" t="str">
        <f t="shared" si="7"/>
        <v/>
      </c>
    </row>
    <row r="246" spans="11:12" x14ac:dyDescent="0.25">
      <c r="K246" s="201" t="str">
        <f t="shared" si="6"/>
        <v/>
      </c>
      <c r="L246" s="201" t="str">
        <f t="shared" si="7"/>
        <v/>
      </c>
    </row>
    <row r="247" spans="11:12" x14ac:dyDescent="0.25">
      <c r="K247" s="201" t="str">
        <f t="shared" si="6"/>
        <v/>
      </c>
      <c r="L247" s="201" t="str">
        <f t="shared" si="7"/>
        <v/>
      </c>
    </row>
    <row r="248" spans="11:12" x14ac:dyDescent="0.25">
      <c r="K248" s="201" t="str">
        <f t="shared" si="6"/>
        <v/>
      </c>
      <c r="L248" s="201" t="str">
        <f t="shared" si="7"/>
        <v/>
      </c>
    </row>
    <row r="249" spans="11:12" x14ac:dyDescent="0.25">
      <c r="K249" s="201" t="str">
        <f t="shared" si="6"/>
        <v/>
      </c>
      <c r="L249" s="201" t="str">
        <f t="shared" si="7"/>
        <v/>
      </c>
    </row>
    <row r="250" spans="11:12" x14ac:dyDescent="0.25">
      <c r="K250" s="201" t="str">
        <f t="shared" si="6"/>
        <v/>
      </c>
      <c r="L250" s="201" t="str">
        <f t="shared" si="7"/>
        <v/>
      </c>
    </row>
    <row r="251" spans="11:12" x14ac:dyDescent="0.25">
      <c r="K251" s="201" t="str">
        <f t="shared" si="6"/>
        <v/>
      </c>
      <c r="L251" s="201" t="str">
        <f t="shared" si="7"/>
        <v/>
      </c>
    </row>
    <row r="252" spans="11:12" x14ac:dyDescent="0.25">
      <c r="K252" s="201" t="str">
        <f t="shared" si="6"/>
        <v/>
      </c>
      <c r="L252" s="201" t="str">
        <f t="shared" si="7"/>
        <v/>
      </c>
    </row>
    <row r="253" spans="11:12" x14ac:dyDescent="0.25">
      <c r="K253" s="201" t="str">
        <f t="shared" si="6"/>
        <v/>
      </c>
      <c r="L253" s="201" t="str">
        <f t="shared" si="7"/>
        <v/>
      </c>
    </row>
    <row r="254" spans="11:12" x14ac:dyDescent="0.25">
      <c r="K254" s="201" t="str">
        <f t="shared" si="6"/>
        <v/>
      </c>
      <c r="L254" s="201" t="str">
        <f t="shared" si="7"/>
        <v/>
      </c>
    </row>
    <row r="255" spans="11:12" x14ac:dyDescent="0.25">
      <c r="K255" s="201" t="str">
        <f t="shared" si="6"/>
        <v/>
      </c>
      <c r="L255" s="201" t="str">
        <f t="shared" si="7"/>
        <v/>
      </c>
    </row>
    <row r="256" spans="11:12" x14ac:dyDescent="0.25">
      <c r="K256" s="201" t="str">
        <f t="shared" si="6"/>
        <v/>
      </c>
      <c r="L256" s="201" t="str">
        <f t="shared" si="7"/>
        <v/>
      </c>
    </row>
    <row r="257" spans="11:12" x14ac:dyDescent="0.25">
      <c r="K257" s="201" t="str">
        <f t="shared" si="6"/>
        <v/>
      </c>
      <c r="L257" s="201" t="str">
        <f t="shared" si="7"/>
        <v/>
      </c>
    </row>
    <row r="258" spans="11:12" x14ac:dyDescent="0.25">
      <c r="K258" s="201" t="str">
        <f t="shared" si="6"/>
        <v/>
      </c>
      <c r="L258" s="201" t="str">
        <f t="shared" si="7"/>
        <v/>
      </c>
    </row>
    <row r="259" spans="11:12" x14ac:dyDescent="0.25">
      <c r="K259" s="201" t="str">
        <f t="shared" si="6"/>
        <v/>
      </c>
      <c r="L259" s="201" t="str">
        <f t="shared" si="7"/>
        <v/>
      </c>
    </row>
    <row r="260" spans="11:12" x14ac:dyDescent="0.25">
      <c r="K260" s="201" t="str">
        <f t="shared" si="6"/>
        <v/>
      </c>
      <c r="L260" s="201" t="str">
        <f t="shared" si="7"/>
        <v/>
      </c>
    </row>
    <row r="261" spans="11:12" x14ac:dyDescent="0.25">
      <c r="K261" s="201" t="str">
        <f t="shared" si="6"/>
        <v/>
      </c>
      <c r="L261" s="201" t="str">
        <f t="shared" si="7"/>
        <v/>
      </c>
    </row>
    <row r="262" spans="11:12" x14ac:dyDescent="0.25">
      <c r="K262" s="201" t="str">
        <f t="shared" si="6"/>
        <v/>
      </c>
      <c r="L262" s="201" t="str">
        <f t="shared" si="7"/>
        <v/>
      </c>
    </row>
    <row r="263" spans="11:12" x14ac:dyDescent="0.25">
      <c r="K263" s="201" t="str">
        <f t="shared" si="6"/>
        <v/>
      </c>
      <c r="L263" s="201" t="str">
        <f t="shared" si="7"/>
        <v/>
      </c>
    </row>
    <row r="264" spans="11:12" x14ac:dyDescent="0.25">
      <c r="K264" s="201" t="str">
        <f t="shared" si="6"/>
        <v/>
      </c>
      <c r="L264" s="201" t="str">
        <f t="shared" si="7"/>
        <v/>
      </c>
    </row>
    <row r="265" spans="11:12" x14ac:dyDescent="0.25">
      <c r="K265" s="201" t="str">
        <f t="shared" si="6"/>
        <v/>
      </c>
      <c r="L265" s="201" t="str">
        <f t="shared" si="7"/>
        <v/>
      </c>
    </row>
    <row r="266" spans="11:12" x14ac:dyDescent="0.25">
      <c r="K266" s="201" t="str">
        <f t="shared" si="6"/>
        <v/>
      </c>
      <c r="L266" s="201" t="str">
        <f t="shared" si="7"/>
        <v/>
      </c>
    </row>
    <row r="267" spans="11:12" x14ac:dyDescent="0.25">
      <c r="K267" s="201" t="str">
        <f t="shared" si="6"/>
        <v/>
      </c>
      <c r="L267" s="201" t="str">
        <f t="shared" si="7"/>
        <v/>
      </c>
    </row>
    <row r="268" spans="11:12" x14ac:dyDescent="0.25">
      <c r="K268" s="201" t="str">
        <f t="shared" si="6"/>
        <v/>
      </c>
      <c r="L268" s="201" t="str">
        <f t="shared" si="7"/>
        <v/>
      </c>
    </row>
    <row r="269" spans="11:12" x14ac:dyDescent="0.25">
      <c r="K269" s="201" t="str">
        <f t="shared" si="6"/>
        <v/>
      </c>
      <c r="L269" s="201" t="str">
        <f t="shared" si="7"/>
        <v/>
      </c>
    </row>
    <row r="270" spans="11:12" x14ac:dyDescent="0.25">
      <c r="K270" s="201" t="str">
        <f t="shared" si="6"/>
        <v/>
      </c>
      <c r="L270" s="201" t="str">
        <f t="shared" si="7"/>
        <v/>
      </c>
    </row>
    <row r="271" spans="11:12" x14ac:dyDescent="0.25">
      <c r="K271" s="201" t="str">
        <f t="shared" si="6"/>
        <v/>
      </c>
      <c r="L271" s="201" t="str">
        <f t="shared" si="7"/>
        <v/>
      </c>
    </row>
    <row r="272" spans="11:12" x14ac:dyDescent="0.25">
      <c r="K272" s="201" t="str">
        <f t="shared" si="6"/>
        <v/>
      </c>
      <c r="L272" s="201" t="str">
        <f t="shared" si="7"/>
        <v/>
      </c>
    </row>
    <row r="273" spans="11:12" x14ac:dyDescent="0.25">
      <c r="K273" s="201" t="str">
        <f t="shared" si="6"/>
        <v/>
      </c>
      <c r="L273" s="201" t="str">
        <f t="shared" si="7"/>
        <v/>
      </c>
    </row>
    <row r="274" spans="11:12" x14ac:dyDescent="0.25">
      <c r="K274" s="201" t="str">
        <f t="shared" si="6"/>
        <v/>
      </c>
      <c r="L274" s="201" t="str">
        <f t="shared" si="7"/>
        <v/>
      </c>
    </row>
    <row r="275" spans="11:12" x14ac:dyDescent="0.25">
      <c r="K275" s="201" t="str">
        <f t="shared" si="6"/>
        <v/>
      </c>
      <c r="L275" s="201" t="str">
        <f t="shared" si="7"/>
        <v/>
      </c>
    </row>
    <row r="276" spans="11:12" x14ac:dyDescent="0.25">
      <c r="K276" s="201" t="str">
        <f t="shared" si="6"/>
        <v/>
      </c>
      <c r="L276" s="201" t="str">
        <f t="shared" si="7"/>
        <v/>
      </c>
    </row>
    <row r="277" spans="11:12" x14ac:dyDescent="0.25">
      <c r="K277" s="201" t="str">
        <f t="shared" ref="K277:K340" si="8">IF(OR(C277="", J277=""), "",
    IF(AND(C277="Zoning - Simple", J277&lt;=5), "On Time",
        IF(AND(C277="Zoning - DAR (Simple)", J277&lt;=7), "On Time",
            IF(AND(C277="Locational Clearance", J277&lt;=10), "On Time",
                IF(AND(C277="Zoning - DAR (Complex)", J277&lt;=15), "On Time",
                    IF(AND(C277="Reclass Indorsement", J277&lt;=30), "On Time",
                        IF(AND(C277="Others", J277&lt;=3), "On Time", "Delayed")
                    )
                )
            )
        )
    )
)</f>
        <v/>
      </c>
      <c r="L277" s="201" t="str">
        <f t="shared" ref="L277:L340" si="9">IF(K277="", "", IF(K277="On Time", 1, 0))</f>
        <v/>
      </c>
    </row>
    <row r="278" spans="11:12" x14ac:dyDescent="0.25">
      <c r="K278" s="201" t="str">
        <f t="shared" si="8"/>
        <v/>
      </c>
      <c r="L278" s="201" t="str">
        <f t="shared" si="9"/>
        <v/>
      </c>
    </row>
    <row r="279" spans="11:12" x14ac:dyDescent="0.25">
      <c r="K279" s="201" t="str">
        <f t="shared" si="8"/>
        <v/>
      </c>
      <c r="L279" s="201" t="str">
        <f t="shared" si="9"/>
        <v/>
      </c>
    </row>
    <row r="280" spans="11:12" x14ac:dyDescent="0.25">
      <c r="K280" s="201" t="str">
        <f t="shared" si="8"/>
        <v/>
      </c>
      <c r="L280" s="201" t="str">
        <f t="shared" si="9"/>
        <v/>
      </c>
    </row>
    <row r="281" spans="11:12" x14ac:dyDescent="0.25">
      <c r="K281" s="201" t="str">
        <f t="shared" si="8"/>
        <v/>
      </c>
      <c r="L281" s="201" t="str">
        <f t="shared" si="9"/>
        <v/>
      </c>
    </row>
    <row r="282" spans="11:12" x14ac:dyDescent="0.25">
      <c r="K282" s="201" t="str">
        <f t="shared" si="8"/>
        <v/>
      </c>
      <c r="L282" s="201" t="str">
        <f t="shared" si="9"/>
        <v/>
      </c>
    </row>
    <row r="283" spans="11:12" x14ac:dyDescent="0.25">
      <c r="K283" s="201" t="str">
        <f t="shared" si="8"/>
        <v/>
      </c>
      <c r="L283" s="201" t="str">
        <f t="shared" si="9"/>
        <v/>
      </c>
    </row>
    <row r="284" spans="11:12" x14ac:dyDescent="0.25">
      <c r="K284" s="201" t="str">
        <f t="shared" si="8"/>
        <v/>
      </c>
      <c r="L284" s="201" t="str">
        <f t="shared" si="9"/>
        <v/>
      </c>
    </row>
    <row r="285" spans="11:12" x14ac:dyDescent="0.25">
      <c r="K285" s="201" t="str">
        <f t="shared" si="8"/>
        <v/>
      </c>
      <c r="L285" s="201" t="str">
        <f t="shared" si="9"/>
        <v/>
      </c>
    </row>
    <row r="286" spans="11:12" x14ac:dyDescent="0.25">
      <c r="K286" s="201" t="str">
        <f t="shared" si="8"/>
        <v/>
      </c>
      <c r="L286" s="201" t="str">
        <f t="shared" si="9"/>
        <v/>
      </c>
    </row>
    <row r="287" spans="11:12" x14ac:dyDescent="0.25">
      <c r="K287" s="201" t="str">
        <f t="shared" si="8"/>
        <v/>
      </c>
      <c r="L287" s="201" t="str">
        <f t="shared" si="9"/>
        <v/>
      </c>
    </row>
    <row r="288" spans="11:12" x14ac:dyDescent="0.25">
      <c r="K288" s="201" t="str">
        <f t="shared" si="8"/>
        <v/>
      </c>
      <c r="L288" s="201" t="str">
        <f t="shared" si="9"/>
        <v/>
      </c>
    </row>
    <row r="289" spans="11:12" x14ac:dyDescent="0.25">
      <c r="K289" s="201" t="str">
        <f t="shared" si="8"/>
        <v/>
      </c>
      <c r="L289" s="201" t="str">
        <f t="shared" si="9"/>
        <v/>
      </c>
    </row>
    <row r="290" spans="11:12" x14ac:dyDescent="0.25">
      <c r="K290" s="201" t="str">
        <f t="shared" si="8"/>
        <v/>
      </c>
      <c r="L290" s="201" t="str">
        <f t="shared" si="9"/>
        <v/>
      </c>
    </row>
    <row r="291" spans="11:12" x14ac:dyDescent="0.25">
      <c r="K291" s="201" t="str">
        <f t="shared" si="8"/>
        <v/>
      </c>
      <c r="L291" s="201" t="str">
        <f t="shared" si="9"/>
        <v/>
      </c>
    </row>
    <row r="292" spans="11:12" x14ac:dyDescent="0.25">
      <c r="K292" s="201" t="str">
        <f t="shared" si="8"/>
        <v/>
      </c>
      <c r="L292" s="201" t="str">
        <f t="shared" si="9"/>
        <v/>
      </c>
    </row>
    <row r="293" spans="11:12" x14ac:dyDescent="0.25">
      <c r="K293" s="201" t="str">
        <f t="shared" si="8"/>
        <v/>
      </c>
      <c r="L293" s="201" t="str">
        <f t="shared" si="9"/>
        <v/>
      </c>
    </row>
    <row r="294" spans="11:12" x14ac:dyDescent="0.25">
      <c r="K294" s="201" t="str">
        <f t="shared" si="8"/>
        <v/>
      </c>
      <c r="L294" s="201" t="str">
        <f t="shared" si="9"/>
        <v/>
      </c>
    </row>
    <row r="295" spans="11:12" x14ac:dyDescent="0.25">
      <c r="K295" s="201" t="str">
        <f t="shared" si="8"/>
        <v/>
      </c>
      <c r="L295" s="201" t="str">
        <f t="shared" si="9"/>
        <v/>
      </c>
    </row>
    <row r="296" spans="11:12" x14ac:dyDescent="0.25">
      <c r="K296" s="201" t="str">
        <f t="shared" si="8"/>
        <v/>
      </c>
      <c r="L296" s="201" t="str">
        <f t="shared" si="9"/>
        <v/>
      </c>
    </row>
    <row r="297" spans="11:12" x14ac:dyDescent="0.25">
      <c r="K297" s="201" t="str">
        <f t="shared" si="8"/>
        <v/>
      </c>
      <c r="L297" s="201" t="str">
        <f t="shared" si="9"/>
        <v/>
      </c>
    </row>
    <row r="298" spans="11:12" x14ac:dyDescent="0.25">
      <c r="K298" s="201" t="str">
        <f t="shared" si="8"/>
        <v/>
      </c>
      <c r="L298" s="201" t="str">
        <f t="shared" si="9"/>
        <v/>
      </c>
    </row>
    <row r="299" spans="11:12" x14ac:dyDescent="0.25">
      <c r="K299" s="201" t="str">
        <f t="shared" si="8"/>
        <v/>
      </c>
      <c r="L299" s="201" t="str">
        <f t="shared" si="9"/>
        <v/>
      </c>
    </row>
    <row r="300" spans="11:12" x14ac:dyDescent="0.25">
      <c r="K300" s="201" t="str">
        <f t="shared" si="8"/>
        <v/>
      </c>
      <c r="L300" s="201" t="str">
        <f t="shared" si="9"/>
        <v/>
      </c>
    </row>
    <row r="301" spans="11:12" x14ac:dyDescent="0.25">
      <c r="K301" s="201" t="str">
        <f t="shared" si="8"/>
        <v/>
      </c>
      <c r="L301" s="201" t="str">
        <f t="shared" si="9"/>
        <v/>
      </c>
    </row>
    <row r="302" spans="11:12" x14ac:dyDescent="0.25">
      <c r="K302" s="201" t="str">
        <f t="shared" si="8"/>
        <v/>
      </c>
      <c r="L302" s="201" t="str">
        <f t="shared" si="9"/>
        <v/>
      </c>
    </row>
    <row r="303" spans="11:12" x14ac:dyDescent="0.25">
      <c r="K303" s="201" t="str">
        <f t="shared" si="8"/>
        <v/>
      </c>
      <c r="L303" s="201" t="str">
        <f t="shared" si="9"/>
        <v/>
      </c>
    </row>
    <row r="304" spans="11:12" x14ac:dyDescent="0.25">
      <c r="K304" s="201" t="str">
        <f t="shared" si="8"/>
        <v/>
      </c>
      <c r="L304" s="201" t="str">
        <f t="shared" si="9"/>
        <v/>
      </c>
    </row>
    <row r="305" spans="11:12" x14ac:dyDescent="0.25">
      <c r="K305" s="201" t="str">
        <f t="shared" si="8"/>
        <v/>
      </c>
      <c r="L305" s="201" t="str">
        <f t="shared" si="9"/>
        <v/>
      </c>
    </row>
    <row r="306" spans="11:12" x14ac:dyDescent="0.25">
      <c r="K306" s="201" t="str">
        <f t="shared" si="8"/>
        <v/>
      </c>
      <c r="L306" s="201" t="str">
        <f t="shared" si="9"/>
        <v/>
      </c>
    </row>
    <row r="307" spans="11:12" x14ac:dyDescent="0.25">
      <c r="K307" s="201" t="str">
        <f t="shared" si="8"/>
        <v/>
      </c>
      <c r="L307" s="201" t="str">
        <f t="shared" si="9"/>
        <v/>
      </c>
    </row>
    <row r="308" spans="11:12" x14ac:dyDescent="0.25">
      <c r="K308" s="201" t="str">
        <f t="shared" si="8"/>
        <v/>
      </c>
      <c r="L308" s="201" t="str">
        <f t="shared" si="9"/>
        <v/>
      </c>
    </row>
    <row r="309" spans="11:12" x14ac:dyDescent="0.25">
      <c r="K309" s="201" t="str">
        <f t="shared" si="8"/>
        <v/>
      </c>
      <c r="L309" s="201" t="str">
        <f t="shared" si="9"/>
        <v/>
      </c>
    </row>
    <row r="310" spans="11:12" x14ac:dyDescent="0.25">
      <c r="K310" s="201" t="str">
        <f t="shared" si="8"/>
        <v/>
      </c>
      <c r="L310" s="201" t="str">
        <f t="shared" si="9"/>
        <v/>
      </c>
    </row>
    <row r="311" spans="11:12" x14ac:dyDescent="0.25">
      <c r="K311" s="201" t="str">
        <f t="shared" si="8"/>
        <v/>
      </c>
      <c r="L311" s="201" t="str">
        <f t="shared" si="9"/>
        <v/>
      </c>
    </row>
    <row r="312" spans="11:12" x14ac:dyDescent="0.25">
      <c r="K312" s="201" t="str">
        <f t="shared" si="8"/>
        <v/>
      </c>
      <c r="L312" s="201" t="str">
        <f t="shared" si="9"/>
        <v/>
      </c>
    </row>
    <row r="313" spans="11:12" x14ac:dyDescent="0.25">
      <c r="K313" s="201" t="str">
        <f t="shared" si="8"/>
        <v/>
      </c>
      <c r="L313" s="201" t="str">
        <f t="shared" si="9"/>
        <v/>
      </c>
    </row>
    <row r="314" spans="11:12" x14ac:dyDescent="0.25">
      <c r="K314" s="201" t="str">
        <f t="shared" si="8"/>
        <v/>
      </c>
      <c r="L314" s="201" t="str">
        <f t="shared" si="9"/>
        <v/>
      </c>
    </row>
    <row r="315" spans="11:12" x14ac:dyDescent="0.25">
      <c r="K315" s="201" t="str">
        <f t="shared" si="8"/>
        <v/>
      </c>
      <c r="L315" s="201" t="str">
        <f t="shared" si="9"/>
        <v/>
      </c>
    </row>
    <row r="316" spans="11:12" x14ac:dyDescent="0.25">
      <c r="K316" s="201" t="str">
        <f t="shared" si="8"/>
        <v/>
      </c>
      <c r="L316" s="201" t="str">
        <f t="shared" si="9"/>
        <v/>
      </c>
    </row>
    <row r="317" spans="11:12" x14ac:dyDescent="0.25">
      <c r="K317" s="201" t="str">
        <f t="shared" si="8"/>
        <v/>
      </c>
      <c r="L317" s="201" t="str">
        <f t="shared" si="9"/>
        <v/>
      </c>
    </row>
    <row r="318" spans="11:12" x14ac:dyDescent="0.25">
      <c r="K318" s="201" t="str">
        <f t="shared" si="8"/>
        <v/>
      </c>
      <c r="L318" s="201" t="str">
        <f t="shared" si="9"/>
        <v/>
      </c>
    </row>
    <row r="319" spans="11:12" x14ac:dyDescent="0.25">
      <c r="K319" s="201" t="str">
        <f t="shared" si="8"/>
        <v/>
      </c>
      <c r="L319" s="201" t="str">
        <f t="shared" si="9"/>
        <v/>
      </c>
    </row>
    <row r="320" spans="11:12" x14ac:dyDescent="0.25">
      <c r="K320" s="201" t="str">
        <f t="shared" si="8"/>
        <v/>
      </c>
      <c r="L320" s="201" t="str">
        <f t="shared" si="9"/>
        <v/>
      </c>
    </row>
    <row r="321" spans="11:12" x14ac:dyDescent="0.25">
      <c r="K321" s="201" t="str">
        <f t="shared" si="8"/>
        <v/>
      </c>
      <c r="L321" s="201" t="str">
        <f t="shared" si="9"/>
        <v/>
      </c>
    </row>
    <row r="322" spans="11:12" x14ac:dyDescent="0.25">
      <c r="K322" s="201" t="str">
        <f t="shared" si="8"/>
        <v/>
      </c>
      <c r="L322" s="201" t="str">
        <f t="shared" si="9"/>
        <v/>
      </c>
    </row>
    <row r="323" spans="11:12" x14ac:dyDescent="0.25">
      <c r="K323" s="201" t="str">
        <f t="shared" si="8"/>
        <v/>
      </c>
      <c r="L323" s="201" t="str">
        <f t="shared" si="9"/>
        <v/>
      </c>
    </row>
    <row r="324" spans="11:12" x14ac:dyDescent="0.25">
      <c r="K324" s="201" t="str">
        <f t="shared" si="8"/>
        <v/>
      </c>
      <c r="L324" s="201" t="str">
        <f t="shared" si="9"/>
        <v/>
      </c>
    </row>
    <row r="325" spans="11:12" x14ac:dyDescent="0.25">
      <c r="K325" s="201" t="str">
        <f t="shared" si="8"/>
        <v/>
      </c>
      <c r="L325" s="201" t="str">
        <f t="shared" si="9"/>
        <v/>
      </c>
    </row>
    <row r="326" spans="11:12" x14ac:dyDescent="0.25">
      <c r="K326" s="201" t="str">
        <f t="shared" si="8"/>
        <v/>
      </c>
      <c r="L326" s="201" t="str">
        <f t="shared" si="9"/>
        <v/>
      </c>
    </row>
    <row r="327" spans="11:12" x14ac:dyDescent="0.25">
      <c r="K327" s="201" t="str">
        <f t="shared" si="8"/>
        <v/>
      </c>
      <c r="L327" s="201" t="str">
        <f t="shared" si="9"/>
        <v/>
      </c>
    </row>
    <row r="328" spans="11:12" x14ac:dyDescent="0.25">
      <c r="K328" s="201" t="str">
        <f t="shared" si="8"/>
        <v/>
      </c>
      <c r="L328" s="201" t="str">
        <f t="shared" si="9"/>
        <v/>
      </c>
    </row>
    <row r="329" spans="11:12" x14ac:dyDescent="0.25">
      <c r="K329" s="201" t="str">
        <f t="shared" si="8"/>
        <v/>
      </c>
      <c r="L329" s="201" t="str">
        <f t="shared" si="9"/>
        <v/>
      </c>
    </row>
    <row r="330" spans="11:12" x14ac:dyDescent="0.25">
      <c r="K330" s="201" t="str">
        <f t="shared" si="8"/>
        <v/>
      </c>
      <c r="L330" s="201" t="str">
        <f t="shared" si="9"/>
        <v/>
      </c>
    </row>
    <row r="331" spans="11:12" x14ac:dyDescent="0.25">
      <c r="K331" s="201" t="str">
        <f t="shared" si="8"/>
        <v/>
      </c>
      <c r="L331" s="201" t="str">
        <f t="shared" si="9"/>
        <v/>
      </c>
    </row>
    <row r="332" spans="11:12" x14ac:dyDescent="0.25">
      <c r="K332" s="201" t="str">
        <f t="shared" si="8"/>
        <v/>
      </c>
      <c r="L332" s="201" t="str">
        <f t="shared" si="9"/>
        <v/>
      </c>
    </row>
    <row r="333" spans="11:12" x14ac:dyDescent="0.25">
      <c r="K333" s="201" t="str">
        <f t="shared" si="8"/>
        <v/>
      </c>
      <c r="L333" s="201" t="str">
        <f t="shared" si="9"/>
        <v/>
      </c>
    </row>
    <row r="334" spans="11:12" x14ac:dyDescent="0.25">
      <c r="K334" s="201" t="str">
        <f t="shared" si="8"/>
        <v/>
      </c>
      <c r="L334" s="201" t="str">
        <f t="shared" si="9"/>
        <v/>
      </c>
    </row>
    <row r="335" spans="11:12" x14ac:dyDescent="0.25">
      <c r="K335" s="201" t="str">
        <f t="shared" si="8"/>
        <v/>
      </c>
      <c r="L335" s="201" t="str">
        <f t="shared" si="9"/>
        <v/>
      </c>
    </row>
    <row r="336" spans="11:12" x14ac:dyDescent="0.25">
      <c r="K336" s="201" t="str">
        <f t="shared" si="8"/>
        <v/>
      </c>
      <c r="L336" s="201" t="str">
        <f t="shared" si="9"/>
        <v/>
      </c>
    </row>
    <row r="337" spans="11:12" x14ac:dyDescent="0.25">
      <c r="K337" s="201" t="str">
        <f t="shared" si="8"/>
        <v/>
      </c>
      <c r="L337" s="201" t="str">
        <f t="shared" si="9"/>
        <v/>
      </c>
    </row>
    <row r="338" spans="11:12" x14ac:dyDescent="0.25">
      <c r="K338" s="201" t="str">
        <f t="shared" si="8"/>
        <v/>
      </c>
      <c r="L338" s="201" t="str">
        <f t="shared" si="9"/>
        <v/>
      </c>
    </row>
    <row r="339" spans="11:12" x14ac:dyDescent="0.25">
      <c r="K339" s="201" t="str">
        <f t="shared" si="8"/>
        <v/>
      </c>
      <c r="L339" s="201" t="str">
        <f t="shared" si="9"/>
        <v/>
      </c>
    </row>
    <row r="340" spans="11:12" x14ac:dyDescent="0.25">
      <c r="K340" s="201" t="str">
        <f t="shared" si="8"/>
        <v/>
      </c>
      <c r="L340" s="201" t="str">
        <f t="shared" si="9"/>
        <v/>
      </c>
    </row>
    <row r="341" spans="11:12" x14ac:dyDescent="0.25">
      <c r="K341" s="201" t="str">
        <f t="shared" ref="K341:K404" si="10">IF(OR(C341="", J341=""), "",
    IF(AND(C341="Zoning - Simple", J341&lt;=5), "On Time",
        IF(AND(C341="Zoning - DAR (Simple)", J341&lt;=7), "On Time",
            IF(AND(C341="Locational Clearance", J341&lt;=10), "On Time",
                IF(AND(C341="Zoning - DAR (Complex)", J341&lt;=15), "On Time",
                    IF(AND(C341="Reclass Indorsement", J341&lt;=30), "On Time",
                        IF(AND(C341="Others", J341&lt;=3), "On Time", "Delayed")
                    )
                )
            )
        )
    )
)</f>
        <v/>
      </c>
      <c r="L341" s="201" t="str">
        <f t="shared" ref="L341:L404" si="11">IF(K341="", "", IF(K341="On Time", 1, 0))</f>
        <v/>
      </c>
    </row>
    <row r="342" spans="11:12" x14ac:dyDescent="0.25">
      <c r="K342" s="201" t="str">
        <f t="shared" si="10"/>
        <v/>
      </c>
      <c r="L342" s="201" t="str">
        <f t="shared" si="11"/>
        <v/>
      </c>
    </row>
    <row r="343" spans="11:12" x14ac:dyDescent="0.25">
      <c r="K343" s="201" t="str">
        <f t="shared" si="10"/>
        <v/>
      </c>
      <c r="L343" s="201" t="str">
        <f t="shared" si="11"/>
        <v/>
      </c>
    </row>
    <row r="344" spans="11:12" x14ac:dyDescent="0.25">
      <c r="K344" s="201" t="str">
        <f t="shared" si="10"/>
        <v/>
      </c>
      <c r="L344" s="201" t="str">
        <f t="shared" si="11"/>
        <v/>
      </c>
    </row>
    <row r="345" spans="11:12" x14ac:dyDescent="0.25">
      <c r="K345" s="201" t="str">
        <f t="shared" si="10"/>
        <v/>
      </c>
      <c r="L345" s="201" t="str">
        <f t="shared" si="11"/>
        <v/>
      </c>
    </row>
    <row r="346" spans="11:12" x14ac:dyDescent="0.25">
      <c r="K346" s="201" t="str">
        <f t="shared" si="10"/>
        <v/>
      </c>
      <c r="L346" s="201" t="str">
        <f t="shared" si="11"/>
        <v/>
      </c>
    </row>
    <row r="347" spans="11:12" x14ac:dyDescent="0.25">
      <c r="K347" s="201" t="str">
        <f t="shared" si="10"/>
        <v/>
      </c>
      <c r="L347" s="201" t="str">
        <f t="shared" si="11"/>
        <v/>
      </c>
    </row>
    <row r="348" spans="11:12" x14ac:dyDescent="0.25">
      <c r="K348" s="201" t="str">
        <f t="shared" si="10"/>
        <v/>
      </c>
      <c r="L348" s="201" t="str">
        <f t="shared" si="11"/>
        <v/>
      </c>
    </row>
    <row r="349" spans="11:12" x14ac:dyDescent="0.25">
      <c r="K349" s="201" t="str">
        <f t="shared" si="10"/>
        <v/>
      </c>
      <c r="L349" s="201" t="str">
        <f t="shared" si="11"/>
        <v/>
      </c>
    </row>
    <row r="350" spans="11:12" x14ac:dyDescent="0.25">
      <c r="K350" s="201" t="str">
        <f t="shared" si="10"/>
        <v/>
      </c>
      <c r="L350" s="201" t="str">
        <f t="shared" si="11"/>
        <v/>
      </c>
    </row>
    <row r="351" spans="11:12" x14ac:dyDescent="0.25">
      <c r="K351" s="201" t="str">
        <f t="shared" si="10"/>
        <v/>
      </c>
      <c r="L351" s="201" t="str">
        <f t="shared" si="11"/>
        <v/>
      </c>
    </row>
    <row r="352" spans="11:12" x14ac:dyDescent="0.25">
      <c r="K352" s="201" t="str">
        <f t="shared" si="10"/>
        <v/>
      </c>
      <c r="L352" s="201" t="str">
        <f t="shared" si="11"/>
        <v/>
      </c>
    </row>
    <row r="353" spans="11:12" x14ac:dyDescent="0.25">
      <c r="K353" s="201" t="str">
        <f t="shared" si="10"/>
        <v/>
      </c>
      <c r="L353" s="201" t="str">
        <f t="shared" si="11"/>
        <v/>
      </c>
    </row>
    <row r="354" spans="11:12" x14ac:dyDescent="0.25">
      <c r="K354" s="201" t="str">
        <f t="shared" si="10"/>
        <v/>
      </c>
      <c r="L354" s="201" t="str">
        <f t="shared" si="11"/>
        <v/>
      </c>
    </row>
    <row r="355" spans="11:12" x14ac:dyDescent="0.25">
      <c r="K355" s="201" t="str">
        <f t="shared" si="10"/>
        <v/>
      </c>
      <c r="L355" s="201" t="str">
        <f t="shared" si="11"/>
        <v/>
      </c>
    </row>
    <row r="356" spans="11:12" x14ac:dyDescent="0.25">
      <c r="K356" s="201" t="str">
        <f t="shared" si="10"/>
        <v/>
      </c>
      <c r="L356" s="201" t="str">
        <f t="shared" si="11"/>
        <v/>
      </c>
    </row>
    <row r="357" spans="11:12" x14ac:dyDescent="0.25">
      <c r="K357" s="201" t="str">
        <f t="shared" si="10"/>
        <v/>
      </c>
      <c r="L357" s="201" t="str">
        <f t="shared" si="11"/>
        <v/>
      </c>
    </row>
    <row r="358" spans="11:12" x14ac:dyDescent="0.25">
      <c r="K358" s="201" t="str">
        <f t="shared" si="10"/>
        <v/>
      </c>
      <c r="L358" s="201" t="str">
        <f t="shared" si="11"/>
        <v/>
      </c>
    </row>
    <row r="359" spans="11:12" x14ac:dyDescent="0.25">
      <c r="K359" s="201" t="str">
        <f t="shared" si="10"/>
        <v/>
      </c>
      <c r="L359" s="201" t="str">
        <f t="shared" si="11"/>
        <v/>
      </c>
    </row>
    <row r="360" spans="11:12" x14ac:dyDescent="0.25">
      <c r="K360" s="201" t="str">
        <f t="shared" si="10"/>
        <v/>
      </c>
      <c r="L360" s="201" t="str">
        <f t="shared" si="11"/>
        <v/>
      </c>
    </row>
    <row r="361" spans="11:12" x14ac:dyDescent="0.25">
      <c r="K361" s="201" t="str">
        <f t="shared" si="10"/>
        <v/>
      </c>
      <c r="L361" s="201" t="str">
        <f t="shared" si="11"/>
        <v/>
      </c>
    </row>
    <row r="362" spans="11:12" x14ac:dyDescent="0.25">
      <c r="K362" s="201" t="str">
        <f t="shared" si="10"/>
        <v/>
      </c>
      <c r="L362" s="201" t="str">
        <f t="shared" si="11"/>
        <v/>
      </c>
    </row>
    <row r="363" spans="11:12" x14ac:dyDescent="0.25">
      <c r="K363" s="201" t="str">
        <f t="shared" si="10"/>
        <v/>
      </c>
      <c r="L363" s="201" t="str">
        <f t="shared" si="11"/>
        <v/>
      </c>
    </row>
    <row r="364" spans="11:12" x14ac:dyDescent="0.25">
      <c r="K364" s="201" t="str">
        <f t="shared" si="10"/>
        <v/>
      </c>
      <c r="L364" s="201" t="str">
        <f t="shared" si="11"/>
        <v/>
      </c>
    </row>
    <row r="365" spans="11:12" x14ac:dyDescent="0.25">
      <c r="K365" s="201" t="str">
        <f t="shared" si="10"/>
        <v/>
      </c>
      <c r="L365" s="201" t="str">
        <f t="shared" si="11"/>
        <v/>
      </c>
    </row>
    <row r="366" spans="11:12" x14ac:dyDescent="0.25">
      <c r="K366" s="201" t="str">
        <f t="shared" si="10"/>
        <v/>
      </c>
      <c r="L366" s="201" t="str">
        <f t="shared" si="11"/>
        <v/>
      </c>
    </row>
    <row r="367" spans="11:12" x14ac:dyDescent="0.25">
      <c r="K367" s="201" t="str">
        <f t="shared" si="10"/>
        <v/>
      </c>
      <c r="L367" s="201" t="str">
        <f t="shared" si="11"/>
        <v/>
      </c>
    </row>
    <row r="368" spans="11:12" x14ac:dyDescent="0.25">
      <c r="K368" s="201" t="str">
        <f t="shared" si="10"/>
        <v/>
      </c>
      <c r="L368" s="201" t="str">
        <f t="shared" si="11"/>
        <v/>
      </c>
    </row>
    <row r="369" spans="11:12" x14ac:dyDescent="0.25">
      <c r="K369" s="201" t="str">
        <f t="shared" si="10"/>
        <v/>
      </c>
      <c r="L369" s="201" t="str">
        <f t="shared" si="11"/>
        <v/>
      </c>
    </row>
    <row r="370" spans="11:12" x14ac:dyDescent="0.25">
      <c r="K370" s="201" t="str">
        <f t="shared" si="10"/>
        <v/>
      </c>
      <c r="L370" s="201" t="str">
        <f t="shared" si="11"/>
        <v/>
      </c>
    </row>
    <row r="371" spans="11:12" x14ac:dyDescent="0.25">
      <c r="K371" s="201" t="str">
        <f t="shared" si="10"/>
        <v/>
      </c>
      <c r="L371" s="201" t="str">
        <f t="shared" si="11"/>
        <v/>
      </c>
    </row>
    <row r="372" spans="11:12" x14ac:dyDescent="0.25">
      <c r="K372" s="201" t="str">
        <f t="shared" si="10"/>
        <v/>
      </c>
      <c r="L372" s="201" t="str">
        <f t="shared" si="11"/>
        <v/>
      </c>
    </row>
    <row r="373" spans="11:12" x14ac:dyDescent="0.25">
      <c r="K373" s="201" t="str">
        <f t="shared" si="10"/>
        <v/>
      </c>
      <c r="L373" s="201" t="str">
        <f t="shared" si="11"/>
        <v/>
      </c>
    </row>
    <row r="374" spans="11:12" x14ac:dyDescent="0.25">
      <c r="K374" s="201" t="str">
        <f t="shared" si="10"/>
        <v/>
      </c>
      <c r="L374" s="201" t="str">
        <f t="shared" si="11"/>
        <v/>
      </c>
    </row>
    <row r="375" spans="11:12" x14ac:dyDescent="0.25">
      <c r="K375" s="201" t="str">
        <f t="shared" si="10"/>
        <v/>
      </c>
      <c r="L375" s="201" t="str">
        <f t="shared" si="11"/>
        <v/>
      </c>
    </row>
    <row r="376" spans="11:12" x14ac:dyDescent="0.25">
      <c r="K376" s="201" t="str">
        <f t="shared" si="10"/>
        <v/>
      </c>
      <c r="L376" s="201" t="str">
        <f t="shared" si="11"/>
        <v/>
      </c>
    </row>
    <row r="377" spans="11:12" x14ac:dyDescent="0.25">
      <c r="K377" s="201" t="str">
        <f t="shared" si="10"/>
        <v/>
      </c>
      <c r="L377" s="201" t="str">
        <f t="shared" si="11"/>
        <v/>
      </c>
    </row>
    <row r="378" spans="11:12" x14ac:dyDescent="0.25">
      <c r="K378" s="201" t="str">
        <f t="shared" si="10"/>
        <v/>
      </c>
      <c r="L378" s="201" t="str">
        <f t="shared" si="11"/>
        <v/>
      </c>
    </row>
    <row r="379" spans="11:12" x14ac:dyDescent="0.25">
      <c r="K379" s="201" t="str">
        <f t="shared" si="10"/>
        <v/>
      </c>
      <c r="L379" s="201" t="str">
        <f t="shared" si="11"/>
        <v/>
      </c>
    </row>
    <row r="380" spans="11:12" x14ac:dyDescent="0.25">
      <c r="K380" s="201" t="str">
        <f t="shared" si="10"/>
        <v/>
      </c>
      <c r="L380" s="201" t="str">
        <f t="shared" si="11"/>
        <v/>
      </c>
    </row>
    <row r="381" spans="11:12" x14ac:dyDescent="0.25">
      <c r="K381" s="201" t="str">
        <f t="shared" si="10"/>
        <v/>
      </c>
      <c r="L381" s="201" t="str">
        <f t="shared" si="11"/>
        <v/>
      </c>
    </row>
    <row r="382" spans="11:12" x14ac:dyDescent="0.25">
      <c r="K382" s="201" t="str">
        <f t="shared" si="10"/>
        <v/>
      </c>
      <c r="L382" s="201" t="str">
        <f t="shared" si="11"/>
        <v/>
      </c>
    </row>
    <row r="383" spans="11:12" x14ac:dyDescent="0.25">
      <c r="K383" s="201" t="str">
        <f t="shared" si="10"/>
        <v/>
      </c>
      <c r="L383" s="201" t="str">
        <f t="shared" si="11"/>
        <v/>
      </c>
    </row>
    <row r="384" spans="11:12" x14ac:dyDescent="0.25">
      <c r="K384" s="201" t="str">
        <f t="shared" si="10"/>
        <v/>
      </c>
      <c r="L384" s="201" t="str">
        <f t="shared" si="11"/>
        <v/>
      </c>
    </row>
    <row r="385" spans="11:12" x14ac:dyDescent="0.25">
      <c r="K385" s="201" t="str">
        <f t="shared" si="10"/>
        <v/>
      </c>
      <c r="L385" s="201" t="str">
        <f t="shared" si="11"/>
        <v/>
      </c>
    </row>
    <row r="386" spans="11:12" x14ac:dyDescent="0.25">
      <c r="K386" s="201" t="str">
        <f t="shared" si="10"/>
        <v/>
      </c>
      <c r="L386" s="201" t="str">
        <f t="shared" si="11"/>
        <v/>
      </c>
    </row>
    <row r="387" spans="11:12" x14ac:dyDescent="0.25">
      <c r="K387" s="201" t="str">
        <f t="shared" si="10"/>
        <v/>
      </c>
      <c r="L387" s="201" t="str">
        <f t="shared" si="11"/>
        <v/>
      </c>
    </row>
    <row r="388" spans="11:12" x14ac:dyDescent="0.25">
      <c r="K388" s="201" t="str">
        <f t="shared" si="10"/>
        <v/>
      </c>
      <c r="L388" s="201" t="str">
        <f t="shared" si="11"/>
        <v/>
      </c>
    </row>
    <row r="389" spans="11:12" x14ac:dyDescent="0.25">
      <c r="K389" s="201" t="str">
        <f t="shared" si="10"/>
        <v/>
      </c>
      <c r="L389" s="201" t="str">
        <f t="shared" si="11"/>
        <v/>
      </c>
    </row>
    <row r="390" spans="11:12" x14ac:dyDescent="0.25">
      <c r="K390" s="201" t="str">
        <f t="shared" si="10"/>
        <v/>
      </c>
      <c r="L390" s="201" t="str">
        <f t="shared" si="11"/>
        <v/>
      </c>
    </row>
    <row r="391" spans="11:12" x14ac:dyDescent="0.25">
      <c r="K391" s="201" t="str">
        <f t="shared" si="10"/>
        <v/>
      </c>
      <c r="L391" s="201" t="str">
        <f t="shared" si="11"/>
        <v/>
      </c>
    </row>
    <row r="392" spans="11:12" x14ac:dyDescent="0.25">
      <c r="K392" s="201" t="str">
        <f t="shared" si="10"/>
        <v/>
      </c>
      <c r="L392" s="201" t="str">
        <f t="shared" si="11"/>
        <v/>
      </c>
    </row>
    <row r="393" spans="11:12" x14ac:dyDescent="0.25">
      <c r="K393" s="201" t="str">
        <f t="shared" si="10"/>
        <v/>
      </c>
      <c r="L393" s="201" t="str">
        <f t="shared" si="11"/>
        <v/>
      </c>
    </row>
    <row r="394" spans="11:12" x14ac:dyDescent="0.25">
      <c r="K394" s="201" t="str">
        <f t="shared" si="10"/>
        <v/>
      </c>
      <c r="L394" s="201" t="str">
        <f t="shared" si="11"/>
        <v/>
      </c>
    </row>
    <row r="395" spans="11:12" x14ac:dyDescent="0.25">
      <c r="K395" s="201" t="str">
        <f t="shared" si="10"/>
        <v/>
      </c>
      <c r="L395" s="201" t="str">
        <f t="shared" si="11"/>
        <v/>
      </c>
    </row>
    <row r="396" spans="11:12" x14ac:dyDescent="0.25">
      <c r="K396" s="201" t="str">
        <f t="shared" si="10"/>
        <v/>
      </c>
      <c r="L396" s="201" t="str">
        <f t="shared" si="11"/>
        <v/>
      </c>
    </row>
    <row r="397" spans="11:12" x14ac:dyDescent="0.25">
      <c r="K397" s="201" t="str">
        <f t="shared" si="10"/>
        <v/>
      </c>
      <c r="L397" s="201" t="str">
        <f t="shared" si="11"/>
        <v/>
      </c>
    </row>
    <row r="398" spans="11:12" x14ac:dyDescent="0.25">
      <c r="K398" s="201" t="str">
        <f t="shared" si="10"/>
        <v/>
      </c>
      <c r="L398" s="201" t="str">
        <f t="shared" si="11"/>
        <v/>
      </c>
    </row>
    <row r="399" spans="11:12" x14ac:dyDescent="0.25">
      <c r="K399" s="201" t="str">
        <f t="shared" si="10"/>
        <v/>
      </c>
      <c r="L399" s="201" t="str">
        <f t="shared" si="11"/>
        <v/>
      </c>
    </row>
    <row r="400" spans="11:12" x14ac:dyDescent="0.25">
      <c r="K400" s="201" t="str">
        <f t="shared" si="10"/>
        <v/>
      </c>
      <c r="L400" s="201" t="str">
        <f t="shared" si="11"/>
        <v/>
      </c>
    </row>
    <row r="401" spans="11:12" x14ac:dyDescent="0.25">
      <c r="K401" s="201" t="str">
        <f t="shared" si="10"/>
        <v/>
      </c>
      <c r="L401" s="201" t="str">
        <f t="shared" si="11"/>
        <v/>
      </c>
    </row>
    <row r="402" spans="11:12" x14ac:dyDescent="0.25">
      <c r="K402" s="201" t="str">
        <f t="shared" si="10"/>
        <v/>
      </c>
      <c r="L402" s="201" t="str">
        <f t="shared" si="11"/>
        <v/>
      </c>
    </row>
    <row r="403" spans="11:12" x14ac:dyDescent="0.25">
      <c r="K403" s="201" t="str">
        <f t="shared" si="10"/>
        <v/>
      </c>
      <c r="L403" s="201" t="str">
        <f t="shared" si="11"/>
        <v/>
      </c>
    </row>
    <row r="404" spans="11:12" x14ac:dyDescent="0.25">
      <c r="K404" s="201" t="str">
        <f t="shared" si="10"/>
        <v/>
      </c>
      <c r="L404" s="201" t="str">
        <f t="shared" si="11"/>
        <v/>
      </c>
    </row>
    <row r="405" spans="11:12" x14ac:dyDescent="0.25">
      <c r="K405" s="201" t="str">
        <f t="shared" ref="K405:K468" si="12">IF(OR(C405="", J405=""), "",
    IF(AND(C405="Zoning - Simple", J405&lt;=5), "On Time",
        IF(AND(C405="Zoning - DAR (Simple)", J405&lt;=7), "On Time",
            IF(AND(C405="Locational Clearance", J405&lt;=10), "On Time",
                IF(AND(C405="Zoning - DAR (Complex)", J405&lt;=15), "On Time",
                    IF(AND(C405="Reclass Indorsement", J405&lt;=30), "On Time",
                        IF(AND(C405="Others", J405&lt;=3), "On Time", "Delayed")
                    )
                )
            )
        )
    )
)</f>
        <v/>
      </c>
      <c r="L405" s="201" t="str">
        <f t="shared" ref="L405:L468" si="13">IF(K405="", "", IF(K405="On Time", 1, 0))</f>
        <v/>
      </c>
    </row>
    <row r="406" spans="11:12" x14ac:dyDescent="0.25">
      <c r="K406" s="201" t="str">
        <f t="shared" si="12"/>
        <v/>
      </c>
      <c r="L406" s="201" t="str">
        <f t="shared" si="13"/>
        <v/>
      </c>
    </row>
    <row r="407" spans="11:12" x14ac:dyDescent="0.25">
      <c r="K407" s="201" t="str">
        <f t="shared" si="12"/>
        <v/>
      </c>
      <c r="L407" s="201" t="str">
        <f t="shared" si="13"/>
        <v/>
      </c>
    </row>
    <row r="408" spans="11:12" x14ac:dyDescent="0.25">
      <c r="K408" s="201" t="str">
        <f t="shared" si="12"/>
        <v/>
      </c>
      <c r="L408" s="201" t="str">
        <f t="shared" si="13"/>
        <v/>
      </c>
    </row>
    <row r="409" spans="11:12" x14ac:dyDescent="0.25">
      <c r="K409" s="201" t="str">
        <f t="shared" si="12"/>
        <v/>
      </c>
      <c r="L409" s="201" t="str">
        <f t="shared" si="13"/>
        <v/>
      </c>
    </row>
    <row r="410" spans="11:12" x14ac:dyDescent="0.25">
      <c r="K410" s="201" t="str">
        <f t="shared" si="12"/>
        <v/>
      </c>
      <c r="L410" s="201" t="str">
        <f t="shared" si="13"/>
        <v/>
      </c>
    </row>
    <row r="411" spans="11:12" x14ac:dyDescent="0.25">
      <c r="K411" s="201" t="str">
        <f t="shared" si="12"/>
        <v/>
      </c>
      <c r="L411" s="201" t="str">
        <f t="shared" si="13"/>
        <v/>
      </c>
    </row>
    <row r="412" spans="11:12" x14ac:dyDescent="0.25">
      <c r="K412" s="201" t="str">
        <f t="shared" si="12"/>
        <v/>
      </c>
      <c r="L412" s="201" t="str">
        <f t="shared" si="13"/>
        <v/>
      </c>
    </row>
    <row r="413" spans="11:12" x14ac:dyDescent="0.25">
      <c r="K413" s="201" t="str">
        <f t="shared" si="12"/>
        <v/>
      </c>
      <c r="L413" s="201" t="str">
        <f t="shared" si="13"/>
        <v/>
      </c>
    </row>
    <row r="414" spans="11:12" x14ac:dyDescent="0.25">
      <c r="K414" s="201" t="str">
        <f t="shared" si="12"/>
        <v/>
      </c>
      <c r="L414" s="201" t="str">
        <f t="shared" si="13"/>
        <v/>
      </c>
    </row>
    <row r="415" spans="11:12" x14ac:dyDescent="0.25">
      <c r="K415" s="201" t="str">
        <f t="shared" si="12"/>
        <v/>
      </c>
      <c r="L415" s="201" t="str">
        <f t="shared" si="13"/>
        <v/>
      </c>
    </row>
    <row r="416" spans="11:12" x14ac:dyDescent="0.25">
      <c r="K416" s="201" t="str">
        <f t="shared" si="12"/>
        <v/>
      </c>
      <c r="L416" s="201" t="str">
        <f t="shared" si="13"/>
        <v/>
      </c>
    </row>
    <row r="417" spans="11:12" x14ac:dyDescent="0.25">
      <c r="K417" s="201" t="str">
        <f t="shared" si="12"/>
        <v/>
      </c>
      <c r="L417" s="201" t="str">
        <f t="shared" si="13"/>
        <v/>
      </c>
    </row>
    <row r="418" spans="11:12" x14ac:dyDescent="0.25">
      <c r="K418" s="201" t="str">
        <f t="shared" si="12"/>
        <v/>
      </c>
      <c r="L418" s="201" t="str">
        <f t="shared" si="13"/>
        <v/>
      </c>
    </row>
    <row r="419" spans="11:12" x14ac:dyDescent="0.25">
      <c r="K419" s="201" t="str">
        <f t="shared" si="12"/>
        <v/>
      </c>
      <c r="L419" s="201" t="str">
        <f t="shared" si="13"/>
        <v/>
      </c>
    </row>
    <row r="420" spans="11:12" x14ac:dyDescent="0.25">
      <c r="K420" s="201" t="str">
        <f t="shared" si="12"/>
        <v/>
      </c>
      <c r="L420" s="201" t="str">
        <f t="shared" si="13"/>
        <v/>
      </c>
    </row>
    <row r="421" spans="11:12" x14ac:dyDescent="0.25">
      <c r="K421" s="201" t="str">
        <f t="shared" si="12"/>
        <v/>
      </c>
      <c r="L421" s="201" t="str">
        <f t="shared" si="13"/>
        <v/>
      </c>
    </row>
    <row r="422" spans="11:12" x14ac:dyDescent="0.25">
      <c r="K422" s="201" t="str">
        <f t="shared" si="12"/>
        <v/>
      </c>
      <c r="L422" s="201" t="str">
        <f t="shared" si="13"/>
        <v/>
      </c>
    </row>
    <row r="423" spans="11:12" x14ac:dyDescent="0.25">
      <c r="K423" s="201" t="str">
        <f t="shared" si="12"/>
        <v/>
      </c>
      <c r="L423" s="201" t="str">
        <f t="shared" si="13"/>
        <v/>
      </c>
    </row>
    <row r="424" spans="11:12" x14ac:dyDescent="0.25">
      <c r="K424" s="201" t="str">
        <f t="shared" si="12"/>
        <v/>
      </c>
      <c r="L424" s="201" t="str">
        <f t="shared" si="13"/>
        <v/>
      </c>
    </row>
    <row r="425" spans="11:12" x14ac:dyDescent="0.25">
      <c r="K425" s="201" t="str">
        <f t="shared" si="12"/>
        <v/>
      </c>
      <c r="L425" s="201" t="str">
        <f t="shared" si="13"/>
        <v/>
      </c>
    </row>
    <row r="426" spans="11:12" x14ac:dyDescent="0.25">
      <c r="K426" s="201" t="str">
        <f t="shared" si="12"/>
        <v/>
      </c>
      <c r="L426" s="201" t="str">
        <f t="shared" si="13"/>
        <v/>
      </c>
    </row>
    <row r="427" spans="11:12" x14ac:dyDescent="0.25">
      <c r="K427" s="201" t="str">
        <f t="shared" si="12"/>
        <v/>
      </c>
      <c r="L427" s="201" t="str">
        <f t="shared" si="13"/>
        <v/>
      </c>
    </row>
    <row r="428" spans="11:12" x14ac:dyDescent="0.25">
      <c r="K428" s="201" t="str">
        <f t="shared" si="12"/>
        <v/>
      </c>
      <c r="L428" s="201" t="str">
        <f t="shared" si="13"/>
        <v/>
      </c>
    </row>
    <row r="429" spans="11:12" x14ac:dyDescent="0.25">
      <c r="K429" s="201" t="str">
        <f t="shared" si="12"/>
        <v/>
      </c>
      <c r="L429" s="201" t="str">
        <f t="shared" si="13"/>
        <v/>
      </c>
    </row>
    <row r="430" spans="11:12" x14ac:dyDescent="0.25">
      <c r="K430" s="201" t="str">
        <f t="shared" si="12"/>
        <v/>
      </c>
      <c r="L430" s="201" t="str">
        <f t="shared" si="13"/>
        <v/>
      </c>
    </row>
    <row r="431" spans="11:12" x14ac:dyDescent="0.25">
      <c r="K431" s="201" t="str">
        <f t="shared" si="12"/>
        <v/>
      </c>
      <c r="L431" s="201" t="str">
        <f t="shared" si="13"/>
        <v/>
      </c>
    </row>
    <row r="432" spans="11:12" x14ac:dyDescent="0.25">
      <c r="K432" s="201" t="str">
        <f t="shared" si="12"/>
        <v/>
      </c>
      <c r="L432" s="201" t="str">
        <f t="shared" si="13"/>
        <v/>
      </c>
    </row>
    <row r="433" spans="11:12" x14ac:dyDescent="0.25">
      <c r="K433" s="201" t="str">
        <f t="shared" si="12"/>
        <v/>
      </c>
      <c r="L433" s="201" t="str">
        <f t="shared" si="13"/>
        <v/>
      </c>
    </row>
    <row r="434" spans="11:12" x14ac:dyDescent="0.25">
      <c r="K434" s="201" t="str">
        <f t="shared" si="12"/>
        <v/>
      </c>
      <c r="L434" s="201" t="str">
        <f t="shared" si="13"/>
        <v/>
      </c>
    </row>
    <row r="435" spans="11:12" x14ac:dyDescent="0.25">
      <c r="K435" s="201" t="str">
        <f t="shared" si="12"/>
        <v/>
      </c>
      <c r="L435" s="201" t="str">
        <f t="shared" si="13"/>
        <v/>
      </c>
    </row>
    <row r="436" spans="11:12" x14ac:dyDescent="0.25">
      <c r="K436" s="201" t="str">
        <f t="shared" si="12"/>
        <v/>
      </c>
      <c r="L436" s="201" t="str">
        <f t="shared" si="13"/>
        <v/>
      </c>
    </row>
    <row r="437" spans="11:12" x14ac:dyDescent="0.25">
      <c r="K437" s="201" t="str">
        <f t="shared" si="12"/>
        <v/>
      </c>
      <c r="L437" s="201" t="str">
        <f t="shared" si="13"/>
        <v/>
      </c>
    </row>
    <row r="438" spans="11:12" x14ac:dyDescent="0.25">
      <c r="K438" s="201" t="str">
        <f t="shared" si="12"/>
        <v/>
      </c>
      <c r="L438" s="201" t="str">
        <f t="shared" si="13"/>
        <v/>
      </c>
    </row>
    <row r="439" spans="11:12" x14ac:dyDescent="0.25">
      <c r="K439" s="201" t="str">
        <f t="shared" si="12"/>
        <v/>
      </c>
      <c r="L439" s="201" t="str">
        <f t="shared" si="13"/>
        <v/>
      </c>
    </row>
    <row r="440" spans="11:12" x14ac:dyDescent="0.25">
      <c r="K440" s="201" t="str">
        <f t="shared" si="12"/>
        <v/>
      </c>
      <c r="L440" s="201" t="str">
        <f t="shared" si="13"/>
        <v/>
      </c>
    </row>
    <row r="441" spans="11:12" x14ac:dyDescent="0.25">
      <c r="K441" s="201" t="str">
        <f t="shared" si="12"/>
        <v/>
      </c>
      <c r="L441" s="201" t="str">
        <f t="shared" si="13"/>
        <v/>
      </c>
    </row>
    <row r="442" spans="11:12" x14ac:dyDescent="0.25">
      <c r="K442" s="201" t="str">
        <f t="shared" si="12"/>
        <v/>
      </c>
      <c r="L442" s="201" t="str">
        <f t="shared" si="13"/>
        <v/>
      </c>
    </row>
    <row r="443" spans="11:12" x14ac:dyDescent="0.25">
      <c r="K443" s="201" t="str">
        <f t="shared" si="12"/>
        <v/>
      </c>
      <c r="L443" s="201" t="str">
        <f t="shared" si="13"/>
        <v/>
      </c>
    </row>
    <row r="444" spans="11:12" x14ac:dyDescent="0.25">
      <c r="K444" s="201" t="str">
        <f t="shared" si="12"/>
        <v/>
      </c>
      <c r="L444" s="201" t="str">
        <f t="shared" si="13"/>
        <v/>
      </c>
    </row>
    <row r="445" spans="11:12" x14ac:dyDescent="0.25">
      <c r="K445" s="201" t="str">
        <f t="shared" si="12"/>
        <v/>
      </c>
      <c r="L445" s="201" t="str">
        <f t="shared" si="13"/>
        <v/>
      </c>
    </row>
    <row r="446" spans="11:12" x14ac:dyDescent="0.25">
      <c r="K446" s="201" t="str">
        <f t="shared" si="12"/>
        <v/>
      </c>
      <c r="L446" s="201" t="str">
        <f t="shared" si="13"/>
        <v/>
      </c>
    </row>
    <row r="447" spans="11:12" x14ac:dyDescent="0.25">
      <c r="K447" s="201" t="str">
        <f t="shared" si="12"/>
        <v/>
      </c>
      <c r="L447" s="201" t="str">
        <f t="shared" si="13"/>
        <v/>
      </c>
    </row>
    <row r="448" spans="11:12" x14ac:dyDescent="0.25">
      <c r="K448" s="201" t="str">
        <f t="shared" si="12"/>
        <v/>
      </c>
      <c r="L448" s="201" t="str">
        <f t="shared" si="13"/>
        <v/>
      </c>
    </row>
    <row r="449" spans="11:12" x14ac:dyDescent="0.25">
      <c r="K449" s="201" t="str">
        <f t="shared" si="12"/>
        <v/>
      </c>
      <c r="L449" s="201" t="str">
        <f t="shared" si="13"/>
        <v/>
      </c>
    </row>
    <row r="450" spans="11:12" x14ac:dyDescent="0.25">
      <c r="K450" s="201" t="str">
        <f t="shared" si="12"/>
        <v/>
      </c>
      <c r="L450" s="201" t="str">
        <f t="shared" si="13"/>
        <v/>
      </c>
    </row>
    <row r="451" spans="11:12" x14ac:dyDescent="0.25">
      <c r="K451" s="201" t="str">
        <f t="shared" si="12"/>
        <v/>
      </c>
      <c r="L451" s="201" t="str">
        <f t="shared" si="13"/>
        <v/>
      </c>
    </row>
    <row r="452" spans="11:12" x14ac:dyDescent="0.25">
      <c r="K452" s="201" t="str">
        <f t="shared" si="12"/>
        <v/>
      </c>
      <c r="L452" s="201" t="str">
        <f t="shared" si="13"/>
        <v/>
      </c>
    </row>
    <row r="453" spans="11:12" x14ac:dyDescent="0.25">
      <c r="K453" s="201" t="str">
        <f t="shared" si="12"/>
        <v/>
      </c>
      <c r="L453" s="201" t="str">
        <f t="shared" si="13"/>
        <v/>
      </c>
    </row>
    <row r="454" spans="11:12" x14ac:dyDescent="0.25">
      <c r="K454" s="201" t="str">
        <f t="shared" si="12"/>
        <v/>
      </c>
      <c r="L454" s="201" t="str">
        <f t="shared" si="13"/>
        <v/>
      </c>
    </row>
    <row r="455" spans="11:12" x14ac:dyDescent="0.25">
      <c r="K455" s="201" t="str">
        <f t="shared" si="12"/>
        <v/>
      </c>
      <c r="L455" s="201" t="str">
        <f t="shared" si="13"/>
        <v/>
      </c>
    </row>
    <row r="456" spans="11:12" x14ac:dyDescent="0.25">
      <c r="K456" s="201" t="str">
        <f t="shared" si="12"/>
        <v/>
      </c>
      <c r="L456" s="201" t="str">
        <f t="shared" si="13"/>
        <v/>
      </c>
    </row>
    <row r="457" spans="11:12" x14ac:dyDescent="0.25">
      <c r="K457" s="201" t="str">
        <f t="shared" si="12"/>
        <v/>
      </c>
      <c r="L457" s="201" t="str">
        <f t="shared" si="13"/>
        <v/>
      </c>
    </row>
    <row r="458" spans="11:12" x14ac:dyDescent="0.25">
      <c r="K458" s="201" t="str">
        <f t="shared" si="12"/>
        <v/>
      </c>
      <c r="L458" s="201" t="str">
        <f t="shared" si="13"/>
        <v/>
      </c>
    </row>
    <row r="459" spans="11:12" x14ac:dyDescent="0.25">
      <c r="K459" s="201" t="str">
        <f t="shared" si="12"/>
        <v/>
      </c>
      <c r="L459" s="201" t="str">
        <f t="shared" si="13"/>
        <v/>
      </c>
    </row>
    <row r="460" spans="11:12" x14ac:dyDescent="0.25">
      <c r="K460" s="201" t="str">
        <f t="shared" si="12"/>
        <v/>
      </c>
      <c r="L460" s="201" t="str">
        <f t="shared" si="13"/>
        <v/>
      </c>
    </row>
    <row r="461" spans="11:12" x14ac:dyDescent="0.25">
      <c r="K461" s="201" t="str">
        <f t="shared" si="12"/>
        <v/>
      </c>
      <c r="L461" s="201" t="str">
        <f t="shared" si="13"/>
        <v/>
      </c>
    </row>
    <row r="462" spans="11:12" x14ac:dyDescent="0.25">
      <c r="K462" s="201" t="str">
        <f t="shared" si="12"/>
        <v/>
      </c>
      <c r="L462" s="201" t="str">
        <f t="shared" si="13"/>
        <v/>
      </c>
    </row>
    <row r="463" spans="11:12" x14ac:dyDescent="0.25">
      <c r="K463" s="201" t="str">
        <f t="shared" si="12"/>
        <v/>
      </c>
      <c r="L463" s="201" t="str">
        <f t="shared" si="13"/>
        <v/>
      </c>
    </row>
    <row r="464" spans="11:12" x14ac:dyDescent="0.25">
      <c r="K464" s="201" t="str">
        <f t="shared" si="12"/>
        <v/>
      </c>
      <c r="L464" s="201" t="str">
        <f t="shared" si="13"/>
        <v/>
      </c>
    </row>
    <row r="465" spans="11:12" x14ac:dyDescent="0.25">
      <c r="K465" s="201" t="str">
        <f t="shared" si="12"/>
        <v/>
      </c>
      <c r="L465" s="201" t="str">
        <f t="shared" si="13"/>
        <v/>
      </c>
    </row>
    <row r="466" spans="11:12" x14ac:dyDescent="0.25">
      <c r="K466" s="201" t="str">
        <f t="shared" si="12"/>
        <v/>
      </c>
      <c r="L466" s="201" t="str">
        <f t="shared" si="13"/>
        <v/>
      </c>
    </row>
    <row r="467" spans="11:12" x14ac:dyDescent="0.25">
      <c r="K467" s="201" t="str">
        <f t="shared" si="12"/>
        <v/>
      </c>
      <c r="L467" s="201" t="str">
        <f t="shared" si="13"/>
        <v/>
      </c>
    </row>
    <row r="468" spans="11:12" x14ac:dyDescent="0.25">
      <c r="K468" s="201" t="str">
        <f t="shared" si="12"/>
        <v/>
      </c>
      <c r="L468" s="201" t="str">
        <f t="shared" si="13"/>
        <v/>
      </c>
    </row>
    <row r="469" spans="11:12" x14ac:dyDescent="0.25">
      <c r="K469" s="201" t="str">
        <f t="shared" ref="K469:K532" si="14">IF(OR(C469="", J469=""), "",
    IF(AND(C469="Zoning - Simple", J469&lt;=5), "On Time",
        IF(AND(C469="Zoning - DAR (Simple)", J469&lt;=7), "On Time",
            IF(AND(C469="Locational Clearance", J469&lt;=10), "On Time",
                IF(AND(C469="Zoning - DAR (Complex)", J469&lt;=15), "On Time",
                    IF(AND(C469="Reclass Indorsement", J469&lt;=30), "On Time",
                        IF(AND(C469="Others", J469&lt;=3), "On Time", "Delayed")
                    )
                )
            )
        )
    )
)</f>
        <v/>
      </c>
      <c r="L469" s="201" t="str">
        <f t="shared" ref="L469:L532" si="15">IF(K469="", "", IF(K469="On Time", 1, 0))</f>
        <v/>
      </c>
    </row>
    <row r="470" spans="11:12" x14ac:dyDescent="0.25">
      <c r="K470" s="201" t="str">
        <f t="shared" si="14"/>
        <v/>
      </c>
      <c r="L470" s="201" t="str">
        <f t="shared" si="15"/>
        <v/>
      </c>
    </row>
    <row r="471" spans="11:12" x14ac:dyDescent="0.25">
      <c r="K471" s="201" t="str">
        <f t="shared" si="14"/>
        <v/>
      </c>
      <c r="L471" s="201" t="str">
        <f t="shared" si="15"/>
        <v/>
      </c>
    </row>
    <row r="472" spans="11:12" x14ac:dyDescent="0.25">
      <c r="K472" s="201" t="str">
        <f t="shared" si="14"/>
        <v/>
      </c>
      <c r="L472" s="201" t="str">
        <f t="shared" si="15"/>
        <v/>
      </c>
    </row>
    <row r="473" spans="11:12" x14ac:dyDescent="0.25">
      <c r="K473" s="201" t="str">
        <f t="shared" si="14"/>
        <v/>
      </c>
      <c r="L473" s="201" t="str">
        <f t="shared" si="15"/>
        <v/>
      </c>
    </row>
    <row r="474" spans="11:12" x14ac:dyDescent="0.25">
      <c r="K474" s="201" t="str">
        <f t="shared" si="14"/>
        <v/>
      </c>
      <c r="L474" s="201" t="str">
        <f t="shared" si="15"/>
        <v/>
      </c>
    </row>
    <row r="475" spans="11:12" x14ac:dyDescent="0.25">
      <c r="K475" s="201" t="str">
        <f t="shared" si="14"/>
        <v/>
      </c>
      <c r="L475" s="201" t="str">
        <f t="shared" si="15"/>
        <v/>
      </c>
    </row>
    <row r="476" spans="11:12" x14ac:dyDescent="0.25">
      <c r="K476" s="201" t="str">
        <f t="shared" si="14"/>
        <v/>
      </c>
      <c r="L476" s="201" t="str">
        <f t="shared" si="15"/>
        <v/>
      </c>
    </row>
    <row r="477" spans="11:12" x14ac:dyDescent="0.25">
      <c r="K477" s="201" t="str">
        <f t="shared" si="14"/>
        <v/>
      </c>
      <c r="L477" s="201" t="str">
        <f t="shared" si="15"/>
        <v/>
      </c>
    </row>
    <row r="478" spans="11:12" x14ac:dyDescent="0.25">
      <c r="K478" s="201" t="str">
        <f t="shared" si="14"/>
        <v/>
      </c>
      <c r="L478" s="201" t="str">
        <f t="shared" si="15"/>
        <v/>
      </c>
    </row>
    <row r="479" spans="11:12" x14ac:dyDescent="0.25">
      <c r="K479" s="201" t="str">
        <f t="shared" si="14"/>
        <v/>
      </c>
      <c r="L479" s="201" t="str">
        <f t="shared" si="15"/>
        <v/>
      </c>
    </row>
    <row r="480" spans="11:12" x14ac:dyDescent="0.25">
      <c r="K480" s="201" t="str">
        <f t="shared" si="14"/>
        <v/>
      </c>
      <c r="L480" s="201" t="str">
        <f t="shared" si="15"/>
        <v/>
      </c>
    </row>
    <row r="481" spans="11:12" x14ac:dyDescent="0.25">
      <c r="K481" s="201" t="str">
        <f t="shared" si="14"/>
        <v/>
      </c>
      <c r="L481" s="201" t="str">
        <f t="shared" si="15"/>
        <v/>
      </c>
    </row>
    <row r="482" spans="11:12" x14ac:dyDescent="0.25">
      <c r="K482" s="201" t="str">
        <f t="shared" si="14"/>
        <v/>
      </c>
      <c r="L482" s="201" t="str">
        <f t="shared" si="15"/>
        <v/>
      </c>
    </row>
    <row r="483" spans="11:12" x14ac:dyDescent="0.25">
      <c r="K483" s="201" t="str">
        <f t="shared" si="14"/>
        <v/>
      </c>
      <c r="L483" s="201" t="str">
        <f t="shared" si="15"/>
        <v/>
      </c>
    </row>
    <row r="484" spans="11:12" x14ac:dyDescent="0.25">
      <c r="K484" s="201" t="str">
        <f t="shared" si="14"/>
        <v/>
      </c>
      <c r="L484" s="201" t="str">
        <f t="shared" si="15"/>
        <v/>
      </c>
    </row>
    <row r="485" spans="11:12" x14ac:dyDescent="0.25">
      <c r="K485" s="201" t="str">
        <f t="shared" si="14"/>
        <v/>
      </c>
      <c r="L485" s="201" t="str">
        <f t="shared" si="15"/>
        <v/>
      </c>
    </row>
    <row r="486" spans="11:12" x14ac:dyDescent="0.25">
      <c r="K486" s="201" t="str">
        <f t="shared" si="14"/>
        <v/>
      </c>
      <c r="L486" s="201" t="str">
        <f t="shared" si="15"/>
        <v/>
      </c>
    </row>
    <row r="487" spans="11:12" x14ac:dyDescent="0.25">
      <c r="K487" s="201" t="str">
        <f t="shared" si="14"/>
        <v/>
      </c>
      <c r="L487" s="201" t="str">
        <f t="shared" si="15"/>
        <v/>
      </c>
    </row>
    <row r="488" spans="11:12" x14ac:dyDescent="0.25">
      <c r="K488" s="201" t="str">
        <f t="shared" si="14"/>
        <v/>
      </c>
      <c r="L488" s="201" t="str">
        <f t="shared" si="15"/>
        <v/>
      </c>
    </row>
    <row r="489" spans="11:12" x14ac:dyDescent="0.25">
      <c r="K489" s="201" t="str">
        <f t="shared" si="14"/>
        <v/>
      </c>
      <c r="L489" s="201" t="str">
        <f t="shared" si="15"/>
        <v/>
      </c>
    </row>
    <row r="490" spans="11:12" x14ac:dyDescent="0.25">
      <c r="K490" s="201" t="str">
        <f t="shared" si="14"/>
        <v/>
      </c>
      <c r="L490" s="201" t="str">
        <f t="shared" si="15"/>
        <v/>
      </c>
    </row>
    <row r="491" spans="11:12" x14ac:dyDescent="0.25">
      <c r="K491" s="201" t="str">
        <f t="shared" si="14"/>
        <v/>
      </c>
      <c r="L491" s="201" t="str">
        <f t="shared" si="15"/>
        <v/>
      </c>
    </row>
    <row r="492" spans="11:12" x14ac:dyDescent="0.25">
      <c r="K492" s="201" t="str">
        <f t="shared" si="14"/>
        <v/>
      </c>
      <c r="L492" s="201" t="str">
        <f t="shared" si="15"/>
        <v/>
      </c>
    </row>
    <row r="493" spans="11:12" x14ac:dyDescent="0.25">
      <c r="K493" s="201" t="str">
        <f t="shared" si="14"/>
        <v/>
      </c>
      <c r="L493" s="201" t="str">
        <f t="shared" si="15"/>
        <v/>
      </c>
    </row>
    <row r="494" spans="11:12" x14ac:dyDescent="0.25">
      <c r="K494" s="201" t="str">
        <f t="shared" si="14"/>
        <v/>
      </c>
      <c r="L494" s="201" t="str">
        <f t="shared" si="15"/>
        <v/>
      </c>
    </row>
    <row r="495" spans="11:12" x14ac:dyDescent="0.25">
      <c r="K495" s="201" t="str">
        <f t="shared" si="14"/>
        <v/>
      </c>
      <c r="L495" s="201" t="str">
        <f t="shared" si="15"/>
        <v/>
      </c>
    </row>
    <row r="496" spans="11:12" x14ac:dyDescent="0.25">
      <c r="K496" s="201" t="str">
        <f t="shared" si="14"/>
        <v/>
      </c>
      <c r="L496" s="201" t="str">
        <f t="shared" si="15"/>
        <v/>
      </c>
    </row>
    <row r="497" spans="11:12" x14ac:dyDescent="0.25">
      <c r="K497" s="201" t="str">
        <f t="shared" si="14"/>
        <v/>
      </c>
      <c r="L497" s="201" t="str">
        <f t="shared" si="15"/>
        <v/>
      </c>
    </row>
    <row r="498" spans="11:12" x14ac:dyDescent="0.25">
      <c r="K498" s="201" t="str">
        <f t="shared" si="14"/>
        <v/>
      </c>
      <c r="L498" s="201" t="str">
        <f t="shared" si="15"/>
        <v/>
      </c>
    </row>
    <row r="499" spans="11:12" x14ac:dyDescent="0.25">
      <c r="K499" s="201" t="str">
        <f t="shared" si="14"/>
        <v/>
      </c>
      <c r="L499" s="201" t="str">
        <f t="shared" si="15"/>
        <v/>
      </c>
    </row>
    <row r="500" spans="11:12" x14ac:dyDescent="0.25">
      <c r="K500" s="201" t="str">
        <f t="shared" si="14"/>
        <v/>
      </c>
      <c r="L500" s="201" t="str">
        <f t="shared" si="15"/>
        <v/>
      </c>
    </row>
    <row r="501" spans="11:12" x14ac:dyDescent="0.25">
      <c r="K501" s="201" t="str">
        <f t="shared" si="14"/>
        <v/>
      </c>
      <c r="L501" s="201" t="str">
        <f t="shared" si="15"/>
        <v/>
      </c>
    </row>
    <row r="502" spans="11:12" x14ac:dyDescent="0.25">
      <c r="K502" s="201" t="str">
        <f t="shared" si="14"/>
        <v/>
      </c>
      <c r="L502" s="201" t="str">
        <f t="shared" si="15"/>
        <v/>
      </c>
    </row>
    <row r="503" spans="11:12" x14ac:dyDescent="0.25">
      <c r="K503" s="201" t="str">
        <f t="shared" si="14"/>
        <v/>
      </c>
      <c r="L503" s="201" t="str">
        <f t="shared" si="15"/>
        <v/>
      </c>
    </row>
    <row r="504" spans="11:12" x14ac:dyDescent="0.25">
      <c r="K504" s="201" t="str">
        <f t="shared" si="14"/>
        <v/>
      </c>
      <c r="L504" s="201" t="str">
        <f t="shared" si="15"/>
        <v/>
      </c>
    </row>
    <row r="505" spans="11:12" x14ac:dyDescent="0.25">
      <c r="K505" s="201" t="str">
        <f t="shared" si="14"/>
        <v/>
      </c>
      <c r="L505" s="201" t="str">
        <f t="shared" si="15"/>
        <v/>
      </c>
    </row>
    <row r="506" spans="11:12" x14ac:dyDescent="0.25">
      <c r="K506" s="201" t="str">
        <f t="shared" si="14"/>
        <v/>
      </c>
      <c r="L506" s="201" t="str">
        <f t="shared" si="15"/>
        <v/>
      </c>
    </row>
    <row r="507" spans="11:12" x14ac:dyDescent="0.25">
      <c r="K507" s="201" t="str">
        <f t="shared" si="14"/>
        <v/>
      </c>
      <c r="L507" s="201" t="str">
        <f t="shared" si="15"/>
        <v/>
      </c>
    </row>
    <row r="508" spans="11:12" x14ac:dyDescent="0.25">
      <c r="K508" s="201" t="str">
        <f t="shared" si="14"/>
        <v/>
      </c>
      <c r="L508" s="201" t="str">
        <f t="shared" si="15"/>
        <v/>
      </c>
    </row>
    <row r="509" spans="11:12" x14ac:dyDescent="0.25">
      <c r="K509" s="201" t="str">
        <f t="shared" si="14"/>
        <v/>
      </c>
      <c r="L509" s="201" t="str">
        <f t="shared" si="15"/>
        <v/>
      </c>
    </row>
    <row r="510" spans="11:12" x14ac:dyDescent="0.25">
      <c r="K510" s="201" t="str">
        <f t="shared" si="14"/>
        <v/>
      </c>
      <c r="L510" s="201" t="str">
        <f t="shared" si="15"/>
        <v/>
      </c>
    </row>
    <row r="511" spans="11:12" x14ac:dyDescent="0.25">
      <c r="K511" s="201" t="str">
        <f t="shared" si="14"/>
        <v/>
      </c>
      <c r="L511" s="201" t="str">
        <f t="shared" si="15"/>
        <v/>
      </c>
    </row>
    <row r="512" spans="11:12" x14ac:dyDescent="0.25">
      <c r="K512" s="201" t="str">
        <f t="shared" si="14"/>
        <v/>
      </c>
      <c r="L512" s="201" t="str">
        <f t="shared" si="15"/>
        <v/>
      </c>
    </row>
    <row r="513" spans="11:12" x14ac:dyDescent="0.25">
      <c r="K513" s="201" t="str">
        <f t="shared" si="14"/>
        <v/>
      </c>
      <c r="L513" s="201" t="str">
        <f t="shared" si="15"/>
        <v/>
      </c>
    </row>
    <row r="514" spans="11:12" x14ac:dyDescent="0.25">
      <c r="K514" s="201" t="str">
        <f t="shared" si="14"/>
        <v/>
      </c>
      <c r="L514" s="201" t="str">
        <f t="shared" si="15"/>
        <v/>
      </c>
    </row>
    <row r="515" spans="11:12" x14ac:dyDescent="0.25">
      <c r="K515" s="201" t="str">
        <f t="shared" si="14"/>
        <v/>
      </c>
      <c r="L515" s="201" t="str">
        <f t="shared" si="15"/>
        <v/>
      </c>
    </row>
    <row r="516" spans="11:12" x14ac:dyDescent="0.25">
      <c r="K516" s="201" t="str">
        <f t="shared" si="14"/>
        <v/>
      </c>
      <c r="L516" s="201" t="str">
        <f t="shared" si="15"/>
        <v/>
      </c>
    </row>
    <row r="517" spans="11:12" x14ac:dyDescent="0.25">
      <c r="K517" s="201" t="str">
        <f t="shared" si="14"/>
        <v/>
      </c>
      <c r="L517" s="201" t="str">
        <f t="shared" si="15"/>
        <v/>
      </c>
    </row>
    <row r="518" spans="11:12" x14ac:dyDescent="0.25">
      <c r="K518" s="201" t="str">
        <f t="shared" si="14"/>
        <v/>
      </c>
      <c r="L518" s="201" t="str">
        <f t="shared" si="15"/>
        <v/>
      </c>
    </row>
    <row r="519" spans="11:12" x14ac:dyDescent="0.25">
      <c r="K519" s="201" t="str">
        <f t="shared" si="14"/>
        <v/>
      </c>
      <c r="L519" s="201" t="str">
        <f t="shared" si="15"/>
        <v/>
      </c>
    </row>
    <row r="520" spans="11:12" x14ac:dyDescent="0.25">
      <c r="K520" s="201" t="str">
        <f t="shared" si="14"/>
        <v/>
      </c>
      <c r="L520" s="201" t="str">
        <f t="shared" si="15"/>
        <v/>
      </c>
    </row>
    <row r="521" spans="11:12" x14ac:dyDescent="0.25">
      <c r="K521" s="201" t="str">
        <f t="shared" si="14"/>
        <v/>
      </c>
      <c r="L521" s="201" t="str">
        <f t="shared" si="15"/>
        <v/>
      </c>
    </row>
    <row r="522" spans="11:12" x14ac:dyDescent="0.25">
      <c r="K522" s="201" t="str">
        <f t="shared" si="14"/>
        <v/>
      </c>
      <c r="L522" s="201" t="str">
        <f t="shared" si="15"/>
        <v/>
      </c>
    </row>
    <row r="523" spans="11:12" x14ac:dyDescent="0.25">
      <c r="K523" s="201" t="str">
        <f t="shared" si="14"/>
        <v/>
      </c>
      <c r="L523" s="201" t="str">
        <f t="shared" si="15"/>
        <v/>
      </c>
    </row>
    <row r="524" spans="11:12" x14ac:dyDescent="0.25">
      <c r="K524" s="201" t="str">
        <f t="shared" si="14"/>
        <v/>
      </c>
      <c r="L524" s="201" t="str">
        <f t="shared" si="15"/>
        <v/>
      </c>
    </row>
    <row r="525" spans="11:12" x14ac:dyDescent="0.25">
      <c r="K525" s="201" t="str">
        <f t="shared" si="14"/>
        <v/>
      </c>
      <c r="L525" s="201" t="str">
        <f t="shared" si="15"/>
        <v/>
      </c>
    </row>
    <row r="526" spans="11:12" x14ac:dyDescent="0.25">
      <c r="K526" s="201" t="str">
        <f t="shared" si="14"/>
        <v/>
      </c>
      <c r="L526" s="201" t="str">
        <f t="shared" si="15"/>
        <v/>
      </c>
    </row>
    <row r="527" spans="11:12" x14ac:dyDescent="0.25">
      <c r="K527" s="201" t="str">
        <f t="shared" si="14"/>
        <v/>
      </c>
      <c r="L527" s="201" t="str">
        <f t="shared" si="15"/>
        <v/>
      </c>
    </row>
    <row r="528" spans="11:12" x14ac:dyDescent="0.25">
      <c r="K528" s="201" t="str">
        <f t="shared" si="14"/>
        <v/>
      </c>
      <c r="L528" s="201" t="str">
        <f t="shared" si="15"/>
        <v/>
      </c>
    </row>
    <row r="529" spans="11:12" x14ac:dyDescent="0.25">
      <c r="K529" s="201" t="str">
        <f t="shared" si="14"/>
        <v/>
      </c>
      <c r="L529" s="201" t="str">
        <f t="shared" si="15"/>
        <v/>
      </c>
    </row>
    <row r="530" spans="11:12" x14ac:dyDescent="0.25">
      <c r="K530" s="201" t="str">
        <f t="shared" si="14"/>
        <v/>
      </c>
      <c r="L530" s="201" t="str">
        <f t="shared" si="15"/>
        <v/>
      </c>
    </row>
    <row r="531" spans="11:12" x14ac:dyDescent="0.25">
      <c r="K531" s="201" t="str">
        <f t="shared" si="14"/>
        <v/>
      </c>
      <c r="L531" s="201" t="str">
        <f t="shared" si="15"/>
        <v/>
      </c>
    </row>
    <row r="532" spans="11:12" x14ac:dyDescent="0.25">
      <c r="K532" s="201" t="str">
        <f t="shared" si="14"/>
        <v/>
      </c>
      <c r="L532" s="201" t="str">
        <f t="shared" si="15"/>
        <v/>
      </c>
    </row>
    <row r="533" spans="11:12" x14ac:dyDescent="0.25">
      <c r="K533" s="201" t="str">
        <f t="shared" ref="K533:K596" si="16">IF(OR(C533="", J533=""), "",
    IF(AND(C533="Zoning - Simple", J533&lt;=5), "On Time",
        IF(AND(C533="Zoning - DAR (Simple)", J533&lt;=7), "On Time",
            IF(AND(C533="Locational Clearance", J533&lt;=10), "On Time",
                IF(AND(C533="Zoning - DAR (Complex)", J533&lt;=15), "On Time",
                    IF(AND(C533="Reclass Indorsement", J533&lt;=30), "On Time",
                        IF(AND(C533="Others", J533&lt;=3), "On Time", "Delayed")
                    )
                )
            )
        )
    )
)</f>
        <v/>
      </c>
      <c r="L533" s="201" t="str">
        <f t="shared" ref="L533:L596" si="17">IF(K533="", "", IF(K533="On Time", 1, 0))</f>
        <v/>
      </c>
    </row>
    <row r="534" spans="11:12" x14ac:dyDescent="0.25">
      <c r="K534" s="201" t="str">
        <f t="shared" si="16"/>
        <v/>
      </c>
      <c r="L534" s="201" t="str">
        <f t="shared" si="17"/>
        <v/>
      </c>
    </row>
    <row r="535" spans="11:12" x14ac:dyDescent="0.25">
      <c r="K535" s="201" t="str">
        <f t="shared" si="16"/>
        <v/>
      </c>
      <c r="L535" s="201" t="str">
        <f t="shared" si="17"/>
        <v/>
      </c>
    </row>
    <row r="536" spans="11:12" x14ac:dyDescent="0.25">
      <c r="K536" s="201" t="str">
        <f t="shared" si="16"/>
        <v/>
      </c>
      <c r="L536" s="201" t="str">
        <f t="shared" si="17"/>
        <v/>
      </c>
    </row>
    <row r="537" spans="11:12" x14ac:dyDescent="0.25">
      <c r="K537" s="201" t="str">
        <f t="shared" si="16"/>
        <v/>
      </c>
      <c r="L537" s="201" t="str">
        <f t="shared" si="17"/>
        <v/>
      </c>
    </row>
    <row r="538" spans="11:12" x14ac:dyDescent="0.25">
      <c r="K538" s="201" t="str">
        <f t="shared" si="16"/>
        <v/>
      </c>
      <c r="L538" s="201" t="str">
        <f t="shared" si="17"/>
        <v/>
      </c>
    </row>
    <row r="539" spans="11:12" x14ac:dyDescent="0.25">
      <c r="K539" s="201" t="str">
        <f t="shared" si="16"/>
        <v/>
      </c>
      <c r="L539" s="201" t="str">
        <f t="shared" si="17"/>
        <v/>
      </c>
    </row>
    <row r="540" spans="11:12" x14ac:dyDescent="0.25">
      <c r="K540" s="201" t="str">
        <f t="shared" si="16"/>
        <v/>
      </c>
      <c r="L540" s="201" t="str">
        <f t="shared" si="17"/>
        <v/>
      </c>
    </row>
    <row r="541" spans="11:12" x14ac:dyDescent="0.25">
      <c r="K541" s="201" t="str">
        <f t="shared" si="16"/>
        <v/>
      </c>
      <c r="L541" s="201" t="str">
        <f t="shared" si="17"/>
        <v/>
      </c>
    </row>
    <row r="542" spans="11:12" x14ac:dyDescent="0.25">
      <c r="K542" s="201" t="str">
        <f t="shared" si="16"/>
        <v/>
      </c>
      <c r="L542" s="201" t="str">
        <f t="shared" si="17"/>
        <v/>
      </c>
    </row>
    <row r="543" spans="11:12" x14ac:dyDescent="0.25">
      <c r="K543" s="201" t="str">
        <f t="shared" si="16"/>
        <v/>
      </c>
      <c r="L543" s="201" t="str">
        <f t="shared" si="17"/>
        <v/>
      </c>
    </row>
    <row r="544" spans="11:12" x14ac:dyDescent="0.25">
      <c r="K544" s="201" t="str">
        <f t="shared" si="16"/>
        <v/>
      </c>
      <c r="L544" s="201" t="str">
        <f t="shared" si="17"/>
        <v/>
      </c>
    </row>
    <row r="545" spans="11:12" x14ac:dyDescent="0.25">
      <c r="K545" s="201" t="str">
        <f t="shared" si="16"/>
        <v/>
      </c>
      <c r="L545" s="201" t="str">
        <f t="shared" si="17"/>
        <v/>
      </c>
    </row>
    <row r="546" spans="11:12" x14ac:dyDescent="0.25">
      <c r="K546" s="201" t="str">
        <f t="shared" si="16"/>
        <v/>
      </c>
      <c r="L546" s="201" t="str">
        <f t="shared" si="17"/>
        <v/>
      </c>
    </row>
    <row r="547" spans="11:12" x14ac:dyDescent="0.25">
      <c r="K547" s="201" t="str">
        <f t="shared" si="16"/>
        <v/>
      </c>
      <c r="L547" s="201" t="str">
        <f t="shared" si="17"/>
        <v/>
      </c>
    </row>
    <row r="548" spans="11:12" x14ac:dyDescent="0.25">
      <c r="K548" s="201" t="str">
        <f t="shared" si="16"/>
        <v/>
      </c>
      <c r="L548" s="201" t="str">
        <f t="shared" si="17"/>
        <v/>
      </c>
    </row>
    <row r="549" spans="11:12" x14ac:dyDescent="0.25">
      <c r="K549" s="201" t="str">
        <f t="shared" si="16"/>
        <v/>
      </c>
      <c r="L549" s="201" t="str">
        <f t="shared" si="17"/>
        <v/>
      </c>
    </row>
    <row r="550" spans="11:12" x14ac:dyDescent="0.25">
      <c r="K550" s="201" t="str">
        <f t="shared" si="16"/>
        <v/>
      </c>
      <c r="L550" s="201" t="str">
        <f t="shared" si="17"/>
        <v/>
      </c>
    </row>
    <row r="551" spans="11:12" x14ac:dyDescent="0.25">
      <c r="K551" s="201" t="str">
        <f t="shared" si="16"/>
        <v/>
      </c>
      <c r="L551" s="201" t="str">
        <f t="shared" si="17"/>
        <v/>
      </c>
    </row>
    <row r="552" spans="11:12" x14ac:dyDescent="0.25">
      <c r="K552" s="201" t="str">
        <f t="shared" si="16"/>
        <v/>
      </c>
      <c r="L552" s="201" t="str">
        <f t="shared" si="17"/>
        <v/>
      </c>
    </row>
    <row r="553" spans="11:12" x14ac:dyDescent="0.25">
      <c r="K553" s="201" t="str">
        <f t="shared" si="16"/>
        <v/>
      </c>
      <c r="L553" s="201" t="str">
        <f t="shared" si="17"/>
        <v/>
      </c>
    </row>
    <row r="554" spans="11:12" x14ac:dyDescent="0.25">
      <c r="K554" s="201" t="str">
        <f t="shared" si="16"/>
        <v/>
      </c>
      <c r="L554" s="201" t="str">
        <f t="shared" si="17"/>
        <v/>
      </c>
    </row>
    <row r="555" spans="11:12" x14ac:dyDescent="0.25">
      <c r="K555" s="201" t="str">
        <f t="shared" si="16"/>
        <v/>
      </c>
      <c r="L555" s="201" t="str">
        <f t="shared" si="17"/>
        <v/>
      </c>
    </row>
    <row r="556" spans="11:12" x14ac:dyDescent="0.25">
      <c r="K556" s="201" t="str">
        <f t="shared" si="16"/>
        <v/>
      </c>
      <c r="L556" s="201" t="str">
        <f t="shared" si="17"/>
        <v/>
      </c>
    </row>
    <row r="557" spans="11:12" x14ac:dyDescent="0.25">
      <c r="K557" s="201" t="str">
        <f t="shared" si="16"/>
        <v/>
      </c>
      <c r="L557" s="201" t="str">
        <f t="shared" si="17"/>
        <v/>
      </c>
    </row>
    <row r="558" spans="11:12" x14ac:dyDescent="0.25">
      <c r="K558" s="201" t="str">
        <f t="shared" si="16"/>
        <v/>
      </c>
      <c r="L558" s="201" t="str">
        <f t="shared" si="17"/>
        <v/>
      </c>
    </row>
    <row r="559" spans="11:12" x14ac:dyDescent="0.25">
      <c r="K559" s="201" t="str">
        <f t="shared" si="16"/>
        <v/>
      </c>
      <c r="L559" s="201" t="str">
        <f t="shared" si="17"/>
        <v/>
      </c>
    </row>
    <row r="560" spans="11:12" x14ac:dyDescent="0.25">
      <c r="K560" s="201" t="str">
        <f t="shared" si="16"/>
        <v/>
      </c>
      <c r="L560" s="201" t="str">
        <f t="shared" si="17"/>
        <v/>
      </c>
    </row>
    <row r="561" spans="11:12" x14ac:dyDescent="0.25">
      <c r="K561" s="201" t="str">
        <f t="shared" si="16"/>
        <v/>
      </c>
      <c r="L561" s="201" t="str">
        <f t="shared" si="17"/>
        <v/>
      </c>
    </row>
    <row r="562" spans="11:12" x14ac:dyDescent="0.25">
      <c r="K562" s="201" t="str">
        <f t="shared" si="16"/>
        <v/>
      </c>
      <c r="L562" s="201" t="str">
        <f t="shared" si="17"/>
        <v/>
      </c>
    </row>
    <row r="563" spans="11:12" x14ac:dyDescent="0.25">
      <c r="K563" s="201" t="str">
        <f t="shared" si="16"/>
        <v/>
      </c>
      <c r="L563" s="201" t="str">
        <f t="shared" si="17"/>
        <v/>
      </c>
    </row>
    <row r="564" spans="11:12" x14ac:dyDescent="0.25">
      <c r="K564" s="201" t="str">
        <f t="shared" si="16"/>
        <v/>
      </c>
      <c r="L564" s="201" t="str">
        <f t="shared" si="17"/>
        <v/>
      </c>
    </row>
    <row r="565" spans="11:12" x14ac:dyDescent="0.25">
      <c r="K565" s="201" t="str">
        <f t="shared" si="16"/>
        <v/>
      </c>
      <c r="L565" s="201" t="str">
        <f t="shared" si="17"/>
        <v/>
      </c>
    </row>
    <row r="566" spans="11:12" x14ac:dyDescent="0.25">
      <c r="K566" s="201" t="str">
        <f t="shared" si="16"/>
        <v/>
      </c>
      <c r="L566" s="201" t="str">
        <f t="shared" si="17"/>
        <v/>
      </c>
    </row>
    <row r="567" spans="11:12" x14ac:dyDescent="0.25">
      <c r="K567" s="201" t="str">
        <f t="shared" si="16"/>
        <v/>
      </c>
      <c r="L567" s="201" t="str">
        <f t="shared" si="17"/>
        <v/>
      </c>
    </row>
    <row r="568" spans="11:12" x14ac:dyDescent="0.25">
      <c r="K568" s="201" t="str">
        <f t="shared" si="16"/>
        <v/>
      </c>
      <c r="L568" s="201" t="str">
        <f t="shared" si="17"/>
        <v/>
      </c>
    </row>
    <row r="569" spans="11:12" x14ac:dyDescent="0.25">
      <c r="K569" s="201" t="str">
        <f t="shared" si="16"/>
        <v/>
      </c>
      <c r="L569" s="201" t="str">
        <f t="shared" si="17"/>
        <v/>
      </c>
    </row>
    <row r="570" spans="11:12" x14ac:dyDescent="0.25">
      <c r="K570" s="201" t="str">
        <f t="shared" si="16"/>
        <v/>
      </c>
      <c r="L570" s="201" t="str">
        <f t="shared" si="17"/>
        <v/>
      </c>
    </row>
    <row r="571" spans="11:12" x14ac:dyDescent="0.25">
      <c r="K571" s="201" t="str">
        <f t="shared" si="16"/>
        <v/>
      </c>
      <c r="L571" s="201" t="str">
        <f t="shared" si="17"/>
        <v/>
      </c>
    </row>
    <row r="572" spans="11:12" x14ac:dyDescent="0.25">
      <c r="K572" s="201" t="str">
        <f t="shared" si="16"/>
        <v/>
      </c>
      <c r="L572" s="201" t="str">
        <f t="shared" si="17"/>
        <v/>
      </c>
    </row>
    <row r="573" spans="11:12" x14ac:dyDescent="0.25">
      <c r="K573" s="201" t="str">
        <f t="shared" si="16"/>
        <v/>
      </c>
      <c r="L573" s="201" t="str">
        <f t="shared" si="17"/>
        <v/>
      </c>
    </row>
    <row r="574" spans="11:12" x14ac:dyDescent="0.25">
      <c r="K574" s="201" t="str">
        <f t="shared" si="16"/>
        <v/>
      </c>
      <c r="L574" s="201" t="str">
        <f t="shared" si="17"/>
        <v/>
      </c>
    </row>
    <row r="575" spans="11:12" x14ac:dyDescent="0.25">
      <c r="K575" s="201" t="str">
        <f t="shared" si="16"/>
        <v/>
      </c>
      <c r="L575" s="201" t="str">
        <f t="shared" si="17"/>
        <v/>
      </c>
    </row>
    <row r="576" spans="11:12" x14ac:dyDescent="0.25">
      <c r="K576" s="201" t="str">
        <f t="shared" si="16"/>
        <v/>
      </c>
      <c r="L576" s="201" t="str">
        <f t="shared" si="17"/>
        <v/>
      </c>
    </row>
    <row r="577" spans="11:12" x14ac:dyDescent="0.25">
      <c r="K577" s="201" t="str">
        <f t="shared" si="16"/>
        <v/>
      </c>
      <c r="L577" s="201" t="str">
        <f t="shared" si="17"/>
        <v/>
      </c>
    </row>
    <row r="578" spans="11:12" x14ac:dyDescent="0.25">
      <c r="K578" s="201" t="str">
        <f t="shared" si="16"/>
        <v/>
      </c>
      <c r="L578" s="201" t="str">
        <f t="shared" si="17"/>
        <v/>
      </c>
    </row>
    <row r="579" spans="11:12" x14ac:dyDescent="0.25">
      <c r="K579" s="201" t="str">
        <f t="shared" si="16"/>
        <v/>
      </c>
      <c r="L579" s="201" t="str">
        <f t="shared" si="17"/>
        <v/>
      </c>
    </row>
    <row r="580" spans="11:12" x14ac:dyDescent="0.25">
      <c r="K580" s="201" t="str">
        <f t="shared" si="16"/>
        <v/>
      </c>
      <c r="L580" s="201" t="str">
        <f t="shared" si="17"/>
        <v/>
      </c>
    </row>
    <row r="581" spans="11:12" x14ac:dyDescent="0.25">
      <c r="K581" s="201" t="str">
        <f t="shared" si="16"/>
        <v/>
      </c>
      <c r="L581" s="201" t="str">
        <f t="shared" si="17"/>
        <v/>
      </c>
    </row>
    <row r="582" spans="11:12" x14ac:dyDescent="0.25">
      <c r="K582" s="201" t="str">
        <f t="shared" si="16"/>
        <v/>
      </c>
      <c r="L582" s="201" t="str">
        <f t="shared" si="17"/>
        <v/>
      </c>
    </row>
    <row r="583" spans="11:12" x14ac:dyDescent="0.25">
      <c r="K583" s="201" t="str">
        <f t="shared" si="16"/>
        <v/>
      </c>
      <c r="L583" s="201" t="str">
        <f t="shared" si="17"/>
        <v/>
      </c>
    </row>
    <row r="584" spans="11:12" x14ac:dyDescent="0.25">
      <c r="K584" s="201" t="str">
        <f t="shared" si="16"/>
        <v/>
      </c>
      <c r="L584" s="201" t="str">
        <f t="shared" si="17"/>
        <v/>
      </c>
    </row>
    <row r="585" spans="11:12" x14ac:dyDescent="0.25">
      <c r="K585" s="201" t="str">
        <f t="shared" si="16"/>
        <v/>
      </c>
      <c r="L585" s="201" t="str">
        <f t="shared" si="17"/>
        <v/>
      </c>
    </row>
    <row r="586" spans="11:12" x14ac:dyDescent="0.25">
      <c r="K586" s="201" t="str">
        <f t="shared" si="16"/>
        <v/>
      </c>
      <c r="L586" s="201" t="str">
        <f t="shared" si="17"/>
        <v/>
      </c>
    </row>
    <row r="587" spans="11:12" x14ac:dyDescent="0.25">
      <c r="K587" s="201" t="str">
        <f t="shared" si="16"/>
        <v/>
      </c>
      <c r="L587" s="201" t="str">
        <f t="shared" si="17"/>
        <v/>
      </c>
    </row>
    <row r="588" spans="11:12" x14ac:dyDescent="0.25">
      <c r="K588" s="201" t="str">
        <f t="shared" si="16"/>
        <v/>
      </c>
      <c r="L588" s="201" t="str">
        <f t="shared" si="17"/>
        <v/>
      </c>
    </row>
    <row r="589" spans="11:12" x14ac:dyDescent="0.25">
      <c r="K589" s="201" t="str">
        <f t="shared" si="16"/>
        <v/>
      </c>
      <c r="L589" s="201" t="str">
        <f t="shared" si="17"/>
        <v/>
      </c>
    </row>
    <row r="590" spans="11:12" x14ac:dyDescent="0.25">
      <c r="K590" s="201" t="str">
        <f t="shared" si="16"/>
        <v/>
      </c>
      <c r="L590" s="201" t="str">
        <f t="shared" si="17"/>
        <v/>
      </c>
    </row>
    <row r="591" spans="11:12" x14ac:dyDescent="0.25">
      <c r="K591" s="201" t="str">
        <f t="shared" si="16"/>
        <v/>
      </c>
      <c r="L591" s="201" t="str">
        <f t="shared" si="17"/>
        <v/>
      </c>
    </row>
    <row r="592" spans="11:12" x14ac:dyDescent="0.25">
      <c r="K592" s="201" t="str">
        <f t="shared" si="16"/>
        <v/>
      </c>
      <c r="L592" s="201" t="str">
        <f t="shared" si="17"/>
        <v/>
      </c>
    </row>
    <row r="593" spans="11:12" x14ac:dyDescent="0.25">
      <c r="K593" s="201" t="str">
        <f t="shared" si="16"/>
        <v/>
      </c>
      <c r="L593" s="201" t="str">
        <f t="shared" si="17"/>
        <v/>
      </c>
    </row>
    <row r="594" spans="11:12" x14ac:dyDescent="0.25">
      <c r="K594" s="201" t="str">
        <f t="shared" si="16"/>
        <v/>
      </c>
      <c r="L594" s="201" t="str">
        <f t="shared" si="17"/>
        <v/>
      </c>
    </row>
    <row r="595" spans="11:12" x14ac:dyDescent="0.25">
      <c r="K595" s="201" t="str">
        <f t="shared" si="16"/>
        <v/>
      </c>
      <c r="L595" s="201" t="str">
        <f t="shared" si="17"/>
        <v/>
      </c>
    </row>
    <row r="596" spans="11:12" x14ac:dyDescent="0.25">
      <c r="K596" s="201" t="str">
        <f t="shared" si="16"/>
        <v/>
      </c>
      <c r="L596" s="201" t="str">
        <f t="shared" si="17"/>
        <v/>
      </c>
    </row>
    <row r="597" spans="11:12" x14ac:dyDescent="0.25">
      <c r="K597" s="201" t="str">
        <f t="shared" ref="K597:K660" si="18">IF(OR(C597="", J597=""), "",
    IF(AND(C597="Zoning - Simple", J597&lt;=5), "On Time",
        IF(AND(C597="Zoning - DAR (Simple)", J597&lt;=7), "On Time",
            IF(AND(C597="Locational Clearance", J597&lt;=10), "On Time",
                IF(AND(C597="Zoning - DAR (Complex)", J597&lt;=15), "On Time",
                    IF(AND(C597="Reclass Indorsement", J597&lt;=30), "On Time",
                        IF(AND(C597="Others", J597&lt;=3), "On Time", "Delayed")
                    )
                )
            )
        )
    )
)</f>
        <v/>
      </c>
      <c r="L597" s="201" t="str">
        <f t="shared" ref="L597:L660" si="19">IF(K597="", "", IF(K597="On Time", 1, 0))</f>
        <v/>
      </c>
    </row>
    <row r="598" spans="11:12" x14ac:dyDescent="0.25">
      <c r="K598" s="201" t="str">
        <f t="shared" si="18"/>
        <v/>
      </c>
      <c r="L598" s="201" t="str">
        <f t="shared" si="19"/>
        <v/>
      </c>
    </row>
    <row r="599" spans="11:12" x14ac:dyDescent="0.25">
      <c r="K599" s="201" t="str">
        <f t="shared" si="18"/>
        <v/>
      </c>
      <c r="L599" s="201" t="str">
        <f t="shared" si="19"/>
        <v/>
      </c>
    </row>
    <row r="600" spans="11:12" x14ac:dyDescent="0.25">
      <c r="K600" s="201" t="str">
        <f t="shared" si="18"/>
        <v/>
      </c>
      <c r="L600" s="201" t="str">
        <f t="shared" si="19"/>
        <v/>
      </c>
    </row>
    <row r="601" spans="11:12" x14ac:dyDescent="0.25">
      <c r="K601" s="201" t="str">
        <f t="shared" si="18"/>
        <v/>
      </c>
      <c r="L601" s="201" t="str">
        <f t="shared" si="19"/>
        <v/>
      </c>
    </row>
    <row r="602" spans="11:12" x14ac:dyDescent="0.25">
      <c r="K602" s="201" t="str">
        <f t="shared" si="18"/>
        <v/>
      </c>
      <c r="L602" s="201" t="str">
        <f t="shared" si="19"/>
        <v/>
      </c>
    </row>
    <row r="603" spans="11:12" x14ac:dyDescent="0.25">
      <c r="K603" s="201" t="str">
        <f t="shared" si="18"/>
        <v/>
      </c>
      <c r="L603" s="201" t="str">
        <f t="shared" si="19"/>
        <v/>
      </c>
    </row>
    <row r="604" spans="11:12" x14ac:dyDescent="0.25">
      <c r="K604" s="201" t="str">
        <f t="shared" si="18"/>
        <v/>
      </c>
      <c r="L604" s="201" t="str">
        <f t="shared" si="19"/>
        <v/>
      </c>
    </row>
    <row r="605" spans="11:12" x14ac:dyDescent="0.25">
      <c r="K605" s="201" t="str">
        <f t="shared" si="18"/>
        <v/>
      </c>
      <c r="L605" s="201" t="str">
        <f t="shared" si="19"/>
        <v/>
      </c>
    </row>
    <row r="606" spans="11:12" x14ac:dyDescent="0.25">
      <c r="K606" s="201" t="str">
        <f t="shared" si="18"/>
        <v/>
      </c>
      <c r="L606" s="201" t="str">
        <f t="shared" si="19"/>
        <v/>
      </c>
    </row>
    <row r="607" spans="11:12" x14ac:dyDescent="0.25">
      <c r="K607" s="201" t="str">
        <f t="shared" si="18"/>
        <v/>
      </c>
      <c r="L607" s="201" t="str">
        <f t="shared" si="19"/>
        <v/>
      </c>
    </row>
    <row r="608" spans="11:12" x14ac:dyDescent="0.25">
      <c r="K608" s="201" t="str">
        <f t="shared" si="18"/>
        <v/>
      </c>
      <c r="L608" s="201" t="str">
        <f t="shared" si="19"/>
        <v/>
      </c>
    </row>
    <row r="609" spans="11:12" x14ac:dyDescent="0.25">
      <c r="K609" s="201" t="str">
        <f t="shared" si="18"/>
        <v/>
      </c>
      <c r="L609" s="201" t="str">
        <f t="shared" si="19"/>
        <v/>
      </c>
    </row>
    <row r="610" spans="11:12" x14ac:dyDescent="0.25">
      <c r="K610" s="201" t="str">
        <f t="shared" si="18"/>
        <v/>
      </c>
      <c r="L610" s="201" t="str">
        <f t="shared" si="19"/>
        <v/>
      </c>
    </row>
    <row r="611" spans="11:12" x14ac:dyDescent="0.25">
      <c r="K611" s="201" t="str">
        <f t="shared" si="18"/>
        <v/>
      </c>
      <c r="L611" s="201" t="str">
        <f t="shared" si="19"/>
        <v/>
      </c>
    </row>
    <row r="612" spans="11:12" x14ac:dyDescent="0.25">
      <c r="K612" s="201" t="str">
        <f t="shared" si="18"/>
        <v/>
      </c>
      <c r="L612" s="201" t="str">
        <f t="shared" si="19"/>
        <v/>
      </c>
    </row>
    <row r="613" spans="11:12" x14ac:dyDescent="0.25">
      <c r="K613" s="201" t="str">
        <f t="shared" si="18"/>
        <v/>
      </c>
      <c r="L613" s="201" t="str">
        <f t="shared" si="19"/>
        <v/>
      </c>
    </row>
    <row r="614" spans="11:12" x14ac:dyDescent="0.25">
      <c r="K614" s="201" t="str">
        <f t="shared" si="18"/>
        <v/>
      </c>
      <c r="L614" s="201" t="str">
        <f t="shared" si="19"/>
        <v/>
      </c>
    </row>
    <row r="615" spans="11:12" x14ac:dyDescent="0.25">
      <c r="K615" s="201" t="str">
        <f t="shared" si="18"/>
        <v/>
      </c>
      <c r="L615" s="201" t="str">
        <f t="shared" si="19"/>
        <v/>
      </c>
    </row>
    <row r="616" spans="11:12" x14ac:dyDescent="0.25">
      <c r="K616" s="201" t="str">
        <f t="shared" si="18"/>
        <v/>
      </c>
      <c r="L616" s="201" t="str">
        <f t="shared" si="19"/>
        <v/>
      </c>
    </row>
    <row r="617" spans="11:12" x14ac:dyDescent="0.25">
      <c r="K617" s="201" t="str">
        <f t="shared" si="18"/>
        <v/>
      </c>
      <c r="L617" s="201" t="str">
        <f t="shared" si="19"/>
        <v/>
      </c>
    </row>
    <row r="618" spans="11:12" x14ac:dyDescent="0.25">
      <c r="K618" s="201" t="str">
        <f t="shared" si="18"/>
        <v/>
      </c>
      <c r="L618" s="201" t="str">
        <f t="shared" si="19"/>
        <v/>
      </c>
    </row>
    <row r="619" spans="11:12" x14ac:dyDescent="0.25">
      <c r="K619" s="201" t="str">
        <f t="shared" si="18"/>
        <v/>
      </c>
      <c r="L619" s="201" t="str">
        <f t="shared" si="19"/>
        <v/>
      </c>
    </row>
    <row r="620" spans="11:12" x14ac:dyDescent="0.25">
      <c r="K620" s="201" t="str">
        <f t="shared" si="18"/>
        <v/>
      </c>
      <c r="L620" s="201" t="str">
        <f t="shared" si="19"/>
        <v/>
      </c>
    </row>
    <row r="621" spans="11:12" x14ac:dyDescent="0.25">
      <c r="K621" s="201" t="str">
        <f t="shared" si="18"/>
        <v/>
      </c>
      <c r="L621" s="201" t="str">
        <f t="shared" si="19"/>
        <v/>
      </c>
    </row>
    <row r="622" spans="11:12" x14ac:dyDescent="0.25">
      <c r="K622" s="201" t="str">
        <f t="shared" si="18"/>
        <v/>
      </c>
      <c r="L622" s="201" t="str">
        <f t="shared" si="19"/>
        <v/>
      </c>
    </row>
    <row r="623" spans="11:12" x14ac:dyDescent="0.25">
      <c r="K623" s="201" t="str">
        <f t="shared" si="18"/>
        <v/>
      </c>
      <c r="L623" s="201" t="str">
        <f t="shared" si="19"/>
        <v/>
      </c>
    </row>
    <row r="624" spans="11:12" x14ac:dyDescent="0.25">
      <c r="K624" s="201" t="str">
        <f t="shared" si="18"/>
        <v/>
      </c>
      <c r="L624" s="201" t="str">
        <f t="shared" si="19"/>
        <v/>
      </c>
    </row>
    <row r="625" spans="11:12" x14ac:dyDescent="0.25">
      <c r="K625" s="201" t="str">
        <f t="shared" si="18"/>
        <v/>
      </c>
      <c r="L625" s="201" t="str">
        <f t="shared" si="19"/>
        <v/>
      </c>
    </row>
    <row r="626" spans="11:12" x14ac:dyDescent="0.25">
      <c r="K626" s="201" t="str">
        <f t="shared" si="18"/>
        <v/>
      </c>
      <c r="L626" s="201" t="str">
        <f t="shared" si="19"/>
        <v/>
      </c>
    </row>
    <row r="627" spans="11:12" x14ac:dyDescent="0.25">
      <c r="K627" s="201" t="str">
        <f t="shared" si="18"/>
        <v/>
      </c>
      <c r="L627" s="201" t="str">
        <f t="shared" si="19"/>
        <v/>
      </c>
    </row>
    <row r="628" spans="11:12" x14ac:dyDescent="0.25">
      <c r="K628" s="201" t="str">
        <f t="shared" si="18"/>
        <v/>
      </c>
      <c r="L628" s="201" t="str">
        <f t="shared" si="19"/>
        <v/>
      </c>
    </row>
    <row r="629" spans="11:12" x14ac:dyDescent="0.25">
      <c r="K629" s="201" t="str">
        <f t="shared" si="18"/>
        <v/>
      </c>
      <c r="L629" s="201" t="str">
        <f t="shared" si="19"/>
        <v/>
      </c>
    </row>
    <row r="630" spans="11:12" x14ac:dyDescent="0.25">
      <c r="K630" s="201" t="str">
        <f t="shared" si="18"/>
        <v/>
      </c>
      <c r="L630" s="201" t="str">
        <f t="shared" si="19"/>
        <v/>
      </c>
    </row>
    <row r="631" spans="11:12" x14ac:dyDescent="0.25">
      <c r="K631" s="201" t="str">
        <f t="shared" si="18"/>
        <v/>
      </c>
      <c r="L631" s="201" t="str">
        <f t="shared" si="19"/>
        <v/>
      </c>
    </row>
    <row r="632" spans="11:12" x14ac:dyDescent="0.25">
      <c r="K632" s="201" t="str">
        <f t="shared" si="18"/>
        <v/>
      </c>
      <c r="L632" s="201" t="str">
        <f t="shared" si="19"/>
        <v/>
      </c>
    </row>
    <row r="633" spans="11:12" x14ac:dyDescent="0.25">
      <c r="K633" s="201" t="str">
        <f t="shared" si="18"/>
        <v/>
      </c>
      <c r="L633" s="201" t="str">
        <f t="shared" si="19"/>
        <v/>
      </c>
    </row>
    <row r="634" spans="11:12" x14ac:dyDescent="0.25">
      <c r="K634" s="201" t="str">
        <f t="shared" si="18"/>
        <v/>
      </c>
      <c r="L634" s="201" t="str">
        <f t="shared" si="19"/>
        <v/>
      </c>
    </row>
    <row r="635" spans="11:12" x14ac:dyDescent="0.25">
      <c r="K635" s="201" t="str">
        <f t="shared" si="18"/>
        <v/>
      </c>
      <c r="L635" s="201" t="str">
        <f t="shared" si="19"/>
        <v/>
      </c>
    </row>
    <row r="636" spans="11:12" x14ac:dyDescent="0.25">
      <c r="K636" s="201" t="str">
        <f t="shared" si="18"/>
        <v/>
      </c>
      <c r="L636" s="201" t="str">
        <f t="shared" si="19"/>
        <v/>
      </c>
    </row>
    <row r="637" spans="11:12" x14ac:dyDescent="0.25">
      <c r="K637" s="201" t="str">
        <f t="shared" si="18"/>
        <v/>
      </c>
      <c r="L637" s="201" t="str">
        <f t="shared" si="19"/>
        <v/>
      </c>
    </row>
    <row r="638" spans="11:12" x14ac:dyDescent="0.25">
      <c r="K638" s="201" t="str">
        <f t="shared" si="18"/>
        <v/>
      </c>
      <c r="L638" s="201" t="str">
        <f t="shared" si="19"/>
        <v/>
      </c>
    </row>
    <row r="639" spans="11:12" x14ac:dyDescent="0.25">
      <c r="K639" s="201" t="str">
        <f t="shared" si="18"/>
        <v/>
      </c>
      <c r="L639" s="201" t="str">
        <f t="shared" si="19"/>
        <v/>
      </c>
    </row>
    <row r="640" spans="11:12" x14ac:dyDescent="0.25">
      <c r="K640" s="201" t="str">
        <f t="shared" si="18"/>
        <v/>
      </c>
      <c r="L640" s="201" t="str">
        <f t="shared" si="19"/>
        <v/>
      </c>
    </row>
    <row r="641" spans="11:12" x14ac:dyDescent="0.25">
      <c r="K641" s="201" t="str">
        <f t="shared" si="18"/>
        <v/>
      </c>
      <c r="L641" s="201" t="str">
        <f t="shared" si="19"/>
        <v/>
      </c>
    </row>
    <row r="642" spans="11:12" x14ac:dyDescent="0.25">
      <c r="K642" s="201" t="str">
        <f t="shared" si="18"/>
        <v/>
      </c>
      <c r="L642" s="201" t="str">
        <f t="shared" si="19"/>
        <v/>
      </c>
    </row>
    <row r="643" spans="11:12" x14ac:dyDescent="0.25">
      <c r="K643" s="201" t="str">
        <f t="shared" si="18"/>
        <v/>
      </c>
      <c r="L643" s="201" t="str">
        <f t="shared" si="19"/>
        <v/>
      </c>
    </row>
    <row r="644" spans="11:12" x14ac:dyDescent="0.25">
      <c r="K644" s="201" t="str">
        <f t="shared" si="18"/>
        <v/>
      </c>
      <c r="L644" s="201" t="str">
        <f t="shared" si="19"/>
        <v/>
      </c>
    </row>
    <row r="645" spans="11:12" x14ac:dyDescent="0.25">
      <c r="K645" s="201" t="str">
        <f t="shared" si="18"/>
        <v/>
      </c>
      <c r="L645" s="201" t="str">
        <f t="shared" si="19"/>
        <v/>
      </c>
    </row>
    <row r="646" spans="11:12" x14ac:dyDescent="0.25">
      <c r="K646" s="201" t="str">
        <f t="shared" si="18"/>
        <v/>
      </c>
      <c r="L646" s="201" t="str">
        <f t="shared" si="19"/>
        <v/>
      </c>
    </row>
    <row r="647" spans="11:12" x14ac:dyDescent="0.25">
      <c r="K647" s="201" t="str">
        <f t="shared" si="18"/>
        <v/>
      </c>
      <c r="L647" s="201" t="str">
        <f t="shared" si="19"/>
        <v/>
      </c>
    </row>
    <row r="648" spans="11:12" x14ac:dyDescent="0.25">
      <c r="K648" s="201" t="str">
        <f t="shared" si="18"/>
        <v/>
      </c>
      <c r="L648" s="201" t="str">
        <f t="shared" si="19"/>
        <v/>
      </c>
    </row>
    <row r="649" spans="11:12" x14ac:dyDescent="0.25">
      <c r="K649" s="201" t="str">
        <f t="shared" si="18"/>
        <v/>
      </c>
      <c r="L649" s="201" t="str">
        <f t="shared" si="19"/>
        <v/>
      </c>
    </row>
    <row r="650" spans="11:12" x14ac:dyDescent="0.25">
      <c r="K650" s="201" t="str">
        <f t="shared" si="18"/>
        <v/>
      </c>
      <c r="L650" s="201" t="str">
        <f t="shared" si="19"/>
        <v/>
      </c>
    </row>
    <row r="651" spans="11:12" x14ac:dyDescent="0.25">
      <c r="K651" s="201" t="str">
        <f t="shared" si="18"/>
        <v/>
      </c>
      <c r="L651" s="201" t="str">
        <f t="shared" si="19"/>
        <v/>
      </c>
    </row>
    <row r="652" spans="11:12" x14ac:dyDescent="0.25">
      <c r="K652" s="201" t="str">
        <f t="shared" si="18"/>
        <v/>
      </c>
      <c r="L652" s="201" t="str">
        <f t="shared" si="19"/>
        <v/>
      </c>
    </row>
    <row r="653" spans="11:12" x14ac:dyDescent="0.25">
      <c r="K653" s="201" t="str">
        <f t="shared" si="18"/>
        <v/>
      </c>
      <c r="L653" s="201" t="str">
        <f t="shared" si="19"/>
        <v/>
      </c>
    </row>
    <row r="654" spans="11:12" x14ac:dyDescent="0.25">
      <c r="K654" s="201" t="str">
        <f t="shared" si="18"/>
        <v/>
      </c>
      <c r="L654" s="201" t="str">
        <f t="shared" si="19"/>
        <v/>
      </c>
    </row>
    <row r="655" spans="11:12" x14ac:dyDescent="0.25">
      <c r="K655" s="201" t="str">
        <f t="shared" si="18"/>
        <v/>
      </c>
      <c r="L655" s="201" t="str">
        <f t="shared" si="19"/>
        <v/>
      </c>
    </row>
    <row r="656" spans="11:12" x14ac:dyDescent="0.25">
      <c r="K656" s="201" t="str">
        <f t="shared" si="18"/>
        <v/>
      </c>
      <c r="L656" s="201" t="str">
        <f t="shared" si="19"/>
        <v/>
      </c>
    </row>
    <row r="657" spans="11:12" x14ac:dyDescent="0.25">
      <c r="K657" s="201" t="str">
        <f t="shared" si="18"/>
        <v/>
      </c>
      <c r="L657" s="201" t="str">
        <f t="shared" si="19"/>
        <v/>
      </c>
    </row>
    <row r="658" spans="11:12" x14ac:dyDescent="0.25">
      <c r="K658" s="201" t="str">
        <f t="shared" si="18"/>
        <v/>
      </c>
      <c r="L658" s="201" t="str">
        <f t="shared" si="19"/>
        <v/>
      </c>
    </row>
    <row r="659" spans="11:12" x14ac:dyDescent="0.25">
      <c r="K659" s="201" t="str">
        <f t="shared" si="18"/>
        <v/>
      </c>
      <c r="L659" s="201" t="str">
        <f t="shared" si="19"/>
        <v/>
      </c>
    </row>
    <row r="660" spans="11:12" x14ac:dyDescent="0.25">
      <c r="K660" s="201" t="str">
        <f t="shared" si="18"/>
        <v/>
      </c>
      <c r="L660" s="201" t="str">
        <f t="shared" si="19"/>
        <v/>
      </c>
    </row>
    <row r="661" spans="11:12" x14ac:dyDescent="0.25">
      <c r="K661" s="201" t="str">
        <f t="shared" ref="K661:K724" si="20">IF(OR(C661="", J661=""), "",
    IF(AND(C661="Zoning - Simple", J661&lt;=5), "On Time",
        IF(AND(C661="Zoning - DAR (Simple)", J661&lt;=7), "On Time",
            IF(AND(C661="Locational Clearance", J661&lt;=10), "On Time",
                IF(AND(C661="Zoning - DAR (Complex)", J661&lt;=15), "On Time",
                    IF(AND(C661="Reclass Indorsement", J661&lt;=30), "On Time",
                        IF(AND(C661="Others", J661&lt;=3), "On Time", "Delayed")
                    )
                )
            )
        )
    )
)</f>
        <v/>
      </c>
      <c r="L661" s="201" t="str">
        <f t="shared" ref="L661:L724" si="21">IF(K661="", "", IF(K661="On Time", 1, 0))</f>
        <v/>
      </c>
    </row>
    <row r="662" spans="11:12" x14ac:dyDescent="0.25">
      <c r="K662" s="201" t="str">
        <f t="shared" si="20"/>
        <v/>
      </c>
      <c r="L662" s="201" t="str">
        <f t="shared" si="21"/>
        <v/>
      </c>
    </row>
    <row r="663" spans="11:12" x14ac:dyDescent="0.25">
      <c r="K663" s="201" t="str">
        <f t="shared" si="20"/>
        <v/>
      </c>
      <c r="L663" s="201" t="str">
        <f t="shared" si="21"/>
        <v/>
      </c>
    </row>
    <row r="664" spans="11:12" x14ac:dyDescent="0.25">
      <c r="K664" s="201" t="str">
        <f t="shared" si="20"/>
        <v/>
      </c>
      <c r="L664" s="201" t="str">
        <f t="shared" si="21"/>
        <v/>
      </c>
    </row>
    <row r="665" spans="11:12" x14ac:dyDescent="0.25">
      <c r="K665" s="201" t="str">
        <f t="shared" si="20"/>
        <v/>
      </c>
      <c r="L665" s="201" t="str">
        <f t="shared" si="21"/>
        <v/>
      </c>
    </row>
    <row r="666" spans="11:12" x14ac:dyDescent="0.25">
      <c r="K666" s="201" t="str">
        <f t="shared" si="20"/>
        <v/>
      </c>
      <c r="L666" s="201" t="str">
        <f t="shared" si="21"/>
        <v/>
      </c>
    </row>
    <row r="667" spans="11:12" x14ac:dyDescent="0.25">
      <c r="K667" s="201" t="str">
        <f t="shared" si="20"/>
        <v/>
      </c>
      <c r="L667" s="201" t="str">
        <f t="shared" si="21"/>
        <v/>
      </c>
    </row>
    <row r="668" spans="11:12" x14ac:dyDescent="0.25">
      <c r="K668" s="201" t="str">
        <f t="shared" si="20"/>
        <v/>
      </c>
      <c r="L668" s="201" t="str">
        <f t="shared" si="21"/>
        <v/>
      </c>
    </row>
    <row r="669" spans="11:12" x14ac:dyDescent="0.25">
      <c r="K669" s="201" t="str">
        <f t="shared" si="20"/>
        <v/>
      </c>
      <c r="L669" s="201" t="str">
        <f t="shared" si="21"/>
        <v/>
      </c>
    </row>
    <row r="670" spans="11:12" x14ac:dyDescent="0.25">
      <c r="K670" s="201" t="str">
        <f t="shared" si="20"/>
        <v/>
      </c>
      <c r="L670" s="201" t="str">
        <f t="shared" si="21"/>
        <v/>
      </c>
    </row>
    <row r="671" spans="11:12" x14ac:dyDescent="0.25">
      <c r="K671" s="201" t="str">
        <f t="shared" si="20"/>
        <v/>
      </c>
      <c r="L671" s="201" t="str">
        <f t="shared" si="21"/>
        <v/>
      </c>
    </row>
    <row r="672" spans="11:12" x14ac:dyDescent="0.25">
      <c r="K672" s="201" t="str">
        <f t="shared" si="20"/>
        <v/>
      </c>
      <c r="L672" s="201" t="str">
        <f t="shared" si="21"/>
        <v/>
      </c>
    </row>
    <row r="673" spans="11:12" x14ac:dyDescent="0.25">
      <c r="K673" s="201" t="str">
        <f t="shared" si="20"/>
        <v/>
      </c>
      <c r="L673" s="201" t="str">
        <f t="shared" si="21"/>
        <v/>
      </c>
    </row>
    <row r="674" spans="11:12" x14ac:dyDescent="0.25">
      <c r="K674" s="201" t="str">
        <f t="shared" si="20"/>
        <v/>
      </c>
      <c r="L674" s="201" t="str">
        <f t="shared" si="21"/>
        <v/>
      </c>
    </row>
    <row r="675" spans="11:12" x14ac:dyDescent="0.25">
      <c r="K675" s="201" t="str">
        <f t="shared" si="20"/>
        <v/>
      </c>
      <c r="L675" s="201" t="str">
        <f t="shared" si="21"/>
        <v/>
      </c>
    </row>
    <row r="676" spans="11:12" x14ac:dyDescent="0.25">
      <c r="K676" s="201" t="str">
        <f t="shared" si="20"/>
        <v/>
      </c>
      <c r="L676" s="201" t="str">
        <f t="shared" si="21"/>
        <v/>
      </c>
    </row>
    <row r="677" spans="11:12" x14ac:dyDescent="0.25">
      <c r="K677" s="201" t="str">
        <f t="shared" si="20"/>
        <v/>
      </c>
      <c r="L677" s="201" t="str">
        <f t="shared" si="21"/>
        <v/>
      </c>
    </row>
    <row r="678" spans="11:12" x14ac:dyDescent="0.25">
      <c r="K678" s="201" t="str">
        <f t="shared" si="20"/>
        <v/>
      </c>
      <c r="L678" s="201" t="str">
        <f t="shared" si="21"/>
        <v/>
      </c>
    </row>
    <row r="679" spans="11:12" x14ac:dyDescent="0.25">
      <c r="K679" s="201" t="str">
        <f t="shared" si="20"/>
        <v/>
      </c>
      <c r="L679" s="201" t="str">
        <f t="shared" si="21"/>
        <v/>
      </c>
    </row>
    <row r="680" spans="11:12" x14ac:dyDescent="0.25">
      <c r="K680" s="201" t="str">
        <f t="shared" si="20"/>
        <v/>
      </c>
      <c r="L680" s="201" t="str">
        <f t="shared" si="21"/>
        <v/>
      </c>
    </row>
    <row r="681" spans="11:12" x14ac:dyDescent="0.25">
      <c r="K681" s="201" t="str">
        <f t="shared" si="20"/>
        <v/>
      </c>
      <c r="L681" s="201" t="str">
        <f t="shared" si="21"/>
        <v/>
      </c>
    </row>
    <row r="682" spans="11:12" x14ac:dyDescent="0.25">
      <c r="K682" s="201" t="str">
        <f t="shared" si="20"/>
        <v/>
      </c>
      <c r="L682" s="201" t="str">
        <f t="shared" si="21"/>
        <v/>
      </c>
    </row>
    <row r="683" spans="11:12" x14ac:dyDescent="0.25">
      <c r="K683" s="201" t="str">
        <f t="shared" si="20"/>
        <v/>
      </c>
      <c r="L683" s="201" t="str">
        <f t="shared" si="21"/>
        <v/>
      </c>
    </row>
    <row r="684" spans="11:12" x14ac:dyDescent="0.25">
      <c r="K684" s="201" t="str">
        <f t="shared" si="20"/>
        <v/>
      </c>
      <c r="L684" s="201" t="str">
        <f t="shared" si="21"/>
        <v/>
      </c>
    </row>
    <row r="685" spans="11:12" x14ac:dyDescent="0.25">
      <c r="K685" s="201" t="str">
        <f t="shared" si="20"/>
        <v/>
      </c>
      <c r="L685" s="201" t="str">
        <f t="shared" si="21"/>
        <v/>
      </c>
    </row>
    <row r="686" spans="11:12" x14ac:dyDescent="0.25">
      <c r="K686" s="201" t="str">
        <f t="shared" si="20"/>
        <v/>
      </c>
      <c r="L686" s="201" t="str">
        <f t="shared" si="21"/>
        <v/>
      </c>
    </row>
    <row r="687" spans="11:12" x14ac:dyDescent="0.25">
      <c r="K687" s="201" t="str">
        <f t="shared" si="20"/>
        <v/>
      </c>
      <c r="L687" s="201" t="str">
        <f t="shared" si="21"/>
        <v/>
      </c>
    </row>
    <row r="688" spans="11:12" x14ac:dyDescent="0.25">
      <c r="K688" s="201" t="str">
        <f t="shared" si="20"/>
        <v/>
      </c>
      <c r="L688" s="201" t="str">
        <f t="shared" si="21"/>
        <v/>
      </c>
    </row>
    <row r="689" spans="11:12" x14ac:dyDescent="0.25">
      <c r="K689" s="201" t="str">
        <f t="shared" si="20"/>
        <v/>
      </c>
      <c r="L689" s="201" t="str">
        <f t="shared" si="21"/>
        <v/>
      </c>
    </row>
    <row r="690" spans="11:12" x14ac:dyDescent="0.25">
      <c r="K690" s="201" t="str">
        <f t="shared" si="20"/>
        <v/>
      </c>
      <c r="L690" s="201" t="str">
        <f t="shared" si="21"/>
        <v/>
      </c>
    </row>
    <row r="691" spans="11:12" x14ac:dyDescent="0.25">
      <c r="K691" s="201" t="str">
        <f t="shared" si="20"/>
        <v/>
      </c>
      <c r="L691" s="201" t="str">
        <f t="shared" si="21"/>
        <v/>
      </c>
    </row>
    <row r="692" spans="11:12" x14ac:dyDescent="0.25">
      <c r="K692" s="201" t="str">
        <f t="shared" si="20"/>
        <v/>
      </c>
      <c r="L692" s="201" t="str">
        <f t="shared" si="21"/>
        <v/>
      </c>
    </row>
    <row r="693" spans="11:12" x14ac:dyDescent="0.25">
      <c r="K693" s="201" t="str">
        <f t="shared" si="20"/>
        <v/>
      </c>
      <c r="L693" s="201" t="str">
        <f t="shared" si="21"/>
        <v/>
      </c>
    </row>
    <row r="694" spans="11:12" x14ac:dyDescent="0.25">
      <c r="K694" s="201" t="str">
        <f t="shared" si="20"/>
        <v/>
      </c>
      <c r="L694" s="201" t="str">
        <f t="shared" si="21"/>
        <v/>
      </c>
    </row>
    <row r="695" spans="11:12" x14ac:dyDescent="0.25">
      <c r="K695" s="201" t="str">
        <f t="shared" si="20"/>
        <v/>
      </c>
      <c r="L695" s="201" t="str">
        <f t="shared" si="21"/>
        <v/>
      </c>
    </row>
    <row r="696" spans="11:12" x14ac:dyDescent="0.25">
      <c r="K696" s="201" t="str">
        <f t="shared" si="20"/>
        <v/>
      </c>
      <c r="L696" s="201" t="str">
        <f t="shared" si="21"/>
        <v/>
      </c>
    </row>
    <row r="697" spans="11:12" x14ac:dyDescent="0.25">
      <c r="K697" s="201" t="str">
        <f t="shared" si="20"/>
        <v/>
      </c>
      <c r="L697" s="201" t="str">
        <f t="shared" si="21"/>
        <v/>
      </c>
    </row>
    <row r="698" spans="11:12" x14ac:dyDescent="0.25">
      <c r="K698" s="201" t="str">
        <f t="shared" si="20"/>
        <v/>
      </c>
      <c r="L698" s="201" t="str">
        <f t="shared" si="21"/>
        <v/>
      </c>
    </row>
    <row r="699" spans="11:12" x14ac:dyDescent="0.25">
      <c r="K699" s="201" t="str">
        <f t="shared" si="20"/>
        <v/>
      </c>
      <c r="L699" s="201" t="str">
        <f t="shared" si="21"/>
        <v/>
      </c>
    </row>
    <row r="700" spans="11:12" x14ac:dyDescent="0.25">
      <c r="K700" s="201" t="str">
        <f t="shared" si="20"/>
        <v/>
      </c>
      <c r="L700" s="201" t="str">
        <f t="shared" si="21"/>
        <v/>
      </c>
    </row>
    <row r="701" spans="11:12" x14ac:dyDescent="0.25">
      <c r="K701" s="201" t="str">
        <f t="shared" si="20"/>
        <v/>
      </c>
      <c r="L701" s="201" t="str">
        <f t="shared" si="21"/>
        <v/>
      </c>
    </row>
    <row r="702" spans="11:12" x14ac:dyDescent="0.25">
      <c r="K702" s="201" t="str">
        <f t="shared" si="20"/>
        <v/>
      </c>
      <c r="L702" s="201" t="str">
        <f t="shared" si="21"/>
        <v/>
      </c>
    </row>
    <row r="703" spans="11:12" x14ac:dyDescent="0.25">
      <c r="K703" s="201" t="str">
        <f t="shared" si="20"/>
        <v/>
      </c>
      <c r="L703" s="201" t="str">
        <f t="shared" si="21"/>
        <v/>
      </c>
    </row>
    <row r="704" spans="11:12" x14ac:dyDescent="0.25">
      <c r="K704" s="201" t="str">
        <f t="shared" si="20"/>
        <v/>
      </c>
      <c r="L704" s="201" t="str">
        <f t="shared" si="21"/>
        <v/>
      </c>
    </row>
    <row r="705" spans="11:12" x14ac:dyDescent="0.25">
      <c r="K705" s="201" t="str">
        <f t="shared" si="20"/>
        <v/>
      </c>
      <c r="L705" s="201" t="str">
        <f t="shared" si="21"/>
        <v/>
      </c>
    </row>
    <row r="706" spans="11:12" x14ac:dyDescent="0.25">
      <c r="K706" s="201" t="str">
        <f t="shared" si="20"/>
        <v/>
      </c>
      <c r="L706" s="201" t="str">
        <f t="shared" si="21"/>
        <v/>
      </c>
    </row>
    <row r="707" spans="11:12" x14ac:dyDescent="0.25">
      <c r="K707" s="201" t="str">
        <f t="shared" si="20"/>
        <v/>
      </c>
      <c r="L707" s="201" t="str">
        <f t="shared" si="21"/>
        <v/>
      </c>
    </row>
    <row r="708" spans="11:12" x14ac:dyDescent="0.25">
      <c r="K708" s="201" t="str">
        <f t="shared" si="20"/>
        <v/>
      </c>
      <c r="L708" s="201" t="str">
        <f t="shared" si="21"/>
        <v/>
      </c>
    </row>
    <row r="709" spans="11:12" x14ac:dyDescent="0.25">
      <c r="K709" s="201" t="str">
        <f t="shared" si="20"/>
        <v/>
      </c>
      <c r="L709" s="201" t="str">
        <f t="shared" si="21"/>
        <v/>
      </c>
    </row>
    <row r="710" spans="11:12" x14ac:dyDescent="0.25">
      <c r="K710" s="201" t="str">
        <f t="shared" si="20"/>
        <v/>
      </c>
      <c r="L710" s="201" t="str">
        <f t="shared" si="21"/>
        <v/>
      </c>
    </row>
    <row r="711" spans="11:12" x14ac:dyDescent="0.25">
      <c r="K711" s="201" t="str">
        <f t="shared" si="20"/>
        <v/>
      </c>
      <c r="L711" s="201" t="str">
        <f t="shared" si="21"/>
        <v/>
      </c>
    </row>
    <row r="712" spans="11:12" x14ac:dyDescent="0.25">
      <c r="K712" s="201" t="str">
        <f t="shared" si="20"/>
        <v/>
      </c>
      <c r="L712" s="201" t="str">
        <f t="shared" si="21"/>
        <v/>
      </c>
    </row>
    <row r="713" spans="11:12" x14ac:dyDescent="0.25">
      <c r="K713" s="201" t="str">
        <f t="shared" si="20"/>
        <v/>
      </c>
      <c r="L713" s="201" t="str">
        <f t="shared" si="21"/>
        <v/>
      </c>
    </row>
    <row r="714" spans="11:12" x14ac:dyDescent="0.25">
      <c r="K714" s="201" t="str">
        <f t="shared" si="20"/>
        <v/>
      </c>
      <c r="L714" s="201" t="str">
        <f t="shared" si="21"/>
        <v/>
      </c>
    </row>
    <row r="715" spans="11:12" x14ac:dyDescent="0.25">
      <c r="K715" s="201" t="str">
        <f t="shared" si="20"/>
        <v/>
      </c>
      <c r="L715" s="201" t="str">
        <f t="shared" si="21"/>
        <v/>
      </c>
    </row>
    <row r="716" spans="11:12" x14ac:dyDescent="0.25">
      <c r="K716" s="201" t="str">
        <f t="shared" si="20"/>
        <v/>
      </c>
      <c r="L716" s="201" t="str">
        <f t="shared" si="21"/>
        <v/>
      </c>
    </row>
    <row r="717" spans="11:12" x14ac:dyDescent="0.25">
      <c r="K717" s="201" t="str">
        <f t="shared" si="20"/>
        <v/>
      </c>
      <c r="L717" s="201" t="str">
        <f t="shared" si="21"/>
        <v/>
      </c>
    </row>
    <row r="718" spans="11:12" x14ac:dyDescent="0.25">
      <c r="K718" s="201" t="str">
        <f t="shared" si="20"/>
        <v/>
      </c>
      <c r="L718" s="201" t="str">
        <f t="shared" si="21"/>
        <v/>
      </c>
    </row>
    <row r="719" spans="11:12" x14ac:dyDescent="0.25">
      <c r="K719" s="201" t="str">
        <f t="shared" si="20"/>
        <v/>
      </c>
      <c r="L719" s="201" t="str">
        <f t="shared" si="21"/>
        <v/>
      </c>
    </row>
    <row r="720" spans="11:12" x14ac:dyDescent="0.25">
      <c r="K720" s="201" t="str">
        <f t="shared" si="20"/>
        <v/>
      </c>
      <c r="L720" s="201" t="str">
        <f t="shared" si="21"/>
        <v/>
      </c>
    </row>
    <row r="721" spans="11:12" x14ac:dyDescent="0.25">
      <c r="K721" s="201" t="str">
        <f t="shared" si="20"/>
        <v/>
      </c>
      <c r="L721" s="201" t="str">
        <f t="shared" si="21"/>
        <v/>
      </c>
    </row>
    <row r="722" spans="11:12" x14ac:dyDescent="0.25">
      <c r="K722" s="201" t="str">
        <f t="shared" si="20"/>
        <v/>
      </c>
      <c r="L722" s="201" t="str">
        <f t="shared" si="21"/>
        <v/>
      </c>
    </row>
    <row r="723" spans="11:12" x14ac:dyDescent="0.25">
      <c r="K723" s="201" t="str">
        <f t="shared" si="20"/>
        <v/>
      </c>
      <c r="L723" s="201" t="str">
        <f t="shared" si="21"/>
        <v/>
      </c>
    </row>
    <row r="724" spans="11:12" x14ac:dyDescent="0.25">
      <c r="K724" s="201" t="str">
        <f t="shared" si="20"/>
        <v/>
      </c>
      <c r="L724" s="201" t="str">
        <f t="shared" si="21"/>
        <v/>
      </c>
    </row>
    <row r="725" spans="11:12" x14ac:dyDescent="0.25">
      <c r="K725" s="201" t="str">
        <f t="shared" ref="K725:K788" si="22">IF(OR(C725="", J725=""), "",
    IF(AND(C725="Zoning - Simple", J725&lt;=5), "On Time",
        IF(AND(C725="Zoning - DAR (Simple)", J725&lt;=7), "On Time",
            IF(AND(C725="Locational Clearance", J725&lt;=10), "On Time",
                IF(AND(C725="Zoning - DAR (Complex)", J725&lt;=15), "On Time",
                    IF(AND(C725="Reclass Indorsement", J725&lt;=30), "On Time",
                        IF(AND(C725="Others", J725&lt;=3), "On Time", "Delayed")
                    )
                )
            )
        )
    )
)</f>
        <v/>
      </c>
      <c r="L725" s="201" t="str">
        <f t="shared" ref="L725:L788" si="23">IF(K725="", "", IF(K725="On Time", 1, 0))</f>
        <v/>
      </c>
    </row>
    <row r="726" spans="11:12" x14ac:dyDescent="0.25">
      <c r="K726" s="201" t="str">
        <f t="shared" si="22"/>
        <v/>
      </c>
      <c r="L726" s="201" t="str">
        <f t="shared" si="23"/>
        <v/>
      </c>
    </row>
    <row r="727" spans="11:12" x14ac:dyDescent="0.25">
      <c r="K727" s="201" t="str">
        <f t="shared" si="22"/>
        <v/>
      </c>
      <c r="L727" s="201" t="str">
        <f t="shared" si="23"/>
        <v/>
      </c>
    </row>
    <row r="728" spans="11:12" x14ac:dyDescent="0.25">
      <c r="K728" s="201" t="str">
        <f t="shared" si="22"/>
        <v/>
      </c>
      <c r="L728" s="201" t="str">
        <f t="shared" si="23"/>
        <v/>
      </c>
    </row>
    <row r="729" spans="11:12" x14ac:dyDescent="0.25">
      <c r="K729" s="201" t="str">
        <f t="shared" si="22"/>
        <v/>
      </c>
      <c r="L729" s="201" t="str">
        <f t="shared" si="23"/>
        <v/>
      </c>
    </row>
    <row r="730" spans="11:12" x14ac:dyDescent="0.25">
      <c r="K730" s="201" t="str">
        <f t="shared" si="22"/>
        <v/>
      </c>
      <c r="L730" s="201" t="str">
        <f t="shared" si="23"/>
        <v/>
      </c>
    </row>
    <row r="731" spans="11:12" x14ac:dyDescent="0.25">
      <c r="K731" s="201" t="str">
        <f t="shared" si="22"/>
        <v/>
      </c>
      <c r="L731" s="201" t="str">
        <f t="shared" si="23"/>
        <v/>
      </c>
    </row>
    <row r="732" spans="11:12" x14ac:dyDescent="0.25">
      <c r="K732" s="201" t="str">
        <f t="shared" si="22"/>
        <v/>
      </c>
      <c r="L732" s="201" t="str">
        <f t="shared" si="23"/>
        <v/>
      </c>
    </row>
    <row r="733" spans="11:12" x14ac:dyDescent="0.25">
      <c r="K733" s="201" t="str">
        <f t="shared" si="22"/>
        <v/>
      </c>
      <c r="L733" s="201" t="str">
        <f t="shared" si="23"/>
        <v/>
      </c>
    </row>
    <row r="734" spans="11:12" x14ac:dyDescent="0.25">
      <c r="K734" s="201" t="str">
        <f t="shared" si="22"/>
        <v/>
      </c>
      <c r="L734" s="201" t="str">
        <f t="shared" si="23"/>
        <v/>
      </c>
    </row>
    <row r="735" spans="11:12" x14ac:dyDescent="0.25">
      <c r="K735" s="201" t="str">
        <f t="shared" si="22"/>
        <v/>
      </c>
      <c r="L735" s="201" t="str">
        <f t="shared" si="23"/>
        <v/>
      </c>
    </row>
    <row r="736" spans="11:12" x14ac:dyDescent="0.25">
      <c r="K736" s="201" t="str">
        <f t="shared" si="22"/>
        <v/>
      </c>
      <c r="L736" s="201" t="str">
        <f t="shared" si="23"/>
        <v/>
      </c>
    </row>
    <row r="737" spans="11:12" x14ac:dyDescent="0.25">
      <c r="K737" s="201" t="str">
        <f t="shared" si="22"/>
        <v/>
      </c>
      <c r="L737" s="201" t="str">
        <f t="shared" si="23"/>
        <v/>
      </c>
    </row>
    <row r="738" spans="11:12" x14ac:dyDescent="0.25">
      <c r="K738" s="201" t="str">
        <f t="shared" si="22"/>
        <v/>
      </c>
      <c r="L738" s="201" t="str">
        <f t="shared" si="23"/>
        <v/>
      </c>
    </row>
    <row r="739" spans="11:12" x14ac:dyDescent="0.25">
      <c r="K739" s="201" t="str">
        <f t="shared" si="22"/>
        <v/>
      </c>
      <c r="L739" s="201" t="str">
        <f t="shared" si="23"/>
        <v/>
      </c>
    </row>
    <row r="740" spans="11:12" x14ac:dyDescent="0.25">
      <c r="K740" s="201" t="str">
        <f t="shared" si="22"/>
        <v/>
      </c>
      <c r="L740" s="201" t="str">
        <f t="shared" si="23"/>
        <v/>
      </c>
    </row>
    <row r="741" spans="11:12" x14ac:dyDescent="0.25">
      <c r="K741" s="201" t="str">
        <f t="shared" si="22"/>
        <v/>
      </c>
      <c r="L741" s="201" t="str">
        <f t="shared" si="23"/>
        <v/>
      </c>
    </row>
    <row r="742" spans="11:12" x14ac:dyDescent="0.25">
      <c r="K742" s="201" t="str">
        <f t="shared" si="22"/>
        <v/>
      </c>
      <c r="L742" s="201" t="str">
        <f t="shared" si="23"/>
        <v/>
      </c>
    </row>
    <row r="743" spans="11:12" x14ac:dyDescent="0.25">
      <c r="K743" s="201" t="str">
        <f t="shared" si="22"/>
        <v/>
      </c>
      <c r="L743" s="201" t="str">
        <f t="shared" si="23"/>
        <v/>
      </c>
    </row>
    <row r="744" spans="11:12" x14ac:dyDescent="0.25">
      <c r="K744" s="201" t="str">
        <f t="shared" si="22"/>
        <v/>
      </c>
      <c r="L744" s="201" t="str">
        <f t="shared" si="23"/>
        <v/>
      </c>
    </row>
    <row r="745" spans="11:12" x14ac:dyDescent="0.25">
      <c r="K745" s="201" t="str">
        <f t="shared" si="22"/>
        <v/>
      </c>
      <c r="L745" s="201" t="str">
        <f t="shared" si="23"/>
        <v/>
      </c>
    </row>
    <row r="746" spans="11:12" x14ac:dyDescent="0.25">
      <c r="K746" s="201" t="str">
        <f t="shared" si="22"/>
        <v/>
      </c>
      <c r="L746" s="201" t="str">
        <f t="shared" si="23"/>
        <v/>
      </c>
    </row>
    <row r="747" spans="11:12" x14ac:dyDescent="0.25">
      <c r="K747" s="201" t="str">
        <f t="shared" si="22"/>
        <v/>
      </c>
      <c r="L747" s="201" t="str">
        <f t="shared" si="23"/>
        <v/>
      </c>
    </row>
    <row r="748" spans="11:12" x14ac:dyDescent="0.25">
      <c r="K748" s="201" t="str">
        <f t="shared" si="22"/>
        <v/>
      </c>
      <c r="L748" s="201" t="str">
        <f t="shared" si="23"/>
        <v/>
      </c>
    </row>
    <row r="749" spans="11:12" x14ac:dyDescent="0.25">
      <c r="K749" s="201" t="str">
        <f t="shared" si="22"/>
        <v/>
      </c>
      <c r="L749" s="201" t="str">
        <f t="shared" si="23"/>
        <v/>
      </c>
    </row>
    <row r="750" spans="11:12" x14ac:dyDescent="0.25">
      <c r="K750" s="201" t="str">
        <f t="shared" si="22"/>
        <v/>
      </c>
      <c r="L750" s="201" t="str">
        <f t="shared" si="23"/>
        <v/>
      </c>
    </row>
    <row r="751" spans="11:12" x14ac:dyDescent="0.25">
      <c r="K751" s="201" t="str">
        <f t="shared" si="22"/>
        <v/>
      </c>
      <c r="L751" s="201" t="str">
        <f t="shared" si="23"/>
        <v/>
      </c>
    </row>
    <row r="752" spans="11:12" x14ac:dyDescent="0.25">
      <c r="K752" s="201" t="str">
        <f t="shared" si="22"/>
        <v/>
      </c>
      <c r="L752" s="201" t="str">
        <f t="shared" si="23"/>
        <v/>
      </c>
    </row>
    <row r="753" spans="11:12" x14ac:dyDescent="0.25">
      <c r="K753" s="201" t="str">
        <f t="shared" si="22"/>
        <v/>
      </c>
      <c r="L753" s="201" t="str">
        <f t="shared" si="23"/>
        <v/>
      </c>
    </row>
    <row r="754" spans="11:12" x14ac:dyDescent="0.25">
      <c r="K754" s="201" t="str">
        <f t="shared" si="22"/>
        <v/>
      </c>
      <c r="L754" s="201" t="str">
        <f t="shared" si="23"/>
        <v/>
      </c>
    </row>
    <row r="755" spans="11:12" x14ac:dyDescent="0.25">
      <c r="K755" s="201" t="str">
        <f t="shared" si="22"/>
        <v/>
      </c>
      <c r="L755" s="201" t="str">
        <f t="shared" si="23"/>
        <v/>
      </c>
    </row>
    <row r="756" spans="11:12" x14ac:dyDescent="0.25">
      <c r="K756" s="201" t="str">
        <f t="shared" si="22"/>
        <v/>
      </c>
      <c r="L756" s="201" t="str">
        <f t="shared" si="23"/>
        <v/>
      </c>
    </row>
    <row r="757" spans="11:12" x14ac:dyDescent="0.25">
      <c r="K757" s="201" t="str">
        <f t="shared" si="22"/>
        <v/>
      </c>
      <c r="L757" s="201" t="str">
        <f t="shared" si="23"/>
        <v/>
      </c>
    </row>
    <row r="758" spans="11:12" x14ac:dyDescent="0.25">
      <c r="K758" s="201" t="str">
        <f t="shared" si="22"/>
        <v/>
      </c>
      <c r="L758" s="201" t="str">
        <f t="shared" si="23"/>
        <v/>
      </c>
    </row>
    <row r="759" spans="11:12" x14ac:dyDescent="0.25">
      <c r="K759" s="201" t="str">
        <f t="shared" si="22"/>
        <v/>
      </c>
      <c r="L759" s="201" t="str">
        <f t="shared" si="23"/>
        <v/>
      </c>
    </row>
    <row r="760" spans="11:12" x14ac:dyDescent="0.25">
      <c r="K760" s="201" t="str">
        <f t="shared" si="22"/>
        <v/>
      </c>
      <c r="L760" s="201" t="str">
        <f t="shared" si="23"/>
        <v/>
      </c>
    </row>
    <row r="761" spans="11:12" x14ac:dyDescent="0.25">
      <c r="K761" s="201" t="str">
        <f t="shared" si="22"/>
        <v/>
      </c>
      <c r="L761" s="201" t="str">
        <f t="shared" si="23"/>
        <v/>
      </c>
    </row>
    <row r="762" spans="11:12" x14ac:dyDescent="0.25">
      <c r="K762" s="201" t="str">
        <f t="shared" si="22"/>
        <v/>
      </c>
      <c r="L762" s="201" t="str">
        <f t="shared" si="23"/>
        <v/>
      </c>
    </row>
    <row r="763" spans="11:12" x14ac:dyDescent="0.25">
      <c r="K763" s="201" t="str">
        <f t="shared" si="22"/>
        <v/>
      </c>
      <c r="L763" s="201" t="str">
        <f t="shared" si="23"/>
        <v/>
      </c>
    </row>
    <row r="764" spans="11:12" x14ac:dyDescent="0.25">
      <c r="K764" s="201" t="str">
        <f t="shared" si="22"/>
        <v/>
      </c>
      <c r="L764" s="201" t="str">
        <f t="shared" si="23"/>
        <v/>
      </c>
    </row>
    <row r="765" spans="11:12" x14ac:dyDescent="0.25">
      <c r="K765" s="201" t="str">
        <f t="shared" si="22"/>
        <v/>
      </c>
      <c r="L765" s="201" t="str">
        <f t="shared" si="23"/>
        <v/>
      </c>
    </row>
    <row r="766" spans="11:12" x14ac:dyDescent="0.25">
      <c r="K766" s="201" t="str">
        <f t="shared" si="22"/>
        <v/>
      </c>
      <c r="L766" s="201" t="str">
        <f t="shared" si="23"/>
        <v/>
      </c>
    </row>
    <row r="767" spans="11:12" x14ac:dyDescent="0.25">
      <c r="K767" s="201" t="str">
        <f t="shared" si="22"/>
        <v/>
      </c>
      <c r="L767" s="201" t="str">
        <f t="shared" si="23"/>
        <v/>
      </c>
    </row>
    <row r="768" spans="11:12" x14ac:dyDescent="0.25">
      <c r="K768" s="201" t="str">
        <f t="shared" si="22"/>
        <v/>
      </c>
      <c r="L768" s="201" t="str">
        <f t="shared" si="23"/>
        <v/>
      </c>
    </row>
    <row r="769" spans="11:12" x14ac:dyDescent="0.25">
      <c r="K769" s="201" t="str">
        <f t="shared" si="22"/>
        <v/>
      </c>
      <c r="L769" s="201" t="str">
        <f t="shared" si="23"/>
        <v/>
      </c>
    </row>
    <row r="770" spans="11:12" x14ac:dyDescent="0.25">
      <c r="K770" s="201" t="str">
        <f t="shared" si="22"/>
        <v/>
      </c>
      <c r="L770" s="201" t="str">
        <f t="shared" si="23"/>
        <v/>
      </c>
    </row>
    <row r="771" spans="11:12" x14ac:dyDescent="0.25">
      <c r="K771" s="201" t="str">
        <f t="shared" si="22"/>
        <v/>
      </c>
      <c r="L771" s="201" t="str">
        <f t="shared" si="23"/>
        <v/>
      </c>
    </row>
    <row r="772" spans="11:12" x14ac:dyDescent="0.25">
      <c r="K772" s="201" t="str">
        <f t="shared" si="22"/>
        <v/>
      </c>
      <c r="L772" s="201" t="str">
        <f t="shared" si="23"/>
        <v/>
      </c>
    </row>
    <row r="773" spans="11:12" x14ac:dyDescent="0.25">
      <c r="K773" s="201" t="str">
        <f t="shared" si="22"/>
        <v/>
      </c>
      <c r="L773" s="201" t="str">
        <f t="shared" si="23"/>
        <v/>
      </c>
    </row>
    <row r="774" spans="11:12" x14ac:dyDescent="0.25">
      <c r="K774" s="201" t="str">
        <f t="shared" si="22"/>
        <v/>
      </c>
      <c r="L774" s="201" t="str">
        <f t="shared" si="23"/>
        <v/>
      </c>
    </row>
    <row r="775" spans="11:12" x14ac:dyDescent="0.25">
      <c r="K775" s="201" t="str">
        <f t="shared" si="22"/>
        <v/>
      </c>
      <c r="L775" s="201" t="str">
        <f t="shared" si="23"/>
        <v/>
      </c>
    </row>
    <row r="776" spans="11:12" x14ac:dyDescent="0.25">
      <c r="K776" s="201" t="str">
        <f t="shared" si="22"/>
        <v/>
      </c>
      <c r="L776" s="201" t="str">
        <f t="shared" si="23"/>
        <v/>
      </c>
    </row>
    <row r="777" spans="11:12" x14ac:dyDescent="0.25">
      <c r="K777" s="201" t="str">
        <f t="shared" si="22"/>
        <v/>
      </c>
      <c r="L777" s="201" t="str">
        <f t="shared" si="23"/>
        <v/>
      </c>
    </row>
    <row r="778" spans="11:12" x14ac:dyDescent="0.25">
      <c r="K778" s="201" t="str">
        <f t="shared" si="22"/>
        <v/>
      </c>
      <c r="L778" s="201" t="str">
        <f t="shared" si="23"/>
        <v/>
      </c>
    </row>
    <row r="779" spans="11:12" x14ac:dyDescent="0.25">
      <c r="K779" s="201" t="str">
        <f t="shared" si="22"/>
        <v/>
      </c>
      <c r="L779" s="201" t="str">
        <f t="shared" si="23"/>
        <v/>
      </c>
    </row>
    <row r="780" spans="11:12" x14ac:dyDescent="0.25">
      <c r="K780" s="201" t="str">
        <f t="shared" si="22"/>
        <v/>
      </c>
      <c r="L780" s="201" t="str">
        <f t="shared" si="23"/>
        <v/>
      </c>
    </row>
    <row r="781" spans="11:12" x14ac:dyDescent="0.25">
      <c r="K781" s="201" t="str">
        <f t="shared" si="22"/>
        <v/>
      </c>
      <c r="L781" s="201" t="str">
        <f t="shared" si="23"/>
        <v/>
      </c>
    </row>
    <row r="782" spans="11:12" x14ac:dyDescent="0.25">
      <c r="K782" s="201" t="str">
        <f t="shared" si="22"/>
        <v/>
      </c>
      <c r="L782" s="201" t="str">
        <f t="shared" si="23"/>
        <v/>
      </c>
    </row>
    <row r="783" spans="11:12" x14ac:dyDescent="0.25">
      <c r="K783" s="201" t="str">
        <f t="shared" si="22"/>
        <v/>
      </c>
      <c r="L783" s="201" t="str">
        <f t="shared" si="23"/>
        <v/>
      </c>
    </row>
    <row r="784" spans="11:12" x14ac:dyDescent="0.25">
      <c r="K784" s="201" t="str">
        <f t="shared" si="22"/>
        <v/>
      </c>
      <c r="L784" s="201" t="str">
        <f t="shared" si="23"/>
        <v/>
      </c>
    </row>
    <row r="785" spans="11:12" x14ac:dyDescent="0.25">
      <c r="K785" s="201" t="str">
        <f t="shared" si="22"/>
        <v/>
      </c>
      <c r="L785" s="201" t="str">
        <f t="shared" si="23"/>
        <v/>
      </c>
    </row>
    <row r="786" spans="11:12" x14ac:dyDescent="0.25">
      <c r="K786" s="201" t="str">
        <f t="shared" si="22"/>
        <v/>
      </c>
      <c r="L786" s="201" t="str">
        <f t="shared" si="23"/>
        <v/>
      </c>
    </row>
    <row r="787" spans="11:12" x14ac:dyDescent="0.25">
      <c r="K787" s="201" t="str">
        <f t="shared" si="22"/>
        <v/>
      </c>
      <c r="L787" s="201" t="str">
        <f t="shared" si="23"/>
        <v/>
      </c>
    </row>
    <row r="788" spans="11:12" x14ac:dyDescent="0.25">
      <c r="K788" s="201" t="str">
        <f t="shared" si="22"/>
        <v/>
      </c>
      <c r="L788" s="201" t="str">
        <f t="shared" si="23"/>
        <v/>
      </c>
    </row>
    <row r="789" spans="11:12" x14ac:dyDescent="0.25">
      <c r="K789" s="201" t="str">
        <f t="shared" ref="K789:K852" si="24">IF(OR(C789="", J789=""), "",
    IF(AND(C789="Zoning - Simple", J789&lt;=5), "On Time",
        IF(AND(C789="Zoning - DAR (Simple)", J789&lt;=7), "On Time",
            IF(AND(C789="Locational Clearance", J789&lt;=10), "On Time",
                IF(AND(C789="Zoning - DAR (Complex)", J789&lt;=15), "On Time",
                    IF(AND(C789="Reclass Indorsement", J789&lt;=30), "On Time",
                        IF(AND(C789="Others", J789&lt;=3), "On Time", "Delayed")
                    )
                )
            )
        )
    )
)</f>
        <v/>
      </c>
      <c r="L789" s="201" t="str">
        <f t="shared" ref="L789:L852" si="25">IF(K789="", "", IF(K789="On Time", 1, 0))</f>
        <v/>
      </c>
    </row>
    <row r="790" spans="11:12" x14ac:dyDescent="0.25">
      <c r="K790" s="201" t="str">
        <f t="shared" si="24"/>
        <v/>
      </c>
      <c r="L790" s="201" t="str">
        <f t="shared" si="25"/>
        <v/>
      </c>
    </row>
    <row r="791" spans="11:12" x14ac:dyDescent="0.25">
      <c r="K791" s="201" t="str">
        <f t="shared" si="24"/>
        <v/>
      </c>
      <c r="L791" s="201" t="str">
        <f t="shared" si="25"/>
        <v/>
      </c>
    </row>
    <row r="792" spans="11:12" x14ac:dyDescent="0.25">
      <c r="K792" s="201" t="str">
        <f t="shared" si="24"/>
        <v/>
      </c>
      <c r="L792" s="201" t="str">
        <f t="shared" si="25"/>
        <v/>
      </c>
    </row>
    <row r="793" spans="11:12" x14ac:dyDescent="0.25">
      <c r="K793" s="201" t="str">
        <f t="shared" si="24"/>
        <v/>
      </c>
      <c r="L793" s="201" t="str">
        <f t="shared" si="25"/>
        <v/>
      </c>
    </row>
    <row r="794" spans="11:12" x14ac:dyDescent="0.25">
      <c r="K794" s="201" t="str">
        <f t="shared" si="24"/>
        <v/>
      </c>
      <c r="L794" s="201" t="str">
        <f t="shared" si="25"/>
        <v/>
      </c>
    </row>
    <row r="795" spans="11:12" x14ac:dyDescent="0.25">
      <c r="K795" s="201" t="str">
        <f t="shared" si="24"/>
        <v/>
      </c>
      <c r="L795" s="201" t="str">
        <f t="shared" si="25"/>
        <v/>
      </c>
    </row>
    <row r="796" spans="11:12" x14ac:dyDescent="0.25">
      <c r="K796" s="201" t="str">
        <f t="shared" si="24"/>
        <v/>
      </c>
      <c r="L796" s="201" t="str">
        <f t="shared" si="25"/>
        <v/>
      </c>
    </row>
    <row r="797" spans="11:12" x14ac:dyDescent="0.25">
      <c r="K797" s="201" t="str">
        <f t="shared" si="24"/>
        <v/>
      </c>
      <c r="L797" s="201" t="str">
        <f t="shared" si="25"/>
        <v/>
      </c>
    </row>
    <row r="798" spans="11:12" x14ac:dyDescent="0.25">
      <c r="K798" s="201" t="str">
        <f t="shared" si="24"/>
        <v/>
      </c>
      <c r="L798" s="201" t="str">
        <f t="shared" si="25"/>
        <v/>
      </c>
    </row>
    <row r="799" spans="11:12" x14ac:dyDescent="0.25">
      <c r="K799" s="201" t="str">
        <f t="shared" si="24"/>
        <v/>
      </c>
      <c r="L799" s="201" t="str">
        <f t="shared" si="25"/>
        <v/>
      </c>
    </row>
    <row r="800" spans="11:12" x14ac:dyDescent="0.25">
      <c r="K800" s="201" t="str">
        <f t="shared" si="24"/>
        <v/>
      </c>
      <c r="L800" s="201" t="str">
        <f t="shared" si="25"/>
        <v/>
      </c>
    </row>
    <row r="801" spans="11:12" x14ac:dyDescent="0.25">
      <c r="K801" s="201" t="str">
        <f t="shared" si="24"/>
        <v/>
      </c>
      <c r="L801" s="201" t="str">
        <f t="shared" si="25"/>
        <v/>
      </c>
    </row>
    <row r="802" spans="11:12" x14ac:dyDescent="0.25">
      <c r="K802" s="201" t="str">
        <f t="shared" si="24"/>
        <v/>
      </c>
      <c r="L802" s="201" t="str">
        <f t="shared" si="25"/>
        <v/>
      </c>
    </row>
    <row r="803" spans="11:12" x14ac:dyDescent="0.25">
      <c r="K803" s="201" t="str">
        <f t="shared" si="24"/>
        <v/>
      </c>
      <c r="L803" s="201" t="str">
        <f t="shared" si="25"/>
        <v/>
      </c>
    </row>
    <row r="804" spans="11:12" x14ac:dyDescent="0.25">
      <c r="K804" s="201" t="str">
        <f t="shared" si="24"/>
        <v/>
      </c>
      <c r="L804" s="201" t="str">
        <f t="shared" si="25"/>
        <v/>
      </c>
    </row>
    <row r="805" spans="11:12" x14ac:dyDescent="0.25">
      <c r="K805" s="201" t="str">
        <f t="shared" si="24"/>
        <v/>
      </c>
      <c r="L805" s="201" t="str">
        <f t="shared" si="25"/>
        <v/>
      </c>
    </row>
    <row r="806" spans="11:12" x14ac:dyDescent="0.25">
      <c r="K806" s="201" t="str">
        <f t="shared" si="24"/>
        <v/>
      </c>
      <c r="L806" s="201" t="str">
        <f t="shared" si="25"/>
        <v/>
      </c>
    </row>
    <row r="807" spans="11:12" x14ac:dyDescent="0.25">
      <c r="K807" s="201" t="str">
        <f t="shared" si="24"/>
        <v/>
      </c>
      <c r="L807" s="201" t="str">
        <f t="shared" si="25"/>
        <v/>
      </c>
    </row>
    <row r="808" spans="11:12" x14ac:dyDescent="0.25">
      <c r="K808" s="201" t="str">
        <f t="shared" si="24"/>
        <v/>
      </c>
      <c r="L808" s="201" t="str">
        <f t="shared" si="25"/>
        <v/>
      </c>
    </row>
    <row r="809" spans="11:12" x14ac:dyDescent="0.25">
      <c r="K809" s="201" t="str">
        <f t="shared" si="24"/>
        <v/>
      </c>
      <c r="L809" s="201" t="str">
        <f t="shared" si="25"/>
        <v/>
      </c>
    </row>
    <row r="810" spans="11:12" x14ac:dyDescent="0.25">
      <c r="K810" s="201" t="str">
        <f t="shared" si="24"/>
        <v/>
      </c>
      <c r="L810" s="201" t="str">
        <f t="shared" si="25"/>
        <v/>
      </c>
    </row>
    <row r="811" spans="11:12" x14ac:dyDescent="0.25">
      <c r="K811" s="201" t="str">
        <f t="shared" si="24"/>
        <v/>
      </c>
      <c r="L811" s="201" t="str">
        <f t="shared" si="25"/>
        <v/>
      </c>
    </row>
    <row r="812" spans="11:12" x14ac:dyDescent="0.25">
      <c r="K812" s="201" t="str">
        <f t="shared" si="24"/>
        <v/>
      </c>
      <c r="L812" s="201" t="str">
        <f t="shared" si="25"/>
        <v/>
      </c>
    </row>
    <row r="813" spans="11:12" x14ac:dyDescent="0.25">
      <c r="K813" s="201" t="str">
        <f t="shared" si="24"/>
        <v/>
      </c>
      <c r="L813" s="201" t="str">
        <f t="shared" si="25"/>
        <v/>
      </c>
    </row>
    <row r="814" spans="11:12" x14ac:dyDescent="0.25">
      <c r="K814" s="201" t="str">
        <f t="shared" si="24"/>
        <v/>
      </c>
      <c r="L814" s="201" t="str">
        <f t="shared" si="25"/>
        <v/>
      </c>
    </row>
    <row r="815" spans="11:12" x14ac:dyDescent="0.25">
      <c r="K815" s="201" t="str">
        <f t="shared" si="24"/>
        <v/>
      </c>
      <c r="L815" s="201" t="str">
        <f t="shared" si="25"/>
        <v/>
      </c>
    </row>
    <row r="816" spans="11:12" x14ac:dyDescent="0.25">
      <c r="K816" s="201" t="str">
        <f t="shared" si="24"/>
        <v/>
      </c>
      <c r="L816" s="201" t="str">
        <f t="shared" si="25"/>
        <v/>
      </c>
    </row>
    <row r="817" spans="11:12" x14ac:dyDescent="0.25">
      <c r="K817" s="201" t="str">
        <f t="shared" si="24"/>
        <v/>
      </c>
      <c r="L817" s="201" t="str">
        <f t="shared" si="25"/>
        <v/>
      </c>
    </row>
    <row r="818" spans="11:12" x14ac:dyDescent="0.25">
      <c r="K818" s="201" t="str">
        <f t="shared" si="24"/>
        <v/>
      </c>
      <c r="L818" s="201" t="str">
        <f t="shared" si="25"/>
        <v/>
      </c>
    </row>
    <row r="819" spans="11:12" x14ac:dyDescent="0.25">
      <c r="K819" s="201" t="str">
        <f t="shared" si="24"/>
        <v/>
      </c>
      <c r="L819" s="201" t="str">
        <f t="shared" si="25"/>
        <v/>
      </c>
    </row>
    <row r="820" spans="11:12" x14ac:dyDescent="0.25">
      <c r="K820" s="201" t="str">
        <f t="shared" si="24"/>
        <v/>
      </c>
      <c r="L820" s="201" t="str">
        <f t="shared" si="25"/>
        <v/>
      </c>
    </row>
    <row r="821" spans="11:12" x14ac:dyDescent="0.25">
      <c r="K821" s="201" t="str">
        <f t="shared" si="24"/>
        <v/>
      </c>
      <c r="L821" s="201" t="str">
        <f t="shared" si="25"/>
        <v/>
      </c>
    </row>
    <row r="822" spans="11:12" x14ac:dyDescent="0.25">
      <c r="K822" s="201" t="str">
        <f t="shared" si="24"/>
        <v/>
      </c>
      <c r="L822" s="201" t="str">
        <f t="shared" si="25"/>
        <v/>
      </c>
    </row>
    <row r="823" spans="11:12" x14ac:dyDescent="0.25">
      <c r="K823" s="201" t="str">
        <f t="shared" si="24"/>
        <v/>
      </c>
      <c r="L823" s="201" t="str">
        <f t="shared" si="25"/>
        <v/>
      </c>
    </row>
    <row r="824" spans="11:12" x14ac:dyDescent="0.25">
      <c r="K824" s="201" t="str">
        <f t="shared" si="24"/>
        <v/>
      </c>
      <c r="L824" s="201" t="str">
        <f t="shared" si="25"/>
        <v/>
      </c>
    </row>
    <row r="825" spans="11:12" x14ac:dyDescent="0.25">
      <c r="K825" s="201" t="str">
        <f t="shared" si="24"/>
        <v/>
      </c>
      <c r="L825" s="201" t="str">
        <f t="shared" si="25"/>
        <v/>
      </c>
    </row>
    <row r="826" spans="11:12" x14ac:dyDescent="0.25">
      <c r="K826" s="201" t="str">
        <f t="shared" si="24"/>
        <v/>
      </c>
      <c r="L826" s="201" t="str">
        <f t="shared" si="25"/>
        <v/>
      </c>
    </row>
    <row r="827" spans="11:12" x14ac:dyDescent="0.25">
      <c r="K827" s="201" t="str">
        <f t="shared" si="24"/>
        <v/>
      </c>
      <c r="L827" s="201" t="str">
        <f t="shared" si="25"/>
        <v/>
      </c>
    </row>
    <row r="828" spans="11:12" x14ac:dyDescent="0.25">
      <c r="K828" s="201" t="str">
        <f t="shared" si="24"/>
        <v/>
      </c>
      <c r="L828" s="201" t="str">
        <f t="shared" si="25"/>
        <v/>
      </c>
    </row>
    <row r="829" spans="11:12" x14ac:dyDescent="0.25">
      <c r="K829" s="201" t="str">
        <f t="shared" si="24"/>
        <v/>
      </c>
      <c r="L829" s="201" t="str">
        <f t="shared" si="25"/>
        <v/>
      </c>
    </row>
    <row r="830" spans="11:12" x14ac:dyDescent="0.25">
      <c r="K830" s="201" t="str">
        <f t="shared" si="24"/>
        <v/>
      </c>
      <c r="L830" s="201" t="str">
        <f t="shared" si="25"/>
        <v/>
      </c>
    </row>
    <row r="831" spans="11:12" x14ac:dyDescent="0.25">
      <c r="K831" s="201" t="str">
        <f t="shared" si="24"/>
        <v/>
      </c>
      <c r="L831" s="201" t="str">
        <f t="shared" si="25"/>
        <v/>
      </c>
    </row>
    <row r="832" spans="11:12" x14ac:dyDescent="0.25">
      <c r="K832" s="201" t="str">
        <f t="shared" si="24"/>
        <v/>
      </c>
      <c r="L832" s="201" t="str">
        <f t="shared" si="25"/>
        <v/>
      </c>
    </row>
    <row r="833" spans="11:12" x14ac:dyDescent="0.25">
      <c r="K833" s="201" t="str">
        <f t="shared" si="24"/>
        <v/>
      </c>
      <c r="L833" s="201" t="str">
        <f t="shared" si="25"/>
        <v/>
      </c>
    </row>
    <row r="834" spans="11:12" x14ac:dyDescent="0.25">
      <c r="K834" s="201" t="str">
        <f t="shared" si="24"/>
        <v/>
      </c>
      <c r="L834" s="201" t="str">
        <f t="shared" si="25"/>
        <v/>
      </c>
    </row>
    <row r="835" spans="11:12" x14ac:dyDescent="0.25">
      <c r="K835" s="201" t="str">
        <f t="shared" si="24"/>
        <v/>
      </c>
      <c r="L835" s="201" t="str">
        <f t="shared" si="25"/>
        <v/>
      </c>
    </row>
    <row r="836" spans="11:12" x14ac:dyDescent="0.25">
      <c r="K836" s="201" t="str">
        <f t="shared" si="24"/>
        <v/>
      </c>
      <c r="L836" s="201" t="str">
        <f t="shared" si="25"/>
        <v/>
      </c>
    </row>
    <row r="837" spans="11:12" x14ac:dyDescent="0.25">
      <c r="K837" s="201" t="str">
        <f t="shared" si="24"/>
        <v/>
      </c>
      <c r="L837" s="201" t="str">
        <f t="shared" si="25"/>
        <v/>
      </c>
    </row>
    <row r="838" spans="11:12" x14ac:dyDescent="0.25">
      <c r="K838" s="201" t="str">
        <f t="shared" si="24"/>
        <v/>
      </c>
      <c r="L838" s="201" t="str">
        <f t="shared" si="25"/>
        <v/>
      </c>
    </row>
    <row r="839" spans="11:12" x14ac:dyDescent="0.25">
      <c r="K839" s="201" t="str">
        <f t="shared" si="24"/>
        <v/>
      </c>
      <c r="L839" s="201" t="str">
        <f t="shared" si="25"/>
        <v/>
      </c>
    </row>
    <row r="840" spans="11:12" x14ac:dyDescent="0.25">
      <c r="K840" s="201" t="str">
        <f t="shared" si="24"/>
        <v/>
      </c>
      <c r="L840" s="201" t="str">
        <f t="shared" si="25"/>
        <v/>
      </c>
    </row>
    <row r="841" spans="11:12" x14ac:dyDescent="0.25">
      <c r="K841" s="201" t="str">
        <f t="shared" si="24"/>
        <v/>
      </c>
      <c r="L841" s="201" t="str">
        <f t="shared" si="25"/>
        <v/>
      </c>
    </row>
    <row r="842" spans="11:12" x14ac:dyDescent="0.25">
      <c r="K842" s="201" t="str">
        <f t="shared" si="24"/>
        <v/>
      </c>
      <c r="L842" s="201" t="str">
        <f t="shared" si="25"/>
        <v/>
      </c>
    </row>
    <row r="843" spans="11:12" x14ac:dyDescent="0.25">
      <c r="K843" s="201" t="str">
        <f t="shared" si="24"/>
        <v/>
      </c>
      <c r="L843" s="201" t="str">
        <f t="shared" si="25"/>
        <v/>
      </c>
    </row>
    <row r="844" spans="11:12" x14ac:dyDescent="0.25">
      <c r="K844" s="201" t="str">
        <f t="shared" si="24"/>
        <v/>
      </c>
      <c r="L844" s="201" t="str">
        <f t="shared" si="25"/>
        <v/>
      </c>
    </row>
    <row r="845" spans="11:12" x14ac:dyDescent="0.25">
      <c r="K845" s="201" t="str">
        <f t="shared" si="24"/>
        <v/>
      </c>
      <c r="L845" s="201" t="str">
        <f t="shared" si="25"/>
        <v/>
      </c>
    </row>
    <row r="846" spans="11:12" x14ac:dyDescent="0.25">
      <c r="K846" s="201" t="str">
        <f t="shared" si="24"/>
        <v/>
      </c>
      <c r="L846" s="201" t="str">
        <f t="shared" si="25"/>
        <v/>
      </c>
    </row>
    <row r="847" spans="11:12" x14ac:dyDescent="0.25">
      <c r="K847" s="201" t="str">
        <f t="shared" si="24"/>
        <v/>
      </c>
      <c r="L847" s="201" t="str">
        <f t="shared" si="25"/>
        <v/>
      </c>
    </row>
    <row r="848" spans="11:12" x14ac:dyDescent="0.25">
      <c r="K848" s="201" t="str">
        <f t="shared" si="24"/>
        <v/>
      </c>
      <c r="L848" s="201" t="str">
        <f t="shared" si="25"/>
        <v/>
      </c>
    </row>
    <row r="849" spans="11:12" x14ac:dyDescent="0.25">
      <c r="K849" s="201" t="str">
        <f t="shared" si="24"/>
        <v/>
      </c>
      <c r="L849" s="201" t="str">
        <f t="shared" si="25"/>
        <v/>
      </c>
    </row>
    <row r="850" spans="11:12" x14ac:dyDescent="0.25">
      <c r="K850" s="201" t="str">
        <f t="shared" si="24"/>
        <v/>
      </c>
      <c r="L850" s="201" t="str">
        <f t="shared" si="25"/>
        <v/>
      </c>
    </row>
    <row r="851" spans="11:12" x14ac:dyDescent="0.25">
      <c r="K851" s="201" t="str">
        <f t="shared" si="24"/>
        <v/>
      </c>
      <c r="L851" s="201" t="str">
        <f t="shared" si="25"/>
        <v/>
      </c>
    </row>
    <row r="852" spans="11:12" x14ac:dyDescent="0.25">
      <c r="K852" s="201" t="str">
        <f t="shared" si="24"/>
        <v/>
      </c>
      <c r="L852" s="201" t="str">
        <f t="shared" si="25"/>
        <v/>
      </c>
    </row>
    <row r="853" spans="11:12" x14ac:dyDescent="0.25">
      <c r="K853" s="201" t="str">
        <f t="shared" ref="K853:K916" si="26">IF(OR(C853="", J853=""), "",
    IF(AND(C853="Zoning - Simple", J853&lt;=5), "On Time",
        IF(AND(C853="Zoning - DAR (Simple)", J853&lt;=7), "On Time",
            IF(AND(C853="Locational Clearance", J853&lt;=10), "On Time",
                IF(AND(C853="Zoning - DAR (Complex)", J853&lt;=15), "On Time",
                    IF(AND(C853="Reclass Indorsement", J853&lt;=30), "On Time",
                        IF(AND(C853="Others", J853&lt;=3), "On Time", "Delayed")
                    )
                )
            )
        )
    )
)</f>
        <v/>
      </c>
      <c r="L853" s="201" t="str">
        <f t="shared" ref="L853:L916" si="27">IF(K853="", "", IF(K853="On Time", 1, 0))</f>
        <v/>
      </c>
    </row>
    <row r="854" spans="11:12" x14ac:dyDescent="0.25">
      <c r="K854" s="201" t="str">
        <f t="shared" si="26"/>
        <v/>
      </c>
      <c r="L854" s="201" t="str">
        <f t="shared" si="27"/>
        <v/>
      </c>
    </row>
    <row r="855" spans="11:12" x14ac:dyDescent="0.25">
      <c r="K855" s="201" t="str">
        <f t="shared" si="26"/>
        <v/>
      </c>
      <c r="L855" s="201" t="str">
        <f t="shared" si="27"/>
        <v/>
      </c>
    </row>
    <row r="856" spans="11:12" x14ac:dyDescent="0.25">
      <c r="K856" s="201" t="str">
        <f t="shared" si="26"/>
        <v/>
      </c>
      <c r="L856" s="201" t="str">
        <f t="shared" si="27"/>
        <v/>
      </c>
    </row>
    <row r="857" spans="11:12" x14ac:dyDescent="0.25">
      <c r="K857" s="201" t="str">
        <f t="shared" si="26"/>
        <v/>
      </c>
      <c r="L857" s="201" t="str">
        <f t="shared" si="27"/>
        <v/>
      </c>
    </row>
    <row r="858" spans="11:12" x14ac:dyDescent="0.25">
      <c r="K858" s="201" t="str">
        <f t="shared" si="26"/>
        <v/>
      </c>
      <c r="L858" s="201" t="str">
        <f t="shared" si="27"/>
        <v/>
      </c>
    </row>
    <row r="859" spans="11:12" x14ac:dyDescent="0.25">
      <c r="K859" s="201" t="str">
        <f t="shared" si="26"/>
        <v/>
      </c>
      <c r="L859" s="201" t="str">
        <f t="shared" si="27"/>
        <v/>
      </c>
    </row>
    <row r="860" spans="11:12" x14ac:dyDescent="0.25">
      <c r="K860" s="201" t="str">
        <f t="shared" si="26"/>
        <v/>
      </c>
      <c r="L860" s="201" t="str">
        <f t="shared" si="27"/>
        <v/>
      </c>
    </row>
    <row r="861" spans="11:12" x14ac:dyDescent="0.25">
      <c r="K861" s="201" t="str">
        <f t="shared" si="26"/>
        <v/>
      </c>
      <c r="L861" s="201" t="str">
        <f t="shared" si="27"/>
        <v/>
      </c>
    </row>
    <row r="862" spans="11:12" x14ac:dyDescent="0.25">
      <c r="K862" s="201" t="str">
        <f t="shared" si="26"/>
        <v/>
      </c>
      <c r="L862" s="201" t="str">
        <f t="shared" si="27"/>
        <v/>
      </c>
    </row>
    <row r="863" spans="11:12" x14ac:dyDescent="0.25">
      <c r="K863" s="201" t="str">
        <f t="shared" si="26"/>
        <v/>
      </c>
      <c r="L863" s="201" t="str">
        <f t="shared" si="27"/>
        <v/>
      </c>
    </row>
    <row r="864" spans="11:12" x14ac:dyDescent="0.25">
      <c r="K864" s="201" t="str">
        <f t="shared" si="26"/>
        <v/>
      </c>
      <c r="L864" s="201" t="str">
        <f t="shared" si="27"/>
        <v/>
      </c>
    </row>
    <row r="865" spans="11:12" x14ac:dyDescent="0.25">
      <c r="K865" s="201" t="str">
        <f t="shared" si="26"/>
        <v/>
      </c>
      <c r="L865" s="201" t="str">
        <f t="shared" si="27"/>
        <v/>
      </c>
    </row>
    <row r="866" spans="11:12" x14ac:dyDescent="0.25">
      <c r="K866" s="201" t="str">
        <f t="shared" si="26"/>
        <v/>
      </c>
      <c r="L866" s="201" t="str">
        <f t="shared" si="27"/>
        <v/>
      </c>
    </row>
    <row r="867" spans="11:12" x14ac:dyDescent="0.25">
      <c r="K867" s="201" t="str">
        <f t="shared" si="26"/>
        <v/>
      </c>
      <c r="L867" s="201" t="str">
        <f t="shared" si="27"/>
        <v/>
      </c>
    </row>
    <row r="868" spans="11:12" x14ac:dyDescent="0.25">
      <c r="K868" s="201" t="str">
        <f t="shared" si="26"/>
        <v/>
      </c>
      <c r="L868" s="201" t="str">
        <f t="shared" si="27"/>
        <v/>
      </c>
    </row>
    <row r="869" spans="11:12" x14ac:dyDescent="0.25">
      <c r="K869" s="201" t="str">
        <f t="shared" si="26"/>
        <v/>
      </c>
      <c r="L869" s="201" t="str">
        <f t="shared" si="27"/>
        <v/>
      </c>
    </row>
    <row r="870" spans="11:12" x14ac:dyDescent="0.25">
      <c r="K870" s="201" t="str">
        <f t="shared" si="26"/>
        <v/>
      </c>
      <c r="L870" s="201" t="str">
        <f t="shared" si="27"/>
        <v/>
      </c>
    </row>
    <row r="871" spans="11:12" x14ac:dyDescent="0.25">
      <c r="K871" s="201" t="str">
        <f t="shared" si="26"/>
        <v/>
      </c>
      <c r="L871" s="201" t="str">
        <f t="shared" si="27"/>
        <v/>
      </c>
    </row>
    <row r="872" spans="11:12" x14ac:dyDescent="0.25">
      <c r="K872" s="201" t="str">
        <f t="shared" si="26"/>
        <v/>
      </c>
      <c r="L872" s="201" t="str">
        <f t="shared" si="27"/>
        <v/>
      </c>
    </row>
    <row r="873" spans="11:12" x14ac:dyDescent="0.25">
      <c r="K873" s="201" t="str">
        <f t="shared" si="26"/>
        <v/>
      </c>
      <c r="L873" s="201" t="str">
        <f t="shared" si="27"/>
        <v/>
      </c>
    </row>
    <row r="874" spans="11:12" x14ac:dyDescent="0.25">
      <c r="K874" s="201" t="str">
        <f t="shared" si="26"/>
        <v/>
      </c>
      <c r="L874" s="201" t="str">
        <f t="shared" si="27"/>
        <v/>
      </c>
    </row>
    <row r="875" spans="11:12" x14ac:dyDescent="0.25">
      <c r="K875" s="201" t="str">
        <f t="shared" si="26"/>
        <v/>
      </c>
      <c r="L875" s="201" t="str">
        <f t="shared" si="27"/>
        <v/>
      </c>
    </row>
    <row r="876" spans="11:12" x14ac:dyDescent="0.25">
      <c r="K876" s="201" t="str">
        <f t="shared" si="26"/>
        <v/>
      </c>
      <c r="L876" s="201" t="str">
        <f t="shared" si="27"/>
        <v/>
      </c>
    </row>
    <row r="877" spans="11:12" x14ac:dyDescent="0.25">
      <c r="K877" s="201" t="str">
        <f t="shared" si="26"/>
        <v/>
      </c>
      <c r="L877" s="201" t="str">
        <f t="shared" si="27"/>
        <v/>
      </c>
    </row>
    <row r="878" spans="11:12" x14ac:dyDescent="0.25">
      <c r="K878" s="201" t="str">
        <f t="shared" si="26"/>
        <v/>
      </c>
      <c r="L878" s="201" t="str">
        <f t="shared" si="27"/>
        <v/>
      </c>
    </row>
    <row r="879" spans="11:12" x14ac:dyDescent="0.25">
      <c r="K879" s="201" t="str">
        <f t="shared" si="26"/>
        <v/>
      </c>
      <c r="L879" s="201" t="str">
        <f t="shared" si="27"/>
        <v/>
      </c>
    </row>
    <row r="880" spans="11:12" x14ac:dyDescent="0.25">
      <c r="K880" s="201" t="str">
        <f t="shared" si="26"/>
        <v/>
      </c>
      <c r="L880" s="201" t="str">
        <f t="shared" si="27"/>
        <v/>
      </c>
    </row>
    <row r="881" spans="11:12" x14ac:dyDescent="0.25">
      <c r="K881" s="201" t="str">
        <f t="shared" si="26"/>
        <v/>
      </c>
      <c r="L881" s="201" t="str">
        <f t="shared" si="27"/>
        <v/>
      </c>
    </row>
    <row r="882" spans="11:12" x14ac:dyDescent="0.25">
      <c r="K882" s="201" t="str">
        <f t="shared" si="26"/>
        <v/>
      </c>
      <c r="L882" s="201" t="str">
        <f t="shared" si="27"/>
        <v/>
      </c>
    </row>
    <row r="883" spans="11:12" x14ac:dyDescent="0.25">
      <c r="K883" s="201" t="str">
        <f t="shared" si="26"/>
        <v/>
      </c>
      <c r="L883" s="201" t="str">
        <f t="shared" si="27"/>
        <v/>
      </c>
    </row>
    <row r="884" spans="11:12" x14ac:dyDescent="0.25">
      <c r="K884" s="201" t="str">
        <f t="shared" si="26"/>
        <v/>
      </c>
      <c r="L884" s="201" t="str">
        <f t="shared" si="27"/>
        <v/>
      </c>
    </row>
    <row r="885" spans="11:12" x14ac:dyDescent="0.25">
      <c r="K885" s="201" t="str">
        <f t="shared" si="26"/>
        <v/>
      </c>
      <c r="L885" s="201" t="str">
        <f t="shared" si="27"/>
        <v/>
      </c>
    </row>
    <row r="886" spans="11:12" x14ac:dyDescent="0.25">
      <c r="K886" s="201" t="str">
        <f t="shared" si="26"/>
        <v/>
      </c>
      <c r="L886" s="201" t="str">
        <f t="shared" si="27"/>
        <v/>
      </c>
    </row>
    <row r="887" spans="11:12" x14ac:dyDescent="0.25">
      <c r="K887" s="201" t="str">
        <f t="shared" si="26"/>
        <v/>
      </c>
      <c r="L887" s="201" t="str">
        <f t="shared" si="27"/>
        <v/>
      </c>
    </row>
    <row r="888" spans="11:12" x14ac:dyDescent="0.25">
      <c r="K888" s="201" t="str">
        <f t="shared" si="26"/>
        <v/>
      </c>
      <c r="L888" s="201" t="str">
        <f t="shared" si="27"/>
        <v/>
      </c>
    </row>
    <row r="889" spans="11:12" x14ac:dyDescent="0.25">
      <c r="K889" s="201" t="str">
        <f t="shared" si="26"/>
        <v/>
      </c>
      <c r="L889" s="201" t="str">
        <f t="shared" si="27"/>
        <v/>
      </c>
    </row>
    <row r="890" spans="11:12" x14ac:dyDescent="0.25">
      <c r="K890" s="201" t="str">
        <f t="shared" si="26"/>
        <v/>
      </c>
      <c r="L890" s="201" t="str">
        <f t="shared" si="27"/>
        <v/>
      </c>
    </row>
    <row r="891" spans="11:12" x14ac:dyDescent="0.25">
      <c r="K891" s="201" t="str">
        <f t="shared" si="26"/>
        <v/>
      </c>
      <c r="L891" s="201" t="str">
        <f t="shared" si="27"/>
        <v/>
      </c>
    </row>
    <row r="892" spans="11:12" x14ac:dyDescent="0.25">
      <c r="K892" s="201" t="str">
        <f t="shared" si="26"/>
        <v/>
      </c>
      <c r="L892" s="201" t="str">
        <f t="shared" si="27"/>
        <v/>
      </c>
    </row>
    <row r="893" spans="11:12" x14ac:dyDescent="0.25">
      <c r="K893" s="201" t="str">
        <f t="shared" si="26"/>
        <v/>
      </c>
      <c r="L893" s="201" t="str">
        <f t="shared" si="27"/>
        <v/>
      </c>
    </row>
    <row r="894" spans="11:12" x14ac:dyDescent="0.25">
      <c r="K894" s="201" t="str">
        <f t="shared" si="26"/>
        <v/>
      </c>
      <c r="L894" s="201" t="str">
        <f t="shared" si="27"/>
        <v/>
      </c>
    </row>
    <row r="895" spans="11:12" x14ac:dyDescent="0.25">
      <c r="K895" s="201" t="str">
        <f t="shared" si="26"/>
        <v/>
      </c>
      <c r="L895" s="201" t="str">
        <f t="shared" si="27"/>
        <v/>
      </c>
    </row>
    <row r="896" spans="11:12" x14ac:dyDescent="0.25">
      <c r="K896" s="201" t="str">
        <f t="shared" si="26"/>
        <v/>
      </c>
      <c r="L896" s="201" t="str">
        <f t="shared" si="27"/>
        <v/>
      </c>
    </row>
    <row r="897" spans="11:12" x14ac:dyDescent="0.25">
      <c r="K897" s="201" t="str">
        <f t="shared" si="26"/>
        <v/>
      </c>
      <c r="L897" s="201" t="str">
        <f t="shared" si="27"/>
        <v/>
      </c>
    </row>
    <row r="898" spans="11:12" x14ac:dyDescent="0.25">
      <c r="K898" s="201" t="str">
        <f t="shared" si="26"/>
        <v/>
      </c>
      <c r="L898" s="201" t="str">
        <f t="shared" si="27"/>
        <v/>
      </c>
    </row>
    <row r="899" spans="11:12" x14ac:dyDescent="0.25">
      <c r="K899" s="201" t="str">
        <f t="shared" si="26"/>
        <v/>
      </c>
      <c r="L899" s="201" t="str">
        <f t="shared" si="27"/>
        <v/>
      </c>
    </row>
    <row r="900" spans="11:12" x14ac:dyDescent="0.25">
      <c r="K900" s="201" t="str">
        <f t="shared" si="26"/>
        <v/>
      </c>
      <c r="L900" s="201" t="str">
        <f t="shared" si="27"/>
        <v/>
      </c>
    </row>
    <row r="901" spans="11:12" x14ac:dyDescent="0.25">
      <c r="K901" s="201" t="str">
        <f t="shared" si="26"/>
        <v/>
      </c>
      <c r="L901" s="201" t="str">
        <f t="shared" si="27"/>
        <v/>
      </c>
    </row>
    <row r="902" spans="11:12" x14ac:dyDescent="0.25">
      <c r="K902" s="201" t="str">
        <f t="shared" si="26"/>
        <v/>
      </c>
      <c r="L902" s="201" t="str">
        <f t="shared" si="27"/>
        <v/>
      </c>
    </row>
    <row r="903" spans="11:12" x14ac:dyDescent="0.25">
      <c r="K903" s="201" t="str">
        <f t="shared" si="26"/>
        <v/>
      </c>
      <c r="L903" s="201" t="str">
        <f t="shared" si="27"/>
        <v/>
      </c>
    </row>
    <row r="904" spans="11:12" x14ac:dyDescent="0.25">
      <c r="K904" s="201" t="str">
        <f t="shared" si="26"/>
        <v/>
      </c>
      <c r="L904" s="201" t="str">
        <f t="shared" si="27"/>
        <v/>
      </c>
    </row>
    <row r="905" spans="11:12" x14ac:dyDescent="0.25">
      <c r="K905" s="201" t="str">
        <f t="shared" si="26"/>
        <v/>
      </c>
      <c r="L905" s="201" t="str">
        <f t="shared" si="27"/>
        <v/>
      </c>
    </row>
    <row r="906" spans="11:12" x14ac:dyDescent="0.25">
      <c r="K906" s="201" t="str">
        <f t="shared" si="26"/>
        <v/>
      </c>
      <c r="L906" s="201" t="str">
        <f t="shared" si="27"/>
        <v/>
      </c>
    </row>
    <row r="907" spans="11:12" x14ac:dyDescent="0.25">
      <c r="K907" s="201" t="str">
        <f t="shared" si="26"/>
        <v/>
      </c>
      <c r="L907" s="201" t="str">
        <f t="shared" si="27"/>
        <v/>
      </c>
    </row>
    <row r="908" spans="11:12" x14ac:dyDescent="0.25">
      <c r="K908" s="201" t="str">
        <f t="shared" si="26"/>
        <v/>
      </c>
      <c r="L908" s="201" t="str">
        <f t="shared" si="27"/>
        <v/>
      </c>
    </row>
    <row r="909" spans="11:12" x14ac:dyDescent="0.25">
      <c r="K909" s="201" t="str">
        <f t="shared" si="26"/>
        <v/>
      </c>
      <c r="L909" s="201" t="str">
        <f t="shared" si="27"/>
        <v/>
      </c>
    </row>
    <row r="910" spans="11:12" x14ac:dyDescent="0.25">
      <c r="K910" s="201" t="str">
        <f t="shared" si="26"/>
        <v/>
      </c>
      <c r="L910" s="201" t="str">
        <f t="shared" si="27"/>
        <v/>
      </c>
    </row>
    <row r="911" spans="11:12" x14ac:dyDescent="0.25">
      <c r="K911" s="201" t="str">
        <f t="shared" si="26"/>
        <v/>
      </c>
      <c r="L911" s="201" t="str">
        <f t="shared" si="27"/>
        <v/>
      </c>
    </row>
    <row r="912" spans="11:12" x14ac:dyDescent="0.25">
      <c r="K912" s="201" t="str">
        <f t="shared" si="26"/>
        <v/>
      </c>
      <c r="L912" s="201" t="str">
        <f t="shared" si="27"/>
        <v/>
      </c>
    </row>
    <row r="913" spans="11:12" x14ac:dyDescent="0.25">
      <c r="K913" s="201" t="str">
        <f t="shared" si="26"/>
        <v/>
      </c>
      <c r="L913" s="201" t="str">
        <f t="shared" si="27"/>
        <v/>
      </c>
    </row>
    <row r="914" spans="11:12" x14ac:dyDescent="0.25">
      <c r="K914" s="201" t="str">
        <f t="shared" si="26"/>
        <v/>
      </c>
      <c r="L914" s="201" t="str">
        <f t="shared" si="27"/>
        <v/>
      </c>
    </row>
    <row r="915" spans="11:12" x14ac:dyDescent="0.25">
      <c r="K915" s="201" t="str">
        <f t="shared" si="26"/>
        <v/>
      </c>
      <c r="L915" s="201" t="str">
        <f t="shared" si="27"/>
        <v/>
      </c>
    </row>
    <row r="916" spans="11:12" x14ac:dyDescent="0.25">
      <c r="K916" s="201" t="str">
        <f t="shared" si="26"/>
        <v/>
      </c>
      <c r="L916" s="201" t="str">
        <f t="shared" si="27"/>
        <v/>
      </c>
    </row>
    <row r="917" spans="11:12" x14ac:dyDescent="0.25">
      <c r="K917" s="201" t="str">
        <f t="shared" ref="K917:K980" si="28">IF(OR(C917="", J917=""), "",
    IF(AND(C917="Zoning - Simple", J917&lt;=5), "On Time",
        IF(AND(C917="Zoning - DAR (Simple)", J917&lt;=7), "On Time",
            IF(AND(C917="Locational Clearance", J917&lt;=10), "On Time",
                IF(AND(C917="Zoning - DAR (Complex)", J917&lt;=15), "On Time",
                    IF(AND(C917="Reclass Indorsement", J917&lt;=30), "On Time",
                        IF(AND(C917="Others", J917&lt;=3), "On Time", "Delayed")
                    )
                )
            )
        )
    )
)</f>
        <v/>
      </c>
      <c r="L917" s="201" t="str">
        <f t="shared" ref="L917:L980" si="29">IF(K917="", "", IF(K917="On Time", 1, 0))</f>
        <v/>
      </c>
    </row>
    <row r="918" spans="11:12" x14ac:dyDescent="0.25">
      <c r="K918" s="201" t="str">
        <f t="shared" si="28"/>
        <v/>
      </c>
      <c r="L918" s="201" t="str">
        <f t="shared" si="29"/>
        <v/>
      </c>
    </row>
    <row r="919" spans="11:12" x14ac:dyDescent="0.25">
      <c r="K919" s="201" t="str">
        <f t="shared" si="28"/>
        <v/>
      </c>
      <c r="L919" s="201" t="str">
        <f t="shared" si="29"/>
        <v/>
      </c>
    </row>
    <row r="920" spans="11:12" x14ac:dyDescent="0.25">
      <c r="K920" s="201" t="str">
        <f t="shared" si="28"/>
        <v/>
      </c>
      <c r="L920" s="201" t="str">
        <f t="shared" si="29"/>
        <v/>
      </c>
    </row>
    <row r="921" spans="11:12" x14ac:dyDescent="0.25">
      <c r="K921" s="201" t="str">
        <f t="shared" si="28"/>
        <v/>
      </c>
      <c r="L921" s="201" t="str">
        <f t="shared" si="29"/>
        <v/>
      </c>
    </row>
    <row r="922" spans="11:12" x14ac:dyDescent="0.25">
      <c r="K922" s="201" t="str">
        <f t="shared" si="28"/>
        <v/>
      </c>
      <c r="L922" s="201" t="str">
        <f t="shared" si="29"/>
        <v/>
      </c>
    </row>
    <row r="923" spans="11:12" x14ac:dyDescent="0.25">
      <c r="K923" s="201" t="str">
        <f t="shared" si="28"/>
        <v/>
      </c>
      <c r="L923" s="201" t="str">
        <f t="shared" si="29"/>
        <v/>
      </c>
    </row>
    <row r="924" spans="11:12" x14ac:dyDescent="0.25">
      <c r="K924" s="201" t="str">
        <f t="shared" si="28"/>
        <v/>
      </c>
      <c r="L924" s="201" t="str">
        <f t="shared" si="29"/>
        <v/>
      </c>
    </row>
    <row r="925" spans="11:12" x14ac:dyDescent="0.25">
      <c r="K925" s="201" t="str">
        <f t="shared" si="28"/>
        <v/>
      </c>
      <c r="L925" s="201" t="str">
        <f t="shared" si="29"/>
        <v/>
      </c>
    </row>
    <row r="926" spans="11:12" x14ac:dyDescent="0.25">
      <c r="K926" s="201" t="str">
        <f t="shared" si="28"/>
        <v/>
      </c>
      <c r="L926" s="201" t="str">
        <f t="shared" si="29"/>
        <v/>
      </c>
    </row>
    <row r="927" spans="11:12" x14ac:dyDescent="0.25">
      <c r="K927" s="201" t="str">
        <f t="shared" si="28"/>
        <v/>
      </c>
      <c r="L927" s="201" t="str">
        <f t="shared" si="29"/>
        <v/>
      </c>
    </row>
    <row r="928" spans="11:12" x14ac:dyDescent="0.25">
      <c r="K928" s="201" t="str">
        <f t="shared" si="28"/>
        <v/>
      </c>
      <c r="L928" s="201" t="str">
        <f t="shared" si="29"/>
        <v/>
      </c>
    </row>
    <row r="929" spans="11:12" x14ac:dyDescent="0.25">
      <c r="K929" s="201" t="str">
        <f t="shared" si="28"/>
        <v/>
      </c>
      <c r="L929" s="201" t="str">
        <f t="shared" si="29"/>
        <v/>
      </c>
    </row>
    <row r="930" spans="11:12" x14ac:dyDescent="0.25">
      <c r="K930" s="201" t="str">
        <f t="shared" si="28"/>
        <v/>
      </c>
      <c r="L930" s="201" t="str">
        <f t="shared" si="29"/>
        <v/>
      </c>
    </row>
    <row r="931" spans="11:12" x14ac:dyDescent="0.25">
      <c r="K931" s="201" t="str">
        <f t="shared" si="28"/>
        <v/>
      </c>
      <c r="L931" s="201" t="str">
        <f t="shared" si="29"/>
        <v/>
      </c>
    </row>
    <row r="932" spans="11:12" x14ac:dyDescent="0.25">
      <c r="K932" s="201" t="str">
        <f t="shared" si="28"/>
        <v/>
      </c>
      <c r="L932" s="201" t="str">
        <f t="shared" si="29"/>
        <v/>
      </c>
    </row>
    <row r="933" spans="11:12" x14ac:dyDescent="0.25">
      <c r="K933" s="201" t="str">
        <f t="shared" si="28"/>
        <v/>
      </c>
      <c r="L933" s="201" t="str">
        <f t="shared" si="29"/>
        <v/>
      </c>
    </row>
    <row r="934" spans="11:12" x14ac:dyDescent="0.25">
      <c r="K934" s="201" t="str">
        <f t="shared" si="28"/>
        <v/>
      </c>
      <c r="L934" s="201" t="str">
        <f t="shared" si="29"/>
        <v/>
      </c>
    </row>
    <row r="935" spans="11:12" x14ac:dyDescent="0.25">
      <c r="K935" s="201" t="str">
        <f t="shared" si="28"/>
        <v/>
      </c>
      <c r="L935" s="201" t="str">
        <f t="shared" si="29"/>
        <v/>
      </c>
    </row>
    <row r="936" spans="11:12" x14ac:dyDescent="0.25">
      <c r="K936" s="201" t="str">
        <f t="shared" si="28"/>
        <v/>
      </c>
      <c r="L936" s="201" t="str">
        <f t="shared" si="29"/>
        <v/>
      </c>
    </row>
    <row r="937" spans="11:12" x14ac:dyDescent="0.25">
      <c r="K937" s="201" t="str">
        <f t="shared" si="28"/>
        <v/>
      </c>
      <c r="L937" s="201" t="str">
        <f t="shared" si="29"/>
        <v/>
      </c>
    </row>
    <row r="938" spans="11:12" x14ac:dyDescent="0.25">
      <c r="K938" s="201" t="str">
        <f t="shared" si="28"/>
        <v/>
      </c>
      <c r="L938" s="201" t="str">
        <f t="shared" si="29"/>
        <v/>
      </c>
    </row>
    <row r="939" spans="11:12" x14ac:dyDescent="0.25">
      <c r="K939" s="201" t="str">
        <f t="shared" si="28"/>
        <v/>
      </c>
      <c r="L939" s="201" t="str">
        <f t="shared" si="29"/>
        <v/>
      </c>
    </row>
    <row r="940" spans="11:12" x14ac:dyDescent="0.25">
      <c r="K940" s="201" t="str">
        <f t="shared" si="28"/>
        <v/>
      </c>
      <c r="L940" s="201" t="str">
        <f t="shared" si="29"/>
        <v/>
      </c>
    </row>
    <row r="941" spans="11:12" x14ac:dyDescent="0.25">
      <c r="K941" s="201" t="str">
        <f t="shared" si="28"/>
        <v/>
      </c>
      <c r="L941" s="201" t="str">
        <f t="shared" si="29"/>
        <v/>
      </c>
    </row>
    <row r="942" spans="11:12" x14ac:dyDescent="0.25">
      <c r="K942" s="201" t="str">
        <f t="shared" si="28"/>
        <v/>
      </c>
      <c r="L942" s="201" t="str">
        <f t="shared" si="29"/>
        <v/>
      </c>
    </row>
    <row r="943" spans="11:12" x14ac:dyDescent="0.25">
      <c r="K943" s="201" t="str">
        <f t="shared" si="28"/>
        <v/>
      </c>
      <c r="L943" s="201" t="str">
        <f t="shared" si="29"/>
        <v/>
      </c>
    </row>
    <row r="944" spans="11:12" x14ac:dyDescent="0.25">
      <c r="K944" s="201" t="str">
        <f t="shared" si="28"/>
        <v/>
      </c>
      <c r="L944" s="201" t="str">
        <f t="shared" si="29"/>
        <v/>
      </c>
    </row>
    <row r="945" spans="11:12" x14ac:dyDescent="0.25">
      <c r="K945" s="201" t="str">
        <f t="shared" si="28"/>
        <v/>
      </c>
      <c r="L945" s="201" t="str">
        <f t="shared" si="29"/>
        <v/>
      </c>
    </row>
    <row r="946" spans="11:12" x14ac:dyDescent="0.25">
      <c r="K946" s="201" t="str">
        <f t="shared" si="28"/>
        <v/>
      </c>
      <c r="L946" s="201" t="str">
        <f t="shared" si="29"/>
        <v/>
      </c>
    </row>
    <row r="947" spans="11:12" x14ac:dyDescent="0.25">
      <c r="K947" s="201" t="str">
        <f t="shared" si="28"/>
        <v/>
      </c>
      <c r="L947" s="201" t="str">
        <f t="shared" si="29"/>
        <v/>
      </c>
    </row>
    <row r="948" spans="11:12" x14ac:dyDescent="0.25">
      <c r="K948" s="201" t="str">
        <f t="shared" si="28"/>
        <v/>
      </c>
      <c r="L948" s="201" t="str">
        <f t="shared" si="29"/>
        <v/>
      </c>
    </row>
    <row r="949" spans="11:12" x14ac:dyDescent="0.25">
      <c r="K949" s="201" t="str">
        <f t="shared" si="28"/>
        <v/>
      </c>
      <c r="L949" s="201" t="str">
        <f t="shared" si="29"/>
        <v/>
      </c>
    </row>
    <row r="950" spans="11:12" x14ac:dyDescent="0.25">
      <c r="K950" s="201" t="str">
        <f t="shared" si="28"/>
        <v/>
      </c>
      <c r="L950" s="201" t="str">
        <f t="shared" si="29"/>
        <v/>
      </c>
    </row>
    <row r="951" spans="11:12" x14ac:dyDescent="0.25">
      <c r="K951" s="201" t="str">
        <f t="shared" si="28"/>
        <v/>
      </c>
      <c r="L951" s="201" t="str">
        <f t="shared" si="29"/>
        <v/>
      </c>
    </row>
    <row r="952" spans="11:12" x14ac:dyDescent="0.25">
      <c r="K952" s="201" t="str">
        <f t="shared" si="28"/>
        <v/>
      </c>
      <c r="L952" s="201" t="str">
        <f t="shared" si="29"/>
        <v/>
      </c>
    </row>
    <row r="953" spans="11:12" x14ac:dyDescent="0.25">
      <c r="K953" s="201" t="str">
        <f t="shared" si="28"/>
        <v/>
      </c>
      <c r="L953" s="201" t="str">
        <f t="shared" si="29"/>
        <v/>
      </c>
    </row>
    <row r="954" spans="11:12" x14ac:dyDescent="0.25">
      <c r="K954" s="201" t="str">
        <f t="shared" si="28"/>
        <v/>
      </c>
      <c r="L954" s="201" t="str">
        <f t="shared" si="29"/>
        <v/>
      </c>
    </row>
    <row r="955" spans="11:12" x14ac:dyDescent="0.25">
      <c r="K955" s="201" t="str">
        <f t="shared" si="28"/>
        <v/>
      </c>
      <c r="L955" s="201" t="str">
        <f t="shared" si="29"/>
        <v/>
      </c>
    </row>
    <row r="956" spans="11:12" x14ac:dyDescent="0.25">
      <c r="K956" s="201" t="str">
        <f t="shared" si="28"/>
        <v/>
      </c>
      <c r="L956" s="201" t="str">
        <f t="shared" si="29"/>
        <v/>
      </c>
    </row>
    <row r="957" spans="11:12" x14ac:dyDescent="0.25">
      <c r="K957" s="201" t="str">
        <f t="shared" si="28"/>
        <v/>
      </c>
      <c r="L957" s="201" t="str">
        <f t="shared" si="29"/>
        <v/>
      </c>
    </row>
    <row r="958" spans="11:12" x14ac:dyDescent="0.25">
      <c r="K958" s="201" t="str">
        <f t="shared" si="28"/>
        <v/>
      </c>
      <c r="L958" s="201" t="str">
        <f t="shared" si="29"/>
        <v/>
      </c>
    </row>
    <row r="959" spans="11:12" x14ac:dyDescent="0.25">
      <c r="K959" s="201" t="str">
        <f t="shared" si="28"/>
        <v/>
      </c>
      <c r="L959" s="201" t="str">
        <f t="shared" si="29"/>
        <v/>
      </c>
    </row>
    <row r="960" spans="11:12" x14ac:dyDescent="0.25">
      <c r="K960" s="201" t="str">
        <f t="shared" si="28"/>
        <v/>
      </c>
      <c r="L960" s="201" t="str">
        <f t="shared" si="29"/>
        <v/>
      </c>
    </row>
    <row r="961" spans="11:12" x14ac:dyDescent="0.25">
      <c r="K961" s="201" t="str">
        <f t="shared" si="28"/>
        <v/>
      </c>
      <c r="L961" s="201" t="str">
        <f t="shared" si="29"/>
        <v/>
      </c>
    </row>
    <row r="962" spans="11:12" x14ac:dyDescent="0.25">
      <c r="K962" s="201" t="str">
        <f t="shared" si="28"/>
        <v/>
      </c>
      <c r="L962" s="201" t="str">
        <f t="shared" si="29"/>
        <v/>
      </c>
    </row>
    <row r="963" spans="11:12" x14ac:dyDescent="0.25">
      <c r="K963" s="201" t="str">
        <f t="shared" si="28"/>
        <v/>
      </c>
      <c r="L963" s="201" t="str">
        <f t="shared" si="29"/>
        <v/>
      </c>
    </row>
    <row r="964" spans="11:12" x14ac:dyDescent="0.25">
      <c r="K964" s="201" t="str">
        <f t="shared" si="28"/>
        <v/>
      </c>
      <c r="L964" s="201" t="str">
        <f t="shared" si="29"/>
        <v/>
      </c>
    </row>
    <row r="965" spans="11:12" x14ac:dyDescent="0.25">
      <c r="K965" s="201" t="str">
        <f t="shared" si="28"/>
        <v/>
      </c>
      <c r="L965" s="201" t="str">
        <f t="shared" si="29"/>
        <v/>
      </c>
    </row>
    <row r="966" spans="11:12" x14ac:dyDescent="0.25">
      <c r="K966" s="201" t="str">
        <f t="shared" si="28"/>
        <v/>
      </c>
      <c r="L966" s="201" t="str">
        <f t="shared" si="29"/>
        <v/>
      </c>
    </row>
    <row r="967" spans="11:12" x14ac:dyDescent="0.25">
      <c r="K967" s="201" t="str">
        <f t="shared" si="28"/>
        <v/>
      </c>
      <c r="L967" s="201" t="str">
        <f t="shared" si="29"/>
        <v/>
      </c>
    </row>
    <row r="968" spans="11:12" x14ac:dyDescent="0.25">
      <c r="K968" s="201" t="str">
        <f t="shared" si="28"/>
        <v/>
      </c>
      <c r="L968" s="201" t="str">
        <f t="shared" si="29"/>
        <v/>
      </c>
    </row>
    <row r="969" spans="11:12" x14ac:dyDescent="0.25">
      <c r="K969" s="201" t="str">
        <f t="shared" si="28"/>
        <v/>
      </c>
      <c r="L969" s="201" t="str">
        <f t="shared" si="29"/>
        <v/>
      </c>
    </row>
    <row r="970" spans="11:12" x14ac:dyDescent="0.25">
      <c r="K970" s="201" t="str">
        <f t="shared" si="28"/>
        <v/>
      </c>
      <c r="L970" s="201" t="str">
        <f t="shared" si="29"/>
        <v/>
      </c>
    </row>
    <row r="971" spans="11:12" x14ac:dyDescent="0.25">
      <c r="K971" s="201" t="str">
        <f t="shared" si="28"/>
        <v/>
      </c>
      <c r="L971" s="201" t="str">
        <f t="shared" si="29"/>
        <v/>
      </c>
    </row>
    <row r="972" spans="11:12" x14ac:dyDescent="0.25">
      <c r="K972" s="201" t="str">
        <f t="shared" si="28"/>
        <v/>
      </c>
      <c r="L972" s="201" t="str">
        <f t="shared" si="29"/>
        <v/>
      </c>
    </row>
    <row r="973" spans="11:12" x14ac:dyDescent="0.25">
      <c r="K973" s="201" t="str">
        <f t="shared" si="28"/>
        <v/>
      </c>
      <c r="L973" s="201" t="str">
        <f t="shared" si="29"/>
        <v/>
      </c>
    </row>
    <row r="974" spans="11:12" x14ac:dyDescent="0.25">
      <c r="K974" s="201" t="str">
        <f t="shared" si="28"/>
        <v/>
      </c>
      <c r="L974" s="201" t="str">
        <f t="shared" si="29"/>
        <v/>
      </c>
    </row>
    <row r="975" spans="11:12" x14ac:dyDescent="0.25">
      <c r="K975" s="201" t="str">
        <f t="shared" si="28"/>
        <v/>
      </c>
      <c r="L975" s="201" t="str">
        <f t="shared" si="29"/>
        <v/>
      </c>
    </row>
    <row r="976" spans="11:12" x14ac:dyDescent="0.25">
      <c r="K976" s="201" t="str">
        <f t="shared" si="28"/>
        <v/>
      </c>
      <c r="L976" s="201" t="str">
        <f t="shared" si="29"/>
        <v/>
      </c>
    </row>
    <row r="977" spans="11:12" x14ac:dyDescent="0.25">
      <c r="K977" s="201" t="str">
        <f t="shared" si="28"/>
        <v/>
      </c>
      <c r="L977" s="201" t="str">
        <f t="shared" si="29"/>
        <v/>
      </c>
    </row>
    <row r="978" spans="11:12" x14ac:dyDescent="0.25">
      <c r="K978" s="201" t="str">
        <f t="shared" si="28"/>
        <v/>
      </c>
      <c r="L978" s="201" t="str">
        <f t="shared" si="29"/>
        <v/>
      </c>
    </row>
    <row r="979" spans="11:12" x14ac:dyDescent="0.25">
      <c r="K979" s="201" t="str">
        <f t="shared" si="28"/>
        <v/>
      </c>
      <c r="L979" s="201" t="str">
        <f t="shared" si="29"/>
        <v/>
      </c>
    </row>
    <row r="980" spans="11:12" x14ac:dyDescent="0.25">
      <c r="K980" s="201" t="str">
        <f t="shared" si="28"/>
        <v/>
      </c>
      <c r="L980" s="201" t="str">
        <f t="shared" si="29"/>
        <v/>
      </c>
    </row>
    <row r="981" spans="11:12" x14ac:dyDescent="0.25">
      <c r="K981" s="201" t="str">
        <f t="shared" ref="K981:K1000" si="30">IF(OR(C981="", J981=""), "",
    IF(AND(C981="Zoning - Simple", J981&lt;=5), "On Time",
        IF(AND(C981="Zoning - DAR (Simple)", J981&lt;=7), "On Time",
            IF(AND(C981="Locational Clearance", J981&lt;=10), "On Time",
                IF(AND(C981="Zoning - DAR (Complex)", J981&lt;=15), "On Time",
                    IF(AND(C981="Reclass Indorsement", J981&lt;=30), "On Time",
                        IF(AND(C981="Others", J981&lt;=3), "On Time", "Delayed")
                    )
                )
            )
        )
    )
)</f>
        <v/>
      </c>
      <c r="L981" s="201" t="str">
        <f t="shared" ref="L981:L1001" si="31">IF(K981="", "", IF(K981="On Time", 1, 0))</f>
        <v/>
      </c>
    </row>
    <row r="982" spans="11:12" x14ac:dyDescent="0.25">
      <c r="K982" s="201" t="str">
        <f t="shared" si="30"/>
        <v/>
      </c>
      <c r="L982" s="201" t="str">
        <f t="shared" si="31"/>
        <v/>
      </c>
    </row>
    <row r="983" spans="11:12" x14ac:dyDescent="0.25">
      <c r="K983" s="201" t="str">
        <f t="shared" si="30"/>
        <v/>
      </c>
      <c r="L983" s="201" t="str">
        <f t="shared" si="31"/>
        <v/>
      </c>
    </row>
    <row r="984" spans="11:12" x14ac:dyDescent="0.25">
      <c r="K984" s="201" t="str">
        <f t="shared" si="30"/>
        <v/>
      </c>
      <c r="L984" s="201" t="str">
        <f t="shared" si="31"/>
        <v/>
      </c>
    </row>
    <row r="985" spans="11:12" x14ac:dyDescent="0.25">
      <c r="K985" s="201" t="str">
        <f t="shared" si="30"/>
        <v/>
      </c>
      <c r="L985" s="201" t="str">
        <f t="shared" si="31"/>
        <v/>
      </c>
    </row>
    <row r="986" spans="11:12" x14ac:dyDescent="0.25">
      <c r="K986" s="201" t="str">
        <f t="shared" si="30"/>
        <v/>
      </c>
      <c r="L986" s="201" t="str">
        <f t="shared" si="31"/>
        <v/>
      </c>
    </row>
    <row r="987" spans="11:12" x14ac:dyDescent="0.25">
      <c r="K987" s="201" t="str">
        <f t="shared" si="30"/>
        <v/>
      </c>
      <c r="L987" s="201" t="str">
        <f t="shared" si="31"/>
        <v/>
      </c>
    </row>
    <row r="988" spans="11:12" x14ac:dyDescent="0.25">
      <c r="K988" s="201" t="str">
        <f t="shared" si="30"/>
        <v/>
      </c>
      <c r="L988" s="201" t="str">
        <f t="shared" si="31"/>
        <v/>
      </c>
    </row>
    <row r="989" spans="11:12" x14ac:dyDescent="0.25">
      <c r="K989" s="201" t="str">
        <f t="shared" si="30"/>
        <v/>
      </c>
      <c r="L989" s="201" t="str">
        <f t="shared" si="31"/>
        <v/>
      </c>
    </row>
    <row r="990" spans="11:12" x14ac:dyDescent="0.25">
      <c r="K990" s="201" t="str">
        <f t="shared" si="30"/>
        <v/>
      </c>
      <c r="L990" s="201" t="str">
        <f t="shared" si="31"/>
        <v/>
      </c>
    </row>
    <row r="991" spans="11:12" x14ac:dyDescent="0.25">
      <c r="K991" s="201" t="str">
        <f t="shared" si="30"/>
        <v/>
      </c>
      <c r="L991" s="201" t="str">
        <f t="shared" si="31"/>
        <v/>
      </c>
    </row>
    <row r="992" spans="11:12" x14ac:dyDescent="0.25">
      <c r="K992" s="201" t="str">
        <f t="shared" si="30"/>
        <v/>
      </c>
      <c r="L992" s="201" t="str">
        <f t="shared" si="31"/>
        <v/>
      </c>
    </row>
    <row r="993" spans="11:12" x14ac:dyDescent="0.25">
      <c r="K993" s="201" t="str">
        <f t="shared" si="30"/>
        <v/>
      </c>
      <c r="L993" s="201" t="str">
        <f t="shared" si="31"/>
        <v/>
      </c>
    </row>
    <row r="994" spans="11:12" x14ac:dyDescent="0.25">
      <c r="K994" s="201" t="str">
        <f t="shared" si="30"/>
        <v/>
      </c>
      <c r="L994" s="201" t="str">
        <f t="shared" si="31"/>
        <v/>
      </c>
    </row>
    <row r="995" spans="11:12" x14ac:dyDescent="0.25">
      <c r="K995" s="201" t="str">
        <f t="shared" si="30"/>
        <v/>
      </c>
      <c r="L995" s="201" t="str">
        <f t="shared" si="31"/>
        <v/>
      </c>
    </row>
    <row r="996" spans="11:12" x14ac:dyDescent="0.25">
      <c r="K996" s="201" t="str">
        <f t="shared" si="30"/>
        <v/>
      </c>
      <c r="L996" s="201" t="str">
        <f t="shared" si="31"/>
        <v/>
      </c>
    </row>
    <row r="997" spans="11:12" x14ac:dyDescent="0.25">
      <c r="K997" s="201" t="str">
        <f t="shared" si="30"/>
        <v/>
      </c>
      <c r="L997" s="201" t="str">
        <f t="shared" si="31"/>
        <v/>
      </c>
    </row>
    <row r="998" spans="11:12" x14ac:dyDescent="0.25">
      <c r="K998" s="201" t="str">
        <f t="shared" si="30"/>
        <v/>
      </c>
      <c r="L998" s="201" t="str">
        <f t="shared" si="31"/>
        <v/>
      </c>
    </row>
    <row r="999" spans="11:12" x14ac:dyDescent="0.25">
      <c r="K999" s="201" t="str">
        <f t="shared" si="30"/>
        <v/>
      </c>
      <c r="L999" s="201" t="str">
        <f t="shared" si="31"/>
        <v/>
      </c>
    </row>
    <row r="1000" spans="11:12" x14ac:dyDescent="0.25">
      <c r="K1000" s="201" t="str">
        <f t="shared" si="30"/>
        <v/>
      </c>
      <c r="L1000" s="201" t="str">
        <f t="shared" si="31"/>
        <v/>
      </c>
    </row>
    <row r="1001" spans="11:12" x14ac:dyDescent="0.25">
      <c r="L1001" s="201" t="str">
        <f t="shared" si="31"/>
        <v/>
      </c>
    </row>
  </sheetData>
  <mergeCells count="7">
    <mergeCell ref="B15:V15"/>
    <mergeCell ref="B13:T13"/>
    <mergeCell ref="B5:T5"/>
    <mergeCell ref="B6:T6"/>
    <mergeCell ref="B7:T7"/>
    <mergeCell ref="B11:T11"/>
    <mergeCell ref="B12:T12"/>
  </mergeCells>
  <dataValidations count="1">
    <dataValidation type="whole" allowBlank="1" showInputMessage="1" showErrorMessage="1" sqref="J23:J1048576" xr:uid="{AE30C21E-73FF-430B-B99B-66F61109A237}">
      <formula1>1</formula1>
      <formula2>1000</formula2>
    </dataValidation>
  </dataValidations>
  <hyperlinks>
    <hyperlink ref="C1" location="'Accomplishment 2025'!A1" display="Back to Summary of Accomplishments 2025" xr:uid="{557599F3-E805-4F78-8D55-2FB6430F81C1}"/>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B465EB-718A-42C0-9C91-BE67CE65EA18}">
          <x14:formula1>
            <xm:f>Picklists!$A$88:$A$94</xm:f>
          </x14:formula1>
          <xm:sqref>C23:C1048576</xm:sqref>
        </x14:dataValidation>
        <x14:dataValidation type="list" allowBlank="1" showInputMessage="1" showErrorMessage="1" xr:uid="{CAEE7CB4-912C-4CF9-ACBA-95DFEDEA28B1}">
          <x14:formula1>
            <xm:f>Picklists!$A$2:$A$14</xm:f>
          </x14:formula1>
          <xm:sqref>E23:E1048576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5B91-5A30-4D43-9635-3D71C22BB179}">
  <sheetPr codeName="Sheet37">
    <tabColor rgb="FFFFC000"/>
  </sheetPr>
  <dimension ref="A1:M56"/>
  <sheetViews>
    <sheetView zoomScale="60" zoomScaleNormal="60" workbookViewId="0">
      <selection activeCell="H18" sqref="H18"/>
    </sheetView>
  </sheetViews>
  <sheetFormatPr defaultColWidth="8.88671875" defaultRowHeight="13.8" x14ac:dyDescent="0.25"/>
  <cols>
    <col min="1" max="1" width="9.6640625" style="164" customWidth="1"/>
    <col min="2" max="2" width="74.5546875" style="172" bestFit="1" customWidth="1"/>
    <col min="3" max="3" width="51" style="172" customWidth="1"/>
    <col min="4" max="4" width="37" style="172" customWidth="1"/>
    <col min="5" max="5" width="30.109375" style="172" customWidth="1"/>
    <col min="6" max="6" width="28.109375" style="172" customWidth="1"/>
    <col min="7" max="7" width="27.44140625" style="172" customWidth="1"/>
    <col min="8" max="8" width="29.109375" style="172" bestFit="1" customWidth="1"/>
    <col min="9" max="13" width="8.88671875" style="172"/>
    <col min="14" max="16384" width="8.88671875" style="164"/>
  </cols>
  <sheetData>
    <row r="1" spans="1:13" s="32" customFormat="1" ht="14.4" x14ac:dyDescent="0.3">
      <c r="A1" s="173" t="s">
        <v>5090</v>
      </c>
      <c r="B1" s="173"/>
      <c r="C1" s="174" t="s">
        <v>1673</v>
      </c>
    </row>
    <row r="2" spans="1:13" s="32" customFormat="1" x14ac:dyDescent="0.25">
      <c r="A2" s="176"/>
      <c r="B2" s="176"/>
      <c r="C2" s="35"/>
    </row>
    <row r="3" spans="1:13" s="32" customFormat="1" x14ac:dyDescent="0.25">
      <c r="A3" s="177">
        <v>25</v>
      </c>
      <c r="B3" s="31" t="s">
        <v>1658</v>
      </c>
    </row>
    <row r="4" spans="1:13" s="32" customFormat="1" x14ac:dyDescent="0.25">
      <c r="A4" s="178"/>
      <c r="B4" s="206" t="s">
        <v>5500</v>
      </c>
    </row>
    <row r="5" spans="1:13" s="32" customFormat="1" x14ac:dyDescent="0.25">
      <c r="A5" s="178"/>
      <c r="B5" s="599" t="s">
        <v>5501</v>
      </c>
      <c r="C5" s="599"/>
      <c r="D5" s="599"/>
      <c r="E5" s="599"/>
      <c r="F5" s="599"/>
      <c r="G5" s="599"/>
      <c r="H5" s="599"/>
      <c r="I5" s="599"/>
      <c r="J5" s="599"/>
      <c r="K5" s="599"/>
      <c r="L5" s="599"/>
      <c r="M5" s="599"/>
    </row>
    <row r="6" spans="1:13" s="32" customFormat="1" ht="13.95" customHeight="1" x14ac:dyDescent="0.25">
      <c r="A6" s="178"/>
      <c r="B6" s="601" t="s">
        <v>5502</v>
      </c>
      <c r="C6" s="601"/>
      <c r="D6" s="601"/>
      <c r="E6" s="601"/>
      <c r="F6" s="601"/>
      <c r="G6" s="601"/>
      <c r="H6" s="601"/>
      <c r="I6" s="601"/>
      <c r="J6" s="601"/>
      <c r="K6" s="601"/>
      <c r="L6" s="601"/>
      <c r="M6" s="601"/>
    </row>
    <row r="7" spans="1:13" s="32" customFormat="1" x14ac:dyDescent="0.25">
      <c r="B7" s="602" t="s">
        <v>5503</v>
      </c>
      <c r="C7" s="602"/>
      <c r="D7" s="602"/>
      <c r="E7" s="602"/>
      <c r="F7" s="602"/>
      <c r="G7" s="602"/>
      <c r="H7" s="602"/>
      <c r="I7" s="602"/>
      <c r="J7" s="602"/>
      <c r="K7" s="602"/>
      <c r="L7" s="602"/>
      <c r="M7" s="602"/>
    </row>
    <row r="8" spans="1:13" s="32" customFormat="1" x14ac:dyDescent="0.25">
      <c r="B8" s="173"/>
      <c r="C8" s="173"/>
      <c r="D8" s="173"/>
      <c r="E8" s="173"/>
      <c r="F8" s="173"/>
      <c r="G8" s="173"/>
      <c r="H8" s="173"/>
      <c r="I8" s="173"/>
      <c r="J8" s="173"/>
      <c r="K8" s="173"/>
      <c r="L8" s="173"/>
      <c r="M8" s="173"/>
    </row>
    <row r="9" spans="1:13" s="32" customFormat="1" x14ac:dyDescent="0.25">
      <c r="B9" s="217" t="s">
        <v>5504</v>
      </c>
      <c r="C9" s="218"/>
      <c r="D9" s="218"/>
      <c r="E9" s="173"/>
      <c r="F9" s="173"/>
      <c r="G9" s="173"/>
      <c r="H9" s="173"/>
      <c r="I9" s="173"/>
      <c r="J9" s="173"/>
      <c r="K9" s="173"/>
      <c r="L9" s="173"/>
      <c r="M9" s="173"/>
    </row>
    <row r="10" spans="1:13" s="32" customFormat="1" x14ac:dyDescent="0.25">
      <c r="C10" s="173"/>
      <c r="D10" s="173"/>
      <c r="E10" s="173"/>
      <c r="F10" s="173"/>
      <c r="G10" s="173"/>
      <c r="H10" s="173"/>
    </row>
    <row r="11" spans="1:13" s="32" customFormat="1" x14ac:dyDescent="0.25">
      <c r="B11" s="179" t="s">
        <v>5505</v>
      </c>
      <c r="C11" s="215">
        <f>COUNTA(D14:D50)</f>
        <v>0</v>
      </c>
      <c r="D11" s="173"/>
      <c r="E11" s="173"/>
      <c r="F11" s="173"/>
      <c r="G11" s="173"/>
      <c r="H11" s="173"/>
    </row>
    <row r="12" spans="1:13" s="32" customFormat="1" x14ac:dyDescent="0.25"/>
    <row r="13" spans="1:13" s="182" customFormat="1" ht="52.2" customHeight="1" x14ac:dyDescent="0.25">
      <c r="A13" s="183" t="s">
        <v>1678</v>
      </c>
      <c r="B13" s="184" t="s">
        <v>5289</v>
      </c>
      <c r="C13" s="183" t="s">
        <v>5130</v>
      </c>
      <c r="D13" s="184" t="s">
        <v>5506</v>
      </c>
      <c r="E13" s="184" t="s">
        <v>5461</v>
      </c>
      <c r="F13" s="183" t="s">
        <v>5507</v>
      </c>
      <c r="G13" s="183" t="s">
        <v>5508</v>
      </c>
      <c r="H13" s="183" t="s">
        <v>1686</v>
      </c>
    </row>
    <row r="14" spans="1:13" ht="14.4" customHeight="1" x14ac:dyDescent="0.25"/>
    <row r="56" ht="14.4" customHeight="1" x14ac:dyDescent="0.25"/>
  </sheetData>
  <mergeCells count="3">
    <mergeCell ref="B5:M5"/>
    <mergeCell ref="B6:M6"/>
    <mergeCell ref="B7:M7"/>
  </mergeCells>
  <dataValidations count="1">
    <dataValidation type="list" allowBlank="1" showInputMessage="1" showErrorMessage="1" sqref="B14:C1048576" xr:uid="{F2FA2EAC-E03A-4453-A326-BDD1F9E928DE}">
      <formula1>INDIRECT(A14)</formula1>
    </dataValidation>
  </dataValidations>
  <hyperlinks>
    <hyperlink ref="C1" location="'Accomplishment 2025'!A1" display="Back to Summary of Accomplishments 2025" xr:uid="{B34D8923-BC8E-4E2B-9562-87E90551770C}"/>
  </hyperlink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7617A1DE-F6A3-44C5-A123-6DA1BE3A171D}">
          <x14:formula1>
            <xm:f>Picklists!$A$2:$A$14</xm:f>
          </x14:formula1>
          <xm:sqref>E14 E17:E1048576</xm:sqref>
        </x14:dataValidation>
        <x14:dataValidation type="list" allowBlank="1" showInputMessage="1" showErrorMessage="1" xr:uid="{72D6361D-7BFD-41AD-B179-EDBBB9F5C804}">
          <x14:formula1>
            <xm:f>LGU_Masterlist!$D$2:$T$2</xm:f>
          </x14:formula1>
          <xm:sqref>A14:A1048576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EDCB-B186-44D7-94CC-1C8755E4A9EA}">
  <sheetPr>
    <tabColor theme="3" tint="0.39997558519241921"/>
  </sheetPr>
  <dimension ref="A1:M41"/>
  <sheetViews>
    <sheetView zoomScale="60" zoomScaleNormal="60" workbookViewId="0">
      <selection activeCell="C1" sqref="C1"/>
    </sheetView>
  </sheetViews>
  <sheetFormatPr defaultColWidth="8.88671875" defaultRowHeight="13.8" x14ac:dyDescent="0.25"/>
  <cols>
    <col min="1" max="1" width="4.5546875" style="164" customWidth="1"/>
    <col min="2" max="2" width="52.88671875" style="354" customWidth="1"/>
    <col min="3" max="3" width="52.33203125" style="354" customWidth="1"/>
    <col min="4" max="4" width="47.33203125" style="354" customWidth="1"/>
    <col min="5" max="5" width="37" style="354" customWidth="1"/>
    <col min="6" max="6" width="45.88671875" style="354" customWidth="1"/>
    <col min="7" max="7" width="40" style="354" customWidth="1"/>
    <col min="8" max="8" width="33.6640625" style="354" customWidth="1"/>
    <col min="9" max="9" width="29.109375" style="354" bestFit="1" customWidth="1"/>
    <col min="10" max="10" width="57.33203125" style="354" customWidth="1"/>
    <col min="11" max="11" width="55.6640625" style="354" customWidth="1"/>
    <col min="12" max="13" width="8.88671875" style="172"/>
    <col min="14" max="16384" width="8.88671875" style="164"/>
  </cols>
  <sheetData>
    <row r="1" spans="1:11" s="32" customFormat="1" ht="14.4" x14ac:dyDescent="0.3">
      <c r="A1" s="627" t="s">
        <v>5509</v>
      </c>
      <c r="B1" s="627"/>
      <c r="C1" s="174" t="s">
        <v>1673</v>
      </c>
    </row>
    <row r="2" spans="1:11" s="32" customFormat="1" x14ac:dyDescent="0.25">
      <c r="A2" s="627"/>
      <c r="B2" s="627"/>
      <c r="C2" s="176"/>
      <c r="D2" s="35"/>
    </row>
    <row r="3" spans="1:11" s="32" customFormat="1" x14ac:dyDescent="0.25">
      <c r="A3" s="353"/>
      <c r="B3" s="353"/>
      <c r="C3" s="176"/>
      <c r="D3" s="35"/>
    </row>
    <row r="4" spans="1:11" x14ac:dyDescent="0.25">
      <c r="B4" s="172"/>
      <c r="C4" s="172"/>
      <c r="D4" s="172"/>
      <c r="E4" s="172"/>
      <c r="F4" s="172"/>
      <c r="G4" s="172"/>
      <c r="H4" s="172"/>
      <c r="I4" s="172"/>
      <c r="J4" s="172"/>
      <c r="K4" s="172"/>
    </row>
    <row r="5" spans="1:11" x14ac:dyDescent="0.25">
      <c r="B5" s="628" t="s">
        <v>5510</v>
      </c>
      <c r="C5" s="628"/>
      <c r="D5" s="628"/>
      <c r="F5" s="628" t="s">
        <v>5511</v>
      </c>
      <c r="G5" s="628"/>
      <c r="H5" s="628"/>
      <c r="J5" s="628" t="s">
        <v>5512</v>
      </c>
      <c r="K5" s="628"/>
    </row>
    <row r="6" spans="1:11" x14ac:dyDescent="0.25">
      <c r="B6" s="355" t="s">
        <v>5513</v>
      </c>
      <c r="C6" s="355" t="s">
        <v>5514</v>
      </c>
      <c r="D6" s="355" t="s">
        <v>5515</v>
      </c>
      <c r="F6" s="355" t="s">
        <v>5516</v>
      </c>
      <c r="G6" s="355" t="s">
        <v>5517</v>
      </c>
      <c r="H6" s="355" t="s">
        <v>1686</v>
      </c>
      <c r="J6" s="355" t="s">
        <v>5518</v>
      </c>
      <c r="K6" s="355" t="s">
        <v>1686</v>
      </c>
    </row>
    <row r="41" ht="14.4" customHeight="1" x14ac:dyDescent="0.25"/>
  </sheetData>
  <mergeCells count="4">
    <mergeCell ref="A1:B2"/>
    <mergeCell ref="B5:D5"/>
    <mergeCell ref="F5:H5"/>
    <mergeCell ref="J5:K5"/>
  </mergeCells>
  <hyperlinks>
    <hyperlink ref="C1" location="'Accomplishment 2025'!A1" display="Back to Summary of Accomplishments 2025" xr:uid="{A1F9E31A-F4F8-4FFA-BF81-7FFE4FCD1555}"/>
  </hyperlinks>
  <pageMargins left="0.7" right="0.7" top="0.75" bottom="0.75" header="0.3" footer="0.3"/>
  <pageSetup paperSize="9" orientation="portrait" horizontalDpi="0"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FC7E0-953D-476B-BD73-D6B7E4FBC5E0}">
  <sheetPr codeName="Sheet38">
    <tabColor rgb="FFCC66FF"/>
  </sheetPr>
  <dimension ref="A1:D51"/>
  <sheetViews>
    <sheetView topLeftCell="A4" zoomScale="60" zoomScaleNormal="60" workbookViewId="0">
      <selection activeCell="B10" sqref="B10"/>
    </sheetView>
  </sheetViews>
  <sheetFormatPr defaultRowHeight="14.4" x14ac:dyDescent="0.3"/>
  <cols>
    <col min="1" max="1" width="21.44140625" customWidth="1"/>
    <col min="2" max="2" width="29.44140625" customWidth="1"/>
    <col min="3" max="3" width="53.109375" customWidth="1"/>
    <col min="4" max="4" width="56.44140625" customWidth="1"/>
  </cols>
  <sheetData>
    <row r="1" spans="1:4" ht="28.8" x14ac:dyDescent="0.55000000000000004">
      <c r="A1" s="76" t="s">
        <v>5519</v>
      </c>
      <c r="B1" s="77"/>
      <c r="C1" s="77"/>
      <c r="D1" s="162" t="s">
        <v>1673</v>
      </c>
    </row>
    <row r="2" spans="1:4" x14ac:dyDescent="0.3">
      <c r="A2" s="78" t="s">
        <v>5520</v>
      </c>
      <c r="B2" s="78" t="s">
        <v>5521</v>
      </c>
      <c r="C2" s="78" t="s">
        <v>5522</v>
      </c>
      <c r="D2" s="78" t="s">
        <v>5523</v>
      </c>
    </row>
    <row r="3" spans="1:4" ht="28.8" x14ac:dyDescent="0.3">
      <c r="A3" s="629" t="s">
        <v>1715</v>
      </c>
      <c r="B3" s="80" t="s">
        <v>5347</v>
      </c>
      <c r="C3" s="81" t="s">
        <v>5524</v>
      </c>
    </row>
    <row r="4" spans="1:4" ht="28.8" x14ac:dyDescent="0.3">
      <c r="A4" s="629"/>
      <c r="B4" s="80" t="s">
        <v>5525</v>
      </c>
      <c r="C4" s="81" t="s">
        <v>5526</v>
      </c>
    </row>
    <row r="5" spans="1:4" x14ac:dyDescent="0.3">
      <c r="A5" s="629"/>
      <c r="B5" s="80" t="s">
        <v>5527</v>
      </c>
      <c r="C5" s="81" t="s">
        <v>5528</v>
      </c>
    </row>
    <row r="6" spans="1:4" x14ac:dyDescent="0.3">
      <c r="A6" s="13"/>
    </row>
    <row r="7" spans="1:4" ht="28.8" x14ac:dyDescent="0.3">
      <c r="A7" s="630" t="s">
        <v>5529</v>
      </c>
      <c r="B7" s="82" t="s">
        <v>5530</v>
      </c>
      <c r="C7" s="81" t="s">
        <v>5531</v>
      </c>
      <c r="D7" s="81" t="s">
        <v>5532</v>
      </c>
    </row>
    <row r="8" spans="1:4" ht="43.2" x14ac:dyDescent="0.3">
      <c r="A8" s="630"/>
      <c r="B8" s="82" t="s">
        <v>1736</v>
      </c>
      <c r="C8" s="81" t="s">
        <v>5533</v>
      </c>
      <c r="D8" s="81" t="s">
        <v>5534</v>
      </c>
    </row>
    <row r="9" spans="1:4" ht="28.8" x14ac:dyDescent="0.3">
      <c r="A9" s="630"/>
      <c r="B9" s="82" t="s">
        <v>1737</v>
      </c>
      <c r="C9" s="81" t="s">
        <v>5535</v>
      </c>
      <c r="D9" s="81" t="s">
        <v>5536</v>
      </c>
    </row>
    <row r="10" spans="1:4" ht="43.2" x14ac:dyDescent="0.3">
      <c r="A10" s="630"/>
      <c r="B10" s="82" t="s">
        <v>1738</v>
      </c>
      <c r="C10" s="81" t="s">
        <v>5537</v>
      </c>
      <c r="D10" s="81" t="s">
        <v>5538</v>
      </c>
    </row>
    <row r="11" spans="1:4" x14ac:dyDescent="0.3">
      <c r="A11" s="630"/>
      <c r="B11" s="82" t="s">
        <v>1739</v>
      </c>
      <c r="C11" s="81" t="s">
        <v>5539</v>
      </c>
      <c r="D11" s="81" t="s">
        <v>5540</v>
      </c>
    </row>
    <row r="12" spans="1:4" ht="43.2" x14ac:dyDescent="0.3">
      <c r="A12" s="630"/>
      <c r="B12" s="631" t="s">
        <v>1740</v>
      </c>
      <c r="C12" s="81" t="s">
        <v>5541</v>
      </c>
      <c r="D12" s="632" t="s">
        <v>5542</v>
      </c>
    </row>
    <row r="13" spans="1:4" ht="43.2" x14ac:dyDescent="0.3">
      <c r="A13" s="630"/>
      <c r="B13" s="631"/>
      <c r="C13" s="81" t="s">
        <v>5543</v>
      </c>
      <c r="D13" s="632"/>
    </row>
    <row r="14" spans="1:4" x14ac:dyDescent="0.3">
      <c r="A14" s="83"/>
      <c r="B14" s="84"/>
      <c r="C14" s="85"/>
      <c r="D14" s="85"/>
    </row>
    <row r="15" spans="1:4" ht="28.8" x14ac:dyDescent="0.3">
      <c r="A15" s="630" t="s">
        <v>1749</v>
      </c>
      <c r="B15" s="80" t="s">
        <v>5544</v>
      </c>
      <c r="C15" s="81" t="s">
        <v>5545</v>
      </c>
      <c r="D15" s="81" t="s">
        <v>5546</v>
      </c>
    </row>
    <row r="16" spans="1:4" x14ac:dyDescent="0.3">
      <c r="A16" s="630"/>
      <c r="B16" s="80" t="s">
        <v>5547</v>
      </c>
      <c r="C16" s="81" t="s">
        <v>5548</v>
      </c>
      <c r="D16" s="81" t="s">
        <v>5549</v>
      </c>
    </row>
    <row r="17" spans="1:4" ht="28.8" x14ac:dyDescent="0.3">
      <c r="A17" s="630"/>
      <c r="B17" s="86" t="s">
        <v>5550</v>
      </c>
      <c r="C17" s="81" t="s">
        <v>5551</v>
      </c>
      <c r="D17" s="81" t="s">
        <v>5552</v>
      </c>
    </row>
    <row r="18" spans="1:4" x14ac:dyDescent="0.3">
      <c r="A18" s="630"/>
      <c r="B18" s="80" t="s">
        <v>5553</v>
      </c>
      <c r="C18" s="81" t="s">
        <v>5554</v>
      </c>
      <c r="D18" s="81" t="s">
        <v>5555</v>
      </c>
    </row>
    <row r="19" spans="1:4" ht="28.8" x14ac:dyDescent="0.3">
      <c r="A19" s="630"/>
      <c r="B19" s="80" t="s">
        <v>5556</v>
      </c>
      <c r="C19" s="81" t="s">
        <v>5557</v>
      </c>
      <c r="D19" s="81" t="s">
        <v>5558</v>
      </c>
    </row>
    <row r="20" spans="1:4" x14ac:dyDescent="0.3">
      <c r="A20" s="630"/>
      <c r="B20" s="80" t="s">
        <v>5559</v>
      </c>
      <c r="C20" s="81" t="s">
        <v>5560</v>
      </c>
      <c r="D20" s="81" t="s">
        <v>5561</v>
      </c>
    </row>
    <row r="21" spans="1:4" x14ac:dyDescent="0.3">
      <c r="A21" s="630"/>
      <c r="B21" s="80" t="s">
        <v>5562</v>
      </c>
      <c r="C21" s="81" t="s">
        <v>5563</v>
      </c>
      <c r="D21" s="81" t="s">
        <v>5564</v>
      </c>
    </row>
    <row r="22" spans="1:4" x14ac:dyDescent="0.3">
      <c r="A22" s="83"/>
    </row>
    <row r="23" spans="1:4" x14ac:dyDescent="0.3">
      <c r="A23" s="630" t="s">
        <v>5565</v>
      </c>
      <c r="B23" s="80" t="s">
        <v>1770</v>
      </c>
    </row>
    <row r="24" spans="1:4" x14ac:dyDescent="0.3">
      <c r="A24" s="630"/>
      <c r="B24" s="80" t="s">
        <v>5566</v>
      </c>
    </row>
    <row r="25" spans="1:4" x14ac:dyDescent="0.3">
      <c r="A25" s="630"/>
      <c r="B25" s="80" t="s">
        <v>1757</v>
      </c>
    </row>
    <row r="26" spans="1:4" x14ac:dyDescent="0.3">
      <c r="A26" s="630"/>
      <c r="B26" s="80" t="s">
        <v>5567</v>
      </c>
    </row>
    <row r="27" spans="1:4" x14ac:dyDescent="0.3">
      <c r="A27" s="13"/>
    </row>
    <row r="28" spans="1:4" x14ac:dyDescent="0.3">
      <c r="A28" s="630" t="s">
        <v>5568</v>
      </c>
      <c r="B28" s="80" t="s">
        <v>5569</v>
      </c>
    </row>
    <row r="29" spans="1:4" x14ac:dyDescent="0.3">
      <c r="A29" s="630"/>
      <c r="B29" s="80" t="s">
        <v>5570</v>
      </c>
    </row>
    <row r="30" spans="1:4" x14ac:dyDescent="0.3">
      <c r="A30" s="630"/>
      <c r="B30" s="80" t="s">
        <v>5571</v>
      </c>
    </row>
    <row r="31" spans="1:4" x14ac:dyDescent="0.3">
      <c r="A31" s="630"/>
      <c r="B31" s="80" t="s">
        <v>5572</v>
      </c>
    </row>
    <row r="32" spans="1:4" x14ac:dyDescent="0.3">
      <c r="A32" s="630"/>
      <c r="B32" s="80" t="s">
        <v>5573</v>
      </c>
    </row>
    <row r="33" spans="1:4" x14ac:dyDescent="0.3">
      <c r="A33" s="630"/>
      <c r="B33" s="80" t="s">
        <v>5574</v>
      </c>
    </row>
    <row r="34" spans="1:4" x14ac:dyDescent="0.3">
      <c r="A34" s="87"/>
    </row>
    <row r="35" spans="1:4" x14ac:dyDescent="0.3">
      <c r="A35" s="88"/>
    </row>
    <row r="36" spans="1:4" x14ac:dyDescent="0.3">
      <c r="A36" s="88"/>
    </row>
    <row r="37" spans="1:4" ht="28.8" x14ac:dyDescent="0.55000000000000004">
      <c r="A37" s="76" t="s">
        <v>5575</v>
      </c>
      <c r="B37" s="6"/>
      <c r="C37" s="6"/>
      <c r="D37" s="89"/>
    </row>
    <row r="38" spans="1:4" x14ac:dyDescent="0.3">
      <c r="A38" s="78" t="s">
        <v>5520</v>
      </c>
      <c r="B38" s="78" t="s">
        <v>5521</v>
      </c>
      <c r="C38" s="78" t="s">
        <v>5522</v>
      </c>
      <c r="D38" s="78" t="s">
        <v>5523</v>
      </c>
    </row>
    <row r="39" spans="1:4" x14ac:dyDescent="0.3">
      <c r="A39" s="90"/>
      <c r="B39" s="90"/>
      <c r="C39" s="90"/>
      <c r="D39" s="90"/>
    </row>
    <row r="40" spans="1:4" ht="28.8" x14ac:dyDescent="0.3">
      <c r="A40" s="629" t="s">
        <v>5086</v>
      </c>
      <c r="B40" s="80" t="s">
        <v>5576</v>
      </c>
      <c r="C40" s="81" t="s">
        <v>5577</v>
      </c>
    </row>
    <row r="41" spans="1:4" ht="28.8" x14ac:dyDescent="0.3">
      <c r="A41" s="629"/>
      <c r="B41" s="80" t="s">
        <v>5578</v>
      </c>
      <c r="C41" s="81" t="s">
        <v>5579</v>
      </c>
    </row>
    <row r="42" spans="1:4" ht="28.8" x14ac:dyDescent="0.3">
      <c r="A42" s="629"/>
      <c r="B42" s="80" t="s">
        <v>5525</v>
      </c>
      <c r="C42" s="81" t="s">
        <v>5580</v>
      </c>
    </row>
    <row r="43" spans="1:4" x14ac:dyDescent="0.3">
      <c r="A43" s="629"/>
      <c r="B43" s="80" t="s">
        <v>5581</v>
      </c>
      <c r="C43" s="81" t="s">
        <v>5582</v>
      </c>
    </row>
    <row r="44" spans="1:4" x14ac:dyDescent="0.3">
      <c r="A44" s="90"/>
      <c r="B44" s="90"/>
      <c r="C44" s="91"/>
      <c r="D44" s="90"/>
    </row>
    <row r="45" spans="1:4" x14ac:dyDescent="0.3">
      <c r="A45" s="79" t="s">
        <v>5583</v>
      </c>
      <c r="B45" s="79"/>
      <c r="C45" s="80" t="s">
        <v>5584</v>
      </c>
      <c r="D45" s="80" t="s">
        <v>5585</v>
      </c>
    </row>
    <row r="47" spans="1:4" x14ac:dyDescent="0.3">
      <c r="A47" s="79" t="s">
        <v>5586</v>
      </c>
      <c r="B47" s="79"/>
      <c r="C47" s="80" t="s">
        <v>5587</v>
      </c>
      <c r="D47" s="80" t="s">
        <v>5588</v>
      </c>
    </row>
    <row r="49" spans="1:4" x14ac:dyDescent="0.3">
      <c r="A49" s="79" t="s">
        <v>5589</v>
      </c>
      <c r="B49" s="79"/>
      <c r="C49" s="80" t="s">
        <v>5590</v>
      </c>
      <c r="D49" s="80" t="s">
        <v>5591</v>
      </c>
    </row>
    <row r="51" spans="1:4" x14ac:dyDescent="0.3">
      <c r="A51" s="79" t="s">
        <v>5081</v>
      </c>
      <c r="B51" s="79"/>
      <c r="C51" s="80" t="s">
        <v>5592</v>
      </c>
      <c r="D51" s="80" t="s">
        <v>5593</v>
      </c>
    </row>
  </sheetData>
  <mergeCells count="8">
    <mergeCell ref="A40:A43"/>
    <mergeCell ref="A3:A5"/>
    <mergeCell ref="A7:A13"/>
    <mergeCell ref="B12:B13"/>
    <mergeCell ref="D12:D13"/>
    <mergeCell ref="A15:A21"/>
    <mergeCell ref="A23:A26"/>
    <mergeCell ref="A28:A33"/>
  </mergeCells>
  <hyperlinks>
    <hyperlink ref="D1" location="'Accomplishment 2025'!A1" display="Back to Summary of Accomplishments 2025" xr:uid="{8019E0F7-878B-4111-8E55-20FDCB6FB4D1}"/>
  </hyperlinks>
  <pageMargins left="0.7" right="0.7" top="0.75" bottom="0.75" header="0.3" footer="0.3"/>
  <pageSetup paperSize="9" orientation="portrait" horizontalDpi="0" verticalDpi="0"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463F-F1C3-438E-B001-C825F2ED219B}">
  <sheetPr codeName="Sheet39">
    <tabColor rgb="FFCC66FF"/>
  </sheetPr>
  <dimension ref="A1:E600"/>
  <sheetViews>
    <sheetView topLeftCell="A8" zoomScale="60" zoomScaleNormal="60" workbookViewId="0">
      <selection activeCell="A8" sqref="A8"/>
    </sheetView>
  </sheetViews>
  <sheetFormatPr defaultRowHeight="14.4" x14ac:dyDescent="0.3"/>
  <cols>
    <col min="1" max="1" width="3.5546875" style="29" customWidth="1"/>
    <col min="2" max="2" width="97.6640625" style="29" customWidth="1"/>
    <col min="3" max="3" width="4.33203125" style="29" customWidth="1"/>
    <col min="4" max="4" width="35.5546875" style="30" customWidth="1"/>
    <col min="5" max="5" width="52.88671875" bestFit="1" customWidth="1"/>
  </cols>
  <sheetData>
    <row r="1" spans="1:5" ht="15.6" x14ac:dyDescent="0.3">
      <c r="A1" s="633" t="s">
        <v>5594</v>
      </c>
      <c r="B1" s="633"/>
      <c r="C1" s="92"/>
      <c r="D1" s="93" t="s">
        <v>5595</v>
      </c>
      <c r="E1" s="162" t="s">
        <v>1673</v>
      </c>
    </row>
    <row r="2" spans="1:5" x14ac:dyDescent="0.3">
      <c r="A2" s="94"/>
      <c r="B2" s="94"/>
      <c r="C2" s="94"/>
      <c r="D2" s="95"/>
    </row>
    <row r="3" spans="1:5" s="29" customFormat="1" ht="13.2" x14ac:dyDescent="0.25">
      <c r="A3" s="96" t="s">
        <v>5596</v>
      </c>
      <c r="B3" s="97"/>
      <c r="C3" s="97"/>
      <c r="D3" s="98"/>
    </row>
    <row r="4" spans="1:5" s="29" customFormat="1" ht="39.6" x14ac:dyDescent="0.25">
      <c r="A4" s="99"/>
      <c r="B4" s="100" t="s">
        <v>5597</v>
      </c>
      <c r="C4" s="100"/>
      <c r="D4" s="75" t="s">
        <v>5598</v>
      </c>
    </row>
    <row r="5" spans="1:5" s="29" customFormat="1" ht="46.5" customHeight="1" x14ac:dyDescent="0.25">
      <c r="A5" s="99"/>
      <c r="B5" s="100" t="s">
        <v>5599</v>
      </c>
      <c r="C5" s="100"/>
      <c r="D5" s="75" t="s">
        <v>5600</v>
      </c>
    </row>
    <row r="6" spans="1:5" s="29" customFormat="1" ht="22.5" customHeight="1" x14ac:dyDescent="0.25">
      <c r="A6" s="99"/>
      <c r="B6" s="100" t="s">
        <v>5601</v>
      </c>
      <c r="C6" s="100"/>
      <c r="D6" s="75"/>
    </row>
    <row r="7" spans="1:5" s="29" customFormat="1" ht="13.2" x14ac:dyDescent="0.25">
      <c r="A7" s="101"/>
      <c r="B7" s="102" t="s">
        <v>5602</v>
      </c>
      <c r="C7" s="102"/>
      <c r="D7" s="103"/>
    </row>
    <row r="8" spans="1:5" s="29" customFormat="1" ht="66" x14ac:dyDescent="0.25">
      <c r="A8" s="101"/>
      <c r="B8" s="104" t="s">
        <v>5603</v>
      </c>
      <c r="C8" s="104"/>
      <c r="D8" s="33" t="s">
        <v>5604</v>
      </c>
    </row>
    <row r="9" spans="1:5" s="29" customFormat="1" ht="13.2" x14ac:dyDescent="0.25">
      <c r="A9" s="101"/>
      <c r="B9" s="104"/>
      <c r="C9" s="104"/>
      <c r="D9" s="33"/>
    </row>
    <row r="10" spans="1:5" s="29" customFormat="1" ht="13.2" x14ac:dyDescent="0.25">
      <c r="A10" s="96" t="s">
        <v>5605</v>
      </c>
      <c r="B10" s="97"/>
      <c r="C10" s="97"/>
      <c r="D10" s="98"/>
    </row>
    <row r="11" spans="1:5" s="29" customFormat="1" ht="13.2" x14ac:dyDescent="0.25">
      <c r="A11" s="105"/>
      <c r="B11" s="106"/>
      <c r="C11" s="106"/>
      <c r="D11" s="107"/>
    </row>
    <row r="12" spans="1:5" s="29" customFormat="1" ht="52.8" x14ac:dyDescent="0.25">
      <c r="A12" s="94"/>
      <c r="B12" s="108" t="s">
        <v>5606</v>
      </c>
      <c r="C12" s="108"/>
      <c r="D12" s="75" t="s">
        <v>5607</v>
      </c>
    </row>
    <row r="13" spans="1:5" s="29" customFormat="1" ht="13.2" x14ac:dyDescent="0.25">
      <c r="A13" s="94"/>
      <c r="B13" s="108"/>
      <c r="C13" s="108"/>
      <c r="D13" s="75"/>
    </row>
    <row r="14" spans="1:5" s="29" customFormat="1" ht="13.2" x14ac:dyDescent="0.25">
      <c r="A14" s="101"/>
      <c r="B14" s="102" t="s">
        <v>5608</v>
      </c>
      <c r="C14" s="102"/>
      <c r="D14" s="109"/>
    </row>
    <row r="15" spans="1:5" s="29" customFormat="1" ht="66" x14ac:dyDescent="0.25">
      <c r="A15" s="101"/>
      <c r="B15" s="110" t="s">
        <v>5609</v>
      </c>
      <c r="C15" s="110"/>
      <c r="D15" s="33" t="s">
        <v>5604</v>
      </c>
    </row>
    <row r="16" spans="1:5" s="29" customFormat="1" ht="13.2" x14ac:dyDescent="0.25">
      <c r="A16" s="101"/>
      <c r="B16" s="110"/>
      <c r="C16" s="110"/>
      <c r="D16" s="33"/>
    </row>
    <row r="17" spans="1:4" s="29" customFormat="1" ht="13.2" x14ac:dyDescent="0.25">
      <c r="A17" s="101"/>
      <c r="B17" s="102" t="s">
        <v>5610</v>
      </c>
      <c r="C17" s="102"/>
      <c r="D17" s="109"/>
    </row>
    <row r="18" spans="1:4" s="29" customFormat="1" ht="54" customHeight="1" x14ac:dyDescent="0.25">
      <c r="A18" s="101"/>
      <c r="B18" s="111" t="s">
        <v>5611</v>
      </c>
      <c r="C18" s="111"/>
      <c r="D18" s="75" t="s">
        <v>5600</v>
      </c>
    </row>
    <row r="19" spans="1:4" s="29" customFormat="1" ht="13.5" customHeight="1" x14ac:dyDescent="0.25">
      <c r="A19" s="101"/>
      <c r="B19" s="111"/>
      <c r="C19" s="111"/>
      <c r="D19" s="75"/>
    </row>
    <row r="20" spans="1:4" s="29" customFormat="1" ht="13.5" customHeight="1" x14ac:dyDescent="0.25">
      <c r="A20" s="101"/>
      <c r="B20" s="102" t="s">
        <v>5612</v>
      </c>
      <c r="C20" s="102"/>
      <c r="D20" s="112"/>
    </row>
    <row r="21" spans="1:4" s="29" customFormat="1" ht="39.6" x14ac:dyDescent="0.25">
      <c r="A21" s="101"/>
      <c r="B21" s="111" t="s">
        <v>5613</v>
      </c>
      <c r="C21" s="111"/>
      <c r="D21" s="75" t="s">
        <v>5607</v>
      </c>
    </row>
    <row r="22" spans="1:4" s="29" customFormat="1" ht="13.2" x14ac:dyDescent="0.25">
      <c r="A22" s="101"/>
      <c r="B22" s="111"/>
      <c r="C22" s="111"/>
      <c r="D22" s="75"/>
    </row>
    <row r="23" spans="1:4" s="29" customFormat="1" ht="13.2" x14ac:dyDescent="0.25">
      <c r="A23" s="101"/>
      <c r="B23" s="102" t="s">
        <v>5614</v>
      </c>
      <c r="C23" s="102"/>
      <c r="D23" s="112"/>
    </row>
    <row r="24" spans="1:4" s="29" customFormat="1" ht="81.599999999999994" customHeight="1" x14ac:dyDescent="0.25">
      <c r="A24" s="101"/>
      <c r="B24" s="111" t="s">
        <v>5615</v>
      </c>
      <c r="C24" s="111"/>
      <c r="D24" s="75" t="s">
        <v>5600</v>
      </c>
    </row>
    <row r="25" spans="1:4" s="29" customFormat="1" ht="12.75" customHeight="1" x14ac:dyDescent="0.25">
      <c r="A25" s="101"/>
      <c r="B25" s="111"/>
      <c r="C25" s="111"/>
      <c r="D25" s="75"/>
    </row>
    <row r="26" spans="1:4" s="29" customFormat="1" ht="13.2" x14ac:dyDescent="0.25">
      <c r="A26" s="113" t="s">
        <v>5616</v>
      </c>
      <c r="B26" s="97"/>
      <c r="C26" s="97"/>
      <c r="D26" s="98"/>
    </row>
    <row r="27" spans="1:4" s="29" customFormat="1" ht="13.2" x14ac:dyDescent="0.25">
      <c r="A27" s="114"/>
      <c r="B27" s="106"/>
      <c r="C27" s="106"/>
      <c r="D27" s="107"/>
    </row>
    <row r="28" spans="1:4" s="29" customFormat="1" ht="13.2" x14ac:dyDescent="0.25">
      <c r="A28" s="115"/>
      <c r="B28" s="116" t="s">
        <v>5617</v>
      </c>
      <c r="C28" s="116"/>
      <c r="D28" s="103"/>
    </row>
    <row r="29" spans="1:4" s="29" customFormat="1" ht="52.8" x14ac:dyDescent="0.25">
      <c r="A29" s="115"/>
      <c r="B29" s="117" t="s">
        <v>5618</v>
      </c>
      <c r="C29" s="117"/>
      <c r="D29" s="75" t="s">
        <v>5619</v>
      </c>
    </row>
    <row r="30" spans="1:4" s="29" customFormat="1" ht="13.2" x14ac:dyDescent="0.25">
      <c r="A30" s="115"/>
      <c r="B30" s="117"/>
      <c r="C30" s="117"/>
      <c r="D30" s="75"/>
    </row>
    <row r="31" spans="1:4" s="29" customFormat="1" ht="13.2" x14ac:dyDescent="0.25">
      <c r="A31" s="101"/>
      <c r="B31" s="116" t="s">
        <v>5178</v>
      </c>
      <c r="C31" s="116"/>
      <c r="D31" s="103"/>
    </row>
    <row r="32" spans="1:4" s="29" customFormat="1" ht="13.2" x14ac:dyDescent="0.25">
      <c r="A32" s="110"/>
      <c r="B32" s="118"/>
      <c r="C32" s="118"/>
      <c r="D32" s="30"/>
    </row>
    <row r="33" spans="1:4" s="29" customFormat="1" ht="13.2" x14ac:dyDescent="0.25">
      <c r="A33" s="101"/>
      <c r="B33" s="119" t="s">
        <v>5620</v>
      </c>
      <c r="C33" s="119"/>
      <c r="D33" s="30"/>
    </row>
    <row r="34" spans="1:4" s="29" customFormat="1" ht="66" x14ac:dyDescent="0.25">
      <c r="A34" s="101"/>
      <c r="B34" s="120" t="s">
        <v>5621</v>
      </c>
      <c r="C34" s="120"/>
      <c r="D34" s="75" t="s">
        <v>5607</v>
      </c>
    </row>
    <row r="35" spans="1:4" s="29" customFormat="1" ht="13.2" x14ac:dyDescent="0.25">
      <c r="A35" s="101"/>
      <c r="B35" s="120"/>
      <c r="C35" s="120"/>
      <c r="D35" s="75"/>
    </row>
    <row r="36" spans="1:4" s="29" customFormat="1" ht="13.2" x14ac:dyDescent="0.25">
      <c r="A36" s="101"/>
      <c r="B36" s="121" t="s">
        <v>5622</v>
      </c>
      <c r="C36" s="121"/>
      <c r="D36" s="75"/>
    </row>
    <row r="37" spans="1:4" s="29" customFormat="1" ht="60.75" customHeight="1" x14ac:dyDescent="0.25">
      <c r="A37" s="101"/>
      <c r="B37" s="111" t="s">
        <v>5623</v>
      </c>
      <c r="C37" s="111"/>
      <c r="D37" s="75" t="s">
        <v>5624</v>
      </c>
    </row>
    <row r="38" spans="1:4" s="29" customFormat="1" ht="12" customHeight="1" x14ac:dyDescent="0.25">
      <c r="A38" s="101"/>
      <c r="B38" s="111"/>
      <c r="C38" s="111"/>
      <c r="D38" s="75"/>
    </row>
    <row r="39" spans="1:4" s="29" customFormat="1" ht="12" customHeight="1" x14ac:dyDescent="0.25">
      <c r="A39" s="96" t="s">
        <v>5625</v>
      </c>
      <c r="B39" s="97"/>
      <c r="C39" s="97"/>
      <c r="D39" s="98"/>
    </row>
    <row r="40" spans="1:4" s="29" customFormat="1" ht="13.2" x14ac:dyDescent="0.25">
      <c r="A40" s="105"/>
      <c r="B40" s="106"/>
      <c r="C40" s="106"/>
      <c r="D40" s="107"/>
    </row>
    <row r="41" spans="1:4" s="29" customFormat="1" ht="13.2" x14ac:dyDescent="0.25">
      <c r="A41" s="122"/>
      <c r="B41" s="123" t="s">
        <v>5626</v>
      </c>
      <c r="C41" s="123"/>
      <c r="D41" s="112"/>
    </row>
    <row r="42" spans="1:4" s="29" customFormat="1" ht="30" customHeight="1" x14ac:dyDescent="0.25">
      <c r="A42" s="122"/>
      <c r="B42" s="108" t="s">
        <v>5627</v>
      </c>
      <c r="C42" s="108"/>
      <c r="D42" s="75" t="s">
        <v>5607</v>
      </c>
    </row>
    <row r="43" spans="1:4" s="29" customFormat="1" ht="15" customHeight="1" x14ac:dyDescent="0.25">
      <c r="A43" s="122"/>
      <c r="B43" s="108"/>
      <c r="C43" s="108"/>
      <c r="D43" s="75"/>
    </row>
    <row r="44" spans="1:4" s="29" customFormat="1" ht="13.2" x14ac:dyDescent="0.25">
      <c r="A44" s="122"/>
      <c r="B44" s="123" t="s">
        <v>5628</v>
      </c>
      <c r="C44" s="123"/>
      <c r="D44" s="112"/>
    </row>
    <row r="45" spans="1:4" s="29" customFormat="1" ht="53.25" customHeight="1" x14ac:dyDescent="0.25">
      <c r="A45" s="122"/>
      <c r="B45" s="120" t="s">
        <v>5629</v>
      </c>
      <c r="C45" s="120"/>
      <c r="D45" s="75" t="s">
        <v>5607</v>
      </c>
    </row>
    <row r="46" spans="1:4" s="29" customFormat="1" ht="13.5" customHeight="1" x14ac:dyDescent="0.25">
      <c r="A46" s="122"/>
      <c r="B46" s="120"/>
      <c r="C46" s="120"/>
      <c r="D46" s="75"/>
    </row>
    <row r="47" spans="1:4" s="29" customFormat="1" ht="13.2" x14ac:dyDescent="0.25">
      <c r="A47" s="96" t="s">
        <v>5630</v>
      </c>
      <c r="B47" s="97"/>
      <c r="C47" s="97"/>
      <c r="D47" s="98"/>
    </row>
    <row r="48" spans="1:4" s="29" customFormat="1" ht="13.2" x14ac:dyDescent="0.25">
      <c r="A48" s="105"/>
      <c r="B48" s="106"/>
      <c r="C48" s="106"/>
      <c r="D48" s="107"/>
    </row>
    <row r="49" spans="1:4" s="29" customFormat="1" ht="145.19999999999999" x14ac:dyDescent="0.25">
      <c r="A49" s="124"/>
      <c r="B49" s="111" t="s">
        <v>5631</v>
      </c>
      <c r="C49" s="111"/>
      <c r="D49" s="75" t="s">
        <v>5632</v>
      </c>
    </row>
    <row r="50" spans="1:4" s="29" customFormat="1" ht="13.2" x14ac:dyDescent="0.25">
      <c r="A50" s="124"/>
      <c r="B50" s="111"/>
      <c r="C50" s="111"/>
      <c r="D50" s="75"/>
    </row>
    <row r="51" spans="1:4" s="29" customFormat="1" ht="13.2" x14ac:dyDescent="0.25">
      <c r="A51" s="96" t="s">
        <v>5633</v>
      </c>
      <c r="B51" s="97"/>
      <c r="C51" s="97"/>
      <c r="D51" s="98"/>
    </row>
    <row r="52" spans="1:4" s="29" customFormat="1" ht="39.6" x14ac:dyDescent="0.25">
      <c r="A52" s="101"/>
      <c r="B52" s="100" t="s">
        <v>5634</v>
      </c>
      <c r="C52" s="100"/>
      <c r="D52" s="75" t="s">
        <v>5635</v>
      </c>
    </row>
    <row r="53" spans="1:4" s="29" customFormat="1" ht="26.4" x14ac:dyDescent="0.25">
      <c r="A53" s="101"/>
      <c r="B53" s="108" t="s">
        <v>5636</v>
      </c>
      <c r="C53" s="108"/>
      <c r="D53" s="634" t="s">
        <v>5607</v>
      </c>
    </row>
    <row r="54" spans="1:4" s="29" customFormat="1" ht="79.2" x14ac:dyDescent="0.25">
      <c r="A54" s="94"/>
      <c r="B54" s="108" t="s">
        <v>5637</v>
      </c>
      <c r="C54" s="108"/>
      <c r="D54" s="634"/>
    </row>
    <row r="55" spans="1:4" s="29" customFormat="1" ht="13.2" x14ac:dyDescent="0.25">
      <c r="A55" s="94"/>
      <c r="B55" s="108"/>
      <c r="C55" s="108"/>
      <c r="D55" s="75"/>
    </row>
    <row r="56" spans="1:4" s="29" customFormat="1" ht="13.2" x14ac:dyDescent="0.25">
      <c r="A56" s="96" t="s">
        <v>5638</v>
      </c>
      <c r="B56" s="97"/>
      <c r="C56" s="97"/>
      <c r="D56" s="98"/>
    </row>
    <row r="57" spans="1:4" s="29" customFormat="1" ht="13.2" x14ac:dyDescent="0.25">
      <c r="A57" s="105"/>
      <c r="B57" s="106"/>
      <c r="C57" s="106"/>
      <c r="D57" s="107"/>
    </row>
    <row r="58" spans="1:4" s="29" customFormat="1" ht="13.2" x14ac:dyDescent="0.25">
      <c r="A58" s="94"/>
      <c r="B58" s="123" t="s">
        <v>5639</v>
      </c>
      <c r="C58" s="123"/>
      <c r="D58" s="123"/>
    </row>
    <row r="59" spans="1:4" s="29" customFormat="1" ht="39.6" x14ac:dyDescent="0.25">
      <c r="A59" s="94"/>
      <c r="B59" s="108" t="s">
        <v>5640</v>
      </c>
      <c r="C59" s="108"/>
      <c r="D59" s="125" t="s">
        <v>5607</v>
      </c>
    </row>
    <row r="60" spans="1:4" s="29" customFormat="1" ht="13.2" x14ac:dyDescent="0.25">
      <c r="A60" s="94"/>
      <c r="B60" s="108"/>
      <c r="C60" s="108"/>
      <c r="D60" s="125"/>
    </row>
    <row r="61" spans="1:4" x14ac:dyDescent="0.3">
      <c r="A61" s="94"/>
      <c r="B61" s="123" t="s">
        <v>5641</v>
      </c>
      <c r="C61" s="123"/>
      <c r="D61" s="123"/>
    </row>
    <row r="62" spans="1:4" ht="40.200000000000003" x14ac:dyDescent="0.3">
      <c r="A62" s="94"/>
      <c r="B62" s="126" t="s">
        <v>5642</v>
      </c>
      <c r="C62" s="126"/>
      <c r="D62" s="75" t="s">
        <v>5643</v>
      </c>
    </row>
    <row r="63" spans="1:4" x14ac:dyDescent="0.3">
      <c r="A63" s="94"/>
      <c r="B63" s="126"/>
      <c r="C63" s="126"/>
      <c r="D63" s="75"/>
    </row>
    <row r="64" spans="1:4" s="29" customFormat="1" ht="13.2" x14ac:dyDescent="0.25">
      <c r="A64" s="96" t="s">
        <v>5644</v>
      </c>
      <c r="B64" s="97"/>
      <c r="C64" s="97"/>
      <c r="D64" s="98"/>
    </row>
    <row r="65" spans="1:4" s="29" customFormat="1" ht="13.2" x14ac:dyDescent="0.25">
      <c r="A65" s="105"/>
      <c r="B65" s="106"/>
      <c r="C65" s="106"/>
      <c r="D65" s="107"/>
    </row>
    <row r="66" spans="1:4" s="29" customFormat="1" ht="13.2" x14ac:dyDescent="0.25">
      <c r="A66" s="99"/>
      <c r="B66" s="123" t="s">
        <v>5645</v>
      </c>
      <c r="C66" s="123"/>
      <c r="D66" s="123"/>
    </row>
    <row r="67" spans="1:4" s="29" customFormat="1" ht="13.2" x14ac:dyDescent="0.25">
      <c r="A67" s="31"/>
      <c r="B67" s="127"/>
      <c r="C67" s="127"/>
      <c r="D67" s="127"/>
    </row>
    <row r="68" spans="1:4" s="29" customFormat="1" ht="37.5" customHeight="1" x14ac:dyDescent="0.25">
      <c r="B68" s="125" t="s">
        <v>5646</v>
      </c>
      <c r="C68" s="125"/>
      <c r="D68" s="75" t="s">
        <v>5647</v>
      </c>
    </row>
    <row r="69" spans="1:4" s="29" customFormat="1" ht="12" customHeight="1" x14ac:dyDescent="0.25">
      <c r="B69" s="125"/>
      <c r="C69" s="125"/>
      <c r="D69" s="75"/>
    </row>
    <row r="70" spans="1:4" s="29" customFormat="1" ht="12" customHeight="1" x14ac:dyDescent="0.25">
      <c r="A70" s="128"/>
      <c r="B70" s="129" t="s">
        <v>5648</v>
      </c>
      <c r="C70" s="129"/>
      <c r="D70" s="112"/>
    </row>
    <row r="71" spans="1:4" s="29" customFormat="1" ht="12" customHeight="1" x14ac:dyDescent="0.25">
      <c r="A71" s="130"/>
      <c r="B71" s="131"/>
      <c r="C71" s="131"/>
      <c r="D71" s="75"/>
    </row>
    <row r="72" spans="1:4" s="29" customFormat="1" ht="66" x14ac:dyDescent="0.25">
      <c r="A72" s="101"/>
      <c r="B72" s="111" t="s">
        <v>5649</v>
      </c>
      <c r="C72" s="111"/>
      <c r="D72" s="75" t="s">
        <v>5650</v>
      </c>
    </row>
    <row r="73" spans="1:4" s="29" customFormat="1" ht="13.2" x14ac:dyDescent="0.25">
      <c r="A73" s="101"/>
      <c r="B73" s="111"/>
      <c r="C73" s="111"/>
      <c r="D73" s="75"/>
    </row>
    <row r="74" spans="1:4" s="29" customFormat="1" ht="52.8" x14ac:dyDescent="0.25">
      <c r="A74" s="101"/>
      <c r="B74" s="130" t="s">
        <v>5651</v>
      </c>
      <c r="C74" s="130"/>
      <c r="D74" s="75" t="s">
        <v>5652</v>
      </c>
    </row>
    <row r="75" spans="1:4" s="29" customFormat="1" ht="13.2" x14ac:dyDescent="0.25">
      <c r="A75" s="101"/>
      <c r="B75" s="130"/>
      <c r="C75" s="130"/>
      <c r="D75" s="75"/>
    </row>
    <row r="76" spans="1:4" s="29" customFormat="1" ht="26.4" x14ac:dyDescent="0.25">
      <c r="A76" s="101"/>
      <c r="B76" s="130" t="s">
        <v>5653</v>
      </c>
      <c r="C76" s="130"/>
      <c r="D76" s="75" t="s">
        <v>5607</v>
      </c>
    </row>
    <row r="77" spans="1:4" s="29" customFormat="1" ht="13.2" x14ac:dyDescent="0.25">
      <c r="A77" s="101"/>
      <c r="B77" s="130"/>
      <c r="C77" s="130"/>
      <c r="D77" s="75"/>
    </row>
    <row r="78" spans="1:4" s="29" customFormat="1" ht="39.6" x14ac:dyDescent="0.25">
      <c r="A78" s="101"/>
      <c r="B78" s="130" t="s">
        <v>5654</v>
      </c>
      <c r="C78" s="130"/>
      <c r="D78" s="75" t="s">
        <v>5647</v>
      </c>
    </row>
    <row r="79" spans="1:4" s="29" customFormat="1" ht="13.2" x14ac:dyDescent="0.25">
      <c r="A79" s="101"/>
      <c r="B79" s="130"/>
      <c r="C79" s="130"/>
      <c r="D79" s="75"/>
    </row>
    <row r="80" spans="1:4" s="29" customFormat="1" ht="13.2" x14ac:dyDescent="0.25">
      <c r="A80" s="101"/>
      <c r="B80" s="129" t="s">
        <v>5655</v>
      </c>
      <c r="C80" s="129"/>
      <c r="D80" s="112"/>
    </row>
    <row r="81" spans="1:4" s="29" customFormat="1" ht="84" customHeight="1" x14ac:dyDescent="0.25">
      <c r="A81" s="101"/>
      <c r="B81" s="111" t="s">
        <v>5656</v>
      </c>
      <c r="C81" s="111"/>
      <c r="D81" s="75" t="s">
        <v>5657</v>
      </c>
    </row>
    <row r="82" spans="1:4" s="29" customFormat="1" ht="13.35" customHeight="1" x14ac:dyDescent="0.25">
      <c r="A82" s="101"/>
      <c r="B82" s="132" t="s">
        <v>5658</v>
      </c>
      <c r="C82" s="132"/>
      <c r="D82" s="635" t="s">
        <v>5650</v>
      </c>
    </row>
    <row r="83" spans="1:4" s="29" customFormat="1" ht="60.75" customHeight="1" x14ac:dyDescent="0.25">
      <c r="A83" s="101"/>
      <c r="B83" s="100" t="s">
        <v>5659</v>
      </c>
      <c r="C83" s="104"/>
      <c r="D83" s="635"/>
    </row>
    <row r="84" spans="1:4" s="29" customFormat="1" ht="6.75" customHeight="1" x14ac:dyDescent="0.25">
      <c r="A84" s="101"/>
      <c r="B84" s="104"/>
      <c r="C84" s="104"/>
      <c r="D84" s="635"/>
    </row>
    <row r="85" spans="1:4" s="29" customFormat="1" ht="13.2" x14ac:dyDescent="0.25">
      <c r="A85" s="101"/>
      <c r="B85" s="134" t="s">
        <v>5660</v>
      </c>
      <c r="C85" s="134"/>
      <c r="D85" s="635"/>
    </row>
    <row r="86" spans="1:4" s="29" customFormat="1" ht="31.5" customHeight="1" x14ac:dyDescent="0.25">
      <c r="A86" s="101"/>
      <c r="B86" s="100" t="s">
        <v>5661</v>
      </c>
      <c r="C86" s="104"/>
      <c r="D86" s="635"/>
    </row>
    <row r="87" spans="1:4" s="29" customFormat="1" ht="7.5" customHeight="1" x14ac:dyDescent="0.25">
      <c r="A87" s="101"/>
      <c r="B87" s="104"/>
      <c r="C87" s="104"/>
      <c r="D87" s="635"/>
    </row>
    <row r="88" spans="1:4" s="29" customFormat="1" ht="13.2" x14ac:dyDescent="0.25">
      <c r="A88" s="101"/>
      <c r="B88" s="134" t="s">
        <v>5662</v>
      </c>
      <c r="C88" s="134"/>
      <c r="D88" s="635"/>
    </row>
    <row r="89" spans="1:4" s="29" customFormat="1" ht="30" customHeight="1" x14ac:dyDescent="0.25">
      <c r="A89" s="101"/>
      <c r="B89" s="100" t="s">
        <v>5663</v>
      </c>
      <c r="C89" s="110"/>
      <c r="D89" s="635"/>
    </row>
    <row r="90" spans="1:4" s="29" customFormat="1" ht="6.75" customHeight="1" x14ac:dyDescent="0.25">
      <c r="A90" s="101"/>
      <c r="B90" s="110"/>
      <c r="C90" s="110"/>
      <c r="D90" s="133"/>
    </row>
    <row r="91" spans="1:4" s="29" customFormat="1" ht="13.2" x14ac:dyDescent="0.25">
      <c r="A91" s="101"/>
      <c r="B91" s="102" t="s">
        <v>5664</v>
      </c>
      <c r="C91" s="102"/>
      <c r="D91" s="103"/>
    </row>
    <row r="92" spans="1:4" s="29" customFormat="1" ht="66" x14ac:dyDescent="0.25">
      <c r="A92" s="101"/>
      <c r="B92" s="100" t="s">
        <v>5609</v>
      </c>
      <c r="C92" s="110"/>
      <c r="D92" s="33" t="s">
        <v>5604</v>
      </c>
    </row>
    <row r="93" spans="1:4" s="4" customFormat="1" x14ac:dyDescent="0.3">
      <c r="A93" s="94"/>
      <c r="B93" s="102" t="s">
        <v>5665</v>
      </c>
      <c r="C93" s="102"/>
      <c r="D93" s="103"/>
    </row>
    <row r="94" spans="1:4" s="4" customFormat="1" ht="36.75" customHeight="1" x14ac:dyDescent="0.3">
      <c r="A94" s="94"/>
      <c r="B94" s="135" t="s">
        <v>5666</v>
      </c>
      <c r="C94" s="136"/>
      <c r="D94" s="95"/>
    </row>
    <row r="95" spans="1:4" s="4" customFormat="1" x14ac:dyDescent="0.3">
      <c r="A95" s="94"/>
      <c r="B95" s="94"/>
      <c r="C95" s="94"/>
      <c r="D95" s="95"/>
    </row>
    <row r="96" spans="1:4" s="4" customFormat="1" x14ac:dyDescent="0.3">
      <c r="A96" s="94"/>
      <c r="B96" s="94"/>
      <c r="C96" s="94"/>
      <c r="D96" s="95"/>
    </row>
    <row r="97" spans="1:4" s="4" customFormat="1" x14ac:dyDescent="0.3">
      <c r="A97" s="94"/>
      <c r="B97" s="137" t="s">
        <v>5667</v>
      </c>
      <c r="C97" s="94"/>
      <c r="D97" s="95"/>
    </row>
    <row r="98" spans="1:4" s="4" customFormat="1" x14ac:dyDescent="0.3">
      <c r="A98" s="94"/>
      <c r="B98" s="138" t="s">
        <v>5602</v>
      </c>
      <c r="C98" s="94"/>
      <c r="D98" s="95"/>
    </row>
    <row r="99" spans="1:4" s="4" customFormat="1" x14ac:dyDescent="0.3">
      <c r="A99" s="94"/>
      <c r="B99" s="138" t="s">
        <v>5608</v>
      </c>
      <c r="C99" s="94"/>
      <c r="D99" s="95"/>
    </row>
    <row r="100" spans="1:4" s="4" customFormat="1" x14ac:dyDescent="0.3">
      <c r="A100" s="94"/>
      <c r="B100" s="138" t="s">
        <v>5610</v>
      </c>
      <c r="C100" s="94"/>
      <c r="D100" s="95"/>
    </row>
    <row r="101" spans="1:4" s="4" customFormat="1" x14ac:dyDescent="0.3">
      <c r="A101" s="94"/>
      <c r="B101" s="138" t="s">
        <v>5612</v>
      </c>
      <c r="C101" s="94"/>
      <c r="D101" s="95"/>
    </row>
    <row r="102" spans="1:4" s="4" customFormat="1" x14ac:dyDescent="0.3">
      <c r="A102" s="94"/>
      <c r="B102" s="138" t="s">
        <v>5614</v>
      </c>
      <c r="C102" s="94"/>
      <c r="D102" s="95"/>
    </row>
    <row r="103" spans="1:4" s="4" customFormat="1" x14ac:dyDescent="0.3">
      <c r="A103" s="94"/>
      <c r="B103" s="138" t="s">
        <v>5617</v>
      </c>
      <c r="C103" s="94"/>
      <c r="D103" s="95"/>
    </row>
    <row r="104" spans="1:4" s="4" customFormat="1" x14ac:dyDescent="0.3">
      <c r="A104" s="94"/>
      <c r="B104" s="138" t="s">
        <v>5178</v>
      </c>
      <c r="C104" s="94"/>
      <c r="D104" s="95"/>
    </row>
    <row r="105" spans="1:4" s="4" customFormat="1" x14ac:dyDescent="0.3">
      <c r="A105" s="94"/>
      <c r="B105" s="138" t="s">
        <v>5622</v>
      </c>
      <c r="C105" s="94"/>
      <c r="D105" s="95"/>
    </row>
    <row r="106" spans="1:4" s="4" customFormat="1" x14ac:dyDescent="0.3">
      <c r="A106" s="94"/>
      <c r="B106" s="138" t="s">
        <v>5626</v>
      </c>
      <c r="C106" s="94"/>
      <c r="D106" s="95"/>
    </row>
    <row r="107" spans="1:4" s="4" customFormat="1" x14ac:dyDescent="0.3">
      <c r="A107" s="94"/>
      <c r="B107" s="138" t="s">
        <v>5628</v>
      </c>
      <c r="C107" s="94"/>
      <c r="D107" s="95"/>
    </row>
    <row r="108" spans="1:4" s="4" customFormat="1" x14ac:dyDescent="0.3">
      <c r="A108" s="94"/>
      <c r="B108" s="138" t="s">
        <v>5630</v>
      </c>
      <c r="C108" s="94"/>
      <c r="D108" s="95"/>
    </row>
    <row r="109" spans="1:4" s="4" customFormat="1" x14ac:dyDescent="0.3">
      <c r="A109" s="94"/>
      <c r="B109" s="138" t="s">
        <v>5633</v>
      </c>
      <c r="C109" s="94"/>
      <c r="D109" s="95"/>
    </row>
    <row r="110" spans="1:4" s="4" customFormat="1" x14ac:dyDescent="0.3">
      <c r="A110" s="94"/>
      <c r="B110" s="138" t="s">
        <v>5639</v>
      </c>
      <c r="C110" s="94"/>
      <c r="D110" s="95"/>
    </row>
    <row r="111" spans="1:4" s="4" customFormat="1" x14ac:dyDescent="0.3">
      <c r="A111" s="94"/>
      <c r="B111" s="138" t="s">
        <v>5641</v>
      </c>
      <c r="C111" s="94"/>
      <c r="D111" s="95"/>
    </row>
    <row r="112" spans="1:4" s="4" customFormat="1" x14ac:dyDescent="0.3">
      <c r="A112" s="94"/>
      <c r="B112" s="138" t="s">
        <v>5645</v>
      </c>
      <c r="C112" s="94"/>
      <c r="D112" s="95"/>
    </row>
    <row r="113" spans="1:4" s="4" customFormat="1" x14ac:dyDescent="0.3">
      <c r="A113" s="94"/>
      <c r="B113" s="138" t="s">
        <v>5648</v>
      </c>
      <c r="C113" s="94"/>
      <c r="D113" s="95"/>
    </row>
    <row r="114" spans="1:4" s="4" customFormat="1" x14ac:dyDescent="0.3">
      <c r="A114" s="94"/>
      <c r="B114" s="138" t="s">
        <v>5655</v>
      </c>
      <c r="C114" s="94"/>
      <c r="D114" s="95"/>
    </row>
    <row r="115" spans="1:4" s="4" customFormat="1" x14ac:dyDescent="0.3">
      <c r="A115" s="94"/>
      <c r="B115" s="138" t="s">
        <v>5664</v>
      </c>
      <c r="C115" s="94"/>
      <c r="D115" s="95"/>
    </row>
    <row r="116" spans="1:4" s="4" customFormat="1" x14ac:dyDescent="0.3">
      <c r="A116" s="94"/>
      <c r="B116" s="138" t="s">
        <v>5665</v>
      </c>
      <c r="C116" s="94"/>
      <c r="D116" s="95"/>
    </row>
    <row r="117" spans="1:4" s="4" customFormat="1" x14ac:dyDescent="0.3">
      <c r="A117" s="94"/>
      <c r="B117" s="94"/>
      <c r="C117" s="94"/>
      <c r="D117" s="95"/>
    </row>
    <row r="118" spans="1:4" s="4" customFormat="1" x14ac:dyDescent="0.3">
      <c r="A118" s="94"/>
      <c r="B118" s="94"/>
      <c r="C118" s="94"/>
      <c r="D118" s="95"/>
    </row>
    <row r="119" spans="1:4" s="4" customFormat="1" x14ac:dyDescent="0.3">
      <c r="A119" s="94"/>
      <c r="B119" s="94"/>
      <c r="C119" s="94"/>
      <c r="D119" s="95"/>
    </row>
    <row r="120" spans="1:4" s="4" customFormat="1" x14ac:dyDescent="0.3">
      <c r="A120" s="94"/>
      <c r="B120" s="94"/>
      <c r="C120" s="94"/>
      <c r="D120" s="95"/>
    </row>
    <row r="121" spans="1:4" s="4" customFormat="1" x14ac:dyDescent="0.3">
      <c r="A121" s="94"/>
      <c r="B121" s="94"/>
      <c r="C121" s="94"/>
      <c r="D121" s="95"/>
    </row>
    <row r="122" spans="1:4" s="4" customFormat="1" x14ac:dyDescent="0.3">
      <c r="A122" s="94"/>
      <c r="B122" s="94"/>
      <c r="C122" s="94"/>
      <c r="D122" s="95"/>
    </row>
    <row r="123" spans="1:4" s="4" customFormat="1" x14ac:dyDescent="0.3">
      <c r="A123" s="94"/>
      <c r="B123" s="94"/>
      <c r="C123" s="94"/>
      <c r="D123" s="95"/>
    </row>
    <row r="124" spans="1:4" s="4" customFormat="1" x14ac:dyDescent="0.3">
      <c r="A124" s="94"/>
      <c r="B124" s="94"/>
      <c r="C124" s="94"/>
      <c r="D124" s="95"/>
    </row>
    <row r="125" spans="1:4" s="4" customFormat="1" x14ac:dyDescent="0.3">
      <c r="A125" s="94"/>
      <c r="B125" s="94"/>
      <c r="C125" s="94"/>
      <c r="D125" s="95"/>
    </row>
    <row r="126" spans="1:4" s="4" customFormat="1" x14ac:dyDescent="0.3">
      <c r="A126" s="94"/>
      <c r="B126" s="94"/>
      <c r="C126" s="94"/>
      <c r="D126" s="95"/>
    </row>
    <row r="127" spans="1:4" s="4" customFormat="1" x14ac:dyDescent="0.3">
      <c r="A127" s="94"/>
      <c r="B127" s="94"/>
      <c r="C127" s="94"/>
      <c r="D127" s="95"/>
    </row>
    <row r="128" spans="1:4" s="4" customFormat="1" x14ac:dyDescent="0.3">
      <c r="A128" s="94"/>
      <c r="B128" s="94"/>
      <c r="C128" s="94"/>
      <c r="D128" s="95"/>
    </row>
    <row r="129" spans="1:4" s="4" customFormat="1" x14ac:dyDescent="0.3">
      <c r="A129" s="94"/>
      <c r="B129" s="94"/>
      <c r="C129" s="94"/>
      <c r="D129" s="95"/>
    </row>
    <row r="130" spans="1:4" s="4" customFormat="1" x14ac:dyDescent="0.3">
      <c r="A130" s="94"/>
      <c r="B130" s="94"/>
      <c r="C130" s="94"/>
      <c r="D130" s="95"/>
    </row>
    <row r="131" spans="1:4" s="4" customFormat="1" x14ac:dyDescent="0.3">
      <c r="A131" s="94"/>
      <c r="B131" s="94"/>
      <c r="C131" s="94"/>
      <c r="D131" s="95"/>
    </row>
    <row r="132" spans="1:4" s="4" customFormat="1" x14ac:dyDescent="0.3">
      <c r="A132" s="94"/>
      <c r="B132" s="94"/>
      <c r="C132" s="94"/>
      <c r="D132" s="95"/>
    </row>
    <row r="133" spans="1:4" s="4" customFormat="1" x14ac:dyDescent="0.3">
      <c r="A133" s="94"/>
      <c r="B133" s="94"/>
      <c r="C133" s="94"/>
      <c r="D133" s="95"/>
    </row>
    <row r="134" spans="1:4" s="4" customFormat="1" x14ac:dyDescent="0.3">
      <c r="A134" s="94"/>
      <c r="B134" s="94"/>
      <c r="C134" s="94"/>
      <c r="D134" s="95"/>
    </row>
    <row r="135" spans="1:4" s="4" customFormat="1" x14ac:dyDescent="0.3">
      <c r="A135" s="94"/>
      <c r="B135" s="94"/>
      <c r="C135" s="94"/>
      <c r="D135" s="95"/>
    </row>
    <row r="136" spans="1:4" s="4" customFormat="1" x14ac:dyDescent="0.3">
      <c r="A136" s="94"/>
      <c r="B136" s="94"/>
      <c r="C136" s="94"/>
      <c r="D136" s="95"/>
    </row>
    <row r="137" spans="1:4" s="4" customFormat="1" x14ac:dyDescent="0.3">
      <c r="A137" s="94"/>
      <c r="B137" s="94"/>
      <c r="C137" s="94"/>
      <c r="D137" s="95"/>
    </row>
    <row r="138" spans="1:4" s="4" customFormat="1" x14ac:dyDescent="0.3">
      <c r="A138" s="94"/>
      <c r="B138" s="94"/>
      <c r="C138" s="94"/>
      <c r="D138" s="95"/>
    </row>
    <row r="139" spans="1:4" s="4" customFormat="1" x14ac:dyDescent="0.3">
      <c r="A139" s="94"/>
      <c r="B139" s="94"/>
      <c r="C139" s="94"/>
      <c r="D139" s="95"/>
    </row>
    <row r="140" spans="1:4" s="4" customFormat="1" x14ac:dyDescent="0.3">
      <c r="A140" s="94"/>
      <c r="B140" s="94"/>
      <c r="C140" s="94"/>
      <c r="D140" s="95"/>
    </row>
    <row r="141" spans="1:4" s="4" customFormat="1" x14ac:dyDescent="0.3">
      <c r="A141" s="94"/>
      <c r="B141" s="94"/>
      <c r="C141" s="94"/>
      <c r="D141" s="95"/>
    </row>
    <row r="142" spans="1:4" s="4" customFormat="1" x14ac:dyDescent="0.3">
      <c r="A142" s="94"/>
      <c r="B142" s="94"/>
      <c r="C142" s="94"/>
      <c r="D142" s="95"/>
    </row>
    <row r="143" spans="1:4" s="4" customFormat="1" x14ac:dyDescent="0.3">
      <c r="A143" s="94"/>
      <c r="B143" s="94"/>
      <c r="C143" s="94"/>
      <c r="D143" s="95"/>
    </row>
    <row r="144" spans="1:4" s="4" customFormat="1" x14ac:dyDescent="0.3">
      <c r="A144" s="94"/>
      <c r="B144" s="94"/>
      <c r="C144" s="94"/>
      <c r="D144" s="95"/>
    </row>
    <row r="145" spans="1:4" s="4" customFormat="1" x14ac:dyDescent="0.3">
      <c r="A145" s="94"/>
      <c r="B145" s="94"/>
      <c r="C145" s="94"/>
      <c r="D145" s="95"/>
    </row>
    <row r="146" spans="1:4" s="4" customFormat="1" x14ac:dyDescent="0.3">
      <c r="A146" s="94"/>
      <c r="B146" s="94"/>
      <c r="C146" s="94"/>
      <c r="D146" s="95"/>
    </row>
    <row r="147" spans="1:4" s="4" customFormat="1" x14ac:dyDescent="0.3">
      <c r="A147" s="94"/>
      <c r="B147" s="94"/>
      <c r="C147" s="94"/>
      <c r="D147" s="95"/>
    </row>
    <row r="148" spans="1:4" s="4" customFormat="1" x14ac:dyDescent="0.3">
      <c r="A148" s="94"/>
      <c r="B148" s="94"/>
      <c r="C148" s="94"/>
      <c r="D148" s="95"/>
    </row>
    <row r="149" spans="1:4" s="4" customFormat="1" x14ac:dyDescent="0.3">
      <c r="A149" s="94"/>
      <c r="B149" s="94"/>
      <c r="C149" s="94"/>
      <c r="D149" s="95"/>
    </row>
    <row r="150" spans="1:4" s="4" customFormat="1" x14ac:dyDescent="0.3">
      <c r="A150" s="94"/>
      <c r="B150" s="94"/>
      <c r="C150" s="94"/>
      <c r="D150" s="95"/>
    </row>
    <row r="151" spans="1:4" s="4" customFormat="1" x14ac:dyDescent="0.3">
      <c r="A151" s="94"/>
      <c r="B151" s="94"/>
      <c r="C151" s="94"/>
      <c r="D151" s="95"/>
    </row>
    <row r="152" spans="1:4" s="4" customFormat="1" x14ac:dyDescent="0.3">
      <c r="A152" s="94"/>
      <c r="B152" s="94"/>
      <c r="C152" s="94"/>
      <c r="D152" s="95"/>
    </row>
    <row r="153" spans="1:4" s="4" customFormat="1" x14ac:dyDescent="0.3">
      <c r="A153" s="94"/>
      <c r="B153" s="94"/>
      <c r="C153" s="94"/>
      <c r="D153" s="95"/>
    </row>
    <row r="154" spans="1:4" s="4" customFormat="1" x14ac:dyDescent="0.3">
      <c r="A154" s="94"/>
      <c r="B154" s="94"/>
      <c r="C154" s="94"/>
      <c r="D154" s="95"/>
    </row>
    <row r="155" spans="1:4" s="4" customFormat="1" x14ac:dyDescent="0.3">
      <c r="A155" s="94"/>
      <c r="B155" s="94"/>
      <c r="C155" s="94"/>
      <c r="D155" s="95"/>
    </row>
    <row r="156" spans="1:4" s="4" customFormat="1" x14ac:dyDescent="0.3">
      <c r="A156" s="94"/>
      <c r="B156" s="94"/>
      <c r="C156" s="94"/>
      <c r="D156" s="95"/>
    </row>
    <row r="157" spans="1:4" s="4" customFormat="1" x14ac:dyDescent="0.3">
      <c r="A157" s="94"/>
      <c r="B157" s="94"/>
      <c r="C157" s="94"/>
      <c r="D157" s="95"/>
    </row>
    <row r="158" spans="1:4" s="4" customFormat="1" x14ac:dyDescent="0.3">
      <c r="A158" s="94"/>
      <c r="B158" s="94"/>
      <c r="C158" s="94"/>
      <c r="D158" s="95"/>
    </row>
    <row r="159" spans="1:4" s="4" customFormat="1" x14ac:dyDescent="0.3">
      <c r="A159" s="94"/>
      <c r="B159" s="94"/>
      <c r="C159" s="94"/>
      <c r="D159" s="95"/>
    </row>
    <row r="160" spans="1:4" s="4" customFormat="1" x14ac:dyDescent="0.3">
      <c r="A160" s="94"/>
      <c r="B160" s="94"/>
      <c r="C160" s="94"/>
      <c r="D160" s="95"/>
    </row>
    <row r="161" spans="1:4" s="4" customFormat="1" x14ac:dyDescent="0.3">
      <c r="A161" s="94"/>
      <c r="B161" s="94"/>
      <c r="C161" s="94"/>
      <c r="D161" s="95"/>
    </row>
    <row r="162" spans="1:4" s="4" customFormat="1" x14ac:dyDescent="0.3">
      <c r="A162" s="94"/>
      <c r="B162" s="94"/>
      <c r="C162" s="94"/>
      <c r="D162" s="95"/>
    </row>
    <row r="163" spans="1:4" s="4" customFormat="1" x14ac:dyDescent="0.3">
      <c r="A163" s="94"/>
      <c r="B163" s="94"/>
      <c r="C163" s="94"/>
      <c r="D163" s="95"/>
    </row>
    <row r="164" spans="1:4" s="4" customFormat="1" x14ac:dyDescent="0.3">
      <c r="A164" s="94"/>
      <c r="B164" s="94"/>
      <c r="C164" s="94"/>
      <c r="D164" s="95"/>
    </row>
    <row r="165" spans="1:4" s="4" customFormat="1" x14ac:dyDescent="0.3">
      <c r="A165" s="94"/>
      <c r="B165" s="94"/>
      <c r="C165" s="94"/>
      <c r="D165" s="95"/>
    </row>
    <row r="166" spans="1:4" s="4" customFormat="1" x14ac:dyDescent="0.3">
      <c r="A166" s="94"/>
      <c r="B166" s="94"/>
      <c r="C166" s="94"/>
      <c r="D166" s="95"/>
    </row>
    <row r="167" spans="1:4" s="4" customFormat="1" x14ac:dyDescent="0.3">
      <c r="A167" s="94"/>
      <c r="B167" s="94"/>
      <c r="C167" s="94"/>
      <c r="D167" s="95"/>
    </row>
    <row r="168" spans="1:4" s="4" customFormat="1" x14ac:dyDescent="0.3">
      <c r="A168" s="94"/>
      <c r="B168" s="94"/>
      <c r="C168" s="94"/>
      <c r="D168" s="95"/>
    </row>
    <row r="169" spans="1:4" s="4" customFormat="1" x14ac:dyDescent="0.3">
      <c r="A169" s="94"/>
      <c r="B169" s="94"/>
      <c r="C169" s="94"/>
      <c r="D169" s="95"/>
    </row>
    <row r="170" spans="1:4" s="4" customFormat="1" x14ac:dyDescent="0.3">
      <c r="A170" s="94"/>
      <c r="B170" s="94"/>
      <c r="C170" s="94"/>
      <c r="D170" s="95"/>
    </row>
    <row r="171" spans="1:4" s="4" customFormat="1" x14ac:dyDescent="0.3">
      <c r="A171" s="94"/>
      <c r="B171" s="94"/>
      <c r="C171" s="94"/>
      <c r="D171" s="95"/>
    </row>
    <row r="172" spans="1:4" s="4" customFormat="1" x14ac:dyDescent="0.3">
      <c r="A172" s="94"/>
      <c r="B172" s="94"/>
      <c r="C172" s="94"/>
      <c r="D172" s="95"/>
    </row>
    <row r="173" spans="1:4" s="4" customFormat="1" x14ac:dyDescent="0.3">
      <c r="A173" s="94"/>
      <c r="B173" s="94"/>
      <c r="C173" s="94"/>
      <c r="D173" s="95"/>
    </row>
    <row r="174" spans="1:4" s="4" customFormat="1" x14ac:dyDescent="0.3">
      <c r="A174" s="94"/>
      <c r="B174" s="94"/>
      <c r="C174" s="94"/>
      <c r="D174" s="95"/>
    </row>
    <row r="175" spans="1:4" s="4" customFormat="1" x14ac:dyDescent="0.3">
      <c r="A175" s="94"/>
      <c r="B175" s="94"/>
      <c r="C175" s="94"/>
      <c r="D175" s="95"/>
    </row>
    <row r="176" spans="1:4" s="4" customFormat="1" x14ac:dyDescent="0.3">
      <c r="A176" s="94"/>
      <c r="B176" s="94"/>
      <c r="C176" s="94"/>
      <c r="D176" s="95"/>
    </row>
    <row r="177" spans="1:4" s="4" customFormat="1" x14ac:dyDescent="0.3">
      <c r="A177" s="94"/>
      <c r="B177" s="94"/>
      <c r="C177" s="94"/>
      <c r="D177" s="95"/>
    </row>
    <row r="178" spans="1:4" s="4" customFormat="1" x14ac:dyDescent="0.3">
      <c r="A178" s="94"/>
      <c r="B178" s="94"/>
      <c r="C178" s="94"/>
      <c r="D178" s="95"/>
    </row>
    <row r="179" spans="1:4" s="4" customFormat="1" x14ac:dyDescent="0.3">
      <c r="A179" s="94"/>
      <c r="B179" s="94"/>
      <c r="C179" s="94"/>
      <c r="D179" s="95"/>
    </row>
    <row r="180" spans="1:4" s="4" customFormat="1" x14ac:dyDescent="0.3">
      <c r="A180" s="94"/>
      <c r="B180" s="94"/>
      <c r="C180" s="94"/>
      <c r="D180" s="95"/>
    </row>
    <row r="181" spans="1:4" s="4" customFormat="1" x14ac:dyDescent="0.3">
      <c r="A181" s="94"/>
      <c r="B181" s="94"/>
      <c r="C181" s="94"/>
      <c r="D181" s="95"/>
    </row>
    <row r="182" spans="1:4" s="4" customFormat="1" x14ac:dyDescent="0.3">
      <c r="A182" s="94"/>
      <c r="B182" s="94"/>
      <c r="C182" s="94"/>
      <c r="D182" s="95"/>
    </row>
    <row r="183" spans="1:4" s="4" customFormat="1" x14ac:dyDescent="0.3">
      <c r="A183" s="94"/>
      <c r="B183" s="94"/>
      <c r="C183" s="94"/>
      <c r="D183" s="95"/>
    </row>
    <row r="184" spans="1:4" s="4" customFormat="1" x14ac:dyDescent="0.3">
      <c r="A184" s="94"/>
      <c r="B184" s="94"/>
      <c r="C184" s="94"/>
      <c r="D184" s="95"/>
    </row>
    <row r="185" spans="1:4" s="4" customFormat="1" x14ac:dyDescent="0.3">
      <c r="A185" s="94"/>
      <c r="B185" s="94"/>
      <c r="C185" s="94"/>
      <c r="D185" s="95"/>
    </row>
    <row r="186" spans="1:4" s="4" customFormat="1" x14ac:dyDescent="0.3">
      <c r="A186" s="94"/>
      <c r="B186" s="94"/>
      <c r="C186" s="94"/>
      <c r="D186" s="95"/>
    </row>
    <row r="187" spans="1:4" s="4" customFormat="1" x14ac:dyDescent="0.3">
      <c r="A187" s="94"/>
      <c r="B187" s="94"/>
      <c r="C187" s="94"/>
      <c r="D187" s="95"/>
    </row>
    <row r="188" spans="1:4" s="4" customFormat="1" x14ac:dyDescent="0.3">
      <c r="A188" s="94"/>
      <c r="B188" s="94"/>
      <c r="C188" s="94"/>
      <c r="D188" s="95"/>
    </row>
    <row r="189" spans="1:4" s="4" customFormat="1" x14ac:dyDescent="0.3">
      <c r="A189" s="94"/>
      <c r="B189" s="94"/>
      <c r="C189" s="94"/>
      <c r="D189" s="95"/>
    </row>
    <row r="190" spans="1:4" s="4" customFormat="1" x14ac:dyDescent="0.3">
      <c r="A190" s="94"/>
      <c r="B190" s="94"/>
      <c r="C190" s="94"/>
      <c r="D190" s="95"/>
    </row>
    <row r="191" spans="1:4" s="4" customFormat="1" x14ac:dyDescent="0.3">
      <c r="A191" s="94"/>
      <c r="B191" s="94"/>
      <c r="C191" s="94"/>
      <c r="D191" s="95"/>
    </row>
    <row r="192" spans="1:4" s="4" customFormat="1" x14ac:dyDescent="0.3">
      <c r="A192" s="94"/>
      <c r="B192" s="94"/>
      <c r="C192" s="94"/>
      <c r="D192" s="95"/>
    </row>
    <row r="193" spans="1:4" s="4" customFormat="1" x14ac:dyDescent="0.3">
      <c r="A193" s="94"/>
      <c r="B193" s="94"/>
      <c r="C193" s="94"/>
      <c r="D193" s="95"/>
    </row>
    <row r="194" spans="1:4" s="4" customFormat="1" x14ac:dyDescent="0.3">
      <c r="A194" s="94"/>
      <c r="B194" s="94"/>
      <c r="C194" s="94"/>
      <c r="D194" s="95"/>
    </row>
    <row r="195" spans="1:4" s="4" customFormat="1" x14ac:dyDescent="0.3">
      <c r="A195" s="94"/>
      <c r="B195" s="94"/>
      <c r="C195" s="94"/>
      <c r="D195" s="95"/>
    </row>
    <row r="196" spans="1:4" s="4" customFormat="1" x14ac:dyDescent="0.3">
      <c r="A196" s="94"/>
      <c r="B196" s="94"/>
      <c r="C196" s="94"/>
      <c r="D196" s="95"/>
    </row>
    <row r="197" spans="1:4" s="4" customFormat="1" x14ac:dyDescent="0.3">
      <c r="A197" s="94"/>
      <c r="B197" s="94"/>
      <c r="C197" s="94"/>
      <c r="D197" s="95"/>
    </row>
    <row r="198" spans="1:4" s="4" customFormat="1" x14ac:dyDescent="0.3">
      <c r="A198" s="94"/>
      <c r="B198" s="94"/>
      <c r="C198" s="94"/>
      <c r="D198" s="95"/>
    </row>
    <row r="199" spans="1:4" s="4" customFormat="1" x14ac:dyDescent="0.3">
      <c r="A199" s="94"/>
      <c r="B199" s="94"/>
      <c r="C199" s="94"/>
      <c r="D199" s="95"/>
    </row>
    <row r="200" spans="1:4" s="4" customFormat="1" x14ac:dyDescent="0.3">
      <c r="A200" s="94"/>
      <c r="B200" s="94"/>
      <c r="C200" s="94"/>
      <c r="D200" s="95"/>
    </row>
    <row r="201" spans="1:4" s="4" customFormat="1" x14ac:dyDescent="0.3">
      <c r="A201" s="94"/>
      <c r="B201" s="94"/>
      <c r="C201" s="94"/>
      <c r="D201" s="95"/>
    </row>
    <row r="202" spans="1:4" s="4" customFormat="1" x14ac:dyDescent="0.3">
      <c r="A202" s="94"/>
      <c r="B202" s="94"/>
      <c r="C202" s="94"/>
      <c r="D202" s="95"/>
    </row>
    <row r="203" spans="1:4" s="4" customFormat="1" x14ac:dyDescent="0.3">
      <c r="A203" s="94"/>
      <c r="B203" s="94"/>
      <c r="C203" s="94"/>
      <c r="D203" s="95"/>
    </row>
    <row r="204" spans="1:4" s="4" customFormat="1" x14ac:dyDescent="0.3">
      <c r="A204" s="94"/>
      <c r="B204" s="94"/>
      <c r="C204" s="94"/>
      <c r="D204" s="95"/>
    </row>
    <row r="205" spans="1:4" s="4" customFormat="1" x14ac:dyDescent="0.3">
      <c r="A205" s="94"/>
      <c r="B205" s="94"/>
      <c r="C205" s="94"/>
      <c r="D205" s="95"/>
    </row>
    <row r="206" spans="1:4" s="4" customFormat="1" x14ac:dyDescent="0.3">
      <c r="A206" s="94"/>
      <c r="B206" s="94"/>
      <c r="C206" s="94"/>
      <c r="D206" s="95"/>
    </row>
    <row r="207" spans="1:4" s="4" customFormat="1" x14ac:dyDescent="0.3">
      <c r="A207" s="94"/>
      <c r="B207" s="94"/>
      <c r="C207" s="94"/>
      <c r="D207" s="95"/>
    </row>
    <row r="208" spans="1:4" s="4" customFormat="1" x14ac:dyDescent="0.3">
      <c r="A208" s="94"/>
      <c r="B208" s="94"/>
      <c r="C208" s="94"/>
      <c r="D208" s="95"/>
    </row>
    <row r="209" spans="1:4" s="4" customFormat="1" x14ac:dyDescent="0.3">
      <c r="A209" s="94"/>
      <c r="B209" s="94"/>
      <c r="C209" s="94"/>
      <c r="D209" s="95"/>
    </row>
    <row r="210" spans="1:4" s="4" customFormat="1" x14ac:dyDescent="0.3">
      <c r="A210" s="94"/>
      <c r="B210" s="94"/>
      <c r="C210" s="94"/>
      <c r="D210" s="95"/>
    </row>
    <row r="211" spans="1:4" s="4" customFormat="1" x14ac:dyDescent="0.3">
      <c r="A211" s="94"/>
      <c r="B211" s="94"/>
      <c r="C211" s="94"/>
      <c r="D211" s="95"/>
    </row>
    <row r="212" spans="1:4" s="4" customFormat="1" x14ac:dyDescent="0.3">
      <c r="A212" s="94"/>
      <c r="B212" s="94"/>
      <c r="C212" s="94"/>
      <c r="D212" s="95"/>
    </row>
    <row r="213" spans="1:4" s="4" customFormat="1" x14ac:dyDescent="0.3">
      <c r="A213" s="94"/>
      <c r="B213" s="94"/>
      <c r="C213" s="94"/>
      <c r="D213" s="95"/>
    </row>
    <row r="214" spans="1:4" s="4" customFormat="1" x14ac:dyDescent="0.3">
      <c r="A214" s="94"/>
      <c r="B214" s="94"/>
      <c r="C214" s="94"/>
      <c r="D214" s="95"/>
    </row>
    <row r="215" spans="1:4" s="4" customFormat="1" x14ac:dyDescent="0.3">
      <c r="A215" s="94"/>
      <c r="B215" s="94"/>
      <c r="C215" s="94"/>
      <c r="D215" s="95"/>
    </row>
    <row r="216" spans="1:4" s="4" customFormat="1" x14ac:dyDescent="0.3">
      <c r="A216" s="94"/>
      <c r="B216" s="94"/>
      <c r="C216" s="94"/>
      <c r="D216" s="95"/>
    </row>
    <row r="217" spans="1:4" s="4" customFormat="1" x14ac:dyDescent="0.3">
      <c r="A217" s="94"/>
      <c r="B217" s="94"/>
      <c r="C217" s="94"/>
      <c r="D217" s="95"/>
    </row>
    <row r="218" spans="1:4" s="4" customFormat="1" x14ac:dyDescent="0.3">
      <c r="A218" s="94"/>
      <c r="B218" s="94"/>
      <c r="C218" s="94"/>
      <c r="D218" s="95"/>
    </row>
    <row r="219" spans="1:4" s="4" customFormat="1" x14ac:dyDescent="0.3">
      <c r="A219" s="94"/>
      <c r="B219" s="94"/>
      <c r="C219" s="94"/>
      <c r="D219" s="95"/>
    </row>
    <row r="220" spans="1:4" s="4" customFormat="1" x14ac:dyDescent="0.3">
      <c r="A220" s="94"/>
      <c r="B220" s="94"/>
      <c r="C220" s="94"/>
      <c r="D220" s="95"/>
    </row>
    <row r="221" spans="1:4" s="4" customFormat="1" x14ac:dyDescent="0.3">
      <c r="A221" s="94"/>
      <c r="B221" s="94"/>
      <c r="C221" s="94"/>
      <c r="D221" s="95"/>
    </row>
    <row r="222" spans="1:4" s="4" customFormat="1" x14ac:dyDescent="0.3">
      <c r="A222" s="94"/>
      <c r="B222" s="94"/>
      <c r="C222" s="94"/>
      <c r="D222" s="95"/>
    </row>
    <row r="223" spans="1:4" s="4" customFormat="1" x14ac:dyDescent="0.3">
      <c r="A223" s="94"/>
      <c r="B223" s="94"/>
      <c r="C223" s="94"/>
      <c r="D223" s="95"/>
    </row>
    <row r="224" spans="1:4" s="4" customFormat="1" x14ac:dyDescent="0.3">
      <c r="A224" s="94"/>
      <c r="B224" s="94"/>
      <c r="C224" s="94"/>
      <c r="D224" s="95"/>
    </row>
    <row r="225" spans="1:4" s="4" customFormat="1" x14ac:dyDescent="0.3">
      <c r="A225" s="94"/>
      <c r="B225" s="94"/>
      <c r="C225" s="94"/>
      <c r="D225" s="95"/>
    </row>
    <row r="226" spans="1:4" s="4" customFormat="1" x14ac:dyDescent="0.3">
      <c r="A226" s="94"/>
      <c r="B226" s="94"/>
      <c r="C226" s="94"/>
      <c r="D226" s="95"/>
    </row>
    <row r="227" spans="1:4" s="4" customFormat="1" x14ac:dyDescent="0.3">
      <c r="A227" s="94"/>
      <c r="B227" s="94"/>
      <c r="C227" s="94"/>
      <c r="D227" s="95"/>
    </row>
    <row r="228" spans="1:4" s="4" customFormat="1" x14ac:dyDescent="0.3">
      <c r="A228" s="94"/>
      <c r="B228" s="94"/>
      <c r="C228" s="94"/>
      <c r="D228" s="95"/>
    </row>
    <row r="229" spans="1:4" s="4" customFormat="1" x14ac:dyDescent="0.3">
      <c r="A229" s="94"/>
      <c r="B229" s="94"/>
      <c r="C229" s="94"/>
      <c r="D229" s="95"/>
    </row>
    <row r="230" spans="1:4" s="4" customFormat="1" x14ac:dyDescent="0.3">
      <c r="A230" s="94"/>
      <c r="B230" s="94"/>
      <c r="C230" s="94"/>
      <c r="D230" s="95"/>
    </row>
    <row r="231" spans="1:4" s="4" customFormat="1" x14ac:dyDescent="0.3">
      <c r="A231" s="94"/>
      <c r="B231" s="94"/>
      <c r="C231" s="94"/>
      <c r="D231" s="95"/>
    </row>
    <row r="232" spans="1:4" s="4" customFormat="1" x14ac:dyDescent="0.3">
      <c r="A232" s="94"/>
      <c r="B232" s="94"/>
      <c r="C232" s="94"/>
      <c r="D232" s="95"/>
    </row>
    <row r="233" spans="1:4" s="4" customFormat="1" x14ac:dyDescent="0.3">
      <c r="A233" s="94"/>
      <c r="B233" s="94"/>
      <c r="C233" s="94"/>
      <c r="D233" s="95"/>
    </row>
    <row r="234" spans="1:4" s="4" customFormat="1" x14ac:dyDescent="0.3">
      <c r="A234" s="94"/>
      <c r="B234" s="94"/>
      <c r="C234" s="94"/>
      <c r="D234" s="95"/>
    </row>
    <row r="235" spans="1:4" s="4" customFormat="1" x14ac:dyDescent="0.3">
      <c r="A235" s="94"/>
      <c r="B235" s="94"/>
      <c r="C235" s="94"/>
      <c r="D235" s="95"/>
    </row>
    <row r="236" spans="1:4" s="4" customFormat="1" x14ac:dyDescent="0.3">
      <c r="A236" s="94"/>
      <c r="B236" s="94"/>
      <c r="C236" s="94"/>
      <c r="D236" s="95"/>
    </row>
    <row r="237" spans="1:4" s="4" customFormat="1" x14ac:dyDescent="0.3">
      <c r="A237" s="94"/>
      <c r="B237" s="94"/>
      <c r="C237" s="94"/>
      <c r="D237" s="95"/>
    </row>
    <row r="238" spans="1:4" s="4" customFormat="1" x14ac:dyDescent="0.3">
      <c r="A238" s="94"/>
      <c r="B238" s="94"/>
      <c r="C238" s="94"/>
      <c r="D238" s="95"/>
    </row>
    <row r="239" spans="1:4" s="4" customFormat="1" x14ac:dyDescent="0.3">
      <c r="A239" s="94"/>
      <c r="B239" s="94"/>
      <c r="C239" s="94"/>
      <c r="D239" s="95"/>
    </row>
    <row r="240" spans="1:4" s="4" customFormat="1" x14ac:dyDescent="0.3">
      <c r="A240" s="94"/>
      <c r="B240" s="94"/>
      <c r="C240" s="94"/>
      <c r="D240" s="95"/>
    </row>
    <row r="241" spans="1:4" s="4" customFormat="1" x14ac:dyDescent="0.3">
      <c r="A241" s="94"/>
      <c r="B241" s="94"/>
      <c r="C241" s="94"/>
      <c r="D241" s="95"/>
    </row>
    <row r="242" spans="1:4" s="4" customFormat="1" x14ac:dyDescent="0.3">
      <c r="A242" s="94"/>
      <c r="B242" s="94"/>
      <c r="C242" s="94"/>
      <c r="D242" s="95"/>
    </row>
    <row r="243" spans="1:4" s="4" customFormat="1" x14ac:dyDescent="0.3">
      <c r="A243" s="94"/>
      <c r="B243" s="94"/>
      <c r="C243" s="94"/>
      <c r="D243" s="95"/>
    </row>
    <row r="244" spans="1:4" s="4" customFormat="1" x14ac:dyDescent="0.3">
      <c r="A244" s="94"/>
      <c r="B244" s="94"/>
      <c r="C244" s="94"/>
      <c r="D244" s="95"/>
    </row>
    <row r="245" spans="1:4" s="4" customFormat="1" x14ac:dyDescent="0.3">
      <c r="A245" s="94"/>
      <c r="B245" s="94"/>
      <c r="C245" s="94"/>
      <c r="D245" s="95"/>
    </row>
    <row r="246" spans="1:4" s="4" customFormat="1" x14ac:dyDescent="0.3">
      <c r="A246" s="94"/>
      <c r="B246" s="94"/>
      <c r="C246" s="94"/>
      <c r="D246" s="95"/>
    </row>
    <row r="247" spans="1:4" s="4" customFormat="1" x14ac:dyDescent="0.3">
      <c r="A247" s="94"/>
      <c r="B247" s="94"/>
      <c r="C247" s="94"/>
      <c r="D247" s="95"/>
    </row>
    <row r="248" spans="1:4" s="4" customFormat="1" x14ac:dyDescent="0.3">
      <c r="A248" s="94"/>
      <c r="B248" s="94"/>
      <c r="C248" s="94"/>
      <c r="D248" s="95"/>
    </row>
    <row r="249" spans="1:4" s="4" customFormat="1" x14ac:dyDescent="0.3">
      <c r="A249" s="94"/>
      <c r="B249" s="94"/>
      <c r="C249" s="94"/>
      <c r="D249" s="95"/>
    </row>
    <row r="250" spans="1:4" s="4" customFormat="1" x14ac:dyDescent="0.3">
      <c r="A250" s="94"/>
      <c r="B250" s="94"/>
      <c r="C250" s="94"/>
      <c r="D250" s="95"/>
    </row>
    <row r="251" spans="1:4" s="4" customFormat="1" x14ac:dyDescent="0.3">
      <c r="A251" s="94"/>
      <c r="B251" s="94"/>
      <c r="C251" s="94"/>
      <c r="D251" s="95"/>
    </row>
    <row r="252" spans="1:4" s="4" customFormat="1" x14ac:dyDescent="0.3">
      <c r="A252" s="94"/>
      <c r="B252" s="94"/>
      <c r="C252" s="94"/>
      <c r="D252" s="95"/>
    </row>
    <row r="253" spans="1:4" s="4" customFormat="1" x14ac:dyDescent="0.3">
      <c r="A253" s="94"/>
      <c r="B253" s="94"/>
      <c r="C253" s="94"/>
      <c r="D253" s="95"/>
    </row>
    <row r="254" spans="1:4" s="4" customFormat="1" x14ac:dyDescent="0.3">
      <c r="A254" s="94"/>
      <c r="B254" s="94"/>
      <c r="C254" s="94"/>
      <c r="D254" s="95"/>
    </row>
    <row r="255" spans="1:4" s="4" customFormat="1" x14ac:dyDescent="0.3">
      <c r="A255" s="94"/>
      <c r="B255" s="94"/>
      <c r="C255" s="94"/>
      <c r="D255" s="95"/>
    </row>
    <row r="256" spans="1:4" s="4" customFormat="1" x14ac:dyDescent="0.3">
      <c r="A256" s="94"/>
      <c r="B256" s="94"/>
      <c r="C256" s="94"/>
      <c r="D256" s="95"/>
    </row>
    <row r="257" spans="1:4" s="4" customFormat="1" x14ac:dyDescent="0.3">
      <c r="A257" s="94"/>
      <c r="B257" s="94"/>
      <c r="C257" s="94"/>
      <c r="D257" s="95"/>
    </row>
    <row r="258" spans="1:4" s="4" customFormat="1" x14ac:dyDescent="0.3">
      <c r="A258" s="94"/>
      <c r="B258" s="94"/>
      <c r="C258" s="94"/>
      <c r="D258" s="95"/>
    </row>
    <row r="259" spans="1:4" s="4" customFormat="1" x14ac:dyDescent="0.3">
      <c r="A259" s="94"/>
      <c r="B259" s="94"/>
      <c r="C259" s="94"/>
      <c r="D259" s="95"/>
    </row>
    <row r="260" spans="1:4" s="4" customFormat="1" x14ac:dyDescent="0.3">
      <c r="A260" s="94"/>
      <c r="B260" s="94"/>
      <c r="C260" s="94"/>
      <c r="D260" s="95"/>
    </row>
    <row r="261" spans="1:4" s="4" customFormat="1" x14ac:dyDescent="0.3">
      <c r="A261" s="94"/>
      <c r="B261" s="94"/>
      <c r="C261" s="94"/>
      <c r="D261" s="95"/>
    </row>
    <row r="262" spans="1:4" s="4" customFormat="1" x14ac:dyDescent="0.3">
      <c r="A262" s="94"/>
      <c r="B262" s="94"/>
      <c r="C262" s="94"/>
      <c r="D262" s="95"/>
    </row>
    <row r="263" spans="1:4" s="4" customFormat="1" x14ac:dyDescent="0.3">
      <c r="A263" s="94"/>
      <c r="B263" s="94"/>
      <c r="C263" s="94"/>
      <c r="D263" s="95"/>
    </row>
    <row r="264" spans="1:4" s="4" customFormat="1" x14ac:dyDescent="0.3">
      <c r="A264" s="94"/>
      <c r="B264" s="94"/>
      <c r="C264" s="94"/>
      <c r="D264" s="95"/>
    </row>
    <row r="265" spans="1:4" s="4" customFormat="1" x14ac:dyDescent="0.3">
      <c r="A265" s="94"/>
      <c r="B265" s="94"/>
      <c r="C265" s="94"/>
      <c r="D265" s="95"/>
    </row>
    <row r="266" spans="1:4" s="4" customFormat="1" x14ac:dyDescent="0.3">
      <c r="A266" s="94"/>
      <c r="B266" s="94"/>
      <c r="C266" s="94"/>
      <c r="D266" s="95"/>
    </row>
    <row r="267" spans="1:4" s="4" customFormat="1" x14ac:dyDescent="0.3">
      <c r="A267" s="94"/>
      <c r="B267" s="94"/>
      <c r="C267" s="94"/>
      <c r="D267" s="95"/>
    </row>
    <row r="268" spans="1:4" s="4" customFormat="1" x14ac:dyDescent="0.3">
      <c r="A268" s="94"/>
      <c r="B268" s="94"/>
      <c r="C268" s="94"/>
      <c r="D268" s="95"/>
    </row>
    <row r="269" spans="1:4" s="4" customFormat="1" x14ac:dyDescent="0.3">
      <c r="A269" s="94"/>
      <c r="B269" s="94"/>
      <c r="C269" s="94"/>
      <c r="D269" s="95"/>
    </row>
    <row r="270" spans="1:4" s="4" customFormat="1" x14ac:dyDescent="0.3">
      <c r="A270" s="94"/>
      <c r="B270" s="94"/>
      <c r="C270" s="94"/>
      <c r="D270" s="95"/>
    </row>
    <row r="271" spans="1:4" s="4" customFormat="1" x14ac:dyDescent="0.3">
      <c r="A271" s="94"/>
      <c r="B271" s="94"/>
      <c r="C271" s="94"/>
      <c r="D271" s="95"/>
    </row>
    <row r="272" spans="1:4" s="4" customFormat="1" x14ac:dyDescent="0.3">
      <c r="A272" s="94"/>
      <c r="B272" s="94"/>
      <c r="C272" s="94"/>
      <c r="D272" s="95"/>
    </row>
    <row r="273" spans="1:4" s="4" customFormat="1" x14ac:dyDescent="0.3">
      <c r="A273" s="94"/>
      <c r="B273" s="94"/>
      <c r="C273" s="94"/>
      <c r="D273" s="95"/>
    </row>
    <row r="274" spans="1:4" s="4" customFormat="1" x14ac:dyDescent="0.3">
      <c r="A274" s="94"/>
      <c r="B274" s="94"/>
      <c r="C274" s="94"/>
      <c r="D274" s="95"/>
    </row>
    <row r="275" spans="1:4" s="4" customFormat="1" x14ac:dyDescent="0.3">
      <c r="A275" s="94"/>
      <c r="B275" s="94"/>
      <c r="C275" s="94"/>
      <c r="D275" s="95"/>
    </row>
    <row r="276" spans="1:4" s="4" customFormat="1" x14ac:dyDescent="0.3">
      <c r="A276" s="94"/>
      <c r="B276" s="94"/>
      <c r="C276" s="94"/>
      <c r="D276" s="95"/>
    </row>
    <row r="277" spans="1:4" s="4" customFormat="1" x14ac:dyDescent="0.3">
      <c r="A277" s="94"/>
      <c r="B277" s="94"/>
      <c r="C277" s="94"/>
      <c r="D277" s="95"/>
    </row>
    <row r="278" spans="1:4" s="4" customFormat="1" x14ac:dyDescent="0.3">
      <c r="A278" s="94"/>
      <c r="B278" s="94"/>
      <c r="C278" s="94"/>
      <c r="D278" s="95"/>
    </row>
    <row r="279" spans="1:4" s="4" customFormat="1" x14ac:dyDescent="0.3">
      <c r="A279" s="94"/>
      <c r="B279" s="94"/>
      <c r="C279" s="94"/>
      <c r="D279" s="95"/>
    </row>
    <row r="280" spans="1:4" s="4" customFormat="1" x14ac:dyDescent="0.3">
      <c r="A280" s="94"/>
      <c r="B280" s="94"/>
      <c r="C280" s="94"/>
      <c r="D280" s="95"/>
    </row>
    <row r="281" spans="1:4" s="4" customFormat="1" x14ac:dyDescent="0.3">
      <c r="A281" s="94"/>
      <c r="B281" s="94"/>
      <c r="C281" s="94"/>
      <c r="D281" s="95"/>
    </row>
    <row r="282" spans="1:4" s="4" customFormat="1" x14ac:dyDescent="0.3">
      <c r="A282" s="94"/>
      <c r="B282" s="94"/>
      <c r="C282" s="94"/>
      <c r="D282" s="95"/>
    </row>
    <row r="283" spans="1:4" s="4" customFormat="1" x14ac:dyDescent="0.3">
      <c r="A283" s="94"/>
      <c r="B283" s="94"/>
      <c r="C283" s="94"/>
      <c r="D283" s="95"/>
    </row>
    <row r="284" spans="1:4" s="4" customFormat="1" x14ac:dyDescent="0.3">
      <c r="A284" s="94"/>
      <c r="B284" s="94"/>
      <c r="C284" s="94"/>
      <c r="D284" s="95"/>
    </row>
    <row r="285" spans="1:4" s="4" customFormat="1" x14ac:dyDescent="0.3">
      <c r="A285" s="94"/>
      <c r="B285" s="94"/>
      <c r="C285" s="94"/>
      <c r="D285" s="95"/>
    </row>
    <row r="286" spans="1:4" s="4" customFormat="1" x14ac:dyDescent="0.3">
      <c r="A286" s="94"/>
      <c r="B286" s="94"/>
      <c r="C286" s="94"/>
      <c r="D286" s="95"/>
    </row>
    <row r="287" spans="1:4" s="4" customFormat="1" x14ac:dyDescent="0.3">
      <c r="A287" s="94"/>
      <c r="B287" s="94"/>
      <c r="C287" s="94"/>
      <c r="D287" s="95"/>
    </row>
    <row r="288" spans="1:4" s="4" customFormat="1" x14ac:dyDescent="0.3">
      <c r="A288" s="94"/>
      <c r="B288" s="94"/>
      <c r="C288" s="94"/>
      <c r="D288" s="95"/>
    </row>
    <row r="289" spans="1:4" s="4" customFormat="1" x14ac:dyDescent="0.3">
      <c r="A289" s="94"/>
      <c r="B289" s="94"/>
      <c r="C289" s="94"/>
      <c r="D289" s="95"/>
    </row>
    <row r="290" spans="1:4" s="4" customFormat="1" x14ac:dyDescent="0.3">
      <c r="A290" s="94"/>
      <c r="B290" s="94"/>
      <c r="C290" s="94"/>
      <c r="D290" s="95"/>
    </row>
    <row r="291" spans="1:4" s="4" customFormat="1" x14ac:dyDescent="0.3">
      <c r="A291" s="94"/>
      <c r="B291" s="94"/>
      <c r="C291" s="94"/>
      <c r="D291" s="95"/>
    </row>
    <row r="292" spans="1:4" s="4" customFormat="1" x14ac:dyDescent="0.3">
      <c r="A292" s="94"/>
      <c r="B292" s="94"/>
      <c r="C292" s="94"/>
      <c r="D292" s="95"/>
    </row>
    <row r="293" spans="1:4" s="4" customFormat="1" x14ac:dyDescent="0.3">
      <c r="A293" s="94"/>
      <c r="B293" s="94"/>
      <c r="C293" s="94"/>
      <c r="D293" s="95"/>
    </row>
    <row r="294" spans="1:4" s="4" customFormat="1" x14ac:dyDescent="0.3">
      <c r="A294" s="94"/>
      <c r="B294" s="94"/>
      <c r="C294" s="94"/>
      <c r="D294" s="95"/>
    </row>
    <row r="295" spans="1:4" s="4" customFormat="1" x14ac:dyDescent="0.3">
      <c r="A295" s="94"/>
      <c r="B295" s="94"/>
      <c r="C295" s="94"/>
      <c r="D295" s="95"/>
    </row>
    <row r="296" spans="1:4" s="4" customFormat="1" x14ac:dyDescent="0.3">
      <c r="A296" s="94"/>
      <c r="B296" s="94"/>
      <c r="C296" s="94"/>
      <c r="D296" s="95"/>
    </row>
    <row r="297" spans="1:4" s="4" customFormat="1" x14ac:dyDescent="0.3">
      <c r="A297" s="94"/>
      <c r="B297" s="94"/>
      <c r="C297" s="94"/>
      <c r="D297" s="95"/>
    </row>
    <row r="298" spans="1:4" s="4" customFormat="1" x14ac:dyDescent="0.3">
      <c r="A298" s="94"/>
      <c r="B298" s="94"/>
      <c r="C298" s="94"/>
      <c r="D298" s="95"/>
    </row>
    <row r="299" spans="1:4" s="4" customFormat="1" x14ac:dyDescent="0.3">
      <c r="A299" s="94"/>
      <c r="B299" s="94"/>
      <c r="C299" s="94"/>
      <c r="D299" s="95"/>
    </row>
    <row r="300" spans="1:4" s="4" customFormat="1" x14ac:dyDescent="0.3">
      <c r="A300" s="94"/>
      <c r="B300" s="94"/>
      <c r="C300" s="94"/>
      <c r="D300" s="95"/>
    </row>
    <row r="301" spans="1:4" s="4" customFormat="1" x14ac:dyDescent="0.3">
      <c r="A301" s="94"/>
      <c r="B301" s="94"/>
      <c r="C301" s="94"/>
      <c r="D301" s="95"/>
    </row>
    <row r="302" spans="1:4" s="4" customFormat="1" x14ac:dyDescent="0.3">
      <c r="A302" s="94"/>
      <c r="B302" s="94"/>
      <c r="C302" s="94"/>
      <c r="D302" s="95"/>
    </row>
    <row r="303" spans="1:4" s="4" customFormat="1" x14ac:dyDescent="0.3">
      <c r="A303" s="94"/>
      <c r="B303" s="94"/>
      <c r="C303" s="94"/>
      <c r="D303" s="95"/>
    </row>
    <row r="304" spans="1:4" s="4" customFormat="1" x14ac:dyDescent="0.3">
      <c r="A304" s="94"/>
      <c r="B304" s="94"/>
      <c r="C304" s="94"/>
      <c r="D304" s="95"/>
    </row>
    <row r="305" spans="1:4" s="4" customFormat="1" x14ac:dyDescent="0.3">
      <c r="A305" s="94"/>
      <c r="B305" s="94"/>
      <c r="C305" s="94"/>
      <c r="D305" s="95"/>
    </row>
    <row r="306" spans="1:4" s="4" customFormat="1" x14ac:dyDescent="0.3">
      <c r="A306" s="94"/>
      <c r="B306" s="94"/>
      <c r="C306" s="94"/>
      <c r="D306" s="95"/>
    </row>
    <row r="307" spans="1:4" s="4" customFormat="1" x14ac:dyDescent="0.3">
      <c r="A307" s="94"/>
      <c r="B307" s="94"/>
      <c r="C307" s="94"/>
      <c r="D307" s="95"/>
    </row>
    <row r="308" spans="1:4" s="4" customFormat="1" x14ac:dyDescent="0.3">
      <c r="A308" s="94"/>
      <c r="B308" s="94"/>
      <c r="C308" s="94"/>
      <c r="D308" s="95"/>
    </row>
    <row r="309" spans="1:4" s="4" customFormat="1" x14ac:dyDescent="0.3">
      <c r="A309" s="94"/>
      <c r="B309" s="94"/>
      <c r="C309" s="94"/>
      <c r="D309" s="95"/>
    </row>
    <row r="310" spans="1:4" s="4" customFormat="1" x14ac:dyDescent="0.3">
      <c r="A310" s="94"/>
      <c r="B310" s="94"/>
      <c r="C310" s="94"/>
      <c r="D310" s="95"/>
    </row>
    <row r="311" spans="1:4" s="4" customFormat="1" x14ac:dyDescent="0.3">
      <c r="A311" s="94"/>
      <c r="B311" s="94"/>
      <c r="C311" s="94"/>
      <c r="D311" s="95"/>
    </row>
    <row r="312" spans="1:4" s="4" customFormat="1" x14ac:dyDescent="0.3">
      <c r="A312" s="94"/>
      <c r="B312" s="94"/>
      <c r="C312" s="94"/>
      <c r="D312" s="95"/>
    </row>
    <row r="313" spans="1:4" s="4" customFormat="1" x14ac:dyDescent="0.3">
      <c r="A313" s="94"/>
      <c r="B313" s="94"/>
      <c r="C313" s="94"/>
      <c r="D313" s="95"/>
    </row>
    <row r="314" spans="1:4" s="4" customFormat="1" x14ac:dyDescent="0.3">
      <c r="A314" s="94"/>
      <c r="B314" s="94"/>
      <c r="C314" s="94"/>
      <c r="D314" s="95"/>
    </row>
    <row r="315" spans="1:4" s="4" customFormat="1" x14ac:dyDescent="0.3">
      <c r="A315" s="94"/>
      <c r="B315" s="94"/>
      <c r="C315" s="94"/>
      <c r="D315" s="95"/>
    </row>
    <row r="316" spans="1:4" s="4" customFormat="1" x14ac:dyDescent="0.3">
      <c r="A316" s="94"/>
      <c r="B316" s="94"/>
      <c r="C316" s="94"/>
      <c r="D316" s="95"/>
    </row>
    <row r="317" spans="1:4" s="4" customFormat="1" x14ac:dyDescent="0.3">
      <c r="A317" s="94"/>
      <c r="B317" s="94"/>
      <c r="C317" s="94"/>
      <c r="D317" s="95"/>
    </row>
    <row r="318" spans="1:4" s="4" customFormat="1" x14ac:dyDescent="0.3">
      <c r="A318" s="94"/>
      <c r="B318" s="94"/>
      <c r="C318" s="94"/>
      <c r="D318" s="95"/>
    </row>
    <row r="319" spans="1:4" s="4" customFormat="1" x14ac:dyDescent="0.3">
      <c r="A319" s="94"/>
      <c r="B319" s="94"/>
      <c r="C319" s="94"/>
      <c r="D319" s="95"/>
    </row>
    <row r="320" spans="1:4" s="4" customFormat="1" x14ac:dyDescent="0.3">
      <c r="A320" s="94"/>
      <c r="B320" s="94"/>
      <c r="C320" s="94"/>
      <c r="D320" s="95"/>
    </row>
    <row r="321" spans="1:4" s="4" customFormat="1" x14ac:dyDescent="0.3">
      <c r="A321" s="94"/>
      <c r="B321" s="94"/>
      <c r="C321" s="94"/>
      <c r="D321" s="95"/>
    </row>
    <row r="322" spans="1:4" s="4" customFormat="1" x14ac:dyDescent="0.3">
      <c r="A322" s="94"/>
      <c r="B322" s="94"/>
      <c r="C322" s="94"/>
      <c r="D322" s="95"/>
    </row>
    <row r="323" spans="1:4" s="4" customFormat="1" x14ac:dyDescent="0.3">
      <c r="A323" s="94"/>
      <c r="B323" s="94"/>
      <c r="C323" s="94"/>
      <c r="D323" s="95"/>
    </row>
    <row r="324" spans="1:4" s="4" customFormat="1" x14ac:dyDescent="0.3">
      <c r="A324" s="94"/>
      <c r="B324" s="94"/>
      <c r="C324" s="94"/>
      <c r="D324" s="95"/>
    </row>
    <row r="325" spans="1:4" s="4" customFormat="1" x14ac:dyDescent="0.3">
      <c r="A325" s="94"/>
      <c r="B325" s="94"/>
      <c r="C325" s="94"/>
      <c r="D325" s="95"/>
    </row>
    <row r="326" spans="1:4" s="4" customFormat="1" x14ac:dyDescent="0.3">
      <c r="A326" s="94"/>
      <c r="B326" s="94"/>
      <c r="C326" s="94"/>
      <c r="D326" s="95"/>
    </row>
    <row r="327" spans="1:4" s="4" customFormat="1" x14ac:dyDescent="0.3">
      <c r="A327" s="94"/>
      <c r="B327" s="94"/>
      <c r="C327" s="94"/>
      <c r="D327" s="95"/>
    </row>
    <row r="328" spans="1:4" s="4" customFormat="1" x14ac:dyDescent="0.3">
      <c r="A328" s="94"/>
      <c r="B328" s="94"/>
      <c r="C328" s="94"/>
      <c r="D328" s="95"/>
    </row>
    <row r="329" spans="1:4" s="4" customFormat="1" x14ac:dyDescent="0.3">
      <c r="A329" s="94"/>
      <c r="B329" s="94"/>
      <c r="C329" s="94"/>
      <c r="D329" s="95"/>
    </row>
    <row r="330" spans="1:4" s="4" customFormat="1" x14ac:dyDescent="0.3">
      <c r="A330" s="94"/>
      <c r="B330" s="94"/>
      <c r="C330" s="94"/>
      <c r="D330" s="95"/>
    </row>
    <row r="331" spans="1:4" s="4" customFormat="1" x14ac:dyDescent="0.3">
      <c r="A331" s="94"/>
      <c r="B331" s="94"/>
      <c r="C331" s="94"/>
      <c r="D331" s="95"/>
    </row>
    <row r="332" spans="1:4" s="4" customFormat="1" x14ac:dyDescent="0.3">
      <c r="A332" s="94"/>
      <c r="B332" s="94"/>
      <c r="C332" s="94"/>
      <c r="D332" s="95"/>
    </row>
    <row r="333" spans="1:4" s="4" customFormat="1" x14ac:dyDescent="0.3">
      <c r="A333" s="94"/>
      <c r="B333" s="94"/>
      <c r="C333" s="94"/>
      <c r="D333" s="95"/>
    </row>
    <row r="334" spans="1:4" s="4" customFormat="1" x14ac:dyDescent="0.3">
      <c r="A334" s="94"/>
      <c r="B334" s="94"/>
      <c r="C334" s="94"/>
      <c r="D334" s="95"/>
    </row>
    <row r="335" spans="1:4" s="4" customFormat="1" x14ac:dyDescent="0.3">
      <c r="A335" s="94"/>
      <c r="B335" s="94"/>
      <c r="C335" s="94"/>
      <c r="D335" s="95"/>
    </row>
    <row r="336" spans="1:4" s="4" customFormat="1" x14ac:dyDescent="0.3">
      <c r="A336" s="94"/>
      <c r="B336" s="94"/>
      <c r="C336" s="94"/>
      <c r="D336" s="95"/>
    </row>
    <row r="337" spans="1:4" s="4" customFormat="1" x14ac:dyDescent="0.3">
      <c r="A337" s="94"/>
      <c r="B337" s="94"/>
      <c r="C337" s="94"/>
      <c r="D337" s="95"/>
    </row>
    <row r="338" spans="1:4" s="4" customFormat="1" x14ac:dyDescent="0.3">
      <c r="A338" s="94"/>
      <c r="B338" s="94"/>
      <c r="C338" s="94"/>
      <c r="D338" s="95"/>
    </row>
    <row r="339" spans="1:4" s="4" customFormat="1" x14ac:dyDescent="0.3">
      <c r="A339" s="94"/>
      <c r="B339" s="94"/>
      <c r="C339" s="94"/>
      <c r="D339" s="95"/>
    </row>
    <row r="340" spans="1:4" s="4" customFormat="1" x14ac:dyDescent="0.3">
      <c r="A340" s="94"/>
      <c r="B340" s="94"/>
      <c r="C340" s="94"/>
      <c r="D340" s="95"/>
    </row>
    <row r="341" spans="1:4" s="4" customFormat="1" x14ac:dyDescent="0.3">
      <c r="A341" s="94"/>
      <c r="B341" s="94"/>
      <c r="C341" s="94"/>
      <c r="D341" s="95"/>
    </row>
    <row r="342" spans="1:4" s="4" customFormat="1" x14ac:dyDescent="0.3">
      <c r="A342" s="94"/>
      <c r="B342" s="94"/>
      <c r="C342" s="94"/>
      <c r="D342" s="95"/>
    </row>
    <row r="343" spans="1:4" s="4" customFormat="1" x14ac:dyDescent="0.3">
      <c r="A343" s="94"/>
      <c r="B343" s="94"/>
      <c r="C343" s="94"/>
      <c r="D343" s="95"/>
    </row>
    <row r="344" spans="1:4" s="4" customFormat="1" x14ac:dyDescent="0.3">
      <c r="A344" s="94"/>
      <c r="B344" s="94"/>
      <c r="C344" s="94"/>
      <c r="D344" s="95"/>
    </row>
    <row r="345" spans="1:4" s="4" customFormat="1" x14ac:dyDescent="0.3">
      <c r="A345" s="94"/>
      <c r="B345" s="94"/>
      <c r="C345" s="94"/>
      <c r="D345" s="95"/>
    </row>
    <row r="346" spans="1:4" s="4" customFormat="1" x14ac:dyDescent="0.3">
      <c r="A346" s="94"/>
      <c r="B346" s="94"/>
      <c r="C346" s="94"/>
      <c r="D346" s="95"/>
    </row>
    <row r="347" spans="1:4" s="4" customFormat="1" x14ac:dyDescent="0.3">
      <c r="A347" s="94"/>
      <c r="B347" s="94"/>
      <c r="C347" s="94"/>
      <c r="D347" s="95"/>
    </row>
    <row r="348" spans="1:4" s="4" customFormat="1" x14ac:dyDescent="0.3">
      <c r="A348" s="94"/>
      <c r="B348" s="94"/>
      <c r="C348" s="94"/>
      <c r="D348" s="95"/>
    </row>
    <row r="349" spans="1:4" s="4" customFormat="1" x14ac:dyDescent="0.3">
      <c r="A349" s="94"/>
      <c r="B349" s="94"/>
      <c r="C349" s="94"/>
      <c r="D349" s="95"/>
    </row>
    <row r="350" spans="1:4" s="4" customFormat="1" x14ac:dyDescent="0.3">
      <c r="A350" s="94"/>
      <c r="B350" s="94"/>
      <c r="C350" s="94"/>
      <c r="D350" s="95"/>
    </row>
    <row r="351" spans="1:4" s="4" customFormat="1" x14ac:dyDescent="0.3">
      <c r="A351" s="94"/>
      <c r="B351" s="94"/>
      <c r="C351" s="94"/>
      <c r="D351" s="95"/>
    </row>
    <row r="352" spans="1:4" s="4" customFormat="1" x14ac:dyDescent="0.3">
      <c r="A352" s="94"/>
      <c r="B352" s="94"/>
      <c r="C352" s="94"/>
      <c r="D352" s="95"/>
    </row>
    <row r="353" spans="1:4" s="4" customFormat="1" x14ac:dyDescent="0.3">
      <c r="A353" s="94"/>
      <c r="B353" s="94"/>
      <c r="C353" s="94"/>
      <c r="D353" s="95"/>
    </row>
    <row r="354" spans="1:4" s="4" customFormat="1" x14ac:dyDescent="0.3">
      <c r="A354" s="94"/>
      <c r="B354" s="94"/>
      <c r="C354" s="94"/>
      <c r="D354" s="95"/>
    </row>
    <row r="355" spans="1:4" s="4" customFormat="1" x14ac:dyDescent="0.3">
      <c r="A355" s="94"/>
      <c r="B355" s="94"/>
      <c r="C355" s="94"/>
      <c r="D355" s="95"/>
    </row>
    <row r="356" spans="1:4" s="4" customFormat="1" x14ac:dyDescent="0.3">
      <c r="A356" s="94"/>
      <c r="B356" s="94"/>
      <c r="C356" s="94"/>
      <c r="D356" s="95"/>
    </row>
    <row r="357" spans="1:4" s="4" customFormat="1" x14ac:dyDescent="0.3">
      <c r="A357" s="94"/>
      <c r="B357" s="94"/>
      <c r="C357" s="94"/>
      <c r="D357" s="95"/>
    </row>
    <row r="358" spans="1:4" s="4" customFormat="1" x14ac:dyDescent="0.3">
      <c r="A358" s="94"/>
      <c r="B358" s="94"/>
      <c r="C358" s="94"/>
      <c r="D358" s="95"/>
    </row>
    <row r="359" spans="1:4" s="4" customFormat="1" x14ac:dyDescent="0.3">
      <c r="A359" s="94"/>
      <c r="B359" s="94"/>
      <c r="C359" s="94"/>
      <c r="D359" s="95"/>
    </row>
    <row r="360" spans="1:4" s="4" customFormat="1" x14ac:dyDescent="0.3">
      <c r="A360" s="94"/>
      <c r="B360" s="94"/>
      <c r="C360" s="94"/>
      <c r="D360" s="95"/>
    </row>
    <row r="361" spans="1:4" s="4" customFormat="1" x14ac:dyDescent="0.3">
      <c r="A361" s="94"/>
      <c r="B361" s="94"/>
      <c r="C361" s="94"/>
      <c r="D361" s="95"/>
    </row>
    <row r="362" spans="1:4" s="4" customFormat="1" x14ac:dyDescent="0.3">
      <c r="A362" s="94"/>
      <c r="B362" s="94"/>
      <c r="C362" s="94"/>
      <c r="D362" s="95"/>
    </row>
    <row r="363" spans="1:4" s="4" customFormat="1" x14ac:dyDescent="0.3">
      <c r="A363" s="94"/>
      <c r="B363" s="94"/>
      <c r="C363" s="94"/>
      <c r="D363" s="95"/>
    </row>
    <row r="364" spans="1:4" s="4" customFormat="1" x14ac:dyDescent="0.3">
      <c r="A364" s="94"/>
      <c r="B364" s="94"/>
      <c r="C364" s="94"/>
      <c r="D364" s="95"/>
    </row>
    <row r="365" spans="1:4" s="4" customFormat="1" x14ac:dyDescent="0.3">
      <c r="A365" s="94"/>
      <c r="B365" s="94"/>
      <c r="C365" s="94"/>
      <c r="D365" s="95"/>
    </row>
    <row r="366" spans="1:4" s="4" customFormat="1" x14ac:dyDescent="0.3">
      <c r="A366" s="94"/>
      <c r="B366" s="94"/>
      <c r="C366" s="94"/>
      <c r="D366" s="95"/>
    </row>
    <row r="367" spans="1:4" s="4" customFormat="1" x14ac:dyDescent="0.3">
      <c r="A367" s="94"/>
      <c r="B367" s="94"/>
      <c r="C367" s="94"/>
      <c r="D367" s="95"/>
    </row>
    <row r="368" spans="1:4" s="4" customFormat="1" x14ac:dyDescent="0.3">
      <c r="A368" s="94"/>
      <c r="B368" s="94"/>
      <c r="C368" s="94"/>
      <c r="D368" s="95"/>
    </row>
    <row r="369" spans="1:4" s="4" customFormat="1" x14ac:dyDescent="0.3">
      <c r="A369" s="94"/>
      <c r="B369" s="94"/>
      <c r="C369" s="94"/>
      <c r="D369" s="95"/>
    </row>
    <row r="370" spans="1:4" s="4" customFormat="1" x14ac:dyDescent="0.3">
      <c r="A370" s="94"/>
      <c r="B370" s="94"/>
      <c r="C370" s="94"/>
      <c r="D370" s="95"/>
    </row>
    <row r="371" spans="1:4" s="4" customFormat="1" x14ac:dyDescent="0.3">
      <c r="A371" s="94"/>
      <c r="B371" s="94"/>
      <c r="C371" s="94"/>
      <c r="D371" s="95"/>
    </row>
    <row r="372" spans="1:4" s="4" customFormat="1" x14ac:dyDescent="0.3">
      <c r="A372" s="94"/>
      <c r="B372" s="94"/>
      <c r="C372" s="94"/>
      <c r="D372" s="95"/>
    </row>
    <row r="373" spans="1:4" s="4" customFormat="1" x14ac:dyDescent="0.3">
      <c r="A373" s="94"/>
      <c r="B373" s="94"/>
      <c r="C373" s="94"/>
      <c r="D373" s="95"/>
    </row>
    <row r="374" spans="1:4" s="4" customFormat="1" x14ac:dyDescent="0.3">
      <c r="A374" s="94"/>
      <c r="B374" s="94"/>
      <c r="C374" s="94"/>
      <c r="D374" s="95"/>
    </row>
    <row r="375" spans="1:4" s="4" customFormat="1" x14ac:dyDescent="0.3">
      <c r="A375" s="94"/>
      <c r="B375" s="94"/>
      <c r="C375" s="94"/>
      <c r="D375" s="95"/>
    </row>
    <row r="376" spans="1:4" s="4" customFormat="1" x14ac:dyDescent="0.3">
      <c r="A376" s="94"/>
      <c r="B376" s="94"/>
      <c r="C376" s="94"/>
      <c r="D376" s="95"/>
    </row>
    <row r="377" spans="1:4" s="4" customFormat="1" x14ac:dyDescent="0.3">
      <c r="A377" s="94"/>
      <c r="B377" s="94"/>
      <c r="C377" s="94"/>
      <c r="D377" s="95"/>
    </row>
    <row r="378" spans="1:4" s="4" customFormat="1" x14ac:dyDescent="0.3">
      <c r="A378" s="94"/>
      <c r="B378" s="94"/>
      <c r="C378" s="94"/>
      <c r="D378" s="95"/>
    </row>
    <row r="379" spans="1:4" s="4" customFormat="1" x14ac:dyDescent="0.3">
      <c r="A379" s="94"/>
      <c r="B379" s="94"/>
      <c r="C379" s="94"/>
      <c r="D379" s="95"/>
    </row>
    <row r="380" spans="1:4" s="4" customFormat="1" x14ac:dyDescent="0.3">
      <c r="A380" s="94"/>
      <c r="B380" s="94"/>
      <c r="C380" s="94"/>
      <c r="D380" s="95"/>
    </row>
    <row r="381" spans="1:4" s="4" customFormat="1" x14ac:dyDescent="0.3">
      <c r="A381" s="94"/>
      <c r="B381" s="94"/>
      <c r="C381" s="94"/>
      <c r="D381" s="95"/>
    </row>
    <row r="382" spans="1:4" s="4" customFormat="1" x14ac:dyDescent="0.3">
      <c r="A382" s="94"/>
      <c r="B382" s="94"/>
      <c r="C382" s="94"/>
      <c r="D382" s="95"/>
    </row>
    <row r="383" spans="1:4" s="4" customFormat="1" x14ac:dyDescent="0.3">
      <c r="A383" s="94"/>
      <c r="B383" s="94"/>
      <c r="C383" s="94"/>
      <c r="D383" s="95"/>
    </row>
    <row r="384" spans="1:4" s="4" customFormat="1" x14ac:dyDescent="0.3">
      <c r="A384" s="94"/>
      <c r="B384" s="94"/>
      <c r="C384" s="94"/>
      <c r="D384" s="95"/>
    </row>
    <row r="385" spans="1:4" s="4" customFormat="1" x14ac:dyDescent="0.3">
      <c r="A385" s="94"/>
      <c r="B385" s="94"/>
      <c r="C385" s="94"/>
      <c r="D385" s="95"/>
    </row>
    <row r="386" spans="1:4" s="4" customFormat="1" x14ac:dyDescent="0.3">
      <c r="A386" s="94"/>
      <c r="B386" s="94"/>
      <c r="C386" s="94"/>
      <c r="D386" s="95"/>
    </row>
    <row r="387" spans="1:4" s="4" customFormat="1" x14ac:dyDescent="0.3">
      <c r="A387" s="94"/>
      <c r="B387" s="94"/>
      <c r="C387" s="94"/>
      <c r="D387" s="95"/>
    </row>
    <row r="388" spans="1:4" s="4" customFormat="1" x14ac:dyDescent="0.3">
      <c r="A388" s="94"/>
      <c r="B388" s="94"/>
      <c r="C388" s="94"/>
      <c r="D388" s="95"/>
    </row>
    <row r="389" spans="1:4" s="4" customFormat="1" x14ac:dyDescent="0.3">
      <c r="A389" s="94"/>
      <c r="B389" s="94"/>
      <c r="C389" s="94"/>
      <c r="D389" s="95"/>
    </row>
    <row r="390" spans="1:4" s="4" customFormat="1" x14ac:dyDescent="0.3">
      <c r="A390" s="94"/>
      <c r="B390" s="94"/>
      <c r="C390" s="94"/>
      <c r="D390" s="95"/>
    </row>
    <row r="391" spans="1:4" s="4" customFormat="1" x14ac:dyDescent="0.3">
      <c r="A391" s="94"/>
      <c r="B391" s="94"/>
      <c r="C391" s="94"/>
      <c r="D391" s="95"/>
    </row>
    <row r="392" spans="1:4" s="4" customFormat="1" x14ac:dyDescent="0.3">
      <c r="A392" s="94"/>
      <c r="B392" s="94"/>
      <c r="C392" s="94"/>
      <c r="D392" s="95"/>
    </row>
    <row r="393" spans="1:4" s="4" customFormat="1" x14ac:dyDescent="0.3">
      <c r="A393" s="94"/>
      <c r="B393" s="94"/>
      <c r="C393" s="94"/>
      <c r="D393" s="95"/>
    </row>
    <row r="394" spans="1:4" s="4" customFormat="1" x14ac:dyDescent="0.3">
      <c r="A394" s="94"/>
      <c r="B394" s="94"/>
      <c r="C394" s="94"/>
      <c r="D394" s="95"/>
    </row>
    <row r="395" spans="1:4" s="4" customFormat="1" x14ac:dyDescent="0.3">
      <c r="A395" s="94"/>
      <c r="B395" s="94"/>
      <c r="C395" s="94"/>
      <c r="D395" s="95"/>
    </row>
    <row r="396" spans="1:4" s="4" customFormat="1" x14ac:dyDescent="0.3">
      <c r="A396" s="94"/>
      <c r="B396" s="94"/>
      <c r="C396" s="94"/>
      <c r="D396" s="95"/>
    </row>
    <row r="397" spans="1:4" s="4" customFormat="1" x14ac:dyDescent="0.3">
      <c r="A397" s="94"/>
      <c r="B397" s="94"/>
      <c r="C397" s="94"/>
      <c r="D397" s="95"/>
    </row>
    <row r="398" spans="1:4" s="4" customFormat="1" x14ac:dyDescent="0.3">
      <c r="A398" s="94"/>
      <c r="B398" s="94"/>
      <c r="C398" s="94"/>
      <c r="D398" s="95"/>
    </row>
    <row r="399" spans="1:4" s="4" customFormat="1" x14ac:dyDescent="0.3">
      <c r="A399" s="94"/>
      <c r="B399" s="94"/>
      <c r="C399" s="94"/>
      <c r="D399" s="95"/>
    </row>
    <row r="400" spans="1:4" s="4" customFormat="1" x14ac:dyDescent="0.3">
      <c r="A400" s="94"/>
      <c r="B400" s="94"/>
      <c r="C400" s="94"/>
      <c r="D400" s="95"/>
    </row>
    <row r="401" spans="1:4" s="4" customFormat="1" x14ac:dyDescent="0.3">
      <c r="A401" s="94"/>
      <c r="B401" s="94"/>
      <c r="C401" s="94"/>
      <c r="D401" s="95"/>
    </row>
    <row r="402" spans="1:4" s="4" customFormat="1" x14ac:dyDescent="0.3">
      <c r="A402" s="94"/>
      <c r="B402" s="94"/>
      <c r="C402" s="94"/>
      <c r="D402" s="95"/>
    </row>
    <row r="403" spans="1:4" s="4" customFormat="1" x14ac:dyDescent="0.3">
      <c r="A403" s="94"/>
      <c r="B403" s="94"/>
      <c r="C403" s="94"/>
      <c r="D403" s="95"/>
    </row>
    <row r="404" spans="1:4" s="4" customFormat="1" x14ac:dyDescent="0.3">
      <c r="A404" s="94"/>
      <c r="B404" s="94"/>
      <c r="C404" s="94"/>
      <c r="D404" s="95"/>
    </row>
    <row r="405" spans="1:4" s="4" customFormat="1" x14ac:dyDescent="0.3">
      <c r="A405" s="94"/>
      <c r="B405" s="94"/>
      <c r="C405" s="94"/>
      <c r="D405" s="95"/>
    </row>
    <row r="406" spans="1:4" s="4" customFormat="1" x14ac:dyDescent="0.3">
      <c r="A406" s="94"/>
      <c r="B406" s="94"/>
      <c r="C406" s="94"/>
      <c r="D406" s="95"/>
    </row>
    <row r="407" spans="1:4" s="4" customFormat="1" x14ac:dyDescent="0.3">
      <c r="A407" s="94"/>
      <c r="B407" s="94"/>
      <c r="C407" s="94"/>
      <c r="D407" s="95"/>
    </row>
    <row r="408" spans="1:4" s="4" customFormat="1" x14ac:dyDescent="0.3">
      <c r="A408" s="94"/>
      <c r="B408" s="94"/>
      <c r="C408" s="94"/>
      <c r="D408" s="95"/>
    </row>
    <row r="409" spans="1:4" s="4" customFormat="1" x14ac:dyDescent="0.3">
      <c r="A409" s="94"/>
      <c r="B409" s="94"/>
      <c r="C409" s="94"/>
      <c r="D409" s="95"/>
    </row>
    <row r="410" spans="1:4" s="4" customFormat="1" x14ac:dyDescent="0.3">
      <c r="A410" s="94"/>
      <c r="B410" s="94"/>
      <c r="C410" s="94"/>
      <c r="D410" s="95"/>
    </row>
    <row r="411" spans="1:4" s="4" customFormat="1" x14ac:dyDescent="0.3">
      <c r="A411" s="94"/>
      <c r="B411" s="94"/>
      <c r="C411" s="94"/>
      <c r="D411" s="95"/>
    </row>
    <row r="412" spans="1:4" s="4" customFormat="1" x14ac:dyDescent="0.3">
      <c r="A412" s="94"/>
      <c r="B412" s="94"/>
      <c r="C412" s="94"/>
      <c r="D412" s="95"/>
    </row>
    <row r="413" spans="1:4" s="4" customFormat="1" x14ac:dyDescent="0.3">
      <c r="A413" s="94"/>
      <c r="B413" s="94"/>
      <c r="C413" s="94"/>
      <c r="D413" s="95"/>
    </row>
    <row r="414" spans="1:4" s="4" customFormat="1" x14ac:dyDescent="0.3">
      <c r="A414" s="94"/>
      <c r="B414" s="94"/>
      <c r="C414" s="94"/>
      <c r="D414" s="95"/>
    </row>
    <row r="415" spans="1:4" s="4" customFormat="1" x14ac:dyDescent="0.3">
      <c r="A415" s="94"/>
      <c r="B415" s="94"/>
      <c r="C415" s="94"/>
      <c r="D415" s="95"/>
    </row>
    <row r="416" spans="1:4" s="4" customFormat="1" x14ac:dyDescent="0.3">
      <c r="A416" s="94"/>
      <c r="B416" s="94"/>
      <c r="C416" s="94"/>
      <c r="D416" s="95"/>
    </row>
    <row r="417" spans="1:4" s="4" customFormat="1" x14ac:dyDescent="0.3">
      <c r="A417" s="94"/>
      <c r="B417" s="94"/>
      <c r="C417" s="94"/>
      <c r="D417" s="95"/>
    </row>
    <row r="418" spans="1:4" s="4" customFormat="1" x14ac:dyDescent="0.3">
      <c r="A418" s="94"/>
      <c r="B418" s="94"/>
      <c r="C418" s="94"/>
      <c r="D418" s="95"/>
    </row>
    <row r="419" spans="1:4" s="4" customFormat="1" x14ac:dyDescent="0.3">
      <c r="A419" s="94"/>
      <c r="B419" s="94"/>
      <c r="C419" s="94"/>
      <c r="D419" s="95"/>
    </row>
    <row r="420" spans="1:4" s="4" customFormat="1" x14ac:dyDescent="0.3">
      <c r="A420" s="94"/>
      <c r="B420" s="94"/>
      <c r="C420" s="94"/>
      <c r="D420" s="95"/>
    </row>
    <row r="421" spans="1:4" s="4" customFormat="1" x14ac:dyDescent="0.3">
      <c r="A421" s="94"/>
      <c r="B421" s="94"/>
      <c r="C421" s="94"/>
      <c r="D421" s="95"/>
    </row>
    <row r="422" spans="1:4" s="4" customFormat="1" x14ac:dyDescent="0.3">
      <c r="A422" s="94"/>
      <c r="B422" s="94"/>
      <c r="C422" s="94"/>
      <c r="D422" s="95"/>
    </row>
    <row r="423" spans="1:4" s="4" customFormat="1" x14ac:dyDescent="0.3">
      <c r="A423" s="94"/>
      <c r="B423" s="94"/>
      <c r="C423" s="94"/>
      <c r="D423" s="95"/>
    </row>
    <row r="424" spans="1:4" s="4" customFormat="1" x14ac:dyDescent="0.3">
      <c r="A424" s="94"/>
      <c r="B424" s="94"/>
      <c r="C424" s="94"/>
      <c r="D424" s="95"/>
    </row>
    <row r="425" spans="1:4" s="4" customFormat="1" x14ac:dyDescent="0.3">
      <c r="A425" s="94"/>
      <c r="B425" s="94"/>
      <c r="C425" s="94"/>
      <c r="D425" s="95"/>
    </row>
    <row r="426" spans="1:4" s="4" customFormat="1" x14ac:dyDescent="0.3">
      <c r="A426" s="94"/>
      <c r="B426" s="94"/>
      <c r="C426" s="94"/>
      <c r="D426" s="95"/>
    </row>
    <row r="427" spans="1:4" s="4" customFormat="1" x14ac:dyDescent="0.3">
      <c r="A427" s="94"/>
      <c r="B427" s="94"/>
      <c r="C427" s="94"/>
      <c r="D427" s="95"/>
    </row>
    <row r="428" spans="1:4" s="4" customFormat="1" x14ac:dyDescent="0.3">
      <c r="A428" s="94"/>
      <c r="B428" s="94"/>
      <c r="C428" s="94"/>
      <c r="D428" s="95"/>
    </row>
    <row r="429" spans="1:4" s="4" customFormat="1" x14ac:dyDescent="0.3">
      <c r="A429" s="94"/>
      <c r="B429" s="94"/>
      <c r="C429" s="94"/>
      <c r="D429" s="95"/>
    </row>
    <row r="430" spans="1:4" s="4" customFormat="1" x14ac:dyDescent="0.3">
      <c r="A430" s="94"/>
      <c r="B430" s="94"/>
      <c r="C430" s="94"/>
      <c r="D430" s="95"/>
    </row>
    <row r="431" spans="1:4" s="4" customFormat="1" x14ac:dyDescent="0.3">
      <c r="A431" s="94"/>
      <c r="B431" s="94"/>
      <c r="C431" s="94"/>
      <c r="D431" s="95"/>
    </row>
    <row r="432" spans="1:4" s="4" customFormat="1" x14ac:dyDescent="0.3">
      <c r="A432" s="94"/>
      <c r="B432" s="94"/>
      <c r="C432" s="94"/>
      <c r="D432" s="95"/>
    </row>
    <row r="433" spans="1:4" s="4" customFormat="1" x14ac:dyDescent="0.3">
      <c r="A433" s="94"/>
      <c r="B433" s="94"/>
      <c r="C433" s="94"/>
      <c r="D433" s="95"/>
    </row>
    <row r="434" spans="1:4" s="4" customFormat="1" x14ac:dyDescent="0.3">
      <c r="A434" s="94"/>
      <c r="B434" s="94"/>
      <c r="C434" s="94"/>
      <c r="D434" s="95"/>
    </row>
    <row r="435" spans="1:4" s="4" customFormat="1" x14ac:dyDescent="0.3">
      <c r="A435" s="94"/>
      <c r="B435" s="94"/>
      <c r="C435" s="94"/>
      <c r="D435" s="95"/>
    </row>
    <row r="436" spans="1:4" s="4" customFormat="1" x14ac:dyDescent="0.3">
      <c r="A436" s="94"/>
      <c r="B436" s="94"/>
      <c r="C436" s="94"/>
      <c r="D436" s="95"/>
    </row>
    <row r="437" spans="1:4" s="4" customFormat="1" x14ac:dyDescent="0.3">
      <c r="A437" s="94"/>
      <c r="B437" s="94"/>
      <c r="C437" s="94"/>
      <c r="D437" s="95"/>
    </row>
    <row r="438" spans="1:4" s="4" customFormat="1" x14ac:dyDescent="0.3">
      <c r="A438" s="94"/>
      <c r="B438" s="94"/>
      <c r="C438" s="94"/>
      <c r="D438" s="95"/>
    </row>
    <row r="439" spans="1:4" s="4" customFormat="1" x14ac:dyDescent="0.3">
      <c r="A439" s="94"/>
      <c r="B439" s="94"/>
      <c r="C439" s="94"/>
      <c r="D439" s="95"/>
    </row>
    <row r="440" spans="1:4" s="4" customFormat="1" x14ac:dyDescent="0.3">
      <c r="A440" s="94"/>
      <c r="B440" s="94"/>
      <c r="C440" s="94"/>
      <c r="D440" s="95"/>
    </row>
    <row r="441" spans="1:4" s="4" customFormat="1" x14ac:dyDescent="0.3">
      <c r="A441" s="94"/>
      <c r="B441" s="94"/>
      <c r="C441" s="94"/>
      <c r="D441" s="95"/>
    </row>
    <row r="442" spans="1:4" s="4" customFormat="1" x14ac:dyDescent="0.3">
      <c r="A442" s="94"/>
      <c r="B442" s="94"/>
      <c r="C442" s="94"/>
      <c r="D442" s="95"/>
    </row>
    <row r="443" spans="1:4" s="4" customFormat="1" x14ac:dyDescent="0.3">
      <c r="A443" s="94"/>
      <c r="B443" s="94"/>
      <c r="C443" s="94"/>
      <c r="D443" s="95"/>
    </row>
    <row r="444" spans="1:4" s="4" customFormat="1" x14ac:dyDescent="0.3">
      <c r="A444" s="94"/>
      <c r="B444" s="94"/>
      <c r="C444" s="94"/>
      <c r="D444" s="95"/>
    </row>
    <row r="445" spans="1:4" s="4" customFormat="1" x14ac:dyDescent="0.3">
      <c r="A445" s="94"/>
      <c r="B445" s="94"/>
      <c r="C445" s="94"/>
      <c r="D445" s="95"/>
    </row>
    <row r="446" spans="1:4" s="4" customFormat="1" x14ac:dyDescent="0.3">
      <c r="A446" s="94"/>
      <c r="B446" s="94"/>
      <c r="C446" s="94"/>
      <c r="D446" s="95"/>
    </row>
    <row r="447" spans="1:4" s="4" customFormat="1" x14ac:dyDescent="0.3">
      <c r="A447" s="94"/>
      <c r="B447" s="94"/>
      <c r="C447" s="94"/>
      <c r="D447" s="95"/>
    </row>
    <row r="448" spans="1:4" s="4" customFormat="1" x14ac:dyDescent="0.3">
      <c r="A448" s="94"/>
      <c r="B448" s="94"/>
      <c r="C448" s="94"/>
      <c r="D448" s="95"/>
    </row>
    <row r="449" spans="1:4" s="4" customFormat="1" x14ac:dyDescent="0.3">
      <c r="A449" s="94"/>
      <c r="B449" s="94"/>
      <c r="C449" s="94"/>
      <c r="D449" s="95"/>
    </row>
    <row r="450" spans="1:4" s="4" customFormat="1" x14ac:dyDescent="0.3">
      <c r="A450" s="94"/>
      <c r="B450" s="94"/>
      <c r="C450" s="94"/>
      <c r="D450" s="95"/>
    </row>
    <row r="451" spans="1:4" s="4" customFormat="1" x14ac:dyDescent="0.3">
      <c r="A451" s="94"/>
      <c r="B451" s="94"/>
      <c r="C451" s="94"/>
      <c r="D451" s="95"/>
    </row>
    <row r="452" spans="1:4" s="4" customFormat="1" x14ac:dyDescent="0.3">
      <c r="A452" s="94"/>
      <c r="B452" s="94"/>
      <c r="C452" s="94"/>
      <c r="D452" s="95"/>
    </row>
    <row r="453" spans="1:4" s="4" customFormat="1" x14ac:dyDescent="0.3">
      <c r="A453" s="94"/>
      <c r="B453" s="94"/>
      <c r="C453" s="94"/>
      <c r="D453" s="95"/>
    </row>
    <row r="454" spans="1:4" s="4" customFormat="1" x14ac:dyDescent="0.3">
      <c r="A454" s="94"/>
      <c r="B454" s="94"/>
      <c r="C454" s="94"/>
      <c r="D454" s="95"/>
    </row>
    <row r="455" spans="1:4" s="4" customFormat="1" x14ac:dyDescent="0.3">
      <c r="A455" s="94"/>
      <c r="B455" s="94"/>
      <c r="C455" s="94"/>
      <c r="D455" s="95"/>
    </row>
    <row r="456" spans="1:4" s="4" customFormat="1" x14ac:dyDescent="0.3">
      <c r="A456" s="94"/>
      <c r="B456" s="94"/>
      <c r="C456" s="94"/>
      <c r="D456" s="95"/>
    </row>
    <row r="457" spans="1:4" s="4" customFormat="1" x14ac:dyDescent="0.3">
      <c r="A457" s="94"/>
      <c r="B457" s="94"/>
      <c r="C457" s="94"/>
      <c r="D457" s="95"/>
    </row>
    <row r="458" spans="1:4" s="4" customFormat="1" x14ac:dyDescent="0.3">
      <c r="A458" s="94"/>
      <c r="B458" s="94"/>
      <c r="C458" s="94"/>
      <c r="D458" s="95"/>
    </row>
    <row r="459" spans="1:4" s="4" customFormat="1" x14ac:dyDescent="0.3">
      <c r="A459" s="94"/>
      <c r="B459" s="94"/>
      <c r="C459" s="94"/>
      <c r="D459" s="95"/>
    </row>
    <row r="460" spans="1:4" s="4" customFormat="1" x14ac:dyDescent="0.3">
      <c r="A460" s="94"/>
      <c r="B460" s="94"/>
      <c r="C460" s="94"/>
      <c r="D460" s="95"/>
    </row>
    <row r="461" spans="1:4" s="4" customFormat="1" x14ac:dyDescent="0.3">
      <c r="A461" s="94"/>
      <c r="B461" s="94"/>
      <c r="C461" s="94"/>
      <c r="D461" s="95"/>
    </row>
    <row r="462" spans="1:4" s="4" customFormat="1" x14ac:dyDescent="0.3">
      <c r="A462" s="94"/>
      <c r="B462" s="94"/>
      <c r="C462" s="94"/>
      <c r="D462" s="95"/>
    </row>
    <row r="463" spans="1:4" s="4" customFormat="1" x14ac:dyDescent="0.3">
      <c r="A463" s="94"/>
      <c r="B463" s="94"/>
      <c r="C463" s="94"/>
      <c r="D463" s="95"/>
    </row>
    <row r="464" spans="1:4" s="4" customFormat="1" x14ac:dyDescent="0.3">
      <c r="A464" s="94"/>
      <c r="B464" s="94"/>
      <c r="C464" s="94"/>
      <c r="D464" s="95"/>
    </row>
    <row r="465" spans="1:4" s="4" customFormat="1" x14ac:dyDescent="0.3">
      <c r="A465" s="94"/>
      <c r="B465" s="94"/>
      <c r="C465" s="94"/>
      <c r="D465" s="95"/>
    </row>
    <row r="466" spans="1:4" s="4" customFormat="1" x14ac:dyDescent="0.3">
      <c r="A466" s="94"/>
      <c r="B466" s="94"/>
      <c r="C466" s="94"/>
      <c r="D466" s="95"/>
    </row>
    <row r="467" spans="1:4" s="4" customFormat="1" x14ac:dyDescent="0.3">
      <c r="A467" s="94"/>
      <c r="B467" s="94"/>
      <c r="C467" s="94"/>
      <c r="D467" s="95"/>
    </row>
    <row r="468" spans="1:4" s="4" customFormat="1" x14ac:dyDescent="0.3">
      <c r="A468" s="94"/>
      <c r="B468" s="94"/>
      <c r="C468" s="94"/>
      <c r="D468" s="95"/>
    </row>
    <row r="469" spans="1:4" s="4" customFormat="1" x14ac:dyDescent="0.3">
      <c r="A469" s="94"/>
      <c r="B469" s="94"/>
      <c r="C469" s="94"/>
      <c r="D469" s="95"/>
    </row>
    <row r="470" spans="1:4" s="4" customFormat="1" x14ac:dyDescent="0.3">
      <c r="A470" s="94"/>
      <c r="B470" s="94"/>
      <c r="C470" s="94"/>
      <c r="D470" s="95"/>
    </row>
    <row r="471" spans="1:4" s="4" customFormat="1" x14ac:dyDescent="0.3">
      <c r="A471" s="94"/>
      <c r="B471" s="94"/>
      <c r="C471" s="94"/>
      <c r="D471" s="95"/>
    </row>
    <row r="472" spans="1:4" s="4" customFormat="1" x14ac:dyDescent="0.3">
      <c r="A472" s="94"/>
      <c r="B472" s="94"/>
      <c r="C472" s="94"/>
      <c r="D472" s="95"/>
    </row>
    <row r="473" spans="1:4" s="4" customFormat="1" x14ac:dyDescent="0.3">
      <c r="A473" s="94"/>
      <c r="B473" s="94"/>
      <c r="C473" s="94"/>
      <c r="D473" s="95"/>
    </row>
    <row r="474" spans="1:4" s="4" customFormat="1" x14ac:dyDescent="0.3">
      <c r="A474" s="94"/>
      <c r="B474" s="94"/>
      <c r="C474" s="94"/>
      <c r="D474" s="95"/>
    </row>
    <row r="475" spans="1:4" s="4" customFormat="1" x14ac:dyDescent="0.3">
      <c r="A475" s="94"/>
      <c r="B475" s="94"/>
      <c r="C475" s="94"/>
      <c r="D475" s="95"/>
    </row>
    <row r="476" spans="1:4" s="4" customFormat="1" x14ac:dyDescent="0.3">
      <c r="A476" s="94"/>
      <c r="B476" s="94"/>
      <c r="C476" s="94"/>
      <c r="D476" s="95"/>
    </row>
    <row r="477" spans="1:4" s="4" customFormat="1" x14ac:dyDescent="0.3">
      <c r="A477" s="94"/>
      <c r="B477" s="94"/>
      <c r="C477" s="94"/>
      <c r="D477" s="95"/>
    </row>
    <row r="478" spans="1:4" s="4" customFormat="1" x14ac:dyDescent="0.3">
      <c r="A478" s="94"/>
      <c r="B478" s="94"/>
      <c r="C478" s="94"/>
      <c r="D478" s="95"/>
    </row>
    <row r="479" spans="1:4" s="4" customFormat="1" x14ac:dyDescent="0.3">
      <c r="A479" s="94"/>
      <c r="B479" s="94"/>
      <c r="C479" s="94"/>
      <c r="D479" s="95"/>
    </row>
    <row r="480" spans="1:4" s="4" customFormat="1" x14ac:dyDescent="0.3">
      <c r="A480" s="94"/>
      <c r="B480" s="94"/>
      <c r="C480" s="94"/>
      <c r="D480" s="95"/>
    </row>
    <row r="481" spans="1:4" s="4" customFormat="1" x14ac:dyDescent="0.3">
      <c r="A481" s="94"/>
      <c r="B481" s="94"/>
      <c r="C481" s="94"/>
      <c r="D481" s="95"/>
    </row>
    <row r="482" spans="1:4" s="4" customFormat="1" x14ac:dyDescent="0.3">
      <c r="A482" s="94"/>
      <c r="B482" s="94"/>
      <c r="C482" s="94"/>
      <c r="D482" s="95"/>
    </row>
    <row r="483" spans="1:4" s="4" customFormat="1" x14ac:dyDescent="0.3">
      <c r="A483" s="94"/>
      <c r="B483" s="94"/>
      <c r="C483" s="94"/>
      <c r="D483" s="95"/>
    </row>
    <row r="484" spans="1:4" s="4" customFormat="1" x14ac:dyDescent="0.3">
      <c r="A484" s="94"/>
      <c r="B484" s="94"/>
      <c r="C484" s="94"/>
      <c r="D484" s="95"/>
    </row>
    <row r="485" spans="1:4" s="4" customFormat="1" x14ac:dyDescent="0.3">
      <c r="A485" s="94"/>
      <c r="B485" s="94"/>
      <c r="C485" s="94"/>
      <c r="D485" s="95"/>
    </row>
    <row r="486" spans="1:4" s="4" customFormat="1" x14ac:dyDescent="0.3">
      <c r="A486" s="94"/>
      <c r="B486" s="94"/>
      <c r="C486" s="94"/>
      <c r="D486" s="95"/>
    </row>
    <row r="487" spans="1:4" s="4" customFormat="1" x14ac:dyDescent="0.3">
      <c r="A487" s="94"/>
      <c r="B487" s="94"/>
      <c r="C487" s="94"/>
      <c r="D487" s="95"/>
    </row>
    <row r="488" spans="1:4" s="4" customFormat="1" x14ac:dyDescent="0.3">
      <c r="A488" s="94"/>
      <c r="B488" s="94"/>
      <c r="C488" s="94"/>
      <c r="D488" s="95"/>
    </row>
    <row r="489" spans="1:4" s="4" customFormat="1" x14ac:dyDescent="0.3">
      <c r="A489" s="94"/>
      <c r="B489" s="94"/>
      <c r="C489" s="94"/>
      <c r="D489" s="95"/>
    </row>
    <row r="490" spans="1:4" s="4" customFormat="1" x14ac:dyDescent="0.3">
      <c r="A490" s="94"/>
      <c r="B490" s="94"/>
      <c r="C490" s="94"/>
      <c r="D490" s="95"/>
    </row>
    <row r="491" spans="1:4" s="4" customFormat="1" x14ac:dyDescent="0.3">
      <c r="A491" s="94"/>
      <c r="B491" s="94"/>
      <c r="C491" s="94"/>
      <c r="D491" s="95"/>
    </row>
    <row r="492" spans="1:4" s="4" customFormat="1" x14ac:dyDescent="0.3">
      <c r="A492" s="94"/>
      <c r="B492" s="94"/>
      <c r="C492" s="94"/>
      <c r="D492" s="95"/>
    </row>
    <row r="493" spans="1:4" s="4" customFormat="1" x14ac:dyDescent="0.3">
      <c r="A493" s="94"/>
      <c r="B493" s="94"/>
      <c r="C493" s="94"/>
      <c r="D493" s="95"/>
    </row>
    <row r="494" spans="1:4" s="4" customFormat="1" x14ac:dyDescent="0.3">
      <c r="A494" s="94"/>
      <c r="B494" s="94"/>
      <c r="C494" s="94"/>
      <c r="D494" s="95"/>
    </row>
    <row r="495" spans="1:4" s="4" customFormat="1" x14ac:dyDescent="0.3">
      <c r="A495" s="94"/>
      <c r="B495" s="94"/>
      <c r="C495" s="94"/>
      <c r="D495" s="95"/>
    </row>
    <row r="496" spans="1:4" s="4" customFormat="1" x14ac:dyDescent="0.3">
      <c r="A496" s="94"/>
      <c r="B496" s="94"/>
      <c r="C496" s="94"/>
      <c r="D496" s="95"/>
    </row>
    <row r="497" spans="1:4" s="4" customFormat="1" x14ac:dyDescent="0.3">
      <c r="A497" s="94"/>
      <c r="B497" s="94"/>
      <c r="C497" s="94"/>
      <c r="D497" s="95"/>
    </row>
    <row r="498" spans="1:4" s="4" customFormat="1" x14ac:dyDescent="0.3">
      <c r="A498" s="94"/>
      <c r="B498" s="94"/>
      <c r="C498" s="94"/>
      <c r="D498" s="95"/>
    </row>
    <row r="499" spans="1:4" s="4" customFormat="1" x14ac:dyDescent="0.3">
      <c r="A499" s="94"/>
      <c r="B499" s="94"/>
      <c r="C499" s="94"/>
      <c r="D499" s="95"/>
    </row>
    <row r="500" spans="1:4" s="4" customFormat="1" x14ac:dyDescent="0.3">
      <c r="A500" s="94"/>
      <c r="B500" s="94"/>
      <c r="C500" s="94"/>
      <c r="D500" s="95"/>
    </row>
    <row r="501" spans="1:4" s="4" customFormat="1" x14ac:dyDescent="0.3">
      <c r="A501" s="94"/>
      <c r="B501" s="94"/>
      <c r="C501" s="94"/>
      <c r="D501" s="95"/>
    </row>
    <row r="502" spans="1:4" s="4" customFormat="1" x14ac:dyDescent="0.3">
      <c r="A502" s="94"/>
      <c r="B502" s="94"/>
      <c r="C502" s="94"/>
      <c r="D502" s="95"/>
    </row>
    <row r="503" spans="1:4" s="4" customFormat="1" x14ac:dyDescent="0.3">
      <c r="A503" s="94"/>
      <c r="B503" s="94"/>
      <c r="C503" s="94"/>
      <c r="D503" s="95"/>
    </row>
    <row r="504" spans="1:4" s="4" customFormat="1" x14ac:dyDescent="0.3">
      <c r="A504" s="94"/>
      <c r="B504" s="94"/>
      <c r="C504" s="94"/>
      <c r="D504" s="95"/>
    </row>
    <row r="505" spans="1:4" s="4" customFormat="1" x14ac:dyDescent="0.3">
      <c r="A505" s="94"/>
      <c r="B505" s="94"/>
      <c r="C505" s="94"/>
      <c r="D505" s="95"/>
    </row>
    <row r="506" spans="1:4" s="4" customFormat="1" x14ac:dyDescent="0.3">
      <c r="A506" s="94"/>
      <c r="B506" s="94"/>
      <c r="C506" s="94"/>
      <c r="D506" s="95"/>
    </row>
    <row r="507" spans="1:4" s="4" customFormat="1" x14ac:dyDescent="0.3">
      <c r="A507" s="94"/>
      <c r="B507" s="94"/>
      <c r="C507" s="94"/>
      <c r="D507" s="95"/>
    </row>
    <row r="508" spans="1:4" s="4" customFormat="1" x14ac:dyDescent="0.3">
      <c r="A508" s="94"/>
      <c r="B508" s="94"/>
      <c r="C508" s="94"/>
      <c r="D508" s="95"/>
    </row>
    <row r="509" spans="1:4" s="4" customFormat="1" x14ac:dyDescent="0.3">
      <c r="A509" s="94"/>
      <c r="B509" s="94"/>
      <c r="C509" s="94"/>
      <c r="D509" s="95"/>
    </row>
    <row r="510" spans="1:4" s="4" customFormat="1" x14ac:dyDescent="0.3">
      <c r="A510" s="94"/>
      <c r="B510" s="94"/>
      <c r="C510" s="94"/>
      <c r="D510" s="95"/>
    </row>
    <row r="511" spans="1:4" s="4" customFormat="1" x14ac:dyDescent="0.3">
      <c r="A511" s="94"/>
      <c r="B511" s="94"/>
      <c r="C511" s="94"/>
      <c r="D511" s="95"/>
    </row>
    <row r="512" spans="1:4" s="4" customFormat="1" x14ac:dyDescent="0.3">
      <c r="A512" s="94"/>
      <c r="B512" s="94"/>
      <c r="C512" s="94"/>
      <c r="D512" s="95"/>
    </row>
    <row r="513" spans="1:4" s="4" customFormat="1" x14ac:dyDescent="0.3">
      <c r="A513" s="94"/>
      <c r="B513" s="94"/>
      <c r="C513" s="94"/>
      <c r="D513" s="95"/>
    </row>
    <row r="514" spans="1:4" s="4" customFormat="1" x14ac:dyDescent="0.3">
      <c r="A514" s="94"/>
      <c r="B514" s="94"/>
      <c r="C514" s="94"/>
      <c r="D514" s="95"/>
    </row>
    <row r="515" spans="1:4" s="4" customFormat="1" x14ac:dyDescent="0.3">
      <c r="A515" s="94"/>
      <c r="B515" s="94"/>
      <c r="C515" s="94"/>
      <c r="D515" s="95"/>
    </row>
    <row r="516" spans="1:4" s="4" customFormat="1" x14ac:dyDescent="0.3">
      <c r="A516" s="94"/>
      <c r="B516" s="94"/>
      <c r="C516" s="94"/>
      <c r="D516" s="95"/>
    </row>
    <row r="517" spans="1:4" s="4" customFormat="1" x14ac:dyDescent="0.3">
      <c r="A517" s="94"/>
      <c r="B517" s="94"/>
      <c r="C517" s="94"/>
      <c r="D517" s="95"/>
    </row>
    <row r="518" spans="1:4" s="4" customFormat="1" x14ac:dyDescent="0.3">
      <c r="A518" s="94"/>
      <c r="B518" s="94"/>
      <c r="C518" s="94"/>
      <c r="D518" s="95"/>
    </row>
    <row r="519" spans="1:4" s="4" customFormat="1" x14ac:dyDescent="0.3">
      <c r="A519" s="94"/>
      <c r="B519" s="94"/>
      <c r="C519" s="94"/>
      <c r="D519" s="95"/>
    </row>
    <row r="520" spans="1:4" s="4" customFormat="1" x14ac:dyDescent="0.3">
      <c r="A520" s="94"/>
      <c r="B520" s="94"/>
      <c r="C520" s="94"/>
      <c r="D520" s="95"/>
    </row>
    <row r="521" spans="1:4" s="4" customFormat="1" x14ac:dyDescent="0.3">
      <c r="A521" s="94"/>
      <c r="B521" s="94"/>
      <c r="C521" s="94"/>
      <c r="D521" s="95"/>
    </row>
    <row r="522" spans="1:4" s="4" customFormat="1" x14ac:dyDescent="0.3">
      <c r="A522" s="94"/>
      <c r="B522" s="94"/>
      <c r="C522" s="94"/>
      <c r="D522" s="95"/>
    </row>
    <row r="523" spans="1:4" s="4" customFormat="1" x14ac:dyDescent="0.3">
      <c r="A523" s="94"/>
      <c r="B523" s="94"/>
      <c r="C523" s="94"/>
      <c r="D523" s="95"/>
    </row>
    <row r="524" spans="1:4" s="4" customFormat="1" x14ac:dyDescent="0.3">
      <c r="A524" s="94"/>
      <c r="B524" s="94"/>
      <c r="C524" s="94"/>
      <c r="D524" s="95"/>
    </row>
    <row r="525" spans="1:4" s="4" customFormat="1" x14ac:dyDescent="0.3">
      <c r="A525" s="94"/>
      <c r="B525" s="94"/>
      <c r="C525" s="94"/>
      <c r="D525" s="95"/>
    </row>
    <row r="526" spans="1:4" s="4" customFormat="1" x14ac:dyDescent="0.3">
      <c r="A526" s="94"/>
      <c r="B526" s="94"/>
      <c r="C526" s="94"/>
      <c r="D526" s="95"/>
    </row>
    <row r="527" spans="1:4" s="4" customFormat="1" x14ac:dyDescent="0.3">
      <c r="A527" s="94"/>
      <c r="B527" s="94"/>
      <c r="C527" s="94"/>
      <c r="D527" s="95"/>
    </row>
    <row r="528" spans="1:4" s="4" customFormat="1" x14ac:dyDescent="0.3">
      <c r="A528" s="94"/>
      <c r="B528" s="94"/>
      <c r="C528" s="94"/>
      <c r="D528" s="95"/>
    </row>
    <row r="529" spans="1:4" s="4" customFormat="1" x14ac:dyDescent="0.3">
      <c r="A529" s="94"/>
      <c r="B529" s="94"/>
      <c r="C529" s="94"/>
      <c r="D529" s="95"/>
    </row>
    <row r="530" spans="1:4" s="4" customFormat="1" x14ac:dyDescent="0.3">
      <c r="A530" s="94"/>
      <c r="B530" s="94"/>
      <c r="C530" s="94"/>
      <c r="D530" s="95"/>
    </row>
    <row r="531" spans="1:4" s="4" customFormat="1" x14ac:dyDescent="0.3">
      <c r="A531" s="94"/>
      <c r="B531" s="94"/>
      <c r="C531" s="94"/>
      <c r="D531" s="95"/>
    </row>
    <row r="532" spans="1:4" s="4" customFormat="1" x14ac:dyDescent="0.3">
      <c r="A532" s="94"/>
      <c r="B532" s="94"/>
      <c r="C532" s="94"/>
      <c r="D532" s="95"/>
    </row>
    <row r="533" spans="1:4" s="4" customFormat="1" x14ac:dyDescent="0.3">
      <c r="A533" s="94"/>
      <c r="B533" s="94"/>
      <c r="C533" s="94"/>
      <c r="D533" s="95"/>
    </row>
    <row r="534" spans="1:4" s="4" customFormat="1" x14ac:dyDescent="0.3">
      <c r="A534" s="94"/>
      <c r="B534" s="94"/>
      <c r="C534" s="94"/>
      <c r="D534" s="95"/>
    </row>
    <row r="535" spans="1:4" s="4" customFormat="1" x14ac:dyDescent="0.3">
      <c r="A535" s="94"/>
      <c r="B535" s="94"/>
      <c r="C535" s="94"/>
      <c r="D535" s="95"/>
    </row>
    <row r="536" spans="1:4" s="4" customFormat="1" x14ac:dyDescent="0.3">
      <c r="A536" s="94"/>
      <c r="B536" s="94"/>
      <c r="C536" s="94"/>
      <c r="D536" s="95"/>
    </row>
    <row r="537" spans="1:4" s="4" customFormat="1" x14ac:dyDescent="0.3">
      <c r="A537" s="94"/>
      <c r="B537" s="94"/>
      <c r="C537" s="94"/>
      <c r="D537" s="95"/>
    </row>
    <row r="538" spans="1:4" s="4" customFormat="1" x14ac:dyDescent="0.3">
      <c r="A538" s="94"/>
      <c r="B538" s="94"/>
      <c r="C538" s="94"/>
      <c r="D538" s="95"/>
    </row>
    <row r="539" spans="1:4" s="4" customFormat="1" x14ac:dyDescent="0.3">
      <c r="A539" s="94"/>
      <c r="B539" s="94"/>
      <c r="C539" s="94"/>
      <c r="D539" s="95"/>
    </row>
    <row r="540" spans="1:4" s="4" customFormat="1" x14ac:dyDescent="0.3">
      <c r="A540" s="94"/>
      <c r="B540" s="94"/>
      <c r="C540" s="94"/>
      <c r="D540" s="95"/>
    </row>
    <row r="541" spans="1:4" s="4" customFormat="1" x14ac:dyDescent="0.3">
      <c r="A541" s="94"/>
      <c r="B541" s="94"/>
      <c r="C541" s="94"/>
      <c r="D541" s="95"/>
    </row>
    <row r="542" spans="1:4" s="4" customFormat="1" x14ac:dyDescent="0.3">
      <c r="A542" s="94"/>
      <c r="B542" s="94"/>
      <c r="C542" s="94"/>
      <c r="D542" s="95"/>
    </row>
    <row r="543" spans="1:4" s="4" customFormat="1" x14ac:dyDescent="0.3">
      <c r="A543" s="94"/>
      <c r="B543" s="94"/>
      <c r="C543" s="94"/>
      <c r="D543" s="95"/>
    </row>
    <row r="544" spans="1:4" s="4" customFormat="1" x14ac:dyDescent="0.3">
      <c r="A544" s="94"/>
      <c r="B544" s="94"/>
      <c r="C544" s="94"/>
      <c r="D544" s="95"/>
    </row>
    <row r="545" spans="1:4" s="4" customFormat="1" x14ac:dyDescent="0.3">
      <c r="A545" s="94"/>
      <c r="B545" s="94"/>
      <c r="C545" s="94"/>
      <c r="D545" s="95"/>
    </row>
    <row r="546" spans="1:4" s="4" customFormat="1" x14ac:dyDescent="0.3">
      <c r="A546" s="94"/>
      <c r="B546" s="94"/>
      <c r="C546" s="94"/>
      <c r="D546" s="95"/>
    </row>
    <row r="547" spans="1:4" s="4" customFormat="1" x14ac:dyDescent="0.3">
      <c r="A547" s="94"/>
      <c r="B547" s="94"/>
      <c r="C547" s="94"/>
      <c r="D547" s="95"/>
    </row>
    <row r="548" spans="1:4" s="4" customFormat="1" x14ac:dyDescent="0.3">
      <c r="A548" s="94"/>
      <c r="B548" s="94"/>
      <c r="C548" s="94"/>
      <c r="D548" s="95"/>
    </row>
    <row r="549" spans="1:4" s="4" customFormat="1" x14ac:dyDescent="0.3">
      <c r="A549" s="94"/>
      <c r="B549" s="94"/>
      <c r="C549" s="94"/>
      <c r="D549" s="95"/>
    </row>
    <row r="550" spans="1:4" s="4" customFormat="1" x14ac:dyDescent="0.3">
      <c r="A550" s="94"/>
      <c r="B550" s="94"/>
      <c r="C550" s="94"/>
      <c r="D550" s="95"/>
    </row>
    <row r="551" spans="1:4" s="4" customFormat="1" x14ac:dyDescent="0.3">
      <c r="A551" s="94"/>
      <c r="B551" s="94"/>
      <c r="C551" s="94"/>
      <c r="D551" s="95"/>
    </row>
    <row r="552" spans="1:4" s="4" customFormat="1" x14ac:dyDescent="0.3">
      <c r="A552" s="94"/>
      <c r="B552" s="94"/>
      <c r="C552" s="94"/>
      <c r="D552" s="95"/>
    </row>
    <row r="553" spans="1:4" s="4" customFormat="1" x14ac:dyDescent="0.3">
      <c r="A553" s="94"/>
      <c r="B553" s="94"/>
      <c r="C553" s="94"/>
      <c r="D553" s="95"/>
    </row>
    <row r="554" spans="1:4" s="4" customFormat="1" x14ac:dyDescent="0.3">
      <c r="A554" s="94"/>
      <c r="B554" s="94"/>
      <c r="C554" s="94"/>
      <c r="D554" s="95"/>
    </row>
    <row r="555" spans="1:4" s="4" customFormat="1" x14ac:dyDescent="0.3">
      <c r="A555" s="94"/>
      <c r="B555" s="94"/>
      <c r="C555" s="94"/>
      <c r="D555" s="95"/>
    </row>
    <row r="556" spans="1:4" s="4" customFormat="1" x14ac:dyDescent="0.3">
      <c r="A556" s="94"/>
      <c r="B556" s="94"/>
      <c r="C556" s="94"/>
      <c r="D556" s="95"/>
    </row>
    <row r="557" spans="1:4" s="4" customFormat="1" x14ac:dyDescent="0.3">
      <c r="A557" s="94"/>
      <c r="B557" s="94"/>
      <c r="C557" s="94"/>
      <c r="D557" s="95"/>
    </row>
    <row r="558" spans="1:4" s="4" customFormat="1" x14ac:dyDescent="0.3">
      <c r="A558" s="94"/>
      <c r="B558" s="94"/>
      <c r="C558" s="94"/>
      <c r="D558" s="95"/>
    </row>
    <row r="559" spans="1:4" s="4" customFormat="1" x14ac:dyDescent="0.3">
      <c r="A559" s="94"/>
      <c r="B559" s="94"/>
      <c r="C559" s="94"/>
      <c r="D559" s="95"/>
    </row>
    <row r="560" spans="1:4" s="4" customFormat="1" x14ac:dyDescent="0.3">
      <c r="A560" s="94"/>
      <c r="B560" s="94"/>
      <c r="C560" s="94"/>
      <c r="D560" s="95"/>
    </row>
    <row r="561" spans="1:4" s="4" customFormat="1" x14ac:dyDescent="0.3">
      <c r="A561" s="94"/>
      <c r="B561" s="94"/>
      <c r="C561" s="94"/>
      <c r="D561" s="95"/>
    </row>
    <row r="562" spans="1:4" s="4" customFormat="1" x14ac:dyDescent="0.3">
      <c r="A562" s="94"/>
      <c r="B562" s="94"/>
      <c r="C562" s="94"/>
      <c r="D562" s="95"/>
    </row>
    <row r="563" spans="1:4" s="4" customFormat="1" x14ac:dyDescent="0.3">
      <c r="A563" s="94"/>
      <c r="B563" s="94"/>
      <c r="C563" s="94"/>
      <c r="D563" s="95"/>
    </row>
    <row r="564" spans="1:4" s="4" customFormat="1" x14ac:dyDescent="0.3">
      <c r="A564" s="94"/>
      <c r="B564" s="94"/>
      <c r="C564" s="94"/>
      <c r="D564" s="95"/>
    </row>
    <row r="565" spans="1:4" s="4" customFormat="1" x14ac:dyDescent="0.3">
      <c r="A565" s="94"/>
      <c r="B565" s="94"/>
      <c r="C565" s="94"/>
      <c r="D565" s="95"/>
    </row>
    <row r="566" spans="1:4" s="4" customFormat="1" x14ac:dyDescent="0.3">
      <c r="A566" s="94"/>
      <c r="B566" s="94"/>
      <c r="C566" s="94"/>
      <c r="D566" s="95"/>
    </row>
    <row r="567" spans="1:4" s="4" customFormat="1" x14ac:dyDescent="0.3">
      <c r="A567" s="94"/>
      <c r="B567" s="94"/>
      <c r="C567" s="94"/>
      <c r="D567" s="95"/>
    </row>
    <row r="568" spans="1:4" s="4" customFormat="1" x14ac:dyDescent="0.3">
      <c r="A568" s="94"/>
      <c r="B568" s="94"/>
      <c r="C568" s="94"/>
      <c r="D568" s="95"/>
    </row>
    <row r="569" spans="1:4" s="4" customFormat="1" x14ac:dyDescent="0.3">
      <c r="A569" s="94"/>
      <c r="B569" s="94"/>
      <c r="C569" s="94"/>
      <c r="D569" s="95"/>
    </row>
    <row r="570" spans="1:4" s="4" customFormat="1" x14ac:dyDescent="0.3">
      <c r="A570" s="94"/>
      <c r="B570" s="94"/>
      <c r="C570" s="94"/>
      <c r="D570" s="95"/>
    </row>
    <row r="571" spans="1:4" s="4" customFormat="1" x14ac:dyDescent="0.3">
      <c r="A571" s="94"/>
      <c r="B571" s="94"/>
      <c r="C571" s="94"/>
      <c r="D571" s="95"/>
    </row>
    <row r="572" spans="1:4" s="4" customFormat="1" x14ac:dyDescent="0.3">
      <c r="A572" s="94"/>
      <c r="B572" s="94"/>
      <c r="C572" s="94"/>
      <c r="D572" s="95"/>
    </row>
    <row r="573" spans="1:4" s="4" customFormat="1" x14ac:dyDescent="0.3">
      <c r="A573" s="94"/>
      <c r="B573" s="94"/>
      <c r="C573" s="94"/>
      <c r="D573" s="95"/>
    </row>
    <row r="574" spans="1:4" s="4" customFormat="1" x14ac:dyDescent="0.3">
      <c r="A574" s="94"/>
      <c r="B574" s="94"/>
      <c r="C574" s="94"/>
      <c r="D574" s="95"/>
    </row>
    <row r="575" spans="1:4" s="4" customFormat="1" x14ac:dyDescent="0.3">
      <c r="A575" s="94"/>
      <c r="B575" s="94"/>
      <c r="C575" s="94"/>
      <c r="D575" s="95"/>
    </row>
    <row r="576" spans="1:4" s="4" customFormat="1" x14ac:dyDescent="0.3">
      <c r="A576" s="94"/>
      <c r="B576" s="94"/>
      <c r="C576" s="94"/>
      <c r="D576" s="95"/>
    </row>
    <row r="577" spans="1:4" s="4" customFormat="1" x14ac:dyDescent="0.3">
      <c r="A577" s="94"/>
      <c r="B577" s="94"/>
      <c r="C577" s="94"/>
      <c r="D577" s="95"/>
    </row>
    <row r="578" spans="1:4" s="4" customFormat="1" x14ac:dyDescent="0.3">
      <c r="A578" s="94"/>
      <c r="B578" s="94"/>
      <c r="C578" s="94"/>
      <c r="D578" s="95"/>
    </row>
    <row r="579" spans="1:4" s="4" customFormat="1" x14ac:dyDescent="0.3">
      <c r="A579" s="94"/>
      <c r="B579" s="94"/>
      <c r="C579" s="94"/>
      <c r="D579" s="95"/>
    </row>
    <row r="580" spans="1:4" s="4" customFormat="1" x14ac:dyDescent="0.3">
      <c r="A580" s="94"/>
      <c r="B580" s="94"/>
      <c r="C580" s="94"/>
      <c r="D580" s="95"/>
    </row>
    <row r="581" spans="1:4" s="4" customFormat="1" x14ac:dyDescent="0.3">
      <c r="A581" s="94"/>
      <c r="B581" s="94"/>
      <c r="C581" s="94"/>
      <c r="D581" s="95"/>
    </row>
    <row r="582" spans="1:4" s="4" customFormat="1" x14ac:dyDescent="0.3">
      <c r="A582" s="94"/>
      <c r="B582" s="94"/>
      <c r="C582" s="94"/>
      <c r="D582" s="95"/>
    </row>
    <row r="583" spans="1:4" s="4" customFormat="1" x14ac:dyDescent="0.3">
      <c r="A583" s="94"/>
      <c r="B583" s="94"/>
      <c r="C583" s="94"/>
      <c r="D583" s="95"/>
    </row>
    <row r="584" spans="1:4" s="4" customFormat="1" x14ac:dyDescent="0.3">
      <c r="A584" s="94"/>
      <c r="B584" s="94"/>
      <c r="C584" s="94"/>
      <c r="D584" s="95"/>
    </row>
    <row r="585" spans="1:4" s="4" customFormat="1" x14ac:dyDescent="0.3">
      <c r="A585" s="94"/>
      <c r="B585" s="94"/>
      <c r="C585" s="94"/>
      <c r="D585" s="95"/>
    </row>
    <row r="586" spans="1:4" s="4" customFormat="1" x14ac:dyDescent="0.3">
      <c r="A586" s="94"/>
      <c r="B586" s="94"/>
      <c r="C586" s="94"/>
      <c r="D586" s="95"/>
    </row>
    <row r="587" spans="1:4" s="4" customFormat="1" x14ac:dyDescent="0.3">
      <c r="A587" s="94"/>
      <c r="B587" s="94"/>
      <c r="C587" s="94"/>
      <c r="D587" s="95"/>
    </row>
    <row r="588" spans="1:4" s="4" customFormat="1" x14ac:dyDescent="0.3">
      <c r="A588" s="94"/>
      <c r="B588" s="94"/>
      <c r="C588" s="94"/>
      <c r="D588" s="95"/>
    </row>
    <row r="589" spans="1:4" s="4" customFormat="1" x14ac:dyDescent="0.3">
      <c r="A589" s="94"/>
      <c r="B589" s="94"/>
      <c r="C589" s="94"/>
      <c r="D589" s="95"/>
    </row>
    <row r="590" spans="1:4" s="4" customFormat="1" x14ac:dyDescent="0.3">
      <c r="A590" s="94"/>
      <c r="B590" s="94"/>
      <c r="C590" s="94"/>
      <c r="D590" s="95"/>
    </row>
    <row r="591" spans="1:4" s="4" customFormat="1" x14ac:dyDescent="0.3">
      <c r="A591" s="94"/>
      <c r="B591" s="94"/>
      <c r="C591" s="94"/>
      <c r="D591" s="95"/>
    </row>
    <row r="592" spans="1:4" s="4" customFormat="1" x14ac:dyDescent="0.3">
      <c r="A592" s="94"/>
      <c r="B592" s="94"/>
      <c r="C592" s="94"/>
      <c r="D592" s="95"/>
    </row>
    <row r="593" spans="1:4" s="4" customFormat="1" x14ac:dyDescent="0.3">
      <c r="A593" s="94"/>
      <c r="B593" s="94"/>
      <c r="C593" s="94"/>
      <c r="D593" s="95"/>
    </row>
    <row r="594" spans="1:4" s="4" customFormat="1" x14ac:dyDescent="0.3">
      <c r="A594" s="94"/>
      <c r="B594" s="94"/>
      <c r="C594" s="94"/>
      <c r="D594" s="95"/>
    </row>
    <row r="595" spans="1:4" s="4" customFormat="1" x14ac:dyDescent="0.3">
      <c r="A595" s="94"/>
      <c r="B595" s="29"/>
      <c r="C595" s="29"/>
      <c r="D595" s="30"/>
    </row>
    <row r="596" spans="1:4" s="4" customFormat="1" x14ac:dyDescent="0.3">
      <c r="A596" s="94"/>
      <c r="B596" s="29"/>
      <c r="C596" s="29"/>
      <c r="D596" s="30"/>
    </row>
    <row r="597" spans="1:4" s="4" customFormat="1" x14ac:dyDescent="0.3">
      <c r="A597" s="94"/>
      <c r="B597" s="29"/>
      <c r="C597" s="29"/>
      <c r="D597" s="30"/>
    </row>
    <row r="598" spans="1:4" s="4" customFormat="1" x14ac:dyDescent="0.3">
      <c r="A598" s="94"/>
      <c r="B598" s="29"/>
      <c r="C598" s="29"/>
      <c r="D598" s="30"/>
    </row>
    <row r="599" spans="1:4" s="4" customFormat="1" x14ac:dyDescent="0.3">
      <c r="A599" s="94"/>
      <c r="B599" s="29"/>
      <c r="C599" s="29"/>
      <c r="D599" s="30"/>
    </row>
    <row r="600" spans="1:4" s="4" customFormat="1" x14ac:dyDescent="0.3">
      <c r="A600" s="94"/>
      <c r="B600" s="29"/>
      <c r="C600" s="29"/>
      <c r="D600" s="30"/>
    </row>
  </sheetData>
  <mergeCells count="3">
    <mergeCell ref="A1:B1"/>
    <mergeCell ref="D53:D54"/>
    <mergeCell ref="D82:D89"/>
  </mergeCells>
  <hyperlinks>
    <hyperlink ref="E1" location="'Accomplishment 2025'!A1" display="Back to Summary of Accomplishments 2025" xr:uid="{CF1C2455-5B4E-40FC-9438-3E7AFFE5A667}"/>
  </hyperlinks>
  <pageMargins left="0.7" right="0.7" top="0.75" bottom="0.75" header="0.3" footer="0.3"/>
  <pageSetup paperSize="9" orientation="portrait" horizontalDpi="0" verticalDpi="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D4D60-AE79-453B-AF7D-03BE62BBB450}">
  <sheetPr codeName="Sheet20">
    <tabColor theme="7" tint="0.79998168889431442"/>
  </sheetPr>
  <dimension ref="A1:A140"/>
  <sheetViews>
    <sheetView topLeftCell="A82" zoomScale="70" zoomScaleNormal="70" workbookViewId="0">
      <selection activeCell="A140" sqref="A140"/>
    </sheetView>
  </sheetViews>
  <sheetFormatPr defaultRowHeight="14.4" x14ac:dyDescent="0.3"/>
  <cols>
    <col min="1" max="1" width="64.44140625" customWidth="1"/>
  </cols>
  <sheetData>
    <row r="1" spans="1:1" x14ac:dyDescent="0.3">
      <c r="A1" s="13" t="s">
        <v>5668</v>
      </c>
    </row>
    <row r="2" spans="1:1" x14ac:dyDescent="0.3">
      <c r="A2" s="14" t="s">
        <v>5669</v>
      </c>
    </row>
    <row r="3" spans="1:1" x14ac:dyDescent="0.3">
      <c r="A3" s="14" t="s">
        <v>1498</v>
      </c>
    </row>
    <row r="4" spans="1:1" x14ac:dyDescent="0.3">
      <c r="A4" s="14" t="s">
        <v>1499</v>
      </c>
    </row>
    <row r="5" spans="1:1" x14ac:dyDescent="0.3">
      <c r="A5" s="14" t="s">
        <v>1500</v>
      </c>
    </row>
    <row r="6" spans="1:1" x14ac:dyDescent="0.3">
      <c r="A6" s="14" t="s">
        <v>1501</v>
      </c>
    </row>
    <row r="7" spans="1:1" x14ac:dyDescent="0.3">
      <c r="A7" s="14" t="s">
        <v>1502</v>
      </c>
    </row>
    <row r="8" spans="1:1" x14ac:dyDescent="0.3">
      <c r="A8" s="14" t="s">
        <v>1503</v>
      </c>
    </row>
    <row r="9" spans="1:1" x14ac:dyDescent="0.3">
      <c r="A9" s="14" t="s">
        <v>1504</v>
      </c>
    </row>
    <row r="10" spans="1:1" x14ac:dyDescent="0.3">
      <c r="A10" s="14" t="s">
        <v>1505</v>
      </c>
    </row>
    <row r="11" spans="1:1" x14ac:dyDescent="0.3">
      <c r="A11" s="14" t="s">
        <v>1506</v>
      </c>
    </row>
    <row r="12" spans="1:1" x14ac:dyDescent="0.3">
      <c r="A12" s="14" t="s">
        <v>1507</v>
      </c>
    </row>
    <row r="13" spans="1:1" x14ac:dyDescent="0.3">
      <c r="A13" s="14" t="s">
        <v>1508</v>
      </c>
    </row>
    <row r="14" spans="1:1" x14ac:dyDescent="0.3">
      <c r="A14" s="14" t="s">
        <v>1509</v>
      </c>
    </row>
    <row r="16" spans="1:1" x14ac:dyDescent="0.3">
      <c r="A16" s="13" t="s">
        <v>5565</v>
      </c>
    </row>
    <row r="17" spans="1:1" x14ac:dyDescent="0.3">
      <c r="A17" t="s">
        <v>5110</v>
      </c>
    </row>
    <row r="18" spans="1:1" x14ac:dyDescent="0.3">
      <c r="A18" t="s">
        <v>5145</v>
      </c>
    </row>
    <row r="19" spans="1:1" x14ac:dyDescent="0.3">
      <c r="A19" t="s">
        <v>5105</v>
      </c>
    </row>
    <row r="20" spans="1:1" x14ac:dyDescent="0.3">
      <c r="A20" t="s">
        <v>5161</v>
      </c>
    </row>
    <row r="21" spans="1:1" x14ac:dyDescent="0.3">
      <c r="A21" t="s">
        <v>5670</v>
      </c>
    </row>
    <row r="22" spans="1:1" x14ac:dyDescent="0.3">
      <c r="A22" t="s">
        <v>5671</v>
      </c>
    </row>
    <row r="23" spans="1:1" x14ac:dyDescent="0.3">
      <c r="A23" t="s">
        <v>5672</v>
      </c>
    </row>
    <row r="25" spans="1:1" x14ac:dyDescent="0.3">
      <c r="A25" s="13" t="s">
        <v>5673</v>
      </c>
    </row>
    <row r="26" spans="1:1" x14ac:dyDescent="0.3">
      <c r="A26" t="s">
        <v>5181</v>
      </c>
    </row>
    <row r="27" spans="1:1" x14ac:dyDescent="0.3">
      <c r="A27" t="s">
        <v>5107</v>
      </c>
    </row>
    <row r="29" spans="1:1" x14ac:dyDescent="0.3">
      <c r="A29" s="13" t="s">
        <v>5674</v>
      </c>
    </row>
    <row r="30" spans="1:1" x14ac:dyDescent="0.3">
      <c r="A30" t="s">
        <v>1735</v>
      </c>
    </row>
    <row r="31" spans="1:1" x14ac:dyDescent="0.3">
      <c r="A31" t="s">
        <v>1736</v>
      </c>
    </row>
    <row r="32" spans="1:1" x14ac:dyDescent="0.3">
      <c r="A32" t="s">
        <v>1737</v>
      </c>
    </row>
    <row r="33" spans="1:1" x14ac:dyDescent="0.3">
      <c r="A33" t="s">
        <v>1738</v>
      </c>
    </row>
    <row r="34" spans="1:1" x14ac:dyDescent="0.3">
      <c r="A34" t="s">
        <v>1739</v>
      </c>
    </row>
    <row r="35" spans="1:1" x14ac:dyDescent="0.3">
      <c r="A35" t="s">
        <v>1740</v>
      </c>
    </row>
    <row r="36" spans="1:1" x14ac:dyDescent="0.3">
      <c r="A36" t="s">
        <v>5675</v>
      </c>
    </row>
    <row r="38" spans="1:1" x14ac:dyDescent="0.3">
      <c r="A38" s="13" t="s">
        <v>5676</v>
      </c>
    </row>
    <row r="39" spans="1:1" x14ac:dyDescent="0.3">
      <c r="A39" t="s">
        <v>5130</v>
      </c>
    </row>
    <row r="40" spans="1:1" x14ac:dyDescent="0.3">
      <c r="A40" t="s">
        <v>5677</v>
      </c>
    </row>
    <row r="41" spans="1:1" x14ac:dyDescent="0.3">
      <c r="A41" t="s">
        <v>5678</v>
      </c>
    </row>
    <row r="42" spans="1:1" x14ac:dyDescent="0.3">
      <c r="A42" t="s">
        <v>5679</v>
      </c>
    </row>
    <row r="43" spans="1:1" x14ac:dyDescent="0.3">
      <c r="A43" t="s">
        <v>5571</v>
      </c>
    </row>
    <row r="44" spans="1:1" x14ac:dyDescent="0.3">
      <c r="A44" t="s">
        <v>5195</v>
      </c>
    </row>
    <row r="46" spans="1:1" x14ac:dyDescent="0.3">
      <c r="A46" s="13" t="s">
        <v>5680</v>
      </c>
    </row>
    <row r="47" spans="1:1" x14ac:dyDescent="0.3">
      <c r="A47" t="s">
        <v>5294</v>
      </c>
    </row>
    <row r="48" spans="1:1" x14ac:dyDescent="0.3">
      <c r="A48" t="s">
        <v>5681</v>
      </c>
    </row>
    <row r="50" spans="1:1" x14ac:dyDescent="0.3">
      <c r="A50" s="13" t="s">
        <v>5295</v>
      </c>
    </row>
    <row r="51" spans="1:1" x14ac:dyDescent="0.3">
      <c r="A51" t="s">
        <v>5295</v>
      </c>
    </row>
    <row r="52" spans="1:1" x14ac:dyDescent="0.3">
      <c r="A52" t="s">
        <v>5682</v>
      </c>
    </row>
    <row r="54" spans="1:1" x14ac:dyDescent="0.3">
      <c r="A54" s="13" t="s">
        <v>5340</v>
      </c>
    </row>
    <row r="55" spans="1:1" x14ac:dyDescent="0.3">
      <c r="A55" t="s">
        <v>5345</v>
      </c>
    </row>
    <row r="56" spans="1:1" x14ac:dyDescent="0.3">
      <c r="A56" t="s">
        <v>5350</v>
      </c>
    </row>
    <row r="57" spans="1:1" x14ac:dyDescent="0.3">
      <c r="A57" t="s">
        <v>5108</v>
      </c>
    </row>
    <row r="59" spans="1:1" x14ac:dyDescent="0.3">
      <c r="A59" s="13" t="s">
        <v>5683</v>
      </c>
    </row>
    <row r="60" spans="1:1" x14ac:dyDescent="0.3">
      <c r="A60" t="s">
        <v>57</v>
      </c>
    </row>
    <row r="61" spans="1:1" x14ac:dyDescent="0.3">
      <c r="A61" t="s">
        <v>1680</v>
      </c>
    </row>
    <row r="62" spans="1:1" x14ac:dyDescent="0.3">
      <c r="A62" t="s">
        <v>5677</v>
      </c>
    </row>
    <row r="63" spans="1:1" x14ac:dyDescent="0.3">
      <c r="A63" t="s">
        <v>5684</v>
      </c>
    </row>
    <row r="64" spans="1:1" x14ac:dyDescent="0.3">
      <c r="A64" t="s">
        <v>5685</v>
      </c>
    </row>
    <row r="66" spans="1:1" x14ac:dyDescent="0.3">
      <c r="A66" s="13" t="s">
        <v>5686</v>
      </c>
    </row>
    <row r="67" spans="1:1" x14ac:dyDescent="0.3">
      <c r="A67" t="s">
        <v>5687</v>
      </c>
    </row>
    <row r="68" spans="1:1" x14ac:dyDescent="0.3">
      <c r="A68" t="s">
        <v>5688</v>
      </c>
    </row>
    <row r="69" spans="1:1" x14ac:dyDescent="0.3">
      <c r="A69" t="s">
        <v>5689</v>
      </c>
    </row>
    <row r="70" spans="1:1" x14ac:dyDescent="0.3">
      <c r="A70" t="s">
        <v>5690</v>
      </c>
    </row>
    <row r="71" spans="1:1" x14ac:dyDescent="0.3">
      <c r="A71" t="s">
        <v>5691</v>
      </c>
    </row>
    <row r="72" spans="1:1" x14ac:dyDescent="0.3">
      <c r="A72" t="s">
        <v>5692</v>
      </c>
    </row>
    <row r="73" spans="1:1" x14ac:dyDescent="0.3">
      <c r="A73" t="s">
        <v>5693</v>
      </c>
    </row>
    <row r="74" spans="1:1" x14ac:dyDescent="0.3">
      <c r="A74" t="s">
        <v>5694</v>
      </c>
    </row>
    <row r="75" spans="1:1" x14ac:dyDescent="0.3">
      <c r="A75" t="s">
        <v>5695</v>
      </c>
    </row>
    <row r="77" spans="1:1" x14ac:dyDescent="0.3">
      <c r="A77" s="13" t="s">
        <v>5696</v>
      </c>
    </row>
    <row r="78" spans="1:1" x14ac:dyDescent="0.3">
      <c r="A78" t="s">
        <v>5697</v>
      </c>
    </row>
    <row r="79" spans="1:1" x14ac:dyDescent="0.3">
      <c r="A79" t="s">
        <v>5698</v>
      </c>
    </row>
    <row r="80" spans="1:1" x14ac:dyDescent="0.3">
      <c r="A80" t="s">
        <v>5699</v>
      </c>
    </row>
    <row r="81" spans="1:1" x14ac:dyDescent="0.3">
      <c r="A81" t="s">
        <v>5700</v>
      </c>
    </row>
    <row r="82" spans="1:1" x14ac:dyDescent="0.3">
      <c r="A82" t="s">
        <v>5701</v>
      </c>
    </row>
    <row r="83" spans="1:1" x14ac:dyDescent="0.3">
      <c r="A83" t="s">
        <v>5702</v>
      </c>
    </row>
    <row r="84" spans="1:1" x14ac:dyDescent="0.3">
      <c r="A84" t="s">
        <v>5703</v>
      </c>
    </row>
    <row r="85" spans="1:1" x14ac:dyDescent="0.3">
      <c r="A85" t="s">
        <v>5704</v>
      </c>
    </row>
    <row r="87" spans="1:1" x14ac:dyDescent="0.3">
      <c r="A87" s="13" t="s">
        <v>5705</v>
      </c>
    </row>
    <row r="88" spans="1:1" x14ac:dyDescent="0.3">
      <c r="A88" t="s">
        <v>5487</v>
      </c>
    </row>
    <row r="89" spans="1:1" x14ac:dyDescent="0.3">
      <c r="A89" t="s">
        <v>5706</v>
      </c>
    </row>
    <row r="90" spans="1:1" x14ac:dyDescent="0.3">
      <c r="A90" t="s">
        <v>5707</v>
      </c>
    </row>
    <row r="91" spans="1:1" x14ac:dyDescent="0.3">
      <c r="A91" t="s">
        <v>5708</v>
      </c>
    </row>
    <row r="92" spans="1:1" x14ac:dyDescent="0.3">
      <c r="A92" t="s">
        <v>5709</v>
      </c>
    </row>
    <row r="93" spans="1:1" x14ac:dyDescent="0.3">
      <c r="A93" t="s">
        <v>5710</v>
      </c>
    </row>
    <row r="94" spans="1:1" x14ac:dyDescent="0.3">
      <c r="A94" t="s">
        <v>5573</v>
      </c>
    </row>
    <row r="97" spans="1:1" x14ac:dyDescent="0.3">
      <c r="A97" s="13" t="s">
        <v>5688</v>
      </c>
    </row>
    <row r="98" spans="1:1" x14ac:dyDescent="0.3">
      <c r="A98" t="s">
        <v>5602</v>
      </c>
    </row>
    <row r="99" spans="1:1" x14ac:dyDescent="0.3">
      <c r="A99" t="s">
        <v>5608</v>
      </c>
    </row>
    <row r="100" spans="1:1" x14ac:dyDescent="0.3">
      <c r="A100" t="s">
        <v>5610</v>
      </c>
    </row>
    <row r="101" spans="1:1" x14ac:dyDescent="0.3">
      <c r="A101" t="s">
        <v>5612</v>
      </c>
    </row>
    <row r="102" spans="1:1" x14ac:dyDescent="0.3">
      <c r="A102" t="s">
        <v>5614</v>
      </c>
    </row>
    <row r="103" spans="1:1" x14ac:dyDescent="0.3">
      <c r="A103" t="s">
        <v>5617</v>
      </c>
    </row>
    <row r="104" spans="1:1" x14ac:dyDescent="0.3">
      <c r="A104" t="s">
        <v>5178</v>
      </c>
    </row>
    <row r="105" spans="1:1" x14ac:dyDescent="0.3">
      <c r="A105" t="s">
        <v>5622</v>
      </c>
    </row>
    <row r="106" spans="1:1" x14ac:dyDescent="0.3">
      <c r="A106" t="s">
        <v>5626</v>
      </c>
    </row>
    <row r="107" spans="1:1" x14ac:dyDescent="0.3">
      <c r="A107" t="s">
        <v>5628</v>
      </c>
    </row>
    <row r="108" spans="1:1" x14ac:dyDescent="0.3">
      <c r="A108" t="s">
        <v>5630</v>
      </c>
    </row>
    <row r="109" spans="1:1" x14ac:dyDescent="0.3">
      <c r="A109" t="s">
        <v>5633</v>
      </c>
    </row>
    <row r="110" spans="1:1" x14ac:dyDescent="0.3">
      <c r="A110" t="s">
        <v>5639</v>
      </c>
    </row>
    <row r="111" spans="1:1" x14ac:dyDescent="0.3">
      <c r="A111" t="s">
        <v>5641</v>
      </c>
    </row>
    <row r="112" spans="1:1" x14ac:dyDescent="0.3">
      <c r="A112" t="s">
        <v>5645</v>
      </c>
    </row>
    <row r="113" spans="1:1" x14ac:dyDescent="0.3">
      <c r="A113" t="s">
        <v>5648</v>
      </c>
    </row>
    <row r="114" spans="1:1" x14ac:dyDescent="0.3">
      <c r="A114" t="s">
        <v>5655</v>
      </c>
    </row>
    <row r="115" spans="1:1" x14ac:dyDescent="0.3">
      <c r="A115" t="s">
        <v>5664</v>
      </c>
    </row>
    <row r="116" spans="1:1" x14ac:dyDescent="0.3">
      <c r="A116" t="s">
        <v>5665</v>
      </c>
    </row>
    <row r="119" spans="1:1" x14ac:dyDescent="0.3">
      <c r="A119" s="13" t="s">
        <v>5711</v>
      </c>
    </row>
    <row r="120" spans="1:1" x14ac:dyDescent="0.3">
      <c r="A120" t="s">
        <v>5110</v>
      </c>
    </row>
    <row r="121" spans="1:1" x14ac:dyDescent="0.3">
      <c r="A121" t="s">
        <v>5145</v>
      </c>
    </row>
    <row r="122" spans="1:1" x14ac:dyDescent="0.3">
      <c r="A122" t="s">
        <v>5105</v>
      </c>
    </row>
    <row r="123" spans="1:1" x14ac:dyDescent="0.3">
      <c r="A123" t="s">
        <v>5161</v>
      </c>
    </row>
    <row r="124" spans="1:1" x14ac:dyDescent="0.3">
      <c r="A124" t="s">
        <v>5670</v>
      </c>
    </row>
    <row r="125" spans="1:1" x14ac:dyDescent="0.3">
      <c r="A125" t="s">
        <v>5712</v>
      </c>
    </row>
    <row r="126" spans="1:1" x14ac:dyDescent="0.3">
      <c r="A126" t="s">
        <v>5672</v>
      </c>
    </row>
    <row r="128" spans="1:1" x14ac:dyDescent="0.3">
      <c r="A128" s="13" t="s">
        <v>5713</v>
      </c>
    </row>
    <row r="129" spans="1:1" x14ac:dyDescent="0.3">
      <c r="A129" t="s">
        <v>5714</v>
      </c>
    </row>
    <row r="130" spans="1:1" x14ac:dyDescent="0.3">
      <c r="A130" t="s">
        <v>5715</v>
      </c>
    </row>
    <row r="131" spans="1:1" x14ac:dyDescent="0.3">
      <c r="A131" t="s">
        <v>5716</v>
      </c>
    </row>
    <row r="133" spans="1:1" x14ac:dyDescent="0.3">
      <c r="A133" s="13" t="s">
        <v>5717</v>
      </c>
    </row>
    <row r="134" spans="1:1" x14ac:dyDescent="0.3">
      <c r="A134" t="s">
        <v>5130</v>
      </c>
    </row>
    <row r="135" spans="1:1" x14ac:dyDescent="0.3">
      <c r="A135" t="s">
        <v>5677</v>
      </c>
    </row>
    <row r="136" spans="1:1" x14ac:dyDescent="0.3">
      <c r="A136" t="s">
        <v>5678</v>
      </c>
    </row>
    <row r="137" spans="1:1" x14ac:dyDescent="0.3">
      <c r="A137" t="s">
        <v>5679</v>
      </c>
    </row>
    <row r="138" spans="1:1" x14ac:dyDescent="0.3">
      <c r="A138" t="s">
        <v>5571</v>
      </c>
    </row>
    <row r="139" spans="1:1" x14ac:dyDescent="0.3">
      <c r="A139" t="s">
        <v>5718</v>
      </c>
    </row>
    <row r="140" spans="1:1" x14ac:dyDescent="0.3">
      <c r="A140" t="s">
        <v>5719</v>
      </c>
    </row>
  </sheetData>
  <phoneticPr fontId="6" type="noConversion"/>
  <pageMargins left="0.7" right="0.7" top="0.75" bottom="0.75" header="0.3" footer="0.3"/>
  <tableParts count="3">
    <tablePart r:id="rId1"/>
    <tablePart r:id="rId2"/>
    <tablePart r:id="rId3"/>
  </tablePart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9108-9248-4B32-B809-A7D45B4D7EE8}">
  <sheetPr codeName="Sheet21"/>
  <dimension ref="A1:H1635"/>
  <sheetViews>
    <sheetView workbookViewId="0">
      <selection activeCell="C2" sqref="C2:C1635"/>
    </sheetView>
  </sheetViews>
  <sheetFormatPr defaultRowHeight="14.4" x14ac:dyDescent="0.3"/>
  <cols>
    <col min="1" max="1" width="12.33203125" bestFit="1" customWidth="1"/>
    <col min="2" max="2" width="12.33203125" customWidth="1"/>
    <col min="3" max="3" width="42.33203125" bestFit="1" customWidth="1"/>
    <col min="4" max="4" width="23.44140625" bestFit="1" customWidth="1"/>
    <col min="5" max="5" width="29.33203125" bestFit="1" customWidth="1"/>
    <col min="6" max="6" width="23.5546875" customWidth="1"/>
    <col min="7" max="7" width="22" customWidth="1"/>
    <col min="8" max="8" width="20.5546875" customWidth="1"/>
  </cols>
  <sheetData>
    <row r="1" spans="1:8" s="9" customFormat="1" x14ac:dyDescent="0.3">
      <c r="A1" s="10" t="s">
        <v>5720</v>
      </c>
      <c r="B1" s="10" t="s">
        <v>5721</v>
      </c>
      <c r="C1" s="10" t="s">
        <v>5722</v>
      </c>
      <c r="D1" s="10" t="s">
        <v>5723</v>
      </c>
      <c r="E1" s="10" t="s">
        <v>5724</v>
      </c>
      <c r="F1" s="10" t="s">
        <v>5725</v>
      </c>
      <c r="G1" s="10" t="s">
        <v>5726</v>
      </c>
      <c r="H1" s="10" t="s">
        <v>5727</v>
      </c>
    </row>
    <row r="2" spans="1:8" hidden="1" x14ac:dyDescent="0.3">
      <c r="A2" t="s">
        <v>5728</v>
      </c>
      <c r="B2" t="s">
        <v>5728</v>
      </c>
      <c r="C2" t="s">
        <v>166</v>
      </c>
      <c r="D2" t="s">
        <v>1988</v>
      </c>
      <c r="E2" t="s">
        <v>4</v>
      </c>
      <c r="F2" t="s">
        <v>5729</v>
      </c>
      <c r="G2" s="1" t="s">
        <v>5730</v>
      </c>
      <c r="H2" s="1" t="s">
        <v>1923</v>
      </c>
    </row>
    <row r="3" spans="1:8" hidden="1" x14ac:dyDescent="0.3">
      <c r="A3" t="s">
        <v>5731</v>
      </c>
      <c r="B3" t="s">
        <v>5731</v>
      </c>
      <c r="C3" t="s">
        <v>241</v>
      </c>
      <c r="D3" t="s">
        <v>1988</v>
      </c>
      <c r="E3" t="s">
        <v>4</v>
      </c>
      <c r="F3" t="s">
        <v>5729</v>
      </c>
      <c r="G3" s="1" t="s">
        <v>5730</v>
      </c>
      <c r="H3" s="1" t="s">
        <v>1874</v>
      </c>
    </row>
    <row r="4" spans="1:8" hidden="1" x14ac:dyDescent="0.3">
      <c r="A4" t="s">
        <v>5732</v>
      </c>
      <c r="B4" t="s">
        <v>5732</v>
      </c>
      <c r="C4" t="s">
        <v>314</v>
      </c>
      <c r="D4" t="s">
        <v>1988</v>
      </c>
      <c r="E4" t="s">
        <v>4</v>
      </c>
      <c r="F4" t="s">
        <v>5729</v>
      </c>
      <c r="G4" s="1" t="s">
        <v>5730</v>
      </c>
      <c r="H4" s="1" t="s">
        <v>1856</v>
      </c>
    </row>
    <row r="5" spans="1:8" hidden="1" x14ac:dyDescent="0.3">
      <c r="A5" t="s">
        <v>5733</v>
      </c>
      <c r="B5" t="s">
        <v>5733</v>
      </c>
      <c r="C5" t="s">
        <v>387</v>
      </c>
      <c r="D5" t="s">
        <v>1988</v>
      </c>
      <c r="E5" t="s">
        <v>4</v>
      </c>
      <c r="F5" t="s">
        <v>5734</v>
      </c>
      <c r="G5" s="1" t="s">
        <v>5730</v>
      </c>
      <c r="H5" s="1" t="s">
        <v>1874</v>
      </c>
    </row>
    <row r="6" spans="1:8" hidden="1" x14ac:dyDescent="0.3">
      <c r="A6" t="s">
        <v>5735</v>
      </c>
      <c r="B6" t="s">
        <v>5735</v>
      </c>
      <c r="C6" t="s">
        <v>5736</v>
      </c>
      <c r="D6" t="s">
        <v>1988</v>
      </c>
      <c r="E6" t="s">
        <v>4</v>
      </c>
      <c r="F6" t="s">
        <v>5734</v>
      </c>
      <c r="G6" s="1" t="s">
        <v>1961</v>
      </c>
      <c r="H6" s="1" t="s">
        <v>1927</v>
      </c>
    </row>
    <row r="7" spans="1:8" hidden="1" x14ac:dyDescent="0.3">
      <c r="A7" t="s">
        <v>5737</v>
      </c>
      <c r="B7" t="s">
        <v>5737</v>
      </c>
      <c r="C7" t="s">
        <v>377</v>
      </c>
      <c r="D7" t="s">
        <v>1988</v>
      </c>
      <c r="E7" t="s">
        <v>4</v>
      </c>
      <c r="F7" t="s">
        <v>5729</v>
      </c>
      <c r="G7" s="1" t="s">
        <v>5730</v>
      </c>
      <c r="H7" s="1" t="s">
        <v>1927</v>
      </c>
    </row>
    <row r="8" spans="1:8" hidden="1" x14ac:dyDescent="0.3">
      <c r="A8" t="s">
        <v>5738</v>
      </c>
      <c r="B8" t="s">
        <v>5738</v>
      </c>
      <c r="C8" t="s">
        <v>599</v>
      </c>
      <c r="D8" t="s">
        <v>1988</v>
      </c>
      <c r="E8" t="s">
        <v>4</v>
      </c>
      <c r="F8" t="s">
        <v>5729</v>
      </c>
      <c r="G8" s="1" t="s">
        <v>5730</v>
      </c>
      <c r="H8" s="1" t="s">
        <v>1893</v>
      </c>
    </row>
    <row r="9" spans="1:8" hidden="1" x14ac:dyDescent="0.3">
      <c r="A9" t="s">
        <v>5739</v>
      </c>
      <c r="B9" t="s">
        <v>5739</v>
      </c>
      <c r="C9" t="s">
        <v>792</v>
      </c>
      <c r="D9" t="s">
        <v>1988</v>
      </c>
      <c r="E9" t="s">
        <v>4</v>
      </c>
      <c r="F9" t="s">
        <v>5729</v>
      </c>
      <c r="G9" s="1" t="s">
        <v>5730</v>
      </c>
      <c r="H9" s="1" t="s">
        <v>1927</v>
      </c>
    </row>
    <row r="10" spans="1:8" hidden="1" x14ac:dyDescent="0.3">
      <c r="A10" t="s">
        <v>5740</v>
      </c>
      <c r="B10" t="s">
        <v>5740</v>
      </c>
      <c r="C10" t="s">
        <v>850</v>
      </c>
      <c r="D10" t="s">
        <v>1988</v>
      </c>
      <c r="E10" t="s">
        <v>4</v>
      </c>
      <c r="F10" t="s">
        <v>5734</v>
      </c>
      <c r="G10" s="1" t="s">
        <v>5730</v>
      </c>
      <c r="H10" s="1" t="s">
        <v>1856</v>
      </c>
    </row>
    <row r="11" spans="1:8" hidden="1" x14ac:dyDescent="0.3">
      <c r="A11" t="s">
        <v>5741</v>
      </c>
      <c r="B11" t="s">
        <v>5741</v>
      </c>
      <c r="C11" t="s">
        <v>905</v>
      </c>
      <c r="D11" t="s">
        <v>1988</v>
      </c>
      <c r="E11" t="s">
        <v>4</v>
      </c>
      <c r="F11" t="s">
        <v>5742</v>
      </c>
      <c r="G11" s="1" t="s">
        <v>5730</v>
      </c>
      <c r="H11" s="1" t="s">
        <v>1923</v>
      </c>
    </row>
    <row r="12" spans="1:8" hidden="1" x14ac:dyDescent="0.3">
      <c r="A12" t="s">
        <v>5743</v>
      </c>
      <c r="B12" t="s">
        <v>5743</v>
      </c>
      <c r="C12" t="s">
        <v>5744</v>
      </c>
      <c r="D12" t="s">
        <v>1988</v>
      </c>
      <c r="E12" t="s">
        <v>4</v>
      </c>
      <c r="F12" t="s">
        <v>5729</v>
      </c>
      <c r="G12" s="1" t="s">
        <v>5730</v>
      </c>
      <c r="H12" s="1" t="s">
        <v>1856</v>
      </c>
    </row>
    <row r="13" spans="1:8" hidden="1" x14ac:dyDescent="0.3">
      <c r="A13" t="s">
        <v>5745</v>
      </c>
      <c r="B13" t="s">
        <v>5745</v>
      </c>
      <c r="C13" t="s">
        <v>5746</v>
      </c>
      <c r="D13" t="s">
        <v>1988</v>
      </c>
      <c r="E13" t="s">
        <v>4</v>
      </c>
      <c r="F13" t="s">
        <v>5747</v>
      </c>
      <c r="G13" s="1" t="s">
        <v>1961</v>
      </c>
      <c r="H13" s="1" t="s">
        <v>1927</v>
      </c>
    </row>
    <row r="14" spans="1:8" hidden="1" x14ac:dyDescent="0.3">
      <c r="A14" t="s">
        <v>5748</v>
      </c>
      <c r="B14" t="s">
        <v>5748</v>
      </c>
      <c r="C14" t="s">
        <v>958</v>
      </c>
      <c r="D14" t="s">
        <v>1988</v>
      </c>
      <c r="E14" t="s">
        <v>4</v>
      </c>
      <c r="F14" t="s">
        <v>5729</v>
      </c>
      <c r="G14" s="1" t="s">
        <v>5730</v>
      </c>
      <c r="H14" s="1" t="s">
        <v>1874</v>
      </c>
    </row>
    <row r="15" spans="1:8" hidden="1" x14ac:dyDescent="0.3">
      <c r="A15" t="s">
        <v>5749</v>
      </c>
      <c r="B15" t="s">
        <v>5749</v>
      </c>
      <c r="C15" t="s">
        <v>2018</v>
      </c>
      <c r="D15" t="s">
        <v>1988</v>
      </c>
      <c r="E15" t="s">
        <v>4</v>
      </c>
      <c r="F15" t="s">
        <v>5729</v>
      </c>
      <c r="G15" s="1" t="s">
        <v>5730</v>
      </c>
      <c r="H15" s="1" t="s">
        <v>1856</v>
      </c>
    </row>
    <row r="16" spans="1:8" hidden="1" x14ac:dyDescent="0.3">
      <c r="A16" t="s">
        <v>5750</v>
      </c>
      <c r="B16" t="s">
        <v>5750</v>
      </c>
      <c r="C16" t="s">
        <v>1051</v>
      </c>
      <c r="D16" t="s">
        <v>1988</v>
      </c>
      <c r="E16" t="s">
        <v>4</v>
      </c>
      <c r="F16" t="s">
        <v>5729</v>
      </c>
      <c r="G16" s="1" t="s">
        <v>5730</v>
      </c>
      <c r="H16" s="1" t="s">
        <v>1856</v>
      </c>
    </row>
    <row r="17" spans="1:8" hidden="1" x14ac:dyDescent="0.3">
      <c r="A17" t="s">
        <v>5751</v>
      </c>
      <c r="B17" t="s">
        <v>5751</v>
      </c>
      <c r="C17" t="s">
        <v>1091</v>
      </c>
      <c r="D17" t="s">
        <v>1988</v>
      </c>
      <c r="E17" t="s">
        <v>4</v>
      </c>
      <c r="F17" t="s">
        <v>5729</v>
      </c>
      <c r="G17" s="1" t="s">
        <v>5730</v>
      </c>
      <c r="H17" s="1" t="s">
        <v>1874</v>
      </c>
    </row>
    <row r="18" spans="1:8" hidden="1" x14ac:dyDescent="0.3">
      <c r="A18" t="s">
        <v>5752</v>
      </c>
      <c r="B18" t="s">
        <v>5752</v>
      </c>
      <c r="C18" t="s">
        <v>1128</v>
      </c>
      <c r="D18" t="s">
        <v>1988</v>
      </c>
      <c r="E18" t="s">
        <v>4</v>
      </c>
      <c r="F18" t="s">
        <v>5729</v>
      </c>
      <c r="G18" s="1" t="s">
        <v>5730</v>
      </c>
      <c r="H18" s="1" t="s">
        <v>1856</v>
      </c>
    </row>
    <row r="19" spans="1:8" hidden="1" x14ac:dyDescent="0.3">
      <c r="A19" t="s">
        <v>5753</v>
      </c>
      <c r="B19" t="s">
        <v>5753</v>
      </c>
      <c r="C19" t="s">
        <v>1162</v>
      </c>
      <c r="D19" t="s">
        <v>1988</v>
      </c>
      <c r="E19" t="s">
        <v>4</v>
      </c>
      <c r="F19" t="s">
        <v>5729</v>
      </c>
      <c r="G19" s="1" t="s">
        <v>5730</v>
      </c>
      <c r="H19" s="1" t="s">
        <v>1856</v>
      </c>
    </row>
    <row r="20" spans="1:8" hidden="1" x14ac:dyDescent="0.3">
      <c r="A20" t="s">
        <v>5754</v>
      </c>
      <c r="B20" t="s">
        <v>5754</v>
      </c>
      <c r="C20" t="s">
        <v>1192</v>
      </c>
      <c r="D20" t="s">
        <v>1988</v>
      </c>
      <c r="E20" t="s">
        <v>4</v>
      </c>
      <c r="F20" t="s">
        <v>5729</v>
      </c>
      <c r="G20" s="1" t="s">
        <v>5730</v>
      </c>
      <c r="H20" s="1" t="s">
        <v>1856</v>
      </c>
    </row>
    <row r="21" spans="1:8" hidden="1" x14ac:dyDescent="0.3">
      <c r="A21" t="s">
        <v>5755</v>
      </c>
      <c r="B21" t="s">
        <v>5755</v>
      </c>
      <c r="C21" t="s">
        <v>2031</v>
      </c>
      <c r="D21" t="s">
        <v>1988</v>
      </c>
      <c r="E21" t="s">
        <v>4</v>
      </c>
      <c r="F21" t="s">
        <v>5729</v>
      </c>
      <c r="G21" s="1" t="s">
        <v>5730</v>
      </c>
      <c r="H21" s="1" t="s">
        <v>1856</v>
      </c>
    </row>
    <row r="22" spans="1:8" hidden="1" x14ac:dyDescent="0.3">
      <c r="A22" t="s">
        <v>5756</v>
      </c>
      <c r="B22" t="s">
        <v>5756</v>
      </c>
      <c r="C22" t="s">
        <v>1246</v>
      </c>
      <c r="D22" t="s">
        <v>1988</v>
      </c>
      <c r="E22" t="s">
        <v>4</v>
      </c>
      <c r="F22" t="s">
        <v>5729</v>
      </c>
      <c r="G22" s="1" t="s">
        <v>5730</v>
      </c>
      <c r="H22" s="1" t="s">
        <v>1874</v>
      </c>
    </row>
    <row r="23" spans="1:8" hidden="1" x14ac:dyDescent="0.3">
      <c r="A23" t="s">
        <v>5757</v>
      </c>
      <c r="B23" t="s">
        <v>5757</v>
      </c>
      <c r="C23" t="s">
        <v>1267</v>
      </c>
      <c r="D23" t="s">
        <v>1988</v>
      </c>
      <c r="E23" t="s">
        <v>4</v>
      </c>
      <c r="F23" t="s">
        <v>5729</v>
      </c>
      <c r="G23" s="1" t="s">
        <v>5730</v>
      </c>
      <c r="H23" s="1" t="s">
        <v>1874</v>
      </c>
    </row>
    <row r="24" spans="1:8" hidden="1" x14ac:dyDescent="0.3">
      <c r="A24" t="s">
        <v>5758</v>
      </c>
      <c r="B24" t="s">
        <v>5758</v>
      </c>
      <c r="C24" t="s">
        <v>1289</v>
      </c>
      <c r="D24" t="s">
        <v>1988</v>
      </c>
      <c r="E24" t="s">
        <v>4</v>
      </c>
      <c r="F24" t="s">
        <v>5729</v>
      </c>
      <c r="G24" s="1" t="s">
        <v>5730</v>
      </c>
      <c r="H24" s="1" t="s">
        <v>1856</v>
      </c>
    </row>
    <row r="25" spans="1:8" hidden="1" x14ac:dyDescent="0.3">
      <c r="A25" t="s">
        <v>5759</v>
      </c>
      <c r="B25" t="s">
        <v>5759</v>
      </c>
      <c r="C25" t="s">
        <v>167</v>
      </c>
      <c r="D25" t="s">
        <v>2040</v>
      </c>
      <c r="E25" t="s">
        <v>4</v>
      </c>
      <c r="F25" t="s">
        <v>5729</v>
      </c>
      <c r="G25" s="1" t="s">
        <v>5730</v>
      </c>
      <c r="H25" s="1" t="s">
        <v>1856</v>
      </c>
    </row>
    <row r="26" spans="1:8" hidden="1" x14ac:dyDescent="0.3">
      <c r="A26" t="s">
        <v>5760</v>
      </c>
      <c r="B26" t="s">
        <v>5760</v>
      </c>
      <c r="C26" t="s">
        <v>242</v>
      </c>
      <c r="D26" t="s">
        <v>2040</v>
      </c>
      <c r="E26" t="s">
        <v>4</v>
      </c>
      <c r="F26" t="s">
        <v>5729</v>
      </c>
      <c r="G26" s="1" t="s">
        <v>5730</v>
      </c>
      <c r="H26" s="1" t="s">
        <v>1856</v>
      </c>
    </row>
    <row r="27" spans="1:8" hidden="1" x14ac:dyDescent="0.3">
      <c r="A27" t="s">
        <v>5761</v>
      </c>
      <c r="B27" t="s">
        <v>5761</v>
      </c>
      <c r="C27" t="s">
        <v>315</v>
      </c>
      <c r="D27" t="s">
        <v>2040</v>
      </c>
      <c r="E27" t="s">
        <v>4</v>
      </c>
      <c r="F27" t="s">
        <v>5729</v>
      </c>
      <c r="G27" s="1" t="s">
        <v>5730</v>
      </c>
      <c r="H27" s="1" t="s">
        <v>1856</v>
      </c>
    </row>
    <row r="28" spans="1:8" hidden="1" x14ac:dyDescent="0.3">
      <c r="A28" t="s">
        <v>5762</v>
      </c>
      <c r="B28" t="s">
        <v>5762</v>
      </c>
      <c r="C28" t="s">
        <v>377</v>
      </c>
      <c r="D28" t="s">
        <v>2040</v>
      </c>
      <c r="E28" t="s">
        <v>4</v>
      </c>
      <c r="F28" t="s">
        <v>5729</v>
      </c>
      <c r="G28" s="1" t="s">
        <v>5730</v>
      </c>
      <c r="H28" s="1" t="s">
        <v>1856</v>
      </c>
    </row>
    <row r="29" spans="1:8" hidden="1" x14ac:dyDescent="0.3">
      <c r="A29" t="s">
        <v>5763</v>
      </c>
      <c r="B29" t="s">
        <v>5763</v>
      </c>
      <c r="C29" t="s">
        <v>459</v>
      </c>
      <c r="D29" t="s">
        <v>2040</v>
      </c>
      <c r="E29" t="s">
        <v>4</v>
      </c>
      <c r="F29" t="s">
        <v>5729</v>
      </c>
      <c r="G29" s="1" t="s">
        <v>5730</v>
      </c>
      <c r="H29" s="1" t="s">
        <v>1856</v>
      </c>
    </row>
    <row r="30" spans="1:8" hidden="1" x14ac:dyDescent="0.3">
      <c r="A30" t="s">
        <v>5764</v>
      </c>
      <c r="B30" t="s">
        <v>5764</v>
      </c>
      <c r="C30" t="s">
        <v>2051</v>
      </c>
      <c r="D30" t="s">
        <v>2040</v>
      </c>
      <c r="E30" t="s">
        <v>4</v>
      </c>
      <c r="F30" t="s">
        <v>5734</v>
      </c>
      <c r="G30" s="1" t="s">
        <v>1961</v>
      </c>
      <c r="H30" s="1" t="s">
        <v>1856</v>
      </c>
    </row>
    <row r="31" spans="1:8" hidden="1" x14ac:dyDescent="0.3">
      <c r="A31" t="s">
        <v>5765</v>
      </c>
      <c r="B31" t="s">
        <v>5765</v>
      </c>
      <c r="C31" t="s">
        <v>531</v>
      </c>
      <c r="D31" t="s">
        <v>2040</v>
      </c>
      <c r="E31" t="s">
        <v>4</v>
      </c>
      <c r="F31" t="s">
        <v>5729</v>
      </c>
      <c r="G31" s="1" t="s">
        <v>5730</v>
      </c>
      <c r="H31" s="1" t="s">
        <v>1874</v>
      </c>
    </row>
    <row r="32" spans="1:8" hidden="1" x14ac:dyDescent="0.3">
      <c r="A32" t="s">
        <v>5766</v>
      </c>
      <c r="B32" t="s">
        <v>5766</v>
      </c>
      <c r="C32" t="s">
        <v>600</v>
      </c>
      <c r="D32" t="s">
        <v>2040</v>
      </c>
      <c r="E32" t="s">
        <v>4</v>
      </c>
      <c r="F32" t="s">
        <v>5729</v>
      </c>
      <c r="G32" s="1" t="s">
        <v>5730</v>
      </c>
      <c r="H32" s="1" t="s">
        <v>1856</v>
      </c>
    </row>
    <row r="33" spans="1:8" hidden="1" x14ac:dyDescent="0.3">
      <c r="A33" t="s">
        <v>5767</v>
      </c>
      <c r="B33" t="s">
        <v>5767</v>
      </c>
      <c r="C33" t="s">
        <v>793</v>
      </c>
      <c r="D33" t="s">
        <v>2040</v>
      </c>
      <c r="E33" t="s">
        <v>4</v>
      </c>
      <c r="F33" t="s">
        <v>5729</v>
      </c>
      <c r="G33" s="1" t="s">
        <v>5730</v>
      </c>
      <c r="H33" s="1" t="s">
        <v>1856</v>
      </c>
    </row>
    <row r="34" spans="1:8" hidden="1" x14ac:dyDescent="0.3">
      <c r="A34" t="s">
        <v>5768</v>
      </c>
      <c r="B34" t="s">
        <v>5768</v>
      </c>
      <c r="C34" t="s">
        <v>5769</v>
      </c>
      <c r="D34" t="s">
        <v>2040</v>
      </c>
      <c r="E34" t="s">
        <v>4</v>
      </c>
      <c r="F34" t="s">
        <v>5729</v>
      </c>
      <c r="G34" s="1" t="s">
        <v>5730</v>
      </c>
      <c r="H34" s="1" t="s">
        <v>1856</v>
      </c>
    </row>
    <row r="35" spans="1:8" hidden="1" x14ac:dyDescent="0.3">
      <c r="A35" t="s">
        <v>5770</v>
      </c>
      <c r="B35" t="s">
        <v>5770</v>
      </c>
      <c r="C35" t="s">
        <v>906</v>
      </c>
      <c r="D35" t="s">
        <v>2040</v>
      </c>
      <c r="E35" t="s">
        <v>4</v>
      </c>
      <c r="F35" t="s">
        <v>5729</v>
      </c>
      <c r="G35" s="1" t="s">
        <v>5730</v>
      </c>
      <c r="H35" s="1" t="s">
        <v>1856</v>
      </c>
    </row>
    <row r="36" spans="1:8" hidden="1" x14ac:dyDescent="0.3">
      <c r="A36" t="s">
        <v>5771</v>
      </c>
      <c r="B36" t="s">
        <v>5771</v>
      </c>
      <c r="C36" t="s">
        <v>959</v>
      </c>
      <c r="D36" t="s">
        <v>2040</v>
      </c>
      <c r="E36" t="s">
        <v>4</v>
      </c>
      <c r="F36" t="s">
        <v>5729</v>
      </c>
      <c r="G36" s="1" t="s">
        <v>5730</v>
      </c>
      <c r="H36" s="1" t="s">
        <v>1856</v>
      </c>
    </row>
    <row r="37" spans="1:8" hidden="1" x14ac:dyDescent="0.3">
      <c r="A37" t="s">
        <v>5772</v>
      </c>
      <c r="B37" t="s">
        <v>5772</v>
      </c>
      <c r="C37" t="s">
        <v>1004</v>
      </c>
      <c r="D37" t="s">
        <v>2040</v>
      </c>
      <c r="E37" t="s">
        <v>4</v>
      </c>
      <c r="F37" t="s">
        <v>5729</v>
      </c>
      <c r="G37" s="1" t="s">
        <v>5730</v>
      </c>
      <c r="H37" s="1" t="s">
        <v>1856</v>
      </c>
    </row>
    <row r="38" spans="1:8" hidden="1" x14ac:dyDescent="0.3">
      <c r="A38" t="s">
        <v>5773</v>
      </c>
      <c r="B38" t="s">
        <v>5773</v>
      </c>
      <c r="C38" t="s">
        <v>1052</v>
      </c>
      <c r="D38" t="s">
        <v>2040</v>
      </c>
      <c r="E38" t="s">
        <v>4</v>
      </c>
      <c r="F38" t="s">
        <v>5729</v>
      </c>
      <c r="G38" s="1" t="s">
        <v>5730</v>
      </c>
      <c r="H38" s="1" t="s">
        <v>1856</v>
      </c>
    </row>
    <row r="39" spans="1:8" hidden="1" x14ac:dyDescent="0.3">
      <c r="A39" t="s">
        <v>5774</v>
      </c>
      <c r="B39" t="s">
        <v>5774</v>
      </c>
      <c r="C39" t="s">
        <v>5775</v>
      </c>
      <c r="D39" t="s">
        <v>2040</v>
      </c>
      <c r="E39" t="s">
        <v>4</v>
      </c>
      <c r="F39" t="s">
        <v>5729</v>
      </c>
      <c r="G39" s="1" t="s">
        <v>5730</v>
      </c>
      <c r="H39" s="1" t="s">
        <v>1856</v>
      </c>
    </row>
    <row r="40" spans="1:8" hidden="1" x14ac:dyDescent="0.3">
      <c r="A40" t="s">
        <v>5776</v>
      </c>
      <c r="B40" t="s">
        <v>5776</v>
      </c>
      <c r="C40" t="s">
        <v>5777</v>
      </c>
      <c r="D40" t="s">
        <v>2040</v>
      </c>
      <c r="E40" t="s">
        <v>4</v>
      </c>
      <c r="F40" t="s">
        <v>5729</v>
      </c>
      <c r="G40" s="1" t="s">
        <v>5730</v>
      </c>
      <c r="H40" s="1" t="s">
        <v>1856</v>
      </c>
    </row>
    <row r="41" spans="1:8" hidden="1" x14ac:dyDescent="0.3">
      <c r="A41" t="s">
        <v>5778</v>
      </c>
      <c r="B41" t="s">
        <v>5778</v>
      </c>
      <c r="C41" t="s">
        <v>2077</v>
      </c>
      <c r="D41" t="s">
        <v>2040</v>
      </c>
      <c r="E41" t="s">
        <v>4</v>
      </c>
      <c r="F41" t="s">
        <v>5729</v>
      </c>
      <c r="G41" s="1" t="s">
        <v>5730</v>
      </c>
      <c r="H41" s="1" t="s">
        <v>1856</v>
      </c>
    </row>
    <row r="42" spans="1:8" hidden="1" x14ac:dyDescent="0.3">
      <c r="A42" t="s">
        <v>5779</v>
      </c>
      <c r="B42" t="s">
        <v>5779</v>
      </c>
      <c r="C42" t="s">
        <v>2080</v>
      </c>
      <c r="D42" t="s">
        <v>2040</v>
      </c>
      <c r="E42" t="s">
        <v>4</v>
      </c>
      <c r="F42" t="s">
        <v>5729</v>
      </c>
      <c r="G42" s="1" t="s">
        <v>5730</v>
      </c>
      <c r="H42" s="1" t="s">
        <v>1856</v>
      </c>
    </row>
    <row r="43" spans="1:8" hidden="1" x14ac:dyDescent="0.3">
      <c r="A43" t="s">
        <v>5780</v>
      </c>
      <c r="B43" t="s">
        <v>5780</v>
      </c>
      <c r="C43" t="s">
        <v>2083</v>
      </c>
      <c r="D43" t="s">
        <v>2040</v>
      </c>
      <c r="E43" t="s">
        <v>4</v>
      </c>
      <c r="F43" t="s">
        <v>5781</v>
      </c>
      <c r="G43" s="1" t="s">
        <v>5730</v>
      </c>
      <c r="H43" s="1" t="s">
        <v>1874</v>
      </c>
    </row>
    <row r="44" spans="1:8" hidden="1" x14ac:dyDescent="0.3">
      <c r="A44" t="s">
        <v>5782</v>
      </c>
      <c r="B44" t="s">
        <v>5782</v>
      </c>
      <c r="C44" t="s">
        <v>5783</v>
      </c>
      <c r="D44" t="s">
        <v>2040</v>
      </c>
      <c r="E44" t="s">
        <v>4</v>
      </c>
      <c r="F44" t="s">
        <v>5729</v>
      </c>
      <c r="G44" s="1" t="s">
        <v>5730</v>
      </c>
      <c r="H44" s="1" t="s">
        <v>1856</v>
      </c>
    </row>
    <row r="45" spans="1:8" hidden="1" x14ac:dyDescent="0.3">
      <c r="A45" t="s">
        <v>5784</v>
      </c>
      <c r="B45" t="s">
        <v>5784</v>
      </c>
      <c r="C45" t="s">
        <v>2089</v>
      </c>
      <c r="D45" t="s">
        <v>2040</v>
      </c>
      <c r="E45" t="s">
        <v>4</v>
      </c>
      <c r="F45" t="s">
        <v>5729</v>
      </c>
      <c r="G45" s="1" t="s">
        <v>5730</v>
      </c>
      <c r="H45" s="1" t="s">
        <v>1927</v>
      </c>
    </row>
    <row r="46" spans="1:8" hidden="1" x14ac:dyDescent="0.3">
      <c r="A46" t="s">
        <v>5785</v>
      </c>
      <c r="B46" t="s">
        <v>5785</v>
      </c>
      <c r="C46" t="s">
        <v>5786</v>
      </c>
      <c r="D46" t="s">
        <v>2040</v>
      </c>
      <c r="E46" t="s">
        <v>4</v>
      </c>
      <c r="F46" t="s">
        <v>5729</v>
      </c>
      <c r="G46" s="1" t="s">
        <v>5730</v>
      </c>
      <c r="H46" s="1" t="s">
        <v>1874</v>
      </c>
    </row>
    <row r="47" spans="1:8" hidden="1" x14ac:dyDescent="0.3">
      <c r="A47" t="s">
        <v>5787</v>
      </c>
      <c r="B47" t="s">
        <v>5787</v>
      </c>
      <c r="C47" t="s">
        <v>1830</v>
      </c>
      <c r="D47" t="s">
        <v>2040</v>
      </c>
      <c r="E47" t="s">
        <v>4</v>
      </c>
      <c r="F47" t="s">
        <v>5729</v>
      </c>
      <c r="G47" s="1" t="s">
        <v>5730</v>
      </c>
      <c r="H47" s="1" t="s">
        <v>1874</v>
      </c>
    </row>
    <row r="48" spans="1:8" hidden="1" x14ac:dyDescent="0.3">
      <c r="A48" t="s">
        <v>5788</v>
      </c>
      <c r="B48" t="s">
        <v>5788</v>
      </c>
      <c r="C48" t="s">
        <v>2096</v>
      </c>
      <c r="D48" t="s">
        <v>2040</v>
      </c>
      <c r="E48" t="s">
        <v>4</v>
      </c>
      <c r="F48" t="s">
        <v>5734</v>
      </c>
      <c r="G48" s="1" t="s">
        <v>5730</v>
      </c>
      <c r="H48" s="1" t="s">
        <v>1856</v>
      </c>
    </row>
    <row r="49" spans="1:8" hidden="1" x14ac:dyDescent="0.3">
      <c r="A49" t="s">
        <v>5789</v>
      </c>
      <c r="B49" t="s">
        <v>5789</v>
      </c>
      <c r="C49" t="s">
        <v>2099</v>
      </c>
      <c r="D49" t="s">
        <v>2040</v>
      </c>
      <c r="E49" t="s">
        <v>4</v>
      </c>
      <c r="F49" t="s">
        <v>5729</v>
      </c>
      <c r="G49" s="1" t="s">
        <v>5730</v>
      </c>
      <c r="H49" s="1" t="s">
        <v>1856</v>
      </c>
    </row>
    <row r="50" spans="1:8" hidden="1" x14ac:dyDescent="0.3">
      <c r="A50" t="s">
        <v>5790</v>
      </c>
      <c r="B50" t="s">
        <v>5790</v>
      </c>
      <c r="C50" t="s">
        <v>5791</v>
      </c>
      <c r="D50" t="s">
        <v>2040</v>
      </c>
      <c r="E50" t="s">
        <v>4</v>
      </c>
      <c r="F50" t="s">
        <v>5781</v>
      </c>
      <c r="G50" s="1" t="s">
        <v>5730</v>
      </c>
      <c r="H50" s="1" t="s">
        <v>1856</v>
      </c>
    </row>
    <row r="51" spans="1:8" hidden="1" x14ac:dyDescent="0.3">
      <c r="A51" t="s">
        <v>5792</v>
      </c>
      <c r="B51" t="s">
        <v>5792</v>
      </c>
      <c r="C51" t="s">
        <v>897</v>
      </c>
      <c r="D51" t="s">
        <v>2040</v>
      </c>
      <c r="E51" t="s">
        <v>4</v>
      </c>
      <c r="F51" t="s">
        <v>5729</v>
      </c>
      <c r="G51" s="1" t="s">
        <v>5730</v>
      </c>
      <c r="H51" s="1" t="s">
        <v>1856</v>
      </c>
    </row>
    <row r="52" spans="1:8" hidden="1" x14ac:dyDescent="0.3">
      <c r="A52" t="s">
        <v>5793</v>
      </c>
      <c r="B52" t="s">
        <v>5793</v>
      </c>
      <c r="C52" t="s">
        <v>2107</v>
      </c>
      <c r="D52" t="s">
        <v>2040</v>
      </c>
      <c r="E52" t="s">
        <v>4</v>
      </c>
      <c r="F52" t="s">
        <v>5734</v>
      </c>
      <c r="G52" s="1" t="s">
        <v>5730</v>
      </c>
      <c r="H52" s="1" t="s">
        <v>1856</v>
      </c>
    </row>
    <row r="53" spans="1:8" hidden="1" x14ac:dyDescent="0.3">
      <c r="A53" t="s">
        <v>5794</v>
      </c>
      <c r="B53" t="s">
        <v>5794</v>
      </c>
      <c r="C53" t="s">
        <v>1385</v>
      </c>
      <c r="D53" t="s">
        <v>2040</v>
      </c>
      <c r="E53" t="s">
        <v>4</v>
      </c>
      <c r="F53" t="s">
        <v>5729</v>
      </c>
      <c r="G53" s="1" t="s">
        <v>5730</v>
      </c>
      <c r="H53" s="1" t="s">
        <v>1856</v>
      </c>
    </row>
    <row r="54" spans="1:8" hidden="1" x14ac:dyDescent="0.3">
      <c r="A54" t="s">
        <v>5795</v>
      </c>
      <c r="B54" t="s">
        <v>5795</v>
      </c>
      <c r="C54" t="s">
        <v>1396</v>
      </c>
      <c r="D54" t="s">
        <v>2040</v>
      </c>
      <c r="E54" t="s">
        <v>4</v>
      </c>
      <c r="F54" t="s">
        <v>5729</v>
      </c>
      <c r="G54" s="1" t="s">
        <v>5730</v>
      </c>
      <c r="H54" s="1" t="s">
        <v>1856</v>
      </c>
    </row>
    <row r="55" spans="1:8" hidden="1" x14ac:dyDescent="0.3">
      <c r="A55" t="s">
        <v>5796</v>
      </c>
      <c r="B55" t="s">
        <v>5796</v>
      </c>
      <c r="C55" t="s">
        <v>1404</v>
      </c>
      <c r="D55" t="s">
        <v>2040</v>
      </c>
      <c r="E55" t="s">
        <v>4</v>
      </c>
      <c r="F55" t="s">
        <v>5729</v>
      </c>
      <c r="G55" s="1" t="s">
        <v>5730</v>
      </c>
      <c r="H55" s="1" t="s">
        <v>1927</v>
      </c>
    </row>
    <row r="56" spans="1:8" hidden="1" x14ac:dyDescent="0.3">
      <c r="A56" t="s">
        <v>5797</v>
      </c>
      <c r="B56" t="s">
        <v>5797</v>
      </c>
      <c r="C56" t="s">
        <v>1415</v>
      </c>
      <c r="D56" t="s">
        <v>2040</v>
      </c>
      <c r="E56" t="s">
        <v>4</v>
      </c>
      <c r="F56" t="s">
        <v>5729</v>
      </c>
      <c r="G56" s="1" t="s">
        <v>5730</v>
      </c>
      <c r="H56" s="1" t="s">
        <v>1856</v>
      </c>
    </row>
    <row r="57" spans="1:8" hidden="1" x14ac:dyDescent="0.3">
      <c r="A57" t="s">
        <v>5798</v>
      </c>
      <c r="B57" t="s">
        <v>5798</v>
      </c>
      <c r="C57" t="s">
        <v>1422</v>
      </c>
      <c r="D57" t="s">
        <v>2040</v>
      </c>
      <c r="E57" t="s">
        <v>4</v>
      </c>
      <c r="F57" t="s">
        <v>5734</v>
      </c>
      <c r="G57" s="1" t="s">
        <v>5730</v>
      </c>
      <c r="H57" s="1" t="s">
        <v>1856</v>
      </c>
    </row>
    <row r="58" spans="1:8" hidden="1" x14ac:dyDescent="0.3">
      <c r="A58" t="s">
        <v>5799</v>
      </c>
      <c r="B58" t="s">
        <v>5799</v>
      </c>
      <c r="C58" t="s">
        <v>5800</v>
      </c>
      <c r="D58" t="s">
        <v>2040</v>
      </c>
      <c r="E58" t="s">
        <v>4</v>
      </c>
      <c r="F58" t="s">
        <v>5734</v>
      </c>
      <c r="G58" s="1" t="s">
        <v>1961</v>
      </c>
      <c r="H58" s="1" t="s">
        <v>1923</v>
      </c>
    </row>
    <row r="59" spans="1:8" hidden="1" x14ac:dyDescent="0.3">
      <c r="A59" t="s">
        <v>5801</v>
      </c>
      <c r="B59" t="s">
        <v>5801</v>
      </c>
      <c r="C59" t="s">
        <v>168</v>
      </c>
      <c r="D59" t="s">
        <v>2123</v>
      </c>
      <c r="E59" t="s">
        <v>4</v>
      </c>
      <c r="F59" t="s">
        <v>5734</v>
      </c>
      <c r="G59" s="1" t="s">
        <v>5730</v>
      </c>
      <c r="H59" s="1" t="s">
        <v>1856</v>
      </c>
    </row>
    <row r="60" spans="1:8" hidden="1" x14ac:dyDescent="0.3">
      <c r="A60" t="s">
        <v>5802</v>
      </c>
      <c r="B60" t="s">
        <v>5802</v>
      </c>
      <c r="C60" t="s">
        <v>243</v>
      </c>
      <c r="D60" t="s">
        <v>2123</v>
      </c>
      <c r="E60" t="s">
        <v>4</v>
      </c>
      <c r="F60" t="s">
        <v>5729</v>
      </c>
      <c r="G60" s="1" t="s">
        <v>5730</v>
      </c>
      <c r="H60" s="1" t="s">
        <v>1856</v>
      </c>
    </row>
    <row r="61" spans="1:8" hidden="1" x14ac:dyDescent="0.3">
      <c r="A61" t="s">
        <v>5803</v>
      </c>
      <c r="B61" t="s">
        <v>5803</v>
      </c>
      <c r="C61" t="s">
        <v>316</v>
      </c>
      <c r="D61" t="s">
        <v>2123</v>
      </c>
      <c r="E61" t="s">
        <v>4</v>
      </c>
      <c r="F61" t="s">
        <v>5729</v>
      </c>
      <c r="G61" s="1" t="s">
        <v>5730</v>
      </c>
      <c r="H61" s="1" t="s">
        <v>1856</v>
      </c>
    </row>
    <row r="62" spans="1:8" hidden="1" x14ac:dyDescent="0.3">
      <c r="A62" t="s">
        <v>5804</v>
      </c>
      <c r="B62" t="s">
        <v>5804</v>
      </c>
      <c r="C62" t="s">
        <v>389</v>
      </c>
      <c r="D62" t="s">
        <v>2123</v>
      </c>
      <c r="E62" t="s">
        <v>4</v>
      </c>
      <c r="F62" t="s">
        <v>5729</v>
      </c>
      <c r="G62" s="1" t="s">
        <v>5730</v>
      </c>
      <c r="H62" s="1" t="s">
        <v>1923</v>
      </c>
    </row>
    <row r="63" spans="1:8" hidden="1" x14ac:dyDescent="0.3">
      <c r="A63" t="s">
        <v>5805</v>
      </c>
      <c r="B63" t="s">
        <v>5805</v>
      </c>
      <c r="C63" t="s">
        <v>460</v>
      </c>
      <c r="D63" t="s">
        <v>2123</v>
      </c>
      <c r="E63" t="s">
        <v>4</v>
      </c>
      <c r="F63" t="s">
        <v>5729</v>
      </c>
      <c r="G63" s="1" t="s">
        <v>5730</v>
      </c>
      <c r="H63" s="1" t="s">
        <v>1856</v>
      </c>
    </row>
    <row r="64" spans="1:8" hidden="1" x14ac:dyDescent="0.3">
      <c r="A64" t="s">
        <v>5806</v>
      </c>
      <c r="B64" t="s">
        <v>5806</v>
      </c>
      <c r="C64" t="s">
        <v>532</v>
      </c>
      <c r="D64" t="s">
        <v>2123</v>
      </c>
      <c r="E64" t="s">
        <v>4</v>
      </c>
      <c r="F64" t="s">
        <v>5729</v>
      </c>
      <c r="G64" s="1" t="s">
        <v>5730</v>
      </c>
      <c r="H64" s="1" t="s">
        <v>1856</v>
      </c>
    </row>
    <row r="65" spans="1:8" hidden="1" x14ac:dyDescent="0.3">
      <c r="A65" t="s">
        <v>5807</v>
      </c>
      <c r="B65" t="s">
        <v>5807</v>
      </c>
      <c r="C65" t="s">
        <v>601</v>
      </c>
      <c r="D65" t="s">
        <v>2123</v>
      </c>
      <c r="E65" t="s">
        <v>4</v>
      </c>
      <c r="F65" t="s">
        <v>5729</v>
      </c>
      <c r="G65" s="1" t="s">
        <v>5730</v>
      </c>
      <c r="H65" s="1" t="s">
        <v>1856</v>
      </c>
    </row>
    <row r="66" spans="1:8" hidden="1" x14ac:dyDescent="0.3">
      <c r="A66" t="s">
        <v>5808</v>
      </c>
      <c r="B66" t="s">
        <v>5808</v>
      </c>
      <c r="C66" t="s">
        <v>377</v>
      </c>
      <c r="D66" t="s">
        <v>2123</v>
      </c>
      <c r="E66" t="s">
        <v>4</v>
      </c>
      <c r="F66" t="s">
        <v>5729</v>
      </c>
      <c r="G66" s="1" t="s">
        <v>5730</v>
      </c>
      <c r="H66" s="1" t="s">
        <v>1923</v>
      </c>
    </row>
    <row r="67" spans="1:8" hidden="1" x14ac:dyDescent="0.3">
      <c r="A67" t="s">
        <v>5809</v>
      </c>
      <c r="B67" t="s">
        <v>5809</v>
      </c>
      <c r="C67" t="s">
        <v>731</v>
      </c>
      <c r="D67" t="s">
        <v>2123</v>
      </c>
      <c r="E67" t="s">
        <v>4</v>
      </c>
      <c r="F67" t="s">
        <v>5729</v>
      </c>
      <c r="G67" s="1" t="s">
        <v>5730</v>
      </c>
      <c r="H67" s="1" t="s">
        <v>1856</v>
      </c>
    </row>
    <row r="68" spans="1:8" hidden="1" x14ac:dyDescent="0.3">
      <c r="A68" t="s">
        <v>5810</v>
      </c>
      <c r="B68" t="s">
        <v>5810</v>
      </c>
      <c r="C68" t="s">
        <v>453</v>
      </c>
      <c r="D68" t="s">
        <v>2123</v>
      </c>
      <c r="E68" t="s">
        <v>4</v>
      </c>
      <c r="F68" t="s">
        <v>5781</v>
      </c>
      <c r="G68" s="1" t="s">
        <v>5730</v>
      </c>
      <c r="H68" s="1" t="s">
        <v>1874</v>
      </c>
    </row>
    <row r="69" spans="1:8" hidden="1" x14ac:dyDescent="0.3">
      <c r="A69" t="s">
        <v>5811</v>
      </c>
      <c r="B69" t="s">
        <v>5811</v>
      </c>
      <c r="C69" t="s">
        <v>907</v>
      </c>
      <c r="D69" t="s">
        <v>2123</v>
      </c>
      <c r="E69" t="s">
        <v>4</v>
      </c>
      <c r="F69" t="s">
        <v>5729</v>
      </c>
      <c r="G69" s="1" t="s">
        <v>5730</v>
      </c>
      <c r="H69" s="1" t="s">
        <v>1856</v>
      </c>
    </row>
    <row r="70" spans="1:8" hidden="1" x14ac:dyDescent="0.3">
      <c r="A70" t="s">
        <v>5812</v>
      </c>
      <c r="B70" t="s">
        <v>5812</v>
      </c>
      <c r="C70" t="s">
        <v>960</v>
      </c>
      <c r="D70" t="s">
        <v>2123</v>
      </c>
      <c r="E70" t="s">
        <v>4</v>
      </c>
      <c r="F70" t="s">
        <v>5729</v>
      </c>
      <c r="G70" s="1" t="s">
        <v>5730</v>
      </c>
      <c r="H70" s="1" t="s">
        <v>1927</v>
      </c>
    </row>
    <row r="71" spans="1:8" hidden="1" x14ac:dyDescent="0.3">
      <c r="A71" t="s">
        <v>5813</v>
      </c>
      <c r="B71" t="s">
        <v>5813</v>
      </c>
      <c r="C71" t="s">
        <v>656</v>
      </c>
      <c r="D71" t="s">
        <v>2123</v>
      </c>
      <c r="E71" t="s">
        <v>4</v>
      </c>
      <c r="F71" t="s">
        <v>5734</v>
      </c>
      <c r="G71" s="1" t="s">
        <v>5730</v>
      </c>
      <c r="H71" s="1" t="s">
        <v>1856</v>
      </c>
    </row>
    <row r="72" spans="1:8" hidden="1" x14ac:dyDescent="0.3">
      <c r="A72" t="s">
        <v>5814</v>
      </c>
      <c r="B72" t="s">
        <v>5814</v>
      </c>
      <c r="C72" t="s">
        <v>5815</v>
      </c>
      <c r="D72" t="s">
        <v>2123</v>
      </c>
      <c r="E72" t="s">
        <v>4</v>
      </c>
      <c r="F72" t="s">
        <v>5781</v>
      </c>
      <c r="G72" s="1" t="s">
        <v>1961</v>
      </c>
      <c r="H72" s="1" t="s">
        <v>1874</v>
      </c>
    </row>
    <row r="73" spans="1:8" hidden="1" x14ac:dyDescent="0.3">
      <c r="A73" t="s">
        <v>5816</v>
      </c>
      <c r="B73" t="s">
        <v>5816</v>
      </c>
      <c r="C73" t="s">
        <v>2153</v>
      </c>
      <c r="D73" t="s">
        <v>2123</v>
      </c>
      <c r="E73" t="s">
        <v>4</v>
      </c>
      <c r="F73" t="s">
        <v>5729</v>
      </c>
      <c r="G73" s="1" t="s">
        <v>5730</v>
      </c>
      <c r="H73" s="1" t="s">
        <v>1927</v>
      </c>
    </row>
    <row r="74" spans="1:8" hidden="1" x14ac:dyDescent="0.3">
      <c r="A74" t="s">
        <v>5817</v>
      </c>
      <c r="B74" t="s">
        <v>5817</v>
      </c>
      <c r="C74" t="s">
        <v>1842</v>
      </c>
      <c r="D74" t="s">
        <v>2123</v>
      </c>
      <c r="E74" t="s">
        <v>4</v>
      </c>
      <c r="F74" t="s">
        <v>5734</v>
      </c>
      <c r="G74" s="1" t="s">
        <v>5730</v>
      </c>
      <c r="H74" s="1" t="s">
        <v>1856</v>
      </c>
    </row>
    <row r="75" spans="1:8" hidden="1" x14ac:dyDescent="0.3">
      <c r="A75" t="s">
        <v>5818</v>
      </c>
      <c r="B75" t="s">
        <v>5818</v>
      </c>
      <c r="C75" t="s">
        <v>2158</v>
      </c>
      <c r="D75" t="s">
        <v>2123</v>
      </c>
      <c r="E75" t="s">
        <v>4</v>
      </c>
      <c r="F75" t="s">
        <v>5734</v>
      </c>
      <c r="G75" s="1" t="s">
        <v>5730</v>
      </c>
      <c r="H75" s="1" t="s">
        <v>1856</v>
      </c>
    </row>
    <row r="76" spans="1:8" hidden="1" x14ac:dyDescent="0.3">
      <c r="A76" t="s">
        <v>5819</v>
      </c>
      <c r="B76" t="s">
        <v>5819</v>
      </c>
      <c r="C76" t="s">
        <v>1164</v>
      </c>
      <c r="D76" t="s">
        <v>2123</v>
      </c>
      <c r="E76" t="s">
        <v>4</v>
      </c>
      <c r="F76" t="s">
        <v>5729</v>
      </c>
      <c r="G76" s="1" t="s">
        <v>5730</v>
      </c>
      <c r="H76" s="1" t="s">
        <v>1856</v>
      </c>
    </row>
    <row r="77" spans="1:8" hidden="1" x14ac:dyDescent="0.3">
      <c r="A77" t="s">
        <v>5820</v>
      </c>
      <c r="B77" t="s">
        <v>5820</v>
      </c>
      <c r="C77" t="s">
        <v>1194</v>
      </c>
      <c r="D77" t="s">
        <v>2123</v>
      </c>
      <c r="E77" t="s">
        <v>4</v>
      </c>
      <c r="F77" t="s">
        <v>5729</v>
      </c>
      <c r="G77" s="1" t="s">
        <v>5730</v>
      </c>
      <c r="H77" s="1" t="s">
        <v>1856</v>
      </c>
    </row>
    <row r="78" spans="1:8" hidden="1" x14ac:dyDescent="0.3">
      <c r="A78" t="s">
        <v>5821</v>
      </c>
      <c r="B78" t="s">
        <v>5821</v>
      </c>
      <c r="C78" t="s">
        <v>1223</v>
      </c>
      <c r="D78" t="s">
        <v>2123</v>
      </c>
      <c r="E78" t="s">
        <v>4</v>
      </c>
      <c r="F78" t="s">
        <v>5729</v>
      </c>
      <c r="G78" s="1" t="s">
        <v>5730</v>
      </c>
      <c r="H78" s="1" t="s">
        <v>1874</v>
      </c>
    </row>
    <row r="79" spans="1:8" hidden="1" x14ac:dyDescent="0.3">
      <c r="A79" t="s">
        <v>5822</v>
      </c>
      <c r="B79" t="s">
        <v>5822</v>
      </c>
      <c r="C79" t="s">
        <v>169</v>
      </c>
      <c r="D79" t="s">
        <v>129</v>
      </c>
      <c r="E79" t="s">
        <v>4</v>
      </c>
      <c r="F79" t="s">
        <v>5729</v>
      </c>
      <c r="G79" s="1" t="s">
        <v>5730</v>
      </c>
      <c r="H79" s="1" t="s">
        <v>1874</v>
      </c>
    </row>
    <row r="80" spans="1:8" hidden="1" x14ac:dyDescent="0.3">
      <c r="A80" t="s">
        <v>5823</v>
      </c>
      <c r="B80" t="s">
        <v>5823</v>
      </c>
      <c r="C80" t="s">
        <v>244</v>
      </c>
      <c r="D80" t="s">
        <v>129</v>
      </c>
      <c r="E80" t="s">
        <v>4</v>
      </c>
      <c r="F80" t="s">
        <v>5729</v>
      </c>
      <c r="G80" s="1" t="s">
        <v>5730</v>
      </c>
      <c r="H80" s="1" t="s">
        <v>1856</v>
      </c>
    </row>
    <row r="81" spans="1:8" hidden="1" x14ac:dyDescent="0.3">
      <c r="A81" t="s">
        <v>5824</v>
      </c>
      <c r="B81" t="s">
        <v>5824</v>
      </c>
      <c r="C81" t="s">
        <v>2171</v>
      </c>
      <c r="D81" t="s">
        <v>129</v>
      </c>
      <c r="E81" t="s">
        <v>4</v>
      </c>
      <c r="F81" t="s">
        <v>5781</v>
      </c>
      <c r="G81" s="1" t="s">
        <v>1961</v>
      </c>
      <c r="H81" s="1" t="s">
        <v>1927</v>
      </c>
    </row>
    <row r="82" spans="1:8" hidden="1" x14ac:dyDescent="0.3">
      <c r="A82" t="s">
        <v>5825</v>
      </c>
      <c r="B82" t="s">
        <v>5825</v>
      </c>
      <c r="C82" t="s">
        <v>246</v>
      </c>
      <c r="D82" t="s">
        <v>129</v>
      </c>
      <c r="E82" t="s">
        <v>4</v>
      </c>
      <c r="F82" t="s">
        <v>5729</v>
      </c>
      <c r="G82" s="1" t="s">
        <v>5730</v>
      </c>
      <c r="H82" s="1" t="s">
        <v>1856</v>
      </c>
    </row>
    <row r="83" spans="1:8" hidden="1" x14ac:dyDescent="0.3">
      <c r="A83" t="s">
        <v>5826</v>
      </c>
      <c r="B83" t="s">
        <v>5826</v>
      </c>
      <c r="C83" t="s">
        <v>351</v>
      </c>
      <c r="D83" t="s">
        <v>129</v>
      </c>
      <c r="E83" t="s">
        <v>4</v>
      </c>
      <c r="F83" t="s">
        <v>5729</v>
      </c>
      <c r="G83" s="1" t="s">
        <v>5730</v>
      </c>
      <c r="H83" s="1" t="s">
        <v>1874</v>
      </c>
    </row>
    <row r="84" spans="1:8" hidden="1" x14ac:dyDescent="0.3">
      <c r="A84" t="s">
        <v>5827</v>
      </c>
      <c r="B84" t="s">
        <v>5827</v>
      </c>
      <c r="C84" t="s">
        <v>461</v>
      </c>
      <c r="D84" t="s">
        <v>129</v>
      </c>
      <c r="E84" t="s">
        <v>4</v>
      </c>
      <c r="F84" t="s">
        <v>5729</v>
      </c>
      <c r="G84" s="1" t="s">
        <v>5730</v>
      </c>
      <c r="H84" s="1" t="s">
        <v>1856</v>
      </c>
    </row>
    <row r="85" spans="1:8" hidden="1" x14ac:dyDescent="0.3">
      <c r="A85" t="s">
        <v>5828</v>
      </c>
      <c r="B85" t="s">
        <v>5828</v>
      </c>
      <c r="C85" t="s">
        <v>533</v>
      </c>
      <c r="D85" t="s">
        <v>129</v>
      </c>
      <c r="E85" t="s">
        <v>4</v>
      </c>
      <c r="F85" t="s">
        <v>5729</v>
      </c>
      <c r="G85" s="1" t="s">
        <v>5730</v>
      </c>
      <c r="H85" s="1" t="s">
        <v>1856</v>
      </c>
    </row>
    <row r="86" spans="1:8" hidden="1" x14ac:dyDescent="0.3">
      <c r="A86" t="s">
        <v>5829</v>
      </c>
      <c r="B86" t="s">
        <v>5829</v>
      </c>
      <c r="C86" t="s">
        <v>602</v>
      </c>
      <c r="D86" t="s">
        <v>129</v>
      </c>
      <c r="E86" t="s">
        <v>4</v>
      </c>
      <c r="F86" t="s">
        <v>5729</v>
      </c>
      <c r="G86" s="1" t="s">
        <v>5730</v>
      </c>
      <c r="H86" s="1" t="s">
        <v>1856</v>
      </c>
    </row>
    <row r="87" spans="1:8" hidden="1" x14ac:dyDescent="0.3">
      <c r="A87" t="s">
        <v>5830</v>
      </c>
      <c r="B87" t="s">
        <v>5830</v>
      </c>
      <c r="C87" t="s">
        <v>669</v>
      </c>
      <c r="D87" t="s">
        <v>129</v>
      </c>
      <c r="E87" t="s">
        <v>4</v>
      </c>
      <c r="F87" t="s">
        <v>5729</v>
      </c>
      <c r="G87" s="1" t="s">
        <v>5730</v>
      </c>
      <c r="H87" s="1" t="s">
        <v>1927</v>
      </c>
    </row>
    <row r="88" spans="1:8" hidden="1" x14ac:dyDescent="0.3">
      <c r="A88" t="s">
        <v>5831</v>
      </c>
      <c r="B88" t="s">
        <v>5831</v>
      </c>
      <c r="C88" t="s">
        <v>732</v>
      </c>
      <c r="D88" t="s">
        <v>129</v>
      </c>
      <c r="E88" t="s">
        <v>4</v>
      </c>
      <c r="F88" t="s">
        <v>5729</v>
      </c>
      <c r="G88" s="1" t="s">
        <v>5730</v>
      </c>
      <c r="H88" s="1" t="s">
        <v>1927</v>
      </c>
    </row>
    <row r="89" spans="1:8" hidden="1" x14ac:dyDescent="0.3">
      <c r="A89" t="s">
        <v>5832</v>
      </c>
      <c r="B89" t="s">
        <v>5832</v>
      </c>
      <c r="C89" t="s">
        <v>794</v>
      </c>
      <c r="D89" t="s">
        <v>129</v>
      </c>
      <c r="E89" t="s">
        <v>4</v>
      </c>
      <c r="F89" t="s">
        <v>5729</v>
      </c>
      <c r="G89" s="1" t="s">
        <v>5730</v>
      </c>
      <c r="H89" s="1" t="s">
        <v>1856</v>
      </c>
    </row>
    <row r="90" spans="1:8" hidden="1" x14ac:dyDescent="0.3">
      <c r="A90" t="s">
        <v>5833</v>
      </c>
      <c r="B90" t="s">
        <v>5833</v>
      </c>
      <c r="C90" t="s">
        <v>852</v>
      </c>
      <c r="D90" t="s">
        <v>129</v>
      </c>
      <c r="E90" t="s">
        <v>4</v>
      </c>
      <c r="F90" t="s">
        <v>5729</v>
      </c>
      <c r="G90" s="1" t="s">
        <v>5730</v>
      </c>
      <c r="H90" s="1" t="s">
        <v>1856</v>
      </c>
    </row>
    <row r="91" spans="1:8" hidden="1" x14ac:dyDescent="0.3">
      <c r="A91" t="s">
        <v>5834</v>
      </c>
      <c r="B91" t="s">
        <v>5834</v>
      </c>
      <c r="C91" t="s">
        <v>908</v>
      </c>
      <c r="D91" t="s">
        <v>129</v>
      </c>
      <c r="E91" t="s">
        <v>4</v>
      </c>
      <c r="F91" t="s">
        <v>5729</v>
      </c>
      <c r="G91" s="1" t="s">
        <v>5730</v>
      </c>
      <c r="H91" s="1" t="s">
        <v>1856</v>
      </c>
    </row>
    <row r="92" spans="1:8" hidden="1" x14ac:dyDescent="0.3">
      <c r="A92" t="s">
        <v>5835</v>
      </c>
      <c r="B92" t="s">
        <v>5835</v>
      </c>
      <c r="C92" t="s">
        <v>961</v>
      </c>
      <c r="D92" t="s">
        <v>129</v>
      </c>
      <c r="E92" t="s">
        <v>4</v>
      </c>
      <c r="F92" t="s">
        <v>5729</v>
      </c>
      <c r="G92" s="1" t="s">
        <v>5730</v>
      </c>
      <c r="H92" s="1" t="s">
        <v>1856</v>
      </c>
    </row>
    <row r="93" spans="1:8" hidden="1" x14ac:dyDescent="0.3">
      <c r="A93" t="s">
        <v>5836</v>
      </c>
      <c r="B93" t="s">
        <v>5836</v>
      </c>
      <c r="C93" t="s">
        <v>1005</v>
      </c>
      <c r="D93" t="s">
        <v>129</v>
      </c>
      <c r="E93" t="s">
        <v>4</v>
      </c>
      <c r="F93" t="s">
        <v>5729</v>
      </c>
      <c r="G93" s="1" t="s">
        <v>5730</v>
      </c>
      <c r="H93" s="1" t="s">
        <v>1856</v>
      </c>
    </row>
    <row r="94" spans="1:8" hidden="1" x14ac:dyDescent="0.3">
      <c r="A94" t="s">
        <v>5837</v>
      </c>
      <c r="B94" t="s">
        <v>5837</v>
      </c>
      <c r="C94" t="s">
        <v>377</v>
      </c>
      <c r="D94" t="s">
        <v>129</v>
      </c>
      <c r="E94" t="s">
        <v>4</v>
      </c>
      <c r="F94" t="s">
        <v>5729</v>
      </c>
      <c r="G94" s="1" t="s">
        <v>5730</v>
      </c>
      <c r="H94" s="1" t="s">
        <v>1927</v>
      </c>
    </row>
    <row r="95" spans="1:8" hidden="1" x14ac:dyDescent="0.3">
      <c r="A95" t="s">
        <v>5838</v>
      </c>
      <c r="B95" t="s">
        <v>5838</v>
      </c>
      <c r="C95" t="s">
        <v>1092</v>
      </c>
      <c r="D95" t="s">
        <v>129</v>
      </c>
      <c r="E95" t="s">
        <v>4</v>
      </c>
      <c r="F95" t="s">
        <v>5729</v>
      </c>
      <c r="G95" s="1" t="s">
        <v>5730</v>
      </c>
      <c r="H95" s="1" t="s">
        <v>1856</v>
      </c>
    </row>
    <row r="96" spans="1:8" hidden="1" x14ac:dyDescent="0.3">
      <c r="A96" t="s">
        <v>5839</v>
      </c>
      <c r="B96" t="s">
        <v>5839</v>
      </c>
      <c r="C96" t="s">
        <v>5840</v>
      </c>
      <c r="D96" t="s">
        <v>129</v>
      </c>
      <c r="E96" t="s">
        <v>4</v>
      </c>
      <c r="F96" t="s">
        <v>5781</v>
      </c>
      <c r="G96" s="1" t="s">
        <v>2204</v>
      </c>
      <c r="H96" s="1" t="s">
        <v>1874</v>
      </c>
    </row>
    <row r="97" spans="1:8" hidden="1" x14ac:dyDescent="0.3">
      <c r="A97" t="s">
        <v>5841</v>
      </c>
      <c r="B97" t="s">
        <v>5841</v>
      </c>
      <c r="C97" t="s">
        <v>1247</v>
      </c>
      <c r="D97" t="s">
        <v>129</v>
      </c>
      <c r="E97" t="s">
        <v>4</v>
      </c>
      <c r="F97" t="s">
        <v>5729</v>
      </c>
      <c r="G97" s="1" t="s">
        <v>5730</v>
      </c>
      <c r="H97" s="1" t="s">
        <v>1874</v>
      </c>
    </row>
    <row r="98" spans="1:8" hidden="1" x14ac:dyDescent="0.3">
      <c r="A98" t="s">
        <v>5842</v>
      </c>
      <c r="B98" t="s">
        <v>5842</v>
      </c>
      <c r="C98" t="s">
        <v>1102</v>
      </c>
      <c r="D98" t="s">
        <v>129</v>
      </c>
      <c r="E98" t="s">
        <v>4</v>
      </c>
      <c r="F98" t="s">
        <v>5734</v>
      </c>
      <c r="G98" s="1" t="s">
        <v>5730</v>
      </c>
      <c r="H98" s="1" t="s">
        <v>1874</v>
      </c>
    </row>
    <row r="99" spans="1:8" hidden="1" x14ac:dyDescent="0.3">
      <c r="A99" t="s">
        <v>5843</v>
      </c>
      <c r="B99" t="s">
        <v>5843</v>
      </c>
      <c r="C99" t="s">
        <v>1291</v>
      </c>
      <c r="D99" t="s">
        <v>129</v>
      </c>
      <c r="E99" t="s">
        <v>4</v>
      </c>
      <c r="F99" t="s">
        <v>5729</v>
      </c>
      <c r="G99" s="1" t="s">
        <v>5730</v>
      </c>
      <c r="H99" s="1" t="s">
        <v>1927</v>
      </c>
    </row>
    <row r="100" spans="1:8" hidden="1" x14ac:dyDescent="0.3">
      <c r="A100" t="s">
        <v>5844</v>
      </c>
      <c r="B100" t="s">
        <v>5844</v>
      </c>
      <c r="C100" t="s">
        <v>5845</v>
      </c>
      <c r="D100" t="s">
        <v>129</v>
      </c>
      <c r="E100" t="s">
        <v>4</v>
      </c>
      <c r="F100" t="s">
        <v>5734</v>
      </c>
      <c r="G100" s="1" t="s">
        <v>5730</v>
      </c>
      <c r="H100" s="1" t="s">
        <v>1856</v>
      </c>
    </row>
    <row r="101" spans="1:8" hidden="1" x14ac:dyDescent="0.3">
      <c r="A101" t="s">
        <v>5846</v>
      </c>
      <c r="B101" t="s">
        <v>5846</v>
      </c>
      <c r="C101" t="s">
        <v>369</v>
      </c>
      <c r="D101" t="s">
        <v>129</v>
      </c>
      <c r="E101" t="s">
        <v>4</v>
      </c>
      <c r="F101" t="s">
        <v>5729</v>
      </c>
      <c r="G101" s="1" t="s">
        <v>5730</v>
      </c>
      <c r="H101" s="1" t="s">
        <v>1874</v>
      </c>
    </row>
    <row r="102" spans="1:8" hidden="1" x14ac:dyDescent="0.3">
      <c r="A102" t="s">
        <v>5847</v>
      </c>
      <c r="B102" t="s">
        <v>5847</v>
      </c>
      <c r="C102" t="s">
        <v>1354</v>
      </c>
      <c r="D102" t="s">
        <v>129</v>
      </c>
      <c r="E102" t="s">
        <v>4</v>
      </c>
      <c r="F102" t="s">
        <v>5729</v>
      </c>
      <c r="G102" s="1" t="s">
        <v>5730</v>
      </c>
      <c r="H102" s="1" t="s">
        <v>1856</v>
      </c>
    </row>
    <row r="103" spans="1:8" hidden="1" x14ac:dyDescent="0.3">
      <c r="A103" t="s">
        <v>5848</v>
      </c>
      <c r="B103" t="s">
        <v>5848</v>
      </c>
      <c r="C103" t="s">
        <v>1365</v>
      </c>
      <c r="D103" t="s">
        <v>129</v>
      </c>
      <c r="E103" t="s">
        <v>4</v>
      </c>
      <c r="F103" t="s">
        <v>5729</v>
      </c>
      <c r="G103" s="1" t="s">
        <v>5730</v>
      </c>
      <c r="H103" s="1" t="s">
        <v>1856</v>
      </c>
    </row>
    <row r="104" spans="1:8" hidden="1" x14ac:dyDescent="0.3">
      <c r="A104" t="s">
        <v>5849</v>
      </c>
      <c r="B104" t="s">
        <v>5849</v>
      </c>
      <c r="C104" t="s">
        <v>1374</v>
      </c>
      <c r="D104" t="s">
        <v>129</v>
      </c>
      <c r="E104" t="s">
        <v>4</v>
      </c>
      <c r="F104" t="s">
        <v>5729</v>
      </c>
      <c r="G104" s="1" t="s">
        <v>5730</v>
      </c>
      <c r="H104" s="1" t="s">
        <v>1856</v>
      </c>
    </row>
    <row r="105" spans="1:8" hidden="1" x14ac:dyDescent="0.3">
      <c r="A105" t="s">
        <v>5850</v>
      </c>
      <c r="B105" t="s">
        <v>5850</v>
      </c>
      <c r="C105" t="s">
        <v>1386</v>
      </c>
      <c r="D105" t="s">
        <v>129</v>
      </c>
      <c r="E105" t="s">
        <v>4</v>
      </c>
      <c r="F105" t="s">
        <v>5729</v>
      </c>
      <c r="G105" s="1" t="s">
        <v>5730</v>
      </c>
      <c r="H105" s="1" t="s">
        <v>1856</v>
      </c>
    </row>
    <row r="106" spans="1:8" hidden="1" x14ac:dyDescent="0.3">
      <c r="A106" t="s">
        <v>5851</v>
      </c>
      <c r="B106" t="s">
        <v>5851</v>
      </c>
      <c r="C106" t="s">
        <v>1397</v>
      </c>
      <c r="D106" t="s">
        <v>129</v>
      </c>
      <c r="E106" t="s">
        <v>4</v>
      </c>
      <c r="F106" t="s">
        <v>5729</v>
      </c>
      <c r="G106" s="1" t="s">
        <v>5730</v>
      </c>
      <c r="H106" s="1" t="s">
        <v>1927</v>
      </c>
    </row>
    <row r="107" spans="1:8" hidden="1" x14ac:dyDescent="0.3">
      <c r="A107" t="s">
        <v>5852</v>
      </c>
      <c r="B107" t="s">
        <v>5852</v>
      </c>
      <c r="C107" t="s">
        <v>1405</v>
      </c>
      <c r="D107" t="s">
        <v>129</v>
      </c>
      <c r="E107" t="s">
        <v>4</v>
      </c>
      <c r="F107" t="s">
        <v>5729</v>
      </c>
      <c r="G107" s="1" t="s">
        <v>5730</v>
      </c>
      <c r="H107" s="1" t="s">
        <v>1927</v>
      </c>
    </row>
    <row r="108" spans="1:8" hidden="1" x14ac:dyDescent="0.3">
      <c r="A108" t="s">
        <v>5853</v>
      </c>
      <c r="B108" t="s">
        <v>5853</v>
      </c>
      <c r="C108" t="s">
        <v>1416</v>
      </c>
      <c r="D108" t="s">
        <v>129</v>
      </c>
      <c r="E108" t="s">
        <v>4</v>
      </c>
      <c r="F108" t="s">
        <v>5729</v>
      </c>
      <c r="G108" s="1" t="s">
        <v>5730</v>
      </c>
      <c r="H108" s="1" t="s">
        <v>1856</v>
      </c>
    </row>
    <row r="109" spans="1:8" hidden="1" x14ac:dyDescent="0.3">
      <c r="A109" t="s">
        <v>5854</v>
      </c>
      <c r="B109" t="s">
        <v>5854</v>
      </c>
      <c r="C109" t="s">
        <v>1423</v>
      </c>
      <c r="D109" t="s">
        <v>129</v>
      </c>
      <c r="E109" t="s">
        <v>4</v>
      </c>
      <c r="F109" t="s">
        <v>5729</v>
      </c>
      <c r="G109" s="1" t="s">
        <v>5730</v>
      </c>
      <c r="H109" s="1" t="s">
        <v>1856</v>
      </c>
    </row>
    <row r="110" spans="1:8" hidden="1" x14ac:dyDescent="0.3">
      <c r="A110" t="s">
        <v>5855</v>
      </c>
      <c r="B110" t="s">
        <v>5855</v>
      </c>
      <c r="C110" t="s">
        <v>5856</v>
      </c>
      <c r="D110" t="s">
        <v>129</v>
      </c>
      <c r="E110" t="s">
        <v>4</v>
      </c>
      <c r="F110" t="s">
        <v>5781</v>
      </c>
      <c r="G110" s="1" t="s">
        <v>1961</v>
      </c>
      <c r="H110" s="1" t="s">
        <v>1874</v>
      </c>
    </row>
    <row r="111" spans="1:8" hidden="1" x14ac:dyDescent="0.3">
      <c r="A111" t="s">
        <v>5857</v>
      </c>
      <c r="B111" t="s">
        <v>5857</v>
      </c>
      <c r="C111" t="s">
        <v>2234</v>
      </c>
      <c r="D111" t="s">
        <v>129</v>
      </c>
      <c r="E111" t="s">
        <v>4</v>
      </c>
      <c r="F111" t="s">
        <v>5729</v>
      </c>
      <c r="G111" s="1" t="s">
        <v>5730</v>
      </c>
      <c r="H111" s="1" t="s">
        <v>1856</v>
      </c>
    </row>
    <row r="112" spans="1:8" hidden="1" x14ac:dyDescent="0.3">
      <c r="A112" t="s">
        <v>5858</v>
      </c>
      <c r="B112" t="s">
        <v>5858</v>
      </c>
      <c r="C112" t="s">
        <v>5859</v>
      </c>
      <c r="D112" t="s">
        <v>129</v>
      </c>
      <c r="E112" t="s">
        <v>4</v>
      </c>
      <c r="F112" t="s">
        <v>5729</v>
      </c>
      <c r="G112" s="1" t="s">
        <v>5730</v>
      </c>
      <c r="H112" s="1" t="s">
        <v>1856</v>
      </c>
    </row>
    <row r="113" spans="1:8" hidden="1" x14ac:dyDescent="0.3">
      <c r="A113" t="s">
        <v>5860</v>
      </c>
      <c r="B113" t="s">
        <v>5860</v>
      </c>
      <c r="C113" t="s">
        <v>2240</v>
      </c>
      <c r="D113" t="s">
        <v>129</v>
      </c>
      <c r="E113" t="s">
        <v>4</v>
      </c>
      <c r="F113" t="s">
        <v>5729</v>
      </c>
      <c r="G113" s="1" t="s">
        <v>5730</v>
      </c>
      <c r="H113" s="1" t="s">
        <v>1856</v>
      </c>
    </row>
    <row r="114" spans="1:8" hidden="1" x14ac:dyDescent="0.3">
      <c r="A114" t="s">
        <v>5861</v>
      </c>
      <c r="B114" t="s">
        <v>5861</v>
      </c>
      <c r="C114" t="s">
        <v>2031</v>
      </c>
      <c r="D114" t="s">
        <v>129</v>
      </c>
      <c r="E114" t="s">
        <v>4</v>
      </c>
      <c r="F114" t="s">
        <v>5729</v>
      </c>
      <c r="G114" s="1" t="s">
        <v>5730</v>
      </c>
      <c r="H114" s="1" t="s">
        <v>1856</v>
      </c>
    </row>
    <row r="115" spans="1:8" hidden="1" x14ac:dyDescent="0.3">
      <c r="A115" t="s">
        <v>5862</v>
      </c>
      <c r="B115" t="s">
        <v>5862</v>
      </c>
      <c r="C115" t="s">
        <v>1919</v>
      </c>
      <c r="D115" t="s">
        <v>129</v>
      </c>
      <c r="E115" t="s">
        <v>4</v>
      </c>
      <c r="F115" t="s">
        <v>5729</v>
      </c>
      <c r="G115" s="1" t="s">
        <v>5730</v>
      </c>
      <c r="H115" s="1" t="s">
        <v>1874</v>
      </c>
    </row>
    <row r="116" spans="1:8" hidden="1" x14ac:dyDescent="0.3">
      <c r="A116" t="s">
        <v>5863</v>
      </c>
      <c r="B116" t="s">
        <v>5863</v>
      </c>
      <c r="C116" t="s">
        <v>2247</v>
      </c>
      <c r="D116" t="s">
        <v>129</v>
      </c>
      <c r="E116" t="s">
        <v>4</v>
      </c>
      <c r="F116" t="s">
        <v>5734</v>
      </c>
      <c r="G116" s="1" t="s">
        <v>5730</v>
      </c>
      <c r="H116" s="1" t="s">
        <v>1856</v>
      </c>
    </row>
    <row r="117" spans="1:8" hidden="1" x14ac:dyDescent="0.3">
      <c r="A117" t="s">
        <v>5864</v>
      </c>
      <c r="B117" t="s">
        <v>5864</v>
      </c>
      <c r="C117" t="s">
        <v>5791</v>
      </c>
      <c r="D117" t="s">
        <v>129</v>
      </c>
      <c r="E117" t="s">
        <v>4</v>
      </c>
      <c r="F117" t="s">
        <v>5781</v>
      </c>
      <c r="G117" s="1" t="s">
        <v>5730</v>
      </c>
      <c r="H117" s="1" t="s">
        <v>1874</v>
      </c>
    </row>
    <row r="118" spans="1:8" hidden="1" x14ac:dyDescent="0.3">
      <c r="A118" t="s">
        <v>5865</v>
      </c>
      <c r="B118" t="s">
        <v>5865</v>
      </c>
      <c r="C118" t="s">
        <v>2158</v>
      </c>
      <c r="D118" t="s">
        <v>129</v>
      </c>
      <c r="E118" t="s">
        <v>4</v>
      </c>
      <c r="F118" t="s">
        <v>5734</v>
      </c>
      <c r="G118" s="1" t="s">
        <v>5730</v>
      </c>
      <c r="H118" s="1" t="s">
        <v>1923</v>
      </c>
    </row>
    <row r="119" spans="1:8" hidden="1" x14ac:dyDescent="0.3">
      <c r="A119" t="s">
        <v>5866</v>
      </c>
      <c r="B119" t="s">
        <v>5866</v>
      </c>
      <c r="C119" t="s">
        <v>1189</v>
      </c>
      <c r="D119" t="s">
        <v>129</v>
      </c>
      <c r="E119" t="s">
        <v>4</v>
      </c>
      <c r="F119" t="s">
        <v>5729</v>
      </c>
      <c r="G119" s="1" t="s">
        <v>5730</v>
      </c>
      <c r="H119" s="1" t="s">
        <v>1856</v>
      </c>
    </row>
    <row r="120" spans="1:8" hidden="1" x14ac:dyDescent="0.3">
      <c r="A120" t="s">
        <v>5867</v>
      </c>
      <c r="B120" t="s">
        <v>5867</v>
      </c>
      <c r="C120" t="s">
        <v>1467</v>
      </c>
      <c r="D120" t="s">
        <v>129</v>
      </c>
      <c r="E120" t="s">
        <v>4</v>
      </c>
      <c r="F120" t="s">
        <v>5729</v>
      </c>
      <c r="G120" s="1" t="s">
        <v>5730</v>
      </c>
      <c r="H120" s="1" t="s">
        <v>1856</v>
      </c>
    </row>
    <row r="121" spans="1:8" hidden="1" x14ac:dyDescent="0.3">
      <c r="A121" t="s">
        <v>5868</v>
      </c>
      <c r="B121" t="s">
        <v>5868</v>
      </c>
      <c r="C121" t="s">
        <v>1470</v>
      </c>
      <c r="D121" t="s">
        <v>129</v>
      </c>
      <c r="E121" t="s">
        <v>4</v>
      </c>
      <c r="F121" t="s">
        <v>5734</v>
      </c>
      <c r="G121" s="1" t="s">
        <v>5730</v>
      </c>
      <c r="H121" s="1" t="s">
        <v>1856</v>
      </c>
    </row>
    <row r="122" spans="1:8" hidden="1" x14ac:dyDescent="0.3">
      <c r="A122" t="s">
        <v>5869</v>
      </c>
      <c r="B122" t="s">
        <v>5869</v>
      </c>
      <c r="C122" t="s">
        <v>1472</v>
      </c>
      <c r="D122" t="s">
        <v>129</v>
      </c>
      <c r="E122" t="s">
        <v>4</v>
      </c>
      <c r="F122" t="s">
        <v>5729</v>
      </c>
      <c r="G122" s="1" t="s">
        <v>5730</v>
      </c>
      <c r="H122" s="1" t="s">
        <v>1856</v>
      </c>
    </row>
    <row r="123" spans="1:8" hidden="1" x14ac:dyDescent="0.3">
      <c r="A123" t="s">
        <v>5870</v>
      </c>
      <c r="B123" t="s">
        <v>5870</v>
      </c>
      <c r="C123" t="s">
        <v>1474</v>
      </c>
      <c r="D123" t="s">
        <v>129</v>
      </c>
      <c r="E123" t="s">
        <v>4</v>
      </c>
      <c r="F123" t="s">
        <v>5729</v>
      </c>
      <c r="G123" s="1" t="s">
        <v>5730</v>
      </c>
      <c r="H123" s="1" t="s">
        <v>1856</v>
      </c>
    </row>
    <row r="124" spans="1:8" hidden="1" x14ac:dyDescent="0.3">
      <c r="A124" t="s">
        <v>5871</v>
      </c>
      <c r="B124" t="s">
        <v>5871</v>
      </c>
      <c r="C124" t="s">
        <v>2264</v>
      </c>
      <c r="D124" t="s">
        <v>129</v>
      </c>
      <c r="E124" t="s">
        <v>4</v>
      </c>
      <c r="F124" t="s">
        <v>5734</v>
      </c>
      <c r="G124" s="1" t="s">
        <v>1961</v>
      </c>
      <c r="H124" s="1" t="s">
        <v>1856</v>
      </c>
    </row>
    <row r="125" spans="1:8" hidden="1" x14ac:dyDescent="0.3">
      <c r="A125" t="s">
        <v>5872</v>
      </c>
      <c r="B125" t="s">
        <v>5872</v>
      </c>
      <c r="C125" t="s">
        <v>1477</v>
      </c>
      <c r="D125" t="s">
        <v>129</v>
      </c>
      <c r="E125" t="s">
        <v>4</v>
      </c>
      <c r="F125" t="s">
        <v>5729</v>
      </c>
      <c r="G125" s="1" t="s">
        <v>5730</v>
      </c>
      <c r="H125" s="1" t="s">
        <v>1856</v>
      </c>
    </row>
    <row r="126" spans="1:8" hidden="1" x14ac:dyDescent="0.3">
      <c r="A126" t="s">
        <v>5873</v>
      </c>
      <c r="B126" t="s">
        <v>5873</v>
      </c>
      <c r="C126" t="s">
        <v>1308</v>
      </c>
      <c r="D126" t="s">
        <v>129</v>
      </c>
      <c r="E126" t="s">
        <v>4</v>
      </c>
      <c r="F126" t="s">
        <v>5729</v>
      </c>
      <c r="G126" s="1" t="s">
        <v>5730</v>
      </c>
      <c r="H126" s="1" t="s">
        <v>1874</v>
      </c>
    </row>
    <row r="127" spans="1:8" hidden="1" x14ac:dyDescent="0.3">
      <c r="A127" t="s">
        <v>5874</v>
      </c>
      <c r="B127" t="s">
        <v>5874</v>
      </c>
      <c r="C127" t="s">
        <v>5875</v>
      </c>
      <c r="D127" t="s">
        <v>80</v>
      </c>
      <c r="E127" t="s">
        <v>5</v>
      </c>
      <c r="F127" t="s">
        <v>5729</v>
      </c>
      <c r="G127" s="1" t="s">
        <v>5730</v>
      </c>
      <c r="H127" s="1" t="s">
        <v>1923</v>
      </c>
    </row>
    <row r="128" spans="1:8" hidden="1" x14ac:dyDescent="0.3">
      <c r="A128" t="s">
        <v>5876</v>
      </c>
      <c r="B128" t="s">
        <v>5876</v>
      </c>
      <c r="C128" t="s">
        <v>245</v>
      </c>
      <c r="D128" t="s">
        <v>80</v>
      </c>
      <c r="E128" t="s">
        <v>5</v>
      </c>
      <c r="F128" t="s">
        <v>5729</v>
      </c>
      <c r="G128" s="1" t="s">
        <v>5730</v>
      </c>
      <c r="H128" s="1" t="s">
        <v>1893</v>
      </c>
    </row>
    <row r="129" spans="1:8" hidden="1" x14ac:dyDescent="0.3">
      <c r="A129" t="s">
        <v>5877</v>
      </c>
      <c r="B129" t="s">
        <v>5877</v>
      </c>
      <c r="C129" t="s">
        <v>317</v>
      </c>
      <c r="D129" t="s">
        <v>80</v>
      </c>
      <c r="E129" t="s">
        <v>5</v>
      </c>
      <c r="F129" t="s">
        <v>5729</v>
      </c>
      <c r="G129" s="1" t="s">
        <v>5730</v>
      </c>
      <c r="H129" s="1" t="s">
        <v>1893</v>
      </c>
    </row>
    <row r="130" spans="1:8" hidden="1" x14ac:dyDescent="0.3">
      <c r="A130" t="s">
        <v>5878</v>
      </c>
      <c r="B130" t="s">
        <v>5878</v>
      </c>
      <c r="C130" t="s">
        <v>390</v>
      </c>
      <c r="D130" t="s">
        <v>80</v>
      </c>
      <c r="E130" t="s">
        <v>5</v>
      </c>
      <c r="F130" t="s">
        <v>5729</v>
      </c>
      <c r="G130" s="1" t="s">
        <v>5730</v>
      </c>
      <c r="H130" s="1" t="s">
        <v>1893</v>
      </c>
    </row>
    <row r="131" spans="1:8" hidden="1" x14ac:dyDescent="0.3">
      <c r="A131" t="s">
        <v>5879</v>
      </c>
      <c r="B131" t="s">
        <v>5879</v>
      </c>
      <c r="C131" t="s">
        <v>462</v>
      </c>
      <c r="D131" t="s">
        <v>80</v>
      </c>
      <c r="E131" t="s">
        <v>5</v>
      </c>
      <c r="F131" t="s">
        <v>5729</v>
      </c>
      <c r="G131" s="1" t="s">
        <v>5730</v>
      </c>
      <c r="H131" s="1" t="s">
        <v>1893</v>
      </c>
    </row>
    <row r="132" spans="1:8" hidden="1" x14ac:dyDescent="0.3">
      <c r="A132" t="s">
        <v>5880</v>
      </c>
      <c r="B132" t="s">
        <v>5880</v>
      </c>
      <c r="C132" t="s">
        <v>534</v>
      </c>
      <c r="D132" t="s">
        <v>80</v>
      </c>
      <c r="E132" t="s">
        <v>5</v>
      </c>
      <c r="F132" t="s">
        <v>5729</v>
      </c>
      <c r="G132" s="1" t="s">
        <v>5730</v>
      </c>
      <c r="H132" s="1" t="s">
        <v>1893</v>
      </c>
    </row>
    <row r="133" spans="1:8" hidden="1" x14ac:dyDescent="0.3">
      <c r="A133" t="s">
        <v>5881</v>
      </c>
      <c r="B133" t="s">
        <v>5881</v>
      </c>
      <c r="C133" t="s">
        <v>171</v>
      </c>
      <c r="D133" t="s">
        <v>97</v>
      </c>
      <c r="E133" t="s">
        <v>5</v>
      </c>
      <c r="F133" t="s">
        <v>5729</v>
      </c>
      <c r="G133" s="1" t="s">
        <v>5730</v>
      </c>
      <c r="H133" s="1" t="s">
        <v>1874</v>
      </c>
    </row>
    <row r="134" spans="1:8" hidden="1" x14ac:dyDescent="0.3">
      <c r="A134" t="s">
        <v>5882</v>
      </c>
      <c r="B134" t="s">
        <v>5882</v>
      </c>
      <c r="C134" t="s">
        <v>246</v>
      </c>
      <c r="D134" t="s">
        <v>97</v>
      </c>
      <c r="E134" t="s">
        <v>5</v>
      </c>
      <c r="F134" t="s">
        <v>5729</v>
      </c>
      <c r="G134" s="1" t="s">
        <v>5730</v>
      </c>
      <c r="H134" s="1" t="s">
        <v>1856</v>
      </c>
    </row>
    <row r="135" spans="1:8" hidden="1" x14ac:dyDescent="0.3">
      <c r="A135" t="s">
        <v>5883</v>
      </c>
      <c r="B135" t="s">
        <v>5883</v>
      </c>
      <c r="C135" t="s">
        <v>318</v>
      </c>
      <c r="D135" t="s">
        <v>97</v>
      </c>
      <c r="E135" t="s">
        <v>5</v>
      </c>
      <c r="F135" t="s">
        <v>5729</v>
      </c>
      <c r="G135" s="1" t="s">
        <v>5730</v>
      </c>
      <c r="H135" s="1" t="s">
        <v>1856</v>
      </c>
    </row>
    <row r="136" spans="1:8" hidden="1" x14ac:dyDescent="0.3">
      <c r="A136" t="s">
        <v>5884</v>
      </c>
      <c r="B136" t="s">
        <v>5884</v>
      </c>
      <c r="C136" t="s">
        <v>391</v>
      </c>
      <c r="D136" t="s">
        <v>97</v>
      </c>
      <c r="E136" t="s">
        <v>5</v>
      </c>
      <c r="F136" t="s">
        <v>5729</v>
      </c>
      <c r="G136" s="1" t="s">
        <v>5730</v>
      </c>
      <c r="H136" s="1" t="s">
        <v>1856</v>
      </c>
    </row>
    <row r="137" spans="1:8" hidden="1" x14ac:dyDescent="0.3">
      <c r="A137" t="s">
        <v>5885</v>
      </c>
      <c r="B137" t="s">
        <v>5885</v>
      </c>
      <c r="C137" t="s">
        <v>463</v>
      </c>
      <c r="D137" t="s">
        <v>97</v>
      </c>
      <c r="E137" t="s">
        <v>5</v>
      </c>
      <c r="F137" t="s">
        <v>5734</v>
      </c>
      <c r="G137" s="1" t="s">
        <v>5730</v>
      </c>
      <c r="H137" s="1" t="s">
        <v>1856</v>
      </c>
    </row>
    <row r="138" spans="1:8" hidden="1" x14ac:dyDescent="0.3">
      <c r="A138" t="s">
        <v>5886</v>
      </c>
      <c r="B138" t="s">
        <v>5886</v>
      </c>
      <c r="C138" t="s">
        <v>535</v>
      </c>
      <c r="D138" t="s">
        <v>97</v>
      </c>
      <c r="E138" t="s">
        <v>5</v>
      </c>
      <c r="F138" t="s">
        <v>5734</v>
      </c>
      <c r="G138" s="1" t="s">
        <v>5730</v>
      </c>
      <c r="H138" s="1" t="s">
        <v>1856</v>
      </c>
    </row>
    <row r="139" spans="1:8" hidden="1" x14ac:dyDescent="0.3">
      <c r="A139" t="s">
        <v>5887</v>
      </c>
      <c r="B139" t="s">
        <v>5887</v>
      </c>
      <c r="C139" t="s">
        <v>603</v>
      </c>
      <c r="D139" t="s">
        <v>97</v>
      </c>
      <c r="E139" t="s">
        <v>5</v>
      </c>
      <c r="F139" t="s">
        <v>5729</v>
      </c>
      <c r="G139" s="1" t="s">
        <v>5730</v>
      </c>
      <c r="H139" s="1" t="s">
        <v>1874</v>
      </c>
    </row>
    <row r="140" spans="1:8" hidden="1" x14ac:dyDescent="0.3">
      <c r="A140" t="s">
        <v>5888</v>
      </c>
      <c r="B140" t="s">
        <v>5888</v>
      </c>
      <c r="C140" t="s">
        <v>670</v>
      </c>
      <c r="D140" t="s">
        <v>97</v>
      </c>
      <c r="E140" t="s">
        <v>5</v>
      </c>
      <c r="F140" t="s">
        <v>5729</v>
      </c>
      <c r="G140" s="1" t="s">
        <v>5730</v>
      </c>
      <c r="H140" s="1" t="s">
        <v>1874</v>
      </c>
    </row>
    <row r="141" spans="1:8" hidden="1" x14ac:dyDescent="0.3">
      <c r="A141" t="s">
        <v>5889</v>
      </c>
      <c r="B141" t="s">
        <v>5889</v>
      </c>
      <c r="C141" t="s">
        <v>733</v>
      </c>
      <c r="D141" t="s">
        <v>97</v>
      </c>
      <c r="E141" t="s">
        <v>5</v>
      </c>
      <c r="F141" t="s">
        <v>5729</v>
      </c>
      <c r="G141" s="1" t="s">
        <v>5730</v>
      </c>
      <c r="H141" s="1" t="s">
        <v>1856</v>
      </c>
    </row>
    <row r="142" spans="1:8" hidden="1" x14ac:dyDescent="0.3">
      <c r="A142" t="s">
        <v>5890</v>
      </c>
      <c r="B142" t="s">
        <v>5890</v>
      </c>
      <c r="C142" t="s">
        <v>795</v>
      </c>
      <c r="D142" t="s">
        <v>97</v>
      </c>
      <c r="E142" t="s">
        <v>5</v>
      </c>
      <c r="F142" t="s">
        <v>5729</v>
      </c>
      <c r="G142" s="1" t="s">
        <v>5730</v>
      </c>
      <c r="H142" s="1" t="s">
        <v>1927</v>
      </c>
    </row>
    <row r="143" spans="1:8" hidden="1" x14ac:dyDescent="0.3">
      <c r="A143" t="s">
        <v>5891</v>
      </c>
      <c r="B143" t="s">
        <v>5891</v>
      </c>
      <c r="C143" t="s">
        <v>690</v>
      </c>
      <c r="D143" t="s">
        <v>97</v>
      </c>
      <c r="E143" t="s">
        <v>5</v>
      </c>
      <c r="F143" t="s">
        <v>5734</v>
      </c>
      <c r="G143" s="1" t="s">
        <v>5730</v>
      </c>
      <c r="H143" s="1" t="s">
        <v>1874</v>
      </c>
    </row>
    <row r="144" spans="1:8" hidden="1" x14ac:dyDescent="0.3">
      <c r="A144" t="s">
        <v>5892</v>
      </c>
      <c r="B144" t="s">
        <v>5892</v>
      </c>
      <c r="C144" t="s">
        <v>909</v>
      </c>
      <c r="D144" t="s">
        <v>97</v>
      </c>
      <c r="E144" t="s">
        <v>5</v>
      </c>
      <c r="F144" t="s">
        <v>5729</v>
      </c>
      <c r="G144" s="1" t="s">
        <v>5730</v>
      </c>
      <c r="H144" s="1" t="s">
        <v>1856</v>
      </c>
    </row>
    <row r="145" spans="1:8" hidden="1" x14ac:dyDescent="0.3">
      <c r="A145" t="s">
        <v>5893</v>
      </c>
      <c r="B145" t="s">
        <v>5893</v>
      </c>
      <c r="C145" t="s">
        <v>962</v>
      </c>
      <c r="D145" t="s">
        <v>97</v>
      </c>
      <c r="E145" t="s">
        <v>5</v>
      </c>
      <c r="F145" t="s">
        <v>5734</v>
      </c>
      <c r="G145" s="1" t="s">
        <v>5730</v>
      </c>
      <c r="H145" s="1" t="s">
        <v>1856</v>
      </c>
    </row>
    <row r="146" spans="1:8" hidden="1" x14ac:dyDescent="0.3">
      <c r="A146" t="s">
        <v>5894</v>
      </c>
      <c r="B146" t="s">
        <v>5894</v>
      </c>
      <c r="C146" t="s">
        <v>1006</v>
      </c>
      <c r="D146" t="s">
        <v>97</v>
      </c>
      <c r="E146" t="s">
        <v>5</v>
      </c>
      <c r="F146" t="s">
        <v>5729</v>
      </c>
      <c r="G146" s="1" t="s">
        <v>5730</v>
      </c>
      <c r="H146" s="1" t="s">
        <v>1856</v>
      </c>
    </row>
    <row r="147" spans="1:8" hidden="1" x14ac:dyDescent="0.3">
      <c r="A147" t="s">
        <v>5895</v>
      </c>
      <c r="B147" t="s">
        <v>5895</v>
      </c>
      <c r="C147" t="s">
        <v>1055</v>
      </c>
      <c r="D147" t="s">
        <v>97</v>
      </c>
      <c r="E147" t="s">
        <v>5</v>
      </c>
      <c r="F147" t="s">
        <v>5729</v>
      </c>
      <c r="G147" s="1" t="s">
        <v>5730</v>
      </c>
      <c r="H147" s="1" t="s">
        <v>1874</v>
      </c>
    </row>
    <row r="148" spans="1:8" hidden="1" x14ac:dyDescent="0.3">
      <c r="A148" t="s">
        <v>5896</v>
      </c>
      <c r="B148" t="s">
        <v>5896</v>
      </c>
      <c r="C148" t="s">
        <v>5897</v>
      </c>
      <c r="D148" t="s">
        <v>97</v>
      </c>
      <c r="E148" t="s">
        <v>5</v>
      </c>
      <c r="F148" t="s">
        <v>5729</v>
      </c>
      <c r="G148" s="1" t="s">
        <v>5730</v>
      </c>
      <c r="H148" s="1" t="s">
        <v>1856</v>
      </c>
    </row>
    <row r="149" spans="1:8" hidden="1" x14ac:dyDescent="0.3">
      <c r="A149" t="s">
        <v>5898</v>
      </c>
      <c r="B149" t="s">
        <v>5898</v>
      </c>
      <c r="C149" t="s">
        <v>1131</v>
      </c>
      <c r="D149" t="s">
        <v>97</v>
      </c>
      <c r="E149" t="s">
        <v>5</v>
      </c>
      <c r="F149" t="s">
        <v>5729</v>
      </c>
      <c r="G149" s="1" t="s">
        <v>5730</v>
      </c>
      <c r="H149" s="1" t="s">
        <v>1856</v>
      </c>
    </row>
    <row r="150" spans="1:8" hidden="1" x14ac:dyDescent="0.3">
      <c r="A150" t="s">
        <v>5899</v>
      </c>
      <c r="B150" t="s">
        <v>5899</v>
      </c>
      <c r="C150" t="s">
        <v>1147</v>
      </c>
      <c r="D150" t="s">
        <v>97</v>
      </c>
      <c r="E150" t="s">
        <v>5</v>
      </c>
      <c r="F150" t="s">
        <v>5729</v>
      </c>
      <c r="G150" s="1" t="s">
        <v>5730</v>
      </c>
      <c r="H150" s="1" t="s">
        <v>1927</v>
      </c>
    </row>
    <row r="151" spans="1:8" hidden="1" x14ac:dyDescent="0.3">
      <c r="A151" t="s">
        <v>5900</v>
      </c>
      <c r="B151" t="s">
        <v>5900</v>
      </c>
      <c r="C151" t="s">
        <v>5901</v>
      </c>
      <c r="D151" t="s">
        <v>97</v>
      </c>
      <c r="E151" t="s">
        <v>5</v>
      </c>
      <c r="F151" t="s">
        <v>5729</v>
      </c>
      <c r="G151" s="1" t="s">
        <v>5730</v>
      </c>
      <c r="H151" s="1" t="s">
        <v>1856</v>
      </c>
    </row>
    <row r="152" spans="1:8" hidden="1" x14ac:dyDescent="0.3">
      <c r="A152" t="s">
        <v>5902</v>
      </c>
      <c r="B152" t="s">
        <v>5902</v>
      </c>
      <c r="C152" t="s">
        <v>1225</v>
      </c>
      <c r="D152" t="s">
        <v>97</v>
      </c>
      <c r="E152" t="s">
        <v>5</v>
      </c>
      <c r="F152" t="s">
        <v>5729</v>
      </c>
      <c r="G152" s="1" t="s">
        <v>5730</v>
      </c>
      <c r="H152" s="1" t="s">
        <v>1927</v>
      </c>
    </row>
    <row r="153" spans="1:8" hidden="1" x14ac:dyDescent="0.3">
      <c r="A153" t="s">
        <v>5903</v>
      </c>
      <c r="B153" t="s">
        <v>5903</v>
      </c>
      <c r="C153" t="s">
        <v>5904</v>
      </c>
      <c r="D153" t="s">
        <v>97</v>
      </c>
      <c r="E153" t="s">
        <v>5</v>
      </c>
      <c r="F153" t="s">
        <v>5734</v>
      </c>
      <c r="G153" s="1" t="s">
        <v>5730</v>
      </c>
      <c r="H153" s="1" t="s">
        <v>1923</v>
      </c>
    </row>
    <row r="154" spans="1:8" hidden="1" x14ac:dyDescent="0.3">
      <c r="A154" t="s">
        <v>5905</v>
      </c>
      <c r="B154" t="s">
        <v>5905</v>
      </c>
      <c r="C154" s="2" t="s">
        <v>1268</v>
      </c>
      <c r="D154" s="2" t="s">
        <v>97</v>
      </c>
      <c r="E154" t="s">
        <v>5</v>
      </c>
      <c r="F154" t="s">
        <v>5729</v>
      </c>
      <c r="G154" s="1" t="s">
        <v>5730</v>
      </c>
      <c r="H154" s="1" t="s">
        <v>1874</v>
      </c>
    </row>
    <row r="155" spans="1:8" hidden="1" x14ac:dyDescent="0.3">
      <c r="A155" t="s">
        <v>5906</v>
      </c>
      <c r="B155" t="s">
        <v>5906</v>
      </c>
      <c r="C155" t="s">
        <v>2328</v>
      </c>
      <c r="D155" t="s">
        <v>97</v>
      </c>
      <c r="E155" t="s">
        <v>5</v>
      </c>
      <c r="F155" t="s">
        <v>5781</v>
      </c>
      <c r="G155" s="1" t="s">
        <v>5730</v>
      </c>
      <c r="H155" s="1" t="s">
        <v>1856</v>
      </c>
    </row>
    <row r="156" spans="1:8" hidden="1" x14ac:dyDescent="0.3">
      <c r="A156" t="s">
        <v>5907</v>
      </c>
      <c r="B156" t="s">
        <v>5907</v>
      </c>
      <c r="C156" t="s">
        <v>2331</v>
      </c>
      <c r="D156" t="s">
        <v>97</v>
      </c>
      <c r="E156" t="s">
        <v>5</v>
      </c>
      <c r="F156" t="s">
        <v>5729</v>
      </c>
      <c r="G156" s="1" t="s">
        <v>5730</v>
      </c>
      <c r="H156" s="1" t="s">
        <v>1893</v>
      </c>
    </row>
    <row r="157" spans="1:8" hidden="1" x14ac:dyDescent="0.3">
      <c r="A157" t="s">
        <v>5908</v>
      </c>
      <c r="B157" t="s">
        <v>5908</v>
      </c>
      <c r="C157" t="s">
        <v>2334</v>
      </c>
      <c r="D157" t="s">
        <v>97</v>
      </c>
      <c r="E157" t="s">
        <v>5</v>
      </c>
      <c r="F157" t="s">
        <v>5729</v>
      </c>
      <c r="G157" s="1" t="s">
        <v>5730</v>
      </c>
      <c r="H157" s="1" t="s">
        <v>1927</v>
      </c>
    </row>
    <row r="158" spans="1:8" hidden="1" x14ac:dyDescent="0.3">
      <c r="A158" t="s">
        <v>5909</v>
      </c>
      <c r="B158" t="s">
        <v>5909</v>
      </c>
      <c r="C158" t="s">
        <v>5910</v>
      </c>
      <c r="D158" t="s">
        <v>97</v>
      </c>
      <c r="E158" t="s">
        <v>5</v>
      </c>
      <c r="F158" t="s">
        <v>5729</v>
      </c>
      <c r="G158" s="1" t="s">
        <v>5730</v>
      </c>
      <c r="H158" s="1" t="s">
        <v>1856</v>
      </c>
    </row>
    <row r="159" spans="1:8" hidden="1" x14ac:dyDescent="0.3">
      <c r="A159" t="s">
        <v>5911</v>
      </c>
      <c r="B159" t="s">
        <v>5911</v>
      </c>
      <c r="C159" t="s">
        <v>1355</v>
      </c>
      <c r="D159" t="s">
        <v>97</v>
      </c>
      <c r="E159" t="s">
        <v>5</v>
      </c>
      <c r="F159" t="s">
        <v>5734</v>
      </c>
      <c r="G159" s="1" t="s">
        <v>5730</v>
      </c>
      <c r="H159" s="1" t="s">
        <v>1856</v>
      </c>
    </row>
    <row r="160" spans="1:8" hidden="1" x14ac:dyDescent="0.3">
      <c r="A160" t="s">
        <v>5912</v>
      </c>
      <c r="B160" t="s">
        <v>5912</v>
      </c>
      <c r="C160" t="s">
        <v>1366</v>
      </c>
      <c r="D160" t="s">
        <v>97</v>
      </c>
      <c r="E160" t="s">
        <v>5</v>
      </c>
      <c r="F160" t="s">
        <v>5734</v>
      </c>
      <c r="G160" s="1" t="s">
        <v>5730</v>
      </c>
      <c r="H160" s="1" t="s">
        <v>1856</v>
      </c>
    </row>
    <row r="161" spans="1:8" hidden="1" x14ac:dyDescent="0.3">
      <c r="A161" t="s">
        <v>5913</v>
      </c>
      <c r="B161" t="s">
        <v>5913</v>
      </c>
      <c r="C161" t="s">
        <v>5914</v>
      </c>
      <c r="D161" t="s">
        <v>97</v>
      </c>
      <c r="E161" t="s">
        <v>5</v>
      </c>
      <c r="F161" t="s">
        <v>5747</v>
      </c>
      <c r="G161" s="1" t="s">
        <v>1961</v>
      </c>
      <c r="H161" s="1" t="s">
        <v>1874</v>
      </c>
    </row>
    <row r="162" spans="1:8" hidden="1" x14ac:dyDescent="0.3">
      <c r="A162" t="s">
        <v>5915</v>
      </c>
      <c r="B162" t="s">
        <v>5915</v>
      </c>
      <c r="C162" t="s">
        <v>172</v>
      </c>
      <c r="D162" t="s">
        <v>114</v>
      </c>
      <c r="E162" t="s">
        <v>5</v>
      </c>
      <c r="F162" t="s">
        <v>5734</v>
      </c>
      <c r="G162" s="1" t="s">
        <v>5730</v>
      </c>
      <c r="H162" s="1" t="s">
        <v>1856</v>
      </c>
    </row>
    <row r="163" spans="1:8" hidden="1" x14ac:dyDescent="0.3">
      <c r="A163" t="s">
        <v>5916</v>
      </c>
      <c r="B163" t="s">
        <v>5916</v>
      </c>
      <c r="C163" t="s">
        <v>247</v>
      </c>
      <c r="D163" t="s">
        <v>114</v>
      </c>
      <c r="E163" t="s">
        <v>5</v>
      </c>
      <c r="F163" t="s">
        <v>5729</v>
      </c>
      <c r="G163" s="1" t="s">
        <v>5730</v>
      </c>
      <c r="H163" s="1" t="s">
        <v>1856</v>
      </c>
    </row>
    <row r="164" spans="1:8" hidden="1" x14ac:dyDescent="0.3">
      <c r="A164" t="s">
        <v>5917</v>
      </c>
      <c r="B164" t="s">
        <v>5917</v>
      </c>
      <c r="C164" t="s">
        <v>81</v>
      </c>
      <c r="D164" t="s">
        <v>114</v>
      </c>
      <c r="E164" t="s">
        <v>5</v>
      </c>
      <c r="F164" t="s">
        <v>5781</v>
      </c>
      <c r="G164" s="1" t="s">
        <v>5730</v>
      </c>
      <c r="H164" s="1" t="s">
        <v>1856</v>
      </c>
    </row>
    <row r="165" spans="1:8" hidden="1" x14ac:dyDescent="0.3">
      <c r="A165" t="s">
        <v>5918</v>
      </c>
      <c r="B165" t="s">
        <v>5918</v>
      </c>
      <c r="C165" t="s">
        <v>2354</v>
      </c>
      <c r="D165" t="s">
        <v>114</v>
      </c>
      <c r="E165" t="s">
        <v>5</v>
      </c>
      <c r="F165" t="s">
        <v>5729</v>
      </c>
      <c r="G165" s="1" t="s">
        <v>5730</v>
      </c>
      <c r="H165" s="1" t="s">
        <v>1874</v>
      </c>
    </row>
    <row r="166" spans="1:8" hidden="1" x14ac:dyDescent="0.3">
      <c r="A166" t="s">
        <v>5919</v>
      </c>
      <c r="B166" t="s">
        <v>5919</v>
      </c>
      <c r="C166" t="s">
        <v>377</v>
      </c>
      <c r="D166" t="s">
        <v>114</v>
      </c>
      <c r="E166" t="s">
        <v>5</v>
      </c>
      <c r="F166" t="s">
        <v>5729</v>
      </c>
      <c r="G166" s="1" t="s">
        <v>5730</v>
      </c>
      <c r="H166" s="1" t="s">
        <v>1927</v>
      </c>
    </row>
    <row r="167" spans="1:8" hidden="1" x14ac:dyDescent="0.3">
      <c r="A167" t="s">
        <v>5920</v>
      </c>
      <c r="B167" t="s">
        <v>5920</v>
      </c>
      <c r="C167" t="s">
        <v>536</v>
      </c>
      <c r="D167" t="s">
        <v>114</v>
      </c>
      <c r="E167" t="s">
        <v>5</v>
      </c>
      <c r="F167" t="s">
        <v>5729</v>
      </c>
      <c r="G167" s="1" t="s">
        <v>5730</v>
      </c>
      <c r="H167" s="1" t="s">
        <v>1856</v>
      </c>
    </row>
    <row r="168" spans="1:8" hidden="1" x14ac:dyDescent="0.3">
      <c r="A168" t="s">
        <v>5921</v>
      </c>
      <c r="B168" t="s">
        <v>5921</v>
      </c>
      <c r="C168" t="s">
        <v>604</v>
      </c>
      <c r="D168" t="s">
        <v>114</v>
      </c>
      <c r="E168" t="s">
        <v>5</v>
      </c>
      <c r="F168" t="s">
        <v>5729</v>
      </c>
      <c r="G168" s="1" t="s">
        <v>5730</v>
      </c>
      <c r="H168" s="1" t="s">
        <v>1856</v>
      </c>
    </row>
    <row r="169" spans="1:8" hidden="1" x14ac:dyDescent="0.3">
      <c r="A169" t="s">
        <v>5922</v>
      </c>
      <c r="B169" t="s">
        <v>5922</v>
      </c>
      <c r="C169" t="s">
        <v>2363</v>
      </c>
      <c r="D169" t="s">
        <v>114</v>
      </c>
      <c r="E169" t="s">
        <v>5</v>
      </c>
      <c r="F169" t="s">
        <v>5781</v>
      </c>
      <c r="G169" s="1" t="s">
        <v>1961</v>
      </c>
      <c r="H169" s="1" t="s">
        <v>1856</v>
      </c>
    </row>
    <row r="170" spans="1:8" hidden="1" x14ac:dyDescent="0.3">
      <c r="A170" t="s">
        <v>5923</v>
      </c>
      <c r="B170" t="s">
        <v>5923</v>
      </c>
      <c r="C170" t="s">
        <v>853</v>
      </c>
      <c r="D170" t="s">
        <v>114</v>
      </c>
      <c r="E170" t="s">
        <v>5</v>
      </c>
      <c r="F170" t="s">
        <v>5729</v>
      </c>
      <c r="G170" s="1" t="s">
        <v>5730</v>
      </c>
      <c r="H170" s="1" t="s">
        <v>1856</v>
      </c>
    </row>
    <row r="171" spans="1:8" hidden="1" x14ac:dyDescent="0.3">
      <c r="A171" t="s">
        <v>5924</v>
      </c>
      <c r="B171" t="s">
        <v>5924</v>
      </c>
      <c r="C171" t="s">
        <v>963</v>
      </c>
      <c r="D171" t="s">
        <v>114</v>
      </c>
      <c r="E171" t="s">
        <v>5</v>
      </c>
      <c r="F171" t="s">
        <v>5729</v>
      </c>
      <c r="G171" s="1" t="s">
        <v>5730</v>
      </c>
      <c r="H171" s="1" t="s">
        <v>1856</v>
      </c>
    </row>
    <row r="172" spans="1:8" hidden="1" x14ac:dyDescent="0.3">
      <c r="A172" t="s">
        <v>5925</v>
      </c>
      <c r="B172" t="s">
        <v>5925</v>
      </c>
      <c r="C172" t="s">
        <v>1007</v>
      </c>
      <c r="D172" t="s">
        <v>114</v>
      </c>
      <c r="E172" t="s">
        <v>5</v>
      </c>
      <c r="F172" t="s">
        <v>5729</v>
      </c>
      <c r="G172" s="1" t="s">
        <v>5730</v>
      </c>
      <c r="H172" s="1" t="s">
        <v>1856</v>
      </c>
    </row>
    <row r="173" spans="1:8" hidden="1" x14ac:dyDescent="0.3">
      <c r="A173" t="s">
        <v>5926</v>
      </c>
      <c r="B173" t="s">
        <v>5926</v>
      </c>
      <c r="C173" t="s">
        <v>1056</v>
      </c>
      <c r="D173" t="s">
        <v>114</v>
      </c>
      <c r="E173" t="s">
        <v>5</v>
      </c>
      <c r="F173" t="s">
        <v>5734</v>
      </c>
      <c r="G173" s="1" t="s">
        <v>5730</v>
      </c>
      <c r="H173" s="1" t="s">
        <v>1856</v>
      </c>
    </row>
    <row r="174" spans="1:8" hidden="1" x14ac:dyDescent="0.3">
      <c r="A174" t="s">
        <v>5927</v>
      </c>
      <c r="B174" t="s">
        <v>5927</v>
      </c>
      <c r="C174" t="s">
        <v>1094</v>
      </c>
      <c r="D174" t="s">
        <v>114</v>
      </c>
      <c r="E174" t="s">
        <v>5</v>
      </c>
      <c r="F174" t="s">
        <v>5729</v>
      </c>
      <c r="G174" s="1" t="s">
        <v>5730</v>
      </c>
      <c r="H174" s="1" t="s">
        <v>1874</v>
      </c>
    </row>
    <row r="175" spans="1:8" hidden="1" x14ac:dyDescent="0.3">
      <c r="A175" t="s">
        <v>5928</v>
      </c>
      <c r="B175" t="s">
        <v>5928</v>
      </c>
      <c r="C175" t="s">
        <v>5929</v>
      </c>
      <c r="D175" t="s">
        <v>114</v>
      </c>
      <c r="E175" t="s">
        <v>5</v>
      </c>
      <c r="F175" t="s">
        <v>5781</v>
      </c>
      <c r="G175" s="1" t="s">
        <v>1961</v>
      </c>
      <c r="H175" s="1" t="s">
        <v>1856</v>
      </c>
    </row>
    <row r="176" spans="1:8" hidden="1" x14ac:dyDescent="0.3">
      <c r="A176" t="s">
        <v>5930</v>
      </c>
      <c r="B176" t="s">
        <v>5930</v>
      </c>
      <c r="C176" t="s">
        <v>1132</v>
      </c>
      <c r="D176" t="s">
        <v>114</v>
      </c>
      <c r="E176" t="s">
        <v>5</v>
      </c>
      <c r="F176" t="s">
        <v>5729</v>
      </c>
      <c r="G176" s="1" t="s">
        <v>5730</v>
      </c>
      <c r="H176" s="1" t="s">
        <v>1856</v>
      </c>
    </row>
    <row r="177" spans="1:8" hidden="1" x14ac:dyDescent="0.3">
      <c r="A177" t="s">
        <v>5931</v>
      </c>
      <c r="B177" t="s">
        <v>5931</v>
      </c>
      <c r="C177" t="s">
        <v>453</v>
      </c>
      <c r="D177" t="s">
        <v>114</v>
      </c>
      <c r="E177" t="s">
        <v>5</v>
      </c>
      <c r="F177" t="s">
        <v>5781</v>
      </c>
      <c r="G177" s="1" t="s">
        <v>5730</v>
      </c>
      <c r="H177" s="1" t="s">
        <v>1856</v>
      </c>
    </row>
    <row r="178" spans="1:8" hidden="1" x14ac:dyDescent="0.3">
      <c r="A178" t="s">
        <v>5932</v>
      </c>
      <c r="B178" t="s">
        <v>5932</v>
      </c>
      <c r="C178" t="s">
        <v>1196</v>
      </c>
      <c r="D178" t="s">
        <v>114</v>
      </c>
      <c r="E178" t="s">
        <v>5</v>
      </c>
      <c r="F178" t="s">
        <v>5729</v>
      </c>
      <c r="G178" s="1" t="s">
        <v>5730</v>
      </c>
      <c r="H178" s="1" t="s">
        <v>1874</v>
      </c>
    </row>
    <row r="179" spans="1:8" hidden="1" x14ac:dyDescent="0.3">
      <c r="A179" t="s">
        <v>5933</v>
      </c>
      <c r="B179" t="s">
        <v>5933</v>
      </c>
      <c r="C179" t="s">
        <v>5934</v>
      </c>
      <c r="D179" t="s">
        <v>114</v>
      </c>
      <c r="E179" t="s">
        <v>5</v>
      </c>
      <c r="F179" t="s">
        <v>5729</v>
      </c>
      <c r="G179" s="1" t="s">
        <v>5730</v>
      </c>
      <c r="H179" s="1" t="s">
        <v>1856</v>
      </c>
    </row>
    <row r="180" spans="1:8" hidden="1" x14ac:dyDescent="0.3">
      <c r="A180" t="s">
        <v>5935</v>
      </c>
      <c r="B180" t="s">
        <v>5935</v>
      </c>
      <c r="C180" t="s">
        <v>1226</v>
      </c>
      <c r="D180" t="s">
        <v>114</v>
      </c>
      <c r="E180" t="s">
        <v>5</v>
      </c>
      <c r="F180" t="s">
        <v>5729</v>
      </c>
      <c r="G180" s="1" t="s">
        <v>5730</v>
      </c>
      <c r="H180" s="1" t="s">
        <v>1856</v>
      </c>
    </row>
    <row r="181" spans="1:8" hidden="1" x14ac:dyDescent="0.3">
      <c r="A181" t="s">
        <v>5936</v>
      </c>
      <c r="B181" t="s">
        <v>5936</v>
      </c>
      <c r="C181" t="s">
        <v>907</v>
      </c>
      <c r="D181" t="s">
        <v>114</v>
      </c>
      <c r="E181" t="s">
        <v>5</v>
      </c>
      <c r="F181" t="s">
        <v>5729</v>
      </c>
      <c r="G181" s="1" t="s">
        <v>5730</v>
      </c>
      <c r="H181" s="1" t="s">
        <v>1856</v>
      </c>
    </row>
    <row r="182" spans="1:8" hidden="1" x14ac:dyDescent="0.3">
      <c r="A182" t="s">
        <v>5937</v>
      </c>
      <c r="B182" t="s">
        <v>5937</v>
      </c>
      <c r="C182" t="s">
        <v>1269</v>
      </c>
      <c r="D182" t="s">
        <v>114</v>
      </c>
      <c r="E182" t="s">
        <v>5</v>
      </c>
      <c r="F182" t="s">
        <v>5729</v>
      </c>
      <c r="G182" s="1" t="s">
        <v>5730</v>
      </c>
      <c r="H182" s="1" t="s">
        <v>1856</v>
      </c>
    </row>
    <row r="183" spans="1:8" hidden="1" x14ac:dyDescent="0.3">
      <c r="A183" t="s">
        <v>5938</v>
      </c>
      <c r="B183" t="s">
        <v>5938</v>
      </c>
      <c r="C183" t="s">
        <v>132</v>
      </c>
      <c r="D183" t="s">
        <v>114</v>
      </c>
      <c r="E183" t="s">
        <v>5</v>
      </c>
      <c r="F183" t="s">
        <v>5734</v>
      </c>
      <c r="G183" s="1" t="s">
        <v>5730</v>
      </c>
      <c r="H183" s="1" t="s">
        <v>1856</v>
      </c>
    </row>
    <row r="184" spans="1:8" hidden="1" x14ac:dyDescent="0.3">
      <c r="A184" t="s">
        <v>5939</v>
      </c>
      <c r="B184" t="s">
        <v>5939</v>
      </c>
      <c r="C184" t="s">
        <v>5940</v>
      </c>
      <c r="D184" t="s">
        <v>114</v>
      </c>
      <c r="E184" t="s">
        <v>5</v>
      </c>
      <c r="F184" t="s">
        <v>5729</v>
      </c>
      <c r="G184" s="1" t="s">
        <v>5730</v>
      </c>
      <c r="H184" s="1" t="s">
        <v>1856</v>
      </c>
    </row>
    <row r="185" spans="1:8" hidden="1" x14ac:dyDescent="0.3">
      <c r="A185" t="s">
        <v>5941</v>
      </c>
      <c r="B185" t="s">
        <v>5941</v>
      </c>
      <c r="C185" t="s">
        <v>1325</v>
      </c>
      <c r="D185" t="s">
        <v>114</v>
      </c>
      <c r="E185" t="s">
        <v>5</v>
      </c>
      <c r="F185" t="s">
        <v>5729</v>
      </c>
      <c r="G185" s="1" t="s">
        <v>5730</v>
      </c>
      <c r="H185" s="1" t="s">
        <v>1856</v>
      </c>
    </row>
    <row r="186" spans="1:8" hidden="1" x14ac:dyDescent="0.3">
      <c r="A186" t="s">
        <v>5942</v>
      </c>
      <c r="B186" t="s">
        <v>5942</v>
      </c>
      <c r="C186" t="s">
        <v>2401</v>
      </c>
      <c r="D186" t="s">
        <v>114</v>
      </c>
      <c r="E186" t="s">
        <v>5</v>
      </c>
      <c r="F186" t="s">
        <v>5729</v>
      </c>
      <c r="G186" s="1" t="s">
        <v>5730</v>
      </c>
      <c r="H186" s="1" t="s">
        <v>1856</v>
      </c>
    </row>
    <row r="187" spans="1:8" hidden="1" x14ac:dyDescent="0.3">
      <c r="A187" t="s">
        <v>5943</v>
      </c>
      <c r="B187" t="s">
        <v>5943</v>
      </c>
      <c r="C187" t="s">
        <v>921</v>
      </c>
      <c r="D187" t="s">
        <v>114</v>
      </c>
      <c r="E187" t="s">
        <v>5</v>
      </c>
      <c r="F187" t="s">
        <v>5734</v>
      </c>
      <c r="G187" s="1" t="s">
        <v>5730</v>
      </c>
      <c r="H187" s="1" t="s">
        <v>1856</v>
      </c>
    </row>
    <row r="188" spans="1:8" hidden="1" x14ac:dyDescent="0.3">
      <c r="A188" t="s">
        <v>5944</v>
      </c>
      <c r="B188" t="s">
        <v>5944</v>
      </c>
      <c r="C188" t="s">
        <v>2406</v>
      </c>
      <c r="D188" t="s">
        <v>114</v>
      </c>
      <c r="E188" t="s">
        <v>5</v>
      </c>
      <c r="F188" t="s">
        <v>5729</v>
      </c>
      <c r="G188" s="1" t="s">
        <v>5730</v>
      </c>
      <c r="H188" s="1" t="s">
        <v>1874</v>
      </c>
    </row>
    <row r="189" spans="1:8" hidden="1" x14ac:dyDescent="0.3">
      <c r="A189" t="s">
        <v>5945</v>
      </c>
      <c r="B189" t="s">
        <v>5945</v>
      </c>
      <c r="C189" t="s">
        <v>2409</v>
      </c>
      <c r="D189" t="s">
        <v>114</v>
      </c>
      <c r="E189" t="s">
        <v>5</v>
      </c>
      <c r="F189" t="s">
        <v>5729</v>
      </c>
      <c r="G189" s="1" t="s">
        <v>5730</v>
      </c>
      <c r="H189" s="1" t="s">
        <v>1874</v>
      </c>
    </row>
    <row r="190" spans="1:8" hidden="1" x14ac:dyDescent="0.3">
      <c r="A190" t="s">
        <v>5946</v>
      </c>
      <c r="B190" t="s">
        <v>5946</v>
      </c>
      <c r="C190" t="s">
        <v>1916</v>
      </c>
      <c r="D190" t="s">
        <v>114</v>
      </c>
      <c r="E190" t="s">
        <v>5</v>
      </c>
      <c r="F190" t="s">
        <v>5781</v>
      </c>
      <c r="G190" s="1" t="s">
        <v>5730</v>
      </c>
      <c r="H190" s="1" t="s">
        <v>1927</v>
      </c>
    </row>
    <row r="191" spans="1:8" hidden="1" x14ac:dyDescent="0.3">
      <c r="A191" t="s">
        <v>5947</v>
      </c>
      <c r="B191" t="s">
        <v>5947</v>
      </c>
      <c r="C191" t="s">
        <v>2240</v>
      </c>
      <c r="D191" t="s">
        <v>114</v>
      </c>
      <c r="E191" t="s">
        <v>5</v>
      </c>
      <c r="F191" t="s">
        <v>5729</v>
      </c>
      <c r="G191" s="1" t="s">
        <v>5730</v>
      </c>
      <c r="H191" s="1" t="s">
        <v>1874</v>
      </c>
    </row>
    <row r="192" spans="1:8" hidden="1" x14ac:dyDescent="0.3">
      <c r="A192" t="s">
        <v>5948</v>
      </c>
      <c r="B192" t="s">
        <v>5948</v>
      </c>
      <c r="C192" t="s">
        <v>2416</v>
      </c>
      <c r="D192" t="s">
        <v>114</v>
      </c>
      <c r="E192" t="s">
        <v>5</v>
      </c>
      <c r="F192" t="s">
        <v>5734</v>
      </c>
      <c r="G192" s="1" t="s">
        <v>5730</v>
      </c>
      <c r="H192" s="1" t="s">
        <v>1856</v>
      </c>
    </row>
    <row r="193" spans="1:8" hidden="1" x14ac:dyDescent="0.3">
      <c r="A193" t="s">
        <v>5949</v>
      </c>
      <c r="B193" t="s">
        <v>5949</v>
      </c>
      <c r="C193" t="s">
        <v>2419</v>
      </c>
      <c r="D193" t="s">
        <v>114</v>
      </c>
      <c r="E193" t="s">
        <v>5</v>
      </c>
      <c r="F193" t="s">
        <v>5781</v>
      </c>
      <c r="G193" s="1" t="s">
        <v>5730</v>
      </c>
      <c r="H193" s="1" t="s">
        <v>1856</v>
      </c>
    </row>
    <row r="194" spans="1:8" hidden="1" x14ac:dyDescent="0.3">
      <c r="A194" t="s">
        <v>5950</v>
      </c>
      <c r="B194" t="s">
        <v>5950</v>
      </c>
      <c r="C194" t="s">
        <v>2422</v>
      </c>
      <c r="D194" t="s">
        <v>114</v>
      </c>
      <c r="E194" t="s">
        <v>5</v>
      </c>
      <c r="F194" t="s">
        <v>5729</v>
      </c>
      <c r="G194" s="1" t="s">
        <v>5730</v>
      </c>
      <c r="H194" s="1" t="s">
        <v>1856</v>
      </c>
    </row>
    <row r="195" spans="1:8" hidden="1" x14ac:dyDescent="0.3">
      <c r="A195" t="s">
        <v>5951</v>
      </c>
      <c r="B195" t="s">
        <v>5951</v>
      </c>
      <c r="C195" t="s">
        <v>5791</v>
      </c>
      <c r="D195" t="s">
        <v>114</v>
      </c>
      <c r="E195" t="s">
        <v>5</v>
      </c>
      <c r="F195" t="s">
        <v>5781</v>
      </c>
      <c r="G195" s="1" t="s">
        <v>5730</v>
      </c>
      <c r="H195" s="1" t="s">
        <v>1927</v>
      </c>
    </row>
    <row r="196" spans="1:8" hidden="1" x14ac:dyDescent="0.3">
      <c r="A196" t="s">
        <v>5952</v>
      </c>
      <c r="B196" t="s">
        <v>5952</v>
      </c>
      <c r="C196" t="s">
        <v>2427</v>
      </c>
      <c r="D196" t="s">
        <v>114</v>
      </c>
      <c r="E196" t="s">
        <v>5</v>
      </c>
      <c r="F196" t="s">
        <v>5747</v>
      </c>
      <c r="G196" s="1" t="s">
        <v>2204</v>
      </c>
      <c r="H196" s="1" t="s">
        <v>1856</v>
      </c>
    </row>
    <row r="197" spans="1:8" hidden="1" x14ac:dyDescent="0.3">
      <c r="A197" t="s">
        <v>5953</v>
      </c>
      <c r="B197" t="s">
        <v>5953</v>
      </c>
      <c r="C197" s="2" t="s">
        <v>2158</v>
      </c>
      <c r="D197" s="2" t="s">
        <v>114</v>
      </c>
      <c r="E197" t="s">
        <v>5</v>
      </c>
      <c r="F197" t="s">
        <v>5734</v>
      </c>
      <c r="G197" s="1" t="s">
        <v>5730</v>
      </c>
      <c r="H197" s="1" t="s">
        <v>1927</v>
      </c>
    </row>
    <row r="198" spans="1:8" hidden="1" x14ac:dyDescent="0.3">
      <c r="A198" t="s">
        <v>5954</v>
      </c>
      <c r="B198" t="s">
        <v>5954</v>
      </c>
      <c r="C198" t="s">
        <v>1440</v>
      </c>
      <c r="D198" t="s">
        <v>114</v>
      </c>
      <c r="E198" t="s">
        <v>5</v>
      </c>
      <c r="F198" t="s">
        <v>5734</v>
      </c>
      <c r="G198" s="1" t="s">
        <v>5730</v>
      </c>
      <c r="H198" s="1" t="s">
        <v>1856</v>
      </c>
    </row>
    <row r="199" spans="1:8" hidden="1" x14ac:dyDescent="0.3">
      <c r="A199" t="s">
        <v>5955</v>
      </c>
      <c r="B199" t="s">
        <v>5955</v>
      </c>
      <c r="C199" t="s">
        <v>248</v>
      </c>
      <c r="D199" t="s">
        <v>2434</v>
      </c>
      <c r="E199" t="s">
        <v>5</v>
      </c>
      <c r="F199" t="s">
        <v>5729</v>
      </c>
      <c r="G199" s="1" t="s">
        <v>5730</v>
      </c>
      <c r="H199" s="1" t="s">
        <v>1923</v>
      </c>
    </row>
    <row r="200" spans="1:8" hidden="1" x14ac:dyDescent="0.3">
      <c r="A200" t="s">
        <v>5956</v>
      </c>
      <c r="B200" t="s">
        <v>5956</v>
      </c>
      <c r="C200" t="s">
        <v>319</v>
      </c>
      <c r="D200" t="s">
        <v>2434</v>
      </c>
      <c r="E200" t="s">
        <v>5</v>
      </c>
      <c r="F200" t="s">
        <v>5729</v>
      </c>
      <c r="G200" s="1" t="s">
        <v>5730</v>
      </c>
      <c r="H200" s="1" t="s">
        <v>1856</v>
      </c>
    </row>
    <row r="201" spans="1:8" hidden="1" x14ac:dyDescent="0.3">
      <c r="A201" t="s">
        <v>5957</v>
      </c>
      <c r="B201" t="s">
        <v>5957</v>
      </c>
      <c r="C201" t="s">
        <v>393</v>
      </c>
      <c r="D201" t="s">
        <v>2434</v>
      </c>
      <c r="E201" t="s">
        <v>5</v>
      </c>
      <c r="F201" t="s">
        <v>5729</v>
      </c>
      <c r="G201" s="1" t="s">
        <v>5730</v>
      </c>
      <c r="H201" s="1" t="s">
        <v>1856</v>
      </c>
    </row>
    <row r="202" spans="1:8" hidden="1" x14ac:dyDescent="0.3">
      <c r="A202" t="s">
        <v>5958</v>
      </c>
      <c r="B202" t="s">
        <v>5958</v>
      </c>
      <c r="C202" t="s">
        <v>464</v>
      </c>
      <c r="D202" t="s">
        <v>2434</v>
      </c>
      <c r="E202" t="s">
        <v>5</v>
      </c>
      <c r="F202" t="s">
        <v>5729</v>
      </c>
      <c r="G202" s="1" t="s">
        <v>5730</v>
      </c>
      <c r="H202" s="1" t="s">
        <v>1856</v>
      </c>
    </row>
    <row r="203" spans="1:8" hidden="1" x14ac:dyDescent="0.3">
      <c r="A203" t="s">
        <v>5959</v>
      </c>
      <c r="B203" t="s">
        <v>5959</v>
      </c>
      <c r="C203" t="s">
        <v>5960</v>
      </c>
      <c r="D203" t="s">
        <v>2434</v>
      </c>
      <c r="E203" t="s">
        <v>5</v>
      </c>
      <c r="F203" t="s">
        <v>5734</v>
      </c>
      <c r="G203" s="1" t="s">
        <v>5730</v>
      </c>
      <c r="H203" s="1" t="s">
        <v>1856</v>
      </c>
    </row>
    <row r="204" spans="1:8" hidden="1" x14ac:dyDescent="0.3">
      <c r="A204" t="s">
        <v>5961</v>
      </c>
      <c r="B204" t="s">
        <v>5961</v>
      </c>
      <c r="C204" t="s">
        <v>605</v>
      </c>
      <c r="D204" t="s">
        <v>2434</v>
      </c>
      <c r="E204" t="s">
        <v>5</v>
      </c>
      <c r="F204" t="s">
        <v>5729</v>
      </c>
      <c r="G204" s="1" t="s">
        <v>5730</v>
      </c>
      <c r="H204" s="1" t="s">
        <v>1927</v>
      </c>
    </row>
    <row r="205" spans="1:8" hidden="1" x14ac:dyDescent="0.3">
      <c r="A205" t="s">
        <v>5962</v>
      </c>
      <c r="B205" t="s">
        <v>5962</v>
      </c>
      <c r="C205" t="s">
        <v>2447</v>
      </c>
      <c r="D205" t="s">
        <v>2434</v>
      </c>
      <c r="E205" t="s">
        <v>5</v>
      </c>
      <c r="F205" t="s">
        <v>5729</v>
      </c>
      <c r="G205" s="1" t="s">
        <v>5730</v>
      </c>
      <c r="H205" s="1" t="s">
        <v>1856</v>
      </c>
    </row>
    <row r="206" spans="1:8" hidden="1" x14ac:dyDescent="0.3">
      <c r="A206" t="s">
        <v>5963</v>
      </c>
      <c r="B206" t="s">
        <v>5963</v>
      </c>
      <c r="C206" t="s">
        <v>2450</v>
      </c>
      <c r="D206" t="s">
        <v>2434</v>
      </c>
      <c r="E206" t="s">
        <v>5</v>
      </c>
      <c r="F206" t="s">
        <v>5729</v>
      </c>
      <c r="G206" s="1" t="s">
        <v>5730</v>
      </c>
      <c r="H206" s="1" t="s">
        <v>1856</v>
      </c>
    </row>
    <row r="207" spans="1:8" hidden="1" x14ac:dyDescent="0.3">
      <c r="A207" t="s">
        <v>5964</v>
      </c>
      <c r="B207" t="s">
        <v>5964</v>
      </c>
      <c r="C207" t="s">
        <v>797</v>
      </c>
      <c r="D207" t="s">
        <v>2434</v>
      </c>
      <c r="E207" t="s">
        <v>5</v>
      </c>
      <c r="F207" t="s">
        <v>5729</v>
      </c>
      <c r="G207" s="1" t="s">
        <v>5730</v>
      </c>
      <c r="H207" s="1" t="s">
        <v>1856</v>
      </c>
    </row>
    <row r="208" spans="1:8" hidden="1" x14ac:dyDescent="0.3">
      <c r="A208" t="s">
        <v>5965</v>
      </c>
      <c r="B208" t="s">
        <v>5965</v>
      </c>
      <c r="C208" t="s">
        <v>854</v>
      </c>
      <c r="D208" t="s">
        <v>2434</v>
      </c>
      <c r="E208" t="s">
        <v>5</v>
      </c>
      <c r="F208" t="s">
        <v>5729</v>
      </c>
      <c r="G208" s="1" t="s">
        <v>5730</v>
      </c>
      <c r="H208" s="1" t="s">
        <v>1856</v>
      </c>
    </row>
    <row r="209" spans="1:8" hidden="1" x14ac:dyDescent="0.3">
      <c r="A209" t="s">
        <v>5966</v>
      </c>
      <c r="B209" t="s">
        <v>5966</v>
      </c>
      <c r="C209" t="s">
        <v>132</v>
      </c>
      <c r="D209" t="s">
        <v>2434</v>
      </c>
      <c r="E209" t="s">
        <v>5</v>
      </c>
      <c r="F209" t="s">
        <v>5734</v>
      </c>
      <c r="G209" s="1" t="s">
        <v>5730</v>
      </c>
      <c r="H209" s="1" t="s">
        <v>1856</v>
      </c>
    </row>
    <row r="210" spans="1:8" hidden="1" x14ac:dyDescent="0.3">
      <c r="A210" t="s">
        <v>5967</v>
      </c>
      <c r="B210" t="s">
        <v>5967</v>
      </c>
      <c r="C210" t="s">
        <v>2459</v>
      </c>
      <c r="D210" t="s">
        <v>2434</v>
      </c>
      <c r="E210" t="s">
        <v>5</v>
      </c>
      <c r="F210" t="s">
        <v>5729</v>
      </c>
      <c r="G210" s="1" t="s">
        <v>5730</v>
      </c>
      <c r="H210" s="1" t="s">
        <v>1874</v>
      </c>
    </row>
    <row r="211" spans="1:8" hidden="1" x14ac:dyDescent="0.3">
      <c r="A211" t="s">
        <v>5968</v>
      </c>
      <c r="B211" t="s">
        <v>5968</v>
      </c>
      <c r="C211" t="s">
        <v>1008</v>
      </c>
      <c r="D211" t="s">
        <v>2434</v>
      </c>
      <c r="E211" t="s">
        <v>5</v>
      </c>
      <c r="F211" t="s">
        <v>5734</v>
      </c>
      <c r="G211" s="1" t="s">
        <v>5730</v>
      </c>
      <c r="H211" s="1" t="s">
        <v>1856</v>
      </c>
    </row>
    <row r="212" spans="1:8" hidden="1" x14ac:dyDescent="0.3">
      <c r="A212" t="s">
        <v>5969</v>
      </c>
      <c r="B212" t="s">
        <v>5969</v>
      </c>
      <c r="C212" t="s">
        <v>1057</v>
      </c>
      <c r="D212" t="s">
        <v>2434</v>
      </c>
      <c r="E212" t="s">
        <v>5</v>
      </c>
      <c r="F212" t="s">
        <v>5729</v>
      </c>
      <c r="G212" s="1" t="s">
        <v>5730</v>
      </c>
      <c r="H212" s="1" t="s">
        <v>1923</v>
      </c>
    </row>
    <row r="213" spans="1:8" hidden="1" x14ac:dyDescent="0.3">
      <c r="A213" t="s">
        <v>5970</v>
      </c>
      <c r="B213" t="s">
        <v>5970</v>
      </c>
      <c r="C213" t="s">
        <v>5971</v>
      </c>
      <c r="D213" t="s">
        <v>2434</v>
      </c>
      <c r="E213" t="s">
        <v>5</v>
      </c>
      <c r="F213" t="s">
        <v>5729</v>
      </c>
      <c r="G213" s="1" t="s">
        <v>5730</v>
      </c>
      <c r="H213" s="1" t="s">
        <v>4127</v>
      </c>
    </row>
    <row r="214" spans="1:8" hidden="1" x14ac:dyDescent="0.3">
      <c r="A214" t="s">
        <v>5972</v>
      </c>
      <c r="B214" t="s">
        <v>5972</v>
      </c>
      <c r="C214" t="s">
        <v>174</v>
      </c>
      <c r="D214" t="s">
        <v>143</v>
      </c>
      <c r="E214" t="s">
        <v>5</v>
      </c>
      <c r="F214" t="s">
        <v>5729</v>
      </c>
      <c r="G214" s="1" t="s">
        <v>5730</v>
      </c>
      <c r="H214" s="1" t="s">
        <v>1874</v>
      </c>
    </row>
    <row r="215" spans="1:8" hidden="1" x14ac:dyDescent="0.3">
      <c r="A215" t="s">
        <v>5973</v>
      </c>
      <c r="B215" t="s">
        <v>5973</v>
      </c>
      <c r="C215" t="s">
        <v>5974</v>
      </c>
      <c r="D215" t="s">
        <v>143</v>
      </c>
      <c r="E215" t="s">
        <v>5</v>
      </c>
      <c r="F215" t="s">
        <v>5734</v>
      </c>
      <c r="G215" s="1" t="s">
        <v>5730</v>
      </c>
      <c r="H215" s="1" t="s">
        <v>1856</v>
      </c>
    </row>
    <row r="216" spans="1:8" hidden="1" x14ac:dyDescent="0.3">
      <c r="A216" t="s">
        <v>5975</v>
      </c>
      <c r="B216" t="s">
        <v>5975</v>
      </c>
      <c r="C216" t="s">
        <v>320</v>
      </c>
      <c r="D216" t="s">
        <v>143</v>
      </c>
      <c r="E216" t="s">
        <v>5</v>
      </c>
      <c r="F216" t="s">
        <v>5729</v>
      </c>
      <c r="G216" s="1" t="s">
        <v>5730</v>
      </c>
      <c r="H216" s="1" t="s">
        <v>1856</v>
      </c>
    </row>
    <row r="217" spans="1:8" hidden="1" x14ac:dyDescent="0.3">
      <c r="A217" t="s">
        <v>5976</v>
      </c>
      <c r="B217" t="s">
        <v>5976</v>
      </c>
      <c r="C217" t="s">
        <v>394</v>
      </c>
      <c r="D217" t="s">
        <v>143</v>
      </c>
      <c r="E217" t="s">
        <v>5</v>
      </c>
      <c r="F217" t="s">
        <v>5729</v>
      </c>
      <c r="G217" s="1" t="s">
        <v>5730</v>
      </c>
      <c r="H217" s="1" t="s">
        <v>1856</v>
      </c>
    </row>
    <row r="218" spans="1:8" hidden="1" x14ac:dyDescent="0.3">
      <c r="A218" t="s">
        <v>5977</v>
      </c>
      <c r="B218" t="s">
        <v>5977</v>
      </c>
      <c r="C218" t="s">
        <v>538</v>
      </c>
      <c r="D218" t="s">
        <v>143</v>
      </c>
      <c r="E218" t="s">
        <v>5</v>
      </c>
      <c r="F218" t="s">
        <v>5729</v>
      </c>
      <c r="G218" s="1" t="s">
        <v>5730</v>
      </c>
      <c r="H218" s="1" t="s">
        <v>1923</v>
      </c>
    </row>
    <row r="219" spans="1:8" hidden="1" x14ac:dyDescent="0.3">
      <c r="A219" t="s">
        <v>5978</v>
      </c>
      <c r="B219" t="s">
        <v>5978</v>
      </c>
      <c r="C219" t="s">
        <v>465</v>
      </c>
      <c r="D219" t="s">
        <v>143</v>
      </c>
      <c r="E219" t="s">
        <v>5</v>
      </c>
      <c r="F219" t="s">
        <v>5729</v>
      </c>
      <c r="G219" s="1" t="s">
        <v>5730</v>
      </c>
      <c r="H219" s="1" t="s">
        <v>1856</v>
      </c>
    </row>
    <row r="220" spans="1:8" hidden="1" x14ac:dyDescent="0.3">
      <c r="A220" t="s">
        <v>5979</v>
      </c>
      <c r="B220" t="s">
        <v>5979</v>
      </c>
      <c r="C220" t="s">
        <v>175</v>
      </c>
      <c r="D220" t="s">
        <v>98</v>
      </c>
      <c r="E220" t="s">
        <v>6</v>
      </c>
      <c r="F220" t="s">
        <v>5729</v>
      </c>
      <c r="G220" s="1" t="s">
        <v>5730</v>
      </c>
      <c r="H220" s="1" t="s">
        <v>1874</v>
      </c>
    </row>
    <row r="221" spans="1:8" hidden="1" x14ac:dyDescent="0.3">
      <c r="A221" t="s">
        <v>5980</v>
      </c>
      <c r="B221" t="s">
        <v>5980</v>
      </c>
      <c r="C221" t="s">
        <v>250</v>
      </c>
      <c r="D221" t="s">
        <v>98</v>
      </c>
      <c r="E221" t="s">
        <v>6</v>
      </c>
      <c r="F221" t="s">
        <v>5729</v>
      </c>
      <c r="G221" s="1" t="s">
        <v>5730</v>
      </c>
      <c r="H221" s="1" t="s">
        <v>1874</v>
      </c>
    </row>
    <row r="222" spans="1:8" hidden="1" x14ac:dyDescent="0.3">
      <c r="A222" t="s">
        <v>5981</v>
      </c>
      <c r="B222" t="s">
        <v>5981</v>
      </c>
      <c r="C222" t="s">
        <v>5982</v>
      </c>
      <c r="D222" t="s">
        <v>98</v>
      </c>
      <c r="E222" t="s">
        <v>6</v>
      </c>
      <c r="F222" t="s">
        <v>5747</v>
      </c>
      <c r="G222" s="1" t="s">
        <v>1961</v>
      </c>
      <c r="H222" s="1" t="s">
        <v>1874</v>
      </c>
    </row>
    <row r="223" spans="1:8" hidden="1" x14ac:dyDescent="0.3">
      <c r="A223" t="s">
        <v>5983</v>
      </c>
      <c r="B223" t="s">
        <v>5983</v>
      </c>
      <c r="C223" t="s">
        <v>395</v>
      </c>
      <c r="D223" t="s">
        <v>98</v>
      </c>
      <c r="E223" t="s">
        <v>6</v>
      </c>
      <c r="F223" t="s">
        <v>5729</v>
      </c>
      <c r="G223" s="1" t="s">
        <v>5730</v>
      </c>
      <c r="H223" s="1" t="s">
        <v>1856</v>
      </c>
    </row>
    <row r="224" spans="1:8" hidden="1" x14ac:dyDescent="0.3">
      <c r="A224" t="s">
        <v>5984</v>
      </c>
      <c r="B224" t="s">
        <v>5984</v>
      </c>
      <c r="C224" t="s">
        <v>466</v>
      </c>
      <c r="D224" t="s">
        <v>98</v>
      </c>
      <c r="E224" t="s">
        <v>6</v>
      </c>
      <c r="F224" t="s">
        <v>5734</v>
      </c>
      <c r="G224" s="1" t="s">
        <v>5730</v>
      </c>
      <c r="H224" s="1" t="s">
        <v>1856</v>
      </c>
    </row>
    <row r="225" spans="1:8" hidden="1" x14ac:dyDescent="0.3">
      <c r="A225" t="s">
        <v>5985</v>
      </c>
      <c r="B225" t="s">
        <v>5985</v>
      </c>
      <c r="C225" t="s">
        <v>539</v>
      </c>
      <c r="D225" t="s">
        <v>98</v>
      </c>
      <c r="E225" t="s">
        <v>6</v>
      </c>
      <c r="F225" t="s">
        <v>5734</v>
      </c>
      <c r="G225" s="1" t="s">
        <v>5730</v>
      </c>
      <c r="H225" s="1" t="s">
        <v>1856</v>
      </c>
    </row>
    <row r="226" spans="1:8" hidden="1" x14ac:dyDescent="0.3">
      <c r="A226" t="s">
        <v>5986</v>
      </c>
      <c r="B226" t="s">
        <v>5986</v>
      </c>
      <c r="C226" t="s">
        <v>606</v>
      </c>
      <c r="D226" t="s">
        <v>98</v>
      </c>
      <c r="E226" t="s">
        <v>6</v>
      </c>
      <c r="F226" t="s">
        <v>5781</v>
      </c>
      <c r="G226" s="1" t="s">
        <v>5730</v>
      </c>
      <c r="H226" s="1" t="s">
        <v>1856</v>
      </c>
    </row>
    <row r="227" spans="1:8" hidden="1" x14ac:dyDescent="0.3">
      <c r="A227" t="s">
        <v>5987</v>
      </c>
      <c r="B227" t="s">
        <v>5987</v>
      </c>
      <c r="C227" t="s">
        <v>673</v>
      </c>
      <c r="D227" t="s">
        <v>98</v>
      </c>
      <c r="E227" t="s">
        <v>6</v>
      </c>
      <c r="F227" t="s">
        <v>5734</v>
      </c>
      <c r="G227" s="1" t="s">
        <v>5730</v>
      </c>
      <c r="H227" s="1" t="s">
        <v>1856</v>
      </c>
    </row>
    <row r="228" spans="1:8" hidden="1" x14ac:dyDescent="0.3">
      <c r="A228" t="s">
        <v>5988</v>
      </c>
      <c r="B228" t="s">
        <v>5988</v>
      </c>
      <c r="C228" t="s">
        <v>736</v>
      </c>
      <c r="D228" t="s">
        <v>98</v>
      </c>
      <c r="E228" t="s">
        <v>6</v>
      </c>
      <c r="F228" t="s">
        <v>5734</v>
      </c>
      <c r="G228" s="1" t="s">
        <v>5730</v>
      </c>
      <c r="H228" s="1" t="s">
        <v>1856</v>
      </c>
    </row>
    <row r="229" spans="1:8" hidden="1" x14ac:dyDescent="0.3">
      <c r="A229" t="s">
        <v>5989</v>
      </c>
      <c r="B229" t="s">
        <v>5989</v>
      </c>
      <c r="C229" t="s">
        <v>798</v>
      </c>
      <c r="D229" t="s">
        <v>98</v>
      </c>
      <c r="E229" t="s">
        <v>6</v>
      </c>
      <c r="F229" t="s">
        <v>5734</v>
      </c>
      <c r="G229" s="1" t="s">
        <v>5730</v>
      </c>
      <c r="H229" s="1" t="s">
        <v>1856</v>
      </c>
    </row>
    <row r="230" spans="1:8" hidden="1" x14ac:dyDescent="0.3">
      <c r="A230" t="s">
        <v>5990</v>
      </c>
      <c r="B230" t="s">
        <v>5990</v>
      </c>
      <c r="C230" t="s">
        <v>855</v>
      </c>
      <c r="D230" t="s">
        <v>98</v>
      </c>
      <c r="E230" t="s">
        <v>6</v>
      </c>
      <c r="F230" t="s">
        <v>5734</v>
      </c>
      <c r="G230" s="1" t="s">
        <v>5730</v>
      </c>
      <c r="H230" s="1" t="s">
        <v>1874</v>
      </c>
    </row>
    <row r="231" spans="1:8" hidden="1" x14ac:dyDescent="0.3">
      <c r="A231" t="s">
        <v>5991</v>
      </c>
      <c r="B231" t="s">
        <v>5991</v>
      </c>
      <c r="C231" t="s">
        <v>911</v>
      </c>
      <c r="D231" t="s">
        <v>98</v>
      </c>
      <c r="E231" t="s">
        <v>6</v>
      </c>
      <c r="F231" t="s">
        <v>5729</v>
      </c>
      <c r="G231" s="1" t="s">
        <v>5730</v>
      </c>
      <c r="H231" s="1" t="s">
        <v>1874</v>
      </c>
    </row>
    <row r="232" spans="1:8" hidden="1" x14ac:dyDescent="0.3">
      <c r="A232" t="s">
        <v>5992</v>
      </c>
      <c r="B232" t="s">
        <v>5992</v>
      </c>
      <c r="C232" t="s">
        <v>176</v>
      </c>
      <c r="D232" t="s">
        <v>115</v>
      </c>
      <c r="E232" t="s">
        <v>6</v>
      </c>
      <c r="F232" t="s">
        <v>5734</v>
      </c>
      <c r="G232" s="1" t="s">
        <v>5730</v>
      </c>
      <c r="H232" s="1" t="s">
        <v>1856</v>
      </c>
    </row>
    <row r="233" spans="1:8" hidden="1" x14ac:dyDescent="0.3">
      <c r="A233" t="s">
        <v>5993</v>
      </c>
      <c r="B233" t="s">
        <v>5993</v>
      </c>
      <c r="C233" t="s">
        <v>5994</v>
      </c>
      <c r="D233" t="s">
        <v>115</v>
      </c>
      <c r="E233" t="s">
        <v>6</v>
      </c>
      <c r="F233" t="s">
        <v>5734</v>
      </c>
      <c r="G233" s="1" t="s">
        <v>5730</v>
      </c>
      <c r="H233" s="1" t="s">
        <v>1856</v>
      </c>
    </row>
    <row r="234" spans="1:8" hidden="1" x14ac:dyDescent="0.3">
      <c r="A234" t="s">
        <v>5995</v>
      </c>
      <c r="B234" t="s">
        <v>5995</v>
      </c>
      <c r="C234" t="s">
        <v>2512</v>
      </c>
      <c r="D234" t="s">
        <v>115</v>
      </c>
      <c r="E234" t="s">
        <v>6</v>
      </c>
      <c r="F234" t="s">
        <v>5747</v>
      </c>
      <c r="G234" s="1" t="s">
        <v>5730</v>
      </c>
      <c r="H234" s="1" t="s">
        <v>1927</v>
      </c>
    </row>
    <row r="235" spans="1:8" hidden="1" x14ac:dyDescent="0.3">
      <c r="A235" s="2" t="s">
        <v>5996</v>
      </c>
      <c r="B235" s="2" t="s">
        <v>5996</v>
      </c>
      <c r="C235" s="2" t="s">
        <v>322</v>
      </c>
      <c r="D235" s="2" t="s">
        <v>115</v>
      </c>
      <c r="E235" s="2" t="s">
        <v>6</v>
      </c>
      <c r="F235" t="s">
        <v>5734</v>
      </c>
      <c r="G235" s="3" t="s">
        <v>5730</v>
      </c>
      <c r="H235" s="3" t="s">
        <v>1856</v>
      </c>
    </row>
    <row r="236" spans="1:8" hidden="1" x14ac:dyDescent="0.3">
      <c r="A236" t="s">
        <v>5997</v>
      </c>
      <c r="B236" t="s">
        <v>5997</v>
      </c>
      <c r="C236" t="s">
        <v>5998</v>
      </c>
      <c r="D236" t="s">
        <v>115</v>
      </c>
      <c r="E236" t="s">
        <v>6</v>
      </c>
      <c r="F236" t="s">
        <v>5734</v>
      </c>
      <c r="G236" s="1" t="s">
        <v>5730</v>
      </c>
      <c r="H236" s="1" t="s">
        <v>1856</v>
      </c>
    </row>
    <row r="237" spans="1:8" hidden="1" x14ac:dyDescent="0.3">
      <c r="A237" t="s">
        <v>5999</v>
      </c>
      <c r="B237" t="s">
        <v>5999</v>
      </c>
      <c r="C237" t="s">
        <v>467</v>
      </c>
      <c r="D237" t="s">
        <v>115</v>
      </c>
      <c r="E237" t="s">
        <v>6</v>
      </c>
      <c r="F237" t="s">
        <v>5734</v>
      </c>
      <c r="G237" s="1" t="s">
        <v>5730</v>
      </c>
      <c r="H237" s="1" t="s">
        <v>1856</v>
      </c>
    </row>
    <row r="238" spans="1:8" hidden="1" x14ac:dyDescent="0.3">
      <c r="A238" t="s">
        <v>6000</v>
      </c>
      <c r="B238" t="s">
        <v>6000</v>
      </c>
      <c r="C238" t="s">
        <v>540</v>
      </c>
      <c r="D238" t="s">
        <v>115</v>
      </c>
      <c r="E238" t="s">
        <v>6</v>
      </c>
      <c r="F238" t="s">
        <v>5734</v>
      </c>
      <c r="G238" s="1" t="s">
        <v>5730</v>
      </c>
      <c r="H238" s="1" t="s">
        <v>1856</v>
      </c>
    </row>
    <row r="239" spans="1:8" hidden="1" x14ac:dyDescent="0.3">
      <c r="A239" t="s">
        <v>6001</v>
      </c>
      <c r="B239" t="s">
        <v>6001</v>
      </c>
      <c r="C239" t="s">
        <v>912</v>
      </c>
      <c r="D239" t="s">
        <v>115</v>
      </c>
      <c r="E239" t="s">
        <v>6</v>
      </c>
      <c r="F239" t="s">
        <v>5734</v>
      </c>
      <c r="G239" s="1" t="s">
        <v>5730</v>
      </c>
      <c r="H239" s="1" t="s">
        <v>1856</v>
      </c>
    </row>
    <row r="240" spans="1:8" hidden="1" x14ac:dyDescent="0.3">
      <c r="A240" t="s">
        <v>6002</v>
      </c>
      <c r="B240" t="s">
        <v>6002</v>
      </c>
      <c r="C240" t="s">
        <v>438</v>
      </c>
      <c r="D240" t="s">
        <v>115</v>
      </c>
      <c r="E240" t="s">
        <v>6</v>
      </c>
      <c r="F240" t="s">
        <v>5781</v>
      </c>
      <c r="G240" s="1" t="s">
        <v>5730</v>
      </c>
      <c r="H240" s="1" t="s">
        <v>1856</v>
      </c>
    </row>
    <row r="241" spans="1:8" hidden="1" x14ac:dyDescent="0.3">
      <c r="A241" s="2" t="s">
        <v>6003</v>
      </c>
      <c r="B241" s="2" t="s">
        <v>6003</v>
      </c>
      <c r="C241" s="2" t="s">
        <v>6004</v>
      </c>
      <c r="D241" s="2" t="s">
        <v>115</v>
      </c>
      <c r="E241" s="2" t="s">
        <v>6</v>
      </c>
      <c r="F241" t="s">
        <v>5747</v>
      </c>
      <c r="G241" s="3" t="s">
        <v>1961</v>
      </c>
      <c r="H241" s="3" t="s">
        <v>1856</v>
      </c>
    </row>
    <row r="242" spans="1:8" hidden="1" x14ac:dyDescent="0.3">
      <c r="A242" s="2" t="s">
        <v>6005</v>
      </c>
      <c r="B242" s="2" t="s">
        <v>6005</v>
      </c>
      <c r="C242" s="2" t="s">
        <v>1009</v>
      </c>
      <c r="D242" s="2" t="s">
        <v>115</v>
      </c>
      <c r="E242" s="2" t="s">
        <v>6</v>
      </c>
      <c r="F242" t="s">
        <v>5781</v>
      </c>
      <c r="G242" s="3" t="s">
        <v>5730</v>
      </c>
      <c r="H242" s="3" t="s">
        <v>1856</v>
      </c>
    </row>
    <row r="243" spans="1:8" hidden="1" x14ac:dyDescent="0.3">
      <c r="A243" t="s">
        <v>6006</v>
      </c>
      <c r="B243" t="s">
        <v>6006</v>
      </c>
      <c r="C243" t="s">
        <v>2532</v>
      </c>
      <c r="D243" t="s">
        <v>115</v>
      </c>
      <c r="E243" t="s">
        <v>6</v>
      </c>
      <c r="F243" t="s">
        <v>5781</v>
      </c>
      <c r="G243" s="1" t="s">
        <v>1961</v>
      </c>
      <c r="H243" s="1" t="s">
        <v>1856</v>
      </c>
    </row>
    <row r="244" spans="1:8" hidden="1" x14ac:dyDescent="0.3">
      <c r="A244" t="s">
        <v>6007</v>
      </c>
      <c r="B244" t="s">
        <v>6007</v>
      </c>
      <c r="C244" t="s">
        <v>1058</v>
      </c>
      <c r="D244" t="s">
        <v>115</v>
      </c>
      <c r="E244" t="s">
        <v>6</v>
      </c>
      <c r="F244" t="s">
        <v>5734</v>
      </c>
      <c r="G244" s="1" t="s">
        <v>5730</v>
      </c>
      <c r="H244" s="1" t="s">
        <v>1856</v>
      </c>
    </row>
    <row r="245" spans="1:8" hidden="1" x14ac:dyDescent="0.3">
      <c r="A245" t="s">
        <v>6008</v>
      </c>
      <c r="B245" t="s">
        <v>6008</v>
      </c>
      <c r="C245" t="s">
        <v>1095</v>
      </c>
      <c r="D245" t="s">
        <v>115</v>
      </c>
      <c r="E245" t="s">
        <v>6</v>
      </c>
      <c r="F245" t="s">
        <v>5734</v>
      </c>
      <c r="G245" s="1" t="s">
        <v>5730</v>
      </c>
      <c r="H245" s="1" t="s">
        <v>1856</v>
      </c>
    </row>
    <row r="246" spans="1:8" hidden="1" x14ac:dyDescent="0.3">
      <c r="A246" t="s">
        <v>6009</v>
      </c>
      <c r="B246" t="s">
        <v>6009</v>
      </c>
      <c r="C246" t="s">
        <v>1133</v>
      </c>
      <c r="D246" t="s">
        <v>115</v>
      </c>
      <c r="E246" t="s">
        <v>6</v>
      </c>
      <c r="F246" t="s">
        <v>5734</v>
      </c>
      <c r="G246" s="1" t="s">
        <v>5730</v>
      </c>
      <c r="H246" s="1" t="s">
        <v>1856</v>
      </c>
    </row>
    <row r="247" spans="1:8" hidden="1" x14ac:dyDescent="0.3">
      <c r="A247" t="s">
        <v>6010</v>
      </c>
      <c r="B247" t="s">
        <v>6010</v>
      </c>
      <c r="C247" t="s">
        <v>1166</v>
      </c>
      <c r="D247" t="s">
        <v>115</v>
      </c>
      <c r="E247" t="s">
        <v>6</v>
      </c>
      <c r="F247" t="s">
        <v>5734</v>
      </c>
      <c r="G247" s="1" t="s">
        <v>5730</v>
      </c>
      <c r="H247" s="1" t="s">
        <v>1874</v>
      </c>
    </row>
    <row r="248" spans="1:8" hidden="1" x14ac:dyDescent="0.3">
      <c r="A248" t="s">
        <v>6011</v>
      </c>
      <c r="B248" t="s">
        <v>6011</v>
      </c>
      <c r="C248" t="s">
        <v>1042</v>
      </c>
      <c r="D248" t="s">
        <v>115</v>
      </c>
      <c r="E248" t="s">
        <v>6</v>
      </c>
      <c r="F248" t="s">
        <v>5734</v>
      </c>
      <c r="G248" s="1" t="s">
        <v>5730</v>
      </c>
      <c r="H248" s="1" t="s">
        <v>1856</v>
      </c>
    </row>
    <row r="249" spans="1:8" hidden="1" x14ac:dyDescent="0.3">
      <c r="A249" t="s">
        <v>6012</v>
      </c>
      <c r="B249" t="s">
        <v>6012</v>
      </c>
      <c r="C249" t="s">
        <v>1227</v>
      </c>
      <c r="D249" t="s">
        <v>115</v>
      </c>
      <c r="E249" t="s">
        <v>6</v>
      </c>
      <c r="F249" t="s">
        <v>5734</v>
      </c>
      <c r="G249" s="1" t="s">
        <v>5730</v>
      </c>
      <c r="H249" s="1" t="s">
        <v>1856</v>
      </c>
    </row>
    <row r="250" spans="1:8" hidden="1" x14ac:dyDescent="0.3">
      <c r="A250" t="s">
        <v>6013</v>
      </c>
      <c r="B250" t="s">
        <v>6013</v>
      </c>
      <c r="C250" t="s">
        <v>2083</v>
      </c>
      <c r="D250" t="s">
        <v>115</v>
      </c>
      <c r="E250" t="s">
        <v>6</v>
      </c>
      <c r="F250" t="s">
        <v>5781</v>
      </c>
      <c r="G250" s="1" t="s">
        <v>5730</v>
      </c>
      <c r="H250" s="1" t="s">
        <v>1856</v>
      </c>
    </row>
    <row r="251" spans="1:8" hidden="1" x14ac:dyDescent="0.3">
      <c r="A251" t="s">
        <v>6014</v>
      </c>
      <c r="B251" t="s">
        <v>6014</v>
      </c>
      <c r="C251" t="s">
        <v>2549</v>
      </c>
      <c r="D251" t="s">
        <v>115</v>
      </c>
      <c r="E251" t="s">
        <v>6</v>
      </c>
      <c r="F251" t="s">
        <v>5781</v>
      </c>
      <c r="G251" s="1" t="s">
        <v>1961</v>
      </c>
      <c r="H251" s="1" t="s">
        <v>1856</v>
      </c>
    </row>
    <row r="252" spans="1:8" hidden="1" x14ac:dyDescent="0.3">
      <c r="A252" t="s">
        <v>6015</v>
      </c>
      <c r="B252" t="s">
        <v>6015</v>
      </c>
      <c r="C252" t="s">
        <v>2552</v>
      </c>
      <c r="D252" t="s">
        <v>115</v>
      </c>
      <c r="E252" t="s">
        <v>6</v>
      </c>
      <c r="F252" t="s">
        <v>5781</v>
      </c>
      <c r="G252" s="1" t="s">
        <v>5730</v>
      </c>
      <c r="H252" s="1" t="s">
        <v>1856</v>
      </c>
    </row>
    <row r="253" spans="1:8" hidden="1" x14ac:dyDescent="0.3">
      <c r="A253" t="s">
        <v>6016</v>
      </c>
      <c r="B253" t="s">
        <v>6016</v>
      </c>
      <c r="C253" t="s">
        <v>2555</v>
      </c>
      <c r="D253" t="s">
        <v>115</v>
      </c>
      <c r="E253" t="s">
        <v>6</v>
      </c>
      <c r="F253" t="s">
        <v>5734</v>
      </c>
      <c r="G253" s="1" t="s">
        <v>5730</v>
      </c>
      <c r="H253" s="1" t="s">
        <v>1856</v>
      </c>
    </row>
    <row r="254" spans="1:8" hidden="1" x14ac:dyDescent="0.3">
      <c r="A254" t="s">
        <v>6017</v>
      </c>
      <c r="B254" t="s">
        <v>6017</v>
      </c>
      <c r="C254" t="s">
        <v>5791</v>
      </c>
      <c r="D254" t="s">
        <v>115</v>
      </c>
      <c r="E254" t="s">
        <v>6</v>
      </c>
      <c r="F254" t="s">
        <v>5781</v>
      </c>
      <c r="G254" s="1" t="s">
        <v>5730</v>
      </c>
      <c r="H254" s="1" t="s">
        <v>1856</v>
      </c>
    </row>
    <row r="255" spans="1:8" hidden="1" x14ac:dyDescent="0.3">
      <c r="A255" t="s">
        <v>6018</v>
      </c>
      <c r="B255" t="s">
        <v>6018</v>
      </c>
      <c r="C255" t="s">
        <v>2560</v>
      </c>
      <c r="D255" t="s">
        <v>115</v>
      </c>
      <c r="E255" t="s">
        <v>6</v>
      </c>
      <c r="F255" t="s">
        <v>5729</v>
      </c>
      <c r="G255" s="1" t="s">
        <v>5730</v>
      </c>
      <c r="H255" s="1" t="s">
        <v>1856</v>
      </c>
    </row>
    <row r="256" spans="1:8" hidden="1" x14ac:dyDescent="0.3">
      <c r="A256" t="s">
        <v>6019</v>
      </c>
      <c r="B256" t="s">
        <v>6019</v>
      </c>
      <c r="C256" t="s">
        <v>177</v>
      </c>
      <c r="D256" t="s">
        <v>2563</v>
      </c>
      <c r="E256" t="s">
        <v>6</v>
      </c>
      <c r="F256" t="s">
        <v>5734</v>
      </c>
      <c r="G256" s="1" t="s">
        <v>5730</v>
      </c>
      <c r="H256" s="1" t="s">
        <v>1856</v>
      </c>
    </row>
    <row r="257" spans="1:8" hidden="1" x14ac:dyDescent="0.3">
      <c r="A257" t="s">
        <v>6020</v>
      </c>
      <c r="B257" t="s">
        <v>6020</v>
      </c>
      <c r="C257" t="s">
        <v>252</v>
      </c>
      <c r="D257" t="s">
        <v>2563</v>
      </c>
      <c r="E257" t="s">
        <v>6</v>
      </c>
      <c r="F257" t="s">
        <v>5734</v>
      </c>
      <c r="G257" s="1" t="s">
        <v>5730</v>
      </c>
      <c r="H257" s="1" t="s">
        <v>1856</v>
      </c>
    </row>
    <row r="258" spans="1:8" hidden="1" x14ac:dyDescent="0.3">
      <c r="A258" t="s">
        <v>6021</v>
      </c>
      <c r="B258" t="s">
        <v>6021</v>
      </c>
      <c r="C258" t="s">
        <v>6022</v>
      </c>
      <c r="D258" t="s">
        <v>2563</v>
      </c>
      <c r="E258" t="s">
        <v>6</v>
      </c>
      <c r="F258" t="s">
        <v>5747</v>
      </c>
      <c r="G258" s="1" t="s">
        <v>1961</v>
      </c>
      <c r="H258" s="1" t="s">
        <v>1856</v>
      </c>
    </row>
    <row r="259" spans="1:8" hidden="1" x14ac:dyDescent="0.3">
      <c r="A259" t="s">
        <v>6023</v>
      </c>
      <c r="B259" t="s">
        <v>6023</v>
      </c>
      <c r="C259" t="s">
        <v>323</v>
      </c>
      <c r="D259" t="s">
        <v>2563</v>
      </c>
      <c r="E259" t="s">
        <v>6</v>
      </c>
      <c r="F259" t="s">
        <v>5734</v>
      </c>
      <c r="G259" s="1" t="s">
        <v>5730</v>
      </c>
      <c r="H259" s="1" t="s">
        <v>1856</v>
      </c>
    </row>
    <row r="260" spans="1:8" hidden="1" x14ac:dyDescent="0.3">
      <c r="A260" t="s">
        <v>6024</v>
      </c>
      <c r="B260" t="s">
        <v>6024</v>
      </c>
      <c r="C260" t="s">
        <v>396</v>
      </c>
      <c r="D260" t="s">
        <v>2563</v>
      </c>
      <c r="E260" t="s">
        <v>6</v>
      </c>
      <c r="F260" t="s">
        <v>5729</v>
      </c>
      <c r="G260" s="1" t="s">
        <v>5730</v>
      </c>
      <c r="H260" s="1" t="s">
        <v>1856</v>
      </c>
    </row>
    <row r="261" spans="1:8" hidden="1" x14ac:dyDescent="0.3">
      <c r="A261" t="s">
        <v>6025</v>
      </c>
      <c r="B261" t="s">
        <v>6025</v>
      </c>
      <c r="C261" t="s">
        <v>675</v>
      </c>
      <c r="D261" t="s">
        <v>2563</v>
      </c>
      <c r="E261" t="s">
        <v>6</v>
      </c>
      <c r="F261" t="s">
        <v>5729</v>
      </c>
      <c r="G261" s="1" t="s">
        <v>5730</v>
      </c>
      <c r="H261" s="1" t="s">
        <v>1856</v>
      </c>
    </row>
    <row r="262" spans="1:8" hidden="1" x14ac:dyDescent="0.3">
      <c r="A262" t="s">
        <v>6026</v>
      </c>
      <c r="B262" t="s">
        <v>6026</v>
      </c>
      <c r="C262" t="s">
        <v>6027</v>
      </c>
      <c r="D262" t="s">
        <v>2563</v>
      </c>
      <c r="E262" t="s">
        <v>6</v>
      </c>
      <c r="F262" t="s">
        <v>5729</v>
      </c>
      <c r="G262" s="1" t="s">
        <v>5730</v>
      </c>
      <c r="H262" s="1" t="s">
        <v>1856</v>
      </c>
    </row>
    <row r="263" spans="1:8" hidden="1" x14ac:dyDescent="0.3">
      <c r="A263" t="s">
        <v>6028</v>
      </c>
      <c r="B263" t="s">
        <v>6028</v>
      </c>
      <c r="C263" t="s">
        <v>2580</v>
      </c>
      <c r="D263" t="s">
        <v>2563</v>
      </c>
      <c r="E263" t="s">
        <v>6</v>
      </c>
      <c r="F263" t="s">
        <v>5734</v>
      </c>
      <c r="G263" s="1" t="s">
        <v>1961</v>
      </c>
      <c r="H263" s="1" t="s">
        <v>1927</v>
      </c>
    </row>
    <row r="264" spans="1:8" hidden="1" x14ac:dyDescent="0.3">
      <c r="A264" t="s">
        <v>6029</v>
      </c>
      <c r="B264" t="s">
        <v>6029</v>
      </c>
      <c r="C264" t="s">
        <v>2583</v>
      </c>
      <c r="D264" t="s">
        <v>2563</v>
      </c>
      <c r="E264" t="s">
        <v>6</v>
      </c>
      <c r="F264" t="s">
        <v>5729</v>
      </c>
      <c r="G264" s="1" t="s">
        <v>5730</v>
      </c>
      <c r="H264" s="1" t="s">
        <v>1874</v>
      </c>
    </row>
    <row r="265" spans="1:8" hidden="1" x14ac:dyDescent="0.3">
      <c r="A265" t="s">
        <v>6030</v>
      </c>
      <c r="B265" t="s">
        <v>6030</v>
      </c>
      <c r="C265" t="s">
        <v>6031</v>
      </c>
      <c r="D265" t="s">
        <v>2563</v>
      </c>
      <c r="E265" t="s">
        <v>6</v>
      </c>
      <c r="F265" t="s">
        <v>5729</v>
      </c>
      <c r="G265" s="1" t="s">
        <v>5730</v>
      </c>
      <c r="H265" s="1" t="s">
        <v>1856</v>
      </c>
    </row>
    <row r="266" spans="1:8" hidden="1" x14ac:dyDescent="0.3">
      <c r="A266" t="s">
        <v>6032</v>
      </c>
      <c r="B266" t="s">
        <v>6032</v>
      </c>
      <c r="C266" t="s">
        <v>913</v>
      </c>
      <c r="D266" t="s">
        <v>2563</v>
      </c>
      <c r="E266" t="s">
        <v>6</v>
      </c>
      <c r="F266" t="s">
        <v>5734</v>
      </c>
      <c r="G266" s="1" t="s">
        <v>5730</v>
      </c>
      <c r="H266" s="1" t="s">
        <v>1856</v>
      </c>
    </row>
    <row r="267" spans="1:8" hidden="1" x14ac:dyDescent="0.3">
      <c r="A267" t="s">
        <v>6033</v>
      </c>
      <c r="B267" t="s">
        <v>6033</v>
      </c>
      <c r="C267" t="s">
        <v>965</v>
      </c>
      <c r="D267" t="s">
        <v>2563</v>
      </c>
      <c r="E267" t="s">
        <v>6</v>
      </c>
      <c r="F267" t="s">
        <v>5734</v>
      </c>
      <c r="G267" s="1" t="s">
        <v>5730</v>
      </c>
      <c r="H267" s="1" t="s">
        <v>1856</v>
      </c>
    </row>
    <row r="268" spans="1:8" hidden="1" x14ac:dyDescent="0.3">
      <c r="A268" t="s">
        <v>6034</v>
      </c>
      <c r="B268" t="s">
        <v>6034</v>
      </c>
      <c r="C268" t="s">
        <v>1010</v>
      </c>
      <c r="D268" t="s">
        <v>2563</v>
      </c>
      <c r="E268" t="s">
        <v>6</v>
      </c>
      <c r="F268" t="s">
        <v>5729</v>
      </c>
      <c r="G268" s="1" t="s">
        <v>5730</v>
      </c>
      <c r="H268" s="1" t="s">
        <v>1856</v>
      </c>
    </row>
    <row r="269" spans="1:8" hidden="1" x14ac:dyDescent="0.3">
      <c r="A269" t="s">
        <v>6035</v>
      </c>
      <c r="B269" t="s">
        <v>6035</v>
      </c>
      <c r="C269" t="s">
        <v>1059</v>
      </c>
      <c r="D269" t="s">
        <v>2563</v>
      </c>
      <c r="E269" t="s">
        <v>6</v>
      </c>
      <c r="F269" t="s">
        <v>5729</v>
      </c>
      <c r="G269" s="1" t="s">
        <v>5730</v>
      </c>
      <c r="H269" s="1" t="s">
        <v>1927</v>
      </c>
    </row>
    <row r="270" spans="1:8" hidden="1" x14ac:dyDescent="0.3">
      <c r="A270" t="s">
        <v>6036</v>
      </c>
      <c r="B270" t="s">
        <v>6036</v>
      </c>
      <c r="C270" t="s">
        <v>1096</v>
      </c>
      <c r="D270" t="s">
        <v>2563</v>
      </c>
      <c r="E270" t="s">
        <v>6</v>
      </c>
      <c r="F270" t="s">
        <v>5729</v>
      </c>
      <c r="G270" s="1" t="s">
        <v>5730</v>
      </c>
      <c r="H270" s="1" t="s">
        <v>1874</v>
      </c>
    </row>
    <row r="271" spans="1:8" hidden="1" x14ac:dyDescent="0.3">
      <c r="A271" t="s">
        <v>6037</v>
      </c>
      <c r="B271" t="s">
        <v>6037</v>
      </c>
      <c r="C271" t="s">
        <v>1134</v>
      </c>
      <c r="D271" t="s">
        <v>2563</v>
      </c>
      <c r="E271" t="s">
        <v>6</v>
      </c>
      <c r="F271" t="s">
        <v>5729</v>
      </c>
      <c r="G271" s="1" t="s">
        <v>5730</v>
      </c>
      <c r="H271" s="1" t="s">
        <v>1874</v>
      </c>
    </row>
    <row r="272" spans="1:8" hidden="1" x14ac:dyDescent="0.3">
      <c r="A272" t="s">
        <v>6038</v>
      </c>
      <c r="B272" t="s">
        <v>6038</v>
      </c>
      <c r="C272" t="s">
        <v>2602</v>
      </c>
      <c r="D272" t="s">
        <v>2563</v>
      </c>
      <c r="E272" t="s">
        <v>6</v>
      </c>
      <c r="F272" t="s">
        <v>5734</v>
      </c>
      <c r="G272" s="1" t="s">
        <v>1961</v>
      </c>
      <c r="H272" s="1" t="s">
        <v>1923</v>
      </c>
    </row>
    <row r="273" spans="1:8" hidden="1" x14ac:dyDescent="0.3">
      <c r="A273" t="s">
        <v>6039</v>
      </c>
      <c r="B273" t="s">
        <v>6039</v>
      </c>
      <c r="C273" t="s">
        <v>1167</v>
      </c>
      <c r="D273" t="s">
        <v>2563</v>
      </c>
      <c r="E273" t="s">
        <v>6</v>
      </c>
      <c r="F273" t="s">
        <v>5729</v>
      </c>
      <c r="G273" s="1" t="s">
        <v>5730</v>
      </c>
      <c r="H273" s="1" t="s">
        <v>1923</v>
      </c>
    </row>
    <row r="274" spans="1:8" hidden="1" x14ac:dyDescent="0.3">
      <c r="A274" t="s">
        <v>6040</v>
      </c>
      <c r="B274" t="s">
        <v>6040</v>
      </c>
      <c r="C274" t="s">
        <v>6041</v>
      </c>
      <c r="D274" t="s">
        <v>2563</v>
      </c>
      <c r="E274" t="s">
        <v>6</v>
      </c>
      <c r="F274" t="s">
        <v>5734</v>
      </c>
      <c r="G274" s="1" t="s">
        <v>1961</v>
      </c>
      <c r="H274" s="1" t="s">
        <v>1923</v>
      </c>
    </row>
    <row r="275" spans="1:8" hidden="1" x14ac:dyDescent="0.3">
      <c r="A275" t="s">
        <v>6042</v>
      </c>
      <c r="B275" t="s">
        <v>6042</v>
      </c>
      <c r="C275" t="s">
        <v>1197</v>
      </c>
      <c r="D275" t="s">
        <v>2563</v>
      </c>
      <c r="E275" t="s">
        <v>6</v>
      </c>
      <c r="F275" t="s">
        <v>5729</v>
      </c>
      <c r="G275" s="1" t="s">
        <v>5730</v>
      </c>
      <c r="H275" s="1" t="s">
        <v>1856</v>
      </c>
    </row>
    <row r="276" spans="1:8" hidden="1" x14ac:dyDescent="0.3">
      <c r="A276" t="s">
        <v>6043</v>
      </c>
      <c r="B276" t="s">
        <v>6043</v>
      </c>
      <c r="C276" t="s">
        <v>1228</v>
      </c>
      <c r="D276" t="s">
        <v>2563</v>
      </c>
      <c r="E276" t="s">
        <v>6</v>
      </c>
      <c r="F276" t="s">
        <v>5729</v>
      </c>
      <c r="G276" s="1" t="s">
        <v>5730</v>
      </c>
      <c r="H276" s="1" t="s">
        <v>1874</v>
      </c>
    </row>
    <row r="277" spans="1:8" hidden="1" x14ac:dyDescent="0.3">
      <c r="A277" t="s">
        <v>6044</v>
      </c>
      <c r="B277" t="s">
        <v>6044</v>
      </c>
      <c r="C277" t="s">
        <v>132</v>
      </c>
      <c r="D277" t="s">
        <v>2563</v>
      </c>
      <c r="E277" t="s">
        <v>6</v>
      </c>
      <c r="F277" t="s">
        <v>5734</v>
      </c>
      <c r="G277" s="1" t="s">
        <v>5730</v>
      </c>
      <c r="H277" s="1" t="s">
        <v>1874</v>
      </c>
    </row>
    <row r="278" spans="1:8" hidden="1" x14ac:dyDescent="0.3">
      <c r="A278" t="s">
        <v>6045</v>
      </c>
      <c r="B278" t="s">
        <v>6045</v>
      </c>
      <c r="C278" t="s">
        <v>145</v>
      </c>
      <c r="D278" t="s">
        <v>2563</v>
      </c>
      <c r="E278" t="s">
        <v>6</v>
      </c>
      <c r="F278" t="s">
        <v>5734</v>
      </c>
      <c r="G278" s="1" t="s">
        <v>5730</v>
      </c>
      <c r="H278" s="1" t="s">
        <v>1856</v>
      </c>
    </row>
    <row r="279" spans="1:8" hidden="1" x14ac:dyDescent="0.3">
      <c r="A279" t="s">
        <v>6046</v>
      </c>
      <c r="B279" t="s">
        <v>6046</v>
      </c>
      <c r="C279" t="s">
        <v>2618</v>
      </c>
      <c r="D279" t="s">
        <v>2563</v>
      </c>
      <c r="E279" t="s">
        <v>6</v>
      </c>
      <c r="F279" t="s">
        <v>5734</v>
      </c>
      <c r="G279" s="1" t="s">
        <v>5730</v>
      </c>
      <c r="H279" s="1" t="s">
        <v>1856</v>
      </c>
    </row>
    <row r="280" spans="1:8" hidden="1" x14ac:dyDescent="0.3">
      <c r="A280" t="s">
        <v>6047</v>
      </c>
      <c r="B280" t="s">
        <v>6047</v>
      </c>
      <c r="C280" t="s">
        <v>1916</v>
      </c>
      <c r="D280" t="s">
        <v>2563</v>
      </c>
      <c r="E280" t="s">
        <v>6</v>
      </c>
      <c r="F280" t="s">
        <v>5781</v>
      </c>
      <c r="G280" s="1" t="s">
        <v>5730</v>
      </c>
      <c r="H280" s="1" t="s">
        <v>1856</v>
      </c>
    </row>
    <row r="281" spans="1:8" hidden="1" x14ac:dyDescent="0.3">
      <c r="A281" t="s">
        <v>6048</v>
      </c>
      <c r="B281" t="s">
        <v>6048</v>
      </c>
      <c r="C281" t="s">
        <v>2623</v>
      </c>
      <c r="D281" t="s">
        <v>2563</v>
      </c>
      <c r="E281" t="s">
        <v>6</v>
      </c>
      <c r="F281" t="s">
        <v>5781</v>
      </c>
      <c r="G281" s="1" t="s">
        <v>1961</v>
      </c>
      <c r="H281" s="1" t="s">
        <v>1874</v>
      </c>
    </row>
    <row r="282" spans="1:8" hidden="1" x14ac:dyDescent="0.3">
      <c r="A282" t="s">
        <v>6049</v>
      </c>
      <c r="B282" t="s">
        <v>6049</v>
      </c>
      <c r="C282" t="s">
        <v>2626</v>
      </c>
      <c r="D282" t="s">
        <v>2563</v>
      </c>
      <c r="E282" t="s">
        <v>6</v>
      </c>
      <c r="F282" t="s">
        <v>5734</v>
      </c>
      <c r="G282" s="1" t="s">
        <v>5730</v>
      </c>
      <c r="H282" s="1" t="s">
        <v>1856</v>
      </c>
    </row>
    <row r="283" spans="1:8" hidden="1" x14ac:dyDescent="0.3">
      <c r="A283" t="s">
        <v>6050</v>
      </c>
      <c r="B283" t="s">
        <v>6050</v>
      </c>
      <c r="C283" t="s">
        <v>2629</v>
      </c>
      <c r="D283" t="s">
        <v>2563</v>
      </c>
      <c r="E283" t="s">
        <v>6</v>
      </c>
      <c r="F283" t="s">
        <v>5734</v>
      </c>
      <c r="G283" s="1" t="s">
        <v>5730</v>
      </c>
      <c r="H283" s="1" t="s">
        <v>1856</v>
      </c>
    </row>
    <row r="284" spans="1:8" hidden="1" x14ac:dyDescent="0.3">
      <c r="A284" t="s">
        <v>6051</v>
      </c>
      <c r="B284" t="s">
        <v>6051</v>
      </c>
      <c r="C284" t="s">
        <v>2107</v>
      </c>
      <c r="D284" t="s">
        <v>2563</v>
      </c>
      <c r="E284" t="s">
        <v>6</v>
      </c>
      <c r="F284" t="s">
        <v>5734</v>
      </c>
      <c r="G284" s="1" t="s">
        <v>5730</v>
      </c>
      <c r="H284" s="1" t="s">
        <v>1856</v>
      </c>
    </row>
    <row r="285" spans="1:8" hidden="1" x14ac:dyDescent="0.3">
      <c r="A285" t="s">
        <v>6052</v>
      </c>
      <c r="B285" t="s">
        <v>6052</v>
      </c>
      <c r="C285" t="s">
        <v>1387</v>
      </c>
      <c r="D285" t="s">
        <v>2563</v>
      </c>
      <c r="E285" t="s">
        <v>6</v>
      </c>
      <c r="F285" t="s">
        <v>5734</v>
      </c>
      <c r="G285" s="1" t="s">
        <v>5730</v>
      </c>
      <c r="H285" s="1" t="s">
        <v>1856</v>
      </c>
    </row>
    <row r="286" spans="1:8" hidden="1" x14ac:dyDescent="0.3">
      <c r="A286" t="s">
        <v>6053</v>
      </c>
      <c r="B286" t="s">
        <v>6053</v>
      </c>
      <c r="C286" t="s">
        <v>1398</v>
      </c>
      <c r="D286" t="s">
        <v>2563</v>
      </c>
      <c r="E286" t="s">
        <v>6</v>
      </c>
      <c r="F286" t="s">
        <v>5729</v>
      </c>
      <c r="G286" s="1" t="s">
        <v>5730</v>
      </c>
      <c r="H286" s="1" t="s">
        <v>1927</v>
      </c>
    </row>
    <row r="287" spans="1:8" hidden="1" x14ac:dyDescent="0.3">
      <c r="A287" t="s">
        <v>6054</v>
      </c>
      <c r="B287" t="s">
        <v>6054</v>
      </c>
      <c r="C287" t="s">
        <v>1407</v>
      </c>
      <c r="D287" t="s">
        <v>2563</v>
      </c>
      <c r="E287" t="s">
        <v>6</v>
      </c>
      <c r="F287" t="s">
        <v>5729</v>
      </c>
      <c r="G287" s="1" t="s">
        <v>5730</v>
      </c>
      <c r="H287" s="1" t="s">
        <v>1856</v>
      </c>
    </row>
    <row r="288" spans="1:8" hidden="1" x14ac:dyDescent="0.3">
      <c r="A288" t="s">
        <v>6055</v>
      </c>
      <c r="B288" t="s">
        <v>6055</v>
      </c>
      <c r="C288" t="s">
        <v>6056</v>
      </c>
      <c r="D288" t="s">
        <v>144</v>
      </c>
      <c r="E288" t="s">
        <v>6</v>
      </c>
      <c r="F288" t="s">
        <v>5747</v>
      </c>
      <c r="G288" s="1" t="s">
        <v>1855</v>
      </c>
      <c r="H288" s="1" t="s">
        <v>1856</v>
      </c>
    </row>
    <row r="289" spans="1:8" hidden="1" x14ac:dyDescent="0.3">
      <c r="A289" t="s">
        <v>6057</v>
      </c>
      <c r="B289" t="s">
        <v>6057</v>
      </c>
      <c r="C289" t="s">
        <v>178</v>
      </c>
      <c r="D289" t="s">
        <v>144</v>
      </c>
      <c r="E289" t="s">
        <v>6</v>
      </c>
      <c r="F289" t="s">
        <v>5734</v>
      </c>
      <c r="G289" s="1" t="s">
        <v>5730</v>
      </c>
      <c r="H289" s="1" t="s">
        <v>1856</v>
      </c>
    </row>
    <row r="290" spans="1:8" hidden="1" x14ac:dyDescent="0.3">
      <c r="A290" t="s">
        <v>6058</v>
      </c>
      <c r="B290" t="s">
        <v>6058</v>
      </c>
      <c r="C290" t="s">
        <v>253</v>
      </c>
      <c r="D290" t="s">
        <v>144</v>
      </c>
      <c r="E290" t="s">
        <v>6</v>
      </c>
      <c r="F290" t="s">
        <v>5781</v>
      </c>
      <c r="G290" s="1" t="s">
        <v>5730</v>
      </c>
      <c r="H290" s="1" t="s">
        <v>1856</v>
      </c>
    </row>
    <row r="291" spans="1:8" hidden="1" x14ac:dyDescent="0.3">
      <c r="A291" t="s">
        <v>6059</v>
      </c>
      <c r="B291" t="s">
        <v>6059</v>
      </c>
      <c r="C291" t="s">
        <v>324</v>
      </c>
      <c r="D291" t="s">
        <v>144</v>
      </c>
      <c r="E291" t="s">
        <v>6</v>
      </c>
      <c r="F291" t="s">
        <v>5729</v>
      </c>
      <c r="G291" s="1" t="s">
        <v>5730</v>
      </c>
      <c r="H291" s="1" t="s">
        <v>1856</v>
      </c>
    </row>
    <row r="292" spans="1:8" hidden="1" x14ac:dyDescent="0.3">
      <c r="A292" t="s">
        <v>6060</v>
      </c>
      <c r="B292" t="s">
        <v>6060</v>
      </c>
      <c r="C292" t="s">
        <v>397</v>
      </c>
      <c r="D292" t="s">
        <v>144</v>
      </c>
      <c r="E292" t="s">
        <v>6</v>
      </c>
      <c r="F292" t="s">
        <v>5734</v>
      </c>
      <c r="G292" s="1" t="s">
        <v>5730</v>
      </c>
      <c r="H292" s="1" t="s">
        <v>1856</v>
      </c>
    </row>
    <row r="293" spans="1:8" hidden="1" x14ac:dyDescent="0.3">
      <c r="A293" t="s">
        <v>6061</v>
      </c>
      <c r="B293" t="s">
        <v>6061</v>
      </c>
      <c r="C293" t="s">
        <v>609</v>
      </c>
      <c r="D293" t="s">
        <v>144</v>
      </c>
      <c r="E293" t="s">
        <v>6</v>
      </c>
      <c r="F293" t="s">
        <v>5734</v>
      </c>
      <c r="G293" s="1" t="s">
        <v>5730</v>
      </c>
      <c r="H293" s="1" t="s">
        <v>1856</v>
      </c>
    </row>
    <row r="294" spans="1:8" hidden="1" x14ac:dyDescent="0.3">
      <c r="A294" t="s">
        <v>6062</v>
      </c>
      <c r="B294" t="s">
        <v>6062</v>
      </c>
      <c r="C294" t="s">
        <v>676</v>
      </c>
      <c r="D294" t="s">
        <v>144</v>
      </c>
      <c r="E294" t="s">
        <v>6</v>
      </c>
      <c r="F294" t="s">
        <v>5734</v>
      </c>
      <c r="G294" s="1" t="s">
        <v>5730</v>
      </c>
      <c r="H294" s="1" t="s">
        <v>1856</v>
      </c>
    </row>
    <row r="295" spans="1:8" hidden="1" x14ac:dyDescent="0.3">
      <c r="A295" t="s">
        <v>6063</v>
      </c>
      <c r="B295" t="s">
        <v>6063</v>
      </c>
      <c r="C295" t="s">
        <v>739</v>
      </c>
      <c r="D295" t="s">
        <v>144</v>
      </c>
      <c r="E295" t="s">
        <v>6</v>
      </c>
      <c r="F295" t="s">
        <v>5781</v>
      </c>
      <c r="G295" s="1" t="s">
        <v>5730</v>
      </c>
      <c r="H295" s="1" t="s">
        <v>1856</v>
      </c>
    </row>
    <row r="296" spans="1:8" hidden="1" x14ac:dyDescent="0.3">
      <c r="A296" t="s">
        <v>6064</v>
      </c>
      <c r="B296" t="s">
        <v>6064</v>
      </c>
      <c r="C296" t="s">
        <v>2654</v>
      </c>
      <c r="D296" t="s">
        <v>144</v>
      </c>
      <c r="E296" t="s">
        <v>6</v>
      </c>
      <c r="F296" t="s">
        <v>5781</v>
      </c>
      <c r="G296" s="1" t="s">
        <v>1961</v>
      </c>
      <c r="H296" s="1" t="s">
        <v>1856</v>
      </c>
    </row>
    <row r="297" spans="1:8" hidden="1" x14ac:dyDescent="0.3">
      <c r="A297" t="s">
        <v>6065</v>
      </c>
      <c r="B297" t="s">
        <v>6065</v>
      </c>
      <c r="C297" t="s">
        <v>858</v>
      </c>
      <c r="D297" t="s">
        <v>144</v>
      </c>
      <c r="E297" t="s">
        <v>6</v>
      </c>
      <c r="F297" t="s">
        <v>5734</v>
      </c>
      <c r="G297" s="1" t="s">
        <v>5730</v>
      </c>
      <c r="H297" s="1" t="s">
        <v>1856</v>
      </c>
    </row>
    <row r="298" spans="1:8" hidden="1" x14ac:dyDescent="0.3">
      <c r="A298" t="s">
        <v>6066</v>
      </c>
      <c r="B298" t="s">
        <v>6066</v>
      </c>
      <c r="C298" t="s">
        <v>914</v>
      </c>
      <c r="D298" t="s">
        <v>144</v>
      </c>
      <c r="E298" t="s">
        <v>6</v>
      </c>
      <c r="F298" t="s">
        <v>5734</v>
      </c>
      <c r="G298" s="1" t="s">
        <v>5730</v>
      </c>
      <c r="H298" s="1" t="s">
        <v>1856</v>
      </c>
    </row>
    <row r="299" spans="1:8" hidden="1" x14ac:dyDescent="0.3">
      <c r="A299" t="s">
        <v>6067</v>
      </c>
      <c r="B299" t="s">
        <v>6067</v>
      </c>
      <c r="C299" t="s">
        <v>966</v>
      </c>
      <c r="D299" t="s">
        <v>144</v>
      </c>
      <c r="E299" t="s">
        <v>6</v>
      </c>
      <c r="F299" t="s">
        <v>5734</v>
      </c>
      <c r="G299" s="1" t="s">
        <v>5730</v>
      </c>
      <c r="H299" s="1" t="s">
        <v>1856</v>
      </c>
    </row>
    <row r="300" spans="1:8" hidden="1" x14ac:dyDescent="0.3">
      <c r="A300" t="s">
        <v>6068</v>
      </c>
      <c r="B300" t="s">
        <v>6068</v>
      </c>
      <c r="C300" t="s">
        <v>1011</v>
      </c>
      <c r="D300" t="s">
        <v>144</v>
      </c>
      <c r="E300" t="s">
        <v>6</v>
      </c>
      <c r="F300" t="s">
        <v>5781</v>
      </c>
      <c r="G300" s="1" t="s">
        <v>5730</v>
      </c>
      <c r="H300" s="1" t="s">
        <v>1856</v>
      </c>
    </row>
    <row r="301" spans="1:8" hidden="1" x14ac:dyDescent="0.3">
      <c r="A301" t="s">
        <v>6069</v>
      </c>
      <c r="B301" t="s">
        <v>6069</v>
      </c>
      <c r="C301" t="s">
        <v>1060</v>
      </c>
      <c r="D301" t="s">
        <v>144</v>
      </c>
      <c r="E301" t="s">
        <v>6</v>
      </c>
      <c r="F301" t="s">
        <v>5729</v>
      </c>
      <c r="G301" s="1" t="s">
        <v>5730</v>
      </c>
      <c r="H301" s="1" t="s">
        <v>1874</v>
      </c>
    </row>
    <row r="302" spans="1:8" hidden="1" x14ac:dyDescent="0.3">
      <c r="A302" t="s">
        <v>6070</v>
      </c>
      <c r="B302" t="s">
        <v>6070</v>
      </c>
      <c r="C302" t="s">
        <v>1097</v>
      </c>
      <c r="D302" t="s">
        <v>144</v>
      </c>
      <c r="E302" t="s">
        <v>6</v>
      </c>
      <c r="F302" t="s">
        <v>5734</v>
      </c>
      <c r="G302" s="1" t="s">
        <v>5730</v>
      </c>
      <c r="H302" s="1" t="s">
        <v>1856</v>
      </c>
    </row>
    <row r="303" spans="1:8" hidden="1" x14ac:dyDescent="0.3">
      <c r="A303" t="s">
        <v>6071</v>
      </c>
      <c r="B303" t="s">
        <v>6071</v>
      </c>
      <c r="C303" t="s">
        <v>5815</v>
      </c>
      <c r="D303" t="s">
        <v>144</v>
      </c>
      <c r="E303" t="s">
        <v>6</v>
      </c>
      <c r="F303" t="s">
        <v>5781</v>
      </c>
      <c r="G303" s="1" t="s">
        <v>1961</v>
      </c>
      <c r="H303" s="1" t="s">
        <v>1856</v>
      </c>
    </row>
    <row r="304" spans="1:8" hidden="1" x14ac:dyDescent="0.3">
      <c r="A304" t="s">
        <v>6072</v>
      </c>
      <c r="B304" t="s">
        <v>6072</v>
      </c>
      <c r="C304" t="s">
        <v>2671</v>
      </c>
      <c r="D304" t="s">
        <v>144</v>
      </c>
      <c r="E304" t="s">
        <v>6</v>
      </c>
      <c r="F304" t="s">
        <v>5729</v>
      </c>
      <c r="G304" s="1" t="s">
        <v>5730</v>
      </c>
      <c r="H304" s="1" t="s">
        <v>1874</v>
      </c>
    </row>
    <row r="305" spans="1:8" hidden="1" x14ac:dyDescent="0.3">
      <c r="A305" t="s">
        <v>6073</v>
      </c>
      <c r="B305" t="s">
        <v>6073</v>
      </c>
      <c r="C305" t="s">
        <v>2674</v>
      </c>
      <c r="D305" t="s">
        <v>144</v>
      </c>
      <c r="E305" t="s">
        <v>6</v>
      </c>
      <c r="F305" t="s">
        <v>5729</v>
      </c>
      <c r="G305" s="1" t="s">
        <v>5730</v>
      </c>
      <c r="H305" s="1" t="s">
        <v>1856</v>
      </c>
    </row>
    <row r="306" spans="1:8" hidden="1" x14ac:dyDescent="0.3">
      <c r="A306" t="s">
        <v>6074</v>
      </c>
      <c r="B306" t="s">
        <v>6074</v>
      </c>
      <c r="C306" t="s">
        <v>2328</v>
      </c>
      <c r="D306" t="s">
        <v>144</v>
      </c>
      <c r="E306" t="s">
        <v>6</v>
      </c>
      <c r="F306" t="s">
        <v>5781</v>
      </c>
      <c r="G306" s="1" t="s">
        <v>5730</v>
      </c>
      <c r="H306" s="1" t="s">
        <v>1856</v>
      </c>
    </row>
    <row r="307" spans="1:8" hidden="1" x14ac:dyDescent="0.3">
      <c r="A307" t="s">
        <v>6075</v>
      </c>
      <c r="B307" t="s">
        <v>6075</v>
      </c>
      <c r="C307" t="s">
        <v>2680</v>
      </c>
      <c r="D307" t="s">
        <v>144</v>
      </c>
      <c r="E307" t="s">
        <v>6</v>
      </c>
      <c r="F307" t="s">
        <v>5729</v>
      </c>
      <c r="G307" s="1" t="s">
        <v>5730</v>
      </c>
      <c r="H307" s="1" t="s">
        <v>1874</v>
      </c>
    </row>
    <row r="308" spans="1:8" hidden="1" x14ac:dyDescent="0.3">
      <c r="A308" t="s">
        <v>6076</v>
      </c>
      <c r="B308" t="s">
        <v>6076</v>
      </c>
      <c r="C308" t="s">
        <v>2158</v>
      </c>
      <c r="D308" t="s">
        <v>144</v>
      </c>
      <c r="E308" t="s">
        <v>6</v>
      </c>
      <c r="F308" t="s">
        <v>5734</v>
      </c>
      <c r="G308" s="1" t="s">
        <v>5730</v>
      </c>
      <c r="H308" s="1" t="s">
        <v>1874</v>
      </c>
    </row>
    <row r="309" spans="1:8" hidden="1" x14ac:dyDescent="0.3">
      <c r="A309" t="s">
        <v>6077</v>
      </c>
      <c r="B309" t="s">
        <v>6077</v>
      </c>
      <c r="C309" t="s">
        <v>6078</v>
      </c>
      <c r="D309" t="s">
        <v>144</v>
      </c>
      <c r="E309" t="s">
        <v>6</v>
      </c>
      <c r="F309" t="s">
        <v>5729</v>
      </c>
      <c r="G309" s="1" t="s">
        <v>5730</v>
      </c>
      <c r="H309" s="1" t="s">
        <v>1927</v>
      </c>
    </row>
    <row r="310" spans="1:8" hidden="1" x14ac:dyDescent="0.3">
      <c r="A310" t="s">
        <v>6079</v>
      </c>
      <c r="B310" t="s">
        <v>6079</v>
      </c>
      <c r="C310" t="s">
        <v>179</v>
      </c>
      <c r="D310" t="s">
        <v>6080</v>
      </c>
      <c r="E310" t="s">
        <v>6</v>
      </c>
      <c r="F310" t="s">
        <v>5729</v>
      </c>
      <c r="G310" s="1" t="s">
        <v>5730</v>
      </c>
      <c r="H310" s="1" t="s">
        <v>1923</v>
      </c>
    </row>
    <row r="311" spans="1:8" hidden="1" x14ac:dyDescent="0.3">
      <c r="A311" t="s">
        <v>6081</v>
      </c>
      <c r="B311" t="s">
        <v>6081</v>
      </c>
      <c r="C311" t="s">
        <v>6082</v>
      </c>
      <c r="D311" t="s">
        <v>6080</v>
      </c>
      <c r="E311" t="s">
        <v>6</v>
      </c>
      <c r="F311" t="s">
        <v>5734</v>
      </c>
      <c r="G311" s="1" t="s">
        <v>5730</v>
      </c>
      <c r="H311" s="1" t="s">
        <v>1856</v>
      </c>
    </row>
    <row r="312" spans="1:8" hidden="1" x14ac:dyDescent="0.3">
      <c r="A312" t="s">
        <v>6083</v>
      </c>
      <c r="B312" t="s">
        <v>6083</v>
      </c>
      <c r="C312" t="s">
        <v>325</v>
      </c>
      <c r="D312" t="s">
        <v>6080</v>
      </c>
      <c r="E312" t="s">
        <v>6</v>
      </c>
      <c r="F312" t="s">
        <v>5734</v>
      </c>
      <c r="G312" s="1" t="s">
        <v>5730</v>
      </c>
      <c r="H312" s="1" t="s">
        <v>1856</v>
      </c>
    </row>
    <row r="313" spans="1:8" hidden="1" x14ac:dyDescent="0.3">
      <c r="A313" t="s">
        <v>6084</v>
      </c>
      <c r="B313" t="s">
        <v>6084</v>
      </c>
      <c r="C313" t="s">
        <v>398</v>
      </c>
      <c r="D313" t="s">
        <v>6080</v>
      </c>
      <c r="E313" t="s">
        <v>6</v>
      </c>
      <c r="F313" t="s">
        <v>5781</v>
      </c>
      <c r="G313" s="1" t="s">
        <v>5730</v>
      </c>
      <c r="H313" s="1" t="s">
        <v>1856</v>
      </c>
    </row>
    <row r="314" spans="1:8" hidden="1" x14ac:dyDescent="0.3">
      <c r="A314" t="s">
        <v>6085</v>
      </c>
      <c r="B314" t="s">
        <v>6085</v>
      </c>
      <c r="C314" t="s">
        <v>482</v>
      </c>
      <c r="D314" t="s">
        <v>6080</v>
      </c>
      <c r="E314" t="s">
        <v>6</v>
      </c>
      <c r="F314" t="s">
        <v>5781</v>
      </c>
      <c r="G314" s="1" t="s">
        <v>5730</v>
      </c>
      <c r="H314" s="1" t="s">
        <v>1856</v>
      </c>
    </row>
    <row r="315" spans="1:8" hidden="1" x14ac:dyDescent="0.3">
      <c r="A315" t="s">
        <v>6086</v>
      </c>
      <c r="B315" t="s">
        <v>6086</v>
      </c>
      <c r="C315" t="s">
        <v>610</v>
      </c>
      <c r="D315" t="s">
        <v>6080</v>
      </c>
      <c r="E315" t="s">
        <v>6</v>
      </c>
      <c r="F315" t="s">
        <v>5734</v>
      </c>
      <c r="G315" s="1" t="s">
        <v>5730</v>
      </c>
      <c r="H315" s="1" t="s">
        <v>1856</v>
      </c>
    </row>
    <row r="316" spans="1:8" hidden="1" x14ac:dyDescent="0.3">
      <c r="A316" t="s">
        <v>6087</v>
      </c>
      <c r="B316" t="s">
        <v>6087</v>
      </c>
      <c r="C316" t="s">
        <v>1901</v>
      </c>
      <c r="D316" t="s">
        <v>6080</v>
      </c>
      <c r="E316" t="s">
        <v>6</v>
      </c>
      <c r="F316" t="s">
        <v>5781</v>
      </c>
      <c r="G316" s="1" t="s">
        <v>5730</v>
      </c>
      <c r="H316" s="1" t="s">
        <v>1856</v>
      </c>
    </row>
    <row r="317" spans="1:8" hidden="1" x14ac:dyDescent="0.3">
      <c r="A317" t="s">
        <v>6088</v>
      </c>
      <c r="B317" t="s">
        <v>6088</v>
      </c>
      <c r="C317" t="s">
        <v>740</v>
      </c>
      <c r="D317" t="s">
        <v>6080</v>
      </c>
      <c r="E317" t="s">
        <v>6</v>
      </c>
      <c r="F317" t="s">
        <v>5729</v>
      </c>
      <c r="G317" s="1" t="s">
        <v>5730</v>
      </c>
      <c r="H317" s="1" t="s">
        <v>1856</v>
      </c>
    </row>
    <row r="318" spans="1:8" hidden="1" x14ac:dyDescent="0.3">
      <c r="A318" t="s">
        <v>6089</v>
      </c>
      <c r="B318" t="s">
        <v>6089</v>
      </c>
      <c r="C318" t="s">
        <v>802</v>
      </c>
      <c r="D318" t="s">
        <v>6080</v>
      </c>
      <c r="E318" t="s">
        <v>6</v>
      </c>
      <c r="F318" t="s">
        <v>5734</v>
      </c>
      <c r="G318" s="1" t="s">
        <v>5730</v>
      </c>
      <c r="H318" s="1" t="s">
        <v>1856</v>
      </c>
    </row>
    <row r="319" spans="1:8" hidden="1" x14ac:dyDescent="0.3">
      <c r="A319" t="s">
        <v>6090</v>
      </c>
      <c r="B319" t="s">
        <v>6090</v>
      </c>
      <c r="C319" t="s">
        <v>859</v>
      </c>
      <c r="D319" t="s">
        <v>6080</v>
      </c>
      <c r="E319" t="s">
        <v>6</v>
      </c>
      <c r="F319" t="s">
        <v>5729</v>
      </c>
      <c r="G319" s="1" t="s">
        <v>5730</v>
      </c>
      <c r="H319" s="1" t="s">
        <v>1856</v>
      </c>
    </row>
    <row r="320" spans="1:8" hidden="1" x14ac:dyDescent="0.3">
      <c r="A320" t="s">
        <v>6091</v>
      </c>
      <c r="B320" t="s">
        <v>6091</v>
      </c>
      <c r="C320" t="s">
        <v>915</v>
      </c>
      <c r="D320" t="s">
        <v>6080</v>
      </c>
      <c r="E320" t="s">
        <v>6</v>
      </c>
      <c r="F320" t="s">
        <v>5729</v>
      </c>
      <c r="G320" s="1" t="s">
        <v>5730</v>
      </c>
      <c r="H320" s="1" t="s">
        <v>1927</v>
      </c>
    </row>
    <row r="321" spans="1:8" hidden="1" x14ac:dyDescent="0.3">
      <c r="A321" t="s">
        <v>6092</v>
      </c>
      <c r="B321" t="s">
        <v>6092</v>
      </c>
      <c r="C321" t="s">
        <v>967</v>
      </c>
      <c r="D321" t="s">
        <v>6080</v>
      </c>
      <c r="E321" t="s">
        <v>6</v>
      </c>
      <c r="F321" t="s">
        <v>5729</v>
      </c>
      <c r="G321" s="1" t="s">
        <v>5730</v>
      </c>
      <c r="H321" s="1" t="s">
        <v>1923</v>
      </c>
    </row>
    <row r="322" spans="1:8" hidden="1" x14ac:dyDescent="0.3">
      <c r="A322" t="s">
        <v>6093</v>
      </c>
      <c r="B322" t="s">
        <v>6093</v>
      </c>
      <c r="C322" t="s">
        <v>2713</v>
      </c>
      <c r="D322" t="s">
        <v>6080</v>
      </c>
      <c r="E322" t="s">
        <v>6</v>
      </c>
      <c r="F322" t="s">
        <v>5729</v>
      </c>
      <c r="G322" s="1" t="s">
        <v>5730</v>
      </c>
      <c r="H322" s="1" t="s">
        <v>1923</v>
      </c>
    </row>
    <row r="323" spans="1:8" hidden="1" x14ac:dyDescent="0.3">
      <c r="A323" t="s">
        <v>6094</v>
      </c>
      <c r="B323" t="s">
        <v>6094</v>
      </c>
      <c r="C323" t="s">
        <v>2240</v>
      </c>
      <c r="D323" t="s">
        <v>6080</v>
      </c>
      <c r="E323" t="s">
        <v>6</v>
      </c>
      <c r="F323" t="s">
        <v>5729</v>
      </c>
      <c r="G323" s="1" t="s">
        <v>5730</v>
      </c>
      <c r="H323" s="1" t="s">
        <v>1856</v>
      </c>
    </row>
    <row r="324" spans="1:8" hidden="1" x14ac:dyDescent="0.3">
      <c r="A324" t="s">
        <v>6095</v>
      </c>
      <c r="B324" t="s">
        <v>6095</v>
      </c>
      <c r="C324" t="s">
        <v>2718</v>
      </c>
      <c r="D324" t="s">
        <v>6080</v>
      </c>
      <c r="E324" t="s">
        <v>6</v>
      </c>
      <c r="F324" t="s">
        <v>5729</v>
      </c>
      <c r="G324" s="1" t="s">
        <v>5730</v>
      </c>
      <c r="H324" s="1" t="s">
        <v>1856</v>
      </c>
    </row>
    <row r="325" spans="1:8" hidden="1" x14ac:dyDescent="0.3">
      <c r="A325" t="s">
        <v>6096</v>
      </c>
      <c r="B325" t="s">
        <v>6096</v>
      </c>
      <c r="C325" t="s">
        <v>6097</v>
      </c>
      <c r="D325" t="s">
        <v>6080</v>
      </c>
      <c r="E325" t="s">
        <v>6</v>
      </c>
      <c r="F325" t="s">
        <v>5747</v>
      </c>
      <c r="G325" s="1" t="s">
        <v>1961</v>
      </c>
      <c r="H325" s="1" t="s">
        <v>1856</v>
      </c>
    </row>
    <row r="326" spans="1:8" hidden="1" x14ac:dyDescent="0.3">
      <c r="A326" t="s">
        <v>6098</v>
      </c>
      <c r="B326" t="s">
        <v>6098</v>
      </c>
      <c r="C326" t="s">
        <v>1064</v>
      </c>
      <c r="D326" t="s">
        <v>6080</v>
      </c>
      <c r="E326" t="s">
        <v>6</v>
      </c>
      <c r="F326" t="s">
        <v>5734</v>
      </c>
      <c r="G326" s="1" t="s">
        <v>5730</v>
      </c>
      <c r="H326" s="1" t="s">
        <v>1856</v>
      </c>
    </row>
    <row r="327" spans="1:8" hidden="1" x14ac:dyDescent="0.3">
      <c r="A327" t="s">
        <v>6099</v>
      </c>
      <c r="B327" t="s">
        <v>6099</v>
      </c>
      <c r="C327" t="s">
        <v>6100</v>
      </c>
      <c r="D327" t="s">
        <v>6080</v>
      </c>
      <c r="E327" t="s">
        <v>6</v>
      </c>
      <c r="F327" t="s">
        <v>5781</v>
      </c>
      <c r="G327" s="1" t="s">
        <v>5730</v>
      </c>
      <c r="H327" s="1" t="s">
        <v>1856</v>
      </c>
    </row>
    <row r="328" spans="1:8" hidden="1" x14ac:dyDescent="0.3">
      <c r="A328" t="s">
        <v>6101</v>
      </c>
      <c r="B328" t="s">
        <v>6101</v>
      </c>
      <c r="C328" t="s">
        <v>180</v>
      </c>
      <c r="D328" t="s">
        <v>158</v>
      </c>
      <c r="E328" t="s">
        <v>6</v>
      </c>
      <c r="F328" t="s">
        <v>5734</v>
      </c>
      <c r="G328" s="1" t="s">
        <v>5730</v>
      </c>
      <c r="H328" s="1" t="s">
        <v>1856</v>
      </c>
    </row>
    <row r="329" spans="1:8" hidden="1" x14ac:dyDescent="0.3">
      <c r="A329" t="s">
        <v>6102</v>
      </c>
      <c r="B329" t="s">
        <v>6102</v>
      </c>
      <c r="C329" t="s">
        <v>6103</v>
      </c>
      <c r="D329" t="s">
        <v>158</v>
      </c>
      <c r="E329" t="s">
        <v>6</v>
      </c>
      <c r="F329" t="s">
        <v>5729</v>
      </c>
      <c r="G329" s="1" t="s">
        <v>5730</v>
      </c>
      <c r="H329" s="1" t="s">
        <v>1874</v>
      </c>
    </row>
    <row r="330" spans="1:8" hidden="1" x14ac:dyDescent="0.3">
      <c r="A330" t="s">
        <v>6104</v>
      </c>
      <c r="B330" t="s">
        <v>6104</v>
      </c>
      <c r="C330" t="s">
        <v>326</v>
      </c>
      <c r="D330" t="s">
        <v>158</v>
      </c>
      <c r="E330" t="s">
        <v>6</v>
      </c>
      <c r="F330" t="s">
        <v>5734</v>
      </c>
      <c r="G330" s="1" t="s">
        <v>5730</v>
      </c>
      <c r="H330" s="1" t="s">
        <v>1856</v>
      </c>
    </row>
    <row r="331" spans="1:8" hidden="1" x14ac:dyDescent="0.3">
      <c r="A331" t="s">
        <v>6105</v>
      </c>
      <c r="B331" t="s">
        <v>6105</v>
      </c>
      <c r="C331" t="s">
        <v>399</v>
      </c>
      <c r="D331" t="s">
        <v>158</v>
      </c>
      <c r="E331" t="s">
        <v>6</v>
      </c>
      <c r="F331" t="s">
        <v>5729</v>
      </c>
      <c r="G331" s="1" t="s">
        <v>5730</v>
      </c>
      <c r="H331" s="1" t="s">
        <v>1856</v>
      </c>
    </row>
    <row r="332" spans="1:8" hidden="1" x14ac:dyDescent="0.3">
      <c r="A332" t="s">
        <v>6106</v>
      </c>
      <c r="B332" t="s">
        <v>6106</v>
      </c>
      <c r="C332" t="s">
        <v>6107</v>
      </c>
      <c r="D332" t="s">
        <v>158</v>
      </c>
      <c r="E332" t="s">
        <v>6</v>
      </c>
      <c r="F332" t="s">
        <v>5734</v>
      </c>
      <c r="G332" s="1" t="s">
        <v>5730</v>
      </c>
      <c r="H332" s="1" t="s">
        <v>1856</v>
      </c>
    </row>
    <row r="333" spans="1:8" hidden="1" x14ac:dyDescent="0.3">
      <c r="A333" t="s">
        <v>6108</v>
      </c>
      <c r="B333" t="s">
        <v>6108</v>
      </c>
      <c r="C333" t="s">
        <v>611</v>
      </c>
      <c r="D333" t="s">
        <v>158</v>
      </c>
      <c r="E333" t="s">
        <v>6</v>
      </c>
      <c r="F333" t="s">
        <v>5729</v>
      </c>
      <c r="G333" s="1" t="s">
        <v>5730</v>
      </c>
      <c r="H333" s="1" t="s">
        <v>1856</v>
      </c>
    </row>
    <row r="334" spans="1:8" hidden="1" x14ac:dyDescent="0.3">
      <c r="A334" t="s">
        <v>6109</v>
      </c>
      <c r="B334" t="s">
        <v>6109</v>
      </c>
      <c r="C334" t="s">
        <v>6110</v>
      </c>
      <c r="D334" t="s">
        <v>158</v>
      </c>
      <c r="E334" t="s">
        <v>6</v>
      </c>
      <c r="F334" t="s">
        <v>5747</v>
      </c>
      <c r="G334" s="1" t="s">
        <v>1855</v>
      </c>
      <c r="H334" s="1" t="s">
        <v>1856</v>
      </c>
    </row>
    <row r="335" spans="1:8" hidden="1" x14ac:dyDescent="0.3">
      <c r="A335" t="s">
        <v>6111</v>
      </c>
      <c r="B335" t="s">
        <v>6111</v>
      </c>
      <c r="C335" t="s">
        <v>677</v>
      </c>
      <c r="D335" t="s">
        <v>158</v>
      </c>
      <c r="E335" t="s">
        <v>6</v>
      </c>
      <c r="F335" t="s">
        <v>5729</v>
      </c>
      <c r="G335" s="1" t="s">
        <v>5730</v>
      </c>
      <c r="H335" s="1" t="s">
        <v>1856</v>
      </c>
    </row>
    <row r="336" spans="1:8" hidden="1" x14ac:dyDescent="0.3">
      <c r="A336" t="s">
        <v>6112</v>
      </c>
      <c r="B336" t="s">
        <v>6112</v>
      </c>
      <c r="C336" t="s">
        <v>2618</v>
      </c>
      <c r="D336" t="s">
        <v>158</v>
      </c>
      <c r="E336" t="s">
        <v>6</v>
      </c>
      <c r="F336" t="s">
        <v>5734</v>
      </c>
      <c r="G336" s="1" t="s">
        <v>5730</v>
      </c>
      <c r="H336" s="1" t="s">
        <v>1856</v>
      </c>
    </row>
    <row r="337" spans="1:8" hidden="1" x14ac:dyDescent="0.3">
      <c r="A337" t="s">
        <v>6113</v>
      </c>
      <c r="B337" t="s">
        <v>6113</v>
      </c>
      <c r="C337" t="s">
        <v>2744</v>
      </c>
      <c r="D337" t="s">
        <v>158</v>
      </c>
      <c r="E337" t="s">
        <v>6</v>
      </c>
      <c r="F337" t="s">
        <v>5729</v>
      </c>
      <c r="G337" s="1" t="s">
        <v>5730</v>
      </c>
      <c r="H337" s="1" t="s">
        <v>1927</v>
      </c>
    </row>
    <row r="338" spans="1:8" hidden="1" x14ac:dyDescent="0.3">
      <c r="A338" t="s">
        <v>6114</v>
      </c>
      <c r="B338" t="s">
        <v>6114</v>
      </c>
      <c r="C338" t="s">
        <v>2747</v>
      </c>
      <c r="D338" t="s">
        <v>158</v>
      </c>
      <c r="E338" t="s">
        <v>6</v>
      </c>
      <c r="F338" t="s">
        <v>5729</v>
      </c>
      <c r="G338" s="1" t="s">
        <v>5730</v>
      </c>
      <c r="H338" s="1" t="s">
        <v>1856</v>
      </c>
    </row>
    <row r="339" spans="1:8" hidden="1" x14ac:dyDescent="0.3">
      <c r="A339" t="s">
        <v>6115</v>
      </c>
      <c r="B339" t="s">
        <v>6115</v>
      </c>
      <c r="C339" t="s">
        <v>2750</v>
      </c>
      <c r="D339" t="s">
        <v>158</v>
      </c>
      <c r="E339" t="s">
        <v>6</v>
      </c>
      <c r="F339" t="s">
        <v>5729</v>
      </c>
      <c r="G339" s="1" t="s">
        <v>5730</v>
      </c>
      <c r="H339" s="1" t="s">
        <v>1927</v>
      </c>
    </row>
    <row r="340" spans="1:8" hidden="1" x14ac:dyDescent="0.3">
      <c r="A340" t="s">
        <v>6116</v>
      </c>
      <c r="B340" t="s">
        <v>6116</v>
      </c>
      <c r="C340" t="s">
        <v>2096</v>
      </c>
      <c r="D340" t="s">
        <v>158</v>
      </c>
      <c r="E340" t="s">
        <v>6</v>
      </c>
      <c r="F340" t="s">
        <v>5734</v>
      </c>
      <c r="G340" s="1" t="s">
        <v>5730</v>
      </c>
      <c r="H340" s="1" t="s">
        <v>1856</v>
      </c>
    </row>
    <row r="341" spans="1:8" hidden="1" x14ac:dyDescent="0.3">
      <c r="A341" t="s">
        <v>6117</v>
      </c>
      <c r="B341" t="s">
        <v>6117</v>
      </c>
      <c r="C341" t="s">
        <v>1013</v>
      </c>
      <c r="D341" t="s">
        <v>158</v>
      </c>
      <c r="E341" t="s">
        <v>6</v>
      </c>
      <c r="F341" t="s">
        <v>5734</v>
      </c>
      <c r="G341" s="1" t="s">
        <v>5730</v>
      </c>
      <c r="H341" s="1" t="s">
        <v>1856</v>
      </c>
    </row>
    <row r="342" spans="1:8" hidden="1" x14ac:dyDescent="0.3">
      <c r="A342" t="s">
        <v>6118</v>
      </c>
      <c r="B342" t="s">
        <v>6118</v>
      </c>
      <c r="C342" t="s">
        <v>6119</v>
      </c>
      <c r="D342" t="s">
        <v>81</v>
      </c>
      <c r="E342" t="s">
        <v>6</v>
      </c>
      <c r="F342" t="s">
        <v>5734</v>
      </c>
      <c r="G342" s="1" t="s">
        <v>5730</v>
      </c>
      <c r="H342" s="1" t="s">
        <v>1856</v>
      </c>
    </row>
    <row r="343" spans="1:8" hidden="1" x14ac:dyDescent="0.3">
      <c r="A343" t="s">
        <v>6120</v>
      </c>
      <c r="B343" t="s">
        <v>6120</v>
      </c>
      <c r="C343" t="s">
        <v>256</v>
      </c>
      <c r="D343" t="s">
        <v>81</v>
      </c>
      <c r="E343" t="s">
        <v>6</v>
      </c>
      <c r="F343" t="s">
        <v>5729</v>
      </c>
      <c r="G343" s="1" t="s">
        <v>5730</v>
      </c>
      <c r="H343" s="1" t="s">
        <v>1856</v>
      </c>
    </row>
    <row r="344" spans="1:8" hidden="1" x14ac:dyDescent="0.3">
      <c r="A344" t="s">
        <v>6121</v>
      </c>
      <c r="B344" t="s">
        <v>6121</v>
      </c>
      <c r="C344" t="s">
        <v>327</v>
      </c>
      <c r="D344" t="s">
        <v>81</v>
      </c>
      <c r="E344" t="s">
        <v>6</v>
      </c>
      <c r="F344" t="s">
        <v>5729</v>
      </c>
      <c r="G344" s="1" t="s">
        <v>5730</v>
      </c>
      <c r="H344" s="1" t="s">
        <v>1874</v>
      </c>
    </row>
    <row r="345" spans="1:8" hidden="1" x14ac:dyDescent="0.3">
      <c r="A345" t="s">
        <v>6122</v>
      </c>
      <c r="B345" t="s">
        <v>6122</v>
      </c>
      <c r="C345" t="s">
        <v>400</v>
      </c>
      <c r="D345" t="s">
        <v>81</v>
      </c>
      <c r="E345" t="s">
        <v>6</v>
      </c>
      <c r="F345" t="s">
        <v>5729</v>
      </c>
      <c r="G345" s="1" t="s">
        <v>5730</v>
      </c>
      <c r="H345" s="1" t="s">
        <v>1927</v>
      </c>
    </row>
    <row r="346" spans="1:8" hidden="1" x14ac:dyDescent="0.3">
      <c r="A346" t="s">
        <v>6123</v>
      </c>
      <c r="B346" t="s">
        <v>6123</v>
      </c>
      <c r="C346" t="s">
        <v>472</v>
      </c>
      <c r="D346" t="s">
        <v>81</v>
      </c>
      <c r="E346" t="s">
        <v>6</v>
      </c>
      <c r="F346" t="s">
        <v>5729</v>
      </c>
      <c r="G346" s="1" t="s">
        <v>5730</v>
      </c>
      <c r="H346" s="1" t="s">
        <v>1874</v>
      </c>
    </row>
    <row r="347" spans="1:8" hidden="1" x14ac:dyDescent="0.3">
      <c r="A347" t="s">
        <v>6124</v>
      </c>
      <c r="B347" t="s">
        <v>6124</v>
      </c>
      <c r="C347" t="s">
        <v>544</v>
      </c>
      <c r="D347" t="s">
        <v>81</v>
      </c>
      <c r="E347" t="s">
        <v>6</v>
      </c>
      <c r="F347" t="s">
        <v>5729</v>
      </c>
      <c r="G347" s="1" t="s">
        <v>5730</v>
      </c>
      <c r="H347" s="1" t="s">
        <v>1856</v>
      </c>
    </row>
    <row r="348" spans="1:8" hidden="1" x14ac:dyDescent="0.3">
      <c r="A348" t="s">
        <v>6125</v>
      </c>
      <c r="B348" t="s">
        <v>6125</v>
      </c>
      <c r="C348" t="s">
        <v>2769</v>
      </c>
      <c r="D348" t="s">
        <v>81</v>
      </c>
      <c r="E348" t="s">
        <v>6</v>
      </c>
      <c r="F348" t="s">
        <v>5729</v>
      </c>
      <c r="G348" s="1" t="s">
        <v>5730</v>
      </c>
      <c r="H348" s="1" t="s">
        <v>1856</v>
      </c>
    </row>
    <row r="349" spans="1:8" hidden="1" x14ac:dyDescent="0.3">
      <c r="A349" t="s">
        <v>6126</v>
      </c>
      <c r="B349" t="s">
        <v>6126</v>
      </c>
      <c r="C349" t="s">
        <v>2671</v>
      </c>
      <c r="D349" t="s">
        <v>81</v>
      </c>
      <c r="E349" t="s">
        <v>6</v>
      </c>
      <c r="F349" t="s">
        <v>5729</v>
      </c>
      <c r="G349" s="1" t="s">
        <v>5730</v>
      </c>
      <c r="H349" s="1" t="s">
        <v>1856</v>
      </c>
    </row>
    <row r="350" spans="1:8" hidden="1" x14ac:dyDescent="0.3">
      <c r="A350" t="s">
        <v>6127</v>
      </c>
      <c r="B350" t="s">
        <v>6127</v>
      </c>
      <c r="C350" t="s">
        <v>182</v>
      </c>
      <c r="D350" t="s">
        <v>82</v>
      </c>
      <c r="E350" t="s">
        <v>7</v>
      </c>
      <c r="F350" t="s">
        <v>5729</v>
      </c>
      <c r="G350" s="1" t="s">
        <v>5730</v>
      </c>
      <c r="H350" s="1" t="s">
        <v>1874</v>
      </c>
    </row>
    <row r="351" spans="1:8" hidden="1" x14ac:dyDescent="0.3">
      <c r="A351" t="s">
        <v>6128</v>
      </c>
      <c r="B351" t="s">
        <v>6128</v>
      </c>
      <c r="C351" t="s">
        <v>257</v>
      </c>
      <c r="D351" t="s">
        <v>82</v>
      </c>
      <c r="E351" t="s">
        <v>7</v>
      </c>
      <c r="F351" t="s">
        <v>5729</v>
      </c>
      <c r="G351" s="1" t="s">
        <v>5730</v>
      </c>
      <c r="H351" s="1" t="s">
        <v>1923</v>
      </c>
    </row>
    <row r="352" spans="1:8" hidden="1" x14ac:dyDescent="0.3">
      <c r="A352" t="s">
        <v>6129</v>
      </c>
      <c r="B352" t="s">
        <v>6129</v>
      </c>
      <c r="C352" t="s">
        <v>328</v>
      </c>
      <c r="D352" t="s">
        <v>82</v>
      </c>
      <c r="E352" t="s">
        <v>7</v>
      </c>
      <c r="F352" t="s">
        <v>5734</v>
      </c>
      <c r="G352" s="1" t="s">
        <v>5730</v>
      </c>
      <c r="H352" s="1" t="s">
        <v>1856</v>
      </c>
    </row>
    <row r="353" spans="1:8" hidden="1" x14ac:dyDescent="0.3">
      <c r="A353" t="s">
        <v>6130</v>
      </c>
      <c r="B353" t="s">
        <v>6130</v>
      </c>
      <c r="C353" t="s">
        <v>271</v>
      </c>
      <c r="D353" t="s">
        <v>82</v>
      </c>
      <c r="E353" t="s">
        <v>7</v>
      </c>
      <c r="F353" t="s">
        <v>5729</v>
      </c>
      <c r="G353" s="1" t="s">
        <v>5730</v>
      </c>
      <c r="H353" s="1" t="s">
        <v>1923</v>
      </c>
    </row>
    <row r="354" spans="1:8" hidden="1" x14ac:dyDescent="0.3">
      <c r="A354" t="s">
        <v>6131</v>
      </c>
      <c r="B354" t="s">
        <v>6131</v>
      </c>
      <c r="C354" t="s">
        <v>6132</v>
      </c>
      <c r="D354" t="s">
        <v>82</v>
      </c>
      <c r="E354" t="s">
        <v>7</v>
      </c>
      <c r="F354" t="s">
        <v>5747</v>
      </c>
      <c r="G354" s="1" t="s">
        <v>1961</v>
      </c>
      <c r="H354" s="1" t="s">
        <v>1927</v>
      </c>
    </row>
    <row r="355" spans="1:8" hidden="1" x14ac:dyDescent="0.3">
      <c r="A355" t="s">
        <v>6133</v>
      </c>
      <c r="B355" t="s">
        <v>6133</v>
      </c>
      <c r="C355" t="s">
        <v>545</v>
      </c>
      <c r="D355" t="s">
        <v>82</v>
      </c>
      <c r="E355" t="s">
        <v>7</v>
      </c>
      <c r="F355" t="s">
        <v>5734</v>
      </c>
      <c r="G355" s="1" t="s">
        <v>5730</v>
      </c>
      <c r="H355" s="1" t="s">
        <v>1856</v>
      </c>
    </row>
    <row r="356" spans="1:8" hidden="1" x14ac:dyDescent="0.3">
      <c r="A356" t="s">
        <v>6134</v>
      </c>
      <c r="B356" t="s">
        <v>6134</v>
      </c>
      <c r="C356" t="s">
        <v>6135</v>
      </c>
      <c r="D356" t="s">
        <v>82</v>
      </c>
      <c r="E356" t="s">
        <v>7</v>
      </c>
      <c r="F356" t="s">
        <v>5734</v>
      </c>
      <c r="G356" s="1" t="s">
        <v>5730</v>
      </c>
      <c r="H356" s="1" t="s">
        <v>1856</v>
      </c>
    </row>
    <row r="357" spans="1:8" hidden="1" x14ac:dyDescent="0.3">
      <c r="A357" t="s">
        <v>6136</v>
      </c>
      <c r="B357" t="s">
        <v>6136</v>
      </c>
      <c r="C357" t="s">
        <v>613</v>
      </c>
      <c r="D357" t="s">
        <v>82</v>
      </c>
      <c r="E357" t="s">
        <v>7</v>
      </c>
      <c r="F357" t="s">
        <v>5734</v>
      </c>
      <c r="G357" s="1" t="s">
        <v>5730</v>
      </c>
      <c r="H357" s="1" t="s">
        <v>1856</v>
      </c>
    </row>
    <row r="358" spans="1:8" hidden="1" x14ac:dyDescent="0.3">
      <c r="A358" t="s">
        <v>6137</v>
      </c>
      <c r="B358" t="s">
        <v>6137</v>
      </c>
      <c r="C358" t="s">
        <v>917</v>
      </c>
      <c r="D358" t="s">
        <v>82</v>
      </c>
      <c r="E358" t="s">
        <v>7</v>
      </c>
      <c r="F358" t="s">
        <v>5729</v>
      </c>
      <c r="G358" s="1" t="s">
        <v>5730</v>
      </c>
      <c r="H358" s="1" t="s">
        <v>1874</v>
      </c>
    </row>
    <row r="359" spans="1:8" hidden="1" x14ac:dyDescent="0.3">
      <c r="A359" t="s">
        <v>6138</v>
      </c>
      <c r="B359" t="s">
        <v>6138</v>
      </c>
      <c r="C359" t="s">
        <v>968</v>
      </c>
      <c r="D359" t="s">
        <v>82</v>
      </c>
      <c r="E359" t="s">
        <v>7</v>
      </c>
      <c r="F359" t="s">
        <v>5729</v>
      </c>
      <c r="G359" s="1" t="s">
        <v>5730</v>
      </c>
      <c r="H359" s="1" t="s">
        <v>1856</v>
      </c>
    </row>
    <row r="360" spans="1:8" hidden="1" x14ac:dyDescent="0.3">
      <c r="A360" t="s">
        <v>6139</v>
      </c>
      <c r="B360" t="s">
        <v>6139</v>
      </c>
      <c r="C360" t="s">
        <v>1014</v>
      </c>
      <c r="D360" t="s">
        <v>82</v>
      </c>
      <c r="E360" t="s">
        <v>7</v>
      </c>
      <c r="F360" t="s">
        <v>5729</v>
      </c>
      <c r="G360" s="1" t="s">
        <v>5730</v>
      </c>
      <c r="H360" s="1" t="s">
        <v>1874</v>
      </c>
    </row>
    <row r="361" spans="1:8" hidden="1" x14ac:dyDescent="0.3">
      <c r="A361" t="s">
        <v>6140</v>
      </c>
      <c r="B361" t="s">
        <v>6140</v>
      </c>
      <c r="C361" t="s">
        <v>1061</v>
      </c>
      <c r="D361" t="s">
        <v>82</v>
      </c>
      <c r="E361" t="s">
        <v>7</v>
      </c>
      <c r="F361" t="s">
        <v>5734</v>
      </c>
      <c r="G361" s="1" t="s">
        <v>5730</v>
      </c>
      <c r="H361" s="1" t="s">
        <v>1856</v>
      </c>
    </row>
    <row r="362" spans="1:8" hidden="1" x14ac:dyDescent="0.3">
      <c r="A362" t="s">
        <v>6141</v>
      </c>
      <c r="B362" t="s">
        <v>6141</v>
      </c>
      <c r="C362" t="s">
        <v>1099</v>
      </c>
      <c r="D362" t="s">
        <v>82</v>
      </c>
      <c r="E362" t="s">
        <v>7</v>
      </c>
      <c r="F362" t="s">
        <v>5729</v>
      </c>
      <c r="G362" s="1" t="s">
        <v>5730</v>
      </c>
      <c r="H362" s="1" t="s">
        <v>1856</v>
      </c>
    </row>
    <row r="363" spans="1:8" hidden="1" x14ac:dyDescent="0.3">
      <c r="A363" t="s">
        <v>6142</v>
      </c>
      <c r="B363" t="s">
        <v>6142</v>
      </c>
      <c r="C363" t="s">
        <v>6143</v>
      </c>
      <c r="D363" t="s">
        <v>82</v>
      </c>
      <c r="E363" t="s">
        <v>7</v>
      </c>
      <c r="F363" t="s">
        <v>5729</v>
      </c>
      <c r="G363" s="1" t="s">
        <v>1961</v>
      </c>
      <c r="H363" s="1" t="s">
        <v>1856</v>
      </c>
    </row>
    <row r="364" spans="1:8" hidden="1" x14ac:dyDescent="0.3">
      <c r="A364" t="s">
        <v>6144</v>
      </c>
      <c r="B364" t="s">
        <v>6144</v>
      </c>
      <c r="C364" t="s">
        <v>1136</v>
      </c>
      <c r="D364" t="s">
        <v>82</v>
      </c>
      <c r="E364" t="s">
        <v>7</v>
      </c>
      <c r="F364" t="s">
        <v>5729</v>
      </c>
      <c r="G364" s="1" t="s">
        <v>5730</v>
      </c>
      <c r="H364" s="1" t="s">
        <v>1856</v>
      </c>
    </row>
    <row r="365" spans="1:8" hidden="1" x14ac:dyDescent="0.3">
      <c r="A365" t="s">
        <v>6145</v>
      </c>
      <c r="B365" t="s">
        <v>6145</v>
      </c>
      <c r="C365" t="s">
        <v>369</v>
      </c>
      <c r="D365" t="s">
        <v>82</v>
      </c>
      <c r="E365" t="s">
        <v>7</v>
      </c>
      <c r="F365" t="s">
        <v>5729</v>
      </c>
      <c r="G365" s="1" t="s">
        <v>5730</v>
      </c>
      <c r="H365" s="1" t="s">
        <v>1856</v>
      </c>
    </row>
    <row r="366" spans="1:8" hidden="1" x14ac:dyDescent="0.3">
      <c r="A366" t="s">
        <v>6146</v>
      </c>
      <c r="B366" t="s">
        <v>6146</v>
      </c>
      <c r="C366" t="s">
        <v>1199</v>
      </c>
      <c r="D366" t="s">
        <v>82</v>
      </c>
      <c r="E366" t="s">
        <v>7</v>
      </c>
      <c r="F366" t="s">
        <v>5729</v>
      </c>
      <c r="G366" s="1" t="s">
        <v>5730</v>
      </c>
      <c r="H366" s="1" t="s">
        <v>1856</v>
      </c>
    </row>
    <row r="367" spans="1:8" hidden="1" x14ac:dyDescent="0.3">
      <c r="A367" t="s">
        <v>6147</v>
      </c>
      <c r="B367" t="s">
        <v>6147</v>
      </c>
      <c r="C367" t="s">
        <v>6148</v>
      </c>
      <c r="D367" t="s">
        <v>82</v>
      </c>
      <c r="E367" t="s">
        <v>7</v>
      </c>
      <c r="F367" t="s">
        <v>5729</v>
      </c>
      <c r="G367" s="1" t="s">
        <v>5730</v>
      </c>
      <c r="H367" s="1" t="s">
        <v>1927</v>
      </c>
    </row>
    <row r="368" spans="1:8" hidden="1" x14ac:dyDescent="0.3">
      <c r="A368" t="s">
        <v>6149</v>
      </c>
      <c r="B368" t="s">
        <v>6149</v>
      </c>
      <c r="C368" t="s">
        <v>1249</v>
      </c>
      <c r="D368" t="s">
        <v>82</v>
      </c>
      <c r="E368" t="s">
        <v>7</v>
      </c>
      <c r="F368" t="s">
        <v>5781</v>
      </c>
      <c r="G368" s="1" t="s">
        <v>5730</v>
      </c>
      <c r="H368" s="1" t="s">
        <v>1856</v>
      </c>
    </row>
    <row r="369" spans="1:8" hidden="1" x14ac:dyDescent="0.3">
      <c r="A369" t="s">
        <v>6150</v>
      </c>
      <c r="B369" t="s">
        <v>6150</v>
      </c>
      <c r="C369" t="s">
        <v>2823</v>
      </c>
      <c r="D369" t="s">
        <v>82</v>
      </c>
      <c r="E369" t="s">
        <v>7</v>
      </c>
      <c r="F369" t="s">
        <v>5729</v>
      </c>
      <c r="G369" s="1" t="s">
        <v>5730</v>
      </c>
      <c r="H369" s="1" t="s">
        <v>1856</v>
      </c>
    </row>
    <row r="370" spans="1:8" hidden="1" x14ac:dyDescent="0.3">
      <c r="A370" t="s">
        <v>6151</v>
      </c>
      <c r="B370" t="s">
        <v>6151</v>
      </c>
      <c r="C370" t="s">
        <v>656</v>
      </c>
      <c r="D370" t="s">
        <v>82</v>
      </c>
      <c r="E370" t="s">
        <v>7</v>
      </c>
      <c r="F370" t="s">
        <v>5734</v>
      </c>
      <c r="G370" s="1" t="s">
        <v>5730</v>
      </c>
      <c r="H370" s="1" t="s">
        <v>1856</v>
      </c>
    </row>
    <row r="371" spans="1:8" hidden="1" x14ac:dyDescent="0.3">
      <c r="A371" t="s">
        <v>6152</v>
      </c>
      <c r="B371" t="s">
        <v>6152</v>
      </c>
      <c r="C371" t="s">
        <v>1828</v>
      </c>
      <c r="D371" t="s">
        <v>82</v>
      </c>
      <c r="E371" t="s">
        <v>7</v>
      </c>
      <c r="F371" t="s">
        <v>5781</v>
      </c>
      <c r="G371" s="1" t="s">
        <v>5730</v>
      </c>
      <c r="H371" s="1" t="s">
        <v>1856</v>
      </c>
    </row>
    <row r="372" spans="1:8" hidden="1" x14ac:dyDescent="0.3">
      <c r="A372" t="s">
        <v>6153</v>
      </c>
      <c r="B372" t="s">
        <v>6153</v>
      </c>
      <c r="C372" t="s">
        <v>1842</v>
      </c>
      <c r="D372" t="s">
        <v>82</v>
      </c>
      <c r="E372" t="s">
        <v>7</v>
      </c>
      <c r="F372" t="s">
        <v>5734</v>
      </c>
      <c r="G372" s="1" t="s">
        <v>5730</v>
      </c>
      <c r="H372" s="1" t="s">
        <v>1856</v>
      </c>
    </row>
    <row r="373" spans="1:8" hidden="1" x14ac:dyDescent="0.3">
      <c r="A373" t="s">
        <v>6154</v>
      </c>
      <c r="B373" t="s">
        <v>6154</v>
      </c>
      <c r="C373" t="s">
        <v>2671</v>
      </c>
      <c r="D373" t="s">
        <v>82</v>
      </c>
      <c r="E373" t="s">
        <v>7</v>
      </c>
      <c r="F373" t="s">
        <v>5729</v>
      </c>
      <c r="G373" s="1" t="s">
        <v>5730</v>
      </c>
      <c r="H373" s="1" t="s">
        <v>1927</v>
      </c>
    </row>
    <row r="374" spans="1:8" hidden="1" x14ac:dyDescent="0.3">
      <c r="A374" t="s">
        <v>6155</v>
      </c>
      <c r="B374" t="s">
        <v>6155</v>
      </c>
      <c r="C374" t="s">
        <v>2031</v>
      </c>
      <c r="D374" t="s">
        <v>82</v>
      </c>
      <c r="E374" t="s">
        <v>7</v>
      </c>
      <c r="F374" t="s">
        <v>5729</v>
      </c>
      <c r="G374" s="1" t="s">
        <v>5730</v>
      </c>
      <c r="H374" s="1" t="s">
        <v>1923</v>
      </c>
    </row>
    <row r="375" spans="1:8" hidden="1" x14ac:dyDescent="0.3">
      <c r="A375" t="s">
        <v>6156</v>
      </c>
      <c r="B375" t="s">
        <v>6156</v>
      </c>
      <c r="C375" t="s">
        <v>2836</v>
      </c>
      <c r="D375" t="s">
        <v>82</v>
      </c>
      <c r="E375" t="s">
        <v>7</v>
      </c>
      <c r="F375" t="s">
        <v>5734</v>
      </c>
      <c r="G375" s="1" t="s">
        <v>5730</v>
      </c>
      <c r="H375" s="1" t="s">
        <v>1856</v>
      </c>
    </row>
    <row r="376" spans="1:8" hidden="1" x14ac:dyDescent="0.3">
      <c r="A376" t="s">
        <v>6157</v>
      </c>
      <c r="B376" t="s">
        <v>6157</v>
      </c>
      <c r="C376" t="s">
        <v>2334</v>
      </c>
      <c r="D376" t="s">
        <v>82</v>
      </c>
      <c r="E376" t="s">
        <v>7</v>
      </c>
      <c r="F376" t="s">
        <v>5729</v>
      </c>
      <c r="G376" s="1" t="s">
        <v>5730</v>
      </c>
      <c r="H376" s="1" t="s">
        <v>1923</v>
      </c>
    </row>
    <row r="377" spans="1:8" hidden="1" x14ac:dyDescent="0.3">
      <c r="A377" t="s">
        <v>6158</v>
      </c>
      <c r="B377" t="s">
        <v>6158</v>
      </c>
      <c r="C377" t="s">
        <v>2158</v>
      </c>
      <c r="D377" t="s">
        <v>82</v>
      </c>
      <c r="E377" t="s">
        <v>7</v>
      </c>
      <c r="F377" t="s">
        <v>5734</v>
      </c>
      <c r="G377" s="1" t="s">
        <v>1961</v>
      </c>
      <c r="H377" s="1" t="s">
        <v>1856</v>
      </c>
    </row>
    <row r="378" spans="1:8" hidden="1" x14ac:dyDescent="0.3">
      <c r="A378" t="s">
        <v>6159</v>
      </c>
      <c r="B378" t="s">
        <v>6159</v>
      </c>
      <c r="C378" t="s">
        <v>1388</v>
      </c>
      <c r="D378" t="s">
        <v>82</v>
      </c>
      <c r="E378" t="s">
        <v>7</v>
      </c>
      <c r="F378" t="s">
        <v>5734</v>
      </c>
      <c r="G378" s="1" t="s">
        <v>5730</v>
      </c>
      <c r="H378" s="1" t="s">
        <v>1856</v>
      </c>
    </row>
    <row r="379" spans="1:8" hidden="1" x14ac:dyDescent="0.3">
      <c r="A379" t="s">
        <v>6160</v>
      </c>
      <c r="B379" t="s">
        <v>6160</v>
      </c>
      <c r="C379" t="s">
        <v>868</v>
      </c>
      <c r="D379" t="s">
        <v>82</v>
      </c>
      <c r="E379" t="s">
        <v>7</v>
      </c>
      <c r="F379" t="s">
        <v>5729</v>
      </c>
      <c r="G379" s="1" t="s">
        <v>5730</v>
      </c>
      <c r="H379" s="1" t="s">
        <v>1856</v>
      </c>
    </row>
    <row r="380" spans="1:8" hidden="1" x14ac:dyDescent="0.3">
      <c r="A380" t="s">
        <v>6161</v>
      </c>
      <c r="B380" t="s">
        <v>6161</v>
      </c>
      <c r="C380" t="s">
        <v>2848</v>
      </c>
      <c r="D380" t="s">
        <v>82</v>
      </c>
      <c r="E380" t="s">
        <v>7</v>
      </c>
      <c r="F380" t="s">
        <v>5781</v>
      </c>
      <c r="G380" s="1" t="s">
        <v>1961</v>
      </c>
      <c r="H380" s="1" t="s">
        <v>1856</v>
      </c>
    </row>
    <row r="381" spans="1:8" hidden="1" x14ac:dyDescent="0.3">
      <c r="A381" t="s">
        <v>6162</v>
      </c>
      <c r="B381" t="s">
        <v>6162</v>
      </c>
      <c r="C381" t="s">
        <v>1408</v>
      </c>
      <c r="D381" t="s">
        <v>82</v>
      </c>
      <c r="E381" t="s">
        <v>7</v>
      </c>
      <c r="F381" t="s">
        <v>5729</v>
      </c>
      <c r="G381" s="1" t="s">
        <v>5730</v>
      </c>
      <c r="H381" s="1" t="s">
        <v>1856</v>
      </c>
    </row>
    <row r="382" spans="1:8" hidden="1" x14ac:dyDescent="0.3">
      <c r="A382" t="s">
        <v>6163</v>
      </c>
      <c r="B382" t="s">
        <v>6163</v>
      </c>
      <c r="C382" t="s">
        <v>1417</v>
      </c>
      <c r="D382" t="s">
        <v>82</v>
      </c>
      <c r="E382" t="s">
        <v>7</v>
      </c>
      <c r="F382" t="s">
        <v>5729</v>
      </c>
      <c r="G382" s="1" t="s">
        <v>5730</v>
      </c>
      <c r="H382" s="1" t="s">
        <v>1923</v>
      </c>
    </row>
    <row r="383" spans="1:8" hidden="1" x14ac:dyDescent="0.3">
      <c r="A383" t="s">
        <v>6164</v>
      </c>
      <c r="B383" t="s">
        <v>6164</v>
      </c>
      <c r="C383" t="s">
        <v>1424</v>
      </c>
      <c r="D383" t="s">
        <v>82</v>
      </c>
      <c r="E383" t="s">
        <v>7</v>
      </c>
      <c r="F383" t="s">
        <v>5729</v>
      </c>
      <c r="G383" s="1" t="s">
        <v>5730</v>
      </c>
      <c r="H383" s="1" t="s">
        <v>1874</v>
      </c>
    </row>
    <row r="384" spans="1:8" hidden="1" x14ac:dyDescent="0.3">
      <c r="A384" t="s">
        <v>6165</v>
      </c>
      <c r="B384" t="s">
        <v>6165</v>
      </c>
      <c r="C384" t="s">
        <v>183</v>
      </c>
      <c r="D384" t="s">
        <v>99</v>
      </c>
      <c r="E384" t="s">
        <v>7</v>
      </c>
      <c r="F384" t="s">
        <v>5729</v>
      </c>
      <c r="G384" s="1" t="s">
        <v>5730</v>
      </c>
      <c r="H384" s="1" t="s">
        <v>1856</v>
      </c>
    </row>
    <row r="385" spans="1:8" hidden="1" x14ac:dyDescent="0.3">
      <c r="A385" t="s">
        <v>6166</v>
      </c>
      <c r="B385" t="s">
        <v>6166</v>
      </c>
      <c r="C385" t="s">
        <v>258</v>
      </c>
      <c r="D385" t="s">
        <v>99</v>
      </c>
      <c r="E385" t="s">
        <v>7</v>
      </c>
      <c r="F385" t="s">
        <v>5729</v>
      </c>
      <c r="G385" s="1" t="s">
        <v>5730</v>
      </c>
      <c r="H385" s="1" t="s">
        <v>1874</v>
      </c>
    </row>
    <row r="386" spans="1:8" hidden="1" x14ac:dyDescent="0.3">
      <c r="A386" t="s">
        <v>6167</v>
      </c>
      <c r="B386" t="s">
        <v>6167</v>
      </c>
      <c r="C386" t="s">
        <v>6168</v>
      </c>
      <c r="D386" t="s">
        <v>99</v>
      </c>
      <c r="E386" t="s">
        <v>7</v>
      </c>
      <c r="F386" t="s">
        <v>5781</v>
      </c>
      <c r="G386" s="1" t="s">
        <v>1961</v>
      </c>
      <c r="H386" s="1" t="s">
        <v>1856</v>
      </c>
    </row>
    <row r="387" spans="1:8" hidden="1" x14ac:dyDescent="0.3">
      <c r="A387" t="s">
        <v>6169</v>
      </c>
      <c r="B387" t="s">
        <v>6169</v>
      </c>
      <c r="C387" t="s">
        <v>6170</v>
      </c>
      <c r="D387" t="s">
        <v>99</v>
      </c>
      <c r="E387" t="s">
        <v>7</v>
      </c>
      <c r="F387" t="s">
        <v>5734</v>
      </c>
      <c r="G387" s="1" t="s">
        <v>5730</v>
      </c>
      <c r="H387" s="1" t="s">
        <v>1874</v>
      </c>
    </row>
    <row r="388" spans="1:8" hidden="1" x14ac:dyDescent="0.3">
      <c r="A388" t="s">
        <v>6171</v>
      </c>
      <c r="B388" t="s">
        <v>6171</v>
      </c>
      <c r="C388" t="s">
        <v>6172</v>
      </c>
      <c r="D388" t="s">
        <v>99</v>
      </c>
      <c r="E388" t="s">
        <v>7</v>
      </c>
      <c r="F388" t="s">
        <v>5729</v>
      </c>
      <c r="G388" s="1" t="s">
        <v>1961</v>
      </c>
      <c r="H388" s="1" t="s">
        <v>1923</v>
      </c>
    </row>
    <row r="389" spans="1:8" hidden="1" x14ac:dyDescent="0.3">
      <c r="A389" t="s">
        <v>6173</v>
      </c>
      <c r="B389" t="s">
        <v>6173</v>
      </c>
      <c r="C389" t="s">
        <v>2870</v>
      </c>
      <c r="D389" t="s">
        <v>99</v>
      </c>
      <c r="E389" t="s">
        <v>7</v>
      </c>
      <c r="F389" t="s">
        <v>5747</v>
      </c>
      <c r="G389" s="1" t="s">
        <v>1961</v>
      </c>
      <c r="H389" s="1" t="s">
        <v>1856</v>
      </c>
    </row>
    <row r="390" spans="1:8" hidden="1" x14ac:dyDescent="0.3">
      <c r="A390" t="s">
        <v>6174</v>
      </c>
      <c r="B390" t="s">
        <v>6174</v>
      </c>
      <c r="C390" t="s">
        <v>2873</v>
      </c>
      <c r="D390" t="s">
        <v>99</v>
      </c>
      <c r="E390" t="s">
        <v>7</v>
      </c>
      <c r="F390" t="s">
        <v>5729</v>
      </c>
      <c r="G390" s="1" t="s">
        <v>5730</v>
      </c>
      <c r="H390" s="1" t="s">
        <v>1923</v>
      </c>
    </row>
    <row r="391" spans="1:8" hidden="1" x14ac:dyDescent="0.3">
      <c r="A391" t="s">
        <v>6175</v>
      </c>
      <c r="B391" t="s">
        <v>6175</v>
      </c>
      <c r="C391" t="s">
        <v>6176</v>
      </c>
      <c r="D391" t="s">
        <v>99</v>
      </c>
      <c r="E391" t="s">
        <v>7</v>
      </c>
      <c r="F391" t="s">
        <v>5781</v>
      </c>
      <c r="G391" s="1" t="s">
        <v>1961</v>
      </c>
      <c r="H391" s="1" t="s">
        <v>1856</v>
      </c>
    </row>
    <row r="392" spans="1:8" hidden="1" x14ac:dyDescent="0.3">
      <c r="A392" t="s">
        <v>6177</v>
      </c>
      <c r="B392" t="s">
        <v>6177</v>
      </c>
      <c r="C392" t="s">
        <v>6178</v>
      </c>
      <c r="D392" t="s">
        <v>99</v>
      </c>
      <c r="E392" t="s">
        <v>7</v>
      </c>
      <c r="F392" t="s">
        <v>5781</v>
      </c>
      <c r="G392" s="1" t="s">
        <v>1961</v>
      </c>
      <c r="H392" s="1" t="s">
        <v>1856</v>
      </c>
    </row>
    <row r="393" spans="1:8" hidden="1" x14ac:dyDescent="0.3">
      <c r="A393" t="s">
        <v>6179</v>
      </c>
      <c r="B393" t="s">
        <v>6179</v>
      </c>
      <c r="C393" t="s">
        <v>969</v>
      </c>
      <c r="D393" t="s">
        <v>99</v>
      </c>
      <c r="E393" t="s">
        <v>7</v>
      </c>
      <c r="F393" t="s">
        <v>5729</v>
      </c>
      <c r="G393" s="1" t="s">
        <v>5730</v>
      </c>
      <c r="H393" s="1" t="s">
        <v>1856</v>
      </c>
    </row>
    <row r="394" spans="1:8" hidden="1" x14ac:dyDescent="0.3">
      <c r="A394" t="s">
        <v>6180</v>
      </c>
      <c r="B394" t="s">
        <v>6180</v>
      </c>
      <c r="C394" t="s">
        <v>1015</v>
      </c>
      <c r="D394" t="s">
        <v>99</v>
      </c>
      <c r="E394" t="s">
        <v>7</v>
      </c>
      <c r="F394" t="s">
        <v>5734</v>
      </c>
      <c r="G394" s="1" t="s">
        <v>5730</v>
      </c>
      <c r="H394" s="1" t="s">
        <v>1856</v>
      </c>
    </row>
    <row r="395" spans="1:8" hidden="1" x14ac:dyDescent="0.3">
      <c r="A395" t="s">
        <v>6181</v>
      </c>
      <c r="B395" t="s">
        <v>6181</v>
      </c>
      <c r="C395" t="s">
        <v>719</v>
      </c>
      <c r="D395" t="s">
        <v>99</v>
      </c>
      <c r="E395" t="s">
        <v>7</v>
      </c>
      <c r="F395" t="s">
        <v>5729</v>
      </c>
      <c r="G395" s="1" t="s">
        <v>5730</v>
      </c>
      <c r="H395" s="1" t="s">
        <v>1927</v>
      </c>
    </row>
    <row r="396" spans="1:8" hidden="1" x14ac:dyDescent="0.3">
      <c r="A396" t="s">
        <v>6182</v>
      </c>
      <c r="B396" t="s">
        <v>6182</v>
      </c>
      <c r="C396" t="s">
        <v>1100</v>
      </c>
      <c r="D396" t="s">
        <v>99</v>
      </c>
      <c r="E396" t="s">
        <v>7</v>
      </c>
      <c r="F396" t="s">
        <v>5729</v>
      </c>
      <c r="G396" s="1" t="s">
        <v>5730</v>
      </c>
      <c r="H396" s="1" t="s">
        <v>1874</v>
      </c>
    </row>
    <row r="397" spans="1:8" hidden="1" x14ac:dyDescent="0.3">
      <c r="A397" t="s">
        <v>6183</v>
      </c>
      <c r="B397" t="s">
        <v>6183</v>
      </c>
      <c r="C397" t="s">
        <v>6184</v>
      </c>
      <c r="D397" t="s">
        <v>99</v>
      </c>
      <c r="E397" t="s">
        <v>7</v>
      </c>
      <c r="F397" t="s">
        <v>5729</v>
      </c>
      <c r="G397" s="1" t="s">
        <v>5730</v>
      </c>
      <c r="H397" s="1" t="s">
        <v>1874</v>
      </c>
    </row>
    <row r="398" spans="1:8" hidden="1" x14ac:dyDescent="0.3">
      <c r="A398" t="s">
        <v>6185</v>
      </c>
      <c r="B398" t="s">
        <v>6185</v>
      </c>
      <c r="C398" t="s">
        <v>1169</v>
      </c>
      <c r="D398" t="s">
        <v>99</v>
      </c>
      <c r="E398" t="s">
        <v>7</v>
      </c>
      <c r="F398" t="s">
        <v>5734</v>
      </c>
      <c r="G398" s="1" t="s">
        <v>5730</v>
      </c>
      <c r="H398" s="1" t="s">
        <v>1856</v>
      </c>
    </row>
    <row r="399" spans="1:8" hidden="1" x14ac:dyDescent="0.3">
      <c r="A399" t="s">
        <v>6186</v>
      </c>
      <c r="B399" t="s">
        <v>6186</v>
      </c>
      <c r="C399" t="s">
        <v>1200</v>
      </c>
      <c r="D399" t="s">
        <v>99</v>
      </c>
      <c r="E399" t="s">
        <v>7</v>
      </c>
      <c r="F399" t="s">
        <v>5729</v>
      </c>
      <c r="G399" s="1" t="s">
        <v>5730</v>
      </c>
      <c r="H399" s="1" t="s">
        <v>1856</v>
      </c>
    </row>
    <row r="400" spans="1:8" hidden="1" x14ac:dyDescent="0.3">
      <c r="A400" t="s">
        <v>6187</v>
      </c>
      <c r="B400" t="s">
        <v>6187</v>
      </c>
      <c r="C400" t="s">
        <v>656</v>
      </c>
      <c r="D400" t="s">
        <v>99</v>
      </c>
      <c r="E400" t="s">
        <v>7</v>
      </c>
      <c r="F400" t="s">
        <v>5734</v>
      </c>
      <c r="G400" s="1" t="s">
        <v>5730</v>
      </c>
      <c r="H400" s="1" t="s">
        <v>1856</v>
      </c>
    </row>
    <row r="401" spans="1:8" hidden="1" x14ac:dyDescent="0.3">
      <c r="A401" t="s">
        <v>6188</v>
      </c>
      <c r="B401" t="s">
        <v>6188</v>
      </c>
      <c r="C401" t="s">
        <v>1250</v>
      </c>
      <c r="D401" t="s">
        <v>99</v>
      </c>
      <c r="E401" t="s">
        <v>7</v>
      </c>
      <c r="F401" t="s">
        <v>5781</v>
      </c>
      <c r="G401" s="1" t="s">
        <v>5730</v>
      </c>
      <c r="H401" s="1" t="s">
        <v>1856</v>
      </c>
    </row>
    <row r="402" spans="1:8" hidden="1" x14ac:dyDescent="0.3">
      <c r="A402" t="s">
        <v>6189</v>
      </c>
      <c r="B402" t="s">
        <v>6189</v>
      </c>
      <c r="C402" t="s">
        <v>6190</v>
      </c>
      <c r="D402" t="s">
        <v>99</v>
      </c>
      <c r="E402" t="s">
        <v>7</v>
      </c>
      <c r="F402" t="s">
        <v>5734</v>
      </c>
      <c r="G402" s="1" t="s">
        <v>1961</v>
      </c>
      <c r="H402" s="1" t="s">
        <v>1856</v>
      </c>
    </row>
    <row r="403" spans="1:8" hidden="1" x14ac:dyDescent="0.3">
      <c r="A403" t="s">
        <v>6191</v>
      </c>
      <c r="B403" t="s">
        <v>6191</v>
      </c>
      <c r="C403" t="s">
        <v>1272</v>
      </c>
      <c r="D403" t="s">
        <v>99</v>
      </c>
      <c r="E403" t="s">
        <v>7</v>
      </c>
      <c r="F403" t="s">
        <v>5781</v>
      </c>
      <c r="G403" s="1" t="s">
        <v>5730</v>
      </c>
      <c r="H403" s="1" t="s">
        <v>1856</v>
      </c>
    </row>
    <row r="404" spans="1:8" hidden="1" x14ac:dyDescent="0.3">
      <c r="A404" t="s">
        <v>6192</v>
      </c>
      <c r="B404" t="s">
        <v>6192</v>
      </c>
      <c r="C404" t="s">
        <v>1293</v>
      </c>
      <c r="D404" t="s">
        <v>99</v>
      </c>
      <c r="E404" t="s">
        <v>7</v>
      </c>
      <c r="F404" t="s">
        <v>5729</v>
      </c>
      <c r="G404" s="1" t="s">
        <v>5730</v>
      </c>
      <c r="H404" s="1" t="s">
        <v>1927</v>
      </c>
    </row>
    <row r="405" spans="1:8" hidden="1" x14ac:dyDescent="0.3">
      <c r="A405" t="s">
        <v>6193</v>
      </c>
      <c r="B405" t="s">
        <v>6193</v>
      </c>
      <c r="C405" t="s">
        <v>6194</v>
      </c>
      <c r="D405" t="s">
        <v>99</v>
      </c>
      <c r="E405" t="s">
        <v>7</v>
      </c>
      <c r="F405" t="s">
        <v>5734</v>
      </c>
      <c r="G405" s="1" t="s">
        <v>1961</v>
      </c>
      <c r="H405" s="1" t="s">
        <v>1874</v>
      </c>
    </row>
    <row r="406" spans="1:8" hidden="1" x14ac:dyDescent="0.3">
      <c r="A406" t="s">
        <v>6195</v>
      </c>
      <c r="B406" t="s">
        <v>6195</v>
      </c>
      <c r="C406" t="s">
        <v>6196</v>
      </c>
      <c r="D406" t="s">
        <v>99</v>
      </c>
      <c r="E406" t="s">
        <v>7</v>
      </c>
      <c r="F406" t="s">
        <v>5781</v>
      </c>
      <c r="G406" s="1" t="s">
        <v>5730</v>
      </c>
      <c r="H406" s="1" t="s">
        <v>1856</v>
      </c>
    </row>
    <row r="407" spans="1:8" hidden="1" x14ac:dyDescent="0.3">
      <c r="A407" t="s">
        <v>6197</v>
      </c>
      <c r="B407" t="s">
        <v>6197</v>
      </c>
      <c r="C407" t="s">
        <v>184</v>
      </c>
      <c r="D407" t="s">
        <v>116</v>
      </c>
      <c r="E407" t="s">
        <v>7</v>
      </c>
      <c r="F407" t="s">
        <v>5729</v>
      </c>
      <c r="G407" s="1" t="s">
        <v>5730</v>
      </c>
      <c r="H407" s="1" t="s">
        <v>1856</v>
      </c>
    </row>
    <row r="408" spans="1:8" hidden="1" x14ac:dyDescent="0.3">
      <c r="A408" t="s">
        <v>6198</v>
      </c>
      <c r="B408" t="s">
        <v>6198</v>
      </c>
      <c r="C408" t="s">
        <v>259</v>
      </c>
      <c r="D408" t="s">
        <v>116</v>
      </c>
      <c r="E408" t="s">
        <v>7</v>
      </c>
      <c r="F408" t="s">
        <v>5734</v>
      </c>
      <c r="G408" s="1" t="s">
        <v>5730</v>
      </c>
      <c r="H408" s="1" t="s">
        <v>1856</v>
      </c>
    </row>
    <row r="409" spans="1:8" hidden="1" x14ac:dyDescent="0.3">
      <c r="A409" t="s">
        <v>6199</v>
      </c>
      <c r="B409" t="s">
        <v>6199</v>
      </c>
      <c r="C409" t="s">
        <v>2918</v>
      </c>
      <c r="D409" t="s">
        <v>116</v>
      </c>
      <c r="E409" t="s">
        <v>7</v>
      </c>
      <c r="F409" t="s">
        <v>5781</v>
      </c>
      <c r="G409" s="1" t="s">
        <v>1961</v>
      </c>
      <c r="H409" s="1" t="s">
        <v>1856</v>
      </c>
    </row>
    <row r="410" spans="1:8" hidden="1" x14ac:dyDescent="0.3">
      <c r="A410" t="s">
        <v>6200</v>
      </c>
      <c r="B410" t="s">
        <v>6200</v>
      </c>
      <c r="C410" t="s">
        <v>6201</v>
      </c>
      <c r="D410" t="s">
        <v>116</v>
      </c>
      <c r="E410" t="s">
        <v>7</v>
      </c>
      <c r="F410" t="s">
        <v>5781</v>
      </c>
      <c r="G410" s="1" t="s">
        <v>1961</v>
      </c>
      <c r="H410" s="1" t="s">
        <v>1856</v>
      </c>
    </row>
    <row r="411" spans="1:8" hidden="1" x14ac:dyDescent="0.3">
      <c r="A411" t="s">
        <v>6202</v>
      </c>
      <c r="B411" t="s">
        <v>6202</v>
      </c>
      <c r="C411" t="s">
        <v>2924</v>
      </c>
      <c r="D411" t="s">
        <v>116</v>
      </c>
      <c r="E411" t="s">
        <v>7</v>
      </c>
      <c r="F411" t="s">
        <v>5747</v>
      </c>
      <c r="G411" s="1" t="s">
        <v>1961</v>
      </c>
      <c r="H411" s="1" t="s">
        <v>1856</v>
      </c>
    </row>
    <row r="412" spans="1:8" hidden="1" x14ac:dyDescent="0.3">
      <c r="A412" t="s">
        <v>6203</v>
      </c>
      <c r="B412" t="s">
        <v>6203</v>
      </c>
      <c r="C412" t="s">
        <v>330</v>
      </c>
      <c r="D412" t="s">
        <v>116</v>
      </c>
      <c r="E412" t="s">
        <v>7</v>
      </c>
      <c r="F412" t="s">
        <v>5729</v>
      </c>
      <c r="G412" s="1" t="s">
        <v>5730</v>
      </c>
      <c r="H412" s="1" t="s">
        <v>1856</v>
      </c>
    </row>
    <row r="413" spans="1:8" hidden="1" x14ac:dyDescent="0.3">
      <c r="A413" t="s">
        <v>6204</v>
      </c>
      <c r="B413" t="s">
        <v>6204</v>
      </c>
      <c r="C413" t="s">
        <v>402</v>
      </c>
      <c r="D413" t="s">
        <v>116</v>
      </c>
      <c r="E413" t="s">
        <v>7</v>
      </c>
      <c r="F413" t="s">
        <v>5729</v>
      </c>
      <c r="G413" s="1" t="s">
        <v>5730</v>
      </c>
      <c r="H413" s="1" t="s">
        <v>1874</v>
      </c>
    </row>
    <row r="414" spans="1:8" hidden="1" x14ac:dyDescent="0.3">
      <c r="A414" t="s">
        <v>6205</v>
      </c>
      <c r="B414" t="s">
        <v>6205</v>
      </c>
      <c r="C414" t="s">
        <v>863</v>
      </c>
      <c r="D414" t="s">
        <v>116</v>
      </c>
      <c r="E414" t="s">
        <v>7</v>
      </c>
      <c r="F414" t="s">
        <v>5729</v>
      </c>
      <c r="G414" s="1" t="s">
        <v>5730</v>
      </c>
      <c r="H414" s="1" t="s">
        <v>1923</v>
      </c>
    </row>
    <row r="415" spans="1:8" hidden="1" x14ac:dyDescent="0.3">
      <c r="A415" t="s">
        <v>6206</v>
      </c>
      <c r="B415" t="s">
        <v>6206</v>
      </c>
      <c r="C415" t="s">
        <v>919</v>
      </c>
      <c r="D415" t="s">
        <v>116</v>
      </c>
      <c r="E415" t="s">
        <v>7</v>
      </c>
      <c r="F415" t="s">
        <v>5729</v>
      </c>
      <c r="G415" s="1" t="s">
        <v>5730</v>
      </c>
      <c r="H415" s="1" t="s">
        <v>1927</v>
      </c>
    </row>
    <row r="416" spans="1:8" hidden="1" x14ac:dyDescent="0.3">
      <c r="A416" t="s">
        <v>6207</v>
      </c>
      <c r="B416" t="s">
        <v>6207</v>
      </c>
      <c r="C416" t="s">
        <v>970</v>
      </c>
      <c r="D416" t="s">
        <v>116</v>
      </c>
      <c r="E416" t="s">
        <v>7</v>
      </c>
      <c r="F416" t="s">
        <v>5729</v>
      </c>
      <c r="G416" s="1" t="s">
        <v>5730</v>
      </c>
      <c r="H416" s="1" t="s">
        <v>1927</v>
      </c>
    </row>
    <row r="417" spans="1:8" hidden="1" x14ac:dyDescent="0.3">
      <c r="A417" t="s">
        <v>6208</v>
      </c>
      <c r="B417" t="s">
        <v>6208</v>
      </c>
      <c r="C417" t="s">
        <v>2937</v>
      </c>
      <c r="D417" t="s">
        <v>116</v>
      </c>
      <c r="E417" t="s">
        <v>7</v>
      </c>
      <c r="F417" t="s">
        <v>5734</v>
      </c>
      <c r="G417" s="1" t="s">
        <v>5730</v>
      </c>
      <c r="H417" s="1" t="s">
        <v>1856</v>
      </c>
    </row>
    <row r="418" spans="1:8" hidden="1" x14ac:dyDescent="0.3">
      <c r="A418" t="s">
        <v>6209</v>
      </c>
      <c r="B418" t="s">
        <v>6209</v>
      </c>
      <c r="C418" t="s">
        <v>1062</v>
      </c>
      <c r="D418" t="s">
        <v>116</v>
      </c>
      <c r="E418" t="s">
        <v>7</v>
      </c>
      <c r="F418" t="s">
        <v>5729</v>
      </c>
      <c r="G418" s="1" t="s">
        <v>5730</v>
      </c>
      <c r="H418" s="1" t="s">
        <v>1923</v>
      </c>
    </row>
    <row r="419" spans="1:8" hidden="1" x14ac:dyDescent="0.3">
      <c r="A419" t="s">
        <v>6210</v>
      </c>
      <c r="B419" t="s">
        <v>6210</v>
      </c>
      <c r="C419" t="s">
        <v>1101</v>
      </c>
      <c r="D419" t="s">
        <v>116</v>
      </c>
      <c r="E419" t="s">
        <v>7</v>
      </c>
      <c r="F419" t="s">
        <v>5729</v>
      </c>
      <c r="G419" s="1" t="s">
        <v>5730</v>
      </c>
      <c r="H419" s="1" t="s">
        <v>1927</v>
      </c>
    </row>
    <row r="420" spans="1:8" hidden="1" x14ac:dyDescent="0.3">
      <c r="A420" t="s">
        <v>6211</v>
      </c>
      <c r="B420" t="s">
        <v>6211</v>
      </c>
      <c r="C420" t="s">
        <v>1138</v>
      </c>
      <c r="D420" t="s">
        <v>116</v>
      </c>
      <c r="E420" t="s">
        <v>7</v>
      </c>
      <c r="F420" t="s">
        <v>5729</v>
      </c>
      <c r="G420" s="1" t="s">
        <v>5730</v>
      </c>
      <c r="H420" s="1" t="s">
        <v>1923</v>
      </c>
    </row>
    <row r="421" spans="1:8" hidden="1" x14ac:dyDescent="0.3">
      <c r="A421" t="s">
        <v>6212</v>
      </c>
      <c r="B421" t="s">
        <v>6212</v>
      </c>
      <c r="C421" t="s">
        <v>1170</v>
      </c>
      <c r="D421" t="s">
        <v>116</v>
      </c>
      <c r="E421" t="s">
        <v>7</v>
      </c>
      <c r="F421" t="s">
        <v>5729</v>
      </c>
      <c r="G421" s="1" t="s">
        <v>5730</v>
      </c>
      <c r="H421" s="1" t="s">
        <v>1927</v>
      </c>
    </row>
    <row r="422" spans="1:8" hidden="1" x14ac:dyDescent="0.3">
      <c r="A422" t="s">
        <v>6213</v>
      </c>
      <c r="B422" t="s">
        <v>6213</v>
      </c>
      <c r="C422" t="s">
        <v>1201</v>
      </c>
      <c r="D422" t="s">
        <v>116</v>
      </c>
      <c r="E422" t="s">
        <v>7</v>
      </c>
      <c r="F422" t="s">
        <v>5729</v>
      </c>
      <c r="G422" s="1" t="s">
        <v>5730</v>
      </c>
      <c r="H422" s="1" t="s">
        <v>1927</v>
      </c>
    </row>
    <row r="423" spans="1:8" hidden="1" x14ac:dyDescent="0.3">
      <c r="A423" t="s">
        <v>6214</v>
      </c>
      <c r="B423" t="s">
        <v>6214</v>
      </c>
      <c r="C423" t="s">
        <v>1231</v>
      </c>
      <c r="D423" t="s">
        <v>116</v>
      </c>
      <c r="E423" t="s">
        <v>7</v>
      </c>
      <c r="F423" t="s">
        <v>5734</v>
      </c>
      <c r="G423" s="1" t="s">
        <v>5730</v>
      </c>
      <c r="H423" s="1" t="s">
        <v>1856</v>
      </c>
    </row>
    <row r="424" spans="1:8" hidden="1" x14ac:dyDescent="0.3">
      <c r="A424" t="s">
        <v>6215</v>
      </c>
      <c r="B424" t="s">
        <v>6215</v>
      </c>
      <c r="C424" t="s">
        <v>1251</v>
      </c>
      <c r="D424" t="s">
        <v>116</v>
      </c>
      <c r="E424" t="s">
        <v>7</v>
      </c>
      <c r="F424" t="s">
        <v>5729</v>
      </c>
      <c r="G424" s="1" t="s">
        <v>5730</v>
      </c>
      <c r="H424" s="1" t="s">
        <v>1923</v>
      </c>
    </row>
    <row r="425" spans="1:8" hidden="1" x14ac:dyDescent="0.3">
      <c r="A425" t="s">
        <v>6216</v>
      </c>
      <c r="B425" t="s">
        <v>6216</v>
      </c>
      <c r="C425" t="s">
        <v>1273</v>
      </c>
      <c r="D425" t="s">
        <v>116</v>
      </c>
      <c r="E425" t="s">
        <v>7</v>
      </c>
      <c r="F425" t="s">
        <v>5729</v>
      </c>
      <c r="G425" s="1" t="s">
        <v>5730</v>
      </c>
      <c r="H425" s="1" t="s">
        <v>1874</v>
      </c>
    </row>
    <row r="426" spans="1:8" hidden="1" x14ac:dyDescent="0.3">
      <c r="A426" t="s">
        <v>6217</v>
      </c>
      <c r="B426" t="s">
        <v>6217</v>
      </c>
      <c r="C426" t="s">
        <v>1294</v>
      </c>
      <c r="D426" t="s">
        <v>116</v>
      </c>
      <c r="E426" t="s">
        <v>7</v>
      </c>
      <c r="F426" t="s">
        <v>5729</v>
      </c>
      <c r="G426" s="1" t="s">
        <v>5730</v>
      </c>
      <c r="H426" s="1" t="s">
        <v>1927</v>
      </c>
    </row>
    <row r="427" spans="1:8" hidden="1" x14ac:dyDescent="0.3">
      <c r="A427" t="s">
        <v>6218</v>
      </c>
      <c r="B427" t="s">
        <v>6218</v>
      </c>
      <c r="C427" t="s">
        <v>1310</v>
      </c>
      <c r="D427" t="s">
        <v>116</v>
      </c>
      <c r="E427" t="s">
        <v>7</v>
      </c>
      <c r="F427" t="s">
        <v>5729</v>
      </c>
      <c r="G427" s="1" t="s">
        <v>5730</v>
      </c>
      <c r="H427" s="1" t="s">
        <v>1927</v>
      </c>
    </row>
    <row r="428" spans="1:8" hidden="1" x14ac:dyDescent="0.3">
      <c r="A428" t="s">
        <v>6219</v>
      </c>
      <c r="B428" t="s">
        <v>6219</v>
      </c>
      <c r="C428" t="s">
        <v>1327</v>
      </c>
      <c r="D428" t="s">
        <v>116</v>
      </c>
      <c r="E428" t="s">
        <v>7</v>
      </c>
      <c r="F428" t="s">
        <v>5729</v>
      </c>
      <c r="G428" s="1" t="s">
        <v>5730</v>
      </c>
      <c r="H428" s="1" t="s">
        <v>1856</v>
      </c>
    </row>
    <row r="429" spans="1:8" hidden="1" x14ac:dyDescent="0.3">
      <c r="A429" t="s">
        <v>6220</v>
      </c>
      <c r="B429" t="s">
        <v>6220</v>
      </c>
      <c r="C429" t="s">
        <v>145</v>
      </c>
      <c r="D429" t="s">
        <v>116</v>
      </c>
      <c r="E429" t="s">
        <v>7</v>
      </c>
      <c r="F429" t="s">
        <v>5734</v>
      </c>
      <c r="G429" s="1" t="s">
        <v>5730</v>
      </c>
      <c r="H429" s="1" t="s">
        <v>1923</v>
      </c>
    </row>
    <row r="430" spans="1:8" hidden="1" x14ac:dyDescent="0.3">
      <c r="A430" t="s">
        <v>6221</v>
      </c>
      <c r="B430" t="s">
        <v>6221</v>
      </c>
      <c r="C430" t="s">
        <v>6222</v>
      </c>
      <c r="D430" t="s">
        <v>116</v>
      </c>
      <c r="E430" t="s">
        <v>7</v>
      </c>
      <c r="F430" t="s">
        <v>5781</v>
      </c>
      <c r="G430" s="1" t="s">
        <v>1961</v>
      </c>
      <c r="H430" s="1" t="s">
        <v>1856</v>
      </c>
    </row>
    <row r="431" spans="1:8" hidden="1" x14ac:dyDescent="0.3">
      <c r="A431" t="s">
        <v>6223</v>
      </c>
      <c r="B431" t="s">
        <v>6223</v>
      </c>
      <c r="C431" t="s">
        <v>2967</v>
      </c>
      <c r="D431" t="s">
        <v>116</v>
      </c>
      <c r="E431" t="s">
        <v>7</v>
      </c>
      <c r="F431" t="s">
        <v>5781</v>
      </c>
      <c r="G431" s="1" t="s">
        <v>5730</v>
      </c>
      <c r="H431" s="1" t="s">
        <v>1856</v>
      </c>
    </row>
    <row r="432" spans="1:8" hidden="1" x14ac:dyDescent="0.3">
      <c r="A432" t="s">
        <v>6224</v>
      </c>
      <c r="B432" t="s">
        <v>6224</v>
      </c>
      <c r="C432" t="s">
        <v>6225</v>
      </c>
      <c r="D432" t="s">
        <v>116</v>
      </c>
      <c r="E432" t="s">
        <v>7</v>
      </c>
      <c r="F432" t="s">
        <v>5734</v>
      </c>
      <c r="G432" s="1" t="s">
        <v>5730</v>
      </c>
      <c r="H432" s="1" t="s">
        <v>1856</v>
      </c>
    </row>
    <row r="433" spans="1:8" hidden="1" x14ac:dyDescent="0.3">
      <c r="A433" t="s">
        <v>6226</v>
      </c>
      <c r="B433" t="s">
        <v>6226</v>
      </c>
      <c r="C433" t="s">
        <v>2102</v>
      </c>
      <c r="D433" t="s">
        <v>116</v>
      </c>
      <c r="E433" t="s">
        <v>7</v>
      </c>
      <c r="F433" t="s">
        <v>5781</v>
      </c>
      <c r="G433" s="1" t="s">
        <v>5730</v>
      </c>
      <c r="H433" s="1" t="s">
        <v>1874</v>
      </c>
    </row>
    <row r="434" spans="1:8" hidden="1" x14ac:dyDescent="0.3">
      <c r="A434" t="s">
        <v>6227</v>
      </c>
      <c r="B434" t="s">
        <v>6227</v>
      </c>
      <c r="C434" t="s">
        <v>2974</v>
      </c>
      <c r="D434" t="s">
        <v>116</v>
      </c>
      <c r="E434" t="s">
        <v>7</v>
      </c>
      <c r="F434" t="s">
        <v>5781</v>
      </c>
      <c r="G434" s="1" t="s">
        <v>1961</v>
      </c>
      <c r="H434" s="1" t="s">
        <v>1856</v>
      </c>
    </row>
    <row r="435" spans="1:8" hidden="1" x14ac:dyDescent="0.3">
      <c r="A435" t="s">
        <v>6228</v>
      </c>
      <c r="B435" t="s">
        <v>6228</v>
      </c>
      <c r="C435" t="s">
        <v>1378</v>
      </c>
      <c r="D435" t="s">
        <v>116</v>
      </c>
      <c r="E435" t="s">
        <v>7</v>
      </c>
      <c r="F435" t="s">
        <v>5729</v>
      </c>
      <c r="G435" s="1" t="s">
        <v>5730</v>
      </c>
      <c r="H435" s="1" t="s">
        <v>1856</v>
      </c>
    </row>
    <row r="436" spans="1:8" hidden="1" x14ac:dyDescent="0.3">
      <c r="A436" t="s">
        <v>6229</v>
      </c>
      <c r="B436" t="s">
        <v>6229</v>
      </c>
      <c r="C436" t="s">
        <v>1064</v>
      </c>
      <c r="D436" t="s">
        <v>116</v>
      </c>
      <c r="E436" t="s">
        <v>7</v>
      </c>
      <c r="F436" t="s">
        <v>5734</v>
      </c>
      <c r="G436" s="1" t="s">
        <v>5730</v>
      </c>
      <c r="H436" s="1" t="s">
        <v>1874</v>
      </c>
    </row>
    <row r="437" spans="1:8" hidden="1" x14ac:dyDescent="0.3">
      <c r="A437" t="s">
        <v>6230</v>
      </c>
      <c r="B437" t="s">
        <v>6230</v>
      </c>
      <c r="C437" t="s">
        <v>185</v>
      </c>
      <c r="D437" t="s">
        <v>132</v>
      </c>
      <c r="E437" t="s">
        <v>7</v>
      </c>
      <c r="F437" t="s">
        <v>5729</v>
      </c>
      <c r="G437" s="1" t="s">
        <v>5730</v>
      </c>
      <c r="H437" s="1" t="s">
        <v>1893</v>
      </c>
    </row>
    <row r="438" spans="1:8" hidden="1" x14ac:dyDescent="0.3">
      <c r="A438" t="s">
        <v>6231</v>
      </c>
      <c r="B438" t="s">
        <v>6231</v>
      </c>
      <c r="C438" t="s">
        <v>260</v>
      </c>
      <c r="D438" t="s">
        <v>132</v>
      </c>
      <c r="E438" t="s">
        <v>7</v>
      </c>
      <c r="F438" t="s">
        <v>5729</v>
      </c>
      <c r="G438" s="1" t="s">
        <v>5730</v>
      </c>
      <c r="H438" s="1" t="s">
        <v>1923</v>
      </c>
    </row>
    <row r="439" spans="1:8" hidden="1" x14ac:dyDescent="0.3">
      <c r="A439" t="s">
        <v>6232</v>
      </c>
      <c r="B439" t="s">
        <v>6232</v>
      </c>
      <c r="C439" t="s">
        <v>331</v>
      </c>
      <c r="D439" t="s">
        <v>132</v>
      </c>
      <c r="E439" t="s">
        <v>7</v>
      </c>
      <c r="F439" t="s">
        <v>5734</v>
      </c>
      <c r="G439" s="1" t="s">
        <v>5730</v>
      </c>
      <c r="H439" s="1" t="s">
        <v>1856</v>
      </c>
    </row>
    <row r="440" spans="1:8" hidden="1" x14ac:dyDescent="0.3">
      <c r="A440" t="s">
        <v>6233</v>
      </c>
      <c r="B440" t="s">
        <v>6233</v>
      </c>
      <c r="C440" t="s">
        <v>202</v>
      </c>
      <c r="D440" t="s">
        <v>132</v>
      </c>
      <c r="E440" t="s">
        <v>7</v>
      </c>
      <c r="F440" t="s">
        <v>5734</v>
      </c>
      <c r="G440" s="1" t="s">
        <v>5730</v>
      </c>
      <c r="H440" s="1" t="s">
        <v>1874</v>
      </c>
    </row>
    <row r="441" spans="1:8" hidden="1" x14ac:dyDescent="0.3">
      <c r="A441" t="s">
        <v>6234</v>
      </c>
      <c r="B441" t="s">
        <v>6234</v>
      </c>
      <c r="C441" t="s">
        <v>476</v>
      </c>
      <c r="D441" t="s">
        <v>132</v>
      </c>
      <c r="E441" t="s">
        <v>7</v>
      </c>
      <c r="F441" t="s">
        <v>5729</v>
      </c>
      <c r="G441" s="1" t="s">
        <v>5730</v>
      </c>
      <c r="H441" s="1" t="s">
        <v>1927</v>
      </c>
    </row>
    <row r="442" spans="1:8" hidden="1" x14ac:dyDescent="0.3">
      <c r="A442" t="s">
        <v>6235</v>
      </c>
      <c r="B442" t="s">
        <v>6235</v>
      </c>
      <c r="C442" t="s">
        <v>548</v>
      </c>
      <c r="D442" t="s">
        <v>132</v>
      </c>
      <c r="E442" t="s">
        <v>7</v>
      </c>
      <c r="F442" t="s">
        <v>5734</v>
      </c>
      <c r="G442" s="1" t="s">
        <v>5730</v>
      </c>
      <c r="H442" s="1" t="s">
        <v>1856</v>
      </c>
    </row>
    <row r="443" spans="1:8" hidden="1" x14ac:dyDescent="0.3">
      <c r="A443" t="s">
        <v>6236</v>
      </c>
      <c r="B443" t="s">
        <v>6236</v>
      </c>
      <c r="C443" t="s">
        <v>326</v>
      </c>
      <c r="D443" t="s">
        <v>132</v>
      </c>
      <c r="E443" t="s">
        <v>7</v>
      </c>
      <c r="F443" t="s">
        <v>5734</v>
      </c>
      <c r="G443" s="1" t="s">
        <v>5730</v>
      </c>
      <c r="H443" s="1" t="s">
        <v>1856</v>
      </c>
    </row>
    <row r="444" spans="1:8" hidden="1" x14ac:dyDescent="0.3">
      <c r="A444" t="s">
        <v>6237</v>
      </c>
      <c r="B444" t="s">
        <v>6237</v>
      </c>
      <c r="C444" t="s">
        <v>682</v>
      </c>
      <c r="D444" t="s">
        <v>132</v>
      </c>
      <c r="E444" t="s">
        <v>7</v>
      </c>
      <c r="F444" t="s">
        <v>5734</v>
      </c>
      <c r="G444" s="1" t="s">
        <v>5730</v>
      </c>
      <c r="H444" s="1" t="s">
        <v>1856</v>
      </c>
    </row>
    <row r="445" spans="1:8" hidden="1" x14ac:dyDescent="0.3">
      <c r="A445" t="s">
        <v>6238</v>
      </c>
      <c r="B445" t="s">
        <v>6238</v>
      </c>
      <c r="C445" t="s">
        <v>569</v>
      </c>
      <c r="D445" t="s">
        <v>132</v>
      </c>
      <c r="E445" t="s">
        <v>7</v>
      </c>
      <c r="F445" t="s">
        <v>5734</v>
      </c>
      <c r="G445" s="1" t="s">
        <v>5730</v>
      </c>
      <c r="H445" s="1" t="s">
        <v>1927</v>
      </c>
    </row>
    <row r="446" spans="1:8" hidden="1" x14ac:dyDescent="0.3">
      <c r="A446" t="s">
        <v>6239</v>
      </c>
      <c r="B446" t="s">
        <v>6239</v>
      </c>
      <c r="C446" t="s">
        <v>2999</v>
      </c>
      <c r="D446" t="s">
        <v>132</v>
      </c>
      <c r="E446" t="s">
        <v>7</v>
      </c>
      <c r="F446" t="s">
        <v>5729</v>
      </c>
      <c r="G446" s="1" t="s">
        <v>5730</v>
      </c>
      <c r="H446" s="1" t="s">
        <v>1927</v>
      </c>
    </row>
    <row r="447" spans="1:8" hidden="1" x14ac:dyDescent="0.3">
      <c r="A447" t="s">
        <v>6240</v>
      </c>
      <c r="B447" t="s">
        <v>6240</v>
      </c>
      <c r="C447" t="s">
        <v>3002</v>
      </c>
      <c r="D447" t="s">
        <v>132</v>
      </c>
      <c r="E447" t="s">
        <v>7</v>
      </c>
      <c r="F447" t="s">
        <v>5729</v>
      </c>
      <c r="G447" s="1" t="s">
        <v>5730</v>
      </c>
      <c r="H447" s="1" t="s">
        <v>1856</v>
      </c>
    </row>
    <row r="448" spans="1:8" hidden="1" x14ac:dyDescent="0.3">
      <c r="A448" t="s">
        <v>6241</v>
      </c>
      <c r="B448" t="s">
        <v>6241</v>
      </c>
      <c r="C448" t="s">
        <v>1017</v>
      </c>
      <c r="D448" t="s">
        <v>132</v>
      </c>
      <c r="E448" t="s">
        <v>7</v>
      </c>
      <c r="F448" t="s">
        <v>5729</v>
      </c>
      <c r="G448" s="1" t="s">
        <v>5730</v>
      </c>
      <c r="H448" s="1" t="s">
        <v>1856</v>
      </c>
    </row>
    <row r="449" spans="1:8" hidden="1" x14ac:dyDescent="0.3">
      <c r="A449" t="s">
        <v>6242</v>
      </c>
      <c r="B449" t="s">
        <v>6242</v>
      </c>
      <c r="C449" t="s">
        <v>1063</v>
      </c>
      <c r="D449" t="s">
        <v>132</v>
      </c>
      <c r="E449" t="s">
        <v>7</v>
      </c>
      <c r="F449" t="s">
        <v>5734</v>
      </c>
      <c r="G449" s="1" t="s">
        <v>5730</v>
      </c>
      <c r="H449" s="1" t="s">
        <v>1856</v>
      </c>
    </row>
    <row r="450" spans="1:8" hidden="1" x14ac:dyDescent="0.3">
      <c r="A450" t="s">
        <v>6243</v>
      </c>
      <c r="B450" t="s">
        <v>6243</v>
      </c>
      <c r="C450" t="s">
        <v>1102</v>
      </c>
      <c r="D450" t="s">
        <v>132</v>
      </c>
      <c r="E450" t="s">
        <v>7</v>
      </c>
      <c r="F450" t="s">
        <v>5734</v>
      </c>
      <c r="G450" s="1" t="s">
        <v>5730</v>
      </c>
      <c r="H450" s="1" t="s">
        <v>1856</v>
      </c>
    </row>
    <row r="451" spans="1:8" hidden="1" x14ac:dyDescent="0.3">
      <c r="A451" t="s">
        <v>6244</v>
      </c>
      <c r="B451" t="s">
        <v>6244</v>
      </c>
      <c r="C451" t="s">
        <v>1139</v>
      </c>
      <c r="D451" t="s">
        <v>132</v>
      </c>
      <c r="E451" t="s">
        <v>7</v>
      </c>
      <c r="F451" t="s">
        <v>5729</v>
      </c>
      <c r="G451" s="1" t="s">
        <v>5730</v>
      </c>
      <c r="H451" s="1" t="s">
        <v>1893</v>
      </c>
    </row>
    <row r="452" spans="1:8" hidden="1" x14ac:dyDescent="0.3">
      <c r="A452" t="s">
        <v>6245</v>
      </c>
      <c r="B452" t="s">
        <v>6245</v>
      </c>
      <c r="C452" t="s">
        <v>1171</v>
      </c>
      <c r="D452" t="s">
        <v>132</v>
      </c>
      <c r="E452" t="s">
        <v>7</v>
      </c>
      <c r="F452" t="s">
        <v>5734</v>
      </c>
      <c r="G452" s="1" t="s">
        <v>5730</v>
      </c>
      <c r="H452" s="1" t="s">
        <v>1856</v>
      </c>
    </row>
    <row r="453" spans="1:8" hidden="1" x14ac:dyDescent="0.3">
      <c r="A453" t="s">
        <v>6246</v>
      </c>
      <c r="B453" t="s">
        <v>6246</v>
      </c>
      <c r="C453" t="s">
        <v>1202</v>
      </c>
      <c r="D453" t="s">
        <v>132</v>
      </c>
      <c r="E453" t="s">
        <v>7</v>
      </c>
      <c r="F453" t="s">
        <v>5729</v>
      </c>
      <c r="G453" s="1" t="s">
        <v>5730</v>
      </c>
      <c r="H453" s="1" t="s">
        <v>1856</v>
      </c>
    </row>
    <row r="454" spans="1:8" hidden="1" x14ac:dyDescent="0.3">
      <c r="A454" t="s">
        <v>6247</v>
      </c>
      <c r="B454" t="s">
        <v>6247</v>
      </c>
      <c r="C454" t="s">
        <v>6248</v>
      </c>
      <c r="D454" t="s">
        <v>132</v>
      </c>
      <c r="E454" t="s">
        <v>7</v>
      </c>
      <c r="F454" t="s">
        <v>5747</v>
      </c>
      <c r="G454" s="1" t="s">
        <v>1855</v>
      </c>
      <c r="H454" s="1" t="s">
        <v>1856</v>
      </c>
    </row>
    <row r="455" spans="1:8" hidden="1" x14ac:dyDescent="0.3">
      <c r="A455" t="s">
        <v>6249</v>
      </c>
      <c r="B455" t="s">
        <v>6249</v>
      </c>
      <c r="C455" t="s">
        <v>1232</v>
      </c>
      <c r="D455" t="s">
        <v>132</v>
      </c>
      <c r="E455" t="s">
        <v>7</v>
      </c>
      <c r="F455" t="s">
        <v>5729</v>
      </c>
      <c r="G455" s="1" t="s">
        <v>5730</v>
      </c>
      <c r="H455" s="1" t="s">
        <v>1927</v>
      </c>
    </row>
    <row r="456" spans="1:8" hidden="1" x14ac:dyDescent="0.3">
      <c r="A456" t="s">
        <v>6250</v>
      </c>
      <c r="B456" t="s">
        <v>6250</v>
      </c>
      <c r="C456" t="s">
        <v>1252</v>
      </c>
      <c r="D456" t="s">
        <v>132</v>
      </c>
      <c r="E456" t="s">
        <v>7</v>
      </c>
      <c r="F456" t="s">
        <v>5734</v>
      </c>
      <c r="G456" s="1" t="s">
        <v>5730</v>
      </c>
      <c r="H456" s="1" t="s">
        <v>1856</v>
      </c>
    </row>
    <row r="457" spans="1:8" hidden="1" x14ac:dyDescent="0.3">
      <c r="A457" t="s">
        <v>6251</v>
      </c>
      <c r="B457" t="s">
        <v>6251</v>
      </c>
      <c r="C457" t="s">
        <v>1274</v>
      </c>
      <c r="D457" t="s">
        <v>132</v>
      </c>
      <c r="E457" t="s">
        <v>7</v>
      </c>
      <c r="F457" t="s">
        <v>5734</v>
      </c>
      <c r="G457" s="1" t="s">
        <v>5730</v>
      </c>
      <c r="H457" s="1" t="s">
        <v>1856</v>
      </c>
    </row>
    <row r="458" spans="1:8" hidden="1" x14ac:dyDescent="0.3">
      <c r="A458" t="s">
        <v>6252</v>
      </c>
      <c r="B458" t="s">
        <v>6252</v>
      </c>
      <c r="C458" t="s">
        <v>3023</v>
      </c>
      <c r="D458" t="s">
        <v>132</v>
      </c>
      <c r="E458" t="s">
        <v>7</v>
      </c>
      <c r="F458" t="s">
        <v>5729</v>
      </c>
      <c r="G458" s="1" t="s">
        <v>5730</v>
      </c>
      <c r="H458" s="1" t="s">
        <v>1923</v>
      </c>
    </row>
    <row r="459" spans="1:8" hidden="1" x14ac:dyDescent="0.3">
      <c r="A459" t="s">
        <v>6253</v>
      </c>
      <c r="B459" t="s">
        <v>6253</v>
      </c>
      <c r="C459" t="s">
        <v>1311</v>
      </c>
      <c r="D459" t="s">
        <v>132</v>
      </c>
      <c r="E459" t="s">
        <v>7</v>
      </c>
      <c r="F459" t="s">
        <v>5734</v>
      </c>
      <c r="G459" s="1" t="s">
        <v>5730</v>
      </c>
      <c r="H459" s="1" t="s">
        <v>1856</v>
      </c>
    </row>
    <row r="460" spans="1:8" hidden="1" x14ac:dyDescent="0.3">
      <c r="A460" t="s">
        <v>6254</v>
      </c>
      <c r="B460" t="s">
        <v>6254</v>
      </c>
      <c r="C460" t="s">
        <v>1328</v>
      </c>
      <c r="D460" t="s">
        <v>132</v>
      </c>
      <c r="E460" t="s">
        <v>7</v>
      </c>
      <c r="F460" t="s">
        <v>5729</v>
      </c>
      <c r="G460" s="1" t="s">
        <v>5730</v>
      </c>
      <c r="H460" s="1" t="s">
        <v>1927</v>
      </c>
    </row>
    <row r="461" spans="1:8" hidden="1" x14ac:dyDescent="0.3">
      <c r="A461" t="s">
        <v>6255</v>
      </c>
      <c r="B461" t="s">
        <v>6255</v>
      </c>
      <c r="C461" t="s">
        <v>1344</v>
      </c>
      <c r="D461" t="s">
        <v>132</v>
      </c>
      <c r="E461" t="s">
        <v>7</v>
      </c>
      <c r="F461" t="s">
        <v>5729</v>
      </c>
      <c r="G461" s="1" t="s">
        <v>5730</v>
      </c>
      <c r="H461" s="1" t="s">
        <v>1923</v>
      </c>
    </row>
    <row r="462" spans="1:8" hidden="1" x14ac:dyDescent="0.3">
      <c r="A462" t="s">
        <v>6256</v>
      </c>
      <c r="B462" t="s">
        <v>6256</v>
      </c>
      <c r="C462" t="s">
        <v>1357</v>
      </c>
      <c r="D462" t="s">
        <v>132</v>
      </c>
      <c r="E462" t="s">
        <v>7</v>
      </c>
      <c r="F462" t="s">
        <v>5729</v>
      </c>
      <c r="G462" s="1" t="s">
        <v>5730</v>
      </c>
      <c r="H462" s="1" t="s">
        <v>1923</v>
      </c>
    </row>
    <row r="463" spans="1:8" hidden="1" x14ac:dyDescent="0.3">
      <c r="A463" t="s">
        <v>6257</v>
      </c>
      <c r="B463" t="s">
        <v>6257</v>
      </c>
      <c r="C463" t="s">
        <v>1215</v>
      </c>
      <c r="D463" t="s">
        <v>132</v>
      </c>
      <c r="E463" t="s">
        <v>7</v>
      </c>
      <c r="F463" t="s">
        <v>5729</v>
      </c>
      <c r="G463" s="1" t="s">
        <v>5730</v>
      </c>
      <c r="H463" s="1" t="s">
        <v>1923</v>
      </c>
    </row>
    <row r="464" spans="1:8" hidden="1" x14ac:dyDescent="0.3">
      <c r="A464" t="s">
        <v>6258</v>
      </c>
      <c r="B464" t="s">
        <v>6258</v>
      </c>
      <c r="C464" t="s">
        <v>1042</v>
      </c>
      <c r="D464" t="s">
        <v>132</v>
      </c>
      <c r="E464" t="s">
        <v>7</v>
      </c>
      <c r="F464" t="s">
        <v>5734</v>
      </c>
      <c r="G464" s="1" t="s">
        <v>5730</v>
      </c>
      <c r="H464" s="1" t="s">
        <v>1893</v>
      </c>
    </row>
    <row r="465" spans="1:8" hidden="1" x14ac:dyDescent="0.3">
      <c r="A465" t="s">
        <v>6259</v>
      </c>
      <c r="B465" t="s">
        <v>6259</v>
      </c>
      <c r="C465" t="s">
        <v>1389</v>
      </c>
      <c r="D465" t="s">
        <v>132</v>
      </c>
      <c r="E465" t="s">
        <v>7</v>
      </c>
      <c r="F465" t="s">
        <v>5729</v>
      </c>
      <c r="G465" s="1" t="s">
        <v>5730</v>
      </c>
      <c r="H465" s="1" t="s">
        <v>1856</v>
      </c>
    </row>
    <row r="466" spans="1:8" hidden="1" x14ac:dyDescent="0.3">
      <c r="A466" t="s">
        <v>6260</v>
      </c>
      <c r="B466" t="s">
        <v>6260</v>
      </c>
      <c r="C466" t="s">
        <v>132</v>
      </c>
      <c r="D466" t="s">
        <v>132</v>
      </c>
      <c r="E466" t="s">
        <v>7</v>
      </c>
      <c r="F466" t="s">
        <v>5734</v>
      </c>
      <c r="G466" s="1" t="s">
        <v>5730</v>
      </c>
      <c r="H466" s="1" t="s">
        <v>1923</v>
      </c>
    </row>
    <row r="467" spans="1:8" hidden="1" x14ac:dyDescent="0.3">
      <c r="A467" t="s">
        <v>6261</v>
      </c>
      <c r="B467" t="s">
        <v>6261</v>
      </c>
      <c r="C467" t="s">
        <v>1409</v>
      </c>
      <c r="D467" t="s">
        <v>132</v>
      </c>
      <c r="E467" t="s">
        <v>7</v>
      </c>
      <c r="F467" t="s">
        <v>5729</v>
      </c>
      <c r="G467" s="1" t="s">
        <v>5730</v>
      </c>
      <c r="H467" s="1" t="s">
        <v>1856</v>
      </c>
    </row>
    <row r="468" spans="1:8" hidden="1" x14ac:dyDescent="0.3">
      <c r="A468" t="s">
        <v>6262</v>
      </c>
      <c r="B468" t="s">
        <v>6262</v>
      </c>
      <c r="C468" t="s">
        <v>1418</v>
      </c>
      <c r="D468" t="s">
        <v>132</v>
      </c>
      <c r="E468" t="s">
        <v>7</v>
      </c>
      <c r="F468" t="s">
        <v>5729</v>
      </c>
      <c r="G468" s="1" t="s">
        <v>5730</v>
      </c>
      <c r="H468" s="1" t="s">
        <v>1923</v>
      </c>
    </row>
    <row r="469" spans="1:8" hidden="1" x14ac:dyDescent="0.3">
      <c r="A469" t="s">
        <v>6263</v>
      </c>
      <c r="B469" t="s">
        <v>6263</v>
      </c>
      <c r="C469" t="s">
        <v>3046</v>
      </c>
      <c r="D469" t="s">
        <v>132</v>
      </c>
      <c r="E469" t="s">
        <v>7</v>
      </c>
      <c r="F469" t="s">
        <v>5729</v>
      </c>
      <c r="G469" s="1" t="s">
        <v>5730</v>
      </c>
      <c r="H469" s="1" t="s">
        <v>1874</v>
      </c>
    </row>
    <row r="470" spans="1:8" hidden="1" x14ac:dyDescent="0.3">
      <c r="A470" t="s">
        <v>6264</v>
      </c>
      <c r="B470" t="s">
        <v>6264</v>
      </c>
      <c r="C470" t="s">
        <v>2618</v>
      </c>
      <c r="D470" t="s">
        <v>132</v>
      </c>
      <c r="E470" t="s">
        <v>7</v>
      </c>
      <c r="F470" t="s">
        <v>5734</v>
      </c>
      <c r="G470" s="1" t="s">
        <v>5730</v>
      </c>
      <c r="H470" s="1" t="s">
        <v>1927</v>
      </c>
    </row>
    <row r="471" spans="1:8" hidden="1" x14ac:dyDescent="0.3">
      <c r="A471" t="s">
        <v>6265</v>
      </c>
      <c r="B471" t="s">
        <v>6265</v>
      </c>
      <c r="C471" t="s">
        <v>6266</v>
      </c>
      <c r="D471" t="s">
        <v>132</v>
      </c>
      <c r="E471" t="s">
        <v>7</v>
      </c>
      <c r="F471" t="s">
        <v>5729</v>
      </c>
      <c r="G471" s="1" t="s">
        <v>5730</v>
      </c>
      <c r="H471" s="1" t="s">
        <v>1856</v>
      </c>
    </row>
    <row r="472" spans="1:8" hidden="1" x14ac:dyDescent="0.3">
      <c r="A472" t="s">
        <v>6267</v>
      </c>
      <c r="B472" t="s">
        <v>6267</v>
      </c>
      <c r="C472" t="s">
        <v>2750</v>
      </c>
      <c r="D472" t="s">
        <v>132</v>
      </c>
      <c r="E472" t="s">
        <v>7</v>
      </c>
      <c r="F472" t="s">
        <v>5729</v>
      </c>
      <c r="G472" s="1" t="s">
        <v>5730</v>
      </c>
      <c r="H472" s="1" t="s">
        <v>1856</v>
      </c>
    </row>
    <row r="473" spans="1:8" hidden="1" x14ac:dyDescent="0.3">
      <c r="A473" t="s">
        <v>6268</v>
      </c>
      <c r="B473" t="s">
        <v>6268</v>
      </c>
      <c r="C473" t="s">
        <v>1445</v>
      </c>
      <c r="D473" t="s">
        <v>132</v>
      </c>
      <c r="E473" t="s">
        <v>7</v>
      </c>
      <c r="F473" t="s">
        <v>5781</v>
      </c>
      <c r="G473" s="1" t="s">
        <v>5730</v>
      </c>
      <c r="H473" s="1" t="s">
        <v>1856</v>
      </c>
    </row>
    <row r="474" spans="1:8" hidden="1" x14ac:dyDescent="0.3">
      <c r="A474" t="s">
        <v>6269</v>
      </c>
      <c r="B474" t="s">
        <v>6269</v>
      </c>
      <c r="C474" t="s">
        <v>1448</v>
      </c>
      <c r="D474" t="s">
        <v>132</v>
      </c>
      <c r="E474" t="s">
        <v>7</v>
      </c>
      <c r="F474" t="s">
        <v>5734</v>
      </c>
      <c r="G474" s="1" t="s">
        <v>5730</v>
      </c>
      <c r="H474" s="1" t="s">
        <v>1856</v>
      </c>
    </row>
    <row r="475" spans="1:8" hidden="1" x14ac:dyDescent="0.3">
      <c r="A475" t="s">
        <v>6270</v>
      </c>
      <c r="B475" t="s">
        <v>6270</v>
      </c>
      <c r="C475" t="s">
        <v>3060</v>
      </c>
      <c r="D475" t="s">
        <v>132</v>
      </c>
      <c r="E475" t="s">
        <v>7</v>
      </c>
      <c r="F475" t="s">
        <v>5734</v>
      </c>
      <c r="G475" s="1" t="s">
        <v>1961</v>
      </c>
      <c r="H475" s="1" t="s">
        <v>1927</v>
      </c>
    </row>
    <row r="476" spans="1:8" hidden="1" x14ac:dyDescent="0.3">
      <c r="A476" t="s">
        <v>6271</v>
      </c>
      <c r="B476" t="s">
        <v>6271</v>
      </c>
      <c r="C476" t="s">
        <v>1452</v>
      </c>
      <c r="D476" t="s">
        <v>132</v>
      </c>
      <c r="E476" t="s">
        <v>7</v>
      </c>
      <c r="F476" t="s">
        <v>5734</v>
      </c>
      <c r="G476" s="1" t="s">
        <v>5730</v>
      </c>
      <c r="H476" s="1" t="s">
        <v>1856</v>
      </c>
    </row>
    <row r="477" spans="1:8" hidden="1" x14ac:dyDescent="0.3">
      <c r="A477" t="s">
        <v>6272</v>
      </c>
      <c r="B477" t="s">
        <v>6272</v>
      </c>
      <c r="C477" t="s">
        <v>1455</v>
      </c>
      <c r="D477" t="s">
        <v>132</v>
      </c>
      <c r="E477" t="s">
        <v>7</v>
      </c>
      <c r="F477" t="s">
        <v>5729</v>
      </c>
      <c r="G477" s="1" t="s">
        <v>5730</v>
      </c>
      <c r="H477" s="1" t="s">
        <v>1927</v>
      </c>
    </row>
    <row r="478" spans="1:8" hidden="1" x14ac:dyDescent="0.3">
      <c r="A478" t="s">
        <v>6273</v>
      </c>
      <c r="B478" t="s">
        <v>6273</v>
      </c>
      <c r="C478" t="s">
        <v>186</v>
      </c>
      <c r="D478" t="s">
        <v>145</v>
      </c>
      <c r="E478" t="s">
        <v>7</v>
      </c>
      <c r="F478" t="s">
        <v>5734</v>
      </c>
      <c r="G478" s="1" t="s">
        <v>5730</v>
      </c>
      <c r="H478" s="1" t="s">
        <v>1856</v>
      </c>
    </row>
    <row r="479" spans="1:8" hidden="1" x14ac:dyDescent="0.3">
      <c r="A479" t="s">
        <v>6274</v>
      </c>
      <c r="B479" t="s">
        <v>6274</v>
      </c>
      <c r="C479" t="s">
        <v>3069</v>
      </c>
      <c r="D479" t="s">
        <v>145</v>
      </c>
      <c r="E479" t="s">
        <v>7</v>
      </c>
      <c r="F479" t="s">
        <v>5747</v>
      </c>
      <c r="G479" s="1" t="s">
        <v>1961</v>
      </c>
      <c r="H479" s="1" t="s">
        <v>1856</v>
      </c>
    </row>
    <row r="480" spans="1:8" hidden="1" x14ac:dyDescent="0.3">
      <c r="A480" t="s">
        <v>6275</v>
      </c>
      <c r="B480" t="s">
        <v>6275</v>
      </c>
      <c r="C480" t="s">
        <v>261</v>
      </c>
      <c r="D480" t="s">
        <v>145</v>
      </c>
      <c r="E480" t="s">
        <v>7</v>
      </c>
      <c r="F480" t="s">
        <v>5781</v>
      </c>
      <c r="G480" s="1" t="s">
        <v>5730</v>
      </c>
      <c r="H480" s="1" t="s">
        <v>1856</v>
      </c>
    </row>
    <row r="481" spans="1:8" hidden="1" x14ac:dyDescent="0.3">
      <c r="A481" t="s">
        <v>6276</v>
      </c>
      <c r="B481" t="s">
        <v>6276</v>
      </c>
      <c r="C481" t="s">
        <v>332</v>
      </c>
      <c r="D481" t="s">
        <v>145</v>
      </c>
      <c r="E481" t="s">
        <v>7</v>
      </c>
      <c r="F481" t="s">
        <v>5729</v>
      </c>
      <c r="G481" s="1" t="s">
        <v>5730</v>
      </c>
      <c r="H481" s="1" t="s">
        <v>1856</v>
      </c>
    </row>
    <row r="482" spans="1:8" hidden="1" x14ac:dyDescent="0.3">
      <c r="A482" t="s">
        <v>6277</v>
      </c>
      <c r="B482" t="s">
        <v>6277</v>
      </c>
      <c r="C482" t="s">
        <v>403</v>
      </c>
      <c r="D482" t="s">
        <v>145</v>
      </c>
      <c r="E482" t="s">
        <v>7</v>
      </c>
      <c r="F482" t="s">
        <v>5781</v>
      </c>
      <c r="G482" s="1" t="s">
        <v>5730</v>
      </c>
      <c r="H482" s="1" t="s">
        <v>1856</v>
      </c>
    </row>
    <row r="483" spans="1:8" hidden="1" x14ac:dyDescent="0.3">
      <c r="A483" t="s">
        <v>6278</v>
      </c>
      <c r="B483" t="s">
        <v>6278</v>
      </c>
      <c r="C483" t="s">
        <v>477</v>
      </c>
      <c r="D483" t="s">
        <v>145</v>
      </c>
      <c r="E483" t="s">
        <v>7</v>
      </c>
      <c r="F483" t="s">
        <v>5729</v>
      </c>
      <c r="G483" s="1" t="s">
        <v>5730</v>
      </c>
      <c r="H483" s="1" t="s">
        <v>1874</v>
      </c>
    </row>
    <row r="484" spans="1:8" hidden="1" x14ac:dyDescent="0.3">
      <c r="A484" t="s">
        <v>6279</v>
      </c>
      <c r="B484" t="s">
        <v>6279</v>
      </c>
      <c r="C484" t="s">
        <v>616</v>
      </c>
      <c r="D484" t="s">
        <v>145</v>
      </c>
      <c r="E484" t="s">
        <v>7</v>
      </c>
      <c r="F484" t="s">
        <v>5729</v>
      </c>
      <c r="G484" s="1" t="s">
        <v>5730</v>
      </c>
      <c r="H484" s="1" t="s">
        <v>1927</v>
      </c>
    </row>
    <row r="485" spans="1:8" hidden="1" x14ac:dyDescent="0.3">
      <c r="A485" t="s">
        <v>6280</v>
      </c>
      <c r="B485" t="s">
        <v>6280</v>
      </c>
      <c r="C485" t="s">
        <v>6281</v>
      </c>
      <c r="D485" t="s">
        <v>145</v>
      </c>
      <c r="E485" t="s">
        <v>7</v>
      </c>
      <c r="F485" t="s">
        <v>5781</v>
      </c>
      <c r="G485" s="1" t="s">
        <v>5730</v>
      </c>
      <c r="H485" s="1" t="s">
        <v>1856</v>
      </c>
    </row>
    <row r="486" spans="1:8" hidden="1" x14ac:dyDescent="0.3">
      <c r="A486" t="s">
        <v>6282</v>
      </c>
      <c r="B486" t="s">
        <v>6282</v>
      </c>
      <c r="C486" t="s">
        <v>673</v>
      </c>
      <c r="D486" t="s">
        <v>145</v>
      </c>
      <c r="E486" t="s">
        <v>7</v>
      </c>
      <c r="F486" t="s">
        <v>5734</v>
      </c>
      <c r="G486" s="1" t="s">
        <v>5730</v>
      </c>
      <c r="H486" s="1" t="s">
        <v>1856</v>
      </c>
    </row>
    <row r="487" spans="1:8" hidden="1" x14ac:dyDescent="0.3">
      <c r="A487" t="s">
        <v>6283</v>
      </c>
      <c r="B487" t="s">
        <v>6283</v>
      </c>
      <c r="C487" t="s">
        <v>746</v>
      </c>
      <c r="D487" t="s">
        <v>145</v>
      </c>
      <c r="E487" t="s">
        <v>7</v>
      </c>
      <c r="F487" t="s">
        <v>5734</v>
      </c>
      <c r="G487" s="1" t="s">
        <v>5730</v>
      </c>
      <c r="H487" s="1" t="s">
        <v>1856</v>
      </c>
    </row>
    <row r="488" spans="1:8" hidden="1" x14ac:dyDescent="0.3">
      <c r="A488" t="s">
        <v>6284</v>
      </c>
      <c r="B488" t="s">
        <v>6284</v>
      </c>
      <c r="C488" t="s">
        <v>2419</v>
      </c>
      <c r="D488" t="s">
        <v>145</v>
      </c>
      <c r="E488" t="s">
        <v>7</v>
      </c>
      <c r="F488" t="s">
        <v>5781</v>
      </c>
      <c r="G488" s="1" t="s">
        <v>5730</v>
      </c>
      <c r="H488" s="1" t="s">
        <v>1856</v>
      </c>
    </row>
    <row r="489" spans="1:8" hidden="1" x14ac:dyDescent="0.3">
      <c r="A489" t="s">
        <v>6285</v>
      </c>
      <c r="B489" t="s">
        <v>6285</v>
      </c>
      <c r="C489" t="s">
        <v>920</v>
      </c>
      <c r="D489" t="s">
        <v>145</v>
      </c>
      <c r="E489" t="s">
        <v>7</v>
      </c>
      <c r="F489" t="s">
        <v>5734</v>
      </c>
      <c r="G489" s="1" t="s">
        <v>5730</v>
      </c>
      <c r="H489" s="1" t="s">
        <v>1856</v>
      </c>
    </row>
    <row r="490" spans="1:8" hidden="1" x14ac:dyDescent="0.3">
      <c r="A490" t="s">
        <v>6286</v>
      </c>
      <c r="B490" t="s">
        <v>6286</v>
      </c>
      <c r="C490" t="s">
        <v>972</v>
      </c>
      <c r="D490" t="s">
        <v>145</v>
      </c>
      <c r="E490" t="s">
        <v>7</v>
      </c>
      <c r="F490" t="s">
        <v>5781</v>
      </c>
      <c r="G490" s="1" t="s">
        <v>5730</v>
      </c>
      <c r="H490" s="1" t="s">
        <v>1856</v>
      </c>
    </row>
    <row r="491" spans="1:8" hidden="1" x14ac:dyDescent="0.3">
      <c r="A491" t="s">
        <v>6287</v>
      </c>
      <c r="B491" t="s">
        <v>6287</v>
      </c>
      <c r="C491" t="s">
        <v>1018</v>
      </c>
      <c r="D491" t="s">
        <v>145</v>
      </c>
      <c r="E491" t="s">
        <v>7</v>
      </c>
      <c r="F491" t="s">
        <v>5729</v>
      </c>
      <c r="G491" s="1" t="s">
        <v>5730</v>
      </c>
      <c r="H491" s="1" t="s">
        <v>1856</v>
      </c>
    </row>
    <row r="492" spans="1:8" hidden="1" x14ac:dyDescent="0.3">
      <c r="A492" t="s">
        <v>6288</v>
      </c>
      <c r="B492" t="s">
        <v>6288</v>
      </c>
      <c r="C492" t="s">
        <v>192</v>
      </c>
      <c r="D492" t="s">
        <v>84</v>
      </c>
      <c r="E492" t="s">
        <v>9</v>
      </c>
      <c r="F492" t="s">
        <v>5734</v>
      </c>
      <c r="G492" s="1" t="s">
        <v>5730</v>
      </c>
      <c r="H492" s="1" t="s">
        <v>1856</v>
      </c>
    </row>
    <row r="493" spans="1:8" hidden="1" x14ac:dyDescent="0.3">
      <c r="A493" t="s">
        <v>6289</v>
      </c>
      <c r="B493" t="s">
        <v>6289</v>
      </c>
      <c r="C493" t="s">
        <v>266</v>
      </c>
      <c r="D493" t="s">
        <v>84</v>
      </c>
      <c r="E493" t="s">
        <v>9</v>
      </c>
      <c r="F493" t="s">
        <v>5729</v>
      </c>
      <c r="G493" s="1" t="s">
        <v>5730</v>
      </c>
      <c r="H493" s="1" t="s">
        <v>1856</v>
      </c>
    </row>
    <row r="494" spans="1:8" hidden="1" x14ac:dyDescent="0.3">
      <c r="A494" t="s">
        <v>6290</v>
      </c>
      <c r="B494" t="s">
        <v>6290</v>
      </c>
      <c r="C494" t="s">
        <v>6291</v>
      </c>
      <c r="D494" t="s">
        <v>84</v>
      </c>
      <c r="E494" t="s">
        <v>9</v>
      </c>
      <c r="F494" t="s">
        <v>5734</v>
      </c>
      <c r="G494" s="1" t="s">
        <v>5730</v>
      </c>
      <c r="H494" s="1" t="s">
        <v>1856</v>
      </c>
    </row>
    <row r="495" spans="1:8" hidden="1" x14ac:dyDescent="0.3">
      <c r="A495" t="s">
        <v>6292</v>
      </c>
      <c r="B495" t="s">
        <v>6292</v>
      </c>
      <c r="C495" t="s">
        <v>621</v>
      </c>
      <c r="D495" t="s">
        <v>84</v>
      </c>
      <c r="E495" t="s">
        <v>9</v>
      </c>
      <c r="F495" t="s">
        <v>5734</v>
      </c>
      <c r="G495" s="1" t="s">
        <v>5730</v>
      </c>
      <c r="H495" s="1" t="s">
        <v>1856</v>
      </c>
    </row>
    <row r="496" spans="1:8" hidden="1" x14ac:dyDescent="0.3">
      <c r="A496" t="s">
        <v>6293</v>
      </c>
      <c r="B496" t="s">
        <v>6293</v>
      </c>
      <c r="C496" t="s">
        <v>686</v>
      </c>
      <c r="D496" t="s">
        <v>84</v>
      </c>
      <c r="E496" t="s">
        <v>9</v>
      </c>
      <c r="F496" t="s">
        <v>5729</v>
      </c>
      <c r="G496" s="1" t="s">
        <v>5730</v>
      </c>
      <c r="H496" s="1" t="s">
        <v>1923</v>
      </c>
    </row>
    <row r="497" spans="1:8" hidden="1" x14ac:dyDescent="0.3">
      <c r="A497" t="s">
        <v>6294</v>
      </c>
      <c r="B497" t="s">
        <v>6294</v>
      </c>
      <c r="C497" t="s">
        <v>6295</v>
      </c>
      <c r="D497" t="s">
        <v>84</v>
      </c>
      <c r="E497" t="s">
        <v>9</v>
      </c>
      <c r="F497" t="s">
        <v>5747</v>
      </c>
      <c r="G497" s="1" t="s">
        <v>1961</v>
      </c>
      <c r="H497" s="1" t="s">
        <v>1856</v>
      </c>
    </row>
    <row r="498" spans="1:8" hidden="1" x14ac:dyDescent="0.3">
      <c r="A498" t="s">
        <v>6296</v>
      </c>
      <c r="B498" t="s">
        <v>6296</v>
      </c>
      <c r="C498" t="s">
        <v>751</v>
      </c>
      <c r="D498" t="s">
        <v>84</v>
      </c>
      <c r="E498" t="s">
        <v>9</v>
      </c>
      <c r="F498" t="s">
        <v>5734</v>
      </c>
      <c r="G498" s="1" t="s">
        <v>5730</v>
      </c>
      <c r="H498" s="1" t="s">
        <v>1856</v>
      </c>
    </row>
    <row r="499" spans="1:8" hidden="1" x14ac:dyDescent="0.3">
      <c r="A499" t="s">
        <v>6297</v>
      </c>
      <c r="B499" t="s">
        <v>6297</v>
      </c>
      <c r="C499" t="s">
        <v>3204</v>
      </c>
      <c r="D499" t="s">
        <v>84</v>
      </c>
      <c r="E499" t="s">
        <v>9</v>
      </c>
      <c r="F499" t="s">
        <v>5781</v>
      </c>
      <c r="G499" s="1" t="s">
        <v>1961</v>
      </c>
      <c r="H499" s="1" t="s">
        <v>1927</v>
      </c>
    </row>
    <row r="500" spans="1:8" hidden="1" x14ac:dyDescent="0.3">
      <c r="A500" t="s">
        <v>6298</v>
      </c>
      <c r="B500" t="s">
        <v>6298</v>
      </c>
      <c r="C500" t="s">
        <v>812</v>
      </c>
      <c r="D500" t="s">
        <v>84</v>
      </c>
      <c r="E500" t="s">
        <v>9</v>
      </c>
      <c r="F500" t="s">
        <v>5729</v>
      </c>
      <c r="G500" s="1" t="s">
        <v>5730</v>
      </c>
      <c r="H500" s="1" t="s">
        <v>1856</v>
      </c>
    </row>
    <row r="501" spans="1:8" hidden="1" x14ac:dyDescent="0.3">
      <c r="A501" t="s">
        <v>6299</v>
      </c>
      <c r="B501" t="s">
        <v>6299</v>
      </c>
      <c r="C501" t="s">
        <v>867</v>
      </c>
      <c r="D501" t="s">
        <v>84</v>
      </c>
      <c r="E501" t="s">
        <v>9</v>
      </c>
      <c r="F501" t="s">
        <v>5729</v>
      </c>
      <c r="G501" s="1" t="s">
        <v>5730</v>
      </c>
      <c r="H501" s="1" t="s">
        <v>1874</v>
      </c>
    </row>
    <row r="502" spans="1:8" hidden="1" x14ac:dyDescent="0.3">
      <c r="A502" t="s">
        <v>6300</v>
      </c>
      <c r="B502" t="s">
        <v>6300</v>
      </c>
      <c r="C502" t="s">
        <v>924</v>
      </c>
      <c r="D502" t="s">
        <v>84</v>
      </c>
      <c r="E502" t="s">
        <v>9</v>
      </c>
      <c r="F502" t="s">
        <v>5729</v>
      </c>
      <c r="G502" s="1" t="s">
        <v>5730</v>
      </c>
      <c r="H502" s="1" t="s">
        <v>1874</v>
      </c>
    </row>
    <row r="503" spans="1:8" hidden="1" x14ac:dyDescent="0.3">
      <c r="A503" t="s">
        <v>6301</v>
      </c>
      <c r="B503" t="s">
        <v>6301</v>
      </c>
      <c r="C503" t="s">
        <v>975</v>
      </c>
      <c r="D503" t="s">
        <v>84</v>
      </c>
      <c r="E503" t="s">
        <v>9</v>
      </c>
      <c r="F503" t="s">
        <v>5734</v>
      </c>
      <c r="G503" s="1" t="s">
        <v>5730</v>
      </c>
      <c r="H503" s="1" t="s">
        <v>1856</v>
      </c>
    </row>
    <row r="504" spans="1:8" hidden="1" x14ac:dyDescent="0.3">
      <c r="A504" t="s">
        <v>6302</v>
      </c>
      <c r="B504" t="s">
        <v>6302</v>
      </c>
      <c r="C504" t="s">
        <v>3215</v>
      </c>
      <c r="D504" t="s">
        <v>84</v>
      </c>
      <c r="E504" t="s">
        <v>9</v>
      </c>
      <c r="F504" t="s">
        <v>5729</v>
      </c>
      <c r="G504" s="1" t="s">
        <v>5730</v>
      </c>
      <c r="H504" s="1" t="s">
        <v>1856</v>
      </c>
    </row>
    <row r="505" spans="1:8" hidden="1" x14ac:dyDescent="0.3">
      <c r="A505" t="s">
        <v>6303</v>
      </c>
      <c r="B505" t="s">
        <v>6303</v>
      </c>
      <c r="C505" t="s">
        <v>1065</v>
      </c>
      <c r="D505" t="s">
        <v>84</v>
      </c>
      <c r="E505" t="s">
        <v>9</v>
      </c>
      <c r="F505" t="s">
        <v>5734</v>
      </c>
      <c r="G505" s="1" t="s">
        <v>5730</v>
      </c>
      <c r="H505" s="1" t="s">
        <v>1856</v>
      </c>
    </row>
    <row r="506" spans="1:8" hidden="1" x14ac:dyDescent="0.3">
      <c r="A506" t="s">
        <v>6304</v>
      </c>
      <c r="B506" t="s">
        <v>6304</v>
      </c>
      <c r="C506" t="s">
        <v>1104</v>
      </c>
      <c r="D506" t="s">
        <v>84</v>
      </c>
      <c r="E506" t="s">
        <v>9</v>
      </c>
      <c r="F506" t="s">
        <v>5729</v>
      </c>
      <c r="G506" s="1" t="s">
        <v>5730</v>
      </c>
      <c r="H506" s="1" t="s">
        <v>1874</v>
      </c>
    </row>
    <row r="507" spans="1:8" hidden="1" x14ac:dyDescent="0.3">
      <c r="A507" t="s">
        <v>6305</v>
      </c>
      <c r="B507" t="s">
        <v>6305</v>
      </c>
      <c r="C507" t="s">
        <v>6306</v>
      </c>
      <c r="D507" t="s">
        <v>84</v>
      </c>
      <c r="E507" t="s">
        <v>9</v>
      </c>
      <c r="F507" t="s">
        <v>5729</v>
      </c>
      <c r="G507" s="1" t="s">
        <v>5730</v>
      </c>
      <c r="H507" s="1" t="s">
        <v>1874</v>
      </c>
    </row>
    <row r="508" spans="1:8" hidden="1" x14ac:dyDescent="0.3">
      <c r="A508" t="s">
        <v>6307</v>
      </c>
      <c r="B508" t="s">
        <v>6307</v>
      </c>
      <c r="C508" t="s">
        <v>3225</v>
      </c>
      <c r="D508" t="s">
        <v>84</v>
      </c>
      <c r="E508" t="s">
        <v>9</v>
      </c>
      <c r="F508" t="s">
        <v>5781</v>
      </c>
      <c r="G508" s="1" t="s">
        <v>1961</v>
      </c>
      <c r="H508" s="1" t="s">
        <v>1927</v>
      </c>
    </row>
    <row r="509" spans="1:8" hidden="1" x14ac:dyDescent="0.3">
      <c r="A509" t="s">
        <v>6308</v>
      </c>
      <c r="B509" t="s">
        <v>6308</v>
      </c>
      <c r="C509" t="s">
        <v>1173</v>
      </c>
      <c r="D509" t="s">
        <v>84</v>
      </c>
      <c r="E509" t="s">
        <v>9</v>
      </c>
      <c r="F509" t="s">
        <v>5734</v>
      </c>
      <c r="G509" s="1" t="s">
        <v>5730</v>
      </c>
      <c r="H509" s="1" t="s">
        <v>1856</v>
      </c>
    </row>
    <row r="510" spans="1:8" hidden="1" x14ac:dyDescent="0.3">
      <c r="A510" t="s">
        <v>6309</v>
      </c>
      <c r="B510" t="s">
        <v>6309</v>
      </c>
      <c r="C510" t="s">
        <v>193</v>
      </c>
      <c r="D510" t="s">
        <v>3230</v>
      </c>
      <c r="E510" t="s">
        <v>9</v>
      </c>
      <c r="F510" t="s">
        <v>5729</v>
      </c>
      <c r="G510" s="1" t="s">
        <v>5730</v>
      </c>
      <c r="H510" s="1" t="s">
        <v>1856</v>
      </c>
    </row>
    <row r="511" spans="1:8" hidden="1" x14ac:dyDescent="0.3">
      <c r="A511" t="s">
        <v>6310</v>
      </c>
      <c r="B511" t="s">
        <v>6310</v>
      </c>
      <c r="C511" t="s">
        <v>267</v>
      </c>
      <c r="D511" t="s">
        <v>3230</v>
      </c>
      <c r="E511" t="s">
        <v>9</v>
      </c>
      <c r="F511" t="s">
        <v>5729</v>
      </c>
      <c r="G511" s="1" t="s">
        <v>5730</v>
      </c>
      <c r="H511" s="1" t="s">
        <v>1856</v>
      </c>
    </row>
    <row r="512" spans="1:8" hidden="1" x14ac:dyDescent="0.3">
      <c r="A512" t="s">
        <v>6311</v>
      </c>
      <c r="B512" t="s">
        <v>6311</v>
      </c>
      <c r="C512" t="s">
        <v>6312</v>
      </c>
      <c r="D512" t="s">
        <v>3230</v>
      </c>
      <c r="E512" t="s">
        <v>9</v>
      </c>
      <c r="F512" t="s">
        <v>5781</v>
      </c>
      <c r="G512" s="1" t="s">
        <v>5730</v>
      </c>
      <c r="H512" s="1" t="s">
        <v>1856</v>
      </c>
    </row>
    <row r="513" spans="1:8" hidden="1" x14ac:dyDescent="0.3">
      <c r="A513" t="s">
        <v>6313</v>
      </c>
      <c r="B513" t="s">
        <v>6313</v>
      </c>
      <c r="C513" t="s">
        <v>6314</v>
      </c>
      <c r="D513" t="s">
        <v>3230</v>
      </c>
      <c r="E513" t="s">
        <v>9</v>
      </c>
      <c r="F513" t="s">
        <v>5729</v>
      </c>
      <c r="G513" s="1" t="s">
        <v>5730</v>
      </c>
      <c r="H513" s="1" t="s">
        <v>1893</v>
      </c>
    </row>
    <row r="514" spans="1:8" hidden="1" x14ac:dyDescent="0.3">
      <c r="A514" t="s">
        <v>6315</v>
      </c>
      <c r="B514" t="s">
        <v>6315</v>
      </c>
      <c r="C514" t="s">
        <v>3240</v>
      </c>
      <c r="D514" t="s">
        <v>3230</v>
      </c>
      <c r="E514" t="s">
        <v>9</v>
      </c>
      <c r="F514" t="s">
        <v>5734</v>
      </c>
      <c r="G514" s="1" t="s">
        <v>5730</v>
      </c>
      <c r="H514" s="1" t="s">
        <v>1856</v>
      </c>
    </row>
    <row r="515" spans="1:8" hidden="1" x14ac:dyDescent="0.3">
      <c r="A515" t="s">
        <v>6316</v>
      </c>
      <c r="B515" t="s">
        <v>6316</v>
      </c>
      <c r="C515" t="s">
        <v>484</v>
      </c>
      <c r="D515" t="s">
        <v>3230</v>
      </c>
      <c r="E515" t="s">
        <v>9</v>
      </c>
      <c r="F515" t="s">
        <v>5734</v>
      </c>
      <c r="G515" s="1" t="s">
        <v>5730</v>
      </c>
      <c r="H515" s="1" t="s">
        <v>1856</v>
      </c>
    </row>
    <row r="516" spans="1:8" hidden="1" x14ac:dyDescent="0.3">
      <c r="A516" t="s">
        <v>6317</v>
      </c>
      <c r="B516" t="s">
        <v>6317</v>
      </c>
      <c r="C516" t="s">
        <v>556</v>
      </c>
      <c r="D516" t="s">
        <v>3230</v>
      </c>
      <c r="E516" t="s">
        <v>9</v>
      </c>
      <c r="F516" t="s">
        <v>5729</v>
      </c>
      <c r="G516" s="1" t="s">
        <v>5730</v>
      </c>
      <c r="H516" s="1" t="s">
        <v>1856</v>
      </c>
    </row>
    <row r="517" spans="1:8" hidden="1" x14ac:dyDescent="0.3">
      <c r="A517" t="s">
        <v>6318</v>
      </c>
      <c r="B517" t="s">
        <v>6318</v>
      </c>
      <c r="C517" t="s">
        <v>622</v>
      </c>
      <c r="D517" t="s">
        <v>3230</v>
      </c>
      <c r="E517" t="s">
        <v>9</v>
      </c>
      <c r="F517" t="s">
        <v>5734</v>
      </c>
      <c r="G517" s="1" t="s">
        <v>5730</v>
      </c>
      <c r="H517" s="1" t="s">
        <v>1856</v>
      </c>
    </row>
    <row r="518" spans="1:8" hidden="1" x14ac:dyDescent="0.3">
      <c r="A518" t="s">
        <v>6319</v>
      </c>
      <c r="B518" t="s">
        <v>6319</v>
      </c>
      <c r="C518" t="s">
        <v>2089</v>
      </c>
      <c r="D518" t="s">
        <v>3230</v>
      </c>
      <c r="E518" t="s">
        <v>9</v>
      </c>
      <c r="F518" t="s">
        <v>5729</v>
      </c>
      <c r="G518" s="1" t="s">
        <v>5730</v>
      </c>
      <c r="H518" s="1" t="s">
        <v>1923</v>
      </c>
    </row>
    <row r="519" spans="1:8" hidden="1" x14ac:dyDescent="0.3">
      <c r="A519" t="s">
        <v>6320</v>
      </c>
      <c r="B519" t="s">
        <v>6320</v>
      </c>
      <c r="C519" t="s">
        <v>3251</v>
      </c>
      <c r="D519" t="s">
        <v>3230</v>
      </c>
      <c r="E519" t="s">
        <v>9</v>
      </c>
      <c r="F519" t="s">
        <v>5729</v>
      </c>
      <c r="G519" s="1" t="s">
        <v>5730</v>
      </c>
      <c r="H519" s="1" t="s">
        <v>1856</v>
      </c>
    </row>
    <row r="520" spans="1:8" hidden="1" x14ac:dyDescent="0.3">
      <c r="A520" t="s">
        <v>6321</v>
      </c>
      <c r="B520" t="s">
        <v>6321</v>
      </c>
      <c r="C520" t="s">
        <v>868</v>
      </c>
      <c r="D520" t="s">
        <v>3230</v>
      </c>
      <c r="E520" t="s">
        <v>9</v>
      </c>
      <c r="F520" t="s">
        <v>5729</v>
      </c>
      <c r="G520" s="1" t="s">
        <v>5730</v>
      </c>
      <c r="H520" s="1" t="s">
        <v>1923</v>
      </c>
    </row>
    <row r="521" spans="1:8" hidden="1" x14ac:dyDescent="0.3">
      <c r="A521" t="s">
        <v>6322</v>
      </c>
      <c r="B521" t="s">
        <v>6322</v>
      </c>
      <c r="C521" t="s">
        <v>925</v>
      </c>
      <c r="D521" t="s">
        <v>3230</v>
      </c>
      <c r="E521" t="s">
        <v>9</v>
      </c>
      <c r="F521" t="s">
        <v>5729</v>
      </c>
      <c r="G521" s="1" t="s">
        <v>5730</v>
      </c>
      <c r="H521" s="1" t="s">
        <v>1874</v>
      </c>
    </row>
    <row r="522" spans="1:8" hidden="1" x14ac:dyDescent="0.3">
      <c r="A522" t="s">
        <v>6323</v>
      </c>
      <c r="B522" t="s">
        <v>6323</v>
      </c>
      <c r="C522" t="s">
        <v>194</v>
      </c>
      <c r="D522" t="s">
        <v>3258</v>
      </c>
      <c r="E522" t="s">
        <v>9</v>
      </c>
      <c r="F522" t="s">
        <v>5734</v>
      </c>
      <c r="G522" s="1" t="s">
        <v>5730</v>
      </c>
      <c r="H522" s="1" t="s">
        <v>1856</v>
      </c>
    </row>
    <row r="523" spans="1:8" hidden="1" x14ac:dyDescent="0.3">
      <c r="A523" t="s">
        <v>6324</v>
      </c>
      <c r="B523" t="s">
        <v>6324</v>
      </c>
      <c r="C523" t="s">
        <v>268</v>
      </c>
      <c r="D523" t="s">
        <v>3258</v>
      </c>
      <c r="E523" t="s">
        <v>9</v>
      </c>
      <c r="F523" t="s">
        <v>5729</v>
      </c>
      <c r="G523" s="1" t="s">
        <v>5730</v>
      </c>
      <c r="H523" s="1" t="s">
        <v>1927</v>
      </c>
    </row>
    <row r="524" spans="1:8" hidden="1" x14ac:dyDescent="0.3">
      <c r="A524" t="s">
        <v>6325</v>
      </c>
      <c r="B524" t="s">
        <v>6325</v>
      </c>
      <c r="C524" t="s">
        <v>340</v>
      </c>
      <c r="D524" t="s">
        <v>3258</v>
      </c>
      <c r="E524" t="s">
        <v>9</v>
      </c>
      <c r="F524" t="s">
        <v>5729</v>
      </c>
      <c r="G524" s="1" t="s">
        <v>5730</v>
      </c>
      <c r="H524" s="1" t="s">
        <v>1874</v>
      </c>
    </row>
    <row r="525" spans="1:8" hidden="1" x14ac:dyDescent="0.3">
      <c r="A525" t="s">
        <v>6326</v>
      </c>
      <c r="B525" t="s">
        <v>6326</v>
      </c>
      <c r="C525" t="s">
        <v>410</v>
      </c>
      <c r="D525" t="s">
        <v>3258</v>
      </c>
      <c r="E525" t="s">
        <v>9</v>
      </c>
      <c r="F525" t="s">
        <v>5729</v>
      </c>
      <c r="G525" s="1" t="s">
        <v>5730</v>
      </c>
      <c r="H525" s="1" t="s">
        <v>1923</v>
      </c>
    </row>
    <row r="526" spans="1:8" hidden="1" x14ac:dyDescent="0.3">
      <c r="A526" t="s">
        <v>6327</v>
      </c>
      <c r="B526" t="s">
        <v>6327</v>
      </c>
      <c r="C526" t="s">
        <v>485</v>
      </c>
      <c r="D526" t="s">
        <v>3258</v>
      </c>
      <c r="E526" t="s">
        <v>9</v>
      </c>
      <c r="F526" t="s">
        <v>5734</v>
      </c>
      <c r="G526" s="1" t="s">
        <v>5730</v>
      </c>
      <c r="H526" s="1" t="s">
        <v>1856</v>
      </c>
    </row>
    <row r="527" spans="1:8" hidden="1" x14ac:dyDescent="0.3">
      <c r="A527" t="s">
        <v>6328</v>
      </c>
      <c r="B527" t="s">
        <v>6328</v>
      </c>
      <c r="C527" t="s">
        <v>6329</v>
      </c>
      <c r="D527" t="s">
        <v>3258</v>
      </c>
      <c r="E527" t="s">
        <v>9</v>
      </c>
      <c r="F527" t="s">
        <v>5734</v>
      </c>
      <c r="G527" s="1" t="s">
        <v>5730</v>
      </c>
      <c r="H527" s="1" t="s">
        <v>1856</v>
      </c>
    </row>
    <row r="528" spans="1:8" hidden="1" x14ac:dyDescent="0.3">
      <c r="A528" t="s">
        <v>6330</v>
      </c>
      <c r="B528" t="s">
        <v>6330</v>
      </c>
      <c r="C528" t="s">
        <v>623</v>
      </c>
      <c r="D528" t="s">
        <v>3258</v>
      </c>
      <c r="E528" t="s">
        <v>9</v>
      </c>
      <c r="F528" t="s">
        <v>5729</v>
      </c>
      <c r="G528" s="1" t="s">
        <v>5730</v>
      </c>
      <c r="H528" s="1" t="s">
        <v>1923</v>
      </c>
    </row>
    <row r="529" spans="1:8" hidden="1" x14ac:dyDescent="0.3">
      <c r="A529" t="s">
        <v>6331</v>
      </c>
      <c r="B529" t="s">
        <v>6331</v>
      </c>
      <c r="C529" t="s">
        <v>688</v>
      </c>
      <c r="D529" t="s">
        <v>3258</v>
      </c>
      <c r="E529" t="s">
        <v>9</v>
      </c>
      <c r="F529" t="s">
        <v>5734</v>
      </c>
      <c r="G529" s="1" t="s">
        <v>5730</v>
      </c>
      <c r="H529" s="1" t="s">
        <v>1856</v>
      </c>
    </row>
    <row r="530" spans="1:8" hidden="1" x14ac:dyDescent="0.3">
      <c r="A530" t="s">
        <v>6332</v>
      </c>
      <c r="B530" t="s">
        <v>6332</v>
      </c>
      <c r="C530" t="s">
        <v>753</v>
      </c>
      <c r="D530" t="s">
        <v>3258</v>
      </c>
      <c r="E530" t="s">
        <v>9</v>
      </c>
      <c r="F530" t="s">
        <v>5729</v>
      </c>
      <c r="G530" s="1" t="s">
        <v>5730</v>
      </c>
      <c r="H530" s="1" t="s">
        <v>1923</v>
      </c>
    </row>
    <row r="531" spans="1:8" hidden="1" x14ac:dyDescent="0.3">
      <c r="A531" t="s">
        <v>6333</v>
      </c>
      <c r="B531" t="s">
        <v>6333</v>
      </c>
      <c r="C531" t="s">
        <v>814</v>
      </c>
      <c r="D531" t="s">
        <v>3258</v>
      </c>
      <c r="E531" t="s">
        <v>9</v>
      </c>
      <c r="F531" t="s">
        <v>5729</v>
      </c>
      <c r="G531" s="1" t="s">
        <v>5730</v>
      </c>
      <c r="H531" s="1" t="s">
        <v>1927</v>
      </c>
    </row>
    <row r="532" spans="1:8" hidden="1" x14ac:dyDescent="0.3">
      <c r="A532" t="s">
        <v>6334</v>
      </c>
      <c r="B532" t="s">
        <v>6334</v>
      </c>
      <c r="C532" t="s">
        <v>869</v>
      </c>
      <c r="D532" t="s">
        <v>3258</v>
      </c>
      <c r="E532" t="s">
        <v>9</v>
      </c>
      <c r="F532" t="s">
        <v>5729</v>
      </c>
      <c r="G532" s="1" t="s">
        <v>5730</v>
      </c>
      <c r="H532" s="1" t="s">
        <v>1856</v>
      </c>
    </row>
    <row r="533" spans="1:8" hidden="1" x14ac:dyDescent="0.3">
      <c r="A533" t="s">
        <v>6335</v>
      </c>
      <c r="B533" t="s">
        <v>6335</v>
      </c>
      <c r="C533" t="s">
        <v>3281</v>
      </c>
      <c r="D533" t="s">
        <v>3258</v>
      </c>
      <c r="E533" t="s">
        <v>9</v>
      </c>
      <c r="F533" t="s">
        <v>5729</v>
      </c>
      <c r="G533" s="1" t="s">
        <v>5730</v>
      </c>
      <c r="H533" s="1" t="s">
        <v>1927</v>
      </c>
    </row>
    <row r="534" spans="1:8" hidden="1" x14ac:dyDescent="0.3">
      <c r="A534" t="s">
        <v>6336</v>
      </c>
      <c r="B534" t="s">
        <v>6336</v>
      </c>
      <c r="C534" t="s">
        <v>1066</v>
      </c>
      <c r="D534" t="s">
        <v>3258</v>
      </c>
      <c r="E534" t="s">
        <v>9</v>
      </c>
      <c r="F534" t="s">
        <v>5729</v>
      </c>
      <c r="G534" s="1" t="s">
        <v>5730</v>
      </c>
      <c r="H534" s="1" t="s">
        <v>1893</v>
      </c>
    </row>
    <row r="535" spans="1:8" hidden="1" x14ac:dyDescent="0.3">
      <c r="A535" t="s">
        <v>6337</v>
      </c>
      <c r="B535" t="s">
        <v>6337</v>
      </c>
      <c r="C535" t="s">
        <v>1105</v>
      </c>
      <c r="D535" t="s">
        <v>3258</v>
      </c>
      <c r="E535" t="s">
        <v>9</v>
      </c>
      <c r="F535" t="s">
        <v>5729</v>
      </c>
      <c r="G535" s="1" t="s">
        <v>5730</v>
      </c>
      <c r="H535" s="1" t="s">
        <v>1874</v>
      </c>
    </row>
    <row r="536" spans="1:8" hidden="1" x14ac:dyDescent="0.3">
      <c r="A536" t="s">
        <v>6338</v>
      </c>
      <c r="B536" t="s">
        <v>6338</v>
      </c>
      <c r="C536" t="s">
        <v>1141</v>
      </c>
      <c r="D536" t="s">
        <v>3258</v>
      </c>
      <c r="E536" t="s">
        <v>9</v>
      </c>
      <c r="F536" t="s">
        <v>5734</v>
      </c>
      <c r="G536" s="1" t="s">
        <v>5730</v>
      </c>
      <c r="H536" s="1" t="s">
        <v>1856</v>
      </c>
    </row>
    <row r="537" spans="1:8" hidden="1" x14ac:dyDescent="0.3">
      <c r="A537" t="s">
        <v>6339</v>
      </c>
      <c r="B537" t="s">
        <v>6339</v>
      </c>
      <c r="C537" t="s">
        <v>6340</v>
      </c>
      <c r="D537" t="s">
        <v>3258</v>
      </c>
      <c r="E537" t="s">
        <v>9</v>
      </c>
      <c r="F537" t="s">
        <v>5781</v>
      </c>
      <c r="G537" s="1" t="s">
        <v>1961</v>
      </c>
      <c r="H537" s="1" t="s">
        <v>1927</v>
      </c>
    </row>
    <row r="538" spans="1:8" hidden="1" x14ac:dyDescent="0.3">
      <c r="A538" t="s">
        <v>6341</v>
      </c>
      <c r="B538" t="s">
        <v>6341</v>
      </c>
      <c r="C538" t="s">
        <v>1174</v>
      </c>
      <c r="D538" t="s">
        <v>3258</v>
      </c>
      <c r="E538" t="s">
        <v>9</v>
      </c>
      <c r="F538" t="s">
        <v>5734</v>
      </c>
      <c r="G538" s="1" t="s">
        <v>5730</v>
      </c>
      <c r="H538" s="1" t="s">
        <v>1856</v>
      </c>
    </row>
    <row r="539" spans="1:8" hidden="1" x14ac:dyDescent="0.3">
      <c r="A539" t="s">
        <v>6342</v>
      </c>
      <c r="B539" t="s">
        <v>6342</v>
      </c>
      <c r="C539" t="s">
        <v>1203</v>
      </c>
      <c r="D539" t="s">
        <v>3258</v>
      </c>
      <c r="E539" t="s">
        <v>9</v>
      </c>
      <c r="F539" t="s">
        <v>5734</v>
      </c>
      <c r="G539" s="1" t="s">
        <v>5730</v>
      </c>
      <c r="H539" s="1" t="s">
        <v>1856</v>
      </c>
    </row>
    <row r="540" spans="1:8" hidden="1" x14ac:dyDescent="0.3">
      <c r="A540" t="s">
        <v>6343</v>
      </c>
      <c r="B540" t="s">
        <v>6343</v>
      </c>
      <c r="C540" t="s">
        <v>1233</v>
      </c>
      <c r="D540" t="s">
        <v>3258</v>
      </c>
      <c r="E540" t="s">
        <v>9</v>
      </c>
      <c r="F540" t="s">
        <v>5729</v>
      </c>
      <c r="G540" s="1" t="s">
        <v>5730</v>
      </c>
      <c r="H540" s="1" t="s">
        <v>1874</v>
      </c>
    </row>
    <row r="541" spans="1:8" hidden="1" x14ac:dyDescent="0.3">
      <c r="A541" t="s">
        <v>6344</v>
      </c>
      <c r="B541" t="s">
        <v>6344</v>
      </c>
      <c r="C541" t="s">
        <v>1253</v>
      </c>
      <c r="D541" t="s">
        <v>3258</v>
      </c>
      <c r="E541" t="s">
        <v>9</v>
      </c>
      <c r="F541" t="s">
        <v>5729</v>
      </c>
      <c r="G541" s="1" t="s">
        <v>5730</v>
      </c>
      <c r="H541" s="1" t="s">
        <v>1923</v>
      </c>
    </row>
    <row r="542" spans="1:8" hidden="1" x14ac:dyDescent="0.3">
      <c r="A542" t="s">
        <v>6345</v>
      </c>
      <c r="B542" t="s">
        <v>6345</v>
      </c>
      <c r="C542" t="s">
        <v>1275</v>
      </c>
      <c r="D542" t="s">
        <v>3258</v>
      </c>
      <c r="E542" t="s">
        <v>9</v>
      </c>
      <c r="F542" t="s">
        <v>5729</v>
      </c>
      <c r="G542" s="1" t="s">
        <v>5730</v>
      </c>
      <c r="H542" s="1" t="s">
        <v>1927</v>
      </c>
    </row>
    <row r="543" spans="1:8" hidden="1" x14ac:dyDescent="0.3">
      <c r="A543" t="s">
        <v>6346</v>
      </c>
      <c r="B543" t="s">
        <v>6346</v>
      </c>
      <c r="C543" t="s">
        <v>1296</v>
      </c>
      <c r="D543" t="s">
        <v>3258</v>
      </c>
      <c r="E543" t="s">
        <v>9</v>
      </c>
      <c r="F543" t="s">
        <v>5729</v>
      </c>
      <c r="G543" s="1" t="s">
        <v>5730</v>
      </c>
      <c r="H543" s="1" t="s">
        <v>1856</v>
      </c>
    </row>
    <row r="544" spans="1:8" hidden="1" x14ac:dyDescent="0.3">
      <c r="A544" t="s">
        <v>6347</v>
      </c>
      <c r="B544" t="s">
        <v>6347</v>
      </c>
      <c r="C544" t="s">
        <v>1312</v>
      </c>
      <c r="D544" t="s">
        <v>3258</v>
      </c>
      <c r="E544" t="s">
        <v>9</v>
      </c>
      <c r="F544" t="s">
        <v>5734</v>
      </c>
      <c r="G544" s="1" t="s">
        <v>5730</v>
      </c>
      <c r="H544" s="1" t="s">
        <v>1856</v>
      </c>
    </row>
    <row r="545" spans="1:8" hidden="1" x14ac:dyDescent="0.3">
      <c r="A545" t="s">
        <v>6348</v>
      </c>
      <c r="B545" t="s">
        <v>6348</v>
      </c>
      <c r="C545" t="s">
        <v>6349</v>
      </c>
      <c r="D545" t="s">
        <v>3258</v>
      </c>
      <c r="E545" t="s">
        <v>9</v>
      </c>
      <c r="F545" t="s">
        <v>5747</v>
      </c>
      <c r="G545" s="1" t="s">
        <v>2204</v>
      </c>
      <c r="H545" s="1" t="s">
        <v>1856</v>
      </c>
    </row>
    <row r="546" spans="1:8" hidden="1" x14ac:dyDescent="0.3">
      <c r="A546" t="s">
        <v>6350</v>
      </c>
      <c r="B546" t="s">
        <v>6350</v>
      </c>
      <c r="C546" t="s">
        <v>1329</v>
      </c>
      <c r="D546" t="s">
        <v>3258</v>
      </c>
      <c r="E546" t="s">
        <v>9</v>
      </c>
      <c r="F546" t="s">
        <v>5729</v>
      </c>
      <c r="G546" s="1" t="s">
        <v>5730</v>
      </c>
      <c r="H546" s="1" t="s">
        <v>1874</v>
      </c>
    </row>
    <row r="547" spans="1:8" hidden="1" x14ac:dyDescent="0.3">
      <c r="A547" t="s">
        <v>6351</v>
      </c>
      <c r="B547" t="s">
        <v>6351</v>
      </c>
      <c r="C547" t="s">
        <v>1147</v>
      </c>
      <c r="D547" t="s">
        <v>3258</v>
      </c>
      <c r="E547" t="s">
        <v>9</v>
      </c>
      <c r="F547" t="s">
        <v>5729</v>
      </c>
      <c r="G547" s="1" t="s">
        <v>5730</v>
      </c>
      <c r="H547" s="1" t="s">
        <v>1927</v>
      </c>
    </row>
    <row r="548" spans="1:8" hidden="1" x14ac:dyDescent="0.3">
      <c r="A548" t="s">
        <v>6352</v>
      </c>
      <c r="B548" t="s">
        <v>6352</v>
      </c>
      <c r="C548" t="s">
        <v>1358</v>
      </c>
      <c r="D548" t="s">
        <v>3258</v>
      </c>
      <c r="E548" t="s">
        <v>9</v>
      </c>
      <c r="F548" t="s">
        <v>5729</v>
      </c>
      <c r="G548" s="1" t="s">
        <v>5730</v>
      </c>
      <c r="H548" s="1" t="s">
        <v>1856</v>
      </c>
    </row>
    <row r="549" spans="1:8" hidden="1" x14ac:dyDescent="0.3">
      <c r="A549" t="s">
        <v>6353</v>
      </c>
      <c r="B549" t="s">
        <v>6353</v>
      </c>
      <c r="C549" t="s">
        <v>6354</v>
      </c>
      <c r="D549" t="s">
        <v>3258</v>
      </c>
      <c r="E549" t="s">
        <v>9</v>
      </c>
      <c r="F549" t="s">
        <v>5781</v>
      </c>
      <c r="G549" s="1" t="s">
        <v>5730</v>
      </c>
      <c r="H549" s="1" t="s">
        <v>1856</v>
      </c>
    </row>
    <row r="550" spans="1:8" hidden="1" x14ac:dyDescent="0.3">
      <c r="A550" t="s">
        <v>6355</v>
      </c>
      <c r="B550" t="s">
        <v>6355</v>
      </c>
      <c r="C550" t="s">
        <v>6356</v>
      </c>
      <c r="D550" t="s">
        <v>3258</v>
      </c>
      <c r="E550" t="s">
        <v>9</v>
      </c>
      <c r="F550" t="s">
        <v>5729</v>
      </c>
      <c r="G550" s="1" t="s">
        <v>5730</v>
      </c>
      <c r="H550" s="1" t="s">
        <v>1927</v>
      </c>
    </row>
    <row r="551" spans="1:8" hidden="1" x14ac:dyDescent="0.3">
      <c r="A551" t="s">
        <v>6357</v>
      </c>
      <c r="B551" t="s">
        <v>6357</v>
      </c>
      <c r="C551" t="s">
        <v>1390</v>
      </c>
      <c r="D551" t="s">
        <v>3258</v>
      </c>
      <c r="E551" t="s">
        <v>9</v>
      </c>
      <c r="F551" t="s">
        <v>5734</v>
      </c>
      <c r="G551" s="1" t="s">
        <v>5730</v>
      </c>
      <c r="H551" s="1" t="s">
        <v>1856</v>
      </c>
    </row>
    <row r="552" spans="1:8" hidden="1" x14ac:dyDescent="0.3">
      <c r="A552" t="s">
        <v>6358</v>
      </c>
      <c r="B552" t="s">
        <v>6358</v>
      </c>
      <c r="C552" t="s">
        <v>1399</v>
      </c>
      <c r="D552" t="s">
        <v>3258</v>
      </c>
      <c r="E552" t="s">
        <v>9</v>
      </c>
      <c r="F552" t="s">
        <v>5729</v>
      </c>
      <c r="G552" s="1" t="s">
        <v>5730</v>
      </c>
      <c r="H552" s="1" t="s">
        <v>1874</v>
      </c>
    </row>
    <row r="553" spans="1:8" hidden="1" x14ac:dyDescent="0.3">
      <c r="A553" t="s">
        <v>6359</v>
      </c>
      <c r="B553" t="s">
        <v>6359</v>
      </c>
      <c r="C553" t="s">
        <v>3180</v>
      </c>
      <c r="D553" t="s">
        <v>3258</v>
      </c>
      <c r="E553" t="s">
        <v>9</v>
      </c>
      <c r="F553" t="s">
        <v>5734</v>
      </c>
      <c r="G553" s="1" t="s">
        <v>5730</v>
      </c>
      <c r="H553" s="1" t="s">
        <v>1874</v>
      </c>
    </row>
    <row r="554" spans="1:8" hidden="1" x14ac:dyDescent="0.3">
      <c r="A554" t="s">
        <v>6360</v>
      </c>
      <c r="B554" t="s">
        <v>6360</v>
      </c>
      <c r="C554" t="s">
        <v>1828</v>
      </c>
      <c r="D554" t="s">
        <v>3258</v>
      </c>
      <c r="E554" t="s">
        <v>9</v>
      </c>
      <c r="F554" t="s">
        <v>5781</v>
      </c>
      <c r="G554" s="1" t="s">
        <v>5730</v>
      </c>
      <c r="H554" s="1" t="s">
        <v>1927</v>
      </c>
    </row>
    <row r="555" spans="1:8" hidden="1" x14ac:dyDescent="0.3">
      <c r="A555" t="s">
        <v>6361</v>
      </c>
      <c r="B555" t="s">
        <v>6361</v>
      </c>
      <c r="C555" t="s">
        <v>1425</v>
      </c>
      <c r="D555" t="s">
        <v>3258</v>
      </c>
      <c r="E555" t="s">
        <v>9</v>
      </c>
      <c r="F555" t="s">
        <v>5734</v>
      </c>
      <c r="G555" s="1" t="s">
        <v>5730</v>
      </c>
      <c r="H555" s="1" t="s">
        <v>1856</v>
      </c>
    </row>
    <row r="556" spans="1:8" hidden="1" x14ac:dyDescent="0.3">
      <c r="A556" t="s">
        <v>6362</v>
      </c>
      <c r="B556" t="s">
        <v>6362</v>
      </c>
      <c r="C556" t="s">
        <v>1431</v>
      </c>
      <c r="D556" t="s">
        <v>3258</v>
      </c>
      <c r="E556" t="s">
        <v>9</v>
      </c>
      <c r="F556" t="s">
        <v>5729</v>
      </c>
      <c r="G556" s="1" t="s">
        <v>5730</v>
      </c>
      <c r="H556" s="1" t="s">
        <v>1923</v>
      </c>
    </row>
    <row r="557" spans="1:8" hidden="1" x14ac:dyDescent="0.3">
      <c r="A557" t="s">
        <v>6363</v>
      </c>
      <c r="B557" t="s">
        <v>6363</v>
      </c>
      <c r="C557" t="s">
        <v>1436</v>
      </c>
      <c r="D557" t="s">
        <v>3258</v>
      </c>
      <c r="E557" t="s">
        <v>9</v>
      </c>
      <c r="F557" t="s">
        <v>5729</v>
      </c>
      <c r="G557" s="1" t="s">
        <v>5730</v>
      </c>
      <c r="H557" s="1" t="s">
        <v>1856</v>
      </c>
    </row>
    <row r="558" spans="1:8" hidden="1" x14ac:dyDescent="0.3">
      <c r="A558" t="s">
        <v>6364</v>
      </c>
      <c r="B558" t="s">
        <v>6364</v>
      </c>
      <c r="C558" t="s">
        <v>1441</v>
      </c>
      <c r="D558" t="s">
        <v>3258</v>
      </c>
      <c r="E558" t="s">
        <v>9</v>
      </c>
      <c r="F558" t="s">
        <v>5734</v>
      </c>
      <c r="G558" s="1" t="s">
        <v>5730</v>
      </c>
      <c r="H558" s="1" t="s">
        <v>1856</v>
      </c>
    </row>
    <row r="559" spans="1:8" hidden="1" x14ac:dyDescent="0.3">
      <c r="A559" t="s">
        <v>6365</v>
      </c>
      <c r="B559" t="s">
        <v>6365</v>
      </c>
      <c r="C559" t="s">
        <v>195</v>
      </c>
      <c r="D559" t="s">
        <v>134</v>
      </c>
      <c r="E559" t="s">
        <v>9</v>
      </c>
      <c r="F559" t="s">
        <v>5729</v>
      </c>
      <c r="G559" s="1" t="s">
        <v>5730</v>
      </c>
      <c r="H559" s="1" t="s">
        <v>1923</v>
      </c>
    </row>
    <row r="560" spans="1:8" hidden="1" x14ac:dyDescent="0.3">
      <c r="A560" t="s">
        <v>6366</v>
      </c>
      <c r="B560" t="s">
        <v>6366</v>
      </c>
      <c r="C560" t="s">
        <v>261</v>
      </c>
      <c r="D560" t="s">
        <v>134</v>
      </c>
      <c r="E560" t="s">
        <v>9</v>
      </c>
      <c r="F560" t="s">
        <v>5781</v>
      </c>
      <c r="G560" s="1" t="s">
        <v>5730</v>
      </c>
      <c r="H560" s="1" t="s">
        <v>1923</v>
      </c>
    </row>
    <row r="561" spans="1:8" hidden="1" x14ac:dyDescent="0.3">
      <c r="A561" t="s">
        <v>6367</v>
      </c>
      <c r="B561" t="s">
        <v>6367</v>
      </c>
      <c r="C561" t="s">
        <v>340</v>
      </c>
      <c r="D561" t="s">
        <v>134</v>
      </c>
      <c r="E561" t="s">
        <v>9</v>
      </c>
      <c r="F561" t="s">
        <v>5729</v>
      </c>
      <c r="G561" s="1" t="s">
        <v>5730</v>
      </c>
      <c r="H561" s="1" t="s">
        <v>1923</v>
      </c>
    </row>
    <row r="562" spans="1:8" hidden="1" x14ac:dyDescent="0.3">
      <c r="A562" t="s">
        <v>6368</v>
      </c>
      <c r="B562" t="s">
        <v>6368</v>
      </c>
      <c r="C562" t="s">
        <v>411</v>
      </c>
      <c r="D562" t="s">
        <v>134</v>
      </c>
      <c r="E562" t="s">
        <v>9</v>
      </c>
      <c r="F562" t="s">
        <v>5729</v>
      </c>
      <c r="G562" s="1" t="s">
        <v>5730</v>
      </c>
      <c r="H562" s="1" t="s">
        <v>1874</v>
      </c>
    </row>
    <row r="563" spans="1:8" hidden="1" x14ac:dyDescent="0.3">
      <c r="A563" t="s">
        <v>6369</v>
      </c>
      <c r="B563" t="s">
        <v>6369</v>
      </c>
      <c r="C563" t="s">
        <v>486</v>
      </c>
      <c r="D563" t="s">
        <v>134</v>
      </c>
      <c r="E563" t="s">
        <v>9</v>
      </c>
      <c r="F563" t="s">
        <v>5729</v>
      </c>
      <c r="G563" s="1" t="s">
        <v>5730</v>
      </c>
      <c r="H563" s="1" t="s">
        <v>1923</v>
      </c>
    </row>
    <row r="564" spans="1:8" hidden="1" x14ac:dyDescent="0.3">
      <c r="A564" t="s">
        <v>6370</v>
      </c>
      <c r="B564" t="s">
        <v>6370</v>
      </c>
      <c r="C564" t="s">
        <v>558</v>
      </c>
      <c r="D564" t="s">
        <v>134</v>
      </c>
      <c r="E564" t="s">
        <v>9</v>
      </c>
      <c r="F564" t="s">
        <v>5729</v>
      </c>
      <c r="G564" s="1" t="s">
        <v>5730</v>
      </c>
      <c r="H564" s="1" t="s">
        <v>1923</v>
      </c>
    </row>
    <row r="565" spans="1:8" hidden="1" x14ac:dyDescent="0.3">
      <c r="A565" t="s">
        <v>6371</v>
      </c>
      <c r="B565" t="s">
        <v>6371</v>
      </c>
      <c r="C565" t="s">
        <v>6372</v>
      </c>
      <c r="D565" t="s">
        <v>134</v>
      </c>
      <c r="E565" t="s">
        <v>9</v>
      </c>
      <c r="F565" t="s">
        <v>5729</v>
      </c>
      <c r="G565" s="1" t="s">
        <v>5730</v>
      </c>
      <c r="H565" s="1" t="s">
        <v>1923</v>
      </c>
    </row>
    <row r="566" spans="1:8" hidden="1" x14ac:dyDescent="0.3">
      <c r="A566" t="s">
        <v>6373</v>
      </c>
      <c r="B566" t="s">
        <v>6373</v>
      </c>
      <c r="C566" t="s">
        <v>6374</v>
      </c>
      <c r="D566" t="s">
        <v>134</v>
      </c>
      <c r="E566" t="s">
        <v>9</v>
      </c>
      <c r="F566" t="s">
        <v>5729</v>
      </c>
      <c r="G566" s="1" t="s">
        <v>5730</v>
      </c>
      <c r="H566" s="1" t="s">
        <v>1874</v>
      </c>
    </row>
    <row r="567" spans="1:8" hidden="1" x14ac:dyDescent="0.3">
      <c r="A567" t="s">
        <v>6375</v>
      </c>
      <c r="B567" t="s">
        <v>6375</v>
      </c>
      <c r="C567" t="s">
        <v>2552</v>
      </c>
      <c r="D567" t="s">
        <v>134</v>
      </c>
      <c r="E567" t="s">
        <v>9</v>
      </c>
      <c r="F567" t="s">
        <v>5781</v>
      </c>
      <c r="G567" s="1" t="s">
        <v>5730</v>
      </c>
      <c r="H567" s="1" t="s">
        <v>1923</v>
      </c>
    </row>
    <row r="568" spans="1:8" hidden="1" x14ac:dyDescent="0.3">
      <c r="A568" t="s">
        <v>6376</v>
      </c>
      <c r="B568" t="s">
        <v>6376</v>
      </c>
      <c r="C568" t="s">
        <v>815</v>
      </c>
      <c r="D568" t="s">
        <v>134</v>
      </c>
      <c r="E568" t="s">
        <v>9</v>
      </c>
      <c r="F568" t="s">
        <v>5729</v>
      </c>
      <c r="G568" s="1" t="s">
        <v>5730</v>
      </c>
      <c r="H568" s="1" t="s">
        <v>1927</v>
      </c>
    </row>
    <row r="569" spans="1:8" hidden="1" x14ac:dyDescent="0.3">
      <c r="A569" t="s">
        <v>6377</v>
      </c>
      <c r="B569" t="s">
        <v>6377</v>
      </c>
      <c r="C569" t="s">
        <v>6378</v>
      </c>
      <c r="D569" t="s">
        <v>134</v>
      </c>
      <c r="E569" t="s">
        <v>9</v>
      </c>
      <c r="F569" t="s">
        <v>5781</v>
      </c>
      <c r="G569" s="1" t="s">
        <v>5730</v>
      </c>
      <c r="H569" s="1" t="s">
        <v>1856</v>
      </c>
    </row>
    <row r="570" spans="1:8" hidden="1" x14ac:dyDescent="0.3">
      <c r="A570" t="s">
        <v>6379</v>
      </c>
      <c r="B570" t="s">
        <v>6379</v>
      </c>
      <c r="C570" s="4" t="s">
        <v>196</v>
      </c>
      <c r="D570" s="4" t="s">
        <v>147</v>
      </c>
      <c r="E570" s="4" t="s">
        <v>9</v>
      </c>
      <c r="F570" t="s">
        <v>5734</v>
      </c>
      <c r="G570" s="1" t="s">
        <v>5730</v>
      </c>
      <c r="H570" s="1" t="s">
        <v>1856</v>
      </c>
    </row>
    <row r="571" spans="1:8" hidden="1" x14ac:dyDescent="0.3">
      <c r="A571" t="s">
        <v>6380</v>
      </c>
      <c r="B571" t="s">
        <v>6380</v>
      </c>
      <c r="C571" s="4" t="s">
        <v>269</v>
      </c>
      <c r="D571" s="4" t="s">
        <v>147</v>
      </c>
      <c r="E571" s="4" t="s">
        <v>9</v>
      </c>
      <c r="F571" t="s">
        <v>5729</v>
      </c>
      <c r="G571" s="1" t="s">
        <v>5730</v>
      </c>
      <c r="H571" s="5" t="s">
        <v>1874</v>
      </c>
    </row>
    <row r="572" spans="1:8" hidden="1" x14ac:dyDescent="0.3">
      <c r="A572" t="s">
        <v>6381</v>
      </c>
      <c r="B572" t="s">
        <v>6381</v>
      </c>
      <c r="C572" s="4" t="s">
        <v>342</v>
      </c>
      <c r="D572" s="4" t="s">
        <v>147</v>
      </c>
      <c r="E572" s="4" t="s">
        <v>9</v>
      </c>
      <c r="F572" t="s">
        <v>5729</v>
      </c>
      <c r="G572" s="1" t="s">
        <v>5730</v>
      </c>
      <c r="H572" s="5" t="s">
        <v>1874</v>
      </c>
    </row>
    <row r="573" spans="1:8" hidden="1" x14ac:dyDescent="0.3">
      <c r="A573" t="s">
        <v>6382</v>
      </c>
      <c r="B573" t="s">
        <v>6382</v>
      </c>
      <c r="C573" s="4" t="s">
        <v>412</v>
      </c>
      <c r="D573" s="4" t="s">
        <v>147</v>
      </c>
      <c r="E573" s="4" t="s">
        <v>9</v>
      </c>
      <c r="F573" t="s">
        <v>5729</v>
      </c>
      <c r="G573" s="1" t="s">
        <v>5730</v>
      </c>
      <c r="H573" s="1" t="s">
        <v>1923</v>
      </c>
    </row>
    <row r="574" spans="1:8" hidden="1" x14ac:dyDescent="0.3">
      <c r="A574" t="s">
        <v>6383</v>
      </c>
      <c r="B574" t="s">
        <v>6383</v>
      </c>
      <c r="C574" s="4" t="s">
        <v>487</v>
      </c>
      <c r="D574" s="4" t="s">
        <v>147</v>
      </c>
      <c r="E574" s="4" t="s">
        <v>9</v>
      </c>
      <c r="F574" t="s">
        <v>5729</v>
      </c>
      <c r="G574" s="1" t="s">
        <v>5730</v>
      </c>
      <c r="H574" s="1" t="s">
        <v>1856</v>
      </c>
    </row>
    <row r="575" spans="1:8" hidden="1" x14ac:dyDescent="0.3">
      <c r="A575" t="s">
        <v>6384</v>
      </c>
      <c r="B575" t="s">
        <v>6384</v>
      </c>
      <c r="C575" s="4" t="s">
        <v>559</v>
      </c>
      <c r="D575" s="4" t="s">
        <v>147</v>
      </c>
      <c r="E575" s="4" t="s">
        <v>9</v>
      </c>
      <c r="F575" t="s">
        <v>5734</v>
      </c>
      <c r="G575" s="1" t="s">
        <v>5730</v>
      </c>
      <c r="H575" s="1" t="s">
        <v>1856</v>
      </c>
    </row>
    <row r="576" spans="1:8" hidden="1" x14ac:dyDescent="0.3">
      <c r="A576" t="s">
        <v>6385</v>
      </c>
      <c r="B576" t="s">
        <v>6385</v>
      </c>
      <c r="C576" s="4" t="s">
        <v>690</v>
      </c>
      <c r="D576" s="4" t="s">
        <v>147</v>
      </c>
      <c r="E576" s="4" t="s">
        <v>9</v>
      </c>
      <c r="F576" t="s">
        <v>5734</v>
      </c>
      <c r="G576" s="1" t="s">
        <v>5730</v>
      </c>
      <c r="H576" s="1" t="s">
        <v>1856</v>
      </c>
    </row>
    <row r="577" spans="1:8" hidden="1" x14ac:dyDescent="0.3">
      <c r="A577" t="s">
        <v>6386</v>
      </c>
      <c r="B577" t="s">
        <v>6386</v>
      </c>
      <c r="C577" s="4" t="s">
        <v>755</v>
      </c>
      <c r="D577" s="4" t="s">
        <v>147</v>
      </c>
      <c r="E577" s="4" t="s">
        <v>9</v>
      </c>
      <c r="F577" t="s">
        <v>5729</v>
      </c>
      <c r="G577" s="1" t="s">
        <v>5730</v>
      </c>
      <c r="H577" s="1" t="s">
        <v>1927</v>
      </c>
    </row>
    <row r="578" spans="1:8" hidden="1" x14ac:dyDescent="0.3">
      <c r="A578" t="s">
        <v>6387</v>
      </c>
      <c r="B578" t="s">
        <v>6387</v>
      </c>
      <c r="C578" s="4" t="s">
        <v>376</v>
      </c>
      <c r="D578" s="4" t="s">
        <v>147</v>
      </c>
      <c r="E578" s="4" t="s">
        <v>9</v>
      </c>
      <c r="F578" t="s">
        <v>5734</v>
      </c>
      <c r="G578" s="1" t="s">
        <v>5730</v>
      </c>
      <c r="H578" s="1" t="s">
        <v>1923</v>
      </c>
    </row>
    <row r="579" spans="1:8" hidden="1" x14ac:dyDescent="0.3">
      <c r="A579" t="s">
        <v>6388</v>
      </c>
      <c r="B579" t="s">
        <v>6388</v>
      </c>
      <c r="C579" s="4" t="s">
        <v>871</v>
      </c>
      <c r="D579" s="4" t="s">
        <v>147</v>
      </c>
      <c r="E579" s="4" t="s">
        <v>9</v>
      </c>
      <c r="F579" t="s">
        <v>5729</v>
      </c>
      <c r="G579" s="1" t="s">
        <v>5730</v>
      </c>
      <c r="H579" s="1" t="s">
        <v>1856</v>
      </c>
    </row>
    <row r="580" spans="1:8" hidden="1" x14ac:dyDescent="0.3">
      <c r="A580" t="s">
        <v>6389</v>
      </c>
      <c r="B580" t="s">
        <v>6389</v>
      </c>
      <c r="C580" s="4" t="s">
        <v>6390</v>
      </c>
      <c r="D580" s="4" t="s">
        <v>147</v>
      </c>
      <c r="E580" s="4" t="s">
        <v>9</v>
      </c>
      <c r="F580" t="s">
        <v>5781</v>
      </c>
      <c r="G580" s="1" t="s">
        <v>1961</v>
      </c>
      <c r="H580" s="1" t="s">
        <v>1927</v>
      </c>
    </row>
    <row r="581" spans="1:8" hidden="1" x14ac:dyDescent="0.3">
      <c r="A581" t="s">
        <v>6391</v>
      </c>
      <c r="B581" t="s">
        <v>6391</v>
      </c>
      <c r="C581" s="4" t="s">
        <v>927</v>
      </c>
      <c r="D581" s="4" t="s">
        <v>147</v>
      </c>
      <c r="E581" s="4" t="s">
        <v>9</v>
      </c>
      <c r="F581" t="s">
        <v>5734</v>
      </c>
      <c r="G581" s="1" t="s">
        <v>5730</v>
      </c>
      <c r="H581" s="1" t="s">
        <v>1856</v>
      </c>
    </row>
    <row r="582" spans="1:8" hidden="1" x14ac:dyDescent="0.3">
      <c r="A582" t="s">
        <v>6392</v>
      </c>
      <c r="B582" t="s">
        <v>6392</v>
      </c>
      <c r="C582" s="4" t="s">
        <v>977</v>
      </c>
      <c r="D582" s="4" t="s">
        <v>147</v>
      </c>
      <c r="E582" s="4" t="s">
        <v>9</v>
      </c>
      <c r="F582" t="s">
        <v>5729</v>
      </c>
      <c r="G582" s="1" t="s">
        <v>5730</v>
      </c>
      <c r="H582" s="1" t="s">
        <v>1874</v>
      </c>
    </row>
    <row r="583" spans="1:8" hidden="1" x14ac:dyDescent="0.3">
      <c r="A583" t="s">
        <v>6393</v>
      </c>
      <c r="B583" t="s">
        <v>6393</v>
      </c>
      <c r="C583" s="4" t="s">
        <v>1024</v>
      </c>
      <c r="D583" s="4" t="s">
        <v>147</v>
      </c>
      <c r="E583" s="4" t="s">
        <v>9</v>
      </c>
      <c r="F583" t="s">
        <v>5729</v>
      </c>
      <c r="G583" s="1" t="s">
        <v>5730</v>
      </c>
      <c r="H583" s="1" t="s">
        <v>1927</v>
      </c>
    </row>
    <row r="584" spans="1:8" hidden="1" x14ac:dyDescent="0.3">
      <c r="A584" t="s">
        <v>6394</v>
      </c>
      <c r="B584" t="s">
        <v>6394</v>
      </c>
      <c r="C584" s="4" t="s">
        <v>1067</v>
      </c>
      <c r="D584" s="4" t="s">
        <v>147</v>
      </c>
      <c r="E584" s="4" t="s">
        <v>9</v>
      </c>
      <c r="F584" t="s">
        <v>5729</v>
      </c>
      <c r="G584" s="1" t="s">
        <v>5730</v>
      </c>
      <c r="H584" s="1" t="s">
        <v>1927</v>
      </c>
    </row>
    <row r="585" spans="1:8" hidden="1" x14ac:dyDescent="0.3">
      <c r="A585" t="s">
        <v>6395</v>
      </c>
      <c r="B585" t="s">
        <v>6395</v>
      </c>
      <c r="C585" s="4" t="s">
        <v>6396</v>
      </c>
      <c r="D585" s="4" t="s">
        <v>147</v>
      </c>
      <c r="E585" s="4" t="s">
        <v>9</v>
      </c>
      <c r="F585" t="s">
        <v>5729</v>
      </c>
      <c r="G585" s="1" t="s">
        <v>5730</v>
      </c>
      <c r="H585" s="1" t="s">
        <v>1923</v>
      </c>
    </row>
    <row r="586" spans="1:8" hidden="1" x14ac:dyDescent="0.3">
      <c r="A586" t="s">
        <v>6397</v>
      </c>
      <c r="B586" t="s">
        <v>6397</v>
      </c>
      <c r="C586" s="4" t="s">
        <v>997</v>
      </c>
      <c r="D586" s="4" t="s">
        <v>147</v>
      </c>
      <c r="E586" s="4" t="s">
        <v>9</v>
      </c>
      <c r="F586" t="s">
        <v>5734</v>
      </c>
      <c r="G586" s="1" t="s">
        <v>5730</v>
      </c>
      <c r="H586" s="5" t="s">
        <v>1856</v>
      </c>
    </row>
    <row r="587" spans="1:8" hidden="1" x14ac:dyDescent="0.3">
      <c r="A587" t="s">
        <v>6398</v>
      </c>
      <c r="B587" t="s">
        <v>6398</v>
      </c>
      <c r="C587" s="4" t="s">
        <v>3180</v>
      </c>
      <c r="D587" s="4" t="s">
        <v>147</v>
      </c>
      <c r="E587" s="4" t="s">
        <v>9</v>
      </c>
      <c r="F587" t="s">
        <v>5734</v>
      </c>
      <c r="G587" s="1" t="s">
        <v>5730</v>
      </c>
      <c r="H587" s="1" t="s">
        <v>1923</v>
      </c>
    </row>
    <row r="588" spans="1:8" hidden="1" x14ac:dyDescent="0.3">
      <c r="A588" t="s">
        <v>6399</v>
      </c>
      <c r="B588" t="s">
        <v>6399</v>
      </c>
      <c r="C588" s="4" t="s">
        <v>5859</v>
      </c>
      <c r="D588" s="4" t="s">
        <v>147</v>
      </c>
      <c r="E588" s="4" t="s">
        <v>9</v>
      </c>
      <c r="F588" t="s">
        <v>5729</v>
      </c>
      <c r="G588" s="1" t="s">
        <v>5730</v>
      </c>
      <c r="H588" s="5" t="s">
        <v>1927</v>
      </c>
    </row>
    <row r="589" spans="1:8" hidden="1" x14ac:dyDescent="0.3">
      <c r="A589" t="s">
        <v>6400</v>
      </c>
      <c r="B589" t="s">
        <v>6400</v>
      </c>
      <c r="C589" s="4" t="s">
        <v>2836</v>
      </c>
      <c r="D589" s="4" t="s">
        <v>147</v>
      </c>
      <c r="E589" s="4" t="s">
        <v>9</v>
      </c>
      <c r="F589" t="s">
        <v>5734</v>
      </c>
      <c r="G589" s="1" t="s">
        <v>5730</v>
      </c>
      <c r="H589" s="5" t="s">
        <v>1856</v>
      </c>
    </row>
    <row r="590" spans="1:8" hidden="1" x14ac:dyDescent="0.3">
      <c r="A590" t="s">
        <v>6401</v>
      </c>
      <c r="B590" t="s">
        <v>6401</v>
      </c>
      <c r="C590" s="4" t="s">
        <v>1254</v>
      </c>
      <c r="D590" s="4" t="s">
        <v>147</v>
      </c>
      <c r="E590" s="4" t="s">
        <v>9</v>
      </c>
      <c r="F590" t="s">
        <v>5734</v>
      </c>
      <c r="G590" s="1" t="s">
        <v>5730</v>
      </c>
      <c r="H590" s="5" t="s">
        <v>1856</v>
      </c>
    </row>
    <row r="591" spans="1:8" hidden="1" x14ac:dyDescent="0.3">
      <c r="A591" t="s">
        <v>6402</v>
      </c>
      <c r="B591" t="s">
        <v>6402</v>
      </c>
      <c r="C591" t="s">
        <v>197</v>
      </c>
      <c r="D591" t="s">
        <v>156</v>
      </c>
      <c r="E591" t="s">
        <v>9</v>
      </c>
      <c r="F591" t="s">
        <v>5729</v>
      </c>
      <c r="G591" s="1" t="s">
        <v>5730</v>
      </c>
      <c r="H591" s="1" t="s">
        <v>1923</v>
      </c>
    </row>
    <row r="592" spans="1:8" hidden="1" x14ac:dyDescent="0.3">
      <c r="A592" t="s">
        <v>6403</v>
      </c>
      <c r="B592" t="s">
        <v>6403</v>
      </c>
      <c r="C592" t="s">
        <v>270</v>
      </c>
      <c r="D592" t="s">
        <v>156</v>
      </c>
      <c r="E592" t="s">
        <v>9</v>
      </c>
      <c r="F592" t="s">
        <v>5734</v>
      </c>
      <c r="G592" s="1" t="s">
        <v>5730</v>
      </c>
      <c r="H592" s="1" t="s">
        <v>1856</v>
      </c>
    </row>
    <row r="593" spans="1:8" hidden="1" x14ac:dyDescent="0.3">
      <c r="A593" t="s">
        <v>6404</v>
      </c>
      <c r="B593" t="s">
        <v>6404</v>
      </c>
      <c r="C593" t="s">
        <v>343</v>
      </c>
      <c r="D593" t="s">
        <v>156</v>
      </c>
      <c r="E593" t="s">
        <v>9</v>
      </c>
      <c r="F593" t="s">
        <v>5729</v>
      </c>
      <c r="G593" s="1" t="s">
        <v>5730</v>
      </c>
      <c r="H593" s="5" t="s">
        <v>1927</v>
      </c>
    </row>
    <row r="594" spans="1:8" hidden="1" x14ac:dyDescent="0.3">
      <c r="A594" t="s">
        <v>6405</v>
      </c>
      <c r="B594" t="s">
        <v>6405</v>
      </c>
      <c r="C594" t="s">
        <v>256</v>
      </c>
      <c r="D594" t="s">
        <v>156</v>
      </c>
      <c r="E594" t="s">
        <v>9</v>
      </c>
      <c r="F594" t="s">
        <v>5729</v>
      </c>
      <c r="G594" s="1" t="s">
        <v>5730</v>
      </c>
      <c r="H594" s="5" t="s">
        <v>1927</v>
      </c>
    </row>
    <row r="595" spans="1:8" hidden="1" x14ac:dyDescent="0.3">
      <c r="A595" t="s">
        <v>6406</v>
      </c>
      <c r="B595" t="s">
        <v>6406</v>
      </c>
      <c r="C595" t="s">
        <v>488</v>
      </c>
      <c r="D595" t="s">
        <v>156</v>
      </c>
      <c r="E595" t="s">
        <v>9</v>
      </c>
      <c r="F595" t="s">
        <v>5729</v>
      </c>
      <c r="G595" s="1" t="s">
        <v>5730</v>
      </c>
      <c r="H595" s="1" t="s">
        <v>1856</v>
      </c>
    </row>
    <row r="596" spans="1:8" hidden="1" x14ac:dyDescent="0.3">
      <c r="A596" t="s">
        <v>6407</v>
      </c>
      <c r="B596" t="s">
        <v>6407</v>
      </c>
      <c r="C596" t="s">
        <v>626</v>
      </c>
      <c r="D596" t="s">
        <v>156</v>
      </c>
      <c r="E596" t="s">
        <v>9</v>
      </c>
      <c r="F596" t="s">
        <v>5729</v>
      </c>
      <c r="G596" s="1" t="s">
        <v>5730</v>
      </c>
      <c r="H596" s="1" t="s">
        <v>1856</v>
      </c>
    </row>
    <row r="597" spans="1:8" hidden="1" x14ac:dyDescent="0.3">
      <c r="A597" t="s">
        <v>6408</v>
      </c>
      <c r="B597" t="s">
        <v>6408</v>
      </c>
      <c r="C597" t="s">
        <v>691</v>
      </c>
      <c r="D597" t="s">
        <v>156</v>
      </c>
      <c r="E597" t="s">
        <v>9</v>
      </c>
      <c r="F597" t="s">
        <v>5734</v>
      </c>
      <c r="G597" s="1" t="s">
        <v>5730</v>
      </c>
      <c r="H597" s="1" t="s">
        <v>1856</v>
      </c>
    </row>
    <row r="598" spans="1:8" hidden="1" x14ac:dyDescent="0.3">
      <c r="A598" t="s">
        <v>6409</v>
      </c>
      <c r="B598" t="s">
        <v>6409</v>
      </c>
      <c r="C598" t="s">
        <v>756</v>
      </c>
      <c r="D598" t="s">
        <v>156</v>
      </c>
      <c r="E598" t="s">
        <v>9</v>
      </c>
      <c r="F598" t="s">
        <v>5734</v>
      </c>
      <c r="G598" s="1" t="s">
        <v>5730</v>
      </c>
      <c r="H598" s="1" t="s">
        <v>1856</v>
      </c>
    </row>
    <row r="599" spans="1:8" hidden="1" x14ac:dyDescent="0.3">
      <c r="A599" t="s">
        <v>6410</v>
      </c>
      <c r="B599" t="s">
        <v>6410</v>
      </c>
      <c r="C599" t="s">
        <v>816</v>
      </c>
      <c r="D599" t="s">
        <v>156</v>
      </c>
      <c r="E599" t="s">
        <v>9</v>
      </c>
      <c r="F599" t="s">
        <v>5729</v>
      </c>
      <c r="G599" s="1" t="s">
        <v>5730</v>
      </c>
      <c r="H599" s="1" t="s">
        <v>1874</v>
      </c>
    </row>
    <row r="600" spans="1:8" hidden="1" x14ac:dyDescent="0.3">
      <c r="A600" t="s">
        <v>6411</v>
      </c>
      <c r="B600" t="s">
        <v>6411</v>
      </c>
      <c r="C600" t="s">
        <v>719</v>
      </c>
      <c r="D600" t="s">
        <v>156</v>
      </c>
      <c r="E600" t="s">
        <v>9</v>
      </c>
      <c r="F600" t="s">
        <v>5729</v>
      </c>
      <c r="G600" s="1" t="s">
        <v>5730</v>
      </c>
      <c r="H600" s="1" t="s">
        <v>1874</v>
      </c>
    </row>
    <row r="601" spans="1:8" hidden="1" x14ac:dyDescent="0.3">
      <c r="A601" t="s">
        <v>6412</v>
      </c>
      <c r="B601" t="s">
        <v>6412</v>
      </c>
      <c r="C601" t="s">
        <v>928</v>
      </c>
      <c r="D601" t="s">
        <v>156</v>
      </c>
      <c r="E601" t="s">
        <v>9</v>
      </c>
      <c r="F601" t="s">
        <v>5781</v>
      </c>
      <c r="G601" s="1" t="s">
        <v>5730</v>
      </c>
      <c r="H601" s="1" t="s">
        <v>1856</v>
      </c>
    </row>
    <row r="602" spans="1:8" hidden="1" x14ac:dyDescent="0.3">
      <c r="A602" t="s">
        <v>6413</v>
      </c>
      <c r="B602" t="s">
        <v>6413</v>
      </c>
      <c r="C602" t="s">
        <v>855</v>
      </c>
      <c r="D602" t="s">
        <v>156</v>
      </c>
      <c r="E602" t="s">
        <v>9</v>
      </c>
      <c r="F602" t="s">
        <v>5734</v>
      </c>
      <c r="G602" s="1" t="s">
        <v>5730</v>
      </c>
      <c r="H602" s="1" t="s">
        <v>1856</v>
      </c>
    </row>
    <row r="603" spans="1:8" hidden="1" x14ac:dyDescent="0.3">
      <c r="A603" t="s">
        <v>6414</v>
      </c>
      <c r="B603" t="s">
        <v>6414</v>
      </c>
      <c r="C603" t="s">
        <v>3432</v>
      </c>
      <c r="D603" t="s">
        <v>156</v>
      </c>
      <c r="E603" t="s">
        <v>9</v>
      </c>
      <c r="F603" t="s">
        <v>5729</v>
      </c>
      <c r="G603" s="1" t="s">
        <v>5730</v>
      </c>
      <c r="H603" s="1" t="s">
        <v>1923</v>
      </c>
    </row>
    <row r="604" spans="1:8" hidden="1" x14ac:dyDescent="0.3">
      <c r="A604" t="s">
        <v>6415</v>
      </c>
      <c r="B604" t="s">
        <v>6415</v>
      </c>
      <c r="C604" t="s">
        <v>3435</v>
      </c>
      <c r="D604" t="s">
        <v>156</v>
      </c>
      <c r="E604" t="s">
        <v>9</v>
      </c>
      <c r="F604" t="s">
        <v>5729</v>
      </c>
      <c r="G604" s="1" t="s">
        <v>5730</v>
      </c>
      <c r="H604" s="1" t="s">
        <v>1923</v>
      </c>
    </row>
    <row r="605" spans="1:8" hidden="1" x14ac:dyDescent="0.3">
      <c r="A605" t="s">
        <v>6416</v>
      </c>
      <c r="B605" t="s">
        <v>6416</v>
      </c>
      <c r="C605" t="s">
        <v>6417</v>
      </c>
      <c r="D605" t="s">
        <v>156</v>
      </c>
      <c r="E605" t="s">
        <v>9</v>
      </c>
      <c r="F605" t="s">
        <v>5781</v>
      </c>
      <c r="G605" s="1" t="s">
        <v>1961</v>
      </c>
      <c r="H605" s="1" t="s">
        <v>1874</v>
      </c>
    </row>
    <row r="606" spans="1:8" hidden="1" x14ac:dyDescent="0.3">
      <c r="A606" t="s">
        <v>6418</v>
      </c>
      <c r="B606" t="s">
        <v>6418</v>
      </c>
      <c r="C606" t="s">
        <v>198</v>
      </c>
      <c r="D606" t="s">
        <v>85</v>
      </c>
      <c r="E606" t="s">
        <v>10</v>
      </c>
      <c r="F606" t="s">
        <v>5729</v>
      </c>
      <c r="G606" s="1" t="s">
        <v>5730</v>
      </c>
      <c r="H606" s="1" t="s">
        <v>1927</v>
      </c>
    </row>
    <row r="607" spans="1:8" hidden="1" x14ac:dyDescent="0.3">
      <c r="A607" t="s">
        <v>6419</v>
      </c>
      <c r="B607" t="s">
        <v>6419</v>
      </c>
      <c r="C607" t="s">
        <v>271</v>
      </c>
      <c r="D607" t="s">
        <v>85</v>
      </c>
      <c r="E607" t="s">
        <v>10</v>
      </c>
      <c r="F607" t="s">
        <v>5729</v>
      </c>
      <c r="G607" s="1" t="s">
        <v>5730</v>
      </c>
      <c r="H607" s="1" t="s">
        <v>1927</v>
      </c>
    </row>
    <row r="608" spans="1:8" hidden="1" x14ac:dyDescent="0.3">
      <c r="A608" t="s">
        <v>6420</v>
      </c>
      <c r="B608" t="s">
        <v>6420</v>
      </c>
      <c r="C608" t="s">
        <v>226</v>
      </c>
      <c r="D608" t="s">
        <v>85</v>
      </c>
      <c r="E608" t="s">
        <v>10</v>
      </c>
      <c r="F608" t="s">
        <v>5734</v>
      </c>
      <c r="G608" s="1" t="s">
        <v>5730</v>
      </c>
      <c r="H608" s="1" t="s">
        <v>1874</v>
      </c>
    </row>
    <row r="609" spans="1:8" hidden="1" x14ac:dyDescent="0.3">
      <c r="A609" t="s">
        <v>6421</v>
      </c>
      <c r="B609" t="s">
        <v>6421</v>
      </c>
      <c r="C609" t="s">
        <v>6422</v>
      </c>
      <c r="D609" t="s">
        <v>85</v>
      </c>
      <c r="E609" t="s">
        <v>10</v>
      </c>
      <c r="F609" t="s">
        <v>5729</v>
      </c>
      <c r="G609" s="1" t="s">
        <v>5730</v>
      </c>
      <c r="H609" s="1" t="s">
        <v>1927</v>
      </c>
    </row>
    <row r="610" spans="1:8" hidden="1" x14ac:dyDescent="0.3">
      <c r="A610" t="s">
        <v>6423</v>
      </c>
      <c r="B610" t="s">
        <v>6423</v>
      </c>
      <c r="C610" t="s">
        <v>489</v>
      </c>
      <c r="D610" t="s">
        <v>85</v>
      </c>
      <c r="E610" t="s">
        <v>10</v>
      </c>
      <c r="F610" t="s">
        <v>5729</v>
      </c>
      <c r="G610" s="1" t="s">
        <v>5730</v>
      </c>
      <c r="H610" s="1" t="s">
        <v>1923</v>
      </c>
    </row>
    <row r="611" spans="1:8" hidden="1" x14ac:dyDescent="0.3">
      <c r="A611" t="s">
        <v>6424</v>
      </c>
      <c r="B611" t="s">
        <v>6424</v>
      </c>
      <c r="C611" t="s">
        <v>561</v>
      </c>
      <c r="D611" t="s">
        <v>85</v>
      </c>
      <c r="E611" t="s">
        <v>10</v>
      </c>
      <c r="F611" t="s">
        <v>5729</v>
      </c>
      <c r="G611" s="1" t="s">
        <v>5730</v>
      </c>
      <c r="H611" s="1" t="s">
        <v>1856</v>
      </c>
    </row>
    <row r="612" spans="1:8" hidden="1" x14ac:dyDescent="0.3">
      <c r="A612" t="s">
        <v>6425</v>
      </c>
      <c r="B612" t="s">
        <v>6425</v>
      </c>
      <c r="C612" t="s">
        <v>6426</v>
      </c>
      <c r="D612" t="s">
        <v>85</v>
      </c>
      <c r="E612" t="s">
        <v>10</v>
      </c>
      <c r="F612" t="s">
        <v>5781</v>
      </c>
      <c r="G612" s="1" t="s">
        <v>5730</v>
      </c>
      <c r="H612" s="1" t="s">
        <v>1856</v>
      </c>
    </row>
    <row r="613" spans="1:8" hidden="1" x14ac:dyDescent="0.3">
      <c r="A613" t="s">
        <v>6427</v>
      </c>
      <c r="B613" t="s">
        <v>6427</v>
      </c>
      <c r="C613" t="s">
        <v>692</v>
      </c>
      <c r="D613" t="s">
        <v>85</v>
      </c>
      <c r="E613" t="s">
        <v>10</v>
      </c>
      <c r="F613" t="s">
        <v>5729</v>
      </c>
      <c r="G613" s="1" t="s">
        <v>5730</v>
      </c>
      <c r="H613" s="1" t="s">
        <v>1923</v>
      </c>
    </row>
    <row r="614" spans="1:8" hidden="1" x14ac:dyDescent="0.3">
      <c r="A614" t="s">
        <v>6428</v>
      </c>
      <c r="B614" t="s">
        <v>6428</v>
      </c>
      <c r="C614" t="s">
        <v>757</v>
      </c>
      <c r="D614" t="s">
        <v>85</v>
      </c>
      <c r="E614" t="s">
        <v>10</v>
      </c>
      <c r="F614" t="s">
        <v>5729</v>
      </c>
      <c r="G614" s="1" t="s">
        <v>5730</v>
      </c>
      <c r="H614" s="1" t="s">
        <v>1874</v>
      </c>
    </row>
    <row r="615" spans="1:8" hidden="1" x14ac:dyDescent="0.3">
      <c r="A615" t="s">
        <v>6429</v>
      </c>
      <c r="B615" t="s">
        <v>6429</v>
      </c>
      <c r="C615" t="s">
        <v>817</v>
      </c>
      <c r="D615" t="s">
        <v>85</v>
      </c>
      <c r="E615" t="s">
        <v>10</v>
      </c>
      <c r="F615" t="s">
        <v>5729</v>
      </c>
      <c r="G615" s="1" t="s">
        <v>5730</v>
      </c>
      <c r="H615" s="1" t="s">
        <v>1927</v>
      </c>
    </row>
    <row r="616" spans="1:8" hidden="1" x14ac:dyDescent="0.3">
      <c r="A616" t="s">
        <v>6430</v>
      </c>
      <c r="B616" t="s">
        <v>6430</v>
      </c>
      <c r="C616" t="s">
        <v>872</v>
      </c>
      <c r="D616" t="s">
        <v>85</v>
      </c>
      <c r="E616" t="s">
        <v>10</v>
      </c>
      <c r="F616" t="s">
        <v>5729</v>
      </c>
      <c r="G616" s="1" t="s">
        <v>5730</v>
      </c>
      <c r="H616" s="1" t="s">
        <v>1927</v>
      </c>
    </row>
    <row r="617" spans="1:8" hidden="1" x14ac:dyDescent="0.3">
      <c r="A617" t="s">
        <v>6431</v>
      </c>
      <c r="B617" t="s">
        <v>6431</v>
      </c>
      <c r="C617" t="s">
        <v>929</v>
      </c>
      <c r="D617" t="s">
        <v>85</v>
      </c>
      <c r="E617" t="s">
        <v>10</v>
      </c>
      <c r="F617" t="s">
        <v>5781</v>
      </c>
      <c r="G617" s="1" t="s">
        <v>5730</v>
      </c>
      <c r="H617" s="1" t="s">
        <v>1856</v>
      </c>
    </row>
    <row r="618" spans="1:8" hidden="1" x14ac:dyDescent="0.3">
      <c r="A618" t="s">
        <v>6432</v>
      </c>
      <c r="B618" t="s">
        <v>6432</v>
      </c>
      <c r="C618" t="s">
        <v>867</v>
      </c>
      <c r="D618" t="s">
        <v>85</v>
      </c>
      <c r="E618" t="s">
        <v>10</v>
      </c>
      <c r="F618" t="s">
        <v>5729</v>
      </c>
      <c r="G618" s="1" t="s">
        <v>5730</v>
      </c>
      <c r="H618" s="1" t="s">
        <v>1927</v>
      </c>
    </row>
    <row r="619" spans="1:8" hidden="1" x14ac:dyDescent="0.3">
      <c r="A619" t="s">
        <v>6433</v>
      </c>
      <c r="B619" t="s">
        <v>6433</v>
      </c>
      <c r="C619" t="s">
        <v>1026</v>
      </c>
      <c r="D619" t="s">
        <v>85</v>
      </c>
      <c r="E619" t="s">
        <v>10</v>
      </c>
      <c r="F619" t="s">
        <v>5729</v>
      </c>
      <c r="G619" s="1" t="s">
        <v>5730</v>
      </c>
      <c r="H619" s="1" t="s">
        <v>1874</v>
      </c>
    </row>
    <row r="620" spans="1:8" hidden="1" x14ac:dyDescent="0.3">
      <c r="A620" t="s">
        <v>6434</v>
      </c>
      <c r="B620" t="s">
        <v>6434</v>
      </c>
      <c r="C620" t="s">
        <v>3470</v>
      </c>
      <c r="D620" t="s">
        <v>85</v>
      </c>
      <c r="E620" t="s">
        <v>10</v>
      </c>
      <c r="F620" t="s">
        <v>5729</v>
      </c>
      <c r="G620" s="1" t="s">
        <v>5730</v>
      </c>
      <c r="H620" s="1" t="s">
        <v>1874</v>
      </c>
    </row>
    <row r="621" spans="1:8" hidden="1" x14ac:dyDescent="0.3">
      <c r="A621" t="s">
        <v>6435</v>
      </c>
      <c r="B621" t="s">
        <v>6435</v>
      </c>
      <c r="C621" t="s">
        <v>1107</v>
      </c>
      <c r="D621" t="s">
        <v>85</v>
      </c>
      <c r="E621" t="s">
        <v>10</v>
      </c>
      <c r="F621" t="s">
        <v>5729</v>
      </c>
      <c r="G621" s="1" t="s">
        <v>5730</v>
      </c>
      <c r="H621" s="1" t="s">
        <v>1927</v>
      </c>
    </row>
    <row r="622" spans="1:8" hidden="1" x14ac:dyDescent="0.3">
      <c r="A622" t="s">
        <v>6436</v>
      </c>
      <c r="B622" t="s">
        <v>6436</v>
      </c>
      <c r="C622" t="s">
        <v>1142</v>
      </c>
      <c r="D622" t="s">
        <v>85</v>
      </c>
      <c r="E622" t="s">
        <v>10</v>
      </c>
      <c r="F622" t="s">
        <v>5729</v>
      </c>
      <c r="G622" s="1" t="s">
        <v>5730</v>
      </c>
      <c r="H622" s="1" t="s">
        <v>1923</v>
      </c>
    </row>
    <row r="623" spans="1:8" hidden="1" x14ac:dyDescent="0.3">
      <c r="A623" t="s">
        <v>6437</v>
      </c>
      <c r="B623" t="s">
        <v>6437</v>
      </c>
      <c r="C623" t="s">
        <v>199</v>
      </c>
      <c r="D623" t="s">
        <v>102</v>
      </c>
      <c r="E623" t="s">
        <v>10</v>
      </c>
      <c r="F623" t="s">
        <v>5729</v>
      </c>
      <c r="G623" s="1" t="s">
        <v>5730</v>
      </c>
      <c r="H623" s="1" t="s">
        <v>1923</v>
      </c>
    </row>
    <row r="624" spans="1:8" hidden="1" x14ac:dyDescent="0.3">
      <c r="A624" t="s">
        <v>6438</v>
      </c>
      <c r="B624" t="s">
        <v>6438</v>
      </c>
      <c r="C624" t="s">
        <v>344</v>
      </c>
      <c r="D624" t="s">
        <v>102</v>
      </c>
      <c r="E624" t="s">
        <v>10</v>
      </c>
      <c r="F624" t="s">
        <v>5729</v>
      </c>
      <c r="G624" s="1" t="s">
        <v>5730</v>
      </c>
      <c r="H624" s="1" t="s">
        <v>1927</v>
      </c>
    </row>
    <row r="625" spans="1:8" hidden="1" x14ac:dyDescent="0.3">
      <c r="A625" t="s">
        <v>6439</v>
      </c>
      <c r="B625" t="s">
        <v>6439</v>
      </c>
      <c r="C625" t="s">
        <v>414</v>
      </c>
      <c r="D625" t="s">
        <v>102</v>
      </c>
      <c r="E625" t="s">
        <v>10</v>
      </c>
      <c r="F625" t="s">
        <v>5729</v>
      </c>
      <c r="G625" s="1" t="s">
        <v>5730</v>
      </c>
      <c r="H625" s="1" t="s">
        <v>1893</v>
      </c>
    </row>
    <row r="626" spans="1:8" hidden="1" x14ac:dyDescent="0.3">
      <c r="A626" t="s">
        <v>6440</v>
      </c>
      <c r="B626" t="s">
        <v>6440</v>
      </c>
      <c r="C626" t="s">
        <v>490</v>
      </c>
      <c r="D626" t="s">
        <v>102</v>
      </c>
      <c r="E626" t="s">
        <v>10</v>
      </c>
      <c r="F626" t="s">
        <v>5729</v>
      </c>
      <c r="G626" s="1" t="s">
        <v>5730</v>
      </c>
      <c r="H626" s="1" t="s">
        <v>1874</v>
      </c>
    </row>
    <row r="627" spans="1:8" hidden="1" x14ac:dyDescent="0.3">
      <c r="A627" t="s">
        <v>6441</v>
      </c>
      <c r="B627" t="s">
        <v>6441</v>
      </c>
      <c r="C627" t="s">
        <v>562</v>
      </c>
      <c r="D627" t="s">
        <v>102</v>
      </c>
      <c r="E627" t="s">
        <v>10</v>
      </c>
      <c r="F627" t="s">
        <v>5729</v>
      </c>
      <c r="G627" s="1" t="s">
        <v>5730</v>
      </c>
      <c r="H627" s="1" t="s">
        <v>1856</v>
      </c>
    </row>
    <row r="628" spans="1:8" hidden="1" x14ac:dyDescent="0.3">
      <c r="A628" t="s">
        <v>6442</v>
      </c>
      <c r="B628" t="s">
        <v>6442</v>
      </c>
      <c r="C628" t="s">
        <v>628</v>
      </c>
      <c r="D628" t="s">
        <v>102</v>
      </c>
      <c r="E628" t="s">
        <v>10</v>
      </c>
      <c r="F628" t="s">
        <v>5734</v>
      </c>
      <c r="G628" s="1" t="s">
        <v>5730</v>
      </c>
      <c r="H628" s="1" t="s">
        <v>1856</v>
      </c>
    </row>
    <row r="629" spans="1:8" hidden="1" x14ac:dyDescent="0.3">
      <c r="A629" t="s">
        <v>6443</v>
      </c>
      <c r="B629" t="s">
        <v>6443</v>
      </c>
      <c r="C629" t="s">
        <v>6444</v>
      </c>
      <c r="D629" t="s">
        <v>102</v>
      </c>
      <c r="E629" t="s">
        <v>10</v>
      </c>
      <c r="F629" t="s">
        <v>5729</v>
      </c>
      <c r="G629" s="1" t="s">
        <v>5730</v>
      </c>
      <c r="H629" s="1" t="s">
        <v>1927</v>
      </c>
    </row>
    <row r="630" spans="1:8" hidden="1" x14ac:dyDescent="0.3">
      <c r="A630" t="s">
        <v>6445</v>
      </c>
      <c r="B630" t="s">
        <v>6445</v>
      </c>
      <c r="C630" t="s">
        <v>693</v>
      </c>
      <c r="D630" t="s">
        <v>102</v>
      </c>
      <c r="E630" t="s">
        <v>10</v>
      </c>
      <c r="F630" t="s">
        <v>5729</v>
      </c>
      <c r="G630" s="1" t="s">
        <v>5730</v>
      </c>
      <c r="H630" s="1" t="s">
        <v>1874</v>
      </c>
    </row>
    <row r="631" spans="1:8" hidden="1" x14ac:dyDescent="0.3">
      <c r="A631" t="s">
        <v>6446</v>
      </c>
      <c r="B631" t="s">
        <v>6446</v>
      </c>
      <c r="C631" t="s">
        <v>6447</v>
      </c>
      <c r="D631" t="s">
        <v>102</v>
      </c>
      <c r="E631" t="s">
        <v>10</v>
      </c>
      <c r="F631" t="s">
        <v>5729</v>
      </c>
      <c r="G631" s="1" t="s">
        <v>5730</v>
      </c>
      <c r="H631" s="1" t="s">
        <v>1927</v>
      </c>
    </row>
    <row r="632" spans="1:8" hidden="1" x14ac:dyDescent="0.3">
      <c r="A632" t="s">
        <v>6448</v>
      </c>
      <c r="B632" t="s">
        <v>6448</v>
      </c>
      <c r="C632" t="s">
        <v>818</v>
      </c>
      <c r="D632" t="s">
        <v>102</v>
      </c>
      <c r="E632" t="s">
        <v>10</v>
      </c>
      <c r="F632" t="s">
        <v>5729</v>
      </c>
      <c r="G632" s="1" t="s">
        <v>5730</v>
      </c>
      <c r="H632" s="1" t="s">
        <v>1923</v>
      </c>
    </row>
    <row r="633" spans="1:8" hidden="1" x14ac:dyDescent="0.3">
      <c r="A633" t="s">
        <v>6449</v>
      </c>
      <c r="B633" t="s">
        <v>6449</v>
      </c>
      <c r="C633" t="s">
        <v>558</v>
      </c>
      <c r="D633" t="s">
        <v>102</v>
      </c>
      <c r="E633" t="s">
        <v>10</v>
      </c>
      <c r="F633" t="s">
        <v>5729</v>
      </c>
      <c r="G633" s="1" t="s">
        <v>5730</v>
      </c>
      <c r="H633" s="1" t="s">
        <v>1874</v>
      </c>
    </row>
    <row r="634" spans="1:8" hidden="1" x14ac:dyDescent="0.3">
      <c r="A634" t="s">
        <v>6450</v>
      </c>
      <c r="B634" t="s">
        <v>6450</v>
      </c>
      <c r="C634" t="s">
        <v>930</v>
      </c>
      <c r="D634" t="s">
        <v>102</v>
      </c>
      <c r="E634" t="s">
        <v>10</v>
      </c>
      <c r="F634" t="s">
        <v>5729</v>
      </c>
      <c r="G634" s="1" t="s">
        <v>5730</v>
      </c>
      <c r="H634" s="1" t="s">
        <v>1874</v>
      </c>
    </row>
    <row r="635" spans="1:8" hidden="1" x14ac:dyDescent="0.3">
      <c r="A635" t="s">
        <v>6451</v>
      </c>
      <c r="B635" t="s">
        <v>6451</v>
      </c>
      <c r="C635" t="s">
        <v>6452</v>
      </c>
      <c r="D635" t="s">
        <v>102</v>
      </c>
      <c r="E635" t="s">
        <v>10</v>
      </c>
      <c r="F635" t="s">
        <v>5729</v>
      </c>
      <c r="G635" s="1" t="s">
        <v>5730</v>
      </c>
      <c r="H635" s="1" t="s">
        <v>1856</v>
      </c>
    </row>
    <row r="636" spans="1:8" hidden="1" x14ac:dyDescent="0.3">
      <c r="A636" t="s">
        <v>6453</v>
      </c>
      <c r="B636" t="s">
        <v>6453</v>
      </c>
      <c r="C636" t="s">
        <v>3504</v>
      </c>
      <c r="D636" t="s">
        <v>102</v>
      </c>
      <c r="E636" t="s">
        <v>10</v>
      </c>
      <c r="F636" t="s">
        <v>5729</v>
      </c>
      <c r="G636" s="1" t="s">
        <v>5730</v>
      </c>
      <c r="H636" s="1" t="s">
        <v>1856</v>
      </c>
    </row>
    <row r="637" spans="1:8" hidden="1" x14ac:dyDescent="0.3">
      <c r="A637" t="s">
        <v>6454</v>
      </c>
      <c r="B637" t="s">
        <v>6454</v>
      </c>
      <c r="C637" t="s">
        <v>1070</v>
      </c>
      <c r="D637" t="s">
        <v>102</v>
      </c>
      <c r="E637" t="s">
        <v>10</v>
      </c>
      <c r="F637" t="s">
        <v>5729</v>
      </c>
      <c r="G637" s="1" t="s">
        <v>5730</v>
      </c>
      <c r="H637" s="1" t="s">
        <v>1927</v>
      </c>
    </row>
    <row r="638" spans="1:8" hidden="1" x14ac:dyDescent="0.3">
      <c r="A638" t="s">
        <v>6455</v>
      </c>
      <c r="B638" t="s">
        <v>6455</v>
      </c>
      <c r="C638" t="s">
        <v>1108</v>
      </c>
      <c r="D638" t="s">
        <v>102</v>
      </c>
      <c r="E638" t="s">
        <v>10</v>
      </c>
      <c r="F638" t="s">
        <v>5729</v>
      </c>
      <c r="G638" s="1" t="s">
        <v>5730</v>
      </c>
      <c r="H638" s="1" t="s">
        <v>1856</v>
      </c>
    </row>
    <row r="639" spans="1:8" hidden="1" x14ac:dyDescent="0.3">
      <c r="A639" t="s">
        <v>6456</v>
      </c>
      <c r="B639" t="s">
        <v>6456</v>
      </c>
      <c r="C639" t="s">
        <v>1143</v>
      </c>
      <c r="D639" t="s">
        <v>102</v>
      </c>
      <c r="E639" t="s">
        <v>10</v>
      </c>
      <c r="F639" t="s">
        <v>5729</v>
      </c>
      <c r="G639" s="1" t="s">
        <v>5730</v>
      </c>
      <c r="H639" s="1" t="s">
        <v>1874</v>
      </c>
    </row>
    <row r="640" spans="1:8" hidden="1" x14ac:dyDescent="0.3">
      <c r="A640" t="s">
        <v>6457</v>
      </c>
      <c r="B640" t="s">
        <v>6457</v>
      </c>
      <c r="C640" t="s">
        <v>1205</v>
      </c>
      <c r="D640" t="s">
        <v>102</v>
      </c>
      <c r="E640" t="s">
        <v>10</v>
      </c>
      <c r="F640" t="s">
        <v>5729</v>
      </c>
      <c r="G640" s="1" t="s">
        <v>5730</v>
      </c>
      <c r="H640" s="1" t="s">
        <v>1874</v>
      </c>
    </row>
    <row r="641" spans="1:8" hidden="1" x14ac:dyDescent="0.3">
      <c r="A641" t="s">
        <v>6458</v>
      </c>
      <c r="B641" t="s">
        <v>6458</v>
      </c>
      <c r="C641" t="s">
        <v>272</v>
      </c>
      <c r="D641" t="s">
        <v>119</v>
      </c>
      <c r="E641" t="s">
        <v>10</v>
      </c>
      <c r="F641" t="s">
        <v>5729</v>
      </c>
      <c r="G641" s="1" t="s">
        <v>5730</v>
      </c>
      <c r="H641" s="1" t="s">
        <v>1927</v>
      </c>
    </row>
    <row r="642" spans="1:8" hidden="1" x14ac:dyDescent="0.3">
      <c r="A642" t="s">
        <v>6459</v>
      </c>
      <c r="B642" t="s">
        <v>6459</v>
      </c>
      <c r="C642" t="s">
        <v>345</v>
      </c>
      <c r="D642" t="s">
        <v>119</v>
      </c>
      <c r="E642" t="s">
        <v>10</v>
      </c>
      <c r="F642" t="s">
        <v>5729</v>
      </c>
      <c r="G642" s="1" t="s">
        <v>5730</v>
      </c>
      <c r="H642" s="1" t="s">
        <v>1927</v>
      </c>
    </row>
    <row r="643" spans="1:8" hidden="1" x14ac:dyDescent="0.3">
      <c r="A643" t="s">
        <v>6460</v>
      </c>
      <c r="B643" t="s">
        <v>6460</v>
      </c>
      <c r="C643" t="s">
        <v>415</v>
      </c>
      <c r="D643" t="s">
        <v>119</v>
      </c>
      <c r="E643" t="s">
        <v>10</v>
      </c>
      <c r="F643" t="s">
        <v>5729</v>
      </c>
      <c r="G643" s="1" t="s">
        <v>5730</v>
      </c>
      <c r="H643" s="1" t="s">
        <v>1927</v>
      </c>
    </row>
    <row r="644" spans="1:8" hidden="1" x14ac:dyDescent="0.3">
      <c r="A644" t="s">
        <v>6461</v>
      </c>
      <c r="B644" t="s">
        <v>6461</v>
      </c>
      <c r="C644" t="s">
        <v>491</v>
      </c>
      <c r="D644" t="s">
        <v>119</v>
      </c>
      <c r="E644" t="s">
        <v>10</v>
      </c>
      <c r="F644" t="s">
        <v>5729</v>
      </c>
      <c r="G644" s="1" t="s">
        <v>5730</v>
      </c>
      <c r="H644" s="1" t="s">
        <v>1856</v>
      </c>
    </row>
    <row r="645" spans="1:8" hidden="1" x14ac:dyDescent="0.3">
      <c r="A645" t="s">
        <v>6462</v>
      </c>
      <c r="B645" t="s">
        <v>6462</v>
      </c>
      <c r="C645" t="s">
        <v>563</v>
      </c>
      <c r="D645" t="s">
        <v>119</v>
      </c>
      <c r="E645" t="s">
        <v>10</v>
      </c>
      <c r="F645" t="s">
        <v>5729</v>
      </c>
      <c r="G645" s="1" t="s">
        <v>5730</v>
      </c>
      <c r="H645" s="1" t="s">
        <v>1927</v>
      </c>
    </row>
    <row r="646" spans="1:8" hidden="1" x14ac:dyDescent="0.3">
      <c r="A646" t="s">
        <v>6463</v>
      </c>
      <c r="B646" t="s">
        <v>6463</v>
      </c>
      <c r="C646" t="s">
        <v>629</v>
      </c>
      <c r="D646" t="s">
        <v>119</v>
      </c>
      <c r="E646" t="s">
        <v>10</v>
      </c>
      <c r="F646" t="s">
        <v>5729</v>
      </c>
      <c r="G646" s="1" t="s">
        <v>5730</v>
      </c>
      <c r="H646" s="1" t="s">
        <v>1856</v>
      </c>
    </row>
    <row r="647" spans="1:8" hidden="1" x14ac:dyDescent="0.3">
      <c r="A647" t="s">
        <v>6464</v>
      </c>
      <c r="B647" t="s">
        <v>6464</v>
      </c>
      <c r="C647" t="s">
        <v>6465</v>
      </c>
      <c r="D647" t="s">
        <v>119</v>
      </c>
      <c r="E647" t="s">
        <v>10</v>
      </c>
      <c r="F647" t="s">
        <v>5729</v>
      </c>
      <c r="G647" s="1" t="s">
        <v>5730</v>
      </c>
      <c r="H647" s="1" t="s">
        <v>1874</v>
      </c>
    </row>
    <row r="648" spans="1:8" hidden="1" x14ac:dyDescent="0.3">
      <c r="A648" t="s">
        <v>6466</v>
      </c>
      <c r="B648" t="s">
        <v>6466</v>
      </c>
      <c r="C648" t="s">
        <v>759</v>
      </c>
      <c r="D648" t="s">
        <v>119</v>
      </c>
      <c r="E648" t="s">
        <v>10</v>
      </c>
      <c r="F648" t="s">
        <v>5734</v>
      </c>
      <c r="G648" s="1" t="s">
        <v>5730</v>
      </c>
      <c r="H648" s="1" t="s">
        <v>1874</v>
      </c>
    </row>
    <row r="649" spans="1:8" hidden="1" x14ac:dyDescent="0.3">
      <c r="A649" t="s">
        <v>6467</v>
      </c>
      <c r="B649" t="s">
        <v>6467</v>
      </c>
      <c r="C649" t="s">
        <v>819</v>
      </c>
      <c r="D649" t="s">
        <v>119</v>
      </c>
      <c r="E649" t="s">
        <v>10</v>
      </c>
      <c r="F649" t="s">
        <v>5729</v>
      </c>
      <c r="G649" s="1" t="s">
        <v>5730</v>
      </c>
      <c r="H649" s="1" t="s">
        <v>1874</v>
      </c>
    </row>
    <row r="650" spans="1:8" hidden="1" x14ac:dyDescent="0.3">
      <c r="A650" t="s">
        <v>6468</v>
      </c>
      <c r="B650" t="s">
        <v>6468</v>
      </c>
      <c r="C650" t="s">
        <v>873</v>
      </c>
      <c r="D650" t="s">
        <v>119</v>
      </c>
      <c r="E650" t="s">
        <v>10</v>
      </c>
      <c r="F650" t="s">
        <v>5729</v>
      </c>
      <c r="G650" s="1" t="s">
        <v>5730</v>
      </c>
      <c r="H650" s="1" t="s">
        <v>1874</v>
      </c>
    </row>
    <row r="651" spans="1:8" hidden="1" x14ac:dyDescent="0.3">
      <c r="A651" t="s">
        <v>6469</v>
      </c>
      <c r="B651" t="s">
        <v>6469</v>
      </c>
      <c r="C651" t="s">
        <v>855</v>
      </c>
      <c r="D651" t="s">
        <v>119</v>
      </c>
      <c r="E651" t="s">
        <v>10</v>
      </c>
      <c r="F651" t="s">
        <v>5734</v>
      </c>
      <c r="G651" s="1" t="s">
        <v>5730</v>
      </c>
      <c r="H651" s="1" t="s">
        <v>1874</v>
      </c>
    </row>
    <row r="652" spans="1:8" hidden="1" x14ac:dyDescent="0.3">
      <c r="A652" t="s">
        <v>6470</v>
      </c>
      <c r="B652" t="s">
        <v>6470</v>
      </c>
      <c r="C652" t="s">
        <v>978</v>
      </c>
      <c r="D652" t="s">
        <v>119</v>
      </c>
      <c r="E652" t="s">
        <v>10</v>
      </c>
      <c r="F652" t="s">
        <v>5734</v>
      </c>
      <c r="G652" s="1" t="s">
        <v>5730</v>
      </c>
      <c r="H652" s="1" t="s">
        <v>1856</v>
      </c>
    </row>
    <row r="653" spans="1:8" hidden="1" x14ac:dyDescent="0.3">
      <c r="A653" t="s">
        <v>6471</v>
      </c>
      <c r="B653" t="s">
        <v>6471</v>
      </c>
      <c r="C653" t="s">
        <v>3539</v>
      </c>
      <c r="D653" t="s">
        <v>119</v>
      </c>
      <c r="E653" t="s">
        <v>10</v>
      </c>
      <c r="F653" t="s">
        <v>5729</v>
      </c>
      <c r="G653" s="1" t="s">
        <v>5730</v>
      </c>
      <c r="H653" s="1" t="s">
        <v>1927</v>
      </c>
    </row>
    <row r="654" spans="1:8" hidden="1" x14ac:dyDescent="0.3">
      <c r="A654" t="s">
        <v>6472</v>
      </c>
      <c r="B654" t="s">
        <v>6472</v>
      </c>
      <c r="C654" t="s">
        <v>6473</v>
      </c>
      <c r="D654" t="s">
        <v>119</v>
      </c>
      <c r="E654" t="s">
        <v>10</v>
      </c>
      <c r="F654" t="s">
        <v>5781</v>
      </c>
      <c r="G654" s="1" t="s">
        <v>1961</v>
      </c>
      <c r="H654" s="1" t="s">
        <v>1874</v>
      </c>
    </row>
    <row r="655" spans="1:8" hidden="1" x14ac:dyDescent="0.3">
      <c r="A655" t="s">
        <v>6474</v>
      </c>
      <c r="B655" t="s">
        <v>6474</v>
      </c>
      <c r="C655" t="s">
        <v>6475</v>
      </c>
      <c r="D655" t="s">
        <v>119</v>
      </c>
      <c r="E655" t="s">
        <v>10</v>
      </c>
      <c r="F655" t="s">
        <v>5729</v>
      </c>
      <c r="G655" s="1" t="s">
        <v>5730</v>
      </c>
      <c r="H655" s="1" t="s">
        <v>1927</v>
      </c>
    </row>
    <row r="656" spans="1:8" hidden="1" x14ac:dyDescent="0.3">
      <c r="A656" t="s">
        <v>6476</v>
      </c>
      <c r="B656" t="s">
        <v>6476</v>
      </c>
      <c r="C656" t="s">
        <v>1109</v>
      </c>
      <c r="D656" t="s">
        <v>119</v>
      </c>
      <c r="E656" t="s">
        <v>10</v>
      </c>
      <c r="F656" t="s">
        <v>5729</v>
      </c>
      <c r="G656" s="1" t="s">
        <v>5730</v>
      </c>
      <c r="H656" s="1" t="s">
        <v>1927</v>
      </c>
    </row>
    <row r="657" spans="1:8" hidden="1" x14ac:dyDescent="0.3">
      <c r="A657" t="s">
        <v>6477</v>
      </c>
      <c r="B657" t="s">
        <v>6477</v>
      </c>
      <c r="C657" t="s">
        <v>1144</v>
      </c>
      <c r="D657" t="s">
        <v>119</v>
      </c>
      <c r="E657" t="s">
        <v>10</v>
      </c>
      <c r="F657" t="s">
        <v>5729</v>
      </c>
      <c r="G657" s="1" t="s">
        <v>5730</v>
      </c>
      <c r="H657" s="1" t="s">
        <v>1856</v>
      </c>
    </row>
    <row r="658" spans="1:8" hidden="1" x14ac:dyDescent="0.3">
      <c r="A658" t="s">
        <v>6478</v>
      </c>
      <c r="B658" t="s">
        <v>6478</v>
      </c>
      <c r="C658" t="s">
        <v>201</v>
      </c>
      <c r="D658" t="s">
        <v>135</v>
      </c>
      <c r="E658" t="s">
        <v>10</v>
      </c>
      <c r="F658" t="s">
        <v>5729</v>
      </c>
      <c r="G658" s="1" t="s">
        <v>5730</v>
      </c>
      <c r="H658" s="1" t="s">
        <v>1856</v>
      </c>
    </row>
    <row r="659" spans="1:8" hidden="1" x14ac:dyDescent="0.3">
      <c r="A659" t="s">
        <v>6479</v>
      </c>
      <c r="B659" t="s">
        <v>6479</v>
      </c>
      <c r="C659" t="s">
        <v>273</v>
      </c>
      <c r="D659" t="s">
        <v>135</v>
      </c>
      <c r="E659" t="s">
        <v>10</v>
      </c>
      <c r="F659" t="s">
        <v>5729</v>
      </c>
      <c r="G659" s="1" t="s">
        <v>5730</v>
      </c>
      <c r="H659" s="1" t="s">
        <v>1874</v>
      </c>
    </row>
    <row r="660" spans="1:8" hidden="1" x14ac:dyDescent="0.3">
      <c r="A660" t="s">
        <v>6480</v>
      </c>
      <c r="B660" t="s">
        <v>6480</v>
      </c>
      <c r="C660" t="s">
        <v>346</v>
      </c>
      <c r="D660" t="s">
        <v>135</v>
      </c>
      <c r="E660" t="s">
        <v>10</v>
      </c>
      <c r="F660" t="s">
        <v>5729</v>
      </c>
      <c r="G660" s="1" t="s">
        <v>5730</v>
      </c>
      <c r="H660" s="1" t="s">
        <v>1927</v>
      </c>
    </row>
    <row r="661" spans="1:8" hidden="1" x14ac:dyDescent="0.3">
      <c r="A661" t="s">
        <v>6481</v>
      </c>
      <c r="B661" t="s">
        <v>6481</v>
      </c>
      <c r="C661" t="s">
        <v>416</v>
      </c>
      <c r="D661" t="s">
        <v>135</v>
      </c>
      <c r="E661" t="s">
        <v>10</v>
      </c>
      <c r="F661" t="s">
        <v>5729</v>
      </c>
      <c r="G661" s="1" t="s">
        <v>5730</v>
      </c>
      <c r="H661" s="1" t="s">
        <v>1923</v>
      </c>
    </row>
    <row r="662" spans="1:8" hidden="1" x14ac:dyDescent="0.3">
      <c r="A662" t="s">
        <v>6482</v>
      </c>
      <c r="B662" t="s">
        <v>6482</v>
      </c>
      <c r="C662" t="s">
        <v>492</v>
      </c>
      <c r="D662" t="s">
        <v>135</v>
      </c>
      <c r="E662" t="s">
        <v>10</v>
      </c>
      <c r="F662" t="s">
        <v>5729</v>
      </c>
      <c r="G662" s="1" t="s">
        <v>5730</v>
      </c>
      <c r="H662" s="1" t="s">
        <v>1874</v>
      </c>
    </row>
    <row r="663" spans="1:8" hidden="1" x14ac:dyDescent="0.3">
      <c r="A663" t="s">
        <v>6483</v>
      </c>
      <c r="B663" t="s">
        <v>6483</v>
      </c>
      <c r="C663" t="s">
        <v>564</v>
      </c>
      <c r="D663" t="s">
        <v>135</v>
      </c>
      <c r="E663" t="s">
        <v>10</v>
      </c>
      <c r="F663" t="s">
        <v>5729</v>
      </c>
      <c r="G663" s="1" t="s">
        <v>5730</v>
      </c>
      <c r="H663" s="1" t="s">
        <v>1874</v>
      </c>
    </row>
    <row r="664" spans="1:8" hidden="1" x14ac:dyDescent="0.3">
      <c r="A664" t="s">
        <v>6484</v>
      </c>
      <c r="B664" t="s">
        <v>6484</v>
      </c>
      <c r="C664" t="s">
        <v>3563</v>
      </c>
      <c r="D664" t="s">
        <v>135</v>
      </c>
      <c r="E664" t="s">
        <v>10</v>
      </c>
      <c r="F664" t="s">
        <v>5729</v>
      </c>
      <c r="G664" s="1" t="s">
        <v>5730</v>
      </c>
      <c r="H664" s="1" t="s">
        <v>1856</v>
      </c>
    </row>
    <row r="665" spans="1:8" hidden="1" x14ac:dyDescent="0.3">
      <c r="A665" t="s">
        <v>6485</v>
      </c>
      <c r="B665" t="s">
        <v>6485</v>
      </c>
      <c r="C665" t="s">
        <v>3566</v>
      </c>
      <c r="D665" t="s">
        <v>135</v>
      </c>
      <c r="E665" t="s">
        <v>10</v>
      </c>
      <c r="F665" t="s">
        <v>5729</v>
      </c>
      <c r="G665" s="1" t="s">
        <v>5730</v>
      </c>
      <c r="H665" s="1" t="s">
        <v>1856</v>
      </c>
    </row>
    <row r="666" spans="1:8" hidden="1" x14ac:dyDescent="0.3">
      <c r="A666" t="s">
        <v>6486</v>
      </c>
      <c r="B666" t="s">
        <v>6486</v>
      </c>
      <c r="C666" t="s">
        <v>760</v>
      </c>
      <c r="D666" t="s">
        <v>135</v>
      </c>
      <c r="E666" t="s">
        <v>10</v>
      </c>
      <c r="F666" t="s">
        <v>5729</v>
      </c>
      <c r="G666" s="1" t="s">
        <v>5730</v>
      </c>
      <c r="H666" s="1" t="s">
        <v>1923</v>
      </c>
    </row>
    <row r="667" spans="1:8" hidden="1" x14ac:dyDescent="0.3">
      <c r="A667" t="s">
        <v>6487</v>
      </c>
      <c r="B667" t="s">
        <v>6487</v>
      </c>
      <c r="C667" t="s">
        <v>820</v>
      </c>
      <c r="D667" t="s">
        <v>135</v>
      </c>
      <c r="E667" t="s">
        <v>10</v>
      </c>
      <c r="F667" t="s">
        <v>5729</v>
      </c>
      <c r="G667" s="1" t="s">
        <v>5730</v>
      </c>
      <c r="H667" s="1" t="s">
        <v>1923</v>
      </c>
    </row>
    <row r="668" spans="1:8" hidden="1" x14ac:dyDescent="0.3">
      <c r="A668" t="s">
        <v>6488</v>
      </c>
      <c r="B668" t="s">
        <v>6488</v>
      </c>
      <c r="C668" t="s">
        <v>604</v>
      </c>
      <c r="D668" t="s">
        <v>135</v>
      </c>
      <c r="E668" t="s">
        <v>10</v>
      </c>
      <c r="F668" t="s">
        <v>5729</v>
      </c>
      <c r="G668" s="1" t="s">
        <v>5730</v>
      </c>
      <c r="H668" s="1" t="s">
        <v>1856</v>
      </c>
    </row>
    <row r="669" spans="1:8" hidden="1" x14ac:dyDescent="0.3">
      <c r="A669" t="s">
        <v>6489</v>
      </c>
      <c r="B669" t="s">
        <v>6489</v>
      </c>
      <c r="C669" t="s">
        <v>931</v>
      </c>
      <c r="D669" t="s">
        <v>135</v>
      </c>
      <c r="E669" t="s">
        <v>10</v>
      </c>
      <c r="F669" t="s">
        <v>5729</v>
      </c>
      <c r="G669" s="1" t="s">
        <v>5730</v>
      </c>
      <c r="H669" s="1" t="s">
        <v>1856</v>
      </c>
    </row>
    <row r="670" spans="1:8" hidden="1" x14ac:dyDescent="0.3">
      <c r="A670" t="s">
        <v>6490</v>
      </c>
      <c r="B670" t="s">
        <v>6490</v>
      </c>
      <c r="C670" t="s">
        <v>979</v>
      </c>
      <c r="D670" t="s">
        <v>135</v>
      </c>
      <c r="E670" t="s">
        <v>10</v>
      </c>
      <c r="F670" t="s">
        <v>5729</v>
      </c>
      <c r="G670" s="1" t="s">
        <v>5730</v>
      </c>
      <c r="H670" s="1" t="s">
        <v>1856</v>
      </c>
    </row>
    <row r="671" spans="1:8" hidden="1" x14ac:dyDescent="0.3">
      <c r="A671" t="s">
        <v>6491</v>
      </c>
      <c r="B671" t="s">
        <v>6491</v>
      </c>
      <c r="C671" t="s">
        <v>482</v>
      </c>
      <c r="D671" t="s">
        <v>135</v>
      </c>
      <c r="E671" t="s">
        <v>10</v>
      </c>
      <c r="F671" t="s">
        <v>5781</v>
      </c>
      <c r="G671" s="1" t="s">
        <v>5730</v>
      </c>
      <c r="H671" s="1" t="s">
        <v>1856</v>
      </c>
    </row>
    <row r="672" spans="1:8" hidden="1" x14ac:dyDescent="0.3">
      <c r="A672" t="s">
        <v>6492</v>
      </c>
      <c r="B672" t="s">
        <v>6492</v>
      </c>
      <c r="C672" t="s">
        <v>1145</v>
      </c>
      <c r="D672" t="s">
        <v>135</v>
      </c>
      <c r="E672" t="s">
        <v>10</v>
      </c>
      <c r="F672" t="s">
        <v>5729</v>
      </c>
      <c r="G672" s="1" t="s">
        <v>5730</v>
      </c>
      <c r="H672" s="1" t="s">
        <v>1856</v>
      </c>
    </row>
    <row r="673" spans="1:8" hidden="1" x14ac:dyDescent="0.3">
      <c r="A673" t="s">
        <v>6493</v>
      </c>
      <c r="B673" t="s">
        <v>6493</v>
      </c>
      <c r="C673" s="6" t="s">
        <v>1177</v>
      </c>
      <c r="D673" t="s">
        <v>135</v>
      </c>
      <c r="E673" t="s">
        <v>10</v>
      </c>
      <c r="F673" t="s">
        <v>5729</v>
      </c>
      <c r="G673" s="1" t="s">
        <v>5730</v>
      </c>
      <c r="H673" s="1" t="s">
        <v>1927</v>
      </c>
    </row>
    <row r="674" spans="1:8" hidden="1" x14ac:dyDescent="0.3">
      <c r="A674" t="s">
        <v>6494</v>
      </c>
      <c r="B674" t="s">
        <v>6494</v>
      </c>
      <c r="C674" t="s">
        <v>1206</v>
      </c>
      <c r="D674" t="s">
        <v>135</v>
      </c>
      <c r="E674" t="s">
        <v>10</v>
      </c>
      <c r="F674" t="s">
        <v>5781</v>
      </c>
      <c r="G674" s="1" t="s">
        <v>5730</v>
      </c>
      <c r="H674" s="1" t="s">
        <v>1856</v>
      </c>
    </row>
    <row r="675" spans="1:8" hidden="1" x14ac:dyDescent="0.3">
      <c r="A675" t="s">
        <v>6495</v>
      </c>
      <c r="B675" t="s">
        <v>6495</v>
      </c>
      <c r="C675" t="s">
        <v>1235</v>
      </c>
      <c r="D675" t="s">
        <v>135</v>
      </c>
      <c r="E675" t="s">
        <v>10</v>
      </c>
      <c r="F675" t="s">
        <v>5781</v>
      </c>
      <c r="G675" s="1" t="s">
        <v>5730</v>
      </c>
      <c r="H675" s="1" t="s">
        <v>1856</v>
      </c>
    </row>
    <row r="676" spans="1:8" hidden="1" x14ac:dyDescent="0.3">
      <c r="A676" t="s">
        <v>6496</v>
      </c>
      <c r="B676" t="s">
        <v>6496</v>
      </c>
      <c r="C676" t="s">
        <v>1255</v>
      </c>
      <c r="D676" t="s">
        <v>135</v>
      </c>
      <c r="E676" t="s">
        <v>10</v>
      </c>
      <c r="F676" t="s">
        <v>5729</v>
      </c>
      <c r="G676" s="1" t="s">
        <v>5730</v>
      </c>
      <c r="H676" s="1" t="s">
        <v>1927</v>
      </c>
    </row>
    <row r="677" spans="1:8" hidden="1" x14ac:dyDescent="0.3">
      <c r="A677" t="s">
        <v>6497</v>
      </c>
      <c r="B677" t="s">
        <v>6497</v>
      </c>
      <c r="C677" t="s">
        <v>1276</v>
      </c>
      <c r="D677" t="s">
        <v>135</v>
      </c>
      <c r="E677" t="s">
        <v>10</v>
      </c>
      <c r="F677" t="s">
        <v>5729</v>
      </c>
      <c r="G677" s="1" t="s">
        <v>5730</v>
      </c>
      <c r="H677" s="1" t="s">
        <v>1874</v>
      </c>
    </row>
    <row r="678" spans="1:8" hidden="1" x14ac:dyDescent="0.3">
      <c r="A678" t="s">
        <v>6498</v>
      </c>
      <c r="B678" t="s">
        <v>6498</v>
      </c>
      <c r="C678" t="s">
        <v>6499</v>
      </c>
      <c r="D678" t="s">
        <v>135</v>
      </c>
      <c r="E678" t="s">
        <v>10</v>
      </c>
      <c r="F678" t="s">
        <v>5747</v>
      </c>
      <c r="G678" s="1" t="s">
        <v>1855</v>
      </c>
      <c r="H678" s="1" t="s">
        <v>1856</v>
      </c>
    </row>
    <row r="679" spans="1:8" hidden="1" x14ac:dyDescent="0.3">
      <c r="A679" t="s">
        <v>6500</v>
      </c>
      <c r="B679" t="s">
        <v>6500</v>
      </c>
      <c r="C679" t="s">
        <v>1297</v>
      </c>
      <c r="D679" t="s">
        <v>135</v>
      </c>
      <c r="E679" t="s">
        <v>10</v>
      </c>
      <c r="F679" t="s">
        <v>5734</v>
      </c>
      <c r="G679" s="1" t="s">
        <v>5730</v>
      </c>
      <c r="H679" s="1" t="s">
        <v>1856</v>
      </c>
    </row>
    <row r="680" spans="1:8" hidden="1" x14ac:dyDescent="0.3">
      <c r="A680" t="s">
        <v>6501</v>
      </c>
      <c r="B680" t="s">
        <v>6501</v>
      </c>
      <c r="C680" t="s">
        <v>1313</v>
      </c>
      <c r="D680" t="s">
        <v>135</v>
      </c>
      <c r="E680" t="s">
        <v>10</v>
      </c>
      <c r="F680" t="s">
        <v>5729</v>
      </c>
      <c r="G680" s="1" t="s">
        <v>5730</v>
      </c>
      <c r="H680" s="1" t="s">
        <v>1856</v>
      </c>
    </row>
    <row r="681" spans="1:8" hidden="1" x14ac:dyDescent="0.3">
      <c r="A681" t="s">
        <v>6502</v>
      </c>
      <c r="B681" t="s">
        <v>6502</v>
      </c>
      <c r="C681" t="s">
        <v>1330</v>
      </c>
      <c r="D681" t="s">
        <v>135</v>
      </c>
      <c r="E681" t="s">
        <v>10</v>
      </c>
      <c r="F681" t="s">
        <v>5729</v>
      </c>
      <c r="G681" s="1" t="s">
        <v>5730</v>
      </c>
      <c r="H681" s="1" t="s">
        <v>1874</v>
      </c>
    </row>
    <row r="682" spans="1:8" hidden="1" x14ac:dyDescent="0.3">
      <c r="A682" t="s">
        <v>6503</v>
      </c>
      <c r="B682" t="s">
        <v>6503</v>
      </c>
      <c r="C682" t="s">
        <v>1061</v>
      </c>
      <c r="D682" t="s">
        <v>135</v>
      </c>
      <c r="E682" t="s">
        <v>10</v>
      </c>
      <c r="F682" t="s">
        <v>5734</v>
      </c>
      <c r="G682" s="1" t="s">
        <v>5730</v>
      </c>
      <c r="H682" s="1" t="s">
        <v>1927</v>
      </c>
    </row>
    <row r="683" spans="1:8" hidden="1" x14ac:dyDescent="0.3">
      <c r="A683" t="s">
        <v>6504</v>
      </c>
      <c r="B683" t="s">
        <v>6504</v>
      </c>
      <c r="C683" t="s">
        <v>1359</v>
      </c>
      <c r="D683" t="s">
        <v>135</v>
      </c>
      <c r="E683" t="s">
        <v>10</v>
      </c>
      <c r="F683" t="s">
        <v>5729</v>
      </c>
      <c r="G683" s="1" t="s">
        <v>5730</v>
      </c>
      <c r="H683" s="1" t="s">
        <v>1856</v>
      </c>
    </row>
    <row r="684" spans="1:8" hidden="1" x14ac:dyDescent="0.3">
      <c r="A684" t="s">
        <v>6505</v>
      </c>
      <c r="B684" t="s">
        <v>6505</v>
      </c>
      <c r="C684" t="s">
        <v>1368</v>
      </c>
      <c r="D684" t="s">
        <v>135</v>
      </c>
      <c r="E684" t="s">
        <v>10</v>
      </c>
      <c r="F684" t="s">
        <v>5729</v>
      </c>
      <c r="G684" s="1" t="s">
        <v>5730</v>
      </c>
      <c r="H684" s="1" t="s">
        <v>1874</v>
      </c>
    </row>
    <row r="685" spans="1:8" hidden="1" x14ac:dyDescent="0.3">
      <c r="A685" t="s">
        <v>6506</v>
      </c>
      <c r="B685" t="s">
        <v>6506</v>
      </c>
      <c r="C685" t="s">
        <v>1380</v>
      </c>
      <c r="D685" t="s">
        <v>135</v>
      </c>
      <c r="E685" t="s">
        <v>10</v>
      </c>
      <c r="F685" t="s">
        <v>5781</v>
      </c>
      <c r="G685" s="1" t="s">
        <v>5730</v>
      </c>
      <c r="H685" s="1" t="s">
        <v>1856</v>
      </c>
    </row>
    <row r="686" spans="1:8" hidden="1" x14ac:dyDescent="0.3">
      <c r="A686" t="s">
        <v>6507</v>
      </c>
      <c r="B686" t="s">
        <v>6507</v>
      </c>
      <c r="C686" t="s">
        <v>6508</v>
      </c>
      <c r="D686" t="s">
        <v>135</v>
      </c>
      <c r="E686" t="s">
        <v>10</v>
      </c>
      <c r="F686" t="s">
        <v>5729</v>
      </c>
      <c r="G686" s="1" t="s">
        <v>5730</v>
      </c>
      <c r="H686" s="1" t="s">
        <v>1923</v>
      </c>
    </row>
    <row r="687" spans="1:8" hidden="1" x14ac:dyDescent="0.3">
      <c r="A687" t="s">
        <v>6509</v>
      </c>
      <c r="B687" t="s">
        <v>6509</v>
      </c>
      <c r="C687" t="s">
        <v>3609</v>
      </c>
      <c r="D687" t="s">
        <v>135</v>
      </c>
      <c r="E687" t="s">
        <v>10</v>
      </c>
      <c r="F687" t="s">
        <v>5729</v>
      </c>
      <c r="G687" s="1" t="s">
        <v>5730</v>
      </c>
      <c r="H687" s="1" t="s">
        <v>1923</v>
      </c>
    </row>
    <row r="688" spans="1:8" hidden="1" x14ac:dyDescent="0.3">
      <c r="A688" t="s">
        <v>6510</v>
      </c>
      <c r="B688" t="s">
        <v>6510</v>
      </c>
      <c r="C688" t="s">
        <v>1410</v>
      </c>
      <c r="D688" t="s">
        <v>135</v>
      </c>
      <c r="E688" t="s">
        <v>10</v>
      </c>
      <c r="F688" t="s">
        <v>5729</v>
      </c>
      <c r="G688" s="1" t="s">
        <v>5730</v>
      </c>
      <c r="H688" s="1" t="s">
        <v>1856</v>
      </c>
    </row>
    <row r="689" spans="1:8" hidden="1" x14ac:dyDescent="0.3">
      <c r="A689" t="s">
        <v>6511</v>
      </c>
      <c r="B689" t="s">
        <v>6511</v>
      </c>
      <c r="C689" t="s">
        <v>3614</v>
      </c>
      <c r="D689" t="s">
        <v>135</v>
      </c>
      <c r="E689" t="s">
        <v>10</v>
      </c>
      <c r="F689" t="s">
        <v>5734</v>
      </c>
      <c r="G689" s="1" t="s">
        <v>1961</v>
      </c>
      <c r="H689" s="1" t="s">
        <v>1927</v>
      </c>
    </row>
    <row r="690" spans="1:8" hidden="1" x14ac:dyDescent="0.3">
      <c r="A690" t="s">
        <v>6512</v>
      </c>
      <c r="B690" t="s">
        <v>6512</v>
      </c>
      <c r="C690" t="s">
        <v>1419</v>
      </c>
      <c r="D690" t="s">
        <v>135</v>
      </c>
      <c r="E690" t="s">
        <v>10</v>
      </c>
      <c r="F690" t="s">
        <v>5729</v>
      </c>
      <c r="G690" s="1" t="s">
        <v>5730</v>
      </c>
      <c r="H690" s="1" t="s">
        <v>1856</v>
      </c>
    </row>
    <row r="691" spans="1:8" hidden="1" x14ac:dyDescent="0.3">
      <c r="A691" t="s">
        <v>6513</v>
      </c>
      <c r="B691" t="s">
        <v>6513</v>
      </c>
      <c r="C691" t="s">
        <v>1426</v>
      </c>
      <c r="D691" t="s">
        <v>135</v>
      </c>
      <c r="E691" t="s">
        <v>10</v>
      </c>
      <c r="F691" t="s">
        <v>5729</v>
      </c>
      <c r="G691" s="1" t="s">
        <v>5730</v>
      </c>
      <c r="H691" s="1" t="s">
        <v>1856</v>
      </c>
    </row>
    <row r="692" spans="1:8" hidden="1" x14ac:dyDescent="0.3">
      <c r="A692" t="s">
        <v>6514</v>
      </c>
      <c r="B692" t="s">
        <v>6514</v>
      </c>
      <c r="C692" t="s">
        <v>3621</v>
      </c>
      <c r="D692" t="s">
        <v>135</v>
      </c>
      <c r="E692" t="s">
        <v>10</v>
      </c>
      <c r="F692" t="s">
        <v>5729</v>
      </c>
      <c r="G692" s="1" t="s">
        <v>5730</v>
      </c>
      <c r="H692" s="1" t="s">
        <v>1874</v>
      </c>
    </row>
    <row r="693" spans="1:8" hidden="1" x14ac:dyDescent="0.3">
      <c r="A693" t="s">
        <v>6515</v>
      </c>
      <c r="B693" t="s">
        <v>6515</v>
      </c>
      <c r="C693" t="s">
        <v>1791</v>
      </c>
      <c r="D693" t="s">
        <v>135</v>
      </c>
      <c r="E693" t="s">
        <v>10</v>
      </c>
      <c r="F693" t="s">
        <v>5729</v>
      </c>
      <c r="G693" s="1" t="s">
        <v>5730</v>
      </c>
      <c r="H693" s="1" t="s">
        <v>1874</v>
      </c>
    </row>
    <row r="694" spans="1:8" hidden="1" x14ac:dyDescent="0.3">
      <c r="A694" t="s">
        <v>6516</v>
      </c>
      <c r="B694" t="s">
        <v>6516</v>
      </c>
      <c r="C694" t="s">
        <v>3626</v>
      </c>
      <c r="D694" t="s">
        <v>135</v>
      </c>
      <c r="E694" t="s">
        <v>10</v>
      </c>
      <c r="F694" t="s">
        <v>5729</v>
      </c>
      <c r="G694" s="1" t="s">
        <v>5730</v>
      </c>
      <c r="H694" s="1" t="s">
        <v>1856</v>
      </c>
    </row>
    <row r="695" spans="1:8" hidden="1" x14ac:dyDescent="0.3">
      <c r="A695" t="s">
        <v>6517</v>
      </c>
      <c r="B695" t="s">
        <v>6517</v>
      </c>
      <c r="C695" t="s">
        <v>2552</v>
      </c>
      <c r="D695" t="s">
        <v>135</v>
      </c>
      <c r="E695" t="s">
        <v>10</v>
      </c>
      <c r="F695" t="s">
        <v>5781</v>
      </c>
      <c r="G695" s="1" t="s">
        <v>5730</v>
      </c>
      <c r="H695" s="1" t="s">
        <v>1927</v>
      </c>
    </row>
    <row r="696" spans="1:8" hidden="1" x14ac:dyDescent="0.3">
      <c r="A696" t="s">
        <v>6518</v>
      </c>
      <c r="B696" t="s">
        <v>6518</v>
      </c>
      <c r="C696" t="s">
        <v>2555</v>
      </c>
      <c r="D696" t="s">
        <v>135</v>
      </c>
      <c r="E696" t="s">
        <v>10</v>
      </c>
      <c r="F696" t="s">
        <v>5734</v>
      </c>
      <c r="G696" s="1" t="s">
        <v>5730</v>
      </c>
      <c r="H696" s="1" t="s">
        <v>1923</v>
      </c>
    </row>
    <row r="697" spans="1:8" hidden="1" x14ac:dyDescent="0.3">
      <c r="A697" t="s">
        <v>6519</v>
      </c>
      <c r="B697" t="s">
        <v>6519</v>
      </c>
      <c r="C697" t="s">
        <v>2247</v>
      </c>
      <c r="D697" t="s">
        <v>135</v>
      </c>
      <c r="E697" t="s">
        <v>10</v>
      </c>
      <c r="F697" t="s">
        <v>5734</v>
      </c>
      <c r="G697" s="1" t="s">
        <v>5730</v>
      </c>
      <c r="H697" s="1" t="s">
        <v>1856</v>
      </c>
    </row>
    <row r="698" spans="1:8" hidden="1" x14ac:dyDescent="0.3">
      <c r="A698" t="s">
        <v>6520</v>
      </c>
      <c r="B698" t="s">
        <v>6520</v>
      </c>
      <c r="C698" t="s">
        <v>1456</v>
      </c>
      <c r="D698" t="s">
        <v>135</v>
      </c>
      <c r="E698" t="s">
        <v>10</v>
      </c>
      <c r="F698" t="s">
        <v>5734</v>
      </c>
      <c r="G698" s="1" t="s">
        <v>5730</v>
      </c>
      <c r="H698" s="1" t="s">
        <v>1856</v>
      </c>
    </row>
    <row r="699" spans="1:8" hidden="1" x14ac:dyDescent="0.3">
      <c r="A699" t="s">
        <v>6521</v>
      </c>
      <c r="B699" t="s">
        <v>6521</v>
      </c>
      <c r="C699" t="s">
        <v>1460</v>
      </c>
      <c r="D699" t="s">
        <v>135</v>
      </c>
      <c r="E699" t="s">
        <v>10</v>
      </c>
      <c r="F699" t="s">
        <v>5729</v>
      </c>
      <c r="G699" s="1" t="s">
        <v>5730</v>
      </c>
      <c r="H699" s="1" t="s">
        <v>1856</v>
      </c>
    </row>
    <row r="700" spans="1:8" hidden="1" x14ac:dyDescent="0.3">
      <c r="A700" t="s">
        <v>6522</v>
      </c>
      <c r="B700" t="s">
        <v>6522</v>
      </c>
      <c r="C700" t="s">
        <v>1464</v>
      </c>
      <c r="D700" t="s">
        <v>135</v>
      </c>
      <c r="E700" t="s">
        <v>10</v>
      </c>
      <c r="F700" t="s">
        <v>5729</v>
      </c>
      <c r="G700" s="1" t="s">
        <v>5730</v>
      </c>
      <c r="H700" s="1" t="s">
        <v>1923</v>
      </c>
    </row>
    <row r="701" spans="1:8" hidden="1" x14ac:dyDescent="0.3">
      <c r="A701" t="s">
        <v>6523</v>
      </c>
      <c r="B701" t="s">
        <v>6523</v>
      </c>
      <c r="C701" t="s">
        <v>1468</v>
      </c>
      <c r="D701" t="s">
        <v>135</v>
      </c>
      <c r="E701" t="s">
        <v>10</v>
      </c>
      <c r="F701" t="s">
        <v>5729</v>
      </c>
      <c r="G701" s="1" t="s">
        <v>5730</v>
      </c>
      <c r="H701" s="1" t="s">
        <v>1927</v>
      </c>
    </row>
    <row r="702" spans="1:8" hidden="1" x14ac:dyDescent="0.3">
      <c r="A702" t="s">
        <v>6524</v>
      </c>
      <c r="B702" t="s">
        <v>6524</v>
      </c>
      <c r="C702" t="s">
        <v>6525</v>
      </c>
      <c r="D702" t="s">
        <v>1755</v>
      </c>
      <c r="E702" t="s">
        <v>10</v>
      </c>
      <c r="F702" t="s">
        <v>5747</v>
      </c>
      <c r="G702" s="1" t="s">
        <v>1855</v>
      </c>
      <c r="H702" s="1" t="s">
        <v>1856</v>
      </c>
    </row>
    <row r="703" spans="1:8" hidden="1" x14ac:dyDescent="0.3">
      <c r="A703" t="s">
        <v>6526</v>
      </c>
      <c r="B703" t="s">
        <v>6526</v>
      </c>
      <c r="C703" t="s">
        <v>6527</v>
      </c>
      <c r="D703" t="s">
        <v>1755</v>
      </c>
      <c r="E703" t="s">
        <v>10</v>
      </c>
      <c r="F703" t="s">
        <v>5742</v>
      </c>
      <c r="G703" s="1" t="s">
        <v>1961</v>
      </c>
      <c r="H703" s="1" t="s">
        <v>1856</v>
      </c>
    </row>
    <row r="704" spans="1:8" hidden="1" x14ac:dyDescent="0.3">
      <c r="A704" t="s">
        <v>6528</v>
      </c>
      <c r="B704" t="s">
        <v>6528</v>
      </c>
      <c r="C704" t="s">
        <v>203</v>
      </c>
      <c r="D704" t="s">
        <v>1755</v>
      </c>
      <c r="E704" t="s">
        <v>10</v>
      </c>
      <c r="F704" t="s">
        <v>5734</v>
      </c>
      <c r="G704" s="1" t="s">
        <v>5730</v>
      </c>
      <c r="H704" s="1" t="s">
        <v>1856</v>
      </c>
    </row>
    <row r="705" spans="1:8" hidden="1" x14ac:dyDescent="0.3">
      <c r="A705" t="s">
        <v>6529</v>
      </c>
      <c r="B705" t="s">
        <v>6529</v>
      </c>
      <c r="C705" t="s">
        <v>6530</v>
      </c>
      <c r="D705" t="s">
        <v>1755</v>
      </c>
      <c r="E705" t="s">
        <v>10</v>
      </c>
      <c r="F705" t="s">
        <v>5734</v>
      </c>
      <c r="G705" s="1" t="s">
        <v>1961</v>
      </c>
      <c r="H705" s="1" t="s">
        <v>1856</v>
      </c>
    </row>
    <row r="706" spans="1:8" hidden="1" x14ac:dyDescent="0.3">
      <c r="A706" t="s">
        <v>6531</v>
      </c>
      <c r="B706" t="s">
        <v>6531</v>
      </c>
      <c r="C706" t="s">
        <v>275</v>
      </c>
      <c r="D706" t="s">
        <v>1755</v>
      </c>
      <c r="E706" t="s">
        <v>10</v>
      </c>
      <c r="F706" t="s">
        <v>5729</v>
      </c>
      <c r="G706" s="1" t="s">
        <v>5730</v>
      </c>
      <c r="H706" s="1" t="s">
        <v>1856</v>
      </c>
    </row>
    <row r="707" spans="1:8" hidden="1" x14ac:dyDescent="0.3">
      <c r="A707" t="s">
        <v>6532</v>
      </c>
      <c r="B707" t="s">
        <v>6532</v>
      </c>
      <c r="C707" t="s">
        <v>348</v>
      </c>
      <c r="D707" t="s">
        <v>1755</v>
      </c>
      <c r="E707" t="s">
        <v>10</v>
      </c>
      <c r="F707" t="s">
        <v>5729</v>
      </c>
      <c r="G707" s="1" t="s">
        <v>5730</v>
      </c>
      <c r="H707" s="1" t="s">
        <v>1927</v>
      </c>
    </row>
    <row r="708" spans="1:8" hidden="1" x14ac:dyDescent="0.3">
      <c r="A708" t="s">
        <v>6533</v>
      </c>
      <c r="B708" t="s">
        <v>6533</v>
      </c>
      <c r="C708" t="s">
        <v>418</v>
      </c>
      <c r="D708" t="s">
        <v>1755</v>
      </c>
      <c r="E708" t="s">
        <v>10</v>
      </c>
      <c r="F708" t="s">
        <v>5729</v>
      </c>
      <c r="G708" s="1" t="s">
        <v>5730</v>
      </c>
      <c r="H708" s="1" t="s">
        <v>1856</v>
      </c>
    </row>
    <row r="709" spans="1:8" hidden="1" x14ac:dyDescent="0.3">
      <c r="A709" t="s">
        <v>6534</v>
      </c>
      <c r="B709" t="s">
        <v>6534</v>
      </c>
      <c r="C709" t="s">
        <v>6535</v>
      </c>
      <c r="D709" t="s">
        <v>1755</v>
      </c>
      <c r="E709" t="s">
        <v>10</v>
      </c>
      <c r="F709" t="s">
        <v>5729</v>
      </c>
      <c r="G709" s="1" t="s">
        <v>5730</v>
      </c>
      <c r="H709" s="1" t="s">
        <v>1856</v>
      </c>
    </row>
    <row r="710" spans="1:8" hidden="1" x14ac:dyDescent="0.3">
      <c r="A710" t="s">
        <v>6536</v>
      </c>
      <c r="B710" t="s">
        <v>6536</v>
      </c>
      <c r="C710" t="s">
        <v>1766</v>
      </c>
      <c r="D710" t="s">
        <v>1755</v>
      </c>
      <c r="E710" t="s">
        <v>10</v>
      </c>
      <c r="F710" t="s">
        <v>5729</v>
      </c>
      <c r="G710" s="1" t="s">
        <v>1961</v>
      </c>
      <c r="H710" s="1" t="s">
        <v>1927</v>
      </c>
    </row>
    <row r="711" spans="1:8" hidden="1" x14ac:dyDescent="0.3">
      <c r="A711" t="s">
        <v>6537</v>
      </c>
      <c r="B711" t="s">
        <v>6537</v>
      </c>
      <c r="C711" t="s">
        <v>1768</v>
      </c>
      <c r="D711" t="s">
        <v>1755</v>
      </c>
      <c r="E711" t="s">
        <v>10</v>
      </c>
      <c r="F711" t="s">
        <v>5729</v>
      </c>
      <c r="G711" s="1" t="s">
        <v>1961</v>
      </c>
      <c r="H711" s="1" t="s">
        <v>1874</v>
      </c>
    </row>
    <row r="712" spans="1:8" hidden="1" x14ac:dyDescent="0.3">
      <c r="A712" t="s">
        <v>6538</v>
      </c>
      <c r="B712" t="s">
        <v>6538</v>
      </c>
      <c r="C712" t="s">
        <v>1207</v>
      </c>
      <c r="D712" t="s">
        <v>1755</v>
      </c>
      <c r="E712" t="s">
        <v>10</v>
      </c>
      <c r="F712" t="s">
        <v>5729</v>
      </c>
      <c r="G712" s="1" t="s">
        <v>5730</v>
      </c>
      <c r="H712" s="1" t="s">
        <v>1856</v>
      </c>
    </row>
    <row r="713" spans="1:8" hidden="1" x14ac:dyDescent="0.3">
      <c r="A713" t="s">
        <v>6539</v>
      </c>
      <c r="B713" t="s">
        <v>6539</v>
      </c>
      <c r="C713" t="s">
        <v>6540</v>
      </c>
      <c r="D713" t="s">
        <v>1755</v>
      </c>
      <c r="E713" t="s">
        <v>10</v>
      </c>
      <c r="F713" t="s">
        <v>5729</v>
      </c>
      <c r="G713" s="1" t="s">
        <v>5730</v>
      </c>
      <c r="H713" s="1" t="s">
        <v>1856</v>
      </c>
    </row>
    <row r="714" spans="1:8" hidden="1" x14ac:dyDescent="0.3">
      <c r="A714" t="s">
        <v>6541</v>
      </c>
      <c r="B714" t="s">
        <v>6541</v>
      </c>
      <c r="C714" t="s">
        <v>1256</v>
      </c>
      <c r="D714" t="s">
        <v>1755</v>
      </c>
      <c r="E714" t="s">
        <v>10</v>
      </c>
      <c r="F714" t="s">
        <v>5729</v>
      </c>
      <c r="G714" s="1" t="s">
        <v>5730</v>
      </c>
      <c r="H714" s="1" t="s">
        <v>1856</v>
      </c>
    </row>
    <row r="715" spans="1:8" hidden="1" x14ac:dyDescent="0.3">
      <c r="A715" t="s">
        <v>6542</v>
      </c>
      <c r="B715" t="s">
        <v>6542</v>
      </c>
      <c r="C715" t="s">
        <v>114</v>
      </c>
      <c r="D715" t="s">
        <v>1755</v>
      </c>
      <c r="E715" t="s">
        <v>10</v>
      </c>
      <c r="F715" t="s">
        <v>5729</v>
      </c>
      <c r="G715" s="1" t="s">
        <v>5730</v>
      </c>
      <c r="H715" s="1" t="s">
        <v>1856</v>
      </c>
    </row>
    <row r="716" spans="1:8" hidden="1" x14ac:dyDescent="0.3">
      <c r="A716" t="s">
        <v>6543</v>
      </c>
      <c r="B716" t="s">
        <v>6543</v>
      </c>
      <c r="C716" t="s">
        <v>1775</v>
      </c>
      <c r="D716" t="s">
        <v>1755</v>
      </c>
      <c r="E716" t="s">
        <v>10</v>
      </c>
      <c r="F716" t="s">
        <v>5781</v>
      </c>
      <c r="G716" s="1" t="s">
        <v>1961</v>
      </c>
      <c r="H716" s="1" t="s">
        <v>1856</v>
      </c>
    </row>
    <row r="717" spans="1:8" hidden="1" x14ac:dyDescent="0.3">
      <c r="A717" t="s">
        <v>6544</v>
      </c>
      <c r="B717" t="s">
        <v>6544</v>
      </c>
      <c r="C717" t="s">
        <v>6545</v>
      </c>
      <c r="D717" t="s">
        <v>1755</v>
      </c>
      <c r="E717" t="s">
        <v>10</v>
      </c>
      <c r="F717" t="s">
        <v>5729</v>
      </c>
      <c r="G717" s="1" t="s">
        <v>1961</v>
      </c>
      <c r="H717" s="1" t="s">
        <v>1923</v>
      </c>
    </row>
    <row r="718" spans="1:8" hidden="1" x14ac:dyDescent="0.3">
      <c r="A718" t="s">
        <v>6546</v>
      </c>
      <c r="B718" t="s">
        <v>6546</v>
      </c>
      <c r="C718" t="s">
        <v>1779</v>
      </c>
      <c r="D718" t="s">
        <v>1755</v>
      </c>
      <c r="E718" t="s">
        <v>10</v>
      </c>
      <c r="F718" t="s">
        <v>5729</v>
      </c>
      <c r="G718" s="1" t="s">
        <v>5730</v>
      </c>
      <c r="H718" s="1" t="s">
        <v>1856</v>
      </c>
    </row>
    <row r="719" spans="1:8" hidden="1" x14ac:dyDescent="0.3">
      <c r="A719" t="s">
        <v>6547</v>
      </c>
      <c r="B719" t="s">
        <v>6547</v>
      </c>
      <c r="C719" t="s">
        <v>1314</v>
      </c>
      <c r="D719" t="s">
        <v>1755</v>
      </c>
      <c r="E719" t="s">
        <v>10</v>
      </c>
      <c r="F719" t="s">
        <v>5729</v>
      </c>
      <c r="G719" s="1" t="s">
        <v>5730</v>
      </c>
      <c r="H719" s="1" t="s">
        <v>1856</v>
      </c>
    </row>
    <row r="720" spans="1:8" hidden="1" x14ac:dyDescent="0.3">
      <c r="A720" t="s">
        <v>6548</v>
      </c>
      <c r="B720" t="s">
        <v>6548</v>
      </c>
      <c r="C720" t="s">
        <v>6549</v>
      </c>
      <c r="D720" t="s">
        <v>1755</v>
      </c>
      <c r="E720" t="s">
        <v>10</v>
      </c>
      <c r="F720" t="s">
        <v>5729</v>
      </c>
      <c r="G720" s="1" t="s">
        <v>5730</v>
      </c>
      <c r="H720" s="1" t="s">
        <v>1874</v>
      </c>
    </row>
    <row r="721" spans="1:8" hidden="1" x14ac:dyDescent="0.3">
      <c r="A721" t="s">
        <v>6550</v>
      </c>
      <c r="B721" t="s">
        <v>6550</v>
      </c>
      <c r="C721" t="s">
        <v>1345</v>
      </c>
      <c r="D721" t="s">
        <v>1755</v>
      </c>
      <c r="E721" t="s">
        <v>10</v>
      </c>
      <c r="F721" t="s">
        <v>5729</v>
      </c>
      <c r="G721" s="1" t="s">
        <v>5730</v>
      </c>
      <c r="H721" s="1" t="s">
        <v>1856</v>
      </c>
    </row>
    <row r="722" spans="1:8" hidden="1" x14ac:dyDescent="0.3">
      <c r="A722" t="s">
        <v>6551</v>
      </c>
      <c r="B722" t="s">
        <v>6551</v>
      </c>
      <c r="C722" t="s">
        <v>978</v>
      </c>
      <c r="D722" t="s">
        <v>1755</v>
      </c>
      <c r="E722" t="s">
        <v>10</v>
      </c>
      <c r="F722" t="s">
        <v>5734</v>
      </c>
      <c r="G722" s="1" t="s">
        <v>5730</v>
      </c>
      <c r="H722" s="1" t="s">
        <v>1856</v>
      </c>
    </row>
    <row r="723" spans="1:8" hidden="1" x14ac:dyDescent="0.3">
      <c r="A723" t="s">
        <v>6552</v>
      </c>
      <c r="B723" t="s">
        <v>6552</v>
      </c>
      <c r="C723" t="s">
        <v>1369</v>
      </c>
      <c r="D723" t="s">
        <v>1755</v>
      </c>
      <c r="E723" t="s">
        <v>10</v>
      </c>
      <c r="F723" t="s">
        <v>5729</v>
      </c>
      <c r="G723" s="1" t="s">
        <v>5730</v>
      </c>
      <c r="H723" s="1" t="s">
        <v>1927</v>
      </c>
    </row>
    <row r="724" spans="1:8" hidden="1" x14ac:dyDescent="0.3">
      <c r="A724" t="s">
        <v>6553</v>
      </c>
      <c r="B724" t="s">
        <v>6553</v>
      </c>
      <c r="C724" t="s">
        <v>6554</v>
      </c>
      <c r="D724" t="s">
        <v>1755</v>
      </c>
      <c r="E724" t="s">
        <v>10</v>
      </c>
      <c r="F724" t="s">
        <v>5729</v>
      </c>
      <c r="G724" s="1" t="s">
        <v>1961</v>
      </c>
      <c r="H724" s="1" t="s">
        <v>1874</v>
      </c>
    </row>
    <row r="725" spans="1:8" hidden="1" x14ac:dyDescent="0.3">
      <c r="A725" t="s">
        <v>6555</v>
      </c>
      <c r="B725" t="s">
        <v>6555</v>
      </c>
      <c r="C725" t="s">
        <v>5856</v>
      </c>
      <c r="D725" t="s">
        <v>1755</v>
      </c>
      <c r="E725" t="s">
        <v>10</v>
      </c>
      <c r="F725" t="s">
        <v>5781</v>
      </c>
      <c r="G725" s="1" t="s">
        <v>1961</v>
      </c>
      <c r="H725" s="1" t="s">
        <v>1856</v>
      </c>
    </row>
    <row r="726" spans="1:8" hidden="1" x14ac:dyDescent="0.3">
      <c r="A726" t="s">
        <v>6556</v>
      </c>
      <c r="B726" t="s">
        <v>6556</v>
      </c>
      <c r="C726" t="s">
        <v>1791</v>
      </c>
      <c r="D726" t="s">
        <v>1755</v>
      </c>
      <c r="E726" t="s">
        <v>10</v>
      </c>
      <c r="F726" t="s">
        <v>5729</v>
      </c>
      <c r="G726" s="1" t="s">
        <v>5730</v>
      </c>
      <c r="H726" s="1" t="s">
        <v>1923</v>
      </c>
    </row>
    <row r="727" spans="1:8" hidden="1" x14ac:dyDescent="0.3">
      <c r="A727" t="s">
        <v>6557</v>
      </c>
      <c r="B727" t="s">
        <v>6557</v>
      </c>
      <c r="C727" t="s">
        <v>6558</v>
      </c>
      <c r="D727" t="s">
        <v>1755</v>
      </c>
      <c r="E727" t="s">
        <v>10</v>
      </c>
      <c r="F727" t="s">
        <v>5729</v>
      </c>
      <c r="G727" s="1" t="s">
        <v>1961</v>
      </c>
      <c r="H727" s="1" t="s">
        <v>1927</v>
      </c>
    </row>
    <row r="728" spans="1:8" hidden="1" x14ac:dyDescent="0.3">
      <c r="A728" t="s">
        <v>6559</v>
      </c>
      <c r="B728" t="s">
        <v>6559</v>
      </c>
      <c r="C728" t="s">
        <v>1795</v>
      </c>
      <c r="D728" t="s">
        <v>1755</v>
      </c>
      <c r="E728" t="s">
        <v>10</v>
      </c>
      <c r="F728" t="s">
        <v>5734</v>
      </c>
      <c r="G728" s="1" t="s">
        <v>1961</v>
      </c>
      <c r="H728" s="1" t="s">
        <v>1927</v>
      </c>
    </row>
    <row r="729" spans="1:8" hidden="1" x14ac:dyDescent="0.3">
      <c r="A729" t="s">
        <v>6560</v>
      </c>
      <c r="B729" t="s">
        <v>6560</v>
      </c>
      <c r="C729" t="s">
        <v>1797</v>
      </c>
      <c r="D729" t="s">
        <v>1755</v>
      </c>
      <c r="E729" t="s">
        <v>10</v>
      </c>
      <c r="F729" t="s">
        <v>5729</v>
      </c>
      <c r="G729" s="1" t="s">
        <v>1961</v>
      </c>
      <c r="H729" s="1" t="s">
        <v>1927</v>
      </c>
    </row>
    <row r="730" spans="1:8" hidden="1" x14ac:dyDescent="0.3">
      <c r="A730" t="s">
        <v>6561</v>
      </c>
      <c r="B730" t="s">
        <v>6561</v>
      </c>
      <c r="C730" t="s">
        <v>1401</v>
      </c>
      <c r="D730" t="s">
        <v>1755</v>
      </c>
      <c r="E730" t="s">
        <v>10</v>
      </c>
      <c r="F730" t="s">
        <v>5729</v>
      </c>
      <c r="G730" s="1" t="s">
        <v>5730</v>
      </c>
      <c r="H730" s="1" t="s">
        <v>1874</v>
      </c>
    </row>
    <row r="731" spans="1:8" hidden="1" x14ac:dyDescent="0.3">
      <c r="A731" t="s">
        <v>6562</v>
      </c>
      <c r="B731" t="s">
        <v>6562</v>
      </c>
      <c r="C731" t="s">
        <v>1411</v>
      </c>
      <c r="D731" t="s">
        <v>1755</v>
      </c>
      <c r="E731" t="s">
        <v>10</v>
      </c>
      <c r="F731" t="s">
        <v>5729</v>
      </c>
      <c r="G731" s="1" t="s">
        <v>5730</v>
      </c>
      <c r="H731" s="1" t="s">
        <v>1874</v>
      </c>
    </row>
    <row r="732" spans="1:8" hidden="1" x14ac:dyDescent="0.3">
      <c r="A732" t="s">
        <v>6563</v>
      </c>
      <c r="B732" t="s">
        <v>6563</v>
      </c>
      <c r="C732" t="s">
        <v>1801</v>
      </c>
      <c r="D732" t="s">
        <v>1755</v>
      </c>
      <c r="E732" t="s">
        <v>10</v>
      </c>
      <c r="F732" t="s">
        <v>5729</v>
      </c>
      <c r="G732" s="1" t="s">
        <v>1961</v>
      </c>
      <c r="H732" s="1" t="s">
        <v>1923</v>
      </c>
    </row>
    <row r="733" spans="1:8" hidden="1" x14ac:dyDescent="0.3">
      <c r="A733" t="s">
        <v>6564</v>
      </c>
      <c r="B733" t="s">
        <v>6564</v>
      </c>
      <c r="C733" t="s">
        <v>1803</v>
      </c>
      <c r="D733" t="s">
        <v>1755</v>
      </c>
      <c r="E733" t="s">
        <v>10</v>
      </c>
      <c r="F733" t="s">
        <v>5729</v>
      </c>
      <c r="G733" s="1" t="s">
        <v>5730</v>
      </c>
      <c r="H733" s="1" t="s">
        <v>1927</v>
      </c>
    </row>
    <row r="734" spans="1:8" hidden="1" x14ac:dyDescent="0.3">
      <c r="A734" t="s">
        <v>6565</v>
      </c>
      <c r="B734" t="s">
        <v>6565</v>
      </c>
      <c r="C734" t="s">
        <v>202</v>
      </c>
      <c r="D734" t="s">
        <v>148</v>
      </c>
      <c r="E734" t="s">
        <v>10</v>
      </c>
      <c r="F734" t="s">
        <v>5734</v>
      </c>
      <c r="G734" s="1" t="s">
        <v>5730</v>
      </c>
      <c r="H734" s="1" t="s">
        <v>1856</v>
      </c>
    </row>
    <row r="735" spans="1:8" hidden="1" x14ac:dyDescent="0.3">
      <c r="A735" t="s">
        <v>6566</v>
      </c>
      <c r="B735" t="s">
        <v>6566</v>
      </c>
      <c r="C735" t="s">
        <v>6567</v>
      </c>
      <c r="D735" t="s">
        <v>148</v>
      </c>
      <c r="E735" t="s">
        <v>10</v>
      </c>
      <c r="F735" t="s">
        <v>5781</v>
      </c>
      <c r="G735" s="1" t="s">
        <v>5730</v>
      </c>
      <c r="H735" s="1" t="s">
        <v>1874</v>
      </c>
    </row>
    <row r="736" spans="1:8" hidden="1" x14ac:dyDescent="0.3">
      <c r="A736" t="s">
        <v>6568</v>
      </c>
      <c r="B736" t="s">
        <v>6568</v>
      </c>
      <c r="C736" t="s">
        <v>3647</v>
      </c>
      <c r="D736" t="s">
        <v>148</v>
      </c>
      <c r="E736" t="s">
        <v>10</v>
      </c>
      <c r="F736" t="s">
        <v>5729</v>
      </c>
      <c r="G736" s="1" t="s">
        <v>5730</v>
      </c>
      <c r="H736" s="1" t="s">
        <v>1874</v>
      </c>
    </row>
    <row r="737" spans="1:8" hidden="1" x14ac:dyDescent="0.3">
      <c r="A737" t="s">
        <v>6569</v>
      </c>
      <c r="B737" t="s">
        <v>6569</v>
      </c>
      <c r="C737" t="s">
        <v>6570</v>
      </c>
      <c r="D737" t="s">
        <v>148</v>
      </c>
      <c r="E737" t="s">
        <v>10</v>
      </c>
      <c r="F737" t="s">
        <v>5729</v>
      </c>
      <c r="G737" s="1" t="s">
        <v>5730</v>
      </c>
      <c r="H737" s="1" t="s">
        <v>1927</v>
      </c>
    </row>
    <row r="738" spans="1:8" hidden="1" x14ac:dyDescent="0.3">
      <c r="A738" t="s">
        <v>6571</v>
      </c>
      <c r="B738" t="s">
        <v>6571</v>
      </c>
      <c r="C738" t="s">
        <v>493</v>
      </c>
      <c r="D738" t="s">
        <v>148</v>
      </c>
      <c r="E738" t="s">
        <v>10</v>
      </c>
      <c r="F738" t="s">
        <v>5729</v>
      </c>
      <c r="G738" s="1" t="s">
        <v>5730</v>
      </c>
      <c r="H738" s="1" t="s">
        <v>1927</v>
      </c>
    </row>
    <row r="739" spans="1:8" hidden="1" x14ac:dyDescent="0.3">
      <c r="A739" t="s">
        <v>6572</v>
      </c>
      <c r="B739" t="s">
        <v>6572</v>
      </c>
      <c r="C739" t="s">
        <v>6573</v>
      </c>
      <c r="D739" t="s">
        <v>87</v>
      </c>
      <c r="E739" t="s">
        <v>11</v>
      </c>
      <c r="F739" t="s">
        <v>5729</v>
      </c>
      <c r="G739" s="1" t="s">
        <v>5730</v>
      </c>
      <c r="H739" s="1" t="s">
        <v>1923</v>
      </c>
    </row>
    <row r="740" spans="1:8" hidden="1" x14ac:dyDescent="0.3">
      <c r="A740" t="s">
        <v>6574</v>
      </c>
      <c r="B740" t="s">
        <v>6574</v>
      </c>
      <c r="C740" t="s">
        <v>172</v>
      </c>
      <c r="D740" t="s">
        <v>87</v>
      </c>
      <c r="E740" t="s">
        <v>11</v>
      </c>
      <c r="F740" t="s">
        <v>5734</v>
      </c>
      <c r="G740" s="1" t="s">
        <v>5730</v>
      </c>
      <c r="H740" s="1" t="s">
        <v>1927</v>
      </c>
    </row>
    <row r="741" spans="1:8" hidden="1" x14ac:dyDescent="0.3">
      <c r="A741" t="s">
        <v>6575</v>
      </c>
      <c r="B741" t="s">
        <v>6575</v>
      </c>
      <c r="C741" t="s">
        <v>351</v>
      </c>
      <c r="D741" t="s">
        <v>87</v>
      </c>
      <c r="E741" t="s">
        <v>11</v>
      </c>
      <c r="F741" t="s">
        <v>5729</v>
      </c>
      <c r="G741" s="1" t="s">
        <v>5730</v>
      </c>
      <c r="H741" s="1" t="s">
        <v>1923</v>
      </c>
    </row>
    <row r="742" spans="1:8" hidden="1" x14ac:dyDescent="0.3">
      <c r="A742" t="s">
        <v>6576</v>
      </c>
      <c r="B742" t="s">
        <v>6576</v>
      </c>
      <c r="C742" t="s">
        <v>421</v>
      </c>
      <c r="D742" t="s">
        <v>87</v>
      </c>
      <c r="E742" t="s">
        <v>11</v>
      </c>
      <c r="F742" t="s">
        <v>5729</v>
      </c>
      <c r="G742" s="1" t="s">
        <v>5730</v>
      </c>
      <c r="H742" s="1" t="s">
        <v>1923</v>
      </c>
    </row>
    <row r="743" spans="1:8" hidden="1" x14ac:dyDescent="0.3">
      <c r="A743" t="s">
        <v>6577</v>
      </c>
      <c r="B743" t="s">
        <v>6577</v>
      </c>
      <c r="C743" t="s">
        <v>497</v>
      </c>
      <c r="D743" t="s">
        <v>87</v>
      </c>
      <c r="E743" t="s">
        <v>11</v>
      </c>
      <c r="F743" t="s">
        <v>5729</v>
      </c>
      <c r="G743" s="1" t="s">
        <v>5730</v>
      </c>
      <c r="H743" s="1" t="s">
        <v>1923</v>
      </c>
    </row>
    <row r="744" spans="1:8" hidden="1" x14ac:dyDescent="0.3">
      <c r="A744" t="s">
        <v>6578</v>
      </c>
      <c r="B744" t="s">
        <v>6578</v>
      </c>
      <c r="C744" t="s">
        <v>567</v>
      </c>
      <c r="D744" t="s">
        <v>87</v>
      </c>
      <c r="E744" t="s">
        <v>11</v>
      </c>
      <c r="F744" t="s">
        <v>5729</v>
      </c>
      <c r="G744" s="1" t="s">
        <v>5730</v>
      </c>
      <c r="H744" s="1" t="s">
        <v>1927</v>
      </c>
    </row>
    <row r="745" spans="1:8" hidden="1" x14ac:dyDescent="0.3">
      <c r="A745" t="s">
        <v>6579</v>
      </c>
      <c r="B745" t="s">
        <v>6579</v>
      </c>
      <c r="C745" t="s">
        <v>412</v>
      </c>
      <c r="D745" t="s">
        <v>87</v>
      </c>
      <c r="E745" t="s">
        <v>11</v>
      </c>
      <c r="F745" t="s">
        <v>5729</v>
      </c>
      <c r="G745" s="1" t="s">
        <v>5730</v>
      </c>
      <c r="H745" s="1" t="s">
        <v>1923</v>
      </c>
    </row>
    <row r="746" spans="1:8" hidden="1" x14ac:dyDescent="0.3">
      <c r="A746" t="s">
        <v>6580</v>
      </c>
      <c r="B746" t="s">
        <v>6580</v>
      </c>
      <c r="C746" t="s">
        <v>763</v>
      </c>
      <c r="D746" t="s">
        <v>87</v>
      </c>
      <c r="E746" t="s">
        <v>11</v>
      </c>
      <c r="F746" t="s">
        <v>5729</v>
      </c>
      <c r="G746" s="1" t="s">
        <v>5730</v>
      </c>
      <c r="H746" s="1" t="s">
        <v>1923</v>
      </c>
    </row>
    <row r="747" spans="1:8" hidden="1" x14ac:dyDescent="0.3">
      <c r="A747" t="s">
        <v>6581</v>
      </c>
      <c r="B747" t="s">
        <v>6581</v>
      </c>
      <c r="C747" t="s">
        <v>202</v>
      </c>
      <c r="D747" t="s">
        <v>87</v>
      </c>
      <c r="E747" t="s">
        <v>11</v>
      </c>
      <c r="F747" t="s">
        <v>5734</v>
      </c>
      <c r="G747" s="1" t="s">
        <v>5730</v>
      </c>
      <c r="H747" s="1" t="s">
        <v>1856</v>
      </c>
    </row>
    <row r="748" spans="1:8" hidden="1" x14ac:dyDescent="0.3">
      <c r="A748" t="s">
        <v>6582</v>
      </c>
      <c r="B748" t="s">
        <v>6582</v>
      </c>
      <c r="C748" t="s">
        <v>876</v>
      </c>
      <c r="D748" t="s">
        <v>87</v>
      </c>
      <c r="E748" t="s">
        <v>11</v>
      </c>
      <c r="F748" t="s">
        <v>5729</v>
      </c>
      <c r="G748" s="1" t="s">
        <v>5730</v>
      </c>
      <c r="H748" s="1" t="s">
        <v>1874</v>
      </c>
    </row>
    <row r="749" spans="1:8" hidden="1" x14ac:dyDescent="0.3">
      <c r="A749" t="s">
        <v>6583</v>
      </c>
      <c r="B749" t="s">
        <v>6583</v>
      </c>
      <c r="C749" t="s">
        <v>934</v>
      </c>
      <c r="D749" t="s">
        <v>87</v>
      </c>
      <c r="E749" t="s">
        <v>11</v>
      </c>
      <c r="F749" t="s">
        <v>5729</v>
      </c>
      <c r="G749" s="1" t="s">
        <v>5730</v>
      </c>
      <c r="H749" s="1" t="s">
        <v>1927</v>
      </c>
    </row>
    <row r="750" spans="1:8" hidden="1" x14ac:dyDescent="0.3">
      <c r="A750" t="s">
        <v>6584</v>
      </c>
      <c r="B750" t="s">
        <v>6584</v>
      </c>
      <c r="C750" t="s">
        <v>366</v>
      </c>
      <c r="D750" t="s">
        <v>87</v>
      </c>
      <c r="E750" t="s">
        <v>11</v>
      </c>
      <c r="F750" t="s">
        <v>5734</v>
      </c>
      <c r="G750" s="1" t="s">
        <v>5730</v>
      </c>
      <c r="H750" s="1" t="s">
        <v>1856</v>
      </c>
    </row>
    <row r="751" spans="1:8" hidden="1" x14ac:dyDescent="0.3">
      <c r="A751" t="s">
        <v>6585</v>
      </c>
      <c r="B751" t="s">
        <v>6585</v>
      </c>
      <c r="C751" t="s">
        <v>1031</v>
      </c>
      <c r="D751" t="s">
        <v>87</v>
      </c>
      <c r="E751" t="s">
        <v>11</v>
      </c>
      <c r="F751" t="s">
        <v>5729</v>
      </c>
      <c r="G751" s="1" t="s">
        <v>5730</v>
      </c>
      <c r="H751" s="1" t="s">
        <v>1927</v>
      </c>
    </row>
    <row r="752" spans="1:8" hidden="1" x14ac:dyDescent="0.3">
      <c r="A752" t="s">
        <v>6586</v>
      </c>
      <c r="B752" t="s">
        <v>6586</v>
      </c>
      <c r="C752" t="s">
        <v>711</v>
      </c>
      <c r="D752" t="s">
        <v>87</v>
      </c>
      <c r="E752" t="s">
        <v>11</v>
      </c>
      <c r="F752" t="s">
        <v>5729</v>
      </c>
      <c r="G752" s="1" t="s">
        <v>5730</v>
      </c>
      <c r="H752" s="1" t="s">
        <v>1923</v>
      </c>
    </row>
    <row r="753" spans="1:8" hidden="1" x14ac:dyDescent="0.3">
      <c r="A753" t="s">
        <v>6587</v>
      </c>
      <c r="B753" t="s">
        <v>6587</v>
      </c>
      <c r="C753" t="s">
        <v>1148</v>
      </c>
      <c r="D753" t="s">
        <v>87</v>
      </c>
      <c r="E753" t="s">
        <v>11</v>
      </c>
      <c r="F753" t="s">
        <v>5729</v>
      </c>
      <c r="G753" s="1" t="s">
        <v>5730</v>
      </c>
      <c r="H753" s="1" t="s">
        <v>1923</v>
      </c>
    </row>
    <row r="754" spans="1:8" hidden="1" x14ac:dyDescent="0.3">
      <c r="A754" t="s">
        <v>6588</v>
      </c>
      <c r="B754" t="s">
        <v>6588</v>
      </c>
      <c r="C754" t="s">
        <v>785</v>
      </c>
      <c r="D754" t="s">
        <v>87</v>
      </c>
      <c r="E754" t="s">
        <v>11</v>
      </c>
      <c r="F754" t="s">
        <v>5729</v>
      </c>
      <c r="G754" s="1" t="s">
        <v>5730</v>
      </c>
      <c r="H754" s="1" t="s">
        <v>1923</v>
      </c>
    </row>
    <row r="755" spans="1:8" hidden="1" x14ac:dyDescent="0.3">
      <c r="A755" t="s">
        <v>6589</v>
      </c>
      <c r="B755" t="s">
        <v>6589</v>
      </c>
      <c r="C755" t="s">
        <v>1209</v>
      </c>
      <c r="D755" t="s">
        <v>87</v>
      </c>
      <c r="E755" t="s">
        <v>11</v>
      </c>
      <c r="F755" t="s">
        <v>5729</v>
      </c>
      <c r="G755" s="1" t="s">
        <v>5730</v>
      </c>
      <c r="H755" s="1" t="s">
        <v>1923</v>
      </c>
    </row>
    <row r="756" spans="1:8" hidden="1" x14ac:dyDescent="0.3">
      <c r="A756" t="s">
        <v>6590</v>
      </c>
      <c r="B756" t="s">
        <v>6590</v>
      </c>
      <c r="C756" t="s">
        <v>1238</v>
      </c>
      <c r="D756" t="s">
        <v>87</v>
      </c>
      <c r="E756" t="s">
        <v>11</v>
      </c>
      <c r="F756" t="s">
        <v>5729</v>
      </c>
      <c r="G756" s="1" t="s">
        <v>5730</v>
      </c>
      <c r="H756" s="1" t="s">
        <v>1927</v>
      </c>
    </row>
    <row r="757" spans="1:8" hidden="1" x14ac:dyDescent="0.3">
      <c r="A757" t="s">
        <v>6591</v>
      </c>
      <c r="B757" t="s">
        <v>6591</v>
      </c>
      <c r="C757" t="s">
        <v>1258</v>
      </c>
      <c r="D757" t="s">
        <v>87</v>
      </c>
      <c r="E757" t="s">
        <v>11</v>
      </c>
      <c r="F757" t="s">
        <v>5729</v>
      </c>
      <c r="G757" s="1" t="s">
        <v>5730</v>
      </c>
      <c r="H757" s="1" t="s">
        <v>1856</v>
      </c>
    </row>
    <row r="758" spans="1:8" hidden="1" x14ac:dyDescent="0.3">
      <c r="A758" t="s">
        <v>6592</v>
      </c>
      <c r="B758" t="s">
        <v>6592</v>
      </c>
      <c r="C758" t="s">
        <v>1278</v>
      </c>
      <c r="D758" t="s">
        <v>87</v>
      </c>
      <c r="E758" t="s">
        <v>11</v>
      </c>
      <c r="F758" t="s">
        <v>5729</v>
      </c>
      <c r="G758" s="1" t="s">
        <v>5730</v>
      </c>
      <c r="H758" s="1" t="s">
        <v>1923</v>
      </c>
    </row>
    <row r="759" spans="1:8" hidden="1" x14ac:dyDescent="0.3">
      <c r="A759" t="s">
        <v>6593</v>
      </c>
      <c r="B759" t="s">
        <v>6593</v>
      </c>
      <c r="C759" t="s">
        <v>1300</v>
      </c>
      <c r="D759" t="s">
        <v>87</v>
      </c>
      <c r="E759" t="s">
        <v>11</v>
      </c>
      <c r="F759" t="s">
        <v>5729</v>
      </c>
      <c r="G759" s="1" t="s">
        <v>5730</v>
      </c>
      <c r="H759" s="1" t="s">
        <v>1923</v>
      </c>
    </row>
    <row r="760" spans="1:8" hidden="1" x14ac:dyDescent="0.3">
      <c r="A760" t="s">
        <v>6594</v>
      </c>
      <c r="B760" t="s">
        <v>6594</v>
      </c>
      <c r="C760" t="s">
        <v>3834</v>
      </c>
      <c r="D760" t="s">
        <v>87</v>
      </c>
      <c r="E760" t="s">
        <v>11</v>
      </c>
      <c r="F760" t="s">
        <v>5729</v>
      </c>
      <c r="G760" s="1" t="s">
        <v>5730</v>
      </c>
      <c r="H760" s="1" t="s">
        <v>1927</v>
      </c>
    </row>
    <row r="761" spans="1:8" hidden="1" x14ac:dyDescent="0.3">
      <c r="A761" t="s">
        <v>6595</v>
      </c>
      <c r="B761" t="s">
        <v>6595</v>
      </c>
      <c r="C761" t="s">
        <v>1346</v>
      </c>
      <c r="D761" t="s">
        <v>87</v>
      </c>
      <c r="E761" t="s">
        <v>11</v>
      </c>
      <c r="F761" t="s">
        <v>5729</v>
      </c>
      <c r="G761" s="1" t="s">
        <v>5730</v>
      </c>
      <c r="H761" s="1" t="s">
        <v>1874</v>
      </c>
    </row>
    <row r="762" spans="1:8" hidden="1" x14ac:dyDescent="0.3">
      <c r="A762" t="s">
        <v>6596</v>
      </c>
      <c r="B762" t="s">
        <v>6596</v>
      </c>
      <c r="C762" t="s">
        <v>1360</v>
      </c>
      <c r="D762" t="s">
        <v>87</v>
      </c>
      <c r="E762" t="s">
        <v>11</v>
      </c>
      <c r="F762" t="s">
        <v>5729</v>
      </c>
      <c r="G762" s="1" t="s">
        <v>5730</v>
      </c>
      <c r="H762" s="1" t="s">
        <v>1856</v>
      </c>
    </row>
    <row r="763" spans="1:8" hidden="1" x14ac:dyDescent="0.3">
      <c r="A763" t="s">
        <v>6597</v>
      </c>
      <c r="B763" t="s">
        <v>6597</v>
      </c>
      <c r="C763" t="s">
        <v>1370</v>
      </c>
      <c r="D763" t="s">
        <v>87</v>
      </c>
      <c r="E763" t="s">
        <v>11</v>
      </c>
      <c r="F763" t="s">
        <v>5734</v>
      </c>
      <c r="G763" s="1" t="s">
        <v>5730</v>
      </c>
      <c r="H763" s="1" t="s">
        <v>1874</v>
      </c>
    </row>
    <row r="764" spans="1:8" hidden="1" x14ac:dyDescent="0.3">
      <c r="A764" t="s">
        <v>6598</v>
      </c>
      <c r="B764" t="s">
        <v>6598</v>
      </c>
      <c r="C764" t="s">
        <v>1333</v>
      </c>
      <c r="D764" t="s">
        <v>87</v>
      </c>
      <c r="E764" t="s">
        <v>11</v>
      </c>
      <c r="F764" t="s">
        <v>5729</v>
      </c>
      <c r="G764" s="1" t="s">
        <v>5730</v>
      </c>
      <c r="H764" s="1" t="s">
        <v>1874</v>
      </c>
    </row>
    <row r="765" spans="1:8" hidden="1" x14ac:dyDescent="0.3">
      <c r="A765" t="s">
        <v>6599</v>
      </c>
      <c r="B765" t="s">
        <v>6599</v>
      </c>
      <c r="C765" t="s">
        <v>1382</v>
      </c>
      <c r="D765" t="s">
        <v>87</v>
      </c>
      <c r="E765" t="s">
        <v>11</v>
      </c>
      <c r="F765" t="s">
        <v>5729</v>
      </c>
      <c r="G765" s="1" t="s">
        <v>5730</v>
      </c>
      <c r="H765" s="1" t="s">
        <v>1923</v>
      </c>
    </row>
    <row r="766" spans="1:8" hidden="1" x14ac:dyDescent="0.3">
      <c r="A766" t="s">
        <v>6600</v>
      </c>
      <c r="B766" t="s">
        <v>6600</v>
      </c>
      <c r="C766" t="s">
        <v>1393</v>
      </c>
      <c r="D766" t="s">
        <v>87</v>
      </c>
      <c r="E766" t="s">
        <v>11</v>
      </c>
      <c r="F766" t="s">
        <v>5729</v>
      </c>
      <c r="G766" s="1" t="s">
        <v>5730</v>
      </c>
      <c r="H766" s="1" t="s">
        <v>1923</v>
      </c>
    </row>
    <row r="767" spans="1:8" hidden="1" x14ac:dyDescent="0.3">
      <c r="A767" t="s">
        <v>6601</v>
      </c>
      <c r="B767" t="s">
        <v>6601</v>
      </c>
      <c r="C767" t="s">
        <v>1402</v>
      </c>
      <c r="D767" t="s">
        <v>87</v>
      </c>
      <c r="E767" t="s">
        <v>11</v>
      </c>
      <c r="F767" t="s">
        <v>5729</v>
      </c>
      <c r="G767" s="1" t="s">
        <v>5730</v>
      </c>
      <c r="H767" s="1" t="s">
        <v>1927</v>
      </c>
    </row>
    <row r="768" spans="1:8" hidden="1" x14ac:dyDescent="0.3">
      <c r="A768" t="s">
        <v>6602</v>
      </c>
      <c r="B768" t="s">
        <v>6602</v>
      </c>
      <c r="C768" t="s">
        <v>1412</v>
      </c>
      <c r="D768" t="s">
        <v>87</v>
      </c>
      <c r="E768" t="s">
        <v>11</v>
      </c>
      <c r="F768" t="s">
        <v>5729</v>
      </c>
      <c r="G768" s="1" t="s">
        <v>5730</v>
      </c>
      <c r="H768" s="1" t="s">
        <v>1856</v>
      </c>
    </row>
    <row r="769" spans="1:8" hidden="1" x14ac:dyDescent="0.3">
      <c r="A769" t="s">
        <v>6603</v>
      </c>
      <c r="B769" t="s">
        <v>6603</v>
      </c>
      <c r="C769" t="s">
        <v>369</v>
      </c>
      <c r="D769" t="s">
        <v>87</v>
      </c>
      <c r="E769" t="s">
        <v>11</v>
      </c>
      <c r="F769" t="s">
        <v>5729</v>
      </c>
      <c r="G769" s="1" t="s">
        <v>5730</v>
      </c>
      <c r="H769" s="1" t="s">
        <v>1927</v>
      </c>
    </row>
    <row r="770" spans="1:8" hidden="1" x14ac:dyDescent="0.3">
      <c r="A770" t="s">
        <v>6604</v>
      </c>
      <c r="B770" t="s">
        <v>6604</v>
      </c>
      <c r="C770" t="s">
        <v>1427</v>
      </c>
      <c r="D770" t="s">
        <v>87</v>
      </c>
      <c r="E770" t="s">
        <v>11</v>
      </c>
      <c r="F770" t="s">
        <v>5729</v>
      </c>
      <c r="G770" s="1" t="s">
        <v>5730</v>
      </c>
      <c r="H770" s="1" t="s">
        <v>1927</v>
      </c>
    </row>
    <row r="771" spans="1:8" hidden="1" x14ac:dyDescent="0.3">
      <c r="A771" t="s">
        <v>6605</v>
      </c>
      <c r="B771" t="s">
        <v>6605</v>
      </c>
      <c r="C771" t="s">
        <v>1433</v>
      </c>
      <c r="D771" t="s">
        <v>87</v>
      </c>
      <c r="E771" t="s">
        <v>11</v>
      </c>
      <c r="F771" t="s">
        <v>5729</v>
      </c>
      <c r="G771" s="1" t="s">
        <v>5730</v>
      </c>
      <c r="H771" s="1" t="s">
        <v>1856</v>
      </c>
    </row>
    <row r="772" spans="1:8" hidden="1" x14ac:dyDescent="0.3">
      <c r="A772" t="s">
        <v>6606</v>
      </c>
      <c r="B772" t="s">
        <v>6606</v>
      </c>
      <c r="C772" t="s">
        <v>855</v>
      </c>
      <c r="D772" t="s">
        <v>87</v>
      </c>
      <c r="E772" t="s">
        <v>11</v>
      </c>
      <c r="F772" t="s">
        <v>5734</v>
      </c>
      <c r="G772" s="1" t="s">
        <v>5730</v>
      </c>
      <c r="H772" s="1" t="s">
        <v>1927</v>
      </c>
    </row>
    <row r="773" spans="1:8" hidden="1" x14ac:dyDescent="0.3">
      <c r="A773" t="s">
        <v>6607</v>
      </c>
      <c r="B773" t="s">
        <v>6607</v>
      </c>
      <c r="C773" t="s">
        <v>6608</v>
      </c>
      <c r="D773" t="s">
        <v>87</v>
      </c>
      <c r="E773" t="s">
        <v>11</v>
      </c>
      <c r="F773" t="s">
        <v>5729</v>
      </c>
      <c r="G773" s="1" t="s">
        <v>5730</v>
      </c>
      <c r="H773" s="1" t="s">
        <v>1927</v>
      </c>
    </row>
    <row r="774" spans="1:8" hidden="1" x14ac:dyDescent="0.3">
      <c r="A774" t="s">
        <v>6609</v>
      </c>
      <c r="B774" t="s">
        <v>6609</v>
      </c>
      <c r="C774" t="s">
        <v>6610</v>
      </c>
      <c r="D774" t="s">
        <v>87</v>
      </c>
      <c r="E774" t="s">
        <v>11</v>
      </c>
      <c r="F774" t="s">
        <v>5729</v>
      </c>
      <c r="G774" s="1" t="s">
        <v>5730</v>
      </c>
      <c r="H774" s="1" t="s">
        <v>1927</v>
      </c>
    </row>
    <row r="775" spans="1:8" hidden="1" x14ac:dyDescent="0.3">
      <c r="A775" t="s">
        <v>6611</v>
      </c>
      <c r="B775" t="s">
        <v>6611</v>
      </c>
      <c r="C775" t="s">
        <v>1916</v>
      </c>
      <c r="D775" t="s">
        <v>87</v>
      </c>
      <c r="E775" t="s">
        <v>11</v>
      </c>
      <c r="F775" t="s">
        <v>5781</v>
      </c>
      <c r="G775" s="1" t="s">
        <v>5730</v>
      </c>
      <c r="H775" s="1" t="s">
        <v>1893</v>
      </c>
    </row>
    <row r="776" spans="1:8" hidden="1" x14ac:dyDescent="0.3">
      <c r="A776" t="s">
        <v>6612</v>
      </c>
      <c r="B776" t="s">
        <v>6612</v>
      </c>
      <c r="C776" t="s">
        <v>2552</v>
      </c>
      <c r="D776" t="s">
        <v>87</v>
      </c>
      <c r="E776" t="s">
        <v>11</v>
      </c>
      <c r="F776" t="s">
        <v>5781</v>
      </c>
      <c r="G776" s="1" t="s">
        <v>5730</v>
      </c>
      <c r="H776" s="1" t="s">
        <v>1874</v>
      </c>
    </row>
    <row r="777" spans="1:8" hidden="1" x14ac:dyDescent="0.3">
      <c r="A777" t="s">
        <v>6613</v>
      </c>
      <c r="B777" t="s">
        <v>6613</v>
      </c>
      <c r="C777" t="s">
        <v>1457</v>
      </c>
      <c r="D777" t="s">
        <v>87</v>
      </c>
      <c r="E777" t="s">
        <v>11</v>
      </c>
      <c r="F777" t="s">
        <v>5729</v>
      </c>
      <c r="G777" s="1" t="s">
        <v>5730</v>
      </c>
      <c r="H777" s="1" t="s">
        <v>1923</v>
      </c>
    </row>
    <row r="778" spans="1:8" hidden="1" x14ac:dyDescent="0.3">
      <c r="A778" t="s">
        <v>6614</v>
      </c>
      <c r="B778" t="s">
        <v>6614</v>
      </c>
      <c r="C778" t="s">
        <v>3873</v>
      </c>
      <c r="D778" t="s">
        <v>87</v>
      </c>
      <c r="E778" t="s">
        <v>11</v>
      </c>
      <c r="F778" t="s">
        <v>5729</v>
      </c>
      <c r="G778" s="1" t="s">
        <v>5730</v>
      </c>
      <c r="H778" s="1" t="s">
        <v>1874</v>
      </c>
    </row>
    <row r="779" spans="1:8" hidden="1" x14ac:dyDescent="0.3">
      <c r="A779" t="s">
        <v>6615</v>
      </c>
      <c r="B779" t="s">
        <v>6615</v>
      </c>
      <c r="C779" t="s">
        <v>1465</v>
      </c>
      <c r="D779" t="s">
        <v>87</v>
      </c>
      <c r="E779" t="s">
        <v>11</v>
      </c>
      <c r="F779" t="s">
        <v>5729</v>
      </c>
      <c r="G779" s="1" t="s">
        <v>5730</v>
      </c>
      <c r="H779" s="1" t="s">
        <v>1893</v>
      </c>
    </row>
    <row r="780" spans="1:8" hidden="1" x14ac:dyDescent="0.3">
      <c r="A780" t="s">
        <v>6616</v>
      </c>
      <c r="B780" t="s">
        <v>6616</v>
      </c>
      <c r="C780" t="s">
        <v>6617</v>
      </c>
      <c r="D780" t="s">
        <v>87</v>
      </c>
      <c r="E780" t="s">
        <v>11</v>
      </c>
      <c r="F780" t="s">
        <v>5747</v>
      </c>
      <c r="G780" s="1" t="s">
        <v>1961</v>
      </c>
      <c r="H780" s="1" t="s">
        <v>1874</v>
      </c>
    </row>
    <row r="781" spans="1:8" hidden="1" x14ac:dyDescent="0.3">
      <c r="A781" t="s">
        <v>6618</v>
      </c>
      <c r="B781" t="s">
        <v>6618</v>
      </c>
      <c r="C781" t="s">
        <v>1469</v>
      </c>
      <c r="D781" t="s">
        <v>87</v>
      </c>
      <c r="E781" t="s">
        <v>11</v>
      </c>
      <c r="F781" t="s">
        <v>5729</v>
      </c>
      <c r="G781" s="1" t="s">
        <v>5730</v>
      </c>
      <c r="H781" s="1" t="s">
        <v>1856</v>
      </c>
    </row>
    <row r="782" spans="1:8" hidden="1" x14ac:dyDescent="0.3">
      <c r="A782" t="s">
        <v>6619</v>
      </c>
      <c r="B782" t="s">
        <v>6619</v>
      </c>
      <c r="C782" t="s">
        <v>1471</v>
      </c>
      <c r="D782" t="s">
        <v>87</v>
      </c>
      <c r="E782" t="s">
        <v>11</v>
      </c>
      <c r="F782" t="s">
        <v>5729</v>
      </c>
      <c r="G782" s="1" t="s">
        <v>5730</v>
      </c>
      <c r="H782" s="1" t="s">
        <v>1856</v>
      </c>
    </row>
    <row r="783" spans="1:8" hidden="1" x14ac:dyDescent="0.3">
      <c r="A783" t="s">
        <v>6620</v>
      </c>
      <c r="B783" t="s">
        <v>6620</v>
      </c>
      <c r="C783" t="s">
        <v>1473</v>
      </c>
      <c r="D783" t="s">
        <v>87</v>
      </c>
      <c r="E783" t="s">
        <v>11</v>
      </c>
      <c r="F783" t="s">
        <v>5781</v>
      </c>
      <c r="G783" s="1" t="s">
        <v>5730</v>
      </c>
      <c r="H783" s="1" t="s">
        <v>1856</v>
      </c>
    </row>
    <row r="784" spans="1:8" hidden="1" x14ac:dyDescent="0.3">
      <c r="A784" t="s">
        <v>6621</v>
      </c>
      <c r="B784" t="s">
        <v>6621</v>
      </c>
      <c r="C784" t="s">
        <v>1475</v>
      </c>
      <c r="D784" t="s">
        <v>87</v>
      </c>
      <c r="E784" t="s">
        <v>11</v>
      </c>
      <c r="F784" t="s">
        <v>5734</v>
      </c>
      <c r="G784" s="1" t="s">
        <v>5730</v>
      </c>
      <c r="H784" s="1" t="s">
        <v>1856</v>
      </c>
    </row>
    <row r="785" spans="1:8" hidden="1" x14ac:dyDescent="0.3">
      <c r="A785" t="s">
        <v>6622</v>
      </c>
      <c r="B785" t="s">
        <v>6622</v>
      </c>
      <c r="C785" t="s">
        <v>1299</v>
      </c>
      <c r="D785" t="s">
        <v>87</v>
      </c>
      <c r="E785" t="s">
        <v>11</v>
      </c>
      <c r="F785" t="s">
        <v>5729</v>
      </c>
      <c r="G785" s="1" t="s">
        <v>5730</v>
      </c>
      <c r="H785" s="1" t="s">
        <v>1927</v>
      </c>
    </row>
    <row r="786" spans="1:8" hidden="1" x14ac:dyDescent="0.3">
      <c r="A786" t="s">
        <v>6623</v>
      </c>
      <c r="B786" t="s">
        <v>6623</v>
      </c>
      <c r="C786" t="s">
        <v>3891</v>
      </c>
      <c r="D786" t="s">
        <v>87</v>
      </c>
      <c r="E786" t="s">
        <v>11</v>
      </c>
      <c r="F786" t="s">
        <v>5729</v>
      </c>
      <c r="G786" s="1" t="s">
        <v>5730</v>
      </c>
      <c r="H786" s="1" t="s">
        <v>1923</v>
      </c>
    </row>
    <row r="787" spans="1:8" hidden="1" x14ac:dyDescent="0.3">
      <c r="A787" t="s">
        <v>6624</v>
      </c>
      <c r="B787" t="s">
        <v>6624</v>
      </c>
      <c r="C787" t="s">
        <v>191</v>
      </c>
      <c r="D787" t="s">
        <v>104</v>
      </c>
      <c r="E787" t="s">
        <v>11</v>
      </c>
      <c r="F787" t="s">
        <v>5729</v>
      </c>
      <c r="G787" s="1" t="s">
        <v>5730</v>
      </c>
      <c r="H787" s="1" t="s">
        <v>1923</v>
      </c>
    </row>
    <row r="788" spans="1:8" hidden="1" x14ac:dyDescent="0.3">
      <c r="A788" t="s">
        <v>6625</v>
      </c>
      <c r="B788" t="s">
        <v>6625</v>
      </c>
      <c r="C788" t="s">
        <v>278</v>
      </c>
      <c r="D788" t="s">
        <v>104</v>
      </c>
      <c r="E788" t="s">
        <v>11</v>
      </c>
      <c r="F788" t="s">
        <v>5729</v>
      </c>
      <c r="G788" s="1" t="s">
        <v>5730</v>
      </c>
      <c r="H788" s="1" t="s">
        <v>1923</v>
      </c>
    </row>
    <row r="789" spans="1:8" hidden="1" x14ac:dyDescent="0.3">
      <c r="A789" t="s">
        <v>6626</v>
      </c>
      <c r="B789" t="s">
        <v>6626</v>
      </c>
      <c r="C789" t="s">
        <v>230</v>
      </c>
      <c r="D789" t="s">
        <v>104</v>
      </c>
      <c r="E789" t="s">
        <v>11</v>
      </c>
      <c r="F789" t="s">
        <v>5729</v>
      </c>
      <c r="G789" s="1" t="s">
        <v>5730</v>
      </c>
      <c r="H789" s="1" t="s">
        <v>1927</v>
      </c>
    </row>
    <row r="790" spans="1:8" hidden="1" x14ac:dyDescent="0.3">
      <c r="A790" t="s">
        <v>6627</v>
      </c>
      <c r="B790" t="s">
        <v>6627</v>
      </c>
      <c r="C790" t="s">
        <v>422</v>
      </c>
      <c r="D790" t="s">
        <v>104</v>
      </c>
      <c r="E790" t="s">
        <v>11</v>
      </c>
      <c r="F790" t="s">
        <v>5729</v>
      </c>
      <c r="G790" s="1" t="s">
        <v>5730</v>
      </c>
      <c r="H790" s="1" t="s">
        <v>1927</v>
      </c>
    </row>
    <row r="791" spans="1:8" hidden="1" x14ac:dyDescent="0.3">
      <c r="A791" t="s">
        <v>6628</v>
      </c>
      <c r="B791" t="s">
        <v>6628</v>
      </c>
      <c r="C791" t="s">
        <v>498</v>
      </c>
      <c r="D791" t="s">
        <v>104</v>
      </c>
      <c r="E791" t="s">
        <v>11</v>
      </c>
      <c r="F791" t="s">
        <v>5729</v>
      </c>
      <c r="G791" s="1" t="s">
        <v>5730</v>
      </c>
      <c r="H791" s="1" t="s">
        <v>1856</v>
      </c>
    </row>
    <row r="792" spans="1:8" hidden="1" x14ac:dyDescent="0.3">
      <c r="A792" t="s">
        <v>6629</v>
      </c>
      <c r="B792" t="s">
        <v>6629</v>
      </c>
      <c r="C792" t="s">
        <v>568</v>
      </c>
      <c r="D792" t="s">
        <v>104</v>
      </c>
      <c r="E792" t="s">
        <v>11</v>
      </c>
      <c r="F792" t="s">
        <v>5729</v>
      </c>
      <c r="G792" s="1" t="s">
        <v>5730</v>
      </c>
      <c r="H792" s="1" t="s">
        <v>1856</v>
      </c>
    </row>
    <row r="793" spans="1:8" hidden="1" x14ac:dyDescent="0.3">
      <c r="A793" t="s">
        <v>6630</v>
      </c>
      <c r="B793" t="s">
        <v>6630</v>
      </c>
      <c r="C793" t="s">
        <v>6631</v>
      </c>
      <c r="D793" t="s">
        <v>104</v>
      </c>
      <c r="E793" t="s">
        <v>11</v>
      </c>
      <c r="F793" t="s">
        <v>5729</v>
      </c>
      <c r="G793" s="1" t="s">
        <v>5730</v>
      </c>
      <c r="H793" s="1" t="s">
        <v>1856</v>
      </c>
    </row>
    <row r="794" spans="1:8" hidden="1" x14ac:dyDescent="0.3">
      <c r="A794" t="s">
        <v>6632</v>
      </c>
      <c r="B794" t="s">
        <v>6632</v>
      </c>
      <c r="C794" t="s">
        <v>699</v>
      </c>
      <c r="D794" t="s">
        <v>104</v>
      </c>
      <c r="E794" t="s">
        <v>11</v>
      </c>
      <c r="F794" t="s">
        <v>5729</v>
      </c>
      <c r="G794" s="1" t="s">
        <v>5730</v>
      </c>
      <c r="H794" s="1" t="s">
        <v>1856</v>
      </c>
    </row>
    <row r="795" spans="1:8" hidden="1" x14ac:dyDescent="0.3">
      <c r="A795" t="s">
        <v>6633</v>
      </c>
      <c r="B795" t="s">
        <v>6633</v>
      </c>
      <c r="C795" t="s">
        <v>764</v>
      </c>
      <c r="D795" t="s">
        <v>104</v>
      </c>
      <c r="E795" t="s">
        <v>11</v>
      </c>
      <c r="F795" t="s">
        <v>5729</v>
      </c>
      <c r="G795" s="1" t="s">
        <v>5730</v>
      </c>
      <c r="H795" s="1" t="s">
        <v>1856</v>
      </c>
    </row>
    <row r="796" spans="1:8" hidden="1" x14ac:dyDescent="0.3">
      <c r="A796" t="s">
        <v>6634</v>
      </c>
      <c r="B796" t="s">
        <v>6634</v>
      </c>
      <c r="C796" t="s">
        <v>823</v>
      </c>
      <c r="D796" t="s">
        <v>104</v>
      </c>
      <c r="E796" t="s">
        <v>11</v>
      </c>
      <c r="F796" t="s">
        <v>5729</v>
      </c>
      <c r="G796" s="1" t="s">
        <v>5730</v>
      </c>
      <c r="H796" s="1" t="s">
        <v>1856</v>
      </c>
    </row>
    <row r="797" spans="1:8" hidden="1" x14ac:dyDescent="0.3">
      <c r="A797" s="6" t="s">
        <v>6635</v>
      </c>
      <c r="B797" s="6" t="s">
        <v>6635</v>
      </c>
      <c r="C797" s="6" t="s">
        <v>3914</v>
      </c>
      <c r="D797" s="6" t="s">
        <v>104</v>
      </c>
      <c r="E797" s="6" t="s">
        <v>11</v>
      </c>
      <c r="F797" s="6" t="s">
        <v>5781</v>
      </c>
      <c r="G797" s="7" t="s">
        <v>1961</v>
      </c>
      <c r="H797" s="7" t="s">
        <v>1923</v>
      </c>
    </row>
    <row r="798" spans="1:8" hidden="1" x14ac:dyDescent="0.3">
      <c r="A798" t="s">
        <v>6636</v>
      </c>
      <c r="B798" t="s">
        <v>6636</v>
      </c>
      <c r="C798" t="s">
        <v>877</v>
      </c>
      <c r="D798" t="s">
        <v>104</v>
      </c>
      <c r="E798" t="s">
        <v>11</v>
      </c>
      <c r="F798" t="s">
        <v>5729</v>
      </c>
      <c r="G798" s="1" t="s">
        <v>5730</v>
      </c>
      <c r="H798" s="1" t="s">
        <v>1923</v>
      </c>
    </row>
    <row r="799" spans="1:8" hidden="1" x14ac:dyDescent="0.3">
      <c r="A799" t="s">
        <v>6637</v>
      </c>
      <c r="B799" t="s">
        <v>6637</v>
      </c>
      <c r="C799" t="s">
        <v>935</v>
      </c>
      <c r="D799" t="s">
        <v>104</v>
      </c>
      <c r="E799" t="s">
        <v>11</v>
      </c>
      <c r="F799" t="s">
        <v>5729</v>
      </c>
      <c r="G799" s="1" t="s">
        <v>5730</v>
      </c>
      <c r="H799" s="1" t="s">
        <v>1874</v>
      </c>
    </row>
    <row r="800" spans="1:8" hidden="1" x14ac:dyDescent="0.3">
      <c r="A800" t="s">
        <v>6638</v>
      </c>
      <c r="B800" t="s">
        <v>6638</v>
      </c>
      <c r="C800" t="s">
        <v>3921</v>
      </c>
      <c r="D800" t="s">
        <v>104</v>
      </c>
      <c r="E800" t="s">
        <v>11</v>
      </c>
      <c r="F800" t="s">
        <v>5729</v>
      </c>
      <c r="G800" s="1" t="s">
        <v>1961</v>
      </c>
      <c r="H800" s="1" t="s">
        <v>1927</v>
      </c>
    </row>
    <row r="801" spans="1:8" hidden="1" x14ac:dyDescent="0.3">
      <c r="A801" t="s">
        <v>6639</v>
      </c>
      <c r="B801" t="s">
        <v>6639</v>
      </c>
      <c r="C801" t="s">
        <v>366</v>
      </c>
      <c r="D801" t="s">
        <v>104</v>
      </c>
      <c r="E801" t="s">
        <v>11</v>
      </c>
      <c r="F801" t="s">
        <v>5734</v>
      </c>
      <c r="G801" s="1" t="s">
        <v>5730</v>
      </c>
      <c r="H801" s="1" t="s">
        <v>1856</v>
      </c>
    </row>
    <row r="802" spans="1:8" hidden="1" x14ac:dyDescent="0.3">
      <c r="A802" t="s">
        <v>6640</v>
      </c>
      <c r="B802" t="s">
        <v>6640</v>
      </c>
      <c r="C802" t="s">
        <v>1032</v>
      </c>
      <c r="D802" t="s">
        <v>104</v>
      </c>
      <c r="E802" t="s">
        <v>11</v>
      </c>
      <c r="F802" t="s">
        <v>5729</v>
      </c>
      <c r="G802" s="1" t="s">
        <v>5730</v>
      </c>
      <c r="H802" s="1" t="s">
        <v>1874</v>
      </c>
    </row>
    <row r="803" spans="1:8" hidden="1" x14ac:dyDescent="0.3">
      <c r="A803" t="s">
        <v>6641</v>
      </c>
      <c r="B803" t="s">
        <v>6641</v>
      </c>
      <c r="C803" t="s">
        <v>6642</v>
      </c>
      <c r="D803" t="s">
        <v>104</v>
      </c>
      <c r="E803" t="s">
        <v>11</v>
      </c>
      <c r="F803" t="s">
        <v>6643</v>
      </c>
      <c r="G803" s="1" t="s">
        <v>1855</v>
      </c>
      <c r="H803" s="1" t="s">
        <v>1856</v>
      </c>
    </row>
    <row r="804" spans="1:8" hidden="1" x14ac:dyDescent="0.3">
      <c r="A804" t="s">
        <v>6644</v>
      </c>
      <c r="B804" t="s">
        <v>6644</v>
      </c>
      <c r="C804" t="s">
        <v>223</v>
      </c>
      <c r="D804" t="s">
        <v>104</v>
      </c>
      <c r="E804" t="s">
        <v>11</v>
      </c>
      <c r="F804" t="s">
        <v>5734</v>
      </c>
      <c r="G804" s="1" t="s">
        <v>5730</v>
      </c>
      <c r="H804" s="1" t="s">
        <v>1856</v>
      </c>
    </row>
    <row r="805" spans="1:8" hidden="1" x14ac:dyDescent="0.3">
      <c r="A805" t="s">
        <v>6645</v>
      </c>
      <c r="B805" t="s">
        <v>6645</v>
      </c>
      <c r="C805" t="s">
        <v>1317</v>
      </c>
      <c r="D805" t="s">
        <v>104</v>
      </c>
      <c r="E805" t="s">
        <v>11</v>
      </c>
      <c r="F805" t="s">
        <v>5729</v>
      </c>
      <c r="G805" s="1" t="s">
        <v>5730</v>
      </c>
      <c r="H805" s="1" t="s">
        <v>1856</v>
      </c>
    </row>
    <row r="806" spans="1:8" hidden="1" x14ac:dyDescent="0.3">
      <c r="A806" t="s">
        <v>6646</v>
      </c>
      <c r="B806" t="s">
        <v>6646</v>
      </c>
      <c r="C806" t="s">
        <v>1334</v>
      </c>
      <c r="D806" t="s">
        <v>104</v>
      </c>
      <c r="E806" t="s">
        <v>11</v>
      </c>
      <c r="F806" t="s">
        <v>5729</v>
      </c>
      <c r="G806" s="1" t="s">
        <v>5730</v>
      </c>
      <c r="H806" s="1" t="s">
        <v>1856</v>
      </c>
    </row>
    <row r="807" spans="1:8" hidden="1" x14ac:dyDescent="0.3">
      <c r="A807" t="s">
        <v>6647</v>
      </c>
      <c r="B807" t="s">
        <v>6647</v>
      </c>
      <c r="C807" t="s">
        <v>1347</v>
      </c>
      <c r="D807" t="s">
        <v>104</v>
      </c>
      <c r="E807" t="s">
        <v>11</v>
      </c>
      <c r="F807" t="s">
        <v>5729</v>
      </c>
      <c r="G807" s="1" t="s">
        <v>5730</v>
      </c>
      <c r="H807" s="1" t="s">
        <v>1856</v>
      </c>
    </row>
    <row r="808" spans="1:8" hidden="1" x14ac:dyDescent="0.3">
      <c r="A808" t="s">
        <v>6648</v>
      </c>
      <c r="B808" t="s">
        <v>6648</v>
      </c>
      <c r="C808" t="s">
        <v>1361</v>
      </c>
      <c r="D808" t="s">
        <v>104</v>
      </c>
      <c r="E808" t="s">
        <v>11</v>
      </c>
      <c r="F808" t="s">
        <v>5729</v>
      </c>
      <c r="G808" s="1" t="s">
        <v>5730</v>
      </c>
      <c r="H808" s="1" t="s">
        <v>1856</v>
      </c>
    </row>
    <row r="809" spans="1:8" hidden="1" x14ac:dyDescent="0.3">
      <c r="A809" t="s">
        <v>6649</v>
      </c>
      <c r="B809" t="s">
        <v>6649</v>
      </c>
      <c r="C809" t="s">
        <v>3938</v>
      </c>
      <c r="D809" t="s">
        <v>104</v>
      </c>
      <c r="E809" t="s">
        <v>11</v>
      </c>
      <c r="F809" t="s">
        <v>5734</v>
      </c>
      <c r="G809" s="1" t="s">
        <v>1961</v>
      </c>
      <c r="H809" s="1" t="s">
        <v>1874</v>
      </c>
    </row>
    <row r="810" spans="1:8" hidden="1" x14ac:dyDescent="0.3">
      <c r="A810" t="s">
        <v>6650</v>
      </c>
      <c r="B810" t="s">
        <v>6650</v>
      </c>
      <c r="C810" t="s">
        <v>1383</v>
      </c>
      <c r="D810" t="s">
        <v>104</v>
      </c>
      <c r="E810" t="s">
        <v>11</v>
      </c>
      <c r="F810" t="s">
        <v>5729</v>
      </c>
      <c r="G810" s="1" t="s">
        <v>5730</v>
      </c>
      <c r="H810" s="1" t="s">
        <v>1856</v>
      </c>
    </row>
    <row r="811" spans="1:8" hidden="1" x14ac:dyDescent="0.3">
      <c r="A811" t="s">
        <v>6651</v>
      </c>
      <c r="B811" t="s">
        <v>6651</v>
      </c>
      <c r="C811" t="s">
        <v>1394</v>
      </c>
      <c r="D811" t="s">
        <v>104</v>
      </c>
      <c r="E811" t="s">
        <v>11</v>
      </c>
      <c r="F811" t="s">
        <v>5729</v>
      </c>
      <c r="G811" s="1" t="s">
        <v>5730</v>
      </c>
      <c r="H811" s="1" t="s">
        <v>1923</v>
      </c>
    </row>
    <row r="812" spans="1:8" hidden="1" x14ac:dyDescent="0.3">
      <c r="A812" t="s">
        <v>6652</v>
      </c>
      <c r="B812" t="s">
        <v>6652</v>
      </c>
      <c r="C812" t="s">
        <v>6653</v>
      </c>
      <c r="D812" t="s">
        <v>104</v>
      </c>
      <c r="E812" t="s">
        <v>11</v>
      </c>
      <c r="F812" t="s">
        <v>5729</v>
      </c>
      <c r="G812" s="1" t="s">
        <v>1855</v>
      </c>
      <c r="H812" s="1" t="s">
        <v>1874</v>
      </c>
    </row>
    <row r="813" spans="1:8" hidden="1" x14ac:dyDescent="0.3">
      <c r="A813" t="s">
        <v>6654</v>
      </c>
      <c r="B813" t="s">
        <v>6654</v>
      </c>
      <c r="C813" t="s">
        <v>638</v>
      </c>
      <c r="D813" t="s">
        <v>104</v>
      </c>
      <c r="E813" t="s">
        <v>11</v>
      </c>
      <c r="F813" t="s">
        <v>5729</v>
      </c>
      <c r="G813" s="1" t="s">
        <v>5730</v>
      </c>
      <c r="H813" s="1" t="s">
        <v>1856</v>
      </c>
    </row>
    <row r="814" spans="1:8" hidden="1" x14ac:dyDescent="0.3">
      <c r="A814" t="s">
        <v>6655</v>
      </c>
      <c r="B814" t="s">
        <v>6655</v>
      </c>
      <c r="C814" t="s">
        <v>1413</v>
      </c>
      <c r="D814" t="s">
        <v>104</v>
      </c>
      <c r="E814" t="s">
        <v>11</v>
      </c>
      <c r="F814" t="s">
        <v>5729</v>
      </c>
      <c r="G814" s="1" t="s">
        <v>5730</v>
      </c>
      <c r="H814" s="1" t="s">
        <v>1856</v>
      </c>
    </row>
    <row r="815" spans="1:8" hidden="1" x14ac:dyDescent="0.3">
      <c r="A815" t="s">
        <v>6656</v>
      </c>
      <c r="B815" t="s">
        <v>6656</v>
      </c>
      <c r="C815" t="s">
        <v>1420</v>
      </c>
      <c r="D815" t="s">
        <v>104</v>
      </c>
      <c r="E815" t="s">
        <v>11</v>
      </c>
      <c r="F815" t="s">
        <v>5729</v>
      </c>
      <c r="G815" s="1" t="s">
        <v>5730</v>
      </c>
      <c r="H815" s="1" t="s">
        <v>1923</v>
      </c>
    </row>
    <row r="816" spans="1:8" hidden="1" x14ac:dyDescent="0.3">
      <c r="A816" t="s">
        <v>6657</v>
      </c>
      <c r="B816" t="s">
        <v>6657</v>
      </c>
      <c r="C816" t="s">
        <v>6658</v>
      </c>
      <c r="D816" t="s">
        <v>104</v>
      </c>
      <c r="E816" t="s">
        <v>11</v>
      </c>
      <c r="F816" t="s">
        <v>5729</v>
      </c>
      <c r="G816" s="1" t="s">
        <v>1855</v>
      </c>
      <c r="H816" s="1" t="s">
        <v>1856</v>
      </c>
    </row>
    <row r="817" spans="1:8" hidden="1" x14ac:dyDescent="0.3">
      <c r="A817" s="6" t="s">
        <v>6659</v>
      </c>
      <c r="B817" s="6" t="s">
        <v>6659</v>
      </c>
      <c r="C817" s="6" t="s">
        <v>1428</v>
      </c>
      <c r="D817" s="6" t="s">
        <v>104</v>
      </c>
      <c r="E817" s="6" t="s">
        <v>11</v>
      </c>
      <c r="F817" s="6" t="s">
        <v>5729</v>
      </c>
      <c r="G817" s="7" t="s">
        <v>5730</v>
      </c>
      <c r="H817" s="7" t="s">
        <v>1856</v>
      </c>
    </row>
    <row r="818" spans="1:8" hidden="1" x14ac:dyDescent="0.3">
      <c r="A818" t="s">
        <v>6660</v>
      </c>
      <c r="B818" t="s">
        <v>6660</v>
      </c>
      <c r="C818" t="s">
        <v>1434</v>
      </c>
      <c r="D818" t="s">
        <v>104</v>
      </c>
      <c r="E818" t="s">
        <v>11</v>
      </c>
      <c r="F818" t="s">
        <v>5729</v>
      </c>
      <c r="G818" s="1" t="s">
        <v>5730</v>
      </c>
      <c r="H818" s="1" t="s">
        <v>1856</v>
      </c>
    </row>
    <row r="819" spans="1:8" hidden="1" x14ac:dyDescent="0.3">
      <c r="A819" t="s">
        <v>6661</v>
      </c>
      <c r="B819" t="s">
        <v>6661</v>
      </c>
      <c r="C819" t="s">
        <v>1439</v>
      </c>
      <c r="D819" t="s">
        <v>104</v>
      </c>
      <c r="E819" t="s">
        <v>11</v>
      </c>
      <c r="F819" t="s">
        <v>5729</v>
      </c>
      <c r="G819" s="1" t="s">
        <v>5730</v>
      </c>
      <c r="H819" s="1" t="s">
        <v>1856</v>
      </c>
    </row>
    <row r="820" spans="1:8" hidden="1" x14ac:dyDescent="0.3">
      <c r="A820" t="s">
        <v>6662</v>
      </c>
      <c r="B820" t="s">
        <v>6662</v>
      </c>
      <c r="C820" t="s">
        <v>3307</v>
      </c>
      <c r="D820" t="s">
        <v>104</v>
      </c>
      <c r="E820" t="s">
        <v>11</v>
      </c>
      <c r="F820" t="s">
        <v>5729</v>
      </c>
      <c r="G820" s="1" t="s">
        <v>1961</v>
      </c>
      <c r="H820" s="1" t="s">
        <v>1927</v>
      </c>
    </row>
    <row r="821" spans="1:8" hidden="1" x14ac:dyDescent="0.3">
      <c r="A821" t="s">
        <v>6663</v>
      </c>
      <c r="B821" t="s">
        <v>6663</v>
      </c>
      <c r="C821" t="s">
        <v>1444</v>
      </c>
      <c r="D821" t="s">
        <v>104</v>
      </c>
      <c r="E821" t="s">
        <v>11</v>
      </c>
      <c r="F821" t="s">
        <v>5729</v>
      </c>
      <c r="G821" s="1" t="s">
        <v>5730</v>
      </c>
      <c r="H821" s="1" t="s">
        <v>1856</v>
      </c>
    </row>
    <row r="822" spans="1:8" hidden="1" x14ac:dyDescent="0.3">
      <c r="A822" t="s">
        <v>6664</v>
      </c>
      <c r="B822" t="s">
        <v>6664</v>
      </c>
      <c r="C822" t="s">
        <v>855</v>
      </c>
      <c r="D822" t="s">
        <v>104</v>
      </c>
      <c r="E822" t="s">
        <v>11</v>
      </c>
      <c r="F822" t="s">
        <v>5734</v>
      </c>
      <c r="G822" s="1" t="s">
        <v>5730</v>
      </c>
      <c r="H822" s="1" t="s">
        <v>1893</v>
      </c>
    </row>
    <row r="823" spans="1:8" hidden="1" x14ac:dyDescent="0.3">
      <c r="A823" s="6" t="s">
        <v>6665</v>
      </c>
      <c r="B823" s="6" t="s">
        <v>6665</v>
      </c>
      <c r="C823" s="6" t="s">
        <v>6666</v>
      </c>
      <c r="D823" s="6" t="s">
        <v>104</v>
      </c>
      <c r="E823" s="6" t="s">
        <v>11</v>
      </c>
      <c r="F823" s="6" t="s">
        <v>5729</v>
      </c>
      <c r="G823" s="7" t="s">
        <v>5730</v>
      </c>
      <c r="H823" s="7" t="s">
        <v>1856</v>
      </c>
    </row>
    <row r="824" spans="1:8" hidden="1" x14ac:dyDescent="0.3">
      <c r="A824" t="s">
        <v>6667</v>
      </c>
      <c r="B824" t="s">
        <v>6667</v>
      </c>
      <c r="C824" t="s">
        <v>1453</v>
      </c>
      <c r="D824" t="s">
        <v>104</v>
      </c>
      <c r="E824" t="s">
        <v>11</v>
      </c>
      <c r="F824" t="s">
        <v>5729</v>
      </c>
      <c r="G824" s="1" t="s">
        <v>5730</v>
      </c>
      <c r="H824" s="1" t="s">
        <v>1927</v>
      </c>
    </row>
    <row r="825" spans="1:8" hidden="1" x14ac:dyDescent="0.3">
      <c r="A825" s="6" t="s">
        <v>6668</v>
      </c>
      <c r="B825" s="6" t="s">
        <v>6668</v>
      </c>
      <c r="C825" s="6" t="s">
        <v>1458</v>
      </c>
      <c r="D825" s="6" t="s">
        <v>104</v>
      </c>
      <c r="E825" s="6" t="s">
        <v>11</v>
      </c>
      <c r="F825" s="6" t="s">
        <v>5729</v>
      </c>
      <c r="G825" s="7" t="s">
        <v>5730</v>
      </c>
      <c r="H825" s="7" t="s">
        <v>1923</v>
      </c>
    </row>
    <row r="826" spans="1:8" hidden="1" x14ac:dyDescent="0.3">
      <c r="A826" t="s">
        <v>6669</v>
      </c>
      <c r="B826" t="s">
        <v>6669</v>
      </c>
      <c r="C826" t="s">
        <v>1462</v>
      </c>
      <c r="D826" t="s">
        <v>104</v>
      </c>
      <c r="E826" t="s">
        <v>11</v>
      </c>
      <c r="F826" t="s">
        <v>5729</v>
      </c>
      <c r="G826" s="1" t="s">
        <v>5730</v>
      </c>
      <c r="H826" s="1" t="s">
        <v>1923</v>
      </c>
    </row>
    <row r="827" spans="1:8" hidden="1" x14ac:dyDescent="0.3">
      <c r="A827" t="s">
        <v>6670</v>
      </c>
      <c r="B827" t="s">
        <v>6670</v>
      </c>
      <c r="C827" t="s">
        <v>3180</v>
      </c>
      <c r="D827" t="s">
        <v>104</v>
      </c>
      <c r="E827" t="s">
        <v>11</v>
      </c>
      <c r="F827" t="s">
        <v>5734</v>
      </c>
      <c r="G827" s="1" t="s">
        <v>5730</v>
      </c>
      <c r="H827" s="1" t="s">
        <v>1856</v>
      </c>
    </row>
    <row r="828" spans="1:8" hidden="1" x14ac:dyDescent="0.3">
      <c r="A828" t="s">
        <v>6671</v>
      </c>
      <c r="B828" t="s">
        <v>6671</v>
      </c>
      <c r="C828" t="s">
        <v>6672</v>
      </c>
      <c r="D828" t="s">
        <v>104</v>
      </c>
      <c r="E828" t="s">
        <v>11</v>
      </c>
      <c r="F828" t="s">
        <v>5781</v>
      </c>
      <c r="G828" s="1" t="s">
        <v>5730</v>
      </c>
      <c r="H828" s="1" t="s">
        <v>1856</v>
      </c>
    </row>
    <row r="829" spans="1:8" hidden="1" x14ac:dyDescent="0.3">
      <c r="A829" t="s">
        <v>6673</v>
      </c>
      <c r="B829" t="s">
        <v>6673</v>
      </c>
      <c r="C829" t="s">
        <v>3504</v>
      </c>
      <c r="D829" t="s">
        <v>104</v>
      </c>
      <c r="E829" t="s">
        <v>11</v>
      </c>
      <c r="F829" t="s">
        <v>5729</v>
      </c>
      <c r="G829" s="1" t="s">
        <v>5730</v>
      </c>
      <c r="H829" s="1" t="s">
        <v>1856</v>
      </c>
    </row>
    <row r="830" spans="1:8" hidden="1" x14ac:dyDescent="0.3">
      <c r="A830" t="s">
        <v>6674</v>
      </c>
      <c r="B830" t="s">
        <v>6674</v>
      </c>
      <c r="C830" t="s">
        <v>2459</v>
      </c>
      <c r="D830" t="s">
        <v>104</v>
      </c>
      <c r="E830" t="s">
        <v>11</v>
      </c>
      <c r="F830" t="s">
        <v>5729</v>
      </c>
      <c r="G830" s="1" t="s">
        <v>5730</v>
      </c>
      <c r="H830" s="1" t="s">
        <v>1927</v>
      </c>
    </row>
    <row r="831" spans="1:8" hidden="1" x14ac:dyDescent="0.3">
      <c r="A831" t="s">
        <v>6675</v>
      </c>
      <c r="B831" t="s">
        <v>6675</v>
      </c>
      <c r="C831" t="s">
        <v>1476</v>
      </c>
      <c r="D831" t="s">
        <v>104</v>
      </c>
      <c r="E831" t="s">
        <v>11</v>
      </c>
      <c r="F831" t="s">
        <v>5729</v>
      </c>
      <c r="G831" s="1" t="s">
        <v>5730</v>
      </c>
      <c r="H831" s="1" t="s">
        <v>1923</v>
      </c>
    </row>
    <row r="832" spans="1:8" hidden="1" x14ac:dyDescent="0.3">
      <c r="A832" t="s">
        <v>6676</v>
      </c>
      <c r="B832" t="s">
        <v>6676</v>
      </c>
      <c r="C832" t="s">
        <v>1479</v>
      </c>
      <c r="D832" t="s">
        <v>104</v>
      </c>
      <c r="E832" t="s">
        <v>11</v>
      </c>
      <c r="F832" t="s">
        <v>5729</v>
      </c>
      <c r="G832" s="1" t="s">
        <v>5730</v>
      </c>
      <c r="H832" s="1" t="s">
        <v>1856</v>
      </c>
    </row>
    <row r="833" spans="1:8" hidden="1" x14ac:dyDescent="0.3">
      <c r="A833" t="s">
        <v>6677</v>
      </c>
      <c r="B833" t="s">
        <v>6677</v>
      </c>
      <c r="C833" t="s">
        <v>1183</v>
      </c>
      <c r="D833" t="s">
        <v>104</v>
      </c>
      <c r="E833" t="s">
        <v>11</v>
      </c>
      <c r="F833" t="s">
        <v>5729</v>
      </c>
      <c r="G833" s="1" t="s">
        <v>5730</v>
      </c>
      <c r="H833" s="1" t="s">
        <v>1874</v>
      </c>
    </row>
    <row r="834" spans="1:8" hidden="1" x14ac:dyDescent="0.3">
      <c r="A834" t="s">
        <v>6678</v>
      </c>
      <c r="B834" t="s">
        <v>6678</v>
      </c>
      <c r="C834" t="s">
        <v>1480</v>
      </c>
      <c r="D834" t="s">
        <v>104</v>
      </c>
      <c r="E834" t="s">
        <v>11</v>
      </c>
      <c r="F834" t="s">
        <v>5729</v>
      </c>
      <c r="G834" s="1" t="s">
        <v>5730</v>
      </c>
      <c r="H834" s="1" t="s">
        <v>1874</v>
      </c>
    </row>
    <row r="835" spans="1:8" hidden="1" x14ac:dyDescent="0.3">
      <c r="A835" t="s">
        <v>6679</v>
      </c>
      <c r="B835" t="s">
        <v>6679</v>
      </c>
      <c r="C835" t="s">
        <v>1481</v>
      </c>
      <c r="D835" t="s">
        <v>104</v>
      </c>
      <c r="E835" t="s">
        <v>11</v>
      </c>
      <c r="F835" t="s">
        <v>5729</v>
      </c>
      <c r="G835" s="1" t="s">
        <v>5730</v>
      </c>
      <c r="H835" s="1" t="s">
        <v>1874</v>
      </c>
    </row>
    <row r="836" spans="1:8" hidden="1" x14ac:dyDescent="0.3">
      <c r="A836" t="s">
        <v>6680</v>
      </c>
      <c r="B836" t="s">
        <v>6680</v>
      </c>
      <c r="C836" t="s">
        <v>1797</v>
      </c>
      <c r="D836" t="s">
        <v>104</v>
      </c>
      <c r="E836" t="s">
        <v>11</v>
      </c>
      <c r="F836" t="s">
        <v>5729</v>
      </c>
      <c r="G836" s="1" t="s">
        <v>1961</v>
      </c>
      <c r="H836" s="1" t="s">
        <v>1856</v>
      </c>
    </row>
    <row r="837" spans="1:8" hidden="1" x14ac:dyDescent="0.3">
      <c r="A837" t="s">
        <v>6681</v>
      </c>
      <c r="B837" t="s">
        <v>6681</v>
      </c>
      <c r="C837" t="s">
        <v>6682</v>
      </c>
      <c r="D837" t="s">
        <v>104</v>
      </c>
      <c r="E837" t="s">
        <v>11</v>
      </c>
      <c r="F837" t="s">
        <v>5781</v>
      </c>
      <c r="G837" s="1" t="s">
        <v>1961</v>
      </c>
      <c r="H837" s="1" t="s">
        <v>1856</v>
      </c>
    </row>
    <row r="838" spans="1:8" hidden="1" x14ac:dyDescent="0.3">
      <c r="A838" t="s">
        <v>6683</v>
      </c>
      <c r="B838" t="s">
        <v>6683</v>
      </c>
      <c r="C838" t="s">
        <v>1482</v>
      </c>
      <c r="D838" t="s">
        <v>104</v>
      </c>
      <c r="E838" t="s">
        <v>11</v>
      </c>
      <c r="F838" t="s">
        <v>5729</v>
      </c>
      <c r="G838" s="1" t="s">
        <v>5730</v>
      </c>
      <c r="H838" s="1" t="s">
        <v>1856</v>
      </c>
    </row>
    <row r="839" spans="1:8" hidden="1" x14ac:dyDescent="0.3">
      <c r="A839" t="s">
        <v>6684</v>
      </c>
      <c r="B839" t="s">
        <v>6684</v>
      </c>
      <c r="C839" t="s">
        <v>1158</v>
      </c>
      <c r="D839" t="s">
        <v>104</v>
      </c>
      <c r="E839" t="s">
        <v>11</v>
      </c>
      <c r="F839" t="s">
        <v>5729</v>
      </c>
      <c r="G839" s="1" t="s">
        <v>5730</v>
      </c>
      <c r="H839" s="1" t="s">
        <v>1923</v>
      </c>
    </row>
    <row r="840" spans="1:8" hidden="1" x14ac:dyDescent="0.3">
      <c r="A840" t="s">
        <v>6685</v>
      </c>
      <c r="B840" t="s">
        <v>6685</v>
      </c>
      <c r="C840" t="s">
        <v>6686</v>
      </c>
      <c r="D840" t="s">
        <v>1807</v>
      </c>
      <c r="E840" t="s">
        <v>11</v>
      </c>
      <c r="F840" t="s">
        <v>5729</v>
      </c>
      <c r="G840" s="1" t="s">
        <v>5730</v>
      </c>
      <c r="H840" s="1" t="s">
        <v>1927</v>
      </c>
    </row>
    <row r="841" spans="1:8" hidden="1" x14ac:dyDescent="0.3">
      <c r="A841" t="s">
        <v>6687</v>
      </c>
      <c r="B841" t="s">
        <v>6687</v>
      </c>
      <c r="C841" t="s">
        <v>276</v>
      </c>
      <c r="D841" t="s">
        <v>1807</v>
      </c>
      <c r="E841" t="s">
        <v>11</v>
      </c>
      <c r="F841" t="s">
        <v>5734</v>
      </c>
      <c r="G841" s="1" t="s">
        <v>5730</v>
      </c>
      <c r="H841" s="1" t="s">
        <v>1856</v>
      </c>
    </row>
    <row r="842" spans="1:8" hidden="1" x14ac:dyDescent="0.3">
      <c r="A842" t="s">
        <v>6688</v>
      </c>
      <c r="B842" t="s">
        <v>6688</v>
      </c>
      <c r="C842" t="s">
        <v>349</v>
      </c>
      <c r="D842" t="s">
        <v>1807</v>
      </c>
      <c r="E842" t="s">
        <v>11</v>
      </c>
      <c r="F842" t="s">
        <v>5729</v>
      </c>
      <c r="G842" s="1" t="s">
        <v>5730</v>
      </c>
      <c r="H842" s="1" t="s">
        <v>1874</v>
      </c>
    </row>
    <row r="843" spans="1:8" hidden="1" x14ac:dyDescent="0.3">
      <c r="A843" t="s">
        <v>6689</v>
      </c>
      <c r="B843" t="s">
        <v>6689</v>
      </c>
      <c r="C843" t="s">
        <v>6690</v>
      </c>
      <c r="D843" t="s">
        <v>1807</v>
      </c>
      <c r="E843" t="s">
        <v>11</v>
      </c>
      <c r="F843" t="s">
        <v>5734</v>
      </c>
      <c r="G843" s="1" t="s">
        <v>1961</v>
      </c>
      <c r="H843" s="1" t="s">
        <v>1927</v>
      </c>
    </row>
    <row r="844" spans="1:8" hidden="1" x14ac:dyDescent="0.3">
      <c r="A844" t="s">
        <v>6691</v>
      </c>
      <c r="B844" t="s">
        <v>6691</v>
      </c>
      <c r="C844" t="s">
        <v>419</v>
      </c>
      <c r="D844" t="s">
        <v>1807</v>
      </c>
      <c r="E844" t="s">
        <v>11</v>
      </c>
      <c r="F844" t="s">
        <v>5729</v>
      </c>
      <c r="G844" s="1" t="s">
        <v>5730</v>
      </c>
      <c r="H844" s="1" t="s">
        <v>1927</v>
      </c>
    </row>
    <row r="845" spans="1:8" hidden="1" x14ac:dyDescent="0.3">
      <c r="A845" t="s">
        <v>6692</v>
      </c>
      <c r="B845" t="s">
        <v>6692</v>
      </c>
      <c r="C845" t="s">
        <v>6693</v>
      </c>
      <c r="D845" t="s">
        <v>1807</v>
      </c>
      <c r="E845" t="s">
        <v>11</v>
      </c>
      <c r="F845" t="s">
        <v>5734</v>
      </c>
      <c r="G845" s="1" t="s">
        <v>1961</v>
      </c>
      <c r="H845" s="1" t="s">
        <v>1856</v>
      </c>
    </row>
    <row r="846" spans="1:8" hidden="1" x14ac:dyDescent="0.3">
      <c r="A846" t="s">
        <v>6694</v>
      </c>
      <c r="B846" t="s">
        <v>6694</v>
      </c>
      <c r="C846" t="s">
        <v>6695</v>
      </c>
      <c r="D846" t="s">
        <v>1807</v>
      </c>
      <c r="E846" t="s">
        <v>11</v>
      </c>
      <c r="F846" t="s">
        <v>5729</v>
      </c>
      <c r="G846" s="1" t="s">
        <v>5730</v>
      </c>
      <c r="H846" s="1" t="s">
        <v>1874</v>
      </c>
    </row>
    <row r="847" spans="1:8" hidden="1" x14ac:dyDescent="0.3">
      <c r="A847" t="s">
        <v>6696</v>
      </c>
      <c r="B847" t="s">
        <v>6696</v>
      </c>
      <c r="C847" t="s">
        <v>6697</v>
      </c>
      <c r="D847" t="s">
        <v>1807</v>
      </c>
      <c r="E847" t="s">
        <v>11</v>
      </c>
      <c r="F847" t="s">
        <v>5729</v>
      </c>
      <c r="G847" s="1" t="s">
        <v>1961</v>
      </c>
      <c r="H847" s="1" t="s">
        <v>1923</v>
      </c>
    </row>
    <row r="848" spans="1:8" hidden="1" x14ac:dyDescent="0.3">
      <c r="A848" t="s">
        <v>6698</v>
      </c>
      <c r="B848" t="s">
        <v>6698</v>
      </c>
      <c r="C848" t="s">
        <v>933</v>
      </c>
      <c r="D848" t="s">
        <v>1807</v>
      </c>
      <c r="E848" t="s">
        <v>11</v>
      </c>
      <c r="F848" t="s">
        <v>5729</v>
      </c>
      <c r="G848" s="1" t="s">
        <v>5730</v>
      </c>
      <c r="H848" s="1" t="s">
        <v>1874</v>
      </c>
    </row>
    <row r="849" spans="1:8" hidden="1" x14ac:dyDescent="0.3">
      <c r="A849" t="s">
        <v>6699</v>
      </c>
      <c r="B849" t="s">
        <v>6699</v>
      </c>
      <c r="C849" t="s">
        <v>6700</v>
      </c>
      <c r="D849" t="s">
        <v>1807</v>
      </c>
      <c r="E849" t="s">
        <v>11</v>
      </c>
      <c r="F849" t="s">
        <v>5781</v>
      </c>
      <c r="G849" s="1" t="s">
        <v>1961</v>
      </c>
      <c r="H849" s="1" t="s">
        <v>1874</v>
      </c>
    </row>
    <row r="850" spans="1:8" hidden="1" x14ac:dyDescent="0.3">
      <c r="A850" t="s">
        <v>6701</v>
      </c>
      <c r="B850" t="s">
        <v>6701</v>
      </c>
      <c r="C850" t="s">
        <v>1822</v>
      </c>
      <c r="D850" t="s">
        <v>1807</v>
      </c>
      <c r="E850" t="s">
        <v>11</v>
      </c>
      <c r="F850" t="s">
        <v>5734</v>
      </c>
      <c r="G850" s="1" t="s">
        <v>1961</v>
      </c>
      <c r="H850" s="1" t="s">
        <v>1874</v>
      </c>
    </row>
    <row r="851" spans="1:8" hidden="1" x14ac:dyDescent="0.3">
      <c r="A851" t="s">
        <v>6702</v>
      </c>
      <c r="B851" t="s">
        <v>6702</v>
      </c>
      <c r="C851" t="s">
        <v>981</v>
      </c>
      <c r="D851" t="s">
        <v>1807</v>
      </c>
      <c r="E851" t="s">
        <v>11</v>
      </c>
      <c r="F851" t="s">
        <v>5729</v>
      </c>
      <c r="G851" s="1" t="s">
        <v>5730</v>
      </c>
      <c r="H851" s="1" t="s">
        <v>1927</v>
      </c>
    </row>
    <row r="852" spans="1:8" hidden="1" x14ac:dyDescent="0.3">
      <c r="A852" t="s">
        <v>6703</v>
      </c>
      <c r="B852" t="s">
        <v>6703</v>
      </c>
      <c r="C852" t="s">
        <v>1824</v>
      </c>
      <c r="D852" t="s">
        <v>1807</v>
      </c>
      <c r="E852" t="s">
        <v>11</v>
      </c>
      <c r="F852" t="s">
        <v>5729</v>
      </c>
      <c r="G852" s="1" t="s">
        <v>5730</v>
      </c>
      <c r="H852" s="1" t="s">
        <v>1874</v>
      </c>
    </row>
    <row r="853" spans="1:8" hidden="1" x14ac:dyDescent="0.3">
      <c r="A853" t="s">
        <v>6704</v>
      </c>
      <c r="B853" t="s">
        <v>6704</v>
      </c>
      <c r="C853" t="s">
        <v>1074</v>
      </c>
      <c r="D853" t="s">
        <v>1807</v>
      </c>
      <c r="E853" t="s">
        <v>11</v>
      </c>
      <c r="F853" t="s">
        <v>5734</v>
      </c>
      <c r="G853" s="1" t="s">
        <v>5730</v>
      </c>
      <c r="H853" s="1" t="s">
        <v>1856</v>
      </c>
    </row>
    <row r="854" spans="1:8" hidden="1" x14ac:dyDescent="0.3">
      <c r="A854" t="s">
        <v>6705</v>
      </c>
      <c r="B854" t="s">
        <v>6705</v>
      </c>
      <c r="C854" t="s">
        <v>1111</v>
      </c>
      <c r="D854" t="s">
        <v>1807</v>
      </c>
      <c r="E854" t="s">
        <v>11</v>
      </c>
      <c r="F854" t="s">
        <v>5729</v>
      </c>
      <c r="G854" s="1" t="s">
        <v>5730</v>
      </c>
      <c r="H854" s="1" t="s">
        <v>1856</v>
      </c>
    </row>
    <row r="855" spans="1:8" hidden="1" x14ac:dyDescent="0.3">
      <c r="A855" t="s">
        <v>6706</v>
      </c>
      <c r="B855" t="s">
        <v>6706</v>
      </c>
      <c r="C855" t="s">
        <v>1147</v>
      </c>
      <c r="D855" t="s">
        <v>1807</v>
      </c>
      <c r="E855" t="s">
        <v>11</v>
      </c>
      <c r="F855" t="s">
        <v>5729</v>
      </c>
      <c r="G855" s="1" t="s">
        <v>5730</v>
      </c>
      <c r="H855" s="1" t="s">
        <v>1874</v>
      </c>
    </row>
    <row r="856" spans="1:8" hidden="1" x14ac:dyDescent="0.3">
      <c r="A856" t="s">
        <v>6707</v>
      </c>
      <c r="B856" t="s">
        <v>6707</v>
      </c>
      <c r="C856" t="s">
        <v>1828</v>
      </c>
      <c r="D856" t="s">
        <v>1807</v>
      </c>
      <c r="E856" t="s">
        <v>11</v>
      </c>
      <c r="F856" t="s">
        <v>5781</v>
      </c>
      <c r="G856" s="1" t="s">
        <v>5730</v>
      </c>
      <c r="H856" s="1" t="s">
        <v>1923</v>
      </c>
    </row>
    <row r="857" spans="1:8" hidden="1" x14ac:dyDescent="0.3">
      <c r="A857" t="s">
        <v>6708</v>
      </c>
      <c r="B857" t="s">
        <v>6708</v>
      </c>
      <c r="C857" t="s">
        <v>1830</v>
      </c>
      <c r="D857" t="s">
        <v>1807</v>
      </c>
      <c r="E857" t="s">
        <v>11</v>
      </c>
      <c r="F857" t="s">
        <v>5729</v>
      </c>
      <c r="G857" s="1" t="s">
        <v>5730</v>
      </c>
      <c r="H857" s="1" t="s">
        <v>1856</v>
      </c>
    </row>
    <row r="858" spans="1:8" hidden="1" x14ac:dyDescent="0.3">
      <c r="A858" t="s">
        <v>6709</v>
      </c>
      <c r="B858" t="s">
        <v>6709</v>
      </c>
      <c r="C858" t="s">
        <v>1237</v>
      </c>
      <c r="D858" t="s">
        <v>1807</v>
      </c>
      <c r="E858" t="s">
        <v>11</v>
      </c>
      <c r="F858" t="s">
        <v>5729</v>
      </c>
      <c r="G858" s="1" t="s">
        <v>5730</v>
      </c>
      <c r="H858" s="1" t="s">
        <v>1856</v>
      </c>
    </row>
    <row r="859" spans="1:8" hidden="1" x14ac:dyDescent="0.3">
      <c r="A859" t="s">
        <v>6710</v>
      </c>
      <c r="B859" t="s">
        <v>6710</v>
      </c>
      <c r="C859" t="s">
        <v>1257</v>
      </c>
      <c r="D859" t="s">
        <v>1807</v>
      </c>
      <c r="E859" t="s">
        <v>11</v>
      </c>
      <c r="F859" t="s">
        <v>5729</v>
      </c>
      <c r="G859" s="1" t="s">
        <v>5730</v>
      </c>
      <c r="H859" s="1" t="s">
        <v>1856</v>
      </c>
    </row>
    <row r="860" spans="1:8" hidden="1" x14ac:dyDescent="0.3">
      <c r="A860" t="s">
        <v>6711</v>
      </c>
      <c r="B860" t="s">
        <v>6711</v>
      </c>
      <c r="C860" t="s">
        <v>1834</v>
      </c>
      <c r="D860" t="s">
        <v>1807</v>
      </c>
      <c r="E860" t="s">
        <v>11</v>
      </c>
      <c r="F860" t="s">
        <v>5729</v>
      </c>
      <c r="G860" s="1" t="s">
        <v>1961</v>
      </c>
      <c r="H860" s="1" t="s">
        <v>1927</v>
      </c>
    </row>
    <row r="861" spans="1:8" hidden="1" x14ac:dyDescent="0.3">
      <c r="A861" t="s">
        <v>6712</v>
      </c>
      <c r="B861" t="s">
        <v>6712</v>
      </c>
      <c r="C861" t="s">
        <v>1277</v>
      </c>
      <c r="D861" t="s">
        <v>1807</v>
      </c>
      <c r="E861" t="s">
        <v>11</v>
      </c>
      <c r="F861" t="s">
        <v>5729</v>
      </c>
      <c r="G861" s="1" t="s">
        <v>5730</v>
      </c>
      <c r="H861" s="1" t="s">
        <v>1874</v>
      </c>
    </row>
    <row r="862" spans="1:8" hidden="1" x14ac:dyDescent="0.3">
      <c r="A862" t="s">
        <v>6713</v>
      </c>
      <c r="B862" t="s">
        <v>6713</v>
      </c>
      <c r="C862" t="s">
        <v>6714</v>
      </c>
      <c r="D862" t="s">
        <v>1807</v>
      </c>
      <c r="E862" t="s">
        <v>11</v>
      </c>
      <c r="F862" t="s">
        <v>5729</v>
      </c>
      <c r="G862" s="1" t="s">
        <v>5730</v>
      </c>
      <c r="H862" s="1" t="s">
        <v>1856</v>
      </c>
    </row>
    <row r="863" spans="1:8" hidden="1" x14ac:dyDescent="0.3">
      <c r="A863" t="s">
        <v>6715</v>
      </c>
      <c r="B863" t="s">
        <v>6715</v>
      </c>
      <c r="C863" t="s">
        <v>1315</v>
      </c>
      <c r="D863" t="s">
        <v>1807</v>
      </c>
      <c r="E863" t="s">
        <v>11</v>
      </c>
      <c r="F863" t="s">
        <v>5729</v>
      </c>
      <c r="G863" s="1" t="s">
        <v>5730</v>
      </c>
      <c r="H863" s="1" t="s">
        <v>1874</v>
      </c>
    </row>
    <row r="864" spans="1:8" hidden="1" x14ac:dyDescent="0.3">
      <c r="A864" t="s">
        <v>6716</v>
      </c>
      <c r="B864" t="s">
        <v>6716</v>
      </c>
      <c r="C864" t="s">
        <v>1332</v>
      </c>
      <c r="D864" t="s">
        <v>1807</v>
      </c>
      <c r="E864" t="s">
        <v>11</v>
      </c>
      <c r="F864" t="s">
        <v>5729</v>
      </c>
      <c r="G864" s="1" t="s">
        <v>5730</v>
      </c>
      <c r="H864" s="1" t="s">
        <v>1927</v>
      </c>
    </row>
    <row r="865" spans="1:8" hidden="1" x14ac:dyDescent="0.3">
      <c r="A865" t="s">
        <v>6717</v>
      </c>
      <c r="B865" t="s">
        <v>6717</v>
      </c>
      <c r="C865" t="s">
        <v>1840</v>
      </c>
      <c r="D865" t="s">
        <v>120</v>
      </c>
      <c r="E865" t="s">
        <v>11</v>
      </c>
      <c r="F865" t="s">
        <v>5729</v>
      </c>
      <c r="G865" s="1" t="s">
        <v>5730</v>
      </c>
      <c r="H865" s="1" t="s">
        <v>1893</v>
      </c>
    </row>
    <row r="866" spans="1:8" hidden="1" x14ac:dyDescent="0.3">
      <c r="A866" t="s">
        <v>6718</v>
      </c>
      <c r="B866" t="s">
        <v>6718</v>
      </c>
      <c r="C866" t="s">
        <v>277</v>
      </c>
      <c r="D866" t="s">
        <v>120</v>
      </c>
      <c r="E866" t="s">
        <v>11</v>
      </c>
      <c r="F866" t="s">
        <v>5734</v>
      </c>
      <c r="G866" s="1" t="s">
        <v>5730</v>
      </c>
      <c r="H866" s="1" t="s">
        <v>1923</v>
      </c>
    </row>
    <row r="867" spans="1:8" hidden="1" x14ac:dyDescent="0.3">
      <c r="A867" t="s">
        <v>6719</v>
      </c>
      <c r="B867" t="s">
        <v>6719</v>
      </c>
      <c r="C867" t="s">
        <v>350</v>
      </c>
      <c r="D867" t="s">
        <v>120</v>
      </c>
      <c r="E867" t="s">
        <v>11</v>
      </c>
      <c r="F867" t="s">
        <v>5729</v>
      </c>
      <c r="G867" s="1" t="s">
        <v>5730</v>
      </c>
      <c r="H867" s="1" t="s">
        <v>1923</v>
      </c>
    </row>
    <row r="868" spans="1:8" hidden="1" x14ac:dyDescent="0.3">
      <c r="A868" t="s">
        <v>6720</v>
      </c>
      <c r="B868" t="s">
        <v>6720</v>
      </c>
      <c r="C868" t="s">
        <v>420</v>
      </c>
      <c r="D868" t="s">
        <v>120</v>
      </c>
      <c r="E868" t="s">
        <v>11</v>
      </c>
      <c r="F868" t="s">
        <v>5729</v>
      </c>
      <c r="G868" s="1" t="s">
        <v>5730</v>
      </c>
      <c r="H868" s="1" t="s">
        <v>1923</v>
      </c>
    </row>
    <row r="869" spans="1:8" hidden="1" x14ac:dyDescent="0.3">
      <c r="A869" t="s">
        <v>6721</v>
      </c>
      <c r="B869" t="s">
        <v>6721</v>
      </c>
      <c r="C869" t="s">
        <v>1842</v>
      </c>
      <c r="D869" t="s">
        <v>120</v>
      </c>
      <c r="E869" t="s">
        <v>11</v>
      </c>
      <c r="F869" t="s">
        <v>5734</v>
      </c>
      <c r="G869" s="1" t="s">
        <v>5730</v>
      </c>
      <c r="H869" s="1" t="s">
        <v>1923</v>
      </c>
    </row>
    <row r="870" spans="1:8" hidden="1" x14ac:dyDescent="0.3">
      <c r="A870" t="s">
        <v>6722</v>
      </c>
      <c r="B870" t="s">
        <v>6722</v>
      </c>
      <c r="C870" t="s">
        <v>6723</v>
      </c>
      <c r="D870" t="s">
        <v>120</v>
      </c>
      <c r="E870" t="s">
        <v>11</v>
      </c>
      <c r="F870" t="s">
        <v>5729</v>
      </c>
      <c r="G870" s="1" t="s">
        <v>5730</v>
      </c>
      <c r="H870" s="1" t="s">
        <v>1927</v>
      </c>
    </row>
    <row r="871" spans="1:8" hidden="1" x14ac:dyDescent="0.3">
      <c r="A871" t="s">
        <v>6724</v>
      </c>
      <c r="B871" t="s">
        <v>6724</v>
      </c>
      <c r="C871" t="s">
        <v>207</v>
      </c>
      <c r="D871" t="s">
        <v>4009</v>
      </c>
      <c r="E871" t="s">
        <v>12</v>
      </c>
      <c r="F871" t="s">
        <v>5729</v>
      </c>
      <c r="G871" s="1" t="s">
        <v>5730</v>
      </c>
      <c r="H871" s="1" t="s">
        <v>3366</v>
      </c>
    </row>
    <row r="872" spans="1:8" hidden="1" x14ac:dyDescent="0.3">
      <c r="A872" t="s">
        <v>6725</v>
      </c>
      <c r="B872" t="s">
        <v>6725</v>
      </c>
      <c r="C872" t="s">
        <v>279</v>
      </c>
      <c r="D872" t="s">
        <v>4009</v>
      </c>
      <c r="E872" t="s">
        <v>12</v>
      </c>
      <c r="F872" t="s">
        <v>5729</v>
      </c>
      <c r="G872" s="1" t="s">
        <v>5730</v>
      </c>
      <c r="H872" s="1" t="s">
        <v>1927</v>
      </c>
    </row>
    <row r="873" spans="1:8" hidden="1" x14ac:dyDescent="0.3">
      <c r="A873" t="s">
        <v>6726</v>
      </c>
      <c r="B873" t="s">
        <v>6726</v>
      </c>
      <c r="C873" t="s">
        <v>352</v>
      </c>
      <c r="D873" t="s">
        <v>4009</v>
      </c>
      <c r="E873" t="s">
        <v>12</v>
      </c>
      <c r="F873" t="s">
        <v>5729</v>
      </c>
      <c r="G873" s="1" t="s">
        <v>5730</v>
      </c>
      <c r="H873" s="1" t="s">
        <v>1923</v>
      </c>
    </row>
    <row r="874" spans="1:8" hidden="1" x14ac:dyDescent="0.3">
      <c r="A874" t="s">
        <v>6727</v>
      </c>
      <c r="B874" t="s">
        <v>6727</v>
      </c>
      <c r="C874" t="s">
        <v>6728</v>
      </c>
      <c r="D874" t="s">
        <v>4009</v>
      </c>
      <c r="E874" t="s">
        <v>12</v>
      </c>
      <c r="F874" t="s">
        <v>5734</v>
      </c>
      <c r="G874" s="1" t="s">
        <v>1961</v>
      </c>
      <c r="H874" s="1" t="s">
        <v>1874</v>
      </c>
    </row>
    <row r="875" spans="1:8" hidden="1" x14ac:dyDescent="0.3">
      <c r="A875" t="s">
        <v>6729</v>
      </c>
      <c r="B875" t="s">
        <v>6729</v>
      </c>
      <c r="C875" t="s">
        <v>6730</v>
      </c>
      <c r="D875" t="s">
        <v>4009</v>
      </c>
      <c r="E875" t="s">
        <v>12</v>
      </c>
      <c r="F875" t="s">
        <v>5729</v>
      </c>
      <c r="G875" s="1" t="s">
        <v>5730</v>
      </c>
      <c r="H875" s="1" t="s">
        <v>1874</v>
      </c>
    </row>
    <row r="876" spans="1:8" hidden="1" x14ac:dyDescent="0.3">
      <c r="A876" t="s">
        <v>6731</v>
      </c>
      <c r="B876" t="s">
        <v>6731</v>
      </c>
      <c r="C876" t="s">
        <v>569</v>
      </c>
      <c r="D876" t="s">
        <v>4009</v>
      </c>
      <c r="E876" t="s">
        <v>12</v>
      </c>
      <c r="F876" t="s">
        <v>5734</v>
      </c>
      <c r="G876" s="1" t="s">
        <v>5730</v>
      </c>
      <c r="H876" s="1" t="s">
        <v>1856</v>
      </c>
    </row>
    <row r="877" spans="1:8" hidden="1" x14ac:dyDescent="0.3">
      <c r="A877" t="s">
        <v>6732</v>
      </c>
      <c r="B877" t="s">
        <v>6732</v>
      </c>
      <c r="C877" t="s">
        <v>6733</v>
      </c>
      <c r="D877" t="s">
        <v>4009</v>
      </c>
      <c r="E877" t="s">
        <v>12</v>
      </c>
      <c r="F877" t="s">
        <v>5729</v>
      </c>
      <c r="G877" s="1" t="s">
        <v>5730</v>
      </c>
      <c r="H877" s="1" t="s">
        <v>1923</v>
      </c>
    </row>
    <row r="878" spans="1:8" hidden="1" x14ac:dyDescent="0.3">
      <c r="A878" t="s">
        <v>6734</v>
      </c>
      <c r="B878" t="s">
        <v>6734</v>
      </c>
      <c r="C878" t="s">
        <v>700</v>
      </c>
      <c r="D878" t="s">
        <v>4009</v>
      </c>
      <c r="E878" t="s">
        <v>12</v>
      </c>
      <c r="F878" t="s">
        <v>5729</v>
      </c>
      <c r="G878" s="1" t="s">
        <v>5730</v>
      </c>
      <c r="H878" s="1" t="s">
        <v>1923</v>
      </c>
    </row>
    <row r="879" spans="1:8" hidden="1" x14ac:dyDescent="0.3">
      <c r="A879" t="s">
        <v>6735</v>
      </c>
      <c r="B879" t="s">
        <v>6735</v>
      </c>
      <c r="C879" t="s">
        <v>765</v>
      </c>
      <c r="D879" t="s">
        <v>4009</v>
      </c>
      <c r="E879" t="s">
        <v>12</v>
      </c>
      <c r="F879" t="s">
        <v>5734</v>
      </c>
      <c r="G879" s="1" t="s">
        <v>5730</v>
      </c>
      <c r="H879" s="1" t="s">
        <v>1856</v>
      </c>
    </row>
    <row r="880" spans="1:8" hidden="1" x14ac:dyDescent="0.3">
      <c r="A880" t="s">
        <v>6736</v>
      </c>
      <c r="B880" t="s">
        <v>6736</v>
      </c>
      <c r="C880" t="s">
        <v>824</v>
      </c>
      <c r="D880" t="s">
        <v>4009</v>
      </c>
      <c r="E880" t="s">
        <v>12</v>
      </c>
      <c r="F880" t="s">
        <v>5729</v>
      </c>
      <c r="G880" s="1" t="s">
        <v>5730</v>
      </c>
      <c r="H880" s="1" t="s">
        <v>1893</v>
      </c>
    </row>
    <row r="881" spans="1:8" hidden="1" x14ac:dyDescent="0.3">
      <c r="A881" t="s">
        <v>6737</v>
      </c>
      <c r="B881" t="s">
        <v>6737</v>
      </c>
      <c r="C881" t="s">
        <v>878</v>
      </c>
      <c r="D881" t="s">
        <v>4009</v>
      </c>
      <c r="E881" t="s">
        <v>12</v>
      </c>
      <c r="F881" t="s">
        <v>5729</v>
      </c>
      <c r="G881" s="1" t="s">
        <v>5730</v>
      </c>
      <c r="H881" s="1" t="s">
        <v>1923</v>
      </c>
    </row>
    <row r="882" spans="1:8" hidden="1" x14ac:dyDescent="0.3">
      <c r="A882" t="s">
        <v>6738</v>
      </c>
      <c r="B882" t="s">
        <v>6738</v>
      </c>
      <c r="C882" t="s">
        <v>936</v>
      </c>
      <c r="D882" t="s">
        <v>4009</v>
      </c>
      <c r="E882" t="s">
        <v>12</v>
      </c>
      <c r="F882" t="s">
        <v>5729</v>
      </c>
      <c r="G882" s="1" t="s">
        <v>5730</v>
      </c>
      <c r="H882" s="1" t="s">
        <v>1923</v>
      </c>
    </row>
    <row r="883" spans="1:8" hidden="1" x14ac:dyDescent="0.3">
      <c r="A883" t="s">
        <v>6739</v>
      </c>
      <c r="B883" t="s">
        <v>6739</v>
      </c>
      <c r="C883" t="s">
        <v>983</v>
      </c>
      <c r="D883" t="s">
        <v>4009</v>
      </c>
      <c r="E883" t="s">
        <v>12</v>
      </c>
      <c r="F883" t="s">
        <v>5729</v>
      </c>
      <c r="G883" s="1" t="s">
        <v>5730</v>
      </c>
      <c r="H883" s="1" t="s">
        <v>1856</v>
      </c>
    </row>
    <row r="884" spans="1:8" hidden="1" x14ac:dyDescent="0.3">
      <c r="A884" t="s">
        <v>6740</v>
      </c>
      <c r="B884" t="s">
        <v>6740</v>
      </c>
      <c r="C884" t="s">
        <v>1033</v>
      </c>
      <c r="D884" t="s">
        <v>4009</v>
      </c>
      <c r="E884" t="s">
        <v>12</v>
      </c>
      <c r="F884" t="s">
        <v>5729</v>
      </c>
      <c r="G884" s="1" t="s">
        <v>5730</v>
      </c>
      <c r="H884" s="1" t="s">
        <v>1923</v>
      </c>
    </row>
    <row r="885" spans="1:8" hidden="1" x14ac:dyDescent="0.3">
      <c r="A885" t="s">
        <v>6741</v>
      </c>
      <c r="B885" t="s">
        <v>6741</v>
      </c>
      <c r="C885" t="s">
        <v>1077</v>
      </c>
      <c r="D885" t="s">
        <v>4009</v>
      </c>
      <c r="E885" t="s">
        <v>12</v>
      </c>
      <c r="F885" t="s">
        <v>5729</v>
      </c>
      <c r="G885" s="1" t="s">
        <v>5730</v>
      </c>
      <c r="H885" s="1" t="s">
        <v>1874</v>
      </c>
    </row>
    <row r="886" spans="1:8" hidden="1" x14ac:dyDescent="0.3">
      <c r="A886" t="s">
        <v>6742</v>
      </c>
      <c r="B886" t="s">
        <v>6742</v>
      </c>
      <c r="C886" t="s">
        <v>556</v>
      </c>
      <c r="D886" t="s">
        <v>4009</v>
      </c>
      <c r="E886" t="s">
        <v>12</v>
      </c>
      <c r="F886" t="s">
        <v>5729</v>
      </c>
      <c r="G886" s="1" t="s">
        <v>5730</v>
      </c>
      <c r="H886" s="1" t="s">
        <v>1893</v>
      </c>
    </row>
    <row r="887" spans="1:8" hidden="1" x14ac:dyDescent="0.3">
      <c r="A887" t="s">
        <v>6743</v>
      </c>
      <c r="B887" t="s">
        <v>6743</v>
      </c>
      <c r="C887" t="s">
        <v>1150</v>
      </c>
      <c r="D887" t="s">
        <v>4009</v>
      </c>
      <c r="E887" t="s">
        <v>12</v>
      </c>
      <c r="F887" t="s">
        <v>5729</v>
      </c>
      <c r="G887" s="1" t="s">
        <v>5730</v>
      </c>
      <c r="H887" s="1" t="s">
        <v>1874</v>
      </c>
    </row>
    <row r="888" spans="1:8" hidden="1" x14ac:dyDescent="0.3">
      <c r="A888" t="s">
        <v>6744</v>
      </c>
      <c r="B888" t="s">
        <v>6744</v>
      </c>
      <c r="C888" t="s">
        <v>1180</v>
      </c>
      <c r="D888" t="s">
        <v>4009</v>
      </c>
      <c r="E888" t="s">
        <v>12</v>
      </c>
      <c r="F888" t="s">
        <v>5729</v>
      </c>
      <c r="G888" s="1" t="s">
        <v>5730</v>
      </c>
      <c r="H888" s="1" t="s">
        <v>1923</v>
      </c>
    </row>
    <row r="889" spans="1:8" hidden="1" x14ac:dyDescent="0.3">
      <c r="A889" t="s">
        <v>6745</v>
      </c>
      <c r="B889" t="s">
        <v>6745</v>
      </c>
      <c r="C889" t="s">
        <v>1129</v>
      </c>
      <c r="D889" t="s">
        <v>4009</v>
      </c>
      <c r="E889" t="s">
        <v>12</v>
      </c>
      <c r="F889" t="s">
        <v>5729</v>
      </c>
      <c r="G889" s="1" t="s">
        <v>5730</v>
      </c>
      <c r="H889" s="1" t="s">
        <v>1927</v>
      </c>
    </row>
    <row r="890" spans="1:8" hidden="1" x14ac:dyDescent="0.3">
      <c r="A890" t="s">
        <v>6746</v>
      </c>
      <c r="B890" t="s">
        <v>6746</v>
      </c>
      <c r="C890" t="s">
        <v>4050</v>
      </c>
      <c r="D890" t="s">
        <v>4009</v>
      </c>
      <c r="E890" t="s">
        <v>12</v>
      </c>
      <c r="F890" t="s">
        <v>5729</v>
      </c>
      <c r="G890" s="1" t="s">
        <v>5730</v>
      </c>
      <c r="H890" s="1" t="s">
        <v>1923</v>
      </c>
    </row>
    <row r="891" spans="1:8" hidden="1" x14ac:dyDescent="0.3">
      <c r="A891" t="s">
        <v>6747</v>
      </c>
      <c r="B891" t="s">
        <v>6747</v>
      </c>
      <c r="C891" t="s">
        <v>4053</v>
      </c>
      <c r="D891" t="s">
        <v>4009</v>
      </c>
      <c r="E891" t="s">
        <v>12</v>
      </c>
      <c r="F891" t="s">
        <v>5729</v>
      </c>
      <c r="G891" s="1" t="s">
        <v>5730</v>
      </c>
      <c r="H891" s="1" t="s">
        <v>1923</v>
      </c>
    </row>
    <row r="892" spans="1:8" hidden="1" x14ac:dyDescent="0.3">
      <c r="A892" t="s">
        <v>6748</v>
      </c>
      <c r="B892" t="s">
        <v>6748</v>
      </c>
      <c r="C892" t="s">
        <v>1280</v>
      </c>
      <c r="D892" t="s">
        <v>4009</v>
      </c>
      <c r="E892" t="s">
        <v>12</v>
      </c>
      <c r="F892" t="s">
        <v>5729</v>
      </c>
      <c r="G892" s="1" t="s">
        <v>5730</v>
      </c>
      <c r="H892" s="1" t="s">
        <v>1923</v>
      </c>
    </row>
    <row r="893" spans="1:8" hidden="1" x14ac:dyDescent="0.3">
      <c r="A893" t="s">
        <v>6749</v>
      </c>
      <c r="B893" t="s">
        <v>6749</v>
      </c>
      <c r="C893" t="s">
        <v>1301</v>
      </c>
      <c r="D893" t="s">
        <v>4009</v>
      </c>
      <c r="E893" t="s">
        <v>12</v>
      </c>
      <c r="F893" t="s">
        <v>5729</v>
      </c>
      <c r="G893" s="1" t="s">
        <v>5730</v>
      </c>
      <c r="H893" s="1" t="s">
        <v>1927</v>
      </c>
    </row>
    <row r="894" spans="1:8" hidden="1" x14ac:dyDescent="0.3">
      <c r="A894" t="s">
        <v>6750</v>
      </c>
      <c r="B894" t="s">
        <v>6750</v>
      </c>
      <c r="C894" s="6" t="s">
        <v>208</v>
      </c>
      <c r="D894" s="6" t="s">
        <v>121</v>
      </c>
      <c r="E894" t="s">
        <v>12</v>
      </c>
      <c r="F894" t="s">
        <v>5734</v>
      </c>
      <c r="G894" s="1" t="s">
        <v>5730</v>
      </c>
      <c r="H894" s="1" t="s">
        <v>1856</v>
      </c>
    </row>
    <row r="895" spans="1:8" hidden="1" x14ac:dyDescent="0.3">
      <c r="A895" t="s">
        <v>6751</v>
      </c>
      <c r="B895" t="s">
        <v>6751</v>
      </c>
      <c r="C895" t="s">
        <v>280</v>
      </c>
      <c r="D895" t="s">
        <v>121</v>
      </c>
      <c r="E895" t="s">
        <v>12</v>
      </c>
      <c r="F895" t="s">
        <v>5729</v>
      </c>
      <c r="G895" s="1" t="s">
        <v>5730</v>
      </c>
      <c r="H895" s="1" t="s">
        <v>1856</v>
      </c>
    </row>
    <row r="896" spans="1:8" hidden="1" x14ac:dyDescent="0.3">
      <c r="A896" t="s">
        <v>6752</v>
      </c>
      <c r="B896" t="s">
        <v>6752</v>
      </c>
      <c r="C896" t="s">
        <v>353</v>
      </c>
      <c r="D896" t="s">
        <v>121</v>
      </c>
      <c r="E896" t="s">
        <v>12</v>
      </c>
      <c r="F896" t="s">
        <v>5729</v>
      </c>
      <c r="G896" s="1" t="s">
        <v>5730</v>
      </c>
      <c r="H896" s="1" t="s">
        <v>1856</v>
      </c>
    </row>
    <row r="897" spans="1:8" hidden="1" x14ac:dyDescent="0.3">
      <c r="A897" t="s">
        <v>6753</v>
      </c>
      <c r="B897" t="s">
        <v>6753</v>
      </c>
      <c r="C897" t="s">
        <v>424</v>
      </c>
      <c r="D897" t="s">
        <v>121</v>
      </c>
      <c r="E897" t="s">
        <v>12</v>
      </c>
      <c r="F897" t="s">
        <v>5729</v>
      </c>
      <c r="G897" s="1" t="s">
        <v>5730</v>
      </c>
      <c r="H897" s="1" t="s">
        <v>1927</v>
      </c>
    </row>
    <row r="898" spans="1:8" hidden="1" x14ac:dyDescent="0.3">
      <c r="A898" t="s">
        <v>6754</v>
      </c>
      <c r="B898" t="s">
        <v>6754</v>
      </c>
      <c r="C898" t="s">
        <v>500</v>
      </c>
      <c r="D898" t="s">
        <v>121</v>
      </c>
      <c r="E898" t="s">
        <v>12</v>
      </c>
      <c r="F898" t="s">
        <v>5729</v>
      </c>
      <c r="G898" s="1" t="s">
        <v>5730</v>
      </c>
      <c r="H898" s="1" t="s">
        <v>1927</v>
      </c>
    </row>
    <row r="899" spans="1:8" hidden="1" x14ac:dyDescent="0.3">
      <c r="A899" t="s">
        <v>6755</v>
      </c>
      <c r="B899" t="s">
        <v>6755</v>
      </c>
      <c r="C899" t="s">
        <v>340</v>
      </c>
      <c r="D899" t="s">
        <v>121</v>
      </c>
      <c r="E899" t="s">
        <v>12</v>
      </c>
      <c r="F899" t="s">
        <v>5729</v>
      </c>
      <c r="G899" s="1" t="s">
        <v>5730</v>
      </c>
      <c r="H899" s="1" t="s">
        <v>1874</v>
      </c>
    </row>
    <row r="900" spans="1:8" hidden="1" x14ac:dyDescent="0.3">
      <c r="A900" t="s">
        <v>6756</v>
      </c>
      <c r="B900" t="s">
        <v>6756</v>
      </c>
      <c r="C900" t="s">
        <v>4073</v>
      </c>
      <c r="D900" t="s">
        <v>121</v>
      </c>
      <c r="E900" t="s">
        <v>12</v>
      </c>
      <c r="F900" t="s">
        <v>5734</v>
      </c>
      <c r="G900" s="1" t="s">
        <v>1961</v>
      </c>
      <c r="H900" s="1" t="s">
        <v>1856</v>
      </c>
    </row>
    <row r="901" spans="1:8" hidden="1" x14ac:dyDescent="0.3">
      <c r="A901" t="s">
        <v>6757</v>
      </c>
      <c r="B901" t="s">
        <v>6757</v>
      </c>
      <c r="C901" t="s">
        <v>635</v>
      </c>
      <c r="D901" t="s">
        <v>121</v>
      </c>
      <c r="E901" t="s">
        <v>12</v>
      </c>
      <c r="F901" t="s">
        <v>5729</v>
      </c>
      <c r="G901" s="1" t="s">
        <v>5730</v>
      </c>
      <c r="H901" s="1" t="s">
        <v>1856</v>
      </c>
    </row>
    <row r="902" spans="1:8" hidden="1" x14ac:dyDescent="0.3">
      <c r="A902" t="s">
        <v>6758</v>
      </c>
      <c r="B902" t="s">
        <v>6758</v>
      </c>
      <c r="C902" t="s">
        <v>701</v>
      </c>
      <c r="D902" t="s">
        <v>121</v>
      </c>
      <c r="E902" t="s">
        <v>12</v>
      </c>
      <c r="F902" t="s">
        <v>5729</v>
      </c>
      <c r="G902" s="1" t="s">
        <v>5730</v>
      </c>
      <c r="H902" s="1" t="s">
        <v>1927</v>
      </c>
    </row>
    <row r="903" spans="1:8" hidden="1" x14ac:dyDescent="0.3">
      <c r="A903" t="s">
        <v>6759</v>
      </c>
      <c r="B903" t="s">
        <v>6759</v>
      </c>
      <c r="C903" t="s">
        <v>766</v>
      </c>
      <c r="D903" t="s">
        <v>121</v>
      </c>
      <c r="E903" t="s">
        <v>12</v>
      </c>
      <c r="F903" t="s">
        <v>5729</v>
      </c>
      <c r="G903" s="1" t="s">
        <v>5730</v>
      </c>
      <c r="H903" s="1" t="s">
        <v>1874</v>
      </c>
    </row>
    <row r="904" spans="1:8" hidden="1" x14ac:dyDescent="0.3">
      <c r="A904" t="s">
        <v>6760</v>
      </c>
      <c r="B904" t="s">
        <v>6760</v>
      </c>
      <c r="C904" t="s">
        <v>825</v>
      </c>
      <c r="D904" t="s">
        <v>121</v>
      </c>
      <c r="E904" t="s">
        <v>12</v>
      </c>
      <c r="F904" t="s">
        <v>5729</v>
      </c>
      <c r="G904" s="1" t="s">
        <v>5730</v>
      </c>
      <c r="H904" s="1" t="s">
        <v>1856</v>
      </c>
    </row>
    <row r="905" spans="1:8" hidden="1" x14ac:dyDescent="0.3">
      <c r="A905" t="s">
        <v>6761</v>
      </c>
      <c r="B905" t="s">
        <v>6761</v>
      </c>
      <c r="C905" t="s">
        <v>984</v>
      </c>
      <c r="D905" t="s">
        <v>121</v>
      </c>
      <c r="E905" t="s">
        <v>12</v>
      </c>
      <c r="F905" t="s">
        <v>5729</v>
      </c>
      <c r="G905" s="1" t="s">
        <v>5730</v>
      </c>
      <c r="H905" s="1" t="s">
        <v>1874</v>
      </c>
    </row>
    <row r="906" spans="1:8" hidden="1" x14ac:dyDescent="0.3">
      <c r="A906" t="s">
        <v>6762</v>
      </c>
      <c r="B906" t="s">
        <v>6762</v>
      </c>
      <c r="C906" t="s">
        <v>1034</v>
      </c>
      <c r="D906" t="s">
        <v>121</v>
      </c>
      <c r="E906" t="s">
        <v>12</v>
      </c>
      <c r="F906" t="s">
        <v>5729</v>
      </c>
      <c r="G906" s="1" t="s">
        <v>5730</v>
      </c>
      <c r="H906" s="1" t="s">
        <v>1874</v>
      </c>
    </row>
    <row r="907" spans="1:8" hidden="1" x14ac:dyDescent="0.3">
      <c r="A907" t="s">
        <v>6763</v>
      </c>
      <c r="B907" t="s">
        <v>6763</v>
      </c>
      <c r="C907" t="s">
        <v>1078</v>
      </c>
      <c r="D907" t="s">
        <v>121</v>
      </c>
      <c r="E907" t="s">
        <v>12</v>
      </c>
      <c r="F907" t="s">
        <v>5729</v>
      </c>
      <c r="G907" s="1" t="s">
        <v>5730</v>
      </c>
      <c r="H907" s="1" t="s">
        <v>1856</v>
      </c>
    </row>
    <row r="908" spans="1:8" hidden="1" x14ac:dyDescent="0.3">
      <c r="A908" t="s">
        <v>6764</v>
      </c>
      <c r="B908" t="s">
        <v>6764</v>
      </c>
      <c r="C908" t="s">
        <v>1113</v>
      </c>
      <c r="D908" t="s">
        <v>121</v>
      </c>
      <c r="E908" t="s">
        <v>12</v>
      </c>
      <c r="F908" t="s">
        <v>5729</v>
      </c>
      <c r="G908" s="1" t="s">
        <v>5730</v>
      </c>
      <c r="H908" s="1" t="s">
        <v>1923</v>
      </c>
    </row>
    <row r="909" spans="1:8" hidden="1" x14ac:dyDescent="0.3">
      <c r="A909" t="s">
        <v>6765</v>
      </c>
      <c r="B909" t="s">
        <v>6765</v>
      </c>
      <c r="C909" t="s">
        <v>1151</v>
      </c>
      <c r="D909" t="s">
        <v>121</v>
      </c>
      <c r="E909" t="s">
        <v>12</v>
      </c>
      <c r="F909" t="s">
        <v>5729</v>
      </c>
      <c r="G909" s="1" t="s">
        <v>5730</v>
      </c>
      <c r="H909" s="1" t="s">
        <v>1923</v>
      </c>
    </row>
    <row r="910" spans="1:8" hidden="1" x14ac:dyDescent="0.3">
      <c r="A910" t="s">
        <v>6766</v>
      </c>
      <c r="B910" t="s">
        <v>6766</v>
      </c>
      <c r="C910" t="s">
        <v>6767</v>
      </c>
      <c r="D910" t="s">
        <v>121</v>
      </c>
      <c r="E910" t="s">
        <v>12</v>
      </c>
      <c r="F910" t="s">
        <v>5729</v>
      </c>
      <c r="G910" s="1" t="s">
        <v>5730</v>
      </c>
      <c r="H910" s="1" t="s">
        <v>1856</v>
      </c>
    </row>
    <row r="911" spans="1:8" hidden="1" x14ac:dyDescent="0.3">
      <c r="A911" t="s">
        <v>6768</v>
      </c>
      <c r="B911" t="s">
        <v>6768</v>
      </c>
      <c r="C911" t="s">
        <v>1211</v>
      </c>
      <c r="D911" t="s">
        <v>121</v>
      </c>
      <c r="E911" t="s">
        <v>12</v>
      </c>
      <c r="F911" t="s">
        <v>5729</v>
      </c>
      <c r="G911" s="1" t="s">
        <v>5730</v>
      </c>
      <c r="H911" s="1" t="s">
        <v>1856</v>
      </c>
    </row>
    <row r="912" spans="1:8" hidden="1" x14ac:dyDescent="0.3">
      <c r="A912" t="s">
        <v>6769</v>
      </c>
      <c r="B912" t="s">
        <v>6769</v>
      </c>
      <c r="C912" t="s">
        <v>6770</v>
      </c>
      <c r="D912" t="s">
        <v>121</v>
      </c>
      <c r="E912" t="s">
        <v>12</v>
      </c>
      <c r="F912" t="s">
        <v>5729</v>
      </c>
      <c r="G912" s="1" t="s">
        <v>5730</v>
      </c>
      <c r="H912" s="1" t="s">
        <v>1927</v>
      </c>
    </row>
    <row r="913" spans="1:8" hidden="1" x14ac:dyDescent="0.3">
      <c r="A913" t="s">
        <v>6771</v>
      </c>
      <c r="B913" t="s">
        <v>6771</v>
      </c>
      <c r="C913" t="s">
        <v>1260</v>
      </c>
      <c r="D913" t="s">
        <v>121</v>
      </c>
      <c r="E913" t="s">
        <v>12</v>
      </c>
      <c r="F913" t="s">
        <v>5729</v>
      </c>
      <c r="G913" s="1" t="s">
        <v>5730</v>
      </c>
      <c r="H913" s="1" t="s">
        <v>1923</v>
      </c>
    </row>
    <row r="914" spans="1:8" hidden="1" x14ac:dyDescent="0.3">
      <c r="A914" t="s">
        <v>6772</v>
      </c>
      <c r="B914" t="s">
        <v>6772</v>
      </c>
      <c r="C914" t="s">
        <v>1281</v>
      </c>
      <c r="D914" t="s">
        <v>121</v>
      </c>
      <c r="E914" t="s">
        <v>12</v>
      </c>
      <c r="F914" t="s">
        <v>5729</v>
      </c>
      <c r="G914" s="1" t="s">
        <v>5730</v>
      </c>
      <c r="H914" s="1" t="s">
        <v>1856</v>
      </c>
    </row>
    <row r="915" spans="1:8" hidden="1" x14ac:dyDescent="0.3">
      <c r="A915" t="s">
        <v>6773</v>
      </c>
      <c r="B915" t="s">
        <v>6773</v>
      </c>
      <c r="C915" t="s">
        <v>1901</v>
      </c>
      <c r="D915" t="s">
        <v>121</v>
      </c>
      <c r="E915" t="s">
        <v>12</v>
      </c>
      <c r="F915" t="s">
        <v>5781</v>
      </c>
      <c r="G915" s="1" t="s">
        <v>5730</v>
      </c>
      <c r="H915" s="1" t="s">
        <v>1923</v>
      </c>
    </row>
    <row r="916" spans="1:8" hidden="1" x14ac:dyDescent="0.3">
      <c r="A916" t="s">
        <v>6774</v>
      </c>
      <c r="B916" t="s">
        <v>6774</v>
      </c>
      <c r="C916" t="s">
        <v>121</v>
      </c>
      <c r="D916" t="s">
        <v>121</v>
      </c>
      <c r="E916" t="s">
        <v>12</v>
      </c>
      <c r="F916" t="s">
        <v>5729</v>
      </c>
      <c r="G916" s="1" t="s">
        <v>5730</v>
      </c>
      <c r="H916" s="1" t="s">
        <v>1874</v>
      </c>
    </row>
    <row r="917" spans="1:8" hidden="1" x14ac:dyDescent="0.3">
      <c r="A917" t="s">
        <v>6775</v>
      </c>
      <c r="B917" t="s">
        <v>6775</v>
      </c>
      <c r="C917" t="s">
        <v>6776</v>
      </c>
      <c r="D917" t="s">
        <v>121</v>
      </c>
      <c r="E917" t="s">
        <v>12</v>
      </c>
      <c r="F917" t="s">
        <v>5729</v>
      </c>
      <c r="G917" s="1" t="s">
        <v>5730</v>
      </c>
      <c r="H917" s="1" t="s">
        <v>1923</v>
      </c>
    </row>
    <row r="918" spans="1:8" hidden="1" x14ac:dyDescent="0.3">
      <c r="A918" t="s">
        <v>6777</v>
      </c>
      <c r="B918" t="s">
        <v>6777</v>
      </c>
      <c r="C918" t="s">
        <v>1348</v>
      </c>
      <c r="D918" t="s">
        <v>121</v>
      </c>
      <c r="E918" t="s">
        <v>12</v>
      </c>
      <c r="F918" t="s">
        <v>5729</v>
      </c>
      <c r="G918" s="1" t="s">
        <v>5730</v>
      </c>
      <c r="H918" s="1" t="s">
        <v>1927</v>
      </c>
    </row>
    <row r="919" spans="1:8" hidden="1" x14ac:dyDescent="0.3">
      <c r="A919" t="s">
        <v>6778</v>
      </c>
      <c r="B919" t="s">
        <v>6778</v>
      </c>
      <c r="C919" t="s">
        <v>6779</v>
      </c>
      <c r="D919" t="s">
        <v>121</v>
      </c>
      <c r="E919" t="s">
        <v>12</v>
      </c>
      <c r="F919" t="s">
        <v>5729</v>
      </c>
      <c r="G919" s="1" t="s">
        <v>5730</v>
      </c>
      <c r="H919" s="1" t="s">
        <v>1923</v>
      </c>
    </row>
    <row r="920" spans="1:8" hidden="1" x14ac:dyDescent="0.3">
      <c r="A920" t="s">
        <v>6780</v>
      </c>
      <c r="B920" t="s">
        <v>6780</v>
      </c>
      <c r="C920" t="s">
        <v>1372</v>
      </c>
      <c r="D920" t="s">
        <v>121</v>
      </c>
      <c r="E920" t="s">
        <v>12</v>
      </c>
      <c r="F920" t="s">
        <v>5729</v>
      </c>
      <c r="G920" s="1" t="s">
        <v>5730</v>
      </c>
      <c r="H920" s="1" t="s">
        <v>1874</v>
      </c>
    </row>
    <row r="921" spans="1:8" hidden="1" x14ac:dyDescent="0.3">
      <c r="A921" t="s">
        <v>6781</v>
      </c>
      <c r="B921" t="s">
        <v>6781</v>
      </c>
      <c r="C921" t="s">
        <v>1384</v>
      </c>
      <c r="D921" t="s">
        <v>121</v>
      </c>
      <c r="E921" t="s">
        <v>12</v>
      </c>
      <c r="F921" t="s">
        <v>5729</v>
      </c>
      <c r="G921" s="1" t="s">
        <v>5730</v>
      </c>
      <c r="H921" s="1" t="s">
        <v>1923</v>
      </c>
    </row>
    <row r="922" spans="1:8" hidden="1" x14ac:dyDescent="0.3">
      <c r="A922" t="s">
        <v>6782</v>
      </c>
      <c r="B922" t="s">
        <v>6782</v>
      </c>
      <c r="C922" t="s">
        <v>1395</v>
      </c>
      <c r="D922" t="s">
        <v>121</v>
      </c>
      <c r="E922" t="s">
        <v>12</v>
      </c>
      <c r="F922" t="s">
        <v>5729</v>
      </c>
      <c r="G922" s="1" t="s">
        <v>5730</v>
      </c>
      <c r="H922" s="1" t="s">
        <v>1927</v>
      </c>
    </row>
    <row r="923" spans="1:8" hidden="1" x14ac:dyDescent="0.3">
      <c r="A923" t="s">
        <v>6783</v>
      </c>
      <c r="B923" t="s">
        <v>6783</v>
      </c>
      <c r="C923" t="s">
        <v>4121</v>
      </c>
      <c r="D923" t="s">
        <v>121</v>
      </c>
      <c r="E923" t="s">
        <v>12</v>
      </c>
      <c r="F923" t="s">
        <v>5747</v>
      </c>
      <c r="G923" s="1" t="s">
        <v>2204</v>
      </c>
      <c r="H923" s="1" t="s">
        <v>1856</v>
      </c>
    </row>
    <row r="924" spans="1:8" hidden="1" x14ac:dyDescent="0.3">
      <c r="A924" t="s">
        <v>6784</v>
      </c>
      <c r="B924" t="s">
        <v>6784</v>
      </c>
      <c r="C924" t="s">
        <v>1414</v>
      </c>
      <c r="D924" t="s">
        <v>121</v>
      </c>
      <c r="E924" t="s">
        <v>12</v>
      </c>
      <c r="F924" t="s">
        <v>5729</v>
      </c>
      <c r="G924" s="1" t="s">
        <v>5730</v>
      </c>
      <c r="H924" s="1" t="s">
        <v>1856</v>
      </c>
    </row>
    <row r="925" spans="1:8" hidden="1" x14ac:dyDescent="0.3">
      <c r="A925" t="s">
        <v>6785</v>
      </c>
      <c r="B925" t="s">
        <v>6785</v>
      </c>
      <c r="C925" t="s">
        <v>1421</v>
      </c>
      <c r="D925" t="s">
        <v>121</v>
      </c>
      <c r="E925" t="s">
        <v>12</v>
      </c>
      <c r="F925" t="s">
        <v>5729</v>
      </c>
      <c r="G925" s="1" t="s">
        <v>5730</v>
      </c>
      <c r="H925" s="1" t="s">
        <v>1856</v>
      </c>
    </row>
    <row r="926" spans="1:8" hidden="1" x14ac:dyDescent="0.3">
      <c r="A926" t="s">
        <v>6786</v>
      </c>
      <c r="B926" t="s">
        <v>6786</v>
      </c>
      <c r="C926" t="s">
        <v>1429</v>
      </c>
      <c r="D926" t="s">
        <v>121</v>
      </c>
      <c r="E926" t="s">
        <v>12</v>
      </c>
      <c r="F926" t="s">
        <v>5729</v>
      </c>
      <c r="G926" s="1" t="s">
        <v>5730</v>
      </c>
      <c r="H926" s="1" t="s">
        <v>1923</v>
      </c>
    </row>
    <row r="927" spans="1:8" hidden="1" x14ac:dyDescent="0.3">
      <c r="A927" t="s">
        <v>6787</v>
      </c>
      <c r="B927" t="s">
        <v>6787</v>
      </c>
      <c r="C927" t="s">
        <v>1916</v>
      </c>
      <c r="D927" t="s">
        <v>121</v>
      </c>
      <c r="E927" t="s">
        <v>12</v>
      </c>
      <c r="F927" t="s">
        <v>5781</v>
      </c>
      <c r="G927" s="1" t="s">
        <v>5730</v>
      </c>
      <c r="H927" s="1" t="s">
        <v>1927</v>
      </c>
    </row>
    <row r="928" spans="1:8" hidden="1" x14ac:dyDescent="0.3">
      <c r="A928" t="s">
        <v>6788</v>
      </c>
      <c r="B928" t="s">
        <v>6788</v>
      </c>
      <c r="C928" t="s">
        <v>2552</v>
      </c>
      <c r="D928" t="s">
        <v>121</v>
      </c>
      <c r="E928" t="s">
        <v>12</v>
      </c>
      <c r="F928" t="s">
        <v>5781</v>
      </c>
      <c r="G928" s="1" t="s">
        <v>5730</v>
      </c>
      <c r="H928" s="1" t="s">
        <v>1927</v>
      </c>
    </row>
    <row r="929" spans="1:8" hidden="1" x14ac:dyDescent="0.3">
      <c r="A929" t="s">
        <v>6789</v>
      </c>
      <c r="B929" t="s">
        <v>6789</v>
      </c>
      <c r="C929" t="s">
        <v>2459</v>
      </c>
      <c r="D929" t="s">
        <v>121</v>
      </c>
      <c r="E929" t="s">
        <v>12</v>
      </c>
      <c r="F929" t="s">
        <v>5729</v>
      </c>
      <c r="G929" s="1" t="s">
        <v>5730</v>
      </c>
      <c r="H929" s="1" t="s">
        <v>1923</v>
      </c>
    </row>
    <row r="930" spans="1:8" hidden="1" x14ac:dyDescent="0.3">
      <c r="A930" t="s">
        <v>6790</v>
      </c>
      <c r="B930" t="s">
        <v>6790</v>
      </c>
      <c r="C930" t="s">
        <v>1447</v>
      </c>
      <c r="D930" t="s">
        <v>121</v>
      </c>
      <c r="E930" t="s">
        <v>12</v>
      </c>
      <c r="F930" t="s">
        <v>5729</v>
      </c>
      <c r="G930" s="1" t="s">
        <v>5730</v>
      </c>
      <c r="H930" s="1" t="s">
        <v>1927</v>
      </c>
    </row>
    <row r="931" spans="1:8" hidden="1" x14ac:dyDescent="0.3">
      <c r="A931" t="s">
        <v>6791</v>
      </c>
      <c r="B931" t="s">
        <v>6791</v>
      </c>
      <c r="C931" t="s">
        <v>1450</v>
      </c>
      <c r="D931" t="s">
        <v>121</v>
      </c>
      <c r="E931" t="s">
        <v>12</v>
      </c>
      <c r="F931" t="s">
        <v>5729</v>
      </c>
      <c r="G931" s="1" t="s">
        <v>5730</v>
      </c>
      <c r="H931" s="1" t="s">
        <v>1893</v>
      </c>
    </row>
    <row r="932" spans="1:8" hidden="1" x14ac:dyDescent="0.3">
      <c r="A932" t="s">
        <v>6792</v>
      </c>
      <c r="B932" t="s">
        <v>6792</v>
      </c>
      <c r="C932" t="s">
        <v>6793</v>
      </c>
      <c r="D932" t="s">
        <v>121</v>
      </c>
      <c r="E932" t="s">
        <v>12</v>
      </c>
      <c r="F932" t="s">
        <v>5747</v>
      </c>
      <c r="G932" s="1" t="s">
        <v>1855</v>
      </c>
      <c r="H932" s="1" t="s">
        <v>1856</v>
      </c>
    </row>
    <row r="933" spans="1:8" hidden="1" x14ac:dyDescent="0.3">
      <c r="A933" t="s">
        <v>6794</v>
      </c>
      <c r="B933" t="s">
        <v>6794</v>
      </c>
      <c r="C933" t="s">
        <v>1454</v>
      </c>
      <c r="D933" t="s">
        <v>121</v>
      </c>
      <c r="E933" t="s">
        <v>12</v>
      </c>
      <c r="F933" t="s">
        <v>5729</v>
      </c>
      <c r="G933" s="1" t="s">
        <v>5730</v>
      </c>
      <c r="H933" s="1" t="s">
        <v>1856</v>
      </c>
    </row>
    <row r="934" spans="1:8" hidden="1" x14ac:dyDescent="0.3">
      <c r="A934" t="s">
        <v>6795</v>
      </c>
      <c r="B934" t="s">
        <v>6795</v>
      </c>
      <c r="C934" t="s">
        <v>1459</v>
      </c>
      <c r="D934" t="s">
        <v>121</v>
      </c>
      <c r="E934" t="s">
        <v>12</v>
      </c>
      <c r="F934" t="s">
        <v>5729</v>
      </c>
      <c r="G934" s="1" t="s">
        <v>5730</v>
      </c>
      <c r="H934" s="1" t="s">
        <v>1923</v>
      </c>
    </row>
    <row r="935" spans="1:8" hidden="1" x14ac:dyDescent="0.3">
      <c r="A935" t="s">
        <v>6796</v>
      </c>
      <c r="B935" t="s">
        <v>6796</v>
      </c>
      <c r="C935" t="s">
        <v>1463</v>
      </c>
      <c r="D935" t="s">
        <v>121</v>
      </c>
      <c r="E935" t="s">
        <v>12</v>
      </c>
      <c r="F935" t="s">
        <v>5729</v>
      </c>
      <c r="G935" s="1" t="s">
        <v>5730</v>
      </c>
      <c r="H935" s="1" t="s">
        <v>1893</v>
      </c>
    </row>
    <row r="936" spans="1:8" hidden="1" x14ac:dyDescent="0.3">
      <c r="A936" t="s">
        <v>6797</v>
      </c>
      <c r="B936" t="s">
        <v>6797</v>
      </c>
      <c r="C936" t="s">
        <v>1466</v>
      </c>
      <c r="D936" t="s">
        <v>121</v>
      </c>
      <c r="E936" t="s">
        <v>12</v>
      </c>
      <c r="F936" t="s">
        <v>5729</v>
      </c>
      <c r="G936" s="1" t="s">
        <v>5730</v>
      </c>
      <c r="H936" s="1" t="s">
        <v>1874</v>
      </c>
    </row>
    <row r="937" spans="1:8" hidden="1" x14ac:dyDescent="0.3">
      <c r="A937" t="s">
        <v>6798</v>
      </c>
      <c r="B937" t="s">
        <v>6798</v>
      </c>
      <c r="C937" t="s">
        <v>209</v>
      </c>
      <c r="D937" t="s">
        <v>4150</v>
      </c>
      <c r="E937" t="s">
        <v>12</v>
      </c>
      <c r="F937" t="s">
        <v>5729</v>
      </c>
      <c r="G937" s="1" t="s">
        <v>5730</v>
      </c>
      <c r="H937" s="1" t="s">
        <v>1923</v>
      </c>
    </row>
    <row r="938" spans="1:8" hidden="1" x14ac:dyDescent="0.3">
      <c r="A938" t="s">
        <v>6799</v>
      </c>
      <c r="B938" t="s">
        <v>6799</v>
      </c>
      <c r="C938" t="s">
        <v>281</v>
      </c>
      <c r="D938" t="s">
        <v>4150</v>
      </c>
      <c r="E938" t="s">
        <v>12</v>
      </c>
      <c r="F938" t="s">
        <v>5729</v>
      </c>
      <c r="G938" s="1" t="s">
        <v>5730</v>
      </c>
      <c r="H938" s="1" t="s">
        <v>1893</v>
      </c>
    </row>
    <row r="939" spans="1:8" hidden="1" x14ac:dyDescent="0.3">
      <c r="A939" t="s">
        <v>6800</v>
      </c>
      <c r="B939" t="s">
        <v>6800</v>
      </c>
      <c r="C939" t="s">
        <v>354</v>
      </c>
      <c r="D939" t="s">
        <v>4150</v>
      </c>
      <c r="E939" t="s">
        <v>12</v>
      </c>
      <c r="F939" t="s">
        <v>5729</v>
      </c>
      <c r="G939" s="1" t="s">
        <v>5730</v>
      </c>
      <c r="H939" s="1" t="s">
        <v>1927</v>
      </c>
    </row>
    <row r="940" spans="1:8" hidden="1" x14ac:dyDescent="0.3">
      <c r="A940" t="s">
        <v>6801</v>
      </c>
      <c r="B940" t="s">
        <v>6801</v>
      </c>
      <c r="C940" t="s">
        <v>425</v>
      </c>
      <c r="D940" t="s">
        <v>4150</v>
      </c>
      <c r="E940" t="s">
        <v>12</v>
      </c>
      <c r="F940" t="s">
        <v>5729</v>
      </c>
      <c r="G940" s="1" t="s">
        <v>5730</v>
      </c>
      <c r="H940" s="1" t="s">
        <v>1893</v>
      </c>
    </row>
    <row r="941" spans="1:8" hidden="1" x14ac:dyDescent="0.3">
      <c r="A941" t="s">
        <v>6802</v>
      </c>
      <c r="B941" t="s">
        <v>6802</v>
      </c>
      <c r="C941" t="s">
        <v>6803</v>
      </c>
      <c r="D941" t="s">
        <v>4150</v>
      </c>
      <c r="E941" t="s">
        <v>12</v>
      </c>
      <c r="F941" t="s">
        <v>5734</v>
      </c>
      <c r="G941" s="1" t="s">
        <v>5730</v>
      </c>
      <c r="H941" s="1" t="s">
        <v>1856</v>
      </c>
    </row>
    <row r="942" spans="1:8" hidden="1" x14ac:dyDescent="0.3">
      <c r="A942" t="s">
        <v>6804</v>
      </c>
      <c r="B942" t="s">
        <v>6804</v>
      </c>
      <c r="C942" t="s">
        <v>570</v>
      </c>
      <c r="D942" t="s">
        <v>4150</v>
      </c>
      <c r="E942" t="s">
        <v>12</v>
      </c>
      <c r="F942" t="s">
        <v>5729</v>
      </c>
      <c r="G942" s="1" t="s">
        <v>5730</v>
      </c>
      <c r="H942" s="1" t="s">
        <v>1874</v>
      </c>
    </row>
    <row r="943" spans="1:8" hidden="1" x14ac:dyDescent="0.3">
      <c r="A943" t="s">
        <v>6805</v>
      </c>
      <c r="B943" t="s">
        <v>6805</v>
      </c>
      <c r="C943" t="s">
        <v>636</v>
      </c>
      <c r="D943" t="s">
        <v>4150</v>
      </c>
      <c r="E943" t="s">
        <v>12</v>
      </c>
      <c r="F943" t="s">
        <v>5729</v>
      </c>
      <c r="G943" s="1" t="s">
        <v>5730</v>
      </c>
      <c r="H943" s="1" t="s">
        <v>1927</v>
      </c>
    </row>
    <row r="944" spans="1:8" hidden="1" x14ac:dyDescent="0.3">
      <c r="A944" t="s">
        <v>6806</v>
      </c>
      <c r="B944" t="s">
        <v>6806</v>
      </c>
      <c r="C944" t="s">
        <v>702</v>
      </c>
      <c r="D944" t="s">
        <v>4150</v>
      </c>
      <c r="E944" t="s">
        <v>12</v>
      </c>
      <c r="F944" t="s">
        <v>5734</v>
      </c>
      <c r="G944" s="1" t="s">
        <v>5730</v>
      </c>
      <c r="H944" s="1" t="s">
        <v>1856</v>
      </c>
    </row>
    <row r="945" spans="1:8" hidden="1" x14ac:dyDescent="0.3">
      <c r="A945" t="s">
        <v>6807</v>
      </c>
      <c r="B945" t="s">
        <v>6807</v>
      </c>
      <c r="C945" t="s">
        <v>767</v>
      </c>
      <c r="D945" t="s">
        <v>4150</v>
      </c>
      <c r="E945" t="s">
        <v>12</v>
      </c>
      <c r="F945" t="s">
        <v>5729</v>
      </c>
      <c r="G945" s="1" t="s">
        <v>5730</v>
      </c>
      <c r="H945" s="1" t="s">
        <v>1893</v>
      </c>
    </row>
    <row r="946" spans="1:8" hidden="1" x14ac:dyDescent="0.3">
      <c r="A946" t="s">
        <v>6808</v>
      </c>
      <c r="B946" t="s">
        <v>6808</v>
      </c>
      <c r="C946" t="s">
        <v>4169</v>
      </c>
      <c r="D946" t="s">
        <v>4150</v>
      </c>
      <c r="E946" t="s">
        <v>12</v>
      </c>
      <c r="F946" t="s">
        <v>5729</v>
      </c>
      <c r="G946" s="1" t="s">
        <v>5730</v>
      </c>
      <c r="H946" s="1" t="s">
        <v>1874</v>
      </c>
    </row>
    <row r="947" spans="1:8" hidden="1" x14ac:dyDescent="0.3">
      <c r="A947" t="s">
        <v>6809</v>
      </c>
      <c r="B947" t="s">
        <v>6809</v>
      </c>
      <c r="C947" t="s">
        <v>880</v>
      </c>
      <c r="D947" t="s">
        <v>4150</v>
      </c>
      <c r="E947" t="s">
        <v>12</v>
      </c>
      <c r="F947" t="s">
        <v>5729</v>
      </c>
      <c r="G947" s="1" t="s">
        <v>5730</v>
      </c>
      <c r="H947" s="1" t="s">
        <v>1927</v>
      </c>
    </row>
    <row r="948" spans="1:8" hidden="1" x14ac:dyDescent="0.3">
      <c r="A948" t="s">
        <v>6810</v>
      </c>
      <c r="B948" t="s">
        <v>6810</v>
      </c>
      <c r="C948" t="s">
        <v>985</v>
      </c>
      <c r="D948" t="s">
        <v>4150</v>
      </c>
      <c r="E948" t="s">
        <v>12</v>
      </c>
      <c r="F948" t="s">
        <v>5729</v>
      </c>
      <c r="G948" s="1" t="s">
        <v>5730</v>
      </c>
      <c r="H948" s="1" t="s">
        <v>1923</v>
      </c>
    </row>
    <row r="949" spans="1:8" hidden="1" x14ac:dyDescent="0.3">
      <c r="A949" t="s">
        <v>6811</v>
      </c>
      <c r="B949" t="s">
        <v>6811</v>
      </c>
      <c r="C949" t="s">
        <v>1035</v>
      </c>
      <c r="D949" t="s">
        <v>4150</v>
      </c>
      <c r="E949" t="s">
        <v>12</v>
      </c>
      <c r="F949" t="s">
        <v>5729</v>
      </c>
      <c r="G949" s="1" t="s">
        <v>5730</v>
      </c>
      <c r="H949" s="1" t="s">
        <v>1856</v>
      </c>
    </row>
    <row r="950" spans="1:8" hidden="1" x14ac:dyDescent="0.3">
      <c r="A950" t="s">
        <v>6812</v>
      </c>
      <c r="B950" t="s">
        <v>6812</v>
      </c>
      <c r="C950" t="s">
        <v>1079</v>
      </c>
      <c r="D950" t="s">
        <v>4150</v>
      </c>
      <c r="E950" t="s">
        <v>12</v>
      </c>
      <c r="F950" t="s">
        <v>5729</v>
      </c>
      <c r="G950" s="1" t="s">
        <v>5730</v>
      </c>
      <c r="H950" s="1" t="s">
        <v>1874</v>
      </c>
    </row>
    <row r="951" spans="1:8" hidden="1" x14ac:dyDescent="0.3">
      <c r="A951" t="s">
        <v>6813</v>
      </c>
      <c r="B951" t="s">
        <v>6813</v>
      </c>
      <c r="C951" t="s">
        <v>1114</v>
      </c>
      <c r="D951" t="s">
        <v>4150</v>
      </c>
      <c r="E951" t="s">
        <v>12</v>
      </c>
      <c r="F951" t="s">
        <v>5729</v>
      </c>
      <c r="G951" s="1" t="s">
        <v>5730</v>
      </c>
      <c r="H951" s="1" t="s">
        <v>1874</v>
      </c>
    </row>
    <row r="952" spans="1:8" hidden="1" x14ac:dyDescent="0.3">
      <c r="A952" t="s">
        <v>6814</v>
      </c>
      <c r="B952" t="s">
        <v>6814</v>
      </c>
      <c r="C952" t="s">
        <v>656</v>
      </c>
      <c r="D952" t="s">
        <v>4150</v>
      </c>
      <c r="E952" t="s">
        <v>12</v>
      </c>
      <c r="F952" t="s">
        <v>5734</v>
      </c>
      <c r="G952" s="1" t="s">
        <v>5730</v>
      </c>
      <c r="H952" s="1" t="s">
        <v>1893</v>
      </c>
    </row>
    <row r="953" spans="1:8" hidden="1" x14ac:dyDescent="0.3">
      <c r="A953" t="s">
        <v>6815</v>
      </c>
      <c r="B953" t="s">
        <v>6815</v>
      </c>
      <c r="C953" t="s">
        <v>2618</v>
      </c>
      <c r="D953" t="s">
        <v>4150</v>
      </c>
      <c r="E953" t="s">
        <v>12</v>
      </c>
      <c r="F953" t="s">
        <v>5734</v>
      </c>
      <c r="G953" s="1" t="s">
        <v>5730</v>
      </c>
      <c r="H953" s="1" t="s">
        <v>1893</v>
      </c>
    </row>
    <row r="954" spans="1:8" hidden="1" x14ac:dyDescent="0.3">
      <c r="A954" t="s">
        <v>6816</v>
      </c>
      <c r="B954" t="s">
        <v>6816</v>
      </c>
      <c r="C954" t="s">
        <v>1916</v>
      </c>
      <c r="D954" t="s">
        <v>4150</v>
      </c>
      <c r="E954" t="s">
        <v>12</v>
      </c>
      <c r="F954" t="s">
        <v>5781</v>
      </c>
      <c r="G954" s="1" t="s">
        <v>5730</v>
      </c>
      <c r="H954" s="1" t="s">
        <v>1874</v>
      </c>
    </row>
    <row r="955" spans="1:8" hidden="1" x14ac:dyDescent="0.3">
      <c r="A955" t="s">
        <v>6817</v>
      </c>
      <c r="B955" t="s">
        <v>6817</v>
      </c>
      <c r="C955" t="s">
        <v>1828</v>
      </c>
      <c r="D955" t="s">
        <v>4150</v>
      </c>
      <c r="E955" t="s">
        <v>12</v>
      </c>
      <c r="F955" t="s">
        <v>5781</v>
      </c>
      <c r="G955" s="1" t="s">
        <v>5730</v>
      </c>
      <c r="H955" s="1" t="s">
        <v>1923</v>
      </c>
    </row>
    <row r="956" spans="1:8" hidden="1" x14ac:dyDescent="0.3">
      <c r="A956" t="s">
        <v>6818</v>
      </c>
      <c r="B956" t="s">
        <v>6818</v>
      </c>
      <c r="C956" t="s">
        <v>4190</v>
      </c>
      <c r="D956" t="s">
        <v>4150</v>
      </c>
      <c r="E956" t="s">
        <v>12</v>
      </c>
      <c r="F956" t="s">
        <v>5729</v>
      </c>
      <c r="G956" s="1" t="s">
        <v>5730</v>
      </c>
      <c r="H956" s="1" t="s">
        <v>1927</v>
      </c>
    </row>
    <row r="957" spans="1:8" hidden="1" x14ac:dyDescent="0.3">
      <c r="A957" t="s">
        <v>6819</v>
      </c>
      <c r="B957" t="s">
        <v>6819</v>
      </c>
      <c r="C957" t="s">
        <v>2089</v>
      </c>
      <c r="D957" t="s">
        <v>4150</v>
      </c>
      <c r="E957" t="s">
        <v>12</v>
      </c>
      <c r="F957" t="s">
        <v>5729</v>
      </c>
      <c r="G957" s="1" t="s">
        <v>5730</v>
      </c>
      <c r="H957" s="1" t="s">
        <v>1893</v>
      </c>
    </row>
    <row r="958" spans="1:8" hidden="1" x14ac:dyDescent="0.3">
      <c r="A958" t="s">
        <v>6820</v>
      </c>
      <c r="B958" t="s">
        <v>6820</v>
      </c>
      <c r="C958" t="s">
        <v>4195</v>
      </c>
      <c r="D958" t="s">
        <v>4150</v>
      </c>
      <c r="E958" t="s">
        <v>12</v>
      </c>
      <c r="F958" t="s">
        <v>5729</v>
      </c>
      <c r="G958" s="1" t="s">
        <v>5730</v>
      </c>
      <c r="H958" s="1" t="s">
        <v>1927</v>
      </c>
    </row>
    <row r="959" spans="1:8" hidden="1" x14ac:dyDescent="0.3">
      <c r="A959" t="s">
        <v>6821</v>
      </c>
      <c r="B959" t="s">
        <v>6821</v>
      </c>
      <c r="C959" t="s">
        <v>1064</v>
      </c>
      <c r="D959" t="s">
        <v>4150</v>
      </c>
      <c r="E959" t="s">
        <v>12</v>
      </c>
      <c r="F959" t="s">
        <v>5734</v>
      </c>
      <c r="G959" s="1" t="s">
        <v>5730</v>
      </c>
      <c r="H959" s="1" t="s">
        <v>1923</v>
      </c>
    </row>
    <row r="960" spans="1:8" hidden="1" x14ac:dyDescent="0.3">
      <c r="A960" t="s">
        <v>6822</v>
      </c>
      <c r="B960" t="s">
        <v>6822</v>
      </c>
      <c r="C960" t="s">
        <v>6823</v>
      </c>
      <c r="D960" t="s">
        <v>4150</v>
      </c>
      <c r="E960" t="s">
        <v>12</v>
      </c>
      <c r="F960" t="s">
        <v>5729</v>
      </c>
      <c r="G960" s="1" t="s">
        <v>5730</v>
      </c>
      <c r="H960" s="1" t="s">
        <v>1927</v>
      </c>
    </row>
    <row r="961" spans="1:8" hidden="1" x14ac:dyDescent="0.3">
      <c r="A961" t="s">
        <v>6824</v>
      </c>
      <c r="B961" t="s">
        <v>6824</v>
      </c>
      <c r="C961" t="s">
        <v>210</v>
      </c>
      <c r="D961" t="s">
        <v>6825</v>
      </c>
      <c r="E961" t="s">
        <v>12</v>
      </c>
      <c r="F961" t="s">
        <v>5729</v>
      </c>
      <c r="G961" s="1" t="s">
        <v>5730</v>
      </c>
      <c r="H961" s="1" t="s">
        <v>1893</v>
      </c>
    </row>
    <row r="962" spans="1:8" hidden="1" x14ac:dyDescent="0.3">
      <c r="A962" t="s">
        <v>6826</v>
      </c>
      <c r="B962" t="s">
        <v>6826</v>
      </c>
      <c r="C962" t="s">
        <v>282</v>
      </c>
      <c r="D962" t="s">
        <v>6825</v>
      </c>
      <c r="E962" t="s">
        <v>12</v>
      </c>
      <c r="F962" t="s">
        <v>5734</v>
      </c>
      <c r="G962" s="1" t="s">
        <v>5730</v>
      </c>
      <c r="H962" s="1" t="s">
        <v>1856</v>
      </c>
    </row>
    <row r="963" spans="1:8" hidden="1" x14ac:dyDescent="0.3">
      <c r="A963" t="s">
        <v>6827</v>
      </c>
      <c r="B963" t="s">
        <v>6827</v>
      </c>
      <c r="C963" t="s">
        <v>6828</v>
      </c>
      <c r="D963" t="s">
        <v>6825</v>
      </c>
      <c r="E963" t="s">
        <v>12</v>
      </c>
      <c r="F963" t="s">
        <v>5781</v>
      </c>
      <c r="G963" s="1" t="s">
        <v>1961</v>
      </c>
      <c r="H963" s="1" t="s">
        <v>1856</v>
      </c>
    </row>
    <row r="964" spans="1:8" hidden="1" x14ac:dyDescent="0.3">
      <c r="A964" t="s">
        <v>6829</v>
      </c>
      <c r="B964" t="s">
        <v>6829</v>
      </c>
      <c r="C964" t="s">
        <v>355</v>
      </c>
      <c r="D964" t="s">
        <v>6825</v>
      </c>
      <c r="E964" t="s">
        <v>12</v>
      </c>
      <c r="F964" t="s">
        <v>5734</v>
      </c>
      <c r="G964" s="1" t="s">
        <v>5730</v>
      </c>
      <c r="H964" s="1" t="s">
        <v>1874</v>
      </c>
    </row>
    <row r="965" spans="1:8" hidden="1" x14ac:dyDescent="0.3">
      <c r="A965" t="s">
        <v>6830</v>
      </c>
      <c r="B965" t="s">
        <v>6830</v>
      </c>
      <c r="C965" t="s">
        <v>6831</v>
      </c>
      <c r="D965" t="s">
        <v>6825</v>
      </c>
      <c r="E965" t="s">
        <v>12</v>
      </c>
      <c r="F965" t="s">
        <v>5781</v>
      </c>
      <c r="G965" s="1" t="s">
        <v>1961</v>
      </c>
      <c r="H965" s="1" t="s">
        <v>1927</v>
      </c>
    </row>
    <row r="966" spans="1:8" hidden="1" x14ac:dyDescent="0.3">
      <c r="A966" t="s">
        <v>6832</v>
      </c>
      <c r="B966" t="s">
        <v>6832</v>
      </c>
      <c r="C966" t="s">
        <v>571</v>
      </c>
      <c r="D966" t="s">
        <v>6825</v>
      </c>
      <c r="E966" t="s">
        <v>12</v>
      </c>
      <c r="F966" t="s">
        <v>5729</v>
      </c>
      <c r="G966" s="1" t="s">
        <v>5730</v>
      </c>
      <c r="H966" s="1" t="s">
        <v>1874</v>
      </c>
    </row>
    <row r="967" spans="1:8" hidden="1" x14ac:dyDescent="0.3">
      <c r="A967" t="s">
        <v>6833</v>
      </c>
      <c r="B967" t="s">
        <v>6833</v>
      </c>
      <c r="C967" t="s">
        <v>637</v>
      </c>
      <c r="D967" t="s">
        <v>6825</v>
      </c>
      <c r="E967" t="s">
        <v>12</v>
      </c>
      <c r="F967" t="s">
        <v>5729</v>
      </c>
      <c r="G967" s="1" t="s">
        <v>5730</v>
      </c>
      <c r="H967" s="1" t="s">
        <v>1856</v>
      </c>
    </row>
    <row r="968" spans="1:8" hidden="1" x14ac:dyDescent="0.3">
      <c r="A968" t="s">
        <v>6834</v>
      </c>
      <c r="B968" t="s">
        <v>6834</v>
      </c>
      <c r="C968" t="s">
        <v>703</v>
      </c>
      <c r="D968" t="s">
        <v>6825</v>
      </c>
      <c r="E968" t="s">
        <v>12</v>
      </c>
      <c r="F968" t="s">
        <v>5729</v>
      </c>
      <c r="G968" s="1" t="s">
        <v>5730</v>
      </c>
      <c r="H968" s="1" t="s">
        <v>1874</v>
      </c>
    </row>
    <row r="969" spans="1:8" hidden="1" x14ac:dyDescent="0.3">
      <c r="A969" t="s">
        <v>6835</v>
      </c>
      <c r="B969" t="s">
        <v>6835</v>
      </c>
      <c r="C969" t="s">
        <v>768</v>
      </c>
      <c r="D969" t="s">
        <v>6825</v>
      </c>
      <c r="E969" t="s">
        <v>12</v>
      </c>
      <c r="F969" t="s">
        <v>5729</v>
      </c>
      <c r="G969" s="1" t="s">
        <v>5730</v>
      </c>
      <c r="H969" s="1" t="s">
        <v>1923</v>
      </c>
    </row>
    <row r="970" spans="1:8" hidden="1" x14ac:dyDescent="0.3">
      <c r="A970" t="s">
        <v>6836</v>
      </c>
      <c r="B970" t="s">
        <v>6836</v>
      </c>
      <c r="C970" t="s">
        <v>827</v>
      </c>
      <c r="D970" t="s">
        <v>6825</v>
      </c>
      <c r="E970" t="s">
        <v>12</v>
      </c>
      <c r="F970" t="s">
        <v>5729</v>
      </c>
      <c r="G970" s="1" t="s">
        <v>5730</v>
      </c>
      <c r="H970" s="1" t="s">
        <v>1923</v>
      </c>
    </row>
    <row r="971" spans="1:8" hidden="1" x14ac:dyDescent="0.3">
      <c r="A971" t="s">
        <v>6837</v>
      </c>
      <c r="B971" t="s">
        <v>6837</v>
      </c>
      <c r="C971" t="s">
        <v>881</v>
      </c>
      <c r="D971" t="s">
        <v>6825</v>
      </c>
      <c r="E971" t="s">
        <v>12</v>
      </c>
      <c r="F971" t="s">
        <v>5729</v>
      </c>
      <c r="G971" s="1" t="s">
        <v>5730</v>
      </c>
      <c r="H971" s="1" t="s">
        <v>1923</v>
      </c>
    </row>
    <row r="972" spans="1:8" hidden="1" x14ac:dyDescent="0.3">
      <c r="A972" t="s">
        <v>6838</v>
      </c>
      <c r="B972" t="s">
        <v>6838</v>
      </c>
      <c r="C972" t="s">
        <v>939</v>
      </c>
      <c r="D972" t="s">
        <v>6825</v>
      </c>
      <c r="E972" t="s">
        <v>12</v>
      </c>
      <c r="F972" t="s">
        <v>5729</v>
      </c>
      <c r="G972" s="1" t="s">
        <v>5730</v>
      </c>
      <c r="H972" s="1" t="s">
        <v>1923</v>
      </c>
    </row>
    <row r="973" spans="1:8" hidden="1" x14ac:dyDescent="0.3">
      <c r="A973" t="s">
        <v>6839</v>
      </c>
      <c r="B973" t="s">
        <v>6839</v>
      </c>
      <c r="C973" t="s">
        <v>1080</v>
      </c>
      <c r="D973" t="s">
        <v>6825</v>
      </c>
      <c r="E973" t="s">
        <v>12</v>
      </c>
      <c r="F973" t="s">
        <v>5729</v>
      </c>
      <c r="G973" s="1" t="s">
        <v>5730</v>
      </c>
      <c r="H973" s="1" t="s">
        <v>1927</v>
      </c>
    </row>
    <row r="974" spans="1:8" hidden="1" x14ac:dyDescent="0.3">
      <c r="A974" t="s">
        <v>6840</v>
      </c>
      <c r="B974" t="s">
        <v>6840</v>
      </c>
      <c r="C974" t="s">
        <v>6841</v>
      </c>
      <c r="D974" t="s">
        <v>6825</v>
      </c>
      <c r="E974" t="s">
        <v>12</v>
      </c>
      <c r="F974" t="s">
        <v>5729</v>
      </c>
      <c r="G974" s="1" t="s">
        <v>5730</v>
      </c>
      <c r="H974" s="1" t="s">
        <v>1927</v>
      </c>
    </row>
    <row r="975" spans="1:8" hidden="1" x14ac:dyDescent="0.3">
      <c r="A975" t="s">
        <v>6842</v>
      </c>
      <c r="B975" t="s">
        <v>6842</v>
      </c>
      <c r="C975" t="s">
        <v>4234</v>
      </c>
      <c r="D975" t="s">
        <v>6825</v>
      </c>
      <c r="E975" t="s">
        <v>12</v>
      </c>
      <c r="F975" t="s">
        <v>5729</v>
      </c>
      <c r="G975" s="1" t="s">
        <v>5730</v>
      </c>
      <c r="H975" s="1" t="s">
        <v>1893</v>
      </c>
    </row>
    <row r="976" spans="1:8" hidden="1" x14ac:dyDescent="0.3">
      <c r="A976" t="s">
        <v>6843</v>
      </c>
      <c r="B976" t="s">
        <v>6843</v>
      </c>
      <c r="C976" t="s">
        <v>4237</v>
      </c>
      <c r="D976" t="s">
        <v>6825</v>
      </c>
      <c r="E976" t="s">
        <v>12</v>
      </c>
      <c r="F976" t="s">
        <v>5729</v>
      </c>
      <c r="G976" s="1" t="s">
        <v>5730</v>
      </c>
      <c r="H976" s="1" t="s">
        <v>1927</v>
      </c>
    </row>
    <row r="977" spans="1:8" hidden="1" x14ac:dyDescent="0.3">
      <c r="A977" t="s">
        <v>6844</v>
      </c>
      <c r="B977" t="s">
        <v>6844</v>
      </c>
      <c r="C977" t="s">
        <v>2680</v>
      </c>
      <c r="D977" t="s">
        <v>6825</v>
      </c>
      <c r="E977" t="s">
        <v>12</v>
      </c>
      <c r="F977" t="s">
        <v>5729</v>
      </c>
      <c r="G977" s="1" t="s">
        <v>5730</v>
      </c>
      <c r="H977" s="1" t="s">
        <v>1856</v>
      </c>
    </row>
    <row r="978" spans="1:8" hidden="1" x14ac:dyDescent="0.3">
      <c r="A978" t="s">
        <v>6845</v>
      </c>
      <c r="B978" t="s">
        <v>6845</v>
      </c>
      <c r="C978" t="s">
        <v>6846</v>
      </c>
      <c r="D978" t="s">
        <v>6825</v>
      </c>
      <c r="E978" t="s">
        <v>12</v>
      </c>
      <c r="F978" t="s">
        <v>5729</v>
      </c>
      <c r="G978" s="1" t="s">
        <v>5730</v>
      </c>
      <c r="H978" s="1" t="s">
        <v>1893</v>
      </c>
    </row>
    <row r="979" spans="1:8" hidden="1" x14ac:dyDescent="0.3">
      <c r="A979" t="s">
        <v>6847</v>
      </c>
      <c r="B979" t="s">
        <v>6847</v>
      </c>
      <c r="C979" t="s">
        <v>1303</v>
      </c>
      <c r="D979" t="s">
        <v>6825</v>
      </c>
      <c r="E979" t="s">
        <v>12</v>
      </c>
      <c r="F979" t="s">
        <v>5729</v>
      </c>
      <c r="G979" s="1" t="s">
        <v>5730</v>
      </c>
      <c r="H979" s="1" t="s">
        <v>1893</v>
      </c>
    </row>
    <row r="980" spans="1:8" hidden="1" x14ac:dyDescent="0.3">
      <c r="A980" t="s">
        <v>6848</v>
      </c>
      <c r="B980" t="s">
        <v>6848</v>
      </c>
      <c r="C980" t="s">
        <v>1318</v>
      </c>
      <c r="D980" t="s">
        <v>6825</v>
      </c>
      <c r="E980" t="s">
        <v>12</v>
      </c>
      <c r="F980" t="s">
        <v>5729</v>
      </c>
      <c r="G980" s="1" t="s">
        <v>5730</v>
      </c>
      <c r="H980" s="1" t="s">
        <v>1927</v>
      </c>
    </row>
    <row r="981" spans="1:8" hidden="1" x14ac:dyDescent="0.3">
      <c r="A981" t="s">
        <v>6849</v>
      </c>
      <c r="B981" t="s">
        <v>6849</v>
      </c>
      <c r="C981" t="s">
        <v>1336</v>
      </c>
      <c r="D981" t="s">
        <v>6825</v>
      </c>
      <c r="E981" t="s">
        <v>12</v>
      </c>
      <c r="F981" t="s">
        <v>5729</v>
      </c>
      <c r="G981" s="1" t="s">
        <v>5730</v>
      </c>
      <c r="H981" s="1" t="s">
        <v>1927</v>
      </c>
    </row>
    <row r="982" spans="1:8" hidden="1" x14ac:dyDescent="0.3">
      <c r="A982" t="s">
        <v>6850</v>
      </c>
      <c r="B982" t="s">
        <v>6850</v>
      </c>
      <c r="C982" t="s">
        <v>6851</v>
      </c>
      <c r="D982" t="s">
        <v>6825</v>
      </c>
      <c r="E982" t="s">
        <v>12</v>
      </c>
      <c r="F982" t="s">
        <v>5729</v>
      </c>
      <c r="G982" s="1" t="s">
        <v>5730</v>
      </c>
      <c r="H982" s="1" t="s">
        <v>1856</v>
      </c>
    </row>
    <row r="983" spans="1:8" hidden="1" x14ac:dyDescent="0.3">
      <c r="A983" t="s">
        <v>6852</v>
      </c>
      <c r="B983" t="s">
        <v>6852</v>
      </c>
      <c r="C983" t="s">
        <v>1349</v>
      </c>
      <c r="D983" t="s">
        <v>6825</v>
      </c>
      <c r="E983" t="s">
        <v>12</v>
      </c>
      <c r="F983" t="s">
        <v>5729</v>
      </c>
      <c r="G983" s="1" t="s">
        <v>5730</v>
      </c>
      <c r="H983" s="1" t="s">
        <v>1923</v>
      </c>
    </row>
    <row r="984" spans="1:8" hidden="1" x14ac:dyDescent="0.3">
      <c r="A984" t="s">
        <v>6853</v>
      </c>
      <c r="B984" t="s">
        <v>6853</v>
      </c>
      <c r="C984" t="s">
        <v>6854</v>
      </c>
      <c r="D984" t="s">
        <v>6825</v>
      </c>
      <c r="E984" t="s">
        <v>12</v>
      </c>
      <c r="F984" t="s">
        <v>5729</v>
      </c>
      <c r="G984" s="1" t="s">
        <v>5730</v>
      </c>
      <c r="H984" s="1" t="s">
        <v>1893</v>
      </c>
    </row>
    <row r="985" spans="1:8" hidden="1" x14ac:dyDescent="0.3">
      <c r="A985" t="s">
        <v>6855</v>
      </c>
      <c r="B985" t="s">
        <v>6855</v>
      </c>
      <c r="C985" t="s">
        <v>4257</v>
      </c>
      <c r="D985" t="s">
        <v>6825</v>
      </c>
      <c r="E985" t="s">
        <v>12</v>
      </c>
      <c r="F985" t="s">
        <v>5729</v>
      </c>
      <c r="G985" s="1" t="s">
        <v>5730</v>
      </c>
      <c r="H985" s="1" t="s">
        <v>1927</v>
      </c>
    </row>
    <row r="986" spans="1:8" hidden="1" x14ac:dyDescent="0.3">
      <c r="A986" t="s">
        <v>6856</v>
      </c>
      <c r="B986" t="s">
        <v>6856</v>
      </c>
      <c r="C986" t="s">
        <v>986</v>
      </c>
      <c r="D986" t="s">
        <v>6825</v>
      </c>
      <c r="E986" t="s">
        <v>12</v>
      </c>
      <c r="F986" t="s">
        <v>5729</v>
      </c>
      <c r="G986" s="1" t="s">
        <v>5730</v>
      </c>
      <c r="H986" s="1" t="s">
        <v>1893</v>
      </c>
    </row>
    <row r="987" spans="1:8" hidden="1" x14ac:dyDescent="0.3">
      <c r="A987" t="s">
        <v>6857</v>
      </c>
      <c r="B987" t="s">
        <v>6857</v>
      </c>
      <c r="C987" t="s">
        <v>211</v>
      </c>
      <c r="D987" t="s">
        <v>4262</v>
      </c>
      <c r="E987" t="s">
        <v>12</v>
      </c>
      <c r="F987" t="s">
        <v>5729</v>
      </c>
      <c r="G987" s="1" t="s">
        <v>5730</v>
      </c>
      <c r="H987" s="1" t="s">
        <v>1893</v>
      </c>
    </row>
    <row r="988" spans="1:8" hidden="1" x14ac:dyDescent="0.3">
      <c r="A988" t="s">
        <v>6858</v>
      </c>
      <c r="B988" t="s">
        <v>6858</v>
      </c>
      <c r="C988" t="s">
        <v>283</v>
      </c>
      <c r="D988" t="s">
        <v>4262</v>
      </c>
      <c r="E988" t="s">
        <v>12</v>
      </c>
      <c r="F988" t="s">
        <v>5729</v>
      </c>
      <c r="G988" s="1" t="s">
        <v>5730</v>
      </c>
      <c r="H988" s="1" t="s">
        <v>1927</v>
      </c>
    </row>
    <row r="989" spans="1:8" hidden="1" x14ac:dyDescent="0.3">
      <c r="A989" t="s">
        <v>6859</v>
      </c>
      <c r="B989" t="s">
        <v>6859</v>
      </c>
      <c r="C989" t="s">
        <v>427</v>
      </c>
      <c r="D989" t="s">
        <v>4262</v>
      </c>
      <c r="E989" t="s">
        <v>12</v>
      </c>
      <c r="F989" t="s">
        <v>5729</v>
      </c>
      <c r="G989" s="1" t="s">
        <v>5730</v>
      </c>
      <c r="H989" s="1" t="s">
        <v>1874</v>
      </c>
    </row>
    <row r="990" spans="1:8" hidden="1" x14ac:dyDescent="0.3">
      <c r="A990" t="s">
        <v>6860</v>
      </c>
      <c r="B990" t="s">
        <v>6860</v>
      </c>
      <c r="C990" t="s">
        <v>502</v>
      </c>
      <c r="D990" t="s">
        <v>4262</v>
      </c>
      <c r="E990" t="s">
        <v>12</v>
      </c>
      <c r="F990" t="s">
        <v>5729</v>
      </c>
      <c r="G990" s="1" t="s">
        <v>5730</v>
      </c>
      <c r="H990" s="1" t="s">
        <v>1923</v>
      </c>
    </row>
    <row r="991" spans="1:8" hidden="1" x14ac:dyDescent="0.3">
      <c r="A991" t="s">
        <v>6861</v>
      </c>
      <c r="B991" t="s">
        <v>6861</v>
      </c>
      <c r="C991" t="s">
        <v>572</v>
      </c>
      <c r="D991" t="s">
        <v>4262</v>
      </c>
      <c r="E991" t="s">
        <v>12</v>
      </c>
      <c r="F991" t="s">
        <v>5729</v>
      </c>
      <c r="G991" s="1" t="s">
        <v>5730</v>
      </c>
      <c r="H991" s="1" t="s">
        <v>1923</v>
      </c>
    </row>
    <row r="992" spans="1:8" hidden="1" x14ac:dyDescent="0.3">
      <c r="A992" t="s">
        <v>6862</v>
      </c>
      <c r="B992" t="s">
        <v>6862</v>
      </c>
      <c r="C992" t="s">
        <v>638</v>
      </c>
      <c r="D992" t="s">
        <v>4262</v>
      </c>
      <c r="E992" t="s">
        <v>12</v>
      </c>
      <c r="F992" t="s">
        <v>5729</v>
      </c>
      <c r="G992" s="1" t="s">
        <v>5730</v>
      </c>
      <c r="H992" s="1" t="s">
        <v>1927</v>
      </c>
    </row>
    <row r="993" spans="1:8" hidden="1" x14ac:dyDescent="0.3">
      <c r="A993" t="s">
        <v>6863</v>
      </c>
      <c r="B993" t="s">
        <v>6863</v>
      </c>
      <c r="C993" t="s">
        <v>6864</v>
      </c>
      <c r="D993" t="s">
        <v>4262</v>
      </c>
      <c r="E993" t="s">
        <v>12</v>
      </c>
      <c r="F993" t="s">
        <v>5734</v>
      </c>
      <c r="G993" s="1" t="s">
        <v>1961</v>
      </c>
      <c r="H993" s="1" t="s">
        <v>1927</v>
      </c>
    </row>
    <row r="994" spans="1:8" hidden="1" x14ac:dyDescent="0.3">
      <c r="A994" t="s">
        <v>6865</v>
      </c>
      <c r="B994" t="s">
        <v>6865</v>
      </c>
      <c r="C994" t="s">
        <v>769</v>
      </c>
      <c r="D994" t="s">
        <v>4262</v>
      </c>
      <c r="E994" t="s">
        <v>12</v>
      </c>
      <c r="F994" t="s">
        <v>5729</v>
      </c>
      <c r="G994" s="1" t="s">
        <v>5730</v>
      </c>
      <c r="H994" s="1" t="s">
        <v>1927</v>
      </c>
    </row>
    <row r="995" spans="1:8" hidden="1" x14ac:dyDescent="0.3">
      <c r="A995" t="s">
        <v>6866</v>
      </c>
      <c r="B995" t="s">
        <v>6866</v>
      </c>
      <c r="C995" t="s">
        <v>828</v>
      </c>
      <c r="D995" t="s">
        <v>4262</v>
      </c>
      <c r="E995" t="s">
        <v>12</v>
      </c>
      <c r="F995" t="s">
        <v>5729</v>
      </c>
      <c r="G995" s="1" t="s">
        <v>5730</v>
      </c>
      <c r="H995" s="1" t="s">
        <v>1923</v>
      </c>
    </row>
    <row r="996" spans="1:8" hidden="1" x14ac:dyDescent="0.3">
      <c r="A996" t="s">
        <v>6867</v>
      </c>
      <c r="B996" t="s">
        <v>6867</v>
      </c>
      <c r="C996" t="s">
        <v>3023</v>
      </c>
      <c r="D996" t="s">
        <v>4262</v>
      </c>
      <c r="E996" t="s">
        <v>12</v>
      </c>
      <c r="F996" t="s">
        <v>5729</v>
      </c>
      <c r="G996" s="1" t="s">
        <v>5730</v>
      </c>
      <c r="H996" s="1" t="s">
        <v>1893</v>
      </c>
    </row>
    <row r="997" spans="1:8" hidden="1" x14ac:dyDescent="0.3">
      <c r="A997" t="s">
        <v>6868</v>
      </c>
      <c r="B997" t="s">
        <v>6868</v>
      </c>
      <c r="C997" t="s">
        <v>940</v>
      </c>
      <c r="D997" t="s">
        <v>4262</v>
      </c>
      <c r="E997" t="s">
        <v>12</v>
      </c>
      <c r="F997" t="s">
        <v>5729</v>
      </c>
      <c r="G997" s="1" t="s">
        <v>5730</v>
      </c>
      <c r="H997" s="1" t="s">
        <v>1893</v>
      </c>
    </row>
    <row r="998" spans="1:8" hidden="1" x14ac:dyDescent="0.3">
      <c r="A998" t="s">
        <v>6869</v>
      </c>
      <c r="B998" t="s">
        <v>6869</v>
      </c>
      <c r="C998" t="s">
        <v>4286</v>
      </c>
      <c r="D998" t="s">
        <v>4262</v>
      </c>
      <c r="E998" t="s">
        <v>12</v>
      </c>
      <c r="F998" t="s">
        <v>5729</v>
      </c>
      <c r="G998" s="1" t="s">
        <v>5730</v>
      </c>
      <c r="H998" s="1" t="s">
        <v>1927</v>
      </c>
    </row>
    <row r="999" spans="1:8" hidden="1" x14ac:dyDescent="0.3">
      <c r="A999" t="s">
        <v>6870</v>
      </c>
      <c r="B999" t="s">
        <v>6870</v>
      </c>
      <c r="C999" t="s">
        <v>6672</v>
      </c>
      <c r="D999" t="s">
        <v>4262</v>
      </c>
      <c r="E999" t="s">
        <v>12</v>
      </c>
      <c r="F999" t="s">
        <v>5781</v>
      </c>
      <c r="G999" s="1" t="s">
        <v>5730</v>
      </c>
      <c r="H999" s="1" t="s">
        <v>1923</v>
      </c>
    </row>
    <row r="1000" spans="1:8" hidden="1" x14ac:dyDescent="0.3">
      <c r="A1000" t="s">
        <v>6871</v>
      </c>
      <c r="B1000" t="s">
        <v>6871</v>
      </c>
      <c r="C1000" t="s">
        <v>6872</v>
      </c>
      <c r="D1000" t="s">
        <v>4262</v>
      </c>
      <c r="E1000" t="s">
        <v>12</v>
      </c>
      <c r="F1000" t="s">
        <v>5729</v>
      </c>
      <c r="G1000" s="1" t="s">
        <v>5730</v>
      </c>
      <c r="H1000" s="1" t="s">
        <v>1923</v>
      </c>
    </row>
    <row r="1001" spans="1:8" hidden="1" x14ac:dyDescent="0.3">
      <c r="A1001" t="s">
        <v>6873</v>
      </c>
      <c r="B1001" t="s">
        <v>6873</v>
      </c>
      <c r="C1001" t="s">
        <v>4294</v>
      </c>
      <c r="D1001" t="s">
        <v>4262</v>
      </c>
      <c r="E1001" t="s">
        <v>12</v>
      </c>
      <c r="F1001" t="s">
        <v>5729</v>
      </c>
      <c r="G1001" s="1" t="s">
        <v>5730</v>
      </c>
      <c r="H1001" s="1" t="s">
        <v>1893</v>
      </c>
    </row>
    <row r="1002" spans="1:8" hidden="1" x14ac:dyDescent="0.3">
      <c r="A1002" t="s">
        <v>6874</v>
      </c>
      <c r="B1002" t="s">
        <v>6874</v>
      </c>
      <c r="C1002" t="s">
        <v>1153</v>
      </c>
      <c r="D1002" t="s">
        <v>4262</v>
      </c>
      <c r="E1002" t="s">
        <v>12</v>
      </c>
      <c r="F1002" t="s">
        <v>5729</v>
      </c>
      <c r="G1002" s="1" t="s">
        <v>5730</v>
      </c>
      <c r="H1002" s="1" t="s">
        <v>1923</v>
      </c>
    </row>
    <row r="1003" spans="1:8" hidden="1" x14ac:dyDescent="0.3">
      <c r="A1003" t="s">
        <v>6875</v>
      </c>
      <c r="B1003" t="s">
        <v>6875</v>
      </c>
      <c r="C1003" t="s">
        <v>1183</v>
      </c>
      <c r="D1003" t="s">
        <v>4262</v>
      </c>
      <c r="E1003" t="s">
        <v>12</v>
      </c>
      <c r="F1003" t="s">
        <v>5729</v>
      </c>
      <c r="G1003" s="1" t="s">
        <v>5730</v>
      </c>
      <c r="H1003" s="1" t="s">
        <v>1856</v>
      </c>
    </row>
    <row r="1004" spans="1:8" hidden="1" x14ac:dyDescent="0.3">
      <c r="A1004" t="s">
        <v>6876</v>
      </c>
      <c r="B1004" t="s">
        <v>6876</v>
      </c>
      <c r="C1004" t="s">
        <v>4301</v>
      </c>
      <c r="D1004" t="s">
        <v>4262</v>
      </c>
      <c r="E1004" t="s">
        <v>12</v>
      </c>
      <c r="F1004" t="s">
        <v>5729</v>
      </c>
      <c r="G1004" s="1" t="s">
        <v>5730</v>
      </c>
      <c r="H1004" s="1" t="s">
        <v>1923</v>
      </c>
    </row>
    <row r="1005" spans="1:8" hidden="1" x14ac:dyDescent="0.3">
      <c r="A1005" t="s">
        <v>6877</v>
      </c>
      <c r="B1005" t="s">
        <v>6877</v>
      </c>
      <c r="C1005" t="s">
        <v>704</v>
      </c>
      <c r="D1005" t="s">
        <v>4262</v>
      </c>
      <c r="E1005" t="s">
        <v>12</v>
      </c>
      <c r="F1005" t="s">
        <v>5729</v>
      </c>
      <c r="G1005" s="1" t="s">
        <v>5730</v>
      </c>
      <c r="H1005" s="1" t="s">
        <v>1893</v>
      </c>
    </row>
    <row r="1006" spans="1:8" hidden="1" x14ac:dyDescent="0.3">
      <c r="A1006" t="s">
        <v>6878</v>
      </c>
      <c r="B1006" t="s">
        <v>6878</v>
      </c>
      <c r="C1006" t="s">
        <v>212</v>
      </c>
      <c r="D1006" t="s">
        <v>88</v>
      </c>
      <c r="E1006" t="s">
        <v>12</v>
      </c>
      <c r="F1006" t="s">
        <v>5729</v>
      </c>
      <c r="G1006" s="1" t="s">
        <v>5730</v>
      </c>
      <c r="H1006" s="1" t="s">
        <v>1923</v>
      </c>
    </row>
    <row r="1007" spans="1:8" hidden="1" x14ac:dyDescent="0.3">
      <c r="A1007" t="s">
        <v>6879</v>
      </c>
      <c r="B1007" t="s">
        <v>6879</v>
      </c>
      <c r="C1007" t="s">
        <v>88</v>
      </c>
      <c r="D1007" t="s">
        <v>88</v>
      </c>
      <c r="E1007" t="s">
        <v>12</v>
      </c>
      <c r="F1007" t="s">
        <v>5729</v>
      </c>
      <c r="G1007" s="1" t="s">
        <v>5730</v>
      </c>
      <c r="H1007" s="1" t="s">
        <v>1923</v>
      </c>
    </row>
    <row r="1008" spans="1:8" hidden="1" x14ac:dyDescent="0.3">
      <c r="A1008" t="s">
        <v>6880</v>
      </c>
      <c r="B1008" t="s">
        <v>6880</v>
      </c>
      <c r="C1008" t="s">
        <v>357</v>
      </c>
      <c r="D1008" t="s">
        <v>88</v>
      </c>
      <c r="E1008" t="s">
        <v>12</v>
      </c>
      <c r="F1008" t="s">
        <v>5729</v>
      </c>
      <c r="G1008" s="1" t="s">
        <v>5730</v>
      </c>
      <c r="H1008" s="1" t="s">
        <v>1923</v>
      </c>
    </row>
    <row r="1009" spans="1:8" hidden="1" x14ac:dyDescent="0.3">
      <c r="A1009" t="s">
        <v>6881</v>
      </c>
      <c r="B1009" t="s">
        <v>6881</v>
      </c>
      <c r="C1009" t="s">
        <v>428</v>
      </c>
      <c r="D1009" t="s">
        <v>88</v>
      </c>
      <c r="E1009" t="s">
        <v>12</v>
      </c>
      <c r="F1009" t="s">
        <v>5729</v>
      </c>
      <c r="G1009" s="1" t="s">
        <v>5730</v>
      </c>
      <c r="H1009" s="1" t="s">
        <v>1923</v>
      </c>
    </row>
    <row r="1010" spans="1:8" hidden="1" x14ac:dyDescent="0.3">
      <c r="A1010" t="s">
        <v>6882</v>
      </c>
      <c r="B1010" t="s">
        <v>6882</v>
      </c>
      <c r="C1010" t="s">
        <v>503</v>
      </c>
      <c r="D1010" t="s">
        <v>88</v>
      </c>
      <c r="E1010" t="s">
        <v>12</v>
      </c>
      <c r="F1010" t="s">
        <v>5729</v>
      </c>
      <c r="G1010" s="1" t="s">
        <v>5730</v>
      </c>
      <c r="H1010" s="1" t="s">
        <v>1923</v>
      </c>
    </row>
    <row r="1011" spans="1:8" hidden="1" x14ac:dyDescent="0.3">
      <c r="A1011" t="s">
        <v>6883</v>
      </c>
      <c r="B1011" t="s">
        <v>6883</v>
      </c>
      <c r="C1011" t="s">
        <v>573</v>
      </c>
      <c r="D1011" t="s">
        <v>88</v>
      </c>
      <c r="E1011" t="s">
        <v>12</v>
      </c>
      <c r="F1011" t="s">
        <v>5729</v>
      </c>
      <c r="G1011" s="1" t="s">
        <v>5730</v>
      </c>
      <c r="H1011" s="1" t="s">
        <v>1923</v>
      </c>
    </row>
    <row r="1012" spans="1:8" hidden="1" x14ac:dyDescent="0.3">
      <c r="A1012" t="s">
        <v>6884</v>
      </c>
      <c r="B1012" t="s">
        <v>6884</v>
      </c>
      <c r="C1012" t="s">
        <v>639</v>
      </c>
      <c r="D1012" t="s">
        <v>88</v>
      </c>
      <c r="E1012" t="s">
        <v>12</v>
      </c>
      <c r="F1012" t="s">
        <v>5729</v>
      </c>
      <c r="G1012" s="1" t="s">
        <v>5730</v>
      </c>
      <c r="H1012" s="1" t="s">
        <v>1893</v>
      </c>
    </row>
    <row r="1013" spans="1:8" hidden="1" x14ac:dyDescent="0.3">
      <c r="A1013" t="s">
        <v>6885</v>
      </c>
      <c r="B1013" t="s">
        <v>6885</v>
      </c>
      <c r="C1013" t="s">
        <v>6886</v>
      </c>
      <c r="D1013" t="s">
        <v>88</v>
      </c>
      <c r="E1013" t="s">
        <v>12</v>
      </c>
      <c r="F1013" t="s">
        <v>5734</v>
      </c>
      <c r="G1013" s="1" t="s">
        <v>5730</v>
      </c>
      <c r="H1013" s="1" t="s">
        <v>1856</v>
      </c>
    </row>
    <row r="1014" spans="1:8" hidden="1" x14ac:dyDescent="0.3">
      <c r="A1014" t="s">
        <v>6887</v>
      </c>
      <c r="B1014" t="s">
        <v>6887</v>
      </c>
      <c r="C1014" t="s">
        <v>6888</v>
      </c>
      <c r="D1014" t="s">
        <v>4326</v>
      </c>
      <c r="E1014" t="s">
        <v>13</v>
      </c>
      <c r="F1014" t="s">
        <v>5734</v>
      </c>
      <c r="G1014" s="1" t="s">
        <v>1961</v>
      </c>
      <c r="H1014" s="1" t="s">
        <v>1874</v>
      </c>
    </row>
    <row r="1015" spans="1:8" hidden="1" x14ac:dyDescent="0.3">
      <c r="A1015" t="s">
        <v>6889</v>
      </c>
      <c r="B1015" t="s">
        <v>6889</v>
      </c>
      <c r="C1015" t="s">
        <v>6890</v>
      </c>
      <c r="D1015" t="s">
        <v>4326</v>
      </c>
      <c r="E1015" t="s">
        <v>13</v>
      </c>
      <c r="F1015" t="s">
        <v>5747</v>
      </c>
      <c r="G1015" s="1" t="s">
        <v>1961</v>
      </c>
      <c r="H1015" s="1" t="s">
        <v>1874</v>
      </c>
    </row>
    <row r="1016" spans="1:8" hidden="1" x14ac:dyDescent="0.3">
      <c r="A1016" t="s">
        <v>6891</v>
      </c>
      <c r="B1016" t="s">
        <v>6891</v>
      </c>
      <c r="C1016" t="s">
        <v>706</v>
      </c>
      <c r="D1016" t="s">
        <v>4326</v>
      </c>
      <c r="E1016" t="s">
        <v>13</v>
      </c>
      <c r="F1016" t="s">
        <v>5729</v>
      </c>
      <c r="G1016" s="1" t="s">
        <v>5730</v>
      </c>
      <c r="H1016" s="1" t="s">
        <v>1856</v>
      </c>
    </row>
    <row r="1017" spans="1:8" hidden="1" x14ac:dyDescent="0.3">
      <c r="A1017" t="s">
        <v>6892</v>
      </c>
      <c r="B1017" t="s">
        <v>6892</v>
      </c>
      <c r="C1017" t="s">
        <v>1824</v>
      </c>
      <c r="D1017" t="s">
        <v>4326</v>
      </c>
      <c r="E1017" t="s">
        <v>13</v>
      </c>
      <c r="F1017" t="s">
        <v>5729</v>
      </c>
      <c r="G1017" s="1" t="s">
        <v>5730</v>
      </c>
      <c r="H1017" s="1" t="s">
        <v>1893</v>
      </c>
    </row>
    <row r="1018" spans="1:8" hidden="1" x14ac:dyDescent="0.3">
      <c r="A1018" t="s">
        <v>6893</v>
      </c>
      <c r="B1018" t="s">
        <v>6893</v>
      </c>
      <c r="C1018" t="s">
        <v>829</v>
      </c>
      <c r="D1018" t="s">
        <v>4326</v>
      </c>
      <c r="E1018" t="s">
        <v>13</v>
      </c>
      <c r="F1018" t="s">
        <v>5729</v>
      </c>
      <c r="G1018" s="1" t="s">
        <v>5730</v>
      </c>
      <c r="H1018" s="1" t="s">
        <v>1874</v>
      </c>
    </row>
    <row r="1019" spans="1:8" hidden="1" x14ac:dyDescent="0.3">
      <c r="A1019" t="s">
        <v>6894</v>
      </c>
      <c r="B1019" t="s">
        <v>6894</v>
      </c>
      <c r="C1019" t="s">
        <v>941</v>
      </c>
      <c r="D1019" t="s">
        <v>4326</v>
      </c>
      <c r="E1019" t="s">
        <v>13</v>
      </c>
      <c r="F1019" t="s">
        <v>5729</v>
      </c>
      <c r="G1019" s="1" t="s">
        <v>5730</v>
      </c>
      <c r="H1019" s="1" t="s">
        <v>1874</v>
      </c>
    </row>
    <row r="1020" spans="1:8" hidden="1" x14ac:dyDescent="0.3">
      <c r="A1020" t="s">
        <v>6895</v>
      </c>
      <c r="B1020" t="s">
        <v>6895</v>
      </c>
      <c r="C1020" t="s">
        <v>988</v>
      </c>
      <c r="D1020" t="s">
        <v>4326</v>
      </c>
      <c r="E1020" t="s">
        <v>13</v>
      </c>
      <c r="F1020" t="s">
        <v>5729</v>
      </c>
      <c r="G1020" s="1" t="s">
        <v>5730</v>
      </c>
      <c r="H1020" s="1" t="s">
        <v>1856</v>
      </c>
    </row>
    <row r="1021" spans="1:8" hidden="1" x14ac:dyDescent="0.3">
      <c r="A1021" t="s">
        <v>6896</v>
      </c>
      <c r="B1021" t="s">
        <v>6896</v>
      </c>
      <c r="C1021" t="s">
        <v>1037</v>
      </c>
      <c r="D1021" t="s">
        <v>4326</v>
      </c>
      <c r="E1021" t="s">
        <v>13</v>
      </c>
      <c r="F1021" t="s">
        <v>5729</v>
      </c>
      <c r="G1021" s="1" t="s">
        <v>5730</v>
      </c>
      <c r="H1021" s="1" t="s">
        <v>1923</v>
      </c>
    </row>
    <row r="1022" spans="1:8" hidden="1" x14ac:dyDescent="0.3">
      <c r="A1022" t="s">
        <v>6897</v>
      </c>
      <c r="B1022" t="s">
        <v>6897</v>
      </c>
      <c r="C1022" t="s">
        <v>1081</v>
      </c>
      <c r="D1022" t="s">
        <v>4326</v>
      </c>
      <c r="E1022" t="s">
        <v>13</v>
      </c>
      <c r="F1022" t="s">
        <v>5729</v>
      </c>
      <c r="G1022" s="1" t="s">
        <v>5730</v>
      </c>
      <c r="H1022" s="1" t="s">
        <v>1927</v>
      </c>
    </row>
    <row r="1023" spans="1:8" hidden="1" x14ac:dyDescent="0.3">
      <c r="A1023" t="s">
        <v>6898</v>
      </c>
      <c r="B1023" t="s">
        <v>6898</v>
      </c>
      <c r="C1023" t="s">
        <v>1117</v>
      </c>
      <c r="D1023" t="s">
        <v>4326</v>
      </c>
      <c r="E1023" t="s">
        <v>13</v>
      </c>
      <c r="F1023" t="s">
        <v>5729</v>
      </c>
      <c r="G1023" s="1" t="s">
        <v>5730</v>
      </c>
      <c r="H1023" s="1" t="s">
        <v>1856</v>
      </c>
    </row>
    <row r="1024" spans="1:8" hidden="1" x14ac:dyDescent="0.3">
      <c r="A1024" t="s">
        <v>6899</v>
      </c>
      <c r="B1024" t="s">
        <v>6899</v>
      </c>
      <c r="C1024" t="s">
        <v>6900</v>
      </c>
      <c r="D1024" t="s">
        <v>4326</v>
      </c>
      <c r="E1024" t="s">
        <v>13</v>
      </c>
      <c r="F1024" t="s">
        <v>5729</v>
      </c>
      <c r="G1024" s="1" t="s">
        <v>5730</v>
      </c>
      <c r="H1024" s="1" t="s">
        <v>1856</v>
      </c>
    </row>
    <row r="1025" spans="1:8" hidden="1" x14ac:dyDescent="0.3">
      <c r="A1025" t="s">
        <v>6901</v>
      </c>
      <c r="B1025" t="s">
        <v>6901</v>
      </c>
      <c r="C1025" t="s">
        <v>145</v>
      </c>
      <c r="D1025" t="s">
        <v>4326</v>
      </c>
      <c r="E1025" t="s">
        <v>13</v>
      </c>
      <c r="F1025" t="s">
        <v>5734</v>
      </c>
      <c r="G1025" s="1" t="s">
        <v>5730</v>
      </c>
      <c r="H1025" s="1" t="s">
        <v>1923</v>
      </c>
    </row>
    <row r="1026" spans="1:8" hidden="1" x14ac:dyDescent="0.3">
      <c r="A1026" t="s">
        <v>6902</v>
      </c>
      <c r="B1026" t="s">
        <v>6902</v>
      </c>
      <c r="C1026" t="s">
        <v>1214</v>
      </c>
      <c r="D1026" t="s">
        <v>4326</v>
      </c>
      <c r="E1026" t="s">
        <v>13</v>
      </c>
      <c r="F1026" t="s">
        <v>5729</v>
      </c>
      <c r="G1026" s="1" t="s">
        <v>5730</v>
      </c>
      <c r="H1026" s="1" t="s">
        <v>1874</v>
      </c>
    </row>
    <row r="1027" spans="1:8" hidden="1" x14ac:dyDescent="0.3">
      <c r="A1027" t="s">
        <v>6903</v>
      </c>
      <c r="B1027" t="s">
        <v>6903</v>
      </c>
      <c r="C1027" t="s">
        <v>4357</v>
      </c>
      <c r="D1027" t="s">
        <v>4326</v>
      </c>
      <c r="E1027" t="s">
        <v>13</v>
      </c>
      <c r="F1027" t="s">
        <v>5729</v>
      </c>
      <c r="G1027" s="1" t="s">
        <v>5730</v>
      </c>
      <c r="H1027" s="1" t="s">
        <v>1856</v>
      </c>
    </row>
    <row r="1028" spans="1:8" hidden="1" x14ac:dyDescent="0.3">
      <c r="A1028" t="s">
        <v>6904</v>
      </c>
      <c r="B1028" t="s">
        <v>6904</v>
      </c>
      <c r="C1028" t="s">
        <v>1262</v>
      </c>
      <c r="D1028" t="s">
        <v>4326</v>
      </c>
      <c r="E1028" t="s">
        <v>13</v>
      </c>
      <c r="F1028" t="s">
        <v>5729</v>
      </c>
      <c r="G1028" s="1" t="s">
        <v>5730</v>
      </c>
      <c r="H1028" s="1" t="s">
        <v>1856</v>
      </c>
    </row>
    <row r="1029" spans="1:8" hidden="1" x14ac:dyDescent="0.3">
      <c r="A1029" t="s">
        <v>6905</v>
      </c>
      <c r="B1029" t="s">
        <v>6905</v>
      </c>
      <c r="C1029" t="s">
        <v>1283</v>
      </c>
      <c r="D1029" t="s">
        <v>4326</v>
      </c>
      <c r="E1029" t="s">
        <v>13</v>
      </c>
      <c r="F1029" t="s">
        <v>5729</v>
      </c>
      <c r="G1029" s="1" t="s">
        <v>5730</v>
      </c>
      <c r="H1029" s="1" t="s">
        <v>1856</v>
      </c>
    </row>
    <row r="1030" spans="1:8" hidden="1" x14ac:dyDescent="0.3">
      <c r="A1030" t="s">
        <v>6906</v>
      </c>
      <c r="B1030" t="s">
        <v>6906</v>
      </c>
      <c r="C1030" t="s">
        <v>1304</v>
      </c>
      <c r="D1030" t="s">
        <v>4326</v>
      </c>
      <c r="E1030" t="s">
        <v>13</v>
      </c>
      <c r="F1030" t="s">
        <v>5729</v>
      </c>
      <c r="G1030" s="1" t="s">
        <v>5730</v>
      </c>
      <c r="H1030" s="1" t="s">
        <v>1923</v>
      </c>
    </row>
    <row r="1031" spans="1:8" hidden="1" x14ac:dyDescent="0.3">
      <c r="A1031" t="s">
        <v>6907</v>
      </c>
      <c r="B1031" t="s">
        <v>6907</v>
      </c>
      <c r="C1031" t="s">
        <v>1319</v>
      </c>
      <c r="D1031" t="s">
        <v>4326</v>
      </c>
      <c r="E1031" t="s">
        <v>13</v>
      </c>
      <c r="F1031" t="s">
        <v>5734</v>
      </c>
      <c r="G1031" s="1" t="s">
        <v>5730</v>
      </c>
      <c r="H1031" s="1" t="s">
        <v>1856</v>
      </c>
    </row>
    <row r="1032" spans="1:8" hidden="1" x14ac:dyDescent="0.3">
      <c r="A1032" t="s">
        <v>6908</v>
      </c>
      <c r="B1032" t="s">
        <v>6908</v>
      </c>
      <c r="C1032" t="s">
        <v>1337</v>
      </c>
      <c r="D1032" t="s">
        <v>4326</v>
      </c>
      <c r="E1032" t="s">
        <v>13</v>
      </c>
      <c r="F1032" t="s">
        <v>5729</v>
      </c>
      <c r="G1032" s="1" t="s">
        <v>5730</v>
      </c>
      <c r="H1032" s="1" t="s">
        <v>1856</v>
      </c>
    </row>
    <row r="1033" spans="1:8" hidden="1" x14ac:dyDescent="0.3">
      <c r="A1033" t="s">
        <v>6909</v>
      </c>
      <c r="B1033" t="s">
        <v>6909</v>
      </c>
      <c r="C1033" t="s">
        <v>1350</v>
      </c>
      <c r="D1033" t="s">
        <v>4326</v>
      </c>
      <c r="E1033" t="s">
        <v>13</v>
      </c>
      <c r="F1033" t="s">
        <v>5729</v>
      </c>
      <c r="G1033" s="1" t="s">
        <v>5730</v>
      </c>
      <c r="H1033" s="1" t="s">
        <v>1874</v>
      </c>
    </row>
    <row r="1034" spans="1:8" hidden="1" x14ac:dyDescent="0.3">
      <c r="A1034" t="s">
        <v>6910</v>
      </c>
      <c r="B1034" t="s">
        <v>6910</v>
      </c>
      <c r="C1034" t="s">
        <v>1363</v>
      </c>
      <c r="D1034" t="s">
        <v>4326</v>
      </c>
      <c r="E1034" t="s">
        <v>13</v>
      </c>
      <c r="F1034" t="s">
        <v>5729</v>
      </c>
      <c r="G1034" s="1" t="s">
        <v>5730</v>
      </c>
      <c r="H1034" s="1" t="s">
        <v>1927</v>
      </c>
    </row>
    <row r="1035" spans="1:8" hidden="1" x14ac:dyDescent="0.3">
      <c r="A1035" t="s">
        <v>6911</v>
      </c>
      <c r="B1035" t="s">
        <v>6911</v>
      </c>
      <c r="C1035" t="s">
        <v>4374</v>
      </c>
      <c r="D1035" t="s">
        <v>4326</v>
      </c>
      <c r="E1035" t="s">
        <v>13</v>
      </c>
      <c r="F1035" t="s">
        <v>5729</v>
      </c>
      <c r="G1035" s="1" t="s">
        <v>5730</v>
      </c>
      <c r="H1035" s="1" t="s">
        <v>1927</v>
      </c>
    </row>
    <row r="1036" spans="1:8" hidden="1" x14ac:dyDescent="0.3">
      <c r="A1036" t="s">
        <v>6912</v>
      </c>
      <c r="B1036" t="s">
        <v>6912</v>
      </c>
      <c r="C1036" t="s">
        <v>504</v>
      </c>
      <c r="D1036" t="s">
        <v>4326</v>
      </c>
      <c r="E1036" t="s">
        <v>13</v>
      </c>
      <c r="F1036" t="s">
        <v>5729</v>
      </c>
      <c r="G1036" s="1" t="s">
        <v>5730</v>
      </c>
      <c r="H1036" s="1" t="s">
        <v>1856</v>
      </c>
    </row>
    <row r="1037" spans="1:8" hidden="1" x14ac:dyDescent="0.3">
      <c r="A1037" t="s">
        <v>6913</v>
      </c>
      <c r="B1037" t="s">
        <v>6913</v>
      </c>
      <c r="C1037" t="s">
        <v>213</v>
      </c>
      <c r="D1037" t="s">
        <v>4326</v>
      </c>
      <c r="E1037" t="s">
        <v>13</v>
      </c>
      <c r="F1037" t="s">
        <v>5729</v>
      </c>
      <c r="G1037" s="1" t="s">
        <v>5730</v>
      </c>
      <c r="H1037" s="1" t="s">
        <v>1856</v>
      </c>
    </row>
    <row r="1038" spans="1:8" hidden="1" x14ac:dyDescent="0.3">
      <c r="A1038" t="s">
        <v>6914</v>
      </c>
      <c r="B1038" t="s">
        <v>6914</v>
      </c>
      <c r="C1038" t="s">
        <v>429</v>
      </c>
      <c r="D1038" t="s">
        <v>4326</v>
      </c>
      <c r="E1038" t="s">
        <v>13</v>
      </c>
      <c r="F1038" t="s">
        <v>5729</v>
      </c>
      <c r="G1038" s="1" t="s">
        <v>5730</v>
      </c>
      <c r="H1038" s="1" t="s">
        <v>1927</v>
      </c>
    </row>
    <row r="1039" spans="1:8" hidden="1" x14ac:dyDescent="0.3">
      <c r="A1039" t="s">
        <v>6915</v>
      </c>
      <c r="B1039" t="s">
        <v>6915</v>
      </c>
      <c r="C1039" t="s">
        <v>6916</v>
      </c>
      <c r="D1039" t="s">
        <v>4326</v>
      </c>
      <c r="E1039" t="s">
        <v>13</v>
      </c>
      <c r="F1039" t="s">
        <v>5729</v>
      </c>
      <c r="G1039" s="1" t="s">
        <v>5730</v>
      </c>
      <c r="H1039" s="1" t="s">
        <v>1874</v>
      </c>
    </row>
    <row r="1040" spans="1:8" hidden="1" x14ac:dyDescent="0.3">
      <c r="A1040" t="s">
        <v>6917</v>
      </c>
      <c r="B1040" t="s">
        <v>6917</v>
      </c>
      <c r="C1040" t="s">
        <v>640</v>
      </c>
      <c r="D1040" t="s">
        <v>4326</v>
      </c>
      <c r="E1040" t="s">
        <v>13</v>
      </c>
      <c r="F1040" t="s">
        <v>5729</v>
      </c>
      <c r="G1040" s="1" t="s">
        <v>5730</v>
      </c>
      <c r="H1040" s="1" t="s">
        <v>1927</v>
      </c>
    </row>
    <row r="1041" spans="1:8" hidden="1" x14ac:dyDescent="0.3">
      <c r="A1041" t="s">
        <v>6918</v>
      </c>
      <c r="B1041" t="s">
        <v>6918</v>
      </c>
      <c r="C1041" t="s">
        <v>81</v>
      </c>
      <c r="D1041" t="s">
        <v>4390</v>
      </c>
      <c r="E1041" t="s">
        <v>13</v>
      </c>
      <c r="F1041" t="s">
        <v>5781</v>
      </c>
      <c r="G1041" s="1" t="s">
        <v>5730</v>
      </c>
      <c r="H1041" s="1" t="s">
        <v>1856</v>
      </c>
    </row>
    <row r="1042" spans="1:8" hidden="1" x14ac:dyDescent="0.3">
      <c r="A1042" t="s">
        <v>6919</v>
      </c>
      <c r="B1042" t="s">
        <v>6919</v>
      </c>
      <c r="C1042" t="s">
        <v>285</v>
      </c>
      <c r="D1042" t="s">
        <v>4390</v>
      </c>
      <c r="E1042" t="s">
        <v>13</v>
      </c>
      <c r="F1042" t="s">
        <v>5729</v>
      </c>
      <c r="G1042" s="1" t="s">
        <v>5730</v>
      </c>
      <c r="H1042" s="1" t="s">
        <v>1856</v>
      </c>
    </row>
    <row r="1043" spans="1:8" hidden="1" x14ac:dyDescent="0.3">
      <c r="A1043" t="s">
        <v>6920</v>
      </c>
      <c r="B1043" t="s">
        <v>6920</v>
      </c>
      <c r="C1043" t="s">
        <v>505</v>
      </c>
      <c r="D1043" t="s">
        <v>4390</v>
      </c>
      <c r="E1043" t="s">
        <v>13</v>
      </c>
      <c r="F1043" t="s">
        <v>5729</v>
      </c>
      <c r="G1043" s="1" t="s">
        <v>5730</v>
      </c>
      <c r="H1043" s="1" t="s">
        <v>1927</v>
      </c>
    </row>
    <row r="1044" spans="1:8" hidden="1" x14ac:dyDescent="0.3">
      <c r="A1044" t="s">
        <v>6921</v>
      </c>
      <c r="B1044" t="s">
        <v>6921</v>
      </c>
      <c r="C1044" t="s">
        <v>575</v>
      </c>
      <c r="D1044" t="s">
        <v>4390</v>
      </c>
      <c r="E1044" t="s">
        <v>13</v>
      </c>
      <c r="F1044" t="s">
        <v>5729</v>
      </c>
      <c r="G1044" s="1" t="s">
        <v>5730</v>
      </c>
      <c r="H1044" s="1" t="s">
        <v>1874</v>
      </c>
    </row>
    <row r="1045" spans="1:8" hidden="1" x14ac:dyDescent="0.3">
      <c r="A1045" t="s">
        <v>6922</v>
      </c>
      <c r="B1045" t="s">
        <v>6922</v>
      </c>
      <c r="C1045" t="s">
        <v>641</v>
      </c>
      <c r="D1045" t="s">
        <v>4390</v>
      </c>
      <c r="E1045" t="s">
        <v>13</v>
      </c>
      <c r="F1045" t="s">
        <v>5729</v>
      </c>
      <c r="G1045" s="1" t="s">
        <v>5730</v>
      </c>
      <c r="H1045" s="1" t="s">
        <v>1874</v>
      </c>
    </row>
    <row r="1046" spans="1:8" hidden="1" x14ac:dyDescent="0.3">
      <c r="A1046" t="s">
        <v>6923</v>
      </c>
      <c r="B1046" t="s">
        <v>6923</v>
      </c>
      <c r="C1046" t="s">
        <v>707</v>
      </c>
      <c r="D1046" t="s">
        <v>4390</v>
      </c>
      <c r="E1046" t="s">
        <v>13</v>
      </c>
      <c r="F1046" t="s">
        <v>5729</v>
      </c>
      <c r="G1046" s="1" t="s">
        <v>5730</v>
      </c>
      <c r="H1046" s="1" t="s">
        <v>1856</v>
      </c>
    </row>
    <row r="1047" spans="1:8" hidden="1" x14ac:dyDescent="0.3">
      <c r="A1047" t="s">
        <v>6924</v>
      </c>
      <c r="B1047" t="s">
        <v>6924</v>
      </c>
      <c r="C1047" t="s">
        <v>884</v>
      </c>
      <c r="D1047" t="s">
        <v>4390</v>
      </c>
      <c r="E1047" t="s">
        <v>13</v>
      </c>
      <c r="F1047" t="s">
        <v>5729</v>
      </c>
      <c r="G1047" s="1" t="s">
        <v>5730</v>
      </c>
      <c r="H1047" s="1" t="s">
        <v>1874</v>
      </c>
    </row>
    <row r="1048" spans="1:8" hidden="1" x14ac:dyDescent="0.3">
      <c r="A1048" t="s">
        <v>6925</v>
      </c>
      <c r="B1048" t="s">
        <v>6925</v>
      </c>
      <c r="C1048" t="s">
        <v>942</v>
      </c>
      <c r="D1048" t="s">
        <v>4390</v>
      </c>
      <c r="E1048" t="s">
        <v>13</v>
      </c>
      <c r="F1048" t="s">
        <v>5729</v>
      </c>
      <c r="G1048" s="1" t="s">
        <v>5730</v>
      </c>
      <c r="H1048" s="1" t="s">
        <v>1874</v>
      </c>
    </row>
    <row r="1049" spans="1:8" hidden="1" x14ac:dyDescent="0.3">
      <c r="A1049" t="s">
        <v>6926</v>
      </c>
      <c r="B1049" t="s">
        <v>6926</v>
      </c>
      <c r="C1049" t="s">
        <v>1038</v>
      </c>
      <c r="D1049" t="s">
        <v>4390</v>
      </c>
      <c r="E1049" t="s">
        <v>13</v>
      </c>
      <c r="F1049" t="s">
        <v>5729</v>
      </c>
      <c r="G1049" s="1" t="s">
        <v>5730</v>
      </c>
      <c r="H1049" s="1" t="s">
        <v>1874</v>
      </c>
    </row>
    <row r="1050" spans="1:8" hidden="1" x14ac:dyDescent="0.3">
      <c r="A1050" t="s">
        <v>6927</v>
      </c>
      <c r="B1050" t="s">
        <v>6927</v>
      </c>
      <c r="C1050" t="s">
        <v>1082</v>
      </c>
      <c r="D1050" t="s">
        <v>4390</v>
      </c>
      <c r="E1050" t="s">
        <v>13</v>
      </c>
      <c r="F1050" t="s">
        <v>5729</v>
      </c>
      <c r="G1050" s="1" t="s">
        <v>5730</v>
      </c>
      <c r="H1050" s="1" t="s">
        <v>1856</v>
      </c>
    </row>
    <row r="1051" spans="1:8" hidden="1" x14ac:dyDescent="0.3">
      <c r="A1051" t="s">
        <v>6928</v>
      </c>
      <c r="B1051" t="s">
        <v>6928</v>
      </c>
      <c r="C1051" t="s">
        <v>1118</v>
      </c>
      <c r="D1051" t="s">
        <v>4390</v>
      </c>
      <c r="E1051" t="s">
        <v>13</v>
      </c>
      <c r="F1051" t="s">
        <v>5729</v>
      </c>
      <c r="G1051" s="1" t="s">
        <v>5730</v>
      </c>
      <c r="H1051" s="1" t="s">
        <v>1874</v>
      </c>
    </row>
    <row r="1052" spans="1:8" hidden="1" x14ac:dyDescent="0.3">
      <c r="A1052" t="s">
        <v>6929</v>
      </c>
      <c r="B1052" t="s">
        <v>6929</v>
      </c>
      <c r="C1052" t="s">
        <v>1155</v>
      </c>
      <c r="D1052" t="s">
        <v>4390</v>
      </c>
      <c r="E1052" t="s">
        <v>13</v>
      </c>
      <c r="F1052" t="s">
        <v>5729</v>
      </c>
      <c r="G1052" s="1" t="s">
        <v>5730</v>
      </c>
      <c r="H1052" s="1" t="s">
        <v>1874</v>
      </c>
    </row>
    <row r="1053" spans="1:8" hidden="1" x14ac:dyDescent="0.3">
      <c r="A1053" t="s">
        <v>6930</v>
      </c>
      <c r="B1053" t="s">
        <v>6930</v>
      </c>
      <c r="C1053" t="s">
        <v>1184</v>
      </c>
      <c r="D1053" t="s">
        <v>4390</v>
      </c>
      <c r="E1053" t="s">
        <v>13</v>
      </c>
      <c r="F1053" t="s">
        <v>5734</v>
      </c>
      <c r="G1053" s="1" t="s">
        <v>5730</v>
      </c>
      <c r="H1053" s="1" t="s">
        <v>1856</v>
      </c>
    </row>
    <row r="1054" spans="1:8" hidden="1" x14ac:dyDescent="0.3">
      <c r="A1054" t="s">
        <v>6931</v>
      </c>
      <c r="B1054" t="s">
        <v>6931</v>
      </c>
      <c r="C1054" t="s">
        <v>6932</v>
      </c>
      <c r="D1054" t="s">
        <v>4390</v>
      </c>
      <c r="E1054" t="s">
        <v>13</v>
      </c>
      <c r="F1054" t="s">
        <v>5747</v>
      </c>
      <c r="G1054" s="1" t="s">
        <v>1961</v>
      </c>
      <c r="H1054" s="1" t="s">
        <v>1856</v>
      </c>
    </row>
    <row r="1055" spans="1:8" hidden="1" x14ac:dyDescent="0.3">
      <c r="A1055" t="s">
        <v>6933</v>
      </c>
      <c r="B1055" t="s">
        <v>6933</v>
      </c>
      <c r="C1055" t="s">
        <v>4420</v>
      </c>
      <c r="D1055" t="s">
        <v>4390</v>
      </c>
      <c r="E1055" t="s">
        <v>13</v>
      </c>
      <c r="F1055" t="s">
        <v>5729</v>
      </c>
      <c r="G1055" s="1" t="s">
        <v>5730</v>
      </c>
      <c r="H1055" s="1" t="s">
        <v>1927</v>
      </c>
    </row>
    <row r="1056" spans="1:8" hidden="1" x14ac:dyDescent="0.3">
      <c r="A1056" t="s">
        <v>6934</v>
      </c>
      <c r="B1056" t="s">
        <v>6934</v>
      </c>
      <c r="C1056" t="s">
        <v>6935</v>
      </c>
      <c r="D1056" t="s">
        <v>4390</v>
      </c>
      <c r="E1056" t="s">
        <v>13</v>
      </c>
      <c r="F1056" t="s">
        <v>5781</v>
      </c>
      <c r="G1056" s="1" t="s">
        <v>5730</v>
      </c>
      <c r="H1056" s="1" t="s">
        <v>1927</v>
      </c>
    </row>
    <row r="1057" spans="1:8" hidden="1" x14ac:dyDescent="0.3">
      <c r="A1057" t="s">
        <v>6936</v>
      </c>
      <c r="B1057" t="s">
        <v>6936</v>
      </c>
      <c r="C1057" t="s">
        <v>2422</v>
      </c>
      <c r="D1057" t="s">
        <v>4390</v>
      </c>
      <c r="E1057" t="s">
        <v>13</v>
      </c>
      <c r="F1057" t="s">
        <v>5729</v>
      </c>
      <c r="G1057" s="1" t="s">
        <v>5730</v>
      </c>
      <c r="H1057" s="1" t="s">
        <v>1927</v>
      </c>
    </row>
    <row r="1058" spans="1:8" hidden="1" x14ac:dyDescent="0.3">
      <c r="A1058" t="s">
        <v>6937</v>
      </c>
      <c r="B1058" t="s">
        <v>6937</v>
      </c>
      <c r="C1058" t="s">
        <v>1320</v>
      </c>
      <c r="D1058" t="s">
        <v>4390</v>
      </c>
      <c r="E1058" t="s">
        <v>13</v>
      </c>
      <c r="F1058" t="s">
        <v>5729</v>
      </c>
      <c r="G1058" s="1" t="s">
        <v>5730</v>
      </c>
      <c r="H1058" s="1" t="s">
        <v>1927</v>
      </c>
    </row>
    <row r="1059" spans="1:8" hidden="1" x14ac:dyDescent="0.3">
      <c r="A1059" t="s">
        <v>6938</v>
      </c>
      <c r="B1059" t="s">
        <v>6938</v>
      </c>
      <c r="C1059" t="s">
        <v>1338</v>
      </c>
      <c r="D1059" t="s">
        <v>4390</v>
      </c>
      <c r="E1059" t="s">
        <v>13</v>
      </c>
      <c r="F1059" t="s">
        <v>5729</v>
      </c>
      <c r="G1059" s="1" t="s">
        <v>5730</v>
      </c>
      <c r="H1059" s="1" t="s">
        <v>1874</v>
      </c>
    </row>
    <row r="1060" spans="1:8" hidden="1" x14ac:dyDescent="0.3">
      <c r="A1060" t="s">
        <v>6939</v>
      </c>
      <c r="B1060" t="s">
        <v>6939</v>
      </c>
      <c r="C1060" t="s">
        <v>1364</v>
      </c>
      <c r="D1060" t="s">
        <v>4390</v>
      </c>
      <c r="E1060" t="s">
        <v>13</v>
      </c>
      <c r="F1060" t="s">
        <v>5729</v>
      </c>
      <c r="G1060" s="1" t="s">
        <v>5730</v>
      </c>
      <c r="H1060" s="1" t="s">
        <v>1874</v>
      </c>
    </row>
    <row r="1061" spans="1:8" hidden="1" x14ac:dyDescent="0.3">
      <c r="A1061" t="s">
        <v>6940</v>
      </c>
      <c r="B1061" t="s">
        <v>6940</v>
      </c>
      <c r="C1061" t="s">
        <v>6941</v>
      </c>
      <c r="D1061" t="s">
        <v>4390</v>
      </c>
      <c r="E1061" t="s">
        <v>13</v>
      </c>
      <c r="F1061" t="s">
        <v>5747</v>
      </c>
      <c r="G1061" s="1" t="s">
        <v>1855</v>
      </c>
      <c r="H1061" s="1" t="s">
        <v>1856</v>
      </c>
    </row>
    <row r="1062" spans="1:8" hidden="1" x14ac:dyDescent="0.3">
      <c r="A1062" t="s">
        <v>6942</v>
      </c>
      <c r="B1062" t="s">
        <v>6942</v>
      </c>
      <c r="C1062" t="s">
        <v>989</v>
      </c>
      <c r="D1062" t="s">
        <v>4390</v>
      </c>
      <c r="E1062" t="s">
        <v>13</v>
      </c>
      <c r="F1062" t="s">
        <v>5729</v>
      </c>
      <c r="G1062" s="1" t="s">
        <v>5730</v>
      </c>
      <c r="H1062" s="1" t="s">
        <v>1923</v>
      </c>
    </row>
    <row r="1063" spans="1:8" hidden="1" x14ac:dyDescent="0.3">
      <c r="A1063" t="s">
        <v>6943</v>
      </c>
      <c r="B1063" t="s">
        <v>6943</v>
      </c>
      <c r="C1063" t="s">
        <v>830</v>
      </c>
      <c r="D1063" t="s">
        <v>4390</v>
      </c>
      <c r="E1063" t="s">
        <v>13</v>
      </c>
      <c r="F1063" t="s">
        <v>5729</v>
      </c>
      <c r="G1063" s="1" t="s">
        <v>5730</v>
      </c>
      <c r="H1063" s="1" t="s">
        <v>1923</v>
      </c>
    </row>
    <row r="1064" spans="1:8" hidden="1" x14ac:dyDescent="0.3">
      <c r="A1064" t="s">
        <v>6944</v>
      </c>
      <c r="B1064" t="s">
        <v>6944</v>
      </c>
      <c r="C1064" t="s">
        <v>1215</v>
      </c>
      <c r="D1064" t="s">
        <v>4390</v>
      </c>
      <c r="E1064" t="s">
        <v>13</v>
      </c>
      <c r="F1064" t="s">
        <v>5729</v>
      </c>
      <c r="G1064" s="1" t="s">
        <v>5730</v>
      </c>
      <c r="H1064" s="1" t="s">
        <v>1927</v>
      </c>
    </row>
    <row r="1065" spans="1:8" hidden="1" x14ac:dyDescent="0.3">
      <c r="A1065" t="s">
        <v>6945</v>
      </c>
      <c r="B1065" t="s">
        <v>6945</v>
      </c>
      <c r="C1065" t="s">
        <v>1305</v>
      </c>
      <c r="D1065" t="s">
        <v>4390</v>
      </c>
      <c r="E1065" t="s">
        <v>13</v>
      </c>
      <c r="F1065" t="s">
        <v>5729</v>
      </c>
      <c r="G1065" s="1" t="s">
        <v>5730</v>
      </c>
      <c r="H1065" s="1" t="s">
        <v>1923</v>
      </c>
    </row>
    <row r="1066" spans="1:8" hidden="1" x14ac:dyDescent="0.3">
      <c r="A1066" t="s">
        <v>6946</v>
      </c>
      <c r="B1066" t="s">
        <v>6946</v>
      </c>
      <c r="C1066" t="s">
        <v>6947</v>
      </c>
      <c r="D1066" t="s">
        <v>4390</v>
      </c>
      <c r="E1066" t="s">
        <v>13</v>
      </c>
      <c r="F1066" t="s">
        <v>5729</v>
      </c>
      <c r="G1066" s="1" t="s">
        <v>5730</v>
      </c>
      <c r="H1066" s="1" t="s">
        <v>1923</v>
      </c>
    </row>
    <row r="1067" spans="1:8" hidden="1" x14ac:dyDescent="0.3">
      <c r="A1067" t="s">
        <v>6948</v>
      </c>
      <c r="B1067" t="s">
        <v>6948</v>
      </c>
      <c r="C1067" t="s">
        <v>771</v>
      </c>
      <c r="D1067" t="s">
        <v>4390</v>
      </c>
      <c r="E1067" t="s">
        <v>13</v>
      </c>
      <c r="F1067" t="s">
        <v>5729</v>
      </c>
      <c r="G1067" s="1" t="s">
        <v>5730</v>
      </c>
      <c r="H1067" s="1" t="s">
        <v>1923</v>
      </c>
    </row>
    <row r="1068" spans="1:8" hidden="1" x14ac:dyDescent="0.3">
      <c r="A1068" t="s">
        <v>6949</v>
      </c>
      <c r="B1068" t="s">
        <v>6949</v>
      </c>
      <c r="C1068" t="s">
        <v>1351</v>
      </c>
      <c r="D1068" t="s">
        <v>4390</v>
      </c>
      <c r="E1068" t="s">
        <v>13</v>
      </c>
      <c r="F1068" t="s">
        <v>5729</v>
      </c>
      <c r="G1068" s="1" t="s">
        <v>5730</v>
      </c>
      <c r="H1068" s="1" t="s">
        <v>1923</v>
      </c>
    </row>
    <row r="1069" spans="1:8" hidden="1" x14ac:dyDescent="0.3">
      <c r="A1069" t="s">
        <v>6950</v>
      </c>
      <c r="B1069" t="s">
        <v>6950</v>
      </c>
      <c r="C1069" t="s">
        <v>172</v>
      </c>
      <c r="D1069" t="s">
        <v>4450</v>
      </c>
      <c r="E1069" t="s">
        <v>13</v>
      </c>
      <c r="F1069" t="s">
        <v>5734</v>
      </c>
      <c r="G1069" s="1" t="s">
        <v>5730</v>
      </c>
      <c r="H1069" s="1" t="s">
        <v>1874</v>
      </c>
    </row>
    <row r="1070" spans="1:8" hidden="1" x14ac:dyDescent="0.3">
      <c r="A1070" t="s">
        <v>6951</v>
      </c>
      <c r="B1070" t="s">
        <v>6951</v>
      </c>
      <c r="C1070" t="s">
        <v>286</v>
      </c>
      <c r="D1070" t="s">
        <v>4450</v>
      </c>
      <c r="E1070" t="s">
        <v>13</v>
      </c>
      <c r="F1070" t="s">
        <v>5729</v>
      </c>
      <c r="G1070" s="1" t="s">
        <v>5730</v>
      </c>
      <c r="H1070" s="1" t="s">
        <v>1874</v>
      </c>
    </row>
    <row r="1071" spans="1:8" hidden="1" x14ac:dyDescent="0.3">
      <c r="A1071" t="s">
        <v>6952</v>
      </c>
      <c r="B1071" t="s">
        <v>6952</v>
      </c>
      <c r="C1071" t="s">
        <v>360</v>
      </c>
      <c r="D1071" t="s">
        <v>4450</v>
      </c>
      <c r="E1071" t="s">
        <v>13</v>
      </c>
      <c r="F1071" t="s">
        <v>5729</v>
      </c>
      <c r="G1071" s="1" t="s">
        <v>5730</v>
      </c>
      <c r="H1071" s="1" t="s">
        <v>1856</v>
      </c>
    </row>
    <row r="1072" spans="1:8" hidden="1" x14ac:dyDescent="0.3">
      <c r="A1072" t="s">
        <v>6953</v>
      </c>
      <c r="B1072" t="s">
        <v>6953</v>
      </c>
      <c r="C1072" t="s">
        <v>431</v>
      </c>
      <c r="D1072" t="s">
        <v>4450</v>
      </c>
      <c r="E1072" t="s">
        <v>13</v>
      </c>
      <c r="F1072" t="s">
        <v>5729</v>
      </c>
      <c r="G1072" s="1" t="s">
        <v>5730</v>
      </c>
      <c r="H1072" s="1" t="s">
        <v>1927</v>
      </c>
    </row>
    <row r="1073" spans="1:8" hidden="1" x14ac:dyDescent="0.3">
      <c r="A1073" t="s">
        <v>6954</v>
      </c>
      <c r="B1073" t="s">
        <v>6954</v>
      </c>
      <c r="C1073" t="s">
        <v>506</v>
      </c>
      <c r="D1073" t="s">
        <v>4450</v>
      </c>
      <c r="E1073" t="s">
        <v>13</v>
      </c>
      <c r="F1073" t="s">
        <v>5781</v>
      </c>
      <c r="G1073" s="1" t="s">
        <v>5730</v>
      </c>
      <c r="H1073" s="1" t="s">
        <v>1856</v>
      </c>
    </row>
    <row r="1074" spans="1:8" hidden="1" x14ac:dyDescent="0.3">
      <c r="A1074" t="s">
        <v>6955</v>
      </c>
      <c r="B1074" t="s">
        <v>6955</v>
      </c>
      <c r="C1074" t="s">
        <v>576</v>
      </c>
      <c r="D1074" t="s">
        <v>4450</v>
      </c>
      <c r="E1074" t="s">
        <v>13</v>
      </c>
      <c r="F1074" t="s">
        <v>5729</v>
      </c>
      <c r="G1074" s="1" t="s">
        <v>5730</v>
      </c>
      <c r="H1074" s="1" t="s">
        <v>1856</v>
      </c>
    </row>
    <row r="1075" spans="1:8" hidden="1" x14ac:dyDescent="0.3">
      <c r="A1075" t="s">
        <v>6956</v>
      </c>
      <c r="B1075" t="s">
        <v>6956</v>
      </c>
      <c r="C1075" t="s">
        <v>642</v>
      </c>
      <c r="D1075" t="s">
        <v>4450</v>
      </c>
      <c r="E1075" t="s">
        <v>13</v>
      </c>
      <c r="F1075" t="s">
        <v>5729</v>
      </c>
      <c r="G1075" s="1" t="s">
        <v>5730</v>
      </c>
      <c r="H1075" s="1" t="s">
        <v>1927</v>
      </c>
    </row>
    <row r="1076" spans="1:8" hidden="1" x14ac:dyDescent="0.3">
      <c r="A1076" t="s">
        <v>6957</v>
      </c>
      <c r="B1076" t="s">
        <v>6957</v>
      </c>
      <c r="C1076" t="s">
        <v>708</v>
      </c>
      <c r="D1076" t="s">
        <v>4450</v>
      </c>
      <c r="E1076" t="s">
        <v>13</v>
      </c>
      <c r="F1076" t="s">
        <v>5729</v>
      </c>
      <c r="G1076" s="1" t="s">
        <v>5730</v>
      </c>
      <c r="H1076" s="1" t="s">
        <v>1856</v>
      </c>
    </row>
    <row r="1077" spans="1:8" hidden="1" x14ac:dyDescent="0.3">
      <c r="A1077" t="s">
        <v>6958</v>
      </c>
      <c r="B1077" t="s">
        <v>6958</v>
      </c>
      <c r="C1077" t="s">
        <v>772</v>
      </c>
      <c r="D1077" t="s">
        <v>4450</v>
      </c>
      <c r="E1077" t="s">
        <v>13</v>
      </c>
      <c r="F1077" t="s">
        <v>5729</v>
      </c>
      <c r="G1077" s="1" t="s">
        <v>5730</v>
      </c>
      <c r="H1077" s="1" t="s">
        <v>1856</v>
      </c>
    </row>
    <row r="1078" spans="1:8" hidden="1" x14ac:dyDescent="0.3">
      <c r="A1078" t="s">
        <v>6959</v>
      </c>
      <c r="B1078" t="s">
        <v>6959</v>
      </c>
      <c r="C1078" t="s">
        <v>831</v>
      </c>
      <c r="D1078" t="s">
        <v>4450</v>
      </c>
      <c r="E1078" t="s">
        <v>13</v>
      </c>
      <c r="F1078" t="s">
        <v>5729</v>
      </c>
      <c r="G1078" s="1" t="s">
        <v>5730</v>
      </c>
      <c r="H1078" s="1" t="s">
        <v>1874</v>
      </c>
    </row>
    <row r="1079" spans="1:8" hidden="1" x14ac:dyDescent="0.3">
      <c r="A1079" t="s">
        <v>6960</v>
      </c>
      <c r="B1079" t="s">
        <v>6960</v>
      </c>
      <c r="C1079" t="s">
        <v>885</v>
      </c>
      <c r="D1079" t="s">
        <v>4450</v>
      </c>
      <c r="E1079" t="s">
        <v>13</v>
      </c>
      <c r="F1079" t="s">
        <v>5729</v>
      </c>
      <c r="G1079" s="1" t="s">
        <v>5730</v>
      </c>
      <c r="H1079" s="1" t="s">
        <v>1874</v>
      </c>
    </row>
    <row r="1080" spans="1:8" hidden="1" x14ac:dyDescent="0.3">
      <c r="A1080" t="s">
        <v>6961</v>
      </c>
      <c r="B1080" t="s">
        <v>6961</v>
      </c>
      <c r="C1080" t="s">
        <v>4473</v>
      </c>
      <c r="D1080" t="s">
        <v>4450</v>
      </c>
      <c r="E1080" t="s">
        <v>13</v>
      </c>
      <c r="F1080" t="s">
        <v>5729</v>
      </c>
      <c r="G1080" s="1" t="s">
        <v>5730</v>
      </c>
      <c r="H1080" s="1" t="s">
        <v>1856</v>
      </c>
    </row>
    <row r="1081" spans="1:8" hidden="1" x14ac:dyDescent="0.3">
      <c r="A1081" t="s">
        <v>6962</v>
      </c>
      <c r="B1081" t="s">
        <v>6962</v>
      </c>
      <c r="C1081" t="s">
        <v>990</v>
      </c>
      <c r="D1081" t="s">
        <v>4450</v>
      </c>
      <c r="E1081" t="s">
        <v>13</v>
      </c>
      <c r="F1081" t="s">
        <v>5729</v>
      </c>
      <c r="G1081" s="1" t="s">
        <v>5730</v>
      </c>
      <c r="H1081" s="1" t="s">
        <v>1856</v>
      </c>
    </row>
    <row r="1082" spans="1:8" hidden="1" x14ac:dyDescent="0.3">
      <c r="A1082" t="s">
        <v>6963</v>
      </c>
      <c r="B1082" t="s">
        <v>6963</v>
      </c>
      <c r="C1082" t="s">
        <v>1039</v>
      </c>
      <c r="D1082" t="s">
        <v>4450</v>
      </c>
      <c r="E1082" t="s">
        <v>13</v>
      </c>
      <c r="F1082" t="s">
        <v>5729</v>
      </c>
      <c r="G1082" s="1" t="s">
        <v>5730</v>
      </c>
      <c r="H1082" s="1" t="s">
        <v>1923</v>
      </c>
    </row>
    <row r="1083" spans="1:8" hidden="1" x14ac:dyDescent="0.3">
      <c r="A1083" t="s">
        <v>6964</v>
      </c>
      <c r="B1083" t="s">
        <v>6964</v>
      </c>
      <c r="C1083" t="s">
        <v>1083</v>
      </c>
      <c r="D1083" t="s">
        <v>4450</v>
      </c>
      <c r="E1083" t="s">
        <v>13</v>
      </c>
      <c r="F1083" t="s">
        <v>5729</v>
      </c>
      <c r="G1083" s="1" t="s">
        <v>5730</v>
      </c>
      <c r="H1083" s="1" t="s">
        <v>1856</v>
      </c>
    </row>
    <row r="1084" spans="1:8" hidden="1" x14ac:dyDescent="0.3">
      <c r="A1084" t="s">
        <v>6965</v>
      </c>
      <c r="B1084" t="s">
        <v>6965</v>
      </c>
      <c r="C1084" t="s">
        <v>1119</v>
      </c>
      <c r="D1084" t="s">
        <v>4450</v>
      </c>
      <c r="E1084" t="s">
        <v>13</v>
      </c>
      <c r="F1084" t="s">
        <v>5729</v>
      </c>
      <c r="G1084" s="1" t="s">
        <v>5730</v>
      </c>
      <c r="H1084" s="1" t="s">
        <v>1856</v>
      </c>
    </row>
    <row r="1085" spans="1:8" hidden="1" x14ac:dyDescent="0.3">
      <c r="A1085" t="s">
        <v>6966</v>
      </c>
      <c r="B1085" t="s">
        <v>6966</v>
      </c>
      <c r="C1085" t="s">
        <v>6967</v>
      </c>
      <c r="D1085" t="s">
        <v>75</v>
      </c>
      <c r="E1085" t="s">
        <v>13</v>
      </c>
      <c r="F1085" t="s">
        <v>5781</v>
      </c>
      <c r="G1085" s="1" t="s">
        <v>1961</v>
      </c>
      <c r="H1085" s="1" t="s">
        <v>1927</v>
      </c>
    </row>
    <row r="1086" spans="1:8" hidden="1" x14ac:dyDescent="0.3">
      <c r="A1086" t="s">
        <v>6968</v>
      </c>
      <c r="B1086" t="s">
        <v>6968</v>
      </c>
      <c r="C1086" t="s">
        <v>215</v>
      </c>
      <c r="D1086" t="s">
        <v>90</v>
      </c>
      <c r="E1086" t="s">
        <v>14</v>
      </c>
      <c r="F1086" t="s">
        <v>5729</v>
      </c>
      <c r="G1086" s="1" t="s">
        <v>5730</v>
      </c>
      <c r="H1086" s="1" t="s">
        <v>1856</v>
      </c>
    </row>
    <row r="1087" spans="1:8" hidden="1" x14ac:dyDescent="0.3">
      <c r="A1087" t="s">
        <v>6969</v>
      </c>
      <c r="B1087" t="s">
        <v>6969</v>
      </c>
      <c r="C1087" t="s">
        <v>507</v>
      </c>
      <c r="D1087" t="s">
        <v>90</v>
      </c>
      <c r="E1087" t="s">
        <v>14</v>
      </c>
      <c r="F1087" t="s">
        <v>5729</v>
      </c>
      <c r="G1087" s="1" t="s">
        <v>5730</v>
      </c>
      <c r="H1087" s="1" t="s">
        <v>1874</v>
      </c>
    </row>
    <row r="1088" spans="1:8" hidden="1" x14ac:dyDescent="0.3">
      <c r="A1088" t="s">
        <v>6970</v>
      </c>
      <c r="B1088" t="s">
        <v>6970</v>
      </c>
      <c r="C1088" t="s">
        <v>577</v>
      </c>
      <c r="D1088" t="s">
        <v>90</v>
      </c>
      <c r="E1088" t="s">
        <v>14</v>
      </c>
      <c r="F1088" t="s">
        <v>5729</v>
      </c>
      <c r="G1088" s="1" t="s">
        <v>5730</v>
      </c>
      <c r="H1088" s="1" t="s">
        <v>1856</v>
      </c>
    </row>
    <row r="1089" spans="1:8" hidden="1" x14ac:dyDescent="0.3">
      <c r="A1089" t="s">
        <v>6971</v>
      </c>
      <c r="B1089" t="s">
        <v>6971</v>
      </c>
      <c r="C1089" t="s">
        <v>4494</v>
      </c>
      <c r="D1089" t="s">
        <v>90</v>
      </c>
      <c r="E1089" t="s">
        <v>14</v>
      </c>
      <c r="F1089" t="s">
        <v>5734</v>
      </c>
      <c r="G1089" s="1" t="s">
        <v>5730</v>
      </c>
      <c r="H1089" s="1" t="s">
        <v>1856</v>
      </c>
    </row>
    <row r="1090" spans="1:8" hidden="1" x14ac:dyDescent="0.3">
      <c r="A1090" t="s">
        <v>6972</v>
      </c>
      <c r="B1090" t="s">
        <v>6972</v>
      </c>
      <c r="C1090" t="s">
        <v>709</v>
      </c>
      <c r="D1090" t="s">
        <v>90</v>
      </c>
      <c r="E1090" t="s">
        <v>14</v>
      </c>
      <c r="F1090" t="s">
        <v>5729</v>
      </c>
      <c r="G1090" s="1" t="s">
        <v>5730</v>
      </c>
      <c r="H1090" s="1" t="s">
        <v>1856</v>
      </c>
    </row>
    <row r="1091" spans="1:8" hidden="1" x14ac:dyDescent="0.3">
      <c r="A1091" t="s">
        <v>6973</v>
      </c>
      <c r="B1091" t="s">
        <v>6973</v>
      </c>
      <c r="C1091" t="s">
        <v>773</v>
      </c>
      <c r="D1091" t="s">
        <v>90</v>
      </c>
      <c r="E1091" t="s">
        <v>14</v>
      </c>
      <c r="F1091" t="s">
        <v>5729</v>
      </c>
      <c r="G1091" s="1" t="s">
        <v>5730</v>
      </c>
      <c r="H1091" s="1" t="s">
        <v>1874</v>
      </c>
    </row>
    <row r="1092" spans="1:8" hidden="1" x14ac:dyDescent="0.3">
      <c r="A1092" t="s">
        <v>6974</v>
      </c>
      <c r="B1092" t="s">
        <v>6974</v>
      </c>
      <c r="C1092" t="s">
        <v>832</v>
      </c>
      <c r="D1092" t="s">
        <v>90</v>
      </c>
      <c r="E1092" t="s">
        <v>14</v>
      </c>
      <c r="F1092" t="s">
        <v>5729</v>
      </c>
      <c r="G1092" s="1" t="s">
        <v>5730</v>
      </c>
      <c r="H1092" s="1" t="s">
        <v>1856</v>
      </c>
    </row>
    <row r="1093" spans="1:8" hidden="1" x14ac:dyDescent="0.3">
      <c r="A1093" t="s">
        <v>6975</v>
      </c>
      <c r="B1093" t="s">
        <v>6975</v>
      </c>
      <c r="C1093" t="s">
        <v>886</v>
      </c>
      <c r="D1093" t="s">
        <v>90</v>
      </c>
      <c r="E1093" t="s">
        <v>14</v>
      </c>
      <c r="F1093" t="s">
        <v>5729</v>
      </c>
      <c r="G1093" s="1" t="s">
        <v>5730</v>
      </c>
      <c r="H1093" s="1" t="s">
        <v>1856</v>
      </c>
    </row>
    <row r="1094" spans="1:8" hidden="1" x14ac:dyDescent="0.3">
      <c r="A1094" t="s">
        <v>6976</v>
      </c>
      <c r="B1094" t="s">
        <v>6976</v>
      </c>
      <c r="C1094" t="s">
        <v>944</v>
      </c>
      <c r="D1094" t="s">
        <v>90</v>
      </c>
      <c r="E1094" t="s">
        <v>14</v>
      </c>
      <c r="F1094" t="s">
        <v>5734</v>
      </c>
      <c r="G1094" s="1" t="s">
        <v>5730</v>
      </c>
      <c r="H1094" s="1" t="s">
        <v>1856</v>
      </c>
    </row>
    <row r="1095" spans="1:8" hidden="1" x14ac:dyDescent="0.3">
      <c r="A1095" t="s">
        <v>6977</v>
      </c>
      <c r="B1095" t="s">
        <v>6977</v>
      </c>
      <c r="C1095" t="s">
        <v>991</v>
      </c>
      <c r="D1095" t="s">
        <v>90</v>
      </c>
      <c r="E1095" t="s">
        <v>14</v>
      </c>
      <c r="F1095" t="s">
        <v>5734</v>
      </c>
      <c r="G1095" s="1" t="s">
        <v>5730</v>
      </c>
      <c r="H1095" s="1" t="s">
        <v>1856</v>
      </c>
    </row>
    <row r="1096" spans="1:8" hidden="1" x14ac:dyDescent="0.3">
      <c r="A1096" t="s">
        <v>6978</v>
      </c>
      <c r="B1096" t="s">
        <v>6978</v>
      </c>
      <c r="C1096" t="s">
        <v>1040</v>
      </c>
      <c r="D1096" t="s">
        <v>90</v>
      </c>
      <c r="E1096" t="s">
        <v>14</v>
      </c>
      <c r="F1096" t="s">
        <v>5729</v>
      </c>
      <c r="G1096" s="1" t="s">
        <v>5730</v>
      </c>
      <c r="H1096" s="1" t="s">
        <v>1856</v>
      </c>
    </row>
    <row r="1097" spans="1:8" hidden="1" x14ac:dyDescent="0.3">
      <c r="A1097" t="s">
        <v>6979</v>
      </c>
      <c r="B1097" t="s">
        <v>6979</v>
      </c>
      <c r="C1097" t="s">
        <v>6980</v>
      </c>
      <c r="D1097" t="s">
        <v>90</v>
      </c>
      <c r="E1097" t="s">
        <v>14</v>
      </c>
      <c r="F1097" t="s">
        <v>5781</v>
      </c>
      <c r="G1097" s="1" t="s">
        <v>1961</v>
      </c>
      <c r="H1097" s="1" t="s">
        <v>1856</v>
      </c>
    </row>
    <row r="1098" spans="1:8" hidden="1" x14ac:dyDescent="0.3">
      <c r="A1098" t="s">
        <v>6981</v>
      </c>
      <c r="B1098" t="s">
        <v>6981</v>
      </c>
      <c r="C1098" t="s">
        <v>828</v>
      </c>
      <c r="D1098" t="s">
        <v>90</v>
      </c>
      <c r="E1098" t="s">
        <v>14</v>
      </c>
      <c r="F1098" t="s">
        <v>5729</v>
      </c>
      <c r="G1098" s="1" t="s">
        <v>5730</v>
      </c>
      <c r="H1098" s="1" t="s">
        <v>1856</v>
      </c>
    </row>
    <row r="1099" spans="1:8" hidden="1" x14ac:dyDescent="0.3">
      <c r="A1099" t="s">
        <v>6982</v>
      </c>
      <c r="B1099" t="s">
        <v>6982</v>
      </c>
      <c r="C1099" t="s">
        <v>4506</v>
      </c>
      <c r="D1099" t="s">
        <v>90</v>
      </c>
      <c r="E1099" t="s">
        <v>14</v>
      </c>
      <c r="F1099" t="s">
        <v>5734</v>
      </c>
      <c r="G1099" s="1" t="s">
        <v>5730</v>
      </c>
      <c r="H1099" s="1" t="s">
        <v>1856</v>
      </c>
    </row>
    <row r="1100" spans="1:8" hidden="1" x14ac:dyDescent="0.3">
      <c r="A1100" t="s">
        <v>6983</v>
      </c>
      <c r="B1100" t="s">
        <v>6983</v>
      </c>
      <c r="C1100" t="s">
        <v>1156</v>
      </c>
      <c r="D1100" t="s">
        <v>90</v>
      </c>
      <c r="E1100" t="s">
        <v>14</v>
      </c>
      <c r="F1100" t="s">
        <v>5781</v>
      </c>
      <c r="G1100" s="1" t="s">
        <v>5730</v>
      </c>
      <c r="H1100" s="1" t="s">
        <v>1856</v>
      </c>
    </row>
    <row r="1101" spans="1:8" hidden="1" x14ac:dyDescent="0.3">
      <c r="A1101" t="s">
        <v>6984</v>
      </c>
      <c r="B1101" t="s">
        <v>6984</v>
      </c>
      <c r="C1101" t="s">
        <v>1185</v>
      </c>
      <c r="D1101" t="s">
        <v>90</v>
      </c>
      <c r="E1101" t="s">
        <v>14</v>
      </c>
      <c r="F1101" t="s">
        <v>5729</v>
      </c>
      <c r="G1101" s="1" t="s">
        <v>5730</v>
      </c>
      <c r="H1101" s="1" t="s">
        <v>1856</v>
      </c>
    </row>
    <row r="1102" spans="1:8" hidden="1" x14ac:dyDescent="0.3">
      <c r="A1102" t="s">
        <v>6985</v>
      </c>
      <c r="B1102" t="s">
        <v>6985</v>
      </c>
      <c r="C1102" t="s">
        <v>132</v>
      </c>
      <c r="D1102" t="s">
        <v>90</v>
      </c>
      <c r="E1102" t="s">
        <v>14</v>
      </c>
      <c r="F1102" t="s">
        <v>5734</v>
      </c>
      <c r="G1102" s="1" t="s">
        <v>5730</v>
      </c>
      <c r="H1102" s="1" t="s">
        <v>1856</v>
      </c>
    </row>
    <row r="1103" spans="1:8" hidden="1" x14ac:dyDescent="0.3">
      <c r="A1103" t="s">
        <v>6986</v>
      </c>
      <c r="B1103" t="s">
        <v>6986</v>
      </c>
      <c r="C1103" t="s">
        <v>3180</v>
      </c>
      <c r="D1103" t="s">
        <v>90</v>
      </c>
      <c r="E1103" t="s">
        <v>14</v>
      </c>
      <c r="F1103" t="s">
        <v>5734</v>
      </c>
      <c r="G1103" s="1" t="s">
        <v>5730</v>
      </c>
      <c r="H1103" s="1" t="s">
        <v>1856</v>
      </c>
    </row>
    <row r="1104" spans="1:8" hidden="1" x14ac:dyDescent="0.3">
      <c r="A1104" t="s">
        <v>6987</v>
      </c>
      <c r="B1104" t="s">
        <v>6987</v>
      </c>
      <c r="C1104" t="s">
        <v>1263</v>
      </c>
      <c r="D1104" t="s">
        <v>90</v>
      </c>
      <c r="E1104" t="s">
        <v>14</v>
      </c>
      <c r="F1104" t="s">
        <v>5729</v>
      </c>
      <c r="G1104" s="1" t="s">
        <v>5730</v>
      </c>
      <c r="H1104" s="1" t="s">
        <v>1874</v>
      </c>
    </row>
    <row r="1105" spans="1:8" hidden="1" x14ac:dyDescent="0.3">
      <c r="A1105" t="s">
        <v>6988</v>
      </c>
      <c r="B1105" t="s">
        <v>6988</v>
      </c>
      <c r="C1105" t="s">
        <v>1285</v>
      </c>
      <c r="D1105" t="s">
        <v>90</v>
      </c>
      <c r="E1105" t="s">
        <v>14</v>
      </c>
      <c r="F1105" t="s">
        <v>5734</v>
      </c>
      <c r="G1105" s="1" t="s">
        <v>5730</v>
      </c>
      <c r="H1105" s="1" t="s">
        <v>1856</v>
      </c>
    </row>
    <row r="1106" spans="1:8" hidden="1" x14ac:dyDescent="0.3">
      <c r="A1106" t="s">
        <v>6989</v>
      </c>
      <c r="B1106" t="s">
        <v>6989</v>
      </c>
      <c r="C1106" t="s">
        <v>4514</v>
      </c>
      <c r="D1106" t="s">
        <v>90</v>
      </c>
      <c r="E1106" t="s">
        <v>14</v>
      </c>
      <c r="F1106" t="s">
        <v>5781</v>
      </c>
      <c r="G1106" s="1" t="s">
        <v>1961</v>
      </c>
      <c r="H1106" s="1" t="s">
        <v>1856</v>
      </c>
    </row>
    <row r="1107" spans="1:8" hidden="1" x14ac:dyDescent="0.3">
      <c r="A1107" t="s">
        <v>6990</v>
      </c>
      <c r="B1107" t="s">
        <v>6990</v>
      </c>
      <c r="C1107" t="s">
        <v>287</v>
      </c>
      <c r="D1107" t="s">
        <v>90</v>
      </c>
      <c r="E1107" t="s">
        <v>14</v>
      </c>
      <c r="F1107" t="s">
        <v>5729</v>
      </c>
      <c r="G1107" s="1" t="s">
        <v>5730</v>
      </c>
      <c r="H1107" s="1" t="s">
        <v>1874</v>
      </c>
    </row>
    <row r="1108" spans="1:8" hidden="1" x14ac:dyDescent="0.3">
      <c r="A1108" t="s">
        <v>6991</v>
      </c>
      <c r="B1108" t="s">
        <v>6991</v>
      </c>
      <c r="C1108" t="s">
        <v>6992</v>
      </c>
      <c r="D1108" t="s">
        <v>107</v>
      </c>
      <c r="E1108" t="s">
        <v>14</v>
      </c>
      <c r="F1108" t="s">
        <v>5729</v>
      </c>
      <c r="G1108" s="1" t="s">
        <v>5730</v>
      </c>
      <c r="H1108" s="1" t="s">
        <v>1923</v>
      </c>
    </row>
    <row r="1109" spans="1:8" hidden="1" x14ac:dyDescent="0.3">
      <c r="A1109" t="s">
        <v>6993</v>
      </c>
      <c r="B1109" t="s">
        <v>6993</v>
      </c>
      <c r="C1109" t="s">
        <v>288</v>
      </c>
      <c r="D1109" t="s">
        <v>107</v>
      </c>
      <c r="E1109" t="s">
        <v>14</v>
      </c>
      <c r="F1109" t="s">
        <v>5729</v>
      </c>
      <c r="G1109" s="1" t="s">
        <v>5730</v>
      </c>
      <c r="H1109" s="1" t="s">
        <v>1893</v>
      </c>
    </row>
    <row r="1110" spans="1:8" hidden="1" x14ac:dyDescent="0.3">
      <c r="A1110" t="s">
        <v>6994</v>
      </c>
      <c r="B1110" t="s">
        <v>6994</v>
      </c>
      <c r="C1110" t="s">
        <v>362</v>
      </c>
      <c r="D1110" t="s">
        <v>107</v>
      </c>
      <c r="E1110" t="s">
        <v>14</v>
      </c>
      <c r="F1110" t="s">
        <v>5729</v>
      </c>
      <c r="G1110" s="1" t="s">
        <v>5730</v>
      </c>
      <c r="H1110" s="1" t="s">
        <v>1923</v>
      </c>
    </row>
    <row r="1111" spans="1:8" hidden="1" x14ac:dyDescent="0.3">
      <c r="A1111" t="s">
        <v>6995</v>
      </c>
      <c r="B1111" t="s">
        <v>6995</v>
      </c>
      <c r="C1111" t="s">
        <v>6996</v>
      </c>
      <c r="D1111" t="s">
        <v>107</v>
      </c>
      <c r="E1111" t="s">
        <v>14</v>
      </c>
      <c r="F1111" t="s">
        <v>5729</v>
      </c>
      <c r="G1111" s="1" t="s">
        <v>5730</v>
      </c>
      <c r="H1111" s="1" t="s">
        <v>1874</v>
      </c>
    </row>
    <row r="1112" spans="1:8" hidden="1" x14ac:dyDescent="0.3">
      <c r="A1112" t="s">
        <v>6997</v>
      </c>
      <c r="B1112" t="s">
        <v>6997</v>
      </c>
      <c r="C1112" t="s">
        <v>508</v>
      </c>
      <c r="D1112" t="s">
        <v>107</v>
      </c>
      <c r="E1112" t="s">
        <v>14</v>
      </c>
      <c r="F1112" t="s">
        <v>5729</v>
      </c>
      <c r="G1112" s="1" t="s">
        <v>5730</v>
      </c>
      <c r="H1112" s="1" t="s">
        <v>1893</v>
      </c>
    </row>
    <row r="1113" spans="1:8" hidden="1" x14ac:dyDescent="0.3">
      <c r="A1113" t="s">
        <v>6998</v>
      </c>
      <c r="B1113" t="s">
        <v>6998</v>
      </c>
      <c r="C1113" t="s">
        <v>6999</v>
      </c>
      <c r="D1113" t="s">
        <v>4522</v>
      </c>
      <c r="E1113" t="s">
        <v>14</v>
      </c>
      <c r="F1113" t="s">
        <v>5729</v>
      </c>
      <c r="G1113" s="1" t="s">
        <v>5730</v>
      </c>
      <c r="H1113" s="1" t="s">
        <v>1927</v>
      </c>
    </row>
    <row r="1114" spans="1:8" hidden="1" x14ac:dyDescent="0.3">
      <c r="A1114" t="s">
        <v>7000</v>
      </c>
      <c r="B1114" t="s">
        <v>7000</v>
      </c>
      <c r="C1114" t="s">
        <v>289</v>
      </c>
      <c r="D1114" t="s">
        <v>4522</v>
      </c>
      <c r="E1114" t="s">
        <v>14</v>
      </c>
      <c r="F1114" t="s">
        <v>5734</v>
      </c>
      <c r="G1114" s="1" t="s">
        <v>5730</v>
      </c>
      <c r="H1114" s="1" t="s">
        <v>1856</v>
      </c>
    </row>
    <row r="1115" spans="1:8" hidden="1" x14ac:dyDescent="0.3">
      <c r="A1115" t="s">
        <v>7001</v>
      </c>
      <c r="B1115" t="s">
        <v>7001</v>
      </c>
      <c r="C1115" t="s">
        <v>363</v>
      </c>
      <c r="D1115" t="s">
        <v>4522</v>
      </c>
      <c r="E1115" t="s">
        <v>14</v>
      </c>
      <c r="F1115" t="s">
        <v>5729</v>
      </c>
      <c r="G1115" s="1" t="s">
        <v>5730</v>
      </c>
      <c r="H1115" s="1" t="s">
        <v>1923</v>
      </c>
    </row>
    <row r="1116" spans="1:8" hidden="1" x14ac:dyDescent="0.3">
      <c r="A1116" t="s">
        <v>7002</v>
      </c>
      <c r="B1116" t="s">
        <v>7002</v>
      </c>
      <c r="C1116" t="s">
        <v>7003</v>
      </c>
      <c r="D1116" t="s">
        <v>4522</v>
      </c>
      <c r="E1116" t="s">
        <v>14</v>
      </c>
      <c r="F1116" t="s">
        <v>5781</v>
      </c>
      <c r="G1116" s="1" t="s">
        <v>1855</v>
      </c>
      <c r="H1116" s="1" t="s">
        <v>1856</v>
      </c>
    </row>
    <row r="1117" spans="1:8" hidden="1" x14ac:dyDescent="0.3">
      <c r="A1117" t="s">
        <v>7004</v>
      </c>
      <c r="B1117" t="s">
        <v>7004</v>
      </c>
      <c r="C1117" t="s">
        <v>509</v>
      </c>
      <c r="D1117" t="s">
        <v>4522</v>
      </c>
      <c r="E1117" t="s">
        <v>14</v>
      </c>
      <c r="F1117" t="s">
        <v>5734</v>
      </c>
      <c r="G1117" s="1" t="s">
        <v>5730</v>
      </c>
      <c r="H1117" s="1" t="s">
        <v>1856</v>
      </c>
    </row>
    <row r="1118" spans="1:8" hidden="1" x14ac:dyDescent="0.3">
      <c r="A1118" t="s">
        <v>7005</v>
      </c>
      <c r="B1118" t="s">
        <v>7005</v>
      </c>
      <c r="C1118" t="s">
        <v>7006</v>
      </c>
      <c r="D1118" t="s">
        <v>4522</v>
      </c>
      <c r="E1118" t="s">
        <v>14</v>
      </c>
      <c r="F1118" t="s">
        <v>5734</v>
      </c>
      <c r="G1118" s="1" t="s">
        <v>5730</v>
      </c>
      <c r="H1118" s="1" t="s">
        <v>1856</v>
      </c>
    </row>
    <row r="1119" spans="1:8" hidden="1" x14ac:dyDescent="0.3">
      <c r="A1119" t="s">
        <v>7007</v>
      </c>
      <c r="B1119" t="s">
        <v>7007</v>
      </c>
      <c r="C1119" t="s">
        <v>578</v>
      </c>
      <c r="D1119" t="s">
        <v>4522</v>
      </c>
      <c r="E1119" t="s">
        <v>14</v>
      </c>
      <c r="F1119" t="s">
        <v>5729</v>
      </c>
      <c r="G1119" s="1" t="s">
        <v>5730</v>
      </c>
      <c r="H1119" s="1" t="s">
        <v>1856</v>
      </c>
    </row>
    <row r="1120" spans="1:8" hidden="1" x14ac:dyDescent="0.3">
      <c r="A1120" t="s">
        <v>7008</v>
      </c>
      <c r="B1120" t="s">
        <v>7008</v>
      </c>
      <c r="C1120" t="s">
        <v>644</v>
      </c>
      <c r="D1120" t="s">
        <v>4522</v>
      </c>
      <c r="E1120" t="s">
        <v>14</v>
      </c>
      <c r="F1120" t="s">
        <v>5729</v>
      </c>
      <c r="G1120" s="1" t="s">
        <v>5730</v>
      </c>
      <c r="H1120" s="1" t="s">
        <v>1927</v>
      </c>
    </row>
    <row r="1121" spans="1:8" hidden="1" x14ac:dyDescent="0.3">
      <c r="A1121" t="s">
        <v>7009</v>
      </c>
      <c r="B1121" t="s">
        <v>7009</v>
      </c>
      <c r="C1121" t="s">
        <v>710</v>
      </c>
      <c r="D1121" t="s">
        <v>4522</v>
      </c>
      <c r="E1121" t="s">
        <v>14</v>
      </c>
      <c r="F1121" t="s">
        <v>5734</v>
      </c>
      <c r="G1121" s="1" t="s">
        <v>5730</v>
      </c>
      <c r="H1121" s="1" t="s">
        <v>1856</v>
      </c>
    </row>
    <row r="1122" spans="1:8" hidden="1" x14ac:dyDescent="0.3">
      <c r="A1122" t="s">
        <v>7010</v>
      </c>
      <c r="B1122" t="s">
        <v>7010</v>
      </c>
      <c r="C1122" t="s">
        <v>774</v>
      </c>
      <c r="D1122" t="s">
        <v>4522</v>
      </c>
      <c r="E1122" t="s">
        <v>14</v>
      </c>
      <c r="F1122" t="s">
        <v>5729</v>
      </c>
      <c r="G1122" s="1" t="s">
        <v>5730</v>
      </c>
      <c r="H1122" s="1" t="s">
        <v>1923</v>
      </c>
    </row>
    <row r="1123" spans="1:8" hidden="1" x14ac:dyDescent="0.3">
      <c r="A1123" t="s">
        <v>7011</v>
      </c>
      <c r="B1123" t="s">
        <v>7011</v>
      </c>
      <c r="C1123" t="s">
        <v>479</v>
      </c>
      <c r="D1123" t="s">
        <v>4522</v>
      </c>
      <c r="E1123" t="s">
        <v>14</v>
      </c>
      <c r="F1123" t="s">
        <v>5729</v>
      </c>
      <c r="G1123" s="1" t="s">
        <v>5730</v>
      </c>
      <c r="H1123" s="1" t="s">
        <v>1927</v>
      </c>
    </row>
    <row r="1124" spans="1:8" hidden="1" x14ac:dyDescent="0.3">
      <c r="A1124" t="s">
        <v>7012</v>
      </c>
      <c r="B1124" t="s">
        <v>7012</v>
      </c>
      <c r="C1124" t="s">
        <v>887</v>
      </c>
      <c r="D1124" t="s">
        <v>4522</v>
      </c>
      <c r="E1124" t="s">
        <v>14</v>
      </c>
      <c r="F1124" t="s">
        <v>5729</v>
      </c>
      <c r="G1124" s="1" t="s">
        <v>5730</v>
      </c>
      <c r="H1124" s="1" t="s">
        <v>1927</v>
      </c>
    </row>
    <row r="1125" spans="1:8" hidden="1" x14ac:dyDescent="0.3">
      <c r="A1125" t="s">
        <v>7013</v>
      </c>
      <c r="B1125" t="s">
        <v>7013</v>
      </c>
      <c r="C1125" t="s">
        <v>945</v>
      </c>
      <c r="D1125" t="s">
        <v>4522</v>
      </c>
      <c r="E1125" t="s">
        <v>14</v>
      </c>
      <c r="F1125" t="s">
        <v>5729</v>
      </c>
      <c r="G1125" s="1" t="s">
        <v>5730</v>
      </c>
      <c r="H1125" s="1" t="s">
        <v>1923</v>
      </c>
    </row>
    <row r="1126" spans="1:8" hidden="1" x14ac:dyDescent="0.3">
      <c r="A1126" t="s">
        <v>7014</v>
      </c>
      <c r="B1126" t="s">
        <v>7014</v>
      </c>
      <c r="C1126" t="s">
        <v>992</v>
      </c>
      <c r="D1126" t="s">
        <v>4522</v>
      </c>
      <c r="E1126" t="s">
        <v>14</v>
      </c>
      <c r="F1126" t="s">
        <v>5729</v>
      </c>
      <c r="G1126" s="1" t="s">
        <v>5730</v>
      </c>
      <c r="H1126" s="1" t="s">
        <v>1874</v>
      </c>
    </row>
    <row r="1127" spans="1:8" hidden="1" x14ac:dyDescent="0.3">
      <c r="A1127" t="s">
        <v>7015</v>
      </c>
      <c r="B1127" t="s">
        <v>7015</v>
      </c>
      <c r="C1127" t="s">
        <v>1041</v>
      </c>
      <c r="D1127" t="s">
        <v>4522</v>
      </c>
      <c r="E1127" t="s">
        <v>14</v>
      </c>
      <c r="F1127" t="s">
        <v>5729</v>
      </c>
      <c r="G1127" s="1" t="s">
        <v>5730</v>
      </c>
      <c r="H1127" s="1" t="s">
        <v>1856</v>
      </c>
    </row>
    <row r="1128" spans="1:8" hidden="1" x14ac:dyDescent="0.3">
      <c r="A1128" t="s">
        <v>7016</v>
      </c>
      <c r="B1128" t="s">
        <v>7016</v>
      </c>
      <c r="C1128" t="s">
        <v>4539</v>
      </c>
      <c r="D1128" t="s">
        <v>4522</v>
      </c>
      <c r="E1128" t="s">
        <v>14</v>
      </c>
      <c r="F1128" t="s">
        <v>5729</v>
      </c>
      <c r="G1128" s="1" t="s">
        <v>5730</v>
      </c>
      <c r="H1128" s="1" t="s">
        <v>1927</v>
      </c>
    </row>
    <row r="1129" spans="1:8" hidden="1" x14ac:dyDescent="0.3">
      <c r="A1129" t="s">
        <v>7017</v>
      </c>
      <c r="B1129" t="s">
        <v>7017</v>
      </c>
      <c r="C1129" t="s">
        <v>4541</v>
      </c>
      <c r="D1129" t="s">
        <v>4522</v>
      </c>
      <c r="E1129" t="s">
        <v>14</v>
      </c>
      <c r="F1129" t="s">
        <v>5729</v>
      </c>
      <c r="G1129" s="1" t="s">
        <v>5730</v>
      </c>
      <c r="H1129" s="1" t="s">
        <v>1874</v>
      </c>
    </row>
    <row r="1130" spans="1:8" hidden="1" x14ac:dyDescent="0.3">
      <c r="A1130" t="s">
        <v>7018</v>
      </c>
      <c r="B1130" t="s">
        <v>7018</v>
      </c>
      <c r="C1130" t="s">
        <v>7019</v>
      </c>
      <c r="D1130" t="s">
        <v>4522</v>
      </c>
      <c r="E1130" t="s">
        <v>14</v>
      </c>
      <c r="F1130" t="s">
        <v>5729</v>
      </c>
      <c r="G1130" s="1" t="s">
        <v>5730</v>
      </c>
      <c r="H1130" s="1" t="s">
        <v>1927</v>
      </c>
    </row>
    <row r="1131" spans="1:8" hidden="1" x14ac:dyDescent="0.3">
      <c r="A1131" t="s">
        <v>7020</v>
      </c>
      <c r="B1131" t="s">
        <v>7020</v>
      </c>
      <c r="C1131" t="s">
        <v>1216</v>
      </c>
      <c r="D1131" t="s">
        <v>4522</v>
      </c>
      <c r="E1131" t="s">
        <v>14</v>
      </c>
      <c r="F1131" t="s">
        <v>5729</v>
      </c>
      <c r="G1131" s="1" t="s">
        <v>5730</v>
      </c>
      <c r="H1131" s="1" t="s">
        <v>1923</v>
      </c>
    </row>
    <row r="1132" spans="1:8" hidden="1" x14ac:dyDescent="0.3">
      <c r="A1132" t="s">
        <v>7021</v>
      </c>
      <c r="B1132" t="s">
        <v>7021</v>
      </c>
      <c r="C1132" t="s">
        <v>1321</v>
      </c>
      <c r="D1132" t="s">
        <v>4522</v>
      </c>
      <c r="E1132" t="s">
        <v>14</v>
      </c>
      <c r="F1132" t="s">
        <v>5729</v>
      </c>
      <c r="G1132" s="1" t="s">
        <v>5730</v>
      </c>
      <c r="H1132" s="1" t="s">
        <v>1923</v>
      </c>
    </row>
    <row r="1133" spans="1:8" hidden="1" x14ac:dyDescent="0.3">
      <c r="A1133" t="s">
        <v>7022</v>
      </c>
      <c r="B1133" t="s">
        <v>7022</v>
      </c>
      <c r="C1133" t="s">
        <v>1286</v>
      </c>
      <c r="D1133" t="s">
        <v>4522</v>
      </c>
      <c r="E1133" t="s">
        <v>14</v>
      </c>
      <c r="F1133" t="s">
        <v>5729</v>
      </c>
      <c r="G1133" s="1" t="s">
        <v>5730</v>
      </c>
      <c r="H1133" s="1" t="s">
        <v>1923</v>
      </c>
    </row>
    <row r="1134" spans="1:8" hidden="1" x14ac:dyDescent="0.3">
      <c r="A1134" t="s">
        <v>7023</v>
      </c>
      <c r="B1134" t="s">
        <v>7023</v>
      </c>
      <c r="C1134" t="s">
        <v>7024</v>
      </c>
      <c r="D1134" t="s">
        <v>4522</v>
      </c>
      <c r="E1134" t="s">
        <v>14</v>
      </c>
      <c r="F1134" t="s">
        <v>5729</v>
      </c>
      <c r="G1134" s="1" t="s">
        <v>5730</v>
      </c>
      <c r="H1134" s="1" t="s">
        <v>1856</v>
      </c>
    </row>
    <row r="1135" spans="1:8" hidden="1" x14ac:dyDescent="0.3">
      <c r="A1135" t="s">
        <v>7025</v>
      </c>
      <c r="B1135" t="s">
        <v>7025</v>
      </c>
      <c r="C1135" t="s">
        <v>1121</v>
      </c>
      <c r="D1135" t="s">
        <v>4522</v>
      </c>
      <c r="E1135" t="s">
        <v>14</v>
      </c>
      <c r="F1135" t="s">
        <v>5729</v>
      </c>
      <c r="G1135" s="1" t="s">
        <v>5730</v>
      </c>
      <c r="H1135" s="1" t="s">
        <v>1923</v>
      </c>
    </row>
    <row r="1136" spans="1:8" hidden="1" x14ac:dyDescent="0.3">
      <c r="A1136" t="s">
        <v>7026</v>
      </c>
      <c r="B1136" t="s">
        <v>7026</v>
      </c>
      <c r="C1136" t="s">
        <v>218</v>
      </c>
      <c r="D1136" t="s">
        <v>4549</v>
      </c>
      <c r="E1136" t="s">
        <v>14</v>
      </c>
      <c r="F1136" t="s">
        <v>5729</v>
      </c>
      <c r="G1136" s="1" t="s">
        <v>5730</v>
      </c>
      <c r="H1136" s="1" t="s">
        <v>1927</v>
      </c>
    </row>
    <row r="1137" spans="1:8" hidden="1" x14ac:dyDescent="0.3">
      <c r="A1137" t="s">
        <v>7027</v>
      </c>
      <c r="B1137" t="s">
        <v>7027</v>
      </c>
      <c r="C1137" t="s">
        <v>290</v>
      </c>
      <c r="D1137" t="s">
        <v>4549</v>
      </c>
      <c r="E1137" t="s">
        <v>14</v>
      </c>
      <c r="F1137" t="s">
        <v>5729</v>
      </c>
      <c r="G1137" s="1" t="s">
        <v>5730</v>
      </c>
      <c r="H1137" s="1" t="s">
        <v>1923</v>
      </c>
    </row>
    <row r="1138" spans="1:8" hidden="1" x14ac:dyDescent="0.3">
      <c r="A1138" t="s">
        <v>7028</v>
      </c>
      <c r="B1138" t="s">
        <v>7028</v>
      </c>
      <c r="C1138" t="s">
        <v>364</v>
      </c>
      <c r="D1138" t="s">
        <v>4549</v>
      </c>
      <c r="E1138" t="s">
        <v>14</v>
      </c>
      <c r="F1138" t="s">
        <v>5729</v>
      </c>
      <c r="G1138" s="1" t="s">
        <v>5730</v>
      </c>
      <c r="H1138" s="1" t="s">
        <v>1874</v>
      </c>
    </row>
    <row r="1139" spans="1:8" hidden="1" x14ac:dyDescent="0.3">
      <c r="A1139" t="s">
        <v>7029</v>
      </c>
      <c r="B1139" t="s">
        <v>7029</v>
      </c>
      <c r="C1139" t="s">
        <v>435</v>
      </c>
      <c r="D1139" t="s">
        <v>4549</v>
      </c>
      <c r="E1139" t="s">
        <v>14</v>
      </c>
      <c r="F1139" t="s">
        <v>5729</v>
      </c>
      <c r="G1139" s="1" t="s">
        <v>5730</v>
      </c>
      <c r="H1139" s="1" t="s">
        <v>1927</v>
      </c>
    </row>
    <row r="1140" spans="1:8" hidden="1" x14ac:dyDescent="0.3">
      <c r="A1140" t="s">
        <v>7030</v>
      </c>
      <c r="B1140" t="s">
        <v>7030</v>
      </c>
      <c r="C1140" t="s">
        <v>711</v>
      </c>
      <c r="D1140" t="s">
        <v>4549</v>
      </c>
      <c r="E1140" t="s">
        <v>14</v>
      </c>
      <c r="F1140" t="s">
        <v>5729</v>
      </c>
      <c r="G1140" s="1" t="s">
        <v>5730</v>
      </c>
      <c r="H1140" s="1" t="s">
        <v>1874</v>
      </c>
    </row>
    <row r="1141" spans="1:8" hidden="1" x14ac:dyDescent="0.3">
      <c r="A1141" t="s">
        <v>7031</v>
      </c>
      <c r="B1141" t="s">
        <v>7031</v>
      </c>
      <c r="C1141" t="s">
        <v>482</v>
      </c>
      <c r="D1141" t="s">
        <v>4549</v>
      </c>
      <c r="E1141" t="s">
        <v>14</v>
      </c>
      <c r="F1141" t="s">
        <v>5781</v>
      </c>
      <c r="G1141" s="1" t="s">
        <v>5730</v>
      </c>
      <c r="H1141" s="1" t="s">
        <v>1893</v>
      </c>
    </row>
    <row r="1142" spans="1:8" hidden="1" x14ac:dyDescent="0.3">
      <c r="A1142" t="s">
        <v>7032</v>
      </c>
      <c r="B1142" t="s">
        <v>7032</v>
      </c>
      <c r="C1142" t="s">
        <v>888</v>
      </c>
      <c r="D1142" t="s">
        <v>4549</v>
      </c>
      <c r="E1142" t="s">
        <v>14</v>
      </c>
      <c r="F1142" t="s">
        <v>5729</v>
      </c>
      <c r="G1142" s="1" t="s">
        <v>5730</v>
      </c>
      <c r="H1142" s="1" t="s">
        <v>1874</v>
      </c>
    </row>
    <row r="1143" spans="1:8" hidden="1" x14ac:dyDescent="0.3">
      <c r="A1143" t="s">
        <v>7033</v>
      </c>
      <c r="B1143" t="s">
        <v>7033</v>
      </c>
      <c r="C1143" t="s">
        <v>7034</v>
      </c>
      <c r="D1143" t="s">
        <v>4549</v>
      </c>
      <c r="E1143" t="s">
        <v>14</v>
      </c>
      <c r="F1143" t="s">
        <v>5729</v>
      </c>
      <c r="G1143" s="1" t="s">
        <v>5730</v>
      </c>
      <c r="H1143" s="1" t="s">
        <v>1927</v>
      </c>
    </row>
    <row r="1144" spans="1:8" hidden="1" x14ac:dyDescent="0.3">
      <c r="A1144" t="s">
        <v>7035</v>
      </c>
      <c r="B1144" t="s">
        <v>7035</v>
      </c>
      <c r="C1144" t="s">
        <v>7036</v>
      </c>
      <c r="D1144" t="s">
        <v>4549</v>
      </c>
      <c r="E1144" t="s">
        <v>14</v>
      </c>
      <c r="F1144" t="s">
        <v>5734</v>
      </c>
      <c r="G1144" s="1" t="s">
        <v>1961</v>
      </c>
      <c r="H1144" s="1" t="s">
        <v>1927</v>
      </c>
    </row>
    <row r="1145" spans="1:8" hidden="1" x14ac:dyDescent="0.3">
      <c r="A1145" t="s">
        <v>7037</v>
      </c>
      <c r="B1145" t="s">
        <v>7037</v>
      </c>
      <c r="C1145" t="s">
        <v>7038</v>
      </c>
      <c r="D1145" t="s">
        <v>4549</v>
      </c>
      <c r="E1145" t="s">
        <v>14</v>
      </c>
      <c r="F1145" t="s">
        <v>5781</v>
      </c>
      <c r="G1145" s="1" t="s">
        <v>1961</v>
      </c>
      <c r="H1145" s="1" t="s">
        <v>1874</v>
      </c>
    </row>
    <row r="1146" spans="1:8" hidden="1" x14ac:dyDescent="0.3">
      <c r="A1146" t="s">
        <v>7039</v>
      </c>
      <c r="B1146" t="s">
        <v>7039</v>
      </c>
      <c r="C1146" t="s">
        <v>993</v>
      </c>
      <c r="D1146" t="s">
        <v>4549</v>
      </c>
      <c r="E1146" t="s">
        <v>14</v>
      </c>
      <c r="F1146" t="s">
        <v>5729</v>
      </c>
      <c r="G1146" s="1" t="s">
        <v>5730</v>
      </c>
      <c r="H1146" s="1" t="s">
        <v>1923</v>
      </c>
    </row>
    <row r="1147" spans="1:8" hidden="1" x14ac:dyDescent="0.3">
      <c r="A1147" t="s">
        <v>7040</v>
      </c>
      <c r="B1147" t="s">
        <v>7040</v>
      </c>
      <c r="C1147" t="s">
        <v>1042</v>
      </c>
      <c r="D1147" t="s">
        <v>4549</v>
      </c>
      <c r="E1147" t="s">
        <v>14</v>
      </c>
      <c r="F1147" t="s">
        <v>5734</v>
      </c>
      <c r="G1147" s="1" t="s">
        <v>5730</v>
      </c>
      <c r="H1147" s="1" t="s">
        <v>1856</v>
      </c>
    </row>
    <row r="1148" spans="1:8" hidden="1" x14ac:dyDescent="0.3">
      <c r="A1148" t="s">
        <v>7041</v>
      </c>
      <c r="B1148" t="s">
        <v>7041</v>
      </c>
      <c r="C1148" t="s">
        <v>4565</v>
      </c>
      <c r="D1148" t="s">
        <v>4549</v>
      </c>
      <c r="E1148" t="s">
        <v>14</v>
      </c>
      <c r="F1148" t="s">
        <v>5729</v>
      </c>
      <c r="G1148" s="1" t="s">
        <v>5730</v>
      </c>
      <c r="H1148" s="1" t="s">
        <v>1923</v>
      </c>
    </row>
    <row r="1149" spans="1:8" hidden="1" x14ac:dyDescent="0.3">
      <c r="A1149" t="s">
        <v>7042</v>
      </c>
      <c r="B1149" t="s">
        <v>7042</v>
      </c>
      <c r="C1149" t="s">
        <v>1122</v>
      </c>
      <c r="D1149" t="s">
        <v>4549</v>
      </c>
      <c r="E1149" t="s">
        <v>14</v>
      </c>
      <c r="F1149" t="s">
        <v>5729</v>
      </c>
      <c r="G1149" s="1" t="s">
        <v>5730</v>
      </c>
      <c r="H1149" s="1" t="s">
        <v>1923</v>
      </c>
    </row>
    <row r="1150" spans="1:8" hidden="1" x14ac:dyDescent="0.3">
      <c r="A1150" t="s">
        <v>7043</v>
      </c>
      <c r="B1150" t="s">
        <v>7043</v>
      </c>
      <c r="C1150" t="s">
        <v>7044</v>
      </c>
      <c r="D1150" t="s">
        <v>4549</v>
      </c>
      <c r="E1150" t="s">
        <v>14</v>
      </c>
      <c r="F1150" t="s">
        <v>5734</v>
      </c>
      <c r="G1150" s="1" t="s">
        <v>1961</v>
      </c>
      <c r="H1150" s="1" t="s">
        <v>1927</v>
      </c>
    </row>
    <row r="1151" spans="1:8" hidden="1" x14ac:dyDescent="0.3">
      <c r="A1151" t="s">
        <v>7045</v>
      </c>
      <c r="B1151" t="s">
        <v>7045</v>
      </c>
      <c r="C1151" t="s">
        <v>1158</v>
      </c>
      <c r="D1151" t="s">
        <v>4549</v>
      </c>
      <c r="E1151" t="s">
        <v>14</v>
      </c>
      <c r="F1151" t="s">
        <v>5729</v>
      </c>
      <c r="G1151" s="1" t="s">
        <v>5730</v>
      </c>
      <c r="H1151" s="1" t="s">
        <v>1927</v>
      </c>
    </row>
    <row r="1152" spans="1:8" hidden="1" x14ac:dyDescent="0.3">
      <c r="A1152" t="s">
        <v>7046</v>
      </c>
      <c r="B1152" t="s">
        <v>7046</v>
      </c>
      <c r="C1152" t="s">
        <v>7047</v>
      </c>
      <c r="D1152" t="s">
        <v>4549</v>
      </c>
      <c r="E1152" t="s">
        <v>14</v>
      </c>
      <c r="F1152" t="s">
        <v>5729</v>
      </c>
      <c r="G1152" s="1" t="s">
        <v>5730</v>
      </c>
      <c r="H1152" s="1" t="s">
        <v>1927</v>
      </c>
    </row>
    <row r="1153" spans="1:8" hidden="1" x14ac:dyDescent="0.3">
      <c r="A1153" t="s">
        <v>7048</v>
      </c>
      <c r="B1153" t="s">
        <v>7048</v>
      </c>
      <c r="C1153" t="s">
        <v>219</v>
      </c>
      <c r="D1153" t="s">
        <v>4573</v>
      </c>
      <c r="E1153" t="s">
        <v>14</v>
      </c>
      <c r="F1153" t="s">
        <v>5729</v>
      </c>
      <c r="G1153" s="1" t="s">
        <v>5730</v>
      </c>
      <c r="H1153" s="1" t="s">
        <v>1856</v>
      </c>
    </row>
    <row r="1154" spans="1:8" hidden="1" x14ac:dyDescent="0.3">
      <c r="A1154" t="s">
        <v>7049</v>
      </c>
      <c r="B1154" t="s">
        <v>7049</v>
      </c>
      <c r="C1154" t="s">
        <v>291</v>
      </c>
      <c r="D1154" t="s">
        <v>4573</v>
      </c>
      <c r="E1154" t="s">
        <v>14</v>
      </c>
      <c r="F1154" t="s">
        <v>5734</v>
      </c>
      <c r="G1154" s="1" t="s">
        <v>5730</v>
      </c>
      <c r="H1154" s="1" t="s">
        <v>1856</v>
      </c>
    </row>
    <row r="1155" spans="1:8" hidden="1" x14ac:dyDescent="0.3">
      <c r="A1155" t="s">
        <v>7050</v>
      </c>
      <c r="B1155" t="s">
        <v>7050</v>
      </c>
      <c r="C1155" t="s">
        <v>365</v>
      </c>
      <c r="D1155" t="s">
        <v>4573</v>
      </c>
      <c r="E1155" t="s">
        <v>14</v>
      </c>
      <c r="F1155" t="s">
        <v>5729</v>
      </c>
      <c r="G1155" s="1" t="s">
        <v>5730</v>
      </c>
      <c r="H1155" s="1" t="s">
        <v>1923</v>
      </c>
    </row>
    <row r="1156" spans="1:8" hidden="1" x14ac:dyDescent="0.3">
      <c r="A1156" t="s">
        <v>7051</v>
      </c>
      <c r="B1156" t="s">
        <v>7051</v>
      </c>
      <c r="C1156" t="s">
        <v>436</v>
      </c>
      <c r="D1156" t="s">
        <v>4573</v>
      </c>
      <c r="E1156" t="s">
        <v>14</v>
      </c>
      <c r="F1156" t="s">
        <v>5729</v>
      </c>
      <c r="G1156" s="1" t="s">
        <v>5730</v>
      </c>
      <c r="H1156" s="1" t="s">
        <v>1893</v>
      </c>
    </row>
    <row r="1157" spans="1:8" hidden="1" x14ac:dyDescent="0.3">
      <c r="A1157" t="s">
        <v>7052</v>
      </c>
      <c r="B1157" t="s">
        <v>7052</v>
      </c>
      <c r="C1157" t="s">
        <v>7053</v>
      </c>
      <c r="D1157" t="s">
        <v>4573</v>
      </c>
      <c r="E1157" t="s">
        <v>14</v>
      </c>
      <c r="F1157" t="s">
        <v>5747</v>
      </c>
      <c r="G1157" s="1" t="s">
        <v>1855</v>
      </c>
      <c r="H1157" s="1" t="s">
        <v>1856</v>
      </c>
    </row>
    <row r="1158" spans="1:8" hidden="1" x14ac:dyDescent="0.3">
      <c r="A1158" t="s">
        <v>7054</v>
      </c>
      <c r="B1158" t="s">
        <v>7054</v>
      </c>
      <c r="C1158" t="s">
        <v>690</v>
      </c>
      <c r="D1158" t="s">
        <v>4573</v>
      </c>
      <c r="E1158" t="s">
        <v>14</v>
      </c>
      <c r="F1158" t="s">
        <v>5734</v>
      </c>
      <c r="G1158" s="1" t="s">
        <v>5730</v>
      </c>
      <c r="H1158" s="1" t="s">
        <v>1856</v>
      </c>
    </row>
    <row r="1159" spans="1:8" hidden="1" x14ac:dyDescent="0.3">
      <c r="A1159" t="s">
        <v>7055</v>
      </c>
      <c r="B1159" t="s">
        <v>7055</v>
      </c>
      <c r="C1159" t="s">
        <v>4579</v>
      </c>
      <c r="D1159" t="s">
        <v>4573</v>
      </c>
      <c r="E1159" t="s">
        <v>14</v>
      </c>
      <c r="F1159" t="s">
        <v>5729</v>
      </c>
      <c r="G1159" s="1" t="s">
        <v>1961</v>
      </c>
      <c r="H1159" s="1" t="s">
        <v>1923</v>
      </c>
    </row>
    <row r="1160" spans="1:8" hidden="1" x14ac:dyDescent="0.3">
      <c r="A1160" t="s">
        <v>7056</v>
      </c>
      <c r="B1160" t="s">
        <v>7056</v>
      </c>
      <c r="C1160" t="s">
        <v>7057</v>
      </c>
      <c r="D1160" t="s">
        <v>4573</v>
      </c>
      <c r="E1160" t="s">
        <v>14</v>
      </c>
      <c r="F1160" t="s">
        <v>5781</v>
      </c>
      <c r="G1160" s="1" t="s">
        <v>1961</v>
      </c>
      <c r="H1160" s="1" t="s">
        <v>1856</v>
      </c>
    </row>
    <row r="1161" spans="1:8" hidden="1" x14ac:dyDescent="0.3">
      <c r="A1161" t="s">
        <v>7058</v>
      </c>
      <c r="B1161" t="s">
        <v>7058</v>
      </c>
      <c r="C1161" t="s">
        <v>775</v>
      </c>
      <c r="D1161" t="s">
        <v>4573</v>
      </c>
      <c r="E1161" t="s">
        <v>14</v>
      </c>
      <c r="F1161" t="s">
        <v>5729</v>
      </c>
      <c r="G1161" s="1" t="s">
        <v>5730</v>
      </c>
      <c r="H1161" s="1" t="s">
        <v>1874</v>
      </c>
    </row>
    <row r="1162" spans="1:8" hidden="1" x14ac:dyDescent="0.3">
      <c r="A1162" t="s">
        <v>7059</v>
      </c>
      <c r="B1162" t="s">
        <v>7059</v>
      </c>
      <c r="C1162" t="s">
        <v>834</v>
      </c>
      <c r="D1162" t="s">
        <v>4573</v>
      </c>
      <c r="E1162" t="s">
        <v>14</v>
      </c>
      <c r="F1162" t="s">
        <v>5729</v>
      </c>
      <c r="G1162" s="1" t="s">
        <v>5730</v>
      </c>
      <c r="H1162" s="1" t="s">
        <v>1856</v>
      </c>
    </row>
    <row r="1163" spans="1:8" hidden="1" x14ac:dyDescent="0.3">
      <c r="A1163" t="s">
        <v>7060</v>
      </c>
      <c r="B1163" t="s">
        <v>7060</v>
      </c>
      <c r="C1163" t="s">
        <v>889</v>
      </c>
      <c r="D1163" t="s">
        <v>4573</v>
      </c>
      <c r="E1163" t="s">
        <v>14</v>
      </c>
      <c r="F1163" t="s">
        <v>5734</v>
      </c>
      <c r="G1163" s="1" t="s">
        <v>5730</v>
      </c>
      <c r="H1163" s="1" t="s">
        <v>1856</v>
      </c>
    </row>
    <row r="1164" spans="1:8" hidden="1" x14ac:dyDescent="0.3">
      <c r="A1164" t="s">
        <v>7061</v>
      </c>
      <c r="B1164" t="s">
        <v>7061</v>
      </c>
      <c r="C1164" t="s">
        <v>947</v>
      </c>
      <c r="D1164" t="s">
        <v>4573</v>
      </c>
      <c r="E1164" t="s">
        <v>14</v>
      </c>
      <c r="F1164" t="s">
        <v>5729</v>
      </c>
      <c r="G1164" s="1" t="s">
        <v>5730</v>
      </c>
      <c r="H1164" s="1" t="s">
        <v>1923</v>
      </c>
    </row>
    <row r="1165" spans="1:8" hidden="1" x14ac:dyDescent="0.3">
      <c r="A1165" t="s">
        <v>7062</v>
      </c>
      <c r="B1165" t="s">
        <v>7062</v>
      </c>
      <c r="C1165" t="s">
        <v>994</v>
      </c>
      <c r="D1165" t="s">
        <v>4573</v>
      </c>
      <c r="E1165" t="s">
        <v>14</v>
      </c>
      <c r="F1165" t="s">
        <v>5729</v>
      </c>
      <c r="G1165" s="1" t="s">
        <v>5730</v>
      </c>
      <c r="H1165" s="1" t="s">
        <v>1893</v>
      </c>
    </row>
    <row r="1166" spans="1:8" hidden="1" x14ac:dyDescent="0.3">
      <c r="A1166" t="s">
        <v>7063</v>
      </c>
      <c r="B1166" t="s">
        <v>7063</v>
      </c>
      <c r="C1166" t="s">
        <v>1043</v>
      </c>
      <c r="D1166" t="s">
        <v>4573</v>
      </c>
      <c r="E1166" t="s">
        <v>14</v>
      </c>
      <c r="F1166" t="s">
        <v>5781</v>
      </c>
      <c r="G1166" s="1" t="s">
        <v>5730</v>
      </c>
      <c r="H1166" s="1" t="s">
        <v>1874</v>
      </c>
    </row>
    <row r="1167" spans="1:8" hidden="1" x14ac:dyDescent="0.3">
      <c r="A1167" t="s">
        <v>7064</v>
      </c>
      <c r="B1167" t="s">
        <v>7064</v>
      </c>
      <c r="C1167" t="s">
        <v>818</v>
      </c>
      <c r="D1167" t="s">
        <v>4573</v>
      </c>
      <c r="E1167" t="s">
        <v>14</v>
      </c>
      <c r="F1167" t="s">
        <v>5729</v>
      </c>
      <c r="G1167" s="1" t="s">
        <v>5730</v>
      </c>
      <c r="H1167" s="1" t="s">
        <v>1923</v>
      </c>
    </row>
    <row r="1168" spans="1:8" hidden="1" x14ac:dyDescent="0.3">
      <c r="A1168" t="s">
        <v>7065</v>
      </c>
      <c r="B1168" t="s">
        <v>7065</v>
      </c>
      <c r="C1168" t="s">
        <v>1123</v>
      </c>
      <c r="D1168" t="s">
        <v>4573</v>
      </c>
      <c r="E1168" t="s">
        <v>14</v>
      </c>
      <c r="F1168" t="s">
        <v>5729</v>
      </c>
      <c r="G1168" s="1" t="s">
        <v>5730</v>
      </c>
      <c r="H1168" s="1" t="s">
        <v>2676</v>
      </c>
    </row>
    <row r="1169" spans="1:8" hidden="1" x14ac:dyDescent="0.3">
      <c r="A1169" t="s">
        <v>7066</v>
      </c>
      <c r="B1169" t="s">
        <v>7066</v>
      </c>
      <c r="C1169" t="s">
        <v>7067</v>
      </c>
      <c r="D1169" t="s">
        <v>4573</v>
      </c>
      <c r="E1169" t="s">
        <v>14</v>
      </c>
      <c r="F1169" t="s">
        <v>5729</v>
      </c>
      <c r="G1169" s="1" t="s">
        <v>5730</v>
      </c>
      <c r="H1169" s="1" t="s">
        <v>1874</v>
      </c>
    </row>
    <row r="1170" spans="1:8" hidden="1" x14ac:dyDescent="0.3">
      <c r="A1170" t="s">
        <v>7068</v>
      </c>
      <c r="B1170" t="s">
        <v>7068</v>
      </c>
      <c r="C1170" t="s">
        <v>1187</v>
      </c>
      <c r="D1170" t="s">
        <v>4573</v>
      </c>
      <c r="E1170" t="s">
        <v>14</v>
      </c>
      <c r="F1170" t="s">
        <v>5729</v>
      </c>
      <c r="G1170" s="1" t="s">
        <v>5730</v>
      </c>
      <c r="H1170" s="1" t="s">
        <v>1874</v>
      </c>
    </row>
    <row r="1171" spans="1:8" hidden="1" x14ac:dyDescent="0.3">
      <c r="A1171" t="s">
        <v>7069</v>
      </c>
      <c r="B1171" t="s">
        <v>7069</v>
      </c>
      <c r="C1171" t="s">
        <v>1217</v>
      </c>
      <c r="D1171" t="s">
        <v>4573</v>
      </c>
      <c r="E1171" t="s">
        <v>14</v>
      </c>
      <c r="F1171" t="s">
        <v>5729</v>
      </c>
      <c r="G1171" s="1" t="s">
        <v>5730</v>
      </c>
      <c r="H1171" s="1" t="s">
        <v>1874</v>
      </c>
    </row>
    <row r="1172" spans="1:8" hidden="1" x14ac:dyDescent="0.3">
      <c r="A1172" t="s">
        <v>7070</v>
      </c>
      <c r="B1172" t="s">
        <v>7070</v>
      </c>
      <c r="C1172" t="s">
        <v>1244</v>
      </c>
      <c r="D1172" t="s">
        <v>4573</v>
      </c>
      <c r="E1172" t="s">
        <v>14</v>
      </c>
      <c r="F1172" t="s">
        <v>5729</v>
      </c>
      <c r="G1172" s="1" t="s">
        <v>5730</v>
      </c>
      <c r="H1172" s="1" t="s">
        <v>1927</v>
      </c>
    </row>
    <row r="1173" spans="1:8" hidden="1" x14ac:dyDescent="0.3">
      <c r="A1173" t="s">
        <v>7071</v>
      </c>
      <c r="B1173" t="s">
        <v>7071</v>
      </c>
      <c r="C1173" t="s">
        <v>1265</v>
      </c>
      <c r="D1173" t="s">
        <v>4573</v>
      </c>
      <c r="E1173" t="s">
        <v>14</v>
      </c>
      <c r="F1173" t="s">
        <v>5729</v>
      </c>
      <c r="G1173" s="1" t="s">
        <v>5730</v>
      </c>
      <c r="H1173" s="1" t="s">
        <v>1856</v>
      </c>
    </row>
    <row r="1174" spans="1:8" hidden="1" x14ac:dyDescent="0.3">
      <c r="A1174" t="s">
        <v>7072</v>
      </c>
      <c r="B1174" t="s">
        <v>7072</v>
      </c>
      <c r="C1174" t="s">
        <v>1287</v>
      </c>
      <c r="D1174" t="s">
        <v>4573</v>
      </c>
      <c r="E1174" t="s">
        <v>14</v>
      </c>
      <c r="F1174" t="s">
        <v>5729</v>
      </c>
      <c r="G1174" s="1" t="s">
        <v>5730</v>
      </c>
      <c r="H1174" s="1" t="s">
        <v>1874</v>
      </c>
    </row>
    <row r="1175" spans="1:8" hidden="1" x14ac:dyDescent="0.3">
      <c r="A1175" t="s">
        <v>7073</v>
      </c>
      <c r="B1175" t="s">
        <v>7073</v>
      </c>
      <c r="C1175" t="s">
        <v>1306</v>
      </c>
      <c r="D1175" t="s">
        <v>4573</v>
      </c>
      <c r="E1175" t="s">
        <v>14</v>
      </c>
      <c r="F1175" t="s">
        <v>5729</v>
      </c>
      <c r="G1175" s="1" t="s">
        <v>5730</v>
      </c>
      <c r="H1175" s="1" t="s">
        <v>1893</v>
      </c>
    </row>
    <row r="1176" spans="1:8" hidden="1" x14ac:dyDescent="0.3">
      <c r="A1176" t="s">
        <v>7074</v>
      </c>
      <c r="B1176" t="s">
        <v>7074</v>
      </c>
      <c r="C1176" t="s">
        <v>1321</v>
      </c>
      <c r="D1176" t="s">
        <v>4573</v>
      </c>
      <c r="E1176" t="s">
        <v>14</v>
      </c>
      <c r="F1176" t="s">
        <v>5729</v>
      </c>
      <c r="G1176" s="1" t="s">
        <v>5730</v>
      </c>
      <c r="H1176" s="1" t="s">
        <v>1856</v>
      </c>
    </row>
    <row r="1177" spans="1:8" hidden="1" x14ac:dyDescent="0.3">
      <c r="A1177" t="s">
        <v>7075</v>
      </c>
      <c r="B1177" t="s">
        <v>7075</v>
      </c>
      <c r="C1177" t="s">
        <v>1339</v>
      </c>
      <c r="D1177" t="s">
        <v>4573</v>
      </c>
      <c r="E1177" t="s">
        <v>14</v>
      </c>
      <c r="F1177" t="s">
        <v>5729</v>
      </c>
      <c r="G1177" s="1" t="s">
        <v>5730</v>
      </c>
      <c r="H1177" s="1" t="s">
        <v>1927</v>
      </c>
    </row>
    <row r="1178" spans="1:8" hidden="1" x14ac:dyDescent="0.3">
      <c r="A1178" t="s">
        <v>7076</v>
      </c>
      <c r="B1178" t="s">
        <v>7076</v>
      </c>
      <c r="C1178" t="s">
        <v>1352</v>
      </c>
      <c r="D1178" t="s">
        <v>4573</v>
      </c>
      <c r="E1178" t="s">
        <v>14</v>
      </c>
      <c r="F1178" t="s">
        <v>5729</v>
      </c>
      <c r="G1178" s="1" t="s">
        <v>5730</v>
      </c>
      <c r="H1178" s="1" t="s">
        <v>1856</v>
      </c>
    </row>
    <row r="1179" spans="1:8" hidden="1" x14ac:dyDescent="0.3">
      <c r="A1179" t="s">
        <v>7077</v>
      </c>
      <c r="B1179" t="s">
        <v>7077</v>
      </c>
      <c r="C1179" t="s">
        <v>7078</v>
      </c>
      <c r="D1179" t="s">
        <v>4608</v>
      </c>
      <c r="E1179" t="s">
        <v>15</v>
      </c>
      <c r="F1179" t="s">
        <v>5734</v>
      </c>
      <c r="G1179" s="1" t="s">
        <v>5730</v>
      </c>
      <c r="H1179" s="1" t="s">
        <v>1856</v>
      </c>
    </row>
    <row r="1180" spans="1:8" hidden="1" x14ac:dyDescent="0.3">
      <c r="A1180" t="s">
        <v>7079</v>
      </c>
      <c r="B1180" t="s">
        <v>7079</v>
      </c>
      <c r="C1180" t="s">
        <v>366</v>
      </c>
      <c r="D1180" t="s">
        <v>4608</v>
      </c>
      <c r="E1180" t="s">
        <v>15</v>
      </c>
      <c r="F1180" t="s">
        <v>5734</v>
      </c>
      <c r="G1180" s="1" t="s">
        <v>5730</v>
      </c>
      <c r="H1180" s="1" t="s">
        <v>1856</v>
      </c>
    </row>
    <row r="1181" spans="1:8" hidden="1" x14ac:dyDescent="0.3">
      <c r="A1181" t="s">
        <v>7080</v>
      </c>
      <c r="B1181" t="s">
        <v>7080</v>
      </c>
      <c r="C1181" t="s">
        <v>647</v>
      </c>
      <c r="D1181" t="s">
        <v>4608</v>
      </c>
      <c r="E1181" t="s">
        <v>15</v>
      </c>
      <c r="F1181" t="s">
        <v>5734</v>
      </c>
      <c r="G1181" s="1" t="s">
        <v>5730</v>
      </c>
      <c r="H1181" s="1" t="s">
        <v>1856</v>
      </c>
    </row>
    <row r="1182" spans="1:8" hidden="1" x14ac:dyDescent="0.3">
      <c r="A1182" t="s">
        <v>7081</v>
      </c>
      <c r="B1182" t="s">
        <v>7081</v>
      </c>
      <c r="C1182" t="s">
        <v>4613</v>
      </c>
      <c r="D1182" t="s">
        <v>4608</v>
      </c>
      <c r="E1182" t="s">
        <v>15</v>
      </c>
      <c r="F1182" t="s">
        <v>5734</v>
      </c>
      <c r="G1182" s="1" t="s">
        <v>5730</v>
      </c>
      <c r="H1182" s="1" t="s">
        <v>1856</v>
      </c>
    </row>
    <row r="1183" spans="1:8" hidden="1" x14ac:dyDescent="0.3">
      <c r="A1183" t="s">
        <v>7082</v>
      </c>
      <c r="B1183" t="s">
        <v>7082</v>
      </c>
      <c r="C1183" t="s">
        <v>4615</v>
      </c>
      <c r="D1183" t="s">
        <v>4608</v>
      </c>
      <c r="E1183" t="s">
        <v>15</v>
      </c>
      <c r="F1183" t="s">
        <v>5781</v>
      </c>
      <c r="G1183" s="1" t="s">
        <v>1961</v>
      </c>
      <c r="H1183" s="1" t="s">
        <v>1856</v>
      </c>
    </row>
    <row r="1184" spans="1:8" hidden="1" x14ac:dyDescent="0.3">
      <c r="A1184" t="s">
        <v>7083</v>
      </c>
      <c r="B1184" t="s">
        <v>7083</v>
      </c>
      <c r="C1184" t="s">
        <v>4617</v>
      </c>
      <c r="D1184" t="s">
        <v>4608</v>
      </c>
      <c r="E1184" t="s">
        <v>15</v>
      </c>
      <c r="F1184" t="s">
        <v>5729</v>
      </c>
      <c r="G1184" s="1" t="s">
        <v>1961</v>
      </c>
      <c r="H1184" s="1" t="s">
        <v>1874</v>
      </c>
    </row>
    <row r="1185" spans="1:8" hidden="1" x14ac:dyDescent="0.3">
      <c r="A1185" t="s">
        <v>7084</v>
      </c>
      <c r="B1185" t="s">
        <v>7084</v>
      </c>
      <c r="C1185" t="s">
        <v>2158</v>
      </c>
      <c r="D1185" t="s">
        <v>4608</v>
      </c>
      <c r="E1185" t="s">
        <v>15</v>
      </c>
      <c r="F1185" t="s">
        <v>5734</v>
      </c>
      <c r="G1185" s="1" t="s">
        <v>5730</v>
      </c>
      <c r="H1185" s="1" t="s">
        <v>1856</v>
      </c>
    </row>
    <row r="1186" spans="1:8" hidden="1" x14ac:dyDescent="0.3">
      <c r="A1186" t="s">
        <v>7085</v>
      </c>
      <c r="B1186" t="s">
        <v>7085</v>
      </c>
      <c r="C1186" t="s">
        <v>7086</v>
      </c>
      <c r="D1186" t="s">
        <v>4608</v>
      </c>
      <c r="E1186" t="s">
        <v>15</v>
      </c>
      <c r="F1186" t="s">
        <v>5747</v>
      </c>
      <c r="G1186" s="1" t="s">
        <v>1961</v>
      </c>
      <c r="H1186" s="1" t="s">
        <v>1856</v>
      </c>
    </row>
    <row r="1187" spans="1:8" hidden="1" x14ac:dyDescent="0.3">
      <c r="A1187" t="s">
        <v>7087</v>
      </c>
      <c r="B1187" t="s">
        <v>7087</v>
      </c>
      <c r="C1187" t="s">
        <v>890</v>
      </c>
      <c r="D1187" t="s">
        <v>4608</v>
      </c>
      <c r="E1187" t="s">
        <v>15</v>
      </c>
      <c r="F1187" t="s">
        <v>5729</v>
      </c>
      <c r="G1187" s="1" t="s">
        <v>5730</v>
      </c>
      <c r="H1187" s="1" t="s">
        <v>1856</v>
      </c>
    </row>
    <row r="1188" spans="1:8" hidden="1" x14ac:dyDescent="0.3">
      <c r="A1188" t="s">
        <v>7088</v>
      </c>
      <c r="B1188" t="s">
        <v>7088</v>
      </c>
      <c r="C1188" t="s">
        <v>4623</v>
      </c>
      <c r="D1188" t="s">
        <v>4608</v>
      </c>
      <c r="E1188" t="s">
        <v>15</v>
      </c>
      <c r="F1188" t="s">
        <v>5729</v>
      </c>
      <c r="G1188" s="1" t="s">
        <v>5730</v>
      </c>
      <c r="H1188" s="1" t="s">
        <v>1927</v>
      </c>
    </row>
    <row r="1189" spans="1:8" hidden="1" x14ac:dyDescent="0.3">
      <c r="A1189" t="s">
        <v>7089</v>
      </c>
      <c r="B1189" t="s">
        <v>7089</v>
      </c>
      <c r="C1189" t="s">
        <v>1916</v>
      </c>
      <c r="D1189" t="s">
        <v>4608</v>
      </c>
      <c r="E1189" t="s">
        <v>15</v>
      </c>
      <c r="F1189" t="s">
        <v>5781</v>
      </c>
      <c r="G1189" s="1" t="s">
        <v>5730</v>
      </c>
      <c r="H1189" s="1" t="s">
        <v>1927</v>
      </c>
    </row>
    <row r="1190" spans="1:8" hidden="1" x14ac:dyDescent="0.3">
      <c r="A1190" t="s">
        <v>7090</v>
      </c>
      <c r="B1190" t="s">
        <v>7090</v>
      </c>
      <c r="C1190" t="s">
        <v>221</v>
      </c>
      <c r="D1190" t="s">
        <v>4626</v>
      </c>
      <c r="E1190" t="s">
        <v>15</v>
      </c>
      <c r="F1190" t="s">
        <v>5729</v>
      </c>
      <c r="G1190" s="1" t="s">
        <v>5730</v>
      </c>
      <c r="H1190" s="1" t="s">
        <v>1856</v>
      </c>
    </row>
    <row r="1191" spans="1:8" hidden="1" x14ac:dyDescent="0.3">
      <c r="A1191" t="s">
        <v>7091</v>
      </c>
      <c r="B1191" t="s">
        <v>7091</v>
      </c>
      <c r="C1191" t="s">
        <v>7092</v>
      </c>
      <c r="D1191" t="s">
        <v>4626</v>
      </c>
      <c r="E1191" t="s">
        <v>15</v>
      </c>
      <c r="F1191" t="s">
        <v>6643</v>
      </c>
      <c r="G1191" s="1" t="s">
        <v>1855</v>
      </c>
      <c r="H1191" s="1" t="s">
        <v>1856</v>
      </c>
    </row>
    <row r="1192" spans="1:8" hidden="1" x14ac:dyDescent="0.3">
      <c r="A1192" t="s">
        <v>7093</v>
      </c>
      <c r="B1192" t="s">
        <v>7093</v>
      </c>
      <c r="C1192" t="s">
        <v>7094</v>
      </c>
      <c r="D1192" t="s">
        <v>4626</v>
      </c>
      <c r="E1192" t="s">
        <v>15</v>
      </c>
      <c r="F1192" t="s">
        <v>5781</v>
      </c>
      <c r="G1192" s="1" t="s">
        <v>1961</v>
      </c>
      <c r="H1192" s="1" t="s">
        <v>1856</v>
      </c>
    </row>
    <row r="1193" spans="1:8" hidden="1" x14ac:dyDescent="0.3">
      <c r="A1193" t="s">
        <v>7095</v>
      </c>
      <c r="B1193" t="s">
        <v>7095</v>
      </c>
      <c r="C1193" t="s">
        <v>438</v>
      </c>
      <c r="D1193" t="s">
        <v>4626</v>
      </c>
      <c r="E1193" t="s">
        <v>15</v>
      </c>
      <c r="F1193" t="s">
        <v>5781</v>
      </c>
      <c r="G1193" s="1" t="s">
        <v>5730</v>
      </c>
      <c r="H1193" s="1" t="s">
        <v>1856</v>
      </c>
    </row>
    <row r="1194" spans="1:8" hidden="1" x14ac:dyDescent="0.3">
      <c r="A1194" t="s">
        <v>7096</v>
      </c>
      <c r="B1194" t="s">
        <v>7096</v>
      </c>
      <c r="C1194" t="s">
        <v>513</v>
      </c>
      <c r="D1194" t="s">
        <v>4626</v>
      </c>
      <c r="E1194" t="s">
        <v>15</v>
      </c>
      <c r="F1194" t="s">
        <v>5729</v>
      </c>
      <c r="G1194" s="1" t="s">
        <v>5730</v>
      </c>
      <c r="H1194" s="1" t="s">
        <v>1856</v>
      </c>
    </row>
    <row r="1195" spans="1:8" hidden="1" x14ac:dyDescent="0.3">
      <c r="A1195" t="s">
        <v>7097</v>
      </c>
      <c r="B1195" t="s">
        <v>7097</v>
      </c>
      <c r="C1195" t="s">
        <v>479</v>
      </c>
      <c r="D1195" t="s">
        <v>4626</v>
      </c>
      <c r="E1195" t="s">
        <v>15</v>
      </c>
      <c r="F1195" t="s">
        <v>5729</v>
      </c>
      <c r="G1195" s="1" t="s">
        <v>5730</v>
      </c>
      <c r="H1195" s="1" t="s">
        <v>1856</v>
      </c>
    </row>
    <row r="1196" spans="1:8" hidden="1" x14ac:dyDescent="0.3">
      <c r="A1196" t="s">
        <v>7098</v>
      </c>
      <c r="B1196" t="s">
        <v>7098</v>
      </c>
      <c r="C1196" t="s">
        <v>648</v>
      </c>
      <c r="D1196" t="s">
        <v>4626</v>
      </c>
      <c r="E1196" t="s">
        <v>15</v>
      </c>
      <c r="F1196" t="s">
        <v>5729</v>
      </c>
      <c r="G1196" s="1" t="s">
        <v>5730</v>
      </c>
      <c r="H1196" s="1" t="s">
        <v>1856</v>
      </c>
    </row>
    <row r="1197" spans="1:8" hidden="1" x14ac:dyDescent="0.3">
      <c r="A1197" t="s">
        <v>7099</v>
      </c>
      <c r="B1197" t="s">
        <v>7099</v>
      </c>
      <c r="C1197" t="s">
        <v>713</v>
      </c>
      <c r="D1197" t="s">
        <v>4626</v>
      </c>
      <c r="E1197" t="s">
        <v>15</v>
      </c>
      <c r="F1197" t="s">
        <v>5729</v>
      </c>
      <c r="G1197" s="1" t="s">
        <v>5730</v>
      </c>
      <c r="H1197" s="1" t="s">
        <v>1856</v>
      </c>
    </row>
    <row r="1198" spans="1:8" hidden="1" x14ac:dyDescent="0.3">
      <c r="A1198" t="s">
        <v>7100</v>
      </c>
      <c r="B1198" t="s">
        <v>7100</v>
      </c>
      <c r="C1198" t="s">
        <v>777</v>
      </c>
      <c r="D1198" t="s">
        <v>4626</v>
      </c>
      <c r="E1198" t="s">
        <v>15</v>
      </c>
      <c r="F1198" t="s">
        <v>5729</v>
      </c>
      <c r="G1198" s="1" t="s">
        <v>5730</v>
      </c>
      <c r="H1198" s="1" t="s">
        <v>1874</v>
      </c>
    </row>
    <row r="1199" spans="1:8" hidden="1" x14ac:dyDescent="0.3">
      <c r="A1199" t="s">
        <v>7101</v>
      </c>
      <c r="B1199" t="s">
        <v>7101</v>
      </c>
      <c r="C1199" t="s">
        <v>2096</v>
      </c>
      <c r="D1199" t="s">
        <v>4626</v>
      </c>
      <c r="E1199" t="s">
        <v>15</v>
      </c>
      <c r="F1199" t="s">
        <v>5734</v>
      </c>
      <c r="G1199" s="1" t="s">
        <v>5730</v>
      </c>
      <c r="H1199" s="1" t="s">
        <v>1856</v>
      </c>
    </row>
    <row r="1200" spans="1:8" hidden="1" x14ac:dyDescent="0.3">
      <c r="A1200" t="s">
        <v>7102</v>
      </c>
      <c r="B1200" t="s">
        <v>7102</v>
      </c>
      <c r="C1200" t="s">
        <v>891</v>
      </c>
      <c r="D1200" t="s">
        <v>4626</v>
      </c>
      <c r="E1200" t="s">
        <v>15</v>
      </c>
      <c r="F1200" t="s">
        <v>5729</v>
      </c>
      <c r="G1200" s="1" t="s">
        <v>5730</v>
      </c>
      <c r="H1200" s="1" t="s">
        <v>1874</v>
      </c>
    </row>
    <row r="1201" spans="1:8" hidden="1" x14ac:dyDescent="0.3">
      <c r="A1201" t="s">
        <v>7103</v>
      </c>
      <c r="B1201" t="s">
        <v>7103</v>
      </c>
      <c r="C1201" t="s">
        <v>222</v>
      </c>
      <c r="D1201" t="s">
        <v>4638</v>
      </c>
      <c r="E1201" t="s">
        <v>15</v>
      </c>
      <c r="F1201" t="s">
        <v>5734</v>
      </c>
      <c r="G1201" s="1" t="s">
        <v>5730</v>
      </c>
      <c r="H1201" s="1" t="s">
        <v>1856</v>
      </c>
    </row>
    <row r="1202" spans="1:8" hidden="1" x14ac:dyDescent="0.3">
      <c r="A1202" t="s">
        <v>7104</v>
      </c>
      <c r="B1202" t="s">
        <v>7104</v>
      </c>
      <c r="C1202" t="s">
        <v>294</v>
      </c>
      <c r="D1202" t="s">
        <v>4638</v>
      </c>
      <c r="E1202" t="s">
        <v>15</v>
      </c>
      <c r="F1202" t="s">
        <v>5729</v>
      </c>
      <c r="G1202" s="1" t="s">
        <v>5730</v>
      </c>
      <c r="H1202" s="1" t="s">
        <v>1856</v>
      </c>
    </row>
    <row r="1203" spans="1:8" hidden="1" x14ac:dyDescent="0.3">
      <c r="A1203" t="s">
        <v>7105</v>
      </c>
      <c r="B1203" t="s">
        <v>7105</v>
      </c>
      <c r="C1203" t="s">
        <v>368</v>
      </c>
      <c r="D1203" t="s">
        <v>4638</v>
      </c>
      <c r="E1203" t="s">
        <v>15</v>
      </c>
      <c r="F1203" t="s">
        <v>5729</v>
      </c>
      <c r="G1203" s="1" t="s">
        <v>5730</v>
      </c>
      <c r="H1203" s="1" t="s">
        <v>1874</v>
      </c>
    </row>
    <row r="1204" spans="1:8" hidden="1" x14ac:dyDescent="0.3">
      <c r="A1204" t="s">
        <v>7106</v>
      </c>
      <c r="B1204" t="s">
        <v>7106</v>
      </c>
      <c r="C1204" t="s">
        <v>439</v>
      </c>
      <c r="D1204" t="s">
        <v>4638</v>
      </c>
      <c r="E1204" t="s">
        <v>15</v>
      </c>
      <c r="F1204" t="s">
        <v>5729</v>
      </c>
      <c r="G1204" s="1" t="s">
        <v>5730</v>
      </c>
      <c r="H1204" s="1" t="s">
        <v>1856</v>
      </c>
    </row>
    <row r="1205" spans="1:8" hidden="1" x14ac:dyDescent="0.3">
      <c r="A1205" t="s">
        <v>7107</v>
      </c>
      <c r="B1205" t="s">
        <v>7107</v>
      </c>
      <c r="C1205" t="s">
        <v>514</v>
      </c>
      <c r="D1205" t="s">
        <v>4638</v>
      </c>
      <c r="E1205" t="s">
        <v>15</v>
      </c>
      <c r="F1205" t="s">
        <v>5729</v>
      </c>
      <c r="G1205" s="1" t="s">
        <v>5730</v>
      </c>
      <c r="H1205" s="1" t="s">
        <v>1856</v>
      </c>
    </row>
    <row r="1206" spans="1:8" hidden="1" x14ac:dyDescent="0.3">
      <c r="A1206" t="s">
        <v>7108</v>
      </c>
      <c r="B1206" t="s">
        <v>7108</v>
      </c>
      <c r="C1206" t="s">
        <v>4644</v>
      </c>
      <c r="D1206" t="s">
        <v>4638</v>
      </c>
      <c r="E1206" t="s">
        <v>15</v>
      </c>
      <c r="F1206" t="s">
        <v>5734</v>
      </c>
      <c r="G1206" s="1" t="s">
        <v>5730</v>
      </c>
      <c r="H1206" s="1" t="s">
        <v>1856</v>
      </c>
    </row>
    <row r="1207" spans="1:8" hidden="1" x14ac:dyDescent="0.3">
      <c r="A1207" t="s">
        <v>7109</v>
      </c>
      <c r="B1207" t="s">
        <v>7109</v>
      </c>
      <c r="C1207" t="s">
        <v>714</v>
      </c>
      <c r="D1207" t="s">
        <v>4638</v>
      </c>
      <c r="E1207" t="s">
        <v>15</v>
      </c>
      <c r="F1207" t="s">
        <v>5734</v>
      </c>
      <c r="G1207" s="1" t="s">
        <v>5730</v>
      </c>
      <c r="H1207" s="1" t="s">
        <v>1856</v>
      </c>
    </row>
    <row r="1208" spans="1:8" hidden="1" x14ac:dyDescent="0.3">
      <c r="A1208" t="s">
        <v>7110</v>
      </c>
      <c r="B1208" t="s">
        <v>7110</v>
      </c>
      <c r="C1208" t="s">
        <v>778</v>
      </c>
      <c r="D1208" t="s">
        <v>4638</v>
      </c>
      <c r="E1208" t="s">
        <v>15</v>
      </c>
      <c r="F1208" t="s">
        <v>5729</v>
      </c>
      <c r="G1208" s="1" t="s">
        <v>5730</v>
      </c>
      <c r="H1208" s="1" t="s">
        <v>1856</v>
      </c>
    </row>
    <row r="1209" spans="1:8" hidden="1" x14ac:dyDescent="0.3">
      <c r="A1209" t="s">
        <v>7111</v>
      </c>
      <c r="B1209" t="s">
        <v>7111</v>
      </c>
      <c r="C1209" t="s">
        <v>7112</v>
      </c>
      <c r="D1209" t="s">
        <v>4638</v>
      </c>
      <c r="E1209" t="s">
        <v>15</v>
      </c>
      <c r="F1209" t="s">
        <v>5781</v>
      </c>
      <c r="G1209" s="1" t="s">
        <v>1961</v>
      </c>
      <c r="H1209" s="1" t="s">
        <v>1856</v>
      </c>
    </row>
    <row r="1210" spans="1:8" hidden="1" x14ac:dyDescent="0.3">
      <c r="A1210" t="s">
        <v>7113</v>
      </c>
      <c r="B1210" t="s">
        <v>7113</v>
      </c>
      <c r="C1210" t="s">
        <v>1916</v>
      </c>
      <c r="D1210" t="s">
        <v>4638</v>
      </c>
      <c r="E1210" t="s">
        <v>15</v>
      </c>
      <c r="F1210" t="s">
        <v>5781</v>
      </c>
      <c r="G1210" s="1" t="s">
        <v>5730</v>
      </c>
      <c r="H1210" s="1" t="s">
        <v>1874</v>
      </c>
    </row>
    <row r="1211" spans="1:8" hidden="1" x14ac:dyDescent="0.3">
      <c r="A1211" t="s">
        <v>7114</v>
      </c>
      <c r="B1211" t="s">
        <v>7114</v>
      </c>
      <c r="C1211" t="s">
        <v>892</v>
      </c>
      <c r="D1211" t="s">
        <v>4638</v>
      </c>
      <c r="E1211" t="s">
        <v>15</v>
      </c>
      <c r="F1211" t="s">
        <v>5729</v>
      </c>
      <c r="G1211" s="1" t="s">
        <v>5730</v>
      </c>
      <c r="H1211" s="1" t="s">
        <v>1874</v>
      </c>
    </row>
    <row r="1212" spans="1:8" hidden="1" x14ac:dyDescent="0.3">
      <c r="A1212" t="s">
        <v>7115</v>
      </c>
      <c r="B1212" t="s">
        <v>7115</v>
      </c>
      <c r="C1212" t="s">
        <v>223</v>
      </c>
      <c r="D1212" t="s">
        <v>7116</v>
      </c>
      <c r="E1212" t="s">
        <v>15</v>
      </c>
      <c r="F1212" t="s">
        <v>5734</v>
      </c>
      <c r="G1212" s="1" t="s">
        <v>5730</v>
      </c>
      <c r="H1212" s="1" t="s">
        <v>1856</v>
      </c>
    </row>
    <row r="1213" spans="1:8" hidden="1" x14ac:dyDescent="0.3">
      <c r="A1213" t="s">
        <v>7117</v>
      </c>
      <c r="B1213" t="s">
        <v>7117</v>
      </c>
      <c r="C1213" t="s">
        <v>7118</v>
      </c>
      <c r="D1213" t="s">
        <v>7116</v>
      </c>
      <c r="E1213" t="s">
        <v>15</v>
      </c>
      <c r="F1213" t="s">
        <v>5734</v>
      </c>
      <c r="G1213" s="1" t="s">
        <v>5730</v>
      </c>
      <c r="H1213" s="1" t="s">
        <v>1856</v>
      </c>
    </row>
    <row r="1214" spans="1:8" hidden="1" x14ac:dyDescent="0.3">
      <c r="A1214" t="s">
        <v>7119</v>
      </c>
      <c r="B1214" t="s">
        <v>7119</v>
      </c>
      <c r="C1214" t="s">
        <v>7120</v>
      </c>
      <c r="D1214" t="s">
        <v>7116</v>
      </c>
      <c r="E1214" t="s">
        <v>15</v>
      </c>
      <c r="F1214" t="s">
        <v>5729</v>
      </c>
      <c r="G1214" s="1" t="s">
        <v>5730</v>
      </c>
      <c r="H1214" s="1" t="s">
        <v>1856</v>
      </c>
    </row>
    <row r="1215" spans="1:8" hidden="1" x14ac:dyDescent="0.3">
      <c r="A1215" t="s">
        <v>7121</v>
      </c>
      <c r="B1215" t="s">
        <v>7121</v>
      </c>
      <c r="C1215" t="s">
        <v>440</v>
      </c>
      <c r="D1215" t="s">
        <v>7116</v>
      </c>
      <c r="E1215" t="s">
        <v>15</v>
      </c>
      <c r="F1215" t="s">
        <v>5734</v>
      </c>
      <c r="G1215" s="1" t="s">
        <v>5730</v>
      </c>
      <c r="H1215" s="1" t="s">
        <v>1856</v>
      </c>
    </row>
    <row r="1216" spans="1:8" hidden="1" x14ac:dyDescent="0.3">
      <c r="A1216" t="s">
        <v>7122</v>
      </c>
      <c r="B1216" t="s">
        <v>7122</v>
      </c>
      <c r="C1216" t="s">
        <v>7123</v>
      </c>
      <c r="D1216" t="s">
        <v>7116</v>
      </c>
      <c r="E1216" t="s">
        <v>15</v>
      </c>
      <c r="F1216" t="s">
        <v>5734</v>
      </c>
      <c r="G1216" s="1" t="s">
        <v>5730</v>
      </c>
      <c r="H1216" s="1" t="s">
        <v>1856</v>
      </c>
    </row>
    <row r="1217" spans="1:8" hidden="1" x14ac:dyDescent="0.3">
      <c r="A1217" t="s">
        <v>7124</v>
      </c>
      <c r="B1217" t="s">
        <v>7124</v>
      </c>
      <c r="C1217" t="s">
        <v>583</v>
      </c>
      <c r="D1217" t="s">
        <v>7116</v>
      </c>
      <c r="E1217" t="s">
        <v>15</v>
      </c>
      <c r="F1217" t="s">
        <v>5729</v>
      </c>
      <c r="G1217" s="1" t="s">
        <v>5730</v>
      </c>
      <c r="H1217" s="1" t="s">
        <v>1856</v>
      </c>
    </row>
    <row r="1218" spans="1:8" hidden="1" x14ac:dyDescent="0.3">
      <c r="A1218" t="s">
        <v>7125</v>
      </c>
      <c r="B1218" t="s">
        <v>7125</v>
      </c>
      <c r="C1218" t="s">
        <v>650</v>
      </c>
      <c r="D1218" t="s">
        <v>7116</v>
      </c>
      <c r="E1218" t="s">
        <v>15</v>
      </c>
      <c r="F1218" t="s">
        <v>5734</v>
      </c>
      <c r="G1218" s="1" t="s">
        <v>5730</v>
      </c>
      <c r="H1218" s="1" t="s">
        <v>1856</v>
      </c>
    </row>
    <row r="1219" spans="1:8" hidden="1" x14ac:dyDescent="0.3">
      <c r="A1219" t="s">
        <v>7126</v>
      </c>
      <c r="B1219" t="s">
        <v>7126</v>
      </c>
      <c r="C1219" t="s">
        <v>715</v>
      </c>
      <c r="D1219" t="s">
        <v>7116</v>
      </c>
      <c r="E1219" t="s">
        <v>15</v>
      </c>
      <c r="F1219" t="s">
        <v>5729</v>
      </c>
      <c r="G1219" s="1" t="s">
        <v>5730</v>
      </c>
      <c r="H1219" s="1" t="s">
        <v>1856</v>
      </c>
    </row>
    <row r="1220" spans="1:8" hidden="1" x14ac:dyDescent="0.3">
      <c r="A1220" t="s">
        <v>7127</v>
      </c>
      <c r="B1220" t="s">
        <v>7127</v>
      </c>
      <c r="C1220" t="s">
        <v>7128</v>
      </c>
      <c r="D1220" t="s">
        <v>7116</v>
      </c>
      <c r="E1220" t="s">
        <v>15</v>
      </c>
      <c r="F1220" t="s">
        <v>5734</v>
      </c>
      <c r="G1220" s="1" t="s">
        <v>5730</v>
      </c>
      <c r="H1220" s="1" t="s">
        <v>1856</v>
      </c>
    </row>
    <row r="1221" spans="1:8" hidden="1" x14ac:dyDescent="0.3">
      <c r="A1221" t="s">
        <v>7129</v>
      </c>
      <c r="B1221" t="s">
        <v>7129</v>
      </c>
      <c r="C1221" t="s">
        <v>7130</v>
      </c>
      <c r="D1221" t="s">
        <v>7116</v>
      </c>
      <c r="E1221" t="s">
        <v>15</v>
      </c>
      <c r="F1221" t="s">
        <v>5729</v>
      </c>
      <c r="G1221" s="1" t="s">
        <v>5730</v>
      </c>
      <c r="H1221" s="1" t="s">
        <v>1856</v>
      </c>
    </row>
    <row r="1222" spans="1:8" hidden="1" x14ac:dyDescent="0.3">
      <c r="A1222" t="s">
        <v>7131</v>
      </c>
      <c r="B1222" t="s">
        <v>7131</v>
      </c>
      <c r="C1222" t="s">
        <v>893</v>
      </c>
      <c r="D1222" t="s">
        <v>7116</v>
      </c>
      <c r="E1222" t="s">
        <v>15</v>
      </c>
      <c r="F1222" t="s">
        <v>5734</v>
      </c>
      <c r="G1222" s="1" t="s">
        <v>5730</v>
      </c>
      <c r="H1222" s="1" t="s">
        <v>1856</v>
      </c>
    </row>
    <row r="1223" spans="1:8" hidden="1" x14ac:dyDescent="0.3">
      <c r="A1223" t="s">
        <v>7132</v>
      </c>
      <c r="B1223" t="s">
        <v>7132</v>
      </c>
      <c r="C1223" t="s">
        <v>4667</v>
      </c>
      <c r="D1223" t="s">
        <v>4666</v>
      </c>
      <c r="E1223" t="s">
        <v>15</v>
      </c>
      <c r="F1223" t="s">
        <v>5729</v>
      </c>
      <c r="G1223" s="1" t="s">
        <v>5730</v>
      </c>
      <c r="H1223" s="1" t="s">
        <v>1856</v>
      </c>
    </row>
    <row r="1224" spans="1:8" hidden="1" x14ac:dyDescent="0.3">
      <c r="A1224" t="s">
        <v>7133</v>
      </c>
      <c r="B1224" t="s">
        <v>7133</v>
      </c>
      <c r="C1224" t="s">
        <v>7134</v>
      </c>
      <c r="D1224" t="s">
        <v>4666</v>
      </c>
      <c r="E1224" t="s">
        <v>15</v>
      </c>
      <c r="F1224" t="s">
        <v>5734</v>
      </c>
      <c r="G1224" s="1" t="s">
        <v>5730</v>
      </c>
      <c r="H1224" s="1" t="s">
        <v>1856</v>
      </c>
    </row>
    <row r="1225" spans="1:8" hidden="1" x14ac:dyDescent="0.3">
      <c r="A1225" t="s">
        <v>7135</v>
      </c>
      <c r="B1225" t="s">
        <v>7135</v>
      </c>
      <c r="C1225" t="s">
        <v>4671</v>
      </c>
      <c r="D1225" t="s">
        <v>4666</v>
      </c>
      <c r="E1225" t="s">
        <v>15</v>
      </c>
      <c r="F1225" t="s">
        <v>5781</v>
      </c>
      <c r="G1225" s="1" t="s">
        <v>5730</v>
      </c>
      <c r="H1225" s="1" t="s">
        <v>1856</v>
      </c>
    </row>
    <row r="1226" spans="1:8" hidden="1" x14ac:dyDescent="0.3">
      <c r="A1226" t="s">
        <v>7136</v>
      </c>
      <c r="B1226" t="s">
        <v>7136</v>
      </c>
      <c r="C1226" t="s">
        <v>2102</v>
      </c>
      <c r="D1226" t="s">
        <v>4666</v>
      </c>
      <c r="E1226" t="s">
        <v>15</v>
      </c>
      <c r="F1226" t="s">
        <v>5781</v>
      </c>
      <c r="G1226" s="1" t="s">
        <v>5730</v>
      </c>
      <c r="H1226" s="1" t="s">
        <v>1856</v>
      </c>
    </row>
    <row r="1227" spans="1:8" hidden="1" x14ac:dyDescent="0.3">
      <c r="A1227" t="s">
        <v>7137</v>
      </c>
      <c r="B1227" t="s">
        <v>7137</v>
      </c>
      <c r="C1227" t="s">
        <v>139</v>
      </c>
      <c r="D1227" t="s">
        <v>4666</v>
      </c>
      <c r="E1227" t="s">
        <v>15</v>
      </c>
      <c r="F1227" t="s">
        <v>5729</v>
      </c>
      <c r="G1227" s="1" t="s">
        <v>5730</v>
      </c>
      <c r="H1227" s="1" t="s">
        <v>1923</v>
      </c>
    </row>
    <row r="1228" spans="1:8" hidden="1" x14ac:dyDescent="0.3">
      <c r="A1228" t="s">
        <v>7138</v>
      </c>
      <c r="B1228" t="s">
        <v>7138</v>
      </c>
      <c r="C1228" t="s">
        <v>225</v>
      </c>
      <c r="D1228" t="s">
        <v>7139</v>
      </c>
      <c r="E1228" t="s">
        <v>16</v>
      </c>
      <c r="F1228" t="s">
        <v>5734</v>
      </c>
      <c r="G1228" s="1" t="s">
        <v>5730</v>
      </c>
      <c r="H1228" s="1" t="s">
        <v>1856</v>
      </c>
    </row>
    <row r="1229" spans="1:8" hidden="1" x14ac:dyDescent="0.3">
      <c r="A1229" t="s">
        <v>7140</v>
      </c>
      <c r="B1229" t="s">
        <v>7140</v>
      </c>
      <c r="C1229" t="s">
        <v>366</v>
      </c>
      <c r="D1229" t="s">
        <v>7139</v>
      </c>
      <c r="E1229" t="s">
        <v>16</v>
      </c>
      <c r="F1229" t="s">
        <v>5734</v>
      </c>
      <c r="G1229" s="1" t="s">
        <v>5730</v>
      </c>
      <c r="H1229" s="1" t="s">
        <v>1856</v>
      </c>
    </row>
    <row r="1230" spans="1:8" hidden="1" x14ac:dyDescent="0.3">
      <c r="A1230" t="s">
        <v>7141</v>
      </c>
      <c r="B1230" t="s">
        <v>7141</v>
      </c>
      <c r="C1230" t="s">
        <v>716</v>
      </c>
      <c r="D1230" t="s">
        <v>7139</v>
      </c>
      <c r="E1230" t="s">
        <v>16</v>
      </c>
      <c r="F1230" t="s">
        <v>5734</v>
      </c>
      <c r="G1230" s="1" t="s">
        <v>5730</v>
      </c>
      <c r="H1230" s="1" t="s">
        <v>1856</v>
      </c>
    </row>
    <row r="1231" spans="1:8" hidden="1" x14ac:dyDescent="0.3">
      <c r="A1231" t="s">
        <v>7142</v>
      </c>
      <c r="B1231" t="s">
        <v>7142</v>
      </c>
      <c r="C1231" t="s">
        <v>7143</v>
      </c>
      <c r="D1231" t="s">
        <v>7139</v>
      </c>
      <c r="E1231" t="s">
        <v>16</v>
      </c>
      <c r="F1231" t="s">
        <v>5781</v>
      </c>
      <c r="G1231" s="1" t="s">
        <v>1961</v>
      </c>
      <c r="H1231" s="1" t="s">
        <v>1856</v>
      </c>
    </row>
    <row r="1232" spans="1:8" hidden="1" x14ac:dyDescent="0.3">
      <c r="A1232" t="s">
        <v>7144</v>
      </c>
      <c r="B1232" t="s">
        <v>7144</v>
      </c>
      <c r="C1232" t="s">
        <v>780</v>
      </c>
      <c r="D1232" t="s">
        <v>7139</v>
      </c>
      <c r="E1232" t="s">
        <v>16</v>
      </c>
      <c r="F1232" t="s">
        <v>5729</v>
      </c>
      <c r="G1232" s="1" t="s">
        <v>5730</v>
      </c>
      <c r="H1232" s="1" t="s">
        <v>1856</v>
      </c>
    </row>
    <row r="1233" spans="1:8" hidden="1" x14ac:dyDescent="0.3">
      <c r="A1233" t="s">
        <v>7145</v>
      </c>
      <c r="B1233" t="s">
        <v>7145</v>
      </c>
      <c r="C1233" t="s">
        <v>838</v>
      </c>
      <c r="D1233" t="s">
        <v>7139</v>
      </c>
      <c r="E1233" t="s">
        <v>16</v>
      </c>
      <c r="F1233" t="s">
        <v>5729</v>
      </c>
      <c r="G1233" s="1" t="s">
        <v>5730</v>
      </c>
      <c r="H1233" s="1" t="s">
        <v>1856</v>
      </c>
    </row>
    <row r="1234" spans="1:8" hidden="1" x14ac:dyDescent="0.3">
      <c r="A1234" t="s">
        <v>7146</v>
      </c>
      <c r="B1234" t="s">
        <v>7146</v>
      </c>
      <c r="C1234" t="s">
        <v>894</v>
      </c>
      <c r="D1234" t="s">
        <v>7139</v>
      </c>
      <c r="E1234" t="s">
        <v>16</v>
      </c>
      <c r="F1234" t="s">
        <v>5729</v>
      </c>
      <c r="G1234" s="1" t="s">
        <v>5730</v>
      </c>
      <c r="H1234" s="1" t="s">
        <v>1856</v>
      </c>
    </row>
    <row r="1235" spans="1:8" hidden="1" x14ac:dyDescent="0.3">
      <c r="A1235" t="s">
        <v>7147</v>
      </c>
      <c r="B1235" t="s">
        <v>7147</v>
      </c>
      <c r="C1235" t="s">
        <v>948</v>
      </c>
      <c r="D1235" t="s">
        <v>7139</v>
      </c>
      <c r="E1235" t="s">
        <v>16</v>
      </c>
      <c r="F1235" t="s">
        <v>5734</v>
      </c>
      <c r="G1235" s="1" t="s">
        <v>5730</v>
      </c>
      <c r="H1235" s="1" t="s">
        <v>1856</v>
      </c>
    </row>
    <row r="1236" spans="1:8" hidden="1" x14ac:dyDescent="0.3">
      <c r="A1236" t="s">
        <v>7148</v>
      </c>
      <c r="B1236" t="s">
        <v>7148</v>
      </c>
      <c r="C1236" t="s">
        <v>995</v>
      </c>
      <c r="D1236" t="s">
        <v>7139</v>
      </c>
      <c r="E1236" t="s">
        <v>16</v>
      </c>
      <c r="F1236" t="s">
        <v>5781</v>
      </c>
      <c r="G1236" s="1" t="s">
        <v>5730</v>
      </c>
      <c r="H1236" s="1" t="s">
        <v>1856</v>
      </c>
    </row>
    <row r="1237" spans="1:8" hidden="1" x14ac:dyDescent="0.3">
      <c r="A1237" t="s">
        <v>7149</v>
      </c>
      <c r="B1237" t="s">
        <v>7149</v>
      </c>
      <c r="C1237" t="s">
        <v>7150</v>
      </c>
      <c r="D1237" t="s">
        <v>7139</v>
      </c>
      <c r="E1237" t="s">
        <v>16</v>
      </c>
      <c r="F1237" t="s">
        <v>5734</v>
      </c>
      <c r="G1237" s="1" t="s">
        <v>5730</v>
      </c>
      <c r="H1237" s="1" t="s">
        <v>1856</v>
      </c>
    </row>
    <row r="1238" spans="1:8" hidden="1" x14ac:dyDescent="0.3">
      <c r="A1238" t="s">
        <v>7151</v>
      </c>
      <c r="B1238" t="s">
        <v>7151</v>
      </c>
      <c r="C1238" t="s">
        <v>7152</v>
      </c>
      <c r="D1238" t="s">
        <v>7139</v>
      </c>
      <c r="E1238" t="s">
        <v>16</v>
      </c>
      <c r="F1238" t="s">
        <v>5734</v>
      </c>
      <c r="G1238" s="1" t="s">
        <v>5730</v>
      </c>
      <c r="H1238" s="1" t="s">
        <v>1856</v>
      </c>
    </row>
    <row r="1239" spans="1:8" hidden="1" x14ac:dyDescent="0.3">
      <c r="A1239" t="s">
        <v>7153</v>
      </c>
      <c r="B1239" t="s">
        <v>7153</v>
      </c>
      <c r="C1239" t="s">
        <v>1124</v>
      </c>
      <c r="D1239" t="s">
        <v>7139</v>
      </c>
      <c r="E1239" t="s">
        <v>16</v>
      </c>
      <c r="F1239" t="s">
        <v>5734</v>
      </c>
      <c r="G1239" s="1" t="s">
        <v>5730</v>
      </c>
      <c r="H1239" s="1" t="s">
        <v>1856</v>
      </c>
    </row>
    <row r="1240" spans="1:8" hidden="1" x14ac:dyDescent="0.3">
      <c r="A1240" t="s">
        <v>7154</v>
      </c>
      <c r="B1240" t="s">
        <v>7154</v>
      </c>
      <c r="C1240" t="s">
        <v>3539</v>
      </c>
      <c r="D1240" t="s">
        <v>7139</v>
      </c>
      <c r="E1240" t="s">
        <v>16</v>
      </c>
      <c r="F1240" t="s">
        <v>5729</v>
      </c>
      <c r="G1240" s="1" t="s">
        <v>5730</v>
      </c>
      <c r="H1240" s="1" t="s">
        <v>1856</v>
      </c>
    </row>
    <row r="1241" spans="1:8" hidden="1" x14ac:dyDescent="0.3">
      <c r="A1241" t="s">
        <v>7155</v>
      </c>
      <c r="B1241" t="s">
        <v>7155</v>
      </c>
      <c r="C1241" t="s">
        <v>1188</v>
      </c>
      <c r="D1241" t="s">
        <v>7139</v>
      </c>
      <c r="E1241" t="s">
        <v>16</v>
      </c>
      <c r="F1241" t="s">
        <v>5734</v>
      </c>
      <c r="G1241" s="1" t="s">
        <v>5730</v>
      </c>
      <c r="H1241" s="1" t="s">
        <v>1856</v>
      </c>
    </row>
    <row r="1242" spans="1:8" hidden="1" x14ac:dyDescent="0.3">
      <c r="A1242" t="s">
        <v>7156</v>
      </c>
      <c r="B1242" t="s">
        <v>7156</v>
      </c>
      <c r="C1242" t="s">
        <v>371</v>
      </c>
      <c r="D1242" t="s">
        <v>7139</v>
      </c>
      <c r="E1242" t="s">
        <v>16</v>
      </c>
      <c r="F1242" t="s">
        <v>5729</v>
      </c>
      <c r="G1242" s="1" t="s">
        <v>5730</v>
      </c>
      <c r="H1242" s="1" t="s">
        <v>1856</v>
      </c>
    </row>
    <row r="1243" spans="1:8" hidden="1" x14ac:dyDescent="0.3">
      <c r="A1243" t="s">
        <v>7157</v>
      </c>
      <c r="B1243" t="s">
        <v>7157</v>
      </c>
      <c r="C1243" t="s">
        <v>516</v>
      </c>
      <c r="D1243" t="s">
        <v>7139</v>
      </c>
      <c r="E1243" t="s">
        <v>16</v>
      </c>
      <c r="F1243" t="s">
        <v>5729</v>
      </c>
      <c r="G1243" s="1" t="s">
        <v>5730</v>
      </c>
      <c r="H1243" s="1" t="s">
        <v>1856</v>
      </c>
    </row>
    <row r="1244" spans="1:8" hidden="1" x14ac:dyDescent="0.3">
      <c r="A1244" t="s">
        <v>7158</v>
      </c>
      <c r="B1244" t="s">
        <v>7158</v>
      </c>
      <c r="C1244" t="s">
        <v>297</v>
      </c>
      <c r="D1244" t="s">
        <v>7139</v>
      </c>
      <c r="E1244" t="s">
        <v>16</v>
      </c>
      <c r="F1244" t="s">
        <v>5729</v>
      </c>
      <c r="G1244" s="1" t="s">
        <v>5730</v>
      </c>
      <c r="H1244" s="1" t="s">
        <v>1856</v>
      </c>
    </row>
    <row r="1245" spans="1:8" hidden="1" x14ac:dyDescent="0.3">
      <c r="A1245" t="s">
        <v>7159</v>
      </c>
      <c r="B1245" t="s">
        <v>7159</v>
      </c>
      <c r="C1245" t="s">
        <v>442</v>
      </c>
      <c r="D1245" t="s">
        <v>7139</v>
      </c>
      <c r="E1245" t="s">
        <v>16</v>
      </c>
      <c r="F1245" t="s">
        <v>5729</v>
      </c>
      <c r="G1245" s="1" t="s">
        <v>5730</v>
      </c>
      <c r="H1245" s="1" t="s">
        <v>1856</v>
      </c>
    </row>
    <row r="1246" spans="1:8" hidden="1" x14ac:dyDescent="0.3">
      <c r="A1246" t="s">
        <v>7160</v>
      </c>
      <c r="B1246" t="s">
        <v>7160</v>
      </c>
      <c r="C1246" t="s">
        <v>226</v>
      </c>
      <c r="D1246" t="s">
        <v>4697</v>
      </c>
      <c r="E1246" t="s">
        <v>16</v>
      </c>
      <c r="F1246" t="s">
        <v>5734</v>
      </c>
      <c r="G1246" s="1" t="s">
        <v>5730</v>
      </c>
      <c r="H1246" s="1" t="s">
        <v>1856</v>
      </c>
    </row>
    <row r="1247" spans="1:8" hidden="1" x14ac:dyDescent="0.3">
      <c r="A1247" t="s">
        <v>7161</v>
      </c>
      <c r="B1247" t="s">
        <v>7161</v>
      </c>
      <c r="C1247" t="s">
        <v>7162</v>
      </c>
      <c r="D1247" t="s">
        <v>4697</v>
      </c>
      <c r="E1247" t="s">
        <v>16</v>
      </c>
      <c r="F1247" t="s">
        <v>5747</v>
      </c>
      <c r="G1247" s="1" t="s">
        <v>1855</v>
      </c>
      <c r="H1247" s="1" t="s">
        <v>1856</v>
      </c>
    </row>
    <row r="1248" spans="1:8" hidden="1" x14ac:dyDescent="0.3">
      <c r="A1248" t="s">
        <v>7163</v>
      </c>
      <c r="B1248" t="s">
        <v>7163</v>
      </c>
      <c r="C1248" t="s">
        <v>7164</v>
      </c>
      <c r="D1248" t="s">
        <v>4697</v>
      </c>
      <c r="E1248" t="s">
        <v>16</v>
      </c>
      <c r="F1248" t="s">
        <v>5747</v>
      </c>
      <c r="G1248" s="1" t="s">
        <v>1961</v>
      </c>
      <c r="H1248" s="1" t="s">
        <v>1856</v>
      </c>
    </row>
    <row r="1249" spans="1:8" hidden="1" x14ac:dyDescent="0.3">
      <c r="A1249" t="s">
        <v>7165</v>
      </c>
      <c r="B1249" t="s">
        <v>7165</v>
      </c>
      <c r="C1249" t="s">
        <v>517</v>
      </c>
      <c r="D1249" t="s">
        <v>4697</v>
      </c>
      <c r="E1249" t="s">
        <v>16</v>
      </c>
      <c r="F1249" t="s">
        <v>5729</v>
      </c>
      <c r="G1249" s="1" t="s">
        <v>5730</v>
      </c>
      <c r="H1249" s="1" t="s">
        <v>1874</v>
      </c>
    </row>
    <row r="1250" spans="1:8" hidden="1" x14ac:dyDescent="0.3">
      <c r="A1250" t="s">
        <v>7166</v>
      </c>
      <c r="B1250" t="s">
        <v>7166</v>
      </c>
      <c r="C1250" t="s">
        <v>584</v>
      </c>
      <c r="D1250" t="s">
        <v>4697</v>
      </c>
      <c r="E1250" t="s">
        <v>16</v>
      </c>
      <c r="F1250" t="s">
        <v>5781</v>
      </c>
      <c r="G1250" s="1" t="s">
        <v>5730</v>
      </c>
      <c r="H1250" s="1" t="s">
        <v>1856</v>
      </c>
    </row>
    <row r="1251" spans="1:8" hidden="1" x14ac:dyDescent="0.3">
      <c r="A1251" t="s">
        <v>7167</v>
      </c>
      <c r="B1251" t="s">
        <v>7167</v>
      </c>
      <c r="C1251" t="s">
        <v>717</v>
      </c>
      <c r="D1251" t="s">
        <v>4697</v>
      </c>
      <c r="E1251" t="s">
        <v>16</v>
      </c>
      <c r="F1251" t="s">
        <v>5734</v>
      </c>
      <c r="G1251" s="1" t="s">
        <v>5730</v>
      </c>
      <c r="H1251" s="1" t="s">
        <v>1856</v>
      </c>
    </row>
    <row r="1252" spans="1:8" hidden="1" x14ac:dyDescent="0.3">
      <c r="A1252" t="s">
        <v>7168</v>
      </c>
      <c r="B1252" t="s">
        <v>7168</v>
      </c>
      <c r="C1252" t="s">
        <v>781</v>
      </c>
      <c r="D1252" t="s">
        <v>4697</v>
      </c>
      <c r="E1252" t="s">
        <v>16</v>
      </c>
      <c r="F1252" t="s">
        <v>5729</v>
      </c>
      <c r="G1252" s="1" t="s">
        <v>5730</v>
      </c>
      <c r="H1252" s="1" t="s">
        <v>1856</v>
      </c>
    </row>
    <row r="1253" spans="1:8" hidden="1" x14ac:dyDescent="0.3">
      <c r="A1253" t="s">
        <v>7169</v>
      </c>
      <c r="B1253" t="s">
        <v>7169</v>
      </c>
      <c r="C1253" t="s">
        <v>839</v>
      </c>
      <c r="D1253" t="s">
        <v>4697</v>
      </c>
      <c r="E1253" t="s">
        <v>16</v>
      </c>
      <c r="F1253" t="s">
        <v>5729</v>
      </c>
      <c r="G1253" s="1" t="s">
        <v>5730</v>
      </c>
      <c r="H1253" s="1" t="s">
        <v>1874</v>
      </c>
    </row>
    <row r="1254" spans="1:8" hidden="1" x14ac:dyDescent="0.3">
      <c r="A1254" t="s">
        <v>7170</v>
      </c>
      <c r="B1254" t="s">
        <v>7170</v>
      </c>
      <c r="C1254" t="s">
        <v>7171</v>
      </c>
      <c r="D1254" t="s">
        <v>4697</v>
      </c>
      <c r="E1254" t="s">
        <v>16</v>
      </c>
      <c r="F1254" t="s">
        <v>5734</v>
      </c>
      <c r="G1254" s="1" t="s">
        <v>5730</v>
      </c>
      <c r="H1254" s="1" t="s">
        <v>1856</v>
      </c>
    </row>
    <row r="1255" spans="1:8" hidden="1" x14ac:dyDescent="0.3">
      <c r="A1255" t="s">
        <v>7172</v>
      </c>
      <c r="B1255" t="s">
        <v>7172</v>
      </c>
      <c r="C1255" t="s">
        <v>949</v>
      </c>
      <c r="D1255" t="s">
        <v>4697</v>
      </c>
      <c r="E1255" t="s">
        <v>16</v>
      </c>
      <c r="F1255" t="s">
        <v>5734</v>
      </c>
      <c r="G1255" s="1" t="s">
        <v>5730</v>
      </c>
      <c r="H1255" s="1" t="s">
        <v>1856</v>
      </c>
    </row>
    <row r="1256" spans="1:8" hidden="1" x14ac:dyDescent="0.3">
      <c r="A1256" t="s">
        <v>7173</v>
      </c>
      <c r="B1256" t="s">
        <v>7173</v>
      </c>
      <c r="C1256" t="s">
        <v>6846</v>
      </c>
      <c r="D1256" t="s">
        <v>4697</v>
      </c>
      <c r="E1256" t="s">
        <v>16</v>
      </c>
      <c r="F1256" t="s">
        <v>5729</v>
      </c>
      <c r="G1256" s="1" t="s">
        <v>5730</v>
      </c>
      <c r="H1256" s="1" t="s">
        <v>1874</v>
      </c>
    </row>
    <row r="1257" spans="1:8" hidden="1" x14ac:dyDescent="0.3">
      <c r="A1257" t="s">
        <v>7174</v>
      </c>
      <c r="B1257" t="s">
        <v>7174</v>
      </c>
      <c r="C1257" t="s">
        <v>4709</v>
      </c>
      <c r="D1257" t="s">
        <v>4697</v>
      </c>
      <c r="E1257" t="s">
        <v>16</v>
      </c>
      <c r="F1257" t="s">
        <v>5734</v>
      </c>
      <c r="G1257" s="1" t="s">
        <v>5730</v>
      </c>
      <c r="H1257" s="1" t="s">
        <v>1856</v>
      </c>
    </row>
    <row r="1258" spans="1:8" hidden="1" x14ac:dyDescent="0.3">
      <c r="A1258" t="s">
        <v>7175</v>
      </c>
      <c r="B1258" t="s">
        <v>7175</v>
      </c>
      <c r="C1258" t="s">
        <v>227</v>
      </c>
      <c r="D1258" t="s">
        <v>4711</v>
      </c>
      <c r="E1258" t="s">
        <v>16</v>
      </c>
      <c r="F1258" t="s">
        <v>5734</v>
      </c>
      <c r="G1258" s="1" t="s">
        <v>5730</v>
      </c>
      <c r="H1258" s="1" t="s">
        <v>1856</v>
      </c>
    </row>
    <row r="1259" spans="1:8" hidden="1" x14ac:dyDescent="0.3">
      <c r="A1259" t="s">
        <v>7176</v>
      </c>
      <c r="B1259" t="s">
        <v>7176</v>
      </c>
      <c r="C1259" t="s">
        <v>373</v>
      </c>
      <c r="D1259" t="s">
        <v>4711</v>
      </c>
      <c r="E1259" t="s">
        <v>16</v>
      </c>
      <c r="F1259" t="s">
        <v>5729</v>
      </c>
      <c r="G1259" s="1" t="s">
        <v>5730</v>
      </c>
      <c r="H1259" s="1" t="s">
        <v>1856</v>
      </c>
    </row>
    <row r="1260" spans="1:8" hidden="1" x14ac:dyDescent="0.3">
      <c r="A1260" t="s">
        <v>7177</v>
      </c>
      <c r="B1260" t="s">
        <v>7177</v>
      </c>
      <c r="C1260" t="s">
        <v>376</v>
      </c>
      <c r="D1260" t="s">
        <v>4711</v>
      </c>
      <c r="E1260" t="s">
        <v>16</v>
      </c>
      <c r="F1260" t="s">
        <v>5734</v>
      </c>
      <c r="G1260" s="1" t="s">
        <v>5730</v>
      </c>
      <c r="H1260" s="1" t="s">
        <v>1856</v>
      </c>
    </row>
    <row r="1261" spans="1:8" hidden="1" x14ac:dyDescent="0.3">
      <c r="A1261" t="s">
        <v>7178</v>
      </c>
      <c r="B1261" t="s">
        <v>7178</v>
      </c>
      <c r="C1261" t="s">
        <v>7179</v>
      </c>
      <c r="D1261" t="s">
        <v>4711</v>
      </c>
      <c r="E1261" t="s">
        <v>16</v>
      </c>
      <c r="F1261" t="s">
        <v>5734</v>
      </c>
      <c r="G1261" s="1" t="s">
        <v>5730</v>
      </c>
      <c r="H1261" s="1" t="s">
        <v>1856</v>
      </c>
    </row>
    <row r="1262" spans="1:8" hidden="1" x14ac:dyDescent="0.3">
      <c r="A1262" t="s">
        <v>7180</v>
      </c>
      <c r="B1262" t="s">
        <v>7180</v>
      </c>
      <c r="C1262" t="s">
        <v>585</v>
      </c>
      <c r="D1262" t="s">
        <v>4711</v>
      </c>
      <c r="E1262" t="s">
        <v>16</v>
      </c>
      <c r="F1262" t="s">
        <v>5729</v>
      </c>
      <c r="G1262" s="1" t="s">
        <v>5730</v>
      </c>
      <c r="H1262" s="1" t="s">
        <v>1856</v>
      </c>
    </row>
    <row r="1263" spans="1:8" hidden="1" x14ac:dyDescent="0.3">
      <c r="A1263" t="s">
        <v>7181</v>
      </c>
      <c r="B1263" t="s">
        <v>7181</v>
      </c>
      <c r="C1263" t="s">
        <v>718</v>
      </c>
      <c r="D1263" t="s">
        <v>4711</v>
      </c>
      <c r="E1263" t="s">
        <v>16</v>
      </c>
      <c r="F1263" t="s">
        <v>5734</v>
      </c>
      <c r="G1263" s="1" t="s">
        <v>5730</v>
      </c>
      <c r="H1263" s="1" t="s">
        <v>1856</v>
      </c>
    </row>
    <row r="1264" spans="1:8" hidden="1" x14ac:dyDescent="0.3">
      <c r="A1264" t="s">
        <v>7182</v>
      </c>
      <c r="B1264" t="s">
        <v>7182</v>
      </c>
      <c r="C1264" t="s">
        <v>782</v>
      </c>
      <c r="D1264" t="s">
        <v>4711</v>
      </c>
      <c r="E1264" t="s">
        <v>16</v>
      </c>
      <c r="F1264" t="s">
        <v>5734</v>
      </c>
      <c r="G1264" s="1" t="s">
        <v>5730</v>
      </c>
      <c r="H1264" s="1" t="s">
        <v>1856</v>
      </c>
    </row>
    <row r="1265" spans="1:8" hidden="1" x14ac:dyDescent="0.3">
      <c r="A1265" t="s">
        <v>7183</v>
      </c>
      <c r="B1265" t="s">
        <v>7183</v>
      </c>
      <c r="C1265" t="s">
        <v>7184</v>
      </c>
      <c r="D1265" t="s">
        <v>4711</v>
      </c>
      <c r="E1265" t="s">
        <v>16</v>
      </c>
      <c r="F1265" t="s">
        <v>5734</v>
      </c>
      <c r="G1265" s="1" t="s">
        <v>5730</v>
      </c>
      <c r="H1265" s="1" t="s">
        <v>1856</v>
      </c>
    </row>
    <row r="1266" spans="1:8" hidden="1" x14ac:dyDescent="0.3">
      <c r="A1266" t="s">
        <v>7185</v>
      </c>
      <c r="B1266" t="s">
        <v>7185</v>
      </c>
      <c r="C1266" t="s">
        <v>840</v>
      </c>
      <c r="D1266" t="s">
        <v>4711</v>
      </c>
      <c r="E1266" t="s">
        <v>16</v>
      </c>
      <c r="F1266" t="s">
        <v>5734</v>
      </c>
      <c r="G1266" s="1" t="s">
        <v>5730</v>
      </c>
      <c r="H1266" s="1" t="s">
        <v>1856</v>
      </c>
    </row>
    <row r="1267" spans="1:8" hidden="1" x14ac:dyDescent="0.3">
      <c r="A1267" t="s">
        <v>7186</v>
      </c>
      <c r="B1267" t="s">
        <v>7186</v>
      </c>
      <c r="C1267" t="s">
        <v>4722</v>
      </c>
      <c r="D1267" t="s">
        <v>4711</v>
      </c>
      <c r="E1267" t="s">
        <v>16</v>
      </c>
      <c r="F1267" t="s">
        <v>5729</v>
      </c>
      <c r="G1267" s="1" t="s">
        <v>5730</v>
      </c>
      <c r="H1267" s="1" t="s">
        <v>1874</v>
      </c>
    </row>
    <row r="1268" spans="1:8" hidden="1" x14ac:dyDescent="0.3">
      <c r="A1268" t="s">
        <v>7187</v>
      </c>
      <c r="B1268" t="s">
        <v>7187</v>
      </c>
      <c r="C1268" t="s">
        <v>4724</v>
      </c>
      <c r="D1268" t="s">
        <v>4711</v>
      </c>
      <c r="E1268" t="s">
        <v>16</v>
      </c>
      <c r="F1268" t="s">
        <v>7188</v>
      </c>
      <c r="G1268" s="1" t="s">
        <v>1961</v>
      </c>
      <c r="H1268" s="1" t="s">
        <v>1927</v>
      </c>
    </row>
    <row r="1269" spans="1:8" hidden="1" x14ac:dyDescent="0.3">
      <c r="A1269" t="s">
        <v>7189</v>
      </c>
      <c r="B1269" t="s">
        <v>7189</v>
      </c>
      <c r="C1269" t="s">
        <v>4726</v>
      </c>
      <c r="D1269" t="s">
        <v>4711</v>
      </c>
      <c r="E1269" t="s">
        <v>16</v>
      </c>
      <c r="F1269" t="s">
        <v>5729</v>
      </c>
      <c r="G1269" s="1" t="s">
        <v>5730</v>
      </c>
      <c r="H1269" s="1" t="s">
        <v>1856</v>
      </c>
    </row>
    <row r="1270" spans="1:8" hidden="1" x14ac:dyDescent="0.3">
      <c r="A1270" t="s">
        <v>7190</v>
      </c>
      <c r="B1270" t="s">
        <v>7190</v>
      </c>
      <c r="C1270" t="s">
        <v>7191</v>
      </c>
      <c r="D1270" t="s">
        <v>139</v>
      </c>
      <c r="E1270" t="s">
        <v>16</v>
      </c>
      <c r="F1270" t="s">
        <v>5734</v>
      </c>
      <c r="G1270" s="1" t="s">
        <v>5730</v>
      </c>
      <c r="H1270" s="1" t="s">
        <v>1856</v>
      </c>
    </row>
    <row r="1271" spans="1:8" hidden="1" x14ac:dyDescent="0.3">
      <c r="A1271" t="s">
        <v>7192</v>
      </c>
      <c r="B1271" t="s">
        <v>7192</v>
      </c>
      <c r="C1271" t="s">
        <v>300</v>
      </c>
      <c r="D1271" t="s">
        <v>139</v>
      </c>
      <c r="E1271" t="s">
        <v>16</v>
      </c>
      <c r="F1271" t="s">
        <v>5734</v>
      </c>
      <c r="G1271" s="1" t="s">
        <v>5730</v>
      </c>
      <c r="H1271" s="1" t="s">
        <v>1856</v>
      </c>
    </row>
    <row r="1272" spans="1:8" hidden="1" x14ac:dyDescent="0.3">
      <c r="A1272" t="s">
        <v>7193</v>
      </c>
      <c r="B1272" t="s">
        <v>7193</v>
      </c>
      <c r="C1272" t="s">
        <v>374</v>
      </c>
      <c r="D1272" t="s">
        <v>139</v>
      </c>
      <c r="E1272" t="s">
        <v>16</v>
      </c>
      <c r="F1272" t="s">
        <v>5734</v>
      </c>
      <c r="G1272" s="1" t="s">
        <v>5730</v>
      </c>
      <c r="H1272" s="1" t="s">
        <v>1856</v>
      </c>
    </row>
    <row r="1273" spans="1:8" hidden="1" x14ac:dyDescent="0.3">
      <c r="A1273" t="s">
        <v>7194</v>
      </c>
      <c r="B1273" t="s">
        <v>7194</v>
      </c>
      <c r="C1273" t="s">
        <v>444</v>
      </c>
      <c r="D1273" t="s">
        <v>139</v>
      </c>
      <c r="E1273" t="s">
        <v>16</v>
      </c>
      <c r="F1273" t="s">
        <v>5734</v>
      </c>
      <c r="G1273" s="1" t="s">
        <v>5730</v>
      </c>
      <c r="H1273" s="1" t="s">
        <v>1856</v>
      </c>
    </row>
    <row r="1274" spans="1:8" hidden="1" x14ac:dyDescent="0.3">
      <c r="A1274" t="s">
        <v>7195</v>
      </c>
      <c r="B1274" t="s">
        <v>7195</v>
      </c>
      <c r="C1274" t="s">
        <v>519</v>
      </c>
      <c r="D1274" t="s">
        <v>139</v>
      </c>
      <c r="E1274" t="s">
        <v>16</v>
      </c>
      <c r="F1274" t="s">
        <v>5729</v>
      </c>
      <c r="G1274" s="1" t="s">
        <v>5730</v>
      </c>
      <c r="H1274" s="1" t="s">
        <v>1856</v>
      </c>
    </row>
    <row r="1275" spans="1:8" hidden="1" x14ac:dyDescent="0.3">
      <c r="A1275" t="s">
        <v>7196</v>
      </c>
      <c r="B1275" t="s">
        <v>7196</v>
      </c>
      <c r="C1275" t="s">
        <v>586</v>
      </c>
      <c r="D1275" t="s">
        <v>139</v>
      </c>
      <c r="E1275" t="s">
        <v>16</v>
      </c>
      <c r="F1275" t="s">
        <v>5729</v>
      </c>
      <c r="G1275" s="1" t="s">
        <v>5730</v>
      </c>
      <c r="H1275" s="1" t="s">
        <v>1856</v>
      </c>
    </row>
    <row r="1276" spans="1:8" hidden="1" x14ac:dyDescent="0.3">
      <c r="A1276" t="s">
        <v>7197</v>
      </c>
      <c r="B1276" t="s">
        <v>7197</v>
      </c>
      <c r="C1276" t="s">
        <v>654</v>
      </c>
      <c r="D1276" t="s">
        <v>139</v>
      </c>
      <c r="E1276" t="s">
        <v>16</v>
      </c>
      <c r="F1276" t="s">
        <v>5729</v>
      </c>
      <c r="G1276" s="1" t="s">
        <v>5730</v>
      </c>
      <c r="H1276" s="1" t="s">
        <v>1856</v>
      </c>
    </row>
    <row r="1277" spans="1:8" x14ac:dyDescent="0.3">
      <c r="A1277" t="s">
        <v>7198</v>
      </c>
      <c r="B1277" t="s">
        <v>7198</v>
      </c>
      <c r="C1277" t="s">
        <v>7199</v>
      </c>
      <c r="D1277" t="s">
        <v>7200</v>
      </c>
      <c r="E1277" t="s">
        <v>1</v>
      </c>
      <c r="F1277" t="s">
        <v>5747</v>
      </c>
      <c r="G1277" s="1" t="s">
        <v>2204</v>
      </c>
      <c r="H1277" s="1" t="s">
        <v>1856</v>
      </c>
    </row>
    <row r="1278" spans="1:8" hidden="1" x14ac:dyDescent="0.3">
      <c r="A1278" t="s">
        <v>7201</v>
      </c>
      <c r="B1278" t="s">
        <v>7201</v>
      </c>
      <c r="C1278" t="s">
        <v>1866</v>
      </c>
      <c r="D1278" t="s">
        <v>1851</v>
      </c>
      <c r="E1278" t="s">
        <v>3</v>
      </c>
      <c r="F1278" t="s">
        <v>6643</v>
      </c>
      <c r="G1278" s="1" t="s">
        <v>1855</v>
      </c>
      <c r="H1278" s="1" t="s">
        <v>1856</v>
      </c>
    </row>
    <row r="1279" spans="1:8" hidden="1" x14ac:dyDescent="0.3">
      <c r="A1279" t="s">
        <v>7202</v>
      </c>
      <c r="B1279" t="s">
        <v>7202</v>
      </c>
      <c r="C1279" t="s">
        <v>1864</v>
      </c>
      <c r="D1279" t="s">
        <v>1851</v>
      </c>
      <c r="E1279" t="s">
        <v>3</v>
      </c>
      <c r="G1279" s="1" t="s">
        <v>1855</v>
      </c>
      <c r="H1279" s="1" t="s">
        <v>1856</v>
      </c>
    </row>
    <row r="1280" spans="1:8" hidden="1" x14ac:dyDescent="0.3">
      <c r="A1280" t="s">
        <v>7203</v>
      </c>
      <c r="B1280" t="s">
        <v>7203</v>
      </c>
      <c r="C1280" t="s">
        <v>1869</v>
      </c>
      <c r="D1280" t="s">
        <v>1851</v>
      </c>
      <c r="E1280" t="s">
        <v>3</v>
      </c>
      <c r="G1280" s="1" t="s">
        <v>1855</v>
      </c>
      <c r="H1280" s="1" t="s">
        <v>1856</v>
      </c>
    </row>
    <row r="1281" spans="1:8" hidden="1" x14ac:dyDescent="0.3">
      <c r="A1281" t="s">
        <v>7204</v>
      </c>
      <c r="B1281" t="s">
        <v>7204</v>
      </c>
      <c r="C1281" t="s">
        <v>7205</v>
      </c>
      <c r="D1281" t="s">
        <v>1851</v>
      </c>
      <c r="E1281" t="s">
        <v>3</v>
      </c>
      <c r="G1281" s="1" t="s">
        <v>1855</v>
      </c>
      <c r="H1281" s="1" t="s">
        <v>1856</v>
      </c>
    </row>
    <row r="1282" spans="1:8" hidden="1" x14ac:dyDescent="0.3">
      <c r="A1282" t="s">
        <v>7206</v>
      </c>
      <c r="B1282" t="s">
        <v>7206</v>
      </c>
      <c r="C1282" t="s">
        <v>1882</v>
      </c>
      <c r="D1282" t="s">
        <v>1851</v>
      </c>
      <c r="E1282" t="s">
        <v>3</v>
      </c>
      <c r="G1282" s="1" t="s">
        <v>1855</v>
      </c>
      <c r="H1282" s="1" t="s">
        <v>1856</v>
      </c>
    </row>
    <row r="1283" spans="1:8" hidden="1" x14ac:dyDescent="0.3">
      <c r="A1283" t="s">
        <v>7207</v>
      </c>
      <c r="B1283" t="s">
        <v>7207</v>
      </c>
      <c r="C1283" t="s">
        <v>1884</v>
      </c>
      <c r="D1283" t="s">
        <v>1851</v>
      </c>
      <c r="E1283" t="s">
        <v>3</v>
      </c>
      <c r="G1283" s="1" t="s">
        <v>1855</v>
      </c>
      <c r="H1283" s="1" t="s">
        <v>1856</v>
      </c>
    </row>
    <row r="1284" spans="1:8" hidden="1" x14ac:dyDescent="0.3">
      <c r="A1284" t="s">
        <v>7208</v>
      </c>
      <c r="B1284" t="s">
        <v>7208</v>
      </c>
      <c r="C1284" t="s">
        <v>7209</v>
      </c>
      <c r="D1284" t="s">
        <v>1851</v>
      </c>
      <c r="E1284" t="s">
        <v>3</v>
      </c>
      <c r="G1284" s="1" t="s">
        <v>1855</v>
      </c>
      <c r="H1284" s="1" t="s">
        <v>1856</v>
      </c>
    </row>
    <row r="1285" spans="1:8" hidden="1" x14ac:dyDescent="0.3">
      <c r="A1285" t="s">
        <v>7210</v>
      </c>
      <c r="B1285" t="s">
        <v>7210</v>
      </c>
      <c r="C1285" t="s">
        <v>1862</v>
      </c>
      <c r="D1285" t="s">
        <v>1851</v>
      </c>
      <c r="E1285" t="s">
        <v>3</v>
      </c>
      <c r="G1285" s="1" t="s">
        <v>1855</v>
      </c>
      <c r="H1285" s="1" t="s">
        <v>1856</v>
      </c>
    </row>
    <row r="1286" spans="1:8" hidden="1" x14ac:dyDescent="0.3">
      <c r="A1286" t="s">
        <v>7211</v>
      </c>
      <c r="B1286" t="s">
        <v>7211</v>
      </c>
      <c r="C1286" t="s">
        <v>1873</v>
      </c>
      <c r="D1286" t="s">
        <v>1851</v>
      </c>
      <c r="E1286" t="s">
        <v>3</v>
      </c>
      <c r="G1286" s="1" t="s">
        <v>1855</v>
      </c>
      <c r="H1286" s="1" t="s">
        <v>1856</v>
      </c>
    </row>
    <row r="1287" spans="1:8" hidden="1" x14ac:dyDescent="0.3">
      <c r="A1287" t="s">
        <v>7212</v>
      </c>
      <c r="B1287" t="s">
        <v>7212</v>
      </c>
      <c r="C1287" t="s">
        <v>1888</v>
      </c>
      <c r="D1287" t="s">
        <v>1851</v>
      </c>
      <c r="E1287" t="s">
        <v>3</v>
      </c>
      <c r="G1287" s="1" t="s">
        <v>1855</v>
      </c>
      <c r="H1287" s="1" t="s">
        <v>1856</v>
      </c>
    </row>
    <row r="1288" spans="1:8" hidden="1" x14ac:dyDescent="0.3">
      <c r="A1288" t="s">
        <v>7213</v>
      </c>
      <c r="B1288" t="s">
        <v>7213</v>
      </c>
      <c r="C1288" t="s">
        <v>1858</v>
      </c>
      <c r="D1288" t="s">
        <v>1851</v>
      </c>
      <c r="E1288" t="s">
        <v>3</v>
      </c>
      <c r="G1288" s="1" t="s">
        <v>1855</v>
      </c>
      <c r="H1288" s="1" t="s">
        <v>1856</v>
      </c>
    </row>
    <row r="1289" spans="1:8" hidden="1" x14ac:dyDescent="0.3">
      <c r="A1289" t="s">
        <v>7214</v>
      </c>
      <c r="B1289" t="s">
        <v>7214</v>
      </c>
      <c r="C1289" t="s">
        <v>1860</v>
      </c>
      <c r="D1289" t="s">
        <v>1851</v>
      </c>
      <c r="E1289" t="s">
        <v>3</v>
      </c>
      <c r="G1289" s="1" t="s">
        <v>1855</v>
      </c>
      <c r="H1289" s="1" t="s">
        <v>1856</v>
      </c>
    </row>
    <row r="1290" spans="1:8" hidden="1" x14ac:dyDescent="0.3">
      <c r="A1290" t="s">
        <v>7215</v>
      </c>
      <c r="B1290" t="s">
        <v>7215</v>
      </c>
      <c r="C1290" t="s">
        <v>1871</v>
      </c>
      <c r="D1290" t="s">
        <v>1851</v>
      </c>
      <c r="E1290" t="s">
        <v>3</v>
      </c>
      <c r="G1290" s="1" t="s">
        <v>1855</v>
      </c>
      <c r="H1290" s="1" t="s">
        <v>1856</v>
      </c>
    </row>
    <row r="1291" spans="1:8" hidden="1" x14ac:dyDescent="0.3">
      <c r="A1291" t="s">
        <v>7216</v>
      </c>
      <c r="B1291" t="s">
        <v>7216</v>
      </c>
      <c r="C1291" t="s">
        <v>1876</v>
      </c>
      <c r="D1291" t="s">
        <v>1851</v>
      </c>
      <c r="E1291" t="s">
        <v>3</v>
      </c>
      <c r="G1291" s="1" t="s">
        <v>1855</v>
      </c>
      <c r="H1291" s="1" t="s">
        <v>1856</v>
      </c>
    </row>
    <row r="1292" spans="1:8" hidden="1" x14ac:dyDescent="0.3">
      <c r="A1292" t="s">
        <v>7217</v>
      </c>
      <c r="B1292" t="s">
        <v>7217</v>
      </c>
      <c r="C1292" t="s">
        <v>1878</v>
      </c>
      <c r="D1292" t="s">
        <v>1851</v>
      </c>
      <c r="E1292" t="s">
        <v>3</v>
      </c>
      <c r="G1292" s="1" t="s">
        <v>1855</v>
      </c>
      <c r="H1292" s="1" t="s">
        <v>1856</v>
      </c>
    </row>
    <row r="1293" spans="1:8" hidden="1" x14ac:dyDescent="0.3">
      <c r="A1293" t="s">
        <v>7218</v>
      </c>
      <c r="B1293" t="s">
        <v>7218</v>
      </c>
      <c r="C1293" t="s">
        <v>1126</v>
      </c>
      <c r="D1293" t="s">
        <v>1851</v>
      </c>
      <c r="E1293" t="s">
        <v>3</v>
      </c>
      <c r="G1293" s="1" t="s">
        <v>5730</v>
      </c>
      <c r="H1293" s="1" t="s">
        <v>1856</v>
      </c>
    </row>
    <row r="1294" spans="1:8" hidden="1" x14ac:dyDescent="0.3">
      <c r="A1294" t="s">
        <v>7219</v>
      </c>
      <c r="B1294" t="s">
        <v>7219</v>
      </c>
      <c r="C1294" t="s">
        <v>7220</v>
      </c>
      <c r="D1294" t="s">
        <v>1851</v>
      </c>
      <c r="E1294" t="s">
        <v>3</v>
      </c>
      <c r="G1294" s="1" t="s">
        <v>1855</v>
      </c>
      <c r="H1294" s="1" t="s">
        <v>1856</v>
      </c>
    </row>
    <row r="1295" spans="1:8" hidden="1" x14ac:dyDescent="0.3">
      <c r="A1295" t="s">
        <v>7221</v>
      </c>
      <c r="B1295" t="s">
        <v>7221</v>
      </c>
      <c r="C1295" t="s">
        <v>7222</v>
      </c>
      <c r="D1295" t="s">
        <v>78</v>
      </c>
      <c r="E1295" t="s">
        <v>2</v>
      </c>
      <c r="F1295" t="s">
        <v>5781</v>
      </c>
      <c r="G1295" s="1" t="s">
        <v>5730</v>
      </c>
      <c r="H1295" s="1" t="s">
        <v>1856</v>
      </c>
    </row>
    <row r="1296" spans="1:8" hidden="1" x14ac:dyDescent="0.3">
      <c r="A1296" t="s">
        <v>7223</v>
      </c>
      <c r="B1296" t="s">
        <v>7223</v>
      </c>
      <c r="C1296" t="s">
        <v>235</v>
      </c>
      <c r="D1296" t="s">
        <v>78</v>
      </c>
      <c r="E1296" t="s">
        <v>2</v>
      </c>
      <c r="F1296" t="s">
        <v>5729</v>
      </c>
      <c r="G1296" s="1" t="s">
        <v>5730</v>
      </c>
      <c r="H1296" s="1" t="s">
        <v>1927</v>
      </c>
    </row>
    <row r="1297" spans="1:8" hidden="1" x14ac:dyDescent="0.3">
      <c r="A1297" t="s">
        <v>7224</v>
      </c>
      <c r="B1297" t="s">
        <v>7224</v>
      </c>
      <c r="C1297" t="s">
        <v>308</v>
      </c>
      <c r="D1297" t="s">
        <v>78</v>
      </c>
      <c r="E1297" t="s">
        <v>2</v>
      </c>
      <c r="F1297" t="s">
        <v>5729</v>
      </c>
      <c r="G1297" s="1" t="s">
        <v>5730</v>
      </c>
      <c r="H1297" s="1" t="s">
        <v>1927</v>
      </c>
    </row>
    <row r="1298" spans="1:8" hidden="1" x14ac:dyDescent="0.3">
      <c r="A1298" t="s">
        <v>7225</v>
      </c>
      <c r="B1298" t="s">
        <v>7225</v>
      </c>
      <c r="C1298" t="s">
        <v>382</v>
      </c>
      <c r="D1298" t="s">
        <v>78</v>
      </c>
      <c r="E1298" t="s">
        <v>2</v>
      </c>
      <c r="F1298" t="s">
        <v>5729</v>
      </c>
      <c r="G1298" s="1" t="s">
        <v>5730</v>
      </c>
      <c r="H1298" s="1" t="s">
        <v>1923</v>
      </c>
    </row>
    <row r="1299" spans="1:8" hidden="1" x14ac:dyDescent="0.3">
      <c r="A1299" t="s">
        <v>7226</v>
      </c>
      <c r="B1299" t="s">
        <v>7226</v>
      </c>
      <c r="C1299" t="s">
        <v>452</v>
      </c>
      <c r="D1299" t="s">
        <v>78</v>
      </c>
      <c r="E1299" t="s">
        <v>2</v>
      </c>
      <c r="F1299" t="s">
        <v>5729</v>
      </c>
      <c r="G1299" s="1" t="s">
        <v>5730</v>
      </c>
      <c r="H1299" s="1" t="s">
        <v>1923</v>
      </c>
    </row>
    <row r="1300" spans="1:8" hidden="1" x14ac:dyDescent="0.3">
      <c r="A1300" t="s">
        <v>7227</v>
      </c>
      <c r="B1300" t="s">
        <v>7227</v>
      </c>
      <c r="C1300" t="s">
        <v>526</v>
      </c>
      <c r="D1300" t="s">
        <v>78</v>
      </c>
      <c r="E1300" t="s">
        <v>2</v>
      </c>
      <c r="F1300" t="s">
        <v>5781</v>
      </c>
      <c r="G1300" s="1" t="s">
        <v>5730</v>
      </c>
      <c r="H1300" s="1" t="s">
        <v>1927</v>
      </c>
    </row>
    <row r="1301" spans="1:8" hidden="1" x14ac:dyDescent="0.3">
      <c r="A1301" t="s">
        <v>7228</v>
      </c>
      <c r="B1301" t="s">
        <v>7228</v>
      </c>
      <c r="C1301" t="s">
        <v>569</v>
      </c>
      <c r="D1301" t="s">
        <v>78</v>
      </c>
      <c r="E1301" t="s">
        <v>2</v>
      </c>
      <c r="F1301" t="s">
        <v>5734</v>
      </c>
      <c r="G1301" s="1" t="s">
        <v>5730</v>
      </c>
      <c r="H1301" s="1" t="s">
        <v>1927</v>
      </c>
    </row>
    <row r="1302" spans="1:8" hidden="1" x14ac:dyDescent="0.3">
      <c r="A1302" t="s">
        <v>7229</v>
      </c>
      <c r="B1302" t="s">
        <v>7229</v>
      </c>
      <c r="C1302" t="s">
        <v>1901</v>
      </c>
      <c r="D1302" t="s">
        <v>78</v>
      </c>
      <c r="E1302" t="s">
        <v>2</v>
      </c>
      <c r="F1302" t="s">
        <v>5781</v>
      </c>
      <c r="G1302" s="1" t="s">
        <v>5730</v>
      </c>
      <c r="H1302" s="1" t="s">
        <v>1923</v>
      </c>
    </row>
    <row r="1303" spans="1:8" hidden="1" x14ac:dyDescent="0.3">
      <c r="A1303" t="s">
        <v>7230</v>
      </c>
      <c r="B1303" t="s">
        <v>7230</v>
      </c>
      <c r="C1303" t="s">
        <v>725</v>
      </c>
      <c r="D1303" t="s">
        <v>78</v>
      </c>
      <c r="E1303" t="s">
        <v>2</v>
      </c>
      <c r="F1303" t="s">
        <v>5729</v>
      </c>
      <c r="G1303" s="1" t="s">
        <v>5730</v>
      </c>
      <c r="H1303" s="1" t="s">
        <v>1874</v>
      </c>
    </row>
    <row r="1304" spans="1:8" hidden="1" x14ac:dyDescent="0.3">
      <c r="A1304" t="s">
        <v>7231</v>
      </c>
      <c r="B1304" t="s">
        <v>7231</v>
      </c>
      <c r="C1304" t="s">
        <v>788</v>
      </c>
      <c r="D1304" t="s">
        <v>78</v>
      </c>
      <c r="E1304" t="s">
        <v>2</v>
      </c>
      <c r="F1304" t="s">
        <v>5729</v>
      </c>
      <c r="G1304" s="1" t="s">
        <v>5730</v>
      </c>
      <c r="H1304" s="1" t="s">
        <v>1927</v>
      </c>
    </row>
    <row r="1305" spans="1:8" hidden="1" x14ac:dyDescent="0.3">
      <c r="A1305" t="s">
        <v>7232</v>
      </c>
      <c r="B1305" t="s">
        <v>7232</v>
      </c>
      <c r="C1305" t="s">
        <v>847</v>
      </c>
      <c r="D1305" t="s">
        <v>78</v>
      </c>
      <c r="E1305" t="s">
        <v>2</v>
      </c>
      <c r="F1305" t="s">
        <v>5729</v>
      </c>
      <c r="G1305" s="1" t="s">
        <v>5730</v>
      </c>
      <c r="H1305" s="1" t="s">
        <v>1923</v>
      </c>
    </row>
    <row r="1306" spans="1:8" hidden="1" x14ac:dyDescent="0.3">
      <c r="A1306" t="s">
        <v>7233</v>
      </c>
      <c r="B1306" t="s">
        <v>7233</v>
      </c>
      <c r="C1306" t="s">
        <v>903</v>
      </c>
      <c r="D1306" t="s">
        <v>78</v>
      </c>
      <c r="E1306" t="s">
        <v>2</v>
      </c>
      <c r="F1306" t="s">
        <v>5781</v>
      </c>
      <c r="G1306" s="1" t="s">
        <v>5730</v>
      </c>
      <c r="H1306" s="1" t="s">
        <v>1923</v>
      </c>
    </row>
    <row r="1307" spans="1:8" hidden="1" x14ac:dyDescent="0.3">
      <c r="A1307" t="s">
        <v>7234</v>
      </c>
      <c r="B1307" t="s">
        <v>7234</v>
      </c>
      <c r="C1307" t="s">
        <v>7235</v>
      </c>
      <c r="D1307" t="s">
        <v>78</v>
      </c>
      <c r="E1307" t="s">
        <v>2</v>
      </c>
      <c r="F1307" t="s">
        <v>5729</v>
      </c>
      <c r="G1307" s="1" t="s">
        <v>5730</v>
      </c>
      <c r="H1307" s="1" t="s">
        <v>1927</v>
      </c>
    </row>
    <row r="1308" spans="1:8" hidden="1" x14ac:dyDescent="0.3">
      <c r="A1308" t="s">
        <v>7236</v>
      </c>
      <c r="B1308" t="s">
        <v>7236</v>
      </c>
      <c r="C1308" t="s">
        <v>1001</v>
      </c>
      <c r="D1308" t="s">
        <v>78</v>
      </c>
      <c r="E1308" t="s">
        <v>2</v>
      </c>
      <c r="F1308" t="s">
        <v>5729</v>
      </c>
      <c r="G1308" s="1" t="s">
        <v>5730</v>
      </c>
      <c r="H1308" s="1" t="s">
        <v>1856</v>
      </c>
    </row>
    <row r="1309" spans="1:8" hidden="1" x14ac:dyDescent="0.3">
      <c r="A1309" t="s">
        <v>7237</v>
      </c>
      <c r="B1309" t="s">
        <v>7237</v>
      </c>
      <c r="C1309" t="s">
        <v>1050</v>
      </c>
      <c r="D1309" t="s">
        <v>78</v>
      </c>
      <c r="E1309" t="s">
        <v>2</v>
      </c>
      <c r="F1309" t="s">
        <v>5729</v>
      </c>
      <c r="G1309" s="1" t="s">
        <v>5730</v>
      </c>
      <c r="H1309" s="1" t="s">
        <v>1927</v>
      </c>
    </row>
    <row r="1310" spans="1:8" hidden="1" x14ac:dyDescent="0.3">
      <c r="A1310" t="s">
        <v>7238</v>
      </c>
      <c r="B1310" t="s">
        <v>7238</v>
      </c>
      <c r="C1310" t="s">
        <v>1090</v>
      </c>
      <c r="D1310" t="s">
        <v>78</v>
      </c>
      <c r="E1310" t="s">
        <v>2</v>
      </c>
      <c r="F1310" t="s">
        <v>5734</v>
      </c>
      <c r="G1310" s="1" t="s">
        <v>5730</v>
      </c>
      <c r="H1310" s="1" t="s">
        <v>1927</v>
      </c>
    </row>
    <row r="1311" spans="1:8" hidden="1" x14ac:dyDescent="0.3">
      <c r="A1311" t="s">
        <v>7239</v>
      </c>
      <c r="B1311" t="s">
        <v>7239</v>
      </c>
      <c r="C1311" s="8" t="s">
        <v>1127</v>
      </c>
      <c r="D1311" s="8" t="s">
        <v>78</v>
      </c>
      <c r="E1311" s="8" t="s">
        <v>2</v>
      </c>
      <c r="F1311" t="s">
        <v>5781</v>
      </c>
      <c r="G1311" s="1" t="s">
        <v>5730</v>
      </c>
      <c r="H1311" s="1" t="s">
        <v>1923</v>
      </c>
    </row>
    <row r="1312" spans="1:8" hidden="1" x14ac:dyDescent="0.3">
      <c r="A1312" t="s">
        <v>7240</v>
      </c>
      <c r="B1312" t="s">
        <v>7240</v>
      </c>
      <c r="C1312" t="s">
        <v>1161</v>
      </c>
      <c r="D1312" t="s">
        <v>78</v>
      </c>
      <c r="E1312" t="s">
        <v>2</v>
      </c>
      <c r="F1312" t="s">
        <v>5781</v>
      </c>
      <c r="G1312" s="1" t="s">
        <v>5730</v>
      </c>
      <c r="H1312" s="1" t="s">
        <v>1927</v>
      </c>
    </row>
    <row r="1313" spans="1:8" hidden="1" x14ac:dyDescent="0.3">
      <c r="A1313" t="s">
        <v>7241</v>
      </c>
      <c r="B1313" t="s">
        <v>7241</v>
      </c>
      <c r="C1313" t="s">
        <v>855</v>
      </c>
      <c r="D1313" t="s">
        <v>78</v>
      </c>
      <c r="E1313" t="s">
        <v>2</v>
      </c>
      <c r="F1313" t="s">
        <v>5734</v>
      </c>
      <c r="G1313" s="1" t="s">
        <v>5730</v>
      </c>
      <c r="H1313" s="1" t="s">
        <v>1856</v>
      </c>
    </row>
    <row r="1314" spans="1:8" hidden="1" x14ac:dyDescent="0.3">
      <c r="A1314" t="s">
        <v>7242</v>
      </c>
      <c r="B1314" t="s">
        <v>7242</v>
      </c>
      <c r="C1314" t="s">
        <v>1220</v>
      </c>
      <c r="D1314" t="s">
        <v>78</v>
      </c>
      <c r="E1314" t="s">
        <v>2</v>
      </c>
      <c r="F1314" t="s">
        <v>5729</v>
      </c>
      <c r="G1314" s="1" t="s">
        <v>5730</v>
      </c>
      <c r="H1314" s="1" t="s">
        <v>1923</v>
      </c>
    </row>
    <row r="1315" spans="1:8" hidden="1" x14ac:dyDescent="0.3">
      <c r="A1315" t="s">
        <v>7243</v>
      </c>
      <c r="B1315" t="s">
        <v>7243</v>
      </c>
      <c r="C1315" t="s">
        <v>1916</v>
      </c>
      <c r="D1315" t="s">
        <v>78</v>
      </c>
      <c r="E1315" t="s">
        <v>2</v>
      </c>
      <c r="F1315" t="s">
        <v>5781</v>
      </c>
      <c r="G1315" s="1" t="s">
        <v>5730</v>
      </c>
      <c r="H1315" s="1" t="s">
        <v>1874</v>
      </c>
    </row>
    <row r="1316" spans="1:8" hidden="1" x14ac:dyDescent="0.3">
      <c r="A1316" t="s">
        <v>7244</v>
      </c>
      <c r="B1316" t="s">
        <v>7244</v>
      </c>
      <c r="C1316" t="s">
        <v>1842</v>
      </c>
      <c r="D1316" t="s">
        <v>78</v>
      </c>
      <c r="E1316" t="s">
        <v>2</v>
      </c>
      <c r="F1316" t="s">
        <v>5734</v>
      </c>
      <c r="G1316" s="1" t="s">
        <v>5730</v>
      </c>
      <c r="H1316" s="1" t="s">
        <v>1923</v>
      </c>
    </row>
    <row r="1317" spans="1:8" hidden="1" x14ac:dyDescent="0.3">
      <c r="A1317" t="s">
        <v>7245</v>
      </c>
      <c r="B1317" t="s">
        <v>7245</v>
      </c>
      <c r="C1317" t="s">
        <v>1919</v>
      </c>
      <c r="D1317" t="s">
        <v>78</v>
      </c>
      <c r="E1317" t="s">
        <v>2</v>
      </c>
      <c r="F1317" t="s">
        <v>5729</v>
      </c>
      <c r="G1317" s="1" t="s">
        <v>5730</v>
      </c>
      <c r="H1317" s="1" t="s">
        <v>1927</v>
      </c>
    </row>
    <row r="1318" spans="1:8" hidden="1" x14ac:dyDescent="0.3">
      <c r="A1318" t="s">
        <v>7246</v>
      </c>
      <c r="B1318" t="s">
        <v>7246</v>
      </c>
      <c r="C1318" t="s">
        <v>1307</v>
      </c>
      <c r="D1318" t="s">
        <v>78</v>
      </c>
      <c r="E1318" t="s">
        <v>2</v>
      </c>
      <c r="F1318" t="s">
        <v>5781</v>
      </c>
      <c r="G1318" s="1" t="s">
        <v>5730</v>
      </c>
      <c r="H1318" s="1" t="s">
        <v>1856</v>
      </c>
    </row>
    <row r="1319" spans="1:8" hidden="1" x14ac:dyDescent="0.3">
      <c r="A1319" t="s">
        <v>7247</v>
      </c>
      <c r="B1319" t="s">
        <v>7247</v>
      </c>
      <c r="C1319" t="s">
        <v>1322</v>
      </c>
      <c r="D1319" t="s">
        <v>78</v>
      </c>
      <c r="E1319" t="s">
        <v>2</v>
      </c>
      <c r="F1319" t="s">
        <v>5729</v>
      </c>
      <c r="G1319" s="1" t="s">
        <v>5730</v>
      </c>
      <c r="H1319" s="1" t="s">
        <v>1856</v>
      </c>
    </row>
    <row r="1320" spans="1:8" hidden="1" x14ac:dyDescent="0.3">
      <c r="A1320" t="s">
        <v>7248</v>
      </c>
      <c r="B1320" t="s">
        <v>7248</v>
      </c>
      <c r="C1320" t="s">
        <v>1340</v>
      </c>
      <c r="D1320" t="s">
        <v>78</v>
      </c>
      <c r="E1320" t="s">
        <v>2</v>
      </c>
      <c r="F1320" t="s">
        <v>5781</v>
      </c>
      <c r="G1320" s="1" t="s">
        <v>5730</v>
      </c>
      <c r="H1320" s="1" t="s">
        <v>1874</v>
      </c>
    </row>
    <row r="1321" spans="1:8" hidden="1" x14ac:dyDescent="0.3">
      <c r="A1321" t="s">
        <v>7249</v>
      </c>
      <c r="B1321" t="s">
        <v>7249</v>
      </c>
      <c r="C1321" t="s">
        <v>1353</v>
      </c>
      <c r="D1321" t="s">
        <v>78</v>
      </c>
      <c r="E1321" t="s">
        <v>2</v>
      </c>
      <c r="F1321" t="s">
        <v>5729</v>
      </c>
      <c r="G1321" s="1" t="s">
        <v>5730</v>
      </c>
      <c r="H1321" s="1" t="s">
        <v>1856</v>
      </c>
    </row>
    <row r="1322" spans="1:8" hidden="1" x14ac:dyDescent="0.3">
      <c r="A1322" t="s">
        <v>7250</v>
      </c>
      <c r="B1322" t="s">
        <v>7250</v>
      </c>
      <c r="C1322" t="s">
        <v>162</v>
      </c>
      <c r="D1322" t="s">
        <v>112</v>
      </c>
      <c r="E1322" t="s">
        <v>2</v>
      </c>
      <c r="F1322" t="s">
        <v>5729</v>
      </c>
      <c r="G1322" s="1" t="s">
        <v>5730</v>
      </c>
      <c r="H1322" s="1" t="s">
        <v>1927</v>
      </c>
    </row>
    <row r="1323" spans="1:8" hidden="1" x14ac:dyDescent="0.3">
      <c r="A1323" t="s">
        <v>7251</v>
      </c>
      <c r="B1323" t="s">
        <v>7251</v>
      </c>
      <c r="C1323" t="s">
        <v>7252</v>
      </c>
      <c r="D1323" t="s">
        <v>112</v>
      </c>
      <c r="E1323" t="s">
        <v>2</v>
      </c>
      <c r="F1323" t="s">
        <v>5747</v>
      </c>
      <c r="G1323" s="1" t="s">
        <v>1855</v>
      </c>
      <c r="H1323" s="1" t="s">
        <v>1856</v>
      </c>
    </row>
    <row r="1324" spans="1:8" hidden="1" x14ac:dyDescent="0.3">
      <c r="A1324" t="s">
        <v>7253</v>
      </c>
      <c r="B1324" t="s">
        <v>7253</v>
      </c>
      <c r="C1324" t="s">
        <v>237</v>
      </c>
      <c r="D1324" t="s">
        <v>112</v>
      </c>
      <c r="E1324" t="s">
        <v>2</v>
      </c>
      <c r="F1324" t="s">
        <v>5729</v>
      </c>
      <c r="G1324" s="1" t="s">
        <v>5730</v>
      </c>
      <c r="H1324" s="1" t="s">
        <v>1927</v>
      </c>
    </row>
    <row r="1325" spans="1:8" hidden="1" x14ac:dyDescent="0.3">
      <c r="A1325" t="s">
        <v>7254</v>
      </c>
      <c r="B1325" t="s">
        <v>7254</v>
      </c>
      <c r="C1325" t="s">
        <v>310</v>
      </c>
      <c r="D1325" t="s">
        <v>112</v>
      </c>
      <c r="E1325" t="s">
        <v>2</v>
      </c>
      <c r="F1325" t="s">
        <v>5729</v>
      </c>
      <c r="G1325" s="1" t="s">
        <v>5730</v>
      </c>
      <c r="H1325" s="1" t="s">
        <v>1874</v>
      </c>
    </row>
    <row r="1326" spans="1:8" hidden="1" x14ac:dyDescent="0.3">
      <c r="A1326" t="s">
        <v>7255</v>
      </c>
      <c r="B1326" t="s">
        <v>7255</v>
      </c>
      <c r="C1326" t="s">
        <v>384</v>
      </c>
      <c r="D1326" t="s">
        <v>112</v>
      </c>
      <c r="E1326" t="s">
        <v>2</v>
      </c>
      <c r="F1326" t="s">
        <v>5734</v>
      </c>
      <c r="G1326" s="1" t="s">
        <v>5730</v>
      </c>
      <c r="H1326" s="1" t="s">
        <v>1856</v>
      </c>
    </row>
    <row r="1327" spans="1:8" hidden="1" x14ac:dyDescent="0.3">
      <c r="A1327" t="s">
        <v>7256</v>
      </c>
      <c r="B1327" t="s">
        <v>7256</v>
      </c>
      <c r="C1327" t="s">
        <v>528</v>
      </c>
      <c r="D1327" t="s">
        <v>112</v>
      </c>
      <c r="E1327" t="s">
        <v>2</v>
      </c>
      <c r="F1327" t="s">
        <v>5734</v>
      </c>
      <c r="G1327" s="1" t="s">
        <v>5730</v>
      </c>
      <c r="H1327" s="1" t="s">
        <v>1856</v>
      </c>
    </row>
    <row r="1328" spans="1:8" hidden="1" x14ac:dyDescent="0.3">
      <c r="A1328" t="s">
        <v>7257</v>
      </c>
      <c r="B1328" t="s">
        <v>7257</v>
      </c>
      <c r="C1328" t="s">
        <v>595</v>
      </c>
      <c r="D1328" t="s">
        <v>112</v>
      </c>
      <c r="E1328" t="s">
        <v>2</v>
      </c>
      <c r="F1328" t="s">
        <v>5729</v>
      </c>
      <c r="G1328" s="1" t="s">
        <v>5730</v>
      </c>
      <c r="H1328" s="1" t="s">
        <v>1927</v>
      </c>
    </row>
    <row r="1329" spans="1:8" hidden="1" x14ac:dyDescent="0.3">
      <c r="A1329" t="s">
        <v>7258</v>
      </c>
      <c r="B1329" t="s">
        <v>7258</v>
      </c>
      <c r="C1329" t="s">
        <v>662</v>
      </c>
      <c r="D1329" t="s">
        <v>112</v>
      </c>
      <c r="E1329" t="s">
        <v>2</v>
      </c>
      <c r="F1329" t="s">
        <v>5729</v>
      </c>
      <c r="G1329" s="1" t="s">
        <v>5730</v>
      </c>
      <c r="H1329" s="1" t="s">
        <v>1927</v>
      </c>
    </row>
    <row r="1330" spans="1:8" hidden="1" x14ac:dyDescent="0.3">
      <c r="A1330" s="6" t="s">
        <v>7259</v>
      </c>
      <c r="B1330" s="6" t="s">
        <v>7259</v>
      </c>
      <c r="C1330" s="6" t="s">
        <v>726</v>
      </c>
      <c r="D1330" s="6" t="s">
        <v>112</v>
      </c>
      <c r="E1330" s="6" t="s">
        <v>2</v>
      </c>
      <c r="F1330" s="6" t="s">
        <v>5729</v>
      </c>
      <c r="G1330" s="7" t="s">
        <v>5730</v>
      </c>
      <c r="H1330" s="7" t="s">
        <v>1927</v>
      </c>
    </row>
    <row r="1331" spans="1:8" hidden="1" x14ac:dyDescent="0.3">
      <c r="A1331" t="s">
        <v>7260</v>
      </c>
      <c r="B1331" t="s">
        <v>7260</v>
      </c>
      <c r="C1331" t="s">
        <v>7261</v>
      </c>
      <c r="D1331" t="s">
        <v>112</v>
      </c>
      <c r="E1331" t="s">
        <v>2</v>
      </c>
      <c r="F1331" t="s">
        <v>5734</v>
      </c>
      <c r="G1331" s="1" t="s">
        <v>5730</v>
      </c>
      <c r="H1331" s="1" t="s">
        <v>1856</v>
      </c>
    </row>
    <row r="1332" spans="1:8" hidden="1" x14ac:dyDescent="0.3">
      <c r="A1332" t="s">
        <v>7262</v>
      </c>
      <c r="B1332" t="s">
        <v>7262</v>
      </c>
      <c r="C1332" t="s">
        <v>848</v>
      </c>
      <c r="D1332" t="s">
        <v>112</v>
      </c>
      <c r="E1332" t="s">
        <v>2</v>
      </c>
      <c r="F1332" t="s">
        <v>5729</v>
      </c>
      <c r="G1332" s="1" t="s">
        <v>5730</v>
      </c>
      <c r="H1332" s="1" t="s">
        <v>4127</v>
      </c>
    </row>
    <row r="1333" spans="1:8" hidden="1" x14ac:dyDescent="0.3">
      <c r="A1333" t="s">
        <v>7263</v>
      </c>
      <c r="B1333" t="s">
        <v>7263</v>
      </c>
      <c r="C1333" t="s">
        <v>904</v>
      </c>
      <c r="D1333" t="s">
        <v>112</v>
      </c>
      <c r="E1333" t="s">
        <v>2</v>
      </c>
      <c r="F1333" t="s">
        <v>5729</v>
      </c>
      <c r="G1333" s="1" t="s">
        <v>5730</v>
      </c>
      <c r="H1333" s="1" t="s">
        <v>1923</v>
      </c>
    </row>
    <row r="1334" spans="1:8" hidden="1" x14ac:dyDescent="0.3">
      <c r="A1334" t="s">
        <v>7264</v>
      </c>
      <c r="B1334" t="s">
        <v>7264</v>
      </c>
      <c r="C1334" t="s">
        <v>957</v>
      </c>
      <c r="D1334" t="s">
        <v>112</v>
      </c>
      <c r="E1334" t="s">
        <v>2</v>
      </c>
      <c r="F1334" t="s">
        <v>5729</v>
      </c>
      <c r="G1334" s="1" t="s">
        <v>5730</v>
      </c>
      <c r="H1334" s="1" t="s">
        <v>1856</v>
      </c>
    </row>
    <row r="1335" spans="1:8" hidden="1" x14ac:dyDescent="0.3">
      <c r="A1335" t="s">
        <v>7265</v>
      </c>
      <c r="B1335" t="s">
        <v>7265</v>
      </c>
      <c r="C1335" t="s">
        <v>1002</v>
      </c>
      <c r="D1335" t="s">
        <v>112</v>
      </c>
      <c r="E1335" t="s">
        <v>2</v>
      </c>
      <c r="F1335" t="s">
        <v>5729</v>
      </c>
      <c r="G1335" s="1" t="s">
        <v>5730</v>
      </c>
      <c r="H1335" s="1" t="s">
        <v>1893</v>
      </c>
    </row>
    <row r="1336" spans="1:8" hidden="1" x14ac:dyDescent="0.3">
      <c r="A1336" t="s">
        <v>7266</v>
      </c>
      <c r="B1336" t="s">
        <v>7266</v>
      </c>
      <c r="C1336" t="s">
        <v>385</v>
      </c>
      <c r="D1336" t="s">
        <v>128</v>
      </c>
      <c r="E1336" t="s">
        <v>2</v>
      </c>
      <c r="F1336" t="s">
        <v>5781</v>
      </c>
      <c r="G1336" s="1" t="s">
        <v>5730</v>
      </c>
      <c r="H1336" s="1" t="s">
        <v>1927</v>
      </c>
    </row>
    <row r="1337" spans="1:8" hidden="1" x14ac:dyDescent="0.3">
      <c r="A1337" t="s">
        <v>7267</v>
      </c>
      <c r="B1337" t="s">
        <v>7267</v>
      </c>
      <c r="C1337" t="s">
        <v>529</v>
      </c>
      <c r="D1337" t="s">
        <v>128</v>
      </c>
      <c r="E1337" t="s">
        <v>2</v>
      </c>
      <c r="F1337" t="s">
        <v>5729</v>
      </c>
      <c r="G1337" s="1" t="s">
        <v>5730</v>
      </c>
      <c r="H1337" s="1" t="s">
        <v>1927</v>
      </c>
    </row>
    <row r="1338" spans="1:8" hidden="1" x14ac:dyDescent="0.3">
      <c r="A1338" t="s">
        <v>7268</v>
      </c>
      <c r="B1338" t="s">
        <v>7268</v>
      </c>
      <c r="C1338" t="s">
        <v>596</v>
      </c>
      <c r="D1338" t="s">
        <v>128</v>
      </c>
      <c r="E1338" t="s">
        <v>2</v>
      </c>
      <c r="F1338" t="s">
        <v>5781</v>
      </c>
      <c r="G1338" s="1" t="s">
        <v>5730</v>
      </c>
      <c r="H1338" s="1" t="s">
        <v>1927</v>
      </c>
    </row>
    <row r="1339" spans="1:8" hidden="1" x14ac:dyDescent="0.3">
      <c r="A1339" t="s">
        <v>7269</v>
      </c>
      <c r="B1339" t="s">
        <v>7269</v>
      </c>
      <c r="C1339" t="s">
        <v>7270</v>
      </c>
      <c r="D1339" t="s">
        <v>128</v>
      </c>
      <c r="E1339" t="s">
        <v>2</v>
      </c>
      <c r="F1339" t="s">
        <v>5734</v>
      </c>
      <c r="G1339" s="1" t="s">
        <v>5730</v>
      </c>
      <c r="H1339" s="1" t="s">
        <v>1927</v>
      </c>
    </row>
    <row r="1340" spans="1:8" hidden="1" x14ac:dyDescent="0.3">
      <c r="A1340" t="s">
        <v>7271</v>
      </c>
      <c r="B1340" t="s">
        <v>7271</v>
      </c>
      <c r="C1340" t="s">
        <v>727</v>
      </c>
      <c r="D1340" t="s">
        <v>128</v>
      </c>
      <c r="E1340" t="s">
        <v>2</v>
      </c>
      <c r="F1340" t="s">
        <v>5781</v>
      </c>
      <c r="G1340" s="1" t="s">
        <v>5730</v>
      </c>
      <c r="H1340" s="1" t="s">
        <v>1874</v>
      </c>
    </row>
    <row r="1341" spans="1:8" hidden="1" x14ac:dyDescent="0.3">
      <c r="A1341" t="s">
        <v>7272</v>
      </c>
      <c r="B1341" t="s">
        <v>7272</v>
      </c>
      <c r="C1341" t="s">
        <v>790</v>
      </c>
      <c r="D1341" t="s">
        <v>128</v>
      </c>
      <c r="E1341" t="s">
        <v>2</v>
      </c>
      <c r="F1341" t="s">
        <v>5729</v>
      </c>
      <c r="G1341" s="1" t="s">
        <v>5730</v>
      </c>
      <c r="H1341" s="1" t="s">
        <v>7273</v>
      </c>
    </row>
    <row r="1342" spans="1:8" hidden="1" x14ac:dyDescent="0.3">
      <c r="A1342" t="s">
        <v>7274</v>
      </c>
      <c r="B1342" t="s">
        <v>7274</v>
      </c>
      <c r="C1342" t="s">
        <v>7275</v>
      </c>
      <c r="D1342" t="s">
        <v>128</v>
      </c>
      <c r="E1342" t="s">
        <v>2</v>
      </c>
      <c r="F1342" t="s">
        <v>5781</v>
      </c>
      <c r="G1342" s="1" t="s">
        <v>5730</v>
      </c>
      <c r="H1342" s="1" t="s">
        <v>1856</v>
      </c>
    </row>
    <row r="1343" spans="1:8" hidden="1" x14ac:dyDescent="0.3">
      <c r="A1343" t="s">
        <v>7276</v>
      </c>
      <c r="B1343" t="s">
        <v>7276</v>
      </c>
      <c r="C1343" t="s">
        <v>163</v>
      </c>
      <c r="D1343" t="s">
        <v>128</v>
      </c>
      <c r="E1343" t="s">
        <v>2</v>
      </c>
      <c r="F1343" t="s">
        <v>5729</v>
      </c>
      <c r="G1343" s="1" t="s">
        <v>5730</v>
      </c>
      <c r="H1343" s="1" t="s">
        <v>1856</v>
      </c>
    </row>
    <row r="1344" spans="1:8" hidden="1" x14ac:dyDescent="0.3">
      <c r="A1344" t="s">
        <v>7277</v>
      </c>
      <c r="B1344" t="s">
        <v>7277</v>
      </c>
      <c r="C1344" t="s">
        <v>455</v>
      </c>
      <c r="D1344" t="s">
        <v>128</v>
      </c>
      <c r="E1344" t="s">
        <v>2</v>
      </c>
      <c r="F1344" t="s">
        <v>5729</v>
      </c>
      <c r="G1344" s="1" t="s">
        <v>5730</v>
      </c>
      <c r="H1344" s="1" t="s">
        <v>1893</v>
      </c>
    </row>
    <row r="1345" spans="1:8" hidden="1" x14ac:dyDescent="0.3">
      <c r="A1345" t="s">
        <v>7278</v>
      </c>
      <c r="B1345" t="s">
        <v>7278</v>
      </c>
      <c r="C1345" t="s">
        <v>849</v>
      </c>
      <c r="D1345" t="s">
        <v>128</v>
      </c>
      <c r="E1345" t="s">
        <v>2</v>
      </c>
      <c r="F1345" t="s">
        <v>5729</v>
      </c>
      <c r="G1345" s="1" t="s">
        <v>5730</v>
      </c>
      <c r="H1345" s="1" t="s">
        <v>1927</v>
      </c>
    </row>
    <row r="1346" spans="1:8" hidden="1" x14ac:dyDescent="0.3">
      <c r="A1346" t="s">
        <v>7279</v>
      </c>
      <c r="B1346" t="s">
        <v>7279</v>
      </c>
      <c r="C1346" t="s">
        <v>311</v>
      </c>
      <c r="D1346" t="s">
        <v>128</v>
      </c>
      <c r="E1346" t="s">
        <v>2</v>
      </c>
      <c r="F1346" t="s">
        <v>5729</v>
      </c>
      <c r="G1346" s="1" t="s">
        <v>5730</v>
      </c>
      <c r="H1346" s="1" t="s">
        <v>1923</v>
      </c>
    </row>
    <row r="1347" spans="1:8" hidden="1" x14ac:dyDescent="0.3">
      <c r="A1347" t="s">
        <v>7280</v>
      </c>
      <c r="B1347" t="s">
        <v>7280</v>
      </c>
      <c r="C1347" t="s">
        <v>164</v>
      </c>
      <c r="D1347" t="s">
        <v>142</v>
      </c>
      <c r="E1347" t="s">
        <v>2</v>
      </c>
      <c r="F1347" t="s">
        <v>5729</v>
      </c>
      <c r="G1347" s="1" t="s">
        <v>5730</v>
      </c>
      <c r="H1347" s="1" t="s">
        <v>1856</v>
      </c>
    </row>
    <row r="1348" spans="1:8" hidden="1" x14ac:dyDescent="0.3">
      <c r="A1348" t="s">
        <v>7281</v>
      </c>
      <c r="B1348" t="s">
        <v>7281</v>
      </c>
      <c r="C1348" t="s">
        <v>312</v>
      </c>
      <c r="D1348" t="s">
        <v>142</v>
      </c>
      <c r="E1348" t="s">
        <v>2</v>
      </c>
      <c r="F1348" t="s">
        <v>5734</v>
      </c>
      <c r="G1348" s="1" t="s">
        <v>5730</v>
      </c>
      <c r="H1348" s="1" t="s">
        <v>1923</v>
      </c>
    </row>
    <row r="1349" spans="1:8" hidden="1" x14ac:dyDescent="0.3">
      <c r="A1349" t="s">
        <v>7282</v>
      </c>
      <c r="B1349" t="s">
        <v>7282</v>
      </c>
      <c r="C1349" t="s">
        <v>386</v>
      </c>
      <c r="D1349" t="s">
        <v>142</v>
      </c>
      <c r="E1349" t="s">
        <v>2</v>
      </c>
      <c r="F1349" t="s">
        <v>5729</v>
      </c>
      <c r="G1349" s="1" t="s">
        <v>5730</v>
      </c>
      <c r="H1349" s="1" t="s">
        <v>1923</v>
      </c>
    </row>
    <row r="1350" spans="1:8" hidden="1" x14ac:dyDescent="0.3">
      <c r="A1350" t="s">
        <v>7283</v>
      </c>
      <c r="B1350" t="s">
        <v>7283</v>
      </c>
      <c r="C1350" t="s">
        <v>456</v>
      </c>
      <c r="D1350" t="s">
        <v>142</v>
      </c>
      <c r="E1350" t="s">
        <v>2</v>
      </c>
      <c r="F1350" t="s">
        <v>5729</v>
      </c>
      <c r="G1350" s="1" t="s">
        <v>5730</v>
      </c>
      <c r="H1350" s="1" t="s">
        <v>1856</v>
      </c>
    </row>
    <row r="1351" spans="1:8" hidden="1" x14ac:dyDescent="0.3">
      <c r="A1351" t="s">
        <v>7284</v>
      </c>
      <c r="B1351" t="s">
        <v>7284</v>
      </c>
      <c r="C1351" t="s">
        <v>7285</v>
      </c>
      <c r="D1351" t="s">
        <v>142</v>
      </c>
      <c r="E1351" t="s">
        <v>2</v>
      </c>
      <c r="F1351" t="s">
        <v>5729</v>
      </c>
      <c r="G1351" s="1" t="s">
        <v>5730</v>
      </c>
      <c r="H1351" s="1" t="s">
        <v>1927</v>
      </c>
    </row>
    <row r="1352" spans="1:8" hidden="1" x14ac:dyDescent="0.3">
      <c r="A1352" t="s">
        <v>7286</v>
      </c>
      <c r="B1352" t="s">
        <v>7286</v>
      </c>
      <c r="C1352" t="s">
        <v>7287</v>
      </c>
      <c r="D1352" t="s">
        <v>142</v>
      </c>
      <c r="E1352" t="s">
        <v>2</v>
      </c>
      <c r="F1352" t="s">
        <v>5747</v>
      </c>
      <c r="G1352" s="1" t="s">
        <v>1961</v>
      </c>
      <c r="H1352" s="1" t="s">
        <v>1856</v>
      </c>
    </row>
    <row r="1353" spans="1:8" hidden="1" x14ac:dyDescent="0.3">
      <c r="A1353" t="s">
        <v>7288</v>
      </c>
      <c r="B1353" t="s">
        <v>7288</v>
      </c>
      <c r="C1353" t="s">
        <v>597</v>
      </c>
      <c r="D1353" t="s">
        <v>142</v>
      </c>
      <c r="E1353" t="s">
        <v>2</v>
      </c>
      <c r="F1353" t="s">
        <v>5729</v>
      </c>
      <c r="G1353" s="1" t="s">
        <v>5730</v>
      </c>
      <c r="H1353" s="1" t="s">
        <v>1927</v>
      </c>
    </row>
    <row r="1354" spans="1:8" hidden="1" x14ac:dyDescent="0.3">
      <c r="A1354" t="s">
        <v>7289</v>
      </c>
      <c r="B1354" t="s">
        <v>7289</v>
      </c>
      <c r="C1354" t="s">
        <v>664</v>
      </c>
      <c r="D1354" t="s">
        <v>142</v>
      </c>
      <c r="E1354" t="s">
        <v>2</v>
      </c>
      <c r="F1354" t="s">
        <v>5729</v>
      </c>
      <c r="G1354" s="1" t="s">
        <v>5730</v>
      </c>
      <c r="H1354" s="1" t="s">
        <v>1927</v>
      </c>
    </row>
    <row r="1355" spans="1:8" hidden="1" x14ac:dyDescent="0.3">
      <c r="A1355" t="s">
        <v>7290</v>
      </c>
      <c r="B1355" t="s">
        <v>7290</v>
      </c>
      <c r="C1355" t="s">
        <v>165</v>
      </c>
      <c r="D1355" t="s">
        <v>1965</v>
      </c>
      <c r="E1355" t="s">
        <v>2</v>
      </c>
      <c r="F1355" t="s">
        <v>5729</v>
      </c>
      <c r="G1355" s="1" t="s">
        <v>5730</v>
      </c>
      <c r="H1355" s="1" t="s">
        <v>1923</v>
      </c>
    </row>
    <row r="1356" spans="1:8" hidden="1" x14ac:dyDescent="0.3">
      <c r="A1356" t="s">
        <v>7291</v>
      </c>
      <c r="B1356" t="s">
        <v>7291</v>
      </c>
      <c r="C1356" t="s">
        <v>240</v>
      </c>
      <c r="D1356" t="s">
        <v>1965</v>
      </c>
      <c r="E1356" t="s">
        <v>2</v>
      </c>
      <c r="F1356" t="s">
        <v>5781</v>
      </c>
      <c r="G1356" s="1" t="s">
        <v>5730</v>
      </c>
      <c r="H1356" s="1" t="s">
        <v>1874</v>
      </c>
    </row>
    <row r="1357" spans="1:8" hidden="1" x14ac:dyDescent="0.3">
      <c r="A1357" t="s">
        <v>7292</v>
      </c>
      <c r="B1357" t="s">
        <v>7292</v>
      </c>
      <c r="C1357" t="s">
        <v>313</v>
      </c>
      <c r="D1357" t="s">
        <v>1965</v>
      </c>
      <c r="E1357" t="s">
        <v>2</v>
      </c>
      <c r="F1357" t="s">
        <v>5781</v>
      </c>
      <c r="G1357" s="1" t="s">
        <v>5730</v>
      </c>
      <c r="H1357" s="1" t="s">
        <v>1923</v>
      </c>
    </row>
    <row r="1358" spans="1:8" hidden="1" x14ac:dyDescent="0.3">
      <c r="A1358" t="s">
        <v>7293</v>
      </c>
      <c r="B1358" t="s">
        <v>7293</v>
      </c>
      <c r="C1358" t="s">
        <v>7294</v>
      </c>
      <c r="D1358" t="s">
        <v>1965</v>
      </c>
      <c r="E1358" t="s">
        <v>2</v>
      </c>
      <c r="F1358" t="s">
        <v>5781</v>
      </c>
      <c r="G1358" s="1" t="s">
        <v>5730</v>
      </c>
      <c r="H1358" s="1" t="s">
        <v>1856</v>
      </c>
    </row>
    <row r="1359" spans="1:8" hidden="1" x14ac:dyDescent="0.3">
      <c r="A1359" t="s">
        <v>7295</v>
      </c>
      <c r="B1359" t="s">
        <v>7295</v>
      </c>
      <c r="C1359" t="s">
        <v>457</v>
      </c>
      <c r="D1359" t="s">
        <v>1965</v>
      </c>
      <c r="E1359" t="s">
        <v>2</v>
      </c>
      <c r="F1359" t="s">
        <v>5729</v>
      </c>
      <c r="G1359" s="1" t="s">
        <v>5730</v>
      </c>
      <c r="H1359" s="1" t="s">
        <v>1927</v>
      </c>
    </row>
    <row r="1360" spans="1:8" hidden="1" x14ac:dyDescent="0.3">
      <c r="A1360" t="s">
        <v>7296</v>
      </c>
      <c r="B1360" t="s">
        <v>7296</v>
      </c>
      <c r="C1360" t="s">
        <v>530</v>
      </c>
      <c r="D1360" t="s">
        <v>1965</v>
      </c>
      <c r="E1360" t="s">
        <v>2</v>
      </c>
      <c r="F1360" t="s">
        <v>5729</v>
      </c>
      <c r="G1360" s="1" t="s">
        <v>5730</v>
      </c>
      <c r="H1360" s="1" t="s">
        <v>1856</v>
      </c>
    </row>
    <row r="1361" spans="1:8" hidden="1" x14ac:dyDescent="0.3">
      <c r="A1361" t="s">
        <v>7297</v>
      </c>
      <c r="B1361" t="s">
        <v>7297</v>
      </c>
      <c r="C1361" t="s">
        <v>598</v>
      </c>
      <c r="D1361" t="s">
        <v>1965</v>
      </c>
      <c r="E1361" t="s">
        <v>2</v>
      </c>
      <c r="F1361" t="s">
        <v>5729</v>
      </c>
      <c r="G1361" s="1" t="s">
        <v>5730</v>
      </c>
      <c r="H1361" s="1" t="s">
        <v>1923</v>
      </c>
    </row>
    <row r="1362" spans="1:8" hidden="1" x14ac:dyDescent="0.3">
      <c r="A1362" t="s">
        <v>7298</v>
      </c>
      <c r="B1362" t="s">
        <v>7298</v>
      </c>
      <c r="C1362" t="s">
        <v>665</v>
      </c>
      <c r="D1362" t="s">
        <v>1965</v>
      </c>
      <c r="E1362" t="s">
        <v>2</v>
      </c>
      <c r="F1362" t="s">
        <v>5781</v>
      </c>
      <c r="G1362" s="1" t="s">
        <v>5730</v>
      </c>
      <c r="H1362" s="1" t="s">
        <v>1893</v>
      </c>
    </row>
    <row r="1363" spans="1:8" hidden="1" x14ac:dyDescent="0.3">
      <c r="A1363" t="s">
        <v>7299</v>
      </c>
      <c r="B1363" t="s">
        <v>7299</v>
      </c>
      <c r="C1363" t="s">
        <v>728</v>
      </c>
      <c r="D1363" t="s">
        <v>1965</v>
      </c>
      <c r="E1363" t="s">
        <v>2</v>
      </c>
      <c r="F1363" t="s">
        <v>5729</v>
      </c>
      <c r="G1363" s="1" t="s">
        <v>5730</v>
      </c>
      <c r="H1363" s="1" t="s">
        <v>1923</v>
      </c>
    </row>
    <row r="1364" spans="1:8" hidden="1" x14ac:dyDescent="0.3">
      <c r="A1364" t="s">
        <v>7300</v>
      </c>
      <c r="B1364" t="s">
        <v>7300</v>
      </c>
      <c r="C1364" t="s">
        <v>791</v>
      </c>
      <c r="D1364" t="s">
        <v>1965</v>
      </c>
      <c r="E1364" t="s">
        <v>2</v>
      </c>
      <c r="F1364" t="s">
        <v>5729</v>
      </c>
      <c r="G1364" s="1" t="s">
        <v>5730</v>
      </c>
      <c r="H1364" s="1" t="s">
        <v>1927</v>
      </c>
    </row>
    <row r="1365" spans="1:8" hidden="1" x14ac:dyDescent="0.3">
      <c r="A1365" t="s">
        <v>7301</v>
      </c>
      <c r="B1365" t="s">
        <v>7301</v>
      </c>
      <c r="C1365" t="s">
        <v>7302</v>
      </c>
      <c r="D1365" t="s">
        <v>95</v>
      </c>
      <c r="E1365" t="s">
        <v>2</v>
      </c>
      <c r="F1365" t="s">
        <v>5729</v>
      </c>
      <c r="G1365" s="1" t="s">
        <v>5730</v>
      </c>
      <c r="H1365" s="1" t="s">
        <v>1856</v>
      </c>
    </row>
    <row r="1366" spans="1:8" hidden="1" x14ac:dyDescent="0.3">
      <c r="A1366" t="s">
        <v>7303</v>
      </c>
      <c r="B1366" t="s">
        <v>7303</v>
      </c>
      <c r="C1366" t="s">
        <v>236</v>
      </c>
      <c r="D1366" t="s">
        <v>95</v>
      </c>
      <c r="E1366" t="s">
        <v>2</v>
      </c>
      <c r="F1366" t="s">
        <v>5729</v>
      </c>
      <c r="G1366" s="1" t="s">
        <v>5730</v>
      </c>
      <c r="H1366" s="1" t="s">
        <v>1856</v>
      </c>
    </row>
    <row r="1367" spans="1:8" hidden="1" x14ac:dyDescent="0.3">
      <c r="A1367" t="s">
        <v>7304</v>
      </c>
      <c r="B1367" t="s">
        <v>7304</v>
      </c>
      <c r="C1367" t="s">
        <v>309</v>
      </c>
      <c r="D1367" t="s">
        <v>95</v>
      </c>
      <c r="E1367" t="s">
        <v>2</v>
      </c>
      <c r="F1367" t="s">
        <v>5781</v>
      </c>
      <c r="G1367" s="1" t="s">
        <v>5730</v>
      </c>
      <c r="H1367" s="1" t="s">
        <v>1874</v>
      </c>
    </row>
    <row r="1368" spans="1:8" hidden="1" x14ac:dyDescent="0.3">
      <c r="A1368" t="s">
        <v>7305</v>
      </c>
      <c r="B1368" t="s">
        <v>7305</v>
      </c>
      <c r="C1368" t="s">
        <v>7306</v>
      </c>
      <c r="D1368" t="s">
        <v>95</v>
      </c>
      <c r="E1368" t="s">
        <v>2</v>
      </c>
      <c r="F1368" t="s">
        <v>5734</v>
      </c>
      <c r="G1368" s="1" t="s">
        <v>5730</v>
      </c>
      <c r="H1368" s="1" t="s">
        <v>1856</v>
      </c>
    </row>
    <row r="1369" spans="1:8" hidden="1" x14ac:dyDescent="0.3">
      <c r="A1369" t="s">
        <v>7307</v>
      </c>
      <c r="B1369" t="s">
        <v>7307</v>
      </c>
      <c r="C1369" t="s">
        <v>453</v>
      </c>
      <c r="D1369" t="s">
        <v>95</v>
      </c>
      <c r="E1369" t="s">
        <v>2</v>
      </c>
      <c r="F1369" t="s">
        <v>5781</v>
      </c>
      <c r="G1369" s="1" t="s">
        <v>5730</v>
      </c>
      <c r="H1369" s="1" t="s">
        <v>1856</v>
      </c>
    </row>
    <row r="1370" spans="1:8" hidden="1" x14ac:dyDescent="0.3">
      <c r="A1370" t="s">
        <v>7308</v>
      </c>
      <c r="B1370" t="s">
        <v>7308</v>
      </c>
      <c r="C1370" t="s">
        <v>527</v>
      </c>
      <c r="D1370" t="s">
        <v>95</v>
      </c>
      <c r="E1370" t="s">
        <v>2</v>
      </c>
      <c r="F1370" t="s">
        <v>5781</v>
      </c>
      <c r="G1370" s="1" t="s">
        <v>5730</v>
      </c>
      <c r="H1370" s="1" t="s">
        <v>1874</v>
      </c>
    </row>
    <row r="1371" spans="1:8" hidden="1" x14ac:dyDescent="0.3">
      <c r="A1371" t="s">
        <v>7309</v>
      </c>
      <c r="B1371" t="s">
        <v>7309</v>
      </c>
      <c r="C1371" t="s">
        <v>1983</v>
      </c>
      <c r="D1371" t="s">
        <v>95</v>
      </c>
      <c r="E1371" t="s">
        <v>2</v>
      </c>
      <c r="F1371" t="s">
        <v>5781</v>
      </c>
      <c r="G1371" s="1" t="s">
        <v>5730</v>
      </c>
      <c r="H1371" s="1" t="s">
        <v>1923</v>
      </c>
    </row>
    <row r="1372" spans="1:8" x14ac:dyDescent="0.3">
      <c r="A1372" t="s">
        <v>7310</v>
      </c>
      <c r="B1372" t="s">
        <v>7310</v>
      </c>
      <c r="C1372" t="s">
        <v>7311</v>
      </c>
      <c r="D1372" t="s">
        <v>75</v>
      </c>
      <c r="E1372" t="s">
        <v>1</v>
      </c>
      <c r="F1372" t="s">
        <v>5781</v>
      </c>
      <c r="G1372" s="1" t="s">
        <v>1961</v>
      </c>
      <c r="H1372" s="1" t="s">
        <v>1927</v>
      </c>
    </row>
    <row r="1373" spans="1:8" x14ac:dyDescent="0.3">
      <c r="A1373" t="s">
        <v>7312</v>
      </c>
      <c r="B1373" t="s">
        <v>7312</v>
      </c>
      <c r="C1373" t="s">
        <v>4834</v>
      </c>
      <c r="D1373" t="s">
        <v>75</v>
      </c>
      <c r="E1373" t="s">
        <v>1</v>
      </c>
      <c r="F1373" t="s">
        <v>5729</v>
      </c>
      <c r="G1373" s="1" t="s">
        <v>5730</v>
      </c>
      <c r="H1373" s="1" t="s">
        <v>1874</v>
      </c>
    </row>
    <row r="1374" spans="1:8" x14ac:dyDescent="0.3">
      <c r="A1374" t="s">
        <v>7313</v>
      </c>
      <c r="B1374" t="s">
        <v>7313</v>
      </c>
      <c r="C1374" t="s">
        <v>4836</v>
      </c>
      <c r="D1374" t="s">
        <v>75</v>
      </c>
      <c r="E1374" t="s">
        <v>1</v>
      </c>
      <c r="F1374" t="s">
        <v>5729</v>
      </c>
      <c r="G1374" s="1" t="s">
        <v>5730</v>
      </c>
      <c r="H1374" s="1" t="s">
        <v>1874</v>
      </c>
    </row>
    <row r="1375" spans="1:8" x14ac:dyDescent="0.3">
      <c r="A1375" t="s">
        <v>7314</v>
      </c>
      <c r="B1375" t="s">
        <v>7314</v>
      </c>
      <c r="C1375" t="s">
        <v>4838</v>
      </c>
      <c r="D1375" t="s">
        <v>75</v>
      </c>
      <c r="E1375" t="s">
        <v>1</v>
      </c>
      <c r="F1375" t="s">
        <v>5729</v>
      </c>
      <c r="G1375" s="1" t="s">
        <v>5730</v>
      </c>
      <c r="H1375" s="1" t="s">
        <v>1856</v>
      </c>
    </row>
    <row r="1376" spans="1:8" x14ac:dyDescent="0.3">
      <c r="A1376" t="s">
        <v>7315</v>
      </c>
      <c r="B1376" t="s">
        <v>7315</v>
      </c>
      <c r="C1376" t="s">
        <v>7316</v>
      </c>
      <c r="D1376" t="s">
        <v>75</v>
      </c>
      <c r="E1376" t="s">
        <v>1</v>
      </c>
      <c r="F1376" t="s">
        <v>5729</v>
      </c>
      <c r="G1376" s="1" t="s">
        <v>5730</v>
      </c>
      <c r="H1376" s="1" t="s">
        <v>3366</v>
      </c>
    </row>
    <row r="1377" spans="1:8" x14ac:dyDescent="0.3">
      <c r="A1377" t="s">
        <v>7317</v>
      </c>
      <c r="B1377" t="s">
        <v>7317</v>
      </c>
      <c r="C1377" t="s">
        <v>1482</v>
      </c>
      <c r="D1377" t="s">
        <v>75</v>
      </c>
      <c r="E1377" t="s">
        <v>1</v>
      </c>
      <c r="F1377" t="s">
        <v>5729</v>
      </c>
      <c r="G1377" s="1" t="s">
        <v>5730</v>
      </c>
      <c r="H1377" s="1" t="s">
        <v>1874</v>
      </c>
    </row>
    <row r="1378" spans="1:8" x14ac:dyDescent="0.3">
      <c r="A1378" t="s">
        <v>7318</v>
      </c>
      <c r="B1378" t="s">
        <v>7318</v>
      </c>
      <c r="C1378" t="s">
        <v>4843</v>
      </c>
      <c r="D1378" t="s">
        <v>75</v>
      </c>
      <c r="E1378" t="s">
        <v>1</v>
      </c>
      <c r="F1378" t="s">
        <v>5729</v>
      </c>
      <c r="G1378" s="1" t="s">
        <v>5730</v>
      </c>
      <c r="H1378" s="1" t="s">
        <v>1923</v>
      </c>
    </row>
    <row r="1379" spans="1:8" x14ac:dyDescent="0.3">
      <c r="A1379" t="s">
        <v>7319</v>
      </c>
      <c r="B1379" t="s">
        <v>7319</v>
      </c>
      <c r="C1379" t="s">
        <v>7320</v>
      </c>
      <c r="D1379" t="s">
        <v>75</v>
      </c>
      <c r="E1379" t="s">
        <v>1</v>
      </c>
      <c r="F1379" t="s">
        <v>5729</v>
      </c>
      <c r="G1379" s="1" t="s">
        <v>5730</v>
      </c>
      <c r="H1379" s="1" t="s">
        <v>1923</v>
      </c>
    </row>
    <row r="1380" spans="1:8" x14ac:dyDescent="0.3">
      <c r="A1380" t="s">
        <v>7321</v>
      </c>
      <c r="B1380" t="s">
        <v>7321</v>
      </c>
      <c r="C1380" t="s">
        <v>4848</v>
      </c>
      <c r="D1380" t="s">
        <v>75</v>
      </c>
      <c r="E1380" t="s">
        <v>1</v>
      </c>
      <c r="F1380" t="s">
        <v>5729</v>
      </c>
      <c r="G1380" s="1" t="s">
        <v>5730</v>
      </c>
      <c r="H1380" s="1" t="s">
        <v>1923</v>
      </c>
    </row>
    <row r="1381" spans="1:8" x14ac:dyDescent="0.3">
      <c r="A1381" t="s">
        <v>7322</v>
      </c>
      <c r="B1381" t="s">
        <v>7322</v>
      </c>
      <c r="C1381" t="s">
        <v>4850</v>
      </c>
      <c r="D1381" t="s">
        <v>75</v>
      </c>
      <c r="E1381" t="s">
        <v>1</v>
      </c>
      <c r="F1381" t="s">
        <v>5729</v>
      </c>
      <c r="G1381" s="1" t="s">
        <v>5730</v>
      </c>
      <c r="H1381" s="1" t="s">
        <v>3366</v>
      </c>
    </row>
    <row r="1382" spans="1:8" x14ac:dyDescent="0.3">
      <c r="A1382" t="s">
        <v>7323</v>
      </c>
      <c r="B1382" t="s">
        <v>7323</v>
      </c>
      <c r="C1382" t="s">
        <v>4852</v>
      </c>
      <c r="D1382" t="s">
        <v>75</v>
      </c>
      <c r="E1382" t="s">
        <v>1</v>
      </c>
      <c r="F1382" t="s">
        <v>5729</v>
      </c>
      <c r="G1382" s="1" t="s">
        <v>5730</v>
      </c>
      <c r="H1382" s="1" t="s">
        <v>1893</v>
      </c>
    </row>
    <row r="1383" spans="1:8" x14ac:dyDescent="0.3">
      <c r="A1383" t="s">
        <v>7324</v>
      </c>
      <c r="B1383" t="s">
        <v>7324</v>
      </c>
      <c r="C1383" t="s">
        <v>7325</v>
      </c>
      <c r="D1383" t="s">
        <v>75</v>
      </c>
      <c r="E1383" t="s">
        <v>1</v>
      </c>
      <c r="F1383" t="s">
        <v>5729</v>
      </c>
      <c r="G1383" s="1" t="s">
        <v>5730</v>
      </c>
      <c r="H1383" s="1" t="s">
        <v>1923</v>
      </c>
    </row>
    <row r="1384" spans="1:8" x14ac:dyDescent="0.3">
      <c r="A1384" t="s">
        <v>7326</v>
      </c>
      <c r="B1384" t="s">
        <v>7326</v>
      </c>
      <c r="C1384" t="s">
        <v>7327</v>
      </c>
      <c r="D1384" t="s">
        <v>4856</v>
      </c>
      <c r="E1384" t="s">
        <v>1</v>
      </c>
      <c r="F1384" t="s">
        <v>5729</v>
      </c>
      <c r="G1384" s="1" t="s">
        <v>5730</v>
      </c>
      <c r="H1384" s="1" t="s">
        <v>1856</v>
      </c>
    </row>
    <row r="1385" spans="1:8" x14ac:dyDescent="0.3">
      <c r="A1385" t="s">
        <v>7328</v>
      </c>
      <c r="B1385" t="s">
        <v>7328</v>
      </c>
      <c r="C1385" t="s">
        <v>4860</v>
      </c>
      <c r="D1385" t="s">
        <v>4856</v>
      </c>
      <c r="E1385" t="s">
        <v>1</v>
      </c>
      <c r="F1385" t="s">
        <v>5729</v>
      </c>
      <c r="G1385" s="1" t="s">
        <v>5730</v>
      </c>
      <c r="H1385" s="1" t="s">
        <v>1874</v>
      </c>
    </row>
    <row r="1386" spans="1:8" x14ac:dyDescent="0.3">
      <c r="A1386" t="s">
        <v>7329</v>
      </c>
      <c r="B1386" t="s">
        <v>7329</v>
      </c>
      <c r="C1386" t="s">
        <v>4862</v>
      </c>
      <c r="D1386" t="s">
        <v>4856</v>
      </c>
      <c r="E1386" t="s">
        <v>1</v>
      </c>
      <c r="F1386" t="s">
        <v>5729</v>
      </c>
      <c r="G1386" s="1" t="s">
        <v>5730</v>
      </c>
      <c r="H1386" s="1" t="s">
        <v>1874</v>
      </c>
    </row>
    <row r="1387" spans="1:8" x14ac:dyDescent="0.3">
      <c r="A1387" t="s">
        <v>7330</v>
      </c>
      <c r="B1387" t="s">
        <v>7330</v>
      </c>
      <c r="C1387" t="s">
        <v>4865</v>
      </c>
      <c r="D1387" t="s">
        <v>4856</v>
      </c>
      <c r="E1387" t="s">
        <v>1</v>
      </c>
      <c r="F1387" t="s">
        <v>5729</v>
      </c>
      <c r="G1387" s="1" t="s">
        <v>5730</v>
      </c>
      <c r="H1387" s="1" t="s">
        <v>1927</v>
      </c>
    </row>
    <row r="1388" spans="1:8" x14ac:dyDescent="0.3">
      <c r="A1388" t="s">
        <v>7331</v>
      </c>
      <c r="B1388" t="s">
        <v>7331</v>
      </c>
      <c r="C1388" t="s">
        <v>4867</v>
      </c>
      <c r="D1388" t="s">
        <v>4856</v>
      </c>
      <c r="E1388" t="s">
        <v>1</v>
      </c>
      <c r="F1388" t="s">
        <v>5729</v>
      </c>
      <c r="G1388" s="1" t="s">
        <v>5730</v>
      </c>
      <c r="H1388" s="1" t="s">
        <v>1927</v>
      </c>
    </row>
    <row r="1389" spans="1:8" x14ac:dyDescent="0.3">
      <c r="A1389" t="s">
        <v>7332</v>
      </c>
      <c r="B1389" t="s">
        <v>7332</v>
      </c>
      <c r="C1389" t="s">
        <v>4869</v>
      </c>
      <c r="D1389" t="s">
        <v>4856</v>
      </c>
      <c r="E1389" t="s">
        <v>1</v>
      </c>
      <c r="F1389" t="s">
        <v>5729</v>
      </c>
      <c r="G1389" s="1" t="s">
        <v>5730</v>
      </c>
      <c r="H1389" s="1" t="s">
        <v>1927</v>
      </c>
    </row>
    <row r="1390" spans="1:8" x14ac:dyDescent="0.3">
      <c r="A1390" t="s">
        <v>7333</v>
      </c>
      <c r="B1390" t="s">
        <v>7333</v>
      </c>
      <c r="C1390" t="s">
        <v>4871</v>
      </c>
      <c r="D1390" t="s">
        <v>4856</v>
      </c>
      <c r="E1390" t="s">
        <v>1</v>
      </c>
      <c r="F1390" t="s">
        <v>5729</v>
      </c>
      <c r="G1390" s="1" t="s">
        <v>5730</v>
      </c>
      <c r="H1390" s="1" t="s">
        <v>1874</v>
      </c>
    </row>
    <row r="1391" spans="1:8" x14ac:dyDescent="0.3">
      <c r="A1391" t="s">
        <v>7334</v>
      </c>
      <c r="B1391" t="s">
        <v>7334</v>
      </c>
      <c r="C1391" t="s">
        <v>4873</v>
      </c>
      <c r="D1391" t="s">
        <v>4856</v>
      </c>
      <c r="E1391" t="s">
        <v>1</v>
      </c>
      <c r="F1391" t="s">
        <v>5729</v>
      </c>
      <c r="G1391" s="1" t="s">
        <v>5730</v>
      </c>
      <c r="H1391" s="1" t="s">
        <v>1874</v>
      </c>
    </row>
    <row r="1392" spans="1:8" x14ac:dyDescent="0.3">
      <c r="A1392" t="s">
        <v>7335</v>
      </c>
      <c r="B1392" t="s">
        <v>7335</v>
      </c>
      <c r="C1392" t="s">
        <v>4875</v>
      </c>
      <c r="D1392" t="s">
        <v>4856</v>
      </c>
      <c r="E1392" t="s">
        <v>1</v>
      </c>
      <c r="F1392" t="s">
        <v>5729</v>
      </c>
      <c r="G1392" s="1" t="s">
        <v>5730</v>
      </c>
      <c r="H1392" s="1" t="s">
        <v>1874</v>
      </c>
    </row>
    <row r="1393" spans="1:8" x14ac:dyDescent="0.3">
      <c r="A1393" t="s">
        <v>7336</v>
      </c>
      <c r="B1393" t="s">
        <v>7336</v>
      </c>
      <c r="C1393" t="s">
        <v>4877</v>
      </c>
      <c r="D1393" t="s">
        <v>4856</v>
      </c>
      <c r="E1393" t="s">
        <v>1</v>
      </c>
      <c r="F1393" t="s">
        <v>5729</v>
      </c>
      <c r="G1393" s="1" t="s">
        <v>5730</v>
      </c>
      <c r="H1393" s="1" t="s">
        <v>1856</v>
      </c>
    </row>
    <row r="1394" spans="1:8" x14ac:dyDescent="0.3">
      <c r="A1394" t="s">
        <v>7337</v>
      </c>
      <c r="B1394" t="s">
        <v>7337</v>
      </c>
      <c r="C1394" t="s">
        <v>4880</v>
      </c>
      <c r="D1394" t="s">
        <v>4856</v>
      </c>
      <c r="E1394" t="s">
        <v>1</v>
      </c>
      <c r="F1394" t="s">
        <v>5729</v>
      </c>
      <c r="G1394" s="1" t="s">
        <v>5730</v>
      </c>
      <c r="H1394" s="1" t="s">
        <v>1923</v>
      </c>
    </row>
    <row r="1395" spans="1:8" x14ac:dyDescent="0.3">
      <c r="A1395" t="s">
        <v>7338</v>
      </c>
      <c r="B1395" t="s">
        <v>7338</v>
      </c>
      <c r="C1395" t="s">
        <v>4882</v>
      </c>
      <c r="D1395" t="s">
        <v>4856</v>
      </c>
      <c r="E1395" t="s">
        <v>1</v>
      </c>
      <c r="F1395" t="s">
        <v>5729</v>
      </c>
      <c r="G1395" s="1" t="s">
        <v>5730</v>
      </c>
      <c r="H1395" s="1" t="s">
        <v>1856</v>
      </c>
    </row>
    <row r="1396" spans="1:8" x14ac:dyDescent="0.3">
      <c r="A1396" t="s">
        <v>7339</v>
      </c>
      <c r="B1396" t="s">
        <v>7339</v>
      </c>
      <c r="C1396" t="s">
        <v>4884</v>
      </c>
      <c r="D1396" t="s">
        <v>4856</v>
      </c>
      <c r="E1396" t="s">
        <v>1</v>
      </c>
      <c r="F1396" t="s">
        <v>5729</v>
      </c>
      <c r="G1396" s="1" t="s">
        <v>5730</v>
      </c>
      <c r="H1396" s="1" t="s">
        <v>1927</v>
      </c>
    </row>
    <row r="1397" spans="1:8" x14ac:dyDescent="0.3">
      <c r="A1397" t="s">
        <v>7340</v>
      </c>
      <c r="B1397" t="s">
        <v>7340</v>
      </c>
      <c r="C1397" t="s">
        <v>4886</v>
      </c>
      <c r="D1397" t="s">
        <v>4856</v>
      </c>
      <c r="E1397" t="s">
        <v>1</v>
      </c>
      <c r="F1397" t="s">
        <v>5729</v>
      </c>
      <c r="G1397" s="1" t="s">
        <v>5730</v>
      </c>
      <c r="H1397" s="1" t="s">
        <v>1856</v>
      </c>
    </row>
    <row r="1398" spans="1:8" x14ac:dyDescent="0.3">
      <c r="A1398" t="s">
        <v>7341</v>
      </c>
      <c r="B1398" t="s">
        <v>7341</v>
      </c>
      <c r="C1398" t="s">
        <v>4888</v>
      </c>
      <c r="D1398" t="s">
        <v>4856</v>
      </c>
      <c r="E1398" t="s">
        <v>1</v>
      </c>
      <c r="F1398" t="s">
        <v>5729</v>
      </c>
      <c r="G1398" s="1" t="s">
        <v>5730</v>
      </c>
      <c r="H1398" s="1" t="s">
        <v>1856</v>
      </c>
    </row>
    <row r="1399" spans="1:8" x14ac:dyDescent="0.3">
      <c r="A1399" t="s">
        <v>7342</v>
      </c>
      <c r="B1399" t="s">
        <v>7342</v>
      </c>
      <c r="C1399" t="s">
        <v>7343</v>
      </c>
      <c r="D1399" t="s">
        <v>4856</v>
      </c>
      <c r="E1399" t="s">
        <v>1</v>
      </c>
      <c r="F1399" t="s">
        <v>5781</v>
      </c>
      <c r="G1399" s="1" t="s">
        <v>1961</v>
      </c>
      <c r="H1399" s="1" t="s">
        <v>1927</v>
      </c>
    </row>
    <row r="1400" spans="1:8" x14ac:dyDescent="0.3">
      <c r="A1400" t="s">
        <v>7344</v>
      </c>
      <c r="B1400" t="s">
        <v>7344</v>
      </c>
      <c r="C1400" t="s">
        <v>4892</v>
      </c>
      <c r="D1400" t="s">
        <v>4856</v>
      </c>
      <c r="E1400" t="s">
        <v>1</v>
      </c>
      <c r="F1400" t="s">
        <v>5729</v>
      </c>
      <c r="G1400" s="1" t="s">
        <v>5730</v>
      </c>
      <c r="H1400" s="1" t="s">
        <v>1927</v>
      </c>
    </row>
    <row r="1401" spans="1:8" x14ac:dyDescent="0.3">
      <c r="A1401" t="s">
        <v>7345</v>
      </c>
      <c r="B1401" t="s">
        <v>7345</v>
      </c>
      <c r="C1401" t="s">
        <v>4894</v>
      </c>
      <c r="D1401" t="s">
        <v>4856</v>
      </c>
      <c r="E1401" t="s">
        <v>1</v>
      </c>
      <c r="F1401" t="s">
        <v>5729</v>
      </c>
      <c r="G1401" s="1" t="s">
        <v>5730</v>
      </c>
      <c r="H1401" s="1" t="s">
        <v>1874</v>
      </c>
    </row>
    <row r="1402" spans="1:8" x14ac:dyDescent="0.3">
      <c r="A1402" t="s">
        <v>7346</v>
      </c>
      <c r="B1402" t="s">
        <v>7346</v>
      </c>
      <c r="C1402" t="s">
        <v>4896</v>
      </c>
      <c r="D1402" t="s">
        <v>4856</v>
      </c>
      <c r="E1402" t="s">
        <v>1</v>
      </c>
      <c r="F1402" t="s">
        <v>5729</v>
      </c>
      <c r="G1402" s="1" t="s">
        <v>5730</v>
      </c>
      <c r="H1402" s="1" t="s">
        <v>1927</v>
      </c>
    </row>
    <row r="1403" spans="1:8" x14ac:dyDescent="0.3">
      <c r="A1403" t="s">
        <v>7347</v>
      </c>
      <c r="B1403" t="s">
        <v>7347</v>
      </c>
      <c r="C1403" t="s">
        <v>4899</v>
      </c>
      <c r="D1403" t="s">
        <v>4856</v>
      </c>
      <c r="E1403" t="s">
        <v>1</v>
      </c>
      <c r="F1403" t="s">
        <v>5729</v>
      </c>
      <c r="G1403" s="1" t="s">
        <v>5730</v>
      </c>
      <c r="H1403" s="1" t="s">
        <v>1874</v>
      </c>
    </row>
    <row r="1404" spans="1:8" x14ac:dyDescent="0.3">
      <c r="A1404" t="s">
        <v>7348</v>
      </c>
      <c r="B1404" t="s">
        <v>7348</v>
      </c>
      <c r="C1404" t="s">
        <v>4901</v>
      </c>
      <c r="D1404" t="s">
        <v>4856</v>
      </c>
      <c r="E1404" t="s">
        <v>1</v>
      </c>
      <c r="F1404" t="s">
        <v>5729</v>
      </c>
      <c r="G1404" s="1" t="s">
        <v>5730</v>
      </c>
      <c r="H1404" s="1" t="s">
        <v>1874</v>
      </c>
    </row>
    <row r="1405" spans="1:8" x14ac:dyDescent="0.3">
      <c r="A1405" t="s">
        <v>7349</v>
      </c>
      <c r="B1405" t="s">
        <v>7349</v>
      </c>
      <c r="C1405" t="s">
        <v>4904</v>
      </c>
      <c r="D1405" t="s">
        <v>4856</v>
      </c>
      <c r="E1405" t="s">
        <v>1</v>
      </c>
      <c r="F1405" t="s">
        <v>5729</v>
      </c>
      <c r="G1405" s="1" t="s">
        <v>5730</v>
      </c>
      <c r="H1405" s="1" t="s">
        <v>1927</v>
      </c>
    </row>
    <row r="1406" spans="1:8" x14ac:dyDescent="0.3">
      <c r="A1406" t="s">
        <v>7350</v>
      </c>
      <c r="B1406" t="s">
        <v>7350</v>
      </c>
      <c r="C1406" t="s">
        <v>7351</v>
      </c>
      <c r="D1406" t="s">
        <v>4856</v>
      </c>
      <c r="E1406" t="s">
        <v>1</v>
      </c>
      <c r="F1406" t="s">
        <v>5729</v>
      </c>
      <c r="G1406" s="1" t="s">
        <v>5730</v>
      </c>
      <c r="H1406" s="1" t="s">
        <v>1874</v>
      </c>
    </row>
    <row r="1407" spans="1:8" x14ac:dyDescent="0.3">
      <c r="A1407" t="s">
        <v>7352</v>
      </c>
      <c r="B1407" t="s">
        <v>7352</v>
      </c>
      <c r="C1407" t="s">
        <v>4908</v>
      </c>
      <c r="D1407" t="s">
        <v>4856</v>
      </c>
      <c r="E1407" t="s">
        <v>1</v>
      </c>
      <c r="F1407" t="s">
        <v>5729</v>
      </c>
      <c r="G1407" s="1" t="s">
        <v>5730</v>
      </c>
      <c r="H1407" s="1" t="s">
        <v>1927</v>
      </c>
    </row>
    <row r="1408" spans="1:8" x14ac:dyDescent="0.3">
      <c r="A1408" t="s">
        <v>7353</v>
      </c>
      <c r="B1408" t="s">
        <v>7353</v>
      </c>
      <c r="C1408" t="s">
        <v>4910</v>
      </c>
      <c r="D1408" t="s">
        <v>4856</v>
      </c>
      <c r="E1408" t="s">
        <v>1</v>
      </c>
      <c r="F1408" t="s">
        <v>5729</v>
      </c>
      <c r="G1408" s="1" t="s">
        <v>5730</v>
      </c>
      <c r="H1408" s="1" t="s">
        <v>1927</v>
      </c>
    </row>
    <row r="1409" spans="1:8" x14ac:dyDescent="0.3">
      <c r="A1409" t="s">
        <v>7354</v>
      </c>
      <c r="B1409" t="s">
        <v>7354</v>
      </c>
      <c r="C1409" t="s">
        <v>4912</v>
      </c>
      <c r="D1409" t="s">
        <v>4856</v>
      </c>
      <c r="E1409" t="s">
        <v>1</v>
      </c>
      <c r="F1409" t="s">
        <v>5729</v>
      </c>
      <c r="G1409" s="1" t="s">
        <v>5730</v>
      </c>
      <c r="H1409" s="1" t="s">
        <v>1874</v>
      </c>
    </row>
    <row r="1410" spans="1:8" x14ac:dyDescent="0.3">
      <c r="A1410" t="s">
        <v>7355</v>
      </c>
      <c r="B1410" t="s">
        <v>7355</v>
      </c>
      <c r="C1410" t="s">
        <v>4914</v>
      </c>
      <c r="D1410" t="s">
        <v>4856</v>
      </c>
      <c r="E1410" t="s">
        <v>1</v>
      </c>
      <c r="F1410" t="s">
        <v>5729</v>
      </c>
      <c r="G1410" s="1" t="s">
        <v>5730</v>
      </c>
      <c r="H1410" s="1" t="s">
        <v>1874</v>
      </c>
    </row>
    <row r="1411" spans="1:8" x14ac:dyDescent="0.3">
      <c r="A1411" t="s">
        <v>7356</v>
      </c>
      <c r="B1411" t="s">
        <v>7356</v>
      </c>
      <c r="C1411" t="s">
        <v>4916</v>
      </c>
      <c r="D1411" t="s">
        <v>4856</v>
      </c>
      <c r="E1411" t="s">
        <v>1</v>
      </c>
      <c r="F1411" t="s">
        <v>5729</v>
      </c>
      <c r="G1411" s="1" t="s">
        <v>5730</v>
      </c>
      <c r="H1411" s="1" t="s">
        <v>1927</v>
      </c>
    </row>
    <row r="1412" spans="1:8" x14ac:dyDescent="0.3">
      <c r="A1412" t="s">
        <v>7357</v>
      </c>
      <c r="B1412" t="s">
        <v>7357</v>
      </c>
      <c r="C1412" t="s">
        <v>7358</v>
      </c>
      <c r="D1412" t="s">
        <v>4856</v>
      </c>
      <c r="E1412" t="s">
        <v>1</v>
      </c>
      <c r="F1412" t="s">
        <v>5729</v>
      </c>
      <c r="G1412" s="1" t="s">
        <v>5730</v>
      </c>
      <c r="H1412" s="1" t="s">
        <v>1856</v>
      </c>
    </row>
    <row r="1413" spans="1:8" x14ac:dyDescent="0.3">
      <c r="A1413" t="s">
        <v>7359</v>
      </c>
      <c r="B1413" t="s">
        <v>7359</v>
      </c>
      <c r="C1413" t="s">
        <v>4920</v>
      </c>
      <c r="D1413" t="s">
        <v>4856</v>
      </c>
      <c r="E1413" t="s">
        <v>1</v>
      </c>
      <c r="F1413" t="s">
        <v>5729</v>
      </c>
      <c r="G1413" s="1" t="s">
        <v>5730</v>
      </c>
      <c r="H1413" s="1" t="s">
        <v>1874</v>
      </c>
    </row>
    <row r="1414" spans="1:8" x14ac:dyDescent="0.3">
      <c r="A1414" t="s">
        <v>7360</v>
      </c>
      <c r="B1414" t="s">
        <v>7360</v>
      </c>
      <c r="C1414" t="s">
        <v>4922</v>
      </c>
      <c r="D1414" t="s">
        <v>4856</v>
      </c>
      <c r="E1414" t="s">
        <v>1</v>
      </c>
      <c r="F1414" t="s">
        <v>5729</v>
      </c>
      <c r="G1414" s="1" t="s">
        <v>5730</v>
      </c>
      <c r="H1414" s="1" t="s">
        <v>1923</v>
      </c>
    </row>
    <row r="1415" spans="1:8" x14ac:dyDescent="0.3">
      <c r="A1415" t="s">
        <v>7361</v>
      </c>
      <c r="B1415" t="s">
        <v>7361</v>
      </c>
      <c r="C1415" t="s">
        <v>7362</v>
      </c>
      <c r="D1415" t="s">
        <v>4856</v>
      </c>
      <c r="E1415" t="s">
        <v>1</v>
      </c>
      <c r="F1415" t="s">
        <v>5729</v>
      </c>
      <c r="G1415" s="1" t="s">
        <v>5730</v>
      </c>
      <c r="H1415" s="1" t="s">
        <v>1923</v>
      </c>
    </row>
    <row r="1416" spans="1:8" x14ac:dyDescent="0.3">
      <c r="A1416" t="s">
        <v>7363</v>
      </c>
      <c r="B1416" t="s">
        <v>7363</v>
      </c>
      <c r="C1416" t="s">
        <v>4878</v>
      </c>
      <c r="D1416" t="s">
        <v>4856</v>
      </c>
      <c r="E1416" t="s">
        <v>1</v>
      </c>
      <c r="F1416" t="s">
        <v>5729</v>
      </c>
      <c r="G1416" s="1" t="s">
        <v>5730</v>
      </c>
      <c r="H1416" s="1" t="s">
        <v>1856</v>
      </c>
    </row>
    <row r="1417" spans="1:8" x14ac:dyDescent="0.3">
      <c r="A1417" t="s">
        <v>7364</v>
      </c>
      <c r="B1417" t="s">
        <v>7364</v>
      </c>
      <c r="C1417" t="s">
        <v>4927</v>
      </c>
      <c r="D1417" t="s">
        <v>4856</v>
      </c>
      <c r="E1417" t="s">
        <v>1</v>
      </c>
      <c r="F1417" t="s">
        <v>5729</v>
      </c>
      <c r="G1417" s="1" t="s">
        <v>5730</v>
      </c>
      <c r="H1417" s="1" t="s">
        <v>1927</v>
      </c>
    </row>
    <row r="1418" spans="1:8" x14ac:dyDescent="0.3">
      <c r="A1418" t="s">
        <v>7365</v>
      </c>
      <c r="B1418" t="s">
        <v>7365</v>
      </c>
      <c r="C1418" t="s">
        <v>4930</v>
      </c>
      <c r="D1418" t="s">
        <v>4856</v>
      </c>
      <c r="E1418" t="s">
        <v>1</v>
      </c>
      <c r="F1418" t="s">
        <v>5729</v>
      </c>
      <c r="G1418" s="1" t="s">
        <v>5730</v>
      </c>
      <c r="H1418" s="1" t="s">
        <v>1927</v>
      </c>
    </row>
    <row r="1419" spans="1:8" x14ac:dyDescent="0.3">
      <c r="A1419" t="s">
        <v>7366</v>
      </c>
      <c r="B1419" t="s">
        <v>7366</v>
      </c>
      <c r="C1419" t="s">
        <v>4932</v>
      </c>
      <c r="D1419" t="s">
        <v>4856</v>
      </c>
      <c r="E1419" t="s">
        <v>1</v>
      </c>
      <c r="F1419" t="s">
        <v>5729</v>
      </c>
      <c r="G1419" s="1" t="s">
        <v>5730</v>
      </c>
      <c r="H1419" s="1" t="s">
        <v>1856</v>
      </c>
    </row>
    <row r="1420" spans="1:8" x14ac:dyDescent="0.3">
      <c r="A1420" t="s">
        <v>7367</v>
      </c>
      <c r="B1420" t="s">
        <v>7367</v>
      </c>
      <c r="C1420" t="s">
        <v>1321</v>
      </c>
      <c r="D1420" t="s">
        <v>4856</v>
      </c>
      <c r="E1420" t="s">
        <v>1</v>
      </c>
      <c r="F1420" t="s">
        <v>5729</v>
      </c>
      <c r="G1420" s="1" t="s">
        <v>5730</v>
      </c>
      <c r="H1420" s="1" t="s">
        <v>1927</v>
      </c>
    </row>
    <row r="1421" spans="1:8" x14ac:dyDescent="0.3">
      <c r="A1421" t="s">
        <v>7368</v>
      </c>
      <c r="B1421" t="s">
        <v>7368</v>
      </c>
      <c r="C1421" t="s">
        <v>509</v>
      </c>
      <c r="D1421" t="s">
        <v>4856</v>
      </c>
      <c r="E1421" t="s">
        <v>1</v>
      </c>
      <c r="F1421" t="s">
        <v>5734</v>
      </c>
      <c r="G1421" s="1" t="s">
        <v>5730</v>
      </c>
      <c r="H1421" s="1" t="s">
        <v>1874</v>
      </c>
    </row>
    <row r="1422" spans="1:8" x14ac:dyDescent="0.3">
      <c r="A1422" t="s">
        <v>7369</v>
      </c>
      <c r="B1422" t="s">
        <v>7369</v>
      </c>
      <c r="C1422" t="s">
        <v>4938</v>
      </c>
      <c r="D1422" t="s">
        <v>4856</v>
      </c>
      <c r="E1422" t="s">
        <v>1</v>
      </c>
      <c r="F1422" t="s">
        <v>5729</v>
      </c>
      <c r="G1422" s="1" t="s">
        <v>5730</v>
      </c>
      <c r="H1422" s="1" t="s">
        <v>1893</v>
      </c>
    </row>
    <row r="1423" spans="1:8" x14ac:dyDescent="0.3">
      <c r="A1423" t="s">
        <v>7370</v>
      </c>
      <c r="B1423" t="s">
        <v>7370</v>
      </c>
      <c r="C1423" t="s">
        <v>7371</v>
      </c>
      <c r="D1423" t="s">
        <v>4856</v>
      </c>
      <c r="E1423" t="s">
        <v>1</v>
      </c>
      <c r="F1423" t="s">
        <v>5729</v>
      </c>
      <c r="G1423" s="1" t="s">
        <v>5730</v>
      </c>
      <c r="H1423" s="1" t="s">
        <v>1893</v>
      </c>
    </row>
    <row r="1424" spans="1:8" x14ac:dyDescent="0.3">
      <c r="A1424" t="s">
        <v>7372</v>
      </c>
      <c r="B1424" t="s">
        <v>7372</v>
      </c>
      <c r="C1424" t="s">
        <v>5018</v>
      </c>
      <c r="D1424" t="s">
        <v>7373</v>
      </c>
      <c r="E1424" t="s">
        <v>1</v>
      </c>
      <c r="F1424" t="s">
        <v>5729</v>
      </c>
      <c r="G1424" s="1" t="s">
        <v>5730</v>
      </c>
      <c r="H1424" s="1" t="s">
        <v>1874</v>
      </c>
    </row>
    <row r="1425" spans="1:8" x14ac:dyDescent="0.3">
      <c r="A1425" t="s">
        <v>7374</v>
      </c>
      <c r="B1425" t="s">
        <v>7374</v>
      </c>
      <c r="C1425" t="s">
        <v>4992</v>
      </c>
      <c r="D1425" t="s">
        <v>7375</v>
      </c>
      <c r="E1425" t="s">
        <v>1</v>
      </c>
      <c r="F1425" t="s">
        <v>5729</v>
      </c>
      <c r="G1425" s="1" t="s">
        <v>5730</v>
      </c>
      <c r="H1425" s="1" t="s">
        <v>1856</v>
      </c>
    </row>
    <row r="1426" spans="1:8" x14ac:dyDescent="0.3">
      <c r="A1426" t="s">
        <v>7376</v>
      </c>
      <c r="B1426" t="s">
        <v>7376</v>
      </c>
      <c r="C1426" t="s">
        <v>5020</v>
      </c>
      <c r="D1426" t="s">
        <v>7373</v>
      </c>
      <c r="E1426" t="s">
        <v>1</v>
      </c>
      <c r="F1426" t="s">
        <v>5729</v>
      </c>
      <c r="G1426" s="1" t="s">
        <v>5730</v>
      </c>
      <c r="H1426" s="1" t="s">
        <v>1856</v>
      </c>
    </row>
    <row r="1427" spans="1:8" x14ac:dyDescent="0.3">
      <c r="A1427" t="s">
        <v>7377</v>
      </c>
      <c r="B1427" t="s">
        <v>7377</v>
      </c>
      <c r="C1427" t="s">
        <v>5028</v>
      </c>
      <c r="D1427" t="s">
        <v>7373</v>
      </c>
      <c r="E1427" t="s">
        <v>1</v>
      </c>
      <c r="F1427" t="s">
        <v>5729</v>
      </c>
      <c r="G1427" s="1" t="s">
        <v>5730</v>
      </c>
      <c r="H1427" s="1" t="s">
        <v>1927</v>
      </c>
    </row>
    <row r="1428" spans="1:8" x14ac:dyDescent="0.3">
      <c r="A1428" t="s">
        <v>7378</v>
      </c>
      <c r="B1428" t="s">
        <v>7378</v>
      </c>
      <c r="C1428" t="s">
        <v>5030</v>
      </c>
      <c r="D1428" t="s">
        <v>7373</v>
      </c>
      <c r="E1428" t="s">
        <v>1</v>
      </c>
      <c r="F1428" t="s">
        <v>5729</v>
      </c>
      <c r="G1428" s="1" t="s">
        <v>5730</v>
      </c>
      <c r="H1428" s="1" t="s">
        <v>1874</v>
      </c>
    </row>
    <row r="1429" spans="1:8" x14ac:dyDescent="0.3">
      <c r="A1429" t="s">
        <v>7379</v>
      </c>
      <c r="B1429" t="s">
        <v>7379</v>
      </c>
      <c r="C1429" t="s">
        <v>4998</v>
      </c>
      <c r="D1429" t="s">
        <v>7375</v>
      </c>
      <c r="E1429" t="s">
        <v>1</v>
      </c>
      <c r="F1429" t="s">
        <v>5729</v>
      </c>
      <c r="G1429" s="1" t="s">
        <v>5730</v>
      </c>
      <c r="H1429" s="1" t="s">
        <v>1874</v>
      </c>
    </row>
    <row r="1430" spans="1:8" x14ac:dyDescent="0.3">
      <c r="A1430" t="s">
        <v>7380</v>
      </c>
      <c r="B1430" t="s">
        <v>7380</v>
      </c>
      <c r="C1430" t="s">
        <v>5056</v>
      </c>
      <c r="D1430" t="s">
        <v>7373</v>
      </c>
      <c r="E1430" t="s">
        <v>1</v>
      </c>
      <c r="F1430" t="s">
        <v>5729</v>
      </c>
      <c r="G1430" s="1" t="s">
        <v>5730</v>
      </c>
      <c r="H1430" s="1" t="s">
        <v>1874</v>
      </c>
    </row>
    <row r="1431" spans="1:8" x14ac:dyDescent="0.3">
      <c r="A1431" t="s">
        <v>7381</v>
      </c>
      <c r="B1431" t="s">
        <v>7381</v>
      </c>
      <c r="C1431" t="s">
        <v>5004</v>
      </c>
      <c r="D1431" t="s">
        <v>7375</v>
      </c>
      <c r="E1431" t="s">
        <v>1</v>
      </c>
      <c r="F1431" t="s">
        <v>5729</v>
      </c>
      <c r="G1431" s="1" t="s">
        <v>5730</v>
      </c>
      <c r="H1431" s="1" t="s">
        <v>1927</v>
      </c>
    </row>
    <row r="1432" spans="1:8" x14ac:dyDescent="0.3">
      <c r="A1432" t="s">
        <v>7382</v>
      </c>
      <c r="B1432" t="s">
        <v>7382</v>
      </c>
      <c r="C1432" t="s">
        <v>5048</v>
      </c>
      <c r="D1432" t="s">
        <v>7373</v>
      </c>
      <c r="E1432" t="s">
        <v>1</v>
      </c>
      <c r="F1432" t="s">
        <v>5729</v>
      </c>
      <c r="G1432" s="1" t="s">
        <v>5730</v>
      </c>
      <c r="H1432" s="1" t="s">
        <v>1856</v>
      </c>
    </row>
    <row r="1433" spans="1:8" x14ac:dyDescent="0.3">
      <c r="A1433" t="s">
        <v>7383</v>
      </c>
      <c r="B1433" t="s">
        <v>7383</v>
      </c>
      <c r="C1433" t="s">
        <v>999</v>
      </c>
      <c r="D1433" t="s">
        <v>7375</v>
      </c>
      <c r="E1433" t="s">
        <v>1</v>
      </c>
      <c r="F1433" t="s">
        <v>5781</v>
      </c>
      <c r="G1433" s="1" t="s">
        <v>5730</v>
      </c>
      <c r="H1433" s="1" t="s">
        <v>1856</v>
      </c>
    </row>
    <row r="1434" spans="1:8" x14ac:dyDescent="0.3">
      <c r="A1434" t="s">
        <v>7384</v>
      </c>
      <c r="B1434" t="s">
        <v>7384</v>
      </c>
      <c r="C1434" t="s">
        <v>4711</v>
      </c>
      <c r="D1434" t="s">
        <v>7375</v>
      </c>
      <c r="E1434" t="s">
        <v>1</v>
      </c>
      <c r="F1434" t="s">
        <v>5734</v>
      </c>
      <c r="G1434" s="1" t="s">
        <v>5730</v>
      </c>
      <c r="H1434" s="1" t="s">
        <v>1856</v>
      </c>
    </row>
    <row r="1435" spans="1:8" x14ac:dyDescent="0.3">
      <c r="A1435" t="s">
        <v>7385</v>
      </c>
      <c r="B1435" t="s">
        <v>7385</v>
      </c>
      <c r="C1435" t="s">
        <v>7386</v>
      </c>
      <c r="D1435" t="s">
        <v>7373</v>
      </c>
      <c r="E1435" t="s">
        <v>1</v>
      </c>
      <c r="F1435" t="s">
        <v>5729</v>
      </c>
      <c r="G1435" s="1" t="s">
        <v>5730</v>
      </c>
      <c r="H1435" s="1" t="s">
        <v>2676</v>
      </c>
    </row>
    <row r="1436" spans="1:8" x14ac:dyDescent="0.3">
      <c r="A1436" t="s">
        <v>7387</v>
      </c>
      <c r="B1436" t="s">
        <v>7387</v>
      </c>
      <c r="C1436" t="s">
        <v>7388</v>
      </c>
      <c r="D1436" t="s">
        <v>7375</v>
      </c>
      <c r="E1436" t="s">
        <v>1</v>
      </c>
      <c r="F1436" t="s">
        <v>5729</v>
      </c>
      <c r="G1436" s="1" t="s">
        <v>5730</v>
      </c>
      <c r="H1436" s="1" t="s">
        <v>1893</v>
      </c>
    </row>
    <row r="1437" spans="1:8" x14ac:dyDescent="0.3">
      <c r="A1437" t="s">
        <v>7389</v>
      </c>
      <c r="B1437" t="s">
        <v>7389</v>
      </c>
      <c r="C1437" t="s">
        <v>7390</v>
      </c>
      <c r="D1437" t="s">
        <v>7375</v>
      </c>
      <c r="E1437" t="s">
        <v>1</v>
      </c>
      <c r="F1437" t="s">
        <v>5729</v>
      </c>
      <c r="G1437" s="1" t="s">
        <v>5730</v>
      </c>
      <c r="H1437" s="1" t="s">
        <v>1856</v>
      </c>
    </row>
    <row r="1438" spans="1:8" x14ac:dyDescent="0.3">
      <c r="A1438" t="s">
        <v>7391</v>
      </c>
      <c r="B1438" t="s">
        <v>7391</v>
      </c>
      <c r="C1438" t="s">
        <v>5065</v>
      </c>
      <c r="D1438" t="s">
        <v>7373</v>
      </c>
      <c r="E1438" t="s">
        <v>1</v>
      </c>
      <c r="F1438" t="s">
        <v>5729</v>
      </c>
      <c r="G1438" s="1" t="s">
        <v>5730</v>
      </c>
      <c r="H1438" s="1" t="s">
        <v>1927</v>
      </c>
    </row>
    <row r="1439" spans="1:8" x14ac:dyDescent="0.3">
      <c r="A1439" t="s">
        <v>7392</v>
      </c>
      <c r="B1439" t="s">
        <v>7392</v>
      </c>
      <c r="C1439" t="s">
        <v>5061</v>
      </c>
      <c r="D1439" t="s">
        <v>7373</v>
      </c>
      <c r="E1439" t="s">
        <v>1</v>
      </c>
      <c r="F1439" t="s">
        <v>5729</v>
      </c>
      <c r="G1439" s="1" t="s">
        <v>5730</v>
      </c>
      <c r="H1439" s="1" t="s">
        <v>1874</v>
      </c>
    </row>
    <row r="1440" spans="1:8" x14ac:dyDescent="0.3">
      <c r="A1440" t="s">
        <v>7393</v>
      </c>
      <c r="B1440" t="s">
        <v>7393</v>
      </c>
      <c r="C1440" t="s">
        <v>4990</v>
      </c>
      <c r="D1440" t="s">
        <v>7375</v>
      </c>
      <c r="E1440" t="s">
        <v>1</v>
      </c>
      <c r="F1440" t="s">
        <v>5729</v>
      </c>
      <c r="G1440" s="1" t="s">
        <v>5730</v>
      </c>
      <c r="H1440" s="1" t="s">
        <v>1874</v>
      </c>
    </row>
    <row r="1441" spans="1:8" x14ac:dyDescent="0.3">
      <c r="A1441" t="s">
        <v>7394</v>
      </c>
      <c r="B1441" t="s">
        <v>7394</v>
      </c>
      <c r="C1441" t="s">
        <v>7395</v>
      </c>
      <c r="D1441" t="s">
        <v>7373</v>
      </c>
      <c r="E1441" t="s">
        <v>1</v>
      </c>
      <c r="F1441" t="s">
        <v>5729</v>
      </c>
      <c r="G1441" s="1" t="s">
        <v>5730</v>
      </c>
      <c r="H1441" s="1" t="s">
        <v>1874</v>
      </c>
    </row>
    <row r="1442" spans="1:8" x14ac:dyDescent="0.3">
      <c r="A1442" t="s">
        <v>7396</v>
      </c>
      <c r="B1442" t="s">
        <v>7396</v>
      </c>
      <c r="C1442" t="s">
        <v>5042</v>
      </c>
      <c r="D1442" t="s">
        <v>7373</v>
      </c>
      <c r="E1442" t="s">
        <v>1</v>
      </c>
      <c r="F1442" t="s">
        <v>5729</v>
      </c>
      <c r="G1442" s="1" t="s">
        <v>5730</v>
      </c>
      <c r="H1442" s="1" t="s">
        <v>1923</v>
      </c>
    </row>
    <row r="1443" spans="1:8" x14ac:dyDescent="0.3">
      <c r="A1443" t="s">
        <v>7397</v>
      </c>
      <c r="B1443" t="s">
        <v>7397</v>
      </c>
      <c r="C1443" t="s">
        <v>5013</v>
      </c>
      <c r="D1443" t="s">
        <v>7375</v>
      </c>
      <c r="E1443" t="s">
        <v>1</v>
      </c>
      <c r="F1443" t="s">
        <v>5729</v>
      </c>
      <c r="G1443" s="1" t="s">
        <v>5730</v>
      </c>
      <c r="H1443" s="1" t="s">
        <v>1923</v>
      </c>
    </row>
    <row r="1444" spans="1:8" x14ac:dyDescent="0.3">
      <c r="A1444" t="s">
        <v>7398</v>
      </c>
      <c r="B1444" t="s">
        <v>7398</v>
      </c>
      <c r="C1444" t="s">
        <v>7399</v>
      </c>
      <c r="D1444" t="s">
        <v>7373</v>
      </c>
      <c r="E1444" t="s">
        <v>1</v>
      </c>
      <c r="F1444" t="s">
        <v>5729</v>
      </c>
      <c r="G1444" s="1" t="s">
        <v>5730</v>
      </c>
      <c r="H1444" s="1" t="s">
        <v>1874</v>
      </c>
    </row>
    <row r="1445" spans="1:8" x14ac:dyDescent="0.3">
      <c r="A1445" t="s">
        <v>7400</v>
      </c>
      <c r="B1445" t="s">
        <v>7400</v>
      </c>
      <c r="C1445" t="s">
        <v>5050</v>
      </c>
      <c r="D1445" t="s">
        <v>7373</v>
      </c>
      <c r="E1445" t="s">
        <v>1</v>
      </c>
      <c r="F1445" t="s">
        <v>5729</v>
      </c>
      <c r="G1445" s="1" t="s">
        <v>5730</v>
      </c>
      <c r="H1445" s="1" t="s">
        <v>1923</v>
      </c>
    </row>
    <row r="1446" spans="1:8" x14ac:dyDescent="0.3">
      <c r="A1446" t="s">
        <v>7401</v>
      </c>
      <c r="B1446" t="s">
        <v>7401</v>
      </c>
      <c r="C1446" t="s">
        <v>5011</v>
      </c>
      <c r="D1446" t="s">
        <v>7375</v>
      </c>
      <c r="E1446" t="s">
        <v>1</v>
      </c>
      <c r="F1446" t="s">
        <v>5729</v>
      </c>
      <c r="G1446" s="1" t="s">
        <v>5730</v>
      </c>
      <c r="H1446" s="1" t="s">
        <v>1927</v>
      </c>
    </row>
    <row r="1447" spans="1:8" x14ac:dyDescent="0.3">
      <c r="A1447" t="s">
        <v>7402</v>
      </c>
      <c r="B1447" t="s">
        <v>7402</v>
      </c>
      <c r="C1447" t="s">
        <v>5040</v>
      </c>
      <c r="D1447" t="s">
        <v>7373</v>
      </c>
      <c r="E1447" t="s">
        <v>1</v>
      </c>
      <c r="F1447" t="s">
        <v>5729</v>
      </c>
      <c r="G1447" s="1" t="s">
        <v>5730</v>
      </c>
      <c r="H1447" s="1" t="s">
        <v>1923</v>
      </c>
    </row>
    <row r="1448" spans="1:8" x14ac:dyDescent="0.3">
      <c r="A1448" t="s">
        <v>7403</v>
      </c>
      <c r="B1448" t="s">
        <v>7403</v>
      </c>
      <c r="C1448" t="s">
        <v>5034</v>
      </c>
      <c r="D1448" t="s">
        <v>7373</v>
      </c>
      <c r="E1448" t="s">
        <v>1</v>
      </c>
      <c r="F1448" t="s">
        <v>5729</v>
      </c>
      <c r="G1448" s="1" t="s">
        <v>5730</v>
      </c>
      <c r="H1448" s="1" t="s">
        <v>1923</v>
      </c>
    </row>
    <row r="1449" spans="1:8" x14ac:dyDescent="0.3">
      <c r="A1449" t="s">
        <v>7404</v>
      </c>
      <c r="B1449" t="s">
        <v>7404</v>
      </c>
      <c r="C1449" t="s">
        <v>5036</v>
      </c>
      <c r="D1449" t="s">
        <v>7373</v>
      </c>
      <c r="E1449" t="s">
        <v>1</v>
      </c>
      <c r="F1449" t="s">
        <v>5729</v>
      </c>
      <c r="G1449" s="1" t="s">
        <v>5730</v>
      </c>
      <c r="H1449" s="1" t="s">
        <v>1923</v>
      </c>
    </row>
    <row r="1450" spans="1:8" x14ac:dyDescent="0.3">
      <c r="A1450" t="s">
        <v>7405</v>
      </c>
      <c r="B1450" t="s">
        <v>7405</v>
      </c>
      <c r="C1450" t="s">
        <v>5022</v>
      </c>
      <c r="D1450" t="s">
        <v>7373</v>
      </c>
      <c r="E1450" t="s">
        <v>1</v>
      </c>
      <c r="F1450" t="s">
        <v>5729</v>
      </c>
      <c r="G1450" s="1" t="s">
        <v>5730</v>
      </c>
      <c r="H1450" s="1" t="s">
        <v>1874</v>
      </c>
    </row>
    <row r="1451" spans="1:8" x14ac:dyDescent="0.3">
      <c r="A1451" t="s">
        <v>7406</v>
      </c>
      <c r="B1451" t="s">
        <v>7406</v>
      </c>
      <c r="C1451" t="s">
        <v>5054</v>
      </c>
      <c r="D1451" t="s">
        <v>7373</v>
      </c>
      <c r="E1451" t="s">
        <v>1</v>
      </c>
      <c r="F1451" t="s">
        <v>5729</v>
      </c>
      <c r="G1451" s="1" t="s">
        <v>5730</v>
      </c>
      <c r="H1451" s="1" t="s">
        <v>1923</v>
      </c>
    </row>
    <row r="1452" spans="1:8" x14ac:dyDescent="0.3">
      <c r="A1452" t="s">
        <v>7407</v>
      </c>
      <c r="B1452" t="s">
        <v>7407</v>
      </c>
      <c r="C1452" t="s">
        <v>7408</v>
      </c>
      <c r="D1452" t="s">
        <v>7375</v>
      </c>
      <c r="E1452" t="s">
        <v>1</v>
      </c>
      <c r="F1452" t="s">
        <v>5729</v>
      </c>
      <c r="G1452" s="1" t="s">
        <v>5730</v>
      </c>
      <c r="H1452" s="1" t="s">
        <v>1927</v>
      </c>
    </row>
    <row r="1453" spans="1:8" x14ac:dyDescent="0.3">
      <c r="A1453" t="s">
        <v>7409</v>
      </c>
      <c r="B1453" t="s">
        <v>7409</v>
      </c>
      <c r="C1453" t="s">
        <v>5024</v>
      </c>
      <c r="D1453" t="s">
        <v>7373</v>
      </c>
      <c r="E1453" t="s">
        <v>1</v>
      </c>
      <c r="F1453" t="s">
        <v>5729</v>
      </c>
      <c r="G1453" s="1" t="s">
        <v>5730</v>
      </c>
      <c r="H1453" s="1" t="s">
        <v>1923</v>
      </c>
    </row>
    <row r="1454" spans="1:8" x14ac:dyDescent="0.3">
      <c r="A1454" t="s">
        <v>7410</v>
      </c>
      <c r="B1454" t="s">
        <v>7410</v>
      </c>
      <c r="C1454" t="s">
        <v>5044</v>
      </c>
      <c r="D1454" t="s">
        <v>7373</v>
      </c>
      <c r="E1454" t="s">
        <v>1</v>
      </c>
      <c r="F1454" t="s">
        <v>5729</v>
      </c>
      <c r="G1454" s="1" t="s">
        <v>5730</v>
      </c>
      <c r="H1454" s="1" t="s">
        <v>1927</v>
      </c>
    </row>
    <row r="1455" spans="1:8" x14ac:dyDescent="0.3">
      <c r="A1455" t="s">
        <v>7411</v>
      </c>
      <c r="B1455" t="s">
        <v>7411</v>
      </c>
      <c r="C1455" t="s">
        <v>5052</v>
      </c>
      <c r="D1455" t="s">
        <v>7373</v>
      </c>
      <c r="E1455" t="s">
        <v>1</v>
      </c>
      <c r="F1455" t="s">
        <v>5729</v>
      </c>
      <c r="G1455" s="1" t="s">
        <v>5730</v>
      </c>
      <c r="H1455" s="1" t="s">
        <v>1923</v>
      </c>
    </row>
    <row r="1456" spans="1:8" x14ac:dyDescent="0.3">
      <c r="A1456" t="s">
        <v>7412</v>
      </c>
      <c r="B1456" t="s">
        <v>7412</v>
      </c>
      <c r="C1456" t="s">
        <v>5006</v>
      </c>
      <c r="D1456" t="s">
        <v>7375</v>
      </c>
      <c r="E1456" t="s">
        <v>1</v>
      </c>
      <c r="F1456" t="s">
        <v>5729</v>
      </c>
      <c r="G1456" s="1" t="s">
        <v>5730</v>
      </c>
      <c r="H1456" s="1" t="s">
        <v>1923</v>
      </c>
    </row>
    <row r="1457" spans="1:8" x14ac:dyDescent="0.3">
      <c r="A1457" t="s">
        <v>7413</v>
      </c>
      <c r="B1457" t="s">
        <v>7413</v>
      </c>
      <c r="C1457" t="s">
        <v>5026</v>
      </c>
      <c r="D1457" t="s">
        <v>7373</v>
      </c>
      <c r="E1457" t="s">
        <v>1</v>
      </c>
      <c r="F1457" t="s">
        <v>5729</v>
      </c>
      <c r="G1457" s="1" t="s">
        <v>5730</v>
      </c>
      <c r="H1457" s="1" t="s">
        <v>1923</v>
      </c>
    </row>
    <row r="1458" spans="1:8" x14ac:dyDescent="0.3">
      <c r="A1458" t="s">
        <v>7414</v>
      </c>
      <c r="B1458" t="s">
        <v>7414</v>
      </c>
      <c r="C1458" t="s">
        <v>5032</v>
      </c>
      <c r="D1458" t="s">
        <v>7373</v>
      </c>
      <c r="E1458" t="s">
        <v>1</v>
      </c>
      <c r="F1458" t="s">
        <v>5729</v>
      </c>
      <c r="G1458" s="1" t="s">
        <v>5730</v>
      </c>
      <c r="H1458" s="1" t="s">
        <v>1923</v>
      </c>
    </row>
    <row r="1459" spans="1:8" x14ac:dyDescent="0.3">
      <c r="A1459" t="s">
        <v>7415</v>
      </c>
      <c r="B1459" t="s">
        <v>7415</v>
      </c>
      <c r="C1459" t="s">
        <v>5059</v>
      </c>
      <c r="D1459" t="s">
        <v>7373</v>
      </c>
      <c r="E1459" t="s">
        <v>1</v>
      </c>
      <c r="F1459" t="s">
        <v>5729</v>
      </c>
      <c r="G1459" s="1" t="s">
        <v>5730</v>
      </c>
      <c r="H1459" s="1" t="s">
        <v>1923</v>
      </c>
    </row>
    <row r="1460" spans="1:8" x14ac:dyDescent="0.3">
      <c r="A1460" t="s">
        <v>7416</v>
      </c>
      <c r="B1460" t="s">
        <v>7416</v>
      </c>
      <c r="C1460" t="s">
        <v>306</v>
      </c>
      <c r="D1460" t="s">
        <v>150</v>
      </c>
      <c r="E1460" t="s">
        <v>1</v>
      </c>
      <c r="F1460" t="s">
        <v>5734</v>
      </c>
      <c r="G1460" s="1" t="s">
        <v>5730</v>
      </c>
      <c r="H1460" s="1" t="s">
        <v>1856</v>
      </c>
    </row>
    <row r="1461" spans="1:8" x14ac:dyDescent="0.3">
      <c r="A1461" t="s">
        <v>7417</v>
      </c>
      <c r="B1461" t="s">
        <v>7417</v>
      </c>
      <c r="C1461" t="s">
        <v>380</v>
      </c>
      <c r="D1461" t="s">
        <v>150</v>
      </c>
      <c r="E1461" t="s">
        <v>1</v>
      </c>
      <c r="F1461" t="s">
        <v>5747</v>
      </c>
      <c r="G1461" s="1" t="s">
        <v>5730</v>
      </c>
      <c r="H1461" s="1" t="s">
        <v>1856</v>
      </c>
    </row>
    <row r="1462" spans="1:8" x14ac:dyDescent="0.3">
      <c r="A1462" t="s">
        <v>7418</v>
      </c>
      <c r="B1462" t="s">
        <v>7418</v>
      </c>
      <c r="C1462" t="s">
        <v>450</v>
      </c>
      <c r="D1462" t="s">
        <v>150</v>
      </c>
      <c r="E1462" t="s">
        <v>1</v>
      </c>
      <c r="F1462" t="s">
        <v>5729</v>
      </c>
      <c r="G1462" s="1" t="s">
        <v>5730</v>
      </c>
      <c r="H1462" s="1" t="s">
        <v>1927</v>
      </c>
    </row>
    <row r="1463" spans="1:8" x14ac:dyDescent="0.3">
      <c r="A1463" t="s">
        <v>7419</v>
      </c>
      <c r="B1463" t="s">
        <v>7419</v>
      </c>
      <c r="C1463" t="s">
        <v>592</v>
      </c>
      <c r="D1463" t="s">
        <v>150</v>
      </c>
      <c r="E1463" t="s">
        <v>1</v>
      </c>
      <c r="F1463" t="s">
        <v>5729</v>
      </c>
      <c r="G1463" s="1" t="s">
        <v>5730</v>
      </c>
      <c r="H1463" s="1" t="s">
        <v>1927</v>
      </c>
    </row>
    <row r="1464" spans="1:8" x14ac:dyDescent="0.3">
      <c r="A1464" t="s">
        <v>7420</v>
      </c>
      <c r="B1464" t="s">
        <v>7420</v>
      </c>
      <c r="C1464" t="s">
        <v>660</v>
      </c>
      <c r="D1464" t="s">
        <v>150</v>
      </c>
      <c r="E1464" t="s">
        <v>1</v>
      </c>
      <c r="F1464" t="s">
        <v>5729</v>
      </c>
      <c r="G1464" s="1" t="s">
        <v>5730</v>
      </c>
      <c r="H1464" s="1" t="s">
        <v>1874</v>
      </c>
    </row>
    <row r="1465" spans="1:8" x14ac:dyDescent="0.3">
      <c r="A1465" t="s">
        <v>7421</v>
      </c>
      <c r="B1465" t="s">
        <v>7421</v>
      </c>
      <c r="C1465" t="s">
        <v>233</v>
      </c>
      <c r="D1465" t="s">
        <v>150</v>
      </c>
      <c r="E1465" t="s">
        <v>1</v>
      </c>
      <c r="F1465" t="s">
        <v>5729</v>
      </c>
      <c r="G1465" s="1" t="s">
        <v>5730</v>
      </c>
      <c r="H1465" s="1" t="s">
        <v>1893</v>
      </c>
    </row>
    <row r="1466" spans="1:8" x14ac:dyDescent="0.3">
      <c r="A1466" t="s">
        <v>7422</v>
      </c>
      <c r="B1466" t="s">
        <v>7422</v>
      </c>
      <c r="C1466" t="s">
        <v>723</v>
      </c>
      <c r="D1466" t="s">
        <v>150</v>
      </c>
      <c r="E1466" t="s">
        <v>1</v>
      </c>
      <c r="F1466" t="s">
        <v>5729</v>
      </c>
      <c r="G1466" s="1" t="s">
        <v>5730</v>
      </c>
      <c r="H1466" s="1" t="s">
        <v>1874</v>
      </c>
    </row>
    <row r="1467" spans="1:8" x14ac:dyDescent="0.3">
      <c r="A1467" t="s">
        <v>7423</v>
      </c>
      <c r="B1467" t="s">
        <v>7423</v>
      </c>
      <c r="C1467" t="s">
        <v>954</v>
      </c>
      <c r="D1467" t="s">
        <v>150</v>
      </c>
      <c r="E1467" t="s">
        <v>1</v>
      </c>
      <c r="F1467" t="s">
        <v>5729</v>
      </c>
      <c r="G1467" s="1" t="s">
        <v>5730</v>
      </c>
      <c r="H1467" s="1" t="s">
        <v>1874</v>
      </c>
    </row>
    <row r="1468" spans="1:8" x14ac:dyDescent="0.3">
      <c r="A1468" t="s">
        <v>7424</v>
      </c>
      <c r="B1468" t="s">
        <v>7424</v>
      </c>
      <c r="C1468" t="s">
        <v>999</v>
      </c>
      <c r="D1468" t="s">
        <v>150</v>
      </c>
      <c r="E1468" t="s">
        <v>1</v>
      </c>
      <c r="F1468" t="s">
        <v>5781</v>
      </c>
      <c r="G1468" s="1" t="s">
        <v>5730</v>
      </c>
      <c r="H1468" s="1" t="s">
        <v>1856</v>
      </c>
    </row>
    <row r="1469" spans="1:8" x14ac:dyDescent="0.3">
      <c r="A1469" t="s">
        <v>7425</v>
      </c>
      <c r="B1469" t="s">
        <v>7425</v>
      </c>
      <c r="C1469" t="s">
        <v>1048</v>
      </c>
      <c r="D1469" t="s">
        <v>150</v>
      </c>
      <c r="E1469" t="s">
        <v>1</v>
      </c>
      <c r="F1469" t="s">
        <v>5729</v>
      </c>
      <c r="G1469" s="1" t="s">
        <v>5730</v>
      </c>
      <c r="H1469" s="1" t="s">
        <v>1923</v>
      </c>
    </row>
    <row r="1470" spans="1:8" x14ac:dyDescent="0.3">
      <c r="A1470" t="s">
        <v>7426</v>
      </c>
      <c r="B1470" t="s">
        <v>7426</v>
      </c>
      <c r="C1470" t="s">
        <v>1088</v>
      </c>
      <c r="D1470" t="s">
        <v>150</v>
      </c>
      <c r="E1470" t="s">
        <v>1</v>
      </c>
      <c r="F1470" t="s">
        <v>5729</v>
      </c>
      <c r="G1470" s="1" t="s">
        <v>5730</v>
      </c>
      <c r="H1470" s="1" t="s">
        <v>1856</v>
      </c>
    </row>
    <row r="1471" spans="1:8" x14ac:dyDescent="0.3">
      <c r="A1471" t="s">
        <v>7427</v>
      </c>
      <c r="B1471" t="s">
        <v>7427</v>
      </c>
      <c r="C1471" t="s">
        <v>1125</v>
      </c>
      <c r="D1471" t="s">
        <v>150</v>
      </c>
      <c r="E1471" t="s">
        <v>1</v>
      </c>
      <c r="F1471" t="s">
        <v>5734</v>
      </c>
      <c r="G1471" s="1" t="s">
        <v>5730</v>
      </c>
      <c r="H1471" s="1" t="s">
        <v>1856</v>
      </c>
    </row>
    <row r="1472" spans="1:8" x14ac:dyDescent="0.3">
      <c r="A1472" t="s">
        <v>7428</v>
      </c>
      <c r="B1472" t="s">
        <v>7428</v>
      </c>
      <c r="C1472" t="s">
        <v>1160</v>
      </c>
      <c r="D1472" t="s">
        <v>150</v>
      </c>
      <c r="E1472" t="s">
        <v>1</v>
      </c>
      <c r="F1472" t="s">
        <v>5734</v>
      </c>
      <c r="G1472" s="1" t="s">
        <v>5730</v>
      </c>
      <c r="H1472" s="1" t="s">
        <v>1856</v>
      </c>
    </row>
    <row r="1473" spans="1:8" x14ac:dyDescent="0.3">
      <c r="A1473" t="s">
        <v>7429</v>
      </c>
      <c r="B1473" t="s">
        <v>7429</v>
      </c>
      <c r="C1473" t="s">
        <v>1191</v>
      </c>
      <c r="D1473" t="s">
        <v>150</v>
      </c>
      <c r="E1473" t="s">
        <v>1</v>
      </c>
      <c r="F1473" t="s">
        <v>5729</v>
      </c>
      <c r="G1473" s="1" t="s">
        <v>5730</v>
      </c>
      <c r="H1473" s="1" t="s">
        <v>1923</v>
      </c>
    </row>
    <row r="1474" spans="1:8" x14ac:dyDescent="0.3">
      <c r="A1474" t="s">
        <v>7430</v>
      </c>
      <c r="B1474" t="s">
        <v>7430</v>
      </c>
      <c r="C1474" t="s">
        <v>1219</v>
      </c>
      <c r="D1474" t="s">
        <v>150</v>
      </c>
      <c r="E1474" t="s">
        <v>1</v>
      </c>
      <c r="F1474" t="s">
        <v>5729</v>
      </c>
      <c r="G1474" s="1" t="s">
        <v>5730</v>
      </c>
      <c r="H1474" s="1" t="s">
        <v>1874</v>
      </c>
    </row>
    <row r="1475" spans="1:8" x14ac:dyDescent="0.3">
      <c r="A1475" t="s">
        <v>7431</v>
      </c>
      <c r="B1475" t="s">
        <v>7431</v>
      </c>
      <c r="C1475" t="s">
        <v>901</v>
      </c>
      <c r="D1475" t="s">
        <v>150</v>
      </c>
      <c r="E1475" t="s">
        <v>1</v>
      </c>
      <c r="F1475" t="s">
        <v>5729</v>
      </c>
      <c r="G1475" s="1" t="s">
        <v>5730</v>
      </c>
      <c r="H1475" s="1" t="s">
        <v>1927</v>
      </c>
    </row>
    <row r="1476" spans="1:8" x14ac:dyDescent="0.3">
      <c r="A1476" t="s">
        <v>7432</v>
      </c>
      <c r="B1476" t="s">
        <v>7432</v>
      </c>
      <c r="C1476" t="s">
        <v>524</v>
      </c>
      <c r="D1476" t="s">
        <v>150</v>
      </c>
      <c r="E1476" t="s">
        <v>1</v>
      </c>
      <c r="F1476" t="s">
        <v>5729</v>
      </c>
      <c r="G1476" s="1" t="s">
        <v>5730</v>
      </c>
      <c r="H1476" s="1" t="s">
        <v>1923</v>
      </c>
    </row>
    <row r="1477" spans="1:8" x14ac:dyDescent="0.3">
      <c r="A1477" t="s">
        <v>7433</v>
      </c>
      <c r="B1477" t="s">
        <v>7433</v>
      </c>
      <c r="C1477" t="s">
        <v>845</v>
      </c>
      <c r="D1477" t="s">
        <v>150</v>
      </c>
      <c r="E1477" t="s">
        <v>1</v>
      </c>
      <c r="F1477" t="s">
        <v>5729</v>
      </c>
      <c r="G1477" s="1" t="s">
        <v>5730</v>
      </c>
      <c r="H1477" s="1" t="s">
        <v>1927</v>
      </c>
    </row>
    <row r="1478" spans="1:8" x14ac:dyDescent="0.3">
      <c r="A1478" t="s">
        <v>7434</v>
      </c>
      <c r="B1478" t="s">
        <v>7434</v>
      </c>
      <c r="C1478" t="s">
        <v>786</v>
      </c>
      <c r="D1478" t="s">
        <v>150</v>
      </c>
      <c r="E1478" t="s">
        <v>1</v>
      </c>
      <c r="F1478" t="s">
        <v>5729</v>
      </c>
      <c r="G1478" s="1" t="s">
        <v>5730</v>
      </c>
      <c r="H1478" s="1" t="s">
        <v>1923</v>
      </c>
    </row>
    <row r="1479" spans="1:8" x14ac:dyDescent="0.3">
      <c r="A1479" t="s">
        <v>7435</v>
      </c>
      <c r="B1479" t="s">
        <v>7435</v>
      </c>
      <c r="C1479" t="s">
        <v>4965</v>
      </c>
      <c r="D1479" t="s">
        <v>111</v>
      </c>
      <c r="E1479" t="s">
        <v>1</v>
      </c>
      <c r="F1479" t="s">
        <v>5729</v>
      </c>
      <c r="G1479" s="1" t="s">
        <v>5730</v>
      </c>
      <c r="H1479" s="1" t="s">
        <v>1856</v>
      </c>
    </row>
    <row r="1480" spans="1:8" x14ac:dyDescent="0.3">
      <c r="A1480" t="s">
        <v>7436</v>
      </c>
      <c r="B1480" t="s">
        <v>7436</v>
      </c>
      <c r="C1480" t="s">
        <v>4968</v>
      </c>
      <c r="D1480" t="s">
        <v>111</v>
      </c>
      <c r="E1480" t="s">
        <v>1</v>
      </c>
      <c r="F1480" t="s">
        <v>5781</v>
      </c>
      <c r="G1480" s="1" t="s">
        <v>5730</v>
      </c>
      <c r="H1480" s="1" t="s">
        <v>1856</v>
      </c>
    </row>
    <row r="1481" spans="1:8" x14ac:dyDescent="0.3">
      <c r="A1481" t="s">
        <v>7437</v>
      </c>
      <c r="B1481" t="s">
        <v>7437</v>
      </c>
      <c r="C1481" t="s">
        <v>4970</v>
      </c>
      <c r="D1481" t="s">
        <v>111</v>
      </c>
      <c r="E1481" t="s">
        <v>1</v>
      </c>
      <c r="F1481" t="s">
        <v>5729</v>
      </c>
      <c r="G1481" s="1" t="s">
        <v>5730</v>
      </c>
      <c r="H1481" s="1" t="s">
        <v>1927</v>
      </c>
    </row>
    <row r="1482" spans="1:8" x14ac:dyDescent="0.3">
      <c r="A1482" t="s">
        <v>7438</v>
      </c>
      <c r="B1482" t="s">
        <v>7438</v>
      </c>
      <c r="C1482" t="s">
        <v>7439</v>
      </c>
      <c r="D1482" t="s">
        <v>111</v>
      </c>
      <c r="E1482" t="s">
        <v>1</v>
      </c>
      <c r="F1482" t="s">
        <v>5729</v>
      </c>
      <c r="G1482" s="1" t="s">
        <v>5730</v>
      </c>
      <c r="H1482" s="1" t="s">
        <v>1874</v>
      </c>
    </row>
    <row r="1483" spans="1:8" x14ac:dyDescent="0.3">
      <c r="A1483" t="s">
        <v>7440</v>
      </c>
      <c r="B1483" t="s">
        <v>7440</v>
      </c>
      <c r="C1483" t="s">
        <v>4975</v>
      </c>
      <c r="D1483" t="s">
        <v>111</v>
      </c>
      <c r="E1483" t="s">
        <v>1</v>
      </c>
      <c r="F1483" t="s">
        <v>5729</v>
      </c>
      <c r="G1483" s="1" t="s">
        <v>5730</v>
      </c>
      <c r="H1483" s="1" t="s">
        <v>1856</v>
      </c>
    </row>
    <row r="1484" spans="1:8" x14ac:dyDescent="0.3">
      <c r="A1484" t="s">
        <v>7441</v>
      </c>
      <c r="B1484" t="s">
        <v>7441</v>
      </c>
      <c r="C1484" t="s">
        <v>4977</v>
      </c>
      <c r="D1484" t="s">
        <v>111</v>
      </c>
      <c r="E1484" t="s">
        <v>1</v>
      </c>
      <c r="F1484" t="s">
        <v>5729</v>
      </c>
      <c r="G1484" s="1" t="s">
        <v>5730</v>
      </c>
      <c r="H1484" s="1" t="s">
        <v>1874</v>
      </c>
    </row>
    <row r="1485" spans="1:8" x14ac:dyDescent="0.3">
      <c r="A1485" t="s">
        <v>7442</v>
      </c>
      <c r="B1485" t="s">
        <v>7442</v>
      </c>
      <c r="C1485" t="s">
        <v>4979</v>
      </c>
      <c r="D1485" t="s">
        <v>111</v>
      </c>
      <c r="E1485" t="s">
        <v>1</v>
      </c>
      <c r="F1485" t="s">
        <v>5729</v>
      </c>
      <c r="G1485" s="1" t="s">
        <v>5730</v>
      </c>
      <c r="H1485" s="1" t="s">
        <v>1856</v>
      </c>
    </row>
    <row r="1486" spans="1:8" x14ac:dyDescent="0.3">
      <c r="A1486" t="s">
        <v>7443</v>
      </c>
      <c r="B1486" t="s">
        <v>7443</v>
      </c>
      <c r="C1486" t="s">
        <v>7444</v>
      </c>
      <c r="D1486" t="s">
        <v>111</v>
      </c>
      <c r="E1486" t="s">
        <v>1</v>
      </c>
      <c r="F1486" t="s">
        <v>5729</v>
      </c>
      <c r="G1486" s="1" t="s">
        <v>5730</v>
      </c>
      <c r="H1486" s="1" t="s">
        <v>1893</v>
      </c>
    </row>
    <row r="1487" spans="1:8" x14ac:dyDescent="0.3">
      <c r="A1487" t="s">
        <v>7445</v>
      </c>
      <c r="B1487" t="s">
        <v>7445</v>
      </c>
      <c r="C1487" t="s">
        <v>4983</v>
      </c>
      <c r="D1487" t="s">
        <v>111</v>
      </c>
      <c r="E1487" t="s">
        <v>1</v>
      </c>
      <c r="F1487" t="s">
        <v>5729</v>
      </c>
      <c r="G1487" s="1" t="s">
        <v>5730</v>
      </c>
      <c r="H1487" s="1" t="s">
        <v>1856</v>
      </c>
    </row>
    <row r="1488" spans="1:8" x14ac:dyDescent="0.3">
      <c r="A1488" t="s">
        <v>7446</v>
      </c>
      <c r="B1488" t="s">
        <v>7446</v>
      </c>
      <c r="C1488" t="s">
        <v>7447</v>
      </c>
      <c r="D1488" t="s">
        <v>111</v>
      </c>
      <c r="E1488" t="s">
        <v>1</v>
      </c>
      <c r="F1488" t="s">
        <v>5729</v>
      </c>
      <c r="G1488" s="1" t="s">
        <v>5730</v>
      </c>
      <c r="H1488" s="1" t="s">
        <v>1874</v>
      </c>
    </row>
    <row r="1489" spans="1:8" x14ac:dyDescent="0.3">
      <c r="A1489" t="s">
        <v>7448</v>
      </c>
      <c r="B1489" t="s">
        <v>7448</v>
      </c>
      <c r="C1489" t="s">
        <v>7449</v>
      </c>
      <c r="D1489" t="s">
        <v>111</v>
      </c>
      <c r="E1489" t="s">
        <v>1</v>
      </c>
      <c r="F1489" t="s">
        <v>5729</v>
      </c>
      <c r="G1489" s="1" t="s">
        <v>5730</v>
      </c>
      <c r="H1489" s="1" t="s">
        <v>1927</v>
      </c>
    </row>
    <row r="1490" spans="1:8" hidden="1" x14ac:dyDescent="0.3">
      <c r="A1490" t="s">
        <v>7450</v>
      </c>
      <c r="B1490" t="s">
        <v>7450</v>
      </c>
      <c r="C1490" t="s">
        <v>202</v>
      </c>
      <c r="D1490" t="s">
        <v>4739</v>
      </c>
      <c r="E1490" t="s">
        <v>17</v>
      </c>
      <c r="F1490" t="s">
        <v>5734</v>
      </c>
      <c r="G1490" s="1" t="s">
        <v>5730</v>
      </c>
      <c r="H1490" s="1" t="s">
        <v>1856</v>
      </c>
    </row>
    <row r="1491" spans="1:8" hidden="1" x14ac:dyDescent="0.3">
      <c r="A1491" t="s">
        <v>7451</v>
      </c>
      <c r="B1491" t="s">
        <v>7451</v>
      </c>
      <c r="C1491" t="s">
        <v>7452</v>
      </c>
      <c r="D1491" t="s">
        <v>4739</v>
      </c>
      <c r="E1491" t="s">
        <v>17</v>
      </c>
      <c r="F1491" t="s">
        <v>5747</v>
      </c>
      <c r="G1491" s="1" t="s">
        <v>1855</v>
      </c>
      <c r="H1491" s="1" t="s">
        <v>1856</v>
      </c>
    </row>
    <row r="1492" spans="1:8" hidden="1" x14ac:dyDescent="0.3">
      <c r="A1492" t="s">
        <v>7453</v>
      </c>
      <c r="B1492" t="s">
        <v>7453</v>
      </c>
      <c r="C1492" t="s">
        <v>4741</v>
      </c>
      <c r="D1492" t="s">
        <v>4739</v>
      </c>
      <c r="E1492" t="s">
        <v>17</v>
      </c>
      <c r="F1492" t="s">
        <v>5734</v>
      </c>
      <c r="G1492" s="1" t="s">
        <v>1961</v>
      </c>
      <c r="H1492" s="1" t="s">
        <v>1927</v>
      </c>
    </row>
    <row r="1493" spans="1:8" hidden="1" x14ac:dyDescent="0.3">
      <c r="A1493" t="s">
        <v>7454</v>
      </c>
      <c r="B1493" t="s">
        <v>7454</v>
      </c>
      <c r="C1493" t="s">
        <v>366</v>
      </c>
      <c r="D1493" t="s">
        <v>4739</v>
      </c>
      <c r="E1493" t="s">
        <v>17</v>
      </c>
      <c r="F1493" t="s">
        <v>5734</v>
      </c>
      <c r="G1493" s="1" t="s">
        <v>5730</v>
      </c>
      <c r="H1493" s="1" t="s">
        <v>1927</v>
      </c>
    </row>
    <row r="1494" spans="1:8" hidden="1" x14ac:dyDescent="0.3">
      <c r="A1494" t="s">
        <v>7455</v>
      </c>
      <c r="B1494" t="s">
        <v>7455</v>
      </c>
      <c r="C1494" t="s">
        <v>520</v>
      </c>
      <c r="D1494" t="s">
        <v>4739</v>
      </c>
      <c r="E1494" t="s">
        <v>17</v>
      </c>
      <c r="F1494" t="s">
        <v>5729</v>
      </c>
      <c r="G1494" s="1" t="s">
        <v>5730</v>
      </c>
      <c r="H1494" s="1" t="s">
        <v>1874</v>
      </c>
    </row>
    <row r="1495" spans="1:8" hidden="1" x14ac:dyDescent="0.3">
      <c r="A1495" t="s">
        <v>7456</v>
      </c>
      <c r="B1495" t="s">
        <v>7456</v>
      </c>
      <c r="C1495" t="s">
        <v>587</v>
      </c>
      <c r="D1495" t="s">
        <v>4739</v>
      </c>
      <c r="E1495" t="s">
        <v>17</v>
      </c>
      <c r="F1495" t="s">
        <v>5729</v>
      </c>
      <c r="G1495" s="1" t="s">
        <v>5730</v>
      </c>
      <c r="H1495" s="1" t="s">
        <v>1927</v>
      </c>
    </row>
    <row r="1496" spans="1:8" hidden="1" x14ac:dyDescent="0.3">
      <c r="A1496" t="s">
        <v>7457</v>
      </c>
      <c r="B1496" t="s">
        <v>7457</v>
      </c>
      <c r="C1496" t="s">
        <v>4746</v>
      </c>
      <c r="D1496" t="s">
        <v>4739</v>
      </c>
      <c r="E1496" t="s">
        <v>17</v>
      </c>
      <c r="F1496" t="s">
        <v>5729</v>
      </c>
      <c r="G1496" s="1" t="s">
        <v>5730</v>
      </c>
      <c r="H1496" s="1" t="s">
        <v>1856</v>
      </c>
    </row>
    <row r="1497" spans="1:8" hidden="1" x14ac:dyDescent="0.3">
      <c r="A1497" t="s">
        <v>7458</v>
      </c>
      <c r="B1497" t="s">
        <v>7458</v>
      </c>
      <c r="C1497" t="s">
        <v>719</v>
      </c>
      <c r="D1497" t="s">
        <v>4739</v>
      </c>
      <c r="E1497" t="s">
        <v>17</v>
      </c>
      <c r="F1497" t="s">
        <v>5729</v>
      </c>
      <c r="G1497" s="1" t="s">
        <v>5730</v>
      </c>
      <c r="H1497" s="1" t="s">
        <v>1923</v>
      </c>
    </row>
    <row r="1498" spans="1:8" hidden="1" x14ac:dyDescent="0.3">
      <c r="A1498" t="s">
        <v>7459</v>
      </c>
      <c r="B1498" t="s">
        <v>7459</v>
      </c>
      <c r="C1498" t="s">
        <v>783</v>
      </c>
      <c r="D1498" t="s">
        <v>4739</v>
      </c>
      <c r="E1498" t="s">
        <v>17</v>
      </c>
      <c r="F1498" t="s">
        <v>5729</v>
      </c>
      <c r="G1498" s="1" t="s">
        <v>5730</v>
      </c>
      <c r="H1498" s="1" t="s">
        <v>1856</v>
      </c>
    </row>
    <row r="1499" spans="1:8" hidden="1" x14ac:dyDescent="0.3">
      <c r="A1499" t="s">
        <v>7460</v>
      </c>
      <c r="B1499" t="s">
        <v>7460</v>
      </c>
      <c r="C1499" t="s">
        <v>897</v>
      </c>
      <c r="D1499" t="s">
        <v>4739</v>
      </c>
      <c r="E1499" t="s">
        <v>17</v>
      </c>
      <c r="F1499" t="s">
        <v>5729</v>
      </c>
      <c r="G1499" s="1" t="s">
        <v>5730</v>
      </c>
      <c r="H1499" s="1" t="s">
        <v>1856</v>
      </c>
    </row>
    <row r="1500" spans="1:8" hidden="1" x14ac:dyDescent="0.3">
      <c r="A1500" t="s">
        <v>7461</v>
      </c>
      <c r="B1500" t="s">
        <v>7461</v>
      </c>
      <c r="C1500" t="s">
        <v>951</v>
      </c>
      <c r="D1500" t="s">
        <v>4739</v>
      </c>
      <c r="E1500" t="s">
        <v>17</v>
      </c>
      <c r="F1500" t="s">
        <v>5729</v>
      </c>
      <c r="G1500" s="1" t="s">
        <v>5730</v>
      </c>
      <c r="H1500" s="1" t="s">
        <v>1856</v>
      </c>
    </row>
    <row r="1501" spans="1:8" hidden="1" x14ac:dyDescent="0.3">
      <c r="A1501" t="s">
        <v>7462</v>
      </c>
      <c r="B1501" t="s">
        <v>7462</v>
      </c>
      <c r="C1501" t="s">
        <v>4752</v>
      </c>
      <c r="D1501" t="s">
        <v>4739</v>
      </c>
      <c r="E1501" t="s">
        <v>17</v>
      </c>
      <c r="F1501" t="s">
        <v>5729</v>
      </c>
      <c r="G1501" s="1" t="s">
        <v>5730</v>
      </c>
      <c r="H1501" s="1" t="s">
        <v>1923</v>
      </c>
    </row>
    <row r="1502" spans="1:8" hidden="1" x14ac:dyDescent="0.3">
      <c r="A1502" t="s">
        <v>7463</v>
      </c>
      <c r="B1502" t="s">
        <v>7463</v>
      </c>
      <c r="C1502" t="s">
        <v>4755</v>
      </c>
      <c r="D1502" t="s">
        <v>4754</v>
      </c>
      <c r="E1502" t="s">
        <v>17</v>
      </c>
      <c r="F1502" t="s">
        <v>5734</v>
      </c>
      <c r="G1502" s="1" t="s">
        <v>1961</v>
      </c>
      <c r="H1502" s="1" t="s">
        <v>1856</v>
      </c>
    </row>
    <row r="1503" spans="1:8" hidden="1" x14ac:dyDescent="0.3">
      <c r="A1503" t="s">
        <v>7464</v>
      </c>
      <c r="B1503" t="s">
        <v>7464</v>
      </c>
      <c r="C1503" t="s">
        <v>229</v>
      </c>
      <c r="D1503" t="s">
        <v>4754</v>
      </c>
      <c r="E1503" t="s">
        <v>17</v>
      </c>
      <c r="F1503" t="s">
        <v>5729</v>
      </c>
      <c r="G1503" s="1" t="s">
        <v>5730</v>
      </c>
      <c r="H1503" s="1" t="s">
        <v>1856</v>
      </c>
    </row>
    <row r="1504" spans="1:8" hidden="1" x14ac:dyDescent="0.3">
      <c r="A1504" t="s">
        <v>7465</v>
      </c>
      <c r="B1504" t="s">
        <v>7465</v>
      </c>
      <c r="C1504" t="s">
        <v>376</v>
      </c>
      <c r="D1504" t="s">
        <v>4754</v>
      </c>
      <c r="E1504" t="s">
        <v>17</v>
      </c>
      <c r="F1504" t="s">
        <v>5734</v>
      </c>
      <c r="G1504" s="1" t="s">
        <v>5730</v>
      </c>
      <c r="H1504" s="1" t="s">
        <v>1856</v>
      </c>
    </row>
    <row r="1505" spans="1:8" hidden="1" x14ac:dyDescent="0.3">
      <c r="A1505" t="s">
        <v>7466</v>
      </c>
      <c r="B1505" t="s">
        <v>7466</v>
      </c>
      <c r="C1505" t="s">
        <v>1901</v>
      </c>
      <c r="D1505" t="s">
        <v>4754</v>
      </c>
      <c r="E1505" t="s">
        <v>17</v>
      </c>
      <c r="F1505" t="s">
        <v>5781</v>
      </c>
      <c r="G1505" s="1" t="s">
        <v>5730</v>
      </c>
      <c r="H1505" s="1" t="s">
        <v>1856</v>
      </c>
    </row>
    <row r="1506" spans="1:8" hidden="1" x14ac:dyDescent="0.3">
      <c r="A1506" t="s">
        <v>7467</v>
      </c>
      <c r="B1506" t="s">
        <v>7467</v>
      </c>
      <c r="C1506" t="s">
        <v>523</v>
      </c>
      <c r="D1506" t="s">
        <v>4754</v>
      </c>
      <c r="E1506" t="s">
        <v>17</v>
      </c>
      <c r="F1506" t="s">
        <v>5729</v>
      </c>
      <c r="G1506" s="1" t="s">
        <v>5730</v>
      </c>
      <c r="H1506" s="1" t="s">
        <v>1856</v>
      </c>
    </row>
    <row r="1507" spans="1:8" hidden="1" x14ac:dyDescent="0.3">
      <c r="A1507" t="s">
        <v>7468</v>
      </c>
      <c r="B1507" t="s">
        <v>7468</v>
      </c>
      <c r="C1507" t="s">
        <v>7469</v>
      </c>
      <c r="D1507" t="s">
        <v>4754</v>
      </c>
      <c r="E1507" t="s">
        <v>17</v>
      </c>
      <c r="F1507" t="s">
        <v>5734</v>
      </c>
      <c r="G1507" s="1" t="s">
        <v>5730</v>
      </c>
      <c r="H1507" s="1" t="s">
        <v>1856</v>
      </c>
    </row>
    <row r="1508" spans="1:8" hidden="1" x14ac:dyDescent="0.3">
      <c r="A1508" t="s">
        <v>7470</v>
      </c>
      <c r="B1508" t="s">
        <v>7470</v>
      </c>
      <c r="C1508" t="s">
        <v>656</v>
      </c>
      <c r="D1508" t="s">
        <v>4754</v>
      </c>
      <c r="E1508" t="s">
        <v>17</v>
      </c>
      <c r="F1508" t="s">
        <v>5734</v>
      </c>
      <c r="G1508" s="1" t="s">
        <v>5730</v>
      </c>
      <c r="H1508" s="1" t="s">
        <v>1856</v>
      </c>
    </row>
    <row r="1509" spans="1:8" hidden="1" x14ac:dyDescent="0.3">
      <c r="A1509" t="s">
        <v>7471</v>
      </c>
      <c r="B1509" t="s">
        <v>7471</v>
      </c>
      <c r="C1509" t="s">
        <v>6672</v>
      </c>
      <c r="D1509" t="s">
        <v>4754</v>
      </c>
      <c r="E1509" t="s">
        <v>17</v>
      </c>
      <c r="F1509" t="s">
        <v>5781</v>
      </c>
      <c r="G1509" s="1" t="s">
        <v>5730</v>
      </c>
      <c r="H1509" s="1" t="s">
        <v>1856</v>
      </c>
    </row>
    <row r="1510" spans="1:8" hidden="1" x14ac:dyDescent="0.3">
      <c r="A1510" t="s">
        <v>7472</v>
      </c>
      <c r="B1510" t="s">
        <v>7472</v>
      </c>
      <c r="C1510" t="s">
        <v>2671</v>
      </c>
      <c r="D1510" t="s">
        <v>4754</v>
      </c>
      <c r="E1510" t="s">
        <v>17</v>
      </c>
      <c r="F1510" t="s">
        <v>5729</v>
      </c>
      <c r="G1510" s="1" t="s">
        <v>5730</v>
      </c>
      <c r="H1510" s="1" t="s">
        <v>1856</v>
      </c>
    </row>
    <row r="1511" spans="1:8" hidden="1" x14ac:dyDescent="0.3">
      <c r="A1511" t="s">
        <v>7473</v>
      </c>
      <c r="B1511" t="s">
        <v>7473</v>
      </c>
      <c r="C1511" t="s">
        <v>4765</v>
      </c>
      <c r="D1511" t="s">
        <v>4754</v>
      </c>
      <c r="E1511" t="s">
        <v>17</v>
      </c>
      <c r="F1511" t="s">
        <v>5729</v>
      </c>
      <c r="G1511" s="1" t="s">
        <v>5730</v>
      </c>
      <c r="H1511" s="1" t="s">
        <v>1856</v>
      </c>
    </row>
    <row r="1512" spans="1:8" hidden="1" x14ac:dyDescent="0.3">
      <c r="A1512" t="s">
        <v>7474</v>
      </c>
      <c r="B1512" t="s">
        <v>7474</v>
      </c>
      <c r="C1512" t="s">
        <v>952</v>
      </c>
      <c r="D1512" t="s">
        <v>4754</v>
      </c>
      <c r="E1512" t="s">
        <v>17</v>
      </c>
      <c r="F1512" t="s">
        <v>5729</v>
      </c>
      <c r="G1512" s="1" t="s">
        <v>5730</v>
      </c>
      <c r="H1512" s="1" t="s">
        <v>1856</v>
      </c>
    </row>
    <row r="1513" spans="1:8" hidden="1" x14ac:dyDescent="0.3">
      <c r="A1513" t="s">
        <v>7475</v>
      </c>
      <c r="B1513" t="s">
        <v>7475</v>
      </c>
      <c r="C1513" t="s">
        <v>996</v>
      </c>
      <c r="D1513" t="s">
        <v>4754</v>
      </c>
      <c r="E1513" t="s">
        <v>17</v>
      </c>
      <c r="F1513" t="s">
        <v>5729</v>
      </c>
      <c r="G1513" s="1" t="s">
        <v>5730</v>
      </c>
      <c r="H1513" s="1" t="s">
        <v>1856</v>
      </c>
    </row>
    <row r="1514" spans="1:8" hidden="1" x14ac:dyDescent="0.3">
      <c r="A1514" t="s">
        <v>7476</v>
      </c>
      <c r="B1514" t="s">
        <v>7476</v>
      </c>
      <c r="C1514" t="s">
        <v>1045</v>
      </c>
      <c r="D1514" t="s">
        <v>4754</v>
      </c>
      <c r="E1514" t="s">
        <v>17</v>
      </c>
      <c r="F1514" t="s">
        <v>5729</v>
      </c>
      <c r="G1514" s="1" t="s">
        <v>5730</v>
      </c>
      <c r="H1514" s="1" t="s">
        <v>1856</v>
      </c>
    </row>
    <row r="1515" spans="1:8" hidden="1" x14ac:dyDescent="0.3">
      <c r="A1515" t="s">
        <v>7477</v>
      </c>
      <c r="B1515" t="s">
        <v>7477</v>
      </c>
      <c r="C1515" t="s">
        <v>898</v>
      </c>
      <c r="D1515" t="s">
        <v>4754</v>
      </c>
      <c r="E1515" t="s">
        <v>17</v>
      </c>
      <c r="F1515" t="s">
        <v>5729</v>
      </c>
      <c r="G1515" s="1" t="s">
        <v>5730</v>
      </c>
      <c r="H1515" s="1" t="s">
        <v>1856</v>
      </c>
    </row>
    <row r="1516" spans="1:8" hidden="1" x14ac:dyDescent="0.3">
      <c r="A1516" t="s">
        <v>7478</v>
      </c>
      <c r="B1516" t="s">
        <v>7478</v>
      </c>
      <c r="C1516" t="s">
        <v>230</v>
      </c>
      <c r="D1516" t="s">
        <v>4771</v>
      </c>
      <c r="E1516" t="s">
        <v>17</v>
      </c>
      <c r="F1516" t="s">
        <v>5729</v>
      </c>
      <c r="G1516" s="1" t="s">
        <v>5730</v>
      </c>
      <c r="H1516" s="1" t="s">
        <v>1923</v>
      </c>
    </row>
    <row r="1517" spans="1:8" hidden="1" x14ac:dyDescent="0.3">
      <c r="A1517" t="s">
        <v>7479</v>
      </c>
      <c r="B1517" t="s">
        <v>7479</v>
      </c>
      <c r="C1517" t="s">
        <v>303</v>
      </c>
      <c r="D1517" t="s">
        <v>4771</v>
      </c>
      <c r="E1517" t="s">
        <v>17</v>
      </c>
      <c r="F1517" t="s">
        <v>5729</v>
      </c>
      <c r="G1517" s="1" t="s">
        <v>5730</v>
      </c>
      <c r="H1517" s="1" t="s">
        <v>1923</v>
      </c>
    </row>
    <row r="1518" spans="1:8" hidden="1" x14ac:dyDescent="0.3">
      <c r="A1518" t="s">
        <v>7480</v>
      </c>
      <c r="B1518" t="s">
        <v>7480</v>
      </c>
      <c r="C1518" t="s">
        <v>377</v>
      </c>
      <c r="D1518" t="s">
        <v>4771</v>
      </c>
      <c r="E1518" t="s">
        <v>17</v>
      </c>
      <c r="F1518" t="s">
        <v>5729</v>
      </c>
      <c r="G1518" s="1" t="s">
        <v>5730</v>
      </c>
      <c r="H1518" s="1" t="s">
        <v>1893</v>
      </c>
    </row>
    <row r="1519" spans="1:8" hidden="1" x14ac:dyDescent="0.3">
      <c r="A1519" t="s">
        <v>7481</v>
      </c>
      <c r="B1519" t="s">
        <v>7481</v>
      </c>
      <c r="C1519" t="s">
        <v>522</v>
      </c>
      <c r="D1519" t="s">
        <v>4771</v>
      </c>
      <c r="E1519" t="s">
        <v>17</v>
      </c>
      <c r="F1519" t="s">
        <v>5729</v>
      </c>
      <c r="G1519" s="1" t="s">
        <v>5730</v>
      </c>
      <c r="H1519" s="1" t="s">
        <v>1856</v>
      </c>
    </row>
    <row r="1520" spans="1:8" hidden="1" x14ac:dyDescent="0.3">
      <c r="A1520" t="s">
        <v>7482</v>
      </c>
      <c r="B1520" t="s">
        <v>7482</v>
      </c>
      <c r="C1520" t="s">
        <v>589</v>
      </c>
      <c r="D1520" t="s">
        <v>4771</v>
      </c>
      <c r="E1520" t="s">
        <v>17</v>
      </c>
      <c r="F1520" t="s">
        <v>5729</v>
      </c>
      <c r="G1520" s="1" t="s">
        <v>5730</v>
      </c>
      <c r="H1520" s="1" t="s">
        <v>1874</v>
      </c>
    </row>
    <row r="1521" spans="1:8" hidden="1" x14ac:dyDescent="0.3">
      <c r="A1521" t="s">
        <v>7483</v>
      </c>
      <c r="B1521" t="s">
        <v>7483</v>
      </c>
      <c r="C1521" t="s">
        <v>4777</v>
      </c>
      <c r="D1521" t="s">
        <v>4771</v>
      </c>
      <c r="E1521" t="s">
        <v>17</v>
      </c>
      <c r="F1521" t="s">
        <v>5729</v>
      </c>
      <c r="G1521" s="1" t="s">
        <v>5730</v>
      </c>
      <c r="H1521" s="1" t="s">
        <v>1927</v>
      </c>
    </row>
    <row r="1522" spans="1:8" hidden="1" x14ac:dyDescent="0.3">
      <c r="A1522" t="s">
        <v>7484</v>
      </c>
      <c r="B1522" t="s">
        <v>7484</v>
      </c>
      <c r="C1522" t="s">
        <v>2999</v>
      </c>
      <c r="D1522" t="s">
        <v>4771</v>
      </c>
      <c r="E1522" t="s">
        <v>17</v>
      </c>
      <c r="F1522" t="s">
        <v>5729</v>
      </c>
      <c r="G1522" s="1" t="s">
        <v>5730</v>
      </c>
      <c r="H1522" s="1" t="s">
        <v>1927</v>
      </c>
    </row>
    <row r="1523" spans="1:8" hidden="1" x14ac:dyDescent="0.3">
      <c r="A1523" t="s">
        <v>7485</v>
      </c>
      <c r="B1523" t="s">
        <v>7485</v>
      </c>
      <c r="C1523" t="s">
        <v>784</v>
      </c>
      <c r="D1523" t="s">
        <v>4771</v>
      </c>
      <c r="E1523" t="s">
        <v>17</v>
      </c>
      <c r="F1523" t="s">
        <v>5729</v>
      </c>
      <c r="G1523" s="1" t="s">
        <v>5730</v>
      </c>
      <c r="H1523" s="1" t="s">
        <v>1927</v>
      </c>
    </row>
    <row r="1524" spans="1:8" hidden="1" x14ac:dyDescent="0.3">
      <c r="A1524" t="s">
        <v>7486</v>
      </c>
      <c r="B1524" t="s">
        <v>7486</v>
      </c>
      <c r="C1524" t="s">
        <v>843</v>
      </c>
      <c r="D1524" t="s">
        <v>4771</v>
      </c>
      <c r="E1524" t="s">
        <v>17</v>
      </c>
      <c r="F1524" t="s">
        <v>5729</v>
      </c>
      <c r="G1524" s="1" t="s">
        <v>5730</v>
      </c>
      <c r="H1524" s="1" t="s">
        <v>1927</v>
      </c>
    </row>
    <row r="1525" spans="1:8" hidden="1" x14ac:dyDescent="0.3">
      <c r="A1525" t="s">
        <v>7487</v>
      </c>
      <c r="B1525" t="s">
        <v>7487</v>
      </c>
      <c r="C1525" t="s">
        <v>899</v>
      </c>
      <c r="D1525" t="s">
        <v>4771</v>
      </c>
      <c r="E1525" t="s">
        <v>17</v>
      </c>
      <c r="F1525" t="s">
        <v>5729</v>
      </c>
      <c r="G1525" s="1" t="s">
        <v>5730</v>
      </c>
      <c r="H1525" s="1" t="s">
        <v>1923</v>
      </c>
    </row>
    <row r="1526" spans="1:8" hidden="1" x14ac:dyDescent="0.3">
      <c r="A1526" t="s">
        <v>7488</v>
      </c>
      <c r="B1526" t="s">
        <v>7488</v>
      </c>
      <c r="C1526" t="s">
        <v>855</v>
      </c>
      <c r="D1526" t="s">
        <v>4771</v>
      </c>
      <c r="E1526" t="s">
        <v>17</v>
      </c>
      <c r="F1526" t="s">
        <v>5734</v>
      </c>
      <c r="G1526" s="1" t="s">
        <v>5730</v>
      </c>
      <c r="H1526" s="1" t="s">
        <v>1923</v>
      </c>
    </row>
    <row r="1527" spans="1:8" hidden="1" x14ac:dyDescent="0.3">
      <c r="A1527" t="s">
        <v>7489</v>
      </c>
      <c r="B1527" t="s">
        <v>7489</v>
      </c>
      <c r="C1527" t="s">
        <v>997</v>
      </c>
      <c r="D1527" t="s">
        <v>4771</v>
      </c>
      <c r="E1527" t="s">
        <v>17</v>
      </c>
      <c r="F1527" t="s">
        <v>5734</v>
      </c>
      <c r="G1527" s="1" t="s">
        <v>5730</v>
      </c>
      <c r="H1527" s="1" t="s">
        <v>1927</v>
      </c>
    </row>
    <row r="1528" spans="1:8" hidden="1" x14ac:dyDescent="0.3">
      <c r="A1528" t="s">
        <v>7490</v>
      </c>
      <c r="B1528" t="s">
        <v>7490</v>
      </c>
      <c r="C1528" t="s">
        <v>4785</v>
      </c>
      <c r="D1528" t="s">
        <v>4771</v>
      </c>
      <c r="E1528" t="s">
        <v>17</v>
      </c>
      <c r="F1528" t="s">
        <v>5729</v>
      </c>
      <c r="G1528" s="1" t="s">
        <v>5730</v>
      </c>
      <c r="H1528" s="1" t="s">
        <v>1893</v>
      </c>
    </row>
    <row r="1529" spans="1:8" hidden="1" x14ac:dyDescent="0.3">
      <c r="A1529" t="s">
        <v>7491</v>
      </c>
      <c r="B1529" t="s">
        <v>7491</v>
      </c>
      <c r="C1529" t="s">
        <v>7492</v>
      </c>
      <c r="D1529" t="s">
        <v>4771</v>
      </c>
      <c r="E1529" t="s">
        <v>17</v>
      </c>
      <c r="F1529" t="s">
        <v>5734</v>
      </c>
      <c r="G1529" s="1" t="s">
        <v>5730</v>
      </c>
      <c r="H1529" s="1" t="s">
        <v>1923</v>
      </c>
    </row>
    <row r="1530" spans="1:8" hidden="1" x14ac:dyDescent="0.3">
      <c r="A1530" t="s">
        <v>7493</v>
      </c>
      <c r="B1530" t="s">
        <v>7493</v>
      </c>
      <c r="C1530" t="s">
        <v>1916</v>
      </c>
      <c r="D1530" t="s">
        <v>4771</v>
      </c>
      <c r="E1530" t="s">
        <v>17</v>
      </c>
      <c r="F1530" t="s">
        <v>5781</v>
      </c>
      <c r="G1530" s="1" t="s">
        <v>5730</v>
      </c>
      <c r="H1530" s="1" t="s">
        <v>1893</v>
      </c>
    </row>
    <row r="1531" spans="1:8" hidden="1" x14ac:dyDescent="0.3">
      <c r="A1531" t="s">
        <v>7494</v>
      </c>
      <c r="B1531" t="s">
        <v>7494</v>
      </c>
      <c r="C1531" t="s">
        <v>7495</v>
      </c>
      <c r="D1531" t="s">
        <v>4771</v>
      </c>
      <c r="E1531" t="s">
        <v>17</v>
      </c>
      <c r="F1531" t="s">
        <v>5729</v>
      </c>
      <c r="G1531" s="1" t="s">
        <v>5730</v>
      </c>
      <c r="H1531" s="1" t="s">
        <v>1893</v>
      </c>
    </row>
    <row r="1532" spans="1:8" hidden="1" x14ac:dyDescent="0.3">
      <c r="A1532" t="s">
        <v>7496</v>
      </c>
      <c r="B1532" t="s">
        <v>7496</v>
      </c>
      <c r="C1532" t="s">
        <v>1189</v>
      </c>
      <c r="D1532" t="s">
        <v>4771</v>
      </c>
      <c r="E1532" t="s">
        <v>17</v>
      </c>
      <c r="F1532" t="s">
        <v>5729</v>
      </c>
      <c r="G1532" s="1" t="s">
        <v>5730</v>
      </c>
      <c r="H1532" s="1" t="s">
        <v>1923</v>
      </c>
    </row>
    <row r="1533" spans="1:8" hidden="1" x14ac:dyDescent="0.3">
      <c r="A1533" t="s">
        <v>7497</v>
      </c>
      <c r="B1533" t="s">
        <v>7497</v>
      </c>
      <c r="C1533" t="s">
        <v>1019</v>
      </c>
      <c r="D1533" t="s">
        <v>4771</v>
      </c>
      <c r="E1533" t="s">
        <v>17</v>
      </c>
      <c r="F1533" t="s">
        <v>5729</v>
      </c>
      <c r="G1533" s="1" t="s">
        <v>5730</v>
      </c>
      <c r="H1533" s="1" t="s">
        <v>1927</v>
      </c>
    </row>
    <row r="1534" spans="1:8" hidden="1" x14ac:dyDescent="0.3">
      <c r="A1534" t="s">
        <v>7498</v>
      </c>
      <c r="B1534" t="s">
        <v>7498</v>
      </c>
      <c r="C1534" t="s">
        <v>7499</v>
      </c>
      <c r="D1534" t="s">
        <v>4771</v>
      </c>
      <c r="E1534" t="s">
        <v>17</v>
      </c>
      <c r="F1534" t="s">
        <v>5747</v>
      </c>
      <c r="G1534" s="1" t="s">
        <v>1961</v>
      </c>
      <c r="H1534" s="1" t="s">
        <v>1874</v>
      </c>
    </row>
    <row r="1535" spans="1:8" hidden="1" x14ac:dyDescent="0.3">
      <c r="A1535" t="s">
        <v>7500</v>
      </c>
      <c r="B1535" t="s">
        <v>7500</v>
      </c>
      <c r="C1535" t="s">
        <v>7501</v>
      </c>
      <c r="D1535" t="s">
        <v>4771</v>
      </c>
      <c r="E1535" t="s">
        <v>17</v>
      </c>
      <c r="F1535" t="s">
        <v>5729</v>
      </c>
      <c r="G1535" s="1" t="s">
        <v>5730</v>
      </c>
      <c r="H1535" s="1" t="s">
        <v>1927</v>
      </c>
    </row>
    <row r="1536" spans="1:8" hidden="1" x14ac:dyDescent="0.3">
      <c r="A1536" t="s">
        <v>7502</v>
      </c>
      <c r="B1536" t="s">
        <v>7502</v>
      </c>
      <c r="C1536" t="s">
        <v>7503</v>
      </c>
      <c r="D1536" t="s">
        <v>4771</v>
      </c>
      <c r="E1536" t="s">
        <v>17</v>
      </c>
      <c r="F1536" t="s">
        <v>5781</v>
      </c>
      <c r="G1536" s="1" t="s">
        <v>5730</v>
      </c>
      <c r="H1536" s="1" t="s">
        <v>1923</v>
      </c>
    </row>
    <row r="1537" spans="1:8" hidden="1" x14ac:dyDescent="0.3">
      <c r="A1537" t="s">
        <v>7504</v>
      </c>
      <c r="B1537" t="s">
        <v>7504</v>
      </c>
      <c r="C1537" t="s">
        <v>231</v>
      </c>
      <c r="D1537" t="s">
        <v>4799</v>
      </c>
      <c r="E1537" t="s">
        <v>17</v>
      </c>
      <c r="F1537" t="s">
        <v>5729</v>
      </c>
      <c r="G1537" s="1" t="s">
        <v>5730</v>
      </c>
      <c r="H1537" s="1" t="s">
        <v>1856</v>
      </c>
    </row>
    <row r="1538" spans="1:8" hidden="1" x14ac:dyDescent="0.3">
      <c r="A1538" t="s">
        <v>7505</v>
      </c>
      <c r="B1538" t="s">
        <v>7505</v>
      </c>
      <c r="C1538" t="s">
        <v>304</v>
      </c>
      <c r="D1538" t="s">
        <v>4799</v>
      </c>
      <c r="E1538" t="s">
        <v>17</v>
      </c>
      <c r="F1538" t="s">
        <v>5729</v>
      </c>
      <c r="G1538" s="1" t="s">
        <v>5730</v>
      </c>
      <c r="H1538" s="1" t="s">
        <v>1923</v>
      </c>
    </row>
    <row r="1539" spans="1:8" hidden="1" x14ac:dyDescent="0.3">
      <c r="A1539" t="s">
        <v>7506</v>
      </c>
      <c r="B1539" t="s">
        <v>7506</v>
      </c>
      <c r="C1539" t="s">
        <v>4802</v>
      </c>
      <c r="D1539" t="s">
        <v>4799</v>
      </c>
      <c r="E1539" t="s">
        <v>17</v>
      </c>
      <c r="F1539" t="s">
        <v>5781</v>
      </c>
      <c r="G1539" s="1" t="s">
        <v>1961</v>
      </c>
      <c r="H1539" s="1" t="s">
        <v>1874</v>
      </c>
    </row>
    <row r="1540" spans="1:8" hidden="1" x14ac:dyDescent="0.3">
      <c r="A1540" t="s">
        <v>7507</v>
      </c>
      <c r="B1540" t="s">
        <v>7507</v>
      </c>
      <c r="C1540" t="s">
        <v>378</v>
      </c>
      <c r="D1540" t="s">
        <v>4799</v>
      </c>
      <c r="E1540" t="s">
        <v>17</v>
      </c>
      <c r="F1540" t="s">
        <v>5729</v>
      </c>
      <c r="G1540" s="1" t="s">
        <v>5730</v>
      </c>
      <c r="H1540" s="1" t="s">
        <v>1874</v>
      </c>
    </row>
    <row r="1541" spans="1:8" hidden="1" x14ac:dyDescent="0.3">
      <c r="A1541" t="s">
        <v>7508</v>
      </c>
      <c r="B1541" t="s">
        <v>7508</v>
      </c>
      <c r="C1541" t="s">
        <v>448</v>
      </c>
      <c r="D1541" t="s">
        <v>4799</v>
      </c>
      <c r="E1541" t="s">
        <v>17</v>
      </c>
      <c r="F1541" t="s">
        <v>5729</v>
      </c>
      <c r="G1541" s="1" t="s">
        <v>5730</v>
      </c>
      <c r="H1541" s="1" t="s">
        <v>1856</v>
      </c>
    </row>
    <row r="1542" spans="1:8" hidden="1" x14ac:dyDescent="0.3">
      <c r="A1542" t="s">
        <v>7509</v>
      </c>
      <c r="B1542" t="s">
        <v>7509</v>
      </c>
      <c r="C1542" t="s">
        <v>366</v>
      </c>
      <c r="D1542" t="s">
        <v>4799</v>
      </c>
      <c r="E1542" t="s">
        <v>17</v>
      </c>
      <c r="F1542" t="s">
        <v>5734</v>
      </c>
      <c r="G1542" s="1" t="s">
        <v>5730</v>
      </c>
      <c r="H1542" s="1" t="s">
        <v>1923</v>
      </c>
    </row>
    <row r="1543" spans="1:8" hidden="1" x14ac:dyDescent="0.3">
      <c r="A1543" t="s">
        <v>7510</v>
      </c>
      <c r="B1543" t="s">
        <v>7510</v>
      </c>
      <c r="C1543" t="s">
        <v>590</v>
      </c>
      <c r="D1543" t="s">
        <v>4799</v>
      </c>
      <c r="E1543" t="s">
        <v>17</v>
      </c>
      <c r="F1543" t="s">
        <v>5729</v>
      </c>
      <c r="G1543" s="1" t="s">
        <v>5730</v>
      </c>
      <c r="H1543" s="1" t="s">
        <v>1856</v>
      </c>
    </row>
    <row r="1544" spans="1:8" hidden="1" x14ac:dyDescent="0.3">
      <c r="A1544" t="s">
        <v>7511</v>
      </c>
      <c r="B1544" t="s">
        <v>7511</v>
      </c>
      <c r="C1544" t="s">
        <v>785</v>
      </c>
      <c r="D1544" t="s">
        <v>4799</v>
      </c>
      <c r="E1544" t="s">
        <v>17</v>
      </c>
      <c r="F1544" t="s">
        <v>5729</v>
      </c>
      <c r="G1544" s="1" t="s">
        <v>5730</v>
      </c>
      <c r="H1544" s="1" t="s">
        <v>1923</v>
      </c>
    </row>
    <row r="1545" spans="1:8" hidden="1" x14ac:dyDescent="0.3">
      <c r="A1545" t="s">
        <v>7512</v>
      </c>
      <c r="B1545" t="s">
        <v>7512</v>
      </c>
      <c r="C1545" t="s">
        <v>844</v>
      </c>
      <c r="D1545" t="s">
        <v>4799</v>
      </c>
      <c r="E1545" t="s">
        <v>17</v>
      </c>
      <c r="F1545" t="s">
        <v>5729</v>
      </c>
      <c r="G1545" s="1" t="s">
        <v>5730</v>
      </c>
      <c r="H1545" s="1" t="s">
        <v>1856</v>
      </c>
    </row>
    <row r="1546" spans="1:8" hidden="1" x14ac:dyDescent="0.3">
      <c r="A1546" t="s">
        <v>7513</v>
      </c>
      <c r="B1546" t="s">
        <v>7513</v>
      </c>
      <c r="C1546" t="s">
        <v>900</v>
      </c>
      <c r="D1546" t="s">
        <v>4799</v>
      </c>
      <c r="E1546" t="s">
        <v>17</v>
      </c>
      <c r="F1546" t="s">
        <v>5729</v>
      </c>
      <c r="G1546" s="1" t="s">
        <v>5730</v>
      </c>
      <c r="H1546" s="1" t="s">
        <v>1927</v>
      </c>
    </row>
    <row r="1547" spans="1:8" hidden="1" x14ac:dyDescent="0.3">
      <c r="A1547" t="s">
        <v>7514</v>
      </c>
      <c r="B1547" t="s">
        <v>7514</v>
      </c>
      <c r="C1547" t="s">
        <v>953</v>
      </c>
      <c r="D1547" t="s">
        <v>4799</v>
      </c>
      <c r="E1547" t="s">
        <v>17</v>
      </c>
      <c r="F1547" t="s">
        <v>5729</v>
      </c>
      <c r="G1547" s="1" t="s">
        <v>5730</v>
      </c>
      <c r="H1547" s="1" t="s">
        <v>1874</v>
      </c>
    </row>
    <row r="1548" spans="1:8" hidden="1" x14ac:dyDescent="0.3">
      <c r="A1548" t="s">
        <v>7515</v>
      </c>
      <c r="B1548" t="s">
        <v>7515</v>
      </c>
      <c r="C1548" t="s">
        <v>998</v>
      </c>
      <c r="D1548" t="s">
        <v>4799</v>
      </c>
      <c r="E1548" t="s">
        <v>17</v>
      </c>
      <c r="F1548" t="s">
        <v>5729</v>
      </c>
      <c r="G1548" s="1" t="s">
        <v>5730</v>
      </c>
      <c r="H1548" s="1" t="s">
        <v>1856</v>
      </c>
    </row>
    <row r="1549" spans="1:8" hidden="1" x14ac:dyDescent="0.3">
      <c r="A1549" t="s">
        <v>7516</v>
      </c>
      <c r="B1549" t="s">
        <v>7516</v>
      </c>
      <c r="C1549" t="s">
        <v>1047</v>
      </c>
      <c r="D1549" t="s">
        <v>4799</v>
      </c>
      <c r="E1549" t="s">
        <v>17</v>
      </c>
      <c r="F1549" t="s">
        <v>5729</v>
      </c>
      <c r="G1549" s="1" t="s">
        <v>5730</v>
      </c>
      <c r="H1549" s="1" t="s">
        <v>1927</v>
      </c>
    </row>
    <row r="1550" spans="1:8" hidden="1" x14ac:dyDescent="0.3">
      <c r="A1550" t="s">
        <v>7517</v>
      </c>
      <c r="B1550" t="s">
        <v>7517</v>
      </c>
      <c r="C1550" t="s">
        <v>1087</v>
      </c>
      <c r="D1550" t="s">
        <v>4799</v>
      </c>
      <c r="E1550" t="s">
        <v>17</v>
      </c>
      <c r="F1550" t="s">
        <v>5729</v>
      </c>
      <c r="G1550" s="1" t="s">
        <v>5730</v>
      </c>
      <c r="H1550" s="1" t="s">
        <v>1874</v>
      </c>
    </row>
    <row r="1551" spans="1:8" hidden="1" x14ac:dyDescent="0.3">
      <c r="A1551" t="s">
        <v>7518</v>
      </c>
      <c r="B1551" t="s">
        <v>7518</v>
      </c>
      <c r="C1551" t="s">
        <v>2406</v>
      </c>
      <c r="D1551" t="s">
        <v>4799</v>
      </c>
      <c r="E1551" t="s">
        <v>17</v>
      </c>
      <c r="F1551" t="s">
        <v>5729</v>
      </c>
      <c r="G1551" s="1" t="s">
        <v>5730</v>
      </c>
      <c r="H1551" s="1" t="s">
        <v>1874</v>
      </c>
    </row>
    <row r="1552" spans="1:8" hidden="1" x14ac:dyDescent="0.3">
      <c r="A1552" t="s">
        <v>7519</v>
      </c>
      <c r="B1552" t="s">
        <v>7519</v>
      </c>
      <c r="C1552" t="s">
        <v>2552</v>
      </c>
      <c r="D1552" t="s">
        <v>4799</v>
      </c>
      <c r="E1552" t="s">
        <v>17</v>
      </c>
      <c r="F1552" t="s">
        <v>5781</v>
      </c>
      <c r="G1552" s="1" t="s">
        <v>5730</v>
      </c>
      <c r="H1552" s="1" t="s">
        <v>1856</v>
      </c>
    </row>
    <row r="1553" spans="1:8" hidden="1" x14ac:dyDescent="0.3">
      <c r="A1553" t="s">
        <v>7520</v>
      </c>
      <c r="B1553" t="s">
        <v>7520</v>
      </c>
      <c r="C1553" t="s">
        <v>1190</v>
      </c>
      <c r="D1553" t="s">
        <v>4799</v>
      </c>
      <c r="E1553" t="s">
        <v>17</v>
      </c>
      <c r="F1553" t="s">
        <v>5729</v>
      </c>
      <c r="G1553" s="1" t="s">
        <v>5730</v>
      </c>
      <c r="H1553" s="1" t="s">
        <v>1856</v>
      </c>
    </row>
    <row r="1554" spans="1:8" hidden="1" x14ac:dyDescent="0.3">
      <c r="A1554" t="s">
        <v>7521</v>
      </c>
      <c r="B1554" t="s">
        <v>7521</v>
      </c>
      <c r="C1554" t="s">
        <v>7522</v>
      </c>
      <c r="D1554" t="s">
        <v>4799</v>
      </c>
      <c r="E1554" t="s">
        <v>17</v>
      </c>
      <c r="F1554" t="s">
        <v>5729</v>
      </c>
      <c r="G1554" s="1" t="s">
        <v>5730</v>
      </c>
      <c r="H1554" s="1" t="s">
        <v>1856</v>
      </c>
    </row>
    <row r="1555" spans="1:8" hidden="1" x14ac:dyDescent="0.3">
      <c r="A1555" t="s">
        <v>7523</v>
      </c>
      <c r="B1555" t="s">
        <v>7523</v>
      </c>
      <c r="C1555" t="s">
        <v>7524</v>
      </c>
      <c r="D1555" t="s">
        <v>4799</v>
      </c>
      <c r="E1555" t="s">
        <v>17</v>
      </c>
      <c r="F1555" t="s">
        <v>5781</v>
      </c>
      <c r="G1555" s="1" t="s">
        <v>1961</v>
      </c>
      <c r="H1555" s="1" t="s">
        <v>1927</v>
      </c>
    </row>
    <row r="1556" spans="1:8" hidden="1" x14ac:dyDescent="0.3">
      <c r="A1556" t="s">
        <v>7525</v>
      </c>
      <c r="B1556" t="s">
        <v>7525</v>
      </c>
      <c r="C1556" t="s">
        <v>7526</v>
      </c>
      <c r="D1556" t="s">
        <v>4821</v>
      </c>
      <c r="E1556" t="s">
        <v>17</v>
      </c>
      <c r="F1556" t="s">
        <v>5729</v>
      </c>
      <c r="G1556" s="1" t="s">
        <v>5730</v>
      </c>
      <c r="H1556" s="1" t="s">
        <v>1927</v>
      </c>
    </row>
    <row r="1557" spans="1:8" hidden="1" x14ac:dyDescent="0.3">
      <c r="A1557" t="s">
        <v>7527</v>
      </c>
      <c r="B1557" t="s">
        <v>7527</v>
      </c>
      <c r="C1557" t="s">
        <v>305</v>
      </c>
      <c r="D1557" t="s">
        <v>4821</v>
      </c>
      <c r="E1557" t="s">
        <v>17</v>
      </c>
      <c r="F1557" t="s">
        <v>5729</v>
      </c>
      <c r="G1557" s="1" t="s">
        <v>5730</v>
      </c>
      <c r="H1557" s="1" t="s">
        <v>1856</v>
      </c>
    </row>
    <row r="1558" spans="1:8" hidden="1" x14ac:dyDescent="0.3">
      <c r="A1558" t="s">
        <v>7528</v>
      </c>
      <c r="B1558" t="s">
        <v>7528</v>
      </c>
      <c r="C1558" t="s">
        <v>379</v>
      </c>
      <c r="D1558" t="s">
        <v>4821</v>
      </c>
      <c r="E1558" t="s">
        <v>17</v>
      </c>
      <c r="F1558" t="s">
        <v>5729</v>
      </c>
      <c r="G1558" s="1" t="s">
        <v>5730</v>
      </c>
      <c r="H1558" s="1" t="s">
        <v>1923</v>
      </c>
    </row>
    <row r="1559" spans="1:8" hidden="1" x14ac:dyDescent="0.3">
      <c r="A1559" t="s">
        <v>7529</v>
      </c>
      <c r="B1559" t="s">
        <v>7529</v>
      </c>
      <c r="C1559" t="s">
        <v>7530</v>
      </c>
      <c r="D1559" t="s">
        <v>4821</v>
      </c>
      <c r="E1559" t="s">
        <v>17</v>
      </c>
      <c r="F1559" t="s">
        <v>5729</v>
      </c>
      <c r="G1559" s="1" t="s">
        <v>5730</v>
      </c>
      <c r="H1559" s="1" t="s">
        <v>1927</v>
      </c>
    </row>
    <row r="1560" spans="1:8" hidden="1" x14ac:dyDescent="0.3">
      <c r="A1560" t="s">
        <v>7531</v>
      </c>
      <c r="B1560" t="s">
        <v>7531</v>
      </c>
      <c r="C1560" t="s">
        <v>523</v>
      </c>
      <c r="D1560" t="s">
        <v>4821</v>
      </c>
      <c r="E1560" t="s">
        <v>17</v>
      </c>
      <c r="F1560" t="s">
        <v>5729</v>
      </c>
      <c r="G1560" s="1" t="s">
        <v>5730</v>
      </c>
      <c r="H1560" s="1" t="s">
        <v>1874</v>
      </c>
    </row>
    <row r="1561" spans="1:8" hidden="1" x14ac:dyDescent="0.3">
      <c r="A1561" t="s">
        <v>7532</v>
      </c>
      <c r="B1561" t="s">
        <v>7532</v>
      </c>
      <c r="C1561" t="s">
        <v>6452</v>
      </c>
      <c r="D1561" t="s">
        <v>4821</v>
      </c>
      <c r="E1561" t="s">
        <v>17</v>
      </c>
      <c r="F1561" t="s">
        <v>5729</v>
      </c>
      <c r="G1561" s="1" t="s">
        <v>5730</v>
      </c>
      <c r="H1561" s="1" t="s">
        <v>1923</v>
      </c>
    </row>
    <row r="1562" spans="1:8" hidden="1" x14ac:dyDescent="0.3">
      <c r="A1562" t="s">
        <v>7533</v>
      </c>
      <c r="B1562" t="s">
        <v>7533</v>
      </c>
      <c r="C1562" t="s">
        <v>659</v>
      </c>
      <c r="D1562" t="s">
        <v>4821</v>
      </c>
      <c r="E1562" t="s">
        <v>17</v>
      </c>
      <c r="F1562" t="s">
        <v>5729</v>
      </c>
      <c r="G1562" s="1" t="s">
        <v>5730</v>
      </c>
      <c r="H1562" s="1" t="s">
        <v>1923</v>
      </c>
    </row>
    <row r="1563" spans="1:8" hidden="1" x14ac:dyDescent="0.3">
      <c r="A1563" t="s">
        <v>7534</v>
      </c>
      <c r="B1563" t="s">
        <v>7534</v>
      </c>
      <c r="C1563" t="s">
        <v>7535</v>
      </c>
      <c r="D1563" t="s">
        <v>83</v>
      </c>
      <c r="E1563" t="s">
        <v>8</v>
      </c>
      <c r="F1563" t="s">
        <v>5781</v>
      </c>
      <c r="G1563" s="1" t="s">
        <v>5730</v>
      </c>
      <c r="H1563" s="1" t="s">
        <v>1856</v>
      </c>
    </row>
    <row r="1564" spans="1:8" hidden="1" x14ac:dyDescent="0.3">
      <c r="A1564" t="s">
        <v>7536</v>
      </c>
      <c r="B1564" t="s">
        <v>7536</v>
      </c>
      <c r="C1564" t="s">
        <v>202</v>
      </c>
      <c r="D1564" t="s">
        <v>83</v>
      </c>
      <c r="E1564" t="s">
        <v>8</v>
      </c>
      <c r="F1564" t="s">
        <v>5734</v>
      </c>
      <c r="G1564" s="1" t="s">
        <v>5730</v>
      </c>
      <c r="H1564" s="1" t="s">
        <v>1923</v>
      </c>
    </row>
    <row r="1565" spans="1:8" hidden="1" x14ac:dyDescent="0.3">
      <c r="A1565" t="s">
        <v>7537</v>
      </c>
      <c r="B1565" t="s">
        <v>7537</v>
      </c>
      <c r="C1565" t="s">
        <v>333</v>
      </c>
      <c r="D1565" t="s">
        <v>83</v>
      </c>
      <c r="E1565" t="s">
        <v>8</v>
      </c>
      <c r="F1565" t="s">
        <v>5729</v>
      </c>
      <c r="G1565" s="1" t="s">
        <v>5730</v>
      </c>
      <c r="H1565" s="1" t="s">
        <v>1874</v>
      </c>
    </row>
    <row r="1566" spans="1:8" hidden="1" x14ac:dyDescent="0.3">
      <c r="A1566" t="s">
        <v>7538</v>
      </c>
      <c r="B1566" t="s">
        <v>7538</v>
      </c>
      <c r="C1566" t="s">
        <v>404</v>
      </c>
      <c r="D1566" t="s">
        <v>83</v>
      </c>
      <c r="E1566" t="s">
        <v>8</v>
      </c>
      <c r="F1566" t="s">
        <v>5729</v>
      </c>
      <c r="G1566" s="1" t="s">
        <v>5730</v>
      </c>
      <c r="H1566" s="1" t="s">
        <v>1874</v>
      </c>
    </row>
    <row r="1567" spans="1:8" hidden="1" x14ac:dyDescent="0.3">
      <c r="A1567" t="s">
        <v>7539</v>
      </c>
      <c r="B1567" t="s">
        <v>7539</v>
      </c>
      <c r="C1567" t="s">
        <v>2096</v>
      </c>
      <c r="D1567" t="s">
        <v>83</v>
      </c>
      <c r="E1567" t="s">
        <v>8</v>
      </c>
      <c r="F1567" t="s">
        <v>5734</v>
      </c>
      <c r="G1567" s="1" t="s">
        <v>5730</v>
      </c>
      <c r="H1567" s="1" t="s">
        <v>1856</v>
      </c>
    </row>
    <row r="1568" spans="1:8" hidden="1" x14ac:dyDescent="0.3">
      <c r="A1568" t="s">
        <v>7540</v>
      </c>
      <c r="B1568" t="s">
        <v>7540</v>
      </c>
      <c r="C1568" t="s">
        <v>550</v>
      </c>
      <c r="D1568" t="s">
        <v>83</v>
      </c>
      <c r="E1568" t="s">
        <v>8</v>
      </c>
      <c r="F1568" t="s">
        <v>5729</v>
      </c>
      <c r="G1568" s="1" t="s">
        <v>5730</v>
      </c>
      <c r="H1568" s="1" t="s">
        <v>1874</v>
      </c>
    </row>
    <row r="1569" spans="1:8" hidden="1" x14ac:dyDescent="0.3">
      <c r="A1569" t="s">
        <v>7541</v>
      </c>
      <c r="B1569" t="s">
        <v>7541</v>
      </c>
      <c r="C1569" t="s">
        <v>7542</v>
      </c>
      <c r="D1569" t="s">
        <v>3107</v>
      </c>
      <c r="E1569" t="s">
        <v>8</v>
      </c>
      <c r="F1569" t="s">
        <v>5729</v>
      </c>
      <c r="G1569" s="1" t="s">
        <v>5730</v>
      </c>
      <c r="H1569" s="1" t="s">
        <v>1856</v>
      </c>
    </row>
    <row r="1570" spans="1:8" hidden="1" x14ac:dyDescent="0.3">
      <c r="A1570" t="s">
        <v>7543</v>
      </c>
      <c r="B1570" t="s">
        <v>7543</v>
      </c>
      <c r="C1570" t="s">
        <v>262</v>
      </c>
      <c r="D1570" t="s">
        <v>3107</v>
      </c>
      <c r="E1570" t="s">
        <v>8</v>
      </c>
      <c r="F1570" t="s">
        <v>5729</v>
      </c>
      <c r="G1570" s="1" t="s">
        <v>5730</v>
      </c>
      <c r="H1570" s="1" t="s">
        <v>1856</v>
      </c>
    </row>
    <row r="1571" spans="1:8" hidden="1" x14ac:dyDescent="0.3">
      <c r="A1571" t="s">
        <v>7544</v>
      </c>
      <c r="B1571" t="s">
        <v>7544</v>
      </c>
      <c r="C1571" t="s">
        <v>334</v>
      </c>
      <c r="D1571" t="s">
        <v>3107</v>
      </c>
      <c r="E1571" t="s">
        <v>8</v>
      </c>
      <c r="F1571" t="s">
        <v>5729</v>
      </c>
      <c r="G1571" s="1" t="s">
        <v>5730</v>
      </c>
      <c r="H1571" s="1" t="s">
        <v>1923</v>
      </c>
    </row>
    <row r="1572" spans="1:8" hidden="1" x14ac:dyDescent="0.3">
      <c r="A1572" t="s">
        <v>7545</v>
      </c>
      <c r="B1572" t="s">
        <v>7545</v>
      </c>
      <c r="C1572" t="s">
        <v>405</v>
      </c>
      <c r="D1572" t="s">
        <v>3107</v>
      </c>
      <c r="E1572" t="s">
        <v>8</v>
      </c>
      <c r="F1572" t="s">
        <v>5729</v>
      </c>
      <c r="G1572" s="1" t="s">
        <v>5730</v>
      </c>
      <c r="H1572" s="1" t="s">
        <v>1923</v>
      </c>
    </row>
    <row r="1573" spans="1:8" hidden="1" x14ac:dyDescent="0.3">
      <c r="A1573" t="s">
        <v>7546</v>
      </c>
      <c r="B1573" t="s">
        <v>7546</v>
      </c>
      <c r="C1573" t="s">
        <v>479</v>
      </c>
      <c r="D1573" t="s">
        <v>3107</v>
      </c>
      <c r="E1573" t="s">
        <v>8</v>
      </c>
      <c r="F1573" t="s">
        <v>5729</v>
      </c>
      <c r="G1573" s="1" t="s">
        <v>5730</v>
      </c>
      <c r="H1573" s="1" t="s">
        <v>1856</v>
      </c>
    </row>
    <row r="1574" spans="1:8" hidden="1" x14ac:dyDescent="0.3">
      <c r="A1574" t="s">
        <v>7547</v>
      </c>
      <c r="B1574" t="s">
        <v>7547</v>
      </c>
      <c r="C1574" t="s">
        <v>7548</v>
      </c>
      <c r="D1574" t="s">
        <v>3107</v>
      </c>
      <c r="E1574" t="s">
        <v>8</v>
      </c>
      <c r="F1574" t="s">
        <v>5734</v>
      </c>
      <c r="G1574" s="1" t="s">
        <v>5730</v>
      </c>
      <c r="H1574" s="1" t="s">
        <v>1856</v>
      </c>
    </row>
    <row r="1575" spans="1:8" hidden="1" x14ac:dyDescent="0.3">
      <c r="A1575" t="s">
        <v>7549</v>
      </c>
      <c r="B1575" t="s">
        <v>7549</v>
      </c>
      <c r="C1575" t="s">
        <v>617</v>
      </c>
      <c r="D1575" t="s">
        <v>3107</v>
      </c>
      <c r="E1575" t="s">
        <v>8</v>
      </c>
      <c r="F1575" t="s">
        <v>5729</v>
      </c>
      <c r="G1575" s="1" t="s">
        <v>5730</v>
      </c>
      <c r="H1575" s="1" t="s">
        <v>1856</v>
      </c>
    </row>
    <row r="1576" spans="1:8" hidden="1" x14ac:dyDescent="0.3">
      <c r="A1576" t="s">
        <v>7550</v>
      </c>
      <c r="B1576" t="s">
        <v>7550</v>
      </c>
      <c r="C1576" t="s">
        <v>145</v>
      </c>
      <c r="D1576" t="s">
        <v>3107</v>
      </c>
      <c r="E1576" t="s">
        <v>8</v>
      </c>
      <c r="F1576" t="s">
        <v>5734</v>
      </c>
      <c r="G1576" s="1" t="s">
        <v>5730</v>
      </c>
      <c r="H1576" s="1" t="s">
        <v>1874</v>
      </c>
    </row>
    <row r="1577" spans="1:8" hidden="1" x14ac:dyDescent="0.3">
      <c r="A1577" t="s">
        <v>7551</v>
      </c>
      <c r="B1577" t="s">
        <v>7551</v>
      </c>
      <c r="C1577" t="s">
        <v>747</v>
      </c>
      <c r="D1577" t="s">
        <v>3107</v>
      </c>
      <c r="E1577" t="s">
        <v>8</v>
      </c>
      <c r="F1577" t="s">
        <v>5734</v>
      </c>
      <c r="G1577" s="1" t="s">
        <v>5730</v>
      </c>
      <c r="H1577" s="1" t="s">
        <v>1856</v>
      </c>
    </row>
    <row r="1578" spans="1:8" hidden="1" x14ac:dyDescent="0.3">
      <c r="A1578" t="s">
        <v>7552</v>
      </c>
      <c r="B1578" t="s">
        <v>7552</v>
      </c>
      <c r="C1578" t="s">
        <v>1828</v>
      </c>
      <c r="D1578" t="s">
        <v>3107</v>
      </c>
      <c r="E1578" t="s">
        <v>8</v>
      </c>
      <c r="F1578" t="s">
        <v>5781</v>
      </c>
      <c r="G1578" s="1" t="s">
        <v>5730</v>
      </c>
      <c r="H1578" s="1" t="s">
        <v>1856</v>
      </c>
    </row>
    <row r="1579" spans="1:8" hidden="1" x14ac:dyDescent="0.3">
      <c r="A1579" t="s">
        <v>7553</v>
      </c>
      <c r="B1579" t="s">
        <v>7553</v>
      </c>
      <c r="C1579" t="s">
        <v>2096</v>
      </c>
      <c r="D1579" t="s">
        <v>3107</v>
      </c>
      <c r="E1579" t="s">
        <v>8</v>
      </c>
      <c r="F1579" t="s">
        <v>5734</v>
      </c>
      <c r="G1579" s="1" t="s">
        <v>5730</v>
      </c>
      <c r="H1579" s="1" t="s">
        <v>1856</v>
      </c>
    </row>
    <row r="1580" spans="1:8" hidden="1" x14ac:dyDescent="0.3">
      <c r="A1580" t="s">
        <v>7554</v>
      </c>
      <c r="B1580" t="s">
        <v>7554</v>
      </c>
      <c r="C1580" t="s">
        <v>189</v>
      </c>
      <c r="D1580" t="s">
        <v>3120</v>
      </c>
      <c r="E1580" t="s">
        <v>8</v>
      </c>
      <c r="F1580" t="s">
        <v>5729</v>
      </c>
      <c r="G1580" s="1" t="s">
        <v>5730</v>
      </c>
      <c r="H1580" s="1" t="s">
        <v>1856</v>
      </c>
    </row>
    <row r="1581" spans="1:8" hidden="1" x14ac:dyDescent="0.3">
      <c r="A1581" t="s">
        <v>7555</v>
      </c>
      <c r="B1581" t="s">
        <v>7555</v>
      </c>
      <c r="C1581" t="s">
        <v>263</v>
      </c>
      <c r="D1581" t="s">
        <v>3120</v>
      </c>
      <c r="E1581" t="s">
        <v>8</v>
      </c>
      <c r="F1581" t="s">
        <v>5729</v>
      </c>
      <c r="G1581" s="1" t="s">
        <v>5730</v>
      </c>
      <c r="H1581" s="1" t="s">
        <v>1856</v>
      </c>
    </row>
    <row r="1582" spans="1:8" hidden="1" x14ac:dyDescent="0.3">
      <c r="A1582" t="s">
        <v>7556</v>
      </c>
      <c r="B1582" t="s">
        <v>7556</v>
      </c>
      <c r="C1582" t="s">
        <v>335</v>
      </c>
      <c r="D1582" t="s">
        <v>3120</v>
      </c>
      <c r="E1582" t="s">
        <v>8</v>
      </c>
      <c r="F1582" t="s">
        <v>5729</v>
      </c>
      <c r="G1582" s="1" t="s">
        <v>5730</v>
      </c>
      <c r="H1582" s="1" t="s">
        <v>1856</v>
      </c>
    </row>
    <row r="1583" spans="1:8" hidden="1" x14ac:dyDescent="0.3">
      <c r="A1583" t="s">
        <v>7557</v>
      </c>
      <c r="B1583" t="s">
        <v>7557</v>
      </c>
      <c r="C1583" t="s">
        <v>7558</v>
      </c>
      <c r="D1583" t="s">
        <v>3120</v>
      </c>
      <c r="E1583" t="s">
        <v>8</v>
      </c>
      <c r="F1583" t="s">
        <v>5729</v>
      </c>
      <c r="G1583" s="1" t="s">
        <v>5730</v>
      </c>
      <c r="H1583" s="1" t="s">
        <v>1856</v>
      </c>
    </row>
    <row r="1584" spans="1:8" hidden="1" x14ac:dyDescent="0.3">
      <c r="A1584" t="s">
        <v>7559</v>
      </c>
      <c r="B1584" t="s">
        <v>7559</v>
      </c>
      <c r="C1584" t="s">
        <v>7560</v>
      </c>
      <c r="D1584" t="s">
        <v>3120</v>
      </c>
      <c r="E1584" t="s">
        <v>8</v>
      </c>
      <c r="F1584" t="s">
        <v>5747</v>
      </c>
      <c r="G1584" s="1" t="s">
        <v>1961</v>
      </c>
      <c r="H1584" s="1" t="s">
        <v>1874</v>
      </c>
    </row>
    <row r="1585" spans="1:8" hidden="1" x14ac:dyDescent="0.3">
      <c r="A1585" t="s">
        <v>7561</v>
      </c>
      <c r="B1585" t="s">
        <v>7561</v>
      </c>
      <c r="C1585" t="s">
        <v>552</v>
      </c>
      <c r="D1585" t="s">
        <v>3120</v>
      </c>
      <c r="E1585" t="s">
        <v>8</v>
      </c>
      <c r="F1585" t="s">
        <v>5742</v>
      </c>
      <c r="G1585" s="1" t="s">
        <v>5730</v>
      </c>
      <c r="H1585" s="1" t="s">
        <v>1856</v>
      </c>
    </row>
    <row r="1586" spans="1:8" hidden="1" x14ac:dyDescent="0.3">
      <c r="A1586" t="s">
        <v>7562</v>
      </c>
      <c r="B1586" t="s">
        <v>7562</v>
      </c>
      <c r="C1586" t="s">
        <v>618</v>
      </c>
      <c r="D1586" t="s">
        <v>3120</v>
      </c>
      <c r="E1586" t="s">
        <v>8</v>
      </c>
      <c r="F1586" t="s">
        <v>5742</v>
      </c>
      <c r="G1586" s="1" t="s">
        <v>5730</v>
      </c>
      <c r="H1586" s="1" t="s">
        <v>1856</v>
      </c>
    </row>
    <row r="1587" spans="1:8" hidden="1" x14ac:dyDescent="0.3">
      <c r="A1587" t="s">
        <v>7563</v>
      </c>
      <c r="B1587" t="s">
        <v>7563</v>
      </c>
      <c r="C1587" t="s">
        <v>683</v>
      </c>
      <c r="D1587" t="s">
        <v>3120</v>
      </c>
      <c r="E1587" t="s">
        <v>8</v>
      </c>
      <c r="F1587" t="s">
        <v>5742</v>
      </c>
      <c r="G1587" s="1" t="s">
        <v>5730</v>
      </c>
      <c r="H1587" s="1" t="s">
        <v>1856</v>
      </c>
    </row>
    <row r="1588" spans="1:8" hidden="1" x14ac:dyDescent="0.3">
      <c r="A1588" t="s">
        <v>7564</v>
      </c>
      <c r="B1588" t="s">
        <v>7564</v>
      </c>
      <c r="C1588" t="s">
        <v>748</v>
      </c>
      <c r="D1588" t="s">
        <v>3120</v>
      </c>
      <c r="E1588" t="s">
        <v>8</v>
      </c>
      <c r="F1588" t="s">
        <v>5734</v>
      </c>
      <c r="G1588" s="1" t="s">
        <v>5730</v>
      </c>
      <c r="H1588" s="1" t="s">
        <v>1856</v>
      </c>
    </row>
    <row r="1589" spans="1:8" hidden="1" x14ac:dyDescent="0.3">
      <c r="A1589" t="s">
        <v>7565</v>
      </c>
      <c r="B1589" t="s">
        <v>7565</v>
      </c>
      <c r="C1589" t="s">
        <v>809</v>
      </c>
      <c r="D1589" t="s">
        <v>3120</v>
      </c>
      <c r="E1589" t="s">
        <v>8</v>
      </c>
      <c r="F1589" t="s">
        <v>5729</v>
      </c>
      <c r="G1589" s="1" t="s">
        <v>5730</v>
      </c>
      <c r="H1589" s="1" t="s">
        <v>1874</v>
      </c>
    </row>
    <row r="1590" spans="1:8" hidden="1" x14ac:dyDescent="0.3">
      <c r="A1590" t="s">
        <v>7566</v>
      </c>
      <c r="B1590" t="s">
        <v>7566</v>
      </c>
      <c r="C1590" t="s">
        <v>3133</v>
      </c>
      <c r="D1590" t="s">
        <v>3120</v>
      </c>
      <c r="E1590" t="s">
        <v>8</v>
      </c>
      <c r="F1590" t="s">
        <v>5734</v>
      </c>
      <c r="G1590" s="1" t="s">
        <v>5730</v>
      </c>
      <c r="H1590" s="1" t="s">
        <v>1856</v>
      </c>
    </row>
    <row r="1591" spans="1:8" hidden="1" x14ac:dyDescent="0.3">
      <c r="A1591" t="s">
        <v>7567</v>
      </c>
      <c r="B1591" t="s">
        <v>7567</v>
      </c>
      <c r="C1591" t="s">
        <v>921</v>
      </c>
      <c r="D1591" t="s">
        <v>3120</v>
      </c>
      <c r="E1591" t="s">
        <v>8</v>
      </c>
      <c r="F1591" t="s">
        <v>5734</v>
      </c>
      <c r="G1591" s="1" t="s">
        <v>5730</v>
      </c>
      <c r="H1591" s="1" t="s">
        <v>1856</v>
      </c>
    </row>
    <row r="1592" spans="1:8" hidden="1" x14ac:dyDescent="0.3">
      <c r="A1592" t="s">
        <v>7568</v>
      </c>
      <c r="B1592" t="s">
        <v>7568</v>
      </c>
      <c r="C1592" t="s">
        <v>3136</v>
      </c>
      <c r="D1592" t="s">
        <v>3120</v>
      </c>
      <c r="E1592" t="s">
        <v>8</v>
      </c>
      <c r="F1592" t="s">
        <v>5729</v>
      </c>
      <c r="G1592" s="1" t="s">
        <v>5730</v>
      </c>
      <c r="H1592" s="1" t="s">
        <v>1874</v>
      </c>
    </row>
    <row r="1593" spans="1:8" hidden="1" x14ac:dyDescent="0.3">
      <c r="A1593" t="s">
        <v>7569</v>
      </c>
      <c r="B1593" t="s">
        <v>7569</v>
      </c>
      <c r="C1593" t="s">
        <v>1019</v>
      </c>
      <c r="D1593" t="s">
        <v>3120</v>
      </c>
      <c r="E1593" t="s">
        <v>8</v>
      </c>
      <c r="F1593" t="s">
        <v>5729</v>
      </c>
      <c r="G1593" s="1" t="s">
        <v>5730</v>
      </c>
      <c r="H1593" s="1" t="s">
        <v>1874</v>
      </c>
    </row>
    <row r="1594" spans="1:8" hidden="1" x14ac:dyDescent="0.3">
      <c r="A1594" t="s">
        <v>7570</v>
      </c>
      <c r="B1594" t="s">
        <v>7570</v>
      </c>
      <c r="C1594" t="s">
        <v>1064</v>
      </c>
      <c r="D1594" t="s">
        <v>3120</v>
      </c>
      <c r="E1594" t="s">
        <v>8</v>
      </c>
      <c r="F1594" t="s">
        <v>5734</v>
      </c>
      <c r="G1594" s="1" t="s">
        <v>5730</v>
      </c>
      <c r="H1594" s="1" t="s">
        <v>1856</v>
      </c>
    </row>
    <row r="1595" spans="1:8" hidden="1" x14ac:dyDescent="0.3">
      <c r="A1595" t="s">
        <v>7571</v>
      </c>
      <c r="B1595" t="s">
        <v>7571</v>
      </c>
      <c r="C1595" s="6" t="s">
        <v>190</v>
      </c>
      <c r="D1595" t="s">
        <v>133</v>
      </c>
      <c r="E1595" t="s">
        <v>8</v>
      </c>
      <c r="F1595" t="s">
        <v>5729</v>
      </c>
      <c r="G1595" s="1" t="s">
        <v>5730</v>
      </c>
      <c r="H1595" s="1" t="s">
        <v>1856</v>
      </c>
    </row>
    <row r="1596" spans="1:8" hidden="1" x14ac:dyDescent="0.3">
      <c r="A1596" t="s">
        <v>7572</v>
      </c>
      <c r="B1596" t="s">
        <v>7572</v>
      </c>
      <c r="C1596" t="s">
        <v>264</v>
      </c>
      <c r="D1596" t="s">
        <v>133</v>
      </c>
      <c r="E1596" t="s">
        <v>8</v>
      </c>
      <c r="F1596" t="s">
        <v>5729</v>
      </c>
      <c r="G1596" s="1" t="s">
        <v>5730</v>
      </c>
      <c r="H1596" s="1" t="s">
        <v>1893</v>
      </c>
    </row>
    <row r="1597" spans="1:8" hidden="1" x14ac:dyDescent="0.3">
      <c r="A1597" t="s">
        <v>7573</v>
      </c>
      <c r="B1597" t="s">
        <v>7573</v>
      </c>
      <c r="C1597" t="s">
        <v>336</v>
      </c>
      <c r="D1597" t="s">
        <v>133</v>
      </c>
      <c r="E1597" t="s">
        <v>8</v>
      </c>
      <c r="F1597" t="s">
        <v>5729</v>
      </c>
      <c r="G1597" s="1" t="s">
        <v>5730</v>
      </c>
      <c r="H1597" s="1" t="s">
        <v>1927</v>
      </c>
    </row>
    <row r="1598" spans="1:8" hidden="1" x14ac:dyDescent="0.3">
      <c r="A1598" t="s">
        <v>7574</v>
      </c>
      <c r="B1598" t="s">
        <v>7574</v>
      </c>
      <c r="C1598" t="s">
        <v>407</v>
      </c>
      <c r="D1598" t="s">
        <v>133</v>
      </c>
      <c r="E1598" t="s">
        <v>8</v>
      </c>
      <c r="F1598" t="s">
        <v>5729</v>
      </c>
      <c r="G1598" s="1" t="s">
        <v>5730</v>
      </c>
      <c r="H1598" s="1" t="s">
        <v>1856</v>
      </c>
    </row>
    <row r="1599" spans="1:8" hidden="1" x14ac:dyDescent="0.3">
      <c r="A1599" t="s">
        <v>7575</v>
      </c>
      <c r="B1599" t="s">
        <v>7575</v>
      </c>
      <c r="C1599" t="s">
        <v>481</v>
      </c>
      <c r="D1599" t="s">
        <v>133</v>
      </c>
      <c r="E1599" t="s">
        <v>8</v>
      </c>
      <c r="F1599" t="s">
        <v>5729</v>
      </c>
      <c r="G1599" s="1" t="s">
        <v>5730</v>
      </c>
      <c r="H1599" s="1" t="s">
        <v>1856</v>
      </c>
    </row>
    <row r="1600" spans="1:8" hidden="1" x14ac:dyDescent="0.3">
      <c r="A1600" t="s">
        <v>7576</v>
      </c>
      <c r="B1600" t="s">
        <v>7576</v>
      </c>
      <c r="C1600" t="s">
        <v>3145</v>
      </c>
      <c r="D1600" t="s">
        <v>133</v>
      </c>
      <c r="E1600" t="s">
        <v>8</v>
      </c>
      <c r="F1600" t="s">
        <v>5734</v>
      </c>
      <c r="G1600" s="1" t="s">
        <v>5730</v>
      </c>
      <c r="H1600" s="1" t="s">
        <v>1856</v>
      </c>
    </row>
    <row r="1601" spans="1:8" hidden="1" x14ac:dyDescent="0.3">
      <c r="A1601" t="s">
        <v>7577</v>
      </c>
      <c r="B1601" t="s">
        <v>7577</v>
      </c>
      <c r="C1601" t="s">
        <v>619</v>
      </c>
      <c r="D1601" t="s">
        <v>133</v>
      </c>
      <c r="E1601" t="s">
        <v>8</v>
      </c>
      <c r="F1601" t="s">
        <v>5729</v>
      </c>
      <c r="G1601" s="1" t="s">
        <v>5730</v>
      </c>
      <c r="H1601" s="1" t="s">
        <v>1856</v>
      </c>
    </row>
    <row r="1602" spans="1:8" hidden="1" x14ac:dyDescent="0.3">
      <c r="A1602" t="s">
        <v>7578</v>
      </c>
      <c r="B1602" t="s">
        <v>7578</v>
      </c>
      <c r="C1602" t="s">
        <v>684</v>
      </c>
      <c r="D1602" t="s">
        <v>133</v>
      </c>
      <c r="E1602" t="s">
        <v>8</v>
      </c>
      <c r="F1602" t="s">
        <v>5729</v>
      </c>
      <c r="G1602" s="1" t="s">
        <v>5730</v>
      </c>
      <c r="H1602" s="1" t="s">
        <v>1893</v>
      </c>
    </row>
    <row r="1603" spans="1:8" hidden="1" x14ac:dyDescent="0.3">
      <c r="A1603" t="s">
        <v>7579</v>
      </c>
      <c r="B1603" t="s">
        <v>7579</v>
      </c>
      <c r="C1603" t="s">
        <v>810</v>
      </c>
      <c r="D1603" t="s">
        <v>133</v>
      </c>
      <c r="E1603" t="s">
        <v>8</v>
      </c>
      <c r="F1603" t="s">
        <v>5734</v>
      </c>
      <c r="G1603" s="1" t="s">
        <v>5730</v>
      </c>
      <c r="H1603" s="1" t="s">
        <v>1856</v>
      </c>
    </row>
    <row r="1604" spans="1:8" hidden="1" x14ac:dyDescent="0.3">
      <c r="A1604" t="s">
        <v>7580</v>
      </c>
      <c r="B1604" t="s">
        <v>7580</v>
      </c>
      <c r="C1604" t="s">
        <v>922</v>
      </c>
      <c r="D1604" t="s">
        <v>133</v>
      </c>
      <c r="E1604" t="s">
        <v>8</v>
      </c>
      <c r="F1604" t="s">
        <v>5729</v>
      </c>
      <c r="G1604" s="1" t="s">
        <v>5730</v>
      </c>
      <c r="H1604" s="1" t="s">
        <v>1927</v>
      </c>
    </row>
    <row r="1605" spans="1:8" hidden="1" x14ac:dyDescent="0.3">
      <c r="A1605" t="s">
        <v>7581</v>
      </c>
      <c r="B1605" t="s">
        <v>7581</v>
      </c>
      <c r="C1605" t="s">
        <v>974</v>
      </c>
      <c r="D1605" t="s">
        <v>133</v>
      </c>
      <c r="E1605" t="s">
        <v>8</v>
      </c>
      <c r="F1605" t="s">
        <v>5729</v>
      </c>
      <c r="G1605" s="1" t="s">
        <v>5730</v>
      </c>
      <c r="H1605" s="1" t="s">
        <v>1856</v>
      </c>
    </row>
    <row r="1606" spans="1:8" hidden="1" x14ac:dyDescent="0.3">
      <c r="A1606" t="s">
        <v>7582</v>
      </c>
      <c r="B1606" t="s">
        <v>7582</v>
      </c>
      <c r="C1606" t="s">
        <v>7583</v>
      </c>
      <c r="D1606" t="s">
        <v>133</v>
      </c>
      <c r="E1606" t="s">
        <v>8</v>
      </c>
      <c r="F1606" t="s">
        <v>5729</v>
      </c>
      <c r="G1606" s="1" t="s">
        <v>5730</v>
      </c>
      <c r="H1606" s="1" t="s">
        <v>1856</v>
      </c>
    </row>
    <row r="1607" spans="1:8" hidden="1" x14ac:dyDescent="0.3">
      <c r="A1607" t="s">
        <v>7584</v>
      </c>
      <c r="B1607" t="s">
        <v>7584</v>
      </c>
      <c r="C1607" t="s">
        <v>1103</v>
      </c>
      <c r="D1607" t="s">
        <v>133</v>
      </c>
      <c r="E1607" t="s">
        <v>8</v>
      </c>
      <c r="F1607" t="s">
        <v>5729</v>
      </c>
      <c r="G1607" s="1" t="s">
        <v>5730</v>
      </c>
      <c r="H1607" s="1" t="s">
        <v>1927</v>
      </c>
    </row>
    <row r="1608" spans="1:8" hidden="1" x14ac:dyDescent="0.3">
      <c r="A1608" t="s">
        <v>7585</v>
      </c>
      <c r="B1608" t="s">
        <v>7585</v>
      </c>
      <c r="C1608" t="s">
        <v>479</v>
      </c>
      <c r="D1608" t="s">
        <v>133</v>
      </c>
      <c r="E1608" t="s">
        <v>8</v>
      </c>
      <c r="F1608" t="s">
        <v>5729</v>
      </c>
      <c r="G1608" s="1" t="s">
        <v>5730</v>
      </c>
      <c r="H1608" s="1" t="s">
        <v>1923</v>
      </c>
    </row>
    <row r="1609" spans="1:8" hidden="1" x14ac:dyDescent="0.3">
      <c r="A1609" t="s">
        <v>7586</v>
      </c>
      <c r="B1609" t="s">
        <v>7586</v>
      </c>
      <c r="C1609" t="s">
        <v>1172</v>
      </c>
      <c r="D1609" t="s">
        <v>133</v>
      </c>
      <c r="E1609" t="s">
        <v>8</v>
      </c>
      <c r="F1609" t="s">
        <v>5729</v>
      </c>
      <c r="G1609" s="1" t="s">
        <v>5730</v>
      </c>
      <c r="H1609" s="1" t="s">
        <v>1856</v>
      </c>
    </row>
    <row r="1610" spans="1:8" hidden="1" x14ac:dyDescent="0.3">
      <c r="A1610" t="s">
        <v>7587</v>
      </c>
      <c r="B1610" t="s">
        <v>7587</v>
      </c>
      <c r="C1610" t="s">
        <v>7588</v>
      </c>
      <c r="D1610" t="s">
        <v>133</v>
      </c>
      <c r="E1610" t="s">
        <v>8</v>
      </c>
      <c r="F1610" t="s">
        <v>5747</v>
      </c>
      <c r="G1610" s="1" t="s">
        <v>1855</v>
      </c>
      <c r="H1610" s="1" t="s">
        <v>1856</v>
      </c>
    </row>
    <row r="1611" spans="1:8" hidden="1" x14ac:dyDescent="0.3">
      <c r="A1611" t="s">
        <v>7589</v>
      </c>
      <c r="B1611" t="s">
        <v>7589</v>
      </c>
      <c r="C1611" t="s">
        <v>132</v>
      </c>
      <c r="D1611" t="s">
        <v>133</v>
      </c>
      <c r="E1611" t="s">
        <v>8</v>
      </c>
      <c r="F1611" t="s">
        <v>5734</v>
      </c>
      <c r="G1611" s="1" t="s">
        <v>5730</v>
      </c>
      <c r="H1611" s="1" t="s">
        <v>1856</v>
      </c>
    </row>
    <row r="1612" spans="1:8" hidden="1" x14ac:dyDescent="0.3">
      <c r="A1612" t="s">
        <v>7590</v>
      </c>
      <c r="B1612" t="s">
        <v>7590</v>
      </c>
      <c r="C1612" t="s">
        <v>921</v>
      </c>
      <c r="D1612" t="s">
        <v>133</v>
      </c>
      <c r="E1612" t="s">
        <v>8</v>
      </c>
      <c r="F1612" t="s">
        <v>5734</v>
      </c>
      <c r="G1612" s="1" t="s">
        <v>5730</v>
      </c>
      <c r="H1612" s="1" t="s">
        <v>1856</v>
      </c>
    </row>
    <row r="1613" spans="1:8" hidden="1" x14ac:dyDescent="0.3">
      <c r="A1613" t="s">
        <v>7591</v>
      </c>
      <c r="B1613" t="s">
        <v>7591</v>
      </c>
      <c r="C1613" t="s">
        <v>2089</v>
      </c>
      <c r="D1613" t="s">
        <v>133</v>
      </c>
      <c r="E1613" t="s">
        <v>8</v>
      </c>
      <c r="F1613" t="s">
        <v>5729</v>
      </c>
      <c r="G1613" s="1" t="s">
        <v>5730</v>
      </c>
      <c r="H1613" s="1" t="s">
        <v>1856</v>
      </c>
    </row>
    <row r="1614" spans="1:8" hidden="1" x14ac:dyDescent="0.3">
      <c r="A1614" t="s">
        <v>7592</v>
      </c>
      <c r="B1614" t="s">
        <v>7592</v>
      </c>
      <c r="C1614" t="s">
        <v>972</v>
      </c>
      <c r="D1614" t="s">
        <v>133</v>
      </c>
      <c r="E1614" t="s">
        <v>8</v>
      </c>
      <c r="F1614" t="s">
        <v>5781</v>
      </c>
      <c r="G1614" s="1" t="s">
        <v>5730</v>
      </c>
      <c r="H1614" s="1" t="s">
        <v>1856</v>
      </c>
    </row>
    <row r="1615" spans="1:8" hidden="1" x14ac:dyDescent="0.3">
      <c r="A1615" t="s">
        <v>7593</v>
      </c>
      <c r="B1615" t="s">
        <v>7593</v>
      </c>
      <c r="C1615" t="s">
        <v>919</v>
      </c>
      <c r="D1615" t="s">
        <v>133</v>
      </c>
      <c r="E1615" t="s">
        <v>8</v>
      </c>
      <c r="F1615" t="s">
        <v>5729</v>
      </c>
      <c r="G1615" s="1" t="s">
        <v>5730</v>
      </c>
      <c r="H1615" s="1" t="s">
        <v>1923</v>
      </c>
    </row>
    <row r="1616" spans="1:8" hidden="1" x14ac:dyDescent="0.3">
      <c r="A1616" t="s">
        <v>7594</v>
      </c>
      <c r="B1616" t="s">
        <v>7594</v>
      </c>
      <c r="C1616" t="s">
        <v>866</v>
      </c>
      <c r="D1616" t="s">
        <v>133</v>
      </c>
      <c r="E1616" t="s">
        <v>8</v>
      </c>
      <c r="F1616" t="s">
        <v>5729</v>
      </c>
      <c r="G1616" s="1" t="s">
        <v>5730</v>
      </c>
      <c r="H1616" s="1" t="s">
        <v>1856</v>
      </c>
    </row>
    <row r="1617" spans="1:8" hidden="1" x14ac:dyDescent="0.3">
      <c r="A1617" t="s">
        <v>7595</v>
      </c>
      <c r="B1617" t="s">
        <v>7595</v>
      </c>
      <c r="C1617" t="s">
        <v>7596</v>
      </c>
      <c r="D1617" t="s">
        <v>133</v>
      </c>
      <c r="E1617" t="s">
        <v>8</v>
      </c>
      <c r="F1617" t="s">
        <v>5729</v>
      </c>
      <c r="G1617" s="1" t="s">
        <v>5730</v>
      </c>
      <c r="H1617" s="1" t="s">
        <v>1856</v>
      </c>
    </row>
    <row r="1618" spans="1:8" hidden="1" x14ac:dyDescent="0.3">
      <c r="A1618" t="s">
        <v>7597</v>
      </c>
      <c r="B1618" t="s">
        <v>7597</v>
      </c>
      <c r="C1618" t="s">
        <v>3166</v>
      </c>
      <c r="D1618" t="s">
        <v>133</v>
      </c>
      <c r="E1618" t="s">
        <v>8</v>
      </c>
      <c r="F1618" t="s">
        <v>5729</v>
      </c>
      <c r="G1618" s="1" t="s">
        <v>5730</v>
      </c>
      <c r="H1618" s="1" t="s">
        <v>1856</v>
      </c>
    </row>
    <row r="1619" spans="1:8" hidden="1" x14ac:dyDescent="0.3">
      <c r="A1619" t="s">
        <v>7598</v>
      </c>
      <c r="B1619" t="s">
        <v>7598</v>
      </c>
      <c r="C1619" t="s">
        <v>191</v>
      </c>
      <c r="D1619" t="s">
        <v>146</v>
      </c>
      <c r="E1619" t="s">
        <v>8</v>
      </c>
      <c r="F1619" t="s">
        <v>5729</v>
      </c>
      <c r="G1619" s="1" t="s">
        <v>5730</v>
      </c>
      <c r="H1619" s="1" t="s">
        <v>1923</v>
      </c>
    </row>
    <row r="1620" spans="1:8" hidden="1" x14ac:dyDescent="0.3">
      <c r="A1620" t="s">
        <v>7599</v>
      </c>
      <c r="B1620" t="s">
        <v>7599</v>
      </c>
      <c r="C1620" t="s">
        <v>265</v>
      </c>
      <c r="D1620" t="s">
        <v>146</v>
      </c>
      <c r="E1620" t="s">
        <v>8</v>
      </c>
      <c r="F1620" t="s">
        <v>5729</v>
      </c>
      <c r="G1620" s="1" t="s">
        <v>5730</v>
      </c>
      <c r="H1620" s="1" t="s">
        <v>1893</v>
      </c>
    </row>
    <row r="1621" spans="1:8" hidden="1" x14ac:dyDescent="0.3">
      <c r="A1621" t="s">
        <v>7600</v>
      </c>
      <c r="B1621" t="s">
        <v>7600</v>
      </c>
      <c r="C1621" t="s">
        <v>337</v>
      </c>
      <c r="D1621" t="s">
        <v>146</v>
      </c>
      <c r="E1621" t="s">
        <v>8</v>
      </c>
      <c r="F1621" t="s">
        <v>5729</v>
      </c>
      <c r="G1621" s="1" t="s">
        <v>5730</v>
      </c>
      <c r="H1621" s="1" t="s">
        <v>1927</v>
      </c>
    </row>
    <row r="1622" spans="1:8" hidden="1" x14ac:dyDescent="0.3">
      <c r="A1622" t="s">
        <v>7601</v>
      </c>
      <c r="B1622" t="s">
        <v>7601</v>
      </c>
      <c r="C1622" t="s">
        <v>275</v>
      </c>
      <c r="D1622" t="s">
        <v>146</v>
      </c>
      <c r="E1622" t="s">
        <v>8</v>
      </c>
      <c r="F1622" t="s">
        <v>5729</v>
      </c>
      <c r="G1622" s="1" t="s">
        <v>5730</v>
      </c>
      <c r="H1622" s="1" t="s">
        <v>1923</v>
      </c>
    </row>
    <row r="1623" spans="1:8" hidden="1" x14ac:dyDescent="0.3">
      <c r="A1623" t="s">
        <v>7602</v>
      </c>
      <c r="B1623" t="s">
        <v>7602</v>
      </c>
      <c r="C1623" t="s">
        <v>482</v>
      </c>
      <c r="D1623" t="s">
        <v>146</v>
      </c>
      <c r="E1623" t="s">
        <v>8</v>
      </c>
      <c r="F1623" t="s">
        <v>5781</v>
      </c>
      <c r="G1623" s="1" t="s">
        <v>5730</v>
      </c>
      <c r="H1623" s="1" t="s">
        <v>1893</v>
      </c>
    </row>
    <row r="1624" spans="1:8" hidden="1" x14ac:dyDescent="0.3">
      <c r="A1624" t="s">
        <v>7603</v>
      </c>
      <c r="B1624" t="s">
        <v>7603</v>
      </c>
      <c r="C1624" t="s">
        <v>554</v>
      </c>
      <c r="D1624" t="s">
        <v>146</v>
      </c>
      <c r="E1624" t="s">
        <v>8</v>
      </c>
      <c r="F1624" t="s">
        <v>5729</v>
      </c>
      <c r="G1624" s="1" t="s">
        <v>5730</v>
      </c>
      <c r="H1624" s="1" t="s">
        <v>1893</v>
      </c>
    </row>
    <row r="1625" spans="1:8" hidden="1" x14ac:dyDescent="0.3">
      <c r="A1625" t="s">
        <v>7604</v>
      </c>
      <c r="B1625" t="s">
        <v>7604</v>
      </c>
      <c r="C1625" t="s">
        <v>334</v>
      </c>
      <c r="D1625" t="s">
        <v>146</v>
      </c>
      <c r="E1625" t="s">
        <v>8</v>
      </c>
      <c r="F1625" t="s">
        <v>5729</v>
      </c>
      <c r="G1625" s="1" t="s">
        <v>5730</v>
      </c>
      <c r="H1625" s="1" t="s">
        <v>1927</v>
      </c>
    </row>
    <row r="1626" spans="1:8" hidden="1" x14ac:dyDescent="0.3">
      <c r="A1626" t="s">
        <v>7605</v>
      </c>
      <c r="B1626" t="s">
        <v>7605</v>
      </c>
      <c r="C1626" t="s">
        <v>750</v>
      </c>
      <c r="D1626" t="s">
        <v>146</v>
      </c>
      <c r="E1626" t="s">
        <v>8</v>
      </c>
      <c r="F1626" t="s">
        <v>5729</v>
      </c>
      <c r="G1626" s="1" t="s">
        <v>5730</v>
      </c>
      <c r="H1626" s="1" t="s">
        <v>1923</v>
      </c>
    </row>
    <row r="1627" spans="1:8" hidden="1" x14ac:dyDescent="0.3">
      <c r="A1627" t="s">
        <v>7606</v>
      </c>
      <c r="B1627" t="s">
        <v>7606</v>
      </c>
      <c r="C1627" t="s">
        <v>811</v>
      </c>
      <c r="D1627" t="s">
        <v>146</v>
      </c>
      <c r="E1627" t="s">
        <v>8</v>
      </c>
      <c r="F1627" t="s">
        <v>5734</v>
      </c>
      <c r="G1627" s="1" t="s">
        <v>5730</v>
      </c>
      <c r="H1627" s="1" t="s">
        <v>1856</v>
      </c>
    </row>
    <row r="1628" spans="1:8" hidden="1" x14ac:dyDescent="0.3">
      <c r="A1628" t="s">
        <v>7607</v>
      </c>
      <c r="B1628" t="s">
        <v>7607</v>
      </c>
      <c r="C1628" t="s">
        <v>7608</v>
      </c>
      <c r="D1628" t="s">
        <v>146</v>
      </c>
      <c r="E1628" t="s">
        <v>8</v>
      </c>
      <c r="F1628" t="s">
        <v>5781</v>
      </c>
      <c r="G1628" s="1" t="s">
        <v>5730</v>
      </c>
      <c r="H1628" s="1" t="s">
        <v>1874</v>
      </c>
    </row>
    <row r="1629" spans="1:8" hidden="1" x14ac:dyDescent="0.3">
      <c r="A1629" t="s">
        <v>7609</v>
      </c>
      <c r="B1629" t="s">
        <v>7609</v>
      </c>
      <c r="C1629" t="s">
        <v>2406</v>
      </c>
      <c r="D1629" t="s">
        <v>146</v>
      </c>
      <c r="E1629" t="s">
        <v>8</v>
      </c>
      <c r="F1629" t="s">
        <v>5729</v>
      </c>
      <c r="G1629" s="1" t="s">
        <v>5730</v>
      </c>
      <c r="H1629" s="1" t="s">
        <v>1927</v>
      </c>
    </row>
    <row r="1630" spans="1:8" hidden="1" x14ac:dyDescent="0.3">
      <c r="A1630" t="s">
        <v>7610</v>
      </c>
      <c r="B1630" t="s">
        <v>7610</v>
      </c>
      <c r="C1630" t="s">
        <v>3046</v>
      </c>
      <c r="D1630" t="s">
        <v>146</v>
      </c>
      <c r="E1630" t="s">
        <v>8</v>
      </c>
      <c r="F1630" t="s">
        <v>5729</v>
      </c>
      <c r="G1630" s="1" t="s">
        <v>5730</v>
      </c>
      <c r="H1630" s="1" t="s">
        <v>1923</v>
      </c>
    </row>
    <row r="1631" spans="1:8" hidden="1" x14ac:dyDescent="0.3">
      <c r="A1631" t="s">
        <v>7611</v>
      </c>
      <c r="B1631" t="s">
        <v>7611</v>
      </c>
      <c r="C1631" t="s">
        <v>3180</v>
      </c>
      <c r="D1631" t="s">
        <v>146</v>
      </c>
      <c r="E1631" t="s">
        <v>8</v>
      </c>
      <c r="F1631" t="s">
        <v>5734</v>
      </c>
      <c r="G1631" s="1" t="s">
        <v>5730</v>
      </c>
      <c r="H1631" s="1" t="s">
        <v>1927</v>
      </c>
    </row>
    <row r="1632" spans="1:8" hidden="1" x14ac:dyDescent="0.3">
      <c r="A1632" t="s">
        <v>7612</v>
      </c>
      <c r="B1632" t="s">
        <v>7612</v>
      </c>
      <c r="C1632" t="s">
        <v>1828</v>
      </c>
      <c r="D1632" t="s">
        <v>146</v>
      </c>
      <c r="E1632" t="s">
        <v>8</v>
      </c>
      <c r="F1632" t="s">
        <v>5781</v>
      </c>
      <c r="G1632" s="1" t="s">
        <v>5730</v>
      </c>
      <c r="H1632" s="1" t="s">
        <v>1893</v>
      </c>
    </row>
    <row r="1633" spans="1:8" hidden="1" x14ac:dyDescent="0.3">
      <c r="A1633" t="s">
        <v>7613</v>
      </c>
      <c r="B1633" t="s">
        <v>7613</v>
      </c>
      <c r="C1633" t="s">
        <v>2459</v>
      </c>
      <c r="D1633" t="s">
        <v>146</v>
      </c>
      <c r="E1633" t="s">
        <v>8</v>
      </c>
      <c r="F1633" t="s">
        <v>5729</v>
      </c>
      <c r="G1633" s="1" t="s">
        <v>5730</v>
      </c>
      <c r="H1633" s="1" t="s">
        <v>1923</v>
      </c>
    </row>
    <row r="1634" spans="1:8" hidden="1" x14ac:dyDescent="0.3">
      <c r="A1634" t="s">
        <v>7614</v>
      </c>
      <c r="B1634" t="s">
        <v>7614</v>
      </c>
      <c r="C1634" t="s">
        <v>620</v>
      </c>
      <c r="D1634" t="s">
        <v>146</v>
      </c>
      <c r="E1634" t="s">
        <v>8</v>
      </c>
      <c r="F1634" t="s">
        <v>5729</v>
      </c>
      <c r="G1634" s="1" t="s">
        <v>5730</v>
      </c>
      <c r="H1634" s="1" t="s">
        <v>1893</v>
      </c>
    </row>
    <row r="1635" spans="1:8" hidden="1" x14ac:dyDescent="0.3">
      <c r="A1635" t="s">
        <v>7615</v>
      </c>
      <c r="B1635" t="s">
        <v>7615</v>
      </c>
      <c r="C1635" t="s">
        <v>7616</v>
      </c>
      <c r="D1635" t="s">
        <v>146</v>
      </c>
      <c r="E1635" t="s">
        <v>8</v>
      </c>
      <c r="F1635" t="s">
        <v>5729</v>
      </c>
      <c r="G1635" s="1" t="s">
        <v>5730</v>
      </c>
      <c r="H1635" s="1" t="s">
        <v>1893</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140</vt:i4>
      </vt:variant>
    </vt:vector>
  </HeadingPairs>
  <TitlesOfParts>
    <vt:vector size="185" baseType="lpstr">
      <vt:lpstr>LGU2</vt:lpstr>
      <vt:lpstr>Regions</vt:lpstr>
      <vt:lpstr>Home</vt:lpstr>
      <vt:lpstr>LGU_Masterlist</vt:lpstr>
      <vt:lpstr>Accomplishment 2026</vt:lpstr>
      <vt:lpstr>Annex 1.1. Outcome_CLUP</vt:lpstr>
      <vt:lpstr>Annex 1.1.1 Outcome_CommPlan</vt:lpstr>
      <vt:lpstr>Annex 1.1.2 Outcome_Housing</vt:lpstr>
      <vt:lpstr>Annex 1.2. Outcome_PDPFP</vt:lpstr>
      <vt:lpstr>Annex 2.1. Outcome_UrbanDev</vt:lpstr>
      <vt:lpstr>Annex 3.1_CLUP Status</vt:lpstr>
      <vt:lpstr>PSGC</vt:lpstr>
      <vt:lpstr>Annex 3.2_PDPFP Status</vt:lpstr>
      <vt:lpstr>Annex 4.1 TA_CLUP</vt:lpstr>
      <vt:lpstr>Annex 4.2 TA_PDPFP</vt:lpstr>
      <vt:lpstr>Annex 4.3 TA_HouSub</vt:lpstr>
      <vt:lpstr>Annex 4.4 TA_RA</vt:lpstr>
      <vt:lpstr>Annex 4.5 TA_Imp</vt:lpstr>
      <vt:lpstr>Annex 4.6 TA_UD</vt:lpstr>
      <vt:lpstr>Annex 4.7 TA_Others</vt:lpstr>
      <vt:lpstr>Annex 5.1 TR_CLUP-ZO</vt:lpstr>
      <vt:lpstr>Annex 5.2 TR_GIS</vt:lpstr>
      <vt:lpstr>Annex 5.3 TR_CDRA</vt:lpstr>
      <vt:lpstr>Annex 5.4 TR_Imp</vt:lpstr>
      <vt:lpstr>Annex 5.5 TR_HouSub</vt:lpstr>
      <vt:lpstr>Annex 5.6 TR_UD</vt:lpstr>
      <vt:lpstr>Annex 5.7 TR_Others</vt:lpstr>
      <vt:lpstr>Annex 6.1 UD_FormReview</vt:lpstr>
      <vt:lpstr>Annex 7.1 Review_CChk</vt:lpstr>
      <vt:lpstr>Annex 7.2 Review_CLUP-PDPFP</vt:lpstr>
      <vt:lpstr>Annex 7.3 Review_Reports</vt:lpstr>
      <vt:lpstr>Annex 7.4 Review_Sessions</vt:lpstr>
      <vt:lpstr>Annex 8 Plan Monitoring</vt:lpstr>
      <vt:lpstr>Annex 9.1. Inventory</vt:lpstr>
      <vt:lpstr>Annex 9.2. Budget</vt:lpstr>
      <vt:lpstr>Annex 10.1 Link - Membership</vt:lpstr>
      <vt:lpstr>Annex 10.2 Meetings-Papers</vt:lpstr>
      <vt:lpstr>Annex 10.3 Link - Partnerships</vt:lpstr>
      <vt:lpstr>Annex 11 Certifications</vt:lpstr>
      <vt:lpstr>Annex 12 Other Assignments</vt:lpstr>
      <vt:lpstr>Annex 13 Issues-BestPractices</vt:lpstr>
      <vt:lpstr>Definition_Status</vt:lpstr>
      <vt:lpstr>Definition_UDProjects</vt:lpstr>
      <vt:lpstr>Picklists</vt:lpstr>
      <vt:lpstr>LGU_Table</vt:lpstr>
      <vt:lpstr>_R01</vt:lpstr>
      <vt:lpstr>_R02</vt:lpstr>
      <vt:lpstr>_R03</vt:lpstr>
      <vt:lpstr>_R04_A</vt:lpstr>
      <vt:lpstr>_R04_B</vt:lpstr>
      <vt:lpstr>_R05</vt:lpstr>
      <vt:lpstr>_R06</vt:lpstr>
      <vt:lpstr>_R07</vt:lpstr>
      <vt:lpstr>_R08</vt:lpstr>
      <vt:lpstr>_R09</vt:lpstr>
      <vt:lpstr>_R10</vt:lpstr>
      <vt:lpstr>_R11</vt:lpstr>
      <vt:lpstr>_R12</vt:lpstr>
      <vt:lpstr>_R13</vt:lpstr>
      <vt:lpstr>Abra</vt:lpstr>
      <vt:lpstr>Agusan_del_Norte</vt:lpstr>
      <vt:lpstr>Agusan_del_Sur</vt:lpstr>
      <vt:lpstr>Aklan</vt:lpstr>
      <vt:lpstr>Albay</vt:lpstr>
      <vt:lpstr>Antique</vt:lpstr>
      <vt:lpstr>Apayao</vt:lpstr>
      <vt:lpstr>Aurora</vt:lpstr>
      <vt:lpstr>BARMM</vt:lpstr>
      <vt:lpstr>Basilan</vt:lpstr>
      <vt:lpstr>Bataan</vt:lpstr>
      <vt:lpstr>Batanes</vt:lpstr>
      <vt:lpstr>Batangas</vt:lpstr>
      <vt:lpstr>Benguet</vt:lpstr>
      <vt:lpstr>Biliran</vt:lpstr>
      <vt:lpstr>Bohol</vt:lpstr>
      <vt:lpstr>Bukidnon</vt:lpstr>
      <vt:lpstr>Bulacan</vt:lpstr>
      <vt:lpstr>Cagayan</vt:lpstr>
      <vt:lpstr>Camarines_Norte</vt:lpstr>
      <vt:lpstr>Camarines_Sur</vt:lpstr>
      <vt:lpstr>Camiguin</vt:lpstr>
      <vt:lpstr>Capiz</vt:lpstr>
      <vt:lpstr>CAR</vt:lpstr>
      <vt:lpstr>Catanduanes</vt:lpstr>
      <vt:lpstr>Cavite</vt:lpstr>
      <vt:lpstr>Cebu</vt:lpstr>
      <vt:lpstr>cit_mun</vt:lpstr>
      <vt:lpstr>cm_class</vt:lpstr>
      <vt:lpstr>Cordilla_Administrative_Region</vt:lpstr>
      <vt:lpstr>Cotabato</vt:lpstr>
      <vt:lpstr>Davao_de_Oro</vt:lpstr>
      <vt:lpstr>Davao_del_Norte</vt:lpstr>
      <vt:lpstr>Davao_del_Sur</vt:lpstr>
      <vt:lpstr>Davao_Occidental</vt:lpstr>
      <vt:lpstr>Davao_Oriental</vt:lpstr>
      <vt:lpstr>Dinagat_Islands</vt:lpstr>
      <vt:lpstr>Eastern_Samar</vt:lpstr>
      <vt:lpstr>Guimaras</vt:lpstr>
      <vt:lpstr>h_sett</vt:lpstr>
      <vt:lpstr>Ifugao</vt:lpstr>
      <vt:lpstr>Ilocos_Norte</vt:lpstr>
      <vt:lpstr>Ilocos_Sur</vt:lpstr>
      <vt:lpstr>Iloilo</vt:lpstr>
      <vt:lpstr>inc_class</vt:lpstr>
      <vt:lpstr>Isabela</vt:lpstr>
      <vt:lpstr>Kalinga</vt:lpstr>
      <vt:lpstr>La_Union</vt:lpstr>
      <vt:lpstr>Laguna</vt:lpstr>
      <vt:lpstr>Lanao_del_Norte</vt:lpstr>
      <vt:lpstr>Leyte</vt:lpstr>
      <vt:lpstr>Marinduque</vt:lpstr>
      <vt:lpstr>Masbate</vt:lpstr>
      <vt:lpstr>Metro_Manila</vt:lpstr>
      <vt:lpstr>Misamis_Occidental</vt:lpstr>
      <vt:lpstr>Misamis_Oriental</vt:lpstr>
      <vt:lpstr>Mountain_Province</vt:lpstr>
      <vt:lpstr>National_Capital_Region</vt:lpstr>
      <vt:lpstr>NCR</vt:lpstr>
      <vt:lpstr>Negros_Island_Region__NIR</vt:lpstr>
      <vt:lpstr>Negros_Occidental</vt:lpstr>
      <vt:lpstr>Negros_Oriental</vt:lpstr>
      <vt:lpstr>NIR</vt:lpstr>
      <vt:lpstr>Northern_Samar</vt:lpstr>
      <vt:lpstr>Nueva_Ecija</vt:lpstr>
      <vt:lpstr>Nueva_Vizcaya</vt:lpstr>
      <vt:lpstr>Occidental_Mindoro</vt:lpstr>
      <vt:lpstr>Oriental_Mindoro</vt:lpstr>
      <vt:lpstr>Palawan</vt:lpstr>
      <vt:lpstr>Pampanga</vt:lpstr>
      <vt:lpstr>Pangasinan</vt:lpstr>
      <vt:lpstr>PLGU</vt:lpstr>
      <vt:lpstr>prov</vt:lpstr>
      <vt:lpstr>Province</vt:lpstr>
      <vt:lpstr>Province_PLGU</vt:lpstr>
      <vt:lpstr>psgc</vt:lpstr>
      <vt:lpstr>Quezon</vt:lpstr>
      <vt:lpstr>Quirino</vt:lpstr>
      <vt:lpstr>R_10</vt:lpstr>
      <vt:lpstr>R_11</vt:lpstr>
      <vt:lpstr>R_12</vt:lpstr>
      <vt:lpstr>R_13</vt:lpstr>
      <vt:lpstr>region</vt:lpstr>
      <vt:lpstr>Region_01__Ilocos_Region</vt:lpstr>
      <vt:lpstr>Region_02__Cagayan_Valley</vt:lpstr>
      <vt:lpstr>Region_03__Central_Luzon</vt:lpstr>
      <vt:lpstr>Region_04_A__CALABARZON</vt:lpstr>
      <vt:lpstr>Region_04_B__MIMAROPA</vt:lpstr>
      <vt:lpstr>Region_05__Bicol_Region</vt:lpstr>
      <vt:lpstr>Region_06__Western_Visayas</vt:lpstr>
      <vt:lpstr>Region_07__Central_Visayas_Region</vt:lpstr>
      <vt:lpstr>Region_08__Eastern_Visayas</vt:lpstr>
      <vt:lpstr>Region_09__Zamboanga_Peninsula</vt:lpstr>
      <vt:lpstr>Region_10__Northern_Mindanao</vt:lpstr>
      <vt:lpstr>Region_11__Davao_Region</vt:lpstr>
      <vt:lpstr>Region_12__SOCCSKSARGEN</vt:lpstr>
      <vt:lpstr>Region_13__Caraga_Region</vt:lpstr>
      <vt:lpstr>Rizal</vt:lpstr>
      <vt:lpstr>RO_1</vt:lpstr>
      <vt:lpstr>RO_2</vt:lpstr>
      <vt:lpstr>RO_3</vt:lpstr>
      <vt:lpstr>RO_4A</vt:lpstr>
      <vt:lpstr>RO_4B</vt:lpstr>
      <vt:lpstr>RO_5</vt:lpstr>
      <vt:lpstr>RO_6</vt:lpstr>
      <vt:lpstr>RO_7</vt:lpstr>
      <vt:lpstr>RO_8</vt:lpstr>
      <vt:lpstr>RO_9</vt:lpstr>
      <vt:lpstr>RO4_A</vt:lpstr>
      <vt:lpstr>RO4_B</vt:lpstr>
      <vt:lpstr>Romblon</vt:lpstr>
      <vt:lpstr>Samar</vt:lpstr>
      <vt:lpstr>Sarangani</vt:lpstr>
      <vt:lpstr>Siquijor</vt:lpstr>
      <vt:lpstr>Sorsogon</vt:lpstr>
      <vt:lpstr>South_Cotabato</vt:lpstr>
      <vt:lpstr>Southern_Leyte</vt:lpstr>
      <vt:lpstr>Sultan_Kudarat</vt:lpstr>
      <vt:lpstr>Sulu</vt:lpstr>
      <vt:lpstr>Surigao_del_Norte</vt:lpstr>
      <vt:lpstr>Surigao_del_Sur</vt:lpstr>
      <vt:lpstr>Tarlac</vt:lpstr>
      <vt:lpstr>Zambales</vt:lpstr>
      <vt:lpstr>Zamboanga_del_Norte</vt:lpstr>
      <vt:lpstr>Zamboanga_del_Sur</vt:lpstr>
      <vt:lpstr>Zamboanga_Sibugay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Charmaine Jeremy Galarosa</dc:creator>
  <cp:keywords/>
  <dc:description/>
  <cp:lastModifiedBy>DHSUD 6 - Brechelle Benotapa</cp:lastModifiedBy>
  <cp:revision/>
  <cp:lastPrinted>2026-03-09T04:17:32Z</cp:lastPrinted>
  <dcterms:created xsi:type="dcterms:W3CDTF">2025-03-06T06:15:45Z</dcterms:created>
  <dcterms:modified xsi:type="dcterms:W3CDTF">2026-03-12T12:45:45Z</dcterms:modified>
  <cp:category/>
  <cp:contentStatus/>
</cp:coreProperties>
</file>